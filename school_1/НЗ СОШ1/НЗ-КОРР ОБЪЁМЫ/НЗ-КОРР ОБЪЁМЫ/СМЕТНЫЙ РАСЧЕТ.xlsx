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срк\OneDrive\Рабочий стол\МФ СТРОЙ\СОШ 1.2\СОШ 1\ИД 2025\2026 ГОД\НЗ-КОРР ОБЪЁМЫ\"/>
    </mc:Choice>
  </mc:AlternateContent>
  <xr:revisionPtr revIDLastSave="0" documentId="13_ncr:1_{C57B19A3-6399-4EF1-A5CB-79B35E0DD10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Изменения" sheetId="1" r:id="rId1"/>
    <sheet name="ТКП" sheetId="2" r:id="rId2"/>
    <sheet name="ПРОВЕРКА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05" i="3" l="1"/>
  <c r="P404" i="3" s="1"/>
  <c r="M405" i="3"/>
  <c r="J404" i="3" s="1"/>
  <c r="T404" i="3"/>
  <c r="N404" i="3"/>
  <c r="S403" i="3"/>
  <c r="M403" i="3"/>
  <c r="T402" i="3"/>
  <c r="P402" i="3"/>
  <c r="S402" i="3" s="1"/>
  <c r="N402" i="3"/>
  <c r="J402" i="3"/>
  <c r="L402" i="3" s="1"/>
  <c r="T401" i="3"/>
  <c r="R401" i="3"/>
  <c r="N401" i="3"/>
  <c r="L401" i="3"/>
  <c r="S400" i="3"/>
  <c r="P399" i="3" s="1"/>
  <c r="M400" i="3"/>
  <c r="J399" i="3" s="1"/>
  <c r="M399" i="3" s="1"/>
  <c r="T399" i="3"/>
  <c r="N399" i="3"/>
  <c r="S397" i="3"/>
  <c r="M397" i="3"/>
  <c r="S396" i="3"/>
  <c r="M396" i="3"/>
  <c r="T395" i="3"/>
  <c r="N395" i="3"/>
  <c r="S394" i="3"/>
  <c r="M394" i="3"/>
  <c r="J392" i="3" s="1"/>
  <c r="S393" i="3"/>
  <c r="P392" i="3" s="1"/>
  <c r="R392" i="3" s="1"/>
  <c r="M393" i="3"/>
  <c r="T392" i="3"/>
  <c r="N392" i="3"/>
  <c r="S391" i="3"/>
  <c r="M391" i="3"/>
  <c r="S390" i="3"/>
  <c r="M390" i="3"/>
  <c r="T389" i="3"/>
  <c r="N389" i="3"/>
  <c r="J389" i="3"/>
  <c r="M389" i="3" s="1"/>
  <c r="O389" i="3" s="1"/>
  <c r="S388" i="3"/>
  <c r="M388" i="3"/>
  <c r="S387" i="3"/>
  <c r="M387" i="3"/>
  <c r="T386" i="3"/>
  <c r="T385" i="3" s="1"/>
  <c r="N386" i="3"/>
  <c r="S384" i="3"/>
  <c r="M384" i="3"/>
  <c r="J382" i="3" s="1"/>
  <c r="S383" i="3"/>
  <c r="M383" i="3"/>
  <c r="T382" i="3"/>
  <c r="N382" i="3"/>
  <c r="S381" i="3"/>
  <c r="M381" i="3"/>
  <c r="S380" i="3"/>
  <c r="M380" i="3"/>
  <c r="T379" i="3"/>
  <c r="N379" i="3"/>
  <c r="S378" i="3"/>
  <c r="M378" i="3"/>
  <c r="S377" i="3"/>
  <c r="P376" i="3" s="1"/>
  <c r="M377" i="3"/>
  <c r="T376" i="3"/>
  <c r="N376" i="3"/>
  <c r="S375" i="3"/>
  <c r="M375" i="3"/>
  <c r="S374" i="3"/>
  <c r="P373" i="3" s="1"/>
  <c r="M374" i="3"/>
  <c r="T373" i="3"/>
  <c r="N373" i="3"/>
  <c r="S372" i="3"/>
  <c r="M372" i="3"/>
  <c r="S371" i="3"/>
  <c r="M371" i="3"/>
  <c r="J370" i="3" s="1"/>
  <c r="T370" i="3"/>
  <c r="N370" i="3"/>
  <c r="S369" i="3"/>
  <c r="M369" i="3"/>
  <c r="J367" i="3" s="1"/>
  <c r="S368" i="3"/>
  <c r="M368" i="3"/>
  <c r="T367" i="3"/>
  <c r="N367" i="3"/>
  <c r="S366" i="3"/>
  <c r="M366" i="3"/>
  <c r="S365" i="3"/>
  <c r="P364" i="3" s="1"/>
  <c r="M365" i="3"/>
  <c r="T364" i="3"/>
  <c r="N364" i="3"/>
  <c r="S363" i="3"/>
  <c r="M363" i="3"/>
  <c r="J361" i="3" s="1"/>
  <c r="L361" i="3" s="1"/>
  <c r="S362" i="3"/>
  <c r="M362" i="3"/>
  <c r="T361" i="3"/>
  <c r="N361" i="3"/>
  <c r="S360" i="3"/>
  <c r="M360" i="3"/>
  <c r="S359" i="3"/>
  <c r="P358" i="3" s="1"/>
  <c r="S358" i="3" s="1"/>
  <c r="M359" i="3"/>
  <c r="T358" i="3"/>
  <c r="N358" i="3"/>
  <c r="J358" i="3"/>
  <c r="L358" i="3" s="1"/>
  <c r="S357" i="3"/>
  <c r="M357" i="3"/>
  <c r="S356" i="3"/>
  <c r="P355" i="3" s="1"/>
  <c r="S355" i="3" s="1"/>
  <c r="M356" i="3"/>
  <c r="T355" i="3"/>
  <c r="N355" i="3"/>
  <c r="J355" i="3"/>
  <c r="L355" i="3" s="1"/>
  <c r="S352" i="3"/>
  <c r="M352" i="3"/>
  <c r="S351" i="3"/>
  <c r="M351" i="3"/>
  <c r="S350" i="3"/>
  <c r="M350" i="3"/>
  <c r="S349" i="3"/>
  <c r="M349" i="3"/>
  <c r="S348" i="3"/>
  <c r="M348" i="3"/>
  <c r="S347" i="3"/>
  <c r="M347" i="3"/>
  <c r="T346" i="3"/>
  <c r="N346" i="3"/>
  <c r="J346" i="3"/>
  <c r="M346" i="3" s="1"/>
  <c r="O346" i="3" s="1"/>
  <c r="S345" i="3"/>
  <c r="M345" i="3"/>
  <c r="S344" i="3"/>
  <c r="M344" i="3"/>
  <c r="S343" i="3"/>
  <c r="M343" i="3"/>
  <c r="S342" i="3"/>
  <c r="M342" i="3"/>
  <c r="S341" i="3"/>
  <c r="M341" i="3"/>
  <c r="S340" i="3"/>
  <c r="M340" i="3"/>
  <c r="T339" i="3"/>
  <c r="N339" i="3"/>
  <c r="J339" i="3"/>
  <c r="M339" i="3" s="1"/>
  <c r="O339" i="3" s="1"/>
  <c r="S338" i="3"/>
  <c r="M338" i="3"/>
  <c r="S337" i="3"/>
  <c r="M337" i="3"/>
  <c r="S336" i="3"/>
  <c r="M336" i="3"/>
  <c r="T335" i="3"/>
  <c r="N335" i="3"/>
  <c r="S334" i="3"/>
  <c r="M334" i="3"/>
  <c r="J332" i="3" s="1"/>
  <c r="S333" i="3"/>
  <c r="M333" i="3"/>
  <c r="T332" i="3"/>
  <c r="N332" i="3"/>
  <c r="S331" i="3"/>
  <c r="M331" i="3"/>
  <c r="J329" i="3" s="1"/>
  <c r="S330" i="3"/>
  <c r="M330" i="3"/>
  <c r="T329" i="3"/>
  <c r="N329" i="3"/>
  <c r="S328" i="3"/>
  <c r="M328" i="3"/>
  <c r="S327" i="3"/>
  <c r="M327" i="3"/>
  <c r="T326" i="3"/>
  <c r="N326" i="3"/>
  <c r="S325" i="3"/>
  <c r="P323" i="3" s="1"/>
  <c r="M325" i="3"/>
  <c r="S324" i="3"/>
  <c r="M324" i="3"/>
  <c r="T323" i="3"/>
  <c r="N323" i="3"/>
  <c r="S322" i="3"/>
  <c r="M322" i="3"/>
  <c r="S321" i="3"/>
  <c r="M321" i="3"/>
  <c r="T320" i="3"/>
  <c r="N320" i="3"/>
  <c r="S319" i="3"/>
  <c r="M319" i="3"/>
  <c r="S318" i="3"/>
  <c r="M318" i="3"/>
  <c r="T317" i="3"/>
  <c r="N317" i="3"/>
  <c r="S316" i="3"/>
  <c r="M316" i="3"/>
  <c r="S315" i="3"/>
  <c r="M315" i="3"/>
  <c r="S314" i="3"/>
  <c r="M314" i="3"/>
  <c r="T313" i="3"/>
  <c r="N313" i="3"/>
  <c r="S312" i="3"/>
  <c r="M312" i="3"/>
  <c r="S311" i="3"/>
  <c r="M311" i="3"/>
  <c r="T310" i="3"/>
  <c r="N310" i="3"/>
  <c r="N295" i="3" s="1"/>
  <c r="S309" i="3"/>
  <c r="M309" i="3"/>
  <c r="S308" i="3"/>
  <c r="M308" i="3"/>
  <c r="J307" i="3" s="1"/>
  <c r="T307" i="3"/>
  <c r="N307" i="3"/>
  <c r="S306" i="3"/>
  <c r="M306" i="3"/>
  <c r="S305" i="3"/>
  <c r="M305" i="3"/>
  <c r="S304" i="3"/>
  <c r="M304" i="3"/>
  <c r="T303" i="3"/>
  <c r="N303" i="3"/>
  <c r="S302" i="3"/>
  <c r="M302" i="3"/>
  <c r="S301" i="3"/>
  <c r="M301" i="3"/>
  <c r="T300" i="3"/>
  <c r="N300" i="3"/>
  <c r="S299" i="3"/>
  <c r="M299" i="3"/>
  <c r="S298" i="3"/>
  <c r="M298" i="3"/>
  <c r="J296" i="3" s="1"/>
  <c r="S297" i="3"/>
  <c r="M297" i="3"/>
  <c r="T296" i="3"/>
  <c r="N296" i="3"/>
  <c r="S294" i="3"/>
  <c r="M294" i="3"/>
  <c r="S293" i="3"/>
  <c r="P292" i="3" s="1"/>
  <c r="M293" i="3"/>
  <c r="T292" i="3"/>
  <c r="N292" i="3"/>
  <c r="S291" i="3"/>
  <c r="M291" i="3"/>
  <c r="S290" i="3"/>
  <c r="P289" i="3" s="1"/>
  <c r="M290" i="3"/>
  <c r="T289" i="3"/>
  <c r="N289" i="3"/>
  <c r="S288" i="3"/>
  <c r="M288" i="3"/>
  <c r="S287" i="3"/>
  <c r="M287" i="3"/>
  <c r="J286" i="3" s="1"/>
  <c r="T286" i="3"/>
  <c r="N286" i="3"/>
  <c r="S285" i="3"/>
  <c r="M285" i="3"/>
  <c r="S284" i="3"/>
  <c r="M284" i="3"/>
  <c r="J283" i="3" s="1"/>
  <c r="M283" i="3" s="1"/>
  <c r="T283" i="3"/>
  <c r="N283" i="3"/>
  <c r="S282" i="3"/>
  <c r="M282" i="3"/>
  <c r="S281" i="3"/>
  <c r="P280" i="3" s="1"/>
  <c r="M281" i="3"/>
  <c r="T280" i="3"/>
  <c r="N280" i="3"/>
  <c r="S278" i="3"/>
  <c r="M278" i="3"/>
  <c r="S277" i="3"/>
  <c r="M277" i="3"/>
  <c r="S276" i="3"/>
  <c r="M276" i="3"/>
  <c r="S275" i="3"/>
  <c r="M275" i="3"/>
  <c r="T274" i="3"/>
  <c r="N274" i="3"/>
  <c r="S273" i="3"/>
  <c r="M273" i="3"/>
  <c r="S272" i="3"/>
  <c r="P269" i="3" s="1"/>
  <c r="M272" i="3"/>
  <c r="S271" i="3"/>
  <c r="M271" i="3"/>
  <c r="S270" i="3"/>
  <c r="M270" i="3"/>
  <c r="T269" i="3"/>
  <c r="N269" i="3"/>
  <c r="S268" i="3"/>
  <c r="M268" i="3"/>
  <c r="S267" i="3"/>
  <c r="M267" i="3"/>
  <c r="S266" i="3"/>
  <c r="M266" i="3"/>
  <c r="S265" i="3"/>
  <c r="M265" i="3"/>
  <c r="T264" i="3"/>
  <c r="N264" i="3"/>
  <c r="S263" i="3"/>
  <c r="M263" i="3"/>
  <c r="S262" i="3"/>
  <c r="M262" i="3"/>
  <c r="J261" i="3" s="1"/>
  <c r="M261" i="3" s="1"/>
  <c r="O261" i="3" s="1"/>
  <c r="T261" i="3"/>
  <c r="N261" i="3"/>
  <c r="S260" i="3"/>
  <c r="M260" i="3"/>
  <c r="S259" i="3"/>
  <c r="M259" i="3"/>
  <c r="J258" i="3" s="1"/>
  <c r="M258" i="3" s="1"/>
  <c r="T258" i="3"/>
  <c r="N258" i="3"/>
  <c r="S257" i="3"/>
  <c r="M257" i="3"/>
  <c r="S256" i="3"/>
  <c r="M256" i="3"/>
  <c r="T255" i="3"/>
  <c r="N255" i="3"/>
  <c r="S254" i="3"/>
  <c r="M254" i="3"/>
  <c r="S253" i="3"/>
  <c r="M253" i="3"/>
  <c r="S252" i="3"/>
  <c r="M252" i="3"/>
  <c r="T251" i="3"/>
  <c r="N251" i="3"/>
  <c r="S250" i="3"/>
  <c r="M250" i="3"/>
  <c r="S249" i="3"/>
  <c r="M249" i="3"/>
  <c r="T248" i="3"/>
  <c r="N248" i="3"/>
  <c r="S247" i="3"/>
  <c r="M247" i="3"/>
  <c r="S246" i="3"/>
  <c r="M246" i="3"/>
  <c r="S245" i="3"/>
  <c r="M245" i="3"/>
  <c r="T244" i="3"/>
  <c r="N244" i="3"/>
  <c r="S243" i="3"/>
  <c r="M243" i="3"/>
  <c r="S242" i="3"/>
  <c r="M242" i="3"/>
  <c r="T241" i="3"/>
  <c r="N241" i="3"/>
  <c r="J241" i="3"/>
  <c r="S240" i="3"/>
  <c r="M240" i="3"/>
  <c r="S239" i="3"/>
  <c r="M239" i="3"/>
  <c r="T238" i="3"/>
  <c r="N238" i="3"/>
  <c r="J238" i="3"/>
  <c r="S237" i="3"/>
  <c r="M237" i="3"/>
  <c r="S236" i="3"/>
  <c r="M236" i="3"/>
  <c r="S235" i="3"/>
  <c r="M235" i="3"/>
  <c r="T234" i="3"/>
  <c r="N234" i="3"/>
  <c r="S233" i="3"/>
  <c r="M233" i="3"/>
  <c r="S232" i="3"/>
  <c r="M232" i="3"/>
  <c r="T231" i="3"/>
  <c r="N231" i="3"/>
  <c r="S230" i="3"/>
  <c r="M230" i="3"/>
  <c r="S229" i="3"/>
  <c r="M229" i="3"/>
  <c r="T228" i="3"/>
  <c r="N228" i="3"/>
  <c r="S227" i="3"/>
  <c r="M227" i="3"/>
  <c r="S226" i="3"/>
  <c r="M226" i="3"/>
  <c r="T225" i="3"/>
  <c r="N225" i="3"/>
  <c r="S224" i="3"/>
  <c r="M224" i="3"/>
  <c r="S223" i="3"/>
  <c r="M223" i="3"/>
  <c r="S222" i="3"/>
  <c r="P221" i="3" s="1"/>
  <c r="S221" i="3" s="1"/>
  <c r="U221" i="3" s="1"/>
  <c r="M222" i="3"/>
  <c r="T221" i="3"/>
  <c r="N221" i="3"/>
  <c r="S220" i="3"/>
  <c r="M220" i="3"/>
  <c r="S219" i="3"/>
  <c r="P218" i="3" s="1"/>
  <c r="M219" i="3"/>
  <c r="T218" i="3"/>
  <c r="N218" i="3"/>
  <c r="S217" i="3"/>
  <c r="M217" i="3"/>
  <c r="S216" i="3"/>
  <c r="M216" i="3"/>
  <c r="J215" i="3" s="1"/>
  <c r="L215" i="3" s="1"/>
  <c r="T215" i="3"/>
  <c r="N215" i="3"/>
  <c r="S214" i="3"/>
  <c r="M214" i="3"/>
  <c r="S213" i="3"/>
  <c r="M213" i="3"/>
  <c r="S212" i="3"/>
  <c r="M212" i="3"/>
  <c r="T211" i="3"/>
  <c r="N211" i="3"/>
  <c r="S210" i="3"/>
  <c r="M210" i="3"/>
  <c r="S209" i="3"/>
  <c r="M209" i="3"/>
  <c r="T208" i="3"/>
  <c r="N208" i="3"/>
  <c r="S207" i="3"/>
  <c r="M207" i="3"/>
  <c r="S206" i="3"/>
  <c r="M206" i="3"/>
  <c r="S205" i="3"/>
  <c r="M205" i="3"/>
  <c r="T204" i="3"/>
  <c r="N204" i="3"/>
  <c r="S203" i="3"/>
  <c r="M203" i="3"/>
  <c r="S202" i="3"/>
  <c r="M202" i="3"/>
  <c r="S201" i="3"/>
  <c r="M201" i="3"/>
  <c r="S200" i="3"/>
  <c r="M200" i="3"/>
  <c r="T199" i="3"/>
  <c r="N199" i="3"/>
  <c r="S198" i="3"/>
  <c r="M198" i="3"/>
  <c r="S197" i="3"/>
  <c r="M197" i="3"/>
  <c r="S196" i="3"/>
  <c r="M196" i="3"/>
  <c r="S195" i="3"/>
  <c r="M195" i="3"/>
  <c r="T194" i="3"/>
  <c r="N194" i="3"/>
  <c r="S193" i="3"/>
  <c r="M193" i="3"/>
  <c r="S192" i="3"/>
  <c r="M192" i="3"/>
  <c r="S191" i="3"/>
  <c r="M191" i="3"/>
  <c r="S190" i="3"/>
  <c r="M190" i="3"/>
  <c r="T189" i="3"/>
  <c r="N189" i="3"/>
  <c r="S188" i="3"/>
  <c r="M188" i="3"/>
  <c r="S187" i="3"/>
  <c r="M187" i="3"/>
  <c r="S186" i="3"/>
  <c r="M186" i="3"/>
  <c r="T185" i="3"/>
  <c r="N185" i="3"/>
  <c r="S184" i="3"/>
  <c r="M184" i="3"/>
  <c r="S183" i="3"/>
  <c r="M183" i="3"/>
  <c r="S182" i="3"/>
  <c r="M182" i="3"/>
  <c r="S181" i="3"/>
  <c r="M181" i="3"/>
  <c r="T180" i="3"/>
  <c r="N180" i="3"/>
  <c r="S179" i="3"/>
  <c r="M179" i="3"/>
  <c r="S178" i="3"/>
  <c r="M178" i="3"/>
  <c r="S177" i="3"/>
  <c r="M177" i="3"/>
  <c r="S176" i="3"/>
  <c r="M176" i="3"/>
  <c r="T175" i="3"/>
  <c r="N175" i="3"/>
  <c r="S174" i="3"/>
  <c r="P171" i="3" s="1"/>
  <c r="S171" i="3" s="1"/>
  <c r="M174" i="3"/>
  <c r="S173" i="3"/>
  <c r="M173" i="3"/>
  <c r="S172" i="3"/>
  <c r="M172" i="3"/>
  <c r="T171" i="3"/>
  <c r="N171" i="3"/>
  <c r="S170" i="3"/>
  <c r="M170" i="3"/>
  <c r="S169" i="3"/>
  <c r="M169" i="3"/>
  <c r="S168" i="3"/>
  <c r="P167" i="3" s="1"/>
  <c r="M168" i="3"/>
  <c r="T167" i="3"/>
  <c r="N167" i="3"/>
  <c r="S166" i="3"/>
  <c r="M166" i="3"/>
  <c r="S165" i="3"/>
  <c r="M165" i="3"/>
  <c r="S164" i="3"/>
  <c r="P163" i="3" s="1"/>
  <c r="S163" i="3" s="1"/>
  <c r="M164" i="3"/>
  <c r="T163" i="3"/>
  <c r="N163" i="3"/>
  <c r="S162" i="3"/>
  <c r="M162" i="3"/>
  <c r="S161" i="3"/>
  <c r="M161" i="3"/>
  <c r="S160" i="3"/>
  <c r="M160" i="3"/>
  <c r="T159" i="3"/>
  <c r="N159" i="3"/>
  <c r="S158" i="3"/>
  <c r="M158" i="3"/>
  <c r="S157" i="3"/>
  <c r="M157" i="3"/>
  <c r="S156" i="3"/>
  <c r="M156" i="3"/>
  <c r="S155" i="3"/>
  <c r="P154" i="3" s="1"/>
  <c r="M155" i="3"/>
  <c r="T154" i="3"/>
  <c r="N154" i="3"/>
  <c r="S153" i="3"/>
  <c r="M153" i="3"/>
  <c r="S152" i="3"/>
  <c r="M152" i="3"/>
  <c r="S151" i="3"/>
  <c r="M151" i="3"/>
  <c r="S150" i="3"/>
  <c r="M150" i="3"/>
  <c r="T149" i="3"/>
  <c r="N149" i="3"/>
  <c r="S148" i="3"/>
  <c r="M148" i="3"/>
  <c r="S147" i="3"/>
  <c r="M147" i="3"/>
  <c r="S146" i="3"/>
  <c r="M146" i="3"/>
  <c r="T145" i="3"/>
  <c r="N145" i="3"/>
  <c r="S144" i="3"/>
  <c r="M144" i="3"/>
  <c r="S143" i="3"/>
  <c r="M143" i="3"/>
  <c r="S142" i="3"/>
  <c r="M142" i="3"/>
  <c r="T141" i="3"/>
  <c r="N141" i="3"/>
  <c r="S140" i="3"/>
  <c r="M140" i="3"/>
  <c r="S139" i="3"/>
  <c r="M139" i="3"/>
  <c r="S138" i="3"/>
  <c r="M138" i="3"/>
  <c r="S137" i="3"/>
  <c r="M137" i="3"/>
  <c r="T136" i="3"/>
  <c r="N136" i="3"/>
  <c r="S135" i="3"/>
  <c r="M135" i="3"/>
  <c r="S134" i="3"/>
  <c r="M134" i="3"/>
  <c r="S133" i="3"/>
  <c r="M133" i="3"/>
  <c r="S132" i="3"/>
  <c r="M132" i="3"/>
  <c r="T131" i="3"/>
  <c r="N131" i="3"/>
  <c r="S128" i="3"/>
  <c r="M128" i="3"/>
  <c r="S127" i="3"/>
  <c r="M127" i="3"/>
  <c r="J126" i="3" s="1"/>
  <c r="T126" i="3"/>
  <c r="N126" i="3"/>
  <c r="S125" i="3"/>
  <c r="M125" i="3"/>
  <c r="S124" i="3"/>
  <c r="M124" i="3"/>
  <c r="S123" i="3"/>
  <c r="P121" i="3" s="1"/>
  <c r="M123" i="3"/>
  <c r="S122" i="3"/>
  <c r="M122" i="3"/>
  <c r="T121" i="3"/>
  <c r="N121" i="3"/>
  <c r="S120" i="3"/>
  <c r="M120" i="3"/>
  <c r="S119" i="3"/>
  <c r="M119" i="3"/>
  <c r="S118" i="3"/>
  <c r="M118" i="3"/>
  <c r="J116" i="3" s="1"/>
  <c r="S117" i="3"/>
  <c r="M117" i="3"/>
  <c r="T116" i="3"/>
  <c r="N116" i="3"/>
  <c r="S115" i="3"/>
  <c r="M115" i="3"/>
  <c r="S114" i="3"/>
  <c r="M114" i="3"/>
  <c r="J113" i="3" s="1"/>
  <c r="T113" i="3"/>
  <c r="N113" i="3"/>
  <c r="S112" i="3"/>
  <c r="M112" i="3"/>
  <c r="S111" i="3"/>
  <c r="M111" i="3"/>
  <c r="S110" i="3"/>
  <c r="M110" i="3"/>
  <c r="T109" i="3"/>
  <c r="N109" i="3"/>
  <c r="S108" i="3"/>
  <c r="M108" i="3"/>
  <c r="S107" i="3"/>
  <c r="M107" i="3"/>
  <c r="S106" i="3"/>
  <c r="M106" i="3"/>
  <c r="S105" i="3"/>
  <c r="M105" i="3"/>
  <c r="T104" i="3"/>
  <c r="N104" i="3"/>
  <c r="S103" i="3"/>
  <c r="M103" i="3"/>
  <c r="S102" i="3"/>
  <c r="M102" i="3"/>
  <c r="S101" i="3"/>
  <c r="M101" i="3"/>
  <c r="S100" i="3"/>
  <c r="M100" i="3"/>
  <c r="T99" i="3"/>
  <c r="N99" i="3"/>
  <c r="S98" i="3"/>
  <c r="M98" i="3"/>
  <c r="S97" i="3"/>
  <c r="M97" i="3"/>
  <c r="S96" i="3"/>
  <c r="M96" i="3"/>
  <c r="S95" i="3"/>
  <c r="M95" i="3"/>
  <c r="T94" i="3"/>
  <c r="N94" i="3"/>
  <c r="S92" i="3"/>
  <c r="M92" i="3"/>
  <c r="T91" i="3"/>
  <c r="P91" i="3"/>
  <c r="N91" i="3"/>
  <c r="J91" i="3"/>
  <c r="M91" i="3" s="1"/>
  <c r="O91" i="3" s="1"/>
  <c r="S90" i="3"/>
  <c r="M90" i="3"/>
  <c r="S89" i="3"/>
  <c r="M89" i="3"/>
  <c r="T88" i="3"/>
  <c r="N88" i="3"/>
  <c r="S87" i="3"/>
  <c r="M87" i="3"/>
  <c r="S86" i="3"/>
  <c r="M86" i="3"/>
  <c r="J85" i="3" s="1"/>
  <c r="M85" i="3" s="1"/>
  <c r="T85" i="3"/>
  <c r="N85" i="3"/>
  <c r="S83" i="3"/>
  <c r="M83" i="3"/>
  <c r="S82" i="3"/>
  <c r="M82" i="3"/>
  <c r="S81" i="3"/>
  <c r="M81" i="3"/>
  <c r="T80" i="3"/>
  <c r="N80" i="3"/>
  <c r="S79" i="3"/>
  <c r="M79" i="3"/>
  <c r="S78" i="3"/>
  <c r="M78" i="3"/>
  <c r="S77" i="3"/>
  <c r="M77" i="3"/>
  <c r="T76" i="3"/>
  <c r="N76" i="3"/>
  <c r="S75" i="3"/>
  <c r="M75" i="3"/>
  <c r="S74" i="3"/>
  <c r="M74" i="3"/>
  <c r="S73" i="3"/>
  <c r="M73" i="3"/>
  <c r="S72" i="3"/>
  <c r="M72" i="3"/>
  <c r="T71" i="3"/>
  <c r="N71" i="3"/>
  <c r="S70" i="3"/>
  <c r="M70" i="3"/>
  <c r="J67" i="3" s="1"/>
  <c r="M67" i="3" s="1"/>
  <c r="O67" i="3" s="1"/>
  <c r="S69" i="3"/>
  <c r="M69" i="3"/>
  <c r="S68" i="3"/>
  <c r="M68" i="3"/>
  <c r="T67" i="3"/>
  <c r="N67" i="3"/>
  <c r="S66" i="3"/>
  <c r="M66" i="3"/>
  <c r="S65" i="3"/>
  <c r="M65" i="3"/>
  <c r="S64" i="3"/>
  <c r="M64" i="3"/>
  <c r="S63" i="3"/>
  <c r="M63" i="3"/>
  <c r="T62" i="3"/>
  <c r="N62" i="3"/>
  <c r="S61" i="3"/>
  <c r="P60" i="3" s="1"/>
  <c r="S60" i="3" s="1"/>
  <c r="M61" i="3"/>
  <c r="J60" i="3" s="1"/>
  <c r="T60" i="3"/>
  <c r="N60" i="3"/>
  <c r="S59" i="3"/>
  <c r="P58" i="3" s="1"/>
  <c r="S58" i="3" s="1"/>
  <c r="M59" i="3"/>
  <c r="J58" i="3" s="1"/>
  <c r="T58" i="3"/>
  <c r="N58" i="3"/>
  <c r="S57" i="3"/>
  <c r="M57" i="3"/>
  <c r="S56" i="3"/>
  <c r="M56" i="3"/>
  <c r="T55" i="3"/>
  <c r="P55" i="3"/>
  <c r="S55" i="3" s="1"/>
  <c r="N55" i="3"/>
  <c r="J55" i="3"/>
  <c r="M55" i="3" s="1"/>
  <c r="S49" i="3"/>
  <c r="M49" i="3"/>
  <c r="S48" i="3"/>
  <c r="M48" i="3"/>
  <c r="S47" i="3"/>
  <c r="M47" i="3"/>
  <c r="T46" i="3"/>
  <c r="T45" i="3" s="1"/>
  <c r="N46" i="3"/>
  <c r="N45" i="3" s="1"/>
  <c r="S44" i="3"/>
  <c r="M44" i="3"/>
  <c r="S43" i="3"/>
  <c r="M43" i="3"/>
  <c r="S42" i="3"/>
  <c r="M42" i="3"/>
  <c r="S41" i="3"/>
  <c r="M41" i="3"/>
  <c r="T40" i="3"/>
  <c r="N40" i="3"/>
  <c r="S39" i="3"/>
  <c r="M39" i="3"/>
  <c r="S38" i="3"/>
  <c r="M38" i="3"/>
  <c r="S37" i="3"/>
  <c r="M37" i="3"/>
  <c r="S36" i="3"/>
  <c r="M36" i="3"/>
  <c r="T35" i="3"/>
  <c r="N35" i="3"/>
  <c r="S34" i="3"/>
  <c r="M34" i="3"/>
  <c r="S33" i="3"/>
  <c r="M33" i="3"/>
  <c r="S32" i="3"/>
  <c r="M32" i="3"/>
  <c r="S31" i="3"/>
  <c r="M31" i="3"/>
  <c r="T30" i="3"/>
  <c r="T24" i="3" s="1"/>
  <c r="N30" i="3"/>
  <c r="S29" i="3"/>
  <c r="M29" i="3"/>
  <c r="S28" i="3"/>
  <c r="M28" i="3"/>
  <c r="S27" i="3"/>
  <c r="M27" i="3"/>
  <c r="S26" i="3"/>
  <c r="M26" i="3"/>
  <c r="T25" i="3"/>
  <c r="N25" i="3"/>
  <c r="S23" i="3"/>
  <c r="M23" i="3"/>
  <c r="S22" i="3"/>
  <c r="M22" i="3"/>
  <c r="S21" i="3"/>
  <c r="M21" i="3"/>
  <c r="S20" i="3"/>
  <c r="M20" i="3"/>
  <c r="S19" i="3"/>
  <c r="M19" i="3"/>
  <c r="T18" i="3"/>
  <c r="N18" i="3"/>
  <c r="N17" i="3" s="1"/>
  <c r="J18" i="3"/>
  <c r="M18" i="3" s="1"/>
  <c r="S15" i="3"/>
  <c r="P14" i="3" s="1"/>
  <c r="M15" i="3"/>
  <c r="J14" i="3" s="1"/>
  <c r="T14" i="3"/>
  <c r="N14" i="3"/>
  <c r="N13" i="3" s="1"/>
  <c r="V405" i="2"/>
  <c r="S405" i="2"/>
  <c r="Y405" i="2" s="1"/>
  <c r="M405" i="2"/>
  <c r="W404" i="2"/>
  <c r="T404" i="2"/>
  <c r="Z404" i="2" s="1"/>
  <c r="N404" i="2"/>
  <c r="J404" i="2"/>
  <c r="M404" i="2" s="1"/>
  <c r="O404" i="2" s="1"/>
  <c r="V403" i="2"/>
  <c r="S403" i="2"/>
  <c r="Y403" i="2" s="1"/>
  <c r="M403" i="2"/>
  <c r="Z402" i="2"/>
  <c r="X402" i="2"/>
  <c r="W402" i="2"/>
  <c r="V402" i="2"/>
  <c r="T402" i="2"/>
  <c r="R402" i="2"/>
  <c r="P402" i="2"/>
  <c r="S402" i="2" s="1"/>
  <c r="O402" i="2"/>
  <c r="N402" i="2"/>
  <c r="M402" i="2"/>
  <c r="J402" i="2"/>
  <c r="L402" i="2" s="1"/>
  <c r="X401" i="2"/>
  <c r="W401" i="2"/>
  <c r="T401" i="2"/>
  <c r="Z401" i="2" s="1"/>
  <c r="AA401" i="2" s="1"/>
  <c r="R401" i="2"/>
  <c r="N401" i="2"/>
  <c r="O401" i="2" s="1"/>
  <c r="L401" i="2"/>
  <c r="V400" i="2"/>
  <c r="S400" i="2"/>
  <c r="P399" i="2" s="1"/>
  <c r="M400" i="2"/>
  <c r="W399" i="2"/>
  <c r="T399" i="2"/>
  <c r="Z399" i="2" s="1"/>
  <c r="Z398" i="2" s="1"/>
  <c r="N399" i="2"/>
  <c r="M399" i="2"/>
  <c r="O399" i="2" s="1"/>
  <c r="O398" i="2" s="1"/>
  <c r="J399" i="2"/>
  <c r="L399" i="2" s="1"/>
  <c r="N398" i="2"/>
  <c r="V397" i="2"/>
  <c r="S397" i="2"/>
  <c r="Y397" i="2" s="1"/>
  <c r="M397" i="2"/>
  <c r="Y396" i="2"/>
  <c r="V396" i="2"/>
  <c r="S396" i="2"/>
  <c r="P395" i="2" s="1"/>
  <c r="M396" i="2"/>
  <c r="Z395" i="2"/>
  <c r="W395" i="2"/>
  <c r="T395" i="2"/>
  <c r="N395" i="2"/>
  <c r="M395" i="2"/>
  <c r="O395" i="2" s="1"/>
  <c r="L395" i="2"/>
  <c r="J395" i="2"/>
  <c r="V394" i="2"/>
  <c r="S394" i="2"/>
  <c r="Y394" i="2" s="1"/>
  <c r="M394" i="2"/>
  <c r="Y393" i="2"/>
  <c r="V393" i="2"/>
  <c r="S393" i="2"/>
  <c r="P392" i="2" s="1"/>
  <c r="M393" i="2"/>
  <c r="Z392" i="2"/>
  <c r="W392" i="2"/>
  <c r="T392" i="2"/>
  <c r="N392" i="2"/>
  <c r="M392" i="2"/>
  <c r="O392" i="2" s="1"/>
  <c r="L392" i="2"/>
  <c r="J392" i="2"/>
  <c r="V391" i="2"/>
  <c r="S391" i="2"/>
  <c r="Y391" i="2" s="1"/>
  <c r="M391" i="2"/>
  <c r="Y390" i="2"/>
  <c r="V390" i="2"/>
  <c r="S390" i="2"/>
  <c r="P389" i="2" s="1"/>
  <c r="M390" i="2"/>
  <c r="Z389" i="2"/>
  <c r="W389" i="2"/>
  <c r="T389" i="2"/>
  <c r="N389" i="2"/>
  <c r="M389" i="2"/>
  <c r="O389" i="2" s="1"/>
  <c r="L389" i="2"/>
  <c r="J389" i="2"/>
  <c r="V388" i="2"/>
  <c r="S388" i="2"/>
  <c r="Y388" i="2" s="1"/>
  <c r="M388" i="2"/>
  <c r="Y387" i="2"/>
  <c r="V387" i="2"/>
  <c r="S387" i="2"/>
  <c r="P386" i="2" s="1"/>
  <c r="M387" i="2"/>
  <c r="W386" i="2"/>
  <c r="T386" i="2"/>
  <c r="Z386" i="2" s="1"/>
  <c r="Z385" i="2" s="1"/>
  <c r="N386" i="2"/>
  <c r="N385" i="2" s="1"/>
  <c r="M386" i="2"/>
  <c r="M385" i="2" s="1"/>
  <c r="L386" i="2"/>
  <c r="J386" i="2"/>
  <c r="T385" i="2"/>
  <c r="Y384" i="2"/>
  <c r="V384" i="2"/>
  <c r="S384" i="2"/>
  <c r="M384" i="2"/>
  <c r="J382" i="2" s="1"/>
  <c r="Y383" i="2"/>
  <c r="V383" i="2"/>
  <c r="S383" i="2"/>
  <c r="P382" i="2" s="1"/>
  <c r="M383" i="2"/>
  <c r="Z382" i="2"/>
  <c r="W382" i="2"/>
  <c r="T382" i="2"/>
  <c r="N382" i="2"/>
  <c r="Y381" i="2"/>
  <c r="V381" i="2"/>
  <c r="S381" i="2"/>
  <c r="M381" i="2"/>
  <c r="J379" i="2" s="1"/>
  <c r="Y380" i="2"/>
  <c r="V380" i="2"/>
  <c r="S380" i="2"/>
  <c r="P379" i="2" s="1"/>
  <c r="M380" i="2"/>
  <c r="Z379" i="2"/>
  <c r="W379" i="2"/>
  <c r="T379" i="2"/>
  <c r="N379" i="2"/>
  <c r="Y378" i="2"/>
  <c r="V378" i="2"/>
  <c r="S378" i="2"/>
  <c r="M378" i="2"/>
  <c r="J376" i="2" s="1"/>
  <c r="Y377" i="2"/>
  <c r="V377" i="2"/>
  <c r="S377" i="2"/>
  <c r="P376" i="2" s="1"/>
  <c r="M377" i="2"/>
  <c r="Z376" i="2"/>
  <c r="W376" i="2"/>
  <c r="T376" i="2"/>
  <c r="N376" i="2"/>
  <c r="Y375" i="2"/>
  <c r="V375" i="2"/>
  <c r="S375" i="2"/>
  <c r="M375" i="2"/>
  <c r="J373" i="2" s="1"/>
  <c r="Y374" i="2"/>
  <c r="V374" i="2"/>
  <c r="S374" i="2"/>
  <c r="P373" i="2" s="1"/>
  <c r="M374" i="2"/>
  <c r="Z373" i="2"/>
  <c r="W373" i="2"/>
  <c r="T373" i="2"/>
  <c r="N373" i="2"/>
  <c r="Y372" i="2"/>
  <c r="V372" i="2"/>
  <c r="S372" i="2"/>
  <c r="M372" i="2"/>
  <c r="J370" i="2" s="1"/>
  <c r="Y371" i="2"/>
  <c r="V371" i="2"/>
  <c r="S371" i="2"/>
  <c r="P370" i="2" s="1"/>
  <c r="M371" i="2"/>
  <c r="Z370" i="2"/>
  <c r="W370" i="2"/>
  <c r="T370" i="2"/>
  <c r="N370" i="2"/>
  <c r="Y369" i="2"/>
  <c r="V369" i="2"/>
  <c r="S369" i="2"/>
  <c r="M369" i="2"/>
  <c r="J367" i="2" s="1"/>
  <c r="Y368" i="2"/>
  <c r="V368" i="2"/>
  <c r="S368" i="2"/>
  <c r="P367" i="2" s="1"/>
  <c r="M368" i="2"/>
  <c r="Z367" i="2"/>
  <c r="W367" i="2"/>
  <c r="T367" i="2"/>
  <c r="N367" i="2"/>
  <c r="V366" i="2"/>
  <c r="S366" i="2"/>
  <c r="Y366" i="2" s="1"/>
  <c r="M366" i="2"/>
  <c r="J364" i="2" s="1"/>
  <c r="Y365" i="2"/>
  <c r="V365" i="2"/>
  <c r="S365" i="2"/>
  <c r="M365" i="2"/>
  <c r="Z364" i="2"/>
  <c r="X364" i="2"/>
  <c r="W364" i="2"/>
  <c r="V364" i="2"/>
  <c r="T364" i="2"/>
  <c r="R364" i="2"/>
  <c r="P364" i="2"/>
  <c r="S364" i="2" s="1"/>
  <c r="N364" i="2"/>
  <c r="V363" i="2"/>
  <c r="S363" i="2"/>
  <c r="Y363" i="2" s="1"/>
  <c r="M363" i="2"/>
  <c r="J361" i="2" s="1"/>
  <c r="Y362" i="2"/>
  <c r="V362" i="2"/>
  <c r="S362" i="2"/>
  <c r="M362" i="2"/>
  <c r="Z361" i="2"/>
  <c r="X361" i="2"/>
  <c r="W361" i="2"/>
  <c r="V361" i="2"/>
  <c r="T361" i="2"/>
  <c r="R361" i="2"/>
  <c r="P361" i="2"/>
  <c r="S361" i="2" s="1"/>
  <c r="N361" i="2"/>
  <c r="V360" i="2"/>
  <c r="S360" i="2"/>
  <c r="Y360" i="2" s="1"/>
  <c r="M360" i="2"/>
  <c r="J358" i="2" s="1"/>
  <c r="Y359" i="2"/>
  <c r="V359" i="2"/>
  <c r="S359" i="2"/>
  <c r="M359" i="2"/>
  <c r="Z358" i="2"/>
  <c r="X358" i="2"/>
  <c r="W358" i="2"/>
  <c r="V358" i="2"/>
  <c r="T358" i="2"/>
  <c r="R358" i="2"/>
  <c r="P358" i="2"/>
  <c r="S358" i="2" s="1"/>
  <c r="N358" i="2"/>
  <c r="V357" i="2"/>
  <c r="S357" i="2"/>
  <c r="Y357" i="2" s="1"/>
  <c r="M357" i="2"/>
  <c r="J355" i="2" s="1"/>
  <c r="Y356" i="2"/>
  <c r="V356" i="2"/>
  <c r="S356" i="2"/>
  <c r="M356" i="2"/>
  <c r="Z355" i="2"/>
  <c r="X355" i="2"/>
  <c r="W355" i="2"/>
  <c r="V355" i="2"/>
  <c r="T355" i="2"/>
  <c r="R355" i="2"/>
  <c r="P355" i="2"/>
  <c r="S355" i="2" s="1"/>
  <c r="N355" i="2"/>
  <c r="N354" i="2" s="1"/>
  <c r="N353" i="2" s="1"/>
  <c r="Z354" i="2"/>
  <c r="Z353" i="2" s="1"/>
  <c r="T354" i="2"/>
  <c r="T353" i="2"/>
  <c r="V352" i="2"/>
  <c r="S352" i="2"/>
  <c r="Y352" i="2" s="1"/>
  <c r="M352" i="2"/>
  <c r="Y351" i="2"/>
  <c r="V351" i="2"/>
  <c r="S351" i="2"/>
  <c r="M351" i="2"/>
  <c r="V350" i="2"/>
  <c r="S350" i="2"/>
  <c r="Y350" i="2" s="1"/>
  <c r="M350" i="2"/>
  <c r="Y349" i="2"/>
  <c r="V349" i="2"/>
  <c r="S349" i="2"/>
  <c r="M349" i="2"/>
  <c r="V348" i="2"/>
  <c r="S348" i="2"/>
  <c r="Y348" i="2" s="1"/>
  <c r="M348" i="2"/>
  <c r="J346" i="2" s="1"/>
  <c r="Y347" i="2"/>
  <c r="V347" i="2"/>
  <c r="S347" i="2"/>
  <c r="M347" i="2"/>
  <c r="Z346" i="2"/>
  <c r="W346" i="2"/>
  <c r="T346" i="2"/>
  <c r="R346" i="2"/>
  <c r="X346" i="2" s="1"/>
  <c r="P346" i="2"/>
  <c r="V346" i="2" s="1"/>
  <c r="N346" i="2"/>
  <c r="V345" i="2"/>
  <c r="S345" i="2"/>
  <c r="Y345" i="2" s="1"/>
  <c r="M345" i="2"/>
  <c r="V344" i="2"/>
  <c r="S344" i="2"/>
  <c r="Y344" i="2" s="1"/>
  <c r="M344" i="2"/>
  <c r="V343" i="2"/>
  <c r="S343" i="2"/>
  <c r="Y343" i="2" s="1"/>
  <c r="M343" i="2"/>
  <c r="V342" i="2"/>
  <c r="S342" i="2"/>
  <c r="Y342" i="2" s="1"/>
  <c r="M342" i="2"/>
  <c r="V341" i="2"/>
  <c r="S341" i="2"/>
  <c r="Y341" i="2" s="1"/>
  <c r="M341" i="2"/>
  <c r="J339" i="2" s="1"/>
  <c r="V340" i="2"/>
  <c r="S340" i="2"/>
  <c r="Y340" i="2" s="1"/>
  <c r="M340" i="2"/>
  <c r="Z339" i="2"/>
  <c r="W339" i="2"/>
  <c r="T339" i="2"/>
  <c r="R339" i="2"/>
  <c r="X339" i="2" s="1"/>
  <c r="P339" i="2"/>
  <c r="V339" i="2" s="1"/>
  <c r="N339" i="2"/>
  <c r="V338" i="2"/>
  <c r="S338" i="2"/>
  <c r="Y338" i="2" s="1"/>
  <c r="M338" i="2"/>
  <c r="V337" i="2"/>
  <c r="S337" i="2"/>
  <c r="Y337" i="2" s="1"/>
  <c r="M337" i="2"/>
  <c r="V336" i="2"/>
  <c r="S336" i="2"/>
  <c r="P335" i="2" s="1"/>
  <c r="M336" i="2"/>
  <c r="W335" i="2"/>
  <c r="T335" i="2"/>
  <c r="Z335" i="2" s="1"/>
  <c r="N335" i="2"/>
  <c r="M335" i="2"/>
  <c r="O335" i="2" s="1"/>
  <c r="J335" i="2"/>
  <c r="L335" i="2" s="1"/>
  <c r="V334" i="2"/>
  <c r="S334" i="2"/>
  <c r="Y334" i="2" s="1"/>
  <c r="M334" i="2"/>
  <c r="V333" i="2"/>
  <c r="S333" i="2"/>
  <c r="P332" i="2" s="1"/>
  <c r="M333" i="2"/>
  <c r="W332" i="2"/>
  <c r="T332" i="2"/>
  <c r="Z332" i="2" s="1"/>
  <c r="N332" i="2"/>
  <c r="M332" i="2"/>
  <c r="O332" i="2" s="1"/>
  <c r="J332" i="2"/>
  <c r="L332" i="2" s="1"/>
  <c r="V331" i="2"/>
  <c r="S331" i="2"/>
  <c r="Y331" i="2" s="1"/>
  <c r="M331" i="2"/>
  <c r="V330" i="2"/>
  <c r="S330" i="2"/>
  <c r="P329" i="2" s="1"/>
  <c r="M330" i="2"/>
  <c r="W329" i="2"/>
  <c r="T329" i="2"/>
  <c r="Z329" i="2" s="1"/>
  <c r="N329" i="2"/>
  <c r="M329" i="2"/>
  <c r="O329" i="2" s="1"/>
  <c r="J329" i="2"/>
  <c r="L329" i="2" s="1"/>
  <c r="V328" i="2"/>
  <c r="S328" i="2"/>
  <c r="Y328" i="2" s="1"/>
  <c r="M328" i="2"/>
  <c r="V327" i="2"/>
  <c r="S327" i="2"/>
  <c r="P326" i="2" s="1"/>
  <c r="M327" i="2"/>
  <c r="W326" i="2"/>
  <c r="T326" i="2"/>
  <c r="Z326" i="2" s="1"/>
  <c r="N326" i="2"/>
  <c r="M326" i="2"/>
  <c r="O326" i="2" s="1"/>
  <c r="J326" i="2"/>
  <c r="L326" i="2" s="1"/>
  <c r="V325" i="2"/>
  <c r="S325" i="2"/>
  <c r="Y325" i="2" s="1"/>
  <c r="M325" i="2"/>
  <c r="V324" i="2"/>
  <c r="S324" i="2"/>
  <c r="P323" i="2" s="1"/>
  <c r="M324" i="2"/>
  <c r="W323" i="2"/>
  <c r="T323" i="2"/>
  <c r="Z323" i="2" s="1"/>
  <c r="N323" i="2"/>
  <c r="M323" i="2"/>
  <c r="O323" i="2" s="1"/>
  <c r="J323" i="2"/>
  <c r="L323" i="2" s="1"/>
  <c r="V322" i="2"/>
  <c r="S322" i="2"/>
  <c r="Y322" i="2" s="1"/>
  <c r="M322" i="2"/>
  <c r="V321" i="2"/>
  <c r="S321" i="2"/>
  <c r="P320" i="2" s="1"/>
  <c r="M321" i="2"/>
  <c r="W320" i="2"/>
  <c r="T320" i="2"/>
  <c r="Z320" i="2" s="1"/>
  <c r="N320" i="2"/>
  <c r="M320" i="2"/>
  <c r="O320" i="2" s="1"/>
  <c r="J320" i="2"/>
  <c r="L320" i="2" s="1"/>
  <c r="V319" i="2"/>
  <c r="S319" i="2"/>
  <c r="Y319" i="2" s="1"/>
  <c r="M319" i="2"/>
  <c r="V318" i="2"/>
  <c r="S318" i="2"/>
  <c r="P317" i="2" s="1"/>
  <c r="M318" i="2"/>
  <c r="W317" i="2"/>
  <c r="T317" i="2"/>
  <c r="Z317" i="2" s="1"/>
  <c r="N317" i="2"/>
  <c r="M317" i="2"/>
  <c r="O317" i="2" s="1"/>
  <c r="J317" i="2"/>
  <c r="L317" i="2" s="1"/>
  <c r="V316" i="2"/>
  <c r="S316" i="2"/>
  <c r="Y316" i="2" s="1"/>
  <c r="M316" i="2"/>
  <c r="V315" i="2"/>
  <c r="S315" i="2"/>
  <c r="Y315" i="2" s="1"/>
  <c r="M315" i="2"/>
  <c r="J313" i="2" s="1"/>
  <c r="V314" i="2"/>
  <c r="S314" i="2"/>
  <c r="Y314" i="2" s="1"/>
  <c r="M314" i="2"/>
  <c r="Z313" i="2"/>
  <c r="W313" i="2"/>
  <c r="T313" i="2"/>
  <c r="R313" i="2"/>
  <c r="X313" i="2" s="1"/>
  <c r="P313" i="2"/>
  <c r="V313" i="2" s="1"/>
  <c r="N313" i="2"/>
  <c r="V312" i="2"/>
  <c r="S312" i="2"/>
  <c r="Y312" i="2" s="1"/>
  <c r="M312" i="2"/>
  <c r="J310" i="2" s="1"/>
  <c r="V311" i="2"/>
  <c r="S311" i="2"/>
  <c r="Y311" i="2" s="1"/>
  <c r="M311" i="2"/>
  <c r="Z310" i="2"/>
  <c r="W310" i="2"/>
  <c r="T310" i="2"/>
  <c r="R310" i="2"/>
  <c r="X310" i="2" s="1"/>
  <c r="P310" i="2"/>
  <c r="V310" i="2" s="1"/>
  <c r="N310" i="2"/>
  <c r="V309" i="2"/>
  <c r="S309" i="2"/>
  <c r="Y309" i="2" s="1"/>
  <c r="M309" i="2"/>
  <c r="J307" i="2" s="1"/>
  <c r="V308" i="2"/>
  <c r="S308" i="2"/>
  <c r="Y308" i="2" s="1"/>
  <c r="M308" i="2"/>
  <c r="Z307" i="2"/>
  <c r="W307" i="2"/>
  <c r="T307" i="2"/>
  <c r="R307" i="2"/>
  <c r="X307" i="2" s="1"/>
  <c r="P307" i="2"/>
  <c r="V307" i="2" s="1"/>
  <c r="N307" i="2"/>
  <c r="V306" i="2"/>
  <c r="S306" i="2"/>
  <c r="Y306" i="2" s="1"/>
  <c r="M306" i="2"/>
  <c r="V305" i="2"/>
  <c r="S305" i="2"/>
  <c r="Y305" i="2" s="1"/>
  <c r="M305" i="2"/>
  <c r="V304" i="2"/>
  <c r="S304" i="2"/>
  <c r="P303" i="2" s="1"/>
  <c r="M304" i="2"/>
  <c r="W303" i="2"/>
  <c r="T303" i="2"/>
  <c r="Z303" i="2" s="1"/>
  <c r="N303" i="2"/>
  <c r="M303" i="2"/>
  <c r="O303" i="2" s="1"/>
  <c r="J303" i="2"/>
  <c r="L303" i="2" s="1"/>
  <c r="V302" i="2"/>
  <c r="S302" i="2"/>
  <c r="Y302" i="2" s="1"/>
  <c r="M302" i="2"/>
  <c r="V301" i="2"/>
  <c r="S301" i="2"/>
  <c r="P300" i="2" s="1"/>
  <c r="M301" i="2"/>
  <c r="W300" i="2"/>
  <c r="T300" i="2"/>
  <c r="Z300" i="2" s="1"/>
  <c r="N300" i="2"/>
  <c r="M300" i="2"/>
  <c r="O300" i="2" s="1"/>
  <c r="J300" i="2"/>
  <c r="L300" i="2" s="1"/>
  <c r="V299" i="2"/>
  <c r="S299" i="2"/>
  <c r="Y299" i="2" s="1"/>
  <c r="M299" i="2"/>
  <c r="V298" i="2"/>
  <c r="S298" i="2"/>
  <c r="Y298" i="2" s="1"/>
  <c r="M298" i="2"/>
  <c r="J296" i="2" s="1"/>
  <c r="V297" i="2"/>
  <c r="S297" i="2"/>
  <c r="Y297" i="2" s="1"/>
  <c r="M297" i="2"/>
  <c r="Z296" i="2"/>
  <c r="W296" i="2"/>
  <c r="T296" i="2"/>
  <c r="T295" i="2" s="1"/>
  <c r="R296" i="2"/>
  <c r="X296" i="2" s="1"/>
  <c r="P296" i="2"/>
  <c r="V296" i="2" s="1"/>
  <c r="N296" i="2"/>
  <c r="N295" i="2"/>
  <c r="Y294" i="2"/>
  <c r="V294" i="2"/>
  <c r="S294" i="2"/>
  <c r="M294" i="2"/>
  <c r="V293" i="2"/>
  <c r="S293" i="2"/>
  <c r="Y293" i="2" s="1"/>
  <c r="M293" i="2"/>
  <c r="Z292" i="2"/>
  <c r="W292" i="2"/>
  <c r="T292" i="2"/>
  <c r="S292" i="2"/>
  <c r="U292" i="2" s="1"/>
  <c r="P292" i="2"/>
  <c r="V292" i="2" s="1"/>
  <c r="N292" i="2"/>
  <c r="M292" i="2"/>
  <c r="O292" i="2" s="1"/>
  <c r="L292" i="2"/>
  <c r="J292" i="2"/>
  <c r="Y291" i="2"/>
  <c r="V291" i="2"/>
  <c r="S291" i="2"/>
  <c r="M291" i="2"/>
  <c r="V290" i="2"/>
  <c r="S290" i="2"/>
  <c r="Y290" i="2" s="1"/>
  <c r="M290" i="2"/>
  <c r="Z289" i="2"/>
  <c r="W289" i="2"/>
  <c r="T289" i="2"/>
  <c r="S289" i="2"/>
  <c r="U289" i="2" s="1"/>
  <c r="P289" i="2"/>
  <c r="V289" i="2" s="1"/>
  <c r="N289" i="2"/>
  <c r="M289" i="2"/>
  <c r="O289" i="2" s="1"/>
  <c r="L289" i="2"/>
  <c r="J289" i="2"/>
  <c r="Y288" i="2"/>
  <c r="V288" i="2"/>
  <c r="S288" i="2"/>
  <c r="M288" i="2"/>
  <c r="V287" i="2"/>
  <c r="S287" i="2"/>
  <c r="Y287" i="2" s="1"/>
  <c r="M287" i="2"/>
  <c r="Z286" i="2"/>
  <c r="W286" i="2"/>
  <c r="T286" i="2"/>
  <c r="S286" i="2"/>
  <c r="U286" i="2" s="1"/>
  <c r="P286" i="2"/>
  <c r="V286" i="2" s="1"/>
  <c r="N286" i="2"/>
  <c r="L286" i="2"/>
  <c r="J286" i="2"/>
  <c r="M286" i="2" s="1"/>
  <c r="O286" i="2" s="1"/>
  <c r="Y285" i="2"/>
  <c r="V285" i="2"/>
  <c r="S285" i="2"/>
  <c r="M285" i="2"/>
  <c r="V284" i="2"/>
  <c r="S284" i="2"/>
  <c r="Y284" i="2" s="1"/>
  <c r="M284" i="2"/>
  <c r="Z283" i="2"/>
  <c r="W283" i="2"/>
  <c r="T283" i="2"/>
  <c r="S283" i="2"/>
  <c r="U283" i="2" s="1"/>
  <c r="P283" i="2"/>
  <c r="V283" i="2" s="1"/>
  <c r="N283" i="2"/>
  <c r="L283" i="2"/>
  <c r="J283" i="2"/>
  <c r="M283" i="2" s="1"/>
  <c r="O283" i="2" s="1"/>
  <c r="Y282" i="2"/>
  <c r="V282" i="2"/>
  <c r="S282" i="2"/>
  <c r="M282" i="2"/>
  <c r="V281" i="2"/>
  <c r="S281" i="2"/>
  <c r="Y281" i="2" s="1"/>
  <c r="M281" i="2"/>
  <c r="Z280" i="2"/>
  <c r="W280" i="2"/>
  <c r="T280" i="2"/>
  <c r="T279" i="2" s="1"/>
  <c r="S280" i="2"/>
  <c r="S279" i="2" s="1"/>
  <c r="P280" i="2"/>
  <c r="V280" i="2" s="1"/>
  <c r="N280" i="2"/>
  <c r="L280" i="2"/>
  <c r="J280" i="2"/>
  <c r="M280" i="2" s="1"/>
  <c r="Z279" i="2"/>
  <c r="N279" i="2"/>
  <c r="Y278" i="2"/>
  <c r="V278" i="2"/>
  <c r="S278" i="2"/>
  <c r="M278" i="2"/>
  <c r="V277" i="2"/>
  <c r="S277" i="2"/>
  <c r="Y277" i="2" s="1"/>
  <c r="M277" i="2"/>
  <c r="Y276" i="2"/>
  <c r="V276" i="2"/>
  <c r="S276" i="2"/>
  <c r="M276" i="2"/>
  <c r="V275" i="2"/>
  <c r="S275" i="2"/>
  <c r="Y275" i="2" s="1"/>
  <c r="M275" i="2"/>
  <c r="W274" i="2"/>
  <c r="T274" i="2"/>
  <c r="Z274" i="2" s="1"/>
  <c r="N274" i="2"/>
  <c r="J274" i="2"/>
  <c r="M274" i="2" s="1"/>
  <c r="O274" i="2" s="1"/>
  <c r="Y273" i="2"/>
  <c r="V273" i="2"/>
  <c r="S273" i="2"/>
  <c r="M273" i="2"/>
  <c r="V272" i="2"/>
  <c r="S272" i="2"/>
  <c r="Y272" i="2" s="1"/>
  <c r="M272" i="2"/>
  <c r="Y271" i="2"/>
  <c r="V271" i="2"/>
  <c r="S271" i="2"/>
  <c r="M271" i="2"/>
  <c r="V270" i="2"/>
  <c r="S270" i="2"/>
  <c r="Y270" i="2" s="1"/>
  <c r="M270" i="2"/>
  <c r="W269" i="2"/>
  <c r="T269" i="2"/>
  <c r="Z269" i="2" s="1"/>
  <c r="N269" i="2"/>
  <c r="J269" i="2"/>
  <c r="M269" i="2" s="1"/>
  <c r="Y268" i="2"/>
  <c r="V268" i="2"/>
  <c r="S268" i="2"/>
  <c r="M268" i="2"/>
  <c r="Y267" i="2"/>
  <c r="V267" i="2"/>
  <c r="S267" i="2"/>
  <c r="M267" i="2"/>
  <c r="Y266" i="2"/>
  <c r="V266" i="2"/>
  <c r="S266" i="2"/>
  <c r="M266" i="2"/>
  <c r="Y265" i="2"/>
  <c r="V265" i="2"/>
  <c r="S265" i="2"/>
  <c r="M265" i="2"/>
  <c r="W264" i="2"/>
  <c r="T264" i="2"/>
  <c r="Z264" i="2" s="1"/>
  <c r="P264" i="2"/>
  <c r="N264" i="2"/>
  <c r="J264" i="2"/>
  <c r="M264" i="2" s="1"/>
  <c r="V263" i="2"/>
  <c r="S263" i="2"/>
  <c r="M263" i="2"/>
  <c r="Y262" i="2"/>
  <c r="V262" i="2"/>
  <c r="S262" i="2"/>
  <c r="M262" i="2"/>
  <c r="W261" i="2"/>
  <c r="T261" i="2"/>
  <c r="Z261" i="2" s="1"/>
  <c r="N261" i="2"/>
  <c r="J261" i="2"/>
  <c r="M261" i="2" s="1"/>
  <c r="O261" i="2" s="1"/>
  <c r="V260" i="2"/>
  <c r="S260" i="2"/>
  <c r="Y260" i="2" s="1"/>
  <c r="M260" i="2"/>
  <c r="Y259" i="2"/>
  <c r="V259" i="2"/>
  <c r="S259" i="2"/>
  <c r="M259" i="2"/>
  <c r="W258" i="2"/>
  <c r="T258" i="2"/>
  <c r="Z258" i="2" s="1"/>
  <c r="N258" i="2"/>
  <c r="J258" i="2"/>
  <c r="M258" i="2" s="1"/>
  <c r="O258" i="2" s="1"/>
  <c r="V257" i="2"/>
  <c r="S257" i="2"/>
  <c r="M257" i="2"/>
  <c r="Y256" i="2"/>
  <c r="V256" i="2"/>
  <c r="S256" i="2"/>
  <c r="M256" i="2"/>
  <c r="W255" i="2"/>
  <c r="T255" i="2"/>
  <c r="Z255" i="2" s="1"/>
  <c r="N255" i="2"/>
  <c r="J255" i="2"/>
  <c r="M255" i="2" s="1"/>
  <c r="O255" i="2" s="1"/>
  <c r="V254" i="2"/>
  <c r="S254" i="2"/>
  <c r="Y254" i="2" s="1"/>
  <c r="M254" i="2"/>
  <c r="Y253" i="2"/>
  <c r="V253" i="2"/>
  <c r="S253" i="2"/>
  <c r="M253" i="2"/>
  <c r="J251" i="2" s="1"/>
  <c r="M251" i="2" s="1"/>
  <c r="O251" i="2" s="1"/>
  <c r="V252" i="2"/>
  <c r="S252" i="2"/>
  <c r="M252" i="2"/>
  <c r="Z251" i="2"/>
  <c r="W251" i="2"/>
  <c r="T251" i="2"/>
  <c r="N251" i="2"/>
  <c r="Y250" i="2"/>
  <c r="V250" i="2"/>
  <c r="S250" i="2"/>
  <c r="M250" i="2"/>
  <c r="J248" i="2" s="1"/>
  <c r="V249" i="2"/>
  <c r="S249" i="2"/>
  <c r="M249" i="2"/>
  <c r="Z248" i="2"/>
  <c r="W248" i="2"/>
  <c r="T248" i="2"/>
  <c r="N248" i="2"/>
  <c r="Y247" i="2"/>
  <c r="V247" i="2"/>
  <c r="S247" i="2"/>
  <c r="M247" i="2"/>
  <c r="V246" i="2"/>
  <c r="S246" i="2"/>
  <c r="Y246" i="2" s="1"/>
  <c r="M246" i="2"/>
  <c r="J244" i="2" s="1"/>
  <c r="M244" i="2" s="1"/>
  <c r="Y245" i="2"/>
  <c r="V245" i="2"/>
  <c r="S245" i="2"/>
  <c r="M245" i="2"/>
  <c r="W244" i="2"/>
  <c r="T244" i="2"/>
  <c r="Z244" i="2" s="1"/>
  <c r="P244" i="2"/>
  <c r="N244" i="2"/>
  <c r="N130" i="2" s="1"/>
  <c r="N129" i="2" s="1"/>
  <c r="V243" i="2"/>
  <c r="S243" i="2"/>
  <c r="M243" i="2"/>
  <c r="J241" i="2" s="1"/>
  <c r="M241" i="2" s="1"/>
  <c r="Y242" i="2"/>
  <c r="V242" i="2"/>
  <c r="S242" i="2"/>
  <c r="M242" i="2"/>
  <c r="W241" i="2"/>
  <c r="T241" i="2"/>
  <c r="Z241" i="2" s="1"/>
  <c r="N241" i="2"/>
  <c r="V240" i="2"/>
  <c r="S240" i="2"/>
  <c r="M240" i="2"/>
  <c r="Y239" i="2"/>
  <c r="V239" i="2"/>
  <c r="S239" i="2"/>
  <c r="M239" i="2"/>
  <c r="W238" i="2"/>
  <c r="T238" i="2"/>
  <c r="Z238" i="2" s="1"/>
  <c r="N238" i="2"/>
  <c r="J238" i="2"/>
  <c r="V237" i="2"/>
  <c r="S237" i="2"/>
  <c r="Y237" i="2" s="1"/>
  <c r="M237" i="2"/>
  <c r="V236" i="2"/>
  <c r="S236" i="2"/>
  <c r="Y236" i="2" s="1"/>
  <c r="M236" i="2"/>
  <c r="V235" i="2"/>
  <c r="S235" i="2"/>
  <c r="M235" i="2"/>
  <c r="W234" i="2"/>
  <c r="T234" i="2"/>
  <c r="Z234" i="2" s="1"/>
  <c r="N234" i="2"/>
  <c r="J234" i="2"/>
  <c r="V233" i="2"/>
  <c r="S233" i="2"/>
  <c r="Y233" i="2" s="1"/>
  <c r="M233" i="2"/>
  <c r="V232" i="2"/>
  <c r="S232" i="2"/>
  <c r="Y232" i="2" s="1"/>
  <c r="M232" i="2"/>
  <c r="W231" i="2"/>
  <c r="T231" i="2"/>
  <c r="Z231" i="2" s="1"/>
  <c r="O231" i="2"/>
  <c r="N231" i="2"/>
  <c r="L231" i="2"/>
  <c r="J231" i="2"/>
  <c r="M231" i="2" s="1"/>
  <c r="Y230" i="2"/>
  <c r="V230" i="2"/>
  <c r="S230" i="2"/>
  <c r="M230" i="2"/>
  <c r="V229" i="2"/>
  <c r="S229" i="2"/>
  <c r="Y229" i="2" s="1"/>
  <c r="M229" i="2"/>
  <c r="J228" i="2" s="1"/>
  <c r="W228" i="2"/>
  <c r="T228" i="2"/>
  <c r="Z228" i="2" s="1"/>
  <c r="P228" i="2"/>
  <c r="N228" i="2"/>
  <c r="Y227" i="2"/>
  <c r="V227" i="2"/>
  <c r="S227" i="2"/>
  <c r="M227" i="2"/>
  <c r="V226" i="2"/>
  <c r="S226" i="2"/>
  <c r="Y226" i="2" s="1"/>
  <c r="M226" i="2"/>
  <c r="J225" i="2" s="1"/>
  <c r="W225" i="2"/>
  <c r="T225" i="2"/>
  <c r="Z225" i="2" s="1"/>
  <c r="P225" i="2"/>
  <c r="N225" i="2"/>
  <c r="Y224" i="2"/>
  <c r="V224" i="2"/>
  <c r="S224" i="2"/>
  <c r="M224" i="2"/>
  <c r="V223" i="2"/>
  <c r="S223" i="2"/>
  <c r="Y223" i="2" s="1"/>
  <c r="M223" i="2"/>
  <c r="V222" i="2"/>
  <c r="S222" i="2"/>
  <c r="M222" i="2"/>
  <c r="J221" i="2" s="1"/>
  <c r="W221" i="2"/>
  <c r="T221" i="2"/>
  <c r="Z221" i="2" s="1"/>
  <c r="N221" i="2"/>
  <c r="V220" i="2"/>
  <c r="S220" i="2"/>
  <c r="Y220" i="2" s="1"/>
  <c r="M220" i="2"/>
  <c r="Y219" i="2"/>
  <c r="V219" i="2"/>
  <c r="S219" i="2"/>
  <c r="M219" i="2"/>
  <c r="W218" i="2"/>
  <c r="T218" i="2"/>
  <c r="Z218" i="2" s="1"/>
  <c r="P218" i="2"/>
  <c r="N218" i="2"/>
  <c r="J218" i="2"/>
  <c r="V217" i="2"/>
  <c r="S217" i="2"/>
  <c r="M217" i="2"/>
  <c r="Y216" i="2"/>
  <c r="V216" i="2"/>
  <c r="S216" i="2"/>
  <c r="M216" i="2"/>
  <c r="W215" i="2"/>
  <c r="T215" i="2"/>
  <c r="Z215" i="2" s="1"/>
  <c r="N215" i="2"/>
  <c r="J215" i="2"/>
  <c r="M215" i="2" s="1"/>
  <c r="O215" i="2" s="1"/>
  <c r="Y214" i="2"/>
  <c r="V214" i="2"/>
  <c r="S214" i="2"/>
  <c r="M214" i="2"/>
  <c r="V213" i="2"/>
  <c r="S213" i="2"/>
  <c r="Y213" i="2" s="1"/>
  <c r="M213" i="2"/>
  <c r="J211" i="2" s="1"/>
  <c r="Y212" i="2"/>
  <c r="V212" i="2"/>
  <c r="S212" i="2"/>
  <c r="M212" i="2"/>
  <c r="W211" i="2"/>
  <c r="T211" i="2"/>
  <c r="Z211" i="2" s="1"/>
  <c r="N211" i="2"/>
  <c r="V210" i="2"/>
  <c r="S210" i="2"/>
  <c r="Y210" i="2" s="1"/>
  <c r="M210" i="2"/>
  <c r="Y209" i="2"/>
  <c r="V209" i="2"/>
  <c r="S209" i="2"/>
  <c r="P208" i="2" s="1"/>
  <c r="M209" i="2"/>
  <c r="W208" i="2"/>
  <c r="T208" i="2"/>
  <c r="Z208" i="2" s="1"/>
  <c r="O208" i="2"/>
  <c r="N208" i="2"/>
  <c r="L208" i="2"/>
  <c r="J208" i="2"/>
  <c r="M208" i="2" s="1"/>
  <c r="Y207" i="2"/>
  <c r="V207" i="2"/>
  <c r="S207" i="2"/>
  <c r="M207" i="2"/>
  <c r="Y206" i="2"/>
  <c r="V206" i="2"/>
  <c r="S206" i="2"/>
  <c r="M206" i="2"/>
  <c r="J204" i="2" s="1"/>
  <c r="Y205" i="2"/>
  <c r="V205" i="2"/>
  <c r="S205" i="2"/>
  <c r="M205" i="2"/>
  <c r="W204" i="2"/>
  <c r="T204" i="2"/>
  <c r="Z204" i="2" s="1"/>
  <c r="N204" i="2"/>
  <c r="Y203" i="2"/>
  <c r="V203" i="2"/>
  <c r="S203" i="2"/>
  <c r="M203" i="2"/>
  <c r="Y202" i="2"/>
  <c r="V202" i="2"/>
  <c r="S202" i="2"/>
  <c r="M202" i="2"/>
  <c r="Y201" i="2"/>
  <c r="V201" i="2"/>
  <c r="S201" i="2"/>
  <c r="M201" i="2"/>
  <c r="J199" i="2" s="1"/>
  <c r="Y200" i="2"/>
  <c r="V200" i="2"/>
  <c r="S200" i="2"/>
  <c r="P199" i="2" s="1"/>
  <c r="M200" i="2"/>
  <c r="Z199" i="2"/>
  <c r="W199" i="2"/>
  <c r="T199" i="2"/>
  <c r="N199" i="2"/>
  <c r="Y198" i="2"/>
  <c r="V198" i="2"/>
  <c r="S198" i="2"/>
  <c r="M198" i="2"/>
  <c r="Y197" i="2"/>
  <c r="V197" i="2"/>
  <c r="S197" i="2"/>
  <c r="M197" i="2"/>
  <c r="Y196" i="2"/>
  <c r="V196" i="2"/>
  <c r="S196" i="2"/>
  <c r="M196" i="2"/>
  <c r="J194" i="2" s="1"/>
  <c r="Y195" i="2"/>
  <c r="V195" i="2"/>
  <c r="S195" i="2"/>
  <c r="P194" i="2" s="1"/>
  <c r="M195" i="2"/>
  <c r="Z194" i="2"/>
  <c r="X194" i="2"/>
  <c r="W194" i="2"/>
  <c r="T194" i="2"/>
  <c r="R194" i="2"/>
  <c r="N194" i="2"/>
  <c r="Y193" i="2"/>
  <c r="V193" i="2"/>
  <c r="S193" i="2"/>
  <c r="M193" i="2"/>
  <c r="Y192" i="2"/>
  <c r="V192" i="2"/>
  <c r="S192" i="2"/>
  <c r="M192" i="2"/>
  <c r="Y191" i="2"/>
  <c r="V191" i="2"/>
  <c r="S191" i="2"/>
  <c r="M191" i="2"/>
  <c r="J189" i="2" s="1"/>
  <c r="Y190" i="2"/>
  <c r="V190" i="2"/>
  <c r="S190" i="2"/>
  <c r="P189" i="2" s="1"/>
  <c r="R189" i="2" s="1"/>
  <c r="X189" i="2" s="1"/>
  <c r="M190" i="2"/>
  <c r="Z189" i="2"/>
  <c r="W189" i="2"/>
  <c r="T189" i="2"/>
  <c r="N189" i="2"/>
  <c r="Y188" i="2"/>
  <c r="V188" i="2"/>
  <c r="S188" i="2"/>
  <c r="M188" i="2"/>
  <c r="Y187" i="2"/>
  <c r="V187" i="2"/>
  <c r="S187" i="2"/>
  <c r="M187" i="2"/>
  <c r="Y186" i="2"/>
  <c r="V186" i="2"/>
  <c r="S186" i="2"/>
  <c r="M186" i="2"/>
  <c r="W185" i="2"/>
  <c r="V185" i="2"/>
  <c r="T185" i="2"/>
  <c r="Z185" i="2" s="1"/>
  <c r="S185" i="2"/>
  <c r="P185" i="2"/>
  <c r="R185" i="2" s="1"/>
  <c r="X185" i="2" s="1"/>
  <c r="N185" i="2"/>
  <c r="J185" i="2"/>
  <c r="L185" i="2" s="1"/>
  <c r="Y184" i="2"/>
  <c r="V184" i="2"/>
  <c r="S184" i="2"/>
  <c r="M184" i="2"/>
  <c r="Y183" i="2"/>
  <c r="V183" i="2"/>
  <c r="S183" i="2"/>
  <c r="M183" i="2"/>
  <c r="Y182" i="2"/>
  <c r="V182" i="2"/>
  <c r="S182" i="2"/>
  <c r="M182" i="2"/>
  <c r="Y181" i="2"/>
  <c r="V181" i="2"/>
  <c r="S181" i="2"/>
  <c r="M181" i="2"/>
  <c r="J180" i="2" s="1"/>
  <c r="L180" i="2" s="1"/>
  <c r="W180" i="2"/>
  <c r="V180" i="2"/>
  <c r="T180" i="2"/>
  <c r="Z180" i="2" s="1"/>
  <c r="S180" i="2"/>
  <c r="P180" i="2"/>
  <c r="R180" i="2" s="1"/>
  <c r="X180" i="2" s="1"/>
  <c r="N180" i="2"/>
  <c r="Y179" i="2"/>
  <c r="V179" i="2"/>
  <c r="S179" i="2"/>
  <c r="M179" i="2"/>
  <c r="Y178" i="2"/>
  <c r="V178" i="2"/>
  <c r="S178" i="2"/>
  <c r="M178" i="2"/>
  <c r="Y177" i="2"/>
  <c r="V177" i="2"/>
  <c r="S177" i="2"/>
  <c r="M177" i="2"/>
  <c r="Y176" i="2"/>
  <c r="V176" i="2"/>
  <c r="S176" i="2"/>
  <c r="M176" i="2"/>
  <c r="W175" i="2"/>
  <c r="V175" i="2"/>
  <c r="T175" i="2"/>
  <c r="Z175" i="2" s="1"/>
  <c r="S175" i="2"/>
  <c r="P175" i="2"/>
  <c r="R175" i="2" s="1"/>
  <c r="X175" i="2" s="1"/>
  <c r="N175" i="2"/>
  <c r="J175" i="2"/>
  <c r="L175" i="2" s="1"/>
  <c r="Y174" i="2"/>
  <c r="V174" i="2"/>
  <c r="S174" i="2"/>
  <c r="M174" i="2"/>
  <c r="Y173" i="2"/>
  <c r="V173" i="2"/>
  <c r="S173" i="2"/>
  <c r="M173" i="2"/>
  <c r="J171" i="2" s="1"/>
  <c r="Y172" i="2"/>
  <c r="V172" i="2"/>
  <c r="S172" i="2"/>
  <c r="P171" i="2" s="1"/>
  <c r="M172" i="2"/>
  <c r="Z171" i="2"/>
  <c r="W171" i="2"/>
  <c r="T171" i="2"/>
  <c r="N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W167" i="2"/>
  <c r="V167" i="2"/>
  <c r="T167" i="2"/>
  <c r="Z167" i="2" s="1"/>
  <c r="S167" i="2"/>
  <c r="P167" i="2"/>
  <c r="R167" i="2" s="1"/>
  <c r="X167" i="2" s="1"/>
  <c r="N167" i="2"/>
  <c r="J167" i="2"/>
  <c r="L167" i="2" s="1"/>
  <c r="Y166" i="2"/>
  <c r="V166" i="2"/>
  <c r="S166" i="2"/>
  <c r="M166" i="2"/>
  <c r="Y165" i="2"/>
  <c r="V165" i="2"/>
  <c r="S165" i="2"/>
  <c r="M165" i="2"/>
  <c r="J163" i="2" s="1"/>
  <c r="Y164" i="2"/>
  <c r="V164" i="2"/>
  <c r="S164" i="2"/>
  <c r="P163" i="2" s="1"/>
  <c r="M164" i="2"/>
  <c r="Z163" i="2"/>
  <c r="W163" i="2"/>
  <c r="T163" i="2"/>
  <c r="N163" i="2"/>
  <c r="Y162" i="2"/>
  <c r="V162" i="2"/>
  <c r="S162" i="2"/>
  <c r="M162" i="2"/>
  <c r="Y161" i="2"/>
  <c r="V161" i="2"/>
  <c r="S161" i="2"/>
  <c r="M161" i="2"/>
  <c r="Y160" i="2"/>
  <c r="V160" i="2"/>
  <c r="S160" i="2"/>
  <c r="M160" i="2"/>
  <c r="W159" i="2"/>
  <c r="V159" i="2"/>
  <c r="T159" i="2"/>
  <c r="Z159" i="2" s="1"/>
  <c r="S159" i="2"/>
  <c r="P159" i="2"/>
  <c r="R159" i="2" s="1"/>
  <c r="X159" i="2" s="1"/>
  <c r="N159" i="2"/>
  <c r="J159" i="2"/>
  <c r="L159" i="2" s="1"/>
  <c r="Y158" i="2"/>
  <c r="V158" i="2"/>
  <c r="S158" i="2"/>
  <c r="M158" i="2"/>
  <c r="Y157" i="2"/>
  <c r="V157" i="2"/>
  <c r="S157" i="2"/>
  <c r="M157" i="2"/>
  <c r="Y156" i="2"/>
  <c r="V156" i="2"/>
  <c r="S156" i="2"/>
  <c r="M156" i="2"/>
  <c r="V155" i="2"/>
  <c r="S155" i="2"/>
  <c r="Y155" i="2" s="1"/>
  <c r="M155" i="2"/>
  <c r="W154" i="2"/>
  <c r="V154" i="2"/>
  <c r="T154" i="2"/>
  <c r="Z154" i="2" s="1"/>
  <c r="S154" i="2"/>
  <c r="P154" i="2"/>
  <c r="R154" i="2" s="1"/>
  <c r="X154" i="2" s="1"/>
  <c r="N154" i="2"/>
  <c r="J154" i="2"/>
  <c r="L154" i="2" s="1"/>
  <c r="Y153" i="2"/>
  <c r="V153" i="2"/>
  <c r="S153" i="2"/>
  <c r="M153" i="2"/>
  <c r="Y152" i="2"/>
  <c r="V152" i="2"/>
  <c r="S152" i="2"/>
  <c r="M152" i="2"/>
  <c r="Y151" i="2"/>
  <c r="V151" i="2"/>
  <c r="S151" i="2"/>
  <c r="M151" i="2"/>
  <c r="V150" i="2"/>
  <c r="S150" i="2"/>
  <c r="Y150" i="2" s="1"/>
  <c r="M150" i="2"/>
  <c r="W149" i="2"/>
  <c r="V149" i="2"/>
  <c r="T149" i="2"/>
  <c r="Z149" i="2" s="1"/>
  <c r="S149" i="2"/>
  <c r="P149" i="2"/>
  <c r="R149" i="2" s="1"/>
  <c r="X149" i="2" s="1"/>
  <c r="N149" i="2"/>
  <c r="J149" i="2"/>
  <c r="L149" i="2" s="1"/>
  <c r="Y148" i="2"/>
  <c r="V148" i="2"/>
  <c r="S148" i="2"/>
  <c r="M148" i="2"/>
  <c r="V147" i="2"/>
  <c r="S147" i="2"/>
  <c r="Y147" i="2" s="1"/>
  <c r="M147" i="2"/>
  <c r="J145" i="2" s="1"/>
  <c r="Y146" i="2"/>
  <c r="V146" i="2"/>
  <c r="S146" i="2"/>
  <c r="P145" i="2" s="1"/>
  <c r="M146" i="2"/>
  <c r="Z145" i="2"/>
  <c r="X145" i="2"/>
  <c r="W145" i="2"/>
  <c r="T145" i="2"/>
  <c r="R145" i="2"/>
  <c r="N145" i="2"/>
  <c r="V144" i="2"/>
  <c r="S144" i="2"/>
  <c r="Y144" i="2" s="1"/>
  <c r="M144" i="2"/>
  <c r="J141" i="2" s="1"/>
  <c r="Y143" i="2"/>
  <c r="V143" i="2"/>
  <c r="S143" i="2"/>
  <c r="M143" i="2"/>
  <c r="V142" i="2"/>
  <c r="S142" i="2"/>
  <c r="Y142" i="2" s="1"/>
  <c r="M142" i="2"/>
  <c r="W141" i="2"/>
  <c r="V141" i="2"/>
  <c r="T141" i="2"/>
  <c r="Z141" i="2" s="1"/>
  <c r="S141" i="2"/>
  <c r="P141" i="2"/>
  <c r="R141" i="2" s="1"/>
  <c r="X141" i="2" s="1"/>
  <c r="N141" i="2"/>
  <c r="Y140" i="2"/>
  <c r="V140" i="2"/>
  <c r="S140" i="2"/>
  <c r="M140" i="2"/>
  <c r="V139" i="2"/>
  <c r="S139" i="2"/>
  <c r="Y139" i="2" s="1"/>
  <c r="M139" i="2"/>
  <c r="Y138" i="2"/>
  <c r="V138" i="2"/>
  <c r="S138" i="2"/>
  <c r="M138" i="2"/>
  <c r="V137" i="2"/>
  <c r="S137" i="2"/>
  <c r="Y137" i="2" s="1"/>
  <c r="M137" i="2"/>
  <c r="J136" i="2" s="1"/>
  <c r="W136" i="2"/>
  <c r="V136" i="2"/>
  <c r="T136" i="2"/>
  <c r="Z136" i="2" s="1"/>
  <c r="S136" i="2"/>
  <c r="P136" i="2"/>
  <c r="R136" i="2" s="1"/>
  <c r="X136" i="2" s="1"/>
  <c r="N136" i="2"/>
  <c r="Y135" i="2"/>
  <c r="V135" i="2"/>
  <c r="S135" i="2"/>
  <c r="M135" i="2"/>
  <c r="V134" i="2"/>
  <c r="S134" i="2"/>
  <c r="Y134" i="2" s="1"/>
  <c r="M134" i="2"/>
  <c r="Y133" i="2"/>
  <c r="V133" i="2"/>
  <c r="S133" i="2"/>
  <c r="M133" i="2"/>
  <c r="V132" i="2"/>
  <c r="S132" i="2"/>
  <c r="Y132" i="2" s="1"/>
  <c r="M132" i="2"/>
  <c r="W131" i="2"/>
  <c r="V131" i="2"/>
  <c r="T131" i="2"/>
  <c r="S131" i="2"/>
  <c r="P131" i="2"/>
  <c r="R131" i="2" s="1"/>
  <c r="X131" i="2" s="1"/>
  <c r="N131" i="2"/>
  <c r="J131" i="2"/>
  <c r="L131" i="2" s="1"/>
  <c r="Y128" i="2"/>
  <c r="V128" i="2"/>
  <c r="S128" i="2"/>
  <c r="M128" i="2"/>
  <c r="J126" i="2" s="1"/>
  <c r="V127" i="2"/>
  <c r="S127" i="2"/>
  <c r="M127" i="2"/>
  <c r="Z126" i="2"/>
  <c r="W126" i="2"/>
  <c r="T126" i="2"/>
  <c r="N126" i="2"/>
  <c r="Y125" i="2"/>
  <c r="V125" i="2"/>
  <c r="S125" i="2"/>
  <c r="M125" i="2"/>
  <c r="V124" i="2"/>
  <c r="S124" i="2"/>
  <c r="Y124" i="2" s="1"/>
  <c r="M124" i="2"/>
  <c r="Y123" i="2"/>
  <c r="V123" i="2"/>
  <c r="S123" i="2"/>
  <c r="M123" i="2"/>
  <c r="J121" i="2" s="1"/>
  <c r="V122" i="2"/>
  <c r="S122" i="2"/>
  <c r="M122" i="2"/>
  <c r="Z121" i="2"/>
  <c r="W121" i="2"/>
  <c r="T121" i="2"/>
  <c r="N121" i="2"/>
  <c r="Y120" i="2"/>
  <c r="V120" i="2"/>
  <c r="S120" i="2"/>
  <c r="M120" i="2"/>
  <c r="V119" i="2"/>
  <c r="S119" i="2"/>
  <c r="Y119" i="2" s="1"/>
  <c r="M119" i="2"/>
  <c r="Y118" i="2"/>
  <c r="V118" i="2"/>
  <c r="S118" i="2"/>
  <c r="M118" i="2"/>
  <c r="J116" i="2" s="1"/>
  <c r="V117" i="2"/>
  <c r="S117" i="2"/>
  <c r="M117" i="2"/>
  <c r="Z116" i="2"/>
  <c r="W116" i="2"/>
  <c r="T116" i="2"/>
  <c r="N116" i="2"/>
  <c r="Y115" i="2"/>
  <c r="V115" i="2"/>
  <c r="S115" i="2"/>
  <c r="M115" i="2"/>
  <c r="J113" i="2" s="1"/>
  <c r="M113" i="2" s="1"/>
  <c r="O113" i="2" s="1"/>
  <c r="V114" i="2"/>
  <c r="S114" i="2"/>
  <c r="M114" i="2"/>
  <c r="W113" i="2"/>
  <c r="T113" i="2"/>
  <c r="Z113" i="2" s="1"/>
  <c r="N113" i="2"/>
  <c r="L113" i="2"/>
  <c r="Y112" i="2"/>
  <c r="V112" i="2"/>
  <c r="S112" i="2"/>
  <c r="M112" i="2"/>
  <c r="V111" i="2"/>
  <c r="S111" i="2"/>
  <c r="Y111" i="2" s="1"/>
  <c r="M111" i="2"/>
  <c r="Y110" i="2"/>
  <c r="V110" i="2"/>
  <c r="S110" i="2"/>
  <c r="M110" i="2"/>
  <c r="J109" i="2" s="1"/>
  <c r="Z109" i="2"/>
  <c r="W109" i="2"/>
  <c r="T109" i="2"/>
  <c r="N109" i="2"/>
  <c r="V108" i="2"/>
  <c r="S108" i="2"/>
  <c r="Y108" i="2" s="1"/>
  <c r="M108" i="2"/>
  <c r="Y107" i="2"/>
  <c r="V107" i="2"/>
  <c r="S107" i="2"/>
  <c r="M107" i="2"/>
  <c r="J104" i="2" s="1"/>
  <c r="V106" i="2"/>
  <c r="S106" i="2"/>
  <c r="Y106" i="2" s="1"/>
  <c r="M106" i="2"/>
  <c r="Y105" i="2"/>
  <c r="V105" i="2"/>
  <c r="S105" i="2"/>
  <c r="M105" i="2"/>
  <c r="Z104" i="2"/>
  <c r="W104" i="2"/>
  <c r="T104" i="2"/>
  <c r="N104" i="2"/>
  <c r="V103" i="2"/>
  <c r="S103" i="2"/>
  <c r="Y103" i="2" s="1"/>
  <c r="M103" i="2"/>
  <c r="Y102" i="2"/>
  <c r="V102" i="2"/>
  <c r="S102" i="2"/>
  <c r="M102" i="2"/>
  <c r="J99" i="2" s="1"/>
  <c r="V101" i="2"/>
  <c r="S101" i="2"/>
  <c r="M101" i="2"/>
  <c r="Y100" i="2"/>
  <c r="V100" i="2"/>
  <c r="S100" i="2"/>
  <c r="M100" i="2"/>
  <c r="W99" i="2"/>
  <c r="T99" i="2"/>
  <c r="Z99" i="2" s="1"/>
  <c r="N99" i="2"/>
  <c r="V98" i="2"/>
  <c r="S98" i="2"/>
  <c r="Y98" i="2" s="1"/>
  <c r="M98" i="2"/>
  <c r="Y97" i="2"/>
  <c r="V97" i="2"/>
  <c r="S97" i="2"/>
  <c r="M97" i="2"/>
  <c r="V96" i="2"/>
  <c r="S96" i="2"/>
  <c r="Y96" i="2" s="1"/>
  <c r="M96" i="2"/>
  <c r="Y95" i="2"/>
  <c r="V95" i="2"/>
  <c r="S95" i="2"/>
  <c r="M95" i="2"/>
  <c r="Z94" i="2"/>
  <c r="W94" i="2"/>
  <c r="T94" i="2"/>
  <c r="R94" i="2"/>
  <c r="X94" i="2" s="1"/>
  <c r="P94" i="2"/>
  <c r="N94" i="2"/>
  <c r="J94" i="2"/>
  <c r="N93" i="2"/>
  <c r="Y92" i="2"/>
  <c r="V92" i="2"/>
  <c r="S92" i="2"/>
  <c r="M92" i="2"/>
  <c r="W91" i="2"/>
  <c r="V91" i="2"/>
  <c r="T91" i="2"/>
  <c r="Z91" i="2" s="1"/>
  <c r="P91" i="2"/>
  <c r="N91" i="2"/>
  <c r="M91" i="2"/>
  <c r="J91" i="2"/>
  <c r="L91" i="2" s="1"/>
  <c r="V90" i="2"/>
  <c r="S90" i="2"/>
  <c r="Y90" i="2" s="1"/>
  <c r="M90" i="2"/>
  <c r="Y89" i="2"/>
  <c r="V89" i="2"/>
  <c r="S89" i="2"/>
  <c r="M89" i="2"/>
  <c r="W88" i="2"/>
  <c r="T88" i="2"/>
  <c r="Z88" i="2" s="1"/>
  <c r="P88" i="2"/>
  <c r="N88" i="2"/>
  <c r="M88" i="2"/>
  <c r="O88" i="2" s="1"/>
  <c r="J88" i="2"/>
  <c r="L88" i="2" s="1"/>
  <c r="V87" i="2"/>
  <c r="S87" i="2"/>
  <c r="Y87" i="2" s="1"/>
  <c r="M87" i="2"/>
  <c r="Y86" i="2"/>
  <c r="V86" i="2"/>
  <c r="S86" i="2"/>
  <c r="M86" i="2"/>
  <c r="W85" i="2"/>
  <c r="T85" i="2"/>
  <c r="Z85" i="2" s="1"/>
  <c r="N85" i="2"/>
  <c r="M85" i="2"/>
  <c r="J85" i="2"/>
  <c r="L85" i="2" s="1"/>
  <c r="T84" i="2"/>
  <c r="Y83" i="2"/>
  <c r="V83" i="2"/>
  <c r="S83" i="2"/>
  <c r="M83" i="2"/>
  <c r="Y82" i="2"/>
  <c r="V82" i="2"/>
  <c r="S82" i="2"/>
  <c r="M82" i="2"/>
  <c r="Y81" i="2"/>
  <c r="V81" i="2"/>
  <c r="S81" i="2"/>
  <c r="M81" i="2"/>
  <c r="W80" i="2"/>
  <c r="V80" i="2"/>
  <c r="T80" i="2"/>
  <c r="Z80" i="2" s="1"/>
  <c r="S80" i="2"/>
  <c r="P80" i="2"/>
  <c r="R80" i="2" s="1"/>
  <c r="X80" i="2" s="1"/>
  <c r="N80" i="2"/>
  <c r="J80" i="2"/>
  <c r="Y79" i="2"/>
  <c r="V79" i="2"/>
  <c r="S79" i="2"/>
  <c r="M79" i="2"/>
  <c r="Y78" i="2"/>
  <c r="V78" i="2"/>
  <c r="S78" i="2"/>
  <c r="M78" i="2"/>
  <c r="J76" i="2" s="1"/>
  <c r="Y77" i="2"/>
  <c r="V77" i="2"/>
  <c r="S77" i="2"/>
  <c r="P76" i="2" s="1"/>
  <c r="M77" i="2"/>
  <c r="Z76" i="2"/>
  <c r="W76" i="2"/>
  <c r="T76" i="2"/>
  <c r="R76" i="2"/>
  <c r="X76" i="2" s="1"/>
  <c r="N76" i="2"/>
  <c r="Y75" i="2"/>
  <c r="V75" i="2"/>
  <c r="S75" i="2"/>
  <c r="M75" i="2"/>
  <c r="Y74" i="2"/>
  <c r="V74" i="2"/>
  <c r="S74" i="2"/>
  <c r="M74" i="2"/>
  <c r="Y73" i="2"/>
  <c r="V73" i="2"/>
  <c r="S73" i="2"/>
  <c r="M73" i="2"/>
  <c r="J71" i="2" s="1"/>
  <c r="Y72" i="2"/>
  <c r="V72" i="2"/>
  <c r="S72" i="2"/>
  <c r="P71" i="2" s="1"/>
  <c r="M72" i="2"/>
  <c r="Z71" i="2"/>
  <c r="W71" i="2"/>
  <c r="T71" i="2"/>
  <c r="R71" i="2"/>
  <c r="X71" i="2" s="1"/>
  <c r="N71" i="2"/>
  <c r="Y70" i="2"/>
  <c r="V70" i="2"/>
  <c r="S70" i="2"/>
  <c r="M70" i="2"/>
  <c r="Y69" i="2"/>
  <c r="V69" i="2"/>
  <c r="S69" i="2"/>
  <c r="M69" i="2"/>
  <c r="Y68" i="2"/>
  <c r="V68" i="2"/>
  <c r="S68" i="2"/>
  <c r="M68" i="2"/>
  <c r="J67" i="2" s="1"/>
  <c r="W67" i="2"/>
  <c r="V67" i="2"/>
  <c r="T67" i="2"/>
  <c r="Z67" i="2" s="1"/>
  <c r="S67" i="2"/>
  <c r="P67" i="2"/>
  <c r="R67" i="2" s="1"/>
  <c r="X67" i="2" s="1"/>
  <c r="N67" i="2"/>
  <c r="Y66" i="2"/>
  <c r="V66" i="2"/>
  <c r="S66" i="2"/>
  <c r="M66" i="2"/>
  <c r="Y65" i="2"/>
  <c r="V65" i="2"/>
  <c r="S65" i="2"/>
  <c r="M65" i="2"/>
  <c r="Y64" i="2"/>
  <c r="V64" i="2"/>
  <c r="S64" i="2"/>
  <c r="M64" i="2"/>
  <c r="Y63" i="2"/>
  <c r="V63" i="2"/>
  <c r="S63" i="2"/>
  <c r="M63" i="2"/>
  <c r="W62" i="2"/>
  <c r="V62" i="2"/>
  <c r="T62" i="2"/>
  <c r="Z62" i="2" s="1"/>
  <c r="S62" i="2"/>
  <c r="P62" i="2"/>
  <c r="R62" i="2" s="1"/>
  <c r="X62" i="2" s="1"/>
  <c r="N62" i="2"/>
  <c r="J62" i="2"/>
  <c r="Y61" i="2"/>
  <c r="V61" i="2"/>
  <c r="S61" i="2"/>
  <c r="P60" i="2" s="1"/>
  <c r="M61" i="2"/>
  <c r="Z60" i="2"/>
  <c r="W60" i="2"/>
  <c r="T60" i="2"/>
  <c r="R60" i="2"/>
  <c r="X60" i="2" s="1"/>
  <c r="N60" i="2"/>
  <c r="N54" i="2" s="1"/>
  <c r="M60" i="2"/>
  <c r="L60" i="2"/>
  <c r="J60" i="2"/>
  <c r="Y59" i="2"/>
  <c r="V59" i="2"/>
  <c r="S59" i="2"/>
  <c r="M59" i="2"/>
  <c r="W58" i="2"/>
  <c r="V58" i="2"/>
  <c r="T58" i="2"/>
  <c r="Z58" i="2" s="1"/>
  <c r="S58" i="2"/>
  <c r="P58" i="2"/>
  <c r="R58" i="2" s="1"/>
  <c r="X58" i="2" s="1"/>
  <c r="N58" i="2"/>
  <c r="J58" i="2"/>
  <c r="L58" i="2" s="1"/>
  <c r="Y57" i="2"/>
  <c r="V57" i="2"/>
  <c r="S57" i="2"/>
  <c r="M57" i="2"/>
  <c r="Y56" i="2"/>
  <c r="V56" i="2"/>
  <c r="S56" i="2"/>
  <c r="M56" i="2"/>
  <c r="J55" i="2" s="1"/>
  <c r="W55" i="2"/>
  <c r="V55" i="2"/>
  <c r="T55" i="2"/>
  <c r="S55" i="2"/>
  <c r="P55" i="2"/>
  <c r="R55" i="2" s="1"/>
  <c r="X55" i="2" s="1"/>
  <c r="N55" i="2"/>
  <c r="Y49" i="2"/>
  <c r="V49" i="2"/>
  <c r="S49" i="2"/>
  <c r="M49" i="2"/>
  <c r="Y48" i="2"/>
  <c r="V48" i="2"/>
  <c r="S48" i="2"/>
  <c r="M48" i="2"/>
  <c r="Y47" i="2"/>
  <c r="V47" i="2"/>
  <c r="S47" i="2"/>
  <c r="P46" i="2" s="1"/>
  <c r="M47" i="2"/>
  <c r="J46" i="2" s="1"/>
  <c r="W46" i="2"/>
  <c r="T46" i="2"/>
  <c r="Z46" i="2" s="1"/>
  <c r="Z45" i="2" s="1"/>
  <c r="N46" i="2"/>
  <c r="N45" i="2"/>
  <c r="Y44" i="2"/>
  <c r="V44" i="2"/>
  <c r="S44" i="2"/>
  <c r="M44" i="2"/>
  <c r="V43" i="2"/>
  <c r="S43" i="2"/>
  <c r="Y43" i="2" s="1"/>
  <c r="M43" i="2"/>
  <c r="Y42" i="2"/>
  <c r="V42" i="2"/>
  <c r="S42" i="2"/>
  <c r="M42" i="2"/>
  <c r="V41" i="2"/>
  <c r="S41" i="2"/>
  <c r="M41" i="2"/>
  <c r="Z40" i="2"/>
  <c r="W40" i="2"/>
  <c r="T40" i="2"/>
  <c r="N40" i="2"/>
  <c r="Y39" i="2"/>
  <c r="V39" i="2"/>
  <c r="S39" i="2"/>
  <c r="M39" i="2"/>
  <c r="V38" i="2"/>
  <c r="S38" i="2"/>
  <c r="Y38" i="2" s="1"/>
  <c r="M38" i="2"/>
  <c r="Y37" i="2"/>
  <c r="V37" i="2"/>
  <c r="S37" i="2"/>
  <c r="M37" i="2"/>
  <c r="V36" i="2"/>
  <c r="S36" i="2"/>
  <c r="M36" i="2"/>
  <c r="Z35" i="2"/>
  <c r="W35" i="2"/>
  <c r="T35" i="2"/>
  <c r="N35" i="2"/>
  <c r="Y34" i="2"/>
  <c r="V34" i="2"/>
  <c r="S34" i="2"/>
  <c r="M34" i="2"/>
  <c r="V33" i="2"/>
  <c r="S33" i="2"/>
  <c r="Y33" i="2" s="1"/>
  <c r="M33" i="2"/>
  <c r="Y32" i="2"/>
  <c r="V32" i="2"/>
  <c r="S32" i="2"/>
  <c r="M32" i="2"/>
  <c r="V31" i="2"/>
  <c r="S31" i="2"/>
  <c r="M31" i="2"/>
  <c r="W30" i="2"/>
  <c r="T30" i="2"/>
  <c r="Z30" i="2" s="1"/>
  <c r="N30" i="2"/>
  <c r="Y29" i="2"/>
  <c r="V29" i="2"/>
  <c r="S29" i="2"/>
  <c r="M29" i="2"/>
  <c r="V28" i="2"/>
  <c r="S28" i="2"/>
  <c r="Y28" i="2" s="1"/>
  <c r="M28" i="2"/>
  <c r="Y27" i="2"/>
  <c r="V27" i="2"/>
  <c r="S27" i="2"/>
  <c r="M27" i="2"/>
  <c r="J25" i="2" s="1"/>
  <c r="M25" i="2" s="1"/>
  <c r="V26" i="2"/>
  <c r="S26" i="2"/>
  <c r="M26" i="2"/>
  <c r="W25" i="2"/>
  <c r="T25" i="2"/>
  <c r="T24" i="2" s="1"/>
  <c r="N25" i="2"/>
  <c r="N24" i="2"/>
  <c r="V23" i="2"/>
  <c r="S23" i="2"/>
  <c r="Y23" i="2" s="1"/>
  <c r="M23" i="2"/>
  <c r="Y22" i="2"/>
  <c r="V22" i="2"/>
  <c r="S22" i="2"/>
  <c r="M22" i="2"/>
  <c r="V21" i="2"/>
  <c r="S21" i="2"/>
  <c r="Y21" i="2" s="1"/>
  <c r="M21" i="2"/>
  <c r="Y20" i="2"/>
  <c r="V20" i="2"/>
  <c r="S20" i="2"/>
  <c r="M20" i="2"/>
  <c r="J18" i="2" s="1"/>
  <c r="V19" i="2"/>
  <c r="S19" i="2"/>
  <c r="M19" i="2"/>
  <c r="Z18" i="2"/>
  <c r="Z17" i="2" s="1"/>
  <c r="W18" i="2"/>
  <c r="T18" i="2"/>
  <c r="N18" i="2"/>
  <c r="N17" i="2" s="1"/>
  <c r="T17" i="2"/>
  <c r="T16" i="2" s="1"/>
  <c r="N16" i="2"/>
  <c r="Y15" i="2"/>
  <c r="V15" i="2"/>
  <c r="S15" i="2"/>
  <c r="M15" i="2"/>
  <c r="W14" i="2"/>
  <c r="T14" i="2"/>
  <c r="Z14" i="2" s="1"/>
  <c r="Z13" i="2" s="1"/>
  <c r="S14" i="2"/>
  <c r="P14" i="2"/>
  <c r="O14" i="2"/>
  <c r="O13" i="2" s="1"/>
  <c r="N14" i="2"/>
  <c r="N13" i="2" s="1"/>
  <c r="N12" i="2" s="1"/>
  <c r="N11" i="2" s="1"/>
  <c r="N10" i="2" s="1"/>
  <c r="M14" i="2"/>
  <c r="L14" i="2"/>
  <c r="J14" i="2"/>
  <c r="T13" i="2"/>
  <c r="M13" i="2"/>
  <c r="V568" i="1"/>
  <c r="S568" i="1"/>
  <c r="Y568" i="1" s="1"/>
  <c r="M568" i="1"/>
  <c r="AA567" i="1"/>
  <c r="Y567" i="1"/>
  <c r="W567" i="1"/>
  <c r="V567" i="1"/>
  <c r="T567" i="1"/>
  <c r="Z567" i="1" s="1"/>
  <c r="S567" i="1"/>
  <c r="U567" i="1" s="1"/>
  <c r="R567" i="1"/>
  <c r="X567" i="1" s="1"/>
  <c r="P567" i="1"/>
  <c r="N567" i="1"/>
  <c r="M567" i="1"/>
  <c r="O567" i="1" s="1"/>
  <c r="J567" i="1"/>
  <c r="L567" i="1" s="1"/>
  <c r="Y566" i="1"/>
  <c r="V566" i="1"/>
  <c r="S566" i="1"/>
  <c r="P565" i="1" s="1"/>
  <c r="S565" i="1" s="1"/>
  <c r="Y565" i="1" s="1"/>
  <c r="AA565" i="1" s="1"/>
  <c r="M566" i="1"/>
  <c r="Z565" i="1"/>
  <c r="X565" i="1"/>
  <c r="W565" i="1"/>
  <c r="U565" i="1"/>
  <c r="T565" i="1"/>
  <c r="R565" i="1"/>
  <c r="N565" i="1"/>
  <c r="M565" i="1"/>
  <c r="O565" i="1" s="1"/>
  <c r="L565" i="1"/>
  <c r="J565" i="1"/>
  <c r="Z564" i="1"/>
  <c r="AA564" i="1" s="1"/>
  <c r="W564" i="1"/>
  <c r="T564" i="1"/>
  <c r="U564" i="1" s="1"/>
  <c r="R564" i="1"/>
  <c r="X564" i="1" s="1"/>
  <c r="O564" i="1"/>
  <c r="N564" i="1"/>
  <c r="L564" i="1"/>
  <c r="V563" i="1"/>
  <c r="S563" i="1"/>
  <c r="Y563" i="1" s="1"/>
  <c r="M563" i="1"/>
  <c r="Y562" i="1"/>
  <c r="V562" i="1"/>
  <c r="S562" i="1"/>
  <c r="M562" i="1"/>
  <c r="J560" i="1" s="1"/>
  <c r="Z561" i="1"/>
  <c r="X561" i="1"/>
  <c r="W561" i="1"/>
  <c r="W560" i="1"/>
  <c r="V560" i="1"/>
  <c r="T560" i="1"/>
  <c r="Z560" i="1" s="1"/>
  <c r="Z559" i="1" s="1"/>
  <c r="P560" i="1"/>
  <c r="S560" i="1" s="1"/>
  <c r="N560" i="1"/>
  <c r="M560" i="1"/>
  <c r="L560" i="1"/>
  <c r="N559" i="1"/>
  <c r="Y558" i="1"/>
  <c r="V558" i="1"/>
  <c r="S558" i="1"/>
  <c r="M558" i="1"/>
  <c r="V557" i="1"/>
  <c r="S557" i="1"/>
  <c r="M557" i="1"/>
  <c r="W556" i="1"/>
  <c r="T556" i="1"/>
  <c r="N556" i="1"/>
  <c r="J556" i="1"/>
  <c r="Y555" i="1"/>
  <c r="V555" i="1"/>
  <c r="S555" i="1"/>
  <c r="M555" i="1"/>
  <c r="Y554" i="1"/>
  <c r="V554" i="1"/>
  <c r="S554" i="1"/>
  <c r="P553" i="1" s="1"/>
  <c r="M554" i="1"/>
  <c r="J553" i="1" s="1"/>
  <c r="Z553" i="1"/>
  <c r="W553" i="1"/>
  <c r="V553" i="1"/>
  <c r="T553" i="1"/>
  <c r="S553" i="1"/>
  <c r="R553" i="1"/>
  <c r="X553" i="1" s="1"/>
  <c r="N553" i="1"/>
  <c r="Y552" i="1"/>
  <c r="V552" i="1"/>
  <c r="S552" i="1"/>
  <c r="M552" i="1"/>
  <c r="Y551" i="1"/>
  <c r="V551" i="1"/>
  <c r="S551" i="1"/>
  <c r="M551" i="1"/>
  <c r="Y550" i="1"/>
  <c r="V550" i="1"/>
  <c r="S550" i="1"/>
  <c r="M550" i="1"/>
  <c r="Y549" i="1"/>
  <c r="V549" i="1"/>
  <c r="S549" i="1"/>
  <c r="P547" i="1" s="1"/>
  <c r="M549" i="1"/>
  <c r="Z548" i="1"/>
  <c r="X548" i="1"/>
  <c r="W548" i="1"/>
  <c r="Z547" i="1"/>
  <c r="W547" i="1"/>
  <c r="T547" i="1"/>
  <c r="N547" i="1"/>
  <c r="J547" i="1"/>
  <c r="M547" i="1" s="1"/>
  <c r="O547" i="1" s="1"/>
  <c r="V546" i="1"/>
  <c r="S546" i="1"/>
  <c r="Y546" i="1" s="1"/>
  <c r="M546" i="1"/>
  <c r="V545" i="1"/>
  <c r="S545" i="1"/>
  <c r="Y545" i="1" s="1"/>
  <c r="M545" i="1"/>
  <c r="V544" i="1"/>
  <c r="S544" i="1"/>
  <c r="Y544" i="1" s="1"/>
  <c r="M544" i="1"/>
  <c r="V543" i="1"/>
  <c r="S543" i="1"/>
  <c r="M543" i="1"/>
  <c r="J541" i="1" s="1"/>
  <c r="Z542" i="1"/>
  <c r="X542" i="1"/>
  <c r="W542" i="1"/>
  <c r="Z541" i="1"/>
  <c r="W541" i="1"/>
  <c r="T541" i="1"/>
  <c r="N541" i="1"/>
  <c r="N540" i="1" s="1"/>
  <c r="V539" i="1"/>
  <c r="S539" i="1"/>
  <c r="Y539" i="1" s="1"/>
  <c r="M539" i="1"/>
  <c r="J537" i="1" s="1"/>
  <c r="V538" i="1"/>
  <c r="S538" i="1"/>
  <c r="Y538" i="1" s="1"/>
  <c r="M538" i="1"/>
  <c r="W537" i="1"/>
  <c r="T537" i="1"/>
  <c r="Z537" i="1" s="1"/>
  <c r="N537" i="1"/>
  <c r="V536" i="1"/>
  <c r="S536" i="1"/>
  <c r="Y536" i="1" s="1"/>
  <c r="M536" i="1"/>
  <c r="J534" i="1" s="1"/>
  <c r="V535" i="1"/>
  <c r="S535" i="1"/>
  <c r="Y535" i="1" s="1"/>
  <c r="M535" i="1"/>
  <c r="W534" i="1"/>
  <c r="T534" i="1"/>
  <c r="Z534" i="1" s="1"/>
  <c r="P534" i="1"/>
  <c r="N534" i="1"/>
  <c r="V533" i="1"/>
  <c r="S533" i="1"/>
  <c r="Y533" i="1" s="1"/>
  <c r="M533" i="1"/>
  <c r="J531" i="1" s="1"/>
  <c r="V532" i="1"/>
  <c r="S532" i="1"/>
  <c r="Y532" i="1" s="1"/>
  <c r="M532" i="1"/>
  <c r="W531" i="1"/>
  <c r="T531" i="1"/>
  <c r="Z531" i="1" s="1"/>
  <c r="P531" i="1"/>
  <c r="N531" i="1"/>
  <c r="V530" i="1"/>
  <c r="S530" i="1"/>
  <c r="Y530" i="1" s="1"/>
  <c r="M530" i="1"/>
  <c r="V529" i="1"/>
  <c r="S529" i="1"/>
  <c r="Y529" i="1" s="1"/>
  <c r="M529" i="1"/>
  <c r="V528" i="1"/>
  <c r="S528" i="1"/>
  <c r="Y528" i="1" s="1"/>
  <c r="M528" i="1"/>
  <c r="V527" i="1"/>
  <c r="S527" i="1"/>
  <c r="Y527" i="1" s="1"/>
  <c r="M527" i="1"/>
  <c r="Z526" i="1"/>
  <c r="X526" i="1"/>
  <c r="W526" i="1"/>
  <c r="W525" i="1"/>
  <c r="T525" i="1"/>
  <c r="Z525" i="1" s="1"/>
  <c r="S525" i="1"/>
  <c r="P525" i="1"/>
  <c r="V525" i="1" s="1"/>
  <c r="N525" i="1"/>
  <c r="J525" i="1"/>
  <c r="Y524" i="1"/>
  <c r="V524" i="1"/>
  <c r="S524" i="1"/>
  <c r="M524" i="1"/>
  <c r="Y523" i="1"/>
  <c r="V523" i="1"/>
  <c r="S523" i="1"/>
  <c r="M523" i="1"/>
  <c r="Y522" i="1"/>
  <c r="V522" i="1"/>
  <c r="S522" i="1"/>
  <c r="M522" i="1"/>
  <c r="Y521" i="1"/>
  <c r="V521" i="1"/>
  <c r="S521" i="1"/>
  <c r="M521" i="1"/>
  <c r="J519" i="1" s="1"/>
  <c r="Z520" i="1"/>
  <c r="X520" i="1"/>
  <c r="W520" i="1"/>
  <c r="W519" i="1"/>
  <c r="V519" i="1"/>
  <c r="T519" i="1"/>
  <c r="Z519" i="1" s="1"/>
  <c r="P519" i="1"/>
  <c r="S519" i="1" s="1"/>
  <c r="N519" i="1"/>
  <c r="V518" i="1"/>
  <c r="S518" i="1"/>
  <c r="Y518" i="1" s="1"/>
  <c r="M518" i="1"/>
  <c r="Y517" i="1"/>
  <c r="V517" i="1"/>
  <c r="S517" i="1"/>
  <c r="M517" i="1"/>
  <c r="V516" i="1"/>
  <c r="S516" i="1"/>
  <c r="Y516" i="1" s="1"/>
  <c r="M516" i="1"/>
  <c r="Y515" i="1"/>
  <c r="V515" i="1"/>
  <c r="S515" i="1"/>
  <c r="M515" i="1"/>
  <c r="J513" i="1" s="1"/>
  <c r="Z514" i="1"/>
  <c r="X514" i="1"/>
  <c r="W514" i="1"/>
  <c r="Z513" i="1"/>
  <c r="W513" i="1"/>
  <c r="T513" i="1"/>
  <c r="P513" i="1"/>
  <c r="N513" i="1"/>
  <c r="V512" i="1"/>
  <c r="S512" i="1"/>
  <c r="Y512" i="1" s="1"/>
  <c r="M512" i="1"/>
  <c r="Y511" i="1"/>
  <c r="V511" i="1"/>
  <c r="S511" i="1"/>
  <c r="M511" i="1"/>
  <c r="V510" i="1"/>
  <c r="S510" i="1"/>
  <c r="Y510" i="1" s="1"/>
  <c r="M510" i="1"/>
  <c r="Y509" i="1"/>
  <c r="V509" i="1"/>
  <c r="S509" i="1"/>
  <c r="P507" i="1" s="1"/>
  <c r="M509" i="1"/>
  <c r="Z508" i="1"/>
  <c r="X508" i="1"/>
  <c r="W508" i="1"/>
  <c r="W507" i="1"/>
  <c r="T507" i="1"/>
  <c r="Z507" i="1" s="1"/>
  <c r="N507" i="1"/>
  <c r="J507" i="1"/>
  <c r="V506" i="1"/>
  <c r="S506" i="1"/>
  <c r="Y506" i="1" s="1"/>
  <c r="M506" i="1"/>
  <c r="V505" i="1"/>
  <c r="S505" i="1"/>
  <c r="Y505" i="1" s="1"/>
  <c r="M505" i="1"/>
  <c r="V504" i="1"/>
  <c r="S504" i="1"/>
  <c r="Y504" i="1" s="1"/>
  <c r="M504" i="1"/>
  <c r="V503" i="1"/>
  <c r="S503" i="1"/>
  <c r="M503" i="1"/>
  <c r="J501" i="1" s="1"/>
  <c r="Z502" i="1"/>
  <c r="X502" i="1"/>
  <c r="W502" i="1"/>
  <c r="Z501" i="1"/>
  <c r="W501" i="1"/>
  <c r="T501" i="1"/>
  <c r="N501" i="1"/>
  <c r="Y500" i="1"/>
  <c r="V500" i="1"/>
  <c r="S500" i="1"/>
  <c r="M500" i="1"/>
  <c r="Y499" i="1"/>
  <c r="V499" i="1"/>
  <c r="S499" i="1"/>
  <c r="M499" i="1"/>
  <c r="Y498" i="1"/>
  <c r="V498" i="1"/>
  <c r="S498" i="1"/>
  <c r="M498" i="1"/>
  <c r="Y497" i="1"/>
  <c r="V497" i="1"/>
  <c r="S497" i="1"/>
  <c r="P495" i="1" s="1"/>
  <c r="V495" i="1" s="1"/>
  <c r="M497" i="1"/>
  <c r="J495" i="1" s="1"/>
  <c r="Z496" i="1"/>
  <c r="X496" i="1"/>
  <c r="W496" i="1"/>
  <c r="Z495" i="1"/>
  <c r="W495" i="1"/>
  <c r="T495" i="1"/>
  <c r="N495" i="1"/>
  <c r="Y494" i="1"/>
  <c r="V494" i="1"/>
  <c r="S494" i="1"/>
  <c r="M494" i="1"/>
  <c r="V493" i="1"/>
  <c r="S493" i="1"/>
  <c r="Y493" i="1" s="1"/>
  <c r="M493" i="1"/>
  <c r="Y492" i="1"/>
  <c r="V492" i="1"/>
  <c r="S492" i="1"/>
  <c r="M492" i="1"/>
  <c r="V491" i="1"/>
  <c r="S491" i="1"/>
  <c r="Y491" i="1" s="1"/>
  <c r="M491" i="1"/>
  <c r="Z490" i="1"/>
  <c r="X490" i="1"/>
  <c r="W490" i="1"/>
  <c r="Z489" i="1"/>
  <c r="W489" i="1"/>
  <c r="T489" i="1"/>
  <c r="N489" i="1"/>
  <c r="M489" i="1"/>
  <c r="L489" i="1"/>
  <c r="J489" i="1"/>
  <c r="Y486" i="1"/>
  <c r="V486" i="1"/>
  <c r="S486" i="1"/>
  <c r="M486" i="1"/>
  <c r="Y485" i="1"/>
  <c r="V485" i="1"/>
  <c r="S485" i="1"/>
  <c r="M485" i="1"/>
  <c r="Y484" i="1"/>
  <c r="V484" i="1"/>
  <c r="S484" i="1"/>
  <c r="M484" i="1"/>
  <c r="Y483" i="1"/>
  <c r="V483" i="1"/>
  <c r="S483" i="1"/>
  <c r="M483" i="1"/>
  <c r="Y482" i="1"/>
  <c r="V482" i="1"/>
  <c r="S482" i="1"/>
  <c r="M482" i="1"/>
  <c r="J480" i="1" s="1"/>
  <c r="Y481" i="1"/>
  <c r="V481" i="1"/>
  <c r="S481" i="1"/>
  <c r="P480" i="1" s="1"/>
  <c r="M481" i="1"/>
  <c r="Z480" i="1"/>
  <c r="W480" i="1"/>
  <c r="T480" i="1"/>
  <c r="N480" i="1"/>
  <c r="Y479" i="1"/>
  <c r="V479" i="1"/>
  <c r="S479" i="1"/>
  <c r="M479" i="1"/>
  <c r="Y478" i="1"/>
  <c r="V478" i="1"/>
  <c r="S478" i="1"/>
  <c r="M478" i="1"/>
  <c r="Y477" i="1"/>
  <c r="V477" i="1"/>
  <c r="S477" i="1"/>
  <c r="M477" i="1"/>
  <c r="Y476" i="1"/>
  <c r="V476" i="1"/>
  <c r="S476" i="1"/>
  <c r="M476" i="1"/>
  <c r="Y475" i="1"/>
  <c r="V475" i="1"/>
  <c r="S475" i="1"/>
  <c r="M475" i="1"/>
  <c r="J473" i="1" s="1"/>
  <c r="Y474" i="1"/>
  <c r="V474" i="1"/>
  <c r="S474" i="1"/>
  <c r="P473" i="1" s="1"/>
  <c r="M474" i="1"/>
  <c r="Z473" i="1"/>
  <c r="W473" i="1"/>
  <c r="T473" i="1"/>
  <c r="N473" i="1"/>
  <c r="Y472" i="1"/>
  <c r="V472" i="1"/>
  <c r="S472" i="1"/>
  <c r="M472" i="1"/>
  <c r="Y471" i="1"/>
  <c r="V471" i="1"/>
  <c r="S471" i="1"/>
  <c r="M471" i="1"/>
  <c r="Y470" i="1"/>
  <c r="V470" i="1"/>
  <c r="S470" i="1"/>
  <c r="M470" i="1"/>
  <c r="W469" i="1"/>
  <c r="T469" i="1"/>
  <c r="Z469" i="1" s="1"/>
  <c r="S469" i="1"/>
  <c r="P469" i="1"/>
  <c r="V469" i="1" s="1"/>
  <c r="N469" i="1"/>
  <c r="J469" i="1"/>
  <c r="Y468" i="1"/>
  <c r="V468" i="1"/>
  <c r="S468" i="1"/>
  <c r="M468" i="1"/>
  <c r="Y467" i="1"/>
  <c r="V467" i="1"/>
  <c r="S467" i="1"/>
  <c r="M467" i="1"/>
  <c r="J466" i="1" s="1"/>
  <c r="W466" i="1"/>
  <c r="T466" i="1"/>
  <c r="Z466" i="1" s="1"/>
  <c r="S466" i="1"/>
  <c r="P466" i="1"/>
  <c r="V466" i="1" s="1"/>
  <c r="N466" i="1"/>
  <c r="Y465" i="1"/>
  <c r="V465" i="1"/>
  <c r="S465" i="1"/>
  <c r="M465" i="1"/>
  <c r="Y464" i="1"/>
  <c r="V464" i="1"/>
  <c r="S464" i="1"/>
  <c r="M464" i="1"/>
  <c r="J463" i="1" s="1"/>
  <c r="W463" i="1"/>
  <c r="T463" i="1"/>
  <c r="Z463" i="1" s="1"/>
  <c r="S463" i="1"/>
  <c r="P463" i="1"/>
  <c r="V463" i="1" s="1"/>
  <c r="N463" i="1"/>
  <c r="Y462" i="1"/>
  <c r="V462" i="1"/>
  <c r="S462" i="1"/>
  <c r="M462" i="1"/>
  <c r="Y461" i="1"/>
  <c r="V461" i="1"/>
  <c r="S461" i="1"/>
  <c r="M461" i="1"/>
  <c r="W460" i="1"/>
  <c r="T460" i="1"/>
  <c r="Z460" i="1" s="1"/>
  <c r="S460" i="1"/>
  <c r="P460" i="1"/>
  <c r="V460" i="1" s="1"/>
  <c r="N460" i="1"/>
  <c r="J460" i="1"/>
  <c r="Y459" i="1"/>
  <c r="V459" i="1"/>
  <c r="S459" i="1"/>
  <c r="M459" i="1"/>
  <c r="Y458" i="1"/>
  <c r="V458" i="1"/>
  <c r="S458" i="1"/>
  <c r="M458" i="1"/>
  <c r="W457" i="1"/>
  <c r="T457" i="1"/>
  <c r="Z457" i="1" s="1"/>
  <c r="S457" i="1"/>
  <c r="P457" i="1"/>
  <c r="V457" i="1" s="1"/>
  <c r="N457" i="1"/>
  <c r="J457" i="1"/>
  <c r="Y456" i="1"/>
  <c r="V456" i="1"/>
  <c r="S456" i="1"/>
  <c r="M456" i="1"/>
  <c r="Y455" i="1"/>
  <c r="V455" i="1"/>
  <c r="S455" i="1"/>
  <c r="M455" i="1"/>
  <c r="J454" i="1" s="1"/>
  <c r="W454" i="1"/>
  <c r="T454" i="1"/>
  <c r="Z454" i="1" s="1"/>
  <c r="S454" i="1"/>
  <c r="P454" i="1"/>
  <c r="V454" i="1" s="1"/>
  <c r="N454" i="1"/>
  <c r="Y453" i="1"/>
  <c r="V453" i="1"/>
  <c r="S453" i="1"/>
  <c r="M453" i="1"/>
  <c r="Y452" i="1"/>
  <c r="V452" i="1"/>
  <c r="S452" i="1"/>
  <c r="M452" i="1"/>
  <c r="J451" i="1" s="1"/>
  <c r="W451" i="1"/>
  <c r="T451" i="1"/>
  <c r="Z451" i="1" s="1"/>
  <c r="S451" i="1"/>
  <c r="P451" i="1"/>
  <c r="V451" i="1" s="1"/>
  <c r="N451" i="1"/>
  <c r="Y450" i="1"/>
  <c r="V450" i="1"/>
  <c r="S450" i="1"/>
  <c r="M450" i="1"/>
  <c r="Y449" i="1"/>
  <c r="V449" i="1"/>
  <c r="S449" i="1"/>
  <c r="M449" i="1"/>
  <c r="J447" i="1" s="1"/>
  <c r="Y448" i="1"/>
  <c r="V448" i="1"/>
  <c r="S448" i="1"/>
  <c r="P447" i="1" s="1"/>
  <c r="M448" i="1"/>
  <c r="Z447" i="1"/>
  <c r="W447" i="1"/>
  <c r="T447" i="1"/>
  <c r="N447" i="1"/>
  <c r="Y446" i="1"/>
  <c r="V446" i="1"/>
  <c r="S446" i="1"/>
  <c r="M446" i="1"/>
  <c r="J444" i="1" s="1"/>
  <c r="Y445" i="1"/>
  <c r="V445" i="1"/>
  <c r="S445" i="1"/>
  <c r="P444" i="1" s="1"/>
  <c r="M445" i="1"/>
  <c r="Z444" i="1"/>
  <c r="W444" i="1"/>
  <c r="T444" i="1"/>
  <c r="N444" i="1"/>
  <c r="Y443" i="1"/>
  <c r="V443" i="1"/>
  <c r="S443" i="1"/>
  <c r="M443" i="1"/>
  <c r="J441" i="1" s="1"/>
  <c r="Y442" i="1"/>
  <c r="V442" i="1"/>
  <c r="S442" i="1"/>
  <c r="P441" i="1" s="1"/>
  <c r="M442" i="1"/>
  <c r="Z441" i="1"/>
  <c r="W441" i="1"/>
  <c r="T441" i="1"/>
  <c r="N441" i="1"/>
  <c r="Y440" i="1"/>
  <c r="V440" i="1"/>
  <c r="S440" i="1"/>
  <c r="M440" i="1"/>
  <c r="Y439" i="1"/>
  <c r="V439" i="1"/>
  <c r="S439" i="1"/>
  <c r="M439" i="1"/>
  <c r="Y438" i="1"/>
  <c r="V438" i="1"/>
  <c r="S438" i="1"/>
  <c r="M438" i="1"/>
  <c r="J437" i="1" s="1"/>
  <c r="W437" i="1"/>
  <c r="T437" i="1"/>
  <c r="Z437" i="1" s="1"/>
  <c r="S437" i="1"/>
  <c r="P437" i="1"/>
  <c r="V437" i="1" s="1"/>
  <c r="N437" i="1"/>
  <c r="Y436" i="1"/>
  <c r="V436" i="1"/>
  <c r="S436" i="1"/>
  <c r="M436" i="1"/>
  <c r="Y435" i="1"/>
  <c r="V435" i="1"/>
  <c r="S435" i="1"/>
  <c r="M435" i="1"/>
  <c r="J434" i="1" s="1"/>
  <c r="W434" i="1"/>
  <c r="T434" i="1"/>
  <c r="Z434" i="1" s="1"/>
  <c r="S434" i="1"/>
  <c r="P434" i="1"/>
  <c r="V434" i="1" s="1"/>
  <c r="N434" i="1"/>
  <c r="Y433" i="1"/>
  <c r="V433" i="1"/>
  <c r="S433" i="1"/>
  <c r="M433" i="1"/>
  <c r="Y432" i="1"/>
  <c r="V432" i="1"/>
  <c r="S432" i="1"/>
  <c r="M432" i="1"/>
  <c r="J430" i="1" s="1"/>
  <c r="Y431" i="1"/>
  <c r="V431" i="1"/>
  <c r="S431" i="1"/>
  <c r="P430" i="1" s="1"/>
  <c r="M431" i="1"/>
  <c r="Z430" i="1"/>
  <c r="W430" i="1"/>
  <c r="T430" i="1"/>
  <c r="N430" i="1"/>
  <c r="N429" i="1" s="1"/>
  <c r="V428" i="1"/>
  <c r="S428" i="1"/>
  <c r="Y428" i="1" s="1"/>
  <c r="M428" i="1"/>
  <c r="J426" i="1" s="1"/>
  <c r="V427" i="1"/>
  <c r="S427" i="1"/>
  <c r="Y427" i="1" s="1"/>
  <c r="M427" i="1"/>
  <c r="W426" i="1"/>
  <c r="T426" i="1"/>
  <c r="Z426" i="1" s="1"/>
  <c r="N426" i="1"/>
  <c r="V425" i="1"/>
  <c r="S425" i="1"/>
  <c r="Y425" i="1" s="1"/>
  <c r="M425" i="1"/>
  <c r="J423" i="1" s="1"/>
  <c r="V424" i="1"/>
  <c r="S424" i="1"/>
  <c r="Y424" i="1" s="1"/>
  <c r="M424" i="1"/>
  <c r="W423" i="1"/>
  <c r="T423" i="1"/>
  <c r="Z423" i="1" s="1"/>
  <c r="N423" i="1"/>
  <c r="V422" i="1"/>
  <c r="S422" i="1"/>
  <c r="Y422" i="1" s="1"/>
  <c r="M422" i="1"/>
  <c r="J420" i="1" s="1"/>
  <c r="V421" i="1"/>
  <c r="S421" i="1"/>
  <c r="Y421" i="1" s="1"/>
  <c r="M421" i="1"/>
  <c r="W420" i="1"/>
  <c r="T420" i="1"/>
  <c r="Z420" i="1" s="1"/>
  <c r="P420" i="1"/>
  <c r="N420" i="1"/>
  <c r="V419" i="1"/>
  <c r="S419" i="1"/>
  <c r="Y419" i="1" s="1"/>
  <c r="M419" i="1"/>
  <c r="J417" i="1" s="1"/>
  <c r="V418" i="1"/>
  <c r="S418" i="1"/>
  <c r="Y418" i="1" s="1"/>
  <c r="M418" i="1"/>
  <c r="W417" i="1"/>
  <c r="T417" i="1"/>
  <c r="Z417" i="1" s="1"/>
  <c r="P417" i="1"/>
  <c r="N417" i="1"/>
  <c r="V416" i="1"/>
  <c r="S416" i="1"/>
  <c r="Y416" i="1" s="1"/>
  <c r="M416" i="1"/>
  <c r="V415" i="1"/>
  <c r="S415" i="1"/>
  <c r="Y415" i="1" s="1"/>
  <c r="M415" i="1"/>
  <c r="V414" i="1"/>
  <c r="S414" i="1"/>
  <c r="Y414" i="1" s="1"/>
  <c r="M414" i="1"/>
  <c r="V413" i="1"/>
  <c r="S413" i="1"/>
  <c r="Y413" i="1" s="1"/>
  <c r="M413" i="1"/>
  <c r="Z412" i="1"/>
  <c r="X412" i="1"/>
  <c r="W412" i="1"/>
  <c r="W411" i="1"/>
  <c r="T411" i="1"/>
  <c r="S411" i="1"/>
  <c r="P411" i="1"/>
  <c r="V411" i="1" s="1"/>
  <c r="N411" i="1"/>
  <c r="J411" i="1"/>
  <c r="N410" i="1"/>
  <c r="V409" i="1"/>
  <c r="S409" i="1"/>
  <c r="Y409" i="1" s="1"/>
  <c r="M409" i="1"/>
  <c r="V408" i="1"/>
  <c r="S408" i="1"/>
  <c r="Y408" i="1" s="1"/>
  <c r="M408" i="1"/>
  <c r="V407" i="1"/>
  <c r="S407" i="1"/>
  <c r="Y407" i="1" s="1"/>
  <c r="M407" i="1"/>
  <c r="V406" i="1"/>
  <c r="S406" i="1"/>
  <c r="M406" i="1"/>
  <c r="J405" i="1" s="1"/>
  <c r="M405" i="1" s="1"/>
  <c r="O405" i="1" s="1"/>
  <c r="W405" i="1"/>
  <c r="T405" i="1"/>
  <c r="Z405" i="1" s="1"/>
  <c r="N405" i="1"/>
  <c r="V404" i="1"/>
  <c r="S404" i="1"/>
  <c r="Y404" i="1" s="1"/>
  <c r="M404" i="1"/>
  <c r="V403" i="1"/>
  <c r="S403" i="1"/>
  <c r="Y403" i="1" s="1"/>
  <c r="M403" i="1"/>
  <c r="J400" i="1" s="1"/>
  <c r="V402" i="1"/>
  <c r="S402" i="1"/>
  <c r="Y402" i="1" s="1"/>
  <c r="M402" i="1"/>
  <c r="V401" i="1"/>
  <c r="S401" i="1"/>
  <c r="M401" i="1"/>
  <c r="W400" i="1"/>
  <c r="T400" i="1"/>
  <c r="Z400" i="1" s="1"/>
  <c r="N400" i="1"/>
  <c r="V399" i="1"/>
  <c r="S399" i="1"/>
  <c r="Y399" i="1" s="1"/>
  <c r="M399" i="1"/>
  <c r="V398" i="1"/>
  <c r="S398" i="1"/>
  <c r="Y398" i="1" s="1"/>
  <c r="M398" i="1"/>
  <c r="V397" i="1"/>
  <c r="S397" i="1"/>
  <c r="Y397" i="1" s="1"/>
  <c r="M397" i="1"/>
  <c r="V396" i="1"/>
  <c r="S396" i="1"/>
  <c r="M396" i="1"/>
  <c r="J395" i="1" s="1"/>
  <c r="W395" i="1"/>
  <c r="T395" i="1"/>
  <c r="Z395" i="1" s="1"/>
  <c r="N395" i="1"/>
  <c r="V394" i="1"/>
  <c r="S394" i="1"/>
  <c r="Y394" i="1" s="1"/>
  <c r="M394" i="1"/>
  <c r="V393" i="1"/>
  <c r="S393" i="1"/>
  <c r="M393" i="1"/>
  <c r="J392" i="1" s="1"/>
  <c r="M392" i="1" s="1"/>
  <c r="O392" i="1" s="1"/>
  <c r="W392" i="1"/>
  <c r="T392" i="1"/>
  <c r="Z392" i="1" s="1"/>
  <c r="N392" i="1"/>
  <c r="V391" i="1"/>
  <c r="S391" i="1"/>
  <c r="Y391" i="1" s="1"/>
  <c r="M391" i="1"/>
  <c r="V390" i="1"/>
  <c r="S390" i="1"/>
  <c r="M390" i="1"/>
  <c r="J389" i="1" s="1"/>
  <c r="W389" i="1"/>
  <c r="T389" i="1"/>
  <c r="Z389" i="1" s="1"/>
  <c r="N389" i="1"/>
  <c r="V388" i="1"/>
  <c r="S388" i="1"/>
  <c r="Y388" i="1" s="1"/>
  <c r="M388" i="1"/>
  <c r="V387" i="1"/>
  <c r="S387" i="1"/>
  <c r="M387" i="1"/>
  <c r="J386" i="1" s="1"/>
  <c r="M386" i="1" s="1"/>
  <c r="O386" i="1" s="1"/>
  <c r="W386" i="1"/>
  <c r="T386" i="1"/>
  <c r="Z386" i="1" s="1"/>
  <c r="N386" i="1"/>
  <c r="L386" i="1"/>
  <c r="V385" i="1"/>
  <c r="S385" i="1"/>
  <c r="Y385" i="1" s="1"/>
  <c r="M385" i="1"/>
  <c r="V384" i="1"/>
  <c r="S384" i="1"/>
  <c r="Y384" i="1" s="1"/>
  <c r="M384" i="1"/>
  <c r="J382" i="1" s="1"/>
  <c r="V383" i="1"/>
  <c r="S383" i="1"/>
  <c r="Y383" i="1" s="1"/>
  <c r="M383" i="1"/>
  <c r="W382" i="1"/>
  <c r="T382" i="1"/>
  <c r="Z382" i="1" s="1"/>
  <c r="P382" i="1"/>
  <c r="N382" i="1"/>
  <c r="V381" i="1"/>
  <c r="S381" i="1"/>
  <c r="Y381" i="1" s="1"/>
  <c r="M381" i="1"/>
  <c r="J379" i="1" s="1"/>
  <c r="V380" i="1"/>
  <c r="S380" i="1"/>
  <c r="Y380" i="1" s="1"/>
  <c r="M380" i="1"/>
  <c r="W379" i="1"/>
  <c r="T379" i="1"/>
  <c r="Z379" i="1" s="1"/>
  <c r="P379" i="1"/>
  <c r="N379" i="1"/>
  <c r="V378" i="1"/>
  <c r="S378" i="1"/>
  <c r="Y378" i="1" s="1"/>
  <c r="M378" i="1"/>
  <c r="V377" i="1"/>
  <c r="S377" i="1"/>
  <c r="Y377" i="1" s="1"/>
  <c r="M377" i="1"/>
  <c r="V376" i="1"/>
  <c r="S376" i="1"/>
  <c r="M376" i="1"/>
  <c r="J375" i="1" s="1"/>
  <c r="W375" i="1"/>
  <c r="T375" i="1"/>
  <c r="Z375" i="1" s="1"/>
  <c r="N375" i="1"/>
  <c r="V374" i="1"/>
  <c r="S374" i="1"/>
  <c r="Y374" i="1" s="1"/>
  <c r="M374" i="1"/>
  <c r="V373" i="1"/>
  <c r="S373" i="1"/>
  <c r="M373" i="1"/>
  <c r="J372" i="1" s="1"/>
  <c r="M372" i="1" s="1"/>
  <c r="O372" i="1" s="1"/>
  <c r="W372" i="1"/>
  <c r="T372" i="1"/>
  <c r="Z372" i="1" s="1"/>
  <c r="N372" i="1"/>
  <c r="L372" i="1"/>
  <c r="V371" i="1"/>
  <c r="S371" i="1"/>
  <c r="Y371" i="1" s="1"/>
  <c r="M371" i="1"/>
  <c r="V370" i="1"/>
  <c r="S370" i="1"/>
  <c r="M370" i="1"/>
  <c r="J369" i="1" s="1"/>
  <c r="W369" i="1"/>
  <c r="T369" i="1"/>
  <c r="Z369" i="1" s="1"/>
  <c r="N369" i="1"/>
  <c r="V368" i="1"/>
  <c r="S368" i="1"/>
  <c r="Y368" i="1" s="1"/>
  <c r="M368" i="1"/>
  <c r="V367" i="1"/>
  <c r="S367" i="1"/>
  <c r="Y367" i="1" s="1"/>
  <c r="M367" i="1"/>
  <c r="J365" i="1" s="1"/>
  <c r="V366" i="1"/>
  <c r="S366" i="1"/>
  <c r="Y366" i="1" s="1"/>
  <c r="M366" i="1"/>
  <c r="W365" i="1"/>
  <c r="T365" i="1"/>
  <c r="Z365" i="1" s="1"/>
  <c r="P365" i="1"/>
  <c r="N365" i="1"/>
  <c r="V364" i="1"/>
  <c r="S364" i="1"/>
  <c r="M364" i="1"/>
  <c r="V363" i="1"/>
  <c r="S363" i="1"/>
  <c r="Y363" i="1" s="1"/>
  <c r="M363" i="1"/>
  <c r="J362" i="1" s="1"/>
  <c r="W362" i="1"/>
  <c r="T362" i="1"/>
  <c r="Z362" i="1" s="1"/>
  <c r="N362" i="1"/>
  <c r="V361" i="1"/>
  <c r="S361" i="1"/>
  <c r="Y361" i="1" s="1"/>
  <c r="M361" i="1"/>
  <c r="V360" i="1"/>
  <c r="S360" i="1"/>
  <c r="Y360" i="1" s="1"/>
  <c r="M360" i="1"/>
  <c r="J359" i="1" s="1"/>
  <c r="W359" i="1"/>
  <c r="T359" i="1"/>
  <c r="Z359" i="1" s="1"/>
  <c r="N359" i="1"/>
  <c r="V358" i="1"/>
  <c r="S358" i="1"/>
  <c r="Y358" i="1" s="1"/>
  <c r="M358" i="1"/>
  <c r="V357" i="1"/>
  <c r="S357" i="1"/>
  <c r="Y357" i="1" s="1"/>
  <c r="M357" i="1"/>
  <c r="W356" i="1"/>
  <c r="T356" i="1"/>
  <c r="Z356" i="1" s="1"/>
  <c r="N356" i="1"/>
  <c r="V355" i="1"/>
  <c r="S355" i="1"/>
  <c r="Y355" i="1" s="1"/>
  <c r="M355" i="1"/>
  <c r="V354" i="1"/>
  <c r="S354" i="1"/>
  <c r="Y354" i="1" s="1"/>
  <c r="M354" i="1"/>
  <c r="V353" i="1"/>
  <c r="S353" i="1"/>
  <c r="M353" i="1"/>
  <c r="Z352" i="1"/>
  <c r="W352" i="1"/>
  <c r="T352" i="1"/>
  <c r="N352" i="1"/>
  <c r="J352" i="1"/>
  <c r="M352" i="1" s="1"/>
  <c r="O352" i="1" s="1"/>
  <c r="V351" i="1"/>
  <c r="S351" i="1"/>
  <c r="Y351" i="1" s="1"/>
  <c r="M351" i="1"/>
  <c r="V350" i="1"/>
  <c r="S350" i="1"/>
  <c r="M350" i="1"/>
  <c r="Z349" i="1"/>
  <c r="W349" i="1"/>
  <c r="T349" i="1"/>
  <c r="N349" i="1"/>
  <c r="L349" i="1"/>
  <c r="J349" i="1"/>
  <c r="M349" i="1" s="1"/>
  <c r="O349" i="1" s="1"/>
  <c r="V348" i="1"/>
  <c r="S348" i="1"/>
  <c r="Y348" i="1" s="1"/>
  <c r="M348" i="1"/>
  <c r="V347" i="1"/>
  <c r="S347" i="1"/>
  <c r="M347" i="1"/>
  <c r="Z346" i="1"/>
  <c r="W346" i="1"/>
  <c r="T346" i="1"/>
  <c r="N346" i="1"/>
  <c r="J346" i="1"/>
  <c r="M346" i="1" s="1"/>
  <c r="O346" i="1" s="1"/>
  <c r="V345" i="1"/>
  <c r="S345" i="1"/>
  <c r="Y345" i="1" s="1"/>
  <c r="M345" i="1"/>
  <c r="V344" i="1"/>
  <c r="S344" i="1"/>
  <c r="Y344" i="1" s="1"/>
  <c r="M344" i="1"/>
  <c r="V343" i="1"/>
  <c r="S343" i="1"/>
  <c r="Y343" i="1" s="1"/>
  <c r="M343" i="1"/>
  <c r="J342" i="1" s="1"/>
  <c r="W342" i="1"/>
  <c r="T342" i="1"/>
  <c r="Z342" i="1" s="1"/>
  <c r="P342" i="1"/>
  <c r="N342" i="1"/>
  <c r="V341" i="1"/>
  <c r="S341" i="1"/>
  <c r="M341" i="1"/>
  <c r="V340" i="1"/>
  <c r="S340" i="1"/>
  <c r="Y340" i="1" s="1"/>
  <c r="M340" i="1"/>
  <c r="W339" i="1"/>
  <c r="T339" i="1"/>
  <c r="Z339" i="1" s="1"/>
  <c r="N339" i="1"/>
  <c r="J339" i="1"/>
  <c r="V338" i="1"/>
  <c r="S338" i="1"/>
  <c r="Y338" i="1" s="1"/>
  <c r="M338" i="1"/>
  <c r="V337" i="1"/>
  <c r="S337" i="1"/>
  <c r="Y337" i="1" s="1"/>
  <c r="M337" i="1"/>
  <c r="V336" i="1"/>
  <c r="S336" i="1"/>
  <c r="Y336" i="1" s="1"/>
  <c r="M336" i="1"/>
  <c r="J335" i="1" s="1"/>
  <c r="Z335" i="1"/>
  <c r="W335" i="1"/>
  <c r="T335" i="1"/>
  <c r="N335" i="1"/>
  <c r="V334" i="1"/>
  <c r="S334" i="1"/>
  <c r="Y334" i="1" s="1"/>
  <c r="M334" i="1"/>
  <c r="V333" i="1"/>
  <c r="S333" i="1"/>
  <c r="Y333" i="1" s="1"/>
  <c r="M333" i="1"/>
  <c r="V332" i="1"/>
  <c r="S332" i="1"/>
  <c r="Y332" i="1" s="1"/>
  <c r="M332" i="1"/>
  <c r="V331" i="1"/>
  <c r="S331" i="1"/>
  <c r="Y331" i="1" s="1"/>
  <c r="M331" i="1"/>
  <c r="V330" i="1"/>
  <c r="S330" i="1"/>
  <c r="Y330" i="1" s="1"/>
  <c r="M330" i="1"/>
  <c r="V329" i="1"/>
  <c r="S329" i="1"/>
  <c r="Y329" i="1" s="1"/>
  <c r="M329" i="1"/>
  <c r="V328" i="1"/>
  <c r="S328" i="1"/>
  <c r="Y328" i="1" s="1"/>
  <c r="M328" i="1"/>
  <c r="V327" i="1"/>
  <c r="S327" i="1"/>
  <c r="M327" i="1"/>
  <c r="Z326" i="1"/>
  <c r="X326" i="1"/>
  <c r="W326" i="1"/>
  <c r="W325" i="1"/>
  <c r="T325" i="1"/>
  <c r="Z325" i="1" s="1"/>
  <c r="N325" i="1"/>
  <c r="Y324" i="1"/>
  <c r="V324" i="1"/>
  <c r="S324" i="1"/>
  <c r="M324" i="1"/>
  <c r="V323" i="1"/>
  <c r="S323" i="1"/>
  <c r="Y323" i="1" s="1"/>
  <c r="M323" i="1"/>
  <c r="Y322" i="1"/>
  <c r="V322" i="1"/>
  <c r="S322" i="1"/>
  <c r="M322" i="1"/>
  <c r="V321" i="1"/>
  <c r="S321" i="1"/>
  <c r="Y321" i="1" s="1"/>
  <c r="M321" i="1"/>
  <c r="Y320" i="1"/>
  <c r="V320" i="1"/>
  <c r="S320" i="1"/>
  <c r="M320" i="1"/>
  <c r="V319" i="1"/>
  <c r="S319" i="1"/>
  <c r="Y319" i="1" s="1"/>
  <c r="M319" i="1"/>
  <c r="Y318" i="1"/>
  <c r="V318" i="1"/>
  <c r="S318" i="1"/>
  <c r="M318" i="1"/>
  <c r="V317" i="1"/>
  <c r="S317" i="1"/>
  <c r="M317" i="1"/>
  <c r="J315" i="1" s="1"/>
  <c r="Z316" i="1"/>
  <c r="X316" i="1"/>
  <c r="W316" i="1"/>
  <c r="Z315" i="1"/>
  <c r="W315" i="1"/>
  <c r="T315" i="1"/>
  <c r="N315" i="1"/>
  <c r="M315" i="1"/>
  <c r="O315" i="1" s="1"/>
  <c r="L315" i="1"/>
  <c r="Y314" i="1"/>
  <c r="V314" i="1"/>
  <c r="S314" i="1"/>
  <c r="M314" i="1"/>
  <c r="V313" i="1"/>
  <c r="S313" i="1"/>
  <c r="Y313" i="1" s="1"/>
  <c r="M313" i="1"/>
  <c r="Y312" i="1"/>
  <c r="V312" i="1"/>
  <c r="S312" i="1"/>
  <c r="M312" i="1"/>
  <c r="V311" i="1"/>
  <c r="S311" i="1"/>
  <c r="Y311" i="1" s="1"/>
  <c r="M311" i="1"/>
  <c r="Y310" i="1"/>
  <c r="V310" i="1"/>
  <c r="S310" i="1"/>
  <c r="M310" i="1"/>
  <c r="V309" i="1"/>
  <c r="S309" i="1"/>
  <c r="Y309" i="1" s="1"/>
  <c r="M309" i="1"/>
  <c r="Y308" i="1"/>
  <c r="V308" i="1"/>
  <c r="S308" i="1"/>
  <c r="M308" i="1"/>
  <c r="V307" i="1"/>
  <c r="S307" i="1"/>
  <c r="Y307" i="1" s="1"/>
  <c r="M307" i="1"/>
  <c r="Z306" i="1"/>
  <c r="X306" i="1"/>
  <c r="W306" i="1"/>
  <c r="Z305" i="1"/>
  <c r="W305" i="1"/>
  <c r="T305" i="1"/>
  <c r="O305" i="1"/>
  <c r="N305" i="1"/>
  <c r="M305" i="1"/>
  <c r="L305" i="1"/>
  <c r="J305" i="1"/>
  <c r="V304" i="1"/>
  <c r="S304" i="1"/>
  <c r="Y304" i="1" s="1"/>
  <c r="M304" i="1"/>
  <c r="V303" i="1"/>
  <c r="S303" i="1"/>
  <c r="Y303" i="1" s="1"/>
  <c r="M303" i="1"/>
  <c r="Y302" i="1"/>
  <c r="V302" i="1"/>
  <c r="S302" i="1"/>
  <c r="M302" i="1"/>
  <c r="V301" i="1"/>
  <c r="S301" i="1"/>
  <c r="Y301" i="1" s="1"/>
  <c r="M301" i="1"/>
  <c r="Y300" i="1"/>
  <c r="V300" i="1"/>
  <c r="S300" i="1"/>
  <c r="M300" i="1"/>
  <c r="V299" i="1"/>
  <c r="S299" i="1"/>
  <c r="M299" i="1"/>
  <c r="Z298" i="1"/>
  <c r="X298" i="1"/>
  <c r="W298" i="1"/>
  <c r="W297" i="1"/>
  <c r="T297" i="1"/>
  <c r="Z297" i="1" s="1"/>
  <c r="N297" i="1"/>
  <c r="M297" i="1"/>
  <c r="O297" i="1" s="1"/>
  <c r="L297" i="1"/>
  <c r="J297" i="1"/>
  <c r="Y296" i="1"/>
  <c r="V296" i="1"/>
  <c r="S296" i="1"/>
  <c r="M296" i="1"/>
  <c r="V295" i="1"/>
  <c r="S295" i="1"/>
  <c r="Y295" i="1" s="1"/>
  <c r="M295" i="1"/>
  <c r="V294" i="1"/>
  <c r="S294" i="1"/>
  <c r="Y294" i="1" s="1"/>
  <c r="M294" i="1"/>
  <c r="V293" i="1"/>
  <c r="S293" i="1"/>
  <c r="Y293" i="1" s="1"/>
  <c r="M293" i="1"/>
  <c r="V292" i="1"/>
  <c r="S292" i="1"/>
  <c r="Y292" i="1" s="1"/>
  <c r="M292" i="1"/>
  <c r="V291" i="1"/>
  <c r="S291" i="1"/>
  <c r="Y291" i="1" s="1"/>
  <c r="M291" i="1"/>
  <c r="V290" i="1"/>
  <c r="S290" i="1"/>
  <c r="Y290" i="1" s="1"/>
  <c r="M290" i="1"/>
  <c r="V289" i="1"/>
  <c r="S289" i="1"/>
  <c r="M289" i="1"/>
  <c r="Z288" i="1"/>
  <c r="X288" i="1"/>
  <c r="W288" i="1"/>
  <c r="W287" i="1"/>
  <c r="T287" i="1"/>
  <c r="Z287" i="1" s="1"/>
  <c r="N287" i="1"/>
  <c r="Y286" i="1"/>
  <c r="V286" i="1"/>
  <c r="S286" i="1"/>
  <c r="M286" i="1"/>
  <c r="Y285" i="1"/>
  <c r="V285" i="1"/>
  <c r="S285" i="1"/>
  <c r="M285" i="1"/>
  <c r="Y284" i="1"/>
  <c r="V284" i="1"/>
  <c r="S284" i="1"/>
  <c r="M284" i="1"/>
  <c r="Y283" i="1"/>
  <c r="V283" i="1"/>
  <c r="S283" i="1"/>
  <c r="M283" i="1"/>
  <c r="Y282" i="1"/>
  <c r="V282" i="1"/>
  <c r="S282" i="1"/>
  <c r="M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J277" i="1" s="1"/>
  <c r="Z278" i="1"/>
  <c r="X278" i="1"/>
  <c r="W278" i="1"/>
  <c r="Z277" i="1"/>
  <c r="W277" i="1"/>
  <c r="V277" i="1"/>
  <c r="T277" i="1"/>
  <c r="S277" i="1"/>
  <c r="R277" i="1"/>
  <c r="X277" i="1" s="1"/>
  <c r="P277" i="1"/>
  <c r="N277" i="1"/>
  <c r="Y276" i="1"/>
  <c r="V276" i="1"/>
  <c r="S276" i="1"/>
  <c r="M276" i="1"/>
  <c r="Y275" i="1"/>
  <c r="V275" i="1"/>
  <c r="S275" i="1"/>
  <c r="M275" i="1"/>
  <c r="Y274" i="1"/>
  <c r="V274" i="1"/>
  <c r="S274" i="1"/>
  <c r="P273" i="1" s="1"/>
  <c r="M274" i="1"/>
  <c r="Z273" i="1"/>
  <c r="W273" i="1"/>
  <c r="T273" i="1"/>
  <c r="N273" i="1"/>
  <c r="M273" i="1"/>
  <c r="O273" i="1" s="1"/>
  <c r="L273" i="1"/>
  <c r="J273" i="1"/>
  <c r="Y272" i="1"/>
  <c r="V272" i="1"/>
  <c r="S272" i="1"/>
  <c r="M272" i="1"/>
  <c r="Y271" i="1"/>
  <c r="V271" i="1"/>
  <c r="S271" i="1"/>
  <c r="M271" i="1"/>
  <c r="J269" i="1" s="1"/>
  <c r="Y270" i="1"/>
  <c r="V270" i="1"/>
  <c r="S270" i="1"/>
  <c r="M270" i="1"/>
  <c r="Z269" i="1"/>
  <c r="W269" i="1"/>
  <c r="T269" i="1"/>
  <c r="S269" i="1"/>
  <c r="R269" i="1"/>
  <c r="X269" i="1" s="1"/>
  <c r="P269" i="1"/>
  <c r="V269" i="1" s="1"/>
  <c r="N269" i="1"/>
  <c r="Y268" i="1"/>
  <c r="V268" i="1"/>
  <c r="S268" i="1"/>
  <c r="M268" i="1"/>
  <c r="Y267" i="1"/>
  <c r="V267" i="1"/>
  <c r="S267" i="1"/>
  <c r="M267" i="1"/>
  <c r="Y266" i="1"/>
  <c r="V266" i="1"/>
  <c r="S266" i="1"/>
  <c r="P265" i="1" s="1"/>
  <c r="V265" i="1" s="1"/>
  <c r="M266" i="1"/>
  <c r="Z265" i="1"/>
  <c r="W265" i="1"/>
  <c r="T265" i="1"/>
  <c r="N265" i="1"/>
  <c r="M265" i="1"/>
  <c r="O265" i="1" s="1"/>
  <c r="L265" i="1"/>
  <c r="J265" i="1"/>
  <c r="Y264" i="1"/>
  <c r="V264" i="1"/>
  <c r="S264" i="1"/>
  <c r="M264" i="1"/>
  <c r="Y263" i="1"/>
  <c r="V263" i="1"/>
  <c r="S263" i="1"/>
  <c r="M263" i="1"/>
  <c r="Y262" i="1"/>
  <c r="V262" i="1"/>
  <c r="S262" i="1"/>
  <c r="M262" i="1"/>
  <c r="Y261" i="1"/>
  <c r="V261" i="1"/>
  <c r="S261" i="1"/>
  <c r="M261" i="1"/>
  <c r="Y260" i="1"/>
  <c r="V260" i="1"/>
  <c r="S260" i="1"/>
  <c r="M260" i="1"/>
  <c r="Y259" i="1"/>
  <c r="V259" i="1"/>
  <c r="S259" i="1"/>
  <c r="M259" i="1"/>
  <c r="J257" i="1" s="1"/>
  <c r="Z258" i="1"/>
  <c r="X258" i="1"/>
  <c r="W258" i="1"/>
  <c r="Z257" i="1"/>
  <c r="W257" i="1"/>
  <c r="T257" i="1"/>
  <c r="P257" i="1"/>
  <c r="N257" i="1"/>
  <c r="V256" i="1"/>
  <c r="S256" i="1"/>
  <c r="Y256" i="1" s="1"/>
  <c r="M256" i="1"/>
  <c r="V255" i="1"/>
  <c r="S255" i="1"/>
  <c r="Y255" i="1" s="1"/>
  <c r="M255" i="1"/>
  <c r="V254" i="1"/>
  <c r="S254" i="1"/>
  <c r="Y254" i="1" s="1"/>
  <c r="M254" i="1"/>
  <c r="V253" i="1"/>
  <c r="S253" i="1"/>
  <c r="Y253" i="1" s="1"/>
  <c r="M253" i="1"/>
  <c r="V252" i="1"/>
  <c r="S252" i="1"/>
  <c r="Y252" i="1" s="1"/>
  <c r="M252" i="1"/>
  <c r="V251" i="1"/>
  <c r="S251" i="1"/>
  <c r="Y251" i="1" s="1"/>
  <c r="M251" i="1"/>
  <c r="V250" i="1"/>
  <c r="S250" i="1"/>
  <c r="Y250" i="1" s="1"/>
  <c r="M250" i="1"/>
  <c r="V249" i="1"/>
  <c r="S249" i="1"/>
  <c r="Y249" i="1" s="1"/>
  <c r="M249" i="1"/>
  <c r="Z248" i="1"/>
  <c r="X248" i="1"/>
  <c r="W248" i="1"/>
  <c r="W247" i="1"/>
  <c r="T247" i="1"/>
  <c r="Z247" i="1" s="1"/>
  <c r="P247" i="1"/>
  <c r="R247" i="1" s="1"/>
  <c r="X247" i="1" s="1"/>
  <c r="N247" i="1"/>
  <c r="L247" i="1"/>
  <c r="J247" i="1"/>
  <c r="M247" i="1" s="1"/>
  <c r="O247" i="1" s="1"/>
  <c r="V246" i="1"/>
  <c r="S246" i="1"/>
  <c r="Y246" i="1" s="1"/>
  <c r="M246" i="1"/>
  <c r="V245" i="1"/>
  <c r="S245" i="1"/>
  <c r="Y245" i="1" s="1"/>
  <c r="M245" i="1"/>
  <c r="V244" i="1"/>
  <c r="S244" i="1"/>
  <c r="Y244" i="1" s="1"/>
  <c r="M244" i="1"/>
  <c r="V243" i="1"/>
  <c r="S243" i="1"/>
  <c r="Y243" i="1" s="1"/>
  <c r="M243" i="1"/>
  <c r="V242" i="1"/>
  <c r="S242" i="1"/>
  <c r="Y242" i="1" s="1"/>
  <c r="M242" i="1"/>
  <c r="V241" i="1"/>
  <c r="S241" i="1"/>
  <c r="Y241" i="1" s="1"/>
  <c r="M241" i="1"/>
  <c r="V240" i="1"/>
  <c r="S240" i="1"/>
  <c r="Y240" i="1" s="1"/>
  <c r="M240" i="1"/>
  <c r="V239" i="1"/>
  <c r="S239" i="1"/>
  <c r="M239" i="1"/>
  <c r="Z238" i="1"/>
  <c r="X238" i="1"/>
  <c r="W238" i="1"/>
  <c r="W237" i="1"/>
  <c r="T237" i="1"/>
  <c r="Z237" i="1" s="1"/>
  <c r="N237" i="1"/>
  <c r="Y236" i="1"/>
  <c r="V236" i="1"/>
  <c r="S236" i="1"/>
  <c r="M236" i="1"/>
  <c r="Y235" i="1"/>
  <c r="V235" i="1"/>
  <c r="S235" i="1"/>
  <c r="M235" i="1"/>
  <c r="Y234" i="1"/>
  <c r="V234" i="1"/>
  <c r="S234" i="1"/>
  <c r="M234" i="1"/>
  <c r="Y233" i="1"/>
  <c r="V233" i="1"/>
  <c r="S233" i="1"/>
  <c r="M233" i="1"/>
  <c r="Y232" i="1"/>
  <c r="V232" i="1"/>
  <c r="S232" i="1"/>
  <c r="M232" i="1"/>
  <c r="Y231" i="1"/>
  <c r="V231" i="1"/>
  <c r="S231" i="1"/>
  <c r="M231" i="1"/>
  <c r="J229" i="1" s="1"/>
  <c r="Z230" i="1"/>
  <c r="X230" i="1"/>
  <c r="W230" i="1"/>
  <c r="Z229" i="1"/>
  <c r="W229" i="1"/>
  <c r="V229" i="1"/>
  <c r="T229" i="1"/>
  <c r="S229" i="1"/>
  <c r="R229" i="1"/>
  <c r="X229" i="1" s="1"/>
  <c r="P229" i="1"/>
  <c r="N229" i="1"/>
  <c r="Y228" i="1"/>
  <c r="V228" i="1"/>
  <c r="S228" i="1"/>
  <c r="M228" i="1"/>
  <c r="Y227" i="1"/>
  <c r="V227" i="1"/>
  <c r="S227" i="1"/>
  <c r="M227" i="1"/>
  <c r="Y226" i="1"/>
  <c r="V226" i="1"/>
  <c r="S226" i="1"/>
  <c r="M226" i="1"/>
  <c r="Y225" i="1"/>
  <c r="V225" i="1"/>
  <c r="S225" i="1"/>
  <c r="M225" i="1"/>
  <c r="Y224" i="1"/>
  <c r="V224" i="1"/>
  <c r="S224" i="1"/>
  <c r="M224" i="1"/>
  <c r="Y223" i="1"/>
  <c r="V223" i="1"/>
  <c r="S223" i="1"/>
  <c r="M223" i="1"/>
  <c r="Z222" i="1"/>
  <c r="X222" i="1"/>
  <c r="W222" i="1"/>
  <c r="Z221" i="1"/>
  <c r="W221" i="1"/>
  <c r="V221" i="1"/>
  <c r="U221" i="1"/>
  <c r="T221" i="1"/>
  <c r="R221" i="1"/>
  <c r="X221" i="1" s="1"/>
  <c r="P221" i="1"/>
  <c r="S221" i="1" s="1"/>
  <c r="Y221" i="1" s="1"/>
  <c r="AA221" i="1" s="1"/>
  <c r="N221" i="1"/>
  <c r="M221" i="1"/>
  <c r="O221" i="1" s="1"/>
  <c r="L221" i="1"/>
  <c r="J221" i="1"/>
  <c r="V220" i="1"/>
  <c r="S220" i="1"/>
  <c r="Y220" i="1" s="1"/>
  <c r="M220" i="1"/>
  <c r="V219" i="1"/>
  <c r="S219" i="1"/>
  <c r="Y219" i="1" s="1"/>
  <c r="M219" i="1"/>
  <c r="V218" i="1"/>
  <c r="S218" i="1"/>
  <c r="Y218" i="1" s="1"/>
  <c r="M218" i="1"/>
  <c r="V217" i="1"/>
  <c r="S217" i="1"/>
  <c r="Y217" i="1" s="1"/>
  <c r="M217" i="1"/>
  <c r="V216" i="1"/>
  <c r="S216" i="1"/>
  <c r="Y216" i="1" s="1"/>
  <c r="M216" i="1"/>
  <c r="V215" i="1"/>
  <c r="S215" i="1"/>
  <c r="Y215" i="1" s="1"/>
  <c r="M215" i="1"/>
  <c r="V214" i="1"/>
  <c r="S214" i="1"/>
  <c r="Y214" i="1" s="1"/>
  <c r="M214" i="1"/>
  <c r="V213" i="1"/>
  <c r="S213" i="1"/>
  <c r="Y213" i="1" s="1"/>
  <c r="M213" i="1"/>
  <c r="Z212" i="1"/>
  <c r="X212" i="1"/>
  <c r="W212" i="1"/>
  <c r="W211" i="1"/>
  <c r="T211" i="1"/>
  <c r="Z211" i="1" s="1"/>
  <c r="O211" i="1"/>
  <c r="N211" i="1"/>
  <c r="L211" i="1"/>
  <c r="J211" i="1"/>
  <c r="M211" i="1" s="1"/>
  <c r="V210" i="1"/>
  <c r="S210" i="1"/>
  <c r="Y210" i="1" s="1"/>
  <c r="M210" i="1"/>
  <c r="V209" i="1"/>
  <c r="S209" i="1"/>
  <c r="Y209" i="1" s="1"/>
  <c r="M209" i="1"/>
  <c r="V208" i="1"/>
  <c r="S208" i="1"/>
  <c r="Y208" i="1" s="1"/>
  <c r="M208" i="1"/>
  <c r="V207" i="1"/>
  <c r="S207" i="1"/>
  <c r="Y207" i="1" s="1"/>
  <c r="M207" i="1"/>
  <c r="V206" i="1"/>
  <c r="S206" i="1"/>
  <c r="Y206" i="1" s="1"/>
  <c r="M206" i="1"/>
  <c r="V205" i="1"/>
  <c r="S205" i="1"/>
  <c r="Y205" i="1" s="1"/>
  <c r="M205" i="1"/>
  <c r="V204" i="1"/>
  <c r="S204" i="1"/>
  <c r="Y204" i="1" s="1"/>
  <c r="M204" i="1"/>
  <c r="V203" i="1"/>
  <c r="S203" i="1"/>
  <c r="P201" i="1" s="1"/>
  <c r="M203" i="1"/>
  <c r="Z202" i="1"/>
  <c r="X202" i="1"/>
  <c r="W202" i="1"/>
  <c r="W201" i="1"/>
  <c r="T201" i="1"/>
  <c r="S201" i="1"/>
  <c r="N201" i="1"/>
  <c r="J201" i="1"/>
  <c r="N200" i="1"/>
  <c r="N199" i="1" s="1"/>
  <c r="V198" i="1"/>
  <c r="S198" i="1"/>
  <c r="Y198" i="1" s="1"/>
  <c r="M198" i="1"/>
  <c r="V197" i="1"/>
  <c r="S197" i="1"/>
  <c r="M197" i="1"/>
  <c r="Z196" i="1"/>
  <c r="W196" i="1"/>
  <c r="T196" i="1"/>
  <c r="N196" i="1"/>
  <c r="M196" i="1"/>
  <c r="O196" i="1" s="1"/>
  <c r="L196" i="1"/>
  <c r="J196" i="1"/>
  <c r="V195" i="1"/>
  <c r="S195" i="1"/>
  <c r="Y195" i="1" s="1"/>
  <c r="M195" i="1"/>
  <c r="V194" i="1"/>
  <c r="S194" i="1"/>
  <c r="Y194" i="1" s="1"/>
  <c r="M194" i="1"/>
  <c r="V193" i="1"/>
  <c r="S193" i="1"/>
  <c r="Y193" i="1" s="1"/>
  <c r="M193" i="1"/>
  <c r="V192" i="1"/>
  <c r="S192" i="1"/>
  <c r="Y192" i="1" s="1"/>
  <c r="M192" i="1"/>
  <c r="V191" i="1"/>
  <c r="S191" i="1"/>
  <c r="Y191" i="1" s="1"/>
  <c r="M191" i="1"/>
  <c r="V190" i="1"/>
  <c r="S190" i="1"/>
  <c r="Y190" i="1" s="1"/>
  <c r="M190" i="1"/>
  <c r="V189" i="1"/>
  <c r="S189" i="1"/>
  <c r="Y189" i="1" s="1"/>
  <c r="M189" i="1"/>
  <c r="V188" i="1"/>
  <c r="S188" i="1"/>
  <c r="Y188" i="1" s="1"/>
  <c r="M188" i="1"/>
  <c r="Z187" i="1"/>
  <c r="X187" i="1"/>
  <c r="W187" i="1"/>
  <c r="W186" i="1"/>
  <c r="T186" i="1"/>
  <c r="Z186" i="1" s="1"/>
  <c r="P186" i="1"/>
  <c r="N186" i="1"/>
  <c r="J186" i="1"/>
  <c r="M186" i="1" s="1"/>
  <c r="O186" i="1" s="1"/>
  <c r="V185" i="1"/>
  <c r="S185" i="1"/>
  <c r="Y185" i="1" s="1"/>
  <c r="M185" i="1"/>
  <c r="V184" i="1"/>
  <c r="S184" i="1"/>
  <c r="Y184" i="1" s="1"/>
  <c r="M184" i="1"/>
  <c r="V183" i="1"/>
  <c r="S183" i="1"/>
  <c r="Y183" i="1" s="1"/>
  <c r="M183" i="1"/>
  <c r="V182" i="1"/>
  <c r="S182" i="1"/>
  <c r="Y182" i="1" s="1"/>
  <c r="M182" i="1"/>
  <c r="V181" i="1"/>
  <c r="S181" i="1"/>
  <c r="Y181" i="1" s="1"/>
  <c r="M181" i="1"/>
  <c r="V180" i="1"/>
  <c r="S180" i="1"/>
  <c r="Y180" i="1" s="1"/>
  <c r="M180" i="1"/>
  <c r="V179" i="1"/>
  <c r="S179" i="1"/>
  <c r="Y179" i="1" s="1"/>
  <c r="M179" i="1"/>
  <c r="V178" i="1"/>
  <c r="S178" i="1"/>
  <c r="P176" i="1" s="1"/>
  <c r="M178" i="1"/>
  <c r="Z177" i="1"/>
  <c r="X177" i="1"/>
  <c r="W177" i="1"/>
  <c r="W176" i="1"/>
  <c r="T176" i="1"/>
  <c r="Z176" i="1" s="1"/>
  <c r="S176" i="1"/>
  <c r="N176" i="1"/>
  <c r="J176" i="1"/>
  <c r="Y175" i="1"/>
  <c r="V175" i="1"/>
  <c r="S175" i="1"/>
  <c r="M175" i="1"/>
  <c r="Y174" i="1"/>
  <c r="V174" i="1"/>
  <c r="S174" i="1"/>
  <c r="M174" i="1"/>
  <c r="Y173" i="1"/>
  <c r="V173" i="1"/>
  <c r="S173" i="1"/>
  <c r="M173" i="1"/>
  <c r="Y172" i="1"/>
  <c r="V172" i="1"/>
  <c r="S172" i="1"/>
  <c r="M172" i="1"/>
  <c r="J170" i="1" s="1"/>
  <c r="L170" i="1" s="1"/>
  <c r="Z171" i="1"/>
  <c r="X171" i="1"/>
  <c r="W171" i="1"/>
  <c r="Z170" i="1"/>
  <c r="W170" i="1"/>
  <c r="V170" i="1"/>
  <c r="T170" i="1"/>
  <c r="S170" i="1"/>
  <c r="Y170" i="1" s="1"/>
  <c r="AA170" i="1" s="1"/>
  <c r="R170" i="1"/>
  <c r="X170" i="1" s="1"/>
  <c r="P170" i="1"/>
  <c r="N170" i="1"/>
  <c r="M170" i="1"/>
  <c r="O170" i="1" s="1"/>
  <c r="Y169" i="1"/>
  <c r="V169" i="1"/>
  <c r="S169" i="1"/>
  <c r="M169" i="1"/>
  <c r="Y168" i="1"/>
  <c r="V168" i="1"/>
  <c r="S168" i="1"/>
  <c r="M168" i="1"/>
  <c r="Y167" i="1"/>
  <c r="V167" i="1"/>
  <c r="S167" i="1"/>
  <c r="M167" i="1"/>
  <c r="Y166" i="1"/>
  <c r="V166" i="1"/>
  <c r="S166" i="1"/>
  <c r="M166" i="1"/>
  <c r="Y165" i="1"/>
  <c r="V165" i="1"/>
  <c r="S165" i="1"/>
  <c r="M165" i="1"/>
  <c r="Y164" i="1"/>
  <c r="V164" i="1"/>
  <c r="S164" i="1"/>
  <c r="M164" i="1"/>
  <c r="Z163" i="1"/>
  <c r="X163" i="1"/>
  <c r="W163" i="1"/>
  <c r="Z162" i="1"/>
  <c r="W162" i="1"/>
  <c r="T162" i="1"/>
  <c r="R162" i="1"/>
  <c r="X162" i="1" s="1"/>
  <c r="P162" i="1"/>
  <c r="N162" i="1"/>
  <c r="M162" i="1"/>
  <c r="O162" i="1" s="1"/>
  <c r="L162" i="1"/>
  <c r="J162" i="1"/>
  <c r="V161" i="1"/>
  <c r="S161" i="1"/>
  <c r="Y161" i="1" s="1"/>
  <c r="M161" i="1"/>
  <c r="V160" i="1"/>
  <c r="S160" i="1"/>
  <c r="Y160" i="1" s="1"/>
  <c r="M160" i="1"/>
  <c r="V159" i="1"/>
  <c r="S159" i="1"/>
  <c r="Y159" i="1" s="1"/>
  <c r="M159" i="1"/>
  <c r="V158" i="1"/>
  <c r="S158" i="1"/>
  <c r="Y158" i="1" s="1"/>
  <c r="M158" i="1"/>
  <c r="V157" i="1"/>
  <c r="S157" i="1"/>
  <c r="Y157" i="1" s="1"/>
  <c r="M157" i="1"/>
  <c r="V156" i="1"/>
  <c r="S156" i="1"/>
  <c r="Y156" i="1" s="1"/>
  <c r="M156" i="1"/>
  <c r="V155" i="1"/>
  <c r="S155" i="1"/>
  <c r="Y155" i="1" s="1"/>
  <c r="M155" i="1"/>
  <c r="V154" i="1"/>
  <c r="S154" i="1"/>
  <c r="Y154" i="1" s="1"/>
  <c r="M154" i="1"/>
  <c r="Z153" i="1"/>
  <c r="X153" i="1"/>
  <c r="W153" i="1"/>
  <c r="W152" i="1"/>
  <c r="T152" i="1"/>
  <c r="P152" i="1"/>
  <c r="R152" i="1" s="1"/>
  <c r="X152" i="1" s="1"/>
  <c r="N152" i="1"/>
  <c r="J152" i="1"/>
  <c r="M152" i="1" s="1"/>
  <c r="O152" i="1" s="1"/>
  <c r="V151" i="1"/>
  <c r="S151" i="1"/>
  <c r="Y151" i="1" s="1"/>
  <c r="M151" i="1"/>
  <c r="V150" i="1"/>
  <c r="S150" i="1"/>
  <c r="Y150" i="1" s="1"/>
  <c r="M150" i="1"/>
  <c r="V149" i="1"/>
  <c r="S149" i="1"/>
  <c r="Y149" i="1" s="1"/>
  <c r="M149" i="1"/>
  <c r="V148" i="1"/>
  <c r="S148" i="1"/>
  <c r="Y148" i="1" s="1"/>
  <c r="M148" i="1"/>
  <c r="V147" i="1"/>
  <c r="S147" i="1"/>
  <c r="Y147" i="1" s="1"/>
  <c r="M147" i="1"/>
  <c r="V146" i="1"/>
  <c r="S146" i="1"/>
  <c r="Y146" i="1" s="1"/>
  <c r="M146" i="1"/>
  <c r="V145" i="1"/>
  <c r="S145" i="1"/>
  <c r="Y145" i="1" s="1"/>
  <c r="M145" i="1"/>
  <c r="V144" i="1"/>
  <c r="S144" i="1"/>
  <c r="M144" i="1"/>
  <c r="J142" i="1" s="1"/>
  <c r="Z143" i="1"/>
  <c r="X143" i="1"/>
  <c r="W143" i="1"/>
  <c r="W142" i="1"/>
  <c r="T142" i="1"/>
  <c r="Z142" i="1" s="1"/>
  <c r="N142" i="1"/>
  <c r="Y141" i="1"/>
  <c r="V141" i="1"/>
  <c r="S141" i="1"/>
  <c r="M141" i="1"/>
  <c r="Y140" i="1"/>
  <c r="V140" i="1"/>
  <c r="S140" i="1"/>
  <c r="M140" i="1"/>
  <c r="Y139" i="1"/>
  <c r="V139" i="1"/>
  <c r="S139" i="1"/>
  <c r="M139" i="1"/>
  <c r="Y138" i="1"/>
  <c r="V138" i="1"/>
  <c r="S138" i="1"/>
  <c r="M138" i="1"/>
  <c r="Y137" i="1"/>
  <c r="V137" i="1"/>
  <c r="S137" i="1"/>
  <c r="M137" i="1"/>
  <c r="Y136" i="1"/>
  <c r="V136" i="1"/>
  <c r="S136" i="1"/>
  <c r="M136" i="1"/>
  <c r="Y135" i="1"/>
  <c r="V135" i="1"/>
  <c r="S135" i="1"/>
  <c r="M135" i="1"/>
  <c r="Y134" i="1"/>
  <c r="V134" i="1"/>
  <c r="S134" i="1"/>
  <c r="M134" i="1"/>
  <c r="J132" i="1" s="1"/>
  <c r="Z133" i="1"/>
  <c r="X133" i="1"/>
  <c r="W133" i="1"/>
  <c r="Z132" i="1"/>
  <c r="W132" i="1"/>
  <c r="V132" i="1"/>
  <c r="T132" i="1"/>
  <c r="S132" i="1"/>
  <c r="R132" i="1"/>
  <c r="X132" i="1" s="1"/>
  <c r="P132" i="1"/>
  <c r="N132" i="1"/>
  <c r="Y130" i="1"/>
  <c r="V130" i="1"/>
  <c r="S130" i="1"/>
  <c r="M130" i="1"/>
  <c r="Y129" i="1"/>
  <c r="V129" i="1"/>
  <c r="S129" i="1"/>
  <c r="P127" i="1" s="1"/>
  <c r="M129" i="1"/>
  <c r="J127" i="1" s="1"/>
  <c r="L127" i="1" s="1"/>
  <c r="Z128" i="1"/>
  <c r="X128" i="1"/>
  <c r="W128" i="1"/>
  <c r="Z127" i="1"/>
  <c r="W127" i="1"/>
  <c r="T127" i="1"/>
  <c r="N127" i="1"/>
  <c r="N114" i="1" s="1"/>
  <c r="M127" i="1"/>
  <c r="O127" i="1" s="1"/>
  <c r="Y126" i="1"/>
  <c r="V126" i="1"/>
  <c r="S126" i="1"/>
  <c r="M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Z122" i="1"/>
  <c r="X122" i="1"/>
  <c r="W122" i="1"/>
  <c r="Z121" i="1"/>
  <c r="W121" i="1"/>
  <c r="T121" i="1"/>
  <c r="P121" i="1"/>
  <c r="R121" i="1" s="1"/>
  <c r="X121" i="1" s="1"/>
  <c r="N121" i="1"/>
  <c r="M121" i="1"/>
  <c r="O121" i="1" s="1"/>
  <c r="L121" i="1"/>
  <c r="J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Z116" i="1"/>
  <c r="X116" i="1"/>
  <c r="W116" i="1"/>
  <c r="W115" i="1"/>
  <c r="T115" i="1"/>
  <c r="P115" i="1"/>
  <c r="R115" i="1" s="1"/>
  <c r="X115" i="1" s="1"/>
  <c r="N115" i="1"/>
  <c r="J115" i="1"/>
  <c r="M115" i="1" s="1"/>
  <c r="V113" i="1"/>
  <c r="S113" i="1"/>
  <c r="Y113" i="1" s="1"/>
  <c r="M113" i="1"/>
  <c r="V112" i="1"/>
  <c r="S112" i="1"/>
  <c r="Y112" i="1" s="1"/>
  <c r="M112" i="1"/>
  <c r="V111" i="1"/>
  <c r="S111" i="1"/>
  <c r="Y111" i="1" s="1"/>
  <c r="M111" i="1"/>
  <c r="Z110" i="1"/>
  <c r="W110" i="1"/>
  <c r="T110" i="1"/>
  <c r="P110" i="1"/>
  <c r="N110" i="1"/>
  <c r="M110" i="1"/>
  <c r="O110" i="1" s="1"/>
  <c r="L110" i="1"/>
  <c r="J110" i="1"/>
  <c r="V109" i="1"/>
  <c r="S109" i="1"/>
  <c r="Y109" i="1" s="1"/>
  <c r="M109" i="1"/>
  <c r="V108" i="1"/>
  <c r="S108" i="1"/>
  <c r="Y108" i="1" s="1"/>
  <c r="M108" i="1"/>
  <c r="V107" i="1"/>
  <c r="S107" i="1"/>
  <c r="Y107" i="1" s="1"/>
  <c r="M107" i="1"/>
  <c r="V106" i="1"/>
  <c r="S106" i="1"/>
  <c r="Y106" i="1" s="1"/>
  <c r="M106" i="1"/>
  <c r="V105" i="1"/>
  <c r="S105" i="1"/>
  <c r="Y105" i="1" s="1"/>
  <c r="M105" i="1"/>
  <c r="V104" i="1"/>
  <c r="S104" i="1"/>
  <c r="Y104" i="1" s="1"/>
  <c r="M104" i="1"/>
  <c r="Z103" i="1"/>
  <c r="X103" i="1"/>
  <c r="W103" i="1"/>
  <c r="W102" i="1"/>
  <c r="T102" i="1"/>
  <c r="Z102" i="1" s="1"/>
  <c r="P102" i="1"/>
  <c r="R102" i="1" s="1"/>
  <c r="X102" i="1" s="1"/>
  <c r="N102" i="1"/>
  <c r="J102" i="1"/>
  <c r="M102" i="1" s="1"/>
  <c r="O102" i="1" s="1"/>
  <c r="V101" i="1"/>
  <c r="S101" i="1"/>
  <c r="Y101" i="1" s="1"/>
  <c r="M101" i="1"/>
  <c r="V100" i="1"/>
  <c r="S100" i="1"/>
  <c r="Y100" i="1" s="1"/>
  <c r="M100" i="1"/>
  <c r="V99" i="1"/>
  <c r="S99" i="1"/>
  <c r="Y99" i="1" s="1"/>
  <c r="M99" i="1"/>
  <c r="V98" i="1"/>
  <c r="S98" i="1"/>
  <c r="Y98" i="1" s="1"/>
  <c r="M98" i="1"/>
  <c r="V97" i="1"/>
  <c r="S97" i="1"/>
  <c r="Y97" i="1" s="1"/>
  <c r="M97" i="1"/>
  <c r="V96" i="1"/>
  <c r="S96" i="1"/>
  <c r="Y96" i="1" s="1"/>
  <c r="M96" i="1"/>
  <c r="V95" i="1"/>
  <c r="S95" i="1"/>
  <c r="Y95" i="1" s="1"/>
  <c r="M95" i="1"/>
  <c r="V94" i="1"/>
  <c r="S94" i="1"/>
  <c r="M94" i="1"/>
  <c r="Z93" i="1"/>
  <c r="X93" i="1"/>
  <c r="W93" i="1"/>
  <c r="W92" i="1"/>
  <c r="T92" i="1"/>
  <c r="Z92" i="1" s="1"/>
  <c r="N92" i="1"/>
  <c r="Y91" i="1"/>
  <c r="V91" i="1"/>
  <c r="S91" i="1"/>
  <c r="M91" i="1"/>
  <c r="Y90" i="1"/>
  <c r="V90" i="1"/>
  <c r="S90" i="1"/>
  <c r="M90" i="1"/>
  <c r="Y89" i="1"/>
  <c r="V89" i="1"/>
  <c r="S89" i="1"/>
  <c r="M89" i="1"/>
  <c r="Y88" i="1"/>
  <c r="V88" i="1"/>
  <c r="S88" i="1"/>
  <c r="M88" i="1"/>
  <c r="Y87" i="1"/>
  <c r="V87" i="1"/>
  <c r="S87" i="1"/>
  <c r="M87" i="1"/>
  <c r="Y86" i="1"/>
  <c r="V86" i="1"/>
  <c r="S86" i="1"/>
  <c r="M86" i="1"/>
  <c r="J84" i="1" s="1"/>
  <c r="Z85" i="1"/>
  <c r="X85" i="1"/>
  <c r="W85" i="1"/>
  <c r="Z84" i="1"/>
  <c r="W84" i="1"/>
  <c r="V84" i="1"/>
  <c r="T84" i="1"/>
  <c r="S84" i="1"/>
  <c r="R84" i="1"/>
  <c r="X84" i="1" s="1"/>
  <c r="P84" i="1"/>
  <c r="N84" i="1"/>
  <c r="Y83" i="1"/>
  <c r="V83" i="1"/>
  <c r="S83" i="1"/>
  <c r="M83" i="1"/>
  <c r="Y82" i="1"/>
  <c r="V82" i="1"/>
  <c r="S82" i="1"/>
  <c r="M82" i="1"/>
  <c r="Y81" i="1"/>
  <c r="V81" i="1"/>
  <c r="S81" i="1"/>
  <c r="M81" i="1"/>
  <c r="Y80" i="1"/>
  <c r="V80" i="1"/>
  <c r="S80" i="1"/>
  <c r="M80" i="1"/>
  <c r="Y79" i="1"/>
  <c r="V79" i="1"/>
  <c r="S79" i="1"/>
  <c r="M79" i="1"/>
  <c r="Y78" i="1"/>
  <c r="V78" i="1"/>
  <c r="S78" i="1"/>
  <c r="M78" i="1"/>
  <c r="Y77" i="1"/>
  <c r="V77" i="1"/>
  <c r="S77" i="1"/>
  <c r="M77" i="1"/>
  <c r="Y76" i="1"/>
  <c r="V76" i="1"/>
  <c r="S76" i="1"/>
  <c r="M76" i="1"/>
  <c r="Z75" i="1"/>
  <c r="X75" i="1"/>
  <c r="W75" i="1"/>
  <c r="Z74" i="1"/>
  <c r="W74" i="1"/>
  <c r="V74" i="1"/>
  <c r="U74" i="1"/>
  <c r="T74" i="1"/>
  <c r="R74" i="1"/>
  <c r="X74" i="1" s="1"/>
  <c r="P74" i="1"/>
  <c r="S74" i="1" s="1"/>
  <c r="Y74" i="1" s="1"/>
  <c r="AA74" i="1" s="1"/>
  <c r="N74" i="1"/>
  <c r="M74" i="1"/>
  <c r="O74" i="1" s="1"/>
  <c r="L74" i="1"/>
  <c r="J74" i="1"/>
  <c r="V73" i="1"/>
  <c r="S73" i="1"/>
  <c r="Y73" i="1" s="1"/>
  <c r="M73" i="1"/>
  <c r="V72" i="1"/>
  <c r="S72" i="1"/>
  <c r="Y72" i="1" s="1"/>
  <c r="M72" i="1"/>
  <c r="Z71" i="1"/>
  <c r="X71" i="1"/>
  <c r="W71" i="1"/>
  <c r="W70" i="1"/>
  <c r="T70" i="1"/>
  <c r="Z70" i="1" s="1"/>
  <c r="P70" i="1"/>
  <c r="N70" i="1"/>
  <c r="L70" i="1"/>
  <c r="J70" i="1"/>
  <c r="M70" i="1" s="1"/>
  <c r="O70" i="1" s="1"/>
  <c r="V69" i="1"/>
  <c r="S69" i="1"/>
  <c r="Y69" i="1" s="1"/>
  <c r="M69" i="1"/>
  <c r="V68" i="1"/>
  <c r="S68" i="1"/>
  <c r="P66" i="1" s="1"/>
  <c r="M68" i="1"/>
  <c r="Z67" i="1"/>
  <c r="X67" i="1"/>
  <c r="W67" i="1"/>
  <c r="W66" i="1"/>
  <c r="T66" i="1"/>
  <c r="Z66" i="1" s="1"/>
  <c r="S66" i="1"/>
  <c r="N66" i="1"/>
  <c r="J66" i="1"/>
  <c r="Y65" i="1"/>
  <c r="V65" i="1"/>
  <c r="S65" i="1"/>
  <c r="M65" i="1"/>
  <c r="Y64" i="1"/>
  <c r="V64" i="1"/>
  <c r="S64" i="1"/>
  <c r="M64" i="1"/>
  <c r="Y63" i="1"/>
  <c r="V63" i="1"/>
  <c r="S63" i="1"/>
  <c r="M63" i="1"/>
  <c r="Y62" i="1"/>
  <c r="V62" i="1"/>
  <c r="S62" i="1"/>
  <c r="M62" i="1"/>
  <c r="J60" i="1" s="1"/>
  <c r="L60" i="1" s="1"/>
  <c r="Z61" i="1"/>
  <c r="X61" i="1"/>
  <c r="W61" i="1"/>
  <c r="Z60" i="1"/>
  <c r="W60" i="1"/>
  <c r="V60" i="1"/>
  <c r="T60" i="1"/>
  <c r="S60" i="1"/>
  <c r="Y60" i="1" s="1"/>
  <c r="R60" i="1"/>
  <c r="X60" i="1" s="1"/>
  <c r="P60" i="1"/>
  <c r="N60" i="1"/>
  <c r="Y54" i="1"/>
  <c r="V54" i="1"/>
  <c r="S54" i="1"/>
  <c r="M54" i="1"/>
  <c r="Y53" i="1"/>
  <c r="V53" i="1"/>
  <c r="S53" i="1"/>
  <c r="M53" i="1"/>
  <c r="J51" i="1" s="1"/>
  <c r="Y52" i="1"/>
  <c r="V52" i="1"/>
  <c r="S52" i="1"/>
  <c r="P51" i="1" s="1"/>
  <c r="M52" i="1"/>
  <c r="W51" i="1"/>
  <c r="T51" i="1"/>
  <c r="Z51" i="1" s="1"/>
  <c r="Z50" i="1" s="1"/>
  <c r="N51" i="1"/>
  <c r="N50" i="1" s="1"/>
  <c r="T50" i="1"/>
  <c r="V49" i="1"/>
  <c r="S49" i="1"/>
  <c r="Y49" i="1" s="1"/>
  <c r="M49" i="1"/>
  <c r="V48" i="1"/>
  <c r="S48" i="1"/>
  <c r="Y48" i="1" s="1"/>
  <c r="M48" i="1"/>
  <c r="V47" i="1"/>
  <c r="S47" i="1"/>
  <c r="Y47" i="1" s="1"/>
  <c r="M47" i="1"/>
  <c r="V46" i="1"/>
  <c r="S46" i="1"/>
  <c r="Y46" i="1" s="1"/>
  <c r="M46" i="1"/>
  <c r="V45" i="1"/>
  <c r="S45" i="1"/>
  <c r="Y45" i="1" s="1"/>
  <c r="M45" i="1"/>
  <c r="V44" i="1"/>
  <c r="S44" i="1"/>
  <c r="Y44" i="1" s="1"/>
  <c r="M44" i="1"/>
  <c r="V43" i="1"/>
  <c r="S43" i="1"/>
  <c r="Y43" i="1" s="1"/>
  <c r="M43" i="1"/>
  <c r="V42" i="1"/>
  <c r="S42" i="1"/>
  <c r="P40" i="1" s="1"/>
  <c r="M42" i="1"/>
  <c r="Z41" i="1"/>
  <c r="X41" i="1"/>
  <c r="W41" i="1"/>
  <c r="W40" i="1"/>
  <c r="T40" i="1"/>
  <c r="Z40" i="1" s="1"/>
  <c r="N40" i="1"/>
  <c r="J40" i="1"/>
  <c r="Y39" i="1"/>
  <c r="V39" i="1"/>
  <c r="S39" i="1"/>
  <c r="M39" i="1"/>
  <c r="Y38" i="1"/>
  <c r="V38" i="1"/>
  <c r="S38" i="1"/>
  <c r="M38" i="1"/>
  <c r="Y37" i="1"/>
  <c r="V37" i="1"/>
  <c r="S37" i="1"/>
  <c r="M37" i="1"/>
  <c r="Y36" i="1"/>
  <c r="V36" i="1"/>
  <c r="S36" i="1"/>
  <c r="M36" i="1"/>
  <c r="W35" i="1"/>
  <c r="T35" i="1"/>
  <c r="Z35" i="1" s="1"/>
  <c r="S35" i="1"/>
  <c r="P35" i="1"/>
  <c r="V35" i="1" s="1"/>
  <c r="N35" i="1"/>
  <c r="J35" i="1"/>
  <c r="Y34" i="1"/>
  <c r="V34" i="1"/>
  <c r="S34" i="1"/>
  <c r="M34" i="1"/>
  <c r="Y33" i="1"/>
  <c r="V33" i="1"/>
  <c r="S33" i="1"/>
  <c r="M33" i="1"/>
  <c r="Y32" i="1"/>
  <c r="V32" i="1"/>
  <c r="S32" i="1"/>
  <c r="M32" i="1"/>
  <c r="Y31" i="1"/>
  <c r="V31" i="1"/>
  <c r="S31" i="1"/>
  <c r="M31" i="1"/>
  <c r="W30" i="1"/>
  <c r="T30" i="1"/>
  <c r="Z30" i="1" s="1"/>
  <c r="S30" i="1"/>
  <c r="R30" i="1"/>
  <c r="X30" i="1" s="1"/>
  <c r="P30" i="1"/>
  <c r="V30" i="1" s="1"/>
  <c r="N30" i="1"/>
  <c r="J30" i="1"/>
  <c r="Y29" i="1"/>
  <c r="V29" i="1"/>
  <c r="S29" i="1"/>
  <c r="M29" i="1"/>
  <c r="Y28" i="1"/>
  <c r="V28" i="1"/>
  <c r="S28" i="1"/>
  <c r="M28" i="1"/>
  <c r="Y27" i="1"/>
  <c r="V27" i="1"/>
  <c r="S27" i="1"/>
  <c r="M27" i="1"/>
  <c r="Y26" i="1"/>
  <c r="V26" i="1"/>
  <c r="S26" i="1"/>
  <c r="M26" i="1"/>
  <c r="J25" i="1" s="1"/>
  <c r="W25" i="1"/>
  <c r="T25" i="1"/>
  <c r="S25" i="1"/>
  <c r="R25" i="1"/>
  <c r="X25" i="1" s="1"/>
  <c r="P25" i="1"/>
  <c r="V25" i="1" s="1"/>
  <c r="N25" i="1"/>
  <c r="N24" i="1"/>
  <c r="Y23" i="1"/>
  <c r="V23" i="1"/>
  <c r="S23" i="1"/>
  <c r="M23" i="1"/>
  <c r="V22" i="1"/>
  <c r="S22" i="1"/>
  <c r="Y22" i="1" s="1"/>
  <c r="M22" i="1"/>
  <c r="Y21" i="1"/>
  <c r="V21" i="1"/>
  <c r="S21" i="1"/>
  <c r="M21" i="1"/>
  <c r="V20" i="1"/>
  <c r="S20" i="1"/>
  <c r="Y20" i="1" s="1"/>
  <c r="M20" i="1"/>
  <c r="J18" i="1" s="1"/>
  <c r="Y19" i="1"/>
  <c r="V19" i="1"/>
  <c r="S19" i="1"/>
  <c r="M19" i="1"/>
  <c r="W18" i="1"/>
  <c r="T18" i="1"/>
  <c r="Z18" i="1" s="1"/>
  <c r="Z17" i="1" s="1"/>
  <c r="N18" i="1"/>
  <c r="N17" i="1" s="1"/>
  <c r="N16" i="1" s="1"/>
  <c r="T17" i="1"/>
  <c r="V15" i="1"/>
  <c r="S15" i="1"/>
  <c r="P14" i="1" s="1"/>
  <c r="M15" i="1"/>
  <c r="Z14" i="1"/>
  <c r="W14" i="1"/>
  <c r="T14" i="1"/>
  <c r="N14" i="1"/>
  <c r="N13" i="1" s="1"/>
  <c r="N12" i="1" s="1"/>
  <c r="N11" i="1" s="1"/>
  <c r="N10" i="1" s="1"/>
  <c r="M14" i="1"/>
  <c r="L14" i="1"/>
  <c r="J14" i="1"/>
  <c r="Z13" i="1"/>
  <c r="T13" i="1"/>
  <c r="M382" i="3" l="1"/>
  <c r="L382" i="3"/>
  <c r="S364" i="3"/>
  <c r="R364" i="3"/>
  <c r="J62" i="3"/>
  <c r="L62" i="3" s="1"/>
  <c r="P109" i="3"/>
  <c r="P113" i="3"/>
  <c r="S113" i="3" s="1"/>
  <c r="T130" i="3"/>
  <c r="J163" i="3"/>
  <c r="J185" i="3"/>
  <c r="J218" i="3"/>
  <c r="L218" i="3" s="1"/>
  <c r="J244" i="3"/>
  <c r="J264" i="3"/>
  <c r="M264" i="3" s="1"/>
  <c r="O264" i="3" s="1"/>
  <c r="J289" i="3"/>
  <c r="M289" i="3" s="1"/>
  <c r="O289" i="3" s="1"/>
  <c r="J373" i="3"/>
  <c r="L373" i="3" s="1"/>
  <c r="L389" i="3"/>
  <c r="P395" i="3"/>
  <c r="J46" i="3"/>
  <c r="J109" i="3"/>
  <c r="M109" i="3" s="1"/>
  <c r="O109" i="3" s="1"/>
  <c r="J317" i="3"/>
  <c r="N385" i="3"/>
  <c r="J395" i="3"/>
  <c r="J30" i="3"/>
  <c r="L30" i="3" s="1"/>
  <c r="J145" i="3"/>
  <c r="M145" i="3" s="1"/>
  <c r="O145" i="3" s="1"/>
  <c r="J310" i="3"/>
  <c r="P326" i="3"/>
  <c r="L339" i="3"/>
  <c r="L346" i="3"/>
  <c r="N354" i="3"/>
  <c r="N353" i="3" s="1"/>
  <c r="P370" i="3"/>
  <c r="S370" i="3" s="1"/>
  <c r="U370" i="3" s="1"/>
  <c r="T54" i="3"/>
  <c r="P30" i="3"/>
  <c r="S30" i="3" s="1"/>
  <c r="P35" i="3"/>
  <c r="P67" i="3"/>
  <c r="S67" i="3" s="1"/>
  <c r="N84" i="3"/>
  <c r="J94" i="3"/>
  <c r="M94" i="3" s="1"/>
  <c r="J99" i="3"/>
  <c r="M99" i="3" s="1"/>
  <c r="O99" i="3" s="1"/>
  <c r="P149" i="3"/>
  <c r="S149" i="3" s="1"/>
  <c r="O258" i="3"/>
  <c r="O283" i="3"/>
  <c r="P303" i="3"/>
  <c r="J323" i="3"/>
  <c r="J379" i="3"/>
  <c r="P389" i="3"/>
  <c r="N24" i="3"/>
  <c r="P62" i="3"/>
  <c r="S62" i="3" s="1"/>
  <c r="J80" i="3"/>
  <c r="M80" i="3" s="1"/>
  <c r="O80" i="3" s="1"/>
  <c r="N93" i="3"/>
  <c r="J141" i="3"/>
  <c r="M141" i="3" s="1"/>
  <c r="O141" i="3" s="1"/>
  <c r="J303" i="3"/>
  <c r="T354" i="3"/>
  <c r="P367" i="3"/>
  <c r="P379" i="3"/>
  <c r="J386" i="3"/>
  <c r="L386" i="3" s="1"/>
  <c r="P76" i="3"/>
  <c r="S76" i="3" s="1"/>
  <c r="P80" i="3"/>
  <c r="S80" i="3" s="1"/>
  <c r="U80" i="3" s="1"/>
  <c r="J88" i="3"/>
  <c r="M88" i="3" s="1"/>
  <c r="O88" i="3" s="1"/>
  <c r="J208" i="3"/>
  <c r="M208" i="3" s="1"/>
  <c r="O208" i="3" s="1"/>
  <c r="J231" i="3"/>
  <c r="J255" i="3"/>
  <c r="J292" i="3"/>
  <c r="M292" i="3" s="1"/>
  <c r="O292" i="3" s="1"/>
  <c r="P361" i="3"/>
  <c r="J364" i="3"/>
  <c r="M364" i="3" s="1"/>
  <c r="O364" i="3" s="1"/>
  <c r="J376" i="3"/>
  <c r="L376" i="3" s="1"/>
  <c r="P382" i="3"/>
  <c r="S218" i="3"/>
  <c r="R218" i="3"/>
  <c r="L58" i="3"/>
  <c r="M58" i="3"/>
  <c r="O58" i="3" s="1"/>
  <c r="M62" i="3"/>
  <c r="O62" i="3" s="1"/>
  <c r="L286" i="3"/>
  <c r="M286" i="3"/>
  <c r="L370" i="3"/>
  <c r="M370" i="3"/>
  <c r="O370" i="3" s="1"/>
  <c r="M307" i="3"/>
  <c r="O307" i="3" s="1"/>
  <c r="L307" i="3"/>
  <c r="M392" i="3"/>
  <c r="O392" i="3" s="1"/>
  <c r="L392" i="3"/>
  <c r="M60" i="3"/>
  <c r="O60" i="3" s="1"/>
  <c r="L60" i="3"/>
  <c r="L379" i="3"/>
  <c r="M379" i="3"/>
  <c r="O379" i="3" s="1"/>
  <c r="S14" i="3"/>
  <c r="R14" i="3"/>
  <c r="S367" i="3"/>
  <c r="R367" i="3"/>
  <c r="M386" i="3"/>
  <c r="O386" i="3" s="1"/>
  <c r="L404" i="3"/>
  <c r="M404" i="3"/>
  <c r="L292" i="3"/>
  <c r="S361" i="3"/>
  <c r="U361" i="3" s="1"/>
  <c r="R361" i="3"/>
  <c r="L364" i="3"/>
  <c r="L367" i="3"/>
  <c r="M367" i="3"/>
  <c r="O367" i="3" s="1"/>
  <c r="L18" i="3"/>
  <c r="T84" i="3"/>
  <c r="L141" i="3"/>
  <c r="P145" i="3"/>
  <c r="S145" i="3" s="1"/>
  <c r="J149" i="3"/>
  <c r="M149" i="3" s="1"/>
  <c r="O149" i="3" s="1"/>
  <c r="J167" i="3"/>
  <c r="J171" i="3"/>
  <c r="M171" i="3" s="1"/>
  <c r="O171" i="3" s="1"/>
  <c r="J194" i="3"/>
  <c r="L194" i="3" s="1"/>
  <c r="J199" i="3"/>
  <c r="M199" i="3" s="1"/>
  <c r="O199" i="3" s="1"/>
  <c r="J221" i="3"/>
  <c r="M221" i="3" s="1"/>
  <c r="O221" i="3" s="1"/>
  <c r="J251" i="3"/>
  <c r="J326" i="3"/>
  <c r="M326" i="3" s="1"/>
  <c r="O326" i="3" s="1"/>
  <c r="R358" i="3"/>
  <c r="M361" i="3"/>
  <c r="O361" i="3" s="1"/>
  <c r="P71" i="3"/>
  <c r="S71" i="3" s="1"/>
  <c r="P99" i="3"/>
  <c r="S99" i="3" s="1"/>
  <c r="U99" i="3" s="1"/>
  <c r="P175" i="3"/>
  <c r="L208" i="3"/>
  <c r="J248" i="3"/>
  <c r="M248" i="3" s="1"/>
  <c r="O248" i="3" s="1"/>
  <c r="J269" i="3"/>
  <c r="M269" i="3" s="1"/>
  <c r="O269" i="3" s="1"/>
  <c r="J71" i="3"/>
  <c r="L71" i="3" s="1"/>
  <c r="P126" i="3"/>
  <c r="J228" i="3"/>
  <c r="M228" i="3" s="1"/>
  <c r="O228" i="3" s="1"/>
  <c r="J320" i="3"/>
  <c r="J335" i="3"/>
  <c r="M355" i="3"/>
  <c r="M402" i="3"/>
  <c r="O402" i="3" s="1"/>
  <c r="J25" i="3"/>
  <c r="M25" i="3" s="1"/>
  <c r="J40" i="3"/>
  <c r="L40" i="3" s="1"/>
  <c r="L67" i="3"/>
  <c r="P180" i="3"/>
  <c r="S180" i="3" s="1"/>
  <c r="J234" i="3"/>
  <c r="P386" i="3"/>
  <c r="R386" i="3" s="1"/>
  <c r="L55" i="3"/>
  <c r="J104" i="3"/>
  <c r="M104" i="3" s="1"/>
  <c r="O104" i="3" s="1"/>
  <c r="J121" i="3"/>
  <c r="L121" i="3" s="1"/>
  <c r="P159" i="3"/>
  <c r="J180" i="3"/>
  <c r="J189" i="3"/>
  <c r="L189" i="3" s="1"/>
  <c r="J225" i="3"/>
  <c r="J274" i="3"/>
  <c r="J313" i="3"/>
  <c r="M313" i="3" s="1"/>
  <c r="O313" i="3" s="1"/>
  <c r="P46" i="3"/>
  <c r="S46" i="3" s="1"/>
  <c r="J76" i="3"/>
  <c r="M76" i="3" s="1"/>
  <c r="P104" i="3"/>
  <c r="J159" i="3"/>
  <c r="P185" i="3"/>
  <c r="S185" i="3" s="1"/>
  <c r="J204" i="3"/>
  <c r="J211" i="3"/>
  <c r="J280" i="3"/>
  <c r="L280" i="3" s="1"/>
  <c r="J300" i="3"/>
  <c r="M300" i="3" s="1"/>
  <c r="O300" i="3" s="1"/>
  <c r="R355" i="3"/>
  <c r="M358" i="3"/>
  <c r="O358" i="3" s="1"/>
  <c r="O382" i="3"/>
  <c r="R402" i="3"/>
  <c r="N16" i="3"/>
  <c r="N12" i="3" s="1"/>
  <c r="N11" i="3" s="1"/>
  <c r="N10" i="3" s="1"/>
  <c r="S35" i="3"/>
  <c r="R35" i="3"/>
  <c r="L76" i="3"/>
  <c r="O94" i="3"/>
  <c r="P189" i="3"/>
  <c r="U67" i="3"/>
  <c r="L94" i="3"/>
  <c r="S121" i="3"/>
  <c r="M320" i="3"/>
  <c r="O320" i="3" s="1"/>
  <c r="L320" i="3"/>
  <c r="U76" i="3"/>
  <c r="S13" i="3"/>
  <c r="U14" i="3"/>
  <c r="U13" i="3" s="1"/>
  <c r="O55" i="3"/>
  <c r="M71" i="3"/>
  <c r="O71" i="3" s="1"/>
  <c r="R121" i="3"/>
  <c r="M159" i="3"/>
  <c r="O159" i="3" s="1"/>
  <c r="L159" i="3"/>
  <c r="U60" i="3"/>
  <c r="P25" i="3"/>
  <c r="M30" i="3"/>
  <c r="O30" i="3" s="1"/>
  <c r="N54" i="3"/>
  <c r="U58" i="3"/>
  <c r="U62" i="3"/>
  <c r="T93" i="3"/>
  <c r="L180" i="3"/>
  <c r="M180" i="3"/>
  <c r="O180" i="3" s="1"/>
  <c r="P208" i="3"/>
  <c r="T13" i="3"/>
  <c r="M14" i="3"/>
  <c r="L14" i="3"/>
  <c r="U55" i="3"/>
  <c r="O85" i="3"/>
  <c r="O84" i="3" s="1"/>
  <c r="M84" i="3"/>
  <c r="S91" i="3"/>
  <c r="L113" i="3"/>
  <c r="M113" i="3"/>
  <c r="O113" i="3" s="1"/>
  <c r="L116" i="3"/>
  <c r="M116" i="3"/>
  <c r="O116" i="3" s="1"/>
  <c r="M40" i="3"/>
  <c r="O40" i="3" s="1"/>
  <c r="S154" i="3"/>
  <c r="R154" i="3"/>
  <c r="P18" i="3"/>
  <c r="L25" i="3"/>
  <c r="P40" i="3"/>
  <c r="P88" i="3"/>
  <c r="R91" i="3"/>
  <c r="M121" i="3"/>
  <c r="O121" i="3" s="1"/>
  <c r="M126" i="3"/>
  <c r="O126" i="3" s="1"/>
  <c r="L126" i="3"/>
  <c r="L145" i="3"/>
  <c r="P94" i="3"/>
  <c r="S126" i="3"/>
  <c r="R126" i="3"/>
  <c r="J35" i="3"/>
  <c r="M17" i="3"/>
  <c r="O18" i="3"/>
  <c r="O17" i="3" s="1"/>
  <c r="M46" i="3"/>
  <c r="L46" i="3"/>
  <c r="R60" i="3"/>
  <c r="P85" i="3"/>
  <c r="R145" i="3"/>
  <c r="S175" i="3"/>
  <c r="R175" i="3"/>
  <c r="M244" i="3"/>
  <c r="O244" i="3" s="1"/>
  <c r="L244" i="3"/>
  <c r="P248" i="3"/>
  <c r="T17" i="3"/>
  <c r="T16" i="3" s="1"/>
  <c r="J131" i="3"/>
  <c r="J136" i="3"/>
  <c r="J154" i="3"/>
  <c r="U163" i="3"/>
  <c r="L167" i="3"/>
  <c r="M167" i="3"/>
  <c r="O167" i="3" s="1"/>
  <c r="L228" i="3"/>
  <c r="P261" i="3"/>
  <c r="M310" i="3"/>
  <c r="O310" i="3" s="1"/>
  <c r="L310" i="3"/>
  <c r="R399" i="3"/>
  <c r="S399" i="3"/>
  <c r="S269" i="3"/>
  <c r="R269" i="3"/>
  <c r="P204" i="3"/>
  <c r="P228" i="3"/>
  <c r="P238" i="3"/>
  <c r="P286" i="3"/>
  <c r="M303" i="3"/>
  <c r="O303" i="3" s="1"/>
  <c r="L303" i="3"/>
  <c r="R373" i="3"/>
  <c r="S373" i="3"/>
  <c r="R55" i="3"/>
  <c r="R58" i="3"/>
  <c r="R62" i="3"/>
  <c r="R67" i="3"/>
  <c r="L85" i="3"/>
  <c r="L88" i="3"/>
  <c r="L91" i="3"/>
  <c r="L109" i="3"/>
  <c r="P116" i="3"/>
  <c r="U171" i="3"/>
  <c r="J175" i="3"/>
  <c r="L185" i="3"/>
  <c r="M185" i="3"/>
  <c r="O185" i="3" s="1"/>
  <c r="M296" i="3"/>
  <c r="L296" i="3"/>
  <c r="O401" i="3"/>
  <c r="N398" i="3"/>
  <c r="N130" i="3"/>
  <c r="L149" i="3"/>
  <c r="S159" i="3"/>
  <c r="R159" i="3"/>
  <c r="P199" i="3"/>
  <c r="M215" i="3"/>
  <c r="O215" i="3" s="1"/>
  <c r="L221" i="3"/>
  <c r="P258" i="3"/>
  <c r="P296" i="3"/>
  <c r="M329" i="3"/>
  <c r="O329" i="3" s="1"/>
  <c r="L329" i="3"/>
  <c r="P131" i="3"/>
  <c r="P136" i="3"/>
  <c r="P141" i="3"/>
  <c r="M163" i="3"/>
  <c r="O163" i="3" s="1"/>
  <c r="L163" i="3"/>
  <c r="S167" i="3"/>
  <c r="R167" i="3"/>
  <c r="P194" i="3"/>
  <c r="P215" i="3"/>
  <c r="L225" i="3"/>
  <c r="M225" i="3"/>
  <c r="O225" i="3" s="1"/>
  <c r="M323" i="3"/>
  <c r="O323" i="3" s="1"/>
  <c r="L323" i="3"/>
  <c r="R326" i="3"/>
  <c r="S326" i="3"/>
  <c r="P329" i="3"/>
  <c r="R163" i="3"/>
  <c r="R171" i="3"/>
  <c r="U218" i="3"/>
  <c r="P255" i="3"/>
  <c r="L283" i="3"/>
  <c r="S289" i="3"/>
  <c r="R289" i="3"/>
  <c r="S292" i="3"/>
  <c r="R292" i="3"/>
  <c r="P317" i="3"/>
  <c r="L326" i="3"/>
  <c r="R376" i="3"/>
  <c r="S376" i="3"/>
  <c r="P234" i="3"/>
  <c r="M241" i="3"/>
  <c r="O241" i="3" s="1"/>
  <c r="L241" i="3"/>
  <c r="R303" i="3"/>
  <c r="S303" i="3"/>
  <c r="S389" i="3"/>
  <c r="R389" i="3"/>
  <c r="S395" i="3"/>
  <c r="R395" i="3"/>
  <c r="P211" i="3"/>
  <c r="R221" i="3"/>
  <c r="M238" i="3"/>
  <c r="O238" i="3" s="1"/>
  <c r="L238" i="3"/>
  <c r="P244" i="3"/>
  <c r="N279" i="3"/>
  <c r="P300" i="3"/>
  <c r="M332" i="3"/>
  <c r="O332" i="3" s="1"/>
  <c r="L332" i="3"/>
  <c r="M218" i="3"/>
  <c r="O218" i="3" s="1"/>
  <c r="P225" i="3"/>
  <c r="P241" i="3"/>
  <c r="P251" i="3"/>
  <c r="P264" i="3"/>
  <c r="P274" i="3"/>
  <c r="S280" i="3"/>
  <c r="R280" i="3"/>
  <c r="P307" i="3"/>
  <c r="R382" i="3"/>
  <c r="S382" i="3"/>
  <c r="M255" i="3"/>
  <c r="O255" i="3" s="1"/>
  <c r="L255" i="3"/>
  <c r="T279" i="3"/>
  <c r="R379" i="3"/>
  <c r="S379" i="3"/>
  <c r="P231" i="3"/>
  <c r="M317" i="3"/>
  <c r="O317" i="3" s="1"/>
  <c r="L317" i="3"/>
  <c r="P335" i="3"/>
  <c r="M335" i="3"/>
  <c r="O335" i="3" s="1"/>
  <c r="L335" i="3"/>
  <c r="U355" i="3"/>
  <c r="R323" i="3"/>
  <c r="S323" i="3"/>
  <c r="T353" i="3"/>
  <c r="U364" i="3"/>
  <c r="M395" i="3"/>
  <c r="O395" i="3" s="1"/>
  <c r="L395" i="3"/>
  <c r="L258" i="3"/>
  <c r="L261" i="3"/>
  <c r="L264" i="3"/>
  <c r="P283" i="3"/>
  <c r="P313" i="3"/>
  <c r="U402" i="3"/>
  <c r="O286" i="3"/>
  <c r="P320" i="3"/>
  <c r="P332" i="3"/>
  <c r="U358" i="3"/>
  <c r="S404" i="3"/>
  <c r="R404" i="3"/>
  <c r="P310" i="3"/>
  <c r="U367" i="3"/>
  <c r="S392" i="3"/>
  <c r="T295" i="3"/>
  <c r="P339" i="3"/>
  <c r="P346" i="3"/>
  <c r="O399" i="3"/>
  <c r="O404" i="3"/>
  <c r="L399" i="3"/>
  <c r="U401" i="3"/>
  <c r="T398" i="3"/>
  <c r="M25" i="1"/>
  <c r="L25" i="1"/>
  <c r="U132" i="1"/>
  <c r="Y132" i="1"/>
  <c r="S273" i="1"/>
  <c r="R273" i="1"/>
  <c r="X273" i="1" s="1"/>
  <c r="L141" i="2"/>
  <c r="M141" i="2"/>
  <c r="O141" i="2" s="1"/>
  <c r="L142" i="1"/>
  <c r="M142" i="1"/>
  <c r="O142" i="1" s="1"/>
  <c r="V531" i="1"/>
  <c r="S531" i="1"/>
  <c r="R531" i="1"/>
  <c r="X531" i="1" s="1"/>
  <c r="M66" i="1"/>
  <c r="O66" i="1" s="1"/>
  <c r="L66" i="1"/>
  <c r="L152" i="1"/>
  <c r="S342" i="1"/>
  <c r="R342" i="1"/>
  <c r="X342" i="1" s="1"/>
  <c r="V342" i="1"/>
  <c r="M116" i="2"/>
  <c r="O116" i="2" s="1"/>
  <c r="L116" i="2"/>
  <c r="Y15" i="1"/>
  <c r="Y25" i="1"/>
  <c r="U25" i="1"/>
  <c r="Y35" i="1"/>
  <c r="AA35" i="1" s="1"/>
  <c r="U35" i="1"/>
  <c r="L51" i="1"/>
  <c r="M51" i="1"/>
  <c r="S127" i="1"/>
  <c r="R127" i="1"/>
  <c r="X127" i="1" s="1"/>
  <c r="M229" i="1"/>
  <c r="O229" i="1" s="1"/>
  <c r="L229" i="1"/>
  <c r="J237" i="1"/>
  <c r="Y299" i="1"/>
  <c r="P297" i="1"/>
  <c r="P305" i="1"/>
  <c r="P315" i="1"/>
  <c r="Y317" i="1"/>
  <c r="J356" i="1"/>
  <c r="M365" i="1"/>
  <c r="O365" i="1" s="1"/>
  <c r="L365" i="1"/>
  <c r="M466" i="1"/>
  <c r="O466" i="1" s="1"/>
  <c r="L466" i="1"/>
  <c r="L519" i="1"/>
  <c r="M519" i="1"/>
  <c r="O519" i="1" s="1"/>
  <c r="M525" i="1"/>
  <c r="O525" i="1" s="1"/>
  <c r="L525" i="1"/>
  <c r="Y222" i="2"/>
  <c r="P221" i="2"/>
  <c r="M35" i="1"/>
  <c r="O35" i="1" s="1"/>
  <c r="L35" i="1"/>
  <c r="S51" i="1"/>
  <c r="R51" i="1"/>
  <c r="X51" i="1" s="1"/>
  <c r="V51" i="1"/>
  <c r="Y466" i="1"/>
  <c r="AA466" i="1" s="1"/>
  <c r="U466" i="1"/>
  <c r="S14" i="1"/>
  <c r="R14" i="1"/>
  <c r="X14" i="1" s="1"/>
  <c r="T410" i="1"/>
  <c r="Z411" i="1"/>
  <c r="Z410" i="1" s="1"/>
  <c r="P196" i="1"/>
  <c r="Y197" i="1"/>
  <c r="P18" i="1"/>
  <c r="T24" i="1"/>
  <c r="T16" i="1" s="1"/>
  <c r="T12" i="1" s="1"/>
  <c r="T11" i="1" s="1"/>
  <c r="T10" i="1" s="1"/>
  <c r="Y30" i="1"/>
  <c r="AA30" i="1" s="1"/>
  <c r="U30" i="1"/>
  <c r="Y66" i="1"/>
  <c r="AA66" i="1" s="1"/>
  <c r="U66" i="1"/>
  <c r="V66" i="1"/>
  <c r="R66" i="1"/>
  <c r="X66" i="1" s="1"/>
  <c r="U84" i="1"/>
  <c r="Y84" i="1"/>
  <c r="AA84" i="1" s="1"/>
  <c r="V127" i="1"/>
  <c r="M176" i="1"/>
  <c r="O176" i="1" s="1"/>
  <c r="L176" i="1"/>
  <c r="M201" i="1"/>
  <c r="L201" i="1"/>
  <c r="Y239" i="1"/>
  <c r="P237" i="1"/>
  <c r="V273" i="1"/>
  <c r="M335" i="1"/>
  <c r="O335" i="1" s="1"/>
  <c r="L335" i="1"/>
  <c r="L359" i="1"/>
  <c r="M359" i="1"/>
  <c r="O359" i="1" s="1"/>
  <c r="M369" i="1"/>
  <c r="O369" i="1" s="1"/>
  <c r="L369" i="1"/>
  <c r="L392" i="1"/>
  <c r="L405" i="1"/>
  <c r="Z556" i="1"/>
  <c r="T540" i="1"/>
  <c r="S13" i="2"/>
  <c r="U14" i="2"/>
  <c r="U13" i="2" s="1"/>
  <c r="Y14" i="2"/>
  <c r="M30" i="1"/>
  <c r="O30" i="1" s="1"/>
  <c r="L30" i="1"/>
  <c r="V186" i="1"/>
  <c r="S186" i="1"/>
  <c r="R186" i="1"/>
  <c r="X186" i="1" s="1"/>
  <c r="V40" i="1"/>
  <c r="R40" i="1"/>
  <c r="X40" i="1" s="1"/>
  <c r="L352" i="1"/>
  <c r="V70" i="1"/>
  <c r="S70" i="1"/>
  <c r="R70" i="1"/>
  <c r="X70" i="1" s="1"/>
  <c r="M84" i="1"/>
  <c r="O84" i="1" s="1"/>
  <c r="L84" i="1"/>
  <c r="J92" i="1"/>
  <c r="V110" i="1"/>
  <c r="S110" i="1"/>
  <c r="N131" i="1"/>
  <c r="Z152" i="1"/>
  <c r="Z131" i="1" s="1"/>
  <c r="T131" i="1"/>
  <c r="M339" i="1"/>
  <c r="O339" i="1" s="1"/>
  <c r="L339" i="1"/>
  <c r="M342" i="1"/>
  <c r="O342" i="1" s="1"/>
  <c r="L342" i="1"/>
  <c r="L362" i="1"/>
  <c r="M362" i="1"/>
  <c r="O362" i="1" s="1"/>
  <c r="M437" i="1"/>
  <c r="O437" i="1" s="1"/>
  <c r="L437" i="1"/>
  <c r="M454" i="1"/>
  <c r="O454" i="1" s="1"/>
  <c r="L454" i="1"/>
  <c r="M457" i="1"/>
  <c r="O457" i="1" s="1"/>
  <c r="L457" i="1"/>
  <c r="Y553" i="1"/>
  <c r="AA553" i="1" s="1"/>
  <c r="U553" i="1"/>
  <c r="M109" i="2"/>
  <c r="O109" i="2" s="1"/>
  <c r="L109" i="2"/>
  <c r="Y289" i="1"/>
  <c r="P287" i="1"/>
  <c r="M451" i="1"/>
  <c r="O451" i="1" s="1"/>
  <c r="L451" i="1"/>
  <c r="P211" i="1"/>
  <c r="M395" i="1"/>
  <c r="O395" i="1" s="1"/>
  <c r="L395" i="1"/>
  <c r="Y144" i="1"/>
  <c r="P142" i="1"/>
  <c r="M18" i="1"/>
  <c r="L18" i="1"/>
  <c r="T59" i="1"/>
  <c r="Z25" i="1"/>
  <c r="Z24" i="1" s="1"/>
  <c r="Z16" i="1" s="1"/>
  <c r="Z12" i="1" s="1"/>
  <c r="Z11" i="1" s="1"/>
  <c r="Z10" i="1" s="1"/>
  <c r="M60" i="1"/>
  <c r="Y94" i="1"/>
  <c r="P92" i="1"/>
  <c r="L102" i="1"/>
  <c r="R110" i="1"/>
  <c r="X110" i="1" s="1"/>
  <c r="O115" i="1"/>
  <c r="O114" i="1" s="1"/>
  <c r="M114" i="1"/>
  <c r="Y176" i="1"/>
  <c r="AA176" i="1" s="1"/>
  <c r="U176" i="1"/>
  <c r="V176" i="1"/>
  <c r="R176" i="1"/>
  <c r="X176" i="1" s="1"/>
  <c r="Y201" i="1"/>
  <c r="U201" i="1"/>
  <c r="V201" i="1"/>
  <c r="R201" i="1"/>
  <c r="X201" i="1" s="1"/>
  <c r="V257" i="1"/>
  <c r="S257" i="1"/>
  <c r="U269" i="1"/>
  <c r="Y269" i="1"/>
  <c r="AA269" i="1" s="1"/>
  <c r="U277" i="1"/>
  <c r="Y277" i="1"/>
  <c r="AA277" i="1" s="1"/>
  <c r="J325" i="1"/>
  <c r="M389" i="1"/>
  <c r="O389" i="1" s="1"/>
  <c r="L389" i="1"/>
  <c r="M400" i="1"/>
  <c r="O400" i="1" s="1"/>
  <c r="L400" i="1"/>
  <c r="M463" i="1"/>
  <c r="O463" i="1" s="1"/>
  <c r="L463" i="1"/>
  <c r="V513" i="1"/>
  <c r="S513" i="1"/>
  <c r="R513" i="1"/>
  <c r="X513" i="1" s="1"/>
  <c r="L541" i="1"/>
  <c r="M541" i="1"/>
  <c r="M126" i="2"/>
  <c r="O126" i="2" s="1"/>
  <c r="L126" i="2"/>
  <c r="V121" i="1"/>
  <c r="S121" i="1"/>
  <c r="S265" i="1"/>
  <c r="R265" i="1"/>
  <c r="X265" i="1" s="1"/>
  <c r="M434" i="1"/>
  <c r="O434" i="1" s="1"/>
  <c r="L434" i="1"/>
  <c r="M507" i="1"/>
  <c r="O507" i="1" s="1"/>
  <c r="L507" i="1"/>
  <c r="M99" i="2"/>
  <c r="O99" i="2" s="1"/>
  <c r="L99" i="2"/>
  <c r="M13" i="1"/>
  <c r="O14" i="1"/>
  <c r="O13" i="1" s="1"/>
  <c r="S40" i="1"/>
  <c r="M132" i="1"/>
  <c r="L132" i="1"/>
  <c r="Y364" i="1"/>
  <c r="P362" i="1"/>
  <c r="AA60" i="1"/>
  <c r="Z115" i="1"/>
  <c r="Z114" i="1" s="1"/>
  <c r="T114" i="1"/>
  <c r="U229" i="1"/>
  <c r="Y229" i="1"/>
  <c r="AA229" i="1" s="1"/>
  <c r="V14" i="1"/>
  <c r="Z59" i="1"/>
  <c r="Z58" i="1" s="1"/>
  <c r="M40" i="1"/>
  <c r="O40" i="1" s="1"/>
  <c r="L40" i="1"/>
  <c r="N59" i="1"/>
  <c r="L115" i="1"/>
  <c r="V162" i="1"/>
  <c r="S162" i="1"/>
  <c r="T200" i="1"/>
  <c r="T199" i="1" s="1"/>
  <c r="Z201" i="1"/>
  <c r="Z200" i="1" s="1"/>
  <c r="R257" i="1"/>
  <c r="X257" i="1" s="1"/>
  <c r="M257" i="1"/>
  <c r="O257" i="1" s="1"/>
  <c r="L257" i="1"/>
  <c r="M269" i="1"/>
  <c r="O269" i="1" s="1"/>
  <c r="L269" i="1"/>
  <c r="M277" i="1"/>
  <c r="O277" i="1" s="1"/>
  <c r="L277" i="1"/>
  <c r="J287" i="1"/>
  <c r="P335" i="1"/>
  <c r="Y341" i="1"/>
  <c r="P339" i="1"/>
  <c r="L346" i="1"/>
  <c r="M375" i="1"/>
  <c r="O375" i="1" s="1"/>
  <c r="L375" i="1"/>
  <c r="M531" i="1"/>
  <c r="O531" i="1" s="1"/>
  <c r="L531" i="1"/>
  <c r="R35" i="1"/>
  <c r="X35" i="1" s="1"/>
  <c r="Y42" i="1"/>
  <c r="U60" i="1"/>
  <c r="Y68" i="1"/>
  <c r="S102" i="1"/>
  <c r="S115" i="1"/>
  <c r="S152" i="1"/>
  <c r="U170" i="1"/>
  <c r="Y178" i="1"/>
  <c r="Y203" i="1"/>
  <c r="S247" i="1"/>
  <c r="P356" i="1"/>
  <c r="P359" i="1"/>
  <c r="Y411" i="1"/>
  <c r="U411" i="1"/>
  <c r="S430" i="1"/>
  <c r="R430" i="1"/>
  <c r="X430" i="1" s="1"/>
  <c r="V430" i="1"/>
  <c r="S447" i="1"/>
  <c r="R447" i="1"/>
  <c r="X447" i="1" s="1"/>
  <c r="V447" i="1"/>
  <c r="M460" i="1"/>
  <c r="O460" i="1" s="1"/>
  <c r="L460" i="1"/>
  <c r="Y469" i="1"/>
  <c r="AA469" i="1" s="1"/>
  <c r="U469" i="1"/>
  <c r="L480" i="1"/>
  <c r="M480" i="1"/>
  <c r="O480" i="1" s="1"/>
  <c r="R547" i="1"/>
  <c r="X547" i="1" s="1"/>
  <c r="V547" i="1"/>
  <c r="S547" i="1"/>
  <c r="Y560" i="1"/>
  <c r="S559" i="1"/>
  <c r="U560" i="1"/>
  <c r="U559" i="1" s="1"/>
  <c r="R14" i="2"/>
  <c r="X14" i="2" s="1"/>
  <c r="V14" i="2"/>
  <c r="M46" i="2"/>
  <c r="L46" i="2"/>
  <c r="Z93" i="2"/>
  <c r="M221" i="2"/>
  <c r="O221" i="2" s="1"/>
  <c r="L221" i="2"/>
  <c r="V420" i="1"/>
  <c r="S420" i="1"/>
  <c r="R420" i="1"/>
  <c r="X420" i="1" s="1"/>
  <c r="L473" i="1"/>
  <c r="M473" i="1"/>
  <c r="O473" i="1" s="1"/>
  <c r="N488" i="1"/>
  <c r="N487" i="1" s="1"/>
  <c r="Y519" i="1"/>
  <c r="AA519" i="1" s="1"/>
  <c r="U519" i="1"/>
  <c r="M189" i="2"/>
  <c r="O189" i="2" s="1"/>
  <c r="L189" i="2"/>
  <c r="V102" i="1"/>
  <c r="V115" i="1"/>
  <c r="V152" i="1"/>
  <c r="V247" i="1"/>
  <c r="P369" i="1"/>
  <c r="Y370" i="1"/>
  <c r="P375" i="1"/>
  <c r="Y376" i="1"/>
  <c r="P389" i="1"/>
  <c r="Y390" i="1"/>
  <c r="P395" i="1"/>
  <c r="Y396" i="1"/>
  <c r="L430" i="1"/>
  <c r="M430" i="1"/>
  <c r="L447" i="1"/>
  <c r="M447" i="1"/>
  <c r="O447" i="1" s="1"/>
  <c r="Y460" i="1"/>
  <c r="AA460" i="1" s="1"/>
  <c r="U460" i="1"/>
  <c r="R495" i="1"/>
  <c r="X495" i="1" s="1"/>
  <c r="R507" i="1"/>
  <c r="X507" i="1" s="1"/>
  <c r="V507" i="1"/>
  <c r="S507" i="1"/>
  <c r="P537" i="1"/>
  <c r="M537" i="1"/>
  <c r="O537" i="1" s="1"/>
  <c r="L537" i="1"/>
  <c r="Z540" i="1"/>
  <c r="M18" i="2"/>
  <c r="L18" i="2"/>
  <c r="O25" i="2"/>
  <c r="L67" i="2"/>
  <c r="M67" i="2"/>
  <c r="O67" i="2" s="1"/>
  <c r="Z131" i="2"/>
  <c r="Z130" i="2" s="1"/>
  <c r="Z129" i="2" s="1"/>
  <c r="T130" i="2"/>
  <c r="T129" i="2" s="1"/>
  <c r="V218" i="2"/>
  <c r="S218" i="2"/>
  <c r="R218" i="2"/>
  <c r="X218" i="2" s="1"/>
  <c r="Y235" i="2"/>
  <c r="P234" i="2"/>
  <c r="M238" i="2"/>
  <c r="O238" i="2" s="1"/>
  <c r="L238" i="2"/>
  <c r="P346" i="1"/>
  <c r="Y347" i="1"/>
  <c r="P349" i="1"/>
  <c r="Y350" i="1"/>
  <c r="P352" i="1"/>
  <c r="Y353" i="1"/>
  <c r="P426" i="1"/>
  <c r="M426" i="1"/>
  <c r="O426" i="1" s="1"/>
  <c r="L426" i="1"/>
  <c r="S441" i="1"/>
  <c r="R441" i="1"/>
  <c r="X441" i="1" s="1"/>
  <c r="V441" i="1"/>
  <c r="Y457" i="1"/>
  <c r="AA457" i="1" s="1"/>
  <c r="U457" i="1"/>
  <c r="S495" i="1"/>
  <c r="M495" i="1"/>
  <c r="O495" i="1" s="1"/>
  <c r="L495" i="1"/>
  <c r="Y525" i="1"/>
  <c r="AA525" i="1" s="1"/>
  <c r="U525" i="1"/>
  <c r="S94" i="2"/>
  <c r="V94" i="2"/>
  <c r="M104" i="2"/>
  <c r="O104" i="2" s="1"/>
  <c r="L104" i="2"/>
  <c r="V382" i="1"/>
  <c r="S382" i="1"/>
  <c r="R382" i="1"/>
  <c r="X382" i="1" s="1"/>
  <c r="M420" i="1"/>
  <c r="O420" i="1" s="1"/>
  <c r="L420" i="1"/>
  <c r="S444" i="1"/>
  <c r="R444" i="1"/>
  <c r="X444" i="1" s="1"/>
  <c r="V444" i="1"/>
  <c r="Y463" i="1"/>
  <c r="AA463" i="1" s="1"/>
  <c r="U463" i="1"/>
  <c r="V379" i="1"/>
  <c r="S379" i="1"/>
  <c r="R379" i="1"/>
  <c r="X379" i="1" s="1"/>
  <c r="M379" i="1"/>
  <c r="O379" i="1" s="1"/>
  <c r="L379" i="1"/>
  <c r="P400" i="1"/>
  <c r="Y401" i="1"/>
  <c r="M411" i="1"/>
  <c r="L411" i="1"/>
  <c r="V417" i="1"/>
  <c r="S417" i="1"/>
  <c r="R417" i="1"/>
  <c r="X417" i="1" s="1"/>
  <c r="M417" i="1"/>
  <c r="O417" i="1" s="1"/>
  <c r="L417" i="1"/>
  <c r="Y437" i="1"/>
  <c r="AA437" i="1" s="1"/>
  <c r="U437" i="1"/>
  <c r="L444" i="1"/>
  <c r="M444" i="1"/>
  <c r="O444" i="1" s="1"/>
  <c r="Y454" i="1"/>
  <c r="AA454" i="1" s="1"/>
  <c r="U454" i="1"/>
  <c r="M469" i="1"/>
  <c r="O469" i="1" s="1"/>
  <c r="L469" i="1"/>
  <c r="S480" i="1"/>
  <c r="R480" i="1"/>
  <c r="X480" i="1" s="1"/>
  <c r="V480" i="1"/>
  <c r="L501" i="1"/>
  <c r="M501" i="1"/>
  <c r="O501" i="1" s="1"/>
  <c r="P556" i="1"/>
  <c r="Y557" i="1"/>
  <c r="L62" i="2"/>
  <c r="M62" i="2"/>
  <c r="O62" i="2" s="1"/>
  <c r="M121" i="2"/>
  <c r="O121" i="2" s="1"/>
  <c r="L121" i="2"/>
  <c r="O489" i="1"/>
  <c r="Y543" i="1"/>
  <c r="P541" i="1"/>
  <c r="L186" i="1"/>
  <c r="Y327" i="1"/>
  <c r="P325" i="1"/>
  <c r="V365" i="1"/>
  <c r="S365" i="1"/>
  <c r="R365" i="1"/>
  <c r="X365" i="1" s="1"/>
  <c r="Y434" i="1"/>
  <c r="AA434" i="1" s="1"/>
  <c r="U434" i="1"/>
  <c r="Y451" i="1"/>
  <c r="AA451" i="1" s="1"/>
  <c r="U451" i="1"/>
  <c r="T488" i="1"/>
  <c r="T487" i="1" s="1"/>
  <c r="Y503" i="1"/>
  <c r="P501" i="1"/>
  <c r="V534" i="1"/>
  <c r="S534" i="1"/>
  <c r="R534" i="1"/>
  <c r="X534" i="1" s="1"/>
  <c r="M534" i="1"/>
  <c r="O534" i="1" s="1"/>
  <c r="L534" i="1"/>
  <c r="L547" i="1"/>
  <c r="O560" i="1"/>
  <c r="O559" i="1" s="1"/>
  <c r="M559" i="1"/>
  <c r="L55" i="2"/>
  <c r="M55" i="2"/>
  <c r="M76" i="2"/>
  <c r="O76" i="2" s="1"/>
  <c r="L76" i="2"/>
  <c r="L80" i="2"/>
  <c r="M80" i="2"/>
  <c r="O80" i="2" s="1"/>
  <c r="M180" i="2"/>
  <c r="O180" i="2" s="1"/>
  <c r="M185" i="2"/>
  <c r="O185" i="2" s="1"/>
  <c r="M211" i="2"/>
  <c r="O211" i="2" s="1"/>
  <c r="L211" i="2"/>
  <c r="L215" i="2"/>
  <c r="M382" i="1"/>
  <c r="O382" i="1" s="1"/>
  <c r="L382" i="1"/>
  <c r="M513" i="1"/>
  <c r="O513" i="1" s="1"/>
  <c r="L513" i="1"/>
  <c r="U55" i="2"/>
  <c r="Y55" i="2"/>
  <c r="S54" i="2"/>
  <c r="L136" i="2"/>
  <c r="M136" i="2"/>
  <c r="O136" i="2" s="1"/>
  <c r="Y257" i="2"/>
  <c r="P255" i="2"/>
  <c r="P372" i="1"/>
  <c r="Y373" i="1"/>
  <c r="P386" i="1"/>
  <c r="Y387" i="1"/>
  <c r="P392" i="1"/>
  <c r="Y393" i="1"/>
  <c r="P405" i="1"/>
  <c r="Y406" i="1"/>
  <c r="P423" i="1"/>
  <c r="M423" i="1"/>
  <c r="O423" i="1" s="1"/>
  <c r="L423" i="1"/>
  <c r="T429" i="1"/>
  <c r="Z429" i="1"/>
  <c r="L441" i="1"/>
  <c r="M441" i="1"/>
  <c r="O441" i="1" s="1"/>
  <c r="S473" i="1"/>
  <c r="R473" i="1"/>
  <c r="X473" i="1" s="1"/>
  <c r="V473" i="1"/>
  <c r="Z488" i="1"/>
  <c r="Z487" i="1" s="1"/>
  <c r="M553" i="1"/>
  <c r="O553" i="1" s="1"/>
  <c r="L553" i="1"/>
  <c r="M556" i="1"/>
  <c r="O556" i="1" s="1"/>
  <c r="L556" i="1"/>
  <c r="O91" i="2"/>
  <c r="Y101" i="2"/>
  <c r="P99" i="2"/>
  <c r="M225" i="2"/>
  <c r="O225" i="2" s="1"/>
  <c r="L225" i="2"/>
  <c r="M248" i="2"/>
  <c r="O248" i="2" s="1"/>
  <c r="L248" i="2"/>
  <c r="R411" i="1"/>
  <c r="X411" i="1" s="1"/>
  <c r="R434" i="1"/>
  <c r="X434" i="1" s="1"/>
  <c r="R437" i="1"/>
  <c r="X437" i="1" s="1"/>
  <c r="R451" i="1"/>
  <c r="X451" i="1" s="1"/>
  <c r="R454" i="1"/>
  <c r="X454" i="1" s="1"/>
  <c r="R457" i="1"/>
  <c r="X457" i="1" s="1"/>
  <c r="R460" i="1"/>
  <c r="X460" i="1" s="1"/>
  <c r="R463" i="1"/>
  <c r="X463" i="1" s="1"/>
  <c r="R466" i="1"/>
  <c r="X466" i="1" s="1"/>
  <c r="R469" i="1"/>
  <c r="X469" i="1" s="1"/>
  <c r="R525" i="1"/>
  <c r="X525" i="1" s="1"/>
  <c r="V565" i="1"/>
  <c r="M58" i="2"/>
  <c r="O58" i="2" s="1"/>
  <c r="O60" i="2"/>
  <c r="V71" i="2"/>
  <c r="S71" i="2"/>
  <c r="U131" i="2"/>
  <c r="Y131" i="2"/>
  <c r="M145" i="2"/>
  <c r="O145" i="2" s="1"/>
  <c r="L145" i="2"/>
  <c r="M149" i="2"/>
  <c r="O149" i="2" s="1"/>
  <c r="M154" i="2"/>
  <c r="O154" i="2" s="1"/>
  <c r="M159" i="2"/>
  <c r="O159" i="2" s="1"/>
  <c r="M167" i="2"/>
  <c r="O167" i="2" s="1"/>
  <c r="M175" i="2"/>
  <c r="O175" i="2" s="1"/>
  <c r="M194" i="2"/>
  <c r="O194" i="2" s="1"/>
  <c r="L194" i="2"/>
  <c r="Y263" i="2"/>
  <c r="P261" i="2"/>
  <c r="R300" i="2"/>
  <c r="X300" i="2" s="1"/>
  <c r="V300" i="2"/>
  <c r="S300" i="2"/>
  <c r="M310" i="2"/>
  <c r="O310" i="2" s="1"/>
  <c r="L310" i="2"/>
  <c r="R317" i="2"/>
  <c r="X317" i="2" s="1"/>
  <c r="V317" i="2"/>
  <c r="S317" i="2"/>
  <c r="Y358" i="2"/>
  <c r="AA358" i="2" s="1"/>
  <c r="U358" i="2"/>
  <c r="M370" i="2"/>
  <c r="O370" i="2" s="1"/>
  <c r="L370" i="2"/>
  <c r="M376" i="2"/>
  <c r="O376" i="2" s="1"/>
  <c r="L376" i="2"/>
  <c r="M382" i="2"/>
  <c r="O382" i="2" s="1"/>
  <c r="L382" i="2"/>
  <c r="S392" i="2"/>
  <c r="R392" i="2"/>
  <c r="X392" i="2" s="1"/>
  <c r="V392" i="2"/>
  <c r="L25" i="2"/>
  <c r="T45" i="2"/>
  <c r="T12" i="2" s="1"/>
  <c r="T11" i="2" s="1"/>
  <c r="T10" i="2" s="1"/>
  <c r="T9" i="2" s="1"/>
  <c r="T8" i="2" s="1"/>
  <c r="T406" i="2" s="1"/>
  <c r="V46" i="2"/>
  <c r="S46" i="2"/>
  <c r="R46" i="2"/>
  <c r="X46" i="2" s="1"/>
  <c r="Z55" i="2"/>
  <c r="Z54" i="2" s="1"/>
  <c r="T54" i="2"/>
  <c r="T53" i="2" s="1"/>
  <c r="T52" i="2" s="1"/>
  <c r="T51" i="2" s="1"/>
  <c r="T50" i="2" s="1"/>
  <c r="U58" i="2"/>
  <c r="Y58" i="2"/>
  <c r="AA58" i="2" s="1"/>
  <c r="M71" i="2"/>
  <c r="O71" i="2" s="1"/>
  <c r="L71" i="2"/>
  <c r="O85" i="2"/>
  <c r="O84" i="2" s="1"/>
  <c r="M84" i="2"/>
  <c r="S91" i="2"/>
  <c r="R91" i="2"/>
  <c r="X91" i="2" s="1"/>
  <c r="T93" i="2"/>
  <c r="P109" i="2"/>
  <c r="U149" i="2"/>
  <c r="Y149" i="2"/>
  <c r="AA149" i="2" s="1"/>
  <c r="U154" i="2"/>
  <c r="Y154" i="2"/>
  <c r="AA154" i="2" s="1"/>
  <c r="U159" i="2"/>
  <c r="Y159" i="2"/>
  <c r="AA159" i="2" s="1"/>
  <c r="U167" i="2"/>
  <c r="Y167" i="2"/>
  <c r="AA167" i="2" s="1"/>
  <c r="U175" i="2"/>
  <c r="Y175" i="2"/>
  <c r="AA175" i="2" s="1"/>
  <c r="P204" i="2"/>
  <c r="R228" i="2"/>
  <c r="X228" i="2" s="1"/>
  <c r="V228" i="2"/>
  <c r="S228" i="2"/>
  <c r="O244" i="2"/>
  <c r="T559" i="1"/>
  <c r="Y31" i="2"/>
  <c r="P30" i="2"/>
  <c r="Y36" i="2"/>
  <c r="P35" i="2"/>
  <c r="Y41" i="2"/>
  <c r="P40" i="2"/>
  <c r="N84" i="2"/>
  <c r="N53" i="2" s="1"/>
  <c r="N52" i="2" s="1"/>
  <c r="N51" i="2" s="1"/>
  <c r="N50" i="2" s="1"/>
  <c r="N9" i="2" s="1"/>
  <c r="N8" i="2" s="1"/>
  <c r="N406" i="2" s="1"/>
  <c r="S88" i="2"/>
  <c r="R88" i="2"/>
  <c r="X88" i="2" s="1"/>
  <c r="V163" i="2"/>
  <c r="S163" i="2"/>
  <c r="V171" i="2"/>
  <c r="S171" i="2"/>
  <c r="U180" i="2"/>
  <c r="Y180" i="2"/>
  <c r="AA180" i="2" s="1"/>
  <c r="V199" i="2"/>
  <c r="S199" i="2"/>
  <c r="M234" i="2"/>
  <c r="O234" i="2" s="1"/>
  <c r="L234" i="2"/>
  <c r="Y240" i="2"/>
  <c r="P238" i="2"/>
  <c r="P489" i="1"/>
  <c r="R519" i="1"/>
  <c r="X519" i="1" s="1"/>
  <c r="R560" i="1"/>
  <c r="X560" i="1" s="1"/>
  <c r="Y26" i="2"/>
  <c r="P25" i="2"/>
  <c r="P85" i="2"/>
  <c r="P104" i="2"/>
  <c r="M131" i="2"/>
  <c r="V145" i="2"/>
  <c r="S145" i="2"/>
  <c r="U185" i="2"/>
  <c r="Y185" i="2"/>
  <c r="AA185" i="2" s="1"/>
  <c r="V194" i="2"/>
  <c r="S194" i="2"/>
  <c r="Y217" i="2"/>
  <c r="P215" i="2"/>
  <c r="M279" i="2"/>
  <c r="O280" i="2"/>
  <c r="O279" i="2" s="1"/>
  <c r="Z295" i="2"/>
  <c r="S370" i="2"/>
  <c r="R370" i="2"/>
  <c r="X370" i="2" s="1"/>
  <c r="V370" i="2"/>
  <c r="S376" i="2"/>
  <c r="R376" i="2"/>
  <c r="X376" i="2" s="1"/>
  <c r="V376" i="2"/>
  <c r="S382" i="2"/>
  <c r="R382" i="2"/>
  <c r="X382" i="2" s="1"/>
  <c r="V382" i="2"/>
  <c r="J30" i="2"/>
  <c r="J35" i="2"/>
  <c r="J40" i="2"/>
  <c r="U62" i="2"/>
  <c r="Y62" i="2"/>
  <c r="AA62" i="2" s="1"/>
  <c r="U80" i="2"/>
  <c r="Y80" i="2"/>
  <c r="AA80" i="2" s="1"/>
  <c r="Z84" i="2"/>
  <c r="V88" i="2"/>
  <c r="Y114" i="2"/>
  <c r="P113" i="2"/>
  <c r="U141" i="2"/>
  <c r="Y141" i="2"/>
  <c r="AA141" i="2" s="1"/>
  <c r="R163" i="2"/>
  <c r="X163" i="2" s="1"/>
  <c r="R171" i="2"/>
  <c r="X171" i="2" s="1"/>
  <c r="V189" i="2"/>
  <c r="S189" i="2"/>
  <c r="R199" i="2"/>
  <c r="X199" i="2" s="1"/>
  <c r="M204" i="2"/>
  <c r="O204" i="2" s="1"/>
  <c r="L204" i="2"/>
  <c r="P211" i="2"/>
  <c r="O241" i="2"/>
  <c r="R323" i="2"/>
  <c r="X323" i="2" s="1"/>
  <c r="V323" i="2"/>
  <c r="S323" i="2"/>
  <c r="Y364" i="2"/>
  <c r="AA364" i="2" s="1"/>
  <c r="U364" i="2"/>
  <c r="S395" i="2"/>
  <c r="R395" i="2"/>
  <c r="X395" i="2" s="1"/>
  <c r="V395" i="2"/>
  <c r="P18" i="2"/>
  <c r="Y19" i="2"/>
  <c r="V60" i="2"/>
  <c r="S60" i="2"/>
  <c r="U67" i="2"/>
  <c r="Y67" i="2"/>
  <c r="AA67" i="2" s="1"/>
  <c r="V76" i="2"/>
  <c r="S76" i="2"/>
  <c r="M94" i="2"/>
  <c r="L94" i="2"/>
  <c r="Y117" i="2"/>
  <c r="P116" i="2"/>
  <c r="Y122" i="2"/>
  <c r="P121" i="2"/>
  <c r="Y127" i="2"/>
  <c r="P126" i="2"/>
  <c r="U136" i="2"/>
  <c r="Y136" i="2"/>
  <c r="AA136" i="2" s="1"/>
  <c r="M163" i="2"/>
  <c r="O163" i="2" s="1"/>
  <c r="L163" i="2"/>
  <c r="M171" i="2"/>
  <c r="O171" i="2" s="1"/>
  <c r="L171" i="2"/>
  <c r="M199" i="2"/>
  <c r="O199" i="2" s="1"/>
  <c r="L199" i="2"/>
  <c r="V208" i="2"/>
  <c r="S208" i="2"/>
  <c r="R208" i="2"/>
  <c r="X208" i="2" s="1"/>
  <c r="M218" i="2"/>
  <c r="O218" i="2" s="1"/>
  <c r="L218" i="2"/>
  <c r="M228" i="2"/>
  <c r="O228" i="2" s="1"/>
  <c r="L228" i="2"/>
  <c r="Y243" i="2"/>
  <c r="P241" i="2"/>
  <c r="P231" i="2"/>
  <c r="L251" i="2"/>
  <c r="R326" i="2"/>
  <c r="X326" i="2" s="1"/>
  <c r="V326" i="2"/>
  <c r="S326" i="2"/>
  <c r="Y355" i="2"/>
  <c r="U355" i="2"/>
  <c r="M364" i="2"/>
  <c r="O364" i="2" s="1"/>
  <c r="L364" i="2"/>
  <c r="S367" i="2"/>
  <c r="R367" i="2"/>
  <c r="X367" i="2" s="1"/>
  <c r="V367" i="2"/>
  <c r="S373" i="2"/>
  <c r="R373" i="2"/>
  <c r="X373" i="2" s="1"/>
  <c r="V373" i="2"/>
  <c r="S379" i="2"/>
  <c r="R379" i="2"/>
  <c r="X379" i="2" s="1"/>
  <c r="V379" i="2"/>
  <c r="Z25" i="2"/>
  <c r="Z24" i="2" s="1"/>
  <c r="Z16" i="2" s="1"/>
  <c r="Z12" i="2" s="1"/>
  <c r="Z11" i="2" s="1"/>
  <c r="Z10" i="2" s="1"/>
  <c r="V244" i="2"/>
  <c r="S244" i="2"/>
  <c r="R244" i="2"/>
  <c r="X244" i="2" s="1"/>
  <c r="P251" i="2"/>
  <c r="Y252" i="2"/>
  <c r="P258" i="2"/>
  <c r="O264" i="2"/>
  <c r="R335" i="2"/>
  <c r="X335" i="2" s="1"/>
  <c r="V335" i="2"/>
  <c r="S335" i="2"/>
  <c r="M361" i="2"/>
  <c r="O361" i="2" s="1"/>
  <c r="L361" i="2"/>
  <c r="S389" i="2"/>
  <c r="R389" i="2"/>
  <c r="X389" i="2" s="1"/>
  <c r="V389" i="2"/>
  <c r="R225" i="2"/>
  <c r="X225" i="2" s="1"/>
  <c r="V225" i="2"/>
  <c r="P248" i="2"/>
  <c r="Y249" i="2"/>
  <c r="R303" i="2"/>
  <c r="X303" i="2" s="1"/>
  <c r="V303" i="2"/>
  <c r="S303" i="2"/>
  <c r="R320" i="2"/>
  <c r="X320" i="2" s="1"/>
  <c r="V320" i="2"/>
  <c r="S320" i="2"/>
  <c r="M339" i="2"/>
  <c r="O339" i="2" s="1"/>
  <c r="L339" i="2"/>
  <c r="M358" i="2"/>
  <c r="O358" i="2" s="1"/>
  <c r="L358" i="2"/>
  <c r="R399" i="2"/>
  <c r="X399" i="2" s="1"/>
  <c r="V399" i="2"/>
  <c r="S399" i="2"/>
  <c r="S225" i="2"/>
  <c r="V264" i="2"/>
  <c r="S264" i="2"/>
  <c r="R264" i="2"/>
  <c r="X264" i="2" s="1"/>
  <c r="M296" i="2"/>
  <c r="L296" i="2"/>
  <c r="M307" i="2"/>
  <c r="O307" i="2" s="1"/>
  <c r="L307" i="2"/>
  <c r="M313" i="2"/>
  <c r="O313" i="2" s="1"/>
  <c r="L313" i="2"/>
  <c r="R329" i="2"/>
  <c r="X329" i="2" s="1"/>
  <c r="V329" i="2"/>
  <c r="S329" i="2"/>
  <c r="M346" i="2"/>
  <c r="O346" i="2" s="1"/>
  <c r="L346" i="2"/>
  <c r="M355" i="2"/>
  <c r="L355" i="2"/>
  <c r="M367" i="2"/>
  <c r="O367" i="2" s="1"/>
  <c r="L367" i="2"/>
  <c r="M373" i="2"/>
  <c r="O373" i="2" s="1"/>
  <c r="L373" i="2"/>
  <c r="M379" i="2"/>
  <c r="O379" i="2" s="1"/>
  <c r="L379" i="2"/>
  <c r="S386" i="2"/>
  <c r="R386" i="2"/>
  <c r="X386" i="2" s="1"/>
  <c r="V386" i="2"/>
  <c r="L241" i="2"/>
  <c r="L244" i="2"/>
  <c r="O269" i="2"/>
  <c r="R332" i="2"/>
  <c r="X332" i="2" s="1"/>
  <c r="V332" i="2"/>
  <c r="S332" i="2"/>
  <c r="Y361" i="2"/>
  <c r="AA361" i="2" s="1"/>
  <c r="U361" i="2"/>
  <c r="Y402" i="2"/>
  <c r="AA402" i="2" s="1"/>
  <c r="U402" i="2"/>
  <c r="P269" i="2"/>
  <c r="P274" i="2"/>
  <c r="M398" i="2"/>
  <c r="P404" i="2"/>
  <c r="Y280" i="2"/>
  <c r="Y283" i="2"/>
  <c r="AA283" i="2" s="1"/>
  <c r="Y286" i="2"/>
  <c r="AA286" i="2" s="1"/>
  <c r="Y289" i="2"/>
  <c r="AA289" i="2" s="1"/>
  <c r="Y292" i="2"/>
  <c r="AA292" i="2" s="1"/>
  <c r="R280" i="2"/>
  <c r="X280" i="2" s="1"/>
  <c r="R283" i="2"/>
  <c r="X283" i="2" s="1"/>
  <c r="R286" i="2"/>
  <c r="X286" i="2" s="1"/>
  <c r="R289" i="2"/>
  <c r="X289" i="2" s="1"/>
  <c r="R292" i="2"/>
  <c r="X292" i="2" s="1"/>
  <c r="U401" i="2"/>
  <c r="L255" i="2"/>
  <c r="L258" i="2"/>
  <c r="L261" i="2"/>
  <c r="L264" i="2"/>
  <c r="L269" i="2"/>
  <c r="L274" i="2"/>
  <c r="S296" i="2"/>
  <c r="Y301" i="2"/>
  <c r="Y304" i="2"/>
  <c r="S307" i="2"/>
  <c r="S310" i="2"/>
  <c r="S313" i="2"/>
  <c r="Y318" i="2"/>
  <c r="Y321" i="2"/>
  <c r="Y324" i="2"/>
  <c r="Y327" i="2"/>
  <c r="Y330" i="2"/>
  <c r="Y333" i="2"/>
  <c r="Y336" i="2"/>
  <c r="S339" i="2"/>
  <c r="S346" i="2"/>
  <c r="O386" i="2"/>
  <c r="O385" i="2" s="1"/>
  <c r="T398" i="2"/>
  <c r="Y400" i="2"/>
  <c r="L404" i="2"/>
  <c r="U280" i="2"/>
  <c r="U279" i="2" s="1"/>
  <c r="L300" i="3" l="1"/>
  <c r="R30" i="3"/>
  <c r="R109" i="3"/>
  <c r="S109" i="3"/>
  <c r="U109" i="3" s="1"/>
  <c r="L104" i="3"/>
  <c r="M376" i="3"/>
  <c r="O376" i="3" s="1"/>
  <c r="L80" i="3"/>
  <c r="M398" i="3"/>
  <c r="L199" i="3"/>
  <c r="R76" i="3"/>
  <c r="N53" i="3"/>
  <c r="R113" i="3"/>
  <c r="S54" i="3"/>
  <c r="T53" i="3"/>
  <c r="R99" i="3"/>
  <c r="R46" i="3"/>
  <c r="R370" i="3"/>
  <c r="L289" i="3"/>
  <c r="M373" i="3"/>
  <c r="O373" i="3" s="1"/>
  <c r="M231" i="3"/>
  <c r="O231" i="3" s="1"/>
  <c r="L231" i="3"/>
  <c r="R80" i="3"/>
  <c r="S386" i="3"/>
  <c r="U386" i="3" s="1"/>
  <c r="L248" i="3"/>
  <c r="M194" i="3"/>
  <c r="O194" i="3" s="1"/>
  <c r="S354" i="3"/>
  <c r="R149" i="3"/>
  <c r="L99" i="3"/>
  <c r="L313" i="3"/>
  <c r="M280" i="3"/>
  <c r="M279" i="3" s="1"/>
  <c r="O76" i="3"/>
  <c r="O54" i="3" s="1"/>
  <c r="O53" i="3" s="1"/>
  <c r="M54" i="3"/>
  <c r="R180" i="3"/>
  <c r="T129" i="3"/>
  <c r="M189" i="3"/>
  <c r="O189" i="3" s="1"/>
  <c r="R71" i="3"/>
  <c r="L171" i="3"/>
  <c r="L251" i="3"/>
  <c r="M251" i="3"/>
  <c r="O251" i="3" s="1"/>
  <c r="O355" i="3"/>
  <c r="O354" i="3" s="1"/>
  <c r="L269" i="3"/>
  <c r="R185" i="3"/>
  <c r="L211" i="3"/>
  <c r="M211" i="3"/>
  <c r="O211" i="3" s="1"/>
  <c r="L274" i="3"/>
  <c r="M274" i="3"/>
  <c r="O274" i="3" s="1"/>
  <c r="M385" i="3"/>
  <c r="L204" i="3"/>
  <c r="M204" i="3"/>
  <c r="O204" i="3" s="1"/>
  <c r="M234" i="3"/>
  <c r="O234" i="3" s="1"/>
  <c r="L234" i="3"/>
  <c r="S104" i="3"/>
  <c r="U104" i="3" s="1"/>
  <c r="R104" i="3"/>
  <c r="S215" i="3"/>
  <c r="R215" i="3"/>
  <c r="U145" i="3"/>
  <c r="O25" i="3"/>
  <c r="S307" i="3"/>
  <c r="R307" i="3"/>
  <c r="R251" i="3"/>
  <c r="S251" i="3"/>
  <c r="R300" i="3"/>
  <c r="S300" i="3"/>
  <c r="U326" i="3"/>
  <c r="S141" i="3"/>
  <c r="R141" i="3"/>
  <c r="N129" i="3"/>
  <c r="N52" i="3" s="1"/>
  <c r="N51" i="3" s="1"/>
  <c r="N50" i="3" s="1"/>
  <c r="N9" i="3" s="1"/>
  <c r="N8" i="3" s="1"/>
  <c r="N406" i="3" s="1"/>
  <c r="M295" i="3"/>
  <c r="O296" i="3"/>
  <c r="O295" i="3" s="1"/>
  <c r="S204" i="3"/>
  <c r="R204" i="3"/>
  <c r="R248" i="3"/>
  <c r="S248" i="3"/>
  <c r="M45" i="3"/>
  <c r="O46" i="3"/>
  <c r="O45" i="3" s="1"/>
  <c r="S94" i="3"/>
  <c r="R94" i="3"/>
  <c r="U30" i="3"/>
  <c r="U289" i="3"/>
  <c r="U404" i="3"/>
  <c r="S231" i="3"/>
  <c r="R231" i="3"/>
  <c r="U303" i="3"/>
  <c r="R317" i="3"/>
  <c r="S317" i="3"/>
  <c r="S194" i="3"/>
  <c r="R194" i="3"/>
  <c r="S136" i="3"/>
  <c r="R136" i="3"/>
  <c r="S116" i="3"/>
  <c r="R116" i="3"/>
  <c r="S18" i="3"/>
  <c r="R18" i="3"/>
  <c r="S45" i="3"/>
  <c r="U46" i="3"/>
  <c r="U45" i="3" s="1"/>
  <c r="O398" i="3"/>
  <c r="U392" i="3"/>
  <c r="U379" i="3"/>
  <c r="S241" i="3"/>
  <c r="R241" i="3"/>
  <c r="U395" i="3"/>
  <c r="S255" i="3"/>
  <c r="R255" i="3"/>
  <c r="S131" i="3"/>
  <c r="R131" i="3"/>
  <c r="S258" i="3"/>
  <c r="R258" i="3"/>
  <c r="O14" i="3"/>
  <c r="O13" i="3" s="1"/>
  <c r="M13" i="3"/>
  <c r="U35" i="3"/>
  <c r="S310" i="3"/>
  <c r="R310" i="3"/>
  <c r="R228" i="3"/>
  <c r="S228" i="3"/>
  <c r="S313" i="3"/>
  <c r="R313" i="3"/>
  <c r="S385" i="3"/>
  <c r="S353" i="3" s="1"/>
  <c r="R335" i="3"/>
  <c r="S335" i="3"/>
  <c r="U280" i="3"/>
  <c r="S244" i="3"/>
  <c r="R244" i="3"/>
  <c r="S234" i="3"/>
  <c r="R234" i="3"/>
  <c r="U180" i="3"/>
  <c r="S286" i="3"/>
  <c r="R286" i="3"/>
  <c r="U269" i="3"/>
  <c r="S261" i="3"/>
  <c r="R261" i="3"/>
  <c r="M154" i="3"/>
  <c r="O154" i="3" s="1"/>
  <c r="L154" i="3"/>
  <c r="S85" i="3"/>
  <c r="R85" i="3"/>
  <c r="M35" i="3"/>
  <c r="O35" i="3" s="1"/>
  <c r="L35" i="3"/>
  <c r="U149" i="3"/>
  <c r="S88" i="3"/>
  <c r="R88" i="3"/>
  <c r="U91" i="3"/>
  <c r="T12" i="3"/>
  <c r="T11" i="3" s="1"/>
  <c r="T10" i="3" s="1"/>
  <c r="S199" i="3"/>
  <c r="R199" i="3"/>
  <c r="S346" i="3"/>
  <c r="R346" i="3"/>
  <c r="S283" i="3"/>
  <c r="R283" i="3"/>
  <c r="O385" i="3"/>
  <c r="U382" i="3"/>
  <c r="S225" i="3"/>
  <c r="R225" i="3"/>
  <c r="U376" i="3"/>
  <c r="U292" i="3"/>
  <c r="S238" i="3"/>
  <c r="R238" i="3"/>
  <c r="M136" i="3"/>
  <c r="O136" i="3" s="1"/>
  <c r="L136" i="3"/>
  <c r="U154" i="3"/>
  <c r="U185" i="3"/>
  <c r="U71" i="3"/>
  <c r="U54" i="3" s="1"/>
  <c r="R189" i="3"/>
  <c r="S189" i="3"/>
  <c r="S211" i="3"/>
  <c r="R211" i="3"/>
  <c r="R332" i="3"/>
  <c r="S332" i="3"/>
  <c r="S274" i="3"/>
  <c r="R274" i="3"/>
  <c r="U389" i="3"/>
  <c r="U167" i="3"/>
  <c r="U373" i="3"/>
  <c r="U354" i="3" s="1"/>
  <c r="S398" i="3"/>
  <c r="U399" i="3"/>
  <c r="M131" i="3"/>
  <c r="L131" i="3"/>
  <c r="U126" i="3"/>
  <c r="S40" i="3"/>
  <c r="R40" i="3"/>
  <c r="S208" i="3"/>
  <c r="R208" i="3"/>
  <c r="S25" i="3"/>
  <c r="R25" i="3"/>
  <c r="U121" i="3"/>
  <c r="O93" i="3"/>
  <c r="S339" i="3"/>
  <c r="R339" i="3"/>
  <c r="R320" i="3"/>
  <c r="S320" i="3"/>
  <c r="U323" i="3"/>
  <c r="S264" i="3"/>
  <c r="R264" i="3"/>
  <c r="R329" i="3"/>
  <c r="S329" i="3"/>
  <c r="S296" i="3"/>
  <c r="R296" i="3"/>
  <c r="U159" i="3"/>
  <c r="L175" i="3"/>
  <c r="M175" i="3"/>
  <c r="O175" i="3" s="1"/>
  <c r="U175" i="3"/>
  <c r="U113" i="3"/>
  <c r="M93" i="3"/>
  <c r="U218" i="2"/>
  <c r="Y218" i="2"/>
  <c r="AA218" i="2" s="1"/>
  <c r="U310" i="2"/>
  <c r="Y310" i="2"/>
  <c r="AA310" i="2" s="1"/>
  <c r="R251" i="2"/>
  <c r="X251" i="2" s="1"/>
  <c r="V251" i="2"/>
  <c r="S251" i="2"/>
  <c r="V241" i="2"/>
  <c r="S241" i="2"/>
  <c r="R241" i="2"/>
  <c r="X241" i="2" s="1"/>
  <c r="S295" i="2"/>
  <c r="U296" i="2"/>
  <c r="U295" i="2" s="1"/>
  <c r="Y296" i="2"/>
  <c r="R248" i="2"/>
  <c r="X248" i="2" s="1"/>
  <c r="V248" i="2"/>
  <c r="S248" i="2"/>
  <c r="Y335" i="2"/>
  <c r="AA335" i="2" s="1"/>
  <c r="U335" i="2"/>
  <c r="U244" i="2"/>
  <c r="Y244" i="2"/>
  <c r="AA244" i="2" s="1"/>
  <c r="Y373" i="2"/>
  <c r="AA373" i="2" s="1"/>
  <c r="U373" i="2"/>
  <c r="AA355" i="2"/>
  <c r="Y382" i="2"/>
  <c r="AA382" i="2" s="1"/>
  <c r="U382" i="2"/>
  <c r="Y145" i="2"/>
  <c r="AA145" i="2" s="1"/>
  <c r="U145" i="2"/>
  <c r="Y300" i="2"/>
  <c r="AA300" i="2" s="1"/>
  <c r="U300" i="2"/>
  <c r="Y71" i="2"/>
  <c r="AA71" i="2" s="1"/>
  <c r="U71" i="2"/>
  <c r="U473" i="1"/>
  <c r="Y473" i="1"/>
  <c r="AA473" i="1" s="1"/>
  <c r="V255" i="2"/>
  <c r="S255" i="2"/>
  <c r="R255" i="2"/>
  <c r="X255" i="2" s="1"/>
  <c r="S501" i="1"/>
  <c r="R501" i="1"/>
  <c r="X501" i="1" s="1"/>
  <c r="V501" i="1"/>
  <c r="U365" i="1"/>
  <c r="Y365" i="1"/>
  <c r="AA365" i="1" s="1"/>
  <c r="M488" i="1"/>
  <c r="M487" i="1" s="1"/>
  <c r="U379" i="1"/>
  <c r="Y379" i="1"/>
  <c r="AA379" i="1" s="1"/>
  <c r="R369" i="1"/>
  <c r="X369" i="1" s="1"/>
  <c r="V369" i="1"/>
  <c r="S369" i="1"/>
  <c r="AA560" i="1"/>
  <c r="AA559" i="1" s="1"/>
  <c r="Y559" i="1"/>
  <c r="L287" i="1"/>
  <c r="M287" i="1"/>
  <c r="O287" i="1" s="1"/>
  <c r="Z199" i="1"/>
  <c r="U121" i="1"/>
  <c r="Y121" i="1"/>
  <c r="AA121" i="1" s="1"/>
  <c r="T58" i="1"/>
  <c r="T57" i="1" s="1"/>
  <c r="T56" i="1" s="1"/>
  <c r="T55" i="1" s="1"/>
  <c r="T9" i="1" s="1"/>
  <c r="T8" i="1" s="1"/>
  <c r="T569" i="1" s="1"/>
  <c r="O201" i="1"/>
  <c r="U51" i="1"/>
  <c r="U50" i="1" s="1"/>
  <c r="Y51" i="1"/>
  <c r="S50" i="1"/>
  <c r="V305" i="1"/>
  <c r="S305" i="1"/>
  <c r="R305" i="1"/>
  <c r="X305" i="1" s="1"/>
  <c r="M50" i="1"/>
  <c r="O51" i="1"/>
  <c r="O50" i="1" s="1"/>
  <c r="R405" i="1"/>
  <c r="X405" i="1" s="1"/>
  <c r="V405" i="1"/>
  <c r="S405" i="1"/>
  <c r="V349" i="1"/>
  <c r="S349" i="1"/>
  <c r="R349" i="1"/>
  <c r="X349" i="1" s="1"/>
  <c r="V362" i="1"/>
  <c r="S362" i="1"/>
  <c r="R362" i="1"/>
  <c r="X362" i="1" s="1"/>
  <c r="L92" i="1"/>
  <c r="M92" i="1"/>
  <c r="O92" i="1" s="1"/>
  <c r="R297" i="1"/>
  <c r="X297" i="1" s="1"/>
  <c r="S297" i="1"/>
  <c r="V297" i="1"/>
  <c r="Y273" i="1"/>
  <c r="AA273" i="1" s="1"/>
  <c r="U273" i="1"/>
  <c r="U346" i="2"/>
  <c r="Y346" i="2"/>
  <c r="AA346" i="2" s="1"/>
  <c r="V404" i="2"/>
  <c r="S404" i="2"/>
  <c r="S398" i="2" s="1"/>
  <c r="R404" i="2"/>
  <c r="X404" i="2" s="1"/>
  <c r="Y332" i="2"/>
  <c r="AA332" i="2" s="1"/>
  <c r="U332" i="2"/>
  <c r="Y386" i="2"/>
  <c r="S385" i="2"/>
  <c r="U386" i="2"/>
  <c r="M354" i="2"/>
  <c r="M353" i="2" s="1"/>
  <c r="O355" i="2"/>
  <c r="O354" i="2" s="1"/>
  <c r="O353" i="2" s="1"/>
  <c r="Y399" i="2"/>
  <c r="U399" i="2"/>
  <c r="Y395" i="2"/>
  <c r="AA395" i="2" s="1"/>
  <c r="U395" i="2"/>
  <c r="S215" i="2"/>
  <c r="R215" i="2"/>
  <c r="X215" i="2" s="1"/>
  <c r="V215" i="2"/>
  <c r="O131" i="2"/>
  <c r="O130" i="2" s="1"/>
  <c r="O129" i="2" s="1"/>
  <c r="M130" i="2"/>
  <c r="V238" i="2"/>
  <c r="S238" i="2"/>
  <c r="R238" i="2"/>
  <c r="X238" i="2" s="1"/>
  <c r="Y171" i="2"/>
  <c r="AA171" i="2" s="1"/>
  <c r="U171" i="2"/>
  <c r="U91" i="2"/>
  <c r="Y91" i="2"/>
  <c r="AA91" i="2" s="1"/>
  <c r="Z53" i="2"/>
  <c r="Z52" i="2" s="1"/>
  <c r="Z51" i="2" s="1"/>
  <c r="Z50" i="2" s="1"/>
  <c r="Z9" i="2" s="1"/>
  <c r="Z8" i="2" s="1"/>
  <c r="Z406" i="2" s="1"/>
  <c r="Y392" i="2"/>
  <c r="AA392" i="2" s="1"/>
  <c r="U392" i="2"/>
  <c r="R325" i="1"/>
  <c r="X325" i="1" s="1"/>
  <c r="V325" i="1"/>
  <c r="S325" i="1"/>
  <c r="O411" i="1"/>
  <c r="O410" i="1" s="1"/>
  <c r="M410" i="1"/>
  <c r="U382" i="1"/>
  <c r="Y382" i="1"/>
  <c r="AA382" i="1" s="1"/>
  <c r="U441" i="1"/>
  <c r="Y441" i="1"/>
  <c r="AA441" i="1" s="1"/>
  <c r="O18" i="2"/>
  <c r="O17" i="2" s="1"/>
  <c r="M17" i="2"/>
  <c r="R395" i="1"/>
  <c r="X395" i="1" s="1"/>
  <c r="V395" i="1"/>
  <c r="S395" i="1"/>
  <c r="AA411" i="1"/>
  <c r="Y115" i="1"/>
  <c r="S114" i="1"/>
  <c r="U115" i="1"/>
  <c r="U162" i="1"/>
  <c r="Y162" i="1"/>
  <c r="AA162" i="1" s="1"/>
  <c r="AA201" i="1"/>
  <c r="M17" i="1"/>
  <c r="O18" i="1"/>
  <c r="O17" i="1" s="1"/>
  <c r="S287" i="1"/>
  <c r="R287" i="1"/>
  <c r="X287" i="1" s="1"/>
  <c r="V287" i="1"/>
  <c r="U531" i="1"/>
  <c r="Y531" i="1"/>
  <c r="AA531" i="1" s="1"/>
  <c r="AA132" i="1"/>
  <c r="AA280" i="2"/>
  <c r="AA279" i="2" s="1"/>
  <c r="Y279" i="2"/>
  <c r="Y225" i="2"/>
  <c r="AA225" i="2" s="1"/>
  <c r="U225" i="2"/>
  <c r="Y326" i="2"/>
  <c r="AA326" i="2" s="1"/>
  <c r="U326" i="2"/>
  <c r="Z57" i="1"/>
  <c r="Z56" i="1" s="1"/>
  <c r="Z55" i="1" s="1"/>
  <c r="Z9" i="1" s="1"/>
  <c r="Z8" i="1" s="1"/>
  <c r="Z569" i="1" s="1"/>
  <c r="U339" i="2"/>
  <c r="Y339" i="2"/>
  <c r="AA339" i="2" s="1"/>
  <c r="U313" i="2"/>
  <c r="Y313" i="2"/>
  <c r="AA313" i="2" s="1"/>
  <c r="Y367" i="2"/>
  <c r="AA367" i="2" s="1"/>
  <c r="U367" i="2"/>
  <c r="S116" i="2"/>
  <c r="R116" i="2"/>
  <c r="X116" i="2" s="1"/>
  <c r="V116" i="2"/>
  <c r="Y60" i="2"/>
  <c r="AA60" i="2" s="1"/>
  <c r="U60" i="2"/>
  <c r="S113" i="2"/>
  <c r="R113" i="2"/>
  <c r="X113" i="2" s="1"/>
  <c r="V113" i="2"/>
  <c r="M40" i="2"/>
  <c r="O40" i="2" s="1"/>
  <c r="L40" i="2"/>
  <c r="Y376" i="2"/>
  <c r="AA376" i="2" s="1"/>
  <c r="U376" i="2"/>
  <c r="S104" i="2"/>
  <c r="V104" i="2"/>
  <c r="R104" i="2"/>
  <c r="X104" i="2" s="1"/>
  <c r="S35" i="2"/>
  <c r="R35" i="2"/>
  <c r="X35" i="2" s="1"/>
  <c r="V35" i="2"/>
  <c r="Y317" i="2"/>
  <c r="AA317" i="2" s="1"/>
  <c r="U317" i="2"/>
  <c r="V261" i="2"/>
  <c r="S261" i="2"/>
  <c r="R261" i="2"/>
  <c r="X261" i="2" s="1"/>
  <c r="R392" i="1"/>
  <c r="X392" i="1" s="1"/>
  <c r="V392" i="1"/>
  <c r="S392" i="1"/>
  <c r="U480" i="1"/>
  <c r="Y480" i="1"/>
  <c r="AA480" i="1" s="1"/>
  <c r="V346" i="1"/>
  <c r="S346" i="1"/>
  <c r="R346" i="1"/>
  <c r="X346" i="1" s="1"/>
  <c r="M45" i="2"/>
  <c r="O46" i="2"/>
  <c r="O45" i="2" s="1"/>
  <c r="S359" i="1"/>
  <c r="R359" i="1"/>
  <c r="X359" i="1" s="1"/>
  <c r="V359" i="1"/>
  <c r="Y102" i="1"/>
  <c r="AA102" i="1" s="1"/>
  <c r="U102" i="1"/>
  <c r="S92" i="1"/>
  <c r="R92" i="1"/>
  <c r="X92" i="1" s="1"/>
  <c r="V92" i="1"/>
  <c r="S142" i="1"/>
  <c r="R142" i="1"/>
  <c r="X142" i="1" s="1"/>
  <c r="V142" i="1"/>
  <c r="U186" i="1"/>
  <c r="Y186" i="1"/>
  <c r="AA186" i="1" s="1"/>
  <c r="Y14" i="1"/>
  <c r="U14" i="1"/>
  <c r="U13" i="1" s="1"/>
  <c r="S13" i="1"/>
  <c r="V221" i="2"/>
  <c r="S221" i="2"/>
  <c r="R221" i="2"/>
  <c r="X221" i="2" s="1"/>
  <c r="L237" i="1"/>
  <c r="M237" i="1"/>
  <c r="O237" i="1" s="1"/>
  <c r="Y320" i="2"/>
  <c r="AA320" i="2" s="1"/>
  <c r="U320" i="2"/>
  <c r="S121" i="2"/>
  <c r="R121" i="2"/>
  <c r="X121" i="2" s="1"/>
  <c r="V121" i="2"/>
  <c r="S489" i="1"/>
  <c r="R489" i="1"/>
  <c r="X489" i="1" s="1"/>
  <c r="V489" i="1"/>
  <c r="Y152" i="1"/>
  <c r="AA152" i="1" s="1"/>
  <c r="U152" i="1"/>
  <c r="V274" i="2"/>
  <c r="S274" i="2"/>
  <c r="R274" i="2"/>
  <c r="X274" i="2" s="1"/>
  <c r="Y303" i="2"/>
  <c r="AA303" i="2" s="1"/>
  <c r="U303" i="2"/>
  <c r="M35" i="2"/>
  <c r="O35" i="2" s="1"/>
  <c r="L35" i="2"/>
  <c r="Y194" i="2"/>
  <c r="AA194" i="2" s="1"/>
  <c r="U194" i="2"/>
  <c r="S85" i="2"/>
  <c r="R85" i="2"/>
  <c r="X85" i="2" s="1"/>
  <c r="V85" i="2"/>
  <c r="Y163" i="2"/>
  <c r="AA163" i="2" s="1"/>
  <c r="U163" i="2"/>
  <c r="V204" i="2"/>
  <c r="S204" i="2"/>
  <c r="S130" i="2" s="1"/>
  <c r="S129" i="2" s="1"/>
  <c r="R204" i="2"/>
  <c r="X204" i="2" s="1"/>
  <c r="S45" i="2"/>
  <c r="Y46" i="2"/>
  <c r="U46" i="2"/>
  <c r="U45" i="2" s="1"/>
  <c r="R400" i="1"/>
  <c r="X400" i="1" s="1"/>
  <c r="V400" i="1"/>
  <c r="S400" i="1"/>
  <c r="R389" i="1"/>
  <c r="X389" i="1" s="1"/>
  <c r="V389" i="1"/>
  <c r="S389" i="1"/>
  <c r="U447" i="1"/>
  <c r="Y447" i="1"/>
  <c r="AA447" i="1" s="1"/>
  <c r="S356" i="1"/>
  <c r="R356" i="1"/>
  <c r="X356" i="1" s="1"/>
  <c r="V356" i="1"/>
  <c r="O132" i="1"/>
  <c r="O131" i="1" s="1"/>
  <c r="M131" i="1"/>
  <c r="M540" i="1"/>
  <c r="O541" i="1"/>
  <c r="O540" i="1" s="1"/>
  <c r="U257" i="1"/>
  <c r="Y257" i="1"/>
  <c r="AA257" i="1" s="1"/>
  <c r="Y342" i="1"/>
  <c r="AA342" i="1" s="1"/>
  <c r="U342" i="1"/>
  <c r="Y228" i="2"/>
  <c r="AA228" i="2" s="1"/>
  <c r="U228" i="2"/>
  <c r="V258" i="2"/>
  <c r="S258" i="2"/>
  <c r="R258" i="2"/>
  <c r="X258" i="2" s="1"/>
  <c r="U307" i="2"/>
  <c r="Y307" i="2"/>
  <c r="AA307" i="2" s="1"/>
  <c r="V269" i="2"/>
  <c r="S269" i="2"/>
  <c r="R269" i="2"/>
  <c r="X269" i="2" s="1"/>
  <c r="Y329" i="2"/>
  <c r="AA329" i="2" s="1"/>
  <c r="U329" i="2"/>
  <c r="M295" i="2"/>
  <c r="O296" i="2"/>
  <c r="O295" i="2" s="1"/>
  <c r="Y389" i="2"/>
  <c r="AA389" i="2" s="1"/>
  <c r="U389" i="2"/>
  <c r="Y379" i="2"/>
  <c r="AA379" i="2" s="1"/>
  <c r="U379" i="2"/>
  <c r="R231" i="2"/>
  <c r="X231" i="2" s="1"/>
  <c r="V231" i="2"/>
  <c r="S231" i="2"/>
  <c r="Y208" i="2"/>
  <c r="AA208" i="2" s="1"/>
  <c r="U208" i="2"/>
  <c r="Y323" i="2"/>
  <c r="AA323" i="2" s="1"/>
  <c r="U323" i="2"/>
  <c r="Y189" i="2"/>
  <c r="AA189" i="2" s="1"/>
  <c r="U189" i="2"/>
  <c r="M30" i="2"/>
  <c r="L30" i="2"/>
  <c r="S25" i="2"/>
  <c r="R25" i="2"/>
  <c r="X25" i="2" s="1"/>
  <c r="V25" i="2"/>
  <c r="S30" i="2"/>
  <c r="R30" i="2"/>
  <c r="X30" i="2" s="1"/>
  <c r="V30" i="2"/>
  <c r="S99" i="2"/>
  <c r="V99" i="2"/>
  <c r="R99" i="2"/>
  <c r="X99" i="2" s="1"/>
  <c r="R386" i="1"/>
  <c r="X386" i="1" s="1"/>
  <c r="V386" i="1"/>
  <c r="S386" i="1"/>
  <c r="AA55" i="2"/>
  <c r="O55" i="2"/>
  <c r="O54" i="2" s="1"/>
  <c r="O53" i="2" s="1"/>
  <c r="M54" i="2"/>
  <c r="M53" i="2" s="1"/>
  <c r="S541" i="1"/>
  <c r="R541" i="1"/>
  <c r="X541" i="1" s="1"/>
  <c r="V541" i="1"/>
  <c r="U495" i="1"/>
  <c r="Y495" i="1"/>
  <c r="AA495" i="1" s="1"/>
  <c r="V426" i="1"/>
  <c r="S426" i="1"/>
  <c r="R426" i="1"/>
  <c r="X426" i="1" s="1"/>
  <c r="U420" i="1"/>
  <c r="Y420" i="1"/>
  <c r="AA420" i="1" s="1"/>
  <c r="Y247" i="1"/>
  <c r="AA247" i="1" s="1"/>
  <c r="U247" i="1"/>
  <c r="S339" i="1"/>
  <c r="R339" i="1"/>
  <c r="X339" i="1" s="1"/>
  <c r="V339" i="1"/>
  <c r="N58" i="1"/>
  <c r="N57" i="1" s="1"/>
  <c r="N56" i="1" s="1"/>
  <c r="N55" i="1" s="1"/>
  <c r="N9" i="1" s="1"/>
  <c r="N8" i="1" s="1"/>
  <c r="N569" i="1" s="1"/>
  <c r="Y40" i="1"/>
  <c r="AA40" i="1" s="1"/>
  <c r="U40" i="1"/>
  <c r="U24" i="1" s="1"/>
  <c r="M59" i="1"/>
  <c r="M58" i="1" s="1"/>
  <c r="O60" i="1"/>
  <c r="O59" i="1" s="1"/>
  <c r="O58" i="1" s="1"/>
  <c r="U70" i="1"/>
  <c r="Y70" i="1"/>
  <c r="AA70" i="1" s="1"/>
  <c r="S59" i="1"/>
  <c r="S237" i="1"/>
  <c r="R237" i="1"/>
  <c r="X237" i="1" s="1"/>
  <c r="V237" i="1"/>
  <c r="V18" i="1"/>
  <c r="S18" i="1"/>
  <c r="R18" i="1"/>
  <c r="X18" i="1" s="1"/>
  <c r="L356" i="1"/>
  <c r="M356" i="1"/>
  <c r="O356" i="1" s="1"/>
  <c r="S24" i="1"/>
  <c r="M93" i="2"/>
  <c r="O94" i="2"/>
  <c r="O93" i="2" s="1"/>
  <c r="AA131" i="2"/>
  <c r="U534" i="1"/>
  <c r="Y534" i="1"/>
  <c r="AA534" i="1" s="1"/>
  <c r="R556" i="1"/>
  <c r="X556" i="1" s="1"/>
  <c r="V556" i="1"/>
  <c r="S556" i="1"/>
  <c r="U444" i="1"/>
  <c r="Y444" i="1"/>
  <c r="AA444" i="1" s="1"/>
  <c r="R234" i="2"/>
  <c r="X234" i="2" s="1"/>
  <c r="V234" i="2"/>
  <c r="S234" i="2"/>
  <c r="V537" i="1"/>
  <c r="S537" i="1"/>
  <c r="R537" i="1"/>
  <c r="X537" i="1" s="1"/>
  <c r="R375" i="1"/>
  <c r="X375" i="1" s="1"/>
  <c r="V375" i="1"/>
  <c r="S375" i="1"/>
  <c r="Y24" i="1"/>
  <c r="AA25" i="1"/>
  <c r="O25" i="1"/>
  <c r="O24" i="1" s="1"/>
  <c r="M24" i="1"/>
  <c r="V211" i="2"/>
  <c r="S211" i="2"/>
  <c r="R211" i="2"/>
  <c r="X211" i="2" s="1"/>
  <c r="S40" i="2"/>
  <c r="R40" i="2"/>
  <c r="X40" i="2" s="1"/>
  <c r="V40" i="2"/>
  <c r="Y547" i="1"/>
  <c r="AA547" i="1" s="1"/>
  <c r="U547" i="1"/>
  <c r="V18" i="2"/>
  <c r="R18" i="2"/>
  <c r="X18" i="2" s="1"/>
  <c r="S18" i="2"/>
  <c r="Y370" i="2"/>
  <c r="AA370" i="2" s="1"/>
  <c r="U370" i="2"/>
  <c r="U354" i="2" s="1"/>
  <c r="Y199" i="2"/>
  <c r="AA199" i="2" s="1"/>
  <c r="U199" i="2"/>
  <c r="U264" i="2"/>
  <c r="Y264" i="2"/>
  <c r="AA264" i="2" s="1"/>
  <c r="S354" i="2"/>
  <c r="S353" i="2" s="1"/>
  <c r="S126" i="2"/>
  <c r="R126" i="2"/>
  <c r="X126" i="2" s="1"/>
  <c r="V126" i="2"/>
  <c r="Y76" i="2"/>
  <c r="AA76" i="2" s="1"/>
  <c r="U76" i="2"/>
  <c r="U54" i="2" s="1"/>
  <c r="U88" i="2"/>
  <c r="Y88" i="2"/>
  <c r="AA88" i="2" s="1"/>
  <c r="S109" i="2"/>
  <c r="V109" i="2"/>
  <c r="R109" i="2"/>
  <c r="X109" i="2" s="1"/>
  <c r="V423" i="1"/>
  <c r="S423" i="1"/>
  <c r="R423" i="1"/>
  <c r="X423" i="1" s="1"/>
  <c r="R372" i="1"/>
  <c r="X372" i="1" s="1"/>
  <c r="V372" i="1"/>
  <c r="S372" i="1"/>
  <c r="O488" i="1"/>
  <c r="O487" i="1" s="1"/>
  <c r="U417" i="1"/>
  <c r="Y417" i="1"/>
  <c r="AA417" i="1" s="1"/>
  <c r="U94" i="2"/>
  <c r="Y94" i="2"/>
  <c r="V352" i="1"/>
  <c r="S352" i="1"/>
  <c r="R352" i="1"/>
  <c r="X352" i="1" s="1"/>
  <c r="Y507" i="1"/>
  <c r="AA507" i="1" s="1"/>
  <c r="U507" i="1"/>
  <c r="M429" i="1"/>
  <c r="O430" i="1"/>
  <c r="O429" i="1" s="1"/>
  <c r="U430" i="1"/>
  <c r="Y430" i="1"/>
  <c r="S429" i="1"/>
  <c r="V335" i="1"/>
  <c r="S335" i="1"/>
  <c r="R335" i="1"/>
  <c r="X335" i="1" s="1"/>
  <c r="Y265" i="1"/>
  <c r="AA265" i="1" s="1"/>
  <c r="U265" i="1"/>
  <c r="U513" i="1"/>
  <c r="Y513" i="1"/>
  <c r="AA513" i="1" s="1"/>
  <c r="M325" i="1"/>
  <c r="O325" i="1" s="1"/>
  <c r="L325" i="1"/>
  <c r="V211" i="1"/>
  <c r="S211" i="1"/>
  <c r="R211" i="1"/>
  <c r="X211" i="1" s="1"/>
  <c r="U110" i="1"/>
  <c r="Y110" i="1"/>
  <c r="AA110" i="1" s="1"/>
  <c r="AA14" i="2"/>
  <c r="AA13" i="2" s="1"/>
  <c r="Y13" i="2"/>
  <c r="S196" i="1"/>
  <c r="R196" i="1"/>
  <c r="X196" i="1" s="1"/>
  <c r="V196" i="1"/>
  <c r="S315" i="1"/>
  <c r="R315" i="1"/>
  <c r="X315" i="1" s="1"/>
  <c r="V315" i="1"/>
  <c r="Y127" i="1"/>
  <c r="AA127" i="1" s="1"/>
  <c r="U127" i="1"/>
  <c r="M53" i="3" l="1"/>
  <c r="O280" i="3"/>
  <c r="O279" i="3" s="1"/>
  <c r="T52" i="3"/>
  <c r="T51" i="3" s="1"/>
  <c r="T50" i="3" s="1"/>
  <c r="M354" i="3"/>
  <c r="M353" i="3" s="1"/>
  <c r="O353" i="3"/>
  <c r="U274" i="3"/>
  <c r="U238" i="3"/>
  <c r="U346" i="3"/>
  <c r="S295" i="3"/>
  <c r="U296" i="3"/>
  <c r="U332" i="3"/>
  <c r="U189" i="3"/>
  <c r="U234" i="3"/>
  <c r="U335" i="3"/>
  <c r="U241" i="3"/>
  <c r="U116" i="3"/>
  <c r="U194" i="3"/>
  <c r="U231" i="3"/>
  <c r="U251" i="3"/>
  <c r="O24" i="3"/>
  <c r="O16" i="3" s="1"/>
  <c r="O12" i="3" s="1"/>
  <c r="O11" i="3" s="1"/>
  <c r="O10" i="3" s="1"/>
  <c r="S24" i="3"/>
  <c r="U25" i="3"/>
  <c r="U211" i="3"/>
  <c r="U313" i="3"/>
  <c r="U248" i="3"/>
  <c r="U329" i="3"/>
  <c r="S84" i="3"/>
  <c r="U85" i="3"/>
  <c r="U228" i="3"/>
  <c r="S130" i="3"/>
  <c r="U131" i="3"/>
  <c r="U317" i="3"/>
  <c r="M24" i="3"/>
  <c r="M16" i="3" s="1"/>
  <c r="M12" i="3" s="1"/>
  <c r="M11" i="3" s="1"/>
  <c r="M10" i="3" s="1"/>
  <c r="U208" i="3"/>
  <c r="U199" i="3"/>
  <c r="U244" i="3"/>
  <c r="U385" i="3"/>
  <c r="U353" i="3" s="1"/>
  <c r="U255" i="3"/>
  <c r="U320" i="3"/>
  <c r="M130" i="3"/>
  <c r="M129" i="3" s="1"/>
  <c r="O131" i="3"/>
  <c r="O130" i="3" s="1"/>
  <c r="O129" i="3" s="1"/>
  <c r="O52" i="3" s="1"/>
  <c r="O51" i="3" s="1"/>
  <c r="O50" i="3" s="1"/>
  <c r="U398" i="3"/>
  <c r="U286" i="3"/>
  <c r="U18" i="3"/>
  <c r="U17" i="3" s="1"/>
  <c r="S17" i="3"/>
  <c r="S93" i="3"/>
  <c r="U94" i="3"/>
  <c r="U93" i="3" s="1"/>
  <c r="U204" i="3"/>
  <c r="U307" i="3"/>
  <c r="U264" i="3"/>
  <c r="U40" i="3"/>
  <c r="U283" i="3"/>
  <c r="S279" i="3"/>
  <c r="U310" i="3"/>
  <c r="U258" i="3"/>
  <c r="U136" i="3"/>
  <c r="U300" i="3"/>
  <c r="U88" i="3"/>
  <c r="U141" i="3"/>
  <c r="U339" i="3"/>
  <c r="U225" i="3"/>
  <c r="T9" i="3"/>
  <c r="T8" i="3" s="1"/>
  <c r="T406" i="3" s="1"/>
  <c r="U261" i="3"/>
  <c r="U215" i="3"/>
  <c r="U537" i="1"/>
  <c r="Y537" i="1"/>
  <c r="AA537" i="1" s="1"/>
  <c r="AA24" i="1"/>
  <c r="U237" i="1"/>
  <c r="Y237" i="1"/>
  <c r="AA237" i="1" s="1"/>
  <c r="U541" i="1"/>
  <c r="Y541" i="1"/>
  <c r="S540" i="1"/>
  <c r="Y25" i="2"/>
  <c r="U25" i="2"/>
  <c r="S24" i="2"/>
  <c r="Y35" i="2"/>
  <c r="AA35" i="2" s="1"/>
  <c r="U35" i="2"/>
  <c r="Y395" i="1"/>
  <c r="AA395" i="1" s="1"/>
  <c r="U395" i="1"/>
  <c r="M129" i="2"/>
  <c r="U255" i="2"/>
  <c r="Y255" i="2"/>
  <c r="AA255" i="2" s="1"/>
  <c r="AA296" i="2"/>
  <c r="AA295" i="2" s="1"/>
  <c r="Y295" i="2"/>
  <c r="Y398" i="2"/>
  <c r="AA399" i="2"/>
  <c r="AA398" i="2" s="1"/>
  <c r="Y349" i="1"/>
  <c r="AA349" i="1" s="1"/>
  <c r="U349" i="1"/>
  <c r="AA430" i="1"/>
  <c r="AA429" i="1" s="1"/>
  <c r="Y429" i="1"/>
  <c r="Y18" i="2"/>
  <c r="S17" i="2"/>
  <c r="U18" i="2"/>
  <c r="U17" i="2" s="1"/>
  <c r="U426" i="1"/>
  <c r="Y426" i="1"/>
  <c r="AA426" i="1" s="1"/>
  <c r="O30" i="2"/>
  <c r="O24" i="2" s="1"/>
  <c r="M24" i="2"/>
  <c r="M16" i="2" s="1"/>
  <c r="M12" i="2" s="1"/>
  <c r="M11" i="2" s="1"/>
  <c r="M10" i="2" s="1"/>
  <c r="M9" i="2" s="1"/>
  <c r="M8" i="2" s="1"/>
  <c r="M406" i="2" s="1"/>
  <c r="O406" i="2" s="1"/>
  <c r="Y346" i="1"/>
  <c r="AA346" i="1" s="1"/>
  <c r="U346" i="1"/>
  <c r="Y113" i="2"/>
  <c r="AA113" i="2" s="1"/>
  <c r="U113" i="2"/>
  <c r="U404" i="2"/>
  <c r="Y404" i="2"/>
  <c r="AA404" i="2" s="1"/>
  <c r="U356" i="1"/>
  <c r="Y356" i="1"/>
  <c r="AA356" i="1" s="1"/>
  <c r="U92" i="1"/>
  <c r="U59" i="1" s="1"/>
  <c r="Y92" i="1"/>
  <c r="AA92" i="1" s="1"/>
  <c r="AA59" i="1" s="1"/>
  <c r="U305" i="1"/>
  <c r="Y305" i="1"/>
  <c r="AA305" i="1" s="1"/>
  <c r="Y352" i="1"/>
  <c r="AA352" i="1" s="1"/>
  <c r="U352" i="1"/>
  <c r="U99" i="2"/>
  <c r="Y99" i="2"/>
  <c r="AA99" i="2" s="1"/>
  <c r="U258" i="2"/>
  <c r="Y258" i="2"/>
  <c r="AA258" i="2" s="1"/>
  <c r="U261" i="2"/>
  <c r="Y261" i="2"/>
  <c r="AA261" i="2" s="1"/>
  <c r="Y315" i="1"/>
  <c r="AA315" i="1" s="1"/>
  <c r="U315" i="1"/>
  <c r="U429" i="1"/>
  <c r="U109" i="2"/>
  <c r="Y109" i="2"/>
  <c r="AA109" i="2" s="1"/>
  <c r="Y375" i="1"/>
  <c r="AA375" i="1" s="1"/>
  <c r="U375" i="1"/>
  <c r="Y339" i="1"/>
  <c r="AA339" i="1" s="1"/>
  <c r="U339" i="1"/>
  <c r="AA54" i="2"/>
  <c r="Y489" i="1"/>
  <c r="S488" i="1"/>
  <c r="S487" i="1" s="1"/>
  <c r="U489" i="1"/>
  <c r="U104" i="2"/>
  <c r="U93" i="2" s="1"/>
  <c r="Y104" i="2"/>
  <c r="AA104" i="2" s="1"/>
  <c r="U114" i="1"/>
  <c r="Y325" i="1"/>
  <c r="AA325" i="1" s="1"/>
  <c r="U325" i="1"/>
  <c r="Y405" i="1"/>
  <c r="AA405" i="1" s="1"/>
  <c r="U405" i="1"/>
  <c r="U297" i="1"/>
  <c r="Y297" i="1"/>
  <c r="AA297" i="1" s="1"/>
  <c r="Y372" i="1"/>
  <c r="AA372" i="1" s="1"/>
  <c r="U372" i="1"/>
  <c r="Y40" i="2"/>
  <c r="AA40" i="2" s="1"/>
  <c r="U40" i="2"/>
  <c r="U211" i="1"/>
  <c r="Y211" i="1"/>
  <c r="S200" i="1"/>
  <c r="S199" i="1" s="1"/>
  <c r="AA94" i="2"/>
  <c r="Y93" i="2"/>
  <c r="U211" i="2"/>
  <c r="Y211" i="2"/>
  <c r="AA211" i="2" s="1"/>
  <c r="S17" i="1"/>
  <c r="S16" i="1" s="1"/>
  <c r="S12" i="1" s="1"/>
  <c r="S11" i="1" s="1"/>
  <c r="S10" i="1" s="1"/>
  <c r="U18" i="1"/>
  <c r="U17" i="1" s="1"/>
  <c r="U16" i="1" s="1"/>
  <c r="U12" i="1" s="1"/>
  <c r="U11" i="1" s="1"/>
  <c r="U10" i="1" s="1"/>
  <c r="Y18" i="1"/>
  <c r="Y54" i="2"/>
  <c r="Y389" i="1"/>
  <c r="AA389" i="1" s="1"/>
  <c r="U389" i="1"/>
  <c r="AA46" i="2"/>
  <c r="AA45" i="2" s="1"/>
  <c r="Y45" i="2"/>
  <c r="U287" i="1"/>
  <c r="Y287" i="1"/>
  <c r="AA287" i="1" s="1"/>
  <c r="O16" i="2"/>
  <c r="O12" i="2" s="1"/>
  <c r="O11" i="2" s="1"/>
  <c r="O10" i="2" s="1"/>
  <c r="U215" i="2"/>
  <c r="Y215" i="2"/>
  <c r="AA215" i="2" s="1"/>
  <c r="U385" i="2"/>
  <c r="U353" i="2" s="1"/>
  <c r="AA51" i="1"/>
  <c r="AA50" i="1" s="1"/>
  <c r="Y50" i="1"/>
  <c r="Y369" i="1"/>
  <c r="AA369" i="1" s="1"/>
  <c r="U369" i="1"/>
  <c r="Y241" i="2"/>
  <c r="AA241" i="2" s="1"/>
  <c r="U241" i="2"/>
  <c r="U234" i="2"/>
  <c r="Y234" i="2"/>
  <c r="AA234" i="2" s="1"/>
  <c r="M52" i="2"/>
  <c r="M51" i="2" s="1"/>
  <c r="M50" i="2" s="1"/>
  <c r="AA14" i="1"/>
  <c r="AA13" i="1" s="1"/>
  <c r="Y13" i="1"/>
  <c r="O52" i="2"/>
  <c r="O51" i="2" s="1"/>
  <c r="O50" i="2" s="1"/>
  <c r="Y386" i="1"/>
  <c r="AA386" i="1" s="1"/>
  <c r="U386" i="1"/>
  <c r="Y30" i="2"/>
  <c r="AA30" i="2" s="1"/>
  <c r="U30" i="2"/>
  <c r="U269" i="2"/>
  <c r="Y269" i="2"/>
  <c r="AA269" i="2" s="1"/>
  <c r="U85" i="2"/>
  <c r="U84" i="2" s="1"/>
  <c r="S84" i="2"/>
  <c r="Y85" i="2"/>
  <c r="U274" i="2"/>
  <c r="Y274" i="2"/>
  <c r="AA274" i="2" s="1"/>
  <c r="Y221" i="2"/>
  <c r="AA221" i="2" s="1"/>
  <c r="U221" i="2"/>
  <c r="O16" i="1"/>
  <c r="O12" i="1" s="1"/>
  <c r="O11" i="1" s="1"/>
  <c r="O10" i="1" s="1"/>
  <c r="Y114" i="1"/>
  <c r="AA115" i="1"/>
  <c r="AA114" i="1" s="1"/>
  <c r="Y354" i="2"/>
  <c r="Y353" i="2" s="1"/>
  <c r="Y248" i="2"/>
  <c r="AA248" i="2" s="1"/>
  <c r="U248" i="2"/>
  <c r="Y231" i="2"/>
  <c r="AA231" i="2" s="1"/>
  <c r="U231" i="2"/>
  <c r="Y126" i="2"/>
  <c r="AA126" i="2" s="1"/>
  <c r="U126" i="2"/>
  <c r="Y196" i="1"/>
  <c r="AA196" i="1" s="1"/>
  <c r="U196" i="1"/>
  <c r="S93" i="2"/>
  <c r="U423" i="1"/>
  <c r="Y423" i="1"/>
  <c r="AA423" i="1" s="1"/>
  <c r="AA410" i="1" s="1"/>
  <c r="S410" i="1"/>
  <c r="Y556" i="1"/>
  <c r="AA556" i="1" s="1"/>
  <c r="U556" i="1"/>
  <c r="Y121" i="2"/>
  <c r="AA121" i="2" s="1"/>
  <c r="U121" i="2"/>
  <c r="U142" i="1"/>
  <c r="U131" i="1" s="1"/>
  <c r="Y142" i="1"/>
  <c r="S131" i="1"/>
  <c r="S58" i="1" s="1"/>
  <c r="S57" i="1" s="1"/>
  <c r="S56" i="1" s="1"/>
  <c r="S55" i="1" s="1"/>
  <c r="U359" i="1"/>
  <c r="Y359" i="1"/>
  <c r="AA359" i="1" s="1"/>
  <c r="Y392" i="1"/>
  <c r="AA392" i="1" s="1"/>
  <c r="U392" i="1"/>
  <c r="M16" i="1"/>
  <c r="M12" i="1" s="1"/>
  <c r="M11" i="1" s="1"/>
  <c r="M10" i="1" s="1"/>
  <c r="Y238" i="2"/>
  <c r="AA238" i="2" s="1"/>
  <c r="U238" i="2"/>
  <c r="AA386" i="2"/>
  <c r="AA385" i="2" s="1"/>
  <c r="Y385" i="2"/>
  <c r="U362" i="1"/>
  <c r="Y362" i="1"/>
  <c r="AA362" i="1" s="1"/>
  <c r="M200" i="1"/>
  <c r="M199" i="1" s="1"/>
  <c r="M57" i="1" s="1"/>
  <c r="M56" i="1" s="1"/>
  <c r="M55" i="1" s="1"/>
  <c r="U501" i="1"/>
  <c r="Y501" i="1"/>
  <c r="AA501" i="1" s="1"/>
  <c r="AA354" i="2"/>
  <c r="Y251" i="2"/>
  <c r="AA251" i="2" s="1"/>
  <c r="U251" i="2"/>
  <c r="Y335" i="1"/>
  <c r="AA335" i="1" s="1"/>
  <c r="U335" i="1"/>
  <c r="Y400" i="1"/>
  <c r="AA400" i="1" s="1"/>
  <c r="U400" i="1"/>
  <c r="Y204" i="2"/>
  <c r="AA204" i="2" s="1"/>
  <c r="AA130" i="2" s="1"/>
  <c r="AA129" i="2" s="1"/>
  <c r="U204" i="2"/>
  <c r="U130" i="2" s="1"/>
  <c r="U129" i="2" s="1"/>
  <c r="Y116" i="2"/>
  <c r="AA116" i="2" s="1"/>
  <c r="U116" i="2"/>
  <c r="U398" i="2"/>
  <c r="O200" i="1"/>
  <c r="O199" i="1" s="1"/>
  <c r="O57" i="1" s="1"/>
  <c r="O56" i="1" s="1"/>
  <c r="O55" i="1" s="1"/>
  <c r="S53" i="3" l="1"/>
  <c r="M52" i="3"/>
  <c r="M51" i="3" s="1"/>
  <c r="M50" i="3" s="1"/>
  <c r="U279" i="3"/>
  <c r="O9" i="3"/>
  <c r="O8" i="3" s="1"/>
  <c r="U130" i="3"/>
  <c r="U129" i="3" s="1"/>
  <c r="S129" i="3"/>
  <c r="S52" i="3" s="1"/>
  <c r="S51" i="3" s="1"/>
  <c r="S50" i="3" s="1"/>
  <c r="U24" i="3"/>
  <c r="U16" i="3" s="1"/>
  <c r="U12" i="3" s="1"/>
  <c r="U11" i="3" s="1"/>
  <c r="U10" i="3" s="1"/>
  <c r="S16" i="3"/>
  <c r="S12" i="3" s="1"/>
  <c r="S11" i="3" s="1"/>
  <c r="S10" i="3" s="1"/>
  <c r="M9" i="3"/>
  <c r="M8" i="3" s="1"/>
  <c r="M406" i="3" s="1"/>
  <c r="O406" i="3" s="1"/>
  <c r="U84" i="3"/>
  <c r="U53" i="3" s="1"/>
  <c r="U295" i="3"/>
  <c r="S9" i="1"/>
  <c r="S8" i="1" s="1"/>
  <c r="S569" i="1" s="1"/>
  <c r="U569" i="1" s="1"/>
  <c r="U53" i="2"/>
  <c r="U52" i="2" s="1"/>
  <c r="U51" i="2" s="1"/>
  <c r="U50" i="2" s="1"/>
  <c r="AA58" i="1"/>
  <c r="M9" i="1"/>
  <c r="M8" i="1" s="1"/>
  <c r="M569" i="1" s="1"/>
  <c r="O569" i="1" s="1"/>
  <c r="U200" i="1"/>
  <c r="AA489" i="1"/>
  <c r="AA488" i="1" s="1"/>
  <c r="Y488" i="1"/>
  <c r="U24" i="2"/>
  <c r="AA85" i="2"/>
  <c r="AA84" i="2" s="1"/>
  <c r="Y84" i="2"/>
  <c r="Y53" i="2" s="1"/>
  <c r="Y52" i="2" s="1"/>
  <c r="Y51" i="2" s="1"/>
  <c r="Y50" i="2" s="1"/>
  <c r="AA53" i="2"/>
  <c r="AA52" i="2" s="1"/>
  <c r="AA51" i="2" s="1"/>
  <c r="AA50" i="2" s="1"/>
  <c r="AA25" i="2"/>
  <c r="AA24" i="2" s="1"/>
  <c r="Y24" i="2"/>
  <c r="Y59" i="1"/>
  <c r="S53" i="2"/>
  <c r="S52" i="2" s="1"/>
  <c r="S51" i="2" s="1"/>
  <c r="S50" i="2" s="1"/>
  <c r="Y130" i="2"/>
  <c r="Y129" i="2" s="1"/>
  <c r="AA541" i="1"/>
  <c r="AA540" i="1" s="1"/>
  <c r="Y540" i="1"/>
  <c r="AA353" i="2"/>
  <c r="O9" i="1"/>
  <c r="O8" i="1" s="1"/>
  <c r="O9" i="2"/>
  <c r="O8" i="2" s="1"/>
  <c r="AA93" i="2"/>
  <c r="U16" i="2"/>
  <c r="U12" i="2" s="1"/>
  <c r="U11" i="2" s="1"/>
  <c r="U10" i="2" s="1"/>
  <c r="U540" i="1"/>
  <c r="AA18" i="1"/>
  <c r="AA17" i="1" s="1"/>
  <c r="AA16" i="1" s="1"/>
  <c r="AA12" i="1" s="1"/>
  <c r="AA11" i="1" s="1"/>
  <c r="AA10" i="1" s="1"/>
  <c r="Y17" i="1"/>
  <c r="Y16" i="1" s="1"/>
  <c r="S16" i="2"/>
  <c r="S12" i="2" s="1"/>
  <c r="S11" i="2" s="1"/>
  <c r="S10" i="2" s="1"/>
  <c r="Y410" i="1"/>
  <c r="AA142" i="1"/>
  <c r="AA131" i="1" s="1"/>
  <c r="Y131" i="1"/>
  <c r="U410" i="1"/>
  <c r="Y12" i="1"/>
  <c r="Y11" i="1" s="1"/>
  <c r="Y10" i="1" s="1"/>
  <c r="AA211" i="1"/>
  <c r="AA200" i="1" s="1"/>
  <c r="AA199" i="1" s="1"/>
  <c r="Y200" i="1"/>
  <c r="U488" i="1"/>
  <c r="U58" i="1"/>
  <c r="Y17" i="2"/>
  <c r="Y16" i="2" s="1"/>
  <c r="Y12" i="2" s="1"/>
  <c r="Y11" i="2" s="1"/>
  <c r="Y10" i="2" s="1"/>
  <c r="AA18" i="2"/>
  <c r="AA17" i="2" s="1"/>
  <c r="AA16" i="2" s="1"/>
  <c r="AA12" i="2" s="1"/>
  <c r="AA11" i="2" s="1"/>
  <c r="AA10" i="2" s="1"/>
  <c r="S9" i="3" l="1"/>
  <c r="S8" i="3" s="1"/>
  <c r="S406" i="3" s="1"/>
  <c r="U406" i="3" s="1"/>
  <c r="U52" i="3"/>
  <c r="U51" i="3" s="1"/>
  <c r="U50" i="3" s="1"/>
  <c r="U9" i="3" s="1"/>
  <c r="U8" i="3" s="1"/>
  <c r="Y9" i="2"/>
  <c r="Y8" i="2" s="1"/>
  <c r="Y406" i="2" s="1"/>
  <c r="AA406" i="2" s="1"/>
  <c r="Y58" i="1"/>
  <c r="Y57" i="1" s="1"/>
  <c r="Y56" i="1" s="1"/>
  <c r="Y55" i="1" s="1"/>
  <c r="Y9" i="1" s="1"/>
  <c r="Y8" i="1" s="1"/>
  <c r="Y569" i="1" s="1"/>
  <c r="AA569" i="1" s="1"/>
  <c r="Y487" i="1"/>
  <c r="U9" i="2"/>
  <c r="U8" i="2" s="1"/>
  <c r="S9" i="2"/>
  <c r="S8" i="2" s="1"/>
  <c r="S406" i="2" s="1"/>
  <c r="U406" i="2" s="1"/>
  <c r="U199" i="1"/>
  <c r="U57" i="1" s="1"/>
  <c r="U56" i="1" s="1"/>
  <c r="U55" i="1" s="1"/>
  <c r="U9" i="1" s="1"/>
  <c r="U8" i="1" s="1"/>
  <c r="AA9" i="2"/>
  <c r="AA8" i="2" s="1"/>
  <c r="AA487" i="1"/>
  <c r="AA57" i="1" s="1"/>
  <c r="AA56" i="1" s="1"/>
  <c r="AA55" i="1" s="1"/>
  <c r="AA9" i="1" s="1"/>
  <c r="AA8" i="1" s="1"/>
  <c r="U487" i="1"/>
  <c r="Y199" i="1"/>
</calcChain>
</file>

<file path=xl/sharedStrings.xml><?xml version="1.0" encoding="utf-8"?>
<sst xmlns="http://schemas.openxmlformats.org/spreadsheetml/2006/main" count="7847" uniqueCount="1796">
  <si>
    <t>Указать название организации (на бланке организации)</t>
  </si>
  <si>
    <t>{"estimateId":5132304,"estimateVersionId":6999311}</t>
  </si>
  <si>
    <t>4</t>
  </si>
  <si>
    <t>U/MGD9AD4UWQI+J4oq5JKeN42n8tI8WJZuIR/Uh9jJDkneu7UfxDW5HtIcmrJSUemeUfuKQk23dUPIYdsN9Y8oDpBAGRqTgTJ8O87Dlkk0+YwpP9hYMSsrU6ekkP+oVez6C94zVshgzvFyiIXYs3qUzREYKCwl0XFsL9mng+An4=</t>
  </si>
  <si>
    <t>ТЕХНИКО-КОММЕРЧЕСКОЕ ПРЕДЛОЖЕНИЕ (ТКП)</t>
  </si>
  <si>
    <t>г. Москва, Волоколамское ш., Покровское, вл. 71/14, СОШ 1, 850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</si>
  <si>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</si>
  <si>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</si>
  <si>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</si>
  <si>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</si>
  <si>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fuSHMeV5ou+SlqbHTM1UJk7bh4XmukPolSsSQhVmaioap2ZRpssqyprNm03qd6S+kzPHmszXnUZaprUnZsURZGa2z8zBpGECJIg+AqRr9BPctwjLwVkuXt8a2WsyFK31I0iUADB7+eesdbn7muF/6e/+P5//LvpXzzzFy9M/u4vdv7i/zf527+fHtffefHv//Zvd/5i+g9n07+df+Mvvrf8A/rn/+neX5x954UXvvPivb945q/1L8zfon96+d2de5d/2b3F33bv8q+r/+z3Lv9Y/evq99Xn1f3q0+r+7JXZT3rVl/UvPtJfv6weVg961ePZS9XHi1+aP/UD/c+Hva+ZP9ir/lB9Uf/W584/+Zf1f+/sO9/57vnzL06+P/+PPhvW351+7/vPv6C/d/Sd/zA8f0Lwi99//vv/cf/vn19+7x93nqZ98eL5f8+j/U/37l3+Z/V/U//qGRXGURwkO0/+1l9Nv/u957/z4uJPpEVRxGH4jzaUb2yCoj8APA6bkuc2UfK95/898wNkk7K3iZSNPs0fVr+s/lv1XvV29U712775Uv1G/98vq99V/0N//aD+zi971fv6G7+sflG9q3/5K/0z82/8Un+qP9R/4H37ZzZ65iTaFtbHg56meDx7WT9p+tnc6VU/qx7rZ++x/vXj+hl8VP/eY/0czn402DGA+vf0A/m4+mj5O/q7H1VfDHpZqD/V/0eY6F9/oPH/Zy/c6eUq6FWPqgezl2evWOnjZ07ibdF/MHtF63+o9T02+mY/2enNXl2GLR1udCiavanhetVXmvhB9Uk9Mn/UPzOh6GHN/Xn1xeyfZj/Uf/7B7BXzZ/WoPKj+UP975qcm8j3Q/9YfZq/rr5+Y/9rsDfPteWR8qf76Rm8e9j7Sv/VVPfBfLv4j+g8uv/FYB8HHvXrIH+lvfqH/xOf6v3C/Z/4SHTEf67/o5Z7+xP2i+qAXBf8f63Anz5wk2xru9xeD+EAP2U8Wg2vG/ek5mA/24zrWf2SGrP4jHz3FqR+o9/VnTD9s1kfqtnpmpLZF+Zvqv/a1tg91IPht9f/29Bf9fzaVY/XM0bZUFlkQRmGUp5lNWameOdmWMv35fVwHjJf0B8HEE/3V9kFWzzybbUviO+ZjaULFpyZE9nSI/6D6nU3lLfXMra2pfE8/Lea5elDHjiec1xORxyZ6Vz2zuzXR79SzX4vWT/19rfJh9VkdAz3D/A31zDeuoWIdul6avam//lB/S2cVm/Q99cze1qT/svpE538TaB8NbOKeU888tzVxelxn/2X22qD+oL68yJ7WMdxXz+xvU2b1Rd9kql71U3ug/zfqmX+zNX2/1c7jx/rD+WDuHOZSbSqH6pnh1lT+9zpKaf+pn5hXqz8MGo3M7fSZb6bbUvsbEzpNitLPzn1tZt4weerevReNzTOrVY3wyZMh1wqwtbH+QOv/Xe3k37OH029uTRr5Y3AnfebO1tTalg+17kbZB+kzh3/Sn96D7Q1606f3cGvS5qHWvqrZ0QOMfqhH6TOjrUGQH8Fx+szdP+nP8nhrY934Wb67NWnkj8FR+szR1tTyI3GZPnP8J/3pLbc36E2f3uOtSWsrEp+kz5xsAvH973x/8rdXGO79xYuTF6bzv5bP8cR2GP6UfkOlhQDP333v7757bH7vQP+V331+8rd7//ffP/93L+i/zUJ5sUb59fLk4GsHuXUn70BYb/nCd8cvfhcVeWgXeSgscvzd589sH5crGs1o3VypWXcVMiq/v9G0l/YRLQW10qb82C7wWFAgPN1mlG4eO6b7REbh//n8+fn0xc2e9X9rH9N/K66YNvX/zi7z34nLhD8AZsRu/jvHB+DZZ8lC/6b+W86n48n3/0/9PS07PT2LTk8nQX+aXKh+kgcX/TzPLvqTJA4msUrC8/PJ/E9+9zv/Yf6TYv6PFfD0b6erDwcrC4aDXvWzOueZY6EH9bmcOY+sHlq+369Pjx7a/rg5o/2pdaTyZ4Y5PFLooPyj/hfDGB6MFlJoYU+hQmgJHY32/B3aeQ6FeBSdB35QDc7IjjMSwsEfww0zuB2rlMGKAhoW7RN3bGc5FmIJaSykT9uJHeVEAMWwpPeeTgLraN+bnn3/ectyTieBv3/hdGqboatpILQRPWvPcXEQZyqK03Qda56R9ejDCk1G/Pbf1SmxUWRqk3iLKXH9EfYMIpZJq19frTlZZcqHZivCVGYs6i2sh0S7xTNDJs2VXOjGaSEXhsHOgVL2hMgFWM94AAAt/hxq1YcO1Ydc1YqumhRpRlr0yCF6xBWNf/Q3zF5afOkQXzLFX8lRDeJpn5FjrfjYofiYqxgP14xMpAWfOASfcAQ/Eb2F840j44SBV3XmHGZYJCnlDCKbyltclfijh2adeqO4Lj/Qiear2at10WL1B51tPjXF3a/MSwL17z+0geyGwTNDLkzHSSe0Jxy2+g4yjl3yIVuyoksmhZORQ/GIrRj/wG+aa+zKS65y6URjl3vMlosHaU6Wsas9YantMsW4koy91WGpO3eOMiyTmGRcaYapE3/qiGnGNBp9Un2qU8qjeufvs56pzq8XNQ/Xk9DXrFnI+kHaDUOdhpiwHaehyJGGuOo7SEN2yYdsyYoumRRvRg7FI7Zi/IHYNA3ZlZdc5dJpyC73mC0XD+ScNGRXe8JSa+Qunr0O0pArEdmb05bKC+c4w0LJiWiQ2JTe4irFnzw0Ff2s+lJnmFfqfqcvF20XdQYyTQJv1CdXX9V1Pw9MT1e9/faJe/0T6cTDROs48cQ7B2G6c6ACRwLiUnSQgOKdQy390CH9kC1d0aWTIs5IKx9p5SOH8hFbOf5YbJqQ4p1SE5QOgpJLIJ2Y4p1jLfvYIfuYLRsP8ZwEFe+caNUnDtUnLNX15+Ved4nKlapin/YscI44LJWRquxab3G14k8lmqx+vzoC+mx59LNKVjbpu2GsExJTfscJKXEkIq76DhKRXfIhW7KiSyZFlJFD8YitGP+Ib5p47MpLrnLphGOXe8yWi4doTqKxqz1hqTVys3urvPLXvkTzH77z3f/LgsDJMq48k3gRIueAY0pZSWaQuRINU+x6oHYNK5hlfqPzS90gXf1xp1fvtT166jv3F4ulT6w1CWbZNHu9Z156MXvZtETYUHe5qOtR3TkvL5jw8u3nv4d8jGwKv8FVqEgKAXXVe9Wve//82q/CsN787IXRICgGURCpeev6o0FPfye2vh5ij0uRYhQvTCff+/vvQp+qR9ZN6ee4AjNM4PQf/m764vdsAl9cExgOgiCwSdznSlxPjg6JdcAGBOr/mE3ekCsvXE+BDn3Ga9T5hJW9h8/tHR2Njr52NDo5/MbX5lZP/aXpnhqa1w9Ff7ljX93cZmOBSWaF5Uzt6xOg/8MD+0fkm2yxYJ5ZiUWGXA/dzflwf3M+xDbJd9iSwWyz2Zpgrl+T3Bi6GQ7YDGAaYawM5sK16BtPTYEL4ZCNoIgI8MdHj+rNpawrCwWuWjCf/F2LcaaE4syYjQRmoL9rKcbcZQvNCUKRoR6v4std97N5xJZLSZusj8pc+9gfW0qu/isrS59+fly5648rx2z5YPokLjP1R+bYHlNOWEprC5hPTtP8ouiH+UXST7KLtF9MirifqHianp1leZ6czWGcC9AXFp8fCyBvEepahioaIwpnW6p6mCjLVRvHLUmOdV/hmxt4JftU175ZzH5hXvdo3hn5cd2I/ak5y+uZLv7Zf14sdD/q3Roe2Oh3JekVTo8vHW0Ue5IU62neQ4EvHWf/pX6D5iMbzXOSNOsZ3kNDWGfaMPYlMdYTqgdj47WoIMaV9aqHg7RmXYcLHA7stigdIfy1sbRaLrCUcRDaCCn3IkuSmhAw4LUBOp9jUTLqU4eQeedy3DyXpRix/t/fdFyLq//PGoSeNR8qD2S8DtnN2bJV6y2uVvzgDfVKtrNlS+nT4+pzG8humD4z5MJ0fNKc7RxErtNmLkFCJ8DXfvPT5mzn0CH7kC1b0WXja776xDnbGTlUj9iq8Q8/P7LOd5CyndKhvuSqlz55znaOHZKP2ZLxIE7cFqhPn7OdE4fiE5bi+jNyr8s05Fr1219ItlSfOMcbFstKRK7TZ6Za/GlsPxXVr8Q2rSIPTauI/vpD06/4cH4rzfxmDMf5c6bTFRO443TleN0aW30Hqcrx8jW2ZEWXTIpBI4fiEVsx/lBsmqIcr2XjKpdOT46XtLHl4oGdk5rsak9Yap9ISybAd1QYFbn3pO0vmFlCwK9jabE0KnKv6m5x5YLH1Whueqe+asm0gNwn5aR596JpZlxLbU/8NY9mb+g//KD6/OnrisyOtam5elT/jU+8ZFb/sc/rf3F+xdDizpDPVyXB5k6onflu96Jjcvbq/M6e+dVGny/+os/mf2j+355f5qb/4OxH9aU+H/XMIWqvfqfpF7MfD3phVN8T9cg2S7vcWVpPSq3UdVU/05Dzff4/zm990iPz5mJ+flr9dnFZyXLz//O6wu2R2f4314b9dxvgN7iAigSIwC3KwtJFVZgaBFldFTZYlYWFgyC27nztcSnAY3x8b99ZFsYUCB7KE7br3WVhTImU821EYDxIrLV/Q67A7RWGFTsHUaB/hPpHpH/EiwKO3FsoxsUEky69UCws4sJZKcZVC6ZdYqVYvqoUy92VYlzJYOrdbJG0PMjIbwzdDAdsBjAxMZZKy4qO/MZTU+CuFOMiKCIC/PHRo3pzKevKyomrFkwx8GkQEHhKHXhKHXhKHXhKHXhKKPCM2YhgkqJVjnmCzl220vZLx/JV6ZjzYT1iy6WkVtZnZ3nS5g02JVe/cOlYfuOpoXeXjnHlgwmVuBDXH5lje5A5YSmtF4UXaRLG8UU/Oc9C/eU87hfxqeonZ/HpWVxMzqJk8ZA6l+gvTNosHYt8xWMFjRLFsy3mPVSUBb2N45YkB6F6Al3pf7C4DPknZj396uz1+eUeP6irxOY3SM5fYl7/oR/Wy2bzJ2zou5LoCkfHV5c2ij1JivW076EgrC4/rz62kTwnSSJSNZYkg1zZUPYlUdbzqQcFXa6mQTJY9JVeWa8KknRWPJYOImuuui1KRwh/bay2lmuuYlFwVLjXXZLUhJgBLxcs82ndXRmLklEfPITMO5fj5rksxYhrS3Y6ic5Pk8m0r/+6qJ/E0Xk/z5Kzfnym/2henJ3G54tPeaeWzF5iFnlfVWkbCgyva0smyUGISaglu3IL36qi/8qhhnFi9bnFq/XpiHlr5JezN2f/NPvx/NLvP1Yfm/d+mSOU+vDks/k79h370buSA6XwgdrQwElSEIIxycCZK9vn51ufz16xUT0nSSVi5uwtAJIY1HyCQDjPHSRBuvNxySC1dwGI4hGCZotGLgrmyX/+Txv1gSg1IXbwjZxrQseiaNQnD0HzO7nmySzFiOfvQb2IYlVEeX96caqtX1Gc9vPzqeqfZmeqyC4uivRicq97J2dddD4bhdShwPA6d3KCHISghDq5900ly+yH84qVR05b9/mq2ubh3M5Zi2vq30lVrx9GgbMyRXKAFD5Amzo4QQpCFG7bwQlSdengBDGoeQSBcDs4QZDOHFwYZoMgsfHdFuUjRMs2LVy4yPqh28JJUhOCB9vCuWd0LMpGffYQtgYP1zibpRjxvFB5WqTqLI/1b4ZJPwnOT/vFJCj66mIanodnF0U4Wcx4px7OOvnPRhF1KDC8zj2cIAchKqEe7gNTUVsXQps3NBgTNnu5+ujbczumghv6/63ztSvJqXDOTa2YIAUhmhKsmKPWVhJExH0FA2VPA/uSKNQsAICkgywvbCBDSZDOHFiUul5mdluUjxDr2nRg0SJnR24HJklNiBlsB+ae0bEoG/XZQ9gaHFjjbJZixPO3m6ksDy+CtH+mgtN+EoVRP0/Oz/tnk/PzMD0/Uyo6vde9A1O2oXg2iqlDgeF17sAEOQhRCXVg71xug82bfr4wNWmLN3G/Ye7Te2n2Zt2VZjq5PltYs+pRP1TWh3hXkl/h/Js6M0EKQpTFndnsR66NMUESEWumAvsabV+ShJodAI40ywd5bq3kGkqidOfNEqc1k8QjBME2rVm8SOax25pJUhOCBt+auSZ0LIpGffYQtAZn1jiZpRjx6jVnyT2/9Wr5/TLWhfuzUeLF7P52+0UTvzUD3OKqXf+Edfx+mXlr/I+qh3VL/v3e4kDr0ezVundef2v2g3lJ2c+1H3vXhr4bJc8Mufjdvm0mUjsHcaB/6H8mjrsh2SQJnQTvcqrfPKPlH2r5h1r+oUP+IVu+osvHu5zMW2i0+pFWP9LqRw71I7Z6/DHix+m6mVJTlJqi1BSlg6LkUgi/nUZLP9bSj7X0Y4f0Y7Z0PEUQG+TMm2q08hOt/EQrP3EoP2Eprz87c+UmEHX21hrXO9Ui5YWA7zhu9a01iau86BZX7nrQ3/CtNZSMNy+Drs927ldf6P8zRTbmLq868fXqjPdS/fVlU7zzVX0Hpf5D85fO6H+x980XJ39/sdhr+KAfhmoQLn71VtRfvNLvSopkDtR6TmnlxTE2hd/gKlQkhYC65ZtfssWbX1LKm1+4FOtLGLE3v3AFgk31+FaG+80vXInrKXjDN79k6SB11O8wBW7tzS9RunMQmffy5vpHMX/5QqR8b31hI4JJi/7WlygqYtdbX9hqwbRFe+tLpJZvfYmcrwq/w5YMpq7NFivLjR11Y+hmOGAzgFmFsUxZvIxBC39qCpxvfWEjKCIC/PHRo3pzKevK6oSrFkwv8O4YEHRKHXTKyLzhOdc/kKAzZuOByYn2xhdPwLnLVtr6G19Wweau+0E9YsulpFTW52a56egNNCVXv+wbX1ZB5q4/yByz5YPJlLig1R+ZY3uAOWEpNVInaTQNkzDrF0ma9ZPkPO7n4STqF+FkOgljlZ4XixjkXN6+MGn3ON39atYopVGieLaFsIeKshi2cdyS5CCcJKGrZLApxffW13oPuPe1+ftYzQp6x7xH9av67zLfq/eQd3qLt5J+Wb9VdfG92Y9mr9bf/crcuj37p/qVsV/MflLvQX81e2nwl4tF9Cfz03xz1G+2nZ9Yj8//QGTW46bl+c363ab1Cv4Hi//OQ9s87UrOk8LnCV8C2yj2JCkIJ3iEJTDUGyNIJVIC4OiNEcSgnkECEJ61tSBIZ6f/YRAN4sTGd1uUjxC021gfLleJ6eLEOHWvFCWpCcEDXuBYZ9S6Bz0WZaM+ewibdzbHzbNZihHXVnJ6MTmP4slF/+L09Nz0Qkf9SXia9YOzuMjPomQax9uwko4agYw6FBhe51ZSkIMQlVAr+XNtB7/SNky7rtkb2k6uzl8eLqozf6LN3xvz8xPjz16ZvbGszvyo7nk25vLl2h5+ZmybNnr174bRjroRRkFwI1L2pf+u5EgpfKRwM6cH62faNLvAbZB7kpCEcE3weq7jDkEQEXvnOJjdlwShJhkAI0zN+Y7D4gmidGfxYjVQVkNwW5SPEEzbtHjZwhRkbosnSU2IGXyL55zRsSgb9elD2BosXuNslmLE893CyfnF6TSd9CenYdFPwui0P0lO036aqNP09KIowiy5173Fs07+s5H/Ldg2twvhdW7xBDkIUQm1ePPdwte0RdFu7tvz9ufatzyY/bA2d5+Z7837oIOdNDC/il0vpxFEVzg67tlsFHuSFIQASzBlplzm40HPPivPSfKIeLNkYHc0+5Ik1PSAcCSZNmeO7htBlM7MWZoMVGrDuy2KR4iCbXqzfJHN3dfziFITQgfbm2XBoLA+emNRNOqzh6A1WLPGySzFiGtrdnF2ll5kp2f9PDs76yfFWdg/TSZn/Yt0EkWT09M8zxY1DJ1as8Q2FM9GBXUoMLzOrZkgByEo8a1ZfRmmeUn0fbPNdPki6IVFSwCLJjgECh+CTS2aIAUhzrZn0QR5RCyajhTWjcB9SRJqmgA4YpW57vGQJOnMoalwkFpj+m1RPEIwbNOhLS5/iNwXeYhSEyIH26GpdJBZLfdYFI366CFoDQ6tcTJLMWJj0XzOq90OMfuJZ+x7uXWirsBtuUOMK3c9UvyL7xDjDlSCDVQLHWJchYqkEFC3bAOLBoG9JmSPK3U9Uou1gXEFgpX2FMPmagPjSqTUrAMCdWhRNn1Drr6tdYHF4c5BHOkfsf6RzBsy4sDXBcZGBBNTu11gbLVgaqJ1gcXBsgssdt4UcYctGUxPbZhYTXJj6GY4YDOAmYPfBaaFPzUFzi4wNoIiIsAfHz2qN5ey1tSO2GrB7AKvAYCgU+qgU+qgU+qgU0JBZ8zGA3NTe11gbKWtd4Gtgs1d94N6xJZLyaisz81iaeUPNCVXv2wX2CrI3PUHmWO2fDCZErvA9Efm2B5gTlhKjVTsoMHAOJewngU8dxnr6AKLfW/4t1CieF0fHkhyEPbL0JVwm3UdkugKR8dXjjaKPUkKwtYfYVHpPzSQ5BE5NHDWdUiSUHcuAY4wzgdZbi+6lUTp7NTAXdchikeIgm0suJbLrsUlNbH7yiFRakLogFcMeF2HKBr12UPQ/KcGzZNZihFf37oO5xlDRB0KDK9zaybIQQhKfGu2eV2H5BAofAg2tWiCFIQ4255FE+QRsWjOug5JEmqaQDjUIHJU3kqSdObQ3HUdoniEYNimQ1tcYhO7ryQSpSZEDrZDc9d1iKJRHz0ErcGhNU5mKUZ8ffveI0dT1OLcmzAUGF7nDk2QgxCUUIe2xb53yZFS+EhtauQEKQjhmGDkXAUcgiAiDs7V2C4JQs0iAEY+yFz1IIIgnfk3T1u7KB8hVrZp4BZ33cTui4tEqQkRg23gPG3tomzUZw9ha3BwjbNZihFf35dgOu4LenbxfjLCUGB4nTs4QQ5CVEId3L/al2BKzpPC52lT/yhIQcgGBP+IvARTkkrETDqspCAGNZ0BEO7KYkGO7pyk+x2YonyEmN2mk0wW3iNxO0lJakLs4DtJ9zswRdmojx7C1uAkG2ezFCPutsfLsbunfHBpsA637R4vptz1UPEvv8eLOVAJNlBt9HgxFSqSQkDdEz1ekXUHbo8rdT1Uy/V4MQWCdfQEt+bu8WJKpFSkAwJj5Wq25wrcXpNXunMQZ/pHrn8sbt2JvVd9sRHBzNRykxdXLZibiE1eq6u+YvdVX2zJYH5qw8ZqkhtDN8MBmwFMHRs0ea2u+or9V32xERQRAf746FG9uZS1pnbEVgumF3gVAASdUgedUgedUgedEgo6YzYemJxabPLiKm2/yWt11Zf7QT1iy6WkVNbnZrm28gaakqtfuMlrddWXP8gcs+WDyZTa5KVuHtsDzAlLaX3KAVUdGxjnGtazgueuY11NXimNEsXr/JRDkIOwY4YuhVtt8hJEVzg6vnS0UexJUhA2/wiryoYKYkEekSMDd5OXIAl16xLgCItgkNhLMoeSKJ0dHHiavCTxCFGwjQXXctm1uG0pdt+dJUpNCB3wioHQ5CWJRn32ELSGY4PGySzFiK9vk1fsavLyXTFhHQoMr3NrJshBCEp8a9ZCk5fgECh8CDa1aIIUhDjbnkUT5BGxaO4mL0ESappAOJQa5Lmjy0sQpTOL5unyksQjRMM2LdritqTYffeVKDUhdLAtmqfLSxKN+uwhaA0WrXEySzHi69vlFbvqQHLqUGB4nVs0QQ5CUEIt2ja7vARHSuEjtamTE6QghGOCk3OVcAiCiFg4Z5eXIAg1iwAYWTzIMkdFiCBJZwbO1+YlyUcIlm06uMWlSrH7hixRakLIYDs4X5uXJBv14UPYGixc42yWYsTXt80rdrV5FdShwPA6t3CCHISohFq4f71tXoLzpPB52tRAClIQsgHBQEJtXoJUIm7S4SUFMajpDIDwFBcLgnRnJT19XpJ8hKDdppVc3P4Uu6/yEqUmBA++lfT0eUmyUZ89hK3BSjbOZilGrP/3N0+YKAP/1z7L2G7fVzL4tg332cT+EtIoSJIojfN8Hbejzq9oUNjk3uLKXQ8eG3Z+/XbNGt3vLRq1vgRat9JULTfveuHCby137Kq3+qF1Z2iXS55g5LRWrupnszcWPvSP2uE+mL2iad9c+NifVr+dj4JxkLP/PPcn+k896t0aHvS1yf3vNsBvcAEVCRCB+3ndolcb9blnrxvD/vm1X5nmMJXPTfXqm6bZKbt378X6RP2hmW/trp/YuDUDoT8hxua/r//xpfn+/G/Q/4XZa/VC4GG9GPio/u3FTu+n1Ud6dI3Lqw99a1P+Y23U52f1D8x/8IPqrer31XvVL6p39c/+3+q9vv7H53olYD55D+uPpf7dn/f0+uAH+i/Xs9Tr9xZLgzeqz3Z6aRDMXtdfzIrlkW1S9riTsp62xHreuALBtgKCdXX2vHElUgr0AYEqTuxbBkOuQJGet3XZgaNP4zZbNZho6W1sYZAmrjY2tlow0VLa2GwC77AFgqmV5MnRD8EBWzWYFultajaZh2yZiihzk4/AiK0SjPbsBYpr+sdsxWD4p3WVeZ7/u2ylLXeV2cQdscVRUlSbE19yFct0jdkkHrMlgvmJ1BlmU3jCUmgknoZJGqdx0s+jc73iLc7T/qmK077+1dnpJC+iSbxIW87VrWetz17hhq41bkzjRAG7PhKR5CDsrqGLZPBI5MoxwxNraflzkUUdzRPr8MV/b74c/+rJ4mmzgHuvLqB+v/qglynnsmlXcqYUPlP4mtdGsSdJQdjXJCwSkUMRSaoOD0UkMagbswCEZ/UpCNLZoUgSDzLHMlUSjxC1Sesv/5lIsnjvbuJ+i7IoNSF2sJcczgkdi6JRnzwEzX8k0jyZpRjxvLrm7Gw6Cc6m/bw4nfSTaX7RnyT5pK+SSXo+TU7DOF6E1U7NZOQyk4o6GBhg52ZSkIMQlmhmsukFA5mav2Ag8XavSaIrHH1TdyZIQYiwBHfm716T5BHxZa7SZ0kQan4AMMIw0hHP4c0EUTrzZoVyvAnitigeIQi26c3UIp27X+0mSk2IHGxv5pzQsSga9dlD0Bq8WeNklmLEtTc7iy7C8/As6IdnZ1E/OT3Xjm4aqP70IpymhfZ4eXR6r3tvFru8mb2TzzMYGGDn3kyQgxCW+N6s4Q0DiEcTHAKFD8GmHk2QghBp2/NogjwiHi0YWLvy9yVBqHkCwEiibKAiG8lQkqQzi5YWg9ha8HdbFI8QC9u0aIuW9MT9fgFRakLgYFs054SORdGojx6C1mDRGiezFCOuLVoUnarpRTLpB2mq+mE4zft5cF70g0AFKs3zsFAL69KpRXPWG9vLqz2DgQF2btEEOQhhCbVo787rkXvVx5evGtA/zInn53W5qnnjwBvz08+fVe/Wbw4wp5v619ZNjl1JfoXzb+rPBCkIYZbgz1xlsIIgIsYsdG2eCYJQswOAofJskCc2kqEkSWfGLAoyR2vQbVE+Qghs05kt2oMSd7OXKDUhZLCdmXtGx6Js1IcPYWuwZo2zWYoR181e//hEMnear+9Nz77//HdetAwDw3tZ5/VZFVgp5y1t2kuuU7p6vNxSKXZq2eZl1XqLq3X94+UZVtAyeW/3ejR7w9zfVffu92avVfdnr9cdNi/VJUgf2dB2VfDMkIt3JSC6+TaLh/WdQiq0Bz+2+oSuHi6+rSUfOiQfsiUrumS0GLdWPHIoHrEV448AP8DWt784lJdc5VeKshuU0z4axw65x2y5eAgn1WjXak8cak9Yap+I4kZ0R/3Grrs5lL3efImQOAccU8pKQgPHKf4trtj1QL1hpzGahexXSz6cvd6bvWxqrNeLo+tK54fmdz43xzSLiyg/sw3FLnco1qP+tW095gIqEiAC9171a9NTnGqA2Su90Bx0D6IgUoNVx3E4CGJrYeIelwLs3sI3KRyF11x96/sPgq26XInrqXfDVt1gEKQ2fUOuPpFO3Sv5y3I7pYp2DlSsfyTzS+JUaNZirpsp2XhgLqO39Ko8S1JXTy9bLpjQKD29X9eDt7yacj7INsl32JLBtLbZ4mOxDaPCG0M3wwGbAcxHjCXIXLgWfeOpKXAhHLIRFBEB/vjoUb25lHVlRcJVC2YWeC8LiDiljjiljjglFHHGbDQwKdEaiH3R5i5bassdxF8fryLNXfdTesSWS8mlrA/NYnvQH2VKrn6ZDuMrEeauP8Ics+WDqZS4stUfmWN7dDlhKa2lnhdpmE6LfpQEZ/3kojjr5yo97cf56fQsiS+K6GzxWXKueV+YtHnyHQ8cp1rPLmp3YEYUzrY69jBRVsg2jluSHIQjH3Tx/Fb1pV7WmrVy3SGyaCzWv/xj3Ur8kyuvZV0tqG30u5L0CqfHl5M2ij1JCsIBFmE5+SPXglKQRObQ24axL4lBPXUDICIbxFASorPTbue7pkTpCIGvjeXVcpEVzU9H5/+0UR+IUhNCBbw+uPJRTQf2tymORdGoDx2C5j/qbp7MUox4fhFlpPSfvgj7k9xULGZ50p9MstP+2TRMz5IgusiWy5AOvZh16p9dXJpAGAgMrnMvJshBCEmoF/uf5ny8Pp7QVmv51pWket/GtivJpnC2TZ2WIAUhfBKclsNnCXLI+KxBYK0u2ZckoUZ9gMOcAzjsliBIZ3Yry8JMOS2XJCEhvrVpuRav2lDu96aIUhNiBtty+eZ0LEpHff4QugbX1TifpRhx7bqKrIiDIA/7SZ5d9JOz9KKfx6faoYXJRX4WB/nZ2cKRdOi6rJH3WZVQBwKD69x1CXIQohLqui7fwffZlXfwuXe/el+rPq/fofbZk6/Vu7xD6Ivla9G/qO+dfMNUX5h3mus/93H93c+r+7bR25UcPYWP3qa+TpCCEKNxXwe9F0+SSsbl2TD2JTGoKQaAcJd6CHJ05vCiPFcDc2h9FfC2KCAhlLZp8JKFIUjcBk+SmhA82AbPM6VjUTjqw4fANfi7xuksxYgXDSRdtpA4tsuUl1CtE0o3j1jt5S2uyvUP1eZtI7/VFuuTeqdr/gbi+VvqzDtQXlpc7VK/FuUPpsBz9sZOXbn71GuJH9e/ZzzXJ6s7YcyFLxbsXaWeGXLRO24pSR3xkKs+oavHqy3mLSV2yYdsyYouGa+wqFtK7IpHbMX448EPufOqLbvykqtcuqXELveYLRcP6cTCm7qlxK72hKW2/lzc6yYhuappUq/u1DnKsExiSnK1kDB14k8dKyn16jvI/li/ruuN2euLzoLqwezH86vLXF0gqc41TKKOc03myDVc9R3kGrvkQ7ZkRZdMCiojh+IRWzH+qd8019iVl1zl0rnGLveYLReP1pxcY1d7wlL7xLZeB7nGlW3sr29aKs+c4wwLJWebgbIpvcVVij95zHzzQfVO9VOb5F2V6aTClN1xUsl3DsKi2DnQ6/YdvWwpHDmGC9NBjsl3Dg3BoSE4dBEcsgkUnYAUW0YaYGQARgZg5AIYsQHw52DTDJTvlAakNCClC6TkgkgnpHzn2Kg/NuqPXeqP2erxCM/JT/nOiRF/YsSfuMSfsMR3uzRyJ6zcq/3KS206SViuJRJTK/6ooinr/XqX7g2byl2V6yzFVNpxltIJKgwT/SV2vcOFy9FBgtK5yYg/dIk/ZItXdPGkuDLS2kdG+8ilfcTWjn/WN01LOiMZhtLFUHIZpDOSTkZG+LFL+DFbOB6/OclI5yGj+8Sl+4Slu/s85MpEhVd94Rx1WCwrE7lyEVMt/nxSctEnppTm8i7LVb1N9dH8p5/06jfum3e3/kh/fWwu2fxq/jqX2Rv63zO3btowd1WhkxkTtdtklgY7B2m6c5Dpf2Y6p+X6RxHp3BaYL6G9pfuAzSaf4DTQoQY61ECHGuhQAx1qoEMDdOgCOmQDKToQKX6NNM9I84w0z0jzjDTPSPOMDM/IxTNi8+AP2oaJUHOVmqvUXKXmKjVXqblKw1W6uEoul3By1DDHGuZYwxxrmGMNc6xhjg3MsQvmmA2DJxpGwtQsJ5rlRLOcaJYTzXKiWU4My4mL5YTFYmAW0c4gib86bZVJB65rrFN7o3wUJJHKwjh2TgmmlplKnadfXLnrKUbiBWpf1m9Ke6h/8eXlEdg8uXpel/ZV/YsH+rdeNxm3/useLq+SNql3XjO7/ONmA/SR/q3X5h3o828uL7E2v6jLaRflIT8emH/hcS8M6lul7ambO6Trma2lF7GZc8Re9Wl9yc/D2ct6PB9djop5f5n+3lfmO3VNi7YwH83eWIz0l/OjxtmbT1TDzF9i9/qi4OVT/bsvrQpgHi9LjPXfoWemvvPx1dk/DWzD9A3uMCnSMAFDtOB/ybB9Or/2fKdXvd+PgvpTo38S7pjXvdXvdDPfivRPMv25eNHGtcflSjEuQj2x4y30XIHgy3QIpcHON7xxJa57jw3f8FYEwSCzCRxyBYq84m1dtrNBnq0aTKX0N7fpxbHrvW1ssWAmpby3zSbwDlsgmDtJazP0M3DAVg2mJ/qqyybzkC1TEWVu8hEYsVWCwZ5d/+2a/jFbMRj9aa9Scz/+d9lCW36Rmk3cEVscJUG1Oe8lV7HMi9JsEo/ZEsHsRFrJ2hSesBQaiecXyXmehZN+HqppPwnStJ+fnYX9aRwXF/FFfFZcTOcQztXrC5N2WkCfXME617AxjRMFtK1zPVyUta6N45Ykx3oS980PuAh+73K9e7mU/WLxFo7q9/VS7DX94wdPLbrmL02bv0/7/ert6p1+9UH1YfWW/ut+ob/+rvrQNja7kmOj8LHBl2nLNbdert03S1izTl3cXftlPWj36/tr78/erF81rv+YWai+PPuJDX9PEn89uXvwCau5z6uPbSTPSZLIdIQOUhvIviTIet71gKCLwzBJQkc71lASpbO20GKQWhe/t0XpCHGVtEC6slX9VE9ounhJROp+6YcoNSFksNcErvkci5JRnzyEzDuX4+a5LMWIa7d3eno2nVzERV8lyZl5OchFf5IGqp+Ep/l5eDo5j9XiGe7U7UUut6eog4EBdu72BDkIUQl1ez9fO7y4b17MMXcy5vDi5Xon+idLe/eutnLG1r1d/Ub/eO/SFL5XvVP9Vn/90PyZ/61/8UHvzliFveot2yDtSg6SwgcJt302ij1JCkIobsO9CZKIuLdgEC06Eq/4N0EUahYBQKLIJMTChjKUROnMv+X5IHecA0jiEUJlmwZOLZK+chs4SWpC1GAbOOeEjkXRqM8egtbg4BonsxQjrl/psbNKA+bT3GFVidOj2TsdDG6SBFm4jttRVYnrRR9cueDJGGqxbFUl9ZbRp4u+t4fmTWtzm2XKScxvv1y/Lu3Nhb+q76ubv5HLXFLwcFmD8nD2X+rqzflvGAO3KhWpPuqFi7/G0aPNHZ0EGx1agYhN4Te4ChVJIaDusjZjsCjOWFVi2ITvcYWD53EEw+cqvmAKBI/fcB/nKb5gSqScbQEC4zQaJDaBQ67ALRdfcFWDGYdefJG4tH6TrRXMN5vXXnAFghmG5EzRj8ABWzUY+duqveDKVESZm3wERmyVYKxn23R37QVXMRj8abUXzqf/LltnJ6UXXHGU9NTmtJdcxV2WXnAlgrmphdILjsJ63qfFWXQeqf4kyCb9JIiTfp4GQT8KgnQanuWTIlnkBOcSz7PgZS/znKUX9i4IJycK2PlmvCAHYYcJXSm+v1ri3Xcv8e7P3vy2WeJpRdUj08JnI9+VJFc4Ob7GslHsSVIQ9spaWHAJgohssDsaX/clQahbfABGXOSDNLGRDCVJOttdT9JBZq1juS2KR4h9pDVMw+56sdiQLdy765LUhIjBtu3OCR2LolEfPQStYXe9cTJLMWJTIOGzWu3upscOk5U563iTKFdxtI635d10rlxwrwP1SNd0N507Ogk2Oi3spnMVKpJCQN38HbKDxRZ6YK0G2+OqBbdVNnd0XIHgLgrFqbm20LkSKXsUiMAkt5vJIVfgdrfQ2arBNNPmFjpbK5hkNt5CZwsE0wrJfqIfgQO2ajDct7SFzpapiDI3+QiM2CrBWM/24s4tdLZiMPi3tYXO1tnFFjpbHCU9tTntJVdxh1vobIlgbtp8C52l8NpuocfOLfQspnGigF1voUtyELaR0OVhi1vokuQKJ8cXVjaKPUkKwoZYCwsuQZBOt9AlQaj7eAhGGg0Kx/pNkOQabKGL4hFiH2kN499CzxZdaZm7w1CUmhAx2LbdvYUuikZ99BA0/xZ682SWYsTLAvXlpob5OHdYoZ64XJdy8dYF+fAFLC3vqYeOq85vcfWuRw+JTXXzrTerP863yOtrWRab4ff1n3z09NsfjKUyG+QP9L+8eKWheUtfEs7fllC/rjA1ZuuRbRh2ucOQYMPQxu45U6EiKQTUXXlPoNlHn78LsH5JoE39Hlc9uMPSgrljCgQ3VCimzbmbzpRI2a4ABKo4t8eSIVfglnfTuarBBEPfTc+Vcm6nc8WC+WXz7XSuQDChkKwo+hk4YKsG439b2+lcmYooc5OPwIitEgz2bF/u3k7nKgajP2073f3432UL7WQ/nSuOkqDanPeSq7jL/XSuRDA7tbCfzlFoJE7CMElVUvTT8Ez1kyTP+qfqLOtfnGbnwXmYqzRdfDKcazrPEpe9rnPup7tL762cKGDn++mCHIQ9JXRl+MHy/XW92Q/qd9TPX0n/ZfW4r9ch5nd+WK8A5+u/2avmneyL3fXqN6GyPvi7kmOg8DHAF12q6LnWrnuSMITtMsIazPUWGEkSoR323AayLwlC3eYDMLSmNBsk1j3LoSRLZ3vs6SC0lvndFqUjhEPSuqZhiz1b7Mpm7i12SWpCzGBbedd8jkXJqI8eQtaww944l6UY8fwlfhd5ND1Nkv5pchb1k7A4659O4ot+EIUqj7JQnaptmDTXC2Iyd8W+YzAwwM5NmiAHISrhJm2+736/N/sv1RfGe81erj6qTVgYBDfMD2Xj3JXkVDgnbsRsFHuSFIRoSnBgrl1wQRAhA+YocRAEoWYBAEMVOrg5NtUFSTqzX6HZ0rLO1G1RPkKoa9OALTrLMneboCg1IWSwDZh7RseibNSHD2FrsGCNs1mKEdcWLAkvsiA7LfpZOM30nw3Cfp5eRP1schEV56m6UFu4NSNxdhXmzvpa12BggF1bMEkOQlxCLdi7i42x+z1TT2oa3KrH5ubBemPsyvWOyy2y3HizemeprkZ1VEdIDoXCh2JDlyZJQQi5BJdmyoc/HvTss/KcJI+MWbNh7EtiULMFAOEuf5AE6c6pBYPEXichikcIiC0atTycp/b5P23UB6LUhKjBN2quCR2LolGfPATN79OaJ7MUI659Wp7m0Vl2nvVP4yzoJ+n0ol+cJaf9uIiD4qKYTOLp4hi+U5/mqlTNY+pgYICd+zRBDkJYQn3a1fsuqp9Wv6w+NLdX9JeXWFRv6Z99WDs0G/OuJLPCmTc1ZIIUhNBKMGSug0tJEhEr5r6+QhKFmhQAEK1oENkvdBpKonRoyJyVq6J8hNDXpiNbdJTk7vYgUWpC2NjAkTkLEUXZqE8fwtZgyRpnsxQjNv1BO/MGjQ7bgpTLbCkvZr6O2V1bUGLTe4urdz1qXNO2oDS87ArK3V1B3FFIsFFooSuIq1CRFALqrF1B9QUVdVeQNdztcdWDheIEY+c4D+UKBOvCcb/m7griSlzPBht2BbmvqeAK3G5XEFs1mF/oXUFFFLm6gthiwfSycVcQWyCYT0gOFP0MHLBVg/G/pa4gtkxFlLnJR2DEVgkGe7Ydd5txrmIw+tO6gtyP/1220C66gtjiKAmqzXkvuYo77ApiSwSz0+ZdQSyFRiJWnGognEs6z8KWvaxzdQXl/urbK5woYOe76IIchK0kdGEo0hUkOQYKHwN80ZUm7q4gSRjCLhlhDebcXBckEdlcd3UFSYJQN/cAjCTMknyQWFmGkiyd7a07u4JE6QjhkLSuadhZX3SS5O6uIFFqQsxgW3lnV5AoGfXRQ8ga9tUb57IUI76+XUHK2RWU++tzLYOBAXZu0gQ5CFEJN2nMriBJToVz4kbMRrEnSUGIpgQH5toFFwQRMmCOUlNBEGoWADA8d4dJknRmvzxdQaJ8hFDXpgFb9JHk7q4gUWpCyGAbME9XkCgb9eFD2BosWONslmLE17crSDm7ggp/6a1lMDDAri2YJAchLqEWTLIrSHIoFD4UG7o0SQpCyCW4NH9XkCSPjFmzYexLYlCzBQDhLn+QBOnOqTm7gkTxCAGxRaNWLBpJCndXkCg1IWrwjZqzK0gUjfrkIWh+n9Y8maUYcbe3vKYu5+WssI3zPI6vXGK77dJTrl6wVAh1TlsuPeWOQoKNQgulp1yFiqQQUDe/znXxFnplPa7a44oFi48I7s2xx8YVCNYaEeyYs9KUK3E96G9YaZopl9Ni6ttuoSlbNZhNWi00ZYsFk8nGhaZsgWD2INlM9DNwwFYNRvuWCk3ZMhVR5iYfgRFbJRjr2Z7bWWjKVgwG/9YKTdlCuyg0ZYuj5Kc2573kKu6w0JQtEcxOmxeashQaiVgfoYFwLuA8y1f2Is5VaFooGicK2PkGuiAHYb8IXQa28roGSWaFM+NLKhvFniQFYc+LsNZyVZRKkojskbtf1yCJQt2tA0DCYhBF9rc1SJJ0uFHuXuhJ8hEiH2kJ07BTrhabq8q9Uy5JTYgabNfueVuDKBv14UPYGrbKG2ezFCO+viUNqbOqtHCW2LoGAwPs3JEJchDiEurIREsaBIdC4UOxqVETpCCEXIJRayhpEOQRsWuOkgZBDGq2ACDc++yCHB0aNWdFgyQeIR626dMW/SKFu/dHlJoQNDbwac6KBkk06oOHoDXYtMbJLMWIr2/zT+quPHWW4boGAwPs3KYJchDCEmrT2M0/kpwK59zUgwlSEMIpwYO5ChMEQWTMl6P5RxKEmgUAjDwaFA7/JQjSnf9y9/6I8hEiXZsGbNEtUrh7f0SpCRGDb8DcvT+ibNRnD2FrcGCNs1mKEV/fd+SkzjfNh4GzwtY1Ghhh1xZMFIQQmXAPJvCWHNFBUPgg4AYtVe7X5IjSEMIuwai5TjVFUYSsmv1FOaIk1HwBcOR55EAZiqJ05tacL8qRxSOExBbNmmaa5/fFT2zgB7LghMDB9mvOl+XIolEfPwTNb9eQ+SzloLvtAsqcHsxZJ5dEuYqTdb5ttwGxBa8HjT/tPiD2MCTYMLTQCMSWqEgSAXnzTiA90j8eLF4/H1hD3B5bMlgjTnBzjm03tkKwJpxi0lwNQWyN6zlgw46gMMnte35DtsLt9gTxZYPJpdWmIL5aMLds3BXEVwgmE5L7RD8GB3zZYPBvqS+Ir1MRdW7yKRjxZYJRn23FnRWGfMlgGmitNYivtIveIL46Sqpqc+pLtuQOu4P4GsE8tXl7EE9ibaChkghD4Vzaeda27OWdqz8oDBQNFCXsfpNdEISwo4QuECXrUUXHQuFjgS/BbBh7ohiEvTLCssxfkSoKJLPVbuPYF+Wg7vQhFJ6VniBJZ/vs7qpUWT5CWCQtdZo22tVyY9bdQCQLTggebHfvrkyVZaM+fwhb005784SWctDXtzo1czYRhYGzVtc1Ghhh97ZNEIQQn1Dbxq5PFQVVOOjGnkwQgxBWCZ7MuVUuSCJjxhwlqqIk1HSAcKTRoHD5MUGU7vyYu0pVFpAQ8Fo1ZNkyf7s7hWTBCZGDb8jclaqycNRHEIFrcmTNM1rKQdeOLDhPi1Sp0/40T+N+MkmC/mSipv3pWT7JL07TYpqc3uvekbn6hcKgoI4GRti9IxMEIQQo3JFtUK0a2bfRd0UHQeGDgLu1VHmKVQVhCJGX4NncxaqCKEKmzVWsKkhCzRgIRxZH2cBaFzMUZenMtWWDxOXZJPEIIbFVz1YsM7y7uUgWnBA52J7NNadjWTTq84egNTm25vks5aD1//6mJl84FePE/tpnzdotX7WG2GfDMLDixkGcqSgurryiv6vi1ci+kL/FFrweQwSKV42Dqr6oHupffDl7Y/Z6rz7r+sIUrD5Vy1q/8vALU0pZ16iGgbOJZpeNm2C4bRSpciUqkkRA3ny8Hw164SCI9aA+7EX6J3p1pgf8YfVVr3q/H9XfNj8xZedXafbYNGAlE8HguTbluArBwiWKb3PWr3I1rmeFDetX80KvRxObxCFbokgB65XMNXxu7+hodLTIXeXJwdcOwjDc0V8i8yX+SxNJDITJZDuBNZnd5jOCuYhe7apU5qx2ZasFkxGl2vXrZvBuzkf/m4thtqm+w1cNZqQ2HK2BuTH0YBzwMcBMQ6+IXWg3sm88PREuikM+hSJSwJ8jM7I3V8LWBI/4gsF8Ay8LgAhUmghUmghUghFozOcDsxWtzNYdfe7ylbZcZvv18WXkuet5ZI/4iilZlvXZWa64GqJOyUaQKcW9GnGWE+AiOOYTgCmWVKj7dTOiN1ei1sSe8MTWywmoTsTwOJezngU+d0lrXyPqRa2949SJifJ1fs4gCULYVEMXxaIFu5JjofCxwJejNow9UQzCdiFhHdpQsCsJJHPcYOPYF+WgbnYiFEU8yB0VIpIonZ01eCp2RfkIcbGNpdlqgbZ8lULoeTWGKDghesCrCnhSx7Js1AcQYWs4bQAmtJSDnlfsnp5NJxdx0VdJctZPsvyiP0kDpf+t0/w8PJ2cx2rxNHfq2qz7mtq1RdSxwPi6d22CIITohLq2qxcxmV/WxxjaqM1eNocas5+YIw3zho13q7eqD6oPq7er3+gf73178XqO31fvLe9sMn/mf+tffNC7M1Zhr3rLNkq7oqOk8FHa2M8JYhAiMsHPOQtHJFFEnJz78iZRFmoyAUiiKBvEjrfSirJ0ZufyfJC77JwkHyFgtmrnomX2jzx2ThKcEDzYds45qWNZNuoTiLA12bnmCS3loGs7F55FUV5ML/ppVheaREk/j8+L/nmi0iwLg/MgXUx6p3Yuto2FtnMxdSwwvu7tnCAIITqhdu69yyKU+TvR6iKUS5+mnd3sNf3jB0+/TG3u7r4yZSzva2P3Tr92eW/pv+4X+uvvqg9tg7MrOjgKH5yNXZwgBiEQt+LiBFFEXFw4SG0k+6Ik1AyCcCRRmg1yl4kThOnMxBUD+2v/bsviEaJkqx4uXqb82OPhJMEJoYPt4YpBap3TsSwa9QFE0JosXPN8lnLQdf3vE+bF6dG+Nz37/vPfedEyECyL5tptS7ycxTqnq/DXrZbivC5rf61yb7Hlrn/MPIML+qufa2/1Se2cHlaf1oW8b9Ze6s26zvSBtlBfmL6qT6uPZq/Wr6W9+sdeXf3BB/VG2wMbs/ZWyTNDNviVoOkm3yxmLmoT1c5BGJkCxShzRUouSUInwUs+jPxDI//QyD90yT/ky1d0+Xi9h1Y/MupHRv3IpX7EV48/QPwwvSguUzuloShdFCWb4kq5UAMF7eNzbKQfG+nHLunHfOl4eiCWCmnlJ0b5iVF+4lJ+wlNupC+e204bXcw/Hd3HYWrliIIkSpIgu9LZ00mrSzRInJ0uTL3rgV+g0wVIdKbN4rL9Zb758Eh/+0uz4VDXCM2/91EvNO9wN3/sM9s47LLHYT1tSLbAMCUqkkRAnh5JPeizl2av9PRk3K++WLytPbbu0u6xha8vTAS7XZgKwfphyjaFu9uFqZFShwsojNPIcbE0W6FIs8vVYzzX29rZssEUQ+9fSeLC3b/CVQtmGEr/ik3hHb5CMKeQVhLox+CALxtMAfRlg03nIV+nIurc5FMw4ssEoz57K8r9tna2ZDAN0NpI3EHgLl9py20kNnVHfHWUVNXm1JdsyTItIjaNx3yNYJ4irexsEk94Eo3GqSouTi+mk/75JDjtJ5PirJ+rNOtHF9MwKYpJeJFN5hTOBd4Lk3ZPnef/dC3zchooSmhbCnrAKMtBG8gtURDCiQq6Tvx53dbxqH7558Pq8171M/2PP5iFo16UPNQrkXq9FxX12w6+sCHviiIrHBlfb9kw9kQx1nOwBwNffc1+NHvFhvKcKIrIaXLgegOoJAn1MAvgiNNBlNhIhqIknR0lp4Fn2ScJSAh9pOXMlQ3WtcPkfHn4mHsOkyXBCZGD7eDdszqWhaM+gQicd0bHyIyWctDzo+TJJIni+KJ/lsZhP4nTi/5EXZz2p3GUpxfxRRCfLj7unXoz5yvZo4A6Ghhh595MEoQQoFBv9huz8T7o1Vv2D+cNuh9qo/Z6XSJ4v/p89mq9tW9sm413V5RX4bybGjNJDEJ4xY1Z9Si2kTwnSiLiy8whhA1lXxSFmhYAkDiLB1FmPa0YirJ0Zs1UFMYD5fBmooSE0NemN4uCRSaPPC9IEgUnBA+2N/NM61iWjvoUInQN5gyY0lIOusub6SOP3YpcfPW7TON1vm1XPHD1gqdTqFvaesUDdxwSbBzaqHjgSlQkiYC8xTs/+9WDhovpuYrBQy+Kp3OUOnAVgmdcJK/mKnXgaqScHyEK3dcVchVuudSBLRvMLe2WOrDVgqll81IHtkIwmZD8J/oxOODLBmN/W6UObJ2KqHOTT8GILxOM+mwz7t4mZUsG00B7pQ5spZ2UOrDVUVJVm1NfsiV3WerA1gjmqRZKHVgSr+12uqeifXFACIOihN1vpwuCEPaU0AXi5tvpgrwK58VXWTaMPVEMwo4YZenl2k4XJOl6O10QhbqRh4CoaKASK8tQlOWabKdLEhJCH2k507Sdniz3XhPPdrokOCF4sB28fztdko76FCJ0TdvpzVNaykFf3zpU3+a7s+DWNRoYYffmTBCEEKFQc9ZGHaokssKRN/ZnghiEEIv7M3cdqiSKiEFz1qFKklAzA8ARJs7XjEuSdObOfHWoooCE0NeqOUuXmTz1mDNJcELkYJszXx2qKBz1CUTgmrxZ84yWctDmtUY786zW4UsenFfMR+56W5WFSbTO2VnJg7LpvcXWC55SoaapxZKH3+k/aH69eqfko7r6wZiyh/UbCeAqCObQJNjQtFIFwZSoSBIBef/82q/qu05tMvfYMsFDMNzfuUsfmArBMy/ctvlKH5gaKedJgEIVO165O2Qr3HbpA1c2mGPopQ8qdVc+cMWCGaaFygeuQjCnkNwo+ik44MsG431rlQ9cnYqoc5NPwYgvEwz6bGvuMeZcyWAWoFU+OGPAXb7QbgofuOooiarNmS/ZkjstfOBqBLNUG4UPHIm1RTnLwsn0LO6fq4uiH4bTvJ8H07QfBCpQaZ6HhVqkL+f6zrPQZa/xnIUPsbtw3wqKEna+ty4JQthgQpeJ7+vV2if1mu2P9UVRylzbaS4MeFCXPsyXgg9n/6Xeeq/fbjtf7c1eq9eMP6k+ru7bBmJXdCAUPhD4iqv6tesFv8sl8f1efbHWYi1c34H6tbodwFyE+vnsZbP8NW///eP8LcD6t/Wf/kT/uZfqwfy4enzv3ouzH+lv6hV0759//N+itFf9ovrDX/b684G3jeSe6EgStu5aWBRKkojs+buLMiRRqFuOAIhSySBJChvLUJSls21/DehajoryEYIyaZ3VsOsfL9vhYk+Hoyg4IXSwlxbOSR3LslGfQIStYdMfmNBSDnp1l8Hi4+x0hS3fZWCNrtoOhlbO+Ruqk8BdkwyrpTi9y31/q9xbbLnrH7PN7zKwbfvX7uVzbV3eMC7u0s48rj6y4WjrFj4zZDN1fE1BHO0cmA/+QajMl9R8yQLzJdVfcvOlSF3hkYuY0BHhteri/gLNdWi4Dg3XoeE6NFyHhuvQcB26uA75XIrOha5vFxcbaKyRwRoZrJHBGhmskcEaGayRC2vEx8IfM34wn994oPFKg1cavNLglQavNHilwStdeCUbT/oqBM10bJiODdOxYTo2TMeG6dgwHbuYjvlMeNoh7bIs7kjQSCcG6cQgnRikE4N0YpBODNKJC+mEh1R/DO+tEmpn5+q+HZfYyqGtRFyoNA2dU4PJZeZXo9qm9xZbL3gGIpFg7/dmL+uf6z/9oPqkfmfAS3V3yYP59dtVfZnj4+rjteu6V3c8zq/rrptQ5u0ni5P2h9WnPf3nzAH8/erR/G+o73w0f/nqjsh5J8vn+t8yKj6tz+zNBZHz/8DsR0a60wEwB3s9MQqe1HMlKpJEQN7ifQX//NqvetEgULlN7h5bLnh408bmDFMheFZD2nRxndhzNVIOQgCFUei6loErcMsH9mzZYPKiH9iHkQqdR/ZsuWDy2vzInq0QTFekpRP6OTjgywYDP305ZNN5yNepiDo3+RSM+DLBqM/eV3Mf2bMlg2mAdmTviQJ3+VI7ObRnq6PkqjbnvmRL7vLQnq0RzFSk5aRN4glPYq2xmJwWQRD31WkS95NikvXz00nUz5M0jfJAJefZdE7hXDy+MGn30L5ekDmXkIoGihLalpkeMMpS0wZySxRkPaH7Zghcg75Tn8Q/sch7PPvhvDZ7vj78fb0UfE3/+EG94jMryfuX5dtfmSXr+9Xb1Tv96oPqw+qt6r3qF/rr76oPbcOzKzo8Ch8efEnmO0wXZCGciBHWa59XH9tQnhNFETpNty4990VJqEd5CEeUO9d/giSdHaWng8i6i3FbFo8QKUnLn6aTdLU8eFWek3RJcELcYDt+15yOZdGoTx+C1nSQ3jyfpRz0vPqyUJnKg2l/epak/eS0yPtFPk37Z3F+kUSTvDi/OL/XvZFzvtlg0WZEGA2MsHsjJwhCCE+4kVvu4T/UDu7B7GWzXW8s2hMb+r1vTr87eWHSe2Hy3cn/8/88/+35GUC5H+qPXRAcml+ZWsT5kYM5Vrj0ge8b79erfmO2/utmPVOjWP9WXGSz1+svec/llXZFR1Pho4n7vvqs5aEpYH3HfjqyHMyD+WCuhujRU0P0jW+kQaT/70iP1b393efu3XsxDYJ/iONg9npRj9eOKfU0hzPGUOufflS/nOKLeugtQ7knOpSE9EGwnc5jAkESIddpf4H0vigKNfEBIFE0yAtrEh+KonTmO1XgqeGUBCSE9ladZ7Z0KpnHeUqCE0IH23mGQR4PUtd2syQd9RlE6JrMZ/OUlnLQtfk8i4o4isLT/nkRn/WTJEr6uXYK/Wl4WhSnWZhm08XnvVPz6XzBQ1xQRwMj7N58CoIQIhRqPn/9REXI/V7136sH1afzlzpon1R9sBfH3zZeMUgWXkf//h/q3zWlKI/7lwbINhq7oqOh8NHAzaMNY08UgxB9CcbNvV8oiCLi3IJBpGwo+6Io1KwBgITFILCjDEVROnNuiZ4qq8m+LctHCIutGrdimeULj3GTBCeEDrZxc07qWJaN+gAibE22rXlCSzno2ralF3mQXpwH/YsouOgnZ2nRz8+Lon82nSZBGl9MgmQRZDu1bYnLtiX2OmjPaGCEnds2SRBCfEJt28/XqoXvmyZj03U8rxZ+2byRa7kN2Kverd6qz3jfrn6jf7y32D28M+6rsFe9ZRuQXdEBUfiAbOrcJDEI4bcN5yaJIuTcTKXdVZR9URRq4gBA4kFk7UcYioJ05tvyfJA7NtxE+QhxsU3floSLND//iQ38QBacEDjYvs05qWNZNurjh7A1+DZgQks56C4vhY3dp7eLuzYcfEWxzrftTi6u3vWg8edOLqCTizvYCTbYbXRycSUqkkRAXvVO9bu+unfvxUVLV8+83cjUWtbz/rA3fyerq8OLiwHW+hN8pOvolqtw3SJKdnhxNVKq5gGFKrHJG7Llbbm/iy0bTGkt93ex5YIpbfP+LrZCMImRXC/6OTjgywbTQVv9XWydiqhzk0/BiC8TjPnsJYC7v4stGUwCLfZ3saV20t/FVkfJVG3OfcmW3GV/F1sjmKla6O9iSby2W/ye22gTRQNFCbvf4hcEIWxloSvTDrb4BQdE4QOCL81sGHuiGISdOsLSzL3FL4jS9Ra/IAp1jxEAye37VENRjmuxwy/JRwiLpLVO0w7/svkn8TRziYIT4gbb3vt2+CXZqE8fwta0w988oaUc9PUtqPXcU2uU00YDI+zetgmCEOITatuEC2olR0Pho7GxZxPEIMTeVjybIIqQZ3MV1EqiULMGAGIuareBDEVBOjNtnnJaUT5CUGzVtC2bZhJPH5QoOCFwsE2bp5xWlI36+CFsTaateUJLOejr+y4lzzW3ibe42DYaGGH3pk0QhBCfUNPW9buUJIdH4cOzsYsTxCAE41ZcnCCKiItzvkZJkoSaRQCOOEpsHENRjs48nPslSqJ4hBDZqoVbNtAkno4oUXBC1GBbOPdLlETRqM8egtbk4Jrns5SDnr9EKSmSSaqCfp5Ns36inV9/Eul/IT2fxPr/tN/LFwf9nTo4Z0OU8pYZ20YDI+zcwUmCEMIT6uDeX9XH3vfV0t6fvbk4Gg3Ne3zyQH8JQ8/bjySHQeHDgDu15duPFrdPPlGdDL8PqdxXQRRGwVFPr6t6T4/STq/6r/Wm5cdmn7NX/3c+MX547oT/oH9pLr6c//Jr+u9/0Fvehmn++78JrVFkT3ScCUmBYCVd9bWSJEJO0vVqJEkUajoDQFQ2yBxvRpIk6cxMRoEqBoGyEd6WJSQE7Db9pFo29ihPp5YoOCF0sP1kGMeRs1JTlI76DCJ0DZYSmNJSDrrbXi3nNp+KXXyJ/qHydb5t92px9a6HjT/3agG9WtzBTrDBbqNXiytRkSQC8uYtWno2fmzaskwRudXJ7LEVgyX6bdhGpsJ1SyjZlsXVSCl2RxQmzmo9rsItd2axZYMJrOXOLLZcMIFt3pnFVgimLJLLRT8HB3zZYPBvqzOLrVMRdW7yKRjxZYJhn2353Z1ZbMlgHmixM4sttZPOLLY6SrJqc+5LtuQuO7PYGsFM1UJnFktibfagcmBD4VxAelbQ7EWkszNLKRooStj9WYMgCGHrCl2HyndmSQ6IwgcEX4jZMPZEMQg7c4TVmbM+RBJFZFff3ZkliULdUQRAomgQ2VGGoiidbet7mrNE+QiRkbTcadrUX/byKE9zlig4IXSwHb6nOUuUjfoAImxNW/rNE1rKQV/f5izPy9qUs+rZNRoYYffOTRCEEJ9Q5ybcnCU5GgofjY1tmyAGIfa2YtsEUYRsm6s5SxKFmjUAkDhz33YgidKZbfO0Z4nyEcJiq7Zt2c2jPO1ZouCE0MG2bal7Y1YSjfr8IWhNrq15Pks56Nq1xZOzIp/GaV+dnat+MjnL+kUYpv28yM7Cs7Pw9Dyd3OvetbnLNpyVzq7RwAi7d22CIITwhLo2/gWp1QeO+zmX96emYZIH9RWf/0f1nu3+VP0ff1yXnHxRV7Wa//R9U2XyyeLbH2sfWf9daRDcMD9C68n0ruiYK3zMcW/YQiFxw8WqZsz+Ia1LjAvzvl3/lao7+j9rHPm8HKf6vBct6pE/fcrU706/O/3e89/v7Woz3wsS8/d+QLbye6LTRUhkBA/sLCwRJBGxwJ56ZEEUagpGQFQ+SFIry1CUpTMPHOZB4dhnvi1LSEgzrbrgZUeU8nS4iYITggfbBXsvaxWloz6FCF2TEW6e0lIO+vq+piB2N7mlzvps12hghJ0bYUkQQoTCjXC3rymQHB6FDw/uWZWrkW9PlIUQkwmGzrmpKYki5Ois3nRflISaSgCOPM8HqY1kKErSmZ1zv61AFI8QKdv0cumyFSn1dJeJghPiBtvLud9WIIpGffoQtAYjB8xnKQet//c3T/gX48/+2mfY2m01c1u12MUbFkUYqHXejlrNIlerGVfvegzptNVs3hWmLVndAWauinrV7HnZCHfZhAlGSOvvqn6mbcYXs3/SPrLe1jR7aT821nL2ak97w59V79sgvsGGUCQIBGDVAbbYp3xz0QkWB73VZV1xZvYSvzJbtvXe4Ue1I35Q45rNRRvjHpsRbB4gOEHX1h5X4brJk+wZ42qklOEDCnUEHzh24rgKt9wzxpYNZiJ6z1gSuvrYv8lXCyaizVvG2ArB1EOyrujH4IAvG8wnbbWMsXUqos5NPgUjvkww6rN9vLtljC0ZTAO0ljF3ELjLV9pJxxhbHSVVtTn1JVtylx1jbI1gnmqhY4wlsZ76STyNI6X02nCS6rXhNOufnp7l/SgrpuFpGOXFZDHSznWgZ2HMXgs6O8ZSRQNFCbvfuBcEIWxHocvJ1cb9J3q58Sa+VBSkVDglvhqzYeyJYhC20AgLLvfWuyCKyNZ7MIhtJPuiJNTNP4AjyoJBZN0zGoqidLb3Hieh891uooCEcEdawjTtvi+7hlJPG5goOCF0sF27e1bHsnDURxCBa9p/b57RUg669mNBEkzy8Oysn06DuJ+cFaf9IolVP70o0ovTaX6RxBf3uvdjzj6w1Flf7RoNjLB7PyYIQghQqB/7YPFGuFX9hHkn25ezV2cvuS1a72vL33pc/WH2n7Wf+3z+BgBTZfxO9dO/XNQcH0+++39Nv//9VQFy039pfWe6Lip+bBNQv1n3i/o/Wv+JhZxPTI1sXZk8/379AoJPlnXJeRYV1gPAXdFJU/ikbWwvBTEIOYJgL82ZxceDnr1U5TlRIBGTafVl+6Ic1PwGUPiOCARJunOYsaO38LYsHyF+t2owlw1OqadhTRScEDz4BtM1qWNZNurzh7A1+cvmCS3loGt/mU8CFWa56sdKZf0k1a60MF/OzuIzFSXBWTpZDEyn/tLZsZY6y5Zdo4ERdu8vBUEI8Qn1l+8+7d1Q65jUVyz05r94ohGq/vXohRef/97ffee73/9e79nd4+HosHeUBL39o71/a/Gd/ZX9XK96+OyKs1wZ0R/VFtJRD7ErOgcKn4ON7aIgBiHiE+yis/xDkETGJ9qrvvZFSaiZCuAoCu0UXVZREKUzqxjGceEuPJEkJATjVs3isgko9fR1iYITQgfbLHqmdSxLR30IEbomu9g8paUc9LIceFG50HE5sHIZwsxZ/lzzZuu8HZUDO97nfoutdz2MtFEOXLdSrd74aeqD36gN00fLzb3Z6/MbJx6bFqz5ia+NapdNlWBUtBJgm8RvsCUqkkRA3rzAd/DENumibNd1g8YeWztYwkVwbg0bfVyhYOEWxZg563e5Gtcjvlz9Llfhlut32bLB1EGv340Cl9pv8tWCmWPz+l22QjBXkOwm+jE44MsGk0Fb9btsnYqoc5NPwYgvEwz+bO/trt9lSwbTAK1+1x0E7vKVdlK/y1ZHSVVtTn3Jltxl/S5bI5inWqjfZUmsDXUcXpwnQdIPzovYLObSvv4Xwr46nZ6enV0EYRR1f7u0ctfvZjENFCXsfD9fEoSwhYSu/96/XNXNftI77tf7+Oa1Z58u99Tfr35T/e9+EH77yc37xTvHlm9Am68VqwfzPxJlQXAjtgaGXdHxUfj44Ms0G8aeKAZhw6zFFZsgkNCWu738cF8UhbrdB4AUiRpksZVlKMrS2aZ7EQwK6xL3tiwfIV6S1kANW+5ZvNifnf/EBn4gC06IIGzb75zUsSwb9QlE2Bo23IEJLeWg528UjrP8LAtVPzw9C/tJcKH6+XlQ9EM1KcJoGiRnxfm97v2cs/43U9TRwAi793OCIIT4hPq5X2kn90n9FuEHverj2pV9qr/x0H2R14P6Yggb/K4ovMLhNzZrghiEUIubtdmPZq/YUJ4TRRGxacEgKGwo+6Io1CQBgOTacC7aaa+6NEGUzlxa6Nwfuy0LSAiDrdq0ZVdP5unTEgUnxA62TXPP6lgWjvoIInBNPq15Rks56GVhxPKB7bgyInVaMWfhcFykeRasA3dUGREGztIIpmDwuAu1Uo43pdU1puY1YsZFLV6Q9rn91oC6quKJl9p+bnzYy0+/1//xvHHKGLWPdurf/areXvtk0V711P0E5i+r/wtP3dK6+G88Xpi7182fnN8lYBvfXfb4Jtj4tlKkwZSoSBIBeZdvYRuYV671okGgrE1ne2zN4Pkc7h4bt/qYQsFTOdwb+oozmBopJ16Iwkg5izOYCrddnMGVDWYvenFGnCXu4gyuWjB5tVCcwVUIZiuS40U/Bgd82WASaK04g6tTEXVu8ikY8WWCwZ9t/z3mnysZTAO04gx3ELjLV9pNcQZXHSVVtTn1JVtyp8UZXI1gnmqjOIMj0Wg8T6JMZVnYj6OzvB+G02l/EgZR/zxM03ByFpyeFovs4Fw7elbT7PWjuzjD2UtgB0UJu9/MFwQh7GKhK9D3n1xselaZ80KNX+hvfGbKM6ove+V+FIbR4v6/+NaxuZBu9npR3yLyxO1zjdfF7YoOmcKHjLJim9/uN+itj593qX4fuuLv3r0X60v+lkObzof2HwplrvrrLS76+8F8fF0D7bjvz1zo573xr8e6709yAgkbmPjy1XP4IYgicvgRDvLEhrIvikLdeQVAolinity68TEUZenu9KNw3ZB8WxaQkDdIa8Gm049lE2Hm6QsVBScED/byxz2rY1k46jOIwDWdfjTPaCkHXRvbaZFlQV4U/VTpP5tE8Wl/MkmDflJcTPM8mUzz84t73RtbZ5VK7iyvdo0GRti5sZUEIQQo1Nj6r/tr/bY/ydFR+OjgHtaGsSeKQQjGuJNzv21YEkXEyTl6NPdFSahJBODIs0FhrccZipJ0ZuNS50V/oniEGNmmicuXF8Plnov+RMEJcYNt4lxzOpZFoz59CFqDhQPms5SDri3cWVTEURSe9s+L+KyfJFHSz6Mg6E/D06I4zcI0m25jb9L5Irg8po4GRti9hRMEIYQn1ML9+qmdquq/az/3ab079dC8x+KDvTiu64qD5OmOMWzXald0NBQ+GhtbNkEMQuhtxbIJoghZtiCxoeyLolCzBgCiBoE9AQ5FSTrzbEkwiKzu+rYsHyEqtmralt1Euac9TBScEDnYps05qWNZNurzh7A1ubbmCS3loGvXll7kQXpxHvQvouCin5ylRT8/14bvbDpNgjS+mATJIsZ26tqclzfnijoaGGH3rk0QhBCfUNf287XS4fvuvrDPetW71Vv1Btvb1W/0j/cWbwC4M+6rsFe9ZRuQXdEBUfiAbGzcBDEI4bcV4yaIImXcQmVj2RdloWYOgCQc5HlqIxmKknTm3PJ8kDvOTEX5CJGxVee27C/KPR1jouCE0MF2bs5JHcuyUZ8/hK3JuTVPaCkHbaybz5G12x+WOb2Ys4wxidJEpet8W+8P4wpejxp/7g+zje8ue3wTbHzb6A/jSlQkiYC8tf4w09FkXfXusSWvh3zx9jCu0HUvKNkextVIqbkHFKrU1R3GFbjl7jC2bDB3tdsdxlYLpq7Nu8PYCsFcRXK36MfggC8bTAFtdYexdSqizk0+BSO+TDD2s62+uzuMLRnMAu11h7GVdtIdxlZHyVRtTn3JltxldxhbI5inWugOY0m8tnv5mbs7LHeWFNtBUcLu9/IFQQg7Vuj6s4O9fMEBUfiA4KsxG8aeKAZhQ46wQnPv5QuirGduDwq+hvPt5QuyUPcSIZJcWTekhqIk12IvX5KPEBlJq52mvfxlt0zu6X8SBSeEDrbB9+3lS7JRnz+ErWkvv3lCSzno61s7m7nbnwpnJbFrNDDCzp2bJAghPqHOTbh2VnI0FD4am9o2SQxC7G3DtkmiSNm2xIayL4pCzRoASDSIUkftrCRJZ67NUzsrykeIim26tmLZIFN4Gp5EwQmRg+3aPLWzomzU5w9ha3BtwISWctC1ayvU+VkaXkT9RMX6S6KK/mkyyfqnZ6fxJD1NVVIszEynrs3Z8WTa7WmjgRF279oEQQjxCXVt76yKOB7Ofmje3lNfs/BZ78mKjuVLhF6Yv0RosctWfbB8D1C9F3fp3+a/3TOvFAriIDja6e3Vg9G781wQ9k5efP77z//t9K/0IHyn9++/O/2PvfF+b/6v1K9zqr+EgXl5kG2Ad0UHWOEDjBvBP7+7ac0CC04gIZERLPCjyEbynCiJkAMOrbt9+6Io1AwMgKSDKLaaiaEoSWcOOAzCaJA6di5FCQk5plUPvGw3Kjz9Y6LghNDB9sCeaR3L0lGfQYSuyQU3T2kpB1274NNplp5mF0H/PI/CfhKFcX8SnKr+eXJenAZ5HuYXC9fbqQt2dpAVijoaGGH3LlgQhBChUBf8/vobm4wtq9/mtDS7bb+9SXKAFD5AuIu1YeyJYhACMsHLubczBVGEzJzVAe2LklDzCMARF4O0sJEMRUk683LutzeJ4hHCZKtGbtl9VHjayUTBCXGDbeTcb28SRaM+fQhak4trns9SDnp1/Vhyb+XOOrx+zDrH2qal</t>
  </si>
  <si>
    <t>Vtw4iDMVJWG8jttVc1niai7jCl6PITLNZY+rz81+Ub3P9Ob8G1880WVWt4TVW1gP60pA83tzU/al+VO1UZv9kw18lw2eYOBtdH1xJSqSREDevOtr0At3gjjSo2+uBYtjm+g9tmiw9p/g55x7c0yFYKk/btM8DV9cjZQyekBhGg8Sm8AhW6BIw9eVRDV8bu/oaHS0SFXlycHXtLPIdvSX/C9NgDD6Tc7aCaxp6zYfD8w69MawNA2djWFstWDaoTSGfd0M3s35wH9zMcw21Xf4qsHc04Z3NTA3hh6MAz4GmEnozWML7Ub2jacnwkVxyKdQRAr4c2RG9uZK2JrgEV8wmGjgBQAQfEoTfEow+Iz5aGCGojWjuQPPXb7SlpvRvj6+DDp3PU/rEV8xJbOyPjarZZU/4JRsBJmGtavBZjkBLoJjPgGYXUntbF83I3pzJWpN7AlPrFF7kUxPizSd9E/1P81NEqf9PLg47QeBClSqF7KF6r7QJrcvBPXK1d6/58RE+bo/YBAEIeycoSvfJ+6GeFyfNbxa11u8Up8hPK4+mp8ifKJ/8urs9frtJo/qP/qlufjsydvQvjArZL3unf9F80642eu9unrkk9mrT37r/epn1X/rP72+rj772p2/Ot65XFX3L5fV+lGu/mgW3ea/OnvZ/Iv66+PqD8tXq8x+0gv74Y6a/XDnieqf6nFf/5EH+l99MOfY6SU7cejaaN8VnTqFTx2+MNbp/HIGn/vOd0+/09/77sXff/f7PVUUPVOyo0fndTMBvWBH9Wpyc+OHXpree9E2BnuiY7BufTxjgK+z3feXSaKInJu4KmAEOaj7tgBFNoiVDWQoCtLZoYn7bS6ieITQ38bCc7X8zJab7JlnCSoJTgga8JrpSttCnOSDwvqpHcvSUZ8/hM47pWNkSks56NqaqmmRTZNc9c+mF2E/OT1N+8UkmfZVMD1XUZRenJ4vpr1Ta2rdsNXWNKeOBcbXvTUVBCHEJ9yaXrWC8/KW+WHM8i1+i0OXcrzb+6vhXz3bK/V/ePq91av9fry6tbe+i9f8FQ/0T4Od2FPKLThSCh8p3AmuCoXqFsfaYPee/du//fvvTnrP/e30H3oqCHqz183XReG1eY3h57V3Nob/fq/fM165frvFl7Yx2RMdE0KQx52h+wRGkETGGA4C63HXvigKNTcBIKkaxIF1VoaiKNfBHUriEaJvq+4wX1qJ3OMOJcEJgYPtDkMdNp1vbhOloz6BCF2TO2ye0lIOuq6q+ccnjJHT/31vevb957/zomUkGPbPZfwKL2ayjumqpnFrpXi6ZUGNVewtttj1z5hnYEHf9kFtLrThsgnV3qp4ZshWeyXSueVuFujqQ/soCHYOktB8iQpXeOOSJHQS/FTEyD808g+N/EOX/EO+fEWXjx+JaPUjo35k1I9c6kd89finnh9Y66NXQ1EaitJFUbIprpyoNVDQPj7HRvqxkX7skn7Ml47Hc+JpmlZ+YpSfGOUnLuUnPOX1Z+del5nJcV4WLfyIS75yDjyslpWbHHWebLn4c4pmp/9RNwYvz7Ye1Kckeun7WK+E31i0y1hf3t+r//HAvjre1YDPDNmUXWe1cOcgCs2XqP5S6C9xpr8k5osyX1JlvpjfyGLzxXwvN19MGVsc6N+NQ/MlMl/i+ov+w3ESmS+p+WJ+qcwvlfmlMr9MzS/N3xybvznOzC8z88vM/DI3v8zNH87NLwvzy0L/blIn4UDZ8y9/zLvIv+HOoRnoQzPQh2agD81AH5qBPjQDfWgG+tAM9KEZ6EMz0IdmoA/NQB+agT40A31oBvrQDPShGehDM9CHZqAPzUAfmoE+NAN9aAb60Az0oRnoQzPQh2agD81AH5qBPjQDfWgG+tAM9KEZ6EMz0IdJbRccA33IH2hFH2hSuB+ZcR6ZcR6ZcR6ZcR6ZcR6ZcR6ZcR6ZcR6ZcR6ZcR6ZcR6ZcR6ZcR6ZcR6ZcR6ZcR6ZcR6ZcR6ZcR6ZcR6ZcR6ZcR6ZcR6ZcR6ZcR6ZcR6ZcR6ZcR6ZcR6ZcR6ZcR6ZcR6ZcR6ZcR6ZcR4ltbFxjPOIP854rNzY04Q7pRnv0ox3aca7NONdmvEuzXiXZrxLM96lGe/SjHdpxrs0412a8S7NeJdmvEsz3qUZ79KMd2nGuzTjXZrxLs14l2a8SzPepRnv0ox3aca7NONdmvEuzXiXZrxLM96lGe/SjHeZ1BbMMd4le7zF3Ve4c2wG+dgM8rEZ5GMzyMdmkI/NIB+bQT42g3xsBvnYDPKxGeRjM8jHZpCPzSAfm0E+NoN8bAb52AzysRnkYzPIx2aQj80gH5tBPjaDfGwG+dgM8rEZ5GMzyMdmkI/NIB+bQT42g3xsBvnYDPJxUptFxyAf8wcZd1csnxjunJgxPjFjfGLG+MSM8YkZ4xMzxidmjE/MGJ+YMT4xY3xixvjEjPGJGeMTM8YnZoxPzBifmDE+MWN8Ysb4xIzxiRnjEzPGJ2aMT8wYn5gxPjFjfGLG+MSM8YkZ4xMzxidmjE/MGJ+YMT4xY3yS1LbWMcYnvDF+whMaE9JRC9P8q73XPFpsEK9zREGipyrKYGvbYhNTVGu27sHfYusF68hRY/s/zVmOOf9ZnOnUryhfeFbzE1O/9dC8Tsmcgj2q36nz5uKXPfPWn8uar+UlVuZ9Pm/Wv/iIfxVWfTZXf+cLc2uTMdq9MDXVSI+qR6ay7HEvCnvOozj26K7bO7lGKbZERZIIyJsvX/5Y/WFncTtWHCzbpawd2Xts6ev77mLtUmyFYDE66RDO0S7F1rju2DZsl4oixyV+Q7ZCkX4p+NCMLxtMXfQ+qDxKXX1QfLVg5qL0QdkU3uErBHMVaXcC/Rgc8GWDSYC+wLfpPOTrVESdm3wKRnyZYNRnn7Q6j1n5ksE0QOtJcgeBu3ylLfck2dQd8dVRUlWbU1+yJcv0G9k0HvM1gnmKtLa1STzhSayn/vQinkbFpD+ZhLkp7Mz7eTBNttdHtCzZdC0fExooSmhbYnrAKMtMG8gtURBCwRC6/vygLh98YtVp3n/xeP6tul1oXrgZBcGqC2WnN3vTvNy3+qz+99TsdeVZCAoOh8KHA1+N2TD2RDEI1VBtrMwESYTKKO0dNqIk1BougCNKIsfrcoeiKJ1VUUbZQCkb321ZPkJUJK10/GWUWvu85m7xExv4gSw4IXCwzb1zUseybNQHEGHzF1EiE1rKQdeuLU/z6Cw7z/qncRb0k3R60S/OktN+XMRBcVFMJvF0seDo1LW5LseKgpQ6Ghhh965NEIQQn1DXdvVa0+qn1S+rD6vfVu/1q3fMP+q3xr5TfVjfkmWD3hWFVjj0xt5MEIMQYgnezPXSWFEUEXMWDCJlQ9kXRaEmBwBEqUFgRxmKonTmzkJnO8RtWUBC+GvVnqXLbO5+DZcsOCF2sO2Ze1bHsnDURxCBa/JnzTNaykHX/uw8ShIVTib9TGXhyssF295Vc12DFQX2lh/PaGCE3fszQRBCgEL92QeLUo2fmLuSHphfzF+7Y15u81X9Oz+st9fqnujfhPYneFeUWuHUuEGLnBdt7YnCEEJtKzZNEEXEpoX2V0/vi5JQUwTAkRVRPEhtKENRlM5cmhrkyoZ3WxaPEAJb9Wj5MqO7O5FlwQmBg+3RXHM6lkWjPn4IWpNDa57PUg56XhV7pk7jINF/4vzitJ8UYdAvJuq0H5ye6W/kKomz03vdOzTXFU1RaC//9YwGRti5Q5MEIYQn1KHVl1+aC5hMLeyiaFabss+Xb0+st82q9405s/HuivIqnBf3ZjaMPVEMQnAluDLT5/fxoGe3mc+JAgl5M8f5piQJNTkAHL7zTUmUzrxZmA/ixMZ3W5aPEP3aNGdhsEjm85/YwA9kwQnxg23OnJM6lmWjPoAIW4M7Aya0lIM29sznutptU3KeWJqqbRdfmqbZOt+225S4eteDxp/blK6O7i57dBNsdNtoU+JKVCSJgLx5m9If6lcxfj57FW5W4gKAZesE5+gqieMqBKvUKVbQ2azE1UipAAcUKnuyHLL1bblViS0bTF/ttiqx1YLZa/NWJbZCMF+RDC76MTjgywYTQVutSmydiqhzk0/BiC8TjPlst+8+LGdLBpNAe61KbKWdtCqx1VESVZtTX7Ild9mqxNYI5qkWWpVYEo3G0+Q00OvOST+fXCT9JE3S/mk4KfoXZ5P0LIyTIJtM5hTOxaNn9cxeQDpblcKEBooSdr9lLwhC2LRC16BXi16/PV8A9sy39fJz/va3l/VKc75wrKsrPta/eNW8Kq5eMn5cvymuvjPY/BufL9akD8yvZm/ahmlXdJgUPkz4Ss2GsSeKQdipI6zXnPUXkigie/zBwDiwqyj7oijUPUYAJHe+q0ISpLMt/tyzUpTkI0RL0gqoaYt/2fESelqYRMEJgYNt+p2TOpZloz5+CFvTFn/zhJZy0Ne3ACPyHAh4Cobto4ERdu/mBEEI8Ql1c5sXYAjyKpx3Y1smiEGIrgRb1lSAIQgkYs7cBRiCJNTkAHCoPBskNpKhKEln5sxXfyHJRwh+rZqzZbtL6GlgEgUnhA+2OfPVX0iyUZ8/hK3JnDVPaCkHfX37lyJ3/1LoqRW2jwZG2L05EwQhxCfUnLXUvyRJrXBq3KL5+pckYQiRlmDU3PtngihCFs3RvyRJQk0RCEcRRS6LJkjSmUVzty+J4hEiYKsObdnuEnral0TBCXGD7dDc7UuiaNSnD0FrMmjN81nKQV/f1zZG7valyFMubB8NjLBzgyYJQghPuEGTfW2j5HAofDhw52bD2BPFIMRegmdz1ahKkghZNseumiQJNWkAHJ5dNUmSziyb562NonyEoNimZ4uWTTCRp6tJFJwQN9iezfPWRlE26vOHsDWYNmBCSznobruanPtkUeTgS1WWqfTK1d7b7mri6l0PGn/uaro6urvs0U2w0W2jq4krUZEkAvLMvUurOZ+9MZjfI/toYLqbTFeTsm487bEBwAr3NhwjUyFY0E5xgs6uJq5GSrE4oFDFg8ImcMgWuOW2JrZsMH+129bEVgumr83bmtgKwYRFcrjox+CALxvMBG21NbF1KqLOTT4FI75MMOiz7b67wJEtGcwC7bU1sZV20tbEVkfJVG1OfcmW3GVbE1sjmKdaaGtiSaw1QnUZhsK5evQsn9krSGdb0+JgEgZFCbvfyhcEIexaoYvQjQthJXkVzouvuWwYe6IYhD03wsqroRBWEqjjLXtBEuqWIcChikHkWs8JknS2Ze8phBXlIwQ/0oKmact+2dQSebqURMEJ4YPt4T2FsKJs1OcPYWvasm+e0FIO+vpetBS7u5QiV1mwczQwwu7NmSAIIT6h5qydi5YkoRUOvbFDE8QghFiCQ3NWwEqiiHgz90VLkijU5ACAhPEgyawoQ1GU7tyZ56IlUUBC+GvVni3bWiJPn5IoOCF28O2Z56IlUTjqI4jANfmz5hkt5aDn7wQKlPZv+bSfpmfTfjJRab/IUtU/K6JkmpwFp/npIsx26s/cBRiuqmDnaGCE3fszQRBCgEL9ma2Co/q4elh9NXu5tmz3Z28u3hJU/b5+yc9r+scP9I+X5r+tv7doY6pfb/p+9Xb1Tr/6oDZ171W/0F9/V32404sDl5fYFR0yhQ8Z7u58XU6SMIQ43YrHE0QR8Xiu3TdBDmp2QSiCzFozMxQF6czeZQNl3Vu8LYtHiJ2tmrtlS0zkaXESBScEDba5ywexsqGNZdGoDx+C1mTtmuezlIPutlrW2bQUu6qB53zJOt+2q2W5esHio0281r+Aalnu6CbY6LZRLcuVqEgSAXnL1/8vq2T/+bVfeWpkubLBcimCR3TVyHIVgtVRBOvnrpHlaqRUHgEKozRw3bzJVbjlIlm2bDBttVsky1YLZq3Ni2TZCsE8RfK16MfggC8bTABtFcmydSqizk0+BSO+TDDqs02+e/+WLRlMA+0VybKVdlIky1ZHSVVtTn3JltxlkSxbI5inWiiSZUmsNUI1G4bCuWj0rJrZC0dnkWwc0UBRws73+SVBCHtV6Npz4yJZSV6F8+JLLRvGnigGYaeNsPRqKJKVBJLZpHcVyUqSUHcKAY4oTwepa0EniNLZRr2nSlaUjxD9SCuahp36OFrs7M5/YgM/kAUnxA+2ifdUyYqyUR9AhK1hqx6Y0FIOunZnmUpOp+o876uzMO4nSRH0J+kk7F+cFmdZMNW/e6rude/OnFWyi48GYTQwwu7dmSAIIT6h7sxSJfuR/ukn8xfGflI9nL1cvzbWXM70sL56iXE5k9no/4vqf9V/0vzGI/PrXhj0TAWAp/hWciwVPpYbOz9BDELkJjg/Z2GGJIqI53Nf3ySJQs05AEhcDAJHZ5QkSWeez3N/kygfIaa26vmWjTSxpzNKFJwQOdiez3N/kygb9flD2Jo8X/OElnLQ17fyNnFX3sb+OmTLaGCE3Xs+QRBCfEI933WovJUcMoUPGW7tfJW3kjCEMN2KwRNEETF4ri09QQ5qdgEoVLS4g/mquRME6czcuStvRfEIsbNVb7dswok9bVWi4ISgwfd2zspbUTTqw4egNVm75vks5aC7rbxVTrPmqixOkiBPo3ydb+uVt0y9YEXTJl7rX0LlLXN0E2x0W6m8ZUpUJImAvHnBrZ7aH8/3Q6sH5g21pmw02+n16rfY1n/ko77+jPzEBrPHhgErswjO0VmPy1QIFmIRDKGnHpepkVLkBCiM00FmEzhkC9x2OS5XNpjLWi7H5aoFU1kL5bhchWDyIpld9GNwwJcNZoXWynG5OhVR5yafghFfJhj02c7fs6nLlQxmgRbLcblKuynH5aqjZKo2p75kS+60HJerEcxTbZTjciTWGqHiEEPhXEl6ltLs1aSzHDdx1R07QFHCzjf/JUEIG1jognTjclxJXoXz4usvG8aeKAZh+42w8moox5UEktm5d5XjSpJQtw8BjiQYxI71nCRJZ5v3nmpcUT5C8CMtaBp275PlrWSJ55o5UXBC+GB7eE81rigb9flD2Bq274EJLeWga3N2Dt0j3Lk5c1bjJhF1NDDC7s2ZIAghPqHm7IPFEcBPerMfVA/ML+p9+7oW96v6d35YHwfUtRfaobksmiC1wqlxi+YrrpCEIURaglFzFldIoghZNOv7QfZFSagpAuGIIx3zbChDUZTOPJoa5MqGd1sWjxACW7Voy/6axNMwJQpOCBxsi+aa07EsGvXxQ9CaHFrzfJZy0Nf3VgHlrp1NEupoYITdOzRBEEJ4Qh1aO7cKSEIrHBo3aDaMPVEMQoRtxZoJoohYM/etApIo1OQAgBSD0HWpgCRJZ9bMd6mAKCAh+rVqzpaNMImns0kUnBA62ObMd6mAKBz1CUTgmuxZ84yWctC1PQtPL+JpVEz6k0mYr6xcsu0NNOd7ahNXNbBzNDDC7u2ZIAghQKH27IPqgbZmTxTZfm7eejr/VvWl/nXd3NSLgkAbAXPQ+UivOOoD0AfVZ/W/p2avK3fdq+RwKHw4NjZughiE6Eswbq6yU0kSEd/mPvUUJKEmDYDDd+opSNKZbYuygVI2vtuyfISg2KprW/a4JJ6eJVFwQtxguzbnpI5l2ajPH8LWZNqaJ7SUg+62aSl12jB/NV2xzrftpiWu3vWg8eempauju8se3QQb3TaalrgSFUkiIG9xS8CqU6nXXzT7L64RmL1qA9hjA4A16204RqZCsESd4gSdjUpcjZTyb0RhkgwSm8IhW+GWO5XYssEE1m6nElstmL8271RiKwQzFsnioh+DA75sMBW01anE1qmIOjf5FIz4MsGoz/b7nj1armQwDbTXqcRWmhOUMqf+iK+OkqranPqSLbnLTiW2RjBPtdCpxJJYa4QKZw2Fc/noWT+zl5DOTiXlLw2+AooSdr6XLwlC2LZCV6EbdypJ8iqcF1902TD2RDEIm26EpVdDp5IkULd79pIk1D1DhEPlgzyxoQxFUTrbtPe0KonyEaIfaUXTsGmvlp0tytOqJApOiB9sE+9pVRJloz6ACFvDpj0woaUc9PVtVUrdrUoqoo4GRti9OxMEIcQn1J211KokSa1watyj+VqVJGEIkZbg1Jz1sJIoQh4tt5Hsi5JQUwTAocIid226S6J05tHcrUqieIQQ2KpFW7a2KE+rkig4IXCwLZq7VUkUjfr4IWhNDq15Pks56Ot7tVPqblVSCXU0MMLuHZogCCE8oQ7tWl/tJDmWCh9L3PfZMPZEMQiBuxXHJ4gi4vjcVztJolBzDgAShc7rPCVJOnN8nqudRPkIMbVVy7dsl1GeBihRcELkYFs+z9VOomzU5w9ha/J8zRNaykFf3/6n1N3/pPyFxZbRwAi793yCIIT4hHo+6f4nyeFQ+HBsbNsEMQjBl2DbXNWskiQirs19lipIQk0aCIfvLFUQpTPX5mmAEuUjRMVWXduyX0Z5GqBEwQmBg+3aPA1QomzUBxBha3JtzRNaykF32wCVOX2Yu0gvzKI0W+fbdgMUV+960PhzA9TV0d1lj26CjW4bDVBciYokEZC3bHyyydxjywQL3tswhkyFYH07xfA525y4Gim144DCOLefHQ/ZArfc5cSWDWapdruc2GrBJLV5lxNbIZiWSD4W/Rgc8GWD8b6tLie2TkXUucmnYMSXCQZ9tqn37MRyJYNZoL0uJ7bSTrqc2OoomarNqS/ZkrvscmJrBPNUC11OLIlG4zlU0WEonGtEzyKZvU50djml7qpiKyhK2PmOvSQIYW8KXWq2VEcrSa1wanx9FQXOheqeKA1hm42wDHOWVUiiCG3QOwppJUmo+4MIR1ykrnWdJEpnG/TuQlpRPEIMJK1rGvbn02VrTOrpdRIFJwQOtpV3F9KKolEfPwStYXsemM9SDvr6FtJm7lanNKKOBkbYvUUTBCGEJ9SiXetCWsmxVPhY4sbPhrEnikEI3K04PkEUEcfnLqSVRKHmHABEZ8/IBjIUBenM8HnqaEX5CCG1Vce3bLVJPa1TouCEwMF2fJ46WlE26uOHsDVZvuYJLeWgr28dbebunUoT6mhghN1bPkEQQnxCLZ90Ha3kcCh8ODZ2bYIYhOBLcG2ucglJEhHT5qyjlSShJg2AI4kGqWuXTpCkM9PmKaMV5SMExVZN27JXJvU0P4mCE+IG27R5ymhF2ajPH8LWZNqaJ7SUg9b/+xtDnszBjWX5a585a7es1hqXtClTVto4iDMVJeGVouGOimoT+w3Ht9h6weol1FP9bPbG7CVtnz6qt78+qo3Uw+rBk4W1m9TFzl9P/3j2o7Xa3Qf1flz9b38133DTf8Pr5lv1f/jhelVt5Cmg5Y5kgo1kGwW0XImKJBGQNy+gjYOeHuJIr3HttwXtsQWDVVVteEOmQrCIiuL5nKW0XI2UAiVAoV6L233pkK1QpJb2StIbPrd3dDQ6WqS98uTga9qmpDsHJnnpL/lfmihhIEwS3AmsefA2nxHMY/TC2zgqnIW3bLVgIqMU3n7dDN7N+eh/czHMNtV3+KrBdNaGGzYwN4YejAM+BphL6MW5C+1G9o2nJ8JFccinUEQK+HNkRvbmStia4BFfMJhu4CUFEIFKE4FKE4FKMAKN+XxgsqJV/Lqjz12+0pYrfr8+vow8dz2P7BFfMSXJsj47q8WaP+qUbASZquCrEWc5AS6CYz4BmGJJNcNfNyN6cyVqTewJT2ztxkN1kZ0ncT8upmE/idO0PynOi350Oo3PkzA407+a8ziXwp69Ae5y2G7t9II4pWGifN2fUgiCEDbk0BX1/9QrWr3Mrb6oDyTq04qna4jvz960ge6KgiocFF9NzlnrY5gV62ua72X9zU+W9TZ/MJsF85/+tvqgek9//Vn1dvVhr/pp9Vb1a/2tt6t3q3d64129LD34lm1o9kSHhrA3SVi3uitRBFFEDjWsC/B9UQ7qlipAEaogt+/FDUVRujvTiN2FKJJ8hBDaxiputZZbvkki9bwaRBScEDfgBQg8qWNZNuoDiLA1nWk0T2gpB10bvHQyyU/j06KfpXHST4KLoj9RZ/pLEIVn01j/RcslcqcGzxq1tMHLqGOB8XVv8ARBCNEJNXi/N0XD8wt361eIVF/M3py9pM2duf5qfnBx5+tx9aj+aaRmr0fKd3ohCK9weNz02TD2RDEIgRY3aOZIyobynCiKiEEL7C/u2RcloWYIgCOK0kFkRRmKonRm0eJsECgb321ZPkIQbNWiZcuMnnksmiQ4IXKwLZpzUseybNQHEGFrsmjNE1rKQc8t2kUepBfnQf8iCi76yVla9PPzouifTadJkMYXkyBZxNhOLZo1ammLZn9RgW8sIL7uLZogCCE6oRbtanOY+WVd4DLvCLs/r18xlq1XvVu9VX1QfVi9Xf1G/3hv6eHGfRX2qrdsA7IrOiAKH5CNbZsgBiH44rbNs68miCJk25wdXoIo1LQBgIRhPAjtLENRls6MW54PctfemiQfITS2atzyZZ7PPcZNEpwQO9jGzTmpY1k26hOIsDUZt+YJLeWgu33tbmGj01as8NFlyTrd1uuDmXrBgirUSf1LqA9mjmSCjWQr9cFMiYokEZAH1wczBYMFWwQ/6KwPZipct3qi9cFMjZTSJUChrz6YqXB79cFZsKO/hOZLtKzOK/z1wVxGMI+1XB/MVQsmMmp9cHFZH1x46oO5qsF01ob7NTA3hh6MAz4GmEs2qQ8ubjw9EZ76YC6FIlLAnyMzsjdXwtYEj/iCwXQDLyGACFSaCFSaCFSCEWjM5wOTVYv1wVylAvXBxWV9sPORPeIrpiRZ1mdntTjzR52SjSBdH1zceHoCPPXBXAIwxZLrg4ubK1FrYk94Yq/t2UThqg/O7K/xc2KifJ2fTUiCEDbg0BW1/NmE5IAofEDwVacNY08Ug7C/SFiLOs8mJFE6PpuQRFlPuR4UdG3rPZuQZLkOZxOifITQ2MbqbLlGy5avqM08rxwWBSfEDnhhAU/qWJaN+gQibA1nE8CElnLQ17fut3DV/WYheSwgvu6NmyAIITqhxq3dul9JeIXDb2zSBDEIgRY3ae66X0kUIZNmLTvbFyWhZgiAw1f3K4nSmUXz1P2K8hGCYKsWLVxm9NBj0STBCZGDbdE8db+ibNQHEGFrsmjNE1rKQdcWbRqexnFylvXP1Fmo7VwS9SeJCvsXkyQq1Fk2uUgXT3OnFs0atbRFi6hjgfF1b9EEQQjRCbVolt7716qH9V0OP1r0ox/vHR09uzvq/ZtnD7/xb3dHzx73nr1zpzc+ORqPyr2ebRR2RUdB4aOwsVcTxCBEXNyreTbUBFFEvJrjvcCSHNREAVB4KkUkSTozaqn7MgdRPkIobNWoLd/9n3kucxAFJ4QNtlELo4GyvjR2LMtGff4Qtiaj1jyhpRx0t3W+ofVB1d4r9uKpdbxtF/py9YKVUah1+hdQ6MsdyQQbyTYKfbkSFUkiIA8t9OUKBiuvCF7QVejLVQjWThEsnrvQl6uRUoMEKPTZN6bCLRb6JqbGV5kv6aLMLou9hb5sRjCRtVvoy1YLJjJioW8Wrwp958NsU32HrxpMZ23YXwNzY+jBOOBjgLlkg0Jfrf3piXAX+rIpFJEC/hyZkb25ErYmeMQXDKYbeA0BRKDSRKDSRKASjEBjPh+YrNor9GUrbb/QdxV57noe2SO+YkqSZX12Vqszf9Qp2QjChb6riLOcAHehL5sATLHUQl/92VmJWhN7whNbm1uotsTwONfCns0A9nrYWemb0DhRwO5PIwRB1v2Hb4LAJXUHlb6CA6LwAcGXnTaMPVEMwg4jYTHqPpgQRBE5mPBU+gqiUPdGARB/pa8gS2enE75KX0k+QmhsY3m2WqQtL7nLPLcWioITYge8soAndSzLRn0CEbam04nmCS3loK9vpa92bta9Te3cFHkwIMDunZsgCCE8oc6t5VJfQXiFw2/s0gQxCJEWd2meUl9BFCGXZl3D7ouSUFMEwOEt9RVE6cyj+Up9JfkIQbBVj6aWKd1zq54oOCFysD2ar9RXko36ACJsTR6teUJLOejao12cq6KYnmX9i8npeT85nZ71T6Mw7udFEZxP01SdX6h7W/Bo1rClPVpKHQwMsHuPJghCCE+oR7ta61tXkHxRPTR3bRm3Vtf7zl6evap/w2y4rZcCV/+rerd6e3kB1beNl7u8rao2eeNxnH3LVRQsOFwKH66NXZ0gBiE2467Os/cmiCLi6hyX2e+LklCTCsIRq2wQW1mGoiyd2TrP5VqifIS42aqtW97FlHku1xIFJ4QOtq3zFQZLslGfQIStydY1T2gpB91xYXA4+LYNUFs1+xuOoyCJi8DcO7YGuPXSYKbe9ajx59Jg7kgm2Ei2UhrMlKhIEgF59Wg/GvS1Q/7n134V6aWvNUjusRWDxVoES+isDWYqBMutKE7PXRvM1EgpWwIUxmEyUDaFQ7ZCkdrgqzujTmPGlQ2mp5bLfblqweREKfe1KbzDVwimI5KBRT8GB3zZYOynl/LadB7ydSqizk0+BSO+TDDqs9286xMw5ksG00CLVbdcpS1X3drUHfHVUVJVm1NfsiXLVNTaNB7zNYJ5ilQza5N4wpNYG6lwMlVRdNFX03CiF4hp2C9OJ2E/S7OzYBIGeRqfzymci0PP6pi/QHQuERe1ODApitj5br4kCGFXCl1jXq2V1f94rNeTernX1/94OHt5sYv/sl57Pq6XhvUe/sd68fdq9QdTqmEWmWYpaZaij+s16uf1AvKjein5UP/pvf/veHR03DudfG/aq35jVqqzH5nqjuoL2yDuig6iwgcRX7vZMPZEMQgbdYQFnXOPXxJFZI/fUZW/L0pC3WEEOOJwkCgbyVCUpLMd/jCJBoVjJSkKSAimpBVSwxZ/vnztau55j64oOCFysBcF7lkdy8JRn0AErmGPH5jRUg56XrpRKDWNz+J+qPLTfhhO834enBf9IFCBSvM8LNTCBHVr9yKn3Yuow4Ehdm/3BEEIEQq1e+8aS6bNnrZ55rjgkXZnL9VO7f6ls/ugruL4avam/oYxhKEK3Bv8kvwK59/YqQliEOItwamZw4KPBz37vDwnCiTi11xuTZCDmisACs9uviRJZ24tc+76i+IRImGrXm35Wq/c8542UXBC7GB7NdecjmXRqE8fgtbk1Jrns5SDvsaNUOEgdjq1hDocGGL3Tk0QhBCfUKfWbiuUJLzC4Te2aYIYhFCL2zR3K5QkiohBc7ZCSZJQkwTAUSSDWNlIhqIknVk0TyeUKB8hBrbq0ZbNzbmnW10UnBA42B7N0wklykZ9/hC2JpPWPKGlHHRt0k7DfJKmxVlfKf0vJJP4tF+YGts8iacX0yIOLuKze1swaYnTpNkriD3DgSF2b9IEQQgBCjVpll6oj6uH1Vezl+ebarM3F1btsr9p8evf1yejr+kfP7DtwdWlue9Xb1fv9OuXE71VvVf9Qn/9XfXhTi8OXOd0u6IDqPAB3NjoCWIQ4jVu9Dwnp4IoIkbP2R0lSUJNNACHSlPXW3clSTozes42mtuyfIQ42qrRW7bS5J7eKFFwQuBgGz1Pb5QoG/X5Q9iajF7zhJZy0B33RrlPQv0lftk64LZ7o7h616PGn3ujuCOZYCPZRm8UV6IiSQTkLXqj/H1RXLVghTzBDLr6orgKwYJ4isdz9kVxNVKKzQGFvpNUpsIt90WxZYOpqd2+KLZaMDFt3hfFVgimIpJ5RT8GB3zZYNxvqy+KrVMRdW7yKRjxZYJRn+3k3X1RbMlgGmivL4qttJO+KLY6Sqpqc+pLtuQu+6LYGsE81UJfFEtibfWgd9YaCufC0LMy5i8OnX1Rhb9u+Aopitj5zr4kCGFHCl1fyt8hIDkgCh8QfA1mw9gTxSBsuBEWZ86dekkUkZ169x0CkijUrUIAJMkGYWZFGYqidLZX77lCQJSPEBlJy52Gvfpi2RJTeJqcRMEJoYPt8D1XCIiyUR9AhK1hrx6Y0FIO+hr3OEXuHqciog4Hhti9dRMEIQQo1Lq13uMkya9w/o2dmiAGIdwSnFpDj5MkkIhfc/Q4SXJQcwVA4dmZlyTpzKu5e5xE8QiRsFWrtuyJKTw9TqLghNjBtmruHidRNOrTh6A1ObXm+SzloK9xj1Pk7nEqEupwYIjdOzVBEEJ8Qp1auz1OkvAKh9/YpgliEEItbtPcPU6SKCIGzdnjJElCTRIAh6fHSZKkM4vm6XES5SPEwFY92rIlpvD0OImCEwIH26N5epxE2ajPH8LWZNKaJ7SUg65N2jQ8jePkLOufqbOwn5wlUX+SqLB/MUmiQp1lk4t08TR3a9KcPU6FvxLYMhwYYvcmTRCEEKBQk3a1x+nKhU7He0dHz+6Oev/m2cNv/Nvd0bPHvWfv3OmNT47Go3KvZxuFXdFRUPgobOzWBDEIQRd3a57jT0EUEbfm2k4T5KDmCoDCt50mSNKZV0vdFbGifIRQ2KpXW3a1FJ42JVFwQthgezVPm5IoG/X5Q9iavFrzhJZy0B23Kbm3yPwVd/k64LbblLh616PGn9uUuCOZYCPZRpsSV6IiSQTkQW1KXLVgwTrBCrralLgKwfp0gsNztylxNVJqvwGFPvfGVLjlNiW2bDA1tdumxFYLJqbN25TYCsFURDKv6MfggC8bjPtttSmxdSqizk0+BSO+TDDqs528u02JLRlMA+21KbGVdtKmxFZHSVVtTn3JltxlmxJbI5inWmhTYkmsrR5UF2sonAtDz8qYvzh0tSnFgb/09wopitj15rwoCGFHCl1fircpiQ6IwgcEX4PZMPZEMQgbboTFmWufXhRFZJ/e2aYkikLdKgRAPG1Koiid7dW725Rk+QiRkbTc8e/Va6b51u7iJzbwA1lwQuhgO3x3m5IsG/UBRNj8e/XIhJZy0Ne4+DV2tinFQUQeDgixe+smCEIIUKh1a7X4VRRe4fAb2zRBDEKsxW2as/hVFEXIptmLX0VJqEkC4HAXv4qSdGbS3MWvsnyEGNiqSYuWOd3doCQLTggcbJPmLn6VZaM+fwhbk0lrntBSDnreS36uimJ6lvUvJqfn/cS8HvY0CuN+XhTB+TRN1fmFurcFk+Yqv4iDhDocGGL3Jk0QhBCgUJNmecH/V7Vre6itmGkhnxfAzl6evbq4Jn29Nrb6X9W71dvVB/rHu9U73zZm7vIygNrljcdx9q2ebbh2RYdL4cO1sa0TxCBEZ9zWeXbfBFFEbJ3rdf6iJNS0AnC4X+cvStKZrYtiV0mGLB8harZq65KlC3D3NMmCEwIH29a562Rl2ajPH8LWZOuaJ7SUg+64TtbVpRQHzkLgJMyiNFkH3HKdLFsvWJyE+qw//TpZ9kgm2Ei2UCfLlqhIEgF58zpZPdp6TP/5tV+ZMs/MJnmPLRksmyI4QkexLFshWCVFMXquYlm2RkoFEqAwCotBYVM4ZCvcbrEsXzaYn1otluWrBbPTxsWyfIVgPiI5WPRjcMCXDQb/lopl+ToVUecmn4IRXyYY9dl23lksy5cMpoHWimX5SrsoluWro6SqNqe+ZEvusFiWrxHMU5sXy/Ik1lYPqs4wFM7VoWd5zF8huotlnWXBdlIUsfvNfEEQwrYUusjsoFhWcEAUPiD4QsyGsSeKQdh1IyzO3Nv1gigi2/WeYllBFOp+IQASR4Mit6IMRVE627D3FctK8hEiI2m507Rhny/3d3PPhr0kOCF0sB2+r1hWko36ACJsTRv2zRNaykFf43f6J+5i2dBZO+waDgyxc+smCUIIUKh1a/ud/qL8Cuff1KlJYhDCLcGp+d/pLwok4tfsLyET5aDmCoDCszMvSdKZV3O+018WjxAJ27Rq4bINJvT0NYmCE2IH26o53+kvi0Z9+hC0BqcGzGcpB32N25oSd8WsObOiDQeG2L1TEwQhxCfUqbXb1iQJr3D4jW2aIAYh1OI2zd3WJIkiYtCcbU2SJNQkAXCkalBYi2SGoiSdWTRPW5MoHyEGturRll0woaetSRScEDjYHs3T1iTKRn3+ELYmk9Y8oaUcdG3SVKh/eZ7E/biYhv0kTtP+pNCGLjqdxudJGJzpX93bgklzVsua+hfacGCI3Zs0QRBCgEJNmuWd/j/QP3202GWrN9RsoLuioAoH3diQCWIQ4ipuyNwnnJIoIoYssnHsi3JQ0wFAkcSFvbFqKErSmR3ztCOJ8hGiXat2bNm9EnrakUTBCWGDbceckzqWZaM+fwhbkx1rntBSDrrjdiTlNFj+ojq1DrjtdiSu3vWo8ed2JO5IJthIttGOxJWoSBIBeXg7ElcyWJhO8IOudiSuQrAOHbd5nnYkrkZKjTeg0HfoyVS45XYktmwwP7XbjsRWC2anzduR2ArBfERysOjH4IAvGwz+bbUjsXUqos5NPgUjvkww6rPtvLsdiS0ZTAPttSOxlXbSjsRWR0lVbU59yZbcZTsSWyOYp1poR2JJrK0eVP9qKJyrQ8/ymL9CdLYjhf4S3yukKGL3m/CCIIRtKXSRKd+OJDkgCh8QfCFmw9gTxSDsuhEWZ+7NekEUkc16dzuSJAp1vxAA8bUjSaJ0tmHvaUcS5SNERtJyp2nDftm9EnrakUTBCaGD7fA97UiibNQHEGFr2rBvntBSDvoatyMpdztS5K/5tQwHhti5dZMEIQQo1Lq13o4kya9w/k2dmiQGIdwSnFpDO5IkkIhfc7QjSXJQcwVA4dmZlyTpzKu525FE8QiRsE2rFi3bVyJPO5IoOCF2sK2aux1JFI369CFoDU4NmM9SDvoatyMpdztSFFGHA0Ps3qkJghDiE+rU2m1HkoRXOPzGNk0QgxBqcZvmbkeSRBExaM52JEkSapIAODztSJIknVk0TzuSKB8hBrbq0ZbdK5GnHUkUnBA42B7N044kykZ9/hC2JpPWPKGlHHRt0qbhaRwnZ1n/TJ2F/eQsifqTRIX9i0kSFeosm1yki6e5W5PmbEeKEupwYIjdmzRBEEKAQk2apR1p/Rql472jo2d3R71/8+zhN/7t7ujZ496zd+70xidH41G517ONwq7oKCh8FDZ2a4IYhKCLuzX38ackiohbc22nCXJQcwVA4dtOEyTpzKul7opYUT5CKGzVqy1bWyJPr5IoOCFssL2a5+okUTbq84ewNXm15gkt5aA77lVKne7LX3GXrgNuu1eJq3c9avy5V4k7kgk2km30KnElKpJEQB7eq8SVDFatE/ygq1eJqxAsUifYPHevElcjpQAcUOizcEyFW+5VYssG81O7vUpstWB22rxXia0QzEckB4t+DA74ssHg31avElunIurc5FMw4ssEoz7bzrt7ldiSwTTQXq8SW2knvUpsdZRU1ebUl2zJXfYqsTWCeaqFXiWWxNrqQcWxhsK5OvQsj/krRGevUuSv/71CiiJ2v0MvCELYlkIXmfK9SpIDovABwRdiNow9UQzCrhthceberBdEEdmsd/cqSaJQ9wsBEF+vkiRKZxv2nl4lUT5CZCQtd5o27JetLZGnV0kUnBA62A7f06skykZ9ABG2pg375gkt5aCvca9S6u5Viv0FwZbhwBA7t26SIIQAhVq31nuVJPkVzr+pU5PEIIRbglNr6FWSBBLxa47iCkkOaq4AKDw785IknXk1d6+SKB4hErZp1eJlb0vs6VUSBSfEDrZVc/cqiaJRnz4ErcGpAfNZykFf416l1N2rFEfU4cAQu3dqgiCE+IQ6tXZ7lSThFQ6/sU0TxCCEWtymuXuVJFFEDJqzV0mShJokAA5Pr5IkSWcWzdOrJMpHiIGterRla0vs6VUSBScEDrZH8/QqibJRnz+ErcmkNU9oKQc93047V0UxPcv6F5PT835yOj3rn0Zh3M+LIjifpqk6v1D3tmDSnL1KcUIdDgyxe5MmCEIIUKhJu9qrVO/LfFE9rKsyX1psqc1enr2qf8Mcjq63MlX/q3q3erv6QP94t3rn28bMVX8w9bj1rUvG5Y3Hcfatnm24dkWHS+HDtbGtE8QgRGfc1rnPSSVRRGxdaL+4aF+UhJpWAI64UIM8sqEMRVE683WeO5hE+Qhhs1Vft2yDiT19TaLghMjB9nWeviZRNuoDiLA1+brmCS3loPX//saQL4ov9X/mmb/2+beW+5ysC07t25QVNw7iTEVJFK7jdtTllA8Sm95bbL3rMWTDLqf3tcf6xOyPPVGC5mg80s7qneqni/6jZRPUvJfp5/p33t3p6b/t59X78+9Fnh00JnqCobfRlsSVqEgSAXnVe9WvTT9SbnrFXunplUuQDaIgUoPe3DLrGXvCMv9Bf+PT+Sm0ccQfzefy0aAXDoLYmvL22KxgZTvBCrr6mbgKwUJ2isNz9jNxNVKKxAGFWTFY3LBw1boxFYr0M13JcMPn9o6ORkeLHFeeHHxNe5J0R3/JzJf8L01UMRAm4+0E1qR3m88IJi1681Mau5uf2GrBpEVpfvq6Gbyb89H/5mKYbarv8FWDqasN62tgbgw9GAd8DDAN0RukFtqN7BtPT4SL4pBPoYgU8OfIjOzNlbA1wSO+YDDdwOsHIAKVJgKVJgKVYAQa8/nAZEXrunJHn7t8pS13XX19fBl57noe2SO+YkqSZX12Viszf9Qp2QgynVlXI85yAlwEx3wCMMWS+ra+bkb05krUmtgTntjayEP3ERse57rXsxHAXvsOrLV9evVr71RzcqKA3Z9aCIIQtt/Q5bPlDWs/0D99tKgNrg8mbKC7oqAKByWsRK8uN2evaT7To/bJ8ghmdd7Sq35bfaAXr7+tfla9XX3Yq35avVX9enk40xvvxkHv4Fu2odkTHRrCTiRh4eo+wxBEETnDsK7A90U5qBuoAEWo8kHsOsEQRLkWJxiSfIQQ2sYybrWYS5cb3qlnQScJTogb8ArkyqRmA3t34liWjfoAImxNJxjNE1rKQdcOL8mDi+IsSftJruJ+kul/YXIWB/04Cc6zaHoRJPHiae7W4VnDlnZ4GXUwMMDuHZ4gCCE8oQ7PWzxc15gsq1Ee12+Ae6IHzPyReUnxDf3/cRD4mr8ER0Xho4LbQRvGnigGIQTj1s1TVSyIImLd3FXFgiTU3AFwaG+TJdaT/KEoSmfmLYsHocu8SfIRomOr5i1b5vrMY94kwQmRg23enJM6lmWjPoAIW5N5a57QUg76Gr9gKbNHYG3e7K8s8AwGBti9eRMEIYQn1LzJv15JckAUPiAb+zZBDEL0xX2bZ8tNEEXIt7lerySJQs0bAEgYDvIssaEMRVE6M26e1yuJ8hEiY6vGbfk2ntjzeiVRcELoYBs3z+uVRNmoDyDC1mTcmie0lIPu+D4E6wpSW7HCh5dH63hbrxNm6gWLrVAntZU6YSZ6gqG3UifMlKhIEgF59tPZtQY5rByYiQTWZxEsnrMcmKkQrLDCnZuvHJipkVKpBCj0lQMzFW6vHDgJdvSXcFmHV/grgbl4YFpquRKYqxZMS9RK4OKyErjwVAJzVYPJqQ0za2BuDD0YB3wMMNFsUglc3Hh6IjyVwFwKRaSAP0dmZG+uhK0JHvEFg5kGXhEAwac0wacEg8+YjwamqBaLgLlKBYqAi8siYOfTesRXTEmtrI/NapnlDzglG0G6CLi48fQEeIqAuQRgdiUXARc3V6LWxJ7wxF7fU4bcVQScBDROFLDzUwZJEMJeGro2lj9lkBwQhQ8Ivhy1YeyJYhC2CglLUOcpgyRKx6cMkijrOdeDgi5pfacMkijX4ZRBlI8QGdtYmC2XZ8nyTbKJ583AouCE0AGvKeBJHcuyUR9AhK3hlAGY0FIO+hp3b+Wu2t4kpA4GBti9cRMEIYQn1Ljxu7ckQRUOihsy2/nAFVbLkYGvoeuX2ss+0dAV9b5lG6w90cEixO5WbJ8giojtc/RzSXJQUw5A4evnkkTpzPN5+rlE+QhBtVXPFy4tQujxfJLghLjB9nzOSR3LslEfQIStyfM1T2gpB91xZYl1m1G7uMiLF6/jbbuyhKsXPLxDTdg2Kku46AmG3kZlCVeiIkkE5JFeMxcNtL6enirzk9hGtscmA4/9CDbPVWDCVQie3uHuzVNgwtVIOQUDFKooGATW84ghW+IWK0xiU2GSmC9qcdKbRN4yEzYjmKPaLTNhqwVzFLHMJIlWZSaJ84aCO3zVYKZqw9kamBtDD8YBHwPMOhuUmWjtT0+Eu8yETaGIFPDnyIzszZWwNcEjvmAw38DLAyAClSYClSYClWAEGvP5wGzVXq0JW2n7tSaryHPX88ge8RVTsizrs7NaePmjTslGEK41WUWc5QS4a03YBGCKpdaa6M/OStSa2BOe2NrdQscbhse5zPWs89lLXWetSUzjRAG7P7IQBCHsrqGr5Q5qTQQHROEDgi9QbRh7ohiEzUPCatR96CCIInLo4Kk1EUShbnsCIFmuzYw10g9FUTo7d/DVmkjyESJjG6uz1RotXm5Tx551miQ4IXTACwt4UseybNQHEGFrOndontBSDvoav0eucNaaJNTBwAC7N26CIITwhBq3jt4jJzkqCh+Vjd2bIAYhBOPuzf0eOUkUIfdmPbjZFyWh5g6AI1Spdm9WlqEoS2fuzfMiOVE+Qnhs1b0tr71LPPcYioITQgfbvXleJCfKRn0CEbYm99Y8oaUc9DWuFC5cL5JLFHUwMMDu3ZsgCCE8oe5tg0phQVCFg+KGrLt7HiSHhhCpcZPn2aITRBExedbV4b4oBzXBABRhkAQD5wadIEtnFs9XGCzJR4ihrVo8tXQEnpv7RMEJgYNt8TwXPYiyUZ9AhK3J4jVPaCkH3W1hcGR9ULVpS714yTre1guDmXrXY8afYmEwEz3B0FspDGZKVCSJgDziK+eg0mAmG1iqRXB6ztJgpkKw2Ao3cL7SYKZGStESoNBbGsyUuMXSYHMNdbK8BDZJ/VXBXDwwQbVcFcxVCyYoalVwelkV7Lwd6g5fNZim2rC1BubG0INxwMcAU84mVcHpjacnwlMVzKVQRAr4c2RG9uZK2JrgEV8wmGrgtQEQfEoTfEow+Iz5aGCOarEgmKtUoCA4vSwIdj6tR3zFlNzK+tisFlz+gFOyEaQLgtMbT0+ApyCYSwBmV3JBcHpzJWpN7AlPbO1poRoUw+Nc3nrW9+wlrrMgOKNxooDdn0wIghB21dBVcgcFwYIDovABwRemNow9UYx1U+DBIKxB3acNgigipw2egmBBFOp2JwDiLQgWROnsvMFXECzJR4iMbSzMVsuz5VV2ieduQlFwQuiA1xTwpI5l2agPIMLmndAxMqGlHPT1LSnRxs1VEOy978c2GBhg98ZNEIQQnlDjtkFJiSCowkFxQ7bVl88JDhYhdrdi+wRRRGyfq8hEkIOacgAKf5GJIEtnps9XZCLJR4iqrZq+5TV4iedeQ1FwQuBgm744GsTWvZqxLBv1CUTYmkxf84SWctAdF5m49t8KL55ax9t6kQlTL3h6h7qwrRSZMNETDL2VIhOmREWSCMjTpu/XvX9+7Vdh0DNz1AuzQZDp1UykBj16AUoU7fR0rrO/wXGPTQ2eCRI8oLP8hKkQPNrDrZ2v/ISpkXJEBihM00FkvQN2yFa4veoTZa4+VMvbxxL/1YdsPDBztVx9wlULZi5q9cnl1YeJ5+pDtmowf7Xhdw3MjaEH44CPAeaiTapPLq8+TBquPmRTKCIF/DkyI3tzJWxN8IgvGMw08KIBCD6lCT4lGHzGfDQwRbVYfcJVKlB9cnn1oftpPeIrpqRW1sdmtRLzB5ySjSBdfXJ59aE/2BzzCcDsSq4+MVcf2gPNCU9sbWmhAw/D41z3ehb+7LWvq/pEBTROFLDzQwxJEMJ2G7p8lq8+kRwQhQ8IvmK1YeyJYhB2EwlLUOcxhCSKyDGEu/pEEmU953pQ0CVtMSjs7x0dipJ0dg7hKT4R5SMExjbWZcvVmVpelKc8Nx+KghMiB7ykgCd1LMtGff4QtoZzCGBCSznoa1x8ErqKT5T/SiDLYGCA3fs2QRBCeEJ9G7/4RBJU4aC4H9tm8YnkYBFidyuuTxBFxPU5ik8kOagpB6AI42igrK0lQ1GUzjyfp/ZElI8QVFv1fMuL8pTn5kNRcELcYHs+z82HomzUBxBha/J8zRNaykF3XHvicnGRFy9dx9t27QlXL3h2h5qwbdSecNETDL2N2hOuREWSCMgj1p54b0VsqDzhMoPngQQD6Ko84SoEj/VwX+epPOFqpByPAQo9lSdchVusPDFXIipzJaJaXkim/FcishnB5NVu+QlbLZi8iOUn6vJKROW5EpGtGkxhbVheA3Nj6ME44GOA6WiD8hN1eSWiargSkU2hiBTw58iM7M2VsDXBI75gMN3A6wYgApUmApUmApVgBBrz+cBk1V4NCltp+zUo6vJKRPcje8RXTEmyrM/OakXmjzolG0G4BkVdXonojzjHfAIwxVJrUJS5EtEebU54YmtzC517GB7n+tezAcBeAztrUGIaJwrY/VmGIAhh2w1dRndQgyI4IAofEHzlasPYE8Ug7CoSFqPu0whBFJHTCE8NiiAKdT8UAPHVoAiSdHYe4atBkeQjBMY2FmerJdryAj3luRFRFJwQOeB1BTypY1k26vOHsDWdRzRPaCkHfX1vRNS+zRq2tG9LqIOBAXbv2wRBCOEJ9W0d3YgoOSoKH5WNzZsgBiEE4+bNfSOiJIqQeYttJPuiJNTcAXCExSDPExvKUBSlM/PmuRBRlI8QHVs1b8v785TnQkRRcELkYJs3z4WIomzUBxBhazJvzRNaykFf4wLiyHUholLUwcAAuzdvgiCE8ISatw0KiAVBFQ6K+7HuLkSUHBpCpMY9nmeDThBFxONZF4f7ohzUBANQeMuFBVE6c3i+cmFJPkIIbdXhLa/PU577EEXBCXGD7fB85cKSbNQHEGFrcnjNE1rKQXdcLuzybKkXL1vH23q5MFPvesz4UywXZqInGHor5cJMiYokEZBnKwn+qt7hfGh8sdnaXC8MDgdBbA18e2wssESL4PGcFcFMhWCRFW7dfBXBTI2UYiVAYVYMQpcrYyrcYkWwuQlRLS8jU/6bENl4YGpquRiYqxZMTdRi4MubEJXnJkS2ajBBtWFoDcyNoQfjgI8BJptNioEvb0JUDTchsikUkQL+HJmRvbkStiZ4xBcMZhp4VQAEn9IEnxIMPmM+GpiiWqwD5ioVqAO+vAnR/bQe8RVTUivrY7NaavkDTslGkK4DvrwJ0R9sjvkEYHYl1wGbmxDtgeaEJ7a2tFDtieFxLmw9K3v24tZZB5zROFHA7o8kBEEI+2no+riDOmDBAVH4gOBLUhvGnijGuinwYBCWoO5jBkEUkWMGTx2wIAp1oxMACcNBniU2lKEoSmcnDb5CYEk+QmRsY2G2Wp4tL85TnpsQRcEJoQNeU8CTOpZloz6ACJt3QsfIhJZy0Ne4liR2FgL7bwiyDAYG2L1xEwQhhCfUuG1QSyIIqnDQjQ2ZIAYhqrZiyARRRAyZq+5DkIOaDACKUOWD2NWWJYjSmRvz1X1I8hHCXatubHmjnfJcUSgKTogbbDfmuaJQlI36ACJsTW6seUJLOeiO6z4SG572V4UXL1/H23rdB1MveKyG2qOt1H0w0RMMvZW6D6ZERZIIyGPUfUQDrbKnJ8z8xFoltcfmA4/lCGbPWQDCVAieruEezlcAwtRIOaUCFKooGATWVDdkS9xeBUhqbiNMlxeCKf9thGw8MEm1XAHCVQsmKWoFyOVthMpzGyFbNZiq2rC2BubG0INxwMcA084mFSCXtxGqhtsI2RSKSAF/jszI3lwJWxM84gsGUw28PgCCT2mCTwkGnzEfDcxRLVaAcJUKVIBc3kboflqP+IopuZX1sVktuvwBp2QjSFeAXN5G6A82x3wCMLuSK0DMbYT2QHPCE1t7WujQwfA4l7ieNT57meuqAEkDGicK2PlBgiQIYWcNXSnLV4BIDojCBwRfnNow9kQxCBuHhDWo88BBEkXkwMFdASKJsp5zPSjomjbLtZlxnDlIonR25uCpABHlI0TGNhZmy+VZury9LvVcRygKTggd8JoCntSxLBv1AUTYGs4cgAkt5aCvcQVI4qoASf339FgGAwPs3rgJghDCE2rc+BUgkqAKB93YkAliEKJqK4ZMEEXEkDkqQCQ5qMkAoAiDJBg47ZggS2d2zFMCIspHiHet2rHlxXKp56ZAUXBC4GDbMU8JiCgb9QlE2JrsWPOElnLQHZeAKBueNliRF69Yx9t2CQhXL3iuhvqjbZSAcNETDL2NEhCuREWSCMij3hTYXB7ScF8glxw8sSP4QFdxCFchePCG2ztPcQhXI+UAC1DouS+Qq3CLtSHmvsA0WRzPpv6rAtl4YPZqtzaErRbMXsTakPTyqsDUc1UgWzWYw9rwvAbmxtCDccDHAPPRBrUh6eVVgWnDVYFsCkWkgD9HZmRvroStCR7xBYOZBl44AMGnNMGnBIPPmI8Gpqj2akPYStuvDUkvbwl0P61HfMWU1Mr62KxWY/6AU7IRhGtD0stbAv3B5phPAGZXam1Iam4JtAeaE57Y2tJCxxGGx7n29Sz+2etfZ21ITONEAbs/YhAEIWy5oUvoDmpDBAdE4QOCr1ptGHuiGIQdRcIS1H0UIYgichThqQ0RRKHuhQIgnlsCJUk6O4vwlYZI8hECYxvrstXqbHmpXOq5JVAUnBA54CUFPKljWTbq84ewNZ1FNE9oKQdd+7YzNT0vgrzon06V6ien01z/2dO4H1xEeTqJzk9PJ+reFnybNWxp35ZQBwMD7N63CYIQwhPq266WhlQfa9f2lXZs9XWAszcX5uyJK1jmv/69sXez1/SPHzx9e+B8u/2r6rE5Cnm7eqdfW723qveqX+ivv6s+3OnFgctV7IoOoMIHcGOfJ4hBiNat+DxBFBGfFw6UjWRflISaZgCOohg4bZ4gSWc2L4wGQWrjuy3LR4ijrdq85fVzqec+QVFwQuBg2zwzqZmNbSzLRn3+ELYmm9c8oaUctP7f3+zMc9pf+2xcy6Un1gdWGzjlw4yidczOSk+UTe8ttl7w2A71X+2UnhizZS4Enr1q/gLzT23IPq8eNFehMEchwUahlSoUpkRFkgjIW1ah5IsilNRfhPIH/Y1PlyYavJWGywqeBhLMoLPuhKkQPNSjeDx33QlTI+VwDFAY6U+I074xJW6x8CQ1hSfmbpp0eT1EqvzVJ1xGMIHRq09UkLurT7hqwQRGrT5Rl9Unzqvs7vBVg2msDftrYG4MPRgHfAwwD21SfaJuPD0RnuoTLoUiUsCfIzOyN1fC1gSP+ILBfAOvIYAIVJoIVJoIVIIRaMznA7MVrQTFHX3u8pUKlKCoyxIU5yN7xFdMybKsz85qdeaPOiUbQboERd14egI8JShcAjDFkktQ1M2VqDWxJzyxtZOHWjAMj3MN7NkMYK+DnSUoKY0TBez+KEMQhLAFhy6lN+hyFQRVOChhKXp1vTl7TfOZMptPlicwlwc21W+rD/Tq9bfVz6q3qw971U+rt6pf62+9Xb1bvdMb78ZB7+BbtqHZEx0awm4kYeXqPsYQRBE5xrCuHfdFOaibqABFEkeDPLGhDEVROjvF8DXOSvIRQmgby7jVYi5dbnp7LhsVBSfEDXgFAk/qWJaN+gAibE2nGM0TWspBz4uMJ5P8ND4t+lkaJ/0kuCj6E3WmvwRReDaN9V+0XCN36/BcxSoZdTAwwO4dniAIITyhDu/35qBEe5rH1ec97etMSfGbpsHTFBUva4i/HleP6p9GavZ6pHqesw9BeIXD467PhrEnikGItLhDMwdVNpTnRFFEHFowiG0k+6Ik1BQBcKTJoLAf7A5FUTrzaFk8CF0eTZKPEARb9WjLy+lSz22DouCEyMH2aM5JHcuyUR9AhK3JozVPaCkHfY0bwVJ7BNYezXvZj3UwIMDuPZogCCE8oR6tg0YwwQFR+IBs7NsEMQjRF/dtnp01QRQh3+ZsBBNEoeYNACSOBklqjYBDUZTOjJuvE0ySjxAZWzVuy3vsUs/FhKLghNDBNm6+TjBJNuoDiLA1GbfmCS3loDt+K11mw9NWrPDhFcE63tZLg5l6wZoq1EltuzSYOQoJNgqtlAYzJSqSRECe/Tz2Yd0h96OrL6DzVQAzkcCKLILbc1YAMxWuGznRCmCmRkptEqDQWwHMlLi9CuDMXEuYLW8GS/3XErLxwBTVcvEvVy2YoqjFv5fXEqaeawnZqsFE1YaxNTA3hh6MAz4GmGk2Kf69vJYwbbiWkE2hiBTw58iM7M2VsDXBI75gMNXAqwMg+JQm+JRg8Bnz0cAc1WLdL1epQN3v5bWE7qf1iK+YkltZH5vVkssfcEo2gnTd7+W1hP5gc8wnALMrue7XXEtoDzQnPLHX98Qhc9X9ZgGNEwXs/MRBEoSwr4auk+VPHCQHROEDgq9HbRh7ohiEbUPCGtR54iCJ0vGJgyTKes71oKBrWt+JgyTKdThxEOUjRMY2FmbL5Vm2vMUu81xLKApOCB3wmgKe1LEsG/UBRNgaThyACS3loK9xw1bmKufNvJcC2QYDA+zeuAmCEMITatz4DVuSoAoHxQ2Z7YDgCqvlzMDXw/VL7WWf6OGKet+yDdae6GARYncrtk8QRcT2OVq4JDmoKQeg8LVwSaJ05vk8LVyifISg2qrnW16Vl3nuPhQFJ8QNtufztHCJslEfQIStyfM1T2gpB91xlYn1Li/t4iIvXriOt+0qE65e8PAONWFbrjLhjkKCjUIbVSZciYokEZBHvAbRV4HSfAUilxo8HSS4QVchClcheMiHmzxPIQpXI+WwDFEYxGoQOi5B5GrcYiWKuQQxW95DlvkvQWTjgWms3UoUtlowjRErUbLLSxAzzyWIbNVgMmvD/BqYG0MPxgEfA8xGG1SiZJeXIGYNlyCyKRSRAv4cmZG9uRK2JnjEFwzmGngFAQSf0gSfEgw+Yz4amKTaq0RhK22/EiW7vATR/bQe8RVTkivrY7NalvkDTslGEK5EyS4vQfQHm2M+AZhdqZUombkE0R5oTnhia1MLHX4YHuci2LMLwF4IOytRYhonCtj9gYYgCGHvDV1Ld1CJIjggCh8QfM1qw9gTxSBsLRIWoe4jCUEUkSMJTyWKIAp1UxQACZUaRJm152woytLZsYSvFEWSjxAa21iZrdZny1vzMs81iKLghNgBLyrgSR3LslGfQISt6ViieUJLOehrXIqSO0tREupgYIDdOzdBEEJ4Qp3bBqUogqAKB8Ud2VZLUQQHixC7W/F9gigivs8acfZFOagpB6EIsmAQpzaWoShLZ6bPV4siyUeIqq2avuUdepnnUkRRcELgYJs+Xy2KJBv1CUTYmkxf84SWctAd16JYD8+1jVNevGgdb+u1KEy94PEd6sK2XYvCHIUEG4VWalGYEhVJIiCPWIvivg0RqERhMoOngwQz6KxEYSoED/lwj+erRGFqpByWIQq9lShMjVusRDG3ImbmVsRseSdZ5r8Vkc0IZrKWy1G4asFMRi1HubwVMfPcishWDeazNvyvgbkx9GAc8DHAhLRJOcrlrYhZw62IbApFpIA/R2Zkb66ErQke8QWDCQdeRAARqDQRqDQRqAQj0JjPB6arFmtSuEoFalIub0V0P7JHfMWUNMv67KyWZ/6oU7IRpGtSLm9F9EecYz4BmGLJNSnmVkR7tDnhia3tLXQKYnici2HPbgB7QeysSUlpnChg9ycbgiCEPTh0Td1BTYrggCh8QPC1qw1jTxSDsMVIWI66zyYEUUTOJjw1KYIo1M1RAMRfkyLI0tnxhK8mRZKPEBrbWJ6tFmnLy/Eyz22HouCE2AGvLOBJHcuyUZ9AhK3peKJ5Qks56Gt822HhrEnJyIMBAXbv3ARBCOEJdW7t3nYoCa9w+I1dmiAGIdLiLs1926EkipBLi20k+6Ik1BQBcMRhMFAqsbEMRVk6M2me6w5F+QhRsFWTtrwdL/NcdygKTggdbJPmue5QlI36BCJsTSateUJLOehrXDhcuK47zLxXCNkGAwPs3qQJghDCE2rSNigcFgRVOChuyOyvGLlfbyF+glQJv1X9+skq4aB38C3b0OyJDg0hUuMmz7MVJ4giYvJcZcKCHNQEg1B4y4QFWTqzeL4yYUk+Qgxt1eIt79HLPBcjioITAgfb4vnKhCXZqE8gwtZk8ZontJSD7rZM2H7ZmzZthRcvXsfbepkwUy9YVoV6rm2XCTNHIcFGoZUyYaZERZIIyKO/li7OenrezE+sK509NhtYnUUwfc5yYKbCdT8nWg7M1EipUwIUKqUGubXue8iWuL1q4NzckJgvLynL/DcksvHAXNVyITBXLZirqIXAlzckZp4bEtmqwYzVhsM1MDeGHowDPgaYcjYpBL68ITFruCGRTaGIFPDnyIzszZWwNcEjvmAw1cDLBCD4lCb4lGDwGfPRwBzVYg0wV6lADfDlDYnup/WIr5iSW1kfm9Xayx9wSjaCdA3w5Q2J/mBzzCcAsyu5BtjckGgPNCc8sbWnhapODI9zpetZ6rNXu64a4EWNEcyJAnZ+SCEJQthgQxfM8jXAkgOi8AHBF6Y2jD1RDML+IWEN6jx4kEQROXhw1wBLoqznXA8KuqbN40Hsui1HEqWzowdPCbAoHyEytrEwWy7P8uWFernnhkRRcELogNcU8KSOZdmoDyDC1nD0AExoKQd9fatLtHFzlADn/quDLIOBAXZv3ARBCOEJNW786hJJUIWD4oZsm6+lkxwsQuxuxfYJoojYPke9iSQHNeUAFKH+3yBzvNZEkqUz0+epNxHlI0TVVk3f8ka93HNFoig4IXCwTZ+n3kSUjfoEImxNpq95Qks56I7rTVz7b5EXL1nH23a9CVcveHqHurAt15twRyHBRqGNehOuREWSCMijvnqusdqESwYeARIsn6vahKsQPMnDnZyn2oSrkXIiBij0VZtwJW6x2sTcgpgn5otanPrm/qsQ2Yxgumq35IStFkxXxJKT/PIqxNxzFSJbNZi02jC5BubG0INxwMcAs84GJSf55VWIecNViGwKRaSAP0dmZG+uhK0JHvEFg/kGXikAEag0Eag0EagEI9CYzwdmq/bqTthK2687yS/vQ3Q/skd8xZQsy/rsrNZg/qhTshGE607yy/sQ/RHnmE8Aplhq3Ulu7kO0R5sTntja3UJHHYbHueL1LPnZq15n3UlM40QBuz++EAQhbLShC+cO6k4EB0ThA4IvUG0Ye6IYhH1EwmrUfQAhiCJyAOGpOxFEoe6AAiDeuhNBlM6OIHx1J5J8hMjYxupstUZb3p6Xe65DFAUnhA54YQFP6liWjfoAImxNRxDNE1rKQV/fV89p42Y1qM8uwxllMCDA7o2bIAghPKHGrd1Xz0nCKxx+Y5MmiEGItLhJc796ThJFyKRZz2f2RUmoKQLgCNN0kKWZjWUoytKZSfO8ek6UjxAFWzVpy9vucs/1haLghNDBNmmeV8+JslGfQIStyaQ1T2gpB32Ni4ND16vnckUdDAywe5MmCEIIT6hJ26A4WBBU4aC4Ievu1XOSQ0OI1LjJ8+zECaKImDzrInBflIOaYAAKfymwIEtnFs9XCizJR4ihrVo8tXQEnrv6RMEJgYNt8XylwJJs1CcQYWuyeM0TWspBd1wK7NpZS714ah1v66XATL3rMeNPvBSYOQoJNgqtlAIzJSqSRECerRT4q3pX86HxyGY7c70gOBwE9lc17rGxwLosgt9z1gEzFYKVVbiN89UBMzVSKpQAhVGYDhLrMA7ZErdYB2yun86Xl7/mqb8EmIsHpqmWS4C5asE0RS0BTi9LgJ23R93hqwaTVRvm1sDcGHowDvgYYLbZpAQ4vfH0RHhKgLkUikgBf47MyN5cCVsTPOILBlMNvEIAgk9pgk8JBp8xHw3MUS1W/3KVClT/ppfVv86n9YivmJJbWR+b1bLLH3BKNoJ09W964+kJ8FT/cgnA7Equ/k1vrkStiT3hia09LVRwYnici1zPKp+90HVW/2Y0ThSw+/MJQRDC3hq6Vu6g+ldwQBQ+IPia1IaxJ4qxbgo8GIQ1qPvMQRBF5MzBU/0riELd9ARAdPxLUusJ7VAUpbNTB1/1ryQfITK2sTBbLc+WV+DlnjsNRcEJoQNeU8CTOpZloz6ACJt3QsfIhJZy0LVxuzhXRTE9y/oXk9PzfnI6PeufRmHcz4siOJ+mqTq/UPe2YNxcZxT+238sg4EBdm/cBEEI4Qk1blcLS6wb57OXtZ/7qvZyV97K9r+0n3t7WXHxbWPlLsszamM3HsfZt3q24doVHS6FD9fGtk4QgxCbW7F1gigiti4cWAsw9kVJqEkF4IjzYqCUdQE/FGXpzNb5ikkk+Qhxs1Vbt7z2LvfcYygKTggdbFvnKyaRZKM+gQhbk61rntBSDrrjYhLr+lIbtcKLl67jbb2YhKkXPJ9Dfda2i0mYo5Bgo9BKMQlToiJJBORV71W/7v3za78Kg56Zrl6YDYJsEAWRGvQYhSbRIIiinZ6OkmFhI99jk4OHgART6Kw3YSoEz/IoXs9db8LUSDkTQxQGsRqErpJgpsbtFZwU5prDYnnTWO6/5pCNB6aylgtOuGrBVEYtOLm85jD3XHPIVg0mtDYMsIG5MfRgHPAxwIy0ScHJ5TWHecM1h2wKRaSAP0dmZG+uhK0JHvEFg7kGXkUAwac0wacEg8+YjwYmqRYLTrhKBQpOLq85dD+tR3zFlOTK+tislmb+gFOyEaQLTi6vOfQHm2M+AZhdyQUn5ppDe6A54YmtTS10xmF4nAthz04AezHsKjgpAhonCtj5uYUkCGH/DV1PyxecSA6IwgcEX7faMPZEMQjbi4RFqPNkQhJF5GTCXXAiibKecz0o8KJWqUGUZTaWoShLZ0cTnooTUT5CaGxjZbZcnxXLa/EKzz2HouCE2AEvKuBJHcuyUZ9AhK3haAKY0FIO+hpXnMSuipPCf/+PZTAwwO6dmyAIITyhzm3bFSeSw6Xw4drY1wliEGJzK75OEEXE1zkrTiRJqEkF4cjTeBBHiQ1mKArTma/zlJyI8hECZ6u+bnnzXeG5ylAUnBA72L7OU3IiykZ9BBG2Jl/XPKGlHHTHJSfWQKSdWuTFy9bxtl1ywtULntChRmvLJSfcUUiwUWij5IQrUZEkAvJ4ZSWNFxpy+cDDPoL3cxWWcBWCZ3YUS+csLOFqpJx9AQp9FxpyJW6xrsRcaFgki6Pdwn+XIRsPzFft1pWw1YL5ilhXUlzeZVh47jJkqwazVhsu18DcGHowDvgYYNrZoK6kuLzLsGi4y5BNoYgU8OfIjOzNlbA1wSO+YDDVwEsFIPiUJviUYPAZ89HAHNVeXQlbaft1JcXlNYbup/WIr5iSW1kfm9X6yx9wSjaCcF1JcXmNoT/YHPMJwOxKrSspzDWG9kBzwhNbe1roJMPwOFe7nuU+e8XrrCuJaZwoYPenE4IghE02dNHcQV2J4IAofEDwxakNY08Ug7CHSFiDus8fBFFEzh88dSWCKNTdTwDEd42hJEpnxw++shJJPkJkbGNhtlqeLW+9KzzXGIqCE0IHvKaAJ3Usy0Z9ABG2puOH5gkt5aCvcVlJ4iwrSaiDgQF2b9wEQQjhCTVuWy8rERwuhQ/XxrZOEIMQm1uxdYIoIrbOXVYiSEJNKghHEASDNLAGyKEoTGe+zldWIslHCJyt+rrlRXmF5+ZDUXBC7GD7Ol9ZiSQb9RFE2Jp8XfOElnLQ+n9/8+TjavzaX/sMXMt1JsrGq62b8vFGV64B6qjOJAzsm4S32ILBIzvYel2pDrl/WUXy9D2FszeqRzvrdxc+7teO7OXZD6v78z/S03/L/fqv+Kh6rH/+2HzrZe3o9M8fVJ/o797XP3tY/yfq7Tj9Jz7r6S8fr23fmW/Pq1rMd76Y/XjQ0//6414U1HdYL2pcPpq9MXt5USfz2fwPJL3aNr5S/8c/sg3/Lnv4E2z4W6lwYUpUJImAvNVLVebvVImyQaDqd6qYEpblbybz3wySJ1640nxdD5cRPHokWFFnlQtTIXiCSHGY7ioXpkbKSRyiMNUhL7FJHLIlbrHKJTVVLubOniI3X4rlkbPy17twQcG8Sa93yTOXN/omXy2Y</t>
  </si>
  <si>
    <t>N6n1Luqy3sV5598dvmowebZhvw3MjaEH44CPASahTepd1I2nJ8JT78KlUEQK+HNkRvbmStia4BFfMJh04DUMEIZKE4ZKE4ZKE4ZKMAyN+ZBg3qJVvrhD0F2+UoHKF3VZ+eJ8bo/4iin5lvUBWi0R/aGnZCNIV76oG09PgKfyhUsA5lly5Yu6uRK1JvaEJ7b2uXESXBSFXoUHiV6Uq3TSnwSn0358GgVFcnoeZxeLD5Vz/e3ZkWCvwZ2VLymNEwXs/gBFEISwD7jRKv7phbo5B7Gg7oqiKhyVsBzFaHvl8dHJN49PjnrPfvOvnj3e+6YNf08Un7DxSVipug9NBFGEDk1iG8m+KAl1xxbgSKIoG9ivbxuKsnR2ZpIPUteRiSQeIVS2sWZbrdzS5Q6759pVUXBC5ICXG+icjmXRqM8fgtZ0YtI8n6Uc9LwS5iw8T6Ok6KdJHveTNE/6eTQt+udnwXlxHpwG0+D83haMnKsSJqMOBgbYvZETBCFEJ9TIfWDOLeaGZr1vtzY13172+S6OURbVL4+1/TEFMZ/XRyf39c/mv1H/4TCYvW5+BDvWEoVd0TFS+BgRHKA5Hvpi9k/m0Mngf14fLX1V1w+Zeu8HZoDmA/mwV71VD8yD2Uv9ukn3YX3i9KiX/kO6OEhS9WDXNUP2U4A90SEixHqCS3SeZwiSCJlE62JzX5SEmqQQjizXATexsQxFWToziWk6CK0m+LYsHyEOt+oSlxcFFp6bH0XBCZGD7RJDvbRRLp8oCUd9BBG4Jp/YPKOlHHTtE0/j00mYh0E/DtNpPwnDvF8E09P+2TQqztVZHgfZYta79YnWhbr2id4Lk2yDgQF27xMFQQjxCfWJ75valroK+ovZT4yL0T5Iu6Ha/5n2tnkF9PvVb6zxeFcUV+G4uOWzYeyJYhCCK8GWmZKYjwc9+4t3nhMFknFnNo59UQ5qYkAoQmt8G4pydObLQjXIXL5Mko8Q91r1Zcub/grP1Y2i4ITQwfdlrkkdy7JRnz6ErcmWNU9oKQdd27I8zaOz7Dzrn8ZZoC3c9KJfnCWn/biIg+KimEzi6aIcoVtbltgGQ9uygjoYGGD3tkwQhBCeUFt29Q0E1U+rX1YfVr+t3utX75h/6F+8pX/2Ye3QbNC7otAKh97YnAliECIswZy5T1YFUURsWTCIlA1lXxSFmhsAkCQYKHvPx1AUpTtzFgTudjRJQEL4a9WdFctk7rlhUBScEDv47sw5q2NZOOojiMA12bPmGS3loE0/2s68L6fLNjSr9X42Wcy5C/PKBeLdtaFZneIttuD16PHnNrSn2tBMK1SyE4TzP5o3N6SxJyLBJoLWkFa9awazfg+DGaTFQL85+yfN8PL8wPkVTfbkyC2G+wf1EWw9agMb6DfYoIoEikCKtbWxGddTk1hbG1sh2B6AO1V3Wxtb43oO3LitTU++dRiHbIlba2tLgnBHf4nMl9h8WbxJVZP42tr4oGAepre1FSpxtbXx1YJ5mNbWpuUs29oWw2xTfYevGkzGbdh4A3Nj6ME44GOAqYzf1ma0Pz0RzrY2PoUiUsCfIzOyN1fC1gSP+ILBpAOvhYAwVJowVJowVJowVIJhaMyHBPMWra3NHYLu8pW23tZ2GX7uep7bI75iSr5lfYAWK82m0FOyEWTb2i7DznICnG1tfAIwzxLb2sxnZyVqTewJT2ztc6HKacPjXM97NjbYa3pHW5sOVjROFLDr4xRREMJ+4ka7AlhbmyiqwlEJy1GMFmtrE8UnbKASVqquwxdRFJHDF1dbmygJdeMX4EgivfJVrpWvIEtnhy/OtjZZPEKobGPNtlq5Le4jXPzEBn4gC06IHPBy44opdx28yKJRnz8EzX/wgsxnKQd9jetiUkdbW7LYxiMMBgbYvZETBCFEJ9TItVIXIwqtcGjc0tkw9kQxCAG2FWsmiCJizZx1MaIo1NwAgCTm3MSKMhRF6cyaeepiZAEJ4a9VcxYtk7n7hkRZcELsYJszT12MLBz1EUTgmuxZ84yWctDX+K0DqaObLAli6mBggN3bM0EQQnxC7dk23jogOkYKH6ON3ZwgBiEiE9ycsyREkETEzLneDCBKQk0kCEceDJLItc8myNKZmXO/GUCWjxArW/Vy8TLzu69SkwUnRA6+l3O/GUAWjvoIInBNXq55Rks56Gv8ZoDU0YKWBAl1MDDA7r2cIAghPqFebsM3A4jiKhx3Y1smiEEIrgRb5n8zgCiQjDuzceyLclATA0IRWZcvQ1GOznyZ+80AsnyEuNeqL0uWWdx9FZosOCF08H2Z880AsmzUpw9ha7JlzRNaykEvWs9M9Oyy9SyzYWrDpbyY6Tpmd61nVsG32ILXg8efW8+ebD0zm3T6Gz+qHvTyugGtufOMOQ8JNg/XqPOMCapIoAikYOcZk3E9MQl2njEVghX8BIPq6TxjaqRUwgMKoyQdpNazkiFb4hY7z1LTb5aZL7n5UixbPrwXqvFBwTRM7zwLg8zTesaVC+ZhauuZumw9c9+oxlcNJuM2XLyBuTH0YBzwMcBctknrmbrx9ER4Ws+4FIpIAX+OzMjeXAlbEzziCwazDrwUAuJQaeJQaeJQaeJQCcahMR8STFy01jNPDLrLlyrQe6Yue8/cV6rxFVMyLusTtFpq+mNPyUaQ7j1TN56eAE/vGZcAzLTk3jN1cyVqTewJT2ztdKHyZsPjXNB7djbYi3pn71lK40QBuz9HEQQh7CdutC2A9p4JoioclbAgxWjR3jNBfMIGKmGt6i5wFkSROXVx9p4JklB3fgGONAmjQew6exFk6ezsxdN7JolHCJVtLNpWS7d0uVPvvlJNFpwQOeD1BqH3TBKN+vwhaE0nL83zWcpBX+Pi5szZe+a/N8QyGBhg90ZOEIQQnVAjt53iZsExUvgY4Q7QhrEnikGIxwQn5zx1ECQRMnKuAhpBEmoiATiiTAfGwnWIIcjSmZHzFTdL8hFiZatOLltmfve1Z7LghMjBdnLe4mZJOOojiMA1ebnmGS3loK9xcXPmbFTLqYOBAXbv5QRBCPEJ9XIbFzcL4iocd2NbJohBCK4EW9ZU3CwIJOPObBz7ohzUxIBQpK6mM0GOznyZr7hZko8Q91r1Zfkyi7uvPZMFJ4QOvi/zFDdLslGfPoStyZY1T2gpB32NX++UOXvOCupgYIDd2zJBEEJ4Qm1ZS693EoRWOPTG5kwQgxBhCebMffopiCJiyzyvdxJEoeYGACQNB6lynX4KonRnznyvd5IEJIS/Vt1ZsUzm7mvPZMEJsYPvznyvd5KEoz6CCFyTPWue0VIO2vSe/eMTvsTpv743Pfv+89950TIQLPvlONwM/W+Cz9Y5Xc1nbrUUU3XZf2aVe4std/1j5hlc0Dr9j+ph3Sk238B6UDczVX8wnT+zN+p+n3nTz0fVA+2xXjcdT/Uff7hqUbMB7mrAZ4Zsyisx0o25WYic94WE5kai0PSFRIH5Yq4lilJHiGQzJXQmvNjWgBwakEMDcmhADg3IoQvkkA+i6CB4za3mGBmOkeEYGY6R4Ri5OEZ8DvxZ4kfsecF/aO6aCU3Bv+YpDU/p4inZPFfKuBt4aB+uYwNxbCCODcSxgTh2QRzzIfDsQSzm1gwnhuHEMJwYhhPDcOJiOOExPLHANSidtWWbf37bxqFTY2TliIIkLIpQDwmYGlvty47Mz2x6b7H1rieNDduyf1t9Pm/sne8n+JPghu3V1Ue9yBQAfaH/YkdJN3dU1tNOK03SNonfYEtUJImAvGWbsulwNp3Kpqs50j/JzBh/ZVriZ68Mqk+10fli9oaNZY/Nsr7IkWtj5ioEu8HwPQ9PGzNX43pq3rCNOVOJPdgM2QpFupiv7ia5dijYssEcRO9JjlTobElmqwVTEKUl2abwDl8hmHRIyxT0Y3DAlw1mBfpKxKbzkK9TEXVu8ikY8WWCUZ+9reXe1GJLBtMArSnYHQTu8pXmBKXMqT/iq6OkqjanvmRLlun3tWk85msE8xRpEWiTeMKTaDSeJqdBFAaTfj65SPpJmqT903BS9C/OJulZGCdBNpnMKZwrwBcm7Z5Nz//pWgcmNFCU0LZW9IBR1os2kFuiIITTGXQhefVwetHx0TPfrh4ulpUv18uRnyzbPz7Wv3jVbMTW68SP633Y+iVa5t/4vF5TflS/cOqhc8UoOEwKHyZ82WbD2BPFIBxJEVZszuNsSRSh42zjwK6i7IuiUM/SAJAwjAehnWUoytLZeXbuWSxK8hECJmkR1HCcHS5fvBl63qQqCk6IHWzf75zUsSwb9QlE2BpOs4EJLeWga0OXxLFKwonqhxeTaT8Mp0U/D6ZZPwhUoNI8Dwu18DmdGrrIaehS6mhghN0bOkEQQnxCDd07T54LfKSN2Cfzt7B+Yo7S63exGjf3sPZqCzf3sPZ/5jd+Yr4uv/1Wfcbw0Oz716cGb+6YnpLHs3+a/bjuLKlfOPpz7QTf1P++eRvK5R+6v/CT81//PPxa9U71m/Avd3pHz97pFcHiKoirplBwqBU+1LgpXL6GdbAsRqhN8AM9cK/MXu1Vv3lyINDZeOpg5xMzvKuX2NZu2zRo/7B+pe4rC5O9PMJZvvtV/5GHvWdf/P7030961QeL19uuTnyuTGL9zl5j81/p9Xva1Js/9Yb+C5dzpWfQzJ5tyvZEp4yQxFoxwIIoQgbY+hzti5JQsy/AEUXpILKiDEVROrO/kXnRt43vtiwfIb20an+Xbz8JPW+zEQUnRA62/XVO6liWjfoAImxN9rd5Qks56LqYU//bi632jitXIhuttrfehu/YvXeMiaXY1ifrVnJn3QpTL3iEiLrTd6v7cxOzMDmPtZX50lLa+YG2HD9dlJ88fsoSrYpa4NoUJnmCkbdSm8KUqEgSAXlrdUWrsQZerc9lAE8nCQbPWZPCVAgeRuK+zVeTwtRIOehDFAZJMUgdHTZcjSJVKVcyl+3d+qF5o364fJN1mHneZH2bjwfmIXr1ShLl7uoVrlowEVGqV75uBm/1Qv3Q+bqUO3zVYDpqw80amBtDD8YBHwPMLfQKl9WLrbX2pyfCRXHIp1BECvhzZEb25krYmuARXzCYa+AlARB8ShN8SjD4jPloYJKiVcy4A89dvtKWK2a+Pr4MOnc9T+sRXzElubI+Nqt1lj/glGwEmaqaq8FmOQEugmM+AZhdSTU3XzcjenMlak3sCU+sUXsRn0ZnhQr6eZQX/WRyHvaLbKK/xOrsPCuy6emk+8OayPUS/dD7loyrmChf90c1giCEvTR0MfzUUc2H9bHBy71F9c3Rs3fM3vtilft+9Tu9NPuv1dvmpz9dbMgvXrba0//+F/Udby/3Fs2Sn5k19qIJpPq8Vz2avaGX1T+Z/ZNt2HZFh03hw4YvU20Ye6IYhA1FwkrVfRQhiCJ0FGGPofuiKNStUAAkzPJBkqQ2lqEoS2eHEXGaDlLrZN2WBSRE0DbWb6tV3PJFUaHnzV+i4ITgAS898Fkdy8JRn0EEruk4onlGSzno+TVJF3mQXpwH/YsouOgnZ2nRz8+Lon82nSZBGl9MgmQRZzs1eK7DioI6Fhhf9wZPEIQQnlCDd7W42l5UXZdbVO9Wb1UfaB/4dvUb/eO9RR32nXFfaY/3lm1AdkUHROEDsrF1E8QgRN9WrJsgipR1UzaUfVEUatoAQEKVDRJlDYFDUZbOrFueD3JXHYkkHyE0turclu+QCj1vBRMFJ8QOtnNzTupYlo36BCJsTcateUJLOWjj3HyGrN26EWs927NJ5H1vS5Gv0227boSrFzyoQ53UFupGuOQJRt5G3QhXoiJJBOQ11Y3M32+yeNGJ9cnYY8OAh3oEb+cqIOEqBM/mcMvmKSDhaqSccSEKg0wNCpvEIVvi9upHIvMOvihaHOFGgbd+hI0H5qN260fYasGERKwfiYJV/ch8mG2q7/BVg2mpDRdrYG4MPRgHfAwwx2xQP6K1Pz0R7voRNoUiUsCfIzOyN1fC1gSP+ILBVAMvBYDgU5rgU4LBZ8xHA3NUe/UjbKXt14+sgs5dz9N6xFdMya2sj81yfdUQcEo2gnD9yCrYLCfAXT/CJgCzK7V+RH92VqLWxJ7wxF7b4wXHOzH1mjakYaJ8nR8vSIIQ9tDQRbH88YLkgCh8QPCFqA1jTxSDsEVIWII6jxckUTo+XpBEoW5uAiBhGg7i3MoyFGW5DscLonyE0NjGwmy1PAsXu9Hzn9jAD2TBCbEDXlPAkzqWZaM+gQhbw/ECMKGlHPT1LfyNXXUhUUQdC4yve+MmCEKITqhxuy6Fv5LDpvBh29jeCWIQQnQr9k4QRcreZTaUfVEUanIBQMI8GhT2FxMNRVk6s3e+wl9RQEIEbdXfRUs7EHn8nSQ4IXiw/Z2v8FcUjvoMInBNBq95Rks56G7rRxIbnbZssZeuWKfbev0IUy94UIc6rm3UjzDJE4y8lfoRpkRFkgjIA+pHosjUj8SDILSWFeyxYcBDPYK7c9aPMBWCZ3O4afPVjzA1Us64EIWJ/d1aQ7bALVaPJKZ6RC0PcGN/9QgXD8xGLVePcNWC6YhaPRJfVo/EnuoRrmowKbVhYg3MjaEH44CPAWaYTapH4htPT4SneoRLoYgU8OfIjOzNlbA1wSO+YDDRwCsBIPiUJviUYPAZ89HADNVi9QhXqUD1SHxZPeJ8Wo/4iimZlfWxWa2u/AGnZCNIV4/EN56eAE/1CJcAzK7k6pH45krUmtgTntja0UIHFobHuZb1LOa561ln9UhCw0T5uj+EEARZdx6++QGXxB1UjwgOiMIHBF+G2jD2RDEIO4SEBaj7eEEQRep4QdlQ9kVRqFubAEgUhgMryVCUpLPDBV/tiCQfITC2sSxbLc6WF8JEnht+RMEJkQNeUcCTOpZloz5/CFvT0ULzhJZy0Ne3diRx1o4o6lhgfN3bNkEQQnRCbdu1qR0RHDaFD9vG5k4QgxCiWzF3gihS5s5VOyKIQk0uAEgUFwMryVCUpDNz560ckQQkxM9W3Z1amgHlcXeS4ITQwXZ33soRSTjqE4jANdm75hkt5aDNDTY7c1vT4c01ykapjVvqo4yjdcrOKkisRvMWWy94WIf6rs0rSEwxQ+20vqj/oo/wShLmCCTYCLRSScKUqEgSAXlPVYzseOtFmJLBYzyCo3PWizAVgqdxuFHz1YswNVJOtQCFRZEPgtQmcciWuMWKkcxUjOTLQ9vUXzHCxQOzD6NiJE3cFSNctWD6oVaMpJcVI8677e7wVYNJqA3zamBuDD0YB3wMMJNsUjGS3nh6IjwVI1wKRaSAP0dmZG+uhK0JHvEFg6kGXgEAwac0wacEg8+YjwbmKGLFiDPw3OUrFagYSS8rRpxP6xFfMSW3sj42q1WVP+CUbATpipH0xtMT4KkY4RKA2ZVcMZLeXIlaE3vCEzt/HPPzYJol/dOLOFrdxHq6dhOr4XGuXT2LeO761VkxktEwUb7ujx4EQQhbZ+gS+Kmjh/v12vahWbcu77d/WFeTmOKRn5ivywvtf1HfYX9Z0//w6kq4+pk5jag+XhxAzA8j6n/5N/ofr1z+J34e7vTmKmav6+9+0gt2wrSvv+S9emNc5yy9nNrpVT8119ibf8c28ruiI6/wkcfXtTaMPVGMdfPhwSCsdd2nF4IoQqcXsY1kX5SEunUKcERFMVjelnF17SzI0tnxReAwhbdl8QgRuI3132oVmC23uj03l4qCEyIHvHQhHV5IwlGfQATOO6NjZEZLOejrW1KsnLUp/rt/LGOB8XVvEAVBCOEJNYgdlBQLDojCB2Rj3yaIQYi+rfg2QRQh3+YsKRZEoaYNACRMikEWWE+3hqIsnRk3X1GxJB8hNLbq3Jb32kWemwpFwQmxg+3cfEXFkmzUJxBhazJuzRNaykGbqpN/fCLTO53Z96Zn33/+Oy9aBoJlzKzLYm3KCi9nvM7pqjtxq6X4rcvSE6vcW2y56x8zz+CCrur3Zk9s9pLZFat3xz6qHs9fjPGJKTDRP76sPVa9k7bTu/ze7I3Z6716o60u7DW/bUPVpqp4ZsjmvRIs3cCbxcr50Xgc7Ogv5o0KsTkkT8zNHIn5ZWJ+qcwvlfmlMr9MzR9OY/MlNV8K/SUzv8zt51kH/FFI6KOAn1sY9EODfmjQDw36oUE/NOiHBv3QoB8a9EODfmjQDw36oUE/NOiHBv3QhX7IR1d0dPzAQ5OPDPnIkI8M+ciQjwz5yJCPDPnIkI8M+ciQjwz5yJCPDPnIkI9c5CM+Of6s8zPK/FBWj0BpRqA0I1CaESjNCJRmBEozAqUZgdKMQGlGoDQjUJoRKM0IlGYEStcIlOwRuHJO1zACtI/8scE+NtjHBvvYYB8b7GODfWywjw32scE+NtjHBvvYYB8b7GODfezCPuZj4xmUeL6nqU8M9YmhPjHUJ4b6xFCfGOoTQ31iqE8M9YmhPjHUJ4b6xFCfGOoTF/UJj/qJTGzgOytjdV46EHvvVoiVc+4wsUwvYXTb9N5i6wUriFAz8TPtCky96keLfZn79T8fzA3FfJvmdf2tx4vjus/WDERvfmw3+/GgZ+xHT/WqR9Wj3uxl/Rfov/eB/qY5qXupelj/6/VujzEuxpZ8vLY7VH/b9p99aBvBXfYIrqdmwTJYrkRFkgjIq96rft3759d+VdTz1wvTQZANoiBSet7+px70+3X/14PFLp3XM/aqP+g//unlGexHq9eyhYMgti7l9tgjAZY8EXauXNW1XIVg5RK+IeWpruVqpFQAAQr1xyZRNoVDtsLtFdfGZo2gl9X6S7wocov9N/qxGcHESK+wDYMgdJbYsuWCqZFYYhtfXukXe670Y6sGE+Rmi8/lFl1sbthyYxzwMcAsxVg9Lqve4ssr/eKGK/3YFIpIAX+OzMjeXAm7soRjCwbzDbzbCYSg0oSg0oSgEgxBYz4fmK1odbae8HOXL7X9Qtv48mI/9zN7xFdMSbOsD89yI7kh7JRsBOFC2/jyYj9/yDnmE4BJlrgQN5+dlagrS2iW2Nroh+oiO0/iflxMw34Sp2l/UpwX/eh0Gp8nYXCmfzXnca6uX5i0W0dh1q6uNbb3rpyrmCifbR3uwaKsxW0gt0RBCIeF6CK9XqHpNdjlCm32A/3TR6Z+Vn/7S3ddqySowkEJC9Wrq9HZa3WV8f3qk2UF8R+Wxby96rfVB3pt+9vqZ9Xb1YemzPet6tf6W29X71bv9Ma7cdA7+JZtaPZEh4ZwbkpYuTprLiRRRGoulI1jX5SDetwLUIRRNoisKENRlM7qLaLYWSkrykcIoW0s41aLueV9cbHnAkBRcELcgFcgVyY1G9hvrRzLslEfQIStod4CmNBSDro2eEkeXBRnSdpPchX3k0z/C5OzOOjHSXCeRdOLoPaOnRs8R6FsHFHHAuPr3uAJghCiE2rwfm9anerWKfOitbos9k3TMGUKY79dNzF9VZ+JvFY9rs9SXprvvs936KvPzJ+I1A39/3EQBOYExjYqu6KjovBRwd2gDWNPFIMQgXHnNvvR7BUbynOiKCLOzdnlJElCTR0Ah+OCqqEoR2fGLdMx3mXcJPkIobFV47a8By723OwnCk4IG2zj5pzUsSwb9elD2JqMW/OElnLQ17XDyRg3RzFtHFPHAuPr3rgJghCiE2rc5DucJAdE4QOysWcTxCAEX9yzeXbbBFGEPJurw0kShZo2AJB4kLsa0yVJOrNtnv4mUT5CYGzVtsXLLO+51U4UnBA52LbN098kykZ9/hC2JtvWPKGlHHSX9zHHzh20xEOngmCdbutlyEy96yHjX3EZMnMEE2wEWylDZkpUJImAvDbLkGevmRdM6Rn90fJYGCtEZo4FWBhGMJjOQmSmQrC0C/eNvkJkpkZKhRSg0FeIzFS4xUJkZWqQ02UBYOKvQebigVmx7RpkrlwwL1JrkJPLGmTn/U53+KrB7NiGmTYwN4YejAM+BpiiNqlBTm48PRGeGmQuhSJSwJ8jM7I3V8LWBI/4gsFUA69IgOhTmuhTgtFnzEcDc1Sb5cdcqQLlx8ll+bHzcT3iK6YkV9bnZrXO80ecko0gXX6c3Hh6Ajzlx1wCML+Sy4+TmytRa2JPeGKv7SGHY62q19aKhonydX/IIQhC2MtDF+cdHHIIDojCBwRfyNow9kQxCFuVhDWo+5BDEKXrQw5BFOomKwDiO+QQJLkWhxySfITA2Ma6bLU6W940F3vuDhQFJ0QOeEkBT+pYlo36/CFsTYcczRNaykFf366xyHkkklLHAuPr3rYJghCiE2rbNugaEwRVOChux2xdY1dYLScGvkayX2on+0QjWdT7lm2w9kQHixC6WzF9gigipk/ZOPZFOagZB6Dw9pEJonRm+Xx9ZJJ8hKDaquVLlw7Bc/eeKDghbrAtX6yTvnWjZizLRn0AEbYmy9c8oaUcdLd1LbGNTpu4zEsXrtNtva6FqRc8uUM92J9yXQtzBBNsBFupa2FKVCSJgLxlXUsYLApbsg0KW9zv16svsbYNxR57KMCzRoK7dJa1MBWCR4a4afSVtTA1Uk7eAIXaL6Wu9jSmwi2WteSmrMW8ajsJlqfLmb+2hcsIZsa2a1u4csHcSK1tyS5rW5z3Q93hqwYzZBuG2sDcGHowDvgYYJrapLYlu/H0RHhqW7gUikgBf47MyN5cCVsTPOILBvMNvCoBQlBpQlBpQlAJhqAxnw/MVm0WuHClChS4ZJcFLs5n9oivmJJmWR+e1YLPH3ZKNoJ0gUt24+kJ8BS4cAnAJEsucMlurkStiT3hia3tLXSqYnicy2vP/gJ3ie0scPFd/WPBRPm6PykRBCFs6qGr9A4KXAQHROEDgq9obRh7ohiEPUvCatR91iGIsm4CPCj4stVT4CKIQt1tBUDigUqsewRDUZLOTjt8BS6SfITA2MbibLVEW15qF3tuKRQFJ0QOeF0BT+pYlo36/CFsTacdzRNaykHPbdtkkp/Gp0U/S+OknwQXRX+izvSXIArPprG6yJYr305tm6vApSCPBcTXvW0TBCFEJ9S2ed+at3BlX4+rR735+/Fmr0fz8xMb/K4ovMLhN7ZoghiEQItbNM/L8QRRhCya9fR0X5SEmiEAjmwQ5FaSoShJZw7N93o8ST5CDGzVoRXLhF54HJokOCFwsB2a7/V4kmzU5w9ha3JozRNaykHXDu00zCdpWpz1ldL/QjKJT/vF6fSsnyfx9GJaxMFFfHave4fmqF5JAupYYHydOzRJEEJ0Qh3a1RJkbdkeVl/NKx1MecPCpz1RiTv/9e/rQt3X9I8fPP2+43lNxFfmzuv3q7erd/r1Xtxb1XvVL/TX31Uf7vTiwLXtsys6gAofQNzl2cpHnioQsXHuiXISojluA907dZIoIjYwHFj7t/ZFSahpCOBIokFSOFrRJFE684FhNAhSG99tWT5CpG3TBybBwjYkngsLRcEJkYPtA82kWo8Rx7Js1AcQYWvwgcCElnLQ3dYlJzY67ex8t3eoIFqn23ZdMlfvesj411uXzB3BBBvBNuqSuRIVSSIgr9W6ZN8L9zyVydzBACvFCA7TVZnMVQjWelGMo7MymauRUjIFKPRUJnMVbq8yOTGXfifLG3eT0FuUzMYD02LLRclsuWBiJBYlJ+GqKDlx3sV1h68aTI9tuGkDc2PowTjgY4A5aoOiZK396YlwFyWzKRSRAv4cmZG9uRK2JnjEFwymGnhJAkSf0kSfEow+Yz4amKNarEdmS22/HnkVde56HtcjvmJKcmV9blYLPX/EKdkIwvXIq2iznAB3PTKbAMyv1Hpk/dlZiVoTe8ITW5taqAjG8DiX1Z59Be7S2lWPvCjTgzFRvu6PTQRBCJt56Opcvh5ZckAUPiD4StaGsSeKQdirJKxB3accgigipxzuemRJFOouKwDiqUeWJOnslMNTjyzKRwiMbazLVquz5d2BiecySFFwQuSAlxTwpI5l2ajPH8LWdMrRPKGlHPT1rXZJXPXISUwdC4yve9smCEKITqhtu4bVLoIDqPAB3NjmCWIQgnUrNk8QRcTmuYtZBEmoWQbg8BazCKJ0ZvN8xSySfIRA2qrNW941mHgujxQFJ0QOts3zFbNIslEfQIStyeY1T2gpB91tMYuy0Wnjlnjp4nW6rRezMPWuh4x/xcUszBFMsBFspZiFKVGRJALy2i5Ysb9sZI8NDJ4iElyks2CFqRA8DKSYQ3fBClMj5UwNUBhng9Tl+pgKt1iwYm6ITJZ3tCX+GyLZeGDqa7tghSsXTH7UgpXLGyITzw2RbNVgCmzDMRuYG0MPxgEfA8xDmxSsXN4QmTTcEMmmUEQK+HNkRvbmStia4BFfMJhq4GUHEH1KE31KMPqM+WhgjmqzYIUrVaBg5fKGSPfjesRXTEmurM/NajHnjzglG0G6YOXyhkh/tDnmE4D5lVywYm6ItEeaE57Y2tRCpySGx7l09uwdcJfPzoIVRcNE+bo/+RAEIWzYoSvwDgpWBAdE4QOCr1ZtGHuiGIT9SMIa1H2SIYgicpLhKVgRRKHupAIgapAqV8GKIElnJxm+ghVJPkJgbGNdtlqdLS8UTDw3RIqCEyIHvKSAJ3Usy0Z9/hC2ppOM5gkt5aCv7w2RylmwklLHAuPr3rYJghCiE2rb+DdESoIqHBS3Y9u8IVJysAihuxXTJ4giYvqUjWNflIOacQCKUGfPxEYyFCXpzPF5LogU5SPE1FYd3/I+wcRzQaQoOCFssB2f54JIUTbq84ewNTm+5gkt5aC7rV1JbXTaw2VeumSdbuu1K0y94MEdasH+lGtXmCOYYCPYSu0KU6IiSQTkkWtXvJdAOitXmLjgcSLBQDorV5gKwVNB3Bf6KleYGimHa4BCX+UKU+EWK1fMJZCJuQRSLW9gS/yXQLIZwezXdvkKVy6Y/6jlK5eXQCaeSyDZqsEs2IZpNjA3hh6MAz4GmIo2KV+5vAQyabgEkk2hiBTw58iM7M2VsDXBI75gMN/AKw8gBJUmBJUmBJVgCBrz+cBs1WYNC1eqQA3L5SWQ7mf2iK+YkmZZH57Vos4fdko2gnQNy+UlkP6Qc8wnAJMsuYbFXAJpDzcnPLG1vYUOTgyPcwnt2UPgLqOdNSz+m5WuYKJ83R+GCIIQNu7QlXgHNSyCA6LwAcFXrTaMPVEMwr4kYTXqPs4QRFk3AR4UfNnqqWERRKHuqAIgvhoWQZLOTjR8NSySfITA2MbibLVEW94ZmHgugRQFJ0QOeF0BT+pYlo36/CFsTScazRNaykFf30sgU2cNS0EeC4ive9smCEKITqhta/cSSEl4hcNvbNEEMQiBFrdo7ksgJVGELFpsI9kXJaFmCIAjDAdxkNhQhqIonVk0zy2QonyEINiqRVteGph4boEUBSdEDrZF89wCKcpGfQARtiaL1jyhpRz09S0zTl23QKqAOhYYX+cWTRKEEJ1Qi8YvM5YEVTgobsdsZcavaT6ze/gJUlP8VvXrJ2uKg97Bt2xDsyc6NIRAjVs89y6cJIqIxVM2jn1RDmp+ASg8RcWSJJ35O09RsSgfIYK26e/U8jJA5bndURScEDbY/i7KBrn18RvLslGfP4Stwd8BE1rKQXdbVGw98tWOzX/Phlqn23ZRMVcvWE6FGq4/4aJi7ggm2Ai2UVTMlahIEgF5y9sdi8XljukGlzvWc/SF/pQ8MvN09X154SCIrcl0jz0eYBUYwWG6qo65CsE6Ltw4eqqOuRop5VCAQv3hWXQmXzWFTIXbqzpW5oJHtbxiTfkveGTjgZmx5YJjtlwwNxILjtXlBY/Kc8EjWzWYIdsw1AbmxtCDccDHANPUBgXH6vKCR9VwwSObQhEp4M+RGdmbK2Frgkd8wWCqgVclQPQpTfQpwegz5qOBOarFWmO21PZrjdXlBY/ux/WIr5iSXFmfm9Vazx9xSjaCcK2xurzg0R9tjvkEYH6l1horc8GjPdKc8MTWphYqcDE8zpW1Z2uBu7p21RovSvBgTJSv+xMRQRDCfh66QJevNZYcEIUPCL6YtWHsiWIQtisJa1D3KYcgisgph7vWWBKFutEKgMSDPHR00kqSdHbQ4ak1FuUjBMY21mWr1dnyPkDlueBRFJwQOeAlBTypY1k26vOHsDUddDRPaCkHfX0LWTJXrbGKqWOB8XVv2wRBCNEJtW0bFLIIgiocdGM7JohBCKqt2DFBFBE7pmwc+6Ic1FwAUISRjmpWlKEoSmdmzFd1IslHCHetmrHlrX3Kcw2jKDghbrDNmOdVdqJs1AcQYWsyY80TWspBd1t1Yl0UanuVeOnSdbqtV50w9YJnaqg7+lOuOmGOYIKNYCtVJ0yJiiQRkLesOgmDRdlJJlh2Eg2CyLoI2mMPCHgWSPCYzrITpkLwSA+3jr6yE6ZGyskYoFC7ptQa3YZshVssOzHXNKrlRWnKf00jGw9MjW2XnXDlgsmRWnZyeU2j8lzTyFYNpsg2HLWBuTH0YBzwMcA8tUnZyeU1jarhmkY2hSJSwJ8jM7I3V8LWBI/4gsFUAy9LgOhTmuhTgtFnzEcDc1SbZSdcqQJlJ5fXNLof1yO+YkpyZX1uVos9f8Qp2QjSZSeX1zT6o80xnwDMr+SyE3NNoz3SnPDE1qYWOuswPM6ltWdvgbu8dpadKBomytf9+YUgCGFDD12hd1B2IjggCh8QfDVrw9gTxSDsVxLWoO5zDkEUkXMOT9mJIAp1pxUAiQcqse4MDEVJOjvp8JWdSPIRAmMb67LV6mx5q5/yXNMoCk6IHPCSAp7UsSwb9flD2JpOOpontJSDrm3bmZqeF0Fe9E+nSvWT02mu/+xp3A8uojydROenpxN1r3vb5io7SaljgfF1b9sEQQjRCbVtV8tOqo+1aftqvodutswX3uyJN4vMf/37+jLD1/SPH+gfL83/uNmLn++zf1U97lXva3P3Tr92em9V71W/0F9/V32404sDl6nYFR1AhQ/gxjZPEIMQrFuxeYIoIjYvGSgbyb4oCTXLABxhkA4iZ8usIEtnPi+MBkFq47sty0eIpK36vOVdfspzOaMoOCF0sH2emdTMxjaWZaM+gQhbk89rntBSDrrbipbCRqedW+aly9bptl7RwtQLHtehxutPuaKFOYIJNoKtVLQwJSqSRECeRNWK64pGLjR4lEiwks6qFaZC8EQQd4i+qhWmRsrBGqDQc0UjV+EWq1bMFY2qWJ4b+29nZOOB6a/tqhWuXDABUqtWLm9nVJ7bGdmqwTTYhms2MDeGHowDPgaYizapWrm8nVE13M7IplBECvhzZEb25krYmuARXzCYauClBxB9ShN9SjD6jPloYI5qs2qFK1WgauXyYkb343rEV0xJrqzPzWpB5484JRtBumrl8mJGf7Q55hOA+ZVctWIuZrRHmhOe2NrUQkclhse5fPbsH3CX0M6qFf9tR1cwUb7ujz8EQQibdugqvIOqFcEBUfiA4CtWG8aeKAZhT5KwBnUfZwiirJsADwq+WPVUrQiiUHdTARDPxYySJJ2dZviqViT5CIGxjXXZanW2vMdPeS5mFAUnRA54SQFP6liWjfr8IWxNpxnNE1rKQV/fl6UUzqqVgjoWGF/3tk0QhBCdUNu2wctSBEEVDrqxHRPEIATVVuyYIIqIHVM2jn1RDmouACh8N/QIknTmxXzvSpHkI0S7Vr3Y8sI+5bmBURScEDbYXsz3rhRJNurzh7A1ebHmCS3loPX//uaJ3G0s1l/7PFe7lSb2WzafTdLAg5vE7p1LTC3FRj1ZahK7Sk24esEzNtQt/bb63JSazF6elx9YKz2ulJe0W0iyqBn+qBfpv9ncqO3yZ9whS7Aha6O2hCtRkSQC8nx39KzNub/kBLqKh4sNHvkRrKSruoSrEDy5wx2ip7qEq5FyAAYo9FzFw1W4veqSNNzRX6LF+W4aeKtL2HhgyqNXl+j/tLO4hK0WTHnE4pI0WBWXpM6LA+/wVYOJrw3jbGBuDD0YB3wMMBltUFyitT89Ee7iEjaFIlLAnyMzsjdXwtYEj/iCwUwDrz6A4FOa4FOCwWfMRwNTFK24xB147vKVtl9bsgo6dz1P6xFfMSW1sj42yyVdQ8Ap2QjCtSWrYLOcAHdtCZsAzK7U2hL92VmJWhN7whNr1E6TNCvOL876Z+l00k+C6bRfXGSn/WmuJrk6Dc6SZJHJnAtmzw4Ce9HsKi5JfRcOWThRwM5PKSRBCPt26Lr7nSdXYJ/opbMp5Dc9tNUflwuxetmlF8s/NicX1UOzfv5g9krdTftZvd7+fPbyt01qeaL9tvq4+qL+1iNzBmIbqV3RkVL4SOFrWRvGnigGYb+SsDZ1HnNIoogccwSD2EayL0pC3WgFOLJBGisbyVCUpLODjiwcZFa+27J8hIDZxnpttWoLF/viqecOVVFwQuCAlxpXrHmaDlJrSexYFo76ACJwDScdwIyWctDXt1hYGzpH2UkaUQcDA+ze0AmCEOITaujkq4UlB0ThA7KxbxPEIITfVnybIIqQb7MuA/dFSahpA+CIBsp5RCFI0plv8xQLi/IR4mKrvm15EV/quVlRFJwQONi+zVMsLMpGff4Qtibb1jyhpRx0t68+CV07a7EHTwX5Ot7WC1KYetdjxr+mghTmkCXYkLVSkMKUqEgSAXne63tIFSkPq0971c+1hf4ZeGMPdwzAM0OCk3RWpzAVgkd/uEH0VacwNVKO0ACFKhykqU3hkK1wi9UpialOUcsD4thfncLFA/Nfy9UpXLVg/qNWp8SX1SnOCwbv8FWDWbAN12xgbgw9GAd8DDAzbVKdEt94eiI81SlcCkWkgD9HZmRvroStCR7xBYOZBl56AMGnNMGnBIPPmI8GpqgWq1O4SgWqU+LL6hTn03rEV0xJrayPzWo95w84JRtBujolvvH0BHiqU7gEYHYlV6fEN1ei1sSe8MRe38OM0FmdktA4UcDuDzMEQdath2+CwEV4B4cZggOi8AHB1682jD1RDMKeJGEJ6j7MEETp+DBDkIS6mQpwqEHoXNEKklyLwwxJPkJcbGNZtlqcJcu9b8+NqqLghMABryjgSR3LslGfP4St6TCjeUJLOehrXFQcOmtQFHUwMMDubZsgCCE8obZtm0XFgiOl8JHa2M8JYhDCcit+ThBFyM9ZV7v7oiTUfAJwhGqQFI7Xs0uidGbofFXFknyEiNmqoVve15d6LmAUBSdEDrah81YVS8JRn0AErsnRNc9oKQfdcXmKy6OlXrxiHW/r5SlMvetB419TeQpzyBJsyFopT2FKVCSJgLyWSlBc1+9wOcGDQYJfdJagMBWC53u4DfSVoDA1Us7JAIWe63e4CrdYgpKZEpR8eQqc+ktQuHhgjmu5BIWrFsxx1BKU9LIExXkj4B2+ajDTtWGNDcyNoQfjgI8BZp9NSlDSG09PhKcEhUuhiBTw58iM7M2VsDXBo/9/d2+3JMlx3Xm+ShmvON0VZfHhHh8yw0Wjp4lpDvoDld2oyhiMjUVkRkqwJQEZCO3sjpnMSErUSMtdkSNpZ2jUUBpRazZzM2sQQSxBEgBfYC+qX2GfZN0js6q7s/zj7yfzhGcOJUR3VWd1/38nTrif4+eEO10wONPA+QUw+Mz04DMDB5+ndDRwitpjCwpVKUMLSvmyBcX6tJ7TFYdMrSS3ucnZ3APOjIzA3YJS3nn9BjhaUKgE4Owa3IJS3r0RtSX2OU3sGNJCdQ/NY82QHUsE5CzZ2oJShXGigNPXMhhBAlbm0ER7ghYURoNI3CB4jmrCeMCKsR0UODACUlB7yYIRhalkYWtBYSQJXTAFOIqzyprRMpJMVrFwtaBw8gWMi/tIy26Ss+p6fdtxPCoreMDAAWcU8E19yssW+vwhbM4b+hS5oTM+6ANuQcmtLSjuk4gMxsAApw/bGEEChic0bIvZgsJoKYlbaud4jhEjYFjeSzzHiMIUzxUmkrdYSULnE4Ajy86KVJhQHrKiTBbQuVpQOPkCRsy9BnTXh++VjtMUWcEDRg5yQOdsQeGEC30CEThfROe/ozM+6OsjfDbgOlCb8ggf4yCrYrbGgSsK+/onpjYkFnu1JcVyMPebZL3bg8iOLSn/SYVEfz4ujK1bUnR/iQqdvhojql+sexe+UlHXb9fxloqm1g0kf331V2MHw3U7SbZpJ9EB2Zf6b/rN2KvymzGe+8xkgvtkEwjMBHtpMSFKlEESAXnOHVD+Uff2bGJg3eXzi6uvVPz84ocq4P3q6lfqFvzF2DSk24U+1X80NgyNUfUvb24ruBsK0R5ggTAgbrS2ohAVgnU+PBx0taIQNYbUywCFRXUmbHEeUWG8VpQqPVUXfWBPdXNmRuPuR6EyghNceD9KljeZvSGFKhec4UIbUpqXDSnWgwTfpqsG57l9BMoa5s5DB8YjOgY4V+3SkNLcef1GOBpSqBQykAL2I23ZuzfCtgQ/oQsG5xs42wCGoJkegmZ6CJqBQ9BTOh84W4V1pTiGn3foUhnaUpqXbSnWZ/acrjhkmiU5z00e5x52ZmQE7raU5s7rN8DRlkIlACfZ4LaU5u6NqC2xz2lix3BfZoteimXSidUqEYNYJH29qBM5DM3QdXldX/NYs2THsgE5U7a1pVTu84kMSwMY4OT1DU6QgNU6NNn+R51+Xf32ZMynP1m/kDG+KvAL3Ygyli2y9E4m7+Sn8uoLE/J9VmSJI+OZqwnjAStGwHIjnnC++HNz6egbrCgshQpL2wknx/aU6uBAs1fzEsVDVozJShR1agnEvsnLFzDo7SPzus6/qnSzoF05Tk1lBQ8YM+CkAb6pT3nZQh8+hM1ToQBu6IwPeozJFvkqW2aLNMkWizwR/VIk9ZDKZFhlQ9mIsqjz/r0IMZml56TKQo2BAU4fkzGCBAxPaEz293rd/MWfqkDsty/+93XnyJdXn4yFkE9088mLH734S71+fvVr/WcyvaP+Pz0Vqf6qsAZpjDaQuA12DtIYMQIGXDxIGysYn56dmO/LN1iBJg3VGDlCZwuAIk+NHA9ZOSaL1Qp5Vhnfc/kmL1/AYLjXWO36VL3KcU4iK3jA0EGO1aw39SkvW+jTh7D5YjX/DZ3xQY+xWtY1y3xRZkmdFyquywuZ9FlTJ0NTpdmyX1ZSDO9FiNUsvSZVHmoMDHD6WI0RJGB4gmO1q9+OjQyfnFz9VEdpL/7kxZ+eXP1fKlD7tX6va9O38svNC1y5TNMXP8jy9fVMWqKC+6xWkLgVdo7WGDEChtyAaM3Ww8FJwhOm2V7l4iQJnSoADqFAamFCeciKMlms5lhW48QLGAv3Gqpdn6RXOY5GZAUPGDfIoVomyty+sMZJF/oEInS+YM1/S2d80Netv9fPqw7Cpuz9NQ5NKh4rXLwi2+adqPc3s7zh+yZZMNgUhcZTxr5R825lP736201jr3776vv6BfoxGPv36qvvjTXML7Z6fg2twSZj3CcbQ2DG2EcbMFWiDJIIyLtuA242XcClrwuYshVddpYWxuH0AdkQYD/WPmJHokKwoyokJrT2/1I1hjQmAQqV19gOwqYqjNj/q09DrKS+lPqid6aran1pNr14lfuERDIyOOcR2oFFbgts/iVdLjjpBbYDVy+PSKwcRySSVYMz3z6iZw1z56ED4xEdA5yzdmgHrl4ekVh5jkgkU8hACtiPtGXv3gjbEvyELhicfuAUBBiRZnpEmukRaaZHpJkekWZ6RJqBI9JTOi44lwV2B9tHo3foUvffHVy9PDfR/gif0xWHTMIkX7pJ9dyj0IyMwNwdXL08N9E9Aj2jE4Bzbmh3cKXPTTSPPs9pYsdEpahXadHXSZoLmahxoUy6VdEnjVg2oqjKtC/6NY81j3asLJBzaWt3sAjjRAGnr24wgmzHI64bBGbj/+3Fn4zb1v1O58tf6cu4W92YOn8xdqYUp/JOZrxr91lhJQ6Lp7ImjAesGAGLkXgi6ugLZkRhqWKYXwZ9ixUkdAkVwMiyrDmzbEjHiTJhEaORJrxv8uIFDHn7SMNukrHrE/Qqx5GIrOAB4wacQaD39CkvWujjh6D5Khj++znjgx4DsqpvSpkWQyLruklEX9dJX61K9WW66LquLPNueC9CQGZc0lQBmQw1BgY4fUDGCBIwOsEB2dXvrj65+s2498lmf5Rfjg3Cv1Lf/uW4vdxvrj4/efHneqn96henJ+on/u7qr67+4eonV3979dN1M/HPC2M6cZ/VGBI3xs4BGyNGwMCLB2z2Hec4UVgCtvSskCaUt1hRQucMAKQ+a1JbxMZIMlnEJqW974STL2BQ3GvIdn1EXuU49JAVPGDkIIds1pv6lJct9PlD2Hwxm/+GzvigD/gVe2FtES5DjYEBTh+zMYIEDE9ozLaXV+wZkSWOvHNkxogRML7ikZljKY0RhSUyy8/Mr6e/xYoSOjMAILI8E01jQnnIijJZaOZ6056TL2Ds22toVl7P5I7j91jBA4YOcmjmetOeky30AUTYfKGZ/4bO+KDXh3Kl+VAs0qUK3po8ybKhSep06JI0laks6zpr5CZkmTY0EyZjqNDMddSF0RgY4PShGSNIwPCEhmavvWl/YnvL/uTq769+dpLXL36QVy9+kJ6WV1/o1uJ/WPcc6x/86sWfqQ9+uY7q1De/HF8FsxxjzWkjidto51iOESNgQMZjOe+b+IxALBFdVpxJE8pbrCihEwoAUghFYj7/4CEry2QhXZHbC6ScfAFj5l5DuuvznSrHgV2s4AEjCDmks97Up7xsoU8gwuYL6fw3dMYHvV5tG/o8q2SV1EtRJGK5UoHgsGrUj3ZV3Q8qCMyW70UI6YweoEI611kX5vgWApw+pGMECRie0JDub1785fqcLR2XfTqWQX919cvrfZQ+XR8moX9f3hHGfOw+K7HEiXcO0BgxAoZXPEBzLLYxorCEZkVhOc/pLVaW0JkBIKllfdYUtkooI8tksVl61thW2zjxAsa+vYZm1wc1VY6jt1jBA8YOcmhmu6dPedFCnz8EzReZ+e/njA96fZTqqlvmRbdKVn2/TESR50mX9VWSLoqmXuRiKIrNPZ82MitNxlCRWRNqDAxw+siMESRgdEIjs79Wkdfv1q95v/jh1WcnN++Gfz6ekqoCNv1KuPqDsVCqvvnih//m+o398cTVT/Vb4uPhX7/WXW5Xv17/aZbrdxDyNL2jt1cymeo+q6kkbqqdQzpGjIBhGQ/p7O/EM5KwRHTZWSpNKG+xooROKABIXp5VubFF5CErymTxXFbIM2kE/CYvYMCYudeIrrmOABynRbGCBwwd5IjOflef8sKFPoIInC+m89/RGR+0DupcsdqeN1Ayjqr3RO3aiV1m6TZe9A2UqIK3R43/ITZQohpDYMbYxwZKVIkySCIgL/wcVcoOSo4TVKmW2B72+XZQoioEd50IigJtOyhRNW7PL7vuoHQmpUngQ7LAeBso1frs1DrXl0Jf9H5Ktd5PqS4325XUqWO7km/SkcE5b88bKJHlgpNe4AZKdXqzgVJtPTPlbbpqcObbR6ysYe48dGA8omOAc9YOGygp7a/fCBvFYzqFDKSA/Uhb9u6NsC3BT+iCwdkHTjiAEWmmR6SZHpFmekSa6RFppkekGTgiPaXjglPZHjdQIkvd/wZKNyPRO45H+JyuOGQOJvnSdWbnGYVmZATmDZRuRqDrG2AjeEYnAOfc0A2UlO/ciNoS+5wm9nBrHtK2gVKdhXGigJPXPDhBAtbv0Gw8Zs2D01QSNxWeCJswHrBiBCxc7iOLZSSZuObBiRK64AqA5GdlZWlh4SQ5iJIHK2DAkLmPNO4mmbs+H6p2HPjFCh4wcsAZCH5Xn/LChT6BCJyn5AHc0Rkf9AE3GEvbFkx1HmoMDHD6kI4RJGB8QkO6PTQYcxJLnHjnyIwRI2B8xSMze4MxJwpLaOZoMOZkCZ0ZAJK6PEtLSz8KJ8pkwZm9v5gVL2Do22todn0aVO044IsVPGDoIIdm9v5iVrTQxw9B8wVm/vs544M+4Jf5pW2fpboINQYGOH1gxggSMDqhgVmUl/k5bSRxG+0cyjFiBIzHeCjne5mfE4gloLO/zM+JEjqhACCFOBO5EeUhK8pk8ZzjXX5WvoAhc68BXXEdADhOn2IFDxhAyAGd411+VrbQBxBh80V0/hs644M+4J0zpW17ps350wHGwACnj+gYQQKGJzSi28fOmZzIEkfeOUBjxAgYX/EAzbHWxojCEprZd87kRAmdGQAQeVaWxgaRh6wkk0Vmjo0zWfkChr69RmbXx5bUjmNoWMEDRg5yZObYOJOVLfT5Q9h8kZn/hs74oA/4HBpp22WplqHGwACnj8wYQQKGJzQy4z2HhtMYEjfGzjEbI0bAyIvHbPZzaDhRWGI2+zk0nCihcwYEUjfGx+QhK8lkMZvjHBpWvoBBca8x2/WxJbXjHBpW8ICRgxyzOc6hYWULff4QNl/M5r+hMz7oAz7MWdr2X6rLUGNggNPHbIwgAcMTHLPtdJgzJ6zEYXeOyRgxAkZWPCZzrKMxorDEZLbDnDlBQmcEACPLcnNP7kNWkskiMvtZzqx4ASPeXgOy68NKasfpM6zgAcMGOSCzn+XMihb69CFovnjMfz9nfNDqf/96HZRt3NkacX1nWHz8/ocfGCxBCLiMCaKKtNwbsufbmLY9lOxaQ4Ko622UjGLfJIvd9jGHYcFA6e/HHXW+Wq9hmcSqaKj6vYdkxbeGOrvk3Ua6zS4q9ekjKcwbEjyiQ4hwCPy9c638sVb+2Kb8MV25DFeOv2+uhD/Rwp/YhD+hC8ddnT6abva5qE9nNoAZGeDWJgUegDB/eaZVP7OpfkZXjQ/dgXsTKNHPtejnNtHPaaJHZ3lvyvnHuu+Ae+PpwmpzWC1pBrLu4UeUiz+Y6Bz0X8fU/MuXGwfoRuZ/0hPTix+Oe7qtN3YbM/gXP9AfXLfHjN++mb3UB0ygav6q9fxFpJ16/mpOH4lGqkkszfSlUpes0Bf1BypcU5dC/0Eh9KWyzXNU2Cnmueb0sSZ8rAkfa8LHmvCxJnysCR9rwsea8LGN8DGdUIYTBo1xTzTgEw34RAM+0YBPNOATDfhEAz7RgE804BMb4BM6IP547jxvNqczDTrToDMNOtOgMw0606AzDTrToDMb6IwMyj6/NqfPNN0zTfdM0z3TdM803TNN90zTPdN0z2x0z+h0+BRGmoeb0+ca7rmGe67hnmu45xruuYZ7ruGea7jnNrjnNLhXFg81479yzdv72323GK//xsRxTzTmjZHyVORFWaS19SZhcomz9llpm7mperensh1331Wp49Uvx017vj/OzmNnhGWi/oern179h81mP69O2p9svvcfr/9U6g16vzBx3ydzb89qjBvtUiXKIImAvBffG+383RffPxn7VH6rQim97+5ZWqQn6o7k6jeVieEBmWF7bY9vi1yqQnBfQXyV37FFLlXj9vy94xa5dVOZ+8kekhWy7JF7exHX1ilBlg3OLuH73FZZbd3mlqwWnFxCtrk1KXybrhCcToLSItQNHtFlg7NBeIJj0vmYrlMG6tzFC57QZYKj/g7VHFt3DVkyOA2EbS9rHwTeoSvd8+6yJnXndHUhU9U+b/2MLJln51iTxmd0jeA8FZT3mSQ+p0kcw9VMriq9mUXRDFkiirJMumbZJHk/FEuRpQv11ZrCmtt9u9tnF9Y6v7NneHkYKEpoygIdYCGZoAnkTVaQgKYENEUcW+dVsveydf7Fn6nffqH++1J927HXBCeoxEHxhMuE8YAVI6CXIiDnsrbFc6KwtGBJE8dbrByhPSAAhRC1PYNjRJmsBSsv7KkeJ1/AcBeUwnh6sJrrPaYax55hrOAB4wY5arfe1Ke8bKEPIMLmacICbuiMD3oMx+qyzhfVskr6okoTUQ6rpFmIXv1okTarpuuKYZNJTBqO5dZwTIRaAyOcPhxjBAkYn9Bw7K/HnvgvX12v/w9X/+fVz6/+7upnydVP9S/qix+r3/187JE3Qd9nhZY4NB6ajVujfa4PhtNb1m5b4NOr36pv/ZP6w9+NpxV8Oe678eW6jqG/MoeoD1jtEDBG7yW2Y0Rhie1Sy1mab7GihM4uAEhWiLPStoUYJ8tk8V2WOtbyOQEDBtC9BnjXGxs0jp0qWMEDBg9ygGe/q0954UKfQQTOF+H57+iMD3q6I4oLZ8xmfo1gw5fl23zRmySIesGqFhpyTd8kQeQWGPdemiSIEmWQREDeLk0SRAawXBYQ1FmbJIgKweoYHqu5miSIGkMqT4BCV5MEUWHsJgmqbHB22XOTBFUtOLnsoUmCqhCcToICUNQNHtFlg7PB3pokqDploM5dvOAJXSY46pOjcUcsTpUMTgN7bJKgKp2mSYKqLmSq2uetn5ElT9okQdUIzlP7aJKgSBxDvVWdlqtlmqzydJWIRdkk9bJpksUwiLQsVl0qNg+ZNbdzJLfk/M7eJGFu57eCooTTr8ozggQsKqEp4u1Vef3l1eebFPF767M6xrNzf31y9bdXP1aJ4s+vfnL1n9V/P9ucoPv200RmJ1c/NhnkPqtBJG4QPDEzYTxgxQhYMwvIzewL7owoUy+4M6KELvYBIO4Fd0aWyRbc6/rMfAT8N3n5AobGoHTHt95eX6/O1o71dk7wgLGDHOFbb+pTXrbQJxBh8y23+2/ojA96DN2GrC8KsaiShVxk6rMiTzohs2TVibyRi6pblZunedLQzbY4L1NnI6/JGhjh1KEbK0jA+ISGbob+1j8dz1P7/MWfr7tbT549OD+/d//Jyb+49/ifz+8/uffs5N7bb588fX7+9MnswYnJCvdZrSBxK+wYr7FiBIy5e4jXWFFY4rXccsIaK0noZIFw5KKwnP77kJVlsnCttK7i8/IFDId7DNcU03p23/zGBP6IFzxg6CCHa5l6/moT21NettAnEGFzh2vIDZ3xQU/bHVFYAzBnf28G7/00UXcEWS9YzkLjp6m7I8jcAuPeQ3cEWaIMkgjIo3dHkBnAOllARGfpjiArBMtieKBm744gawwpOQEK7d0RZIVxuyPossHZZa/dEXS14OSyc3cEXSE4nQTFn6gbPKLLBmeDPXVH0HXKQJ27eMETukxw1CcH49buCLpkcBrYW3cEXekU3RF0dSFT1T5v/YwsecLuCLpGcJ7avTuCJnEM9aDleE1hze0cyS05v7N1R8hUhIGihNMvsTOCBKwpoSkie3cEq0EkbhA8MTNhPGDFCFgyC8jN7KvtjCgsq+3W7ghWlNDFPgDE1R3ByjLZcru9O4KXL2BoDEp3fMvt4np11v42Ii94wNhBjvDt3RG8bKFPIMLmW27339AZH/QYuq2WsmmGRZWsun6ZiH5YJH2eFUndNOlyKEu5XMn3pg/d7N0R7g5egzUwwulDN0aQgPEJDd1ud0eMa/u/1XsxbI580B0SL76nD2oco7nt5omr/64iup+8fpL2P40nbuuNw3Ro9/RpUV2cmMx1n9VcEjfXzoEdI0bA4LyXwI4RhSWwy6xtFIwkobMKwlGI8swa1zGyTBbX2bcR4+ULGDf3GteV12GA/ShHXvCAoYMc17naKDjZQp9AhM0X1/lv6IwPeto2CmGN1KxdvUUjy6ba5oveRkHUC9a90EBr+jYKIrfAuPfSRkGUKIMkAvLGG/GF7pzQHRPm4ewBWS5YOwsI3qwdE0SFYKksJCazd0wQNYaUoQCFlTwTJoEPyQJjN0xQZYPzyJ4bJqhqwWlkDw0TVIXgxBEUaaJu8IguGxz399YwQdUpA3Xu4gVP6DLBQZ8cdjsaJqiSwVlgjw0TVKXTNExQ1YXMVPu89TOy5EkbJqgawXlqHw0TFIlaI7ZdoKawZnGONJacyVkbJjJry78ZFCWcfNWdEyRg9QhNBveyyTMrtMSh8TTLhPGAFSNgASwg/bKunXOisKyd25siOFFCl+4AkEyNdcYFoIesJJMtnTt2aOYFDBj9gjIaz9p5dv3GWuZ4BZEVPGDoIAfxjh2aeeFCn0AEzrN4DtzRGR/0GJ4t5LBs0rpJ+kFKvdBeJ/WyL5J0lddlly/7vpPvTR+eWZsiMmvjrs0aGOH04RkjSMAAhYZnhqaIT68+v/rdi++N8donL360aVp92eiw+fofx9aIP1X//Zn677vrj6vvbVolfnf11cnV31/95OqnydgC+2MV5/2Nuv6Xq5+fnhSpLbC4z2pAiRtw51CPESNgvN5LqMeIwhLqCVubBCdJ6DwDcBRFc1aYSB6ykkwX6dnq6d/k5QsYR/ca6OXXYYH9rDVe8ICBgx7o2ZskWNlCnz+EzRfn+W/ojA962iYJaY3chI1PZHWZldt8sZskqHrBWhcaeE3eJEHlFhj3PpokqBJlkERA3npfidSynQRVJlgnCwjZbM0RVIVgWQyPxBzNEVSNISUnRKGozSPFQ7LCyN0RZNngBLLf7giyWnD+2L07gqwQnDGCQkzUDR7RZYMD/r66I8g6ZaDOXbzgCV0mOOqT423HsipVMjgN7K87gqx0ku4IsrqQqWqft35GljxldwRZIzhP7aE7giRRa8SW6jWFNX1z5K/kFM7eHWHt5DeDooTTL78zggQsG6FZ4J66IxihJQ6N51cmjAesGAErXwH5l33JnBGFZcnc0R3BiBK6ZgeA5PlZbkZ5yIoy3aK5qz2CEzBg+AtKaXyr5tdvomWOVwtZwQPGDnIU72yP4IQLfQQRON+yuf+Ozvigx/hMZnJVLUWh/nDIElGUZdI1yybJ+6FYiixdqK/emz4+s7dHWNt0bdbACKePzxhBAgYoND4znKjxZ+q3X6j/dNA29jqYQO+zgkocFI/J1i8GXn324i/OTjzr34xoAWPtXuI0RhSWOE2aON5i5QidIQCKSqS2PZw5SSaL0Ry7P7DyBYyAew3R6usJ3X7mGS94wLBBDtGsN/UpL1vo84ew+SI0/w2d8UFP29hQ2mKu3NqgO/LZ397C5IbEUlBjA1UvWKZCQ6bJGxuo3ALj3kdjA1WiDJIIyHMHdlSZYIkrIGCzNTZQFYIVLTwOczQ2UDWGVIsQhfbGBqrCyI0NZNngBLLfxgayWnD+2L2xgawQnDGCQkzUDR7RZYMD/r4aG8g6ZaDOXbzgCV0mOOqT4237gihZMjgN7K+xgax0ksYGsrqQqWqft35GljxlYwNZIzhP7aGxgSRxDPWgjZk1hTV9c+Sv5BTO2tiQ52GgKOHkC+ecIAHLRmgWyH9OBqdBJG4QPPcyYTxgxQhYFQvIzayL6ZwoLIvp9qYHTpTQ9TwAxNX0wIky2YK645gMVr6AkTEo2/EsqOfXL5bljjcFWcEDhg5ygO84JoOVLfQBRNg8C+rADZ3xQY+RG3aC9eSRm7XlIReh1sAIp4/cGEECxic0cjO0PGyfg/Hswfn5vftPTv7Fvcf/fH7/yb1nJ/fefvvk6fPzp09mD05MVrjPagWJW2HncI0RI2DM3Uu4xojCEq7ltm0dOElCJwuAo6hS6+EXnCiTRWulYw2fky9gNNxrtHZ9BlbuONSMFTxg5CBHa459HVjZQh9AhM0Xrflv6IwPetr2h8oaf7kbcOttvujtD0S9YDELDZ+mb38gcguMey/tD0SJMkgiIM/T/kCUCRbCAmI2a/sDUSFY98JDMVf7A1FjSE0JUehofyAqjN3+QJUNTiB7bn+gqgXnjz20P1AVgjNGUIiJusEjumxwwN9b+wNVpwzUuYsXPKHLBEd9crztaH+gSgangT22P1CVTtP+QFUXMlXt89bPyJInbX+gagTnqX20P1AkjqEetOCuKazpmyN/Jadw9vYHd4/+LVCUcPpFdEaQgGUjNAucoP2B0SASNwiee5kwHrBiBKyKBeRm9vV0RhSW9XRH+wMjSuh6HgDibH9gRJlsQd3V/sDJFzAyBmU7vgX169fPcsf7hKzgAUMHOcB3tT9wsoU+gAibb0Hdf0NnfNBj5IadPD155GZtfyjSUGtghJNHbpwgAeMTGrkZDsT43bgs//m4OcJ3Ny0QL76nArrfjcHcdnfE1X9XAd1PVED3E/XrT8dtu14enjFGdk+fFtWFpU+C01wSN9eucR0nRsDgvI+4jhOFJa7LbH0SnCShswrAkau4zhbWcaJMFtY5tolg5QsYNvcZ1hXXx2IVjoPOWMEDRg5yWOfok2BlC30AETZPWAfc0Bkf9LR9EsZbqsK0zEhXpEUlc+l41wsTGxJ+QV0SVL1gzQuNsibvkqByC4x7H10SVIkySCIg7+pnV/9p3AIsPdHmPsmqs1RlKmkuz07W8bGy/ivx8T+pb/zq+ri4Ex0Fb++S9tXVF/qv+t742/UxcZ/rW/uL9U3/4uwkP0t1a7yaEPVAdts8D8jmAet0AZGirTuDqhAsy4UEgNbuDKrGkJIXoLDWLaLGIfUhWSJLe8atGfDhNx6cnz8538yBs+ePvq5ilvxUXYp/pkchrV9PhqepcT78Jh0PnN8IbRyNreD4L+lqwQkupI3jDW28u2vD/8uNmU2q36arBqe5fUTFGubOQwfGIzoGOGuFt3pstGvZd16/ETaKx3QKGUgB+5G27N0bYVuCn9AFg1MNnFoAg89MDz4zcPB5SkcD56jA1hHrwPMOXemeW0feePpy0HnH8bSe0xWHzK0kt7nJ19wDzoyMwNNecnuwub4BNoJndAJwdg1qPnlDW/Tujagtsc9pYrVabKtrzWPNjh3LA9QM2Zxzqhw5D8NE+aYvZTCCBKzJoUn2fg4X4YSWODSevpowHrBiBCwrBqSZ9oIEIwpLQcLeaMKJErogCoBkeXOWZsb0/yEry2QlCdfpIqyAAePfPrKvmxzsemOGwrHTBit4wOABJw74XX3KCxf6DCJwvqKE/47O+KAP93SR+sw4bqnwrAi1BcY3fXjGCBIwPKHhGf1sEU5QiYPuHJIxYgSMqnsJyRhRWEIyaeJ4i5UjdC4AKEShJjZhQnnIijJZOObqEOHkCxju9hqNFddzd+GIxjjBA8YNcjSWV2e18fl7yssW+gAibL5gzH9DZ3zQ6n//+nQ9F/wrV7C1304RY/1ahVnCQSmE/bhjTGxI+PR6p0hp0vsmWS9YQkOjpH12iqjvnbz48xfff/En+pv61xffVb/7bP3HuaN7hGgLgdliL90jRIkySCIgL7B75Hb7dFBTCJEarNQFhIbWphCiQrDghkd8rqYQosaQwhWg0NkUQpQYsSlE6qaQ8rouK9xNIVQ8cCoLbwqRorQ3hVDVgnNZaFOIeNkUYt2w6226anBG20cgrGHuPHRgPKJjgJPRLk0h4s7rN8LRFEKlkIEUsB9py969EbYl+AldMDjVwNkEMPjM9OAzAwefp3Q0cI4KawqxDzzv0JUyNIWIl00h1qf1nK44ZG4luc1NiuYecGZkBO6mEHHn9RvgaAqhEoCza3BTiLh7I2pL7HOa2DHxyqXoRT8k3UIWiejyJumWeZE0lUqLK9kvctGveayJsGNFgJoMW5tCZBgmyjd91YERJGAZDs2nDe+3fqoysN+9+N51B/9m+5GX76xuvv7HMU1T6dqLP1P/ffemk3+TtunkWmXrP7n6aTJuZvJjlQj+jbr+l6ufqxQu1WvnJ19/8+Ej4zN6n9WMEjdjQJ5ryGVv1W8M6e1Ls179nTLUz9T1r5TVfr5uzvnb6/eGT57eL/KTC5OxHrAaK2AFNCA9tldOGFFYKieWV8HeYiUJXbpFOKTeIVMYZ6GHrDCTVU+y/Cw1rm5+k5cvYNjeR9J4kzrK68V26UgfOcEDxg4439m+qUV+Zu6nfcrLFvoIImy+6on/hs74oMegsu8XQ7cqmkQKsUhEVa+SrkxlIrK+XmZ9tyzk5mmeNKi0tbKUobbA+KYPKhlBAkYnNKjcx3Z3Kr782XVTsv7M/62++IeTt5869sDjtJLErYTHjCaMB6wYASPyXqI5RhSWaM7RmsyIEjqXACDu1mRGlsmiOccmeKx8AePlXqO58nryLx3RHCd4wNhBjuYcm+CxsoU+gQibL5rz39AZH/S0u6VkxnuqArTKgScde0NjakMCL6wJhqgXLBmi8dVhNMEQbSEwW+ylCYYoUQZJBOS91sFyom7L2MNi3j7FsL3gmQnvARkPLEEGBIDWbheiQrCSiMd1rm4XosaQihyg0NntQpQYsdul1t0uzXXBuXJ3u1DxwElrz90uVLXgpBXa7VK97HapHN0uVNXg1LWPUFfD3HnowHhExwBnnV26Xao7r98IR7cLlUIGUsB+pC1790bYluAndMHgVAPnC8DgM9ODzwwcfJ7S0cA5ao/dLlSlDN0u1ctuF+vTek5XHDK3ktzmJglzDzgzMgJ3t0t15/Ub4Oh2oRKAs2twt0t190bUltjnNLEHW5jIUmu7i3lzeysnCjh9ZYIRJGClDc2cY1UmGK0kcSvhCasJ4wErRsDqYkBiaq9MMKJMXZlgRAldFwVA3JUJRpaDqExw8gWMl/tI126StuvTXArH8Tys4AFjB5xpwDf1KS9b6BOIsPkqE/4bOuODPtzmZRXO2RpNmlBjYIDTh3OMIAHDExrOHWz3MqMZJW5GPN6L2r3MaKyAmWEvUSUjCktUae9eZiQJndIQDnf3MiPMZFGlq3uZky9g2N5rVNlcByGNI6rkBA8YO8hRpat7mZMt9BFE2HxRpf+Gzvig9d4vf/xKOGUNG78zLD5+/8MPDIYgRY2WgFGkDk4h7PtSw2pDYsGXvS9GuW+S5W67mcO4YMT3X1X08b318t2LH159dqJCt09UFPLVi++/+OEmbLM0wrza/KI+YAK9r0B/7yGZ9tZQacfdbaRc19hFdqoulbrIQl9KyyBJxhHhOHglQzM81gyPNcNjzfDYxvCYziDDGfBahkJ4ohGeaIQnGuGJDeEJHQF/iOhD9bpwqlBmGmWmUWY2lBkZ5VZRzIMS5k3PtP5nWv8zrf+ZTf8zun58sgisiin5z7X851r+cy3/uU3+c5r80ZXeu5nyJtsATf9qOdNY5EaOPBVFI8u6sN4GTC5xBtS6TXrfJOsFW2jQKfDvrn6jZ70X37P3fX6mq1dbE97Ji++p76mf/Ozql+PayHfVVKo/Oha81CfUj3x19elWgeyrzd9k/CfWSym/OMnV363+ma9sG9RSDbc9ATG2ilIlyiCJgLyrv7/6eZKf5SdfVzbVt/C7L75/cvWrsTD5w3EjtbN0PF9T/VLpVtKrT/Wfjc2in7340fgHsjaOHA/IlGAbT8ASiq1jlKoQ7MYJWRmxdoxSNYZ0tQAKVYZj3lzyIVkhS8Po7UqmbQ9bsmxwAgtvBM2r2toISlYLzl8hjaAmhW/TFYIzVlAWg7rBI7pscL4Iz1ZMOh/TdcpAnbt4wRO6THDUJy9+2Q+hIEsGp4Gwpkz7IPAOXememzJN6s7p6kKmqn3e+hlZMk/DpUnjM7pGcJ4KSh5NEp/TJGqNdZMvm1W9TFarbpWIxVAndbXMk7zIy65cNKIuNsOsNX38drffyvv6V1sSKcJAUUJToukAC0k2TSBvsoIE1HDQLPSnr+agX6p08NMxV/nLF/9+XQ7+Qn35ly/+Qn+h8sUfnTz96MOPh8XHJ/98WHz40aYqf37v7ZMmTQuTQe6zGkTiBglI3XR2/fm6Zv56bj1m1tpKm7XrX4/vWv7o5N4HHw+/351c/cOL7489CDc/dHL1s6u/PtU/tp3rv/feB2M+/ur7n78d/8VNDv9P6l/R3775hnE9/FTX9/V3v3+SbMr4Y8+ruiXqX9A3Rf3rP736z8ZR+gHrvQmouwUknNaaPScKS80+PTM+MG+xkoQWDAGOvMnOauN7AA9ZUSar2Od5eVYaAb/JCxgw3AelcJ6SvRCbCq9w7FfNCh4wdJCzlqyQZ4WxEeMpL1zoI4jAeWr2wB2d8UGP8Wi5qtNytUyTVZ7qz5ZNUi+bJlkMg0jLYtWlYjPKThqP5tZ4tAy1BkY4fTzKCBIwQKHx6D7e7Hn7aeJ4iYfTIBI3CB6PmjAesGIEjL97Cd0YUZhCN9tLPJwooRMHAJIJedYURpaHrCyTBW+Ol3hY+QKGxr3Gbte7UQnH9mKs4AFjBzl2c7zEw8oW+gQibL7QzX9DZ3zQU24vljuCMfNLSopP5KWQcJvlZB0mRL1gvQ6N</t>
  </si>
  <si>
    <t>pY6ww4RoOIEZbi8dJkSJMkgiIG+9GZky9l9s2klS4xrFA7JisG4YEAFau0WICsEyIR7YubpFiBpDSnCIQv2CjEnhQ7LC2N0iVNngZLTnbhGqWnAu2kO3CFUhOPsEhauoGzyiywbH/r11i1B1ykCdu3jBE7pMcNQnx+6ObhGqZHAa2GO3CFXpNN0iVHUhU9U+b/2MLHnSbhGqRnCe2ke3CEXiwa7OO145kOZXJ6ygKOHkq/OcIAFLUGhGyb86z2kQiRsET8NMGA9YMQJW2AJyM+vqPCfKxKvznCiha4MASK7GQDPKQ1aUQ1icZ+ULGBmDsh3P4rxMN2u569+YwB/xggcMHeQA37E4z8oW+gAibJ7FeeCGzvigD7fP17GUL60NzTZrYITTR26MIAHjExq58ff5chpE4gbBI7frPt//4bp6Oe9EwAyyl+CTEYUp+DQ+Hm+xkoROfQCHEGfCSPKQlWSy0NPV1MsKGDC27zX2zK9DldwRe3KCB4wc5NjT1dTLChf6BCJwvuDTf0dnfNDjRlynN6GKDr0m3IvEODKp4LIw0m52VJHZNu1EfSLW/bioesFKHRob/u24ZejLaOYrFRR+adiW69Uz6G7HPq+1kKANH1QLCMwC+2j4oEqUQRIBea+dPnd6c/ac3mgkMz8RD8jiwSpgQIhn6/2gKgSLfnjk5uj9oGoMKagBCpumtuwd+pAskaX549bMZTpbTgq9253cHO8kC8fxTt+k44HzUHiTiCiFtUmErBaciEKaRN7Qxrs5W25tZpPqt+mqweloH+Gshrnz0IHxiI4BzinhjSQ3xz0p7a/fCBvFYzqFDKSA/Uhb9u6NsC3BT+iCwakGzgmAwWemB58ZOPg8paOBc1RYY4p94HmHrnTPjSlvPH056LzjeFrP6YpD5laS29zkWe4BZ0ZG4GleuT3YXN8AG8EzOgE4uwa1tryhLXr3RtSW2Oc0sVrtYiiqqlgWSSe6IREirZOu6oekzmUl+kWW1/WGx5rFOtJ6aiZrO1pOijBMlG/6QgkjyHbk4bo/YDK8j0LJ4/uzk9lJKqs0mWfpucku91ntInG7BOSfW++TfDGe2aLLF2Ml4xdj3ePLq68S9cvn466X656gz1+td7z8G8Yvf3n1W23UX7z44XjWy7gKof7832+KMb94tXaiVxh+OR5U8purzx3Vma9v36N/ZlquONlzoUb91foPdZnmxZ+vVY4FsyrVL93rao3xQX/A6gcBa64Bqby9WsOIMnG1hpEkdK0Y4Mib5kxktYnlISvLZPUa+/sjrHgBE8w+0tubJPd6ww7p2IKFFTxg5IAzs+17WpS2GtxTXrjQJxCB81Vr/Hd0xgd9uE3e1qNVpAy1BcY3ffzLCBIwPKHx7wQt3owGkbhB8MDXhPGAFSNg9N1L3MaIwhS3WVu8GVFCpw0AJBPNWZU2JpaHrCyTBW6uHm9OvoChca+Rm7ye56UjcuMEDxg7yJGbq8ebky30CUTYfIGb/4bO+KCn3YBFmOhUKFY66GSebtNFb6sh6gXrmGgkFbOthmgBgVlgL201RIkySCIg77W2mpOv51lx2pxcfaHrJWOLzcnXsyo/rYrxe2cn26ug+sZ8cfXFJkjWi5d/pn79tV471jfwxZ+om/yjFz84efF/jEdT/0Z9cP2Rz0++vl6H/G+1TPWNzZI8zYtERdQ/UcHzT65+dfWFXjn87fqoROUpzWmWnp683J5aL0mP/+pnxmHpAdnGYEk2IPS0dv8QFYKVVTyidHX/EDWGVCgBhUVdnpXG5cqHZIkRu3/GAy/r6wJ86e7+oeKB0+Weu3+oasH5MrT7p3zZ/WPdQ+5tumpw1txHkK1h7jx0YDyiY4BT3y7dP+Wd12+Eo/uHSiEDKWA/0pa9eyNsS/ATumBwqoEzFWDwmenBZwYOPk/paOActcfuH6pShu6f8mX3j/VpPacrDplbSW5zk/65B5wZGYG7+6e88/oNcHT/UAnA2TW4+6e8eyNqS+xzmtiDrX4Ia/dPFYaJ8k1f/WAECVjiQ3P2CaofjAaRuEHw/NiE8YAVYzsmcGAEpKD26gcjytTVD0aU0LVXAERWZ01jRHnIinIQxQ9OvoCRcR952U12Vl2vlVeODI0TPGDogFMK+KY+5WULfQARNucNfYrc0Bkf9Bi3pcWwKIcqS5b5YpmIuhFJI+ulfjO5zLJUVnK1McykcZuta8W8A6PDFhjf9HEbI0jA6ITGba91bW+ail8tnnzyslH412Oj8G/0Jvd6C5VX9rapFJzJGvdZrSFxa+BB2+sGMe9v8+b5vXefnDw9f/KNh+OONjftyiYbPGC1QcCwvZeIjxGFKeIzLvy/xUoSOt8AHFkmz5ra1u7CyDJZxOfoU+bECxhS9xrw1dfxQe0I+DjBA0YOcsDn7FPmhAt9AhE4X8Tnv6MzPuhxV5kx7BPvuWO67wyLj9//8AODJQghnXHGU8Fc48AUMt/GtPW92LWGxGnXrS9GsW+SxW77mMOwYCz2n/VrUyrS+OTq/3k1CNu0v7z4wbpn4suxqUGvtv1m3TFhwlKRV/N7D8lst4ZFO9xuo+K6pl2mp+qit7Uopb5UtgGRiiPCcfDKgWZ4rBkea4bHmuGxjeExnUGGM+C1A4XwRCM80QhPNMITG8ITOgL+yNBH5XWhUqHMNMpMo8xsKDMyyq0ilAclzJueaf3PtP5nWv8zm/5ndP34tBBYhVLyn2v5z7X851r+c5v85zT5oyut5esgZqLd04T9UIUyM1Lk61MEm9p6EzCxpLlOXY2FwDfJasF2FepkNx6ZpzLt8bXhTzevGb+yDLHu4Pz86lcn62bA9XvE6xee9XvNenr85Xj23uavWc+YvxvbAL9vMsV9sim2pxPGbk+qRBkkEZD3//3pf8zPUml8VfYBWSbYxRKwdmFrmKQqBJtR8CUJR8MkVeP2vLpjw2RTnkmTwIdkgSztkvgKAlk2OJ2Et0FmommsfZBkueCEEtIHaVL4Nl0hOIkEJRWoHzyiywYH/PDkwaTzMV2nDNS5ixc8ocsER33yupP9qDyyZHAaCOtJdIwC79Cl7rkp0aTunK4uZK7a572fkSXzNByaND6jawRnqqBkziTxOU2i1rgqmk42eZ0UWbZKsmwYkqZJRbLMyjLrFmnfN5vpwZrOfbvbZ0FajFdbUleEYaJ8psTPgRWS/JlA3mQFCaieoHnh368TtrEc/Wo6d7XeL+u340ZXX65f7VpvLPY3V3919fcn33kjl/p9spPZh3/0wfLND7uPliezP/rD4aNvvP/BYLLMfVbLSNwyeA529WNT5nv12VYCPb4qqb71ybgNmzLnJm/+Ytyn67PxJcrrI+k/Hc9e2Zw3/5vRvK+aWd2FcRs3/RfcJOzXjZzqH/m5+us223qtf2pdEM/yNH3xA33V/+oXp/qfMB3Mstnf6/RENxW8+grnuHPYr9S/tbUMfrM2oDsS1gvhGnOz59kntn/n5gQe5/EvnP4QUG7bR7LLSMJSpzd2c7/FyhFaIwQoHIkzI8gBlOhZ8QImmaC80VOiL4tNQbd07JnNCh4wZnCkSpxooQ8fguYp0AP3c8YHfX3syyb004HtZIULS8tlKYys18WXcpt1krJFbn6x502y2u3RY8eyxc9UuPFLFVh8snnLRQcp4962QcWM9VYEN9u36uBLRytfjVupfnZSnObq7zw9Gf+N377cQne9OexXYwD2qzFS22xjoDc7+GwMwX5xov/etYQvNrutfmbrEaDaVGA23Uv9gyhRBkkkyntAlgeugO0jFCQqBBe8AkI8R92DqDFkLQlQWFreKnxIFhi77kGVDc5GhLpHntnLHlS14IQUUvZ4QxvvZvuH0rr16Nt01eDEFBTSoq7xiC4bHPvDSyE3b2CX4s7rhrdv90CmkIEUsN9oy969EXa7ZEIVDE4YHHkAVTI4gwSWTKwDyDt0pXuumLzx9OXg8Y5j8DinKw6Z+fbpDjOyZJ4qyu1B49rg9m0byATgrBhUY3lDW/Tujajb1RaK2E2uuRmq9S+T5ZqFCUPlmtKJEadFTthawqlqwSkdzTVDW+Re3RBRlwh0CeDk6scq1fxis1Suj+X4VOWVfz2u6Ks08sWP9M+brHCfbAWBWWEv2SFRogySCMh7ZS/EoticLWp5GB6QVYMxwD6SRqJCcMrfT9JI1BgydQIKi9y65k8UyJI03pp3THsLluVmZ69SOrcVJJOBM094XtmUhT2vpKoFJ5/QvFK+zCutOyO/TVcNTkJBeaUl7NIwdx46MB7RMcBZZJc8U955/UY48kwqhQykgP1IW/bujbDbeSZVMDjHwHkmMO7MwHHnKZ0KnJfCUlH7mPMOXSlDKipfpqLWB/WcrjhkPiV5zE0Bzz3WzMgI3KmpvPP6DXCkplQCcGINTk3l3RtRt1NTitgx+q6HalGXq0RUVa8ufZM0tVwlaSfzui/yVVUv1jzWlPXb3X4bAa2niZZlGCRKZ0puHVAhCa4J5E1WkIAODTT3/aluBBuPhvz+9aaBX4xffDL2B75sfvv1a69KX/3m5MTEf5+VX+L8ASml0wQeI9z7Vj985+TZg7eev33v/KTU3XjjJZPrhryTcSub67/9k5N7T9Uf3yv1LNykJ//v/5ao/DWTr5zS6eimMz45D1gNHtAZs49smJFk0m46Ro7Qhh6AwpFZM4IcQjcdJ17AWL2PFPEmUSyvu68ce9CzggeMGXB2c9tltdMa35F9yksX+vwhdM5b+hS5pTM+6OkOeLKUCVRs6N6/8dbhVZGLGkS14HoSGtjFLmoQrSAwK+ylqEGUKIMkAvKuixrZWaqGNV9Rg6gaXHDaRxhHVAguHgWEZ46iBlFjyCIMoLCw7B7ykCwwYlHj+riSsnIXNahk4Myz56IGVS04+YQWNaqXRQ3rjsdv01WDk9A+IlYNc+ehA+MRHQOcRXYpalR3Xr8RjqIGlUIGUsB+pC1790bY7aIGVTA4x8BhPzDuzMBx5ymdCpyX9ljUoCplKGpUL4sa1gf1nK44ZD4lecxNEuUea2ZkBO6iRnXn9RvgKGpQCcCJNbioUd29EXW7qEERe6BFDeshSaV7G1rDqcsY3fRFDUaQgIUyNPfdf1GDkV/i/AEp5bEXNRgNHrBAuY9smJFk0qIGI0fooipA4cisGUEOoajBiRcwVu8jRbxJFK/3fC8du/izggeMGXB2E1bU4KQLff4QOl9Rw39LZ3zQm238x/+pv+QP3l8uhw/uqzDp6RglaWOU/SLv+y5NBrGSiajTVVLX1SrpRJF2hRTZctm993qcmcstOw7fGm6s87oZ1/8i/fnQqe+8MZptbjaaDqBv2wujHOPN7UcAgsMTHk3UmolaJqLt6RMiwhMgBXTvnpno3j0GpFdiG7tL2vcf34tLZunpXEqzXzaOh7ko7a+DbTsehBDoeEp3a9HdUnVvuxekO9C9lO579yzClfMRlL+SW8bzoszsQVnqBKriupBZdEsWPYn/mEVrxyKoPgjfMQcT88y8neY1kL3ldxLfMYtuyaIn8R2zaO1UBNVatojtO8XpPCvVDGauIcyz3AnWxPWh4rRV4luL+JYsfhJfKtQ8ptSrycwsX7sbQf+Y3sT2KmHxpsIFVKVxvcksuiWLnsSLzKK1exFUv7LCdmsbuRws769Z4GUeS9L8NBPrxqzsLLdly+/qoreDMbfeGbDm/woK7kub2hWg/4KsXwTrx5WfA8ovycpliHL6KLSplgMoczLK9pjkRwl1omeA/pasHyzyU8YmZdS718Juj0wUwePIVHd9Wa+aJKtXIhHVqkyarikSIYuhXCyquhbbddBbg9a3O+s6334Gruvha/0yobp5zgFMhpkCtYHxUfOi7/64Sa+7ztmQ1wucpweQjlWn89wWAJVO+sL6sE4SAFWnrUV4SxY+SRBUqSjaolzH2ATpBxFF1xYncjWSFJWI60Rm0S1Z9CQOZBatPYug+hXf0WNR1Ci69o7I72auklNR2Vd7p4ii/fovyPpFsH5c+Tmg/JKsXIYop49C19O6H2VORpkiivbrb8n6WaPo+u61sNsjE0WwVlysSpEVxSoRyypTl2WRNEUvE7Eo+kXRdItcbJgOIIpuoCjaWfS5bQrUBrGi6MbrrnM25NFF+i5f9qIbEvXX5Yko8mVSV2KRFAv10bpZ9MWyOBQXyVPERXJnbcdkL8wGkVwkT/0uwoa8rlus8mI8m2JY9cqnmqZP6uUgk75ayKZarZpydatXJJqLZJCLOEs4JnthNojlIhngIlzI6xB4aEq5qAv1h5nK29Nlr/L2tEnkasiW2WLVZF15MC6SQy7irMeY7IXZIJaL5ICLcCGvV/RkVWertEwWMu0TkWd5UqupKVl0y2VWLhdS5v3BuEgBuYi77GKwF2aDWC5SAC7ChXyzoie2fWDbENCaAMkO40JMLk/nRar+U78KS6FcZ5MOK8Rt1FEArQJoFUBrAWjJAFMs0CiAe/cK3flV6N9ZGPQiIAHilfUaHdbGXK/J/Svo72rvdzDauxomWK8B9F+Q9Ytg/bjyc0D5JVm5DFFOH6yuB20/ypyMMsF6DaC/JevnXK/J5d1rYbdHJopgrbgr8yETWZU0oqwSIVTiXmddnqg4auiyQpbL5nDC6BKKkcowU6A2iBUjlV53nbMhjy4yrLplXnSrZNX3S52450mX9VWSLoqmXuRiKIrDcZEKchF33cVgL8wGsVykAlyEC3k9inTLVT+UXdL1WZOILO+TTvRlUgrZl/2qabJKHIyL1JCLuBfATY8UZINYLuIvUszZkEcXWS0W5arqF0ldLRaJaBZZ0otukazKLs+7vq/rqj4YF4EKA7l7ldxgL8wGsVwEKAywIW9vijhxYlT4V7zfLVwr3kJGTYwA/Rdk/SJYP678HFB+SVa+/RD5o/EdnGgGoMzJKBMkRoD+lqyfMzEq0rvXwm4lRiTBxxbSFFAJqnDVYwymQG0Qab4qgBIUG/LRhTQFVIIqXPUYo70wG8RyEaAExYZ8dLlzAZWgClc9xmgvzAaxXAQoQbEhH90KXCEgFxGh9sJsEMtF/K/JzNmQYydG/sXydwvpYi/tbzBOkRj59V+Q9Ytg/bjyc0D5JVn59kPkj8Z3cKIZgDIno0yRGPn1t2T9rImRvHst7HZiRBF8dIkRVDHSc3GIKVAbxJqvgIoRG/LxJUZQxahwlU+M9sJsEMtFgIoRG/LxJUZQxahwlU+M9sJsEMtFgIoRG/LxJUZQxahwlU/Moy5kg1guAlSM2JDH9k3NvcZW/0yU1jrjfRbmZcc8FSIvi9q+y9QEGZHwL5tekPWLYP248nNA+SVZ+fbT4w/D9+Utc7LmCVIfwOYtWT9f6mPSee8eSahW2meiLMpCJHW+VENSsyyTXhZlor5a9F3d5F2xGW3iz0QCWsUV5iVNqylQG0SaiQSwisuGvA5WFouhSxdDUjd9l4ih1rvJ1l0iRVcuB9FnRVEdjItAu8cIGWovzAaxXMS/iDNnQx5dZJGv9CtKaZItFnki+qVyrCGVybDKhlIFO0V9OK8jCSgrFuYU0WEvzAaxXATIitmQ15sL5b0cVqJL0rKUSZYNdVKnyyZJU5nKsq6zRh7ORAOlPMIc/zvshdkglosAKQ8b8vqNNU1+6/34bUtAb0mRDDG+siYt+0lL51vhdb6NPulrahbRLVn0dvwKiUZD2M2raRbReltXgupXEubYO3BKf2bxrnS+QV7bd3WaII8G9F+Q9Ytg/bjyc0D5JVm5DFFOH4U2wzGAMiejTJBeA/pbsn6+9PoNZdS718Juj0wUwaPiZVNm5dAkuUgXiVg1i6SWZZ8UdT8sRLFq8kXz3oFEPzJHoh89bYeYArVBpOhHAv10bMjrymIu1adXWdLVOpiuapF0XdUniyErFyLNV1V2MJVFCa3ESOf+BiZ7YTaI5SLASgwb8ugiTdUUaVpnidBH+ohFuUrqolfulIlVvSjSWqVhB+MiUD+dFKH2wmwQy0WAfjo25D++Pqjs9ACyqNICL53wcht+2izKLLoli54kizKL1ic9EVRr2bF375WVxXdKJxC+UyakP9R3zKJbsuhJfMcsWjsVQbWWLWP7Tn06z5rmdK6GSn26nOXYQ+lqACrquHsOKYZWM7SaobUxtGSGSTyr1mf0KIh79zSFHo1spxuSOA5inFJulmVCXQrbmqHztfOA8jdEEupmysO0/NYmvyXLn8TDtG9p/frEHutKIoXgEHyrTE/nZXk6r9SvlXIxFRbOm1y5WqovmWUrNWlenr/GxV/BhegC/U0htQqpVUitQmoVUquQWo3U2pBaMtIUPljqfdVKfRJZpX9XaWes9UVx6WMRx6uFTHswAe2V4D7WMreJ5t3S2oCSyyor7MdcTLCeXfqXIi/I+kWwflz5OaD8kqxchignj2fGgYqseXug8msO9ZZngM1bsn6+hWvzGEMSqpUuV2JZV1mX1JkcEpGWZVIvFlkyFEWzKlbFolkN723NkbGWmkpoNbK0NkmZTYHaINJSUwmsRrIhr1sH+8XQrYomkUIs9MrlKunKVCYi6+tl1nfLQhdyD8RFoL6wUobaC7NBLBcB+sLYkK+b2Dcjdqz9Yc332drplAuRVtk29KTBir9T64KsnzdY8Su/JCvffnr8E+e+vGVO1jxFsOK3eUvWP3mwQhE6ZutDs8iXuUy6tOrUrKX7mss0TfI0LYdsUXeNOJhjV0qot7A054ZWU6A2iDUTAb2FbMiR9pkw3tfK8Z5GLYvc+ixOMPNU/sTngqyfdeYBlF+SlW8/Lf5RcF/eMidrnmDmAWzekvVPPfOQhB7bzFNBaXLleJfIZArUBpFmngpIk9mQr3OgbFNOOKgkqJI26jHzs9cPp5iK/JnrBVk/71TkV35JVr79+PiHxX15y5yseYqpyG/zlqx/8qmIIlQr7bJMlFI0SZktZCJEXSW9XFTJqq+W6TKrZakj7AOZiqB38Cp7Pmg0BWqDWFORP1efsyGvV2xXdT70QiS90L2mWbNI+q5YJWmeyTqvMtnLw3ERKE+u7EmjxV6YDWK5CJAnsyGPLiKyVZVWfZNU2VCpz6aZimxWeVJ1q7xZlnIlD6fuU0N7Q9fuEpjBXpgNIrlI7c+75mzIo4vUZZ0vqqUaZ4oqTUQ5rJJmIfqkaIq0WTVdVwwH86JCDeU8tbtOZrAXZoNYLgLkPGzIOuc5XZ88eTCpTi2dsFE3Lar9wesFWb8I1o8rPweUX5KVbz81/rB7X94yJ2ueINUBbN6S9U+d6pCEHluqU0OpTu2O+03bs0A2iDUDAakOG/LRpTo1lOrU7rjftMkTZINYLgKkOmzIR5fqNFCq07jjfoO9MBtEcpEGSHXYkA+patxYg/Wirosiar9S4082Lsj6RbB+XPk5oPySrHz7afHHUvvyljlZ8wTxK2Dzlqx/6viVJPTYVlAaqHO2kWGmQG0Qa+bxp1lzNuTjC06gFKexxvs2e2E2iOUiQIrDhnx0KU4DpTiNNd632QuzQSwXAVIcNuSjWyhRvo74iPpYqMUwK0RyEsXj9xI+6ENKc7LU3YgVdVNEJc57ny7oBCKYANd+jmi/pGvffmj8cfe+XGZOFz1BsoOYvaUTTJ3u0JQeWzCbpVDCoz4WZgzUCtGmISDl4YM+uoA2S6GkR30s1GKYFaK5CZD28EGPbpIuy6aUsk+GuiwS0Yk06To5JMOi7upVXzaD6A/HTaDER30s1GKYFaK5CZD68EHf9N1vbnusnVLeuPaCLPWa4131IaM5NvvBNFG7VBCCCzqBCCbAtZ8j2i/p2refLn8YtoMrzRCYOR1miqgYIGjpBHxR8RvarndvpN2Oj0majy4+zrBlmsy5VfptY6BWiDWjZcgyDRv00W24kmU55iZ5qMUwK0RzE2AfeT7o9Tupizyvm2GVlNUYJOUiqYtlkyyFLKsqS5dpWR6Om0AN2upjoRbDrBDNTfwrQ3M+6DE+HtG3/WDbFNCuiSRLjNtcZpk8nWd5pi+WXZ+zTDitEHdTSw3QaoDWBtDSAbZDGQgAjmbWW1hqAHVVBPpq2w+axjCGNu9FzcAso0lppMk3W43ErTNkpXdouKATiGACXPs5ov2Srl2GaCePTJZRiCp6kozKb/aWTsCXUdkGG4pSLXWQzapfDV2y7NJeTX/r43aqJF8NmWiaTsXa3XsHE/nUWORj3sLaagzUCtEin9rrq3M+6HXU03UiL4pVsiiLLBFFqYJpueqTochV7lWs0qI/mE1bsjyF3CQ3rz04LIZZIZab5P5Fojkf9EF1ReTmbPF6mTzq1tpKnPc+XdAJeKMVQPslXfv2Q+OfNvflMnO66CmiFcDsLZ1g8miFpPT4piHoOLdMP7EhxkCtEG0aAg5044M+vqA2LzE3sUb4NothVojmJv4EbM4HvdlyQXMfzhpLbg/hZZWJfJt22qjFn4Rc0AmYoxa/9ku69u2Hxz997stl5nTRk0QtfrO3dILpoxaKUi21WVRZNyyKZClXTZJlQ53U6VAmaSpTWdZ11shbVYVo01GBJc+FPY80GgO1QqzpqECSZzbom+rSreh12xRQQYNkiXV1qdCHpQl9kfpS6os+US2rSnWp9aWxHFSbFa5SvkjxFAqCxMejddmp0GemCX2R+lLqiz5YTZO1mqy1kbV0sknqUcV4aJoYr3K8luN1PGFN46lrPV4tgON5gARCjbjZp/ewqlWF/TXjRpZl1Lf/lTjvUHNBJ+CNpADtl3TtMkQ7eaSzDF5U0VNEUoDZWzrB5JEUSekoten6Jk2LRPaiSETTVUndd3lSi7LM61SKZTW8dzCRFPZWTCHDjIFaIVokhbwVwwa9DrgbWck61U3uokxE39RJU6uoa1HUK5F3dbNcLQ/HTbC3YgrrCyI2i2FWiOYmyFsxbNCjmyzypsjzrE+WTbFIhNCtX3maJkPWN01fZWU1HM5qcoG9FVM0oRbDrBDNTZC3YtigRzcpV3VarpZpssrTVSIWZZPUy6ZJFsMg0rJYdamoDsZNBNZqLuwvx1sshlkhlpsIpNWcDfqgat/CGVw5eienyH2EP5C9oBOIYAJc+zmi/ZKuffuh8Qfh+3KZOV30FLkPYPaWTjB57kNSenzTEJb7CBlmDNQK0aYhJPdhgz6+oFZguY9wpgEmi2FWiOYmSO7DBn18KykCy32EMw0wWQyzQjQ3QXIfNuj1SopoRFfKNKkr/a6lcq+ky9UPlMuuUP+nnKo+mG03M4nlPtKZBpgshlkhlptIJPdhgz6o3Edagyuh/pNx94OQ/kD2gk4ggglw7eeI9ku69u2Hxh+E78tl5nTRU+Q+gNlbOsHkuQ9J6dHlPhLLfaQMMwZqhWjTEJL7sEEfX+4jsdxHWtMAm8UwK0RzEyT3YYNeN1l1i6YeijKRi6VMRLeokibLyqRuqkW2WGT9sjyc9nCJ5T7SmgbYLIZZIZqbILkPG/TxpcgllvuU1jTAZjHMCrHcpERyHzbo603zNnf9sHrgSmuwlTWN3rLVFhZOkQuV/sD2gk4ggglw7eeI9ku69u2HyB+U78tl5nTRU+RCgNlbOsHkuRBJqZaadcVQ5FKqsakr1dg0VEnfL+okrxoV7GR53XSHs6VZieVCpQwzBmqFaNMSkguxQa+3/BVpV6uQJikHNY+JRdMnjShkUq6actUP9UoUq8NxEywXKq1pgc1imBWiuQmSC7FBj25Sd6nMqlomhZRVIkrlXHq74GSxKBa68X9Rds3huAmWC5XWtMBmMcwK0dwEyYXYoK+D3E2d57CC3Moa2o/Ut85knzTIrfzJyQWdQAQT4NrPEe2XdO3bD5E/2tqXy8zpoqcIcgGzt3SCyYNcklItVRTZailSkaTLptBjU5moH8hU4DP0i8UqzfL8cOrOFbYha+WO+G8ZA7VCrGmp8idkcz7o9UpuUdWLKpNJ1i+yRKQrmdTLtEky2TVZPqQq9lkejptguVAlQy2GWSGamyC5EBv0dfSSbXLiAwtfHD1eZV2l29jThi/+7OSCTsAcvvi1X9K1bz9F/nl0Xy4zp4ueJHzxm72lE0wfvlCUaqlLkVeyqrKkyBe13vZhSLoszZNlVpZZt0j7vjmcQnSFZdWVNcE0GwO1QrR5Ccmq2aDX+5Q1VZXWTZOUUn1W5EWfdF2ZJqJZDXUtuqFeHs4aXY1VGGtHo6HZYpgVYrlJ7c/I5nzQx9fWUmPJUO14DcZsMcwK0dwESYbYoI+vSa7GkqFahloMs0I0N0GSITbog+rVrh09XqWQ5TblpLlP7Q9kL+gEIpgA136OaL+ka99+aPxB+L5cZk4XPUXuA5i9pRNMnvuQlB7fNITlPrU1DTAbA7VCtGkIyX3YoI8vqG2w3KdxNBqaLYZZIZabNEjuwwa9fgFRLhdltsoTIQt1EbJJetFVSb/oi67sSyma/HDcBMt9GsdrMGaLYVaI5iZI7sMGPbpJP1RlX63SZFnnmUqnsyLp0l4mS7Fs+rSus3qVHY6bYLlPI0MthlkhmpsguQ8b9E0hSKzJYxWC3rjxAv8G+MoHSqM5NtuyZnEPsgEILugEIpgA136OaL+ka99+uvzR+g6uNENg5nSYKZIngKClE/AlT29ou969kXY7jSJp1qJXYuibsuySXv2q6wh9Uqer/jA3jW+w/t3GnFNajYFaIdqM5k/553zQo5vIoakGUUuVY63U7Nf3ZdJ0YkhkOixlnperflkejptg5zc25oMWHBbDrBDNTfznYMz5oMfAZ/1C47YjbNsC2p2eZIrxcAGV453ORaYveWMzg3nR4doM+KGxEAs+UY1nCGiAVgO0NoCWDrA9SUEA8Dy1PipAA9y7pwnU1YKgJy0KwxhcR/ew7HSeZ/qSj5dGXYpKXYS+SH0ppb7oP6gKfdHfq/VFTWLzIlV/Wugj1otcX4rxoj5c6DMxClHqi/5Sn45RSP2l1F/qczIK/TcX+m8uKv1lpb+s9Je1/lKfnVHU+stGf6mSwLkYH4hUmp8FdbOctwF/HQ+yevCzkJ222tStNnWrTd1qU7fa1K02datN3WpTt9rUrTZ1q03dalO32tStNnWrTd1qU7fa1K02datN3WpTt9rUrTZ1q03dalO32tStNnWrTd1qU7fa1K02datN3WpTt9rUrTZ1K8ZH12Lqlm7qaZ5afdS8trW65utro6/K3Ooqxqscr6Ucr+OfKpvr6/j9erw2+qrtrq7jIfba8uparK/6p4rxGBFtfX0dvzMeKaJvgL6O3xmPFynGf6sY/y19F/R1/E41fqcevzMeO6Jvhbo243ca/RmxHocst2Mcpwj345U5Tqe/MbJ7E867eZobafJUqJuaV1FfxVbivNHJBZ1ABBPg2s8R7Zd07TJEO3nmsoz9VNETZOuI2Vs6AV+2bhtsKErHcKdfFUPedEnXZfXN6V7iIHN0RYMkX+pjYcZArRAp+VK6vb4654Nev2Nb1vmiWlZJX1RpIsphlTQL0SdFU6TNqum6YjiYl5nyFDqOVn0s1GKYFaK5iX8Bcs4HvW4az4WQWdcllayyG5dKD3Q0gZZy1MdCLYZZIZqbAEs5fNDrCHch+yIV6hPLVZ+IJkuTppN9kvYL9Y1aiqLqD8ZNMug00TyzH6xpsRhmhVhukgGnifJBH1KbZ545gquyLKO+oa/Eee/TBZ1ABBPg2s8R7Zd07dsPjT8I35fLzOmip8h9ALO3dILJcx+SUi21F32qhrAuqbuVUJGNKJM+65pktejKRVaItOoOZhPNPMNyH90bEmIM1ArRpiEk92GDPsJoBct9MkcaYLYYZoVoboLkPmzQx5f7ZFjukznSALPFMCtEcxMk92GDPr4FtxzLfXJHGmC2GGaFWG6SI7kPG/RB5T65LbgqZVXJMmr3phLnvU8XdAIRTIBrP0e0X9K1bz80/iB8Xy4zp4ueIvcBzN7SCSbPfUhKjy6ozbHcRz+xIcZArRBtGkJyHzbo46v75Fjuk9vSAKvFMCtEcxMk92GDXq+kpFK5UT0kZbkYEtHpDe+qUiaLJheDWKR93VeH4yZY7pPb0gCrxTArRHMTJPdhgz6ooLawhe5rSnuD6xRBbeFPPi7oBCKYANd+jmi/pGvffmj80dW+XGZOFz1FUAuYvaUTTB7UkpQeXVBb5NA0VLgj/FvGQK0Qaxoq/AnYnA96dJNKin6QyzqRi6xIhGjSpCu7LFn1zaJKB/WnvTwcN8Fyn0KEWgyzQjQ3QXIfNujjC2oLLPcp3GmAwWKYFaK5CZL7sEEfVlBrLVuItC7zqAdHK3He+3RBJxDBBLj2c0T7JV379kPjj6725TJzuuhJglq/2Vs6wfRBLUXp0QW1AisYCmvtzGwM1AqxpiHhT8DmfNDH134gsNxH2NIAq8UwK0RzEyT3YYM+vgV9geU+QoRaDLNCNDdBch826OPrUhFY7iNsaYDVYpgVorkJkvuwQR9U7iPcwVWzTTlp7iP8gewFnUAEE+DazxHtl3Tt2w+NPwjfl8vM6aKnyH0As7d0gslzH5LSo8t9JJb7SHcacMsYqBViTUMSyX3YoI8v95FY7iPdaYDBYpgVorkJkvuwQR9f3UdiuY8UoRbDrBDNTZDchw36+HIfieU+0p0GGCyGWSGamyC5Dxv0QeU+0h5cZVUe+e1k6Q9kL+gEIpgA136OaL+ka99+aPxB+L5cZk4XPUXuA5i9pRNMnvuQlB5dUFtiuU9pTwOMxkCtEGsaKpHchw36+ILaEst9SnsaYLEYZoVoboLkPmzQxxfUlljuU4pQi2FWiOYmSO7DBv3Hm9NFNkGVvvkxth9948YJ/GetKBeQRmtcb7Iad+EfILigE4hgAlz7OaL9kq59++HyR2E7uNIMgZnTYaYIigGClk7AFxS/oe1690ba7fCYpFmLlplcVUtRJEUzZIkoyjLpmmWT5P1QLEWWLtRX7x3MhIat0pTmBQurMVArRJvQkFUaNujRTcquq/uib5KqLEQi0lWTdHKhLmmeLYZC/UWZPBw3gc6gUR8LtRhmhWhuApxBwwe9dhPo2M9DcRPsBdbSvPLgshhkhWhu4l8YmvNBR1rzfRkO+8+7Vbe8cdFXcV9sBQgu6AQimADXfo5ov6Rr336Y/PHXDq40Q2DmdJhJwmE/QUsn4A2Hm7s30gzhMEXz0U1gFbZaXDlPULltDNQKsSawClktZoM+vnC4go4sVx8LthhkhWhuAhxZzgc9usmQ9UUhFlWykAuVYS1EnnRCZsmqE3kjF1W30kWNQ3ETrKhQmdfXHRbDrBDNTZCiAht07HC48h/Yrm65+cD2a/q4h1YBBBd0AhFMgGs/R7Rf0rVvP0z++GsHV5ohMHM6zBThMEDQ0glYw+GquHsj7XY4TNJ8fOEwVu6sRJgxUCtEm8CQcicb9BGGwxJzExlsMcgK0dzEX/qa80GPbrJayqYZVEy06vplIvphkfR5ViR106TLoSzlcnVAboLVmipn2cVkMcwK0dwEqTWxQUcKhy231tpyWDSprkXaZvpJwl7/Kv4FnUAEE+DazxHtl3Tt2w+NP87al8vM6aInCW/9Zm/pBHzhrUmoDmopSrXUKusGmeerRA5Zp8aiMkuavsvUDFYt0i5L67JYvnco01CNrfHW1uZYszFQK8SahmpkjZcNeh2tNFIOxaJIMln31/1+y+YwWz1rbPGuNq9jOSyGWSGamyCLd2zQx5f71FiKXItQi2FWiOYmSIrMBr3eBTOru7JsFomU6gdEV/Rq5FFRcC2KYTU0RboqFofjJljuU5vTAIfFMCtEcxMk92GDPqjcp3YHV3Hfhqz9gewFnUAEE+DazxHtl3Tt2w+NPwjfl8vM6aKnyH0As7d0gslzH5LSo1vQb7Dcp3GnAYZXeTArxJqGGiT3YYM+vtynwXKfxp0GGCyGWSGamyC5Dxv08eU+DZb7NCLUYpgVorkJkvuwQR9fG1SD5T6NOw0wWAyzQjQ3QXIfNuiDyn0ad3AV9wSAxh/IXtAJRDABrv0c0X5J17790PiD8H25zJwueorcBzB7SyeYPPchKT223KdIodxHfSzMGKgVIk1Disfrq3M+6KMLaosUyn3Ux4ItBlkhmpsAuQ8f9NE1MxUplPuoj4VaDLNCNDcBch8+6EMKaovUGrqP+91EfaVVifPepws6gQgmwLWfI9ov6dq3Hxp/dLUvl5nTRU8Q1CJmb+kEUwe1NKXHF9RCOy6oj4UZA7VCtGnIn4DN+aCPbkG/yLDcJ3NvCGmwGGaFWG6SIbkPG/Tx5T4Zlvtk1jTA+mBBVojmJkjuwwZ9dJuGFRmW+2Qi1GKYFaK5CZL7sEEfVO6TuYOrqO8vK3He+3RBJxDBBLj2c0T7JV379kPjD8L35TJzuugpch/A7C2dYPLch6T06HKfDMt9MncaQH9R1/REeeHJT9XLaQjJfdigjy/3ybHcJ3enAaY3MCErxHKTHMl92KCPL/fJsdwnd6cB9Pe5Y7kJkvuwQR9dM1ORY7mPDhPDLIZZIZqbILkPG/RB5T65O7iK+hK7Eue9Txd0AhFMgGs/R7Rf0rVvPzT+IHxfLjOni54i9wHM3tIJJs99SEqPLvfJsdwnd6cBpjcwIStEm4aQ3IcN+vhynwLLfQp3GkB/nzuSmxRI7sMGfXy5T4HlPoU7DaC/zx3LTZDchw36+HreCiz3KUSoxTArRHMTJPdhg/7jzeln9Rpc/TNRTz8rCv+ud8oFpNEam+3M8mzbGpPmSADBBZ1ABBPg2s8R7Zd07dsPlz9Y38GVZgjMnA4zRe4EELR0Ar7c6Q1t17s30m5nUSTNWjRWzT6UCQ16M1F9LMwYqBWiTWj+jH/OBz26iahVWLQQZSJqWSSiUj/QLYo0KUS6rPJhlYricNZ8C+j0M/WxUIthVojmJsDpZ3zQx7cmU2BrMoXzIDCTxTArRHMTZE2GDTpSaeBlOOw/8End8sZFX+fb9NOGw36CCzqBCCbAtZ8j2i/p2rcfJn/8tYMrzRCYOR1mknDYT9DSCXjD4ebujTRDOEzRfHQTmMBWi4XzILDbxkCtEGsCE8hqMRv08WVNAjr9TH0s1GKYFaK5CXD6GR907DhH+NfK1S03r5Vf0xfb9JPGOQDBBZ2AN84BtF/StW8/TP6JdQdXmiEwczrMFHEOQNDSCVjjHJHfvZF2O84haT6+OKfAJjDnGV+3jYFaIdoE5j+Mbc4HfXzLfgIrdwoRajHMCtHcBCl3skEfYTgMnX6mPhZqMcwK0dzEX/qa80FHD4f9JRR1y50llDruDjEAwQWdQAQT4NrPEe2XdO3bD5M//trBlWYIzJwOM0k47Cdo6QS84XB590aaIRymaD6+cBgrbwpnpe+2MVArRJvAkPImG/QRxjlYeVM4K30mi2FWiOYmSHmTDTp6nOOv6Khb7q6OxN0NAiC4oBMwxzl+7Zd07dsPk39i3cGVZgjMnA4zSZzjJ2jpBLxxji5vbqQZ4hyK5qOLcyRW3pTuSh996wTTM+eF3/25k0h5kw36+OIciZU3pbvSZ7AYZoVoboKUN9mgY8c50l/RUbfcXR2J++Y3QHBBJ+CNcwDtl3Tt2w+Tf2LdwZVmCMycDjNFnAMQtHQC1jhH6vKmtJU3SZqPL87BypvSXemjvyZteua88Ht47pDyJhv08ZU3JVbelCLUYpgVorkJUt5kgz7CcBgrb0oZajHMCtHcBClvskFHD4f9FR11y93VkagnWiMEF3QCEUyAaz9HtF/StW8/TP74awdXmiEwczrMJOGwn6ClE/CGw7q8uZFmCIcpmo8vHMbKm9Jd6aMf/2x65rzwe3jukPImG/QRxjlYeVO6K30Gi2FWiOYmSHmTDTp6nOOv6Khb7q6ORD29FiG4oBMwxzl+7Zd07dsPk39i3cGVZgjMnA4zSZzjJ2jpBLxxji5vbqQZ4hyK5qOLc0qsvFm6K330o15Nz5wXfvfnrkTKm2zQxxfnlFh5s3RX+gwWw6wQzU2Q8iYbdOw4p/RXdNQtd1dHmm36SeMcgOCCTsAb5wDaL+natx8m/8S6gyvNEJg5HWaKOAcgaOkErHFOqcubpa28SdJ8fHEOVt4s3ZW+W8ZArRBtAkPKm2zQo5ss5LBs0rpJ+kFKvWNprT7bF0m6yuuyy5d938nDcROsvFmKUIthVojmJkh5kw1ab1arflhzR92ktvRX79Stly4r5Pm2FaaNd/wEF3QC5njHr/2Srn37ofJPsDu40gyBmdNhJol3/AQtnYA33tGb1G6kGeIdiubjS9ixTWrLMswYqBWiTWT+quucD3odFkMb+R+Km2BlztJZ8TNZDLNCNDdBypxs0EeYPWFlztK9X6vJYpAVorkJUuZkg46+/Oev7Khb7qySNOk2/bThsJ/ggk4ggglw7eeI9ku69u2HyR9/7eBKMwRmToeZJBz2E7R0At5wWJc5N9IM4TBF89FNYBVW5qycFb/bxkCtEGsCq5AyJxv08WVNFVbmrJwVP5PFMCtEcxOkzMkGHTvOqfyVHXXLnVWSJu7ZVADBBZ2AN84BtF/StW8/TP6JdQdXmiEwczrMFHEOQNDSCVjjnEqXOStbmZOk+fjiHKzMWTkrfreNgVoh2gSGlDnZoI8wzsHKnJUItRhmhWhugpQ52aCjxzn+io665dJJn2/TTxvn+Aku6ATMcY5f+yVd+/bD5J9Yd3ClGQIzp8NMEuf4CVo6AW+co8ubG2mGOIei+fjiHKy8WZVhxkCtEG0CQ8qbbNDHV96ssPJm5az0GS0GWSGamyDlTTboIwyHsfJm5az0mSyGWSGamyDlTTbo6OGwv6Kjbrm7OhL3bCqA4IJOIIIJcO3niPZLuvbth8kff+3gSjMEZk6HmSQc9hO0dALecFiXNzfSDOEwRfPRhcM1Vt6s3ZU++jFNpmfOC7/7c1cj5U026OOLc2qsvFm7K33083diuQlS3mSDjh3n1P6Kjrrl7upI3EOHAIILOgFvnANov6Rr336Y/BPrDq40Q2DmdJgp4hyAoKUTsMY5tS5v1rbyJknz8cU5WHmzdlf66OfvmJ45L/wenjukvMkGfXzLfjVW3qxFsMUgK0RzE6S8yQZ9hOEwtkltLUMthlkhmpv4S19zPujo4bC/hKJuubuEEvdsKoDggk4ggglw7eeI9ku69u2HyR9/7eBKMwRmToeZJBz2E7R0At5wWG9Su5FmCIcpmo8vHMbKm7W70kc/psn0zHnh9/DcIeVNNujRTVZL2TTDokpWXb/UO1sskj7PiqRumnQ5lKVcruThuAlW3qzdlT6DxTArRHMTpLzJBh09zvFXdNQtd1dH4p5NBRBc0AmY4xy/9ku69u2HyT+x7uBKMwRmToeZJM7xE7R0At44R5c3N9IMcQ5F89HFOQ1W3mzclT76MU2mZ84Lv/tz1yDlTTbo44tzGqy82bgrfQaLYVaI5iZIeZMNOnac0/grOuqWu6sjcQ8dAggu6AS8cQ6g/ZKuffth8k+sO7jSDIGZ02GmiHMAgpZOwBrnNLq82djKmyTNxxfnYOXNxl3po5+/Y3rmvPB7eO6Q8iYb9BHGOVh5sxGhFsOsEM1NkPImG7TepFaTZ5uzWFU8FXe32sZfxlM+IF3myOP2dQEEF3QC5sDHr/2Srn376fLPtDu40gyBmdNhJgl8/AQtnYA38NGvc26kGQIfiuYx8Cl0p0ajxrFUqGFNll3Spf2QFH2eNqJfFtWqee9gZjTsdc6mDDMGaoVoM5q//Drng14HPotsWaqJMSlFXSSirEVS50OTLBfpslmmfTqky8NxE6ze2ThLfyaLYVaI5iZIvZMNenSTvui7rM7SpMjKIRFZVidNOvQqls6bpVzURVqVh+MmWL2zcW/carAYZoVoboLUO9mgRzepyzpfVMsq6YsqVS41rJJmIfpEZW9ps2q6rhjqw3GTBnMTZ4nFZDHMCtHcxF8Lm/NB//H6rA/xXtzsSaT+2sq76kNOK0RtA0QILugEIpgA136OaL+ka99+qPzh+g6uNENg5nSYCbInhKClE3BmT0rV3Rtpt7InmuZjy55ECtU91cfCjIFaIdJEpni8Xjvngz66eEekOeYmzlKLyWKYFaK5ib8mNueDProkW6RQEUp9LNRimBWiuQlQhOKDProkW6RQEUp9LNRimBWiuQlQhOKD3mRPOqKKmz35l9vVrZdOK0RtLkYILugEIpgA136OaL+ka99+qPzh+g6uNENg5nSYSbInP0FLJ+DNnuTdG2mG7Imi+fiyJ6j2pD4WZgzUCtEmMqD2xAd9hGExVHtSHwu1GGaFaG4C1J74oI8wLIZqT+pjoRbDrBDNTYDaEx/0Ea7FQLUn9bFQi2FWiOYmQO2JD3ps4RvRt/1g2xTfGRYfv//hBwyWmD1/9PW5cuRTdanUJU/1pdCX0mKPzL2IjXecQ1R4/KtRWo3SapRWo7QapbWhtHSU7SgYQoEDYU2i4l2Foq+VvioYfS3GqxlHf5bCo4E2KW6sJlLzaJOZF0HzVGRNk2VRzzhT4rxDxwWdQAQT4NrPEe2XdO0yRDt55LKMTVTRUyTmgNlbOgFfYm4bbChKxwBa9GmepV1SdyuhpkdRJn3WNclq0ZWLTCVsVde9dyiRUYatK2cizBioFWJFRhmyrswGPbqJKAopsk4m2aobkixT6VidDlWSpjKVZV1njbwVOMVzE2zVJjMvYDgshlkhmpsgqzZs0NfvwGzyqFjRy00ZIvMvTigXcC5OFJGjGj/BBZ2AOarxa7+ka99+uPzT6w6uNENg5nSYSaIdP0FLJ+CLdt7Qdr17I80Q91A0j+vLRZ8vGpkmdV43ieiWWdJUnboUcrGsmmrouwOa0LCFw8y5hnbbGKgVok1oyMIhG/TRvSKuZnDMTZxraCaLYVaI5ibIwiEbdOQ9TkTu7899V33IRd/U2/STxjkAwQWdgDfOAbRf0rVvP0z+iXUHV5ohMHM6zBRxDkDQ0glY45xcN6vntmZ1kuajm8ByrFk9d+9XdcsYqBViTWA50qzOBn184XCeY25iXhN1WAyzQjQ38S9Zz/mgo8c5/h5sdcvdGwE12/TTxjl+ggs6AXOc49d+Sde+/TD5J9YdXGmGwMzpMJPEOX6Clk7AG+cUd2+kGeIciubji3OwOpZ+pkOMgVoh2gSG1LHYoI8wzoHOIBL6VoZZDLNCNDfx98zP+aA3r9Homx61fpX7q3nq1pcuKxT5thWmjXf8BBd0AuZ4x6/9kq59+6HyT7A7uNIMgZnTYSaJd/wELZ2AN94p795IM8Q7FM1adFbVy3SoRNKvivymKt8fZkNGjr0fkbuLebeMgVoh2kTmr7rO+aCPMCzGypy5u+JnsBhmhWhugpQ52aBvGt+LbT/YNgXUV02yxLrxvdDt7oXQF939LnQfvNBfCv2l1F9K/aXUX5b6w6XujS9LfWnUpdJf1qnNgu4K4K1D3K0THGQHfI5bt8oXukFewbcavtXwrYZvNXyr4VsN32r4VsO3Gr7V8K2GbzV8a4Nv6fDbcyMED0+Pm+b6YmyoV/T6OrbYi7HdXozfEeN35PgdOX5Hjt8px58qxzZ8ZQd9bfS1Gr9jMYWecym2GI2xtkX01rbCX+V6V33ISRl3fzKA4IJOIIIJcO3niPZLunYZop0+4l7PPQDMnA4zRWoAELR0AtbUoNAl38JW8iVp1qKxw5YPJOYrsJJv4ax+3jYGaoVYMV+BlHzZoNct/XW6ahaiTEQti0RU6ge6RZEmhUiXVT6s0tEDD8VNsJJv4ax+miyGWSGamyAlXzbo48sgC2x/ssJZZTJZDLNCNDfxlwPnfNCxOwMKf1lJ3XLhoJdpuk0/bTjsJ7igE4hgAlz7OaL9kq59+2Hyx187uNIMgZnTYSYJh/0ELZ2ANxwWd2+kGcJhiubjm8Cwkm8hw4yBWiHaBIaUfNmgjzBrwt5wLVzVJaPFMCtEcxN/GXDOBx09zvGXk9Qtd5WTZBr3jVaA4IJOIIIJcO3niPZLuvbth8k/se7gSjMEZk6HmSTO8RO0dALeOEe/0bqRZohzKJqPL87BSr2Fq+ppMAZqhWgTGFLqZYNeu0nX1X3RN0lVFiLRG3ImnVyoS5pni6FQM2EmD8dNsDdaC1dFz2wxyArR3AR5o5UNer0vUFZ3ZdksEil73S1Z9Emjj7+tRTGshqZIV8XiYNxEpJCbCFdFxWgxzAqx3ET4S19zPujY4bDwl1DULXeVUGSab9NPGg4DBBd0AhFMgGs/R7Rf0rVvP0z++GsHV5ohMHM6zBThMEDQ0glYw2GR3b2RdjscJmk+unBYYOVN4ar0GYyBWiHaBIaUN9mgjzDOwcqbwlXpM1oMs0I0N0HKm2zQ0eMcf0VH3XLhpLf3d04S5/gJLugEzHGOX/slXfv2w+SfWHdwpRkCM6fDTBLn+AlaOgFvnKPLmxtphjiHovn44hysvClkmDFQK0SbwJDyJhv08ZU3BVbeFGWoxTArRHMTpLzJBh09zvFXdNQtd1dHbp09P22c4ye4oBOIYAJc+zmi/ZKuffth8k+sO7jSDIGZ02EmiXP8BC2dgDfO0eVNYStvkjQfX5yDlTeFu9J3yxioFaJNYEh5kw36+MqbAitvCnelz2QxyArR3AQpb7JBH184LLHypnRX+gwWw6wQy00kUt5kg44dDkt/RUfdcnd1JO5LvgDBBZ1ABBPg2s8R7Zd07dsPkz/+2sGVZgjMnA4zRTgMELR0AtZwWOryprSVN0majy4cllh5U7orffQ31EzPnBd+D88dUt5kgz7COAcrb0p3pY/+WnQsN0HKm2zQ0eMcf0VH3XLhpL917O+0cY6f4IJOwBzn+LVf0rVvP0z+iXUHV5ohMHM6zCRxjp+gpRPwxjm6vLmRZohzKJqPL87ByptShhkDtUK0CQwpb7JBj26ykMOySesm6QcpE9EPtfpsXyTpKq/LLl/2fScPx02w8qYsQy2GWSGamyDlTTbo6HGOv6Kjbrm7OmI+M/50qjjHT3BBJ2COc/zaL+natx8m/8S6gyvNEJg5HWaSOMdP0NIJeOMcXd6UtvImSfPxxTlYeVO6K323jIFaIdoEhpQ32aCPcD0HK29Kd6XPYDHMCtHcBClvskH/8eYc9k1EEH2z2tJfxXtXfchhDb0lcMy4ByC4oBPwxj2A9ku69u2Hyz/R7uBKMwRmToeZIu4BCFo6AWvcU+rNakvbZrUkzVr0IMqqWa4WyaIcukSkw5A0q6pPhlp2tezTxfhiz4FMaCW2WW3p3rfVMLZjVog1oZX+6uucD/r4wuMSK3eWrsqf0WKYFaK5CVLuZIOOvb5T+qt46pa7q3hxz2EHCC7oBMxxjl/7JV379sPkn1h3cKUZAjOnw0wS5/gJWjoBb5yjzyfdSDPEORTNxzeBYeeTliLMGKgVok1g/urrnA/6CMNhrNxZylCLYVaI5iZIuZMNOnqc46/iqVteOunjnsMOEFzQCZjjHL/2S7r27YfJP7Hu4EozBGZOh5kkzvETtHQC3jhHn0u6kWaIcyiajy/Owc4lLd1FPfqR5KZnzgu/h+fOX32d80EfYZyDlTtLd+XPYDHMCtHcBCl3skFf17GaNXj8Opa/qqdcwFXV07vZ2ob6SeIeP8EFnYA57vFrv6Rr3364/BPtDq40Q2DmdJhJ4h4/QUsn4I17mrs30gxxD0WzFi1ltuilWCadWKnJbxCLpK8XdSKHoRm6Lq/rPHvvUCa0CnuhuHIX9QxjO2aFWBNa5a++zvmg133K+SpbZos0yRaLPBH9UiT1kMpkWGVD2YiyqPP+cNwEK3dW7sqfwWKYFaK5CVLuZIMe3STrmmW+KLOkzgvlUnkhkz5r6mRoqjRb9stKiuFw3AQrd1buyp/BYpgVorkJUu5kg74Oj7PNGa3R4+PKX/JRPuAqn+hD320hwRTxMUBwQScQwQS49nNE+yVd+/bT5Q/IdnClGQIzp8NMER8DBC2dgDU+rnT9s7LVP0matWhR1Ku06OskzYVMRCXKpFvpHZfFshFFVaZ9cUCBD1b/rESYMVArRJvRkPonG/ToJlXflDIthkTWdaOCpLpO+mpVqi/TRdd1ZZl3w+G4CVb/rGSoxTArRHMTpP7JBn2E2Tb2umflKrkYLYZZIZqb+Gtjcz7odTEqzYdikS6VIzV5kmVDk9Tp0CVpKlNZ1nXWyPxw3AQrRlWuuozRYpgVorkJUoxig16PJkOfZ5Wsklq/XiOWK+Vcw6pRP9pVdT8ox8qWh+MmWDGqctVlzA8WZIVoboIUo9ig1zXLVbfMi26VrPp+mYgiz5Mu66skXRRNvcjFUBTl4bgJ9u5d5VzvNlkMs0I0N/EXJuZ80LF7s2r/Ave76kMOepml2/STrsEABBd0AhFMgGs/R7Rf0rVvP0z+pH8HV5ohMHM6zBRrMABBSydgXYOp9bt2te1dO5Lmo5vAaqz4VDs30LxtDNQKsSawGik+sUEfXzhcY8Wn2lWHMVoMs0I0N0GKT2zQx5dc19jWorXz9R6TxTArRHMTfx1izgd9fEt1NbbwX4tQi2FWiOYmyMI/G/TxLfzX2MJ/LUMthlkhmpsgC/9s0MdXRqyxhf/atQZutBhmhWhugiz8s0GPjTGjr9x6gWDbFt8ZFh+//+EHDKaYPX/0dcVYn86lSG0WcK9p59sWsCbPEAaeP2vtrdbe2rS3dO3baTOkHc6ctXSdINen9+7ZxOs/p6jX8m8FKpN7VHM6F41UbpVm+lKpS1boi/oD9dyoS6H/oBD6Utk8z71Mjp/wC+EGe15z2mrGVjO2mrHVjK1mbDVjqxlbzdjaGFs64zQe2igP1ZDKTxWlvlb6qjj1Vf+pJlXXYvxTxaqvZtjR4wm0YxK3po3VPWjCeVc05gWuPBV5URaRd0lp/MuKF3QCEUyAaz9HtF/StcsQ7eSR0DykkUVvD2l+0aEu8wwxe0sn4FuJtgw2JKXjUgC0g+WBBO8NtrDYmNfYrMZArRAreG+QhUU26NFN6rLOF9WySvqiShNRDqukWYhe/WiRNqum64qhPhw3wVaMGhFqMcwK0dwEWTFig45UZ7fcWnMmu6HM8m3KaaMVfy5+QSdgjlb82i/p2rcfGv+0uS+XmdNFTxKt+M3e0gmmj1YoSsfUCNrO4lCmIawrsDHniVZjoFaINg0hXYFs0OumiqwvCrGokoVcqMhmIfKkEzJLVp3IG7moulWZHoqbyBR68Vt9LNRimBUiuYni8bsJH/QhRSsydYbumX1dbIJoRYnz3qcLOgFrtIJov6Rr335o/NPmvlxmThc9QbSCmL2lE0wdrdCUHlu0IlMoaVYfCzMGaoVo0xCQNPNBj26yWsqmGdSUtep0H2A/LJI+z4qkbpp0OZSlXK7k4bgJVD9XHwu1GGaFaG7iT8DmfNCHFa1YQ/eikWUT9VwgJc57ny7oBMzRil/7JV379kPjnzb35TJzuuhJohW/2Vs6wfTRCkXpsS3x62YkZBrKrPmj2RioFWJNQxmSNLNBr3dLg472PRQ3gQqG6mOhFsOsEM1N/AnYnA/6oKKVTNgoRVaXmfmQ+9OJopXMn3xc0Al4oxVA+yVd+/ZD45829+Uyc7roKaIVwOwtnWDyaIWk9PiiFSxpzqz5o9kYqBWiTUNI0swGfXTtTTKDCobqY6EWw6wQzU38CdicD/qgopXcGrqPlHHXVnJ/8nFBJxDBBLj2c0T7JV379kPjnzb35TJzuugpohXA7C2dYPJohaT06CpBOZY059b80WwM1AqxpqEcSZrZoI+vbyXHCoZ6YA+zGGaFaG7iT8DmfNCHFa24Q/eo7wQpcd77dEEnYI5W/Nov6dq3Hxr/tLkvl5nTRU8SrfjN3tIJpo9WKEqPL1rBkubcnT/Sjwg2PVFeePJT9XIaQpJmNujj61spsIJh4Y7wDRbDrBDLTQp/Ajbng44Urbxxc9P9G7epW+7euC3umgtAcEEn4I1iAO2XdO3bD5N/Ot3BlWYIzJwOM0V0AxC0dAK+6OYNbde7N9JuxzkkzUdXQyqwVZnCvEBhNQZqhWgTGLIqwwZ9fDWkAtpUUX0s1GKYFaK5CbCpIh+03t/qdL1xS4wdW17GO/61KXXrhcMKQsTtiAEILugEzPGOX/slXfv2Q+WfYHdwpRkCM6fDTBLv+AlaOgFvvCPu3kgzxDsUzVp0kUvRq2Qt6RaySESXN4negTppKjWeVbJf5KJ/72AmMmg/T/WxMGOgVog2kQH7efJBj27S94uhWxVNIoVYJKKqV0lXpjIRWV8vs75bFvJwqlAF1lpVmNdCHRbDrBDNTfxL1XM+6OjrOv7zqdQtrxz0MnJ1CiC4oBMwxzl+7Zd07dsPk39i3cGVZgjMnA4zSZzjJ2jpBLxxTnX3RpohzqFoPr4JDKtfFa7dRA3GQK0QbQJD6lds0EcYDkNnx6mPhVoMs0I0NwHOjuODXu9brtG3/WDbFNCOxCRLjJtMS6F3kBZ6a2mpt5aWpcUUwnUOlRB4BQICwiercRtpTdFqilZTtDaKlk6xPVtBFPCEtd4oWlPo67g5tBw3h7aAjBueE0g0ymZb84PaBFoK8zr75pXBOu5GRcJfKbigE4hgAlz7OaL9kq5dhmgnj1SWAYkqeorQGTB7SyfgC51tgw1F6VgIbfJls6qXyWrV6a4f/WJvtcyTvMjLrlw0oi42/n8AkZDA+o6FCDMGaoVYkZDwL2fP+aCPry9QYAuDwrxG5rAYZoVoboIsDLJBR1oYtNxae/djXgoZt7FL+PPfCzoBc7Ti135J17790PinzX25zJwuepJoxW/2lk4wfbRCUXp005DE+o6lvQXXaAzUCrGmIYn0HbNBH19QK3PMTawRvs1imBWiuYk/AZvzQY/Le6c3hxLqmx9jreWmrCn9TWzKBVxNbEJm29aYNKoBCC7oBLxRDaD9kq59++HyT687uNIMgZnTYaaIdgCClk7AF+28oe1690ba7biHpFmLXgxFVRXLIulENyRCpHXSVf2Q1LmsRL/I8ro+mFO7pcRWaaQIMwZqhWgTGrJKwwZ9hOEx1uUnZajFMCtEcxOky48NOtIqzcs4x79GpW65eY1qU9TN0236aeMcP8EFnYA5zvFrv6Rr336Y/BPrDq40Q2DmdJhJ4hw/QUsn4I1zyrs30gxxDkXz8U1gFTaBOXvZbhsDtUK0CczfdDjngx7dJC2GRTlUWbLMF8tE1I1IGqlyfpXul1mWykqumsNxE6zLTzob3kwWw6wQzU38S9ZzPuh1+5ZmF9uOsG0LqFGIZIp1/1aZnqqL0BepL+ZT45UtGocthMy3bTFt/5aiaDVFqylaG0VLp5ikf0tR6KsYr3K8mkH0JEYh0SibTFzflhhriubhpTS/Kb+p+zZxX4ko/fsTXNAJRDABrv0c0X5J1y5DtJNHKvOARBY9RewMmL2lE/DFzpbBhqRUS10VTSebvE6KLFslWTYMSdOkIllmZZl1i7Tvm80TfAChUIntUFCal0mtxkCtECsUKv3r2XM+6OtS1+auH1ZbcSmM1NeTbNwdCUr/iu4FnYB5WvJrv6Rr336I/OPjvlxmThc9ybTkN3tLJ+Cblt7Qdr17I80wQVE0b0aejafrX2KMPDeLz6V/6V2NSNIJGjlQ9hNc0AmYRyS/9ku6dhminTwivZzS/TBzOswkI5WfoKUT8I5U8u6NNMNIRdGsRct6qBZ1uUpEVfXq0jdJU8tVknYyr/siX1X14r2DCaWxHveyDDMGaoVoobS/ZDLng45dPS39S+/qlruX3uN2iQEEF3QC5gnMr/2Srn37YfKPmDu40gyBmdNhJpnA/AQtnYB3AtObX2ykGSYwiubjm8CwsljprhAZOmEwK0SbwJCyGBv0piy2/t/XTl/5l7/2e1/7Rqa+89q/ufat01f+sevvfOfj//Vbw3eU9b62+vCDj/Wviw+/9eFH+jfdR7/f67/tG/k3pKgrZemvfdB9W/8Dz97/9vCdk8fDvz05//Db3QfqX/vO+/9O/UGWn37tjz5YDh996/0P9Oc++FD9on6s+9b7v/+BNrD+a//gw4/e/3fq3+q+pT7xrWH1sfrx/3n46OP3F+N3Fupjw0fqe//2o+4Pnw3/i/qZjz/6o0H9Lb1CHD4atfYffvzxh99e/05/c6Yprv/BUwNCOv5P2e30a8v3u9//8AP9b1F+ehRM+smP3v/9PyD+6Mcf/iHlB9VPrt7/1giqf9U+rT7wnQ+/pW6/9oXlfevPasfoPvr49geufUE7wx99ux8++saHHyk3WzuQ/t39D5f6X3lr+GD4SBlZfe4PP/rw43UNUH/qWx8u/qdBud/1twetZf1Qqm++/8EfqEfyYy3+/wfiHyQz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</si>
  <si>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</si>
  <si>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</si>
  <si>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</si>
  <si>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</si>
  <si>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</si>
  <si>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</si>
  <si>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</si>
  <si>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</si>
  <si>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</si>
  <si>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</si>
  <si>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</si>
  <si>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</si>
  <si>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</si>
  <si>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</si>
  <si>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</si>
  <si>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</si>
  <si>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</si>
  <si>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</si>
  <si>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</si>
  <si>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</si>
  <si>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</si>
  <si>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</si>
  <si>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</si>
  <si>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</si>
  <si>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</si>
  <si>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</si>
  <si>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</si>
  <si>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</si>
  <si>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</si>
  <si>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</si>
  <si>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</si>
  <si>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</si>
  <si>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</si>
  <si>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</si>
  <si>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</si>
  <si>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</si>
  <si>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6.2.2.4.1</t>
  </si>
  <si>
    <t>Устройство стен</t>
  </si>
  <si>
    <t>1.1.1.1.1.1.1</t>
  </si>
  <si>
    <t>6.2.2.4.1.7.1</t>
  </si>
  <si>
    <t>Монтаж, демонтаж, аренда строительных лесов</t>
  </si>
  <si>
    <t>НЗ №11 от 12.09.2025 пом. 2.037</t>
  </si>
  <si>
    <t>м2</t>
  </si>
  <si>
    <t>b834d9d5-d82e-4a35-aecd-d355084311b3</t>
  </si>
  <si>
    <t>726efd05-6e17-4385-bac1-0ec0b1a3a118</t>
  </si>
  <si>
    <t>0ed13e26-7903-4b3b-80e2-92ed86dbdc43</t>
  </si>
  <si>
    <t>1.1.1.1.1.1.1.1</t>
  </si>
  <si>
    <t>Материал для загрузки объемов BIM</t>
  </si>
  <si>
    <t>элем</t>
  </si>
  <si>
    <t>303752372.1743487</t>
  </si>
  <si>
    <t>19923873.1743487</t>
  </si>
  <si>
    <t>78ab68f9-18f4-47f6-9a93-453e6cc7884c</t>
  </si>
  <si>
    <t>1.1.1.1.1.2</t>
  </si>
  <si>
    <t>6.2.2.4.2</t>
  </si>
  <si>
    <t>Устройство перегородок</t>
  </si>
  <si>
    <t>1.1.1.1.1.2.1</t>
  </si>
  <si>
    <t>6.2.2.4.2.1</t>
  </si>
  <si>
    <t>Устройство перегородок из кирпича и блоков</t>
  </si>
  <si>
    <t>1.1.1.1.1.2.1.1</t>
  </si>
  <si>
    <t>6.2.2.4.2.1.1.2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</si>
  <si>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</si>
  <si>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Выгружается из БО по объектам BIM-КЦ</t>
  </si>
  <si>
    <t>НЗ №6 от 15.07.2025. пом. 1.030</t>
  </si>
  <si>
    <t>8f7d365e-38c4-48f1-99bd-115dc592647b</t>
  </si>
  <si>
    <t>6687ec1f-6ef6-434f-b995-cdd898f7c555</t>
  </si>
  <si>
    <t>1.1.1.1.1.2.1.1.1</t>
  </si>
  <si>
    <t xml:space="preserve">Смесь сухая цементно-песчаная </t>
  </si>
  <si>
    <t>кг</t>
  </si>
  <si>
    <t>303752376.1129228</t>
  </si>
  <si>
    <t>18539953.1129228</t>
  </si>
  <si>
    <t>3f64133f-4d71-4dd3-93b5-4c3bc39ac247</t>
  </si>
  <si>
    <t>1.1.1.1.1.2.1.1.2</t>
  </si>
  <si>
    <t>Материалы для примыкания / уплотняющий жгут, клей на м2</t>
  </si>
  <si>
    <t>комплект</t>
  </si>
  <si>
    <t>303752376.1125465</t>
  </si>
  <si>
    <t>18539953.1125465</t>
  </si>
  <si>
    <t>ba2db4ae-0372-432d-874c-3cbc389cb3d3</t>
  </si>
  <si>
    <t>1.1.1.1.1.2.1.1.3</t>
  </si>
  <si>
    <t>Прочие материалы для кладки /  из кирпича / 65 -120мм</t>
  </si>
  <si>
    <t>303752376.1125487</t>
  </si>
  <si>
    <t>18539953.1125487</t>
  </si>
  <si>
    <t>4f235928-efbf-499b-8de5-b7c597ff96fa</t>
  </si>
  <si>
    <t>1.1.1.1.1.2.1.1.4</t>
  </si>
  <si>
    <t>Сетка эл/св_ / 50*50*4</t>
  </si>
  <si>
    <t>303752376.55158</t>
  </si>
  <si>
    <t>18539953.55158</t>
  </si>
  <si>
    <t>1e965c83-b714-40db-9a09-5fe1d1cf91a6</t>
  </si>
  <si>
    <t>1.1.1.1.1.2.1.1.5</t>
  </si>
  <si>
    <t>Кирпич полнотелый рядовой_ / м-150</t>
  </si>
  <si>
    <t>шт</t>
  </si>
  <si>
    <t>303752376.54588</t>
  </si>
  <si>
    <t>18539953.54588</t>
  </si>
  <si>
    <t>75781f06-c50b-4212-84dd-cadd16dc552b</t>
  </si>
  <si>
    <t>1.1.1.1.1.2.2</t>
  </si>
  <si>
    <t>6.2.2.4.2.4</t>
  </si>
  <si>
    <t>Устройство перегородок и зашивка коммуникаций ГКЛ</t>
  </si>
  <si>
    <t>1.1.1.1.1.2.2.1</t>
  </si>
  <si>
    <t>6.2.2.4.2.4.1.3</t>
  </si>
  <si>
    <t>Устройство перегородок на металлическом каркасе по системе Knauf / С-115.1 / А2-16</t>
  </si>
  <si>
    <t>НЗ №7 от 16.07.2025. пом. 1.030</t>
  </si>
  <si>
    <t>09081587-04d0-4a7e-b27a-26e6c1596cec</t>
  </si>
  <si>
    <t>5f0da678-df96-489e-bd05-e5f79b4d6b88</t>
  </si>
  <si>
    <t>1.1.1.1.1.2.2.1.1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</si>
  <si>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</si>
  <si>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303752379.1521788</t>
  </si>
  <si>
    <t>18541173.1521788</t>
  </si>
  <si>
    <t>a62e1417-9467-44d3-81a2-91aea1356d96</t>
  </si>
  <si>
    <t>1.1.1.1.1.2.2.1.2</t>
  </si>
  <si>
    <t>Гипсовые строительные плиты_ / влагостойкий / 12,5*1200*2500</t>
  </si>
  <si>
    <t>ГВЛ влагостойкий</t>
  </si>
  <si>
    <t>303752379.54553</t>
  </si>
  <si>
    <t>18541173.54553</t>
  </si>
  <si>
    <t>efad23af-fbbd-4322-a1b7-0c398c24e336</t>
  </si>
  <si>
    <t>1.1.1.1.1.2.2.1.3</t>
  </si>
  <si>
    <t>Профиль_/стоечный/50*50*0,60/3м</t>
  </si>
  <si>
    <t>пог. м</t>
  </si>
  <si>
    <t>303752379.54565</t>
  </si>
  <si>
    <t>18541173.54565</t>
  </si>
  <si>
    <t>aadfbe6a-ab19-412b-a4b6-645b6bf99174</t>
  </si>
  <si>
    <t>1.1.1.1.1.2.2.1.4</t>
  </si>
  <si>
    <t>Профиль_/направляющий/50*40*0,60/3м</t>
  </si>
  <si>
    <t>303752379.54570</t>
  </si>
  <si>
    <t>18541173.54570</t>
  </si>
  <si>
    <t>fcc6f7bc-87cc-49c1-b4ac-f6a22abb8878</t>
  </si>
  <si>
    <t>1.1.1.1.1.2.2.2</t>
  </si>
  <si>
    <t>пом. 2.033</t>
  </si>
  <si>
    <t>1.1.1.1.1.2.2.2.1</t>
  </si>
  <si>
    <t>303752459.54565</t>
  </si>
  <si>
    <t>19932232.54565</t>
  </si>
  <si>
    <t>1.1.1.1.1.2.2.2.2</t>
  </si>
  <si>
    <t>303752459.54570</t>
  </si>
  <si>
    <t>19932232.54570</t>
  </si>
  <si>
    <t>1.1.1.1.1.2.2.2.3</t>
  </si>
  <si>
    <t>303752459.54553</t>
  </si>
  <si>
    <t>19932232.54553</t>
  </si>
  <si>
    <t>1.1.1.1.1.2.2.2.4</t>
  </si>
  <si>
    <t>303752459.1521788</t>
  </si>
  <si>
    <t>19932232.1521788</t>
  </si>
  <si>
    <t>1.1.1.1.1.2.2.3</t>
  </si>
  <si>
    <t>пом. 2.022</t>
  </si>
  <si>
    <t>1.1.1.1.1.2.2.3.1</t>
  </si>
  <si>
    <t>303752460.54565</t>
  </si>
  <si>
    <t>19932231.54565</t>
  </si>
  <si>
    <t>1.1.1.1.1.2.2.3.2</t>
  </si>
  <si>
    <t>303752460.54570</t>
  </si>
  <si>
    <t>19932231.54570</t>
  </si>
  <si>
    <t>1.1.1.1.1.2.2.3.3</t>
  </si>
  <si>
    <t>303752460.54553</t>
  </si>
  <si>
    <t>19932231.54553</t>
  </si>
  <si>
    <t>1.1.1.1.1.2.2.3.4</t>
  </si>
  <si>
    <t>303752460.1521788</t>
  </si>
  <si>
    <t>19932231.1521788</t>
  </si>
  <si>
    <t>1.1.1.1.1.2.2.4</t>
  </si>
  <si>
    <t>6.2.2.4.2.4.2.9</t>
  </si>
  <si>
    <t>Облицовка стен по системе Knauf / С-665 / в 1 слой / А-12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</si>
  <si>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</si>
  <si>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f3c41b44-b14f-42a7-8846-00f749fb5e6c</t>
  </si>
  <si>
    <t>70a8166b-84d9-4b65-a53a-b2cce2704a50</t>
  </si>
  <si>
    <t>1.1.1.1.1.2.2.4._</t>
  </si>
  <si>
    <t>1.1.1.1.1.2.2.4.1</t>
  </si>
  <si>
    <t>Прочие материалы для облицовки стен из ГКЛ (лента, шпатлевка, грунтовка, шуруп, дюбель и пр.)_ / 1 слой ГКЛ / профиль ПН/ПС 75 мм</t>
  </si>
  <si>
    <t>303752381.1277440</t>
  </si>
  <si>
    <t>16084977.1277440</t>
  </si>
  <si>
    <t>b1463634-82d7-49d6-b536-2d7cba892a32</t>
  </si>
  <si>
    <t>1.1.1.1.1.2.2.4.1._</t>
  </si>
  <si>
    <t>204426388.1277440</t>
  </si>
  <si>
    <t>1.1.1.1.1.2.2.4.2</t>
  </si>
  <si>
    <t>Профиль_/стоечный/75*50*0,40/3м</t>
  </si>
  <si>
    <t>303752381.54567</t>
  </si>
  <si>
    <t>16084977.54567</t>
  </si>
  <si>
    <t>accea0ce-89ba-4e8f-a48a-54a6de4b1337</t>
  </si>
  <si>
    <t>1.1.1.1.1.2.2.4.2._</t>
  </si>
  <si>
    <t>204426388.54567</t>
  </si>
  <si>
    <t>1.1.1.1.1.2.2.4.3</t>
  </si>
  <si>
    <t>Профиль_/направляющий/50*50*0,40/3м</t>
  </si>
  <si>
    <t>303752381.54566</t>
  </si>
  <si>
    <t>16084977.54566</t>
  </si>
  <si>
    <t>c2f1d1c0-1cc2-4bd4-8e05-ef1e6946382b</t>
  </si>
  <si>
    <t>1.1.1.1.1.2.2.4.3._</t>
  </si>
  <si>
    <t>204426388.54566</t>
  </si>
  <si>
    <t>1.1.1.1.1.2.2.4.4</t>
  </si>
  <si>
    <t>Лист гипсоволокнистый ГВЛ 12,5мм Г1</t>
  </si>
  <si>
    <t>303752381.7351</t>
  </si>
  <si>
    <t>16084977.7351</t>
  </si>
  <si>
    <t>22b5ef4a-0665-11e8-80d9-005056881952</t>
  </si>
  <si>
    <t>1.1.1.1.1.2.2.4.4._</t>
  </si>
  <si>
    <t>204426388.7351</t>
  </si>
  <si>
    <t>1.1.1.1.1.3</t>
  </si>
  <si>
    <t>6.2.2.4.3</t>
  </si>
  <si>
    <t>Устройство перемычек и фахверков</t>
  </si>
  <si>
    <t>1.1.1.1.1.3.1</t>
  </si>
  <si>
    <t>6.2.2.4.3.2.1</t>
  </si>
  <si>
    <t>Устройство перемычек металлических с огрунтовкой и окраской</t>
  </si>
  <si>
    <t>т</t>
  </si>
  <si>
    <t>96f3ac31-40e6-4822-821a-d3fdf3ec03db</t>
  </si>
  <si>
    <t>fa0903b4-76cb-4cff-8585-505068457eb5</t>
  </si>
  <si>
    <t>1.1.1.1.1.3.1.1</t>
  </si>
  <si>
    <t>Анкерный стержень для перемычек</t>
  </si>
  <si>
    <t>303752384.1541478</t>
  </si>
  <si>
    <t>19930594.1541478</t>
  </si>
  <si>
    <t>2d9616e9-240c-4f9c-856b-38bec43f92c9</t>
  </si>
  <si>
    <t>1.1.1.1.1.3.1.2</t>
  </si>
  <si>
    <t>Швеллер_ / 14П</t>
  </si>
  <si>
    <t>303752384.1511813</t>
  </si>
  <si>
    <t>19930594.1511813</t>
  </si>
  <si>
    <t>f25d96f1-a8c2-4784-aa7b-ce16c402f718</t>
  </si>
  <si>
    <t>1.1.1.1.1.3.1.3</t>
  </si>
  <si>
    <t>Прочий материал для перемычек (клей, грунт) / для полосы или уголка</t>
  </si>
  <si>
    <t>303752384.1125500</t>
  </si>
  <si>
    <t>19930594.1125500</t>
  </si>
  <si>
    <t>97930081-487f-4c6f-83bb-314f8c308cc2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</si>
  <si>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</si>
  <si>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</si>
  <si>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</si>
  <si>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</si>
  <si>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</si>
  <si>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</si>
  <si>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</si>
  <si>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</si>
  <si>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</si>
  <si>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</si>
  <si>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</si>
  <si>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</si>
  <si>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</si>
  <si>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</si>
  <si>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</si>
  <si>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</si>
  <si>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</si>
  <si>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</si>
  <si>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</si>
  <si>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 xml:space="preserve">спорт залы, П-20 и П-21, №1.030 и 2.037 
</t>
  </si>
  <si>
    <t>b30e711e-fd2e-4402-9c1c-fd9dc1b88c63</t>
  </si>
  <si>
    <t>406d96a2-5db4-4f45-9273-4d1b12717a82</t>
  </si>
  <si>
    <t>8a7cac49-151b-40fd-a08b-5e72f8ff4034</t>
  </si>
  <si>
    <t>1.1.2.1.1.1.1.1._</t>
  </si>
  <si>
    <t>1.1.2.1.1.1.1.1.1</t>
  </si>
  <si>
    <t>Наливной пол_ / Унифицированный по ПИК-СТАНДАРТ</t>
  </si>
  <si>
    <t>10 мм самовыравнивающаяся смесь</t>
  </si>
  <si>
    <t>303752391.843695</t>
  </si>
  <si>
    <t>16078328.843695</t>
  </si>
  <si>
    <t>df4d871a-815e-4066-8cc1-e339f3f3c9fe</t>
  </si>
  <si>
    <t>1.1.2.1.1.1.1.1.1._</t>
  </si>
  <si>
    <t>204257133.843695</t>
  </si>
  <si>
    <t>1.1.2.1.1.1.1.1.2</t>
  </si>
  <si>
    <t>Грунтовка универсальный ЛАСТИМИН_ / УНКОНТ ЛЮКС LP51 А</t>
  </si>
  <si>
    <t>303752391.1139608</t>
  </si>
  <si>
    <t>16078328.1139608</t>
  </si>
  <si>
    <t>bbceaf39-544c-478f-a605-41b8d1bad350</t>
  </si>
  <si>
    <t>1.1.2.1.1.1.1.1.2._</t>
  </si>
  <si>
    <t>204257133.1139608</t>
  </si>
  <si>
    <t>1.1.2.1.1.1.1.2</t>
  </si>
  <si>
    <t>6.3.1.5.1.1.6.3</t>
  </si>
  <si>
    <t>Устройство разделительного слоя / из пленки полиэтиленовой / в 1 слой</t>
  </si>
  <si>
    <t>спорт. зал №1.030</t>
  </si>
  <si>
    <t>672f52f6-b26d-4fee-8a2b-3f641d01bb01</t>
  </si>
  <si>
    <t>91058521-be9a-4628-9277-514b8aa56189</t>
  </si>
  <si>
    <t>1.1.2.1.1.1.1.2._</t>
  </si>
  <si>
    <t>1.1.2.1.1.1.1.2.1</t>
  </si>
  <si>
    <t>Пленка полиэтиленовая_/200мкр</t>
  </si>
  <si>
    <t>303752393.55069</t>
  </si>
  <si>
    <t>16077965.55069</t>
  </si>
  <si>
    <t>1e9c2d25-a07a-4034-8600-2006e1c8a943</t>
  </si>
  <si>
    <t>1.1.2.1.1.1.1.2.1._</t>
  </si>
  <si>
    <t>204244071.55069</t>
  </si>
  <si>
    <t>1.1.2.1.1.1.1.3</t>
  </si>
  <si>
    <t>пом. №1.007</t>
  </si>
  <si>
    <t>1.1.2.1.1.1.1.3._</t>
  </si>
  <si>
    <t>1.1.2.1.1.1.1.3.1</t>
  </si>
  <si>
    <t>303752461.55069</t>
  </si>
  <si>
    <t>16088187.55069</t>
  </si>
  <si>
    <t>1.1.2.1.1.1.1.3.1._</t>
  </si>
  <si>
    <t>204428532.55069</t>
  </si>
  <si>
    <t>1.1.2.1.1.1.1.4</t>
  </si>
  <si>
    <t>6.3.1.5.1.1.11.3</t>
  </si>
  <si>
    <t>Устройство стяжки СКБ / армированная сеткой от 41 мм до 60мм</t>
  </si>
  <si>
    <t>спорт зал №2.037 П-21</t>
  </si>
  <si>
    <t>ab62b66c-87c5-4996-bbcc-d9044c8dc3c3</t>
  </si>
  <si>
    <t>52f6b76b-892a-4180-890e-fe6cef6a41a6</t>
  </si>
  <si>
    <t>1.1.2.1.1.1.1.4._</t>
  </si>
  <si>
    <t>1.1.2.1.1.1.1.4.1</t>
  </si>
  <si>
    <t>Смесь цементно-песчаная сухая_/М150</t>
  </si>
  <si>
    <t>59 мм</t>
  </si>
  <si>
    <t>303752395.54611</t>
  </si>
  <si>
    <t>16078058.54611</t>
  </si>
  <si>
    <t>a1146549-61c5-4487-b5c7-fb7d0d185669</t>
  </si>
  <si>
    <t>1.1.2.1.1.1.1.4.1._</t>
  </si>
  <si>
    <t>204257137.54611</t>
  </si>
  <si>
    <t>1.1.2.1.1.1.1.4.2</t>
  </si>
  <si>
    <t>Сетка эл/св_/100*100*5</t>
  </si>
  <si>
    <t>303752395.55156</t>
  </si>
  <si>
    <t>16078058.55156</t>
  </si>
  <si>
    <t>bf82eb44-b4c2-419c-ba3f-021582715b59</t>
  </si>
  <si>
    <t>1.1.2.1.1.1.1.4.2._</t>
  </si>
  <si>
    <t>204257137.55156</t>
  </si>
  <si>
    <t>1.1.2.1.1.1.1.4.3</t>
  </si>
  <si>
    <t>Лента кромочная демпферная_/8*100мм/20м</t>
  </si>
  <si>
    <t>303752395.55045</t>
  </si>
  <si>
    <t>16078058.55045</t>
  </si>
  <si>
    <t>41f707b9-71e7-4101-86f2-7af29d65f5fe</t>
  </si>
  <si>
    <t>1.1.2.1.1.1.1.4.3._</t>
  </si>
  <si>
    <t>204257137.55045</t>
  </si>
  <si>
    <t>1.1.2.1.1.1.1.4.4</t>
  </si>
  <si>
    <t>Грунтовка БЕТОН-КОНТАКТ_/</t>
  </si>
  <si>
    <t>303752395.54633</t>
  </si>
  <si>
    <t>16078058.54633</t>
  </si>
  <si>
    <t>8682c7d7-b370-46ef-9c4b-39309f9aa3e8</t>
  </si>
  <si>
    <t>1.1.2.1.1.1.1.4.4._</t>
  </si>
  <si>
    <t>204257137.54633</t>
  </si>
  <si>
    <t>1.1.2.1.1.1.1.5</t>
  </si>
  <si>
    <t>6.3.1.5.1.1.11.4</t>
  </si>
  <si>
    <t>Устройство стяжки СКБ / армированная сеткой от 61мм до 80мм</t>
  </si>
  <si>
    <t>спорт зал №1.030 П-20</t>
  </si>
  <si>
    <t>69309f48-e9fb-4ccc-8a31-9b4745ed871a</t>
  </si>
  <si>
    <t>23adf7dc-e836-4d8a-ab74-26a79242b402</t>
  </si>
  <si>
    <t>1.1.2.1.1.1.1.5._</t>
  </si>
  <si>
    <t>1.1.2.1.1.1.1.5.1</t>
  </si>
  <si>
    <t>64 мм</t>
  </si>
  <si>
    <t>303752396.54611</t>
  </si>
  <si>
    <t>16078057.54611</t>
  </si>
  <si>
    <t>1.1.2.1.1.1.1.5.1._</t>
  </si>
  <si>
    <t>204257138.54611</t>
  </si>
  <si>
    <t>1.1.2.1.1.1.1.5.2</t>
  </si>
  <si>
    <t>303752396.55156</t>
  </si>
  <si>
    <t>16078057.55156</t>
  </si>
  <si>
    <t>1.1.2.1.1.1.1.5.2._</t>
  </si>
  <si>
    <t>204257138.55156</t>
  </si>
  <si>
    <t>1.1.2.1.1.1.1.5.3</t>
  </si>
  <si>
    <t>303752396.55045</t>
  </si>
  <si>
    <t>16078057.55045</t>
  </si>
  <si>
    <t>1.1.2.1.1.1.1.5.3._</t>
  </si>
  <si>
    <t>204257138.55045</t>
  </si>
  <si>
    <t>1.1.2.1.1.1.1.6</t>
  </si>
  <si>
    <t>пом №2.058</t>
  </si>
  <si>
    <t>1.1.2.1.1.1.1.6._</t>
  </si>
  <si>
    <t>1.1.2.1.1.1.1.6.1</t>
  </si>
  <si>
    <t>303752462.54633</t>
  </si>
  <si>
    <t>16080100.54633</t>
  </si>
  <si>
    <t>1.1.2.1.1.1.1.6.1._</t>
  </si>
  <si>
    <t>204388331.54633</t>
  </si>
  <si>
    <t>1.1.2.1.1.1.1.6.2</t>
  </si>
  <si>
    <t>303752462.55045</t>
  </si>
  <si>
    <t>16080100.55045</t>
  </si>
  <si>
    <t>1.1.2.1.1.1.1.6.2._</t>
  </si>
  <si>
    <t>204388331.55045</t>
  </si>
  <si>
    <t>1.1.2.1.1.1.1.6.3</t>
  </si>
  <si>
    <t>303752462.55156</t>
  </si>
  <si>
    <t>16080100.55156</t>
  </si>
  <si>
    <t>1.1.2.1.1.1.1.6.3._</t>
  </si>
  <si>
    <t>204388331.55156</t>
  </si>
  <si>
    <t>1.1.2.1.1.1.1.6.4</t>
  </si>
  <si>
    <t>65 мм</t>
  </si>
  <si>
    <t>303752462.54611</t>
  </si>
  <si>
    <t>16080100.54611</t>
  </si>
  <si>
    <t>1.1.2.1.1.1.1.6.4._</t>
  </si>
  <si>
    <t>204388331.54611</t>
  </si>
  <si>
    <t>1.1.2.1.1.1.1.7</t>
  </si>
  <si>
    <t>помещ. №1.007</t>
  </si>
  <si>
    <t>1.1.2.1.1.1.1.7._</t>
  </si>
  <si>
    <t>1.1.2.1.1.1.1.7.1</t>
  </si>
  <si>
    <t>303752463.55045</t>
  </si>
  <si>
    <t>16088189.55045</t>
  </si>
  <si>
    <t>1.1.2.1.1.1.1.7.1._</t>
  </si>
  <si>
    <t>204428534.55045</t>
  </si>
  <si>
    <t>1.1.2.1.1.1.1.7.2</t>
  </si>
  <si>
    <t>303752463.55156</t>
  </si>
  <si>
    <t>16088189.55156</t>
  </si>
  <si>
    <t>1.1.2.1.1.1.1.7.2._</t>
  </si>
  <si>
    <t>204428534.55156</t>
  </si>
  <si>
    <t>1.1.2.1.1.1.1.7.3</t>
  </si>
  <si>
    <t>Смесь цементно-песчаная сухая_/М200</t>
  </si>
  <si>
    <t>65мм</t>
  </si>
  <si>
    <t>303752463.54612</t>
  </si>
  <si>
    <t>16088189.54612</t>
  </si>
  <si>
    <t>0d69655b-e863-4a40-aa5e-ec8a8fb69e4b</t>
  </si>
  <si>
    <t>1.1.2.1.1.1.1.7.3._</t>
  </si>
  <si>
    <t>204428534.54612</t>
  </si>
  <si>
    <t>1.1.2.1.1.1.1.8</t>
  </si>
  <si>
    <t>6.3.1.5.1.1.12.1</t>
  </si>
  <si>
    <t>Устройство наливных полов СКБ / толщ. до 10 мм</t>
  </si>
  <si>
    <t xml:space="preserve"> пом. 1.030 и 2.037, тип П-20 и П-21,</t>
  </si>
  <si>
    <t>b65fecf4-86b0-47e5-a873-50746e1e06fc</t>
  </si>
  <si>
    <t>1c1d8a34-6071-4900-a8e0-abeca2f16e8f</t>
  </si>
  <si>
    <t>1.1.2.1.1.1.1.8.1</t>
  </si>
  <si>
    <t>303752398.55045</t>
  </si>
  <si>
    <t>19955023.55045</t>
  </si>
  <si>
    <t>1.1.2.1.1.1.1.8.2</t>
  </si>
  <si>
    <t>303752398.1139608</t>
  </si>
  <si>
    <t>19955023.1139608</t>
  </si>
  <si>
    <t>1.1.2.1.1.1.1.8.3</t>
  </si>
  <si>
    <t>303752398.1352734</t>
  </si>
  <si>
    <t>19955023.1352734</t>
  </si>
  <si>
    <t>1c2289ef-6763-4a24-83d9-d4567710d066</t>
  </si>
  <si>
    <t>1.1.2.1.1.1.2</t>
  </si>
  <si>
    <t>6.3.1.5.1.2</t>
  </si>
  <si>
    <t>Гидроизоляция, тепло-звукоизоляция, утепление</t>
  </si>
  <si>
    <t>1.1.2.1.1.1.2.1</t>
  </si>
  <si>
    <t>6.3.1.5.1.2.4.1</t>
  </si>
  <si>
    <t>Устройство тепло-звукоизоляции полов / минвата / в 1 слой</t>
  </si>
  <si>
    <t>спорт зал №1.030</t>
  </si>
  <si>
    <t>af86ab82-d73d-4a1e-bbf7-c759e5f4c78d</t>
  </si>
  <si>
    <t>712c77f6-f7c6-46fe-bc4a-fb39db44eb02</t>
  </si>
  <si>
    <t>1.1.2.1.1.1.2.1._</t>
  </si>
  <si>
    <t>1.1.2.1.1.1.2.1.1</t>
  </si>
  <si>
    <t>Герметик Вибросил / 290 мл</t>
  </si>
  <si>
    <t>303752401.644461</t>
  </si>
  <si>
    <t>16077964.644461</t>
  </si>
  <si>
    <t>e59fbfea-da0b-4a9c-8567-2fe1499a1f7a</t>
  </si>
  <si>
    <t>1.1.2.1.1.1.2.1.1._</t>
  </si>
  <si>
    <t>204244074.644461</t>
  </si>
  <si>
    <t>1.1.2.1.1.1.2.1.2</t>
  </si>
  <si>
    <t xml:space="preserve">Мин. плита Техноакустик </t>
  </si>
  <si>
    <t>м3</t>
  </si>
  <si>
    <t>303752401.707289</t>
  </si>
  <si>
    <t>16077964.707289</t>
  </si>
  <si>
    <t>2aa4233f-c631-436f-a5fb-e3286f3f03b3</t>
  </si>
  <si>
    <t>1.1.2.1.1.1.2.1.2._</t>
  </si>
  <si>
    <t>204244074.707289</t>
  </si>
  <si>
    <t>1.1.2.1.1.1.2.2</t>
  </si>
  <si>
    <t>пом.-е №1.007</t>
  </si>
  <si>
    <t>1.1.2.1.1.1.2.2._</t>
  </si>
  <si>
    <t>1.1.2.1.1.1.2.2.1</t>
  </si>
  <si>
    <t>303752464.707289</t>
  </si>
  <si>
    <t>16088188.707289</t>
  </si>
  <si>
    <t>1.1.2.1.1.1.2.2.1._</t>
  </si>
  <si>
    <t>204428533.707289</t>
  </si>
  <si>
    <t>1.1.2.1.1.1.2.2.2</t>
  </si>
  <si>
    <t>303752464.644461</t>
  </si>
  <si>
    <t>16088188.644461</t>
  </si>
  <si>
    <t>1.1.2.1.1.1.2.2.2._</t>
  </si>
  <si>
    <t>204428533.644461</t>
  </si>
  <si>
    <t>1.1.2.1.1.1.2.3</t>
  </si>
  <si>
    <t>6.3.1.5.1.2.4.5</t>
  </si>
  <si>
    <t>Устройство тепло-звукоизоляции полов / Рулонный материал / в 1 слой</t>
  </si>
  <si>
    <t>№2.037</t>
  </si>
  <si>
    <t>9e39c19a-3e5a-48a9-81d4-c19cd118ebe6</t>
  </si>
  <si>
    <t>df4f9fc0-265b-42df-a3b8-2eeb21d35d10</t>
  </si>
  <si>
    <t>1.1.2.1.1.1.2.3._</t>
  </si>
  <si>
    <t>1.1.2.1.1.1.2.3.1</t>
  </si>
  <si>
    <t>Подложка 5мм Пенополиэтилен / фольга</t>
  </si>
  <si>
    <t>Звукоизоляция пола рулонная (индекс снижения ударного
шума ≥26 Дб) - 5мм</t>
  </si>
  <si>
    <t>303752402.27127</t>
  </si>
  <si>
    <t>16078329.27127</t>
  </si>
  <si>
    <t>9c71aec3-d5f9-11e8-80e6-005056881952</t>
  </si>
  <si>
    <t>1.1.2.1.1.1.2.3.1._</t>
  </si>
  <si>
    <t>204257142.27127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</si>
  <si>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</si>
  <si>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</si>
  <si>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</si>
  <si>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</si>
  <si>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</si>
  <si>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</si>
  <si>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пом.№ 2.058</t>
  </si>
  <si>
    <t>ba238fec-d7fc-420d-944a-4b6d4b8cbc4b</t>
  </si>
  <si>
    <t>f56b84ba-3593-441c-a94c-fbcf59225a06</t>
  </si>
  <si>
    <t>1.1.2.1.1.1.3.1._</t>
  </si>
  <si>
    <t>1.1.2.1.1.1.3.1.1</t>
  </si>
  <si>
    <t>Клей плиточный/ Унифицированный по ПИК-СТАНДАРТ</t>
  </si>
  <si>
    <t>5мм</t>
  </si>
  <si>
    <t>303752405.54632</t>
  </si>
  <si>
    <t>16080908.54632</t>
  </si>
  <si>
    <t>29ab9003-5b43-49a7-8ba2-846628054d7e</t>
  </si>
  <si>
    <t>1.1.2.1.1.1.3.1.1._</t>
  </si>
  <si>
    <t>204395661.54632</t>
  </si>
  <si>
    <t>1.1.2.1.1.1.3.1.2</t>
  </si>
  <si>
    <t>Керамический гранит Kerama marazzi_ / SG166200N/напольный/ Про Матрикс / 397х397х8 мм</t>
  </si>
  <si>
    <t>прим Керамогранит Kerama Marazzi Про матрикс DD602020R\GCF
600x330х9 мм, серый светлый</t>
  </si>
  <si>
    <t>303752405.720766</t>
  </si>
  <si>
    <t>16080908.720766</t>
  </si>
  <si>
    <t>9957580e-ec46-4b98-98e6-c38f42a89dfd</t>
  </si>
  <si>
    <t>1.1.2.1.1.1.3.1.2._</t>
  </si>
  <si>
    <t>204395661.720766</t>
  </si>
  <si>
    <t>1.1.2.1.1.1.3.1.3</t>
  </si>
  <si>
    <t>Затирка Цезерит СE33_/04 серебристо-серый</t>
  </si>
  <si>
    <t>303752405.54637</t>
  </si>
  <si>
    <t>16080908.54637</t>
  </si>
  <si>
    <t>c293221b-d93c-4424-8200-e1b99b7167e3</t>
  </si>
  <si>
    <t>1.1.2.1.1.1.3.1.3._</t>
  </si>
  <si>
    <t>204395661.54637</t>
  </si>
  <si>
    <t>1.1.2.1.1.1.3.1.4</t>
  </si>
  <si>
    <t>Грунтовка универсальный ЛАСТИМИН_ / LP-51 А</t>
  </si>
  <si>
    <t>303752405.54634</t>
  </si>
  <si>
    <t>16080908.54634</t>
  </si>
  <si>
    <t>6f806fd0-f20f-4c69-8d99-cee4063fa047</t>
  </si>
  <si>
    <t>1.1.2.1.1.1.3.1.4._</t>
  </si>
  <si>
    <t>204395661.54634</t>
  </si>
  <si>
    <t>1.1.2.1.1.1.3.2</t>
  </si>
  <si>
    <t>КР-5
пом. галереи №2.058</t>
  </si>
  <si>
    <t>1.1.2.1.1.1.3.2._</t>
  </si>
  <si>
    <t>1.1.2.1.1.1.3.2.1</t>
  </si>
  <si>
    <t>303752465.54634</t>
  </si>
  <si>
    <t>16080909.54634</t>
  </si>
  <si>
    <t>1.1.2.1.1.1.3.2.1._</t>
  </si>
  <si>
    <t>204395699.54634</t>
  </si>
  <si>
    <t>1.1.2.1.1.1.3.2.2</t>
  </si>
  <si>
    <t>303752465.54637</t>
  </si>
  <si>
    <t>16080909.54637</t>
  </si>
  <si>
    <t>1.1.2.1.1.1.3.2.2._</t>
  </si>
  <si>
    <t>204395699.54637</t>
  </si>
  <si>
    <t>1.1.2.1.1.1.3.2.3</t>
  </si>
  <si>
    <t>303752465.54632</t>
  </si>
  <si>
    <t>16080909.54632</t>
  </si>
  <si>
    <t>1.1.2.1.1.1.3.2.3._</t>
  </si>
  <si>
    <t>204395699.54632</t>
  </si>
  <si>
    <t>1.1.2.1.1.1.3.2.4</t>
  </si>
  <si>
    <t>Плитка керамогранитная_ / 130х800х11 мм</t>
  </si>
  <si>
    <t>применительно Керамогранит Kerama Marazzi SG502120R 200 х800х11 мм, Фрегат медовый бежевый (не ниже КМ1)</t>
  </si>
  <si>
    <t>303752465.1137906</t>
  </si>
  <si>
    <t>16080909.1137906</t>
  </si>
  <si>
    <t>9494a650-87e7-4322-a2a7-6da3a3ab7188</t>
  </si>
  <si>
    <t>1.1.2.1.1.1.3.2.4._</t>
  </si>
  <si>
    <t>204395699.1137906</t>
  </si>
  <si>
    <t>1.1.2.1.1.1.3.3</t>
  </si>
  <si>
    <t>помещ №1.007</t>
  </si>
  <si>
    <t>1.1.2.1.1.1.3.3._</t>
  </si>
  <si>
    <t>1.1.2.1.1.1.3.3.1</t>
  </si>
  <si>
    <t>303752466.54634</t>
  </si>
  <si>
    <t>16087569.54634</t>
  </si>
  <si>
    <t>1.1.2.1.1.1.3.3.1._</t>
  </si>
  <si>
    <t>204420458.54634</t>
  </si>
  <si>
    <t>1.1.2.1.1.1.3.3.2</t>
  </si>
  <si>
    <t>303752466.54637</t>
  </si>
  <si>
    <t>16087569.54637</t>
  </si>
  <si>
    <t>1.1.2.1.1.1.3.3.2._</t>
  </si>
  <si>
    <t>204420458.54637</t>
  </si>
  <si>
    <t>1.1.2.1.1.1.3.3.3</t>
  </si>
  <si>
    <t>Керамический гранит Kerama marazzi_ / Серый светлый / SG614800R/Напольный/Королевская дорога / 600*600*11</t>
  </si>
  <si>
    <t>применительно Керамогранит Kerama Marazzi Про матрикс DD602020R 600x600 х9
мм, серый светлый, Крестик 2мм, затирка Ceresit CE33 04
Серебристо-серый</t>
  </si>
  <si>
    <t>303752466.720769</t>
  </si>
  <si>
    <t>16087569.720769</t>
  </si>
  <si>
    <t>3ac98e36-5cd5-4ac7-9116-897c1cc1bd6a</t>
  </si>
  <si>
    <t>1.1.2.1.1.1.3.3.3._</t>
  </si>
  <si>
    <t>204420458.720769</t>
  </si>
  <si>
    <t>1.1.2.1.1.1.3.3.4</t>
  </si>
  <si>
    <t>303752466.54632</t>
  </si>
  <si>
    <t>16087569.54632</t>
  </si>
  <si>
    <t>1.1.2.1.1.1.3.3.4._</t>
  </si>
  <si>
    <t>204420458.54632</t>
  </si>
  <si>
    <t>1.1.2.1.1.1.3.4</t>
  </si>
  <si>
    <t>6.3.1.5.1.3.2.1</t>
  </si>
  <si>
    <t>Устройство покрытия пола из линолеума</t>
  </si>
  <si>
    <t>Включая защиту ДВП</t>
  </si>
  <si>
    <t>помещения №1.030 и №2.037 спортивные залы</t>
  </si>
  <si>
    <t>51b31787-2db2-4031-aade-329f900ef9b7</t>
  </si>
  <si>
    <t>b58ad002-5dea-4a06-b953-f640911ed5b2</t>
  </si>
  <si>
    <t>1.1.2.1.1.1.3.4._</t>
  </si>
  <si>
    <t>1.1.2.1.1.1.3.4.1</t>
  </si>
  <si>
    <t>Клей для линолеума</t>
  </si>
  <si>
    <t>303752407.702694</t>
  </si>
  <si>
    <t>16075343.702694</t>
  </si>
  <si>
    <t>1a3e3255-5ba6-49e7-bbc8-279e1b1289a0</t>
  </si>
  <si>
    <t>1.1.2.1.1.1.3.4.1._</t>
  </si>
  <si>
    <t>204199105.702694</t>
  </si>
  <si>
    <t>1.1.2.1.1.1.3.4.2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</si>
  <si>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</si>
  <si>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303752407.765919</t>
  </si>
  <si>
    <t>16075343.765919</t>
  </si>
  <si>
    <t>040a81cc-6e03-4c9b-9435-6f96fbe8f43f</t>
  </si>
  <si>
    <t>1.1.2.1.1.1.3.4.2._</t>
  </si>
  <si>
    <t>204199105.765919</t>
  </si>
  <si>
    <t>1.1.2.1.1.1.3.4.3</t>
  </si>
  <si>
    <t>Линолеум (для объектов СКБ)_ / 4 мм  / серый / Omnisports ACTION R40 GREY / Tarkett / - / Спортивный линолеум для школы</t>
  </si>
  <si>
    <t>303752407.1757616</t>
  </si>
  <si>
    <t>16075343.1757616</t>
  </si>
  <si>
    <t>8a051785-3557-4655-9655-cc3c5240c6a9</t>
  </si>
  <si>
    <t>1.1.2.1.1.1.3.4.3._</t>
  </si>
  <si>
    <t>204199105.1757616</t>
  </si>
  <si>
    <t>1.1.2.1.1.1.3.5</t>
  </si>
  <si>
    <t>6.3.1.5.1.3.8.1</t>
  </si>
  <si>
    <t>Установка стыковочных профилей</t>
  </si>
  <si>
    <t>пом. спорт залов</t>
  </si>
  <si>
    <t>76703cd4-c8ff-4e22-abbd-2d5e394281cf</t>
  </si>
  <si>
    <t>d8cca10c-4815-473b-a7ff-575551ece3f3</t>
  </si>
  <si>
    <t>1.1.2.1.1.1.3.5._</t>
  </si>
  <si>
    <t>1.1.2.1.1.1.3.5.1</t>
  </si>
  <si>
    <t>Профиль T-образный ПМЮ-01_ / серебро матовое / 2700*30</t>
  </si>
  <si>
    <t>303752409.54698</t>
  </si>
  <si>
    <t>16076862.54698</t>
  </si>
  <si>
    <t>431fd404-0d93-4656-9911-5bebccf01228</t>
  </si>
  <si>
    <t>1.1.2.1.1.1.3.5.1._</t>
  </si>
  <si>
    <t>204199107.54698</t>
  </si>
  <si>
    <t>1.1.2.1.1.1.3.5.2</t>
  </si>
  <si>
    <t>Жидкие гвозди универсальные_/</t>
  </si>
  <si>
    <t>303752409.54854</t>
  </si>
  <si>
    <t>16076862.54854</t>
  </si>
  <si>
    <t>3378c715-1bc1-40f5-8d09-15a912e04c9d</t>
  </si>
  <si>
    <t>1.1.2.1.1.1.3.5.2._</t>
  </si>
  <si>
    <t>204199107.54854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</si>
  <si>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</si>
  <si>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</si>
  <si>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</si>
  <si>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помещ. № 2.058</t>
  </si>
  <si>
    <t>7c078883-0b0a-4435-9703-ce38f86f609d</t>
  </si>
  <si>
    <t>b85c85d4-a58d-4d1f-9fee-8d36cd9ba4e9</t>
  </si>
  <si>
    <t>1.1.2.1.1.1.3.6._</t>
  </si>
  <si>
    <t>1.1.2.1.1.1.3.6.1</t>
  </si>
  <si>
    <t>Плинтус керамогранитный Дайсен SG211200R/3BT 600х95мм светло-серый</t>
  </si>
  <si>
    <t>прим. Плинтус из керамогранита Kerama Marazzi Про матрикс
DD602200R/6BT 600x95 х9 мм, цвет светло-серый, Крестик 2мм,
затирка Ceresit CE33 04 Серебристо-серый</t>
  </si>
  <si>
    <t>303752411.1747282</t>
  </si>
  <si>
    <t>16082192.1747282</t>
  </si>
  <si>
    <t>d4275771-32c8-11ee-a102-d1661ac0bb93</t>
  </si>
  <si>
    <t>1.1.2.1.1.1.3.6.1._</t>
  </si>
  <si>
    <t>204396870.1747282</t>
  </si>
  <si>
    <t>1.1.2.1.1.1.3.6.2</t>
  </si>
  <si>
    <t>Клей плиточный/Унифицированный по ПИК-СТАНДАРТ</t>
  </si>
  <si>
    <t>303752411.54629</t>
  </si>
  <si>
    <t>16082192.54629</t>
  </si>
  <si>
    <t>e9770899-65c8-423b-aa60-49fe884ae8df</t>
  </si>
  <si>
    <t>1.1.2.1.1.1.3.6.2._</t>
  </si>
  <si>
    <t>204396870.54629</t>
  </si>
  <si>
    <t>1.1.2.1.1.1.3.6.3</t>
  </si>
  <si>
    <t>303752411.54637</t>
  </si>
  <si>
    <t>16082192.54637</t>
  </si>
  <si>
    <t>1.1.2.1.1.1.3.6.3._</t>
  </si>
  <si>
    <t>204396870.54637</t>
  </si>
  <si>
    <t>1.1.2.1.1.1.3.6.4</t>
  </si>
  <si>
    <t>303752411.54634</t>
  </si>
  <si>
    <t>16082192.54634</t>
  </si>
  <si>
    <t>1.1.2.1.1.1.3.6.4._</t>
  </si>
  <si>
    <t>204396870.54634</t>
  </si>
  <si>
    <t>1.1.2.1.1.1.3.7</t>
  </si>
  <si>
    <t>1.1.2.1.1.1.3.7._</t>
  </si>
  <si>
    <t>1.1.2.1.1.1.3.7.1</t>
  </si>
  <si>
    <t>303752467.54634</t>
  </si>
  <si>
    <t>16087853.54634</t>
  </si>
  <si>
    <t>1.1.2.1.1.1.3.7.1._</t>
  </si>
  <si>
    <t>204426456.54634</t>
  </si>
  <si>
    <t>1.1.2.1.1.1.3.7.2</t>
  </si>
  <si>
    <t>303752467.54637</t>
  </si>
  <si>
    <t>16087853.54637</t>
  </si>
  <si>
    <t>1.1.2.1.1.1.3.7.2._</t>
  </si>
  <si>
    <t>204426456.54637</t>
  </si>
  <si>
    <t>1.1.2.1.1.1.3.7.3</t>
  </si>
  <si>
    <t>Керамический гранит Kerama marazzi_ / Светлый серый /  DD600300R, Estima LF01 UnitileVento grey PG  / 600х600х10мм</t>
  </si>
  <si>
    <t>303752467.1275875</t>
  </si>
  <si>
    <t>16087853.1275875</t>
  </si>
  <si>
    <t>95dc61f2-4532-4459-b4a7-bcb3a6b65492</t>
  </si>
  <si>
    <t>1.1.2.1.1.1.3.7.3._</t>
  </si>
  <si>
    <t>204426456.1275875</t>
  </si>
  <si>
    <t>1.1.2.1.1.1.3.7.4</t>
  </si>
  <si>
    <t>Плиточный клей_ / Унифицированный по ПИК-СТАНДАРТ</t>
  </si>
  <si>
    <t>303752467.1570753</t>
  </si>
  <si>
    <t>16087853.1570753</t>
  </si>
  <si>
    <t>be76b7f0-d821-4213-a0b5-d4d9b08818f1</t>
  </si>
  <si>
    <t>1.1.2.1.1.1.3.7.4._</t>
  </si>
  <si>
    <t>204426456.1570753</t>
  </si>
  <si>
    <t>1.1.2.1.1.1.3.8</t>
  </si>
  <si>
    <t>6.3.1.5.1.3.14.1</t>
  </si>
  <si>
    <t>Устройство покрытия пола из кварцвинила / на клею</t>
  </si>
  <si>
    <t>пом. 1,032 и 2.033</t>
  </si>
  <si>
    <t>d2a8c4cc-9752-499d-bcd0-96d63d6d3e47</t>
  </si>
  <si>
    <t>0f62f3eb-5d66-4427-b2d6-a309be9c6e5c</t>
  </si>
  <si>
    <t>1.1.2.1.1.1.3.8.1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</si>
  <si>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</si>
  <si>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 xml:space="preserve">"Клей Forbo-Erfurt 599 расход 0,5 кг/м2
</t>
  </si>
  <si>
    <t>303752413.1579985</t>
  </si>
  <si>
    <t>19936864.1579985</t>
  </si>
  <si>
    <t>f4eb966a-beb9-11eb-80fb-005056881952</t>
  </si>
  <si>
    <t>1.1.2.1.1.1.3.8.2</t>
  </si>
  <si>
    <t>Кварц-виниловая плитка / SPC VIVA Series с защитным слоем 0,3мм</t>
  </si>
  <si>
    <t>Плитка ПВХ Allura Flex 500 х500 мм, текстура - бетон</t>
  </si>
  <si>
    <t>303752413.1745760</t>
  </si>
  <si>
    <t>19936864.1745760</t>
  </si>
  <si>
    <t>5e97e485-cef1-4bb6-9a4e-50ed5226fbd6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</si>
  <si>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</si>
  <si>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</si>
  <si>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</si>
  <si>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</si>
  <si>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</si>
  <si>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</si>
  <si>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</si>
  <si>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</si>
  <si>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</si>
  <si>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</si>
  <si>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c5aa8ee2-e574-43a3-844b-653c022bb54c</t>
  </si>
  <si>
    <t>a4be7dcf-ce5e-4104-94f3-5ba02bfd9c0c</t>
  </si>
  <si>
    <t>1.1.2.1.1.2.1.1._</t>
  </si>
  <si>
    <t>1.1.2.1.1.2.1.1.1</t>
  </si>
  <si>
    <t>Сетка стеклотканевая 200г/м2, ячейка 5х5мм</t>
  </si>
  <si>
    <t>303752417.17342</t>
  </si>
  <si>
    <t>16077164.17342</t>
  </si>
  <si>
    <t>1bf3e29a-aa18-11e8-80e4-005056881952</t>
  </si>
  <si>
    <t>1.1.2.1.1.2.1.1.1._</t>
  </si>
  <si>
    <t>204211275.17342</t>
  </si>
  <si>
    <t>1.1.2.1.1.2.1.1.2</t>
  </si>
  <si>
    <t>303752417.54633</t>
  </si>
  <si>
    <t>16077164.54633</t>
  </si>
  <si>
    <t>1.1.2.1.1.2.1.1.2._</t>
  </si>
  <si>
    <t>204211275.54633</t>
  </si>
  <si>
    <t>1.1.2.1.1.2.1.1.3</t>
  </si>
  <si>
    <t>Смесь цементно-песчаная М100</t>
  </si>
  <si>
    <t>20мм</t>
  </si>
  <si>
    <t>303752417.12403</t>
  </si>
  <si>
    <t>16077164.12403</t>
  </si>
  <si>
    <t>d24451aa-7571-11e8-80e0-005056881952</t>
  </si>
  <si>
    <t>1.1.2.1.1.2.1.1.3._</t>
  </si>
  <si>
    <t>204211275.12403</t>
  </si>
  <si>
    <t>1.1.2.1.1.2.1.1.4</t>
  </si>
  <si>
    <t>Профиль маячковый_/ПМ10</t>
  </si>
  <si>
    <t>303752417.55030</t>
  </si>
  <si>
    <t>16077164.55030</t>
  </si>
  <si>
    <t>2c5b3048-8dfb-4910-9a5b-0bcdfb85437b</t>
  </si>
  <si>
    <t>1.1.2.1.1.2.1.1.4._</t>
  </si>
  <si>
    <t>204211275.55030</t>
  </si>
  <si>
    <t>1.1.2.1.1.2.1.2</t>
  </si>
  <si>
    <t>по блоку, №1.030 и 2.037</t>
  </si>
  <si>
    <t>1.1.2.1.1.2.1.2._</t>
  </si>
  <si>
    <t>1.1.2.1.1.2.1.2.1</t>
  </si>
  <si>
    <t>Грунтовка _ /  универсальная глубокого проникновения</t>
  </si>
  <si>
    <t>303752468.1751832</t>
  </si>
  <si>
    <t>16077288.1751832</t>
  </si>
  <si>
    <t>b4b0210a-8af4-4646-b1a9-fca6c13407aa</t>
  </si>
  <si>
    <t>1.1.2.1.1.2.1.2.1._</t>
  </si>
  <si>
    <t>204216667.1751832</t>
  </si>
  <si>
    <t>1.1.2.1.1.2.1.2.2</t>
  </si>
  <si>
    <t>303752468.55030</t>
  </si>
  <si>
    <t>16077288.55030</t>
  </si>
  <si>
    <t>1.1.2.1.1.2.1.2.2._</t>
  </si>
  <si>
    <t>204216667.55030</t>
  </si>
  <si>
    <t>1.1.2.1.1.2.1.2.3</t>
  </si>
  <si>
    <t>303752468.12403</t>
  </si>
  <si>
    <t>16077288.12403</t>
  </si>
  <si>
    <t>1.1.2.1.1.2.1.2.3._</t>
  </si>
  <si>
    <t>204216667.12403</t>
  </si>
  <si>
    <t>1.1.2.1.1.2.1.2.4</t>
  </si>
  <si>
    <t>303752468.17342</t>
  </si>
  <si>
    <t>16077288.17342</t>
  </si>
  <si>
    <t>1.1.2.1.1.2.1.2.4._</t>
  </si>
  <si>
    <t>204216667.17342</t>
  </si>
  <si>
    <t>1.1.2.1.1.2.1.3</t>
  </si>
  <si>
    <t>жб стены. пом. № 2.058</t>
  </si>
  <si>
    <t>1.1.2.1.1.2.1.3._</t>
  </si>
  <si>
    <t>1.1.2.1.1.2.1.3.1</t>
  </si>
  <si>
    <t>303752469.55030</t>
  </si>
  <si>
    <t>16081379.55030</t>
  </si>
  <si>
    <t>1.1.2.1.1.2.1.3.1._</t>
  </si>
  <si>
    <t>206577563.55030</t>
  </si>
  <si>
    <t>1.1.2.1.1.2.1.3.2</t>
  </si>
  <si>
    <t>303752469.54633</t>
  </si>
  <si>
    <t>16081379.54633</t>
  </si>
  <si>
    <t>1.1.2.1.1.2.1.3.2._</t>
  </si>
  <si>
    <t>206577563.54633</t>
  </si>
  <si>
    <t>1.1.2.1.1.2.1.3.3</t>
  </si>
  <si>
    <t>Штукатурка гипсовая_ / Унифицированная по ПИК-СТАНДАРТ, 30кг</t>
  </si>
  <si>
    <t>303752469.54616</t>
  </si>
  <si>
    <t>16081379.54616</t>
  </si>
  <si>
    <t>b059108e-66ce-4a56-9765-c924e4c0b8b7</t>
  </si>
  <si>
    <t>1.1.2.1.1.2.1.3.3._</t>
  </si>
  <si>
    <t>206577563.54616</t>
  </si>
  <si>
    <t>1.1.2.1.1.2.1.4</t>
  </si>
  <si>
    <t>блок пом.№2.058</t>
  </si>
  <si>
    <t>1.1.2.1.1.2.1.4._</t>
  </si>
  <si>
    <t>1.1.2.1.1.2.1.4.1</t>
  </si>
  <si>
    <t>303752470.55030</t>
  </si>
  <si>
    <t>16081378.55030</t>
  </si>
  <si>
    <t>1.1.2.1.1.2.1.4.1._</t>
  </si>
  <si>
    <t>206577564.55030</t>
  </si>
  <si>
    <t>1.1.2.1.1.2.1.4.2</t>
  </si>
  <si>
    <t>Грунтовка водно-дисперсионная глубокого проникновения "Эконом" 10 кг_/</t>
  </si>
  <si>
    <t>303752470.54744</t>
  </si>
  <si>
    <t>16081378.54744</t>
  </si>
  <si>
    <t>754be5d8-5c13-4490-a6a1-fb9c70e54bb5</t>
  </si>
  <si>
    <t>1.1.2.1.1.2.1.4.2._</t>
  </si>
  <si>
    <t>206577564.54744</t>
  </si>
  <si>
    <t>1.1.2.1.1.2.1.4.3</t>
  </si>
  <si>
    <t>303752470.54616</t>
  </si>
  <si>
    <t>16081378.54616</t>
  </si>
  <si>
    <t>1.1.2.1.1.2.1.4.3._</t>
  </si>
  <si>
    <t>206577564.54616</t>
  </si>
  <si>
    <t>1.1.2.1.1.2.1.5</t>
  </si>
  <si>
    <t>помещение №1.007,  жб пов-ть</t>
  </si>
  <si>
    <t>1.1.2.1.1.2.1.5._</t>
  </si>
  <si>
    <t>1.1.2.1.1.2.1.5.1</t>
  </si>
  <si>
    <t>303752471.55030</t>
  </si>
  <si>
    <t>16086783.55030</t>
  </si>
  <si>
    <t>1.1.2.1.1.2.1.5.1._</t>
  </si>
  <si>
    <t>204408628.55030</t>
  </si>
  <si>
    <t>1.1.2.1.1.2.1.5.2</t>
  </si>
  <si>
    <t>303752471.12403</t>
  </si>
  <si>
    <t>16086783.12403</t>
  </si>
  <si>
    <t>1.1.2.1.1.2.1.5.2._</t>
  </si>
  <si>
    <t>204408628.12403</t>
  </si>
  <si>
    <t>1.1.2.1.1.2.1.5.3</t>
  </si>
  <si>
    <t>303752471.54633</t>
  </si>
  <si>
    <t>16086783.54633</t>
  </si>
  <si>
    <t>1.1.2.1.1.2.1.5.3._</t>
  </si>
  <si>
    <t>204408628.54633</t>
  </si>
  <si>
    <t>1.1.2.1.1.2.1.5.4</t>
  </si>
  <si>
    <t>303752471.17342</t>
  </si>
  <si>
    <t>16086783.17342</t>
  </si>
  <si>
    <t>1.1.2.1.1.2.1.5.4._</t>
  </si>
  <si>
    <t>204408628.17342</t>
  </si>
  <si>
    <t>1.1.2.1.1.2.1.6</t>
  </si>
  <si>
    <t>пом. №1.007 - по блоку</t>
  </si>
  <si>
    <t>1.1.2.1.1.2.1.6._</t>
  </si>
  <si>
    <t>1.1.2.1.1.2.1.6.1</t>
  </si>
  <si>
    <t>303752472.55030</t>
  </si>
  <si>
    <t>16086782.55030</t>
  </si>
  <si>
    <t>1.1.2.1.1.2.1.6.1._</t>
  </si>
  <si>
    <t>204408629.55030</t>
  </si>
  <si>
    <t>1.1.2.1.1.2.1.6.2</t>
  </si>
  <si>
    <t>303752472.12403</t>
  </si>
  <si>
    <t>16086782.12403</t>
  </si>
  <si>
    <t>1.1.2.1.1.2.1.6.2._</t>
  </si>
  <si>
    <t>204408629.12403</t>
  </si>
  <si>
    <t>1.1.2.1.1.2.1.6.3</t>
  </si>
  <si>
    <t>303752472.54744</t>
  </si>
  <si>
    <t>16086782.54744</t>
  </si>
  <si>
    <t>1.1.2.1.1.2.1.6.3._</t>
  </si>
  <si>
    <t>204408629.54744</t>
  </si>
  <si>
    <t>1.1.2.1.1.2.1.6.4</t>
  </si>
  <si>
    <t>303752472.17342</t>
  </si>
  <si>
    <t>16086782.17342</t>
  </si>
  <si>
    <t>1.1.2.1.1.2.1.6.4._</t>
  </si>
  <si>
    <t>204408629.17342</t>
  </si>
  <si>
    <t>1.1.2.1.1.2.1.7</t>
  </si>
  <si>
    <t>№1.007</t>
  </si>
  <si>
    <t>1.1.2.1.1.2.1.7._</t>
  </si>
  <si>
    <t>1.1.2.1.1.2.1.7.1</t>
  </si>
  <si>
    <t>20 мм</t>
  </si>
  <si>
    <t>303752473.12403</t>
  </si>
  <si>
    <t>16087273.12403</t>
  </si>
  <si>
    <t>1.1.2.1.1.2.1.7.1._</t>
  </si>
  <si>
    <t>204417267.12403</t>
  </si>
  <si>
    <t>1.1.2.1.1.2.1.7.2</t>
  </si>
  <si>
    <t>303752473.54744</t>
  </si>
  <si>
    <t>16087273.54744</t>
  </si>
  <si>
    <t>1.1.2.1.1.2.1.7.2._</t>
  </si>
  <si>
    <t>204417267.54744</t>
  </si>
  <si>
    <t>1.1.2.1.1.2.1.7.3</t>
  </si>
  <si>
    <t>303752473.17342</t>
  </si>
  <si>
    <t>16087273.17342</t>
  </si>
  <si>
    <t>1.1.2.1.1.2.1.7.3._</t>
  </si>
  <si>
    <t>204417267.17342</t>
  </si>
  <si>
    <t>1.1.2.1.1.2.1.8</t>
  </si>
  <si>
    <t>6.3.1.5.2.1.4.2</t>
  </si>
  <si>
    <t>Выравнивание стен с предварительной огрунтовкой / по оштукатуренной поверхности / толщ. 2 мм</t>
  </si>
  <si>
    <t>№1.030 и 2.0037</t>
  </si>
  <si>
    <t>110a99a0-6a0d-45b9-b62a-cc3e037ec5cf</t>
  </si>
  <si>
    <t>d4ebd7f1-3692-4517-9566-1d8cb406007d</t>
  </si>
  <si>
    <t>1.1.2.1.1.2.1.8.1</t>
  </si>
  <si>
    <t>Шпатлевка цементная</t>
  </si>
  <si>
    <t>Шпаклевка фасадная белая ОСНОВИТ БАЗСИЛК PC30 MW</t>
  </si>
  <si>
    <t>303752419.1272014</t>
  </si>
  <si>
    <t>16077289.1272014</t>
  </si>
  <si>
    <t>515f7d43-39e1-4366-a9d9-2be3d410ca9d</t>
  </si>
  <si>
    <t>1.1.2.1.1.2.1.8.2</t>
  </si>
  <si>
    <t>Уголок малярный_ / L=3м /25х25 мм</t>
  </si>
  <si>
    <t>303752419.18405</t>
  </si>
  <si>
    <t>16077289.18405</t>
  </si>
  <si>
    <t>6aa8b3b9-7634-40f9-a5c9-a021ce35f715</t>
  </si>
  <si>
    <t>1.1.2.1.1.2.1.8.3</t>
  </si>
  <si>
    <t>303752419.54634</t>
  </si>
  <si>
    <t>16077289.54634</t>
  </si>
  <si>
    <t>1.1.2.1.1.2.1.9</t>
  </si>
  <si>
    <t>1.1.2.1.1.2.1.9.1</t>
  </si>
  <si>
    <t>303752474.54634</t>
  </si>
  <si>
    <t>16077336.54634</t>
  </si>
  <si>
    <t>1.1.2.1.1.2.1.9.2</t>
  </si>
  <si>
    <t>303752474.18405</t>
  </si>
  <si>
    <t>16077336.18405</t>
  </si>
  <si>
    <t>1.1.2.1.1.2.1.9.3</t>
  </si>
  <si>
    <t xml:space="preserve">Шпатлевка финишная TERRACO HANDYCOAT ALL PURPOSE </t>
  </si>
  <si>
    <t>303752474.1276350</t>
  </si>
  <si>
    <t>16077336.1276350</t>
  </si>
  <si>
    <t>e1b334c7-c5c1-4c42-a451-fa4295c7af60</t>
  </si>
  <si>
    <t>1.1.2.1.1.2.1.10</t>
  </si>
  <si>
    <t>1.1.2.1.1.2.1.10.1</t>
  </si>
  <si>
    <t>303752475.54634</t>
  </si>
  <si>
    <t>16077337.54634</t>
  </si>
  <si>
    <t>1.1.2.1.1.2.1.10.2</t>
  </si>
  <si>
    <t>303752475.18405</t>
  </si>
  <si>
    <t>16077337.18405</t>
  </si>
  <si>
    <t>1.1.2.1.1.2.1.10.3</t>
  </si>
  <si>
    <t xml:space="preserve">Шпатлевка полимерная суперфинишная ЭЛИСИЛК_/белая/ PP37W </t>
  </si>
  <si>
    <t>303752475.54623</t>
  </si>
  <si>
    <t>16077337.54623</t>
  </si>
  <si>
    <t>fd599ec7-fabd-4bec-b213-8990de665df5</t>
  </si>
  <si>
    <t>1.1.2.1.1.2.1.11</t>
  </si>
  <si>
    <t>пом.-я №2.058</t>
  </si>
  <si>
    <t>1.1.2.1.1.2.1.11._</t>
  </si>
  <si>
    <t>1.1.2.1.1.2.1.11.1</t>
  </si>
  <si>
    <t>Грунтовка водно-дисперсионная глубокого проникновения EXPORT base Маршалл</t>
  </si>
  <si>
    <t>303752476.1276361</t>
  </si>
  <si>
    <t>16081445.1276361</t>
  </si>
  <si>
    <t>71ae522f-5e1a-4b61-9ba1-767c0a10863d</t>
  </si>
  <si>
    <t>1.1.2.1.1.2.1.11.1._</t>
  </si>
  <si>
    <t>204390266.1276361</t>
  </si>
  <si>
    <t>1.1.2.1.1.2.1.11.2</t>
  </si>
  <si>
    <t>Лента армированная Серпянка 150мм</t>
  </si>
  <si>
    <t>303752476.7431</t>
  </si>
  <si>
    <t>16081445.7431</t>
  </si>
  <si>
    <t>f955e3c3-158b-11e8-80d9-005056881952</t>
  </si>
  <si>
    <t>1.1.2.1.1.2.1.11.2._</t>
  </si>
  <si>
    <t>204390266.7431</t>
  </si>
  <si>
    <t>1.1.2.1.1.2.1.11.3</t>
  </si>
  <si>
    <t>303752476.18405</t>
  </si>
  <si>
    <t>16081445.18405</t>
  </si>
  <si>
    <t>1.1.2.1.1.2.1.11.3._</t>
  </si>
  <si>
    <t>204390266.18405</t>
  </si>
  <si>
    <t>1.1.2.1.1.2.1.11.4</t>
  </si>
  <si>
    <t>Шпатлевка гипсовая_ / белая / Унифицированная по ПИК-СТАНДАРТ, 30кг</t>
  </si>
  <si>
    <t>303752476.54621</t>
  </si>
  <si>
    <t>16081445.54621</t>
  </si>
  <si>
    <t>b18a669c-55b9-4a3b-9bec-843efe930f3c</t>
  </si>
  <si>
    <t>1.1.2.1.1.2.1.11.4._</t>
  </si>
  <si>
    <t>204390266.54621</t>
  </si>
  <si>
    <t>1.1.2.1.1.2.1.12</t>
  </si>
  <si>
    <t>пом.№2.058</t>
  </si>
  <si>
    <t>1.1.2.1.1.2.1.12._</t>
  </si>
  <si>
    <t>1.1.2.1.1.2.1.12.1</t>
  </si>
  <si>
    <t>303752477.54634</t>
  </si>
  <si>
    <t>16081650.54634</t>
  </si>
  <si>
    <t>1.1.2.1.1.2.1.12.1._</t>
  </si>
  <si>
    <t>204390267.54634</t>
  </si>
  <si>
    <t>1.1.2.1.1.2.1.12.2</t>
  </si>
  <si>
    <t>303752477.7431</t>
  </si>
  <si>
    <t>16081650.7431</t>
  </si>
  <si>
    <t>1.1.2.1.1.2.1.12.2._</t>
  </si>
  <si>
    <t>204390267.7431</t>
  </si>
  <si>
    <t>1.1.2.1.1.2.1.12.3</t>
  </si>
  <si>
    <t>303752477.18405</t>
  </si>
  <si>
    <t>16081650.18405</t>
  </si>
  <si>
    <t>1.1.2.1.1.2.1.12.3._</t>
  </si>
  <si>
    <t>204390267.18405</t>
  </si>
  <si>
    <t>1.1.2.1.1.2.1.12.4</t>
  </si>
  <si>
    <t>303752477.1276350</t>
  </si>
  <si>
    <t>16081650.1276350</t>
  </si>
  <si>
    <t>1.1.2.1.1.2.1.12.4._</t>
  </si>
  <si>
    <t>204390267.1276350</t>
  </si>
  <si>
    <t>1.1.2.1.1.2.1.13</t>
  </si>
  <si>
    <t>1.1.2.1.1.2.1.13._</t>
  </si>
  <si>
    <t>1.1.2.1.1.2.1.13.1</t>
  </si>
  <si>
    <t>303752478.54634</t>
  </si>
  <si>
    <t>16081685.54634</t>
  </si>
  <si>
    <t>1.1.2.1.1.2.1.13.1._</t>
  </si>
  <si>
    <t>204390268.54634</t>
  </si>
  <si>
    <t>1.1.2.1.1.2.1.13.2</t>
  </si>
  <si>
    <t>303752478.18405</t>
  </si>
  <si>
    <t>16081685.18405</t>
  </si>
  <si>
    <t>1.1.2.1.1.2.1.13.2._</t>
  </si>
  <si>
    <t>204390268.18405</t>
  </si>
  <si>
    <t>1.1.2.1.1.2.1.13.3</t>
  </si>
  <si>
    <t>303752478.54623</t>
  </si>
  <si>
    <t>16081685.54623</t>
  </si>
  <si>
    <t>1.1.2.1.1.2.1.13.3._</t>
  </si>
  <si>
    <t>204390268.54623</t>
  </si>
  <si>
    <t>1.1.2.1.1.2.1.14</t>
  </si>
  <si>
    <t>1.1.2.1.1.2.1.14._</t>
  </si>
  <si>
    <t>1.1.2.1.1.2.1.14.1</t>
  </si>
  <si>
    <t>303752479.54634</t>
  </si>
  <si>
    <t>16086874.54634</t>
  </si>
  <si>
    <t>1.1.2.1.1.2.1.14.1._</t>
  </si>
  <si>
    <t>204417264.54634</t>
  </si>
  <si>
    <t>1.1.2.1.1.2.1.14.2</t>
  </si>
  <si>
    <t>303752479.7431</t>
  </si>
  <si>
    <t>16086874.7431</t>
  </si>
  <si>
    <t>1.1.2.1.1.2.1.14.2._</t>
  </si>
  <si>
    <t>204417264.7431</t>
  </si>
  <si>
    <t>1.1.2.1.1.2.1.14.3</t>
  </si>
  <si>
    <t>303752479.18405</t>
  </si>
  <si>
    <t>16086874.18405</t>
  </si>
  <si>
    <t>1.1.2.1.1.2.1.14.3._</t>
  </si>
  <si>
    <t>204417264.18405</t>
  </si>
  <si>
    <t>1.1.2.1.1.2.1.14.4</t>
  </si>
  <si>
    <t>303752479.1272014</t>
  </si>
  <si>
    <t>16086874.1272014</t>
  </si>
  <si>
    <t>1.1.2.1.1.2.1.14.4._</t>
  </si>
  <si>
    <t>204417264.1272014</t>
  </si>
  <si>
    <t>1.1.2.1.1.2.1.15</t>
  </si>
  <si>
    <t>1.1.2.1.1.2.1.15._</t>
  </si>
  <si>
    <t>1.1.2.1.1.2.1.15.1</t>
  </si>
  <si>
    <t>303752480.54634</t>
  </si>
  <si>
    <t>16086875.54634</t>
  </si>
  <si>
    <t>1.1.2.1.1.2.1.15.1._</t>
  </si>
  <si>
    <t>204417265.54634</t>
  </si>
  <si>
    <t>1.1.2.1.1.2.1.15.2</t>
  </si>
  <si>
    <t>303752480.7431</t>
  </si>
  <si>
    <t>16086875.7431</t>
  </si>
  <si>
    <t>1.1.2.1.1.2.1.15.2._</t>
  </si>
  <si>
    <t>204417265.7431</t>
  </si>
  <si>
    <t>1.1.2.1.1.2.1.15.3</t>
  </si>
  <si>
    <t>303752480.18405</t>
  </si>
  <si>
    <t>16086875.18405</t>
  </si>
  <si>
    <t>1.1.2.1.1.2.1.15.3._</t>
  </si>
  <si>
    <t>204417265.18405</t>
  </si>
  <si>
    <t>1.1.2.1.1.2.1.15.4</t>
  </si>
  <si>
    <t>303752480.1276350</t>
  </si>
  <si>
    <t>16086875.1276350</t>
  </si>
  <si>
    <t>1.1.2.1.1.2.1.15.4._</t>
  </si>
  <si>
    <t>204417265.1276350</t>
  </si>
  <si>
    <t>1.1.2.1.1.2.1.16</t>
  </si>
  <si>
    <t>1.1.2.1.1.2.1.16._</t>
  </si>
  <si>
    <t>1.1.2.1.1.2.1.16.1</t>
  </si>
  <si>
    <t>303752481.54634</t>
  </si>
  <si>
    <t>16087151.54634</t>
  </si>
  <si>
    <t>1.1.2.1.1.2.1.16.1._</t>
  </si>
  <si>
    <t>204417266.54634</t>
  </si>
  <si>
    <t>1.1.2.1.1.2.1.16.2</t>
  </si>
  <si>
    <t>303752481.7431</t>
  </si>
  <si>
    <t>16087151.7431</t>
  </si>
  <si>
    <t>1.1.2.1.1.2.1.16.2._</t>
  </si>
  <si>
    <t>204417266.7431</t>
  </si>
  <si>
    <t>1.1.2.1.1.2.1.16.3</t>
  </si>
  <si>
    <t>303752481.18405</t>
  </si>
  <si>
    <t>16087151.18405</t>
  </si>
  <si>
    <t>1.1.2.1.1.2.1.16.3._</t>
  </si>
  <si>
    <t>204417266.18405</t>
  </si>
  <si>
    <t>1.1.2.1.1.2.1.16.4</t>
  </si>
  <si>
    <t>303752481.54623</t>
  </si>
  <si>
    <t>16087151.54623</t>
  </si>
  <si>
    <t>1.1.2.1.1.2.1.16.4._</t>
  </si>
  <si>
    <t>204417266.54623</t>
  </si>
  <si>
    <t>1.1.2.1.1.2.1.17</t>
  </si>
  <si>
    <t>6.3.1.5.2.1.8.4</t>
  </si>
  <si>
    <t>Подготовка поверхности СКБ / стен / ГКЛ, ПГП / 2мм</t>
  </si>
  <si>
    <t>НЗ №8 от 16.07.2025. Шпаклевка базовая в пом. 1.030</t>
  </si>
  <si>
    <t>fa1c67dc-3027-4791-83d8-da340ce63151</t>
  </si>
  <si>
    <t>207d32dd-c8b8-468d-95bb-104bba9e15df</t>
  </si>
  <si>
    <t>1.1.2.1.1.2.1.17.1</t>
  </si>
  <si>
    <t>303752421.1272014</t>
  </si>
  <si>
    <t>19916865.1272014</t>
  </si>
  <si>
    <t>1.1.2.1.1.2.1.17.2</t>
  </si>
  <si>
    <t>Уголок малярный_/перфорированный/25*25*3000мм</t>
  </si>
  <si>
    <t>303752421.55026</t>
  </si>
  <si>
    <t>19916865.55026</t>
  </si>
  <si>
    <t>480f9c46-4853-47e1-ac30-340d72ef0430</t>
  </si>
  <si>
    <t>1.1.2.1.1.2.1.17.3</t>
  </si>
  <si>
    <t>303752421.54634</t>
  </si>
  <si>
    <t>19916865.54634</t>
  </si>
  <si>
    <t>1.1.2.1.1.2.1.18</t>
  </si>
  <si>
    <t>Шпаклевка финишная в пом. 1.030</t>
  </si>
  <si>
    <t>1.1.2.1.1.2.1.18.1</t>
  </si>
  <si>
    <t>303752482.54634</t>
  </si>
  <si>
    <t>19916872.54634</t>
  </si>
  <si>
    <t>1.1.2.1.1.2.1.18.2</t>
  </si>
  <si>
    <t>Шпаклевка цементная финишная белая ОСНОВИТ БЕЛСИЛК PC32 W</t>
  </si>
  <si>
    <t>303752482.1272014</t>
  </si>
  <si>
    <t>19916872.1272014</t>
  </si>
  <si>
    <t>1.1.2.1.1.2.1.19</t>
  </si>
  <si>
    <t>Шпаклевка базовая в пом. 2.037 и 2.033</t>
  </si>
  <si>
    <t>1.1.2.1.1.2.1.19.1</t>
  </si>
  <si>
    <t>303752483.54634</t>
  </si>
  <si>
    <t>19916870.54634</t>
  </si>
  <si>
    <t>1.1.2.1.1.2.1.19.2</t>
  </si>
  <si>
    <t>303752483.55026</t>
  </si>
  <si>
    <t>19916870.55026</t>
  </si>
  <si>
    <t>1.1.2.1.1.2.1.19.3</t>
  </si>
  <si>
    <t>303752483.1272014</t>
  </si>
  <si>
    <t>19916870.1272014</t>
  </si>
  <si>
    <t>1.1.2.1.1.2.1.20</t>
  </si>
  <si>
    <t>Шпаклевка финишная в пом. 2.037 и 2.033</t>
  </si>
  <si>
    <t>1.1.2.1.1.2.1.20.1</t>
  </si>
  <si>
    <t>303752484.54634</t>
  </si>
  <si>
    <t>19916877.54634</t>
  </si>
  <si>
    <t>1.1.2.1.1.2.1.20.2</t>
  </si>
  <si>
    <t>303752484.1272014</t>
  </si>
  <si>
    <t>19916877.1272014</t>
  </si>
  <si>
    <t>1.1.2.1.1.2.1.21</t>
  </si>
  <si>
    <t>НЗ №10 от 17.07.2025. Шпаклевка финишная в пом. 2.022, 3.019</t>
  </si>
  <si>
    <t>1.1.2.1.1.2.1.21.1</t>
  </si>
  <si>
    <t>303752485.54634</t>
  </si>
  <si>
    <t>19916874.54634</t>
  </si>
  <si>
    <t>1.1.2.1.1.2.1.21.2</t>
  </si>
  <si>
    <t>303752485.1272014</t>
  </si>
  <si>
    <t>19916874.1272014</t>
  </si>
  <si>
    <t>1.1.2.1.1.2.1.22</t>
  </si>
  <si>
    <t>НЗ №10 от 17.07.2025. Шпаклевка базовая в пом. 2.022, 3.019</t>
  </si>
  <si>
    <t>1.1.2.1.1.2.1.22.1</t>
  </si>
  <si>
    <t>303752486.54634</t>
  </si>
  <si>
    <t>19916867.54634</t>
  </si>
  <si>
    <t>1.1.2.1.1.2.1.22.2</t>
  </si>
  <si>
    <t>303752486.55026</t>
  </si>
  <si>
    <t>19916867.55026</t>
  </si>
  <si>
    <t>1.1.2.1.1.2.1.22.3</t>
  </si>
  <si>
    <t>303752486.1272014</t>
  </si>
  <si>
    <t>19916867.1272014</t>
  </si>
  <si>
    <t>1.1.2.1.1.2.1.23</t>
  </si>
  <si>
    <t>Шпаклевка полимерная в пом. 1.030</t>
  </si>
  <si>
    <t>1.1.2.1.1.2.1.23.1</t>
  </si>
  <si>
    <t>303752487.54634</t>
  </si>
  <si>
    <t>21807244.54634</t>
  </si>
  <si>
    <t>1.1.2.1.1.2.1.23.2</t>
  </si>
  <si>
    <t>303752487.1272014</t>
  </si>
  <si>
    <t>21807244.1272014</t>
  </si>
  <si>
    <t>1.1.2.1.1.2.1.24</t>
  </si>
  <si>
    <t>Шпаклевка полимерная в пом. 2.037 и 2.033</t>
  </si>
  <si>
    <t>1.1.2.1.1.2.1.24.1</t>
  </si>
  <si>
    <t>303752488.54634</t>
  </si>
  <si>
    <t>21807246.54634</t>
  </si>
  <si>
    <t>1.1.2.1.1.2.1.24.2</t>
  </si>
  <si>
    <t>303752488.1272014</t>
  </si>
  <si>
    <t>21807246.1272014</t>
  </si>
  <si>
    <t>1.1.2.1.1.2.1.25</t>
  </si>
  <si>
    <t>НЗ №10 от 17.07.2025. Шпаклевка полимерная в пом. 2.022, 3.019</t>
  </si>
  <si>
    <t>1.1.2.1.1.2.1.25.1</t>
  </si>
  <si>
    <t>303752489.54634</t>
  </si>
  <si>
    <t>21807239.54634</t>
  </si>
  <si>
    <t>1.1.2.1.1.2.1.25.2</t>
  </si>
  <si>
    <t>303752489.54622</t>
  </si>
  <si>
    <t>21807239.54622</t>
  </si>
  <si>
    <t>c5ed9089-be55-4be8-8db3-0f286a2dbba5</t>
  </si>
  <si>
    <t>1.1.2.1.1.2.1.26</t>
  </si>
  <si>
    <t>6.3.1.5.2.1.8.5</t>
  </si>
  <si>
    <t>Подготовка поверхности СКБ / стен / по штукатурке / 2мм</t>
  </si>
  <si>
    <t>2d82ee91-3b80-41a0-9d47-bde670b317cb</t>
  </si>
  <si>
    <t>235f7698-b192-4ccd-97e9-3a61b0165ad1</t>
  </si>
  <si>
    <t>1.1.2.1.1.2.1.26.1</t>
  </si>
  <si>
    <t>303752422.1272014</t>
  </si>
  <si>
    <t>19916866.1272014</t>
  </si>
  <si>
    <t>1.1.2.1.1.2.1.26.2</t>
  </si>
  <si>
    <t>303752422.18405</t>
  </si>
  <si>
    <t>19916866.18405</t>
  </si>
  <si>
    <t>1.1.2.1.1.2.1.26.3</t>
  </si>
  <si>
    <t>303752422.54634</t>
  </si>
  <si>
    <t>19916866.54634</t>
  </si>
  <si>
    <t>1.1.2.1.1.2.1.27</t>
  </si>
  <si>
    <t>1.1.2.1.1.2.1.27.1</t>
  </si>
  <si>
    <t>303752490.54634</t>
  </si>
  <si>
    <t>19916873.54634</t>
  </si>
  <si>
    <t>1.1.2.1.1.2.1.27.2</t>
  </si>
  <si>
    <t>303752490.1272014</t>
  </si>
  <si>
    <t>19916873.1272014</t>
  </si>
  <si>
    <t>1.1.2.1.1.2.1.28</t>
  </si>
  <si>
    <t>1.1.2.1.1.2.1.28.1</t>
  </si>
  <si>
    <t>303752491.54634</t>
  </si>
  <si>
    <t>19916875.54634</t>
  </si>
  <si>
    <t>1.1.2.1.1.2.1.28.2</t>
  </si>
  <si>
    <t>303752491.1272014</t>
  </si>
  <si>
    <t>19916875.1272014</t>
  </si>
  <si>
    <t>1.1.2.1.1.2.1.29</t>
  </si>
  <si>
    <t>1.1.2.1.1.2.1.29.1</t>
  </si>
  <si>
    <t>303752492.54634</t>
  </si>
  <si>
    <t>19916868.54634</t>
  </si>
  <si>
    <t>1.1.2.1.1.2.1.29.2</t>
  </si>
  <si>
    <t>303752492.18405</t>
  </si>
  <si>
    <t>19916868.18405</t>
  </si>
  <si>
    <t>1.1.2.1.1.2.1.29.3</t>
  </si>
  <si>
    <t>303752492.1272014</t>
  </si>
  <si>
    <t>19916868.1272014</t>
  </si>
  <si>
    <t>1.1.2.1.1.2.1.30</t>
  </si>
  <si>
    <t>1.1.2.1.1.2.1.30.1</t>
  </si>
  <si>
    <t>303752493.54634</t>
  </si>
  <si>
    <t>19916878.54634</t>
  </si>
  <si>
    <t>1.1.2.1.1.2.1.30.2</t>
  </si>
  <si>
    <t>303752493.1272014</t>
  </si>
  <si>
    <t>19916878.1272014</t>
  </si>
  <si>
    <t>1.1.2.1.1.2.1.31</t>
  </si>
  <si>
    <t>1.1.2.1.1.2.1.31.1</t>
  </si>
  <si>
    <t>303752494.54634</t>
  </si>
  <si>
    <t>19916871.54634</t>
  </si>
  <si>
    <t>1.1.2.1.1.2.1.31.2</t>
  </si>
  <si>
    <t>303752494.18405</t>
  </si>
  <si>
    <t>19916871.18405</t>
  </si>
  <si>
    <t>1.1.2.1.1.2.1.31.3</t>
  </si>
  <si>
    <t>303752494.1272014</t>
  </si>
  <si>
    <t>19916871.1272014</t>
  </si>
  <si>
    <t>1.1.2.1.1.2.1.32</t>
  </si>
  <si>
    <t>1.1.2.1.1.2.1.32.1</t>
  </si>
  <si>
    <t>303752495.54634</t>
  </si>
  <si>
    <t>21807245.54634</t>
  </si>
  <si>
    <t>1.1.2.1.1.2.1.32.2</t>
  </si>
  <si>
    <t>303752495.54623</t>
  </si>
  <si>
    <t>21807245.54623</t>
  </si>
  <si>
    <t>1.1.2.1.1.2.1.33</t>
  </si>
  <si>
    <t>1.1.2.1.1.2.1.33.1</t>
  </si>
  <si>
    <t>303752496.54634</t>
  </si>
  <si>
    <t>21807240.54634</t>
  </si>
  <si>
    <t>1.1.2.1.1.2.1.33.2</t>
  </si>
  <si>
    <t>303752496.54623</t>
  </si>
  <si>
    <t>21807240.54623</t>
  </si>
  <si>
    <t>1.1.2.1.1.2.1.34</t>
  </si>
  <si>
    <t>1.1.2.1.1.2.1.34.1</t>
  </si>
  <si>
    <t>303752497.54634</t>
  </si>
  <si>
    <t>21807247.54634</t>
  </si>
  <si>
    <t>1.1.2.1.1.2.1.34.2</t>
  </si>
  <si>
    <t>303752497.54623</t>
  </si>
  <si>
    <t>21807247.54623</t>
  </si>
  <si>
    <t>1.1.2.1.1.2.1.35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</si>
  <si>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</si>
  <si>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</si>
  <si>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НЗ №1 от 27.05.2025 и НЗ №4 от 04.07.2025. пом. 1.030</t>
  </si>
  <si>
    <t>e388f40d-4345-407c-81b7-1708677a4264</t>
  </si>
  <si>
    <t>717f7355-64c8-4161-814c-7a062cbe592c</t>
  </si>
  <si>
    <t>1.1.2.1.1.2.1.35.1</t>
  </si>
  <si>
    <t>Штукатурка цементная</t>
  </si>
  <si>
    <t>Штукатурка цементная STRUKTUR AKVATEK</t>
  </si>
  <si>
    <t>303752424.726518</t>
  </si>
  <si>
    <t>18538440.726518</t>
  </si>
  <si>
    <t>6340f993-804d-456a-a0be-3b2094bd37f9</t>
  </si>
  <si>
    <t>1.1.2.1.1.2.1.35.2</t>
  </si>
  <si>
    <t>Сетка штукатурная_ / сварная оцинкованная / 10х10х0,8</t>
  </si>
  <si>
    <t>включая крепление сетки Анкер-клином 6x60 мм 5 шт/м2</t>
  </si>
  <si>
    <t>303752424.719026</t>
  </si>
  <si>
    <t>18538440.719026</t>
  </si>
  <si>
    <t>fc1d6249-6483-4684-82e9-dc0d9d0b0e0d</t>
  </si>
  <si>
    <t>1.1.2.1.1.2.1.35.3</t>
  </si>
  <si>
    <t>Профиль маячковый_/ПМ6</t>
  </si>
  <si>
    <t>303752424.55029</t>
  </si>
  <si>
    <t>18538440.55029</t>
  </si>
  <si>
    <t>b3ba1810-316e-4118-90eb-ce29d5c83076</t>
  </si>
  <si>
    <t>1.1.2.1.1.2.1.35.4</t>
  </si>
  <si>
    <t>303752424.54633</t>
  </si>
  <si>
    <t>18538440.54633</t>
  </si>
  <si>
    <t>1.1.2.1.1.2.1.36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</si>
  <si>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</si>
  <si>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</si>
  <si>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</si>
  <si>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>56324057-bf2c-4551-8cad-64eee6a69934</t>
  </si>
  <si>
    <t>a8ad6d3b-7d53-43f4-a18f-4f0812fe8c74</t>
  </si>
  <si>
    <t>1.1.2.1.1.2.1.36.1</t>
  </si>
  <si>
    <t>303752425.726518</t>
  </si>
  <si>
    <t>18538441.726518</t>
  </si>
  <si>
    <t>1.1.2.1.1.2.1.36.2</t>
  </si>
  <si>
    <t>303752425.54633</t>
  </si>
  <si>
    <t>18538441.54633</t>
  </si>
  <si>
    <t>1.1.2.1.1.2.1.36.3</t>
  </si>
  <si>
    <t>303752425.719026</t>
  </si>
  <si>
    <t>18538441.719026</t>
  </si>
  <si>
    <t>1.1.2.1.1.2.1.36.4</t>
  </si>
  <si>
    <t>303752425.55029</t>
  </si>
  <si>
    <t>18538441.55029</t>
  </si>
  <si>
    <t>1.1.2.1.1.2.1.37</t>
  </si>
  <si>
    <t>6.3.1.5.2.1.10.7</t>
  </si>
  <si>
    <t>Штукатурка стен цементным, цементно-песчаным раствором с предварительной огрунтовкой / толщ. до 20 мм / высотой свыше 8,01 метров</t>
  </si>
  <si>
    <t>40ad05de-5812-4313-8fb7-23c932a39730</t>
  </si>
  <si>
    <t>f0a929ee-8185-43cd-87e4-c1434fa279f8</t>
  </si>
  <si>
    <t>1.1.2.1.1.2.1.37.1</t>
  </si>
  <si>
    <t>303752426.726518</t>
  </si>
  <si>
    <t>18539040.726518</t>
  </si>
  <si>
    <t>1.1.2.1.1.2.1.37.2</t>
  </si>
  <si>
    <t>303752426.719026</t>
  </si>
  <si>
    <t>18539040.719026</t>
  </si>
  <si>
    <t>1.1.2.1.1.2.1.37.3</t>
  </si>
  <si>
    <t>303752426.55029</t>
  </si>
  <si>
    <t>18539040.55029</t>
  </si>
  <si>
    <t>1.1.2.1.1.2.1.37.4</t>
  </si>
  <si>
    <t>303752426.54633</t>
  </si>
  <si>
    <t>18539040.54633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</si>
  <si>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</si>
  <si>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</si>
  <si>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</si>
  <si>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</si>
  <si>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</si>
  <si>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Окраска поверхности стен с предварительной огрунтовкой / в 2 слоя</t>
  </si>
  <si>
    <t>пом. №1.030 и 2.037 спорт.залы</t>
  </si>
  <si>
    <t>4e3bc906-0db6-44b9-a51f-3faacce2570c</t>
  </si>
  <si>
    <t>06e17c10-70e2-43fc-bd7c-7ca0ad9465c8</t>
  </si>
  <si>
    <t>1.1.2.1.1.2.2.1._</t>
  </si>
  <si>
    <t>1.1.2.1.1.2.2.1.1</t>
  </si>
  <si>
    <t>303752429.1751832</t>
  </si>
  <si>
    <t>16076863.1751832</t>
  </si>
  <si>
    <t>1.1.2.1.1.2.2.1.1._</t>
  </si>
  <si>
    <t>204199111.1751832</t>
  </si>
  <si>
    <t>1.1.2.1.1.2.2.1.2</t>
  </si>
  <si>
    <t>Краска водно-дисперсионная интерьерная Акриловая, моющаяся Глянцевая, матовая, Г1(КМ1), RAL 9003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</si>
  <si>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</si>
  <si>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303752429.44169</t>
  </si>
  <si>
    <t>16076863.44169</t>
  </si>
  <si>
    <t>433541a5-1fae-11e9-80e7-005056881952</t>
  </si>
  <si>
    <t>1.1.2.1.1.2.2.1.2._</t>
  </si>
  <si>
    <t>204199111.44169</t>
  </si>
  <si>
    <t>1.1.2.1.1.2.2.2</t>
  </si>
  <si>
    <t>6.3.1.5.2.2.8.1</t>
  </si>
  <si>
    <t>Лакокрасочные работы СКБ / окраска стен / в 2 слоя</t>
  </si>
  <si>
    <t>Окраска стен пом. 1.030</t>
  </si>
  <si>
    <t>4c24ca93-b856-4913-a3fe-bc768660074c</t>
  </si>
  <si>
    <t>923030ab-0b8a-4717-9906-e76b6d6d03d6</t>
  </si>
  <si>
    <t>1.1.2.1.1.2.2.2.1</t>
  </si>
  <si>
    <t>Краска Текс  /  RAL9003 / ПРОФИ ПБ, КМ1 / 1 класс стойкости к мытью</t>
  </si>
  <si>
    <t>303752431.1275333</t>
  </si>
  <si>
    <t>19934100.1275333</t>
  </si>
  <si>
    <t>f3b2c950-8289-4ad1-97a1-935cd797eba2</t>
  </si>
  <si>
    <t>1.1.2.1.1.2.2.2.2</t>
  </si>
  <si>
    <t>303752431.54634</t>
  </si>
  <si>
    <t>19934100.54634</t>
  </si>
  <si>
    <t>1.1.2.1.1.2.2.3</t>
  </si>
  <si>
    <t>Окраска стен пом. 2.037 и 2.033</t>
  </si>
  <si>
    <t>1.1.2.1.1.2.2.3.1</t>
  </si>
  <si>
    <t>303752498.54634</t>
  </si>
  <si>
    <t>19934099.54634</t>
  </si>
  <si>
    <t>1.1.2.1.1.2.2.3.2</t>
  </si>
  <si>
    <t>303752498.1275333</t>
  </si>
  <si>
    <t>19934099.1275333</t>
  </si>
  <si>
    <t>1.1.2.1.1.2.2.4</t>
  </si>
  <si>
    <t>Окраска стен пом. 2.022 и 3.019</t>
  </si>
  <si>
    <t>1.1.2.1.1.2.2.4.1</t>
  </si>
  <si>
    <t>303752499.54634</t>
  </si>
  <si>
    <t>19934098.54634</t>
  </si>
  <si>
    <t>1.1.2.1.1.2.2.4.2</t>
  </si>
  <si>
    <t>303752499.1275333</t>
  </si>
  <si>
    <t>19934098.1275333</t>
  </si>
  <si>
    <t>1.1.2.1.1.2.2.5</t>
  </si>
  <si>
    <t>6.3.1.5.2.2.8.2</t>
  </si>
  <si>
    <t>Лакокрасочные работы СКБ / окраска потолков / в 2 слоя</t>
  </si>
  <si>
    <t>пом. 2.022, 3.019</t>
  </si>
  <si>
    <t>55dcd11a-c570-4894-be4e-3c3874402761</t>
  </si>
  <si>
    <t>b249bec2-6731-4ed1-8b9c-ec1880ca16fd</t>
  </si>
  <si>
    <t>1.1.2.1.1.2.2.5.1</t>
  </si>
  <si>
    <t>Краска акриловая интерьерная Для стен и потолков Влагостойкая Матовая Г1, расход 0,16-0,18 кг/м2, Белая</t>
  </si>
  <si>
    <t>303752432.711072</t>
  </si>
  <si>
    <t>19918753.711072</t>
  </si>
  <si>
    <t>178d0e74-bf32-11e9-80eb-005056881952</t>
  </si>
  <si>
    <t>1.1.2.1.1.2.2.5.2</t>
  </si>
  <si>
    <t>303752432.54634</t>
  </si>
  <si>
    <t>19918753.54634</t>
  </si>
  <si>
    <t>1.1.2.1.1.2.3</t>
  </si>
  <si>
    <t>6.3.1.5.2.3</t>
  </si>
  <si>
    <t>Устройство подоконников, оконных откосов</t>
  </si>
  <si>
    <t>1.1.2.1.1.2.3.1</t>
  </si>
  <si>
    <t>6.3.1.5.2.3.2.1</t>
  </si>
  <si>
    <t>Выравнивание поверхностей откосов толщ. до 5 мм с предварительной огрунтовкой поверхности</t>
  </si>
  <si>
    <t>НЗ №9 от 16.07.2025. Шпаклевка оконных откосов базовая в пом. 1.030</t>
  </si>
  <si>
    <t>1bd78791-ea55-4aed-83db-0bd34db05925</t>
  </si>
  <si>
    <t>f9b8ac25-8b08-4829-b5d2-9adcab5c69cb</t>
  </si>
  <si>
    <t>1.1.2.1.1.2.3.1.1</t>
  </si>
  <si>
    <t>303752435.1272014</t>
  </si>
  <si>
    <t>18541176.1272014</t>
  </si>
  <si>
    <t>1.1.2.1.1.2.3.1.2</t>
  </si>
  <si>
    <t>303752435.55026</t>
  </si>
  <si>
    <t>18541176.55026</t>
  </si>
  <si>
    <t>1.1.2.1.1.2.3.1.3</t>
  </si>
  <si>
    <t>303752435.54634</t>
  </si>
  <si>
    <t>18541176.54634</t>
  </si>
  <si>
    <t>1.1.2.1.1.2.3.2</t>
  </si>
  <si>
    <t>НЗ №9 от 16.07.2025. Шпаклевка оконных откосов финишная в пом. 1.030</t>
  </si>
  <si>
    <t>1.1.2.1.1.2.3.2.1</t>
  </si>
  <si>
    <t>303752500.54634</t>
  </si>
  <si>
    <t>18541177.54634</t>
  </si>
  <si>
    <t>1.1.2.1.1.2.3.2.2</t>
  </si>
  <si>
    <t>303752500.1272014</t>
  </si>
  <si>
    <t>18541177.1272014</t>
  </si>
  <si>
    <t>1.1.2.1.1.2.3.3</t>
  </si>
  <si>
    <t>НЗ №10 от 17.07.2025. Шпаклевка оконных откосов базовая в пом. 2.022</t>
  </si>
  <si>
    <t>1.1.2.1.1.2.3.3.1</t>
  </si>
  <si>
    <t>303752501.54634</t>
  </si>
  <si>
    <t>19923298.54634</t>
  </si>
  <si>
    <t>1.1.2.1.1.2.3.3.2</t>
  </si>
  <si>
    <t>303752501.18405</t>
  </si>
  <si>
    <t>19923298.18405</t>
  </si>
  <si>
    <t>1.1.2.1.1.2.3.3.3</t>
  </si>
  <si>
    <t>Шпаклевка базовая</t>
  </si>
  <si>
    <t>303752501.54621</t>
  </si>
  <si>
    <t>19923298.54621</t>
  </si>
  <si>
    <t>1.1.2.1.1.2.3.4</t>
  </si>
  <si>
    <t>НЗ №10 от 17.07.2025. Шпаклевка оконных откосов финишная в пом. 2.022</t>
  </si>
  <si>
    <t>1.1.2.1.1.2.3.4.1</t>
  </si>
  <si>
    <t>303752502.54634</t>
  </si>
  <si>
    <t>19923299.54634</t>
  </si>
  <si>
    <t>1.1.2.1.1.2.3.4.2</t>
  </si>
  <si>
    <t>303752502.54621</t>
  </si>
  <si>
    <t>19923299.54621</t>
  </si>
  <si>
    <t>1.1.2.1.1.2.3.5</t>
  </si>
  <si>
    <t>Шпаклевка оконных откосов финишная в пом. 2.037</t>
  </si>
  <si>
    <t>1.1.2.1.1.2.3.5.1</t>
  </si>
  <si>
    <t>303752503.54634</t>
  </si>
  <si>
    <t>19934299.54634</t>
  </si>
  <si>
    <t>1.1.2.1.1.2.3.5.2</t>
  </si>
  <si>
    <t>303752503.1272014</t>
  </si>
  <si>
    <t>19934299.1272014</t>
  </si>
  <si>
    <t>1.1.2.1.1.2.3.6</t>
  </si>
  <si>
    <t>Шпаклевка оконных откосов базовая в пом. 2.037</t>
  </si>
  <si>
    <t>1.1.2.1.1.2.3.6.1</t>
  </si>
  <si>
    <t>303752504.54634</t>
  </si>
  <si>
    <t>19934297.54634</t>
  </si>
  <si>
    <t>1.1.2.1.1.2.3.6.2</t>
  </si>
  <si>
    <t>303752504.18405</t>
  </si>
  <si>
    <t>19934297.18405</t>
  </si>
  <si>
    <t>1.1.2.1.1.2.3.6.3</t>
  </si>
  <si>
    <t>303752504.1272014</t>
  </si>
  <si>
    <t>19934297.1272014</t>
  </si>
  <si>
    <t>1.1.2.1.1.2.3.7</t>
  </si>
  <si>
    <t>НЗ №9 от 16.07.2025. Шпаклевка оконных откосов полимерная в пом. 1.030</t>
  </si>
  <si>
    <t>1.1.2.1.1.2.3.7.1</t>
  </si>
  <si>
    <t>303752505.54634</t>
  </si>
  <si>
    <t>21807242.54634</t>
  </si>
  <si>
    <t>1.1.2.1.1.2.3.7.2</t>
  </si>
  <si>
    <t>303752505.1272014</t>
  </si>
  <si>
    <t>21807242.1272014</t>
  </si>
  <si>
    <t>1.1.2.1.1.2.3.8</t>
  </si>
  <si>
    <t>НЗ №10 от 17.07.2025. Шпаклевка оконных откосов полимерная в пом. 2.022</t>
  </si>
  <si>
    <t>1.1.2.1.1.2.3.8.1</t>
  </si>
  <si>
    <t>303752506.54634</t>
  </si>
  <si>
    <t>21807238.54634</t>
  </si>
  <si>
    <t>1.1.2.1.1.2.3.8.2</t>
  </si>
  <si>
    <t>303752506.54622</t>
  </si>
  <si>
    <t>21807238.54622</t>
  </si>
  <si>
    <t>1.1.2.1.1.2.3.9</t>
  </si>
  <si>
    <t>Шпаклевка оконных откосов полимерная в пом. 2.037</t>
  </si>
  <si>
    <t>1.1.2.1.1.2.3.9.1</t>
  </si>
  <si>
    <t>303752507.54634</t>
  </si>
  <si>
    <t>21807243.54634</t>
  </si>
  <si>
    <t>1.1.2.1.1.2.3.9.2</t>
  </si>
  <si>
    <t>303752507.1272014</t>
  </si>
  <si>
    <t>21807243.1272014</t>
  </si>
  <si>
    <t>1.1.2.1.1.2.3.10</t>
  </si>
  <si>
    <t>6.3.1.5.2.3.3.1</t>
  </si>
  <si>
    <t>Окраска поверхности откосов с предварительной огрунтовкой поверхности / в 2 слоя</t>
  </si>
  <si>
    <t>НЗ №9 от 16.07.2025. Окраска оконных откосов в пом. 1.030</t>
  </si>
  <si>
    <t>a655afc0-8bbc-486f-8672-9267401735db</t>
  </si>
  <si>
    <t>da736aa2-72e0-488c-9852-5241239c0b93</t>
  </si>
  <si>
    <t>1.1.2.1.1.2.3.10.1</t>
  </si>
  <si>
    <t>Краска для влажных помещений Стройтекс_/белая гл/мат</t>
  </si>
  <si>
    <t>303752437.54741</t>
  </si>
  <si>
    <t>18541174.54741</t>
  </si>
  <si>
    <t>e4679dfc-c6ea-40ee-9f7b-e85a85b0c443</t>
  </si>
  <si>
    <t>1.1.2.1.1.2.3.10.2</t>
  </si>
  <si>
    <t>303752437.54634</t>
  </si>
  <si>
    <t>18541174.54634</t>
  </si>
  <si>
    <t>1.1.2.1.1.2.3.11</t>
  </si>
  <si>
    <t>НЗ №10 от 17.07.2025. Окраска оконных откосов из ГЛВ в пом. 2.022</t>
  </si>
  <si>
    <t>1.1.2.1.1.2.3.11.1</t>
  </si>
  <si>
    <t>303752508.54634</t>
  </si>
  <si>
    <t>19919222.54634</t>
  </si>
  <si>
    <t>1.1.2.1.1.2.3.11.2</t>
  </si>
  <si>
    <t>303752508.54741</t>
  </si>
  <si>
    <t>19919222.54741</t>
  </si>
  <si>
    <t>1.1.2.1.1.2.3.12</t>
  </si>
  <si>
    <t>Окраска оконных откосов из ГЛВ в пом. 2.037</t>
  </si>
  <si>
    <t>1.1.2.1.1.2.3.12.1</t>
  </si>
  <si>
    <t>303752509.54634</t>
  </si>
  <si>
    <t>19919224.54634</t>
  </si>
  <si>
    <t>1.1.2.1.1.2.3.12.2</t>
  </si>
  <si>
    <t>303752509.54741</t>
  </si>
  <si>
    <t>19919224.54741</t>
  </si>
  <si>
    <t>1.1.2.1.1.2.3.13</t>
  </si>
  <si>
    <t>6.3.1.5.2.3.9.1</t>
  </si>
  <si>
    <t>Зашивка приборов отопления / ГВЛВ / в 1 слой на каркасе</t>
  </si>
  <si>
    <t>НЗ №10 от 17.07.2025. Устройство дымозащитного ограждения в пом. 2.022</t>
  </si>
  <si>
    <t>b7675009-5c31-40f5-bb35-e4c17c31972a</t>
  </si>
  <si>
    <t>d39ac62b-c48c-41cf-b101-941ac02c6231</t>
  </si>
  <si>
    <t>1.1.2.1.1.2.3.13.1</t>
  </si>
  <si>
    <t>Угол пластиковый_/10*15*2,5м</t>
  </si>
  <si>
    <t>303752439.55028</t>
  </si>
  <si>
    <t>19917608.55028</t>
  </si>
  <si>
    <t>551cb54d-a4ff-4e4c-b8c8-5ee9eaa28821</t>
  </si>
  <si>
    <t>1.1.2.1.1.2.3.13.2</t>
  </si>
  <si>
    <t>303752439.54566</t>
  </si>
  <si>
    <t>19917608.54566</t>
  </si>
  <si>
    <t>1.1.2.1.1.2.3.13.3</t>
  </si>
  <si>
    <t>Плита Кнауф Файерборд_ / 2500х1200х12.5 м</t>
  </si>
  <si>
    <t>303752439.1523192</t>
  </si>
  <si>
    <t>19917608.1523192</t>
  </si>
  <si>
    <t>1a9d2c61-823f-4235-b198-e9701dbd754e</t>
  </si>
  <si>
    <t>1.1.2.1.1.2.3.14</t>
  </si>
  <si>
    <t>6.3.1.5.2.3.10.1</t>
  </si>
  <si>
    <t>Устройство откосов из ГКЛ на металлическом каркасе / в 1 слой</t>
  </si>
  <si>
    <t>НЗ №9 от 16.07.2025. Устройство оконных откосов из ГЛВ в пом. 1.030</t>
  </si>
  <si>
    <t>292ec704-7bdf-4be0-afee-4981e5b1d4ca</t>
  </si>
  <si>
    <t>0f82918e-d4bf-436d-ad7a-f252d4f64a19</t>
  </si>
  <si>
    <t>1.1.2.1.1.2.3.14.1</t>
  </si>
  <si>
    <t>Шуруп со сверлом_/3,5*11</t>
  </si>
  <si>
    <t>303752441.54821</t>
  </si>
  <si>
    <t>21804153.54821</t>
  </si>
  <si>
    <t>438f03b8-0245-4746-af3b-94d943760b3b</t>
  </si>
  <si>
    <t>1.1.2.1.1.2.3.14.2</t>
  </si>
  <si>
    <t>Шпаклевка д/заделки швов, ШОВСИЛК_/Т33</t>
  </si>
  <si>
    <t>303752441.54624</t>
  </si>
  <si>
    <t>21804153.54624</t>
  </si>
  <si>
    <t>7b96503e-5889-4b88-b7f6-580caaa662ae</t>
  </si>
  <si>
    <t>1.1.2.1.1.2.3.14.3</t>
  </si>
  <si>
    <t>303752441.55028</t>
  </si>
  <si>
    <t>21804153.55028</t>
  </si>
  <si>
    <t>1.1.2.1.1.2.3.14.4</t>
  </si>
  <si>
    <t>Профиль направляющий ПН 28х27х0,6мм Сталь оцинкованная</t>
  </si>
  <si>
    <t>303752441.707712</t>
  </si>
  <si>
    <t>21804153.707712</t>
  </si>
  <si>
    <t>602e3c0d-b792-11e9-80ea-005056881952</t>
  </si>
  <si>
    <t>1.1.2.1.1.2.3.14.5</t>
  </si>
  <si>
    <t>Дюбель гвоздь_/гриб/6*40</t>
  </si>
  <si>
    <t>303752441.54833</t>
  </si>
  <si>
    <t>21804153.54833</t>
  </si>
  <si>
    <t>5eb21757-8d43-4dfd-aef9-b7a78beee91d</t>
  </si>
  <si>
    <t>1.1.2.1.1.2.3.14.6</t>
  </si>
  <si>
    <t>303752441.54553</t>
  </si>
  <si>
    <t>21804153.54553</t>
  </si>
  <si>
    <t>1.1.2.1.1.2.3.15</t>
  </si>
  <si>
    <t>НЗ №10 от 17.07.2025. Устройство оконных откосов из ГЛВ в пом. 2.022</t>
  </si>
  <si>
    <t>1.1.2.1.1.2.3.15.1</t>
  </si>
  <si>
    <t>303752510.54553</t>
  </si>
  <si>
    <t>21804152.54553</t>
  </si>
  <si>
    <t>1.1.2.1.1.2.3.15.2</t>
  </si>
  <si>
    <t>303752510.54833</t>
  </si>
  <si>
    <t>21804152.54833</t>
  </si>
  <si>
    <t>1.1.2.1.1.2.3.15.3</t>
  </si>
  <si>
    <t>303752510.707712</t>
  </si>
  <si>
    <t>21804152.707712</t>
  </si>
  <si>
    <t>1.1.2.1.1.2.3.15.4</t>
  </si>
  <si>
    <t>303752510.55028</t>
  </si>
  <si>
    <t>21804152.55028</t>
  </si>
  <si>
    <t>1.1.2.1.1.2.3.15.5</t>
  </si>
  <si>
    <t>303752510.54624</t>
  </si>
  <si>
    <t>21804152.54624</t>
  </si>
  <si>
    <t>1.1.2.1.1.2.3.15.6</t>
  </si>
  <si>
    <t>303752510.54821</t>
  </si>
  <si>
    <t>21804152.54821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</si>
  <si>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</si>
  <si>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</si>
  <si>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</si>
  <si>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</si>
  <si>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</si>
  <si>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</si>
  <si>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</si>
  <si>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</si>
  <si>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</si>
  <si>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спорт залы №1.030 и 2.037</t>
  </si>
  <si>
    <t>d8ade7bb-05e7-4786-90a0-891f405ecdf1</t>
  </si>
  <si>
    <t>d89f0cdd-97a2-4d68-95d2-a137bc57c6ad</t>
  </si>
  <si>
    <t>1.1.2.1.1.3.1.1._</t>
  </si>
  <si>
    <t>1.1.2.1.1.3.1.1.1</t>
  </si>
  <si>
    <t>303752445.1272014</t>
  </si>
  <si>
    <t>16077787.1272014</t>
  </si>
  <si>
    <t>1.1.2.1.1.3.1.1.1._</t>
  </si>
  <si>
    <t>204236308.1272014</t>
  </si>
  <si>
    <t>1.1.2.1.1.3.1.1.2</t>
  </si>
  <si>
    <t>прим. грунтовка глуб. проникновения</t>
  </si>
  <si>
    <t>303752445.54633</t>
  </si>
  <si>
    <t>16077787.54633</t>
  </si>
  <si>
    <t>1.1.2.1.1.3.1.1.2._</t>
  </si>
  <si>
    <t>204236308.54633</t>
  </si>
  <si>
    <t>1.1.2.1.1.3.1.2</t>
  </si>
  <si>
    <t>1.1.2.1.1.3.1.2._</t>
  </si>
  <si>
    <t>1.1.2.1.1.3.1.2.1</t>
  </si>
  <si>
    <t>303752511.54634</t>
  </si>
  <si>
    <t>16077788.54634</t>
  </si>
  <si>
    <t>1.1.2.1.1.3.1.2.1._</t>
  </si>
  <si>
    <t>204236312.54634</t>
  </si>
  <si>
    <t>1.1.2.1.1.3.1.2.2</t>
  </si>
  <si>
    <t>303752511.1276350</t>
  </si>
  <si>
    <t>16077788.1276350</t>
  </si>
  <si>
    <t>1.1.2.1.1.3.1.2.2._</t>
  </si>
  <si>
    <t>204236312.1276350</t>
  </si>
  <si>
    <t>1.1.2.1.1.3.1.3</t>
  </si>
  <si>
    <t>1.1.2.1.1.3.1.3._</t>
  </si>
  <si>
    <t>1.1.2.1.1.3.1.3.1</t>
  </si>
  <si>
    <t>303752512.54634</t>
  </si>
  <si>
    <t>16077789.54634</t>
  </si>
  <si>
    <t>1.1.2.1.1.3.1.3.1._</t>
  </si>
  <si>
    <t>204236313.54634</t>
  </si>
  <si>
    <t>1.1.2.1.1.3.1.3.2</t>
  </si>
  <si>
    <t>303752512.54623</t>
  </si>
  <si>
    <t>16077789.54623</t>
  </si>
  <si>
    <t>1.1.2.1.1.3.1.3.2._</t>
  </si>
  <si>
    <t>204236313.54623</t>
  </si>
  <si>
    <t>1.1.2.1.1.3.1.4</t>
  </si>
  <si>
    <t>пом № 2.058</t>
  </si>
  <si>
    <t>1.1.2.1.1.3.1.4._</t>
  </si>
  <si>
    <t>1.1.2.1.1.3.1.4.1</t>
  </si>
  <si>
    <t>303752513.54633</t>
  </si>
  <si>
    <t>16082313.54633</t>
  </si>
  <si>
    <t>1.1.2.1.1.3.1.4.1._</t>
  </si>
  <si>
    <t>204395697.54633</t>
  </si>
  <si>
    <t>1.1.2.1.1.3.1.4.2</t>
  </si>
  <si>
    <t>303752513.54622</t>
  </si>
  <si>
    <t>16082313.54622</t>
  </si>
  <si>
    <t>1.1.2.1.1.3.1.4.2._</t>
  </si>
  <si>
    <t>204395697.54622</t>
  </si>
  <si>
    <t>1.1.2.1.1.3.1.5</t>
  </si>
  <si>
    <t>1.1.2.1.1.3.1.5._</t>
  </si>
  <si>
    <t>1.1.2.1.1.3.1.5.1</t>
  </si>
  <si>
    <t>303752514.54633</t>
  </si>
  <si>
    <t>16087382.54633</t>
  </si>
  <si>
    <t>1.1.2.1.1.3.1.5.1._</t>
  </si>
  <si>
    <t>204418616.54633</t>
  </si>
  <si>
    <t>1.1.2.1.1.3.1.5.2</t>
  </si>
  <si>
    <t>303752514.1272014</t>
  </si>
  <si>
    <t>16087382.1272014</t>
  </si>
  <si>
    <t>1.1.2.1.1.3.1.5.2._</t>
  </si>
  <si>
    <t>204418616.1272014</t>
  </si>
  <si>
    <t>1.1.2.1.1.3.1.6</t>
  </si>
  <si>
    <t>1.1.2.1.1.3.1.6._</t>
  </si>
  <si>
    <t>1.1.2.1.1.3.1.6.1</t>
  </si>
  <si>
    <t>303752515.54634</t>
  </si>
  <si>
    <t>16087383.54634</t>
  </si>
  <si>
    <t>1.1.2.1.1.3.1.6.1._</t>
  </si>
  <si>
    <t>204418617.54634</t>
  </si>
  <si>
    <t>1.1.2.1.1.3.1.6.2</t>
  </si>
  <si>
    <t>303752515.1276350</t>
  </si>
  <si>
    <t>16087383.1276350</t>
  </si>
  <si>
    <t>1.1.2.1.1.3.1.6.2._</t>
  </si>
  <si>
    <t>204418617.1276350</t>
  </si>
  <si>
    <t>1.1.2.1.1.3.1.7</t>
  </si>
  <si>
    <t>1.1.2.1.1.3.1.7._</t>
  </si>
  <si>
    <t>1.1.2.1.1.3.1.7.1</t>
  </si>
  <si>
    <t>303752516.54634</t>
  </si>
  <si>
    <t>16087384.54634</t>
  </si>
  <si>
    <t>1.1.2.1.1.3.1.7.1._</t>
  </si>
  <si>
    <t>204418618.54634</t>
  </si>
  <si>
    <t>1.1.2.1.1.3.1.7.2</t>
  </si>
  <si>
    <t>303752516.54623</t>
  </si>
  <si>
    <t>16087384.54623</t>
  </si>
  <si>
    <t>1.1.2.1.1.3.1.7.2._</t>
  </si>
  <si>
    <t>204418618.54623</t>
  </si>
  <si>
    <t>1.1.2.1.1.3.1.8</t>
  </si>
  <si>
    <t>НЗ №10 от 17.07.2025. Шпаклевка базовая на цементном основании в пом. 2.022, 3.019</t>
  </si>
  <si>
    <t>1.1.2.1.1.3.1.8.1</t>
  </si>
  <si>
    <t>303752517.54633</t>
  </si>
  <si>
    <t>21803396.54633</t>
  </si>
  <si>
    <t>1.1.2.1.1.3.1.8.2</t>
  </si>
  <si>
    <t>303752517.1272014</t>
  </si>
  <si>
    <t>21803396.1272014</t>
  </si>
  <si>
    <t>1.1.2.1.1.3.1.9</t>
  </si>
  <si>
    <t>6.3.1.5.3.1.6.6</t>
  </si>
  <si>
    <t>Подготовка поверхности СКБ / потолка / по штукатурке / 2мм</t>
  </si>
  <si>
    <t>42d08cea-07ba-4dbe-a8b0-b5e7c8673109</t>
  </si>
  <si>
    <t>7a2a024b-7aa6-4bee-9d60-f94b39f3d674</t>
  </si>
  <si>
    <t>1.1.2.1.1.3.1.9.1</t>
  </si>
  <si>
    <t>Шпатлевка гипсовая_ / белая / Унифицированная по ПИК-СТАНДАРТ, 30кг (BIM)</t>
  </si>
  <si>
    <t>303752446.1570750</t>
  </si>
  <si>
    <t>21803398.1570750</t>
  </si>
  <si>
    <t>3254b4be-ac53-4a29-ad23-972be75bc24b</t>
  </si>
  <si>
    <t>1.1.2.1.1.3.1.9.2</t>
  </si>
  <si>
    <t>303752446.1139608</t>
  </si>
  <si>
    <t>21803398.1139608</t>
  </si>
  <si>
    <t>1.1.2.1.1.3.1.10</t>
  </si>
  <si>
    <t>пом. 2.022 и 3.019. Шпаклевка полимерная.</t>
  </si>
  <si>
    <t>1.1.2.1.1.3.1.10.1</t>
  </si>
  <si>
    <t>303752518.1139608</t>
  </si>
  <si>
    <t>21803397.1139608</t>
  </si>
  <si>
    <t>1.1.2.1.1.3.1.10.2</t>
  </si>
  <si>
    <t>303752518.1570750</t>
  </si>
  <si>
    <t>21803397.1570750</t>
  </si>
  <si>
    <t>1.1.2.1.1.3.2</t>
  </si>
  <si>
    <t>6.3.1.5.3.2</t>
  </si>
  <si>
    <t>Чистовые работы по поверхности потолков</t>
  </si>
  <si>
    <t>1.1.2.1.1.3.2.1</t>
  </si>
  <si>
    <t>6.3.1.5.3.2.1.1</t>
  </si>
  <si>
    <t>Окраска поверхностей потолков с предварительной огрунтовкой поверхностей / в 2 слоя</t>
  </si>
  <si>
    <t>ПТ-2.2 (спорт залы №1.030, 2.037 и галерея, 2.058)</t>
  </si>
  <si>
    <t>478a6ca3-0d25-4222-a9b0-4491b9343f07</t>
  </si>
  <si>
    <t>e8137cae-2b7d-4e33-9b8f-0ac63510ca78</t>
  </si>
  <si>
    <t>1.1.2.1.1.3.2.1._</t>
  </si>
  <si>
    <t>1.1.2.1.1.3.2.1.1</t>
  </si>
  <si>
    <t>Краска негорючая моющаяся Protect Decor_ / RAL 9003</t>
  </si>
  <si>
    <t>применительно огнестойкая Antega Строитель НГ, окраска по
подготовленной бетонной поверхности, цвет - белый RAL
9003, КМ0</t>
  </si>
  <si>
    <t>303752449.758336</t>
  </si>
  <si>
    <t>16082938.758336</t>
  </si>
  <si>
    <t>892d9f8d-ffaf-4ce8-87d2-2326a6c94834</t>
  </si>
  <si>
    <t>1.1.2.1.1.3.2.1.1._</t>
  </si>
  <si>
    <t>204395683.758336</t>
  </si>
  <si>
    <t>1.1.2.1.1.3.2.1.2</t>
  </si>
  <si>
    <t>303752449.54634</t>
  </si>
  <si>
    <t>16082938.54634</t>
  </si>
  <si>
    <t>1.1.2.1.1.3.2.1.2._</t>
  </si>
  <si>
    <t>204395683.54634</t>
  </si>
  <si>
    <t>1.1.2.1.1.3.2.2</t>
  </si>
  <si>
    <t>1.1.2.1.1.3.2.2._</t>
  </si>
  <si>
    <t>1.1.2.1.1.3.2.2.1</t>
  </si>
  <si>
    <t>303752519.54634</t>
  </si>
  <si>
    <t>16088066.54634</t>
  </si>
  <si>
    <t>1.1.2.1.1.3.2.2.1._</t>
  </si>
  <si>
    <t>204426457.54634</t>
  </si>
  <si>
    <t>1.1.2.1.1.3.2.2.2</t>
  </si>
  <si>
    <t>прим огнестойкая Antega Строитель НГ, окраска по
подготовленной бетонной поверхности, цвет - белый RAL
9003, КМ0</t>
  </si>
  <si>
    <t>303752519.758336</t>
  </si>
  <si>
    <t>16088066.758336</t>
  </si>
  <si>
    <t>1.1.2.1.1.3.2.2.2._</t>
  </si>
  <si>
    <t>204426457.758336</t>
  </si>
  <si>
    <t>1.1.2.1.1.3.2.3</t>
  </si>
  <si>
    <t>6.3.1.5.3.2.3.2</t>
  </si>
  <si>
    <t>пом. 2.022, 3.019. ПТ-1.3</t>
  </si>
  <si>
    <t>3997b616-bcf5-4c13-ae76-75afa96c846f</t>
  </si>
  <si>
    <t>1.1.2.1.1.3.2.3.1</t>
  </si>
  <si>
    <t>Краска негорючая моющаяся Protect Decor_ / NCS S 0570-Y10R</t>
  </si>
  <si>
    <t>Окраска матовой водно-дисперсионной краской для высококачественной отделки Antega Строитель (моющаяся) окраска по подготовленной бетонной поверхности, цвет серый шелк RAL 7044, КМ1</t>
  </si>
  <si>
    <t>303752451.763411</t>
  </si>
  <si>
    <t>21800364.763411</t>
  </si>
  <si>
    <t>ce3773d3-a4ae-4408-a7be-82574bc12881</t>
  </si>
  <si>
    <t>1.1.2.1.1.3.2.3.2</t>
  </si>
  <si>
    <t>303752451.54634</t>
  </si>
  <si>
    <t>21800364.54634</t>
  </si>
  <si>
    <t>1.1.2.1.1.3.2.4</t>
  </si>
  <si>
    <t>пом. 2.022 (213,9 м2), 3.019 (172,73 м2). Окраска коммуникаций на путях эвакуации (по Ш850/1-2023-АИ1 Изм4, листы 9,10, примечание)</t>
  </si>
  <si>
    <t>1.1.2.1.1.3.2.4.1</t>
  </si>
  <si>
    <t>303752520.54634</t>
  </si>
  <si>
    <t>21833393.54634</t>
  </si>
  <si>
    <t>1.1.2.1.1.3.2.4.2</t>
  </si>
  <si>
    <t>Краска для потолка Стройтекс КМ0_ / RAL 7037</t>
  </si>
  <si>
    <t>Краска огнестойкая BRAVO PROFI НГ RAL 7044</t>
  </si>
  <si>
    <t>303752520.1270453</t>
  </si>
  <si>
    <t>21833393.1270453</t>
  </si>
  <si>
    <t>03ec6e71-d2cd-4894-958d-4ce6110575f9</t>
  </si>
  <si>
    <t>1.1.2.1.1.4</t>
  </si>
  <si>
    <t>6.3.1.5.4</t>
  </si>
  <si>
    <t>Монтаж потолочных конструкций</t>
  </si>
  <si>
    <t>1.1.2.1.1.4.1</t>
  </si>
  <si>
    <t>6.3.1.5.4.1.6</t>
  </si>
  <si>
    <t>Монтаж подвесного потолка / из акустических древесных плит</t>
  </si>
  <si>
    <t>№2.058</t>
  </si>
  <si>
    <t>02ccbed5-7053-493a-986b-1937e518bff9</t>
  </si>
  <si>
    <t>302f0025-952c-42f6-81ea-971ddd08be3f</t>
  </si>
  <si>
    <t>1.1.2.1.1.4.1._</t>
  </si>
  <si>
    <t>1.1.2.1.1.4.1.1</t>
  </si>
  <si>
    <t>Плита древесноволокнистая ДВП s=25мм SoundBoard SuperFine</t>
  </si>
  <si>
    <t>Акустические подвесные панели из менерального
стекловолокна горизонтальные Техносоло НГ 1200х1200 мм,
цвет - белый, КМ1, с окраской запотолочного пространства
цвет - белый RAL 9003, КМ0</t>
  </si>
  <si>
    <t>303752454.1747145</t>
  </si>
  <si>
    <t>16084347.1747145</t>
  </si>
  <si>
    <t>f39a5928-311f-11ee-9904-d1661ac0bb93</t>
  </si>
  <si>
    <t>1.1.2.1.1.4.1.1._</t>
  </si>
  <si>
    <t>204395698.1747145</t>
  </si>
  <si>
    <t>1.1.2.1.1.4.2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</si>
  <si>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</si>
  <si>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</si>
  <si>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</si>
  <si>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</si>
  <si>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1.1.2.1.1.4.3</t>
  </si>
  <si>
    <t>6.3.1.5.4.4.4</t>
  </si>
  <si>
    <t>Монтаж подвесного потолка СКБ / типа Армстронг, Грильято</t>
  </si>
  <si>
    <t>пом. 2.033. ПТ-4.3</t>
  </si>
  <si>
    <t>86b87f1a-32b5-4855-8388-b5bf81a42325</t>
  </si>
  <si>
    <t>42e8bac0-98f1-4b1f-8603-9612c710de3f</t>
  </si>
  <si>
    <t>1.1.2.1.1.4.3.1</t>
  </si>
  <si>
    <t xml:space="preserve">Кассетный металический потолок  </t>
  </si>
  <si>
    <t>Кассетный металлический потолок Albes TEGULAR 600х600х15 мм, кассета AP600A6/90 ̊-Т-15, цвет - белый RAL 9003, КМ1</t>
  </si>
  <si>
    <t>303752458.847703</t>
  </si>
  <si>
    <t>21799003.847703</t>
  </si>
  <si>
    <t>58e7c86f-477b-47b9-985f-0a528b32f78c</t>
  </si>
  <si>
    <t>1.1.2.1.1.4.4</t>
  </si>
  <si>
    <t>пом. 1.032. ПТ-4.3</t>
  </si>
  <si>
    <t>1.1.2.1.1.4.4.1</t>
  </si>
  <si>
    <t>303752521.847703</t>
  </si>
  <si>
    <t>21799002.847703</t>
  </si>
  <si>
    <t>Общая стоимость работ, руб.с НДС 20%</t>
  </si>
  <si>
    <t>5</t>
  </si>
  <si>
    <t>eF7s/WuTHMeR5wt/lTKZrZmmu7M2b5EXmu0LoNnsKQjdVeismnlmB2Oy6urqPbQjUjoS5+zsWRszghddllqRuvPwIgrUXubNroEgIIIACH6FrK+gT/JEZFVWoasjIt290qNac6QZNNEXAP7zyHT/R4R7xH/+xmv/6XvTb7zwjVfG3/vG3jf+7/F3/nE6rL7y6j9+5zt735j+02T6nfkXvvGD+gfk7//z7W9MvvvKK9999fY3Xvh7+Yn6W+RvV1/du736y24v/rbbq7+u+tkfrH6s+rz8Q/m4vFd+Ud6bvTH7aaf8qvrkvvz4VfmofNgpn81eLz9ffKp+6ofyv48631Q/2Ck/K59U33ps/Mm/qv69yXe/+/2zl18dvzb/R68F1VenP3jt5Vfk106++x97Z88Z/OprL7/2nw7/8eX6a/+8d5H21fOX/wON9j/fvr36Z+W/KT97QQRRGPnx3vPf+pvp93/w8ndfXfxEkud5FAT/rEN5cRMU+QDQOHSWvLSJJT94+T8QHyCdKQebmLLR0/xp+evyv5cfl++XH5S/89SH8iP5f78uf1/+T/nxbvWVX3fKT+QXfl3+qvxQfvob+Tv1J34tn+pP5Q98on9mwxdG4bawPu92JMWz2R35psl3c69T/qJ8Jt+9Z/LzZ9U7+LT63jP5Hs5+3N1TgPJ78oV8Vt6vvyO/er980u2kgXyq/20Qy8/vSvx/6QR7nUz4nfJp+XB2Z/aGlj56YRRti/7u7A1p/yNp3zNl3+yne53Zm3XYkuFGhqLZuxKuU34tiR+WDyrP/FH+ToWiRxX34/LJ7GezH8mffzh7Q/2s9MrD8rPqz6nfqsj3UP6pz2Zvy48P1L82e0d9eR4ZX68+vtOZh7378ltfV47/avGPyB+sv/BMBsFnncrlT+UXn8ifeCz/hXsd9ZfIiPlM/kV3OvKJ+1V5txP6/0br7viFUbwtd3+ycOJD6bKfLpyr/H5xDObOflbF+vvKZdWP3L/AKV+oT+QzJl827St1Q7zQF9ui/Kj8b5607VMZCH5X/r8d+UH+n87KgXjhZFtW5qkfhEGYJanOskK8MNqWZfL5fVYFjNflg6Diifyoe5DFC9fSbZn4gXosVaj4QoXIjgzxd8vf66y8Ll64vjUrP5Zvi3qvHlax4znl9Vzk0Rm9L17Y35rRH1SjXxkt3/p70spH5ZdVDLS4+UXxwotX0GIZul6fvSs//kh+SWYVnekH4oWDrZn+6/KBzP8q0D7t6ox7Sbzw0taMk36d/dfZW93qQb2zyJ5aHx6KFw63aWb5xFOZqlP+XB/o/1q88Ndbs+93Unn8RD6cD+fKYW6qzsqeeKG3NSv/RxWlpP6Ub8yb5WfdRiFzI3nhW8m2rP1IhU6VouS7c0+KmXdUnrp9+1Ul89RsVSI8eD7kagG25uu70v7fV0r+Y304/dbWTEM/BjeTF25uzVrd9KGyu9Hso+SF4z/rp/doe05venqPt2baPNTqZzV70sHQh7qfvNDfGgT6FRwkL9z6s36WB1vzdeOzfGtrpqEfg5PkhZOtWUuPxEXywvDP+ukttuf0pqd3uDXT2orEo+SF0SYQr333tfF3LjHc/sar41em87+WzvHcchj8LX0x9jd52k083/vB974/VN87kn/l918ef+fg//rHl7/3ivzbNJTna5T/rhgdffMo067kHTHbW7zy/cGr34caeaw38pjZyMH3X57oHpdLNipv7S6tWVcVPFa+ttGwF3qPFoy24oZ8qDdwyGggeLiVl3aHhuEe8Vj4f7x8djZ9dbN3/e/0Pv07dotxQ//v9Wb+e3YzwQ+A8tjuvzc8ANeubWboRgn4g0q0PCkfzd6ar31Wm/bPVntqj+bLUdWSaflYfqy/Lr/0VrXj/3T+h2bvauFiP31BPuKbJOeNAN/TWXU99rNtGfTxwt8/mq/x35urxtkd+aXXVxpS7839Ldr9oLzX+ea/+atOtdXzldpE1Vn44vYs1Jnz19Ic9fhty6by54bHL9+WQb9UOrR6zr66uJH7qPrkzfJr+bvqi4+fE66L7W21lXa/2hpWWylP5lvfs58ZHtWtMapHtfEx3ZZ1hsc0V4/ptmwqf6F/TAN/WwYZH9Pq4asmWSpyLh7VzxY1aItal9mbs591VCVa9QCr1CUf0s4354/5vMKtjsCPno/A97Q6Yn+LbpBP8jdruubQuzU79c904Mtnems2lb80PNNbK027WyX4xx0Vai9WDylBVT/cqqTiDVVE80b1vQfVspN2O3V/iyxVpVjX8BhuyyrDYxiox3BbNpW/MjyGWysl/OXzcbH8Uv73nfJLtW41fzpFRyV2Q8XJFs2GJPWtWWd48kL15G3LpgPDgxdtyZ7y/ctTxo6qxvi6qmt9WFU/fDXPyaoM879UdZMqFMoUKJ9RmbLr8e/UX/irqrTz2bwSUT7C7yxkqgqlX0ix+mT206rWR6mFp5f+JdMka3suMnGqvQZVVNP0/G/LcMPzH6nnf1s2lb8xvADxtgz6hXy4H8hn9PkNgapAeD7lV1sDD+uq48eaImMpYuUz/qb8o88VrVXx+2n10swutV/IH5DfMjzlW/PDfeWH57zgVZJcUwJpeMq3ZbjhKVel2luzqfyt4SkX2zJIP3WrqgK/rqTvotFILSJ8Xv3cM1VDfL+zEMBqmXHeY1T+Vn0if31hq8zc3yIrJCZvyzjD0yrU07otm8r3DU/r1hbA15Zj76puAMNTtjUbq6XXKvKr+uV7gIWAbZlqeOYS9cxty6byA8Mzt7U9id9JvfrO7I3n+4GkKLjTkaHzA1Wm8b78j2G1qloVUAtcP5FfertuwZkLZRlKvef6oqoo+2/mUbX6Kxp6Mve36JHn9L56tjuXJIL66r/RSSKthH9xeyiGN0Btgm3NpvJDwxuwtW2R596ASw9nLRZUbZXUtuopr54G9Xw/31qm/kQ9pXtSKYd520zoRZ1KWMzD5sX3YTGrqh4hVWsvOsvGwIfq6VL/2vOTT/VvKpOql+2LNTkiv2l6k7bm2bU3ad3m6muVcwzvzbYMN7w3avduazaVHxnem63t0/zPSkDPN95W6vq5fbp78lFepIaqq7VqRa1Cqhr/y39WNwGdb/A/kK/Fu9qIS1yr3prTnmunUU+/vbvmxe0ZangF1M7g1mwqP9a/AuHWtnV+NV/Om6eOzxfb1q+vkkfddj1fQjCsfWzP/Acy8qqnUCr5RSz+XP8Ybs1E/WMYqs28rdmkn5PJx3Br2zq/m1d+W5WITYc8e+7Pf7NSHjL6yhgttf1fLdpoH1TPcLW8pxaC35y9XS3vPZmXoi8OdfiyU80fflRF4kVYV6+BMin0g1g9ZPK/YvHfZGGSQbdsz5+VVd5qkrsSKk1flL6dF1VLjz4sv1gUVmsBX9weoBoD7/btV9UYLP6beoZXTW1Ybs3Q8hPDq7atfazyrnzov1SvGSy0b8tO+UTeqXZrDOuUL27PNMNzprYnt2aT4SCGOIy2ZdAvKxFbSdj5wSfVxrgMw48qrVFNB2evd17olP+tW77fLX/Xfe7Ml7mcnv1sby6Gn3T3OlPvlfHL3zE8pduiNDwKaqduazaVdw2PQrwtg9RhAc+XPKtjlapVuB+Wz9oZ/22hGcZf7WFtzabyU8P4i20ZpE5AqvYjqwOjFsexPO7MTwdbzH9Xk975o2IY6G0xGAZabf9gbfqH6m86mw7Gr/0f8mvSwuR0Ep6ejn1vGp8LL878cy/L0nNvHEf+OBJxcHY2nv/k97/7H+e/yef/WbJNvzNd9qI8Dwduugvk6/eLxezvWb2qocbpkebr3nM1zms/ro6E05ZpX8te6MGXnqBO+Wf5B1VNBNAZLXTs5fqOPSa0GI+Ga/c51vMcM/EIPA+4L0jh9PU4fSYc+Gu4YcOgHqvgwVILExgs3BM31LMMmVgCHAvqaRvpUUYMKIoluX0xCayj/WA6ee1lTYaTSeAfXzmd6kbochoIdETX9CumkR+lIoySZB1rnnyl98EWqoz47e9VKbHRSG3j33WiieuvsMWJsEyq6mzWj7hcZspHcz0rte38eEftqvl+/kKPSHMpF5pxWsiFgb93JHx9QqQCrGc8AAAu/hxLq48NVh9TrRZ4q1GRpi+N7huM7lONhj/6G2YvaXxhML4gGn8pRzUYj3tGhtLiocHiIdVieLgmZCJp8Mhg8Ihi8HPRmznfGDKOodWptjo1uhlsJCrldEOdldepVsJfPWjWqc6lqVZ1ZaL5evZmdUZyvYivNrOrE4jl9/UrvYH/Qo8K4zjpBPqEQ7beQcbRm3xMNlngTUaFk77B4j7ZYvgDv2mu0VteUC3nTjR6c4dkc+FBmpJl9NaOSNa6TDGmJKPfF6ztzoxeBpuJTDKmNEO0E/7WIdOMqqN9UH5RFTh9VW2cq7Xderv8YhL6pjYLaR+k/SCQaYgI6zgNhYY0RLXeQRrSm3xMNlngTUbFm77B4j7ZYvgLsWka0lteUC3nTkN6c4dkc+GBnJKG9NaOSNYqcxfvnoM0ZEpE+sKB2vLc6GewoehE1I11ll6nWgp/86Cp6BflVzLDvFGVE3y12FasMpDaQnynM699f7iobKyqw2T2Mc5/Qpl4iGiOE0+0dxQke0exMCQgKoWDBBTtHUvTjw2mH5NNF3jTURGnLy3vS8v7Bsv7ZMvhr8WmCSnaKyRBYSAoqATciSnaG0qzhwazh2Sz4SGekqCivZG0emSwekSyunpebrtLVKZUpS9sWtie+kaPg00lpCq9rdeptsLfSmiy+sNyC+jLeutnmax0pu8HkUxIRPMdJ6TYkIio1jtIRHqTj8kmC7zJqIjSN1jcJ1sMf8Q3TTx6ywuq5dwJR2/ukGwuPERTEo3e2hHJWmVuenuZV/7elmj+43e//39qEChZxpRnYitCaHQ4zFJSkummpkRDNHY9UJvcCswyHy0rbf+416nW2p5e+Mq9xWTpgbYmoW4QVieW3VH9uDrUfSrqelQ3jssrKrx8++UfQB4jnYUvUi0UKAsB1pUfl7/t/Omt3wRBtfjZCcKun3dDPxTzWuen3Y78SpTqKA6oFAmM4pXp+Af/+H3QU/VUuyj9EtXAFGbg9J++N331BzoDX10zMOj6vq8z8ZBqYgYz8f/+7nf+EfRi6oz7a6px65nbYFyVTQDek/+Yzrwe1bxgPT8b7FNCqEp2JGnRe+ng5KR/8s2T/uj4xW/OdaicbN2+/W976irm8K/29MUQN8hYwAy4xDLqjvUBkP9wV//8fotsLDAJLo2FuFy6bnfu7m/NXawz+SbZZGAq3GzCMrdfkuz0zAxHZIYYyQDXpnPDpdE7F4bAhHBMRhBIBPDjI726W5t1aRZDtRaY7L7XYpwpQHFmQEYCpsfvtRRjbpENBSbJ70EfkMEyvtwyv5snZHMxaZP0qMxtH9hjS0G1/9K012Y/Pa7csseVIdl8YPpEzoHlIzPUx5QRydJKn2bj0yQ7z70gO4+9OD1PvHycR14somkymaRZFk/mMMbZ8SuL50cDSJshm+bIAscIhdPNoy1MmLm0juM6J8e6rrCNDXiafeEGw+XxPup4qM+r8xO+UBuNq8Ov1Cz8fud670hHv89JL+D08HmtjuKAk2I9zVso4PPa2X+tzhd5qqN5iZNmPcNbaBCTYB3GISfGev63YGw4UWaEWFcFFoiNJ9SMGJcm3RYO1MR7Hc43yMgbrHSIGN7G/LCeJQolg6SaE+aZIic1IuqBJzjQ8RywkmHfOgiZdSwHzWNZsBHL//2D42pn+X/aIHTNcHBwDRmtQ7rZvdfaep1qK3xrEyr4dLv3muKyZ+VjHch+kLzQo8I43stP945C034+lSDGE8AnsPP9/HTv2GD2MdlsgTcbPnGt9vTTvb7B6j7ZavjDT4+s82WwdK8wWF9Qrefe20/3hgaTh2ST4UEcubZR7e+neyODxSOSxdUzcttlGjItXejP766tj43+BhtLSkSm/X2itfC3sf1UpK4V/kI146gT176uDr2/V1VFfybnvc/mJ27rYPeDVKYrIrDjdKW/rPqIbL2DVKU3+ZhsssCbjIpBfYPFfbLF8Jdi0xSlt7ygWs6dnvTmDsnmwgM7JTXprR2RrH0uLakA76j0LDQvrOuP8KkhwAfetFh8Fppnddep5gL33KG56YPq8HvVZHMPlZPm/aGqXXQttT331zydvVNdK/G4uqSwvmaiOlxfVbU9LS/c+F4+lD/2uPqDX9dXa89PHayLruXPPd2bL9kvelJnby7u7q5ujXu8+Iu+nP/Q/N+uvqZ+cPbj6qbE+4vbANTVFk9mP+l2gtDvVKeRa0ZpnzpK60mplcq58hcScr5Z8UeJ9VB6/o5yZjU+Py9/tzg2+8LdkeVTtYfhyXH+HzrAF6mAAgUIgVsU3iWLujvR9dOq7q67LLwLun6kXfk6oFIAaxHgGxTGwjuigcDKAsSeg7nwjmgisKZgw/0EonGYCgKI96JurC397FEN3F7pXb53FPryVyB/hfJXtCiRyayleFRMoCLAl+IFeZQba/Go1gI1AbIWL1vW4mXmWjyqyUBdsNkMrt5lyXZ6ZoYjMgMwaxLmcXXNTLZzYQjMtXhUBIFEAD8+0qu7tVmXpnVUa4H5D7xVBQg8hQw8hQw8hQw8hQw8BSjwDMiIwAyKq82zBJ1bZEuBiRRRnJcti/OML+sJ2VxMaiU9O/U2oDXYFFT7mYvzsp0LrjcX51HNByZU5CqBfGSG+iAzIllazVjPkziIonMvPksD+eEs8vLoVHjxJDqdRPl4EsaLl9S4fvDKuM3ivNBWnpfjKKF4upUGCxVmtUHHcZ2TA1HaAV2GuFvdNXBH3eV3p7roSa0SzH5Y1eHNrxeYn2Ff/dD8SgL1Ezr0fU50AUeHT311FAecFOtp30KBmPo+1t/k9hInCUtdXhx3M6FDOeREcVebxwixLgosENA5d+LH3UVv9KVJNyOJs/K8pBtqE+4NVjpEDG9jylhPHPNFSVdunjxyUiMCH3jOoxlP7RLRgJUM++JByKxjOWgey4KNuNKVp+Pw7DQeTz3514VeHIVnXpbGEy+ayB/N8slpdLZ4yp3qSn0Rn+HmUIsrYHiudSUnByImQXXlWtuHOmNu0fhxadtIyclqZ+jNav9JnXz61ezd+XXS6hq8P5afq7Pr9qoL06Uo/XJ+T4RhxX+f01EC7qgNVSgnBSIYo1To/I7MJ/MdMB3VS5xULIpU3ynCieFMjXJCYJMiZCSMO0CcIO7EaNxN9M0irHiIyN+iGg39uYKZ/1dHfcRKjQiAdDVqGtABKxr2zYOg2eVo82AWbMTzA4nPw0jkYeZNz0+lfs3zUy87mwrvNJ2IPD0/z5Pz8W33clQ7c75muF3b4goYnnM5ysiBCEpQOaquVX02+9G8sOmpUZs+XhZlPZprUm0NVvWdRHS8IPSNBUycDhJwB20qQxkpEFG4bRnKSOVShjJiuJOhjBDYZAgZCbMMZQRxJkODIO36sY7vBisfIuS3qUODhXQJzDqUkxoRAck61DyiA1Y27LsHYWsQoo2jWbARz4vyp3kiJlkkvxnEXuyfnXr52M89cT4NzoLJeR6MFyPuVIhqB/9aGGJdAcNzLkQZORBRCSpE76rq8aroXx2popTk7E55/9tzTSn8Hfn/2vHa5+QUcM5N9SQjBSKaIvSkoa6cE4RFQvpdoU8Dh5wo7mQkIwQ2lQFGI+mmWa4D6XGCOJORYWI6QvEGKx8iYLcpI8OF8AjNMpKTGhH4yDLSPKIDVjbsuwdha5CRjaNZsBHPz1QUaRac+4k3Ef6pF4dB6GXx2Zk3GZ+dBcnZRIjw9LZ7GSl0rrgWRlhXwPCcy0hGDkRUgsrID1YLkvMuvSeqTnNxOcE76orR12fvVm2kqvXyy4W+LJ96gdC+xPuc/ALOv6m8ZKRARFm4vJz92LREyUjCoi+Fr59oHnKSuJOXjBDYFAcYjCTNulmmrW7scaK4E5ixUV9y4iEieZv6MlooksisLzmpEZGPri9NAzpgRcO+exC0BnnZOJgFG/HycMX4tl0/tnyqlXYJ5VoYWzHTdUxXp1pp09h1qrXrT5jjU63mB3L8uHxUHQRyr7PYH306e7M6sUN+afbDeZnlL6Wo/FCHvh/GL/So+G7PuArF3lHky1/yv7G+ofWITBLjSeDti9V5V9L8Y2n+sTT/2GD+Mdl8gTcf3r6ozr6S1vel9X1pfd9gfZ9sPfw1osfpqktaUhSSopAUhYGioFIwn4klTR9K04fS9KHB9CHZdHiKQHa+qvOxpOUjaflIWj4yWD4iWV49O3PLVSBydlaW6STHUFghwHfXt3pWVmyqVrtONXc96G94VhYm481bA6pdtnvlE/l/qmZL3dFYJb5OlfFerz7eUbVgX1d3C8sfmh91Jf9g51uvjv/xfLFgctcLAtENFp+9F3qLg0QvpUiio9ZzSivHVeksfJFqoUBZCLCuPm8qXZw3lWDOm6JSrE9h2M6bohoIPC0Dvh5jPm+KaiLwmIwNF1qIxq3rgw3Pm0qTbmIo8yIauLXzpsJk7yhUR5Vn8lc+P/IlFLazpsiIwIyKP2sqDPPIdNYU2VpgTsWdNRWK+qyp0Hh7wk2yycC8utlMql51Ejs9M8MRmQGY8ghzqMURMNLwC0NgPGuKjCCQCODHR3p1tzbr0tSJai0w94GX7gBBp5BBpwjVofeZ/AUJOgMyHjBz4s6ZsgScW2RLgQkUfs7UMtjcMr+oJ2RzMSmV9NzUK6LWQFNQ7ec9Z2oZZG7Zg8yQbD4wmSJn2/KRGeoDzIhkqTJ1nITTIA5SL4+T1Ivjs8jLgnHo5cF4Og4ikZzlixhknHu/Mm63YMF8WnWY4CiheLpZuoUKM1PXcVzn5EBsc0Gn8MAGLNtB2NUCdeeb8yOq1fR+Tx0t/XX1d6mvVQvce53FQc1fVQdNL742+/HszeqrX8vvP5j9rDpF+8nsp9UC+dez17t/tZjhP5jXS6hiCrUm/txiwfwHQrVYoM4oeLc67rlaXvjh4t95pBunfc5xEvBxgs/PdRQHnBSI7UXE/BzUB8ZIxVJkYegDY8RwV2HBCIHd5QWMhGWBgBHEWX1F4IfdKNbx3WDlQ2SeNia59VQ3WezJJ+bpLic1IgKCZ2naEdWu8g9Y2bDvHoTNOpqD5tEs2IgrPTw9H5+F0fjcOz89PVOHF4TeODhNPX8S5dkkjKdRtA09bKjCSLGugOE518OMHIioBNXDv5Sa9mupJaV0nL0jNfFyh+vRooj3p1LBvjPfoVIi843ZO3UR7/3qkAKlkO9UGvdLpT2lWq2+G4R7YicIfX8nFPr1i31OTwm4p+CKVDrrF1L5m8B1kAeckIhwjRCspg0lRhAWjWrY+j7kBHGnUhkhsJkSMBZBorYBDTqVEcWdTo1EV2hVzQ1WPkRGaFOnpgtlk5p1Kic1IvDRdapxRAesbNi3D8LWoFMbR7NgI56v247Pzk+nydgbnwa5FwfhqTeOTxMvicVpcnqe50Ea33avU7WDfy2034Kgk+wgPOc6lZEDEZWgOnW+bvuW1FlSkn57fl5BJb4ezn5UKdQv1dfmBxf4e4mvPotMR2Ixogs4Olx46igOOCkQARahLFVV1efdjn5UXuLkYRGYcVevaA45SdwpTEYIbI6DDEacSoVp6DRjRHGmMJO4KxId3g1WPEQob1NgZgtJYr5jjpUaEf/IAjP1u7k2fgxY0bDvHgStQV82DmbBRlzpy/PJJDlPTydelk4mXpxPAu80Hk+882QchuPT0yxLF2HVqb6Mda64FuZYV8DwnOtLRg5EUKLry+q6aXVJwD214Le6CGChM2OAzmR0gYC7YFOdyUiBiLPt6UxGHhadKSOFdkn2kJPEnc5khMDmOsBgRCI1XUbFSeJMZoqgm2gT0w1WPEREb1NmLm4wCs23UbFSI8IfWWaKpJtq5w0DVjTsqwdBa5CZjYNZsBErnWmTj+22dOo30CPb5QaxuAS35ZZOqrnrkeJffUsn1VExzFEttHRSLRQoCwHW1X2bYdfXlxgdUE1dj9RsfZtUA4HdJxjVaerbpJq4LilZ+japxmGaTADek3FP6OzrUe3bWttmFOwdRaH8Fclf8byDKvJtbZtkRGDWbLdtk2wtMG/i2jYjv27bjIzXGN0kmwzMnW0obEmy0zMzHJEZgGmN3rYpDb8wBMa2TTKCQCKAHx/p1d3arDVr+2RrgakPPEEBBJ1CBp1CBp1CBp0CFHQGZDxg4myvbZNsKTB/wts2l8HmlvlFPSGbi8mopOdmMe+zB5qCaj9v2+YyyNyyB5kh2XxgMkW2bcpHZqgPMCOSpcpU2FaOgjHOry2rC9Q5tqFtM7Ld3KKhhOK53p7h5EAs5kGn6W2W/3CiCzg6fFqrozjgpECsSyJmvPZtGU4elm0ZY/kPJ4mzbRlOCOzaMGAwgijrppm+wJwTxdm+jLn8hxUPEcrbmDXWc8fFDWqR+T48VmpE/ANPe+DlP6xo2HcPgmbfl2kezIKN+OqW/xh3cUKsK2B4zvUlIwciKNH15eblP5wuEHAXbKozGSkQcbY9ncnIw6IzjeU/nCTudCYjBDbXQQZDdENDlTkniTOZaS7/YcVDRPQ2ZebihrXIfF8eKzUi/JFlprn8hxUN++pB0BpkZuNgFmzEV/e0jdDQxbgoj0C4AobnXGYyciCCElRmbvG0DU5PCbinNlWjjBSIcIxQo6Y6H0YQFhlqOk6DE8SdCmWEwKZCwFhk3dRUXsQI4kyEWg7TYOVDBPw2VejiIrbIfKseKzUi7JFVqOUwDVY27LsHYWuQoY2jWbARX91DkA2X2V1bHO2IcAUMz7kMZeRARCWoDP3/7CHInOMk4OO0qQhmpEBkA4QIhhyCzEnFoogNepgRw50eZoTA5mTASJir7Rk53Mlh8xnIrHyIxNOmHI4XAio2y2FOakQApMth8xnIrGzYVw/C1iCHG0ezYCN225RpWGcVNrjEX4fbdlMm0dz1UPGvvymT6KgY5qg2mjKJFgqUhQDrnmvKDLVroQdUU9dDNV9TJtFAYG8JQnKamzKJJgKbSjaUk0TjMC0kAO9FwnR0B9XA7XVlJntHUSp/ZfLX4l67yHqZJhkRmDZb7sqkWgtMnMiuzOVlmpH5Mk2yycDk2YbGliQ7PTPDEZkBmNc26MpcXqYZ2S/TJCMIJAL48ZFe3a3NWrO2T7YWmPvAUxRA0Clk0Clk0Clk0ClAQWdAxgNmzha7MqmWAhMooitzeZmm+UU9IZuLSamk56ae+FkDTUG1n7krc3mZpj3IDMnmA5MptitT7A71AWZEsrTaRwJV2CsY4wTbsrxAnWSbujITHCUUz/k+EiMHYjkPOk9vtSuTEV3A0eHzWh3FAScFYmUSMeVtqJZn5GHZlDF3ZTKSuNuXYYTALg4DBiPI/W6sLz/ucaI425qxdGVy4iFCeRuzxnruuLjPMDLfTslKjYh/4GkPoiuTEw377kHQGjZmGgezYCO+ul2Zkakr03b/kdYVMDzn+pKRAxGU6Pqyha5MRhcIuAs21ZmMFIg4257OZORh0ZnmrkxGEnc6kxECm+sggyFEN8sMbZmMKM50pqUtkxMPEdLb1JmL+wgj8+2SrNSI+EfWmZa2TE407LsHQWvQmY2DWbARX922zMhULpRhXQHDc64zGTkQQQmqM7fZlsnoKQH31KZylJECEY4RctRU6cMIwqJDjW2ZjCDuZCgjBDYVAsYijbppaigwYiRxpkJtfZmcfIiI36YMXVxbGJnvoGSlRsQ9sgy19WVysmFfPghbgw5tHM2Cjfjq9mVGpr7MHOsKGJ5zHcrIgYhKUB36/92+TMZxEvBx2lQFM1IgsgFCBYP6MhmpWCSxQRAzYrgTxIwQ2JwMGAlLwT0jiDs9bGnM5ORDZJ429fDifsXIfFkmKzUiAtL1sKUxk5MN++5B2Br0cONoFmzE8n//8JwSVPB/b9O97TZq6hVvbLu9JMqCdVhHjZphN9eZe51q7nro2LBR83dr6u5eZ9FX+RWg0zJJRL2I2gkWkrFeOS3f8wLtCt0+lTyGkeM6L8tfzN5ZSOk/SpH+cPaGpH13IcV/Xv5u7gUlgmf/ZS6x5E897VzvHXlSp/8PHeCLVECBAoTA/bLqqK3mGvNpR9XH+ae3fqN6OUU2nxcsv6h6E9Pbt1+tyjMeqfGWE4TnFtCVI+QTomYqn8j/fKW+Pv8b5L8we6uayzyq5jP3q28vVty/KO9L7yqhWlUQVPOKn8i5xrzw46H6B++W75V/KD8uf1V+KH/3/5Yfe/I/j+VkRj15j6rHUn73lx05xfmh/MvlKHW8zmJ280755V4n8f3Z2/KDmnQ91Q3KAXVQ1pMWW4sq1UBgow1CfRtbVKkmrqtrlhZVqnHrmXvDFlWt53pU47bWnhoHe0dxKH9F8tfi/r7YemkoGREoFvDtqYGfxKb2VLK1QLmAa0+Nl5eGxuZLQ8kmAyVDGzMNSbLTMzMckRmAyZ/enhovLw2N7ZeGkhEEEgH8+Eiv7tZmrVnbJ1sLzHvgiRog6BQy6BQy6BQy6BSgoDMg4wGzJq491RJwbpEtBSZPeHvqMtjcMr+oJ2RzMemU9Nwspr/2QFNQ7edtT10GmVv2IDMkmw9Mpsj2VPnIDPUBZkSyVJl6GsRJlESxl4VnqRfnZ4l3KqLEk59NTsdZHo6jRa41LitYFlmoSwuG9tTYdr+VhhKKp1uAsFBhFiF0HNc5ORCLmtDVCeB22qUtqucWMfj31BaFZM8tgCz+vfk6yNfPt0ComfPHVRvEJ+XdTiqM89V9zpES8JGCLzboKA44KRDLyYjZOWRDjZPK4YYaJ4azDTVOCOyiPmAkDMsDjBDONtPiqJtq8W6w4iHSThsz3Hqeu7gTMzZfcMpKjQh+4CkaeEAHrGjYtw6CZt9Kax7Mgo14Xlo2mUzH/mTqZfnp2Iun2bk3jrOxJ+JxcjaNT4MoWuQFp1pYu1B9bdE2h3AFDM+5FmbkQAQlnBZuOqolFfOjWmJrCy0nuoCjbyouGSkQ8RUhLu0ttJw8LLLS1LrACeJOWDJCYFMcYCwMwpIRwpmwzIXhSKAbrHiIGN6msFzcghmbrzRlpUYEPrKwNA7ogBUN+9ZB0BqEZeNgFmzElbCchOfBWTDxvWAyCb349EzK0akvvOl5ME1yKVCz8PS2e2GpLdC7FkdYV8DwnAtLRg5EUKILy4YzWiACk9EFAu6CTQUmIwUizrYnMBl5WASm39UeCXLICeJOYDJCYFMdZCx0ED1OCGcCM8m7kbZK9wYrHiKWtykwF/dbxubbSlmpEYGPLDCNAzpgRcO+dRC0BoHZOJgFG3ElMMPwVEzP47HnJ4nwgmCaeZl/lnu+L3yRZFmQi4X0ciowY50rrsUx1hUwPOcCk5EDEZSgAvPDeQtBp/x8dUqL/KX2yh9XFebqsJZ35vvmvyg/rA5dUfvi8nPt+tI+J7+A82+qLhkpEEEWoS5NleuMICyyMjCtWzKCuJOVjBDYBAcYC4OsZIRwJitDPzX0It5g5UOE8DZ15eKiyNh87ScrNSLkkXWleUQHrGzY9w7C1iAsG0ezYCOuukv/+TkxYpSOP5hOXnv5u69q3EBQjoZFSWGlDNcpTW2lZlMxcjCxLaBep9q6/nhZ3AqUfNb7P5/O3lE3fFYnnnRmb5X3Zm9XTX2vV8V393Vo+7F4oUfFuxQQzXybxcN551RiCH5U62O89fDCdGXyscHkY7LJAm8yvBhdWtw3WNwnWwx/BegBdt7jore8oFp+qWGhwXLcozE0mDskmwsP4cgeBWntyGDtiGTtc1FcGe3ogAPTBVlxYkWIjQ6HWUpKQl1DAch1qrHrgXrDww2gWUh/+fSj2dud2R3VXbDeFlDV+D9S33msNskWV1V/qXPFPtUV61H/6p52QAQUKEAI3Mflb9UxBokEmL3RCVSRQTf0Q9FdHnIQdP1IO+E8oFKszzo2Ph7A1HJAtA/Y54hZOzGeDkA0EdjguOGqCNE4TDsjwHt+10909vWo9m3vgIB07yjO5K/FNbJxYj0cgIoHTLT4wwFElsaJ8XQAqrnAbIs8HSBZng5gvOvpJtlkYM7dbGZUrxElOz0zwxGZAZgsCfOjunE32bkwBObTAagIAokAfnykV3drsy5Nl6jWAtMeeKENEHEKGXEKGXEKUMQZkNGAGRN3MoAt2twimwrMnIijAZLl0QDGt/SEbC4ml5Iemnrt0hplCqr9zEcDJDsXXG8+GoBqPjCVIqfd8pEZ6qPLiGRpZepZngTJNPfC2J948Xk+8TKRnHpRdjqdxNF5Hk4Wz5JxQv7KuM2igqhr2DK8Fqc4RiicbupuYcJM33Uc1zk5EPtR0Jn9e+VXcs6tJvJV59Oi319++seqw/+nl07aXs72dfT7nPQCTg+f6+ooDjgp1hO+hQIx1/2xabbLSMJTUaDDOOTEcFdPwAiB3dcEjIS2RKXHCeGsnsA3CMgbrHSI6N3GHLGeKS5unYvNVwiyUiPiHXiSc+lRTbr6I3IHrGjYlw6CZh3MQfNgFmzE86uqQyF/+jzwxpmqaE2z2BuP01NvMg2SSeyH52k9l3IoKLVDfy223WGjdQQMzrmgZORAhCSooPwXVYFQbQBJvVif6BSXn+jY9jnZBJxtU7nISIEInwi5aBCLjBw8YrHra+t3DjlJ3OlFRghs6gIMhtqRMWhGRhBnmjFNg1QYdSMnISJIt6kbF7fExeY7/1ipEYGPrBttYzpgpcO+fxC6BunYOJ4FG3ElHfM0j3w/C7w4S8+9eJKce1l0KmVmEJ9nk8jPJpOFrHIoHQ2lqjnWETA459KRkQMRlaDScXVI6ZeXDik1r0N2vlk+rg6Z/PL5c0dXF/Q9qS/seFLdTP2OKtJRt23In/u8+urj8p7Oe/uc3hNw720qThkpEDEaLk5hB4cyUvFIVR3GISeGO53KCIHNk4CRMFcOMXI4k6lhlomuqoG4DHiDFRCRD9pUqYu722LzTXys1IgISFapliEdsMJhXz4IXINIbRzOgo140Szlsl1Kv3Ap7BcBiHVC7kYprUa+TrVy/aHavEXqd1InPqjWHOfnzM8P81SnLb2+uDmtOoDpM1XMPHtnr6pSv3D4/LPqe0o4PlheuabuU9Ng7wv/hR4V3W37lAj08ZBsfYy3Hl68U7VPGUw+Jpss8CbDC3ZU+5TB4j7ZYvjrQQ+5VRGgwfKCajlz+5TB3CHZXHhIR9ZxqfYpg7UjkrXVc3HbTUIyFGcJ+6HdidHLYDORKcnQLkW1E/7WkZJSp7ri84/VwYDvzN5edNGUD2c/md8Mauh4EoHMNUQix7nGoL3J1jvINYa6c7LJAm8yKqj0DRb3yRbDn/pNc41By1Mt5841hoJhsrnwaE3JNXprRyRrn1ubdJBrTNkmtFqeGv0MNhSdbbpCZ+l1qqXwN4+Yb+6WH5Q/15m8L0KZVIhmO04q0d5REOZ7R5H6XZRnhhxDhXGQY6K9Y0VwrAiOTQTHZAKBJ0DFlr40u68A+gqgbwLokwHg78GmGSjaKxRIoUAKE0hBBeFOSNHeUFk/VNYPTdYPydbDIzwlP0V7I2X8SBk/Mhk/IhnvdmpkTliR1fbM6HiwqYSEZZoiEW2Fv6rQlPVJtUr3js7KfRHJLEW01HGWiveOMvkrjwzpiUrhID3Fe8fS9GOD6cdk0wXedFRM6UvL+9LyvsHyPtly+FO+aUKK9wpJUBgICioBdyaK94bS7KHB7CHZbHjUpqSgeG8krR4ZrB6RrHafe0zZJ7Zanxt9DjaWlH1M+YdoLfzNxOSfB6oGaHVL8bJQqLw//+2DTnWfhzpb+cfy4zN1ffLX8+OKZu/IP6fuU9Zh7otYJjAiquMEJvaORLZ3lPjyVyh/pXtHaSB/JTKx6c8EOCKTOUhqYu9Y4hxLnGOJcyxxjiXOscQ5NuAck3EEHgcVufqSpi9p+pKmL2n6kqYvafqSpm+g6ZNp4K/YpslP7BWSqpBUhaQqJFUhqQpJVRioCioVd0IUe0OJMpQoQ4kylChDiTKUKEMDypCMAk8vlCQp9kaSZCRJRpJkJElGkmQkSUYGkhGJRKEsIpwCYj8OcJk9TflT2CDyS8fvmvJnKwcCLpOneY+LaO56UuE4EvCr6uy/R/KTr1YbXfN0ajkA8Ovqk4fyW2+rHFv9dY+qyoyvq39gUd5b/7ha5nwqv/XW/NiC+RefVMcVvFF9UlX+LopAftJVf+BZJ/A71U0IOpfuU126ns1aOlpQ7RZ2yi+qS8Meze5Ifz5deUWdyCe/9rX6SlW5IkXL/dk7C09/Nd9QnL37XM3L/FjGtxdlLV/I776+LHN5VldDy79Djkx1Ae6bs591dW56keomgXITwEUL/tcVm3LTk6qs5xMv9KunRv4m2FMHGFanFKovhfI3qXwuXtVxHVC51ov/Nj6y0HQvBNVA4AlMiCpm45mFVBPXq5RZziykGrcuiDY9s1BnXI9q3NYOLBRyYiDS+dFhUjRYDiskowFlAP6wwtg3nf3wLbKxQB2AO6pQiPqowrmLdSbfJJsM1AKbzS4XJdpC7PTMDEdkBmDyJcwjFweJScMvDIHxqEIygkAigB8f6dXd2qxL00OqtcB0B65zB8SaQsaaAhRrBmQsYJLEHVMYZZnpkEKyocBUCT+kcBljbpnfzxOyuZjkSXpcFj0D9vhSUO3nPaRwGVtu2WPLkGw+MIUiFwrkIzPUx5URyVJl6tl5fJalwdjLAjH1Yj9JvGwyCbxpFOXn0Xk0yc+ncxjjMsEr43Yag59bKjAtFiQ4SiiebkHBQoVZVNBxXOfkWFcXttEBrjZ8vFpYWK0ZPFkcL1P+oZrzviV//fDC7HZ+pOH8KP5PyvfLD7zybvlp+Z78634lP/6+/FTnm31O3wi4b+Dz4XpxQ86L76m1ArUgsLh0/KvKafeqi8fvzd6tbimQP6ZWBO7MfqrDP+DEX9cQFnzEtPlx+bmO5CVOEp4u4W6iAznkBHHWJ8wJsS42LBAbztYZIZw1CefdJNXR3WClQ6SFNiae9fQzmbeUCvNp+azUiIgHnjlBx3PASoZ95yBk1rEcNI9lwUZcSdXT08l0fB7lnojjiTrv5twbJ77w4uA0OwtOx2eRWLzDTqWqdtX4mrCeBKlzBQzPuVRl5EDEJKhU/eXaFtc9ddLMXIapLa471X7FT2tt+qHUoUqTvl9+JH99vFK0H5cflL+THz9VP/O/5Sd3OzcHIuiU7+mctM/pJAF3Elyz6igOOCkQgbgN6clIwiI9/W6on9gfcqK4E5+MENhECBkNHUSPE8KZ+MyybqbFu8GKh4j0barPxYHNwnz6Nis1IuiR1adxQAesaNi3DoLWID8bB7NgI65Op9lbZjH1NDssnDIITOt5kXm0DuuocMp4Yg3RXOBmKVQf6gqnqsW6LxYNnI/UuYdzjagqptS371SHF767EIfVJaPz8/HU5S2P6jKrR7P/WpUkz7+h1OeyGqq83wkWf43psAGid2KYd3A1UDoLX6RaKFAWAqxblR91F/VHy2IjneEHVMOBG64ItWqqLyIaCNw6hYtQS30R0UTgpumG4pJoHGaLFOA9g2gkGre9+qLFtYQis9YWUbGAmZJSW2QsLaLaCsyUyNKibFlaZDwL+ibZZGC2bENjS5KdnpnhiMwAzGkblBZlOxeGwFxaREUQSATw4yO9ulubtWZtn2wtMNOBpyiAMFOAwsyAjATMjbiyImOIuUW2E5ggEVVF2bKqyPhqnpDNxaRM0pNSz/WsoaWg2s9cVZTtXHC9uaqIaj4weWKrirLdoT6kjEiWVk/KNJ+EZ6Hwxn469mI/ir0s8X0v9P1kGkyycR4vUpVxDm1ZUaDOo01VRTmOEoqnm21bqDAzbh3HdU4OxAIedCr+yXIOfc88h743e/fbKlFIi8qnqvFXR77PSS7g5PBJrI7igJMCsRTZwoyWEYRl+8VQb3jICeJu84URArsMDBgLwzyaEcLZ5kucdFNtidkNVjxE7G5jYlhPDxenyQvz5QCs1IiIB57ZgAd0wIqGfesgaA2bL42DWbARq+Ifm1Bsd7NFu3txLfEtcHFibgSA2YqRfpDNFqq5wOUjqMK7opstVO/EMO+0sNlCtVCgLARYNz8ru7vYYfG1dY4HVGuB606b61GqgcBVJIzONO2wUE0ELiBtpiCpxmGWiwDe0ytDqnFb22FJgvnSZ+LbdljIWMD02OYOC9lWYHrE7bAkfr3DMvewzuSbZJOBKbINIS1JdnpmhiMyAzCR0XdYpOEXhsC4w0JGEEgE8OMjvbpbm7VmbZ9sLTDTgechgDBTgMLMgIwEzI1t7bCQ7QQmSPgOyzK83DK/midkczEpk/SkLCZ09tBSUO3n3WFZhpVb9rAyJJsPTJ7IHRb5yAz1IWVEsvTK7rAYTk27lgQ4Siie6x0WTg7EKh10/t3iDgsnuYCTw2euOooDTgrEemMLM1pGEKc7LJwgznZYOCGwa72AsTDMoxkhrsAOCyseIna3MTGsp4fBfFF+/l8d9RErNSLigWc24AEdsKJh3zoImn2HpXkwCzbiur2lXjtSj7PD/pZYR3stCS20UQ6+iLnlLZfAsEV0nWovcEEJqvm0ey7qS++Wf5zvoFS3ky32Su7Jn3x68dQeJQjV/slD+YcXZ/6qY2zjYH7KTXWeb6Kk4lOdG/apbohhbmhjc4VooUBZCLDu0kG6aptlflhudYquzvoDqvXAJagWpCnRQOCCEkZyGjdbiCYC15I2FJNE4zArRwDvGUQi0bjtbbZEe0dJLH8J+StZrIiG1o0XKiIwSeI3XvI4MO68UI0FZknkzku43HkJzTsvVJOBibINgS1JdnpmhiMyAzDLbbDzEu5cGALzzgsVQSARwI+P9OpubdaatX2ytcC0B56fAGJOIWNOIWNOIWNOAYo5AzIeMGnidmEyIYzbMFRDgakTsQ0TLrdhjO/pCdlcTDIlPTb1rM8aZwqq/czbMOHOBdebt2Go5gNTKXYbJtwd6uPLiGSpMnUcBHEi4txLgonw4jhLvVMxSb3z0/TMPwsykSSLZ8k4mbasLVAn1KZtmAhHCcXTTbstVJipt47jOicHYikPOiW/Wx/42pn9sLo9Z35ZzlflM09OANV3flRNvecT79mb6raYxaZM+VEgtJF4n9MHAu4D+GxX5B3TosEBJwxilRIx+TWdPMZJwrQxo239O+QEcbcxwwiBXSIGjIVhzs0I4WxjJukG+kNvWekQwbyNaWM9eYwWS/mReQLJSY2IeOB5D3Q8B6xk2HcOQtawLdM4lgUb8fzQ2/MsnJ7GsXcaT0IvDvKJdzqOzj0/DEQWpoE4FdsQmFoZfS2Jsa6A4TkXmIwciJgEF5jzzZp7ndl/LZ8o3Ti7U96vBGTg+zvql9Bx7nNyCjgnXETqKA44KRCxFKEeTVsnjCBM4tFQ1cMI4k48MkJgExlgLAzikRHCmXgM1IKk9km7wcqHCNVtysd4ITlis3zkpEaEPLJ8NI/ogJUN+95B2BoEZONoFmzElYCMg/PUT09zLw2mqfxZP/Cy5Dz00vF5mJ8l4lxs4YKv2NRnLbCugOE5F5CMHIioBBWQHy6WJO91VAG4avktn6nbqKslyUtXfteLk5lSltWaXlU+bioIYnSFgLtiU43JSIEIuAiNqer9P+929KPyEicPj9TUYRxyYrgTmowQ2IQHGAmD0GSEcCc0/W6sxbvBioeI6G3qTLFQJubroVmpEWGPrjNNAzpgRcO+dRC0BpnZOJgFG3ElM7MkCyfpWeqdRqnvxcn03Msn8akX5ZGfn+fjcTRdBFSnMjPWueJakmBdAcNzLjMZORBBCSozL1/OVf68/HX5qbpqy6tv3Crfk7/7tBKYOuZ9TmYBZ95UTzJSIAIrQk8ad7wZSViUpPmuLU4Ud2qSEQKb1yCjoYPocUI4VJOm4yxusPIhInebcnJxPWhivuqVlRoR9TaQk6YRHbCyYd87CFuDnmwczYKNWLUj7s07whx2IQod5LXEfqVYsg7prgsx1tl7nWrvesy4ol2ISbBqQswsTYhEL8QwL7TRhEi0UKAsBFinbUKsbtOqmhC1we6Aav16jOZrQiQaCOyngItNSxMi0URgJ8WGIpJo3Hqi4mlCJBq3vSbEbO8oyfeOUn/RDJRaGxCpeMD8iG9ADPwgNnYgUq0FZkhkB2K67EA0XhN6k2wyMEm2IaolyU7PzHBEZgCmuA06ENOdC0Ng7kCkIggkAvjxkV7drc1as7ZPthaY88BzEkDAKWTAKWTAKUABZ0BGA2ZLXPdhHobG7kOqocCcieg+TJfdh8Z39IRsLiaLkh6ZepJnjTEF1X7m7sN054Lrzd2HVPOBeRTbfZjuDvWxZUSyVJkKKyRXMMZJtGUpgTqRNnUfZjhKKJ5uum2hwky5dRzXOTkQS3fQqThP9yGjDwTcB/BpbhJbug8ZYRCrkohZr3EvhpGEZS/G2H3ICOJuJ4YRArsiDBgLw2SbEcLZToy5+5CTDhHM25gy1hPHbLFyb76amZUaEfHAcx7oeA5YybDvHISsYRemcSwLNuKr230oTN2HOdYVMDznApORAxGT4AKT2n3IyCngnHARqaM44KRAxFKEejTtmTCCMIlHQ1E4I4g78cgIgU1kgLEwiEdGCGfi0dZ9yMmHCNVtysfFTZ+J+dpWVmpEyCPLR1v3IScb9r2DsDUIyMbRLNiIr273oTB0H6Y+1hUwPNcCkpMDEZWgApKz+5DTFQLuig01JicFIuAiNKa9+5CTh0dq6jAOOTGcCU1OCGzCA4yEXmhyQrgTmsbuQ1Y8RERvUWem/lyZpOb7TVmpEWGPrjON3YesaNi3DoJml5nNg1mwESudaZOP7VaJJzq4a6n9Zp5wHW7bVeJUe4EFcFDht+UqcaoXYpgXWqgSp1ooUBYCrKv03NPF/TRCu2d7QDUWWCCHEJ+GBU6qgcAyN4SaNBaFU00EFrhtqBSJxq3nI5aicKpxWysKT8O9ozSSv2L5S8zrNNPAVhhORgSmxHYLw8nWApMirjA8DerC8NR4wd5NssnAvNiGfJYkOz0zwxGZAZjV6IXh0vALQ2AsDCcjCCQC+PGRXt2tzVqztk+2Fpj3wLMPQNApZNApZNApZNApQEFnQMYDZs3WisPJhgJzJ7w4fBlrbpnf0xOyuZhsSnps6jmdNc4UVPt5i8OXMeaWPcYMyeYDcymyOFw+MkN9fBmRLK00IajbWsEY586WlQPq/NlQHJ6GOEoonvOtF0YOxEIddAbeyok8nMwCzgyfzeooDjgpEIuNiGmuqQqck4Rld8V8Ig8nirsdFkYI7FovZDR0ED1OCIc7LMYTeVj5EJG7jTliPVMMF6vy5otMWakRUQ88yYGP6ICVDfveQdga9lgaR7NgI766pTyJoRY8jbCugOE515OMHIioBNWTrKU8jK4QcFdsKjMZKRABFyEzG0p5GHlYxKahlIcRw53QZITAJjzASBiEJiOEQ6FpLOXhxENE9DZ15uKOvNR83yErNSLsbaAzjaU8nGjYtw6C1iAzGwezYCO+ui2HialiPMa6AobnXGYyciCCElRmklsOOTkFnHNTDclIgQimCA1pqshhBOERj4aWQ04Qd/KREQKbyABjYZCPjBDu5KO55ZCVDxGq29SPiyvyUvOFh6zUiJBH14/mlkNWNux7B2FrEJCNo1mwEV/dQ9ESw000qcC6AobnXEAyciCiElxAMhyKxukDAfcBXFwmwnwoGicMIuAiNKZxO5yRhElkagvsDzlB3IlMRghssgOMhUFkMkI4E5nGQ9FY6RDBvE2JubgeLzXfdchKjYh4ZIlpPBSNlQz7zkHIGgRm41gWbMRumw21w3ktTaxw0Trc1psNifauR4o/82ZDohdimBfaaDYkWihQFgKsmzcbSj//pLu4jMbXvgkHVIuBnRcI7Wla3yQaCOydwEhKY8ch0URg18SGYpFo3HpS4uk4JBq3vY7DdO8ozeSvfNH4k1i7Dal4wJzYcrch1VpgVkR2GybLbkPj/Xk3ySYDE2Mb8lmS7PTMDEdkBmBa26DbMNm5MATmbkMqgkAigB8f6dXd2qw1a/tka4E5Dzz7AAScQgacQgacAhRwBmQ0YLZsr9OQaigwZyI6DZNlp6HxHT0hm4vJoqRHpp7QWWNMQbWfudMw2bngenOnIdV8YB7Fdhomu0N9bBmRLK3mKKDyHgVjnDhblg2ok2dTp6Htsh0NJRTP+Y4LIwdikQ46/WatDGd0hYC7Aj7D1VEccFKsZ38LBWLW21AZzsjDs++iwzjkxHC368IIgV0BBoyEYcLNCOFs18VSGc6Jh4jobcwb69ljuliqN19kykqNCHvgiQ94QAesaNi3DoJmHcxB82AWbMRXtzI8NTUgZlhXwPCcy0xGDkRQgspMemU4I6eAc26qIRkpEMEUoSFNOyeMIDzi0VQZzgjiTj4yQmATGWAsDPKREcKdfLRUhnPyIUJ1m/pxcf9dar7LkJUaEfLo+tFSGc7Jhn3vIGwNArJxNAs24kpA+mdJnghx6k2zJPLicex747GYetNJNs7OT5N8Gp/edi8gI50rrqU51hUwPOcCkpEDEZXgAnKDyvBQv2O0z+kDAfcBXFwmwlwYzsiCiLcIiWksDGckYdKYhsJwRhB3GpMRApvrAGNh0JiMEM40ZtqNDQqTkw4Ry9tUmIsL8lLzdYes1IiIR1aYpvEcsJJh3zkIWYO+bBzLgo1Y/u8fKuyFtFK68e9tQrLdSnFtXriW+RbaKM/WaV1Viof6tZLrVHuBBXFQCairFFeKr3xSPpKffDV7Z/Z2p9r8fKKqwy8Ujlcn6T5RlctVQXjgGzvs9qm0MYy2hYpwqoUCZSHAurm3n3Y7QdePpEsfdUL5m3RPuftR+XWn/MQLqy+r3wR7OpgDKgywcA6hRw1LnlQDgeVvGJlpKhanmggsfNtMQFKNW09UGxaLZ7mc08c6C3tUC7dWMZ4Fe0dZKH9F8wLOzLdVjJPxgLkRXzEuRGoqGCcbC0yOuILxzK8LxjPjFXo3ySYD82MbslqS7PTMDEdkBmDWoxeMS8MvDIGxYJyMIJAI4MdHenW3NmvN2j7ZWmDeA89KAPGmkPGmkPGmAMWbARkNmDFxBePmWHOLbCgwb8ILxpdx5pb5HT0hm4vJpKRHZjHRs8eYgmo/b8H4Mr7csseXIdl8YBpFFozLR2aojy0jkqXVFAZU9aNgjPNny3ICdQ5tKBjPbBfwaCiheLqZtoUKM9vWcVzn5EAs3kFn4ZwF45yuEHBXwCfAOooDTgrEuiRi5msvGOfk4dmP0WEccmI4243hhMCuDENGIo+6mXY4epwkzrZkzFXjrHiIsN7G5LGeQgbzdfzMfMspKzUi9oFnP+ABHbCiYV89CJp9U6Z5MAs24nnV+OlkOj6Pck/E8cSL0+zcGye+kH/qNDsLTsdnkVi8xU61pnYN+FoWYl0Bw3OuNRk5EEEJqjUvX4OoPq12e6S8nN1Rez+zn6qdH3Xqz4fle+Xd8tPy/fIj+evjby+ODPpD+XF9Y6L6mf8tP7nbuTkQQad8T+ekfU4nCbiTNlWhjBSISIxQoaZ6IE4SFv1pvjeRE8WdBmWEwCZCwGiEYdqN8liH0uNEcSZCs6yrXwi6wYqHiPdtitDFdXuZ+fJEVmpE6COLUOOADljRsO8eBK1BhDYOZsFGXInQYBKGWT4995K0qiIKYy+LznLvLBZJmgb+mZ8sBtypCI10rriWRVhXwPCci1BGDkRQgorQj1cVRvPTJasKo5W6lHp09pb89cOLx1LONenXqkbpEylHP/Aqbfqe/Ot+JT/+vvxU55t9Tt8IuG821Z6MFIgA3Ib2ZCRh0Z5BN9GBHHKCuFOejBDY7AcZizhM0m5mkJ6MLM6kZ97VHwF7g5UOEeTbVJ6LG/gy83WKrNSIwEdWnnk30Y7ngJUM++pByBqEZ+NYFmzEVUn6c5rLqCx/MJ289vJ3X9V4gSQsDSubsRUzX8c01aKbjcXoxVU5utba61Rr158wi2uBqvCXUhE+qPTeo/KLqrb83UoBvlsVPz+Uwu+Jak38orw/e7M6lvzyj725/MGH1aLmQx3yfha/0KNiX4qUZu7NAuW8KlXsHWXZ3lEeGKIjlSLGU8DLgJTpx9L0Y2n6scH0Y7LpAm86vARIWt6Xlvel5X2D5X2y5fBXhh6T58WFYq+QBIWBoKASXCobayDAPTJDafZQmj00mD0kmw1PA8iKMWn1SFo9klaPDFaPSFYrsxfvqNP+KkO/0rVMWCBiPzC6HmYrMaF1Y1N7FdHc9eDO0F4FSGWqu2fVczVfFHkqv/yVWgip6sTmX7vfCdQtHerHvtS5YZ/qhvXswNh3RbRQoCwEWCf9KF0+e332RkcOxb3yyeI+jki7anxAtXt9xsHXYkU0EFgwjlk9MbZYEU0ElopvuC5CNA5TGA7wntZzPapx2+uuSqSOTRedDsLaWUVFA2ZFfGdVHOXGziqqscC0iOysEsvOKuN9YTfJJgNT42aTnnpdSOz0zAxHZAZgXiNMeerOB7FzYQjMnVVUBIFEAD8+0qu7tVmXZjxUa4HpDry4Bog1hYw1BSjWDMhYwCSJ66oyx5lbZEOBqRLRVSWWXVXG9/OEbC4meZIel3qt0hpfCqr9zF1VYueC681dVVTzgSkUOUeWj8xQH1dGJEuVqVORn5+eT8fe2dg/9eJxPvEykaReeD4N4jwfB+fpeA5jnDW/Mm63yKD6r47yWpbgKKF4uvm1hQozx9ZxXOfkQOw/QSffv6z6pZ5WpyQ/Kh93yl/I/3ymZuNyrvdITvCqSXSYV+eWPNER73MSCzgxfBarozjgpEDsoMHntLMfz97QkbzEScJSOuAbjkrmBHFXOsAIgd2/hIyFDqLHCeGsZiDxfYN0vMHKh4jabcwL69lhsthpNl/WyEqNiHngiQ18RAesbNj3DsJmHc1B82gWbMTzmoHxOA6j6NybJFHgxVFy7o3F+ak3jcIsOY/O/eh08Zw71ZKG2gLrtSM6V8DwnGtJRg5EVIJqyY/U7ku3U+3bPJp36n8qheXbVf3qvfLx7M1qf0fJTB3uPieugONuKiQZKRBBFS4ky6eRDuQlThAWHak2onQkh5wk7oQkIwQ2oQEGwyAkGSGcCUkRBlFXGJQkJyAiZrepJBf3fGXmS9tYqRFBj6wkLUM6YIXDvnkQuAYp2TicBRux0pI2idhukY5BHNqvFInX4bZdpEM0dz1W/LkX6RDdEMPc0EaRDtFCgbIQYN3ibGSvfLioztG3ShxQDQZuV2IEqKE6h2ggcOMRJSxN1TlEE4FbjhsqRqJxmA1GgPcMSpBo3Paqc/K9o9xf7Jhn1uocKhowHbZbnUM1FpgPkdU52bI6x3gp2E2yycCc2IZ2liQ7PTPDEZkBmNA2qM7Jdi4Mgbk6h4ogkAjgx0d6dbc2a83aPtlaYLoDTz0AsaaQsaYAxZoBGQuYJNurzqEaCkyViOqcbFmdY3w/T8jmYpIn6XGpp3HW+FJQ7Weuzsl2LrjeXJ1DNR+YQrHVOdnuUB9XRiRLr+yOirGzJcdRQvGc76gwciBW56Cz7o13VBhxBRwXPnfVURxwUiAWFzETWsOOCiOI4x0VRhJ3OyqMENh1XcBgGObRjBBXY0eFExARs9uYFdZzw8XFhJn5kklWakTQA09rEEM6YIXDvnkQuIYdlcbhLNiIr26ht2n/JfexroDhuZaSnByIsASVki0UenMSCzjxhmqSkwIRWOFq0ljozUnCIidNhd6cIM7UJCcENqdBxkIH0eOEcKYmLYXerHyIqN2imMz9ufrIzZcsslIjYh5ZTFoKvVnZsO8dhM2uJZtHs2AjVgfE7c1TscOjdLQLDNfywAbph+uQzqp0hM7c61Rz10PG1anS+b38QfX58kThp1XBjhKRj6qTX4CFO1TPxDDPtFC4Q7VQoCwEWPent35TXWOus/KAaiVw+xIuR03VOlQDgRuRcJVprtahmgjcgtxQPxKNw2w4Arxn0IVE47ZWrZOH893zPLBV6pCxgCkRX6kjElOhDtlWYErEFerkQV2okxsv8rpJNhmYFttQ0ZJkp2dmOCIzABMYvVBHGn5hCIyFOmQEgUQAPz7Sq7u1WWvW9snWAjMdeBICCDMFKMwMyEjA3Igr0jGGmFtkO4EJEl6jswwvt8yv5gnZXEzKJD0p9WTOGloKqv28NTrLsHLLHlaGZPOByRNZoyMfmaE+pIxIllbaapIG4+kk8s7Eee4FwTTzMn+aeL4vfJFkWZCLRXY1TpYtSwbUCbOhRicPcZRQPN202kKFmVrrOK5zciCW6KBz7k/k1PdBNQH+Y3VTpFC3jau7dx5WVTrzefWj2X+t9l2qI9fnU+fZW9UE/Kfl5+U9nR/2Of0g4H6Az1/L35oOna+XF+51qos1F+sK1c3t36y6gdT17Y9nd9RSgjqR/o/zk+nlt+VPP5A/93rly8/LZ7dvvzr7sfziU/l3/ekn/z1MOuWvys/+quPN/a5z5AGnIxGrny1MsRlBWDZ8jPVDnCTudnwYIbArz4DBMMzsGSGc7fiI2Ljhw4mHyCZtTFXrCevi8sLcfBMlKzUi5IHnWuABHbCiYd86CFrDfk/jYBZsxMsLgRbPsVHDtnwhkGHHJ7JiRuuYph2fti8E0lp7nWrt+hO2+YVAuj2fSm49llrrHaU6V/rrWXlfR7OfRy/0qERu7/rJ472jPN87CvxYfVC/CyL1IZEfwkB9SAwxkcoX4/ngk+7qFiAJdSyhjhXUsYI6VlDHCupYQR2boI7JUAIPBZ+Kq/uBJFNfMvUVU18x9RVTXzH1FVPfxNQnM8HfLXrwnq/6xXuFZCsUW6HYCsVWKLZCsRUmtoLKxnynkAQaSqChAhoqoKECGiqgoQIamoCGZCB4jkGuA6nbhiTPSPKMFM9I8YwUz0jxjBTPyMQzIvFUT9/tZep0VjxhXAmKrRDCOCgwW4l5tGs4+vk61VzgLhFHIr3Xmd2Rv5c//bB8UJ1l8nrVoPWwWtFZ3Nf8rPy8Wu74Sn5DXc/8uFxe43xfFVLM+7jmHVyLcopH5Rcd+XOqyuJe+XT+N1TXOqu/fHkN9LwZ7LH8U8qKL6rCDHUH9PwfmP1YmW7K9ERfrydBxnIMooUCZSHAusU5Kn966zedsOsLbfvnAdVa4GZVC2tGRAOBW0+otSBTWQbRROCu04aLPETjMHtMAO8ZFm+Ixm2vLENI+S6lep7KX9li7zS2lmhQEYGJF1+iEVhOUyFbC0y9yCKNeFmkEZuLNKgmA9PvZpO+es0r3umZGY7IDDGSAa6r693UeOfCEJiLNKgIAokAfnykV3drsy7N0ajWAvMeeOEQEHQKGXQKGXQKGXQKUNAZkPGAWRNXsBGEIjCWbFAtBSZPRMlGvCzZML6oJ2RzMemU9NzU67HWQFNQ7Wcu2Yh3LrjeXLJBNR+YTJFTdfnIDPUBZkSytDI1H5/mvh954jSOvDgfp152Og69LE6SMPNFfJZO5zDGKfor43ZLNowz32u5wFFC8XSTeQsVZkKv47jOyYHYZIPO9D+o6jCem0o/m/1o3uYwn4X/oZpwvyV//bCaV6v5+r1VJ8TXamHgk/L98gOvvFt+Wr5Xflz+Sn78ffmpzjv7nN4RcO/AZ76WUgpGFMS+ImJa/Lj8XEfyEicJUy2FdoJ/yAnirpSCEQK7qQsYC8NsnBHCWSlF0g21K103WOkQQb6N+WQ9qxSLzXfzLbqs1IiIB54QQcdzwEqGfecgZA2FFI1jWbARz2uFc5GKzJ9600mcePFpnnl5Nk28SZSdx+E4y8/Oz267F57apHEtT7CugOE5F56MHIiYBBee9c7OI6k4H87uqE0cJSmf2+bpfGv6/fEr484r4++P/5//5+Vvz3eGisNAPnK+f6w+U6Wz840otdm00q2fKK3aKT9SG0JVn64qqa2+FeXp7O3qQ9Yxibt9TmcKuDPhOrXagHukqq0/0G+Z1b48mvty6aGnFzz04ouJH8r/O5Guun24/9Lt268mvv9PUeTP3s4rd+2pwmS1Y6f0v/zt/eoYnSeV5zWePOD0JCJpIGSyafeIEYRJJetvOzjkJHEnkxkhsCkbMBgGmcwI4UwmC99ccszJh0hKbQrlxfWTufkyUVZqRMwjC+XAz6JuYig65oTDvngQuAat3DicBRtxpZUnYR6FYXDqneXRxIvjMPYyKW68aXCa56dpkKTTxYPuVCtHOldcy+23YWlcAcNzrpUZORBhCaqVf/tcWdO9Tvk/yoflF/PjZ6SuK+8eRNG3lbT144U2k9//rPquqqd65q0Em84Z+5zOEHBnwLWujuKAkwIRcxE607gcy0jCIjT9bih0JIecJO6EJiMENt9BBkMH0eOEcCY0Y/mgaWc0N1jxEAG9TZ25uJsyN181ykqNiHlknWkc0AErGvatg6A1qMzGwSzYiCuVmZxnfnJ+5nvnoX/uxZMk97KzPPcm02nsJ9H52I8XqcGpyox1rriWW++R0bkChudcZTJyIIISVGX+cq1C/546cUAdQTCv0L+jjjqsF1k75Yfle9WO//vlR/LXx4u12ZsDTwSd8j2dP/Y5/SHg/thUaDJSIIJuG0KTkYRJaKoSz8skh5wk7oQmIwQ25UEGQwfR44RwJjSzrJsZFjQ58RAxvU2hmS20ifmGTlZqRMwjC03jgA5Y0bBvHQStQWg2DmbBRuzyRvvItJmf2+CSS3DbbvckmrseKf7S7glo9yT6Oob5uo12T6KFAmUhwLryg/L3nrh9+9VF32dHHcymCoWrUX/UmZ/ObWoDJVKs5wG+NlCigeuSlrMNlGgisJNlQ51KNA7TtwLwnkF/Eo3bWhto4Pvq9BZ1XIsfqg/Roisrt7aCUjGBSbnlVlCqtcC0jGwFzZetoMZb6m6STQam5jYEvCTZ6ZkZjsgMwJS3QStovnNhCMytoFQEgUQAPz7Sq7u1WWvW9snWAnMfeP4DCDyFCjyFCjyFCjwFLPAMyIjA7NliOyjVUmASRbSD5st2UOPLekI2F5NWSc9OPbW0BpuCaj9zO2i+c8H15nZQqvnAhIptB813h/ogMyJZemX3gEJDO2iweKvBmFA+15tArCCIFUPoWgD7LhCrQwTcIfDpsA7jgBUDsSaKmA+b9oFYUdxuBLGiONsJYqVY1wsWis2m4qwUV2AviJcPEdrbmEsuZpRqUlBtICx+owM/4gVHxD7wfAg8qANeNuy7B2GzbwhBBrTgg766Je6hYQdJzoixvoDxuReejCCI6AQVnrxF7qzeEHBvbKw6GTEQkbcV1cmIwqQ6DXXurCgOVScjBTbzQYZDR9FjpXCmOs2l7rx8iLjequoMapFivn2UFxwR+8iq01zuzsuGffcgbE2qs3lACz7oq3v6XWhorAz8EOsLGJ971ckIgohOUNXp+Pw7VvcIuHs2lqGMGIhQ3IoMZURhkaGm0+9YSRyqUEYKbCYEjIZJhTJSOFOhxgPwePEQYb5VERrWmsV8myAvOCLykUWo8RA8XjTsmwdBa9KgzeNZ8EHPD8KL83icCN/L0mnqxVK7euNQ/oHkbBzJ/5OKNVsEVqcaNNb5QmrQCOsLGJ97DcoIgghOUA36ybKs/Z6tBP7e7N3F/nqgjmPLfPkhCMxn2LG6QcDdANea9SF2iyuvn2sqAB9rVxwKPwxC/6Qj54Wdi17a65T/rVo3/lwtNXeqf+eBUvRzLf+Z/FTdtj3/9Jvy73/Yqa/gVv/+R4E2hhyw+hmREhBi2FAZz0rCpIUNZ9yxojgUw4wU2JQMGA6TGGakcCaGQ1/kXV/oCG/wEiJSTqt6OKr1U2TRw5zgiOBH1sNBFIWmC7Z56bDvH4SuSRI3D2nBB+22QdS00Bpb6ZJ1ui13iJLtXQ8af2kRbW4RJTs7hjm7hR5RsokCZSLAvHlvqByNn6h+UNWGoVViB2SLgU0xbcheooXAnhaUnDV0hJJtBHazbKpTidZhmlcA/jPpT6J1W2wKFaoVNFEfUvVhcVWfJLF1hdJBgam43bZQurnAZIzrC5Xm1I2hCz/rrL5JtxqYktvQ8Apmp2fBOKJjxEgMdNOWsv3iQBj7Q+kUAkkBfo6UZ3eXhq0Z3KcbDEyH4IkQIA4VKg4VKg4VKg4VwDg0oEMCM2p7XaJ0U4GJFd4muoo/tywv7gndYkyyJT1By2mmPfYUZATeZtFV3KkHwNguSicAZlpkv6h6dpZGrRk7ohlbSXBQlb/iMU7qLasa1Im9sWVU4DChfO73rxhBEIuJ0LUBBy2jjA4RcIfAJ8c6jANWDMRaKWLGbK6aYkRh2SmytIwyojjcKWKkwK5UQ4ZDR9FjpXC2U2RrGeXkQ4T2NuaYy5mmqDcVzHeH8oIjYh94egQe1AEvG/bdg7A17RI1D2jBB311W0ZNh47KCTLWFzA+98KTEQQRnaDCk7tllNEbAu6NjVUnIwYi8raiOhlRmFSnsWWUEcWh6mSkwGY+yHDoKHqsFM5Up61llJMPEddbVZ1JLVLMF3HygiNiH1l1JubSJE407KsHQWsSnc3jWfBBV6IzGk/ybBolnpicCS8eT1IvD4LEy/J0EkwmwelZMr7tXnRGOl9I0ZlifQHjcy86GUEQwQkqOukX15d3DRen1/faJ0Gc+dXd6/+2/Fh3r738x59VRVhPqjp19U/fU3VXDxZf/lzK4OrvSnx/R/0KtEvl+6w+F3Cfw6VtC60BDTfeK5/9U1I1DeTq6Hv7Xfd78p9VE4p5gVr5uBMuOgy+uDAn2Z9+f/qDl1/r7Mu5SMeP1d97Fz0TOWAdLkQaQ0h4Y6kVIwmLgrd0GDCiOFTwjBRYGQEYDpOCZ6RwpuCDzM8NuxQ3eAkRabJVDZ/Wms98ySkvOCL4kTV84GdRNzHJeE467PsHoWuS8c1DWvBBX92DXyJj022G9QWMz72MZwRBxCe4jHd88AujewTcPXDFLUyNxQesLIiIjJCj5hVlRhQmPapV1oesJA7lKCMFNh0CRsMkRxkpnMlRy+kvnHiIWN+qFs1q4WK+B5UXHBH5yFrUcvoLJxr2zYOgNQnR5vEs+KDl//7hOQWm9OXf2wRnu62vJqmZ22ilYF+jddT6argC5jrZ3vUI4rT1dd6lKiVl1ZGq7sx8U6046gj3yYQxjBDXb1r+QsqkJ7OfSR1cLSqrlcyfKGk8e7Mjte0vyk90EC+SIQQKAgKw7EhdrBK/u+hMjfzO8tbSKFUruV+rBfNq5fZ+pegfVrhqaVfHeEBmXI/pjD2sRAvXRSprDyvRRmCrzabSk2gdpq0G4L8sD7qpNoL3yCZur5E1ULebBup20yCse8esN5vSGYE5Fd/DKoRpG/5bdGuBSRXbwpqvWljNl5vSrQam1jaEuYLZ6VkwjugYwPy5SQtrvnNxICwtrFQKgaQAP0fKs7tLw9YM7tMNBmZD8OwGEIEKFYEKFYEKYAQa0PmAuRTXvRoHpvOJbtEtBWZUTPNqvmpeNd9ySrcYk2VJz85y4miPOgUZgbt5Nd+5OACW5lUqATDFoptX892lUWvGjmjGVo/MOJpGoRByqj5O5FR9mnqnp5PMC9N8GpwGYZaPFyNinJZb1imoU3NT82rg4zChfLoJvAULM4nXgVxnBUGsDUJn98t9oAdy9vcueObOSSnglPDJsQ7jgBUDsZ6JmP8ad3I4UVh2cnx9ZechK4m7nRxOinUxYKGATrvDJO2KULu40mNlcbafE8WB8fxSVkBE1G5j4lhPH4P65svAcpUpKzgiAoLnPPBRHfDCYd9BCFzDng5gRAs+6EpU+rE/zoLJxEumfuTFk/zUy+NIeMl5npyfTrPzODq/7V5UauOWFJUB1hcwPveikhEEEZ6govLu4tTTZU2ROnf0q9mbs9fNOrPzzfpbz8rPZv9FitLH8xNVVN/AB+XP/2rRRTAcf///nL722rKloOlfWt/tqNoEnukMqE6/f1L9o9VPLMx5oKreq16D+derA10e1J0GWRrm2i3lfdZBE/BB21gjM2IgMgRCI6t9</t>
  </si>
  <si>
    <t>sM+7HX351kusQCxKWTtlPmTlcKiTGSmwORowFrbtKU4UdzI5MvRs3+DlQ6ShVlVyfVNnYLl6lRUcEQPpKtk0qANeNuwLCGFrEsnNA1rwQVciORv7Ikgz4UVCpF6cSGmdqw+TSTRRf/0kGS8c41Qka5dbpEgOsb6A8bkXyYwgiOgEFckfXhSgUP0bV3c5deafPNefWX3ef+XVl3/wve9+/7UfdK7tD3v9485J7HcOTw7+TiOevaWGXi8H+vKSPF6q6R9XOthQKLTPOgYCPgYba15GDES8R2heU10UJwmP2NXvEB2ykjiUu4wU2GwLGI0887t5YNK7jCzO9G4QGU/ov8FLiMgprSre+l7QwHLPKys4IgKSFa9lWAe8dNi3EELXpHmbh7Tgg66L/RdB1HGxv9DRSlUbWWnzdVpHxf6Zqdifai+wIhEqSqti/6rRc3mWtar+f6dSfffrZdbZ2/P7rZ6pBtF5AYGOap9MFcOocAX+OhNfJJsoUCYCzJuX73efW7BeFOWb7us6INsOLEREyM+mJVeiocCKQoy6NFbnU20E1hJuqhuJ1q1now2r87W+65Gt22Jhfqxq8sWiIjaIrDX5ZDxg6sPX5Ie+b6zJJ1sLzH3ImvwgWtbkB8ZrN2/SrQZmwDYktILZ6VkwjugYwJS3QU2+tP3iQJhr8skUAkkBfo6UZ3eXhq0Z3KcbDEyF4HkIIPgUKvgUwOAzoKMBkyeuHN8ceG7RLQWmUEQ5/jLo3LK8rSd0izFplfTYLKd29oBTkBGYy/GXwaYeAHM5PpkAmF2x5fjy2VkatWbsiGZsNaWJgvOz2I89/yyP1GQ68fI8CDxxOj2dTM79IAwXr4Fx4mxZSaBOno3l+DEOE8qnm2JbsDDTbB3IdVaQdeVhGx/g/PuT1ax69tPO0Ks2g9SRnl/UGzOflB+V/9vzg28/vwO0OE+zPt1zPlcvH85/JEx9fyfSxux9Vv8IuH/g02QdxgErBmK5ssUZMyMQ076Nvgz3kBXF4cYNIwV2yRgwHKaJOiOFsy2b3O/mhqP+WfkQ8b6N2eZyzhnXq/uW64xZwREREDxRAg/qgJcN++5B2Jq2a5oHtOCDnp/1H6XZJA2EF5xOAi/2z4WXnfm5F4hxHoRTP57kZ7fdq1FtEYNUowLrCxifezXKCIKITlA1+hupQx9U5/s/7JSfV5ryC/mFR+YLTh9WN07p4PdZ4QUcfmOpyYiBCLRwqTn78ewNHcpLrCgsItPv6tvkD1lRHIpMRgpsooMMh46ix0rhTGQGxoXOG7yAiDjeqsqsb70MLNeYsoIjgh9ZZZpHdcALh337IHBNMrN5RAs+6LoqqH5hHZcFJTpcqSQTG24QrOM6KgsKfGNdENFg4K4oVAkaDgGtqsTVCZlKBC7O/nysv46oKil67rz5x0pG3rl4YdCzef+m0pn396rvfl2tbT5YdHleuPhI/WXVv6DE6GLN83H9bzxbaNO31U/OLynS+Xef7N8Y5t9WKpSIJgqUiQDzVgeMdtVpop2w6wtt7+sB2Wbgdixc/DausxINBW6uwqWtrTKJaCNwW3VTzUq0DrOFCvCfSYsSrdtiZVKqKpMy9SGXH0K/LhNI7DVKVFBgHsbXKMl/1FyjRLUWmIixNUrJqkbJeP/mTbrVwGzchp5XMDs9C8YRHQOY9DapUUp2Lg6EpUaJSiGQFODnSHl2d2nYmsF9usHApAieFAHCUKHCUKHCUKHCUAEMQwM6JDCh4qqVojQ2VytRLQWmVUy1UrKqVjK+tyd0izGplvQALaec9tBTkBG4q5WSnYsDYKlWohIA8yy6WinZXRq1ZuyIZqyy9iwOU5GmgReFk8wLgunUGwd+6J0FSRKMJ/7pab7Iacb5vGWFgzqnN1YrWS/Uu4wJ5dPN/C1YmNm/DuQ6KwhiXRG6KvDJ8wsAlpn/vHLpV/ILX6p6pfKrTnEYBjKnzC97jq4P1e3Ds7fz6tK1564abrwbeJ/VZQLuMswsen6Vc7ez7j/r8sk90H3Ot2+/Wt3oXLs2mbv2n3Kh7nXuLG51/uHcvyZHGy53Vrc3W6937pAud+YcwHXlZBlA+JKCZT+NEYVlPy3oZrEO5ZAVxeF+GiMFdkUfMBymNQxGCnf7abnpFpEbvICIvNfG/Hs5C69vAg4slzuzgiOCH3jqCB/VAS8c9u2DwFlHdAAZ0YIPupLl0zxN/SzPvUTIn43D6NQbjxPfi/PzaZbF42l2dn7bvSw3lW1lWF/A+NzLckYQRHiCynL73c6tX+3M6R0B9w5cgeswDlgxEKEYrkMtdwEworDoUL+rLf09ZCVxKEMZKbCJEDIaOooeK4UzGZoYb3VmxUNE+VZFaH0LcGC51ZkVHBH5yCLUNKYDXjTsmwdBa5KgzeNZ8EFXEnQS5lEYBqfeWR5NvDgOYy8Lfd+bBqd5fpoGSTrdxspwpPOFlKA51hcwPvcSlBEEEZygEvS3F9YJy/8h9egX1drgI3Ws0d2DKKoaBfz4YgMrbM1wn9UbAu6NjSUnIwYi8LYiORlRmCSnH+tQDllRHGpORgps5oMMh46ix0rhTHPGfjc09aty8iHiequiM69FiuXuYlZwROwji07joA542bDvHoStSXU2D2jBB12pzuQ885PzM987D/1zL54kuZedScE6mU5jP4nOx368yBJOVac2g1wLQh/rCxifc9XJCYKITlDV+cu1ZoB75kbVLzvlh+V71QLn++VH8tfHiwNVbg48EXTK93QO2Wd1iIA7ZFPhyYmBCL5tCE9OFC7huWi6uqQ8OVncKU9OCmz2g4yHjqLHSuFMeWZZNzPsubPyIWJ7m8ozrC/IDC1XnrKCI4IfWXkaB3XAy4Z99yBsDcoTMKAFH7SSnjZF2W7HqnYyIbWk9aqq5NKx/VvvWKUavB4z/tKxqvPvPtm/Mcy/bXSsUk0UKBMB5q11rKp+NO1rdkA2eT3gszesUg1d17KcDatUG4GdNZvqU6J16/mPp2GVat32GlbDULWpRuqDOlQ/rM+1DgNrwyoZFJiG221YJVsLzMPIhtUwWDashsZ7Lm/SrQYm4zbEu4LZ6VkwjugYwJy3QcOqtP3iQJgbVskUAkkBfo6UZ3eXhq0Z3KcbDEyK4BkQIAwVKgwVKgwVKgwVwDA0oEMCE2p7DatkS4FpFdGwugw/tyzv7QndYkyqJT1AywmmPfQUZATmhtVl2KkHwNywSiYA5llsw6p8dpZGrRk7ohl7ZTeIUlPDahjiMKF87jeIGEEQi4jQRQEHG0SMDhFwh8CnyDqMA1YMxBopYtps3iBiRHG+QcTI4nCDiJECu0gNGQ8dRY+V4kpsEHHyIWJ7G3PM5Uyzvig3tNx9zAqOCH7g6RF4UAe8bNh3D8LWtEHUPKAFH/TVLYhPTT2ZYYT1BYzPvfJkBEFEJ6jyZC6I5/SGgHtjY9nJiIGIvK3ITkYULtkZ61AOWVEcqk5GCmzmgwyHjqLHSuFMdVoK4ln5EHG9VdUZ1SLFcnEwKzgi9pFVp6UgnpUN++5B2JpUZ/OAFnzQlerMxdkkCc5DLxaR/BCL3DuNx6l3OjmNxslpIuJ8Icecqs5I5wupOmOsL2B87lUnIwgiOkFV5wfLyqZHsx+pA92qy5y+7Dxf5lSfK/fK/Fy5xSpnebc+Gq5aC13pz/m3O+qUOT/y/ZO9zkHljM7Nl/ygM3r15dde/s70b6QTvtv5D9+f/qfO4LAz/yPVCX/Vh8BX58npHLzP6mABdzBcyP7lOL81Cc84gIg0hpDwT7VT5ZdYSZgUfKDdbzpkRXGo4BkpsCoCMhw6ih4rhTMFH/hB2E1MK8echIgs2aqGr+/sDC2XsLKCI4IfWcNbhnXAS4d9/yB0TSq+eUgLPuhKxZ9O0+Q0Pfe9sywMvDgMIm/snwrvLD7LT/0sC7LzhWp3quJjnS+kihdYX8D43Kt4RhBEfIKq+E/Wj/FTsrI64q8W620f6cfpIAF3EFyF6zAOWDEQ4RihRc3LyYwoTGJUuxh0yEriUIsyUmBzIWQ0dBQ9VgpnWtR8pB8rHiLQtypE61s9Q8s9razgiMhHFqLmI/1Y0bBvHgStSYU2j2fBB728pTW+vVSXDm9p1Y6xFJqJDTeI1nFd9bzGxp5XosHrMYSn5/VZ+Vit2FUrfe/Ov/DkuebXqlO1WkR8VNXCqu/NZeVX6qcqqTn7mQ58nwwew8BbaUYlmihQJgLMmzejdjvBnh+F0vvq/tRIu2FyQDYa2HmDUKTG1VGihcC2GbjQtPWhEm0ENsxsKiGJ1mGaYwD+SyL9fL9HNnCLrajq7tQwqzu/7DemkvGAORHfgJoklgZUqrXApIhtQF3dmBpabkwlWw3MjG0oawWz07NgHNExgHlukwbU1Y2pYcONqWQKgaQAP0fKs7tLw9YM7tMNBqZB8PQEEHwKFXwKYPAZ0NGA+RPXdmoOPLfolgKzKKbtdHVPqvltPaFbjMmspMdmOemzB5yCjMDddrq6J9UebIZ0AmB2RbedqntS9YFmRDNWWXseT0/zJBl7p/K/6vKmUy/zz0893xe+SOQ0OxeL/GucUVvWGKizamPbaYrDhPLp5t4WLMz8WwdynRUEsa4HnZc/dyHTs2ov582qHueNao/mWXl/vkvzQP7mzdnb1ZFQT6sf/Urdlfr8BapP1Pxdzsrnf9G8U3X2dqeqLnowe/P5L31S/qL8797F2X/55Tdv/s1wbzXn91aTfvkql39USwLqX53dUX9QfnxWflafRzX7aSfwgj0x+9Hec9Vh5TNP/shD+Ucfzjn2OvFeFJg2MvZZh07Ahw4+bZfpfDWCL333+6ff9Q6+f/6P33+tI/K8o0q6pHfeVgPQ8fdEpyJX12zJifPtV3U+OGD1wbr0sfgAvgpgvvKUE4VlX8pUIcXI4XBXipECuzYOGIu0GwkdSI8VxNnGlG+88JQVD5HA2pg+LyfR9fWYoeXCU1ZwROgDz/zWxzSM4qyba5/aAS8d9v2D0FmHdAAZ0oIPuhLYYpqn0zgT3mR6Hnjx6Wni5eN46gl/eibCMDk/PVsMu1OBrV0UlwLbfvWWxhcwPvcCmxEEEZ/gAvuyoJ0XQc03vOoDXBcbW8Vgv/M3vb+51inkPzz9wfJU15/Mj32VMvapKqZXf8VD+Vt/L7I0LDB6SsA9Bdezy3KyqhG5miZ0rn3nO//4/XHnpe9M/6kjfL8ze1t9XLQXqBNsH1czADVtudfxOkrxV2fofKXzyQGrTxBBHq5vzbtcjCQ88rbra7cUD1lRHCpcRgpshgUMRyK6ka99tnqsKFdB43LiIXJIqxq3vn8ztNynygqOCH9kjRvI4G8Y1gEvHfYNhNA1adzmIS34oKv6q39+Tt4ZVewPppPXXv7uqxpPEESsSb7mVsx4HdNUd2W2FaNM69IrrbHXycauP2MWxwLV591KIknZqDNUKsT8hR7Z2kuRzmzuZoFuXkAR+XtHYZrLD7kwhTcqSYwnge9QKfOPlfnHyvxjk/nHdPMF3nz49pS0vq+s7yvr+ybr+3Tr4U89PbDOt8ElRaEoChNFQaa4tLvZQIF7fIbK9KEyfWgyfUg3HR7PkTub0vKRsnykLB+ZLB/RLK+endsuM5Np7zKy3/IjjI4HW0vKTaaKYKq58PcUmp3+Z9XEX+8zPqx2rOQE/pmcz7+zaA3T3j7Tqf7zUD/H35eAMqtRKV1ntWBPfkjkh1j9Lhbqg0xygVAXVgj1u0TdX5Go8sFU/UiqfiTz1Yfqd+pHcvXDucqNfqw+ZPJDEKgPQn1Qn4bq01B9GqpP1b8bRuqHI/Wp+sfDWH0aq0+F+lSoHxbq00R9mqjvJurfSGND/iX73EX+DfaOlaOPlaOPlaOPlaOPlaOPlaOPlaOPlaOPlaOPlaOPlaOPlaOPlaOPlaOPlaOPlaOPlaOPlaOPlaOPlaOPlaOPlaOPlaOPlaOPlaOPlaOPlaOPlaOPlaOPlaOPlaOPlaOPlaOPlaOPlaOPTY4+pjta4B2NCvd95ee+8nNf+bmv/NxXfu4rP/eVn/vKz33l577yc1/5ua/83Fd+7is/95Wf+8rPfeXnvvJzX/m5r/zcV37uKz/3lZ/7ys995ee+8nNf+bmv/NxXfu4rP/eVn/vKz33l577yc1/5ua/83Df5uU/3MzxWbqxpgr1C+btQ/i6Uvwvl70L5u1D+LpS/C+XvQvm7UP4ulL8L5e9C+btQ/i6Uvwvl70L5u1D+LpS/C+XvQvm7UP4ulL8L5e9C+btQ/i6Uvwvl70L5u1D+LpS/C+XvQvm7UP4ulL8Lk78Lsr/Z1VewN1ROHionD5WTh8rJQ+XkoXLyUDl5qJw8VE4eKicPlZOHyslD5eShcvJQOXmonDxUTh4qJw+Vk4fKyUPl5KFy8lA5eaicPFROHionD5WTh8rJQ+XkoXLyUDl5qJw8VE4eKicPlZOHJicP6U6GqyuSTgz2RsrHI+XjkfLxSPl4pHw8Uj4eKR+PlI9Hyscj5eOR8vFI+XikfDxSPh4pH4+Uj0fKxyPl45Hy8Uj5eKR8PFI+Hikfj5SPR8rHI+XjkfLxSPl4pHw8Uj4eKR+PlI9Hyscj5eOR8vHI5OMRzcfPaUIlQhw1u1UfdRRS2AZWiku9fSZh22KzW1hZrN1HuE62F1jRD5W1/6L2o9Qe1mJfqrrMYaFY1W9UJd0jdfCZ2sl7Wp1+9e7i0446n2tVfVffwahO3nq3+uQ+/SbHan+x+soTdemgktmdIFF1YU/Lp6rG71knDDrm7USqd9fFHWNDHdVEgTIRYN588vLH8rO9xeWOkV+31WnPHjggm76+6s7XVke1ENgWgNpINLXVUW0ENgRsuENItW5dTW7YVmc4cYFq3fZ66iJ1vWOkpsdqJhtE9b1qkf16RzIoMAnju+uyMDF215GtBWZhZHddtLreMbJc70i2GpiLN1t7qTdNI3XHmhnjiI4BTHqE5Yy64SVaXe8YNVzvSKYQSArwc6Q8u7s07PK8m2owMBuC958BYahQYahQYahQYagAhqEBHRKYUHF9duYQdItuKTCtIvrsotX1jub39oRuMSbVkh6genO/IfQUZATmPrtodb2jPewM6QTAPItcZVDPztKoyzN2irHVI3N6Hk3DfOyNx0GmSoYzL/On8fb67BbFwDpMOaUPcZhQPt2034KFmfrrQK6zgiBKuKBrAnerstTnVgLU2TXP5l+qmunmBcGh7y97tPY6s3fV0ejll9WfE7O3hWVyzugOAXcHfIaswzhgxUDUp7UxW2YkYSrP1YaMQ1YSd9W5nBTrosFCsekcnZHCWWFumHaF0PHd4OVDhPU2ppfLSWZ9EWBkudmRFRwR+cAzI/CgDnjZsO8ehK2hLhcwoAUfdCU6syQLJ+lZ6p1Gqe/FyfTcyyfxqRflkZ+f5+NxNF2EVqeiU5sLpeiMsL6A8bkXnYwgiOgEFZ2X7xQvf17+uvy0/F35sVd+oP5THbn9QflpdcWjDnqfFVrAoTeWlowYiACLkJbGE7c5UVi0pd9dHBN7WVwyojgUl4wU2AQHGQ4dRY+Vwpm4DIwNQjd4ARHxu1V1WV/4F1lucGQFRwQ/sro0j+qAFw779kHgmuRl84gWfNCVvDwL41gE47GXijRYSlF/22uakc4XUl7GWF/A+NzLS0YQRHiCysu7i+Kln6p7/h6qT+ZHgqmDt76uvvOjanGzOungo0D//u6zUgs4NVxfhsZLIg9YYRCBthWVyYjCojID/aH9h6wkDkUmIwU2zQFGwyQyGSmciUzRzYQO7wYvHiKGtyox69voIssFg6zgiMhHlpimMR3womHfPAhak8BsHs+CD3pe5j4Rp5Efy584Oz/14jzwvXwsTj3/dCK/kIk4Sk9vuxeYsc4XUmAKrC9gfO4FJiMIIjhBBWZ177S6O1AVty+q4KWmfFwfTFstWpafKG2p491n5RVwXri01GEcsGIgQitCVKq23c+7Hb1KfokViElamjbHGUkcSktGCmyCA4yGSVoyUjiTlkHWjbRp6AYvHyJ8t6ot6zvmIsudgazgiABI1pbGQR3wsmHfPQhbk7hsHtCCD1qpS5tobLdtMtTRSbmY2OiSbJ1u622TRHvXQ8Zf2iYve3ef7N0Y5t1W2iaJJgqUiQDz5m2Tn1XH2z6evQlvniQCANtFEMLXWA5KtBDY64FRsubmSaKNwC6PTTUq0TpMRwfAfybtSbRui82T6kQhdfhPEKkjhGK/7lqyX01IBgWm4pabJ6nWAnMxtnlydTVhZLmakGw1MCO3IeAVzE7PgnFExwCmvk2aJ1dXE0YNVxOSKQSSAvwcKc/uLg1bM7hPNxiYDcGzIEAYKlQYKlQYKlQYKoBhaECHBCbUFpsnqZYC0yqmeXJ1SaH5vT2hW4xJtaQHaDnJtIeegozA3Ty5uqTQHnaGdAJgnkU3T6pLCvUhZ0QzVll7Gp/6YeCPvWx8HntxEifeaTDOvfPJOJkEUeyn4/Gcxzilt6xpUKf1xuZJ630ylzGhfO73gRhBEAuJ0JWBy3Xs355Pyzvqy+WjxQmhd+T8fz6dryqOPpefvKmOE60m8p9Xp4mqDaXqTzxerBQ8VJ/N3tW5aZ/VTQLuJvj8WYdxwIqxrhksGIhZtLkmiRGFZePI7yodeBnlkBXF4c4RIwV29RoyHDqKHiuFs52jzFL4zsmHCPhtTDyX08/6BrjIcqkfKzgi9oHnTOBBHfCyYd89CJt1QAeQAS34oK9uWVJo3GfKsL6A8bmXo4wgiOgElaOblyUx8go478a6khEDEVsRurKpLIkRiEVdmsuSGEkciktGCmyCA4yGSVwyUjgTl7ayJE4+RPhuVVzWV69Fltv0WMERAZAsLm1lSZxs2HcPwtYkLpsHtOCDvrpNlYaiICkuc6wvYHzuxSUjCCI6QcVlW02VjNQCTg2XmNamSkYYRJxFCE3zAiYjCpPENDVVMpI4lJiMFNg0BxgNk8RkpHAmMS1NlZx4iBjeqsLMa0GSWxQmJzgi8pEVpqWpkhMN++ZB0JoEZvN4FnzQV/ck4tDUVBn7WF/A+JwLTE4QRHCCC0zek4g53SHg7oArTx3GASsGIvIiNKep9JyThElyGlY1OUncSU5OCmziA4yGQXJyUjiTnJaTiFn5EGG9Tc0Z+wuNMv+NDvyIFxwR+cia03ISMSsb9t2DsDWITsCAFnzQbpstDeuUsfXejiRfp9t2syXV3vWQ8Zdmy8ve3Sd7N4Z5t41mS6qJAmUiwDx1PeVyzGfvSG+r7fGnXdV0qZothXbh74AMAGwvaUPxEi0E9oZglKyx2ZJqI7ArZFONSrQO0wEC8J9JexKt216zZaxuqozVTZVxvGhwiu2XVJIZgVm43T5LsrXANIzss4xXl1TGlksqyVYDk3Eb2l3B7PQsGEd0DGDW26DPMl5dUhk3XFJJphBICvBzpDy7uzRszeA+3WBgIgRPgAARqFARqFARqABGoAGdD5hG22uxJFsKTKaIFst4dT+l+ZU9oVuMSbCkZ2c5tbRHnYKMwNxiGa/up7RHnCGdAJhisS2WsbqfUh9tRjRjK2tBJUqKxziRt6xkUCfzphbLOMRhQvnc7woxgiCWD6HrARvXtHPyCjgvfPqrwzhgxUAsfiImwQ017ZxAjnd/GEkc7v4wUmBXoAGjYZqBM1I42/2x1LSz8iHCdxszyOU8sr62MLbcQ8kKjgiA4MkPeFAHvGzYdw/C1rT70zygBR/01b2HMjI1TMYR1hcwPvfikhEEEZ2g4rKdeyg5oQUcemOFyYiBCLAIhWksZudEYdGW5nsoOVEciktGCmyCgwyHjqLHSuFOXFruoWQFRMTvVtVlfWthbLmHkhUcEfzo6tJyDyUrHPbtg8A1ycvmES34oOfHw/lCys9s6iXJZOrFY5F4eZoIb5KH8TSe+KfZ6SJPOJWXkc4XUl7GWF/A+NzLS0YQRHiCyktdLVP5efmo/Hp2p1Kc92bvLg6MK/9Qnff2lvz1Q/nr9fm35dcWDZXV+eOflO+XH3jl3UqTflz+Sn78ffnpXifyTVJon9VlAu4yuDi19VtywiCidCsSlRGFRaKaFj8ZORzqU0YKbIYEjIVJnzJSONOnaVfkOrwbvHiI8N+qOq2vPIwtV1iygiPiHlmdZt3FxTqXtSknGvbNg6A1adPm8Sz4oN0Wvsc6Oqk2hY0u9dfptl74TrR3PWL8pfD9snf3yd6NYd5tpfCdaKJAmQgwr75gqC54/9Nbv7GVuxPNBlb5IUSusdydaCGwTg+hXS3l7kQbgRV6m+pSonWYajyA/0x6k2jdFsvdE1Xpri4YirO62FTYy92pjMDc23K5O9VaYPLFlruLVbm78dbFm3SrgSm4DcGuYHZ6FowjOgYw121S7i52Lg6EpdydSiGQFODnSHl2d2nYmsF9usHARAie9QAiUKEiUKEiUAGMQAM6HzCNtljuTrUUmEwx5e5iVe5ufGVP6BZjEizp2VlOKO1RpyAjcJe7i52LA2Apd6cSAFMsutxd7C6NWjN2RDO2shZUvaR4jNN3y/oFdQpvLHdPcJhQPvdbRowgiDVD6CrA5uXujLwCzguf9OowDlgxECueiElwU7k7IxDPfo+x3J2RxOGODyMFdt0ZMBqmGTgjhbMdH1u5OycfIny3MYNcziOTeovAckUtKzgiAIInP+BBHfCyYd89CFvTnk/zgBZ80JW4TEV8OhVnmScmQeTFce5742QceOen+ST1p/K7p+K2e3GpXReW4jLF+gLG515cMoIgohNUXGrK3e/L3z6YH+L+oHw0u1Md5a5urHxU3UdJuLFS7Rh9o/xf1U+qbzxVn3cCv6NqYWxV9Iy+FHBfbixcGTEQcRshXM0lSowoLJLVfKclJ4pDzcpIgc2bkOHQUfRYKZxpVsudlqx8iKzQqmatr0CMLXdasoIjYh9Zs1rutGRlw757ELYmzdo8oAUf9NWtoY+NNfQZ1hcwPvealREEEZ2gmvVK1NAzukzAXQaXptYaekYYRJBuRaAyorAIVNOKKiOHQ3XKSIHNkICxMKlTRgpn6tRSQ8+Jhwj/rYrT+grF2HInJis4Iu7Rxam5hp4TDfvmQdCatGnzeBZ80G5r6LVDKtVmbqUL1um2XkNPtBdYwLeJWPzXUENP9G4M824rNfREEwXKRIB589J5ObQ/mS9Ilw/VsfGqAFxOdDvV0fLVj9z35DPyUx3MARkGWFCIkL7GynqiheuqlrWynmgjsBhwU7VKtA5T+Afwn0mFEq3bXmW98Pfkh0B9UEfKi6gubs3t5fVUUGBabrm8nmotMC9jy+vzVXm98XLHm3Srgdm5DS2vYHZ6FowjOgYwDW5SXp/vXBwIS3k9lUIgKcDPkfLs7tKwNYP7dIOB2RA8IQKEoUKFoUKFoUKFoQIYhgZ0SGBCbbHGnmopMK1iauzzVY298b09oVuMSbWkB2g54bSHnoKMwF1jn+9cHABLjT2VAJhn0TX2+e7SqDVjRzRjK2tBJVOKxzi9t6xvUKf4php74eMwoXzOt5Q4QRBritBVgo1r7Dl5BZwXPinWYRywYiBWRBHT4YYae04gnv0gU409J4m7HSFOinVxYKHYcC7OSeFsR8hSY8/KhwjfbUwj68mkqO+fFZYLhVnBEQEQPAMCD+qAlw377kHYGvaEAANa8EFX4vIsjGMRjMdeKtJgefmwv3b5sHNxqV0hluLSei2TzhcwPvfikhEEEZ2g4vLuYl/pp53ZD8uH6pNqM6iqsP+6+s6Pqj2mqiJJKkyTxGSkFnBquMS0lRxxwiDiLEJoGkuOOFGYJKb2+KhDVhKHEpORApvmAKNhkpiMFM4kpuhmQod3gxcPEcNbVZhBLUgsF+CygiMiH1lhmsZ0wIuGffMgaE0Cs3k8Cz7oq3tnkTAVxIsQ6wsYn3uByQiCCE5QgdnOnUWc0AIODdeXOowDVgxEfG1FWTKisChL851FnCgOpSUjBTbBQYZDR9FjpXAmLW13FrECIuJ3q+KyvkBRWG7EZAVHBD+yuLTdWcQKh337IHBN8rJ5RAs+6EpeBqfn0TTMx954HGRLKRpve/0y1vlCyssI6wsYn3t5yQiCCE9QeXm3fCil5XOF84/VmeTzL5Vfyc+rjstO6PtSyKh98qfyga72zx+WX1Z/TszeFuZadk53CLg7NhaejBiI2IsQnqZSck4SFt1p3jRnJHEoOxkpsIkPMBom2clI4Ux2hmlXCB3fDV4+RFhvVXXW9yoKy02ZrOCIyEdWncZBHfCyYd89CFuT6Gwe0IIP2m0jZaKjkzIyttKF63TbbqSk2rseMv7SSHnZu/tk78Yw77bRSEk1UaBMBJi3uINo2T3Z8RYnqCwuKZq9qQM4IAMA20XaULxEC4G9Hhgla2yepNoI7PLYVKMSrcN0dAD8Z9KeROu22DwpVMukuptIqLuJRH0ziIitzZNkUGAqbrd5kmwtMBcjmydFvGyeFMa7Gm/SrQZm5DYEvILZ6VkwjugYMRID38Ukbb84EObmSTKFQFKAnyPl2d2lYWsG9+kGA7MheBYECEOFCkOFCkOFCkMFMAwN6JDAhNpe8yTZUmBaRTRPLsPPLct7e0K3GJNqSQ/QcpJpDz0FGYG5eXIZduoBMDdPkgmAeRbbPCmfnaVRa8aOaMZW1oJq4RWPcUpvWdOgTuuNzZMChwnlc78/xAiCWEiErgxs3jzJyCvgvPCJsA7jgBUDsQyKmA43NU8yAjneB2IkcbgPxEiBXYsGjIZpLs5I4WwfyNY8ycmHCN9tTCOXk0lRbxtYLrtlBUcEQPAMCDyoA1427LsHYWvaB2oe0IIP+uo2TybG5skE6wsYn3txyQiCiE5QcdlW8yQjtYBTwyWmtXmSEQYRZxFC01zizojCJDFNzZOMJA4lJiMFNs0BRsMkMRkpnElMS/MkJx4ihreqMOsbE4XlCkxWcETkIytMS/MkJxr2zYOgNQnM5vEs+KCv7g2YibF5MsX6AsbnXmAygiCCE1RgXukbMDl9KeC+hMtWHcYBKwYibLciWBlRWASr+QZMThSHipWRAps3IcOho+ixUjhTrJYbMFn5EFmhVclaX5goLDdgsoIjYh9ZslpuwGRlw757ELYmzdo8oAUf9NXtyEyMHZkZ1hcwPvealREEEZ2gmpW9I5PRHQLujo1lJyMGIvQiZKexPp2RhEV1mnfiGUkcik5GCmziA4yGSXQyUjgTnbaOTE4+RFhvVXTWNyEKy82WrOCIyEcWnbaOTE427LsHYWsSnc0DWvBBu+3ITHV0UkbmVrponW7rHZlEe9dDxl86Mi97d5/s3Rjm3VY6MokmCpSJAPPqTkydmQdkM9cjPGPfJdFCYJsIRq+a+y6JNgIbRDZVokTrMM0gAP+ZFCbRuu31XSbq0spEXVqZhHWvk/2+SjIjMNe23HJJtRaYbLEtl6v7KoXlvkqy1cCU24ZCVzA7PQvGER0DmNs2ablc3VcpGu6rJFMIJAX4OVKe3V0atmZwn24wMBGCpzmACFSoCFSoCFQAI9CAzgdMoy12W1ItBSZTTLfl6qpK8yt7QrcYk2BJz85yAmmPOgUZgbvbcnVVpT3iDOkEwBSL7rZUV1Xqo82IZqyy9gxU26R4jNN1y3oFdcpu6rZMfBwmlM/53g8nCGKREDrrb6kgnpNawKnhU93QN64ZHLDSINY7ETNiY4ERJwrTVo+hIp6TxN1WDyfFukawUGw4EeekcLbVY66IZ8VDBPE25pH1bDKp7zdMLBdWsoIjIh94CgQd0wEvGvbNg6A1bPQAxrPgg766FfGpqeUysV+tpPEFjM+9wmQEQQQnqMK80hXxnL4UcF/CdasO44AVAxG2WxGsjCgsgtVcEc+J4lCxMlJg8yZkOHQUPVYKZ4rVUhHPyofICq1K1vrGxMRyAyYrOCL2kSWrpSKelQ377kHYmjRr84AWfNBXtyI+NXVxJiHWFzA+95qVEQQRnaCalbsintMdAu6OjWUnIwYi9CJkp6lyiJOERXUaK+I5SRyKTkYKbOIDjIZJdDJSOBOdlop4Vj5EWG9VdNb3KCaWmzFZwRGRjyw6LRXxrGzYdw/C1iQ6mwe04IOW//sHRR7PwZXo+nubuGy3Ql67lSZlZWSjDfJ1WkcV8rF+6fY62V5guR5UFf5i9s7sdSkA71crkPcrKfiofPh8lfwmRe7zy2+ezX68Voj/sFoSrf701/M1T/k3vK2+VP3Dj9ZL5ENLNTzVkzHMk21Uw1NNFCgTAebNq+EjvyNdHMo5emSoi6caDCwHbEPdEi0EFvRhVKuxLp5qI7CUb1M9SrQOU7YH8F8qYr3u75Et3GJtfKzK4tXFREmyqExNImttPJkRmGXxtfFRmBtr48nWAtMssjY+iZa18YnxtsabdKuBybYNra5gdnoWjCM6BjDTbVAbL22/OBDm2ngyhUBSgJ8j5dndpWFrBvfpBgOTIXjCA4hAhYpAhYpABTACDeh8wFSKq403R59bdEuBCRVRG7+MPLcsr+wJ3WJMkiU9O8uppD3qFGQE5tr4ZcSpB8BcG08mAKZYbG28fHaWRq0ZO6IZW80VAnGensWRF+XTwIujJPHG+VnuhafT6CwO/In8bM5jnKhbVi6ok3VjbXyMw4Ty6ab0FizMtF4Hcp0VZF1+2MYHON//FznflpPw8km14VPtBl2skb83e1cHus8KKuCg8LnunLXa5lqyviX57sgvPqgLsj5TSxnz3/6uvFt+LD/+ony//LRT/rx8r/yt/NL75YflB53Bvpw0H/2tzjUHrK5BrJwiZtXmUiVGFJZNI+3ywCErh8MtI0YK7LI1YCwC4Wf69c4eK4q7faPIXKzEyYdIBG3MRZcz0rjeZrBckssKjoh+4GkUeFAHvGzYFxDC1rRv1DygBR90JVOT8Tg7jU5zL02i2Iv989wbi4n84IfBZBrJv6ie6DuVqdqoJWWqwPoCxudepjKCIKITVKb+QdXGq/qk8nF15lL5ZPbu7HUpUdVlmfPNoZv/LiqfVr8NxeztUNh2iBjhBRweLl11GAesGIhAC5eZattPh/ISKwqLzPT15YyHrCQOhSYjBTbPAUYjDJNuqB2QHiuKM6EZpV1f6Phu8PIhQnmrQrO+azGxXJ7JCo6If2ShaRzUAS8b9gWEsDUJzeYBLfig50LzPPOT8zPfOw/9cy+eJLmXneW5N5lOYz+Jzsd+vMgUToWmNmpJoZmgfQHicy80GUEQ0QkqNC93cqpPq1KoefvmvXmlkxKenfLD8r3ybvlp+X75kfz1ca1EB54IOuV7OofsszpEwB2ysfhkxEAEX7j4tKxxMqIwiU9jOyYjikP1yUiBTX6A4QiCqBvoR6THyuJMfmZZNzOtc3LyIQJ8q/KzvokxsdysyQqOiIBk+Wkc1AEvG/YNhLA1yc/mAS34oN2eGJ/r6KSgTG10abxOt/V6eKK96yHjL/XwVE/GME+2Ug9PNFGgTASYB66HJxoMLAFEqFpjPTzRQmARH1ys2urhiTYCy/c2VaFE6zClegD/2erhiRZusR4+U6XwufyQ+nU1amqvh6cyArNsy/XwVGuBaRZbD5+u6uGNFzTepFsNTLZtaHMFs9OzYBzRMYCZbpN6+HTn4kBY6uGpFAJJAX6OlGd3l4atGdynGwxMhuAJDiACFSoCFSoCFcAINKDzAVNpi/XwVEuBCRVTD5+u6uGNr+wJ3WJMkiU9O8upoz3qFGQE7nr4dOfiAFjq4akEwBSLrodPd5dGrRk7ohl7Zfd/cmM9vP36ukuYUD73+z+MIIjlQeh838H+D6NDBNwh8DmxDuOAFQOx+omYKZv3fxhR1jWABQU+pbbs/zCiONz/YaTArj4DhsO+/8PIciX2fzj5EAG+jTnmcqZZXzCbWG4MZgVHREDw9Ag8qANeNuwbCGFr2v9pHtCCD/rq1rnnxjr3HO0LEJ97+ckIgohOUPnZcp07I7yAw28sNRkxEIEWLjUtde6MKExSM9KRHLKSOFSajBTYPAcYDWudOyOKM6Fpq3Pn5EOE8laFZl7rEssVuKzgiPhHFpq2OndONuwLCGFrEprNA1rwQVdCcxqcRlE8Sb2JmARSlMahN45F4J2P4zAXk3R8nizeZqdCUxu1rgWp/fYmjS9gfM6FJicIIjpBhabm3I+3ykfVRUM/XpyFMTw4Obm23+/89bXjF/9uv39t2Ll282ZnMDoZ9IuDjs4L+6xeEHAvbKo4OTEQEReuOM2Lm5woLIrTcOY7J4c7vclJgU13gLGw1B5xkjiTm4n5siFWPkRAb1NupvV9iqnlfkxWcETwI8vNIOwK7aHgA1427PsHYWuQm4ABLfig3da1B9oXVSpI+11KYh1v24XtVHuBtXZQAfivoLCd6skY5sk2CtupJgqUiQDzoIXtVIOBtXwIRWsqbKdaCKzGQwhVc2E71UZgHd6mIpRoHabmDuA/m7gkWri9wvY0VDXtkfoQL8pK08Ba2E5mBKbZdgvbydYC0yyysD0NloXtqfGexZt0q4HJtg1xrmB2ehaMIzoGMNNtUNgubb84EObCdjKFQFKAnyPl2d2lYWsG9+kGA5MheIYDiECFikCFikAFMAIN6HzAVNpeYTvZUmBCRRS2LyPPLcsre0K3GJNkSc/Ocu5ojzoFGYG5sH0ZceoBMBe2kwmAKRZb2C6fnaVRa8aOaMZW0htUhaR4jDN1y1IFebZuqmxPQxwnFND9jg8jCGKBEDrh569s53SIgDsEPinWYRywYiDWPxFTZfPmDyMKy+aPubKdE8Xh/g8jBXb9GTAc1sp2ThZnO0CWynZWPkSAb2OSuZxq1hfFppabf1nBEREQPD8CD+qAlw37BkLYmnaAmge04IO+upXtUn9q14+l/ozQzgAButefjCCI8ATVn+2WtnPCCzj8xlqTEQMRaeFa01zazonCpDUjHckhK4lDqclIgU10gNGwlbZzojhTmpbSdlY+RChvVWlGtTCx3GDLCo6If2SlaSltZ2XDvoAQtial2TygBR90pTTPz0SeTyepdz4+PfPi0+nEOw2DyMvy3D+bJok4Oxe3t6A0tWFLKs0Y6wwYoHulyQiCCE9QpXm5tr2qNXpSPlL3WirNWdW3z+7M3pTfUIuf66Xv5f8qPyzfry97/LZSpKubISupOhhE6d92dO7aZ3WXgLtrY23KiIGIzXBtalkHZURh0aZBV1vBeshK4lCbMlJgUyNkNCKRdiPtiPRYWZyJU8tFlqx8iOjfqjit7z1MLRdZsoIjAiBZnNoK4TnZsG8ghK1JnDYPaMEH7bgQ3rSxLqx4yTre1gvhifaux4y/FMJTPRnDPNlKITzRRIEyEWBe5e2nXU+q/D+99ZtQTt+1IfKAbDGw+A8ha42V8EQLgeV7GLVqroQn2ggs3NtUhxKtwxTpAfyn9V2PbN0Wq+ATVQCfqg/qoPc0rwtRhb0UngoKTLQtl8JTrQUmWmwpvFiVwhsvV7xJtxqYbtuQ5wpmp2fBOKJjAHPdJqXwYufiQFhK4akUAkkBfo6UZ3eXhq0Z3KcbDMyG4DkOIAwVKgwVKgwVKgwVwDA0oEMCE2qL9fBUS4FpFVMPL1b18Mb39oRuMSbVkh6g5RTSHnoKMgJ3PbzYuTgAlnp4KgEwz6Lr4cXu0qg1Y0c0Yyt5G4ynIgzPPTENxnLSngRefjoOvDRJJ/448LMkOpvzGCfslhUL8qTdWA+f4DihgO53iRhBEOuE0Hn/5Xp4+Z9nco4vp+Ce/M+j2Z3F7tCd8pH8xlf13tDnckL+ZvmZKmRSE381vVfLA8+qdYPH1aT+fjW9fyR/+uD/N+ifDDun4x9MO+VHavVg9mNV+1Q+0Tlxn9WJAu5E+Hxah3HAioFYOkVMss17R4woLHtHhs6bQ1YSh3tHjBTYlWvIaOgoeqwUznaNgjjs5qZtI05ARDpoY166nJ3W18imlnuBWcERsQ88pYKP6oAXDvv2QeCa9o2aR7Tgg54XNeVCTKNJ5AUiO/WCYJp5mX+We74vfJFkWZCLhYxzK1dN5fMp1hkwQPdylREEEZ+gcvVDJSmlWJUyVW1BPZXq8vVKad5bKdO7VXXT17N35ReUoA2Eb9k0YuQXcP6NlSYjBiLaIpSm2oD6vNvRj8tLrEAsetOkNhk5HKpNRgpsvgOMhUltMlI4U5upuUSJEw8Ry1vVmmmtTCw33rKCI6IfWWuaxnTAi4Z98yBoTUqzeTwLPugr3KgZGMvn7fcxaZwBA3SvNBlBENEJqjRbbtRkhBdw+I1lJiMGItDCZaalUZMRhUVgmhs1GUkcSkxGCmyig4yGjqLHSuFMYtp6NDn5EFG8VY1ZX4uYWu65ZAVHhD6yxrT1aHKyYd89CFuTyGwe0IIPuhKZp0E2TpJ84gkh/0A8jk69XNXNZ3E0PZ/mkX8eTW5vQWTGOmdIkZljnQEDdC8yGUEQ4QkqMjU9mp+Xj8qvZ3fmi5qzdxdSc9V3ufj8D9XO+lvy1w91a6BVuf0n5fvlB151gN175cflr+TH35ef7nUi37TPu8/qQAF34MZClREDEa3hQtWy886IwiJUzV2bjCQOhSojBTZZAkbDJFQZKZwJVWNr3w1ePkQmaFWo1tcqppZ7MlnBEaGPLFRt/ZqcbNh3D8LWJFSbB7Tgg3bcr2nYSV8cUWjCS9fxtt2vSbV3PWb8pV+T6skY5sk2+jWpJgqUiQDzFv2a9l5NqrXrUZ2vV5NqIbC1BKNRjb2aVBuBTSUbqk+qdZgGEoD/DKqSat32ejWzYE9+UNcWZeraoqy+NCTzrb2aZFBgkm23V5NsLTDJIns1M3/Zq5kZb2y8SbcamGrbkOYKZqdnwTiiYwDz3Aa9mtL2iwNh7tUkUwgkBfg5Up7dXRq2ZnCfbjAwG4LnN4AwVKgwVKgwVKgwVADD0IAOCUyo7fVqki0FplVEr+Yy/NyyvLcndIsxqZb0ANXTx4bQU5ARmHs1l2GnHgBzryaZAJhnsb2a8tlZGrVm7IhmbCXAQefMKx7jZN2yWkGesJt6NTP7HU2XOKGAzneLOEEQa4TQOT//3UWcDhFwh8DnxTqMA1YMxBIoYsJs3P3hRGHZ/THfXcSJ4m77h5MCuwQNGQ4dRY+Vwtn2j+XWIlY+RGhvY465nGkGi92CzHJJLis4IvaBp0fgQR3wsmHfPQhbw/YPYEALPugr3HYZmtousxDrDBige+XJCIIIT1Dl2XrbJSe/gPNvLDQZMRDBFiE0G9ouOYFY5Kah7ZKTw6HWZKTA5jvAWJi0JiOFM61pbrtkxUPE8lalZn2fYma5IJMVHBH9yFLT3HbJioZ98yBoTUqzeTwLPugr3HYZmtouswjrDBige6XJCIKITlCl2W7bJSe8gMNvLDMZMRCBFi4zzW2XnCgsAtPYdslJ4lBiMlJgEx1kNHQUPVYKZxLT0nbJyoeI4q1qzPomxcxyNSYrOCL0kTWmpe2SlQ377kHYmkRm84AWfNCVyJwGp1EUT1JvIiaBF0/i0BvHIvDOx3GYi0k6Pk8Wb7NbkRnrnCFFZox1BgzQvchkBEGEJ6jIvNx2eenuy+HBycm1/X7nr68dv/h3+/1rw861mzc7g9HJoF8cdHRe2Gf1goB7YWO1yYiBCLlwtWnZPWdEYVGbpuVMRg6HWpORApvvAGNh0pqMFM60ZuKb1zM5+RDBvFWtWV+MmFluumQFRwQ+sta0dE6ysmHfPQhbk9ZsHtCCD9px56RpiVJY8bJ1vK13ThLtXY8Zf+mcpHoyhnmylc5JookCZSLAPFjnJNFaYK8IQsoaOyeJFgIbPRAK1dI5SbQR2OKxqfokWodp5wD4z6QqidZtsXNS3XKZqVsus6zuVrJfcElmBObXlpsmqdYC8yu2aXJ1wWVmueCSbDUwy7ahyhXMTs+CcUTHAKa4TZomVxdcZg0XXJIpBJIC/Bwpz+4uDVszuE83GJgIwVMbQAQqVAQqVAQqgBFoQOcDptEW+yWplgKTKaZfcnW3pfmVPaFbjEmwpGdnOWm0R52CjMDdL7m629IecYZ0AmCKRfdLqrst9dFmRDO2kt2gCnfFY5yiW9YoyNN0Y79kguOEArrf5mEEQawMQmf6DvolGR0i4A6Bz4Z1GAesGIiFT8Q02bzjw4jCsuNj6ZdkRHG46cNIgV14hgyHjqLHSuFs08fWL8nJhwjtbUwvl5PM+lbDzHJPJSs4IvaBZ0bgQR3wsmHfPQhb06ZP84AWfNBXuIo9MvZLpmhngADdK09GEER4girPlqvYGeEFHH5jlcmIgYi0cJVpqWJnRGFSmdpN5ENWEocik5ECm+ggo6Gj6LFSOBOZtip2Tj5EFG9VZNYXGmaWCypZwRGhjywybVXsnGzYdw/C1iQymwe04IOeH8pxJvJ8Okm98/HpmRero9tPwyDysjz3z6ZJIs7Oxe0tiExTHZL9JiWNM2CA7kUmIwgiPEFFpubyoK8r1flISkl1Fse8kn12Z/am/IZa8Vwvci//V/lh+X55V/76sPzg20qMri4aqlTqYBClf2sqd2d0l4C7a2NZyoiBiM1wWWpZ/GREYZGlxquCOEkcylJGCmxqBIyGSZYyUjiTpWFkLnjn5EPE/VZlaX0FYma505IVHBH6yLLUVvDOyYZ99yBsTbK0eUALPmjHBe+xDk8KzdyKl6/jbb3gnWgvsBQPqhP/NRS8Ez0ZwzzZSsE70USBMhFg3rzgXXpb+vRPb/1G1WunOpMPyCYDi/0QitZY9U60cF2ssla9E20EFuptKkGJ1mGK8gD+M0lLonXbq3rP/T35QV0alKtLg/KoLjzN7aXvVFBgpm259J1qLTDTYkvf81Xpu/GixJt0q4H5tg19rmB2ehaMIzoGMNltUvqe71wcCEvpO5VCICnAz5Hy7O7SsDWD+3SDgdkQPMkBhKFChaFChaFChaECGIYGdEhgQm2x/p1qKTCtYurf81X9u/G9PaFbjEm1pAdoOYe0h56CjMBd/57vXBwAS/07lQCYZ9H17/nu0qg1Y0c0YysBDqpYUjzGGbtlyYI8azfVv+c+jhMK6HyDiBMEsVAInfjz179zOkTAHQKfHOswDlgxEOugiAmzcQuIE4VlC8hc/86J4m4PiJNiXTlYKDacqHNSONsDstS/s/IhQnsbc8x6ppn7iy2D3HI7LSs4IvaBp0fgQR3wsmHfPQhbwx4QYEALPugrfF+QYQdGKk/75UkaZ8AA3StPRhBEeIIqz9bvC+LkF3D+jYUmIwYi2CKEZsN9QZxALHLTcMAmJ4dDrclIgc13gLEwaU1GCmda03xfECseIpa3KjXrmwxzy9WUrOCI6EeWmub7gljRsG8eBK1JaTaPZ8EHfYU7LWNTEXweYp0BA3SvNBlBENEJqjTb7bTkhBdw+I1lJiMGItDCZaa505IThUVgGjstOUkcSkxGCmyig4yGjqLHSuFMYlo6LVn5EFG8VY1Z32GYW+6kZAVHhD6yxrR0WrKyYd89CFuTyGwe0IIPuhKZIpCfnsWRF+XTwIujJPHGuRSk4ek0OosDfyI/u70FkRnrnCFFZoR1BgzQvchkBEGEJ6jI1NwX9EP526eLVc5qQVMHus8KKuCgGwtKRgxEVIULSssGOSMKi6AMdRyHrBwO5SQjBTalAcbCJCcZKZzJSUuHJCsfIl63Kifr2wpzy/WTrOCIwEeWk8ZBHfCyYd89CFuTnGwe0IIP2nGHpNDhSYEY2/Ayfx1v2x2SVHvXY8ZfOiSpnoxhnmyjQ5JqokCZCDAP3iFJNRnYE4LQs6YOSaqFwIYOuEy1dEhSbQS2cmwqQYnWYdo2AP4zSUuidVvskBSqL1JdDpSry4Hy+mqOPLZ2SJJBgZm23Q5JsrXATIvskMzjZYdkbrwQ8SbdamC+bUOfK5idngXjiI4RIzHwrUrS9osDYe6QJFMIJAX4OVKe3V0atmZwn24wMBuCJzmAMFSoMFSoMFSoMFQAw9CADglMqO11SJItBaZVRIfkMvzcsry3J3SLMamW9AAt55D20FOQEZg7JJdhpx4Ac4ckmQCYZ7EdkvLZWRq1ZuyIZmwlwEE17YrHOGO3LFmQZ+3GDkmB44QCut/YYQRBLBRCJ/4OOiQZHSLgDoFPjnUYB6wYiHVQxITZvAHEiMKyAWTpkGREcbgHxEiBXYeGDIeOosdK4WwPyNYhycmHCO1tzDGXM01RbxlYrqJlBUfEPvD0CDyoA1427LsHYWvaA2oe0IIP+gp3SApjh2SCdQYM0L3yZARBhCeo8my/Q5KRX8D5NxaajBiIYIsQmk0dkoxALHLT1CHJyOFQazJSYPMdYCxMWpORwpnWtHRIcuIhYnmrUrO+uzC3XEbJCo6IfmSpaemQ5ETDvnkQtCal2TyeBR/0Fe6QFMYOyRTrDBige6XJCIKITlCl2XKHJCO8gMNvLDMZMRCBFi4zLR2SjCgsAtPcIclI4lBiMlJgEx1kNHQUPVYKZxLT1iHJyYeI4q1qzPrqwtxyFyUrOCL0kTWmrUOSkw377kHYmkRm84AWfNCVyJwGp1EUT1JvIiaBF0/i0BvHIvDOx3GYi0k6Pk8Wb7NbkRnrnCFFpvUGJJ0zYIDuRSYjCCI8QUWmpkNy/bLJ4cHJybX9fuevrx2/+Hf7/WvDzrWbNzuD0cmgXxx0dF7YZ/WCgHthY7XJiIEIuXC1adk9Z0RhUZum5UxGDodak5ECm+8AY2HSmowUzrRm4pvXMzn5EMG8Va1Z30eYWy6YZAVHBD6y1rRcMMnKhn33IGxNWrN5QAs+aMftk4kOT6rH3IoXrONtvX2SaO96zPhL+yTVkzHMk620TxJNFCgTAeYh2ieJJq+Hdsb2SaKF61KVtX2SaCOwz2NTCUq0DtPTAfCfSVoSrdta+2To+3vyQ6A+hOpDfbNbbr9gkgwKzLQtt09SrQVmWmz75OqCydxywSTZamC+bUOfK5idngXjiI4BTHabtE+uLpjMGy6YJFMIJAX4OVKe3V0atmZwn24wMBuCJzmAMFSoMFSoMFSoMFQAw9CADglMqC22T1ItBaZVTPvk6oJJ83t7QrcYk2pJD9ByDmkPPQUZgbt9cnXBpD3sDOkEwDyLbp9UF0zqQ86IZmwlwEEF74rHOGO3LFmQZ+2G9slw8Y6DOaGArnd9WEEQC4XQiT97+ySrQwTcIfDJsQ7jgBUDsQ6KmDCbNoBYUVg2gIztk6wozvaAWCnWlYOFYrOJOiuFsz0gc/skLx8itLcxx1zMNNUcodoyWPxGB37EC46IfeDpEXhQB7xs2HcPwmbfA4IMaMEHfYXbJxND+6ScIWOdAQN0rzwZQRDhCao8226fZOUXcP6NhSYjBiLYIoSmvX2SFYhFburrjVg5HGpNRgpsvgOMhUlrMlI405rG9klePEQsb1VqBrUyMV8wyQuOiH5kqWlsn+RFw755ELQmpdk8ngUf9BVun0wM7ZOhH2KdAQN0rzQZQRDRCao0W22fZIUXcPiNZSYjBiLQwmWmsX2SFYVFYJraJ1lJHEpMRgpsooOMho6ix0rhTGKa2yd5+RBRvFWNGdaaxHzBJC84IvSRNaa5fZKXDfvuQdiaRGbzgBZ80PPlzDOR59NJ6p2PT8+8+HQ68U7DIPKyPPfPpkkizs7F7S2IzFjnDCkyI6wzYIDuRSYjCCI8QUXm5fbJal3sSfmoKrR+fbGkObsze1N+Q+2tr3dXlv+r/LB8v7wrf31YfvBtJUbLz1SJfXU3pVKpg0GU/m1H5659VncJuLs2lqWMGIjYDJellm12RhQWWRp0tY1Sh6wkDmUpIwU2NQJGwyRLGSmcyVLzRZW8fIi436osjWoVY76okhccEfrIstTcacnLhn33IGxNsrR5QAs+aPm/f3gudEoh+MLf2+Rny52X2k4xKTxjG254CddR52WmF8rXyfaux5ANOy8/kSLxgVqgfK4E09AMKaXhB+XPFz2RdWPmvL/yl/I7H+515N/2y/KT+ddCyxImET2GobfQKkk2UaBMBJhXflz+VvVIZqp/9Y2OnHj5aVdOOUW3M9f8csSe0/yfyS98MS9jUJL+/nwsn3Y7QdePtCnvgMwK7CpBaFlDjyXZQmBLCEaimnosyTYCm0E2FZ9E6zCNHwD/pbmhc75HtnCLfZZCdVcm6kM6722SELYWSzojMKXiWyyTyNhiSbcWmFJxLZbSnLrFcuFmndU36VYDE2sbwlzB7PQsGEd0jBiJge51UrZfHAhjiyWdQiApwM+R8uzu0rA1g/t0g4HJEDy7AUSgQkWgQkWgAhiBBnQ+YCrFdVeao88tuqXAhArvrlxFnluWV/aEbjEmyZKeneW80R51CjICb3flKuLUA2DsrqQTAFMssrtSPTtLo9aMHdGMraYZgThPz+LIi/Jp4MVRknjj/Cz3wtNpdBYH/kR+NucxzsotyxTkmbmxu1LgOKGAuvm7hQszh9eBXGcFQSwOQif3mjM1fyh/+3RR+l7t++hA91lBBRwUMU++PBmevSX5VAfpg3qHa7md1Sl/V96VU+vflb8o3y8/7ZQ/L98rf1vvfXUG+5HfOfpbnWsOWF2DWCdFTKvNW0SMKCxbRNr1gUNWDocbRIwU2EVqwFgEIutG2gHpsaJciV0iTj5EImhjMrqckop6U8F8lSUvOCL6gedRlwY17WZCxzbgZcO+gBC2pl2i5gEt+KArnRpn/nk+iRMvzkTkxan8A+NJ5HtR7J+l4fTcj6PF2+xWp2rDltSpCdYZMED3OpURBBGeoDrVWiFfFSLVJUvPqpM/n2vUVD8yr5vfkf8f+b6tQ5PRKwLuFbio1WEcsGIgQjBcgFpK5xlRWASouXSekcShBGWkwGZAwGhIhZbG2pqPHiuKMwmaRt3AJEE5+RAxvlUJmtSKxXzFJS84Iv6RJahxUAe8bNgXEMLWJEGbB7Tgg77CB9GlxibNFOsMGKB7CcoIgghPUAnq4CA6RocIuEM2Vp+MGIjoC1efluVPRhQm9Wk8iI4RxaH8ZKTAZj/AcARBN0tjHUqPFcWZ/LSdRsfJh4jvrcrPtFYr5tsvecERAZAsP22n0XGyYV9ACFuT/Gwe0IIP2vGNRNp5sBSU9guXwnW8rdfFE+0Flu9B9eBW6uKJ6DEMvZW6eKKJAmUiwDz9fv9aRyus/J2IBKz4QwhVY/k70cJ1Dcpa/k60EVitt6mwJFqHqcwD+M9W/k60cIvl7/neURj4dd1pZq98p+IBk2bLle9Ua4FJE1v5nq0q341XK96kWw1MnW1IbQWz07NgHNExgGlwk8r3bOfiQFgq36kUAkkBfo6UZ3eXhq0Z3KcbDMyD4PkKIPgUKvgUwOAzoKMBE2iLRe9US4FpFFP0nq2K3o1v6wndYkxqJT02y0mgPeAUZATuovds5+IAWIreqQTA7Ioues92l0atGTuiGXt1d3IyY9F7juOEArrfyWEEQaz0QWfuDnZyGB0i4A6BT5Z1GAesGIiFTMQE2byTw4jieieHEcXhTg4jBXYhGTAc1p0cRpQrsZPDyYeI721ML5eTzLxe+DffYssLjgiA4JkReFAHvGzYFxDC1rST0zygBR/0Fe65zEy17IsSM4QzYIDO5ScnCCI8QeUnveeSE1TAQeGyUrcHc4lVsy1ja8P8tVTkz7Vhhp2/1TnrgNVZiNjdhnjlRGERr9qIc8jK4U65clJgEydgLGxdmJwozpSrpQuTlQ+RGtpUrkF9gWJguRGTFRwR/cjK1TioA1427AsIYWtQroABLfigHdcg5To8qUXt1zBF63jbrkGi2gvcSIVKyW3UIFHRYxh6GzVIVBMFykSAeagDOMOutK8jh0r9JtKRHZDJgFuwCLFqKkWiWgjcSYVrUEspEtVG4B7qpvqSaB1mvxTgPxH6XV+7c9Ujm7i9WqQgVLVIkfoQL2oCgsBakERmBGbQdguSyNYCMyiyICkIlgVJgfH2xZt0q4F5tA3drWB2ehaMIzoGMCduUJAkbb84EOaCJDKFQFKAnyPl2d2lYWsG9+kGA7MhePICiECFikCFikAFMAIN6HzAXNpeVRLZUmBGRVQlLSPPLcsre0K3GJNlSc/OclpojzoFGYG5KmkZceoBMFclkQmAKRZblSSfnaVRa8aOaMZW2hu0haR4jJNwyyoEeSJuqkoKQhwnFND9thAjCGLtDzqX569K4nSIgDsEPn3WYRywYiCWNhFzZfPGDiMKy8aOuSqJE8Xh3g4jBXZpGTAcaSYlmWlvhxHF2d6OpSqJlQ8R39uYYy5nmvVtsoHlemBWcEQABE+PwIM64GXDvoAQtqa9neYBLfigr/AJm7mxKinCOgMG6F5+MoIgwhNUfjo6YZPTKwLulY01KCMGIgTDNaj5hE1OFCYNqt0cO2QlcShBGSmwGRAwGoFIpAbVjkiPlcWZBrUcscnKhwjyrWrQ+urYwHIXMCs4IgCSNajliE1WNuwbCGFr0qDNA1rwQV/hyvjcdMSm2pfDOQMG6F6DMoIgwhNUg25QGc8IKuCgcFnp7jYiTtcgIjVcqlqWSxlRWKSqdo57yMrhUKgyUmDTJGAsAj/2u8bFUkYWZ0LVVgjPyYfIBK0K1bjWNZZbclnBEeGPLFQt1xGxsmHfQAhbk1BtHtCCD9ptIXyofVGl9BRWvHgdb+uF8ER712PGn2MhPBE9hqG3UghPNFGgTASYhzyME1QKT2QDFv8h9KqxFJ5oIbB8Dy5DbaXwRBuBhXubSkyidZgiPYD/rKXwRBO3WAqfqCr4+jr4QNir4Kl4wPTZchU81Vpg+sRWwYtVFbzxhsWbdKuBSbQN0a1gdnoWjCM6BjAhblIFL3YuDoSlCp5KIZAU4OdIeXZ3adiawX26wcBECJ65AIJPoYJPAQw+AzoaMIO2WABPtRSYRzEF8GJVAG98W0/oFmNyK+mxWU4H7QGnICNwF8CLnYsDYCmApxIAsyu6AF7sLo1aM3ZEM7ZS3KBqJcVjnHxbVh/IE3BjAXyC44QCut/9YQRBrPlB5/AOCuAZHSLgDoFPm3UYB6wYiCVNxAzZvKPDiMKyo2MpgGdEcbipw0iBXVIGDIe1AJ4Rxdmejq0AnpMPEd/bmF4uJ5n1dbCB5X5fVnBEAATPjMCDOuBlw76AELamPZ3mAS34oK9u8ZGUn6YC+BTrDBige/nJCIIIT1D5uUHxESOogIPCZeVWj+VkdBYidrciXhlRWMSrqRyJkcOhcmWkwCZOwFjYy5EYWZxJV1s5EicfIje0Kl3rq2QDy93ArOCI8EeWrlHYjbTrZgNeNuwbCGFrkq7NA1rwQTsuRzKthdqvYhLreFsvRyLaC9xJhWrJrZQjEdFjGHor5UhEEwXKRIB5Urr+tvOnt34T+B01Rp0g7fqpnJOFotvBlyqF4V5H5jr92bYHZGrg/ixCyRoLlYgWArdZ4QLVVqhEtBG4wbqp+CRah9lMBfgvSbqh9lK9HtnCLdYpqeuDw/oGz8B+fTAZD5hXW65ToloLzKvYOqXV9cGB5fpgstXA7NqGGlcwOz0LxhEdA5gpN6lTWl0fHDRcH0ymEEgK8HOkPLu7NGzN4D7dYGAeBE9pAMGnUMGnAAafAR0NmEBbrFOiWgpMo5g6pdX1wea39YRuMSa1kh6b5TzRHnAKMgJ3ndLq+mB7sBnSCYDZFV2npK4P1geaEc3YSnCDNpUUj3FWblmWIM/MjXVKOY4TCuh+o4gRBLEYCJ3cO6hTYnSIgDsEPp/WYRywYiDWOhETZPNWDyMKy1aPpU6JEcXhbg8jBXatGTAceTePTXs9jCTO9npsZUqcfIjw3sbscjnHrC+bDSy3B7OCI+IfeGIEHtQBLxv2/YOwNe31NA9owQd9hcuUAlOZ0qKBHeEMGKBz9ckJgghPUPVJL1PiBBVwULiq3GaZEqezELG7De3KicKiXQ1lSpwc7oQrJwU2cQLGIojCrkh0KD1WFGfK1VKlxMqHSA1tKtewvmw2tNwezAqOiH5k5Wq5PZiVDfsCQtgalCtgQAs+aMdVSiYtar+aKVnH23aVEtVe4D4qVEpuo0qJih7D0NuoUqKaKFAmAsxDVilZbxZuqFGiMgP3ZhEy1lSjRLUQuMUKV6eWGiWqjcDN1U2VJ9E6zEYqwH+WGiWqhdurUQrVtcKhulY4rC/1DO3XCpMZgam13UIlsrXA1IosVApX1wqHlmuFyVYDE2wbglzB7PQsGEd0DGCy3KBQKVxdKxw2XCtMphBICvBzpDy7uzRszeA+3WBgMgTPagARqFARqFARqABGoAGdD5hK26tWIlsKTKiIaqVwda2w+ZU9oVuMSbKkZ2c5X7RHnYKMwFytFK6uFbZHnCGdAJhisdVKobpWWB9tRjRjK+kN2ltSPMbZuWV5gjxDN1UrLebuYE4ooPv9IkYQxKIgdJLPX63E6RABdwh8Xq3DOGDFQKx5IqbK5h0fRhSWHR9ztRInisNNH0YK7JozYDgs1UqcJM72fCzVSqx8iPDexhRzOdGsL6ENLbcKs4Ij4h94dgQe1AEvG/b9g7A17fk0D2jBB311bxWW6tO0QxRhnQEDdK8+GUEQ4QmqPh3dKszpFQH3ysYSlBEDEYLhEtR8qzAnCpMEjXQkh6wkDhUoIwU2AwJGI8i7WRbrUHqsKM4kqOVSYVY+RIxvVYLWd9CGlkuFWcER8Y8sQS2XCrOyYV9ACFuTBG0e0IIP+goXzIemS4XDGOsMGKB7CcoIgghPUAm6QcE8I6iAg8JVpbtLhTldg4jUcKVqWSxlRGFRqtop7iErh0OdykiBTZOAsbCWxzOiONOptvJ4Tj5EImhVp9ZX0IaWO4VZwRHRj6xTbeXxnGzYFxDC1qRTmwe04IN2XB5vUp7Cipeu4229PJ5o73rM+HMsjyeixzD0VsrjiSYKlIkA83Ql8F9Xq82PlLpXy8zrhfBB14+0ge+AjAUs+kMoVWMFPNFCYNkeXIDaKuCJNgIL9jYVl0TrMMV5AP+leTcwaUaihVusgFe3CYf1hZ6h/TZhMh4wcbZc/E61Fpg4scXvq9uEQ8ttwmSrgemzDbmtYHZ6FowjOgYwFW5S/L66TThsuE2YTCGQFODnSHl2d2nYmsF9usHAPAieswCCT6GCTwEMPgM6GjCBtlj3TrUUmEYxde+r24TNb+sJ3WJMaiU9NsuJoD3gFGQE7rr31W3C9mAzpBMAsyu67l3dJqwPNCOasZXgBlUpKR7jtNuy7kCeehvr3hMcJxTQ/bYPIwhitQ86e3dQ987oEAF3CHzCrMM4YMVALGYiJsjmrRxGFJatHEvdOyOKw90cRgrsYjJgOIKgm6WxDqXHiuJsN8dW+M7Jh4jvbUwvl5PM+vLZ0HKbMCs4IgCCZ0bgQR3wsmFfQAhb025O84AWfNBXuOooMha+p1hnwADdy09GEER4gsrPDaqOGEEFHHRjWcmIgYiqrchKRhQWWWmqEGLkcKgpGSmwKQ0wFoHIupF2QHqsKM40pa1CiJMPEbRb1ZT1rbCh5ZpfVnBE9CNrSss1v6xs2BcQwtakKZsHtOCDdlwhFOvwpEq0X5mUreNtvUKIaC9wixMq8rZSIUREj2HorVQIEU0UKBMB5hEqhMKutLIjB0z9JtLxHZD5gFukCMlqLBUiWgjc6YQrUVupENFG4B7npiqTaB1mPxPgPxH6XV+biHtkE7dYK6Ru9I3qSzVD+42+ZDxgCm25VohqLTCFYmuFVjf6hpYbfclWAxNpG8Jbwez0LBhHdAxgUtykVmh1o2/YcKMvmUIgKcDPkfLs7tKwNYP7dIOBiRA8ewEEn0IFnwIYfAZ0NGAGbbFWiGopMI9iaoVWN/qa39YTusWY3Ep6bJZTQnvAKcgI3LVCqxt97cFmSCcAZld0rZC60VcfaEY0YyvFDdrYUTzGCbhlBYI8CTfWCuU4Tiig+80aRhDEuh90Hu+gVojRIQLuEPjUWYdxwIqBWNZEzJDNmzqMKCybOpZaIUYUh/s6jBTYZWXAcKSZlGSmfR1GFGf7OrZaIU4+RHxvY3q5nGTWN8CGlit9WcERARA8MwIP6oCXDfsCQtia9nWaB7Tgg77CtUKxqVZo0RqLcAYM0Ln85ARBhCeo/KTXCnGCCjjoprKSEwMRVduQlZwoLLLSUCvEyeFOU3JSYFMaYCwCP/a7JlHJyeJMVFqKhVj5EFG7TVEZ1ZezRpbbdlnBEeGPLCotxUKsbNg3EMLWICoBA1rwQTsuFhI6PCkT7TcW5et42y4WotoL3OOEqrxtFAtR0WMYehvFQlQTBcpEgHnY23abC4ka7tylkgN3TxFq1lRGRLUQuAkKF6mWMiKqjcDtz00FKNE6zFYnwH+WO3epFm6viihSd+5G0WIjP7Jft0vGA+bWdquIyNYCcyuyiihaXbcbWa7bJVsNzLBtKHIFs9OzYBzRMYDZcoMqomh13W7UcN0umUIgKcDPkfLs7tKwNYP7dIOBeRA8rQEEn0IFnwIYfAZ0NGACba+KiGwpMI0iqoii1U275rf1hG4xJrWSHpvlXNEecAoyAnMVUbS6adcebIZ0AmB2xVYRReqmXX2gGdGMrQQ3aMtH8Rhn5palCfLs3FRFtOg2BHNCAd1v4zCCIBYEoRN8/ioiTocIuEPgc2odxgErBmK9EzFBNm/3MKKwbPeYq4g4URzu+DBSYNebAcNhuWmXk8TZfo+liIiVDxHe25hdLueY9cWskeWmXVZwRPwDT4zAgzrgZcO+fxC2pv2e5gEt+KAr9TkR07Pcz3LvdCqEF59OM/mzp5Hnn4dZMg7PTk/H4vYW1Kc2bEn1GWGdAQN0rz4ZQRDhCao+LxcRlZ9L7fm11J3VlbqzdxcS87kLwOaf/0GJ1Nlb8tcPL97AO9/S+Lp8prab3i8/8CrB+l75cfkr+fH35ad7ncg3aaN9VgcKuAM3VquMGIho3YpaZURhUatBV+hIDllJHIpVRgpssgSMRp53jWKVkcSZWA3Crp/o+G7w8iGyQatitb7CNbLcycsKjgh/ZLGqBjXVsQ142bDvH4StSaw2D2jBBy3/9w9788z89zYx2nKRkvaFlTI0tmGG4TqmsyIlobP3Otne9dhxJYqUlGSc/Xj2xuxN9Reo/0pZ+bh82FyvRPRCDPNCK/VKRBMFykSAeXW9UrYoV0rs5UqfyS98UU8FgHeiUVmBO7MISWusUCJaCNxgxShVc4US0Ubg1uqmGpRoHWYbFeC/UD6/RnFJNHGLJUpClSipm9Gi+nKiKLbXKVEZgekVX6ck/Mxcp0S1FphesXVK8apOyXjN60261cAk24Y4VzA7PQvGER0jRmIQSgfinYsDYalTolIIJAX4OVKe3V0atmZwn24wMBuCZziACFSoCFSoCFQAI9CAzgfMpbhiJXP0uUW3FJhRMcVK8apYyfjKntAtxmRZ0rOznDvao05BRuAuVop3Lg6ApViJSgBMsehipXh3adSasSOasdU8A9RKpHiMM3TLUgV5lm4sVhI4Tiigbi5v4cLM53Ug11lBEAuE0In+Bj3njKACDoqYKF+eDc/eknyqIOtBvcu12hQrf1felXPr35W/KN8vP+2UPy/fK38rv/R++WH5QWewH/mdo7/VueaA1TWItVLEvNq8VcSIwrJVpJ07HrJyONwoYqTALlQDxiKOwm6mTWw9VhRnO0W2NnZOPkQiaGMyupySinpjwXJhNys4IvqB51HgQR3wsmFfQAhb005R84AWfNDzovrxODuNTnMvTaLYi/3z3BuLifzgh8FkGsm/qJ7pu9WpprKmBOsMGKB7ncoIgghPUJ36B7UZJZXZs/JxR6pTVUL/rmq3VkX0dc38v4vKp9VvQzF7OxQdy/4SI7yAw8O1qw7jgBUDEWnhOlNtBupQXmJFYdGZfjfSkRyykjhUmowU2EQHGI0k7ub6EoAeK4ozpZlG3cCkNDn5EKG8VaVZX/AaWW7sZQVHxD+y0jQO6oCXDfsCQtialGbzgBZ80Fe4fTPR5xGpNFO0M0CA7pUmIwgiPEGVpoP2TUaHCLhDNlafjBiI6AtXn5ZVTkYUJvVpbN9kRHEoPxkpsNkPMBxR2I0TbRzvsaI4k5+2/k1OPkR8b1V+1nfBRpbLfVnBEQGQLD9t</t>
  </si>
  <si>
    <t>/ZucbNgXEMLWJD+bB7Tgg3Z8Xmeqw5OC0np7Uu6v4229FJ5oL7BKD6oHt10KT/RCDPNCK6XwRBMFykSAefod/kdVX+uPLx/Naat4JyIBa/wQmtVY8U60cF2Osla8E20E1udtqjGJ1mFq8QD+s1a8E03cYsW7uto3rm/XjOxX+5LxgAm05WJ3qrXABIotdl9d7RtZrvYlWw1Mo23IbgWz07NgHNExgHlwk2L31dW+UcPVvmQKgaQAP0fKs7tLw9YM7tMNBiZC8NwFEHwKFXwKYPAZ0NGAGbTFOneqpcA8iqlzX13ta35bT+gWY3Ir6bFZTgjtAacgI3DXua+u9rUHmyGdAJhd0XXu6mpffaAZ0Yy9urs6qbHOPcdxQgHd7+owgiBW/aCzeAe7OowOEXCHwGfLOowDVgzEoiZihmze1WFEcb2rw4jicFeHkQK7qAwYDuuuDiPKldjV4eRDxPc2ppfLSWZ9E2xkudqXFRwRAMEzI/CgDnjZsC8ghK1pV6d5QAs+6CvcZpmaytdjH+sMGKBz+ckJgghPUPlJb7PkBBVwULis1G3CXGLV7MvYOi9/LRX5c52XYedvdc46YHUWIna3IV45UVjEqzbiHLJyuFOunBTYxAkYC1vjJSeKM+Vqabxk5UOkhjaVa1xfNxtb7g9mBUdEP7JytTResrJhX0AIW4NyBQxowQftuB5Ju+Qrtaj1HqY8WMfbdj0S1V7gRipUSm65HonqhRjmhTbqkagmCpSJAPOQVwnbapWarxGmUgN3ahGa1lSyRLUQuOEKl6qWkiWqjcCt1k1lKNE6zLYqxH9+JLqBNqz3yDZur2YpVhcJx/VdnrH9ImEyHjDJtluzRLYWmGSRNUvx6iLh2HKRMNlqYKptQ5ormJ2eBeOIjgHMlRvULMWri4TjhouEyRQCSQF+jpRnd5eGrRncpxsMzITg+Q0g+BQq+BTA4DOgowFTaHs1S2RLgYkUUbMUry4SNr+tJ3SLMcmV9NgsJ432gFOQEZhrluLVRcL2YDOkEwCzK7ZmKVYXCesDzYhmbCW5QRtMisc4RbesUZCn6aaapUV1OpgTCuh+04gRBLEyCJ3p89cscTpEwB0Cn1HrMA5YMRALn4gpsnnbhxGFZdvHXLPEieJw54eRArvwDBiOQIhumKY6lh4ri7OtH0vREisfIsC3Mb9czjLrm2djy1XCrOCICAieGoEHdcDLhn0DIWxNWz/NA1rwQV/hoqXMWLQUYZ0BA3SvPxlBEOEJqj83KFpiBBVwULiu3GrREqOzELG7FfXKiMKiXrUR55CVw6F0ZaTAJk7IWPip310cAXhZujKyOJOutqolTj5EbmhVutb30MaWi4VZwRHhjyxdbVVLnGzYNxDC1iRdmwe04IN2XLWkLbOQYjS24oXreFuvWiLaux4z/syrloheiGFeaKVqiWiiQJkIMA9ZtWS+URhQs0RkBu7UIiStsWaJaCFwwxWuVG01S0QbgVutm6pQonWYbVWI/6w1S0Qbt1izpG4WjtXNwnF9r2dsv1mYzAjMsy0XLlGtBeZZbOHS6mbh2HKzMNlqYLZtQ50rmJ2eBeOIjhEjMQi1BKubheOGm4XJFAJJAX6OlGd3l4atGdynGwxMh+ApDiACFSoCFSoCFcAINKDzAZNpi9VLVEuBKRVTvbS6Wdj8yp7QLcakWdKzs5w82qNOQUbgrl5a3SxsjzhDOgEwxaKrl9TNwvpoM6IZW4lv0E6T4jFO1S1rFeTpurF6SeA4oYDud48YQRArhNAZv4PqJUaHCLhD4DNrHcYBKwZiARQxWTbv/zCisOz/WKqXGFEcbgExUmAXoAHDYa9eYmRxtgVkq17i5EME+DYmmcupZn3BbGy5MZgVHBEBwfMj8KAOeNmwbyCErWkLqHlACz7oK3xjcG6sXkrQzgAButefjCCI8ATVn+3eGMwJL+DwG2tNRgxEpIVrTfONwZwoTFoz0pEcspI4lJqMFNhEBxiNKPC7QsQ6lh4rizOpabkymJUPEctblZr1DbOx5cpgVnBEACRLTcuVwaxs2DcQwtYkNZsHtOCDvsKF8rnpyuA4xToDBuheajKCIMITVGpuUCjPCCrgoHBZqT+26F61nPsAUhX/Xvnb56vi/c6RqSye0TWISA2XqpZlUUYUFqlqKotn5HAoVBkpsGkSMhbWsnhGFmdC1VYWz8mHyAStCtX6LtrYcrkwKzgi/JGFqq0snpMN+wZC2JqEavOAFnzQbsvi9RemSulpv78pWsfbelk80V5goR5UOW67LJ7ohRjmhVbK4okmCpSJAPPwB3ZGaUeOm/qNdr52QGYD1vshpKux/J1o4boqZS1/J9oIrNXbVG0SrcPU5QH8J4ToZtoujB7ZxC1Wv6tbhkV90Wdsv2WYjAfMpC0XvlOtBWZSbOH76pbh2HLLMNlqYD5tQ38rmJ2eBeOIjgFMiJsUvq9uGY4bbhkmUwgkBfg5Up7dXRq2ZnCfbjAwEYInMYDgU6jgUwCDz4COBsygLda8Uy0F5lFMzfvqlmHz23pCtxiTW0mPzXJmaA84BRmBu+Z9dcuwPdgM6QTA7IqueVe3DOsDzYhmbKW4QfVJisc4D7csRJDn4saa9xzHCQV0vxHECIJY/oNO5x3UvDM6RMAdAp826zAOWDEQq5uIGbJ5c4cRhWVzx1LzzojicH+HkQK7ugwYjizqRsa72hhRnG3v2EreOfkQ8b2N6eVykllfShtbbhlmBUcEQPDMCDyoA1427AsIYWva3mke0IIP+urWIUn5aSh5Fz7WGTBA5/KTEwQRnqDyk16HxAkq4KBwWbnNAzs5nYWI3W2IV04UFvFqqEzi5HCnXDkpsIkTMBaB/F831S619FhZnElXS2USKx8iN7QpXUV9K62wXDPMCo4If2TpaqlMYmXDvoEQtgbpChjQgg/acWWSYS1U2G9pitfxtl2ZRLUXuJMK1ZJbrkyieiGGeaGNyiSqiQJlIsA87KGcjXVJVDLgdixCuJrqkqgWAndV4XrUUpdEtRG4n7qp1iRah9k7BfjPVpdENXF7dUlC3SQsIvUhXtQHCPt1wmRGYDJttziJbC0wmSKLk8TqOmFhuU6YbDUwpbYhwRXMTs+CcUTHAObEDYqTxOo6YdFwnTCZQiApwM+R8uzu0rA1g/t0g4HZEDyPAUSgQkWgQkWgAhiBBnQ+YC5tr0KJbCkwoyIqlMTqTmHzK3tCtxiTZUnPznKGaI86BRmBuUJJrO4UtkecIZ0AmGKxFUpC3SmsjzYjmrGV9gZtJyke43zcsiBBnpObKpREiOOEArrfImIEQSwDQqf1/BVKnA4RcIfAp886jANWDMQqJ2KubN7kYURh2eQxVyhxojjc52GkwK4yA4bDVqHEieJsm8dSocTKh4jvbcwxlzPN+gZaYblSmBUcEQDB0yPwoA542bAvIIStaZuneUALPuireyinlJ/a9WMpPyO0M0CA7uUnIwgiPEHlZ7uHcnLCCzj8xlKTEQMRaeFS03woJycKk9TU7oEdspI4VJqMFNhEBxiNIEm6aZLqWHqsLM6kpuVQTlY+RCxvVWrWN8YKyxXArOCIAEiWmpZDOVnZsG8ghK1JajYPaMEHfYWL4QPToZyLM4YRzoABupeajCCI8ASVmhsUwzOCCjgoXFa6O5ST0zWISA2XqpZVUUYUFqmqncoesnI4FKqMFNg0CRgLe+k7I4szoWorfefkQ2SCVoVqXOsay724rOCI8EcWqrbSd0427BsIYWsSqs0DWvBBOy59N61yCiueWMfbeuk70d71mPFnXvpO9EIM80Irpe9EEwXKRIB5utL3r6sV5kdK6aul5fUC+KDr6w+xPSBjASv9EKrVWPdOtBBYqwcXo7a6d6KNwCq9TYUm0TpMRR7Af2GQdGPtIPfIJm6x7j1RJe/1NfBC2EveqXjAJNpyyTvVWmASxZa8i1XJu/EGxpt0q4GptA3prWB2ehaMIzoGMBduUvIudi4OhKXknUohkBTg50h5dndp2JrBfbrBwEQInr8Agk+hgk8BDD4DOhowg7ZY7U61FJhHMdXuYlXtbnxbT+gWY3Ir6bFZTgrtAacgI3BXu4udiwNgqXanEgCzK7raXewujVozdkQztlLcoNIkxWOcglvWIMjTcGO1e4LjhAK63wNiBEGs/EFn8g6q3RkdIuAOgc+YdRgHrBiIhU3EDNm8r8OIwrKvY6l2Z0RxuLXDSIFdWAYMh4zicaLdy++xojjb2bFVu3PyIeJ7G9PL5SSzvkZWWO4FZgVHBEDwzAg8qANeNuwLCGFr2tlpHtCCD7qSn+dnIs+nk9Q7H5+eefHpdOKdhkHkZXnun02TRJydi9tbkJ+mfaAU6wwYoHv5yQiCCE9Q+Xm5BEm7OTG7I1Xp15UivXRe5f+SqvT9ujbn20qQrgp5Knk6GETp33Z07tpndZeAu2tjccqIgYjNrYhTRhQWcRp0tUUuh6wkDrUpIwU2NQJGI8ryrliktsvilJHFmTi1lR1x8iGif6vitL46VljuAmYFRwRAsji1lR1xsmHfQAhbkzhtHtCCD9px2ZF2lizlpv2WpWQdb+tlR0R7gXulULW47bIjohdimBdaKTsimihQJgLMKz8uf9v501u/CfyOGq5OkHb9tBv6oeh2CCVJYdcPw72OjJIqZF0mPyCTAzdkEdLWWJlEtBC4r4pRrObKJKKNwB3VTbUo0TrM7inEf34kuoGptJ1o4xZLk9RVwUl9W6ewXxVMxgMm2pZLk6jWAhMttjRpdVWwsFwVTLYamG7bkOcKZqdnwTiiYwDz5SalSaurgkXDVcFkCoGkAD9HyrO7S8PWDO7TDQZmQvAcBxB8ChV8CmDwGdDRgCm0xdIkqqXARIopTVpdFWx+W0/oFmOSK+mxWU4c7QGnICNwlyatrgq2B5shnQCYXdGlSeqqYH2gGdGMrSQ3aB9J8Rin6ZZ1CvJU3VialOM4oYDu94YYQRCrg9DZvoPSJEaHCLhD4LNqHcYBKwZi8RMxRTbv/jCisOz+WEqTGFEcbv8wUmAXnwHDEQjRDdNUx9JjZXG2/WOrTeLkQwT4NuaXy1lmfbWssNwVzAqOiIDgqRF4UAe8bNg3EMLWtP3TPKAFH/QVrk2KTLVJiY91BgzQuf7kBEGEJ6j+3HZtEqe7BNxdm6pTTgxEbG5DnXKisKhTY20SJ4k7ccpJgU2NkNHIkqgbhbEOpscK40ydWoqTWPkQ4b9NdZrUt8cmluuAWcEREZCsTi3FSaxs2FcQwtagTgEDWvBBOy5O0gYiqTftFyyl63jbLk6i2gvcLYXKxS0XJ1G9EMO80EZxEtVEgTIRYB6tAKnxUmAqH3DjFaFgTSVIVAuB+6cYYWosQaLaCNw53VRyEq3D7JIC/Ge7FJhq4vYqkBJ1KXASLYoAEvt9wGQ8YDZttwKJbC0wmyIrkJLVfcCJ5T5gstXAnNqGBlcwOz0LxhEdA5gUN6hASlb3AScN9wGTKQSSAvwcKc/uLg1bM7hPNxiYCMETGUDwKVTwKYDBZ0BHA2bQ9iqQyJYC8yiiAilZXQVsfltP6BZjcivpsVnODu0BpyAjMFcgJaurgO3BZkgnAGZXbAVSoq4C1geaEc3YSnGDdosUj3EublmMIM/HTRVISYjjhAK63wFiBEEsAUKn9PwVSJwOEXCHwKfOOowDVgzECidihmze42FEYdnjMVcgcaI43ORhpMCuMAOGw3YVMCeKsy0eSwESKx8ivrcxvVxOMuubYxPLVcCs4IgACJ4ZgQd1wMuGfQEhbE1bPM0DWvBBX+ECpNhYgBRhnQEDdC8/GUEQ4QkqP7degMToLgF318bilBEDEZtbEaeMKCzi1FyAxEjiUJsyUmBTI2Q0fN/vJr42zPdYYZypU1sBEicfIvy3qk7ry2YTy+3BrOCICEhWp7YCJE427CsIYWtSp80DWvBBy//9w/Ovq1Kdf2+ToS1XJAkdrxSgsY03vHQJnaOKpMDXL9heJxu8HkU2LEn6l0t1RPdW9UYX7/qdvVM+3Vu///eZV+nKO7MflffmP9KRf8u96q+4Xz6Tv3+mvnRH6lL5+4flA/nVe/J3j6p/oloalT/xZUd++HxtKVV9eV7/pL7yZPaTbkf+8Wed0O+oGqdFNdT92TuzO4uKqi/nPxB3KvH7RvWP39e5f5/s/hjm/lZqoYgmCpSJAPOWBzXNz2kK064vqnOaVLFT/c14/k0/fu4Qp+bL4qiMwG1ghKA21kMRLQTu5mJ0srkeimgjcB93UwVMtA6zZwvxXyIDcqwzsUc2cYv1UELVQ6kb45JUfcjq4oTYXhlFBQVmdXxlVJaalNu36NYCszq2MipeVUYZ78O9SbcamNrbmBwomJ2eBeOIjhEjMQjFCvHOxYGwVEZRKQSSAvwcKc/uLg1bM7hPNxiYEsEzLEAYKlQYKlQYKlQYKoBhaECHBGZVXI2UOQTdolsKzK2YGql4VSNlfG9P6BZj8i3pAVpOYO2hpyAjcNdIxTsXB8BSI0UlAOZZdI1UvLs0as3YEc3YSoVHsX+e55GX+fGZF4tk7I3906kXnYZ+Hp+eRen54qEyrg5Y1kvIKwTGGimB44QC6tYRLFyYtQQdyHVWEMQq5UZrDBeXEdRekwZ1nxVVwFERk2UYbacYnoy+NRyddK5962+uDQ++pcM/YMVHLMsi5tHmjSlGFKaNqUhHcshK4nBjipECuyoOGI04DNNuluhYeqwszvalsm5i2pbixEME/DZmnsv5p6h3MSxXl7OCI+IfeNIEHdMBLxr2/YOgNe1KNY9nwQc9r5maBGdJGOdeEmeRFydZ7GXhNPfOJv5Zfuaf+lP/7PYW5KipZirBOgMG6F6OMoIgohNUjt5Ve0NzWbbeRV9Js2/XXfeLrapFndQzKeJU6dTjanvqnvzd/BvVDwf+7G31y9/TFrPss/pIwH2E0LFqC+7J7GdqY0/hP662776uKs1Uf8ND5aC5Ix91yvcqxzycve5VLfOPql29p53kn5LFZp2onF1Vl+l3Wg5YXYSI9Qita9wzYiRhkrraKfMhK4lDqctIgU21kNFIM5k2Yh1Lj5XFmdRNkm6glfI3ePkQ2aRVrVtftptYbk9mBUfEP7LWDeQETZjULicc9hWEwDWp3eYRLfigK7V7Gp2OgyzwvShIpl4cBJmX+9NTbzIN8zMxySI/XYy6W7WrXTSRajfFOgMG6F7tMoIg4hNU7X6iqqCqqv8ns58qLSbVnNR0lYpVTanziv9Pyo+08XifFVfAceHCVYdxwIqBCK4IcamKpz7vdvSHeb3ECsSjMXUch6wcDhUmIwU2vUHGItBG6R4rhzN1GYhualKXnHyI6N2quqxvy00s1x+zgiMCIF1dmgZ1wMuGffsgbE3isnlACz7oSlxmSRZO0rPUO41SXwrR6bmXT+JTL8ojPz/Px+NougiubsVlrHOGFJfWe6Z0zoABuheXjCCI8AQVl5dPPyl/Xv66/LT8XfmxV36g/iM/eU/+7tNKZ+qg91mhBRx6Y4nJiIGIsAiJad6rZ0RhEZd+NxQ6lENWFIf6kpECm+EAwxH7XaHv1OqxoriTmL5vbiLlBEQE8VY1ZlZLEsttvqzgiAhI15jGUR3wwmFfQQhck8hsHtGCD1p1ke7Nu+lcNo9qJxBSPuZWTLGO6a55NNYZfJ1s8Hr0+Evz6IXmUdXAGO/5wfxHM0gbKXEgYthA4NpIyw+VM6szYJSTFo5+d/YzyXBnXsLwhiR73nMLd/+w2tSvvNbVgb5IBhUoUAgkYzMqkXE9NTE2oxItBLbNwPW2rRmVaOO6mGZqRiVat56hN25GlY+mdpB7ZBO314ya+nvyQ6A+qGP60+VJ2bm9GZUKClQJ+GbUXMTmZlSqtUCVgG1GzVfNqMZrMm/SrQZKhTYmGQpmp2fBOKJjABPtJs2o+c7FgbA0o1IpBJIC/Bwpz+4uDVszuE83GJgSwTM1QBgqVBgqVBgqVBgqgGFoQIcEZlVcM6o5BN2iWwrMrZhm1HzVjGp8b0/oFmPyLekBWs6D7aGnICNwN6PmOxcHwNKMSiUA5ll0M2q+uzRqzdgRzdhKhYM6BRSPcbXBsuxCXnEwNaOmPo4TCqhbl7BwYdYmdCDXWUEQq50brVkAm1E5UQUcFTFZhtECm1E58RHLu4h5tHGDixOFZYPL2IzKSeJuf4uTYl1KWCig0/c4lPN3YZi/c7I42+AyN6Oy4iECfhszz3r+mdZ3+qaWS5pZwRHxDzxpujS1MG5usaJh3z8IWsPmFmA8Cz7oK1xBlZiaUVPrPVk6Z8AA3ctRRhBEdILK0XYqqDihBRwaLkx1GAesGIgA24rAZERhEZjmCipOFIcKk5ECm+EAwxGrHTbtgPRYUZwJTFsFFSsgIoi3KjGDWpJYbiNmBUdEQLLEtFVQscJhX0EIXJPIbB7Rgg/6Cp94kph6QNMQ6wwYoHuRyQiCiE9QkbmVE084fSTgPtpYkzJiICIyQpOaioc4SVgkqfFUEk4Sh4qUkQKbDiGjkfndODSteTKyOJOkllNJWPkQEb9VRVrfcplari1lBUfEP7oitZxKwgqHfQUhcE2KtHlECz7oK3wqSWJqHE0jrDNggO4VKSMIIj5BFemmp5Jw4go47sbikhEDEVwR4rLhVBJOIB6NqeM4ZOVwqDAZKbDpDTIWoXYq2WPlcKYuLaeSsPIhoner6rK+pTK1XDvKCo4IgHR1aT6VhJUN+/ZB2JrEZfOAFnzQi4ZRlQNcNoymOkwpG2MrZrKO6a5hVGvwdbLB68HjLw2jzzeMqgVT+YUflw87WdU22tgvSh2HGDYOV6dflAoqUKAQSL5+USrjemLi6xelWgjsbEHIbHO/KNVGYE/LphKaaN16gt6wXzSMk+7iSu/L6pho4hb7RdXlpam6vDRVl5em9a2Bqf3yUjIoUCTg+0UDPzU3jJLNBaoEZMNourq9NLXcXkq2GigV2phjKJidngXjiI4RIzHwnVvp6vbStOH2UjKFQFKAnyPl2d2lYWsG9+kGA3MieKIGiEOFikOFikOFikMFMA4N6JDAtIprGLXEoFt0U4HZFdExmq6uLzW/uCd0izEZl/QELSfC9thTkBGYO0bT1fWl9rgzpBMAMy22YzRV15fqY86IZmylw0Hl/IrHuNxgWXchLzkYO0YFjhMKqFuYsHBhFid0INdZQRCrnRstWkA7RhlRBRwVMV2G0UI7RhnxEcu7iJm0uaCfEYVnZ8vYMcpI4nBvi5ECu7oOGI0kDsJuZNrfYmRxtr9l6RjlxEME/DamnssJaH3dZWq5vpQVHBH/wLMmRMcoJxr2/YOgNe1uNY9nwQd9hYv5U2PHaIJ1BgzQvRxlBEFEJ6gc3U4xP6OPBNxHcB2rwzhgxUDEY4QeNe7sMJIwyVFTqRUjiUM5ykiBTYeA0QhTGd5z04YSI4szOWor5ufkQ0T8VvVofSFlarlilBUcEf/IetRazM8Jh30FIXBNirR5RAs+6CtczJ8a20vtV2JpnAEDdK9IGUEQ8QmqSDcu5mfEFXDcjcUlIwYiuCLEZVMxPyMQj8bUcRyycjhUmIwU2PQGGYtEO3PpsXI4U5e2Yn5OPkT0blVd1jdSppYrRlnBEQGQri4txfycbNi3D8LWJC6bB7Tgg77CB+Slxk7RDOsMGKB7cckIgghPUHHZ0gF5jNACDr2xxGTEQERYhMQ076czorCIS8sBeYwoDvUlIwU2wwGGIwm6iTDtpzOiuJOYtgPyOAERQbxVjVlfSJlarhhlBUdEQLrGtB2QxwmHfQUhcE0is3lECz5o1TH6z8+pK6OK/MF08trL331V4wiSiDRtl+dWznSd09QyarYWIw1XXaNac6+TzV1/zCzOBQrA/1k+qvo754uJD6sWxPIz1a83e6fq0pu36t0vH0ql+LbqU6x+/NGysVQHKBVh/kKPTHkpRpoxNwuR836pTN2vl0Xqg2qaynL5ITeGSCpTjGeCF6ErkGMFcqxAjhXIsQI5NoEc00EEHgReiy45+oqjrzj6iqOvOPomjj6dA/4u0SP2vBEmUzenSZ5C8RSKpzDxFGSeS+0NDTy4h2uoIIYKYqgghgpiaIIY0iHg2QPZ5CAZRophpBhGimGkGEYmhhGN4blpukJxdphCaGpryOzXMOTGkYAZS8yK6nc6e6+T7V1PGRsepfC78vG8GX++JmJPgRseiVDe74SqoOyJ/IsNjQ5Ur6wnnVYONtCZ+CLZRIEyEWBefbSAOpVAnS6gTiII5W9S5eOv1TEWsze65RdS5jyZvaNjOSCzrE9x+I4eoFoI7JGEr9tYjh6g2ri+KMNz9ADVunXZsOHRA1rf9cjWbe/UgUxdUJ2Fix7fzLeeNUDGA+ZQ/FkDYZoYjxogWwtMosijBjJ/edRAZryA6SbdamAq3WzqVa9LZf5Oz4JxRMcA5j7CbKtu+ZW2XxwI81EDZAqBpAA/R8qzu0vDLk2ryAYDcyB4iQ8QfAoVfApg8BnQ0YDJE3fAQCgC4/kCZEuBKRRxvsAy6NyyvK0ndIsxaZX02NTLpg0BpyAjMJ8vsAw29QCYzxcgEwCzK3LqrZ6dpVGXptkkY5W1p/GpHwb+2MvG57EXJ3HinQbj3DufjJNJEMV+Oh7PeYwz8FfG7VY4VP/VYcp5uP2mmkuYUD7dXN2ChZmv60Cus4Ig9sagE/nLBQ6LDq6O+nL5aDGtv1NNB39at3N9Lj95Uy2DV/P0z6tV8OrgQfUnHldz+vvVIX2PjDN2RjcJuJvg02YdxgErBmJDEDFjNpZEcKIwlUQo9XcZ5ZAVxV1JBCcFdj8WMhw6ih4rhbNqiMxcDMHKhwj4bUw3l5PO+m65zHJbICs4IvaBZ0rgQR3wsmHfPQhbQy0EYEALPuhKjsZRJOJgLLzgfDz1gmCae5k/TT3fF75IsizIRVOpBIccNdRLZCHWFzA+93KUEQQRnaBy9IPnd5XuSxn5YH7u9gNVhlGdvq206KNKaS606KNKvapv/FR9rL/8XrVD9UjtGlV7Tu/uqd6wZ7OfzX5SdYhVR0z/UurYd+WfVydMrX7o3kINzz//ZfDN8oPyo0BOKE+u3ezkvh/pXL3P6moBdzVc0tYHb3frQpZKwj+Ujntj9man/Oh5R0BH48K24APl3uWx5dVcQR0X8aPqEPU3FlOEegOwPu1b/sijzrVXX5v+h3GnvLs40Hy5X3hpEKtT2tUk5Y2O15FTEvVT78i/sB4rOYJq9HRDdsA6ZIgU1op8Z0Rhku/a9+iQlcShemekwCoIyGjoKHqsFM7Ue6juptDx3eDlQ+THVtV7fQ9fZrlZkRUcEfrI6t04qANeNuy7B2FrUu/NA1rwQVeVzHvL0KlEucOyLZM+j2y0UbBO66hsKzOWbRHtBe41Q+X1h+W9uQpbqLRnUot9palrvis1088X1VfPLmi6ZU0XuDSLSB7DyFspzSKaKFAmAsxbK6tb+hpwGwyVAbgdjVCoxpIsooXAXWW48LSVZBFtBO4nbyopidZh9o4h/vPjvJsYmt+oNm6xMCtWhVmiro2I7IVZVDxglsQXZsVhZi7MoloLTJPYwqxoVZhlvMXvJt1qYLJsQ2srmJ2eBeOIjgHMfJsUZkU7FwfCUphFpRBICvBzpDy7uzRszeA+3WBgJgRPWADBp1DBpwAGnwEdDZhCcYVZ5sBzi24pMJFiCrOiVWGW8W09oVuMSa6kx2Y5C7QHnIKMwF2YFe1cHABLYRaVAJhd0YVZ0e7SqDVjRzRjlbXn0Wk4yYXvZWGWe/H4LPDydCw/RGJylubp9HS8yL/GObZl0YE6zzYWZsU4TCifbjZuwcLMyHUg11lB1pWHbXyAU/ULO2GfVrsydzqL0qyTazfV1sZiDv5J+Xs5cfxv5fvqtz9f7HcsTtbuyD//pLo09U5n0cf8pVoBWHRolY875dPZO3LS/9PZz3Ru22d1m4C7DT6J1mEcsGIgljsR82jzTg8jCtNOT5DqUA5ZURxu9TBSYJebAcMRpFk3jhMdS4+VxdmGT5Qk3UT7yN3gBUTkgTZmocu5aFxvEFjuJGUFR4RA8AQKPqoDXjjsOwiBa9ryaR7Rgg96fj/heeYn52e+dx765148SXIvO8tzbzKdxn4SnY/9eJEtnMpU04aQwPoCxudepjKCIMITVKZe7h/Q9w1UNTnlh+V75V2pZt8vP5K/Pl60GtwceEIq1fd0DtlndYiAO2RjAcqIgYi+rQhQRhQuASp0KIesKA4FKCMFNvkBhiMQaTcW2kDeY2VxJkCzrKvv57vBy4cI8K3qz/r6usxyHSErOCICkvWncVAHvGzYNxDC1iQ/mwe04INW+tMmK9utMNIu70pBmdjo8mydbusVRkR710PGn2GFEZE8hpG3UmFENFGgTASY11RhND8IanEilPbNOCDDADdYEQrVWGpEtBC4TwoXnrZSI6KNwB3STRUl0TrMbijEf34qurnOxB7ZxC1WGqWq0iirN/sTe6URFQ+YLVuuNKJaC0yX2EqjZFVpZLy/7ibdamDSbENjK5idngXjiI4BzICbVBolOxcHwlJpRKUQSArwc6Q8u7s0bM3gPt1gYCIET1QAwadQwacABp8BHQ2YQVusNKJaCsyjmEqjZFVpZHxbT+gWY3Ir6bFZzv7sAacgI3BXGiU7FwfAUmlEJQBmV3SlUbK7NGrN2BHN2Cu7hWM42ljOuFMcJpTP/RYOIwhihQ86ZXewhcPoEAF3CHyarMM4YMVY1wQWDMQE2byFw4jieguHEcXhFg4jBXYBGTAcQRJ0o0w7Ij1WliuxhcPJhwjwbUwvl5PM+krOzHLHKis4IgKCZ0bgQR3wsmHfQAibdUAHkAEt+KCvbqF7ZKwgsl4FpvMFjM+9/GQEQUQnqPy8MoXujG4TcLdtLFIZMRAhuhWRyojCJVJTHcohK4pDkcpIgU2RgOEIsrCb609r67GyOBOp1kJ3TkBEHmhVpdZ3emaWW1pZwREhkKxSrYXunHDYdxAC1yRTm0e04IN2W2kU6+ik8MytdObrCGDGYgQlrNKIaC9w0xSqG7dRaUQkj2HkrVQaEU0UKBMB5gEqjcJQVRpFXT/QlngckGGAG6wIjWqsNCJauC4/WSuNiDYCd0g31ZRE6zC7oRD/xfrTBHtkA7dXZ5SrC5vzoN7qz+11RlQ8YK5suc6Iai0wWWLrjPJVnVFuqTOiWg1MmW1IbAWz07NgHNExgPlvkzqjfOfiQFjqjKgUAkkBfo6UZ3eXhq0Z3KcbDEyD4HkKIPgUKvgUwOAzoKMB82eLdUZUS4FZFFNnlK/qjIxv6wndYkxmJT02y7mfPeAUZATuOqN85+IAWOqMqATA7IquM8p3l0atGTuiGVvpbdCmkOIxzrQtSw3U2bapzij3cZhQPucbPZwgiAU+6ISdv86I0yEC7hD4JFmHccCKgVi/REyPjVs4nChcWzhCh3LIiuJuC4eTYl04WCig0/IwCLra8eixkjjbwLFUGbHyIcJ7G5PLeoqZ+4vV/txyozkrOCL+gedF4EEd8LJh3z8IW8P2DWBACz7oq1tlFJuqjHLrJXs6X8D43ItPRhBEdIKKz6tSZcTpNgF328YSlREDEaJbkaiMKFwS1VBlxIniUKIyUmBTJGA4wijvasejx0riTKLaaoxYARFZoFWNWt+Vm1suP2YFRwRAska11RixwmHfQAhck0htHtGCD1rdn7Y3F2cO700TOkopP0MbZRSuUzqrNdLK5etke4Ebp1D1uHmtkSp7qfTik+ovug+uOaJ6IIZ5oI2aI6qJAmUiwLwLtUV7tsoiqsnALVWELjVVFlEtBO6MwuWmpbKIaiNwT3RTHUm0DrP/CfBfnmddX9vZ3yObuMXaokjVFsWL7f08tNYWkfGAuZFQW5TExtoisrXA5IisLcrDZW1Rbrz39SbdamCKbENaK5idngXjiI4BzHMb1BZJ2y8OhLm2iEwhkBTg50h5dndp2JrBfbrBwEQInp8Agk+hgk8BDD4DOhowgyJri4yB5xbdUmAeRdQWLYPOLcvbekK3GJNbSY/Ncs5nDzgFGYG5tmgZbOoBMNcWkQmA2RVbWySfnaVRa8aOaMbOX8fszJ+msXd6HoXLW8pP124pVzzGmbVliYE6uzbWFkU4TCifbg5uwcLMw3Ug11lBEAt70An6he2de9XM+5GaVZf35Zff7chPVN2RKjP6qfpYfjX/8q/KJ/I/q96UR5fn6eUv1I5P+flik2e+4VP94Y/kf95Y/RO/DPY6cytmb8uvPuj4e0HiyQ9Zp9p8kDlLTvb2OuXP5b+lNpFME35Gzwu45+Gzbh3GASsGYoEUMRM37xAxojDtEEU6kkNWEocbRIwU2OVpwGiEed6Ng0zH0mNlcbZF5Buk7Q1ePEQeaWMWu5zLRvV2guX2b1ZwRPwDT8BQG0SccNg3EALXtEHUPKIFH/TVLaEXxiqmGOsLGJ97mcsIgghPUJnroISe0SEC7pCN1ScjBiL6tqI+GVGY1KexhJ4RxaH8ZKTAJj/AcARx3k197T5oj5XFmfy0FdFz8iECfKv6s74bNrfc9ssKjoiAZP1pK6LnZMO+gRC2JvnZPKAFH7SqT/rn5/SKUV/+YDp57eXvvqpxBEleapcopLQUVs5ondNUoWS2FqMaV0VKWnOvk81df8wszgVqwz+o9cnZ62qFslqpvF8+mx+280CVIslfX1VKsVrV3OusvjZ7Z/Z2p1r0rArZ1bd1qFIaihd6ZN5LwdIMvFmsXJQpJHtHke+rD5H6kMoPgfo0UJ8G6tNQfRqqT0P1w2EuP8jXSH4Q6oP6NE5M0ZXqhRjvBfgekkI/VujHCv1YoR8r9GOFfqzQjxX6sUI/VujHCv1YoR8r9GOFfqzQj03ox3R0gUeHbz5J8r4i7yvyviLvK/K+Iu8r8r4i7yvyviLvK/K+Iu8r8r4i7yvyvom8TyeHv+v0jLLYIE/2CuWBQnmgUB4olAcK5YFCeaBQHiiUBwrlgUJ5oFAeKJQHCuWBwuSBguyBS3umDR7APfJDhT1U2EOFPVTYQ4U9VNhDhT1U2EOFPVTYQ4U9VNhDhT1U2EMT9pCODc+gyL1WST1S1CNFPVLUI0U9UtQjRT1S1CNFPVLUI0U9UtQjRT1S1CNFPTJRj2jUz2ViBe+s4Nl4qUyeWCmEcexgxhK1hLJbZ+91sr3r6XXDgudfSFWgKpvvL1aX7lX/fTgXFPPFprfll54ttk6/XBMQnfkW6uwn3Y6SHx3RKZ+WTzuzO/IvkH/vQ/lFtWv6evmo+uPVmpUSLkqWfL62xlV9WffPPtJ5cJ/swfXUzFkwTTRRoEwEmFd+XP6286e3fpNX49cJkq6fdkM/FHLc/kU6/V7V7/hwsdZo1Yyd8jP541+s9sPvL496DLp+pJ3KHZA9ASw/Q6y/GeuwiRYCq8jgy2q2OmyijcD6sU3Xy4jWYWrFAP6TD3UsdBb2yBZusQxbXSWbZ+pDXpdD2u+TJTMC0za+Fjvw/cBcjE01F5i4scXYqwtlc8uFsmSrgel7s6nxcgFR3e9oxjiiYwBzKGFuu6yPXF0omzdcKEumEEgK8HOkPLu7NOzyBJNqMDAbgtdiASGoUCGoUCGoAIagAZ0PmEtxFdmW8HOLbiowpWJKslfXyprf2RO6xZg0S3p4lsvc9rBTkBG4S7JX18raQ86QTgBMsshlAvXsLI26PMGnGFtNQwJxnp7FkRfl08CLoyTxxvlZ7oWn0+gsDvyJ/GzOY5z7vzJut1ZFzaxNKwApDhPKp1slsGBhVgp0INdZQRBbmdAlhGr+KGeIq/nj7Ifyt09VpbX88leWCmhGUAEHRUyjL8+VZ29V9ej3ygd1rflnddl3p/xdeVfOvH9X/qJ8v/xUFYS/V/5Wfun98sPyg85gP/I7R3+rc80Bq2vWVYTFNYh5tbmuhRGFpa5F6DgOWTkcFrUwUmC31AFjEYRpN9QOSI8VxVlNSxiZa6o5+RCJoI3J6HJKWt9Wmluun2UFR0Q/8Dzq0qCmXf2dyQNeNuwLCGGzDugAMqAFH3QlU+PMP88nceLFmYi8OJV/YDyJfC+K/bM0nJ77cbR4m53KVFNJtfWOM50vYHzuZSojCCI6QWXqH1RrX9UqqA5vrAqo31UNgqqE+ttV097X1b7TW+Wzar/q9fkOx3wXpPxS/UQoduT/R77vq10unVf2Wb0i4F6Ba1odxgErBiICw/Xn7MezN3QoL7GisOhPc1cfI4lDBcpIgU2AgNEwXI/YY+VwJj9TmalM8pOTDxHgW5Wf9S2kueVeWVZwRPAjy0/joA542bBvH4StSX42D2jBB31VO/qU/NTmECk/c6wvYHzu5ScjCCI6QeWng44+RocIuEM2Vp6MGIjgC1eelpVPRhQm5Wns6GNEcSg9GSmwyQ8wHFE3Mx4nwUjiTHza+vk4+RDhvVXxmddaxXL3Kis4Iv6Rxaetn4+TDfv+QdiaxGfzgBZ80Ep92kRlu2X3+tXMaLF3oacTvr9Ot+Wye7K9wLo9qBr88y27J3swhnmwhbJ7sokCZSLAvDbL7mdvqcPt5Ij+uC40gBTek30BLDVEyGRD4T3ZwnUFzFh4T7YRWCW4mawlW4epCAT4z1x4T7Zwa4X3kR+oduJwXvCquu8sNfd0PGDObrfmnm4uMGvjau6lOXXN/cLPOqtv0q0G5u42pL6C2elZMI7oGMAESq+5V7ZfHAhjzT2dQiApwM+R8uzu0rA1g/t0g4GJEDxfAkSfQkWfAhh9BnQ0YAZtr9yebiowkcLL7VdR55bldT2hW4xJrqTnZjELbYo4BRmBt9x+FW3qATCW29MJgPkVWW6vnp2lUWvGjmjGXtmNJMNMWs78bfeoaTChfK43klhBECuN0KUD9o0kVocIuEPg02wdxgErBmIhFTFDNm0ksaK43UhiRXG2kcRKgV3IBgyHeSOJleQKbCTx8iHCexuzy+Ucc3HP6eI3OvAjXnBE/ANPjMCDOuBlw75/EDb7RhJkQAs+6Kvb6xkat51CrC9gfO7FJyMIIjpBxSe515MVVMBB4aJS1+t5iVWzK2Nr//y11OPPtX+Gnb/VOeuA1VmI0N2KdGVEYZGuQsdxyMrhULcyUmDzJmAsLN2frCjOhKu5+5OXD5EaWhWuYa1zzDfE8oIjoh9ZuEZSumgXzQa8bNgXEMLWJFybB7Tgg3ZbARXp6KQUjax0wTrd1iugiPYCd1GhSvLPuQKK6MEY5sFWKqCIJgqUiQDz6gqowF+UQKUblECZTx4Nu36onSoekF0B3PdFaGRjARTRQuD2LVz62gqgiDYC9203lbVE6zB7tAD/STWX6JtFyRZusQAqVgVQ6ooEP6nrECJ7FRSVEZi3266CopoLzNzYKqhoVQVlvJ3wJt1qYP5uQ+4rmJ2eBeOIjgFMoptUQUU7FwfCUgVFpRBICvBzpDy7uzRszeA+3WBgNgTPmQAhqFAhqFAhqACGoAGdD5hL2yyFopoKTKmYUqhoVQplfGdP6BZj0izp4VlOR+1hpyAjcJdCRTsXB8BSCkUlACZZdClUtLs0as3YEc3YSnyDdq4Uj3Hyb1n9oC4AGEuhYhwmlM/9bhQjyLr+sI0PcA3BQSkUo0ME3CHw+bYO44AVA7Giipgrm/eTGFFY9pMspVCMKA63lBgpsCvagOGIuiLWrsP0WEmc7SjZSqE4+RDhvY0p5nKiGdcbEOY7cnnBEfEPPDsCD+qAlw37/kHYmnaUmge04IOei8/xODuNTnMvTaLYi/3z3BuLifzgh8FkGonztJ6/OxWf2qglxadA+wLE5158MoIgohNUfFrPE11oy38XlU8785NDZ2+H8z0qHfw+K7yAw28sNBkxEIEWLjSNx4ayojAJTe0s/JCVxKHOZKTA5jnAaKRdP9OOR4+VxJnONB8cysuHiOSt6kxRyxJh0Zmc4IjwR9aZ5oNDedmw7x+ErUlnNg9owQdd6czTIBsnST7xhJB/IB5Hp15+Ov3/l/euTZIc15nmXynTJ25VRVlc3OMis/nQ6GliioNGFyq6UZU5PTaWkRcJtiQgA6Gd3TGTGW/iSMtdkSNpZ2jUUJSoNZv5MmsQQQxBAgT/wH6o+gv7S9Y98lLdkeHur5/ME545ooREdyO7+32Oe7i/7ueE+zQqRTZfzKssXmTTl8P7zN5RS/nM3DcWGN/wPpMRxGN0Qn3mdsm9Mp6f3f1uWROjC2FWbvOVyvPlz/+hLUz/nvrn+6+fZ7+snvnd3Zcndz+7+/HdT6J2X/RHdz+9+2v1+Xd3Pz8/yWLTFtxj1gBKPIC4V+0rNHqtlKiP8wkrp8dojptZy64pIwqLmU0uet9XfJOVZEAzy0jhO5kCrSHSC1GZXiBlRBnMzSbpxYpj281y8nnMF3t1s/na/JgvB+YF9xj/yG5WN2rRx3bFy+b7ACJsLjfrbtCaD3rYOnzRR6f8aWGlS7t0wevwiXq7Q8Y/4Tp8YgQFFsG91OETJUoviYC8vdbh244itVXiE4MB1h56+GRjJT5RIVg96GN/zZX4RI1g2eCuxpaozqdEEIifrRKfqDBgJX6pi/CrdQVsYS/Cp+KBk/a+i/CpcsFp27cIv3gowjfeZ/kWXTU4ee/D62uY00sLxlM6BjiD7lKEX5y+3hCWInwqhfSkgPuRjuzZRlhH8DO6YHAihBdMwOhT69GnBkefKzoaOIPus/6eKhWcSH3q74uH+nvj43pNV+wzuZL6zWYZah9xajICd/19cfp6A1jq76kE4PzqXX9fnG1EdcS+oIltLTdULqV5jIt+y64HdeFvrL+33e/Xg4nyDZ+aYgTx2GpE9w4GqL9nDIjEA4Kvs/swnrBieOykeqyQzZkkRpSuCbCg4EtpS/09I8qAqSRGCt+dbKA5bPX3jCSDZZJs9fecfB7D+z5Wl5s1ZrlOPJgvVOYF9xj/4IUR3KhXvGy+zx/C5sokuRu05oM+3LooYay/r3xjgfENbz4ZQTxGJ9R8HmBdFGMAJR7Anc0qI4bHYL0Xs8qIwmJWzWVPjCQDelVGCt+5EmgNa9kTI8pgZtVW9sTJ5zEd7NWsVmtvY76AmRfcY/wjm1Vb2RMnm+8DiLC5zKq7QWs+6GHLnmQf3aMssd82lXXpQpc9UfV2h4x/umVP1AgKLIL7KHuiSpReEgF5+y5tynoH1idkYDCj6+GFTaVNVIVgYtbH4hpLm6gawYzsjuaVqs4n+wrELysucoMnpSoMV9qU6FuWk/U9p4n9lmUyHjgx77m0iSwXnJo9S5uSh1uWE8sty2TV4AS9Dz+vYU4vLRhP6RjgLLlDaVPycMty4rhlmUwhPSngfqQje7YR1hH8jC4YnAjhRREw+tR69KnB0eeKjgbOoHssbSJLBSdSj9Km5OGWZfPjek1X7DO5kvrNeqnpGHFqMgJzaVPycMuyfbR5TicA51ff0qZE37LcP9K8oIltLTeUidI8xoW9ZWeDurg3lTYl9kv/tjBRvsGzS5wgHtuJ6P4Af2kTZ0AkHhB8Ld2H8YQVw2O31GOFbMwWcaKwZIvMpU2cKMOlizgpfHergeaQF7k0lDZxkgyWLbKUNrHyeQzv+1hdbtaY60t5E8sty6zgHuMfvDCCG/WKl833+UPYHNkioEFrPujDvWVZmkqbktQ3Fhjf8OaTEcRjdELNJ/2WZU5QiYPipjLkLcucwfIYuvdiXRlRWKyr7ON4k5VjQN/KSOE7bwJtkSgPIPpILllJBvOtlkuWWfk8Zoa9+tb1nbyJ5ZJlVnCPwY/sWy2XLLOy+T5/CJvLt7obtOaDHrbKqbcaUTnRzEonunTBq5yIesEkKmokj7nKiRhBgUVwL1VORInSSyIgz7vKyXqRsrHGiYgLpnY9bLCxxomoEMzQ4u7WVuNE1AimZnd1rkR1PmlYIH62GieiwoA1Tvoi5URfpJysbzFN7BcpkxnBuXnfhU5UueDs7Fvo9HCRcmK5SJmsGpyj92HpNczppQXjKR0DnCh3KXR6uEg5cVykTKaQnhRwP9KRPdsI6wh+RhcMzobwuggYgmo9BNV6CKrBIeiKzgfOpfusdqJKBadUn2qnh4uUzc/sNV2xzzRL6jybJad92KnJCNzVTg8XKduHnOd0AnCS9a520hcp9w83L2hiW/MNJac0j3GBb9nhoC7yjdVOwg8T5Rs+4cQI0vUftvYB9wkGqHZiDIjEA4KvqfswnrBieOyaeqyVzSkjRhSWlJGl2okRZcCsESOF76410By2aidGksGyRrZqJ04+j+F9H0vMzUJzfe9uYrlImRXcY/yDV0dwo17xsvk+fwibK2vkbtCaD/pwL1LOjdVO0jsWEN/w5pMRxGN0Qs3nfi9S5oSXOPzORpMRw2OgxY2m+SJlThQmo9m7Cn+TlWRAn8lI4TvPAa2RJBdZLPpQLllRBjOalpuUWfk8hvK9Gs31xbuJ5SZlVnCP8Y9sNC03KbOy+T6ACJvLaLobtOaDPtyy+tx0k3KS+8YC4xveaDKCeIxOqNHcoayeEVTioLip7Cur/57i0zu5v0Rq6H90959eraGPT56aiugZQ+MxUONG1bIjyojCYlRlH8ebrBwD2lRGCt9ZEmgLWxE9I8lgLtVWRM/J5zEP7NWlri/UTSw3JLOCewx+ZJeaFhdl7yByxcvm+/whbC6X6m7Qmg962CL63gJe5TsLK53s0gUvoifq7Q4Z/4SL6IkRFFgE91JET5QovSQC8tY3JFerC5LzHS5Ibtvoc9VLvtDttH2SaHIRZ72T6RNyPMC6Qg+fbKyyJyoEKwNx+2ursidqBEsCd7W2RHU+5X9A/FTXFrJP4SVZYcAqe31JcrK+pjSxX5JMxgPn7X0X2FPlgjO3b4H9wyXJieWSZLJqcP7eh93XMKeXFoyndAxwEt2lwP7hkuTEcUkymUJ6UsD9SEf2bCOsI/gZXTA4EcJrJmD0qfXoU4OjzxUdDZxB91lbT5UKTqQ+tfUPlySbH9drumKfyZXUbzYrUfuIU5MRuGvrHy5Jto82z+kE4PzqXVuvL0nuH2le0MS2lhsqhdI8xnW/ZeODuvY31tbb7+zbwkT5hs86MYJ47Dai2wcD1NYzBkTiAcGX2n0YT1gxPDZTPVbI5kwSI0rXBFhQ8KW0pbaeEWXAZBIjhe9mNtAc2UWZmN5/ZyQZLJlkq63n5PMY3vexutysMdd36iaWS5JZwT3GP3hhBDfqFS+b7/OHsLmSSe4GrfmgD7fkqTDW1le+scD4hjefjCAeoxNqPncoeWIElTjozqaSEcNjUN2LqWREYTGVso/jTVaOAR0lI4XvjAa0RZKqsbm3QS5ZUQazlLb6JE4+j0F7r5ZyffNtYrnKmBXcY/QjW0rbIZ+cbL4PIMLmspTuBq35oIetT+pd2j7K0thKl3fpQtcnUfWC+U3U4x1xfRI1ggKL4D7qk6gSpZdEQN66PimJVwVKBWOBUnoRp71LuSfkgIB5WQ+nbCpQoioE06u4AbYUKFE1gnnVHc0tVZ1PDhWIn/J0ee/Ye0lWGK5AKdVXHafry0ZT+1XHZDxw4t5zgRJZLjh1exYopQ9XHaeWq47JqsEJfB9+X8OcXlowntIxwFl0hwKl9OGq49Rx1TGZQnpSwP1IR/ZsI6wj+BldMDgRwosmYPSp9ehTg6PPFR0NnEH3WKBElgpOpB4FSunDVcfmx/WarthnciX1m/VS1DHi1GQE5gKl9OGqY/to85xOAM6vvgVKqb7quH+keUET21puKJ+keYwLf8vOB3XxbypQSu03721honyD54g4QTy2G9H9A/4CJc6ASDwg+Fq7D+MJK4bHbqrHCtmYS+JEYcklmQuUOFGGSydxUvjuZgPNkV1I0bv7cslKMlg2yVKgxMrnMbzvY3W5WWOub8ZNLVcds4J7jH/wwghu1CteNt/nD2FzZJOABq35oFvzOZXzWRWXVdTMpYxEMy/Vd5ssihdpmU/SWdNM5MvhzaehQGm12+0RC4xvePPJCOIxOqHmc7tA6e4TZT1/t8xT6LTEymG+clrR8uf/0F4I/D31z/fVP99afl3nO5a5jN/dfXly9zNlUX8StX71R3c/vftr9fl3dz8/P8likzV6zBpAiQdwZ7PKiOExWO/FrDKisJhVcSH7SN5kJRnQqzJS+M6VQGskcX6Rml5052QZzK0m6UWc9/F9jZfPYz7Yq1td34ebWi44ZgX3GADJblU3atHHdsXL5vsEImwut+pu0JoPetjap6qPTvnPzEpXdOmC1z4R9YKpU9Q+HnPtEzGCAovgXmqfiBKll0RAHkd9k+maYyo0mNb1MMTG+iaiQjA7i/tcW30TUSOYlt3VwRLV+aRggfhZrjmmKgxY36SvOU7lusLAfsMxGQ+cnPdd30SVC07PvvVNDzccp5YbjsmqwUl6H55ew5xeWjCe0jHAmXKX+qaHG45Txw3HZArpSQH3Ix3Zs42wjuBndMHgRAgvjIDRp9ajTw2OPld0NHAG3Wd9E1UqOJH61Dc9XG5sflyv6Yp9JldSv9ksN+0jTk1G4K5verjc2D7aPKcTgPOrd32Tvty4f6R5QRPbWm4oHaV5jIt7y+4GdYFvrG8Sfpgo3/ApJkaQrvWwtQ+4RzBAfRNjQCQeEHw93YfxhBXDY8fUY4VsThkxorCkjCz1TYwoA+aMGCl8d6yB5rBcbsxJMljGyFbfxMnnMbzvY3W5WWOu78JNLZcbs4J7jH/wwghu1CteNt/nD2FzZYzcDVrzQR/uAUyVsb5J+sYC4xvefDKCeIxOqPmkH8DECSpx0J1NJSOGx6C6F1PJiMJiKmUfx5usHAM6SkYK3xkNaAvL/XCcJIM5Ssv5S6x8HmP2Xh3l+tLb1HKLMSu4x+BHdpSW85dY2XyfP4TN5SjdDVrzQav//etXHIg2iv/K5hz3W5PUf1O1Mo25BVdk5l1kTK2PGXy1KCkzFiUR9XbHkB2Lkv727je6KOn+28tCld6aoK1CpP2WHK1q5H9xkqo/WZnPL40ukxgygYVsL1VIRInSSyIgz3ZDXKfN7cVJ0EVwVGww/ephiI11SESFYBYV97m2OiSiRjB9uquHJarzSZUC8bNcBEdVGLAOqdB1SOW6EiC31yFR8cAJ2b8OSf3V5jIkqlpwQvYtQ8ofypCMl+q+RVcNTsv7sPUa5vTSgvGUjgFOlbuUIeWnrzeEpQyJSiE9KeB+pCN7thHWEfyMLhicB+G1ETD41HrwqcHB54qOBk6gfmVI5oHnHbpScBr1qULKH6qQjE/rNV2xz9RK6jabBad9wKnJCNxVSPnp6w1gqUKiEoCzq3cVUn62EdUR+4ImVqudi7yoZotpNM3nk0jE83lULYommpdyUsomngqxmsmMy3nL/gZ5SW8sQyr8OFHAvoW/hctn8d8H8gYriMeuIror8JNX14e/VAt7/UKKfqP97r+vl4ntolAt5f9cZ4fuPtOr+7+//077bvuv292A39x/+9/oqeWVl+HvPrn7vP2lL3SeqS9Sj1kjJfFI4SvtPownrBhdt2DB8Fg5m1NJjCgsqaT4IusjeZOVZMBkEiOF72Y20BrFRZ7JPpJLVpLBkklFclH08n2Nl89j2N/HqnOz9izWuQfLPeSs4B7DH7xg2lpg5PlFXvTBXfHC+T6ACJy1Ra+QFq35oA+3OF7ZUlOBku22vN5gYIDD21JGEI/xCbWlA1THMwZE4gHZ2X0yYngMv3txn4woTO6zdzH7JivJgO6TkcJ38gNaI72QxnQRI8lg7tNWHM/J5zG679V9ri+zTS23E7OCewx/ZPdpK47nZPN9/hA2l/l0N2jNBz3scUqJaZezsuDJuOziBS9dIurtjhn/lEqXiCETWMj2UrpElCi9JALyrJfHedUufXb3q5O7v1ILgb9E74sjxgDM33r4YWMdE1EhmIbFba6tjomoEUzA7mpgiep8kq1A/GRykfdm9y7JCsPVMWXxufpI1qUElb2OiYoHzs57rmOiqgVnZ986puqhjsl4+e5bdNXgHL0PT69hTi8tGE/pGOC8uUsdU3X6ekNY6pioFNKTAu5HOrJnG2Edwc/ogsF5EF4YAYNPrQefGhx8ruho4AS6xzomqlJwGvWpY6oe6piMT+s1XbHP1ErqNpvVpn3AqckI3HVM1enrDWCpY6ISgLOrdx1TdbYR1RH7gib2cBNGiamOafXeBMyJAg6eMOIE8dhSRLcI+BNGnAGReEDw1XUfxhNWDI8dU48FsjFhxIkybMKIk2S4hBEnRdc4WCjgdflFYlqXc5IcQsKIlc9jdN/H4nK9xMziVX4hs9xKzgruMfzB6yK4Ua942XyfP4TNkTACGrTmgz7gIvrEVK2U2a/O6wkGBji8+WQE8RieUPMZsIieM1ISj9TOrpQRw2NY3osrZURhcqVZH8mbrCQDulJGCt9ZEWiNRF6IynD9BifKYLbUUkXPyucx7u/Vlq7vvM0slxizgnuMf2RbaquiZ4XzfQIROJcvdbdozQc9cCGTyWmmVryqixe6kImqtzto/BMqZKKGTGAh20chE1Wi9JIIyNtTsZLp8jcqJ5ik9XC9pmIlqkIw14qbWUuxElUjmGXd1aYS1flkVIH4WS5/oyoMWKyU6WIlsaoXyFJrsRIZD5yB91usRFYLzsCexUpZuilWyoy35b5FVw3Ow/sw7hrm9NKC8ZSOAc6NOxQrKe2vN4S5WIlMIT0p4H6kI3u2EdYR/IwuGJwH4dUPMPjUevCpwcHnio4GTqD7K1YiKwWnUY9ipc2g847lab2mK/aZWkndZrOitA84NRmBuVhpM9isG8BcrEQmAGdX32Il1Xc2ojpiX9DEtoYbyi1pHuP63bKBQV7DG4uVMj9OFHD4fBEjiMe+IboNMECxEmNAJB4QfAXdh/GEFcNjW9RjgWxOCzGiMKWFTMVKjCQDpoUYKXw3pYHWyC4K47qckWSwrJCtWImTz2N038ficrPEzNY5BMsV46zgHsMfvC6CG/WKl833+UPYXEkhd4PWfNAHXKyUGouVhG8wMMDhzScjiMfwhJrPkMVKjJGSeKR2dqWMGB7D8l5cKSMKkyvN+kjeZCUZ0JUyUvjOikBrJMlFFos+lEtWlMFsqa1YiZPPY9zfqy1dX2CbWW4kZgX3GP/IttRarMQJ5/sEInAuX+pu0ZoPen2B3Apc280hL5DrnSqU85QWXJGZ96IxtT6O8tXipcpYvETU2x1Edixe+k/K2P1Zu0m5LF7SlUjKAH7Z+sJfLKtcvlTe8fOla1SecFlq9Fd3f9nWuqwLj5JV4ZG2lb/Vf9Jv2qqm37Su9NO+EDwmh0BgIdhLMRJRovSSCMiznqr0D7oKbOXkdT3YL+6+VKuA+x8o2/7l3a9UE/x5W16mC8s+0f+pLS1r1wa/3DQrdsISNR5gstbD/RqLlogKwZwrbmptRUtEjWC2dVe7SlTnk1kF4pcVF0L0KbwkKwxYtJTroiV9XVy2vrEpk/bKJSojOP36Vy4laZWYS5eocsH517d0ST6ULhkv2X2Lrhqchfdh4zXM6aUF4ykdA5xJdyldkqevN4SldIlKIT0p4H6kI3u2EdYR/IwuGJwN4bUQMATVegiq9RBUg0PQFZ0PnEv96pcsw887dKnglOpTwCQfCpiMz+w1XbHPNEvqPJtVpn3YqckI3AVM8vT1BrAUMFEJwEnWu4BJnm1EdcS+oIltFyMymTZSzKKJWCwiMRfTqCmnZSTn82o+maRlueYxruEtmxrkdbyxgCn340QB+1b7Fi6fFX8fyBusIB57iehWwD/oxeHd5yftav/j5YtF7Ssvv9AlS21qKIlPE3mansu7L/qQH7MiSxwZX1f3YTxhxfDYDMWXw/d/1p+e+yorCksyyFSgxMgxYCqIkcJ3Ixpoi/5toEtWjMHSQGVssJNf4+XzGLr3sX7crCLzddLAcvM4K7jHyAcvfeBGveJl8334EDZXFsjdoDUfdOssp+kimSXTOEqm0zQSzUxE5TyW0XyRzPNK5FmZNi8DOEtTdVLhGwwMcHhnyQjiMTyhzvJnOjdx/z1lJz+//z+WNUa/vfu4TTZ9rMuU7n94/xc6R3H3a/3fZHyq/j8+F7H+WWa0mowxkHgMdraajBgeAy5uNdss0ScXJ/3t8lVWoEENJyPHgIaTkcJ3zgPaIo17W+OSlWMwx5nJiyLv4/saL5/HkL5Xx7m+mTaz3DXMCu4xAJIdp7FRr3jZfJ8+hM3lON0NWvNBt44zmVSzdJonUZlmyp2mmYyapCqjeVXEyayZFVLMXwZwnKaqJPvVdz3BwACHd5yMIB7DE+w47z5vS14+Prn7ifaa99+9/97J3f+t7Oav9duYqwqnX65eu0xlHN//aZIuPy+kwds8Zo2CxKOws+dkxPAYcj08p7Hah5GEx2waX8BkJBnQbjJS+E54QGsI1Ryl6EO5ZEUZzHFatjg58TxG9L0azvVttJnlemFWcI/Rj2w4E5Gn5k1OTjrfJxChc1lOd5PWfNDrUvf18zp0rXvv0KRcZWXjFUmXd6Ba98RwusAbZMFgmR3qCnvrpPvPcfzJ3d+sCtn1O5Pf0Yd3tJby36uffbvNin/RqXHvKYXvC8ZjcjAEFoy9lL0TJUoviYC8ddl7tap6z11V75RDOpOLOOsdTp+QAwFW+O3DARMVgjV6Ps7WXO9O1AgW5+3qWYnqfArxgPipPi1kn8JLssJw9e5C3yishKmPVH/oMzuF0B9yXXtqv2WYjAzOyITyd5GabNe/pMsFp2Tf8veHa4YzyzXDZNXgvLwPb69hTi8tGE/pGOCMukv5+8M1w5njmmEyhfSkgPuRjuzZRlhH8DO6YHByhBdIwIhU6xGp1iNSrUekWo9ItR6RanBEuqLjgjOtZzW8eTR6hy4VnHB9quEf7h42P8LXdMU+kzCpL20WovZRqCYjcFfDP9w9bB+BntMJwDnXuxpe3z3cP/q8oIltl1FZuYizpoziVMhIFCKPJousiSoxq0RW5HGTNUse4yrfsu9BXumbquGF7S68Hk4UsG8/wMLlsyfQB/IGK4jHfiO6V/Bf77/bHuj5O72a/1J/tOd4tgv7L9oapuxcnia9rfaYFVbisPhCuw/jCSuGx1Ypvkw218FzorBkivpffn6TFWS4RBEnRdcTWCjQxXmSJNWF4ahOTpQBE0WV7MP7Gi+ex8C9j8Xkekkp1rfQCsu1wqzgHqMfvA5C2/SKF8338UPQHFkioD1rPujWVhZNlcs4m0eyLKtINGUZNcUiVz+Np5PJJM/TyfxlAFvZu22sbGXiGwwMcHhbyQjiMTrBtvLud3cf3/2mPU9pdebSL9uC+F+pX/5le/Dmb+4+O7n/M53OuPvF+Yn6HX9795d3f3/347u/ufvJsnj+51lvudlj1mBIPBg7205GDI+BF7ed5rM4OVFYbGd80f/++ZusKAMaT0YK35kPaI7yoopNvpORZDDfKaWxQomVz2No36vxXF8zKywXB7OCe4x/ZONpbNQrXjbf5w9hczlPd4PWfNAHfLyHMJXEi9Q3GBjg8M6TEcRjeEKd5z6O9+BEljjyzv6SEcNjfMX9pWVbkxGFxV+mF/2HSrzJijKgv2Sk8J3fgOaQ+YWoelNsl6wogxlMyykfrHweI/heDWa69iOWq25ZwT0GQLLBtJzywcrm+wAibC6D6W7Qmg96eQFmnM6zaTxTFrRKoySZV1EZzydRHMtY5mWZVHJlvIY1mKIvGMpgZr7BwACHN5iMIB7DE2owXzvl48R0wsfJ3c/ufnqSlvd/mhb3fxqf53df6FL6v1/W2Ovf+OX999UXf7v0puoXf9u+wPnDvhg9Zo2RxGO0syNlxPAYkHFH6joFhBOIxZcm2YXsQ3mTFWVAX8pI4TstAs2h9F7I/lt6LllZBjOmWWpOuXPyeYz8ezWm67sUheVyTFZwj3GQbEyNjXrFy+b7BCJsLmPqbtCaD3q58zlv0qSQRVTORBaJ2ULZ2fmiUr91UpTNXFnZZPYygDHt7QHKmArfYGCAwxtTRhCP4Qk1pn99/xfLOy21u/ykTaz/6u6X65PoPlleeaR/nJ+K3lXlY1ZiiRPvbDMZMTyGV9xmWjY+GVFYDGaWGW4dfJOVZUCHyUjhO78B7VHK8qLKTLl1RpbBHGZ8UZl2PjnxPEbwvRrM9aWIwnLNJSu4xwhINpimNr3iRfN9/hA0l790t2fNB728fH0xmaXZZBEtmmYWiSxNo0nSFFE8zapymop5e7zy8P4y7wuG8pfSNxgY4PD+khHEY3RC/eVfKf/4u+URE/c/uPv0ZHMuxWftverKdurjKNR/aFPv6hfvf/Bv1qeFtHe0f6JPqGgv2vy1rv68+/XyvyapfsMojeNTfUBdX6ges4ZK4qHa2ZgyYngMy7gxNZ7HwUnC4kuTi1j2obzJijKgLWWk8J0WgeZI84sizfpQLllRBnOlSSYvZC/g13gBPUb+vfpSufYxlhscWcE9BkCyLzW36hUvnO8jiMC5nKm7RWs+aG1NbY5zz0fQyT485TVzC55M4i5e8CPoqIK7o8b/EEfQUYMhsGDs4wg6qkTpJRGQ53/zOuUMOsud69RIdId9vjPoqArBk3G8vKzpDDqqRvBInF1NKlFdd/bb9Qy6Cyn7BF6SBQY8gk7fti5K/VGpD6lPpJP6RDqZrg58ErnlwKev0ZHBGXnPR9CR5YJTsucRdCLfHEEnjPeTvUVXDc7L+3DyGub00oLxlI4Bzqg7HEGntL/eECaKt+kU0pMC7kc6smcbYR3Bz+iCwbkRXg4BI1KtR6Raj0i1HpFqPSLVekSqwRHpio4LTrR7PIKOLBWcbz2OoNuMRO9YHuFrumKfOZjUlzbrTvsoVJMRmI+g24xA6wYwETynE4Bzru8RdKrvbER1xL6giT3cvJI0HkFnu9GphxMFHD6vxAjisbuI7hUEzSsxhkriocKX6X0YT1gxuh7CgrGPNTYjydB5JUaUAfNKjBS+m9pAc6QXeWEqdmIkOYy0Eiegx8C/j8XoZkm6votRWC7XZAX3GP/gdRTeqle8cL5PIAJnbdErpEVrPugDLqiXxkPsbPc+9QYDAxzemDKCeIxPqDHdR0E9I7HEiXf2l4wYHuMr7i8tBfWMKCwG01ZQz8gyoMNkpPCd34D2KPOLODdVLjGiDGYxLfX0nHgeA/heDeb65kVhuUyTFdxjACQbTEs9PSea7+OHoLnspbs9az7oAz5IRBpPqqt8g4EBDm8vGUE8RifUXoY5SIQxRhKP0c6GlBHDYzzGDanzIBFGIBZbajlIhBFlQFfKSOE7LQLNkYkLkfY2yCUrymCu1HaOCCefx8C/V1tarW2M5UZIVnCPYZBsS23niHCy+T6ACJvLl7obtOaDPuATlKXpgDtpu8ik36RDgIP7Uk4Qj+EJ9aX7OEGZE1niyLvaTE4Mj/EVt5nmfU9OFBaDaT5BmRNlOIPJSeE7vwHNIS/yvLdw6pKVZDB/aTlAmZXPYwDfp7+U66vEpOVqOFZwj/GP7C8tByizsvk+fwibw18CDVrzQR/w3XDSdE6dTHyDgQEO7y8ZQTyGJ9Rf8t4NxxkMiQdjZ+fJiOEx8uLO03w3HCcKi/M03w3HiTKg82Sk8J35oOYoK0O+nZNkMOdpuRuOlc9jaN+r81xfJSYtd8OxgnuMf2TnabkbjpXN9/lD2FzO092gNR906zyxG4yHd555XzCU80x9g4EBDu88GUE8hifYed5/9/5b99+9+50+N+RL/fGLu0/vv9UeIfJF6ysz/cpQ7zbHY1ZYicPu7CwZMTxGVtxZWvY0GVFYnOXqHM9tX8kIMqCvZKTwndeAxkiStL/i/pKVZDBfGRsT5qx4HuP2Xm3l+gIxabkRjhXcY/Aj20pTm17xovk+fQiay1W627Pmg1b/+9dLa7nqzkbf+M359KP3Pni/JxIE29i7zFV+MbNgCpF2MU2n0Jm1+ljB9UF0vWLfIIvt9jFLYEG797P2TLIvl/uJfWKVp8t+/5KseGuoM0vebaRbnvQkxfnTrJSmoY0KIfwh8LMxtPK3tfK3TcrfpiuX/srxMzGU8Gda+DOT8Gd04XhXp4+my7N4FEBtAqjJAFsHqTgA/PrLc636uUn1c7pqfOj2PD9FiX6hRb8wiX5BE912lpdDzj+ms1GksMrPjDGH1ZJmINMpqFS5+IOJzkH/pd1g+O3D4Sa6wP8f9cR0/4P2VMzl0ZjtPsT9n+ovLguu2l/ezF7qC32gav4Sev4i0g49f0l9KqE+qTDX5xPmejrL9emFhT6zsMj0R64/9DmGpdHCU2GHmOekmucU4dua8G1N+LYmfFsTvq0J39aEb2vCt02Eb9MJpT+h1xj3TAM+04DPNOAzDfhMAz7TgM804DMN+EwDPjMBPqMD4o/nzvOm1OfV6TPscn1yXa6n0Vyfa1fo0+wUaK1Baw1am0BrMij7/CrV/Kronmu655ruuaZ7rumea7rnmu65pntuontOp8OnMNI8LNU8rOBeaLgXGu6Fhnuh4V5ouBca7oWGe2GCe0GDe2ULVDP+K9u8vb/zy/VcaJq2pZVCGpsIE0ucsy9y47xN1NudyHY8vVwtHO9+2R4r9p12bm5rVAzT9N/f/eTuP6yOI3t1yv549Wv/cf1fpT7g/Is+7sdk7u6cxnhQOVWi9JIIyLv/dhvnb91/56StGPpcGSl9bvlFnMUnqkVS9YOij+EJmaG7s8d3xDhVIXjyKZ6psBwxTtUIHnm6axKCqK7rLXY8Yrw3dpdkdeHOF5fakstidXKvlJaTe79GxwNnR/+zxIvKVAL8L+lqwenR8yhxKTdHiUvjjStv0VWDk+RuS71NOkaeXlowntIxwDmPsIhbH+SrtL/eECaKt+kU0pMC7kc6smcbYdtrL6pgcA6EM1vA4FPrwacGB58rOho4efodG14kpfHUcLJScAr1ODV8M+i8Y3lar+mKfaZVUrfZ5AvtA05NRmA+NXwz2KwbwETwnE4Azq6eq23ddzaithfQFLHtgiGRi0IfspNV8yQSWZ5Hk2pWRWkzz2YiiafqZ0se49r6G5N91vK162vjCjv3w0T5+lbhFiyflXgfyBusIB4lIegSvX2JRC22H14iuf+++uEX6p/fql+2nIDDCSpxUHzB24fxhBXDo5LFY81rfkGEEYWljE/2cbzJyjFgFR8jhW8dEdAWpoU2I8VgFXxpZn4zhJPPY7zex2pxs2bM1yVfliuoWME9Bj54oQM36hUvm++zh7BZG/QKadCaD7p1k2VeptNiVkRNVsSRyOeLqJqKRv3WLK4W1WSSzVdD66Busnf7V7lJ27HnvbHA+IZ3k4wgHqMT6ib/qn0t5Levpnv+w93/dffzu7+9+2l09xP9L/WTH6kf/bx9TaQP+jErtMShcWfZnjf5mb6XVZ9m3o3AJ3efq1/6R/Uff9dex/Pb9hig3y7TYPpn/Q77CWscPEbovVhTRhQWaxobrrJ+kxVlQHfKSOE7QyLN0UdxyUoxmDtNYsuROZyAHhPAXu3p+uISabmKhhXcY/Aj21Nzq17xwvk+fQicy5+6W7Tmg9YG1eY791shZHKc9pPQky5d8Aohol4w+YkaxuErhIjcAuPeS4UQUaL0kgjI26VCiMgAZkc9LKmxQoioEExy4k7TViFE1AimN3e1kER1PqlMIH4ma0hUF7BCSNfr5/E6SV/aK4SoeODsuOcKIapacHr0rRAqHyqEjLebvEVXDU6S+zDVGub00oLxlI4Bznm7VAiVp683hKVCiEohPSngfqQje7YR1hH8jC4YnAPhlQkw+NR68KnBweeKjgZOnnusEKIqBadQnwqh8qFCyPi0XtMV+0yrpG6zWe3ZB5yajMBdIVSevt4AlgohKgE4u3pXCJVnG1EdsS9oYluzvSjjfDGLo0UaLyIxzauonFVVNJ3PRZxni0ksVg+scW1t2Vygrq+NFUKVHybKN3xOhxHEY0sPXaJv53T0T+8+Wy3Rv728Pkt94Qf6kq2/ufuRWqj//O7Hd/9Z/fPTf7Nckb91Fcnk5O5HfQF5zBoQiQcEXxj3YTxhxfDYsfRYG5vTNYwoQ6drGFG6JsGC</t>
  </si>
  <si>
    <t>sutam5HCd8MYaY4+iktWisHSNWV5UZqyNZx8HkP7PhaWm+Xl+r4lablAixXcY+yD10Rwo17xsvk+ewibK1njbtCaD7o1nvOkyTIxLaKpnCbquyKNJkIm0WIi0kpOi8kiXz3NgxpPQ2onj31jgfENbjw5QTxGJ9R49pSmf6+9oPWz+z9bFqafPH9yff3o8bOTf/Ho7X8+evzs0fOTR2+9dXL14vrqWf3kpC8Kj1mjIPEo7Oo2OTE8Rtx9uE1OFBa3mZqubOUkGc5sclL4TnhAaxjMJifFYGYzN5cGsfJ5DOf7NJv5+vKl3HKbFiu4x9BHNpuJGj969/KueNl8nz2EzWE2gQat+aCHrQzK+uiUfbTf2JB26UJXBlH1gklP1P0NXhlE5RYY9z4qg6gSpZdEQN4OlUFUBjAr6uFHTZVBVIVgchO3mZbKIKpGMK25q4EkqvNJYQLxMxlDorpwlUF5qiuDslVyPk+slUFkPHB23G9lEFktOD16VgblyaYyKDfewvQWXTU4Se7DU2uY00sLxlM6Bjjn7VAZpLS/3hDmyiAyhfSkgPuRjuzZRlhH8DO6YHAOhBcmwOBT68GnBgefKzoaOHnurzKIrBScQj0qgzaDzjuWp/WarthnWiV1m81qzz7g1GQE5sqgzWCzbgBzZRCZAJxdfSuDVN/ZiOqIfUET25ptKJmjeYxra8vmAnV9baoMylM/TJRv+AQNI4jHjh66ROevDOIMiMQDgi+M+zCesGJ4bFh6rI3NuRpGFJZcjbkyiBNlwGQNI4XvhjHSHH0Ul6wUgyVrLJVBrHweQ/s+Fpab5eX6ZrncclMgK7jH2AevieBGveJl8332EDZXssbdoDUfdGs8FzNZVfNpES0mzSwSzXwaNWmSRWVVxbN5nsvZQr4c3nj27hQr45n5xgLjG954MoJ4jE6o8dyuDGozQ5/rM3hW90Tp6qD7b+s7qlsv2i0cuvtvyo/+WPnRH6t//6Q9i+juH9Wf9nl73qU2pldXWXFz0heux6zhkni4draljBgeQ/NebCkjCostTYwlRIwkA7pSRgrfmRFoDZMrZaQYzJVaDr9k5fMY9/fqSrO1icksrpQT3GPoI7tSWwkRJ5vvs4ewuVypu0FrPuhhS4hEH53ymcJKB98aOlgJEVFvd8g4uhIiIrfAuPdSQkSUKL0kAvLahvhCVw3paqH+wewJWS6YKfWwnsZqIaJCMOHp4yjN1UJEjWCqc1evSFTnk9YE4mfygER1AauF9P3Aeb5O2At7tRAVD5wI91wtRFULzoS+1ULioVpIWKqFqKrB+XAf9lnDnF5aMJ7SMYQnBiGBL05fbwhLtRCVQnpSwP1IR/ZsI6wj+BldMDgHwmsQYPCp9eBTg4PPFR0NnDz3WC1EVQpOoT7VQuKhWsj4tF7TFftMq6Rus1nY2QecmozAXS0kTl9vAEu1EJUAnF29q4XE2UZUR+wLmtjWJkLn9Goe4zLaso9AXUobq4WkHybKN3zShhHEY/MOXY3v524ITmiJQ+Pr3D6MJ6wYHvuPHutfc+qFEYUl9WKpCGJEGTD3wkjhu/+LNEcfxSUrxWC5F9vVDqyAHuP3PlaPmzWkXO/VW26sZgX3GPzghQ/eqle8cL5PHwLnyr64W7Tmg27t5VTOZ1VcVlEzl1JnasqonDVZFC/SMp+ks6aZyJfD20tTTVDuGwuMb3h7yQjiMTyh9rKnJuiTu8/ufnf/7dZvfnz/w1XF+UOdz+rn/9BWBn1P/fN99c+3ll9Xv7aqFPrd3Zcndz+7+/HdT6K2fv1Hyqf+tfr8u7ufn59ksckYPWYNoMQDuLNVZcTwGK33YlUZUVisqjBWCTGSDOhUGSl850qgNUxOlZFiOKdqKij5Gi+fx0ywV6O6vlE1t1yRywruMfTRjaqlSoiTzffZQ9hcPtXdoDUf9LBVQrKPTjnPwkonunTBq4SIesGsKGoch68SInILjHsvVUJEidJLIiBveahQbDpLiCgTzIx6WE5jdRBRIZjgxJ2krTqIqBFMbe7qEYnqfNKYQPxM3o+oLmB1UKmrg6p1gr6wVwdR8cAJcM/VQVS14AzoWx1UPFQHGe9FfYuuGpwH92GbNczppQXjKR0DnNZ2qQ4qTl9vCEt1EJVCelLA/UhH9mwjrCP4GV0wOAfCaw9g8Kn14FODg88VHQ2cPPdYHURVCk6hPtVBxUN1kPFpvaYr9plWSd1ms6CzDzg1GYG7Oqg4fb0BLNVBVAJwdvWuDirONqI6Yl/QxLY2EUr1aB7j8tmyf0BdQhurg0o/TJRv+PQNI4jHph26Ct9TdRAjtMSh8fVtH8YTVgyPfUeP9a855cKIwpJysVQHMaIMmHNhpPDd90Wao4/ikpViuJyLrTqIE9Bj/N7H6nGzhizXe/SW26pZwT0GP3jhg7fqFS+c79OHwLmyLu4WrfmgW3spE7koZiJT/3GeRCLL82hSzaoobebZTCTxVP3s5fD20lQdVPnGAuMb3l4ygngMT6i97LlL7Pvqh1+of7TnbEt9+kAfs4JKHBS3lMsXq+8+vf/zixNH+oQRzWOk3YvNZERhsZmyj+NNVo4BPSYjhe8sB7SFyWMyUgzmMW2n/3DyeYzhe7WY68tNc8tttazgHgMf2WIaG/WKl8332UPYXA7T3aA1H/SwdT15H90jZYGtdLJLF7quh6oXzGeilm/wuh4qt8C491HXQ5UovSQC8uzGlCoTzGl6GE5TXQ9VIZiaxH2kpa6HqhFMSu7oEanqfBKQQPwM3o+qLlxdT5Gcq490lVovYmtdDxkPnAD3W9dDVgvOgJ51PUW8qespjLeavkVXDc6D+7DNGub00oLxlI4BTms71PUo7a83hLmuh0whPSngfqQje7YR1hH8jC4YnAPhtQcw+NR68KnBweeKjgZOnvur6yErBadQj7qezaDzjuVpvaYr9plWSd1mvaBzDDg1GYG5rmcz2KwbwFzXQyYAZ1ffuh7VdzaiOmJf0MS2Zhu61kHzGJfPlv0D6hLaVNdT2K9C28JE+QZPvHCCeGzaoatw/jvCOAMi8YDga98+jCesGB57kh5rY2MyhhOFJRljrvnhRBkuH8NJ4bsnjDRHH8UlK8Vg+RjLHWGsfB5D+z4WlpvlZbLavi8s11CzgnuMffCaCG7UK14232cPYXPkY4AGrfmgW+M5T5osE9Mimsppor4r0mgiZBItJiKt5LSYLPLV0zyo8TRU/BSpbywwvuGNJyOIx+iEGs+eip/uJWDPn1xfP3r87ORfPHr7n48eP3v0/OTRW2+dXL24vnpWPznpi8Jj1ihIPAo7u01GDI8Rdy9ukxGFxW2mpkN9OEkGNJuMFL4THtAaJrPJSDGY2czN9eWsfB7D+V7N5vr+0sJyIS0ruMfQRzablkN9WNl8nz2EzWU23Q1a80EPW/zTWwqh7GNmpcu7dMGLf4h6waQn6v6GL/4hcguMey/FP0SJ0ksiIM9R/EOUCSY+PSynsfiHqBDMX+JO0lb8Q9QIZi539YhEdT5ZSiB+Ju9HVBew+Efo4h+5zr9n9uIfKh44Ae65+IeqFpwBfYt/sofiH+N9pG/RVYPz4D5ss4Y5vbRgPKVjgNPaLsU/2enrDWEp/qFSSE8KuB/pyJ5thHUEP6MLBudAeO0BDD61HnxqcPC5oqOBk+cei3+oSsEp1Kf4J3so/jE+rdd0xT7TKqnbbBZ09gGnJiNwF/9kp683gKX4h0oAzq7exT/Z2UZUR+wLmtjWbEP5Gs1jXD5b9g+oS2hj8Y/ww0T5hs/BMIJ0nYetfcBV+ADFP4wBkXhA8LVvH8YTVgyPPUmPtbE5HcOIwpKOsRT/MKIMmI9hpPDdE0aao4/ikpVisHyMrfiHk89jaN/HwnKzvBTr7XvLrdKs4B5jH7wmghv1ipfN99lD2Fz5GHeD1nzQrfFczGRVzadFtJg0M30hwzRq0iSLyqqKZ/M8l7OFfDm88ezdKVbGU/rGAuMb3ngygniMTqjx7LkM7HdtVuez9mScb60KgO6/rfzo71ov2q0Nuvtvyo/+WPnRH6t//6Q9cvLh4rDWmF6p5+HGVCXEGC6Jh2tnW8qI4TE078WWMqKw2FLDNS9vspIM6EoZKXxnRqA1TK6UkWIwV2o5IoiVz2Pc36srXd9oWljuqGUF9xj6yK7UViXEyeb77CFsLlfqbtCaD3rYKqHeJlU+M7fSFV264FVCRL1gdhS1icNXCRG5Bca9lyohokTpJRGQd/fTu//UHmAZn+hwnyTFRawWWnEqL06WBl9F/xWD/4/qF361vuv3RNv47hmfX959of+ob7c/XN7x+5lu2l8sG/2Li5P0Ik7T8xM1IeqBbDs8T8jhATOzHlbXWJ1EVAgmWH0crLk6iagRTK3u6k2J6nzSqED8Sl2+3TvgX5IlBixRKnSJUrmuEsjtJUpUPHD23XOJElUtOP36lijlDyVKxstQ36KrBifhfXh2DXN6acF4SscA59RdSpTy09cbwlKiRKWQnhRwP9KRPdsI6wh+RhcMToTwwgcYfGo9+NTg4HNFRwNnUM8SJePA8w5dKTiP+pQo5Q8lSsan9Zqu2GduJXWbzWrSPuDUZATuEqX89PUGsJQoUQnA2dW7RCk/24jqiH1BE9t6RegSCc1jXLtbNi+o63djiVLhh4nyDZ8pYgTx2DFEtwD2c+8YJ7TEofHFdR/GE1aM7rxvwfBYBJvzPYwoLPkeSxkSI8qACR9GCt9NZ6A5krS6iJPeLZZLVpbB0j6228dYAT1G8X2sITcryWKdJrDcYs0K7jEEwssfvFWveOF8n0EEztqiV0iL1nzQh3v7WGksRyp9Y4HxDW8yGUE8hifUZNJvH+MElTjozsaSEcNjVN2LsWREYTGWso/jTVaOAV0lI4XvjAa0hcjU9Cz6UC5ZUQYzlbZaIk4+j0F7r55yff9pYbnRlhXcY/Qje8q0uCh7R5ErXjbfBxBhc1lKd4PWfNDqf//6fDmj/SubZdxvTVFvpYMyi5WFUgjzi6yYWB8T+HpNUe9G8RtkvWA6E/V6+6wpUr92cv9n99+5/67+Rf3v+2+pH326/M+ppc6IGAuBxWIvdUZEidJLIiDPs85o+00Br/IhIjWYNfUwuMbyIaJCMPmJ+1Zb+RBRI5j23NWTEtX5pDiB+FnLh4gSw5UPlfG5+kjWGfzKXj5ExQMnWv/yISlyc/kQVS040/qWD1UP5UPGO1ffoqsG59t92HQNc3ppwXhKxwCnyl3Kh6rT1xvCUj5EpZCeFHA/0pE92wjrCH5GFwxOhPBaBxh8aj341ODgc0VHA2dQv/Ih88DzDl0pOI/6lA9VD+VDxqf1mq7YZ24ldZvNAtI+4NRkBO7yoer09QawlA9RCcDZ1bt8qDrbiOqIfUET2y4LUyka0cyjyVRmkZikVTSZpVlUFWrRXshmmopmyWNcplv2K6hLdVP50OoEAhgT5etb0FuwfBb1fSBvsIJ4bBKiq/2eF80/UevD391/e/0myuoYo4eXx1c//4d2EakWk/ffV/98a/NGympRqZf+dz+7+/HdT6L2UKQfqWXqX6vPv7v7uVpgxjo/cfKVNy6f9j6jj1nDKPEweqzCe1baWzmynsX3Q1jv/lYF6qfq8y9V1H6+LOP6m/UL/CdXj7P05KYvWE9Yg+WxP+uxeDdmpzhRWLJThlca32QlGS4/xUnR9TQWCnTPIJGivEiE6IO5ZIUZLEOVpBdx7w7y13j5PCaffSx91wvgMl4lNErLHd+s4B4jILxq6zZqll5kvc7oipfN9xFE2BwZKqBBaz7o1ho3zXQ+WWRVJIWYRqIoF9Ekj2UkkqacJc1klsnV0zyoNe7d0FbW2HYZXW8sML7hrTEjiMfohFrjfRz+qVzyT9dF+Po7/4/6yd+fvHVlORGUM0oSjxLufPswnrBieIzIe/GkjCgsntRcis+JMqApZaTwnRGB5rCW4nOyDOZJLeeCsvJ5jPp79aTrO2RLy6XArOAeIyDZk1rOBWVl830CETaXJ3U3aM0HPewJTElvmyqbmVrwZFJ28UKXS1H1gulb1CUeRLkUNRYCi8U+yqWoEqWXREDea7VOJ6pZ2mqn/iOZes5cvejDe0LGA9PBHjbWVBdFVQhmdXF3aqmLomoE87m72k6iOp/cLRA/W10UVWLAuqhM10WJVWlCmVrrosh44JS637ooslpwSvWsiyrTTV1UabyO9i26anBi3YcR1zCnlxaMp3QMcE7coS5KaX+9Icx1UWQK6UkB9yMd2bONsI7gZ3TB4EQIr2aAwafWg08NDj5XdDRwBt1fXRRZKTiPetRFbQaddyxP6zVdsc/cSuo2myWifcCpyQjMdVGbwWbdAOa6KDIBOLv61kWpvrMR1RH7gib2YJM/SWwsjMr8OFHA4bM/jCAe+4Douj5U9ocxShKPEr6c7sN4worhsffpsWw2Z38YUYbO/jCiDJj9YaTw3XsGmsOe/WFkOYjsDyefx6i/j0XnZumZrZMFlovHWcE9RkB4vQQ36hUvm+8TiLC5sj/uBq35oA+3WF+Z0t5hS5lS4RsMDHB4U8oI4jE8oab0YKv1GcMo8TDirjVotT5jsDxmhr14Y0YUFm9srtZnJBnQGjNS+E7MSGvYq/UZYQbzxrZqfU4+j8lnr954fcFuabkxmRXcYwQke2NbtT4nm+8jiLC5vLG7QWs+aH2e1J+8YgqN5veb8+lH733wfk8gSN7XZHulhVMI870DsFofR/tQJdUr9w2y3G43swQX9K3/RXmoby+3Uu9/cPfpiTKgHysv9eX9d+5/sDKfhpKpV8uk1Bf6QJX9lL9/SabdGirNuLuNlKt6h1zXO1Tqo0r1hzQNklQc4Y+DZ5U0w9ua4W3N8LZmeNvE8DadQfoz4HklhfBMIzzTCM80wjMTwjM6Av4Q0YfqVRI710nsSn0olNqEUpNRthKUDhS/3vRc63+u9T/X+p+b9D+n68cnC88MpZL/Qst/oeW/0PJfmOS/oMlvu9LLzZQ32KGKqTEdmVspKmMjYGKJ859W3af3DbLe7qSwY5Xw3979Rs9599821wd/qvOInenu5P7b6tfU7/z07pft/s631ESqv9qmHtU31G/58u6TTqryy9Wf1PtXLLeDfnGSqj9b/TVfmg7upgauO/1wlhQTJUoviYC8u5/d/TxKL9KTr6iY6ib81v13Tu5+1aaIf9AezXgRZ/ptV/WvQpcc332i/1tbVPzp/Q/b/yDL3nHjCZkSLKjy2AYyVhYTFYJ1UT67O+bKYqJGsCJq130bojqf6icgfr2xuySrC1hUrO9qLdfXJZb2u1rJeOAE7F9UnMWWomKqWnAG9i0qfrirtbTc1UpWDc7Du63MNrtX+upEM8ZTOgY4KxJWZJs6v4e7WkvHXa1kCulJAfcjHdmzjbDtRRhVMDgHwhuBwOBT68GnBgefKzoaOHn6FRWnRWkuKqYqBadQn6Lih7tazU/rNV2xz7RK6jab3VX7gFOTEbiLih/uarUPNs/pBODs6rlk131nI2p7jU4R29rEKp1Vi3IWLRaTRSSm8zIqi1kapVmaT/JpJcpsNQUYl+/fmOy3fsO4KFaLeNuVYj2YKF/fQt+C5bPY7wN5gxXEI4OG7gL85NU9gN+q5fgn7VrxL+7//bKk4Av107+4/3P9E7Ve/+HJ1YcffDSffnTyz+fTDz5cVXZcP3rrpIrjrC8gj1kDIvGAeCyd9e7GZ8u6i9f3NtqdDR2lVebg1+070T88efT+R/M/mJzc/f39d9o6ls1vOrn76d1fnevf1t1refny/XY/5NX3tD9v/8bVHso/qr9F//LmF3qzEee6RkT/6ndOolUpSFv9rZpE/Q26UdTf/pO7/9w7gT5hbZuu0bG0jceC31z3wYjCUvcRX/Q+MG+ykgxY98FI4Zt0Rlqjj+KSlWKwgo80zS/yog/wa7yAHvPVPlbLmzXz+g7T0nIrLSu4x9gHL/S2dhYzeZH1msYrXjjfpw+Bs7boFdKiNR90a6fzRRnni1kcLdJYfzevonJWVdF0Phdxni0msVhNE4PaaVNZiO06td5YYHzD22lGEI/hCbXT+3hF762ryPY2HmNAJB4Q3E73YTxhxfAYfffiPBlRmJyn8W08RpQBrScjhe/khzRHH8UlK8Vg1tP2Hh4nn8fQvlfnub7qtLTcXcsK7jH2kZ2n7T08TjbfZw9hcxlPd4PWfNBDnsKYGq1kZaGTiXm3HBPrYxGx8iqiXjCtizrBIyyvIgZOYIHbS3kVUaL0kgjIW57YqIL956taqrh3f+UJWTGYJvbwr8ZSKaLCrjVlLZUiagTzvLv6TaI6n5wuED+TjySqC1cqVel7aav11ZCl/V5aMh44me65VIqqFpxNfUulHu6lLS330pJVg3PqPiy4hjm9tGA8pWOAM9wupVIP99KWjntpyRTSkwLuRzqyZxthHcHP6ILBORBexwCDT60HnxocfK7oaODkucdSKapScAr1KZV6uJfW/LRe0xX7TKukbrNZHNoHnJqMwF0q9XAvrX2weU4nAGdX71IpfS9t/0Dzgib2YHM7xvedqtgPE+UbPLfDCeKxAYiu6PlzO5wBkXhA8GVwH8YTVgyP/U2PtbExt8OJMnBuhxNluNwOJ0XXOFgodlyTc1IcQm6Hlc9jaN/HwnK9vKzWl4RWlltfWcE9xj54TQQ36hUvm++zh7A5cjtAg9Z80Idbo2/MBFW228Z6Y4HxDW88GUE8RifUePLX6HMGROIBwY3nukb/f7iKfM6W8Jg/9uKdGVGYvHPv4/EmK8mA1pmRwnf6Rlqjj+KSlWIw62yryGcF9Jid9uqd15eZVpbbaVnBPcY+sne2VeSzwvk+fQicyzy7W7Tmg24PYTzfmC1tHgc8h6p3llD2OLXQCpl0aQcqlDKexUjVCyZ1UXf7N+2h1w9+7Etla3/bcyTjqzfVbru312qo0IonagQEFoF9VDxRJUoviYC81+6oPd/cUKuPmUr6n4gnZPFg4tfDpJqKn6gKwfwt7j0txU9UjWDmdldXSVTnk6UF4ldVpeFU60uyxIAVUPoG2mp9CWRlv4GWjAfOkv4VUCIXxgooslpwmvSsgKoebqCtLDfQklWDk+U+zLaGOb20YDylY4Az3g4VUNXDDbSV4wZaMoX0pID7kY7s2UZYR/AzumBwIoRXLMDgU+vBpwYHnys6GjiD+lVAmQeed+hKwXnUowKqeriB1vy0XtMV+8ytpG6zWQXaB5yajMBcAVU93EBrH2ye0wnA2dW3AqrSN9D2DzQvaGK12uk8K4pslkUTMZlHQsRlNCmaeVSmshDNNEnLcsVjXGNbNh2o62xjBVTmh4ny9a3GLVg+K/I+kDdYQTy2+tCl+j4SUW8/rk/qk1gWcTRK4uu+uDxmjYvE4+KxOu687vVFeyeaTg+1maJftHml3959Gal/fdaeyLwsGfvs1XzSw5/Q/vSXd5/roP7i/gftXWrtHon67/9+lez6xau5Kb3/8cv2IrDf3H1myX59pdtG/1PfZsrJnhNh6o/W/1Gnwe7/bKmyTUgWsRDLbFjvg/6EtR947Ah7bDSYs2GMKANnwxhJBsyGMVL47scDrZFW1YVIyj6WS1aWwXJiscG5f40Xz2Oa3McifbNUX1/wWllu7GUF9xj/4PXl1qtwuSnPecUL5/sEInCujJi7RWs+6MN9j8F4dVklfGOB8Q3v4hlBPIYn1MUP8B4DY0AkHhDcvvdhPGHF8Bh99+I+GVGY3KfxPQZGlAHtJyOF7+QHNEciqosi7n3v7pKVZTD7aXubgZPPY4Dfq/9cX6JaWW7FZQX3GAHJ/tP2NgMnm+8TiLC57Ke7QWs+6GFPqhJ9dMpQSgudTOMuXfACLKLe7pBxxAVYxAgILAJ7KcAiSpReEgF5rxVgnXwlTbLz6uTuC527aouxTr6SFOl5kbW/dnHS3ZHWDfPF3Rcrq683kr+v/v1rvY+vG/D+u6qRf3j/pyf3/6c+dkz93u+uvvLZyVeWe8L/tZSxbtgkSuM0i9S64MdqCfDju1/dfaF3cT9fXqisekp1nsTnJw/XKOj0QPu3fto7LD0hxxhMj3sYaGOdGFEhmOXGfbGtToyoEcxv72p4iep8ctlA/LIyv8h7N7YvyRID1onpm7urYl2qIe11YlQ8cDLfc50YVS04m/vWicmHOjFpqROjqgbn9H0sATTM6aUF4ykdA5yYd6kTk6evN4SlToxKIT0p4H6kI3u2EdYR/IwuGJwI4XUUMPjUevCpwcHnio4GzqB7rBOjKgXnUZ86MflQJ2Z8Wq/pin3mVlK32SxO7QNOTUbgrhOTp683gKVOjEoAzq7edWLybCOqI/YFTezBZpiEsU4s98NE+YbPMDGCeGxAojsKA2SYGAMi8YDgq/c+jCesGB77qx4LZHOGiRFl6AwTI8qAGSZGCt/9baA5ZHFR9U9Xl6woB5Fg4uTzGN/3sbrcrDHzdT7Ccnk9K7jHAAgvjOBGveJl830AETZXgsndoDUfdOs+42w+zedFEs3S6SwSZSWiSpYzfU5AniSxLORiFZhB3aepvqnwjQXGN7z7ZATxGJ1Q9/naWwqrIvpXE1QfPxTG/7otjP+NvnNFH8n0yllZhYLri8Zj1mhIPBq49Xw9IP3nZb1x/ejdZydX18++etmekLUpz++LwRPWGHgM23vxrYwoTL61N33xJivJgLaVkcJ31gRaI0nkRdV/IPklK8tgvtVSl8+J5zEx7NW2rm8arix3R7OCe4x/ZNtqrcvnhPN9AhE4l291t2jNB92eVNWaV/HS7ky/OZ9+9N4H7/dEgmBMe+dtZUmtNxXKtItpqpAya/Vxm+siqV6xb5DFdvuYJbCgo/zP+mVH5Zc+vvvvr1rJVaHU/Z8uq2t+25a/6J3P3yxra/qwlH8sf/+SzLY1LJrhdhsVV/UF1flTESf6I9UfwjQgUnGEPw6exdEMb2uGtzXD25rhbRPD23QG6c+A53EUwjON8EwjPNMIz0wIz+gI+CNDH5VXSePqvNYotUapTSg1GWUrIehA8etNz7X+51r/c63/uUn/c7p+fFrwzAgq+S+0/Bda/gst/4VJ/gua/LYrLeVrEzPQiYzm7F9lZRDGJsCkkmY69Zn3qX2DrBYsHKJOde0ttJ/ef7t91f+T1dEAr2ylLCt9P7v71cmyaHT57v/ykAJ9FoGeHH/ZXme7+mOW8+Xv2nLR7/SF4jE5FN3JhLMqmChRekkE5P1/3/uP6UUse18Mf0KW2V2DMBbWEhV2t1ZYC2uJGsGCoF03TIjqunP+joW1puO6ieqC1dSKOF5XtNkvniWTgVOhfzltIqrKXE9LlQtOh771tA83z1aWm2fJqsFpcbdF0mbTSF8EacZ4SscApzTC4mhT4vZw82zluHmWTCE9KeB+pCN7thG2vR6iCgbnP3j/DRh4anDguaJTgXOmXymtZdB5hy4VnDp9amkfbp01P6nXdMU+0ympy2z2M+2DTU1G4K6lfbh11j7QPKcTgFOr58pZ952NqO2lMkWsVrvIqoms0jLKkmQRJcl8HlVVLKJZkufJZBo3TbWaxYyr6G9M9lnNoFen/WtpsXrAYUiUrm+9bYHyWXP3gbzBCuKRskKX4z9brpPbSoZXV9F3y6MFP2/PBPzt8s3L5RmMf333l3c/O/nmP0ulft3zpP7gj9+fvfHB5MPZSf3HfzT/8KvvvT/vi8xj1shIPDL40vfuR30bDnefdvYt2jeZ1S993J5YqcK52q74oj3S8NP2Hee2Gnm5wfHy5fvtH/mp+sM+74RZtUJ74qX+Azb7JOtKZvWX/Fz9casTEJe/a1lLkaRxfP+n+lP/rV+c67+i746w1VGI5ye6HuXVN6zbQxZ/pf6uTu5hsyWji1mW2QeNuToe8mPT37O5DM52Exlrf/DIce6+x8BKwlLi0TsIv8nKMViBBytF14RZKHbb12ClCF/awYvnMU/uY32+WqUrpmUhwOoHfeBPecE9hj14aYm26RUvmu+Th6DZCzuQ9qz5oNdXkK3cq3bmgyW8+guORZxYWfMu6yAJr7R/SfEGWS24s4c67J8qx/RL5Y0+Xr2ppn1We5K5VxpsedjJ5rBu7R+14fqyPTj705PsPFV/5vlJ+3d8/nBg+vIo8C9bD/mr1myuDkrRx6l82rrIX5zoP3cp4YvV2dqfGmpLyDEVWEz3kDkjS5ReEonynpDlgTuG+3CzRIXg7p+HSzVmzMgawW2/XR0oUZ3PFh8Qv9xQuXBJFsiSNEMNxtfossG5kpARSxNTQoyuFpwu/RJiSs46Iabrc0wJMbpqcNr0Mtxo13hKlw3OTPQEmJJ2+nrgjQkwOoX0pID7jY7s2UZYR/AzumBwOuNYpVAlg/ObZ3bLOIC8Q1cKznJ4cuth8HjHMnhc0xX7zHz77A41WTJvMuth0FgH3JjMohOAs6JnMkv3lY2ojtgXNLGrlfBqqNb/GmwlnPVhqJVwasUojTHHpNJWwsLwogNZLTiloyth39LPVw+E1TkYnWM5ufuRWgh/scpF6CuiPlGr3r9qUyZqkXv/Q/37+6LwmBwF0CHsZe1KlCi9JALyXjkLNstWt3AbHoYnZNWgB9jHkpaoEJzy97OkJWoEJ/tdl7REdT4TOxC/LL2QfQIvyQJZlrRAOZYy1tmyHEu/KWGpA6WTgfOi/6q3yjPzqpeqFpwafVe96cOq13z9Nl01OEV6rXpNZaBK5emlBeMpHQOc43ZZBaenrzeEZRVMpZCeFHA/0pE92wjbXgVTBYMzILwKBsadGhx3ruhU4Kzpt1A2jznv0JWCc6fPQjl9WCibb96mK/aZT0k9ZpP8tI81NRmBe+Gcnr7eAJaFM5UAnFi9F87p2UbU9sKZIrZdG5TzYlrmi0gURaM+miqqSrmI4olMyyZLF0U5XfIYF9TfmOy3CtR077YamvwgUbq+pbcFymf53QfyBiuIR3ULujL/ia4DbC9R/s760NQv2p983JaHPtQ+/vq14wnufnNy0sf/mJVf4vweC15rCBxBePT1Zv7Nk+dP3nzx1qPrk1wXY7YfiVzWY560h2Ct//SPTx5dqf/8KNezcBWf/L//e6RW14l85T5rSzFl75PzhDXgHlVF+1irM5IMWkzJyDFgMSUjhW9JF9AWlv0BRpBDqKfkxPOYcfax0N0sd7N1/Z35CmtecI+RD16jbXdZ3Wl736+/4qXzff4QOldJpbtJaz7o4S4RNKRilMMVFjaZbl2QGDhxRFTbHTCOPHFEjILAorCXxBFRovSSCMhbJ46Si1gNa67EEVE1uG22DzNKVAhugXmYTEviiKgR3Pza1UAS1flsdAHxywznIl2SBQZMHMn1Bq6wJ46oZOC8uOfEEVUtODX6Jo7EQ+LIeOHxW3TV4BS5Dz+tYU4vLRhP6RjCE4OwoStOX28IS+KISiE9KeB+pCN7thHWEfyMLhicAeFFCTDu1OC4c0WnAmfNPSaOqErBudMncSQeEkfGB/WarthnPiX1mM0Szz7W1GQE7sSROH29ASyJIyoBOLF6J47E2UZUR+wLmtgDTRyZjuJUQ5MfJEo3fOKIEcRjGw9dme8/ccTIL3F+jwXvsSeOGAPusX26j7U6I8mgiSNGjgETR4wUvhvXQFtY9gcYQQ4hccSJ5zHj7GOhu1nuynWWwXwFPS+4x8gHr9H8EkecdL7PH0LnShy5m7Tmg15dstL+T/0hf/jebDZ//7Eye1et19PByJtp2jSTOJqLhYxEGS+isiwW0URk8SSTIpnNJi9fd8up7MRx/vX5Jjqvh3H5N9KfD72AH1W9YRv1n8SvlwHb8cIoW9fcfQQgOHzZponG/URjJqKuCYCI8GWcAnr0qJ/o0SMGpFccmrlLmm+H2EuXTOLzkezfRxpVloc5y82vNXY7HoTg2fGU7rFB95iqu9u9IN2e3UvpfvTIIFx1PoLyV1bI4XpR0t+DEtvZTFlehO1C/aLHZNGD9J9+0bpjEVQfRN/pNxOjxPaicpabi8MH6Tv9osdk0YP0nX7RulMRVGvZInTfyc5HSX4+EtLQh2w1+1lehe1D2flYiR8bxI/J4gfpS5max5T6R48M8nV3I+hvlzehe1X/nVmjJLMBFXHY3tQvekwWPUgv6hetuxdB9Sv7hLoLvXZERQoWKSxZ4G0ew6L5KhHL4rfkwvgC17s6dW9hTI0tA1YuvIKC96VVBg7Qf0PWL7z148qvAeW3ZOXSRzl9FFrl/AGUERmlOya5UXw70XNA/5isHyxVoIxNKqhna2HbIxNFcDsylZMmLxdVlJQLEYlikUfVpMoiIbN5Pp0WZSm62dytQesbE+M+334GrvXwtdzjU41nHcCkXyjQGPQ+ak703R836eyuIzbk5Qbn+QEsx4rzUWoyQLmVPjM+rIMYoOJ8bBA+JgsfxAQVykUblGuPTZB+EC66NHSiwgpkvvpnkE7UL3pMFj1IB+oXrXsWQfUrfUePRUFddOkckd9NbPcYZ4V5t3cIF+3Wf0PWL7z148qvAeW3ZOXSRzl9FFpP626UERllCBft1j8m62d10eXZWtj2yEQRrBVni1wkWbaIxKxI1Mcsi6qskZGYZs00qybTVKyYDsBFV5CLtiZ9tkOBxiCUi66c3XXEhtx2kWaSzhoxmUfqj0sjkaWzqCzENMqm6qtlNW2yWXYoXSSNkS6SWnM7ffHCYhCoi6Sxu4uwIS/zFos0a2+AmS8a1aeqqonK2VxGTTGVVbFYVPliq1YkWBdJoC5iTeH0xQuLQagukgBdhAt5aYHnVS6nZab+Y6LW7fGsUev2uIrkYp7MkumiSib5wXSRFOoi1nxMX7ywGITqIinQRbiQlzt6siiTRZxHUxk3kUiTNCrV1BRNJ7NZks+mUqbNwXSRDOoi9rRLT7ywGITqIhnQRbiQNzt6otsHuoGA9gRIcWg3YlJ5Pspi9Y/6tzCUeunVpCUKYQt1FMBYAYwVwNgAMCYDDLFBowAePcp05Vemf2Rg0JuABIhX9mu0rQ25X5O6d9Df1b3fwmiuahhgvwbQf0PWL7z148qvAeW3ZOXSRzl9sFoP2m6UERllgP0aQP+YrJ9zvyaVZ2th2yMTRbBWPMnTeSKSIqpEXkRCqIV7mUzSSPmo+STJZD6rDsdG55BHyv1CgcYglEfKnd11xIbcdpH5YjJLs8kiWjTNTC/c02iSNEUUT7OqnKZinmWH00UKqIvY8y498cJiEKqLFEAX4UJejiKT2aKZ55No0iRVJJK0iSaiyaNcyCZvFlWVFOJgukgJdRH7BnjfIwXFIFQXcScpRmzIbRdZTKf5omimUVlMp5GopknUiMk0WuSTNJ00TVkW5cF0ESgxkNp3yXvihcUgVBcBEgNsyN2DJwdeGGXuHe93M/s95kEXRoD+G7J+4a0fV34NKL8lK+8+RG43vkMnqgGUERllgIURoH9M1s+5MMris7WwrYURSfCxWZoMSkFl9psl6fN736PmRN/9cQNSUGzIR2dpMigFldnyMb3xwmIQqosAKSg25KNbO2dQCiqz5WN644XFIFQXAVJQbMhHtwOXCaiLCN94YTEI1UXcr8mM2JBDL4zcm+XvZtLGnpvfYBxiYeTWf0PWL7z148qvAeW3ZOXdh8jtxnfoRDWAMiKjDLEwcusfk/WzLozk2VrY9sKIIvjoFkZQxkjPxT6hQGMQar4CMkZsyMe3MIIyRpktfdIbLywGoboIkDFiQz6+hRGUMcps6ZPeeGExCNVFgIwRG/LxLYygjFFmS5/0j7pQDEJ1ESBjxIbclm9q7iW2+muCltYJ9+b5u8L6zkRpPhV/gIUSoP+GrF9468eVXwPKb8nKuw+V253v0IlqAGVERhlgoQToH5P1cy6URHy2Fra1UCIJ1oqbRORZnomoTGdqIKtmedTILI/Uz6bNpKzSSbYao8LPXwLKIAnrGz3boUBjEGj+EkAGiQ15aXGm0/kkns6jsmomkZiX+gzachJJMclnc9EkWVYcTBeBMkjClk7pjRcWg1BdBMggsSG3XWSaLvSLTXGUTKdpJJqZ6ljzWEbzRTLPlUXKysN5iUlAGSRhfaOnL15YDEJ1ESCDxIa8PJIobeR8ISZRnOcySpJ5GZXxrIriWMYyL8ukkocz0UAZJCF844XFIFQXATJIbMjL99w0+dZb9d1IQO9WkQLRvugmcgO6tKKnXfRBX24ziB6TRXd9LCQatrLLF9oMovVhsATVryyzQ5/bKdx72++K3MpoPgtqiGW2W/8NWb/w1o8rvwaU35KVSx/l9FFoPRy7UUZklCGW2W79Y7J+1mV2frYWtj0yUQS3imdVnuTzKkpFPI3EoppGpcybKCub+VRkiyqdVi8Pxf1AySZhfVdnOxRoDEK5HyDZxIa8zEemUn17kUSTUpvpohTRZFI00XSe5FMRp4siOZh8pICSTcL6rk5fvLAYhOoiQLKJDbntIlVRZXFcJpHQFwGJab6IyqxR3SkRi3KaxaVahh1MF4GSTcKWeemNFxaDUF0ESDaxIf/J+nqz8/CrKGm4y0fa96llF37QVZRB9JgseohVlEG0vh+KoFrLDn3mrzQ8ONK+y42frwnp9+07BotLFj1I3+kXrTsVQbWWLUP3HX2XT1rpc4rUj7LKcHy0tO+Ghz2pSOorfRTDWDOMTQxjMsMgPau92UdB6BpO/WMThu6EBI6DGKfE+UhN16MqM3Qy+3562LvHlPixEj82iB+TxQ/Su4TqUaX+MMjXHZCg/yB6lTwfyfJ8lMfqn1T9U5yPikT9k6veZjh4TQorLP7CLsTm29Pk+VgBjRXQWAGNFdBYAY0V0NgANCYDDdL79PFriujRo1yfxqaY1Ie+fkFRqQ99nZmBS/dcAtgrhj701rZ0v2XwrpQ2xipoBRmg/4asX3jrx5VfA8pvycqlj3L6ALdaJQMoIzJKd0hzo/h2oueA/jFZP+fWtpRna2HbIxNFsFY8W4hZWSSTqEzkPBJxnkfldJpE8yyrFtkim1aL+cvOnBpqU0pCr9rI3C8UaAwCbUpJdyZmxIa8LDJspvPJIqsiKcRU73Euokkey0gkTTlLmsks05sVB9JFoOyHtKYC+uKFxSBUFwGyH2zI6yL51cgd+vxZ6d7mf1dat/kr81VgQ1gct/4bsn5ei+NWfktW3n2o3PPqDp2oBlBGZJQhLI5b/5isn9XilGdrYdsWhyK43ROYV9N0lspoEhcTNdfpuuk8jqM0jvN5Mi0nlTiYy2AklHeT1iTUdijQGISav4C8Gxty4NMvcvf7LO/m1gPG8qBLckD/DVk/63wFKL8lK+8+RO5BcodOVAMoIzLKAPMVoH9M1s85X+Xx2VrY1nxFEnxs81UOvdSVW8/I2w4FGoNA81UOvNTFhrxebyUHcuFH7n596d3cmiSszCUYQ0xgbv03ZP28E5hb+S1Zefepco+aO3SiGkAZkVGGmMDc+sdk/awTWHq2FrY9gVEEa8WTJBG5FFWUJ1MZCVEWUSOnRbRoilk8S0qZ59XLQ5nAoPcJc2s+ejsUaAxCTWDA+4RsyMs95UWZzhshokboutmkmkbNJFtEcZrIMi0S2cjD6SLQ+4S58I0XFoNQXQR4n5ANue0iIlkUcdFUUZHMC/XdOFF+aJFGxWSRVrNcLuThZKZyCXUR6RsvLAahuog7kTpiQ267SJmX6bSYqXEmK+JI5PNFVE1FE2VVFleLajLJ5gfz0kUOJS/z3DdeWAxCdREgecmGrFdK58u7N4MukNzZuXdze3bOXGc8xALJrf+GrF9468eVXwPKb8nKuw+T25Xv0IlqAGVERhligeTWPybrZ10gFWdrYdsLJIrgo1sgQS8L5vbkXM8VylgMQs1b7gTqiA35+BZIUNJSs/nFC4tBqC4CJC3ZkI9ugVTESBcprC+99cULi0GgLlK401ojNuTAee3CnSN5t7DnSNIu+5CuF9B/Q9YvvPXjyq8B5bdk5d2HyG21duhENYAyIqMM4HoB/WOyfk7XWyRna2Fbrpck+Nh2a4oUmq9sGZKeUKAxCDVfubNYIzbk47M0UOaosF7s1RcvLAahugiQOWJDPrqFUQFljvSlJn7xwmIQqosAmSM25KPbXimgzFEhfeOFxSBUFwEyR2zIoRdG7pTIu4UtJSLyoC+oAPpvyPqFt35c+TWg/JasvPsQud34Dp2oBlBGZJQhFkZu/WOyftaFUX62Fra9MKIIPjrXC71gWdgyIz2hQGMQar5yZ69GbMjH53qhjFFhv9irJ15YDEJ1ESBjxIbcdpF4lle5lE00L/MsEhMRR5OJnEfzaTkpF01ezUVzMF0EyhgVlW+8sBiE6iJAxogNefPawKrJQx9FU7pzI++W9tyI+RSrAWwwoP+GrF9468eVXwPKb8nKu0+V23vt0IlqAGVERhnABgP6x2T9nDa4jM/WwrZsMEnwsdngEnrvrbQexLkdCjQGgSaw0p3OGrEhH91RNCWUQipt+ZTeeGExCNVFgBQSG/Ly7dlpmpbVfBHlReuHUhGV2ayKZkLmRZHEszjPD6aLQCmk0v4mTk+8sBiE6iJACokNubXBLXi3D3QDAZ09SYpDe1BoKc9HZXk+qgxHrZfCGoGwh4Iq8WMlfmwQPyaL73oWSDxsW5YHgJb6ANBSHwBqkK8PpyXoby3My8NYXLnzK++W0sIo4qCHigD6b8j6hbd+XPk1oPyWrFz6KKePT+tx2o0yIqMMsbhy6x+T9bMuruTZWtj2yEQRrBXPZbVoFvNJNJvEjZofl3cZFVG6mCeiqibKhE9eHootgl6VK3O/UKAxCGWL3CmxERvy0hJNJiLNskU0zbMkElmuXLZcNNE8S9WCLFvEWXMw586UUBqqtOZk+uKFxSBUFwHSUGzIgcsmSnd+5d3Snl8JeisnoP+GrJ/X0riV35KVdx8i9zy6QyeqAZQRGWUIS+PWPybrZ7U05dla2LaloQg+uvkKSniW9uxf3xWVUAxCzVdAwpMN+ehcbwW9IlfZTxXsiRcWg0BdpHJnwEZsyKsDIjR1yN2ayp1WebeyvnQTp90YDGltAP03ZP2s1gZQfktW3n2Y3PPpDp2oBlBGZJQBrA2gf0zWz2ltquRsLWzL2pAEa8XVtEgm82kWzeSiipJkXkZlPM+jOJaxzMsyqeRWAiPYvAXlOStb0q8nFGgMQs1bQJ6TDXmTxNqyt91AQPkTUhzaJFal70+szkdJLPSH/lGir/BMcn2PZ6I/ckNsrO+IxXhxOkSIj0ZteqvSNytW52ONNdZYY4011lhjjTU2YY3JWEMkvqr2ykV9qacG05/tj5P2ss8kb6/8TNrPfjp9XyMBT/OtzioOnRer3K+mvVsJK2PQs4oB/Tdk/bxOy638lqxc+iinD3nrod+NMiKjDOG03PrHZP2sTkucrYVtj0wUwa3iatJUcZxFshFZJKpJEZXNJI1KkedpGUsxK+YvD8VpQe+KVtIvFGgMQjktdxp3xIa8NOOVLGQZ65J6kUeiqcqoKpUrm2blQqSTspotZgfTRaDUaZX7xguLQaguAqRO2ZDbLjJNqyxNkyaaVdk0EkJXn6VxHM2TpqqaIsmL+cFsRVdQ6rSy5xF74oXFIFQXAVKnbMhtF8kXZZwvZnG0SONFJKZ5FZWzqoqm87mI82wxiUVxMF0EeoOvsiZu+uKFxSBUF3En10ZsyIGz65U7U/NuZc/UhF0YufXfkPULb/248mtA+S1ZefchcrvxHTpRDaCMyChDLIzc+sdk/awLo+psLWx7YUQRfGzzVRJDuVP1Nb9goFEINGMpHmePHfFBH53zTWLorT31Nd+IYVEI1k3cubURH/TRbbMkMZTRUl/zjRgWhWDdBMhp8UEvt1pEJSa5jKOy0O+Cqu4VTVL1G/LZJFP/pzpVeTBHhCYx9Pae+ppvxLAoBOsmwPt7fNCBF0pJ7N49V00urPRBr3NBCG7oBMKbANd+jWi/pWvvPkxuj75DV6oRmBEdZoAFE0IwphNwLpmUqrONtK1FE03z8a2aoHyS+ppfMNAoBJvAgIwSH/QRrpqgnJL6mm/EsCgE6yZAVokPelnfNZlW5TzLIzmdyUhMpkVUJUkelVUxTabTpJnlB1O+nsRQXkl9zTdiWBSCdRMgs8QHfYSLayi3pL7mGzEsCsG6CZBd4oNen/63avXQdXhJ7N5qV13AunWthhuTcRxkFeUmuKETCG8CXPs1ov2Wrr37cLlt+w5dqUZgRnSYQVZRboIxnYB3FVWdbaT1rKIomrXoZJLNs1RKNapNcjWqzYuoaaZllBaVsklJWlaTgznmLUmw3FNiTcNsBwONQqgJLUFyT2zQyxOPRTwplRmK8rmaAcW0aqJKZDLKF1W+aOblQmSLw+kmWO4psb8y1BMxLArBugmSe2KDbrtJOYllUpQyyqQsIpGrzqVPTI6m02yq//hpPqkOp5tguafEmobpixgWhWDdBMk9sUGv7fEqtxTcHifuFIvqAvaXccyH7A1hjwGCGzqB8CbAtV8j2m/p2rsPl9uP7dCVagRmRIcZwh4DBGM6Aas9TrKzjbRte0zSrEWLLFnMRCyieFZlelTLo6pKEmWZ5s10uoiTND2cLHkC3YGnvuYXDDQKwSY0d2psxAe93D3OinJaJDJKmmkSiXgho3IWV1EiJ1WSzmPlmmaH002wXFQifSOGRSFYN0FyUWzQa9+TrFbT4Y2PO+ei+kBuC0cS9ORahOCGTsBsfNzab+nau0+Xe6bdoSvVCMyIDjOI8XETjOkEvMYnP9tI6zE+FM1a9EykhSyKJMrSaanPx5hHkyROo1mS58lkGjdNdThp8wTLhybW1OB2MNAoBJvRkHwoG/Ty1LeqKOKyqqJcqu+KNGuiySSPI1Et5mUpJvNytjicboLlQxNrarAvYlgUgnUTJB/KBn18RTgJdICk+ppvxLAoBOsm7tzYiA/6+Er6UiwZlVrzMn0Rw6IQqpukSDKKDTp0TXrqzrGoJre/3xO2mgIguKETCG8CXPs1ov2Wrr37MLlt+g5dqUZgRnSYIVZNAMGYTsC6akqTs4207VUTSfPxTWBY/jO1pgK3g4FGIdgEhuQ/2aCPzw6n2Lt3qf01tJ6IYVEI1k3cubARH/TyFU05m+bJIo2EzNSHkFXUiEkRNdMmm+RNLkWVHk43wZJP2iH4RQyLQrBugiSf2KDbbtLMi7wpFnE0K9NELcSTLJrEjYxmYlY1cVkm5SI5nG6CJZ90U/pFDItCsG6CJJ/YoDfJJ7EkD558St377aoP2PeuzSf8DrKMchPc0AmENwGu/RrRfkvX3n263L59h65UIzAjOswgyyg3wZhOwLuM0smnlbSeZRRFsxa9EPOmyvNJ1Kh/6wxEE5XxojnIM/mTFEs+pfY8zFYw0CgEm9GQ5BMbdNtN5Lwq5qKUao21ULNf0+RRNRHzSMbzmUzTfNHM8sPpJljyKbXnYXoihkUhWDdBkk9s0K3xWb642e0I3VhA1wCQQtHe35Bk8fkoLSr1UUlTGOzJFfw+PIgFn6jamxo0wFgDjE0AYzpAd5KCAOB5ankngwZ49EgTqE8Dgp60KAytuQ7ew/QtIJm+D0ToHwmpP/RFIVJfGSL1j3J9ZYhaSIySQn+l0F8pY/3R/kh/RV80kuibRlJ900gal+ojSfSH1B/6p/q6kTTVP031T/Xfm2b6y5n+qf7LU6F/KvRPpf6p1F+W+qe5/mmu/2uu/45CGJ6FzJ5Bwk+vhKLu/Szom0kyfUeJ0D9SoR7rUI91qMc61GMd6rEO9ViHeqxDPdahHutQj3WoxzrUYx3qsQ71WId6rEM91qEe61CPdajHOtRjHeqxDvVYh3qsQz3WoR7rUI91qMc61GMd6rEO9ViHeqxDPdahHptCPaaHepintr0nJWvvTBHtj1W09Wd7o4psb1eR7Y/z9nYVFXL1WbTfLNpvlnH7ufxx+832epakvZ8lbe9n0bFXn0nSfsr2s/2V9pYW3QD6s/2VVo9uA/3Z/kqrSjeD/mx/Rba/ItvfJdtfydtfydvv5O3fa2iOdpwitMcrc5xe/gZd3WfuvNC76ktWyrBJUoDghk4gvAlw7deI9lu6dumjnT6jre0jADOiwwyxugcIxnQC1tV9ppOkmSlJStLcGqVmkc3TahJNJkm5uXpNHObqPsOSpJk1X7gdDDQKoZZtGZIkZYNevkucl+m0mBVRkxVxJPL5IqqmoomyKourRTWZZPPDefUqw5KkmTVf2BcxLArBugmSJGWDXhaqK+clk8kkKmSRbLpUfKCjCZYkzYRvxLAoBOsmSJKUDXrpjaeyyWKhvjFbNJGokjiqJrKJ4maqfqGUIiuaw+kmWJI0k74Rw6IQrJsgSVI26NClpZk7DaSa3JpSycsu/bCrJjfBDZ1AeBPg2q8R7bd07d2HyW3Td+hKNQIzosMMsmpyE4zpBLyrJp0TXUnrWTVRNGvRjWjiNIknUTlZCOWJRB41yaSKFtNJPlWTZ1xMDueA0gzLiWbW9OB2MNAoBJvAkJwoG/QR+hwsJ5rZz+rsiRgWhWDdBMmJskEf4aoJeyEvs2bu+iKGRSFYN0FeyGODPr6tOoG9kCfsl3T1RAyLQqhuIpAX8tigQ6+ahHt7XTW5/X2esOe3AQQ3dALhTYBrv0a039K1dx8mt03foSvVCMyIDjPEqgkgGNMJWFdNQueahCnXRNJ8dHZYYLkmYU27bAcDjUKwCQzJNbFBH1+uSWC5JmF/N60nYlgUgnUTJNfEBr3cg4ml6kblPMrz6TwSE30kYJHLaFqlYi6mcVM2xeF0EyzXJIRvxLAoBOsmSK6JDTq4HXanUFSTSxt9EXfph7XDboIbOoHwJsC1XyPab+nauw+T23/t0JVqBGZEhxnEDrsJxnQCXjsszzbSeuwwRfPx2WHsMjxhzahsBwONQrAJzJ36GvFBt92kkKKZy1kZyWmSRUJUcTTJJ0m0aKppEc/Vf23k4XQTLNckrGmXvohhUQjWTZBcExv0EdphLNckrGmXvohhUQjWTZBcExt0cDvsTqGoJremUIqwh1wDBDd0AuFNgGu/RrTf0rV3Hya3/9qhK9UIzIgOM4gddhOM6QS8dlhffreS1mOHKZqPzg5LLL0prZm+7WCgUQg1gUkkvckGfXzFEhK7/E5aMyp9EcOiEKybuFNfIz7o40siSCzXJK1pl76IYVEI1k2QXBMb9PHV1Egs1yStaZe+iGFRCNZNkFwTG3ToVZN0p1BUkwsrfdqlH3TVBBDc0AmENwGu/RrRfkvX3n2Y3DZ9h65UIzAjOswQqyaAYEwnYF01SXG2kba9aiJpPr5VE/YqnZR+wUCjEGwCc6e+RnzQR7hqwnJN0p526YkYFoVg3QTJNbFBH1+uSWK5JmlPu/REDItCsG6C5JrYoI9w1YTlmqQ97dITMSwKwboJkmtigw6+anJvr6smt29Vhz3TGiC4oRMIbwJc+zWi/ZauvfswuW36Dl2pRmBGdJhBVk1ugjGdgHfVpHNNK2k9qyaK5qOzwzmWa8rtaZeec3uxKISawHIk18QGfXx2OMdyTbk97dITMSwKwboJkmtigz4+O5xjuabcnnbpiRgWhWDdBMk1sUH/yerOl5Xt0o0f9FDY3J1SUV3AflRc2Bd1AYIbOoHwJsC1XyPab+nauw+X24/t0JVqBGZEhxnCHgMEYzoBqz3Os7ONtG17TNKsRctELoqZyKKsmieRyPI8mlSzKkqbeTYTSTxVP3t5MBMa9mpdLvyCgUYh2ITmToWN+KDbbpJPJmWTNVVU5JmIRLyooomcqo84TabzTP1BiTycboLlnnLpGzEsCsG6CZJ7YoNedhPoMtZD6SZY7im3pmF6IwZFIVg3QXJPbNChd4tzd0pFNbk9pWK+T2cQO+wmuKETCG8CXPs1ov2Wrr37MLn91w5dqUZgRnSYQeywm2BMJ+C1w8XZRlqPHaZoPr4JDEt35vbM31Yw0CgEm8CQdCcb9BHaYewYx9yeYemLGBSFYN3EnQob8UG33WSeNFkmpkU0lVO1wpqKNJoImUSLiUgrOS0mC53UOJBuUmC5p8KehumJGBaFUN2kQHJPbNCh7XDhTqmoJrenVMwX1Q1hhwGCGzqB8CbAtV8j2m/p2rsPk9t/7dCVagRmRIcZwg4DBGM6AasdLvQxjoXpGEeS5qOzwwWW7izsmb+tYKBRCDaBIelONujjs8MF9mpdYX/LrC9iUBSCdRN36mvEB912k8VMVtVceaLFpJlFoplPoyZNsqisqng2z3M5WxxQN8FyTYXwjRgWhWDdBMk1sUEHt8PuFIpqcmmlz7v0w9phN8ENnUB4E+DarxHtt3Tt3YfJ7b926Eo1AjOiwwxih90EYzoBrx3WxziupPXYYYpmLbpIJnOZpotIzpOJGsXyJKqaSaLmvmIaT5K4zLPZy4OZwLD0ZpH7BQONQrAJDElvskEvfU4l5TybZlEiy2ZdKTirDrNItMBerSvsGZWeiGFRCNZN3KmvER/0Ea6asFxTYU+79EQMi0KwboLkmtigl6d9JuUkz6tpJKX6DWKSNWrkUf65FNl8Ma+yeJFND6ebYLmmwp526YkYFoVg3QTJNbFBh141le4UyrvqS1b6rfuDB101AQQ3dALhTYBrv0a039K1dx8mt03foSvVCMyIDjPEqgkgGNMJWFdNZXy2kba9aiJpProkQom9WlfaMyo9t6FjUQg1gZXu1NeID/r4Vk0llmsq7WmXnohhUQjWTZBcExv08a2aSizXVNrTLn0PFhSFYN0EyTWxQR9f6VWJ5ZpK4RsxLArBugmSa2KDDr5qcm+vqyaXVvqt+4OHXTW5CW7oBMKbANd+jWi/pWvvPkxum75DV6oRmBEdZpBVk5tgTCfgXTXpXNNKWs+qiaL5+FZNWK6ptKddem5Dx6IQbAJDck1s0Edoh7FcU2lPu/RFDIpCsG6C5JrYoI+v9KrEck2lPe3SEzEsCsG6CZJrYoMObofdKRTV5PYUSthzagCCGzqB8CbAtV8j2m/p2rsPk9t/7dCVagRmRIcZxA67CcZ0Al47rI9xXEnrscMUzUdnhyvsVbrKnlGhH7LQ98w54Xd/7ip36mvEB318SYQKyzVV9rRLT8SwKATrJkiuiQ36+FZNFZZrquxpF/rJPqG6CZJrYoM+vsPRKizXVNnTLvRzwkJ1EyTXxAYdetVUuVMoqsmFjb6Mu/SDrpoAghs6gfAmwLVfI9pv6dq7D5Pbpu/QlWoEZkSHGWLVBBCM6QSsq6ZKXxm2kra9aiJpPr5VE3ZsYyX9goFGIdgE5k59jfigj3DVhOWaKmvapS9iWBSCdRMk18QGfYSrJizXVFnTLr0PFhSFYN0EyTWxQR9f6VWF5Zoqa9qlL2JYFIJ1EyTXxAYdfNXk3l5XTW7dqi63rpkedtXkJrihEwhvAlz7NaL9lq69+zC5bfoOXalGYEZ0mEFWTW6CMZ2Ad9Wkc00raT2rJormY1s1pTGUa1Jf8wsGGoVAE5jicfbaER/00a2a0hjKNamv+UYMi0KwbgLkmvigj27VlMZQrkl9zTdiWBSCdRMg18QHfXQVemkM5ZrU13wjhkUhWDcBck180H+yulmuXIKLl2Fvlktj93a76gLCFo006CoKIbihEwhvAlz7NaL9lq69+3C5bfsOXalGYEZ0mAFWUQjBmE7AuYpSqs420rZWUTTNWjSWQT+UCQ3KPamv+QUDjUKwCQ3IPfFBt91ElMoWTUUeiVJmkSjUb5hMszjKRDwr0vkiFtnB7BanMZR7Ul/zjRgWhWDdBMg98UEf4Z4MlHtSX/ONGBaFYN0EyD3xQQdOKqSxO6WimtyeUkm79MPaYTfBDZ1AeBPg2q8R7bd07d2Hye2/duhKNQIzosMMYofdBGM6Aa8dLs820nrsMEXz8U1g0DGO6mt+wUCjEGwCc6fCRnzQx7dqSrDcU2JPw/REDItCqG6SILknNujQPidxp1RUk9tTKlmXflCfAxDc0Al4fQ6g/ZauvfswuSfWHbpSjcCM6DBD+ByAYEwnYPU5SXK2kbbtc0iaj87nJFi6M7Fn/raCgUYh2ASGpDvZoI9v2y/B0p2JPfPXEzEsCsG6CZLuZIM+QjsMHeOovuYbMSwKwbqJO/U14oMObofdKRTV5NJK338f/flQdthNcEMnEN4EuPZrRPstXXv3YXL7rx26Uo3AjOgwg9hhN8GYTsBrh+XZRlqPHaZoPj47jKU3k9wvGGgUgk1gSHqTDfoIfQ6W3kysmb6+iGFRCNZNkPQmG3Rwn+PO6Kgmt2dHzJejD+Jz3AQ3dAJmn+PWfkvX3n2Y3BPrDl2pRmBGdJhBfI6bYEwn4PU5Or2ZmNKbJM3H53Ow9GZiz/T13YYORSHYBIakN9mgj8/npFh6M7Vn+noihkUhVDdJkfQmG3Ron5O6Mzqqye3ZkaBXwCMEN3QCXp8DaL+la+8+TO6JdYeuVCMwIzrMED4HIBjTCVh9TqrTm6kpvUnSfHQ+J8XSm6k909d3fzEUhWATGJLeZIM+vvRmiqU3U3umrydiWBSCdRMkvckGfYR2GEtvaofgFzEsCsG6CZLeZIMObofdGR3V5NJKH/Rub4Tghk4gvAlw7deI9lu69u7D5PZfO3SlGoEZ0WEGscNugjGdgNcO6/TmSlqPHaZoPj47jKU3dVfyCQYahWATGJLeZIM+Qp+DpTdTe6avJ2JYFIJ1EyS9yQYd3Oe4Mzqqye3ZkaC38SIEN3QCZp/j1n5L1959mNwT6w5dqUZgRnSYQXyOm2BMJ+D1OTq9mZrSmyTNx+dzsPRmas/00S+m7XvmnPB7eO6Q9CYb9PH5nAxLb2b2TF9PxLAohOomGZLeZIMO7XMyd0ZHNbk9OxL0mlWE4IZOwOtzAO23dO3dh8k9se7QlWoEZkSHGcLnAARjOgGrz8l0ejMzpTdJmo/O52RYejOzZ/roN472PXNO+D08d0h6kw267SZTOZ9VcVlFzVxKfWJpqb7bZFG8SMt8ks6aZiIPp5tg6c3MnunriRgWhWDdBElvskHrw2rVb9bcQQ+pzdzZO9X0whaFNO1GYVi/4ya4oRMw+x239lu69u5D5Z5gd+hKNQIzosMM4nfcBGM6Aa/f0YfUrqT1+B2K5uNbsGOH1GbSLxhoFIJNZO6s64gPemmLoYP8D6WbYGnOLPeNGBaFYN0ESXOyQR/h6glLc2bWjF9vxKAoBOsmSJqTDTr49p87s6Oa3JolqeIu/bB22E1wQycQ3gS49mtE+y1de/dhcvuvHbpSjcCM6DCD2GE3wZhOwGuHdZozM6U5SZqPbwLD0pyZNeO3HQw0CsEmMCTNyQZ9fKsmgaU5hTXj1xcxLAqhuolA0pxs0KF9jnBndlSTW7MkVdi7qQCCGzoBr88BtN/StXcfJvfEukNXqhGYER1mCJ8DEIzpBKw+R+g0pzClOUmaj87nCCzNKawZv+1goFEINoEhaU426CP0OViaU1gzfn0Rw6IQrJsgaU426OA+x53RUU0urPRpl35Yn+MmuKETMPsct/Zbuvbuw+SeWHfoSjUCM6LDDOJz3ARjOgGvz9HpzZW0Hp9D0Xx8PgdLbwrpFww0CsEmMCS9yQZ9fOlNgaU3Re4dMSgKwboJkt5kgz5CO4ylN4U109cXMSwKwboJkt5kgw5uh90ZHdXk9uxI2LupAIIbOoHwJsC1XyPab+nauw+T23/t0JVqBGZEhxnEDrsJxnQCXjus05vClN4kaT4+O4ylN4U900e/pqnvmXPC7+G5Q9KbbNDH53Mklt6U9kwf/f6dQN1EIulNNujQPke6Mzqqye3ZkbCXDgEEN3QCXp8DaL+la+8+TO6JdYeuVCMwIzrMED4HIBjTCVh9jtTpTWlKb5I0H53PkVh6U9ozffT7d/qeOSf8Hp47JL3JBn18234SS29Ke6avL2JQFIJ1EyS9yQZ9hHYYO6RWCt+IYVEI1k3cqa8RH3RwO+xOoagml1b6sHdTAQQ3dALhTYBrv0a039K1dx8mt//aoSvVCMyIDjOIHXYTjOkEvHZYH1K7ktZjhymaj88OY+lNmfsFA41CsAkMSW+yQbfdZDGTVTWfFtFi0sz0yRbTqEmTLCqrKp7N81zOFvJwugmW3pT2TF9PxLAoBOsmSHqTDTq4z3FndFST27MjYe+mAghu6ATMPset/ZauvfswuSfWHbpSjcCM6DCD+Bw3wZhOwOtzdHpTmtKbJM3H53Ow9Ka0Z/ro1zT1PXNO+D08d0h6kw36+HxOjqU3c3umrydiWBRCdZMcSW+yQYf2Obk7o6Oa3J4dCXvpEEBwQyfg9TmA9lu69u7D5J5Yd+hKNQIzosMM4XMAgjGdgNXn5Dq9mZvSmyTNR+dzciy9mdszffT7d/qeOSf8Hp47JL3JBn2EPgdLb+b2TF9PxLAoBOsmSHqTDVofUqvJk9VdrGpACntabe5O46k+IGzhSMPWdQEEN3QCZuPj1n5L1959utwz7Q5dqUZgRnSYQYyPm2BMJ+A1Pvp1zpW0HuND0dwan0xXalRqHIuFGtZkPokmcTOPsiaNK9HMsmJRvTyYGQ17nTOXfsFAoxBsRnOnX0d80EvjM01muZoYo1yUWSTyUkRlOq+i2TSeVbO4iefx7HC6CZbvzHPfiGFRCNZNkHwnG3TbTZqsmSRlEkdZks8jkSRlVMXzRnnptJrJaZnFRX443QTLd+bW1F9fxLAoBOsmSL6TDbrtJmVeptNiVkRNVsSqS80XUTUVTZRVWVwtqskkm5eH001KrJtYUyx9EcOiEKybuHNhIz7oP1ne9aFcTeDVkzu3opremltJw5YBAgQ3dALhTYBrv0a039K1dx8qt13foSvVCMyIDjPI6slNMKYT8K6eqrONtJ7VE0Xz0a2eCizvWVhTgNvBQKMQaiIrkLwnG/Tx+Z0iwbqJNdXSFzEsCsG6iTsnNuKDPr5FdoEloQprPqYvYlgUgnUTJAnFBn18i+wCS0IV1nxMX8SwKATrJkgSig16tXrSjiro6qlwb7erphfWKIQtLgYIbugEwpsA136NaL+la+8+VG67vkNXqhGYER1miNUTQDCmE7Cungqde1pJ2149kTQf3+oJyz0V0i8YaBSCTWRI7okN+ghtMZZ70tO0X8SwKATrJkjuiQ36CG0xlnsq7GmYnohhUQjWTZDcExv0Ee7FYLmnwp6G6YkYFoVg3QTJPbFBtyV8LXq3H3RD8c359KP3PnifIRL1i6dfGaVlfK4+Mv2R649KfVTGeNg3sfGKc4gK978aZaxRxhplrFHGGmVsQhnTUbouGEKBjbAmUX5XoejPrP3M289KfxpwtEOm8Gig1RI3eBFp6d5Df1d9yUpZGVttiIU8QHBDJxDeBLj2a0T7LV279NFOH9HWYzsAM6LDDLGQBwjGdALWhXwZn22kbQ9TJM2t9RZNnCbxJConC6EmVpFHTTKposV0kk8TtdQrJpOXh+KpSiy/VdpTPVvBQKMQylOVSH6LDbrtJiLLpEgmMkoWk3mUJGohV8bzIopjGcu8LJNKblmucN0Ey2+V9lRPT8SwKATrJkh+iw16/fbMagUW3ve40ziqC1jTOFnYO18Bghs6AbPvcWu/pWvvPlzuiXaHrlQjMCM6zCC+x00wphPw+p7sbCOtx/dQNLc701mTTisZR6VaAkZiMkuiqpioj0xOZ0VVzJvJAU1o2DGmpfALBhqFYBOaO+024oM+vpfLSyzPVUrfiGFRCNZNkDwXG3To01FKd/pGNXluo6/KLv2wPsdNcEMnYPY5bu23dO3dh8k9se7QlWoEZkSHGcTnuAnGdAJen5OfbaT1+ByK5uObwLDUamnNMm4HA41CsAkMSa2yQR+hHcZSq6X95MSeiGFRCNZNkNQqG3Rwn+N+g0k1uTVbVwXOY7kJbugEzD7Hrf2Wrr37MLkn1h26Uo3AjOgwg/gcN8GYTsDrc/TrfCtpPT6HovnofE6Fvc5X2U/07Nmrx6IQagKr3NnXER/08fmcCkt3VvaTE3sihkUhWDdB0p1s0KsXcHSjB81fVe5snmp6azYvS7tRGNTvAAQ3dAJevwNov6Vr7z5U7gl2h65UIzAjOswQfgcgGNMJWP1OlZ5tpG37HZJmLTopylk8L0TULLJ0k5VvDrMgo8LeJK3sybytYKBRCDaRubOuIz7oI7TFWJqzEr4Rw6IQrJsgaU426E3JfNbtB91QQBXZpEgsS+ar/HyUxbH+yPRHoT4S/dNE/zTRP031T1P901R/Oa3Uh2JXH1J/6J+K3BRBaY3g1vXvxgkOigM+xy2L7BX8WMOPNfxYw481/FjDjzX8WMOPNfxYw481/FjDjzX8WMOPTfBjOnx3boTg4elxVZZf6VJ8Ta8/s/az0J9J+ytJ+ytJ+ytp+ytp+ytp+7tSXcCv46A/ZfvZ/oohFPpvo8SiDcYyFsFL2yp3lkuNktaMURb2ZDOA4IZOILwJcO3XiPZbunbpo50+4m7mHjfMiA4zyNLATTCmE/AuDXTKdyWtZ5iiaNaisWuaD8XzYSnfypr93A4GGoVgng9J+bJBL0v6y3hRTUUeiVJmkSjUb5hMszjKRDwr0vkiFll8ON0ES/lW1uxnX8SwKATrJkjKlw36CFeQ2DWClTXL1BcxLArBuok7HTjigw5cGaDWDU76d9WXLPRSLT1MDmAAO4wQ3NAJhDcBrv0a0X5L1959mNz+a4euVCMwIzrMAHYYIRjTCTjtsFJ1tpG2ZYdpmo9tAstiKOWrvuYXDDQKgSYwxePstSM+6KNbNWVxinUTW3apN2JYFIJ1E3cacMQHHdznuNNJqslt6SQZB32jFSG4oRMw+xy39lu69u7D5J5Yd+hKNQIzosMM4nPcBGM6Aa/Pyc420np8DkXz8fkcKNWrvuYXDDQKwSYwINXLB73sJpNJ2WRNFRV5JiJ9lGc0kVP1EafJdJ6pmTCRh9NNoDda1de8IwZFIVg3Ad5o5YNenguUlJM8r6aRlI2ulsyaqNIX55Yimy/mVRYvsunhdBPo5Fb1Nd+IYVEI1k3cqa8RH3RwO+xOoagmt6VQpFpGmRzAIHbYTXBDJxDeBLj2a0T7LV1792Fy+68dulKNwIzoMIPYYTfBmE7Aa4eLs420HjtM0Xx8dhhKb6qv+QUDjUKwCQxIb/JBH6HPgdKb6mu+EcOiEKybAOlNPujQPidxZ3TeVV+y0pvrO4fwOQDBDZ2A1+cA2m/p2rsPk3ti3aEr1QjMiA4zhM8BCMZ0Alafk+j0ZmJKb5I0H53PSbD0ZmLP9G0FA41CqAksQdKbbNDHl95MsPRmYs/09UQMi0KwboKkN9mgg/scd0ZHNbk9O7J1a/2wPsdNcEMnYPY5bu23dO3dh8k9se7QlWoEZkSHGcTnuAnGdAJen6PTm4kpvUnSfHw+B0tvJsIvGGgUgk1gSHqTDfr40psJlt7Uij0jBkUhWDdB0pts0Edoh7H0ZpL7RgyLQrBugqQ32aCD22F3Rkc1uT07EvQlX4Tghk4gvAlw7deI9lu69u7D5PZfO3SlGoEZ0WEGscNugjGdgNcO6/RmYkpvkjQfnx3G0puJPdNHf0Ot75lzwu/huUPSm2zQR+hzsPRmYs/00V+LDtVNkPQmG3Ron5O6Mzrvqi9Z6bcuDB7U5wAEN3QCXp8DaL+la+8+TO6JdYeuVCMwIzrMED4HIBjTCVh9TqrTm6kpvUnSfHQ+J8XSm6k909dz/TkWhVATWIqkN9mg224ylfNZFZdV1MyljEQzL9V3myyKF2mZT9JZ00zk4XQTLL2Z2jN9PRHDohCsmyDpTTbo4D7HndFRTW7PjvTfNn8+lM9xE9zQCZh9jlv7LV1792FyT6w7dKUagRnRYQbxOW6CMZ2A1+fo9GZqSm+SNB+fz8HSm/qZ9gkGGoVgExiS3mSDPr79nBRLb+qm9IsYFoVg3QRJb7JB/8nqHvaVIwh9WG2WurN4qgvklmiILLDvcRPc0AmYfY9b+y1de/fhck+0O3SlGoEZ0WEG8T1ugjGdgNf35GcbaT2+h6JZi56LvKhmi2k0zeeTSMTzeVQtiiaal3JSyiae</t>
  </si>
  <si>
    <t>CrF6xg9hQoMOq81SW1KvJxhoFIJNaO7s64gP+gjtMZbuTO3nttKdYqhugqQ72aCD7++4s3iqye1ZvKD3sCMEN3QCZp/j1n5L1959mNwT6w5dqUZgRnSYQXyOm2BMJ+D1OdXZRlqPz6FoProJLIPuJ80ye1KPfiV53zPnhN/9ucvc2dcRH/Tx2eEMS3dm9sxfT8SwKATrJki6kw06tM/J3Fk81eT2LF7Qe9gRghs6Aa/PAbTf0rV3Hyb3xLpDV6oRmBEdZgifAxCM6QSsPidLzzbStn0OSfPx+RzoXlL1Nb9goFEINoG5s68jPugj9DlYujMTvhHDohCsmyDpTjbodR6rWoIHz2Nl7qye6gLSEg2RBfY9boIbOgGz73Frv6Vr7z5c7ol2h65UIzAjOswgvsdNMKYT8PoeebaR1uN7KJq1aCmTaSPFLJqIhZr85mIaNeW0jOR8Xs0nk7QsdQHsoUxo2AvFWe4XDDQKwSY0d/Z1xAe9rFNOF8ksmcZRMp2mkWhmIirnsYzmi2SeVyLPyrQ5nG6CpTsze+avJ2JYFIJ1EyTdyQbddpNkUs3SaZ5EZZqpLpVmMmqSqozmVREns2ZWSDE/nG6CpTsze+avJ2JYFIJ1EyTdyQa9tsfJ6o7W8P7YnfJRfcCWPhEi7O1EAMENnUB4E+DarxHtt3Tt3afLbch26Eo1AjOiwwzij90EYzoBrz/W+c+VtB5/TNGsRYusXMRZU0ZxKmQkCpFHk4U+cVnMKpEVedxkh2N8BJb/FLZUYE8w0CiEmtEEkv9kg267SdFUuYyzeSTLslImqSyjpljk6qfxdDKZ5Hk6mR9ON8Hyn8KWCuyNGBaFYN0EyX+yQR/falukWDexpVx6I4ZFIVg3cefGRnzQy2RUnM6zaTxTHalKoySZV1EZzydRHMtY5mWZVDI9nG6CJaOELS/TGzEsCsG6CZKMYoNejibzJk0KWUSlfr1GzBaqc80Xlfqtk6Js5qpjJbPD6SZYMkoI34hhUQjWTZBkFBv0Mme5mMzSbLKIFk0zi0SWptEkaYoonmZVOU3FvN07PJRugr17J6RvxLAoBOsm7sTEiA86dG2WcG9wqya3bXDLJO7SD7oHAxDc0AmENwGu/RrRfkvX3n2Y3Iv+HbpSjcCM6DBD7MEABGM6AesejNDv2q2kbe/BkDQf3wSGJZ+ELQ/TEww0CsEmMCT5xAZ9hHYYSz4J6ymbfRHDohCsmyDJJzboI1xcY0eLCtv2dm/EsCgE6ybuPMSID/r4tuoktvEvre8A9T5YUBRCdROJbPyzQR/fxr/ENv6l9R2gvohhUQjWTZCNfzbo40sjSmzjX9r2wHsjhkUhWDdBNv7ZoNvCmLavbL1A0I3FN+fTj9774H2GUNQvnn5FMYrzUVZKUwTse9ppNwLGxTOEga+ftfax1j42aR/TtXeXzZB2eOWspasFstKuPg3i9X+nqNfyt4zK4D1Kqh4lS/WRJ/pDd7C8UB9FrD8y/ZHrj0r3POOzJ6z8+A2/EK53z5Oq5ynGsWYca8axZhxrxrFmHGvGsWYcmxjHdMZheqjUPVRBqk9FqT/bPqs41acC1Z9Z+5m3n1Xbo/th2x5PoG0XcUva4NWD0r1vryZKaaUMe9sRQHBDJxDeBLj2a0T7LV279NFOHyE39sMNM6LDdIdAN4xvV3qOEIzpBKw711K/XbOS1jNMUTS3mwjQ2ZeHYvuxt2tk7hcMNArBbL873zLig267SZmX6bSYFVGj5tBI5PNFVE1Fo35rFleLajLJ5uXhdBMswSGtL5r0RQyLQrBugiQ42KBDZ+ile99eNbl93z7sWxIAwQ2dgNnnuLXf0rV3Hyb3xLpDV6oRmBEdZhCf4yYY0wl4fU55tpHW43MomtvlGHSExqFMYFhOTdrTS321m1AUgk1gSE6NDXpZyJE0WSamRTSVU+WJpiKNJkIm0WIi0kpOi8kijw+mm+RYTi23p5f6ivKgKITqJjmSU2ODDu1zcneqSDW5PVWUdukH9TkAwQ2dgNfnANpv6dq7D5N7Yt2hK9UIzIgOM4TPAQjGdAJWn5MnZxtp2z6HpPnofE6OpXFze0ZzKxhoFIJNYEgalw267SaLmayquZrsFhNdtdjMp1GTJllUVlU8m+e5nC3k4XQT7P2t3HquXl/EsCgE6ybI+1ts0MF9jvu1JNXkwkpvzkUO4nPcBDd0Amaf49Z+S9fefZjcE+sOXalGYEZ0mEF8jptgTCfg9TnibCOtx+dQNB9dQiLHXhnMpV8w0CgEm8Dc2dYRH/TyVDjoCuND6SZYejPPfSOGRSFYN0HSm2zQwX2OO2unmtyWtZOJ6NIP63PcBDd0Amaf49Z+S9fefZjcE+sOXalGYEZ0mEF8jptgTCfg9TnF2UZaj8+haD4+n4O9Mpjbk3hbwUCjEGwCc2dbR3zQx1fGlWPpzdye6euJGBaFYN0ESW+yQYf2OYU7a/eu+pKVPmwdMkBwQyfg9TmA9lu69u7D5J5Yd+hKNQIzosMM4XMAgjGdgNXnFPHZRtq2zyFpPrq8VYG9pVrYk3g9tZZYFEJNYIU72zrigz6++pwCS28W9kxfT8SwKATrJkh6kw06uM9xZ+1Uk9uzdnmXflif4ya4oRMw+xy39lu69u7D5J5Yd+hKNQIzosMM4nPcBGM6Aa/Pyc420np8DkXz8fkc7ETUQvgFA41CsAnMnW0d8UEfX31OgaU3C+kbMSwKwboJkt5kgw7uc9xZO9XkuZW+6NIP63PcBDd0Amaf49Z+S9fefZjcE+sOXalGYEZ0mEF8jptgTCfg9Tn6RNSVtB6fQ9F8dHmrAnthuLAn8baCgUYh2ATmzraO+KCPL29VYOnNwp7p64kYFoVg3QRJb7JB61PHzpfH6QQ9R6dwZ+9U09uyd0IE3tdxE9zQCZj9jlv7LV1796FyT7A7dKUagRnRYQbxO26CMZ2A1+/oW/hW0nr8DkWzFp2lUjRqsRZNpjKLxCStIn0ueFQVajwrZDNNRfPyUCayEntxuLRfSNezdsWiEGoiK91Z1xEfdNtNmmY6nyyyKpJCTCNRlItokscyEklTzpJmMmsPAz6UboKlOUv7hXQ9EcOiEKybIGlONujQ+zqlO3unmtyevSu79IP6HIDghk7A63MA7bd07d2HyT2x7tCVagRmRIcZwucABGM6AavPKdOzjbRtn0PSfHwTGPbicGlP5m0FA41CsAnMnXUd8UEfoR3G0pyl8I0YFoVg3QRJc7JBL0+T1+jdftANBXRONCkSy6O/S32ud6nP9a5S/WE6Vr6UllAIgWcgICB8sloe7l3qk7tLfXK3ohibKMZ0iu5sBVHAE9bq+O6yPZS7bA/lVhz603jYPIlEo6wOmw9+NHfpzhqpUSe3UlbG9hrEarsJbugEwpsA136NaL+la5c+2ukj2GYsd8OM6DCDWG03wZhOwGu1dQp1Ja1nmKJoblOoVTqrFuUsWiwmul5Iv8BczNIozdJ8kk8rUWarJ+QQPBSWQi1t2cSeYKBRCOahkBQqG/TxVRSWWAq1tGUTeyOGRSFYN0FSqGzQwbcU3dki1eS2zItMAvscN8ENnYDZ57i139K1dx8m98S6Q1eqEZgRHWYQn+MmGNMJeH2OTp2upPX4HIrmo5vAKix1Wtnfg6SP5X3PnBN+9+euQlKnbNDHZ4crLHVa2V+WpDvDUN0ESZ2yQbdbiueb6yl14wfd36nc2SPVBWyZGCHDXkkCENzQCXh9D6D9lq69+3C5J9odulKNwIzoMEP4HoBgTCdg9T2VTqVWplQqSbMWPZ1nRZHNsmgiJvNIiLiMJkUzj8pUFqKZJmlZHs797RWWSq2sF8BuBwONQrAJDUmlskEfoT3GUqmV8I0YFoVg3QRJpbJBh97fqdwvQqomlxZ6mcZd+mF9jpvghk7A7HPc2m/p2rsPk3ti3aEr1QjMiA4ziM9xE4zpBLw+R18xu5LW43Momo9vAsPOYK5yv2CgUQg2gbmzryM+6LabxNl8ms+LJJql01kkykpElVRrfrXcz5MkloVcVIfTTbB0Z2XL/PVGDItCsG6CpDvZoJclY5pddDtCNxZQcRIpFMuasao6H4k40R+p/hCmWFhzejLtxmLYmjFFMdYUY00xNlGM6RTd6QqigGesVc1YpavFNIb+TNvPfhD9XQqJRlmtxHWzhN1TdKeP1LBjS8UIGfa4eIDghk4gvAlw7deI9lu6dumjnT6CbQZzN8yIDjOI13YTjOkEvF5b51JX0nqGKYpmLXqRVRNZpWWUJckiSpL5PKqqWESzJM+TyTRummr1jIc3USKGcqnqa37BQKMQyEQpHmevHfFBr5Nkq1YPVQRtaGrrW5Uy6PkJSpyz3W7oBKwTF6L9lq69+xC5R8p9dZkRXfQAExQS9jGdgHOCUqrONtK2Jiia5tXIs+rp+l8hRp5/tpl+3BlJNSLZs3tB33RGCG7oBMwjklv7LV279NFOHpEepnQ3zIgOM8hI5SYY0wl4R6r0bCOtZ6SiaNaiZTkvpmW+iERRNOqjqaKqlIsonsi0bLJ0UZTTlwdjpaH0vPqaXzDQKASz0kB6ng86cN5VxO6ss2pyYaGXadD6MoTghk7APIG5td/StXcfJveIuUNXqhGYER1mkAnMTTCmE/BOYOJsI61nAqNoPr4JDDpDXH3NLxhoFIJNYO5qgREf9Cqhtvzf752/8jf/3u//3lcT9Suv/Z3LvnX+yl+2/pVvfvS/fX3+TRW931t88P5H+t/TD77+wYf6B5MP/6DRf9pX069KURYq0r/3/uQb+i94/t435t88eXv+b0+uP/jG5H31t33zvX+n/kOSnv/eH78/m3/49ffe1997/wP1L/XbJl9/7w/e1wHWf+wffvDhe/9O/V2Tr6tvfH2++Ej99v9l/uFH703bX5mqr80/VL/2bz+c/NHz+f+qfs9HH/7xXP0pjUKcf9hqbT746KMPvrH8kf7FWlOs/8LzHoS4/Z+K2/nvzd6b/MEH7+u/i/K7W8Gk3/nhe3/wh8Tf+tEHf0T5jep3Lt77eguq/637tPrCNz/4ump+3Rdmj42/V3eMyYcfbX9h3Rd0Z/jjbzTzD7/6wYeqmy07kP7R4w9m+m95c/7+/EMVZPW9P/rwg4+W2UP9ra9/MP2f56r7rX95rrUsH0r1i++9/4fqkfxIi///AT1RcDY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</si>
  <si>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</si>
  <si>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</si>
  <si>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</si>
  <si>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</si>
  <si>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</si>
  <si>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</si>
  <si>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</si>
  <si>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</si>
  <si>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</si>
  <si>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</si>
  <si>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</si>
  <si>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</si>
  <si>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</si>
  <si>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</si>
  <si>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</si>
  <si>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</si>
  <si>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</si>
  <si>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</si>
  <si>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</si>
  <si>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</si>
  <si>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</si>
  <si>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</si>
  <si>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</si>
  <si>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</si>
  <si>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</si>
  <si>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</si>
  <si>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</si>
  <si>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</si>
  <si>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</si>
  <si>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</si>
  <si>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</si>
  <si>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</si>
  <si>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</si>
  <si>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</si>
  <si>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</si>
  <si>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</si>
  <si>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</si>
  <si>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</si>
  <si>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</si>
  <si>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</si>
  <si>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</si>
  <si>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</si>
  <si>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</si>
  <si>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</si>
  <si>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</si>
  <si>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</si>
  <si>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</si>
  <si>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</si>
  <si>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</si>
  <si>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</si>
  <si>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</si>
  <si>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</si>
  <si>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№1.030 и 2.037</t>
  </si>
  <si>
    <t>пом. №2.058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</si>
</sst>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5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4"/>
      <color rgb="FFFF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1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10" fillId="6" borderId="7" xfId="0" applyFont="1" applyFill="1" applyBorder="1" applyAlignment="1">
      <alignment horizontal="right" vertical="center" wrapText="1"/>
    </xf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2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2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7" borderId="7" xfId="0" applyNumberFormat="1" applyFont="1" applyFill="1" applyBorder="1" applyAlignment="1">
      <alignment horizontal="center" vertical="center"/>
    </xf>
    <xf numFmtId="164" fontId="11" fillId="8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2" fillId="3" borderId="7" xfId="0" applyFont="1" applyFill="1" applyBorder="1" applyAlignment="1">
      <alignment horizontal="right" vertical="center"/>
    </xf>
    <xf numFmtId="4" fontId="12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164" fontId="9" fillId="10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left" vertical="center"/>
    </xf>
    <xf numFmtId="0" fontId="9" fillId="12" borderId="7" xfId="0" applyFont="1" applyFill="1" applyBorder="1" applyAlignment="1">
      <alignment horizontal="left" vertical="center" wrapText="1"/>
    </xf>
    <xf numFmtId="0" fontId="9" fillId="12" borderId="7" xfId="0" applyFont="1" applyFill="1" applyBorder="1" applyAlignment="1">
      <alignment horizontal="center" vertical="center" wrapText="1"/>
    </xf>
    <xf numFmtId="164" fontId="9" fillId="12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colors>
    <mruColors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9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569" sqref="AA569"/>
    </sheetView>
  </sheetViews>
  <sheetFormatPr defaultRowHeight="14.5" x14ac:dyDescent="0.35"/>
  <cols>
    <col min="1" max="1" width="20" customWidth="1"/>
    <col min="2" max="2" width="21.7265625" bestFit="1" customWidth="1"/>
    <col min="3" max="3" width="55.6328125" customWidth="1"/>
    <col min="4" max="5" width="38" customWidth="1"/>
    <col min="6" max="7" width="16.453125" customWidth="1"/>
    <col min="8" max="8" width="16" customWidth="1"/>
    <col min="9" max="9" width="16.81640625" customWidth="1"/>
    <col min="10" max="10" width="16" customWidth="1"/>
    <col min="11" max="11" width="17" customWidth="1"/>
    <col min="12" max="12" width="17.6328125" customWidth="1"/>
    <col min="13" max="13" width="18" customWidth="1"/>
    <col min="14" max="14" width="18.81640625" customWidth="1"/>
    <col min="15" max="15" width="23.6328125" customWidth="1"/>
    <col min="16" max="16" width="16" customWidth="1"/>
    <col min="17" max="17" width="17" customWidth="1"/>
    <col min="18" max="18" width="17.6328125" customWidth="1"/>
    <col min="19" max="19" width="18" customWidth="1"/>
    <col min="20" max="20" width="18.81640625" customWidth="1"/>
    <col min="21" max="21" width="23.6328125" customWidth="1"/>
    <col min="22" max="35" width="9.08984375" hidden="1"/>
  </cols>
  <sheetData>
    <row r="1" spans="1:35" ht="15" customHeight="1" x14ac:dyDescent="0.3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14</v>
      </c>
      <c r="AD1" s="4" t="s">
        <v>15</v>
      </c>
      <c r="AE1" s="4" t="s">
        <v>16</v>
      </c>
      <c r="AF1" s="4" t="s">
        <v>17</v>
      </c>
      <c r="AG1" s="4" t="s">
        <v>18</v>
      </c>
      <c r="AH1" s="4" t="s">
        <v>19</v>
      </c>
      <c r="AI1" s="4" t="s">
        <v>20</v>
      </c>
    </row>
    <row r="2" spans="1:35" ht="30.75" customHeight="1" x14ac:dyDescent="0.35">
      <c r="A2" s="89" t="s">
        <v>4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 spans="1:35" ht="15" customHeight="1" x14ac:dyDescent="0.35">
      <c r="A3" s="90" t="s">
        <v>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</row>
    <row r="4" spans="1:35" ht="15" customHeight="1" x14ac:dyDescent="0.35">
      <c r="A4" s="91" t="s">
        <v>6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1:35" ht="40.75" customHeight="1" x14ac:dyDescent="0.35">
      <c r="A5" s="92" t="s">
        <v>21</v>
      </c>
      <c r="B5" s="92" t="s">
        <v>22</v>
      </c>
      <c r="C5" s="92" t="s">
        <v>23</v>
      </c>
      <c r="D5" s="92" t="s">
        <v>24</v>
      </c>
      <c r="E5" s="92" t="s">
        <v>25</v>
      </c>
      <c r="F5" s="92" t="s">
        <v>26</v>
      </c>
      <c r="G5" s="92" t="s">
        <v>27</v>
      </c>
      <c r="H5" s="92" t="s">
        <v>28</v>
      </c>
      <c r="I5" s="92" t="s">
        <v>29</v>
      </c>
      <c r="J5" s="103" t="s">
        <v>7</v>
      </c>
      <c r="K5" s="104"/>
      <c r="L5" s="104"/>
      <c r="M5" s="104"/>
      <c r="N5" s="104"/>
      <c r="O5" s="105"/>
      <c r="P5" s="95" t="s">
        <v>8</v>
      </c>
      <c r="Q5" s="96"/>
      <c r="R5" s="97"/>
      <c r="S5" s="95" t="s">
        <v>9</v>
      </c>
      <c r="T5" s="96"/>
      <c r="U5" s="97"/>
    </row>
    <row r="6" spans="1:35" ht="15.75" customHeight="1" x14ac:dyDescent="0.35">
      <c r="A6" s="93"/>
      <c r="B6" s="93"/>
      <c r="C6" s="93"/>
      <c r="D6" s="93"/>
      <c r="E6" s="93"/>
      <c r="F6" s="93"/>
      <c r="G6" s="93"/>
      <c r="H6" s="93"/>
      <c r="I6" s="93"/>
      <c r="J6" s="98" t="s">
        <v>30</v>
      </c>
      <c r="K6" s="99"/>
      <c r="L6" s="92" t="s">
        <v>30</v>
      </c>
      <c r="M6" s="98" t="s">
        <v>33</v>
      </c>
      <c r="N6" s="99"/>
      <c r="O6" s="92" t="s">
        <v>34</v>
      </c>
      <c r="P6" s="98" t="s">
        <v>30</v>
      </c>
      <c r="Q6" s="99"/>
      <c r="R6" s="92" t="s">
        <v>30</v>
      </c>
      <c r="S6" s="98" t="s">
        <v>33</v>
      </c>
      <c r="T6" s="99"/>
      <c r="U6" s="92" t="s">
        <v>34</v>
      </c>
    </row>
    <row r="7" spans="1:35" ht="31.25" customHeight="1" x14ac:dyDescent="0.35">
      <c r="A7" s="94"/>
      <c r="B7" s="94"/>
      <c r="C7" s="94"/>
      <c r="D7" s="94"/>
      <c r="E7" s="94"/>
      <c r="F7" s="94"/>
      <c r="G7" s="94"/>
      <c r="H7" s="94"/>
      <c r="I7" s="94"/>
      <c r="J7" s="5" t="s">
        <v>31</v>
      </c>
      <c r="K7" s="5" t="s">
        <v>32</v>
      </c>
      <c r="L7" s="94"/>
      <c r="M7" s="5" t="s">
        <v>31</v>
      </c>
      <c r="N7" s="5" t="s">
        <v>32</v>
      </c>
      <c r="O7" s="94"/>
      <c r="P7" s="5" t="s">
        <v>31</v>
      </c>
      <c r="Q7" s="5" t="s">
        <v>32</v>
      </c>
      <c r="R7" s="94"/>
      <c r="S7" s="5" t="s">
        <v>31</v>
      </c>
      <c r="T7" s="5" t="s">
        <v>32</v>
      </c>
      <c r="U7" s="94"/>
    </row>
    <row r="8" spans="1:35" ht="30" customHeight="1" x14ac:dyDescent="0.35">
      <c r="A8" s="106" t="s">
        <v>35</v>
      </c>
      <c r="B8" s="107"/>
      <c r="C8" s="107"/>
      <c r="D8" s="107"/>
      <c r="E8" s="107"/>
      <c r="F8" s="107"/>
      <c r="G8" s="107"/>
      <c r="H8" s="107"/>
      <c r="I8" s="108"/>
      <c r="J8" s="7"/>
      <c r="K8" s="7"/>
      <c r="L8" s="7"/>
      <c r="M8" s="8">
        <f>SUM(M9)</f>
        <v>3115785.56</v>
      </c>
      <c r="N8" s="8">
        <f>SUM(N9)</f>
        <v>11639805.32</v>
      </c>
      <c r="O8" s="8">
        <f>SUM(O9)</f>
        <v>14755590.880000001</v>
      </c>
      <c r="P8" s="7"/>
      <c r="Q8" s="7"/>
      <c r="R8" s="7"/>
      <c r="S8" s="8">
        <f>SUM(S9)</f>
        <v>3897607.1600000006</v>
      </c>
      <c r="T8" s="8">
        <f>SUM(T9)</f>
        <v>11511394.759999998</v>
      </c>
      <c r="U8" s="8">
        <f>SUM(U9)</f>
        <v>15409001.92</v>
      </c>
      <c r="Y8" s="9">
        <f>SUM(Y9)</f>
        <v>3248006.02</v>
      </c>
      <c r="Z8" s="9">
        <f>SUM(Z9)</f>
        <v>9592829.0000000019</v>
      </c>
      <c r="AA8" s="9">
        <f>SUM(AA9)</f>
        <v>12840835.019999996</v>
      </c>
      <c r="AC8" s="4" t="s">
        <v>36</v>
      </c>
    </row>
    <row r="9" spans="1:35" ht="17" customHeight="1" x14ac:dyDescent="0.35">
      <c r="A9" s="10" t="s">
        <v>37</v>
      </c>
      <c r="B9" s="10" t="s">
        <v>38</v>
      </c>
      <c r="C9" s="100" t="s">
        <v>39</v>
      </c>
      <c r="D9" s="101"/>
      <c r="E9" s="101"/>
      <c r="F9" s="101"/>
      <c r="G9" s="101"/>
      <c r="H9" s="101"/>
      <c r="I9" s="102"/>
      <c r="M9" s="6">
        <f>SUM(M10,M55)</f>
        <v>3115785.56</v>
      </c>
      <c r="N9" s="6">
        <f>SUM(N10,N55)</f>
        <v>11639805.32</v>
      </c>
      <c r="O9" s="6">
        <f>SUM(O10,O55)</f>
        <v>14755590.880000001</v>
      </c>
      <c r="S9" s="6">
        <f>SUM(S10,S55)</f>
        <v>3897607.1600000006</v>
      </c>
      <c r="T9" s="6">
        <f>SUM(T10,T55)</f>
        <v>11511394.759999998</v>
      </c>
      <c r="U9" s="6">
        <f>SUM(U10,U55)</f>
        <v>15409001.92</v>
      </c>
      <c r="Y9" s="9">
        <f>SUM(Y10,Y55)</f>
        <v>3248006.02</v>
      </c>
      <c r="Z9" s="9">
        <f>SUM(Z10,Z55)</f>
        <v>9592829.0000000019</v>
      </c>
      <c r="AA9" s="9">
        <f>SUM(AA10,AA55)</f>
        <v>12840835.019999996</v>
      </c>
      <c r="AD9" s="4">
        <v>303752366</v>
      </c>
      <c r="AE9" s="4">
        <v>16075338</v>
      </c>
    </row>
    <row r="10" spans="1:35" ht="17" customHeight="1" x14ac:dyDescent="0.35">
      <c r="A10" s="10" t="s">
        <v>40</v>
      </c>
      <c r="B10" s="10" t="s">
        <v>41</v>
      </c>
      <c r="C10" s="100" t="s">
        <v>42</v>
      </c>
      <c r="D10" s="101"/>
      <c r="E10" s="101"/>
      <c r="F10" s="101"/>
      <c r="G10" s="101"/>
      <c r="H10" s="101"/>
      <c r="I10" s="102"/>
      <c r="M10" s="6">
        <f t="shared" ref="M10:O11" si="0">SUM(M11)</f>
        <v>151552.12999999998</v>
      </c>
      <c r="N10" s="6">
        <f t="shared" si="0"/>
        <v>577516.43999999994</v>
      </c>
      <c r="O10" s="6">
        <f t="shared" si="0"/>
        <v>729068.57</v>
      </c>
      <c r="S10" s="6">
        <f t="shared" ref="S10:U11" si="1">SUM(S11)</f>
        <v>159277.29</v>
      </c>
      <c r="T10" s="6">
        <f t="shared" si="1"/>
        <v>577516.43999999994</v>
      </c>
      <c r="U10" s="6">
        <f t="shared" si="1"/>
        <v>736793.73</v>
      </c>
      <c r="Y10" s="9">
        <f t="shared" ref="Y10:AA11" si="2">SUM(Y11)</f>
        <v>132731.07999999999</v>
      </c>
      <c r="Z10" s="9">
        <f t="shared" si="2"/>
        <v>481263.71</v>
      </c>
      <c r="AA10" s="9">
        <f t="shared" si="2"/>
        <v>613994.79</v>
      </c>
      <c r="AD10" s="4">
        <v>303752367</v>
      </c>
      <c r="AE10" s="4">
        <v>16084976</v>
      </c>
    </row>
    <row r="11" spans="1:35" ht="17" customHeight="1" x14ac:dyDescent="0.35">
      <c r="A11" s="10" t="s">
        <v>43</v>
      </c>
      <c r="B11" s="10" t="s">
        <v>44</v>
      </c>
      <c r="C11" s="100" t="s">
        <v>45</v>
      </c>
      <c r="D11" s="101"/>
      <c r="E11" s="101"/>
      <c r="F11" s="101"/>
      <c r="G11" s="101"/>
      <c r="H11" s="101"/>
      <c r="I11" s="102"/>
      <c r="M11" s="6">
        <f t="shared" si="0"/>
        <v>151552.12999999998</v>
      </c>
      <c r="N11" s="6">
        <f t="shared" si="0"/>
        <v>577516.43999999994</v>
      </c>
      <c r="O11" s="6">
        <f t="shared" si="0"/>
        <v>729068.57</v>
      </c>
      <c r="S11" s="6">
        <f t="shared" si="1"/>
        <v>159277.29</v>
      </c>
      <c r="T11" s="6">
        <f t="shared" si="1"/>
        <v>577516.43999999994</v>
      </c>
      <c r="U11" s="6">
        <f t="shared" si="1"/>
        <v>736793.73</v>
      </c>
      <c r="Y11" s="9">
        <f t="shared" si="2"/>
        <v>132731.07999999999</v>
      </c>
      <c r="Z11" s="9">
        <f t="shared" si="2"/>
        <v>481263.71</v>
      </c>
      <c r="AA11" s="9">
        <f t="shared" si="2"/>
        <v>613994.79</v>
      </c>
      <c r="AD11" s="4">
        <v>303752368</v>
      </c>
      <c r="AE11" s="4">
        <v>16084973</v>
      </c>
    </row>
    <row r="12" spans="1:35" ht="17" customHeight="1" x14ac:dyDescent="0.35">
      <c r="A12" s="10" t="s">
        <v>46</v>
      </c>
      <c r="B12" s="10" t="s">
        <v>47</v>
      </c>
      <c r="C12" s="100" t="s">
        <v>48</v>
      </c>
      <c r="D12" s="101"/>
      <c r="E12" s="101"/>
      <c r="F12" s="101"/>
      <c r="G12" s="101"/>
      <c r="H12" s="101"/>
      <c r="I12" s="102"/>
      <c r="M12" s="6">
        <f>SUM(M13,M16,M50)</f>
        <v>151552.12999999998</v>
      </c>
      <c r="N12" s="6">
        <f>SUM(N13,N16,N50)</f>
        <v>577516.43999999994</v>
      </c>
      <c r="O12" s="6">
        <f>SUM(O13,O16,O50)</f>
        <v>729068.57</v>
      </c>
      <c r="S12" s="6">
        <f>SUM(S13,S16,S50)</f>
        <v>159277.29</v>
      </c>
      <c r="T12" s="6">
        <f>SUM(T13,T16,T50)</f>
        <v>577516.43999999994</v>
      </c>
      <c r="U12" s="6">
        <f>SUM(U13,U16,U50)</f>
        <v>736793.73</v>
      </c>
      <c r="Y12" s="9">
        <f>SUM(Y13,Y16,Y50)</f>
        <v>132731.07999999999</v>
      </c>
      <c r="Z12" s="9">
        <f>SUM(Z13,Z16,Z50)</f>
        <v>481263.71</v>
      </c>
      <c r="AA12" s="9">
        <f>SUM(AA13,AA16,AA50)</f>
        <v>613994.79</v>
      </c>
      <c r="AD12" s="4">
        <v>303752369</v>
      </c>
      <c r="AE12" s="4">
        <v>16084971</v>
      </c>
    </row>
    <row r="13" spans="1:35" ht="17" customHeight="1" x14ac:dyDescent="0.35">
      <c r="A13" s="11" t="s">
        <v>49</v>
      </c>
      <c r="B13" s="11" t="s">
        <v>50</v>
      </c>
      <c r="C13" s="109" t="s">
        <v>51</v>
      </c>
      <c r="D13" s="110"/>
      <c r="E13" s="110"/>
      <c r="F13" s="110"/>
      <c r="G13" s="110"/>
      <c r="H13" s="110"/>
      <c r="I13" s="111"/>
      <c r="J13" s="12"/>
      <c r="K13" s="12"/>
      <c r="L13" s="12"/>
      <c r="M13" s="13">
        <f>SUM(M14)</f>
        <v>0</v>
      </c>
      <c r="N13" s="13">
        <f>SUM(N14)</f>
        <v>282000</v>
      </c>
      <c r="O13" s="13">
        <f>SUM(O14)</f>
        <v>282000</v>
      </c>
      <c r="P13" s="12"/>
      <c r="Q13" s="12"/>
      <c r="R13" s="12"/>
      <c r="S13" s="13">
        <f>SUM(S14)</f>
        <v>0</v>
      </c>
      <c r="T13" s="13">
        <f>SUM(T14)</f>
        <v>282000</v>
      </c>
      <c r="U13" s="13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303752370</v>
      </c>
      <c r="AE13" s="4">
        <v>19923875</v>
      </c>
    </row>
    <row r="14" spans="1:35" ht="18" x14ac:dyDescent="0.35">
      <c r="A14" s="11" t="s">
        <v>52</v>
      </c>
      <c r="B14" s="11" t="s">
        <v>53</v>
      </c>
      <c r="C14" s="20" t="s">
        <v>54</v>
      </c>
      <c r="D14" s="21"/>
      <c r="E14" s="21" t="s">
        <v>55</v>
      </c>
      <c r="F14" s="21" t="s">
        <v>56</v>
      </c>
      <c r="G14" s="22">
        <v>1</v>
      </c>
      <c r="H14" s="21"/>
      <c r="I14" s="22">
        <v>752</v>
      </c>
      <c r="J14" s="23">
        <f>IFERROR(ROUND(SUM(M15)/I14, 2),0)</f>
        <v>0</v>
      </c>
      <c r="K14" s="23">
        <v>375</v>
      </c>
      <c r="L14" s="23">
        <f>J14+ROUND(K14, 2)</f>
        <v>375</v>
      </c>
      <c r="M14" s="23">
        <f>ROUND(J14*I14, 2)</f>
        <v>0</v>
      </c>
      <c r="N14" s="23">
        <f>ROUND(I14*ROUND(K14, 2), 2)</f>
        <v>282000</v>
      </c>
      <c r="O14" s="23">
        <f>M14+N14</f>
        <v>282000</v>
      </c>
      <c r="P14" s="23">
        <f>IFERROR(ROUND(SUM(S15)/I14, 2),0)</f>
        <v>0</v>
      </c>
      <c r="Q14" s="23">
        <v>375</v>
      </c>
      <c r="R14" s="23">
        <f>P14+ROUND(Q14, 2)</f>
        <v>375</v>
      </c>
      <c r="S14" s="23">
        <f>ROUND(P14*I14, 2)</f>
        <v>0</v>
      </c>
      <c r="T14" s="23">
        <f>ROUND(I14*ROUND(Q14, 2), 2)</f>
        <v>282000</v>
      </c>
      <c r="U14" s="23">
        <f>S14+T14</f>
        <v>282000</v>
      </c>
      <c r="V14" s="9">
        <f>ROUND(P14 / 1.2, 2)</f>
        <v>0</v>
      </c>
      <c r="W14" s="9">
        <f>ROUND(Q14 / 1.2, 2)</f>
        <v>312.5</v>
      </c>
      <c r="X14" s="9">
        <f>ROUND(R14 / 1.2, 2)</f>
        <v>312.5</v>
      </c>
      <c r="Y14" s="9">
        <f>ROUND(S14 / 1.2, 2)</f>
        <v>0</v>
      </c>
      <c r="Z14" s="9">
        <f>ROUND(T14 / 1.2, 2)</f>
        <v>235000</v>
      </c>
      <c r="AA14" s="9">
        <f>Y14+Z14</f>
        <v>235000</v>
      </c>
      <c r="AD14" s="4">
        <v>303752372</v>
      </c>
      <c r="AE14" s="4">
        <v>19923873</v>
      </c>
      <c r="AG14" s="4" t="s">
        <v>57</v>
      </c>
      <c r="AH14" s="4" t="s">
        <v>58</v>
      </c>
      <c r="AI14" s="4" t="s">
        <v>59</v>
      </c>
    </row>
    <row r="15" spans="1:35" ht="18" x14ac:dyDescent="0.35">
      <c r="A15" s="11" t="s">
        <v>60</v>
      </c>
      <c r="B15" s="11"/>
      <c r="C15" s="31" t="s">
        <v>61</v>
      </c>
      <c r="D15" s="21"/>
      <c r="E15" s="21"/>
      <c r="F15" s="32" t="s">
        <v>62</v>
      </c>
      <c r="G15" s="33">
        <v>1</v>
      </c>
      <c r="H15" s="21"/>
      <c r="I15" s="34">
        <v>752</v>
      </c>
      <c r="J15" s="35">
        <v>0</v>
      </c>
      <c r="K15" s="12"/>
      <c r="L15" s="12"/>
      <c r="M15" s="35">
        <f>ROUND(ROUND(J15, 2)*I15, 2)</f>
        <v>0</v>
      </c>
      <c r="N15" s="12"/>
      <c r="O15" s="12"/>
      <c r="P15" s="35">
        <v>0</v>
      </c>
      <c r="Q15" s="12"/>
      <c r="R15" s="12"/>
      <c r="S15" s="35">
        <f>ROUND(ROUND(P15, 2)*I15, 2)</f>
        <v>0</v>
      </c>
      <c r="T15" s="12"/>
      <c r="U15" s="36"/>
      <c r="V15" s="9">
        <f>ROUND(ROUND(P15, 2)/1.2, 2)</f>
        <v>0</v>
      </c>
      <c r="Y15" s="9">
        <f>ROUND(S15 / 1.2, 2)</f>
        <v>0</v>
      </c>
      <c r="AD15" s="4" t="s">
        <v>63</v>
      </c>
      <c r="AE15" s="4" t="s">
        <v>64</v>
      </c>
      <c r="AF15" s="4" t="s">
        <v>65</v>
      </c>
    </row>
    <row r="16" spans="1:35" ht="17" customHeight="1" x14ac:dyDescent="0.35">
      <c r="A16" s="10" t="s">
        <v>66</v>
      </c>
      <c r="B16" s="10" t="s">
        <v>67</v>
      </c>
      <c r="C16" s="100" t="s">
        <v>68</v>
      </c>
      <c r="D16" s="101"/>
      <c r="E16" s="101"/>
      <c r="F16" s="101"/>
      <c r="G16" s="101"/>
      <c r="H16" s="101"/>
      <c r="I16" s="102"/>
      <c r="M16" s="6">
        <f>SUM(M17,M24)</f>
        <v>146594.16999999998</v>
      </c>
      <c r="N16" s="6">
        <f>SUM(N17,N24)</f>
        <v>291991.67999999999</v>
      </c>
      <c r="O16" s="6">
        <f>SUM(O17,O24)</f>
        <v>438585.85</v>
      </c>
      <c r="S16" s="6">
        <f>SUM(S17,S24)</f>
        <v>154267.09</v>
      </c>
      <c r="T16" s="6">
        <f>SUM(T17,T24)</f>
        <v>291991.67999999999</v>
      </c>
      <c r="U16" s="6">
        <f>SUM(U17,U24)</f>
        <v>446258.77</v>
      </c>
      <c r="Y16" s="9">
        <f>SUM(Y17,Y24)</f>
        <v>128555.90999999997</v>
      </c>
      <c r="Z16" s="9">
        <f>SUM(Z17,Z24)</f>
        <v>243326.41</v>
      </c>
      <c r="AA16" s="9">
        <f>SUM(AA17,AA24)</f>
        <v>371882.32</v>
      </c>
      <c r="AD16" s="4">
        <v>303752373</v>
      </c>
      <c r="AE16" s="4">
        <v>16084974</v>
      </c>
    </row>
    <row r="17" spans="1:35" ht="17" customHeight="1" x14ac:dyDescent="0.35">
      <c r="A17" s="11" t="s">
        <v>69</v>
      </c>
      <c r="B17" s="11" t="s">
        <v>70</v>
      </c>
      <c r="C17" s="109" t="s">
        <v>71</v>
      </c>
      <c r="D17" s="110"/>
      <c r="E17" s="110"/>
      <c r="F17" s="110"/>
      <c r="G17" s="110"/>
      <c r="H17" s="110"/>
      <c r="I17" s="111"/>
      <c r="J17" s="12"/>
      <c r="K17" s="12"/>
      <c r="L17" s="12"/>
      <c r="M17" s="13">
        <f>SUM(M18)</f>
        <v>24333.02</v>
      </c>
      <c r="N17" s="13">
        <f>SUM(N18)</f>
        <v>26118.33</v>
      </c>
      <c r="O17" s="13">
        <f>SUM(O18)</f>
        <v>50451.350000000006</v>
      </c>
      <c r="P17" s="12"/>
      <c r="Q17" s="12"/>
      <c r="R17" s="12"/>
      <c r="S17" s="13">
        <f>SUM(S18)</f>
        <v>24326.95</v>
      </c>
      <c r="T17" s="13">
        <f>SUM(T18)</f>
        <v>26118.33</v>
      </c>
      <c r="U17" s="13">
        <f>SUM(U18)</f>
        <v>50445.279999999999</v>
      </c>
      <c r="Y17" s="9">
        <f>SUM(Y18)</f>
        <v>20272.46</v>
      </c>
      <c r="Z17" s="9">
        <f>SUM(Z18)</f>
        <v>21765.279999999999</v>
      </c>
      <c r="AA17" s="9">
        <f>SUM(AA18)</f>
        <v>42037.74</v>
      </c>
      <c r="AD17" s="4">
        <v>303752374</v>
      </c>
      <c r="AE17" s="4">
        <v>18539951</v>
      </c>
    </row>
    <row r="18" spans="1:35" ht="72" x14ac:dyDescent="0.35">
      <c r="A18" s="11" t="s">
        <v>72</v>
      </c>
      <c r="B18" s="11" t="s">
        <v>73</v>
      </c>
      <c r="C18" s="20" t="s">
        <v>74</v>
      </c>
      <c r="D18" s="21" t="s">
        <v>75</v>
      </c>
      <c r="E18" s="21" t="s">
        <v>76</v>
      </c>
      <c r="F18" s="21" t="s">
        <v>56</v>
      </c>
      <c r="G18" s="22">
        <v>1</v>
      </c>
      <c r="H18" s="21"/>
      <c r="I18" s="22">
        <v>13.47</v>
      </c>
      <c r="J18" s="23">
        <f>IFERROR(ROUND(SUM(M19,M20,M21,M22,M23)/I18, 2),0)</f>
        <v>1806.46</v>
      </c>
      <c r="K18" s="23">
        <v>1939</v>
      </c>
      <c r="L18" s="23">
        <f>J18+ROUND(K18, 2)</f>
        <v>3745.46</v>
      </c>
      <c r="M18" s="23">
        <f>ROUND(J18*I18, 2)</f>
        <v>24333.02</v>
      </c>
      <c r="N18" s="23">
        <f>ROUND(I18*ROUND(K18, 2), 2)</f>
        <v>26118.33</v>
      </c>
      <c r="O18" s="23">
        <f>M18+N18</f>
        <v>50451.350000000006</v>
      </c>
      <c r="P18" s="23">
        <f>IFERROR(ROUND(SUM(S19,S20,S21,S22,S23)/I18, 2),0)</f>
        <v>1806.01</v>
      </c>
      <c r="Q18" s="23">
        <v>1939</v>
      </c>
      <c r="R18" s="23">
        <f>P18+ROUND(Q18, 2)</f>
        <v>3745.01</v>
      </c>
      <c r="S18" s="23">
        <f>ROUND(P18*I18, 2)</f>
        <v>24326.95</v>
      </c>
      <c r="T18" s="23">
        <f>ROUND(I18*ROUND(Q18, 2), 2)</f>
        <v>26118.33</v>
      </c>
      <c r="U18" s="23">
        <f>S18+T18</f>
        <v>50445.279999999999</v>
      </c>
      <c r="V18" s="9">
        <f>ROUND(P18 / 1.2, 2)</f>
        <v>1505.01</v>
      </c>
      <c r="W18" s="9">
        <f>ROUND(Q18 / 1.2, 2)</f>
        <v>1615.83</v>
      </c>
      <c r="X18" s="9">
        <f>ROUND(R18 / 1.2, 2)</f>
        <v>3120.84</v>
      </c>
      <c r="Y18" s="9">
        <f>ROUND(S18 / 1.2, 2)</f>
        <v>20272.46</v>
      </c>
      <c r="Z18" s="9">
        <f>ROUND(T18 / 1.2, 2)</f>
        <v>21765.279999999999</v>
      </c>
      <c r="AA18" s="9">
        <f>Y18+Z18</f>
        <v>42037.74</v>
      </c>
      <c r="AD18" s="4">
        <v>303752376</v>
      </c>
      <c r="AE18" s="4">
        <v>18539953</v>
      </c>
      <c r="AG18" s="4" t="s">
        <v>77</v>
      </c>
      <c r="AH18" s="4" t="s">
        <v>78</v>
      </c>
      <c r="AI18" s="4" t="s">
        <v>59</v>
      </c>
    </row>
    <row r="19" spans="1:35" ht="18" x14ac:dyDescent="0.35">
      <c r="A19" s="11" t="s">
        <v>79</v>
      </c>
      <c r="B19" s="11"/>
      <c r="C19" s="31" t="s">
        <v>80</v>
      </c>
      <c r="D19" s="21"/>
      <c r="E19" s="21"/>
      <c r="F19" s="32" t="s">
        <v>81</v>
      </c>
      <c r="G19" s="33">
        <v>44.85</v>
      </c>
      <c r="H19" s="21"/>
      <c r="I19" s="33">
        <v>604.13</v>
      </c>
      <c r="J19" s="35">
        <v>6.28</v>
      </c>
      <c r="K19" s="12"/>
      <c r="L19" s="12"/>
      <c r="M19" s="35">
        <f>ROUND(ROUND(J19, 2)*I19, 2)</f>
        <v>3793.94</v>
      </c>
      <c r="N19" s="12"/>
      <c r="O19" s="12"/>
      <c r="P19" s="35">
        <v>6.27</v>
      </c>
      <c r="Q19" s="12"/>
      <c r="R19" s="12"/>
      <c r="S19" s="35">
        <f>ROUND(ROUND(P19, 2)*I19, 2)</f>
        <v>3787.9</v>
      </c>
      <c r="T19" s="12"/>
      <c r="U19" s="36"/>
      <c r="V19" s="9">
        <f>ROUND(ROUND(P19, 2)/1.2, 2)</f>
        <v>5.23</v>
      </c>
      <c r="Y19" s="9">
        <f>ROUND(S19 / 1.2, 2)</f>
        <v>3156.58</v>
      </c>
      <c r="AD19" s="4" t="s">
        <v>82</v>
      </c>
      <c r="AE19" s="4" t="s">
        <v>83</v>
      </c>
      <c r="AF19" s="4" t="s">
        <v>84</v>
      </c>
    </row>
    <row r="20" spans="1:35" ht="36" x14ac:dyDescent="0.35">
      <c r="A20" s="11" t="s">
        <v>85</v>
      </c>
      <c r="B20" s="11"/>
      <c r="C20" s="31" t="s">
        <v>86</v>
      </c>
      <c r="D20" s="21"/>
      <c r="E20" s="21"/>
      <c r="F20" s="32" t="s">
        <v>87</v>
      </c>
      <c r="G20" s="33">
        <v>1</v>
      </c>
      <c r="H20" s="21"/>
      <c r="I20" s="33">
        <v>13.47</v>
      </c>
      <c r="J20" s="35">
        <v>64.599999999999994</v>
      </c>
      <c r="K20" s="12"/>
      <c r="L20" s="12"/>
      <c r="M20" s="35">
        <f>ROUND(ROUND(J20, 2)*I20, 2)</f>
        <v>870.16</v>
      </c>
      <c r="N20" s="12"/>
      <c r="O20" s="12"/>
      <c r="P20" s="35">
        <v>64.599999999999994</v>
      </c>
      <c r="Q20" s="12"/>
      <c r="R20" s="12"/>
      <c r="S20" s="35">
        <f>ROUND(ROUND(P20, 2)*I20, 2)</f>
        <v>870.16</v>
      </c>
      <c r="T20" s="12"/>
      <c r="U20" s="36"/>
      <c r="V20" s="9">
        <f>ROUND(ROUND(P20, 2)/1.2, 2)</f>
        <v>53.83</v>
      </c>
      <c r="Y20" s="9">
        <f>ROUND(S20 / 1.2, 2)</f>
        <v>725.13</v>
      </c>
      <c r="AD20" s="4" t="s">
        <v>88</v>
      </c>
      <c r="AE20" s="4" t="s">
        <v>89</v>
      </c>
      <c r="AF20" s="4" t="s">
        <v>90</v>
      </c>
    </row>
    <row r="21" spans="1:35" ht="36" x14ac:dyDescent="0.35">
      <c r="A21" s="11" t="s">
        <v>91</v>
      </c>
      <c r="B21" s="11"/>
      <c r="C21" s="31" t="s">
        <v>92</v>
      </c>
      <c r="D21" s="21"/>
      <c r="E21" s="21"/>
      <c r="F21" s="32" t="s">
        <v>87</v>
      </c>
      <c r="G21" s="33">
        <v>1</v>
      </c>
      <c r="H21" s="21"/>
      <c r="I21" s="33">
        <v>13.47</v>
      </c>
      <c r="J21" s="35">
        <v>117.04</v>
      </c>
      <c r="K21" s="12"/>
      <c r="L21" s="12"/>
      <c r="M21" s="35">
        <f>ROUND(ROUND(J21, 2)*I21, 2)</f>
        <v>1576.53</v>
      </c>
      <c r="N21" s="12"/>
      <c r="O21" s="12"/>
      <c r="P21" s="35">
        <v>117.04</v>
      </c>
      <c r="Q21" s="12"/>
      <c r="R21" s="12"/>
      <c r="S21" s="35">
        <f>ROUND(ROUND(P21, 2)*I21, 2)</f>
        <v>1576.53</v>
      </c>
      <c r="T21" s="12"/>
      <c r="U21" s="36"/>
      <c r="V21" s="9">
        <f>ROUND(ROUND(P21, 2)/1.2, 2)</f>
        <v>97.53</v>
      </c>
      <c r="Y21" s="9">
        <f>ROUND(S21 / 1.2, 2)</f>
        <v>1313.78</v>
      </c>
      <c r="AD21" s="4" t="s">
        <v>93</v>
      </c>
      <c r="AE21" s="4" t="s">
        <v>94</v>
      </c>
      <c r="AF21" s="4" t="s">
        <v>95</v>
      </c>
    </row>
    <row r="22" spans="1:35" ht="18" x14ac:dyDescent="0.35">
      <c r="A22" s="11" t="s">
        <v>96</v>
      </c>
      <c r="B22" s="11"/>
      <c r="C22" s="31" t="s">
        <v>97</v>
      </c>
      <c r="D22" s="21"/>
      <c r="E22" s="21"/>
      <c r="F22" s="32" t="s">
        <v>56</v>
      </c>
      <c r="G22" s="33">
        <v>0.504</v>
      </c>
      <c r="H22" s="21"/>
      <c r="I22" s="33">
        <v>6.7889999999999997</v>
      </c>
      <c r="J22" s="35">
        <v>265</v>
      </c>
      <c r="K22" s="12"/>
      <c r="L22" s="12"/>
      <c r="M22" s="35">
        <f>ROUND(ROUND(J22, 2)*I22, 2)</f>
        <v>1799.09</v>
      </c>
      <c r="N22" s="12"/>
      <c r="O22" s="12"/>
      <c r="P22" s="35">
        <v>265</v>
      </c>
      <c r="Q22" s="12"/>
      <c r="R22" s="12"/>
      <c r="S22" s="35">
        <f>ROUND(ROUND(P22, 2)*I22, 2)</f>
        <v>1799.09</v>
      </c>
      <c r="T22" s="12"/>
      <c r="U22" s="36"/>
      <c r="V22" s="9">
        <f>ROUND(ROUND(P22, 2)/1.2, 2)</f>
        <v>220.83</v>
      </c>
      <c r="Y22" s="9">
        <f>ROUND(S22 / 1.2, 2)</f>
        <v>1499.24</v>
      </c>
      <c r="AD22" s="4" t="s">
        <v>98</v>
      </c>
      <c r="AE22" s="4" t="s">
        <v>99</v>
      </c>
      <c r="AF22" s="4" t="s">
        <v>100</v>
      </c>
    </row>
    <row r="23" spans="1:35" ht="18" x14ac:dyDescent="0.35">
      <c r="A23" s="11" t="s">
        <v>101</v>
      </c>
      <c r="B23" s="11"/>
      <c r="C23" s="31" t="s">
        <v>102</v>
      </c>
      <c r="D23" s="21"/>
      <c r="E23" s="21"/>
      <c r="F23" s="32" t="s">
        <v>103</v>
      </c>
      <c r="G23" s="33">
        <v>50.4</v>
      </c>
      <c r="H23" s="21"/>
      <c r="I23" s="33">
        <v>678.88800000000003</v>
      </c>
      <c r="J23" s="35">
        <v>24</v>
      </c>
      <c r="K23" s="12"/>
      <c r="L23" s="12"/>
      <c r="M23" s="35">
        <f>ROUND(ROUND(J23, 2)*I23, 2)</f>
        <v>16293.31</v>
      </c>
      <c r="N23" s="12"/>
      <c r="O23" s="12"/>
      <c r="P23" s="35">
        <v>24</v>
      </c>
      <c r="Q23" s="12"/>
      <c r="R23" s="12"/>
      <c r="S23" s="35">
        <f>ROUND(ROUND(P23, 2)*I23, 2)</f>
        <v>16293.31</v>
      </c>
      <c r="T23" s="12"/>
      <c r="U23" s="36"/>
      <c r="V23" s="9">
        <f>ROUND(ROUND(P23, 2)/1.2, 2)</f>
        <v>20</v>
      </c>
      <c r="Y23" s="9">
        <f>ROUND(S23 / 1.2, 2)</f>
        <v>13577.76</v>
      </c>
      <c r="AD23" s="4" t="s">
        <v>104</v>
      </c>
      <c r="AE23" s="4" t="s">
        <v>105</v>
      </c>
      <c r="AF23" s="4" t="s">
        <v>106</v>
      </c>
    </row>
    <row r="24" spans="1:35" ht="17" customHeight="1" x14ac:dyDescent="0.35">
      <c r="A24" s="10" t="s">
        <v>107</v>
      </c>
      <c r="B24" s="10" t="s">
        <v>108</v>
      </c>
      <c r="C24" s="100" t="s">
        <v>109</v>
      </c>
      <c r="D24" s="101"/>
      <c r="E24" s="101"/>
      <c r="F24" s="101"/>
      <c r="G24" s="101"/>
      <c r="H24" s="101"/>
      <c r="I24" s="102"/>
      <c r="M24" s="6">
        <f>SUM(M25,M30,M35,M40)</f>
        <v>122261.15</v>
      </c>
      <c r="N24" s="6">
        <f>SUM(N25,N30,N35,N40)</f>
        <v>265873.34999999998</v>
      </c>
      <c r="O24" s="6">
        <f>SUM(O25,O30,O35,O40)</f>
        <v>388134.5</v>
      </c>
      <c r="S24" s="6">
        <f>SUM(S25,S30,S35,S40)</f>
        <v>129940.14</v>
      </c>
      <c r="T24" s="6">
        <f>SUM(T25,T30,T35,T40)</f>
        <v>265873.34999999998</v>
      </c>
      <c r="U24" s="6">
        <f>SUM(U25,U30,U35,U40)</f>
        <v>395813.49</v>
      </c>
      <c r="Y24" s="9">
        <f>SUM(Y25,Y30,Y35,Y40)</f>
        <v>108283.44999999998</v>
      </c>
      <c r="Z24" s="9">
        <f>SUM(Z25,Z30,Z35,Z40)</f>
        <v>221561.13</v>
      </c>
      <c r="AA24" s="9">
        <f>SUM(AA25,AA30,AA35,AA40)</f>
        <v>329844.58</v>
      </c>
      <c r="AD24" s="4">
        <v>303752377</v>
      </c>
      <c r="AE24" s="4">
        <v>16084972</v>
      </c>
    </row>
    <row r="25" spans="1:35" ht="36" x14ac:dyDescent="0.35">
      <c r="A25" s="11" t="s">
        <v>110</v>
      </c>
      <c r="B25" s="11" t="s">
        <v>111</v>
      </c>
      <c r="C25" s="20" t="s">
        <v>112</v>
      </c>
      <c r="D25" s="21"/>
      <c r="E25" s="21" t="s">
        <v>113</v>
      </c>
      <c r="F25" s="21" t="s">
        <v>56</v>
      </c>
      <c r="G25" s="22">
        <v>1</v>
      </c>
      <c r="H25" s="21"/>
      <c r="I25" s="22">
        <v>76.67</v>
      </c>
      <c r="J25" s="23">
        <f>IFERROR(ROUND(SUM(M26,M27,M28,M29)/I25, 2),0)</f>
        <v>1003.9</v>
      </c>
      <c r="K25" s="23">
        <v>2293</v>
      </c>
      <c r="L25" s="23">
        <f>J25+ROUND(K25, 2)</f>
        <v>3296.9</v>
      </c>
      <c r="M25" s="23">
        <f>ROUND(J25*I25, 2)</f>
        <v>76969.009999999995</v>
      </c>
      <c r="N25" s="23">
        <f>ROUND(I25*ROUND(K25, 2), 2)</f>
        <v>175804.31</v>
      </c>
      <c r="O25" s="23">
        <f>M25+N25</f>
        <v>252773.32</v>
      </c>
      <c r="P25" s="23">
        <f>IFERROR(ROUND(SUM(S26,S27,S28,S29)/I25, 2),0)</f>
        <v>1065.1099999999999</v>
      </c>
      <c r="Q25" s="23">
        <v>2293</v>
      </c>
      <c r="R25" s="23">
        <f>P25+ROUND(Q25, 2)</f>
        <v>3358.1099999999997</v>
      </c>
      <c r="S25" s="23">
        <f>ROUND(P25*I25, 2)</f>
        <v>81661.98</v>
      </c>
      <c r="T25" s="23">
        <f>ROUND(I25*ROUND(Q25, 2), 2)</f>
        <v>175804.31</v>
      </c>
      <c r="U25" s="23">
        <f>S25+T25</f>
        <v>257466.28999999998</v>
      </c>
      <c r="V25" s="9">
        <f>ROUND(P25 / 1.2, 2)</f>
        <v>887.59</v>
      </c>
      <c r="W25" s="9">
        <f>ROUND(Q25 / 1.2, 2)</f>
        <v>1910.83</v>
      </c>
      <c r="X25" s="9">
        <f>ROUND(R25 / 1.2, 2)</f>
        <v>2798.43</v>
      </c>
      <c r="Y25" s="9">
        <f>ROUND(S25 / 1.2, 2)</f>
        <v>68051.649999999994</v>
      </c>
      <c r="Z25" s="9">
        <f>ROUND(T25 / 1.2, 2)</f>
        <v>146503.59</v>
      </c>
      <c r="AA25" s="9">
        <f>Y25+Z25</f>
        <v>214555.24</v>
      </c>
      <c r="AD25" s="4">
        <v>303752379</v>
      </c>
      <c r="AE25" s="4">
        <v>18541173</v>
      </c>
      <c r="AG25" s="4" t="s">
        <v>114</v>
      </c>
      <c r="AH25" s="4" t="s">
        <v>115</v>
      </c>
      <c r="AI25" s="4" t="s">
        <v>59</v>
      </c>
    </row>
    <row r="26" spans="1:35" ht="54" x14ac:dyDescent="0.35">
      <c r="A26" s="11" t="s">
        <v>116</v>
      </c>
      <c r="B26" s="11"/>
      <c r="C26" s="31" t="s">
        <v>117</v>
      </c>
      <c r="D26" s="21"/>
      <c r="E26" s="21"/>
      <c r="F26" s="32" t="s">
        <v>87</v>
      </c>
      <c r="G26" s="33">
        <v>1</v>
      </c>
      <c r="H26" s="21"/>
      <c r="I26" s="33">
        <v>76.67</v>
      </c>
      <c r="J26" s="35">
        <v>102.34</v>
      </c>
      <c r="K26" s="12"/>
      <c r="L26" s="12"/>
      <c r="M26" s="35">
        <f>ROUND(ROUND(J26, 2)*I26, 2)</f>
        <v>7846.41</v>
      </c>
      <c r="N26" s="12"/>
      <c r="O26" s="12"/>
      <c r="P26" s="35">
        <v>102.33</v>
      </c>
      <c r="Q26" s="12"/>
      <c r="R26" s="12"/>
      <c r="S26" s="35">
        <f>ROUND(ROUND(P26, 2)*I26, 2)</f>
        <v>7845.64</v>
      </c>
      <c r="T26" s="12"/>
      <c r="U26" s="36"/>
      <c r="V26" s="9">
        <f>ROUND(ROUND(P26, 2)/1.2, 2)</f>
        <v>85.28</v>
      </c>
      <c r="Y26" s="9">
        <f t="shared" ref="Y26:Y40" si="3">ROUND(S26 / 1.2, 2)</f>
        <v>6538.03</v>
      </c>
      <c r="AD26" s="4" t="s">
        <v>118</v>
      </c>
      <c r="AE26" s="4" t="s">
        <v>119</v>
      </c>
      <c r="AF26" s="4" t="s">
        <v>120</v>
      </c>
    </row>
    <row r="27" spans="1:35" ht="36" x14ac:dyDescent="0.35">
      <c r="A27" s="11" t="s">
        <v>121</v>
      </c>
      <c r="B27" s="11"/>
      <c r="C27" s="31" t="s">
        <v>122</v>
      </c>
      <c r="D27" s="21"/>
      <c r="E27" s="21" t="s">
        <v>123</v>
      </c>
      <c r="F27" s="32" t="s">
        <v>56</v>
      </c>
      <c r="G27" s="33">
        <v>2.1</v>
      </c>
      <c r="H27" s="21"/>
      <c r="I27" s="33">
        <v>161.00700000000001</v>
      </c>
      <c r="J27" s="35">
        <v>135.53</v>
      </c>
      <c r="K27" s="12"/>
      <c r="L27" s="12"/>
      <c r="M27" s="35">
        <f>ROUND(ROUND(J27, 2)*I27, 2)</f>
        <v>21821.279999999999</v>
      </c>
      <c r="N27" s="12"/>
      <c r="O27" s="12"/>
      <c r="P27" s="35">
        <v>135.53</v>
      </c>
      <c r="Q27" s="12"/>
      <c r="R27" s="12"/>
      <c r="S27" s="35">
        <f>ROUND(ROUND(P27, 2)*I27, 2)</f>
        <v>21821.279999999999</v>
      </c>
      <c r="T27" s="12"/>
      <c r="U27" s="36"/>
      <c r="V27" s="9">
        <f>ROUND(ROUND(P27, 2)/1.2, 2)</f>
        <v>112.94</v>
      </c>
      <c r="Y27" s="9">
        <f t="shared" si="3"/>
        <v>18184.400000000001</v>
      </c>
      <c r="AD27" s="4" t="s">
        <v>124</v>
      </c>
      <c r="AE27" s="4" t="s">
        <v>125</v>
      </c>
      <c r="AF27" s="4" t="s">
        <v>126</v>
      </c>
    </row>
    <row r="28" spans="1:35" ht="18" x14ac:dyDescent="0.35">
      <c r="A28" s="11" t="s">
        <v>127</v>
      </c>
      <c r="B28" s="11"/>
      <c r="C28" s="37" t="s">
        <v>128</v>
      </c>
      <c r="D28" s="21"/>
      <c r="E28" s="21"/>
      <c r="F28" s="32" t="s">
        <v>129</v>
      </c>
      <c r="G28" s="33">
        <v>4.07</v>
      </c>
      <c r="H28" s="21"/>
      <c r="I28" s="34">
        <v>447.00799999999998</v>
      </c>
      <c r="J28" s="35">
        <v>64.56</v>
      </c>
      <c r="K28" s="12"/>
      <c r="L28" s="12"/>
      <c r="M28" s="35">
        <f>ROUND(ROUND(J28, 2)*I28, 2)</f>
        <v>28858.84</v>
      </c>
      <c r="N28" s="12"/>
      <c r="O28" s="12"/>
      <c r="P28" s="35">
        <v>70.97</v>
      </c>
      <c r="Q28" s="12"/>
      <c r="R28" s="12"/>
      <c r="S28" s="35">
        <f>ROUND(ROUND(P28, 2)*I28, 2)</f>
        <v>31724.16</v>
      </c>
      <c r="T28" s="12"/>
      <c r="U28" s="36"/>
      <c r="V28" s="9">
        <f>ROUND(ROUND(P28, 2)/1.2, 2)</f>
        <v>59.14</v>
      </c>
      <c r="Y28" s="9">
        <f t="shared" si="3"/>
        <v>26436.799999999999</v>
      </c>
      <c r="AD28" s="4" t="s">
        <v>130</v>
      </c>
      <c r="AE28" s="4" t="s">
        <v>131</v>
      </c>
      <c r="AF28" s="4" t="s">
        <v>132</v>
      </c>
    </row>
    <row r="29" spans="1:35" ht="18" x14ac:dyDescent="0.35">
      <c r="A29" s="11" t="s">
        <v>133</v>
      </c>
      <c r="B29" s="11"/>
      <c r="C29" s="37" t="s">
        <v>134</v>
      </c>
      <c r="D29" s="21"/>
      <c r="E29" s="21"/>
      <c r="F29" s="32" t="s">
        <v>129</v>
      </c>
      <c r="G29" s="33">
        <v>1.42</v>
      </c>
      <c r="H29" s="21"/>
      <c r="I29" s="34">
        <v>357.13</v>
      </c>
      <c r="J29" s="35">
        <v>51.64</v>
      </c>
      <c r="K29" s="12"/>
      <c r="L29" s="12"/>
      <c r="M29" s="35">
        <f>ROUND(ROUND(J29, 2)*I29, 2)</f>
        <v>18442.189999999999</v>
      </c>
      <c r="N29" s="12"/>
      <c r="O29" s="12"/>
      <c r="P29" s="35">
        <v>56.76</v>
      </c>
      <c r="Q29" s="12"/>
      <c r="R29" s="12"/>
      <c r="S29" s="35">
        <f>ROUND(ROUND(P29, 2)*I29, 2)</f>
        <v>20270.7</v>
      </c>
      <c r="T29" s="12"/>
      <c r="U29" s="36"/>
      <c r="V29" s="9">
        <f>ROUND(ROUND(P29, 2)/1.2, 2)</f>
        <v>47.3</v>
      </c>
      <c r="Y29" s="9">
        <f t="shared" si="3"/>
        <v>16892.25</v>
      </c>
      <c r="AD29" s="4" t="s">
        <v>135</v>
      </c>
      <c r="AE29" s="4" t="s">
        <v>136</v>
      </c>
      <c r="AF29" s="4" t="s">
        <v>137</v>
      </c>
    </row>
    <row r="30" spans="1:35" ht="36" x14ac:dyDescent="0.35">
      <c r="A30" s="11" t="s">
        <v>138</v>
      </c>
      <c r="B30" s="11" t="s">
        <v>111</v>
      </c>
      <c r="C30" s="20" t="s">
        <v>112</v>
      </c>
      <c r="D30" s="21"/>
      <c r="E30" s="21" t="s">
        <v>139</v>
      </c>
      <c r="F30" s="21" t="s">
        <v>56</v>
      </c>
      <c r="G30" s="22">
        <v>1</v>
      </c>
      <c r="H30" s="21"/>
      <c r="I30" s="22">
        <v>4.1500000000000004</v>
      </c>
      <c r="J30" s="23">
        <f>IFERROR(ROUND(SUM(M31,M32,M33,M34)/I30, 2),0)</f>
        <v>2735.25</v>
      </c>
      <c r="K30" s="23">
        <v>2293</v>
      </c>
      <c r="L30" s="23">
        <f>J30+ROUND(K30, 2)</f>
        <v>5028.25</v>
      </c>
      <c r="M30" s="23">
        <f>ROUND(J30*I30, 2)</f>
        <v>11351.29</v>
      </c>
      <c r="N30" s="23">
        <f>ROUND(I30*ROUND(K30, 2), 2)</f>
        <v>9515.9500000000007</v>
      </c>
      <c r="O30" s="23">
        <f>M30+N30</f>
        <v>20867.240000000002</v>
      </c>
      <c r="P30" s="23">
        <f>IFERROR(ROUND(SUM(S31,S32,S33,S34)/I30, 2),0)</f>
        <v>2968.37</v>
      </c>
      <c r="Q30" s="23">
        <v>2293</v>
      </c>
      <c r="R30" s="23">
        <f>P30+ROUND(Q30, 2)</f>
        <v>5261.37</v>
      </c>
      <c r="S30" s="23">
        <f>ROUND(P30*I30, 2)</f>
        <v>12318.74</v>
      </c>
      <c r="T30" s="23">
        <f>ROUND(I30*ROUND(Q30, 2), 2)</f>
        <v>9515.9500000000007</v>
      </c>
      <c r="U30" s="23">
        <f>S30+T30</f>
        <v>21834.690000000002</v>
      </c>
      <c r="V30" s="9">
        <f>ROUND(P30 / 1.2, 2)</f>
        <v>2473.64</v>
      </c>
      <c r="W30" s="9">
        <f>ROUND(Q30 / 1.2, 2)</f>
        <v>1910.83</v>
      </c>
      <c r="X30" s="9">
        <f>ROUND(R30 / 1.2, 2)</f>
        <v>4384.4799999999996</v>
      </c>
      <c r="Y30" s="9">
        <f t="shared" si="3"/>
        <v>10265.620000000001</v>
      </c>
      <c r="Z30" s="9">
        <f>ROUND(T30 / 1.2, 2)</f>
        <v>7929.96</v>
      </c>
      <c r="AA30" s="9">
        <f>Y30+Z30</f>
        <v>18195.580000000002</v>
      </c>
      <c r="AD30" s="4">
        <v>303752459</v>
      </c>
      <c r="AE30" s="4">
        <v>19932232</v>
      </c>
      <c r="AG30" s="4" t="s">
        <v>114</v>
      </c>
      <c r="AH30" s="4" t="s">
        <v>115</v>
      </c>
      <c r="AI30" s="4" t="s">
        <v>59</v>
      </c>
    </row>
    <row r="31" spans="1:35" ht="18" x14ac:dyDescent="0.35">
      <c r="A31" s="11" t="s">
        <v>140</v>
      </c>
      <c r="B31" s="11"/>
      <c r="C31" s="37" t="s">
        <v>128</v>
      </c>
      <c r="D31" s="21"/>
      <c r="E31" s="21"/>
      <c r="F31" s="32" t="s">
        <v>129</v>
      </c>
      <c r="G31" s="33">
        <v>4.07</v>
      </c>
      <c r="H31" s="21"/>
      <c r="I31" s="34">
        <v>138.78700000000001</v>
      </c>
      <c r="J31" s="35">
        <v>64.56</v>
      </c>
      <c r="K31" s="12"/>
      <c r="L31" s="12"/>
      <c r="M31" s="35">
        <f>ROUND(ROUND(J31, 2)*I31, 2)</f>
        <v>8960.09</v>
      </c>
      <c r="N31" s="12"/>
      <c r="O31" s="12"/>
      <c r="P31" s="35">
        <v>70.97</v>
      </c>
      <c r="Q31" s="12"/>
      <c r="R31" s="12"/>
      <c r="S31" s="35">
        <f>ROUND(ROUND(P31, 2)*I31, 2)</f>
        <v>9849.7099999999991</v>
      </c>
      <c r="T31" s="12"/>
      <c r="U31" s="36"/>
      <c r="V31" s="9">
        <f>ROUND(ROUND(P31, 2)/1.2, 2)</f>
        <v>59.14</v>
      </c>
      <c r="Y31" s="9">
        <f t="shared" si="3"/>
        <v>8208.09</v>
      </c>
      <c r="AD31" s="4" t="s">
        <v>141</v>
      </c>
      <c r="AE31" s="4" t="s">
        <v>142</v>
      </c>
      <c r="AF31" s="4" t="s">
        <v>132</v>
      </c>
    </row>
    <row r="32" spans="1:35" ht="18" x14ac:dyDescent="0.35">
      <c r="A32" s="11" t="s">
        <v>143</v>
      </c>
      <c r="B32" s="11"/>
      <c r="C32" s="37" t="s">
        <v>134</v>
      </c>
      <c r="D32" s="21"/>
      <c r="E32" s="21"/>
      <c r="F32" s="32" t="s">
        <v>129</v>
      </c>
      <c r="G32" s="33">
        <v>1.42</v>
      </c>
      <c r="H32" s="21"/>
      <c r="I32" s="34">
        <v>15.208</v>
      </c>
      <c r="J32" s="35">
        <v>51.64</v>
      </c>
      <c r="K32" s="12"/>
      <c r="L32" s="12"/>
      <c r="M32" s="35">
        <f>ROUND(ROUND(J32, 2)*I32, 2)</f>
        <v>785.34</v>
      </c>
      <c r="N32" s="12"/>
      <c r="O32" s="12"/>
      <c r="P32" s="35">
        <v>56.76</v>
      </c>
      <c r="Q32" s="12"/>
      <c r="R32" s="12"/>
      <c r="S32" s="35">
        <f>ROUND(ROUND(P32, 2)*I32, 2)</f>
        <v>863.21</v>
      </c>
      <c r="T32" s="12"/>
      <c r="U32" s="36"/>
      <c r="V32" s="9">
        <f>ROUND(ROUND(P32, 2)/1.2, 2)</f>
        <v>47.3</v>
      </c>
      <c r="Y32" s="9">
        <f t="shared" si="3"/>
        <v>719.34</v>
      </c>
      <c r="AD32" s="4" t="s">
        <v>144</v>
      </c>
      <c r="AE32" s="4" t="s">
        <v>145</v>
      </c>
      <c r="AF32" s="4" t="s">
        <v>137</v>
      </c>
    </row>
    <row r="33" spans="1:35" ht="36" x14ac:dyDescent="0.35">
      <c r="A33" s="11" t="s">
        <v>146</v>
      </c>
      <c r="B33" s="11"/>
      <c r="C33" s="31" t="s">
        <v>122</v>
      </c>
      <c r="D33" s="21"/>
      <c r="E33" s="21"/>
      <c r="F33" s="32" t="s">
        <v>56</v>
      </c>
      <c r="G33" s="33">
        <v>2.1</v>
      </c>
      <c r="H33" s="21"/>
      <c r="I33" s="33">
        <v>8.7149999999999999</v>
      </c>
      <c r="J33" s="35">
        <v>135.53</v>
      </c>
      <c r="K33" s="12"/>
      <c r="L33" s="12"/>
      <c r="M33" s="35">
        <f>ROUND(ROUND(J33, 2)*I33, 2)</f>
        <v>1181.1400000000001</v>
      </c>
      <c r="N33" s="12"/>
      <c r="O33" s="12"/>
      <c r="P33" s="35">
        <v>135.53</v>
      </c>
      <c r="Q33" s="12"/>
      <c r="R33" s="12"/>
      <c r="S33" s="35">
        <f>ROUND(ROUND(P33, 2)*I33, 2)</f>
        <v>1181.1400000000001</v>
      </c>
      <c r="T33" s="12"/>
      <c r="U33" s="36"/>
      <c r="V33" s="9">
        <f>ROUND(ROUND(P33, 2)/1.2, 2)</f>
        <v>112.94</v>
      </c>
      <c r="Y33" s="9">
        <f t="shared" si="3"/>
        <v>984.28</v>
      </c>
      <c r="AD33" s="4" t="s">
        <v>147</v>
      </c>
      <c r="AE33" s="4" t="s">
        <v>148</v>
      </c>
      <c r="AF33" s="4" t="s">
        <v>126</v>
      </c>
    </row>
    <row r="34" spans="1:35" ht="54" x14ac:dyDescent="0.35">
      <c r="A34" s="11" t="s">
        <v>149</v>
      </c>
      <c r="B34" s="11"/>
      <c r="C34" s="31" t="s">
        <v>117</v>
      </c>
      <c r="D34" s="21"/>
      <c r="E34" s="21"/>
      <c r="F34" s="32" t="s">
        <v>87</v>
      </c>
      <c r="G34" s="33">
        <v>1</v>
      </c>
      <c r="H34" s="21"/>
      <c r="I34" s="33">
        <v>4.1500000000000004</v>
      </c>
      <c r="J34" s="35">
        <v>102.34</v>
      </c>
      <c r="K34" s="12"/>
      <c r="L34" s="12"/>
      <c r="M34" s="35">
        <f>ROUND(ROUND(J34, 2)*I34, 2)</f>
        <v>424.71</v>
      </c>
      <c r="N34" s="12"/>
      <c r="O34" s="12"/>
      <c r="P34" s="35">
        <v>102.33</v>
      </c>
      <c r="Q34" s="12"/>
      <c r="R34" s="12"/>
      <c r="S34" s="35">
        <f>ROUND(ROUND(P34, 2)*I34, 2)</f>
        <v>424.67</v>
      </c>
      <c r="T34" s="12"/>
      <c r="U34" s="36"/>
      <c r="V34" s="9">
        <f>ROUND(ROUND(P34, 2)/1.2, 2)</f>
        <v>85.28</v>
      </c>
      <c r="Y34" s="9">
        <f t="shared" si="3"/>
        <v>353.89</v>
      </c>
      <c r="AD34" s="4" t="s">
        <v>150</v>
      </c>
      <c r="AE34" s="4" t="s">
        <v>151</v>
      </c>
      <c r="AF34" s="4" t="s">
        <v>120</v>
      </c>
    </row>
    <row r="35" spans="1:35" ht="36" x14ac:dyDescent="0.35">
      <c r="A35" s="11" t="s">
        <v>152</v>
      </c>
      <c r="B35" s="11" t="s">
        <v>111</v>
      </c>
      <c r="C35" s="20" t="s">
        <v>112</v>
      </c>
      <c r="D35" s="21"/>
      <c r="E35" s="21" t="s">
        <v>153</v>
      </c>
      <c r="F35" s="21" t="s">
        <v>56</v>
      </c>
      <c r="G35" s="22">
        <v>1</v>
      </c>
      <c r="H35" s="21"/>
      <c r="I35" s="22">
        <v>35.130000000000003</v>
      </c>
      <c r="J35" s="23">
        <f>IFERROR(ROUND(SUM(M36,M37,M38,M39)/I35, 2),0)</f>
        <v>966.15</v>
      </c>
      <c r="K35" s="23">
        <v>2293</v>
      </c>
      <c r="L35" s="23">
        <f>J35+ROUND(K35, 2)</f>
        <v>3259.15</v>
      </c>
      <c r="M35" s="23">
        <f>ROUND(J35*I35, 2)</f>
        <v>33940.85</v>
      </c>
      <c r="N35" s="23">
        <f>ROUND(I35*ROUND(K35, 2), 2)</f>
        <v>80553.09</v>
      </c>
      <c r="O35" s="23">
        <f>M35+N35</f>
        <v>114493.94</v>
      </c>
      <c r="P35" s="23">
        <f>IFERROR(ROUND(SUM(S36,S37,S38,S39)/I35, 2),0)</f>
        <v>1023.61</v>
      </c>
      <c r="Q35" s="23">
        <v>2293</v>
      </c>
      <c r="R35" s="23">
        <f>P35+ROUND(Q35, 2)</f>
        <v>3316.61</v>
      </c>
      <c r="S35" s="23">
        <f>ROUND(P35*I35, 2)</f>
        <v>35959.42</v>
      </c>
      <c r="T35" s="23">
        <f>ROUND(I35*ROUND(Q35, 2), 2)</f>
        <v>80553.09</v>
      </c>
      <c r="U35" s="23">
        <f>S35+T35</f>
        <v>116512.51</v>
      </c>
      <c r="V35" s="9">
        <f>ROUND(P35 / 1.2, 2)</f>
        <v>853.01</v>
      </c>
      <c r="W35" s="9">
        <f>ROUND(Q35 / 1.2, 2)</f>
        <v>1910.83</v>
      </c>
      <c r="X35" s="9">
        <f>ROUND(R35 / 1.2, 2)</f>
        <v>2763.84</v>
      </c>
      <c r="Y35" s="9">
        <f t="shared" si="3"/>
        <v>29966.18</v>
      </c>
      <c r="Z35" s="9">
        <f>ROUND(T35 / 1.2, 2)</f>
        <v>67127.58</v>
      </c>
      <c r="AA35" s="9">
        <f>Y35+Z35</f>
        <v>97093.760000000009</v>
      </c>
      <c r="AD35" s="4">
        <v>303752460</v>
      </c>
      <c r="AE35" s="4">
        <v>19932231</v>
      </c>
      <c r="AG35" s="4" t="s">
        <v>114</v>
      </c>
      <c r="AH35" s="4" t="s">
        <v>115</v>
      </c>
      <c r="AI35" s="4" t="s">
        <v>59</v>
      </c>
    </row>
    <row r="36" spans="1:35" ht="18" x14ac:dyDescent="0.35">
      <c r="A36" s="11" t="s">
        <v>154</v>
      </c>
      <c r="B36" s="11"/>
      <c r="C36" s="37" t="s">
        <v>128</v>
      </c>
      <c r="D36" s="21"/>
      <c r="E36" s="21"/>
      <c r="F36" s="32" t="s">
        <v>129</v>
      </c>
      <c r="G36" s="33">
        <v>4.07</v>
      </c>
      <c r="H36" s="21"/>
      <c r="I36" s="34">
        <v>190.476</v>
      </c>
      <c r="J36" s="35">
        <v>64.56</v>
      </c>
      <c r="K36" s="12"/>
      <c r="L36" s="12"/>
      <c r="M36" s="35">
        <f>ROUND(ROUND(J36, 2)*I36, 2)</f>
        <v>12297.13</v>
      </c>
      <c r="N36" s="12"/>
      <c r="O36" s="12"/>
      <c r="P36" s="35">
        <v>70.97</v>
      </c>
      <c r="Q36" s="12"/>
      <c r="R36" s="12"/>
      <c r="S36" s="35">
        <f>ROUND(ROUND(P36, 2)*I36, 2)</f>
        <v>13518.08</v>
      </c>
      <c r="T36" s="12"/>
      <c r="U36" s="36"/>
      <c r="V36" s="9">
        <f>ROUND(ROUND(P36, 2)/1.2, 2)</f>
        <v>59.14</v>
      </c>
      <c r="Y36" s="9">
        <f t="shared" si="3"/>
        <v>11265.07</v>
      </c>
      <c r="AD36" s="4" t="s">
        <v>155</v>
      </c>
      <c r="AE36" s="4" t="s">
        <v>156</v>
      </c>
      <c r="AF36" s="4" t="s">
        <v>132</v>
      </c>
    </row>
    <row r="37" spans="1:35" ht="18" x14ac:dyDescent="0.35">
      <c r="A37" s="11" t="s">
        <v>157</v>
      </c>
      <c r="B37" s="11"/>
      <c r="C37" s="37" t="s">
        <v>134</v>
      </c>
      <c r="D37" s="21"/>
      <c r="E37" s="21"/>
      <c r="F37" s="32" t="s">
        <v>129</v>
      </c>
      <c r="G37" s="33">
        <v>1.42</v>
      </c>
      <c r="H37" s="21"/>
      <c r="I37" s="34">
        <v>155.88800000000001</v>
      </c>
      <c r="J37" s="35">
        <v>51.64</v>
      </c>
      <c r="K37" s="12"/>
      <c r="L37" s="12"/>
      <c r="M37" s="35">
        <f>ROUND(ROUND(J37, 2)*I37, 2)</f>
        <v>8050.06</v>
      </c>
      <c r="N37" s="12"/>
      <c r="O37" s="12"/>
      <c r="P37" s="35">
        <v>56.76</v>
      </c>
      <c r="Q37" s="12"/>
      <c r="R37" s="12"/>
      <c r="S37" s="35">
        <f>ROUND(ROUND(P37, 2)*I37, 2)</f>
        <v>8848.2000000000007</v>
      </c>
      <c r="T37" s="12"/>
      <c r="U37" s="36"/>
      <c r="V37" s="9">
        <f>ROUND(ROUND(P37, 2)/1.2, 2)</f>
        <v>47.3</v>
      </c>
      <c r="Y37" s="9">
        <f t="shared" si="3"/>
        <v>7373.5</v>
      </c>
      <c r="AD37" s="4" t="s">
        <v>158</v>
      </c>
      <c r="AE37" s="4" t="s">
        <v>159</v>
      </c>
      <c r="AF37" s="4" t="s">
        <v>137</v>
      </c>
    </row>
    <row r="38" spans="1:35" ht="36" x14ac:dyDescent="0.35">
      <c r="A38" s="11" t="s">
        <v>160</v>
      </c>
      <c r="B38" s="11"/>
      <c r="C38" s="31" t="s">
        <v>122</v>
      </c>
      <c r="D38" s="21"/>
      <c r="E38" s="21"/>
      <c r="F38" s="32" t="s">
        <v>56</v>
      </c>
      <c r="G38" s="33">
        <v>2.1</v>
      </c>
      <c r="H38" s="21"/>
      <c r="I38" s="33">
        <v>73.772999999999996</v>
      </c>
      <c r="J38" s="35">
        <v>135.53</v>
      </c>
      <c r="K38" s="12"/>
      <c r="L38" s="12"/>
      <c r="M38" s="35">
        <f>ROUND(ROUND(J38, 2)*I38, 2)</f>
        <v>9998.4500000000007</v>
      </c>
      <c r="N38" s="12"/>
      <c r="O38" s="12"/>
      <c r="P38" s="35">
        <v>135.53</v>
      </c>
      <c r="Q38" s="12"/>
      <c r="R38" s="12"/>
      <c r="S38" s="35">
        <f>ROUND(ROUND(P38, 2)*I38, 2)</f>
        <v>9998.4500000000007</v>
      </c>
      <c r="T38" s="12"/>
      <c r="U38" s="36"/>
      <c r="V38" s="9">
        <f>ROUND(ROUND(P38, 2)/1.2, 2)</f>
        <v>112.94</v>
      </c>
      <c r="Y38" s="9">
        <f t="shared" si="3"/>
        <v>8332.0400000000009</v>
      </c>
      <c r="AD38" s="4" t="s">
        <v>161</v>
      </c>
      <c r="AE38" s="4" t="s">
        <v>162</v>
      </c>
      <c r="AF38" s="4" t="s">
        <v>126</v>
      </c>
    </row>
    <row r="39" spans="1:35" ht="54" x14ac:dyDescent="0.35">
      <c r="A39" s="11" t="s">
        <v>163</v>
      </c>
      <c r="B39" s="11"/>
      <c r="C39" s="31" t="s">
        <v>117</v>
      </c>
      <c r="D39" s="21"/>
      <c r="E39" s="21"/>
      <c r="F39" s="32" t="s">
        <v>87</v>
      </c>
      <c r="G39" s="33">
        <v>1</v>
      </c>
      <c r="H39" s="21"/>
      <c r="I39" s="33">
        <v>35.130000000000003</v>
      </c>
      <c r="J39" s="35">
        <v>102.34</v>
      </c>
      <c r="K39" s="12"/>
      <c r="L39" s="12"/>
      <c r="M39" s="35">
        <f>ROUND(ROUND(J39, 2)*I39, 2)</f>
        <v>3595.2</v>
      </c>
      <c r="N39" s="12"/>
      <c r="O39" s="12"/>
      <c r="P39" s="35">
        <v>102.33</v>
      </c>
      <c r="Q39" s="12"/>
      <c r="R39" s="12"/>
      <c r="S39" s="35">
        <f>ROUND(ROUND(P39, 2)*I39, 2)</f>
        <v>3594.85</v>
      </c>
      <c r="T39" s="12"/>
      <c r="U39" s="36"/>
      <c r="V39" s="9">
        <f>ROUND(ROUND(P39, 2)/1.2, 2)</f>
        <v>85.28</v>
      </c>
      <c r="Y39" s="9">
        <f t="shared" si="3"/>
        <v>2995.71</v>
      </c>
      <c r="AD39" s="4" t="s">
        <v>164</v>
      </c>
      <c r="AE39" s="4" t="s">
        <v>165</v>
      </c>
      <c r="AF39" s="4" t="s">
        <v>120</v>
      </c>
    </row>
    <row r="40" spans="1:35" ht="126" x14ac:dyDescent="0.35">
      <c r="A40" s="38" t="s">
        <v>166</v>
      </c>
      <c r="B40" s="38" t="s">
        <v>167</v>
      </c>
      <c r="C40" s="39" t="s">
        <v>168</v>
      </c>
      <c r="D40" s="40" t="s">
        <v>75</v>
      </c>
      <c r="E40" s="40" t="s">
        <v>169</v>
      </c>
      <c r="F40" s="40" t="s">
        <v>56</v>
      </c>
      <c r="G40" s="41">
        <v>1</v>
      </c>
      <c r="H40" s="40"/>
      <c r="I40" s="42">
        <v>0</v>
      </c>
      <c r="J40" s="43">
        <f>IFERROR(ROUND(SUM(M42,M44,M46,M48)/I40, 2),0)</f>
        <v>0</v>
      </c>
      <c r="K40" s="43">
        <v>1064</v>
      </c>
      <c r="L40" s="43">
        <f>J40+ROUND(K40, 2)</f>
        <v>1064</v>
      </c>
      <c r="M40" s="43">
        <f>ROUND(J40*I40, 2)</f>
        <v>0</v>
      </c>
      <c r="N40" s="43">
        <f>ROUND(I40*ROUND(K40, 2), 2)</f>
        <v>0</v>
      </c>
      <c r="O40" s="43">
        <f>M40+N40</f>
        <v>0</v>
      </c>
      <c r="P40" s="43">
        <f>IFERROR(ROUND(SUM(S42,S44,S46,S48)/I40, 2),0)</f>
        <v>0</v>
      </c>
      <c r="Q40" s="43">
        <v>1064</v>
      </c>
      <c r="R40" s="43">
        <f>P40+ROUND(Q40, 2)</f>
        <v>1064</v>
      </c>
      <c r="S40" s="43">
        <f>ROUND(P40*I40, 2)</f>
        <v>0</v>
      </c>
      <c r="T40" s="43">
        <f>ROUND(I40*ROUND(Q40, 2), 2)</f>
        <v>0</v>
      </c>
      <c r="U40" s="43">
        <f>S40+T40</f>
        <v>0</v>
      </c>
      <c r="V40" s="9">
        <f>ROUND(P40 / 1.2, 2)</f>
        <v>0</v>
      </c>
      <c r="W40" s="9">
        <f>ROUND(Q40 / 1.2, 2)</f>
        <v>886.67</v>
      </c>
      <c r="X40" s="9">
        <f>ROUND(R40 / 1.2, 2)</f>
        <v>886.67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303752381</v>
      </c>
      <c r="AE40" s="4">
        <v>16084977</v>
      </c>
      <c r="AG40" s="4" t="s">
        <v>170</v>
      </c>
      <c r="AH40" s="4" t="s">
        <v>171</v>
      </c>
      <c r="AI40" s="4" t="s">
        <v>59</v>
      </c>
    </row>
    <row r="41" spans="1:35" ht="126" x14ac:dyDescent="0.35">
      <c r="A41" s="44" t="s">
        <v>172</v>
      </c>
      <c r="B41" s="44" t="s">
        <v>167</v>
      </c>
      <c r="C41" s="45" t="s">
        <v>168</v>
      </c>
      <c r="D41" s="46" t="s">
        <v>75</v>
      </c>
      <c r="E41" s="46" t="s">
        <v>169</v>
      </c>
      <c r="F41" s="46" t="s">
        <v>56</v>
      </c>
      <c r="G41" s="47">
        <v>1</v>
      </c>
      <c r="H41" s="46"/>
      <c r="I41" s="47">
        <v>534.4</v>
      </c>
      <c r="J41" s="48">
        <v>0</v>
      </c>
      <c r="K41" s="48">
        <v>1064</v>
      </c>
      <c r="L41" s="48"/>
      <c r="M41" s="48">
        <v>0</v>
      </c>
      <c r="N41" s="48"/>
      <c r="O41" s="48"/>
      <c r="P41" s="48">
        <v>0</v>
      </c>
      <c r="Q41" s="48">
        <v>1064</v>
      </c>
      <c r="R41" s="48"/>
      <c r="S41" s="48">
        <v>0</v>
      </c>
      <c r="T41" s="48"/>
      <c r="U41" s="48"/>
      <c r="V41" s="9"/>
      <c r="W41" s="9">
        <f>ROUND(Q41 / 1.2, 2)</f>
        <v>886.67</v>
      </c>
      <c r="X41" s="9">
        <f>ROUND(R41 / 1.2, 2)</f>
        <v>0</v>
      </c>
      <c r="Y41" s="9"/>
      <c r="Z41" s="9">
        <f>ROUND(T41 / 1.2, 2)</f>
        <v>0</v>
      </c>
      <c r="AA41" s="9"/>
      <c r="AD41" s="4">
        <v>204426388</v>
      </c>
      <c r="AE41" s="4">
        <v>16084977</v>
      </c>
      <c r="AG41" s="4" t="s">
        <v>170</v>
      </c>
      <c r="AH41" s="4" t="s">
        <v>171</v>
      </c>
      <c r="AI41" s="4"/>
    </row>
    <row r="42" spans="1:35" ht="54" x14ac:dyDescent="0.35">
      <c r="A42" s="38" t="s">
        <v>173</v>
      </c>
      <c r="B42" s="38"/>
      <c r="C42" s="49" t="s">
        <v>174</v>
      </c>
      <c r="D42" s="40"/>
      <c r="E42" s="40"/>
      <c r="F42" s="50" t="s">
        <v>87</v>
      </c>
      <c r="G42" s="51">
        <v>1</v>
      </c>
      <c r="H42" s="40"/>
      <c r="I42" s="52">
        <v>0</v>
      </c>
      <c r="J42" s="53">
        <v>43.7</v>
      </c>
      <c r="K42" s="54"/>
      <c r="L42" s="54"/>
      <c r="M42" s="53">
        <f t="shared" ref="M42:M49" si="4">ROUND(ROUND(J42, 2)*I42, 2)</f>
        <v>0</v>
      </c>
      <c r="N42" s="54"/>
      <c r="O42" s="54"/>
      <c r="P42" s="53">
        <v>43.7</v>
      </c>
      <c r="Q42" s="54"/>
      <c r="R42" s="54"/>
      <c r="S42" s="53">
        <f t="shared" ref="S42:S49" si="5">ROUND(ROUND(P42, 2)*I42, 2)</f>
        <v>0</v>
      </c>
      <c r="T42" s="54"/>
      <c r="U42" s="55"/>
      <c r="V42" s="9">
        <f t="shared" ref="V42:V49" si="6">ROUND(ROUND(P42, 2)/1.2, 2)</f>
        <v>36.42</v>
      </c>
      <c r="Y42" s="9">
        <f t="shared" ref="Y42:Y49" si="7">ROUND(S42 / 1.2, 2)</f>
        <v>0</v>
      </c>
      <c r="AD42" s="4" t="s">
        <v>175</v>
      </c>
      <c r="AE42" s="4" t="s">
        <v>176</v>
      </c>
      <c r="AF42" s="4" t="s">
        <v>177</v>
      </c>
    </row>
    <row r="43" spans="1:35" ht="54" x14ac:dyDescent="0.35">
      <c r="A43" s="44" t="s">
        <v>178</v>
      </c>
      <c r="B43" s="44"/>
      <c r="C43" s="56" t="s">
        <v>174</v>
      </c>
      <c r="D43" s="46"/>
      <c r="E43" s="46"/>
      <c r="F43" s="57" t="s">
        <v>87</v>
      </c>
      <c r="G43" s="58">
        <v>1</v>
      </c>
      <c r="H43" s="46"/>
      <c r="I43" s="58">
        <v>534.4</v>
      </c>
      <c r="J43" s="59">
        <v>43.7</v>
      </c>
      <c r="K43" s="60"/>
      <c r="L43" s="60"/>
      <c r="M43" s="59">
        <f t="shared" si="4"/>
        <v>23353.279999999999</v>
      </c>
      <c r="N43" s="60"/>
      <c r="O43" s="60"/>
      <c r="P43" s="59">
        <v>43.7</v>
      </c>
      <c r="Q43" s="60"/>
      <c r="R43" s="60"/>
      <c r="S43" s="59">
        <f t="shared" si="5"/>
        <v>23353.279999999999</v>
      </c>
      <c r="T43" s="60"/>
      <c r="U43" s="61"/>
      <c r="V43" s="9">
        <f t="shared" si="6"/>
        <v>36.42</v>
      </c>
      <c r="Y43" s="9">
        <f t="shared" si="7"/>
        <v>19461.07</v>
      </c>
      <c r="AD43" s="4" t="s">
        <v>179</v>
      </c>
      <c r="AE43" s="4" t="s">
        <v>176</v>
      </c>
      <c r="AF43" s="4" t="s">
        <v>177</v>
      </c>
    </row>
    <row r="44" spans="1:35" ht="18" x14ac:dyDescent="0.35">
      <c r="A44" s="38" t="s">
        <v>180</v>
      </c>
      <c r="B44" s="38"/>
      <c r="C44" s="49" t="s">
        <v>181</v>
      </c>
      <c r="D44" s="40"/>
      <c r="E44" s="40"/>
      <c r="F44" s="50" t="s">
        <v>129</v>
      </c>
      <c r="G44" s="51">
        <v>2.1</v>
      </c>
      <c r="H44" s="40"/>
      <c r="I44" s="52">
        <v>0</v>
      </c>
      <c r="J44" s="53">
        <v>95.07</v>
      </c>
      <c r="K44" s="54"/>
      <c r="L44" s="54"/>
      <c r="M44" s="53">
        <f t="shared" si="4"/>
        <v>0</v>
      </c>
      <c r="N44" s="54"/>
      <c r="O44" s="54"/>
      <c r="P44" s="53">
        <v>95.07</v>
      </c>
      <c r="Q44" s="54"/>
      <c r="R44" s="54"/>
      <c r="S44" s="53">
        <f t="shared" si="5"/>
        <v>0</v>
      </c>
      <c r="T44" s="54"/>
      <c r="U44" s="55"/>
      <c r="V44" s="9">
        <f t="shared" si="6"/>
        <v>79.23</v>
      </c>
      <c r="Y44" s="9">
        <f t="shared" si="7"/>
        <v>0</v>
      </c>
      <c r="AD44" s="4" t="s">
        <v>182</v>
      </c>
      <c r="AE44" s="4" t="s">
        <v>183</v>
      </c>
      <c r="AF44" s="4" t="s">
        <v>184</v>
      </c>
    </row>
    <row r="45" spans="1:35" ht="18" x14ac:dyDescent="0.35">
      <c r="A45" s="44" t="s">
        <v>185</v>
      </c>
      <c r="B45" s="44"/>
      <c r="C45" s="56" t="s">
        <v>181</v>
      </c>
      <c r="D45" s="46"/>
      <c r="E45" s="46"/>
      <c r="F45" s="57" t="s">
        <v>129</v>
      </c>
      <c r="G45" s="58">
        <v>2.1</v>
      </c>
      <c r="H45" s="46"/>
      <c r="I45" s="58">
        <v>1122.24</v>
      </c>
      <c r="J45" s="59">
        <v>95.07</v>
      </c>
      <c r="K45" s="60"/>
      <c r="L45" s="60"/>
      <c r="M45" s="59">
        <f t="shared" si="4"/>
        <v>106691.36</v>
      </c>
      <c r="N45" s="60"/>
      <c r="O45" s="60"/>
      <c r="P45" s="59">
        <v>95.07</v>
      </c>
      <c r="Q45" s="60"/>
      <c r="R45" s="60"/>
      <c r="S45" s="59">
        <f t="shared" si="5"/>
        <v>106691.36</v>
      </c>
      <c r="T45" s="60"/>
      <c r="U45" s="61"/>
      <c r="V45" s="9">
        <f t="shared" si="6"/>
        <v>79.23</v>
      </c>
      <c r="Y45" s="9">
        <f t="shared" si="7"/>
        <v>88909.47</v>
      </c>
      <c r="AD45" s="4" t="s">
        <v>186</v>
      </c>
      <c r="AE45" s="4" t="s">
        <v>183</v>
      </c>
      <c r="AF45" s="4" t="s">
        <v>184</v>
      </c>
    </row>
    <row r="46" spans="1:35" ht="18" x14ac:dyDescent="0.35">
      <c r="A46" s="38" t="s">
        <v>187</v>
      </c>
      <c r="B46" s="38"/>
      <c r="C46" s="49" t="s">
        <v>188</v>
      </c>
      <c r="D46" s="40"/>
      <c r="E46" s="40"/>
      <c r="F46" s="50" t="s">
        <v>129</v>
      </c>
      <c r="G46" s="51">
        <v>0.8</v>
      </c>
      <c r="H46" s="40"/>
      <c r="I46" s="52">
        <v>0</v>
      </c>
      <c r="J46" s="53">
        <v>69.39</v>
      </c>
      <c r="K46" s="54"/>
      <c r="L46" s="54"/>
      <c r="M46" s="53">
        <f t="shared" si="4"/>
        <v>0</v>
      </c>
      <c r="N46" s="54"/>
      <c r="O46" s="54"/>
      <c r="P46" s="53">
        <v>69.39</v>
      </c>
      <c r="Q46" s="54"/>
      <c r="R46" s="54"/>
      <c r="S46" s="53">
        <f t="shared" si="5"/>
        <v>0</v>
      </c>
      <c r="T46" s="54"/>
      <c r="U46" s="55"/>
      <c r="V46" s="9">
        <f t="shared" si="6"/>
        <v>57.83</v>
      </c>
      <c r="Y46" s="9">
        <f t="shared" si="7"/>
        <v>0</v>
      </c>
      <c r="AD46" s="4" t="s">
        <v>189</v>
      </c>
      <c r="AE46" s="4" t="s">
        <v>190</v>
      </c>
      <c r="AF46" s="4" t="s">
        <v>191</v>
      </c>
    </row>
    <row r="47" spans="1:35" ht="18" x14ac:dyDescent="0.35">
      <c r="A47" s="44" t="s">
        <v>192</v>
      </c>
      <c r="B47" s="44"/>
      <c r="C47" s="56" t="s">
        <v>188</v>
      </c>
      <c r="D47" s="46"/>
      <c r="E47" s="46"/>
      <c r="F47" s="57" t="s">
        <v>129</v>
      </c>
      <c r="G47" s="58">
        <v>0.8</v>
      </c>
      <c r="H47" s="46"/>
      <c r="I47" s="58">
        <v>427.52</v>
      </c>
      <c r="J47" s="59">
        <v>69.39</v>
      </c>
      <c r="K47" s="60"/>
      <c r="L47" s="60"/>
      <c r="M47" s="59">
        <f t="shared" si="4"/>
        <v>29665.61</v>
      </c>
      <c r="N47" s="60"/>
      <c r="O47" s="60"/>
      <c r="P47" s="59">
        <v>69.39</v>
      </c>
      <c r="Q47" s="60"/>
      <c r="R47" s="60"/>
      <c r="S47" s="59">
        <f t="shared" si="5"/>
        <v>29665.61</v>
      </c>
      <c r="T47" s="60"/>
      <c r="U47" s="61"/>
      <c r="V47" s="9">
        <f t="shared" si="6"/>
        <v>57.83</v>
      </c>
      <c r="Y47" s="9">
        <f t="shared" si="7"/>
        <v>24721.34</v>
      </c>
      <c r="AD47" s="4" t="s">
        <v>193</v>
      </c>
      <c r="AE47" s="4" t="s">
        <v>190</v>
      </c>
      <c r="AF47" s="4" t="s">
        <v>191</v>
      </c>
    </row>
    <row r="48" spans="1:35" ht="18" x14ac:dyDescent="0.35">
      <c r="A48" s="38" t="s">
        <v>194</v>
      </c>
      <c r="B48" s="38"/>
      <c r="C48" s="49" t="s">
        <v>195</v>
      </c>
      <c r="D48" s="40"/>
      <c r="E48" s="40"/>
      <c r="F48" s="50" t="s">
        <v>56</v>
      </c>
      <c r="G48" s="51">
        <v>1.1000000000000001</v>
      </c>
      <c r="H48" s="40"/>
      <c r="I48" s="52">
        <v>0</v>
      </c>
      <c r="J48" s="53">
        <v>207.33</v>
      </c>
      <c r="K48" s="54"/>
      <c r="L48" s="54"/>
      <c r="M48" s="53">
        <f t="shared" si="4"/>
        <v>0</v>
      </c>
      <c r="N48" s="54"/>
      <c r="O48" s="54"/>
      <c r="P48" s="53">
        <v>207.33</v>
      </c>
      <c r="Q48" s="54"/>
      <c r="R48" s="54"/>
      <c r="S48" s="53">
        <f t="shared" si="5"/>
        <v>0</v>
      </c>
      <c r="T48" s="54"/>
      <c r="U48" s="55"/>
      <c r="V48" s="9">
        <f t="shared" si="6"/>
        <v>172.78</v>
      </c>
      <c r="Y48" s="9">
        <f t="shared" si="7"/>
        <v>0</v>
      </c>
      <c r="AD48" s="4" t="s">
        <v>196</v>
      </c>
      <c r="AE48" s="4" t="s">
        <v>197</v>
      </c>
      <c r="AF48" s="4" t="s">
        <v>198</v>
      </c>
    </row>
    <row r="49" spans="1:35" ht="18" x14ac:dyDescent="0.35">
      <c r="A49" s="44" t="s">
        <v>199</v>
      </c>
      <c r="B49" s="44"/>
      <c r="C49" s="56" t="s">
        <v>195</v>
      </c>
      <c r="D49" s="46"/>
      <c r="E49" s="46"/>
      <c r="F49" s="57" t="s">
        <v>56</v>
      </c>
      <c r="G49" s="58">
        <v>1.1000000000000001</v>
      </c>
      <c r="H49" s="46"/>
      <c r="I49" s="58">
        <v>587.84</v>
      </c>
      <c r="J49" s="59">
        <v>207.33</v>
      </c>
      <c r="K49" s="60"/>
      <c r="L49" s="60"/>
      <c r="M49" s="59">
        <f t="shared" si="4"/>
        <v>121876.87</v>
      </c>
      <c r="N49" s="60"/>
      <c r="O49" s="60"/>
      <c r="P49" s="59">
        <v>207.33</v>
      </c>
      <c r="Q49" s="60"/>
      <c r="R49" s="60"/>
      <c r="S49" s="59">
        <f t="shared" si="5"/>
        <v>121876.87</v>
      </c>
      <c r="T49" s="60"/>
      <c r="U49" s="61"/>
      <c r="V49" s="9">
        <f t="shared" si="6"/>
        <v>172.78</v>
      </c>
      <c r="Y49" s="9">
        <f t="shared" si="7"/>
        <v>101564.06</v>
      </c>
      <c r="AD49" s="4" t="s">
        <v>200</v>
      </c>
      <c r="AE49" s="4" t="s">
        <v>197</v>
      </c>
      <c r="AF49" s="4" t="s">
        <v>198</v>
      </c>
    </row>
    <row r="50" spans="1:35" ht="17" customHeight="1" x14ac:dyDescent="0.35">
      <c r="A50" s="11" t="s">
        <v>201</v>
      </c>
      <c r="B50" s="11" t="s">
        <v>202</v>
      </c>
      <c r="C50" s="109" t="s">
        <v>203</v>
      </c>
      <c r="D50" s="110"/>
      <c r="E50" s="110"/>
      <c r="F50" s="110"/>
      <c r="G50" s="110"/>
      <c r="H50" s="110"/>
      <c r="I50" s="111"/>
      <c r="J50" s="12"/>
      <c r="K50" s="12"/>
      <c r="L50" s="12"/>
      <c r="M50" s="13">
        <f>SUM(M51)</f>
        <v>4957.96</v>
      </c>
      <c r="N50" s="13">
        <f>SUM(N51)</f>
        <v>3524.76</v>
      </c>
      <c r="O50" s="13">
        <f>SUM(O51)</f>
        <v>8482.7200000000012</v>
      </c>
      <c r="P50" s="12"/>
      <c r="Q50" s="12"/>
      <c r="R50" s="12"/>
      <c r="S50" s="13">
        <f>SUM(S51)</f>
        <v>5010.2</v>
      </c>
      <c r="T50" s="13">
        <f>SUM(T51)</f>
        <v>3524.76</v>
      </c>
      <c r="U50" s="13">
        <f>SUM(U51)</f>
        <v>8534.9599999999991</v>
      </c>
      <c r="Y50" s="9">
        <f>SUM(Y51)</f>
        <v>4175.17</v>
      </c>
      <c r="Z50" s="9">
        <f>SUM(Z51)</f>
        <v>2937.3</v>
      </c>
      <c r="AA50" s="9">
        <f>SUM(AA51)</f>
        <v>7112.47</v>
      </c>
      <c r="AD50" s="4">
        <v>303752382</v>
      </c>
      <c r="AE50" s="4">
        <v>19930591</v>
      </c>
    </row>
    <row r="51" spans="1:35" ht="36" x14ac:dyDescent="0.35">
      <c r="A51" s="11" t="s">
        <v>204</v>
      </c>
      <c r="B51" s="11" t="s">
        <v>205</v>
      </c>
      <c r="C51" s="20" t="s">
        <v>206</v>
      </c>
      <c r="D51" s="21" t="s">
        <v>75</v>
      </c>
      <c r="E51" s="21" t="s">
        <v>76</v>
      </c>
      <c r="F51" s="21" t="s">
        <v>207</v>
      </c>
      <c r="G51" s="22">
        <v>1</v>
      </c>
      <c r="H51" s="21"/>
      <c r="I51" s="22">
        <v>0.06</v>
      </c>
      <c r="J51" s="23">
        <f>IFERROR(ROUND(SUM(M52,M53,M54)/I51, 2),0)</f>
        <v>82632.67</v>
      </c>
      <c r="K51" s="23">
        <v>58746</v>
      </c>
      <c r="L51" s="23">
        <f>J51+ROUND(K51, 2)</f>
        <v>141378.66999999998</v>
      </c>
      <c r="M51" s="23">
        <f>ROUND(J51*I51, 2)</f>
        <v>4957.96</v>
      </c>
      <c r="N51" s="23">
        <f>ROUND(I51*ROUND(K51, 2), 2)</f>
        <v>3524.76</v>
      </c>
      <c r="O51" s="23">
        <f>M51+N51</f>
        <v>8482.7200000000012</v>
      </c>
      <c r="P51" s="23">
        <f>IFERROR(ROUND(SUM(S52,S53,S54)/I51, 2),0)</f>
        <v>83503.33</v>
      </c>
      <c r="Q51" s="23">
        <v>58746</v>
      </c>
      <c r="R51" s="23">
        <f>P51+ROUND(Q51, 2)</f>
        <v>142249.33000000002</v>
      </c>
      <c r="S51" s="23">
        <f>ROUND(P51*I51, 2)</f>
        <v>5010.2</v>
      </c>
      <c r="T51" s="23">
        <f>ROUND(I51*ROUND(Q51, 2), 2)</f>
        <v>3524.76</v>
      </c>
      <c r="U51" s="23">
        <f>S51+T51</f>
        <v>8534.9599999999991</v>
      </c>
      <c r="V51" s="9">
        <f>ROUND(P51 / 1.2, 2)</f>
        <v>69586.11</v>
      </c>
      <c r="W51" s="9">
        <f>ROUND(Q51 / 1.2, 2)</f>
        <v>48955</v>
      </c>
      <c r="X51" s="9">
        <f>ROUND(R51 / 1.2, 2)</f>
        <v>118541.11</v>
      </c>
      <c r="Y51" s="9">
        <f>ROUND(S51 / 1.2, 2)</f>
        <v>4175.17</v>
      </c>
      <c r="Z51" s="9">
        <f>ROUND(T51 / 1.2, 2)</f>
        <v>2937.3</v>
      </c>
      <c r="AA51" s="9">
        <f>Y51+Z51</f>
        <v>7112.47</v>
      </c>
      <c r="AD51" s="4">
        <v>303752384</v>
      </c>
      <c r="AE51" s="4">
        <v>19930594</v>
      </c>
      <c r="AG51" s="4" t="s">
        <v>208</v>
      </c>
      <c r="AH51" s="4" t="s">
        <v>209</v>
      </c>
      <c r="AI51" s="4" t="s">
        <v>59</v>
      </c>
    </row>
    <row r="52" spans="1:35" ht="18" x14ac:dyDescent="0.35">
      <c r="A52" s="11" t="s">
        <v>210</v>
      </c>
      <c r="B52" s="11"/>
      <c r="C52" s="31" t="s">
        <v>211</v>
      </c>
      <c r="D52" s="21"/>
      <c r="E52" s="21"/>
      <c r="F52" s="32" t="s">
        <v>103</v>
      </c>
      <c r="G52" s="33">
        <v>1</v>
      </c>
      <c r="H52" s="21"/>
      <c r="I52" s="34">
        <v>2</v>
      </c>
      <c r="J52" s="35">
        <v>0</v>
      </c>
      <c r="K52" s="12"/>
      <c r="L52" s="12"/>
      <c r="M52" s="35">
        <f>ROUND(ROUND(J52, 2)*I52, 2)</f>
        <v>0</v>
      </c>
      <c r="N52" s="12"/>
      <c r="O52" s="12"/>
      <c r="P52" s="35">
        <v>26.12</v>
      </c>
      <c r="Q52" s="12"/>
      <c r="R52" s="12"/>
      <c r="S52" s="35">
        <f>ROUND(ROUND(P52, 2)*I52, 2)</f>
        <v>52.24</v>
      </c>
      <c r="T52" s="12"/>
      <c r="U52" s="36"/>
      <c r="V52" s="9">
        <f>ROUND(ROUND(P52, 2)/1.2, 2)</f>
        <v>21.77</v>
      </c>
      <c r="Y52" s="9">
        <f>ROUND(S52 / 1.2, 2)</f>
        <v>43.53</v>
      </c>
      <c r="AD52" s="4" t="s">
        <v>212</v>
      </c>
      <c r="AE52" s="4" t="s">
        <v>213</v>
      </c>
      <c r="AF52" s="4" t="s">
        <v>214</v>
      </c>
    </row>
    <row r="53" spans="1:35" ht="18" x14ac:dyDescent="0.35">
      <c r="A53" s="11" t="s">
        <v>215</v>
      </c>
      <c r="B53" s="11"/>
      <c r="C53" s="31" t="s">
        <v>216</v>
      </c>
      <c r="D53" s="21"/>
      <c r="E53" s="21"/>
      <c r="F53" s="32" t="s">
        <v>207</v>
      </c>
      <c r="G53" s="33">
        <v>1.03</v>
      </c>
      <c r="H53" s="21"/>
      <c r="I53" s="34">
        <v>6.2E-2</v>
      </c>
      <c r="J53" s="35">
        <v>77175</v>
      </c>
      <c r="K53" s="12"/>
      <c r="L53" s="12"/>
      <c r="M53" s="35">
        <f>ROUND(ROUND(J53, 2)*I53, 2)</f>
        <v>4784.8500000000004</v>
      </c>
      <c r="N53" s="12"/>
      <c r="O53" s="12"/>
      <c r="P53" s="35">
        <v>77175</v>
      </c>
      <c r="Q53" s="12"/>
      <c r="R53" s="12"/>
      <c r="S53" s="35">
        <f>ROUND(ROUND(P53, 2)*I53, 2)</f>
        <v>4784.8500000000004</v>
      </c>
      <c r="T53" s="12"/>
      <c r="U53" s="36"/>
      <c r="V53" s="9">
        <f>ROUND(ROUND(P53, 2)/1.2, 2)</f>
        <v>64312.5</v>
      </c>
      <c r="Y53" s="9">
        <f>ROUND(S53 / 1.2, 2)</f>
        <v>3987.38</v>
      </c>
      <c r="AD53" s="4" t="s">
        <v>217</v>
      </c>
      <c r="AE53" s="4" t="s">
        <v>218</v>
      </c>
      <c r="AF53" s="4" t="s">
        <v>219</v>
      </c>
    </row>
    <row r="54" spans="1:35" ht="36" x14ac:dyDescent="0.35">
      <c r="A54" s="11" t="s">
        <v>220</v>
      </c>
      <c r="B54" s="11"/>
      <c r="C54" s="31" t="s">
        <v>221</v>
      </c>
      <c r="D54" s="21"/>
      <c r="E54" s="21"/>
      <c r="F54" s="32" t="s">
        <v>87</v>
      </c>
      <c r="G54" s="33">
        <v>1</v>
      </c>
      <c r="H54" s="21"/>
      <c r="I54" s="33">
        <v>0.06</v>
      </c>
      <c r="J54" s="35">
        <v>2885.15</v>
      </c>
      <c r="K54" s="12"/>
      <c r="L54" s="12"/>
      <c r="M54" s="35">
        <f>ROUND(ROUND(J54, 2)*I54, 2)</f>
        <v>173.11</v>
      </c>
      <c r="N54" s="12"/>
      <c r="O54" s="12"/>
      <c r="P54" s="35">
        <v>2885.15</v>
      </c>
      <c r="Q54" s="12"/>
      <c r="R54" s="12"/>
      <c r="S54" s="35">
        <f>ROUND(ROUND(P54, 2)*I54, 2)</f>
        <v>173.11</v>
      </c>
      <c r="T54" s="12"/>
      <c r="U54" s="36"/>
      <c r="V54" s="9">
        <f>ROUND(ROUND(P54, 2)/1.2, 2)</f>
        <v>2404.29</v>
      </c>
      <c r="Y54" s="9">
        <f>ROUND(S54 / 1.2, 2)</f>
        <v>144.26</v>
      </c>
      <c r="AD54" s="4" t="s">
        <v>222</v>
      </c>
      <c r="AE54" s="4" t="s">
        <v>223</v>
      </c>
      <c r="AF54" s="4" t="s">
        <v>224</v>
      </c>
    </row>
    <row r="55" spans="1:35" ht="17" customHeight="1" x14ac:dyDescent="0.35">
      <c r="A55" s="10" t="s">
        <v>225</v>
      </c>
      <c r="B55" s="10" t="s">
        <v>226</v>
      </c>
      <c r="C55" s="100" t="s">
        <v>227</v>
      </c>
      <c r="D55" s="101"/>
      <c r="E55" s="101"/>
      <c r="F55" s="101"/>
      <c r="G55" s="101"/>
      <c r="H55" s="101"/>
      <c r="I55" s="102"/>
      <c r="M55" s="6">
        <f t="shared" ref="M55:O56" si="8">SUM(M56)</f>
        <v>2964233.43</v>
      </c>
      <c r="N55" s="6">
        <f t="shared" si="8"/>
        <v>11062288.880000001</v>
      </c>
      <c r="O55" s="6">
        <f t="shared" si="8"/>
        <v>14026522.310000001</v>
      </c>
      <c r="S55" s="6">
        <f t="shared" ref="S55:U56" si="9">SUM(S56)</f>
        <v>3738329.8700000006</v>
      </c>
      <c r="T55" s="6">
        <f t="shared" si="9"/>
        <v>10933878.319999998</v>
      </c>
      <c r="U55" s="6">
        <f t="shared" si="9"/>
        <v>14672208.189999999</v>
      </c>
      <c r="Y55" s="9">
        <f t="shared" ref="Y55:AA56" si="10">SUM(Y56)</f>
        <v>3115274.94</v>
      </c>
      <c r="Z55" s="9">
        <f t="shared" si="10"/>
        <v>9111565.290000001</v>
      </c>
      <c r="AA55" s="9">
        <f t="shared" si="10"/>
        <v>12226840.229999997</v>
      </c>
      <c r="AD55" s="4">
        <v>303752385</v>
      </c>
      <c r="AE55" s="4">
        <v>16075339</v>
      </c>
    </row>
    <row r="56" spans="1:35" ht="17" customHeight="1" x14ac:dyDescent="0.35">
      <c r="A56" s="10" t="s">
        <v>228</v>
      </c>
      <c r="B56" s="10" t="s">
        <v>229</v>
      </c>
      <c r="C56" s="100" t="s">
        <v>230</v>
      </c>
      <c r="D56" s="101"/>
      <c r="E56" s="101"/>
      <c r="F56" s="101"/>
      <c r="G56" s="101"/>
      <c r="H56" s="101"/>
      <c r="I56" s="102"/>
      <c r="M56" s="6">
        <f t="shared" si="8"/>
        <v>2964233.43</v>
      </c>
      <c r="N56" s="6">
        <f t="shared" si="8"/>
        <v>11062288.880000001</v>
      </c>
      <c r="O56" s="6">
        <f t="shared" si="8"/>
        <v>14026522.310000001</v>
      </c>
      <c r="S56" s="6">
        <f t="shared" si="9"/>
        <v>3738329.8700000006</v>
      </c>
      <c r="T56" s="6">
        <f t="shared" si="9"/>
        <v>10933878.319999998</v>
      </c>
      <c r="U56" s="6">
        <f t="shared" si="9"/>
        <v>14672208.189999999</v>
      </c>
      <c r="Y56" s="9">
        <f t="shared" si="10"/>
        <v>3115274.94</v>
      </c>
      <c r="Z56" s="9">
        <f t="shared" si="10"/>
        <v>9111565.290000001</v>
      </c>
      <c r="AA56" s="9">
        <f t="shared" si="10"/>
        <v>12226840.229999997</v>
      </c>
      <c r="AD56" s="4">
        <v>303752386</v>
      </c>
      <c r="AE56" s="4">
        <v>16075340</v>
      </c>
    </row>
    <row r="57" spans="1:35" ht="17" customHeight="1" x14ac:dyDescent="0.35">
      <c r="A57" s="10" t="s">
        <v>231</v>
      </c>
      <c r="B57" s="10" t="s">
        <v>232</v>
      </c>
      <c r="C57" s="100" t="s">
        <v>233</v>
      </c>
      <c r="D57" s="101"/>
      <c r="E57" s="101"/>
      <c r="F57" s="101"/>
      <c r="G57" s="101"/>
      <c r="H57" s="101"/>
      <c r="I57" s="102"/>
      <c r="M57" s="6">
        <f>SUM(M58,M199,M487,M559)</f>
        <v>2964233.43</v>
      </c>
      <c r="N57" s="6">
        <f>SUM(N58,N199,N487,N559)</f>
        <v>11062288.880000001</v>
      </c>
      <c r="O57" s="6">
        <f>SUM(O58,O199,O487,O559)</f>
        <v>14026522.310000001</v>
      </c>
      <c r="S57" s="6">
        <f>SUM(S58,S199,S487,S559)</f>
        <v>3738329.8700000006</v>
      </c>
      <c r="T57" s="6">
        <f>SUM(T58,T199,T487,T559)</f>
        <v>10933878.319999998</v>
      </c>
      <c r="U57" s="6">
        <f>SUM(U58,U199,U487,U559)</f>
        <v>14672208.189999999</v>
      </c>
      <c r="Y57" s="9">
        <f>SUM(Y58,Y199,Y487,Y559)</f>
        <v>3115274.94</v>
      </c>
      <c r="Z57" s="9">
        <f>SUM(Z58,Z199,Z487,Z559)</f>
        <v>9111565.290000001</v>
      </c>
      <c r="AA57" s="9">
        <f>SUM(AA58,AA199,AA487,AA559)</f>
        <v>12226840.229999997</v>
      </c>
      <c r="AD57" s="4">
        <v>303752387</v>
      </c>
      <c r="AE57" s="4">
        <v>16075341</v>
      </c>
    </row>
    <row r="58" spans="1:35" ht="17" customHeight="1" x14ac:dyDescent="0.35">
      <c r="A58" s="10" t="s">
        <v>234</v>
      </c>
      <c r="B58" s="10" t="s">
        <v>235</v>
      </c>
      <c r="C58" s="100" t="s">
        <v>236</v>
      </c>
      <c r="D58" s="101"/>
      <c r="E58" s="101"/>
      <c r="F58" s="101"/>
      <c r="G58" s="101"/>
      <c r="H58" s="101"/>
      <c r="I58" s="102"/>
      <c r="M58" s="6">
        <f>SUM(M59,M114,M131)</f>
        <v>1585950.67</v>
      </c>
      <c r="N58" s="6">
        <f>SUM(N59,N114,N131)</f>
        <v>1034414.02</v>
      </c>
      <c r="O58" s="6">
        <f>SUM(O59,O114,O131)</f>
        <v>2620364.69</v>
      </c>
      <c r="S58" s="6">
        <f>SUM(S59,S114,S131)</f>
        <v>1709729.4700000002</v>
      </c>
      <c r="T58" s="6">
        <f>SUM(T59,T114,T131)</f>
        <v>906003.46</v>
      </c>
      <c r="U58" s="6">
        <f>SUM(U59,U114,U131)</f>
        <v>2615732.9299999997</v>
      </c>
      <c r="Y58" s="9">
        <f>SUM(Y59,Y114,Y131)</f>
        <v>1424774.5700000003</v>
      </c>
      <c r="Z58" s="9">
        <f>SUM(Z59,Z114,Z131)</f>
        <v>755002.88</v>
      </c>
      <c r="AA58" s="9">
        <f>SUM(AA59,AA114,AA131)</f>
        <v>2179777.4500000002</v>
      </c>
      <c r="AD58" s="4">
        <v>303752388</v>
      </c>
      <c r="AE58" s="4">
        <v>16075342</v>
      </c>
    </row>
    <row r="59" spans="1:35" ht="17" customHeight="1" x14ac:dyDescent="0.35">
      <c r="A59" s="10" t="s">
        <v>237</v>
      </c>
      <c r="B59" s="10" t="s">
        <v>238</v>
      </c>
      <c r="C59" s="100" t="s">
        <v>239</v>
      </c>
      <c r="D59" s="101"/>
      <c r="E59" s="101"/>
      <c r="F59" s="101"/>
      <c r="G59" s="101"/>
      <c r="H59" s="101"/>
      <c r="I59" s="102"/>
      <c r="M59" s="6">
        <f>SUM(M60,M66,M70,M74,M84,M92,M102,M110)</f>
        <v>151613.63</v>
      </c>
      <c r="N59" s="6">
        <f>SUM(N60,N66,N70,N74,N84,N92,N102,N110)</f>
        <v>496699.18</v>
      </c>
      <c r="O59" s="6">
        <f>SUM(O60,O66,O70,O74,O84,O92,O102,O110)</f>
        <v>648312.81000000006</v>
      </c>
      <c r="S59" s="6">
        <f>SUM(S60,S66,S70,S74,S84,S92,S102,S110)</f>
        <v>160174.34</v>
      </c>
      <c r="T59" s="6">
        <f>SUM(T60,T66,T70,T74,T84,T92,T102,T110)</f>
        <v>496699.18</v>
      </c>
      <c r="U59" s="6">
        <f>SUM(U60,U66,U70,U74,U84,U92,U102,U110)</f>
        <v>656873.52</v>
      </c>
      <c r="Y59" s="9">
        <f>SUM(Y60,Y66,Y70,Y74,Y84,Y92,Y102,Y110)</f>
        <v>133478.62</v>
      </c>
      <c r="Z59" s="9">
        <f>SUM(Z60,Z66,Z70,Z74,Z84,Z92,Z102,Z110)</f>
        <v>413915.98</v>
      </c>
      <c r="AA59" s="9">
        <f>SUM(AA60,AA66,AA70,AA74,AA84,AA92,AA102,AA110)</f>
        <v>547394.6</v>
      </c>
      <c r="AD59" s="4">
        <v>303752389</v>
      </c>
      <c r="AE59" s="4">
        <v>16077961</v>
      </c>
    </row>
    <row r="60" spans="1:35" ht="54" x14ac:dyDescent="0.35">
      <c r="A60" s="38" t="s">
        <v>240</v>
      </c>
      <c r="B60" s="38" t="s">
        <v>241</v>
      </c>
      <c r="C60" s="39" t="s">
        <v>242</v>
      </c>
      <c r="D60" s="40" t="s">
        <v>243</v>
      </c>
      <c r="E60" s="40" t="s">
        <v>244</v>
      </c>
      <c r="F60" s="40" t="s">
        <v>56</v>
      </c>
      <c r="G60" s="41">
        <v>1</v>
      </c>
      <c r="H60" s="40"/>
      <c r="I60" s="42">
        <v>0</v>
      </c>
      <c r="J60" s="43">
        <f>IFERROR(ROUND(SUM(M62,M64)/I60, 2),0)</f>
        <v>0</v>
      </c>
      <c r="K60" s="43">
        <v>400</v>
      </c>
      <c r="L60" s="43">
        <f>J60+ROUND(K60, 2)</f>
        <v>400</v>
      </c>
      <c r="M60" s="43">
        <f>ROUND(J60*I60, 2)</f>
        <v>0</v>
      </c>
      <c r="N60" s="43">
        <f>ROUND(I60*ROUND(K60, 2), 2)</f>
        <v>0</v>
      </c>
      <c r="O60" s="43">
        <f>M60+N60</f>
        <v>0</v>
      </c>
      <c r="P60" s="43">
        <f>IFERROR(ROUND(SUM(S62,S64)/I60, 2),0)</f>
        <v>0</v>
      </c>
      <c r="Q60" s="43">
        <v>388</v>
      </c>
      <c r="R60" s="43">
        <f>P60+ROUND(Q60, 2)</f>
        <v>388</v>
      </c>
      <c r="S60" s="43">
        <f>ROUND(P60*I60, 2)</f>
        <v>0</v>
      </c>
      <c r="T60" s="43">
        <f>ROUND(I60*ROUND(Q60, 2), 2)</f>
        <v>0</v>
      </c>
      <c r="U60" s="43">
        <f>S60+T60</f>
        <v>0</v>
      </c>
      <c r="V60" s="9">
        <f>ROUND(P60 / 1.2, 2)</f>
        <v>0</v>
      </c>
      <c r="W60" s="9">
        <f>ROUND(Q60 / 1.2, 2)</f>
        <v>323.33</v>
      </c>
      <c r="X60" s="9">
        <f>ROUND(R60 / 1.2, 2)</f>
        <v>323.33</v>
      </c>
      <c r="Y60" s="9">
        <f>ROUND(S60 / 1.2, 2)</f>
        <v>0</v>
      </c>
      <c r="Z60" s="9">
        <f>ROUND(T60 / 1.2, 2)</f>
        <v>0</v>
      </c>
      <c r="AA60" s="9">
        <f>Y60+Z60</f>
        <v>0</v>
      </c>
      <c r="AD60" s="4">
        <v>303752391</v>
      </c>
      <c r="AE60" s="4">
        <v>16078328</v>
      </c>
      <c r="AG60" s="4" t="s">
        <v>245</v>
      </c>
      <c r="AH60" s="4" t="s">
        <v>246</v>
      </c>
      <c r="AI60" s="4" t="s">
        <v>247</v>
      </c>
    </row>
    <row r="61" spans="1:35" ht="54" x14ac:dyDescent="0.35">
      <c r="A61" s="44" t="s">
        <v>248</v>
      </c>
      <c r="B61" s="44" t="s">
        <v>241</v>
      </c>
      <c r="C61" s="45" t="s">
        <v>242</v>
      </c>
      <c r="D61" s="46" t="s">
        <v>243</v>
      </c>
      <c r="E61" s="46" t="s">
        <v>244</v>
      </c>
      <c r="F61" s="46" t="s">
        <v>56</v>
      </c>
      <c r="G61" s="47">
        <v>1</v>
      </c>
      <c r="H61" s="46"/>
      <c r="I61" s="47">
        <v>900.7</v>
      </c>
      <c r="J61" s="48">
        <v>0</v>
      </c>
      <c r="K61" s="48">
        <v>388</v>
      </c>
      <c r="L61" s="48"/>
      <c r="M61" s="48">
        <v>0</v>
      </c>
      <c r="N61" s="48"/>
      <c r="O61" s="48"/>
      <c r="P61" s="48">
        <v>0</v>
      </c>
      <c r="Q61" s="48">
        <v>388</v>
      </c>
      <c r="R61" s="48"/>
      <c r="S61" s="48">
        <v>0</v>
      </c>
      <c r="T61" s="48"/>
      <c r="U61" s="48"/>
      <c r="V61" s="9"/>
      <c r="W61" s="9">
        <f>ROUND(Q61 / 1.2, 2)</f>
        <v>323.33</v>
      </c>
      <c r="X61" s="9">
        <f>ROUND(R61 / 1.2, 2)</f>
        <v>0</v>
      </c>
      <c r="Y61" s="9"/>
      <c r="Z61" s="9">
        <f>ROUND(T61 / 1.2, 2)</f>
        <v>0</v>
      </c>
      <c r="AA61" s="9"/>
      <c r="AD61" s="4">
        <v>204257133</v>
      </c>
      <c r="AE61" s="4">
        <v>16078328</v>
      </c>
      <c r="AG61" s="4" t="s">
        <v>245</v>
      </c>
      <c r="AH61" s="4" t="s">
        <v>246</v>
      </c>
      <c r="AI61" s="4"/>
    </row>
    <row r="62" spans="1:35" ht="36" x14ac:dyDescent="0.35">
      <c r="A62" s="38" t="s">
        <v>249</v>
      </c>
      <c r="B62" s="38"/>
      <c r="C62" s="49" t="s">
        <v>250</v>
      </c>
      <c r="D62" s="40"/>
      <c r="E62" s="40" t="s">
        <v>251</v>
      </c>
      <c r="F62" s="50" t="s">
        <v>81</v>
      </c>
      <c r="G62" s="51">
        <v>1.6</v>
      </c>
      <c r="H62" s="40"/>
      <c r="I62" s="62">
        <v>0</v>
      </c>
      <c r="J62" s="53">
        <v>9.67</v>
      </c>
      <c r="K62" s="54"/>
      <c r="L62" s="54"/>
      <c r="M62" s="53">
        <f>ROUND(ROUND(J62, 2)*I62, 2)</f>
        <v>0</v>
      </c>
      <c r="N62" s="54"/>
      <c r="O62" s="54"/>
      <c r="P62" s="53">
        <v>9.67</v>
      </c>
      <c r="Q62" s="54"/>
      <c r="R62" s="54"/>
      <c r="S62" s="53">
        <f>ROUND(ROUND(P62, 2)*I62, 2)</f>
        <v>0</v>
      </c>
      <c r="T62" s="54"/>
      <c r="U62" s="55"/>
      <c r="V62" s="9">
        <f>ROUND(ROUND(P62, 2)/1.2, 2)</f>
        <v>8.06</v>
      </c>
      <c r="Y62" s="9">
        <f>ROUND(S62 / 1.2, 2)</f>
        <v>0</v>
      </c>
      <c r="AD62" s="4" t="s">
        <v>252</v>
      </c>
      <c r="AE62" s="4" t="s">
        <v>253</v>
      </c>
      <c r="AF62" s="4" t="s">
        <v>254</v>
      </c>
    </row>
    <row r="63" spans="1:35" ht="36" x14ac:dyDescent="0.35">
      <c r="A63" s="44" t="s">
        <v>255</v>
      </c>
      <c r="B63" s="44"/>
      <c r="C63" s="56" t="s">
        <v>250</v>
      </c>
      <c r="D63" s="46"/>
      <c r="E63" s="46" t="s">
        <v>251</v>
      </c>
      <c r="F63" s="57" t="s">
        <v>81</v>
      </c>
      <c r="G63" s="58">
        <v>1.6</v>
      </c>
      <c r="H63" s="46"/>
      <c r="I63" s="63">
        <v>14411.2</v>
      </c>
      <c r="J63" s="59">
        <v>9.67</v>
      </c>
      <c r="K63" s="60"/>
      <c r="L63" s="60"/>
      <c r="M63" s="59">
        <f>ROUND(ROUND(J63, 2)*I63, 2)</f>
        <v>139356.29999999999</v>
      </c>
      <c r="N63" s="60"/>
      <c r="O63" s="60"/>
      <c r="P63" s="59">
        <v>9.67</v>
      </c>
      <c r="Q63" s="60"/>
      <c r="R63" s="60"/>
      <c r="S63" s="59">
        <f>ROUND(ROUND(P63, 2)*I63, 2)</f>
        <v>139356.29999999999</v>
      </c>
      <c r="T63" s="60"/>
      <c r="U63" s="61"/>
      <c r="V63" s="9">
        <f>ROUND(ROUND(P63, 2)/1.2, 2)</f>
        <v>8.06</v>
      </c>
      <c r="Y63" s="9">
        <f>ROUND(S63 / 1.2, 2)</f>
        <v>116130.25</v>
      </c>
      <c r="AD63" s="4" t="s">
        <v>256</v>
      </c>
      <c r="AE63" s="4" t="s">
        <v>253</v>
      </c>
      <c r="AF63" s="4" t="s">
        <v>254</v>
      </c>
    </row>
    <row r="64" spans="1:35" ht="36" x14ac:dyDescent="0.35">
      <c r="A64" s="38" t="s">
        <v>257</v>
      </c>
      <c r="B64" s="38"/>
      <c r="C64" s="49" t="s">
        <v>258</v>
      </c>
      <c r="D64" s="40"/>
      <c r="E64" s="40"/>
      <c r="F64" s="50" t="s">
        <v>81</v>
      </c>
      <c r="G64" s="51">
        <v>0.255</v>
      </c>
      <c r="H64" s="40"/>
      <c r="I64" s="62">
        <v>0</v>
      </c>
      <c r="J64" s="53">
        <v>88.8</v>
      </c>
      <c r="K64" s="54"/>
      <c r="L64" s="54"/>
      <c r="M64" s="53">
        <f>ROUND(ROUND(J64, 2)*I64, 2)</f>
        <v>0</v>
      </c>
      <c r="N64" s="54"/>
      <c r="O64" s="54"/>
      <c r="P64" s="53">
        <v>88.8</v>
      </c>
      <c r="Q64" s="54"/>
      <c r="R64" s="54"/>
      <c r="S64" s="53">
        <f>ROUND(ROUND(P64, 2)*I64, 2)</f>
        <v>0</v>
      </c>
      <c r="T64" s="54"/>
      <c r="U64" s="55"/>
      <c r="V64" s="9">
        <f>ROUND(ROUND(P64, 2)/1.2, 2)</f>
        <v>74</v>
      </c>
      <c r="Y64" s="9">
        <f>ROUND(S64 / 1.2, 2)</f>
        <v>0</v>
      </c>
      <c r="AD64" s="4" t="s">
        <v>259</v>
      </c>
      <c r="AE64" s="4" t="s">
        <v>260</v>
      </c>
      <c r="AF64" s="4" t="s">
        <v>261</v>
      </c>
    </row>
    <row r="65" spans="1:35" ht="36" x14ac:dyDescent="0.35">
      <c r="A65" s="44" t="s">
        <v>262</v>
      </c>
      <c r="B65" s="44"/>
      <c r="C65" s="56" t="s">
        <v>258</v>
      </c>
      <c r="D65" s="46"/>
      <c r="E65" s="46"/>
      <c r="F65" s="57" t="s">
        <v>81</v>
      </c>
      <c r="G65" s="58">
        <v>0.255</v>
      </c>
      <c r="H65" s="46"/>
      <c r="I65" s="63">
        <v>229.679</v>
      </c>
      <c r="J65" s="59">
        <v>88.8</v>
      </c>
      <c r="K65" s="60"/>
      <c r="L65" s="60"/>
      <c r="M65" s="59">
        <f>ROUND(ROUND(J65, 2)*I65, 2)</f>
        <v>20395.5</v>
      </c>
      <c r="N65" s="60"/>
      <c r="O65" s="60"/>
      <c r="P65" s="59">
        <v>88.8</v>
      </c>
      <c r="Q65" s="60"/>
      <c r="R65" s="60"/>
      <c r="S65" s="59">
        <f>ROUND(ROUND(P65, 2)*I65, 2)</f>
        <v>20395.5</v>
      </c>
      <c r="T65" s="60"/>
      <c r="U65" s="61"/>
      <c r="V65" s="9">
        <f>ROUND(ROUND(P65, 2)/1.2, 2)</f>
        <v>74</v>
      </c>
      <c r="Y65" s="9">
        <f>ROUND(S65 / 1.2, 2)</f>
        <v>16996.25</v>
      </c>
      <c r="AD65" s="4" t="s">
        <v>263</v>
      </c>
      <c r="AE65" s="4" t="s">
        <v>260</v>
      </c>
      <c r="AF65" s="4" t="s">
        <v>261</v>
      </c>
    </row>
    <row r="66" spans="1:35" ht="36" x14ac:dyDescent="0.35">
      <c r="A66" s="38" t="s">
        <v>264</v>
      </c>
      <c r="B66" s="38" t="s">
        <v>265</v>
      </c>
      <c r="C66" s="39" t="s">
        <v>266</v>
      </c>
      <c r="D66" s="40"/>
      <c r="E66" s="40" t="s">
        <v>267</v>
      </c>
      <c r="F66" s="40" t="s">
        <v>56</v>
      </c>
      <c r="G66" s="41">
        <v>1</v>
      </c>
      <c r="H66" s="40"/>
      <c r="I66" s="42">
        <v>0</v>
      </c>
      <c r="J66" s="43">
        <f>IFERROR(ROUND(SUM(M68)/I66, 2),0)</f>
        <v>0</v>
      </c>
      <c r="K66" s="43">
        <v>40</v>
      </c>
      <c r="L66" s="43">
        <f>J66+ROUND(K66, 2)</f>
        <v>40</v>
      </c>
      <c r="M66" s="43">
        <f>ROUND(J66*I66, 2)</f>
        <v>0</v>
      </c>
      <c r="N66" s="43">
        <f>ROUND(I66*ROUND(K66, 2), 2)</f>
        <v>0</v>
      </c>
      <c r="O66" s="43">
        <f>M66+N66</f>
        <v>0</v>
      </c>
      <c r="P66" s="43">
        <f>IFERROR(ROUND(SUM(S68)/I66, 2),0)</f>
        <v>0</v>
      </c>
      <c r="Q66" s="43">
        <v>40</v>
      </c>
      <c r="R66" s="43">
        <f>P66+ROUND(Q66, 2)</f>
        <v>40</v>
      </c>
      <c r="S66" s="43">
        <f>ROUND(P66*I66, 2)</f>
        <v>0</v>
      </c>
      <c r="T66" s="43">
        <f>ROUND(I66*ROUND(Q66, 2), 2)</f>
        <v>0</v>
      </c>
      <c r="U66" s="43">
        <f>S66+T66</f>
        <v>0</v>
      </c>
      <c r="V66" s="9">
        <f>ROUND(P66 / 1.2, 2)</f>
        <v>0</v>
      </c>
      <c r="W66" s="9">
        <f>ROUND(Q66 / 1.2, 2)</f>
        <v>33.33</v>
      </c>
      <c r="X66" s="9">
        <f>ROUND(R66 / 1.2, 2)</f>
        <v>33.33</v>
      </c>
      <c r="Y66" s="9">
        <f>ROUND(S66 / 1.2, 2)</f>
        <v>0</v>
      </c>
      <c r="Z66" s="9">
        <f>ROUND(T66 / 1.2, 2)</f>
        <v>0</v>
      </c>
      <c r="AA66" s="9">
        <f>Y66+Z66</f>
        <v>0</v>
      </c>
      <c r="AD66" s="4">
        <v>303752393</v>
      </c>
      <c r="AE66" s="4">
        <v>16077965</v>
      </c>
      <c r="AG66" s="4" t="s">
        <v>268</v>
      </c>
      <c r="AH66" s="4" t="s">
        <v>269</v>
      </c>
      <c r="AI66" s="4" t="s">
        <v>247</v>
      </c>
    </row>
    <row r="67" spans="1:35" ht="36" x14ac:dyDescent="0.35">
      <c r="A67" s="44" t="s">
        <v>270</v>
      </c>
      <c r="B67" s="44" t="s">
        <v>265</v>
      </c>
      <c r="C67" s="45" t="s">
        <v>266</v>
      </c>
      <c r="D67" s="46"/>
      <c r="E67" s="46" t="s">
        <v>267</v>
      </c>
      <c r="F67" s="46" t="s">
        <v>56</v>
      </c>
      <c r="G67" s="47">
        <v>1</v>
      </c>
      <c r="H67" s="46"/>
      <c r="I67" s="47">
        <v>362.4</v>
      </c>
      <c r="J67" s="48">
        <v>0</v>
      </c>
      <c r="K67" s="48">
        <v>40</v>
      </c>
      <c r="L67" s="48"/>
      <c r="M67" s="48">
        <v>0</v>
      </c>
      <c r="N67" s="48"/>
      <c r="O67" s="48"/>
      <c r="P67" s="48">
        <v>0</v>
      </c>
      <c r="Q67" s="48">
        <v>40</v>
      </c>
      <c r="R67" s="48"/>
      <c r="S67" s="48">
        <v>0</v>
      </c>
      <c r="T67" s="48"/>
      <c r="U67" s="48"/>
      <c r="V67" s="9"/>
      <c r="W67" s="9">
        <f>ROUND(Q67 / 1.2, 2)</f>
        <v>33.33</v>
      </c>
      <c r="X67" s="9">
        <f>ROUND(R67 / 1.2, 2)</f>
        <v>0</v>
      </c>
      <c r="Y67" s="9"/>
      <c r="Z67" s="9">
        <f>ROUND(T67 / 1.2, 2)</f>
        <v>0</v>
      </c>
      <c r="AA67" s="9"/>
      <c r="AD67" s="4">
        <v>204244071</v>
      </c>
      <c r="AE67" s="4">
        <v>16077965</v>
      </c>
      <c r="AG67" s="4" t="s">
        <v>268</v>
      </c>
      <c r="AH67" s="4" t="s">
        <v>269</v>
      </c>
      <c r="AI67" s="4"/>
    </row>
    <row r="68" spans="1:35" ht="18" x14ac:dyDescent="0.35">
      <c r="A68" s="38" t="s">
        <v>271</v>
      </c>
      <c r="B68" s="38"/>
      <c r="C68" s="49" t="s">
        <v>272</v>
      </c>
      <c r="D68" s="40"/>
      <c r="E68" s="40"/>
      <c r="F68" s="50" t="s">
        <v>56</v>
      </c>
      <c r="G68" s="51">
        <v>1.1000000000000001</v>
      </c>
      <c r="H68" s="40"/>
      <c r="I68" s="52">
        <v>0</v>
      </c>
      <c r="J68" s="53">
        <v>46.76</v>
      </c>
      <c r="K68" s="54"/>
      <c r="L68" s="54"/>
      <c r="M68" s="53">
        <f>ROUND(ROUND(J68, 2)*I68, 2)</f>
        <v>0</v>
      </c>
      <c r="N68" s="54"/>
      <c r="O68" s="54"/>
      <c r="P68" s="53">
        <v>46.76</v>
      </c>
      <c r="Q68" s="54"/>
      <c r="R68" s="54"/>
      <c r="S68" s="53">
        <f>ROUND(ROUND(P68, 2)*I68, 2)</f>
        <v>0</v>
      </c>
      <c r="T68" s="54"/>
      <c r="U68" s="55"/>
      <c r="V68" s="9">
        <f>ROUND(ROUND(P68, 2)/1.2, 2)</f>
        <v>38.97</v>
      </c>
      <c r="Y68" s="9">
        <f>ROUND(S68 / 1.2, 2)</f>
        <v>0</v>
      </c>
      <c r="AD68" s="4" t="s">
        <v>273</v>
      </c>
      <c r="AE68" s="4" t="s">
        <v>274</v>
      </c>
      <c r="AF68" s="4" t="s">
        <v>275</v>
      </c>
    </row>
    <row r="69" spans="1:35" ht="18" x14ac:dyDescent="0.35">
      <c r="A69" s="44" t="s">
        <v>276</v>
      </c>
      <c r="B69" s="44"/>
      <c r="C69" s="56" t="s">
        <v>272</v>
      </c>
      <c r="D69" s="46"/>
      <c r="E69" s="46"/>
      <c r="F69" s="57" t="s">
        <v>56</v>
      </c>
      <c r="G69" s="58">
        <v>1.1000000000000001</v>
      </c>
      <c r="H69" s="46"/>
      <c r="I69" s="58">
        <v>398.64</v>
      </c>
      <c r="J69" s="59">
        <v>46.76</v>
      </c>
      <c r="K69" s="60"/>
      <c r="L69" s="60"/>
      <c r="M69" s="59">
        <f>ROUND(ROUND(J69, 2)*I69, 2)</f>
        <v>18640.41</v>
      </c>
      <c r="N69" s="60"/>
      <c r="O69" s="60"/>
      <c r="P69" s="59">
        <v>46.76</v>
      </c>
      <c r="Q69" s="60"/>
      <c r="R69" s="60"/>
      <c r="S69" s="59">
        <f>ROUND(ROUND(P69, 2)*I69, 2)</f>
        <v>18640.41</v>
      </c>
      <c r="T69" s="60"/>
      <c r="U69" s="61"/>
      <c r="V69" s="9">
        <f>ROUND(ROUND(P69, 2)/1.2, 2)</f>
        <v>38.97</v>
      </c>
      <c r="Y69" s="9">
        <f>ROUND(S69 / 1.2, 2)</f>
        <v>15533.68</v>
      </c>
      <c r="AD69" s="4" t="s">
        <v>277</v>
      </c>
      <c r="AE69" s="4" t="s">
        <v>274</v>
      </c>
      <c r="AF69" s="4" t="s">
        <v>275</v>
      </c>
    </row>
    <row r="70" spans="1:35" ht="36" x14ac:dyDescent="0.35">
      <c r="A70" s="38" t="s">
        <v>278</v>
      </c>
      <c r="B70" s="38" t="s">
        <v>265</v>
      </c>
      <c r="C70" s="39" t="s">
        <v>266</v>
      </c>
      <c r="D70" s="40"/>
      <c r="E70" s="40" t="s">
        <v>279</v>
      </c>
      <c r="F70" s="40" t="s">
        <v>56</v>
      </c>
      <c r="G70" s="41">
        <v>1</v>
      </c>
      <c r="H70" s="40"/>
      <c r="I70" s="42">
        <v>0</v>
      </c>
      <c r="J70" s="43">
        <f>IFERROR(ROUND(SUM(M72)/I70, 2),0)</f>
        <v>0</v>
      </c>
      <c r="K70" s="43">
        <v>40</v>
      </c>
      <c r="L70" s="43">
        <f>J70+ROUND(K70, 2)</f>
        <v>40</v>
      </c>
      <c r="M70" s="43">
        <f>ROUND(J70*I70, 2)</f>
        <v>0</v>
      </c>
      <c r="N70" s="43">
        <f>ROUND(I70*ROUND(K70, 2), 2)</f>
        <v>0</v>
      </c>
      <c r="O70" s="43">
        <f>M70+N70</f>
        <v>0</v>
      </c>
      <c r="P70" s="43">
        <f>IFERROR(ROUND(SUM(S72)/I70, 2),0)</f>
        <v>0</v>
      </c>
      <c r="Q70" s="43">
        <v>40</v>
      </c>
      <c r="R70" s="43">
        <f>P70+ROUND(Q70, 2)</f>
        <v>40</v>
      </c>
      <c r="S70" s="43">
        <f>ROUND(P70*I70, 2)</f>
        <v>0</v>
      </c>
      <c r="T70" s="43">
        <f>ROUND(I70*ROUND(Q70, 2), 2)</f>
        <v>0</v>
      </c>
      <c r="U70" s="43">
        <f>S70+T70</f>
        <v>0</v>
      </c>
      <c r="V70" s="9">
        <f>ROUND(P70 / 1.2, 2)</f>
        <v>0</v>
      </c>
      <c r="W70" s="9">
        <f>ROUND(Q70 / 1.2, 2)</f>
        <v>33.33</v>
      </c>
      <c r="X70" s="9">
        <f>ROUND(R70 / 1.2, 2)</f>
        <v>33.33</v>
      </c>
      <c r="Y70" s="9">
        <f>ROUND(S70 / 1.2, 2)</f>
        <v>0</v>
      </c>
      <c r="Z70" s="9">
        <f>ROUND(T70 / 1.2, 2)</f>
        <v>0</v>
      </c>
      <c r="AA70" s="9">
        <f>Y70+Z70</f>
        <v>0</v>
      </c>
      <c r="AD70" s="4">
        <v>303752461</v>
      </c>
      <c r="AE70" s="4">
        <v>16088187</v>
      </c>
      <c r="AG70" s="4" t="s">
        <v>268</v>
      </c>
      <c r="AH70" s="4" t="s">
        <v>269</v>
      </c>
      <c r="AI70" s="4" t="s">
        <v>247</v>
      </c>
    </row>
    <row r="71" spans="1:35" ht="36" x14ac:dyDescent="0.35">
      <c r="A71" s="44" t="s">
        <v>280</v>
      </c>
      <c r="B71" s="44" t="s">
        <v>265</v>
      </c>
      <c r="C71" s="45" t="s">
        <v>266</v>
      </c>
      <c r="D71" s="46"/>
      <c r="E71" s="46" t="s">
        <v>279</v>
      </c>
      <c r="F71" s="46" t="s">
        <v>56</v>
      </c>
      <c r="G71" s="47">
        <v>1</v>
      </c>
      <c r="H71" s="46"/>
      <c r="I71" s="47">
        <v>148.1</v>
      </c>
      <c r="J71" s="48">
        <v>0</v>
      </c>
      <c r="K71" s="48">
        <v>40</v>
      </c>
      <c r="L71" s="48"/>
      <c r="M71" s="48">
        <v>0</v>
      </c>
      <c r="N71" s="48"/>
      <c r="O71" s="48"/>
      <c r="P71" s="48">
        <v>0</v>
      </c>
      <c r="Q71" s="48">
        <v>40</v>
      </c>
      <c r="R71" s="48"/>
      <c r="S71" s="48">
        <v>0</v>
      </c>
      <c r="T71" s="48"/>
      <c r="U71" s="48"/>
      <c r="V71" s="9"/>
      <c r="W71" s="9">
        <f>ROUND(Q71 / 1.2, 2)</f>
        <v>33.33</v>
      </c>
      <c r="X71" s="9">
        <f>ROUND(R71 / 1.2, 2)</f>
        <v>0</v>
      </c>
      <c r="Y71" s="9"/>
      <c r="Z71" s="9">
        <f>ROUND(T71 / 1.2, 2)</f>
        <v>0</v>
      </c>
      <c r="AA71" s="9"/>
      <c r="AD71" s="4">
        <v>204428532</v>
      </c>
      <c r="AE71" s="4">
        <v>16088187</v>
      </c>
      <c r="AG71" s="4" t="s">
        <v>268</v>
      </c>
      <c r="AH71" s="4" t="s">
        <v>269</v>
      </c>
      <c r="AI71" s="4"/>
    </row>
    <row r="72" spans="1:35" ht="18" x14ac:dyDescent="0.35">
      <c r="A72" s="38" t="s">
        <v>281</v>
      </c>
      <c r="B72" s="38"/>
      <c r="C72" s="49" t="s">
        <v>272</v>
      </c>
      <c r="D72" s="40"/>
      <c r="E72" s="40"/>
      <c r="F72" s="50" t="s">
        <v>56</v>
      </c>
      <c r="G72" s="51">
        <v>1.1000000000000001</v>
      </c>
      <c r="H72" s="40"/>
      <c r="I72" s="52">
        <v>0</v>
      </c>
      <c r="J72" s="53">
        <v>46.76</v>
      </c>
      <c r="K72" s="54"/>
      <c r="L72" s="54"/>
      <c r="M72" s="53">
        <f>ROUND(ROUND(J72, 2)*I72, 2)</f>
        <v>0</v>
      </c>
      <c r="N72" s="54"/>
      <c r="O72" s="54"/>
      <c r="P72" s="53">
        <v>46.76</v>
      </c>
      <c r="Q72" s="54"/>
      <c r="R72" s="54"/>
      <c r="S72" s="53">
        <f>ROUND(ROUND(P72, 2)*I72, 2)</f>
        <v>0</v>
      </c>
      <c r="T72" s="54"/>
      <c r="U72" s="55"/>
      <c r="V72" s="9">
        <f>ROUND(ROUND(P72, 2)/1.2, 2)</f>
        <v>38.97</v>
      </c>
      <c r="Y72" s="9">
        <f>ROUND(S72 / 1.2, 2)</f>
        <v>0</v>
      </c>
      <c r="AD72" s="4" t="s">
        <v>282</v>
      </c>
      <c r="AE72" s="4" t="s">
        <v>283</v>
      </c>
      <c r="AF72" s="4" t="s">
        <v>275</v>
      </c>
    </row>
    <row r="73" spans="1:35" ht="18" x14ac:dyDescent="0.35">
      <c r="A73" s="44" t="s">
        <v>284</v>
      </c>
      <c r="B73" s="44"/>
      <c r="C73" s="56" t="s">
        <v>272</v>
      </c>
      <c r="D73" s="46"/>
      <c r="E73" s="46"/>
      <c r="F73" s="57" t="s">
        <v>56</v>
      </c>
      <c r="G73" s="58">
        <v>1.1000000000000001</v>
      </c>
      <c r="H73" s="46"/>
      <c r="I73" s="58">
        <v>162.91</v>
      </c>
      <c r="J73" s="59">
        <v>46.76</v>
      </c>
      <c r="K73" s="60"/>
      <c r="L73" s="60"/>
      <c r="M73" s="59">
        <f>ROUND(ROUND(J73, 2)*I73, 2)</f>
        <v>7617.67</v>
      </c>
      <c r="N73" s="60"/>
      <c r="O73" s="60"/>
      <c r="P73" s="59">
        <v>46.76</v>
      </c>
      <c r="Q73" s="60"/>
      <c r="R73" s="60"/>
      <c r="S73" s="59">
        <f>ROUND(ROUND(P73, 2)*I73, 2)</f>
        <v>7617.67</v>
      </c>
      <c r="T73" s="60"/>
      <c r="U73" s="61"/>
      <c r="V73" s="9">
        <f>ROUND(ROUND(P73, 2)/1.2, 2)</f>
        <v>38.97</v>
      </c>
      <c r="Y73" s="9">
        <f>ROUND(S73 / 1.2, 2)</f>
        <v>6348.06</v>
      </c>
      <c r="AD73" s="4" t="s">
        <v>285</v>
      </c>
      <c r="AE73" s="4" t="s">
        <v>283</v>
      </c>
      <c r="AF73" s="4" t="s">
        <v>275</v>
      </c>
    </row>
    <row r="74" spans="1:35" ht="36" x14ac:dyDescent="0.35">
      <c r="A74" s="38" t="s">
        <v>286</v>
      </c>
      <c r="B74" s="38" t="s">
        <v>287</v>
      </c>
      <c r="C74" s="39" t="s">
        <v>288</v>
      </c>
      <c r="D74" s="40"/>
      <c r="E74" s="40" t="s">
        <v>289</v>
      </c>
      <c r="F74" s="40" t="s">
        <v>56</v>
      </c>
      <c r="G74" s="41">
        <v>1</v>
      </c>
      <c r="H74" s="40"/>
      <c r="I74" s="42">
        <v>0</v>
      </c>
      <c r="J74" s="43">
        <f>IFERROR(ROUND(SUM(M76,M78,M80,M82)/I74, 2),0)</f>
        <v>0</v>
      </c>
      <c r="K74" s="43">
        <v>941</v>
      </c>
      <c r="L74" s="43">
        <f>J74+ROUND(K74, 2)</f>
        <v>941</v>
      </c>
      <c r="M74" s="43">
        <f>ROUND(J74*I74, 2)</f>
        <v>0</v>
      </c>
      <c r="N74" s="43">
        <f>ROUND(I74*ROUND(K74, 2), 2)</f>
        <v>0</v>
      </c>
      <c r="O74" s="43">
        <f>M74+N74</f>
        <v>0</v>
      </c>
      <c r="P74" s="43">
        <f>IFERROR(ROUND(SUM(S76,S78,S80,S82)/I74, 2),0)</f>
        <v>0</v>
      </c>
      <c r="Q74" s="43">
        <v>855</v>
      </c>
      <c r="R74" s="43">
        <f>P74+ROUND(Q74, 2)</f>
        <v>855</v>
      </c>
      <c r="S74" s="43">
        <f>ROUND(P74*I74, 2)</f>
        <v>0</v>
      </c>
      <c r="T74" s="43">
        <f>ROUND(I74*ROUND(Q74, 2), 2)</f>
        <v>0</v>
      </c>
      <c r="U74" s="43">
        <f>S74+T74</f>
        <v>0</v>
      </c>
      <c r="V74" s="9">
        <f>ROUND(P74 / 1.2, 2)</f>
        <v>0</v>
      </c>
      <c r="W74" s="9">
        <f>ROUND(Q74 / 1.2, 2)</f>
        <v>712.5</v>
      </c>
      <c r="X74" s="9">
        <f>ROUND(R74 / 1.2, 2)</f>
        <v>712.5</v>
      </c>
      <c r="Y74" s="9">
        <f>ROUND(S74 / 1.2, 2)</f>
        <v>0</v>
      </c>
      <c r="Z74" s="9">
        <f>ROUND(T74 / 1.2, 2)</f>
        <v>0</v>
      </c>
      <c r="AA74" s="9">
        <f>Y74+Z74</f>
        <v>0</v>
      </c>
      <c r="AD74" s="4">
        <v>303752395</v>
      </c>
      <c r="AE74" s="4">
        <v>16078058</v>
      </c>
      <c r="AG74" s="4" t="s">
        <v>290</v>
      </c>
      <c r="AH74" s="4" t="s">
        <v>291</v>
      </c>
      <c r="AI74" s="4" t="s">
        <v>247</v>
      </c>
    </row>
    <row r="75" spans="1:35" ht="36" x14ac:dyDescent="0.35">
      <c r="A75" s="44" t="s">
        <v>292</v>
      </c>
      <c r="B75" s="44" t="s">
        <v>287</v>
      </c>
      <c r="C75" s="45" t="s">
        <v>288</v>
      </c>
      <c r="D75" s="46"/>
      <c r="E75" s="46" t="s">
        <v>289</v>
      </c>
      <c r="F75" s="46" t="s">
        <v>56</v>
      </c>
      <c r="G75" s="47">
        <v>1</v>
      </c>
      <c r="H75" s="46"/>
      <c r="I75" s="47">
        <v>538.29999999999995</v>
      </c>
      <c r="J75" s="48">
        <v>0</v>
      </c>
      <c r="K75" s="48">
        <v>855</v>
      </c>
      <c r="L75" s="48"/>
      <c r="M75" s="48">
        <v>0</v>
      </c>
      <c r="N75" s="48"/>
      <c r="O75" s="48"/>
      <c r="P75" s="48">
        <v>0</v>
      </c>
      <c r="Q75" s="48">
        <v>855</v>
      </c>
      <c r="R75" s="48"/>
      <c r="S75" s="48">
        <v>0</v>
      </c>
      <c r="T75" s="48"/>
      <c r="U75" s="48"/>
      <c r="V75" s="9"/>
      <c r="W75" s="9">
        <f>ROUND(Q75 / 1.2, 2)</f>
        <v>712.5</v>
      </c>
      <c r="X75" s="9">
        <f>ROUND(R75 / 1.2, 2)</f>
        <v>0</v>
      </c>
      <c r="Y75" s="9"/>
      <c r="Z75" s="9">
        <f>ROUND(T75 / 1.2, 2)</f>
        <v>0</v>
      </c>
      <c r="AA75" s="9"/>
      <c r="AD75" s="4">
        <v>204257137</v>
      </c>
      <c r="AE75" s="4">
        <v>16078058</v>
      </c>
      <c r="AG75" s="4" t="s">
        <v>290</v>
      </c>
      <c r="AH75" s="4" t="s">
        <v>291</v>
      </c>
      <c r="AI75" s="4"/>
    </row>
    <row r="76" spans="1:35" ht="18" x14ac:dyDescent="0.35">
      <c r="A76" s="38" t="s">
        <v>293</v>
      </c>
      <c r="B76" s="38"/>
      <c r="C76" s="49" t="s">
        <v>294</v>
      </c>
      <c r="D76" s="40"/>
      <c r="E76" s="40" t="s">
        <v>295</v>
      </c>
      <c r="F76" s="50" t="s">
        <v>81</v>
      </c>
      <c r="G76" s="51">
        <v>1.8</v>
      </c>
      <c r="H76" s="40"/>
      <c r="I76" s="62">
        <v>0</v>
      </c>
      <c r="J76" s="53">
        <v>6.17</v>
      </c>
      <c r="K76" s="54"/>
      <c r="L76" s="54"/>
      <c r="M76" s="53">
        <f t="shared" ref="M76:M83" si="11">ROUND(ROUND(J76, 2)*I76, 2)</f>
        <v>0</v>
      </c>
      <c r="N76" s="54"/>
      <c r="O76" s="54"/>
      <c r="P76" s="53">
        <v>6.17</v>
      </c>
      <c r="Q76" s="54"/>
      <c r="R76" s="54"/>
      <c r="S76" s="53">
        <f t="shared" ref="S76:S83" si="12">ROUND(ROUND(P76, 2)*I76, 2)</f>
        <v>0</v>
      </c>
      <c r="T76" s="54"/>
      <c r="U76" s="55"/>
      <c r="V76" s="9">
        <f t="shared" ref="V76:V83" si="13">ROUND(ROUND(P76, 2)/1.2, 2)</f>
        <v>5.14</v>
      </c>
      <c r="Y76" s="9">
        <f t="shared" ref="Y76:Y84" si="14">ROUND(S76 / 1.2, 2)</f>
        <v>0</v>
      </c>
      <c r="AD76" s="4" t="s">
        <v>296</v>
      </c>
      <c r="AE76" s="4" t="s">
        <v>297</v>
      </c>
      <c r="AF76" s="4" t="s">
        <v>298</v>
      </c>
    </row>
    <row r="77" spans="1:35" ht="18" x14ac:dyDescent="0.35">
      <c r="A77" s="44" t="s">
        <v>299</v>
      </c>
      <c r="B77" s="44"/>
      <c r="C77" s="56" t="s">
        <v>294</v>
      </c>
      <c r="D77" s="46"/>
      <c r="E77" s="46" t="s">
        <v>295</v>
      </c>
      <c r="F77" s="57" t="s">
        <v>81</v>
      </c>
      <c r="G77" s="58">
        <v>1.8</v>
      </c>
      <c r="H77" s="46"/>
      <c r="I77" s="63">
        <v>57167.46</v>
      </c>
      <c r="J77" s="59">
        <v>6.17</v>
      </c>
      <c r="K77" s="60"/>
      <c r="L77" s="60"/>
      <c r="M77" s="59">
        <f t="shared" si="11"/>
        <v>352723.23</v>
      </c>
      <c r="N77" s="60"/>
      <c r="O77" s="60"/>
      <c r="P77" s="59">
        <v>6.17</v>
      </c>
      <c r="Q77" s="60"/>
      <c r="R77" s="60"/>
      <c r="S77" s="59">
        <f t="shared" si="12"/>
        <v>352723.23</v>
      </c>
      <c r="T77" s="60"/>
      <c r="U77" s="61"/>
      <c r="V77" s="9">
        <f t="shared" si="13"/>
        <v>5.14</v>
      </c>
      <c r="Y77" s="9">
        <f t="shared" si="14"/>
        <v>293936.03000000003</v>
      </c>
      <c r="AD77" s="4" t="s">
        <v>300</v>
      </c>
      <c r="AE77" s="4" t="s">
        <v>297</v>
      </c>
      <c r="AF77" s="4" t="s">
        <v>298</v>
      </c>
    </row>
    <row r="78" spans="1:35" ht="18" x14ac:dyDescent="0.35">
      <c r="A78" s="38" t="s">
        <v>301</v>
      </c>
      <c r="B78" s="38"/>
      <c r="C78" s="49" t="s">
        <v>302</v>
      </c>
      <c r="D78" s="40"/>
      <c r="E78" s="40"/>
      <c r="F78" s="50" t="s">
        <v>56</v>
      </c>
      <c r="G78" s="51">
        <v>1.1000000000000001</v>
      </c>
      <c r="H78" s="40"/>
      <c r="I78" s="62">
        <v>0</v>
      </c>
      <c r="J78" s="53">
        <v>155.01</v>
      </c>
      <c r="K78" s="54"/>
      <c r="L78" s="54"/>
      <c r="M78" s="53">
        <f t="shared" si="11"/>
        <v>0</v>
      </c>
      <c r="N78" s="54"/>
      <c r="O78" s="54"/>
      <c r="P78" s="53">
        <v>155.01</v>
      </c>
      <c r="Q78" s="54"/>
      <c r="R78" s="54"/>
      <c r="S78" s="53">
        <f t="shared" si="12"/>
        <v>0</v>
      </c>
      <c r="T78" s="54"/>
      <c r="U78" s="55"/>
      <c r="V78" s="9">
        <f t="shared" si="13"/>
        <v>129.18</v>
      </c>
      <c r="Y78" s="9">
        <f t="shared" si="14"/>
        <v>0</v>
      </c>
      <c r="AD78" s="4" t="s">
        <v>303</v>
      </c>
      <c r="AE78" s="4" t="s">
        <v>304</v>
      </c>
      <c r="AF78" s="4" t="s">
        <v>305</v>
      </c>
    </row>
    <row r="79" spans="1:35" ht="18" x14ac:dyDescent="0.35">
      <c r="A79" s="44" t="s">
        <v>306</v>
      </c>
      <c r="B79" s="44"/>
      <c r="C79" s="56" t="s">
        <v>302</v>
      </c>
      <c r="D79" s="46"/>
      <c r="E79" s="46"/>
      <c r="F79" s="57" t="s">
        <v>56</v>
      </c>
      <c r="G79" s="58">
        <v>1.1000000000000001</v>
      </c>
      <c r="H79" s="46"/>
      <c r="I79" s="63">
        <v>592.13</v>
      </c>
      <c r="J79" s="59">
        <v>155.01</v>
      </c>
      <c r="K79" s="60"/>
      <c r="L79" s="60"/>
      <c r="M79" s="59">
        <f t="shared" si="11"/>
        <v>91786.07</v>
      </c>
      <c r="N79" s="60"/>
      <c r="O79" s="60"/>
      <c r="P79" s="59">
        <v>155.01</v>
      </c>
      <c r="Q79" s="60"/>
      <c r="R79" s="60"/>
      <c r="S79" s="59">
        <f t="shared" si="12"/>
        <v>91786.07</v>
      </c>
      <c r="T79" s="60"/>
      <c r="U79" s="61"/>
      <c r="V79" s="9">
        <f t="shared" si="13"/>
        <v>129.18</v>
      </c>
      <c r="Y79" s="9">
        <f t="shared" si="14"/>
        <v>76488.39</v>
      </c>
      <c r="AD79" s="4" t="s">
        <v>307</v>
      </c>
      <c r="AE79" s="4" t="s">
        <v>304</v>
      </c>
      <c r="AF79" s="4" t="s">
        <v>305</v>
      </c>
    </row>
    <row r="80" spans="1:35" ht="18" x14ac:dyDescent="0.35">
      <c r="A80" s="38" t="s">
        <v>308</v>
      </c>
      <c r="B80" s="38"/>
      <c r="C80" s="49" t="s">
        <v>309</v>
      </c>
      <c r="D80" s="40"/>
      <c r="E80" s="40"/>
      <c r="F80" s="50" t="s">
        <v>129</v>
      </c>
      <c r="G80" s="51">
        <v>1</v>
      </c>
      <c r="H80" s="40"/>
      <c r="I80" s="62">
        <v>0</v>
      </c>
      <c r="J80" s="53">
        <v>10.4</v>
      </c>
      <c r="K80" s="54"/>
      <c r="L80" s="54"/>
      <c r="M80" s="53">
        <f t="shared" si="11"/>
        <v>0</v>
      </c>
      <c r="N80" s="54"/>
      <c r="O80" s="54"/>
      <c r="P80" s="53">
        <v>10.4</v>
      </c>
      <c r="Q80" s="54"/>
      <c r="R80" s="54"/>
      <c r="S80" s="53">
        <f t="shared" si="12"/>
        <v>0</v>
      </c>
      <c r="T80" s="54"/>
      <c r="U80" s="55"/>
      <c r="V80" s="9">
        <f t="shared" si="13"/>
        <v>8.67</v>
      </c>
      <c r="Y80" s="9">
        <f t="shared" si="14"/>
        <v>0</v>
      </c>
      <c r="AD80" s="4" t="s">
        <v>310</v>
      </c>
      <c r="AE80" s="4" t="s">
        <v>311</v>
      </c>
      <c r="AF80" s="4" t="s">
        <v>312</v>
      </c>
    </row>
    <row r="81" spans="1:35" ht="18" x14ac:dyDescent="0.35">
      <c r="A81" s="44" t="s">
        <v>313</v>
      </c>
      <c r="B81" s="44"/>
      <c r="C81" s="56" t="s">
        <v>309</v>
      </c>
      <c r="D81" s="46"/>
      <c r="E81" s="46"/>
      <c r="F81" s="57" t="s">
        <v>129</v>
      </c>
      <c r="G81" s="58">
        <v>1</v>
      </c>
      <c r="H81" s="46"/>
      <c r="I81" s="63">
        <v>538.29999999999995</v>
      </c>
      <c r="J81" s="59">
        <v>10.4</v>
      </c>
      <c r="K81" s="60"/>
      <c r="L81" s="60"/>
      <c r="M81" s="59">
        <f t="shared" si="11"/>
        <v>5598.32</v>
      </c>
      <c r="N81" s="60"/>
      <c r="O81" s="60"/>
      <c r="P81" s="59">
        <v>10.4</v>
      </c>
      <c r="Q81" s="60"/>
      <c r="R81" s="60"/>
      <c r="S81" s="59">
        <f t="shared" si="12"/>
        <v>5598.32</v>
      </c>
      <c r="T81" s="60"/>
      <c r="U81" s="61"/>
      <c r="V81" s="9">
        <f t="shared" si="13"/>
        <v>8.67</v>
      </c>
      <c r="Y81" s="9">
        <f t="shared" si="14"/>
        <v>4665.2700000000004</v>
      </c>
      <c r="AD81" s="4" t="s">
        <v>314</v>
      </c>
      <c r="AE81" s="4" t="s">
        <v>311</v>
      </c>
      <c r="AF81" s="4" t="s">
        <v>312</v>
      </c>
    </row>
    <row r="82" spans="1:35" ht="18" x14ac:dyDescent="0.35">
      <c r="A82" s="38" t="s">
        <v>315</v>
      </c>
      <c r="B82" s="38"/>
      <c r="C82" s="49" t="s">
        <v>316</v>
      </c>
      <c r="D82" s="40"/>
      <c r="E82" s="40"/>
      <c r="F82" s="50" t="s">
        <v>81</v>
      </c>
      <c r="G82" s="51">
        <v>0.255</v>
      </c>
      <c r="H82" s="40"/>
      <c r="I82" s="52">
        <v>0</v>
      </c>
      <c r="J82" s="53">
        <v>100</v>
      </c>
      <c r="K82" s="54"/>
      <c r="L82" s="54"/>
      <c r="M82" s="53">
        <f t="shared" si="11"/>
        <v>0</v>
      </c>
      <c r="N82" s="54"/>
      <c r="O82" s="54"/>
      <c r="P82" s="53">
        <v>100</v>
      </c>
      <c r="Q82" s="54"/>
      <c r="R82" s="54"/>
      <c r="S82" s="53">
        <f t="shared" si="12"/>
        <v>0</v>
      </c>
      <c r="T82" s="54"/>
      <c r="U82" s="55"/>
      <c r="V82" s="9">
        <f t="shared" si="13"/>
        <v>83.33</v>
      </c>
      <c r="Y82" s="9">
        <f t="shared" si="14"/>
        <v>0</v>
      </c>
      <c r="AD82" s="4" t="s">
        <v>317</v>
      </c>
      <c r="AE82" s="4" t="s">
        <v>318</v>
      </c>
      <c r="AF82" s="4" t="s">
        <v>319</v>
      </c>
    </row>
    <row r="83" spans="1:35" ht="18" x14ac:dyDescent="0.35">
      <c r="A83" s="44" t="s">
        <v>320</v>
      </c>
      <c r="B83" s="44"/>
      <c r="C83" s="56" t="s">
        <v>316</v>
      </c>
      <c r="D83" s="46"/>
      <c r="E83" s="46"/>
      <c r="F83" s="57" t="s">
        <v>81</v>
      </c>
      <c r="G83" s="58">
        <v>0.255</v>
      </c>
      <c r="H83" s="46"/>
      <c r="I83" s="58">
        <v>137.267</v>
      </c>
      <c r="J83" s="59">
        <v>100</v>
      </c>
      <c r="K83" s="60"/>
      <c r="L83" s="60"/>
      <c r="M83" s="59">
        <f t="shared" si="11"/>
        <v>13726.7</v>
      </c>
      <c r="N83" s="60"/>
      <c r="O83" s="60"/>
      <c r="P83" s="59">
        <v>100</v>
      </c>
      <c r="Q83" s="60"/>
      <c r="R83" s="60"/>
      <c r="S83" s="59">
        <f t="shared" si="12"/>
        <v>13726.7</v>
      </c>
      <c r="T83" s="60"/>
      <c r="U83" s="61"/>
      <c r="V83" s="9">
        <f t="shared" si="13"/>
        <v>83.33</v>
      </c>
      <c r="Y83" s="9">
        <f t="shared" si="14"/>
        <v>11438.92</v>
      </c>
      <c r="AD83" s="4" t="s">
        <v>321</v>
      </c>
      <c r="AE83" s="4" t="s">
        <v>318</v>
      </c>
      <c r="AF83" s="4" t="s">
        <v>319</v>
      </c>
    </row>
    <row r="84" spans="1:35" ht="36" x14ac:dyDescent="0.35">
      <c r="A84" s="38" t="s">
        <v>322</v>
      </c>
      <c r="B84" s="38" t="s">
        <v>323</v>
      </c>
      <c r="C84" s="39" t="s">
        <v>324</v>
      </c>
      <c r="D84" s="40"/>
      <c r="E84" s="40" t="s">
        <v>325</v>
      </c>
      <c r="F84" s="40" t="s">
        <v>56</v>
      </c>
      <c r="G84" s="41">
        <v>1</v>
      </c>
      <c r="H84" s="40"/>
      <c r="I84" s="42">
        <v>0</v>
      </c>
      <c r="J84" s="43">
        <f>IFERROR(ROUND(SUM(M86,M88,M90)/I84, 2),0)</f>
        <v>0</v>
      </c>
      <c r="K84" s="43">
        <v>1014</v>
      </c>
      <c r="L84" s="43">
        <f>J84+ROUND(K84, 2)</f>
        <v>1014</v>
      </c>
      <c r="M84" s="43">
        <f>ROUND(J84*I84, 2)</f>
        <v>0</v>
      </c>
      <c r="N84" s="43">
        <f>ROUND(I84*ROUND(K84, 2), 2)</f>
        <v>0</v>
      </c>
      <c r="O84" s="43">
        <f>M84+N84</f>
        <v>0</v>
      </c>
      <c r="P84" s="43">
        <f>IFERROR(ROUND(SUM(S86,S88,S90)/I84, 2),0)</f>
        <v>0</v>
      </c>
      <c r="Q84" s="43">
        <v>922</v>
      </c>
      <c r="R84" s="43">
        <f>P84+ROUND(Q84, 2)</f>
        <v>922</v>
      </c>
      <c r="S84" s="43">
        <f>ROUND(P84*I84, 2)</f>
        <v>0</v>
      </c>
      <c r="T84" s="43">
        <f>ROUND(I84*ROUND(Q84, 2), 2)</f>
        <v>0</v>
      </c>
      <c r="U84" s="43">
        <f>S84+T84</f>
        <v>0</v>
      </c>
      <c r="V84" s="9">
        <f>ROUND(P84 / 1.2, 2)</f>
        <v>0</v>
      </c>
      <c r="W84" s="9">
        <f>ROUND(Q84 / 1.2, 2)</f>
        <v>768.33</v>
      </c>
      <c r="X84" s="9">
        <f>ROUND(R84 / 1.2, 2)</f>
        <v>768.33</v>
      </c>
      <c r="Y84" s="9">
        <f t="shared" si="14"/>
        <v>0</v>
      </c>
      <c r="Z84" s="9">
        <f>ROUND(T84 / 1.2, 2)</f>
        <v>0</v>
      </c>
      <c r="AA84" s="9">
        <f>Y84+Z84</f>
        <v>0</v>
      </c>
      <c r="AD84" s="4">
        <v>303752396</v>
      </c>
      <c r="AE84" s="4">
        <v>16078057</v>
      </c>
      <c r="AG84" s="4" t="s">
        <v>326</v>
      </c>
      <c r="AH84" s="4" t="s">
        <v>327</v>
      </c>
      <c r="AI84" s="4" t="s">
        <v>247</v>
      </c>
    </row>
    <row r="85" spans="1:35" ht="36" x14ac:dyDescent="0.35">
      <c r="A85" s="44" t="s">
        <v>328</v>
      </c>
      <c r="B85" s="44" t="s">
        <v>323</v>
      </c>
      <c r="C85" s="45" t="s">
        <v>324</v>
      </c>
      <c r="D85" s="46"/>
      <c r="E85" s="46" t="s">
        <v>325</v>
      </c>
      <c r="F85" s="46" t="s">
        <v>56</v>
      </c>
      <c r="G85" s="47">
        <v>1</v>
      </c>
      <c r="H85" s="46"/>
      <c r="I85" s="47">
        <v>362.4</v>
      </c>
      <c r="J85" s="48">
        <v>0</v>
      </c>
      <c r="K85" s="48">
        <v>922</v>
      </c>
      <c r="L85" s="48"/>
      <c r="M85" s="48">
        <v>0</v>
      </c>
      <c r="N85" s="48"/>
      <c r="O85" s="48"/>
      <c r="P85" s="48">
        <v>0</v>
      </c>
      <c r="Q85" s="48">
        <v>922</v>
      </c>
      <c r="R85" s="48"/>
      <c r="S85" s="48">
        <v>0</v>
      </c>
      <c r="T85" s="48"/>
      <c r="U85" s="48"/>
      <c r="V85" s="9"/>
      <c r="W85" s="9">
        <f>ROUND(Q85 / 1.2, 2)</f>
        <v>768.33</v>
      </c>
      <c r="X85" s="9">
        <f>ROUND(R85 / 1.2, 2)</f>
        <v>0</v>
      </c>
      <c r="Y85" s="9"/>
      <c r="Z85" s="9">
        <f>ROUND(T85 / 1.2, 2)</f>
        <v>0</v>
      </c>
      <c r="AA85" s="9"/>
      <c r="AD85" s="4">
        <v>204257138</v>
      </c>
      <c r="AE85" s="4">
        <v>16078057</v>
      </c>
      <c r="AG85" s="4" t="s">
        <v>326</v>
      </c>
      <c r="AH85" s="4" t="s">
        <v>327</v>
      </c>
      <c r="AI85" s="4"/>
    </row>
    <row r="86" spans="1:35" ht="18" x14ac:dyDescent="0.35">
      <c r="A86" s="38" t="s">
        <v>329</v>
      </c>
      <c r="B86" s="38"/>
      <c r="C86" s="49" t="s">
        <v>294</v>
      </c>
      <c r="D86" s="40"/>
      <c r="E86" s="40" t="s">
        <v>330</v>
      </c>
      <c r="F86" s="50" t="s">
        <v>81</v>
      </c>
      <c r="G86" s="51">
        <v>1.8</v>
      </c>
      <c r="H86" s="40"/>
      <c r="I86" s="62">
        <v>0</v>
      </c>
      <c r="J86" s="53">
        <v>6.17</v>
      </c>
      <c r="K86" s="54"/>
      <c r="L86" s="54"/>
      <c r="M86" s="53">
        <f t="shared" ref="M86:M91" si="15">ROUND(ROUND(J86, 2)*I86, 2)</f>
        <v>0</v>
      </c>
      <c r="N86" s="54"/>
      <c r="O86" s="54"/>
      <c r="P86" s="53">
        <v>6.17</v>
      </c>
      <c r="Q86" s="54"/>
      <c r="R86" s="54"/>
      <c r="S86" s="53">
        <f t="shared" ref="S86:S91" si="16">ROUND(ROUND(P86, 2)*I86, 2)</f>
        <v>0</v>
      </c>
      <c r="T86" s="54"/>
      <c r="U86" s="55"/>
      <c r="V86" s="9">
        <f t="shared" ref="V86:V91" si="17">ROUND(ROUND(P86, 2)/1.2, 2)</f>
        <v>5.14</v>
      </c>
      <c r="Y86" s="9">
        <f t="shared" ref="Y86:Y92" si="18">ROUND(S86 / 1.2, 2)</f>
        <v>0</v>
      </c>
      <c r="AD86" s="4" t="s">
        <v>331</v>
      </c>
      <c r="AE86" s="4" t="s">
        <v>332</v>
      </c>
      <c r="AF86" s="4" t="s">
        <v>298</v>
      </c>
    </row>
    <row r="87" spans="1:35" ht="18" x14ac:dyDescent="0.35">
      <c r="A87" s="44" t="s">
        <v>333</v>
      </c>
      <c r="B87" s="44"/>
      <c r="C87" s="56" t="s">
        <v>294</v>
      </c>
      <c r="D87" s="46"/>
      <c r="E87" s="46" t="s">
        <v>330</v>
      </c>
      <c r="F87" s="57" t="s">
        <v>81</v>
      </c>
      <c r="G87" s="58">
        <v>1.8</v>
      </c>
      <c r="H87" s="46"/>
      <c r="I87" s="63">
        <v>41748.480000000003</v>
      </c>
      <c r="J87" s="59">
        <v>6.17</v>
      </c>
      <c r="K87" s="60"/>
      <c r="L87" s="60"/>
      <c r="M87" s="59">
        <f t="shared" si="15"/>
        <v>257588.12</v>
      </c>
      <c r="N87" s="60"/>
      <c r="O87" s="60"/>
      <c r="P87" s="59">
        <v>6.17</v>
      </c>
      <c r="Q87" s="60"/>
      <c r="R87" s="60"/>
      <c r="S87" s="59">
        <f t="shared" si="16"/>
        <v>257588.12</v>
      </c>
      <c r="T87" s="60"/>
      <c r="U87" s="61"/>
      <c r="V87" s="9">
        <f t="shared" si="17"/>
        <v>5.14</v>
      </c>
      <c r="Y87" s="9">
        <f t="shared" si="18"/>
        <v>214656.77</v>
      </c>
      <c r="AD87" s="4" t="s">
        <v>334</v>
      </c>
      <c r="AE87" s="4" t="s">
        <v>332</v>
      </c>
      <c r="AF87" s="4" t="s">
        <v>298</v>
      </c>
    </row>
    <row r="88" spans="1:35" ht="18" x14ac:dyDescent="0.35">
      <c r="A88" s="38" t="s">
        <v>335</v>
      </c>
      <c r="B88" s="38"/>
      <c r="C88" s="49" t="s">
        <v>302</v>
      </c>
      <c r="D88" s="40"/>
      <c r="E88" s="40"/>
      <c r="F88" s="50" t="s">
        <v>56</v>
      </c>
      <c r="G88" s="51">
        <v>1.1000000000000001</v>
      </c>
      <c r="H88" s="40"/>
      <c r="I88" s="62">
        <v>0</v>
      </c>
      <c r="J88" s="53">
        <v>155.01</v>
      </c>
      <c r="K88" s="54"/>
      <c r="L88" s="54"/>
      <c r="M88" s="53">
        <f t="shared" si="15"/>
        <v>0</v>
      </c>
      <c r="N88" s="54"/>
      <c r="O88" s="54"/>
      <c r="P88" s="53">
        <v>155.01</v>
      </c>
      <c r="Q88" s="54"/>
      <c r="R88" s="54"/>
      <c r="S88" s="53">
        <f t="shared" si="16"/>
        <v>0</v>
      </c>
      <c r="T88" s="54"/>
      <c r="U88" s="55"/>
      <c r="V88" s="9">
        <f t="shared" si="17"/>
        <v>129.18</v>
      </c>
      <c r="Y88" s="9">
        <f t="shared" si="18"/>
        <v>0</v>
      </c>
      <c r="AD88" s="4" t="s">
        <v>336</v>
      </c>
      <c r="AE88" s="4" t="s">
        <v>337</v>
      </c>
      <c r="AF88" s="4" t="s">
        <v>305</v>
      </c>
    </row>
    <row r="89" spans="1:35" ht="18" x14ac:dyDescent="0.35">
      <c r="A89" s="44" t="s">
        <v>338</v>
      </c>
      <c r="B89" s="44"/>
      <c r="C89" s="56" t="s">
        <v>302</v>
      </c>
      <c r="D89" s="46"/>
      <c r="E89" s="46"/>
      <c r="F89" s="57" t="s">
        <v>56</v>
      </c>
      <c r="G89" s="58">
        <v>1.1000000000000001</v>
      </c>
      <c r="H89" s="46"/>
      <c r="I89" s="63">
        <v>398.64</v>
      </c>
      <c r="J89" s="59">
        <v>155.01</v>
      </c>
      <c r="K89" s="60"/>
      <c r="L89" s="60"/>
      <c r="M89" s="59">
        <f t="shared" si="15"/>
        <v>61793.19</v>
      </c>
      <c r="N89" s="60"/>
      <c r="O89" s="60"/>
      <c r="P89" s="59">
        <v>155.01</v>
      </c>
      <c r="Q89" s="60"/>
      <c r="R89" s="60"/>
      <c r="S89" s="59">
        <f t="shared" si="16"/>
        <v>61793.19</v>
      </c>
      <c r="T89" s="60"/>
      <c r="U89" s="61"/>
      <c r="V89" s="9">
        <f t="shared" si="17"/>
        <v>129.18</v>
      </c>
      <c r="Y89" s="9">
        <f t="shared" si="18"/>
        <v>51494.33</v>
      </c>
      <c r="AD89" s="4" t="s">
        <v>339</v>
      </c>
      <c r="AE89" s="4" t="s">
        <v>337</v>
      </c>
      <c r="AF89" s="4" t="s">
        <v>305</v>
      </c>
    </row>
    <row r="90" spans="1:35" ht="18" x14ac:dyDescent="0.35">
      <c r="A90" s="38" t="s">
        <v>340</v>
      </c>
      <c r="B90" s="38"/>
      <c r="C90" s="49" t="s">
        <v>309</v>
      </c>
      <c r="D90" s="40"/>
      <c r="E90" s="40"/>
      <c r="F90" s="50" t="s">
        <v>129</v>
      </c>
      <c r="G90" s="51">
        <v>1</v>
      </c>
      <c r="H90" s="40"/>
      <c r="I90" s="62">
        <v>0</v>
      </c>
      <c r="J90" s="53">
        <v>10.4</v>
      </c>
      <c r="K90" s="54"/>
      <c r="L90" s="54"/>
      <c r="M90" s="53">
        <f t="shared" si="15"/>
        <v>0</v>
      </c>
      <c r="N90" s="54"/>
      <c r="O90" s="54"/>
      <c r="P90" s="53">
        <v>10.4</v>
      </c>
      <c r="Q90" s="54"/>
      <c r="R90" s="54"/>
      <c r="S90" s="53">
        <f t="shared" si="16"/>
        <v>0</v>
      </c>
      <c r="T90" s="54"/>
      <c r="U90" s="55"/>
      <c r="V90" s="9">
        <f t="shared" si="17"/>
        <v>8.67</v>
      </c>
      <c r="Y90" s="9">
        <f t="shared" si="18"/>
        <v>0</v>
      </c>
      <c r="AD90" s="4" t="s">
        <v>341</v>
      </c>
      <c r="AE90" s="4" t="s">
        <v>342</v>
      </c>
      <c r="AF90" s="4" t="s">
        <v>312</v>
      </c>
    </row>
    <row r="91" spans="1:35" ht="18" x14ac:dyDescent="0.35">
      <c r="A91" s="44" t="s">
        <v>343</v>
      </c>
      <c r="B91" s="44"/>
      <c r="C91" s="56" t="s">
        <v>309</v>
      </c>
      <c r="D91" s="46"/>
      <c r="E91" s="46"/>
      <c r="F91" s="57" t="s">
        <v>129</v>
      </c>
      <c r="G91" s="58">
        <v>1</v>
      </c>
      <c r="H91" s="46"/>
      <c r="I91" s="63">
        <v>362.4</v>
      </c>
      <c r="J91" s="59">
        <v>10.4</v>
      </c>
      <c r="K91" s="60"/>
      <c r="L91" s="60"/>
      <c r="M91" s="59">
        <f t="shared" si="15"/>
        <v>3768.96</v>
      </c>
      <c r="N91" s="60"/>
      <c r="O91" s="60"/>
      <c r="P91" s="59">
        <v>10.4</v>
      </c>
      <c r="Q91" s="60"/>
      <c r="R91" s="60"/>
      <c r="S91" s="59">
        <f t="shared" si="16"/>
        <v>3768.96</v>
      </c>
      <c r="T91" s="60"/>
      <c r="U91" s="61"/>
      <c r="V91" s="9">
        <f t="shared" si="17"/>
        <v>8.67</v>
      </c>
      <c r="Y91" s="9">
        <f t="shared" si="18"/>
        <v>3140.8</v>
      </c>
      <c r="AD91" s="4" t="s">
        <v>344</v>
      </c>
      <c r="AE91" s="4" t="s">
        <v>342</v>
      </c>
      <c r="AF91" s="4" t="s">
        <v>312</v>
      </c>
    </row>
    <row r="92" spans="1:35" ht="36" x14ac:dyDescent="0.35">
      <c r="A92" s="38" t="s">
        <v>345</v>
      </c>
      <c r="B92" s="38" t="s">
        <v>323</v>
      </c>
      <c r="C92" s="39" t="s">
        <v>324</v>
      </c>
      <c r="D92" s="40"/>
      <c r="E92" s="40" t="s">
        <v>346</v>
      </c>
      <c r="F92" s="40" t="s">
        <v>56</v>
      </c>
      <c r="G92" s="41">
        <v>1</v>
      </c>
      <c r="H92" s="40"/>
      <c r="I92" s="42">
        <v>0</v>
      </c>
      <c r="J92" s="43">
        <f>IFERROR(ROUND(SUM(M94,M96,M98,M100)/I92, 2),0)</f>
        <v>0</v>
      </c>
      <c r="K92" s="43">
        <v>1014</v>
      </c>
      <c r="L92" s="43">
        <f>J92+ROUND(K92, 2)</f>
        <v>1014</v>
      </c>
      <c r="M92" s="43">
        <f>ROUND(J92*I92, 2)</f>
        <v>0</v>
      </c>
      <c r="N92" s="43">
        <f>ROUND(I92*ROUND(K92, 2), 2)</f>
        <v>0</v>
      </c>
      <c r="O92" s="43">
        <f>M92+N92</f>
        <v>0</v>
      </c>
      <c r="P92" s="43">
        <f>IFERROR(ROUND(SUM(S94,S96,S98,S100)/I92, 2),0)</f>
        <v>0</v>
      </c>
      <c r="Q92" s="43">
        <v>922</v>
      </c>
      <c r="R92" s="43">
        <f>P92+ROUND(Q92, 2)</f>
        <v>922</v>
      </c>
      <c r="S92" s="43">
        <f>ROUND(P92*I92, 2)</f>
        <v>0</v>
      </c>
      <c r="T92" s="43">
        <f>ROUND(I92*ROUND(Q92, 2), 2)</f>
        <v>0</v>
      </c>
      <c r="U92" s="43">
        <f>S92+T92</f>
        <v>0</v>
      </c>
      <c r="V92" s="9">
        <f>ROUND(P92 / 1.2, 2)</f>
        <v>0</v>
      </c>
      <c r="W92" s="9">
        <f>ROUND(Q92 / 1.2, 2)</f>
        <v>768.33</v>
      </c>
      <c r="X92" s="9">
        <f>ROUND(R92 / 1.2, 2)</f>
        <v>768.33</v>
      </c>
      <c r="Y92" s="9">
        <f t="shared" si="18"/>
        <v>0</v>
      </c>
      <c r="Z92" s="9">
        <f>ROUND(T92 / 1.2, 2)</f>
        <v>0</v>
      </c>
      <c r="AA92" s="9">
        <f>Y92+Z92</f>
        <v>0</v>
      </c>
      <c r="AD92" s="4">
        <v>303752462</v>
      </c>
      <c r="AE92" s="4">
        <v>16080100</v>
      </c>
      <c r="AG92" s="4" t="s">
        <v>326</v>
      </c>
      <c r="AH92" s="4" t="s">
        <v>327</v>
      </c>
      <c r="AI92" s="4" t="s">
        <v>247</v>
      </c>
    </row>
    <row r="93" spans="1:35" ht="36" x14ac:dyDescent="0.35">
      <c r="A93" s="44" t="s">
        <v>347</v>
      </c>
      <c r="B93" s="44" t="s">
        <v>323</v>
      </c>
      <c r="C93" s="45" t="s">
        <v>324</v>
      </c>
      <c r="D93" s="46"/>
      <c r="E93" s="46" t="s">
        <v>346</v>
      </c>
      <c r="F93" s="46" t="s">
        <v>56</v>
      </c>
      <c r="G93" s="47">
        <v>1</v>
      </c>
      <c r="H93" s="46"/>
      <c r="I93" s="47">
        <v>75.400000000000006</v>
      </c>
      <c r="J93" s="48">
        <v>0</v>
      </c>
      <c r="K93" s="48">
        <v>922</v>
      </c>
      <c r="L93" s="48"/>
      <c r="M93" s="48">
        <v>0</v>
      </c>
      <c r="N93" s="48"/>
      <c r="O93" s="48"/>
      <c r="P93" s="48">
        <v>0</v>
      </c>
      <c r="Q93" s="48">
        <v>922</v>
      </c>
      <c r="R93" s="48"/>
      <c r="S93" s="48">
        <v>0</v>
      </c>
      <c r="T93" s="48"/>
      <c r="U93" s="48"/>
      <c r="V93" s="9"/>
      <c r="W93" s="9">
        <f>ROUND(Q93 / 1.2, 2)</f>
        <v>768.33</v>
      </c>
      <c r="X93" s="9">
        <f>ROUND(R93 / 1.2, 2)</f>
        <v>0</v>
      </c>
      <c r="Y93" s="9"/>
      <c r="Z93" s="9">
        <f>ROUND(T93 / 1.2, 2)</f>
        <v>0</v>
      </c>
      <c r="AA93" s="9"/>
      <c r="AD93" s="4">
        <v>204388331</v>
      </c>
      <c r="AE93" s="4">
        <v>16080100</v>
      </c>
      <c r="AG93" s="4" t="s">
        <v>326</v>
      </c>
      <c r="AH93" s="4" t="s">
        <v>327</v>
      </c>
      <c r="AI93" s="4"/>
    </row>
    <row r="94" spans="1:35" ht="18" x14ac:dyDescent="0.35">
      <c r="A94" s="38" t="s">
        <v>348</v>
      </c>
      <c r="B94" s="38"/>
      <c r="C94" s="49" t="s">
        <v>316</v>
      </c>
      <c r="D94" s="40"/>
      <c r="E94" s="40"/>
      <c r="F94" s="50" t="s">
        <v>81</v>
      </c>
      <c r="G94" s="51">
        <v>0.255</v>
      </c>
      <c r="H94" s="40"/>
      <c r="I94" s="52">
        <v>0</v>
      </c>
      <c r="J94" s="53">
        <v>100</v>
      </c>
      <c r="K94" s="54"/>
      <c r="L94" s="54"/>
      <c r="M94" s="53">
        <f t="shared" ref="M94:M101" si="19">ROUND(ROUND(J94, 2)*I94, 2)</f>
        <v>0</v>
      </c>
      <c r="N94" s="54"/>
      <c r="O94" s="54"/>
      <c r="P94" s="53">
        <v>100</v>
      </c>
      <c r="Q94" s="54"/>
      <c r="R94" s="54"/>
      <c r="S94" s="53">
        <f t="shared" ref="S94:S101" si="20">ROUND(ROUND(P94, 2)*I94, 2)</f>
        <v>0</v>
      </c>
      <c r="T94" s="54"/>
      <c r="U94" s="55"/>
      <c r="V94" s="9">
        <f t="shared" ref="V94:V101" si="21">ROUND(ROUND(P94, 2)/1.2, 2)</f>
        <v>83.33</v>
      </c>
      <c r="Y94" s="9">
        <f t="shared" ref="Y94:Y102" si="22">ROUND(S94 / 1.2, 2)</f>
        <v>0</v>
      </c>
      <c r="AD94" s="4" t="s">
        <v>349</v>
      </c>
      <c r="AE94" s="4" t="s">
        <v>350</v>
      </c>
      <c r="AF94" s="4" t="s">
        <v>319</v>
      </c>
    </row>
    <row r="95" spans="1:35" ht="18" x14ac:dyDescent="0.35">
      <c r="A95" s="44" t="s">
        <v>351</v>
      </c>
      <c r="B95" s="44"/>
      <c r="C95" s="56" t="s">
        <v>316</v>
      </c>
      <c r="D95" s="46"/>
      <c r="E95" s="46"/>
      <c r="F95" s="57" t="s">
        <v>81</v>
      </c>
      <c r="G95" s="58">
        <v>0.255</v>
      </c>
      <c r="H95" s="46"/>
      <c r="I95" s="58">
        <v>19.227</v>
      </c>
      <c r="J95" s="59">
        <v>100</v>
      </c>
      <c r="K95" s="60"/>
      <c r="L95" s="60"/>
      <c r="M95" s="59">
        <f t="shared" si="19"/>
        <v>1922.7</v>
      </c>
      <c r="N95" s="60"/>
      <c r="O95" s="60"/>
      <c r="P95" s="59">
        <v>100</v>
      </c>
      <c r="Q95" s="60"/>
      <c r="R95" s="60"/>
      <c r="S95" s="59">
        <f t="shared" si="20"/>
        <v>1922.7</v>
      </c>
      <c r="T95" s="60"/>
      <c r="U95" s="61"/>
      <c r="V95" s="9">
        <f t="shared" si="21"/>
        <v>83.33</v>
      </c>
      <c r="Y95" s="9">
        <f t="shared" si="22"/>
        <v>1602.25</v>
      </c>
      <c r="AD95" s="4" t="s">
        <v>352</v>
      </c>
      <c r="AE95" s="4" t="s">
        <v>350</v>
      </c>
      <c r="AF95" s="4" t="s">
        <v>319</v>
      </c>
    </row>
    <row r="96" spans="1:35" ht="18" x14ac:dyDescent="0.35">
      <c r="A96" s="38" t="s">
        <v>353</v>
      </c>
      <c r="B96" s="38"/>
      <c r="C96" s="49" t="s">
        <v>309</v>
      </c>
      <c r="D96" s="40"/>
      <c r="E96" s="40"/>
      <c r="F96" s="50" t="s">
        <v>129</v>
      </c>
      <c r="G96" s="51">
        <v>1</v>
      </c>
      <c r="H96" s="40"/>
      <c r="I96" s="62">
        <v>0</v>
      </c>
      <c r="J96" s="53">
        <v>10.4</v>
      </c>
      <c r="K96" s="54"/>
      <c r="L96" s="54"/>
      <c r="M96" s="53">
        <f t="shared" si="19"/>
        <v>0</v>
      </c>
      <c r="N96" s="54"/>
      <c r="O96" s="54"/>
      <c r="P96" s="53">
        <v>10.4</v>
      </c>
      <c r="Q96" s="54"/>
      <c r="R96" s="54"/>
      <c r="S96" s="53">
        <f t="shared" si="20"/>
        <v>0</v>
      </c>
      <c r="T96" s="54"/>
      <c r="U96" s="55"/>
      <c r="V96" s="9">
        <f t="shared" si="21"/>
        <v>8.67</v>
      </c>
      <c r="Y96" s="9">
        <f t="shared" si="22"/>
        <v>0</v>
      </c>
      <c r="AD96" s="4" t="s">
        <v>354</v>
      </c>
      <c r="AE96" s="4" t="s">
        <v>355</v>
      </c>
      <c r="AF96" s="4" t="s">
        <v>312</v>
      </c>
    </row>
    <row r="97" spans="1:35" ht="18" x14ac:dyDescent="0.35">
      <c r="A97" s="44" t="s">
        <v>356</v>
      </c>
      <c r="B97" s="44"/>
      <c r="C97" s="56" t="s">
        <v>309</v>
      </c>
      <c r="D97" s="46"/>
      <c r="E97" s="46"/>
      <c r="F97" s="57" t="s">
        <v>129</v>
      </c>
      <c r="G97" s="58">
        <v>1</v>
      </c>
      <c r="H97" s="46"/>
      <c r="I97" s="63">
        <v>75.400000000000006</v>
      </c>
      <c r="J97" s="59">
        <v>10.4</v>
      </c>
      <c r="K97" s="60"/>
      <c r="L97" s="60"/>
      <c r="M97" s="59">
        <f t="shared" si="19"/>
        <v>784.16</v>
      </c>
      <c r="N97" s="60"/>
      <c r="O97" s="60"/>
      <c r="P97" s="59">
        <v>10.4</v>
      </c>
      <c r="Q97" s="60"/>
      <c r="R97" s="60"/>
      <c r="S97" s="59">
        <f t="shared" si="20"/>
        <v>784.16</v>
      </c>
      <c r="T97" s="60"/>
      <c r="U97" s="61"/>
      <c r="V97" s="9">
        <f t="shared" si="21"/>
        <v>8.67</v>
      </c>
      <c r="Y97" s="9">
        <f t="shared" si="22"/>
        <v>653.47</v>
      </c>
      <c r="AD97" s="4" t="s">
        <v>357</v>
      </c>
      <c r="AE97" s="4" t="s">
        <v>355</v>
      </c>
      <c r="AF97" s="4" t="s">
        <v>312</v>
      </c>
    </row>
    <row r="98" spans="1:35" ht="18" x14ac:dyDescent="0.35">
      <c r="A98" s="38" t="s">
        <v>358</v>
      </c>
      <c r="B98" s="38"/>
      <c r="C98" s="49" t="s">
        <v>302</v>
      </c>
      <c r="D98" s="40"/>
      <c r="E98" s="40"/>
      <c r="F98" s="50" t="s">
        <v>56</v>
      </c>
      <c r="G98" s="51">
        <v>1.1000000000000001</v>
      </c>
      <c r="H98" s="40"/>
      <c r="I98" s="62">
        <v>0</v>
      </c>
      <c r="J98" s="53">
        <v>155.01</v>
      </c>
      <c r="K98" s="54"/>
      <c r="L98" s="54"/>
      <c r="M98" s="53">
        <f t="shared" si="19"/>
        <v>0</v>
      </c>
      <c r="N98" s="54"/>
      <c r="O98" s="54"/>
      <c r="P98" s="53">
        <v>155.01</v>
      </c>
      <c r="Q98" s="54"/>
      <c r="R98" s="54"/>
      <c r="S98" s="53">
        <f t="shared" si="20"/>
        <v>0</v>
      </c>
      <c r="T98" s="54"/>
      <c r="U98" s="55"/>
      <c r="V98" s="9">
        <f t="shared" si="21"/>
        <v>129.18</v>
      </c>
      <c r="Y98" s="9">
        <f t="shared" si="22"/>
        <v>0</v>
      </c>
      <c r="AD98" s="4" t="s">
        <v>359</v>
      </c>
      <c r="AE98" s="4" t="s">
        <v>360</v>
      </c>
      <c r="AF98" s="4" t="s">
        <v>305</v>
      </c>
    </row>
    <row r="99" spans="1:35" ht="18" x14ac:dyDescent="0.35">
      <c r="A99" s="44" t="s">
        <v>361</v>
      </c>
      <c r="B99" s="44"/>
      <c r="C99" s="56" t="s">
        <v>302</v>
      </c>
      <c r="D99" s="46"/>
      <c r="E99" s="46"/>
      <c r="F99" s="57" t="s">
        <v>56</v>
      </c>
      <c r="G99" s="58">
        <v>1.1000000000000001</v>
      </c>
      <c r="H99" s="46"/>
      <c r="I99" s="63">
        <v>82.94</v>
      </c>
      <c r="J99" s="59">
        <v>155.01</v>
      </c>
      <c r="K99" s="60"/>
      <c r="L99" s="60"/>
      <c r="M99" s="59">
        <f t="shared" si="19"/>
        <v>12856.53</v>
      </c>
      <c r="N99" s="60"/>
      <c r="O99" s="60"/>
      <c r="P99" s="59">
        <v>155.01</v>
      </c>
      <c r="Q99" s="60"/>
      <c r="R99" s="60"/>
      <c r="S99" s="59">
        <f t="shared" si="20"/>
        <v>12856.53</v>
      </c>
      <c r="T99" s="60"/>
      <c r="U99" s="61"/>
      <c r="V99" s="9">
        <f t="shared" si="21"/>
        <v>129.18</v>
      </c>
      <c r="Y99" s="9">
        <f t="shared" si="22"/>
        <v>10713.78</v>
      </c>
      <c r="AD99" s="4" t="s">
        <v>362</v>
      </c>
      <c r="AE99" s="4" t="s">
        <v>360</v>
      </c>
      <c r="AF99" s="4" t="s">
        <v>305</v>
      </c>
    </row>
    <row r="100" spans="1:35" ht="18" x14ac:dyDescent="0.35">
      <c r="A100" s="38" t="s">
        <v>363</v>
      </c>
      <c r="B100" s="38"/>
      <c r="C100" s="49" t="s">
        <v>294</v>
      </c>
      <c r="D100" s="40"/>
      <c r="E100" s="40" t="s">
        <v>364</v>
      </c>
      <c r="F100" s="50" t="s">
        <v>81</v>
      </c>
      <c r="G100" s="51">
        <v>1.8</v>
      </c>
      <c r="H100" s="40"/>
      <c r="I100" s="62">
        <v>0</v>
      </c>
      <c r="J100" s="53">
        <v>6.17</v>
      </c>
      <c r="K100" s="54"/>
      <c r="L100" s="54"/>
      <c r="M100" s="53">
        <f t="shared" si="19"/>
        <v>0</v>
      </c>
      <c r="N100" s="54"/>
      <c r="O100" s="54"/>
      <c r="P100" s="53">
        <v>6.17</v>
      </c>
      <c r="Q100" s="54"/>
      <c r="R100" s="54"/>
      <c r="S100" s="53">
        <f t="shared" si="20"/>
        <v>0</v>
      </c>
      <c r="T100" s="54"/>
      <c r="U100" s="55"/>
      <c r="V100" s="9">
        <f t="shared" si="21"/>
        <v>5.14</v>
      </c>
      <c r="Y100" s="9">
        <f t="shared" si="22"/>
        <v>0</v>
      </c>
      <c r="AD100" s="4" t="s">
        <v>365</v>
      </c>
      <c r="AE100" s="4" t="s">
        <v>366</v>
      </c>
      <c r="AF100" s="4" t="s">
        <v>298</v>
      </c>
    </row>
    <row r="101" spans="1:35" ht="18" x14ac:dyDescent="0.35">
      <c r="A101" s="44" t="s">
        <v>367</v>
      </c>
      <c r="B101" s="44"/>
      <c r="C101" s="56" t="s">
        <v>294</v>
      </c>
      <c r="D101" s="46"/>
      <c r="E101" s="46" t="s">
        <v>364</v>
      </c>
      <c r="F101" s="57" t="s">
        <v>81</v>
      </c>
      <c r="G101" s="58">
        <v>1.8</v>
      </c>
      <c r="H101" s="46"/>
      <c r="I101" s="63">
        <v>8821.7999999999993</v>
      </c>
      <c r="J101" s="59">
        <v>6.17</v>
      </c>
      <c r="K101" s="60"/>
      <c r="L101" s="60"/>
      <c r="M101" s="59">
        <f t="shared" si="19"/>
        <v>54430.51</v>
      </c>
      <c r="N101" s="60"/>
      <c r="O101" s="60"/>
      <c r="P101" s="59">
        <v>6.17</v>
      </c>
      <c r="Q101" s="60"/>
      <c r="R101" s="60"/>
      <c r="S101" s="59">
        <f t="shared" si="20"/>
        <v>54430.51</v>
      </c>
      <c r="T101" s="60"/>
      <c r="U101" s="61"/>
      <c r="V101" s="9">
        <f t="shared" si="21"/>
        <v>5.14</v>
      </c>
      <c r="Y101" s="9">
        <f t="shared" si="22"/>
        <v>45358.76</v>
      </c>
      <c r="AD101" s="4" t="s">
        <v>368</v>
      </c>
      <c r="AE101" s="4" t="s">
        <v>366</v>
      </c>
      <c r="AF101" s="4" t="s">
        <v>298</v>
      </c>
    </row>
    <row r="102" spans="1:35" ht="36" x14ac:dyDescent="0.35">
      <c r="A102" s="38" t="s">
        <v>369</v>
      </c>
      <c r="B102" s="38" t="s">
        <v>323</v>
      </c>
      <c r="C102" s="39" t="s">
        <v>324</v>
      </c>
      <c r="D102" s="40"/>
      <c r="E102" s="40" t="s">
        <v>370</v>
      </c>
      <c r="F102" s="40" t="s">
        <v>56</v>
      </c>
      <c r="G102" s="41">
        <v>1</v>
      </c>
      <c r="H102" s="40"/>
      <c r="I102" s="42">
        <v>0</v>
      </c>
      <c r="J102" s="43">
        <f>IFERROR(ROUND(SUM(M104,M106,M108)/I102, 2),0)</f>
        <v>0</v>
      </c>
      <c r="K102" s="43">
        <v>1014</v>
      </c>
      <c r="L102" s="43">
        <f>J102+ROUND(K102, 2)</f>
        <v>1014</v>
      </c>
      <c r="M102" s="43">
        <f>ROUND(J102*I102, 2)</f>
        <v>0</v>
      </c>
      <c r="N102" s="43">
        <f>ROUND(I102*ROUND(K102, 2), 2)</f>
        <v>0</v>
      </c>
      <c r="O102" s="43">
        <f>M102+N102</f>
        <v>0</v>
      </c>
      <c r="P102" s="43">
        <f>IFERROR(ROUND(SUM(S104,S106,S108)/I102, 2),0)</f>
        <v>0</v>
      </c>
      <c r="Q102" s="43">
        <v>922</v>
      </c>
      <c r="R102" s="43">
        <f>P102+ROUND(Q102, 2)</f>
        <v>922</v>
      </c>
      <c r="S102" s="43">
        <f>ROUND(P102*I102, 2)</f>
        <v>0</v>
      </c>
      <c r="T102" s="43">
        <f>ROUND(I102*ROUND(Q102, 2), 2)</f>
        <v>0</v>
      </c>
      <c r="U102" s="43">
        <f>S102+T102</f>
        <v>0</v>
      </c>
      <c r="V102" s="9">
        <f>ROUND(P102 / 1.2, 2)</f>
        <v>0</v>
      </c>
      <c r="W102" s="9">
        <f>ROUND(Q102 / 1.2, 2)</f>
        <v>768.33</v>
      </c>
      <c r="X102" s="9">
        <f>ROUND(R102 / 1.2, 2)</f>
        <v>768.33</v>
      </c>
      <c r="Y102" s="9">
        <f t="shared" si="22"/>
        <v>0</v>
      </c>
      <c r="Z102" s="9">
        <f>ROUND(T102 / 1.2, 2)</f>
        <v>0</v>
      </c>
      <c r="AA102" s="9">
        <f>Y102+Z102</f>
        <v>0</v>
      </c>
      <c r="AD102" s="4">
        <v>303752463</v>
      </c>
      <c r="AE102" s="4">
        <v>16088189</v>
      </c>
      <c r="AG102" s="4" t="s">
        <v>326</v>
      </c>
      <c r="AH102" s="4" t="s">
        <v>327</v>
      </c>
      <c r="AI102" s="4" t="s">
        <v>247</v>
      </c>
    </row>
    <row r="103" spans="1:35" ht="36" x14ac:dyDescent="0.35">
      <c r="A103" s="44" t="s">
        <v>371</v>
      </c>
      <c r="B103" s="44" t="s">
        <v>323</v>
      </c>
      <c r="C103" s="45" t="s">
        <v>324</v>
      </c>
      <c r="D103" s="46"/>
      <c r="E103" s="46" t="s">
        <v>370</v>
      </c>
      <c r="F103" s="46" t="s">
        <v>56</v>
      </c>
      <c r="G103" s="47">
        <v>1</v>
      </c>
      <c r="H103" s="46"/>
      <c r="I103" s="47">
        <v>148.1</v>
      </c>
      <c r="J103" s="48">
        <v>0</v>
      </c>
      <c r="K103" s="48">
        <v>922</v>
      </c>
      <c r="L103" s="48"/>
      <c r="M103" s="48">
        <v>0</v>
      </c>
      <c r="N103" s="48"/>
      <c r="O103" s="48"/>
      <c r="P103" s="48">
        <v>0</v>
      </c>
      <c r="Q103" s="48">
        <v>922</v>
      </c>
      <c r="R103" s="48"/>
      <c r="S103" s="48">
        <v>0</v>
      </c>
      <c r="T103" s="48"/>
      <c r="U103" s="48"/>
      <c r="V103" s="9"/>
      <c r="W103" s="9">
        <f>ROUND(Q103 / 1.2, 2)</f>
        <v>768.33</v>
      </c>
      <c r="X103" s="9">
        <f>ROUND(R103 / 1.2, 2)</f>
        <v>0</v>
      </c>
      <c r="Y103" s="9"/>
      <c r="Z103" s="9">
        <f>ROUND(T103 / 1.2, 2)</f>
        <v>0</v>
      </c>
      <c r="AA103" s="9"/>
      <c r="AD103" s="4">
        <v>204428534</v>
      </c>
      <c r="AE103" s="4">
        <v>16088189</v>
      </c>
      <c r="AG103" s="4" t="s">
        <v>326</v>
      </c>
      <c r="AH103" s="4" t="s">
        <v>327</v>
      </c>
      <c r="AI103" s="4"/>
    </row>
    <row r="104" spans="1:35" ht="18" x14ac:dyDescent="0.35">
      <c r="A104" s="38" t="s">
        <v>372</v>
      </c>
      <c r="B104" s="38"/>
      <c r="C104" s="49" t="s">
        <v>309</v>
      </c>
      <c r="D104" s="40"/>
      <c r="E104" s="40"/>
      <c r="F104" s="50" t="s">
        <v>129</v>
      </c>
      <c r="G104" s="51">
        <v>1</v>
      </c>
      <c r="H104" s="40"/>
      <c r="I104" s="62">
        <v>0</v>
      </c>
      <c r="J104" s="53">
        <v>10.4</v>
      </c>
      <c r="K104" s="54"/>
      <c r="L104" s="54"/>
      <c r="M104" s="53">
        <f t="shared" ref="M104:M109" si="23">ROUND(ROUND(J104, 2)*I104, 2)</f>
        <v>0</v>
      </c>
      <c r="N104" s="54"/>
      <c r="O104" s="54"/>
      <c r="P104" s="53">
        <v>10.4</v>
      </c>
      <c r="Q104" s="54"/>
      <c r="R104" s="54"/>
      <c r="S104" s="53">
        <f t="shared" ref="S104:S109" si="24">ROUND(ROUND(P104, 2)*I104, 2)</f>
        <v>0</v>
      </c>
      <c r="T104" s="54"/>
      <c r="U104" s="55"/>
      <c r="V104" s="9">
        <f t="shared" ref="V104:V109" si="25">ROUND(ROUND(P104, 2)/1.2, 2)</f>
        <v>8.67</v>
      </c>
      <c r="Y104" s="9">
        <f t="shared" ref="Y104:Y113" si="26">ROUND(S104 / 1.2, 2)</f>
        <v>0</v>
      </c>
      <c r="AD104" s="4" t="s">
        <v>373</v>
      </c>
      <c r="AE104" s="4" t="s">
        <v>374</v>
      </c>
      <c r="AF104" s="4" t="s">
        <v>312</v>
      </c>
    </row>
    <row r="105" spans="1:35" ht="18" x14ac:dyDescent="0.35">
      <c r="A105" s="44" t="s">
        <v>375</v>
      </c>
      <c r="B105" s="44"/>
      <c r="C105" s="56" t="s">
        <v>309</v>
      </c>
      <c r="D105" s="46"/>
      <c r="E105" s="46"/>
      <c r="F105" s="57" t="s">
        <v>129</v>
      </c>
      <c r="G105" s="58">
        <v>1</v>
      </c>
      <c r="H105" s="46"/>
      <c r="I105" s="63">
        <v>148.1</v>
      </c>
      <c r="J105" s="59">
        <v>10.4</v>
      </c>
      <c r="K105" s="60"/>
      <c r="L105" s="60"/>
      <c r="M105" s="59">
        <f t="shared" si="23"/>
        <v>1540.24</v>
      </c>
      <c r="N105" s="60"/>
      <c r="O105" s="60"/>
      <c r="P105" s="59">
        <v>10.4</v>
      </c>
      <c r="Q105" s="60"/>
      <c r="R105" s="60"/>
      <c r="S105" s="59">
        <f t="shared" si="24"/>
        <v>1540.24</v>
      </c>
      <c r="T105" s="60"/>
      <c r="U105" s="61"/>
      <c r="V105" s="9">
        <f t="shared" si="25"/>
        <v>8.67</v>
      </c>
      <c r="Y105" s="9">
        <f t="shared" si="26"/>
        <v>1283.53</v>
      </c>
      <c r="AD105" s="4" t="s">
        <v>376</v>
      </c>
      <c r="AE105" s="4" t="s">
        <v>374</v>
      </c>
      <c r="AF105" s="4" t="s">
        <v>312</v>
      </c>
    </row>
    <row r="106" spans="1:35" ht="18" x14ac:dyDescent="0.35">
      <c r="A106" s="38" t="s">
        <v>377</v>
      </c>
      <c r="B106" s="38"/>
      <c r="C106" s="49" t="s">
        <v>302</v>
      </c>
      <c r="D106" s="40"/>
      <c r="E106" s="40"/>
      <c r="F106" s="50" t="s">
        <v>56</v>
      </c>
      <c r="G106" s="51">
        <v>1.1000000000000001</v>
      </c>
      <c r="H106" s="40"/>
      <c r="I106" s="62">
        <v>0</v>
      </c>
      <c r="J106" s="53">
        <v>155.01</v>
      </c>
      <c r="K106" s="54"/>
      <c r="L106" s="54"/>
      <c r="M106" s="53">
        <f t="shared" si="23"/>
        <v>0</v>
      </c>
      <c r="N106" s="54"/>
      <c r="O106" s="54"/>
      <c r="P106" s="53">
        <v>155.01</v>
      </c>
      <c r="Q106" s="54"/>
      <c r="R106" s="54"/>
      <c r="S106" s="53">
        <f t="shared" si="24"/>
        <v>0</v>
      </c>
      <c r="T106" s="54"/>
      <c r="U106" s="55"/>
      <c r="V106" s="9">
        <f t="shared" si="25"/>
        <v>129.18</v>
      </c>
      <c r="Y106" s="9">
        <f t="shared" si="26"/>
        <v>0</v>
      </c>
      <c r="AD106" s="4" t="s">
        <v>378</v>
      </c>
      <c r="AE106" s="4" t="s">
        <v>379</v>
      </c>
      <c r="AF106" s="4" t="s">
        <v>305</v>
      </c>
    </row>
    <row r="107" spans="1:35" ht="18" x14ac:dyDescent="0.35">
      <c r="A107" s="44" t="s">
        <v>380</v>
      </c>
      <c r="B107" s="44"/>
      <c r="C107" s="56" t="s">
        <v>302</v>
      </c>
      <c r="D107" s="46"/>
      <c r="E107" s="46"/>
      <c r="F107" s="57" t="s">
        <v>56</v>
      </c>
      <c r="G107" s="58">
        <v>1.1000000000000001</v>
      </c>
      <c r="H107" s="46"/>
      <c r="I107" s="63">
        <v>162.91</v>
      </c>
      <c r="J107" s="59">
        <v>155.01</v>
      </c>
      <c r="K107" s="60"/>
      <c r="L107" s="60"/>
      <c r="M107" s="59">
        <f t="shared" si="23"/>
        <v>25252.68</v>
      </c>
      <c r="N107" s="60"/>
      <c r="O107" s="60"/>
      <c r="P107" s="59">
        <v>155.01</v>
      </c>
      <c r="Q107" s="60"/>
      <c r="R107" s="60"/>
      <c r="S107" s="59">
        <f t="shared" si="24"/>
        <v>25252.68</v>
      </c>
      <c r="T107" s="60"/>
      <c r="U107" s="61"/>
      <c r="V107" s="9">
        <f t="shared" si="25"/>
        <v>129.18</v>
      </c>
      <c r="Y107" s="9">
        <f t="shared" si="26"/>
        <v>21043.9</v>
      </c>
      <c r="AD107" s="4" t="s">
        <v>381</v>
      </c>
      <c r="AE107" s="4" t="s">
        <v>379</v>
      </c>
      <c r="AF107" s="4" t="s">
        <v>305</v>
      </c>
    </row>
    <row r="108" spans="1:35" ht="18" x14ac:dyDescent="0.35">
      <c r="A108" s="38" t="s">
        <v>382</v>
      </c>
      <c r="B108" s="38"/>
      <c r="C108" s="49" t="s">
        <v>383</v>
      </c>
      <c r="D108" s="40"/>
      <c r="E108" s="40" t="s">
        <v>384</v>
      </c>
      <c r="F108" s="50" t="s">
        <v>81</v>
      </c>
      <c r="G108" s="51">
        <v>1.8</v>
      </c>
      <c r="H108" s="40"/>
      <c r="I108" s="62">
        <v>0</v>
      </c>
      <c r="J108" s="53">
        <v>7.41</v>
      </c>
      <c r="K108" s="54"/>
      <c r="L108" s="54"/>
      <c r="M108" s="53">
        <f t="shared" si="23"/>
        <v>0</v>
      </c>
      <c r="N108" s="54"/>
      <c r="O108" s="54"/>
      <c r="P108" s="53">
        <v>7.41</v>
      </c>
      <c r="Q108" s="54"/>
      <c r="R108" s="54"/>
      <c r="S108" s="53">
        <f t="shared" si="24"/>
        <v>0</v>
      </c>
      <c r="T108" s="54"/>
      <c r="U108" s="55"/>
      <c r="V108" s="9">
        <f t="shared" si="25"/>
        <v>6.18</v>
      </c>
      <c r="Y108" s="9">
        <f t="shared" si="26"/>
        <v>0</v>
      </c>
      <c r="AD108" s="4" t="s">
        <v>385</v>
      </c>
      <c r="AE108" s="4" t="s">
        <v>386</v>
      </c>
      <c r="AF108" s="4" t="s">
        <v>387</v>
      </c>
    </row>
    <row r="109" spans="1:35" ht="18" x14ac:dyDescent="0.35">
      <c r="A109" s="44" t="s">
        <v>388</v>
      </c>
      <c r="B109" s="44"/>
      <c r="C109" s="56" t="s">
        <v>383</v>
      </c>
      <c r="D109" s="46"/>
      <c r="E109" s="46" t="s">
        <v>384</v>
      </c>
      <c r="F109" s="57" t="s">
        <v>81</v>
      </c>
      <c r="G109" s="58">
        <v>1.8</v>
      </c>
      <c r="H109" s="46"/>
      <c r="I109" s="63">
        <v>17327.7</v>
      </c>
      <c r="J109" s="59">
        <v>7.41</v>
      </c>
      <c r="K109" s="60"/>
      <c r="L109" s="60"/>
      <c r="M109" s="59">
        <f t="shared" si="23"/>
        <v>128398.26</v>
      </c>
      <c r="N109" s="60"/>
      <c r="O109" s="60"/>
      <c r="P109" s="59">
        <v>7.41</v>
      </c>
      <c r="Q109" s="60"/>
      <c r="R109" s="60"/>
      <c r="S109" s="59">
        <f t="shared" si="24"/>
        <v>128398.26</v>
      </c>
      <c r="T109" s="60"/>
      <c r="U109" s="61"/>
      <c r="V109" s="9">
        <f t="shared" si="25"/>
        <v>6.18</v>
      </c>
      <c r="Y109" s="9">
        <f t="shared" si="26"/>
        <v>106998.55</v>
      </c>
      <c r="AD109" s="4" t="s">
        <v>389</v>
      </c>
      <c r="AE109" s="4" t="s">
        <v>386</v>
      </c>
      <c r="AF109" s="4" t="s">
        <v>387</v>
      </c>
    </row>
    <row r="110" spans="1:35" ht="36" x14ac:dyDescent="0.35">
      <c r="A110" s="11" t="s">
        <v>390</v>
      </c>
      <c r="B110" s="11" t="s">
        <v>391</v>
      </c>
      <c r="C110" s="20" t="s">
        <v>392</v>
      </c>
      <c r="D110" s="21"/>
      <c r="E110" s="21" t="s">
        <v>393</v>
      </c>
      <c r="F110" s="21" t="s">
        <v>56</v>
      </c>
      <c r="G110" s="22">
        <v>1</v>
      </c>
      <c r="H110" s="21"/>
      <c r="I110" s="22">
        <v>891.74</v>
      </c>
      <c r="J110" s="23">
        <f>IFERROR(ROUND(SUM(M111,M112,M113)/I110, 2),0)</f>
        <v>170.02</v>
      </c>
      <c r="K110" s="23">
        <v>557</v>
      </c>
      <c r="L110" s="23">
        <f>J110+ROUND(K110, 2)</f>
        <v>727.02</v>
      </c>
      <c r="M110" s="23">
        <f>ROUND(J110*I110, 2)</f>
        <v>151613.63</v>
      </c>
      <c r="N110" s="23">
        <f>ROUND(I110*ROUND(K110, 2), 2)</f>
        <v>496699.18</v>
      </c>
      <c r="O110" s="23">
        <f>M110+N110</f>
        <v>648312.81000000006</v>
      </c>
      <c r="P110" s="23">
        <f>IFERROR(ROUND(SUM(S111,S112,S113)/I110, 2),0)</f>
        <v>179.62</v>
      </c>
      <c r="Q110" s="23">
        <v>557</v>
      </c>
      <c r="R110" s="23">
        <f>P110+ROUND(Q110, 2)</f>
        <v>736.62</v>
      </c>
      <c r="S110" s="23">
        <f>ROUND(P110*I110, 2)</f>
        <v>160174.34</v>
      </c>
      <c r="T110" s="23">
        <f>ROUND(I110*ROUND(Q110, 2), 2)</f>
        <v>496699.18</v>
      </c>
      <c r="U110" s="23">
        <f>S110+T110</f>
        <v>656873.52</v>
      </c>
      <c r="V110" s="9">
        <f>ROUND(P110 / 1.2, 2)</f>
        <v>149.68</v>
      </c>
      <c r="W110" s="9">
        <f>ROUND(Q110 / 1.2, 2)</f>
        <v>464.17</v>
      </c>
      <c r="X110" s="9">
        <f>ROUND(R110 / 1.2, 2)</f>
        <v>613.85</v>
      </c>
      <c r="Y110" s="9">
        <f t="shared" si="26"/>
        <v>133478.62</v>
      </c>
      <c r="Z110" s="9">
        <f>ROUND(T110 / 1.2, 2)</f>
        <v>413915.98</v>
      </c>
      <c r="AA110" s="9">
        <f>Y110+Z110</f>
        <v>547394.6</v>
      </c>
      <c r="AD110" s="4">
        <v>303752398</v>
      </c>
      <c r="AE110" s="4">
        <v>19955023</v>
      </c>
      <c r="AG110" s="4" t="s">
        <v>394</v>
      </c>
      <c r="AH110" s="4" t="s">
        <v>395</v>
      </c>
      <c r="AI110" s="4" t="s">
        <v>247</v>
      </c>
    </row>
    <row r="111" spans="1:35" ht="18" x14ac:dyDescent="0.35">
      <c r="A111" s="11" t="s">
        <v>396</v>
      </c>
      <c r="B111" s="11"/>
      <c r="C111" s="31" t="s">
        <v>309</v>
      </c>
      <c r="D111" s="21"/>
      <c r="E111" s="21"/>
      <c r="F111" s="32" t="s">
        <v>129</v>
      </c>
      <c r="G111" s="33">
        <v>1</v>
      </c>
      <c r="H111" s="21"/>
      <c r="I111" s="34">
        <v>193.81</v>
      </c>
      <c r="J111" s="35">
        <v>10.4</v>
      </c>
      <c r="K111" s="12"/>
      <c r="L111" s="12"/>
      <c r="M111" s="35">
        <f>ROUND(ROUND(J111, 2)*I111, 2)</f>
        <v>2015.62</v>
      </c>
      <c r="N111" s="12"/>
      <c r="O111" s="12"/>
      <c r="P111" s="35">
        <v>10.4</v>
      </c>
      <c r="Q111" s="12"/>
      <c r="R111" s="12"/>
      <c r="S111" s="35">
        <f>ROUND(ROUND(P111, 2)*I111, 2)</f>
        <v>2015.62</v>
      </c>
      <c r="T111" s="12"/>
      <c r="U111" s="36"/>
      <c r="V111" s="9">
        <f>ROUND(ROUND(P111, 2)/1.2, 2)</f>
        <v>8.67</v>
      </c>
      <c r="Y111" s="9">
        <f t="shared" si="26"/>
        <v>1679.68</v>
      </c>
      <c r="AD111" s="4" t="s">
        <v>397</v>
      </c>
      <c r="AE111" s="4" t="s">
        <v>398</v>
      </c>
      <c r="AF111" s="4" t="s">
        <v>312</v>
      </c>
    </row>
    <row r="112" spans="1:35" ht="36" x14ac:dyDescent="0.35">
      <c r="A112" s="11" t="s">
        <v>399</v>
      </c>
      <c r="B112" s="11"/>
      <c r="C112" s="31" t="s">
        <v>258</v>
      </c>
      <c r="D112" s="21"/>
      <c r="E112" s="21"/>
      <c r="F112" s="32" t="s">
        <v>81</v>
      </c>
      <c r="G112" s="33">
        <v>0.255</v>
      </c>
      <c r="H112" s="21"/>
      <c r="I112" s="33">
        <v>227.39400000000001</v>
      </c>
      <c r="J112" s="35">
        <v>88.8</v>
      </c>
      <c r="K112" s="12"/>
      <c r="L112" s="12"/>
      <c r="M112" s="35">
        <f>ROUND(ROUND(J112, 2)*I112, 2)</f>
        <v>20192.59</v>
      </c>
      <c r="N112" s="12"/>
      <c r="O112" s="12"/>
      <c r="P112" s="35">
        <v>88.8</v>
      </c>
      <c r="Q112" s="12"/>
      <c r="R112" s="12"/>
      <c r="S112" s="35">
        <f>ROUND(ROUND(P112, 2)*I112, 2)</f>
        <v>20192.59</v>
      </c>
      <c r="T112" s="12"/>
      <c r="U112" s="36"/>
      <c r="V112" s="9">
        <f>ROUND(ROUND(P112, 2)/1.2, 2)</f>
        <v>74</v>
      </c>
      <c r="Y112" s="9">
        <f t="shared" si="26"/>
        <v>16827.16</v>
      </c>
      <c r="AD112" s="4" t="s">
        <v>400</v>
      </c>
      <c r="AE112" s="4" t="s">
        <v>401</v>
      </c>
      <c r="AF112" s="4" t="s">
        <v>261</v>
      </c>
    </row>
    <row r="113" spans="1:35" ht="36" x14ac:dyDescent="0.35">
      <c r="A113" s="11" t="s">
        <v>402</v>
      </c>
      <c r="B113" s="11"/>
      <c r="C113" s="37" t="s">
        <v>250</v>
      </c>
      <c r="D113" s="21"/>
      <c r="E113" s="21"/>
      <c r="F113" s="32" t="s">
        <v>81</v>
      </c>
      <c r="G113" s="33">
        <v>1.6</v>
      </c>
      <c r="H113" s="21"/>
      <c r="I113" s="34">
        <v>14267.84</v>
      </c>
      <c r="J113" s="35">
        <v>9.07</v>
      </c>
      <c r="K113" s="12"/>
      <c r="L113" s="12"/>
      <c r="M113" s="35">
        <f>ROUND(ROUND(J113, 2)*I113, 2)</f>
        <v>129409.31</v>
      </c>
      <c r="N113" s="12"/>
      <c r="O113" s="12"/>
      <c r="P113" s="35">
        <v>9.67</v>
      </c>
      <c r="Q113" s="12"/>
      <c r="R113" s="12"/>
      <c r="S113" s="35">
        <f>ROUND(ROUND(P113, 2)*I113, 2)</f>
        <v>137970.01</v>
      </c>
      <c r="T113" s="12"/>
      <c r="U113" s="36"/>
      <c r="V113" s="9">
        <f>ROUND(ROUND(P113, 2)/1.2, 2)</f>
        <v>8.06</v>
      </c>
      <c r="Y113" s="9">
        <f t="shared" si="26"/>
        <v>114975.01</v>
      </c>
      <c r="AD113" s="4" t="s">
        <v>403</v>
      </c>
      <c r="AE113" s="4" t="s">
        <v>404</v>
      </c>
      <c r="AF113" s="4" t="s">
        <v>405</v>
      </c>
    </row>
    <row r="114" spans="1:35" ht="17" customHeight="1" x14ac:dyDescent="0.35">
      <c r="A114" s="10" t="s">
        <v>406</v>
      </c>
      <c r="B114" s="10" t="s">
        <v>407</v>
      </c>
      <c r="C114" s="100" t="s">
        <v>408</v>
      </c>
      <c r="D114" s="101"/>
      <c r="E114" s="101"/>
      <c r="F114" s="101"/>
      <c r="G114" s="101"/>
      <c r="H114" s="101"/>
      <c r="I114" s="102"/>
      <c r="M114" s="6">
        <f>SUM(M115,M121,M127)</f>
        <v>0</v>
      </c>
      <c r="N114" s="6">
        <f>SUM(N115,N121,N127)</f>
        <v>0</v>
      </c>
      <c r="O114" s="6">
        <f>SUM(O115,O121,O127)</f>
        <v>0</v>
      </c>
      <c r="S114" s="6">
        <f>SUM(S115,S121,S127)</f>
        <v>0</v>
      </c>
      <c r="T114" s="6">
        <f>SUM(T115,T121,T127)</f>
        <v>0</v>
      </c>
      <c r="U114" s="6">
        <f>SUM(U115,U121,U127)</f>
        <v>0</v>
      </c>
      <c r="Y114" s="9">
        <f>SUM(Y115,Y121,Y127)</f>
        <v>0</v>
      </c>
      <c r="Z114" s="9">
        <f>SUM(Z115,Z121,Z127)</f>
        <v>0</v>
      </c>
      <c r="AA114" s="9">
        <f>SUM(AA115,AA121,AA127)</f>
        <v>0</v>
      </c>
      <c r="AD114" s="4">
        <v>303752399</v>
      </c>
      <c r="AE114" s="4">
        <v>16077960</v>
      </c>
    </row>
    <row r="115" spans="1:35" ht="36" x14ac:dyDescent="0.35">
      <c r="A115" s="38" t="s">
        <v>409</v>
      </c>
      <c r="B115" s="38" t="s">
        <v>410</v>
      </c>
      <c r="C115" s="39" t="s">
        <v>411</v>
      </c>
      <c r="D115" s="40"/>
      <c r="E115" s="40" t="s">
        <v>412</v>
      </c>
      <c r="F115" s="40" t="s">
        <v>56</v>
      </c>
      <c r="G115" s="41">
        <v>1</v>
      </c>
      <c r="H115" s="40"/>
      <c r="I115" s="42">
        <v>0</v>
      </c>
      <c r="J115" s="43">
        <f>IFERROR(ROUND(SUM(M117,M119)/I115, 2),0)</f>
        <v>0</v>
      </c>
      <c r="K115" s="43">
        <v>439</v>
      </c>
      <c r="L115" s="43">
        <f>J115+ROUND(K115, 2)</f>
        <v>439</v>
      </c>
      <c r="M115" s="43">
        <f>ROUND(J115*I115, 2)</f>
        <v>0</v>
      </c>
      <c r="N115" s="43">
        <f>ROUND(I115*ROUND(K115, 2), 2)</f>
        <v>0</v>
      </c>
      <c r="O115" s="43">
        <f>M115+N115</f>
        <v>0</v>
      </c>
      <c r="P115" s="43">
        <f>IFERROR(ROUND(SUM(S117,S119)/I115, 2),0)</f>
        <v>0</v>
      </c>
      <c r="Q115" s="43">
        <v>439</v>
      </c>
      <c r="R115" s="43">
        <f>P115+ROUND(Q115, 2)</f>
        <v>439</v>
      </c>
      <c r="S115" s="43">
        <f>ROUND(P115*I115, 2)</f>
        <v>0</v>
      </c>
      <c r="T115" s="43">
        <f>ROUND(I115*ROUND(Q115, 2), 2)</f>
        <v>0</v>
      </c>
      <c r="U115" s="43">
        <f>S115+T115</f>
        <v>0</v>
      </c>
      <c r="V115" s="9">
        <f>ROUND(P115 / 1.2, 2)</f>
        <v>0</v>
      </c>
      <c r="W115" s="9">
        <f>ROUND(Q115 / 1.2, 2)</f>
        <v>365.83</v>
      </c>
      <c r="X115" s="9">
        <f>ROUND(R115 / 1.2, 2)</f>
        <v>365.83</v>
      </c>
      <c r="Y115" s="9">
        <f>ROUND(S115 / 1.2, 2)</f>
        <v>0</v>
      </c>
      <c r="Z115" s="9">
        <f>ROUND(T115 / 1.2, 2)</f>
        <v>0</v>
      </c>
      <c r="AA115" s="9">
        <f>Y115+Z115</f>
        <v>0</v>
      </c>
      <c r="AD115" s="4">
        <v>303752401</v>
      </c>
      <c r="AE115" s="4">
        <v>16077964</v>
      </c>
      <c r="AG115" s="4" t="s">
        <v>413</v>
      </c>
      <c r="AH115" s="4" t="s">
        <v>414</v>
      </c>
      <c r="AI115" s="4" t="s">
        <v>247</v>
      </c>
    </row>
    <row r="116" spans="1:35" ht="36" x14ac:dyDescent="0.35">
      <c r="A116" s="44" t="s">
        <v>415</v>
      </c>
      <c r="B116" s="44" t="s">
        <v>410</v>
      </c>
      <c r="C116" s="45" t="s">
        <v>411</v>
      </c>
      <c r="D116" s="46"/>
      <c r="E116" s="46" t="s">
        <v>412</v>
      </c>
      <c r="F116" s="46" t="s">
        <v>56</v>
      </c>
      <c r="G116" s="47">
        <v>1</v>
      </c>
      <c r="H116" s="46"/>
      <c r="I116" s="47">
        <v>362.4</v>
      </c>
      <c r="J116" s="48">
        <v>0</v>
      </c>
      <c r="K116" s="48">
        <v>439</v>
      </c>
      <c r="L116" s="48"/>
      <c r="M116" s="48">
        <v>0</v>
      </c>
      <c r="N116" s="48"/>
      <c r="O116" s="48"/>
      <c r="P116" s="48">
        <v>0</v>
      </c>
      <c r="Q116" s="48">
        <v>439</v>
      </c>
      <c r="R116" s="48"/>
      <c r="S116" s="48">
        <v>0</v>
      </c>
      <c r="T116" s="48"/>
      <c r="U116" s="48"/>
      <c r="V116" s="9"/>
      <c r="W116" s="9">
        <f>ROUND(Q116 / 1.2, 2)</f>
        <v>365.83</v>
      </c>
      <c r="X116" s="9">
        <f>ROUND(R116 / 1.2, 2)</f>
        <v>0</v>
      </c>
      <c r="Y116" s="9"/>
      <c r="Z116" s="9">
        <f>ROUND(T116 / 1.2, 2)</f>
        <v>0</v>
      </c>
      <c r="AA116" s="9"/>
      <c r="AD116" s="4">
        <v>204244074</v>
      </c>
      <c r="AE116" s="4">
        <v>16077964</v>
      </c>
      <c r="AG116" s="4" t="s">
        <v>413</v>
      </c>
      <c r="AH116" s="4" t="s">
        <v>414</v>
      </c>
      <c r="AI116" s="4"/>
    </row>
    <row r="117" spans="1:35" ht="18" x14ac:dyDescent="0.35">
      <c r="A117" s="38" t="s">
        <v>416</v>
      </c>
      <c r="B117" s="38"/>
      <c r="C117" s="49" t="s">
        <v>417</v>
      </c>
      <c r="D117" s="40"/>
      <c r="E117" s="40"/>
      <c r="F117" s="50" t="s">
        <v>103</v>
      </c>
      <c r="G117" s="51">
        <v>0.1</v>
      </c>
      <c r="H117" s="40"/>
      <c r="I117" s="62">
        <v>0</v>
      </c>
      <c r="J117" s="53">
        <v>600</v>
      </c>
      <c r="K117" s="54"/>
      <c r="L117" s="54"/>
      <c r="M117" s="53">
        <f>ROUND(ROUND(J117, 2)*I117, 2)</f>
        <v>0</v>
      </c>
      <c r="N117" s="54"/>
      <c r="O117" s="54"/>
      <c r="P117" s="53">
        <v>600</v>
      </c>
      <c r="Q117" s="54"/>
      <c r="R117" s="54"/>
      <c r="S117" s="53">
        <f>ROUND(ROUND(P117, 2)*I117, 2)</f>
        <v>0</v>
      </c>
      <c r="T117" s="54"/>
      <c r="U117" s="55"/>
      <c r="V117" s="9">
        <f>ROUND(ROUND(P117, 2)/1.2, 2)</f>
        <v>500</v>
      </c>
      <c r="Y117" s="9">
        <f>ROUND(S117 / 1.2, 2)</f>
        <v>0</v>
      </c>
      <c r="AD117" s="4" t="s">
        <v>418</v>
      </c>
      <c r="AE117" s="4" t="s">
        <v>419</v>
      </c>
      <c r="AF117" s="4" t="s">
        <v>420</v>
      </c>
    </row>
    <row r="118" spans="1:35" ht="18" x14ac:dyDescent="0.35">
      <c r="A118" s="44" t="s">
        <v>421</v>
      </c>
      <c r="B118" s="44"/>
      <c r="C118" s="56" t="s">
        <v>417</v>
      </c>
      <c r="D118" s="46"/>
      <c r="E118" s="46"/>
      <c r="F118" s="57" t="s">
        <v>103</v>
      </c>
      <c r="G118" s="58">
        <v>0.1</v>
      </c>
      <c r="H118" s="46"/>
      <c r="I118" s="63">
        <v>36.24</v>
      </c>
      <c r="J118" s="59">
        <v>600</v>
      </c>
      <c r="K118" s="60"/>
      <c r="L118" s="60"/>
      <c r="M118" s="59">
        <f>ROUND(ROUND(J118, 2)*I118, 2)</f>
        <v>21744</v>
      </c>
      <c r="N118" s="60"/>
      <c r="O118" s="60"/>
      <c r="P118" s="59">
        <v>600</v>
      </c>
      <c r="Q118" s="60"/>
      <c r="R118" s="60"/>
      <c r="S118" s="59">
        <f>ROUND(ROUND(P118, 2)*I118, 2)</f>
        <v>21744</v>
      </c>
      <c r="T118" s="60"/>
      <c r="U118" s="61"/>
      <c r="V118" s="9">
        <f>ROUND(ROUND(P118, 2)/1.2, 2)</f>
        <v>500</v>
      </c>
      <c r="Y118" s="9">
        <f>ROUND(S118 / 1.2, 2)</f>
        <v>18120</v>
      </c>
      <c r="AD118" s="4" t="s">
        <v>422</v>
      </c>
      <c r="AE118" s="4" t="s">
        <v>419</v>
      </c>
      <c r="AF118" s="4" t="s">
        <v>420</v>
      </c>
    </row>
    <row r="119" spans="1:35" ht="18" x14ac:dyDescent="0.35">
      <c r="A119" s="38" t="s">
        <v>423</v>
      </c>
      <c r="B119" s="38"/>
      <c r="C119" s="49" t="s">
        <v>424</v>
      </c>
      <c r="D119" s="40"/>
      <c r="E119" s="40"/>
      <c r="F119" s="50" t="s">
        <v>425</v>
      </c>
      <c r="G119" s="51">
        <v>1.03</v>
      </c>
      <c r="H119" s="40"/>
      <c r="I119" s="62">
        <v>0</v>
      </c>
      <c r="J119" s="53">
        <v>5213.5</v>
      </c>
      <c r="K119" s="54"/>
      <c r="L119" s="54"/>
      <c r="M119" s="53">
        <f>ROUND(ROUND(J119, 2)*I119, 2)</f>
        <v>0</v>
      </c>
      <c r="N119" s="54"/>
      <c r="O119" s="54"/>
      <c r="P119" s="53">
        <v>5213.5</v>
      </c>
      <c r="Q119" s="54"/>
      <c r="R119" s="54"/>
      <c r="S119" s="53">
        <f>ROUND(ROUND(P119, 2)*I119, 2)</f>
        <v>0</v>
      </c>
      <c r="T119" s="54"/>
      <c r="U119" s="55"/>
      <c r="V119" s="9">
        <f>ROUND(ROUND(P119, 2)/1.2, 2)</f>
        <v>4344.58</v>
      </c>
      <c r="Y119" s="9">
        <f>ROUND(S119 / 1.2, 2)</f>
        <v>0</v>
      </c>
      <c r="AD119" s="4" t="s">
        <v>426</v>
      </c>
      <c r="AE119" s="4" t="s">
        <v>427</v>
      </c>
      <c r="AF119" s="4" t="s">
        <v>428</v>
      </c>
    </row>
    <row r="120" spans="1:35" ht="18" x14ac:dyDescent="0.35">
      <c r="A120" s="44" t="s">
        <v>429</v>
      </c>
      <c r="B120" s="44"/>
      <c r="C120" s="56" t="s">
        <v>424</v>
      </c>
      <c r="D120" s="46"/>
      <c r="E120" s="46"/>
      <c r="F120" s="57" t="s">
        <v>425</v>
      </c>
      <c r="G120" s="58">
        <v>1.03</v>
      </c>
      <c r="H120" s="46"/>
      <c r="I120" s="63">
        <v>373.27199999999999</v>
      </c>
      <c r="J120" s="59">
        <v>5213.5</v>
      </c>
      <c r="K120" s="60"/>
      <c r="L120" s="60"/>
      <c r="M120" s="59">
        <f>ROUND(ROUND(J120, 2)*I120, 2)</f>
        <v>1946053.57</v>
      </c>
      <c r="N120" s="60"/>
      <c r="O120" s="60"/>
      <c r="P120" s="59">
        <v>5213.5</v>
      </c>
      <c r="Q120" s="60"/>
      <c r="R120" s="60"/>
      <c r="S120" s="59">
        <f>ROUND(ROUND(P120, 2)*I120, 2)</f>
        <v>1946053.57</v>
      </c>
      <c r="T120" s="60"/>
      <c r="U120" s="61"/>
      <c r="V120" s="9">
        <f>ROUND(ROUND(P120, 2)/1.2, 2)</f>
        <v>4344.58</v>
      </c>
      <c r="Y120" s="9">
        <f>ROUND(S120 / 1.2, 2)</f>
        <v>1621711.31</v>
      </c>
      <c r="AD120" s="4" t="s">
        <v>430</v>
      </c>
      <c r="AE120" s="4" t="s">
        <v>427</v>
      </c>
      <c r="AF120" s="4" t="s">
        <v>428</v>
      </c>
    </row>
    <row r="121" spans="1:35" ht="36" x14ac:dyDescent="0.35">
      <c r="A121" s="38" t="s">
        <v>431</v>
      </c>
      <c r="B121" s="38" t="s">
        <v>410</v>
      </c>
      <c r="C121" s="39" t="s">
        <v>411</v>
      </c>
      <c r="D121" s="40"/>
      <c r="E121" s="40" t="s">
        <v>432</v>
      </c>
      <c r="F121" s="40" t="s">
        <v>56</v>
      </c>
      <c r="G121" s="41">
        <v>1</v>
      </c>
      <c r="H121" s="40"/>
      <c r="I121" s="42">
        <v>0</v>
      </c>
      <c r="J121" s="43">
        <f>IFERROR(ROUND(SUM(M123,M125)/I121, 2),0)</f>
        <v>0</v>
      </c>
      <c r="K121" s="43">
        <v>439</v>
      </c>
      <c r="L121" s="43">
        <f>J121+ROUND(K121, 2)</f>
        <v>439</v>
      </c>
      <c r="M121" s="43">
        <f>ROUND(J121*I121, 2)</f>
        <v>0</v>
      </c>
      <c r="N121" s="43">
        <f>ROUND(I121*ROUND(K121, 2), 2)</f>
        <v>0</v>
      </c>
      <c r="O121" s="43">
        <f>M121+N121</f>
        <v>0</v>
      </c>
      <c r="P121" s="43">
        <f>IFERROR(ROUND(SUM(S123,S125)/I121, 2),0)</f>
        <v>0</v>
      </c>
      <c r="Q121" s="43">
        <v>439</v>
      </c>
      <c r="R121" s="43">
        <f>P121+ROUND(Q121, 2)</f>
        <v>439</v>
      </c>
      <c r="S121" s="43">
        <f>ROUND(P121*I121, 2)</f>
        <v>0</v>
      </c>
      <c r="T121" s="43">
        <f>ROUND(I121*ROUND(Q121, 2), 2)</f>
        <v>0</v>
      </c>
      <c r="U121" s="43">
        <f>S121+T121</f>
        <v>0</v>
      </c>
      <c r="V121" s="9">
        <f>ROUND(P121 / 1.2, 2)</f>
        <v>0</v>
      </c>
      <c r="W121" s="9">
        <f>ROUND(Q121 / 1.2, 2)</f>
        <v>365.83</v>
      </c>
      <c r="X121" s="9">
        <f>ROUND(R121 / 1.2, 2)</f>
        <v>365.83</v>
      </c>
      <c r="Y121" s="9">
        <f>ROUND(S121 / 1.2, 2)</f>
        <v>0</v>
      </c>
      <c r="Z121" s="9">
        <f>ROUND(T121 / 1.2, 2)</f>
        <v>0</v>
      </c>
      <c r="AA121" s="9">
        <f>Y121+Z121</f>
        <v>0</v>
      </c>
      <c r="AD121" s="4">
        <v>303752464</v>
      </c>
      <c r="AE121" s="4">
        <v>16088188</v>
      </c>
      <c r="AG121" s="4" t="s">
        <v>413</v>
      </c>
      <c r="AH121" s="4" t="s">
        <v>414</v>
      </c>
      <c r="AI121" s="4" t="s">
        <v>247</v>
      </c>
    </row>
    <row r="122" spans="1:35" ht="36" x14ac:dyDescent="0.35">
      <c r="A122" s="44" t="s">
        <v>433</v>
      </c>
      <c r="B122" s="44" t="s">
        <v>410</v>
      </c>
      <c r="C122" s="45" t="s">
        <v>411</v>
      </c>
      <c r="D122" s="46"/>
      <c r="E122" s="46" t="s">
        <v>432</v>
      </c>
      <c r="F122" s="46" t="s">
        <v>56</v>
      </c>
      <c r="G122" s="47">
        <v>1</v>
      </c>
      <c r="H122" s="46"/>
      <c r="I122" s="47">
        <v>148.1</v>
      </c>
      <c r="J122" s="48">
        <v>0</v>
      </c>
      <c r="K122" s="48">
        <v>439</v>
      </c>
      <c r="L122" s="48"/>
      <c r="M122" s="48">
        <v>0</v>
      </c>
      <c r="N122" s="48"/>
      <c r="O122" s="48"/>
      <c r="P122" s="48">
        <v>0</v>
      </c>
      <c r="Q122" s="48">
        <v>439</v>
      </c>
      <c r="R122" s="48"/>
      <c r="S122" s="48">
        <v>0</v>
      </c>
      <c r="T122" s="48"/>
      <c r="U122" s="48"/>
      <c r="V122" s="9"/>
      <c r="W122" s="9">
        <f>ROUND(Q122 / 1.2, 2)</f>
        <v>365.83</v>
      </c>
      <c r="X122" s="9">
        <f>ROUND(R122 / 1.2, 2)</f>
        <v>0</v>
      </c>
      <c r="Y122" s="9"/>
      <c r="Z122" s="9">
        <f>ROUND(T122 / 1.2, 2)</f>
        <v>0</v>
      </c>
      <c r="AA122" s="9"/>
      <c r="AD122" s="4">
        <v>204428533</v>
      </c>
      <c r="AE122" s="4">
        <v>16088188</v>
      </c>
      <c r="AG122" s="4" t="s">
        <v>413</v>
      </c>
      <c r="AH122" s="4" t="s">
        <v>414</v>
      </c>
      <c r="AI122" s="4"/>
    </row>
    <row r="123" spans="1:35" ht="18" x14ac:dyDescent="0.35">
      <c r="A123" s="38" t="s">
        <v>434</v>
      </c>
      <c r="B123" s="38"/>
      <c r="C123" s="49" t="s">
        <v>424</v>
      </c>
      <c r="D123" s="40"/>
      <c r="E123" s="40"/>
      <c r="F123" s="50" t="s">
        <v>425</v>
      </c>
      <c r="G123" s="51">
        <v>1.03</v>
      </c>
      <c r="H123" s="40"/>
      <c r="I123" s="62">
        <v>0</v>
      </c>
      <c r="J123" s="53">
        <v>5213.5</v>
      </c>
      <c r="K123" s="54"/>
      <c r="L123" s="54"/>
      <c r="M123" s="53">
        <f>ROUND(ROUND(J123, 2)*I123, 2)</f>
        <v>0</v>
      </c>
      <c r="N123" s="54"/>
      <c r="O123" s="54"/>
      <c r="P123" s="53">
        <v>5213.5</v>
      </c>
      <c r="Q123" s="54"/>
      <c r="R123" s="54"/>
      <c r="S123" s="53">
        <f>ROUND(ROUND(P123, 2)*I123, 2)</f>
        <v>0</v>
      </c>
      <c r="T123" s="54"/>
      <c r="U123" s="55"/>
      <c r="V123" s="9">
        <f>ROUND(ROUND(P123, 2)/1.2, 2)</f>
        <v>4344.58</v>
      </c>
      <c r="Y123" s="9">
        <f>ROUND(S123 / 1.2, 2)</f>
        <v>0</v>
      </c>
      <c r="AD123" s="4" t="s">
        <v>435</v>
      </c>
      <c r="AE123" s="4" t="s">
        <v>436</v>
      </c>
      <c r="AF123" s="4" t="s">
        <v>428</v>
      </c>
    </row>
    <row r="124" spans="1:35" ht="18" x14ac:dyDescent="0.35">
      <c r="A124" s="44" t="s">
        <v>437</v>
      </c>
      <c r="B124" s="44"/>
      <c r="C124" s="56" t="s">
        <v>424</v>
      </c>
      <c r="D124" s="46"/>
      <c r="E124" s="46"/>
      <c r="F124" s="57" t="s">
        <v>425</v>
      </c>
      <c r="G124" s="58">
        <v>1.03</v>
      </c>
      <c r="H124" s="46"/>
      <c r="I124" s="63">
        <v>152.54300000000001</v>
      </c>
      <c r="J124" s="59">
        <v>5213.5</v>
      </c>
      <c r="K124" s="60"/>
      <c r="L124" s="60"/>
      <c r="M124" s="59">
        <f>ROUND(ROUND(J124, 2)*I124, 2)</f>
        <v>795282.93</v>
      </c>
      <c r="N124" s="60"/>
      <c r="O124" s="60"/>
      <c r="P124" s="59">
        <v>5213.5</v>
      </c>
      <c r="Q124" s="60"/>
      <c r="R124" s="60"/>
      <c r="S124" s="59">
        <f>ROUND(ROUND(P124, 2)*I124, 2)</f>
        <v>795282.93</v>
      </c>
      <c r="T124" s="60"/>
      <c r="U124" s="61"/>
      <c r="V124" s="9">
        <f>ROUND(ROUND(P124, 2)/1.2, 2)</f>
        <v>4344.58</v>
      </c>
      <c r="Y124" s="9">
        <f>ROUND(S124 / 1.2, 2)</f>
        <v>662735.78</v>
      </c>
      <c r="AD124" s="4" t="s">
        <v>438</v>
      </c>
      <c r="AE124" s="4" t="s">
        <v>436</v>
      </c>
      <c r="AF124" s="4" t="s">
        <v>428</v>
      </c>
    </row>
    <row r="125" spans="1:35" ht="18" x14ac:dyDescent="0.35">
      <c r="A125" s="38" t="s">
        <v>439</v>
      </c>
      <c r="B125" s="38"/>
      <c r="C125" s="49" t="s">
        <v>417</v>
      </c>
      <c r="D125" s="40"/>
      <c r="E125" s="40"/>
      <c r="F125" s="50" t="s">
        <v>103</v>
      </c>
      <c r="G125" s="51">
        <v>0.1</v>
      </c>
      <c r="H125" s="40"/>
      <c r="I125" s="62">
        <v>0</v>
      </c>
      <c r="J125" s="53">
        <v>600</v>
      </c>
      <c r="K125" s="54"/>
      <c r="L125" s="54"/>
      <c r="M125" s="53">
        <f>ROUND(ROUND(J125, 2)*I125, 2)</f>
        <v>0</v>
      </c>
      <c r="N125" s="54"/>
      <c r="O125" s="54"/>
      <c r="P125" s="53">
        <v>600</v>
      </c>
      <c r="Q125" s="54"/>
      <c r="R125" s="54"/>
      <c r="S125" s="53">
        <f>ROUND(ROUND(P125, 2)*I125, 2)</f>
        <v>0</v>
      </c>
      <c r="T125" s="54"/>
      <c r="U125" s="55"/>
      <c r="V125" s="9">
        <f>ROUND(ROUND(P125, 2)/1.2, 2)</f>
        <v>500</v>
      </c>
      <c r="Y125" s="9">
        <f>ROUND(S125 / 1.2, 2)</f>
        <v>0</v>
      </c>
      <c r="AD125" s="4" t="s">
        <v>440</v>
      </c>
      <c r="AE125" s="4" t="s">
        <v>441</v>
      </c>
      <c r="AF125" s="4" t="s">
        <v>420</v>
      </c>
    </row>
    <row r="126" spans="1:35" ht="18" x14ac:dyDescent="0.35">
      <c r="A126" s="44" t="s">
        <v>442</v>
      </c>
      <c r="B126" s="44"/>
      <c r="C126" s="56" t="s">
        <v>417</v>
      </c>
      <c r="D126" s="46"/>
      <c r="E126" s="46"/>
      <c r="F126" s="57" t="s">
        <v>103</v>
      </c>
      <c r="G126" s="58">
        <v>0.1</v>
      </c>
      <c r="H126" s="46"/>
      <c r="I126" s="63">
        <v>14.81</v>
      </c>
      <c r="J126" s="59">
        <v>600</v>
      </c>
      <c r="K126" s="60"/>
      <c r="L126" s="60"/>
      <c r="M126" s="59">
        <f>ROUND(ROUND(J126, 2)*I126, 2)</f>
        <v>8886</v>
      </c>
      <c r="N126" s="60"/>
      <c r="O126" s="60"/>
      <c r="P126" s="59">
        <v>600</v>
      </c>
      <c r="Q126" s="60"/>
      <c r="R126" s="60"/>
      <c r="S126" s="59">
        <f>ROUND(ROUND(P126, 2)*I126, 2)</f>
        <v>8886</v>
      </c>
      <c r="T126" s="60"/>
      <c r="U126" s="61"/>
      <c r="V126" s="9">
        <f>ROUND(ROUND(P126, 2)/1.2, 2)</f>
        <v>500</v>
      </c>
      <c r="Y126" s="9">
        <f>ROUND(S126 / 1.2, 2)</f>
        <v>7405</v>
      </c>
      <c r="AD126" s="4" t="s">
        <v>443</v>
      </c>
      <c r="AE126" s="4" t="s">
        <v>441</v>
      </c>
      <c r="AF126" s="4" t="s">
        <v>420</v>
      </c>
    </row>
    <row r="127" spans="1:35" ht="36" x14ac:dyDescent="0.35">
      <c r="A127" s="38" t="s">
        <v>444</v>
      </c>
      <c r="B127" s="38" t="s">
        <v>445</v>
      </c>
      <c r="C127" s="39" t="s">
        <v>446</v>
      </c>
      <c r="D127" s="40"/>
      <c r="E127" s="40" t="s">
        <v>447</v>
      </c>
      <c r="F127" s="40" t="s">
        <v>56</v>
      </c>
      <c r="G127" s="41">
        <v>1</v>
      </c>
      <c r="H127" s="40"/>
      <c r="I127" s="42">
        <v>0</v>
      </c>
      <c r="J127" s="43">
        <f>IFERROR(ROUND(SUM(M129)/I127, 2),0)</f>
        <v>0</v>
      </c>
      <c r="K127" s="43">
        <v>56</v>
      </c>
      <c r="L127" s="43">
        <f>J127+ROUND(K127, 2)</f>
        <v>56</v>
      </c>
      <c r="M127" s="43">
        <f>ROUND(J127*I127, 2)</f>
        <v>0</v>
      </c>
      <c r="N127" s="43">
        <f>ROUND(I127*ROUND(K127, 2), 2)</f>
        <v>0</v>
      </c>
      <c r="O127" s="43">
        <f>M127+N127</f>
        <v>0</v>
      </c>
      <c r="P127" s="43">
        <f>IFERROR(ROUND(SUM(S129)/I127, 2),0)</f>
        <v>0</v>
      </c>
      <c r="Q127" s="43">
        <v>56</v>
      </c>
      <c r="R127" s="43">
        <f>P127+ROUND(Q127, 2)</f>
        <v>56</v>
      </c>
      <c r="S127" s="43">
        <f>ROUND(P127*I127, 2)</f>
        <v>0</v>
      </c>
      <c r="T127" s="43">
        <f>ROUND(I127*ROUND(Q127, 2), 2)</f>
        <v>0</v>
      </c>
      <c r="U127" s="43">
        <f>S127+T127</f>
        <v>0</v>
      </c>
      <c r="V127" s="9">
        <f>ROUND(P127 / 1.2, 2)</f>
        <v>0</v>
      </c>
      <c r="W127" s="9">
        <f>ROUND(Q127 / 1.2, 2)</f>
        <v>46.67</v>
      </c>
      <c r="X127" s="9">
        <f>ROUND(R127 / 1.2, 2)</f>
        <v>46.67</v>
      </c>
      <c r="Y127" s="9">
        <f>ROUND(S127 / 1.2, 2)</f>
        <v>0</v>
      </c>
      <c r="Z127" s="9">
        <f>ROUND(T127 / 1.2, 2)</f>
        <v>0</v>
      </c>
      <c r="AA127" s="9">
        <f>Y127+Z127</f>
        <v>0</v>
      </c>
      <c r="AD127" s="4">
        <v>303752402</v>
      </c>
      <c r="AE127" s="4">
        <v>16078329</v>
      </c>
      <c r="AG127" s="4" t="s">
        <v>448</v>
      </c>
      <c r="AH127" s="4" t="s">
        <v>449</v>
      </c>
      <c r="AI127" s="4" t="s">
        <v>247</v>
      </c>
    </row>
    <row r="128" spans="1:35" ht="36" x14ac:dyDescent="0.35">
      <c r="A128" s="44" t="s">
        <v>450</v>
      </c>
      <c r="B128" s="44" t="s">
        <v>445</v>
      </c>
      <c r="C128" s="45" t="s">
        <v>446</v>
      </c>
      <c r="D128" s="46"/>
      <c r="E128" s="46" t="s">
        <v>447</v>
      </c>
      <c r="F128" s="46" t="s">
        <v>56</v>
      </c>
      <c r="G128" s="47">
        <v>1</v>
      </c>
      <c r="H128" s="46"/>
      <c r="I128" s="47">
        <v>538.29999999999995</v>
      </c>
      <c r="J128" s="48">
        <v>0</v>
      </c>
      <c r="K128" s="48">
        <v>56</v>
      </c>
      <c r="L128" s="48"/>
      <c r="M128" s="48">
        <v>0</v>
      </c>
      <c r="N128" s="48"/>
      <c r="O128" s="48"/>
      <c r="P128" s="48">
        <v>0</v>
      </c>
      <c r="Q128" s="48">
        <v>56</v>
      </c>
      <c r="R128" s="48"/>
      <c r="S128" s="48">
        <v>0</v>
      </c>
      <c r="T128" s="48"/>
      <c r="U128" s="48"/>
      <c r="V128" s="9"/>
      <c r="W128" s="9">
        <f>ROUND(Q128 / 1.2, 2)</f>
        <v>46.67</v>
      </c>
      <c r="X128" s="9">
        <f>ROUND(R128 / 1.2, 2)</f>
        <v>0</v>
      </c>
      <c r="Y128" s="9"/>
      <c r="Z128" s="9">
        <f>ROUND(T128 / 1.2, 2)</f>
        <v>0</v>
      </c>
      <c r="AA128" s="9"/>
      <c r="AD128" s="4">
        <v>204257142</v>
      </c>
      <c r="AE128" s="4">
        <v>16078329</v>
      </c>
      <c r="AG128" s="4" t="s">
        <v>448</v>
      </c>
      <c r="AH128" s="4" t="s">
        <v>449</v>
      </c>
      <c r="AI128" s="4"/>
    </row>
    <row r="129" spans="1:35" ht="54" x14ac:dyDescent="0.35">
      <c r="A129" s="38" t="s">
        <v>451</v>
      </c>
      <c r="B129" s="38"/>
      <c r="C129" s="49" t="s">
        <v>452</v>
      </c>
      <c r="D129" s="40"/>
      <c r="E129" s="40" t="s">
        <v>453</v>
      </c>
      <c r="F129" s="50" t="s">
        <v>56</v>
      </c>
      <c r="G129" s="51">
        <v>1.03</v>
      </c>
      <c r="H129" s="40"/>
      <c r="I129" s="52">
        <v>0</v>
      </c>
      <c r="J129" s="53">
        <v>54</v>
      </c>
      <c r="K129" s="54"/>
      <c r="L129" s="54"/>
      <c r="M129" s="53">
        <f>ROUND(ROUND(J129, 2)*I129, 2)</f>
        <v>0</v>
      </c>
      <c r="N129" s="54"/>
      <c r="O129" s="54"/>
      <c r="P129" s="53">
        <v>54</v>
      </c>
      <c r="Q129" s="54"/>
      <c r="R129" s="54"/>
      <c r="S129" s="53">
        <f>ROUND(ROUND(P129, 2)*I129, 2)</f>
        <v>0</v>
      </c>
      <c r="T129" s="54"/>
      <c r="U129" s="55"/>
      <c r="V129" s="9">
        <f>ROUND(ROUND(P129, 2)/1.2, 2)</f>
        <v>45</v>
      </c>
      <c r="Y129" s="9">
        <f>ROUND(S129 / 1.2, 2)</f>
        <v>0</v>
      </c>
      <c r="AD129" s="4" t="s">
        <v>454</v>
      </c>
      <c r="AE129" s="4" t="s">
        <v>455</v>
      </c>
      <c r="AF129" s="4" t="s">
        <v>456</v>
      </c>
    </row>
    <row r="130" spans="1:35" ht="54" x14ac:dyDescent="0.35">
      <c r="A130" s="44" t="s">
        <v>457</v>
      </c>
      <c r="B130" s="44"/>
      <c r="C130" s="56" t="s">
        <v>452</v>
      </c>
      <c r="D130" s="46"/>
      <c r="E130" s="46" t="s">
        <v>453</v>
      </c>
      <c r="F130" s="57" t="s">
        <v>56</v>
      </c>
      <c r="G130" s="58">
        <v>1.03</v>
      </c>
      <c r="H130" s="46"/>
      <c r="I130" s="58">
        <v>554.44899999999996</v>
      </c>
      <c r="J130" s="59">
        <v>54</v>
      </c>
      <c r="K130" s="60"/>
      <c r="L130" s="60"/>
      <c r="M130" s="59">
        <f>ROUND(ROUND(J130, 2)*I130, 2)</f>
        <v>29940.25</v>
      </c>
      <c r="N130" s="60"/>
      <c r="O130" s="60"/>
      <c r="P130" s="59">
        <v>54</v>
      </c>
      <c r="Q130" s="60"/>
      <c r="R130" s="60"/>
      <c r="S130" s="59">
        <f>ROUND(ROUND(P130, 2)*I130, 2)</f>
        <v>29940.25</v>
      </c>
      <c r="T130" s="60"/>
      <c r="U130" s="61"/>
      <c r="V130" s="9">
        <f>ROUND(ROUND(P130, 2)/1.2, 2)</f>
        <v>45</v>
      </c>
      <c r="Y130" s="9">
        <f>ROUND(S130 / 1.2, 2)</f>
        <v>24950.21</v>
      </c>
      <c r="AD130" s="4" t="s">
        <v>458</v>
      </c>
      <c r="AE130" s="4" t="s">
        <v>455</v>
      </c>
      <c r="AF130" s="4" t="s">
        <v>456</v>
      </c>
    </row>
    <row r="131" spans="1:35" ht="17" customHeight="1" x14ac:dyDescent="0.35">
      <c r="A131" s="10" t="s">
        <v>459</v>
      </c>
      <c r="B131" s="10" t="s">
        <v>460</v>
      </c>
      <c r="C131" s="100" t="s">
        <v>461</v>
      </c>
      <c r="D131" s="101"/>
      <c r="E131" s="101"/>
      <c r="F131" s="101"/>
      <c r="G131" s="101"/>
      <c r="H131" s="101"/>
      <c r="I131" s="102"/>
      <c r="M131" s="6">
        <f>SUM(M132,M142,M152,M162,M170,M176,M186,M196)</f>
        <v>1434337.04</v>
      </c>
      <c r="N131" s="6">
        <f>SUM(N132,N142,N152,N162,N170,N176,N186,N196)</f>
        <v>537714.84</v>
      </c>
      <c r="O131" s="6">
        <f>SUM(O132,O142,O152,O162,O170,O176,O186,O196)</f>
        <v>1972051.88</v>
      </c>
      <c r="S131" s="6">
        <f>SUM(S132,S142,S152,S162,S170,S176,S186,S196)</f>
        <v>1549555.1300000001</v>
      </c>
      <c r="T131" s="6">
        <f>SUM(T132,T142,T152,T162,T170,T176,T186,T196)</f>
        <v>409304.28</v>
      </c>
      <c r="U131" s="6">
        <f>SUM(U132,U142,U152,U162,U170,U176,U186,U196)</f>
        <v>1958859.41</v>
      </c>
      <c r="Y131" s="9">
        <f>SUM(Y132,Y142,Y152,Y162,Y170,Y176,Y186,Y196)</f>
        <v>1291295.9500000002</v>
      </c>
      <c r="Z131" s="9">
        <f>SUM(Z132,Z142,Z152,Z162,Z170,Z176,Z186,Z196)</f>
        <v>341086.9</v>
      </c>
      <c r="AA131" s="9">
        <f>SUM(AA132,AA142,AA152,AA162,AA170,AA176,AA186,AA196)</f>
        <v>1632382.85</v>
      </c>
      <c r="AD131" s="4">
        <v>303752403</v>
      </c>
      <c r="AE131" s="4">
        <v>16075337</v>
      </c>
    </row>
    <row r="132" spans="1:35" ht="54" x14ac:dyDescent="0.35">
      <c r="A132" s="38" t="s">
        <v>462</v>
      </c>
      <c r="B132" s="38" t="s">
        <v>463</v>
      </c>
      <c r="C132" s="39" t="s">
        <v>464</v>
      </c>
      <c r="D132" s="40"/>
      <c r="E132" s="40" t="s">
        <v>465</v>
      </c>
      <c r="F132" s="40" t="s">
        <v>56</v>
      </c>
      <c r="G132" s="41">
        <v>1</v>
      </c>
      <c r="H132" s="40"/>
      <c r="I132" s="42">
        <v>0</v>
      </c>
      <c r="J132" s="43">
        <f>IFERROR(ROUND(SUM(M134,M136,M138,M140)/I132, 2),0)</f>
        <v>0</v>
      </c>
      <c r="K132" s="43">
        <v>1439</v>
      </c>
      <c r="L132" s="43">
        <f>J132+ROUND(K132, 2)</f>
        <v>1439</v>
      </c>
      <c r="M132" s="43">
        <f>ROUND(J132*I132, 2)</f>
        <v>0</v>
      </c>
      <c r="N132" s="43">
        <f>ROUND(I132*ROUND(K132, 2), 2)</f>
        <v>0</v>
      </c>
      <c r="O132" s="43">
        <f>M132+N132</f>
        <v>0</v>
      </c>
      <c r="P132" s="43">
        <f>IFERROR(ROUND(SUM(S134,S136,S138,S140)/I132, 2),0)</f>
        <v>0</v>
      </c>
      <c r="Q132" s="43">
        <v>1251</v>
      </c>
      <c r="R132" s="43">
        <f>P132+ROUND(Q132, 2)</f>
        <v>1251</v>
      </c>
      <c r="S132" s="43">
        <f>ROUND(P132*I132, 2)</f>
        <v>0</v>
      </c>
      <c r="T132" s="43">
        <f>ROUND(I132*ROUND(Q132, 2), 2)</f>
        <v>0</v>
      </c>
      <c r="U132" s="43">
        <f>S132+T132</f>
        <v>0</v>
      </c>
      <c r="V132" s="9">
        <f>ROUND(P132 / 1.2, 2)</f>
        <v>0</v>
      </c>
      <c r="W132" s="9">
        <f>ROUND(Q132 / 1.2, 2)</f>
        <v>1042.5</v>
      </c>
      <c r="X132" s="9">
        <f>ROUND(R132 / 1.2, 2)</f>
        <v>1042.5</v>
      </c>
      <c r="Y132" s="9">
        <f>ROUND(S132 / 1.2, 2)</f>
        <v>0</v>
      </c>
      <c r="Z132" s="9">
        <f>ROUND(T132 / 1.2, 2)</f>
        <v>0</v>
      </c>
      <c r="AA132" s="9">
        <f>Y132+Z132</f>
        <v>0</v>
      </c>
      <c r="AD132" s="4">
        <v>303752405</v>
      </c>
      <c r="AE132" s="4">
        <v>16080908</v>
      </c>
      <c r="AG132" s="4" t="s">
        <v>466</v>
      </c>
      <c r="AH132" s="4" t="s">
        <v>467</v>
      </c>
      <c r="AI132" s="4" t="s">
        <v>247</v>
      </c>
    </row>
    <row r="133" spans="1:35" ht="54" x14ac:dyDescent="0.35">
      <c r="A133" s="44" t="s">
        <v>468</v>
      </c>
      <c r="B133" s="44" t="s">
        <v>463</v>
      </c>
      <c r="C133" s="45" t="s">
        <v>464</v>
      </c>
      <c r="D133" s="46"/>
      <c r="E133" s="46" t="s">
        <v>465</v>
      </c>
      <c r="F133" s="46" t="s">
        <v>56</v>
      </c>
      <c r="G133" s="47">
        <v>1</v>
      </c>
      <c r="H133" s="46"/>
      <c r="I133" s="47">
        <v>21.4</v>
      </c>
      <c r="J133" s="48">
        <v>0</v>
      </c>
      <c r="K133" s="48">
        <v>1251</v>
      </c>
      <c r="L133" s="48"/>
      <c r="M133" s="48">
        <v>0</v>
      </c>
      <c r="N133" s="48"/>
      <c r="O133" s="48"/>
      <c r="P133" s="48">
        <v>0</v>
      </c>
      <c r="Q133" s="48">
        <v>1251</v>
      </c>
      <c r="R133" s="48"/>
      <c r="S133" s="48">
        <v>0</v>
      </c>
      <c r="T133" s="48"/>
      <c r="U133" s="48"/>
      <c r="V133" s="9"/>
      <c r="W133" s="9">
        <f>ROUND(Q133 / 1.2, 2)</f>
        <v>1042.5</v>
      </c>
      <c r="X133" s="9">
        <f>ROUND(R133 / 1.2, 2)</f>
        <v>0</v>
      </c>
      <c r="Y133" s="9"/>
      <c r="Z133" s="9">
        <f>ROUND(T133 / 1.2, 2)</f>
        <v>0</v>
      </c>
      <c r="AA133" s="9"/>
      <c r="AD133" s="4">
        <v>204395661</v>
      </c>
      <c r="AE133" s="4">
        <v>16080908</v>
      </c>
      <c r="AG133" s="4" t="s">
        <v>466</v>
      </c>
      <c r="AH133" s="4" t="s">
        <v>467</v>
      </c>
      <c r="AI133" s="4"/>
    </row>
    <row r="134" spans="1:35" ht="36" x14ac:dyDescent="0.35">
      <c r="A134" s="38" t="s">
        <v>469</v>
      </c>
      <c r="B134" s="38"/>
      <c r="C134" s="49" t="s">
        <v>470</v>
      </c>
      <c r="D134" s="40"/>
      <c r="E134" s="40" t="s">
        <v>471</v>
      </c>
      <c r="F134" s="50" t="s">
        <v>81</v>
      </c>
      <c r="G134" s="51">
        <v>1.2</v>
      </c>
      <c r="H134" s="40"/>
      <c r="I134" s="62">
        <v>0</v>
      </c>
      <c r="J134" s="53">
        <v>6.28</v>
      </c>
      <c r="K134" s="54"/>
      <c r="L134" s="54"/>
      <c r="M134" s="53">
        <f t="shared" ref="M134:M141" si="27">ROUND(ROUND(J134, 2)*I134, 2)</f>
        <v>0</v>
      </c>
      <c r="N134" s="54"/>
      <c r="O134" s="54"/>
      <c r="P134" s="53">
        <v>6.28</v>
      </c>
      <c r="Q134" s="54"/>
      <c r="R134" s="54"/>
      <c r="S134" s="53">
        <f t="shared" ref="S134:S141" si="28">ROUND(ROUND(P134, 2)*I134, 2)</f>
        <v>0</v>
      </c>
      <c r="T134" s="54"/>
      <c r="U134" s="55"/>
      <c r="V134" s="9">
        <f t="shared" ref="V134:V141" si="29">ROUND(ROUND(P134, 2)/1.2, 2)</f>
        <v>5.23</v>
      </c>
      <c r="Y134" s="9">
        <f t="shared" ref="Y134:Y142" si="30">ROUND(S134 / 1.2, 2)</f>
        <v>0</v>
      </c>
      <c r="AD134" s="4" t="s">
        <v>472</v>
      </c>
      <c r="AE134" s="4" t="s">
        <v>473</v>
      </c>
      <c r="AF134" s="4" t="s">
        <v>474</v>
      </c>
    </row>
    <row r="135" spans="1:35" ht="36" x14ac:dyDescent="0.35">
      <c r="A135" s="44" t="s">
        <v>475</v>
      </c>
      <c r="B135" s="44"/>
      <c r="C135" s="56" t="s">
        <v>470</v>
      </c>
      <c r="D135" s="46"/>
      <c r="E135" s="46" t="s">
        <v>471</v>
      </c>
      <c r="F135" s="57" t="s">
        <v>81</v>
      </c>
      <c r="G135" s="58">
        <v>1.2</v>
      </c>
      <c r="H135" s="46"/>
      <c r="I135" s="63">
        <v>128.4</v>
      </c>
      <c r="J135" s="59">
        <v>6.28</v>
      </c>
      <c r="K135" s="60"/>
      <c r="L135" s="60"/>
      <c r="M135" s="59">
        <f t="shared" si="27"/>
        <v>806.35</v>
      </c>
      <c r="N135" s="60"/>
      <c r="O135" s="60"/>
      <c r="P135" s="59">
        <v>6.28</v>
      </c>
      <c r="Q135" s="60"/>
      <c r="R135" s="60"/>
      <c r="S135" s="59">
        <f t="shared" si="28"/>
        <v>806.35</v>
      </c>
      <c r="T135" s="60"/>
      <c r="U135" s="61"/>
      <c r="V135" s="9">
        <f t="shared" si="29"/>
        <v>5.23</v>
      </c>
      <c r="Y135" s="9">
        <f t="shared" si="30"/>
        <v>671.96</v>
      </c>
      <c r="AD135" s="4" t="s">
        <v>476</v>
      </c>
      <c r="AE135" s="4" t="s">
        <v>473</v>
      </c>
      <c r="AF135" s="4" t="s">
        <v>474</v>
      </c>
    </row>
    <row r="136" spans="1:35" ht="72" x14ac:dyDescent="0.35">
      <c r="A136" s="38" t="s">
        <v>477</v>
      </c>
      <c r="B136" s="38"/>
      <c r="C136" s="49" t="s">
        <v>478</v>
      </c>
      <c r="D136" s="40"/>
      <c r="E136" s="40" t="s">
        <v>479</v>
      </c>
      <c r="F136" s="50" t="s">
        <v>56</v>
      </c>
      <c r="G136" s="51">
        <v>1.07</v>
      </c>
      <c r="H136" s="40"/>
      <c r="I136" s="62">
        <v>0</v>
      </c>
      <c r="J136" s="53">
        <v>504</v>
      </c>
      <c r="K136" s="54"/>
      <c r="L136" s="54"/>
      <c r="M136" s="53">
        <f t="shared" si="27"/>
        <v>0</v>
      </c>
      <c r="N136" s="54"/>
      <c r="O136" s="54"/>
      <c r="P136" s="53">
        <v>1083.5999999999999</v>
      </c>
      <c r="Q136" s="54"/>
      <c r="R136" s="54"/>
      <c r="S136" s="53">
        <f t="shared" si="28"/>
        <v>0</v>
      </c>
      <c r="T136" s="54"/>
      <c r="U136" s="55"/>
      <c r="V136" s="9">
        <f t="shared" si="29"/>
        <v>903</v>
      </c>
      <c r="Y136" s="9">
        <f t="shared" si="30"/>
        <v>0</v>
      </c>
      <c r="AD136" s="4" t="s">
        <v>480</v>
      </c>
      <c r="AE136" s="4" t="s">
        <v>481</v>
      </c>
      <c r="AF136" s="4" t="s">
        <v>482</v>
      </c>
    </row>
    <row r="137" spans="1:35" ht="72" x14ac:dyDescent="0.35">
      <c r="A137" s="44" t="s">
        <v>483</v>
      </c>
      <c r="B137" s="44"/>
      <c r="C137" s="56" t="s">
        <v>478</v>
      </c>
      <c r="D137" s="46"/>
      <c r="E137" s="46" t="s">
        <v>479</v>
      </c>
      <c r="F137" s="57" t="s">
        <v>56</v>
      </c>
      <c r="G137" s="58">
        <v>1.07</v>
      </c>
      <c r="H137" s="46"/>
      <c r="I137" s="63">
        <v>22.898</v>
      </c>
      <c r="J137" s="59">
        <v>504</v>
      </c>
      <c r="K137" s="60"/>
      <c r="L137" s="60"/>
      <c r="M137" s="59">
        <f t="shared" si="27"/>
        <v>11540.59</v>
      </c>
      <c r="N137" s="60"/>
      <c r="O137" s="60"/>
      <c r="P137" s="59">
        <v>1083.5999999999999</v>
      </c>
      <c r="Q137" s="60"/>
      <c r="R137" s="60"/>
      <c r="S137" s="59">
        <f t="shared" si="28"/>
        <v>24812.27</v>
      </c>
      <c r="T137" s="60"/>
      <c r="U137" s="61"/>
      <c r="V137" s="9">
        <f t="shared" si="29"/>
        <v>903</v>
      </c>
      <c r="Y137" s="9">
        <f t="shared" si="30"/>
        <v>20676.89</v>
      </c>
      <c r="AD137" s="4" t="s">
        <v>484</v>
      </c>
      <c r="AE137" s="4" t="s">
        <v>481</v>
      </c>
      <c r="AF137" s="4" t="s">
        <v>482</v>
      </c>
    </row>
    <row r="138" spans="1:35" ht="18" x14ac:dyDescent="0.35">
      <c r="A138" s="38" t="s">
        <v>485</v>
      </c>
      <c r="B138" s="38"/>
      <c r="C138" s="49" t="s">
        <v>486</v>
      </c>
      <c r="D138" s="40"/>
      <c r="E138" s="40"/>
      <c r="F138" s="50" t="s">
        <v>81</v>
      </c>
      <c r="G138" s="51">
        <v>0.25</v>
      </c>
      <c r="H138" s="40"/>
      <c r="I138" s="62">
        <v>0</v>
      </c>
      <c r="J138" s="53">
        <v>40.270000000000003</v>
      </c>
      <c r="K138" s="54"/>
      <c r="L138" s="54"/>
      <c r="M138" s="53">
        <f t="shared" si="27"/>
        <v>0</v>
      </c>
      <c r="N138" s="54"/>
      <c r="O138" s="54"/>
      <c r="P138" s="53">
        <v>40.270000000000003</v>
      </c>
      <c r="Q138" s="54"/>
      <c r="R138" s="54"/>
      <c r="S138" s="53">
        <f t="shared" si="28"/>
        <v>0</v>
      </c>
      <c r="T138" s="54"/>
      <c r="U138" s="55"/>
      <c r="V138" s="9">
        <f t="shared" si="29"/>
        <v>33.56</v>
      </c>
      <c r="Y138" s="9">
        <f t="shared" si="30"/>
        <v>0</v>
      </c>
      <c r="AD138" s="4" t="s">
        <v>487</v>
      </c>
      <c r="AE138" s="4" t="s">
        <v>488</v>
      </c>
      <c r="AF138" s="4" t="s">
        <v>489</v>
      </c>
    </row>
    <row r="139" spans="1:35" ht="18" x14ac:dyDescent="0.35">
      <c r="A139" s="44" t="s">
        <v>490</v>
      </c>
      <c r="B139" s="44"/>
      <c r="C139" s="56" t="s">
        <v>486</v>
      </c>
      <c r="D139" s="46"/>
      <c r="E139" s="46"/>
      <c r="F139" s="57" t="s">
        <v>81</v>
      </c>
      <c r="G139" s="58">
        <v>0.25</v>
      </c>
      <c r="H139" s="46"/>
      <c r="I139" s="63">
        <v>19.024999999999999</v>
      </c>
      <c r="J139" s="59">
        <v>40.270000000000003</v>
      </c>
      <c r="K139" s="60"/>
      <c r="L139" s="60"/>
      <c r="M139" s="59">
        <f t="shared" si="27"/>
        <v>766.14</v>
      </c>
      <c r="N139" s="60"/>
      <c r="O139" s="60"/>
      <c r="P139" s="59">
        <v>40.270000000000003</v>
      </c>
      <c r="Q139" s="60"/>
      <c r="R139" s="60"/>
      <c r="S139" s="59">
        <f t="shared" si="28"/>
        <v>766.14</v>
      </c>
      <c r="T139" s="60"/>
      <c r="U139" s="61"/>
      <c r="V139" s="9">
        <f t="shared" si="29"/>
        <v>33.56</v>
      </c>
      <c r="Y139" s="9">
        <f t="shared" si="30"/>
        <v>638.45000000000005</v>
      </c>
      <c r="AD139" s="4" t="s">
        <v>491</v>
      </c>
      <c r="AE139" s="4" t="s">
        <v>488</v>
      </c>
      <c r="AF139" s="4" t="s">
        <v>489</v>
      </c>
    </row>
    <row r="140" spans="1:35" ht="36" x14ac:dyDescent="0.35">
      <c r="A140" s="38" t="s">
        <v>492</v>
      </c>
      <c r="B140" s="38"/>
      <c r="C140" s="49" t="s">
        <v>493</v>
      </c>
      <c r="D140" s="40"/>
      <c r="E140" s="40"/>
      <c r="F140" s="50" t="s">
        <v>81</v>
      </c>
      <c r="G140" s="51">
        <v>0.15</v>
      </c>
      <c r="H140" s="40"/>
      <c r="I140" s="52">
        <v>0</v>
      </c>
      <c r="J140" s="53">
        <v>88.8</v>
      </c>
      <c r="K140" s="54"/>
      <c r="L140" s="54"/>
      <c r="M140" s="53">
        <f t="shared" si="27"/>
        <v>0</v>
      </c>
      <c r="N140" s="54"/>
      <c r="O140" s="54"/>
      <c r="P140" s="53">
        <v>88.8</v>
      </c>
      <c r="Q140" s="54"/>
      <c r="R140" s="54"/>
      <c r="S140" s="53">
        <f t="shared" si="28"/>
        <v>0</v>
      </c>
      <c r="T140" s="54"/>
      <c r="U140" s="55"/>
      <c r="V140" s="9">
        <f t="shared" si="29"/>
        <v>74</v>
      </c>
      <c r="Y140" s="9">
        <f t="shared" si="30"/>
        <v>0</v>
      </c>
      <c r="AD140" s="4" t="s">
        <v>494</v>
      </c>
      <c r="AE140" s="4" t="s">
        <v>495</v>
      </c>
      <c r="AF140" s="4" t="s">
        <v>496</v>
      </c>
    </row>
    <row r="141" spans="1:35" ht="36" x14ac:dyDescent="0.35">
      <c r="A141" s="44" t="s">
        <v>497</v>
      </c>
      <c r="B141" s="44"/>
      <c r="C141" s="56" t="s">
        <v>493</v>
      </c>
      <c r="D141" s="46"/>
      <c r="E141" s="46"/>
      <c r="F141" s="57" t="s">
        <v>81</v>
      </c>
      <c r="G141" s="58">
        <v>0.15</v>
      </c>
      <c r="H141" s="46"/>
      <c r="I141" s="58">
        <v>3.21</v>
      </c>
      <c r="J141" s="59">
        <v>88.8</v>
      </c>
      <c r="K141" s="60"/>
      <c r="L141" s="60"/>
      <c r="M141" s="59">
        <f t="shared" si="27"/>
        <v>285.05</v>
      </c>
      <c r="N141" s="60"/>
      <c r="O141" s="60"/>
      <c r="P141" s="59">
        <v>88.8</v>
      </c>
      <c r="Q141" s="60"/>
      <c r="R141" s="60"/>
      <c r="S141" s="59">
        <f t="shared" si="28"/>
        <v>285.05</v>
      </c>
      <c r="T141" s="60"/>
      <c r="U141" s="61"/>
      <c r="V141" s="9">
        <f t="shared" si="29"/>
        <v>74</v>
      </c>
      <c r="Y141" s="9">
        <f t="shared" si="30"/>
        <v>237.54</v>
      </c>
      <c r="AD141" s="4" t="s">
        <v>498</v>
      </c>
      <c r="AE141" s="4" t="s">
        <v>495</v>
      </c>
      <c r="AF141" s="4" t="s">
        <v>496</v>
      </c>
    </row>
    <row r="142" spans="1:35" ht="54" x14ac:dyDescent="0.35">
      <c r="A142" s="38" t="s">
        <v>499</v>
      </c>
      <c r="B142" s="38" t="s">
        <v>463</v>
      </c>
      <c r="C142" s="39" t="s">
        <v>464</v>
      </c>
      <c r="D142" s="40"/>
      <c r="E142" s="40" t="s">
        <v>500</v>
      </c>
      <c r="F142" s="40" t="s">
        <v>56</v>
      </c>
      <c r="G142" s="41">
        <v>1</v>
      </c>
      <c r="H142" s="40"/>
      <c r="I142" s="42">
        <v>0</v>
      </c>
      <c r="J142" s="43">
        <f>IFERROR(ROUND(SUM(M144,M146,M148,M150)/I142, 2),0)</f>
        <v>0</v>
      </c>
      <c r="K142" s="43">
        <v>1439</v>
      </c>
      <c r="L142" s="43">
        <f>J142+ROUND(K142, 2)</f>
        <v>1439</v>
      </c>
      <c r="M142" s="43">
        <f>ROUND(J142*I142, 2)</f>
        <v>0</v>
      </c>
      <c r="N142" s="43">
        <f>ROUND(I142*ROUND(K142, 2), 2)</f>
        <v>0</v>
      </c>
      <c r="O142" s="43">
        <f>M142+N142</f>
        <v>0</v>
      </c>
      <c r="P142" s="43">
        <f>IFERROR(ROUND(SUM(S144,S146,S148,S150)/I142, 2),0)</f>
        <v>0</v>
      </c>
      <c r="Q142" s="43">
        <v>1251</v>
      </c>
      <c r="R142" s="43">
        <f>P142+ROUND(Q142, 2)</f>
        <v>1251</v>
      </c>
      <c r="S142" s="43">
        <f>ROUND(P142*I142, 2)</f>
        <v>0</v>
      </c>
      <c r="T142" s="43">
        <f>ROUND(I142*ROUND(Q142, 2), 2)</f>
        <v>0</v>
      </c>
      <c r="U142" s="43">
        <f>S142+T142</f>
        <v>0</v>
      </c>
      <c r="V142" s="9">
        <f>ROUND(P142 / 1.2, 2)</f>
        <v>0</v>
      </c>
      <c r="W142" s="9">
        <f>ROUND(Q142 / 1.2, 2)</f>
        <v>1042.5</v>
      </c>
      <c r="X142" s="9">
        <f>ROUND(R142 / 1.2, 2)</f>
        <v>1042.5</v>
      </c>
      <c r="Y142" s="9">
        <f t="shared" si="30"/>
        <v>0</v>
      </c>
      <c r="Z142" s="9">
        <f>ROUND(T142 / 1.2, 2)</f>
        <v>0</v>
      </c>
      <c r="AA142" s="9">
        <f>Y142+Z142</f>
        <v>0</v>
      </c>
      <c r="AD142" s="4">
        <v>303752465</v>
      </c>
      <c r="AE142" s="4">
        <v>16080909</v>
      </c>
      <c r="AG142" s="4" t="s">
        <v>466</v>
      </c>
      <c r="AH142" s="4" t="s">
        <v>467</v>
      </c>
      <c r="AI142" s="4" t="s">
        <v>247</v>
      </c>
    </row>
    <row r="143" spans="1:35" ht="54" x14ac:dyDescent="0.35">
      <c r="A143" s="44" t="s">
        <v>501</v>
      </c>
      <c r="B143" s="44" t="s">
        <v>463</v>
      </c>
      <c r="C143" s="45" t="s">
        <v>464</v>
      </c>
      <c r="D143" s="46"/>
      <c r="E143" s="46" t="s">
        <v>500</v>
      </c>
      <c r="F143" s="46" t="s">
        <v>56</v>
      </c>
      <c r="G143" s="47">
        <v>1</v>
      </c>
      <c r="H143" s="46"/>
      <c r="I143" s="47">
        <v>54</v>
      </c>
      <c r="J143" s="48">
        <v>0</v>
      </c>
      <c r="K143" s="48">
        <v>1251</v>
      </c>
      <c r="L143" s="48"/>
      <c r="M143" s="48">
        <v>0</v>
      </c>
      <c r="N143" s="48"/>
      <c r="O143" s="48"/>
      <c r="P143" s="48">
        <v>0</v>
      </c>
      <c r="Q143" s="48">
        <v>1251</v>
      </c>
      <c r="R143" s="48"/>
      <c r="S143" s="48">
        <v>0</v>
      </c>
      <c r="T143" s="48"/>
      <c r="U143" s="48"/>
      <c r="V143" s="9"/>
      <c r="W143" s="9">
        <f>ROUND(Q143 / 1.2, 2)</f>
        <v>1042.5</v>
      </c>
      <c r="X143" s="9">
        <f>ROUND(R143 / 1.2, 2)</f>
        <v>0</v>
      </c>
      <c r="Y143" s="9"/>
      <c r="Z143" s="9">
        <f>ROUND(T143 / 1.2, 2)</f>
        <v>0</v>
      </c>
      <c r="AA143" s="9"/>
      <c r="AD143" s="4">
        <v>204395699</v>
      </c>
      <c r="AE143" s="4">
        <v>16080909</v>
      </c>
      <c r="AG143" s="4" t="s">
        <v>466</v>
      </c>
      <c r="AH143" s="4" t="s">
        <v>467</v>
      </c>
      <c r="AI143" s="4"/>
    </row>
    <row r="144" spans="1:35" ht="36" x14ac:dyDescent="0.35">
      <c r="A144" s="38" t="s">
        <v>502</v>
      </c>
      <c r="B144" s="38"/>
      <c r="C144" s="49" t="s">
        <v>493</v>
      </c>
      <c r="D144" s="40"/>
      <c r="E144" s="40"/>
      <c r="F144" s="50" t="s">
        <v>81</v>
      </c>
      <c r="G144" s="51">
        <v>0.15</v>
      </c>
      <c r="H144" s="40"/>
      <c r="I144" s="52">
        <v>0</v>
      </c>
      <c r="J144" s="53">
        <v>88.8</v>
      </c>
      <c r="K144" s="54"/>
      <c r="L144" s="54"/>
      <c r="M144" s="53">
        <f t="shared" ref="M144:M151" si="31">ROUND(ROUND(J144, 2)*I144, 2)</f>
        <v>0</v>
      </c>
      <c r="N144" s="54"/>
      <c r="O144" s="54"/>
      <c r="P144" s="53">
        <v>88.8</v>
      </c>
      <c r="Q144" s="54"/>
      <c r="R144" s="54"/>
      <c r="S144" s="53">
        <f t="shared" ref="S144:S151" si="32">ROUND(ROUND(P144, 2)*I144, 2)</f>
        <v>0</v>
      </c>
      <c r="T144" s="54"/>
      <c r="U144" s="55"/>
      <c r="V144" s="9">
        <f t="shared" ref="V144:V151" si="33">ROUND(ROUND(P144, 2)/1.2, 2)</f>
        <v>74</v>
      </c>
      <c r="Y144" s="9">
        <f t="shared" ref="Y144:Y152" si="34">ROUND(S144 / 1.2, 2)</f>
        <v>0</v>
      </c>
      <c r="AD144" s="4" t="s">
        <v>503</v>
      </c>
      <c r="AE144" s="4" t="s">
        <v>504</v>
      </c>
      <c r="AF144" s="4" t="s">
        <v>496</v>
      </c>
    </row>
    <row r="145" spans="1:35" ht="36" x14ac:dyDescent="0.35">
      <c r="A145" s="44" t="s">
        <v>505</v>
      </c>
      <c r="B145" s="44"/>
      <c r="C145" s="56" t="s">
        <v>493</v>
      </c>
      <c r="D145" s="46"/>
      <c r="E145" s="46"/>
      <c r="F145" s="57" t="s">
        <v>81</v>
      </c>
      <c r="G145" s="58">
        <v>0.15</v>
      </c>
      <c r="H145" s="46"/>
      <c r="I145" s="58">
        <v>8.1</v>
      </c>
      <c r="J145" s="59">
        <v>88.8</v>
      </c>
      <c r="K145" s="60"/>
      <c r="L145" s="60"/>
      <c r="M145" s="59">
        <f t="shared" si="31"/>
        <v>719.28</v>
      </c>
      <c r="N145" s="60"/>
      <c r="O145" s="60"/>
      <c r="P145" s="59">
        <v>88.8</v>
      </c>
      <c r="Q145" s="60"/>
      <c r="R145" s="60"/>
      <c r="S145" s="59">
        <f t="shared" si="32"/>
        <v>719.28</v>
      </c>
      <c r="T145" s="60"/>
      <c r="U145" s="61"/>
      <c r="V145" s="9">
        <f t="shared" si="33"/>
        <v>74</v>
      </c>
      <c r="Y145" s="9">
        <f t="shared" si="34"/>
        <v>599.4</v>
      </c>
      <c r="AD145" s="4" t="s">
        <v>506</v>
      </c>
      <c r="AE145" s="4" t="s">
        <v>504</v>
      </c>
      <c r="AF145" s="4" t="s">
        <v>496</v>
      </c>
    </row>
    <row r="146" spans="1:35" ht="18" x14ac:dyDescent="0.35">
      <c r="A146" s="38" t="s">
        <v>507</v>
      </c>
      <c r="B146" s="38"/>
      <c r="C146" s="49" t="s">
        <v>486</v>
      </c>
      <c r="D146" s="40"/>
      <c r="E146" s="40"/>
      <c r="F146" s="50" t="s">
        <v>81</v>
      </c>
      <c r="G146" s="51">
        <v>0.25</v>
      </c>
      <c r="H146" s="40"/>
      <c r="I146" s="62">
        <v>0</v>
      </c>
      <c r="J146" s="53">
        <v>40.270000000000003</v>
      </c>
      <c r="K146" s="54"/>
      <c r="L146" s="54"/>
      <c r="M146" s="53">
        <f t="shared" si="31"/>
        <v>0</v>
      </c>
      <c r="N146" s="54"/>
      <c r="O146" s="54"/>
      <c r="P146" s="53">
        <v>40.270000000000003</v>
      </c>
      <c r="Q146" s="54"/>
      <c r="R146" s="54"/>
      <c r="S146" s="53">
        <f t="shared" si="32"/>
        <v>0</v>
      </c>
      <c r="T146" s="54"/>
      <c r="U146" s="55"/>
      <c r="V146" s="9">
        <f t="shared" si="33"/>
        <v>33.56</v>
      </c>
      <c r="Y146" s="9">
        <f t="shared" si="34"/>
        <v>0</v>
      </c>
      <c r="AD146" s="4" t="s">
        <v>508</v>
      </c>
      <c r="AE146" s="4" t="s">
        <v>509</v>
      </c>
      <c r="AF146" s="4" t="s">
        <v>489</v>
      </c>
    </row>
    <row r="147" spans="1:35" ht="18" x14ac:dyDescent="0.35">
      <c r="A147" s="44" t="s">
        <v>510</v>
      </c>
      <c r="B147" s="44"/>
      <c r="C147" s="56" t="s">
        <v>486</v>
      </c>
      <c r="D147" s="46"/>
      <c r="E147" s="46"/>
      <c r="F147" s="57" t="s">
        <v>81</v>
      </c>
      <c r="G147" s="58">
        <v>0.25</v>
      </c>
      <c r="H147" s="46"/>
      <c r="I147" s="63">
        <v>13.5</v>
      </c>
      <c r="J147" s="59">
        <v>40.270000000000003</v>
      </c>
      <c r="K147" s="60"/>
      <c r="L147" s="60"/>
      <c r="M147" s="59">
        <f t="shared" si="31"/>
        <v>543.65</v>
      </c>
      <c r="N147" s="60"/>
      <c r="O147" s="60"/>
      <c r="P147" s="59">
        <v>40.270000000000003</v>
      </c>
      <c r="Q147" s="60"/>
      <c r="R147" s="60"/>
      <c r="S147" s="59">
        <f t="shared" si="32"/>
        <v>543.65</v>
      </c>
      <c r="T147" s="60"/>
      <c r="U147" s="61"/>
      <c r="V147" s="9">
        <f t="shared" si="33"/>
        <v>33.56</v>
      </c>
      <c r="Y147" s="9">
        <f t="shared" si="34"/>
        <v>453.04</v>
      </c>
      <c r="AD147" s="4" t="s">
        <v>511</v>
      </c>
      <c r="AE147" s="4" t="s">
        <v>509</v>
      </c>
      <c r="AF147" s="4" t="s">
        <v>489</v>
      </c>
    </row>
    <row r="148" spans="1:35" ht="36" x14ac:dyDescent="0.35">
      <c r="A148" s="38" t="s">
        <v>512</v>
      </c>
      <c r="B148" s="38"/>
      <c r="C148" s="49" t="s">
        <v>470</v>
      </c>
      <c r="D148" s="40"/>
      <c r="E148" s="40"/>
      <c r="F148" s="50" t="s">
        <v>81</v>
      </c>
      <c r="G148" s="51">
        <v>1.2</v>
      </c>
      <c r="H148" s="40"/>
      <c r="I148" s="62">
        <v>0</v>
      </c>
      <c r="J148" s="53">
        <v>6.28</v>
      </c>
      <c r="K148" s="54"/>
      <c r="L148" s="54"/>
      <c r="M148" s="53">
        <f t="shared" si="31"/>
        <v>0</v>
      </c>
      <c r="N148" s="54"/>
      <c r="O148" s="54"/>
      <c r="P148" s="53">
        <v>6.28</v>
      </c>
      <c r="Q148" s="54"/>
      <c r="R148" s="54"/>
      <c r="S148" s="53">
        <f t="shared" si="32"/>
        <v>0</v>
      </c>
      <c r="T148" s="54"/>
      <c r="U148" s="55"/>
      <c r="V148" s="9">
        <f t="shared" si="33"/>
        <v>5.23</v>
      </c>
      <c r="Y148" s="9">
        <f t="shared" si="34"/>
        <v>0</v>
      </c>
      <c r="AD148" s="4" t="s">
        <v>513</v>
      </c>
      <c r="AE148" s="4" t="s">
        <v>514</v>
      </c>
      <c r="AF148" s="4" t="s">
        <v>474</v>
      </c>
    </row>
    <row r="149" spans="1:35" ht="36" x14ac:dyDescent="0.35">
      <c r="A149" s="44" t="s">
        <v>515</v>
      </c>
      <c r="B149" s="44"/>
      <c r="C149" s="56" t="s">
        <v>470</v>
      </c>
      <c r="D149" s="46"/>
      <c r="E149" s="46"/>
      <c r="F149" s="57" t="s">
        <v>81</v>
      </c>
      <c r="G149" s="58">
        <v>1.2</v>
      </c>
      <c r="H149" s="46"/>
      <c r="I149" s="63">
        <v>324</v>
      </c>
      <c r="J149" s="59">
        <v>6.28</v>
      </c>
      <c r="K149" s="60"/>
      <c r="L149" s="60"/>
      <c r="M149" s="59">
        <f t="shared" si="31"/>
        <v>2034.72</v>
      </c>
      <c r="N149" s="60"/>
      <c r="O149" s="60"/>
      <c r="P149" s="59">
        <v>6.28</v>
      </c>
      <c r="Q149" s="60"/>
      <c r="R149" s="60"/>
      <c r="S149" s="59">
        <f t="shared" si="32"/>
        <v>2034.72</v>
      </c>
      <c r="T149" s="60"/>
      <c r="U149" s="61"/>
      <c r="V149" s="9">
        <f t="shared" si="33"/>
        <v>5.23</v>
      </c>
      <c r="Y149" s="9">
        <f t="shared" si="34"/>
        <v>1695.6</v>
      </c>
      <c r="AD149" s="4" t="s">
        <v>516</v>
      </c>
      <c r="AE149" s="4" t="s">
        <v>514</v>
      </c>
      <c r="AF149" s="4" t="s">
        <v>474</v>
      </c>
    </row>
    <row r="150" spans="1:35" ht="72" x14ac:dyDescent="0.35">
      <c r="A150" s="38" t="s">
        <v>517</v>
      </c>
      <c r="B150" s="38"/>
      <c r="C150" s="49" t="s">
        <v>518</v>
      </c>
      <c r="D150" s="40"/>
      <c r="E150" s="40" t="s">
        <v>519</v>
      </c>
      <c r="F150" s="50" t="s">
        <v>56</v>
      </c>
      <c r="G150" s="51">
        <v>1.07</v>
      </c>
      <c r="H150" s="40"/>
      <c r="I150" s="62">
        <v>0</v>
      </c>
      <c r="J150" s="53">
        <v>2059.0500000000002</v>
      </c>
      <c r="K150" s="54"/>
      <c r="L150" s="54"/>
      <c r="M150" s="53">
        <f t="shared" si="31"/>
        <v>0</v>
      </c>
      <c r="N150" s="54"/>
      <c r="O150" s="54"/>
      <c r="P150" s="53">
        <v>1332</v>
      </c>
      <c r="Q150" s="54"/>
      <c r="R150" s="54"/>
      <c r="S150" s="53">
        <f t="shared" si="32"/>
        <v>0</v>
      </c>
      <c r="T150" s="54"/>
      <c r="U150" s="55"/>
      <c r="V150" s="9">
        <f t="shared" si="33"/>
        <v>1110</v>
      </c>
      <c r="Y150" s="9">
        <f t="shared" si="34"/>
        <v>0</v>
      </c>
      <c r="AD150" s="4" t="s">
        <v>520</v>
      </c>
      <c r="AE150" s="4" t="s">
        <v>521</v>
      </c>
      <c r="AF150" s="4" t="s">
        <v>522</v>
      </c>
    </row>
    <row r="151" spans="1:35" ht="72" x14ac:dyDescent="0.35">
      <c r="A151" s="44" t="s">
        <v>523</v>
      </c>
      <c r="B151" s="44"/>
      <c r="C151" s="56" t="s">
        <v>518</v>
      </c>
      <c r="D151" s="46"/>
      <c r="E151" s="46" t="s">
        <v>519</v>
      </c>
      <c r="F151" s="57" t="s">
        <v>56</v>
      </c>
      <c r="G151" s="58">
        <v>1.07</v>
      </c>
      <c r="H151" s="46"/>
      <c r="I151" s="63">
        <v>57.78</v>
      </c>
      <c r="J151" s="59">
        <v>2059.0500000000002</v>
      </c>
      <c r="K151" s="60"/>
      <c r="L151" s="60"/>
      <c r="M151" s="59">
        <f t="shared" si="31"/>
        <v>118971.91</v>
      </c>
      <c r="N151" s="60"/>
      <c r="O151" s="60"/>
      <c r="P151" s="59">
        <v>1332</v>
      </c>
      <c r="Q151" s="60"/>
      <c r="R151" s="60"/>
      <c r="S151" s="59">
        <f t="shared" si="32"/>
        <v>76962.960000000006</v>
      </c>
      <c r="T151" s="60"/>
      <c r="U151" s="61"/>
      <c r="V151" s="9">
        <f t="shared" si="33"/>
        <v>1110</v>
      </c>
      <c r="Y151" s="9">
        <f t="shared" si="34"/>
        <v>64135.8</v>
      </c>
      <c r="AD151" s="4" t="s">
        <v>524</v>
      </c>
      <c r="AE151" s="4" t="s">
        <v>521</v>
      </c>
      <c r="AF151" s="4" t="s">
        <v>522</v>
      </c>
    </row>
    <row r="152" spans="1:35" ht="54" x14ac:dyDescent="0.35">
      <c r="A152" s="38" t="s">
        <v>525</v>
      </c>
      <c r="B152" s="38" t="s">
        <v>463</v>
      </c>
      <c r="C152" s="39" t="s">
        <v>464</v>
      </c>
      <c r="D152" s="40"/>
      <c r="E152" s="40" t="s">
        <v>526</v>
      </c>
      <c r="F152" s="40" t="s">
        <v>56</v>
      </c>
      <c r="G152" s="41">
        <v>1</v>
      </c>
      <c r="H152" s="40"/>
      <c r="I152" s="42">
        <v>0</v>
      </c>
      <c r="J152" s="43">
        <f>IFERROR(ROUND(SUM(M154,M156,M158,M160)/I152, 2),0)</f>
        <v>0</v>
      </c>
      <c r="K152" s="43">
        <v>1439</v>
      </c>
      <c r="L152" s="43">
        <f>J152+ROUND(K152, 2)</f>
        <v>1439</v>
      </c>
      <c r="M152" s="43">
        <f>ROUND(J152*I152, 2)</f>
        <v>0</v>
      </c>
      <c r="N152" s="43">
        <f>ROUND(I152*ROUND(K152, 2), 2)</f>
        <v>0</v>
      </c>
      <c r="O152" s="43">
        <f>M152+N152</f>
        <v>0</v>
      </c>
      <c r="P152" s="43">
        <f>IFERROR(ROUND(SUM(S154,S156,S158,S160)/I152, 2),0)</f>
        <v>0</v>
      </c>
      <c r="Q152" s="43">
        <v>1251</v>
      </c>
      <c r="R152" s="43">
        <f>P152+ROUND(Q152, 2)</f>
        <v>1251</v>
      </c>
      <c r="S152" s="43">
        <f>ROUND(P152*I152, 2)</f>
        <v>0</v>
      </c>
      <c r="T152" s="43">
        <f>ROUND(I152*ROUND(Q152, 2), 2)</f>
        <v>0</v>
      </c>
      <c r="U152" s="43">
        <f>S152+T152</f>
        <v>0</v>
      </c>
      <c r="V152" s="9">
        <f>ROUND(P152 / 1.2, 2)</f>
        <v>0</v>
      </c>
      <c r="W152" s="9">
        <f>ROUND(Q152 / 1.2, 2)</f>
        <v>1042.5</v>
      </c>
      <c r="X152" s="9">
        <f>ROUND(R152 / 1.2, 2)</f>
        <v>1042.5</v>
      </c>
      <c r="Y152" s="9">
        <f t="shared" si="34"/>
        <v>0</v>
      </c>
      <c r="Z152" s="9">
        <f>ROUND(T152 / 1.2, 2)</f>
        <v>0</v>
      </c>
      <c r="AA152" s="9">
        <f>Y152+Z152</f>
        <v>0</v>
      </c>
      <c r="AD152" s="4">
        <v>303752466</v>
      </c>
      <c r="AE152" s="4">
        <v>16087569</v>
      </c>
      <c r="AG152" s="4" t="s">
        <v>466</v>
      </c>
      <c r="AH152" s="4" t="s">
        <v>467</v>
      </c>
      <c r="AI152" s="4" t="s">
        <v>247</v>
      </c>
    </row>
    <row r="153" spans="1:35" ht="54" x14ac:dyDescent="0.35">
      <c r="A153" s="44" t="s">
        <v>527</v>
      </c>
      <c r="B153" s="44" t="s">
        <v>463</v>
      </c>
      <c r="C153" s="45" t="s">
        <v>464</v>
      </c>
      <c r="D153" s="46"/>
      <c r="E153" s="46" t="s">
        <v>526</v>
      </c>
      <c r="F153" s="46" t="s">
        <v>56</v>
      </c>
      <c r="G153" s="47">
        <v>1</v>
      </c>
      <c r="H153" s="46"/>
      <c r="I153" s="47">
        <v>148.1</v>
      </c>
      <c r="J153" s="48">
        <v>0</v>
      </c>
      <c r="K153" s="48">
        <v>1251</v>
      </c>
      <c r="L153" s="48"/>
      <c r="M153" s="48">
        <v>0</v>
      </c>
      <c r="N153" s="48"/>
      <c r="O153" s="48"/>
      <c r="P153" s="48">
        <v>0</v>
      </c>
      <c r="Q153" s="48">
        <v>1251</v>
      </c>
      <c r="R153" s="48"/>
      <c r="S153" s="48">
        <v>0</v>
      </c>
      <c r="T153" s="48"/>
      <c r="U153" s="48"/>
      <c r="V153" s="9"/>
      <c r="W153" s="9">
        <f>ROUND(Q153 / 1.2, 2)</f>
        <v>1042.5</v>
      </c>
      <c r="X153" s="9">
        <f>ROUND(R153 / 1.2, 2)</f>
        <v>0</v>
      </c>
      <c r="Y153" s="9"/>
      <c r="Z153" s="9">
        <f>ROUND(T153 / 1.2, 2)</f>
        <v>0</v>
      </c>
      <c r="AA153" s="9"/>
      <c r="AD153" s="4">
        <v>204420458</v>
      </c>
      <c r="AE153" s="4">
        <v>16087569</v>
      </c>
      <c r="AG153" s="4" t="s">
        <v>466</v>
      </c>
      <c r="AH153" s="4" t="s">
        <v>467</v>
      </c>
      <c r="AI153" s="4"/>
    </row>
    <row r="154" spans="1:35" ht="36" x14ac:dyDescent="0.35">
      <c r="A154" s="38" t="s">
        <v>528</v>
      </c>
      <c r="B154" s="38"/>
      <c r="C154" s="49" t="s">
        <v>493</v>
      </c>
      <c r="D154" s="40"/>
      <c r="E154" s="40"/>
      <c r="F154" s="50" t="s">
        <v>81</v>
      </c>
      <c r="G154" s="51">
        <v>0.15</v>
      </c>
      <c r="H154" s="40"/>
      <c r="I154" s="52">
        <v>0</v>
      </c>
      <c r="J154" s="53">
        <v>88.8</v>
      </c>
      <c r="K154" s="54"/>
      <c r="L154" s="54"/>
      <c r="M154" s="53">
        <f t="shared" ref="M154:M161" si="35">ROUND(ROUND(J154, 2)*I154, 2)</f>
        <v>0</v>
      </c>
      <c r="N154" s="54"/>
      <c r="O154" s="54"/>
      <c r="P154" s="53">
        <v>88.8</v>
      </c>
      <c r="Q154" s="54"/>
      <c r="R154" s="54"/>
      <c r="S154" s="53">
        <f t="shared" ref="S154:S161" si="36">ROUND(ROUND(P154, 2)*I154, 2)</f>
        <v>0</v>
      </c>
      <c r="T154" s="54"/>
      <c r="U154" s="55"/>
      <c r="V154" s="9">
        <f t="shared" ref="V154:V161" si="37">ROUND(ROUND(P154, 2)/1.2, 2)</f>
        <v>74</v>
      </c>
      <c r="Y154" s="9">
        <f t="shared" ref="Y154:Y162" si="38">ROUND(S154 / 1.2, 2)</f>
        <v>0</v>
      </c>
      <c r="AD154" s="4" t="s">
        <v>529</v>
      </c>
      <c r="AE154" s="4" t="s">
        <v>530</v>
      </c>
      <c r="AF154" s="4" t="s">
        <v>496</v>
      </c>
    </row>
    <row r="155" spans="1:35" ht="36" x14ac:dyDescent="0.35">
      <c r="A155" s="44" t="s">
        <v>531</v>
      </c>
      <c r="B155" s="44"/>
      <c r="C155" s="56" t="s">
        <v>493</v>
      </c>
      <c r="D155" s="46"/>
      <c r="E155" s="46"/>
      <c r="F155" s="57" t="s">
        <v>81</v>
      </c>
      <c r="G155" s="58">
        <v>0.15</v>
      </c>
      <c r="H155" s="46"/>
      <c r="I155" s="58">
        <v>22.215</v>
      </c>
      <c r="J155" s="59">
        <v>88.8</v>
      </c>
      <c r="K155" s="60"/>
      <c r="L155" s="60"/>
      <c r="M155" s="59">
        <f t="shared" si="35"/>
        <v>1972.69</v>
      </c>
      <c r="N155" s="60"/>
      <c r="O155" s="60"/>
      <c r="P155" s="59">
        <v>88.8</v>
      </c>
      <c r="Q155" s="60"/>
      <c r="R155" s="60"/>
      <c r="S155" s="59">
        <f t="shared" si="36"/>
        <v>1972.69</v>
      </c>
      <c r="T155" s="60"/>
      <c r="U155" s="61"/>
      <c r="V155" s="9">
        <f t="shared" si="37"/>
        <v>74</v>
      </c>
      <c r="Y155" s="9">
        <f t="shared" si="38"/>
        <v>1643.91</v>
      </c>
      <c r="AD155" s="4" t="s">
        <v>532</v>
      </c>
      <c r="AE155" s="4" t="s">
        <v>530</v>
      </c>
      <c r="AF155" s="4" t="s">
        <v>496</v>
      </c>
    </row>
    <row r="156" spans="1:35" ht="18" x14ac:dyDescent="0.35">
      <c r="A156" s="38" t="s">
        <v>533</v>
      </c>
      <c r="B156" s="38"/>
      <c r="C156" s="49" t="s">
        <v>486</v>
      </c>
      <c r="D156" s="40"/>
      <c r="E156" s="40"/>
      <c r="F156" s="50" t="s">
        <v>81</v>
      </c>
      <c r="G156" s="51">
        <v>0.25</v>
      </c>
      <c r="H156" s="40"/>
      <c r="I156" s="62">
        <v>0</v>
      </c>
      <c r="J156" s="53">
        <v>40.270000000000003</v>
      </c>
      <c r="K156" s="54"/>
      <c r="L156" s="54"/>
      <c r="M156" s="53">
        <f t="shared" si="35"/>
        <v>0</v>
      </c>
      <c r="N156" s="54"/>
      <c r="O156" s="54"/>
      <c r="P156" s="53">
        <v>6</v>
      </c>
      <c r="Q156" s="54"/>
      <c r="R156" s="54"/>
      <c r="S156" s="53">
        <f t="shared" si="36"/>
        <v>0</v>
      </c>
      <c r="T156" s="54"/>
      <c r="U156" s="55"/>
      <c r="V156" s="9">
        <f t="shared" si="37"/>
        <v>5</v>
      </c>
      <c r="Y156" s="9">
        <f t="shared" si="38"/>
        <v>0</v>
      </c>
      <c r="AD156" s="4" t="s">
        <v>534</v>
      </c>
      <c r="AE156" s="4" t="s">
        <v>535</v>
      </c>
      <c r="AF156" s="4" t="s">
        <v>489</v>
      </c>
    </row>
    <row r="157" spans="1:35" ht="18" x14ac:dyDescent="0.35">
      <c r="A157" s="44" t="s">
        <v>536</v>
      </c>
      <c r="B157" s="44"/>
      <c r="C157" s="56" t="s">
        <v>486</v>
      </c>
      <c r="D157" s="46"/>
      <c r="E157" s="46"/>
      <c r="F157" s="57" t="s">
        <v>81</v>
      </c>
      <c r="G157" s="58">
        <v>0.25</v>
      </c>
      <c r="H157" s="46"/>
      <c r="I157" s="63">
        <v>37.024999999999999</v>
      </c>
      <c r="J157" s="59">
        <v>40.270000000000003</v>
      </c>
      <c r="K157" s="60"/>
      <c r="L157" s="60"/>
      <c r="M157" s="59">
        <f t="shared" si="35"/>
        <v>1491</v>
      </c>
      <c r="N157" s="60"/>
      <c r="O157" s="60"/>
      <c r="P157" s="59">
        <v>6</v>
      </c>
      <c r="Q157" s="60"/>
      <c r="R157" s="60"/>
      <c r="S157" s="59">
        <f t="shared" si="36"/>
        <v>222.15</v>
      </c>
      <c r="T157" s="60"/>
      <c r="U157" s="61"/>
      <c r="V157" s="9">
        <f t="shared" si="37"/>
        <v>5</v>
      </c>
      <c r="Y157" s="9">
        <f t="shared" si="38"/>
        <v>185.13</v>
      </c>
      <c r="AD157" s="4" t="s">
        <v>537</v>
      </c>
      <c r="AE157" s="4" t="s">
        <v>535</v>
      </c>
      <c r="AF157" s="4" t="s">
        <v>489</v>
      </c>
    </row>
    <row r="158" spans="1:35" ht="108" x14ac:dyDescent="0.35">
      <c r="A158" s="38" t="s">
        <v>538</v>
      </c>
      <c r="B158" s="38"/>
      <c r="C158" s="49" t="s">
        <v>539</v>
      </c>
      <c r="D158" s="40"/>
      <c r="E158" s="40" t="s">
        <v>540</v>
      </c>
      <c r="F158" s="50" t="s">
        <v>56</v>
      </c>
      <c r="G158" s="51">
        <v>1.07</v>
      </c>
      <c r="H158" s="40"/>
      <c r="I158" s="62">
        <v>0</v>
      </c>
      <c r="J158" s="53">
        <v>1809.15</v>
      </c>
      <c r="K158" s="54"/>
      <c r="L158" s="54"/>
      <c r="M158" s="53">
        <f t="shared" si="35"/>
        <v>0</v>
      </c>
      <c r="N158" s="54"/>
      <c r="O158" s="54"/>
      <c r="P158" s="53">
        <v>1083.5999999999999</v>
      </c>
      <c r="Q158" s="54"/>
      <c r="R158" s="54"/>
      <c r="S158" s="53">
        <f t="shared" si="36"/>
        <v>0</v>
      </c>
      <c r="T158" s="54"/>
      <c r="U158" s="55"/>
      <c r="V158" s="9">
        <f t="shared" si="37"/>
        <v>903</v>
      </c>
      <c r="Y158" s="9">
        <f t="shared" si="38"/>
        <v>0</v>
      </c>
      <c r="AD158" s="4" t="s">
        <v>541</v>
      </c>
      <c r="AE158" s="4" t="s">
        <v>542</v>
      </c>
      <c r="AF158" s="4" t="s">
        <v>543</v>
      </c>
    </row>
    <row r="159" spans="1:35" ht="108" x14ac:dyDescent="0.35">
      <c r="A159" s="44" t="s">
        <v>544</v>
      </c>
      <c r="B159" s="44"/>
      <c r="C159" s="56" t="s">
        <v>539</v>
      </c>
      <c r="D159" s="46"/>
      <c r="E159" s="46" t="s">
        <v>540</v>
      </c>
      <c r="F159" s="57" t="s">
        <v>56</v>
      </c>
      <c r="G159" s="58">
        <v>1.07</v>
      </c>
      <c r="H159" s="46"/>
      <c r="I159" s="63">
        <v>158.46700000000001</v>
      </c>
      <c r="J159" s="59">
        <v>1809.15</v>
      </c>
      <c r="K159" s="60"/>
      <c r="L159" s="60"/>
      <c r="M159" s="59">
        <f t="shared" si="35"/>
        <v>286690.57</v>
      </c>
      <c r="N159" s="60"/>
      <c r="O159" s="60"/>
      <c r="P159" s="59">
        <v>1083.5999999999999</v>
      </c>
      <c r="Q159" s="60"/>
      <c r="R159" s="60"/>
      <c r="S159" s="59">
        <f t="shared" si="36"/>
        <v>171714.84</v>
      </c>
      <c r="T159" s="60"/>
      <c r="U159" s="61"/>
      <c r="V159" s="9">
        <f t="shared" si="37"/>
        <v>903</v>
      </c>
      <c r="Y159" s="9">
        <f t="shared" si="38"/>
        <v>143095.70000000001</v>
      </c>
      <c r="AD159" s="4" t="s">
        <v>545</v>
      </c>
      <c r="AE159" s="4" t="s">
        <v>542</v>
      </c>
      <c r="AF159" s="4" t="s">
        <v>543</v>
      </c>
    </row>
    <row r="160" spans="1:35" ht="36" x14ac:dyDescent="0.35">
      <c r="A160" s="38" t="s">
        <v>546</v>
      </c>
      <c r="B160" s="38"/>
      <c r="C160" s="49" t="s">
        <v>470</v>
      </c>
      <c r="D160" s="40"/>
      <c r="E160" s="40" t="s">
        <v>471</v>
      </c>
      <c r="F160" s="50" t="s">
        <v>81</v>
      </c>
      <c r="G160" s="51">
        <v>1.2</v>
      </c>
      <c r="H160" s="40"/>
      <c r="I160" s="62">
        <v>0</v>
      </c>
      <c r="J160" s="53">
        <v>6.28</v>
      </c>
      <c r="K160" s="54"/>
      <c r="L160" s="54"/>
      <c r="M160" s="53">
        <f t="shared" si="35"/>
        <v>0</v>
      </c>
      <c r="N160" s="54"/>
      <c r="O160" s="54"/>
      <c r="P160" s="53">
        <v>6.28</v>
      </c>
      <c r="Q160" s="54"/>
      <c r="R160" s="54"/>
      <c r="S160" s="53">
        <f t="shared" si="36"/>
        <v>0</v>
      </c>
      <c r="T160" s="54"/>
      <c r="U160" s="55"/>
      <c r="V160" s="9">
        <f t="shared" si="37"/>
        <v>5.23</v>
      </c>
      <c r="Y160" s="9">
        <f t="shared" si="38"/>
        <v>0</v>
      </c>
      <c r="AD160" s="4" t="s">
        <v>547</v>
      </c>
      <c r="AE160" s="4" t="s">
        <v>548</v>
      </c>
      <c r="AF160" s="4" t="s">
        <v>474</v>
      </c>
    </row>
    <row r="161" spans="1:35" ht="36" x14ac:dyDescent="0.35">
      <c r="A161" s="44" t="s">
        <v>549</v>
      </c>
      <c r="B161" s="44"/>
      <c r="C161" s="56" t="s">
        <v>470</v>
      </c>
      <c r="D161" s="46"/>
      <c r="E161" s="46" t="s">
        <v>471</v>
      </c>
      <c r="F161" s="57" t="s">
        <v>81</v>
      </c>
      <c r="G161" s="58">
        <v>1.2</v>
      </c>
      <c r="H161" s="46"/>
      <c r="I161" s="63">
        <v>888.6</v>
      </c>
      <c r="J161" s="59">
        <v>6.28</v>
      </c>
      <c r="K161" s="60"/>
      <c r="L161" s="60"/>
      <c r="M161" s="59">
        <f t="shared" si="35"/>
        <v>5580.41</v>
      </c>
      <c r="N161" s="60"/>
      <c r="O161" s="60"/>
      <c r="P161" s="59">
        <v>6.28</v>
      </c>
      <c r="Q161" s="60"/>
      <c r="R161" s="60"/>
      <c r="S161" s="59">
        <f t="shared" si="36"/>
        <v>5580.41</v>
      </c>
      <c r="T161" s="60"/>
      <c r="U161" s="61"/>
      <c r="V161" s="9">
        <f t="shared" si="37"/>
        <v>5.23</v>
      </c>
      <c r="Y161" s="9">
        <f t="shared" si="38"/>
        <v>4650.34</v>
      </c>
      <c r="AD161" s="4" t="s">
        <v>550</v>
      </c>
      <c r="AE161" s="4" t="s">
        <v>548</v>
      </c>
      <c r="AF161" s="4" t="s">
        <v>474</v>
      </c>
    </row>
    <row r="162" spans="1:35" ht="36" x14ac:dyDescent="0.35">
      <c r="A162" s="38" t="s">
        <v>551</v>
      </c>
      <c r="B162" s="38" t="s">
        <v>552</v>
      </c>
      <c r="C162" s="39" t="s">
        <v>553</v>
      </c>
      <c r="D162" s="40" t="s">
        <v>554</v>
      </c>
      <c r="E162" s="40" t="s">
        <v>555</v>
      </c>
      <c r="F162" s="40" t="s">
        <v>56</v>
      </c>
      <c r="G162" s="41">
        <v>1</v>
      </c>
      <c r="H162" s="40"/>
      <c r="I162" s="42">
        <v>891.74</v>
      </c>
      <c r="J162" s="43">
        <f>IFERROR(ROUND(SUM(M164,M166,M168)/I162, 2),0)</f>
        <v>1608.47</v>
      </c>
      <c r="K162" s="43">
        <v>556</v>
      </c>
      <c r="L162" s="43">
        <f>J162+ROUND(K162, 2)</f>
        <v>2164.4700000000003</v>
      </c>
      <c r="M162" s="43">
        <f>ROUND(J162*I162, 2)</f>
        <v>1434337.04</v>
      </c>
      <c r="N162" s="43">
        <f>ROUND(I162*ROUND(K162, 2), 2)</f>
        <v>495807.44</v>
      </c>
      <c r="O162" s="43">
        <f>M162+N162</f>
        <v>1930144.48</v>
      </c>
      <c r="P162" s="43">
        <f>IFERROR(ROUND(SUM(S164,S166,S168)/I162, 2),0)</f>
        <v>1608.47</v>
      </c>
      <c r="Q162" s="43">
        <v>412</v>
      </c>
      <c r="R162" s="43">
        <f>P162+ROUND(Q162, 2)</f>
        <v>2020.47</v>
      </c>
      <c r="S162" s="43">
        <f>ROUND(P162*I162, 2)</f>
        <v>1434337.04</v>
      </c>
      <c r="T162" s="43">
        <f>ROUND(I162*ROUND(Q162, 2), 2)</f>
        <v>367396.88</v>
      </c>
      <c r="U162" s="43">
        <f>S162+T162</f>
        <v>1801733.92</v>
      </c>
      <c r="V162" s="9">
        <f>ROUND(P162 / 1.2, 2)</f>
        <v>1340.39</v>
      </c>
      <c r="W162" s="9">
        <f>ROUND(Q162 / 1.2, 2)</f>
        <v>343.33</v>
      </c>
      <c r="X162" s="9">
        <f>ROUND(R162 / 1.2, 2)</f>
        <v>1683.73</v>
      </c>
      <c r="Y162" s="9">
        <f t="shared" si="38"/>
        <v>1195280.8700000001</v>
      </c>
      <c r="Z162" s="9">
        <f>ROUND(T162 / 1.2, 2)</f>
        <v>306164.07</v>
      </c>
      <c r="AA162" s="9">
        <f>Y162+Z162</f>
        <v>1501444.9400000002</v>
      </c>
      <c r="AD162" s="4">
        <v>303752407</v>
      </c>
      <c r="AE162" s="4">
        <v>16075343</v>
      </c>
      <c r="AG162" s="4" t="s">
        <v>556</v>
      </c>
      <c r="AH162" s="4" t="s">
        <v>557</v>
      </c>
      <c r="AI162" s="4" t="s">
        <v>247</v>
      </c>
    </row>
    <row r="163" spans="1:35" ht="36" x14ac:dyDescent="0.35">
      <c r="A163" s="44" t="s">
        <v>558</v>
      </c>
      <c r="B163" s="44" t="s">
        <v>552</v>
      </c>
      <c r="C163" s="45" t="s">
        <v>553</v>
      </c>
      <c r="D163" s="46" t="s">
        <v>554</v>
      </c>
      <c r="E163" s="46" t="s">
        <v>555</v>
      </c>
      <c r="F163" s="46" t="s">
        <v>56</v>
      </c>
      <c r="G163" s="47">
        <v>1</v>
      </c>
      <c r="H163" s="46"/>
      <c r="I163" s="47">
        <v>900.7</v>
      </c>
      <c r="J163" s="48">
        <v>0</v>
      </c>
      <c r="K163" s="48">
        <v>412</v>
      </c>
      <c r="L163" s="48"/>
      <c r="M163" s="48">
        <v>0</v>
      </c>
      <c r="N163" s="48"/>
      <c r="O163" s="48"/>
      <c r="P163" s="48">
        <v>0</v>
      </c>
      <c r="Q163" s="48">
        <v>412</v>
      </c>
      <c r="R163" s="48"/>
      <c r="S163" s="48">
        <v>0</v>
      </c>
      <c r="T163" s="48"/>
      <c r="U163" s="48"/>
      <c r="V163" s="9"/>
      <c r="W163" s="9">
        <f>ROUND(Q163 / 1.2, 2)</f>
        <v>343.33</v>
      </c>
      <c r="X163" s="9">
        <f>ROUND(R163 / 1.2, 2)</f>
        <v>0</v>
      </c>
      <c r="Y163" s="9"/>
      <c r="Z163" s="9">
        <f>ROUND(T163 / 1.2, 2)</f>
        <v>0</v>
      </c>
      <c r="AA163" s="9"/>
      <c r="AD163" s="4">
        <v>204199105</v>
      </c>
      <c r="AE163" s="4">
        <v>16075343</v>
      </c>
      <c r="AG163" s="4" t="s">
        <v>556</v>
      </c>
      <c r="AH163" s="4" t="s">
        <v>557</v>
      </c>
      <c r="AI163" s="4"/>
    </row>
    <row r="164" spans="1:35" ht="18" x14ac:dyDescent="0.35">
      <c r="A164" s="38" t="s">
        <v>559</v>
      </c>
      <c r="B164" s="38"/>
      <c r="C164" s="49" t="s">
        <v>560</v>
      </c>
      <c r="D164" s="40"/>
      <c r="E164" s="40"/>
      <c r="F164" s="50" t="s">
        <v>81</v>
      </c>
      <c r="G164" s="51">
        <v>0.3</v>
      </c>
      <c r="H164" s="40"/>
      <c r="I164" s="52">
        <v>267.52199999999999</v>
      </c>
      <c r="J164" s="53">
        <v>341.05</v>
      </c>
      <c r="K164" s="54"/>
      <c r="L164" s="54"/>
      <c r="M164" s="53">
        <f t="shared" ref="M164:M169" si="39">ROUND(ROUND(J164, 2)*I164, 2)</f>
        <v>91238.38</v>
      </c>
      <c r="N164" s="54"/>
      <c r="O164" s="54"/>
      <c r="P164" s="53">
        <v>341.05</v>
      </c>
      <c r="Q164" s="54"/>
      <c r="R164" s="54"/>
      <c r="S164" s="53">
        <f t="shared" ref="S164:S169" si="40">ROUND(ROUND(P164, 2)*I164, 2)</f>
        <v>91238.38</v>
      </c>
      <c r="T164" s="54"/>
      <c r="U164" s="55"/>
      <c r="V164" s="9">
        <f t="shared" ref="V164:V169" si="41">ROUND(ROUND(P164, 2)/1.2, 2)</f>
        <v>284.20999999999998</v>
      </c>
      <c r="Y164" s="9">
        <f t="shared" ref="Y164:Y170" si="42">ROUND(S164 / 1.2, 2)</f>
        <v>76031.98</v>
      </c>
      <c r="AD164" s="4" t="s">
        <v>561</v>
      </c>
      <c r="AE164" s="4" t="s">
        <v>562</v>
      </c>
      <c r="AF164" s="4" t="s">
        <v>563</v>
      </c>
    </row>
    <row r="165" spans="1:35" ht="18" x14ac:dyDescent="0.35">
      <c r="A165" s="44" t="s">
        <v>564</v>
      </c>
      <c r="B165" s="44"/>
      <c r="C165" s="56" t="s">
        <v>560</v>
      </c>
      <c r="D165" s="46"/>
      <c r="E165" s="46"/>
      <c r="F165" s="57" t="s">
        <v>81</v>
      </c>
      <c r="G165" s="58">
        <v>0.3</v>
      </c>
      <c r="H165" s="46"/>
      <c r="I165" s="58">
        <v>270.20999999999998</v>
      </c>
      <c r="J165" s="59">
        <v>341.05</v>
      </c>
      <c r="K165" s="60"/>
      <c r="L165" s="60"/>
      <c r="M165" s="59">
        <f t="shared" si="39"/>
        <v>92155.12</v>
      </c>
      <c r="N165" s="60"/>
      <c r="O165" s="60"/>
      <c r="P165" s="59">
        <v>341.05</v>
      </c>
      <c r="Q165" s="60"/>
      <c r="R165" s="60"/>
      <c r="S165" s="59">
        <f t="shared" si="40"/>
        <v>92155.12</v>
      </c>
      <c r="T165" s="60"/>
      <c r="U165" s="61"/>
      <c r="V165" s="9">
        <f t="shared" si="41"/>
        <v>284.20999999999998</v>
      </c>
      <c r="Y165" s="9">
        <f t="shared" si="42"/>
        <v>76795.929999999993</v>
      </c>
      <c r="AD165" s="4" t="s">
        <v>565</v>
      </c>
      <c r="AE165" s="4" t="s">
        <v>562</v>
      </c>
      <c r="AF165" s="4" t="s">
        <v>563</v>
      </c>
    </row>
    <row r="166" spans="1:35" ht="72" x14ac:dyDescent="0.35">
      <c r="A166" s="38" t="s">
        <v>566</v>
      </c>
      <c r="B166" s="38"/>
      <c r="C166" s="49" t="s">
        <v>567</v>
      </c>
      <c r="D166" s="40"/>
      <c r="E166" s="40"/>
      <c r="F166" s="50" t="s">
        <v>129</v>
      </c>
      <c r="G166" s="51">
        <v>1</v>
      </c>
      <c r="H166" s="40"/>
      <c r="I166" s="62">
        <v>891.74</v>
      </c>
      <c r="J166" s="53">
        <v>33.25</v>
      </c>
      <c r="K166" s="54"/>
      <c r="L166" s="54"/>
      <c r="M166" s="53">
        <f t="shared" si="39"/>
        <v>29650.36</v>
      </c>
      <c r="N166" s="54"/>
      <c r="O166" s="54"/>
      <c r="P166" s="53">
        <v>33.25</v>
      </c>
      <c r="Q166" s="54"/>
      <c r="R166" s="54"/>
      <c r="S166" s="53">
        <f t="shared" si="40"/>
        <v>29650.36</v>
      </c>
      <c r="T166" s="54"/>
      <c r="U166" s="55"/>
      <c r="V166" s="9">
        <f t="shared" si="41"/>
        <v>27.71</v>
      </c>
      <c r="Y166" s="9">
        <f t="shared" si="42"/>
        <v>24708.63</v>
      </c>
      <c r="AD166" s="4" t="s">
        <v>568</v>
      </c>
      <c r="AE166" s="4" t="s">
        <v>569</v>
      </c>
      <c r="AF166" s="4" t="s">
        <v>570</v>
      </c>
    </row>
    <row r="167" spans="1:35" ht="72" x14ac:dyDescent="0.35">
      <c r="A167" s="44" t="s">
        <v>571</v>
      </c>
      <c r="B167" s="44"/>
      <c r="C167" s="56" t="s">
        <v>567</v>
      </c>
      <c r="D167" s="46"/>
      <c r="E167" s="46"/>
      <c r="F167" s="57" t="s">
        <v>129</v>
      </c>
      <c r="G167" s="58">
        <v>1</v>
      </c>
      <c r="H167" s="46"/>
      <c r="I167" s="63">
        <v>900.7</v>
      </c>
      <c r="J167" s="59">
        <v>33.25</v>
      </c>
      <c r="K167" s="60"/>
      <c r="L167" s="60"/>
      <c r="M167" s="59">
        <f t="shared" si="39"/>
        <v>29948.28</v>
      </c>
      <c r="N167" s="60"/>
      <c r="O167" s="60"/>
      <c r="P167" s="59">
        <v>33.25</v>
      </c>
      <c r="Q167" s="60"/>
      <c r="R167" s="60"/>
      <c r="S167" s="59">
        <f t="shared" si="40"/>
        <v>29948.28</v>
      </c>
      <c r="T167" s="60"/>
      <c r="U167" s="61"/>
      <c r="V167" s="9">
        <f t="shared" si="41"/>
        <v>27.71</v>
      </c>
      <c r="Y167" s="9">
        <f t="shared" si="42"/>
        <v>24956.9</v>
      </c>
      <c r="AD167" s="4" t="s">
        <v>572</v>
      </c>
      <c r="AE167" s="4" t="s">
        <v>569</v>
      </c>
      <c r="AF167" s="4" t="s">
        <v>570</v>
      </c>
    </row>
    <row r="168" spans="1:35" ht="54" x14ac:dyDescent="0.35">
      <c r="A168" s="38" t="s">
        <v>573</v>
      </c>
      <c r="B168" s="38"/>
      <c r="C168" s="49" t="s">
        <v>574</v>
      </c>
      <c r="D168" s="40"/>
      <c r="E168" s="40"/>
      <c r="F168" s="50" t="s">
        <v>56</v>
      </c>
      <c r="G168" s="51">
        <v>1.1000000000000001</v>
      </c>
      <c r="H168" s="40"/>
      <c r="I168" s="62">
        <v>980.91399999999999</v>
      </c>
      <c r="J168" s="53">
        <v>1339</v>
      </c>
      <c r="K168" s="54"/>
      <c r="L168" s="54"/>
      <c r="M168" s="53">
        <f t="shared" si="39"/>
        <v>1313443.8500000001</v>
      </c>
      <c r="N168" s="54"/>
      <c r="O168" s="54"/>
      <c r="P168" s="53">
        <v>1339</v>
      </c>
      <c r="Q168" s="54"/>
      <c r="R168" s="54"/>
      <c r="S168" s="53">
        <f t="shared" si="40"/>
        <v>1313443.8500000001</v>
      </c>
      <c r="T168" s="54"/>
      <c r="U168" s="55"/>
      <c r="V168" s="9">
        <f t="shared" si="41"/>
        <v>1115.83</v>
      </c>
      <c r="Y168" s="9">
        <f t="shared" si="42"/>
        <v>1094536.54</v>
      </c>
      <c r="AD168" s="4" t="s">
        <v>575</v>
      </c>
      <c r="AE168" s="4" t="s">
        <v>576</v>
      </c>
      <c r="AF168" s="4" t="s">
        <v>577</v>
      </c>
    </row>
    <row r="169" spans="1:35" ht="54" x14ac:dyDescent="0.35">
      <c r="A169" s="44" t="s">
        <v>578</v>
      </c>
      <c r="B169" s="44"/>
      <c r="C169" s="56" t="s">
        <v>574</v>
      </c>
      <c r="D169" s="46"/>
      <c r="E169" s="46"/>
      <c r="F169" s="57" t="s">
        <v>56</v>
      </c>
      <c r="G169" s="58">
        <v>1.1000000000000001</v>
      </c>
      <c r="H169" s="46"/>
      <c r="I169" s="63">
        <v>990.77</v>
      </c>
      <c r="J169" s="59">
        <v>1339</v>
      </c>
      <c r="K169" s="60"/>
      <c r="L169" s="60"/>
      <c r="M169" s="59">
        <f t="shared" si="39"/>
        <v>1326641.03</v>
      </c>
      <c r="N169" s="60"/>
      <c r="O169" s="60"/>
      <c r="P169" s="59">
        <v>1339</v>
      </c>
      <c r="Q169" s="60"/>
      <c r="R169" s="60"/>
      <c r="S169" s="59">
        <f t="shared" si="40"/>
        <v>1326641.03</v>
      </c>
      <c r="T169" s="60"/>
      <c r="U169" s="61"/>
      <c r="V169" s="9">
        <f t="shared" si="41"/>
        <v>1115.83</v>
      </c>
      <c r="Y169" s="9">
        <f t="shared" si="42"/>
        <v>1105534.19</v>
      </c>
      <c r="AD169" s="4" t="s">
        <v>579</v>
      </c>
      <c r="AE169" s="4" t="s">
        <v>576</v>
      </c>
      <c r="AF169" s="4" t="s">
        <v>577</v>
      </c>
    </row>
    <row r="170" spans="1:35" ht="18" x14ac:dyDescent="0.35">
      <c r="A170" s="38" t="s">
        <v>580</v>
      </c>
      <c r="B170" s="38" t="s">
        <v>581</v>
      </c>
      <c r="C170" s="39" t="s">
        <v>582</v>
      </c>
      <c r="D170" s="40"/>
      <c r="E170" s="40" t="s">
        <v>583</v>
      </c>
      <c r="F170" s="40" t="s">
        <v>129</v>
      </c>
      <c r="G170" s="41">
        <v>1</v>
      </c>
      <c r="H170" s="40"/>
      <c r="I170" s="42">
        <v>0</v>
      </c>
      <c r="J170" s="43">
        <f>IFERROR(ROUND(SUM(M172,M174)/I170, 2),0)</f>
        <v>0</v>
      </c>
      <c r="K170" s="43">
        <v>200</v>
      </c>
      <c r="L170" s="43">
        <f>J170+ROUND(K170, 2)</f>
        <v>200</v>
      </c>
      <c r="M170" s="43">
        <f>ROUND(J170*I170, 2)</f>
        <v>0</v>
      </c>
      <c r="N170" s="43">
        <f>ROUND(I170*ROUND(K170, 2), 2)</f>
        <v>0</v>
      </c>
      <c r="O170" s="43">
        <f>M170+N170</f>
        <v>0</v>
      </c>
      <c r="P170" s="43">
        <f>IFERROR(ROUND(SUM(S172,S174)/I170, 2),0)</f>
        <v>0</v>
      </c>
      <c r="Q170" s="43">
        <v>200</v>
      </c>
      <c r="R170" s="43">
        <f>P170+ROUND(Q170, 2)</f>
        <v>200</v>
      </c>
      <c r="S170" s="43">
        <f>ROUND(P170*I170, 2)</f>
        <v>0</v>
      </c>
      <c r="T170" s="43">
        <f>ROUND(I170*ROUND(Q170, 2), 2)</f>
        <v>0</v>
      </c>
      <c r="U170" s="43">
        <f>S170+T170</f>
        <v>0</v>
      </c>
      <c r="V170" s="9">
        <f>ROUND(P170 / 1.2, 2)</f>
        <v>0</v>
      </c>
      <c r="W170" s="9">
        <f>ROUND(Q170 / 1.2, 2)</f>
        <v>166.67</v>
      </c>
      <c r="X170" s="9">
        <f>ROUND(R170 / 1.2, 2)</f>
        <v>166.67</v>
      </c>
      <c r="Y170" s="9">
        <f t="shared" si="42"/>
        <v>0</v>
      </c>
      <c r="Z170" s="9">
        <f>ROUND(T170 / 1.2, 2)</f>
        <v>0</v>
      </c>
      <c r="AA170" s="9">
        <f>Y170+Z170</f>
        <v>0</v>
      </c>
      <c r="AD170" s="4">
        <v>303752409</v>
      </c>
      <c r="AE170" s="4">
        <v>16076862</v>
      </c>
      <c r="AG170" s="4" t="s">
        <v>584</v>
      </c>
      <c r="AH170" s="4" t="s">
        <v>585</v>
      </c>
      <c r="AI170" s="4" t="s">
        <v>247</v>
      </c>
    </row>
    <row r="171" spans="1:35" ht="18" x14ac:dyDescent="0.35">
      <c r="A171" s="44" t="s">
        <v>586</v>
      </c>
      <c r="B171" s="44" t="s">
        <v>581</v>
      </c>
      <c r="C171" s="45" t="s">
        <v>582</v>
      </c>
      <c r="D171" s="46"/>
      <c r="E171" s="46" t="s">
        <v>583</v>
      </c>
      <c r="F171" s="46" t="s">
        <v>129</v>
      </c>
      <c r="G171" s="47">
        <v>1</v>
      </c>
      <c r="H171" s="46"/>
      <c r="I171" s="47">
        <v>900.7</v>
      </c>
      <c r="J171" s="48">
        <v>0</v>
      </c>
      <c r="K171" s="48">
        <v>200</v>
      </c>
      <c r="L171" s="48"/>
      <c r="M171" s="48">
        <v>0</v>
      </c>
      <c r="N171" s="48"/>
      <c r="O171" s="48"/>
      <c r="P171" s="48">
        <v>0</v>
      </c>
      <c r="Q171" s="48">
        <v>200</v>
      </c>
      <c r="R171" s="48"/>
      <c r="S171" s="48">
        <v>0</v>
      </c>
      <c r="T171" s="48"/>
      <c r="U171" s="48"/>
      <c r="V171" s="9"/>
      <c r="W171" s="9">
        <f>ROUND(Q171 / 1.2, 2)</f>
        <v>166.67</v>
      </c>
      <c r="X171" s="9">
        <f>ROUND(R171 / 1.2, 2)</f>
        <v>0</v>
      </c>
      <c r="Y171" s="9"/>
      <c r="Z171" s="9">
        <f>ROUND(T171 / 1.2, 2)</f>
        <v>0</v>
      </c>
      <c r="AA171" s="9"/>
      <c r="AD171" s="4">
        <v>204199107</v>
      </c>
      <c r="AE171" s="4">
        <v>16076862</v>
      </c>
      <c r="AG171" s="4" t="s">
        <v>584</v>
      </c>
      <c r="AH171" s="4" t="s">
        <v>585</v>
      </c>
      <c r="AI171" s="4"/>
    </row>
    <row r="172" spans="1:35" ht="36" x14ac:dyDescent="0.35">
      <c r="A172" s="38" t="s">
        <v>587</v>
      </c>
      <c r="B172" s="38"/>
      <c r="C172" s="49" t="s">
        <v>588</v>
      </c>
      <c r="D172" s="40"/>
      <c r="E172" s="40"/>
      <c r="F172" s="50" t="s">
        <v>129</v>
      </c>
      <c r="G172" s="51">
        <v>1.05</v>
      </c>
      <c r="H172" s="40"/>
      <c r="I172" s="62">
        <v>0</v>
      </c>
      <c r="J172" s="53">
        <v>90.97</v>
      </c>
      <c r="K172" s="54"/>
      <c r="L172" s="54"/>
      <c r="M172" s="53">
        <f>ROUND(ROUND(J172, 2)*I172, 2)</f>
        <v>0</v>
      </c>
      <c r="N172" s="54"/>
      <c r="O172" s="54"/>
      <c r="P172" s="53">
        <v>90.97</v>
      </c>
      <c r="Q172" s="54"/>
      <c r="R172" s="54"/>
      <c r="S172" s="53">
        <f>ROUND(ROUND(P172, 2)*I172, 2)</f>
        <v>0</v>
      </c>
      <c r="T172" s="54"/>
      <c r="U172" s="55"/>
      <c r="V172" s="9">
        <f>ROUND(ROUND(P172, 2)/1.2, 2)</f>
        <v>75.81</v>
      </c>
      <c r="Y172" s="9">
        <f>ROUND(S172 / 1.2, 2)</f>
        <v>0</v>
      </c>
      <c r="AD172" s="4" t="s">
        <v>589</v>
      </c>
      <c r="AE172" s="4" t="s">
        <v>590</v>
      </c>
      <c r="AF172" s="4" t="s">
        <v>591</v>
      </c>
    </row>
    <row r="173" spans="1:35" ht="36" x14ac:dyDescent="0.35">
      <c r="A173" s="44" t="s">
        <v>592</v>
      </c>
      <c r="B173" s="44"/>
      <c r="C173" s="56" t="s">
        <v>588</v>
      </c>
      <c r="D173" s="46"/>
      <c r="E173" s="46"/>
      <c r="F173" s="57" t="s">
        <v>129</v>
      </c>
      <c r="G173" s="58">
        <v>1.05</v>
      </c>
      <c r="H173" s="46"/>
      <c r="I173" s="63">
        <v>945.73500000000001</v>
      </c>
      <c r="J173" s="59">
        <v>90.97</v>
      </c>
      <c r="K173" s="60"/>
      <c r="L173" s="60"/>
      <c r="M173" s="59">
        <f>ROUND(ROUND(J173, 2)*I173, 2)</f>
        <v>86033.51</v>
      </c>
      <c r="N173" s="60"/>
      <c r="O173" s="60"/>
      <c r="P173" s="59">
        <v>90.97</v>
      </c>
      <c r="Q173" s="60"/>
      <c r="R173" s="60"/>
      <c r="S173" s="59">
        <f>ROUND(ROUND(P173, 2)*I173, 2)</f>
        <v>86033.51</v>
      </c>
      <c r="T173" s="60"/>
      <c r="U173" s="61"/>
      <c r="V173" s="9">
        <f>ROUND(ROUND(P173, 2)/1.2, 2)</f>
        <v>75.81</v>
      </c>
      <c r="Y173" s="9">
        <f>ROUND(S173 / 1.2, 2)</f>
        <v>71694.59</v>
      </c>
      <c r="AD173" s="4" t="s">
        <v>593</v>
      </c>
      <c r="AE173" s="4" t="s">
        <v>590</v>
      </c>
      <c r="AF173" s="4" t="s">
        <v>591</v>
      </c>
    </row>
    <row r="174" spans="1:35" ht="18" x14ac:dyDescent="0.35">
      <c r="A174" s="38" t="s">
        <v>594</v>
      </c>
      <c r="B174" s="38"/>
      <c r="C174" s="49" t="s">
        <v>595</v>
      </c>
      <c r="D174" s="40"/>
      <c r="E174" s="40"/>
      <c r="F174" s="50" t="s">
        <v>103</v>
      </c>
      <c r="G174" s="65">
        <v>0.09</v>
      </c>
      <c r="H174" s="40"/>
      <c r="I174" s="52">
        <v>0</v>
      </c>
      <c r="J174" s="53">
        <v>100</v>
      </c>
      <c r="K174" s="54"/>
      <c r="L174" s="54"/>
      <c r="M174" s="53">
        <f>ROUND(ROUND(J174, 2)*I174, 2)</f>
        <v>0</v>
      </c>
      <c r="N174" s="54"/>
      <c r="O174" s="54"/>
      <c r="P174" s="53">
        <v>100</v>
      </c>
      <c r="Q174" s="54"/>
      <c r="R174" s="54"/>
      <c r="S174" s="53">
        <f>ROUND(ROUND(P174, 2)*I174, 2)</f>
        <v>0</v>
      </c>
      <c r="T174" s="54"/>
      <c r="U174" s="55"/>
      <c r="V174" s="9">
        <f>ROUND(ROUND(P174, 2)/1.2, 2)</f>
        <v>83.33</v>
      </c>
      <c r="Y174" s="9">
        <f>ROUND(S174 / 1.2, 2)</f>
        <v>0</v>
      </c>
      <c r="AD174" s="4" t="s">
        <v>596</v>
      </c>
      <c r="AE174" s="4" t="s">
        <v>597</v>
      </c>
      <c r="AF174" s="4" t="s">
        <v>598</v>
      </c>
    </row>
    <row r="175" spans="1:35" ht="18" x14ac:dyDescent="0.35">
      <c r="A175" s="44" t="s">
        <v>599</v>
      </c>
      <c r="B175" s="44"/>
      <c r="C175" s="56" t="s">
        <v>595</v>
      </c>
      <c r="D175" s="46"/>
      <c r="E175" s="46"/>
      <c r="F175" s="57" t="s">
        <v>103</v>
      </c>
      <c r="G175" s="66">
        <v>0.09</v>
      </c>
      <c r="H175" s="46"/>
      <c r="I175" s="58">
        <v>81.063000000000002</v>
      </c>
      <c r="J175" s="59">
        <v>100</v>
      </c>
      <c r="K175" s="60"/>
      <c r="L175" s="60"/>
      <c r="M175" s="59">
        <f>ROUND(ROUND(J175, 2)*I175, 2)</f>
        <v>8106.3</v>
      </c>
      <c r="N175" s="60"/>
      <c r="O175" s="60"/>
      <c r="P175" s="59">
        <v>100</v>
      </c>
      <c r="Q175" s="60"/>
      <c r="R175" s="60"/>
      <c r="S175" s="59">
        <f>ROUND(ROUND(P175, 2)*I175, 2)</f>
        <v>8106.3</v>
      </c>
      <c r="T175" s="60"/>
      <c r="U175" s="61"/>
      <c r="V175" s="9">
        <f>ROUND(ROUND(P175, 2)/1.2, 2)</f>
        <v>83.33</v>
      </c>
      <c r="Y175" s="9">
        <f>ROUND(S175 / 1.2, 2)</f>
        <v>6755.25</v>
      </c>
      <c r="AD175" s="4" t="s">
        <v>600</v>
      </c>
      <c r="AE175" s="4" t="s">
        <v>597</v>
      </c>
      <c r="AF175" s="4" t="s">
        <v>598</v>
      </c>
    </row>
    <row r="176" spans="1:35" ht="54" x14ac:dyDescent="0.35">
      <c r="A176" s="38" t="s">
        <v>601</v>
      </c>
      <c r="B176" s="38" t="s">
        <v>602</v>
      </c>
      <c r="C176" s="39" t="s">
        <v>603</v>
      </c>
      <c r="D176" s="40"/>
      <c r="E176" s="40" t="s">
        <v>604</v>
      </c>
      <c r="F176" s="40" t="s">
        <v>129</v>
      </c>
      <c r="G176" s="41">
        <v>1</v>
      </c>
      <c r="H176" s="40"/>
      <c r="I176" s="42">
        <v>0</v>
      </c>
      <c r="J176" s="43">
        <f>IFERROR(ROUND(SUM(M178,M180,M182,M184)/I176, 2),0)</f>
        <v>0</v>
      </c>
      <c r="K176" s="43">
        <v>411</v>
      </c>
      <c r="L176" s="43">
        <f>J176+ROUND(K176, 2)</f>
        <v>411</v>
      </c>
      <c r="M176" s="43">
        <f>ROUND(J176*I176, 2)</f>
        <v>0</v>
      </c>
      <c r="N176" s="43">
        <f>ROUND(I176*ROUND(K176, 2), 2)</f>
        <v>0</v>
      </c>
      <c r="O176" s="43">
        <f>M176+N176</f>
        <v>0</v>
      </c>
      <c r="P176" s="43">
        <f>IFERROR(ROUND(SUM(S178,S180,S182,S184)/I176, 2),0)</f>
        <v>0</v>
      </c>
      <c r="Q176" s="43">
        <v>374</v>
      </c>
      <c r="R176" s="43">
        <f>P176+ROUND(Q176, 2)</f>
        <v>374</v>
      </c>
      <c r="S176" s="43">
        <f>ROUND(P176*I176, 2)</f>
        <v>0</v>
      </c>
      <c r="T176" s="43">
        <f>ROUND(I176*ROUND(Q176, 2), 2)</f>
        <v>0</v>
      </c>
      <c r="U176" s="43">
        <f>S176+T176</f>
        <v>0</v>
      </c>
      <c r="V176" s="9">
        <f>ROUND(P176 / 1.2, 2)</f>
        <v>0</v>
      </c>
      <c r="W176" s="9">
        <f>ROUND(Q176 / 1.2, 2)</f>
        <v>311.67</v>
      </c>
      <c r="X176" s="9">
        <f>ROUND(R176 / 1.2, 2)</f>
        <v>311.67</v>
      </c>
      <c r="Y176" s="9">
        <f>ROUND(S176 / 1.2, 2)</f>
        <v>0</v>
      </c>
      <c r="Z176" s="9">
        <f>ROUND(T176 / 1.2, 2)</f>
        <v>0</v>
      </c>
      <c r="AA176" s="9">
        <f>Y176+Z176</f>
        <v>0</v>
      </c>
      <c r="AD176" s="4">
        <v>303752411</v>
      </c>
      <c r="AE176" s="4">
        <v>16082192</v>
      </c>
      <c r="AG176" s="4" t="s">
        <v>605</v>
      </c>
      <c r="AH176" s="4" t="s">
        <v>606</v>
      </c>
      <c r="AI176" s="4" t="s">
        <v>247</v>
      </c>
    </row>
    <row r="177" spans="1:35" ht="54" x14ac:dyDescent="0.35">
      <c r="A177" s="44" t="s">
        <v>607</v>
      </c>
      <c r="B177" s="44" t="s">
        <v>602</v>
      </c>
      <c r="C177" s="45" t="s">
        <v>603</v>
      </c>
      <c r="D177" s="46"/>
      <c r="E177" s="46" t="s">
        <v>604</v>
      </c>
      <c r="F177" s="46" t="s">
        <v>129</v>
      </c>
      <c r="G177" s="47">
        <v>1</v>
      </c>
      <c r="H177" s="46"/>
      <c r="I177" s="47">
        <v>125.7</v>
      </c>
      <c r="J177" s="48">
        <v>0</v>
      </c>
      <c r="K177" s="48">
        <v>374</v>
      </c>
      <c r="L177" s="48"/>
      <c r="M177" s="48">
        <v>0</v>
      </c>
      <c r="N177" s="48"/>
      <c r="O177" s="48"/>
      <c r="P177" s="48">
        <v>0</v>
      </c>
      <c r="Q177" s="48">
        <v>374</v>
      </c>
      <c r="R177" s="48"/>
      <c r="S177" s="48">
        <v>0</v>
      </c>
      <c r="T177" s="48"/>
      <c r="U177" s="48"/>
      <c r="V177" s="9"/>
      <c r="W177" s="9">
        <f>ROUND(Q177 / 1.2, 2)</f>
        <v>311.67</v>
      </c>
      <c r="X177" s="9">
        <f>ROUND(R177 / 1.2, 2)</f>
        <v>0</v>
      </c>
      <c r="Y177" s="9"/>
      <c r="Z177" s="9">
        <f>ROUND(T177 / 1.2, 2)</f>
        <v>0</v>
      </c>
      <c r="AA177" s="9"/>
      <c r="AD177" s="4">
        <v>204396870</v>
      </c>
      <c r="AE177" s="4">
        <v>16082192</v>
      </c>
      <c r="AG177" s="4" t="s">
        <v>605</v>
      </c>
      <c r="AH177" s="4" t="s">
        <v>606</v>
      </c>
      <c r="AI177" s="4"/>
    </row>
    <row r="178" spans="1:35" ht="108" x14ac:dyDescent="0.35">
      <c r="A178" s="38" t="s">
        <v>608</v>
      </c>
      <c r="B178" s="38"/>
      <c r="C178" s="49" t="s">
        <v>609</v>
      </c>
      <c r="D178" s="40"/>
      <c r="E178" s="40" t="s">
        <v>610</v>
      </c>
      <c r="F178" s="50" t="s">
        <v>103</v>
      </c>
      <c r="G178" s="51">
        <v>1.84</v>
      </c>
      <c r="H178" s="40"/>
      <c r="I178" s="52">
        <v>0</v>
      </c>
      <c r="J178" s="53">
        <v>196</v>
      </c>
      <c r="K178" s="54"/>
      <c r="L178" s="54"/>
      <c r="M178" s="53">
        <f t="shared" ref="M178:M185" si="43">ROUND(ROUND(J178, 2)*I178, 2)</f>
        <v>0</v>
      </c>
      <c r="N178" s="54"/>
      <c r="O178" s="54"/>
      <c r="P178" s="53">
        <v>196</v>
      </c>
      <c r="Q178" s="54"/>
      <c r="R178" s="54"/>
      <c r="S178" s="53">
        <f t="shared" ref="S178:S185" si="44">ROUND(ROUND(P178, 2)*I178, 2)</f>
        <v>0</v>
      </c>
      <c r="T178" s="54"/>
      <c r="U178" s="55"/>
      <c r="V178" s="9">
        <f t="shared" ref="V178:V185" si="45">ROUND(ROUND(P178, 2)/1.2, 2)</f>
        <v>163.33000000000001</v>
      </c>
      <c r="Y178" s="9">
        <f t="shared" ref="Y178:Y186" si="46">ROUND(S178 / 1.2, 2)</f>
        <v>0</v>
      </c>
      <c r="AD178" s="4" t="s">
        <v>611</v>
      </c>
      <c r="AE178" s="4" t="s">
        <v>612</v>
      </c>
      <c r="AF178" s="4" t="s">
        <v>613</v>
      </c>
    </row>
    <row r="179" spans="1:35" ht="108" x14ac:dyDescent="0.35">
      <c r="A179" s="44" t="s">
        <v>614</v>
      </c>
      <c r="B179" s="44"/>
      <c r="C179" s="56" t="s">
        <v>609</v>
      </c>
      <c r="D179" s="46"/>
      <c r="E179" s="46" t="s">
        <v>610</v>
      </c>
      <c r="F179" s="57" t="s">
        <v>103</v>
      </c>
      <c r="G179" s="58">
        <v>1.84</v>
      </c>
      <c r="H179" s="46"/>
      <c r="I179" s="58">
        <v>231.28800000000001</v>
      </c>
      <c r="J179" s="59">
        <v>196</v>
      </c>
      <c r="K179" s="60"/>
      <c r="L179" s="60"/>
      <c r="M179" s="59">
        <f t="shared" si="43"/>
        <v>45332.45</v>
      </c>
      <c r="N179" s="60"/>
      <c r="O179" s="60"/>
      <c r="P179" s="59">
        <v>196</v>
      </c>
      <c r="Q179" s="60"/>
      <c r="R179" s="60"/>
      <c r="S179" s="59">
        <f t="shared" si="44"/>
        <v>45332.45</v>
      </c>
      <c r="T179" s="60"/>
      <c r="U179" s="61"/>
      <c r="V179" s="9">
        <f t="shared" si="45"/>
        <v>163.33000000000001</v>
      </c>
      <c r="Y179" s="9">
        <f t="shared" si="46"/>
        <v>37777.040000000001</v>
      </c>
      <c r="AD179" s="4" t="s">
        <v>615</v>
      </c>
      <c r="AE179" s="4" t="s">
        <v>612</v>
      </c>
      <c r="AF179" s="4" t="s">
        <v>613</v>
      </c>
    </row>
    <row r="180" spans="1:35" ht="36" x14ac:dyDescent="0.35">
      <c r="A180" s="38" t="s">
        <v>616</v>
      </c>
      <c r="B180" s="38"/>
      <c r="C180" s="49" t="s">
        <v>617</v>
      </c>
      <c r="D180" s="40"/>
      <c r="E180" s="40"/>
      <c r="F180" s="50" t="s">
        <v>81</v>
      </c>
      <c r="G180" s="51">
        <v>0.7</v>
      </c>
      <c r="H180" s="40"/>
      <c r="I180" s="62">
        <v>0</v>
      </c>
      <c r="J180" s="53">
        <v>6.28</v>
      </c>
      <c r="K180" s="54"/>
      <c r="L180" s="54"/>
      <c r="M180" s="53">
        <f t="shared" si="43"/>
        <v>0</v>
      </c>
      <c r="N180" s="54"/>
      <c r="O180" s="54"/>
      <c r="P180" s="53">
        <v>6.28</v>
      </c>
      <c r="Q180" s="54"/>
      <c r="R180" s="54"/>
      <c r="S180" s="53">
        <f t="shared" si="44"/>
        <v>0</v>
      </c>
      <c r="T180" s="54"/>
      <c r="U180" s="55"/>
      <c r="V180" s="9">
        <f t="shared" si="45"/>
        <v>5.23</v>
      </c>
      <c r="Y180" s="9">
        <f t="shared" si="46"/>
        <v>0</v>
      </c>
      <c r="AD180" s="4" t="s">
        <v>618</v>
      </c>
      <c r="AE180" s="4" t="s">
        <v>619</v>
      </c>
      <c r="AF180" s="4" t="s">
        <v>620</v>
      </c>
    </row>
    <row r="181" spans="1:35" ht="36" x14ac:dyDescent="0.35">
      <c r="A181" s="44" t="s">
        <v>621</v>
      </c>
      <c r="B181" s="44"/>
      <c r="C181" s="56" t="s">
        <v>617</v>
      </c>
      <c r="D181" s="46"/>
      <c r="E181" s="46"/>
      <c r="F181" s="57" t="s">
        <v>81</v>
      </c>
      <c r="G181" s="58">
        <v>0.7</v>
      </c>
      <c r="H181" s="46"/>
      <c r="I181" s="63">
        <v>87.99</v>
      </c>
      <c r="J181" s="59">
        <v>6.28</v>
      </c>
      <c r="K181" s="60"/>
      <c r="L181" s="60"/>
      <c r="M181" s="59">
        <f t="shared" si="43"/>
        <v>552.58000000000004</v>
      </c>
      <c r="N181" s="60"/>
      <c r="O181" s="60"/>
      <c r="P181" s="59">
        <v>6.28</v>
      </c>
      <c r="Q181" s="60"/>
      <c r="R181" s="60"/>
      <c r="S181" s="59">
        <f t="shared" si="44"/>
        <v>552.58000000000004</v>
      </c>
      <c r="T181" s="60"/>
      <c r="U181" s="61"/>
      <c r="V181" s="9">
        <f t="shared" si="45"/>
        <v>5.23</v>
      </c>
      <c r="Y181" s="9">
        <f t="shared" si="46"/>
        <v>460.48</v>
      </c>
      <c r="AD181" s="4" t="s">
        <v>622</v>
      </c>
      <c r="AE181" s="4" t="s">
        <v>619</v>
      </c>
      <c r="AF181" s="4" t="s">
        <v>620</v>
      </c>
    </row>
    <row r="182" spans="1:35" ht="18" x14ac:dyDescent="0.35">
      <c r="A182" s="38" t="s">
        <v>623</v>
      </c>
      <c r="B182" s="38"/>
      <c r="C182" s="49" t="s">
        <v>486</v>
      </c>
      <c r="D182" s="40"/>
      <c r="E182" s="40"/>
      <c r="F182" s="50" t="s">
        <v>81</v>
      </c>
      <c r="G182" s="51">
        <v>0.04</v>
      </c>
      <c r="H182" s="40"/>
      <c r="I182" s="52">
        <v>0</v>
      </c>
      <c r="J182" s="53">
        <v>40.270000000000003</v>
      </c>
      <c r="K182" s="54"/>
      <c r="L182" s="54"/>
      <c r="M182" s="53">
        <f t="shared" si="43"/>
        <v>0</v>
      </c>
      <c r="N182" s="54"/>
      <c r="O182" s="54"/>
      <c r="P182" s="53">
        <v>40.270000000000003</v>
      </c>
      <c r="Q182" s="54"/>
      <c r="R182" s="54"/>
      <c r="S182" s="53">
        <f t="shared" si="44"/>
        <v>0</v>
      </c>
      <c r="T182" s="54"/>
      <c r="U182" s="55"/>
      <c r="V182" s="9">
        <f t="shared" si="45"/>
        <v>33.56</v>
      </c>
      <c r="Y182" s="9">
        <f t="shared" si="46"/>
        <v>0</v>
      </c>
      <c r="AD182" s="4" t="s">
        <v>624</v>
      </c>
      <c r="AE182" s="4" t="s">
        <v>625</v>
      </c>
      <c r="AF182" s="4" t="s">
        <v>489</v>
      </c>
    </row>
    <row r="183" spans="1:35" ht="18" x14ac:dyDescent="0.35">
      <c r="A183" s="44" t="s">
        <v>626</v>
      </c>
      <c r="B183" s="44"/>
      <c r="C183" s="56" t="s">
        <v>486</v>
      </c>
      <c r="D183" s="46"/>
      <c r="E183" s="46"/>
      <c r="F183" s="57" t="s">
        <v>81</v>
      </c>
      <c r="G183" s="58">
        <v>0.04</v>
      </c>
      <c r="H183" s="46"/>
      <c r="I183" s="58">
        <v>5.0279999999999996</v>
      </c>
      <c r="J183" s="59">
        <v>40.270000000000003</v>
      </c>
      <c r="K183" s="60"/>
      <c r="L183" s="60"/>
      <c r="M183" s="59">
        <f t="shared" si="43"/>
        <v>202.48</v>
      </c>
      <c r="N183" s="60"/>
      <c r="O183" s="60"/>
      <c r="P183" s="59">
        <v>40.270000000000003</v>
      </c>
      <c r="Q183" s="60"/>
      <c r="R183" s="60"/>
      <c r="S183" s="59">
        <f t="shared" si="44"/>
        <v>202.48</v>
      </c>
      <c r="T183" s="60"/>
      <c r="U183" s="61"/>
      <c r="V183" s="9">
        <f t="shared" si="45"/>
        <v>33.56</v>
      </c>
      <c r="Y183" s="9">
        <f t="shared" si="46"/>
        <v>168.73</v>
      </c>
      <c r="AD183" s="4" t="s">
        <v>627</v>
      </c>
      <c r="AE183" s="4" t="s">
        <v>625</v>
      </c>
      <c r="AF183" s="4" t="s">
        <v>489</v>
      </c>
    </row>
    <row r="184" spans="1:35" ht="36" x14ac:dyDescent="0.35">
      <c r="A184" s="38" t="s">
        <v>628</v>
      </c>
      <c r="B184" s="38"/>
      <c r="C184" s="49" t="s">
        <v>493</v>
      </c>
      <c r="D184" s="40"/>
      <c r="E184" s="40"/>
      <c r="F184" s="50" t="s">
        <v>81</v>
      </c>
      <c r="G184" s="51">
        <v>1.4999999999999999E-2</v>
      </c>
      <c r="H184" s="40"/>
      <c r="I184" s="52">
        <v>0</v>
      </c>
      <c r="J184" s="53">
        <v>88.8</v>
      </c>
      <c r="K184" s="54"/>
      <c r="L184" s="54"/>
      <c r="M184" s="53">
        <f t="shared" si="43"/>
        <v>0</v>
      </c>
      <c r="N184" s="54"/>
      <c r="O184" s="54"/>
      <c r="P184" s="53">
        <v>88.8</v>
      </c>
      <c r="Q184" s="54"/>
      <c r="R184" s="54"/>
      <c r="S184" s="53">
        <f t="shared" si="44"/>
        <v>0</v>
      </c>
      <c r="T184" s="54"/>
      <c r="U184" s="55"/>
      <c r="V184" s="9">
        <f t="shared" si="45"/>
        <v>74</v>
      </c>
      <c r="Y184" s="9">
        <f t="shared" si="46"/>
        <v>0</v>
      </c>
      <c r="AD184" s="4" t="s">
        <v>629</v>
      </c>
      <c r="AE184" s="4" t="s">
        <v>630</v>
      </c>
      <c r="AF184" s="4" t="s">
        <v>496</v>
      </c>
    </row>
    <row r="185" spans="1:35" ht="36" x14ac:dyDescent="0.35">
      <c r="A185" s="44" t="s">
        <v>631</v>
      </c>
      <c r="B185" s="44"/>
      <c r="C185" s="56" t="s">
        <v>493</v>
      </c>
      <c r="D185" s="46"/>
      <c r="E185" s="46"/>
      <c r="F185" s="57" t="s">
        <v>81</v>
      </c>
      <c r="G185" s="58">
        <v>1.4999999999999999E-2</v>
      </c>
      <c r="H185" s="46"/>
      <c r="I185" s="58">
        <v>1.8859999999999999</v>
      </c>
      <c r="J185" s="59">
        <v>88.8</v>
      </c>
      <c r="K185" s="60"/>
      <c r="L185" s="60"/>
      <c r="M185" s="59">
        <f t="shared" si="43"/>
        <v>167.48</v>
      </c>
      <c r="N185" s="60"/>
      <c r="O185" s="60"/>
      <c r="P185" s="59">
        <v>88.8</v>
      </c>
      <c r="Q185" s="60"/>
      <c r="R185" s="60"/>
      <c r="S185" s="59">
        <f t="shared" si="44"/>
        <v>167.48</v>
      </c>
      <c r="T185" s="60"/>
      <c r="U185" s="61"/>
      <c r="V185" s="9">
        <f t="shared" si="45"/>
        <v>74</v>
      </c>
      <c r="Y185" s="9">
        <f t="shared" si="46"/>
        <v>139.57</v>
      </c>
      <c r="AD185" s="4" t="s">
        <v>632</v>
      </c>
      <c r="AE185" s="4" t="s">
        <v>630</v>
      </c>
      <c r="AF185" s="4" t="s">
        <v>496</v>
      </c>
    </row>
    <row r="186" spans="1:35" ht="54" x14ac:dyDescent="0.35">
      <c r="A186" s="38" t="s">
        <v>633</v>
      </c>
      <c r="B186" s="38" t="s">
        <v>602</v>
      </c>
      <c r="C186" s="39" t="s">
        <v>603</v>
      </c>
      <c r="D186" s="40"/>
      <c r="E186" s="40" t="s">
        <v>370</v>
      </c>
      <c r="F186" s="40" t="s">
        <v>129</v>
      </c>
      <c r="G186" s="41">
        <v>1</v>
      </c>
      <c r="H186" s="40"/>
      <c r="I186" s="42">
        <v>0</v>
      </c>
      <c r="J186" s="43">
        <f>IFERROR(ROUND(SUM(M188,M190,M192,M194)/I186, 2),0)</f>
        <v>0</v>
      </c>
      <c r="K186" s="43">
        <v>411</v>
      </c>
      <c r="L186" s="43">
        <f>J186+ROUND(K186, 2)</f>
        <v>411</v>
      </c>
      <c r="M186" s="43">
        <f>ROUND(J186*I186, 2)</f>
        <v>0</v>
      </c>
      <c r="N186" s="43">
        <f>ROUND(I186*ROUND(K186, 2), 2)</f>
        <v>0</v>
      </c>
      <c r="O186" s="43">
        <f>M186+N186</f>
        <v>0</v>
      </c>
      <c r="P186" s="43">
        <f>IFERROR(ROUND(SUM(S188,S190,S192,S194)/I186, 2),0)</f>
        <v>0</v>
      </c>
      <c r="Q186" s="43">
        <v>374</v>
      </c>
      <c r="R186" s="43">
        <f>P186+ROUND(Q186, 2)</f>
        <v>374</v>
      </c>
      <c r="S186" s="43">
        <f>ROUND(P186*I186, 2)</f>
        <v>0</v>
      </c>
      <c r="T186" s="43">
        <f>ROUND(I186*ROUND(Q186, 2), 2)</f>
        <v>0</v>
      </c>
      <c r="U186" s="43">
        <f>S186+T186</f>
        <v>0</v>
      </c>
      <c r="V186" s="9">
        <f>ROUND(P186 / 1.2, 2)</f>
        <v>0</v>
      </c>
      <c r="W186" s="9">
        <f>ROUND(Q186 / 1.2, 2)</f>
        <v>311.67</v>
      </c>
      <c r="X186" s="9">
        <f>ROUND(R186 / 1.2, 2)</f>
        <v>311.67</v>
      </c>
      <c r="Y186" s="9">
        <f t="shared" si="46"/>
        <v>0</v>
      </c>
      <c r="Z186" s="9">
        <f>ROUND(T186 / 1.2, 2)</f>
        <v>0</v>
      </c>
      <c r="AA186" s="9">
        <f>Y186+Z186</f>
        <v>0</v>
      </c>
      <c r="AD186" s="4">
        <v>303752467</v>
      </c>
      <c r="AE186" s="4">
        <v>16087853</v>
      </c>
      <c r="AG186" s="4" t="s">
        <v>605</v>
      </c>
      <c r="AH186" s="4" t="s">
        <v>606</v>
      </c>
      <c r="AI186" s="4" t="s">
        <v>247</v>
      </c>
    </row>
    <row r="187" spans="1:35" ht="54" x14ac:dyDescent="0.35">
      <c r="A187" s="44" t="s">
        <v>634</v>
      </c>
      <c r="B187" s="44" t="s">
        <v>602</v>
      </c>
      <c r="C187" s="45" t="s">
        <v>603</v>
      </c>
      <c r="D187" s="46"/>
      <c r="E187" s="46" t="s">
        <v>370</v>
      </c>
      <c r="F187" s="46" t="s">
        <v>129</v>
      </c>
      <c r="G187" s="47">
        <v>1</v>
      </c>
      <c r="H187" s="46"/>
      <c r="I187" s="47">
        <v>56.7</v>
      </c>
      <c r="J187" s="48">
        <v>0</v>
      </c>
      <c r="K187" s="48">
        <v>374</v>
      </c>
      <c r="L187" s="48"/>
      <c r="M187" s="48">
        <v>0</v>
      </c>
      <c r="N187" s="48"/>
      <c r="O187" s="48"/>
      <c r="P187" s="48">
        <v>0</v>
      </c>
      <c r="Q187" s="48">
        <v>374</v>
      </c>
      <c r="R187" s="48"/>
      <c r="S187" s="48">
        <v>0</v>
      </c>
      <c r="T187" s="48"/>
      <c r="U187" s="48"/>
      <c r="V187" s="9"/>
      <c r="W187" s="9">
        <f>ROUND(Q187 / 1.2, 2)</f>
        <v>311.67</v>
      </c>
      <c r="X187" s="9">
        <f>ROUND(R187 / 1.2, 2)</f>
        <v>0</v>
      </c>
      <c r="Y187" s="9"/>
      <c r="Z187" s="9">
        <f>ROUND(T187 / 1.2, 2)</f>
        <v>0</v>
      </c>
      <c r="AA187" s="9"/>
      <c r="AD187" s="4">
        <v>204426456</v>
      </c>
      <c r="AE187" s="4">
        <v>16087853</v>
      </c>
      <c r="AG187" s="4" t="s">
        <v>605</v>
      </c>
      <c r="AH187" s="4" t="s">
        <v>606</v>
      </c>
      <c r="AI187" s="4"/>
    </row>
    <row r="188" spans="1:35" ht="36" x14ac:dyDescent="0.35">
      <c r="A188" s="38" t="s">
        <v>635</v>
      </c>
      <c r="B188" s="38"/>
      <c r="C188" s="49" t="s">
        <v>493</v>
      </c>
      <c r="D188" s="40"/>
      <c r="E188" s="40"/>
      <c r="F188" s="50" t="s">
        <v>81</v>
      </c>
      <c r="G188" s="51">
        <v>1.4999999999999999E-2</v>
      </c>
      <c r="H188" s="40"/>
      <c r="I188" s="52">
        <v>0</v>
      </c>
      <c r="J188" s="53">
        <v>88.8</v>
      </c>
      <c r="K188" s="54"/>
      <c r="L188" s="54"/>
      <c r="M188" s="53">
        <f t="shared" ref="M188:M195" si="47">ROUND(ROUND(J188, 2)*I188, 2)</f>
        <v>0</v>
      </c>
      <c r="N188" s="54"/>
      <c r="O188" s="54"/>
      <c r="P188" s="53">
        <v>88.8</v>
      </c>
      <c r="Q188" s="54"/>
      <c r="R188" s="54"/>
      <c r="S188" s="53">
        <f t="shared" ref="S188:S195" si="48">ROUND(ROUND(P188, 2)*I188, 2)</f>
        <v>0</v>
      </c>
      <c r="T188" s="54"/>
      <c r="U188" s="55"/>
      <c r="V188" s="9">
        <f t="shared" ref="V188:V195" si="49">ROUND(ROUND(P188, 2)/1.2, 2)</f>
        <v>74</v>
      </c>
      <c r="Y188" s="9">
        <f t="shared" ref="Y188:Y198" si="50">ROUND(S188 / 1.2, 2)</f>
        <v>0</v>
      </c>
      <c r="AD188" s="4" t="s">
        <v>636</v>
      </c>
      <c r="AE188" s="4" t="s">
        <v>637</v>
      </c>
      <c r="AF188" s="4" t="s">
        <v>496</v>
      </c>
    </row>
    <row r="189" spans="1:35" ht="36" x14ac:dyDescent="0.35">
      <c r="A189" s="44" t="s">
        <v>638</v>
      </c>
      <c r="B189" s="44"/>
      <c r="C189" s="56" t="s">
        <v>493</v>
      </c>
      <c r="D189" s="46"/>
      <c r="E189" s="46"/>
      <c r="F189" s="57" t="s">
        <v>81</v>
      </c>
      <c r="G189" s="58">
        <v>1.4999999999999999E-2</v>
      </c>
      <c r="H189" s="46"/>
      <c r="I189" s="58">
        <v>0.85099999999999998</v>
      </c>
      <c r="J189" s="59">
        <v>88.8</v>
      </c>
      <c r="K189" s="60"/>
      <c r="L189" s="60"/>
      <c r="M189" s="59">
        <f t="shared" si="47"/>
        <v>75.569999999999993</v>
      </c>
      <c r="N189" s="60"/>
      <c r="O189" s="60"/>
      <c r="P189" s="59">
        <v>88.8</v>
      </c>
      <c r="Q189" s="60"/>
      <c r="R189" s="60"/>
      <c r="S189" s="59">
        <f t="shared" si="48"/>
        <v>75.569999999999993</v>
      </c>
      <c r="T189" s="60"/>
      <c r="U189" s="61"/>
      <c r="V189" s="9">
        <f t="shared" si="49"/>
        <v>74</v>
      </c>
      <c r="Y189" s="9">
        <f t="shared" si="50"/>
        <v>62.98</v>
      </c>
      <c r="AD189" s="4" t="s">
        <v>639</v>
      </c>
      <c r="AE189" s="4" t="s">
        <v>637</v>
      </c>
      <c r="AF189" s="4" t="s">
        <v>496</v>
      </c>
    </row>
    <row r="190" spans="1:35" ht="18" x14ac:dyDescent="0.35">
      <c r="A190" s="38" t="s">
        <v>640</v>
      </c>
      <c r="B190" s="38"/>
      <c r="C190" s="49" t="s">
        <v>486</v>
      </c>
      <c r="D190" s="40"/>
      <c r="E190" s="40"/>
      <c r="F190" s="50" t="s">
        <v>81</v>
      </c>
      <c r="G190" s="51">
        <v>0.04</v>
      </c>
      <c r="H190" s="40"/>
      <c r="I190" s="52">
        <v>0</v>
      </c>
      <c r="J190" s="53">
        <v>40.270000000000003</v>
      </c>
      <c r="K190" s="54"/>
      <c r="L190" s="54"/>
      <c r="M190" s="53">
        <f t="shared" si="47"/>
        <v>0</v>
      </c>
      <c r="N190" s="54"/>
      <c r="O190" s="54"/>
      <c r="P190" s="53">
        <v>40.270000000000003</v>
      </c>
      <c r="Q190" s="54"/>
      <c r="R190" s="54"/>
      <c r="S190" s="53">
        <f t="shared" si="48"/>
        <v>0</v>
      </c>
      <c r="T190" s="54"/>
      <c r="U190" s="55"/>
      <c r="V190" s="9">
        <f t="shared" si="49"/>
        <v>33.56</v>
      </c>
      <c r="Y190" s="9">
        <f t="shared" si="50"/>
        <v>0</v>
      </c>
      <c r="AD190" s="4" t="s">
        <v>641</v>
      </c>
      <c r="AE190" s="4" t="s">
        <v>642</v>
      </c>
      <c r="AF190" s="4" t="s">
        <v>489</v>
      </c>
    </row>
    <row r="191" spans="1:35" ht="18" x14ac:dyDescent="0.35">
      <c r="A191" s="44" t="s">
        <v>643</v>
      </c>
      <c r="B191" s="44"/>
      <c r="C191" s="56" t="s">
        <v>486</v>
      </c>
      <c r="D191" s="46"/>
      <c r="E191" s="46"/>
      <c r="F191" s="57" t="s">
        <v>81</v>
      </c>
      <c r="G191" s="58">
        <v>0.04</v>
      </c>
      <c r="H191" s="46"/>
      <c r="I191" s="58">
        <v>2.2679999999999998</v>
      </c>
      <c r="J191" s="59">
        <v>40.270000000000003</v>
      </c>
      <c r="K191" s="60"/>
      <c r="L191" s="60"/>
      <c r="M191" s="59">
        <f t="shared" si="47"/>
        <v>91.33</v>
      </c>
      <c r="N191" s="60"/>
      <c r="O191" s="60"/>
      <c r="P191" s="59">
        <v>40.270000000000003</v>
      </c>
      <c r="Q191" s="60"/>
      <c r="R191" s="60"/>
      <c r="S191" s="59">
        <f t="shared" si="48"/>
        <v>91.33</v>
      </c>
      <c r="T191" s="60"/>
      <c r="U191" s="61"/>
      <c r="V191" s="9">
        <f t="shared" si="49"/>
        <v>33.56</v>
      </c>
      <c r="Y191" s="9">
        <f t="shared" si="50"/>
        <v>76.11</v>
      </c>
      <c r="AD191" s="4" t="s">
        <v>644</v>
      </c>
      <c r="AE191" s="4" t="s">
        <v>642</v>
      </c>
      <c r="AF191" s="4" t="s">
        <v>489</v>
      </c>
    </row>
    <row r="192" spans="1:35" ht="108" x14ac:dyDescent="0.35">
      <c r="A192" s="38" t="s">
        <v>645</v>
      </c>
      <c r="B192" s="38"/>
      <c r="C192" s="49" t="s">
        <v>646</v>
      </c>
      <c r="D192" s="40"/>
      <c r="E192" s="40" t="s">
        <v>610</v>
      </c>
      <c r="F192" s="50" t="s">
        <v>56</v>
      </c>
      <c r="G192" s="51">
        <v>0.11</v>
      </c>
      <c r="H192" s="40"/>
      <c r="I192" s="52">
        <v>0</v>
      </c>
      <c r="J192" s="53">
        <v>1012.6</v>
      </c>
      <c r="K192" s="54"/>
      <c r="L192" s="54"/>
      <c r="M192" s="53">
        <f t="shared" si="47"/>
        <v>0</v>
      </c>
      <c r="N192" s="54"/>
      <c r="O192" s="54"/>
      <c r="P192" s="53">
        <v>1012.6</v>
      </c>
      <c r="Q192" s="54"/>
      <c r="R192" s="54"/>
      <c r="S192" s="53">
        <f t="shared" si="48"/>
        <v>0</v>
      </c>
      <c r="T192" s="54"/>
      <c r="U192" s="55"/>
      <c r="V192" s="9">
        <f t="shared" si="49"/>
        <v>843.83</v>
      </c>
      <c r="Y192" s="9">
        <f t="shared" si="50"/>
        <v>0</v>
      </c>
      <c r="AD192" s="4" t="s">
        <v>647</v>
      </c>
      <c r="AE192" s="4" t="s">
        <v>648</v>
      </c>
      <c r="AF192" s="4" t="s">
        <v>649</v>
      </c>
    </row>
    <row r="193" spans="1:35" ht="108" x14ac:dyDescent="0.35">
      <c r="A193" s="44" t="s">
        <v>650</v>
      </c>
      <c r="B193" s="44"/>
      <c r="C193" s="56" t="s">
        <v>646</v>
      </c>
      <c r="D193" s="46"/>
      <c r="E193" s="46" t="s">
        <v>610</v>
      </c>
      <c r="F193" s="57" t="s">
        <v>56</v>
      </c>
      <c r="G193" s="58">
        <v>0.11</v>
      </c>
      <c r="H193" s="46"/>
      <c r="I193" s="58">
        <v>6.2370000000000001</v>
      </c>
      <c r="J193" s="59">
        <v>1012.6</v>
      </c>
      <c r="K193" s="60"/>
      <c r="L193" s="60"/>
      <c r="M193" s="59">
        <f t="shared" si="47"/>
        <v>6315.59</v>
      </c>
      <c r="N193" s="60"/>
      <c r="O193" s="60"/>
      <c r="P193" s="59">
        <v>1012.6</v>
      </c>
      <c r="Q193" s="60"/>
      <c r="R193" s="60"/>
      <c r="S193" s="59">
        <f t="shared" si="48"/>
        <v>6315.59</v>
      </c>
      <c r="T193" s="60"/>
      <c r="U193" s="61"/>
      <c r="V193" s="9">
        <f t="shared" si="49"/>
        <v>843.83</v>
      </c>
      <c r="Y193" s="9">
        <f t="shared" si="50"/>
        <v>5262.99</v>
      </c>
      <c r="AD193" s="4" t="s">
        <v>651</v>
      </c>
      <c r="AE193" s="4" t="s">
        <v>648</v>
      </c>
      <c r="AF193" s="4" t="s">
        <v>649</v>
      </c>
    </row>
    <row r="194" spans="1:35" ht="36" x14ac:dyDescent="0.35">
      <c r="A194" s="38" t="s">
        <v>652</v>
      </c>
      <c r="B194" s="38"/>
      <c r="C194" s="49" t="s">
        <v>653</v>
      </c>
      <c r="D194" s="40"/>
      <c r="E194" s="40"/>
      <c r="F194" s="50" t="s">
        <v>81</v>
      </c>
      <c r="G194" s="51">
        <v>0.7</v>
      </c>
      <c r="H194" s="40"/>
      <c r="I194" s="62">
        <v>0</v>
      </c>
      <c r="J194" s="53">
        <v>6.28</v>
      </c>
      <c r="K194" s="54"/>
      <c r="L194" s="54"/>
      <c r="M194" s="53">
        <f t="shared" si="47"/>
        <v>0</v>
      </c>
      <c r="N194" s="54"/>
      <c r="O194" s="54"/>
      <c r="P194" s="53">
        <v>6.28</v>
      </c>
      <c r="Q194" s="54"/>
      <c r="R194" s="54"/>
      <c r="S194" s="53">
        <f t="shared" si="48"/>
        <v>0</v>
      </c>
      <c r="T194" s="54"/>
      <c r="U194" s="55"/>
      <c r="V194" s="9">
        <f t="shared" si="49"/>
        <v>5.23</v>
      </c>
      <c r="Y194" s="9">
        <f t="shared" si="50"/>
        <v>0</v>
      </c>
      <c r="AD194" s="4" t="s">
        <v>654</v>
      </c>
      <c r="AE194" s="4" t="s">
        <v>655</v>
      </c>
      <c r="AF194" s="4" t="s">
        <v>656</v>
      </c>
    </row>
    <row r="195" spans="1:35" ht="36" x14ac:dyDescent="0.35">
      <c r="A195" s="44" t="s">
        <v>657</v>
      </c>
      <c r="B195" s="44"/>
      <c r="C195" s="56" t="s">
        <v>653</v>
      </c>
      <c r="D195" s="46"/>
      <c r="E195" s="46"/>
      <c r="F195" s="57" t="s">
        <v>81</v>
      </c>
      <c r="G195" s="58">
        <v>0.7</v>
      </c>
      <c r="H195" s="46"/>
      <c r="I195" s="63">
        <v>39.69</v>
      </c>
      <c r="J195" s="59">
        <v>6.28</v>
      </c>
      <c r="K195" s="60"/>
      <c r="L195" s="60"/>
      <c r="M195" s="59">
        <f t="shared" si="47"/>
        <v>249.25</v>
      </c>
      <c r="N195" s="60"/>
      <c r="O195" s="60"/>
      <c r="P195" s="59">
        <v>6.28</v>
      </c>
      <c r="Q195" s="60"/>
      <c r="R195" s="60"/>
      <c r="S195" s="59">
        <f t="shared" si="48"/>
        <v>249.25</v>
      </c>
      <c r="T195" s="60"/>
      <c r="U195" s="61"/>
      <c r="V195" s="9">
        <f t="shared" si="49"/>
        <v>5.23</v>
      </c>
      <c r="Y195" s="9">
        <f t="shared" si="50"/>
        <v>207.71</v>
      </c>
      <c r="AD195" s="4" t="s">
        <v>658</v>
      </c>
      <c r="AE195" s="4" t="s">
        <v>655</v>
      </c>
      <c r="AF195" s="4" t="s">
        <v>656</v>
      </c>
    </row>
    <row r="196" spans="1:35" ht="36" x14ac:dyDescent="0.35">
      <c r="A196" s="11" t="s">
        <v>659</v>
      </c>
      <c r="B196" s="11" t="s">
        <v>660</v>
      </c>
      <c r="C196" s="20" t="s">
        <v>661</v>
      </c>
      <c r="D196" s="21"/>
      <c r="E196" s="21" t="s">
        <v>662</v>
      </c>
      <c r="F196" s="21" t="s">
        <v>56</v>
      </c>
      <c r="G196" s="22">
        <v>1</v>
      </c>
      <c r="H196" s="21"/>
      <c r="I196" s="22">
        <v>63.4</v>
      </c>
      <c r="J196" s="23">
        <f>IFERROR(ROUND(SUM(M197,M198)/I196, 2),0)</f>
        <v>0</v>
      </c>
      <c r="K196" s="23">
        <v>661</v>
      </c>
      <c r="L196" s="23">
        <f>J196+ROUND(K196, 2)</f>
        <v>661</v>
      </c>
      <c r="M196" s="23">
        <f>ROUND(J196*I196, 2)</f>
        <v>0</v>
      </c>
      <c r="N196" s="23">
        <f>ROUND(I196*ROUND(K196, 2), 2)</f>
        <v>41907.4</v>
      </c>
      <c r="O196" s="23">
        <f>M196+N196</f>
        <v>41907.4</v>
      </c>
      <c r="P196" s="23">
        <f>IFERROR(ROUND(SUM(S197,S198)/I196, 2),0)</f>
        <v>1817.32</v>
      </c>
      <c r="Q196" s="23">
        <v>661</v>
      </c>
      <c r="R196" s="23">
        <f>P196+ROUND(Q196, 2)</f>
        <v>2478.3199999999997</v>
      </c>
      <c r="S196" s="23">
        <f>ROUND(P196*I196, 2)</f>
        <v>115218.09</v>
      </c>
      <c r="T196" s="23">
        <f>ROUND(I196*ROUND(Q196, 2), 2)</f>
        <v>41907.4</v>
      </c>
      <c r="U196" s="23">
        <f>S196+T196</f>
        <v>157125.49</v>
      </c>
      <c r="V196" s="9">
        <f>ROUND(P196 / 1.2, 2)</f>
        <v>1514.43</v>
      </c>
      <c r="W196" s="9">
        <f>ROUND(Q196 / 1.2, 2)</f>
        <v>550.83000000000004</v>
      </c>
      <c r="X196" s="9">
        <f>ROUND(R196 / 1.2, 2)</f>
        <v>2065.27</v>
      </c>
      <c r="Y196" s="9">
        <f t="shared" si="50"/>
        <v>96015.08</v>
      </c>
      <c r="Z196" s="9">
        <f>ROUND(T196 / 1.2, 2)</f>
        <v>34922.83</v>
      </c>
      <c r="AA196" s="9">
        <f>Y196+Z196</f>
        <v>130937.91</v>
      </c>
      <c r="AD196" s="4">
        <v>303752413</v>
      </c>
      <c r="AE196" s="4">
        <v>19936864</v>
      </c>
      <c r="AG196" s="4" t="s">
        <v>663</v>
      </c>
      <c r="AH196" s="4" t="s">
        <v>664</v>
      </c>
      <c r="AI196" s="4" t="s">
        <v>247</v>
      </c>
    </row>
    <row r="197" spans="1:35" ht="90" x14ac:dyDescent="0.35">
      <c r="A197" s="11" t="s">
        <v>665</v>
      </c>
      <c r="B197" s="11"/>
      <c r="C197" s="31" t="s">
        <v>666</v>
      </c>
      <c r="D197" s="21"/>
      <c r="E197" s="21" t="s">
        <v>667</v>
      </c>
      <c r="F197" s="32" t="s">
        <v>103</v>
      </c>
      <c r="G197" s="33">
        <v>1</v>
      </c>
      <c r="H197" s="21"/>
      <c r="I197" s="34">
        <v>7.35</v>
      </c>
      <c r="J197" s="35">
        <v>0</v>
      </c>
      <c r="K197" s="12"/>
      <c r="L197" s="12"/>
      <c r="M197" s="35">
        <f>ROUND(ROUND(J197, 2)*I197, 2)</f>
        <v>0</v>
      </c>
      <c r="N197" s="12"/>
      <c r="O197" s="12"/>
      <c r="P197" s="35">
        <v>2348.9499999999998</v>
      </c>
      <c r="Q197" s="12"/>
      <c r="R197" s="12"/>
      <c r="S197" s="35">
        <f>ROUND(ROUND(P197, 2)*I197, 2)</f>
        <v>17264.78</v>
      </c>
      <c r="T197" s="12"/>
      <c r="U197" s="36"/>
      <c r="V197" s="9">
        <f>ROUND(ROUND(P197, 2)/1.2, 2)</f>
        <v>1957.46</v>
      </c>
      <c r="Y197" s="9">
        <f t="shared" si="50"/>
        <v>14387.32</v>
      </c>
      <c r="AD197" s="4" t="s">
        <v>668</v>
      </c>
      <c r="AE197" s="4" t="s">
        <v>669</v>
      </c>
      <c r="AF197" s="4" t="s">
        <v>670</v>
      </c>
    </row>
    <row r="198" spans="1:35" ht="36" x14ac:dyDescent="0.35">
      <c r="A198" s="11" t="s">
        <v>671</v>
      </c>
      <c r="B198" s="11"/>
      <c r="C198" s="31" t="s">
        <v>672</v>
      </c>
      <c r="D198" s="21"/>
      <c r="E198" s="21" t="s">
        <v>673</v>
      </c>
      <c r="F198" s="32" t="s">
        <v>56</v>
      </c>
      <c r="G198" s="33">
        <v>1.03</v>
      </c>
      <c r="H198" s="21"/>
      <c r="I198" s="34">
        <v>65.302000000000007</v>
      </c>
      <c r="J198" s="35">
        <v>0</v>
      </c>
      <c r="K198" s="12"/>
      <c r="L198" s="12"/>
      <c r="M198" s="35">
        <f>ROUND(ROUND(J198, 2)*I198, 2)</f>
        <v>0</v>
      </c>
      <c r="N198" s="12"/>
      <c r="O198" s="12"/>
      <c r="P198" s="35">
        <v>1500</v>
      </c>
      <c r="Q198" s="12"/>
      <c r="R198" s="12"/>
      <c r="S198" s="35">
        <f>ROUND(ROUND(P198, 2)*I198, 2)</f>
        <v>97953</v>
      </c>
      <c r="T198" s="12"/>
      <c r="U198" s="36"/>
      <c r="V198" s="9">
        <f>ROUND(ROUND(P198, 2)/1.2, 2)</f>
        <v>1250</v>
      </c>
      <c r="Y198" s="9">
        <f t="shared" si="50"/>
        <v>81627.5</v>
      </c>
      <c r="AD198" s="4" t="s">
        <v>674</v>
      </c>
      <c r="AE198" s="4" t="s">
        <v>675</v>
      </c>
      <c r="AF198" s="4" t="s">
        <v>676</v>
      </c>
    </row>
    <row r="199" spans="1:35" ht="17" customHeight="1" x14ac:dyDescent="0.35">
      <c r="A199" s="10" t="s">
        <v>677</v>
      </c>
      <c r="B199" s="10" t="s">
        <v>678</v>
      </c>
      <c r="C199" s="100" t="s">
        <v>679</v>
      </c>
      <c r="D199" s="101"/>
      <c r="E199" s="101"/>
      <c r="F199" s="101"/>
      <c r="G199" s="101"/>
      <c r="H199" s="101"/>
      <c r="I199" s="102"/>
      <c r="M199" s="6">
        <f>SUM(M200,M410,M429)</f>
        <v>1187771.0900000003</v>
      </c>
      <c r="N199" s="6">
        <f>SUM(N200,N410,N429)</f>
        <v>7697223.7399999993</v>
      </c>
      <c r="O199" s="6">
        <f>SUM(O200,O410,O429)</f>
        <v>8884994.8300000001</v>
      </c>
      <c r="S199" s="6">
        <f>SUM(S200,S410,S429)</f>
        <v>1395007.6700000002</v>
      </c>
      <c r="T199" s="6">
        <f>SUM(T200,T410,T429)</f>
        <v>7697223.7399999993</v>
      </c>
      <c r="U199" s="6">
        <f>SUM(U200,U410,U429)</f>
        <v>9092231.4100000001</v>
      </c>
      <c r="Y199" s="9">
        <f>SUM(Y200,Y410,Y429)</f>
        <v>1162506.42</v>
      </c>
      <c r="Z199" s="9">
        <f>SUM(Z200,Z410,Z429)</f>
        <v>6414353.1500000013</v>
      </c>
      <c r="AA199" s="9">
        <f>SUM(AA200,AA410,AA429)</f>
        <v>7576859.5699999975</v>
      </c>
      <c r="AD199" s="4">
        <v>303752414</v>
      </c>
      <c r="AE199" s="4">
        <v>16076852</v>
      </c>
    </row>
    <row r="200" spans="1:35" ht="17" customHeight="1" x14ac:dyDescent="0.35">
      <c r="A200" s="10" t="s">
        <v>680</v>
      </c>
      <c r="B200" s="10" t="s">
        <v>681</v>
      </c>
      <c r="C200" s="100" t="s">
        <v>682</v>
      </c>
      <c r="D200" s="101"/>
      <c r="E200" s="101"/>
      <c r="F200" s="101"/>
      <c r="G200" s="101"/>
      <c r="H200" s="101"/>
      <c r="I200" s="102"/>
      <c r="M200" s="6">
        <f>SUM(M201,M211,M221,M229,M237,M247,M257,M265,M269,M273,M277,M287,M297,M305,M315,M325,M335,M339,M342,M346,M349,M352,M356,M359,M362,M365,M369,M372,M375,M379,M382,M386,M389,M392,M395,M400,M405)</f>
        <v>841111.31000000029</v>
      </c>
      <c r="N200" s="6">
        <f>SUM(N201,N211,N221,N229,N237,N247,N257,N265,N269,N273,N277,N287,N297,N305,N315,N325,N335,N339,N342,N346,N349,N352,N356,N359,N362,N365,N369,N372,N375,N379,N382,N386,N389,N392,N395,N400,N405)</f>
        <v>5337483.0299999993</v>
      </c>
      <c r="O200" s="6">
        <f>SUM(O201,O211,O221,O229,O237,O247,O257,O265,O269,O273,O277,O287,O297,O305,O315,O325,O335,O339,O342,O346,O349,O352,O356,O359,O362,O365,O369,O372,O375,O379,O382,O386,O389,O392,O395,O400,O405)</f>
        <v>6178594.3400000008</v>
      </c>
      <c r="S200" s="6">
        <f>SUM(S201,S211,S221,S229,S237,S247,S257,S265,S269,S273,S277,S287,S297,S305,S315,S325,S335,S339,S342,S346,S349,S352,S356,S359,S362,S365,S369,S372,S375,S379,S382,S386,S389,S392,S395,S400,S405)</f>
        <v>860783.49000000011</v>
      </c>
      <c r="T200" s="6">
        <f>SUM(T201,T211,T221,T229,T237,T247,T257,T265,T269,T273,T277,T287,T297,T305,T315,T325,T335,T339,T342,T346,T349,T352,T356,T359,T362,T365,T369,T372,T375,T379,T382,T386,T389,T392,T395,T400,T405)</f>
        <v>5337483.0299999993</v>
      </c>
      <c r="U200" s="6">
        <f>SUM(U201,U211,U221,U229,U237,U247,U257,U265,U269,U273,U277,U287,U297,U305,U315,U325,U335,U339,U342,U346,U349,U352,U356,U359,U362,U365,U369,U372,U375,U379,U382,U386,U389,U392,U395,U400,U405)</f>
        <v>6198266.5199999996</v>
      </c>
      <c r="Y200" s="9">
        <f>SUM(Y201,Y211,Y221,Y229,Y237,Y247,Y257,Y265,Y269,Y273,Y277,Y287,Y297,Y305,Y315,Y325,Y335,Y339,Y342,Y346,Y349,Y352,Y356,Y359,Y362,Y365,Y369,Y372,Y375,Y379,Y382,Y386,Y389,Y392,Y395,Y400,Y405)</f>
        <v>717319.58000000007</v>
      </c>
      <c r="Z200" s="9">
        <f>SUM(Z201,Z211,Z221,Z229,Z237,Z247,Z257,Z265,Z269,Z273,Z277,Z287,Z297,Z305,Z315,Z325,Z335,Z339,Z342,Z346,Z349,Z352,Z356,Z359,Z362,Z365,Z369,Z372,Z375,Z379,Z382,Z386,Z389,Z392,Z395,Z400,Z405)</f>
        <v>4447902.540000001</v>
      </c>
      <c r="AA200" s="9">
        <f>SUM(AA201,AA211,AA221,AA229,AA237,AA247,AA257,AA265,AA269,AA273,AA277,AA287,AA297,AA305,AA315,AA325,AA335,AA339,AA342,AA346,AA349,AA352,AA356,AA359,AA362,AA365,AA369,AA372,AA375,AA379,AA382,AA386,AA389,AA392,AA395,AA400,AA405)</f>
        <v>5165222.1199999982</v>
      </c>
      <c r="AD200" s="4">
        <v>303752415</v>
      </c>
      <c r="AE200" s="4">
        <v>16077161</v>
      </c>
    </row>
    <row r="201" spans="1:35" ht="54" x14ac:dyDescent="0.35">
      <c r="A201" s="38" t="s">
        <v>683</v>
      </c>
      <c r="B201" s="38" t="s">
        <v>684</v>
      </c>
      <c r="C201" s="39" t="s">
        <v>685</v>
      </c>
      <c r="D201" s="40"/>
      <c r="E201" s="40" t="s">
        <v>686</v>
      </c>
      <c r="F201" s="40" t="s">
        <v>56</v>
      </c>
      <c r="G201" s="41">
        <v>1</v>
      </c>
      <c r="H201" s="40"/>
      <c r="I201" s="42">
        <v>0</v>
      </c>
      <c r="J201" s="43">
        <f>IFERROR(ROUND(SUM(M203,M205,M207,M209)/I201, 2),0)</f>
        <v>0</v>
      </c>
      <c r="K201" s="43">
        <v>826</v>
      </c>
      <c r="L201" s="43">
        <f>J201+ROUND(K201, 2)</f>
        <v>826</v>
      </c>
      <c r="M201" s="43">
        <f>ROUND(J201*I201, 2)</f>
        <v>0</v>
      </c>
      <c r="N201" s="43">
        <f>ROUND(I201*ROUND(K201, 2), 2)</f>
        <v>0</v>
      </c>
      <c r="O201" s="43">
        <f>M201+N201</f>
        <v>0</v>
      </c>
      <c r="P201" s="43">
        <f>IFERROR(ROUND(SUM(S203,S205,S207,S209)/I201, 2),0)</f>
        <v>0</v>
      </c>
      <c r="Q201" s="43">
        <v>826</v>
      </c>
      <c r="R201" s="43">
        <f>P201+ROUND(Q201, 2)</f>
        <v>826</v>
      </c>
      <c r="S201" s="43">
        <f>ROUND(P201*I201, 2)</f>
        <v>0</v>
      </c>
      <c r="T201" s="43">
        <f>ROUND(I201*ROUND(Q201, 2), 2)</f>
        <v>0</v>
      </c>
      <c r="U201" s="43">
        <f>S201+T201</f>
        <v>0</v>
      </c>
      <c r="V201" s="9">
        <f>ROUND(P201 / 1.2, 2)</f>
        <v>0</v>
      </c>
      <c r="W201" s="9">
        <f>ROUND(Q201 / 1.2, 2)</f>
        <v>688.33</v>
      </c>
      <c r="X201" s="9">
        <f>ROUND(R201 / 1.2, 2)</f>
        <v>688.33</v>
      </c>
      <c r="Y201" s="9">
        <f>ROUND(S201 / 1.2, 2)</f>
        <v>0</v>
      </c>
      <c r="Z201" s="9">
        <f>ROUND(T201 / 1.2, 2)</f>
        <v>0</v>
      </c>
      <c r="AA201" s="9">
        <f>Y201+Z201</f>
        <v>0</v>
      </c>
      <c r="AD201" s="4">
        <v>303752417</v>
      </c>
      <c r="AE201" s="4">
        <v>16077164</v>
      </c>
      <c r="AG201" s="4" t="s">
        <v>687</v>
      </c>
      <c r="AH201" s="4" t="s">
        <v>688</v>
      </c>
      <c r="AI201" s="4" t="s">
        <v>247</v>
      </c>
    </row>
    <row r="202" spans="1:35" ht="54" x14ac:dyDescent="0.35">
      <c r="A202" s="44" t="s">
        <v>689</v>
      </c>
      <c r="B202" s="44" t="s">
        <v>684</v>
      </c>
      <c r="C202" s="45" t="s">
        <v>685</v>
      </c>
      <c r="D202" s="46"/>
      <c r="E202" s="46" t="s">
        <v>686</v>
      </c>
      <c r="F202" s="46" t="s">
        <v>56</v>
      </c>
      <c r="G202" s="47">
        <v>1</v>
      </c>
      <c r="H202" s="46"/>
      <c r="I202" s="47">
        <v>220.1</v>
      </c>
      <c r="J202" s="48">
        <v>0</v>
      </c>
      <c r="K202" s="48">
        <v>826</v>
      </c>
      <c r="L202" s="48"/>
      <c r="M202" s="48">
        <v>0</v>
      </c>
      <c r="N202" s="48"/>
      <c r="O202" s="48"/>
      <c r="P202" s="48">
        <v>0</v>
      </c>
      <c r="Q202" s="48">
        <v>826</v>
      </c>
      <c r="R202" s="48"/>
      <c r="S202" s="48">
        <v>0</v>
      </c>
      <c r="T202" s="48"/>
      <c r="U202" s="48"/>
      <c r="V202" s="9"/>
      <c r="W202" s="9">
        <f>ROUND(Q202 / 1.2, 2)</f>
        <v>688.33</v>
      </c>
      <c r="X202" s="9">
        <f>ROUND(R202 / 1.2, 2)</f>
        <v>0</v>
      </c>
      <c r="Y202" s="9"/>
      <c r="Z202" s="9">
        <f>ROUND(T202 / 1.2, 2)</f>
        <v>0</v>
      </c>
      <c r="AA202" s="9"/>
      <c r="AD202" s="4">
        <v>204211275</v>
      </c>
      <c r="AE202" s="4">
        <v>16077164</v>
      </c>
      <c r="AG202" s="4" t="s">
        <v>687</v>
      </c>
      <c r="AH202" s="4" t="s">
        <v>688</v>
      </c>
      <c r="AI202" s="4"/>
    </row>
    <row r="203" spans="1:35" ht="18" x14ac:dyDescent="0.35">
      <c r="A203" s="38" t="s">
        <v>690</v>
      </c>
      <c r="B203" s="38"/>
      <c r="C203" s="49" t="s">
        <v>691</v>
      </c>
      <c r="D203" s="40"/>
      <c r="E203" s="40"/>
      <c r="F203" s="50" t="s">
        <v>56</v>
      </c>
      <c r="G203" s="51">
        <v>1.1000000000000001</v>
      </c>
      <c r="H203" s="40"/>
      <c r="I203" s="52">
        <v>0</v>
      </c>
      <c r="J203" s="53">
        <v>27.55</v>
      </c>
      <c r="K203" s="54"/>
      <c r="L203" s="54"/>
      <c r="M203" s="53">
        <f t="shared" ref="M203:M210" si="51">ROUND(ROUND(J203, 2)*I203, 2)</f>
        <v>0</v>
      </c>
      <c r="N203" s="54"/>
      <c r="O203" s="54"/>
      <c r="P203" s="53">
        <v>27.55</v>
      </c>
      <c r="Q203" s="54"/>
      <c r="R203" s="54"/>
      <c r="S203" s="53">
        <f t="shared" ref="S203:S210" si="52">ROUND(ROUND(P203, 2)*I203, 2)</f>
        <v>0</v>
      </c>
      <c r="T203" s="54"/>
      <c r="U203" s="55"/>
      <c r="V203" s="9">
        <f t="shared" ref="V203:V210" si="53">ROUND(ROUND(P203, 2)/1.2, 2)</f>
        <v>22.96</v>
      </c>
      <c r="Y203" s="9">
        <f t="shared" ref="Y203:Y211" si="54">ROUND(S203 / 1.2, 2)</f>
        <v>0</v>
      </c>
      <c r="AD203" s="4" t="s">
        <v>692</v>
      </c>
      <c r="AE203" s="4" t="s">
        <v>693</v>
      </c>
      <c r="AF203" s="4" t="s">
        <v>694</v>
      </c>
    </row>
    <row r="204" spans="1:35" ht="18" x14ac:dyDescent="0.35">
      <c r="A204" s="44" t="s">
        <v>695</v>
      </c>
      <c r="B204" s="44"/>
      <c r="C204" s="56" t="s">
        <v>691</v>
      </c>
      <c r="D204" s="46"/>
      <c r="E204" s="46"/>
      <c r="F204" s="57" t="s">
        <v>56</v>
      </c>
      <c r="G204" s="58">
        <v>1.1000000000000001</v>
      </c>
      <c r="H204" s="46"/>
      <c r="I204" s="58">
        <v>242.11</v>
      </c>
      <c r="J204" s="59">
        <v>27.55</v>
      </c>
      <c r="K204" s="60"/>
      <c r="L204" s="60"/>
      <c r="M204" s="59">
        <f t="shared" si="51"/>
        <v>6670.13</v>
      </c>
      <c r="N204" s="60"/>
      <c r="O204" s="60"/>
      <c r="P204" s="59">
        <v>27.55</v>
      </c>
      <c r="Q204" s="60"/>
      <c r="R204" s="60"/>
      <c r="S204" s="59">
        <f t="shared" si="52"/>
        <v>6670.13</v>
      </c>
      <c r="T204" s="60"/>
      <c r="U204" s="61"/>
      <c r="V204" s="9">
        <f t="shared" si="53"/>
        <v>22.96</v>
      </c>
      <c r="Y204" s="9">
        <f t="shared" si="54"/>
        <v>5558.44</v>
      </c>
      <c r="AD204" s="4" t="s">
        <v>696</v>
      </c>
      <c r="AE204" s="4" t="s">
        <v>693</v>
      </c>
      <c r="AF204" s="4" t="s">
        <v>694</v>
      </c>
    </row>
    <row r="205" spans="1:35" ht="18" x14ac:dyDescent="0.35">
      <c r="A205" s="38" t="s">
        <v>697</v>
      </c>
      <c r="B205" s="38"/>
      <c r="C205" s="49" t="s">
        <v>316</v>
      </c>
      <c r="D205" s="40"/>
      <c r="E205" s="40"/>
      <c r="F205" s="50" t="s">
        <v>81</v>
      </c>
      <c r="G205" s="51">
        <v>0.25</v>
      </c>
      <c r="H205" s="40"/>
      <c r="I205" s="52">
        <v>0</v>
      </c>
      <c r="J205" s="53">
        <v>100</v>
      </c>
      <c r="K205" s="54"/>
      <c r="L205" s="54"/>
      <c r="M205" s="53">
        <f t="shared" si="51"/>
        <v>0</v>
      </c>
      <c r="N205" s="54"/>
      <c r="O205" s="54"/>
      <c r="P205" s="53">
        <v>100</v>
      </c>
      <c r="Q205" s="54"/>
      <c r="R205" s="54"/>
      <c r="S205" s="53">
        <f t="shared" si="52"/>
        <v>0</v>
      </c>
      <c r="T205" s="54"/>
      <c r="U205" s="55"/>
      <c r="V205" s="9">
        <f t="shared" si="53"/>
        <v>83.33</v>
      </c>
      <c r="Y205" s="9">
        <f t="shared" si="54"/>
        <v>0</v>
      </c>
      <c r="AD205" s="4" t="s">
        <v>698</v>
      </c>
      <c r="AE205" s="4" t="s">
        <v>699</v>
      </c>
      <c r="AF205" s="4" t="s">
        <v>319</v>
      </c>
    </row>
    <row r="206" spans="1:35" ht="18" x14ac:dyDescent="0.35">
      <c r="A206" s="44" t="s">
        <v>700</v>
      </c>
      <c r="B206" s="44"/>
      <c r="C206" s="56" t="s">
        <v>316</v>
      </c>
      <c r="D206" s="46"/>
      <c r="E206" s="46"/>
      <c r="F206" s="57" t="s">
        <v>81</v>
      </c>
      <c r="G206" s="58">
        <v>0.25</v>
      </c>
      <c r="H206" s="46"/>
      <c r="I206" s="58">
        <v>55.024999999999999</v>
      </c>
      <c r="J206" s="59">
        <v>100</v>
      </c>
      <c r="K206" s="60"/>
      <c r="L206" s="60"/>
      <c r="M206" s="59">
        <f t="shared" si="51"/>
        <v>5502.5</v>
      </c>
      <c r="N206" s="60"/>
      <c r="O206" s="60"/>
      <c r="P206" s="59">
        <v>100</v>
      </c>
      <c r="Q206" s="60"/>
      <c r="R206" s="60"/>
      <c r="S206" s="59">
        <f t="shared" si="52"/>
        <v>5502.5</v>
      </c>
      <c r="T206" s="60"/>
      <c r="U206" s="61"/>
      <c r="V206" s="9">
        <f t="shared" si="53"/>
        <v>83.33</v>
      </c>
      <c r="Y206" s="9">
        <f t="shared" si="54"/>
        <v>4585.42</v>
      </c>
      <c r="AD206" s="4" t="s">
        <v>701</v>
      </c>
      <c r="AE206" s="4" t="s">
        <v>699</v>
      </c>
      <c r="AF206" s="4" t="s">
        <v>319</v>
      </c>
    </row>
    <row r="207" spans="1:35" ht="18" x14ac:dyDescent="0.35">
      <c r="A207" s="38" t="s">
        <v>702</v>
      </c>
      <c r="B207" s="38"/>
      <c r="C207" s="49" t="s">
        <v>703</v>
      </c>
      <c r="D207" s="40"/>
      <c r="E207" s="40" t="s">
        <v>704</v>
      </c>
      <c r="F207" s="50" t="s">
        <v>81</v>
      </c>
      <c r="G207" s="51">
        <v>1.8</v>
      </c>
      <c r="H207" s="40"/>
      <c r="I207" s="62">
        <v>0</v>
      </c>
      <c r="J207" s="53">
        <v>5.85</v>
      </c>
      <c r="K207" s="54"/>
      <c r="L207" s="54"/>
      <c r="M207" s="53">
        <f t="shared" si="51"/>
        <v>0</v>
      </c>
      <c r="N207" s="54"/>
      <c r="O207" s="54"/>
      <c r="P207" s="53">
        <v>5.85</v>
      </c>
      <c r="Q207" s="54"/>
      <c r="R207" s="54"/>
      <c r="S207" s="53">
        <f t="shared" si="52"/>
        <v>0</v>
      </c>
      <c r="T207" s="54"/>
      <c r="U207" s="55"/>
      <c r="V207" s="9">
        <f t="shared" si="53"/>
        <v>4.88</v>
      </c>
      <c r="Y207" s="9">
        <f t="shared" si="54"/>
        <v>0</v>
      </c>
      <c r="AD207" s="4" t="s">
        <v>705</v>
      </c>
      <c r="AE207" s="4" t="s">
        <v>706</v>
      </c>
      <c r="AF207" s="4" t="s">
        <v>707</v>
      </c>
    </row>
    <row r="208" spans="1:35" ht="18" x14ac:dyDescent="0.35">
      <c r="A208" s="44" t="s">
        <v>708</v>
      </c>
      <c r="B208" s="44"/>
      <c r="C208" s="56" t="s">
        <v>703</v>
      </c>
      <c r="D208" s="46"/>
      <c r="E208" s="46" t="s">
        <v>704</v>
      </c>
      <c r="F208" s="57" t="s">
        <v>81</v>
      </c>
      <c r="G208" s="58">
        <v>1.8</v>
      </c>
      <c r="H208" s="46"/>
      <c r="I208" s="63">
        <v>7923.6</v>
      </c>
      <c r="J208" s="59">
        <v>5.85</v>
      </c>
      <c r="K208" s="60"/>
      <c r="L208" s="60"/>
      <c r="M208" s="59">
        <f t="shared" si="51"/>
        <v>46353.06</v>
      </c>
      <c r="N208" s="60"/>
      <c r="O208" s="60"/>
      <c r="P208" s="59">
        <v>5.85</v>
      </c>
      <c r="Q208" s="60"/>
      <c r="R208" s="60"/>
      <c r="S208" s="59">
        <f t="shared" si="52"/>
        <v>46353.06</v>
      </c>
      <c r="T208" s="60"/>
      <c r="U208" s="61"/>
      <c r="V208" s="9">
        <f t="shared" si="53"/>
        <v>4.88</v>
      </c>
      <c r="Y208" s="9">
        <f t="shared" si="54"/>
        <v>38627.550000000003</v>
      </c>
      <c r="AD208" s="4" t="s">
        <v>709</v>
      </c>
      <c r="AE208" s="4" t="s">
        <v>706</v>
      </c>
      <c r="AF208" s="4" t="s">
        <v>707</v>
      </c>
    </row>
    <row r="209" spans="1:35" ht="18" x14ac:dyDescent="0.35">
      <c r="A209" s="38" t="s">
        <v>710</v>
      </c>
      <c r="B209" s="38"/>
      <c r="C209" s="49" t="s">
        <v>711</v>
      </c>
      <c r="D209" s="40"/>
      <c r="E209" s="40"/>
      <c r="F209" s="50" t="s">
        <v>129</v>
      </c>
      <c r="G209" s="51">
        <v>1.1000000000000001</v>
      </c>
      <c r="H209" s="40"/>
      <c r="I209" s="62">
        <v>0</v>
      </c>
      <c r="J209" s="53">
        <v>18.34</v>
      </c>
      <c r="K209" s="54"/>
      <c r="L209" s="54"/>
      <c r="M209" s="53">
        <f t="shared" si="51"/>
        <v>0</v>
      </c>
      <c r="N209" s="54"/>
      <c r="O209" s="54"/>
      <c r="P209" s="53">
        <v>18.34</v>
      </c>
      <c r="Q209" s="54"/>
      <c r="R209" s="54"/>
      <c r="S209" s="53">
        <f t="shared" si="52"/>
        <v>0</v>
      </c>
      <c r="T209" s="54"/>
      <c r="U209" s="55"/>
      <c r="V209" s="9">
        <f t="shared" si="53"/>
        <v>15.28</v>
      </c>
      <c r="Y209" s="9">
        <f t="shared" si="54"/>
        <v>0</v>
      </c>
      <c r="AD209" s="4" t="s">
        <v>712</v>
      </c>
      <c r="AE209" s="4" t="s">
        <v>713</v>
      </c>
      <c r="AF209" s="4" t="s">
        <v>714</v>
      </c>
    </row>
    <row r="210" spans="1:35" ht="18" x14ac:dyDescent="0.35">
      <c r="A210" s="44" t="s">
        <v>715</v>
      </c>
      <c r="B210" s="44"/>
      <c r="C210" s="56" t="s">
        <v>711</v>
      </c>
      <c r="D210" s="46"/>
      <c r="E210" s="46"/>
      <c r="F210" s="57" t="s">
        <v>129</v>
      </c>
      <c r="G210" s="58">
        <v>1.1000000000000001</v>
      </c>
      <c r="H210" s="46"/>
      <c r="I210" s="63">
        <v>242.11</v>
      </c>
      <c r="J210" s="59">
        <v>18.34</v>
      </c>
      <c r="K210" s="60"/>
      <c r="L210" s="60"/>
      <c r="M210" s="59">
        <f t="shared" si="51"/>
        <v>4440.3</v>
      </c>
      <c r="N210" s="60"/>
      <c r="O210" s="60"/>
      <c r="P210" s="59">
        <v>18.34</v>
      </c>
      <c r="Q210" s="60"/>
      <c r="R210" s="60"/>
      <c r="S210" s="59">
        <f t="shared" si="52"/>
        <v>4440.3</v>
      </c>
      <c r="T210" s="60"/>
      <c r="U210" s="61"/>
      <c r="V210" s="9">
        <f t="shared" si="53"/>
        <v>15.28</v>
      </c>
      <c r="Y210" s="9">
        <f t="shared" si="54"/>
        <v>3700.25</v>
      </c>
      <c r="AD210" s="4" t="s">
        <v>716</v>
      </c>
      <c r="AE210" s="4" t="s">
        <v>713</v>
      </c>
      <c r="AF210" s="4" t="s">
        <v>714</v>
      </c>
    </row>
    <row r="211" spans="1:35" ht="54" x14ac:dyDescent="0.35">
      <c r="A211" s="38" t="s">
        <v>717</v>
      </c>
      <c r="B211" s="38" t="s">
        <v>684</v>
      </c>
      <c r="C211" s="39" t="s">
        <v>685</v>
      </c>
      <c r="D211" s="40"/>
      <c r="E211" s="40" t="s">
        <v>718</v>
      </c>
      <c r="F211" s="40" t="s">
        <v>56</v>
      </c>
      <c r="G211" s="41">
        <v>1</v>
      </c>
      <c r="H211" s="40"/>
      <c r="I211" s="42">
        <v>0</v>
      </c>
      <c r="J211" s="43">
        <f>IFERROR(ROUND(SUM(M213,M215,M217,M219)/I211, 2),0)</f>
        <v>0</v>
      </c>
      <c r="K211" s="43">
        <v>826</v>
      </c>
      <c r="L211" s="43">
        <f>J211+ROUND(K211, 2)</f>
        <v>826</v>
      </c>
      <c r="M211" s="43">
        <f>ROUND(J211*I211, 2)</f>
        <v>0</v>
      </c>
      <c r="N211" s="43">
        <f>ROUND(I211*ROUND(K211, 2), 2)</f>
        <v>0</v>
      </c>
      <c r="O211" s="43">
        <f>M211+N211</f>
        <v>0</v>
      </c>
      <c r="P211" s="43">
        <f>IFERROR(ROUND(SUM(S213,S215,S217,S219)/I211, 2),0)</f>
        <v>0</v>
      </c>
      <c r="Q211" s="43">
        <v>826</v>
      </c>
      <c r="R211" s="43">
        <f>P211+ROUND(Q211, 2)</f>
        <v>826</v>
      </c>
      <c r="S211" s="43">
        <f>ROUND(P211*I211, 2)</f>
        <v>0</v>
      </c>
      <c r="T211" s="43">
        <f>ROUND(I211*ROUND(Q211, 2), 2)</f>
        <v>0</v>
      </c>
      <c r="U211" s="43">
        <f>S211+T211</f>
        <v>0</v>
      </c>
      <c r="V211" s="9">
        <f>ROUND(P211 / 1.2, 2)</f>
        <v>0</v>
      </c>
      <c r="W211" s="9">
        <f>ROUND(Q211 / 1.2, 2)</f>
        <v>688.33</v>
      </c>
      <c r="X211" s="9">
        <f>ROUND(R211 / 1.2, 2)</f>
        <v>688.33</v>
      </c>
      <c r="Y211" s="9">
        <f t="shared" si="54"/>
        <v>0</v>
      </c>
      <c r="Z211" s="9">
        <f>ROUND(T211 / 1.2, 2)</f>
        <v>0</v>
      </c>
      <c r="AA211" s="9">
        <f>Y211+Z211</f>
        <v>0</v>
      </c>
      <c r="AD211" s="4">
        <v>303752468</v>
      </c>
      <c r="AE211" s="4">
        <v>16077288</v>
      </c>
      <c r="AG211" s="4" t="s">
        <v>687</v>
      </c>
      <c r="AH211" s="4" t="s">
        <v>688</v>
      </c>
      <c r="AI211" s="4" t="s">
        <v>247</v>
      </c>
    </row>
    <row r="212" spans="1:35" ht="54" x14ac:dyDescent="0.35">
      <c r="A212" s="44" t="s">
        <v>719</v>
      </c>
      <c r="B212" s="44" t="s">
        <v>684</v>
      </c>
      <c r="C212" s="45" t="s">
        <v>685</v>
      </c>
      <c r="D212" s="46"/>
      <c r="E212" s="46" t="s">
        <v>718</v>
      </c>
      <c r="F212" s="46" t="s">
        <v>56</v>
      </c>
      <c r="G212" s="47">
        <v>1</v>
      </c>
      <c r="H212" s="46"/>
      <c r="I212" s="47">
        <v>534</v>
      </c>
      <c r="J212" s="48">
        <v>0</v>
      </c>
      <c r="K212" s="48">
        <v>826</v>
      </c>
      <c r="L212" s="48"/>
      <c r="M212" s="48">
        <v>0</v>
      </c>
      <c r="N212" s="48"/>
      <c r="O212" s="48"/>
      <c r="P212" s="48">
        <v>0</v>
      </c>
      <c r="Q212" s="48">
        <v>826</v>
      </c>
      <c r="R212" s="48"/>
      <c r="S212" s="48">
        <v>0</v>
      </c>
      <c r="T212" s="48"/>
      <c r="U212" s="48"/>
      <c r="V212" s="9"/>
      <c r="W212" s="9">
        <f>ROUND(Q212 / 1.2, 2)</f>
        <v>688.33</v>
      </c>
      <c r="X212" s="9">
        <f>ROUND(R212 / 1.2, 2)</f>
        <v>0</v>
      </c>
      <c r="Y212" s="9"/>
      <c r="Z212" s="9">
        <f>ROUND(T212 / 1.2, 2)</f>
        <v>0</v>
      </c>
      <c r="AA212" s="9"/>
      <c r="AD212" s="4">
        <v>204216667</v>
      </c>
      <c r="AE212" s="4">
        <v>16077288</v>
      </c>
      <c r="AG212" s="4" t="s">
        <v>687</v>
      </c>
      <c r="AH212" s="4" t="s">
        <v>688</v>
      </c>
      <c r="AI212" s="4"/>
    </row>
    <row r="213" spans="1:35" ht="36" x14ac:dyDescent="0.35">
      <c r="A213" s="38" t="s">
        <v>720</v>
      </c>
      <c r="B213" s="38"/>
      <c r="C213" s="49" t="s">
        <v>721</v>
      </c>
      <c r="D213" s="40"/>
      <c r="E213" s="40"/>
      <c r="F213" s="50" t="s">
        <v>81</v>
      </c>
      <c r="G213" s="51">
        <v>0.15</v>
      </c>
      <c r="H213" s="40"/>
      <c r="I213" s="52">
        <v>0</v>
      </c>
      <c r="J213" s="53">
        <v>80</v>
      </c>
      <c r="K213" s="54"/>
      <c r="L213" s="54"/>
      <c r="M213" s="53">
        <f t="shared" ref="M213:M220" si="55">ROUND(ROUND(J213, 2)*I213, 2)</f>
        <v>0</v>
      </c>
      <c r="N213" s="54"/>
      <c r="O213" s="54"/>
      <c r="P213" s="53">
        <v>80</v>
      </c>
      <c r="Q213" s="54"/>
      <c r="R213" s="54"/>
      <c r="S213" s="53">
        <f t="shared" ref="S213:S220" si="56">ROUND(ROUND(P213, 2)*I213, 2)</f>
        <v>0</v>
      </c>
      <c r="T213" s="54"/>
      <c r="U213" s="55"/>
      <c r="V213" s="9">
        <f t="shared" ref="V213:V220" si="57">ROUND(ROUND(P213, 2)/1.2, 2)</f>
        <v>66.67</v>
      </c>
      <c r="Y213" s="9">
        <f t="shared" ref="Y213:Y221" si="58">ROUND(S213 / 1.2, 2)</f>
        <v>0</v>
      </c>
      <c r="AD213" s="4" t="s">
        <v>722</v>
      </c>
      <c r="AE213" s="4" t="s">
        <v>723</v>
      </c>
      <c r="AF213" s="4" t="s">
        <v>724</v>
      </c>
    </row>
    <row r="214" spans="1:35" ht="36" x14ac:dyDescent="0.35">
      <c r="A214" s="44" t="s">
        <v>725</v>
      </c>
      <c r="B214" s="44"/>
      <c r="C214" s="56" t="s">
        <v>721</v>
      </c>
      <c r="D214" s="46"/>
      <c r="E214" s="46"/>
      <c r="F214" s="57" t="s">
        <v>81</v>
      </c>
      <c r="G214" s="58">
        <v>0.15</v>
      </c>
      <c r="H214" s="46"/>
      <c r="I214" s="58">
        <v>80.099999999999994</v>
      </c>
      <c r="J214" s="59">
        <v>80</v>
      </c>
      <c r="K214" s="60"/>
      <c r="L214" s="60"/>
      <c r="M214" s="59">
        <f t="shared" si="55"/>
        <v>6408</v>
      </c>
      <c r="N214" s="60"/>
      <c r="O214" s="60"/>
      <c r="P214" s="59">
        <v>80</v>
      </c>
      <c r="Q214" s="60"/>
      <c r="R214" s="60"/>
      <c r="S214" s="59">
        <f t="shared" si="56"/>
        <v>6408</v>
      </c>
      <c r="T214" s="60"/>
      <c r="U214" s="61"/>
      <c r="V214" s="9">
        <f t="shared" si="57"/>
        <v>66.67</v>
      </c>
      <c r="Y214" s="9">
        <f t="shared" si="58"/>
        <v>5340</v>
      </c>
      <c r="AD214" s="4" t="s">
        <v>726</v>
      </c>
      <c r="AE214" s="4" t="s">
        <v>723</v>
      </c>
      <c r="AF214" s="4" t="s">
        <v>724</v>
      </c>
    </row>
    <row r="215" spans="1:35" ht="18" x14ac:dyDescent="0.35">
      <c r="A215" s="38" t="s">
        <v>727</v>
      </c>
      <c r="B215" s="38"/>
      <c r="C215" s="49" t="s">
        <v>711</v>
      </c>
      <c r="D215" s="40"/>
      <c r="E215" s="40"/>
      <c r="F215" s="50" t="s">
        <v>129</v>
      </c>
      <c r="G215" s="51">
        <v>1.1000000000000001</v>
      </c>
      <c r="H215" s="40"/>
      <c r="I215" s="62">
        <v>0</v>
      </c>
      <c r="J215" s="53">
        <v>18.34</v>
      </c>
      <c r="K215" s="54"/>
      <c r="L215" s="54"/>
      <c r="M215" s="53">
        <f t="shared" si="55"/>
        <v>0</v>
      </c>
      <c r="N215" s="54"/>
      <c r="O215" s="54"/>
      <c r="P215" s="53">
        <v>18.34</v>
      </c>
      <c r="Q215" s="54"/>
      <c r="R215" s="54"/>
      <c r="S215" s="53">
        <f t="shared" si="56"/>
        <v>0</v>
      </c>
      <c r="T215" s="54"/>
      <c r="U215" s="55"/>
      <c r="V215" s="9">
        <f t="shared" si="57"/>
        <v>15.28</v>
      </c>
      <c r="Y215" s="9">
        <f t="shared" si="58"/>
        <v>0</v>
      </c>
      <c r="AD215" s="4" t="s">
        <v>728</v>
      </c>
      <c r="AE215" s="4" t="s">
        <v>729</v>
      </c>
      <c r="AF215" s="4" t="s">
        <v>714</v>
      </c>
    </row>
    <row r="216" spans="1:35" ht="18" x14ac:dyDescent="0.35">
      <c r="A216" s="44" t="s">
        <v>730</v>
      </c>
      <c r="B216" s="44"/>
      <c r="C216" s="56" t="s">
        <v>711</v>
      </c>
      <c r="D216" s="46"/>
      <c r="E216" s="46"/>
      <c r="F216" s="57" t="s">
        <v>129</v>
      </c>
      <c r="G216" s="58">
        <v>1.1000000000000001</v>
      </c>
      <c r="H216" s="46"/>
      <c r="I216" s="63">
        <v>587.4</v>
      </c>
      <c r="J216" s="59">
        <v>18.34</v>
      </c>
      <c r="K216" s="60"/>
      <c r="L216" s="60"/>
      <c r="M216" s="59">
        <f t="shared" si="55"/>
        <v>10772.92</v>
      </c>
      <c r="N216" s="60"/>
      <c r="O216" s="60"/>
      <c r="P216" s="59">
        <v>18.34</v>
      </c>
      <c r="Q216" s="60"/>
      <c r="R216" s="60"/>
      <c r="S216" s="59">
        <f t="shared" si="56"/>
        <v>10772.92</v>
      </c>
      <c r="T216" s="60"/>
      <c r="U216" s="61"/>
      <c r="V216" s="9">
        <f t="shared" si="57"/>
        <v>15.28</v>
      </c>
      <c r="Y216" s="9">
        <f t="shared" si="58"/>
        <v>8977.43</v>
      </c>
      <c r="AD216" s="4" t="s">
        <v>731</v>
      </c>
      <c r="AE216" s="4" t="s">
        <v>729</v>
      </c>
      <c r="AF216" s="4" t="s">
        <v>714</v>
      </c>
    </row>
    <row r="217" spans="1:35" ht="18" x14ac:dyDescent="0.35">
      <c r="A217" s="38" t="s">
        <v>732</v>
      </c>
      <c r="B217" s="38"/>
      <c r="C217" s="49" t="s">
        <v>703</v>
      </c>
      <c r="D217" s="40"/>
      <c r="E217" s="40" t="s">
        <v>704</v>
      </c>
      <c r="F217" s="50" t="s">
        <v>81</v>
      </c>
      <c r="G217" s="51">
        <v>1.8</v>
      </c>
      <c r="H217" s="40"/>
      <c r="I217" s="62">
        <v>0</v>
      </c>
      <c r="J217" s="53">
        <v>5.85</v>
      </c>
      <c r="K217" s="54"/>
      <c r="L217" s="54"/>
      <c r="M217" s="53">
        <f t="shared" si="55"/>
        <v>0</v>
      </c>
      <c r="N217" s="54"/>
      <c r="O217" s="54"/>
      <c r="P217" s="53">
        <v>5.85</v>
      </c>
      <c r="Q217" s="54"/>
      <c r="R217" s="54"/>
      <c r="S217" s="53">
        <f t="shared" si="56"/>
        <v>0</v>
      </c>
      <c r="T217" s="54"/>
      <c r="U217" s="55"/>
      <c r="V217" s="9">
        <f t="shared" si="57"/>
        <v>4.88</v>
      </c>
      <c r="Y217" s="9">
        <f t="shared" si="58"/>
        <v>0</v>
      </c>
      <c r="AD217" s="4" t="s">
        <v>733</v>
      </c>
      <c r="AE217" s="4" t="s">
        <v>734</v>
      </c>
      <c r="AF217" s="4" t="s">
        <v>707</v>
      </c>
    </row>
    <row r="218" spans="1:35" ht="18" x14ac:dyDescent="0.35">
      <c r="A218" s="44" t="s">
        <v>735</v>
      </c>
      <c r="B218" s="44"/>
      <c r="C218" s="56" t="s">
        <v>703</v>
      </c>
      <c r="D218" s="46"/>
      <c r="E218" s="46" t="s">
        <v>704</v>
      </c>
      <c r="F218" s="57" t="s">
        <v>81</v>
      </c>
      <c r="G218" s="58">
        <v>1.8</v>
      </c>
      <c r="H218" s="46"/>
      <c r="I218" s="63">
        <v>19224</v>
      </c>
      <c r="J218" s="59">
        <v>5.85</v>
      </c>
      <c r="K218" s="60"/>
      <c r="L218" s="60"/>
      <c r="M218" s="59">
        <f t="shared" si="55"/>
        <v>112460.4</v>
      </c>
      <c r="N218" s="60"/>
      <c r="O218" s="60"/>
      <c r="P218" s="59">
        <v>5.85</v>
      </c>
      <c r="Q218" s="60"/>
      <c r="R218" s="60"/>
      <c r="S218" s="59">
        <f t="shared" si="56"/>
        <v>112460.4</v>
      </c>
      <c r="T218" s="60"/>
      <c r="U218" s="61"/>
      <c r="V218" s="9">
        <f t="shared" si="57"/>
        <v>4.88</v>
      </c>
      <c r="Y218" s="9">
        <f t="shared" si="58"/>
        <v>93717</v>
      </c>
      <c r="AD218" s="4" t="s">
        <v>736</v>
      </c>
      <c r="AE218" s="4" t="s">
        <v>734</v>
      </c>
      <c r="AF218" s="4" t="s">
        <v>707</v>
      </c>
    </row>
    <row r="219" spans="1:35" ht="18" x14ac:dyDescent="0.35">
      <c r="A219" s="38" t="s">
        <v>737</v>
      </c>
      <c r="B219" s="38"/>
      <c r="C219" s="49" t="s">
        <v>691</v>
      </c>
      <c r="D219" s="40"/>
      <c r="E219" s="40"/>
      <c r="F219" s="50" t="s">
        <v>56</v>
      </c>
      <c r="G219" s="51">
        <v>1.1000000000000001</v>
      </c>
      <c r="H219" s="40"/>
      <c r="I219" s="52">
        <v>0</v>
      </c>
      <c r="J219" s="53">
        <v>27.55</v>
      </c>
      <c r="K219" s="54"/>
      <c r="L219" s="54"/>
      <c r="M219" s="53">
        <f t="shared" si="55"/>
        <v>0</v>
      </c>
      <c r="N219" s="54"/>
      <c r="O219" s="54"/>
      <c r="P219" s="53">
        <v>27.55</v>
      </c>
      <c r="Q219" s="54"/>
      <c r="R219" s="54"/>
      <c r="S219" s="53">
        <f t="shared" si="56"/>
        <v>0</v>
      </c>
      <c r="T219" s="54"/>
      <c r="U219" s="55"/>
      <c r="V219" s="9">
        <f t="shared" si="57"/>
        <v>22.96</v>
      </c>
      <c r="Y219" s="9">
        <f t="shared" si="58"/>
        <v>0</v>
      </c>
      <c r="AD219" s="4" t="s">
        <v>738</v>
      </c>
      <c r="AE219" s="4" t="s">
        <v>739</v>
      </c>
      <c r="AF219" s="4" t="s">
        <v>694</v>
      </c>
    </row>
    <row r="220" spans="1:35" ht="18" x14ac:dyDescent="0.35">
      <c r="A220" s="44" t="s">
        <v>740</v>
      </c>
      <c r="B220" s="44"/>
      <c r="C220" s="56" t="s">
        <v>691</v>
      </c>
      <c r="D220" s="46"/>
      <c r="E220" s="46"/>
      <c r="F220" s="57" t="s">
        <v>56</v>
      </c>
      <c r="G220" s="58">
        <v>1.1000000000000001</v>
      </c>
      <c r="H220" s="46"/>
      <c r="I220" s="58">
        <v>587.4</v>
      </c>
      <c r="J220" s="59">
        <v>27.55</v>
      </c>
      <c r="K220" s="60"/>
      <c r="L220" s="60"/>
      <c r="M220" s="59">
        <f t="shared" si="55"/>
        <v>16182.87</v>
      </c>
      <c r="N220" s="60"/>
      <c r="O220" s="60"/>
      <c r="P220" s="59">
        <v>27.55</v>
      </c>
      <c r="Q220" s="60"/>
      <c r="R220" s="60"/>
      <c r="S220" s="59">
        <f t="shared" si="56"/>
        <v>16182.87</v>
      </c>
      <c r="T220" s="60"/>
      <c r="U220" s="61"/>
      <c r="V220" s="9">
        <f t="shared" si="57"/>
        <v>22.96</v>
      </c>
      <c r="Y220" s="9">
        <f t="shared" si="58"/>
        <v>13485.73</v>
      </c>
      <c r="AD220" s="4" t="s">
        <v>741</v>
      </c>
      <c r="AE220" s="4" t="s">
        <v>739</v>
      </c>
      <c r="AF220" s="4" t="s">
        <v>694</v>
      </c>
    </row>
    <row r="221" spans="1:35" ht="54" x14ac:dyDescent="0.35">
      <c r="A221" s="38" t="s">
        <v>742</v>
      </c>
      <c r="B221" s="38" t="s">
        <v>684</v>
      </c>
      <c r="C221" s="39" t="s">
        <v>685</v>
      </c>
      <c r="D221" s="40"/>
      <c r="E221" s="40" t="s">
        <v>743</v>
      </c>
      <c r="F221" s="40" t="s">
        <v>56</v>
      </c>
      <c r="G221" s="41">
        <v>1</v>
      </c>
      <c r="H221" s="40"/>
      <c r="I221" s="42">
        <v>0</v>
      </c>
      <c r="J221" s="43">
        <f>IFERROR(ROUND(SUM(M223,M225,M227)/I221, 2),0)</f>
        <v>0</v>
      </c>
      <c r="K221" s="43">
        <v>826</v>
      </c>
      <c r="L221" s="43">
        <f>J221+ROUND(K221, 2)</f>
        <v>826</v>
      </c>
      <c r="M221" s="43">
        <f>ROUND(J221*I221, 2)</f>
        <v>0</v>
      </c>
      <c r="N221" s="43">
        <f>ROUND(I221*ROUND(K221, 2), 2)</f>
        <v>0</v>
      </c>
      <c r="O221" s="43">
        <f>M221+N221</f>
        <v>0</v>
      </c>
      <c r="P221" s="43">
        <f>IFERROR(ROUND(SUM(S223,S225,S227)/I221, 2),0)</f>
        <v>0</v>
      </c>
      <c r="Q221" s="43">
        <v>826</v>
      </c>
      <c r="R221" s="43">
        <f>P221+ROUND(Q221, 2)</f>
        <v>826</v>
      </c>
      <c r="S221" s="43">
        <f>ROUND(P221*I221, 2)</f>
        <v>0</v>
      </c>
      <c r="T221" s="43">
        <f>ROUND(I221*ROUND(Q221, 2), 2)</f>
        <v>0</v>
      </c>
      <c r="U221" s="43">
        <f>S221+T221</f>
        <v>0</v>
      </c>
      <c r="V221" s="9">
        <f>ROUND(P221 / 1.2, 2)</f>
        <v>0</v>
      </c>
      <c r="W221" s="9">
        <f>ROUND(Q221 / 1.2, 2)</f>
        <v>688.33</v>
      </c>
      <c r="X221" s="9">
        <f>ROUND(R221 / 1.2, 2)</f>
        <v>688.33</v>
      </c>
      <c r="Y221" s="9">
        <f t="shared" si="58"/>
        <v>0</v>
      </c>
      <c r="Z221" s="9">
        <f>ROUND(T221 / 1.2, 2)</f>
        <v>0</v>
      </c>
      <c r="AA221" s="9">
        <f>Y221+Z221</f>
        <v>0</v>
      </c>
      <c r="AD221" s="4">
        <v>303752469</v>
      </c>
      <c r="AE221" s="4">
        <v>16081379</v>
      </c>
      <c r="AG221" s="4" t="s">
        <v>687</v>
      </c>
      <c r="AH221" s="4" t="s">
        <v>688</v>
      </c>
      <c r="AI221" s="4" t="s">
        <v>247</v>
      </c>
    </row>
    <row r="222" spans="1:35" ht="54" x14ac:dyDescent="0.35">
      <c r="A222" s="44" t="s">
        <v>744</v>
      </c>
      <c r="B222" s="44" t="s">
        <v>684</v>
      </c>
      <c r="C222" s="45" t="s">
        <v>685</v>
      </c>
      <c r="D222" s="46"/>
      <c r="E222" s="46" t="s">
        <v>743</v>
      </c>
      <c r="F222" s="46" t="s">
        <v>56</v>
      </c>
      <c r="G222" s="47">
        <v>1</v>
      </c>
      <c r="H222" s="46"/>
      <c r="I222" s="47">
        <v>53.9</v>
      </c>
      <c r="J222" s="48">
        <v>0</v>
      </c>
      <c r="K222" s="48">
        <v>826</v>
      </c>
      <c r="L222" s="48"/>
      <c r="M222" s="48">
        <v>0</v>
      </c>
      <c r="N222" s="48"/>
      <c r="O222" s="48"/>
      <c r="P222" s="48">
        <v>0</v>
      </c>
      <c r="Q222" s="48">
        <v>826</v>
      </c>
      <c r="R222" s="48"/>
      <c r="S222" s="48">
        <v>0</v>
      </c>
      <c r="T222" s="48"/>
      <c r="U222" s="48"/>
      <c r="V222" s="9"/>
      <c r="W222" s="9">
        <f>ROUND(Q222 / 1.2, 2)</f>
        <v>688.33</v>
      </c>
      <c r="X222" s="9">
        <f>ROUND(R222 / 1.2, 2)</f>
        <v>0</v>
      </c>
      <c r="Y222" s="9"/>
      <c r="Z222" s="9">
        <f>ROUND(T222 / 1.2, 2)</f>
        <v>0</v>
      </c>
      <c r="AA222" s="9"/>
      <c r="AD222" s="4">
        <v>206577563</v>
      </c>
      <c r="AE222" s="4">
        <v>16081379</v>
      </c>
      <c r="AG222" s="4" t="s">
        <v>687</v>
      </c>
      <c r="AH222" s="4" t="s">
        <v>688</v>
      </c>
      <c r="AI222" s="4"/>
    </row>
    <row r="223" spans="1:35" ht="18" x14ac:dyDescent="0.35">
      <c r="A223" s="38" t="s">
        <v>745</v>
      </c>
      <c r="B223" s="38"/>
      <c r="C223" s="49" t="s">
        <v>711</v>
      </c>
      <c r="D223" s="40"/>
      <c r="E223" s="40"/>
      <c r="F223" s="50" t="s">
        <v>129</v>
      </c>
      <c r="G223" s="51">
        <v>1.1000000000000001</v>
      </c>
      <c r="H223" s="40"/>
      <c r="I223" s="62">
        <v>0</v>
      </c>
      <c r="J223" s="53">
        <v>18.34</v>
      </c>
      <c r="K223" s="54"/>
      <c r="L223" s="54"/>
      <c r="M223" s="53">
        <f t="shared" ref="M223:M228" si="59">ROUND(ROUND(J223, 2)*I223, 2)</f>
        <v>0</v>
      </c>
      <c r="N223" s="54"/>
      <c r="O223" s="54"/>
      <c r="P223" s="53">
        <v>18.34</v>
      </c>
      <c r="Q223" s="54"/>
      <c r="R223" s="54"/>
      <c r="S223" s="53">
        <f t="shared" ref="S223:S228" si="60">ROUND(ROUND(P223, 2)*I223, 2)</f>
        <v>0</v>
      </c>
      <c r="T223" s="54"/>
      <c r="U223" s="55"/>
      <c r="V223" s="9">
        <f t="shared" ref="V223:V228" si="61">ROUND(ROUND(P223, 2)/1.2, 2)</f>
        <v>15.28</v>
      </c>
      <c r="Y223" s="9">
        <f t="shared" ref="Y223:Y229" si="62">ROUND(S223 / 1.2, 2)</f>
        <v>0</v>
      </c>
      <c r="AD223" s="4" t="s">
        <v>746</v>
      </c>
      <c r="AE223" s="4" t="s">
        <v>747</v>
      </c>
      <c r="AF223" s="4" t="s">
        <v>714</v>
      </c>
    </row>
    <row r="224" spans="1:35" ht="18" x14ac:dyDescent="0.35">
      <c r="A224" s="44" t="s">
        <v>748</v>
      </c>
      <c r="B224" s="44"/>
      <c r="C224" s="56" t="s">
        <v>711</v>
      </c>
      <c r="D224" s="46"/>
      <c r="E224" s="46"/>
      <c r="F224" s="57" t="s">
        <v>129</v>
      </c>
      <c r="G224" s="58">
        <v>1.1000000000000001</v>
      </c>
      <c r="H224" s="46"/>
      <c r="I224" s="63">
        <v>59.29</v>
      </c>
      <c r="J224" s="59">
        <v>18.34</v>
      </c>
      <c r="K224" s="60"/>
      <c r="L224" s="60"/>
      <c r="M224" s="59">
        <f t="shared" si="59"/>
        <v>1087.3800000000001</v>
      </c>
      <c r="N224" s="60"/>
      <c r="O224" s="60"/>
      <c r="P224" s="59">
        <v>18.34</v>
      </c>
      <c r="Q224" s="60"/>
      <c r="R224" s="60"/>
      <c r="S224" s="59">
        <f t="shared" si="60"/>
        <v>1087.3800000000001</v>
      </c>
      <c r="T224" s="60"/>
      <c r="U224" s="61"/>
      <c r="V224" s="9">
        <f t="shared" si="61"/>
        <v>15.28</v>
      </c>
      <c r="Y224" s="9">
        <f t="shared" si="62"/>
        <v>906.15</v>
      </c>
      <c r="AD224" s="4" t="s">
        <v>749</v>
      </c>
      <c r="AE224" s="4" t="s">
        <v>747</v>
      </c>
      <c r="AF224" s="4" t="s">
        <v>714</v>
      </c>
    </row>
    <row r="225" spans="1:35" ht="18" x14ac:dyDescent="0.35">
      <c r="A225" s="38" t="s">
        <v>750</v>
      </c>
      <c r="B225" s="38"/>
      <c r="C225" s="49" t="s">
        <v>316</v>
      </c>
      <c r="D225" s="40"/>
      <c r="E225" s="40"/>
      <c r="F225" s="50" t="s">
        <v>81</v>
      </c>
      <c r="G225" s="51">
        <v>0.25</v>
      </c>
      <c r="H225" s="40"/>
      <c r="I225" s="52">
        <v>0</v>
      </c>
      <c r="J225" s="53">
        <v>100</v>
      </c>
      <c r="K225" s="54"/>
      <c r="L225" s="54"/>
      <c r="M225" s="53">
        <f t="shared" si="59"/>
        <v>0</v>
      </c>
      <c r="N225" s="54"/>
      <c r="O225" s="54"/>
      <c r="P225" s="53">
        <v>100</v>
      </c>
      <c r="Q225" s="54"/>
      <c r="R225" s="54"/>
      <c r="S225" s="53">
        <f t="shared" si="60"/>
        <v>0</v>
      </c>
      <c r="T225" s="54"/>
      <c r="U225" s="55"/>
      <c r="V225" s="9">
        <f t="shared" si="61"/>
        <v>83.33</v>
      </c>
      <c r="Y225" s="9">
        <f t="shared" si="62"/>
        <v>0</v>
      </c>
      <c r="AD225" s="4" t="s">
        <v>751</v>
      </c>
      <c r="AE225" s="4" t="s">
        <v>752</v>
      </c>
      <c r="AF225" s="4" t="s">
        <v>319</v>
      </c>
    </row>
    <row r="226" spans="1:35" ht="18" x14ac:dyDescent="0.35">
      <c r="A226" s="44" t="s">
        <v>753</v>
      </c>
      <c r="B226" s="44"/>
      <c r="C226" s="56" t="s">
        <v>316</v>
      </c>
      <c r="D226" s="46"/>
      <c r="E226" s="46"/>
      <c r="F226" s="57" t="s">
        <v>81</v>
      </c>
      <c r="G226" s="58">
        <v>0.25</v>
      </c>
      <c r="H226" s="46"/>
      <c r="I226" s="58">
        <v>13.475</v>
      </c>
      <c r="J226" s="59">
        <v>100</v>
      </c>
      <c r="K226" s="60"/>
      <c r="L226" s="60"/>
      <c r="M226" s="59">
        <f t="shared" si="59"/>
        <v>1347.5</v>
      </c>
      <c r="N226" s="60"/>
      <c r="O226" s="60"/>
      <c r="P226" s="59">
        <v>100</v>
      </c>
      <c r="Q226" s="60"/>
      <c r="R226" s="60"/>
      <c r="S226" s="59">
        <f t="shared" si="60"/>
        <v>1347.5</v>
      </c>
      <c r="T226" s="60"/>
      <c r="U226" s="61"/>
      <c r="V226" s="9">
        <f t="shared" si="61"/>
        <v>83.33</v>
      </c>
      <c r="Y226" s="9">
        <f t="shared" si="62"/>
        <v>1122.92</v>
      </c>
      <c r="AD226" s="4" t="s">
        <v>754</v>
      </c>
      <c r="AE226" s="4" t="s">
        <v>752</v>
      </c>
      <c r="AF226" s="4" t="s">
        <v>319</v>
      </c>
    </row>
    <row r="227" spans="1:35" ht="36" x14ac:dyDescent="0.35">
      <c r="A227" s="38" t="s">
        <v>755</v>
      </c>
      <c r="B227" s="38"/>
      <c r="C227" s="49" t="s">
        <v>756</v>
      </c>
      <c r="D227" s="40"/>
      <c r="E227" s="40" t="s">
        <v>704</v>
      </c>
      <c r="F227" s="50" t="s">
        <v>81</v>
      </c>
      <c r="G227" s="51">
        <v>1</v>
      </c>
      <c r="H227" s="40"/>
      <c r="I227" s="62">
        <v>0</v>
      </c>
      <c r="J227" s="53">
        <v>7.59</v>
      </c>
      <c r="K227" s="54"/>
      <c r="L227" s="54"/>
      <c r="M227" s="53">
        <f t="shared" si="59"/>
        <v>0</v>
      </c>
      <c r="N227" s="54"/>
      <c r="O227" s="54"/>
      <c r="P227" s="53">
        <v>8.35</v>
      </c>
      <c r="Q227" s="54"/>
      <c r="R227" s="54"/>
      <c r="S227" s="53">
        <f t="shared" si="60"/>
        <v>0</v>
      </c>
      <c r="T227" s="54"/>
      <c r="U227" s="55"/>
      <c r="V227" s="9">
        <f t="shared" si="61"/>
        <v>6.96</v>
      </c>
      <c r="Y227" s="9">
        <f t="shared" si="62"/>
        <v>0</v>
      </c>
      <c r="AD227" s="4" t="s">
        <v>757</v>
      </c>
      <c r="AE227" s="4" t="s">
        <v>758</v>
      </c>
      <c r="AF227" s="4" t="s">
        <v>759</v>
      </c>
    </row>
    <row r="228" spans="1:35" ht="36" x14ac:dyDescent="0.35">
      <c r="A228" s="44" t="s">
        <v>760</v>
      </c>
      <c r="B228" s="44"/>
      <c r="C228" s="56" t="s">
        <v>756</v>
      </c>
      <c r="D228" s="46"/>
      <c r="E228" s="46" t="s">
        <v>704</v>
      </c>
      <c r="F228" s="57" t="s">
        <v>81</v>
      </c>
      <c r="G228" s="58">
        <v>1</v>
      </c>
      <c r="H228" s="46"/>
      <c r="I228" s="63">
        <v>1078</v>
      </c>
      <c r="J228" s="59">
        <v>7.59</v>
      </c>
      <c r="K228" s="60"/>
      <c r="L228" s="60"/>
      <c r="M228" s="59">
        <f t="shared" si="59"/>
        <v>8182.02</v>
      </c>
      <c r="N228" s="60"/>
      <c r="O228" s="60"/>
      <c r="P228" s="59">
        <v>8.35</v>
      </c>
      <c r="Q228" s="60"/>
      <c r="R228" s="60"/>
      <c r="S228" s="59">
        <f t="shared" si="60"/>
        <v>9001.2999999999993</v>
      </c>
      <c r="T228" s="60"/>
      <c r="U228" s="61"/>
      <c r="V228" s="9">
        <f t="shared" si="61"/>
        <v>6.96</v>
      </c>
      <c r="Y228" s="9">
        <f t="shared" si="62"/>
        <v>7501.08</v>
      </c>
      <c r="AD228" s="4" t="s">
        <v>761</v>
      </c>
      <c r="AE228" s="4" t="s">
        <v>758</v>
      </c>
      <c r="AF228" s="4" t="s">
        <v>759</v>
      </c>
    </row>
    <row r="229" spans="1:35" ht="54" x14ac:dyDescent="0.35">
      <c r="A229" s="38" t="s">
        <v>762</v>
      </c>
      <c r="B229" s="38" t="s">
        <v>684</v>
      </c>
      <c r="C229" s="39" t="s">
        <v>685</v>
      </c>
      <c r="D229" s="40"/>
      <c r="E229" s="40" t="s">
        <v>763</v>
      </c>
      <c r="F229" s="40" t="s">
        <v>56</v>
      </c>
      <c r="G229" s="41">
        <v>1</v>
      </c>
      <c r="H229" s="40"/>
      <c r="I229" s="42">
        <v>0</v>
      </c>
      <c r="J229" s="43">
        <f>IFERROR(ROUND(SUM(M231,M233,M235)/I229, 2),0)</f>
        <v>0</v>
      </c>
      <c r="K229" s="43">
        <v>826</v>
      </c>
      <c r="L229" s="43">
        <f>J229+ROUND(K229, 2)</f>
        <v>826</v>
      </c>
      <c r="M229" s="43">
        <f>ROUND(J229*I229, 2)</f>
        <v>0</v>
      </c>
      <c r="N229" s="43">
        <f>ROUND(I229*ROUND(K229, 2), 2)</f>
        <v>0</v>
      </c>
      <c r="O229" s="43">
        <f>M229+N229</f>
        <v>0</v>
      </c>
      <c r="P229" s="43">
        <f>IFERROR(ROUND(SUM(S231,S233,S235)/I229, 2),0)</f>
        <v>0</v>
      </c>
      <c r="Q229" s="43">
        <v>826</v>
      </c>
      <c r="R229" s="43">
        <f>P229+ROUND(Q229, 2)</f>
        <v>826</v>
      </c>
      <c r="S229" s="43">
        <f>ROUND(P229*I229, 2)</f>
        <v>0</v>
      </c>
      <c r="T229" s="43">
        <f>ROUND(I229*ROUND(Q229, 2), 2)</f>
        <v>0</v>
      </c>
      <c r="U229" s="43">
        <f>S229+T229</f>
        <v>0</v>
      </c>
      <c r="V229" s="9">
        <f>ROUND(P229 / 1.2, 2)</f>
        <v>0</v>
      </c>
      <c r="W229" s="9">
        <f>ROUND(Q229 / 1.2, 2)</f>
        <v>688.33</v>
      </c>
      <c r="X229" s="9">
        <f>ROUND(R229 / 1.2, 2)</f>
        <v>688.33</v>
      </c>
      <c r="Y229" s="9">
        <f t="shared" si="62"/>
        <v>0</v>
      </c>
      <c r="Z229" s="9">
        <f>ROUND(T229 / 1.2, 2)</f>
        <v>0</v>
      </c>
      <c r="AA229" s="9">
        <f>Y229+Z229</f>
        <v>0</v>
      </c>
      <c r="AD229" s="4">
        <v>303752470</v>
      </c>
      <c r="AE229" s="4">
        <v>16081378</v>
      </c>
      <c r="AG229" s="4" t="s">
        <v>687</v>
      </c>
      <c r="AH229" s="4" t="s">
        <v>688</v>
      </c>
      <c r="AI229" s="4" t="s">
        <v>247</v>
      </c>
    </row>
    <row r="230" spans="1:35" ht="54" x14ac:dyDescent="0.35">
      <c r="A230" s="44" t="s">
        <v>764</v>
      </c>
      <c r="B230" s="44" t="s">
        <v>684</v>
      </c>
      <c r="C230" s="45" t="s">
        <v>685</v>
      </c>
      <c r="D230" s="46"/>
      <c r="E230" s="46" t="s">
        <v>763</v>
      </c>
      <c r="F230" s="46" t="s">
        <v>56</v>
      </c>
      <c r="G230" s="47">
        <v>1</v>
      </c>
      <c r="H230" s="46"/>
      <c r="I230" s="47">
        <v>260.60000000000002</v>
      </c>
      <c r="J230" s="48">
        <v>0</v>
      </c>
      <c r="K230" s="48">
        <v>826</v>
      </c>
      <c r="L230" s="48"/>
      <c r="M230" s="48">
        <v>0</v>
      </c>
      <c r="N230" s="48"/>
      <c r="O230" s="48"/>
      <c r="P230" s="48">
        <v>0</v>
      </c>
      <c r="Q230" s="48">
        <v>826</v>
      </c>
      <c r="R230" s="48"/>
      <c r="S230" s="48">
        <v>0</v>
      </c>
      <c r="T230" s="48"/>
      <c r="U230" s="48"/>
      <c r="V230" s="9"/>
      <c r="W230" s="9">
        <f>ROUND(Q230 / 1.2, 2)</f>
        <v>688.33</v>
      </c>
      <c r="X230" s="9">
        <f>ROUND(R230 / 1.2, 2)</f>
        <v>0</v>
      </c>
      <c r="Y230" s="9"/>
      <c r="Z230" s="9">
        <f>ROUND(T230 / 1.2, 2)</f>
        <v>0</v>
      </c>
      <c r="AA230" s="9"/>
      <c r="AD230" s="4">
        <v>206577564</v>
      </c>
      <c r="AE230" s="4">
        <v>16081378</v>
      </c>
      <c r="AG230" s="4" t="s">
        <v>687</v>
      </c>
      <c r="AH230" s="4" t="s">
        <v>688</v>
      </c>
      <c r="AI230" s="4"/>
    </row>
    <row r="231" spans="1:35" ht="18" x14ac:dyDescent="0.35">
      <c r="A231" s="38" t="s">
        <v>765</v>
      </c>
      <c r="B231" s="38"/>
      <c r="C231" s="49" t="s">
        <v>711</v>
      </c>
      <c r="D231" s="40"/>
      <c r="E231" s="40"/>
      <c r="F231" s="50" t="s">
        <v>129</v>
      </c>
      <c r="G231" s="51">
        <v>1.1000000000000001</v>
      </c>
      <c r="H231" s="40"/>
      <c r="I231" s="62">
        <v>0</v>
      </c>
      <c r="J231" s="53">
        <v>18.34</v>
      </c>
      <c r="K231" s="54"/>
      <c r="L231" s="54"/>
      <c r="M231" s="53">
        <f t="shared" ref="M231:M236" si="63">ROUND(ROUND(J231, 2)*I231, 2)</f>
        <v>0</v>
      </c>
      <c r="N231" s="54"/>
      <c r="O231" s="54"/>
      <c r="P231" s="53">
        <v>18.34</v>
      </c>
      <c r="Q231" s="54"/>
      <c r="R231" s="54"/>
      <c r="S231" s="53">
        <f t="shared" ref="S231:S236" si="64">ROUND(ROUND(P231, 2)*I231, 2)</f>
        <v>0</v>
      </c>
      <c r="T231" s="54"/>
      <c r="U231" s="55"/>
      <c r="V231" s="9">
        <f t="shared" ref="V231:V236" si="65">ROUND(ROUND(P231, 2)/1.2, 2)</f>
        <v>15.28</v>
      </c>
      <c r="Y231" s="9">
        <f t="shared" ref="Y231:Y237" si="66">ROUND(S231 / 1.2, 2)</f>
        <v>0</v>
      </c>
      <c r="AD231" s="4" t="s">
        <v>766</v>
      </c>
      <c r="AE231" s="4" t="s">
        <v>767</v>
      </c>
      <c r="AF231" s="4" t="s">
        <v>714</v>
      </c>
    </row>
    <row r="232" spans="1:35" ht="18" x14ac:dyDescent="0.35">
      <c r="A232" s="44" t="s">
        <v>768</v>
      </c>
      <c r="B232" s="44"/>
      <c r="C232" s="56" t="s">
        <v>711</v>
      </c>
      <c r="D232" s="46"/>
      <c r="E232" s="46"/>
      <c r="F232" s="57" t="s">
        <v>129</v>
      </c>
      <c r="G232" s="58">
        <v>1.1000000000000001</v>
      </c>
      <c r="H232" s="46"/>
      <c r="I232" s="63">
        <v>286.66000000000003</v>
      </c>
      <c r="J232" s="59">
        <v>18.34</v>
      </c>
      <c r="K232" s="60"/>
      <c r="L232" s="60"/>
      <c r="M232" s="59">
        <f t="shared" si="63"/>
        <v>5257.34</v>
      </c>
      <c r="N232" s="60"/>
      <c r="O232" s="60"/>
      <c r="P232" s="59">
        <v>18.34</v>
      </c>
      <c r="Q232" s="60"/>
      <c r="R232" s="60"/>
      <c r="S232" s="59">
        <f t="shared" si="64"/>
        <v>5257.34</v>
      </c>
      <c r="T232" s="60"/>
      <c r="U232" s="61"/>
      <c r="V232" s="9">
        <f t="shared" si="65"/>
        <v>15.28</v>
      </c>
      <c r="Y232" s="9">
        <f t="shared" si="66"/>
        <v>4381.12</v>
      </c>
      <c r="AD232" s="4" t="s">
        <v>769</v>
      </c>
      <c r="AE232" s="4" t="s">
        <v>767</v>
      </c>
      <c r="AF232" s="4" t="s">
        <v>714</v>
      </c>
    </row>
    <row r="233" spans="1:35" ht="36" x14ac:dyDescent="0.35">
      <c r="A233" s="38" t="s">
        <v>770</v>
      </c>
      <c r="B233" s="38"/>
      <c r="C233" s="49" t="s">
        <v>771</v>
      </c>
      <c r="D233" s="40"/>
      <c r="E233" s="40"/>
      <c r="F233" s="50" t="s">
        <v>81</v>
      </c>
      <c r="G233" s="51">
        <v>0.15</v>
      </c>
      <c r="H233" s="40"/>
      <c r="I233" s="62">
        <v>0</v>
      </c>
      <c r="J233" s="53">
        <v>80</v>
      </c>
      <c r="K233" s="54"/>
      <c r="L233" s="54"/>
      <c r="M233" s="53">
        <f t="shared" si="63"/>
        <v>0</v>
      </c>
      <c r="N233" s="54"/>
      <c r="O233" s="54"/>
      <c r="P233" s="53">
        <v>80</v>
      </c>
      <c r="Q233" s="54"/>
      <c r="R233" s="54"/>
      <c r="S233" s="53">
        <f t="shared" si="64"/>
        <v>0</v>
      </c>
      <c r="T233" s="54"/>
      <c r="U233" s="55"/>
      <c r="V233" s="9">
        <f t="shared" si="65"/>
        <v>66.67</v>
      </c>
      <c r="Y233" s="9">
        <f t="shared" si="66"/>
        <v>0</v>
      </c>
      <c r="AD233" s="4" t="s">
        <v>772</v>
      </c>
      <c r="AE233" s="4" t="s">
        <v>773</v>
      </c>
      <c r="AF233" s="4" t="s">
        <v>774</v>
      </c>
    </row>
    <row r="234" spans="1:35" ht="36" x14ac:dyDescent="0.35">
      <c r="A234" s="44" t="s">
        <v>775</v>
      </c>
      <c r="B234" s="44"/>
      <c r="C234" s="56" t="s">
        <v>771</v>
      </c>
      <c r="D234" s="46"/>
      <c r="E234" s="46"/>
      <c r="F234" s="57" t="s">
        <v>81</v>
      </c>
      <c r="G234" s="58">
        <v>0.15</v>
      </c>
      <c r="H234" s="46"/>
      <c r="I234" s="63">
        <v>39.090000000000003</v>
      </c>
      <c r="J234" s="59">
        <v>80</v>
      </c>
      <c r="K234" s="60"/>
      <c r="L234" s="60"/>
      <c r="M234" s="59">
        <f t="shared" si="63"/>
        <v>3127.2</v>
      </c>
      <c r="N234" s="60"/>
      <c r="O234" s="60"/>
      <c r="P234" s="59">
        <v>80</v>
      </c>
      <c r="Q234" s="60"/>
      <c r="R234" s="60"/>
      <c r="S234" s="59">
        <f t="shared" si="64"/>
        <v>3127.2</v>
      </c>
      <c r="T234" s="60"/>
      <c r="U234" s="61"/>
      <c r="V234" s="9">
        <f t="shared" si="65"/>
        <v>66.67</v>
      </c>
      <c r="Y234" s="9">
        <f t="shared" si="66"/>
        <v>2606</v>
      </c>
      <c r="AD234" s="4" t="s">
        <v>776</v>
      </c>
      <c r="AE234" s="4" t="s">
        <v>773</v>
      </c>
      <c r="AF234" s="4" t="s">
        <v>774</v>
      </c>
    </row>
    <row r="235" spans="1:35" ht="36" x14ac:dyDescent="0.35">
      <c r="A235" s="38" t="s">
        <v>777</v>
      </c>
      <c r="B235" s="38"/>
      <c r="C235" s="49" t="s">
        <v>756</v>
      </c>
      <c r="D235" s="40"/>
      <c r="E235" s="40" t="s">
        <v>704</v>
      </c>
      <c r="F235" s="50" t="s">
        <v>81</v>
      </c>
      <c r="G235" s="51">
        <v>1</v>
      </c>
      <c r="H235" s="40"/>
      <c r="I235" s="62">
        <v>0</v>
      </c>
      <c r="J235" s="53">
        <v>7.59</v>
      </c>
      <c r="K235" s="54"/>
      <c r="L235" s="54"/>
      <c r="M235" s="53">
        <f t="shared" si="63"/>
        <v>0</v>
      </c>
      <c r="N235" s="54"/>
      <c r="O235" s="54"/>
      <c r="P235" s="53">
        <v>8.35</v>
      </c>
      <c r="Q235" s="54"/>
      <c r="R235" s="54"/>
      <c r="S235" s="53">
        <f t="shared" si="64"/>
        <v>0</v>
      </c>
      <c r="T235" s="54"/>
      <c r="U235" s="55"/>
      <c r="V235" s="9">
        <f t="shared" si="65"/>
        <v>6.96</v>
      </c>
      <c r="Y235" s="9">
        <f t="shared" si="66"/>
        <v>0</v>
      </c>
      <c r="AD235" s="4" t="s">
        <v>778</v>
      </c>
      <c r="AE235" s="4" t="s">
        <v>779</v>
      </c>
      <c r="AF235" s="4" t="s">
        <v>759</v>
      </c>
    </row>
    <row r="236" spans="1:35" ht="36" x14ac:dyDescent="0.35">
      <c r="A236" s="44" t="s">
        <v>780</v>
      </c>
      <c r="B236" s="44"/>
      <c r="C236" s="56" t="s">
        <v>756</v>
      </c>
      <c r="D236" s="46"/>
      <c r="E236" s="46" t="s">
        <v>704</v>
      </c>
      <c r="F236" s="57" t="s">
        <v>81</v>
      </c>
      <c r="G236" s="58">
        <v>1</v>
      </c>
      <c r="H236" s="46"/>
      <c r="I236" s="63">
        <v>5212</v>
      </c>
      <c r="J236" s="59">
        <v>7.59</v>
      </c>
      <c r="K236" s="60"/>
      <c r="L236" s="60"/>
      <c r="M236" s="59">
        <f t="shared" si="63"/>
        <v>39559.08</v>
      </c>
      <c r="N236" s="60"/>
      <c r="O236" s="60"/>
      <c r="P236" s="59">
        <v>8.35</v>
      </c>
      <c r="Q236" s="60"/>
      <c r="R236" s="60"/>
      <c r="S236" s="59">
        <f t="shared" si="64"/>
        <v>43520.2</v>
      </c>
      <c r="T236" s="60"/>
      <c r="U236" s="61"/>
      <c r="V236" s="9">
        <f t="shared" si="65"/>
        <v>6.96</v>
      </c>
      <c r="Y236" s="9">
        <f t="shared" si="66"/>
        <v>36266.83</v>
      </c>
      <c r="AD236" s="4" t="s">
        <v>781</v>
      </c>
      <c r="AE236" s="4" t="s">
        <v>779</v>
      </c>
      <c r="AF236" s="4" t="s">
        <v>759</v>
      </c>
    </row>
    <row r="237" spans="1:35" ht="54" x14ac:dyDescent="0.35">
      <c r="A237" s="38" t="s">
        <v>782</v>
      </c>
      <c r="B237" s="38" t="s">
        <v>684</v>
      </c>
      <c r="C237" s="39" t="s">
        <v>685</v>
      </c>
      <c r="D237" s="40"/>
      <c r="E237" s="40" t="s">
        <v>783</v>
      </c>
      <c r="F237" s="40" t="s">
        <v>56</v>
      </c>
      <c r="G237" s="41">
        <v>1</v>
      </c>
      <c r="H237" s="40"/>
      <c r="I237" s="42">
        <v>0</v>
      </c>
      <c r="J237" s="43">
        <f>IFERROR(ROUND(SUM(M239,M241,M243,M245)/I237, 2),0)</f>
        <v>0</v>
      </c>
      <c r="K237" s="43">
        <v>826</v>
      </c>
      <c r="L237" s="43">
        <f>J237+ROUND(K237, 2)</f>
        <v>826</v>
      </c>
      <c r="M237" s="43">
        <f>ROUND(J237*I237, 2)</f>
        <v>0</v>
      </c>
      <c r="N237" s="43">
        <f>ROUND(I237*ROUND(K237, 2), 2)</f>
        <v>0</v>
      </c>
      <c r="O237" s="43">
        <f>M237+N237</f>
        <v>0</v>
      </c>
      <c r="P237" s="43">
        <f>IFERROR(ROUND(SUM(S239,S241,S243,S245)/I237, 2),0)</f>
        <v>0</v>
      </c>
      <c r="Q237" s="43">
        <v>826</v>
      </c>
      <c r="R237" s="43">
        <f>P237+ROUND(Q237, 2)</f>
        <v>826</v>
      </c>
      <c r="S237" s="43">
        <f>ROUND(P237*I237, 2)</f>
        <v>0</v>
      </c>
      <c r="T237" s="43">
        <f>ROUND(I237*ROUND(Q237, 2), 2)</f>
        <v>0</v>
      </c>
      <c r="U237" s="43">
        <f>S237+T237</f>
        <v>0</v>
      </c>
      <c r="V237" s="9">
        <f>ROUND(P237 / 1.2, 2)</f>
        <v>0</v>
      </c>
      <c r="W237" s="9">
        <f>ROUND(Q237 / 1.2, 2)</f>
        <v>688.33</v>
      </c>
      <c r="X237" s="9">
        <f>ROUND(R237 / 1.2, 2)</f>
        <v>688.33</v>
      </c>
      <c r="Y237" s="9">
        <f t="shared" si="66"/>
        <v>0</v>
      </c>
      <c r="Z237" s="9">
        <f>ROUND(T237 / 1.2, 2)</f>
        <v>0</v>
      </c>
      <c r="AA237" s="9">
        <f>Y237+Z237</f>
        <v>0</v>
      </c>
      <c r="AD237" s="4">
        <v>303752471</v>
      </c>
      <c r="AE237" s="4">
        <v>16086783</v>
      </c>
      <c r="AG237" s="4" t="s">
        <v>687</v>
      </c>
      <c r="AH237" s="4" t="s">
        <v>688</v>
      </c>
      <c r="AI237" s="4" t="s">
        <v>247</v>
      </c>
    </row>
    <row r="238" spans="1:35" ht="54" x14ac:dyDescent="0.35">
      <c r="A238" s="44" t="s">
        <v>784</v>
      </c>
      <c r="B238" s="44" t="s">
        <v>684</v>
      </c>
      <c r="C238" s="45" t="s">
        <v>685</v>
      </c>
      <c r="D238" s="46"/>
      <c r="E238" s="46" t="s">
        <v>783</v>
      </c>
      <c r="F238" s="46" t="s">
        <v>56</v>
      </c>
      <c r="G238" s="47">
        <v>1</v>
      </c>
      <c r="H238" s="46"/>
      <c r="I238" s="47">
        <v>36.700000000000003</v>
      </c>
      <c r="J238" s="48">
        <v>0</v>
      </c>
      <c r="K238" s="48">
        <v>826</v>
      </c>
      <c r="L238" s="48"/>
      <c r="M238" s="48">
        <v>0</v>
      </c>
      <c r="N238" s="48"/>
      <c r="O238" s="48"/>
      <c r="P238" s="48">
        <v>0</v>
      </c>
      <c r="Q238" s="48">
        <v>826</v>
      </c>
      <c r="R238" s="48"/>
      <c r="S238" s="48">
        <v>0</v>
      </c>
      <c r="T238" s="48"/>
      <c r="U238" s="48"/>
      <c r="V238" s="9"/>
      <c r="W238" s="9">
        <f>ROUND(Q238 / 1.2, 2)</f>
        <v>688.33</v>
      </c>
      <c r="X238" s="9">
        <f>ROUND(R238 / 1.2, 2)</f>
        <v>0</v>
      </c>
      <c r="Y238" s="9"/>
      <c r="Z238" s="9">
        <f>ROUND(T238 / 1.2, 2)</f>
        <v>0</v>
      </c>
      <c r="AA238" s="9"/>
      <c r="AD238" s="4">
        <v>204408628</v>
      </c>
      <c r="AE238" s="4">
        <v>16086783</v>
      </c>
      <c r="AG238" s="4" t="s">
        <v>687</v>
      </c>
      <c r="AH238" s="4" t="s">
        <v>688</v>
      </c>
      <c r="AI238" s="4"/>
    </row>
    <row r="239" spans="1:35" ht="18" x14ac:dyDescent="0.35">
      <c r="A239" s="38" t="s">
        <v>785</v>
      </c>
      <c r="B239" s="38"/>
      <c r="C239" s="49" t="s">
        <v>711</v>
      </c>
      <c r="D239" s="40"/>
      <c r="E239" s="40"/>
      <c r="F239" s="50" t="s">
        <v>129</v>
      </c>
      <c r="G239" s="51">
        <v>1.1000000000000001</v>
      </c>
      <c r="H239" s="40"/>
      <c r="I239" s="62">
        <v>0</v>
      </c>
      <c r="J239" s="53">
        <v>18.34</v>
      </c>
      <c r="K239" s="54"/>
      <c r="L239" s="54"/>
      <c r="M239" s="53">
        <f t="shared" ref="M239:M246" si="67">ROUND(ROUND(J239, 2)*I239, 2)</f>
        <v>0</v>
      </c>
      <c r="N239" s="54"/>
      <c r="O239" s="54"/>
      <c r="P239" s="53">
        <v>18.34</v>
      </c>
      <c r="Q239" s="54"/>
      <c r="R239" s="54"/>
      <c r="S239" s="53">
        <f t="shared" ref="S239:S246" si="68">ROUND(ROUND(P239, 2)*I239, 2)</f>
        <v>0</v>
      </c>
      <c r="T239" s="54"/>
      <c r="U239" s="55"/>
      <c r="V239" s="9">
        <f t="shared" ref="V239:V246" si="69">ROUND(ROUND(P239, 2)/1.2, 2)</f>
        <v>15.28</v>
      </c>
      <c r="Y239" s="9">
        <f t="shared" ref="Y239:Y247" si="70">ROUND(S239 / 1.2, 2)</f>
        <v>0</v>
      </c>
      <c r="AD239" s="4" t="s">
        <v>786</v>
      </c>
      <c r="AE239" s="4" t="s">
        <v>787</v>
      </c>
      <c r="AF239" s="4" t="s">
        <v>714</v>
      </c>
    </row>
    <row r="240" spans="1:35" ht="18" x14ac:dyDescent="0.35">
      <c r="A240" s="44" t="s">
        <v>788</v>
      </c>
      <c r="B240" s="44"/>
      <c r="C240" s="56" t="s">
        <v>711</v>
      </c>
      <c r="D240" s="46"/>
      <c r="E240" s="46"/>
      <c r="F240" s="57" t="s">
        <v>129</v>
      </c>
      <c r="G240" s="58">
        <v>1.1000000000000001</v>
      </c>
      <c r="H240" s="46"/>
      <c r="I240" s="63">
        <v>40.369999999999997</v>
      </c>
      <c r="J240" s="59">
        <v>18.34</v>
      </c>
      <c r="K240" s="60"/>
      <c r="L240" s="60"/>
      <c r="M240" s="59">
        <f t="shared" si="67"/>
        <v>740.39</v>
      </c>
      <c r="N240" s="60"/>
      <c r="O240" s="60"/>
      <c r="P240" s="59">
        <v>18.34</v>
      </c>
      <c r="Q240" s="60"/>
      <c r="R240" s="60"/>
      <c r="S240" s="59">
        <f t="shared" si="68"/>
        <v>740.39</v>
      </c>
      <c r="T240" s="60"/>
      <c r="U240" s="61"/>
      <c r="V240" s="9">
        <f t="shared" si="69"/>
        <v>15.28</v>
      </c>
      <c r="Y240" s="9">
        <f t="shared" si="70"/>
        <v>616.99</v>
      </c>
      <c r="AD240" s="4" t="s">
        <v>789</v>
      </c>
      <c r="AE240" s="4" t="s">
        <v>787</v>
      </c>
      <c r="AF240" s="4" t="s">
        <v>714</v>
      </c>
    </row>
    <row r="241" spans="1:35" ht="18" x14ac:dyDescent="0.35">
      <c r="A241" s="38" t="s">
        <v>790</v>
      </c>
      <c r="B241" s="38"/>
      <c r="C241" s="49" t="s">
        <v>703</v>
      </c>
      <c r="D241" s="40"/>
      <c r="E241" s="40" t="s">
        <v>704</v>
      </c>
      <c r="F241" s="50" t="s">
        <v>81</v>
      </c>
      <c r="G241" s="51">
        <v>1.8</v>
      </c>
      <c r="H241" s="40"/>
      <c r="I241" s="62">
        <v>0</v>
      </c>
      <c r="J241" s="53">
        <v>5.85</v>
      </c>
      <c r="K241" s="54"/>
      <c r="L241" s="54"/>
      <c r="M241" s="53">
        <f t="shared" si="67"/>
        <v>0</v>
      </c>
      <c r="N241" s="54"/>
      <c r="O241" s="54"/>
      <c r="P241" s="53">
        <v>5.85</v>
      </c>
      <c r="Q241" s="54"/>
      <c r="R241" s="54"/>
      <c r="S241" s="53">
        <f t="shared" si="68"/>
        <v>0</v>
      </c>
      <c r="T241" s="54"/>
      <c r="U241" s="55"/>
      <c r="V241" s="9">
        <f t="shared" si="69"/>
        <v>4.88</v>
      </c>
      <c r="Y241" s="9">
        <f t="shared" si="70"/>
        <v>0</v>
      </c>
      <c r="AD241" s="4" t="s">
        <v>791</v>
      </c>
      <c r="AE241" s="4" t="s">
        <v>792</v>
      </c>
      <c r="AF241" s="4" t="s">
        <v>707</v>
      </c>
    </row>
    <row r="242" spans="1:35" ht="18" x14ac:dyDescent="0.35">
      <c r="A242" s="44" t="s">
        <v>793</v>
      </c>
      <c r="B242" s="44"/>
      <c r="C242" s="56" t="s">
        <v>703</v>
      </c>
      <c r="D242" s="46"/>
      <c r="E242" s="46" t="s">
        <v>704</v>
      </c>
      <c r="F242" s="57" t="s">
        <v>81</v>
      </c>
      <c r="G242" s="58">
        <v>1.8</v>
      </c>
      <c r="H242" s="46"/>
      <c r="I242" s="63">
        <v>1321.2</v>
      </c>
      <c r="J242" s="59">
        <v>5.85</v>
      </c>
      <c r="K242" s="60"/>
      <c r="L242" s="60"/>
      <c r="M242" s="59">
        <f t="shared" si="67"/>
        <v>7729.02</v>
      </c>
      <c r="N242" s="60"/>
      <c r="O242" s="60"/>
      <c r="P242" s="59">
        <v>5.85</v>
      </c>
      <c r="Q242" s="60"/>
      <c r="R242" s="60"/>
      <c r="S242" s="59">
        <f t="shared" si="68"/>
        <v>7729.02</v>
      </c>
      <c r="T242" s="60"/>
      <c r="U242" s="61"/>
      <c r="V242" s="9">
        <f t="shared" si="69"/>
        <v>4.88</v>
      </c>
      <c r="Y242" s="9">
        <f t="shared" si="70"/>
        <v>6440.85</v>
      </c>
      <c r="AD242" s="4" t="s">
        <v>794</v>
      </c>
      <c r="AE242" s="4" t="s">
        <v>792</v>
      </c>
      <c r="AF242" s="4" t="s">
        <v>707</v>
      </c>
    </row>
    <row r="243" spans="1:35" ht="18" x14ac:dyDescent="0.35">
      <c r="A243" s="38" t="s">
        <v>795</v>
      </c>
      <c r="B243" s="38"/>
      <c r="C243" s="49" t="s">
        <v>316</v>
      </c>
      <c r="D243" s="40"/>
      <c r="E243" s="40"/>
      <c r="F243" s="50" t="s">
        <v>81</v>
      </c>
      <c r="G243" s="51">
        <v>0.25</v>
      </c>
      <c r="H243" s="40"/>
      <c r="I243" s="52">
        <v>0</v>
      </c>
      <c r="J243" s="53">
        <v>100</v>
      </c>
      <c r="K243" s="54"/>
      <c r="L243" s="54"/>
      <c r="M243" s="53">
        <f t="shared" si="67"/>
        <v>0</v>
      </c>
      <c r="N243" s="54"/>
      <c r="O243" s="54"/>
      <c r="P243" s="53">
        <v>100</v>
      </c>
      <c r="Q243" s="54"/>
      <c r="R243" s="54"/>
      <c r="S243" s="53">
        <f t="shared" si="68"/>
        <v>0</v>
      </c>
      <c r="T243" s="54"/>
      <c r="U243" s="55"/>
      <c r="V243" s="9">
        <f t="shared" si="69"/>
        <v>83.33</v>
      </c>
      <c r="Y243" s="9">
        <f t="shared" si="70"/>
        <v>0</v>
      </c>
      <c r="AD243" s="4" t="s">
        <v>796</v>
      </c>
      <c r="AE243" s="4" t="s">
        <v>797</v>
      </c>
      <c r="AF243" s="4" t="s">
        <v>319</v>
      </c>
    </row>
    <row r="244" spans="1:35" ht="18" x14ac:dyDescent="0.35">
      <c r="A244" s="44" t="s">
        <v>798</v>
      </c>
      <c r="B244" s="44"/>
      <c r="C244" s="56" t="s">
        <v>316</v>
      </c>
      <c r="D244" s="46"/>
      <c r="E244" s="46"/>
      <c r="F244" s="57" t="s">
        <v>81</v>
      </c>
      <c r="G244" s="58">
        <v>0.25</v>
      </c>
      <c r="H244" s="46"/>
      <c r="I244" s="58">
        <v>9.1750000000000007</v>
      </c>
      <c r="J244" s="59">
        <v>100</v>
      </c>
      <c r="K244" s="60"/>
      <c r="L244" s="60"/>
      <c r="M244" s="59">
        <f t="shared" si="67"/>
        <v>917.5</v>
      </c>
      <c r="N244" s="60"/>
      <c r="O244" s="60"/>
      <c r="P244" s="59">
        <v>100</v>
      </c>
      <c r="Q244" s="60"/>
      <c r="R244" s="60"/>
      <c r="S244" s="59">
        <f t="shared" si="68"/>
        <v>917.5</v>
      </c>
      <c r="T244" s="60"/>
      <c r="U244" s="61"/>
      <c r="V244" s="9">
        <f t="shared" si="69"/>
        <v>83.33</v>
      </c>
      <c r="Y244" s="9">
        <f t="shared" si="70"/>
        <v>764.58</v>
      </c>
      <c r="AD244" s="4" t="s">
        <v>799</v>
      </c>
      <c r="AE244" s="4" t="s">
        <v>797</v>
      </c>
      <c r="AF244" s="4" t="s">
        <v>319</v>
      </c>
    </row>
    <row r="245" spans="1:35" ht="18" x14ac:dyDescent="0.35">
      <c r="A245" s="38" t="s">
        <v>800</v>
      </c>
      <c r="B245" s="38"/>
      <c r="C245" s="49" t="s">
        <v>691</v>
      </c>
      <c r="D245" s="40"/>
      <c r="E245" s="40"/>
      <c r="F245" s="50" t="s">
        <v>56</v>
      </c>
      <c r="G245" s="51">
        <v>1.1000000000000001</v>
      </c>
      <c r="H245" s="40"/>
      <c r="I245" s="52">
        <v>0</v>
      </c>
      <c r="J245" s="53">
        <v>27.55</v>
      </c>
      <c r="K245" s="54"/>
      <c r="L245" s="54"/>
      <c r="M245" s="53">
        <f t="shared" si="67"/>
        <v>0</v>
      </c>
      <c r="N245" s="54"/>
      <c r="O245" s="54"/>
      <c r="P245" s="53">
        <v>27.55</v>
      </c>
      <c r="Q245" s="54"/>
      <c r="R245" s="54"/>
      <c r="S245" s="53">
        <f t="shared" si="68"/>
        <v>0</v>
      </c>
      <c r="T245" s="54"/>
      <c r="U245" s="55"/>
      <c r="V245" s="9">
        <f t="shared" si="69"/>
        <v>22.96</v>
      </c>
      <c r="Y245" s="9">
        <f t="shared" si="70"/>
        <v>0</v>
      </c>
      <c r="AD245" s="4" t="s">
        <v>801</v>
      </c>
      <c r="AE245" s="4" t="s">
        <v>802</v>
      </c>
      <c r="AF245" s="4" t="s">
        <v>694</v>
      </c>
    </row>
    <row r="246" spans="1:35" ht="18" x14ac:dyDescent="0.35">
      <c r="A246" s="44" t="s">
        <v>803</v>
      </c>
      <c r="B246" s="44"/>
      <c r="C246" s="56" t="s">
        <v>691</v>
      </c>
      <c r="D246" s="46"/>
      <c r="E246" s="46"/>
      <c r="F246" s="57" t="s">
        <v>56</v>
      </c>
      <c r="G246" s="58">
        <v>1.1000000000000001</v>
      </c>
      <c r="H246" s="46"/>
      <c r="I246" s="58">
        <v>40.369999999999997</v>
      </c>
      <c r="J246" s="59">
        <v>27.55</v>
      </c>
      <c r="K246" s="60"/>
      <c r="L246" s="60"/>
      <c r="M246" s="59">
        <f t="shared" si="67"/>
        <v>1112.19</v>
      </c>
      <c r="N246" s="60"/>
      <c r="O246" s="60"/>
      <c r="P246" s="59">
        <v>27.55</v>
      </c>
      <c r="Q246" s="60"/>
      <c r="R246" s="60"/>
      <c r="S246" s="59">
        <f t="shared" si="68"/>
        <v>1112.19</v>
      </c>
      <c r="T246" s="60"/>
      <c r="U246" s="61"/>
      <c r="V246" s="9">
        <f t="shared" si="69"/>
        <v>22.96</v>
      </c>
      <c r="Y246" s="9">
        <f t="shared" si="70"/>
        <v>926.83</v>
      </c>
      <c r="AD246" s="4" t="s">
        <v>804</v>
      </c>
      <c r="AE246" s="4" t="s">
        <v>802</v>
      </c>
      <c r="AF246" s="4" t="s">
        <v>694</v>
      </c>
    </row>
    <row r="247" spans="1:35" ht="54" x14ac:dyDescent="0.35">
      <c r="A247" s="38" t="s">
        <v>805</v>
      </c>
      <c r="B247" s="38" t="s">
        <v>684</v>
      </c>
      <c r="C247" s="39" t="s">
        <v>685</v>
      </c>
      <c r="D247" s="40"/>
      <c r="E247" s="40" t="s">
        <v>806</v>
      </c>
      <c r="F247" s="40" t="s">
        <v>56</v>
      </c>
      <c r="G247" s="41">
        <v>1</v>
      </c>
      <c r="H247" s="40"/>
      <c r="I247" s="42">
        <v>0</v>
      </c>
      <c r="J247" s="43">
        <f>IFERROR(ROUND(SUM(M249,M251,M253,M255)/I247, 2),0)</f>
        <v>0</v>
      </c>
      <c r="K247" s="43">
        <v>826</v>
      </c>
      <c r="L247" s="43">
        <f>J247+ROUND(K247, 2)</f>
        <v>826</v>
      </c>
      <c r="M247" s="43">
        <f>ROUND(J247*I247, 2)</f>
        <v>0</v>
      </c>
      <c r="N247" s="43">
        <f>ROUND(I247*ROUND(K247, 2), 2)</f>
        <v>0</v>
      </c>
      <c r="O247" s="43">
        <f>M247+N247</f>
        <v>0</v>
      </c>
      <c r="P247" s="43">
        <f>IFERROR(ROUND(SUM(S249,S251,S253,S255)/I247, 2),0)</f>
        <v>0</v>
      </c>
      <c r="Q247" s="43">
        <v>826</v>
      </c>
      <c r="R247" s="43">
        <f>P247+ROUND(Q247, 2)</f>
        <v>826</v>
      </c>
      <c r="S247" s="43">
        <f>ROUND(P247*I247, 2)</f>
        <v>0</v>
      </c>
      <c r="T247" s="43">
        <f>ROUND(I247*ROUND(Q247, 2), 2)</f>
        <v>0</v>
      </c>
      <c r="U247" s="43">
        <f>S247+T247</f>
        <v>0</v>
      </c>
      <c r="V247" s="9">
        <f>ROUND(P247 / 1.2, 2)</f>
        <v>0</v>
      </c>
      <c r="W247" s="9">
        <f>ROUND(Q247 / 1.2, 2)</f>
        <v>688.33</v>
      </c>
      <c r="X247" s="9">
        <f>ROUND(R247 / 1.2, 2)</f>
        <v>688.33</v>
      </c>
      <c r="Y247" s="9">
        <f t="shared" si="70"/>
        <v>0</v>
      </c>
      <c r="Z247" s="9">
        <f>ROUND(T247 / 1.2, 2)</f>
        <v>0</v>
      </c>
      <c r="AA247" s="9">
        <f>Y247+Z247</f>
        <v>0</v>
      </c>
      <c r="AD247" s="4">
        <v>303752472</v>
      </c>
      <c r="AE247" s="4">
        <v>16086782</v>
      </c>
      <c r="AG247" s="4" t="s">
        <v>687</v>
      </c>
      <c r="AH247" s="4" t="s">
        <v>688</v>
      </c>
      <c r="AI247" s="4" t="s">
        <v>247</v>
      </c>
    </row>
    <row r="248" spans="1:35" ht="54" x14ac:dyDescent="0.35">
      <c r="A248" s="44" t="s">
        <v>807</v>
      </c>
      <c r="B248" s="44" t="s">
        <v>684</v>
      </c>
      <c r="C248" s="45" t="s">
        <v>685</v>
      </c>
      <c r="D248" s="46"/>
      <c r="E248" s="46" t="s">
        <v>806</v>
      </c>
      <c r="F248" s="46" t="s">
        <v>56</v>
      </c>
      <c r="G248" s="47">
        <v>1</v>
      </c>
      <c r="H248" s="46"/>
      <c r="I248" s="47">
        <v>144.4</v>
      </c>
      <c r="J248" s="48">
        <v>0</v>
      </c>
      <c r="K248" s="48">
        <v>826</v>
      </c>
      <c r="L248" s="48"/>
      <c r="M248" s="48">
        <v>0</v>
      </c>
      <c r="N248" s="48"/>
      <c r="O248" s="48"/>
      <c r="P248" s="48">
        <v>0</v>
      </c>
      <c r="Q248" s="48">
        <v>826</v>
      </c>
      <c r="R248" s="48"/>
      <c r="S248" s="48">
        <v>0</v>
      </c>
      <c r="T248" s="48"/>
      <c r="U248" s="48"/>
      <c r="V248" s="9"/>
      <c r="W248" s="9">
        <f>ROUND(Q248 / 1.2, 2)</f>
        <v>688.33</v>
      </c>
      <c r="X248" s="9">
        <f>ROUND(R248 / 1.2, 2)</f>
        <v>0</v>
      </c>
      <c r="Y248" s="9"/>
      <c r="Z248" s="9">
        <f>ROUND(T248 / 1.2, 2)</f>
        <v>0</v>
      </c>
      <c r="AA248" s="9"/>
      <c r="AD248" s="4">
        <v>204408629</v>
      </c>
      <c r="AE248" s="4">
        <v>16086782</v>
      </c>
      <c r="AG248" s="4" t="s">
        <v>687</v>
      </c>
      <c r="AH248" s="4" t="s">
        <v>688</v>
      </c>
      <c r="AI248" s="4"/>
    </row>
    <row r="249" spans="1:35" ht="18" x14ac:dyDescent="0.35">
      <c r="A249" s="38" t="s">
        <v>808</v>
      </c>
      <c r="B249" s="38"/>
      <c r="C249" s="49" t="s">
        <v>711</v>
      </c>
      <c r="D249" s="40"/>
      <c r="E249" s="40"/>
      <c r="F249" s="50" t="s">
        <v>129</v>
      </c>
      <c r="G249" s="51">
        <v>1.1000000000000001</v>
      </c>
      <c r="H249" s="40"/>
      <c r="I249" s="62">
        <v>0</v>
      </c>
      <c r="J249" s="53">
        <v>18.34</v>
      </c>
      <c r="K249" s="54"/>
      <c r="L249" s="54"/>
      <c r="M249" s="53">
        <f t="shared" ref="M249:M256" si="71">ROUND(ROUND(J249, 2)*I249, 2)</f>
        <v>0</v>
      </c>
      <c r="N249" s="54"/>
      <c r="O249" s="54"/>
      <c r="P249" s="53">
        <v>18.34</v>
      </c>
      <c r="Q249" s="54"/>
      <c r="R249" s="54"/>
      <c r="S249" s="53">
        <f t="shared" ref="S249:S256" si="72">ROUND(ROUND(P249, 2)*I249, 2)</f>
        <v>0</v>
      </c>
      <c r="T249" s="54"/>
      <c r="U249" s="55"/>
      <c r="V249" s="9">
        <f t="shared" ref="V249:V256" si="73">ROUND(ROUND(P249, 2)/1.2, 2)</f>
        <v>15.28</v>
      </c>
      <c r="Y249" s="9">
        <f t="shared" ref="Y249:Y257" si="74">ROUND(S249 / 1.2, 2)</f>
        <v>0</v>
      </c>
      <c r="AD249" s="4" t="s">
        <v>809</v>
      </c>
      <c r="AE249" s="4" t="s">
        <v>810</v>
      </c>
      <c r="AF249" s="4" t="s">
        <v>714</v>
      </c>
    </row>
    <row r="250" spans="1:35" ht="18" x14ac:dyDescent="0.35">
      <c r="A250" s="44" t="s">
        <v>811</v>
      </c>
      <c r="B250" s="44"/>
      <c r="C250" s="56" t="s">
        <v>711</v>
      </c>
      <c r="D250" s="46"/>
      <c r="E250" s="46"/>
      <c r="F250" s="57" t="s">
        <v>129</v>
      </c>
      <c r="G250" s="58">
        <v>1.1000000000000001</v>
      </c>
      <c r="H250" s="46"/>
      <c r="I250" s="63">
        <v>158.84</v>
      </c>
      <c r="J250" s="59">
        <v>18.34</v>
      </c>
      <c r="K250" s="60"/>
      <c r="L250" s="60"/>
      <c r="M250" s="59">
        <f t="shared" si="71"/>
        <v>2913.13</v>
      </c>
      <c r="N250" s="60"/>
      <c r="O250" s="60"/>
      <c r="P250" s="59">
        <v>18.34</v>
      </c>
      <c r="Q250" s="60"/>
      <c r="R250" s="60"/>
      <c r="S250" s="59">
        <f t="shared" si="72"/>
        <v>2913.13</v>
      </c>
      <c r="T250" s="60"/>
      <c r="U250" s="61"/>
      <c r="V250" s="9">
        <f t="shared" si="73"/>
        <v>15.28</v>
      </c>
      <c r="Y250" s="9">
        <f t="shared" si="74"/>
        <v>2427.61</v>
      </c>
      <c r="AD250" s="4" t="s">
        <v>812</v>
      </c>
      <c r="AE250" s="4" t="s">
        <v>810</v>
      </c>
      <c r="AF250" s="4" t="s">
        <v>714</v>
      </c>
    </row>
    <row r="251" spans="1:35" ht="18" x14ac:dyDescent="0.35">
      <c r="A251" s="38" t="s">
        <v>813</v>
      </c>
      <c r="B251" s="38"/>
      <c r="C251" s="49" t="s">
        <v>703</v>
      </c>
      <c r="D251" s="40"/>
      <c r="E251" s="40" t="s">
        <v>704</v>
      </c>
      <c r="F251" s="50" t="s">
        <v>81</v>
      </c>
      <c r="G251" s="51">
        <v>1.8</v>
      </c>
      <c r="H251" s="40"/>
      <c r="I251" s="62">
        <v>0</v>
      </c>
      <c r="J251" s="53">
        <v>5.85</v>
      </c>
      <c r="K251" s="54"/>
      <c r="L251" s="54"/>
      <c r="M251" s="53">
        <f t="shared" si="71"/>
        <v>0</v>
      </c>
      <c r="N251" s="54"/>
      <c r="O251" s="54"/>
      <c r="P251" s="53">
        <v>5.85</v>
      </c>
      <c r="Q251" s="54"/>
      <c r="R251" s="54"/>
      <c r="S251" s="53">
        <f t="shared" si="72"/>
        <v>0</v>
      </c>
      <c r="T251" s="54"/>
      <c r="U251" s="55"/>
      <c r="V251" s="9">
        <f t="shared" si="73"/>
        <v>4.88</v>
      </c>
      <c r="Y251" s="9">
        <f t="shared" si="74"/>
        <v>0</v>
      </c>
      <c r="AD251" s="4" t="s">
        <v>814</v>
      </c>
      <c r="AE251" s="4" t="s">
        <v>815</v>
      </c>
      <c r="AF251" s="4" t="s">
        <v>707</v>
      </c>
    </row>
    <row r="252" spans="1:35" ht="18" x14ac:dyDescent="0.35">
      <c r="A252" s="44" t="s">
        <v>816</v>
      </c>
      <c r="B252" s="44"/>
      <c r="C252" s="56" t="s">
        <v>703</v>
      </c>
      <c r="D252" s="46"/>
      <c r="E252" s="46" t="s">
        <v>704</v>
      </c>
      <c r="F252" s="57" t="s">
        <v>81</v>
      </c>
      <c r="G252" s="58">
        <v>1.8</v>
      </c>
      <c r="H252" s="46"/>
      <c r="I252" s="63">
        <v>5198.3999999999996</v>
      </c>
      <c r="J252" s="59">
        <v>5.85</v>
      </c>
      <c r="K252" s="60"/>
      <c r="L252" s="60"/>
      <c r="M252" s="59">
        <f t="shared" si="71"/>
        <v>30410.639999999999</v>
      </c>
      <c r="N252" s="60"/>
      <c r="O252" s="60"/>
      <c r="P252" s="59">
        <v>5.85</v>
      </c>
      <c r="Q252" s="60"/>
      <c r="R252" s="60"/>
      <c r="S252" s="59">
        <f t="shared" si="72"/>
        <v>30410.639999999999</v>
      </c>
      <c r="T252" s="60"/>
      <c r="U252" s="61"/>
      <c r="V252" s="9">
        <f t="shared" si="73"/>
        <v>4.88</v>
      </c>
      <c r="Y252" s="9">
        <f t="shared" si="74"/>
        <v>25342.2</v>
      </c>
      <c r="AD252" s="4" t="s">
        <v>817</v>
      </c>
      <c r="AE252" s="4" t="s">
        <v>815</v>
      </c>
      <c r="AF252" s="4" t="s">
        <v>707</v>
      </c>
    </row>
    <row r="253" spans="1:35" ht="36" x14ac:dyDescent="0.35">
      <c r="A253" s="38" t="s">
        <v>818</v>
      </c>
      <c r="B253" s="38"/>
      <c r="C253" s="49" t="s">
        <v>771</v>
      </c>
      <c r="D253" s="40"/>
      <c r="E253" s="40"/>
      <c r="F253" s="50" t="s">
        <v>81</v>
      </c>
      <c r="G253" s="51">
        <v>0.15</v>
      </c>
      <c r="H253" s="40"/>
      <c r="I253" s="62">
        <v>0</v>
      </c>
      <c r="J253" s="53">
        <v>80</v>
      </c>
      <c r="K253" s="54"/>
      <c r="L253" s="54"/>
      <c r="M253" s="53">
        <f t="shared" si="71"/>
        <v>0</v>
      </c>
      <c r="N253" s="54"/>
      <c r="O253" s="54"/>
      <c r="P253" s="53">
        <v>80</v>
      </c>
      <c r="Q253" s="54"/>
      <c r="R253" s="54"/>
      <c r="S253" s="53">
        <f t="shared" si="72"/>
        <v>0</v>
      </c>
      <c r="T253" s="54"/>
      <c r="U253" s="55"/>
      <c r="V253" s="9">
        <f t="shared" si="73"/>
        <v>66.67</v>
      </c>
      <c r="Y253" s="9">
        <f t="shared" si="74"/>
        <v>0</v>
      </c>
      <c r="AD253" s="4" t="s">
        <v>819</v>
      </c>
      <c r="AE253" s="4" t="s">
        <v>820</v>
      </c>
      <c r="AF253" s="4" t="s">
        <v>774</v>
      </c>
    </row>
    <row r="254" spans="1:35" ht="36" x14ac:dyDescent="0.35">
      <c r="A254" s="44" t="s">
        <v>821</v>
      </c>
      <c r="B254" s="44"/>
      <c r="C254" s="56" t="s">
        <v>771</v>
      </c>
      <c r="D254" s="46"/>
      <c r="E254" s="46"/>
      <c r="F254" s="57" t="s">
        <v>81</v>
      </c>
      <c r="G254" s="58">
        <v>0.15</v>
      </c>
      <c r="H254" s="46"/>
      <c r="I254" s="63">
        <v>21.66</v>
      </c>
      <c r="J254" s="59">
        <v>80</v>
      </c>
      <c r="K254" s="60"/>
      <c r="L254" s="60"/>
      <c r="M254" s="59">
        <f t="shared" si="71"/>
        <v>1732.8</v>
      </c>
      <c r="N254" s="60"/>
      <c r="O254" s="60"/>
      <c r="P254" s="59">
        <v>80</v>
      </c>
      <c r="Q254" s="60"/>
      <c r="R254" s="60"/>
      <c r="S254" s="59">
        <f t="shared" si="72"/>
        <v>1732.8</v>
      </c>
      <c r="T254" s="60"/>
      <c r="U254" s="61"/>
      <c r="V254" s="9">
        <f t="shared" si="73"/>
        <v>66.67</v>
      </c>
      <c r="Y254" s="9">
        <f t="shared" si="74"/>
        <v>1444</v>
      </c>
      <c r="AD254" s="4" t="s">
        <v>822</v>
      </c>
      <c r="AE254" s="4" t="s">
        <v>820</v>
      </c>
      <c r="AF254" s="4" t="s">
        <v>774</v>
      </c>
    </row>
    <row r="255" spans="1:35" ht="18" x14ac:dyDescent="0.35">
      <c r="A255" s="38" t="s">
        <v>823</v>
      </c>
      <c r="B255" s="38"/>
      <c r="C255" s="49" t="s">
        <v>691</v>
      </c>
      <c r="D255" s="40"/>
      <c r="E255" s="40"/>
      <c r="F255" s="50" t="s">
        <v>56</v>
      </c>
      <c r="G255" s="51">
        <v>1.1000000000000001</v>
      </c>
      <c r="H255" s="40"/>
      <c r="I255" s="52">
        <v>0</v>
      </c>
      <c r="J255" s="53">
        <v>27.55</v>
      </c>
      <c r="K255" s="54"/>
      <c r="L255" s="54"/>
      <c r="M255" s="53">
        <f t="shared" si="71"/>
        <v>0</v>
      </c>
      <c r="N255" s="54"/>
      <c r="O255" s="54"/>
      <c r="P255" s="53">
        <v>27.55</v>
      </c>
      <c r="Q255" s="54"/>
      <c r="R255" s="54"/>
      <c r="S255" s="53">
        <f t="shared" si="72"/>
        <v>0</v>
      </c>
      <c r="T255" s="54"/>
      <c r="U255" s="55"/>
      <c r="V255" s="9">
        <f t="shared" si="73"/>
        <v>22.96</v>
      </c>
      <c r="Y255" s="9">
        <f t="shared" si="74"/>
        <v>0</v>
      </c>
      <c r="AD255" s="4" t="s">
        <v>824</v>
      </c>
      <c r="AE255" s="4" t="s">
        <v>825</v>
      </c>
      <c r="AF255" s="4" t="s">
        <v>694</v>
      </c>
    </row>
    <row r="256" spans="1:35" ht="18" x14ac:dyDescent="0.35">
      <c r="A256" s="44" t="s">
        <v>826</v>
      </c>
      <c r="B256" s="44"/>
      <c r="C256" s="56" t="s">
        <v>691</v>
      </c>
      <c r="D256" s="46"/>
      <c r="E256" s="46"/>
      <c r="F256" s="57" t="s">
        <v>56</v>
      </c>
      <c r="G256" s="58">
        <v>1.1000000000000001</v>
      </c>
      <c r="H256" s="46"/>
      <c r="I256" s="58">
        <v>158.84</v>
      </c>
      <c r="J256" s="59">
        <v>27.55</v>
      </c>
      <c r="K256" s="60"/>
      <c r="L256" s="60"/>
      <c r="M256" s="59">
        <f t="shared" si="71"/>
        <v>4376.04</v>
      </c>
      <c r="N256" s="60"/>
      <c r="O256" s="60"/>
      <c r="P256" s="59">
        <v>27.55</v>
      </c>
      <c r="Q256" s="60"/>
      <c r="R256" s="60"/>
      <c r="S256" s="59">
        <f t="shared" si="72"/>
        <v>4376.04</v>
      </c>
      <c r="T256" s="60"/>
      <c r="U256" s="61"/>
      <c r="V256" s="9">
        <f t="shared" si="73"/>
        <v>22.96</v>
      </c>
      <c r="Y256" s="9">
        <f t="shared" si="74"/>
        <v>3646.7</v>
      </c>
      <c r="AD256" s="4" t="s">
        <v>827</v>
      </c>
      <c r="AE256" s="4" t="s">
        <v>825</v>
      </c>
      <c r="AF256" s="4" t="s">
        <v>694</v>
      </c>
    </row>
    <row r="257" spans="1:35" ht="54" x14ac:dyDescent="0.35">
      <c r="A257" s="38" t="s">
        <v>828</v>
      </c>
      <c r="B257" s="38" t="s">
        <v>684</v>
      </c>
      <c r="C257" s="39" t="s">
        <v>685</v>
      </c>
      <c r="D257" s="40"/>
      <c r="E257" s="40" t="s">
        <v>829</v>
      </c>
      <c r="F257" s="40" t="s">
        <v>56</v>
      </c>
      <c r="G257" s="41">
        <v>1</v>
      </c>
      <c r="H257" s="40"/>
      <c r="I257" s="42">
        <v>0</v>
      </c>
      <c r="J257" s="43">
        <f>IFERROR(ROUND(SUM(M259,M261,M263)/I257, 2),0)</f>
        <v>0</v>
      </c>
      <c r="K257" s="43">
        <v>826</v>
      </c>
      <c r="L257" s="43">
        <f>J257+ROUND(K257, 2)</f>
        <v>826</v>
      </c>
      <c r="M257" s="43">
        <f>ROUND(J257*I257, 2)</f>
        <v>0</v>
      </c>
      <c r="N257" s="43">
        <f>ROUND(I257*ROUND(K257, 2), 2)</f>
        <v>0</v>
      </c>
      <c r="O257" s="43">
        <f>M257+N257</f>
        <v>0</v>
      </c>
      <c r="P257" s="43">
        <f>IFERROR(ROUND(SUM(S259,S261,S263)/I257, 2),0)</f>
        <v>0</v>
      </c>
      <c r="Q257" s="43">
        <v>826</v>
      </c>
      <c r="R257" s="43">
        <f>P257+ROUND(Q257, 2)</f>
        <v>826</v>
      </c>
      <c r="S257" s="43">
        <f>ROUND(P257*I257, 2)</f>
        <v>0</v>
      </c>
      <c r="T257" s="43">
        <f>ROUND(I257*ROUND(Q257, 2), 2)</f>
        <v>0</v>
      </c>
      <c r="U257" s="43">
        <f>S257+T257</f>
        <v>0</v>
      </c>
      <c r="V257" s="9">
        <f>ROUND(P257 / 1.2, 2)</f>
        <v>0</v>
      </c>
      <c r="W257" s="9">
        <f>ROUND(Q257 / 1.2, 2)</f>
        <v>688.33</v>
      </c>
      <c r="X257" s="9">
        <f>ROUND(R257 / 1.2, 2)</f>
        <v>688.33</v>
      </c>
      <c r="Y257" s="9">
        <f t="shared" si="74"/>
        <v>0</v>
      </c>
      <c r="Z257" s="9">
        <f>ROUND(T257 / 1.2, 2)</f>
        <v>0</v>
      </c>
      <c r="AA257" s="9">
        <f>Y257+Z257</f>
        <v>0</v>
      </c>
      <c r="AD257" s="4">
        <v>303752473</v>
      </c>
      <c r="AE257" s="4">
        <v>16087273</v>
      </c>
      <c r="AG257" s="4" t="s">
        <v>687</v>
      </c>
      <c r="AH257" s="4" t="s">
        <v>688</v>
      </c>
      <c r="AI257" s="4" t="s">
        <v>247</v>
      </c>
    </row>
    <row r="258" spans="1:35" ht="54" x14ac:dyDescent="0.35">
      <c r="A258" s="44" t="s">
        <v>830</v>
      </c>
      <c r="B258" s="44" t="s">
        <v>684</v>
      </c>
      <c r="C258" s="45" t="s">
        <v>685</v>
      </c>
      <c r="D258" s="46"/>
      <c r="E258" s="46" t="s">
        <v>829</v>
      </c>
      <c r="F258" s="46" t="s">
        <v>56</v>
      </c>
      <c r="G258" s="47">
        <v>1</v>
      </c>
      <c r="H258" s="46"/>
      <c r="I258" s="47">
        <v>38.799999999999997</v>
      </c>
      <c r="J258" s="48">
        <v>0</v>
      </c>
      <c r="K258" s="48">
        <v>826</v>
      </c>
      <c r="L258" s="48"/>
      <c r="M258" s="48">
        <v>0</v>
      </c>
      <c r="N258" s="48"/>
      <c r="O258" s="48"/>
      <c r="P258" s="48">
        <v>0</v>
      </c>
      <c r="Q258" s="48">
        <v>826</v>
      </c>
      <c r="R258" s="48"/>
      <c r="S258" s="48">
        <v>0</v>
      </c>
      <c r="T258" s="48"/>
      <c r="U258" s="48"/>
      <c r="V258" s="9"/>
      <c r="W258" s="9">
        <f>ROUND(Q258 / 1.2, 2)</f>
        <v>688.33</v>
      </c>
      <c r="X258" s="9">
        <f>ROUND(R258 / 1.2, 2)</f>
        <v>0</v>
      </c>
      <c r="Y258" s="9"/>
      <c r="Z258" s="9">
        <f>ROUND(T258 / 1.2, 2)</f>
        <v>0</v>
      </c>
      <c r="AA258" s="9"/>
      <c r="AD258" s="4">
        <v>204417267</v>
      </c>
      <c r="AE258" s="4">
        <v>16087273</v>
      </c>
      <c r="AG258" s="4" t="s">
        <v>687</v>
      </c>
      <c r="AH258" s="4" t="s">
        <v>688</v>
      </c>
      <c r="AI258" s="4"/>
    </row>
    <row r="259" spans="1:35" ht="18" x14ac:dyDescent="0.35">
      <c r="A259" s="38" t="s">
        <v>831</v>
      </c>
      <c r="B259" s="38"/>
      <c r="C259" s="49" t="s">
        <v>703</v>
      </c>
      <c r="D259" s="40"/>
      <c r="E259" s="40" t="s">
        <v>832</v>
      </c>
      <c r="F259" s="50" t="s">
        <v>81</v>
      </c>
      <c r="G259" s="51">
        <v>1.8</v>
      </c>
      <c r="H259" s="40"/>
      <c r="I259" s="62">
        <v>0</v>
      </c>
      <c r="J259" s="53">
        <v>5.85</v>
      </c>
      <c r="K259" s="54"/>
      <c r="L259" s="54"/>
      <c r="M259" s="53">
        <f t="shared" ref="M259:M264" si="75">ROUND(ROUND(J259, 2)*I259, 2)</f>
        <v>0</v>
      </c>
      <c r="N259" s="54"/>
      <c r="O259" s="54"/>
      <c r="P259" s="53">
        <v>5.85</v>
      </c>
      <c r="Q259" s="54"/>
      <c r="R259" s="54"/>
      <c r="S259" s="53">
        <f t="shared" ref="S259:S264" si="76">ROUND(ROUND(P259, 2)*I259, 2)</f>
        <v>0</v>
      </c>
      <c r="T259" s="54"/>
      <c r="U259" s="55"/>
      <c r="V259" s="9">
        <f t="shared" ref="V259:V264" si="77">ROUND(ROUND(P259, 2)/1.2, 2)</f>
        <v>4.88</v>
      </c>
      <c r="Y259" s="9">
        <f t="shared" ref="Y259:Y277" si="78">ROUND(S259 / 1.2, 2)</f>
        <v>0</v>
      </c>
      <c r="AD259" s="4" t="s">
        <v>833</v>
      </c>
      <c r="AE259" s="4" t="s">
        <v>834</v>
      </c>
      <c r="AF259" s="4" t="s">
        <v>707</v>
      </c>
    </row>
    <row r="260" spans="1:35" ht="18" x14ac:dyDescent="0.35">
      <c r="A260" s="44" t="s">
        <v>835</v>
      </c>
      <c r="B260" s="44"/>
      <c r="C260" s="56" t="s">
        <v>703</v>
      </c>
      <c r="D260" s="46"/>
      <c r="E260" s="46" t="s">
        <v>832</v>
      </c>
      <c r="F260" s="57" t="s">
        <v>81</v>
      </c>
      <c r="G260" s="58">
        <v>1.8</v>
      </c>
      <c r="H260" s="46"/>
      <c r="I260" s="63">
        <v>1396.8</v>
      </c>
      <c r="J260" s="59">
        <v>5.85</v>
      </c>
      <c r="K260" s="60"/>
      <c r="L260" s="60"/>
      <c r="M260" s="59">
        <f t="shared" si="75"/>
        <v>8171.28</v>
      </c>
      <c r="N260" s="60"/>
      <c r="O260" s="60"/>
      <c r="P260" s="59">
        <v>5.85</v>
      </c>
      <c r="Q260" s="60"/>
      <c r="R260" s="60"/>
      <c r="S260" s="59">
        <f t="shared" si="76"/>
        <v>8171.28</v>
      </c>
      <c r="T260" s="60"/>
      <c r="U260" s="61"/>
      <c r="V260" s="9">
        <f t="shared" si="77"/>
        <v>4.88</v>
      </c>
      <c r="Y260" s="9">
        <f t="shared" si="78"/>
        <v>6809.4</v>
      </c>
      <c r="AD260" s="4" t="s">
        <v>836</v>
      </c>
      <c r="AE260" s="4" t="s">
        <v>834</v>
      </c>
      <c r="AF260" s="4" t="s">
        <v>707</v>
      </c>
    </row>
    <row r="261" spans="1:35" ht="36" x14ac:dyDescent="0.35">
      <c r="A261" s="38" t="s">
        <v>837</v>
      </c>
      <c r="B261" s="38"/>
      <c r="C261" s="49" t="s">
        <v>771</v>
      </c>
      <c r="D261" s="40"/>
      <c r="E261" s="40"/>
      <c r="F261" s="50" t="s">
        <v>81</v>
      </c>
      <c r="G261" s="51">
        <v>0.15</v>
      </c>
      <c r="H261" s="40"/>
      <c r="I261" s="62">
        <v>0</v>
      </c>
      <c r="J261" s="53">
        <v>80</v>
      </c>
      <c r="K261" s="54"/>
      <c r="L261" s="54"/>
      <c r="M261" s="53">
        <f t="shared" si="75"/>
        <v>0</v>
      </c>
      <c r="N261" s="54"/>
      <c r="O261" s="54"/>
      <c r="P261" s="53">
        <v>80</v>
      </c>
      <c r="Q261" s="54"/>
      <c r="R261" s="54"/>
      <c r="S261" s="53">
        <f t="shared" si="76"/>
        <v>0</v>
      </c>
      <c r="T261" s="54"/>
      <c r="U261" s="55"/>
      <c r="V261" s="9">
        <f t="shared" si="77"/>
        <v>66.67</v>
      </c>
      <c r="Y261" s="9">
        <f t="shared" si="78"/>
        <v>0</v>
      </c>
      <c r="AD261" s="4" t="s">
        <v>838</v>
      </c>
      <c r="AE261" s="4" t="s">
        <v>839</v>
      </c>
      <c r="AF261" s="4" t="s">
        <v>774</v>
      </c>
    </row>
    <row r="262" spans="1:35" ht="36" x14ac:dyDescent="0.35">
      <c r="A262" s="44" t="s">
        <v>840</v>
      </c>
      <c r="B262" s="44"/>
      <c r="C262" s="56" t="s">
        <v>771</v>
      </c>
      <c r="D262" s="46"/>
      <c r="E262" s="46"/>
      <c r="F262" s="57" t="s">
        <v>81</v>
      </c>
      <c r="G262" s="58">
        <v>0.15</v>
      </c>
      <c r="H262" s="46"/>
      <c r="I262" s="63">
        <v>5.82</v>
      </c>
      <c r="J262" s="59">
        <v>80</v>
      </c>
      <c r="K262" s="60"/>
      <c r="L262" s="60"/>
      <c r="M262" s="59">
        <f t="shared" si="75"/>
        <v>465.6</v>
      </c>
      <c r="N262" s="60"/>
      <c r="O262" s="60"/>
      <c r="P262" s="59">
        <v>80</v>
      </c>
      <c r="Q262" s="60"/>
      <c r="R262" s="60"/>
      <c r="S262" s="59">
        <f t="shared" si="76"/>
        <v>465.6</v>
      </c>
      <c r="T262" s="60"/>
      <c r="U262" s="61"/>
      <c r="V262" s="9">
        <f t="shared" si="77"/>
        <v>66.67</v>
      </c>
      <c r="Y262" s="9">
        <f t="shared" si="78"/>
        <v>388</v>
      </c>
      <c r="AD262" s="4" t="s">
        <v>841</v>
      </c>
      <c r="AE262" s="4" t="s">
        <v>839</v>
      </c>
      <c r="AF262" s="4" t="s">
        <v>774</v>
      </c>
    </row>
    <row r="263" spans="1:35" ht="18" x14ac:dyDescent="0.35">
      <c r="A263" s="38" t="s">
        <v>842</v>
      </c>
      <c r="B263" s="38"/>
      <c r="C263" s="49" t="s">
        <v>691</v>
      </c>
      <c r="D263" s="40"/>
      <c r="E263" s="40"/>
      <c r="F263" s="50" t="s">
        <v>56</v>
      </c>
      <c r="G263" s="51">
        <v>1.1000000000000001</v>
      </c>
      <c r="H263" s="40"/>
      <c r="I263" s="52">
        <v>0</v>
      </c>
      <c r="J263" s="53">
        <v>27.55</v>
      </c>
      <c r="K263" s="54"/>
      <c r="L263" s="54"/>
      <c r="M263" s="53">
        <f t="shared" si="75"/>
        <v>0</v>
      </c>
      <c r="N263" s="54"/>
      <c r="O263" s="54"/>
      <c r="P263" s="53">
        <v>27.55</v>
      </c>
      <c r="Q263" s="54"/>
      <c r="R263" s="54"/>
      <c r="S263" s="53">
        <f t="shared" si="76"/>
        <v>0</v>
      </c>
      <c r="T263" s="54"/>
      <c r="U263" s="55"/>
      <c r="V263" s="9">
        <f t="shared" si="77"/>
        <v>22.96</v>
      </c>
      <c r="Y263" s="9">
        <f t="shared" si="78"/>
        <v>0</v>
      </c>
      <c r="AD263" s="4" t="s">
        <v>843</v>
      </c>
      <c r="AE263" s="4" t="s">
        <v>844</v>
      </c>
      <c r="AF263" s="4" t="s">
        <v>694</v>
      </c>
    </row>
    <row r="264" spans="1:35" ht="18" x14ac:dyDescent="0.35">
      <c r="A264" s="44" t="s">
        <v>845</v>
      </c>
      <c r="B264" s="44"/>
      <c r="C264" s="56" t="s">
        <v>691</v>
      </c>
      <c r="D264" s="46"/>
      <c r="E264" s="46"/>
      <c r="F264" s="57" t="s">
        <v>56</v>
      </c>
      <c r="G264" s="58">
        <v>1.1000000000000001</v>
      </c>
      <c r="H264" s="46"/>
      <c r="I264" s="58">
        <v>42.68</v>
      </c>
      <c r="J264" s="59">
        <v>27.55</v>
      </c>
      <c r="K264" s="60"/>
      <c r="L264" s="60"/>
      <c r="M264" s="59">
        <f t="shared" si="75"/>
        <v>1175.83</v>
      </c>
      <c r="N264" s="60"/>
      <c r="O264" s="60"/>
      <c r="P264" s="59">
        <v>27.55</v>
      </c>
      <c r="Q264" s="60"/>
      <c r="R264" s="60"/>
      <c r="S264" s="59">
        <f t="shared" si="76"/>
        <v>1175.83</v>
      </c>
      <c r="T264" s="60"/>
      <c r="U264" s="61"/>
      <c r="V264" s="9">
        <f t="shared" si="77"/>
        <v>22.96</v>
      </c>
      <c r="Y264" s="9">
        <f t="shared" si="78"/>
        <v>979.86</v>
      </c>
      <c r="AD264" s="4" t="s">
        <v>846</v>
      </c>
      <c r="AE264" s="4" t="s">
        <v>844</v>
      </c>
      <c r="AF264" s="4" t="s">
        <v>694</v>
      </c>
    </row>
    <row r="265" spans="1:35" ht="54" x14ac:dyDescent="0.35">
      <c r="A265" s="10" t="s">
        <v>847</v>
      </c>
      <c r="B265" s="10" t="s">
        <v>848</v>
      </c>
      <c r="C265" s="14" t="s">
        <v>849</v>
      </c>
      <c r="D265" s="15"/>
      <c r="E265" s="15" t="s">
        <v>850</v>
      </c>
      <c r="F265" s="15" t="s">
        <v>56</v>
      </c>
      <c r="G265" s="16">
        <v>1</v>
      </c>
      <c r="H265" s="15"/>
      <c r="I265" s="16">
        <v>754.1</v>
      </c>
      <c r="J265" s="17">
        <f>IFERROR(ROUND(SUM(M266,M267,M268)/I265, 2),0)</f>
        <v>70.430000000000007</v>
      </c>
      <c r="K265" s="18">
        <v>329</v>
      </c>
      <c r="L265" s="17">
        <f>J265+ROUND(K265, 2)</f>
        <v>399.43</v>
      </c>
      <c r="M265" s="17">
        <f>ROUND(J265*I265, 2)</f>
        <v>53111.26</v>
      </c>
      <c r="N265" s="17">
        <f>ROUND(I265*ROUND(K265, 2), 2)</f>
        <v>248098.9</v>
      </c>
      <c r="O265" s="17">
        <f>M265+N265</f>
        <v>301210.15999999997</v>
      </c>
      <c r="P265" s="17">
        <f>IFERROR(ROUND(SUM(S266,S267,S268)/I265, 2),0)</f>
        <v>70.430000000000007</v>
      </c>
      <c r="Q265" s="19">
        <v>329</v>
      </c>
      <c r="R265" s="17">
        <f>P265+ROUND(Q265, 2)</f>
        <v>399.43</v>
      </c>
      <c r="S265" s="17">
        <f>ROUND(P265*I265, 2)</f>
        <v>53111.26</v>
      </c>
      <c r="T265" s="17">
        <f>ROUND(I265*ROUND(Q265, 2), 2)</f>
        <v>248098.9</v>
      </c>
      <c r="U265" s="17">
        <f>S265+T265</f>
        <v>301210.15999999997</v>
      </c>
      <c r="V265" s="9">
        <f>ROUND(P265 / 1.2, 2)</f>
        <v>58.69</v>
      </c>
      <c r="W265" s="9">
        <f>ROUND(Q265 / 1.2, 2)</f>
        <v>274.17</v>
      </c>
      <c r="X265" s="9">
        <f>ROUND(R265 / 1.2, 2)</f>
        <v>332.86</v>
      </c>
      <c r="Y265" s="9">
        <f t="shared" si="78"/>
        <v>44259.38</v>
      </c>
      <c r="Z265" s="9">
        <f>ROUND(T265 / 1.2, 2)</f>
        <v>206749.08</v>
      </c>
      <c r="AA265" s="9">
        <f>Y265+Z265</f>
        <v>251008.46</v>
      </c>
      <c r="AD265" s="4">
        <v>303752419</v>
      </c>
      <c r="AE265" s="4">
        <v>16077289</v>
      </c>
      <c r="AG265" s="4" t="s">
        <v>851</v>
      </c>
      <c r="AH265" s="4" t="s">
        <v>852</v>
      </c>
      <c r="AI265" s="4" t="s">
        <v>247</v>
      </c>
    </row>
    <row r="266" spans="1:35" ht="36" x14ac:dyDescent="0.35">
      <c r="A266" s="10" t="s">
        <v>853</v>
      </c>
      <c r="B266" s="10"/>
      <c r="C266" s="24" t="s">
        <v>854</v>
      </c>
      <c r="D266" s="15"/>
      <c r="E266" s="15" t="s">
        <v>855</v>
      </c>
      <c r="F266" s="25" t="s">
        <v>81</v>
      </c>
      <c r="G266" s="26">
        <v>2</v>
      </c>
      <c r="H266" s="15"/>
      <c r="I266" s="26">
        <v>1508.2</v>
      </c>
      <c r="J266" s="28">
        <v>23</v>
      </c>
      <c r="M266" s="29">
        <f>ROUND(ROUND(J266, 2)*I266, 2)</f>
        <v>34688.6</v>
      </c>
      <c r="P266" s="30">
        <v>23</v>
      </c>
      <c r="S266" s="29">
        <f>ROUND(ROUND(P266, 2)*I266, 2)</f>
        <v>34688.6</v>
      </c>
      <c r="V266" s="9">
        <f>ROUND(ROUND(P266, 2)/1.2, 2)</f>
        <v>19.170000000000002</v>
      </c>
      <c r="Y266" s="9">
        <f t="shared" si="78"/>
        <v>28907.17</v>
      </c>
      <c r="AD266" s="4" t="s">
        <v>856</v>
      </c>
      <c r="AE266" s="4" t="s">
        <v>857</v>
      </c>
      <c r="AF266" s="4" t="s">
        <v>858</v>
      </c>
    </row>
    <row r="267" spans="1:35" ht="18" x14ac:dyDescent="0.35">
      <c r="A267" s="10" t="s">
        <v>859</v>
      </c>
      <c r="B267" s="10"/>
      <c r="C267" s="24" t="s">
        <v>860</v>
      </c>
      <c r="D267" s="15"/>
      <c r="E267" s="15"/>
      <c r="F267" s="25" t="s">
        <v>103</v>
      </c>
      <c r="G267" s="26">
        <v>0.3</v>
      </c>
      <c r="H267" s="15"/>
      <c r="I267" s="27">
        <v>226.23</v>
      </c>
      <c r="J267" s="28">
        <v>37.049999999999997</v>
      </c>
      <c r="M267" s="29">
        <f>ROUND(ROUND(J267, 2)*I267, 2)</f>
        <v>8381.82</v>
      </c>
      <c r="P267" s="30">
        <v>37.049999999999997</v>
      </c>
      <c r="S267" s="29">
        <f>ROUND(ROUND(P267, 2)*I267, 2)</f>
        <v>8381.82</v>
      </c>
      <c r="V267" s="9">
        <f>ROUND(ROUND(P267, 2)/1.2, 2)</f>
        <v>30.88</v>
      </c>
      <c r="Y267" s="9">
        <f t="shared" si="78"/>
        <v>6984.85</v>
      </c>
      <c r="AD267" s="4" t="s">
        <v>861</v>
      </c>
      <c r="AE267" s="4" t="s">
        <v>862</v>
      </c>
      <c r="AF267" s="4" t="s">
        <v>863</v>
      </c>
    </row>
    <row r="268" spans="1:35" ht="36" x14ac:dyDescent="0.35">
      <c r="A268" s="10" t="s">
        <v>864</v>
      </c>
      <c r="B268" s="10"/>
      <c r="C268" s="24" t="s">
        <v>493</v>
      </c>
      <c r="D268" s="15"/>
      <c r="E268" s="15"/>
      <c r="F268" s="25" t="s">
        <v>81</v>
      </c>
      <c r="G268" s="26">
        <v>0.15</v>
      </c>
      <c r="H268" s="15"/>
      <c r="I268" s="26">
        <v>113.11499999999999</v>
      </c>
      <c r="J268" s="28">
        <v>88.8</v>
      </c>
      <c r="M268" s="29">
        <f>ROUND(ROUND(J268, 2)*I268, 2)</f>
        <v>10044.61</v>
      </c>
      <c r="P268" s="30">
        <v>88.8</v>
      </c>
      <c r="S268" s="29">
        <f>ROUND(ROUND(P268, 2)*I268, 2)</f>
        <v>10044.61</v>
      </c>
      <c r="V268" s="9">
        <f>ROUND(ROUND(P268, 2)/1.2, 2)</f>
        <v>74</v>
      </c>
      <c r="Y268" s="9">
        <f t="shared" si="78"/>
        <v>8370.51</v>
      </c>
      <c r="AD268" s="4" t="s">
        <v>865</v>
      </c>
      <c r="AE268" s="4" t="s">
        <v>866</v>
      </c>
      <c r="AF268" s="4" t="s">
        <v>496</v>
      </c>
    </row>
    <row r="269" spans="1:35" ht="54" x14ac:dyDescent="0.35">
      <c r="A269" s="10" t="s">
        <v>867</v>
      </c>
      <c r="B269" s="10" t="s">
        <v>848</v>
      </c>
      <c r="C269" s="14" t="s">
        <v>849</v>
      </c>
      <c r="D269" s="15"/>
      <c r="E269" s="15" t="s">
        <v>850</v>
      </c>
      <c r="F269" s="15" t="s">
        <v>56</v>
      </c>
      <c r="G269" s="16">
        <v>1</v>
      </c>
      <c r="H269" s="15"/>
      <c r="I269" s="16">
        <v>754.1</v>
      </c>
      <c r="J269" s="17">
        <f>IFERROR(ROUND(SUM(M270,M271,M272)/I269, 2),0)</f>
        <v>84.43</v>
      </c>
      <c r="K269" s="18">
        <v>329</v>
      </c>
      <c r="L269" s="17">
        <f>J269+ROUND(K269, 2)</f>
        <v>413.43</v>
      </c>
      <c r="M269" s="17">
        <f>ROUND(J269*I269, 2)</f>
        <v>63668.66</v>
      </c>
      <c r="N269" s="17">
        <f>ROUND(I269*ROUND(K269, 2), 2)</f>
        <v>248098.9</v>
      </c>
      <c r="O269" s="17">
        <f>M269+N269</f>
        <v>311767.56</v>
      </c>
      <c r="P269" s="17">
        <f>IFERROR(ROUND(SUM(S270,S271,S272)/I269, 2),0)</f>
        <v>37.01</v>
      </c>
      <c r="Q269" s="19">
        <v>329</v>
      </c>
      <c r="R269" s="17">
        <f>P269+ROUND(Q269, 2)</f>
        <v>366.01</v>
      </c>
      <c r="S269" s="17">
        <f>ROUND(P269*I269, 2)</f>
        <v>27909.24</v>
      </c>
      <c r="T269" s="17">
        <f>ROUND(I269*ROUND(Q269, 2), 2)</f>
        <v>248098.9</v>
      </c>
      <c r="U269" s="17">
        <f>S269+T269</f>
        <v>276008.14</v>
      </c>
      <c r="V269" s="9">
        <f>ROUND(P269 / 1.2, 2)</f>
        <v>30.84</v>
      </c>
      <c r="W269" s="9">
        <f>ROUND(Q269 / 1.2, 2)</f>
        <v>274.17</v>
      </c>
      <c r="X269" s="9">
        <f>ROUND(R269 / 1.2, 2)</f>
        <v>305.01</v>
      </c>
      <c r="Y269" s="9">
        <f t="shared" si="78"/>
        <v>23257.7</v>
      </c>
      <c r="Z269" s="9">
        <f>ROUND(T269 / 1.2, 2)</f>
        <v>206749.08</v>
      </c>
      <c r="AA269" s="9">
        <f>Y269+Z269</f>
        <v>230006.78</v>
      </c>
      <c r="AD269" s="4">
        <v>303752474</v>
      </c>
      <c r="AE269" s="4">
        <v>16077336</v>
      </c>
      <c r="AG269" s="4" t="s">
        <v>851</v>
      </c>
      <c r="AH269" s="4" t="s">
        <v>852</v>
      </c>
      <c r="AI269" s="4" t="s">
        <v>247</v>
      </c>
    </row>
    <row r="270" spans="1:35" ht="36" x14ac:dyDescent="0.35">
      <c r="A270" s="10" t="s">
        <v>868</v>
      </c>
      <c r="B270" s="10"/>
      <c r="C270" s="24" t="s">
        <v>493</v>
      </c>
      <c r="D270" s="15"/>
      <c r="E270" s="15"/>
      <c r="F270" s="25" t="s">
        <v>81</v>
      </c>
      <c r="G270" s="26">
        <v>0.15</v>
      </c>
      <c r="H270" s="15"/>
      <c r="I270" s="26">
        <v>113.11499999999999</v>
      </c>
      <c r="J270" s="28">
        <v>88.8</v>
      </c>
      <c r="M270" s="29">
        <f>ROUND(ROUND(J270, 2)*I270, 2)</f>
        <v>10044.61</v>
      </c>
      <c r="P270" s="30">
        <v>88.8</v>
      </c>
      <c r="S270" s="29">
        <f>ROUND(ROUND(P270, 2)*I270, 2)</f>
        <v>10044.61</v>
      </c>
      <c r="V270" s="9">
        <f>ROUND(ROUND(P270, 2)/1.2, 2)</f>
        <v>74</v>
      </c>
      <c r="Y270" s="9">
        <f t="shared" si="78"/>
        <v>8370.51</v>
      </c>
      <c r="AD270" s="4" t="s">
        <v>869</v>
      </c>
      <c r="AE270" s="4" t="s">
        <v>870</v>
      </c>
      <c r="AF270" s="4" t="s">
        <v>496</v>
      </c>
    </row>
    <row r="271" spans="1:35" ht="18" x14ac:dyDescent="0.35">
      <c r="A271" s="10" t="s">
        <v>871</v>
      </c>
      <c r="B271" s="10"/>
      <c r="C271" s="24" t="s">
        <v>860</v>
      </c>
      <c r="D271" s="15"/>
      <c r="E271" s="15"/>
      <c r="F271" s="25" t="s">
        <v>103</v>
      </c>
      <c r="G271" s="26">
        <v>0.3</v>
      </c>
      <c r="H271" s="15"/>
      <c r="I271" s="27">
        <v>226.23</v>
      </c>
      <c r="J271" s="28">
        <v>37.049999999999997</v>
      </c>
      <c r="M271" s="29">
        <f>ROUND(ROUND(J271, 2)*I271, 2)</f>
        <v>8381.82</v>
      </c>
      <c r="P271" s="30">
        <v>37.049999999999997</v>
      </c>
      <c r="S271" s="29">
        <f>ROUND(ROUND(P271, 2)*I271, 2)</f>
        <v>8381.82</v>
      </c>
      <c r="V271" s="9">
        <f>ROUND(ROUND(P271, 2)/1.2, 2)</f>
        <v>30.88</v>
      </c>
      <c r="Y271" s="9">
        <f t="shared" si="78"/>
        <v>6984.85</v>
      </c>
      <c r="AD271" s="4" t="s">
        <v>872</v>
      </c>
      <c r="AE271" s="4" t="s">
        <v>873</v>
      </c>
      <c r="AF271" s="4" t="s">
        <v>863</v>
      </c>
    </row>
    <row r="272" spans="1:35" ht="36" x14ac:dyDescent="0.35">
      <c r="A272" s="10" t="s">
        <v>874</v>
      </c>
      <c r="B272" s="10"/>
      <c r="C272" s="24" t="s">
        <v>875</v>
      </c>
      <c r="D272" s="15"/>
      <c r="E272" s="15"/>
      <c r="F272" s="25" t="s">
        <v>81</v>
      </c>
      <c r="G272" s="26">
        <v>1</v>
      </c>
      <c r="H272" s="15"/>
      <c r="I272" s="26">
        <v>754.1</v>
      </c>
      <c r="J272" s="28">
        <v>60</v>
      </c>
      <c r="M272" s="29">
        <f>ROUND(ROUND(J272, 2)*I272, 2)</f>
        <v>45246</v>
      </c>
      <c r="P272" s="30">
        <v>12.58</v>
      </c>
      <c r="S272" s="29">
        <f>ROUND(ROUND(P272, 2)*I272, 2)</f>
        <v>9486.58</v>
      </c>
      <c r="V272" s="9">
        <f>ROUND(ROUND(P272, 2)/1.2, 2)</f>
        <v>10.48</v>
      </c>
      <c r="Y272" s="9">
        <f t="shared" si="78"/>
        <v>7905.48</v>
      </c>
      <c r="AD272" s="4" t="s">
        <v>876</v>
      </c>
      <c r="AE272" s="4" t="s">
        <v>877</v>
      </c>
      <c r="AF272" s="4" t="s">
        <v>878</v>
      </c>
    </row>
    <row r="273" spans="1:35" ht="54" x14ac:dyDescent="0.35">
      <c r="A273" s="10" t="s">
        <v>879</v>
      </c>
      <c r="B273" s="10" t="s">
        <v>848</v>
      </c>
      <c r="C273" s="14" t="s">
        <v>849</v>
      </c>
      <c r="D273" s="15"/>
      <c r="E273" s="15" t="s">
        <v>850</v>
      </c>
      <c r="F273" s="15" t="s">
        <v>56</v>
      </c>
      <c r="G273" s="16">
        <v>1</v>
      </c>
      <c r="H273" s="15"/>
      <c r="I273" s="16">
        <v>754.1</v>
      </c>
      <c r="J273" s="17">
        <f>IFERROR(ROUND(SUM(M274,M275,M276)/I273, 2),0)</f>
        <v>65.83</v>
      </c>
      <c r="K273" s="18">
        <v>329</v>
      </c>
      <c r="L273" s="17">
        <f>J273+ROUND(K273, 2)</f>
        <v>394.83</v>
      </c>
      <c r="M273" s="17">
        <f>ROUND(J273*I273, 2)</f>
        <v>49642.400000000001</v>
      </c>
      <c r="N273" s="17">
        <f>ROUND(I273*ROUND(K273, 2), 2)</f>
        <v>248098.9</v>
      </c>
      <c r="O273" s="17">
        <f>M273+N273</f>
        <v>297741.3</v>
      </c>
      <c r="P273" s="17">
        <f>IFERROR(ROUND(SUM(S274,S275,S276)/I273, 2),0)</f>
        <v>47.08</v>
      </c>
      <c r="Q273" s="19">
        <v>329</v>
      </c>
      <c r="R273" s="17">
        <f>P273+ROUND(Q273, 2)</f>
        <v>376.08</v>
      </c>
      <c r="S273" s="17">
        <f>ROUND(P273*I273, 2)</f>
        <v>35503.03</v>
      </c>
      <c r="T273" s="17">
        <f>ROUND(I273*ROUND(Q273, 2), 2)</f>
        <v>248098.9</v>
      </c>
      <c r="U273" s="17">
        <f>S273+T273</f>
        <v>283601.93</v>
      </c>
      <c r="V273" s="9">
        <f>ROUND(P273 / 1.2, 2)</f>
        <v>39.229999999999997</v>
      </c>
      <c r="W273" s="9">
        <f>ROUND(Q273 / 1.2, 2)</f>
        <v>274.17</v>
      </c>
      <c r="X273" s="9">
        <f>ROUND(R273 / 1.2, 2)</f>
        <v>313.39999999999998</v>
      </c>
      <c r="Y273" s="9">
        <f t="shared" si="78"/>
        <v>29585.86</v>
      </c>
      <c r="Z273" s="9">
        <f>ROUND(T273 / 1.2, 2)</f>
        <v>206749.08</v>
      </c>
      <c r="AA273" s="9">
        <f>Y273+Z273</f>
        <v>236334.94</v>
      </c>
      <c r="AD273" s="4">
        <v>303752475</v>
      </c>
      <c r="AE273" s="4">
        <v>16077337</v>
      </c>
      <c r="AG273" s="4" t="s">
        <v>851</v>
      </c>
      <c r="AH273" s="4" t="s">
        <v>852</v>
      </c>
      <c r="AI273" s="4" t="s">
        <v>247</v>
      </c>
    </row>
    <row r="274" spans="1:35" ht="36" x14ac:dyDescent="0.35">
      <c r="A274" s="10" t="s">
        <v>880</v>
      </c>
      <c r="B274" s="10"/>
      <c r="C274" s="24" t="s">
        <v>493</v>
      </c>
      <c r="D274" s="15"/>
      <c r="E274" s="15"/>
      <c r="F274" s="25" t="s">
        <v>81</v>
      </c>
      <c r="G274" s="26">
        <v>0.15</v>
      </c>
      <c r="H274" s="15"/>
      <c r="I274" s="26">
        <v>113.11499999999999</v>
      </c>
      <c r="J274" s="28">
        <v>88.8</v>
      </c>
      <c r="M274" s="29">
        <f>ROUND(ROUND(J274, 2)*I274, 2)</f>
        <v>10044.61</v>
      </c>
      <c r="P274" s="30">
        <v>88.8</v>
      </c>
      <c r="S274" s="29">
        <f>ROUND(ROUND(P274, 2)*I274, 2)</f>
        <v>10044.61</v>
      </c>
      <c r="V274" s="9">
        <f>ROUND(ROUND(P274, 2)/1.2, 2)</f>
        <v>74</v>
      </c>
      <c r="Y274" s="9">
        <f t="shared" si="78"/>
        <v>8370.51</v>
      </c>
      <c r="AD274" s="4" t="s">
        <v>881</v>
      </c>
      <c r="AE274" s="4" t="s">
        <v>882</v>
      </c>
      <c r="AF274" s="4" t="s">
        <v>496</v>
      </c>
    </row>
    <row r="275" spans="1:35" ht="18" x14ac:dyDescent="0.35">
      <c r="A275" s="10" t="s">
        <v>883</v>
      </c>
      <c r="B275" s="10"/>
      <c r="C275" s="24" t="s">
        <v>860</v>
      </c>
      <c r="D275" s="15"/>
      <c r="E275" s="15"/>
      <c r="F275" s="25" t="s">
        <v>103</v>
      </c>
      <c r="G275" s="26">
        <v>0.3</v>
      </c>
      <c r="H275" s="15"/>
      <c r="I275" s="27">
        <v>226.23</v>
      </c>
      <c r="J275" s="28">
        <v>37.049999999999997</v>
      </c>
      <c r="M275" s="29">
        <f>ROUND(ROUND(J275, 2)*I275, 2)</f>
        <v>8381.82</v>
      </c>
      <c r="P275" s="30">
        <v>37.049999999999997</v>
      </c>
      <c r="S275" s="29">
        <f>ROUND(ROUND(P275, 2)*I275, 2)</f>
        <v>8381.82</v>
      </c>
      <c r="V275" s="9">
        <f>ROUND(ROUND(P275, 2)/1.2, 2)</f>
        <v>30.88</v>
      </c>
      <c r="Y275" s="9">
        <f t="shared" si="78"/>
        <v>6984.85</v>
      </c>
      <c r="AD275" s="4" t="s">
        <v>884</v>
      </c>
      <c r="AE275" s="4" t="s">
        <v>885</v>
      </c>
      <c r="AF275" s="4" t="s">
        <v>863</v>
      </c>
    </row>
    <row r="276" spans="1:35" ht="36" x14ac:dyDescent="0.35">
      <c r="A276" s="10" t="s">
        <v>886</v>
      </c>
      <c r="B276" s="10"/>
      <c r="C276" s="24" t="s">
        <v>887</v>
      </c>
      <c r="D276" s="15"/>
      <c r="E276" s="15"/>
      <c r="F276" s="25" t="s">
        <v>81</v>
      </c>
      <c r="G276" s="26">
        <v>1.8</v>
      </c>
      <c r="H276" s="15"/>
      <c r="I276" s="26">
        <v>1357.38</v>
      </c>
      <c r="J276" s="28">
        <v>23</v>
      </c>
      <c r="M276" s="29">
        <f>ROUND(ROUND(J276, 2)*I276, 2)</f>
        <v>31219.74</v>
      </c>
      <c r="P276" s="30">
        <v>12.58</v>
      </c>
      <c r="S276" s="29">
        <f>ROUND(ROUND(P276, 2)*I276, 2)</f>
        <v>17075.84</v>
      </c>
      <c r="V276" s="9">
        <f>ROUND(ROUND(P276, 2)/1.2, 2)</f>
        <v>10.48</v>
      </c>
      <c r="Y276" s="9">
        <f t="shared" si="78"/>
        <v>14229.87</v>
      </c>
      <c r="AD276" s="4" t="s">
        <v>888</v>
      </c>
      <c r="AE276" s="4" t="s">
        <v>889</v>
      </c>
      <c r="AF276" s="4" t="s">
        <v>890</v>
      </c>
    </row>
    <row r="277" spans="1:35" ht="54" x14ac:dyDescent="0.35">
      <c r="A277" s="38" t="s">
        <v>891</v>
      </c>
      <c r="B277" s="38" t="s">
        <v>848</v>
      </c>
      <c r="C277" s="39" t="s">
        <v>849</v>
      </c>
      <c r="D277" s="40"/>
      <c r="E277" s="40" t="s">
        <v>892</v>
      </c>
      <c r="F277" s="40" t="s">
        <v>56</v>
      </c>
      <c r="G277" s="41">
        <v>1</v>
      </c>
      <c r="H277" s="40"/>
      <c r="I277" s="42">
        <v>0</v>
      </c>
      <c r="J277" s="43">
        <f>IFERROR(ROUND(SUM(M279,M281,M283,M285)/I277, 2),0)</f>
        <v>0</v>
      </c>
      <c r="K277" s="43">
        <v>329</v>
      </c>
      <c r="L277" s="43">
        <f>J277+ROUND(K277, 2)</f>
        <v>329</v>
      </c>
      <c r="M277" s="43">
        <f>ROUND(J277*I277, 2)</f>
        <v>0</v>
      </c>
      <c r="N277" s="43">
        <f>ROUND(I277*ROUND(K277, 2), 2)</f>
        <v>0</v>
      </c>
      <c r="O277" s="43">
        <f>M277+N277</f>
        <v>0</v>
      </c>
      <c r="P277" s="43">
        <f>IFERROR(ROUND(SUM(S279,S281,S283,S285)/I277, 2),0)</f>
        <v>0</v>
      </c>
      <c r="Q277" s="43">
        <v>329</v>
      </c>
      <c r="R277" s="43">
        <f>P277+ROUND(Q277, 2)</f>
        <v>329</v>
      </c>
      <c r="S277" s="43">
        <f>ROUND(P277*I277, 2)</f>
        <v>0</v>
      </c>
      <c r="T277" s="43">
        <f>ROUND(I277*ROUND(Q277, 2), 2)</f>
        <v>0</v>
      </c>
      <c r="U277" s="43">
        <f>S277+T277</f>
        <v>0</v>
      </c>
      <c r="V277" s="9">
        <f>ROUND(P277 / 1.2, 2)</f>
        <v>0</v>
      </c>
      <c r="W277" s="9">
        <f>ROUND(Q277 / 1.2, 2)</f>
        <v>274.17</v>
      </c>
      <c r="X277" s="9">
        <f>ROUND(R277 / 1.2, 2)</f>
        <v>274.17</v>
      </c>
      <c r="Y277" s="9">
        <f t="shared" si="78"/>
        <v>0</v>
      </c>
      <c r="Z277" s="9">
        <f>ROUND(T277 / 1.2, 2)</f>
        <v>0</v>
      </c>
      <c r="AA277" s="9">
        <f>Y277+Z277</f>
        <v>0</v>
      </c>
      <c r="AD277" s="4">
        <v>303752476</v>
      </c>
      <c r="AE277" s="4">
        <v>16081445</v>
      </c>
      <c r="AG277" s="4" t="s">
        <v>851</v>
      </c>
      <c r="AH277" s="4" t="s">
        <v>852</v>
      </c>
      <c r="AI277" s="4" t="s">
        <v>247</v>
      </c>
    </row>
    <row r="278" spans="1:35" ht="54" x14ac:dyDescent="0.35">
      <c r="A278" s="44" t="s">
        <v>893</v>
      </c>
      <c r="B278" s="44" t="s">
        <v>848</v>
      </c>
      <c r="C278" s="45" t="s">
        <v>849</v>
      </c>
      <c r="D278" s="46"/>
      <c r="E278" s="46" t="s">
        <v>892</v>
      </c>
      <c r="F278" s="46" t="s">
        <v>56</v>
      </c>
      <c r="G278" s="47">
        <v>1</v>
      </c>
      <c r="H278" s="46"/>
      <c r="I278" s="47">
        <v>314.5</v>
      </c>
      <c r="J278" s="48">
        <v>0</v>
      </c>
      <c r="K278" s="48">
        <v>329</v>
      </c>
      <c r="L278" s="48"/>
      <c r="M278" s="48">
        <v>0</v>
      </c>
      <c r="N278" s="48"/>
      <c r="O278" s="48"/>
      <c r="P278" s="48">
        <v>0</v>
      </c>
      <c r="Q278" s="48">
        <v>329</v>
      </c>
      <c r="R278" s="48"/>
      <c r="S278" s="48">
        <v>0</v>
      </c>
      <c r="T278" s="48"/>
      <c r="U278" s="48"/>
      <c r="V278" s="9"/>
      <c r="W278" s="9">
        <f>ROUND(Q278 / 1.2, 2)</f>
        <v>274.17</v>
      </c>
      <c r="X278" s="9">
        <f>ROUND(R278 / 1.2, 2)</f>
        <v>0</v>
      </c>
      <c r="Y278" s="9"/>
      <c r="Z278" s="9">
        <f>ROUND(T278 / 1.2, 2)</f>
        <v>0</v>
      </c>
      <c r="AA278" s="9"/>
      <c r="AD278" s="4">
        <v>204390266</v>
      </c>
      <c r="AE278" s="4">
        <v>16081445</v>
      </c>
      <c r="AG278" s="4" t="s">
        <v>851</v>
      </c>
      <c r="AH278" s="4" t="s">
        <v>852</v>
      </c>
      <c r="AI278" s="4"/>
    </row>
    <row r="279" spans="1:35" ht="36" x14ac:dyDescent="0.35">
      <c r="A279" s="38" t="s">
        <v>894</v>
      </c>
      <c r="B279" s="38"/>
      <c r="C279" s="49" t="s">
        <v>895</v>
      </c>
      <c r="D279" s="40"/>
      <c r="E279" s="40"/>
      <c r="F279" s="50" t="s">
        <v>81</v>
      </c>
      <c r="G279" s="51">
        <v>0.1</v>
      </c>
      <c r="H279" s="40"/>
      <c r="I279" s="52">
        <v>0</v>
      </c>
      <c r="J279" s="53">
        <v>142.9</v>
      </c>
      <c r="K279" s="54"/>
      <c r="L279" s="54"/>
      <c r="M279" s="53">
        <f t="shared" ref="M279:M286" si="79">ROUND(ROUND(J279, 2)*I279, 2)</f>
        <v>0</v>
      </c>
      <c r="N279" s="54"/>
      <c r="O279" s="54"/>
      <c r="P279" s="53">
        <v>142.9</v>
      </c>
      <c r="Q279" s="54"/>
      <c r="R279" s="54"/>
      <c r="S279" s="53">
        <f t="shared" ref="S279:S286" si="80">ROUND(ROUND(P279, 2)*I279, 2)</f>
        <v>0</v>
      </c>
      <c r="T279" s="54"/>
      <c r="U279" s="55"/>
      <c r="V279" s="9">
        <f t="shared" ref="V279:V286" si="81">ROUND(ROUND(P279, 2)/1.2, 2)</f>
        <v>119.08</v>
      </c>
      <c r="Y279" s="9">
        <f t="shared" ref="Y279:Y287" si="82">ROUND(S279 / 1.2, 2)</f>
        <v>0</v>
      </c>
      <c r="AD279" s="4" t="s">
        <v>896</v>
      </c>
      <c r="AE279" s="4" t="s">
        <v>897</v>
      </c>
      <c r="AF279" s="4" t="s">
        <v>898</v>
      </c>
    </row>
    <row r="280" spans="1:35" ht="36" x14ac:dyDescent="0.35">
      <c r="A280" s="44" t="s">
        <v>899</v>
      </c>
      <c r="B280" s="44"/>
      <c r="C280" s="56" t="s">
        <v>895</v>
      </c>
      <c r="D280" s="46"/>
      <c r="E280" s="46"/>
      <c r="F280" s="57" t="s">
        <v>81</v>
      </c>
      <c r="G280" s="58">
        <v>0.1</v>
      </c>
      <c r="H280" s="46"/>
      <c r="I280" s="58">
        <v>31.45</v>
      </c>
      <c r="J280" s="59">
        <v>142.9</v>
      </c>
      <c r="K280" s="60"/>
      <c r="L280" s="60"/>
      <c r="M280" s="59">
        <f t="shared" si="79"/>
        <v>4494.21</v>
      </c>
      <c r="N280" s="60"/>
      <c r="O280" s="60"/>
      <c r="P280" s="59">
        <v>142.9</v>
      </c>
      <c r="Q280" s="60"/>
      <c r="R280" s="60"/>
      <c r="S280" s="59">
        <f t="shared" si="80"/>
        <v>4494.21</v>
      </c>
      <c r="T280" s="60"/>
      <c r="U280" s="61"/>
      <c r="V280" s="9">
        <f t="shared" si="81"/>
        <v>119.08</v>
      </c>
      <c r="Y280" s="9">
        <f t="shared" si="82"/>
        <v>3745.18</v>
      </c>
      <c r="AD280" s="4" t="s">
        <v>900</v>
      </c>
      <c r="AE280" s="4" t="s">
        <v>897</v>
      </c>
      <c r="AF280" s="4" t="s">
        <v>898</v>
      </c>
    </row>
    <row r="281" spans="1:35" ht="18" x14ac:dyDescent="0.35">
      <c r="A281" s="38" t="s">
        <v>901</v>
      </c>
      <c r="B281" s="38"/>
      <c r="C281" s="49" t="s">
        <v>902</v>
      </c>
      <c r="D281" s="40"/>
      <c r="E281" s="40"/>
      <c r="F281" s="50" t="s">
        <v>129</v>
      </c>
      <c r="G281" s="51">
        <v>1</v>
      </c>
      <c r="H281" s="40"/>
      <c r="I281" s="62">
        <v>0</v>
      </c>
      <c r="J281" s="53">
        <v>7</v>
      </c>
      <c r="K281" s="54"/>
      <c r="L281" s="54"/>
      <c r="M281" s="53">
        <f t="shared" si="79"/>
        <v>0</v>
      </c>
      <c r="N281" s="54"/>
      <c r="O281" s="54"/>
      <c r="P281" s="53">
        <v>7</v>
      </c>
      <c r="Q281" s="54"/>
      <c r="R281" s="54"/>
      <c r="S281" s="53">
        <f t="shared" si="80"/>
        <v>0</v>
      </c>
      <c r="T281" s="54"/>
      <c r="U281" s="55"/>
      <c r="V281" s="9">
        <f t="shared" si="81"/>
        <v>5.83</v>
      </c>
      <c r="Y281" s="9">
        <f t="shared" si="82"/>
        <v>0</v>
      </c>
      <c r="AD281" s="4" t="s">
        <v>903</v>
      </c>
      <c r="AE281" s="4" t="s">
        <v>904</v>
      </c>
      <c r="AF281" s="4" t="s">
        <v>905</v>
      </c>
    </row>
    <row r="282" spans="1:35" ht="18" x14ac:dyDescent="0.35">
      <c r="A282" s="44" t="s">
        <v>906</v>
      </c>
      <c r="B282" s="44"/>
      <c r="C282" s="56" t="s">
        <v>902</v>
      </c>
      <c r="D282" s="46"/>
      <c r="E282" s="46"/>
      <c r="F282" s="57" t="s">
        <v>129</v>
      </c>
      <c r="G282" s="58">
        <v>1</v>
      </c>
      <c r="H282" s="46"/>
      <c r="I282" s="63">
        <v>314.5</v>
      </c>
      <c r="J282" s="59">
        <v>7</v>
      </c>
      <c r="K282" s="60"/>
      <c r="L282" s="60"/>
      <c r="M282" s="59">
        <f t="shared" si="79"/>
        <v>2201.5</v>
      </c>
      <c r="N282" s="60"/>
      <c r="O282" s="60"/>
      <c r="P282" s="59">
        <v>7</v>
      </c>
      <c r="Q282" s="60"/>
      <c r="R282" s="60"/>
      <c r="S282" s="59">
        <f t="shared" si="80"/>
        <v>2201.5</v>
      </c>
      <c r="T282" s="60"/>
      <c r="U282" s="61"/>
      <c r="V282" s="9">
        <f t="shared" si="81"/>
        <v>5.83</v>
      </c>
      <c r="Y282" s="9">
        <f t="shared" si="82"/>
        <v>1834.58</v>
      </c>
      <c r="AD282" s="4" t="s">
        <v>907</v>
      </c>
      <c r="AE282" s="4" t="s">
        <v>904</v>
      </c>
      <c r="AF282" s="4" t="s">
        <v>905</v>
      </c>
    </row>
    <row r="283" spans="1:35" ht="18" x14ac:dyDescent="0.35">
      <c r="A283" s="38" t="s">
        <v>908</v>
      </c>
      <c r="B283" s="38"/>
      <c r="C283" s="49" t="s">
        <v>860</v>
      </c>
      <c r="D283" s="40"/>
      <c r="E283" s="40"/>
      <c r="F283" s="50" t="s">
        <v>103</v>
      </c>
      <c r="G283" s="51">
        <v>0.3</v>
      </c>
      <c r="H283" s="40"/>
      <c r="I283" s="62">
        <v>0</v>
      </c>
      <c r="J283" s="53">
        <v>37.049999999999997</v>
      </c>
      <c r="K283" s="54"/>
      <c r="L283" s="54"/>
      <c r="M283" s="53">
        <f t="shared" si="79"/>
        <v>0</v>
      </c>
      <c r="N283" s="54"/>
      <c r="O283" s="54"/>
      <c r="P283" s="53">
        <v>37.049999999999997</v>
      </c>
      <c r="Q283" s="54"/>
      <c r="R283" s="54"/>
      <c r="S283" s="53">
        <f t="shared" si="80"/>
        <v>0</v>
      </c>
      <c r="T283" s="54"/>
      <c r="U283" s="55"/>
      <c r="V283" s="9">
        <f t="shared" si="81"/>
        <v>30.88</v>
      </c>
      <c r="Y283" s="9">
        <f t="shared" si="82"/>
        <v>0</v>
      </c>
      <c r="AD283" s="4" t="s">
        <v>909</v>
      </c>
      <c r="AE283" s="4" t="s">
        <v>910</v>
      </c>
      <c r="AF283" s="4" t="s">
        <v>863</v>
      </c>
    </row>
    <row r="284" spans="1:35" ht="18" x14ac:dyDescent="0.35">
      <c r="A284" s="44" t="s">
        <v>911</v>
      </c>
      <c r="B284" s="44"/>
      <c r="C284" s="56" t="s">
        <v>860</v>
      </c>
      <c r="D284" s="46"/>
      <c r="E284" s="46"/>
      <c r="F284" s="57" t="s">
        <v>103</v>
      </c>
      <c r="G284" s="58">
        <v>0.3</v>
      </c>
      <c r="H284" s="46"/>
      <c r="I284" s="63">
        <v>94.35</v>
      </c>
      <c r="J284" s="59">
        <v>37.049999999999997</v>
      </c>
      <c r="K284" s="60"/>
      <c r="L284" s="60"/>
      <c r="M284" s="59">
        <f t="shared" si="79"/>
        <v>3495.67</v>
      </c>
      <c r="N284" s="60"/>
      <c r="O284" s="60"/>
      <c r="P284" s="59">
        <v>37.049999999999997</v>
      </c>
      <c r="Q284" s="60"/>
      <c r="R284" s="60"/>
      <c r="S284" s="59">
        <f t="shared" si="80"/>
        <v>3495.67</v>
      </c>
      <c r="T284" s="60"/>
      <c r="U284" s="61"/>
      <c r="V284" s="9">
        <f t="shared" si="81"/>
        <v>30.88</v>
      </c>
      <c r="Y284" s="9">
        <f t="shared" si="82"/>
        <v>2913.06</v>
      </c>
      <c r="AD284" s="4" t="s">
        <v>912</v>
      </c>
      <c r="AE284" s="4" t="s">
        <v>910</v>
      </c>
      <c r="AF284" s="4" t="s">
        <v>863</v>
      </c>
    </row>
    <row r="285" spans="1:35" ht="36" x14ac:dyDescent="0.35">
      <c r="A285" s="38" t="s">
        <v>913</v>
      </c>
      <c r="B285" s="38"/>
      <c r="C285" s="49" t="s">
        <v>914</v>
      </c>
      <c r="D285" s="40"/>
      <c r="E285" s="40"/>
      <c r="F285" s="50" t="s">
        <v>81</v>
      </c>
      <c r="G285" s="51">
        <v>1.8</v>
      </c>
      <c r="H285" s="40"/>
      <c r="I285" s="52">
        <v>0</v>
      </c>
      <c r="J285" s="53">
        <v>12.58</v>
      </c>
      <c r="K285" s="54"/>
      <c r="L285" s="54"/>
      <c r="M285" s="53">
        <f t="shared" si="79"/>
        <v>0</v>
      </c>
      <c r="N285" s="54"/>
      <c r="O285" s="54"/>
      <c r="P285" s="53">
        <v>12.58</v>
      </c>
      <c r="Q285" s="54"/>
      <c r="R285" s="54"/>
      <c r="S285" s="53">
        <f t="shared" si="80"/>
        <v>0</v>
      </c>
      <c r="T285" s="54"/>
      <c r="U285" s="55"/>
      <c r="V285" s="9">
        <f t="shared" si="81"/>
        <v>10.48</v>
      </c>
      <c r="Y285" s="9">
        <f t="shared" si="82"/>
        <v>0</v>
      </c>
      <c r="AD285" s="4" t="s">
        <v>915</v>
      </c>
      <c r="AE285" s="4" t="s">
        <v>916</v>
      </c>
      <c r="AF285" s="4" t="s">
        <v>917</v>
      </c>
    </row>
    <row r="286" spans="1:35" ht="36" x14ac:dyDescent="0.35">
      <c r="A286" s="44" t="s">
        <v>918</v>
      </c>
      <c r="B286" s="44"/>
      <c r="C286" s="56" t="s">
        <v>914</v>
      </c>
      <c r="D286" s="46"/>
      <c r="E286" s="46"/>
      <c r="F286" s="57" t="s">
        <v>81</v>
      </c>
      <c r="G286" s="58">
        <v>1.8</v>
      </c>
      <c r="H286" s="46"/>
      <c r="I286" s="58">
        <v>566.1</v>
      </c>
      <c r="J286" s="59">
        <v>12.58</v>
      </c>
      <c r="K286" s="60"/>
      <c r="L286" s="60"/>
      <c r="M286" s="59">
        <f t="shared" si="79"/>
        <v>7121.54</v>
      </c>
      <c r="N286" s="60"/>
      <c r="O286" s="60"/>
      <c r="P286" s="59">
        <v>12.58</v>
      </c>
      <c r="Q286" s="60"/>
      <c r="R286" s="60"/>
      <c r="S286" s="59">
        <f t="shared" si="80"/>
        <v>7121.54</v>
      </c>
      <c r="T286" s="60"/>
      <c r="U286" s="61"/>
      <c r="V286" s="9">
        <f t="shared" si="81"/>
        <v>10.48</v>
      </c>
      <c r="Y286" s="9">
        <f t="shared" si="82"/>
        <v>5934.62</v>
      </c>
      <c r="AD286" s="4" t="s">
        <v>919</v>
      </c>
      <c r="AE286" s="4" t="s">
        <v>916</v>
      </c>
      <c r="AF286" s="4" t="s">
        <v>917</v>
      </c>
    </row>
    <row r="287" spans="1:35" ht="54" x14ac:dyDescent="0.35">
      <c r="A287" s="38" t="s">
        <v>920</v>
      </c>
      <c r="B287" s="38" t="s">
        <v>848</v>
      </c>
      <c r="C287" s="39" t="s">
        <v>849</v>
      </c>
      <c r="D287" s="40"/>
      <c r="E287" s="40" t="s">
        <v>921</v>
      </c>
      <c r="F287" s="40" t="s">
        <v>56</v>
      </c>
      <c r="G287" s="41">
        <v>1</v>
      </c>
      <c r="H287" s="40"/>
      <c r="I287" s="42">
        <v>0</v>
      </c>
      <c r="J287" s="43">
        <f>IFERROR(ROUND(SUM(M289,M291,M293,M295)/I287, 2),0)</f>
        <v>0</v>
      </c>
      <c r="K287" s="43">
        <v>329</v>
      </c>
      <c r="L287" s="43">
        <f>J287+ROUND(K287, 2)</f>
        <v>329</v>
      </c>
      <c r="M287" s="43">
        <f>ROUND(J287*I287, 2)</f>
        <v>0</v>
      </c>
      <c r="N287" s="43">
        <f>ROUND(I287*ROUND(K287, 2), 2)</f>
        <v>0</v>
      </c>
      <c r="O287" s="43">
        <f>M287+N287</f>
        <v>0</v>
      </c>
      <c r="P287" s="43">
        <f>IFERROR(ROUND(SUM(S289,S291,S293,S295)/I287, 2),0)</f>
        <v>0</v>
      </c>
      <c r="Q287" s="43">
        <v>329</v>
      </c>
      <c r="R287" s="43">
        <f>P287+ROUND(Q287, 2)</f>
        <v>329</v>
      </c>
      <c r="S287" s="43">
        <f>ROUND(P287*I287, 2)</f>
        <v>0</v>
      </c>
      <c r="T287" s="43">
        <f>ROUND(I287*ROUND(Q287, 2), 2)</f>
        <v>0</v>
      </c>
      <c r="U287" s="43">
        <f>S287+T287</f>
        <v>0</v>
      </c>
      <c r="V287" s="9">
        <f>ROUND(P287 / 1.2, 2)</f>
        <v>0</v>
      </c>
      <c r="W287" s="9">
        <f>ROUND(Q287 / 1.2, 2)</f>
        <v>274.17</v>
      </c>
      <c r="X287" s="9">
        <f>ROUND(R287 / 1.2, 2)</f>
        <v>274.17</v>
      </c>
      <c r="Y287" s="9">
        <f t="shared" si="82"/>
        <v>0</v>
      </c>
      <c r="Z287" s="9">
        <f>ROUND(T287 / 1.2, 2)</f>
        <v>0</v>
      </c>
      <c r="AA287" s="9">
        <f>Y287+Z287</f>
        <v>0</v>
      </c>
      <c r="AD287" s="4">
        <v>303752477</v>
      </c>
      <c r="AE287" s="4">
        <v>16081650</v>
      </c>
      <c r="AG287" s="4" t="s">
        <v>851</v>
      </c>
      <c r="AH287" s="4" t="s">
        <v>852</v>
      </c>
      <c r="AI287" s="4" t="s">
        <v>247</v>
      </c>
    </row>
    <row r="288" spans="1:35" ht="54" x14ac:dyDescent="0.35">
      <c r="A288" s="44" t="s">
        <v>922</v>
      </c>
      <c r="B288" s="44" t="s">
        <v>848</v>
      </c>
      <c r="C288" s="45" t="s">
        <v>849</v>
      </c>
      <c r="D288" s="46"/>
      <c r="E288" s="46" t="s">
        <v>921</v>
      </c>
      <c r="F288" s="46" t="s">
        <v>56</v>
      </c>
      <c r="G288" s="47">
        <v>1</v>
      </c>
      <c r="H288" s="46"/>
      <c r="I288" s="47">
        <v>314.5</v>
      </c>
      <c r="J288" s="48">
        <v>0</v>
      </c>
      <c r="K288" s="48">
        <v>329</v>
      </c>
      <c r="L288" s="48"/>
      <c r="M288" s="48">
        <v>0</v>
      </c>
      <c r="N288" s="48"/>
      <c r="O288" s="48"/>
      <c r="P288" s="48">
        <v>0</v>
      </c>
      <c r="Q288" s="48">
        <v>329</v>
      </c>
      <c r="R288" s="48"/>
      <c r="S288" s="48">
        <v>0</v>
      </c>
      <c r="T288" s="48"/>
      <c r="U288" s="48"/>
      <c r="V288" s="9"/>
      <c r="W288" s="9">
        <f>ROUND(Q288 / 1.2, 2)</f>
        <v>274.17</v>
      </c>
      <c r="X288" s="9">
        <f>ROUND(R288 / 1.2, 2)</f>
        <v>0</v>
      </c>
      <c r="Y288" s="9"/>
      <c r="Z288" s="9">
        <f>ROUND(T288 / 1.2, 2)</f>
        <v>0</v>
      </c>
      <c r="AA288" s="9"/>
      <c r="AD288" s="4">
        <v>204390267</v>
      </c>
      <c r="AE288" s="4">
        <v>16081650</v>
      </c>
      <c r="AG288" s="4" t="s">
        <v>851</v>
      </c>
      <c r="AH288" s="4" t="s">
        <v>852</v>
      </c>
      <c r="AI288" s="4"/>
    </row>
    <row r="289" spans="1:35" ht="36" x14ac:dyDescent="0.35">
      <c r="A289" s="38" t="s">
        <v>923</v>
      </c>
      <c r="B289" s="38"/>
      <c r="C289" s="49" t="s">
        <v>493</v>
      </c>
      <c r="D289" s="40"/>
      <c r="E289" s="40"/>
      <c r="F289" s="50" t="s">
        <v>81</v>
      </c>
      <c r="G289" s="51">
        <v>0.15</v>
      </c>
      <c r="H289" s="40"/>
      <c r="I289" s="52">
        <v>0</v>
      </c>
      <c r="J289" s="53">
        <v>88.8</v>
      </c>
      <c r="K289" s="54"/>
      <c r="L289" s="54"/>
      <c r="M289" s="53">
        <f t="shared" ref="M289:M296" si="83">ROUND(ROUND(J289, 2)*I289, 2)</f>
        <v>0</v>
      </c>
      <c r="N289" s="54"/>
      <c r="O289" s="54"/>
      <c r="P289" s="53">
        <v>88.8</v>
      </c>
      <c r="Q289" s="54"/>
      <c r="R289" s="54"/>
      <c r="S289" s="53">
        <f t="shared" ref="S289:S296" si="84">ROUND(ROUND(P289, 2)*I289, 2)</f>
        <v>0</v>
      </c>
      <c r="T289" s="54"/>
      <c r="U289" s="55"/>
      <c r="V289" s="9">
        <f t="shared" ref="V289:V296" si="85">ROUND(ROUND(P289, 2)/1.2, 2)</f>
        <v>74</v>
      </c>
      <c r="Y289" s="9">
        <f t="shared" ref="Y289:Y297" si="86">ROUND(S289 / 1.2, 2)</f>
        <v>0</v>
      </c>
      <c r="AD289" s="4" t="s">
        <v>924</v>
      </c>
      <c r="AE289" s="4" t="s">
        <v>925</v>
      </c>
      <c r="AF289" s="4" t="s">
        <v>496</v>
      </c>
    </row>
    <row r="290" spans="1:35" ht="36" x14ac:dyDescent="0.35">
      <c r="A290" s="44" t="s">
        <v>926</v>
      </c>
      <c r="B290" s="44"/>
      <c r="C290" s="56" t="s">
        <v>493</v>
      </c>
      <c r="D290" s="46"/>
      <c r="E290" s="46"/>
      <c r="F290" s="57" t="s">
        <v>81</v>
      </c>
      <c r="G290" s="58">
        <v>0.15</v>
      </c>
      <c r="H290" s="46"/>
      <c r="I290" s="58">
        <v>47.174999999999997</v>
      </c>
      <c r="J290" s="59">
        <v>88.8</v>
      </c>
      <c r="K290" s="60"/>
      <c r="L290" s="60"/>
      <c r="M290" s="59">
        <f t="shared" si="83"/>
        <v>4189.1400000000003</v>
      </c>
      <c r="N290" s="60"/>
      <c r="O290" s="60"/>
      <c r="P290" s="59">
        <v>88.8</v>
      </c>
      <c r="Q290" s="60"/>
      <c r="R290" s="60"/>
      <c r="S290" s="59">
        <f t="shared" si="84"/>
        <v>4189.1400000000003</v>
      </c>
      <c r="T290" s="60"/>
      <c r="U290" s="61"/>
      <c r="V290" s="9">
        <f t="shared" si="85"/>
        <v>74</v>
      </c>
      <c r="Y290" s="9">
        <f t="shared" si="86"/>
        <v>3490.95</v>
      </c>
      <c r="AD290" s="4" t="s">
        <v>927</v>
      </c>
      <c r="AE290" s="4" t="s">
        <v>925</v>
      </c>
      <c r="AF290" s="4" t="s">
        <v>496</v>
      </c>
    </row>
    <row r="291" spans="1:35" ht="18" x14ac:dyDescent="0.35">
      <c r="A291" s="38" t="s">
        <v>928</v>
      </c>
      <c r="B291" s="38"/>
      <c r="C291" s="49" t="s">
        <v>902</v>
      </c>
      <c r="D291" s="40"/>
      <c r="E291" s="40"/>
      <c r="F291" s="50" t="s">
        <v>129</v>
      </c>
      <c r="G291" s="51">
        <v>1</v>
      </c>
      <c r="H291" s="40"/>
      <c r="I291" s="62">
        <v>0</v>
      </c>
      <c r="J291" s="53">
        <v>7</v>
      </c>
      <c r="K291" s="54"/>
      <c r="L291" s="54"/>
      <c r="M291" s="53">
        <f t="shared" si="83"/>
        <v>0</v>
      </c>
      <c r="N291" s="54"/>
      <c r="O291" s="54"/>
      <c r="P291" s="53">
        <v>7</v>
      </c>
      <c r="Q291" s="54"/>
      <c r="R291" s="54"/>
      <c r="S291" s="53">
        <f t="shared" si="84"/>
        <v>0</v>
      </c>
      <c r="T291" s="54"/>
      <c r="U291" s="55"/>
      <c r="V291" s="9">
        <f t="shared" si="85"/>
        <v>5.83</v>
      </c>
      <c r="Y291" s="9">
        <f t="shared" si="86"/>
        <v>0</v>
      </c>
      <c r="AD291" s="4" t="s">
        <v>929</v>
      </c>
      <c r="AE291" s="4" t="s">
        <v>930</v>
      </c>
      <c r="AF291" s="4" t="s">
        <v>905</v>
      </c>
    </row>
    <row r="292" spans="1:35" ht="18" x14ac:dyDescent="0.35">
      <c r="A292" s="44" t="s">
        <v>931</v>
      </c>
      <c r="B292" s="44"/>
      <c r="C292" s="56" t="s">
        <v>902</v>
      </c>
      <c r="D292" s="46"/>
      <c r="E292" s="46"/>
      <c r="F292" s="57" t="s">
        <v>129</v>
      </c>
      <c r="G292" s="58">
        <v>1</v>
      </c>
      <c r="H292" s="46"/>
      <c r="I292" s="63">
        <v>314.5</v>
      </c>
      <c r="J292" s="59">
        <v>7</v>
      </c>
      <c r="K292" s="60"/>
      <c r="L292" s="60"/>
      <c r="M292" s="59">
        <f t="shared" si="83"/>
        <v>2201.5</v>
      </c>
      <c r="N292" s="60"/>
      <c r="O292" s="60"/>
      <c r="P292" s="59">
        <v>7</v>
      </c>
      <c r="Q292" s="60"/>
      <c r="R292" s="60"/>
      <c r="S292" s="59">
        <f t="shared" si="84"/>
        <v>2201.5</v>
      </c>
      <c r="T292" s="60"/>
      <c r="U292" s="61"/>
      <c r="V292" s="9">
        <f t="shared" si="85"/>
        <v>5.83</v>
      </c>
      <c r="Y292" s="9">
        <f t="shared" si="86"/>
        <v>1834.58</v>
      </c>
      <c r="AD292" s="4" t="s">
        <v>932</v>
      </c>
      <c r="AE292" s="4" t="s">
        <v>930</v>
      </c>
      <c r="AF292" s="4" t="s">
        <v>905</v>
      </c>
    </row>
    <row r="293" spans="1:35" ht="18" x14ac:dyDescent="0.35">
      <c r="A293" s="38" t="s">
        <v>933</v>
      </c>
      <c r="B293" s="38"/>
      <c r="C293" s="49" t="s">
        <v>860</v>
      </c>
      <c r="D293" s="40"/>
      <c r="E293" s="40"/>
      <c r="F293" s="50" t="s">
        <v>103</v>
      </c>
      <c r="G293" s="51">
        <v>0.3</v>
      </c>
      <c r="H293" s="40"/>
      <c r="I293" s="62">
        <v>0</v>
      </c>
      <c r="J293" s="53">
        <v>37.049999999999997</v>
      </c>
      <c r="K293" s="54"/>
      <c r="L293" s="54"/>
      <c r="M293" s="53">
        <f t="shared" si="83"/>
        <v>0</v>
      </c>
      <c r="N293" s="54"/>
      <c r="O293" s="54"/>
      <c r="P293" s="53">
        <v>37.049999999999997</v>
      </c>
      <c r="Q293" s="54"/>
      <c r="R293" s="54"/>
      <c r="S293" s="53">
        <f t="shared" si="84"/>
        <v>0</v>
      </c>
      <c r="T293" s="54"/>
      <c r="U293" s="55"/>
      <c r="V293" s="9">
        <f t="shared" si="85"/>
        <v>30.88</v>
      </c>
      <c r="Y293" s="9">
        <f t="shared" si="86"/>
        <v>0</v>
      </c>
      <c r="AD293" s="4" t="s">
        <v>934</v>
      </c>
      <c r="AE293" s="4" t="s">
        <v>935</v>
      </c>
      <c r="AF293" s="4" t="s">
        <v>863</v>
      </c>
    </row>
    <row r="294" spans="1:35" ht="18" x14ac:dyDescent="0.35">
      <c r="A294" s="44" t="s">
        <v>936</v>
      </c>
      <c r="B294" s="44"/>
      <c r="C294" s="56" t="s">
        <v>860</v>
      </c>
      <c r="D294" s="46"/>
      <c r="E294" s="46"/>
      <c r="F294" s="57" t="s">
        <v>103</v>
      </c>
      <c r="G294" s="58">
        <v>0.3</v>
      </c>
      <c r="H294" s="46"/>
      <c r="I294" s="63">
        <v>94.35</v>
      </c>
      <c r="J294" s="59">
        <v>37.049999999999997</v>
      </c>
      <c r="K294" s="60"/>
      <c r="L294" s="60"/>
      <c r="M294" s="59">
        <f t="shared" si="83"/>
        <v>3495.67</v>
      </c>
      <c r="N294" s="60"/>
      <c r="O294" s="60"/>
      <c r="P294" s="59">
        <v>37.049999999999997</v>
      </c>
      <c r="Q294" s="60"/>
      <c r="R294" s="60"/>
      <c r="S294" s="59">
        <f t="shared" si="84"/>
        <v>3495.67</v>
      </c>
      <c r="T294" s="60"/>
      <c r="U294" s="61"/>
      <c r="V294" s="9">
        <f t="shared" si="85"/>
        <v>30.88</v>
      </c>
      <c r="Y294" s="9">
        <f t="shared" si="86"/>
        <v>2913.06</v>
      </c>
      <c r="AD294" s="4" t="s">
        <v>937</v>
      </c>
      <c r="AE294" s="4" t="s">
        <v>935</v>
      </c>
      <c r="AF294" s="4" t="s">
        <v>863</v>
      </c>
    </row>
    <row r="295" spans="1:35" ht="36" x14ac:dyDescent="0.35">
      <c r="A295" s="38" t="s">
        <v>938</v>
      </c>
      <c r="B295" s="38"/>
      <c r="C295" s="49" t="s">
        <v>875</v>
      </c>
      <c r="D295" s="40"/>
      <c r="E295" s="40"/>
      <c r="F295" s="50" t="s">
        <v>81</v>
      </c>
      <c r="G295" s="51">
        <v>1</v>
      </c>
      <c r="H295" s="40"/>
      <c r="I295" s="52">
        <v>0</v>
      </c>
      <c r="J295" s="53">
        <v>60</v>
      </c>
      <c r="K295" s="54"/>
      <c r="L295" s="54"/>
      <c r="M295" s="53">
        <f t="shared" si="83"/>
        <v>0</v>
      </c>
      <c r="N295" s="54"/>
      <c r="O295" s="54"/>
      <c r="P295" s="53">
        <v>12.58</v>
      </c>
      <c r="Q295" s="54"/>
      <c r="R295" s="54"/>
      <c r="S295" s="53">
        <f t="shared" si="84"/>
        <v>0</v>
      </c>
      <c r="T295" s="54"/>
      <c r="U295" s="55"/>
      <c r="V295" s="9">
        <f t="shared" si="85"/>
        <v>10.48</v>
      </c>
      <c r="Y295" s="9">
        <f t="shared" si="86"/>
        <v>0</v>
      </c>
      <c r="AD295" s="4" t="s">
        <v>939</v>
      </c>
      <c r="AE295" s="4" t="s">
        <v>940</v>
      </c>
      <c r="AF295" s="4" t="s">
        <v>878</v>
      </c>
    </row>
    <row r="296" spans="1:35" ht="36" x14ac:dyDescent="0.35">
      <c r="A296" s="44" t="s">
        <v>941</v>
      </c>
      <c r="B296" s="44"/>
      <c r="C296" s="56" t="s">
        <v>875</v>
      </c>
      <c r="D296" s="46"/>
      <c r="E296" s="46"/>
      <c r="F296" s="57" t="s">
        <v>81</v>
      </c>
      <c r="G296" s="58">
        <v>1</v>
      </c>
      <c r="H296" s="46"/>
      <c r="I296" s="58">
        <v>314.5</v>
      </c>
      <c r="J296" s="59">
        <v>60</v>
      </c>
      <c r="K296" s="60"/>
      <c r="L296" s="60"/>
      <c r="M296" s="59">
        <f t="shared" si="83"/>
        <v>18870</v>
      </c>
      <c r="N296" s="60"/>
      <c r="O296" s="60"/>
      <c r="P296" s="59">
        <v>12.58</v>
      </c>
      <c r="Q296" s="60"/>
      <c r="R296" s="60"/>
      <c r="S296" s="59">
        <f t="shared" si="84"/>
        <v>3956.41</v>
      </c>
      <c r="T296" s="60"/>
      <c r="U296" s="61"/>
      <c r="V296" s="9">
        <f t="shared" si="85"/>
        <v>10.48</v>
      </c>
      <c r="Y296" s="9">
        <f t="shared" si="86"/>
        <v>3297.01</v>
      </c>
      <c r="AD296" s="4" t="s">
        <v>942</v>
      </c>
      <c r="AE296" s="4" t="s">
        <v>940</v>
      </c>
      <c r="AF296" s="4" t="s">
        <v>878</v>
      </c>
    </row>
    <row r="297" spans="1:35" ht="54" x14ac:dyDescent="0.35">
      <c r="A297" s="38" t="s">
        <v>943</v>
      </c>
      <c r="B297" s="38" t="s">
        <v>848</v>
      </c>
      <c r="C297" s="39" t="s">
        <v>849</v>
      </c>
      <c r="D297" s="40"/>
      <c r="E297" s="40" t="s">
        <v>921</v>
      </c>
      <c r="F297" s="40" t="s">
        <v>56</v>
      </c>
      <c r="G297" s="41">
        <v>1</v>
      </c>
      <c r="H297" s="40"/>
      <c r="I297" s="42">
        <v>0</v>
      </c>
      <c r="J297" s="43">
        <f>IFERROR(ROUND(SUM(M299,M301,M303)/I297, 2),0)</f>
        <v>0</v>
      </c>
      <c r="K297" s="43">
        <v>329</v>
      </c>
      <c r="L297" s="43">
        <f>J297+ROUND(K297, 2)</f>
        <v>329</v>
      </c>
      <c r="M297" s="43">
        <f>ROUND(J297*I297, 2)</f>
        <v>0</v>
      </c>
      <c r="N297" s="43">
        <f>ROUND(I297*ROUND(K297, 2), 2)</f>
        <v>0</v>
      </c>
      <c r="O297" s="43">
        <f>M297+N297</f>
        <v>0</v>
      </c>
      <c r="P297" s="43">
        <f>IFERROR(ROUND(SUM(S299,S301,S303)/I297, 2),0)</f>
        <v>0</v>
      </c>
      <c r="Q297" s="43">
        <v>329</v>
      </c>
      <c r="R297" s="43">
        <f>P297+ROUND(Q297, 2)</f>
        <v>329</v>
      </c>
      <c r="S297" s="43">
        <f>ROUND(P297*I297, 2)</f>
        <v>0</v>
      </c>
      <c r="T297" s="43">
        <f>ROUND(I297*ROUND(Q297, 2), 2)</f>
        <v>0</v>
      </c>
      <c r="U297" s="43">
        <f>S297+T297</f>
        <v>0</v>
      </c>
      <c r="V297" s="9">
        <f>ROUND(P297 / 1.2, 2)</f>
        <v>0</v>
      </c>
      <c r="W297" s="9">
        <f>ROUND(Q297 / 1.2, 2)</f>
        <v>274.17</v>
      </c>
      <c r="X297" s="9">
        <f>ROUND(R297 / 1.2, 2)</f>
        <v>274.17</v>
      </c>
      <c r="Y297" s="9">
        <f t="shared" si="86"/>
        <v>0</v>
      </c>
      <c r="Z297" s="9">
        <f>ROUND(T297 / 1.2, 2)</f>
        <v>0</v>
      </c>
      <c r="AA297" s="9">
        <f>Y297+Z297</f>
        <v>0</v>
      </c>
      <c r="AD297" s="4">
        <v>303752478</v>
      </c>
      <c r="AE297" s="4">
        <v>16081685</v>
      </c>
      <c r="AG297" s="4" t="s">
        <v>851</v>
      </c>
      <c r="AH297" s="4" t="s">
        <v>852</v>
      </c>
      <c r="AI297" s="4" t="s">
        <v>247</v>
      </c>
    </row>
    <row r="298" spans="1:35" ht="54" x14ac:dyDescent="0.35">
      <c r="A298" s="44" t="s">
        <v>944</v>
      </c>
      <c r="B298" s="44" t="s">
        <v>848</v>
      </c>
      <c r="C298" s="45" t="s">
        <v>849</v>
      </c>
      <c r="D298" s="46"/>
      <c r="E298" s="46" t="s">
        <v>921</v>
      </c>
      <c r="F298" s="46" t="s">
        <v>56</v>
      </c>
      <c r="G298" s="47">
        <v>1</v>
      </c>
      <c r="H298" s="46"/>
      <c r="I298" s="47">
        <v>314.5</v>
      </c>
      <c r="J298" s="48">
        <v>0</v>
      </c>
      <c r="K298" s="48">
        <v>329</v>
      </c>
      <c r="L298" s="48"/>
      <c r="M298" s="48">
        <v>0</v>
      </c>
      <c r="N298" s="48"/>
      <c r="O298" s="48"/>
      <c r="P298" s="48">
        <v>0</v>
      </c>
      <c r="Q298" s="48">
        <v>329</v>
      </c>
      <c r="R298" s="48"/>
      <c r="S298" s="48">
        <v>0</v>
      </c>
      <c r="T298" s="48"/>
      <c r="U298" s="48"/>
      <c r="V298" s="9"/>
      <c r="W298" s="9">
        <f>ROUND(Q298 / 1.2, 2)</f>
        <v>274.17</v>
      </c>
      <c r="X298" s="9">
        <f>ROUND(R298 / 1.2, 2)</f>
        <v>0</v>
      </c>
      <c r="Y298" s="9"/>
      <c r="Z298" s="9">
        <f>ROUND(T298 / 1.2, 2)</f>
        <v>0</v>
      </c>
      <c r="AA298" s="9"/>
      <c r="AD298" s="4">
        <v>204390268</v>
      </c>
      <c r="AE298" s="4">
        <v>16081685</v>
      </c>
      <c r="AG298" s="4" t="s">
        <v>851</v>
      </c>
      <c r="AH298" s="4" t="s">
        <v>852</v>
      </c>
      <c r="AI298" s="4"/>
    </row>
    <row r="299" spans="1:35" ht="36" x14ac:dyDescent="0.35">
      <c r="A299" s="38" t="s">
        <v>945</v>
      </c>
      <c r="B299" s="38"/>
      <c r="C299" s="49" t="s">
        <v>493</v>
      </c>
      <c r="D299" s="40"/>
      <c r="E299" s="40"/>
      <c r="F299" s="50" t="s">
        <v>81</v>
      </c>
      <c r="G299" s="51">
        <v>0.15</v>
      </c>
      <c r="H299" s="40"/>
      <c r="I299" s="52">
        <v>0</v>
      </c>
      <c r="J299" s="53">
        <v>88.8</v>
      </c>
      <c r="K299" s="54"/>
      <c r="L299" s="54"/>
      <c r="M299" s="53">
        <f t="shared" ref="M299:M304" si="87">ROUND(ROUND(J299, 2)*I299, 2)</f>
        <v>0</v>
      </c>
      <c r="N299" s="54"/>
      <c r="O299" s="54"/>
      <c r="P299" s="53">
        <v>88.8</v>
      </c>
      <c r="Q299" s="54"/>
      <c r="R299" s="54"/>
      <c r="S299" s="53">
        <f t="shared" ref="S299:S304" si="88">ROUND(ROUND(P299, 2)*I299, 2)</f>
        <v>0</v>
      </c>
      <c r="T299" s="54"/>
      <c r="U299" s="55"/>
      <c r="V299" s="9">
        <f t="shared" ref="V299:V304" si="89">ROUND(ROUND(P299, 2)/1.2, 2)</f>
        <v>74</v>
      </c>
      <c r="Y299" s="9">
        <f t="shared" ref="Y299:Y305" si="90">ROUND(S299 / 1.2, 2)</f>
        <v>0</v>
      </c>
      <c r="AD299" s="4" t="s">
        <v>946</v>
      </c>
      <c r="AE299" s="4" t="s">
        <v>947</v>
      </c>
      <c r="AF299" s="4" t="s">
        <v>496</v>
      </c>
    </row>
    <row r="300" spans="1:35" ht="36" x14ac:dyDescent="0.35">
      <c r="A300" s="44" t="s">
        <v>948</v>
      </c>
      <c r="B300" s="44"/>
      <c r="C300" s="56" t="s">
        <v>493</v>
      </c>
      <c r="D300" s="46"/>
      <c r="E300" s="46"/>
      <c r="F300" s="57" t="s">
        <v>81</v>
      </c>
      <c r="G300" s="58">
        <v>0.15</v>
      </c>
      <c r="H300" s="46"/>
      <c r="I300" s="58">
        <v>47.174999999999997</v>
      </c>
      <c r="J300" s="59">
        <v>88.8</v>
      </c>
      <c r="K300" s="60"/>
      <c r="L300" s="60"/>
      <c r="M300" s="59">
        <f t="shared" si="87"/>
        <v>4189.1400000000003</v>
      </c>
      <c r="N300" s="60"/>
      <c r="O300" s="60"/>
      <c r="P300" s="59">
        <v>88.8</v>
      </c>
      <c r="Q300" s="60"/>
      <c r="R300" s="60"/>
      <c r="S300" s="59">
        <f t="shared" si="88"/>
        <v>4189.1400000000003</v>
      </c>
      <c r="T300" s="60"/>
      <c r="U300" s="61"/>
      <c r="V300" s="9">
        <f t="shared" si="89"/>
        <v>74</v>
      </c>
      <c r="Y300" s="9">
        <f t="shared" si="90"/>
        <v>3490.95</v>
      </c>
      <c r="AD300" s="4" t="s">
        <v>949</v>
      </c>
      <c r="AE300" s="4" t="s">
        <v>947</v>
      </c>
      <c r="AF300" s="4" t="s">
        <v>496</v>
      </c>
    </row>
    <row r="301" spans="1:35" ht="18" x14ac:dyDescent="0.35">
      <c r="A301" s="38" t="s">
        <v>950</v>
      </c>
      <c r="B301" s="38"/>
      <c r="C301" s="49" t="s">
        <v>860</v>
      </c>
      <c r="D301" s="40"/>
      <c r="E301" s="40"/>
      <c r="F301" s="50" t="s">
        <v>103</v>
      </c>
      <c r="G301" s="51">
        <v>0.3</v>
      </c>
      <c r="H301" s="40"/>
      <c r="I301" s="62">
        <v>0</v>
      </c>
      <c r="J301" s="53">
        <v>37.049999999999997</v>
      </c>
      <c r="K301" s="54"/>
      <c r="L301" s="54"/>
      <c r="M301" s="53">
        <f t="shared" si="87"/>
        <v>0</v>
      </c>
      <c r="N301" s="54"/>
      <c r="O301" s="54"/>
      <c r="P301" s="53">
        <v>37.049999999999997</v>
      </c>
      <c r="Q301" s="54"/>
      <c r="R301" s="54"/>
      <c r="S301" s="53">
        <f t="shared" si="88"/>
        <v>0</v>
      </c>
      <c r="T301" s="54"/>
      <c r="U301" s="55"/>
      <c r="V301" s="9">
        <f t="shared" si="89"/>
        <v>30.88</v>
      </c>
      <c r="Y301" s="9">
        <f t="shared" si="90"/>
        <v>0</v>
      </c>
      <c r="AD301" s="4" t="s">
        <v>951</v>
      </c>
      <c r="AE301" s="4" t="s">
        <v>952</v>
      </c>
      <c r="AF301" s="4" t="s">
        <v>863</v>
      </c>
    </row>
    <row r="302" spans="1:35" ht="18" x14ac:dyDescent="0.35">
      <c r="A302" s="44" t="s">
        <v>953</v>
      </c>
      <c r="B302" s="44"/>
      <c r="C302" s="56" t="s">
        <v>860</v>
      </c>
      <c r="D302" s="46"/>
      <c r="E302" s="46"/>
      <c r="F302" s="57" t="s">
        <v>103</v>
      </c>
      <c r="G302" s="58">
        <v>0.3</v>
      </c>
      <c r="H302" s="46"/>
      <c r="I302" s="63">
        <v>94.35</v>
      </c>
      <c r="J302" s="59">
        <v>37.049999999999997</v>
      </c>
      <c r="K302" s="60"/>
      <c r="L302" s="60"/>
      <c r="M302" s="59">
        <f t="shared" si="87"/>
        <v>3495.67</v>
      </c>
      <c r="N302" s="60"/>
      <c r="O302" s="60"/>
      <c r="P302" s="59">
        <v>37.049999999999997</v>
      </c>
      <c r="Q302" s="60"/>
      <c r="R302" s="60"/>
      <c r="S302" s="59">
        <f t="shared" si="88"/>
        <v>3495.67</v>
      </c>
      <c r="T302" s="60"/>
      <c r="U302" s="61"/>
      <c r="V302" s="9">
        <f t="shared" si="89"/>
        <v>30.88</v>
      </c>
      <c r="Y302" s="9">
        <f t="shared" si="90"/>
        <v>2913.06</v>
      </c>
      <c r="AD302" s="4" t="s">
        <v>954</v>
      </c>
      <c r="AE302" s="4" t="s">
        <v>952</v>
      </c>
      <c r="AF302" s="4" t="s">
        <v>863</v>
      </c>
    </row>
    <row r="303" spans="1:35" ht="36" x14ac:dyDescent="0.35">
      <c r="A303" s="38" t="s">
        <v>955</v>
      </c>
      <c r="B303" s="38"/>
      <c r="C303" s="49" t="s">
        <v>887</v>
      </c>
      <c r="D303" s="40"/>
      <c r="E303" s="40"/>
      <c r="F303" s="50" t="s">
        <v>81</v>
      </c>
      <c r="G303" s="51">
        <v>1.8</v>
      </c>
      <c r="H303" s="40"/>
      <c r="I303" s="52">
        <v>0</v>
      </c>
      <c r="J303" s="53">
        <v>23</v>
      </c>
      <c r="K303" s="54"/>
      <c r="L303" s="54"/>
      <c r="M303" s="53">
        <f t="shared" si="87"/>
        <v>0</v>
      </c>
      <c r="N303" s="54"/>
      <c r="O303" s="54"/>
      <c r="P303" s="53">
        <v>12.58</v>
      </c>
      <c r="Q303" s="54"/>
      <c r="R303" s="54"/>
      <c r="S303" s="53">
        <f t="shared" si="88"/>
        <v>0</v>
      </c>
      <c r="T303" s="54"/>
      <c r="U303" s="55"/>
      <c r="V303" s="9">
        <f t="shared" si="89"/>
        <v>10.48</v>
      </c>
      <c r="Y303" s="9">
        <f t="shared" si="90"/>
        <v>0</v>
      </c>
      <c r="AD303" s="4" t="s">
        <v>956</v>
      </c>
      <c r="AE303" s="4" t="s">
        <v>957</v>
      </c>
      <c r="AF303" s="4" t="s">
        <v>890</v>
      </c>
    </row>
    <row r="304" spans="1:35" ht="36" x14ac:dyDescent="0.35">
      <c r="A304" s="44" t="s">
        <v>958</v>
      </c>
      <c r="B304" s="44"/>
      <c r="C304" s="56" t="s">
        <v>887</v>
      </c>
      <c r="D304" s="46"/>
      <c r="E304" s="46"/>
      <c r="F304" s="57" t="s">
        <v>81</v>
      </c>
      <c r="G304" s="58">
        <v>1.8</v>
      </c>
      <c r="H304" s="46"/>
      <c r="I304" s="58">
        <v>566.1</v>
      </c>
      <c r="J304" s="59">
        <v>23</v>
      </c>
      <c r="K304" s="60"/>
      <c r="L304" s="60"/>
      <c r="M304" s="59">
        <f t="shared" si="87"/>
        <v>13020.3</v>
      </c>
      <c r="N304" s="60"/>
      <c r="O304" s="60"/>
      <c r="P304" s="59">
        <v>12.58</v>
      </c>
      <c r="Q304" s="60"/>
      <c r="R304" s="60"/>
      <c r="S304" s="59">
        <f t="shared" si="88"/>
        <v>7121.54</v>
      </c>
      <c r="T304" s="60"/>
      <c r="U304" s="61"/>
      <c r="V304" s="9">
        <f t="shared" si="89"/>
        <v>10.48</v>
      </c>
      <c r="Y304" s="9">
        <f t="shared" si="90"/>
        <v>5934.62</v>
      </c>
      <c r="AD304" s="4" t="s">
        <v>959</v>
      </c>
      <c r="AE304" s="4" t="s">
        <v>957</v>
      </c>
      <c r="AF304" s="4" t="s">
        <v>890</v>
      </c>
    </row>
    <row r="305" spans="1:35" ht="54" x14ac:dyDescent="0.35">
      <c r="A305" s="38" t="s">
        <v>960</v>
      </c>
      <c r="B305" s="38" t="s">
        <v>848</v>
      </c>
      <c r="C305" s="39" t="s">
        <v>849</v>
      </c>
      <c r="D305" s="40"/>
      <c r="E305" s="40" t="s">
        <v>370</v>
      </c>
      <c r="F305" s="40" t="s">
        <v>56</v>
      </c>
      <c r="G305" s="41">
        <v>1</v>
      </c>
      <c r="H305" s="40"/>
      <c r="I305" s="42">
        <v>0</v>
      </c>
      <c r="J305" s="43">
        <f>IFERROR(ROUND(SUM(M307,M309,M311,M313)/I305, 2),0)</f>
        <v>0</v>
      </c>
      <c r="K305" s="43">
        <v>329</v>
      </c>
      <c r="L305" s="43">
        <f>J305+ROUND(K305, 2)</f>
        <v>329</v>
      </c>
      <c r="M305" s="43">
        <f>ROUND(J305*I305, 2)</f>
        <v>0</v>
      </c>
      <c r="N305" s="43">
        <f>ROUND(I305*ROUND(K305, 2), 2)</f>
        <v>0</v>
      </c>
      <c r="O305" s="43">
        <f>M305+N305</f>
        <v>0</v>
      </c>
      <c r="P305" s="43">
        <f>IFERROR(ROUND(SUM(S307,S309,S311,S313)/I305, 2),0)</f>
        <v>0</v>
      </c>
      <c r="Q305" s="43">
        <v>329</v>
      </c>
      <c r="R305" s="43">
        <f>P305+ROUND(Q305, 2)</f>
        <v>329</v>
      </c>
      <c r="S305" s="43">
        <f>ROUND(P305*I305, 2)</f>
        <v>0</v>
      </c>
      <c r="T305" s="43">
        <f>ROUND(I305*ROUND(Q305, 2), 2)</f>
        <v>0</v>
      </c>
      <c r="U305" s="43">
        <f>S305+T305</f>
        <v>0</v>
      </c>
      <c r="V305" s="9">
        <f>ROUND(P305 / 1.2, 2)</f>
        <v>0</v>
      </c>
      <c r="W305" s="9">
        <f>ROUND(Q305 / 1.2, 2)</f>
        <v>274.17</v>
      </c>
      <c r="X305" s="9">
        <f>ROUND(R305 / 1.2, 2)</f>
        <v>274.17</v>
      </c>
      <c r="Y305" s="9">
        <f t="shared" si="90"/>
        <v>0</v>
      </c>
      <c r="Z305" s="9">
        <f>ROUND(T305 / 1.2, 2)</f>
        <v>0</v>
      </c>
      <c r="AA305" s="9">
        <f>Y305+Z305</f>
        <v>0</v>
      </c>
      <c r="AD305" s="4">
        <v>303752479</v>
      </c>
      <c r="AE305" s="4">
        <v>16086874</v>
      </c>
      <c r="AG305" s="4" t="s">
        <v>851</v>
      </c>
      <c r="AH305" s="4" t="s">
        <v>852</v>
      </c>
      <c r="AI305" s="4" t="s">
        <v>247</v>
      </c>
    </row>
    <row r="306" spans="1:35" ht="54" x14ac:dyDescent="0.35">
      <c r="A306" s="44" t="s">
        <v>961</v>
      </c>
      <c r="B306" s="44" t="s">
        <v>848</v>
      </c>
      <c r="C306" s="45" t="s">
        <v>849</v>
      </c>
      <c r="D306" s="46"/>
      <c r="E306" s="46" t="s">
        <v>370</v>
      </c>
      <c r="F306" s="46" t="s">
        <v>56</v>
      </c>
      <c r="G306" s="47">
        <v>1</v>
      </c>
      <c r="H306" s="46"/>
      <c r="I306" s="47">
        <v>219.9</v>
      </c>
      <c r="J306" s="48">
        <v>0</v>
      </c>
      <c r="K306" s="48">
        <v>329</v>
      </c>
      <c r="L306" s="48"/>
      <c r="M306" s="48">
        <v>0</v>
      </c>
      <c r="N306" s="48"/>
      <c r="O306" s="48"/>
      <c r="P306" s="48">
        <v>0</v>
      </c>
      <c r="Q306" s="48">
        <v>329</v>
      </c>
      <c r="R306" s="48"/>
      <c r="S306" s="48">
        <v>0</v>
      </c>
      <c r="T306" s="48"/>
      <c r="U306" s="48"/>
      <c r="V306" s="9"/>
      <c r="W306" s="9">
        <f>ROUND(Q306 / 1.2, 2)</f>
        <v>274.17</v>
      </c>
      <c r="X306" s="9">
        <f>ROUND(R306 / 1.2, 2)</f>
        <v>0</v>
      </c>
      <c r="Y306" s="9"/>
      <c r="Z306" s="9">
        <f>ROUND(T306 / 1.2, 2)</f>
        <v>0</v>
      </c>
      <c r="AA306" s="9"/>
      <c r="AD306" s="4">
        <v>204417264</v>
      </c>
      <c r="AE306" s="4">
        <v>16086874</v>
      </c>
      <c r="AG306" s="4" t="s">
        <v>851</v>
      </c>
      <c r="AH306" s="4" t="s">
        <v>852</v>
      </c>
      <c r="AI306" s="4"/>
    </row>
    <row r="307" spans="1:35" ht="36" x14ac:dyDescent="0.35">
      <c r="A307" s="38" t="s">
        <v>962</v>
      </c>
      <c r="B307" s="38"/>
      <c r="C307" s="49" t="s">
        <v>493</v>
      </c>
      <c r="D307" s="40"/>
      <c r="E307" s="40"/>
      <c r="F307" s="50" t="s">
        <v>81</v>
      </c>
      <c r="G307" s="51">
        <v>0.15</v>
      </c>
      <c r="H307" s="40"/>
      <c r="I307" s="52">
        <v>0</v>
      </c>
      <c r="J307" s="53">
        <v>88.8</v>
      </c>
      <c r="K307" s="54"/>
      <c r="L307" s="54"/>
      <c r="M307" s="53">
        <f t="shared" ref="M307:M314" si="91">ROUND(ROUND(J307, 2)*I307, 2)</f>
        <v>0</v>
      </c>
      <c r="N307" s="54"/>
      <c r="O307" s="54"/>
      <c r="P307" s="53">
        <v>88.8</v>
      </c>
      <c r="Q307" s="54"/>
      <c r="R307" s="54"/>
      <c r="S307" s="53">
        <f t="shared" ref="S307:S314" si="92">ROUND(ROUND(P307, 2)*I307, 2)</f>
        <v>0</v>
      </c>
      <c r="T307" s="54"/>
      <c r="U307" s="55"/>
      <c r="V307" s="9">
        <f t="shared" ref="V307:V314" si="93">ROUND(ROUND(P307, 2)/1.2, 2)</f>
        <v>74</v>
      </c>
      <c r="Y307" s="9">
        <f t="shared" ref="Y307:Y315" si="94">ROUND(S307 / 1.2, 2)</f>
        <v>0</v>
      </c>
      <c r="AD307" s="4" t="s">
        <v>963</v>
      </c>
      <c r="AE307" s="4" t="s">
        <v>964</v>
      </c>
      <c r="AF307" s="4" t="s">
        <v>496</v>
      </c>
    </row>
    <row r="308" spans="1:35" ht="36" x14ac:dyDescent="0.35">
      <c r="A308" s="44" t="s">
        <v>965</v>
      </c>
      <c r="B308" s="44"/>
      <c r="C308" s="56" t="s">
        <v>493</v>
      </c>
      <c r="D308" s="46"/>
      <c r="E308" s="46"/>
      <c r="F308" s="57" t="s">
        <v>81</v>
      </c>
      <c r="G308" s="58">
        <v>0.15</v>
      </c>
      <c r="H308" s="46"/>
      <c r="I308" s="58">
        <v>32.984999999999999</v>
      </c>
      <c r="J308" s="59">
        <v>88.8</v>
      </c>
      <c r="K308" s="60"/>
      <c r="L308" s="60"/>
      <c r="M308" s="59">
        <f t="shared" si="91"/>
        <v>2929.07</v>
      </c>
      <c r="N308" s="60"/>
      <c r="O308" s="60"/>
      <c r="P308" s="59">
        <v>88.8</v>
      </c>
      <c r="Q308" s="60"/>
      <c r="R308" s="60"/>
      <c r="S308" s="59">
        <f t="shared" si="92"/>
        <v>2929.07</v>
      </c>
      <c r="T308" s="60"/>
      <c r="U308" s="61"/>
      <c r="V308" s="9">
        <f t="shared" si="93"/>
        <v>74</v>
      </c>
      <c r="Y308" s="9">
        <f t="shared" si="94"/>
        <v>2440.89</v>
      </c>
      <c r="AD308" s="4" t="s">
        <v>966</v>
      </c>
      <c r="AE308" s="4" t="s">
        <v>964</v>
      </c>
      <c r="AF308" s="4" t="s">
        <v>496</v>
      </c>
    </row>
    <row r="309" spans="1:35" ht="18" x14ac:dyDescent="0.35">
      <c r="A309" s="38" t="s">
        <v>967</v>
      </c>
      <c r="B309" s="38"/>
      <c r="C309" s="49" t="s">
        <v>902</v>
      </c>
      <c r="D309" s="40"/>
      <c r="E309" s="40"/>
      <c r="F309" s="50" t="s">
        <v>129</v>
      </c>
      <c r="G309" s="51">
        <v>1</v>
      </c>
      <c r="H309" s="40"/>
      <c r="I309" s="62">
        <v>0</v>
      </c>
      <c r="J309" s="53">
        <v>7</v>
      </c>
      <c r="K309" s="54"/>
      <c r="L309" s="54"/>
      <c r="M309" s="53">
        <f t="shared" si="91"/>
        <v>0</v>
      </c>
      <c r="N309" s="54"/>
      <c r="O309" s="54"/>
      <c r="P309" s="53">
        <v>7</v>
      </c>
      <c r="Q309" s="54"/>
      <c r="R309" s="54"/>
      <c r="S309" s="53">
        <f t="shared" si="92"/>
        <v>0</v>
      </c>
      <c r="T309" s="54"/>
      <c r="U309" s="55"/>
      <c r="V309" s="9">
        <f t="shared" si="93"/>
        <v>5.83</v>
      </c>
      <c r="Y309" s="9">
        <f t="shared" si="94"/>
        <v>0</v>
      </c>
      <c r="AD309" s="4" t="s">
        <v>968</v>
      </c>
      <c r="AE309" s="4" t="s">
        <v>969</v>
      </c>
      <c r="AF309" s="4" t="s">
        <v>905</v>
      </c>
    </row>
    <row r="310" spans="1:35" ht="18" x14ac:dyDescent="0.35">
      <c r="A310" s="44" t="s">
        <v>970</v>
      </c>
      <c r="B310" s="44"/>
      <c r="C310" s="56" t="s">
        <v>902</v>
      </c>
      <c r="D310" s="46"/>
      <c r="E310" s="46"/>
      <c r="F310" s="57" t="s">
        <v>129</v>
      </c>
      <c r="G310" s="58">
        <v>1</v>
      </c>
      <c r="H310" s="46"/>
      <c r="I310" s="63">
        <v>219.9</v>
      </c>
      <c r="J310" s="59">
        <v>7</v>
      </c>
      <c r="K310" s="60"/>
      <c r="L310" s="60"/>
      <c r="M310" s="59">
        <f t="shared" si="91"/>
        <v>1539.3</v>
      </c>
      <c r="N310" s="60"/>
      <c r="O310" s="60"/>
      <c r="P310" s="59">
        <v>7</v>
      </c>
      <c r="Q310" s="60"/>
      <c r="R310" s="60"/>
      <c r="S310" s="59">
        <f t="shared" si="92"/>
        <v>1539.3</v>
      </c>
      <c r="T310" s="60"/>
      <c r="U310" s="61"/>
      <c r="V310" s="9">
        <f t="shared" si="93"/>
        <v>5.83</v>
      </c>
      <c r="Y310" s="9">
        <f t="shared" si="94"/>
        <v>1282.75</v>
      </c>
      <c r="AD310" s="4" t="s">
        <v>971</v>
      </c>
      <c r="AE310" s="4" t="s">
        <v>969</v>
      </c>
      <c r="AF310" s="4" t="s">
        <v>905</v>
      </c>
    </row>
    <row r="311" spans="1:35" ht="18" x14ac:dyDescent="0.35">
      <c r="A311" s="38" t="s">
        <v>972</v>
      </c>
      <c r="B311" s="38"/>
      <c r="C311" s="49" t="s">
        <v>860</v>
      </c>
      <c r="D311" s="40"/>
      <c r="E311" s="40"/>
      <c r="F311" s="50" t="s">
        <v>103</v>
      </c>
      <c r="G311" s="51">
        <v>0.3</v>
      </c>
      <c r="H311" s="40"/>
      <c r="I311" s="62">
        <v>0</v>
      </c>
      <c r="J311" s="53">
        <v>37.049999999999997</v>
      </c>
      <c r="K311" s="54"/>
      <c r="L311" s="54"/>
      <c r="M311" s="53">
        <f t="shared" si="91"/>
        <v>0</v>
      </c>
      <c r="N311" s="54"/>
      <c r="O311" s="54"/>
      <c r="P311" s="53">
        <v>37.049999999999997</v>
      </c>
      <c r="Q311" s="54"/>
      <c r="R311" s="54"/>
      <c r="S311" s="53">
        <f t="shared" si="92"/>
        <v>0</v>
      </c>
      <c r="T311" s="54"/>
      <c r="U311" s="55"/>
      <c r="V311" s="9">
        <f t="shared" si="93"/>
        <v>30.88</v>
      </c>
      <c r="Y311" s="9">
        <f t="shared" si="94"/>
        <v>0</v>
      </c>
      <c r="AD311" s="4" t="s">
        <v>973</v>
      </c>
      <c r="AE311" s="4" t="s">
        <v>974</v>
      </c>
      <c r="AF311" s="4" t="s">
        <v>863</v>
      </c>
    </row>
    <row r="312" spans="1:35" ht="18" x14ac:dyDescent="0.35">
      <c r="A312" s="44" t="s">
        <v>975</v>
      </c>
      <c r="B312" s="44"/>
      <c r="C312" s="56" t="s">
        <v>860</v>
      </c>
      <c r="D312" s="46"/>
      <c r="E312" s="46"/>
      <c r="F312" s="57" t="s">
        <v>103</v>
      </c>
      <c r="G312" s="58">
        <v>0.3</v>
      </c>
      <c r="H312" s="46"/>
      <c r="I312" s="63">
        <v>65.97</v>
      </c>
      <c r="J312" s="59">
        <v>37.049999999999997</v>
      </c>
      <c r="K312" s="60"/>
      <c r="L312" s="60"/>
      <c r="M312" s="59">
        <f t="shared" si="91"/>
        <v>2444.19</v>
      </c>
      <c r="N312" s="60"/>
      <c r="O312" s="60"/>
      <c r="P312" s="59">
        <v>37.049999999999997</v>
      </c>
      <c r="Q312" s="60"/>
      <c r="R312" s="60"/>
      <c r="S312" s="59">
        <f t="shared" si="92"/>
        <v>2444.19</v>
      </c>
      <c r="T312" s="60"/>
      <c r="U312" s="61"/>
      <c r="V312" s="9">
        <f t="shared" si="93"/>
        <v>30.88</v>
      </c>
      <c r="Y312" s="9">
        <f t="shared" si="94"/>
        <v>2036.83</v>
      </c>
      <c r="AD312" s="4" t="s">
        <v>976</v>
      </c>
      <c r="AE312" s="4" t="s">
        <v>974</v>
      </c>
      <c r="AF312" s="4" t="s">
        <v>863</v>
      </c>
    </row>
    <row r="313" spans="1:35" ht="18" x14ac:dyDescent="0.35">
      <c r="A313" s="38" t="s">
        <v>977</v>
      </c>
      <c r="B313" s="38"/>
      <c r="C313" s="49" t="s">
        <v>854</v>
      </c>
      <c r="D313" s="40"/>
      <c r="E313" s="40"/>
      <c r="F313" s="50" t="s">
        <v>81</v>
      </c>
      <c r="G313" s="51">
        <v>2</v>
      </c>
      <c r="H313" s="40"/>
      <c r="I313" s="52">
        <v>0</v>
      </c>
      <c r="J313" s="53">
        <v>23</v>
      </c>
      <c r="K313" s="54"/>
      <c r="L313" s="54"/>
      <c r="M313" s="53">
        <f t="shared" si="91"/>
        <v>0</v>
      </c>
      <c r="N313" s="54"/>
      <c r="O313" s="54"/>
      <c r="P313" s="53">
        <v>23</v>
      </c>
      <c r="Q313" s="54"/>
      <c r="R313" s="54"/>
      <c r="S313" s="53">
        <f t="shared" si="92"/>
        <v>0</v>
      </c>
      <c r="T313" s="54"/>
      <c r="U313" s="55"/>
      <c r="V313" s="9">
        <f t="shared" si="93"/>
        <v>19.170000000000002</v>
      </c>
      <c r="Y313" s="9">
        <f t="shared" si="94"/>
        <v>0</v>
      </c>
      <c r="AD313" s="4" t="s">
        <v>978</v>
      </c>
      <c r="AE313" s="4" t="s">
        <v>979</v>
      </c>
      <c r="AF313" s="4" t="s">
        <v>858</v>
      </c>
    </row>
    <row r="314" spans="1:35" ht="18" x14ac:dyDescent="0.35">
      <c r="A314" s="44" t="s">
        <v>980</v>
      </c>
      <c r="B314" s="44"/>
      <c r="C314" s="56" t="s">
        <v>854</v>
      </c>
      <c r="D314" s="46"/>
      <c r="E314" s="46"/>
      <c r="F314" s="57" t="s">
        <v>81</v>
      </c>
      <c r="G314" s="58">
        <v>2</v>
      </c>
      <c r="H314" s="46"/>
      <c r="I314" s="58">
        <v>439.8</v>
      </c>
      <c r="J314" s="59">
        <v>23</v>
      </c>
      <c r="K314" s="60"/>
      <c r="L314" s="60"/>
      <c r="M314" s="59">
        <f t="shared" si="91"/>
        <v>10115.4</v>
      </c>
      <c r="N314" s="60"/>
      <c r="O314" s="60"/>
      <c r="P314" s="59">
        <v>23</v>
      </c>
      <c r="Q314" s="60"/>
      <c r="R314" s="60"/>
      <c r="S314" s="59">
        <f t="shared" si="92"/>
        <v>10115.4</v>
      </c>
      <c r="T314" s="60"/>
      <c r="U314" s="61"/>
      <c r="V314" s="9">
        <f t="shared" si="93"/>
        <v>19.170000000000002</v>
      </c>
      <c r="Y314" s="9">
        <f t="shared" si="94"/>
        <v>8429.5</v>
      </c>
      <c r="AD314" s="4" t="s">
        <v>981</v>
      </c>
      <c r="AE314" s="4" t="s">
        <v>979</v>
      </c>
      <c r="AF314" s="4" t="s">
        <v>858</v>
      </c>
    </row>
    <row r="315" spans="1:35" ht="54" x14ac:dyDescent="0.35">
      <c r="A315" s="38" t="s">
        <v>982</v>
      </c>
      <c r="B315" s="38" t="s">
        <v>848</v>
      </c>
      <c r="C315" s="39" t="s">
        <v>849</v>
      </c>
      <c r="D315" s="40"/>
      <c r="E315" s="40" t="s">
        <v>370</v>
      </c>
      <c r="F315" s="40" t="s">
        <v>56</v>
      </c>
      <c r="G315" s="41">
        <v>1</v>
      </c>
      <c r="H315" s="40"/>
      <c r="I315" s="42">
        <v>0</v>
      </c>
      <c r="J315" s="43">
        <f>IFERROR(ROUND(SUM(M317,M319,M321,M323)/I315, 2),0)</f>
        <v>0</v>
      </c>
      <c r="K315" s="43">
        <v>329</v>
      </c>
      <c r="L315" s="43">
        <f>J315+ROUND(K315, 2)</f>
        <v>329</v>
      </c>
      <c r="M315" s="43">
        <f>ROUND(J315*I315, 2)</f>
        <v>0</v>
      </c>
      <c r="N315" s="43">
        <f>ROUND(I315*ROUND(K315, 2), 2)</f>
        <v>0</v>
      </c>
      <c r="O315" s="43">
        <f>M315+N315</f>
        <v>0</v>
      </c>
      <c r="P315" s="43">
        <f>IFERROR(ROUND(SUM(S317,S319,S321,S323)/I315, 2),0)</f>
        <v>0</v>
      </c>
      <c r="Q315" s="43">
        <v>329</v>
      </c>
      <c r="R315" s="43">
        <f>P315+ROUND(Q315, 2)</f>
        <v>329</v>
      </c>
      <c r="S315" s="43">
        <f>ROUND(P315*I315, 2)</f>
        <v>0</v>
      </c>
      <c r="T315" s="43">
        <f>ROUND(I315*ROUND(Q315, 2), 2)</f>
        <v>0</v>
      </c>
      <c r="U315" s="43">
        <f>S315+T315</f>
        <v>0</v>
      </c>
      <c r="V315" s="9">
        <f>ROUND(P315 / 1.2, 2)</f>
        <v>0</v>
      </c>
      <c r="W315" s="9">
        <f>ROUND(Q315 / 1.2, 2)</f>
        <v>274.17</v>
      </c>
      <c r="X315" s="9">
        <f>ROUND(R315 / 1.2, 2)</f>
        <v>274.17</v>
      </c>
      <c r="Y315" s="9">
        <f t="shared" si="94"/>
        <v>0</v>
      </c>
      <c r="Z315" s="9">
        <f>ROUND(T315 / 1.2, 2)</f>
        <v>0</v>
      </c>
      <c r="AA315" s="9">
        <f>Y315+Z315</f>
        <v>0</v>
      </c>
      <c r="AD315" s="4">
        <v>303752480</v>
      </c>
      <c r="AE315" s="4">
        <v>16086875</v>
      </c>
      <c r="AG315" s="4" t="s">
        <v>851</v>
      </c>
      <c r="AH315" s="4" t="s">
        <v>852</v>
      </c>
      <c r="AI315" s="4" t="s">
        <v>247</v>
      </c>
    </row>
    <row r="316" spans="1:35" ht="54" x14ac:dyDescent="0.35">
      <c r="A316" s="44" t="s">
        <v>983</v>
      </c>
      <c r="B316" s="44" t="s">
        <v>848</v>
      </c>
      <c r="C316" s="45" t="s">
        <v>849</v>
      </c>
      <c r="D316" s="46"/>
      <c r="E316" s="46" t="s">
        <v>370</v>
      </c>
      <c r="F316" s="46" t="s">
        <v>56</v>
      </c>
      <c r="G316" s="47">
        <v>1</v>
      </c>
      <c r="H316" s="46"/>
      <c r="I316" s="47">
        <v>219.9</v>
      </c>
      <c r="J316" s="48">
        <v>0</v>
      </c>
      <c r="K316" s="48">
        <v>329</v>
      </c>
      <c r="L316" s="48"/>
      <c r="M316" s="48">
        <v>0</v>
      </c>
      <c r="N316" s="48"/>
      <c r="O316" s="48"/>
      <c r="P316" s="48">
        <v>0</v>
      </c>
      <c r="Q316" s="48">
        <v>329</v>
      </c>
      <c r="R316" s="48"/>
      <c r="S316" s="48">
        <v>0</v>
      </c>
      <c r="T316" s="48"/>
      <c r="U316" s="48"/>
      <c r="V316" s="9"/>
      <c r="W316" s="9">
        <f>ROUND(Q316 / 1.2, 2)</f>
        <v>274.17</v>
      </c>
      <c r="X316" s="9">
        <f>ROUND(R316 / 1.2, 2)</f>
        <v>0</v>
      </c>
      <c r="Y316" s="9"/>
      <c r="Z316" s="9">
        <f>ROUND(T316 / 1.2, 2)</f>
        <v>0</v>
      </c>
      <c r="AA316" s="9"/>
      <c r="AD316" s="4">
        <v>204417265</v>
      </c>
      <c r="AE316" s="4">
        <v>16086875</v>
      </c>
      <c r="AG316" s="4" t="s">
        <v>851</v>
      </c>
      <c r="AH316" s="4" t="s">
        <v>852</v>
      </c>
      <c r="AI316" s="4"/>
    </row>
    <row r="317" spans="1:35" ht="36" x14ac:dyDescent="0.35">
      <c r="A317" s="38" t="s">
        <v>984</v>
      </c>
      <c r="B317" s="38"/>
      <c r="C317" s="49" t="s">
        <v>493</v>
      </c>
      <c r="D317" s="40"/>
      <c r="E317" s="40"/>
      <c r="F317" s="50" t="s">
        <v>81</v>
      </c>
      <c r="G317" s="51">
        <v>0.15</v>
      </c>
      <c r="H317" s="40"/>
      <c r="I317" s="52">
        <v>0</v>
      </c>
      <c r="J317" s="53">
        <v>88.8</v>
      </c>
      <c r="K317" s="54"/>
      <c r="L317" s="54"/>
      <c r="M317" s="53">
        <f t="shared" ref="M317:M324" si="95">ROUND(ROUND(J317, 2)*I317, 2)</f>
        <v>0</v>
      </c>
      <c r="N317" s="54"/>
      <c r="O317" s="54"/>
      <c r="P317" s="53">
        <v>88.8</v>
      </c>
      <c r="Q317" s="54"/>
      <c r="R317" s="54"/>
      <c r="S317" s="53">
        <f t="shared" ref="S317:S324" si="96">ROUND(ROUND(P317, 2)*I317, 2)</f>
        <v>0</v>
      </c>
      <c r="T317" s="54"/>
      <c r="U317" s="55"/>
      <c r="V317" s="9">
        <f t="shared" ref="V317:V324" si="97">ROUND(ROUND(P317, 2)/1.2, 2)</f>
        <v>74</v>
      </c>
      <c r="Y317" s="9">
        <f t="shared" ref="Y317:Y325" si="98">ROUND(S317 / 1.2, 2)</f>
        <v>0</v>
      </c>
      <c r="AD317" s="4" t="s">
        <v>985</v>
      </c>
      <c r="AE317" s="4" t="s">
        <v>986</v>
      </c>
      <c r="AF317" s="4" t="s">
        <v>496</v>
      </c>
    </row>
    <row r="318" spans="1:35" ht="36" x14ac:dyDescent="0.35">
      <c r="A318" s="44" t="s">
        <v>987</v>
      </c>
      <c r="B318" s="44"/>
      <c r="C318" s="56" t="s">
        <v>493</v>
      </c>
      <c r="D318" s="46"/>
      <c r="E318" s="46"/>
      <c r="F318" s="57" t="s">
        <v>81</v>
      </c>
      <c r="G318" s="58">
        <v>0.15</v>
      </c>
      <c r="H318" s="46"/>
      <c r="I318" s="58">
        <v>32.984999999999999</v>
      </c>
      <c r="J318" s="59">
        <v>88.8</v>
      </c>
      <c r="K318" s="60"/>
      <c r="L318" s="60"/>
      <c r="M318" s="59">
        <f t="shared" si="95"/>
        <v>2929.07</v>
      </c>
      <c r="N318" s="60"/>
      <c r="O318" s="60"/>
      <c r="P318" s="59">
        <v>88.8</v>
      </c>
      <c r="Q318" s="60"/>
      <c r="R318" s="60"/>
      <c r="S318" s="59">
        <f t="shared" si="96"/>
        <v>2929.07</v>
      </c>
      <c r="T318" s="60"/>
      <c r="U318" s="61"/>
      <c r="V318" s="9">
        <f t="shared" si="97"/>
        <v>74</v>
      </c>
      <c r="Y318" s="9">
        <f t="shared" si="98"/>
        <v>2440.89</v>
      </c>
      <c r="AD318" s="4" t="s">
        <v>988</v>
      </c>
      <c r="AE318" s="4" t="s">
        <v>986</v>
      </c>
      <c r="AF318" s="4" t="s">
        <v>496</v>
      </c>
    </row>
    <row r="319" spans="1:35" ht="18" x14ac:dyDescent="0.35">
      <c r="A319" s="38" t="s">
        <v>989</v>
      </c>
      <c r="B319" s="38"/>
      <c r="C319" s="49" t="s">
        <v>902</v>
      </c>
      <c r="D319" s="40"/>
      <c r="E319" s="40"/>
      <c r="F319" s="50" t="s">
        <v>129</v>
      </c>
      <c r="G319" s="51">
        <v>1</v>
      </c>
      <c r="H319" s="40"/>
      <c r="I319" s="62">
        <v>0</v>
      </c>
      <c r="J319" s="53">
        <v>7</v>
      </c>
      <c r="K319" s="54"/>
      <c r="L319" s="54"/>
      <c r="M319" s="53">
        <f t="shared" si="95"/>
        <v>0</v>
      </c>
      <c r="N319" s="54"/>
      <c r="O319" s="54"/>
      <c r="P319" s="53">
        <v>7</v>
      </c>
      <c r="Q319" s="54"/>
      <c r="R319" s="54"/>
      <c r="S319" s="53">
        <f t="shared" si="96"/>
        <v>0</v>
      </c>
      <c r="T319" s="54"/>
      <c r="U319" s="55"/>
      <c r="V319" s="9">
        <f t="shared" si="97"/>
        <v>5.83</v>
      </c>
      <c r="Y319" s="9">
        <f t="shared" si="98"/>
        <v>0</v>
      </c>
      <c r="AD319" s="4" t="s">
        <v>990</v>
      </c>
      <c r="AE319" s="4" t="s">
        <v>991</v>
      </c>
      <c r="AF319" s="4" t="s">
        <v>905</v>
      </c>
    </row>
    <row r="320" spans="1:35" ht="18" x14ac:dyDescent="0.35">
      <c r="A320" s="44" t="s">
        <v>992</v>
      </c>
      <c r="B320" s="44"/>
      <c r="C320" s="56" t="s">
        <v>902</v>
      </c>
      <c r="D320" s="46"/>
      <c r="E320" s="46"/>
      <c r="F320" s="57" t="s">
        <v>129</v>
      </c>
      <c r="G320" s="58">
        <v>1</v>
      </c>
      <c r="H320" s="46"/>
      <c r="I320" s="63">
        <v>219.9</v>
      </c>
      <c r="J320" s="59">
        <v>7</v>
      </c>
      <c r="K320" s="60"/>
      <c r="L320" s="60"/>
      <c r="M320" s="59">
        <f t="shared" si="95"/>
        <v>1539.3</v>
      </c>
      <c r="N320" s="60"/>
      <c r="O320" s="60"/>
      <c r="P320" s="59">
        <v>7</v>
      </c>
      <c r="Q320" s="60"/>
      <c r="R320" s="60"/>
      <c r="S320" s="59">
        <f t="shared" si="96"/>
        <v>1539.3</v>
      </c>
      <c r="T320" s="60"/>
      <c r="U320" s="61"/>
      <c r="V320" s="9">
        <f t="shared" si="97"/>
        <v>5.83</v>
      </c>
      <c r="Y320" s="9">
        <f t="shared" si="98"/>
        <v>1282.75</v>
      </c>
      <c r="AD320" s="4" t="s">
        <v>993</v>
      </c>
      <c r="AE320" s="4" t="s">
        <v>991</v>
      </c>
      <c r="AF320" s="4" t="s">
        <v>905</v>
      </c>
    </row>
    <row r="321" spans="1:35" ht="18" x14ac:dyDescent="0.35">
      <c r="A321" s="38" t="s">
        <v>994</v>
      </c>
      <c r="B321" s="38"/>
      <c r="C321" s="49" t="s">
        <v>860</v>
      </c>
      <c r="D321" s="40"/>
      <c r="E321" s="40"/>
      <c r="F321" s="50" t="s">
        <v>103</v>
      </c>
      <c r="G321" s="51">
        <v>0.3</v>
      </c>
      <c r="H321" s="40"/>
      <c r="I321" s="62">
        <v>0</v>
      </c>
      <c r="J321" s="53">
        <v>37.049999999999997</v>
      </c>
      <c r="K321" s="54"/>
      <c r="L321" s="54"/>
      <c r="M321" s="53">
        <f t="shared" si="95"/>
        <v>0</v>
      </c>
      <c r="N321" s="54"/>
      <c r="O321" s="54"/>
      <c r="P321" s="53">
        <v>37.049999999999997</v>
      </c>
      <c r="Q321" s="54"/>
      <c r="R321" s="54"/>
      <c r="S321" s="53">
        <f t="shared" si="96"/>
        <v>0</v>
      </c>
      <c r="T321" s="54"/>
      <c r="U321" s="55"/>
      <c r="V321" s="9">
        <f t="shared" si="97"/>
        <v>30.88</v>
      </c>
      <c r="Y321" s="9">
        <f t="shared" si="98"/>
        <v>0</v>
      </c>
      <c r="AD321" s="4" t="s">
        <v>995</v>
      </c>
      <c r="AE321" s="4" t="s">
        <v>996</v>
      </c>
      <c r="AF321" s="4" t="s">
        <v>863</v>
      </c>
    </row>
    <row r="322" spans="1:35" ht="18" x14ac:dyDescent="0.35">
      <c r="A322" s="44" t="s">
        <v>997</v>
      </c>
      <c r="B322" s="44"/>
      <c r="C322" s="56" t="s">
        <v>860</v>
      </c>
      <c r="D322" s="46"/>
      <c r="E322" s="46"/>
      <c r="F322" s="57" t="s">
        <v>103</v>
      </c>
      <c r="G322" s="58">
        <v>0.3</v>
      </c>
      <c r="H322" s="46"/>
      <c r="I322" s="63">
        <v>65.97</v>
      </c>
      <c r="J322" s="59">
        <v>37.049999999999997</v>
      </c>
      <c r="K322" s="60"/>
      <c r="L322" s="60"/>
      <c r="M322" s="59">
        <f t="shared" si="95"/>
        <v>2444.19</v>
      </c>
      <c r="N322" s="60"/>
      <c r="O322" s="60"/>
      <c r="P322" s="59">
        <v>37.049999999999997</v>
      </c>
      <c r="Q322" s="60"/>
      <c r="R322" s="60"/>
      <c r="S322" s="59">
        <f t="shared" si="96"/>
        <v>2444.19</v>
      </c>
      <c r="T322" s="60"/>
      <c r="U322" s="61"/>
      <c r="V322" s="9">
        <f t="shared" si="97"/>
        <v>30.88</v>
      </c>
      <c r="Y322" s="9">
        <f t="shared" si="98"/>
        <v>2036.83</v>
      </c>
      <c r="AD322" s="4" t="s">
        <v>998</v>
      </c>
      <c r="AE322" s="4" t="s">
        <v>996</v>
      </c>
      <c r="AF322" s="4" t="s">
        <v>863</v>
      </c>
    </row>
    <row r="323" spans="1:35" ht="36" x14ac:dyDescent="0.35">
      <c r="A323" s="38" t="s">
        <v>999</v>
      </c>
      <c r="B323" s="38"/>
      <c r="C323" s="49" t="s">
        <v>875</v>
      </c>
      <c r="D323" s="40"/>
      <c r="E323" s="40"/>
      <c r="F323" s="50" t="s">
        <v>81</v>
      </c>
      <c r="G323" s="51">
        <v>1</v>
      </c>
      <c r="H323" s="40"/>
      <c r="I323" s="52">
        <v>0</v>
      </c>
      <c r="J323" s="53">
        <v>60</v>
      </c>
      <c r="K323" s="54"/>
      <c r="L323" s="54"/>
      <c r="M323" s="53">
        <f t="shared" si="95"/>
        <v>0</v>
      </c>
      <c r="N323" s="54"/>
      <c r="O323" s="54"/>
      <c r="P323" s="53">
        <v>12.58</v>
      </c>
      <c r="Q323" s="54"/>
      <c r="R323" s="54"/>
      <c r="S323" s="53">
        <f t="shared" si="96"/>
        <v>0</v>
      </c>
      <c r="T323" s="54"/>
      <c r="U323" s="55"/>
      <c r="V323" s="9">
        <f t="shared" si="97"/>
        <v>10.48</v>
      </c>
      <c r="Y323" s="9">
        <f t="shared" si="98"/>
        <v>0</v>
      </c>
      <c r="AD323" s="4" t="s">
        <v>1000</v>
      </c>
      <c r="AE323" s="4" t="s">
        <v>1001</v>
      </c>
      <c r="AF323" s="4" t="s">
        <v>878</v>
      </c>
    </row>
    <row r="324" spans="1:35" ht="36" x14ac:dyDescent="0.35">
      <c r="A324" s="44" t="s">
        <v>1002</v>
      </c>
      <c r="B324" s="44"/>
      <c r="C324" s="56" t="s">
        <v>875</v>
      </c>
      <c r="D324" s="46"/>
      <c r="E324" s="46"/>
      <c r="F324" s="57" t="s">
        <v>81</v>
      </c>
      <c r="G324" s="58">
        <v>1</v>
      </c>
      <c r="H324" s="46"/>
      <c r="I324" s="58">
        <v>219.9</v>
      </c>
      <c r="J324" s="59">
        <v>60</v>
      </c>
      <c r="K324" s="60"/>
      <c r="L324" s="60"/>
      <c r="M324" s="59">
        <f t="shared" si="95"/>
        <v>13194</v>
      </c>
      <c r="N324" s="60"/>
      <c r="O324" s="60"/>
      <c r="P324" s="59">
        <v>12.58</v>
      </c>
      <c r="Q324" s="60"/>
      <c r="R324" s="60"/>
      <c r="S324" s="59">
        <f t="shared" si="96"/>
        <v>2766.34</v>
      </c>
      <c r="T324" s="60"/>
      <c r="U324" s="61"/>
      <c r="V324" s="9">
        <f t="shared" si="97"/>
        <v>10.48</v>
      </c>
      <c r="Y324" s="9">
        <f t="shared" si="98"/>
        <v>2305.2800000000002</v>
      </c>
      <c r="AD324" s="4" t="s">
        <v>1003</v>
      </c>
      <c r="AE324" s="4" t="s">
        <v>1001</v>
      </c>
      <c r="AF324" s="4" t="s">
        <v>878</v>
      </c>
    </row>
    <row r="325" spans="1:35" ht="54" x14ac:dyDescent="0.35">
      <c r="A325" s="38" t="s">
        <v>1004</v>
      </c>
      <c r="B325" s="38" t="s">
        <v>848</v>
      </c>
      <c r="C325" s="39" t="s">
        <v>849</v>
      </c>
      <c r="D325" s="40"/>
      <c r="E325" s="40" t="s">
        <v>370</v>
      </c>
      <c r="F325" s="40" t="s">
        <v>56</v>
      </c>
      <c r="G325" s="41">
        <v>1</v>
      </c>
      <c r="H325" s="40"/>
      <c r="I325" s="42">
        <v>0</v>
      </c>
      <c r="J325" s="43">
        <f>IFERROR(ROUND(SUM(M327,M329,M331,M333)/I325, 2),0)</f>
        <v>0</v>
      </c>
      <c r="K325" s="43">
        <v>329</v>
      </c>
      <c r="L325" s="43">
        <f>J325+ROUND(K325, 2)</f>
        <v>329</v>
      </c>
      <c r="M325" s="43">
        <f>ROUND(J325*I325, 2)</f>
        <v>0</v>
      </c>
      <c r="N325" s="43">
        <f>ROUND(I325*ROUND(K325, 2), 2)</f>
        <v>0</v>
      </c>
      <c r="O325" s="43">
        <f>M325+N325</f>
        <v>0</v>
      </c>
      <c r="P325" s="43">
        <f>IFERROR(ROUND(SUM(S327,S329,S331,S333)/I325, 2),0)</f>
        <v>0</v>
      </c>
      <c r="Q325" s="43">
        <v>329</v>
      </c>
      <c r="R325" s="43">
        <f>P325+ROUND(Q325, 2)</f>
        <v>329</v>
      </c>
      <c r="S325" s="43">
        <f>ROUND(P325*I325, 2)</f>
        <v>0</v>
      </c>
      <c r="T325" s="43">
        <f>ROUND(I325*ROUND(Q325, 2), 2)</f>
        <v>0</v>
      </c>
      <c r="U325" s="43">
        <f>S325+T325</f>
        <v>0</v>
      </c>
      <c r="V325" s="9">
        <f>ROUND(P325 / 1.2, 2)</f>
        <v>0</v>
      </c>
      <c r="W325" s="9">
        <f>ROUND(Q325 / 1.2, 2)</f>
        <v>274.17</v>
      </c>
      <c r="X325" s="9">
        <f>ROUND(R325 / 1.2, 2)</f>
        <v>274.17</v>
      </c>
      <c r="Y325" s="9">
        <f t="shared" si="98"/>
        <v>0</v>
      </c>
      <c r="Z325" s="9">
        <f>ROUND(T325 / 1.2, 2)</f>
        <v>0</v>
      </c>
      <c r="AA325" s="9">
        <f>Y325+Z325</f>
        <v>0</v>
      </c>
      <c r="AD325" s="4">
        <v>303752481</v>
      </c>
      <c r="AE325" s="4">
        <v>16087151</v>
      </c>
      <c r="AG325" s="4" t="s">
        <v>851</v>
      </c>
      <c r="AH325" s="4" t="s">
        <v>852</v>
      </c>
      <c r="AI325" s="4" t="s">
        <v>247</v>
      </c>
    </row>
    <row r="326" spans="1:35" ht="54" x14ac:dyDescent="0.35">
      <c r="A326" s="44" t="s">
        <v>1005</v>
      </c>
      <c r="B326" s="44" t="s">
        <v>848</v>
      </c>
      <c r="C326" s="45" t="s">
        <v>849</v>
      </c>
      <c r="D326" s="46"/>
      <c r="E326" s="46" t="s">
        <v>370</v>
      </c>
      <c r="F326" s="46" t="s">
        <v>56</v>
      </c>
      <c r="G326" s="47">
        <v>1</v>
      </c>
      <c r="H326" s="46"/>
      <c r="I326" s="47">
        <v>219.9</v>
      </c>
      <c r="J326" s="48">
        <v>0</v>
      </c>
      <c r="K326" s="48">
        <v>329</v>
      </c>
      <c r="L326" s="48"/>
      <c r="M326" s="48">
        <v>0</v>
      </c>
      <c r="N326" s="48"/>
      <c r="O326" s="48"/>
      <c r="P326" s="48">
        <v>0</v>
      </c>
      <c r="Q326" s="48">
        <v>329</v>
      </c>
      <c r="R326" s="48"/>
      <c r="S326" s="48">
        <v>0</v>
      </c>
      <c r="T326" s="48"/>
      <c r="U326" s="48"/>
      <c r="V326" s="9"/>
      <c r="W326" s="9">
        <f>ROUND(Q326 / 1.2, 2)</f>
        <v>274.17</v>
      </c>
      <c r="X326" s="9">
        <f>ROUND(R326 / 1.2, 2)</f>
        <v>0</v>
      </c>
      <c r="Y326" s="9"/>
      <c r="Z326" s="9">
        <f>ROUND(T326 / 1.2, 2)</f>
        <v>0</v>
      </c>
      <c r="AA326" s="9"/>
      <c r="AD326" s="4">
        <v>204417266</v>
      </c>
      <c r="AE326" s="4">
        <v>16087151</v>
      </c>
      <c r="AG326" s="4" t="s">
        <v>851</v>
      </c>
      <c r="AH326" s="4" t="s">
        <v>852</v>
      </c>
      <c r="AI326" s="4"/>
    </row>
    <row r="327" spans="1:35" ht="36" x14ac:dyDescent="0.35">
      <c r="A327" s="38" t="s">
        <v>1006</v>
      </c>
      <c r="B327" s="38"/>
      <c r="C327" s="49" t="s">
        <v>493</v>
      </c>
      <c r="D327" s="40"/>
      <c r="E327" s="40"/>
      <c r="F327" s="50" t="s">
        <v>81</v>
      </c>
      <c r="G327" s="51">
        <v>0.15</v>
      </c>
      <c r="H327" s="40"/>
      <c r="I327" s="52">
        <v>0</v>
      </c>
      <c r="J327" s="53">
        <v>88.8</v>
      </c>
      <c r="K327" s="54"/>
      <c r="L327" s="54"/>
      <c r="M327" s="53">
        <f t="shared" ref="M327:M334" si="99">ROUND(ROUND(J327, 2)*I327, 2)</f>
        <v>0</v>
      </c>
      <c r="N327" s="54"/>
      <c r="O327" s="54"/>
      <c r="P327" s="53">
        <v>88.8</v>
      </c>
      <c r="Q327" s="54"/>
      <c r="R327" s="54"/>
      <c r="S327" s="53">
        <f t="shared" ref="S327:S334" si="100">ROUND(ROUND(P327, 2)*I327, 2)</f>
        <v>0</v>
      </c>
      <c r="T327" s="54"/>
      <c r="U327" s="55"/>
      <c r="V327" s="9">
        <f t="shared" ref="V327:V334" si="101">ROUND(ROUND(P327, 2)/1.2, 2)</f>
        <v>74</v>
      </c>
      <c r="Y327" s="9">
        <f t="shared" ref="Y327:Y358" si="102">ROUND(S327 / 1.2, 2)</f>
        <v>0</v>
      </c>
      <c r="AD327" s="4" t="s">
        <v>1007</v>
      </c>
      <c r="AE327" s="4" t="s">
        <v>1008</v>
      </c>
      <c r="AF327" s="4" t="s">
        <v>496</v>
      </c>
    </row>
    <row r="328" spans="1:35" ht="36" x14ac:dyDescent="0.35">
      <c r="A328" s="44" t="s">
        <v>1009</v>
      </c>
      <c r="B328" s="44"/>
      <c r="C328" s="56" t="s">
        <v>493</v>
      </c>
      <c r="D328" s="46"/>
      <c r="E328" s="46"/>
      <c r="F328" s="57" t="s">
        <v>81</v>
      </c>
      <c r="G328" s="58">
        <v>0.15</v>
      </c>
      <c r="H328" s="46"/>
      <c r="I328" s="58">
        <v>32.984999999999999</v>
      </c>
      <c r="J328" s="59">
        <v>88.8</v>
      </c>
      <c r="K328" s="60"/>
      <c r="L328" s="60"/>
      <c r="M328" s="59">
        <f t="shared" si="99"/>
        <v>2929.07</v>
      </c>
      <c r="N328" s="60"/>
      <c r="O328" s="60"/>
      <c r="P328" s="59">
        <v>88.8</v>
      </c>
      <c r="Q328" s="60"/>
      <c r="R328" s="60"/>
      <c r="S328" s="59">
        <f t="shared" si="100"/>
        <v>2929.07</v>
      </c>
      <c r="T328" s="60"/>
      <c r="U328" s="61"/>
      <c r="V328" s="9">
        <f t="shared" si="101"/>
        <v>74</v>
      </c>
      <c r="Y328" s="9">
        <f t="shared" si="102"/>
        <v>2440.89</v>
      </c>
      <c r="AD328" s="4" t="s">
        <v>1010</v>
      </c>
      <c r="AE328" s="4" t="s">
        <v>1008</v>
      </c>
      <c r="AF328" s="4" t="s">
        <v>496</v>
      </c>
    </row>
    <row r="329" spans="1:35" ht="18" x14ac:dyDescent="0.35">
      <c r="A329" s="38" t="s">
        <v>1011</v>
      </c>
      <c r="B329" s="38"/>
      <c r="C329" s="49" t="s">
        <v>902</v>
      </c>
      <c r="D329" s="40"/>
      <c r="E329" s="40"/>
      <c r="F329" s="50" t="s">
        <v>129</v>
      </c>
      <c r="G329" s="51">
        <v>1</v>
      </c>
      <c r="H329" s="40"/>
      <c r="I329" s="62">
        <v>0</v>
      </c>
      <c r="J329" s="53">
        <v>7</v>
      </c>
      <c r="K329" s="54"/>
      <c r="L329" s="54"/>
      <c r="M329" s="53">
        <f t="shared" si="99"/>
        <v>0</v>
      </c>
      <c r="N329" s="54"/>
      <c r="O329" s="54"/>
      <c r="P329" s="53">
        <v>7</v>
      </c>
      <c r="Q329" s="54"/>
      <c r="R329" s="54"/>
      <c r="S329" s="53">
        <f t="shared" si="100"/>
        <v>0</v>
      </c>
      <c r="T329" s="54"/>
      <c r="U329" s="55"/>
      <c r="V329" s="9">
        <f t="shared" si="101"/>
        <v>5.83</v>
      </c>
      <c r="Y329" s="9">
        <f t="shared" si="102"/>
        <v>0</v>
      </c>
      <c r="AD329" s="4" t="s">
        <v>1012</v>
      </c>
      <c r="AE329" s="4" t="s">
        <v>1013</v>
      </c>
      <c r="AF329" s="4" t="s">
        <v>905</v>
      </c>
    </row>
    <row r="330" spans="1:35" ht="18" x14ac:dyDescent="0.35">
      <c r="A330" s="44" t="s">
        <v>1014</v>
      </c>
      <c r="B330" s="44"/>
      <c r="C330" s="56" t="s">
        <v>902</v>
      </c>
      <c r="D330" s="46"/>
      <c r="E330" s="46"/>
      <c r="F330" s="57" t="s">
        <v>129</v>
      </c>
      <c r="G330" s="58">
        <v>1</v>
      </c>
      <c r="H330" s="46"/>
      <c r="I330" s="63">
        <v>219.9</v>
      </c>
      <c r="J330" s="59">
        <v>7</v>
      </c>
      <c r="K330" s="60"/>
      <c r="L330" s="60"/>
      <c r="M330" s="59">
        <f t="shared" si="99"/>
        <v>1539.3</v>
      </c>
      <c r="N330" s="60"/>
      <c r="O330" s="60"/>
      <c r="P330" s="59">
        <v>7</v>
      </c>
      <c r="Q330" s="60"/>
      <c r="R330" s="60"/>
      <c r="S330" s="59">
        <f t="shared" si="100"/>
        <v>1539.3</v>
      </c>
      <c r="T330" s="60"/>
      <c r="U330" s="61"/>
      <c r="V330" s="9">
        <f t="shared" si="101"/>
        <v>5.83</v>
      </c>
      <c r="Y330" s="9">
        <f t="shared" si="102"/>
        <v>1282.75</v>
      </c>
      <c r="AD330" s="4" t="s">
        <v>1015</v>
      </c>
      <c r="AE330" s="4" t="s">
        <v>1013</v>
      </c>
      <c r="AF330" s="4" t="s">
        <v>905</v>
      </c>
    </row>
    <row r="331" spans="1:35" ht="18" x14ac:dyDescent="0.35">
      <c r="A331" s="38" t="s">
        <v>1016</v>
      </c>
      <c r="B331" s="38"/>
      <c r="C331" s="49" t="s">
        <v>860</v>
      </c>
      <c r="D331" s="40"/>
      <c r="E331" s="40"/>
      <c r="F331" s="50" t="s">
        <v>103</v>
      </c>
      <c r="G331" s="51">
        <v>0.3</v>
      </c>
      <c r="H331" s="40"/>
      <c r="I331" s="62">
        <v>0</v>
      </c>
      <c r="J331" s="53">
        <v>37.049999999999997</v>
      </c>
      <c r="K331" s="54"/>
      <c r="L331" s="54"/>
      <c r="M331" s="53">
        <f t="shared" si="99"/>
        <v>0</v>
      </c>
      <c r="N331" s="54"/>
      <c r="O331" s="54"/>
      <c r="P331" s="53">
        <v>37.049999999999997</v>
      </c>
      <c r="Q331" s="54"/>
      <c r="R331" s="54"/>
      <c r="S331" s="53">
        <f t="shared" si="100"/>
        <v>0</v>
      </c>
      <c r="T331" s="54"/>
      <c r="U331" s="55"/>
      <c r="V331" s="9">
        <f t="shared" si="101"/>
        <v>30.88</v>
      </c>
      <c r="Y331" s="9">
        <f t="shared" si="102"/>
        <v>0</v>
      </c>
      <c r="AD331" s="4" t="s">
        <v>1017</v>
      </c>
      <c r="AE331" s="4" t="s">
        <v>1018</v>
      </c>
      <c r="AF331" s="4" t="s">
        <v>863</v>
      </c>
    </row>
    <row r="332" spans="1:35" ht="18" x14ac:dyDescent="0.35">
      <c r="A332" s="44" t="s">
        <v>1019</v>
      </c>
      <c r="B332" s="44"/>
      <c r="C332" s="56" t="s">
        <v>860</v>
      </c>
      <c r="D332" s="46"/>
      <c r="E332" s="46"/>
      <c r="F332" s="57" t="s">
        <v>103</v>
      </c>
      <c r="G332" s="58">
        <v>0.3</v>
      </c>
      <c r="H332" s="46"/>
      <c r="I332" s="63">
        <v>65.97</v>
      </c>
      <c r="J332" s="59">
        <v>37.049999999999997</v>
      </c>
      <c r="K332" s="60"/>
      <c r="L332" s="60"/>
      <c r="M332" s="59">
        <f t="shared" si="99"/>
        <v>2444.19</v>
      </c>
      <c r="N332" s="60"/>
      <c r="O332" s="60"/>
      <c r="P332" s="59">
        <v>37.049999999999997</v>
      </c>
      <c r="Q332" s="60"/>
      <c r="R332" s="60"/>
      <c r="S332" s="59">
        <f t="shared" si="100"/>
        <v>2444.19</v>
      </c>
      <c r="T332" s="60"/>
      <c r="U332" s="61"/>
      <c r="V332" s="9">
        <f t="shared" si="101"/>
        <v>30.88</v>
      </c>
      <c r="Y332" s="9">
        <f t="shared" si="102"/>
        <v>2036.83</v>
      </c>
      <c r="AD332" s="4" t="s">
        <v>1020</v>
      </c>
      <c r="AE332" s="4" t="s">
        <v>1018</v>
      </c>
      <c r="AF332" s="4" t="s">
        <v>863</v>
      </c>
    </row>
    <row r="333" spans="1:35" ht="36" x14ac:dyDescent="0.35">
      <c r="A333" s="38" t="s">
        <v>1021</v>
      </c>
      <c r="B333" s="38"/>
      <c r="C333" s="49" t="s">
        <v>887</v>
      </c>
      <c r="D333" s="40"/>
      <c r="E333" s="40"/>
      <c r="F333" s="50" t="s">
        <v>81</v>
      </c>
      <c r="G333" s="51">
        <v>1.8</v>
      </c>
      <c r="H333" s="40"/>
      <c r="I333" s="52">
        <v>0</v>
      </c>
      <c r="J333" s="53">
        <v>23</v>
      </c>
      <c r="K333" s="54"/>
      <c r="L333" s="54"/>
      <c r="M333" s="53">
        <f t="shared" si="99"/>
        <v>0</v>
      </c>
      <c r="N333" s="54"/>
      <c r="O333" s="54"/>
      <c r="P333" s="53">
        <v>12.58</v>
      </c>
      <c r="Q333" s="54"/>
      <c r="R333" s="54"/>
      <c r="S333" s="53">
        <f t="shared" si="100"/>
        <v>0</v>
      </c>
      <c r="T333" s="54"/>
      <c r="U333" s="55"/>
      <c r="V333" s="9">
        <f t="shared" si="101"/>
        <v>10.48</v>
      </c>
      <c r="Y333" s="9">
        <f t="shared" si="102"/>
        <v>0</v>
      </c>
      <c r="AD333" s="4" t="s">
        <v>1022</v>
      </c>
      <c r="AE333" s="4" t="s">
        <v>1023</v>
      </c>
      <c r="AF333" s="4" t="s">
        <v>890</v>
      </c>
    </row>
    <row r="334" spans="1:35" ht="36" x14ac:dyDescent="0.35">
      <c r="A334" s="44" t="s">
        <v>1024</v>
      </c>
      <c r="B334" s="44"/>
      <c r="C334" s="56" t="s">
        <v>887</v>
      </c>
      <c r="D334" s="46"/>
      <c r="E334" s="46"/>
      <c r="F334" s="57" t="s">
        <v>81</v>
      </c>
      <c r="G334" s="58">
        <v>1.8</v>
      </c>
      <c r="H334" s="46"/>
      <c r="I334" s="58">
        <v>395.82</v>
      </c>
      <c r="J334" s="59">
        <v>23</v>
      </c>
      <c r="K334" s="60"/>
      <c r="L334" s="60"/>
      <c r="M334" s="59">
        <f t="shared" si="99"/>
        <v>9103.86</v>
      </c>
      <c r="N334" s="60"/>
      <c r="O334" s="60"/>
      <c r="P334" s="59">
        <v>12.58</v>
      </c>
      <c r="Q334" s="60"/>
      <c r="R334" s="60"/>
      <c r="S334" s="59">
        <f t="shared" si="100"/>
        <v>4979.42</v>
      </c>
      <c r="T334" s="60"/>
      <c r="U334" s="61"/>
      <c r="V334" s="9">
        <f t="shared" si="101"/>
        <v>10.48</v>
      </c>
      <c r="Y334" s="9">
        <f t="shared" si="102"/>
        <v>4149.5200000000004</v>
      </c>
      <c r="AD334" s="4" t="s">
        <v>1025</v>
      </c>
      <c r="AE334" s="4" t="s">
        <v>1023</v>
      </c>
      <c r="AF334" s="4" t="s">
        <v>890</v>
      </c>
    </row>
    <row r="335" spans="1:35" ht="36" x14ac:dyDescent="0.35">
      <c r="A335" s="11" t="s">
        <v>1026</v>
      </c>
      <c r="B335" s="11" t="s">
        <v>1027</v>
      </c>
      <c r="C335" s="20" t="s">
        <v>1028</v>
      </c>
      <c r="D335" s="21"/>
      <c r="E335" s="21" t="s">
        <v>1029</v>
      </c>
      <c r="F335" s="21" t="s">
        <v>56</v>
      </c>
      <c r="G335" s="22">
        <v>1</v>
      </c>
      <c r="H335" s="21"/>
      <c r="I335" s="22">
        <v>79.16</v>
      </c>
      <c r="J335" s="23">
        <f>IFERROR(ROUND(SUM(M336,M337,M338)/I335, 2),0)</f>
        <v>81.25</v>
      </c>
      <c r="K335" s="23">
        <v>639</v>
      </c>
      <c r="L335" s="23">
        <f>J335+ROUND(K335, 2)</f>
        <v>720.25</v>
      </c>
      <c r="M335" s="23">
        <f>ROUND(J335*I335, 2)</f>
        <v>6431.75</v>
      </c>
      <c r="N335" s="23">
        <f>ROUND(I335*ROUND(K335, 2), 2)</f>
        <v>50583.24</v>
      </c>
      <c r="O335" s="23">
        <f>M335+N335</f>
        <v>57014.99</v>
      </c>
      <c r="P335" s="23">
        <f>IFERROR(ROUND(SUM(S336,S337,S338)/I335, 2),0)</f>
        <v>90.95</v>
      </c>
      <c r="Q335" s="23">
        <v>639</v>
      </c>
      <c r="R335" s="23">
        <f>P335+ROUND(Q335, 2)</f>
        <v>729.95</v>
      </c>
      <c r="S335" s="23">
        <f>ROUND(P335*I335, 2)</f>
        <v>7199.6</v>
      </c>
      <c r="T335" s="23">
        <f>ROUND(I335*ROUND(Q335, 2), 2)</f>
        <v>50583.24</v>
      </c>
      <c r="U335" s="23">
        <f>S335+T335</f>
        <v>57782.84</v>
      </c>
      <c r="V335" s="9">
        <f>ROUND(P335 / 1.2, 2)</f>
        <v>75.790000000000006</v>
      </c>
      <c r="W335" s="9">
        <f>ROUND(Q335 / 1.2, 2)</f>
        <v>532.5</v>
      </c>
      <c r="X335" s="9">
        <f>ROUND(R335 / 1.2, 2)</f>
        <v>608.29</v>
      </c>
      <c r="Y335" s="9">
        <f t="shared" si="102"/>
        <v>5999.67</v>
      </c>
      <c r="Z335" s="9">
        <f>ROUND(T335 / 1.2, 2)</f>
        <v>42152.7</v>
      </c>
      <c r="AA335" s="9">
        <f>Y335+Z335</f>
        <v>48152.369999999995</v>
      </c>
      <c r="AD335" s="4">
        <v>303752421</v>
      </c>
      <c r="AE335" s="4">
        <v>19916865</v>
      </c>
      <c r="AG335" s="4" t="s">
        <v>1030</v>
      </c>
      <c r="AH335" s="4" t="s">
        <v>1031</v>
      </c>
      <c r="AI335" s="4" t="s">
        <v>247</v>
      </c>
    </row>
    <row r="336" spans="1:35" ht="36" x14ac:dyDescent="0.35">
      <c r="A336" s="11" t="s">
        <v>1032</v>
      </c>
      <c r="B336" s="11"/>
      <c r="C336" s="31" t="s">
        <v>854</v>
      </c>
      <c r="D336" s="21"/>
      <c r="E336" s="21" t="s">
        <v>855</v>
      </c>
      <c r="F336" s="32" t="s">
        <v>81</v>
      </c>
      <c r="G336" s="33">
        <v>2</v>
      </c>
      <c r="H336" s="21"/>
      <c r="I336" s="33">
        <v>158.32</v>
      </c>
      <c r="J336" s="35">
        <v>23</v>
      </c>
      <c r="K336" s="12"/>
      <c r="L336" s="12"/>
      <c r="M336" s="35">
        <f>ROUND(ROUND(J336, 2)*I336, 2)</f>
        <v>3641.36</v>
      </c>
      <c r="N336" s="12"/>
      <c r="O336" s="12"/>
      <c r="P336" s="35">
        <v>27.85</v>
      </c>
      <c r="Q336" s="12"/>
      <c r="R336" s="12"/>
      <c r="S336" s="35">
        <f>ROUND(ROUND(P336, 2)*I336, 2)</f>
        <v>4409.21</v>
      </c>
      <c r="T336" s="12"/>
      <c r="U336" s="36"/>
      <c r="V336" s="9">
        <f>ROUND(ROUND(P336, 2)/1.2, 2)</f>
        <v>23.21</v>
      </c>
      <c r="Y336" s="9">
        <f t="shared" si="102"/>
        <v>3674.34</v>
      </c>
      <c r="AD336" s="4" t="s">
        <v>1033</v>
      </c>
      <c r="AE336" s="4" t="s">
        <v>1034</v>
      </c>
      <c r="AF336" s="4" t="s">
        <v>858</v>
      </c>
    </row>
    <row r="337" spans="1:35" ht="36" x14ac:dyDescent="0.35">
      <c r="A337" s="11" t="s">
        <v>1035</v>
      </c>
      <c r="B337" s="11"/>
      <c r="C337" s="31" t="s">
        <v>1036</v>
      </c>
      <c r="D337" s="21"/>
      <c r="E337" s="21"/>
      <c r="F337" s="32" t="s">
        <v>103</v>
      </c>
      <c r="G337" s="33">
        <v>0.3</v>
      </c>
      <c r="H337" s="21"/>
      <c r="I337" s="33">
        <v>23.748000000000001</v>
      </c>
      <c r="J337" s="35">
        <v>73.099999999999994</v>
      </c>
      <c r="K337" s="12"/>
      <c r="L337" s="12"/>
      <c r="M337" s="35">
        <f>ROUND(ROUND(J337, 2)*I337, 2)</f>
        <v>1735.98</v>
      </c>
      <c r="N337" s="12"/>
      <c r="O337" s="12"/>
      <c r="P337" s="35">
        <v>73.099999999999994</v>
      </c>
      <c r="Q337" s="12"/>
      <c r="R337" s="12"/>
      <c r="S337" s="35">
        <f>ROUND(ROUND(P337, 2)*I337, 2)</f>
        <v>1735.98</v>
      </c>
      <c r="T337" s="12"/>
      <c r="U337" s="36"/>
      <c r="V337" s="9">
        <f>ROUND(ROUND(P337, 2)/1.2, 2)</f>
        <v>60.92</v>
      </c>
      <c r="Y337" s="9">
        <f t="shared" si="102"/>
        <v>1446.65</v>
      </c>
      <c r="AD337" s="4" t="s">
        <v>1037</v>
      </c>
      <c r="AE337" s="4" t="s">
        <v>1038</v>
      </c>
      <c r="AF337" s="4" t="s">
        <v>1039</v>
      </c>
    </row>
    <row r="338" spans="1:35" ht="36" x14ac:dyDescent="0.35">
      <c r="A338" s="11" t="s">
        <v>1040</v>
      </c>
      <c r="B338" s="11"/>
      <c r="C338" s="31" t="s">
        <v>493</v>
      </c>
      <c r="D338" s="21"/>
      <c r="E338" s="21"/>
      <c r="F338" s="32" t="s">
        <v>81</v>
      </c>
      <c r="G338" s="33">
        <v>0.15</v>
      </c>
      <c r="H338" s="21"/>
      <c r="I338" s="33">
        <v>11.874000000000001</v>
      </c>
      <c r="J338" s="35">
        <v>88.8</v>
      </c>
      <c r="K338" s="12"/>
      <c r="L338" s="12"/>
      <c r="M338" s="35">
        <f>ROUND(ROUND(J338, 2)*I338, 2)</f>
        <v>1054.4100000000001</v>
      </c>
      <c r="N338" s="12"/>
      <c r="O338" s="12"/>
      <c r="P338" s="35">
        <v>88.8</v>
      </c>
      <c r="Q338" s="12"/>
      <c r="R338" s="12"/>
      <c r="S338" s="35">
        <f>ROUND(ROUND(P338, 2)*I338, 2)</f>
        <v>1054.4100000000001</v>
      </c>
      <c r="T338" s="12"/>
      <c r="U338" s="36"/>
      <c r="V338" s="9">
        <f>ROUND(ROUND(P338, 2)/1.2, 2)</f>
        <v>74</v>
      </c>
      <c r="Y338" s="9">
        <f t="shared" si="102"/>
        <v>878.68</v>
      </c>
      <c r="AD338" s="4" t="s">
        <v>1041</v>
      </c>
      <c r="AE338" s="4" t="s">
        <v>1042</v>
      </c>
      <c r="AF338" s="4" t="s">
        <v>496</v>
      </c>
    </row>
    <row r="339" spans="1:35" ht="36" x14ac:dyDescent="0.35">
      <c r="A339" s="11" t="s">
        <v>1043</v>
      </c>
      <c r="B339" s="11" t="s">
        <v>1027</v>
      </c>
      <c r="C339" s="20" t="s">
        <v>1028</v>
      </c>
      <c r="D339" s="21"/>
      <c r="E339" s="21" t="s">
        <v>1044</v>
      </c>
      <c r="F339" s="21" t="s">
        <v>56</v>
      </c>
      <c r="G339" s="22">
        <v>1</v>
      </c>
      <c r="H339" s="21"/>
      <c r="I339" s="22">
        <v>79.16</v>
      </c>
      <c r="J339" s="23">
        <f>IFERROR(ROUND(SUM(M340,M341)/I339, 2),0)</f>
        <v>59.32</v>
      </c>
      <c r="K339" s="23">
        <v>639</v>
      </c>
      <c r="L339" s="23">
        <f>J339+ROUND(K339, 2)</f>
        <v>698.32</v>
      </c>
      <c r="M339" s="23">
        <f>ROUND(J339*I339, 2)</f>
        <v>4695.7700000000004</v>
      </c>
      <c r="N339" s="23">
        <f>ROUND(I339*ROUND(K339, 2), 2)</f>
        <v>50583.24</v>
      </c>
      <c r="O339" s="23">
        <f>M339+N339</f>
        <v>55279.009999999995</v>
      </c>
      <c r="P339" s="23">
        <f>IFERROR(ROUND(SUM(S340,S341)/I339, 2),0)</f>
        <v>59.32</v>
      </c>
      <c r="Q339" s="23">
        <v>639</v>
      </c>
      <c r="R339" s="23">
        <f>P339+ROUND(Q339, 2)</f>
        <v>698.32</v>
      </c>
      <c r="S339" s="23">
        <f>ROUND(P339*I339, 2)</f>
        <v>4695.7700000000004</v>
      </c>
      <c r="T339" s="23">
        <f>ROUND(I339*ROUND(Q339, 2), 2)</f>
        <v>50583.24</v>
      </c>
      <c r="U339" s="23">
        <f>S339+T339</f>
        <v>55279.009999999995</v>
      </c>
      <c r="V339" s="9">
        <f>ROUND(P339 / 1.2, 2)</f>
        <v>49.43</v>
      </c>
      <c r="W339" s="9">
        <f>ROUND(Q339 / 1.2, 2)</f>
        <v>532.5</v>
      </c>
      <c r="X339" s="9">
        <f>ROUND(R339 / 1.2, 2)</f>
        <v>581.92999999999995</v>
      </c>
      <c r="Y339" s="9">
        <f t="shared" si="102"/>
        <v>3913.14</v>
      </c>
      <c r="Z339" s="9">
        <f>ROUND(T339 / 1.2, 2)</f>
        <v>42152.7</v>
      </c>
      <c r="AA339" s="9">
        <f>Y339+Z339</f>
        <v>46065.84</v>
      </c>
      <c r="AD339" s="4">
        <v>303752482</v>
      </c>
      <c r="AE339" s="4">
        <v>19916872</v>
      </c>
      <c r="AG339" s="4" t="s">
        <v>1030</v>
      </c>
      <c r="AH339" s="4" t="s">
        <v>1031</v>
      </c>
      <c r="AI339" s="4" t="s">
        <v>247</v>
      </c>
    </row>
    <row r="340" spans="1:35" ht="36" x14ac:dyDescent="0.35">
      <c r="A340" s="11" t="s">
        <v>1045</v>
      </c>
      <c r="B340" s="11"/>
      <c r="C340" s="31" t="s">
        <v>493</v>
      </c>
      <c r="D340" s="21"/>
      <c r="E340" s="21"/>
      <c r="F340" s="32" t="s">
        <v>81</v>
      </c>
      <c r="G340" s="33">
        <v>0.15</v>
      </c>
      <c r="H340" s="21"/>
      <c r="I340" s="33">
        <v>11.874000000000001</v>
      </c>
      <c r="J340" s="35">
        <v>88.8</v>
      </c>
      <c r="K340" s="12"/>
      <c r="L340" s="12"/>
      <c r="M340" s="35">
        <f>ROUND(ROUND(J340, 2)*I340, 2)</f>
        <v>1054.4100000000001</v>
      </c>
      <c r="N340" s="12"/>
      <c r="O340" s="12"/>
      <c r="P340" s="35">
        <v>88.8</v>
      </c>
      <c r="Q340" s="12"/>
      <c r="R340" s="12"/>
      <c r="S340" s="35">
        <f>ROUND(ROUND(P340, 2)*I340, 2)</f>
        <v>1054.4100000000001</v>
      </c>
      <c r="T340" s="12"/>
      <c r="U340" s="36"/>
      <c r="V340" s="9">
        <f>ROUND(ROUND(P340, 2)/1.2, 2)</f>
        <v>74</v>
      </c>
      <c r="Y340" s="9">
        <f t="shared" si="102"/>
        <v>878.68</v>
      </c>
      <c r="AD340" s="4" t="s">
        <v>1046</v>
      </c>
      <c r="AE340" s="4" t="s">
        <v>1047</v>
      </c>
      <c r="AF340" s="4" t="s">
        <v>496</v>
      </c>
    </row>
    <row r="341" spans="1:35" ht="54" x14ac:dyDescent="0.35">
      <c r="A341" s="11" t="s">
        <v>1048</v>
      </c>
      <c r="B341" s="11"/>
      <c r="C341" s="31" t="s">
        <v>854</v>
      </c>
      <c r="D341" s="21"/>
      <c r="E341" s="21" t="s">
        <v>1049</v>
      </c>
      <c r="F341" s="32" t="s">
        <v>81</v>
      </c>
      <c r="G341" s="33">
        <v>2</v>
      </c>
      <c r="H341" s="21"/>
      <c r="I341" s="33">
        <v>158.32</v>
      </c>
      <c r="J341" s="35">
        <v>23</v>
      </c>
      <c r="K341" s="12"/>
      <c r="L341" s="12"/>
      <c r="M341" s="35">
        <f>ROUND(ROUND(J341, 2)*I341, 2)</f>
        <v>3641.36</v>
      </c>
      <c r="N341" s="12"/>
      <c r="O341" s="12"/>
      <c r="P341" s="35">
        <v>23</v>
      </c>
      <c r="Q341" s="12"/>
      <c r="R341" s="12"/>
      <c r="S341" s="35">
        <f>ROUND(ROUND(P341, 2)*I341, 2)</f>
        <v>3641.36</v>
      </c>
      <c r="T341" s="12"/>
      <c r="U341" s="36"/>
      <c r="V341" s="9">
        <f>ROUND(ROUND(P341, 2)/1.2, 2)</f>
        <v>19.170000000000002</v>
      </c>
      <c r="Y341" s="9">
        <f t="shared" si="102"/>
        <v>3034.47</v>
      </c>
      <c r="AD341" s="4" t="s">
        <v>1050</v>
      </c>
      <c r="AE341" s="4" t="s">
        <v>1051</v>
      </c>
      <c r="AF341" s="4" t="s">
        <v>858</v>
      </c>
    </row>
    <row r="342" spans="1:35" ht="36" x14ac:dyDescent="0.35">
      <c r="A342" s="11" t="s">
        <v>1052</v>
      </c>
      <c r="B342" s="11" t="s">
        <v>1027</v>
      </c>
      <c r="C342" s="20" t="s">
        <v>1028</v>
      </c>
      <c r="D342" s="21"/>
      <c r="E342" s="21" t="s">
        <v>1053</v>
      </c>
      <c r="F342" s="21" t="s">
        <v>56</v>
      </c>
      <c r="G342" s="22">
        <v>1</v>
      </c>
      <c r="H342" s="21"/>
      <c r="I342" s="22">
        <v>520.01</v>
      </c>
      <c r="J342" s="23">
        <f>IFERROR(ROUND(SUM(M343,M344,M345)/I342, 2),0)</f>
        <v>81.25</v>
      </c>
      <c r="K342" s="23">
        <v>639</v>
      </c>
      <c r="L342" s="23">
        <f>J342+ROUND(K342, 2)</f>
        <v>720.25</v>
      </c>
      <c r="M342" s="23">
        <f>ROUND(J342*I342, 2)</f>
        <v>42250.81</v>
      </c>
      <c r="N342" s="23">
        <f>ROUND(I342*ROUND(K342, 2), 2)</f>
        <v>332286.39</v>
      </c>
      <c r="O342" s="23">
        <f>M342+N342</f>
        <v>374537.2</v>
      </c>
      <c r="P342" s="23">
        <f>IFERROR(ROUND(SUM(S343,S344,S345)/I342, 2),0)</f>
        <v>90.95</v>
      </c>
      <c r="Q342" s="23">
        <v>639</v>
      </c>
      <c r="R342" s="23">
        <f>P342+ROUND(Q342, 2)</f>
        <v>729.95</v>
      </c>
      <c r="S342" s="23">
        <f>ROUND(P342*I342, 2)</f>
        <v>47294.91</v>
      </c>
      <c r="T342" s="23">
        <f>ROUND(I342*ROUND(Q342, 2), 2)</f>
        <v>332286.39</v>
      </c>
      <c r="U342" s="23">
        <f>S342+T342</f>
        <v>379581.30000000005</v>
      </c>
      <c r="V342" s="9">
        <f>ROUND(P342 / 1.2, 2)</f>
        <v>75.790000000000006</v>
      </c>
      <c r="W342" s="9">
        <f>ROUND(Q342 / 1.2, 2)</f>
        <v>532.5</v>
      </c>
      <c r="X342" s="9">
        <f>ROUND(R342 / 1.2, 2)</f>
        <v>608.29</v>
      </c>
      <c r="Y342" s="9">
        <f t="shared" si="102"/>
        <v>39412.43</v>
      </c>
      <c r="Z342" s="9">
        <f>ROUND(T342 / 1.2, 2)</f>
        <v>276905.33</v>
      </c>
      <c r="AA342" s="9">
        <f>Y342+Z342</f>
        <v>316317.76</v>
      </c>
      <c r="AD342" s="4">
        <v>303752483</v>
      </c>
      <c r="AE342" s="4">
        <v>19916870</v>
      </c>
      <c r="AG342" s="4" t="s">
        <v>1030</v>
      </c>
      <c r="AH342" s="4" t="s">
        <v>1031</v>
      </c>
      <c r="AI342" s="4" t="s">
        <v>247</v>
      </c>
    </row>
    <row r="343" spans="1:35" ht="36" x14ac:dyDescent="0.35">
      <c r="A343" s="11" t="s">
        <v>1054</v>
      </c>
      <c r="B343" s="11"/>
      <c r="C343" s="31" t="s">
        <v>493</v>
      </c>
      <c r="D343" s="21"/>
      <c r="E343" s="21"/>
      <c r="F343" s="32" t="s">
        <v>81</v>
      </c>
      <c r="G343" s="33">
        <v>0.15</v>
      </c>
      <c r="H343" s="21"/>
      <c r="I343" s="33">
        <v>78.001999999999995</v>
      </c>
      <c r="J343" s="35">
        <v>88.8</v>
      </c>
      <c r="K343" s="12"/>
      <c r="L343" s="12"/>
      <c r="M343" s="35">
        <f>ROUND(ROUND(J343, 2)*I343, 2)</f>
        <v>6926.58</v>
      </c>
      <c r="N343" s="12"/>
      <c r="O343" s="12"/>
      <c r="P343" s="35">
        <v>88.8</v>
      </c>
      <c r="Q343" s="12"/>
      <c r="R343" s="12"/>
      <c r="S343" s="35">
        <f>ROUND(ROUND(P343, 2)*I343, 2)</f>
        <v>6926.58</v>
      </c>
      <c r="T343" s="12"/>
      <c r="U343" s="36"/>
      <c r="V343" s="9">
        <f>ROUND(ROUND(P343, 2)/1.2, 2)</f>
        <v>74</v>
      </c>
      <c r="Y343" s="9">
        <f t="shared" si="102"/>
        <v>5772.15</v>
      </c>
      <c r="AD343" s="4" t="s">
        <v>1055</v>
      </c>
      <c r="AE343" s="4" t="s">
        <v>1056</v>
      </c>
      <c r="AF343" s="4" t="s">
        <v>496</v>
      </c>
    </row>
    <row r="344" spans="1:35" ht="36" x14ac:dyDescent="0.35">
      <c r="A344" s="11" t="s">
        <v>1057</v>
      </c>
      <c r="B344" s="11"/>
      <c r="C344" s="31" t="s">
        <v>1036</v>
      </c>
      <c r="D344" s="21"/>
      <c r="E344" s="21"/>
      <c r="F344" s="32" t="s">
        <v>103</v>
      </c>
      <c r="G344" s="33">
        <v>0.3</v>
      </c>
      <c r="H344" s="21"/>
      <c r="I344" s="33">
        <v>156.00299999999999</v>
      </c>
      <c r="J344" s="35">
        <v>73.099999999999994</v>
      </c>
      <c r="K344" s="12"/>
      <c r="L344" s="12"/>
      <c r="M344" s="35">
        <f>ROUND(ROUND(J344, 2)*I344, 2)</f>
        <v>11403.82</v>
      </c>
      <c r="N344" s="12"/>
      <c r="O344" s="12"/>
      <c r="P344" s="35">
        <v>73.099999999999994</v>
      </c>
      <c r="Q344" s="12"/>
      <c r="R344" s="12"/>
      <c r="S344" s="35">
        <f>ROUND(ROUND(P344, 2)*I344, 2)</f>
        <v>11403.82</v>
      </c>
      <c r="T344" s="12"/>
      <c r="U344" s="36"/>
      <c r="V344" s="9">
        <f>ROUND(ROUND(P344, 2)/1.2, 2)</f>
        <v>60.92</v>
      </c>
      <c r="Y344" s="9">
        <f t="shared" si="102"/>
        <v>9503.18</v>
      </c>
      <c r="AD344" s="4" t="s">
        <v>1058</v>
      </c>
      <c r="AE344" s="4" t="s">
        <v>1059</v>
      </c>
      <c r="AF344" s="4" t="s">
        <v>1039</v>
      </c>
    </row>
    <row r="345" spans="1:35" ht="36" x14ac:dyDescent="0.35">
      <c r="A345" s="11" t="s">
        <v>1060</v>
      </c>
      <c r="B345" s="11"/>
      <c r="C345" s="31" t="s">
        <v>854</v>
      </c>
      <c r="D345" s="21"/>
      <c r="E345" s="21" t="s">
        <v>855</v>
      </c>
      <c r="F345" s="32" t="s">
        <v>81</v>
      </c>
      <c r="G345" s="33">
        <v>2</v>
      </c>
      <c r="H345" s="21"/>
      <c r="I345" s="33">
        <v>1040.02</v>
      </c>
      <c r="J345" s="35">
        <v>23</v>
      </c>
      <c r="K345" s="12"/>
      <c r="L345" s="12"/>
      <c r="M345" s="35">
        <f>ROUND(ROUND(J345, 2)*I345, 2)</f>
        <v>23920.46</v>
      </c>
      <c r="N345" s="12"/>
      <c r="O345" s="12"/>
      <c r="P345" s="35">
        <v>27.85</v>
      </c>
      <c r="Q345" s="12"/>
      <c r="R345" s="12"/>
      <c r="S345" s="35">
        <f>ROUND(ROUND(P345, 2)*I345, 2)</f>
        <v>28964.560000000001</v>
      </c>
      <c r="T345" s="12"/>
      <c r="U345" s="36"/>
      <c r="V345" s="9">
        <f>ROUND(ROUND(P345, 2)/1.2, 2)</f>
        <v>23.21</v>
      </c>
      <c r="Y345" s="9">
        <f t="shared" si="102"/>
        <v>24137.13</v>
      </c>
      <c r="AD345" s="4" t="s">
        <v>1061</v>
      </c>
      <c r="AE345" s="4" t="s">
        <v>1062</v>
      </c>
      <c r="AF345" s="4" t="s">
        <v>858</v>
      </c>
    </row>
    <row r="346" spans="1:35" ht="36" x14ac:dyDescent="0.35">
      <c r="A346" s="11" t="s">
        <v>1063</v>
      </c>
      <c r="B346" s="11" t="s">
        <v>1027</v>
      </c>
      <c r="C346" s="20" t="s">
        <v>1028</v>
      </c>
      <c r="D346" s="21"/>
      <c r="E346" s="21" t="s">
        <v>1064</v>
      </c>
      <c r="F346" s="21" t="s">
        <v>56</v>
      </c>
      <c r="G346" s="22">
        <v>1</v>
      </c>
      <c r="H346" s="21"/>
      <c r="I346" s="22">
        <v>520.01</v>
      </c>
      <c r="J346" s="23">
        <f>IFERROR(ROUND(SUM(M347,M348)/I346, 2),0)</f>
        <v>59.32</v>
      </c>
      <c r="K346" s="23">
        <v>639</v>
      </c>
      <c r="L346" s="23">
        <f>J346+ROUND(K346, 2)</f>
        <v>698.32</v>
      </c>
      <c r="M346" s="23">
        <f>ROUND(J346*I346, 2)</f>
        <v>30846.99</v>
      </c>
      <c r="N346" s="23">
        <f>ROUND(I346*ROUND(K346, 2), 2)</f>
        <v>332286.39</v>
      </c>
      <c r="O346" s="23">
        <f>M346+N346</f>
        <v>363133.38</v>
      </c>
      <c r="P346" s="23">
        <f>IFERROR(ROUND(SUM(S347,S348)/I346, 2),0)</f>
        <v>77.94</v>
      </c>
      <c r="Q346" s="23">
        <v>639</v>
      </c>
      <c r="R346" s="23">
        <f>P346+ROUND(Q346, 2)</f>
        <v>716.94</v>
      </c>
      <c r="S346" s="23">
        <f>ROUND(P346*I346, 2)</f>
        <v>40529.58</v>
      </c>
      <c r="T346" s="23">
        <f>ROUND(I346*ROUND(Q346, 2), 2)</f>
        <v>332286.39</v>
      </c>
      <c r="U346" s="23">
        <f>S346+T346</f>
        <v>372815.97000000003</v>
      </c>
      <c r="V346" s="9">
        <f>ROUND(P346 / 1.2, 2)</f>
        <v>64.95</v>
      </c>
      <c r="W346" s="9">
        <f>ROUND(Q346 / 1.2, 2)</f>
        <v>532.5</v>
      </c>
      <c r="X346" s="9">
        <f>ROUND(R346 / 1.2, 2)</f>
        <v>597.45000000000005</v>
      </c>
      <c r="Y346" s="9">
        <f t="shared" si="102"/>
        <v>33774.65</v>
      </c>
      <c r="Z346" s="9">
        <f>ROUND(T346 / 1.2, 2)</f>
        <v>276905.33</v>
      </c>
      <c r="AA346" s="9">
        <f>Y346+Z346</f>
        <v>310679.98000000004</v>
      </c>
      <c r="AD346" s="4">
        <v>303752484</v>
      </c>
      <c r="AE346" s="4">
        <v>19916877</v>
      </c>
      <c r="AG346" s="4" t="s">
        <v>1030</v>
      </c>
      <c r="AH346" s="4" t="s">
        <v>1031</v>
      </c>
      <c r="AI346" s="4" t="s">
        <v>247</v>
      </c>
    </row>
    <row r="347" spans="1:35" ht="36" x14ac:dyDescent="0.35">
      <c r="A347" s="11" t="s">
        <v>1065</v>
      </c>
      <c r="B347" s="11"/>
      <c r="C347" s="31" t="s">
        <v>493</v>
      </c>
      <c r="D347" s="21"/>
      <c r="E347" s="21"/>
      <c r="F347" s="32" t="s">
        <v>81</v>
      </c>
      <c r="G347" s="33">
        <v>0.15</v>
      </c>
      <c r="H347" s="21"/>
      <c r="I347" s="33">
        <v>78.001999999999995</v>
      </c>
      <c r="J347" s="35">
        <v>88.8</v>
      </c>
      <c r="K347" s="12"/>
      <c r="L347" s="12"/>
      <c r="M347" s="35">
        <f>ROUND(ROUND(J347, 2)*I347, 2)</f>
        <v>6926.58</v>
      </c>
      <c r="N347" s="12"/>
      <c r="O347" s="12"/>
      <c r="P347" s="35">
        <v>88.8</v>
      </c>
      <c r="Q347" s="12"/>
      <c r="R347" s="12"/>
      <c r="S347" s="35">
        <f>ROUND(ROUND(P347, 2)*I347, 2)</f>
        <v>6926.58</v>
      </c>
      <c r="T347" s="12"/>
      <c r="U347" s="36"/>
      <c r="V347" s="9">
        <f>ROUND(ROUND(P347, 2)/1.2, 2)</f>
        <v>74</v>
      </c>
      <c r="Y347" s="9">
        <f t="shared" si="102"/>
        <v>5772.15</v>
      </c>
      <c r="AD347" s="4" t="s">
        <v>1066</v>
      </c>
      <c r="AE347" s="4" t="s">
        <v>1067</v>
      </c>
      <c r="AF347" s="4" t="s">
        <v>496</v>
      </c>
    </row>
    <row r="348" spans="1:35" ht="54" x14ac:dyDescent="0.35">
      <c r="A348" s="11" t="s">
        <v>1068</v>
      </c>
      <c r="B348" s="11"/>
      <c r="C348" s="31" t="s">
        <v>854</v>
      </c>
      <c r="D348" s="21"/>
      <c r="E348" s="21" t="s">
        <v>1049</v>
      </c>
      <c r="F348" s="32" t="s">
        <v>81</v>
      </c>
      <c r="G348" s="33">
        <v>2</v>
      </c>
      <c r="H348" s="21"/>
      <c r="I348" s="33">
        <v>1040.02</v>
      </c>
      <c r="J348" s="35">
        <v>23</v>
      </c>
      <c r="K348" s="12"/>
      <c r="L348" s="12"/>
      <c r="M348" s="35">
        <f>ROUND(ROUND(J348, 2)*I348, 2)</f>
        <v>23920.46</v>
      </c>
      <c r="N348" s="12"/>
      <c r="O348" s="12"/>
      <c r="P348" s="35">
        <v>32.31</v>
      </c>
      <c r="Q348" s="12"/>
      <c r="R348" s="12"/>
      <c r="S348" s="35">
        <f>ROUND(ROUND(P348, 2)*I348, 2)</f>
        <v>33603.050000000003</v>
      </c>
      <c r="T348" s="12"/>
      <c r="U348" s="36"/>
      <c r="V348" s="9">
        <f>ROUND(ROUND(P348, 2)/1.2, 2)</f>
        <v>26.93</v>
      </c>
      <c r="Y348" s="9">
        <f t="shared" si="102"/>
        <v>28002.54</v>
      </c>
      <c r="AD348" s="4" t="s">
        <v>1069</v>
      </c>
      <c r="AE348" s="4" t="s">
        <v>1070</v>
      </c>
      <c r="AF348" s="4" t="s">
        <v>858</v>
      </c>
    </row>
    <row r="349" spans="1:35" ht="54" x14ac:dyDescent="0.35">
      <c r="A349" s="11" t="s">
        <v>1071</v>
      </c>
      <c r="B349" s="11" t="s">
        <v>1027</v>
      </c>
      <c r="C349" s="20" t="s">
        <v>1028</v>
      </c>
      <c r="D349" s="21"/>
      <c r="E349" s="21" t="s">
        <v>1072</v>
      </c>
      <c r="F349" s="21" t="s">
        <v>56</v>
      </c>
      <c r="G349" s="22">
        <v>1</v>
      </c>
      <c r="H349" s="21"/>
      <c r="I349" s="22">
        <v>66.28</v>
      </c>
      <c r="J349" s="23">
        <f>IFERROR(ROUND(SUM(M350,M351)/I349, 2),0)</f>
        <v>59.32</v>
      </c>
      <c r="K349" s="23">
        <v>639</v>
      </c>
      <c r="L349" s="23">
        <f>J349+ROUND(K349, 2)</f>
        <v>698.32</v>
      </c>
      <c r="M349" s="23">
        <f>ROUND(J349*I349, 2)</f>
        <v>3931.73</v>
      </c>
      <c r="N349" s="23">
        <f>ROUND(I349*ROUND(K349, 2), 2)</f>
        <v>42352.92</v>
      </c>
      <c r="O349" s="23">
        <f>M349+N349</f>
        <v>46284.65</v>
      </c>
      <c r="P349" s="23">
        <f>IFERROR(ROUND(SUM(S350,S351)/I349, 2),0)</f>
        <v>59.32</v>
      </c>
      <c r="Q349" s="23">
        <v>639</v>
      </c>
      <c r="R349" s="23">
        <f>P349+ROUND(Q349, 2)</f>
        <v>698.32</v>
      </c>
      <c r="S349" s="23">
        <f>ROUND(P349*I349, 2)</f>
        <v>3931.73</v>
      </c>
      <c r="T349" s="23">
        <f>ROUND(I349*ROUND(Q349, 2), 2)</f>
        <v>42352.92</v>
      </c>
      <c r="U349" s="23">
        <f>S349+T349</f>
        <v>46284.65</v>
      </c>
      <c r="V349" s="9">
        <f>ROUND(P349 / 1.2, 2)</f>
        <v>49.43</v>
      </c>
      <c r="W349" s="9">
        <f>ROUND(Q349 / 1.2, 2)</f>
        <v>532.5</v>
      </c>
      <c r="X349" s="9">
        <f>ROUND(R349 / 1.2, 2)</f>
        <v>581.92999999999995</v>
      </c>
      <c r="Y349" s="9">
        <f t="shared" si="102"/>
        <v>3276.44</v>
      </c>
      <c r="Z349" s="9">
        <f>ROUND(T349 / 1.2, 2)</f>
        <v>35294.1</v>
      </c>
      <c r="AA349" s="9">
        <f>Y349+Z349</f>
        <v>38570.54</v>
      </c>
      <c r="AD349" s="4">
        <v>303752485</v>
      </c>
      <c r="AE349" s="4">
        <v>19916874</v>
      </c>
      <c r="AG349" s="4" t="s">
        <v>1030</v>
      </c>
      <c r="AH349" s="4" t="s">
        <v>1031</v>
      </c>
      <c r="AI349" s="4" t="s">
        <v>247</v>
      </c>
    </row>
    <row r="350" spans="1:35" ht="36" x14ac:dyDescent="0.35">
      <c r="A350" s="11" t="s">
        <v>1073</v>
      </c>
      <c r="B350" s="11"/>
      <c r="C350" s="31" t="s">
        <v>493</v>
      </c>
      <c r="D350" s="21"/>
      <c r="E350" s="21"/>
      <c r="F350" s="32" t="s">
        <v>81</v>
      </c>
      <c r="G350" s="33">
        <v>0.15</v>
      </c>
      <c r="H350" s="21"/>
      <c r="I350" s="33">
        <v>9.9420000000000002</v>
      </c>
      <c r="J350" s="35">
        <v>88.8</v>
      </c>
      <c r="K350" s="12"/>
      <c r="L350" s="12"/>
      <c r="M350" s="35">
        <f>ROUND(ROUND(J350, 2)*I350, 2)</f>
        <v>882.85</v>
      </c>
      <c r="N350" s="12"/>
      <c r="O350" s="12"/>
      <c r="P350" s="35">
        <v>88.8</v>
      </c>
      <c r="Q350" s="12"/>
      <c r="R350" s="12"/>
      <c r="S350" s="35">
        <f>ROUND(ROUND(P350, 2)*I350, 2)</f>
        <v>882.85</v>
      </c>
      <c r="T350" s="12"/>
      <c r="U350" s="36"/>
      <c r="V350" s="9">
        <f>ROUND(ROUND(P350, 2)/1.2, 2)</f>
        <v>74</v>
      </c>
      <c r="Y350" s="9">
        <f t="shared" si="102"/>
        <v>735.71</v>
      </c>
      <c r="AD350" s="4" t="s">
        <v>1074</v>
      </c>
      <c r="AE350" s="4" t="s">
        <v>1075</v>
      </c>
      <c r="AF350" s="4" t="s">
        <v>496</v>
      </c>
    </row>
    <row r="351" spans="1:35" ht="54" x14ac:dyDescent="0.35">
      <c r="A351" s="11" t="s">
        <v>1076</v>
      </c>
      <c r="B351" s="11"/>
      <c r="C351" s="31" t="s">
        <v>854</v>
      </c>
      <c r="D351" s="21"/>
      <c r="E351" s="21" t="s">
        <v>1049</v>
      </c>
      <c r="F351" s="32" t="s">
        <v>81</v>
      </c>
      <c r="G351" s="33">
        <v>2</v>
      </c>
      <c r="H351" s="21"/>
      <c r="I351" s="33">
        <v>132.56</v>
      </c>
      <c r="J351" s="35">
        <v>23</v>
      </c>
      <c r="K351" s="12"/>
      <c r="L351" s="12"/>
      <c r="M351" s="35">
        <f>ROUND(ROUND(J351, 2)*I351, 2)</f>
        <v>3048.88</v>
      </c>
      <c r="N351" s="12"/>
      <c r="O351" s="12"/>
      <c r="P351" s="35">
        <v>23</v>
      </c>
      <c r="Q351" s="12"/>
      <c r="R351" s="12"/>
      <c r="S351" s="35">
        <f>ROUND(ROUND(P351, 2)*I351, 2)</f>
        <v>3048.88</v>
      </c>
      <c r="T351" s="12"/>
      <c r="U351" s="36"/>
      <c r="V351" s="9">
        <f>ROUND(ROUND(P351, 2)/1.2, 2)</f>
        <v>19.170000000000002</v>
      </c>
      <c r="Y351" s="9">
        <f t="shared" si="102"/>
        <v>2540.73</v>
      </c>
      <c r="AD351" s="4" t="s">
        <v>1077</v>
      </c>
      <c r="AE351" s="4" t="s">
        <v>1078</v>
      </c>
      <c r="AF351" s="4" t="s">
        <v>858</v>
      </c>
    </row>
    <row r="352" spans="1:35" ht="54" x14ac:dyDescent="0.35">
      <c r="A352" s="11" t="s">
        <v>1079</v>
      </c>
      <c r="B352" s="11" t="s">
        <v>1027</v>
      </c>
      <c r="C352" s="20" t="s">
        <v>1028</v>
      </c>
      <c r="D352" s="21"/>
      <c r="E352" s="21" t="s">
        <v>1080</v>
      </c>
      <c r="F352" s="21" t="s">
        <v>56</v>
      </c>
      <c r="G352" s="22">
        <v>1</v>
      </c>
      <c r="H352" s="21"/>
      <c r="I352" s="22">
        <v>66.28</v>
      </c>
      <c r="J352" s="23">
        <f>IFERROR(ROUND(SUM(M353,M354,M355)/I352, 2),0)</f>
        <v>81.25</v>
      </c>
      <c r="K352" s="23">
        <v>639</v>
      </c>
      <c r="L352" s="23">
        <f>J352+ROUND(K352, 2)</f>
        <v>720.25</v>
      </c>
      <c r="M352" s="23">
        <f>ROUND(J352*I352, 2)</f>
        <v>5385.25</v>
      </c>
      <c r="N352" s="23">
        <f>ROUND(I352*ROUND(K352, 2), 2)</f>
        <v>42352.92</v>
      </c>
      <c r="O352" s="23">
        <f>M352+N352</f>
        <v>47738.17</v>
      </c>
      <c r="P352" s="23">
        <f>IFERROR(ROUND(SUM(S353,S354,S355)/I352, 2),0)</f>
        <v>81.25</v>
      </c>
      <c r="Q352" s="23">
        <v>639</v>
      </c>
      <c r="R352" s="23">
        <f>P352+ROUND(Q352, 2)</f>
        <v>720.25</v>
      </c>
      <c r="S352" s="23">
        <f>ROUND(P352*I352, 2)</f>
        <v>5385.25</v>
      </c>
      <c r="T352" s="23">
        <f>ROUND(I352*ROUND(Q352, 2), 2)</f>
        <v>42352.92</v>
      </c>
      <c r="U352" s="23">
        <f>S352+T352</f>
        <v>47738.17</v>
      </c>
      <c r="V352" s="9">
        <f>ROUND(P352 / 1.2, 2)</f>
        <v>67.709999999999994</v>
      </c>
      <c r="W352" s="9">
        <f>ROUND(Q352 / 1.2, 2)</f>
        <v>532.5</v>
      </c>
      <c r="X352" s="9">
        <f>ROUND(R352 / 1.2, 2)</f>
        <v>600.21</v>
      </c>
      <c r="Y352" s="9">
        <f t="shared" si="102"/>
        <v>4487.71</v>
      </c>
      <c r="Z352" s="9">
        <f>ROUND(T352 / 1.2, 2)</f>
        <v>35294.1</v>
      </c>
      <c r="AA352" s="9">
        <f>Y352+Z352</f>
        <v>39781.81</v>
      </c>
      <c r="AD352" s="4">
        <v>303752486</v>
      </c>
      <c r="AE352" s="4">
        <v>19916867</v>
      </c>
      <c r="AG352" s="4" t="s">
        <v>1030</v>
      </c>
      <c r="AH352" s="4" t="s">
        <v>1031</v>
      </c>
      <c r="AI352" s="4" t="s">
        <v>247</v>
      </c>
    </row>
    <row r="353" spans="1:35" ht="36" x14ac:dyDescent="0.35">
      <c r="A353" s="11" t="s">
        <v>1081</v>
      </c>
      <c r="B353" s="11"/>
      <c r="C353" s="31" t="s">
        <v>493</v>
      </c>
      <c r="D353" s="21"/>
      <c r="E353" s="21"/>
      <c r="F353" s="32" t="s">
        <v>81</v>
      </c>
      <c r="G353" s="33">
        <v>0.15</v>
      </c>
      <c r="H353" s="21"/>
      <c r="I353" s="33">
        <v>9.9420000000000002</v>
      </c>
      <c r="J353" s="35">
        <v>88.8</v>
      </c>
      <c r="K353" s="12"/>
      <c r="L353" s="12"/>
      <c r="M353" s="35">
        <f>ROUND(ROUND(J353, 2)*I353, 2)</f>
        <v>882.85</v>
      </c>
      <c r="N353" s="12"/>
      <c r="O353" s="12"/>
      <c r="P353" s="35">
        <v>88.8</v>
      </c>
      <c r="Q353" s="12"/>
      <c r="R353" s="12"/>
      <c r="S353" s="35">
        <f>ROUND(ROUND(P353, 2)*I353, 2)</f>
        <v>882.85</v>
      </c>
      <c r="T353" s="12"/>
      <c r="U353" s="36"/>
      <c r="V353" s="9">
        <f>ROUND(ROUND(P353, 2)/1.2, 2)</f>
        <v>74</v>
      </c>
      <c r="Y353" s="9">
        <f t="shared" si="102"/>
        <v>735.71</v>
      </c>
      <c r="AD353" s="4" t="s">
        <v>1082</v>
      </c>
      <c r="AE353" s="4" t="s">
        <v>1083</v>
      </c>
      <c r="AF353" s="4" t="s">
        <v>496</v>
      </c>
    </row>
    <row r="354" spans="1:35" ht="36" x14ac:dyDescent="0.35">
      <c r="A354" s="11" t="s">
        <v>1084</v>
      </c>
      <c r="B354" s="11"/>
      <c r="C354" s="31" t="s">
        <v>1036</v>
      </c>
      <c r="D354" s="21"/>
      <c r="E354" s="21"/>
      <c r="F354" s="32" t="s">
        <v>103</v>
      </c>
      <c r="G354" s="33">
        <v>0.3</v>
      </c>
      <c r="H354" s="21"/>
      <c r="I354" s="33">
        <v>19.884</v>
      </c>
      <c r="J354" s="35">
        <v>73.099999999999994</v>
      </c>
      <c r="K354" s="12"/>
      <c r="L354" s="12"/>
      <c r="M354" s="35">
        <f>ROUND(ROUND(J354, 2)*I354, 2)</f>
        <v>1453.52</v>
      </c>
      <c r="N354" s="12"/>
      <c r="O354" s="12"/>
      <c r="P354" s="35">
        <v>73.099999999999994</v>
      </c>
      <c r="Q354" s="12"/>
      <c r="R354" s="12"/>
      <c r="S354" s="35">
        <f>ROUND(ROUND(P354, 2)*I354, 2)</f>
        <v>1453.52</v>
      </c>
      <c r="T354" s="12"/>
      <c r="U354" s="36"/>
      <c r="V354" s="9">
        <f>ROUND(ROUND(P354, 2)/1.2, 2)</f>
        <v>60.92</v>
      </c>
      <c r="Y354" s="9">
        <f t="shared" si="102"/>
        <v>1211.27</v>
      </c>
      <c r="AD354" s="4" t="s">
        <v>1085</v>
      </c>
      <c r="AE354" s="4" t="s">
        <v>1086</v>
      </c>
      <c r="AF354" s="4" t="s">
        <v>1039</v>
      </c>
    </row>
    <row r="355" spans="1:35" ht="36" x14ac:dyDescent="0.35">
      <c r="A355" s="11" t="s">
        <v>1087</v>
      </c>
      <c r="B355" s="11"/>
      <c r="C355" s="31" t="s">
        <v>854</v>
      </c>
      <c r="D355" s="21"/>
      <c r="E355" s="21" t="s">
        <v>855</v>
      </c>
      <c r="F355" s="32" t="s">
        <v>81</v>
      </c>
      <c r="G355" s="33">
        <v>2</v>
      </c>
      <c r="H355" s="21"/>
      <c r="I355" s="33">
        <v>132.56</v>
      </c>
      <c r="J355" s="35">
        <v>23</v>
      </c>
      <c r="K355" s="12"/>
      <c r="L355" s="12"/>
      <c r="M355" s="35">
        <f>ROUND(ROUND(J355, 2)*I355, 2)</f>
        <v>3048.88</v>
      </c>
      <c r="N355" s="12"/>
      <c r="O355" s="12"/>
      <c r="P355" s="35">
        <v>23</v>
      </c>
      <c r="Q355" s="12"/>
      <c r="R355" s="12"/>
      <c r="S355" s="35">
        <f>ROUND(ROUND(P355, 2)*I355, 2)</f>
        <v>3048.88</v>
      </c>
      <c r="T355" s="12"/>
      <c r="U355" s="36"/>
      <c r="V355" s="9">
        <f>ROUND(ROUND(P355, 2)/1.2, 2)</f>
        <v>19.170000000000002</v>
      </c>
      <c r="Y355" s="9">
        <f t="shared" si="102"/>
        <v>2540.73</v>
      </c>
      <c r="AD355" s="4" t="s">
        <v>1088</v>
      </c>
      <c r="AE355" s="4" t="s">
        <v>1089</v>
      </c>
      <c r="AF355" s="4" t="s">
        <v>858</v>
      </c>
    </row>
    <row r="356" spans="1:35" ht="36" x14ac:dyDescent="0.35">
      <c r="A356" s="11" t="s">
        <v>1090</v>
      </c>
      <c r="B356" s="11" t="s">
        <v>1027</v>
      </c>
      <c r="C356" s="20" t="s">
        <v>1028</v>
      </c>
      <c r="D356" s="21"/>
      <c r="E356" s="21" t="s">
        <v>1091</v>
      </c>
      <c r="F356" s="21" t="s">
        <v>56</v>
      </c>
      <c r="G356" s="22">
        <v>1</v>
      </c>
      <c r="H356" s="21"/>
      <c r="I356" s="22">
        <v>79.16</v>
      </c>
      <c r="J356" s="23">
        <f>IFERROR(ROUND(SUM(M357,M358)/I356, 2),0)</f>
        <v>59.32</v>
      </c>
      <c r="K356" s="23">
        <v>639</v>
      </c>
      <c r="L356" s="23">
        <f>J356+ROUND(K356, 2)</f>
        <v>698.32</v>
      </c>
      <c r="M356" s="23">
        <f>ROUND(J356*I356, 2)</f>
        <v>4695.7700000000004</v>
      </c>
      <c r="N356" s="23">
        <f>ROUND(I356*ROUND(K356, 2), 2)</f>
        <v>50583.24</v>
      </c>
      <c r="O356" s="23">
        <f>M356+N356</f>
        <v>55279.009999999995</v>
      </c>
      <c r="P356" s="23">
        <f>IFERROR(ROUND(SUM(S357,S358)/I356, 2),0)</f>
        <v>77.94</v>
      </c>
      <c r="Q356" s="23">
        <v>639</v>
      </c>
      <c r="R356" s="23">
        <f>P356+ROUND(Q356, 2)</f>
        <v>716.94</v>
      </c>
      <c r="S356" s="23">
        <f>ROUND(P356*I356, 2)</f>
        <v>6169.73</v>
      </c>
      <c r="T356" s="23">
        <f>ROUND(I356*ROUND(Q356, 2), 2)</f>
        <v>50583.24</v>
      </c>
      <c r="U356" s="23">
        <f>S356+T356</f>
        <v>56752.97</v>
      </c>
      <c r="V356" s="9">
        <f>ROUND(P356 / 1.2, 2)</f>
        <v>64.95</v>
      </c>
      <c r="W356" s="9">
        <f>ROUND(Q356 / 1.2, 2)</f>
        <v>532.5</v>
      </c>
      <c r="X356" s="9">
        <f>ROUND(R356 / 1.2, 2)</f>
        <v>597.45000000000005</v>
      </c>
      <c r="Y356" s="9">
        <f t="shared" si="102"/>
        <v>5141.4399999999996</v>
      </c>
      <c r="Z356" s="9">
        <f>ROUND(T356 / 1.2, 2)</f>
        <v>42152.7</v>
      </c>
      <c r="AA356" s="9">
        <f>Y356+Z356</f>
        <v>47294.14</v>
      </c>
      <c r="AD356" s="4">
        <v>303752487</v>
      </c>
      <c r="AE356" s="4">
        <v>21807244</v>
      </c>
      <c r="AG356" s="4" t="s">
        <v>1030</v>
      </c>
      <c r="AH356" s="4" t="s">
        <v>1031</v>
      </c>
      <c r="AI356" s="4" t="s">
        <v>247</v>
      </c>
    </row>
    <row r="357" spans="1:35" ht="36" x14ac:dyDescent="0.35">
      <c r="A357" s="11" t="s">
        <v>1092</v>
      </c>
      <c r="B357" s="11"/>
      <c r="C357" s="31" t="s">
        <v>493</v>
      </c>
      <c r="D357" s="21"/>
      <c r="E357" s="21"/>
      <c r="F357" s="32" t="s">
        <v>81</v>
      </c>
      <c r="G357" s="33">
        <v>0.15</v>
      </c>
      <c r="H357" s="21"/>
      <c r="I357" s="33">
        <v>11.874000000000001</v>
      </c>
      <c r="J357" s="35">
        <v>88.8</v>
      </c>
      <c r="K357" s="12"/>
      <c r="L357" s="12"/>
      <c r="M357" s="35">
        <f>ROUND(ROUND(J357, 2)*I357, 2)</f>
        <v>1054.4100000000001</v>
      </c>
      <c r="N357" s="12"/>
      <c r="O357" s="12"/>
      <c r="P357" s="35">
        <v>88.8</v>
      </c>
      <c r="Q357" s="12"/>
      <c r="R357" s="12"/>
      <c r="S357" s="35">
        <f>ROUND(ROUND(P357, 2)*I357, 2)</f>
        <v>1054.4100000000001</v>
      </c>
      <c r="T357" s="12"/>
      <c r="U357" s="36"/>
      <c r="V357" s="9">
        <f>ROUND(ROUND(P357, 2)/1.2, 2)</f>
        <v>74</v>
      </c>
      <c r="Y357" s="9">
        <f t="shared" si="102"/>
        <v>878.68</v>
      </c>
      <c r="AD357" s="4" t="s">
        <v>1093</v>
      </c>
      <c r="AE357" s="4" t="s">
        <v>1094</v>
      </c>
      <c r="AF357" s="4" t="s">
        <v>496</v>
      </c>
    </row>
    <row r="358" spans="1:35" ht="18" x14ac:dyDescent="0.35">
      <c r="A358" s="11" t="s">
        <v>1095</v>
      </c>
      <c r="B358" s="11"/>
      <c r="C358" s="31" t="s">
        <v>854</v>
      </c>
      <c r="D358" s="21"/>
      <c r="E358" s="21"/>
      <c r="F358" s="32" t="s">
        <v>81</v>
      </c>
      <c r="G358" s="33">
        <v>2</v>
      </c>
      <c r="H358" s="21"/>
      <c r="I358" s="33">
        <v>158.32</v>
      </c>
      <c r="J358" s="35">
        <v>23</v>
      </c>
      <c r="K358" s="12"/>
      <c r="L358" s="12"/>
      <c r="M358" s="35">
        <f>ROUND(ROUND(J358, 2)*I358, 2)</f>
        <v>3641.36</v>
      </c>
      <c r="N358" s="12"/>
      <c r="O358" s="12"/>
      <c r="P358" s="35">
        <v>32.31</v>
      </c>
      <c r="Q358" s="12"/>
      <c r="R358" s="12"/>
      <c r="S358" s="35">
        <f>ROUND(ROUND(P358, 2)*I358, 2)</f>
        <v>5115.32</v>
      </c>
      <c r="T358" s="12"/>
      <c r="U358" s="36"/>
      <c r="V358" s="9">
        <f>ROUND(ROUND(P358, 2)/1.2, 2)</f>
        <v>26.93</v>
      </c>
      <c r="Y358" s="9">
        <f t="shared" si="102"/>
        <v>4262.7700000000004</v>
      </c>
      <c r="AD358" s="4" t="s">
        <v>1096</v>
      </c>
      <c r="AE358" s="4" t="s">
        <v>1097</v>
      </c>
      <c r="AF358" s="4" t="s">
        <v>858</v>
      </c>
    </row>
    <row r="359" spans="1:35" ht="36" x14ac:dyDescent="0.35">
      <c r="A359" s="11" t="s">
        <v>1098</v>
      </c>
      <c r="B359" s="11" t="s">
        <v>1027</v>
      </c>
      <c r="C359" s="20" t="s">
        <v>1028</v>
      </c>
      <c r="D359" s="21"/>
      <c r="E359" s="21" t="s">
        <v>1099</v>
      </c>
      <c r="F359" s="21" t="s">
        <v>56</v>
      </c>
      <c r="G359" s="22">
        <v>1</v>
      </c>
      <c r="H359" s="21"/>
      <c r="I359" s="22">
        <v>520.01</v>
      </c>
      <c r="J359" s="23">
        <f>IFERROR(ROUND(SUM(M360,M361)/I359, 2),0)</f>
        <v>59.32</v>
      </c>
      <c r="K359" s="23">
        <v>639</v>
      </c>
      <c r="L359" s="23">
        <f>J359+ROUND(K359, 2)</f>
        <v>698.32</v>
      </c>
      <c r="M359" s="23">
        <f>ROUND(J359*I359, 2)</f>
        <v>30846.99</v>
      </c>
      <c r="N359" s="23">
        <f>ROUND(I359*ROUND(K359, 2), 2)</f>
        <v>332286.39</v>
      </c>
      <c r="O359" s="23">
        <f>M359+N359</f>
        <v>363133.38</v>
      </c>
      <c r="P359" s="23">
        <f>IFERROR(ROUND(SUM(S360,S361)/I359, 2),0)</f>
        <v>77.94</v>
      </c>
      <c r="Q359" s="23">
        <v>639</v>
      </c>
      <c r="R359" s="23">
        <f>P359+ROUND(Q359, 2)</f>
        <v>716.94</v>
      </c>
      <c r="S359" s="23">
        <f>ROUND(P359*I359, 2)</f>
        <v>40529.58</v>
      </c>
      <c r="T359" s="23">
        <f>ROUND(I359*ROUND(Q359, 2), 2)</f>
        <v>332286.39</v>
      </c>
      <c r="U359" s="23">
        <f>S359+T359</f>
        <v>372815.97000000003</v>
      </c>
      <c r="V359" s="9">
        <f>ROUND(P359 / 1.2, 2)</f>
        <v>64.95</v>
      </c>
      <c r="W359" s="9">
        <f>ROUND(Q359 / 1.2, 2)</f>
        <v>532.5</v>
      </c>
      <c r="X359" s="9">
        <f>ROUND(R359 / 1.2, 2)</f>
        <v>597.45000000000005</v>
      </c>
      <c r="Y359" s="9">
        <f t="shared" ref="Y359:Y390" si="103">ROUND(S359 / 1.2, 2)</f>
        <v>33774.65</v>
      </c>
      <c r="Z359" s="9">
        <f>ROUND(T359 / 1.2, 2)</f>
        <v>276905.33</v>
      </c>
      <c r="AA359" s="9">
        <f>Y359+Z359</f>
        <v>310679.98000000004</v>
      </c>
      <c r="AD359" s="4">
        <v>303752488</v>
      </c>
      <c r="AE359" s="4">
        <v>21807246</v>
      </c>
      <c r="AG359" s="4" t="s">
        <v>1030</v>
      </c>
      <c r="AH359" s="4" t="s">
        <v>1031</v>
      </c>
      <c r="AI359" s="4" t="s">
        <v>247</v>
      </c>
    </row>
    <row r="360" spans="1:35" ht="36" x14ac:dyDescent="0.35">
      <c r="A360" s="11" t="s">
        <v>1100</v>
      </c>
      <c r="B360" s="11"/>
      <c r="C360" s="31" t="s">
        <v>493</v>
      </c>
      <c r="D360" s="21"/>
      <c r="E360" s="21"/>
      <c r="F360" s="32" t="s">
        <v>81</v>
      </c>
      <c r="G360" s="33">
        <v>0.15</v>
      </c>
      <c r="H360" s="21"/>
      <c r="I360" s="33">
        <v>78.001999999999995</v>
      </c>
      <c r="J360" s="35">
        <v>88.8</v>
      </c>
      <c r="K360" s="12"/>
      <c r="L360" s="12"/>
      <c r="M360" s="35">
        <f>ROUND(ROUND(J360, 2)*I360, 2)</f>
        <v>6926.58</v>
      </c>
      <c r="N360" s="12"/>
      <c r="O360" s="12"/>
      <c r="P360" s="35">
        <v>88.8</v>
      </c>
      <c r="Q360" s="12"/>
      <c r="R360" s="12"/>
      <c r="S360" s="35">
        <f>ROUND(ROUND(P360, 2)*I360, 2)</f>
        <v>6926.58</v>
      </c>
      <c r="T360" s="12"/>
      <c r="U360" s="36"/>
      <c r="V360" s="9">
        <f>ROUND(ROUND(P360, 2)/1.2, 2)</f>
        <v>74</v>
      </c>
      <c r="Y360" s="9">
        <f t="shared" si="103"/>
        <v>5772.15</v>
      </c>
      <c r="AD360" s="4" t="s">
        <v>1101</v>
      </c>
      <c r="AE360" s="4" t="s">
        <v>1102</v>
      </c>
      <c r="AF360" s="4" t="s">
        <v>496</v>
      </c>
    </row>
    <row r="361" spans="1:35" ht="18" x14ac:dyDescent="0.35">
      <c r="A361" s="11" t="s">
        <v>1103</v>
      </c>
      <c r="B361" s="11"/>
      <c r="C361" s="31" t="s">
        <v>854</v>
      </c>
      <c r="D361" s="21"/>
      <c r="E361" s="21"/>
      <c r="F361" s="32" t="s">
        <v>81</v>
      </c>
      <c r="G361" s="33">
        <v>2</v>
      </c>
      <c r="H361" s="21"/>
      <c r="I361" s="33">
        <v>1040.02</v>
      </c>
      <c r="J361" s="35">
        <v>23</v>
      </c>
      <c r="K361" s="12"/>
      <c r="L361" s="12"/>
      <c r="M361" s="35">
        <f>ROUND(ROUND(J361, 2)*I361, 2)</f>
        <v>23920.46</v>
      </c>
      <c r="N361" s="12"/>
      <c r="O361" s="12"/>
      <c r="P361" s="35">
        <v>32.31</v>
      </c>
      <c r="Q361" s="12"/>
      <c r="R361" s="12"/>
      <c r="S361" s="35">
        <f>ROUND(ROUND(P361, 2)*I361, 2)</f>
        <v>33603.050000000003</v>
      </c>
      <c r="T361" s="12"/>
      <c r="U361" s="36"/>
      <c r="V361" s="9">
        <f>ROUND(ROUND(P361, 2)/1.2, 2)</f>
        <v>26.93</v>
      </c>
      <c r="Y361" s="9">
        <f t="shared" si="103"/>
        <v>28002.54</v>
      </c>
      <c r="AD361" s="4" t="s">
        <v>1104</v>
      </c>
      <c r="AE361" s="4" t="s">
        <v>1105</v>
      </c>
      <c r="AF361" s="4" t="s">
        <v>858</v>
      </c>
    </row>
    <row r="362" spans="1:35" ht="54" x14ac:dyDescent="0.35">
      <c r="A362" s="11" t="s">
        <v>1106</v>
      </c>
      <c r="B362" s="11" t="s">
        <v>1027</v>
      </c>
      <c r="C362" s="20" t="s">
        <v>1028</v>
      </c>
      <c r="D362" s="21"/>
      <c r="E362" s="21" t="s">
        <v>1107</v>
      </c>
      <c r="F362" s="21" t="s">
        <v>56</v>
      </c>
      <c r="G362" s="22">
        <v>1</v>
      </c>
      <c r="H362" s="21"/>
      <c r="I362" s="22">
        <v>66.28</v>
      </c>
      <c r="J362" s="23">
        <f>IFERROR(ROUND(SUM(M363,M364)/I362, 2),0)</f>
        <v>31.41</v>
      </c>
      <c r="K362" s="23">
        <v>639</v>
      </c>
      <c r="L362" s="23">
        <f>J362+ROUND(K362, 2)</f>
        <v>670.41</v>
      </c>
      <c r="M362" s="23">
        <f>ROUND(J362*I362, 2)</f>
        <v>2081.85</v>
      </c>
      <c r="N362" s="23">
        <f>ROUND(I362*ROUND(K362, 2), 2)</f>
        <v>42352.92</v>
      </c>
      <c r="O362" s="23">
        <f>M362+N362</f>
        <v>44434.77</v>
      </c>
      <c r="P362" s="23">
        <f>IFERROR(ROUND(SUM(S363,S364)/I362, 2),0)</f>
        <v>31.43</v>
      </c>
      <c r="Q362" s="23">
        <v>639</v>
      </c>
      <c r="R362" s="23">
        <f>P362+ROUND(Q362, 2)</f>
        <v>670.43</v>
      </c>
      <c r="S362" s="23">
        <f>ROUND(P362*I362, 2)</f>
        <v>2083.1799999999998</v>
      </c>
      <c r="T362" s="23">
        <f>ROUND(I362*ROUND(Q362, 2), 2)</f>
        <v>42352.92</v>
      </c>
      <c r="U362" s="23">
        <f>S362+T362</f>
        <v>44436.1</v>
      </c>
      <c r="V362" s="9">
        <f>ROUND(P362 / 1.2, 2)</f>
        <v>26.19</v>
      </c>
      <c r="W362" s="9">
        <f>ROUND(Q362 / 1.2, 2)</f>
        <v>532.5</v>
      </c>
      <c r="X362" s="9">
        <f>ROUND(R362 / 1.2, 2)</f>
        <v>558.69000000000005</v>
      </c>
      <c r="Y362" s="9">
        <f t="shared" si="103"/>
        <v>1735.98</v>
      </c>
      <c r="Z362" s="9">
        <f>ROUND(T362 / 1.2, 2)</f>
        <v>35294.1</v>
      </c>
      <c r="AA362" s="9">
        <f>Y362+Z362</f>
        <v>37030.080000000002</v>
      </c>
      <c r="AD362" s="4">
        <v>303752489</v>
      </c>
      <c r="AE362" s="4">
        <v>21807239</v>
      </c>
      <c r="AG362" s="4" t="s">
        <v>1030</v>
      </c>
      <c r="AH362" s="4" t="s">
        <v>1031</v>
      </c>
      <c r="AI362" s="4" t="s">
        <v>247</v>
      </c>
    </row>
    <row r="363" spans="1:35" ht="36" x14ac:dyDescent="0.35">
      <c r="A363" s="11" t="s">
        <v>1108</v>
      </c>
      <c r="B363" s="11"/>
      <c r="C363" s="31" t="s">
        <v>493</v>
      </c>
      <c r="D363" s="21"/>
      <c r="E363" s="21"/>
      <c r="F363" s="32" t="s">
        <v>81</v>
      </c>
      <c r="G363" s="33">
        <v>0.15</v>
      </c>
      <c r="H363" s="21"/>
      <c r="I363" s="33">
        <v>9.9420000000000002</v>
      </c>
      <c r="J363" s="35">
        <v>88.8</v>
      </c>
      <c r="K363" s="12"/>
      <c r="L363" s="12"/>
      <c r="M363" s="35">
        <f>ROUND(ROUND(J363, 2)*I363, 2)</f>
        <v>882.85</v>
      </c>
      <c r="N363" s="12"/>
      <c r="O363" s="12"/>
      <c r="P363" s="35">
        <v>88.8</v>
      </c>
      <c r="Q363" s="12"/>
      <c r="R363" s="12"/>
      <c r="S363" s="35">
        <f>ROUND(ROUND(P363, 2)*I363, 2)</f>
        <v>882.85</v>
      </c>
      <c r="T363" s="12"/>
      <c r="U363" s="36"/>
      <c r="V363" s="9">
        <f>ROUND(ROUND(P363, 2)/1.2, 2)</f>
        <v>74</v>
      </c>
      <c r="Y363" s="9">
        <f t="shared" si="103"/>
        <v>735.71</v>
      </c>
      <c r="AD363" s="4" t="s">
        <v>1109</v>
      </c>
      <c r="AE363" s="4" t="s">
        <v>1110</v>
      </c>
      <c r="AF363" s="4" t="s">
        <v>496</v>
      </c>
    </row>
    <row r="364" spans="1:35" ht="36" x14ac:dyDescent="0.35">
      <c r="A364" s="11" t="s">
        <v>1111</v>
      </c>
      <c r="B364" s="11"/>
      <c r="C364" s="37" t="s">
        <v>914</v>
      </c>
      <c r="D364" s="21"/>
      <c r="E364" s="21"/>
      <c r="F364" s="32" t="s">
        <v>81</v>
      </c>
      <c r="G364" s="33">
        <v>1.5</v>
      </c>
      <c r="H364" s="21"/>
      <c r="I364" s="33">
        <v>99.42</v>
      </c>
      <c r="J364" s="35">
        <v>12.06</v>
      </c>
      <c r="K364" s="12"/>
      <c r="L364" s="12"/>
      <c r="M364" s="35">
        <f>ROUND(ROUND(J364, 2)*I364, 2)</f>
        <v>1199.01</v>
      </c>
      <c r="N364" s="12"/>
      <c r="O364" s="12"/>
      <c r="P364" s="35">
        <v>12.07</v>
      </c>
      <c r="Q364" s="12"/>
      <c r="R364" s="12"/>
      <c r="S364" s="35">
        <f>ROUND(ROUND(P364, 2)*I364, 2)</f>
        <v>1200</v>
      </c>
      <c r="T364" s="12"/>
      <c r="U364" s="36"/>
      <c r="V364" s="9">
        <f>ROUND(ROUND(P364, 2)/1.2, 2)</f>
        <v>10.06</v>
      </c>
      <c r="Y364" s="9">
        <f t="shared" si="103"/>
        <v>1000</v>
      </c>
      <c r="AD364" s="4" t="s">
        <v>1112</v>
      </c>
      <c r="AE364" s="4" t="s">
        <v>1113</v>
      </c>
      <c r="AF364" s="4" t="s">
        <v>1114</v>
      </c>
    </row>
    <row r="365" spans="1:35" ht="36" x14ac:dyDescent="0.35">
      <c r="A365" s="11" t="s">
        <v>1115</v>
      </c>
      <c r="B365" s="11" t="s">
        <v>1116</v>
      </c>
      <c r="C365" s="20" t="s">
        <v>1117</v>
      </c>
      <c r="D365" s="21"/>
      <c r="E365" s="21" t="s">
        <v>1029</v>
      </c>
      <c r="F365" s="21" t="s">
        <v>56</v>
      </c>
      <c r="G365" s="22">
        <v>1</v>
      </c>
      <c r="H365" s="21"/>
      <c r="I365" s="22">
        <v>216.42</v>
      </c>
      <c r="J365" s="23">
        <f>IFERROR(ROUND(SUM(M366,M367,M368)/I365, 2),0)</f>
        <v>81.25</v>
      </c>
      <c r="K365" s="23">
        <v>508</v>
      </c>
      <c r="L365" s="23">
        <f>J365+ROUND(K365, 2)</f>
        <v>589.25</v>
      </c>
      <c r="M365" s="23">
        <f>ROUND(J365*I365, 2)</f>
        <v>17584.13</v>
      </c>
      <c r="N365" s="23">
        <f>ROUND(I365*ROUND(K365, 2), 2)</f>
        <v>109941.36</v>
      </c>
      <c r="O365" s="23">
        <f>M365+N365</f>
        <v>127525.49</v>
      </c>
      <c r="P365" s="23">
        <f>IFERROR(ROUND(SUM(S366,S367,S368)/I365, 2),0)</f>
        <v>81.25</v>
      </c>
      <c r="Q365" s="23">
        <v>508</v>
      </c>
      <c r="R365" s="23">
        <f>P365+ROUND(Q365, 2)</f>
        <v>589.25</v>
      </c>
      <c r="S365" s="23">
        <f>ROUND(P365*I365, 2)</f>
        <v>17584.13</v>
      </c>
      <c r="T365" s="23">
        <f>ROUND(I365*ROUND(Q365, 2), 2)</f>
        <v>109941.36</v>
      </c>
      <c r="U365" s="23">
        <f>S365+T365</f>
        <v>127525.49</v>
      </c>
      <c r="V365" s="9">
        <f>ROUND(P365 / 1.2, 2)</f>
        <v>67.709999999999994</v>
      </c>
      <c r="W365" s="9">
        <f>ROUND(Q365 / 1.2, 2)</f>
        <v>423.33</v>
      </c>
      <c r="X365" s="9">
        <f>ROUND(R365 / 1.2, 2)</f>
        <v>491.04</v>
      </c>
      <c r="Y365" s="9">
        <f t="shared" si="103"/>
        <v>14653.44</v>
      </c>
      <c r="Z365" s="9">
        <f>ROUND(T365 / 1.2, 2)</f>
        <v>91617.8</v>
      </c>
      <c r="AA365" s="9">
        <f>Y365+Z365</f>
        <v>106271.24</v>
      </c>
      <c r="AD365" s="4">
        <v>303752422</v>
      </c>
      <c r="AE365" s="4">
        <v>19916866</v>
      </c>
      <c r="AG365" s="4" t="s">
        <v>1118</v>
      </c>
      <c r="AH365" s="4" t="s">
        <v>1119</v>
      </c>
      <c r="AI365" s="4" t="s">
        <v>247</v>
      </c>
    </row>
    <row r="366" spans="1:35" ht="36" x14ac:dyDescent="0.35">
      <c r="A366" s="11" t="s">
        <v>1120</v>
      </c>
      <c r="B366" s="11"/>
      <c r="C366" s="31" t="s">
        <v>854</v>
      </c>
      <c r="D366" s="21"/>
      <c r="E366" s="21" t="s">
        <v>855</v>
      </c>
      <c r="F366" s="32" t="s">
        <v>81</v>
      </c>
      <c r="G366" s="33">
        <v>2</v>
      </c>
      <c r="H366" s="21"/>
      <c r="I366" s="33">
        <v>432.84</v>
      </c>
      <c r="J366" s="35">
        <v>23</v>
      </c>
      <c r="K366" s="12"/>
      <c r="L366" s="12"/>
      <c r="M366" s="35">
        <f>ROUND(ROUND(J366, 2)*I366, 2)</f>
        <v>9955.32</v>
      </c>
      <c r="N366" s="12"/>
      <c r="O366" s="12"/>
      <c r="P366" s="35">
        <v>23</v>
      </c>
      <c r="Q366" s="12"/>
      <c r="R366" s="12"/>
      <c r="S366" s="35">
        <f>ROUND(ROUND(P366, 2)*I366, 2)</f>
        <v>9955.32</v>
      </c>
      <c r="T366" s="12"/>
      <c r="U366" s="36"/>
      <c r="V366" s="9">
        <f>ROUND(ROUND(P366, 2)/1.2, 2)</f>
        <v>19.170000000000002</v>
      </c>
      <c r="Y366" s="9">
        <f t="shared" si="103"/>
        <v>8296.1</v>
      </c>
      <c r="AD366" s="4" t="s">
        <v>1121</v>
      </c>
      <c r="AE366" s="4" t="s">
        <v>1122</v>
      </c>
      <c r="AF366" s="4" t="s">
        <v>858</v>
      </c>
    </row>
    <row r="367" spans="1:35" ht="18" x14ac:dyDescent="0.35">
      <c r="A367" s="11" t="s">
        <v>1123</v>
      </c>
      <c r="B367" s="11"/>
      <c r="C367" s="31" t="s">
        <v>860</v>
      </c>
      <c r="D367" s="21"/>
      <c r="E367" s="21"/>
      <c r="F367" s="32" t="s">
        <v>103</v>
      </c>
      <c r="G367" s="33">
        <v>0.3</v>
      </c>
      <c r="H367" s="21"/>
      <c r="I367" s="33">
        <v>64.926000000000002</v>
      </c>
      <c r="J367" s="35">
        <v>73.099999999999994</v>
      </c>
      <c r="K367" s="12"/>
      <c r="L367" s="12"/>
      <c r="M367" s="35">
        <f>ROUND(ROUND(J367, 2)*I367, 2)</f>
        <v>4746.09</v>
      </c>
      <c r="N367" s="12"/>
      <c r="O367" s="12"/>
      <c r="P367" s="35">
        <v>73.099999999999994</v>
      </c>
      <c r="Q367" s="12"/>
      <c r="R367" s="12"/>
      <c r="S367" s="35">
        <f>ROUND(ROUND(P367, 2)*I367, 2)</f>
        <v>4746.09</v>
      </c>
      <c r="T367" s="12"/>
      <c r="U367" s="36"/>
      <c r="V367" s="9">
        <f>ROUND(ROUND(P367, 2)/1.2, 2)</f>
        <v>60.92</v>
      </c>
      <c r="Y367" s="9">
        <f t="shared" si="103"/>
        <v>3955.08</v>
      </c>
      <c r="AD367" s="4" t="s">
        <v>1124</v>
      </c>
      <c r="AE367" s="4" t="s">
        <v>1125</v>
      </c>
      <c r="AF367" s="4" t="s">
        <v>863</v>
      </c>
    </row>
    <row r="368" spans="1:35" ht="36" x14ac:dyDescent="0.35">
      <c r="A368" s="11" t="s">
        <v>1126</v>
      </c>
      <c r="B368" s="11"/>
      <c r="C368" s="31" t="s">
        <v>493</v>
      </c>
      <c r="D368" s="21"/>
      <c r="E368" s="21"/>
      <c r="F368" s="32" t="s">
        <v>81</v>
      </c>
      <c r="G368" s="33">
        <v>0.15</v>
      </c>
      <c r="H368" s="21"/>
      <c r="I368" s="33">
        <v>32.463000000000001</v>
      </c>
      <c r="J368" s="35">
        <v>88.8</v>
      </c>
      <c r="K368" s="12"/>
      <c r="L368" s="12"/>
      <c r="M368" s="35">
        <f>ROUND(ROUND(J368, 2)*I368, 2)</f>
        <v>2882.71</v>
      </c>
      <c r="N368" s="12"/>
      <c r="O368" s="12"/>
      <c r="P368" s="35">
        <v>88.8</v>
      </c>
      <c r="Q368" s="12"/>
      <c r="R368" s="12"/>
      <c r="S368" s="35">
        <f>ROUND(ROUND(P368, 2)*I368, 2)</f>
        <v>2882.71</v>
      </c>
      <c r="T368" s="12"/>
      <c r="U368" s="36"/>
      <c r="V368" s="9">
        <f>ROUND(ROUND(P368, 2)/1.2, 2)</f>
        <v>74</v>
      </c>
      <c r="Y368" s="9">
        <f t="shared" si="103"/>
        <v>2402.2600000000002</v>
      </c>
      <c r="AD368" s="4" t="s">
        <v>1127</v>
      </c>
      <c r="AE368" s="4" t="s">
        <v>1128</v>
      </c>
      <c r="AF368" s="4" t="s">
        <v>496</v>
      </c>
    </row>
    <row r="369" spans="1:35" ht="36" x14ac:dyDescent="0.35">
      <c r="A369" s="11" t="s">
        <v>1129</v>
      </c>
      <c r="B369" s="11" t="s">
        <v>1116</v>
      </c>
      <c r="C369" s="20" t="s">
        <v>1117</v>
      </c>
      <c r="D369" s="21"/>
      <c r="E369" s="21" t="s">
        <v>1044</v>
      </c>
      <c r="F369" s="21" t="s">
        <v>56</v>
      </c>
      <c r="G369" s="22">
        <v>1</v>
      </c>
      <c r="H369" s="21"/>
      <c r="I369" s="22">
        <v>216.42</v>
      </c>
      <c r="J369" s="23">
        <f>IFERROR(ROUND(SUM(M370,M371)/I369, 2),0)</f>
        <v>59.32</v>
      </c>
      <c r="K369" s="23">
        <v>508</v>
      </c>
      <c r="L369" s="23">
        <f>J369+ROUND(K369, 2)</f>
        <v>567.32000000000005</v>
      </c>
      <c r="M369" s="23">
        <f>ROUND(J369*I369, 2)</f>
        <v>12838.03</v>
      </c>
      <c r="N369" s="23">
        <f>ROUND(I369*ROUND(K369, 2), 2)</f>
        <v>109941.36</v>
      </c>
      <c r="O369" s="23">
        <f>M369+N369</f>
        <v>122779.39</v>
      </c>
      <c r="P369" s="23">
        <f>IFERROR(ROUND(SUM(S370,S371)/I369, 2),0)</f>
        <v>59.32</v>
      </c>
      <c r="Q369" s="23">
        <v>508</v>
      </c>
      <c r="R369" s="23">
        <f>P369+ROUND(Q369, 2)</f>
        <v>567.32000000000005</v>
      </c>
      <c r="S369" s="23">
        <f>ROUND(P369*I369, 2)</f>
        <v>12838.03</v>
      </c>
      <c r="T369" s="23">
        <f>ROUND(I369*ROUND(Q369, 2), 2)</f>
        <v>109941.36</v>
      </c>
      <c r="U369" s="23">
        <f>S369+T369</f>
        <v>122779.39</v>
      </c>
      <c r="V369" s="9">
        <f>ROUND(P369 / 1.2, 2)</f>
        <v>49.43</v>
      </c>
      <c r="W369" s="9">
        <f>ROUND(Q369 / 1.2, 2)</f>
        <v>423.33</v>
      </c>
      <c r="X369" s="9">
        <f>ROUND(R369 / 1.2, 2)</f>
        <v>472.77</v>
      </c>
      <c r="Y369" s="9">
        <f t="shared" si="103"/>
        <v>10698.36</v>
      </c>
      <c r="Z369" s="9">
        <f>ROUND(T369 / 1.2, 2)</f>
        <v>91617.8</v>
      </c>
      <c r="AA369" s="9">
        <f>Y369+Z369</f>
        <v>102316.16</v>
      </c>
      <c r="AD369" s="4">
        <v>303752490</v>
      </c>
      <c r="AE369" s="4">
        <v>19916873</v>
      </c>
      <c r="AG369" s="4" t="s">
        <v>1118</v>
      </c>
      <c r="AH369" s="4" t="s">
        <v>1119</v>
      </c>
      <c r="AI369" s="4" t="s">
        <v>247</v>
      </c>
    </row>
    <row r="370" spans="1:35" ht="36" x14ac:dyDescent="0.35">
      <c r="A370" s="11" t="s">
        <v>1130</v>
      </c>
      <c r="B370" s="11"/>
      <c r="C370" s="31" t="s">
        <v>493</v>
      </c>
      <c r="D370" s="21"/>
      <c r="E370" s="21"/>
      <c r="F370" s="32" t="s">
        <v>81</v>
      </c>
      <c r="G370" s="33">
        <v>0.15</v>
      </c>
      <c r="H370" s="21"/>
      <c r="I370" s="33">
        <v>32.463000000000001</v>
      </c>
      <c r="J370" s="35">
        <v>88.8</v>
      </c>
      <c r="K370" s="12"/>
      <c r="L370" s="12"/>
      <c r="M370" s="35">
        <f>ROUND(ROUND(J370, 2)*I370, 2)</f>
        <v>2882.71</v>
      </c>
      <c r="N370" s="12"/>
      <c r="O370" s="12"/>
      <c r="P370" s="35">
        <v>88.8</v>
      </c>
      <c r="Q370" s="12"/>
      <c r="R370" s="12"/>
      <c r="S370" s="35">
        <f>ROUND(ROUND(P370, 2)*I370, 2)</f>
        <v>2882.71</v>
      </c>
      <c r="T370" s="12"/>
      <c r="U370" s="36"/>
      <c r="V370" s="9">
        <f>ROUND(ROUND(P370, 2)/1.2, 2)</f>
        <v>74</v>
      </c>
      <c r="Y370" s="9">
        <f t="shared" si="103"/>
        <v>2402.2600000000002</v>
      </c>
      <c r="AD370" s="4" t="s">
        <v>1131</v>
      </c>
      <c r="AE370" s="4" t="s">
        <v>1132</v>
      </c>
      <c r="AF370" s="4" t="s">
        <v>496</v>
      </c>
    </row>
    <row r="371" spans="1:35" ht="54" x14ac:dyDescent="0.35">
      <c r="A371" s="11" t="s">
        <v>1133</v>
      </c>
      <c r="B371" s="11"/>
      <c r="C371" s="31" t="s">
        <v>854</v>
      </c>
      <c r="D371" s="21"/>
      <c r="E371" s="21" t="s">
        <v>1049</v>
      </c>
      <c r="F371" s="32" t="s">
        <v>81</v>
      </c>
      <c r="G371" s="33">
        <v>2</v>
      </c>
      <c r="H371" s="21"/>
      <c r="I371" s="33">
        <v>432.84</v>
      </c>
      <c r="J371" s="35">
        <v>23</v>
      </c>
      <c r="K371" s="12"/>
      <c r="L371" s="12"/>
      <c r="M371" s="35">
        <f>ROUND(ROUND(J371, 2)*I371, 2)</f>
        <v>9955.32</v>
      </c>
      <c r="N371" s="12"/>
      <c r="O371" s="12"/>
      <c r="P371" s="35">
        <v>23</v>
      </c>
      <c r="Q371" s="12"/>
      <c r="R371" s="12"/>
      <c r="S371" s="35">
        <f>ROUND(ROUND(P371, 2)*I371, 2)</f>
        <v>9955.32</v>
      </c>
      <c r="T371" s="12"/>
      <c r="U371" s="36"/>
      <c r="V371" s="9">
        <f>ROUND(ROUND(P371, 2)/1.2, 2)</f>
        <v>19.170000000000002</v>
      </c>
      <c r="Y371" s="9">
        <f t="shared" si="103"/>
        <v>8296.1</v>
      </c>
      <c r="AD371" s="4" t="s">
        <v>1134</v>
      </c>
      <c r="AE371" s="4" t="s">
        <v>1135</v>
      </c>
      <c r="AF371" s="4" t="s">
        <v>858</v>
      </c>
    </row>
    <row r="372" spans="1:35" ht="54" x14ac:dyDescent="0.35">
      <c r="A372" s="11" t="s">
        <v>1136</v>
      </c>
      <c r="B372" s="11" t="s">
        <v>1116</v>
      </c>
      <c r="C372" s="20" t="s">
        <v>1117</v>
      </c>
      <c r="D372" s="21"/>
      <c r="E372" s="21" t="s">
        <v>1072</v>
      </c>
      <c r="F372" s="21" t="s">
        <v>56</v>
      </c>
      <c r="G372" s="22">
        <v>1</v>
      </c>
      <c r="H372" s="21"/>
      <c r="I372" s="22">
        <v>1035.18</v>
      </c>
      <c r="J372" s="23">
        <f>IFERROR(ROUND(SUM(M373,M374)/I372, 2),0)</f>
        <v>59.32</v>
      </c>
      <c r="K372" s="23">
        <v>508</v>
      </c>
      <c r="L372" s="23">
        <f>J372+ROUND(K372, 2)</f>
        <v>567.32000000000005</v>
      </c>
      <c r="M372" s="23">
        <f>ROUND(J372*I372, 2)</f>
        <v>61406.879999999997</v>
      </c>
      <c r="N372" s="23">
        <f>ROUND(I372*ROUND(K372, 2), 2)</f>
        <v>525871.43999999994</v>
      </c>
      <c r="O372" s="23">
        <f>M372+N372</f>
        <v>587278.31999999995</v>
      </c>
      <c r="P372" s="23">
        <f>IFERROR(ROUND(SUM(S373,S374)/I372, 2),0)</f>
        <v>59.32</v>
      </c>
      <c r="Q372" s="23">
        <v>508</v>
      </c>
      <c r="R372" s="23">
        <f>P372+ROUND(Q372, 2)</f>
        <v>567.32000000000005</v>
      </c>
      <c r="S372" s="23">
        <f>ROUND(P372*I372, 2)</f>
        <v>61406.879999999997</v>
      </c>
      <c r="T372" s="23">
        <f>ROUND(I372*ROUND(Q372, 2), 2)</f>
        <v>525871.43999999994</v>
      </c>
      <c r="U372" s="23">
        <f>S372+T372</f>
        <v>587278.31999999995</v>
      </c>
      <c r="V372" s="9">
        <f>ROUND(P372 / 1.2, 2)</f>
        <v>49.43</v>
      </c>
      <c r="W372" s="9">
        <f>ROUND(Q372 / 1.2, 2)</f>
        <v>423.33</v>
      </c>
      <c r="X372" s="9">
        <f>ROUND(R372 / 1.2, 2)</f>
        <v>472.77</v>
      </c>
      <c r="Y372" s="9">
        <f t="shared" si="103"/>
        <v>51172.4</v>
      </c>
      <c r="Z372" s="9">
        <f>ROUND(T372 / 1.2, 2)</f>
        <v>438226.2</v>
      </c>
      <c r="AA372" s="9">
        <f>Y372+Z372</f>
        <v>489398.60000000003</v>
      </c>
      <c r="AD372" s="4">
        <v>303752491</v>
      </c>
      <c r="AE372" s="4">
        <v>19916875</v>
      </c>
      <c r="AG372" s="4" t="s">
        <v>1118</v>
      </c>
      <c r="AH372" s="4" t="s">
        <v>1119</v>
      </c>
      <c r="AI372" s="4" t="s">
        <v>247</v>
      </c>
    </row>
    <row r="373" spans="1:35" ht="36" x14ac:dyDescent="0.35">
      <c r="A373" s="11" t="s">
        <v>1137</v>
      </c>
      <c r="B373" s="11"/>
      <c r="C373" s="31" t="s">
        <v>493</v>
      </c>
      <c r="D373" s="21"/>
      <c r="E373" s="21"/>
      <c r="F373" s="32" t="s">
        <v>81</v>
      </c>
      <c r="G373" s="33">
        <v>0.15</v>
      </c>
      <c r="H373" s="21"/>
      <c r="I373" s="33">
        <v>155.27699999999999</v>
      </c>
      <c r="J373" s="35">
        <v>88.8</v>
      </c>
      <c r="K373" s="12"/>
      <c r="L373" s="12"/>
      <c r="M373" s="35">
        <f>ROUND(ROUND(J373, 2)*I373, 2)</f>
        <v>13788.6</v>
      </c>
      <c r="N373" s="12"/>
      <c r="O373" s="12"/>
      <c r="P373" s="35">
        <v>88.8</v>
      </c>
      <c r="Q373" s="12"/>
      <c r="R373" s="12"/>
      <c r="S373" s="35">
        <f>ROUND(ROUND(P373, 2)*I373, 2)</f>
        <v>13788.6</v>
      </c>
      <c r="T373" s="12"/>
      <c r="U373" s="36"/>
      <c r="V373" s="9">
        <f>ROUND(ROUND(P373, 2)/1.2, 2)</f>
        <v>74</v>
      </c>
      <c r="Y373" s="9">
        <f t="shared" si="103"/>
        <v>11490.5</v>
      </c>
      <c r="AD373" s="4" t="s">
        <v>1138</v>
      </c>
      <c r="AE373" s="4" t="s">
        <v>1139</v>
      </c>
      <c r="AF373" s="4" t="s">
        <v>496</v>
      </c>
    </row>
    <row r="374" spans="1:35" ht="54" x14ac:dyDescent="0.35">
      <c r="A374" s="11" t="s">
        <v>1140</v>
      </c>
      <c r="B374" s="11"/>
      <c r="C374" s="31" t="s">
        <v>854</v>
      </c>
      <c r="D374" s="21"/>
      <c r="E374" s="21" t="s">
        <v>1049</v>
      </c>
      <c r="F374" s="32" t="s">
        <v>81</v>
      </c>
      <c r="G374" s="33">
        <v>2</v>
      </c>
      <c r="H374" s="21"/>
      <c r="I374" s="33">
        <v>2070.36</v>
      </c>
      <c r="J374" s="35">
        <v>23</v>
      </c>
      <c r="K374" s="12"/>
      <c r="L374" s="12"/>
      <c r="M374" s="35">
        <f>ROUND(ROUND(J374, 2)*I374, 2)</f>
        <v>47618.28</v>
      </c>
      <c r="N374" s="12"/>
      <c r="O374" s="12"/>
      <c r="P374" s="35">
        <v>23</v>
      </c>
      <c r="Q374" s="12"/>
      <c r="R374" s="12"/>
      <c r="S374" s="35">
        <f>ROUND(ROUND(P374, 2)*I374, 2)</f>
        <v>47618.28</v>
      </c>
      <c r="T374" s="12"/>
      <c r="U374" s="36"/>
      <c r="V374" s="9">
        <f>ROUND(ROUND(P374, 2)/1.2, 2)</f>
        <v>19.170000000000002</v>
      </c>
      <c r="Y374" s="9">
        <f t="shared" si="103"/>
        <v>39681.9</v>
      </c>
      <c r="AD374" s="4" t="s">
        <v>1141</v>
      </c>
      <c r="AE374" s="4" t="s">
        <v>1142</v>
      </c>
      <c r="AF374" s="4" t="s">
        <v>858</v>
      </c>
    </row>
    <row r="375" spans="1:35" ht="54" x14ac:dyDescent="0.35">
      <c r="A375" s="11" t="s">
        <v>1143</v>
      </c>
      <c r="B375" s="11" t="s">
        <v>1116</v>
      </c>
      <c r="C375" s="20" t="s">
        <v>1117</v>
      </c>
      <c r="D375" s="21"/>
      <c r="E375" s="21" t="s">
        <v>1080</v>
      </c>
      <c r="F375" s="21" t="s">
        <v>56</v>
      </c>
      <c r="G375" s="22">
        <v>1</v>
      </c>
      <c r="H375" s="21"/>
      <c r="I375" s="22">
        <v>1035.18</v>
      </c>
      <c r="J375" s="23">
        <f>IFERROR(ROUND(SUM(M376,M377,M378)/I375, 2),0)</f>
        <v>81.25</v>
      </c>
      <c r="K375" s="23">
        <v>508</v>
      </c>
      <c r="L375" s="23">
        <f>J375+ROUND(K375, 2)</f>
        <v>589.25</v>
      </c>
      <c r="M375" s="23">
        <f>ROUND(J375*I375, 2)</f>
        <v>84108.38</v>
      </c>
      <c r="N375" s="23">
        <f>ROUND(I375*ROUND(K375, 2), 2)</f>
        <v>525871.43999999994</v>
      </c>
      <c r="O375" s="23">
        <f>M375+N375</f>
        <v>609979.81999999995</v>
      </c>
      <c r="P375" s="23">
        <f>IFERROR(ROUND(SUM(S376,S377,S378)/I375, 2),0)</f>
        <v>81.25</v>
      </c>
      <c r="Q375" s="23">
        <v>508</v>
      </c>
      <c r="R375" s="23">
        <f>P375+ROUND(Q375, 2)</f>
        <v>589.25</v>
      </c>
      <c r="S375" s="23">
        <f>ROUND(P375*I375, 2)</f>
        <v>84108.38</v>
      </c>
      <c r="T375" s="23">
        <f>ROUND(I375*ROUND(Q375, 2), 2)</f>
        <v>525871.43999999994</v>
      </c>
      <c r="U375" s="23">
        <f>S375+T375</f>
        <v>609979.81999999995</v>
      </c>
      <c r="V375" s="9">
        <f>ROUND(P375 / 1.2, 2)</f>
        <v>67.709999999999994</v>
      </c>
      <c r="W375" s="9">
        <f>ROUND(Q375 / 1.2, 2)</f>
        <v>423.33</v>
      </c>
      <c r="X375" s="9">
        <f>ROUND(R375 / 1.2, 2)</f>
        <v>491.04</v>
      </c>
      <c r="Y375" s="9">
        <f t="shared" si="103"/>
        <v>70090.320000000007</v>
      </c>
      <c r="Z375" s="9">
        <f>ROUND(T375 / 1.2, 2)</f>
        <v>438226.2</v>
      </c>
      <c r="AA375" s="9">
        <f>Y375+Z375</f>
        <v>508316.52</v>
      </c>
      <c r="AD375" s="4">
        <v>303752492</v>
      </c>
      <c r="AE375" s="4">
        <v>19916868</v>
      </c>
      <c r="AG375" s="4" t="s">
        <v>1118</v>
      </c>
      <c r="AH375" s="4" t="s">
        <v>1119</v>
      </c>
      <c r="AI375" s="4" t="s">
        <v>247</v>
      </c>
    </row>
    <row r="376" spans="1:35" ht="36" x14ac:dyDescent="0.35">
      <c r="A376" s="11" t="s">
        <v>1144</v>
      </c>
      <c r="B376" s="11"/>
      <c r="C376" s="31" t="s">
        <v>493</v>
      </c>
      <c r="D376" s="21"/>
      <c r="E376" s="21"/>
      <c r="F376" s="32" t="s">
        <v>81</v>
      </c>
      <c r="G376" s="33">
        <v>0.15</v>
      </c>
      <c r="H376" s="21"/>
      <c r="I376" s="33">
        <v>155.27699999999999</v>
      </c>
      <c r="J376" s="35">
        <v>88.8</v>
      </c>
      <c r="K376" s="12"/>
      <c r="L376" s="12"/>
      <c r="M376" s="35">
        <f>ROUND(ROUND(J376, 2)*I376, 2)</f>
        <v>13788.6</v>
      </c>
      <c r="N376" s="12"/>
      <c r="O376" s="12"/>
      <c r="P376" s="35">
        <v>88.8</v>
      </c>
      <c r="Q376" s="12"/>
      <c r="R376" s="12"/>
      <c r="S376" s="35">
        <f>ROUND(ROUND(P376, 2)*I376, 2)</f>
        <v>13788.6</v>
      </c>
      <c r="T376" s="12"/>
      <c r="U376" s="36"/>
      <c r="V376" s="9">
        <f>ROUND(ROUND(P376, 2)/1.2, 2)</f>
        <v>74</v>
      </c>
      <c r="Y376" s="9">
        <f t="shared" si="103"/>
        <v>11490.5</v>
      </c>
      <c r="AD376" s="4" t="s">
        <v>1145</v>
      </c>
      <c r="AE376" s="4" t="s">
        <v>1146</v>
      </c>
      <c r="AF376" s="4" t="s">
        <v>496</v>
      </c>
    </row>
    <row r="377" spans="1:35" ht="18" x14ac:dyDescent="0.35">
      <c r="A377" s="11" t="s">
        <v>1147</v>
      </c>
      <c r="B377" s="11"/>
      <c r="C377" s="31" t="s">
        <v>860</v>
      </c>
      <c r="D377" s="21"/>
      <c r="E377" s="21"/>
      <c r="F377" s="32" t="s">
        <v>103</v>
      </c>
      <c r="G377" s="33">
        <v>0.3</v>
      </c>
      <c r="H377" s="21"/>
      <c r="I377" s="33">
        <v>310.55399999999997</v>
      </c>
      <c r="J377" s="35">
        <v>73.099999999999994</v>
      </c>
      <c r="K377" s="12"/>
      <c r="L377" s="12"/>
      <c r="M377" s="35">
        <f>ROUND(ROUND(J377, 2)*I377, 2)</f>
        <v>22701.5</v>
      </c>
      <c r="N377" s="12"/>
      <c r="O377" s="12"/>
      <c r="P377" s="35">
        <v>73.099999999999994</v>
      </c>
      <c r="Q377" s="12"/>
      <c r="R377" s="12"/>
      <c r="S377" s="35">
        <f>ROUND(ROUND(P377, 2)*I377, 2)</f>
        <v>22701.5</v>
      </c>
      <c r="T377" s="12"/>
      <c r="U377" s="36"/>
      <c r="V377" s="9">
        <f>ROUND(ROUND(P377, 2)/1.2, 2)</f>
        <v>60.92</v>
      </c>
      <c r="Y377" s="9">
        <f t="shared" si="103"/>
        <v>18917.919999999998</v>
      </c>
      <c r="AD377" s="4" t="s">
        <v>1148</v>
      </c>
      <c r="AE377" s="4" t="s">
        <v>1149</v>
      </c>
      <c r="AF377" s="4" t="s">
        <v>863</v>
      </c>
    </row>
    <row r="378" spans="1:35" ht="36" x14ac:dyDescent="0.35">
      <c r="A378" s="11" t="s">
        <v>1150</v>
      </c>
      <c r="B378" s="11"/>
      <c r="C378" s="31" t="s">
        <v>854</v>
      </c>
      <c r="D378" s="21"/>
      <c r="E378" s="21" t="s">
        <v>855</v>
      </c>
      <c r="F378" s="32" t="s">
        <v>81</v>
      </c>
      <c r="G378" s="33">
        <v>2</v>
      </c>
      <c r="H378" s="21"/>
      <c r="I378" s="33">
        <v>2070.36</v>
      </c>
      <c r="J378" s="35">
        <v>23</v>
      </c>
      <c r="K378" s="12"/>
      <c r="L378" s="12"/>
      <c r="M378" s="35">
        <f>ROUND(ROUND(J378, 2)*I378, 2)</f>
        <v>47618.28</v>
      </c>
      <c r="N378" s="12"/>
      <c r="O378" s="12"/>
      <c r="P378" s="35">
        <v>23</v>
      </c>
      <c r="Q378" s="12"/>
      <c r="R378" s="12"/>
      <c r="S378" s="35">
        <f>ROUND(ROUND(P378, 2)*I378, 2)</f>
        <v>47618.28</v>
      </c>
      <c r="T378" s="12"/>
      <c r="U378" s="36"/>
      <c r="V378" s="9">
        <f>ROUND(ROUND(P378, 2)/1.2, 2)</f>
        <v>19.170000000000002</v>
      </c>
      <c r="Y378" s="9">
        <f t="shared" si="103"/>
        <v>39681.9</v>
      </c>
      <c r="AD378" s="4" t="s">
        <v>1151</v>
      </c>
      <c r="AE378" s="4" t="s">
        <v>1152</v>
      </c>
      <c r="AF378" s="4" t="s">
        <v>858</v>
      </c>
    </row>
    <row r="379" spans="1:35" ht="36" x14ac:dyDescent="0.35">
      <c r="A379" s="11" t="s">
        <v>1153</v>
      </c>
      <c r="B379" s="11" t="s">
        <v>1116</v>
      </c>
      <c r="C379" s="20" t="s">
        <v>1117</v>
      </c>
      <c r="D379" s="21"/>
      <c r="E379" s="21" t="s">
        <v>1064</v>
      </c>
      <c r="F379" s="21" t="s">
        <v>56</v>
      </c>
      <c r="G379" s="22">
        <v>1</v>
      </c>
      <c r="H379" s="21"/>
      <c r="I379" s="22">
        <v>555.89</v>
      </c>
      <c r="J379" s="23">
        <f>IFERROR(ROUND(SUM(M380,M381)/I379, 2),0)</f>
        <v>59.32</v>
      </c>
      <c r="K379" s="23">
        <v>508</v>
      </c>
      <c r="L379" s="23">
        <f>J379+ROUND(K379, 2)</f>
        <v>567.32000000000005</v>
      </c>
      <c r="M379" s="23">
        <f>ROUND(J379*I379, 2)</f>
        <v>32975.39</v>
      </c>
      <c r="N379" s="23">
        <f>ROUND(I379*ROUND(K379, 2), 2)</f>
        <v>282392.12</v>
      </c>
      <c r="O379" s="23">
        <f>M379+N379</f>
        <v>315367.51</v>
      </c>
      <c r="P379" s="23">
        <f>IFERROR(ROUND(SUM(S380,S381)/I379, 2),0)</f>
        <v>59.32</v>
      </c>
      <c r="Q379" s="23">
        <v>508</v>
      </c>
      <c r="R379" s="23">
        <f>P379+ROUND(Q379, 2)</f>
        <v>567.32000000000005</v>
      </c>
      <c r="S379" s="23">
        <f>ROUND(P379*I379, 2)</f>
        <v>32975.39</v>
      </c>
      <c r="T379" s="23">
        <f>ROUND(I379*ROUND(Q379, 2), 2)</f>
        <v>282392.12</v>
      </c>
      <c r="U379" s="23">
        <f>S379+T379</f>
        <v>315367.51</v>
      </c>
      <c r="V379" s="9">
        <f>ROUND(P379 / 1.2, 2)</f>
        <v>49.43</v>
      </c>
      <c r="W379" s="9">
        <f>ROUND(Q379 / 1.2, 2)</f>
        <v>423.33</v>
      </c>
      <c r="X379" s="9">
        <f>ROUND(R379 / 1.2, 2)</f>
        <v>472.77</v>
      </c>
      <c r="Y379" s="9">
        <f t="shared" si="103"/>
        <v>27479.49</v>
      </c>
      <c r="Z379" s="9">
        <f>ROUND(T379 / 1.2, 2)</f>
        <v>235326.77</v>
      </c>
      <c r="AA379" s="9">
        <f>Y379+Z379</f>
        <v>262806.26</v>
      </c>
      <c r="AD379" s="4">
        <v>303752493</v>
      </c>
      <c r="AE379" s="4">
        <v>19916878</v>
      </c>
      <c r="AG379" s="4" t="s">
        <v>1118</v>
      </c>
      <c r="AH379" s="4" t="s">
        <v>1119</v>
      </c>
      <c r="AI379" s="4" t="s">
        <v>247</v>
      </c>
    </row>
    <row r="380" spans="1:35" ht="36" x14ac:dyDescent="0.35">
      <c r="A380" s="11" t="s">
        <v>1154</v>
      </c>
      <c r="B380" s="11"/>
      <c r="C380" s="31" t="s">
        <v>493</v>
      </c>
      <c r="D380" s="21"/>
      <c r="E380" s="21"/>
      <c r="F380" s="32" t="s">
        <v>81</v>
      </c>
      <c r="G380" s="33">
        <v>0.15</v>
      </c>
      <c r="H380" s="21"/>
      <c r="I380" s="33">
        <v>83.384</v>
      </c>
      <c r="J380" s="35">
        <v>88.8</v>
      </c>
      <c r="K380" s="12"/>
      <c r="L380" s="12"/>
      <c r="M380" s="35">
        <f>ROUND(ROUND(J380, 2)*I380, 2)</f>
        <v>7404.5</v>
      </c>
      <c r="N380" s="12"/>
      <c r="O380" s="12"/>
      <c r="P380" s="35">
        <v>88.8</v>
      </c>
      <c r="Q380" s="12"/>
      <c r="R380" s="12"/>
      <c r="S380" s="35">
        <f>ROUND(ROUND(P380, 2)*I380, 2)</f>
        <v>7404.5</v>
      </c>
      <c r="T380" s="12"/>
      <c r="U380" s="36"/>
      <c r="V380" s="9">
        <f>ROUND(ROUND(P380, 2)/1.2, 2)</f>
        <v>74</v>
      </c>
      <c r="Y380" s="9">
        <f t="shared" si="103"/>
        <v>6170.42</v>
      </c>
      <c r="AD380" s="4" t="s">
        <v>1155</v>
      </c>
      <c r="AE380" s="4" t="s">
        <v>1156</v>
      </c>
      <c r="AF380" s="4" t="s">
        <v>496</v>
      </c>
    </row>
    <row r="381" spans="1:35" ht="54" x14ac:dyDescent="0.35">
      <c r="A381" s="11" t="s">
        <v>1157</v>
      </c>
      <c r="B381" s="11"/>
      <c r="C381" s="31" t="s">
        <v>854</v>
      </c>
      <c r="D381" s="21"/>
      <c r="E381" s="21" t="s">
        <v>1049</v>
      </c>
      <c r="F381" s="32" t="s">
        <v>81</v>
      </c>
      <c r="G381" s="33">
        <v>2</v>
      </c>
      <c r="H381" s="21"/>
      <c r="I381" s="33">
        <v>1111.78</v>
      </c>
      <c r="J381" s="35">
        <v>23</v>
      </c>
      <c r="K381" s="12"/>
      <c r="L381" s="12"/>
      <c r="M381" s="35">
        <f>ROUND(ROUND(J381, 2)*I381, 2)</f>
        <v>25570.94</v>
      </c>
      <c r="N381" s="12"/>
      <c r="O381" s="12"/>
      <c r="P381" s="35">
        <v>23</v>
      </c>
      <c r="Q381" s="12"/>
      <c r="R381" s="12"/>
      <c r="S381" s="35">
        <f>ROUND(ROUND(P381, 2)*I381, 2)</f>
        <v>25570.94</v>
      </c>
      <c r="T381" s="12"/>
      <c r="U381" s="36"/>
      <c r="V381" s="9">
        <f>ROUND(ROUND(P381, 2)/1.2, 2)</f>
        <v>19.170000000000002</v>
      </c>
      <c r="Y381" s="9">
        <f t="shared" si="103"/>
        <v>21309.119999999999</v>
      </c>
      <c r="AD381" s="4" t="s">
        <v>1158</v>
      </c>
      <c r="AE381" s="4" t="s">
        <v>1159</v>
      </c>
      <c r="AF381" s="4" t="s">
        <v>858</v>
      </c>
    </row>
    <row r="382" spans="1:35" ht="36" x14ac:dyDescent="0.35">
      <c r="A382" s="11" t="s">
        <v>1160</v>
      </c>
      <c r="B382" s="11" t="s">
        <v>1116</v>
      </c>
      <c r="C382" s="20" t="s">
        <v>1117</v>
      </c>
      <c r="D382" s="21"/>
      <c r="E382" s="21" t="s">
        <v>1053</v>
      </c>
      <c r="F382" s="21" t="s">
        <v>56</v>
      </c>
      <c r="G382" s="22">
        <v>1</v>
      </c>
      <c r="H382" s="21"/>
      <c r="I382" s="22">
        <v>555.89</v>
      </c>
      <c r="J382" s="23">
        <f>IFERROR(ROUND(SUM(M383,M384,M385)/I382, 2),0)</f>
        <v>81.25</v>
      </c>
      <c r="K382" s="23">
        <v>508</v>
      </c>
      <c r="L382" s="23">
        <f>J382+ROUND(K382, 2)</f>
        <v>589.25</v>
      </c>
      <c r="M382" s="23">
        <f>ROUND(J382*I382, 2)</f>
        <v>45166.06</v>
      </c>
      <c r="N382" s="23">
        <f>ROUND(I382*ROUND(K382, 2), 2)</f>
        <v>282392.12</v>
      </c>
      <c r="O382" s="23">
        <f>M382+N382</f>
        <v>327558.18</v>
      </c>
      <c r="P382" s="23">
        <f>IFERROR(ROUND(SUM(S383,S384,S385)/I382, 2),0)</f>
        <v>81.25</v>
      </c>
      <c r="Q382" s="23">
        <v>508</v>
      </c>
      <c r="R382" s="23">
        <f>P382+ROUND(Q382, 2)</f>
        <v>589.25</v>
      </c>
      <c r="S382" s="23">
        <f>ROUND(P382*I382, 2)</f>
        <v>45166.06</v>
      </c>
      <c r="T382" s="23">
        <f>ROUND(I382*ROUND(Q382, 2), 2)</f>
        <v>282392.12</v>
      </c>
      <c r="U382" s="23">
        <f>S382+T382</f>
        <v>327558.18</v>
      </c>
      <c r="V382" s="9">
        <f>ROUND(P382 / 1.2, 2)</f>
        <v>67.709999999999994</v>
      </c>
      <c r="W382" s="9">
        <f>ROUND(Q382 / 1.2, 2)</f>
        <v>423.33</v>
      </c>
      <c r="X382" s="9">
        <f>ROUND(R382 / 1.2, 2)</f>
        <v>491.04</v>
      </c>
      <c r="Y382" s="9">
        <f t="shared" si="103"/>
        <v>37638.379999999997</v>
      </c>
      <c r="Z382" s="9">
        <f>ROUND(T382 / 1.2, 2)</f>
        <v>235326.77</v>
      </c>
      <c r="AA382" s="9">
        <f>Y382+Z382</f>
        <v>272965.14999999997</v>
      </c>
      <c r="AD382" s="4">
        <v>303752494</v>
      </c>
      <c r="AE382" s="4">
        <v>19916871</v>
      </c>
      <c r="AG382" s="4" t="s">
        <v>1118</v>
      </c>
      <c r="AH382" s="4" t="s">
        <v>1119</v>
      </c>
      <c r="AI382" s="4" t="s">
        <v>247</v>
      </c>
    </row>
    <row r="383" spans="1:35" ht="36" x14ac:dyDescent="0.35">
      <c r="A383" s="11" t="s">
        <v>1161</v>
      </c>
      <c r="B383" s="11"/>
      <c r="C383" s="31" t="s">
        <v>493</v>
      </c>
      <c r="D383" s="21"/>
      <c r="E383" s="21"/>
      <c r="F383" s="32" t="s">
        <v>81</v>
      </c>
      <c r="G383" s="33">
        <v>0.15</v>
      </c>
      <c r="H383" s="21"/>
      <c r="I383" s="33">
        <v>83.384</v>
      </c>
      <c r="J383" s="35">
        <v>88.8</v>
      </c>
      <c r="K383" s="12"/>
      <c r="L383" s="12"/>
      <c r="M383" s="35">
        <f>ROUND(ROUND(J383, 2)*I383, 2)</f>
        <v>7404.5</v>
      </c>
      <c r="N383" s="12"/>
      <c r="O383" s="12"/>
      <c r="P383" s="35">
        <v>88.8</v>
      </c>
      <c r="Q383" s="12"/>
      <c r="R383" s="12"/>
      <c r="S383" s="35">
        <f>ROUND(ROUND(P383, 2)*I383, 2)</f>
        <v>7404.5</v>
      </c>
      <c r="T383" s="12"/>
      <c r="U383" s="36"/>
      <c r="V383" s="9">
        <f>ROUND(ROUND(P383, 2)/1.2, 2)</f>
        <v>74</v>
      </c>
      <c r="Y383" s="9">
        <f t="shared" si="103"/>
        <v>6170.42</v>
      </c>
      <c r="AD383" s="4" t="s">
        <v>1162</v>
      </c>
      <c r="AE383" s="4" t="s">
        <v>1163</v>
      </c>
      <c r="AF383" s="4" t="s">
        <v>496</v>
      </c>
    </row>
    <row r="384" spans="1:35" ht="18" x14ac:dyDescent="0.35">
      <c r="A384" s="11" t="s">
        <v>1164</v>
      </c>
      <c r="B384" s="11"/>
      <c r="C384" s="31" t="s">
        <v>860</v>
      </c>
      <c r="D384" s="21"/>
      <c r="E384" s="21"/>
      <c r="F384" s="32" t="s">
        <v>103</v>
      </c>
      <c r="G384" s="33">
        <v>0.3</v>
      </c>
      <c r="H384" s="21"/>
      <c r="I384" s="33">
        <v>166.767</v>
      </c>
      <c r="J384" s="35">
        <v>73.099999999999994</v>
      </c>
      <c r="K384" s="12"/>
      <c r="L384" s="12"/>
      <c r="M384" s="35">
        <f>ROUND(ROUND(J384, 2)*I384, 2)</f>
        <v>12190.67</v>
      </c>
      <c r="N384" s="12"/>
      <c r="O384" s="12"/>
      <c r="P384" s="35">
        <v>73.099999999999994</v>
      </c>
      <c r="Q384" s="12"/>
      <c r="R384" s="12"/>
      <c r="S384" s="35">
        <f>ROUND(ROUND(P384, 2)*I384, 2)</f>
        <v>12190.67</v>
      </c>
      <c r="T384" s="12"/>
      <c r="U384" s="36"/>
      <c r="V384" s="9">
        <f>ROUND(ROUND(P384, 2)/1.2, 2)</f>
        <v>60.92</v>
      </c>
      <c r="Y384" s="9">
        <f t="shared" si="103"/>
        <v>10158.89</v>
      </c>
      <c r="AD384" s="4" t="s">
        <v>1165</v>
      </c>
      <c r="AE384" s="4" t="s">
        <v>1166</v>
      </c>
      <c r="AF384" s="4" t="s">
        <v>863</v>
      </c>
    </row>
    <row r="385" spans="1:35" ht="36" x14ac:dyDescent="0.35">
      <c r="A385" s="11" t="s">
        <v>1167</v>
      </c>
      <c r="B385" s="11"/>
      <c r="C385" s="31" t="s">
        <v>854</v>
      </c>
      <c r="D385" s="21"/>
      <c r="E385" s="21" t="s">
        <v>855</v>
      </c>
      <c r="F385" s="32" t="s">
        <v>81</v>
      </c>
      <c r="G385" s="33">
        <v>2</v>
      </c>
      <c r="H385" s="21"/>
      <c r="I385" s="33">
        <v>1111.78</v>
      </c>
      <c r="J385" s="35">
        <v>23</v>
      </c>
      <c r="K385" s="12"/>
      <c r="L385" s="12"/>
      <c r="M385" s="35">
        <f>ROUND(ROUND(J385, 2)*I385, 2)</f>
        <v>25570.94</v>
      </c>
      <c r="N385" s="12"/>
      <c r="O385" s="12"/>
      <c r="P385" s="35">
        <v>23</v>
      </c>
      <c r="Q385" s="12"/>
      <c r="R385" s="12"/>
      <c r="S385" s="35">
        <f>ROUND(ROUND(P385, 2)*I385, 2)</f>
        <v>25570.94</v>
      </c>
      <c r="T385" s="12"/>
      <c r="U385" s="36"/>
      <c r="V385" s="9">
        <f>ROUND(ROUND(P385, 2)/1.2, 2)</f>
        <v>19.170000000000002</v>
      </c>
      <c r="Y385" s="9">
        <f t="shared" si="103"/>
        <v>21309.119999999999</v>
      </c>
      <c r="AD385" s="4" t="s">
        <v>1168</v>
      </c>
      <c r="AE385" s="4" t="s">
        <v>1169</v>
      </c>
      <c r="AF385" s="4" t="s">
        <v>858</v>
      </c>
    </row>
    <row r="386" spans="1:35" ht="36" x14ac:dyDescent="0.35">
      <c r="A386" s="11" t="s">
        <v>1170</v>
      </c>
      <c r="B386" s="11" t="s">
        <v>1116</v>
      </c>
      <c r="C386" s="20" t="s">
        <v>1117</v>
      </c>
      <c r="D386" s="21"/>
      <c r="E386" s="21" t="s">
        <v>1091</v>
      </c>
      <c r="F386" s="21" t="s">
        <v>56</v>
      </c>
      <c r="G386" s="22">
        <v>1</v>
      </c>
      <c r="H386" s="21"/>
      <c r="I386" s="22">
        <v>216.42</v>
      </c>
      <c r="J386" s="23">
        <f>IFERROR(ROUND(SUM(M387,M388)/I386, 2),0)</f>
        <v>54.72</v>
      </c>
      <c r="K386" s="23">
        <v>508</v>
      </c>
      <c r="L386" s="23">
        <f>J386+ROUND(K386, 2)</f>
        <v>562.72</v>
      </c>
      <c r="M386" s="23">
        <f>ROUND(J386*I386, 2)</f>
        <v>11842.5</v>
      </c>
      <c r="N386" s="23">
        <f>ROUND(I386*ROUND(K386, 2), 2)</f>
        <v>109941.36</v>
      </c>
      <c r="O386" s="23">
        <f>M386+N386</f>
        <v>121783.86</v>
      </c>
      <c r="P386" s="23">
        <f>IFERROR(ROUND(SUM(S387,S388)/I386, 2),0)</f>
        <v>54.72</v>
      </c>
      <c r="Q386" s="23">
        <v>508</v>
      </c>
      <c r="R386" s="23">
        <f>P386+ROUND(Q386, 2)</f>
        <v>562.72</v>
      </c>
      <c r="S386" s="23">
        <f>ROUND(P386*I386, 2)</f>
        <v>11842.5</v>
      </c>
      <c r="T386" s="23">
        <f>ROUND(I386*ROUND(Q386, 2), 2)</f>
        <v>109941.36</v>
      </c>
      <c r="U386" s="23">
        <f>S386+T386</f>
        <v>121783.86</v>
      </c>
      <c r="V386" s="9">
        <f>ROUND(P386 / 1.2, 2)</f>
        <v>45.6</v>
      </c>
      <c r="W386" s="9">
        <f>ROUND(Q386 / 1.2, 2)</f>
        <v>423.33</v>
      </c>
      <c r="X386" s="9">
        <f>ROUND(R386 / 1.2, 2)</f>
        <v>468.93</v>
      </c>
      <c r="Y386" s="9">
        <f t="shared" si="103"/>
        <v>9868.75</v>
      </c>
      <c r="Z386" s="9">
        <f>ROUND(T386 / 1.2, 2)</f>
        <v>91617.8</v>
      </c>
      <c r="AA386" s="9">
        <f>Y386+Z386</f>
        <v>101486.55</v>
      </c>
      <c r="AD386" s="4">
        <v>303752495</v>
      </c>
      <c r="AE386" s="4">
        <v>21807245</v>
      </c>
      <c r="AG386" s="4" t="s">
        <v>1118</v>
      </c>
      <c r="AH386" s="4" t="s">
        <v>1119</v>
      </c>
      <c r="AI386" s="4" t="s">
        <v>247</v>
      </c>
    </row>
    <row r="387" spans="1:35" ht="36" x14ac:dyDescent="0.35">
      <c r="A387" s="11" t="s">
        <v>1171</v>
      </c>
      <c r="B387" s="11"/>
      <c r="C387" s="31" t="s">
        <v>493</v>
      </c>
      <c r="D387" s="21"/>
      <c r="E387" s="21"/>
      <c r="F387" s="32" t="s">
        <v>81</v>
      </c>
      <c r="G387" s="33">
        <v>0.15</v>
      </c>
      <c r="H387" s="21"/>
      <c r="I387" s="33">
        <v>32.463000000000001</v>
      </c>
      <c r="J387" s="35">
        <v>88.8</v>
      </c>
      <c r="K387" s="12"/>
      <c r="L387" s="12"/>
      <c r="M387" s="35">
        <f>ROUND(ROUND(J387, 2)*I387, 2)</f>
        <v>2882.71</v>
      </c>
      <c r="N387" s="12"/>
      <c r="O387" s="12"/>
      <c r="P387" s="35">
        <v>88.8</v>
      </c>
      <c r="Q387" s="12"/>
      <c r="R387" s="12"/>
      <c r="S387" s="35">
        <f>ROUND(ROUND(P387, 2)*I387, 2)</f>
        <v>2882.71</v>
      </c>
      <c r="T387" s="12"/>
      <c r="U387" s="36"/>
      <c r="V387" s="9">
        <f>ROUND(ROUND(P387, 2)/1.2, 2)</f>
        <v>74</v>
      </c>
      <c r="Y387" s="9">
        <f t="shared" si="103"/>
        <v>2402.2600000000002</v>
      </c>
      <c r="AD387" s="4" t="s">
        <v>1172</v>
      </c>
      <c r="AE387" s="4" t="s">
        <v>1173</v>
      </c>
      <c r="AF387" s="4" t="s">
        <v>496</v>
      </c>
    </row>
    <row r="388" spans="1:35" ht="36" x14ac:dyDescent="0.35">
      <c r="A388" s="11" t="s">
        <v>1174</v>
      </c>
      <c r="B388" s="11"/>
      <c r="C388" s="31" t="s">
        <v>887</v>
      </c>
      <c r="D388" s="21"/>
      <c r="E388" s="21"/>
      <c r="F388" s="32" t="s">
        <v>81</v>
      </c>
      <c r="G388" s="33">
        <v>1.8</v>
      </c>
      <c r="H388" s="21"/>
      <c r="I388" s="33">
        <v>389.55599999999998</v>
      </c>
      <c r="J388" s="35">
        <v>23</v>
      </c>
      <c r="K388" s="12"/>
      <c r="L388" s="12"/>
      <c r="M388" s="35">
        <f>ROUND(ROUND(J388, 2)*I388, 2)</f>
        <v>8959.7900000000009</v>
      </c>
      <c r="N388" s="12"/>
      <c r="O388" s="12"/>
      <c r="P388" s="35">
        <v>23</v>
      </c>
      <c r="Q388" s="12"/>
      <c r="R388" s="12"/>
      <c r="S388" s="35">
        <f>ROUND(ROUND(P388, 2)*I388, 2)</f>
        <v>8959.7900000000009</v>
      </c>
      <c r="T388" s="12"/>
      <c r="U388" s="36"/>
      <c r="V388" s="9">
        <f>ROUND(ROUND(P388, 2)/1.2, 2)</f>
        <v>19.170000000000002</v>
      </c>
      <c r="Y388" s="9">
        <f t="shared" si="103"/>
        <v>7466.49</v>
      </c>
      <c r="AD388" s="4" t="s">
        <v>1175</v>
      </c>
      <c r="AE388" s="4" t="s">
        <v>1176</v>
      </c>
      <c r="AF388" s="4" t="s">
        <v>890</v>
      </c>
    </row>
    <row r="389" spans="1:35" ht="54" x14ac:dyDescent="0.35">
      <c r="A389" s="11" t="s">
        <v>1177</v>
      </c>
      <c r="B389" s="11" t="s">
        <v>1116</v>
      </c>
      <c r="C389" s="20" t="s">
        <v>1117</v>
      </c>
      <c r="D389" s="21"/>
      <c r="E389" s="21" t="s">
        <v>1107</v>
      </c>
      <c r="F389" s="21" t="s">
        <v>56</v>
      </c>
      <c r="G389" s="22">
        <v>1</v>
      </c>
      <c r="H389" s="21"/>
      <c r="I389" s="22">
        <v>1035.18</v>
      </c>
      <c r="J389" s="23">
        <f>IFERROR(ROUND(SUM(M390,M391)/I389, 2),0)</f>
        <v>54.72</v>
      </c>
      <c r="K389" s="23">
        <v>508</v>
      </c>
      <c r="L389" s="23">
        <f>J389+ROUND(K389, 2)</f>
        <v>562.72</v>
      </c>
      <c r="M389" s="23">
        <f>ROUND(J389*I389, 2)</f>
        <v>56645.05</v>
      </c>
      <c r="N389" s="23">
        <f>ROUND(I389*ROUND(K389, 2), 2)</f>
        <v>525871.43999999994</v>
      </c>
      <c r="O389" s="23">
        <f>M389+N389</f>
        <v>582516.49</v>
      </c>
      <c r="P389" s="23">
        <f>IFERROR(ROUND(SUM(S390,S391)/I389, 2),0)</f>
        <v>54.72</v>
      </c>
      <c r="Q389" s="23">
        <v>508</v>
      </c>
      <c r="R389" s="23">
        <f>P389+ROUND(Q389, 2)</f>
        <v>562.72</v>
      </c>
      <c r="S389" s="23">
        <f>ROUND(P389*I389, 2)</f>
        <v>56645.05</v>
      </c>
      <c r="T389" s="23">
        <f>ROUND(I389*ROUND(Q389, 2), 2)</f>
        <v>525871.43999999994</v>
      </c>
      <c r="U389" s="23">
        <f>S389+T389</f>
        <v>582516.49</v>
      </c>
      <c r="V389" s="9">
        <f>ROUND(P389 / 1.2, 2)</f>
        <v>45.6</v>
      </c>
      <c r="W389" s="9">
        <f>ROUND(Q389 / 1.2, 2)</f>
        <v>423.33</v>
      </c>
      <c r="X389" s="9">
        <f>ROUND(R389 / 1.2, 2)</f>
        <v>468.93</v>
      </c>
      <c r="Y389" s="9">
        <f t="shared" si="103"/>
        <v>47204.21</v>
      </c>
      <c r="Z389" s="9">
        <f>ROUND(T389 / 1.2, 2)</f>
        <v>438226.2</v>
      </c>
      <c r="AA389" s="9">
        <f>Y389+Z389</f>
        <v>485430.41000000003</v>
      </c>
      <c r="AD389" s="4">
        <v>303752496</v>
      </c>
      <c r="AE389" s="4">
        <v>21807240</v>
      </c>
      <c r="AG389" s="4" t="s">
        <v>1118</v>
      </c>
      <c r="AH389" s="4" t="s">
        <v>1119</v>
      </c>
      <c r="AI389" s="4" t="s">
        <v>247</v>
      </c>
    </row>
    <row r="390" spans="1:35" ht="36" x14ac:dyDescent="0.35">
      <c r="A390" s="11" t="s">
        <v>1178</v>
      </c>
      <c r="B390" s="11"/>
      <c r="C390" s="31" t="s">
        <v>493</v>
      </c>
      <c r="D390" s="21"/>
      <c r="E390" s="21"/>
      <c r="F390" s="32" t="s">
        <v>81</v>
      </c>
      <c r="G390" s="33">
        <v>0.15</v>
      </c>
      <c r="H390" s="21"/>
      <c r="I390" s="33">
        <v>155.27699999999999</v>
      </c>
      <c r="J390" s="35">
        <v>88.8</v>
      </c>
      <c r="K390" s="12"/>
      <c r="L390" s="12"/>
      <c r="M390" s="35">
        <f>ROUND(ROUND(J390, 2)*I390, 2)</f>
        <v>13788.6</v>
      </c>
      <c r="N390" s="12"/>
      <c r="O390" s="12"/>
      <c r="P390" s="35">
        <v>88.8</v>
      </c>
      <c r="Q390" s="12"/>
      <c r="R390" s="12"/>
      <c r="S390" s="35">
        <f>ROUND(ROUND(P390, 2)*I390, 2)</f>
        <v>13788.6</v>
      </c>
      <c r="T390" s="12"/>
      <c r="U390" s="36"/>
      <c r="V390" s="9">
        <f>ROUND(ROUND(P390, 2)/1.2, 2)</f>
        <v>74</v>
      </c>
      <c r="Y390" s="9">
        <f t="shared" si="103"/>
        <v>11490.5</v>
      </c>
      <c r="AD390" s="4" t="s">
        <v>1179</v>
      </c>
      <c r="AE390" s="4" t="s">
        <v>1180</v>
      </c>
      <c r="AF390" s="4" t="s">
        <v>496</v>
      </c>
    </row>
    <row r="391" spans="1:35" ht="36" x14ac:dyDescent="0.35">
      <c r="A391" s="11" t="s">
        <v>1181</v>
      </c>
      <c r="B391" s="11"/>
      <c r="C391" s="31" t="s">
        <v>887</v>
      </c>
      <c r="D391" s="21"/>
      <c r="E391" s="21"/>
      <c r="F391" s="32" t="s">
        <v>81</v>
      </c>
      <c r="G391" s="33">
        <v>1.8</v>
      </c>
      <c r="H391" s="21"/>
      <c r="I391" s="33">
        <v>1863.3240000000001</v>
      </c>
      <c r="J391" s="35">
        <v>23</v>
      </c>
      <c r="K391" s="12"/>
      <c r="L391" s="12"/>
      <c r="M391" s="35">
        <f>ROUND(ROUND(J391, 2)*I391, 2)</f>
        <v>42856.45</v>
      </c>
      <c r="N391" s="12"/>
      <c r="O391" s="12"/>
      <c r="P391" s="35">
        <v>23</v>
      </c>
      <c r="Q391" s="12"/>
      <c r="R391" s="12"/>
      <c r="S391" s="35">
        <f>ROUND(ROUND(P391, 2)*I391, 2)</f>
        <v>42856.45</v>
      </c>
      <c r="T391" s="12"/>
      <c r="U391" s="36"/>
      <c r="V391" s="9">
        <f>ROUND(ROUND(P391, 2)/1.2, 2)</f>
        <v>19.170000000000002</v>
      </c>
      <c r="Y391" s="9">
        <f t="shared" ref="Y391:Y409" si="104">ROUND(S391 / 1.2, 2)</f>
        <v>35713.71</v>
      </c>
      <c r="AD391" s="4" t="s">
        <v>1182</v>
      </c>
      <c r="AE391" s="4" t="s">
        <v>1183</v>
      </c>
      <c r="AF391" s="4" t="s">
        <v>890</v>
      </c>
    </row>
    <row r="392" spans="1:35" ht="36" x14ac:dyDescent="0.35">
      <c r="A392" s="11" t="s">
        <v>1184</v>
      </c>
      <c r="B392" s="11" t="s">
        <v>1116</v>
      </c>
      <c r="C392" s="20" t="s">
        <v>1117</v>
      </c>
      <c r="D392" s="21"/>
      <c r="E392" s="21" t="s">
        <v>1099</v>
      </c>
      <c r="F392" s="21" t="s">
        <v>56</v>
      </c>
      <c r="G392" s="22">
        <v>1</v>
      </c>
      <c r="H392" s="21"/>
      <c r="I392" s="22">
        <v>555.89</v>
      </c>
      <c r="J392" s="23">
        <f>IFERROR(ROUND(SUM(M393,M394)/I392, 2),0)</f>
        <v>54.72</v>
      </c>
      <c r="K392" s="23">
        <v>508</v>
      </c>
      <c r="L392" s="23">
        <f>J392+ROUND(K392, 2)</f>
        <v>562.72</v>
      </c>
      <c r="M392" s="23">
        <f>ROUND(J392*I392, 2)</f>
        <v>30418.3</v>
      </c>
      <c r="N392" s="23">
        <f>ROUND(I392*ROUND(K392, 2), 2)</f>
        <v>282392.12</v>
      </c>
      <c r="O392" s="23">
        <f>M392+N392</f>
        <v>312810.42</v>
      </c>
      <c r="P392" s="23">
        <f>IFERROR(ROUND(SUM(S393,S394)/I392, 2),0)</f>
        <v>54.72</v>
      </c>
      <c r="Q392" s="23">
        <v>508</v>
      </c>
      <c r="R392" s="23">
        <f>P392+ROUND(Q392, 2)</f>
        <v>562.72</v>
      </c>
      <c r="S392" s="23">
        <f>ROUND(P392*I392, 2)</f>
        <v>30418.3</v>
      </c>
      <c r="T392" s="23">
        <f>ROUND(I392*ROUND(Q392, 2), 2)</f>
        <v>282392.12</v>
      </c>
      <c r="U392" s="23">
        <f>S392+T392</f>
        <v>312810.42</v>
      </c>
      <c r="V392" s="9">
        <f>ROUND(P392 / 1.2, 2)</f>
        <v>45.6</v>
      </c>
      <c r="W392" s="9">
        <f>ROUND(Q392 / 1.2, 2)</f>
        <v>423.33</v>
      </c>
      <c r="X392" s="9">
        <f>ROUND(R392 / 1.2, 2)</f>
        <v>468.93</v>
      </c>
      <c r="Y392" s="9">
        <f t="shared" si="104"/>
        <v>25348.58</v>
      </c>
      <c r="Z392" s="9">
        <f>ROUND(T392 / 1.2, 2)</f>
        <v>235326.77</v>
      </c>
      <c r="AA392" s="9">
        <f>Y392+Z392</f>
        <v>260675.34999999998</v>
      </c>
      <c r="AD392" s="4">
        <v>303752497</v>
      </c>
      <c r="AE392" s="4">
        <v>21807247</v>
      </c>
      <c r="AG392" s="4" t="s">
        <v>1118</v>
      </c>
      <c r="AH392" s="4" t="s">
        <v>1119</v>
      </c>
      <c r="AI392" s="4" t="s">
        <v>247</v>
      </c>
    </row>
    <row r="393" spans="1:35" ht="36" x14ac:dyDescent="0.35">
      <c r="A393" s="11" t="s">
        <v>1185</v>
      </c>
      <c r="B393" s="11"/>
      <c r="C393" s="31" t="s">
        <v>493</v>
      </c>
      <c r="D393" s="21"/>
      <c r="E393" s="21"/>
      <c r="F393" s="32" t="s">
        <v>81</v>
      </c>
      <c r="G393" s="33">
        <v>0.15</v>
      </c>
      <c r="H393" s="21"/>
      <c r="I393" s="33">
        <v>83.384</v>
      </c>
      <c r="J393" s="35">
        <v>88.8</v>
      </c>
      <c r="K393" s="12"/>
      <c r="L393" s="12"/>
      <c r="M393" s="35">
        <f>ROUND(ROUND(J393, 2)*I393, 2)</f>
        <v>7404.5</v>
      </c>
      <c r="N393" s="12"/>
      <c r="O393" s="12"/>
      <c r="P393" s="35">
        <v>88.8</v>
      </c>
      <c r="Q393" s="12"/>
      <c r="R393" s="12"/>
      <c r="S393" s="35">
        <f>ROUND(ROUND(P393, 2)*I393, 2)</f>
        <v>7404.5</v>
      </c>
      <c r="T393" s="12"/>
      <c r="U393" s="36"/>
      <c r="V393" s="9">
        <f>ROUND(ROUND(P393, 2)/1.2, 2)</f>
        <v>74</v>
      </c>
      <c r="Y393" s="9">
        <f t="shared" si="104"/>
        <v>6170.42</v>
      </c>
      <c r="AD393" s="4" t="s">
        <v>1186</v>
      </c>
      <c r="AE393" s="4" t="s">
        <v>1187</v>
      </c>
      <c r="AF393" s="4" t="s">
        <v>496</v>
      </c>
    </row>
    <row r="394" spans="1:35" ht="36" x14ac:dyDescent="0.35">
      <c r="A394" s="11" t="s">
        <v>1188</v>
      </c>
      <c r="B394" s="11"/>
      <c r="C394" s="31" t="s">
        <v>887</v>
      </c>
      <c r="D394" s="21"/>
      <c r="E394" s="21"/>
      <c r="F394" s="32" t="s">
        <v>81</v>
      </c>
      <c r="G394" s="33">
        <v>1.8</v>
      </c>
      <c r="H394" s="21"/>
      <c r="I394" s="33">
        <v>1000.602</v>
      </c>
      <c r="J394" s="35">
        <v>23</v>
      </c>
      <c r="K394" s="12"/>
      <c r="L394" s="12"/>
      <c r="M394" s="35">
        <f>ROUND(ROUND(J394, 2)*I394, 2)</f>
        <v>23013.85</v>
      </c>
      <c r="N394" s="12"/>
      <c r="O394" s="12"/>
      <c r="P394" s="35">
        <v>23</v>
      </c>
      <c r="Q394" s="12"/>
      <c r="R394" s="12"/>
      <c r="S394" s="35">
        <f>ROUND(ROUND(P394, 2)*I394, 2)</f>
        <v>23013.85</v>
      </c>
      <c r="T394" s="12"/>
      <c r="U394" s="36"/>
      <c r="V394" s="9">
        <f>ROUND(ROUND(P394, 2)/1.2, 2)</f>
        <v>19.170000000000002</v>
      </c>
      <c r="Y394" s="9">
        <f t="shared" si="104"/>
        <v>19178.21</v>
      </c>
      <c r="AD394" s="4" t="s">
        <v>1189</v>
      </c>
      <c r="AE394" s="4" t="s">
        <v>1190</v>
      </c>
      <c r="AF394" s="4" t="s">
        <v>890</v>
      </c>
    </row>
    <row r="395" spans="1:35" ht="72" x14ac:dyDescent="0.35">
      <c r="A395" s="11" t="s">
        <v>1191</v>
      </c>
      <c r="B395" s="11" t="s">
        <v>1192</v>
      </c>
      <c r="C395" s="20" t="s">
        <v>1193</v>
      </c>
      <c r="D395" s="21"/>
      <c r="E395" s="21" t="s">
        <v>1194</v>
      </c>
      <c r="F395" s="21" t="s">
        <v>56</v>
      </c>
      <c r="G395" s="22">
        <v>1</v>
      </c>
      <c r="H395" s="21"/>
      <c r="I395" s="22">
        <v>162.13999999999999</v>
      </c>
      <c r="J395" s="23">
        <f>IFERROR(ROUND(SUM(M396,M397,M398,M399)/I395, 2),0)</f>
        <v>333.01</v>
      </c>
      <c r="K395" s="23">
        <v>873</v>
      </c>
      <c r="L395" s="23">
        <f>J395+ROUND(K395, 2)</f>
        <v>1206.01</v>
      </c>
      <c r="M395" s="23">
        <f>ROUND(J395*I395, 2)</f>
        <v>53994.239999999998</v>
      </c>
      <c r="N395" s="23">
        <f>ROUND(I395*ROUND(K395, 2), 2)</f>
        <v>141548.22</v>
      </c>
      <c r="O395" s="23">
        <f>M395+N395</f>
        <v>195542.46</v>
      </c>
      <c r="P395" s="23">
        <f>IFERROR(ROUND(SUM(S396,S397,S398,S399)/I395, 2),0)</f>
        <v>400.48</v>
      </c>
      <c r="Q395" s="23">
        <v>873</v>
      </c>
      <c r="R395" s="23">
        <f>P395+ROUND(Q395, 2)</f>
        <v>1273.48</v>
      </c>
      <c r="S395" s="23">
        <f>ROUND(P395*I395, 2)</f>
        <v>64933.83</v>
      </c>
      <c r="T395" s="23">
        <f>ROUND(I395*ROUND(Q395, 2), 2)</f>
        <v>141548.22</v>
      </c>
      <c r="U395" s="23">
        <f>S395+T395</f>
        <v>206482.05</v>
      </c>
      <c r="V395" s="9">
        <f>ROUND(P395 / 1.2, 2)</f>
        <v>333.73</v>
      </c>
      <c r="W395" s="9">
        <f>ROUND(Q395 / 1.2, 2)</f>
        <v>727.5</v>
      </c>
      <c r="X395" s="9">
        <f>ROUND(R395 / 1.2, 2)</f>
        <v>1061.23</v>
      </c>
      <c r="Y395" s="9">
        <f t="shared" si="104"/>
        <v>54111.53</v>
      </c>
      <c r="Z395" s="9">
        <f>ROUND(T395 / 1.2, 2)</f>
        <v>117956.85</v>
      </c>
      <c r="AA395" s="9">
        <f>Y395+Z395</f>
        <v>172068.38</v>
      </c>
      <c r="AD395" s="4">
        <v>303752424</v>
      </c>
      <c r="AE395" s="4">
        <v>18538440</v>
      </c>
      <c r="AG395" s="4" t="s">
        <v>1195</v>
      </c>
      <c r="AH395" s="4" t="s">
        <v>1196</v>
      </c>
      <c r="AI395" s="4" t="s">
        <v>247</v>
      </c>
    </row>
    <row r="396" spans="1:35" ht="36" x14ac:dyDescent="0.35">
      <c r="A396" s="11" t="s">
        <v>1197</v>
      </c>
      <c r="B396" s="11"/>
      <c r="C396" s="31" t="s">
        <v>1198</v>
      </c>
      <c r="D396" s="21"/>
      <c r="E396" s="21" t="s">
        <v>1199</v>
      </c>
      <c r="F396" s="32" t="s">
        <v>81</v>
      </c>
      <c r="G396" s="33">
        <v>1.3</v>
      </c>
      <c r="H396" s="21"/>
      <c r="I396" s="34">
        <v>4227.8599999999997</v>
      </c>
      <c r="J396" s="35">
        <v>8.6</v>
      </c>
      <c r="K396" s="12"/>
      <c r="L396" s="12"/>
      <c r="M396" s="35">
        <f>ROUND(ROUND(J396, 2)*I396, 2)</f>
        <v>36359.599999999999</v>
      </c>
      <c r="N396" s="12"/>
      <c r="O396" s="12"/>
      <c r="P396" s="35">
        <v>8.6</v>
      </c>
      <c r="Q396" s="12"/>
      <c r="R396" s="12"/>
      <c r="S396" s="35">
        <f>ROUND(ROUND(P396, 2)*I396, 2)</f>
        <v>36359.599999999999</v>
      </c>
      <c r="T396" s="12"/>
      <c r="U396" s="36"/>
      <c r="V396" s="9">
        <f>ROUND(ROUND(P396, 2)/1.2, 2)</f>
        <v>7.17</v>
      </c>
      <c r="Y396" s="9">
        <f t="shared" si="104"/>
        <v>30299.67</v>
      </c>
      <c r="AD396" s="4" t="s">
        <v>1200</v>
      </c>
      <c r="AE396" s="4" t="s">
        <v>1201</v>
      </c>
      <c r="AF396" s="4" t="s">
        <v>1202</v>
      </c>
    </row>
    <row r="397" spans="1:35" ht="36" x14ac:dyDescent="0.35">
      <c r="A397" s="11" t="s">
        <v>1203</v>
      </c>
      <c r="B397" s="11"/>
      <c r="C397" s="31" t="s">
        <v>1204</v>
      </c>
      <c r="D397" s="21"/>
      <c r="E397" s="21" t="s">
        <v>1205</v>
      </c>
      <c r="F397" s="32" t="s">
        <v>56</v>
      </c>
      <c r="G397" s="33">
        <v>1.1000000000000001</v>
      </c>
      <c r="H397" s="21"/>
      <c r="I397" s="33">
        <v>178.35400000000001</v>
      </c>
      <c r="J397" s="35">
        <v>66.16</v>
      </c>
      <c r="K397" s="12"/>
      <c r="L397" s="12"/>
      <c r="M397" s="35">
        <f>ROUND(ROUND(J397, 2)*I397, 2)</f>
        <v>11799.9</v>
      </c>
      <c r="N397" s="12"/>
      <c r="O397" s="12"/>
      <c r="P397" s="35">
        <v>127.5</v>
      </c>
      <c r="Q397" s="12"/>
      <c r="R397" s="12"/>
      <c r="S397" s="35">
        <f>ROUND(ROUND(P397, 2)*I397, 2)</f>
        <v>22740.14</v>
      </c>
      <c r="T397" s="12"/>
      <c r="U397" s="36"/>
      <c r="V397" s="9">
        <f>ROUND(ROUND(P397, 2)/1.2, 2)</f>
        <v>106.25</v>
      </c>
      <c r="Y397" s="9">
        <f t="shared" si="104"/>
        <v>18950.12</v>
      </c>
      <c r="AD397" s="4" t="s">
        <v>1206</v>
      </c>
      <c r="AE397" s="4" t="s">
        <v>1207</v>
      </c>
      <c r="AF397" s="4" t="s">
        <v>1208</v>
      </c>
    </row>
    <row r="398" spans="1:35" ht="18" x14ac:dyDescent="0.35">
      <c r="A398" s="11" t="s">
        <v>1209</v>
      </c>
      <c r="B398" s="11"/>
      <c r="C398" s="31" t="s">
        <v>1210</v>
      </c>
      <c r="D398" s="21"/>
      <c r="E398" s="21"/>
      <c r="F398" s="32" t="s">
        <v>129</v>
      </c>
      <c r="G398" s="33">
        <v>1</v>
      </c>
      <c r="H398" s="21"/>
      <c r="I398" s="34">
        <v>113</v>
      </c>
      <c r="J398" s="35">
        <v>15.76</v>
      </c>
      <c r="K398" s="12"/>
      <c r="L398" s="12"/>
      <c r="M398" s="35">
        <f>ROUND(ROUND(J398, 2)*I398, 2)</f>
        <v>1780.88</v>
      </c>
      <c r="N398" s="12"/>
      <c r="O398" s="12"/>
      <c r="P398" s="35">
        <v>15.76</v>
      </c>
      <c r="Q398" s="12"/>
      <c r="R398" s="12"/>
      <c r="S398" s="35">
        <f>ROUND(ROUND(P398, 2)*I398, 2)</f>
        <v>1780.88</v>
      </c>
      <c r="T398" s="12"/>
      <c r="U398" s="36"/>
      <c r="V398" s="9">
        <f>ROUND(ROUND(P398, 2)/1.2, 2)</f>
        <v>13.13</v>
      </c>
      <c r="Y398" s="9">
        <f t="shared" si="104"/>
        <v>1484.07</v>
      </c>
      <c r="AD398" s="4" t="s">
        <v>1211</v>
      </c>
      <c r="AE398" s="4" t="s">
        <v>1212</v>
      </c>
      <c r="AF398" s="4" t="s">
        <v>1213</v>
      </c>
    </row>
    <row r="399" spans="1:35" ht="18" x14ac:dyDescent="0.35">
      <c r="A399" s="11" t="s">
        <v>1214</v>
      </c>
      <c r="B399" s="11"/>
      <c r="C399" s="31" t="s">
        <v>316</v>
      </c>
      <c r="D399" s="21"/>
      <c r="E399" s="21"/>
      <c r="F399" s="32" t="s">
        <v>81</v>
      </c>
      <c r="G399" s="33">
        <v>0.25</v>
      </c>
      <c r="H399" s="21"/>
      <c r="I399" s="33">
        <v>40.534999999999997</v>
      </c>
      <c r="J399" s="35">
        <v>100</v>
      </c>
      <c r="K399" s="12"/>
      <c r="L399" s="12"/>
      <c r="M399" s="35">
        <f>ROUND(ROUND(J399, 2)*I399, 2)</f>
        <v>4053.5</v>
      </c>
      <c r="N399" s="12"/>
      <c r="O399" s="12"/>
      <c r="P399" s="35">
        <v>100</v>
      </c>
      <c r="Q399" s="12"/>
      <c r="R399" s="12"/>
      <c r="S399" s="35">
        <f>ROUND(ROUND(P399, 2)*I399, 2)</f>
        <v>4053.5</v>
      </c>
      <c r="T399" s="12"/>
      <c r="U399" s="36"/>
      <c r="V399" s="9">
        <f>ROUND(ROUND(P399, 2)/1.2, 2)</f>
        <v>83.33</v>
      </c>
      <c r="Y399" s="9">
        <f t="shared" si="104"/>
        <v>3377.92</v>
      </c>
      <c r="AD399" s="4" t="s">
        <v>1215</v>
      </c>
      <c r="AE399" s="4" t="s">
        <v>1216</v>
      </c>
      <c r="AF399" s="4" t="s">
        <v>319</v>
      </c>
    </row>
    <row r="400" spans="1:35" ht="72" x14ac:dyDescent="0.35">
      <c r="A400" s="11" t="s">
        <v>1217</v>
      </c>
      <c r="B400" s="11" t="s">
        <v>1218</v>
      </c>
      <c r="C400" s="20" t="s">
        <v>1219</v>
      </c>
      <c r="D400" s="21" t="s">
        <v>1220</v>
      </c>
      <c r="E400" s="21" t="s">
        <v>1194</v>
      </c>
      <c r="F400" s="21" t="s">
        <v>56</v>
      </c>
      <c r="G400" s="22">
        <v>1</v>
      </c>
      <c r="H400" s="21"/>
      <c r="I400" s="22">
        <v>164.02</v>
      </c>
      <c r="J400" s="23">
        <f>IFERROR(ROUND(SUM(M401,M402,M403,M404)/I400, 2),0)</f>
        <v>333.67</v>
      </c>
      <c r="K400" s="23">
        <v>954</v>
      </c>
      <c r="L400" s="23">
        <f>J400+ROUND(K400, 2)</f>
        <v>1287.67</v>
      </c>
      <c r="M400" s="23">
        <f>ROUND(J400*I400, 2)</f>
        <v>54728.55</v>
      </c>
      <c r="N400" s="23">
        <f>ROUND(I400*ROUND(K400, 2), 2)</f>
        <v>156475.07999999999</v>
      </c>
      <c r="O400" s="23">
        <f>M400+N400</f>
        <v>211203.63</v>
      </c>
      <c r="P400" s="23">
        <f>IFERROR(ROUND(SUM(S401,S402,S403,S404)/I400, 2),0)</f>
        <v>411.55</v>
      </c>
      <c r="Q400" s="23">
        <v>954</v>
      </c>
      <c r="R400" s="23">
        <f>P400+ROUND(Q400, 2)</f>
        <v>1365.55</v>
      </c>
      <c r="S400" s="23">
        <f>ROUND(P400*I400, 2)</f>
        <v>67502.429999999993</v>
      </c>
      <c r="T400" s="23">
        <f>ROUND(I400*ROUND(Q400, 2), 2)</f>
        <v>156475.07999999999</v>
      </c>
      <c r="U400" s="23">
        <f>S400+T400</f>
        <v>223977.50999999998</v>
      </c>
      <c r="V400" s="9">
        <f>ROUND(P400 / 1.2, 2)</f>
        <v>342.96</v>
      </c>
      <c r="W400" s="9">
        <f>ROUND(Q400 / 1.2, 2)</f>
        <v>795</v>
      </c>
      <c r="X400" s="9">
        <f>ROUND(R400 / 1.2, 2)</f>
        <v>1137.96</v>
      </c>
      <c r="Y400" s="9">
        <f t="shared" si="104"/>
        <v>56252.03</v>
      </c>
      <c r="Z400" s="9">
        <f>ROUND(T400 / 1.2, 2)</f>
        <v>130395.9</v>
      </c>
      <c r="AA400" s="9">
        <f>Y400+Z400</f>
        <v>186647.93</v>
      </c>
      <c r="AD400" s="4">
        <v>303752425</v>
      </c>
      <c r="AE400" s="4">
        <v>18538441</v>
      </c>
      <c r="AG400" s="4" t="s">
        <v>1221</v>
      </c>
      <c r="AH400" s="4" t="s">
        <v>1222</v>
      </c>
      <c r="AI400" s="4" t="s">
        <v>247</v>
      </c>
    </row>
    <row r="401" spans="1:35" ht="36" x14ac:dyDescent="0.35">
      <c r="A401" s="11" t="s">
        <v>1223</v>
      </c>
      <c r="B401" s="11"/>
      <c r="C401" s="31" t="s">
        <v>1198</v>
      </c>
      <c r="D401" s="21"/>
      <c r="E401" s="21" t="s">
        <v>1199</v>
      </c>
      <c r="F401" s="32" t="s">
        <v>81</v>
      </c>
      <c r="G401" s="33">
        <v>1.3</v>
      </c>
      <c r="H401" s="21"/>
      <c r="I401" s="34">
        <v>4264.5200000000004</v>
      </c>
      <c r="J401" s="35">
        <v>8.6</v>
      </c>
      <c r="K401" s="12"/>
      <c r="L401" s="12"/>
      <c r="M401" s="35">
        <f>ROUND(ROUND(J401, 2)*I401, 2)</f>
        <v>36674.870000000003</v>
      </c>
      <c r="N401" s="12"/>
      <c r="O401" s="12"/>
      <c r="P401" s="35">
        <v>9</v>
      </c>
      <c r="Q401" s="12"/>
      <c r="R401" s="12"/>
      <c r="S401" s="35">
        <f>ROUND(ROUND(P401, 2)*I401, 2)</f>
        <v>38380.68</v>
      </c>
      <c r="T401" s="12"/>
      <c r="U401" s="36"/>
      <c r="V401" s="9">
        <f>ROUND(ROUND(P401, 2)/1.2, 2)</f>
        <v>7.5</v>
      </c>
      <c r="Y401" s="9">
        <f t="shared" si="104"/>
        <v>31983.9</v>
      </c>
      <c r="AD401" s="4" t="s">
        <v>1224</v>
      </c>
      <c r="AE401" s="4" t="s">
        <v>1225</v>
      </c>
      <c r="AF401" s="4" t="s">
        <v>1202</v>
      </c>
    </row>
    <row r="402" spans="1:35" ht="18" x14ac:dyDescent="0.35">
      <c r="A402" s="11" t="s">
        <v>1226</v>
      </c>
      <c r="B402" s="11"/>
      <c r="C402" s="31" t="s">
        <v>316</v>
      </c>
      <c r="D402" s="21"/>
      <c r="E402" s="21"/>
      <c r="F402" s="32" t="s">
        <v>81</v>
      </c>
      <c r="G402" s="33">
        <v>0.25</v>
      </c>
      <c r="H402" s="21"/>
      <c r="I402" s="33">
        <v>41.005000000000003</v>
      </c>
      <c r="J402" s="35">
        <v>100</v>
      </c>
      <c r="K402" s="12"/>
      <c r="L402" s="12"/>
      <c r="M402" s="35">
        <f>ROUND(ROUND(J402, 2)*I402, 2)</f>
        <v>4100.5</v>
      </c>
      <c r="N402" s="12"/>
      <c r="O402" s="12"/>
      <c r="P402" s="35">
        <v>100</v>
      </c>
      <c r="Q402" s="12"/>
      <c r="R402" s="12"/>
      <c r="S402" s="35">
        <f>ROUND(ROUND(P402, 2)*I402, 2)</f>
        <v>4100.5</v>
      </c>
      <c r="T402" s="12"/>
      <c r="U402" s="36"/>
      <c r="V402" s="9">
        <f>ROUND(ROUND(P402, 2)/1.2, 2)</f>
        <v>83.33</v>
      </c>
      <c r="Y402" s="9">
        <f t="shared" si="104"/>
        <v>3417.08</v>
      </c>
      <c r="AD402" s="4" t="s">
        <v>1227</v>
      </c>
      <c r="AE402" s="4" t="s">
        <v>1228</v>
      </c>
      <c r="AF402" s="4" t="s">
        <v>319</v>
      </c>
    </row>
    <row r="403" spans="1:35" ht="36" x14ac:dyDescent="0.35">
      <c r="A403" s="11" t="s">
        <v>1229</v>
      </c>
      <c r="B403" s="11"/>
      <c r="C403" s="31" t="s">
        <v>1204</v>
      </c>
      <c r="D403" s="21"/>
      <c r="E403" s="21"/>
      <c r="F403" s="32" t="s">
        <v>56</v>
      </c>
      <c r="G403" s="33">
        <v>1.1000000000000001</v>
      </c>
      <c r="H403" s="21"/>
      <c r="I403" s="33">
        <v>180.422</v>
      </c>
      <c r="J403" s="35">
        <v>66.16</v>
      </c>
      <c r="K403" s="12"/>
      <c r="L403" s="12"/>
      <c r="M403" s="35">
        <f>ROUND(ROUND(J403, 2)*I403, 2)</f>
        <v>11936.72</v>
      </c>
      <c r="N403" s="12"/>
      <c r="O403" s="12"/>
      <c r="P403" s="35">
        <v>127.5</v>
      </c>
      <c r="Q403" s="12"/>
      <c r="R403" s="12"/>
      <c r="S403" s="35">
        <f>ROUND(ROUND(P403, 2)*I403, 2)</f>
        <v>23003.81</v>
      </c>
      <c r="T403" s="12"/>
      <c r="U403" s="36"/>
      <c r="V403" s="9">
        <f>ROUND(ROUND(P403, 2)/1.2, 2)</f>
        <v>106.25</v>
      </c>
      <c r="Y403" s="9">
        <f t="shared" si="104"/>
        <v>19169.84</v>
      </c>
      <c r="AD403" s="4" t="s">
        <v>1230</v>
      </c>
      <c r="AE403" s="4" t="s">
        <v>1231</v>
      </c>
      <c r="AF403" s="4" t="s">
        <v>1208</v>
      </c>
    </row>
    <row r="404" spans="1:35" ht="18" x14ac:dyDescent="0.35">
      <c r="A404" s="11" t="s">
        <v>1232</v>
      </c>
      <c r="B404" s="11"/>
      <c r="C404" s="31" t="s">
        <v>1210</v>
      </c>
      <c r="D404" s="21"/>
      <c r="E404" s="21"/>
      <c r="F404" s="32" t="s">
        <v>129</v>
      </c>
      <c r="G404" s="33">
        <v>1</v>
      </c>
      <c r="H404" s="21"/>
      <c r="I404" s="34">
        <v>128</v>
      </c>
      <c r="J404" s="35">
        <v>15.76</v>
      </c>
      <c r="K404" s="12"/>
      <c r="L404" s="12"/>
      <c r="M404" s="35">
        <f>ROUND(ROUND(J404, 2)*I404, 2)</f>
        <v>2017.28</v>
      </c>
      <c r="N404" s="12"/>
      <c r="O404" s="12"/>
      <c r="P404" s="35">
        <v>15.76</v>
      </c>
      <c r="Q404" s="12"/>
      <c r="R404" s="12"/>
      <c r="S404" s="35">
        <f>ROUND(ROUND(P404, 2)*I404, 2)</f>
        <v>2017.28</v>
      </c>
      <c r="T404" s="12"/>
      <c r="U404" s="36"/>
      <c r="V404" s="9">
        <f>ROUND(ROUND(P404, 2)/1.2, 2)</f>
        <v>13.13</v>
      </c>
      <c r="Y404" s="9">
        <f t="shared" si="104"/>
        <v>1681.07</v>
      </c>
      <c r="AD404" s="4" t="s">
        <v>1233</v>
      </c>
      <c r="AE404" s="4" t="s">
        <v>1234</v>
      </c>
      <c r="AF404" s="4" t="s">
        <v>1213</v>
      </c>
    </row>
    <row r="405" spans="1:35" ht="72" x14ac:dyDescent="0.35">
      <c r="A405" s="11" t="s">
        <v>1235</v>
      </c>
      <c r="B405" s="11" t="s">
        <v>1236</v>
      </c>
      <c r="C405" s="20" t="s">
        <v>1237</v>
      </c>
      <c r="D405" s="21" t="s">
        <v>1220</v>
      </c>
      <c r="E405" s="21" t="s">
        <v>1194</v>
      </c>
      <c r="F405" s="21" t="s">
        <v>56</v>
      </c>
      <c r="G405" s="22">
        <v>1</v>
      </c>
      <c r="H405" s="21"/>
      <c r="I405" s="22">
        <v>246.63</v>
      </c>
      <c r="J405" s="23">
        <f>IFERROR(ROUND(SUM(M406,M407,M408,M409)/I405, 2),0)</f>
        <v>331.73</v>
      </c>
      <c r="K405" s="23">
        <v>1074</v>
      </c>
      <c r="L405" s="23">
        <f>J405+ROUND(K405, 2)</f>
        <v>1405.73</v>
      </c>
      <c r="M405" s="23">
        <f>ROUND(J405*I405, 2)</f>
        <v>81814.570000000007</v>
      </c>
      <c r="N405" s="23">
        <f>ROUND(I405*ROUND(K405, 2), 2)</f>
        <v>264880.62</v>
      </c>
      <c r="O405" s="23">
        <f>M405+N405</f>
        <v>346695.19</v>
      </c>
      <c r="P405" s="23">
        <f>IFERROR(ROUND(SUM(S406,S407,S408,S409)/I405, 2),0)</f>
        <v>409.6</v>
      </c>
      <c r="Q405" s="23">
        <v>1074</v>
      </c>
      <c r="R405" s="23">
        <f>P405+ROUND(Q405, 2)</f>
        <v>1483.6</v>
      </c>
      <c r="S405" s="23">
        <f>ROUND(P405*I405, 2)</f>
        <v>101019.65</v>
      </c>
      <c r="T405" s="23">
        <f>ROUND(I405*ROUND(Q405, 2), 2)</f>
        <v>264880.62</v>
      </c>
      <c r="U405" s="23">
        <f>S405+T405</f>
        <v>365900.27</v>
      </c>
      <c r="V405" s="9">
        <f>ROUND(P405 / 1.2, 2)</f>
        <v>341.33</v>
      </c>
      <c r="W405" s="9">
        <f>ROUND(Q405 / 1.2, 2)</f>
        <v>895</v>
      </c>
      <c r="X405" s="9">
        <f>ROUND(R405 / 1.2, 2)</f>
        <v>1236.33</v>
      </c>
      <c r="Y405" s="9">
        <f t="shared" si="104"/>
        <v>84183.039999999994</v>
      </c>
      <c r="Z405" s="9">
        <f>ROUND(T405 / 1.2, 2)</f>
        <v>220733.85</v>
      </c>
      <c r="AA405" s="9">
        <f>Y405+Z405</f>
        <v>304916.89</v>
      </c>
      <c r="AD405" s="4">
        <v>303752426</v>
      </c>
      <c r="AE405" s="4">
        <v>18539040</v>
      </c>
      <c r="AG405" s="4" t="s">
        <v>1238</v>
      </c>
      <c r="AH405" s="4" t="s">
        <v>1239</v>
      </c>
      <c r="AI405" s="4" t="s">
        <v>247</v>
      </c>
    </row>
    <row r="406" spans="1:35" ht="36" x14ac:dyDescent="0.35">
      <c r="A406" s="11" t="s">
        <v>1240</v>
      </c>
      <c r="B406" s="11"/>
      <c r="C406" s="31" t="s">
        <v>1198</v>
      </c>
      <c r="D406" s="21"/>
      <c r="E406" s="21" t="s">
        <v>1199</v>
      </c>
      <c r="F406" s="32" t="s">
        <v>81</v>
      </c>
      <c r="G406" s="33">
        <v>1.3</v>
      </c>
      <c r="H406" s="21"/>
      <c r="I406" s="34">
        <v>6412.38</v>
      </c>
      <c r="J406" s="35">
        <v>8.6</v>
      </c>
      <c r="K406" s="12"/>
      <c r="L406" s="12"/>
      <c r="M406" s="35">
        <f>ROUND(ROUND(J406, 2)*I406, 2)</f>
        <v>55146.47</v>
      </c>
      <c r="N406" s="12"/>
      <c r="O406" s="12"/>
      <c r="P406" s="35">
        <v>9</v>
      </c>
      <c r="Q406" s="12"/>
      <c r="R406" s="12"/>
      <c r="S406" s="35">
        <f>ROUND(ROUND(P406, 2)*I406, 2)</f>
        <v>57711.42</v>
      </c>
      <c r="T406" s="12"/>
      <c r="U406" s="36"/>
      <c r="V406" s="9">
        <f>ROUND(ROUND(P406, 2)/1.2, 2)</f>
        <v>7.5</v>
      </c>
      <c r="Y406" s="9">
        <f t="shared" si="104"/>
        <v>48092.85</v>
      </c>
      <c r="AD406" s="4" t="s">
        <v>1241</v>
      </c>
      <c r="AE406" s="4" t="s">
        <v>1242</v>
      </c>
      <c r="AF406" s="4" t="s">
        <v>1202</v>
      </c>
    </row>
    <row r="407" spans="1:35" ht="36" x14ac:dyDescent="0.35">
      <c r="A407" s="11" t="s">
        <v>1243</v>
      </c>
      <c r="B407" s="11"/>
      <c r="C407" s="31" t="s">
        <v>1204</v>
      </c>
      <c r="D407" s="21"/>
      <c r="E407" s="21"/>
      <c r="F407" s="32" t="s">
        <v>56</v>
      </c>
      <c r="G407" s="33">
        <v>1.1000000000000001</v>
      </c>
      <c r="H407" s="21"/>
      <c r="I407" s="33">
        <v>271.29300000000001</v>
      </c>
      <c r="J407" s="35">
        <v>66.16</v>
      </c>
      <c r="K407" s="12"/>
      <c r="L407" s="12"/>
      <c r="M407" s="35">
        <f>ROUND(ROUND(J407, 2)*I407, 2)</f>
        <v>17948.740000000002</v>
      </c>
      <c r="N407" s="12"/>
      <c r="O407" s="12"/>
      <c r="P407" s="35">
        <v>127.5</v>
      </c>
      <c r="Q407" s="12"/>
      <c r="R407" s="12"/>
      <c r="S407" s="35">
        <f>ROUND(ROUND(P407, 2)*I407, 2)</f>
        <v>34589.86</v>
      </c>
      <c r="T407" s="12"/>
      <c r="U407" s="36"/>
      <c r="V407" s="9">
        <f>ROUND(ROUND(P407, 2)/1.2, 2)</f>
        <v>106.25</v>
      </c>
      <c r="Y407" s="9">
        <f t="shared" si="104"/>
        <v>28824.880000000001</v>
      </c>
      <c r="AD407" s="4" t="s">
        <v>1244</v>
      </c>
      <c r="AE407" s="4" t="s">
        <v>1245</v>
      </c>
      <c r="AF407" s="4" t="s">
        <v>1208</v>
      </c>
    </row>
    <row r="408" spans="1:35" ht="18" x14ac:dyDescent="0.35">
      <c r="A408" s="11" t="s">
        <v>1246</v>
      </c>
      <c r="B408" s="11"/>
      <c r="C408" s="31" t="s">
        <v>1210</v>
      </c>
      <c r="D408" s="21"/>
      <c r="E408" s="21"/>
      <c r="F408" s="32" t="s">
        <v>129</v>
      </c>
      <c r="G408" s="33">
        <v>1</v>
      </c>
      <c r="H408" s="21"/>
      <c r="I408" s="34">
        <v>162</v>
      </c>
      <c r="J408" s="35">
        <v>15.76</v>
      </c>
      <c r="K408" s="12"/>
      <c r="L408" s="12"/>
      <c r="M408" s="35">
        <f>ROUND(ROUND(J408, 2)*I408, 2)</f>
        <v>2553.12</v>
      </c>
      <c r="N408" s="12"/>
      <c r="O408" s="12"/>
      <c r="P408" s="35">
        <v>15.76</v>
      </c>
      <c r="Q408" s="12"/>
      <c r="R408" s="12"/>
      <c r="S408" s="35">
        <f>ROUND(ROUND(P408, 2)*I408, 2)</f>
        <v>2553.12</v>
      </c>
      <c r="T408" s="12"/>
      <c r="U408" s="36"/>
      <c r="V408" s="9">
        <f>ROUND(ROUND(P408, 2)/1.2, 2)</f>
        <v>13.13</v>
      </c>
      <c r="Y408" s="9">
        <f t="shared" si="104"/>
        <v>2127.6</v>
      </c>
      <c r="AD408" s="4" t="s">
        <v>1247</v>
      </c>
      <c r="AE408" s="4" t="s">
        <v>1248</v>
      </c>
      <c r="AF408" s="4" t="s">
        <v>1213</v>
      </c>
    </row>
    <row r="409" spans="1:35" ht="18" x14ac:dyDescent="0.35">
      <c r="A409" s="11" t="s">
        <v>1249</v>
      </c>
      <c r="B409" s="11"/>
      <c r="C409" s="31" t="s">
        <v>316</v>
      </c>
      <c r="D409" s="21"/>
      <c r="E409" s="21"/>
      <c r="F409" s="32" t="s">
        <v>81</v>
      </c>
      <c r="G409" s="33">
        <v>0.25</v>
      </c>
      <c r="H409" s="21"/>
      <c r="I409" s="33">
        <v>61.658000000000001</v>
      </c>
      <c r="J409" s="35">
        <v>100</v>
      </c>
      <c r="K409" s="12"/>
      <c r="L409" s="12"/>
      <c r="M409" s="35">
        <f>ROUND(ROUND(J409, 2)*I409, 2)</f>
        <v>6165.8</v>
      </c>
      <c r="N409" s="12"/>
      <c r="O409" s="12"/>
      <c r="P409" s="35">
        <v>100</v>
      </c>
      <c r="Q409" s="12"/>
      <c r="R409" s="12"/>
      <c r="S409" s="35">
        <f>ROUND(ROUND(P409, 2)*I409, 2)</f>
        <v>6165.8</v>
      </c>
      <c r="T409" s="12"/>
      <c r="U409" s="36"/>
      <c r="V409" s="9">
        <f>ROUND(ROUND(P409, 2)/1.2, 2)</f>
        <v>83.33</v>
      </c>
      <c r="Y409" s="9">
        <f t="shared" si="104"/>
        <v>5138.17</v>
      </c>
      <c r="AD409" s="4" t="s">
        <v>1250</v>
      </c>
      <c r="AE409" s="4" t="s">
        <v>1251</v>
      </c>
      <c r="AF409" s="4" t="s">
        <v>319</v>
      </c>
    </row>
    <row r="410" spans="1:35" ht="17" customHeight="1" x14ac:dyDescent="0.35">
      <c r="A410" s="10" t="s">
        <v>1252</v>
      </c>
      <c r="B410" s="10" t="s">
        <v>1253</v>
      </c>
      <c r="C410" s="100" t="s">
        <v>1254</v>
      </c>
      <c r="D410" s="101"/>
      <c r="E410" s="101"/>
      <c r="F410" s="101"/>
      <c r="G410" s="101"/>
      <c r="H410" s="101"/>
      <c r="I410" s="102"/>
      <c r="M410" s="6">
        <f>SUM(M411,M417,M420,M423,M426)</f>
        <v>280760.78999999998</v>
      </c>
      <c r="N410" s="6">
        <f>SUM(N411,N417,N420,N423,N426)</f>
        <v>1976328.08</v>
      </c>
      <c r="O410" s="6">
        <f>SUM(O411,O417,O420,O423,O426)</f>
        <v>2257088.87</v>
      </c>
      <c r="S410" s="6">
        <f>SUM(S411,S417,S420,S423,S426)</f>
        <v>390547.39</v>
      </c>
      <c r="T410" s="6">
        <f>SUM(T411,T417,T420,T423,T426)</f>
        <v>1976328.08</v>
      </c>
      <c r="U410" s="6">
        <f>SUM(U411,U417,U420,U423,U426)</f>
        <v>2366875.4700000002</v>
      </c>
      <c r="Y410" s="9">
        <f>SUM(Y411,Y417,Y420,Y423,Y426)</f>
        <v>325456.15999999997</v>
      </c>
      <c r="Z410" s="9">
        <f>SUM(Z411,Z417,Z420,Z423,Z426)</f>
        <v>1646940.07</v>
      </c>
      <c r="AA410" s="9">
        <f>SUM(AA411,AA417,AA420,AA423,AA426)</f>
        <v>1972396.23</v>
      </c>
      <c r="AD410" s="4">
        <v>303752427</v>
      </c>
      <c r="AE410" s="4">
        <v>16076860</v>
      </c>
    </row>
    <row r="411" spans="1:35" ht="36" x14ac:dyDescent="0.35">
      <c r="A411" s="38" t="s">
        <v>1255</v>
      </c>
      <c r="B411" s="38" t="s">
        <v>1256</v>
      </c>
      <c r="C411" s="39" t="s">
        <v>1257</v>
      </c>
      <c r="D411" s="40"/>
      <c r="E411" s="40" t="s">
        <v>1258</v>
      </c>
      <c r="F411" s="40" t="s">
        <v>56</v>
      </c>
      <c r="G411" s="41">
        <v>1</v>
      </c>
      <c r="H411" s="40"/>
      <c r="I411" s="42">
        <v>0</v>
      </c>
      <c r="J411" s="43">
        <f>IFERROR(ROUND(SUM(M413,M415)/I411, 2),0)</f>
        <v>0</v>
      </c>
      <c r="K411" s="43">
        <v>276</v>
      </c>
      <c r="L411" s="43">
        <f>J411+ROUND(K411, 2)</f>
        <v>276</v>
      </c>
      <c r="M411" s="43">
        <f>ROUND(J411*I411, 2)</f>
        <v>0</v>
      </c>
      <c r="N411" s="43">
        <f>ROUND(I411*ROUND(K411, 2), 2)</f>
        <v>0</v>
      </c>
      <c r="O411" s="43">
        <f>M411+N411</f>
        <v>0</v>
      </c>
      <c r="P411" s="43">
        <f>IFERROR(ROUND(SUM(S413,S415)/I411, 2),0)</f>
        <v>0</v>
      </c>
      <c r="Q411" s="43">
        <v>251</v>
      </c>
      <c r="R411" s="43">
        <f>P411+ROUND(Q411, 2)</f>
        <v>251</v>
      </c>
      <c r="S411" s="43">
        <f>ROUND(P411*I411, 2)</f>
        <v>0</v>
      </c>
      <c r="T411" s="43">
        <f>ROUND(I411*ROUND(Q411, 2), 2)</f>
        <v>0</v>
      </c>
      <c r="U411" s="43">
        <f>S411+T411</f>
        <v>0</v>
      </c>
      <c r="V411" s="9">
        <f>ROUND(P411 / 1.2, 2)</f>
        <v>0</v>
      </c>
      <c r="W411" s="9">
        <f>ROUND(Q411 / 1.2, 2)</f>
        <v>209.17</v>
      </c>
      <c r="X411" s="9">
        <f>ROUND(R411 / 1.2, 2)</f>
        <v>209.17</v>
      </c>
      <c r="Y411" s="9">
        <f>ROUND(S411 / 1.2, 2)</f>
        <v>0</v>
      </c>
      <c r="Z411" s="9">
        <f>ROUND(T411 / 1.2, 2)</f>
        <v>0</v>
      </c>
      <c r="AA411" s="9">
        <f>Y411+Z411</f>
        <v>0</v>
      </c>
      <c r="AD411" s="4">
        <v>303752429</v>
      </c>
      <c r="AE411" s="4">
        <v>16076863</v>
      </c>
      <c r="AG411" s="4" t="s">
        <v>1259</v>
      </c>
      <c r="AH411" s="4" t="s">
        <v>1260</v>
      </c>
      <c r="AI411" s="4" t="s">
        <v>247</v>
      </c>
    </row>
    <row r="412" spans="1:35" ht="36" x14ac:dyDescent="0.35">
      <c r="A412" s="44" t="s">
        <v>1261</v>
      </c>
      <c r="B412" s="44" t="s">
        <v>1256</v>
      </c>
      <c r="C412" s="45" t="s">
        <v>1257</v>
      </c>
      <c r="D412" s="46"/>
      <c r="E412" s="46" t="s">
        <v>1258</v>
      </c>
      <c r="F412" s="46" t="s">
        <v>56</v>
      </c>
      <c r="G412" s="47">
        <v>1</v>
      </c>
      <c r="H412" s="46"/>
      <c r="I412" s="47">
        <v>754.1</v>
      </c>
      <c r="J412" s="48">
        <v>0</v>
      </c>
      <c r="K412" s="48">
        <v>251</v>
      </c>
      <c r="L412" s="48"/>
      <c r="M412" s="48">
        <v>0</v>
      </c>
      <c r="N412" s="48"/>
      <c r="O412" s="48"/>
      <c r="P412" s="48">
        <v>0</v>
      </c>
      <c r="Q412" s="48">
        <v>251</v>
      </c>
      <c r="R412" s="48"/>
      <c r="S412" s="48">
        <v>0</v>
      </c>
      <c r="T412" s="48"/>
      <c r="U412" s="48"/>
      <c r="V412" s="9"/>
      <c r="W412" s="9">
        <f>ROUND(Q412 / 1.2, 2)</f>
        <v>209.17</v>
      </c>
      <c r="X412" s="9">
        <f>ROUND(R412 / 1.2, 2)</f>
        <v>0</v>
      </c>
      <c r="Y412" s="9"/>
      <c r="Z412" s="9">
        <f>ROUND(T412 / 1.2, 2)</f>
        <v>0</v>
      </c>
      <c r="AA412" s="9"/>
      <c r="AD412" s="4">
        <v>204199111</v>
      </c>
      <c r="AE412" s="4">
        <v>16076863</v>
      </c>
      <c r="AG412" s="4" t="s">
        <v>1259</v>
      </c>
      <c r="AH412" s="4" t="s">
        <v>1260</v>
      </c>
      <c r="AI412" s="4"/>
    </row>
    <row r="413" spans="1:35" ht="36" x14ac:dyDescent="0.35">
      <c r="A413" s="38" t="s">
        <v>1262</v>
      </c>
      <c r="B413" s="38"/>
      <c r="C413" s="49" t="s">
        <v>721</v>
      </c>
      <c r="D413" s="40"/>
      <c r="E413" s="40"/>
      <c r="F413" s="50" t="s">
        <v>81</v>
      </c>
      <c r="G413" s="51">
        <v>0.15</v>
      </c>
      <c r="H413" s="40"/>
      <c r="I413" s="52">
        <v>0</v>
      </c>
      <c r="J413" s="53">
        <v>80</v>
      </c>
      <c r="K413" s="54"/>
      <c r="L413" s="54"/>
      <c r="M413" s="53">
        <f>ROUND(ROUND(J413, 2)*I413, 2)</f>
        <v>0</v>
      </c>
      <c r="N413" s="54"/>
      <c r="O413" s="54"/>
      <c r="P413" s="53">
        <v>80</v>
      </c>
      <c r="Q413" s="54"/>
      <c r="R413" s="54"/>
      <c r="S413" s="53">
        <f>ROUND(ROUND(P413, 2)*I413, 2)</f>
        <v>0</v>
      </c>
      <c r="T413" s="54"/>
      <c r="U413" s="55"/>
      <c r="V413" s="9">
        <f>ROUND(ROUND(P413, 2)/1.2, 2)</f>
        <v>66.67</v>
      </c>
      <c r="Y413" s="9">
        <f t="shared" ref="Y413:Y428" si="105">ROUND(S413 / 1.2, 2)</f>
        <v>0</v>
      </c>
      <c r="AD413" s="4" t="s">
        <v>1263</v>
      </c>
      <c r="AE413" s="4" t="s">
        <v>1264</v>
      </c>
      <c r="AF413" s="4" t="s">
        <v>724</v>
      </c>
    </row>
    <row r="414" spans="1:35" ht="36" x14ac:dyDescent="0.35">
      <c r="A414" s="44" t="s">
        <v>1265</v>
      </c>
      <c r="B414" s="44"/>
      <c r="C414" s="56" t="s">
        <v>721</v>
      </c>
      <c r="D414" s="46"/>
      <c r="E414" s="46"/>
      <c r="F414" s="57" t="s">
        <v>81</v>
      </c>
      <c r="G414" s="58">
        <v>0.15</v>
      </c>
      <c r="H414" s="46"/>
      <c r="I414" s="58">
        <v>113.11499999999999</v>
      </c>
      <c r="J414" s="59">
        <v>80</v>
      </c>
      <c r="K414" s="60"/>
      <c r="L414" s="60"/>
      <c r="M414" s="59">
        <f>ROUND(ROUND(J414, 2)*I414, 2)</f>
        <v>9049.2000000000007</v>
      </c>
      <c r="N414" s="60"/>
      <c r="O414" s="60"/>
      <c r="P414" s="59">
        <v>80</v>
      </c>
      <c r="Q414" s="60"/>
      <c r="R414" s="60"/>
      <c r="S414" s="59">
        <f>ROUND(ROUND(P414, 2)*I414, 2)</f>
        <v>9049.2000000000007</v>
      </c>
      <c r="T414" s="60"/>
      <c r="U414" s="61"/>
      <c r="V414" s="9">
        <f>ROUND(ROUND(P414, 2)/1.2, 2)</f>
        <v>66.67</v>
      </c>
      <c r="Y414" s="9">
        <f t="shared" si="105"/>
        <v>7541</v>
      </c>
      <c r="AD414" s="4" t="s">
        <v>1266</v>
      </c>
      <c r="AE414" s="4" t="s">
        <v>1264</v>
      </c>
      <c r="AF414" s="4" t="s">
        <v>724</v>
      </c>
    </row>
    <row r="415" spans="1:35" ht="90" x14ac:dyDescent="0.35">
      <c r="A415" s="38" t="s">
        <v>1267</v>
      </c>
      <c r="B415" s="38"/>
      <c r="C415" s="49" t="s">
        <v>1268</v>
      </c>
      <c r="D415" s="40"/>
      <c r="E415" s="40" t="s">
        <v>1269</v>
      </c>
      <c r="F415" s="50" t="s">
        <v>81</v>
      </c>
      <c r="G415" s="51">
        <v>0.3</v>
      </c>
      <c r="H415" s="40"/>
      <c r="I415" s="52">
        <v>0</v>
      </c>
      <c r="J415" s="53">
        <v>21.1</v>
      </c>
      <c r="K415" s="54"/>
      <c r="L415" s="54"/>
      <c r="M415" s="53">
        <f>ROUND(ROUND(J415, 2)*I415, 2)</f>
        <v>0</v>
      </c>
      <c r="N415" s="54"/>
      <c r="O415" s="54"/>
      <c r="P415" s="53">
        <v>21.1</v>
      </c>
      <c r="Q415" s="54"/>
      <c r="R415" s="54"/>
      <c r="S415" s="53">
        <f>ROUND(ROUND(P415, 2)*I415, 2)</f>
        <v>0</v>
      </c>
      <c r="T415" s="54"/>
      <c r="U415" s="55"/>
      <c r="V415" s="9">
        <f>ROUND(ROUND(P415, 2)/1.2, 2)</f>
        <v>17.579999999999998</v>
      </c>
      <c r="Y415" s="9">
        <f t="shared" si="105"/>
        <v>0</v>
      </c>
      <c r="AD415" s="4" t="s">
        <v>1270</v>
      </c>
      <c r="AE415" s="4" t="s">
        <v>1271</v>
      </c>
      <c r="AF415" s="4" t="s">
        <v>1272</v>
      </c>
    </row>
    <row r="416" spans="1:35" ht="90" x14ac:dyDescent="0.35">
      <c r="A416" s="44" t="s">
        <v>1273</v>
      </c>
      <c r="B416" s="44"/>
      <c r="C416" s="56" t="s">
        <v>1268</v>
      </c>
      <c r="D416" s="46"/>
      <c r="E416" s="46" t="s">
        <v>1269</v>
      </c>
      <c r="F416" s="57" t="s">
        <v>81</v>
      </c>
      <c r="G416" s="58">
        <v>0.3</v>
      </c>
      <c r="H416" s="46"/>
      <c r="I416" s="58">
        <v>226.23</v>
      </c>
      <c r="J416" s="59">
        <v>21.1</v>
      </c>
      <c r="K416" s="60"/>
      <c r="L416" s="60"/>
      <c r="M416" s="59">
        <f>ROUND(ROUND(J416, 2)*I416, 2)</f>
        <v>4773.45</v>
      </c>
      <c r="N416" s="60"/>
      <c r="O416" s="60"/>
      <c r="P416" s="59">
        <v>21.1</v>
      </c>
      <c r="Q416" s="60"/>
      <c r="R416" s="60"/>
      <c r="S416" s="59">
        <f>ROUND(ROUND(P416, 2)*I416, 2)</f>
        <v>4773.45</v>
      </c>
      <c r="T416" s="60"/>
      <c r="U416" s="61"/>
      <c r="V416" s="9">
        <f>ROUND(ROUND(P416, 2)/1.2, 2)</f>
        <v>17.579999999999998</v>
      </c>
      <c r="Y416" s="9">
        <f t="shared" si="105"/>
        <v>3977.88</v>
      </c>
      <c r="AD416" s="4" t="s">
        <v>1274</v>
      </c>
      <c r="AE416" s="4" t="s">
        <v>1271</v>
      </c>
      <c r="AF416" s="4" t="s">
        <v>1272</v>
      </c>
    </row>
    <row r="417" spans="1:35" ht="36" x14ac:dyDescent="0.35">
      <c r="A417" s="11" t="s">
        <v>1275</v>
      </c>
      <c r="B417" s="11" t="s">
        <v>1276</v>
      </c>
      <c r="C417" s="20" t="s">
        <v>1277</v>
      </c>
      <c r="D417" s="21"/>
      <c r="E417" s="21" t="s">
        <v>1278</v>
      </c>
      <c r="F417" s="21" t="s">
        <v>56</v>
      </c>
      <c r="G417" s="22">
        <v>1</v>
      </c>
      <c r="H417" s="21"/>
      <c r="I417" s="22">
        <v>1049.68</v>
      </c>
      <c r="J417" s="23">
        <f>IFERROR(ROUND(SUM(M418,M419)/I417, 2),0)</f>
        <v>75.650000000000006</v>
      </c>
      <c r="K417" s="23">
        <v>428</v>
      </c>
      <c r="L417" s="23">
        <f>J417+ROUND(K417, 2)</f>
        <v>503.65</v>
      </c>
      <c r="M417" s="23">
        <f>ROUND(J417*I417, 2)</f>
        <v>79408.289999999994</v>
      </c>
      <c r="N417" s="23">
        <f>ROUND(I417*ROUND(K417, 2), 2)</f>
        <v>449263.04</v>
      </c>
      <c r="O417" s="23">
        <f>M417+N417</f>
        <v>528671.32999999996</v>
      </c>
      <c r="P417" s="23">
        <f>IFERROR(ROUND(SUM(S418,S419)/I417, 2),0)</f>
        <v>75.650000000000006</v>
      </c>
      <c r="Q417" s="23">
        <v>428</v>
      </c>
      <c r="R417" s="23">
        <f>P417+ROUND(Q417, 2)</f>
        <v>503.65</v>
      </c>
      <c r="S417" s="23">
        <f>ROUND(P417*I417, 2)</f>
        <v>79408.289999999994</v>
      </c>
      <c r="T417" s="23">
        <f>ROUND(I417*ROUND(Q417, 2), 2)</f>
        <v>449263.04</v>
      </c>
      <c r="U417" s="23">
        <f>S417+T417</f>
        <v>528671.32999999996</v>
      </c>
      <c r="V417" s="9">
        <f>ROUND(P417 / 1.2, 2)</f>
        <v>63.04</v>
      </c>
      <c r="W417" s="9">
        <f>ROUND(Q417 / 1.2, 2)</f>
        <v>356.67</v>
      </c>
      <c r="X417" s="9">
        <f>ROUND(R417 / 1.2, 2)</f>
        <v>419.71</v>
      </c>
      <c r="Y417" s="9">
        <f t="shared" si="105"/>
        <v>66173.58</v>
      </c>
      <c r="Z417" s="9">
        <f>ROUND(T417 / 1.2, 2)</f>
        <v>374385.87</v>
      </c>
      <c r="AA417" s="9">
        <f>Y417+Z417</f>
        <v>440559.45</v>
      </c>
      <c r="AD417" s="4">
        <v>303752431</v>
      </c>
      <c r="AE417" s="4">
        <v>19934100</v>
      </c>
      <c r="AG417" s="4" t="s">
        <v>1279</v>
      </c>
      <c r="AH417" s="4" t="s">
        <v>1280</v>
      </c>
      <c r="AI417" s="4" t="s">
        <v>247</v>
      </c>
    </row>
    <row r="418" spans="1:35" ht="36" x14ac:dyDescent="0.35">
      <c r="A418" s="11" t="s">
        <v>1281</v>
      </c>
      <c r="B418" s="11"/>
      <c r="C418" s="31" t="s">
        <v>1282</v>
      </c>
      <c r="D418" s="21"/>
      <c r="E418" s="21"/>
      <c r="F418" s="32" t="s">
        <v>81</v>
      </c>
      <c r="G418" s="33">
        <v>0.17</v>
      </c>
      <c r="H418" s="21"/>
      <c r="I418" s="33">
        <v>178.446</v>
      </c>
      <c r="J418" s="35">
        <v>366.67</v>
      </c>
      <c r="K418" s="12"/>
      <c r="L418" s="12"/>
      <c r="M418" s="35">
        <f>ROUND(ROUND(J418, 2)*I418, 2)</f>
        <v>65430.79</v>
      </c>
      <c r="N418" s="12"/>
      <c r="O418" s="12"/>
      <c r="P418" s="35">
        <v>366.67</v>
      </c>
      <c r="Q418" s="12"/>
      <c r="R418" s="12"/>
      <c r="S418" s="35">
        <f>ROUND(ROUND(P418, 2)*I418, 2)</f>
        <v>65430.79</v>
      </c>
      <c r="T418" s="12"/>
      <c r="U418" s="36"/>
      <c r="V418" s="9">
        <f>ROUND(ROUND(P418, 2)/1.2, 2)</f>
        <v>305.56</v>
      </c>
      <c r="Y418" s="9">
        <f t="shared" si="105"/>
        <v>54525.66</v>
      </c>
      <c r="AD418" s="4" t="s">
        <v>1283</v>
      </c>
      <c r="AE418" s="4" t="s">
        <v>1284</v>
      </c>
      <c r="AF418" s="4" t="s">
        <v>1285</v>
      </c>
    </row>
    <row r="419" spans="1:35" ht="36" x14ac:dyDescent="0.35">
      <c r="A419" s="11" t="s">
        <v>1286</v>
      </c>
      <c r="B419" s="11"/>
      <c r="C419" s="31" t="s">
        <v>493</v>
      </c>
      <c r="D419" s="21"/>
      <c r="E419" s="21"/>
      <c r="F419" s="32" t="s">
        <v>81</v>
      </c>
      <c r="G419" s="33">
        <v>0.15</v>
      </c>
      <c r="H419" s="21"/>
      <c r="I419" s="33">
        <v>157.452</v>
      </c>
      <c r="J419" s="35">
        <v>88.8</v>
      </c>
      <c r="K419" s="12"/>
      <c r="L419" s="12"/>
      <c r="M419" s="35">
        <f>ROUND(ROUND(J419, 2)*I419, 2)</f>
        <v>13981.74</v>
      </c>
      <c r="N419" s="12"/>
      <c r="O419" s="12"/>
      <c r="P419" s="35">
        <v>88.8</v>
      </c>
      <c r="Q419" s="12"/>
      <c r="R419" s="12"/>
      <c r="S419" s="35">
        <f>ROUND(ROUND(P419, 2)*I419, 2)</f>
        <v>13981.74</v>
      </c>
      <c r="T419" s="12"/>
      <c r="U419" s="36"/>
      <c r="V419" s="9">
        <f>ROUND(ROUND(P419, 2)/1.2, 2)</f>
        <v>74</v>
      </c>
      <c r="Y419" s="9">
        <f t="shared" si="105"/>
        <v>11651.45</v>
      </c>
      <c r="AD419" s="4" t="s">
        <v>1287</v>
      </c>
      <c r="AE419" s="4" t="s">
        <v>1288</v>
      </c>
      <c r="AF419" s="4" t="s">
        <v>496</v>
      </c>
    </row>
    <row r="420" spans="1:35" ht="36" x14ac:dyDescent="0.35">
      <c r="A420" s="11" t="s">
        <v>1289</v>
      </c>
      <c r="B420" s="11" t="s">
        <v>1276</v>
      </c>
      <c r="C420" s="20" t="s">
        <v>1277</v>
      </c>
      <c r="D420" s="21"/>
      <c r="E420" s="21" t="s">
        <v>1290</v>
      </c>
      <c r="F420" s="21" t="s">
        <v>56</v>
      </c>
      <c r="G420" s="22">
        <v>1</v>
      </c>
      <c r="H420" s="21"/>
      <c r="I420" s="22">
        <v>1075.9000000000001</v>
      </c>
      <c r="J420" s="23">
        <f>IFERROR(ROUND(SUM(M421,M422)/I420, 2),0)</f>
        <v>75.650000000000006</v>
      </c>
      <c r="K420" s="23">
        <v>428</v>
      </c>
      <c r="L420" s="23">
        <f>J420+ROUND(K420, 2)</f>
        <v>503.65</v>
      </c>
      <c r="M420" s="23">
        <f>ROUND(J420*I420, 2)</f>
        <v>81391.839999999997</v>
      </c>
      <c r="N420" s="23">
        <f>ROUND(I420*ROUND(K420, 2), 2)</f>
        <v>460485.2</v>
      </c>
      <c r="O420" s="23">
        <f>M420+N420</f>
        <v>541877.04</v>
      </c>
      <c r="P420" s="23">
        <f>IFERROR(ROUND(SUM(S421,S422)/I420, 2),0)</f>
        <v>75.650000000000006</v>
      </c>
      <c r="Q420" s="23">
        <v>428</v>
      </c>
      <c r="R420" s="23">
        <f>P420+ROUND(Q420, 2)</f>
        <v>503.65</v>
      </c>
      <c r="S420" s="23">
        <f>ROUND(P420*I420, 2)</f>
        <v>81391.839999999997</v>
      </c>
      <c r="T420" s="23">
        <f>ROUND(I420*ROUND(Q420, 2), 2)</f>
        <v>460485.2</v>
      </c>
      <c r="U420" s="23">
        <f>S420+T420</f>
        <v>541877.04</v>
      </c>
      <c r="V420" s="9">
        <f>ROUND(P420 / 1.2, 2)</f>
        <v>63.04</v>
      </c>
      <c r="W420" s="9">
        <f>ROUND(Q420 / 1.2, 2)</f>
        <v>356.67</v>
      </c>
      <c r="X420" s="9">
        <f>ROUND(R420 / 1.2, 2)</f>
        <v>419.71</v>
      </c>
      <c r="Y420" s="9">
        <f t="shared" si="105"/>
        <v>67826.53</v>
      </c>
      <c r="Z420" s="9">
        <f>ROUND(T420 / 1.2, 2)</f>
        <v>383737.67</v>
      </c>
      <c r="AA420" s="9">
        <f>Y420+Z420</f>
        <v>451564.19999999995</v>
      </c>
      <c r="AD420" s="4">
        <v>303752498</v>
      </c>
      <c r="AE420" s="4">
        <v>19934099</v>
      </c>
      <c r="AG420" s="4" t="s">
        <v>1279</v>
      </c>
      <c r="AH420" s="4" t="s">
        <v>1280</v>
      </c>
      <c r="AI420" s="4" t="s">
        <v>247</v>
      </c>
    </row>
    <row r="421" spans="1:35" ht="36" x14ac:dyDescent="0.35">
      <c r="A421" s="11" t="s">
        <v>1291</v>
      </c>
      <c r="B421" s="11"/>
      <c r="C421" s="31" t="s">
        <v>493</v>
      </c>
      <c r="D421" s="21"/>
      <c r="E421" s="21"/>
      <c r="F421" s="32" t="s">
        <v>81</v>
      </c>
      <c r="G421" s="33">
        <v>0.15</v>
      </c>
      <c r="H421" s="21"/>
      <c r="I421" s="33">
        <v>161.38499999999999</v>
      </c>
      <c r="J421" s="35">
        <v>88.8</v>
      </c>
      <c r="K421" s="12"/>
      <c r="L421" s="12"/>
      <c r="M421" s="35">
        <f>ROUND(ROUND(J421, 2)*I421, 2)</f>
        <v>14330.99</v>
      </c>
      <c r="N421" s="12"/>
      <c r="O421" s="12"/>
      <c r="P421" s="35">
        <v>88.8</v>
      </c>
      <c r="Q421" s="12"/>
      <c r="R421" s="12"/>
      <c r="S421" s="35">
        <f>ROUND(ROUND(P421, 2)*I421, 2)</f>
        <v>14330.99</v>
      </c>
      <c r="T421" s="12"/>
      <c r="U421" s="36"/>
      <c r="V421" s="9">
        <f>ROUND(ROUND(P421, 2)/1.2, 2)</f>
        <v>74</v>
      </c>
      <c r="Y421" s="9">
        <f t="shared" si="105"/>
        <v>11942.49</v>
      </c>
      <c r="AD421" s="4" t="s">
        <v>1292</v>
      </c>
      <c r="AE421" s="4" t="s">
        <v>1293</v>
      </c>
      <c r="AF421" s="4" t="s">
        <v>496</v>
      </c>
    </row>
    <row r="422" spans="1:35" ht="36" x14ac:dyDescent="0.35">
      <c r="A422" s="11" t="s">
        <v>1294</v>
      </c>
      <c r="B422" s="11"/>
      <c r="C422" s="31" t="s">
        <v>1282</v>
      </c>
      <c r="D422" s="21"/>
      <c r="E422" s="21"/>
      <c r="F422" s="32" t="s">
        <v>81</v>
      </c>
      <c r="G422" s="33">
        <v>0.17</v>
      </c>
      <c r="H422" s="21"/>
      <c r="I422" s="33">
        <v>182.90299999999999</v>
      </c>
      <c r="J422" s="35">
        <v>366.67</v>
      </c>
      <c r="K422" s="12"/>
      <c r="L422" s="12"/>
      <c r="M422" s="35">
        <f>ROUND(ROUND(J422, 2)*I422, 2)</f>
        <v>67065.039999999994</v>
      </c>
      <c r="N422" s="12"/>
      <c r="O422" s="12"/>
      <c r="P422" s="35">
        <v>366.67</v>
      </c>
      <c r="Q422" s="12"/>
      <c r="R422" s="12"/>
      <c r="S422" s="35">
        <f>ROUND(ROUND(P422, 2)*I422, 2)</f>
        <v>67065.039999999994</v>
      </c>
      <c r="T422" s="12"/>
      <c r="U422" s="36"/>
      <c r="V422" s="9">
        <f>ROUND(ROUND(P422, 2)/1.2, 2)</f>
        <v>305.56</v>
      </c>
      <c r="Y422" s="9">
        <f t="shared" si="105"/>
        <v>55887.53</v>
      </c>
      <c r="AD422" s="4" t="s">
        <v>1295</v>
      </c>
      <c r="AE422" s="4" t="s">
        <v>1296</v>
      </c>
      <c r="AF422" s="4" t="s">
        <v>1285</v>
      </c>
    </row>
    <row r="423" spans="1:35" ht="36" x14ac:dyDescent="0.35">
      <c r="A423" s="11" t="s">
        <v>1297</v>
      </c>
      <c r="B423" s="11" t="s">
        <v>1276</v>
      </c>
      <c r="C423" s="20" t="s">
        <v>1277</v>
      </c>
      <c r="D423" s="21"/>
      <c r="E423" s="21" t="s">
        <v>1298</v>
      </c>
      <c r="F423" s="21" t="s">
        <v>56</v>
      </c>
      <c r="G423" s="22">
        <v>1</v>
      </c>
      <c r="H423" s="21"/>
      <c r="I423" s="22">
        <v>1410</v>
      </c>
      <c r="J423" s="23">
        <f>IFERROR(ROUND(SUM(M424,M425)/I423, 2),0)</f>
        <v>75.650000000000006</v>
      </c>
      <c r="K423" s="23">
        <v>428</v>
      </c>
      <c r="L423" s="23">
        <f>J423+ROUND(K423, 2)</f>
        <v>503.65</v>
      </c>
      <c r="M423" s="23">
        <f>ROUND(J423*I423, 2)</f>
        <v>106666.5</v>
      </c>
      <c r="N423" s="23">
        <f>ROUND(I423*ROUND(K423, 2), 2)</f>
        <v>603480</v>
      </c>
      <c r="O423" s="23">
        <f>M423+N423</f>
        <v>710146.5</v>
      </c>
      <c r="P423" s="23">
        <f>IFERROR(ROUND(SUM(S424,S425)/I423, 2),0)</f>
        <v>75.650000000000006</v>
      </c>
      <c r="Q423" s="23">
        <v>428</v>
      </c>
      <c r="R423" s="23">
        <f>P423+ROUND(Q423, 2)</f>
        <v>503.65</v>
      </c>
      <c r="S423" s="23">
        <f>ROUND(P423*I423, 2)</f>
        <v>106666.5</v>
      </c>
      <c r="T423" s="23">
        <f>ROUND(I423*ROUND(Q423, 2), 2)</f>
        <v>603480</v>
      </c>
      <c r="U423" s="23">
        <f>S423+T423</f>
        <v>710146.5</v>
      </c>
      <c r="V423" s="9">
        <f>ROUND(P423 / 1.2, 2)</f>
        <v>63.04</v>
      </c>
      <c r="W423" s="9">
        <f>ROUND(Q423 / 1.2, 2)</f>
        <v>356.67</v>
      </c>
      <c r="X423" s="9">
        <f>ROUND(R423 / 1.2, 2)</f>
        <v>419.71</v>
      </c>
      <c r="Y423" s="9">
        <f t="shared" si="105"/>
        <v>88888.75</v>
      </c>
      <c r="Z423" s="9">
        <f>ROUND(T423 / 1.2, 2)</f>
        <v>502900</v>
      </c>
      <c r="AA423" s="9">
        <f>Y423+Z423</f>
        <v>591788.75</v>
      </c>
      <c r="AD423" s="4">
        <v>303752499</v>
      </c>
      <c r="AE423" s="4">
        <v>19934098</v>
      </c>
      <c r="AG423" s="4" t="s">
        <v>1279</v>
      </c>
      <c r="AH423" s="4" t="s">
        <v>1280</v>
      </c>
      <c r="AI423" s="4" t="s">
        <v>247</v>
      </c>
    </row>
    <row r="424" spans="1:35" ht="36" x14ac:dyDescent="0.35">
      <c r="A424" s="11" t="s">
        <v>1299</v>
      </c>
      <c r="B424" s="11"/>
      <c r="C424" s="31" t="s">
        <v>493</v>
      </c>
      <c r="D424" s="21"/>
      <c r="E424" s="21"/>
      <c r="F424" s="32" t="s">
        <v>81</v>
      </c>
      <c r="G424" s="33">
        <v>0.15</v>
      </c>
      <c r="H424" s="21"/>
      <c r="I424" s="33">
        <v>211.5</v>
      </c>
      <c r="J424" s="35">
        <v>88.8</v>
      </c>
      <c r="K424" s="12"/>
      <c r="L424" s="12"/>
      <c r="M424" s="35">
        <f>ROUND(ROUND(J424, 2)*I424, 2)</f>
        <v>18781.2</v>
      </c>
      <c r="N424" s="12"/>
      <c r="O424" s="12"/>
      <c r="P424" s="35">
        <v>88.8</v>
      </c>
      <c r="Q424" s="12"/>
      <c r="R424" s="12"/>
      <c r="S424" s="35">
        <f>ROUND(ROUND(P424, 2)*I424, 2)</f>
        <v>18781.2</v>
      </c>
      <c r="T424" s="12"/>
      <c r="U424" s="36"/>
      <c r="V424" s="9">
        <f>ROUND(ROUND(P424, 2)/1.2, 2)</f>
        <v>74</v>
      </c>
      <c r="Y424" s="9">
        <f t="shared" si="105"/>
        <v>15651</v>
      </c>
      <c r="AD424" s="4" t="s">
        <v>1300</v>
      </c>
      <c r="AE424" s="4" t="s">
        <v>1301</v>
      </c>
      <c r="AF424" s="4" t="s">
        <v>496</v>
      </c>
    </row>
    <row r="425" spans="1:35" ht="36" x14ac:dyDescent="0.35">
      <c r="A425" s="11" t="s">
        <v>1302</v>
      </c>
      <c r="B425" s="11"/>
      <c r="C425" s="31" t="s">
        <v>1282</v>
      </c>
      <c r="D425" s="21"/>
      <c r="E425" s="21"/>
      <c r="F425" s="32" t="s">
        <v>81</v>
      </c>
      <c r="G425" s="33">
        <v>0.17</v>
      </c>
      <c r="H425" s="21"/>
      <c r="I425" s="33">
        <v>239.7</v>
      </c>
      <c r="J425" s="35">
        <v>366.67</v>
      </c>
      <c r="K425" s="12"/>
      <c r="L425" s="12"/>
      <c r="M425" s="35">
        <f>ROUND(ROUND(J425, 2)*I425, 2)</f>
        <v>87890.8</v>
      </c>
      <c r="N425" s="12"/>
      <c r="O425" s="12"/>
      <c r="P425" s="35">
        <v>366.67</v>
      </c>
      <c r="Q425" s="12"/>
      <c r="R425" s="12"/>
      <c r="S425" s="35">
        <f>ROUND(ROUND(P425, 2)*I425, 2)</f>
        <v>87890.8</v>
      </c>
      <c r="T425" s="12"/>
      <c r="U425" s="36"/>
      <c r="V425" s="9">
        <f>ROUND(ROUND(P425, 2)/1.2, 2)</f>
        <v>305.56</v>
      </c>
      <c r="Y425" s="9">
        <f t="shared" si="105"/>
        <v>73242.33</v>
      </c>
      <c r="AD425" s="4" t="s">
        <v>1303</v>
      </c>
      <c r="AE425" s="4" t="s">
        <v>1304</v>
      </c>
      <c r="AF425" s="4" t="s">
        <v>1285</v>
      </c>
    </row>
    <row r="426" spans="1:35" ht="36" x14ac:dyDescent="0.35">
      <c r="A426" s="11" t="s">
        <v>1305</v>
      </c>
      <c r="B426" s="11" t="s">
        <v>1306</v>
      </c>
      <c r="C426" s="20" t="s">
        <v>1307</v>
      </c>
      <c r="D426" s="21"/>
      <c r="E426" s="21" t="s">
        <v>1308</v>
      </c>
      <c r="F426" s="21" t="s">
        <v>56</v>
      </c>
      <c r="G426" s="22">
        <v>1</v>
      </c>
      <c r="H426" s="21"/>
      <c r="I426" s="22">
        <v>998.06</v>
      </c>
      <c r="J426" s="23">
        <f>IFERROR(ROUND(SUM(M427,M428)/I426, 2),0)</f>
        <v>13.32</v>
      </c>
      <c r="K426" s="23">
        <v>464</v>
      </c>
      <c r="L426" s="23">
        <f>J426+ROUND(K426, 2)</f>
        <v>477.32</v>
      </c>
      <c r="M426" s="23">
        <f>ROUND(J426*I426, 2)</f>
        <v>13294.16</v>
      </c>
      <c r="N426" s="23">
        <f>ROUND(I426*ROUND(K426, 2), 2)</f>
        <v>463099.84</v>
      </c>
      <c r="O426" s="23">
        <f>M426+N426</f>
        <v>476394</v>
      </c>
      <c r="P426" s="23">
        <f>IFERROR(ROUND(SUM(S427,S428)/I426, 2),0)</f>
        <v>123.32</v>
      </c>
      <c r="Q426" s="23">
        <v>464</v>
      </c>
      <c r="R426" s="23">
        <f>P426+ROUND(Q426, 2)</f>
        <v>587.31999999999994</v>
      </c>
      <c r="S426" s="23">
        <f>ROUND(P426*I426, 2)</f>
        <v>123080.76</v>
      </c>
      <c r="T426" s="23">
        <f>ROUND(I426*ROUND(Q426, 2), 2)</f>
        <v>463099.84</v>
      </c>
      <c r="U426" s="23">
        <f>S426+T426</f>
        <v>586180.6</v>
      </c>
      <c r="V426" s="9">
        <f>ROUND(P426 / 1.2, 2)</f>
        <v>102.77</v>
      </c>
      <c r="W426" s="9">
        <f>ROUND(Q426 / 1.2, 2)</f>
        <v>386.67</v>
      </c>
      <c r="X426" s="9">
        <f>ROUND(R426 / 1.2, 2)</f>
        <v>489.43</v>
      </c>
      <c r="Y426" s="9">
        <f t="shared" si="105"/>
        <v>102567.3</v>
      </c>
      <c r="Z426" s="9">
        <f>ROUND(T426 / 1.2, 2)</f>
        <v>385916.53</v>
      </c>
      <c r="AA426" s="9">
        <f>Y426+Z426</f>
        <v>488483.83</v>
      </c>
      <c r="AD426" s="4">
        <v>303752432</v>
      </c>
      <c r="AE426" s="4">
        <v>19918753</v>
      </c>
      <c r="AG426" s="4" t="s">
        <v>1309</v>
      </c>
      <c r="AH426" s="4" t="s">
        <v>1310</v>
      </c>
      <c r="AI426" s="4" t="s">
        <v>247</v>
      </c>
    </row>
    <row r="427" spans="1:35" ht="54" x14ac:dyDescent="0.35">
      <c r="A427" s="11" t="s">
        <v>1311</v>
      </c>
      <c r="B427" s="11"/>
      <c r="C427" s="31" t="s">
        <v>1312</v>
      </c>
      <c r="D427" s="21"/>
      <c r="E427" s="21"/>
      <c r="F427" s="32" t="s">
        <v>81</v>
      </c>
      <c r="G427" s="33">
        <v>0.3</v>
      </c>
      <c r="H427" s="21"/>
      <c r="I427" s="33">
        <v>299.41800000000001</v>
      </c>
      <c r="J427" s="35">
        <v>0</v>
      </c>
      <c r="K427" s="12"/>
      <c r="L427" s="12"/>
      <c r="M427" s="35">
        <f>ROUND(ROUND(J427, 2)*I427, 2)</f>
        <v>0</v>
      </c>
      <c r="N427" s="12"/>
      <c r="O427" s="12"/>
      <c r="P427" s="35">
        <v>366.67</v>
      </c>
      <c r="Q427" s="12"/>
      <c r="R427" s="12"/>
      <c r="S427" s="35">
        <f>ROUND(ROUND(P427, 2)*I427, 2)</f>
        <v>109787.6</v>
      </c>
      <c r="T427" s="12"/>
      <c r="U427" s="36"/>
      <c r="V427" s="9">
        <f>ROUND(ROUND(P427, 2)/1.2, 2)</f>
        <v>305.56</v>
      </c>
      <c r="Y427" s="9">
        <f t="shared" si="105"/>
        <v>91489.67</v>
      </c>
      <c r="AD427" s="4" t="s">
        <v>1313</v>
      </c>
      <c r="AE427" s="4" t="s">
        <v>1314</v>
      </c>
      <c r="AF427" s="4" t="s">
        <v>1315</v>
      </c>
    </row>
    <row r="428" spans="1:35" ht="36" x14ac:dyDescent="0.35">
      <c r="A428" s="11" t="s">
        <v>1316</v>
      </c>
      <c r="B428" s="11"/>
      <c r="C428" s="31" t="s">
        <v>493</v>
      </c>
      <c r="D428" s="21"/>
      <c r="E428" s="21"/>
      <c r="F428" s="32" t="s">
        <v>81</v>
      </c>
      <c r="G428" s="33">
        <v>0.15</v>
      </c>
      <c r="H428" s="21"/>
      <c r="I428" s="33">
        <v>149.709</v>
      </c>
      <c r="J428" s="35">
        <v>88.8</v>
      </c>
      <c r="K428" s="12"/>
      <c r="L428" s="12"/>
      <c r="M428" s="35">
        <f>ROUND(ROUND(J428, 2)*I428, 2)</f>
        <v>13294.16</v>
      </c>
      <c r="N428" s="12"/>
      <c r="O428" s="12"/>
      <c r="P428" s="35">
        <v>88.8</v>
      </c>
      <c r="Q428" s="12"/>
      <c r="R428" s="12"/>
      <c r="S428" s="35">
        <f>ROUND(ROUND(P428, 2)*I428, 2)</f>
        <v>13294.16</v>
      </c>
      <c r="T428" s="12"/>
      <c r="U428" s="36"/>
      <c r="V428" s="9">
        <f>ROUND(ROUND(P428, 2)/1.2, 2)</f>
        <v>74</v>
      </c>
      <c r="Y428" s="9">
        <f t="shared" si="105"/>
        <v>11078.47</v>
      </c>
      <c r="AD428" s="4" t="s">
        <v>1317</v>
      </c>
      <c r="AE428" s="4" t="s">
        <v>1318</v>
      </c>
      <c r="AF428" s="4" t="s">
        <v>496</v>
      </c>
    </row>
    <row r="429" spans="1:35" ht="17" customHeight="1" x14ac:dyDescent="0.35">
      <c r="A429" s="11" t="s">
        <v>1319</v>
      </c>
      <c r="B429" s="11" t="s">
        <v>1320</v>
      </c>
      <c r="C429" s="109" t="s">
        <v>1321</v>
      </c>
      <c r="D429" s="110"/>
      <c r="E429" s="110"/>
      <c r="F429" s="110"/>
      <c r="G429" s="110"/>
      <c r="H429" s="110"/>
      <c r="I429" s="111"/>
      <c r="J429" s="12"/>
      <c r="K429" s="12"/>
      <c r="L429" s="12"/>
      <c r="M429" s="13">
        <f>SUM(M430,M434,M437,M441,M444,M447,M451,M454,M457,M460,M463,M466,M469,M473,M480)</f>
        <v>65898.990000000005</v>
      </c>
      <c r="N429" s="13">
        <f>SUM(N430,N434,N437,N441,N444,N447,N451,N454,N457,N460,N463,N466,N469,N473,N480)</f>
        <v>383412.62999999995</v>
      </c>
      <c r="O429" s="13">
        <f>SUM(O430,O434,O437,O441,O444,O447,O451,O454,O457,O460,O463,O466,O469,O473,O480)</f>
        <v>449311.62</v>
      </c>
      <c r="P429" s="12"/>
      <c r="Q429" s="12"/>
      <c r="R429" s="12"/>
      <c r="S429" s="13">
        <f>SUM(S430,S434,S437,S441,S444,S447,S451,S454,S457,S460,S463,S466,S469,S473,S480)</f>
        <v>143676.78999999998</v>
      </c>
      <c r="T429" s="13">
        <f>SUM(T430,T434,T437,T441,T444,T447,T451,T454,T457,T460,T463,T466,T469,T473,T480)</f>
        <v>383412.62999999995</v>
      </c>
      <c r="U429" s="13">
        <f>SUM(U430,U434,U437,U441,U444,U447,U451,U454,U457,U460,U463,U466,U469,U473,U480)</f>
        <v>527089.41999999993</v>
      </c>
      <c r="Y429" s="9">
        <f>SUM(Y430,Y434,Y437,Y441,Y444,Y447,Y451,Y454,Y457,Y460,Y463,Y466,Y469,Y473,Y480)</f>
        <v>119730.68</v>
      </c>
      <c r="Z429" s="9">
        <f>SUM(Z430,Z434,Z437,Z441,Z444,Z447,Z451,Z454,Z457,Z460,Z463,Z466,Z469,Z473,Z480)</f>
        <v>319510.53999999998</v>
      </c>
      <c r="AA429" s="9">
        <f>SUM(AA430,AA434,AA437,AA441,AA444,AA447,AA451,AA454,AA457,AA460,AA463,AA466,AA469,AA473,AA480)</f>
        <v>439241.22000000003</v>
      </c>
      <c r="AD429" s="4">
        <v>303752433</v>
      </c>
      <c r="AE429" s="4">
        <v>18541165</v>
      </c>
    </row>
    <row r="430" spans="1:35" ht="54" x14ac:dyDescent="0.35">
      <c r="A430" s="11" t="s">
        <v>1322</v>
      </c>
      <c r="B430" s="11" t="s">
        <v>1323</v>
      </c>
      <c r="C430" s="20" t="s">
        <v>1324</v>
      </c>
      <c r="D430" s="21"/>
      <c r="E430" s="21" t="s">
        <v>1325</v>
      </c>
      <c r="F430" s="21" t="s">
        <v>56</v>
      </c>
      <c r="G430" s="22">
        <v>1</v>
      </c>
      <c r="H430" s="21"/>
      <c r="I430" s="22">
        <v>25.45</v>
      </c>
      <c r="J430" s="23">
        <f>IFERROR(ROUND(SUM(M431,M432,M433)/I430, 2),0)</f>
        <v>151.59</v>
      </c>
      <c r="K430" s="23">
        <v>1001</v>
      </c>
      <c r="L430" s="23">
        <f>J430+ROUND(K430, 2)</f>
        <v>1152.5899999999999</v>
      </c>
      <c r="M430" s="23">
        <f>ROUND(J430*I430, 2)</f>
        <v>3857.97</v>
      </c>
      <c r="N430" s="23">
        <f>ROUND(I430*ROUND(K430, 2), 2)</f>
        <v>25475.45</v>
      </c>
      <c r="O430" s="23">
        <f>M430+N430</f>
        <v>29333.420000000002</v>
      </c>
      <c r="P430" s="23">
        <f>IFERROR(ROUND(SUM(S431,S432,S433)/I430, 2),0)</f>
        <v>175.84</v>
      </c>
      <c r="Q430" s="23">
        <v>1001</v>
      </c>
      <c r="R430" s="23">
        <f>P430+ROUND(Q430, 2)</f>
        <v>1176.8399999999999</v>
      </c>
      <c r="S430" s="23">
        <f>ROUND(P430*I430, 2)</f>
        <v>4475.13</v>
      </c>
      <c r="T430" s="23">
        <f>ROUND(I430*ROUND(Q430, 2), 2)</f>
        <v>25475.45</v>
      </c>
      <c r="U430" s="23">
        <f>S430+T430</f>
        <v>29950.58</v>
      </c>
      <c r="V430" s="9">
        <f>ROUND(P430 / 1.2, 2)</f>
        <v>146.53</v>
      </c>
      <c r="W430" s="9">
        <f>ROUND(Q430 / 1.2, 2)</f>
        <v>834.17</v>
      </c>
      <c r="X430" s="9">
        <f>ROUND(R430 / 1.2, 2)</f>
        <v>980.7</v>
      </c>
      <c r="Y430" s="9">
        <f>ROUND(S430 / 1.2, 2)</f>
        <v>3729.28</v>
      </c>
      <c r="Z430" s="9">
        <f>ROUND(T430 / 1.2, 2)</f>
        <v>21229.54</v>
      </c>
      <c r="AA430" s="9">
        <f>Y430+Z430</f>
        <v>24958.82</v>
      </c>
      <c r="AD430" s="4">
        <v>303752435</v>
      </c>
      <c r="AE430" s="4">
        <v>18541176</v>
      </c>
      <c r="AG430" s="4" t="s">
        <v>1326</v>
      </c>
      <c r="AH430" s="4" t="s">
        <v>1327</v>
      </c>
      <c r="AI430" s="4" t="s">
        <v>247</v>
      </c>
    </row>
    <row r="431" spans="1:35" ht="36" x14ac:dyDescent="0.35">
      <c r="A431" s="11" t="s">
        <v>1328</v>
      </c>
      <c r="B431" s="11"/>
      <c r="C431" s="31" t="s">
        <v>854</v>
      </c>
      <c r="D431" s="21"/>
      <c r="E431" s="21" t="s">
        <v>855</v>
      </c>
      <c r="F431" s="32" t="s">
        <v>81</v>
      </c>
      <c r="G431" s="33">
        <v>5</v>
      </c>
      <c r="H431" s="21"/>
      <c r="I431" s="33">
        <v>127.25</v>
      </c>
      <c r="J431" s="35">
        <v>23</v>
      </c>
      <c r="K431" s="12"/>
      <c r="L431" s="12"/>
      <c r="M431" s="35">
        <f>ROUND(ROUND(J431, 2)*I431, 2)</f>
        <v>2926.75</v>
      </c>
      <c r="N431" s="12"/>
      <c r="O431" s="12"/>
      <c r="P431" s="35">
        <v>27.85</v>
      </c>
      <c r="Q431" s="12"/>
      <c r="R431" s="12"/>
      <c r="S431" s="35">
        <f>ROUND(ROUND(P431, 2)*I431, 2)</f>
        <v>3543.91</v>
      </c>
      <c r="T431" s="12"/>
      <c r="U431" s="36"/>
      <c r="V431" s="9">
        <f>ROUND(ROUND(P431, 2)/1.2, 2)</f>
        <v>23.21</v>
      </c>
      <c r="Y431" s="9">
        <f t="shared" ref="Y431:Y462" si="106">ROUND(S431 / 1.2, 2)</f>
        <v>2953.26</v>
      </c>
      <c r="AD431" s="4" t="s">
        <v>1329</v>
      </c>
      <c r="AE431" s="4" t="s">
        <v>1330</v>
      </c>
      <c r="AF431" s="4" t="s">
        <v>858</v>
      </c>
    </row>
    <row r="432" spans="1:35" ht="36" x14ac:dyDescent="0.35">
      <c r="A432" s="11" t="s">
        <v>1331</v>
      </c>
      <c r="B432" s="11"/>
      <c r="C432" s="31" t="s">
        <v>1036</v>
      </c>
      <c r="D432" s="21"/>
      <c r="E432" s="21"/>
      <c r="F432" s="32" t="s">
        <v>103</v>
      </c>
      <c r="G432" s="33">
        <v>0.3</v>
      </c>
      <c r="H432" s="21"/>
      <c r="I432" s="34">
        <v>8.1</v>
      </c>
      <c r="J432" s="35">
        <v>73.099999999999994</v>
      </c>
      <c r="K432" s="12"/>
      <c r="L432" s="12"/>
      <c r="M432" s="35">
        <f>ROUND(ROUND(J432, 2)*I432, 2)</f>
        <v>592.11</v>
      </c>
      <c r="N432" s="12"/>
      <c r="O432" s="12"/>
      <c r="P432" s="35">
        <v>73.099999999999994</v>
      </c>
      <c r="Q432" s="12"/>
      <c r="R432" s="12"/>
      <c r="S432" s="35">
        <f>ROUND(ROUND(P432, 2)*I432, 2)</f>
        <v>592.11</v>
      </c>
      <c r="T432" s="12"/>
      <c r="U432" s="36"/>
      <c r="V432" s="9">
        <f>ROUND(ROUND(P432, 2)/1.2, 2)</f>
        <v>60.92</v>
      </c>
      <c r="Y432" s="9">
        <f t="shared" si="106"/>
        <v>493.43</v>
      </c>
      <c r="AD432" s="4" t="s">
        <v>1332</v>
      </c>
      <c r="AE432" s="4" t="s">
        <v>1333</v>
      </c>
      <c r="AF432" s="4" t="s">
        <v>1039</v>
      </c>
    </row>
    <row r="433" spans="1:35" ht="36" x14ac:dyDescent="0.35">
      <c r="A433" s="11" t="s">
        <v>1334</v>
      </c>
      <c r="B433" s="11"/>
      <c r="C433" s="31" t="s">
        <v>493</v>
      </c>
      <c r="D433" s="21"/>
      <c r="E433" s="21"/>
      <c r="F433" s="32" t="s">
        <v>81</v>
      </c>
      <c r="G433" s="33">
        <v>0.15</v>
      </c>
      <c r="H433" s="21"/>
      <c r="I433" s="33">
        <v>3.8180000000000001</v>
      </c>
      <c r="J433" s="35">
        <v>88.8</v>
      </c>
      <c r="K433" s="12"/>
      <c r="L433" s="12"/>
      <c r="M433" s="35">
        <f>ROUND(ROUND(J433, 2)*I433, 2)</f>
        <v>339.04</v>
      </c>
      <c r="N433" s="12"/>
      <c r="O433" s="12"/>
      <c r="P433" s="35">
        <v>88.8</v>
      </c>
      <c r="Q433" s="12"/>
      <c r="R433" s="12"/>
      <c r="S433" s="35">
        <f>ROUND(ROUND(P433, 2)*I433, 2)</f>
        <v>339.04</v>
      </c>
      <c r="T433" s="12"/>
      <c r="U433" s="36"/>
      <c r="V433" s="9">
        <f>ROUND(ROUND(P433, 2)/1.2, 2)</f>
        <v>74</v>
      </c>
      <c r="Y433" s="9">
        <f t="shared" si="106"/>
        <v>282.52999999999997</v>
      </c>
      <c r="AD433" s="4" t="s">
        <v>1335</v>
      </c>
      <c r="AE433" s="4" t="s">
        <v>1336</v>
      </c>
      <c r="AF433" s="4" t="s">
        <v>496</v>
      </c>
    </row>
    <row r="434" spans="1:35" ht="54" x14ac:dyDescent="0.35">
      <c r="A434" s="11" t="s">
        <v>1337</v>
      </c>
      <c r="B434" s="11" t="s">
        <v>1323</v>
      </c>
      <c r="C434" s="20" t="s">
        <v>1324</v>
      </c>
      <c r="D434" s="21"/>
      <c r="E434" s="21" t="s">
        <v>1338</v>
      </c>
      <c r="F434" s="21" t="s">
        <v>56</v>
      </c>
      <c r="G434" s="22">
        <v>1</v>
      </c>
      <c r="H434" s="21"/>
      <c r="I434" s="22">
        <v>25.45</v>
      </c>
      <c r="J434" s="23">
        <f>IFERROR(ROUND(SUM(M435,M436)/I434, 2),0)</f>
        <v>128.32</v>
      </c>
      <c r="K434" s="23">
        <v>1001</v>
      </c>
      <c r="L434" s="23">
        <f>J434+ROUND(K434, 2)</f>
        <v>1129.32</v>
      </c>
      <c r="M434" s="23">
        <f>ROUND(J434*I434, 2)</f>
        <v>3265.74</v>
      </c>
      <c r="N434" s="23">
        <f>ROUND(I434*ROUND(K434, 2), 2)</f>
        <v>25475.45</v>
      </c>
      <c r="O434" s="23">
        <f>M434+N434</f>
        <v>28741.190000000002</v>
      </c>
      <c r="P434" s="23">
        <f>IFERROR(ROUND(SUM(S435,S436)/I434, 2),0)</f>
        <v>174.87</v>
      </c>
      <c r="Q434" s="23">
        <v>1001</v>
      </c>
      <c r="R434" s="23">
        <f>P434+ROUND(Q434, 2)</f>
        <v>1175.8699999999999</v>
      </c>
      <c r="S434" s="23">
        <f>ROUND(P434*I434, 2)</f>
        <v>4450.4399999999996</v>
      </c>
      <c r="T434" s="23">
        <f>ROUND(I434*ROUND(Q434, 2), 2)</f>
        <v>25475.45</v>
      </c>
      <c r="U434" s="23">
        <f>S434+T434</f>
        <v>29925.89</v>
      </c>
      <c r="V434" s="9">
        <f>ROUND(P434 / 1.2, 2)</f>
        <v>145.72999999999999</v>
      </c>
      <c r="W434" s="9">
        <f>ROUND(Q434 / 1.2, 2)</f>
        <v>834.17</v>
      </c>
      <c r="X434" s="9">
        <f>ROUND(R434 / 1.2, 2)</f>
        <v>979.89</v>
      </c>
      <c r="Y434" s="9">
        <f t="shared" si="106"/>
        <v>3708.7</v>
      </c>
      <c r="Z434" s="9">
        <f>ROUND(T434 / 1.2, 2)</f>
        <v>21229.54</v>
      </c>
      <c r="AA434" s="9">
        <f>Y434+Z434</f>
        <v>24938.240000000002</v>
      </c>
      <c r="AD434" s="4">
        <v>303752500</v>
      </c>
      <c r="AE434" s="4">
        <v>18541177</v>
      </c>
      <c r="AG434" s="4" t="s">
        <v>1326</v>
      </c>
      <c r="AH434" s="4" t="s">
        <v>1327</v>
      </c>
      <c r="AI434" s="4" t="s">
        <v>247</v>
      </c>
    </row>
    <row r="435" spans="1:35" ht="36" x14ac:dyDescent="0.35">
      <c r="A435" s="11" t="s">
        <v>1339</v>
      </c>
      <c r="B435" s="11"/>
      <c r="C435" s="31" t="s">
        <v>493</v>
      </c>
      <c r="D435" s="21"/>
      <c r="E435" s="21"/>
      <c r="F435" s="32" t="s">
        <v>81</v>
      </c>
      <c r="G435" s="33">
        <v>0.15</v>
      </c>
      <c r="H435" s="21"/>
      <c r="I435" s="33">
        <v>3.8180000000000001</v>
      </c>
      <c r="J435" s="35">
        <v>88.8</v>
      </c>
      <c r="K435" s="12"/>
      <c r="L435" s="12"/>
      <c r="M435" s="35">
        <f>ROUND(ROUND(J435, 2)*I435, 2)</f>
        <v>339.04</v>
      </c>
      <c r="N435" s="12"/>
      <c r="O435" s="12"/>
      <c r="P435" s="35">
        <v>88.8</v>
      </c>
      <c r="Q435" s="12"/>
      <c r="R435" s="12"/>
      <c r="S435" s="35">
        <f>ROUND(ROUND(P435, 2)*I435, 2)</f>
        <v>339.04</v>
      </c>
      <c r="T435" s="12"/>
      <c r="U435" s="36"/>
      <c r="V435" s="9">
        <f>ROUND(ROUND(P435, 2)/1.2, 2)</f>
        <v>74</v>
      </c>
      <c r="Y435" s="9">
        <f t="shared" si="106"/>
        <v>282.52999999999997</v>
      </c>
      <c r="AD435" s="4" t="s">
        <v>1340</v>
      </c>
      <c r="AE435" s="4" t="s">
        <v>1341</v>
      </c>
      <c r="AF435" s="4" t="s">
        <v>496</v>
      </c>
    </row>
    <row r="436" spans="1:35" ht="54" x14ac:dyDescent="0.35">
      <c r="A436" s="11" t="s">
        <v>1342</v>
      </c>
      <c r="B436" s="11"/>
      <c r="C436" s="31" t="s">
        <v>854</v>
      </c>
      <c r="D436" s="21"/>
      <c r="E436" s="21" t="s">
        <v>1049</v>
      </c>
      <c r="F436" s="32" t="s">
        <v>81</v>
      </c>
      <c r="G436" s="33">
        <v>5</v>
      </c>
      <c r="H436" s="21"/>
      <c r="I436" s="33">
        <v>127.25</v>
      </c>
      <c r="J436" s="35">
        <v>23</v>
      </c>
      <c r="K436" s="12"/>
      <c r="L436" s="12"/>
      <c r="M436" s="35">
        <f>ROUND(ROUND(J436, 2)*I436, 2)</f>
        <v>2926.75</v>
      </c>
      <c r="N436" s="12"/>
      <c r="O436" s="12"/>
      <c r="P436" s="35">
        <v>32.31</v>
      </c>
      <c r="Q436" s="12"/>
      <c r="R436" s="12"/>
      <c r="S436" s="35">
        <f>ROUND(ROUND(P436, 2)*I436, 2)</f>
        <v>4111.45</v>
      </c>
      <c r="T436" s="12"/>
      <c r="U436" s="36"/>
      <c r="V436" s="9">
        <f>ROUND(ROUND(P436, 2)/1.2, 2)</f>
        <v>26.93</v>
      </c>
      <c r="Y436" s="9">
        <f t="shared" si="106"/>
        <v>3426.21</v>
      </c>
      <c r="AD436" s="4" t="s">
        <v>1343</v>
      </c>
      <c r="AE436" s="4" t="s">
        <v>1344</v>
      </c>
      <c r="AF436" s="4" t="s">
        <v>858</v>
      </c>
    </row>
    <row r="437" spans="1:35" ht="54" x14ac:dyDescent="0.35">
      <c r="A437" s="11" t="s">
        <v>1345</v>
      </c>
      <c r="B437" s="11" t="s">
        <v>1323</v>
      </c>
      <c r="C437" s="20" t="s">
        <v>1324</v>
      </c>
      <c r="D437" s="21"/>
      <c r="E437" s="21" t="s">
        <v>1346</v>
      </c>
      <c r="F437" s="21" t="s">
        <v>56</v>
      </c>
      <c r="G437" s="22">
        <v>1</v>
      </c>
      <c r="H437" s="21"/>
      <c r="I437" s="22">
        <v>23.61</v>
      </c>
      <c r="J437" s="23">
        <f>IFERROR(ROUND(SUM(M438,M439,M440)/I437, 2),0)</f>
        <v>56.96</v>
      </c>
      <c r="K437" s="23">
        <v>1001</v>
      </c>
      <c r="L437" s="23">
        <f>J437+ROUND(K437, 2)</f>
        <v>1057.96</v>
      </c>
      <c r="M437" s="23">
        <f>ROUND(J437*I437, 2)</f>
        <v>1344.83</v>
      </c>
      <c r="N437" s="23">
        <f>ROUND(I437*ROUND(K437, 2), 2)</f>
        <v>23633.61</v>
      </c>
      <c r="O437" s="23">
        <f>M437+N437</f>
        <v>24978.440000000002</v>
      </c>
      <c r="P437" s="23">
        <f>IFERROR(ROUND(SUM(S438,S439,S440)/I437, 2),0)</f>
        <v>56.98</v>
      </c>
      <c r="Q437" s="23">
        <v>1001</v>
      </c>
      <c r="R437" s="23">
        <f>P437+ROUND(Q437, 2)</f>
        <v>1057.98</v>
      </c>
      <c r="S437" s="23">
        <f>ROUND(P437*I437, 2)</f>
        <v>1345.3</v>
      </c>
      <c r="T437" s="23">
        <f>ROUND(I437*ROUND(Q437, 2), 2)</f>
        <v>23633.61</v>
      </c>
      <c r="U437" s="23">
        <f>S437+T437</f>
        <v>24978.91</v>
      </c>
      <c r="V437" s="9">
        <f>ROUND(P437 / 1.2, 2)</f>
        <v>47.48</v>
      </c>
      <c r="W437" s="9">
        <f>ROUND(Q437 / 1.2, 2)</f>
        <v>834.17</v>
      </c>
      <c r="X437" s="9">
        <f>ROUND(R437 / 1.2, 2)</f>
        <v>881.65</v>
      </c>
      <c r="Y437" s="9">
        <f t="shared" si="106"/>
        <v>1121.08</v>
      </c>
      <c r="Z437" s="9">
        <f>ROUND(T437 / 1.2, 2)</f>
        <v>19694.68</v>
      </c>
      <c r="AA437" s="9">
        <f>Y437+Z437</f>
        <v>20815.760000000002</v>
      </c>
      <c r="AD437" s="4">
        <v>303752501</v>
      </c>
      <c r="AE437" s="4">
        <v>19923298</v>
      </c>
      <c r="AG437" s="4" t="s">
        <v>1326</v>
      </c>
      <c r="AH437" s="4" t="s">
        <v>1327</v>
      </c>
      <c r="AI437" s="4" t="s">
        <v>247</v>
      </c>
    </row>
    <row r="438" spans="1:35" ht="36" x14ac:dyDescent="0.35">
      <c r="A438" s="11" t="s">
        <v>1347</v>
      </c>
      <c r="B438" s="11"/>
      <c r="C438" s="31" t="s">
        <v>493</v>
      </c>
      <c r="D438" s="21"/>
      <c r="E438" s="21"/>
      <c r="F438" s="32" t="s">
        <v>81</v>
      </c>
      <c r="G438" s="33">
        <v>0.15</v>
      </c>
      <c r="H438" s="21"/>
      <c r="I438" s="33">
        <v>3.5419999999999998</v>
      </c>
      <c r="J438" s="35">
        <v>88.8</v>
      </c>
      <c r="K438" s="12"/>
      <c r="L438" s="12"/>
      <c r="M438" s="35">
        <f>ROUND(ROUND(J438, 2)*I438, 2)</f>
        <v>314.52999999999997</v>
      </c>
      <c r="N438" s="12"/>
      <c r="O438" s="12"/>
      <c r="P438" s="35">
        <v>88.8</v>
      </c>
      <c r="Q438" s="12"/>
      <c r="R438" s="12"/>
      <c r="S438" s="35">
        <f>ROUND(ROUND(P438, 2)*I438, 2)</f>
        <v>314.52999999999997</v>
      </c>
      <c r="T438" s="12"/>
      <c r="U438" s="36"/>
      <c r="V438" s="9">
        <f>ROUND(ROUND(P438, 2)/1.2, 2)</f>
        <v>74</v>
      </c>
      <c r="Y438" s="9">
        <f t="shared" si="106"/>
        <v>262.11</v>
      </c>
      <c r="AD438" s="4" t="s">
        <v>1348</v>
      </c>
      <c r="AE438" s="4" t="s">
        <v>1349</v>
      </c>
      <c r="AF438" s="4" t="s">
        <v>496</v>
      </c>
    </row>
    <row r="439" spans="1:35" ht="18" x14ac:dyDescent="0.35">
      <c r="A439" s="11" t="s">
        <v>1350</v>
      </c>
      <c r="B439" s="11"/>
      <c r="C439" s="31" t="s">
        <v>860</v>
      </c>
      <c r="D439" s="21"/>
      <c r="E439" s="21"/>
      <c r="F439" s="32" t="s">
        <v>103</v>
      </c>
      <c r="G439" s="33">
        <v>0.3</v>
      </c>
      <c r="H439" s="21"/>
      <c r="I439" s="33">
        <v>7.0830000000000002</v>
      </c>
      <c r="J439" s="35">
        <v>73.099999999999994</v>
      </c>
      <c r="K439" s="12"/>
      <c r="L439" s="12"/>
      <c r="M439" s="35">
        <f>ROUND(ROUND(J439, 2)*I439, 2)</f>
        <v>517.77</v>
      </c>
      <c r="N439" s="12"/>
      <c r="O439" s="12"/>
      <c r="P439" s="35">
        <v>73.099999999999994</v>
      </c>
      <c r="Q439" s="12"/>
      <c r="R439" s="12"/>
      <c r="S439" s="35">
        <f>ROUND(ROUND(P439, 2)*I439, 2)</f>
        <v>517.77</v>
      </c>
      <c r="T439" s="12"/>
      <c r="U439" s="36"/>
      <c r="V439" s="9">
        <f>ROUND(ROUND(P439, 2)/1.2, 2)</f>
        <v>60.92</v>
      </c>
      <c r="Y439" s="9">
        <f t="shared" si="106"/>
        <v>431.48</v>
      </c>
      <c r="AD439" s="4" t="s">
        <v>1351</v>
      </c>
      <c r="AE439" s="4" t="s">
        <v>1352</v>
      </c>
      <c r="AF439" s="4" t="s">
        <v>863</v>
      </c>
    </row>
    <row r="440" spans="1:35" ht="36" x14ac:dyDescent="0.35">
      <c r="A440" s="11" t="s">
        <v>1353</v>
      </c>
      <c r="B440" s="11"/>
      <c r="C440" s="37" t="s">
        <v>914</v>
      </c>
      <c r="D440" s="21"/>
      <c r="E440" s="21" t="s">
        <v>1354</v>
      </c>
      <c r="F440" s="32" t="s">
        <v>81</v>
      </c>
      <c r="G440" s="33">
        <v>1.8</v>
      </c>
      <c r="H440" s="21"/>
      <c r="I440" s="33">
        <v>42.497999999999998</v>
      </c>
      <c r="J440" s="35">
        <v>12.06</v>
      </c>
      <c r="K440" s="12"/>
      <c r="L440" s="12"/>
      <c r="M440" s="35">
        <f>ROUND(ROUND(J440, 2)*I440, 2)</f>
        <v>512.53</v>
      </c>
      <c r="N440" s="12"/>
      <c r="O440" s="12"/>
      <c r="P440" s="35">
        <v>12.07</v>
      </c>
      <c r="Q440" s="12"/>
      <c r="R440" s="12"/>
      <c r="S440" s="35">
        <f>ROUND(ROUND(P440, 2)*I440, 2)</f>
        <v>512.95000000000005</v>
      </c>
      <c r="T440" s="12"/>
      <c r="U440" s="36"/>
      <c r="V440" s="9">
        <f>ROUND(ROUND(P440, 2)/1.2, 2)</f>
        <v>10.06</v>
      </c>
      <c r="Y440" s="9">
        <f t="shared" si="106"/>
        <v>427.46</v>
      </c>
      <c r="AD440" s="4" t="s">
        <v>1355</v>
      </c>
      <c r="AE440" s="4" t="s">
        <v>1356</v>
      </c>
      <c r="AF440" s="4" t="s">
        <v>917</v>
      </c>
    </row>
    <row r="441" spans="1:35" ht="54" x14ac:dyDescent="0.35">
      <c r="A441" s="11" t="s">
        <v>1357</v>
      </c>
      <c r="B441" s="11" t="s">
        <v>1323</v>
      </c>
      <c r="C441" s="20" t="s">
        <v>1324</v>
      </c>
      <c r="D441" s="21"/>
      <c r="E441" s="21" t="s">
        <v>1358</v>
      </c>
      <c r="F441" s="21" t="s">
        <v>56</v>
      </c>
      <c r="G441" s="22">
        <v>1</v>
      </c>
      <c r="H441" s="21"/>
      <c r="I441" s="22">
        <v>23.61</v>
      </c>
      <c r="J441" s="23">
        <f>IFERROR(ROUND(SUM(M442,M443)/I441, 2),0)</f>
        <v>35.03</v>
      </c>
      <c r="K441" s="23">
        <v>1001</v>
      </c>
      <c r="L441" s="23">
        <f>J441+ROUND(K441, 2)</f>
        <v>1036.03</v>
      </c>
      <c r="M441" s="23">
        <f>ROUND(J441*I441, 2)</f>
        <v>827.06</v>
      </c>
      <c r="N441" s="23">
        <f>ROUND(I441*ROUND(K441, 2), 2)</f>
        <v>23633.61</v>
      </c>
      <c r="O441" s="23">
        <f>M441+N441</f>
        <v>24460.670000000002</v>
      </c>
      <c r="P441" s="23">
        <f>IFERROR(ROUND(SUM(S442,S443)/I441, 2),0)</f>
        <v>35.049999999999997</v>
      </c>
      <c r="Q441" s="23">
        <v>1001</v>
      </c>
      <c r="R441" s="23">
        <f>P441+ROUND(Q441, 2)</f>
        <v>1036.05</v>
      </c>
      <c r="S441" s="23">
        <f>ROUND(P441*I441, 2)</f>
        <v>827.53</v>
      </c>
      <c r="T441" s="23">
        <f>ROUND(I441*ROUND(Q441, 2), 2)</f>
        <v>23633.61</v>
      </c>
      <c r="U441" s="23">
        <f>S441+T441</f>
        <v>24461.14</v>
      </c>
      <c r="V441" s="9">
        <f>ROUND(P441 / 1.2, 2)</f>
        <v>29.21</v>
      </c>
      <c r="W441" s="9">
        <f>ROUND(Q441 / 1.2, 2)</f>
        <v>834.17</v>
      </c>
      <c r="X441" s="9">
        <f>ROUND(R441 / 1.2, 2)</f>
        <v>863.38</v>
      </c>
      <c r="Y441" s="9">
        <f t="shared" si="106"/>
        <v>689.61</v>
      </c>
      <c r="Z441" s="9">
        <f>ROUND(T441 / 1.2, 2)</f>
        <v>19694.68</v>
      </c>
      <c r="AA441" s="9">
        <f>Y441+Z441</f>
        <v>20384.29</v>
      </c>
      <c r="AD441" s="4">
        <v>303752502</v>
      </c>
      <c r="AE441" s="4">
        <v>19923299</v>
      </c>
      <c r="AG441" s="4" t="s">
        <v>1326</v>
      </c>
      <c r="AH441" s="4" t="s">
        <v>1327</v>
      </c>
      <c r="AI441" s="4" t="s">
        <v>247</v>
      </c>
    </row>
    <row r="442" spans="1:35" ht="36" x14ac:dyDescent="0.35">
      <c r="A442" s="11" t="s">
        <v>1359</v>
      </c>
      <c r="B442" s="11"/>
      <c r="C442" s="31" t="s">
        <v>493</v>
      </c>
      <c r="D442" s="21"/>
      <c r="E442" s="21"/>
      <c r="F442" s="32" t="s">
        <v>81</v>
      </c>
      <c r="G442" s="33">
        <v>0.15</v>
      </c>
      <c r="H442" s="21"/>
      <c r="I442" s="33">
        <v>3.5419999999999998</v>
      </c>
      <c r="J442" s="35">
        <v>88.8</v>
      </c>
      <c r="K442" s="12"/>
      <c r="L442" s="12"/>
      <c r="M442" s="35">
        <f>ROUND(ROUND(J442, 2)*I442, 2)</f>
        <v>314.52999999999997</v>
      </c>
      <c r="N442" s="12"/>
      <c r="O442" s="12"/>
      <c r="P442" s="35">
        <v>88.8</v>
      </c>
      <c r="Q442" s="12"/>
      <c r="R442" s="12"/>
      <c r="S442" s="35">
        <f>ROUND(ROUND(P442, 2)*I442, 2)</f>
        <v>314.52999999999997</v>
      </c>
      <c r="T442" s="12"/>
      <c r="U442" s="36"/>
      <c r="V442" s="9">
        <f>ROUND(ROUND(P442, 2)/1.2, 2)</f>
        <v>74</v>
      </c>
      <c r="Y442" s="9">
        <f t="shared" si="106"/>
        <v>262.11</v>
      </c>
      <c r="AD442" s="4" t="s">
        <v>1360</v>
      </c>
      <c r="AE442" s="4" t="s">
        <v>1361</v>
      </c>
      <c r="AF442" s="4" t="s">
        <v>496</v>
      </c>
    </row>
    <row r="443" spans="1:35" ht="36" x14ac:dyDescent="0.35">
      <c r="A443" s="11" t="s">
        <v>1362</v>
      </c>
      <c r="B443" s="11"/>
      <c r="C443" s="37" t="s">
        <v>914</v>
      </c>
      <c r="D443" s="21"/>
      <c r="E443" s="21"/>
      <c r="F443" s="32" t="s">
        <v>81</v>
      </c>
      <c r="G443" s="33">
        <v>1.8</v>
      </c>
      <c r="H443" s="21"/>
      <c r="I443" s="33">
        <v>42.497999999999998</v>
      </c>
      <c r="J443" s="35">
        <v>12.06</v>
      </c>
      <c r="K443" s="12"/>
      <c r="L443" s="12"/>
      <c r="M443" s="35">
        <f>ROUND(ROUND(J443, 2)*I443, 2)</f>
        <v>512.53</v>
      </c>
      <c r="N443" s="12"/>
      <c r="O443" s="12"/>
      <c r="P443" s="35">
        <v>12.07</v>
      </c>
      <c r="Q443" s="12"/>
      <c r="R443" s="12"/>
      <c r="S443" s="35">
        <f>ROUND(ROUND(P443, 2)*I443, 2)</f>
        <v>512.95000000000005</v>
      </c>
      <c r="T443" s="12"/>
      <c r="U443" s="36"/>
      <c r="V443" s="9">
        <f>ROUND(ROUND(P443, 2)/1.2, 2)</f>
        <v>10.06</v>
      </c>
      <c r="Y443" s="9">
        <f t="shared" si="106"/>
        <v>427.46</v>
      </c>
      <c r="AD443" s="4" t="s">
        <v>1363</v>
      </c>
      <c r="AE443" s="4" t="s">
        <v>1364</v>
      </c>
      <c r="AF443" s="4" t="s">
        <v>917</v>
      </c>
    </row>
    <row r="444" spans="1:35" ht="36" x14ac:dyDescent="0.35">
      <c r="A444" s="11" t="s">
        <v>1365</v>
      </c>
      <c r="B444" s="11" t="s">
        <v>1323</v>
      </c>
      <c r="C444" s="20" t="s">
        <v>1324</v>
      </c>
      <c r="D444" s="21"/>
      <c r="E444" s="21" t="s">
        <v>1366</v>
      </c>
      <c r="F444" s="21" t="s">
        <v>56</v>
      </c>
      <c r="G444" s="22">
        <v>1</v>
      </c>
      <c r="H444" s="21"/>
      <c r="I444" s="22">
        <v>37.68</v>
      </c>
      <c r="J444" s="23">
        <f>IFERROR(ROUND(SUM(M445,M446)/I444, 2),0)</f>
        <v>128.32</v>
      </c>
      <c r="K444" s="23">
        <v>1001</v>
      </c>
      <c r="L444" s="23">
        <f>J444+ROUND(K444, 2)</f>
        <v>1129.32</v>
      </c>
      <c r="M444" s="23">
        <f>ROUND(J444*I444, 2)</f>
        <v>4835.1000000000004</v>
      </c>
      <c r="N444" s="23">
        <f>ROUND(I444*ROUND(K444, 2), 2)</f>
        <v>37717.68</v>
      </c>
      <c r="O444" s="23">
        <f>M444+N444</f>
        <v>42552.78</v>
      </c>
      <c r="P444" s="23">
        <f>IFERROR(ROUND(SUM(S445,S446)/I444, 2),0)</f>
        <v>174.87</v>
      </c>
      <c r="Q444" s="23">
        <v>1001</v>
      </c>
      <c r="R444" s="23">
        <f>P444+ROUND(Q444, 2)</f>
        <v>1175.8699999999999</v>
      </c>
      <c r="S444" s="23">
        <f>ROUND(P444*I444, 2)</f>
        <v>6589.1</v>
      </c>
      <c r="T444" s="23">
        <f>ROUND(I444*ROUND(Q444, 2), 2)</f>
        <v>37717.68</v>
      </c>
      <c r="U444" s="23">
        <f>S444+T444</f>
        <v>44306.78</v>
      </c>
      <c r="V444" s="9">
        <f>ROUND(P444 / 1.2, 2)</f>
        <v>145.72999999999999</v>
      </c>
      <c r="W444" s="9">
        <f>ROUND(Q444 / 1.2, 2)</f>
        <v>834.17</v>
      </c>
      <c r="X444" s="9">
        <f>ROUND(R444 / 1.2, 2)</f>
        <v>979.89</v>
      </c>
      <c r="Y444" s="9">
        <f t="shared" si="106"/>
        <v>5490.92</v>
      </c>
      <c r="Z444" s="9">
        <f>ROUND(T444 / 1.2, 2)</f>
        <v>31431.4</v>
      </c>
      <c r="AA444" s="9">
        <f>Y444+Z444</f>
        <v>36922.32</v>
      </c>
      <c r="AD444" s="4">
        <v>303752503</v>
      </c>
      <c r="AE444" s="4">
        <v>19934299</v>
      </c>
      <c r="AG444" s="4" t="s">
        <v>1326</v>
      </c>
      <c r="AH444" s="4" t="s">
        <v>1327</v>
      </c>
      <c r="AI444" s="4" t="s">
        <v>247</v>
      </c>
    </row>
    <row r="445" spans="1:35" ht="36" x14ac:dyDescent="0.35">
      <c r="A445" s="11" t="s">
        <v>1367</v>
      </c>
      <c r="B445" s="11"/>
      <c r="C445" s="31" t="s">
        <v>493</v>
      </c>
      <c r="D445" s="21"/>
      <c r="E445" s="21"/>
      <c r="F445" s="32" t="s">
        <v>81</v>
      </c>
      <c r="G445" s="33">
        <v>0.15</v>
      </c>
      <c r="H445" s="21"/>
      <c r="I445" s="33">
        <v>5.6520000000000001</v>
      </c>
      <c r="J445" s="35">
        <v>88.8</v>
      </c>
      <c r="K445" s="12"/>
      <c r="L445" s="12"/>
      <c r="M445" s="35">
        <f>ROUND(ROUND(J445, 2)*I445, 2)</f>
        <v>501.9</v>
      </c>
      <c r="N445" s="12"/>
      <c r="O445" s="12"/>
      <c r="P445" s="35">
        <v>88.8</v>
      </c>
      <c r="Q445" s="12"/>
      <c r="R445" s="12"/>
      <c r="S445" s="35">
        <f>ROUND(ROUND(P445, 2)*I445, 2)</f>
        <v>501.9</v>
      </c>
      <c r="T445" s="12"/>
      <c r="U445" s="36"/>
      <c r="V445" s="9">
        <f>ROUND(ROUND(P445, 2)/1.2, 2)</f>
        <v>74</v>
      </c>
      <c r="Y445" s="9">
        <f t="shared" si="106"/>
        <v>418.25</v>
      </c>
      <c r="AD445" s="4" t="s">
        <v>1368</v>
      </c>
      <c r="AE445" s="4" t="s">
        <v>1369</v>
      </c>
      <c r="AF445" s="4" t="s">
        <v>496</v>
      </c>
    </row>
    <row r="446" spans="1:35" ht="54" x14ac:dyDescent="0.35">
      <c r="A446" s="11" t="s">
        <v>1370</v>
      </c>
      <c r="B446" s="11"/>
      <c r="C446" s="31" t="s">
        <v>854</v>
      </c>
      <c r="D446" s="21"/>
      <c r="E446" s="21" t="s">
        <v>1049</v>
      </c>
      <c r="F446" s="32" t="s">
        <v>81</v>
      </c>
      <c r="G446" s="33">
        <v>5</v>
      </c>
      <c r="H446" s="21"/>
      <c r="I446" s="33">
        <v>188.4</v>
      </c>
      <c r="J446" s="35">
        <v>23</v>
      </c>
      <c r="K446" s="12"/>
      <c r="L446" s="12"/>
      <c r="M446" s="35">
        <f>ROUND(ROUND(J446, 2)*I446, 2)</f>
        <v>4333.2</v>
      </c>
      <c r="N446" s="12"/>
      <c r="O446" s="12"/>
      <c r="P446" s="35">
        <v>32.31</v>
      </c>
      <c r="Q446" s="12"/>
      <c r="R446" s="12"/>
      <c r="S446" s="35">
        <f>ROUND(ROUND(P446, 2)*I446, 2)</f>
        <v>6087.2</v>
      </c>
      <c r="T446" s="12"/>
      <c r="U446" s="36"/>
      <c r="V446" s="9">
        <f>ROUND(ROUND(P446, 2)/1.2, 2)</f>
        <v>26.93</v>
      </c>
      <c r="Y446" s="9">
        <f t="shared" si="106"/>
        <v>5072.67</v>
      </c>
      <c r="AD446" s="4" t="s">
        <v>1371</v>
      </c>
      <c r="AE446" s="4" t="s">
        <v>1372</v>
      </c>
      <c r="AF446" s="4" t="s">
        <v>858</v>
      </c>
    </row>
    <row r="447" spans="1:35" ht="36" x14ac:dyDescent="0.35">
      <c r="A447" s="11" t="s">
        <v>1373</v>
      </c>
      <c r="B447" s="11" t="s">
        <v>1323</v>
      </c>
      <c r="C447" s="20" t="s">
        <v>1324</v>
      </c>
      <c r="D447" s="21"/>
      <c r="E447" s="21" t="s">
        <v>1374</v>
      </c>
      <c r="F447" s="21" t="s">
        <v>56</v>
      </c>
      <c r="G447" s="22">
        <v>1</v>
      </c>
      <c r="H447" s="21"/>
      <c r="I447" s="22">
        <v>37.68</v>
      </c>
      <c r="J447" s="23">
        <f>IFERROR(ROUND(SUM(M448,M449,M450)/I447, 2),0)</f>
        <v>150.25</v>
      </c>
      <c r="K447" s="23">
        <v>1001</v>
      </c>
      <c r="L447" s="23">
        <f>J447+ROUND(K447, 2)</f>
        <v>1151.25</v>
      </c>
      <c r="M447" s="23">
        <f>ROUND(J447*I447, 2)</f>
        <v>5661.42</v>
      </c>
      <c r="N447" s="23">
        <f>ROUND(I447*ROUND(K447, 2), 2)</f>
        <v>37717.68</v>
      </c>
      <c r="O447" s="23">
        <f>M447+N447</f>
        <v>43379.1</v>
      </c>
      <c r="P447" s="23">
        <f>IFERROR(ROUND(SUM(S448,S449,S450)/I447, 2),0)</f>
        <v>174.5</v>
      </c>
      <c r="Q447" s="23">
        <v>1001</v>
      </c>
      <c r="R447" s="23">
        <f>P447+ROUND(Q447, 2)</f>
        <v>1175.5</v>
      </c>
      <c r="S447" s="23">
        <f>ROUND(P447*I447, 2)</f>
        <v>6575.16</v>
      </c>
      <c r="T447" s="23">
        <f>ROUND(I447*ROUND(Q447, 2), 2)</f>
        <v>37717.68</v>
      </c>
      <c r="U447" s="23">
        <f>S447+T447</f>
        <v>44292.84</v>
      </c>
      <c r="V447" s="9">
        <f>ROUND(P447 / 1.2, 2)</f>
        <v>145.41999999999999</v>
      </c>
      <c r="W447" s="9">
        <f>ROUND(Q447 / 1.2, 2)</f>
        <v>834.17</v>
      </c>
      <c r="X447" s="9">
        <f>ROUND(R447 / 1.2, 2)</f>
        <v>979.58</v>
      </c>
      <c r="Y447" s="9">
        <f t="shared" si="106"/>
        <v>5479.3</v>
      </c>
      <c r="Z447" s="9">
        <f>ROUND(T447 / 1.2, 2)</f>
        <v>31431.4</v>
      </c>
      <c r="AA447" s="9">
        <f>Y447+Z447</f>
        <v>36910.700000000004</v>
      </c>
      <c r="AD447" s="4">
        <v>303752504</v>
      </c>
      <c r="AE447" s="4">
        <v>19934297</v>
      </c>
      <c r="AG447" s="4" t="s">
        <v>1326</v>
      </c>
      <c r="AH447" s="4" t="s">
        <v>1327</v>
      </c>
      <c r="AI447" s="4" t="s">
        <v>247</v>
      </c>
    </row>
    <row r="448" spans="1:35" ht="36" x14ac:dyDescent="0.35">
      <c r="A448" s="11" t="s">
        <v>1375</v>
      </c>
      <c r="B448" s="11"/>
      <c r="C448" s="31" t="s">
        <v>493</v>
      </c>
      <c r="D448" s="21"/>
      <c r="E448" s="21"/>
      <c r="F448" s="32" t="s">
        <v>81</v>
      </c>
      <c r="G448" s="33">
        <v>0.15</v>
      </c>
      <c r="H448" s="21"/>
      <c r="I448" s="33">
        <v>5.6520000000000001</v>
      </c>
      <c r="J448" s="35">
        <v>88.8</v>
      </c>
      <c r="K448" s="12"/>
      <c r="L448" s="12"/>
      <c r="M448" s="35">
        <f>ROUND(ROUND(J448, 2)*I448, 2)</f>
        <v>501.9</v>
      </c>
      <c r="N448" s="12"/>
      <c r="O448" s="12"/>
      <c r="P448" s="35">
        <v>88.8</v>
      </c>
      <c r="Q448" s="12"/>
      <c r="R448" s="12"/>
      <c r="S448" s="35">
        <f>ROUND(ROUND(P448, 2)*I448, 2)</f>
        <v>501.9</v>
      </c>
      <c r="T448" s="12"/>
      <c r="U448" s="36"/>
      <c r="V448" s="9">
        <f>ROUND(ROUND(P448, 2)/1.2, 2)</f>
        <v>74</v>
      </c>
      <c r="Y448" s="9">
        <f t="shared" si="106"/>
        <v>418.25</v>
      </c>
      <c r="AD448" s="4" t="s">
        <v>1376</v>
      </c>
      <c r="AE448" s="4" t="s">
        <v>1377</v>
      </c>
      <c r="AF448" s="4" t="s">
        <v>496</v>
      </c>
    </row>
    <row r="449" spans="1:35" ht="18" x14ac:dyDescent="0.35">
      <c r="A449" s="11" t="s">
        <v>1378</v>
      </c>
      <c r="B449" s="11"/>
      <c r="C449" s="31" t="s">
        <v>860</v>
      </c>
      <c r="D449" s="21"/>
      <c r="E449" s="21"/>
      <c r="F449" s="32" t="s">
        <v>103</v>
      </c>
      <c r="G449" s="33">
        <v>0.3</v>
      </c>
      <c r="H449" s="21"/>
      <c r="I449" s="33">
        <v>11.304</v>
      </c>
      <c r="J449" s="35">
        <v>73.099999999999994</v>
      </c>
      <c r="K449" s="12"/>
      <c r="L449" s="12"/>
      <c r="M449" s="35">
        <f>ROUND(ROUND(J449, 2)*I449, 2)</f>
        <v>826.32</v>
      </c>
      <c r="N449" s="12"/>
      <c r="O449" s="12"/>
      <c r="P449" s="35">
        <v>73.099999999999994</v>
      </c>
      <c r="Q449" s="12"/>
      <c r="R449" s="12"/>
      <c r="S449" s="35">
        <f>ROUND(ROUND(P449, 2)*I449, 2)</f>
        <v>826.32</v>
      </c>
      <c r="T449" s="12"/>
      <c r="U449" s="36"/>
      <c r="V449" s="9">
        <f>ROUND(ROUND(P449, 2)/1.2, 2)</f>
        <v>60.92</v>
      </c>
      <c r="Y449" s="9">
        <f t="shared" si="106"/>
        <v>688.6</v>
      </c>
      <c r="AD449" s="4" t="s">
        <v>1379</v>
      </c>
      <c r="AE449" s="4" t="s">
        <v>1380</v>
      </c>
      <c r="AF449" s="4" t="s">
        <v>863</v>
      </c>
    </row>
    <row r="450" spans="1:35" ht="36" x14ac:dyDescent="0.35">
      <c r="A450" s="11" t="s">
        <v>1381</v>
      </c>
      <c r="B450" s="11"/>
      <c r="C450" s="31" t="s">
        <v>854</v>
      </c>
      <c r="D450" s="21"/>
      <c r="E450" s="21" t="s">
        <v>855</v>
      </c>
      <c r="F450" s="32" t="s">
        <v>81</v>
      </c>
      <c r="G450" s="33">
        <v>5</v>
      </c>
      <c r="H450" s="21"/>
      <c r="I450" s="33">
        <v>188.4</v>
      </c>
      <c r="J450" s="35">
        <v>23</v>
      </c>
      <c r="K450" s="12"/>
      <c r="L450" s="12"/>
      <c r="M450" s="35">
        <f>ROUND(ROUND(J450, 2)*I450, 2)</f>
        <v>4333.2</v>
      </c>
      <c r="N450" s="12"/>
      <c r="O450" s="12"/>
      <c r="P450" s="35">
        <v>27.85</v>
      </c>
      <c r="Q450" s="12"/>
      <c r="R450" s="12"/>
      <c r="S450" s="35">
        <f>ROUND(ROUND(P450, 2)*I450, 2)</f>
        <v>5246.94</v>
      </c>
      <c r="T450" s="12"/>
      <c r="U450" s="36"/>
      <c r="V450" s="9">
        <f>ROUND(ROUND(P450, 2)/1.2, 2)</f>
        <v>23.21</v>
      </c>
      <c r="Y450" s="9">
        <f t="shared" si="106"/>
        <v>4372.45</v>
      </c>
      <c r="AD450" s="4" t="s">
        <v>1382</v>
      </c>
      <c r="AE450" s="4" t="s">
        <v>1383</v>
      </c>
      <c r="AF450" s="4" t="s">
        <v>858</v>
      </c>
    </row>
    <row r="451" spans="1:35" ht="54" x14ac:dyDescent="0.35">
      <c r="A451" s="11" t="s">
        <v>1384</v>
      </c>
      <c r="B451" s="11" t="s">
        <v>1323</v>
      </c>
      <c r="C451" s="20" t="s">
        <v>1324</v>
      </c>
      <c r="D451" s="21"/>
      <c r="E451" s="21" t="s">
        <v>1385</v>
      </c>
      <c r="F451" s="21" t="s">
        <v>56</v>
      </c>
      <c r="G451" s="22">
        <v>1</v>
      </c>
      <c r="H451" s="21"/>
      <c r="I451" s="22">
        <v>25.45</v>
      </c>
      <c r="J451" s="23">
        <f>IFERROR(ROUND(SUM(M452,M453)/I451, 2),0)</f>
        <v>128.32</v>
      </c>
      <c r="K451" s="23">
        <v>1001</v>
      </c>
      <c r="L451" s="23">
        <f>J451+ROUND(K451, 2)</f>
        <v>1129.32</v>
      </c>
      <c r="M451" s="23">
        <f>ROUND(J451*I451, 2)</f>
        <v>3265.74</v>
      </c>
      <c r="N451" s="23">
        <f>ROUND(I451*ROUND(K451, 2), 2)</f>
        <v>25475.45</v>
      </c>
      <c r="O451" s="23">
        <f>M451+N451</f>
        <v>28741.190000000002</v>
      </c>
      <c r="P451" s="23">
        <f>IFERROR(ROUND(SUM(S452,S453)/I451, 2),0)</f>
        <v>174.87</v>
      </c>
      <c r="Q451" s="23">
        <v>1001</v>
      </c>
      <c r="R451" s="23">
        <f>P451+ROUND(Q451, 2)</f>
        <v>1175.8699999999999</v>
      </c>
      <c r="S451" s="23">
        <f>ROUND(P451*I451, 2)</f>
        <v>4450.4399999999996</v>
      </c>
      <c r="T451" s="23">
        <f>ROUND(I451*ROUND(Q451, 2), 2)</f>
        <v>25475.45</v>
      </c>
      <c r="U451" s="23">
        <f>S451+T451</f>
        <v>29925.89</v>
      </c>
      <c r="V451" s="9">
        <f>ROUND(P451 / 1.2, 2)</f>
        <v>145.72999999999999</v>
      </c>
      <c r="W451" s="9">
        <f>ROUND(Q451 / 1.2, 2)</f>
        <v>834.17</v>
      </c>
      <c r="X451" s="9">
        <f>ROUND(R451 / 1.2, 2)</f>
        <v>979.89</v>
      </c>
      <c r="Y451" s="9">
        <f t="shared" si="106"/>
        <v>3708.7</v>
      </c>
      <c r="Z451" s="9">
        <f>ROUND(T451 / 1.2, 2)</f>
        <v>21229.54</v>
      </c>
      <c r="AA451" s="9">
        <f>Y451+Z451</f>
        <v>24938.240000000002</v>
      </c>
      <c r="AD451" s="4">
        <v>303752505</v>
      </c>
      <c r="AE451" s="4">
        <v>21807242</v>
      </c>
      <c r="AG451" s="4" t="s">
        <v>1326</v>
      </c>
      <c r="AH451" s="4" t="s">
        <v>1327</v>
      </c>
      <c r="AI451" s="4" t="s">
        <v>247</v>
      </c>
    </row>
    <row r="452" spans="1:35" ht="36" x14ac:dyDescent="0.35">
      <c r="A452" s="11" t="s">
        <v>1386</v>
      </c>
      <c r="B452" s="11"/>
      <c r="C452" s="31" t="s">
        <v>493</v>
      </c>
      <c r="D452" s="21"/>
      <c r="E452" s="21"/>
      <c r="F452" s="32" t="s">
        <v>81</v>
      </c>
      <c r="G452" s="33">
        <v>0.15</v>
      </c>
      <c r="H452" s="21"/>
      <c r="I452" s="33">
        <v>3.8180000000000001</v>
      </c>
      <c r="J452" s="35">
        <v>88.8</v>
      </c>
      <c r="K452" s="12"/>
      <c r="L452" s="12"/>
      <c r="M452" s="35">
        <f>ROUND(ROUND(J452, 2)*I452, 2)</f>
        <v>339.04</v>
      </c>
      <c r="N452" s="12"/>
      <c r="O452" s="12"/>
      <c r="P452" s="35">
        <v>88.8</v>
      </c>
      <c r="Q452" s="12"/>
      <c r="R452" s="12"/>
      <c r="S452" s="35">
        <f>ROUND(ROUND(P452, 2)*I452, 2)</f>
        <v>339.04</v>
      </c>
      <c r="T452" s="12"/>
      <c r="U452" s="36"/>
      <c r="V452" s="9">
        <f>ROUND(ROUND(P452, 2)/1.2, 2)</f>
        <v>74</v>
      </c>
      <c r="Y452" s="9">
        <f t="shared" si="106"/>
        <v>282.52999999999997</v>
      </c>
      <c r="AD452" s="4" t="s">
        <v>1387</v>
      </c>
      <c r="AE452" s="4" t="s">
        <v>1388</v>
      </c>
      <c r="AF452" s="4" t="s">
        <v>496</v>
      </c>
    </row>
    <row r="453" spans="1:35" ht="18" x14ac:dyDescent="0.35">
      <c r="A453" s="11" t="s">
        <v>1389</v>
      </c>
      <c r="B453" s="11"/>
      <c r="C453" s="31" t="s">
        <v>854</v>
      </c>
      <c r="D453" s="21"/>
      <c r="E453" s="21"/>
      <c r="F453" s="32" t="s">
        <v>81</v>
      </c>
      <c r="G453" s="33">
        <v>5</v>
      </c>
      <c r="H453" s="21"/>
      <c r="I453" s="33">
        <v>127.25</v>
      </c>
      <c r="J453" s="35">
        <v>23</v>
      </c>
      <c r="K453" s="12"/>
      <c r="L453" s="12"/>
      <c r="M453" s="35">
        <f>ROUND(ROUND(J453, 2)*I453, 2)</f>
        <v>2926.75</v>
      </c>
      <c r="N453" s="12"/>
      <c r="O453" s="12"/>
      <c r="P453" s="35">
        <v>32.31</v>
      </c>
      <c r="Q453" s="12"/>
      <c r="R453" s="12"/>
      <c r="S453" s="35">
        <f>ROUND(ROUND(P453, 2)*I453, 2)</f>
        <v>4111.45</v>
      </c>
      <c r="T453" s="12"/>
      <c r="U453" s="36"/>
      <c r="V453" s="9">
        <f>ROUND(ROUND(P453, 2)/1.2, 2)</f>
        <v>26.93</v>
      </c>
      <c r="Y453" s="9">
        <f t="shared" si="106"/>
        <v>3426.21</v>
      </c>
      <c r="AD453" s="4" t="s">
        <v>1390</v>
      </c>
      <c r="AE453" s="4" t="s">
        <v>1391</v>
      </c>
      <c r="AF453" s="4" t="s">
        <v>858</v>
      </c>
    </row>
    <row r="454" spans="1:35" ht="54" x14ac:dyDescent="0.35">
      <c r="A454" s="11" t="s">
        <v>1392</v>
      </c>
      <c r="B454" s="11" t="s">
        <v>1323</v>
      </c>
      <c r="C454" s="20" t="s">
        <v>1324</v>
      </c>
      <c r="D454" s="21"/>
      <c r="E454" s="21" t="s">
        <v>1393</v>
      </c>
      <c r="F454" s="21" t="s">
        <v>56</v>
      </c>
      <c r="G454" s="22">
        <v>1</v>
      </c>
      <c r="H454" s="21"/>
      <c r="I454" s="22">
        <v>23.61</v>
      </c>
      <c r="J454" s="23">
        <f>IFERROR(ROUND(SUM(M455,M456)/I454, 2),0)</f>
        <v>67.59</v>
      </c>
      <c r="K454" s="23">
        <v>1001</v>
      </c>
      <c r="L454" s="23">
        <f>J454+ROUND(K454, 2)</f>
        <v>1068.5899999999999</v>
      </c>
      <c r="M454" s="23">
        <f>ROUND(J454*I454, 2)</f>
        <v>1595.8</v>
      </c>
      <c r="N454" s="23">
        <f>ROUND(I454*ROUND(K454, 2), 2)</f>
        <v>23633.61</v>
      </c>
      <c r="O454" s="23">
        <f>M454+N454</f>
        <v>25229.41</v>
      </c>
      <c r="P454" s="23">
        <f>IFERROR(ROUND(SUM(S455,S456)/I454, 2),0)</f>
        <v>67.64</v>
      </c>
      <c r="Q454" s="23">
        <v>1001</v>
      </c>
      <c r="R454" s="23">
        <f>P454+ROUND(Q454, 2)</f>
        <v>1068.6400000000001</v>
      </c>
      <c r="S454" s="23">
        <f>ROUND(P454*I454, 2)</f>
        <v>1596.98</v>
      </c>
      <c r="T454" s="23">
        <f>ROUND(I454*ROUND(Q454, 2), 2)</f>
        <v>23633.61</v>
      </c>
      <c r="U454" s="23">
        <f>S454+T454</f>
        <v>25230.59</v>
      </c>
      <c r="V454" s="9">
        <f>ROUND(P454 / 1.2, 2)</f>
        <v>56.37</v>
      </c>
      <c r="W454" s="9">
        <f>ROUND(Q454 / 1.2, 2)</f>
        <v>834.17</v>
      </c>
      <c r="X454" s="9">
        <f>ROUND(R454 / 1.2, 2)</f>
        <v>890.53</v>
      </c>
      <c r="Y454" s="9">
        <f t="shared" si="106"/>
        <v>1330.82</v>
      </c>
      <c r="Z454" s="9">
        <f>ROUND(T454 / 1.2, 2)</f>
        <v>19694.68</v>
      </c>
      <c r="AA454" s="9">
        <f>Y454+Z454</f>
        <v>21025.5</v>
      </c>
      <c r="AD454" s="4">
        <v>303752506</v>
      </c>
      <c r="AE454" s="4">
        <v>21807238</v>
      </c>
      <c r="AG454" s="4" t="s">
        <v>1326</v>
      </c>
      <c r="AH454" s="4" t="s">
        <v>1327</v>
      </c>
      <c r="AI454" s="4" t="s">
        <v>247</v>
      </c>
    </row>
    <row r="455" spans="1:35" ht="36" x14ac:dyDescent="0.35">
      <c r="A455" s="11" t="s">
        <v>1394</v>
      </c>
      <c r="B455" s="11"/>
      <c r="C455" s="31" t="s">
        <v>493</v>
      </c>
      <c r="D455" s="21"/>
      <c r="E455" s="21"/>
      <c r="F455" s="32" t="s">
        <v>81</v>
      </c>
      <c r="G455" s="33">
        <v>0.15</v>
      </c>
      <c r="H455" s="21"/>
      <c r="I455" s="33">
        <v>3.5419999999999998</v>
      </c>
      <c r="J455" s="35">
        <v>88.8</v>
      </c>
      <c r="K455" s="12"/>
      <c r="L455" s="12"/>
      <c r="M455" s="35">
        <f>ROUND(ROUND(J455, 2)*I455, 2)</f>
        <v>314.52999999999997</v>
      </c>
      <c r="N455" s="12"/>
      <c r="O455" s="12"/>
      <c r="P455" s="35">
        <v>88.8</v>
      </c>
      <c r="Q455" s="12"/>
      <c r="R455" s="12"/>
      <c r="S455" s="35">
        <f>ROUND(ROUND(P455, 2)*I455, 2)</f>
        <v>314.52999999999997</v>
      </c>
      <c r="T455" s="12"/>
      <c r="U455" s="36"/>
      <c r="V455" s="9">
        <f>ROUND(ROUND(P455, 2)/1.2, 2)</f>
        <v>74</v>
      </c>
      <c r="Y455" s="9">
        <f t="shared" si="106"/>
        <v>262.11</v>
      </c>
      <c r="AD455" s="4" t="s">
        <v>1395</v>
      </c>
      <c r="AE455" s="4" t="s">
        <v>1396</v>
      </c>
      <c r="AF455" s="4" t="s">
        <v>496</v>
      </c>
    </row>
    <row r="456" spans="1:35" ht="36" x14ac:dyDescent="0.35">
      <c r="A456" s="11" t="s">
        <v>1397</v>
      </c>
      <c r="B456" s="11"/>
      <c r="C456" s="37" t="s">
        <v>914</v>
      </c>
      <c r="D456" s="21"/>
      <c r="E456" s="21"/>
      <c r="F456" s="32" t="s">
        <v>81</v>
      </c>
      <c r="G456" s="33">
        <v>4.5</v>
      </c>
      <c r="H456" s="21"/>
      <c r="I456" s="33">
        <v>106.245</v>
      </c>
      <c r="J456" s="35">
        <v>12.06</v>
      </c>
      <c r="K456" s="12"/>
      <c r="L456" s="12"/>
      <c r="M456" s="35">
        <f>ROUND(ROUND(J456, 2)*I456, 2)</f>
        <v>1281.31</v>
      </c>
      <c r="N456" s="12"/>
      <c r="O456" s="12"/>
      <c r="P456" s="35">
        <v>12.07</v>
      </c>
      <c r="Q456" s="12"/>
      <c r="R456" s="12"/>
      <c r="S456" s="35">
        <f>ROUND(ROUND(P456, 2)*I456, 2)</f>
        <v>1282.3800000000001</v>
      </c>
      <c r="T456" s="12"/>
      <c r="U456" s="36"/>
      <c r="V456" s="9">
        <f>ROUND(ROUND(P456, 2)/1.2, 2)</f>
        <v>10.06</v>
      </c>
      <c r="Y456" s="9">
        <f t="shared" si="106"/>
        <v>1068.6500000000001</v>
      </c>
      <c r="AD456" s="4" t="s">
        <v>1398</v>
      </c>
      <c r="AE456" s="4" t="s">
        <v>1399</v>
      </c>
      <c r="AF456" s="4" t="s">
        <v>1114</v>
      </c>
    </row>
    <row r="457" spans="1:35" ht="36" x14ac:dyDescent="0.35">
      <c r="A457" s="11" t="s">
        <v>1400</v>
      </c>
      <c r="B457" s="11" t="s">
        <v>1323</v>
      </c>
      <c r="C457" s="20" t="s">
        <v>1324</v>
      </c>
      <c r="D457" s="21"/>
      <c r="E457" s="21" t="s">
        <v>1401</v>
      </c>
      <c r="F457" s="21" t="s">
        <v>56</v>
      </c>
      <c r="G457" s="22">
        <v>1</v>
      </c>
      <c r="H457" s="21"/>
      <c r="I457" s="22">
        <v>37.68</v>
      </c>
      <c r="J457" s="23">
        <f>IFERROR(ROUND(SUM(M458,M459)/I457, 2),0)</f>
        <v>128.32</v>
      </c>
      <c r="K457" s="23">
        <v>1001</v>
      </c>
      <c r="L457" s="23">
        <f>J457+ROUND(K457, 2)</f>
        <v>1129.32</v>
      </c>
      <c r="M457" s="23">
        <f>ROUND(J457*I457, 2)</f>
        <v>4835.1000000000004</v>
      </c>
      <c r="N457" s="23">
        <f>ROUND(I457*ROUND(K457, 2), 2)</f>
        <v>37717.68</v>
      </c>
      <c r="O457" s="23">
        <f>M457+N457</f>
        <v>42552.78</v>
      </c>
      <c r="P457" s="23">
        <f>IFERROR(ROUND(SUM(S458,S459)/I457, 2),0)</f>
        <v>174.87</v>
      </c>
      <c r="Q457" s="23">
        <v>1001</v>
      </c>
      <c r="R457" s="23">
        <f>P457+ROUND(Q457, 2)</f>
        <v>1175.8699999999999</v>
      </c>
      <c r="S457" s="23">
        <f>ROUND(P457*I457, 2)</f>
        <v>6589.1</v>
      </c>
      <c r="T457" s="23">
        <f>ROUND(I457*ROUND(Q457, 2), 2)</f>
        <v>37717.68</v>
      </c>
      <c r="U457" s="23">
        <f>S457+T457</f>
        <v>44306.78</v>
      </c>
      <c r="V457" s="9">
        <f>ROUND(P457 / 1.2, 2)</f>
        <v>145.72999999999999</v>
      </c>
      <c r="W457" s="9">
        <f>ROUND(Q457 / 1.2, 2)</f>
        <v>834.17</v>
      </c>
      <c r="X457" s="9">
        <f>ROUND(R457 / 1.2, 2)</f>
        <v>979.89</v>
      </c>
      <c r="Y457" s="9">
        <f t="shared" si="106"/>
        <v>5490.92</v>
      </c>
      <c r="Z457" s="9">
        <f>ROUND(T457 / 1.2, 2)</f>
        <v>31431.4</v>
      </c>
      <c r="AA457" s="9">
        <f>Y457+Z457</f>
        <v>36922.32</v>
      </c>
      <c r="AD457" s="4">
        <v>303752507</v>
      </c>
      <c r="AE457" s="4">
        <v>21807243</v>
      </c>
      <c r="AG457" s="4" t="s">
        <v>1326</v>
      </c>
      <c r="AH457" s="4" t="s">
        <v>1327</v>
      </c>
      <c r="AI457" s="4" t="s">
        <v>247</v>
      </c>
    </row>
    <row r="458" spans="1:35" ht="36" x14ac:dyDescent="0.35">
      <c r="A458" s="11" t="s">
        <v>1402</v>
      </c>
      <c r="B458" s="11"/>
      <c r="C458" s="31" t="s">
        <v>493</v>
      </c>
      <c r="D458" s="21"/>
      <c r="E458" s="21"/>
      <c r="F458" s="32" t="s">
        <v>81</v>
      </c>
      <c r="G458" s="33">
        <v>0.15</v>
      </c>
      <c r="H458" s="21"/>
      <c r="I458" s="33">
        <v>5.6520000000000001</v>
      </c>
      <c r="J458" s="35">
        <v>88.8</v>
      </c>
      <c r="K458" s="12"/>
      <c r="L458" s="12"/>
      <c r="M458" s="35">
        <f>ROUND(ROUND(J458, 2)*I458, 2)</f>
        <v>501.9</v>
      </c>
      <c r="N458" s="12"/>
      <c r="O458" s="12"/>
      <c r="P458" s="35">
        <v>88.8</v>
      </c>
      <c r="Q458" s="12"/>
      <c r="R458" s="12"/>
      <c r="S458" s="35">
        <f>ROUND(ROUND(P458, 2)*I458, 2)</f>
        <v>501.9</v>
      </c>
      <c r="T458" s="12"/>
      <c r="U458" s="36"/>
      <c r="V458" s="9">
        <f>ROUND(ROUND(P458, 2)/1.2, 2)</f>
        <v>74</v>
      </c>
      <c r="Y458" s="9">
        <f t="shared" si="106"/>
        <v>418.25</v>
      </c>
      <c r="AD458" s="4" t="s">
        <v>1403</v>
      </c>
      <c r="AE458" s="4" t="s">
        <v>1404</v>
      </c>
      <c r="AF458" s="4" t="s">
        <v>496</v>
      </c>
    </row>
    <row r="459" spans="1:35" ht="18" x14ac:dyDescent="0.35">
      <c r="A459" s="11" t="s">
        <v>1405</v>
      </c>
      <c r="B459" s="11"/>
      <c r="C459" s="31" t="s">
        <v>854</v>
      </c>
      <c r="D459" s="21"/>
      <c r="E459" s="21"/>
      <c r="F459" s="32" t="s">
        <v>81</v>
      </c>
      <c r="G459" s="33">
        <v>5</v>
      </c>
      <c r="H459" s="21"/>
      <c r="I459" s="33">
        <v>188.4</v>
      </c>
      <c r="J459" s="35">
        <v>23</v>
      </c>
      <c r="K459" s="12"/>
      <c r="L459" s="12"/>
      <c r="M459" s="35">
        <f>ROUND(ROUND(J459, 2)*I459, 2)</f>
        <v>4333.2</v>
      </c>
      <c r="N459" s="12"/>
      <c r="O459" s="12"/>
      <c r="P459" s="35">
        <v>32.31</v>
      </c>
      <c r="Q459" s="12"/>
      <c r="R459" s="12"/>
      <c r="S459" s="35">
        <f>ROUND(ROUND(P459, 2)*I459, 2)</f>
        <v>6087.2</v>
      </c>
      <c r="T459" s="12"/>
      <c r="U459" s="36"/>
      <c r="V459" s="9">
        <f>ROUND(ROUND(P459, 2)/1.2, 2)</f>
        <v>26.93</v>
      </c>
      <c r="Y459" s="9">
        <f t="shared" si="106"/>
        <v>5072.67</v>
      </c>
      <c r="AD459" s="4" t="s">
        <v>1406</v>
      </c>
      <c r="AE459" s="4" t="s">
        <v>1407</v>
      </c>
      <c r="AF459" s="4" t="s">
        <v>858</v>
      </c>
    </row>
    <row r="460" spans="1:35" ht="54" x14ac:dyDescent="0.35">
      <c r="A460" s="11" t="s">
        <v>1408</v>
      </c>
      <c r="B460" s="11" t="s">
        <v>1409</v>
      </c>
      <c r="C460" s="20" t="s">
        <v>1410</v>
      </c>
      <c r="D460" s="21"/>
      <c r="E460" s="21" t="s">
        <v>1411</v>
      </c>
      <c r="F460" s="21" t="s">
        <v>56</v>
      </c>
      <c r="G460" s="22">
        <v>1</v>
      </c>
      <c r="H460" s="21"/>
      <c r="I460" s="22">
        <v>25.45</v>
      </c>
      <c r="J460" s="23">
        <f>IFERROR(ROUND(SUM(M461,M462)/I460, 2),0)</f>
        <v>30.41</v>
      </c>
      <c r="K460" s="23">
        <v>303</v>
      </c>
      <c r="L460" s="23">
        <f>J460+ROUND(K460, 2)</f>
        <v>333.41</v>
      </c>
      <c r="M460" s="23">
        <f>ROUND(J460*I460, 2)</f>
        <v>773.93</v>
      </c>
      <c r="N460" s="23">
        <f>ROUND(I460*ROUND(K460, 2), 2)</f>
        <v>7711.35</v>
      </c>
      <c r="O460" s="23">
        <f>M460+N460</f>
        <v>8485.2800000000007</v>
      </c>
      <c r="P460" s="23">
        <f>IFERROR(ROUND(SUM(S461,S462)/I460, 2),0)</f>
        <v>118.88</v>
      </c>
      <c r="Q460" s="23">
        <v>303</v>
      </c>
      <c r="R460" s="23">
        <f>P460+ROUND(Q460, 2)</f>
        <v>421.88</v>
      </c>
      <c r="S460" s="23">
        <f>ROUND(P460*I460, 2)</f>
        <v>3025.5</v>
      </c>
      <c r="T460" s="23">
        <f>ROUND(I460*ROUND(Q460, 2), 2)</f>
        <v>7711.35</v>
      </c>
      <c r="U460" s="23">
        <f>S460+T460</f>
        <v>10736.85</v>
      </c>
      <c r="V460" s="9">
        <f>ROUND(P460 / 1.2, 2)</f>
        <v>99.07</v>
      </c>
      <c r="W460" s="9">
        <f>ROUND(Q460 / 1.2, 2)</f>
        <v>252.5</v>
      </c>
      <c r="X460" s="9">
        <f>ROUND(R460 / 1.2, 2)</f>
        <v>351.57</v>
      </c>
      <c r="Y460" s="9">
        <f t="shared" si="106"/>
        <v>2521.25</v>
      </c>
      <c r="Z460" s="9">
        <f>ROUND(T460 / 1.2, 2)</f>
        <v>6426.13</v>
      </c>
      <c r="AA460" s="9">
        <f>Y460+Z460</f>
        <v>8947.380000000001</v>
      </c>
      <c r="AD460" s="4">
        <v>303752437</v>
      </c>
      <c r="AE460" s="4">
        <v>18541174</v>
      </c>
      <c r="AG460" s="4" t="s">
        <v>1412</v>
      </c>
      <c r="AH460" s="4" t="s">
        <v>1413</v>
      </c>
      <c r="AI460" s="4" t="s">
        <v>247</v>
      </c>
    </row>
    <row r="461" spans="1:35" ht="36" x14ac:dyDescent="0.35">
      <c r="A461" s="11" t="s">
        <v>1414</v>
      </c>
      <c r="B461" s="11"/>
      <c r="C461" s="31" t="s">
        <v>1415</v>
      </c>
      <c r="D461" s="21"/>
      <c r="E461" s="21"/>
      <c r="F461" s="32" t="s">
        <v>81</v>
      </c>
      <c r="G461" s="33">
        <v>0.3</v>
      </c>
      <c r="H461" s="21"/>
      <c r="I461" s="33">
        <v>7.6349999999999998</v>
      </c>
      <c r="J461" s="35">
        <v>71.75</v>
      </c>
      <c r="K461" s="12"/>
      <c r="L461" s="12"/>
      <c r="M461" s="35">
        <f>ROUND(ROUND(J461, 2)*I461, 2)</f>
        <v>547.80999999999995</v>
      </c>
      <c r="N461" s="12"/>
      <c r="O461" s="12"/>
      <c r="P461" s="35">
        <v>366.67</v>
      </c>
      <c r="Q461" s="12"/>
      <c r="R461" s="12"/>
      <c r="S461" s="35">
        <f>ROUND(ROUND(P461, 2)*I461, 2)</f>
        <v>2799.53</v>
      </c>
      <c r="T461" s="12"/>
      <c r="U461" s="36"/>
      <c r="V461" s="9">
        <f>ROUND(ROUND(P461, 2)/1.2, 2)</f>
        <v>305.56</v>
      </c>
      <c r="Y461" s="9">
        <f t="shared" si="106"/>
        <v>2332.94</v>
      </c>
      <c r="AD461" s="4" t="s">
        <v>1416</v>
      </c>
      <c r="AE461" s="4" t="s">
        <v>1417</v>
      </c>
      <c r="AF461" s="4" t="s">
        <v>1418</v>
      </c>
    </row>
    <row r="462" spans="1:35" ht="36" x14ac:dyDescent="0.35">
      <c r="A462" s="11" t="s">
        <v>1419</v>
      </c>
      <c r="B462" s="11"/>
      <c r="C462" s="31" t="s">
        <v>493</v>
      </c>
      <c r="D462" s="21"/>
      <c r="E462" s="21"/>
      <c r="F462" s="32" t="s">
        <v>81</v>
      </c>
      <c r="G462" s="33">
        <v>0.1</v>
      </c>
      <c r="H462" s="21"/>
      <c r="I462" s="33">
        <v>2.5449999999999999</v>
      </c>
      <c r="J462" s="35">
        <v>88.8</v>
      </c>
      <c r="K462" s="12"/>
      <c r="L462" s="12"/>
      <c r="M462" s="35">
        <f>ROUND(ROUND(J462, 2)*I462, 2)</f>
        <v>226</v>
      </c>
      <c r="N462" s="12"/>
      <c r="O462" s="12"/>
      <c r="P462" s="35">
        <v>88.8</v>
      </c>
      <c r="Q462" s="12"/>
      <c r="R462" s="12"/>
      <c r="S462" s="35">
        <f>ROUND(ROUND(P462, 2)*I462, 2)</f>
        <v>226</v>
      </c>
      <c r="T462" s="12"/>
      <c r="U462" s="36"/>
      <c r="V462" s="9">
        <f>ROUND(ROUND(P462, 2)/1.2, 2)</f>
        <v>74</v>
      </c>
      <c r="Y462" s="9">
        <f t="shared" si="106"/>
        <v>188.33</v>
      </c>
      <c r="AD462" s="4" t="s">
        <v>1420</v>
      </c>
      <c r="AE462" s="4" t="s">
        <v>1421</v>
      </c>
      <c r="AF462" s="4" t="s">
        <v>496</v>
      </c>
    </row>
    <row r="463" spans="1:35" ht="54" x14ac:dyDescent="0.35">
      <c r="A463" s="11" t="s">
        <v>1422</v>
      </c>
      <c r="B463" s="11" t="s">
        <v>1409</v>
      </c>
      <c r="C463" s="20" t="s">
        <v>1410</v>
      </c>
      <c r="D463" s="21"/>
      <c r="E463" s="21" t="s">
        <v>1423</v>
      </c>
      <c r="F463" s="21" t="s">
        <v>56</v>
      </c>
      <c r="G463" s="22">
        <v>1</v>
      </c>
      <c r="H463" s="21"/>
      <c r="I463" s="22">
        <v>51.66</v>
      </c>
      <c r="J463" s="23">
        <f>IFERROR(ROUND(SUM(M464,M465)/I463, 2),0)</f>
        <v>30.4</v>
      </c>
      <c r="K463" s="23">
        <v>303</v>
      </c>
      <c r="L463" s="23">
        <f>J463+ROUND(K463, 2)</f>
        <v>333.4</v>
      </c>
      <c r="M463" s="23">
        <f>ROUND(J463*I463, 2)</f>
        <v>1570.46</v>
      </c>
      <c r="N463" s="23">
        <f>ROUND(I463*ROUND(K463, 2), 2)</f>
        <v>15652.98</v>
      </c>
      <c r="O463" s="23">
        <f>M463+N463</f>
        <v>17223.439999999999</v>
      </c>
      <c r="P463" s="23">
        <f>IFERROR(ROUND(SUM(S464,S465)/I463, 2),0)</f>
        <v>118.88</v>
      </c>
      <c r="Q463" s="23">
        <v>303</v>
      </c>
      <c r="R463" s="23">
        <f>P463+ROUND(Q463, 2)</f>
        <v>421.88</v>
      </c>
      <c r="S463" s="23">
        <f>ROUND(P463*I463, 2)</f>
        <v>6141.34</v>
      </c>
      <c r="T463" s="23">
        <f>ROUND(I463*ROUND(Q463, 2), 2)</f>
        <v>15652.98</v>
      </c>
      <c r="U463" s="23">
        <f>S463+T463</f>
        <v>21794.32</v>
      </c>
      <c r="V463" s="9">
        <f>ROUND(P463 / 1.2, 2)</f>
        <v>99.07</v>
      </c>
      <c r="W463" s="9">
        <f>ROUND(Q463 / 1.2, 2)</f>
        <v>252.5</v>
      </c>
      <c r="X463" s="9">
        <f>ROUND(R463 / 1.2, 2)</f>
        <v>351.57</v>
      </c>
      <c r="Y463" s="9">
        <f t="shared" ref="Y463:Y486" si="107">ROUND(S463 / 1.2, 2)</f>
        <v>5117.78</v>
      </c>
      <c r="Z463" s="9">
        <f>ROUND(T463 / 1.2, 2)</f>
        <v>13044.15</v>
      </c>
      <c r="AA463" s="9">
        <f>Y463+Z463</f>
        <v>18161.93</v>
      </c>
      <c r="AD463" s="4">
        <v>303752508</v>
      </c>
      <c r="AE463" s="4">
        <v>19919222</v>
      </c>
      <c r="AG463" s="4" t="s">
        <v>1412</v>
      </c>
      <c r="AH463" s="4" t="s">
        <v>1413</v>
      </c>
      <c r="AI463" s="4" t="s">
        <v>247</v>
      </c>
    </row>
    <row r="464" spans="1:35" ht="36" x14ac:dyDescent="0.35">
      <c r="A464" s="11" t="s">
        <v>1424</v>
      </c>
      <c r="B464" s="11"/>
      <c r="C464" s="31" t="s">
        <v>493</v>
      </c>
      <c r="D464" s="21"/>
      <c r="E464" s="21"/>
      <c r="F464" s="32" t="s">
        <v>81</v>
      </c>
      <c r="G464" s="33">
        <v>0.1</v>
      </c>
      <c r="H464" s="21"/>
      <c r="I464" s="33">
        <v>5.1660000000000004</v>
      </c>
      <c r="J464" s="35">
        <v>88.8</v>
      </c>
      <c r="K464" s="12"/>
      <c r="L464" s="12"/>
      <c r="M464" s="35">
        <f>ROUND(ROUND(J464, 2)*I464, 2)</f>
        <v>458.74</v>
      </c>
      <c r="N464" s="12"/>
      <c r="O464" s="12"/>
      <c r="P464" s="35">
        <v>88.8</v>
      </c>
      <c r="Q464" s="12"/>
      <c r="R464" s="12"/>
      <c r="S464" s="35">
        <f>ROUND(ROUND(P464, 2)*I464, 2)</f>
        <v>458.74</v>
      </c>
      <c r="T464" s="12"/>
      <c r="U464" s="36"/>
      <c r="V464" s="9">
        <f>ROUND(ROUND(P464, 2)/1.2, 2)</f>
        <v>74</v>
      </c>
      <c r="Y464" s="9">
        <f t="shared" si="107"/>
        <v>382.28</v>
      </c>
      <c r="AD464" s="4" t="s">
        <v>1425</v>
      </c>
      <c r="AE464" s="4" t="s">
        <v>1426</v>
      </c>
      <c r="AF464" s="4" t="s">
        <v>496</v>
      </c>
    </row>
    <row r="465" spans="1:35" ht="36" x14ac:dyDescent="0.35">
      <c r="A465" s="11" t="s">
        <v>1427</v>
      </c>
      <c r="B465" s="11"/>
      <c r="C465" s="31" t="s">
        <v>1415</v>
      </c>
      <c r="D465" s="21"/>
      <c r="E465" s="21"/>
      <c r="F465" s="32" t="s">
        <v>81</v>
      </c>
      <c r="G465" s="33">
        <v>0.3</v>
      </c>
      <c r="H465" s="21"/>
      <c r="I465" s="33">
        <v>15.497999999999999</v>
      </c>
      <c r="J465" s="35">
        <v>71.75</v>
      </c>
      <c r="K465" s="12"/>
      <c r="L465" s="12"/>
      <c r="M465" s="35">
        <f>ROUND(ROUND(J465, 2)*I465, 2)</f>
        <v>1111.98</v>
      </c>
      <c r="N465" s="12"/>
      <c r="O465" s="12"/>
      <c r="P465" s="35">
        <v>366.67</v>
      </c>
      <c r="Q465" s="12"/>
      <c r="R465" s="12"/>
      <c r="S465" s="35">
        <f>ROUND(ROUND(P465, 2)*I465, 2)</f>
        <v>5682.65</v>
      </c>
      <c r="T465" s="12"/>
      <c r="U465" s="36"/>
      <c r="V465" s="9">
        <f>ROUND(ROUND(P465, 2)/1.2, 2)</f>
        <v>305.56</v>
      </c>
      <c r="Y465" s="9">
        <f t="shared" si="107"/>
        <v>4735.54</v>
      </c>
      <c r="AD465" s="4" t="s">
        <v>1428</v>
      </c>
      <c r="AE465" s="4" t="s">
        <v>1429</v>
      </c>
      <c r="AF465" s="4" t="s">
        <v>1418</v>
      </c>
    </row>
    <row r="466" spans="1:35" ht="54" x14ac:dyDescent="0.35">
      <c r="A466" s="11" t="s">
        <v>1430</v>
      </c>
      <c r="B466" s="11" t="s">
        <v>1409</v>
      </c>
      <c r="C466" s="20" t="s">
        <v>1410</v>
      </c>
      <c r="D466" s="21"/>
      <c r="E466" s="21" t="s">
        <v>1431</v>
      </c>
      <c r="F466" s="21" t="s">
        <v>56</v>
      </c>
      <c r="G466" s="22">
        <v>1</v>
      </c>
      <c r="H466" s="21"/>
      <c r="I466" s="22">
        <v>37.68</v>
      </c>
      <c r="J466" s="23">
        <f>IFERROR(ROUND(SUM(M467,M468)/I466, 2),0)</f>
        <v>30.4</v>
      </c>
      <c r="K466" s="23">
        <v>303</v>
      </c>
      <c r="L466" s="23">
        <f>J466+ROUND(K466, 2)</f>
        <v>333.4</v>
      </c>
      <c r="M466" s="23">
        <f>ROUND(J466*I466, 2)</f>
        <v>1145.47</v>
      </c>
      <c r="N466" s="23">
        <f>ROUND(I466*ROUND(K466, 2), 2)</f>
        <v>11417.04</v>
      </c>
      <c r="O466" s="23">
        <f>M466+N466</f>
        <v>12562.51</v>
      </c>
      <c r="P466" s="23">
        <f>IFERROR(ROUND(SUM(S467,S468)/I466, 2),0)</f>
        <v>118.88</v>
      </c>
      <c r="Q466" s="23">
        <v>303</v>
      </c>
      <c r="R466" s="23">
        <f>P466+ROUND(Q466, 2)</f>
        <v>421.88</v>
      </c>
      <c r="S466" s="23">
        <f>ROUND(P466*I466, 2)</f>
        <v>4479.3999999999996</v>
      </c>
      <c r="T466" s="23">
        <f>ROUND(I466*ROUND(Q466, 2), 2)</f>
        <v>11417.04</v>
      </c>
      <c r="U466" s="23">
        <f>S466+T466</f>
        <v>15896.44</v>
      </c>
      <c r="V466" s="9">
        <f>ROUND(P466 / 1.2, 2)</f>
        <v>99.07</v>
      </c>
      <c r="W466" s="9">
        <f>ROUND(Q466 / 1.2, 2)</f>
        <v>252.5</v>
      </c>
      <c r="X466" s="9">
        <f>ROUND(R466 / 1.2, 2)</f>
        <v>351.57</v>
      </c>
      <c r="Y466" s="9">
        <f t="shared" si="107"/>
        <v>3732.83</v>
      </c>
      <c r="Z466" s="9">
        <f>ROUND(T466 / 1.2, 2)</f>
        <v>9514.2000000000007</v>
      </c>
      <c r="AA466" s="9">
        <f>Y466+Z466</f>
        <v>13247.03</v>
      </c>
      <c r="AD466" s="4">
        <v>303752509</v>
      </c>
      <c r="AE466" s="4">
        <v>19919224</v>
      </c>
      <c r="AG466" s="4" t="s">
        <v>1412</v>
      </c>
      <c r="AH466" s="4" t="s">
        <v>1413</v>
      </c>
      <c r="AI466" s="4" t="s">
        <v>247</v>
      </c>
    </row>
    <row r="467" spans="1:35" ht="36" x14ac:dyDescent="0.35">
      <c r="A467" s="11" t="s">
        <v>1432</v>
      </c>
      <c r="B467" s="11"/>
      <c r="C467" s="31" t="s">
        <v>493</v>
      </c>
      <c r="D467" s="21"/>
      <c r="E467" s="21"/>
      <c r="F467" s="32" t="s">
        <v>81</v>
      </c>
      <c r="G467" s="33">
        <v>0.1</v>
      </c>
      <c r="H467" s="21"/>
      <c r="I467" s="33">
        <v>3.7679999999999998</v>
      </c>
      <c r="J467" s="35">
        <v>88.8</v>
      </c>
      <c r="K467" s="12"/>
      <c r="L467" s="12"/>
      <c r="M467" s="35">
        <f>ROUND(ROUND(J467, 2)*I467, 2)</f>
        <v>334.6</v>
      </c>
      <c r="N467" s="12"/>
      <c r="O467" s="12"/>
      <c r="P467" s="35">
        <v>88.8</v>
      </c>
      <c r="Q467" s="12"/>
      <c r="R467" s="12"/>
      <c r="S467" s="35">
        <f>ROUND(ROUND(P467, 2)*I467, 2)</f>
        <v>334.6</v>
      </c>
      <c r="T467" s="12"/>
      <c r="U467" s="36"/>
      <c r="V467" s="9">
        <f>ROUND(ROUND(P467, 2)/1.2, 2)</f>
        <v>74</v>
      </c>
      <c r="Y467" s="9">
        <f t="shared" si="107"/>
        <v>278.83</v>
      </c>
      <c r="AD467" s="4" t="s">
        <v>1433</v>
      </c>
      <c r="AE467" s="4" t="s">
        <v>1434</v>
      </c>
      <c r="AF467" s="4" t="s">
        <v>496</v>
      </c>
    </row>
    <row r="468" spans="1:35" ht="36" x14ac:dyDescent="0.35">
      <c r="A468" s="11" t="s">
        <v>1435</v>
      </c>
      <c r="B468" s="11"/>
      <c r="C468" s="31" t="s">
        <v>1415</v>
      </c>
      <c r="D468" s="21"/>
      <c r="E468" s="21"/>
      <c r="F468" s="32" t="s">
        <v>81</v>
      </c>
      <c r="G468" s="33">
        <v>0.3</v>
      </c>
      <c r="H468" s="21"/>
      <c r="I468" s="33">
        <v>11.304</v>
      </c>
      <c r="J468" s="35">
        <v>71.75</v>
      </c>
      <c r="K468" s="12"/>
      <c r="L468" s="12"/>
      <c r="M468" s="35">
        <f>ROUND(ROUND(J468, 2)*I468, 2)</f>
        <v>811.06</v>
      </c>
      <c r="N468" s="12"/>
      <c r="O468" s="12"/>
      <c r="P468" s="35">
        <v>366.67</v>
      </c>
      <c r="Q468" s="12"/>
      <c r="R468" s="12"/>
      <c r="S468" s="35">
        <f>ROUND(ROUND(P468, 2)*I468, 2)</f>
        <v>4144.84</v>
      </c>
      <c r="T468" s="12"/>
      <c r="U468" s="36"/>
      <c r="V468" s="9">
        <f>ROUND(ROUND(P468, 2)/1.2, 2)</f>
        <v>305.56</v>
      </c>
      <c r="Y468" s="9">
        <f t="shared" si="107"/>
        <v>3454.03</v>
      </c>
      <c r="AD468" s="4" t="s">
        <v>1436</v>
      </c>
      <c r="AE468" s="4" t="s">
        <v>1437</v>
      </c>
      <c r="AF468" s="4" t="s">
        <v>1418</v>
      </c>
    </row>
    <row r="469" spans="1:35" ht="54" x14ac:dyDescent="0.35">
      <c r="A469" s="11" t="s">
        <v>1438</v>
      </c>
      <c r="B469" s="11" t="s">
        <v>1439</v>
      </c>
      <c r="C469" s="20" t="s">
        <v>1440</v>
      </c>
      <c r="D469" s="21"/>
      <c r="E469" s="21" t="s">
        <v>1441</v>
      </c>
      <c r="F469" s="21" t="s">
        <v>56</v>
      </c>
      <c r="G469" s="22">
        <v>1</v>
      </c>
      <c r="H469" s="21"/>
      <c r="I469" s="22">
        <v>37.44</v>
      </c>
      <c r="J469" s="23">
        <f>IFERROR(ROUND(SUM(M470,M471,M472)/I469, 2),0)</f>
        <v>238.99</v>
      </c>
      <c r="K469" s="23">
        <v>1291</v>
      </c>
      <c r="L469" s="23">
        <f>J469+ROUND(K469, 2)</f>
        <v>1529.99</v>
      </c>
      <c r="M469" s="23">
        <f>ROUND(J469*I469, 2)</f>
        <v>8947.7900000000009</v>
      </c>
      <c r="N469" s="23">
        <f>ROUND(I469*ROUND(K469, 2), 2)</f>
        <v>48335.040000000001</v>
      </c>
      <c r="O469" s="23">
        <f>M469+N469</f>
        <v>57282.83</v>
      </c>
      <c r="P469" s="23">
        <f>IFERROR(ROUND(SUM(S470,S471,S472)/I469, 2),0)</f>
        <v>1847.19</v>
      </c>
      <c r="Q469" s="23">
        <v>1291</v>
      </c>
      <c r="R469" s="23">
        <f>P469+ROUND(Q469, 2)</f>
        <v>3138.19</v>
      </c>
      <c r="S469" s="23">
        <f>ROUND(P469*I469, 2)</f>
        <v>69158.789999999994</v>
      </c>
      <c r="T469" s="23">
        <f>ROUND(I469*ROUND(Q469, 2), 2)</f>
        <v>48335.040000000001</v>
      </c>
      <c r="U469" s="23">
        <f>S469+T469</f>
        <v>117493.82999999999</v>
      </c>
      <c r="V469" s="9">
        <f>ROUND(P469 / 1.2, 2)</f>
        <v>1539.33</v>
      </c>
      <c r="W469" s="9">
        <f>ROUND(Q469 / 1.2, 2)</f>
        <v>1075.83</v>
      </c>
      <c r="X469" s="9">
        <f>ROUND(R469 / 1.2, 2)</f>
        <v>2615.16</v>
      </c>
      <c r="Y469" s="9">
        <f t="shared" si="107"/>
        <v>57632.33</v>
      </c>
      <c r="Z469" s="9">
        <f>ROUND(T469 / 1.2, 2)</f>
        <v>40279.199999999997</v>
      </c>
      <c r="AA469" s="9">
        <f>Y469+Z469</f>
        <v>97911.53</v>
      </c>
      <c r="AD469" s="4">
        <v>303752439</v>
      </c>
      <c r="AE469" s="4">
        <v>19917608</v>
      </c>
      <c r="AG469" s="4" t="s">
        <v>1442</v>
      </c>
      <c r="AH469" s="4" t="s">
        <v>1443</v>
      </c>
      <c r="AI469" s="4" t="s">
        <v>247</v>
      </c>
    </row>
    <row r="470" spans="1:35" ht="18" x14ac:dyDescent="0.35">
      <c r="A470" s="11" t="s">
        <v>1444</v>
      </c>
      <c r="B470" s="11"/>
      <c r="C470" s="31" t="s">
        <v>1445</v>
      </c>
      <c r="D470" s="21"/>
      <c r="E470" s="21"/>
      <c r="F470" s="32" t="s">
        <v>103</v>
      </c>
      <c r="G470" s="33">
        <v>1</v>
      </c>
      <c r="H470" s="21"/>
      <c r="I470" s="34">
        <v>22</v>
      </c>
      <c r="J470" s="35">
        <v>80</v>
      </c>
      <c r="K470" s="12"/>
      <c r="L470" s="12"/>
      <c r="M470" s="35">
        <f>ROUND(ROUND(J470, 2)*I470, 2)</f>
        <v>1760</v>
      </c>
      <c r="N470" s="12"/>
      <c r="O470" s="12"/>
      <c r="P470" s="35">
        <v>80</v>
      </c>
      <c r="Q470" s="12"/>
      <c r="R470" s="12"/>
      <c r="S470" s="35">
        <f>ROUND(ROUND(P470, 2)*I470, 2)</f>
        <v>1760</v>
      </c>
      <c r="T470" s="12"/>
      <c r="U470" s="36"/>
      <c r="V470" s="9">
        <f>ROUND(ROUND(P470, 2)/1.2, 2)</f>
        <v>66.67</v>
      </c>
      <c r="Y470" s="9">
        <f t="shared" si="107"/>
        <v>1466.67</v>
      </c>
      <c r="AD470" s="4" t="s">
        <v>1446</v>
      </c>
      <c r="AE470" s="4" t="s">
        <v>1447</v>
      </c>
      <c r="AF470" s="4" t="s">
        <v>1448</v>
      </c>
    </row>
    <row r="471" spans="1:35" ht="18" x14ac:dyDescent="0.35">
      <c r="A471" s="11" t="s">
        <v>1449</v>
      </c>
      <c r="B471" s="11"/>
      <c r="C471" s="31" t="s">
        <v>188</v>
      </c>
      <c r="D471" s="21"/>
      <c r="E471" s="21"/>
      <c r="F471" s="32" t="s">
        <v>129</v>
      </c>
      <c r="G471" s="33">
        <v>1</v>
      </c>
      <c r="H471" s="21"/>
      <c r="I471" s="34">
        <v>201</v>
      </c>
      <c r="J471" s="35">
        <v>35.76</v>
      </c>
      <c r="K471" s="12"/>
      <c r="L471" s="12"/>
      <c r="M471" s="35">
        <f>ROUND(ROUND(J471, 2)*I471, 2)</f>
        <v>7187.76</v>
      </c>
      <c r="N471" s="12"/>
      <c r="O471" s="12"/>
      <c r="P471" s="35">
        <v>35.76</v>
      </c>
      <c r="Q471" s="12"/>
      <c r="R471" s="12"/>
      <c r="S471" s="35">
        <f>ROUND(ROUND(P471, 2)*I471, 2)</f>
        <v>7187.76</v>
      </c>
      <c r="T471" s="12"/>
      <c r="U471" s="36"/>
      <c r="V471" s="9">
        <f>ROUND(ROUND(P471, 2)/1.2, 2)</f>
        <v>29.8</v>
      </c>
      <c r="Y471" s="9">
        <f t="shared" si="107"/>
        <v>5989.8</v>
      </c>
      <c r="AD471" s="4" t="s">
        <v>1450</v>
      </c>
      <c r="AE471" s="4" t="s">
        <v>1451</v>
      </c>
      <c r="AF471" s="4" t="s">
        <v>191</v>
      </c>
    </row>
    <row r="472" spans="1:35" ht="18" x14ac:dyDescent="0.35">
      <c r="A472" s="11" t="s">
        <v>1452</v>
      </c>
      <c r="B472" s="11"/>
      <c r="C472" s="31" t="s">
        <v>1453</v>
      </c>
      <c r="D472" s="21"/>
      <c r="E472" s="21"/>
      <c r="F472" s="32" t="s">
        <v>56</v>
      </c>
      <c r="G472" s="33">
        <v>1.1000000000000001</v>
      </c>
      <c r="H472" s="21"/>
      <c r="I472" s="33">
        <v>41.183999999999997</v>
      </c>
      <c r="J472" s="35">
        <v>0</v>
      </c>
      <c r="K472" s="12"/>
      <c r="L472" s="12"/>
      <c r="M472" s="35">
        <f>ROUND(ROUND(J472, 2)*I472, 2)</f>
        <v>0</v>
      </c>
      <c r="N472" s="12"/>
      <c r="O472" s="12"/>
      <c r="P472" s="35">
        <v>1462</v>
      </c>
      <c r="Q472" s="12"/>
      <c r="R472" s="12"/>
      <c r="S472" s="35">
        <f>ROUND(ROUND(P472, 2)*I472, 2)</f>
        <v>60211.01</v>
      </c>
      <c r="T472" s="12"/>
      <c r="U472" s="36"/>
      <c r="V472" s="9">
        <f>ROUND(ROUND(P472, 2)/1.2, 2)</f>
        <v>1218.33</v>
      </c>
      <c r="Y472" s="9">
        <f t="shared" si="107"/>
        <v>50175.839999999997</v>
      </c>
      <c r="AD472" s="4" t="s">
        <v>1454</v>
      </c>
      <c r="AE472" s="4" t="s">
        <v>1455</v>
      </c>
      <c r="AF472" s="4" t="s">
        <v>1456</v>
      </c>
    </row>
    <row r="473" spans="1:35" ht="54" x14ac:dyDescent="0.35">
      <c r="A473" s="11" t="s">
        <v>1457</v>
      </c>
      <c r="B473" s="11" t="s">
        <v>1458</v>
      </c>
      <c r="C473" s="20" t="s">
        <v>1459</v>
      </c>
      <c r="D473" s="21"/>
      <c r="E473" s="21" t="s">
        <v>1460</v>
      </c>
      <c r="F473" s="21" t="s">
        <v>56</v>
      </c>
      <c r="G473" s="22">
        <v>1</v>
      </c>
      <c r="H473" s="21"/>
      <c r="I473" s="22">
        <v>25.45</v>
      </c>
      <c r="J473" s="23">
        <f>IFERROR(ROUND(SUM(M474,M475,M476,M477,M478,M479)/I473, 2),0)</f>
        <v>856.16</v>
      </c>
      <c r="K473" s="23">
        <v>1422</v>
      </c>
      <c r="L473" s="23">
        <f>J473+ROUND(K473, 2)</f>
        <v>2278.16</v>
      </c>
      <c r="M473" s="23">
        <f>ROUND(J473*I473, 2)</f>
        <v>21789.27</v>
      </c>
      <c r="N473" s="23">
        <f>ROUND(I473*ROUND(K473, 2), 2)</f>
        <v>36189.9</v>
      </c>
      <c r="O473" s="23">
        <f>M473+N473</f>
        <v>57979.17</v>
      </c>
      <c r="P473" s="23">
        <f>IFERROR(ROUND(SUM(S474,S475,S476,S477,S478,S479)/I473, 2),0)</f>
        <v>856.16</v>
      </c>
      <c r="Q473" s="23">
        <v>1422</v>
      </c>
      <c r="R473" s="23">
        <f>P473+ROUND(Q473, 2)</f>
        <v>2278.16</v>
      </c>
      <c r="S473" s="23">
        <f>ROUND(P473*I473, 2)</f>
        <v>21789.27</v>
      </c>
      <c r="T473" s="23">
        <f>ROUND(I473*ROUND(Q473, 2), 2)</f>
        <v>36189.9</v>
      </c>
      <c r="U473" s="23">
        <f>S473+T473</f>
        <v>57979.17</v>
      </c>
      <c r="V473" s="9">
        <f>ROUND(P473 / 1.2, 2)</f>
        <v>713.47</v>
      </c>
      <c r="W473" s="9">
        <f>ROUND(Q473 / 1.2, 2)</f>
        <v>1185</v>
      </c>
      <c r="X473" s="9">
        <f>ROUND(R473 / 1.2, 2)</f>
        <v>1898.47</v>
      </c>
      <c r="Y473" s="9">
        <f t="shared" si="107"/>
        <v>18157.73</v>
      </c>
      <c r="Z473" s="9">
        <f>ROUND(T473 / 1.2, 2)</f>
        <v>30158.25</v>
      </c>
      <c r="AA473" s="9">
        <f>Y473+Z473</f>
        <v>48315.979999999996</v>
      </c>
      <c r="AD473" s="4">
        <v>303752441</v>
      </c>
      <c r="AE473" s="4">
        <v>21804153</v>
      </c>
      <c r="AG473" s="4" t="s">
        <v>1461</v>
      </c>
      <c r="AH473" s="4" t="s">
        <v>1462</v>
      </c>
      <c r="AI473" s="4" t="s">
        <v>247</v>
      </c>
    </row>
    <row r="474" spans="1:35" ht="18" x14ac:dyDescent="0.35">
      <c r="A474" s="11" t="s">
        <v>1463</v>
      </c>
      <c r="B474" s="11"/>
      <c r="C474" s="31" t="s">
        <v>1464</v>
      </c>
      <c r="D474" s="21"/>
      <c r="E474" s="21"/>
      <c r="F474" s="32" t="s">
        <v>103</v>
      </c>
      <c r="G474" s="33">
        <v>44</v>
      </c>
      <c r="H474" s="21"/>
      <c r="I474" s="33">
        <v>1119.8</v>
      </c>
      <c r="J474" s="35">
        <v>0.95</v>
      </c>
      <c r="K474" s="12"/>
      <c r="L474" s="12"/>
      <c r="M474" s="35">
        <f t="shared" ref="M474:M479" si="108">ROUND(ROUND(J474, 2)*I474, 2)</f>
        <v>1063.81</v>
      </c>
      <c r="N474" s="12"/>
      <c r="O474" s="12"/>
      <c r="P474" s="35">
        <v>0.95</v>
      </c>
      <c r="Q474" s="12"/>
      <c r="R474" s="12"/>
      <c r="S474" s="35">
        <f t="shared" ref="S474:S479" si="109">ROUND(ROUND(P474, 2)*I474, 2)</f>
        <v>1063.81</v>
      </c>
      <c r="T474" s="12"/>
      <c r="U474" s="36"/>
      <c r="V474" s="9">
        <f t="shared" ref="V474:V479" si="110">ROUND(ROUND(P474, 2)/1.2, 2)</f>
        <v>0.79</v>
      </c>
      <c r="Y474" s="9">
        <f t="shared" si="107"/>
        <v>886.51</v>
      </c>
      <c r="AD474" s="4" t="s">
        <v>1465</v>
      </c>
      <c r="AE474" s="4" t="s">
        <v>1466</v>
      </c>
      <c r="AF474" s="4" t="s">
        <v>1467</v>
      </c>
    </row>
    <row r="475" spans="1:35" ht="18" x14ac:dyDescent="0.35">
      <c r="A475" s="11" t="s">
        <v>1468</v>
      </c>
      <c r="B475" s="11"/>
      <c r="C475" s="31" t="s">
        <v>1469</v>
      </c>
      <c r="D475" s="21"/>
      <c r="E475" s="21"/>
      <c r="F475" s="32" t="s">
        <v>81</v>
      </c>
      <c r="G475" s="33">
        <v>0.35</v>
      </c>
      <c r="H475" s="21"/>
      <c r="I475" s="33">
        <v>8.9079999999999995</v>
      </c>
      <c r="J475" s="35">
        <v>55</v>
      </c>
      <c r="K475" s="12"/>
      <c r="L475" s="12"/>
      <c r="M475" s="35">
        <f t="shared" si="108"/>
        <v>489.94</v>
      </c>
      <c r="N475" s="12"/>
      <c r="O475" s="12"/>
      <c r="P475" s="35">
        <v>55</v>
      </c>
      <c r="Q475" s="12"/>
      <c r="R475" s="12"/>
      <c r="S475" s="35">
        <f t="shared" si="109"/>
        <v>489.94</v>
      </c>
      <c r="T475" s="12"/>
      <c r="U475" s="36"/>
      <c r="V475" s="9">
        <f t="shared" si="110"/>
        <v>45.83</v>
      </c>
      <c r="Y475" s="9">
        <f t="shared" si="107"/>
        <v>408.28</v>
      </c>
      <c r="AD475" s="4" t="s">
        <v>1470</v>
      </c>
      <c r="AE475" s="4" t="s">
        <v>1471</v>
      </c>
      <c r="AF475" s="4" t="s">
        <v>1472</v>
      </c>
    </row>
    <row r="476" spans="1:35" ht="18" x14ac:dyDescent="0.35">
      <c r="A476" s="11" t="s">
        <v>1473</v>
      </c>
      <c r="B476" s="11"/>
      <c r="C476" s="31" t="s">
        <v>1445</v>
      </c>
      <c r="D476" s="21"/>
      <c r="E476" s="21"/>
      <c r="F476" s="32" t="s">
        <v>103</v>
      </c>
      <c r="G476" s="33">
        <v>2.2200000000000002</v>
      </c>
      <c r="H476" s="21"/>
      <c r="I476" s="33">
        <v>56.499000000000002</v>
      </c>
      <c r="J476" s="35">
        <v>80</v>
      </c>
      <c r="K476" s="12"/>
      <c r="L476" s="12"/>
      <c r="M476" s="35">
        <f t="shared" si="108"/>
        <v>4519.92</v>
      </c>
      <c r="N476" s="12"/>
      <c r="O476" s="12"/>
      <c r="P476" s="35">
        <v>80</v>
      </c>
      <c r="Q476" s="12"/>
      <c r="R476" s="12"/>
      <c r="S476" s="35">
        <f t="shared" si="109"/>
        <v>4519.92</v>
      </c>
      <c r="T476" s="12"/>
      <c r="U476" s="36"/>
      <c r="V476" s="9">
        <f t="shared" si="110"/>
        <v>66.67</v>
      </c>
      <c r="Y476" s="9">
        <f t="shared" si="107"/>
        <v>3766.6</v>
      </c>
      <c r="AD476" s="4" t="s">
        <v>1474</v>
      </c>
      <c r="AE476" s="4" t="s">
        <v>1475</v>
      </c>
      <c r="AF476" s="4" t="s">
        <v>1448</v>
      </c>
    </row>
    <row r="477" spans="1:35" ht="36" x14ac:dyDescent="0.35">
      <c r="A477" s="11" t="s">
        <v>1476</v>
      </c>
      <c r="B477" s="11"/>
      <c r="C477" s="37" t="s">
        <v>1477</v>
      </c>
      <c r="D477" s="21"/>
      <c r="E477" s="21"/>
      <c r="F477" s="32" t="s">
        <v>129</v>
      </c>
      <c r="G477" s="33">
        <v>13.5</v>
      </c>
      <c r="H477" s="21"/>
      <c r="I477" s="33">
        <v>343.57499999999999</v>
      </c>
      <c r="J477" s="35">
        <v>32.950000000000003</v>
      </c>
      <c r="K477" s="12"/>
      <c r="L477" s="12"/>
      <c r="M477" s="35">
        <f t="shared" si="108"/>
        <v>11320.8</v>
      </c>
      <c r="N477" s="12"/>
      <c r="O477" s="12"/>
      <c r="P477" s="35">
        <v>32.950000000000003</v>
      </c>
      <c r="Q477" s="12"/>
      <c r="R477" s="12"/>
      <c r="S477" s="35">
        <f t="shared" si="109"/>
        <v>11320.8</v>
      </c>
      <c r="T477" s="12"/>
      <c r="U477" s="36"/>
      <c r="V477" s="9">
        <f t="shared" si="110"/>
        <v>27.46</v>
      </c>
      <c r="Y477" s="9">
        <f t="shared" si="107"/>
        <v>9434</v>
      </c>
      <c r="AD477" s="4" t="s">
        <v>1478</v>
      </c>
      <c r="AE477" s="4" t="s">
        <v>1479</v>
      </c>
      <c r="AF477" s="4" t="s">
        <v>1480</v>
      </c>
    </row>
    <row r="478" spans="1:35" ht="18" x14ac:dyDescent="0.35">
      <c r="A478" s="11" t="s">
        <v>1481</v>
      </c>
      <c r="B478" s="11"/>
      <c r="C478" s="31" t="s">
        <v>1482</v>
      </c>
      <c r="D478" s="21"/>
      <c r="E478" s="21"/>
      <c r="F478" s="32" t="s">
        <v>103</v>
      </c>
      <c r="G478" s="33">
        <v>33.75</v>
      </c>
      <c r="H478" s="21"/>
      <c r="I478" s="33">
        <v>858.93799999999999</v>
      </c>
      <c r="J478" s="35">
        <v>0.9</v>
      </c>
      <c r="K478" s="12"/>
      <c r="L478" s="12"/>
      <c r="M478" s="35">
        <f t="shared" si="108"/>
        <v>773.04</v>
      </c>
      <c r="N478" s="12"/>
      <c r="O478" s="12"/>
      <c r="P478" s="35">
        <v>0.9</v>
      </c>
      <c r="Q478" s="12"/>
      <c r="R478" s="12"/>
      <c r="S478" s="35">
        <f t="shared" si="109"/>
        <v>773.04</v>
      </c>
      <c r="T478" s="12"/>
      <c r="U478" s="36"/>
      <c r="V478" s="9">
        <f t="shared" si="110"/>
        <v>0.75</v>
      </c>
      <c r="Y478" s="9">
        <f t="shared" si="107"/>
        <v>644.20000000000005</v>
      </c>
      <c r="AD478" s="4" t="s">
        <v>1483</v>
      </c>
      <c r="AE478" s="4" t="s">
        <v>1484</v>
      </c>
      <c r="AF478" s="4" t="s">
        <v>1485</v>
      </c>
    </row>
    <row r="479" spans="1:35" ht="36" x14ac:dyDescent="0.35">
      <c r="A479" s="11" t="s">
        <v>1486</v>
      </c>
      <c r="B479" s="11"/>
      <c r="C479" s="31" t="s">
        <v>122</v>
      </c>
      <c r="D479" s="21"/>
      <c r="E479" s="21"/>
      <c r="F479" s="32" t="s">
        <v>56</v>
      </c>
      <c r="G479" s="33">
        <v>1.05</v>
      </c>
      <c r="H479" s="21"/>
      <c r="I479" s="33">
        <v>26.722999999999999</v>
      </c>
      <c r="J479" s="35">
        <v>135.53</v>
      </c>
      <c r="K479" s="12"/>
      <c r="L479" s="12"/>
      <c r="M479" s="35">
        <f t="shared" si="108"/>
        <v>3621.77</v>
      </c>
      <c r="N479" s="12"/>
      <c r="O479" s="12"/>
      <c r="P479" s="35">
        <v>135.53</v>
      </c>
      <c r="Q479" s="12"/>
      <c r="R479" s="12"/>
      <c r="S479" s="35">
        <f t="shared" si="109"/>
        <v>3621.77</v>
      </c>
      <c r="T479" s="12"/>
      <c r="U479" s="36"/>
      <c r="V479" s="9">
        <f t="shared" si="110"/>
        <v>112.94</v>
      </c>
      <c r="Y479" s="9">
        <f t="shared" si="107"/>
        <v>3018.14</v>
      </c>
      <c r="AD479" s="4" t="s">
        <v>1487</v>
      </c>
      <c r="AE479" s="4" t="s">
        <v>1488</v>
      </c>
      <c r="AF479" s="4" t="s">
        <v>126</v>
      </c>
    </row>
    <row r="480" spans="1:35" ht="54" x14ac:dyDescent="0.35">
      <c r="A480" s="11" t="s">
        <v>1489</v>
      </c>
      <c r="B480" s="11" t="s">
        <v>1458</v>
      </c>
      <c r="C480" s="20" t="s">
        <v>1459</v>
      </c>
      <c r="D480" s="21"/>
      <c r="E480" s="21" t="s">
        <v>1490</v>
      </c>
      <c r="F480" s="21" t="s">
        <v>56</v>
      </c>
      <c r="G480" s="22">
        <v>1</v>
      </c>
      <c r="H480" s="21"/>
      <c r="I480" s="22">
        <v>2.5499999999999998</v>
      </c>
      <c r="J480" s="23">
        <f>IFERROR(ROUND(SUM(M481,M482,M483,M484,M485,M486)/I480, 2),0)</f>
        <v>856.2</v>
      </c>
      <c r="K480" s="23">
        <v>1422</v>
      </c>
      <c r="L480" s="23">
        <f>J480+ROUND(K480, 2)</f>
        <v>2278.1999999999998</v>
      </c>
      <c r="M480" s="23">
        <f>ROUND(J480*I480, 2)</f>
        <v>2183.31</v>
      </c>
      <c r="N480" s="23">
        <f>ROUND(I480*ROUND(K480, 2), 2)</f>
        <v>3626.1</v>
      </c>
      <c r="O480" s="23">
        <f>M480+N480</f>
        <v>5809.41</v>
      </c>
      <c r="P480" s="23">
        <f>IFERROR(ROUND(SUM(S481,S482,S483,S484,S485,S486)/I480, 2),0)</f>
        <v>856.2</v>
      </c>
      <c r="Q480" s="23">
        <v>1422</v>
      </c>
      <c r="R480" s="23">
        <f>P480+ROUND(Q480, 2)</f>
        <v>2278.1999999999998</v>
      </c>
      <c r="S480" s="23">
        <f>ROUND(P480*I480, 2)</f>
        <v>2183.31</v>
      </c>
      <c r="T480" s="23">
        <f>ROUND(I480*ROUND(Q480, 2), 2)</f>
        <v>3626.1</v>
      </c>
      <c r="U480" s="23">
        <f>S480+T480</f>
        <v>5809.41</v>
      </c>
      <c r="V480" s="9">
        <f>ROUND(P480 / 1.2, 2)</f>
        <v>713.5</v>
      </c>
      <c r="W480" s="9">
        <f>ROUND(Q480 / 1.2, 2)</f>
        <v>1185</v>
      </c>
      <c r="X480" s="9">
        <f>ROUND(R480 / 1.2, 2)</f>
        <v>1898.5</v>
      </c>
      <c r="Y480" s="9">
        <f t="shared" si="107"/>
        <v>1819.43</v>
      </c>
      <c r="Z480" s="9">
        <f>ROUND(T480 / 1.2, 2)</f>
        <v>3021.75</v>
      </c>
      <c r="AA480" s="9">
        <f>Y480+Z480</f>
        <v>4841.18</v>
      </c>
      <c r="AD480" s="4">
        <v>303752510</v>
      </c>
      <c r="AE480" s="4">
        <v>21804152</v>
      </c>
      <c r="AG480" s="4" t="s">
        <v>1461</v>
      </c>
      <c r="AH480" s="4" t="s">
        <v>1462</v>
      </c>
      <c r="AI480" s="4" t="s">
        <v>247</v>
      </c>
    </row>
    <row r="481" spans="1:35" ht="36" x14ac:dyDescent="0.35">
      <c r="A481" s="11" t="s">
        <v>1491</v>
      </c>
      <c r="B481" s="11"/>
      <c r="C481" s="31" t="s">
        <v>122</v>
      </c>
      <c r="D481" s="21"/>
      <c r="E481" s="21"/>
      <c r="F481" s="32" t="s">
        <v>56</v>
      </c>
      <c r="G481" s="33">
        <v>1.05</v>
      </c>
      <c r="H481" s="21"/>
      <c r="I481" s="33">
        <v>2.6779999999999999</v>
      </c>
      <c r="J481" s="35">
        <v>135.53</v>
      </c>
      <c r="K481" s="12"/>
      <c r="L481" s="12"/>
      <c r="M481" s="35">
        <f t="shared" ref="M481:M486" si="111">ROUND(ROUND(J481, 2)*I481, 2)</f>
        <v>362.95</v>
      </c>
      <c r="N481" s="12"/>
      <c r="O481" s="12"/>
      <c r="P481" s="35">
        <v>135.53</v>
      </c>
      <c r="Q481" s="12"/>
      <c r="R481" s="12"/>
      <c r="S481" s="35">
        <f t="shared" ref="S481:S486" si="112">ROUND(ROUND(P481, 2)*I481, 2)</f>
        <v>362.95</v>
      </c>
      <c r="T481" s="12"/>
      <c r="U481" s="36"/>
      <c r="V481" s="9">
        <f t="shared" ref="V481:V486" si="113">ROUND(ROUND(P481, 2)/1.2, 2)</f>
        <v>112.94</v>
      </c>
      <c r="Y481" s="9">
        <f t="shared" si="107"/>
        <v>302.45999999999998</v>
      </c>
      <c r="AD481" s="4" t="s">
        <v>1492</v>
      </c>
      <c r="AE481" s="4" t="s">
        <v>1493</v>
      </c>
      <c r="AF481" s="4" t="s">
        <v>126</v>
      </c>
    </row>
    <row r="482" spans="1:35" ht="18" x14ac:dyDescent="0.35">
      <c r="A482" s="11" t="s">
        <v>1494</v>
      </c>
      <c r="B482" s="11"/>
      <c r="C482" s="31" t="s">
        <v>1482</v>
      </c>
      <c r="D482" s="21"/>
      <c r="E482" s="21"/>
      <c r="F482" s="32" t="s">
        <v>103</v>
      </c>
      <c r="G482" s="33">
        <v>33.75</v>
      </c>
      <c r="H482" s="21"/>
      <c r="I482" s="33">
        <v>86.063000000000002</v>
      </c>
      <c r="J482" s="35">
        <v>0.9</v>
      </c>
      <c r="K482" s="12"/>
      <c r="L482" s="12"/>
      <c r="M482" s="35">
        <f t="shared" si="111"/>
        <v>77.459999999999994</v>
      </c>
      <c r="N482" s="12"/>
      <c r="O482" s="12"/>
      <c r="P482" s="35">
        <v>0.9</v>
      </c>
      <c r="Q482" s="12"/>
      <c r="R482" s="12"/>
      <c r="S482" s="35">
        <f t="shared" si="112"/>
        <v>77.459999999999994</v>
      </c>
      <c r="T482" s="12"/>
      <c r="U482" s="36"/>
      <c r="V482" s="9">
        <f t="shared" si="113"/>
        <v>0.75</v>
      </c>
      <c r="Y482" s="9">
        <f t="shared" si="107"/>
        <v>64.55</v>
      </c>
      <c r="AD482" s="4" t="s">
        <v>1495</v>
      </c>
      <c r="AE482" s="4" t="s">
        <v>1496</v>
      </c>
      <c r="AF482" s="4" t="s">
        <v>1485</v>
      </c>
    </row>
    <row r="483" spans="1:35" ht="36" x14ac:dyDescent="0.35">
      <c r="A483" s="11" t="s">
        <v>1497</v>
      </c>
      <c r="B483" s="11"/>
      <c r="C483" s="37" t="s">
        <v>1477</v>
      </c>
      <c r="D483" s="21"/>
      <c r="E483" s="21"/>
      <c r="F483" s="32" t="s">
        <v>129</v>
      </c>
      <c r="G483" s="33">
        <v>13.5</v>
      </c>
      <c r="H483" s="21"/>
      <c r="I483" s="33">
        <v>34.424999999999997</v>
      </c>
      <c r="J483" s="35">
        <v>32.950000000000003</v>
      </c>
      <c r="K483" s="12"/>
      <c r="L483" s="12"/>
      <c r="M483" s="35">
        <f t="shared" si="111"/>
        <v>1134.3</v>
      </c>
      <c r="N483" s="12"/>
      <c r="O483" s="12"/>
      <c r="P483" s="35">
        <v>32.950000000000003</v>
      </c>
      <c r="Q483" s="12"/>
      <c r="R483" s="12"/>
      <c r="S483" s="35">
        <f t="shared" si="112"/>
        <v>1134.3</v>
      </c>
      <c r="T483" s="12"/>
      <c r="U483" s="36"/>
      <c r="V483" s="9">
        <f t="shared" si="113"/>
        <v>27.46</v>
      </c>
      <c r="Y483" s="9">
        <f t="shared" si="107"/>
        <v>945.25</v>
      </c>
      <c r="AD483" s="4" t="s">
        <v>1498</v>
      </c>
      <c r="AE483" s="4" t="s">
        <v>1499</v>
      </c>
      <c r="AF483" s="4" t="s">
        <v>1480</v>
      </c>
    </row>
    <row r="484" spans="1:35" ht="18" x14ac:dyDescent="0.35">
      <c r="A484" s="11" t="s">
        <v>1500</v>
      </c>
      <c r="B484" s="11"/>
      <c r="C484" s="31" t="s">
        <v>1445</v>
      </c>
      <c r="D484" s="21"/>
      <c r="E484" s="21"/>
      <c r="F484" s="32" t="s">
        <v>103</v>
      </c>
      <c r="G484" s="33">
        <v>2.2200000000000002</v>
      </c>
      <c r="H484" s="21"/>
      <c r="I484" s="33">
        <v>5.6609999999999996</v>
      </c>
      <c r="J484" s="35">
        <v>80</v>
      </c>
      <c r="K484" s="12"/>
      <c r="L484" s="12"/>
      <c r="M484" s="35">
        <f t="shared" si="111"/>
        <v>452.88</v>
      </c>
      <c r="N484" s="12"/>
      <c r="O484" s="12"/>
      <c r="P484" s="35">
        <v>80</v>
      </c>
      <c r="Q484" s="12"/>
      <c r="R484" s="12"/>
      <c r="S484" s="35">
        <f t="shared" si="112"/>
        <v>452.88</v>
      </c>
      <c r="T484" s="12"/>
      <c r="U484" s="36"/>
      <c r="V484" s="9">
        <f t="shared" si="113"/>
        <v>66.67</v>
      </c>
      <c r="Y484" s="9">
        <f t="shared" si="107"/>
        <v>377.4</v>
      </c>
      <c r="AD484" s="4" t="s">
        <v>1501</v>
      </c>
      <c r="AE484" s="4" t="s">
        <v>1502</v>
      </c>
      <c r="AF484" s="4" t="s">
        <v>1448</v>
      </c>
    </row>
    <row r="485" spans="1:35" ht="18" x14ac:dyDescent="0.35">
      <c r="A485" s="11" t="s">
        <v>1503</v>
      </c>
      <c r="B485" s="11"/>
      <c r="C485" s="31" t="s">
        <v>1469</v>
      </c>
      <c r="D485" s="21"/>
      <c r="E485" s="21"/>
      <c r="F485" s="32" t="s">
        <v>81</v>
      </c>
      <c r="G485" s="33">
        <v>0.35</v>
      </c>
      <c r="H485" s="21"/>
      <c r="I485" s="33">
        <v>0.89300000000000002</v>
      </c>
      <c r="J485" s="35">
        <v>55</v>
      </c>
      <c r="K485" s="12"/>
      <c r="L485" s="12"/>
      <c r="M485" s="35">
        <f t="shared" si="111"/>
        <v>49.12</v>
      </c>
      <c r="N485" s="12"/>
      <c r="O485" s="12"/>
      <c r="P485" s="35">
        <v>55</v>
      </c>
      <c r="Q485" s="12"/>
      <c r="R485" s="12"/>
      <c r="S485" s="35">
        <f t="shared" si="112"/>
        <v>49.12</v>
      </c>
      <c r="T485" s="12"/>
      <c r="U485" s="36"/>
      <c r="V485" s="9">
        <f t="shared" si="113"/>
        <v>45.83</v>
      </c>
      <c r="Y485" s="9">
        <f t="shared" si="107"/>
        <v>40.93</v>
      </c>
      <c r="AD485" s="4" t="s">
        <v>1504</v>
      </c>
      <c r="AE485" s="4" t="s">
        <v>1505</v>
      </c>
      <c r="AF485" s="4" t="s">
        <v>1472</v>
      </c>
    </row>
    <row r="486" spans="1:35" ht="18" x14ac:dyDescent="0.35">
      <c r="A486" s="11" t="s">
        <v>1506</v>
      </c>
      <c r="B486" s="11"/>
      <c r="C486" s="31" t="s">
        <v>1464</v>
      </c>
      <c r="D486" s="21"/>
      <c r="E486" s="21"/>
      <c r="F486" s="32" t="s">
        <v>103</v>
      </c>
      <c r="G486" s="33">
        <v>44</v>
      </c>
      <c r="H486" s="21"/>
      <c r="I486" s="33">
        <v>112.2</v>
      </c>
      <c r="J486" s="35">
        <v>0.95</v>
      </c>
      <c r="K486" s="12"/>
      <c r="L486" s="12"/>
      <c r="M486" s="35">
        <f t="shared" si="111"/>
        <v>106.59</v>
      </c>
      <c r="N486" s="12"/>
      <c r="O486" s="12"/>
      <c r="P486" s="35">
        <v>0.95</v>
      </c>
      <c r="Q486" s="12"/>
      <c r="R486" s="12"/>
      <c r="S486" s="35">
        <f t="shared" si="112"/>
        <v>106.59</v>
      </c>
      <c r="T486" s="12"/>
      <c r="U486" s="36"/>
      <c r="V486" s="9">
        <f t="shared" si="113"/>
        <v>0.79</v>
      </c>
      <c r="Y486" s="9">
        <f t="shared" si="107"/>
        <v>88.83</v>
      </c>
      <c r="AD486" s="4" t="s">
        <v>1507</v>
      </c>
      <c r="AE486" s="4" t="s">
        <v>1508</v>
      </c>
      <c r="AF486" s="4" t="s">
        <v>1467</v>
      </c>
    </row>
    <row r="487" spans="1:35" ht="17" customHeight="1" x14ac:dyDescent="0.35">
      <c r="A487" s="10" t="s">
        <v>1509</v>
      </c>
      <c r="B487" s="10" t="s">
        <v>1510</v>
      </c>
      <c r="C487" s="100" t="s">
        <v>1511</v>
      </c>
      <c r="D487" s="101"/>
      <c r="E487" s="101"/>
      <c r="F487" s="101"/>
      <c r="G487" s="101"/>
      <c r="H487" s="101"/>
      <c r="I487" s="102"/>
      <c r="M487" s="6">
        <f>SUM(M488,M540)</f>
        <v>190511.67</v>
      </c>
      <c r="N487" s="6">
        <f>SUM(N488,N540)</f>
        <v>2261166.7199999997</v>
      </c>
      <c r="O487" s="6">
        <f>SUM(O488,O540)</f>
        <v>2451678.3899999997</v>
      </c>
      <c r="S487" s="6">
        <f>SUM(S488,S540)</f>
        <v>426384.35</v>
      </c>
      <c r="T487" s="6">
        <f>SUM(T488,T540)</f>
        <v>2261166.7199999997</v>
      </c>
      <c r="U487" s="6">
        <f>SUM(U488,U540)</f>
        <v>2687551.07</v>
      </c>
      <c r="Y487" s="9">
        <f>SUM(Y488,Y540)</f>
        <v>355320.30000000005</v>
      </c>
      <c r="Z487" s="9">
        <f>SUM(Z488,Z540)</f>
        <v>1884305.5899999999</v>
      </c>
      <c r="AA487" s="9">
        <f>SUM(AA488,AA540)</f>
        <v>2239625.8899999997</v>
      </c>
      <c r="AD487" s="4">
        <v>303752442</v>
      </c>
      <c r="AE487" s="4">
        <v>16077436</v>
      </c>
    </row>
    <row r="488" spans="1:35" ht="17" customHeight="1" x14ac:dyDescent="0.35">
      <c r="A488" s="10" t="s">
        <v>1512</v>
      </c>
      <c r="B488" s="10" t="s">
        <v>1513</v>
      </c>
      <c r="C488" s="100" t="s">
        <v>1514</v>
      </c>
      <c r="D488" s="101"/>
      <c r="E488" s="101"/>
      <c r="F488" s="101"/>
      <c r="G488" s="101"/>
      <c r="H488" s="101"/>
      <c r="I488" s="102"/>
      <c r="M488" s="6">
        <f>SUM(M489,M495,M501,M507,M513,M519,M525,M531,M534,M537)</f>
        <v>172067.6</v>
      </c>
      <c r="N488" s="6">
        <f>SUM(N489,N495,N501,N507,N513,N519,N525,N531,N534,N537)</f>
        <v>1618670.5599999998</v>
      </c>
      <c r="O488" s="6">
        <f>SUM(O489,O495,O501,O507,O513,O519,O525,O531,O534,O537)</f>
        <v>1790738.16</v>
      </c>
      <c r="S488" s="6">
        <f>SUM(S489,S495,S501,S507,S513,S519,S525,S531,S534,S537)</f>
        <v>255624.37999999998</v>
      </c>
      <c r="T488" s="6">
        <f>SUM(T489,T495,T501,T507,T513,T519,T525,T531,T534,T537)</f>
        <v>1618670.5599999998</v>
      </c>
      <c r="U488" s="6">
        <f>SUM(U489,U495,U501,U507,U513,U519,U525,U531,U534,U537)</f>
        <v>1874294.9399999997</v>
      </c>
      <c r="Y488" s="9">
        <f>SUM(Y489,Y495,Y501,Y507,Y513,Y519,Y525,Y531,Y534,Y537)</f>
        <v>213020.32</v>
      </c>
      <c r="Z488" s="9">
        <f>SUM(Z489,Z495,Z501,Z507,Z513,Z519,Z525,Z531,Z534,Z537)</f>
        <v>1348892.13</v>
      </c>
      <c r="AA488" s="9">
        <f>SUM(AA489,AA495,AA501,AA507,AA513,AA519,AA525,AA531,AA534,AA537)</f>
        <v>1561912.45</v>
      </c>
      <c r="AD488" s="4">
        <v>303752443</v>
      </c>
      <c r="AE488" s="4">
        <v>16077440</v>
      </c>
    </row>
    <row r="489" spans="1:35" ht="36" x14ac:dyDescent="0.35">
      <c r="A489" s="38" t="s">
        <v>1515</v>
      </c>
      <c r="B489" s="38" t="s">
        <v>1516</v>
      </c>
      <c r="C489" s="39" t="s">
        <v>1517</v>
      </c>
      <c r="D489" s="40"/>
      <c r="E489" s="40" t="s">
        <v>1518</v>
      </c>
      <c r="F489" s="40" t="s">
        <v>56</v>
      </c>
      <c r="G489" s="41">
        <v>1</v>
      </c>
      <c r="H489" s="40"/>
      <c r="I489" s="42">
        <v>0</v>
      </c>
      <c r="J489" s="43">
        <f>IFERROR(ROUND(SUM(M491,M493)/I489, 2),0)</f>
        <v>0</v>
      </c>
      <c r="K489" s="43">
        <v>790</v>
      </c>
      <c r="L489" s="43">
        <f>J489+ROUND(K489, 2)</f>
        <v>790</v>
      </c>
      <c r="M489" s="43">
        <f>ROUND(J489*I489, 2)</f>
        <v>0</v>
      </c>
      <c r="N489" s="43">
        <f>ROUND(I489*ROUND(K489, 2), 2)</f>
        <v>0</v>
      </c>
      <c r="O489" s="43">
        <f>M489+N489</f>
        <v>0</v>
      </c>
      <c r="P489" s="43">
        <f>IFERROR(ROUND(SUM(S491,S493)/I489, 2),0)</f>
        <v>0</v>
      </c>
      <c r="Q489" s="43">
        <v>718</v>
      </c>
      <c r="R489" s="43">
        <f>P489+ROUND(Q489, 2)</f>
        <v>718</v>
      </c>
      <c r="S489" s="43">
        <f>ROUND(P489*I489, 2)</f>
        <v>0</v>
      </c>
      <c r="T489" s="43">
        <f>ROUND(I489*ROUND(Q489, 2), 2)</f>
        <v>0</v>
      </c>
      <c r="U489" s="43">
        <f>S489+T489</f>
        <v>0</v>
      </c>
      <c r="V489" s="9">
        <f>ROUND(P489 / 1.2, 2)</f>
        <v>0</v>
      </c>
      <c r="W489" s="9">
        <f>ROUND(Q489 / 1.2, 2)</f>
        <v>598.33000000000004</v>
      </c>
      <c r="X489" s="9">
        <f>ROUND(R489 / 1.2, 2)</f>
        <v>598.33000000000004</v>
      </c>
      <c r="Y489" s="9">
        <f>ROUND(S489 / 1.2, 2)</f>
        <v>0</v>
      </c>
      <c r="Z489" s="9">
        <f>ROUND(T489 / 1.2, 2)</f>
        <v>0</v>
      </c>
      <c r="AA489" s="9">
        <f>Y489+Z489</f>
        <v>0</v>
      </c>
      <c r="AD489" s="4">
        <v>303752445</v>
      </c>
      <c r="AE489" s="4">
        <v>16077787</v>
      </c>
      <c r="AG489" s="4" t="s">
        <v>1519</v>
      </c>
      <c r="AH489" s="4" t="s">
        <v>1520</v>
      </c>
      <c r="AI489" s="4" t="s">
        <v>247</v>
      </c>
    </row>
    <row r="490" spans="1:35" ht="36" x14ac:dyDescent="0.35">
      <c r="A490" s="44" t="s">
        <v>1521</v>
      </c>
      <c r="B490" s="44" t="s">
        <v>1516</v>
      </c>
      <c r="C490" s="45" t="s">
        <v>1517</v>
      </c>
      <c r="D490" s="46"/>
      <c r="E490" s="46" t="s">
        <v>1518</v>
      </c>
      <c r="F490" s="46" t="s">
        <v>56</v>
      </c>
      <c r="G490" s="47">
        <v>1</v>
      </c>
      <c r="H490" s="46"/>
      <c r="I490" s="47">
        <v>897.5</v>
      </c>
      <c r="J490" s="48">
        <v>0</v>
      </c>
      <c r="K490" s="48">
        <v>718</v>
      </c>
      <c r="L490" s="48"/>
      <c r="M490" s="48">
        <v>0</v>
      </c>
      <c r="N490" s="48"/>
      <c r="O490" s="48"/>
      <c r="P490" s="48">
        <v>0</v>
      </c>
      <c r="Q490" s="48">
        <v>718</v>
      </c>
      <c r="R490" s="48"/>
      <c r="S490" s="48">
        <v>0</v>
      </c>
      <c r="T490" s="48"/>
      <c r="U490" s="48"/>
      <c r="V490" s="9"/>
      <c r="W490" s="9">
        <f>ROUND(Q490 / 1.2, 2)</f>
        <v>598.33000000000004</v>
      </c>
      <c r="X490" s="9">
        <f>ROUND(R490 / 1.2, 2)</f>
        <v>0</v>
      </c>
      <c r="Y490" s="9"/>
      <c r="Z490" s="9">
        <f>ROUND(T490 / 1.2, 2)</f>
        <v>0</v>
      </c>
      <c r="AA490" s="9"/>
      <c r="AD490" s="4">
        <v>204236308</v>
      </c>
      <c r="AE490" s="4">
        <v>16077787</v>
      </c>
      <c r="AG490" s="4" t="s">
        <v>1519</v>
      </c>
      <c r="AH490" s="4" t="s">
        <v>1520</v>
      </c>
      <c r="AI490" s="4"/>
    </row>
    <row r="491" spans="1:35" ht="18" x14ac:dyDescent="0.35">
      <c r="A491" s="38" t="s">
        <v>1522</v>
      </c>
      <c r="B491" s="38"/>
      <c r="C491" s="49" t="s">
        <v>854</v>
      </c>
      <c r="D491" s="40"/>
      <c r="E491" s="40"/>
      <c r="F491" s="50" t="s">
        <v>81</v>
      </c>
      <c r="G491" s="51">
        <v>5</v>
      </c>
      <c r="H491" s="40"/>
      <c r="I491" s="52">
        <v>0</v>
      </c>
      <c r="J491" s="53">
        <v>23</v>
      </c>
      <c r="K491" s="54"/>
      <c r="L491" s="54"/>
      <c r="M491" s="53">
        <f>ROUND(ROUND(J491, 2)*I491, 2)</f>
        <v>0</v>
      </c>
      <c r="N491" s="54"/>
      <c r="O491" s="54"/>
      <c r="P491" s="53">
        <v>23</v>
      </c>
      <c r="Q491" s="54"/>
      <c r="R491" s="54"/>
      <c r="S491" s="53">
        <f>ROUND(ROUND(P491, 2)*I491, 2)</f>
        <v>0</v>
      </c>
      <c r="T491" s="54"/>
      <c r="U491" s="55"/>
      <c r="V491" s="9">
        <f>ROUND(ROUND(P491, 2)/1.2, 2)</f>
        <v>19.170000000000002</v>
      </c>
      <c r="Y491" s="9">
        <f>ROUND(S491 / 1.2, 2)</f>
        <v>0</v>
      </c>
      <c r="AD491" s="4" t="s">
        <v>1523</v>
      </c>
      <c r="AE491" s="4" t="s">
        <v>1524</v>
      </c>
      <c r="AF491" s="4" t="s">
        <v>858</v>
      </c>
    </row>
    <row r="492" spans="1:35" ht="18" x14ac:dyDescent="0.35">
      <c r="A492" s="44" t="s">
        <v>1525</v>
      </c>
      <c r="B492" s="44"/>
      <c r="C492" s="56" t="s">
        <v>854</v>
      </c>
      <c r="D492" s="46"/>
      <c r="E492" s="46"/>
      <c r="F492" s="57" t="s">
        <v>81</v>
      </c>
      <c r="G492" s="58">
        <v>5</v>
      </c>
      <c r="H492" s="46"/>
      <c r="I492" s="58">
        <v>4487.5</v>
      </c>
      <c r="J492" s="59">
        <v>23</v>
      </c>
      <c r="K492" s="60"/>
      <c r="L492" s="60"/>
      <c r="M492" s="59">
        <f>ROUND(ROUND(J492, 2)*I492, 2)</f>
        <v>103212.5</v>
      </c>
      <c r="N492" s="60"/>
      <c r="O492" s="60"/>
      <c r="P492" s="59">
        <v>23</v>
      </c>
      <c r="Q492" s="60"/>
      <c r="R492" s="60"/>
      <c r="S492" s="59">
        <f>ROUND(ROUND(P492, 2)*I492, 2)</f>
        <v>103212.5</v>
      </c>
      <c r="T492" s="60"/>
      <c r="U492" s="61"/>
      <c r="V492" s="9">
        <f>ROUND(ROUND(P492, 2)/1.2, 2)</f>
        <v>19.170000000000002</v>
      </c>
      <c r="Y492" s="9">
        <f>ROUND(S492 / 1.2, 2)</f>
        <v>86010.42</v>
      </c>
      <c r="AD492" s="4" t="s">
        <v>1526</v>
      </c>
      <c r="AE492" s="4" t="s">
        <v>1524</v>
      </c>
      <c r="AF492" s="4" t="s">
        <v>858</v>
      </c>
    </row>
    <row r="493" spans="1:35" ht="36" x14ac:dyDescent="0.35">
      <c r="A493" s="38" t="s">
        <v>1527</v>
      </c>
      <c r="B493" s="38"/>
      <c r="C493" s="49" t="s">
        <v>316</v>
      </c>
      <c r="D493" s="40"/>
      <c r="E493" s="40" t="s">
        <v>1528</v>
      </c>
      <c r="F493" s="50" t="s">
        <v>81</v>
      </c>
      <c r="G493" s="51">
        <v>0.15</v>
      </c>
      <c r="H493" s="40"/>
      <c r="I493" s="52">
        <v>0</v>
      </c>
      <c r="J493" s="53">
        <v>100</v>
      </c>
      <c r="K493" s="54"/>
      <c r="L493" s="54"/>
      <c r="M493" s="53">
        <f>ROUND(ROUND(J493, 2)*I493, 2)</f>
        <v>0</v>
      </c>
      <c r="N493" s="54"/>
      <c r="O493" s="54"/>
      <c r="P493" s="53">
        <v>100</v>
      </c>
      <c r="Q493" s="54"/>
      <c r="R493" s="54"/>
      <c r="S493" s="53">
        <f>ROUND(ROUND(P493, 2)*I493, 2)</f>
        <v>0</v>
      </c>
      <c r="T493" s="54"/>
      <c r="U493" s="55"/>
      <c r="V493" s="9">
        <f>ROUND(ROUND(P493, 2)/1.2, 2)</f>
        <v>83.33</v>
      </c>
      <c r="Y493" s="9">
        <f>ROUND(S493 / 1.2, 2)</f>
        <v>0</v>
      </c>
      <c r="AD493" s="4" t="s">
        <v>1529</v>
      </c>
      <c r="AE493" s="4" t="s">
        <v>1530</v>
      </c>
      <c r="AF493" s="4" t="s">
        <v>319</v>
      </c>
    </row>
    <row r="494" spans="1:35" ht="36" x14ac:dyDescent="0.35">
      <c r="A494" s="44" t="s">
        <v>1531</v>
      </c>
      <c r="B494" s="44"/>
      <c r="C494" s="56" t="s">
        <v>316</v>
      </c>
      <c r="D494" s="46"/>
      <c r="E494" s="46" t="s">
        <v>1528</v>
      </c>
      <c r="F494" s="57" t="s">
        <v>81</v>
      </c>
      <c r="G494" s="58">
        <v>0.15</v>
      </c>
      <c r="H494" s="46"/>
      <c r="I494" s="58">
        <v>134.625</v>
      </c>
      <c r="J494" s="59">
        <v>100</v>
      </c>
      <c r="K494" s="60"/>
      <c r="L494" s="60"/>
      <c r="M494" s="59">
        <f>ROUND(ROUND(J494, 2)*I494, 2)</f>
        <v>13462.5</v>
      </c>
      <c r="N494" s="60"/>
      <c r="O494" s="60"/>
      <c r="P494" s="59">
        <v>100</v>
      </c>
      <c r="Q494" s="60"/>
      <c r="R494" s="60"/>
      <c r="S494" s="59">
        <f>ROUND(ROUND(P494, 2)*I494, 2)</f>
        <v>13462.5</v>
      </c>
      <c r="T494" s="60"/>
      <c r="U494" s="61"/>
      <c r="V494" s="9">
        <f>ROUND(ROUND(P494, 2)/1.2, 2)</f>
        <v>83.33</v>
      </c>
      <c r="Y494" s="9">
        <f>ROUND(S494 / 1.2, 2)</f>
        <v>11218.75</v>
      </c>
      <c r="AD494" s="4" t="s">
        <v>1532</v>
      </c>
      <c r="AE494" s="4" t="s">
        <v>1530</v>
      </c>
      <c r="AF494" s="4" t="s">
        <v>319</v>
      </c>
    </row>
    <row r="495" spans="1:35" ht="36" x14ac:dyDescent="0.35">
      <c r="A495" s="38" t="s">
        <v>1533</v>
      </c>
      <c r="B495" s="38" t="s">
        <v>1516</v>
      </c>
      <c r="C495" s="39" t="s">
        <v>1517</v>
      </c>
      <c r="D495" s="40"/>
      <c r="E495" s="40" t="s">
        <v>1518</v>
      </c>
      <c r="F495" s="40" t="s">
        <v>56</v>
      </c>
      <c r="G495" s="41">
        <v>1</v>
      </c>
      <c r="H495" s="40"/>
      <c r="I495" s="42">
        <v>0</v>
      </c>
      <c r="J495" s="43">
        <f>IFERROR(ROUND(SUM(M497,M499)/I495, 2),0)</f>
        <v>0</v>
      </c>
      <c r="K495" s="43">
        <v>790</v>
      </c>
      <c r="L495" s="43">
        <f>J495+ROUND(K495, 2)</f>
        <v>790</v>
      </c>
      <c r="M495" s="43">
        <f>ROUND(J495*I495, 2)</f>
        <v>0</v>
      </c>
      <c r="N495" s="43">
        <f>ROUND(I495*ROUND(K495, 2), 2)</f>
        <v>0</v>
      </c>
      <c r="O495" s="43">
        <f>M495+N495</f>
        <v>0</v>
      </c>
      <c r="P495" s="43">
        <f>IFERROR(ROUND(SUM(S497,S499)/I495, 2),0)</f>
        <v>0</v>
      </c>
      <c r="Q495" s="43">
        <v>718</v>
      </c>
      <c r="R495" s="43">
        <f>P495+ROUND(Q495, 2)</f>
        <v>718</v>
      </c>
      <c r="S495" s="43">
        <f>ROUND(P495*I495, 2)</f>
        <v>0</v>
      </c>
      <c r="T495" s="43">
        <f>ROUND(I495*ROUND(Q495, 2), 2)</f>
        <v>0</v>
      </c>
      <c r="U495" s="43">
        <f>S495+T495</f>
        <v>0</v>
      </c>
      <c r="V495" s="9">
        <f>ROUND(P495 / 1.2, 2)</f>
        <v>0</v>
      </c>
      <c r="W495" s="9">
        <f>ROUND(Q495 / 1.2, 2)</f>
        <v>598.33000000000004</v>
      </c>
      <c r="X495" s="9">
        <f>ROUND(R495 / 1.2, 2)</f>
        <v>598.33000000000004</v>
      </c>
      <c r="Y495" s="9">
        <f>ROUND(S495 / 1.2, 2)</f>
        <v>0</v>
      </c>
      <c r="Z495" s="9">
        <f>ROUND(T495 / 1.2, 2)</f>
        <v>0</v>
      </c>
      <c r="AA495" s="9">
        <f>Y495+Z495</f>
        <v>0</v>
      </c>
      <c r="AD495" s="4">
        <v>303752511</v>
      </c>
      <c r="AE495" s="4">
        <v>16077788</v>
      </c>
      <c r="AG495" s="4" t="s">
        <v>1519</v>
      </c>
      <c r="AH495" s="4" t="s">
        <v>1520</v>
      </c>
      <c r="AI495" s="4" t="s">
        <v>247</v>
      </c>
    </row>
    <row r="496" spans="1:35" ht="36" x14ac:dyDescent="0.35">
      <c r="A496" s="44" t="s">
        <v>1534</v>
      </c>
      <c r="B496" s="44" t="s">
        <v>1516</v>
      </c>
      <c r="C496" s="45" t="s">
        <v>1517</v>
      </c>
      <c r="D496" s="46"/>
      <c r="E496" s="46" t="s">
        <v>1518</v>
      </c>
      <c r="F496" s="46" t="s">
        <v>56</v>
      </c>
      <c r="G496" s="47">
        <v>1</v>
      </c>
      <c r="H496" s="46"/>
      <c r="I496" s="47">
        <v>897.5</v>
      </c>
      <c r="J496" s="48">
        <v>0</v>
      </c>
      <c r="K496" s="48">
        <v>718</v>
      </c>
      <c r="L496" s="48"/>
      <c r="M496" s="48">
        <v>0</v>
      </c>
      <c r="N496" s="48"/>
      <c r="O496" s="48"/>
      <c r="P496" s="48">
        <v>0</v>
      </c>
      <c r="Q496" s="48">
        <v>718</v>
      </c>
      <c r="R496" s="48"/>
      <c r="S496" s="48">
        <v>0</v>
      </c>
      <c r="T496" s="48"/>
      <c r="U496" s="48"/>
      <c r="V496" s="9"/>
      <c r="W496" s="9">
        <f>ROUND(Q496 / 1.2, 2)</f>
        <v>598.33000000000004</v>
      </c>
      <c r="X496" s="9">
        <f>ROUND(R496 / 1.2, 2)</f>
        <v>0</v>
      </c>
      <c r="Y496" s="9"/>
      <c r="Z496" s="9">
        <f>ROUND(T496 / 1.2, 2)</f>
        <v>0</v>
      </c>
      <c r="AA496" s="9"/>
      <c r="AD496" s="4">
        <v>204236312</v>
      </c>
      <c r="AE496" s="4">
        <v>16077788</v>
      </c>
      <c r="AG496" s="4" t="s">
        <v>1519</v>
      </c>
      <c r="AH496" s="4" t="s">
        <v>1520</v>
      </c>
      <c r="AI496" s="4"/>
    </row>
    <row r="497" spans="1:35" ht="36" x14ac:dyDescent="0.35">
      <c r="A497" s="38" t="s">
        <v>1535</v>
      </c>
      <c r="B497" s="38"/>
      <c r="C497" s="49" t="s">
        <v>493</v>
      </c>
      <c r="D497" s="40"/>
      <c r="E497" s="40"/>
      <c r="F497" s="50" t="s">
        <v>81</v>
      </c>
      <c r="G497" s="51">
        <v>0.15</v>
      </c>
      <c r="H497" s="40"/>
      <c r="I497" s="52">
        <v>0</v>
      </c>
      <c r="J497" s="53">
        <v>88.8</v>
      </c>
      <c r="K497" s="54"/>
      <c r="L497" s="54"/>
      <c r="M497" s="53">
        <f>ROUND(ROUND(J497, 2)*I497, 2)</f>
        <v>0</v>
      </c>
      <c r="N497" s="54"/>
      <c r="O497" s="54"/>
      <c r="P497" s="53">
        <v>88.8</v>
      </c>
      <c r="Q497" s="54"/>
      <c r="R497" s="54"/>
      <c r="S497" s="53">
        <f>ROUND(ROUND(P497, 2)*I497, 2)</f>
        <v>0</v>
      </c>
      <c r="T497" s="54"/>
      <c r="U497" s="55"/>
      <c r="V497" s="9">
        <f>ROUND(ROUND(P497, 2)/1.2, 2)</f>
        <v>74</v>
      </c>
      <c r="Y497" s="9">
        <f>ROUND(S497 / 1.2, 2)</f>
        <v>0</v>
      </c>
      <c r="AD497" s="4" t="s">
        <v>1536</v>
      </c>
      <c r="AE497" s="4" t="s">
        <v>1537</v>
      </c>
      <c r="AF497" s="4" t="s">
        <v>496</v>
      </c>
    </row>
    <row r="498" spans="1:35" ht="36" x14ac:dyDescent="0.35">
      <c r="A498" s="44" t="s">
        <v>1538</v>
      </c>
      <c r="B498" s="44"/>
      <c r="C498" s="56" t="s">
        <v>493</v>
      </c>
      <c r="D498" s="46"/>
      <c r="E498" s="46"/>
      <c r="F498" s="57" t="s">
        <v>81</v>
      </c>
      <c r="G498" s="58">
        <v>0.15</v>
      </c>
      <c r="H498" s="46"/>
      <c r="I498" s="58">
        <v>134.625</v>
      </c>
      <c r="J498" s="59">
        <v>88.8</v>
      </c>
      <c r="K498" s="60"/>
      <c r="L498" s="60"/>
      <c r="M498" s="59">
        <f>ROUND(ROUND(J498, 2)*I498, 2)</f>
        <v>11954.7</v>
      </c>
      <c r="N498" s="60"/>
      <c r="O498" s="60"/>
      <c r="P498" s="59">
        <v>88.8</v>
      </c>
      <c r="Q498" s="60"/>
      <c r="R498" s="60"/>
      <c r="S498" s="59">
        <f>ROUND(ROUND(P498, 2)*I498, 2)</f>
        <v>11954.7</v>
      </c>
      <c r="T498" s="60"/>
      <c r="U498" s="61"/>
      <c r="V498" s="9">
        <f>ROUND(ROUND(P498, 2)/1.2, 2)</f>
        <v>74</v>
      </c>
      <c r="Y498" s="9">
        <f>ROUND(S498 / 1.2, 2)</f>
        <v>9962.25</v>
      </c>
      <c r="AD498" s="4" t="s">
        <v>1539</v>
      </c>
      <c r="AE498" s="4" t="s">
        <v>1537</v>
      </c>
      <c r="AF498" s="4" t="s">
        <v>496</v>
      </c>
    </row>
    <row r="499" spans="1:35" ht="36" x14ac:dyDescent="0.35">
      <c r="A499" s="38" t="s">
        <v>1540</v>
      </c>
      <c r="B499" s="38"/>
      <c r="C499" s="49" t="s">
        <v>875</v>
      </c>
      <c r="D499" s="40"/>
      <c r="E499" s="40"/>
      <c r="F499" s="50" t="s">
        <v>81</v>
      </c>
      <c r="G499" s="51">
        <v>2.5</v>
      </c>
      <c r="H499" s="40"/>
      <c r="I499" s="52">
        <v>0</v>
      </c>
      <c r="J499" s="53">
        <v>60</v>
      </c>
      <c r="K499" s="54"/>
      <c r="L499" s="54"/>
      <c r="M499" s="53">
        <f>ROUND(ROUND(J499, 2)*I499, 2)</f>
        <v>0</v>
      </c>
      <c r="N499" s="54"/>
      <c r="O499" s="54"/>
      <c r="P499" s="53">
        <v>12.58</v>
      </c>
      <c r="Q499" s="54"/>
      <c r="R499" s="54"/>
      <c r="S499" s="53">
        <f>ROUND(ROUND(P499, 2)*I499, 2)</f>
        <v>0</v>
      </c>
      <c r="T499" s="54"/>
      <c r="U499" s="55"/>
      <c r="V499" s="9">
        <f>ROUND(ROUND(P499, 2)/1.2, 2)</f>
        <v>10.48</v>
      </c>
      <c r="Y499" s="9">
        <f>ROUND(S499 / 1.2, 2)</f>
        <v>0</v>
      </c>
      <c r="AD499" s="4" t="s">
        <v>1541</v>
      </c>
      <c r="AE499" s="4" t="s">
        <v>1542</v>
      </c>
      <c r="AF499" s="4" t="s">
        <v>878</v>
      </c>
    </row>
    <row r="500" spans="1:35" ht="36" x14ac:dyDescent="0.35">
      <c r="A500" s="44" t="s">
        <v>1543</v>
      </c>
      <c r="B500" s="44"/>
      <c r="C500" s="56" t="s">
        <v>875</v>
      </c>
      <c r="D500" s="46"/>
      <c r="E500" s="46"/>
      <c r="F500" s="57" t="s">
        <v>81</v>
      </c>
      <c r="G500" s="58">
        <v>2.5</v>
      </c>
      <c r="H500" s="46"/>
      <c r="I500" s="58">
        <v>2243.75</v>
      </c>
      <c r="J500" s="59">
        <v>60</v>
      </c>
      <c r="K500" s="60"/>
      <c r="L500" s="60"/>
      <c r="M500" s="59">
        <f>ROUND(ROUND(J500, 2)*I500, 2)</f>
        <v>134625</v>
      </c>
      <c r="N500" s="60"/>
      <c r="O500" s="60"/>
      <c r="P500" s="59">
        <v>12.58</v>
      </c>
      <c r="Q500" s="60"/>
      <c r="R500" s="60"/>
      <c r="S500" s="59">
        <f>ROUND(ROUND(P500, 2)*I500, 2)</f>
        <v>28226.38</v>
      </c>
      <c r="T500" s="60"/>
      <c r="U500" s="61"/>
      <c r="V500" s="9">
        <f>ROUND(ROUND(P500, 2)/1.2, 2)</f>
        <v>10.48</v>
      </c>
      <c r="Y500" s="9">
        <f>ROUND(S500 / 1.2, 2)</f>
        <v>23521.98</v>
      </c>
      <c r="AD500" s="4" t="s">
        <v>1544</v>
      </c>
      <c r="AE500" s="4" t="s">
        <v>1542</v>
      </c>
      <c r="AF500" s="4" t="s">
        <v>878</v>
      </c>
    </row>
    <row r="501" spans="1:35" ht="36" x14ac:dyDescent="0.35">
      <c r="A501" s="38" t="s">
        <v>1545</v>
      </c>
      <c r="B501" s="38" t="s">
        <v>1516</v>
      </c>
      <c r="C501" s="39" t="s">
        <v>1517</v>
      </c>
      <c r="D501" s="40"/>
      <c r="E501" s="40" t="s">
        <v>1518</v>
      </c>
      <c r="F501" s="40" t="s">
        <v>56</v>
      </c>
      <c r="G501" s="41">
        <v>1</v>
      </c>
      <c r="H501" s="40"/>
      <c r="I501" s="42">
        <v>0</v>
      </c>
      <c r="J501" s="43">
        <f>IFERROR(ROUND(SUM(M503,M505)/I501, 2),0)</f>
        <v>0</v>
      </c>
      <c r="K501" s="43">
        <v>790</v>
      </c>
      <c r="L501" s="43">
        <f>J501+ROUND(K501, 2)</f>
        <v>790</v>
      </c>
      <c r="M501" s="43">
        <f>ROUND(J501*I501, 2)</f>
        <v>0</v>
      </c>
      <c r="N501" s="43">
        <f>ROUND(I501*ROUND(K501, 2), 2)</f>
        <v>0</v>
      </c>
      <c r="O501" s="43">
        <f>M501+N501</f>
        <v>0</v>
      </c>
      <c r="P501" s="43">
        <f>IFERROR(ROUND(SUM(S503,S505)/I501, 2),0)</f>
        <v>0</v>
      </c>
      <c r="Q501" s="43">
        <v>718</v>
      </c>
      <c r="R501" s="43">
        <f>P501+ROUND(Q501, 2)</f>
        <v>718</v>
      </c>
      <c r="S501" s="43">
        <f>ROUND(P501*I501, 2)</f>
        <v>0</v>
      </c>
      <c r="T501" s="43">
        <f>ROUND(I501*ROUND(Q501, 2), 2)</f>
        <v>0</v>
      </c>
      <c r="U501" s="43">
        <f>S501+T501</f>
        <v>0</v>
      </c>
      <c r="V501" s="9">
        <f>ROUND(P501 / 1.2, 2)</f>
        <v>0</v>
      </c>
      <c r="W501" s="9">
        <f>ROUND(Q501 / 1.2, 2)</f>
        <v>598.33000000000004</v>
      </c>
      <c r="X501" s="9">
        <f>ROUND(R501 / 1.2, 2)</f>
        <v>598.33000000000004</v>
      </c>
      <c r="Y501" s="9">
        <f>ROUND(S501 / 1.2, 2)</f>
        <v>0</v>
      </c>
      <c r="Z501" s="9">
        <f>ROUND(T501 / 1.2, 2)</f>
        <v>0</v>
      </c>
      <c r="AA501" s="9">
        <f>Y501+Z501</f>
        <v>0</v>
      </c>
      <c r="AD501" s="4">
        <v>303752512</v>
      </c>
      <c r="AE501" s="4">
        <v>16077789</v>
      </c>
      <c r="AG501" s="4" t="s">
        <v>1519</v>
      </c>
      <c r="AH501" s="4" t="s">
        <v>1520</v>
      </c>
      <c r="AI501" s="4" t="s">
        <v>247</v>
      </c>
    </row>
    <row r="502" spans="1:35" ht="36" x14ac:dyDescent="0.35">
      <c r="A502" s="44" t="s">
        <v>1546</v>
      </c>
      <c r="B502" s="44" t="s">
        <v>1516</v>
      </c>
      <c r="C502" s="45" t="s">
        <v>1517</v>
      </c>
      <c r="D502" s="46"/>
      <c r="E502" s="46" t="s">
        <v>1518</v>
      </c>
      <c r="F502" s="46" t="s">
        <v>56</v>
      </c>
      <c r="G502" s="47">
        <v>1</v>
      </c>
      <c r="H502" s="46"/>
      <c r="I502" s="47">
        <v>897.5</v>
      </c>
      <c r="J502" s="48">
        <v>0</v>
      </c>
      <c r="K502" s="48">
        <v>718</v>
      </c>
      <c r="L502" s="48"/>
      <c r="M502" s="48">
        <v>0</v>
      </c>
      <c r="N502" s="48"/>
      <c r="O502" s="48"/>
      <c r="P502" s="48">
        <v>0</v>
      </c>
      <c r="Q502" s="48">
        <v>718</v>
      </c>
      <c r="R502" s="48"/>
      <c r="S502" s="48">
        <v>0</v>
      </c>
      <c r="T502" s="48"/>
      <c r="U502" s="48"/>
      <c r="V502" s="9"/>
      <c r="W502" s="9">
        <f>ROUND(Q502 / 1.2, 2)</f>
        <v>598.33000000000004</v>
      </c>
      <c r="X502" s="9">
        <f>ROUND(R502 / 1.2, 2)</f>
        <v>0</v>
      </c>
      <c r="Y502" s="9"/>
      <c r="Z502" s="9">
        <f>ROUND(T502 / 1.2, 2)</f>
        <v>0</v>
      </c>
      <c r="AA502" s="9"/>
      <c r="AD502" s="4">
        <v>204236313</v>
      </c>
      <c r="AE502" s="4">
        <v>16077789</v>
      </c>
      <c r="AG502" s="4" t="s">
        <v>1519</v>
      </c>
      <c r="AH502" s="4" t="s">
        <v>1520</v>
      </c>
      <c r="AI502" s="4"/>
    </row>
    <row r="503" spans="1:35" ht="36" x14ac:dyDescent="0.35">
      <c r="A503" s="38" t="s">
        <v>1547</v>
      </c>
      <c r="B503" s="38"/>
      <c r="C503" s="49" t="s">
        <v>493</v>
      </c>
      <c r="D503" s="40"/>
      <c r="E503" s="40"/>
      <c r="F503" s="50" t="s">
        <v>81</v>
      </c>
      <c r="G503" s="51">
        <v>0.15</v>
      </c>
      <c r="H503" s="40"/>
      <c r="I503" s="52">
        <v>0</v>
      </c>
      <c r="J503" s="53">
        <v>88.8</v>
      </c>
      <c r="K503" s="54"/>
      <c r="L503" s="54"/>
      <c r="M503" s="53">
        <f>ROUND(ROUND(J503, 2)*I503, 2)</f>
        <v>0</v>
      </c>
      <c r="N503" s="54"/>
      <c r="O503" s="54"/>
      <c r="P503" s="53">
        <v>88.8</v>
      </c>
      <c r="Q503" s="54"/>
      <c r="R503" s="54"/>
      <c r="S503" s="53">
        <f>ROUND(ROUND(P503, 2)*I503, 2)</f>
        <v>0</v>
      </c>
      <c r="T503" s="54"/>
      <c r="U503" s="55"/>
      <c r="V503" s="9">
        <f>ROUND(ROUND(P503, 2)/1.2, 2)</f>
        <v>74</v>
      </c>
      <c r="Y503" s="9">
        <f>ROUND(S503 / 1.2, 2)</f>
        <v>0</v>
      </c>
      <c r="AD503" s="4" t="s">
        <v>1548</v>
      </c>
      <c r="AE503" s="4" t="s">
        <v>1549</v>
      </c>
      <c r="AF503" s="4" t="s">
        <v>496</v>
      </c>
    </row>
    <row r="504" spans="1:35" ht="36" x14ac:dyDescent="0.35">
      <c r="A504" s="44" t="s">
        <v>1550</v>
      </c>
      <c r="B504" s="44"/>
      <c r="C504" s="56" t="s">
        <v>493</v>
      </c>
      <c r="D504" s="46"/>
      <c r="E504" s="46"/>
      <c r="F504" s="57" t="s">
        <v>81</v>
      </c>
      <c r="G504" s="58">
        <v>0.15</v>
      </c>
      <c r="H504" s="46"/>
      <c r="I504" s="58">
        <v>134.625</v>
      </c>
      <c r="J504" s="59">
        <v>88.8</v>
      </c>
      <c r="K504" s="60"/>
      <c r="L504" s="60"/>
      <c r="M504" s="59">
        <f>ROUND(ROUND(J504, 2)*I504, 2)</f>
        <v>11954.7</v>
      </c>
      <c r="N504" s="60"/>
      <c r="O504" s="60"/>
      <c r="P504" s="59">
        <v>88.8</v>
      </c>
      <c r="Q504" s="60"/>
      <c r="R504" s="60"/>
      <c r="S504" s="59">
        <f>ROUND(ROUND(P504, 2)*I504, 2)</f>
        <v>11954.7</v>
      </c>
      <c r="T504" s="60"/>
      <c r="U504" s="61"/>
      <c r="V504" s="9">
        <f>ROUND(ROUND(P504, 2)/1.2, 2)</f>
        <v>74</v>
      </c>
      <c r="Y504" s="9">
        <f>ROUND(S504 / 1.2, 2)</f>
        <v>9962.25</v>
      </c>
      <c r="AD504" s="4" t="s">
        <v>1551</v>
      </c>
      <c r="AE504" s="4" t="s">
        <v>1549</v>
      </c>
      <c r="AF504" s="4" t="s">
        <v>496</v>
      </c>
    </row>
    <row r="505" spans="1:35" ht="36" x14ac:dyDescent="0.35">
      <c r="A505" s="38" t="s">
        <v>1552</v>
      </c>
      <c r="B505" s="38"/>
      <c r="C505" s="49" t="s">
        <v>887</v>
      </c>
      <c r="D505" s="40"/>
      <c r="E505" s="40"/>
      <c r="F505" s="50" t="s">
        <v>81</v>
      </c>
      <c r="G505" s="51">
        <v>1.5</v>
      </c>
      <c r="H505" s="40"/>
      <c r="I505" s="52">
        <v>0</v>
      </c>
      <c r="J505" s="53">
        <v>23</v>
      </c>
      <c r="K505" s="54"/>
      <c r="L505" s="54"/>
      <c r="M505" s="53">
        <f>ROUND(ROUND(J505, 2)*I505, 2)</f>
        <v>0</v>
      </c>
      <c r="N505" s="54"/>
      <c r="O505" s="54"/>
      <c r="P505" s="53">
        <v>12.58</v>
      </c>
      <c r="Q505" s="54"/>
      <c r="R505" s="54"/>
      <c r="S505" s="53">
        <f>ROUND(ROUND(P505, 2)*I505, 2)</f>
        <v>0</v>
      </c>
      <c r="T505" s="54"/>
      <c r="U505" s="55"/>
      <c r="V505" s="9">
        <f>ROUND(ROUND(P505, 2)/1.2, 2)</f>
        <v>10.48</v>
      </c>
      <c r="Y505" s="9">
        <f>ROUND(S505 / 1.2, 2)</f>
        <v>0</v>
      </c>
      <c r="AD505" s="4" t="s">
        <v>1553</v>
      </c>
      <c r="AE505" s="4" t="s">
        <v>1554</v>
      </c>
      <c r="AF505" s="4" t="s">
        <v>890</v>
      </c>
    </row>
    <row r="506" spans="1:35" ht="36" x14ac:dyDescent="0.35">
      <c r="A506" s="44" t="s">
        <v>1555</v>
      </c>
      <c r="B506" s="44"/>
      <c r="C506" s="56" t="s">
        <v>887</v>
      </c>
      <c r="D506" s="46"/>
      <c r="E506" s="46"/>
      <c r="F506" s="57" t="s">
        <v>81</v>
      </c>
      <c r="G506" s="58">
        <v>1.5</v>
      </c>
      <c r="H506" s="46"/>
      <c r="I506" s="58">
        <v>1346.25</v>
      </c>
      <c r="J506" s="59">
        <v>23</v>
      </c>
      <c r="K506" s="60"/>
      <c r="L506" s="60"/>
      <c r="M506" s="59">
        <f>ROUND(ROUND(J506, 2)*I506, 2)</f>
        <v>30963.75</v>
      </c>
      <c r="N506" s="60"/>
      <c r="O506" s="60"/>
      <c r="P506" s="59">
        <v>12.58</v>
      </c>
      <c r="Q506" s="60"/>
      <c r="R506" s="60"/>
      <c r="S506" s="59">
        <f>ROUND(ROUND(P506, 2)*I506, 2)</f>
        <v>16935.830000000002</v>
      </c>
      <c r="T506" s="60"/>
      <c r="U506" s="61"/>
      <c r="V506" s="9">
        <f>ROUND(ROUND(P506, 2)/1.2, 2)</f>
        <v>10.48</v>
      </c>
      <c r="Y506" s="9">
        <f>ROUND(S506 / 1.2, 2)</f>
        <v>14113.19</v>
      </c>
      <c r="AD506" s="4" t="s">
        <v>1556</v>
      </c>
      <c r="AE506" s="4" t="s">
        <v>1554</v>
      </c>
      <c r="AF506" s="4" t="s">
        <v>890</v>
      </c>
    </row>
    <row r="507" spans="1:35" ht="36" x14ac:dyDescent="0.35">
      <c r="A507" s="38" t="s">
        <v>1557</v>
      </c>
      <c r="B507" s="38" t="s">
        <v>1516</v>
      </c>
      <c r="C507" s="39" t="s">
        <v>1517</v>
      </c>
      <c r="D507" s="40"/>
      <c r="E507" s="40" t="s">
        <v>1558</v>
      </c>
      <c r="F507" s="40" t="s">
        <v>56</v>
      </c>
      <c r="G507" s="41">
        <v>1</v>
      </c>
      <c r="H507" s="40"/>
      <c r="I507" s="42">
        <v>0</v>
      </c>
      <c r="J507" s="43">
        <f>IFERROR(ROUND(SUM(M509,M511)/I507, 2),0)</f>
        <v>0</v>
      </c>
      <c r="K507" s="43">
        <v>790</v>
      </c>
      <c r="L507" s="43">
        <f>J507+ROUND(K507, 2)</f>
        <v>790</v>
      </c>
      <c r="M507" s="43">
        <f>ROUND(J507*I507, 2)</f>
        <v>0</v>
      </c>
      <c r="N507" s="43">
        <f>ROUND(I507*ROUND(K507, 2), 2)</f>
        <v>0</v>
      </c>
      <c r="O507" s="43">
        <f>M507+N507</f>
        <v>0</v>
      </c>
      <c r="P507" s="43">
        <f>IFERROR(ROUND(SUM(S509,S511)/I507, 2),0)</f>
        <v>0</v>
      </c>
      <c r="Q507" s="43">
        <v>718</v>
      </c>
      <c r="R507" s="43">
        <f>P507+ROUND(Q507, 2)</f>
        <v>718</v>
      </c>
      <c r="S507" s="43">
        <f>ROUND(P507*I507, 2)</f>
        <v>0</v>
      </c>
      <c r="T507" s="43">
        <f>ROUND(I507*ROUND(Q507, 2), 2)</f>
        <v>0</v>
      </c>
      <c r="U507" s="43">
        <f>S507+T507</f>
        <v>0</v>
      </c>
      <c r="V507" s="9">
        <f>ROUND(P507 / 1.2, 2)</f>
        <v>0</v>
      </c>
      <c r="W507" s="9">
        <f>ROUND(Q507 / 1.2, 2)</f>
        <v>598.33000000000004</v>
      </c>
      <c r="X507" s="9">
        <f>ROUND(R507 / 1.2, 2)</f>
        <v>598.33000000000004</v>
      </c>
      <c r="Y507" s="9">
        <f>ROUND(S507 / 1.2, 2)</f>
        <v>0</v>
      </c>
      <c r="Z507" s="9">
        <f>ROUND(T507 / 1.2, 2)</f>
        <v>0</v>
      </c>
      <c r="AA507" s="9">
        <f>Y507+Z507</f>
        <v>0</v>
      </c>
      <c r="AD507" s="4">
        <v>303752513</v>
      </c>
      <c r="AE507" s="4">
        <v>16082313</v>
      </c>
      <c r="AG507" s="4" t="s">
        <v>1519</v>
      </c>
      <c r="AH507" s="4" t="s">
        <v>1520</v>
      </c>
      <c r="AI507" s="4" t="s">
        <v>247</v>
      </c>
    </row>
    <row r="508" spans="1:35" ht="36" x14ac:dyDescent="0.35">
      <c r="A508" s="44" t="s">
        <v>1559</v>
      </c>
      <c r="B508" s="44" t="s">
        <v>1516</v>
      </c>
      <c r="C508" s="45" t="s">
        <v>1517</v>
      </c>
      <c r="D508" s="46"/>
      <c r="E508" s="46" t="s">
        <v>1558</v>
      </c>
      <c r="F508" s="46" t="s">
        <v>56</v>
      </c>
      <c r="G508" s="47">
        <v>1</v>
      </c>
      <c r="H508" s="46"/>
      <c r="I508" s="47">
        <v>75.400000000000006</v>
      </c>
      <c r="J508" s="48">
        <v>0</v>
      </c>
      <c r="K508" s="48">
        <v>718</v>
      </c>
      <c r="L508" s="48"/>
      <c r="M508" s="48">
        <v>0</v>
      </c>
      <c r="N508" s="48"/>
      <c r="O508" s="48"/>
      <c r="P508" s="48">
        <v>0</v>
      </c>
      <c r="Q508" s="48">
        <v>718</v>
      </c>
      <c r="R508" s="48"/>
      <c r="S508" s="48">
        <v>0</v>
      </c>
      <c r="T508" s="48"/>
      <c r="U508" s="48"/>
      <c r="V508" s="9"/>
      <c r="W508" s="9">
        <f>ROUND(Q508 / 1.2, 2)</f>
        <v>598.33000000000004</v>
      </c>
      <c r="X508" s="9">
        <f>ROUND(R508 / 1.2, 2)</f>
        <v>0</v>
      </c>
      <c r="Y508" s="9"/>
      <c r="Z508" s="9">
        <f>ROUND(T508 / 1.2, 2)</f>
        <v>0</v>
      </c>
      <c r="AA508" s="9"/>
      <c r="AD508" s="4">
        <v>204395697</v>
      </c>
      <c r="AE508" s="4">
        <v>16082313</v>
      </c>
      <c r="AG508" s="4" t="s">
        <v>1519</v>
      </c>
      <c r="AH508" s="4" t="s">
        <v>1520</v>
      </c>
      <c r="AI508" s="4"/>
    </row>
    <row r="509" spans="1:35" ht="18" x14ac:dyDescent="0.35">
      <c r="A509" s="38" t="s">
        <v>1560</v>
      </c>
      <c r="B509" s="38"/>
      <c r="C509" s="49" t="s">
        <v>316</v>
      </c>
      <c r="D509" s="40"/>
      <c r="E509" s="40"/>
      <c r="F509" s="50" t="s">
        <v>81</v>
      </c>
      <c r="G509" s="51">
        <v>0.15</v>
      </c>
      <c r="H509" s="40"/>
      <c r="I509" s="52">
        <v>0</v>
      </c>
      <c r="J509" s="53">
        <v>100</v>
      </c>
      <c r="K509" s="54"/>
      <c r="L509" s="54"/>
      <c r="M509" s="53">
        <f>ROUND(ROUND(J509, 2)*I509, 2)</f>
        <v>0</v>
      </c>
      <c r="N509" s="54"/>
      <c r="O509" s="54"/>
      <c r="P509" s="53">
        <v>100</v>
      </c>
      <c r="Q509" s="54"/>
      <c r="R509" s="54"/>
      <c r="S509" s="53">
        <f>ROUND(ROUND(P509, 2)*I509, 2)</f>
        <v>0</v>
      </c>
      <c r="T509" s="54"/>
      <c r="U509" s="55"/>
      <c r="V509" s="9">
        <f>ROUND(ROUND(P509, 2)/1.2, 2)</f>
        <v>83.33</v>
      </c>
      <c r="Y509" s="9">
        <f>ROUND(S509 / 1.2, 2)</f>
        <v>0</v>
      </c>
      <c r="AD509" s="4" t="s">
        <v>1561</v>
      </c>
      <c r="AE509" s="4" t="s">
        <v>1562</v>
      </c>
      <c r="AF509" s="4" t="s">
        <v>319</v>
      </c>
    </row>
    <row r="510" spans="1:35" ht="18" x14ac:dyDescent="0.35">
      <c r="A510" s="44" t="s">
        <v>1563</v>
      </c>
      <c r="B510" s="44"/>
      <c r="C510" s="56" t="s">
        <v>316</v>
      </c>
      <c r="D510" s="46"/>
      <c r="E510" s="46"/>
      <c r="F510" s="57" t="s">
        <v>81</v>
      </c>
      <c r="G510" s="58">
        <v>0.15</v>
      </c>
      <c r="H510" s="46"/>
      <c r="I510" s="58">
        <v>11.31</v>
      </c>
      <c r="J510" s="59">
        <v>100</v>
      </c>
      <c r="K510" s="60"/>
      <c r="L510" s="60"/>
      <c r="M510" s="59">
        <f>ROUND(ROUND(J510, 2)*I510, 2)</f>
        <v>1131</v>
      </c>
      <c r="N510" s="60"/>
      <c r="O510" s="60"/>
      <c r="P510" s="59">
        <v>100</v>
      </c>
      <c r="Q510" s="60"/>
      <c r="R510" s="60"/>
      <c r="S510" s="59">
        <f>ROUND(ROUND(P510, 2)*I510, 2)</f>
        <v>1131</v>
      </c>
      <c r="T510" s="60"/>
      <c r="U510" s="61"/>
      <c r="V510" s="9">
        <f>ROUND(ROUND(P510, 2)/1.2, 2)</f>
        <v>83.33</v>
      </c>
      <c r="Y510" s="9">
        <f>ROUND(S510 / 1.2, 2)</f>
        <v>942.5</v>
      </c>
      <c r="AD510" s="4" t="s">
        <v>1564</v>
      </c>
      <c r="AE510" s="4" t="s">
        <v>1562</v>
      </c>
      <c r="AF510" s="4" t="s">
        <v>319</v>
      </c>
    </row>
    <row r="511" spans="1:35" ht="36" x14ac:dyDescent="0.35">
      <c r="A511" s="38" t="s">
        <v>1565</v>
      </c>
      <c r="B511" s="38"/>
      <c r="C511" s="49" t="s">
        <v>914</v>
      </c>
      <c r="D511" s="40"/>
      <c r="E511" s="40"/>
      <c r="F511" s="50" t="s">
        <v>81</v>
      </c>
      <c r="G511" s="51">
        <v>4.5</v>
      </c>
      <c r="H511" s="40"/>
      <c r="I511" s="52">
        <v>0</v>
      </c>
      <c r="J511" s="53">
        <v>12.58</v>
      </c>
      <c r="K511" s="54"/>
      <c r="L511" s="54"/>
      <c r="M511" s="53">
        <f>ROUND(ROUND(J511, 2)*I511, 2)</f>
        <v>0</v>
      </c>
      <c r="N511" s="54"/>
      <c r="O511" s="54"/>
      <c r="P511" s="53">
        <v>12.58</v>
      </c>
      <c r="Q511" s="54"/>
      <c r="R511" s="54"/>
      <c r="S511" s="53">
        <f>ROUND(ROUND(P511, 2)*I511, 2)</f>
        <v>0</v>
      </c>
      <c r="T511" s="54"/>
      <c r="U511" s="55"/>
      <c r="V511" s="9">
        <f>ROUND(ROUND(P511, 2)/1.2, 2)</f>
        <v>10.48</v>
      </c>
      <c r="Y511" s="9">
        <f>ROUND(S511 / 1.2, 2)</f>
        <v>0</v>
      </c>
      <c r="AD511" s="4" t="s">
        <v>1566</v>
      </c>
      <c r="AE511" s="4" t="s">
        <v>1567</v>
      </c>
      <c r="AF511" s="4" t="s">
        <v>1114</v>
      </c>
    </row>
    <row r="512" spans="1:35" ht="36" x14ac:dyDescent="0.35">
      <c r="A512" s="44" t="s">
        <v>1568</v>
      </c>
      <c r="B512" s="44"/>
      <c r="C512" s="56" t="s">
        <v>914</v>
      </c>
      <c r="D512" s="46"/>
      <c r="E512" s="46"/>
      <c r="F512" s="57" t="s">
        <v>81</v>
      </c>
      <c r="G512" s="58">
        <v>4.5</v>
      </c>
      <c r="H512" s="46"/>
      <c r="I512" s="58">
        <v>339.3</v>
      </c>
      <c r="J512" s="59">
        <v>12.58</v>
      </c>
      <c r="K512" s="60"/>
      <c r="L512" s="60"/>
      <c r="M512" s="59">
        <f>ROUND(ROUND(J512, 2)*I512, 2)</f>
        <v>4268.3900000000003</v>
      </c>
      <c r="N512" s="60"/>
      <c r="O512" s="60"/>
      <c r="P512" s="59">
        <v>12.58</v>
      </c>
      <c r="Q512" s="60"/>
      <c r="R512" s="60"/>
      <c r="S512" s="59">
        <f>ROUND(ROUND(P512, 2)*I512, 2)</f>
        <v>4268.3900000000003</v>
      </c>
      <c r="T512" s="60"/>
      <c r="U512" s="61"/>
      <c r="V512" s="9">
        <f>ROUND(ROUND(P512, 2)/1.2, 2)</f>
        <v>10.48</v>
      </c>
      <c r="Y512" s="9">
        <f>ROUND(S512 / 1.2, 2)</f>
        <v>3556.99</v>
      </c>
      <c r="AD512" s="4" t="s">
        <v>1569</v>
      </c>
      <c r="AE512" s="4" t="s">
        <v>1567</v>
      </c>
      <c r="AF512" s="4" t="s">
        <v>1114</v>
      </c>
    </row>
    <row r="513" spans="1:35" ht="36" x14ac:dyDescent="0.35">
      <c r="A513" s="38" t="s">
        <v>1570</v>
      </c>
      <c r="B513" s="38" t="s">
        <v>1516</v>
      </c>
      <c r="C513" s="39" t="s">
        <v>1517</v>
      </c>
      <c r="D513" s="40"/>
      <c r="E513" s="40" t="s">
        <v>829</v>
      </c>
      <c r="F513" s="40" t="s">
        <v>56</v>
      </c>
      <c r="G513" s="41">
        <v>1</v>
      </c>
      <c r="H513" s="40"/>
      <c r="I513" s="42">
        <v>0</v>
      </c>
      <c r="J513" s="43">
        <f>IFERROR(ROUND(SUM(M515,M517)/I513, 2),0)</f>
        <v>0</v>
      </c>
      <c r="K513" s="43">
        <v>790</v>
      </c>
      <c r="L513" s="43">
        <f>J513+ROUND(K513, 2)</f>
        <v>790</v>
      </c>
      <c r="M513" s="43">
        <f>ROUND(J513*I513, 2)</f>
        <v>0</v>
      </c>
      <c r="N513" s="43">
        <f>ROUND(I513*ROUND(K513, 2), 2)</f>
        <v>0</v>
      </c>
      <c r="O513" s="43">
        <f>M513+N513</f>
        <v>0</v>
      </c>
      <c r="P513" s="43">
        <f>IFERROR(ROUND(SUM(S515,S517)/I513, 2),0)</f>
        <v>0</v>
      </c>
      <c r="Q513" s="43">
        <v>718</v>
      </c>
      <c r="R513" s="43">
        <f>P513+ROUND(Q513, 2)</f>
        <v>718</v>
      </c>
      <c r="S513" s="43">
        <f>ROUND(P513*I513, 2)</f>
        <v>0</v>
      </c>
      <c r="T513" s="43">
        <f>ROUND(I513*ROUND(Q513, 2), 2)</f>
        <v>0</v>
      </c>
      <c r="U513" s="43">
        <f>S513+T513</f>
        <v>0</v>
      </c>
      <c r="V513" s="9">
        <f>ROUND(P513 / 1.2, 2)</f>
        <v>0</v>
      </c>
      <c r="W513" s="9">
        <f>ROUND(Q513 / 1.2, 2)</f>
        <v>598.33000000000004</v>
      </c>
      <c r="X513" s="9">
        <f>ROUND(R513 / 1.2, 2)</f>
        <v>598.33000000000004</v>
      </c>
      <c r="Y513" s="9">
        <f>ROUND(S513 / 1.2, 2)</f>
        <v>0</v>
      </c>
      <c r="Z513" s="9">
        <f>ROUND(T513 / 1.2, 2)</f>
        <v>0</v>
      </c>
      <c r="AA513" s="9">
        <f>Y513+Z513</f>
        <v>0</v>
      </c>
      <c r="AD513" s="4">
        <v>303752514</v>
      </c>
      <c r="AE513" s="4">
        <v>16087382</v>
      </c>
      <c r="AG513" s="4" t="s">
        <v>1519</v>
      </c>
      <c r="AH513" s="4" t="s">
        <v>1520</v>
      </c>
      <c r="AI513" s="4" t="s">
        <v>247</v>
      </c>
    </row>
    <row r="514" spans="1:35" ht="36" x14ac:dyDescent="0.35">
      <c r="A514" s="44" t="s">
        <v>1571</v>
      </c>
      <c r="B514" s="44" t="s">
        <v>1516</v>
      </c>
      <c r="C514" s="45" t="s">
        <v>1517</v>
      </c>
      <c r="D514" s="46"/>
      <c r="E514" s="46" t="s">
        <v>829</v>
      </c>
      <c r="F514" s="46" t="s">
        <v>56</v>
      </c>
      <c r="G514" s="47">
        <v>1</v>
      </c>
      <c r="H514" s="46"/>
      <c r="I514" s="47">
        <v>148.1</v>
      </c>
      <c r="J514" s="48">
        <v>0</v>
      </c>
      <c r="K514" s="48">
        <v>718</v>
      </c>
      <c r="L514" s="48"/>
      <c r="M514" s="48">
        <v>0</v>
      </c>
      <c r="N514" s="48"/>
      <c r="O514" s="48"/>
      <c r="P514" s="48">
        <v>0</v>
      </c>
      <c r="Q514" s="48">
        <v>718</v>
      </c>
      <c r="R514" s="48"/>
      <c r="S514" s="48">
        <v>0</v>
      </c>
      <c r="T514" s="48"/>
      <c r="U514" s="48"/>
      <c r="V514" s="9"/>
      <c r="W514" s="9">
        <f>ROUND(Q514 / 1.2, 2)</f>
        <v>598.33000000000004</v>
      </c>
      <c r="X514" s="9">
        <f>ROUND(R514 / 1.2, 2)</f>
        <v>0</v>
      </c>
      <c r="Y514" s="9"/>
      <c r="Z514" s="9">
        <f>ROUND(T514 / 1.2, 2)</f>
        <v>0</v>
      </c>
      <c r="AA514" s="9"/>
      <c r="AD514" s="4">
        <v>204418616</v>
      </c>
      <c r="AE514" s="4">
        <v>16087382</v>
      </c>
      <c r="AG514" s="4" t="s">
        <v>1519</v>
      </c>
      <c r="AH514" s="4" t="s">
        <v>1520</v>
      </c>
      <c r="AI514" s="4"/>
    </row>
    <row r="515" spans="1:35" ht="18" x14ac:dyDescent="0.35">
      <c r="A515" s="38" t="s">
        <v>1572</v>
      </c>
      <c r="B515" s="38"/>
      <c r="C515" s="49" t="s">
        <v>316</v>
      </c>
      <c r="D515" s="40"/>
      <c r="E515" s="40"/>
      <c r="F515" s="50" t="s">
        <v>81</v>
      </c>
      <c r="G515" s="51">
        <v>0.15</v>
      </c>
      <c r="H515" s="40"/>
      <c r="I515" s="52">
        <v>0</v>
      </c>
      <c r="J515" s="53">
        <v>100</v>
      </c>
      <c r="K515" s="54"/>
      <c r="L515" s="54"/>
      <c r="M515" s="53">
        <f>ROUND(ROUND(J515, 2)*I515, 2)</f>
        <v>0</v>
      </c>
      <c r="N515" s="54"/>
      <c r="O515" s="54"/>
      <c r="P515" s="53">
        <v>100</v>
      </c>
      <c r="Q515" s="54"/>
      <c r="R515" s="54"/>
      <c r="S515" s="53">
        <f>ROUND(ROUND(P515, 2)*I515, 2)</f>
        <v>0</v>
      </c>
      <c r="T515" s="54"/>
      <c r="U515" s="55"/>
      <c r="V515" s="9">
        <f>ROUND(ROUND(P515, 2)/1.2, 2)</f>
        <v>83.33</v>
      </c>
      <c r="Y515" s="9">
        <f>ROUND(S515 / 1.2, 2)</f>
        <v>0</v>
      </c>
      <c r="AD515" s="4" t="s">
        <v>1573</v>
      </c>
      <c r="AE515" s="4" t="s">
        <v>1574</v>
      </c>
      <c r="AF515" s="4" t="s">
        <v>319</v>
      </c>
    </row>
    <row r="516" spans="1:35" ht="18" x14ac:dyDescent="0.35">
      <c r="A516" s="44" t="s">
        <v>1575</v>
      </c>
      <c r="B516" s="44"/>
      <c r="C516" s="56" t="s">
        <v>316</v>
      </c>
      <c r="D516" s="46"/>
      <c r="E516" s="46"/>
      <c r="F516" s="57" t="s">
        <v>81</v>
      </c>
      <c r="G516" s="58">
        <v>0.15</v>
      </c>
      <c r="H516" s="46"/>
      <c r="I516" s="58">
        <v>22.215</v>
      </c>
      <c r="J516" s="59">
        <v>100</v>
      </c>
      <c r="K516" s="60"/>
      <c r="L516" s="60"/>
      <c r="M516" s="59">
        <f>ROUND(ROUND(J516, 2)*I516, 2)</f>
        <v>2221.5</v>
      </c>
      <c r="N516" s="60"/>
      <c r="O516" s="60"/>
      <c r="P516" s="59">
        <v>100</v>
      </c>
      <c r="Q516" s="60"/>
      <c r="R516" s="60"/>
      <c r="S516" s="59">
        <f>ROUND(ROUND(P516, 2)*I516, 2)</f>
        <v>2221.5</v>
      </c>
      <c r="T516" s="60"/>
      <c r="U516" s="61"/>
      <c r="V516" s="9">
        <f>ROUND(ROUND(P516, 2)/1.2, 2)</f>
        <v>83.33</v>
      </c>
      <c r="Y516" s="9">
        <f>ROUND(S516 / 1.2, 2)</f>
        <v>1851.25</v>
      </c>
      <c r="AD516" s="4" t="s">
        <v>1576</v>
      </c>
      <c r="AE516" s="4" t="s">
        <v>1574</v>
      </c>
      <c r="AF516" s="4" t="s">
        <v>319</v>
      </c>
    </row>
    <row r="517" spans="1:35" ht="18" x14ac:dyDescent="0.35">
      <c r="A517" s="38" t="s">
        <v>1577</v>
      </c>
      <c r="B517" s="38"/>
      <c r="C517" s="49" t="s">
        <v>854</v>
      </c>
      <c r="D517" s="40"/>
      <c r="E517" s="40" t="s">
        <v>370</v>
      </c>
      <c r="F517" s="50" t="s">
        <v>81</v>
      </c>
      <c r="G517" s="51">
        <v>5</v>
      </c>
      <c r="H517" s="40"/>
      <c r="I517" s="52">
        <v>0</v>
      </c>
      <c r="J517" s="53">
        <v>23</v>
      </c>
      <c r="K517" s="54"/>
      <c r="L517" s="54"/>
      <c r="M517" s="53">
        <f>ROUND(ROUND(J517, 2)*I517, 2)</f>
        <v>0</v>
      </c>
      <c r="N517" s="54"/>
      <c r="O517" s="54"/>
      <c r="P517" s="53">
        <v>23</v>
      </c>
      <c r="Q517" s="54"/>
      <c r="R517" s="54"/>
      <c r="S517" s="53">
        <f>ROUND(ROUND(P517, 2)*I517, 2)</f>
        <v>0</v>
      </c>
      <c r="T517" s="54"/>
      <c r="U517" s="55"/>
      <c r="V517" s="9">
        <f>ROUND(ROUND(P517, 2)/1.2, 2)</f>
        <v>19.170000000000002</v>
      </c>
      <c r="Y517" s="9">
        <f>ROUND(S517 / 1.2, 2)</f>
        <v>0</v>
      </c>
      <c r="AD517" s="4" t="s">
        <v>1578</v>
      </c>
      <c r="AE517" s="4" t="s">
        <v>1579</v>
      </c>
      <c r="AF517" s="4" t="s">
        <v>858</v>
      </c>
    </row>
    <row r="518" spans="1:35" ht="18" x14ac:dyDescent="0.35">
      <c r="A518" s="44" t="s">
        <v>1580</v>
      </c>
      <c r="B518" s="44"/>
      <c r="C518" s="56" t="s">
        <v>854</v>
      </c>
      <c r="D518" s="46"/>
      <c r="E518" s="46" t="s">
        <v>370</v>
      </c>
      <c r="F518" s="57" t="s">
        <v>81</v>
      </c>
      <c r="G518" s="58">
        <v>5</v>
      </c>
      <c r="H518" s="46"/>
      <c r="I518" s="58">
        <v>740.5</v>
      </c>
      <c r="J518" s="59">
        <v>23</v>
      </c>
      <c r="K518" s="60"/>
      <c r="L518" s="60"/>
      <c r="M518" s="59">
        <f>ROUND(ROUND(J518, 2)*I518, 2)</f>
        <v>17031.5</v>
      </c>
      <c r="N518" s="60"/>
      <c r="O518" s="60"/>
      <c r="P518" s="59">
        <v>23</v>
      </c>
      <c r="Q518" s="60"/>
      <c r="R518" s="60"/>
      <c r="S518" s="59">
        <f>ROUND(ROUND(P518, 2)*I518, 2)</f>
        <v>17031.5</v>
      </c>
      <c r="T518" s="60"/>
      <c r="U518" s="61"/>
      <c r="V518" s="9">
        <f>ROUND(ROUND(P518, 2)/1.2, 2)</f>
        <v>19.170000000000002</v>
      </c>
      <c r="Y518" s="9">
        <f>ROUND(S518 / 1.2, 2)</f>
        <v>14192.92</v>
      </c>
      <c r="AD518" s="4" t="s">
        <v>1581</v>
      </c>
      <c r="AE518" s="4" t="s">
        <v>1579</v>
      </c>
      <c r="AF518" s="4" t="s">
        <v>858</v>
      </c>
    </row>
    <row r="519" spans="1:35" ht="36" x14ac:dyDescent="0.35">
      <c r="A519" s="38" t="s">
        <v>1582</v>
      </c>
      <c r="B519" s="38" t="s">
        <v>1516</v>
      </c>
      <c r="C519" s="39" t="s">
        <v>1517</v>
      </c>
      <c r="D519" s="40"/>
      <c r="E519" s="40" t="s">
        <v>829</v>
      </c>
      <c r="F519" s="40" t="s">
        <v>56</v>
      </c>
      <c r="G519" s="41">
        <v>1</v>
      </c>
      <c r="H519" s="40"/>
      <c r="I519" s="42">
        <v>0</v>
      </c>
      <c r="J519" s="43">
        <f>IFERROR(ROUND(SUM(M521,M523)/I519, 2),0)</f>
        <v>0</v>
      </c>
      <c r="K519" s="43">
        <v>790</v>
      </c>
      <c r="L519" s="43">
        <f>J519+ROUND(K519, 2)</f>
        <v>790</v>
      </c>
      <c r="M519" s="43">
        <f>ROUND(J519*I519, 2)</f>
        <v>0</v>
      </c>
      <c r="N519" s="43">
        <f>ROUND(I519*ROUND(K519, 2), 2)</f>
        <v>0</v>
      </c>
      <c r="O519" s="43">
        <f>M519+N519</f>
        <v>0</v>
      </c>
      <c r="P519" s="43">
        <f>IFERROR(ROUND(SUM(S521,S523)/I519, 2),0)</f>
        <v>0</v>
      </c>
      <c r="Q519" s="43">
        <v>718</v>
      </c>
      <c r="R519" s="43">
        <f>P519+ROUND(Q519, 2)</f>
        <v>718</v>
      </c>
      <c r="S519" s="43">
        <f>ROUND(P519*I519, 2)</f>
        <v>0</v>
      </c>
      <c r="T519" s="43">
        <f>ROUND(I519*ROUND(Q519, 2), 2)</f>
        <v>0</v>
      </c>
      <c r="U519" s="43">
        <f>S519+T519</f>
        <v>0</v>
      </c>
      <c r="V519" s="9">
        <f>ROUND(P519 / 1.2, 2)</f>
        <v>0</v>
      </c>
      <c r="W519" s="9">
        <f>ROUND(Q519 / 1.2, 2)</f>
        <v>598.33000000000004</v>
      </c>
      <c r="X519" s="9">
        <f>ROUND(R519 / 1.2, 2)</f>
        <v>598.33000000000004</v>
      </c>
      <c r="Y519" s="9">
        <f>ROUND(S519 / 1.2, 2)</f>
        <v>0</v>
      </c>
      <c r="Z519" s="9">
        <f>ROUND(T519 / 1.2, 2)</f>
        <v>0</v>
      </c>
      <c r="AA519" s="9">
        <f>Y519+Z519</f>
        <v>0</v>
      </c>
      <c r="AD519" s="4">
        <v>303752515</v>
      </c>
      <c r="AE519" s="4">
        <v>16087383</v>
      </c>
      <c r="AG519" s="4" t="s">
        <v>1519</v>
      </c>
      <c r="AH519" s="4" t="s">
        <v>1520</v>
      </c>
      <c r="AI519" s="4" t="s">
        <v>247</v>
      </c>
    </row>
    <row r="520" spans="1:35" ht="36" x14ac:dyDescent="0.35">
      <c r="A520" s="44" t="s">
        <v>1583</v>
      </c>
      <c r="B520" s="44" t="s">
        <v>1516</v>
      </c>
      <c r="C520" s="45" t="s">
        <v>1517</v>
      </c>
      <c r="D520" s="46"/>
      <c r="E520" s="46" t="s">
        <v>829</v>
      </c>
      <c r="F520" s="46" t="s">
        <v>56</v>
      </c>
      <c r="G520" s="47">
        <v>1</v>
      </c>
      <c r="H520" s="46"/>
      <c r="I520" s="47">
        <v>148.1</v>
      </c>
      <c r="J520" s="48">
        <v>0</v>
      </c>
      <c r="K520" s="48">
        <v>718</v>
      </c>
      <c r="L520" s="48"/>
      <c r="M520" s="48">
        <v>0</v>
      </c>
      <c r="N520" s="48"/>
      <c r="O520" s="48"/>
      <c r="P520" s="48">
        <v>0</v>
      </c>
      <c r="Q520" s="48">
        <v>718</v>
      </c>
      <c r="R520" s="48"/>
      <c r="S520" s="48">
        <v>0</v>
      </c>
      <c r="T520" s="48"/>
      <c r="U520" s="48"/>
      <c r="V520" s="9"/>
      <c r="W520" s="9">
        <f>ROUND(Q520 / 1.2, 2)</f>
        <v>598.33000000000004</v>
      </c>
      <c r="X520" s="9">
        <f>ROUND(R520 / 1.2, 2)</f>
        <v>0</v>
      </c>
      <c r="Y520" s="9"/>
      <c r="Z520" s="9">
        <f>ROUND(T520 / 1.2, 2)</f>
        <v>0</v>
      </c>
      <c r="AA520" s="9"/>
      <c r="AD520" s="4">
        <v>204418617</v>
      </c>
      <c r="AE520" s="4">
        <v>16087383</v>
      </c>
      <c r="AG520" s="4" t="s">
        <v>1519</v>
      </c>
      <c r="AH520" s="4" t="s">
        <v>1520</v>
      </c>
      <c r="AI520" s="4"/>
    </row>
    <row r="521" spans="1:35" ht="36" x14ac:dyDescent="0.35">
      <c r="A521" s="38" t="s">
        <v>1584</v>
      </c>
      <c r="B521" s="38"/>
      <c r="C521" s="49" t="s">
        <v>493</v>
      </c>
      <c r="D521" s="40"/>
      <c r="E521" s="40"/>
      <c r="F521" s="50" t="s">
        <v>81</v>
      </c>
      <c r="G521" s="51">
        <v>0.15</v>
      </c>
      <c r="H521" s="40"/>
      <c r="I521" s="52">
        <v>0</v>
      </c>
      <c r="J521" s="53">
        <v>88.8</v>
      </c>
      <c r="K521" s="54"/>
      <c r="L521" s="54"/>
      <c r="M521" s="53">
        <f>ROUND(ROUND(J521, 2)*I521, 2)</f>
        <v>0</v>
      </c>
      <c r="N521" s="54"/>
      <c r="O521" s="54"/>
      <c r="P521" s="53">
        <v>88.8</v>
      </c>
      <c r="Q521" s="54"/>
      <c r="R521" s="54"/>
      <c r="S521" s="53">
        <f>ROUND(ROUND(P521, 2)*I521, 2)</f>
        <v>0</v>
      </c>
      <c r="T521" s="54"/>
      <c r="U521" s="55"/>
      <c r="V521" s="9">
        <f>ROUND(ROUND(P521, 2)/1.2, 2)</f>
        <v>74</v>
      </c>
      <c r="Y521" s="9">
        <f>ROUND(S521 / 1.2, 2)</f>
        <v>0</v>
      </c>
      <c r="AD521" s="4" t="s">
        <v>1585</v>
      </c>
      <c r="AE521" s="4" t="s">
        <v>1586</v>
      </c>
      <c r="AF521" s="4" t="s">
        <v>496</v>
      </c>
    </row>
    <row r="522" spans="1:35" ht="36" x14ac:dyDescent="0.35">
      <c r="A522" s="44" t="s">
        <v>1587</v>
      </c>
      <c r="B522" s="44"/>
      <c r="C522" s="56" t="s">
        <v>493</v>
      </c>
      <c r="D522" s="46"/>
      <c r="E522" s="46"/>
      <c r="F522" s="57" t="s">
        <v>81</v>
      </c>
      <c r="G522" s="58">
        <v>0.15</v>
      </c>
      <c r="H522" s="46"/>
      <c r="I522" s="58">
        <v>22.215</v>
      </c>
      <c r="J522" s="59">
        <v>88.8</v>
      </c>
      <c r="K522" s="60"/>
      <c r="L522" s="60"/>
      <c r="M522" s="59">
        <f>ROUND(ROUND(J522, 2)*I522, 2)</f>
        <v>1972.69</v>
      </c>
      <c r="N522" s="60"/>
      <c r="O522" s="60"/>
      <c r="P522" s="59">
        <v>88.8</v>
      </c>
      <c r="Q522" s="60"/>
      <c r="R522" s="60"/>
      <c r="S522" s="59">
        <f>ROUND(ROUND(P522, 2)*I522, 2)</f>
        <v>1972.69</v>
      </c>
      <c r="T522" s="60"/>
      <c r="U522" s="61"/>
      <c r="V522" s="9">
        <f>ROUND(ROUND(P522, 2)/1.2, 2)</f>
        <v>74</v>
      </c>
      <c r="Y522" s="9">
        <f>ROUND(S522 / 1.2, 2)</f>
        <v>1643.91</v>
      </c>
      <c r="AD522" s="4" t="s">
        <v>1588</v>
      </c>
      <c r="AE522" s="4" t="s">
        <v>1586</v>
      </c>
      <c r="AF522" s="4" t="s">
        <v>496</v>
      </c>
    </row>
    <row r="523" spans="1:35" ht="36" x14ac:dyDescent="0.35">
      <c r="A523" s="38" t="s">
        <v>1589</v>
      </c>
      <c r="B523" s="38"/>
      <c r="C523" s="49" t="s">
        <v>875</v>
      </c>
      <c r="D523" s="40"/>
      <c r="E523" s="40"/>
      <c r="F523" s="50" t="s">
        <v>81</v>
      </c>
      <c r="G523" s="51">
        <v>2.5</v>
      </c>
      <c r="H523" s="40"/>
      <c r="I523" s="52">
        <v>0</v>
      </c>
      <c r="J523" s="53">
        <v>60</v>
      </c>
      <c r="K523" s="54"/>
      <c r="L523" s="54"/>
      <c r="M523" s="53">
        <f>ROUND(ROUND(J523, 2)*I523, 2)</f>
        <v>0</v>
      </c>
      <c r="N523" s="54"/>
      <c r="O523" s="54"/>
      <c r="P523" s="53">
        <v>12.58</v>
      </c>
      <c r="Q523" s="54"/>
      <c r="R523" s="54"/>
      <c r="S523" s="53">
        <f>ROUND(ROUND(P523, 2)*I523, 2)</f>
        <v>0</v>
      </c>
      <c r="T523" s="54"/>
      <c r="U523" s="55"/>
      <c r="V523" s="9">
        <f>ROUND(ROUND(P523, 2)/1.2, 2)</f>
        <v>10.48</v>
      </c>
      <c r="Y523" s="9">
        <f>ROUND(S523 / 1.2, 2)</f>
        <v>0</v>
      </c>
      <c r="AD523" s="4" t="s">
        <v>1590</v>
      </c>
      <c r="AE523" s="4" t="s">
        <v>1591</v>
      </c>
      <c r="AF523" s="4" t="s">
        <v>878</v>
      </c>
    </row>
    <row r="524" spans="1:35" ht="36" x14ac:dyDescent="0.35">
      <c r="A524" s="44" t="s">
        <v>1592</v>
      </c>
      <c r="B524" s="44"/>
      <c r="C524" s="56" t="s">
        <v>875</v>
      </c>
      <c r="D524" s="46"/>
      <c r="E524" s="46"/>
      <c r="F524" s="57" t="s">
        <v>81</v>
      </c>
      <c r="G524" s="58">
        <v>2.5</v>
      </c>
      <c r="H524" s="46"/>
      <c r="I524" s="58">
        <v>370.25</v>
      </c>
      <c r="J524" s="59">
        <v>60</v>
      </c>
      <c r="K524" s="60"/>
      <c r="L524" s="60"/>
      <c r="M524" s="59">
        <f>ROUND(ROUND(J524, 2)*I524, 2)</f>
        <v>22215</v>
      </c>
      <c r="N524" s="60"/>
      <c r="O524" s="60"/>
      <c r="P524" s="59">
        <v>12.58</v>
      </c>
      <c r="Q524" s="60"/>
      <c r="R524" s="60"/>
      <c r="S524" s="59">
        <f>ROUND(ROUND(P524, 2)*I524, 2)</f>
        <v>4657.75</v>
      </c>
      <c r="T524" s="60"/>
      <c r="U524" s="61"/>
      <c r="V524" s="9">
        <f>ROUND(ROUND(P524, 2)/1.2, 2)</f>
        <v>10.48</v>
      </c>
      <c r="Y524" s="9">
        <f>ROUND(S524 / 1.2, 2)</f>
        <v>3881.46</v>
      </c>
      <c r="AD524" s="4" t="s">
        <v>1593</v>
      </c>
      <c r="AE524" s="4" t="s">
        <v>1591</v>
      </c>
      <c r="AF524" s="4" t="s">
        <v>878</v>
      </c>
    </row>
    <row r="525" spans="1:35" ht="36" x14ac:dyDescent="0.35">
      <c r="A525" s="38" t="s">
        <v>1594</v>
      </c>
      <c r="B525" s="38" t="s">
        <v>1516</v>
      </c>
      <c r="C525" s="39" t="s">
        <v>1517</v>
      </c>
      <c r="D525" s="40"/>
      <c r="E525" s="40" t="s">
        <v>829</v>
      </c>
      <c r="F525" s="40" t="s">
        <v>56</v>
      </c>
      <c r="G525" s="41">
        <v>1</v>
      </c>
      <c r="H525" s="40"/>
      <c r="I525" s="42">
        <v>0</v>
      </c>
      <c r="J525" s="43">
        <f>IFERROR(ROUND(SUM(M527,M529)/I525, 2),0)</f>
        <v>0</v>
      </c>
      <c r="K525" s="43">
        <v>790</v>
      </c>
      <c r="L525" s="43">
        <f>J525+ROUND(K525, 2)</f>
        <v>790</v>
      </c>
      <c r="M525" s="43">
        <f>ROUND(J525*I525, 2)</f>
        <v>0</v>
      </c>
      <c r="N525" s="43">
        <f>ROUND(I525*ROUND(K525, 2), 2)</f>
        <v>0</v>
      </c>
      <c r="O525" s="43">
        <f>M525+N525</f>
        <v>0</v>
      </c>
      <c r="P525" s="43">
        <f>IFERROR(ROUND(SUM(S527,S529)/I525, 2),0)</f>
        <v>0</v>
      </c>
      <c r="Q525" s="43">
        <v>718</v>
      </c>
      <c r="R525" s="43">
        <f>P525+ROUND(Q525, 2)</f>
        <v>718</v>
      </c>
      <c r="S525" s="43">
        <f>ROUND(P525*I525, 2)</f>
        <v>0</v>
      </c>
      <c r="T525" s="43">
        <f>ROUND(I525*ROUND(Q525, 2), 2)</f>
        <v>0</v>
      </c>
      <c r="U525" s="43">
        <f>S525+T525</f>
        <v>0</v>
      </c>
      <c r="V525" s="9">
        <f>ROUND(P525 / 1.2, 2)</f>
        <v>0</v>
      </c>
      <c r="W525" s="9">
        <f>ROUND(Q525 / 1.2, 2)</f>
        <v>598.33000000000004</v>
      </c>
      <c r="X525" s="9">
        <f>ROUND(R525 / 1.2, 2)</f>
        <v>598.33000000000004</v>
      </c>
      <c r="Y525" s="9">
        <f>ROUND(S525 / 1.2, 2)</f>
        <v>0</v>
      </c>
      <c r="Z525" s="9">
        <f>ROUND(T525 / 1.2, 2)</f>
        <v>0</v>
      </c>
      <c r="AA525" s="9">
        <f>Y525+Z525</f>
        <v>0</v>
      </c>
      <c r="AD525" s="4">
        <v>303752516</v>
      </c>
      <c r="AE525" s="4">
        <v>16087384</v>
      </c>
      <c r="AG525" s="4" t="s">
        <v>1519</v>
      </c>
      <c r="AH525" s="4" t="s">
        <v>1520</v>
      </c>
      <c r="AI525" s="4" t="s">
        <v>247</v>
      </c>
    </row>
    <row r="526" spans="1:35" ht="36" x14ac:dyDescent="0.35">
      <c r="A526" s="44" t="s">
        <v>1595</v>
      </c>
      <c r="B526" s="44" t="s">
        <v>1516</v>
      </c>
      <c r="C526" s="45" t="s">
        <v>1517</v>
      </c>
      <c r="D526" s="46"/>
      <c r="E526" s="46" t="s">
        <v>829</v>
      </c>
      <c r="F526" s="46" t="s">
        <v>56</v>
      </c>
      <c r="G526" s="47">
        <v>1</v>
      </c>
      <c r="H526" s="46"/>
      <c r="I526" s="47">
        <v>148.1</v>
      </c>
      <c r="J526" s="48">
        <v>0</v>
      </c>
      <c r="K526" s="48">
        <v>718</v>
      </c>
      <c r="L526" s="48"/>
      <c r="M526" s="48">
        <v>0</v>
      </c>
      <c r="N526" s="48"/>
      <c r="O526" s="48"/>
      <c r="P526" s="48">
        <v>0</v>
      </c>
      <c r="Q526" s="48">
        <v>718</v>
      </c>
      <c r="R526" s="48"/>
      <c r="S526" s="48">
        <v>0</v>
      </c>
      <c r="T526" s="48"/>
      <c r="U526" s="48"/>
      <c r="V526" s="9"/>
      <c r="W526" s="9">
        <f>ROUND(Q526 / 1.2, 2)</f>
        <v>598.33000000000004</v>
      </c>
      <c r="X526" s="9">
        <f>ROUND(R526 / 1.2, 2)</f>
        <v>0</v>
      </c>
      <c r="Y526" s="9"/>
      <c r="Z526" s="9">
        <f>ROUND(T526 / 1.2, 2)</f>
        <v>0</v>
      </c>
      <c r="AA526" s="9"/>
      <c r="AD526" s="4">
        <v>204418618</v>
      </c>
      <c r="AE526" s="4">
        <v>16087384</v>
      </c>
      <c r="AG526" s="4" t="s">
        <v>1519</v>
      </c>
      <c r="AH526" s="4" t="s">
        <v>1520</v>
      </c>
      <c r="AI526" s="4"/>
    </row>
    <row r="527" spans="1:35" ht="36" x14ac:dyDescent="0.35">
      <c r="A527" s="38" t="s">
        <v>1596</v>
      </c>
      <c r="B527" s="38"/>
      <c r="C527" s="49" t="s">
        <v>493</v>
      </c>
      <c r="D527" s="40"/>
      <c r="E527" s="40"/>
      <c r="F527" s="50" t="s">
        <v>81</v>
      </c>
      <c r="G527" s="51">
        <v>0.15</v>
      </c>
      <c r="H527" s="40"/>
      <c r="I527" s="52">
        <v>0</v>
      </c>
      <c r="J527" s="53">
        <v>88.8</v>
      </c>
      <c r="K527" s="54"/>
      <c r="L527" s="54"/>
      <c r="M527" s="53">
        <f>ROUND(ROUND(J527, 2)*I527, 2)</f>
        <v>0</v>
      </c>
      <c r="N527" s="54"/>
      <c r="O527" s="54"/>
      <c r="P527" s="53">
        <v>88.8</v>
      </c>
      <c r="Q527" s="54"/>
      <c r="R527" s="54"/>
      <c r="S527" s="53">
        <f>ROUND(ROUND(P527, 2)*I527, 2)</f>
        <v>0</v>
      </c>
      <c r="T527" s="54"/>
      <c r="U527" s="55"/>
      <c r="V527" s="9">
        <f>ROUND(ROUND(P527, 2)/1.2, 2)</f>
        <v>74</v>
      </c>
      <c r="Y527" s="9">
        <f t="shared" ref="Y527:Y539" si="114">ROUND(S527 / 1.2, 2)</f>
        <v>0</v>
      </c>
      <c r="AD527" s="4" t="s">
        <v>1597</v>
      </c>
      <c r="AE527" s="4" t="s">
        <v>1598</v>
      </c>
      <c r="AF527" s="4" t="s">
        <v>496</v>
      </c>
    </row>
    <row r="528" spans="1:35" ht="36" x14ac:dyDescent="0.35">
      <c r="A528" s="44" t="s">
        <v>1599</v>
      </c>
      <c r="B528" s="44"/>
      <c r="C528" s="56" t="s">
        <v>493</v>
      </c>
      <c r="D528" s="46"/>
      <c r="E528" s="46"/>
      <c r="F528" s="57" t="s">
        <v>81</v>
      </c>
      <c r="G528" s="58">
        <v>0.15</v>
      </c>
      <c r="H528" s="46"/>
      <c r="I528" s="58">
        <v>22.215</v>
      </c>
      <c r="J528" s="59">
        <v>88.8</v>
      </c>
      <c r="K528" s="60"/>
      <c r="L528" s="60"/>
      <c r="M528" s="59">
        <f>ROUND(ROUND(J528, 2)*I528, 2)</f>
        <v>1972.69</v>
      </c>
      <c r="N528" s="60"/>
      <c r="O528" s="60"/>
      <c r="P528" s="59">
        <v>88.8</v>
      </c>
      <c r="Q528" s="60"/>
      <c r="R528" s="60"/>
      <c r="S528" s="59">
        <f>ROUND(ROUND(P528, 2)*I528, 2)</f>
        <v>1972.69</v>
      </c>
      <c r="T528" s="60"/>
      <c r="U528" s="61"/>
      <c r="V528" s="9">
        <f>ROUND(ROUND(P528, 2)/1.2, 2)</f>
        <v>74</v>
      </c>
      <c r="Y528" s="9">
        <f t="shared" si="114"/>
        <v>1643.91</v>
      </c>
      <c r="AD528" s="4" t="s">
        <v>1600</v>
      </c>
      <c r="AE528" s="4" t="s">
        <v>1598</v>
      </c>
      <c r="AF528" s="4" t="s">
        <v>496</v>
      </c>
    </row>
    <row r="529" spans="1:35" ht="36" x14ac:dyDescent="0.35">
      <c r="A529" s="38" t="s">
        <v>1601</v>
      </c>
      <c r="B529" s="38"/>
      <c r="C529" s="49" t="s">
        <v>887</v>
      </c>
      <c r="D529" s="40"/>
      <c r="E529" s="40"/>
      <c r="F529" s="50" t="s">
        <v>81</v>
      </c>
      <c r="G529" s="51">
        <v>1.5</v>
      </c>
      <c r="H529" s="40"/>
      <c r="I529" s="52">
        <v>0</v>
      </c>
      <c r="J529" s="53">
        <v>23</v>
      </c>
      <c r="K529" s="54"/>
      <c r="L529" s="54"/>
      <c r="M529" s="53">
        <f>ROUND(ROUND(J529, 2)*I529, 2)</f>
        <v>0</v>
      </c>
      <c r="N529" s="54"/>
      <c r="O529" s="54"/>
      <c r="P529" s="53">
        <v>12.58</v>
      </c>
      <c r="Q529" s="54"/>
      <c r="R529" s="54"/>
      <c r="S529" s="53">
        <f>ROUND(ROUND(P529, 2)*I529, 2)</f>
        <v>0</v>
      </c>
      <c r="T529" s="54"/>
      <c r="U529" s="55"/>
      <c r="V529" s="9">
        <f>ROUND(ROUND(P529, 2)/1.2, 2)</f>
        <v>10.48</v>
      </c>
      <c r="Y529" s="9">
        <f t="shared" si="114"/>
        <v>0</v>
      </c>
      <c r="AD529" s="4" t="s">
        <v>1602</v>
      </c>
      <c r="AE529" s="4" t="s">
        <v>1603</v>
      </c>
      <c r="AF529" s="4" t="s">
        <v>890</v>
      </c>
    </row>
    <row r="530" spans="1:35" ht="36" x14ac:dyDescent="0.35">
      <c r="A530" s="44" t="s">
        <v>1604</v>
      </c>
      <c r="B530" s="44"/>
      <c r="C530" s="56" t="s">
        <v>887</v>
      </c>
      <c r="D530" s="46"/>
      <c r="E530" s="46"/>
      <c r="F530" s="57" t="s">
        <v>81</v>
      </c>
      <c r="G530" s="58">
        <v>1.5</v>
      </c>
      <c r="H530" s="46"/>
      <c r="I530" s="58">
        <v>222.15</v>
      </c>
      <c r="J530" s="59">
        <v>23</v>
      </c>
      <c r="K530" s="60"/>
      <c r="L530" s="60"/>
      <c r="M530" s="59">
        <f>ROUND(ROUND(J530, 2)*I530, 2)</f>
        <v>5109.45</v>
      </c>
      <c r="N530" s="60"/>
      <c r="O530" s="60"/>
      <c r="P530" s="59">
        <v>12.58</v>
      </c>
      <c r="Q530" s="60"/>
      <c r="R530" s="60"/>
      <c r="S530" s="59">
        <f>ROUND(ROUND(P530, 2)*I530, 2)</f>
        <v>2794.65</v>
      </c>
      <c r="T530" s="60"/>
      <c r="U530" s="61"/>
      <c r="V530" s="9">
        <f>ROUND(ROUND(P530, 2)/1.2, 2)</f>
        <v>10.48</v>
      </c>
      <c r="Y530" s="9">
        <f t="shared" si="114"/>
        <v>2328.88</v>
      </c>
      <c r="AD530" s="4" t="s">
        <v>1605</v>
      </c>
      <c r="AE530" s="4" t="s">
        <v>1603</v>
      </c>
      <c r="AF530" s="4" t="s">
        <v>890</v>
      </c>
    </row>
    <row r="531" spans="1:35" ht="72" x14ac:dyDescent="0.35">
      <c r="A531" s="11" t="s">
        <v>1606</v>
      </c>
      <c r="B531" s="11" t="s">
        <v>1516</v>
      </c>
      <c r="C531" s="20" t="s">
        <v>1517</v>
      </c>
      <c r="D531" s="21"/>
      <c r="E531" s="21" t="s">
        <v>1607</v>
      </c>
      <c r="F531" s="21" t="s">
        <v>56</v>
      </c>
      <c r="G531" s="22">
        <v>1</v>
      </c>
      <c r="H531" s="21"/>
      <c r="I531" s="22">
        <v>860.08</v>
      </c>
      <c r="J531" s="23">
        <f>IFERROR(ROUND(SUM(M532,M533)/I531, 2),0)</f>
        <v>130</v>
      </c>
      <c r="K531" s="23">
        <v>790</v>
      </c>
      <c r="L531" s="23">
        <f>J531+ROUND(K531, 2)</f>
        <v>920</v>
      </c>
      <c r="M531" s="23">
        <f>ROUND(J531*I531, 2)</f>
        <v>111810.4</v>
      </c>
      <c r="N531" s="23">
        <f>ROUND(I531*ROUND(K531, 2), 2)</f>
        <v>679463.2</v>
      </c>
      <c r="O531" s="23">
        <f>M531+N531</f>
        <v>791273.6</v>
      </c>
      <c r="P531" s="23">
        <f>IFERROR(ROUND(SUM(S532,S533)/I531, 2),0)</f>
        <v>154.25</v>
      </c>
      <c r="Q531" s="23">
        <v>790</v>
      </c>
      <c r="R531" s="23">
        <f>P531+ROUND(Q531, 2)</f>
        <v>944.25</v>
      </c>
      <c r="S531" s="23">
        <f>ROUND(P531*I531, 2)</f>
        <v>132667.34</v>
      </c>
      <c r="T531" s="23">
        <f>ROUND(I531*ROUND(Q531, 2), 2)</f>
        <v>679463.2</v>
      </c>
      <c r="U531" s="23">
        <f>S531+T531</f>
        <v>812130.53999999992</v>
      </c>
      <c r="V531" s="9">
        <f>ROUND(P531 / 1.2, 2)</f>
        <v>128.54</v>
      </c>
      <c r="W531" s="9">
        <f>ROUND(Q531 / 1.2, 2)</f>
        <v>658.33</v>
      </c>
      <c r="X531" s="9">
        <f>ROUND(R531 / 1.2, 2)</f>
        <v>786.88</v>
      </c>
      <c r="Y531" s="9">
        <f t="shared" si="114"/>
        <v>110556.12</v>
      </c>
      <c r="Z531" s="9">
        <f>ROUND(T531 / 1.2, 2)</f>
        <v>566219.32999999996</v>
      </c>
      <c r="AA531" s="9">
        <f>Y531+Z531</f>
        <v>676775.45</v>
      </c>
      <c r="AD531" s="4">
        <v>303752517</v>
      </c>
      <c r="AE531" s="4">
        <v>21803396</v>
      </c>
      <c r="AG531" s="4" t="s">
        <v>1519</v>
      </c>
      <c r="AH531" s="4" t="s">
        <v>1520</v>
      </c>
      <c r="AI531" s="4" t="s">
        <v>247</v>
      </c>
    </row>
    <row r="532" spans="1:35" ht="18" x14ac:dyDescent="0.35">
      <c r="A532" s="11" t="s">
        <v>1608</v>
      </c>
      <c r="B532" s="11"/>
      <c r="C532" s="31" t="s">
        <v>316</v>
      </c>
      <c r="D532" s="21"/>
      <c r="E532" s="21"/>
      <c r="F532" s="32" t="s">
        <v>81</v>
      </c>
      <c r="G532" s="33">
        <v>0.15</v>
      </c>
      <c r="H532" s="21"/>
      <c r="I532" s="33">
        <v>129.012</v>
      </c>
      <c r="J532" s="35">
        <v>100</v>
      </c>
      <c r="K532" s="12"/>
      <c r="L532" s="12"/>
      <c r="M532" s="35">
        <f>ROUND(ROUND(J532, 2)*I532, 2)</f>
        <v>12901.2</v>
      </c>
      <c r="N532" s="12"/>
      <c r="O532" s="12"/>
      <c r="P532" s="35">
        <v>100</v>
      </c>
      <c r="Q532" s="12"/>
      <c r="R532" s="12"/>
      <c r="S532" s="35">
        <f>ROUND(ROUND(P532, 2)*I532, 2)</f>
        <v>12901.2</v>
      </c>
      <c r="T532" s="12"/>
      <c r="U532" s="36"/>
      <c r="V532" s="9">
        <f>ROUND(ROUND(P532, 2)/1.2, 2)</f>
        <v>83.33</v>
      </c>
      <c r="Y532" s="9">
        <f t="shared" si="114"/>
        <v>10751</v>
      </c>
      <c r="AD532" s="4" t="s">
        <v>1609</v>
      </c>
      <c r="AE532" s="4" t="s">
        <v>1610</v>
      </c>
      <c r="AF532" s="4" t="s">
        <v>319</v>
      </c>
    </row>
    <row r="533" spans="1:35" ht="18" x14ac:dyDescent="0.35">
      <c r="A533" s="11" t="s">
        <v>1611</v>
      </c>
      <c r="B533" s="11"/>
      <c r="C533" s="31" t="s">
        <v>854</v>
      </c>
      <c r="D533" s="21"/>
      <c r="E533" s="21"/>
      <c r="F533" s="32" t="s">
        <v>81</v>
      </c>
      <c r="G533" s="33">
        <v>5</v>
      </c>
      <c r="H533" s="21"/>
      <c r="I533" s="33">
        <v>4300.3999999999996</v>
      </c>
      <c r="J533" s="35">
        <v>23</v>
      </c>
      <c r="K533" s="12"/>
      <c r="L533" s="12"/>
      <c r="M533" s="35">
        <f>ROUND(ROUND(J533, 2)*I533, 2)</f>
        <v>98909.2</v>
      </c>
      <c r="N533" s="12"/>
      <c r="O533" s="12"/>
      <c r="P533" s="35">
        <v>27.85</v>
      </c>
      <c r="Q533" s="12"/>
      <c r="R533" s="12"/>
      <c r="S533" s="35">
        <f>ROUND(ROUND(P533, 2)*I533, 2)</f>
        <v>119766.14</v>
      </c>
      <c r="T533" s="12"/>
      <c r="U533" s="36"/>
      <c r="V533" s="9">
        <f>ROUND(ROUND(P533, 2)/1.2, 2)</f>
        <v>23.21</v>
      </c>
      <c r="Y533" s="9">
        <f t="shared" si="114"/>
        <v>99805.119999999995</v>
      </c>
      <c r="AD533" s="4" t="s">
        <v>1612</v>
      </c>
      <c r="AE533" s="4" t="s">
        <v>1613</v>
      </c>
      <c r="AF533" s="4" t="s">
        <v>858</v>
      </c>
    </row>
    <row r="534" spans="1:35" ht="54" x14ac:dyDescent="0.35">
      <c r="A534" s="11" t="s">
        <v>1614</v>
      </c>
      <c r="B534" s="11" t="s">
        <v>1615</v>
      </c>
      <c r="C534" s="20" t="s">
        <v>1616</v>
      </c>
      <c r="D534" s="21"/>
      <c r="E534" s="21" t="s">
        <v>1072</v>
      </c>
      <c r="F534" s="21" t="s">
        <v>56</v>
      </c>
      <c r="G534" s="22">
        <v>1</v>
      </c>
      <c r="H534" s="21"/>
      <c r="I534" s="22">
        <v>860.08</v>
      </c>
      <c r="J534" s="23">
        <f>IFERROR(ROUND(SUM(M535,M536)/I534, 2),0)</f>
        <v>35.03</v>
      </c>
      <c r="K534" s="23">
        <v>546</v>
      </c>
      <c r="L534" s="23">
        <f>J534+ROUND(K534, 2)</f>
        <v>581.03</v>
      </c>
      <c r="M534" s="23">
        <f>ROUND(J534*I534, 2)</f>
        <v>30128.6</v>
      </c>
      <c r="N534" s="23">
        <f>ROUND(I534*ROUND(K534, 2), 2)</f>
        <v>469603.68</v>
      </c>
      <c r="O534" s="23">
        <f>M534+N534</f>
        <v>499732.27999999997</v>
      </c>
      <c r="P534" s="23">
        <f>IFERROR(ROUND(SUM(S535,S536)/I534, 2),0)</f>
        <v>71.48</v>
      </c>
      <c r="Q534" s="23">
        <v>546</v>
      </c>
      <c r="R534" s="23">
        <f>P534+ROUND(Q534, 2)</f>
        <v>617.48</v>
      </c>
      <c r="S534" s="23">
        <f>ROUND(P534*I534, 2)</f>
        <v>61478.52</v>
      </c>
      <c r="T534" s="23">
        <f>ROUND(I534*ROUND(Q534, 2), 2)</f>
        <v>469603.68</v>
      </c>
      <c r="U534" s="23">
        <f>S534+T534</f>
        <v>531082.19999999995</v>
      </c>
      <c r="V534" s="9">
        <f>ROUND(P534 / 1.2, 2)</f>
        <v>59.57</v>
      </c>
      <c r="W534" s="9">
        <f>ROUND(Q534 / 1.2, 2)</f>
        <v>455</v>
      </c>
      <c r="X534" s="9">
        <f>ROUND(R534 / 1.2, 2)</f>
        <v>514.57000000000005</v>
      </c>
      <c r="Y534" s="9">
        <f t="shared" si="114"/>
        <v>51232.1</v>
      </c>
      <c r="Z534" s="9">
        <f>ROUND(T534 / 1.2, 2)</f>
        <v>391336.4</v>
      </c>
      <c r="AA534" s="9">
        <f>Y534+Z534</f>
        <v>442568.5</v>
      </c>
      <c r="AD534" s="4">
        <v>303752446</v>
      </c>
      <c r="AE534" s="4">
        <v>21803398</v>
      </c>
      <c r="AG534" s="4" t="s">
        <v>1617</v>
      </c>
      <c r="AH534" s="4" t="s">
        <v>1618</v>
      </c>
      <c r="AI534" s="4" t="s">
        <v>247</v>
      </c>
    </row>
    <row r="535" spans="1:35" ht="54" x14ac:dyDescent="0.35">
      <c r="A535" s="11" t="s">
        <v>1619</v>
      </c>
      <c r="B535" s="11"/>
      <c r="C535" s="37" t="s">
        <v>1620</v>
      </c>
      <c r="D535" s="21"/>
      <c r="E535" s="21" t="s">
        <v>1049</v>
      </c>
      <c r="F535" s="32" t="s">
        <v>81</v>
      </c>
      <c r="G535" s="33">
        <v>1.8</v>
      </c>
      <c r="H535" s="21"/>
      <c r="I535" s="33">
        <v>1548.144</v>
      </c>
      <c r="J535" s="35">
        <v>12.06</v>
      </c>
      <c r="K535" s="12"/>
      <c r="L535" s="12"/>
      <c r="M535" s="35">
        <f>ROUND(ROUND(J535, 2)*I535, 2)</f>
        <v>18670.62</v>
      </c>
      <c r="N535" s="12"/>
      <c r="O535" s="12"/>
      <c r="P535" s="35">
        <v>32.31</v>
      </c>
      <c r="Q535" s="12"/>
      <c r="R535" s="12"/>
      <c r="S535" s="35">
        <f>ROUND(ROUND(P535, 2)*I535, 2)</f>
        <v>50020.53</v>
      </c>
      <c r="T535" s="12"/>
      <c r="U535" s="36"/>
      <c r="V535" s="9">
        <f>ROUND(ROUND(P535, 2)/1.2, 2)</f>
        <v>26.93</v>
      </c>
      <c r="Y535" s="9">
        <f t="shared" si="114"/>
        <v>41683.78</v>
      </c>
      <c r="AD535" s="4" t="s">
        <v>1621</v>
      </c>
      <c r="AE535" s="4" t="s">
        <v>1622</v>
      </c>
      <c r="AF535" s="4" t="s">
        <v>1623</v>
      </c>
    </row>
    <row r="536" spans="1:35" ht="36" x14ac:dyDescent="0.35">
      <c r="A536" s="11" t="s">
        <v>1624</v>
      </c>
      <c r="B536" s="11"/>
      <c r="C536" s="31" t="s">
        <v>258</v>
      </c>
      <c r="D536" s="21"/>
      <c r="E536" s="21"/>
      <c r="F536" s="32" t="s">
        <v>81</v>
      </c>
      <c r="G536" s="33">
        <v>0.15</v>
      </c>
      <c r="H536" s="21"/>
      <c r="I536" s="33">
        <v>129.012</v>
      </c>
      <c r="J536" s="35">
        <v>88.8</v>
      </c>
      <c r="K536" s="12"/>
      <c r="L536" s="12"/>
      <c r="M536" s="35">
        <f>ROUND(ROUND(J536, 2)*I536, 2)</f>
        <v>11456.27</v>
      </c>
      <c r="N536" s="12"/>
      <c r="O536" s="12"/>
      <c r="P536" s="35">
        <v>88.8</v>
      </c>
      <c r="Q536" s="12"/>
      <c r="R536" s="12"/>
      <c r="S536" s="35">
        <f>ROUND(ROUND(P536, 2)*I536, 2)</f>
        <v>11456.27</v>
      </c>
      <c r="T536" s="12"/>
      <c r="U536" s="36"/>
      <c r="V536" s="9">
        <f>ROUND(ROUND(P536, 2)/1.2, 2)</f>
        <v>74</v>
      </c>
      <c r="Y536" s="9">
        <f t="shared" si="114"/>
        <v>9546.89</v>
      </c>
      <c r="AD536" s="4" t="s">
        <v>1625</v>
      </c>
      <c r="AE536" s="4" t="s">
        <v>1626</v>
      </c>
      <c r="AF536" s="4" t="s">
        <v>261</v>
      </c>
    </row>
    <row r="537" spans="1:35" ht="36" x14ac:dyDescent="0.35">
      <c r="A537" s="11" t="s">
        <v>1627</v>
      </c>
      <c r="B537" s="11" t="s">
        <v>1615</v>
      </c>
      <c r="C537" s="20" t="s">
        <v>1616</v>
      </c>
      <c r="D537" s="21"/>
      <c r="E537" s="21" t="s">
        <v>1628</v>
      </c>
      <c r="F537" s="21" t="s">
        <v>56</v>
      </c>
      <c r="G537" s="22">
        <v>1</v>
      </c>
      <c r="H537" s="21"/>
      <c r="I537" s="22">
        <v>860.08</v>
      </c>
      <c r="J537" s="23">
        <f>IFERROR(ROUND(SUM(M538,M539)/I537, 2),0)</f>
        <v>35.03</v>
      </c>
      <c r="K537" s="23">
        <v>546</v>
      </c>
      <c r="L537" s="23">
        <f>J537+ROUND(K537, 2)</f>
        <v>581.03</v>
      </c>
      <c r="M537" s="23">
        <f>ROUND(J537*I537, 2)</f>
        <v>30128.6</v>
      </c>
      <c r="N537" s="23">
        <f>ROUND(I537*ROUND(K537, 2), 2)</f>
        <v>469603.68</v>
      </c>
      <c r="O537" s="23">
        <f>M537+N537</f>
        <v>499732.27999999997</v>
      </c>
      <c r="P537" s="23">
        <f>IFERROR(ROUND(SUM(S538,S539)/I537, 2),0)</f>
        <v>71.48</v>
      </c>
      <c r="Q537" s="23">
        <v>546</v>
      </c>
      <c r="R537" s="23">
        <f>P537+ROUND(Q537, 2)</f>
        <v>617.48</v>
      </c>
      <c r="S537" s="23">
        <f>ROUND(P537*I537, 2)</f>
        <v>61478.52</v>
      </c>
      <c r="T537" s="23">
        <f>ROUND(I537*ROUND(Q537, 2), 2)</f>
        <v>469603.68</v>
      </c>
      <c r="U537" s="23">
        <f>S537+T537</f>
        <v>531082.19999999995</v>
      </c>
      <c r="V537" s="9">
        <f>ROUND(P537 / 1.2, 2)</f>
        <v>59.57</v>
      </c>
      <c r="W537" s="9">
        <f>ROUND(Q537 / 1.2, 2)</f>
        <v>455</v>
      </c>
      <c r="X537" s="9">
        <f>ROUND(R537 / 1.2, 2)</f>
        <v>514.57000000000005</v>
      </c>
      <c r="Y537" s="9">
        <f t="shared" si="114"/>
        <v>51232.1</v>
      </c>
      <c r="Z537" s="9">
        <f>ROUND(T537 / 1.2, 2)</f>
        <v>391336.4</v>
      </c>
      <c r="AA537" s="9">
        <f>Y537+Z537</f>
        <v>442568.5</v>
      </c>
      <c r="AD537" s="4">
        <v>303752518</v>
      </c>
      <c r="AE537" s="4">
        <v>21803397</v>
      </c>
      <c r="AG537" s="4" t="s">
        <v>1617</v>
      </c>
      <c r="AH537" s="4" t="s">
        <v>1618</v>
      </c>
      <c r="AI537" s="4" t="s">
        <v>247</v>
      </c>
    </row>
    <row r="538" spans="1:35" ht="36" x14ac:dyDescent="0.35">
      <c r="A538" s="11" t="s">
        <v>1629</v>
      </c>
      <c r="B538" s="11"/>
      <c r="C538" s="31" t="s">
        <v>258</v>
      </c>
      <c r="D538" s="21"/>
      <c r="E538" s="21"/>
      <c r="F538" s="32" t="s">
        <v>81</v>
      </c>
      <c r="G538" s="33">
        <v>0.15</v>
      </c>
      <c r="H538" s="21"/>
      <c r="I538" s="33">
        <v>129.012</v>
      </c>
      <c r="J538" s="35">
        <v>88.8</v>
      </c>
      <c r="K538" s="12"/>
      <c r="L538" s="12"/>
      <c r="M538" s="35">
        <f>ROUND(ROUND(J538, 2)*I538, 2)</f>
        <v>11456.27</v>
      </c>
      <c r="N538" s="12"/>
      <c r="O538" s="12"/>
      <c r="P538" s="35">
        <v>88.8</v>
      </c>
      <c r="Q538" s="12"/>
      <c r="R538" s="12"/>
      <c r="S538" s="35">
        <f>ROUND(ROUND(P538, 2)*I538, 2)</f>
        <v>11456.27</v>
      </c>
      <c r="T538" s="12"/>
      <c r="U538" s="36"/>
      <c r="V538" s="9">
        <f>ROUND(ROUND(P538, 2)/1.2, 2)</f>
        <v>74</v>
      </c>
      <c r="Y538" s="9">
        <f t="shared" si="114"/>
        <v>9546.89</v>
      </c>
      <c r="AD538" s="4" t="s">
        <v>1630</v>
      </c>
      <c r="AE538" s="4" t="s">
        <v>1631</v>
      </c>
      <c r="AF538" s="4" t="s">
        <v>261</v>
      </c>
    </row>
    <row r="539" spans="1:35" ht="54" x14ac:dyDescent="0.35">
      <c r="A539" s="11" t="s">
        <v>1632</v>
      </c>
      <c r="B539" s="11"/>
      <c r="C539" s="37" t="s">
        <v>1620</v>
      </c>
      <c r="D539" s="21"/>
      <c r="E539" s="21" t="s">
        <v>1049</v>
      </c>
      <c r="F539" s="32" t="s">
        <v>81</v>
      </c>
      <c r="G539" s="33">
        <v>1.8</v>
      </c>
      <c r="H539" s="21"/>
      <c r="I539" s="33">
        <v>1548.144</v>
      </c>
      <c r="J539" s="35">
        <v>12.06</v>
      </c>
      <c r="K539" s="12"/>
      <c r="L539" s="12"/>
      <c r="M539" s="35">
        <f>ROUND(ROUND(J539, 2)*I539, 2)</f>
        <v>18670.62</v>
      </c>
      <c r="N539" s="12"/>
      <c r="O539" s="12"/>
      <c r="P539" s="35">
        <v>32.31</v>
      </c>
      <c r="Q539" s="12"/>
      <c r="R539" s="12"/>
      <c r="S539" s="35">
        <f>ROUND(ROUND(P539, 2)*I539, 2)</f>
        <v>50020.53</v>
      </c>
      <c r="T539" s="12"/>
      <c r="U539" s="36"/>
      <c r="V539" s="9">
        <f>ROUND(ROUND(P539, 2)/1.2, 2)</f>
        <v>26.93</v>
      </c>
      <c r="Y539" s="9">
        <f t="shared" si="114"/>
        <v>41683.78</v>
      </c>
      <c r="AD539" s="4" t="s">
        <v>1633</v>
      </c>
      <c r="AE539" s="4" t="s">
        <v>1634</v>
      </c>
      <c r="AF539" s="4" t="s">
        <v>1623</v>
      </c>
    </row>
    <row r="540" spans="1:35" ht="17" customHeight="1" x14ac:dyDescent="0.35">
      <c r="A540" s="10" t="s">
        <v>1635</v>
      </c>
      <c r="B540" s="10" t="s">
        <v>1636</v>
      </c>
      <c r="C540" s="100" t="s">
        <v>1637</v>
      </c>
      <c r="D540" s="101"/>
      <c r="E540" s="101"/>
      <c r="F540" s="101"/>
      <c r="G540" s="101"/>
      <c r="H540" s="101"/>
      <c r="I540" s="102"/>
      <c r="M540" s="6">
        <f>SUM(M541,M547,M553,M556)</f>
        <v>18444.07</v>
      </c>
      <c r="N540" s="6">
        <f>SUM(N541,N547,N553,N556)</f>
        <v>642496.16</v>
      </c>
      <c r="O540" s="6">
        <f>SUM(O541,O547,O553,O556)</f>
        <v>660940.23</v>
      </c>
      <c r="S540" s="6">
        <f>SUM(S541,S547,S553,S556)</f>
        <v>170759.97</v>
      </c>
      <c r="T540" s="6">
        <f>SUM(T541,T547,T553,T556)</f>
        <v>642496.16</v>
      </c>
      <c r="U540" s="6">
        <f>SUM(U541,U547,U553,U556)</f>
        <v>813256.13</v>
      </c>
      <c r="Y540" s="9">
        <f>SUM(Y541,Y547,Y553,Y556)</f>
        <v>142299.98000000001</v>
      </c>
      <c r="Z540" s="9">
        <f>SUM(Z541,Z547,Z553,Z556)</f>
        <v>535413.46</v>
      </c>
      <c r="AA540" s="9">
        <f>SUM(AA541,AA547,AA553,AA556)</f>
        <v>677713.44</v>
      </c>
      <c r="AD540" s="4">
        <v>303752447</v>
      </c>
      <c r="AE540" s="4">
        <v>16082936</v>
      </c>
    </row>
    <row r="541" spans="1:35" ht="54" x14ac:dyDescent="0.35">
      <c r="A541" s="38" t="s">
        <v>1638</v>
      </c>
      <c r="B541" s="38" t="s">
        <v>1639</v>
      </c>
      <c r="C541" s="39" t="s">
        <v>1640</v>
      </c>
      <c r="D541" s="40"/>
      <c r="E541" s="40" t="s">
        <v>1641</v>
      </c>
      <c r="F541" s="40" t="s">
        <v>56</v>
      </c>
      <c r="G541" s="41">
        <v>1</v>
      </c>
      <c r="H541" s="40"/>
      <c r="I541" s="42">
        <v>0</v>
      </c>
      <c r="J541" s="43">
        <f>IFERROR(ROUND(SUM(M543,M545)/I541, 2),0)</f>
        <v>0</v>
      </c>
      <c r="K541" s="43">
        <v>306</v>
      </c>
      <c r="L541" s="43">
        <f>J541+ROUND(K541, 2)</f>
        <v>306</v>
      </c>
      <c r="M541" s="43">
        <f>ROUND(J541*I541, 2)</f>
        <v>0</v>
      </c>
      <c r="N541" s="43">
        <f>ROUND(I541*ROUND(K541, 2), 2)</f>
        <v>0</v>
      </c>
      <c r="O541" s="43">
        <f>M541+N541</f>
        <v>0</v>
      </c>
      <c r="P541" s="43">
        <f>IFERROR(ROUND(SUM(S543,S545)/I541, 2),0)</f>
        <v>0</v>
      </c>
      <c r="Q541" s="43">
        <v>278</v>
      </c>
      <c r="R541" s="43">
        <f>P541+ROUND(Q541, 2)</f>
        <v>278</v>
      </c>
      <c r="S541" s="43">
        <f>ROUND(P541*I541, 2)</f>
        <v>0</v>
      </c>
      <c r="T541" s="43">
        <f>ROUND(I541*ROUND(Q541, 2), 2)</f>
        <v>0</v>
      </c>
      <c r="U541" s="43">
        <f>S541+T541</f>
        <v>0</v>
      </c>
      <c r="V541" s="9">
        <f>ROUND(P541 / 1.2, 2)</f>
        <v>0</v>
      </c>
      <c r="W541" s="9">
        <f>ROUND(Q541 / 1.2, 2)</f>
        <v>231.67</v>
      </c>
      <c r="X541" s="9">
        <f>ROUND(R541 / 1.2, 2)</f>
        <v>231.67</v>
      </c>
      <c r="Y541" s="9">
        <f>ROUND(S541 / 1.2, 2)</f>
        <v>0</v>
      </c>
      <c r="Z541" s="9">
        <f>ROUND(T541 / 1.2, 2)</f>
        <v>0</v>
      </c>
      <c r="AA541" s="9">
        <f>Y541+Z541</f>
        <v>0</v>
      </c>
      <c r="AD541" s="4">
        <v>303752449</v>
      </c>
      <c r="AE541" s="4">
        <v>16082938</v>
      </c>
      <c r="AG541" s="4" t="s">
        <v>1642</v>
      </c>
      <c r="AH541" s="4" t="s">
        <v>1643</v>
      </c>
      <c r="AI541" s="4" t="s">
        <v>247</v>
      </c>
    </row>
    <row r="542" spans="1:35" ht="54" x14ac:dyDescent="0.35">
      <c r="A542" s="44" t="s">
        <v>1644</v>
      </c>
      <c r="B542" s="44" t="s">
        <v>1639</v>
      </c>
      <c r="C542" s="45" t="s">
        <v>1640</v>
      </c>
      <c r="D542" s="46"/>
      <c r="E542" s="46" t="s">
        <v>1641</v>
      </c>
      <c r="F542" s="46" t="s">
        <v>56</v>
      </c>
      <c r="G542" s="47">
        <v>1</v>
      </c>
      <c r="H542" s="46"/>
      <c r="I542" s="47">
        <v>972.9</v>
      </c>
      <c r="J542" s="48">
        <v>0</v>
      </c>
      <c r="K542" s="48">
        <v>278</v>
      </c>
      <c r="L542" s="48"/>
      <c r="M542" s="48">
        <v>0</v>
      </c>
      <c r="N542" s="48"/>
      <c r="O542" s="48"/>
      <c r="P542" s="48">
        <v>0</v>
      </c>
      <c r="Q542" s="48">
        <v>278</v>
      </c>
      <c r="R542" s="48"/>
      <c r="S542" s="48">
        <v>0</v>
      </c>
      <c r="T542" s="48"/>
      <c r="U542" s="48"/>
      <c r="V542" s="9"/>
      <c r="W542" s="9">
        <f>ROUND(Q542 / 1.2, 2)</f>
        <v>231.67</v>
      </c>
      <c r="X542" s="9">
        <f>ROUND(R542 / 1.2, 2)</f>
        <v>0</v>
      </c>
      <c r="Y542" s="9"/>
      <c r="Z542" s="9">
        <f>ROUND(T542 / 1.2, 2)</f>
        <v>0</v>
      </c>
      <c r="AA542" s="9"/>
      <c r="AD542" s="4">
        <v>204395683</v>
      </c>
      <c r="AE542" s="4">
        <v>16082938</v>
      </c>
      <c r="AG542" s="4" t="s">
        <v>1642</v>
      </c>
      <c r="AH542" s="4" t="s">
        <v>1643</v>
      </c>
      <c r="AI542" s="4"/>
    </row>
    <row r="543" spans="1:35" ht="90" x14ac:dyDescent="0.35">
      <c r="A543" s="38" t="s">
        <v>1645</v>
      </c>
      <c r="B543" s="38"/>
      <c r="C543" s="49" t="s">
        <v>1646</v>
      </c>
      <c r="D543" s="40"/>
      <c r="E543" s="40" t="s">
        <v>1647</v>
      </c>
      <c r="F543" s="50" t="s">
        <v>81</v>
      </c>
      <c r="G543" s="51">
        <v>0.3</v>
      </c>
      <c r="H543" s="40"/>
      <c r="I543" s="62">
        <v>0</v>
      </c>
      <c r="J543" s="53">
        <v>226.67</v>
      </c>
      <c r="K543" s="54"/>
      <c r="L543" s="54"/>
      <c r="M543" s="53">
        <f>ROUND(ROUND(J543, 2)*I543, 2)</f>
        <v>0</v>
      </c>
      <c r="N543" s="54"/>
      <c r="O543" s="54"/>
      <c r="P543" s="53">
        <v>135.36000000000001</v>
      </c>
      <c r="Q543" s="54"/>
      <c r="R543" s="54"/>
      <c r="S543" s="53">
        <f>ROUND(ROUND(P543, 2)*I543, 2)</f>
        <v>0</v>
      </c>
      <c r="T543" s="54"/>
      <c r="U543" s="55"/>
      <c r="V543" s="9">
        <f>ROUND(ROUND(P543, 2)/1.2, 2)</f>
        <v>112.8</v>
      </c>
      <c r="Y543" s="9">
        <f>ROUND(S543 / 1.2, 2)</f>
        <v>0</v>
      </c>
      <c r="AD543" s="4" t="s">
        <v>1648</v>
      </c>
      <c r="AE543" s="4" t="s">
        <v>1649</v>
      </c>
      <c r="AF543" s="4" t="s">
        <v>1650</v>
      </c>
    </row>
    <row r="544" spans="1:35" ht="90" x14ac:dyDescent="0.35">
      <c r="A544" s="44" t="s">
        <v>1651</v>
      </c>
      <c r="B544" s="44"/>
      <c r="C544" s="56" t="s">
        <v>1646</v>
      </c>
      <c r="D544" s="46"/>
      <c r="E544" s="46" t="s">
        <v>1647</v>
      </c>
      <c r="F544" s="57" t="s">
        <v>81</v>
      </c>
      <c r="G544" s="58">
        <v>0.3</v>
      </c>
      <c r="H544" s="46"/>
      <c r="I544" s="63">
        <v>291.87</v>
      </c>
      <c r="J544" s="59">
        <v>226.67</v>
      </c>
      <c r="K544" s="60"/>
      <c r="L544" s="60"/>
      <c r="M544" s="59">
        <f>ROUND(ROUND(J544, 2)*I544, 2)</f>
        <v>66158.17</v>
      </c>
      <c r="N544" s="60"/>
      <c r="O544" s="60"/>
      <c r="P544" s="59">
        <v>135.36000000000001</v>
      </c>
      <c r="Q544" s="60"/>
      <c r="R544" s="60"/>
      <c r="S544" s="59">
        <f>ROUND(ROUND(P544, 2)*I544, 2)</f>
        <v>39507.519999999997</v>
      </c>
      <c r="T544" s="60"/>
      <c r="U544" s="61"/>
      <c r="V544" s="9">
        <f>ROUND(ROUND(P544, 2)/1.2, 2)</f>
        <v>112.8</v>
      </c>
      <c r="Y544" s="9">
        <f>ROUND(S544 / 1.2, 2)</f>
        <v>32922.93</v>
      </c>
      <c r="AD544" s="4" t="s">
        <v>1652</v>
      </c>
      <c r="AE544" s="4" t="s">
        <v>1649</v>
      </c>
      <c r="AF544" s="4" t="s">
        <v>1650</v>
      </c>
    </row>
    <row r="545" spans="1:35" ht="36" x14ac:dyDescent="0.35">
      <c r="A545" s="38" t="s">
        <v>1653</v>
      </c>
      <c r="B545" s="38"/>
      <c r="C545" s="49" t="s">
        <v>493</v>
      </c>
      <c r="D545" s="40"/>
      <c r="E545" s="40"/>
      <c r="F545" s="50" t="s">
        <v>81</v>
      </c>
      <c r="G545" s="51">
        <v>0.15</v>
      </c>
      <c r="H545" s="40"/>
      <c r="I545" s="62">
        <v>0</v>
      </c>
      <c r="J545" s="53">
        <v>88.8</v>
      </c>
      <c r="K545" s="54"/>
      <c r="L545" s="54"/>
      <c r="M545" s="53">
        <f>ROUND(ROUND(J545, 2)*I545, 2)</f>
        <v>0</v>
      </c>
      <c r="N545" s="54"/>
      <c r="O545" s="54"/>
      <c r="P545" s="53">
        <v>88.8</v>
      </c>
      <c r="Q545" s="54"/>
      <c r="R545" s="54"/>
      <c r="S545" s="53">
        <f>ROUND(ROUND(P545, 2)*I545, 2)</f>
        <v>0</v>
      </c>
      <c r="T545" s="54"/>
      <c r="U545" s="55"/>
      <c r="V545" s="9">
        <f>ROUND(ROUND(P545, 2)/1.2, 2)</f>
        <v>74</v>
      </c>
      <c r="Y545" s="9">
        <f>ROUND(S545 / 1.2, 2)</f>
        <v>0</v>
      </c>
      <c r="AD545" s="4" t="s">
        <v>1654</v>
      </c>
      <c r="AE545" s="4" t="s">
        <v>1655</v>
      </c>
      <c r="AF545" s="4" t="s">
        <v>496</v>
      </c>
    </row>
    <row r="546" spans="1:35" ht="36" x14ac:dyDescent="0.35">
      <c r="A546" s="44" t="s">
        <v>1656</v>
      </c>
      <c r="B546" s="44"/>
      <c r="C546" s="56" t="s">
        <v>493</v>
      </c>
      <c r="D546" s="46"/>
      <c r="E546" s="46"/>
      <c r="F546" s="57" t="s">
        <v>81</v>
      </c>
      <c r="G546" s="58">
        <v>0.15</v>
      </c>
      <c r="H546" s="46"/>
      <c r="I546" s="63">
        <v>145.935</v>
      </c>
      <c r="J546" s="59">
        <v>88.8</v>
      </c>
      <c r="K546" s="60"/>
      <c r="L546" s="60"/>
      <c r="M546" s="59">
        <f>ROUND(ROUND(J546, 2)*I546, 2)</f>
        <v>12959.03</v>
      </c>
      <c r="N546" s="60"/>
      <c r="O546" s="60"/>
      <c r="P546" s="59">
        <v>88.8</v>
      </c>
      <c r="Q546" s="60"/>
      <c r="R546" s="60"/>
      <c r="S546" s="59">
        <f>ROUND(ROUND(P546, 2)*I546, 2)</f>
        <v>12959.03</v>
      </c>
      <c r="T546" s="60"/>
      <c r="U546" s="61"/>
      <c r="V546" s="9">
        <f>ROUND(ROUND(P546, 2)/1.2, 2)</f>
        <v>74</v>
      </c>
      <c r="Y546" s="9">
        <f>ROUND(S546 / 1.2, 2)</f>
        <v>10799.19</v>
      </c>
      <c r="AD546" s="4" t="s">
        <v>1657</v>
      </c>
      <c r="AE546" s="4" t="s">
        <v>1655</v>
      </c>
      <c r="AF546" s="4" t="s">
        <v>496</v>
      </c>
    </row>
    <row r="547" spans="1:35" ht="54" x14ac:dyDescent="0.35">
      <c r="A547" s="38" t="s">
        <v>1658</v>
      </c>
      <c r="B547" s="38" t="s">
        <v>1639</v>
      </c>
      <c r="C547" s="39" t="s">
        <v>1640</v>
      </c>
      <c r="D547" s="40"/>
      <c r="E547" s="40" t="s">
        <v>526</v>
      </c>
      <c r="F547" s="40" t="s">
        <v>56</v>
      </c>
      <c r="G547" s="41">
        <v>1</v>
      </c>
      <c r="H547" s="40"/>
      <c r="I547" s="42">
        <v>0</v>
      </c>
      <c r="J547" s="43">
        <f>IFERROR(ROUND(SUM(M549,M551)/I547, 2),0)</f>
        <v>0</v>
      </c>
      <c r="K547" s="43">
        <v>306</v>
      </c>
      <c r="L547" s="43">
        <f>J547+ROUND(K547, 2)</f>
        <v>306</v>
      </c>
      <c r="M547" s="43">
        <f>ROUND(J547*I547, 2)</f>
        <v>0</v>
      </c>
      <c r="N547" s="43">
        <f>ROUND(I547*ROUND(K547, 2), 2)</f>
        <v>0</v>
      </c>
      <c r="O547" s="43">
        <f>M547+N547</f>
        <v>0</v>
      </c>
      <c r="P547" s="43">
        <f>IFERROR(ROUND(SUM(S549,S551)/I547, 2),0)</f>
        <v>0</v>
      </c>
      <c r="Q547" s="43">
        <v>278</v>
      </c>
      <c r="R547" s="43">
        <f>P547+ROUND(Q547, 2)</f>
        <v>278</v>
      </c>
      <c r="S547" s="43">
        <f>ROUND(P547*I547, 2)</f>
        <v>0</v>
      </c>
      <c r="T547" s="43">
        <f>ROUND(I547*ROUND(Q547, 2), 2)</f>
        <v>0</v>
      </c>
      <c r="U547" s="43">
        <f>S547+T547</f>
        <v>0</v>
      </c>
      <c r="V547" s="9">
        <f>ROUND(P547 / 1.2, 2)</f>
        <v>0</v>
      </c>
      <c r="W547" s="9">
        <f>ROUND(Q547 / 1.2, 2)</f>
        <v>231.67</v>
      </c>
      <c r="X547" s="9">
        <f>ROUND(R547 / 1.2, 2)</f>
        <v>231.67</v>
      </c>
      <c r="Y547" s="9">
        <f>ROUND(S547 / 1.2, 2)</f>
        <v>0</v>
      </c>
      <c r="Z547" s="9">
        <f>ROUND(T547 / 1.2, 2)</f>
        <v>0</v>
      </c>
      <c r="AA547" s="9">
        <f>Y547+Z547</f>
        <v>0</v>
      </c>
      <c r="AD547" s="4">
        <v>303752519</v>
      </c>
      <c r="AE547" s="4">
        <v>16088066</v>
      </c>
      <c r="AG547" s="4" t="s">
        <v>1642</v>
      </c>
      <c r="AH547" s="4" t="s">
        <v>1643</v>
      </c>
      <c r="AI547" s="4" t="s">
        <v>247</v>
      </c>
    </row>
    <row r="548" spans="1:35" ht="54" x14ac:dyDescent="0.35">
      <c r="A548" s="44" t="s">
        <v>1659</v>
      </c>
      <c r="B548" s="44" t="s">
        <v>1639</v>
      </c>
      <c r="C548" s="45" t="s">
        <v>1640</v>
      </c>
      <c r="D548" s="46"/>
      <c r="E548" s="46" t="s">
        <v>526</v>
      </c>
      <c r="F548" s="46" t="s">
        <v>56</v>
      </c>
      <c r="G548" s="47">
        <v>1</v>
      </c>
      <c r="H548" s="46"/>
      <c r="I548" s="47">
        <v>148.1</v>
      </c>
      <c r="J548" s="48">
        <v>0</v>
      </c>
      <c r="K548" s="48">
        <v>278</v>
      </c>
      <c r="L548" s="48"/>
      <c r="M548" s="48">
        <v>0</v>
      </c>
      <c r="N548" s="48"/>
      <c r="O548" s="48"/>
      <c r="P548" s="48">
        <v>0</v>
      </c>
      <c r="Q548" s="48">
        <v>278</v>
      </c>
      <c r="R548" s="48"/>
      <c r="S548" s="48">
        <v>0</v>
      </c>
      <c r="T548" s="48"/>
      <c r="U548" s="48"/>
      <c r="V548" s="9"/>
      <c r="W548" s="9">
        <f>ROUND(Q548 / 1.2, 2)</f>
        <v>231.67</v>
      </c>
      <c r="X548" s="9">
        <f>ROUND(R548 / 1.2, 2)</f>
        <v>0</v>
      </c>
      <c r="Y548" s="9"/>
      <c r="Z548" s="9">
        <f>ROUND(T548 / 1.2, 2)</f>
        <v>0</v>
      </c>
      <c r="AA548" s="9"/>
      <c r="AD548" s="4">
        <v>204426457</v>
      </c>
      <c r="AE548" s="4">
        <v>16088066</v>
      </c>
      <c r="AG548" s="4" t="s">
        <v>1642</v>
      </c>
      <c r="AH548" s="4" t="s">
        <v>1643</v>
      </c>
      <c r="AI548" s="4"/>
    </row>
    <row r="549" spans="1:35" ht="36" x14ac:dyDescent="0.35">
      <c r="A549" s="38" t="s">
        <v>1660</v>
      </c>
      <c r="B549" s="38"/>
      <c r="C549" s="49" t="s">
        <v>493</v>
      </c>
      <c r="D549" s="40"/>
      <c r="E549" s="40"/>
      <c r="F549" s="50" t="s">
        <v>81</v>
      </c>
      <c r="G549" s="51">
        <v>0.15</v>
      </c>
      <c r="H549" s="40"/>
      <c r="I549" s="62">
        <v>0</v>
      </c>
      <c r="J549" s="53">
        <v>88.8</v>
      </c>
      <c r="K549" s="54"/>
      <c r="L549" s="54"/>
      <c r="M549" s="53">
        <f>ROUND(ROUND(J549, 2)*I549, 2)</f>
        <v>0</v>
      </c>
      <c r="N549" s="54"/>
      <c r="O549" s="54"/>
      <c r="P549" s="53">
        <v>88.8</v>
      </c>
      <c r="Q549" s="54"/>
      <c r="R549" s="54"/>
      <c r="S549" s="53">
        <f>ROUND(ROUND(P549, 2)*I549, 2)</f>
        <v>0</v>
      </c>
      <c r="T549" s="54"/>
      <c r="U549" s="55"/>
      <c r="V549" s="9">
        <f>ROUND(ROUND(P549, 2)/1.2, 2)</f>
        <v>74</v>
      </c>
      <c r="Y549" s="9">
        <f t="shared" ref="Y549:Y558" si="115">ROUND(S549 / 1.2, 2)</f>
        <v>0</v>
      </c>
      <c r="AD549" s="4" t="s">
        <v>1661</v>
      </c>
      <c r="AE549" s="4" t="s">
        <v>1662</v>
      </c>
      <c r="AF549" s="4" t="s">
        <v>496</v>
      </c>
    </row>
    <row r="550" spans="1:35" ht="36" x14ac:dyDescent="0.35">
      <c r="A550" s="44" t="s">
        <v>1663</v>
      </c>
      <c r="B550" s="44"/>
      <c r="C550" s="56" t="s">
        <v>493</v>
      </c>
      <c r="D550" s="46"/>
      <c r="E550" s="46"/>
      <c r="F550" s="57" t="s">
        <v>81</v>
      </c>
      <c r="G550" s="58">
        <v>0.15</v>
      </c>
      <c r="H550" s="46"/>
      <c r="I550" s="63">
        <v>22.215</v>
      </c>
      <c r="J550" s="59">
        <v>88.8</v>
      </c>
      <c r="K550" s="60"/>
      <c r="L550" s="60"/>
      <c r="M550" s="59">
        <f>ROUND(ROUND(J550, 2)*I550, 2)</f>
        <v>1972.69</v>
      </c>
      <c r="N550" s="60"/>
      <c r="O550" s="60"/>
      <c r="P550" s="59">
        <v>88.8</v>
      </c>
      <c r="Q550" s="60"/>
      <c r="R550" s="60"/>
      <c r="S550" s="59">
        <f>ROUND(ROUND(P550, 2)*I550, 2)</f>
        <v>1972.69</v>
      </c>
      <c r="T550" s="60"/>
      <c r="U550" s="61"/>
      <c r="V550" s="9">
        <f>ROUND(ROUND(P550, 2)/1.2, 2)</f>
        <v>74</v>
      </c>
      <c r="Y550" s="9">
        <f t="shared" si="115"/>
        <v>1643.91</v>
      </c>
      <c r="AD550" s="4" t="s">
        <v>1664</v>
      </c>
      <c r="AE550" s="4" t="s">
        <v>1662</v>
      </c>
      <c r="AF550" s="4" t="s">
        <v>496</v>
      </c>
    </row>
    <row r="551" spans="1:35" ht="90" x14ac:dyDescent="0.35">
      <c r="A551" s="38" t="s">
        <v>1665</v>
      </c>
      <c r="B551" s="38"/>
      <c r="C551" s="49" t="s">
        <v>1646</v>
      </c>
      <c r="D551" s="40"/>
      <c r="E551" s="40" t="s">
        <v>1666</v>
      </c>
      <c r="F551" s="50" t="s">
        <v>81</v>
      </c>
      <c r="G551" s="51">
        <v>0.3</v>
      </c>
      <c r="H551" s="40"/>
      <c r="I551" s="62">
        <v>0</v>
      </c>
      <c r="J551" s="53">
        <v>226.67</v>
      </c>
      <c r="K551" s="54"/>
      <c r="L551" s="54"/>
      <c r="M551" s="53">
        <f>ROUND(ROUND(J551, 2)*I551, 2)</f>
        <v>0</v>
      </c>
      <c r="N551" s="54"/>
      <c r="O551" s="54"/>
      <c r="P551" s="53">
        <v>135.36000000000001</v>
      </c>
      <c r="Q551" s="54"/>
      <c r="R551" s="54"/>
      <c r="S551" s="53">
        <f>ROUND(ROUND(P551, 2)*I551, 2)</f>
        <v>0</v>
      </c>
      <c r="T551" s="54"/>
      <c r="U551" s="55"/>
      <c r="V551" s="9">
        <f>ROUND(ROUND(P551, 2)/1.2, 2)</f>
        <v>112.8</v>
      </c>
      <c r="Y551" s="9">
        <f t="shared" si="115"/>
        <v>0</v>
      </c>
      <c r="AD551" s="4" t="s">
        <v>1667</v>
      </c>
      <c r="AE551" s="4" t="s">
        <v>1668</v>
      </c>
      <c r="AF551" s="4" t="s">
        <v>1650</v>
      </c>
    </row>
    <row r="552" spans="1:35" ht="90" x14ac:dyDescent="0.35">
      <c r="A552" s="44" t="s">
        <v>1669</v>
      </c>
      <c r="B552" s="44"/>
      <c r="C552" s="56" t="s">
        <v>1646</v>
      </c>
      <c r="D552" s="46"/>
      <c r="E552" s="46" t="s">
        <v>1666</v>
      </c>
      <c r="F552" s="57" t="s">
        <v>81</v>
      </c>
      <c r="G552" s="58">
        <v>0.3</v>
      </c>
      <c r="H552" s="46"/>
      <c r="I552" s="63">
        <v>44.43</v>
      </c>
      <c r="J552" s="59">
        <v>226.67</v>
      </c>
      <c r="K552" s="60"/>
      <c r="L552" s="60"/>
      <c r="M552" s="59">
        <f>ROUND(ROUND(J552, 2)*I552, 2)</f>
        <v>10070.950000000001</v>
      </c>
      <c r="N552" s="60"/>
      <c r="O552" s="60"/>
      <c r="P552" s="59">
        <v>135.36000000000001</v>
      </c>
      <c r="Q552" s="60"/>
      <c r="R552" s="60"/>
      <c r="S552" s="59">
        <f>ROUND(ROUND(P552, 2)*I552, 2)</f>
        <v>6014.04</v>
      </c>
      <c r="T552" s="60"/>
      <c r="U552" s="61"/>
      <c r="V552" s="9">
        <f>ROUND(ROUND(P552, 2)/1.2, 2)</f>
        <v>112.8</v>
      </c>
      <c r="Y552" s="9">
        <f t="shared" si="115"/>
        <v>5011.7</v>
      </c>
      <c r="AD552" s="4" t="s">
        <v>1670</v>
      </c>
      <c r="AE552" s="4" t="s">
        <v>1668</v>
      </c>
      <c r="AF552" s="4" t="s">
        <v>1650</v>
      </c>
    </row>
    <row r="553" spans="1:35" ht="36" x14ac:dyDescent="0.35">
      <c r="A553" s="11" t="s">
        <v>1671</v>
      </c>
      <c r="B553" s="11" t="s">
        <v>1672</v>
      </c>
      <c r="C553" s="20" t="s">
        <v>1307</v>
      </c>
      <c r="D553" s="21"/>
      <c r="E553" s="21" t="s">
        <v>1673</v>
      </c>
      <c r="F553" s="21" t="s">
        <v>56</v>
      </c>
      <c r="G553" s="22">
        <v>1</v>
      </c>
      <c r="H553" s="21"/>
      <c r="I553" s="22">
        <v>998.06</v>
      </c>
      <c r="J553" s="23">
        <f>IFERROR(ROUND(SUM(M554,M555)/I553, 2),0)</f>
        <v>13.32</v>
      </c>
      <c r="K553" s="23">
        <v>464</v>
      </c>
      <c r="L553" s="23">
        <f>J553+ROUND(K553, 2)</f>
        <v>477.32</v>
      </c>
      <c r="M553" s="23">
        <f>ROUND(J553*I553, 2)</f>
        <v>13294.16</v>
      </c>
      <c r="N553" s="23">
        <f>ROUND(I553*ROUND(K553, 2), 2)</f>
        <v>463099.84</v>
      </c>
      <c r="O553" s="23">
        <f>M553+N553</f>
        <v>476394</v>
      </c>
      <c r="P553" s="23">
        <f>IFERROR(ROUND(SUM(S554,S555)/I553, 2),0)</f>
        <v>123.32</v>
      </c>
      <c r="Q553" s="23">
        <v>464</v>
      </c>
      <c r="R553" s="23">
        <f>P553+ROUND(Q553, 2)</f>
        <v>587.31999999999994</v>
      </c>
      <c r="S553" s="23">
        <f>ROUND(P553*I553, 2)</f>
        <v>123080.76</v>
      </c>
      <c r="T553" s="23">
        <f>ROUND(I553*ROUND(Q553, 2), 2)</f>
        <v>463099.84</v>
      </c>
      <c r="U553" s="23">
        <f>S553+T553</f>
        <v>586180.6</v>
      </c>
      <c r="V553" s="9">
        <f>ROUND(P553 / 1.2, 2)</f>
        <v>102.77</v>
      </c>
      <c r="W553" s="9">
        <f>ROUND(Q553 / 1.2, 2)</f>
        <v>386.67</v>
      </c>
      <c r="X553" s="9">
        <f>ROUND(R553 / 1.2, 2)</f>
        <v>489.43</v>
      </c>
      <c r="Y553" s="9">
        <f t="shared" si="115"/>
        <v>102567.3</v>
      </c>
      <c r="Z553" s="9">
        <f>ROUND(T553 / 1.2, 2)</f>
        <v>385916.53</v>
      </c>
      <c r="AA553" s="9">
        <f>Y553+Z553</f>
        <v>488483.83</v>
      </c>
      <c r="AD553" s="4">
        <v>303752451</v>
      </c>
      <c r="AE553" s="4">
        <v>21800364</v>
      </c>
      <c r="AG553" s="4" t="s">
        <v>1309</v>
      </c>
      <c r="AH553" s="4" t="s">
        <v>1674</v>
      </c>
      <c r="AI553" s="4" t="s">
        <v>247</v>
      </c>
    </row>
    <row r="554" spans="1:35" ht="126" x14ac:dyDescent="0.35">
      <c r="A554" s="11" t="s">
        <v>1675</v>
      </c>
      <c r="B554" s="11"/>
      <c r="C554" s="31" t="s">
        <v>1676</v>
      </c>
      <c r="D554" s="21"/>
      <c r="E554" s="21" t="s">
        <v>1677</v>
      </c>
      <c r="F554" s="32" t="s">
        <v>81</v>
      </c>
      <c r="G554" s="33">
        <v>0.3</v>
      </c>
      <c r="H554" s="21"/>
      <c r="I554" s="33">
        <v>299.41800000000001</v>
      </c>
      <c r="J554" s="35">
        <v>0</v>
      </c>
      <c r="K554" s="12"/>
      <c r="L554" s="12"/>
      <c r="M554" s="35">
        <f>ROUND(ROUND(J554, 2)*I554, 2)</f>
        <v>0</v>
      </c>
      <c r="N554" s="12"/>
      <c r="O554" s="12"/>
      <c r="P554" s="35">
        <v>366.67</v>
      </c>
      <c r="Q554" s="12"/>
      <c r="R554" s="12"/>
      <c r="S554" s="35">
        <f>ROUND(ROUND(P554, 2)*I554, 2)</f>
        <v>109787.6</v>
      </c>
      <c r="T554" s="12"/>
      <c r="U554" s="36"/>
      <c r="V554" s="9">
        <f>ROUND(ROUND(P554, 2)/1.2, 2)</f>
        <v>305.56</v>
      </c>
      <c r="Y554" s="9">
        <f t="shared" si="115"/>
        <v>91489.67</v>
      </c>
      <c r="AD554" s="4" t="s">
        <v>1678</v>
      </c>
      <c r="AE554" s="4" t="s">
        <v>1679</v>
      </c>
      <c r="AF554" s="4" t="s">
        <v>1680</v>
      </c>
    </row>
    <row r="555" spans="1:35" ht="36" x14ac:dyDescent="0.35">
      <c r="A555" s="11" t="s">
        <v>1681</v>
      </c>
      <c r="B555" s="11"/>
      <c r="C555" s="31" t="s">
        <v>493</v>
      </c>
      <c r="D555" s="21"/>
      <c r="E555" s="21"/>
      <c r="F555" s="32" t="s">
        <v>81</v>
      </c>
      <c r="G555" s="33">
        <v>0.15</v>
      </c>
      <c r="H555" s="21"/>
      <c r="I555" s="33">
        <v>149.709</v>
      </c>
      <c r="J555" s="35">
        <v>88.8</v>
      </c>
      <c r="K555" s="12"/>
      <c r="L555" s="12"/>
      <c r="M555" s="35">
        <f>ROUND(ROUND(J555, 2)*I555, 2)</f>
        <v>13294.16</v>
      </c>
      <c r="N555" s="12"/>
      <c r="O555" s="12"/>
      <c r="P555" s="35">
        <v>88.8</v>
      </c>
      <c r="Q555" s="12"/>
      <c r="R555" s="12"/>
      <c r="S555" s="35">
        <f>ROUND(ROUND(P555, 2)*I555, 2)</f>
        <v>13294.16</v>
      </c>
      <c r="T555" s="12"/>
      <c r="U555" s="36"/>
      <c r="V555" s="9">
        <f>ROUND(ROUND(P555, 2)/1.2, 2)</f>
        <v>74</v>
      </c>
      <c r="Y555" s="9">
        <f t="shared" si="115"/>
        <v>11078.47</v>
      </c>
      <c r="AD555" s="4" t="s">
        <v>1682</v>
      </c>
      <c r="AE555" s="4" t="s">
        <v>1683</v>
      </c>
      <c r="AF555" s="4" t="s">
        <v>496</v>
      </c>
    </row>
    <row r="556" spans="1:35" ht="90" x14ac:dyDescent="0.35">
      <c r="A556" s="11" t="s">
        <v>1684</v>
      </c>
      <c r="B556" s="11" t="s">
        <v>1672</v>
      </c>
      <c r="C556" s="20" t="s">
        <v>1307</v>
      </c>
      <c r="D556" s="21"/>
      <c r="E556" s="21" t="s">
        <v>1685</v>
      </c>
      <c r="F556" s="21" t="s">
        <v>56</v>
      </c>
      <c r="G556" s="22">
        <v>1</v>
      </c>
      <c r="H556" s="21"/>
      <c r="I556" s="22">
        <v>386.63</v>
      </c>
      <c r="J556" s="23">
        <f>IFERROR(ROUND(SUM(M557,M558)/I556, 2),0)</f>
        <v>13.32</v>
      </c>
      <c r="K556" s="23">
        <v>464</v>
      </c>
      <c r="L556" s="23">
        <f>J556+ROUND(K556, 2)</f>
        <v>477.32</v>
      </c>
      <c r="M556" s="23">
        <f>ROUND(J556*I556, 2)</f>
        <v>5149.91</v>
      </c>
      <c r="N556" s="23">
        <f>ROUND(I556*ROUND(K556, 2), 2)</f>
        <v>179396.32</v>
      </c>
      <c r="O556" s="23">
        <f>M556+N556</f>
        <v>184546.23</v>
      </c>
      <c r="P556" s="23">
        <f>IFERROR(ROUND(SUM(S557,S558)/I556, 2),0)</f>
        <v>123.32</v>
      </c>
      <c r="Q556" s="23">
        <v>464</v>
      </c>
      <c r="R556" s="23">
        <f>P556+ROUND(Q556, 2)</f>
        <v>587.31999999999994</v>
      </c>
      <c r="S556" s="23">
        <f>ROUND(P556*I556, 2)</f>
        <v>47679.21</v>
      </c>
      <c r="T556" s="23">
        <f>ROUND(I556*ROUND(Q556, 2), 2)</f>
        <v>179396.32</v>
      </c>
      <c r="U556" s="23">
        <f>S556+T556</f>
        <v>227075.53</v>
      </c>
      <c r="V556" s="9">
        <f>ROUND(P556 / 1.2, 2)</f>
        <v>102.77</v>
      </c>
      <c r="W556" s="9">
        <f>ROUND(Q556 / 1.2, 2)</f>
        <v>386.67</v>
      </c>
      <c r="X556" s="9">
        <f>ROUND(R556 / 1.2, 2)</f>
        <v>489.43</v>
      </c>
      <c r="Y556" s="9">
        <f t="shared" si="115"/>
        <v>39732.68</v>
      </c>
      <c r="Z556" s="9">
        <f>ROUND(T556 / 1.2, 2)</f>
        <v>149496.93</v>
      </c>
      <c r="AA556" s="9">
        <f>Y556+Z556</f>
        <v>189229.61</v>
      </c>
      <c r="AD556" s="4">
        <v>303752520</v>
      </c>
      <c r="AE556" s="4">
        <v>21833393</v>
      </c>
      <c r="AG556" s="4" t="s">
        <v>1309</v>
      </c>
      <c r="AH556" s="4" t="s">
        <v>1674</v>
      </c>
      <c r="AI556" s="4" t="s">
        <v>247</v>
      </c>
    </row>
    <row r="557" spans="1:35" ht="36" x14ac:dyDescent="0.35">
      <c r="A557" s="11" t="s">
        <v>1686</v>
      </c>
      <c r="B557" s="11"/>
      <c r="C557" s="31" t="s">
        <v>493</v>
      </c>
      <c r="D557" s="21"/>
      <c r="E557" s="21"/>
      <c r="F557" s="32" t="s">
        <v>81</v>
      </c>
      <c r="G557" s="33">
        <v>0.15</v>
      </c>
      <c r="H557" s="21"/>
      <c r="I557" s="33">
        <v>57.994999999999997</v>
      </c>
      <c r="J557" s="35">
        <v>88.8</v>
      </c>
      <c r="K557" s="12"/>
      <c r="L557" s="12"/>
      <c r="M557" s="35">
        <f>ROUND(ROUND(J557, 2)*I557, 2)</f>
        <v>5149.96</v>
      </c>
      <c r="N557" s="12"/>
      <c r="O557" s="12"/>
      <c r="P557" s="35">
        <v>88.8</v>
      </c>
      <c r="Q557" s="12"/>
      <c r="R557" s="12"/>
      <c r="S557" s="35">
        <f>ROUND(ROUND(P557, 2)*I557, 2)</f>
        <v>5149.96</v>
      </c>
      <c r="T557" s="12"/>
      <c r="U557" s="36"/>
      <c r="V557" s="9">
        <f>ROUND(ROUND(P557, 2)/1.2, 2)</f>
        <v>74</v>
      </c>
      <c r="Y557" s="9">
        <f t="shared" si="115"/>
        <v>4291.63</v>
      </c>
      <c r="AD557" s="4" t="s">
        <v>1687</v>
      </c>
      <c r="AE557" s="4" t="s">
        <v>1688</v>
      </c>
      <c r="AF557" s="4" t="s">
        <v>496</v>
      </c>
    </row>
    <row r="558" spans="1:35" ht="36" x14ac:dyDescent="0.35">
      <c r="A558" s="11" t="s">
        <v>1689</v>
      </c>
      <c r="B558" s="11"/>
      <c r="C558" s="31" t="s">
        <v>1690</v>
      </c>
      <c r="D558" s="21"/>
      <c r="E558" s="21" t="s">
        <v>1691</v>
      </c>
      <c r="F558" s="32" t="s">
        <v>81</v>
      </c>
      <c r="G558" s="33">
        <v>0.3</v>
      </c>
      <c r="H558" s="21"/>
      <c r="I558" s="33">
        <v>115.989</v>
      </c>
      <c r="J558" s="35">
        <v>0</v>
      </c>
      <c r="K558" s="12"/>
      <c r="L558" s="12"/>
      <c r="M558" s="35">
        <f>ROUND(ROUND(J558, 2)*I558, 2)</f>
        <v>0</v>
      </c>
      <c r="N558" s="12"/>
      <c r="O558" s="12"/>
      <c r="P558" s="35">
        <v>366.67</v>
      </c>
      <c r="Q558" s="12"/>
      <c r="R558" s="12"/>
      <c r="S558" s="35">
        <f>ROUND(ROUND(P558, 2)*I558, 2)</f>
        <v>42529.69</v>
      </c>
      <c r="T558" s="12"/>
      <c r="U558" s="36"/>
      <c r="V558" s="9">
        <f>ROUND(ROUND(P558, 2)/1.2, 2)</f>
        <v>305.56</v>
      </c>
      <c r="Y558" s="9">
        <f t="shared" si="115"/>
        <v>35441.410000000003</v>
      </c>
      <c r="AD558" s="4" t="s">
        <v>1692</v>
      </c>
      <c r="AE558" s="4" t="s">
        <v>1693</v>
      </c>
      <c r="AF558" s="4" t="s">
        <v>1694</v>
      </c>
    </row>
    <row r="559" spans="1:35" ht="17" customHeight="1" x14ac:dyDescent="0.35">
      <c r="A559" s="10" t="s">
        <v>1695</v>
      </c>
      <c r="B559" s="10" t="s">
        <v>1696</v>
      </c>
      <c r="C559" s="100" t="s">
        <v>1697</v>
      </c>
      <c r="D559" s="101"/>
      <c r="E559" s="101"/>
      <c r="F559" s="101"/>
      <c r="G559" s="101"/>
      <c r="H559" s="101"/>
      <c r="I559" s="102"/>
      <c r="M559" s="6">
        <f>SUM(M560,M564,M565,M567)</f>
        <v>0</v>
      </c>
      <c r="N559" s="6">
        <f>SUM(N560,N564,N565,N567)</f>
        <v>69484.399999999994</v>
      </c>
      <c r="O559" s="6">
        <f>SUM(O560,O564,O565,O567)</f>
        <v>69484.399999999994</v>
      </c>
      <c r="S559" s="6">
        <f>SUM(S560,S564,S565,S567)</f>
        <v>207208.38</v>
      </c>
      <c r="T559" s="6">
        <f>SUM(T560,T564,T565,T567)</f>
        <v>69484.399999999994</v>
      </c>
      <c r="U559" s="6">
        <f>SUM(U560,U564,U565,U567)</f>
        <v>276692.78000000003</v>
      </c>
      <c r="Y559" s="9">
        <f>SUM(Y560,Y564,Y565,Y567)</f>
        <v>172673.65</v>
      </c>
      <c r="Z559" s="9">
        <f>SUM(Z560,Z564,Z565,Z567)</f>
        <v>57903.67</v>
      </c>
      <c r="AA559" s="9">
        <f>SUM(AA560,AA564,AA565,AA567)</f>
        <v>230577.32</v>
      </c>
      <c r="AD559" s="4">
        <v>303752452</v>
      </c>
      <c r="AE559" s="4">
        <v>16083550</v>
      </c>
    </row>
    <row r="560" spans="1:35" ht="36" x14ac:dyDescent="0.35">
      <c r="A560" s="38" t="s">
        <v>1698</v>
      </c>
      <c r="B560" s="38" t="s">
        <v>1699</v>
      </c>
      <c r="C560" s="39" t="s">
        <v>1700</v>
      </c>
      <c r="D560" s="40"/>
      <c r="E560" s="40" t="s">
        <v>1701</v>
      </c>
      <c r="F560" s="40" t="s">
        <v>56</v>
      </c>
      <c r="G560" s="41">
        <v>1</v>
      </c>
      <c r="H560" s="40"/>
      <c r="I560" s="42">
        <v>0</v>
      </c>
      <c r="J560" s="43">
        <f>IFERROR(ROUND(SUM(M562)/I560, 2),0)</f>
        <v>0</v>
      </c>
      <c r="K560" s="43">
        <v>1499</v>
      </c>
      <c r="L560" s="43">
        <f>J560+ROUND(K560, 2)</f>
        <v>1499</v>
      </c>
      <c r="M560" s="43">
        <f>ROUND(J560*I560, 2)</f>
        <v>0</v>
      </c>
      <c r="N560" s="43">
        <f>ROUND(I560*ROUND(K560, 2), 2)</f>
        <v>0</v>
      </c>
      <c r="O560" s="43">
        <f>M560+N560</f>
        <v>0</v>
      </c>
      <c r="P560" s="43">
        <f>IFERROR(ROUND(SUM(S562)/I560, 2),0)</f>
        <v>0</v>
      </c>
      <c r="Q560" s="43">
        <v>1499</v>
      </c>
      <c r="R560" s="43">
        <f>P560+ROUND(Q560, 2)</f>
        <v>1499</v>
      </c>
      <c r="S560" s="43">
        <f>ROUND(P560*I560, 2)</f>
        <v>0</v>
      </c>
      <c r="T560" s="43">
        <f>ROUND(I560*ROUND(Q560, 2), 2)</f>
        <v>0</v>
      </c>
      <c r="U560" s="43">
        <f>S560+T560</f>
        <v>0</v>
      </c>
      <c r="V560" s="9">
        <f>ROUND(P560 / 1.2, 2)</f>
        <v>0</v>
      </c>
      <c r="W560" s="9">
        <f>ROUND(Q560 / 1.2, 2)</f>
        <v>1249.17</v>
      </c>
      <c r="X560" s="9">
        <f>ROUND(R560 / 1.2, 2)</f>
        <v>1249.17</v>
      </c>
      <c r="Y560" s="9">
        <f>ROUND(S560 / 1.2, 2)</f>
        <v>0</v>
      </c>
      <c r="Z560" s="9">
        <f>ROUND(T560 / 1.2, 2)</f>
        <v>0</v>
      </c>
      <c r="AA560" s="9">
        <f>Y560+Z560</f>
        <v>0</v>
      </c>
      <c r="AD560" s="4">
        <v>303752454</v>
      </c>
      <c r="AE560" s="4">
        <v>16084347</v>
      </c>
      <c r="AG560" s="4" t="s">
        <v>1702</v>
      </c>
      <c r="AH560" s="4" t="s">
        <v>1703</v>
      </c>
      <c r="AI560" s="4" t="s">
        <v>247</v>
      </c>
    </row>
    <row r="561" spans="1:35" ht="36" x14ac:dyDescent="0.35">
      <c r="A561" s="44" t="s">
        <v>1704</v>
      </c>
      <c r="B561" s="44" t="s">
        <v>1699</v>
      </c>
      <c r="C561" s="45" t="s">
        <v>1700</v>
      </c>
      <c r="D561" s="46"/>
      <c r="E561" s="46" t="s">
        <v>1701</v>
      </c>
      <c r="F561" s="46" t="s">
        <v>56</v>
      </c>
      <c r="G561" s="47">
        <v>1</v>
      </c>
      <c r="H561" s="46"/>
      <c r="I561" s="47">
        <v>96.5</v>
      </c>
      <c r="J561" s="48">
        <v>0</v>
      </c>
      <c r="K561" s="48">
        <v>1499</v>
      </c>
      <c r="L561" s="48"/>
      <c r="M561" s="48">
        <v>0</v>
      </c>
      <c r="N561" s="48"/>
      <c r="O561" s="48"/>
      <c r="P561" s="48">
        <v>0</v>
      </c>
      <c r="Q561" s="48">
        <v>1499</v>
      </c>
      <c r="R561" s="48"/>
      <c r="S561" s="48">
        <v>0</v>
      </c>
      <c r="T561" s="48"/>
      <c r="U561" s="48"/>
      <c r="V561" s="9"/>
      <c r="W561" s="9">
        <f>ROUND(Q561 / 1.2, 2)</f>
        <v>1249.17</v>
      </c>
      <c r="X561" s="9">
        <f>ROUND(R561 / 1.2, 2)</f>
        <v>0</v>
      </c>
      <c r="Y561" s="9"/>
      <c r="Z561" s="9">
        <f>ROUND(T561 / 1.2, 2)</f>
        <v>0</v>
      </c>
      <c r="AA561" s="9"/>
      <c r="AD561" s="4">
        <v>204395698</v>
      </c>
      <c r="AE561" s="4">
        <v>16084347</v>
      </c>
      <c r="AG561" s="4" t="s">
        <v>1702</v>
      </c>
      <c r="AH561" s="4" t="s">
        <v>1703</v>
      </c>
      <c r="AI561" s="4"/>
    </row>
    <row r="562" spans="1:35" ht="126" x14ac:dyDescent="0.35">
      <c r="A562" s="38" t="s">
        <v>1705</v>
      </c>
      <c r="B562" s="38"/>
      <c r="C562" s="49" t="s">
        <v>1706</v>
      </c>
      <c r="D562" s="40"/>
      <c r="E562" s="40" t="s">
        <v>1707</v>
      </c>
      <c r="F562" s="50" t="s">
        <v>56</v>
      </c>
      <c r="G562" s="51">
        <v>1</v>
      </c>
      <c r="H562" s="40"/>
      <c r="I562" s="52">
        <v>0</v>
      </c>
      <c r="J562" s="53">
        <v>0</v>
      </c>
      <c r="K562" s="54"/>
      <c r="L562" s="54"/>
      <c r="M562" s="53">
        <f>ROUND(ROUND(J562, 2)*I562, 2)</f>
        <v>0</v>
      </c>
      <c r="N562" s="54"/>
      <c r="O562" s="54"/>
      <c r="P562" s="53">
        <v>0</v>
      </c>
      <c r="Q562" s="54"/>
      <c r="R562" s="54"/>
      <c r="S562" s="53">
        <f>ROUND(ROUND(P562, 2)*I562, 2)</f>
        <v>0</v>
      </c>
      <c r="T562" s="54"/>
      <c r="U562" s="55"/>
      <c r="V562" s="9">
        <f>ROUND(ROUND(P562, 2)/1.2, 2)</f>
        <v>0</v>
      </c>
      <c r="Y562" s="9">
        <f>ROUND(S562 / 1.2, 2)</f>
        <v>0</v>
      </c>
      <c r="AD562" s="4" t="s">
        <v>1708</v>
      </c>
      <c r="AE562" s="4" t="s">
        <v>1709</v>
      </c>
      <c r="AF562" s="4" t="s">
        <v>1710</v>
      </c>
    </row>
    <row r="563" spans="1:35" ht="126" x14ac:dyDescent="0.35">
      <c r="A563" s="44" t="s">
        <v>1711</v>
      </c>
      <c r="B563" s="44"/>
      <c r="C563" s="56" t="s">
        <v>1706</v>
      </c>
      <c r="D563" s="46"/>
      <c r="E563" s="46" t="s">
        <v>1707</v>
      </c>
      <c r="F563" s="57" t="s">
        <v>56</v>
      </c>
      <c r="G563" s="58">
        <v>1</v>
      </c>
      <c r="H563" s="46"/>
      <c r="I563" s="58">
        <v>96.5</v>
      </c>
      <c r="J563" s="59">
        <v>0</v>
      </c>
      <c r="K563" s="60"/>
      <c r="L563" s="60"/>
      <c r="M563" s="59">
        <f>ROUND(ROUND(J563, 2)*I563, 2)</f>
        <v>0</v>
      </c>
      <c r="N563" s="60"/>
      <c r="O563" s="60"/>
      <c r="P563" s="59">
        <v>0</v>
      </c>
      <c r="Q563" s="60"/>
      <c r="R563" s="60"/>
      <c r="S563" s="59">
        <f>ROUND(ROUND(P563, 2)*I563, 2)</f>
        <v>0</v>
      </c>
      <c r="T563" s="60"/>
      <c r="U563" s="61"/>
      <c r="V563" s="9">
        <f>ROUND(ROUND(P563, 2)/1.2, 2)</f>
        <v>0</v>
      </c>
      <c r="Y563" s="9">
        <f>ROUND(S563 / 1.2, 2)</f>
        <v>0</v>
      </c>
      <c r="AD563" s="4" t="s">
        <v>1712</v>
      </c>
      <c r="AE563" s="4" t="s">
        <v>1709</v>
      </c>
      <c r="AF563" s="4" t="s">
        <v>1710</v>
      </c>
    </row>
    <row r="564" spans="1:35" ht="54" x14ac:dyDescent="0.35">
      <c r="A564" s="11" t="s">
        <v>1713</v>
      </c>
      <c r="B564" s="11" t="s">
        <v>1714</v>
      </c>
      <c r="C564" s="20" t="s">
        <v>1715</v>
      </c>
      <c r="D564" s="21"/>
      <c r="E564" s="21"/>
      <c r="F564" s="21" t="s">
        <v>56</v>
      </c>
      <c r="G564" s="22">
        <v>1</v>
      </c>
      <c r="H564" s="21"/>
      <c r="I564" s="22">
        <v>64.099999999999994</v>
      </c>
      <c r="J564" s="23">
        <v>0</v>
      </c>
      <c r="K564" s="23">
        <v>121</v>
      </c>
      <c r="L564" s="23">
        <f>J564+ROUND(K564, 2)</f>
        <v>121</v>
      </c>
      <c r="M564" s="23">
        <v>0</v>
      </c>
      <c r="N564" s="23">
        <f>ROUND(I564*ROUND(K564, 2), 2)</f>
        <v>7756.1</v>
      </c>
      <c r="O564" s="23">
        <f>M564+N564</f>
        <v>7756.1</v>
      </c>
      <c r="P564" s="23">
        <v>0</v>
      </c>
      <c r="Q564" s="23">
        <v>121</v>
      </c>
      <c r="R564" s="23">
        <f>P564+ROUND(Q564, 2)</f>
        <v>121</v>
      </c>
      <c r="S564" s="23">
        <v>0</v>
      </c>
      <c r="T564" s="23">
        <f>ROUND(I564*ROUND(Q564, 2), 2)</f>
        <v>7756.1</v>
      </c>
      <c r="U564" s="23">
        <f>S564+T564</f>
        <v>7756.1</v>
      </c>
      <c r="V564" s="9"/>
      <c r="W564" s="9">
        <f>ROUND(Q564 / 1.2, 2)</f>
        <v>100.83</v>
      </c>
      <c r="X564" s="9">
        <f>ROUND(R564 / 1.2, 2)</f>
        <v>100.83</v>
      </c>
      <c r="Y564" s="9"/>
      <c r="Z564" s="9">
        <f>ROUND(T564 / 1.2, 2)</f>
        <v>6463.42</v>
      </c>
      <c r="AA564" s="9">
        <f>Y564+Z564</f>
        <v>6463.42</v>
      </c>
      <c r="AD564" s="4">
        <v>303752456</v>
      </c>
      <c r="AE564" s="4">
        <v>19937195</v>
      </c>
      <c r="AG564" s="4" t="s">
        <v>1716</v>
      </c>
      <c r="AH564" s="4" t="s">
        <v>1717</v>
      </c>
      <c r="AI564" s="4" t="s">
        <v>247</v>
      </c>
    </row>
    <row r="565" spans="1:35" ht="36" x14ac:dyDescent="0.35">
      <c r="A565" s="11" t="s">
        <v>1718</v>
      </c>
      <c r="B565" s="11" t="s">
        <v>1719</v>
      </c>
      <c r="C565" s="20" t="s">
        <v>1720</v>
      </c>
      <c r="D565" s="21"/>
      <c r="E565" s="21" t="s">
        <v>1721</v>
      </c>
      <c r="F565" s="21" t="s">
        <v>56</v>
      </c>
      <c r="G565" s="22">
        <v>1</v>
      </c>
      <c r="H565" s="21"/>
      <c r="I565" s="22">
        <v>32.5</v>
      </c>
      <c r="J565" s="23">
        <f>IFERROR(ROUND(SUM(M566)/I565, 2),0)</f>
        <v>0</v>
      </c>
      <c r="K565" s="23">
        <v>963</v>
      </c>
      <c r="L565" s="23">
        <f>J565+ROUND(K565, 2)</f>
        <v>963</v>
      </c>
      <c r="M565" s="23">
        <f>ROUND(J565*I565, 2)</f>
        <v>0</v>
      </c>
      <c r="N565" s="23">
        <f>ROUND(I565*ROUND(K565, 2), 2)</f>
        <v>31297.5</v>
      </c>
      <c r="O565" s="23">
        <f>M565+N565</f>
        <v>31297.5</v>
      </c>
      <c r="P565" s="23">
        <f>IFERROR(ROUND(SUM(S566)/I565, 2),0)</f>
        <v>3232.58</v>
      </c>
      <c r="Q565" s="23">
        <v>963</v>
      </c>
      <c r="R565" s="23">
        <f>P565+ROUND(Q565, 2)</f>
        <v>4195.58</v>
      </c>
      <c r="S565" s="23">
        <f>ROUND(P565*I565, 2)</f>
        <v>105058.85</v>
      </c>
      <c r="T565" s="23">
        <f>ROUND(I565*ROUND(Q565, 2), 2)</f>
        <v>31297.5</v>
      </c>
      <c r="U565" s="23">
        <f>S565+T565</f>
        <v>136356.35</v>
      </c>
      <c r="V565" s="9">
        <f>ROUND(P565 / 1.2, 2)</f>
        <v>2693.82</v>
      </c>
      <c r="W565" s="9">
        <f>ROUND(Q565 / 1.2, 2)</f>
        <v>802.5</v>
      </c>
      <c r="X565" s="9">
        <f>ROUND(R565 / 1.2, 2)</f>
        <v>3496.32</v>
      </c>
      <c r="Y565" s="9">
        <f>ROUND(S565 / 1.2, 2)</f>
        <v>87549.04</v>
      </c>
      <c r="Z565" s="9">
        <f>ROUND(T565 / 1.2, 2)</f>
        <v>26081.25</v>
      </c>
      <c r="AA565" s="9">
        <f>Y565+Z565</f>
        <v>113630.29</v>
      </c>
      <c r="AD565" s="4">
        <v>303752458</v>
      </c>
      <c r="AE565" s="4">
        <v>21799003</v>
      </c>
      <c r="AG565" s="4" t="s">
        <v>1722</v>
      </c>
      <c r="AH565" s="4" t="s">
        <v>1723</v>
      </c>
      <c r="AI565" s="4" t="s">
        <v>247</v>
      </c>
    </row>
    <row r="566" spans="1:35" ht="90" x14ac:dyDescent="0.35">
      <c r="A566" s="11" t="s">
        <v>1724</v>
      </c>
      <c r="B566" s="11"/>
      <c r="C566" s="31" t="s">
        <v>1725</v>
      </c>
      <c r="D566" s="21"/>
      <c r="E566" s="21" t="s">
        <v>1726</v>
      </c>
      <c r="F566" s="32" t="s">
        <v>56</v>
      </c>
      <c r="G566" s="33">
        <v>1</v>
      </c>
      <c r="H566" s="21"/>
      <c r="I566" s="34">
        <v>32.5</v>
      </c>
      <c r="J566" s="35">
        <v>0</v>
      </c>
      <c r="K566" s="12"/>
      <c r="L566" s="12"/>
      <c r="M566" s="35">
        <f>ROUND(ROUND(J566, 2)*I566, 2)</f>
        <v>0</v>
      </c>
      <c r="N566" s="12"/>
      <c r="O566" s="12"/>
      <c r="P566" s="35">
        <v>3232.58</v>
      </c>
      <c r="Q566" s="12"/>
      <c r="R566" s="12"/>
      <c r="S566" s="35">
        <f>ROUND(ROUND(P566, 2)*I566, 2)</f>
        <v>105058.85</v>
      </c>
      <c r="T566" s="12"/>
      <c r="U566" s="36"/>
      <c r="V566" s="9">
        <f>ROUND(ROUND(P566, 2)/1.2, 2)</f>
        <v>2693.82</v>
      </c>
      <c r="Y566" s="9">
        <f>ROUND(S566 / 1.2, 2)</f>
        <v>87549.04</v>
      </c>
      <c r="AD566" s="4" t="s">
        <v>1727</v>
      </c>
      <c r="AE566" s="4" t="s">
        <v>1728</v>
      </c>
      <c r="AF566" s="4" t="s">
        <v>1729</v>
      </c>
    </row>
    <row r="567" spans="1:35" ht="36" x14ac:dyDescent="0.35">
      <c r="A567" s="11" t="s">
        <v>1730</v>
      </c>
      <c r="B567" s="11" t="s">
        <v>1719</v>
      </c>
      <c r="C567" s="20" t="s">
        <v>1720</v>
      </c>
      <c r="D567" s="21"/>
      <c r="E567" s="21" t="s">
        <v>1731</v>
      </c>
      <c r="F567" s="21" t="s">
        <v>56</v>
      </c>
      <c r="G567" s="22">
        <v>1</v>
      </c>
      <c r="H567" s="21"/>
      <c r="I567" s="22">
        <v>31.6</v>
      </c>
      <c r="J567" s="23">
        <f>IFERROR(ROUND(SUM(M568)/I567, 2),0)</f>
        <v>0</v>
      </c>
      <c r="K567" s="23">
        <v>963</v>
      </c>
      <c r="L567" s="23">
        <f>J567+ROUND(K567, 2)</f>
        <v>963</v>
      </c>
      <c r="M567" s="23">
        <f>ROUND(J567*I567, 2)</f>
        <v>0</v>
      </c>
      <c r="N567" s="23">
        <f>ROUND(I567*ROUND(K567, 2), 2)</f>
        <v>30430.799999999999</v>
      </c>
      <c r="O567" s="23">
        <f>M567+N567</f>
        <v>30430.799999999999</v>
      </c>
      <c r="P567" s="23">
        <f>IFERROR(ROUND(SUM(S568)/I567, 2),0)</f>
        <v>3232.58</v>
      </c>
      <c r="Q567" s="23">
        <v>963</v>
      </c>
      <c r="R567" s="23">
        <f>P567+ROUND(Q567, 2)</f>
        <v>4195.58</v>
      </c>
      <c r="S567" s="23">
        <f>ROUND(P567*I567, 2)</f>
        <v>102149.53</v>
      </c>
      <c r="T567" s="23">
        <f>ROUND(I567*ROUND(Q567, 2), 2)</f>
        <v>30430.799999999999</v>
      </c>
      <c r="U567" s="23">
        <f>S567+T567</f>
        <v>132580.32999999999</v>
      </c>
      <c r="V567" s="9">
        <f>ROUND(P567 / 1.2, 2)</f>
        <v>2693.82</v>
      </c>
      <c r="W567" s="9">
        <f>ROUND(Q567 / 1.2, 2)</f>
        <v>802.5</v>
      </c>
      <c r="X567" s="9">
        <f>ROUND(R567 / 1.2, 2)</f>
        <v>3496.32</v>
      </c>
      <c r="Y567" s="9">
        <f>ROUND(S567 / 1.2, 2)</f>
        <v>85124.61</v>
      </c>
      <c r="Z567" s="9">
        <f>ROUND(T567 / 1.2, 2)</f>
        <v>25359</v>
      </c>
      <c r="AA567" s="9">
        <f>Y567+Z567</f>
        <v>110483.61</v>
      </c>
      <c r="AD567" s="4">
        <v>303752521</v>
      </c>
      <c r="AE567" s="4">
        <v>21799002</v>
      </c>
      <c r="AG567" s="4" t="s">
        <v>1722</v>
      </c>
      <c r="AH567" s="4" t="s">
        <v>1723</v>
      </c>
      <c r="AI567" s="4" t="s">
        <v>247</v>
      </c>
    </row>
    <row r="568" spans="1:35" ht="90" x14ac:dyDescent="0.35">
      <c r="A568" s="11" t="s">
        <v>1732</v>
      </c>
      <c r="B568" s="11"/>
      <c r="C568" s="31" t="s">
        <v>1725</v>
      </c>
      <c r="D568" s="21"/>
      <c r="E568" s="21" t="s">
        <v>1726</v>
      </c>
      <c r="F568" s="32" t="s">
        <v>56</v>
      </c>
      <c r="G568" s="33">
        <v>1</v>
      </c>
      <c r="H568" s="21"/>
      <c r="I568" s="34">
        <v>31.6</v>
      </c>
      <c r="J568" s="35">
        <v>0</v>
      </c>
      <c r="K568" s="12"/>
      <c r="L568" s="12"/>
      <c r="M568" s="35">
        <f>ROUND(ROUND(J568, 2)*I568, 2)</f>
        <v>0</v>
      </c>
      <c r="N568" s="12"/>
      <c r="O568" s="12"/>
      <c r="P568" s="35">
        <v>3232.58</v>
      </c>
      <c r="Q568" s="12"/>
      <c r="R568" s="12"/>
      <c r="S568" s="35">
        <f>ROUND(ROUND(P568, 2)*I568, 2)</f>
        <v>102149.53</v>
      </c>
      <c r="T568" s="12"/>
      <c r="U568" s="36"/>
      <c r="V568" s="9">
        <f>ROUND(ROUND(P568, 2)/1.2, 2)</f>
        <v>2693.82</v>
      </c>
      <c r="Y568" s="9">
        <f>ROUND(S568 / 1.2, 2)</f>
        <v>85124.61</v>
      </c>
      <c r="AD568" s="4" t="s">
        <v>1733</v>
      </c>
      <c r="AE568" s="4" t="s">
        <v>1734</v>
      </c>
      <c r="AF568" s="4" t="s">
        <v>1729</v>
      </c>
    </row>
    <row r="569" spans="1:35" ht="24" customHeight="1" x14ac:dyDescent="0.35">
      <c r="A569" s="67"/>
      <c r="B569" s="67"/>
      <c r="C569" s="67"/>
      <c r="D569" s="68" t="s">
        <v>1735</v>
      </c>
      <c r="E569" s="67"/>
      <c r="F569" s="67"/>
      <c r="G569" s="67"/>
      <c r="H569" s="67"/>
      <c r="I569" s="67"/>
      <c r="J569" s="67"/>
      <c r="K569" s="67"/>
      <c r="L569" s="67"/>
      <c r="M569" s="69">
        <f>SUM(M8)</f>
        <v>3115785.56</v>
      </c>
      <c r="N569" s="69">
        <f>SUM(N8)</f>
        <v>11639805.32</v>
      </c>
      <c r="O569" s="69">
        <f>M569+N569</f>
        <v>14755590.880000001</v>
      </c>
      <c r="P569" s="67"/>
      <c r="Q569" s="67"/>
      <c r="R569" s="67"/>
      <c r="S569" s="69">
        <f>SUM(S8)</f>
        <v>3897607.1600000006</v>
      </c>
      <c r="T569" s="69">
        <f>SUM(T8)</f>
        <v>11511394.759999998</v>
      </c>
      <c r="U569" s="69">
        <f>S569+T569</f>
        <v>15409001.919999998</v>
      </c>
      <c r="Y569" s="9">
        <f>SUM(Y8)</f>
        <v>3248006.02</v>
      </c>
      <c r="Z569" s="9">
        <f>SUM(Z8)</f>
        <v>9592829.0000000019</v>
      </c>
      <c r="AA569" s="9">
        <f>Y569+Z569</f>
        <v>12840835.020000001</v>
      </c>
    </row>
  </sheetData>
  <sheetProtection password="C644" sheet="1" formatColumns="0" autoFilter="0"/>
  <autoFilter ref="A7:U7" xr:uid="{00000000-0009-0000-0000-000000000000}"/>
  <mergeCells count="48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6:I16"/>
    <mergeCell ref="C17:I17"/>
    <mergeCell ref="C24:I24"/>
    <mergeCell ref="C50:I50"/>
    <mergeCell ref="C55:I55"/>
    <mergeCell ref="C56:I56"/>
    <mergeCell ref="C57:I57"/>
    <mergeCell ref="C58:I58"/>
    <mergeCell ref="C59:I59"/>
    <mergeCell ref="C114:I114"/>
    <mergeCell ref="C131:I131"/>
    <mergeCell ref="C199:I199"/>
    <mergeCell ref="C540:I540"/>
    <mergeCell ref="C559:I559"/>
    <mergeCell ref="C200:I200"/>
    <mergeCell ref="C410:I410"/>
    <mergeCell ref="C429:I429"/>
    <mergeCell ref="C487:I487"/>
    <mergeCell ref="C488:I4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25"/>
  <sheetViews>
    <sheetView zoomScale="42" zoomScaleNormal="42" workbookViewId="0">
      <pane xSplit="9" ySplit="7" topLeftCell="J404" activePane="bottomRight" state="frozen"/>
      <selection pane="topRight"/>
      <selection pane="bottomLeft"/>
      <selection pane="bottomRight" sqref="A1:XFD425"/>
    </sheetView>
  </sheetViews>
  <sheetFormatPr defaultRowHeight="14.5" x14ac:dyDescent="0.35"/>
  <cols>
    <col min="1" max="1" width="20" customWidth="1"/>
    <col min="2" max="2" width="21.7265625" bestFit="1" customWidth="1"/>
    <col min="3" max="3" width="55.6328125" customWidth="1"/>
    <col min="4" max="5" width="38" customWidth="1"/>
    <col min="6" max="7" width="16.453125" customWidth="1"/>
    <col min="8" max="8" width="16" customWidth="1"/>
    <col min="9" max="9" width="16.81640625" customWidth="1"/>
    <col min="10" max="10" width="16" customWidth="1"/>
    <col min="11" max="11" width="17" customWidth="1"/>
    <col min="12" max="12" width="17.6328125" customWidth="1"/>
    <col min="13" max="13" width="18" customWidth="1"/>
    <col min="14" max="14" width="18.81640625" customWidth="1"/>
    <col min="15" max="15" width="23.6328125" customWidth="1"/>
    <col min="16" max="16" width="16" customWidth="1"/>
    <col min="17" max="17" width="17" customWidth="1"/>
    <col min="18" max="18" width="17.6328125" customWidth="1"/>
    <col min="19" max="19" width="18" customWidth="1"/>
    <col min="20" max="20" width="18.81640625" customWidth="1"/>
    <col min="21" max="21" width="23.6328125" customWidth="1"/>
    <col min="22" max="35" width="9.08984375" hidden="1"/>
  </cols>
  <sheetData>
    <row r="1" spans="1:35" ht="15" customHeight="1" x14ac:dyDescent="0.35">
      <c r="A1" s="1" t="s">
        <v>0</v>
      </c>
      <c r="B1" s="3"/>
      <c r="C1" s="3"/>
      <c r="D1" s="2" t="s">
        <v>1</v>
      </c>
      <c r="E1" s="2"/>
      <c r="F1" s="2" t="s">
        <v>1736</v>
      </c>
      <c r="G1" s="2" t="s">
        <v>1737</v>
      </c>
      <c r="H1" s="2" t="s">
        <v>1738</v>
      </c>
      <c r="I1" s="2" t="s">
        <v>1739</v>
      </c>
      <c r="J1" s="2" t="s">
        <v>1740</v>
      </c>
      <c r="K1" s="2" t="s">
        <v>1741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14</v>
      </c>
      <c r="AD1" s="4" t="s">
        <v>15</v>
      </c>
      <c r="AE1" s="4" t="s">
        <v>16</v>
      </c>
      <c r="AF1" s="4" t="s">
        <v>17</v>
      </c>
      <c r="AG1" s="4" t="s">
        <v>18</v>
      </c>
      <c r="AH1" s="4" t="s">
        <v>19</v>
      </c>
      <c r="AI1" s="4" t="s">
        <v>20</v>
      </c>
    </row>
    <row r="2" spans="1:35" ht="30.75" customHeight="1" x14ac:dyDescent="0.35">
      <c r="A2" s="89" t="s">
        <v>4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 spans="1:35" ht="15" customHeight="1" x14ac:dyDescent="0.35">
      <c r="A3" s="90" t="s">
        <v>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</row>
    <row r="4" spans="1:35" ht="15" customHeight="1" x14ac:dyDescent="0.35">
      <c r="A4" s="91" t="s">
        <v>6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1:35" ht="40.75" customHeight="1" x14ac:dyDescent="0.35">
      <c r="A5" s="92" t="s">
        <v>21</v>
      </c>
      <c r="B5" s="92" t="s">
        <v>22</v>
      </c>
      <c r="C5" s="92" t="s">
        <v>23</v>
      </c>
      <c r="D5" s="92" t="s">
        <v>24</v>
      </c>
      <c r="E5" s="92" t="s">
        <v>25</v>
      </c>
      <c r="F5" s="92" t="s">
        <v>26</v>
      </c>
      <c r="G5" s="92" t="s">
        <v>27</v>
      </c>
      <c r="H5" s="92" t="s">
        <v>28</v>
      </c>
      <c r="I5" s="92" t="s">
        <v>29</v>
      </c>
      <c r="J5" s="103" t="s">
        <v>7</v>
      </c>
      <c r="K5" s="104"/>
      <c r="L5" s="104"/>
      <c r="M5" s="104"/>
      <c r="N5" s="104"/>
      <c r="O5" s="105"/>
      <c r="P5" s="95" t="s">
        <v>8</v>
      </c>
      <c r="Q5" s="96"/>
      <c r="R5" s="97"/>
      <c r="S5" s="95" t="s">
        <v>9</v>
      </c>
      <c r="T5" s="96"/>
      <c r="U5" s="97"/>
    </row>
    <row r="6" spans="1:35" ht="15.75" customHeight="1" x14ac:dyDescent="0.35">
      <c r="A6" s="93"/>
      <c r="B6" s="93"/>
      <c r="C6" s="93"/>
      <c r="D6" s="93"/>
      <c r="E6" s="93"/>
      <c r="F6" s="93"/>
      <c r="G6" s="93"/>
      <c r="H6" s="93"/>
      <c r="I6" s="93"/>
      <c r="J6" s="98" t="s">
        <v>30</v>
      </c>
      <c r="K6" s="99"/>
      <c r="L6" s="92" t="s">
        <v>30</v>
      </c>
      <c r="M6" s="98" t="s">
        <v>33</v>
      </c>
      <c r="N6" s="99"/>
      <c r="O6" s="92" t="s">
        <v>34</v>
      </c>
      <c r="P6" s="98" t="s">
        <v>30</v>
      </c>
      <c r="Q6" s="99"/>
      <c r="R6" s="92" t="s">
        <v>30</v>
      </c>
      <c r="S6" s="98" t="s">
        <v>33</v>
      </c>
      <c r="T6" s="99"/>
      <c r="U6" s="92" t="s">
        <v>34</v>
      </c>
    </row>
    <row r="7" spans="1:35" ht="31.25" customHeight="1" x14ac:dyDescent="0.35">
      <c r="A7" s="94"/>
      <c r="B7" s="94"/>
      <c r="C7" s="94"/>
      <c r="D7" s="94"/>
      <c r="E7" s="94"/>
      <c r="F7" s="94"/>
      <c r="G7" s="94"/>
      <c r="H7" s="94"/>
      <c r="I7" s="94"/>
      <c r="J7" s="5" t="s">
        <v>31</v>
      </c>
      <c r="K7" s="5" t="s">
        <v>32</v>
      </c>
      <c r="L7" s="94"/>
      <c r="M7" s="5" t="s">
        <v>31</v>
      </c>
      <c r="N7" s="5" t="s">
        <v>32</v>
      </c>
      <c r="O7" s="94"/>
      <c r="P7" s="5" t="s">
        <v>31</v>
      </c>
      <c r="Q7" s="5" t="s">
        <v>32</v>
      </c>
      <c r="R7" s="94"/>
      <c r="S7" s="5" t="s">
        <v>31</v>
      </c>
      <c r="T7" s="5" t="s">
        <v>32</v>
      </c>
      <c r="U7" s="94"/>
    </row>
    <row r="8" spans="1:35" ht="30" customHeight="1" x14ac:dyDescent="0.35">
      <c r="A8" s="106" t="s">
        <v>35</v>
      </c>
      <c r="B8" s="107"/>
      <c r="C8" s="107"/>
      <c r="D8" s="107"/>
      <c r="E8" s="107"/>
      <c r="F8" s="107"/>
      <c r="G8" s="107"/>
      <c r="H8" s="107"/>
      <c r="I8" s="108"/>
      <c r="J8" s="7"/>
      <c r="K8" s="7"/>
      <c r="L8" s="7"/>
      <c r="M8" s="8">
        <f>SUM(M9)</f>
        <v>3115785.56</v>
      </c>
      <c r="N8" s="8">
        <f>SUM(N9)</f>
        <v>11639805.32</v>
      </c>
      <c r="O8" s="8">
        <f>SUM(O9)</f>
        <v>14755590.880000001</v>
      </c>
      <c r="P8" s="7"/>
      <c r="Q8" s="7"/>
      <c r="R8" s="7"/>
      <c r="S8" s="8">
        <f>SUM(S9)</f>
        <v>3897607.1600000006</v>
      </c>
      <c r="T8" s="8">
        <f>SUM(T9)</f>
        <v>11511394.759999998</v>
      </c>
      <c r="U8" s="8">
        <f>SUM(U9)</f>
        <v>15409001.92</v>
      </c>
      <c r="Y8" s="9">
        <f>SUM(Y9)</f>
        <v>3248006.02</v>
      </c>
      <c r="Z8" s="9">
        <f>SUM(Z9)</f>
        <v>9592829.0000000019</v>
      </c>
      <c r="AA8" s="9">
        <f>SUM(AA9)</f>
        <v>12840835.019999996</v>
      </c>
      <c r="AC8" s="4" t="s">
        <v>36</v>
      </c>
    </row>
    <row r="9" spans="1:35" ht="17" customHeight="1" x14ac:dyDescent="0.35">
      <c r="A9" s="10" t="s">
        <v>37</v>
      </c>
      <c r="B9" s="10" t="s">
        <v>38</v>
      </c>
      <c r="C9" s="100" t="s">
        <v>39</v>
      </c>
      <c r="D9" s="101"/>
      <c r="E9" s="101"/>
      <c r="F9" s="101"/>
      <c r="G9" s="101"/>
      <c r="H9" s="101"/>
      <c r="I9" s="102"/>
      <c r="M9" s="6">
        <f>SUM(M10,M50)</f>
        <v>3115785.56</v>
      </c>
      <c r="N9" s="6">
        <f>SUM(N10,N50)</f>
        <v>11639805.32</v>
      </c>
      <c r="O9" s="6">
        <f>SUM(O10,O50)</f>
        <v>14755590.880000001</v>
      </c>
      <c r="S9" s="6">
        <f>SUM(S10,S50)</f>
        <v>3897607.1600000006</v>
      </c>
      <c r="T9" s="6">
        <f>SUM(T10,T50)</f>
        <v>11511394.759999998</v>
      </c>
      <c r="U9" s="6">
        <f>SUM(U10,U50)</f>
        <v>15409001.92</v>
      </c>
      <c r="Y9" s="9">
        <f>SUM(Y10,Y50)</f>
        <v>3248006.02</v>
      </c>
      <c r="Z9" s="9">
        <f>SUM(Z10,Z50)</f>
        <v>9592829.0000000019</v>
      </c>
      <c r="AA9" s="9">
        <f>SUM(AA10,AA50)</f>
        <v>12840835.019999996</v>
      </c>
      <c r="AD9" s="4">
        <v>303752366</v>
      </c>
      <c r="AE9" s="4">
        <v>16075338</v>
      </c>
    </row>
    <row r="10" spans="1:35" ht="17" customHeight="1" x14ac:dyDescent="0.35">
      <c r="A10" s="10" t="s">
        <v>40</v>
      </c>
      <c r="B10" s="10" t="s">
        <v>41</v>
      </c>
      <c r="C10" s="100" t="s">
        <v>42</v>
      </c>
      <c r="D10" s="101"/>
      <c r="E10" s="101"/>
      <c r="F10" s="101"/>
      <c r="G10" s="101"/>
      <c r="H10" s="101"/>
      <c r="I10" s="102"/>
      <c r="M10" s="6">
        <f t="shared" ref="M10:O11" si="0">SUM(M11)</f>
        <v>151552.12999999998</v>
      </c>
      <c r="N10" s="6">
        <f t="shared" si="0"/>
        <v>577516.43999999994</v>
      </c>
      <c r="O10" s="6">
        <f t="shared" si="0"/>
        <v>729068.57</v>
      </c>
      <c r="S10" s="6">
        <f t="shared" ref="S10:U11" si="1">SUM(S11)</f>
        <v>159277.29</v>
      </c>
      <c r="T10" s="6">
        <f t="shared" si="1"/>
        <v>577516.43999999994</v>
      </c>
      <c r="U10" s="6">
        <f t="shared" si="1"/>
        <v>736793.73</v>
      </c>
      <c r="Y10" s="9">
        <f t="shared" ref="Y10:AA11" si="2">SUM(Y11)</f>
        <v>132731.07999999999</v>
      </c>
      <c r="Z10" s="9">
        <f t="shared" si="2"/>
        <v>481263.71</v>
      </c>
      <c r="AA10" s="9">
        <f t="shared" si="2"/>
        <v>613994.79</v>
      </c>
      <c r="AD10" s="4">
        <v>303752367</v>
      </c>
      <c r="AE10" s="4">
        <v>16084976</v>
      </c>
    </row>
    <row r="11" spans="1:35" ht="17" customHeight="1" x14ac:dyDescent="0.35">
      <c r="A11" s="10" t="s">
        <v>43</v>
      </c>
      <c r="B11" s="10" t="s">
        <v>44</v>
      </c>
      <c r="C11" s="100" t="s">
        <v>45</v>
      </c>
      <c r="D11" s="101"/>
      <c r="E11" s="101"/>
      <c r="F11" s="101"/>
      <c r="G11" s="101"/>
      <c r="H11" s="101"/>
      <c r="I11" s="102"/>
      <c r="M11" s="6">
        <f t="shared" si="0"/>
        <v>151552.12999999998</v>
      </c>
      <c r="N11" s="6">
        <f t="shared" si="0"/>
        <v>577516.43999999994</v>
      </c>
      <c r="O11" s="6">
        <f t="shared" si="0"/>
        <v>729068.57</v>
      </c>
      <c r="S11" s="6">
        <f t="shared" si="1"/>
        <v>159277.29</v>
      </c>
      <c r="T11" s="6">
        <f t="shared" si="1"/>
        <v>577516.43999999994</v>
      </c>
      <c r="U11" s="6">
        <f t="shared" si="1"/>
        <v>736793.73</v>
      </c>
      <c r="Y11" s="9">
        <f t="shared" si="2"/>
        <v>132731.07999999999</v>
      </c>
      <c r="Z11" s="9">
        <f t="shared" si="2"/>
        <v>481263.71</v>
      </c>
      <c r="AA11" s="9">
        <f t="shared" si="2"/>
        <v>613994.79</v>
      </c>
      <c r="AD11" s="4">
        <v>303752368</v>
      </c>
      <c r="AE11" s="4">
        <v>16084973</v>
      </c>
    </row>
    <row r="12" spans="1:35" ht="17" customHeight="1" x14ac:dyDescent="0.35">
      <c r="A12" s="10" t="s">
        <v>46</v>
      </c>
      <c r="B12" s="10" t="s">
        <v>47</v>
      </c>
      <c r="C12" s="100" t="s">
        <v>48</v>
      </c>
      <c r="D12" s="101"/>
      <c r="E12" s="101"/>
      <c r="F12" s="101"/>
      <c r="G12" s="101"/>
      <c r="H12" s="101"/>
      <c r="I12" s="102"/>
      <c r="M12" s="6">
        <f>SUM(M13,M16,M45)</f>
        <v>151552.12999999998</v>
      </c>
      <c r="N12" s="6">
        <f>SUM(N13,N16,N45)</f>
        <v>577516.43999999994</v>
      </c>
      <c r="O12" s="6">
        <f>SUM(O13,O16,O45)</f>
        <v>729068.57</v>
      </c>
      <c r="S12" s="6">
        <f>SUM(S13,S16,S45)</f>
        <v>159277.29</v>
      </c>
      <c r="T12" s="6">
        <f>SUM(T13,T16,T45)</f>
        <v>577516.43999999994</v>
      </c>
      <c r="U12" s="6">
        <f>SUM(U13,U16,U45)</f>
        <v>736793.73</v>
      </c>
      <c r="Y12" s="9">
        <f>SUM(Y13,Y16,Y45)</f>
        <v>132731.07999999999</v>
      </c>
      <c r="Z12" s="9">
        <f>SUM(Z13,Z16,Z45)</f>
        <v>481263.71</v>
      </c>
      <c r="AA12" s="9">
        <f>SUM(AA13,AA16,AA45)</f>
        <v>613994.79</v>
      </c>
      <c r="AD12" s="4">
        <v>303752369</v>
      </c>
      <c r="AE12" s="4">
        <v>16084971</v>
      </c>
    </row>
    <row r="13" spans="1:35" ht="17" customHeight="1" x14ac:dyDescent="0.35">
      <c r="A13" s="10" t="s">
        <v>49</v>
      </c>
      <c r="B13" s="10" t="s">
        <v>50</v>
      </c>
      <c r="C13" s="100" t="s">
        <v>51</v>
      </c>
      <c r="D13" s="101"/>
      <c r="E13" s="101"/>
      <c r="F13" s="101"/>
      <c r="G13" s="101"/>
      <c r="H13" s="101"/>
      <c r="I13" s="102"/>
      <c r="M13" s="6">
        <f>SUM(M14)</f>
        <v>0</v>
      </c>
      <c r="N13" s="6">
        <f>SUM(N14)</f>
        <v>282000</v>
      </c>
      <c r="O13" s="6">
        <f>SUM(O14)</f>
        <v>282000</v>
      </c>
      <c r="S13" s="6">
        <f>SUM(S14)</f>
        <v>0</v>
      </c>
      <c r="T13" s="6">
        <f>SUM(T14)</f>
        <v>282000</v>
      </c>
      <c r="U13" s="6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303752370</v>
      </c>
      <c r="AE13" s="4">
        <v>19923875</v>
      </c>
    </row>
    <row r="14" spans="1:35" ht="36" x14ac:dyDescent="0.35">
      <c r="A14" s="10" t="s">
        <v>52</v>
      </c>
      <c r="B14" s="10" t="s">
        <v>53</v>
      </c>
      <c r="C14" s="14" t="s">
        <v>54</v>
      </c>
      <c r="D14" s="15"/>
      <c r="E14" s="15" t="s">
        <v>55</v>
      </c>
      <c r="F14" s="15" t="s">
        <v>56</v>
      </c>
      <c r="G14" s="16">
        <v>1</v>
      </c>
      <c r="H14" s="16"/>
      <c r="I14" s="16">
        <v>752</v>
      </c>
      <c r="J14" s="17">
        <f>IFERROR(ROUND(SUM(M15)/I14, 2),0)</f>
        <v>0</v>
      </c>
      <c r="K14" s="18">
        <v>375</v>
      </c>
      <c r="L14" s="17">
        <f>J14+ROUND(K14, 2)</f>
        <v>375</v>
      </c>
      <c r="M14" s="17">
        <f>ROUND(J14*I14, 2)</f>
        <v>0</v>
      </c>
      <c r="N14" s="17">
        <f>ROUND(I14*ROUND(K14, 2), 2)</f>
        <v>282000</v>
      </c>
      <c r="O14" s="17">
        <f>M14+N14</f>
        <v>282000</v>
      </c>
      <c r="P14" s="17">
        <f>IFERROR(ROUND(SUM(S15)/I14, 2),0)</f>
        <v>0</v>
      </c>
      <c r="Q14" s="19">
        <v>375</v>
      </c>
      <c r="R14" s="17">
        <f>P14+ROUND(Q14, 2)</f>
        <v>375</v>
      </c>
      <c r="S14" s="17">
        <f>ROUND(P14*I14, 2)</f>
        <v>0</v>
      </c>
      <c r="T14" s="17">
        <f>ROUND(I14*ROUND(Q14, 2), 2)</f>
        <v>282000</v>
      </c>
      <c r="U14" s="17">
        <f>S14+T14</f>
        <v>282000</v>
      </c>
      <c r="V14" s="9">
        <f>ROUND(P14 / 1.2, 2)</f>
        <v>0</v>
      </c>
      <c r="W14" s="9">
        <f>ROUND(Q14 / 1.2, 2)</f>
        <v>312.5</v>
      </c>
      <c r="X14" s="9">
        <f>ROUND(R14 / 1.2, 2)</f>
        <v>312.5</v>
      </c>
      <c r="Y14" s="9">
        <f>ROUND(S14 / 1.2, 2)</f>
        <v>0</v>
      </c>
      <c r="Z14" s="9">
        <f>ROUND(T14 / 1.2, 2)</f>
        <v>235000</v>
      </c>
      <c r="AA14" s="9">
        <f>Y14+Z14</f>
        <v>235000</v>
      </c>
      <c r="AD14" s="4">
        <v>303752372</v>
      </c>
      <c r="AE14" s="4">
        <v>19923873</v>
      </c>
      <c r="AG14" s="4" t="s">
        <v>57</v>
      </c>
      <c r="AH14" s="4" t="s">
        <v>58</v>
      </c>
      <c r="AI14" s="4" t="s">
        <v>59</v>
      </c>
    </row>
    <row r="15" spans="1:35" ht="18" x14ac:dyDescent="0.35">
      <c r="A15" s="10" t="s">
        <v>60</v>
      </c>
      <c r="B15" s="10"/>
      <c r="C15" s="24" t="s">
        <v>61</v>
      </c>
      <c r="D15" s="15"/>
      <c r="E15" s="15"/>
      <c r="F15" s="25" t="s">
        <v>62</v>
      </c>
      <c r="G15" s="26">
        <v>1</v>
      </c>
      <c r="H15" s="27"/>
      <c r="I15" s="27">
        <v>752</v>
      </c>
      <c r="J15" s="28">
        <v>0</v>
      </c>
      <c r="M15" s="29">
        <f>ROUND(ROUND(J15, 2)*I15, 2)</f>
        <v>0</v>
      </c>
      <c r="P15" s="30">
        <v>0</v>
      </c>
      <c r="S15" s="29">
        <f>ROUND(ROUND(P15, 2)*I15, 2)</f>
        <v>0</v>
      </c>
      <c r="V15" s="9">
        <f>ROUND(ROUND(P15, 2)/1.2, 2)</f>
        <v>0</v>
      </c>
      <c r="Y15" s="9">
        <f>ROUND(S15 / 1.2, 2)</f>
        <v>0</v>
      </c>
      <c r="AD15" s="4" t="s">
        <v>63</v>
      </c>
      <c r="AE15" s="4" t="s">
        <v>64</v>
      </c>
      <c r="AF15" s="4" t="s">
        <v>65</v>
      </c>
    </row>
    <row r="16" spans="1:35" ht="17" customHeight="1" x14ac:dyDescent="0.35">
      <c r="A16" s="10" t="s">
        <v>66</v>
      </c>
      <c r="B16" s="10" t="s">
        <v>67</v>
      </c>
      <c r="C16" s="100" t="s">
        <v>68</v>
      </c>
      <c r="D16" s="101"/>
      <c r="E16" s="101"/>
      <c r="F16" s="101"/>
      <c r="G16" s="101"/>
      <c r="H16" s="101"/>
      <c r="I16" s="102"/>
      <c r="M16" s="6">
        <f>SUM(M17,M24)</f>
        <v>146594.16999999998</v>
      </c>
      <c r="N16" s="6">
        <f>SUM(N17,N24)</f>
        <v>291991.67999999999</v>
      </c>
      <c r="O16" s="6">
        <f>SUM(O17,O24)</f>
        <v>438585.85</v>
      </c>
      <c r="S16" s="6">
        <f>SUM(S17,S24)</f>
        <v>154267.09</v>
      </c>
      <c r="T16" s="6">
        <f>SUM(T17,T24)</f>
        <v>291991.67999999999</v>
      </c>
      <c r="U16" s="6">
        <f>SUM(U17,U24)</f>
        <v>446258.77</v>
      </c>
      <c r="Y16" s="9">
        <f>SUM(Y17,Y24)</f>
        <v>128555.90999999997</v>
      </c>
      <c r="Z16" s="9">
        <f>SUM(Z17,Z24)</f>
        <v>243326.41</v>
      </c>
      <c r="AA16" s="9">
        <f>SUM(AA17,AA24)</f>
        <v>371882.32</v>
      </c>
      <c r="AD16" s="4">
        <v>303752373</v>
      </c>
      <c r="AE16" s="4">
        <v>16084974</v>
      </c>
    </row>
    <row r="17" spans="1:35" ht="17" customHeight="1" x14ac:dyDescent="0.35">
      <c r="A17" s="10" t="s">
        <v>69</v>
      </c>
      <c r="B17" s="10" t="s">
        <v>70</v>
      </c>
      <c r="C17" s="100" t="s">
        <v>71</v>
      </c>
      <c r="D17" s="101"/>
      <c r="E17" s="101"/>
      <c r="F17" s="101"/>
      <c r="G17" s="101"/>
      <c r="H17" s="101"/>
      <c r="I17" s="102"/>
      <c r="M17" s="6">
        <f>SUM(M18)</f>
        <v>24333.02</v>
      </c>
      <c r="N17" s="6">
        <f>SUM(N18)</f>
        <v>26118.33</v>
      </c>
      <c r="O17" s="6">
        <f>SUM(O18)</f>
        <v>50451.350000000006</v>
      </c>
      <c r="S17" s="6">
        <f>SUM(S18)</f>
        <v>24326.95</v>
      </c>
      <c r="T17" s="6">
        <f>SUM(T18)</f>
        <v>26118.33</v>
      </c>
      <c r="U17" s="6">
        <f>SUM(U18)</f>
        <v>50445.279999999999</v>
      </c>
      <c r="Y17" s="9">
        <f>SUM(Y18)</f>
        <v>20272.46</v>
      </c>
      <c r="Z17" s="9">
        <f>SUM(Z18)</f>
        <v>21765.279999999999</v>
      </c>
      <c r="AA17" s="9">
        <f>SUM(AA18)</f>
        <v>42037.74</v>
      </c>
      <c r="AD17" s="4">
        <v>303752374</v>
      </c>
      <c r="AE17" s="4">
        <v>18539951</v>
      </c>
    </row>
    <row r="18" spans="1:35" ht="72" x14ac:dyDescent="0.35">
      <c r="A18" s="10" t="s">
        <v>72</v>
      </c>
      <c r="B18" s="10" t="s">
        <v>73</v>
      </c>
      <c r="C18" s="14" t="s">
        <v>74</v>
      </c>
      <c r="D18" s="15" t="s">
        <v>75</v>
      </c>
      <c r="E18" s="15" t="s">
        <v>76</v>
      </c>
      <c r="F18" s="15" t="s">
        <v>56</v>
      </c>
      <c r="G18" s="16">
        <v>1</v>
      </c>
      <c r="H18" s="16"/>
      <c r="I18" s="16">
        <v>13.47</v>
      </c>
      <c r="J18" s="17">
        <f>IFERROR(ROUND(SUM(M19,M20,M21,M22,M23)/I18, 2),0)</f>
        <v>1806.46</v>
      </c>
      <c r="K18" s="18">
        <v>1939</v>
      </c>
      <c r="L18" s="17">
        <f>J18+ROUND(K18, 2)</f>
        <v>3745.46</v>
      </c>
      <c r="M18" s="17">
        <f>ROUND(J18*I18, 2)</f>
        <v>24333.02</v>
      </c>
      <c r="N18" s="17">
        <f>ROUND(I18*ROUND(K18, 2), 2)</f>
        <v>26118.33</v>
      </c>
      <c r="O18" s="17">
        <f>M18+N18</f>
        <v>50451.350000000006</v>
      </c>
      <c r="P18" s="17">
        <f>IFERROR(ROUND(SUM(S19,S20,S21,S22,S23)/I18, 2),0)</f>
        <v>1806.01</v>
      </c>
      <c r="Q18" s="19">
        <v>1939</v>
      </c>
      <c r="R18" s="17">
        <f>P18+ROUND(Q18, 2)</f>
        <v>3745.01</v>
      </c>
      <c r="S18" s="17">
        <f>ROUND(P18*I18, 2)</f>
        <v>24326.95</v>
      </c>
      <c r="T18" s="17">
        <f>ROUND(I18*ROUND(Q18, 2), 2)</f>
        <v>26118.33</v>
      </c>
      <c r="U18" s="17">
        <f>S18+T18</f>
        <v>50445.279999999999</v>
      </c>
      <c r="V18" s="9">
        <f>ROUND(P18 / 1.2, 2)</f>
        <v>1505.01</v>
      </c>
      <c r="W18" s="9">
        <f>ROUND(Q18 / 1.2, 2)</f>
        <v>1615.83</v>
      </c>
      <c r="X18" s="9">
        <f>ROUND(R18 / 1.2, 2)</f>
        <v>3120.84</v>
      </c>
      <c r="Y18" s="9">
        <f>ROUND(S18 / 1.2, 2)</f>
        <v>20272.46</v>
      </c>
      <c r="Z18" s="9">
        <f>ROUND(T18 / 1.2, 2)</f>
        <v>21765.279999999999</v>
      </c>
      <c r="AA18" s="9">
        <f>Y18+Z18</f>
        <v>42037.74</v>
      </c>
      <c r="AD18" s="4">
        <v>303752376</v>
      </c>
      <c r="AE18" s="4">
        <v>18539953</v>
      </c>
      <c r="AG18" s="4" t="s">
        <v>77</v>
      </c>
      <c r="AH18" s="4" t="s">
        <v>78</v>
      </c>
      <c r="AI18" s="4" t="s">
        <v>59</v>
      </c>
    </row>
    <row r="19" spans="1:35" ht="18" x14ac:dyDescent="0.35">
      <c r="A19" s="10" t="s">
        <v>79</v>
      </c>
      <c r="B19" s="10"/>
      <c r="C19" s="24" t="s">
        <v>80</v>
      </c>
      <c r="D19" s="15"/>
      <c r="E19" s="15"/>
      <c r="F19" s="25" t="s">
        <v>81</v>
      </c>
      <c r="G19" s="26">
        <v>44.85</v>
      </c>
      <c r="H19" s="26"/>
      <c r="I19" s="26">
        <v>604.13</v>
      </c>
      <c r="J19" s="28">
        <v>6.28</v>
      </c>
      <c r="M19" s="29">
        <f>ROUND(ROUND(J19, 2)*I19, 2)</f>
        <v>3793.94</v>
      </c>
      <c r="P19" s="30">
        <v>6.27</v>
      </c>
      <c r="S19" s="29">
        <f>ROUND(ROUND(P19, 2)*I19, 2)</f>
        <v>3787.9</v>
      </c>
      <c r="V19" s="9">
        <f>ROUND(ROUND(P19, 2)/1.2, 2)</f>
        <v>5.23</v>
      </c>
      <c r="Y19" s="9">
        <f>ROUND(S19 / 1.2, 2)</f>
        <v>3156.58</v>
      </c>
      <c r="AD19" s="4" t="s">
        <v>82</v>
      </c>
      <c r="AE19" s="4" t="s">
        <v>83</v>
      </c>
      <c r="AF19" s="4" t="s">
        <v>84</v>
      </c>
    </row>
    <row r="20" spans="1:35" ht="36" x14ac:dyDescent="0.35">
      <c r="A20" s="10" t="s">
        <v>85</v>
      </c>
      <c r="B20" s="10"/>
      <c r="C20" s="24" t="s">
        <v>86</v>
      </c>
      <c r="D20" s="15"/>
      <c r="E20" s="15"/>
      <c r="F20" s="25" t="s">
        <v>87</v>
      </c>
      <c r="G20" s="26">
        <v>1</v>
      </c>
      <c r="H20" s="26"/>
      <c r="I20" s="26">
        <v>13.47</v>
      </c>
      <c r="J20" s="28">
        <v>64.599999999999994</v>
      </c>
      <c r="M20" s="29">
        <f>ROUND(ROUND(J20, 2)*I20, 2)</f>
        <v>870.16</v>
      </c>
      <c r="P20" s="30">
        <v>64.599999999999994</v>
      </c>
      <c r="S20" s="29">
        <f>ROUND(ROUND(P20, 2)*I20, 2)</f>
        <v>870.16</v>
      </c>
      <c r="V20" s="9">
        <f>ROUND(ROUND(P20, 2)/1.2, 2)</f>
        <v>53.83</v>
      </c>
      <c r="Y20" s="9">
        <f>ROUND(S20 / 1.2, 2)</f>
        <v>725.13</v>
      </c>
      <c r="AD20" s="4" t="s">
        <v>88</v>
      </c>
      <c r="AE20" s="4" t="s">
        <v>89</v>
      </c>
      <c r="AF20" s="4" t="s">
        <v>90</v>
      </c>
    </row>
    <row r="21" spans="1:35" ht="36" x14ac:dyDescent="0.35">
      <c r="A21" s="10" t="s">
        <v>91</v>
      </c>
      <c r="B21" s="10"/>
      <c r="C21" s="24" t="s">
        <v>92</v>
      </c>
      <c r="D21" s="15"/>
      <c r="E21" s="15"/>
      <c r="F21" s="25" t="s">
        <v>87</v>
      </c>
      <c r="G21" s="26">
        <v>1</v>
      </c>
      <c r="H21" s="26"/>
      <c r="I21" s="26">
        <v>13.47</v>
      </c>
      <c r="J21" s="28">
        <v>117.04</v>
      </c>
      <c r="M21" s="29">
        <f>ROUND(ROUND(J21, 2)*I21, 2)</f>
        <v>1576.53</v>
      </c>
      <c r="P21" s="30">
        <v>117.04</v>
      </c>
      <c r="S21" s="29">
        <f>ROUND(ROUND(P21, 2)*I21, 2)</f>
        <v>1576.53</v>
      </c>
      <c r="V21" s="9">
        <f>ROUND(ROUND(P21, 2)/1.2, 2)</f>
        <v>97.53</v>
      </c>
      <c r="Y21" s="9">
        <f>ROUND(S21 / 1.2, 2)</f>
        <v>1313.78</v>
      </c>
      <c r="AD21" s="4" t="s">
        <v>93</v>
      </c>
      <c r="AE21" s="4" t="s">
        <v>94</v>
      </c>
      <c r="AF21" s="4" t="s">
        <v>95</v>
      </c>
    </row>
    <row r="22" spans="1:35" ht="18" x14ac:dyDescent="0.35">
      <c r="A22" s="10" t="s">
        <v>96</v>
      </c>
      <c r="B22" s="10"/>
      <c r="C22" s="24" t="s">
        <v>97</v>
      </c>
      <c r="D22" s="15"/>
      <c r="E22" s="15"/>
      <c r="F22" s="25" t="s">
        <v>56</v>
      </c>
      <c r="G22" s="26">
        <v>0.504</v>
      </c>
      <c r="H22" s="26"/>
      <c r="I22" s="26">
        <v>6.7889999999999997</v>
      </c>
      <c r="J22" s="28">
        <v>265</v>
      </c>
      <c r="M22" s="29">
        <f>ROUND(ROUND(J22, 2)*I22, 2)</f>
        <v>1799.09</v>
      </c>
      <c r="P22" s="30">
        <v>265</v>
      </c>
      <c r="S22" s="29">
        <f>ROUND(ROUND(P22, 2)*I22, 2)</f>
        <v>1799.09</v>
      </c>
      <c r="V22" s="9">
        <f>ROUND(ROUND(P22, 2)/1.2, 2)</f>
        <v>220.83</v>
      </c>
      <c r="Y22" s="9">
        <f>ROUND(S22 / 1.2, 2)</f>
        <v>1499.24</v>
      </c>
      <c r="AD22" s="4" t="s">
        <v>98</v>
      </c>
      <c r="AE22" s="4" t="s">
        <v>99</v>
      </c>
      <c r="AF22" s="4" t="s">
        <v>100</v>
      </c>
    </row>
    <row r="23" spans="1:35" ht="18" x14ac:dyDescent="0.35">
      <c r="A23" s="10" t="s">
        <v>101</v>
      </c>
      <c r="B23" s="10"/>
      <c r="C23" s="24" t="s">
        <v>102</v>
      </c>
      <c r="D23" s="15"/>
      <c r="E23" s="15"/>
      <c r="F23" s="25" t="s">
        <v>103</v>
      </c>
      <c r="G23" s="26">
        <v>50.4</v>
      </c>
      <c r="H23" s="26"/>
      <c r="I23" s="26">
        <v>678.88800000000003</v>
      </c>
      <c r="J23" s="28">
        <v>24</v>
      </c>
      <c r="M23" s="29">
        <f>ROUND(ROUND(J23, 2)*I23, 2)</f>
        <v>16293.31</v>
      </c>
      <c r="P23" s="30">
        <v>24</v>
      </c>
      <c r="S23" s="29">
        <f>ROUND(ROUND(P23, 2)*I23, 2)</f>
        <v>16293.31</v>
      </c>
      <c r="V23" s="9">
        <f>ROUND(ROUND(P23, 2)/1.2, 2)</f>
        <v>20</v>
      </c>
      <c r="Y23" s="9">
        <f>ROUND(S23 / 1.2, 2)</f>
        <v>13577.76</v>
      </c>
      <c r="AD23" s="4" t="s">
        <v>104</v>
      </c>
      <c r="AE23" s="4" t="s">
        <v>105</v>
      </c>
      <c r="AF23" s="4" t="s">
        <v>106</v>
      </c>
    </row>
    <row r="24" spans="1:35" ht="17" customHeight="1" x14ac:dyDescent="0.35">
      <c r="A24" s="10" t="s">
        <v>107</v>
      </c>
      <c r="B24" s="10" t="s">
        <v>108</v>
      </c>
      <c r="C24" s="100" t="s">
        <v>109</v>
      </c>
      <c r="D24" s="101"/>
      <c r="E24" s="101"/>
      <c r="F24" s="101"/>
      <c r="G24" s="101"/>
      <c r="H24" s="101"/>
      <c r="I24" s="102"/>
      <c r="M24" s="6">
        <f>SUM(M25,M30,M35,M40)</f>
        <v>122261.15</v>
      </c>
      <c r="N24" s="6">
        <f>SUM(N25,N30,N35,N40)</f>
        <v>265873.34999999998</v>
      </c>
      <c r="O24" s="6">
        <f>SUM(O25,O30,O35,O40)</f>
        <v>388134.5</v>
      </c>
      <c r="S24" s="6">
        <f>SUM(S25,S30,S35,S40)</f>
        <v>129940.14</v>
      </c>
      <c r="T24" s="6">
        <f>SUM(T25,T30,T35,T40)</f>
        <v>265873.34999999998</v>
      </c>
      <c r="U24" s="6">
        <f>SUM(U25,U30,U35,U40)</f>
        <v>395813.49</v>
      </c>
      <c r="Y24" s="9">
        <f>SUM(Y25,Y30,Y35,Y40)</f>
        <v>108283.44999999998</v>
      </c>
      <c r="Z24" s="9">
        <f>SUM(Z25,Z30,Z35,Z40)</f>
        <v>221561.13</v>
      </c>
      <c r="AA24" s="9">
        <f>SUM(AA25,AA30,AA35,AA40)</f>
        <v>329844.58</v>
      </c>
      <c r="AD24" s="4">
        <v>303752377</v>
      </c>
      <c r="AE24" s="4">
        <v>16084972</v>
      </c>
    </row>
    <row r="25" spans="1:35" ht="36" x14ac:dyDescent="0.35">
      <c r="A25" s="10" t="s">
        <v>110</v>
      </c>
      <c r="B25" s="10" t="s">
        <v>111</v>
      </c>
      <c r="C25" s="14" t="s">
        <v>112</v>
      </c>
      <c r="D25" s="15"/>
      <c r="E25" s="15" t="s">
        <v>113</v>
      </c>
      <c r="F25" s="15" t="s">
        <v>56</v>
      </c>
      <c r="G25" s="16">
        <v>1</v>
      </c>
      <c r="H25" s="16"/>
      <c r="I25" s="16">
        <v>76.67</v>
      </c>
      <c r="J25" s="17">
        <f>IFERROR(ROUND(SUM(M26,M27,M28,M29)/I25, 2),0)</f>
        <v>1003.9</v>
      </c>
      <c r="K25" s="18">
        <v>2293</v>
      </c>
      <c r="L25" s="17">
        <f>J25+ROUND(K25, 2)</f>
        <v>3296.9</v>
      </c>
      <c r="M25" s="17">
        <f>ROUND(J25*I25, 2)</f>
        <v>76969.009999999995</v>
      </c>
      <c r="N25" s="17">
        <f>ROUND(I25*ROUND(K25, 2), 2)</f>
        <v>175804.31</v>
      </c>
      <c r="O25" s="17">
        <f>M25+N25</f>
        <v>252773.32</v>
      </c>
      <c r="P25" s="17">
        <f>IFERROR(ROUND(SUM(S26,S27,S28,S29)/I25, 2),0)</f>
        <v>1065.1099999999999</v>
      </c>
      <c r="Q25" s="19">
        <v>2293</v>
      </c>
      <c r="R25" s="17">
        <f>P25+ROUND(Q25, 2)</f>
        <v>3358.1099999999997</v>
      </c>
      <c r="S25" s="17">
        <f>ROUND(P25*I25, 2)</f>
        <v>81661.98</v>
      </c>
      <c r="T25" s="17">
        <f>ROUND(I25*ROUND(Q25, 2), 2)</f>
        <v>175804.31</v>
      </c>
      <c r="U25" s="17">
        <f>S25+T25</f>
        <v>257466.28999999998</v>
      </c>
      <c r="V25" s="9">
        <f>ROUND(P25 / 1.2, 2)</f>
        <v>887.59</v>
      </c>
      <c r="W25" s="9">
        <f>ROUND(Q25 / 1.2, 2)</f>
        <v>1910.83</v>
      </c>
      <c r="X25" s="9">
        <f>ROUND(R25 / 1.2, 2)</f>
        <v>2798.43</v>
      </c>
      <c r="Y25" s="9">
        <f>ROUND(S25 / 1.2, 2)</f>
        <v>68051.649999999994</v>
      </c>
      <c r="Z25" s="9">
        <f>ROUND(T25 / 1.2, 2)</f>
        <v>146503.59</v>
      </c>
      <c r="AA25" s="9">
        <f>Y25+Z25</f>
        <v>214555.24</v>
      </c>
      <c r="AD25" s="4">
        <v>303752379</v>
      </c>
      <c r="AE25" s="4">
        <v>18541173</v>
      </c>
      <c r="AG25" s="4" t="s">
        <v>114</v>
      </c>
      <c r="AH25" s="4" t="s">
        <v>115</v>
      </c>
      <c r="AI25" s="4" t="s">
        <v>59</v>
      </c>
    </row>
    <row r="26" spans="1:35" ht="54" x14ac:dyDescent="0.35">
      <c r="A26" s="10" t="s">
        <v>116</v>
      </c>
      <c r="B26" s="10"/>
      <c r="C26" s="24" t="s">
        <v>117</v>
      </c>
      <c r="D26" s="15"/>
      <c r="E26" s="15"/>
      <c r="F26" s="25" t="s">
        <v>87</v>
      </c>
      <c r="G26" s="26">
        <v>1</v>
      </c>
      <c r="H26" s="26"/>
      <c r="I26" s="26">
        <v>76.67</v>
      </c>
      <c r="J26" s="28">
        <v>102.34</v>
      </c>
      <c r="M26" s="29">
        <f>ROUND(ROUND(J26, 2)*I26, 2)</f>
        <v>7846.41</v>
      </c>
      <c r="P26" s="30">
        <v>102.33</v>
      </c>
      <c r="S26" s="29">
        <f>ROUND(ROUND(P26, 2)*I26, 2)</f>
        <v>7845.64</v>
      </c>
      <c r="V26" s="9">
        <f>ROUND(ROUND(P26, 2)/1.2, 2)</f>
        <v>85.28</v>
      </c>
      <c r="Y26" s="9">
        <f t="shared" ref="Y26:Y44" si="3">ROUND(S26 / 1.2, 2)</f>
        <v>6538.03</v>
      </c>
      <c r="AD26" s="4" t="s">
        <v>118</v>
      </c>
      <c r="AE26" s="4" t="s">
        <v>119</v>
      </c>
      <c r="AF26" s="4" t="s">
        <v>120</v>
      </c>
    </row>
    <row r="27" spans="1:35" ht="36" x14ac:dyDescent="0.35">
      <c r="A27" s="10" t="s">
        <v>121</v>
      </c>
      <c r="B27" s="10"/>
      <c r="C27" s="24" t="s">
        <v>122</v>
      </c>
      <c r="D27" s="15"/>
      <c r="E27" s="15" t="s">
        <v>123</v>
      </c>
      <c r="F27" s="25" t="s">
        <v>56</v>
      </c>
      <c r="G27" s="26">
        <v>2.1</v>
      </c>
      <c r="H27" s="26"/>
      <c r="I27" s="26">
        <v>161.00700000000001</v>
      </c>
      <c r="J27" s="28">
        <v>135.53</v>
      </c>
      <c r="M27" s="29">
        <f>ROUND(ROUND(J27, 2)*I27, 2)</f>
        <v>21821.279999999999</v>
      </c>
      <c r="P27" s="30">
        <v>135.53</v>
      </c>
      <c r="S27" s="29">
        <f>ROUND(ROUND(P27, 2)*I27, 2)</f>
        <v>21821.279999999999</v>
      </c>
      <c r="V27" s="9">
        <f>ROUND(ROUND(P27, 2)/1.2, 2)</f>
        <v>112.94</v>
      </c>
      <c r="Y27" s="9">
        <f t="shared" si="3"/>
        <v>18184.400000000001</v>
      </c>
      <c r="AD27" s="4" t="s">
        <v>124</v>
      </c>
      <c r="AE27" s="4" t="s">
        <v>125</v>
      </c>
      <c r="AF27" s="4" t="s">
        <v>126</v>
      </c>
    </row>
    <row r="28" spans="1:35" ht="18" x14ac:dyDescent="0.35">
      <c r="A28" s="10" t="s">
        <v>127</v>
      </c>
      <c r="B28" s="10"/>
      <c r="C28" s="37" t="s">
        <v>128</v>
      </c>
      <c r="D28" s="15"/>
      <c r="E28" s="15"/>
      <c r="F28" s="25" t="s">
        <v>129</v>
      </c>
      <c r="G28" s="26">
        <v>4.07</v>
      </c>
      <c r="H28" s="27"/>
      <c r="I28" s="27">
        <v>447.00799999999998</v>
      </c>
      <c r="J28" s="28">
        <v>64.56</v>
      </c>
      <c r="M28" s="29">
        <f>ROUND(ROUND(J28, 2)*I28, 2)</f>
        <v>28858.84</v>
      </c>
      <c r="P28" s="30">
        <v>70.97</v>
      </c>
      <c r="S28" s="29">
        <f>ROUND(ROUND(P28, 2)*I28, 2)</f>
        <v>31724.16</v>
      </c>
      <c r="V28" s="9">
        <f>ROUND(ROUND(P28, 2)/1.2, 2)</f>
        <v>59.14</v>
      </c>
      <c r="Y28" s="9">
        <f t="shared" si="3"/>
        <v>26436.799999999999</v>
      </c>
      <c r="AD28" s="4" t="s">
        <v>130</v>
      </c>
      <c r="AE28" s="4" t="s">
        <v>131</v>
      </c>
      <c r="AF28" s="4" t="s">
        <v>132</v>
      </c>
    </row>
    <row r="29" spans="1:35" ht="18" x14ac:dyDescent="0.35">
      <c r="A29" s="10" t="s">
        <v>133</v>
      </c>
      <c r="B29" s="10"/>
      <c r="C29" s="37" t="s">
        <v>134</v>
      </c>
      <c r="D29" s="15"/>
      <c r="E29" s="15"/>
      <c r="F29" s="25" t="s">
        <v>129</v>
      </c>
      <c r="G29" s="26">
        <v>1.42</v>
      </c>
      <c r="H29" s="27"/>
      <c r="I29" s="27">
        <v>357.13</v>
      </c>
      <c r="J29" s="28">
        <v>51.64</v>
      </c>
      <c r="M29" s="29">
        <f>ROUND(ROUND(J29, 2)*I29, 2)</f>
        <v>18442.189999999999</v>
      </c>
      <c r="P29" s="30">
        <v>56.76</v>
      </c>
      <c r="S29" s="29">
        <f>ROUND(ROUND(P29, 2)*I29, 2)</f>
        <v>20270.7</v>
      </c>
      <c r="V29" s="9">
        <f>ROUND(ROUND(P29, 2)/1.2, 2)</f>
        <v>47.3</v>
      </c>
      <c r="Y29" s="9">
        <f t="shared" si="3"/>
        <v>16892.25</v>
      </c>
      <c r="AD29" s="4" t="s">
        <v>135</v>
      </c>
      <c r="AE29" s="4" t="s">
        <v>136</v>
      </c>
      <c r="AF29" s="4" t="s">
        <v>137</v>
      </c>
    </row>
    <row r="30" spans="1:35" ht="36" x14ac:dyDescent="0.35">
      <c r="A30" s="10" t="s">
        <v>138</v>
      </c>
      <c r="B30" s="10" t="s">
        <v>111</v>
      </c>
      <c r="C30" s="14" t="s">
        <v>112</v>
      </c>
      <c r="D30" s="15"/>
      <c r="E30" s="15" t="s">
        <v>139</v>
      </c>
      <c r="F30" s="15" t="s">
        <v>56</v>
      </c>
      <c r="G30" s="16">
        <v>1</v>
      </c>
      <c r="H30" s="16"/>
      <c r="I30" s="16">
        <v>4.1500000000000004</v>
      </c>
      <c r="J30" s="17">
        <f>IFERROR(ROUND(SUM(M31,M32,M33,M34)/I30, 2),0)</f>
        <v>2735.25</v>
      </c>
      <c r="K30" s="18">
        <v>2293</v>
      </c>
      <c r="L30" s="17">
        <f>J30+ROUND(K30, 2)</f>
        <v>5028.25</v>
      </c>
      <c r="M30" s="17">
        <f>ROUND(J30*I30, 2)</f>
        <v>11351.29</v>
      </c>
      <c r="N30" s="17">
        <f>ROUND(I30*ROUND(K30, 2), 2)</f>
        <v>9515.9500000000007</v>
      </c>
      <c r="O30" s="17">
        <f>M30+N30</f>
        <v>20867.240000000002</v>
      </c>
      <c r="P30" s="17">
        <f>IFERROR(ROUND(SUM(S31,S32,S33,S34)/I30, 2),0)</f>
        <v>2968.37</v>
      </c>
      <c r="Q30" s="19">
        <v>2293</v>
      </c>
      <c r="R30" s="17">
        <f>P30+ROUND(Q30, 2)</f>
        <v>5261.37</v>
      </c>
      <c r="S30" s="17">
        <f>ROUND(P30*I30, 2)</f>
        <v>12318.74</v>
      </c>
      <c r="T30" s="17">
        <f>ROUND(I30*ROUND(Q30, 2), 2)</f>
        <v>9515.9500000000007</v>
      </c>
      <c r="U30" s="17">
        <f>S30+T30</f>
        <v>21834.690000000002</v>
      </c>
      <c r="V30" s="9">
        <f>ROUND(P30 / 1.2, 2)</f>
        <v>2473.64</v>
      </c>
      <c r="W30" s="9">
        <f>ROUND(Q30 / 1.2, 2)</f>
        <v>1910.83</v>
      </c>
      <c r="X30" s="9">
        <f>ROUND(R30 / 1.2, 2)</f>
        <v>4384.4799999999996</v>
      </c>
      <c r="Y30" s="9">
        <f t="shared" si="3"/>
        <v>10265.620000000001</v>
      </c>
      <c r="Z30" s="9">
        <f>ROUND(T30 / 1.2, 2)</f>
        <v>7929.96</v>
      </c>
      <c r="AA30" s="9">
        <f>Y30+Z30</f>
        <v>18195.580000000002</v>
      </c>
      <c r="AD30" s="4">
        <v>303752459</v>
      </c>
      <c r="AE30" s="4">
        <v>19932232</v>
      </c>
      <c r="AG30" s="4" t="s">
        <v>114</v>
      </c>
      <c r="AH30" s="4" t="s">
        <v>115</v>
      </c>
      <c r="AI30" s="4" t="s">
        <v>59</v>
      </c>
    </row>
    <row r="31" spans="1:35" ht="18" x14ac:dyDescent="0.35">
      <c r="A31" s="10" t="s">
        <v>140</v>
      </c>
      <c r="B31" s="10"/>
      <c r="C31" s="37" t="s">
        <v>128</v>
      </c>
      <c r="D31" s="15"/>
      <c r="E31" s="15"/>
      <c r="F31" s="25" t="s">
        <v>129</v>
      </c>
      <c r="G31" s="26">
        <v>4.07</v>
      </c>
      <c r="H31" s="27"/>
      <c r="I31" s="27">
        <v>138.78700000000001</v>
      </c>
      <c r="J31" s="28">
        <v>64.56</v>
      </c>
      <c r="M31" s="29">
        <f>ROUND(ROUND(J31, 2)*I31, 2)</f>
        <v>8960.09</v>
      </c>
      <c r="P31" s="30">
        <v>70.97</v>
      </c>
      <c r="S31" s="29">
        <f>ROUND(ROUND(P31, 2)*I31, 2)</f>
        <v>9849.7099999999991</v>
      </c>
      <c r="V31" s="9">
        <f>ROUND(ROUND(P31, 2)/1.2, 2)</f>
        <v>59.14</v>
      </c>
      <c r="Y31" s="9">
        <f t="shared" si="3"/>
        <v>8208.09</v>
      </c>
      <c r="AD31" s="4" t="s">
        <v>141</v>
      </c>
      <c r="AE31" s="4" t="s">
        <v>142</v>
      </c>
      <c r="AF31" s="4" t="s">
        <v>132</v>
      </c>
    </row>
    <row r="32" spans="1:35" ht="18" x14ac:dyDescent="0.35">
      <c r="A32" s="10" t="s">
        <v>143</v>
      </c>
      <c r="B32" s="10"/>
      <c r="C32" s="37" t="s">
        <v>134</v>
      </c>
      <c r="D32" s="15"/>
      <c r="E32" s="15"/>
      <c r="F32" s="25" t="s">
        <v>129</v>
      </c>
      <c r="G32" s="26">
        <v>1.42</v>
      </c>
      <c r="H32" s="27"/>
      <c r="I32" s="27">
        <v>15.208</v>
      </c>
      <c r="J32" s="28">
        <v>51.64</v>
      </c>
      <c r="M32" s="29">
        <f>ROUND(ROUND(J32, 2)*I32, 2)</f>
        <v>785.34</v>
      </c>
      <c r="P32" s="30">
        <v>56.76</v>
      </c>
      <c r="S32" s="29">
        <f>ROUND(ROUND(P32, 2)*I32, 2)</f>
        <v>863.21</v>
      </c>
      <c r="V32" s="9">
        <f>ROUND(ROUND(P32, 2)/1.2, 2)</f>
        <v>47.3</v>
      </c>
      <c r="Y32" s="9">
        <f t="shared" si="3"/>
        <v>719.34</v>
      </c>
      <c r="AD32" s="4" t="s">
        <v>144</v>
      </c>
      <c r="AE32" s="4" t="s">
        <v>145</v>
      </c>
      <c r="AF32" s="4" t="s">
        <v>137</v>
      </c>
    </row>
    <row r="33" spans="1:35" ht="36" x14ac:dyDescent="0.35">
      <c r="A33" s="10" t="s">
        <v>146</v>
      </c>
      <c r="B33" s="10"/>
      <c r="C33" s="24" t="s">
        <v>122</v>
      </c>
      <c r="D33" s="15"/>
      <c r="E33" s="15"/>
      <c r="F33" s="25" t="s">
        <v>56</v>
      </c>
      <c r="G33" s="26">
        <v>2.1</v>
      </c>
      <c r="H33" s="26"/>
      <c r="I33" s="26">
        <v>8.7149999999999999</v>
      </c>
      <c r="J33" s="28">
        <v>135.53</v>
      </c>
      <c r="M33" s="29">
        <f>ROUND(ROUND(J33, 2)*I33, 2)</f>
        <v>1181.1400000000001</v>
      </c>
      <c r="P33" s="30">
        <v>135.53</v>
      </c>
      <c r="S33" s="29">
        <f>ROUND(ROUND(P33, 2)*I33, 2)</f>
        <v>1181.1400000000001</v>
      </c>
      <c r="V33" s="9">
        <f>ROUND(ROUND(P33, 2)/1.2, 2)</f>
        <v>112.94</v>
      </c>
      <c r="Y33" s="9">
        <f t="shared" si="3"/>
        <v>984.28</v>
      </c>
      <c r="AD33" s="4" t="s">
        <v>147</v>
      </c>
      <c r="AE33" s="4" t="s">
        <v>148</v>
      </c>
      <c r="AF33" s="4" t="s">
        <v>126</v>
      </c>
    </row>
    <row r="34" spans="1:35" ht="54" x14ac:dyDescent="0.35">
      <c r="A34" s="10" t="s">
        <v>149</v>
      </c>
      <c r="B34" s="10"/>
      <c r="C34" s="24" t="s">
        <v>117</v>
      </c>
      <c r="D34" s="15"/>
      <c r="E34" s="15"/>
      <c r="F34" s="25" t="s">
        <v>87</v>
      </c>
      <c r="G34" s="26">
        <v>1</v>
      </c>
      <c r="H34" s="26"/>
      <c r="I34" s="26">
        <v>4.1500000000000004</v>
      </c>
      <c r="J34" s="28">
        <v>102.34</v>
      </c>
      <c r="M34" s="29">
        <f>ROUND(ROUND(J34, 2)*I34, 2)</f>
        <v>424.71</v>
      </c>
      <c r="P34" s="30">
        <v>102.33</v>
      </c>
      <c r="S34" s="29">
        <f>ROUND(ROUND(P34, 2)*I34, 2)</f>
        <v>424.67</v>
      </c>
      <c r="V34" s="9">
        <f>ROUND(ROUND(P34, 2)/1.2, 2)</f>
        <v>85.28</v>
      </c>
      <c r="Y34" s="9">
        <f t="shared" si="3"/>
        <v>353.89</v>
      </c>
      <c r="AD34" s="4" t="s">
        <v>150</v>
      </c>
      <c r="AE34" s="4" t="s">
        <v>151</v>
      </c>
      <c r="AF34" s="4" t="s">
        <v>120</v>
      </c>
    </row>
    <row r="35" spans="1:35" ht="36" x14ac:dyDescent="0.35">
      <c r="A35" s="10" t="s">
        <v>152</v>
      </c>
      <c r="B35" s="10" t="s">
        <v>111</v>
      </c>
      <c r="C35" s="14" t="s">
        <v>112</v>
      </c>
      <c r="D35" s="15"/>
      <c r="E35" s="15" t="s">
        <v>153</v>
      </c>
      <c r="F35" s="15" t="s">
        <v>56</v>
      </c>
      <c r="G35" s="16">
        <v>1</v>
      </c>
      <c r="H35" s="16"/>
      <c r="I35" s="16">
        <v>35.130000000000003</v>
      </c>
      <c r="J35" s="17">
        <f>IFERROR(ROUND(SUM(M36,M37,M38,M39)/I35, 2),0)</f>
        <v>966.15</v>
      </c>
      <c r="K35" s="18">
        <v>2293</v>
      </c>
      <c r="L35" s="17">
        <f>J35+ROUND(K35, 2)</f>
        <v>3259.15</v>
      </c>
      <c r="M35" s="17">
        <f>ROUND(J35*I35, 2)</f>
        <v>33940.85</v>
      </c>
      <c r="N35" s="17">
        <f>ROUND(I35*ROUND(K35, 2), 2)</f>
        <v>80553.09</v>
      </c>
      <c r="O35" s="17">
        <f>M35+N35</f>
        <v>114493.94</v>
      </c>
      <c r="P35" s="17">
        <f>IFERROR(ROUND(SUM(S36,S37,S38,S39)/I35, 2),0)</f>
        <v>1023.61</v>
      </c>
      <c r="Q35" s="19">
        <v>2293</v>
      </c>
      <c r="R35" s="17">
        <f>P35+ROUND(Q35, 2)</f>
        <v>3316.61</v>
      </c>
      <c r="S35" s="17">
        <f>ROUND(P35*I35, 2)</f>
        <v>35959.42</v>
      </c>
      <c r="T35" s="17">
        <f>ROUND(I35*ROUND(Q35, 2), 2)</f>
        <v>80553.09</v>
      </c>
      <c r="U35" s="17">
        <f>S35+T35</f>
        <v>116512.51</v>
      </c>
      <c r="V35" s="9">
        <f>ROUND(P35 / 1.2, 2)</f>
        <v>853.01</v>
      </c>
      <c r="W35" s="9">
        <f>ROUND(Q35 / 1.2, 2)</f>
        <v>1910.83</v>
      </c>
      <c r="X35" s="9">
        <f>ROUND(R35 / 1.2, 2)</f>
        <v>2763.84</v>
      </c>
      <c r="Y35" s="9">
        <f t="shared" si="3"/>
        <v>29966.18</v>
      </c>
      <c r="Z35" s="9">
        <f>ROUND(T35 / 1.2, 2)</f>
        <v>67127.58</v>
      </c>
      <c r="AA35" s="9">
        <f>Y35+Z35</f>
        <v>97093.760000000009</v>
      </c>
      <c r="AD35" s="4">
        <v>303752460</v>
      </c>
      <c r="AE35" s="4">
        <v>19932231</v>
      </c>
      <c r="AG35" s="4" t="s">
        <v>114</v>
      </c>
      <c r="AH35" s="4" t="s">
        <v>115</v>
      </c>
      <c r="AI35" s="4" t="s">
        <v>59</v>
      </c>
    </row>
    <row r="36" spans="1:35" ht="18" x14ac:dyDescent="0.35">
      <c r="A36" s="10" t="s">
        <v>154</v>
      </c>
      <c r="B36" s="10"/>
      <c r="C36" s="37" t="s">
        <v>128</v>
      </c>
      <c r="D36" s="15"/>
      <c r="E36" s="15"/>
      <c r="F36" s="25" t="s">
        <v>129</v>
      </c>
      <c r="G36" s="26">
        <v>4.07</v>
      </c>
      <c r="H36" s="27"/>
      <c r="I36" s="27">
        <v>190.476</v>
      </c>
      <c r="J36" s="28">
        <v>64.56</v>
      </c>
      <c r="M36" s="29">
        <f>ROUND(ROUND(J36, 2)*I36, 2)</f>
        <v>12297.13</v>
      </c>
      <c r="P36" s="30">
        <v>70.97</v>
      </c>
      <c r="S36" s="29">
        <f>ROUND(ROUND(P36, 2)*I36, 2)</f>
        <v>13518.08</v>
      </c>
      <c r="V36" s="9">
        <f>ROUND(ROUND(P36, 2)/1.2, 2)</f>
        <v>59.14</v>
      </c>
      <c r="Y36" s="9">
        <f t="shared" si="3"/>
        <v>11265.07</v>
      </c>
      <c r="AD36" s="4" t="s">
        <v>155</v>
      </c>
      <c r="AE36" s="4" t="s">
        <v>156</v>
      </c>
      <c r="AF36" s="4" t="s">
        <v>132</v>
      </c>
    </row>
    <row r="37" spans="1:35" ht="18" x14ac:dyDescent="0.35">
      <c r="A37" s="10" t="s">
        <v>157</v>
      </c>
      <c r="B37" s="10"/>
      <c r="C37" s="37" t="s">
        <v>134</v>
      </c>
      <c r="D37" s="15"/>
      <c r="E37" s="15"/>
      <c r="F37" s="25" t="s">
        <v>129</v>
      </c>
      <c r="G37" s="26">
        <v>1.42</v>
      </c>
      <c r="H37" s="27"/>
      <c r="I37" s="27">
        <v>155.88800000000001</v>
      </c>
      <c r="J37" s="28">
        <v>51.64</v>
      </c>
      <c r="M37" s="29">
        <f>ROUND(ROUND(J37, 2)*I37, 2)</f>
        <v>8050.06</v>
      </c>
      <c r="P37" s="30">
        <v>56.76</v>
      </c>
      <c r="S37" s="29">
        <f>ROUND(ROUND(P37, 2)*I37, 2)</f>
        <v>8848.2000000000007</v>
      </c>
      <c r="V37" s="9">
        <f>ROUND(ROUND(P37, 2)/1.2, 2)</f>
        <v>47.3</v>
      </c>
      <c r="Y37" s="9">
        <f t="shared" si="3"/>
        <v>7373.5</v>
      </c>
      <c r="AD37" s="4" t="s">
        <v>158</v>
      </c>
      <c r="AE37" s="4" t="s">
        <v>159</v>
      </c>
      <c r="AF37" s="4" t="s">
        <v>137</v>
      </c>
    </row>
    <row r="38" spans="1:35" ht="36" x14ac:dyDescent="0.35">
      <c r="A38" s="10" t="s">
        <v>160</v>
      </c>
      <c r="B38" s="10"/>
      <c r="C38" s="24" t="s">
        <v>122</v>
      </c>
      <c r="D38" s="15"/>
      <c r="E38" s="15"/>
      <c r="F38" s="25" t="s">
        <v>56</v>
      </c>
      <c r="G38" s="26">
        <v>2.1</v>
      </c>
      <c r="H38" s="26"/>
      <c r="I38" s="26">
        <v>73.772999999999996</v>
      </c>
      <c r="J38" s="28">
        <v>135.53</v>
      </c>
      <c r="M38" s="29">
        <f>ROUND(ROUND(J38, 2)*I38, 2)</f>
        <v>9998.4500000000007</v>
      </c>
      <c r="P38" s="30">
        <v>135.53</v>
      </c>
      <c r="S38" s="29">
        <f>ROUND(ROUND(P38, 2)*I38, 2)</f>
        <v>9998.4500000000007</v>
      </c>
      <c r="V38" s="9">
        <f>ROUND(ROUND(P38, 2)/1.2, 2)</f>
        <v>112.94</v>
      </c>
      <c r="Y38" s="9">
        <f t="shared" si="3"/>
        <v>8332.0400000000009</v>
      </c>
      <c r="AD38" s="4" t="s">
        <v>161</v>
      </c>
      <c r="AE38" s="4" t="s">
        <v>162</v>
      </c>
      <c r="AF38" s="4" t="s">
        <v>126</v>
      </c>
    </row>
    <row r="39" spans="1:35" ht="54" x14ac:dyDescent="0.35">
      <c r="A39" s="10" t="s">
        <v>163</v>
      </c>
      <c r="B39" s="10"/>
      <c r="C39" s="24" t="s">
        <v>117</v>
      </c>
      <c r="D39" s="15"/>
      <c r="E39" s="15"/>
      <c r="F39" s="25" t="s">
        <v>87</v>
      </c>
      <c r="G39" s="26">
        <v>1</v>
      </c>
      <c r="H39" s="26"/>
      <c r="I39" s="26">
        <v>35.130000000000003</v>
      </c>
      <c r="J39" s="28">
        <v>102.34</v>
      </c>
      <c r="M39" s="29">
        <f>ROUND(ROUND(J39, 2)*I39, 2)</f>
        <v>3595.2</v>
      </c>
      <c r="P39" s="30">
        <v>102.33</v>
      </c>
      <c r="S39" s="29">
        <f>ROUND(ROUND(P39, 2)*I39, 2)</f>
        <v>3594.85</v>
      </c>
      <c r="V39" s="9">
        <f>ROUND(ROUND(P39, 2)/1.2, 2)</f>
        <v>85.28</v>
      </c>
      <c r="Y39" s="9">
        <f t="shared" si="3"/>
        <v>2995.71</v>
      </c>
      <c r="AD39" s="4" t="s">
        <v>164</v>
      </c>
      <c r="AE39" s="4" t="s">
        <v>165</v>
      </c>
      <c r="AF39" s="4" t="s">
        <v>120</v>
      </c>
    </row>
    <row r="40" spans="1:35" ht="126" x14ac:dyDescent="0.35">
      <c r="A40" s="10" t="s">
        <v>166</v>
      </c>
      <c r="B40" s="10" t="s">
        <v>167</v>
      </c>
      <c r="C40" s="14" t="s">
        <v>168</v>
      </c>
      <c r="D40" s="15" t="s">
        <v>75</v>
      </c>
      <c r="E40" s="15" t="s">
        <v>169</v>
      </c>
      <c r="F40" s="15" t="s">
        <v>56</v>
      </c>
      <c r="G40" s="16">
        <v>1</v>
      </c>
      <c r="H40" s="16"/>
      <c r="I40" s="16">
        <v>0</v>
      </c>
      <c r="J40" s="17">
        <f>IFERROR(ROUND(SUM(M41,M42,M43,M44)/I40, 2),0)</f>
        <v>0</v>
      </c>
      <c r="K40" s="18">
        <v>1064</v>
      </c>
      <c r="L40" s="17">
        <f>J40+ROUND(K40, 2)</f>
        <v>1064</v>
      </c>
      <c r="M40" s="17">
        <f>ROUND(J40*I40, 2)</f>
        <v>0</v>
      </c>
      <c r="N40" s="17">
        <f>ROUND(I40*ROUND(K40, 2), 2)</f>
        <v>0</v>
      </c>
      <c r="O40" s="17">
        <f>M40+N40</f>
        <v>0</v>
      </c>
      <c r="P40" s="17">
        <f>IFERROR(ROUND(SUM(S41,S42,S43,S44)/I40, 2),0)</f>
        <v>0</v>
      </c>
      <c r="Q40" s="18">
        <v>1064</v>
      </c>
      <c r="R40" s="17">
        <f>P40+ROUND(Q40, 2)</f>
        <v>1064</v>
      </c>
      <c r="S40" s="17">
        <f>ROUND(P40*I40, 2)</f>
        <v>0</v>
      </c>
      <c r="T40" s="17">
        <f>ROUND(I40*ROUND(Q40, 2), 2)</f>
        <v>0</v>
      </c>
      <c r="U40" s="17">
        <f>S40+T40</f>
        <v>0</v>
      </c>
      <c r="V40" s="9">
        <f>ROUND(P40 / 1.2, 2)</f>
        <v>0</v>
      </c>
      <c r="W40" s="9">
        <f>ROUND(Q40 / 1.2, 2)</f>
        <v>886.67</v>
      </c>
      <c r="X40" s="9">
        <f>ROUND(R40 / 1.2, 2)</f>
        <v>886.67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303752381</v>
      </c>
      <c r="AE40" s="4">
        <v>16084977</v>
      </c>
      <c r="AG40" s="4" t="s">
        <v>170</v>
      </c>
      <c r="AH40" s="4" t="s">
        <v>171</v>
      </c>
      <c r="AI40" s="4" t="s">
        <v>59</v>
      </c>
    </row>
    <row r="41" spans="1:35" ht="54" x14ac:dyDescent="0.35">
      <c r="A41" s="10" t="s">
        <v>173</v>
      </c>
      <c r="B41" s="10"/>
      <c r="C41" s="24" t="s">
        <v>174</v>
      </c>
      <c r="D41" s="15"/>
      <c r="E41" s="15"/>
      <c r="F41" s="25" t="s">
        <v>87</v>
      </c>
      <c r="G41" s="26">
        <v>1</v>
      </c>
      <c r="H41" s="26"/>
      <c r="I41" s="26">
        <v>0</v>
      </c>
      <c r="J41" s="28">
        <v>43.7</v>
      </c>
      <c r="M41" s="29">
        <f>ROUND(ROUND(J41, 2)*I41, 2)</f>
        <v>0</v>
      </c>
      <c r="P41" s="28">
        <v>43.7</v>
      </c>
      <c r="S41" s="29">
        <f>ROUND(ROUND(P41, 2)*I41, 2)</f>
        <v>0</v>
      </c>
      <c r="V41" s="9">
        <f>ROUND(ROUND(P41, 2)/1.2, 2)</f>
        <v>36.42</v>
      </c>
      <c r="Y41" s="9">
        <f t="shared" si="3"/>
        <v>0</v>
      </c>
      <c r="AD41" s="4" t="s">
        <v>175</v>
      </c>
      <c r="AE41" s="4" t="s">
        <v>176</v>
      </c>
      <c r="AF41" s="4" t="s">
        <v>177</v>
      </c>
    </row>
    <row r="42" spans="1:35" ht="18" x14ac:dyDescent="0.35">
      <c r="A42" s="10" t="s">
        <v>180</v>
      </c>
      <c r="B42" s="10"/>
      <c r="C42" s="24" t="s">
        <v>181</v>
      </c>
      <c r="D42" s="15"/>
      <c r="E42" s="15"/>
      <c r="F42" s="25" t="s">
        <v>129</v>
      </c>
      <c r="G42" s="26">
        <v>2.1</v>
      </c>
      <c r="H42" s="26"/>
      <c r="I42" s="26">
        <v>0</v>
      </c>
      <c r="J42" s="28">
        <v>95.07</v>
      </c>
      <c r="M42" s="29">
        <f>ROUND(ROUND(J42, 2)*I42, 2)</f>
        <v>0</v>
      </c>
      <c r="P42" s="28">
        <v>95.07</v>
      </c>
      <c r="S42" s="29">
        <f>ROUND(ROUND(P42, 2)*I42, 2)</f>
        <v>0</v>
      </c>
      <c r="V42" s="9">
        <f>ROUND(ROUND(P42, 2)/1.2, 2)</f>
        <v>79.23</v>
      </c>
      <c r="Y42" s="9">
        <f t="shared" si="3"/>
        <v>0</v>
      </c>
      <c r="AD42" s="4" t="s">
        <v>182</v>
      </c>
      <c r="AE42" s="4" t="s">
        <v>183</v>
      </c>
      <c r="AF42" s="4" t="s">
        <v>184</v>
      </c>
    </row>
    <row r="43" spans="1:35" ht="18" x14ac:dyDescent="0.35">
      <c r="A43" s="10" t="s">
        <v>187</v>
      </c>
      <c r="B43" s="10"/>
      <c r="C43" s="24" t="s">
        <v>188</v>
      </c>
      <c r="D43" s="15"/>
      <c r="E43" s="15"/>
      <c r="F43" s="25" t="s">
        <v>129</v>
      </c>
      <c r="G43" s="26">
        <v>0.8</v>
      </c>
      <c r="H43" s="26"/>
      <c r="I43" s="26">
        <v>0</v>
      </c>
      <c r="J43" s="28">
        <v>69.39</v>
      </c>
      <c r="M43" s="29">
        <f>ROUND(ROUND(J43, 2)*I43, 2)</f>
        <v>0</v>
      </c>
      <c r="P43" s="28">
        <v>69.39</v>
      </c>
      <c r="S43" s="29">
        <f>ROUND(ROUND(P43, 2)*I43, 2)</f>
        <v>0</v>
      </c>
      <c r="V43" s="9">
        <f>ROUND(ROUND(P43, 2)/1.2, 2)</f>
        <v>57.83</v>
      </c>
      <c r="Y43" s="9">
        <f t="shared" si="3"/>
        <v>0</v>
      </c>
      <c r="AD43" s="4" t="s">
        <v>189</v>
      </c>
      <c r="AE43" s="4" t="s">
        <v>190</v>
      </c>
      <c r="AF43" s="4" t="s">
        <v>191</v>
      </c>
    </row>
    <row r="44" spans="1:35" ht="18" x14ac:dyDescent="0.35">
      <c r="A44" s="10" t="s">
        <v>194</v>
      </c>
      <c r="B44" s="10"/>
      <c r="C44" s="37" t="s">
        <v>195</v>
      </c>
      <c r="D44" s="15"/>
      <c r="E44" s="15"/>
      <c r="F44" s="25" t="s">
        <v>56</v>
      </c>
      <c r="G44" s="26">
        <v>1.1000000000000001</v>
      </c>
      <c r="H44" s="26"/>
      <c r="I44" s="26">
        <v>0</v>
      </c>
      <c r="J44" s="28">
        <v>207.33</v>
      </c>
      <c r="M44" s="29">
        <f>ROUND(ROUND(J44, 2)*I44, 2)</f>
        <v>0</v>
      </c>
      <c r="P44" s="28">
        <v>207.33</v>
      </c>
      <c r="S44" s="29">
        <f>ROUND(ROUND(P44, 2)*I44, 2)</f>
        <v>0</v>
      </c>
      <c r="V44" s="9">
        <f>ROUND(ROUND(P44, 2)/1.2, 2)</f>
        <v>172.78</v>
      </c>
      <c r="Y44" s="9">
        <f t="shared" si="3"/>
        <v>0</v>
      </c>
      <c r="AD44" s="4" t="s">
        <v>196</v>
      </c>
      <c r="AE44" s="4" t="s">
        <v>197</v>
      </c>
      <c r="AF44" s="4" t="s">
        <v>198</v>
      </c>
    </row>
    <row r="45" spans="1:35" ht="17" customHeight="1" x14ac:dyDescent="0.35">
      <c r="A45" s="10" t="s">
        <v>201</v>
      </c>
      <c r="B45" s="10" t="s">
        <v>202</v>
      </c>
      <c r="C45" s="100" t="s">
        <v>203</v>
      </c>
      <c r="D45" s="101"/>
      <c r="E45" s="101"/>
      <c r="F45" s="101"/>
      <c r="G45" s="101"/>
      <c r="H45" s="101"/>
      <c r="I45" s="102"/>
      <c r="M45" s="6">
        <f>SUM(M46)</f>
        <v>4957.96</v>
      </c>
      <c r="N45" s="6">
        <f>SUM(N46)</f>
        <v>3524.76</v>
      </c>
      <c r="O45" s="6">
        <f>SUM(O46)</f>
        <v>8482.7200000000012</v>
      </c>
      <c r="S45" s="6">
        <f>SUM(S46)</f>
        <v>5010.2</v>
      </c>
      <c r="T45" s="6">
        <f>SUM(T46)</f>
        <v>3524.76</v>
      </c>
      <c r="U45" s="6">
        <f>SUM(U46)</f>
        <v>8534.9599999999991</v>
      </c>
      <c r="Y45" s="9">
        <f>SUM(Y46)</f>
        <v>4175.17</v>
      </c>
      <c r="Z45" s="9">
        <f>SUM(Z46)</f>
        <v>2937.3</v>
      </c>
      <c r="AA45" s="9">
        <f>SUM(AA46)</f>
        <v>7112.47</v>
      </c>
      <c r="AD45" s="4">
        <v>303752382</v>
      </c>
      <c r="AE45" s="4">
        <v>19930591</v>
      </c>
    </row>
    <row r="46" spans="1:35" ht="36" x14ac:dyDescent="0.35">
      <c r="A46" s="10" t="s">
        <v>204</v>
      </c>
      <c r="B46" s="10" t="s">
        <v>205</v>
      </c>
      <c r="C46" s="14" t="s">
        <v>206</v>
      </c>
      <c r="D46" s="15" t="s">
        <v>75</v>
      </c>
      <c r="E46" s="15" t="s">
        <v>76</v>
      </c>
      <c r="F46" s="15" t="s">
        <v>207</v>
      </c>
      <c r="G46" s="16">
        <v>1</v>
      </c>
      <c r="H46" s="16"/>
      <c r="I46" s="16">
        <v>0.06</v>
      </c>
      <c r="J46" s="17">
        <f>IFERROR(ROUND(SUM(M47,M48,M49)/I46, 2),0)</f>
        <v>82632.67</v>
      </c>
      <c r="K46" s="18">
        <v>58746</v>
      </c>
      <c r="L46" s="17">
        <f>J46+ROUND(K46, 2)</f>
        <v>141378.66999999998</v>
      </c>
      <c r="M46" s="17">
        <f>ROUND(J46*I46, 2)</f>
        <v>4957.96</v>
      </c>
      <c r="N46" s="17">
        <f>ROUND(I46*ROUND(K46, 2), 2)</f>
        <v>3524.76</v>
      </c>
      <c r="O46" s="17">
        <f>M46+N46</f>
        <v>8482.7200000000012</v>
      </c>
      <c r="P46" s="17">
        <f>IFERROR(ROUND(SUM(S47,S48,S49)/I46, 2),0)</f>
        <v>83503.33</v>
      </c>
      <c r="Q46" s="19">
        <v>58746</v>
      </c>
      <c r="R46" s="17">
        <f>P46+ROUND(Q46, 2)</f>
        <v>142249.33000000002</v>
      </c>
      <c r="S46" s="17">
        <f>ROUND(P46*I46, 2)</f>
        <v>5010.2</v>
      </c>
      <c r="T46" s="17">
        <f>ROUND(I46*ROUND(Q46, 2), 2)</f>
        <v>3524.76</v>
      </c>
      <c r="U46" s="17">
        <f>S46+T46</f>
        <v>8534.9599999999991</v>
      </c>
      <c r="V46" s="9">
        <f>ROUND(P46 / 1.2, 2)</f>
        <v>69586.11</v>
      </c>
      <c r="W46" s="9">
        <f>ROUND(Q46 / 1.2, 2)</f>
        <v>48955</v>
      </c>
      <c r="X46" s="9">
        <f>ROUND(R46 / 1.2, 2)</f>
        <v>118541.11</v>
      </c>
      <c r="Y46" s="9">
        <f>ROUND(S46 / 1.2, 2)</f>
        <v>4175.17</v>
      </c>
      <c r="Z46" s="9">
        <f>ROUND(T46 / 1.2, 2)</f>
        <v>2937.3</v>
      </c>
      <c r="AA46" s="9">
        <f>Y46+Z46</f>
        <v>7112.47</v>
      </c>
      <c r="AD46" s="4">
        <v>303752384</v>
      </c>
      <c r="AE46" s="4">
        <v>19930594</v>
      </c>
      <c r="AG46" s="4" t="s">
        <v>208</v>
      </c>
      <c r="AH46" s="4" t="s">
        <v>209</v>
      </c>
      <c r="AI46" s="4" t="s">
        <v>59</v>
      </c>
    </row>
    <row r="47" spans="1:35" ht="18" x14ac:dyDescent="0.35">
      <c r="A47" s="10" t="s">
        <v>210</v>
      </c>
      <c r="B47" s="10"/>
      <c r="C47" s="24" t="s">
        <v>211</v>
      </c>
      <c r="D47" s="15"/>
      <c r="E47" s="15"/>
      <c r="F47" s="25" t="s">
        <v>103</v>
      </c>
      <c r="G47" s="26">
        <v>1</v>
      </c>
      <c r="H47" s="27"/>
      <c r="I47" s="27">
        <v>2</v>
      </c>
      <c r="J47" s="28">
        <v>0</v>
      </c>
      <c r="M47" s="29">
        <f>ROUND(ROUND(J47, 2)*I47, 2)</f>
        <v>0</v>
      </c>
      <c r="P47" s="30">
        <v>26.12</v>
      </c>
      <c r="S47" s="29">
        <f>ROUND(ROUND(P47, 2)*I47, 2)</f>
        <v>52.24</v>
      </c>
      <c r="V47" s="9">
        <f>ROUND(ROUND(P47, 2)/1.2, 2)</f>
        <v>21.77</v>
      </c>
      <c r="Y47" s="9">
        <f>ROUND(S47 / 1.2, 2)</f>
        <v>43.53</v>
      </c>
      <c r="AD47" s="4" t="s">
        <v>212</v>
      </c>
      <c r="AE47" s="4" t="s">
        <v>213</v>
      </c>
      <c r="AF47" s="4" t="s">
        <v>214</v>
      </c>
    </row>
    <row r="48" spans="1:35" ht="18" x14ac:dyDescent="0.35">
      <c r="A48" s="10" t="s">
        <v>215</v>
      </c>
      <c r="B48" s="10"/>
      <c r="C48" s="24" t="s">
        <v>216</v>
      </c>
      <c r="D48" s="15"/>
      <c r="E48" s="15"/>
      <c r="F48" s="25" t="s">
        <v>207</v>
      </c>
      <c r="G48" s="26">
        <v>1.03</v>
      </c>
      <c r="H48" s="27"/>
      <c r="I48" s="27">
        <v>6.2E-2</v>
      </c>
      <c r="J48" s="28">
        <v>77175</v>
      </c>
      <c r="M48" s="29">
        <f>ROUND(ROUND(J48, 2)*I48, 2)</f>
        <v>4784.8500000000004</v>
      </c>
      <c r="P48" s="30">
        <v>77175</v>
      </c>
      <c r="S48" s="29">
        <f>ROUND(ROUND(P48, 2)*I48, 2)</f>
        <v>4784.8500000000004</v>
      </c>
      <c r="V48" s="9">
        <f>ROUND(ROUND(P48, 2)/1.2, 2)</f>
        <v>64312.5</v>
      </c>
      <c r="Y48" s="9">
        <f>ROUND(S48 / 1.2, 2)</f>
        <v>3987.38</v>
      </c>
      <c r="AD48" s="4" t="s">
        <v>217</v>
      </c>
      <c r="AE48" s="4" t="s">
        <v>218</v>
      </c>
      <c r="AF48" s="4" t="s">
        <v>219</v>
      </c>
    </row>
    <row r="49" spans="1:35" ht="36" x14ac:dyDescent="0.35">
      <c r="A49" s="10" t="s">
        <v>220</v>
      </c>
      <c r="B49" s="10"/>
      <c r="C49" s="24" t="s">
        <v>221</v>
      </c>
      <c r="D49" s="15"/>
      <c r="E49" s="15"/>
      <c r="F49" s="25" t="s">
        <v>87</v>
      </c>
      <c r="G49" s="26">
        <v>1</v>
      </c>
      <c r="H49" s="26"/>
      <c r="I49" s="26">
        <v>0.06</v>
      </c>
      <c r="J49" s="28">
        <v>2885.15</v>
      </c>
      <c r="M49" s="29">
        <f>ROUND(ROUND(J49, 2)*I49, 2)</f>
        <v>173.11</v>
      </c>
      <c r="P49" s="30">
        <v>2885.15</v>
      </c>
      <c r="S49" s="29">
        <f>ROUND(ROUND(P49, 2)*I49, 2)</f>
        <v>173.11</v>
      </c>
      <c r="V49" s="9">
        <f>ROUND(ROUND(P49, 2)/1.2, 2)</f>
        <v>2404.29</v>
      </c>
      <c r="Y49" s="9">
        <f>ROUND(S49 / 1.2, 2)</f>
        <v>144.26</v>
      </c>
      <c r="AD49" s="4" t="s">
        <v>222</v>
      </c>
      <c r="AE49" s="4" t="s">
        <v>223</v>
      </c>
      <c r="AF49" s="4" t="s">
        <v>224</v>
      </c>
    </row>
    <row r="50" spans="1:35" ht="17" customHeight="1" x14ac:dyDescent="0.35">
      <c r="A50" s="10" t="s">
        <v>225</v>
      </c>
      <c r="B50" s="10" t="s">
        <v>226</v>
      </c>
      <c r="C50" s="100" t="s">
        <v>227</v>
      </c>
      <c r="D50" s="101"/>
      <c r="E50" s="101"/>
      <c r="F50" s="101"/>
      <c r="G50" s="101"/>
      <c r="H50" s="101"/>
      <c r="I50" s="102"/>
      <c r="M50" s="6">
        <f t="shared" ref="M50:O51" si="4">SUM(M51)</f>
        <v>2964233.43</v>
      </c>
      <c r="N50" s="6">
        <f t="shared" si="4"/>
        <v>11062288.880000001</v>
      </c>
      <c r="O50" s="6">
        <f t="shared" si="4"/>
        <v>14026522.310000001</v>
      </c>
      <c r="S50" s="6">
        <f t="shared" ref="S50:U51" si="5">SUM(S51)</f>
        <v>3738329.8700000006</v>
      </c>
      <c r="T50" s="6">
        <f t="shared" si="5"/>
        <v>10933878.319999998</v>
      </c>
      <c r="U50" s="6">
        <f t="shared" si="5"/>
        <v>14672208.189999999</v>
      </c>
      <c r="Y50" s="9">
        <f t="shared" ref="Y50:AA51" si="6">SUM(Y51)</f>
        <v>3115274.94</v>
      </c>
      <c r="Z50" s="9">
        <f t="shared" si="6"/>
        <v>9111565.290000001</v>
      </c>
      <c r="AA50" s="9">
        <f t="shared" si="6"/>
        <v>12226840.229999997</v>
      </c>
      <c r="AD50" s="4">
        <v>303752385</v>
      </c>
      <c r="AE50" s="4">
        <v>16075339</v>
      </c>
    </row>
    <row r="51" spans="1:35" ht="17" customHeight="1" x14ac:dyDescent="0.35">
      <c r="A51" s="10" t="s">
        <v>228</v>
      </c>
      <c r="B51" s="10" t="s">
        <v>229</v>
      </c>
      <c r="C51" s="100" t="s">
        <v>230</v>
      </c>
      <c r="D51" s="101"/>
      <c r="E51" s="101"/>
      <c r="F51" s="101"/>
      <c r="G51" s="101"/>
      <c r="H51" s="101"/>
      <c r="I51" s="102"/>
      <c r="M51" s="6">
        <f t="shared" si="4"/>
        <v>2964233.43</v>
      </c>
      <c r="N51" s="6">
        <f t="shared" si="4"/>
        <v>11062288.880000001</v>
      </c>
      <c r="O51" s="6">
        <f t="shared" si="4"/>
        <v>14026522.310000001</v>
      </c>
      <c r="S51" s="6">
        <f t="shared" si="5"/>
        <v>3738329.8700000006</v>
      </c>
      <c r="T51" s="6">
        <f t="shared" si="5"/>
        <v>10933878.319999998</v>
      </c>
      <c r="U51" s="6">
        <f t="shared" si="5"/>
        <v>14672208.189999999</v>
      </c>
      <c r="Y51" s="9">
        <f t="shared" si="6"/>
        <v>3115274.94</v>
      </c>
      <c r="Z51" s="9">
        <f t="shared" si="6"/>
        <v>9111565.290000001</v>
      </c>
      <c r="AA51" s="9">
        <f t="shared" si="6"/>
        <v>12226840.229999997</v>
      </c>
      <c r="AD51" s="4">
        <v>303752386</v>
      </c>
      <c r="AE51" s="4">
        <v>16075340</v>
      </c>
    </row>
    <row r="52" spans="1:35" ht="17" customHeight="1" x14ac:dyDescent="0.35">
      <c r="A52" s="10" t="s">
        <v>231</v>
      </c>
      <c r="B52" s="10" t="s">
        <v>232</v>
      </c>
      <c r="C52" s="100" t="s">
        <v>233</v>
      </c>
      <c r="D52" s="101"/>
      <c r="E52" s="101"/>
      <c r="F52" s="101"/>
      <c r="G52" s="101"/>
      <c r="H52" s="101"/>
      <c r="I52" s="102"/>
      <c r="M52" s="6">
        <f>SUM(M53,M129,M353,M398)</f>
        <v>2964233.43</v>
      </c>
      <c r="N52" s="6">
        <f>SUM(N53,N129,N353,N398)</f>
        <v>11062288.880000001</v>
      </c>
      <c r="O52" s="6">
        <f>SUM(O53,O129,O353,O398)</f>
        <v>14026522.310000001</v>
      </c>
      <c r="S52" s="6">
        <f>SUM(S53,S129,S353,S398)</f>
        <v>3738329.8700000006</v>
      </c>
      <c r="T52" s="6">
        <f>SUM(T53,T129,T353,T398)</f>
        <v>10933878.319999998</v>
      </c>
      <c r="U52" s="6">
        <f>SUM(U53,U129,U353,U398)</f>
        <v>14672208.189999999</v>
      </c>
      <c r="Y52" s="9">
        <f>SUM(Y53,Y129,Y353,Y398)</f>
        <v>3115274.94</v>
      </c>
      <c r="Z52" s="9">
        <f>SUM(Z53,Z129,Z353,Z398)</f>
        <v>9111565.290000001</v>
      </c>
      <c r="AA52" s="9">
        <f>SUM(AA53,AA129,AA353,AA398)</f>
        <v>12226840.229999997</v>
      </c>
      <c r="AD52" s="4">
        <v>303752387</v>
      </c>
      <c r="AE52" s="4">
        <v>16075341</v>
      </c>
    </row>
    <row r="53" spans="1:35" ht="17" customHeight="1" x14ac:dyDescent="0.35">
      <c r="A53" s="10" t="s">
        <v>234</v>
      </c>
      <c r="B53" s="10" t="s">
        <v>235</v>
      </c>
      <c r="C53" s="100" t="s">
        <v>236</v>
      </c>
      <c r="D53" s="101"/>
      <c r="E53" s="101"/>
      <c r="F53" s="101"/>
      <c r="G53" s="101"/>
      <c r="H53" s="101"/>
      <c r="I53" s="102"/>
      <c r="M53" s="6">
        <f>SUM(M54,M84,M93)</f>
        <v>1585950.67</v>
      </c>
      <c r="N53" s="6">
        <f>SUM(N54,N84,N93)</f>
        <v>1034414.02</v>
      </c>
      <c r="O53" s="6">
        <f>SUM(O54,O84,O93)</f>
        <v>2620364.69</v>
      </c>
      <c r="S53" s="6">
        <f>SUM(S54,S84,S93)</f>
        <v>1709729.4700000002</v>
      </c>
      <c r="T53" s="6">
        <f>SUM(T54,T84,T93)</f>
        <v>906003.46</v>
      </c>
      <c r="U53" s="6">
        <f>SUM(U54,U84,U93)</f>
        <v>2615732.9299999997</v>
      </c>
      <c r="Y53" s="9">
        <f>SUM(Y54,Y84,Y93)</f>
        <v>1424774.5700000003</v>
      </c>
      <c r="Z53" s="9">
        <f>SUM(Z54,Z84,Z93)</f>
        <v>755002.88</v>
      </c>
      <c r="AA53" s="9">
        <f>SUM(AA54,AA84,AA93)</f>
        <v>2179777.4500000002</v>
      </c>
      <c r="AD53" s="4">
        <v>303752388</v>
      </c>
      <c r="AE53" s="4">
        <v>16075342</v>
      </c>
    </row>
    <row r="54" spans="1:35" ht="17" customHeight="1" x14ac:dyDescent="0.35">
      <c r="A54" s="10" t="s">
        <v>237</v>
      </c>
      <c r="B54" s="10" t="s">
        <v>238</v>
      </c>
      <c r="C54" s="100" t="s">
        <v>239</v>
      </c>
      <c r="D54" s="101"/>
      <c r="E54" s="101"/>
      <c r="F54" s="101"/>
      <c r="G54" s="101"/>
      <c r="H54" s="101"/>
      <c r="I54" s="102"/>
      <c r="M54" s="6">
        <f>SUM(M55,M58,M60,M62,M67,M71,M76,M80)</f>
        <v>151613.63</v>
      </c>
      <c r="N54" s="6">
        <f>SUM(N55,N58,N60,N62,N67,N71,N76,N80)</f>
        <v>496699.18</v>
      </c>
      <c r="O54" s="6">
        <f>SUM(O55,O58,O60,O62,O67,O71,O76,O80)</f>
        <v>648312.81000000006</v>
      </c>
      <c r="S54" s="6">
        <f>SUM(S55,S58,S60,S62,S67,S71,S76,S80)</f>
        <v>160174.34</v>
      </c>
      <c r="T54" s="6">
        <f>SUM(T55,T58,T60,T62,T67,T71,T76,T80)</f>
        <v>496699.18</v>
      </c>
      <c r="U54" s="6">
        <f>SUM(U55,U58,U60,U62,U67,U71,U76,U80)</f>
        <v>656873.52</v>
      </c>
      <c r="Y54" s="9">
        <f>SUM(Y55,Y58,Y60,Y62,Y67,Y71,Y76,Y80)</f>
        <v>133478.62</v>
      </c>
      <c r="Z54" s="9">
        <f>SUM(Z55,Z58,Z60,Z62,Z67,Z71,Z76,Z80)</f>
        <v>413915.98</v>
      </c>
      <c r="AA54" s="9">
        <f>SUM(AA55,AA58,AA60,AA62,AA67,AA71,AA76,AA80)</f>
        <v>547394.6</v>
      </c>
      <c r="AD54" s="4">
        <v>303752389</v>
      </c>
      <c r="AE54" s="4">
        <v>16077961</v>
      </c>
    </row>
    <row r="55" spans="1:35" ht="54" x14ac:dyDescent="0.35">
      <c r="A55" s="10" t="s">
        <v>240</v>
      </c>
      <c r="B55" s="10" t="s">
        <v>241</v>
      </c>
      <c r="C55" s="14" t="s">
        <v>242</v>
      </c>
      <c r="D55" s="15" t="s">
        <v>243</v>
      </c>
      <c r="E55" s="15" t="s">
        <v>244</v>
      </c>
      <c r="F55" s="15" t="s">
        <v>56</v>
      </c>
      <c r="G55" s="16">
        <v>1</v>
      </c>
      <c r="H55" s="16"/>
      <c r="I55" s="16">
        <v>0</v>
      </c>
      <c r="J55" s="17">
        <f>IFERROR(ROUND(SUM(M56,M57)/I55, 2),0)</f>
        <v>0</v>
      </c>
      <c r="K55" s="18">
        <v>400</v>
      </c>
      <c r="L55" s="17">
        <f>J55+ROUND(K55, 2)</f>
        <v>400</v>
      </c>
      <c r="M55" s="17">
        <f>ROUND(J55*I55, 2)</f>
        <v>0</v>
      </c>
      <c r="N55" s="17">
        <f>ROUND(I55*ROUND(K55, 2), 2)</f>
        <v>0</v>
      </c>
      <c r="O55" s="17">
        <f>M55+N55</f>
        <v>0</v>
      </c>
      <c r="P55" s="17">
        <f>IFERROR(ROUND(SUM(S56,S57)/I55, 2),0)</f>
        <v>0</v>
      </c>
      <c r="Q55" s="18">
        <v>388</v>
      </c>
      <c r="R55" s="17">
        <f>P55+ROUND(Q55, 2)</f>
        <v>388</v>
      </c>
      <c r="S55" s="17">
        <f>ROUND(P55*I55, 2)</f>
        <v>0</v>
      </c>
      <c r="T55" s="17">
        <f>ROUND(I55*ROUND(Q55, 2), 2)</f>
        <v>0</v>
      </c>
      <c r="U55" s="17">
        <f>S55+T55</f>
        <v>0</v>
      </c>
      <c r="V55" s="9">
        <f>ROUND(P55 / 1.2, 2)</f>
        <v>0</v>
      </c>
      <c r="W55" s="9">
        <f>ROUND(Q55 / 1.2, 2)</f>
        <v>323.33</v>
      </c>
      <c r="X55" s="9">
        <f>ROUND(R55 / 1.2, 2)</f>
        <v>323.33</v>
      </c>
      <c r="Y55" s="9">
        <f>ROUND(S55 / 1.2, 2)</f>
        <v>0</v>
      </c>
      <c r="Z55" s="9">
        <f>ROUND(T55 / 1.2, 2)</f>
        <v>0</v>
      </c>
      <c r="AA55" s="9">
        <f>Y55+Z55</f>
        <v>0</v>
      </c>
      <c r="AD55" s="4">
        <v>303752391</v>
      </c>
      <c r="AE55" s="4">
        <v>16078328</v>
      </c>
      <c r="AG55" s="4" t="s">
        <v>245</v>
      </c>
      <c r="AH55" s="4" t="s">
        <v>246</v>
      </c>
      <c r="AI55" s="4" t="s">
        <v>247</v>
      </c>
    </row>
    <row r="56" spans="1:35" ht="36" x14ac:dyDescent="0.35">
      <c r="A56" s="10" t="s">
        <v>249</v>
      </c>
      <c r="B56" s="10"/>
      <c r="C56" s="37" t="s">
        <v>250</v>
      </c>
      <c r="D56" s="15"/>
      <c r="E56" s="15" t="s">
        <v>251</v>
      </c>
      <c r="F56" s="25" t="s">
        <v>81</v>
      </c>
      <c r="G56" s="26">
        <v>1.6</v>
      </c>
      <c r="H56" s="27"/>
      <c r="I56" s="27">
        <v>0</v>
      </c>
      <c r="J56" s="28">
        <v>9.67</v>
      </c>
      <c r="M56" s="29">
        <f>ROUND(ROUND(J56, 2)*I56, 2)</f>
        <v>0</v>
      </c>
      <c r="P56" s="28">
        <v>9.67</v>
      </c>
      <c r="S56" s="29">
        <f>ROUND(ROUND(P56, 2)*I56, 2)</f>
        <v>0</v>
      </c>
      <c r="V56" s="9">
        <f>ROUND(ROUND(P56, 2)/1.2, 2)</f>
        <v>8.06</v>
      </c>
      <c r="Y56" s="9">
        <f t="shared" ref="Y56:Y83" si="7">ROUND(S56 / 1.2, 2)</f>
        <v>0</v>
      </c>
      <c r="AD56" s="4" t="s">
        <v>252</v>
      </c>
      <c r="AE56" s="4" t="s">
        <v>253</v>
      </c>
      <c r="AF56" s="4" t="s">
        <v>254</v>
      </c>
    </row>
    <row r="57" spans="1:35" ht="36" x14ac:dyDescent="0.35">
      <c r="A57" s="10" t="s">
        <v>257</v>
      </c>
      <c r="B57" s="10"/>
      <c r="C57" s="24" t="s">
        <v>258</v>
      </c>
      <c r="D57" s="15"/>
      <c r="E57" s="15"/>
      <c r="F57" s="25" t="s">
        <v>81</v>
      </c>
      <c r="G57" s="26">
        <v>0.255</v>
      </c>
      <c r="H57" s="27"/>
      <c r="I57" s="27">
        <v>0</v>
      </c>
      <c r="J57" s="28">
        <v>88.8</v>
      </c>
      <c r="M57" s="29">
        <f>ROUND(ROUND(J57, 2)*I57, 2)</f>
        <v>0</v>
      </c>
      <c r="P57" s="28">
        <v>88.8</v>
      </c>
      <c r="S57" s="29">
        <f>ROUND(ROUND(P57, 2)*I57, 2)</f>
        <v>0</v>
      </c>
      <c r="V57" s="9">
        <f>ROUND(ROUND(P57, 2)/1.2, 2)</f>
        <v>74</v>
      </c>
      <c r="Y57" s="9">
        <f t="shared" si="7"/>
        <v>0</v>
      </c>
      <c r="AD57" s="4" t="s">
        <v>259</v>
      </c>
      <c r="AE57" s="4" t="s">
        <v>260</v>
      </c>
      <c r="AF57" s="4" t="s">
        <v>261</v>
      </c>
    </row>
    <row r="58" spans="1:35" ht="36" x14ac:dyDescent="0.35">
      <c r="A58" s="10" t="s">
        <v>264</v>
      </c>
      <c r="B58" s="10" t="s">
        <v>265</v>
      </c>
      <c r="C58" s="14" t="s">
        <v>266</v>
      </c>
      <c r="D58" s="15"/>
      <c r="E58" s="15" t="s">
        <v>267</v>
      </c>
      <c r="F58" s="15" t="s">
        <v>56</v>
      </c>
      <c r="G58" s="16">
        <v>1</v>
      </c>
      <c r="H58" s="16"/>
      <c r="I58" s="16">
        <v>0</v>
      </c>
      <c r="J58" s="17">
        <f>IFERROR(ROUND(SUM(M59)/I58, 2),0)</f>
        <v>0</v>
      </c>
      <c r="K58" s="18">
        <v>40</v>
      </c>
      <c r="L58" s="17">
        <f>J58+ROUND(K58, 2)</f>
        <v>40</v>
      </c>
      <c r="M58" s="17">
        <f>ROUND(J58*I58, 2)</f>
        <v>0</v>
      </c>
      <c r="N58" s="17">
        <f>ROUND(I58*ROUND(K58, 2), 2)</f>
        <v>0</v>
      </c>
      <c r="O58" s="17">
        <f>M58+N58</f>
        <v>0</v>
      </c>
      <c r="P58" s="17">
        <f>IFERROR(ROUND(SUM(S59)/I58, 2),0)</f>
        <v>0</v>
      </c>
      <c r="Q58" s="18">
        <v>40</v>
      </c>
      <c r="R58" s="17">
        <f>P58+ROUND(Q58, 2)</f>
        <v>40</v>
      </c>
      <c r="S58" s="17">
        <f>ROUND(P58*I58, 2)</f>
        <v>0</v>
      </c>
      <c r="T58" s="17">
        <f>ROUND(I58*ROUND(Q58, 2), 2)</f>
        <v>0</v>
      </c>
      <c r="U58" s="17">
        <f>S58+T58</f>
        <v>0</v>
      </c>
      <c r="V58" s="9">
        <f>ROUND(P58 / 1.2, 2)</f>
        <v>0</v>
      </c>
      <c r="W58" s="9">
        <f>ROUND(Q58 / 1.2, 2)</f>
        <v>33.33</v>
      </c>
      <c r="X58" s="9">
        <f>ROUND(R58 / 1.2, 2)</f>
        <v>33.33</v>
      </c>
      <c r="Y58" s="9">
        <f t="shared" si="7"/>
        <v>0</v>
      </c>
      <c r="Z58" s="9">
        <f>ROUND(T58 / 1.2, 2)</f>
        <v>0</v>
      </c>
      <c r="AA58" s="9">
        <f>Y58+Z58</f>
        <v>0</v>
      </c>
      <c r="AD58" s="4">
        <v>303752393</v>
      </c>
      <c r="AE58" s="4">
        <v>16077965</v>
      </c>
      <c r="AG58" s="4" t="s">
        <v>268</v>
      </c>
      <c r="AH58" s="4" t="s">
        <v>269</v>
      </c>
      <c r="AI58" s="4" t="s">
        <v>247</v>
      </c>
    </row>
    <row r="59" spans="1:35" ht="18" x14ac:dyDescent="0.35">
      <c r="A59" s="10" t="s">
        <v>271</v>
      </c>
      <c r="B59" s="10"/>
      <c r="C59" s="24" t="s">
        <v>272</v>
      </c>
      <c r="D59" s="15"/>
      <c r="E59" s="15"/>
      <c r="F59" s="25" t="s">
        <v>56</v>
      </c>
      <c r="G59" s="26">
        <v>1.1000000000000001</v>
      </c>
      <c r="H59" s="26"/>
      <c r="I59" s="26">
        <v>0</v>
      </c>
      <c r="J59" s="28">
        <v>46.76</v>
      </c>
      <c r="M59" s="29">
        <f>ROUND(ROUND(J59, 2)*I59, 2)</f>
        <v>0</v>
      </c>
      <c r="P59" s="28">
        <v>46.76</v>
      </c>
      <c r="S59" s="29">
        <f>ROUND(ROUND(P59, 2)*I59, 2)</f>
        <v>0</v>
      </c>
      <c r="V59" s="9">
        <f>ROUND(ROUND(P59, 2)/1.2, 2)</f>
        <v>38.97</v>
      </c>
      <c r="Y59" s="9">
        <f t="shared" si="7"/>
        <v>0</v>
      </c>
      <c r="AD59" s="4" t="s">
        <v>273</v>
      </c>
      <c r="AE59" s="4" t="s">
        <v>274</v>
      </c>
      <c r="AF59" s="4" t="s">
        <v>275</v>
      </c>
    </row>
    <row r="60" spans="1:35" ht="36" x14ac:dyDescent="0.35">
      <c r="A60" s="10" t="s">
        <v>278</v>
      </c>
      <c r="B60" s="10" t="s">
        <v>265</v>
      </c>
      <c r="C60" s="14" t="s">
        <v>266</v>
      </c>
      <c r="D60" s="15"/>
      <c r="E60" s="15" t="s">
        <v>279</v>
      </c>
      <c r="F60" s="15" t="s">
        <v>56</v>
      </c>
      <c r="G60" s="16">
        <v>1</v>
      </c>
      <c r="H60" s="16"/>
      <c r="I60" s="16">
        <v>0</v>
      </c>
      <c r="J60" s="17">
        <f>IFERROR(ROUND(SUM(M61)/I60, 2),0)</f>
        <v>0</v>
      </c>
      <c r="K60" s="18">
        <v>40</v>
      </c>
      <c r="L60" s="17">
        <f>J60+ROUND(K60, 2)</f>
        <v>40</v>
      </c>
      <c r="M60" s="17">
        <f>ROUND(J60*I60, 2)</f>
        <v>0</v>
      </c>
      <c r="N60" s="17">
        <f>ROUND(I60*ROUND(K60, 2), 2)</f>
        <v>0</v>
      </c>
      <c r="O60" s="17">
        <f>M60+N60</f>
        <v>0</v>
      </c>
      <c r="P60" s="17">
        <f>IFERROR(ROUND(SUM(S61)/I60, 2),0)</f>
        <v>0</v>
      </c>
      <c r="Q60" s="18">
        <v>40</v>
      </c>
      <c r="R60" s="17">
        <f>P60+ROUND(Q60, 2)</f>
        <v>40</v>
      </c>
      <c r="S60" s="17">
        <f>ROUND(P60*I60, 2)</f>
        <v>0</v>
      </c>
      <c r="T60" s="17">
        <f>ROUND(I60*ROUND(Q60, 2), 2)</f>
        <v>0</v>
      </c>
      <c r="U60" s="17">
        <f>S60+T60</f>
        <v>0</v>
      </c>
      <c r="V60" s="9">
        <f>ROUND(P60 / 1.2, 2)</f>
        <v>0</v>
      </c>
      <c r="W60" s="9">
        <f>ROUND(Q60 / 1.2, 2)</f>
        <v>33.33</v>
      </c>
      <c r="X60" s="9">
        <f>ROUND(R60 / 1.2, 2)</f>
        <v>33.33</v>
      </c>
      <c r="Y60" s="9">
        <f t="shared" si="7"/>
        <v>0</v>
      </c>
      <c r="Z60" s="9">
        <f>ROUND(T60 / 1.2, 2)</f>
        <v>0</v>
      </c>
      <c r="AA60" s="9">
        <f>Y60+Z60</f>
        <v>0</v>
      </c>
      <c r="AD60" s="4">
        <v>303752461</v>
      </c>
      <c r="AE60" s="4">
        <v>16088187</v>
      </c>
      <c r="AG60" s="4" t="s">
        <v>268</v>
      </c>
      <c r="AH60" s="4" t="s">
        <v>269</v>
      </c>
      <c r="AI60" s="4" t="s">
        <v>247</v>
      </c>
    </row>
    <row r="61" spans="1:35" ht="18" x14ac:dyDescent="0.35">
      <c r="A61" s="10" t="s">
        <v>281</v>
      </c>
      <c r="B61" s="10"/>
      <c r="C61" s="24" t="s">
        <v>272</v>
      </c>
      <c r="D61" s="15"/>
      <c r="E61" s="15"/>
      <c r="F61" s="25" t="s">
        <v>56</v>
      </c>
      <c r="G61" s="26">
        <v>1.1000000000000001</v>
      </c>
      <c r="H61" s="26"/>
      <c r="I61" s="26">
        <v>0</v>
      </c>
      <c r="J61" s="28">
        <v>46.76</v>
      </c>
      <c r="M61" s="29">
        <f>ROUND(ROUND(J61, 2)*I61, 2)</f>
        <v>0</v>
      </c>
      <c r="P61" s="28">
        <v>46.76</v>
      </c>
      <c r="S61" s="29">
        <f>ROUND(ROUND(P61, 2)*I61, 2)</f>
        <v>0</v>
      </c>
      <c r="V61" s="9">
        <f>ROUND(ROUND(P61, 2)/1.2, 2)</f>
        <v>38.97</v>
      </c>
      <c r="Y61" s="9">
        <f t="shared" si="7"/>
        <v>0</v>
      </c>
      <c r="AD61" s="4" t="s">
        <v>282</v>
      </c>
      <c r="AE61" s="4" t="s">
        <v>283</v>
      </c>
      <c r="AF61" s="4" t="s">
        <v>275</v>
      </c>
    </row>
    <row r="62" spans="1:35" ht="36" x14ac:dyDescent="0.35">
      <c r="A62" s="10" t="s">
        <v>286</v>
      </c>
      <c r="B62" s="10" t="s">
        <v>287</v>
      </c>
      <c r="C62" s="14" t="s">
        <v>288</v>
      </c>
      <c r="D62" s="15"/>
      <c r="E62" s="15" t="s">
        <v>289</v>
      </c>
      <c r="F62" s="15" t="s">
        <v>56</v>
      </c>
      <c r="G62" s="16">
        <v>1</v>
      </c>
      <c r="H62" s="16"/>
      <c r="I62" s="16">
        <v>0</v>
      </c>
      <c r="J62" s="17">
        <f>IFERROR(ROUND(SUM(M63,M64,M65,M66)/I62, 2),0)</f>
        <v>0</v>
      </c>
      <c r="K62" s="18">
        <v>941</v>
      </c>
      <c r="L62" s="17">
        <f>J62+ROUND(K62, 2)</f>
        <v>941</v>
      </c>
      <c r="M62" s="17">
        <f>ROUND(J62*I62, 2)</f>
        <v>0</v>
      </c>
      <c r="N62" s="17">
        <f>ROUND(I62*ROUND(K62, 2), 2)</f>
        <v>0</v>
      </c>
      <c r="O62" s="17">
        <f>M62+N62</f>
        <v>0</v>
      </c>
      <c r="P62" s="17">
        <f>IFERROR(ROUND(SUM(S63,S64,S65,S66)/I62, 2),0)</f>
        <v>0</v>
      </c>
      <c r="Q62" s="18">
        <v>855</v>
      </c>
      <c r="R62" s="17">
        <f>P62+ROUND(Q62, 2)</f>
        <v>855</v>
      </c>
      <c r="S62" s="17">
        <f>ROUND(P62*I62, 2)</f>
        <v>0</v>
      </c>
      <c r="T62" s="17">
        <f>ROUND(I62*ROUND(Q62, 2), 2)</f>
        <v>0</v>
      </c>
      <c r="U62" s="17">
        <f>S62+T62</f>
        <v>0</v>
      </c>
      <c r="V62" s="9">
        <f>ROUND(P62 / 1.2, 2)</f>
        <v>0</v>
      </c>
      <c r="W62" s="9">
        <f>ROUND(Q62 / 1.2, 2)</f>
        <v>712.5</v>
      </c>
      <c r="X62" s="9">
        <f>ROUND(R62 / 1.2, 2)</f>
        <v>712.5</v>
      </c>
      <c r="Y62" s="9">
        <f t="shared" si="7"/>
        <v>0</v>
      </c>
      <c r="Z62" s="9">
        <f>ROUND(T62 / 1.2, 2)</f>
        <v>0</v>
      </c>
      <c r="AA62" s="9">
        <f>Y62+Z62</f>
        <v>0</v>
      </c>
      <c r="AD62" s="4">
        <v>303752395</v>
      </c>
      <c r="AE62" s="4">
        <v>16078058</v>
      </c>
      <c r="AG62" s="4" t="s">
        <v>290</v>
      </c>
      <c r="AH62" s="4" t="s">
        <v>291</v>
      </c>
      <c r="AI62" s="4" t="s">
        <v>247</v>
      </c>
    </row>
    <row r="63" spans="1:35" ht="18" x14ac:dyDescent="0.35">
      <c r="A63" s="10" t="s">
        <v>293</v>
      </c>
      <c r="B63" s="10"/>
      <c r="C63" s="24" t="s">
        <v>294</v>
      </c>
      <c r="D63" s="15"/>
      <c r="E63" s="15" t="s">
        <v>295</v>
      </c>
      <c r="F63" s="25" t="s">
        <v>81</v>
      </c>
      <c r="G63" s="26">
        <v>1.8</v>
      </c>
      <c r="H63" s="27"/>
      <c r="I63" s="27">
        <v>0</v>
      </c>
      <c r="J63" s="28">
        <v>6.17</v>
      </c>
      <c r="M63" s="29">
        <f>ROUND(ROUND(J63, 2)*I63, 2)</f>
        <v>0</v>
      </c>
      <c r="P63" s="28">
        <v>6.17</v>
      </c>
      <c r="S63" s="29">
        <f>ROUND(ROUND(P63, 2)*I63, 2)</f>
        <v>0</v>
      </c>
      <c r="V63" s="9">
        <f>ROUND(ROUND(P63, 2)/1.2, 2)</f>
        <v>5.14</v>
      </c>
      <c r="Y63" s="9">
        <f t="shared" si="7"/>
        <v>0</v>
      </c>
      <c r="AD63" s="4" t="s">
        <v>296</v>
      </c>
      <c r="AE63" s="4" t="s">
        <v>297</v>
      </c>
      <c r="AF63" s="4" t="s">
        <v>298</v>
      </c>
    </row>
    <row r="64" spans="1:35" ht="18" x14ac:dyDescent="0.35">
      <c r="A64" s="10" t="s">
        <v>301</v>
      </c>
      <c r="B64" s="10"/>
      <c r="C64" s="24" t="s">
        <v>302</v>
      </c>
      <c r="D64" s="15"/>
      <c r="E64" s="15"/>
      <c r="F64" s="25" t="s">
        <v>56</v>
      </c>
      <c r="G64" s="26">
        <v>1.1000000000000001</v>
      </c>
      <c r="H64" s="27"/>
      <c r="I64" s="27">
        <v>0</v>
      </c>
      <c r="J64" s="28">
        <v>155.01</v>
      </c>
      <c r="M64" s="29">
        <f>ROUND(ROUND(J64, 2)*I64, 2)</f>
        <v>0</v>
      </c>
      <c r="P64" s="28">
        <v>155.01</v>
      </c>
      <c r="S64" s="29">
        <f>ROUND(ROUND(P64, 2)*I64, 2)</f>
        <v>0</v>
      </c>
      <c r="V64" s="9">
        <f>ROUND(ROUND(P64, 2)/1.2, 2)</f>
        <v>129.18</v>
      </c>
      <c r="Y64" s="9">
        <f t="shared" si="7"/>
        <v>0</v>
      </c>
      <c r="AD64" s="4" t="s">
        <v>303</v>
      </c>
      <c r="AE64" s="4" t="s">
        <v>304</v>
      </c>
      <c r="AF64" s="4" t="s">
        <v>305</v>
      </c>
    </row>
    <row r="65" spans="1:35" ht="18" x14ac:dyDescent="0.35">
      <c r="A65" s="10" t="s">
        <v>308</v>
      </c>
      <c r="B65" s="10"/>
      <c r="C65" s="24" t="s">
        <v>309</v>
      </c>
      <c r="D65" s="15"/>
      <c r="E65" s="15"/>
      <c r="F65" s="25" t="s">
        <v>129</v>
      </c>
      <c r="G65" s="26">
        <v>1</v>
      </c>
      <c r="H65" s="27"/>
      <c r="I65" s="27">
        <v>0</v>
      </c>
      <c r="J65" s="28">
        <v>10.4</v>
      </c>
      <c r="M65" s="29">
        <f>ROUND(ROUND(J65, 2)*I65, 2)</f>
        <v>0</v>
      </c>
      <c r="P65" s="28">
        <v>10.4</v>
      </c>
      <c r="S65" s="29">
        <f>ROUND(ROUND(P65, 2)*I65, 2)</f>
        <v>0</v>
      </c>
      <c r="V65" s="9">
        <f>ROUND(ROUND(P65, 2)/1.2, 2)</f>
        <v>8.67</v>
      </c>
      <c r="Y65" s="9">
        <f t="shared" si="7"/>
        <v>0</v>
      </c>
      <c r="AD65" s="4" t="s">
        <v>310</v>
      </c>
      <c r="AE65" s="4" t="s">
        <v>311</v>
      </c>
      <c r="AF65" s="4" t="s">
        <v>312</v>
      </c>
    </row>
    <row r="66" spans="1:35" ht="18" x14ac:dyDescent="0.35">
      <c r="A66" s="10" t="s">
        <v>315</v>
      </c>
      <c r="B66" s="10"/>
      <c r="C66" s="24" t="s">
        <v>316</v>
      </c>
      <c r="D66" s="15"/>
      <c r="E66" s="15"/>
      <c r="F66" s="25" t="s">
        <v>81</v>
      </c>
      <c r="G66" s="26">
        <v>0.255</v>
      </c>
      <c r="H66" s="26"/>
      <c r="I66" s="26">
        <v>0</v>
      </c>
      <c r="J66" s="28">
        <v>100</v>
      </c>
      <c r="M66" s="29">
        <f>ROUND(ROUND(J66, 2)*I66, 2)</f>
        <v>0</v>
      </c>
      <c r="P66" s="28">
        <v>100</v>
      </c>
      <c r="S66" s="29">
        <f>ROUND(ROUND(P66, 2)*I66, 2)</f>
        <v>0</v>
      </c>
      <c r="V66" s="9">
        <f>ROUND(ROUND(P66, 2)/1.2, 2)</f>
        <v>83.33</v>
      </c>
      <c r="Y66" s="9">
        <f t="shared" si="7"/>
        <v>0</v>
      </c>
      <c r="AD66" s="4" t="s">
        <v>317</v>
      </c>
      <c r="AE66" s="4" t="s">
        <v>318</v>
      </c>
      <c r="AF66" s="4" t="s">
        <v>319</v>
      </c>
    </row>
    <row r="67" spans="1:35" ht="36" x14ac:dyDescent="0.35">
      <c r="A67" s="10" t="s">
        <v>322</v>
      </c>
      <c r="B67" s="10" t="s">
        <v>323</v>
      </c>
      <c r="C67" s="14" t="s">
        <v>324</v>
      </c>
      <c r="D67" s="15"/>
      <c r="E67" s="15" t="s">
        <v>325</v>
      </c>
      <c r="F67" s="15" t="s">
        <v>56</v>
      </c>
      <c r="G67" s="16">
        <v>1</v>
      </c>
      <c r="H67" s="16"/>
      <c r="I67" s="16">
        <v>0</v>
      </c>
      <c r="J67" s="17">
        <f>IFERROR(ROUND(SUM(M68,M69,M70)/I67, 2),0)</f>
        <v>0</v>
      </c>
      <c r="K67" s="18">
        <v>1014</v>
      </c>
      <c r="L67" s="17">
        <f>J67+ROUND(K67, 2)</f>
        <v>1014</v>
      </c>
      <c r="M67" s="17">
        <f>ROUND(J67*I67, 2)</f>
        <v>0</v>
      </c>
      <c r="N67" s="17">
        <f>ROUND(I67*ROUND(K67, 2), 2)</f>
        <v>0</v>
      </c>
      <c r="O67" s="17">
        <f>M67+N67</f>
        <v>0</v>
      </c>
      <c r="P67" s="17">
        <f>IFERROR(ROUND(SUM(S68,S69,S70)/I67, 2),0)</f>
        <v>0</v>
      </c>
      <c r="Q67" s="18">
        <v>922</v>
      </c>
      <c r="R67" s="17">
        <f>P67+ROUND(Q67, 2)</f>
        <v>922</v>
      </c>
      <c r="S67" s="17">
        <f>ROUND(P67*I67, 2)</f>
        <v>0</v>
      </c>
      <c r="T67" s="17">
        <f>ROUND(I67*ROUND(Q67, 2), 2)</f>
        <v>0</v>
      </c>
      <c r="U67" s="17">
        <f>S67+T67</f>
        <v>0</v>
      </c>
      <c r="V67" s="9">
        <f>ROUND(P67 / 1.2, 2)</f>
        <v>0</v>
      </c>
      <c r="W67" s="9">
        <f>ROUND(Q67 / 1.2, 2)</f>
        <v>768.33</v>
      </c>
      <c r="X67" s="9">
        <f>ROUND(R67 / 1.2, 2)</f>
        <v>768.33</v>
      </c>
      <c r="Y67" s="9">
        <f t="shared" si="7"/>
        <v>0</v>
      </c>
      <c r="Z67" s="9">
        <f>ROUND(T67 / 1.2, 2)</f>
        <v>0</v>
      </c>
      <c r="AA67" s="9">
        <f>Y67+Z67</f>
        <v>0</v>
      </c>
      <c r="AD67" s="4">
        <v>303752396</v>
      </c>
      <c r="AE67" s="4">
        <v>16078057</v>
      </c>
      <c r="AG67" s="4" t="s">
        <v>326</v>
      </c>
      <c r="AH67" s="4" t="s">
        <v>327</v>
      </c>
      <c r="AI67" s="4" t="s">
        <v>247</v>
      </c>
    </row>
    <row r="68" spans="1:35" ht="18" x14ac:dyDescent="0.35">
      <c r="A68" s="10" t="s">
        <v>329</v>
      </c>
      <c r="B68" s="10"/>
      <c r="C68" s="24" t="s">
        <v>294</v>
      </c>
      <c r="D68" s="15"/>
      <c r="E68" s="15" t="s">
        <v>330</v>
      </c>
      <c r="F68" s="25" t="s">
        <v>81</v>
      </c>
      <c r="G68" s="26">
        <v>1.8</v>
      </c>
      <c r="H68" s="27"/>
      <c r="I68" s="27">
        <v>0</v>
      </c>
      <c r="J68" s="28">
        <v>6.17</v>
      </c>
      <c r="M68" s="29">
        <f>ROUND(ROUND(J68, 2)*I68, 2)</f>
        <v>0</v>
      </c>
      <c r="P68" s="28">
        <v>6.17</v>
      </c>
      <c r="S68" s="29">
        <f>ROUND(ROUND(P68, 2)*I68, 2)</f>
        <v>0</v>
      </c>
      <c r="V68" s="9">
        <f>ROUND(ROUND(P68, 2)/1.2, 2)</f>
        <v>5.14</v>
      </c>
      <c r="Y68" s="9">
        <f t="shared" si="7"/>
        <v>0</v>
      </c>
      <c r="AD68" s="4" t="s">
        <v>331</v>
      </c>
      <c r="AE68" s="4" t="s">
        <v>332</v>
      </c>
      <c r="AF68" s="4" t="s">
        <v>298</v>
      </c>
    </row>
    <row r="69" spans="1:35" ht="18" x14ac:dyDescent="0.35">
      <c r="A69" s="10" t="s">
        <v>335</v>
      </c>
      <c r="B69" s="10"/>
      <c r="C69" s="24" t="s">
        <v>302</v>
      </c>
      <c r="D69" s="15"/>
      <c r="E69" s="15"/>
      <c r="F69" s="25" t="s">
        <v>56</v>
      </c>
      <c r="G69" s="26">
        <v>1.1000000000000001</v>
      </c>
      <c r="H69" s="27"/>
      <c r="I69" s="27">
        <v>0</v>
      </c>
      <c r="J69" s="28">
        <v>155.01</v>
      </c>
      <c r="M69" s="29">
        <f>ROUND(ROUND(J69, 2)*I69, 2)</f>
        <v>0</v>
      </c>
      <c r="P69" s="28">
        <v>155.01</v>
      </c>
      <c r="S69" s="29">
        <f>ROUND(ROUND(P69, 2)*I69, 2)</f>
        <v>0</v>
      </c>
      <c r="V69" s="9">
        <f>ROUND(ROUND(P69, 2)/1.2, 2)</f>
        <v>129.18</v>
      </c>
      <c r="Y69" s="9">
        <f t="shared" si="7"/>
        <v>0</v>
      </c>
      <c r="AD69" s="4" t="s">
        <v>336</v>
      </c>
      <c r="AE69" s="4" t="s">
        <v>337</v>
      </c>
      <c r="AF69" s="4" t="s">
        <v>305</v>
      </c>
    </row>
    <row r="70" spans="1:35" ht="18" x14ac:dyDescent="0.35">
      <c r="A70" s="10" t="s">
        <v>340</v>
      </c>
      <c r="B70" s="10"/>
      <c r="C70" s="24" t="s">
        <v>309</v>
      </c>
      <c r="D70" s="15"/>
      <c r="E70" s="15"/>
      <c r="F70" s="25" t="s">
        <v>129</v>
      </c>
      <c r="G70" s="26">
        <v>1</v>
      </c>
      <c r="H70" s="27"/>
      <c r="I70" s="27">
        <v>0</v>
      </c>
      <c r="J70" s="28">
        <v>10.4</v>
      </c>
      <c r="M70" s="29">
        <f>ROUND(ROUND(J70, 2)*I70, 2)</f>
        <v>0</v>
      </c>
      <c r="P70" s="28">
        <v>10.4</v>
      </c>
      <c r="S70" s="29">
        <f>ROUND(ROUND(P70, 2)*I70, 2)</f>
        <v>0</v>
      </c>
      <c r="V70" s="9">
        <f>ROUND(ROUND(P70, 2)/1.2, 2)</f>
        <v>8.67</v>
      </c>
      <c r="Y70" s="9">
        <f t="shared" si="7"/>
        <v>0</v>
      </c>
      <c r="AD70" s="4" t="s">
        <v>341</v>
      </c>
      <c r="AE70" s="4" t="s">
        <v>342</v>
      </c>
      <c r="AF70" s="4" t="s">
        <v>312</v>
      </c>
    </row>
    <row r="71" spans="1:35" ht="36" x14ac:dyDescent="0.35">
      <c r="A71" s="10" t="s">
        <v>345</v>
      </c>
      <c r="B71" s="10" t="s">
        <v>323</v>
      </c>
      <c r="C71" s="14" t="s">
        <v>324</v>
      </c>
      <c r="D71" s="15"/>
      <c r="E71" s="15" t="s">
        <v>346</v>
      </c>
      <c r="F71" s="15" t="s">
        <v>56</v>
      </c>
      <c r="G71" s="16">
        <v>1</v>
      </c>
      <c r="H71" s="16"/>
      <c r="I71" s="16">
        <v>0</v>
      </c>
      <c r="J71" s="17">
        <f>IFERROR(ROUND(SUM(M72,M73,M74,M75)/I71, 2),0)</f>
        <v>0</v>
      </c>
      <c r="K71" s="18">
        <v>1014</v>
      </c>
      <c r="L71" s="17">
        <f>J71+ROUND(K71, 2)</f>
        <v>1014</v>
      </c>
      <c r="M71" s="17">
        <f>ROUND(J71*I71, 2)</f>
        <v>0</v>
      </c>
      <c r="N71" s="17">
        <f>ROUND(I71*ROUND(K71, 2), 2)</f>
        <v>0</v>
      </c>
      <c r="O71" s="17">
        <f>M71+N71</f>
        <v>0</v>
      </c>
      <c r="P71" s="17">
        <f>IFERROR(ROUND(SUM(S72,S73,S74,S75)/I71, 2),0)</f>
        <v>0</v>
      </c>
      <c r="Q71" s="18">
        <v>922</v>
      </c>
      <c r="R71" s="17">
        <f>P71+ROUND(Q71, 2)</f>
        <v>922</v>
      </c>
      <c r="S71" s="17">
        <f>ROUND(P71*I71, 2)</f>
        <v>0</v>
      </c>
      <c r="T71" s="17">
        <f>ROUND(I71*ROUND(Q71, 2), 2)</f>
        <v>0</v>
      </c>
      <c r="U71" s="17">
        <f>S71+T71</f>
        <v>0</v>
      </c>
      <c r="V71" s="9">
        <f>ROUND(P71 / 1.2, 2)</f>
        <v>0</v>
      </c>
      <c r="W71" s="9">
        <f>ROUND(Q71 / 1.2, 2)</f>
        <v>768.33</v>
      </c>
      <c r="X71" s="9">
        <f>ROUND(R71 / 1.2, 2)</f>
        <v>768.33</v>
      </c>
      <c r="Y71" s="9">
        <f t="shared" si="7"/>
        <v>0</v>
      </c>
      <c r="Z71" s="9">
        <f>ROUND(T71 / 1.2, 2)</f>
        <v>0</v>
      </c>
      <c r="AA71" s="9">
        <f>Y71+Z71</f>
        <v>0</v>
      </c>
      <c r="AD71" s="4">
        <v>303752462</v>
      </c>
      <c r="AE71" s="4">
        <v>16080100</v>
      </c>
      <c r="AG71" s="4" t="s">
        <v>326</v>
      </c>
      <c r="AH71" s="4" t="s">
        <v>327</v>
      </c>
      <c r="AI71" s="4" t="s">
        <v>247</v>
      </c>
    </row>
    <row r="72" spans="1:35" ht="18" x14ac:dyDescent="0.35">
      <c r="A72" s="10" t="s">
        <v>348</v>
      </c>
      <c r="B72" s="10"/>
      <c r="C72" s="24" t="s">
        <v>316</v>
      </c>
      <c r="D72" s="15"/>
      <c r="E72" s="15"/>
      <c r="F72" s="25" t="s">
        <v>81</v>
      </c>
      <c r="G72" s="26">
        <v>0.255</v>
      </c>
      <c r="H72" s="26"/>
      <c r="I72" s="26">
        <v>0</v>
      </c>
      <c r="J72" s="28">
        <v>100</v>
      </c>
      <c r="M72" s="29">
        <f>ROUND(ROUND(J72, 2)*I72, 2)</f>
        <v>0</v>
      </c>
      <c r="P72" s="28">
        <v>100</v>
      </c>
      <c r="S72" s="29">
        <f>ROUND(ROUND(P72, 2)*I72, 2)</f>
        <v>0</v>
      </c>
      <c r="V72" s="9">
        <f>ROUND(ROUND(P72, 2)/1.2, 2)</f>
        <v>83.33</v>
      </c>
      <c r="Y72" s="9">
        <f t="shared" si="7"/>
        <v>0</v>
      </c>
      <c r="AD72" s="4" t="s">
        <v>349</v>
      </c>
      <c r="AE72" s="4" t="s">
        <v>350</v>
      </c>
      <c r="AF72" s="4" t="s">
        <v>319</v>
      </c>
    </row>
    <row r="73" spans="1:35" ht="18" x14ac:dyDescent="0.35">
      <c r="A73" s="10" t="s">
        <v>353</v>
      </c>
      <c r="B73" s="10"/>
      <c r="C73" s="24" t="s">
        <v>309</v>
      </c>
      <c r="D73" s="15"/>
      <c r="E73" s="15"/>
      <c r="F73" s="25" t="s">
        <v>129</v>
      </c>
      <c r="G73" s="26">
        <v>1</v>
      </c>
      <c r="H73" s="27"/>
      <c r="I73" s="27">
        <v>0</v>
      </c>
      <c r="J73" s="28">
        <v>10.4</v>
      </c>
      <c r="M73" s="29">
        <f>ROUND(ROUND(J73, 2)*I73, 2)</f>
        <v>0</v>
      </c>
      <c r="P73" s="28">
        <v>10.4</v>
      </c>
      <c r="S73" s="29">
        <f>ROUND(ROUND(P73, 2)*I73, 2)</f>
        <v>0</v>
      </c>
      <c r="V73" s="9">
        <f>ROUND(ROUND(P73, 2)/1.2, 2)</f>
        <v>8.67</v>
      </c>
      <c r="Y73" s="9">
        <f t="shared" si="7"/>
        <v>0</v>
      </c>
      <c r="AD73" s="4" t="s">
        <v>354</v>
      </c>
      <c r="AE73" s="4" t="s">
        <v>355</v>
      </c>
      <c r="AF73" s="4" t="s">
        <v>312</v>
      </c>
    </row>
    <row r="74" spans="1:35" ht="18" x14ac:dyDescent="0.35">
      <c r="A74" s="10" t="s">
        <v>358</v>
      </c>
      <c r="B74" s="10"/>
      <c r="C74" s="24" t="s">
        <v>302</v>
      </c>
      <c r="D74" s="15"/>
      <c r="E74" s="15"/>
      <c r="F74" s="25" t="s">
        <v>56</v>
      </c>
      <c r="G74" s="26">
        <v>1.1000000000000001</v>
      </c>
      <c r="H74" s="27"/>
      <c r="I74" s="27">
        <v>0</v>
      </c>
      <c r="J74" s="28">
        <v>155.01</v>
      </c>
      <c r="M74" s="29">
        <f>ROUND(ROUND(J74, 2)*I74, 2)</f>
        <v>0</v>
      </c>
      <c r="P74" s="28">
        <v>155.01</v>
      </c>
      <c r="S74" s="29">
        <f>ROUND(ROUND(P74, 2)*I74, 2)</f>
        <v>0</v>
      </c>
      <c r="V74" s="9">
        <f>ROUND(ROUND(P74, 2)/1.2, 2)</f>
        <v>129.18</v>
      </c>
      <c r="Y74" s="9">
        <f t="shared" si="7"/>
        <v>0</v>
      </c>
      <c r="AD74" s="4" t="s">
        <v>359</v>
      </c>
      <c r="AE74" s="4" t="s">
        <v>360</v>
      </c>
      <c r="AF74" s="4" t="s">
        <v>305</v>
      </c>
    </row>
    <row r="75" spans="1:35" ht="18" x14ac:dyDescent="0.35">
      <c r="A75" s="10" t="s">
        <v>363</v>
      </c>
      <c r="B75" s="10"/>
      <c r="C75" s="24" t="s">
        <v>294</v>
      </c>
      <c r="D75" s="15"/>
      <c r="E75" s="15" t="s">
        <v>364</v>
      </c>
      <c r="F75" s="25" t="s">
        <v>81</v>
      </c>
      <c r="G75" s="26">
        <v>1.8</v>
      </c>
      <c r="H75" s="27"/>
      <c r="I75" s="27">
        <v>0</v>
      </c>
      <c r="J75" s="28">
        <v>6.17</v>
      </c>
      <c r="M75" s="29">
        <f>ROUND(ROUND(J75, 2)*I75, 2)</f>
        <v>0</v>
      </c>
      <c r="P75" s="28">
        <v>6.17</v>
      </c>
      <c r="S75" s="29">
        <f>ROUND(ROUND(P75, 2)*I75, 2)</f>
        <v>0</v>
      </c>
      <c r="V75" s="9">
        <f>ROUND(ROUND(P75, 2)/1.2, 2)</f>
        <v>5.14</v>
      </c>
      <c r="Y75" s="9">
        <f t="shared" si="7"/>
        <v>0</v>
      </c>
      <c r="AD75" s="4" t="s">
        <v>365</v>
      </c>
      <c r="AE75" s="4" t="s">
        <v>366</v>
      </c>
      <c r="AF75" s="4" t="s">
        <v>298</v>
      </c>
    </row>
    <row r="76" spans="1:35" ht="36" x14ac:dyDescent="0.35">
      <c r="A76" s="10" t="s">
        <v>369</v>
      </c>
      <c r="B76" s="10" t="s">
        <v>323</v>
      </c>
      <c r="C76" s="14" t="s">
        <v>324</v>
      </c>
      <c r="D76" s="15"/>
      <c r="E76" s="15" t="s">
        <v>370</v>
      </c>
      <c r="F76" s="15" t="s">
        <v>56</v>
      </c>
      <c r="G76" s="16">
        <v>1</v>
      </c>
      <c r="H76" s="16"/>
      <c r="I76" s="16">
        <v>0</v>
      </c>
      <c r="J76" s="17">
        <f>IFERROR(ROUND(SUM(M77,M78,M79)/I76, 2),0)</f>
        <v>0</v>
      </c>
      <c r="K76" s="18">
        <v>1014</v>
      </c>
      <c r="L76" s="17">
        <f>J76+ROUND(K76, 2)</f>
        <v>1014</v>
      </c>
      <c r="M76" s="17">
        <f>ROUND(J76*I76, 2)</f>
        <v>0</v>
      </c>
      <c r="N76" s="17">
        <f>ROUND(I76*ROUND(K76, 2), 2)</f>
        <v>0</v>
      </c>
      <c r="O76" s="17">
        <f>M76+N76</f>
        <v>0</v>
      </c>
      <c r="P76" s="17">
        <f>IFERROR(ROUND(SUM(S77,S78,S79)/I76, 2),0)</f>
        <v>0</v>
      </c>
      <c r="Q76" s="18">
        <v>922</v>
      </c>
      <c r="R76" s="17">
        <f>P76+ROUND(Q76, 2)</f>
        <v>922</v>
      </c>
      <c r="S76" s="17">
        <f>ROUND(P76*I76, 2)</f>
        <v>0</v>
      </c>
      <c r="T76" s="17">
        <f>ROUND(I76*ROUND(Q76, 2), 2)</f>
        <v>0</v>
      </c>
      <c r="U76" s="17">
        <f>S76+T76</f>
        <v>0</v>
      </c>
      <c r="V76" s="9">
        <f>ROUND(P76 / 1.2, 2)</f>
        <v>0</v>
      </c>
      <c r="W76" s="9">
        <f>ROUND(Q76 / 1.2, 2)</f>
        <v>768.33</v>
      </c>
      <c r="X76" s="9">
        <f>ROUND(R76 / 1.2, 2)</f>
        <v>768.33</v>
      </c>
      <c r="Y76" s="9">
        <f t="shared" si="7"/>
        <v>0</v>
      </c>
      <c r="Z76" s="9">
        <f>ROUND(T76 / 1.2, 2)</f>
        <v>0</v>
      </c>
      <c r="AA76" s="9">
        <f>Y76+Z76</f>
        <v>0</v>
      </c>
      <c r="AD76" s="4">
        <v>303752463</v>
      </c>
      <c r="AE76" s="4">
        <v>16088189</v>
      </c>
      <c r="AG76" s="4" t="s">
        <v>326</v>
      </c>
      <c r="AH76" s="4" t="s">
        <v>327</v>
      </c>
      <c r="AI76" s="4" t="s">
        <v>247</v>
      </c>
    </row>
    <row r="77" spans="1:35" ht="18" x14ac:dyDescent="0.35">
      <c r="A77" s="10" t="s">
        <v>372</v>
      </c>
      <c r="B77" s="10"/>
      <c r="C77" s="24" t="s">
        <v>309</v>
      </c>
      <c r="D77" s="15"/>
      <c r="E77" s="15"/>
      <c r="F77" s="25" t="s">
        <v>129</v>
      </c>
      <c r="G77" s="26">
        <v>1</v>
      </c>
      <c r="H77" s="27"/>
      <c r="I77" s="27">
        <v>0</v>
      </c>
      <c r="J77" s="28">
        <v>10.4</v>
      </c>
      <c r="M77" s="29">
        <f>ROUND(ROUND(J77, 2)*I77, 2)</f>
        <v>0</v>
      </c>
      <c r="P77" s="28">
        <v>10.4</v>
      </c>
      <c r="S77" s="29">
        <f>ROUND(ROUND(P77, 2)*I77, 2)</f>
        <v>0</v>
      </c>
      <c r="V77" s="9">
        <f>ROUND(ROUND(P77, 2)/1.2, 2)</f>
        <v>8.67</v>
      </c>
      <c r="Y77" s="9">
        <f t="shared" si="7"/>
        <v>0</v>
      </c>
      <c r="AD77" s="4" t="s">
        <v>373</v>
      </c>
      <c r="AE77" s="4" t="s">
        <v>374</v>
      </c>
      <c r="AF77" s="4" t="s">
        <v>312</v>
      </c>
    </row>
    <row r="78" spans="1:35" ht="18" x14ac:dyDescent="0.35">
      <c r="A78" s="10" t="s">
        <v>377</v>
      </c>
      <c r="B78" s="10"/>
      <c r="C78" s="24" t="s">
        <v>302</v>
      </c>
      <c r="D78" s="15"/>
      <c r="E78" s="15"/>
      <c r="F78" s="25" t="s">
        <v>56</v>
      </c>
      <c r="G78" s="26">
        <v>1.1000000000000001</v>
      </c>
      <c r="H78" s="27"/>
      <c r="I78" s="27">
        <v>0</v>
      </c>
      <c r="J78" s="28">
        <v>155.01</v>
      </c>
      <c r="M78" s="29">
        <f>ROUND(ROUND(J78, 2)*I78, 2)</f>
        <v>0</v>
      </c>
      <c r="P78" s="28">
        <v>155.01</v>
      </c>
      <c r="S78" s="29">
        <f>ROUND(ROUND(P78, 2)*I78, 2)</f>
        <v>0</v>
      </c>
      <c r="V78" s="9">
        <f>ROUND(ROUND(P78, 2)/1.2, 2)</f>
        <v>129.18</v>
      </c>
      <c r="Y78" s="9">
        <f t="shared" si="7"/>
        <v>0</v>
      </c>
      <c r="AD78" s="4" t="s">
        <v>378</v>
      </c>
      <c r="AE78" s="4" t="s">
        <v>379</v>
      </c>
      <c r="AF78" s="4" t="s">
        <v>305</v>
      </c>
    </row>
    <row r="79" spans="1:35" ht="18" x14ac:dyDescent="0.35">
      <c r="A79" s="10" t="s">
        <v>382</v>
      </c>
      <c r="B79" s="10"/>
      <c r="C79" s="24" t="s">
        <v>383</v>
      </c>
      <c r="D79" s="15"/>
      <c r="E79" s="15" t="s">
        <v>384</v>
      </c>
      <c r="F79" s="25" t="s">
        <v>81</v>
      </c>
      <c r="G79" s="26">
        <v>1.8</v>
      </c>
      <c r="H79" s="27"/>
      <c r="I79" s="27">
        <v>0</v>
      </c>
      <c r="J79" s="28">
        <v>7.41</v>
      </c>
      <c r="M79" s="29">
        <f>ROUND(ROUND(J79, 2)*I79, 2)</f>
        <v>0</v>
      </c>
      <c r="P79" s="28">
        <v>7.41</v>
      </c>
      <c r="S79" s="29">
        <f>ROUND(ROUND(P79, 2)*I79, 2)</f>
        <v>0</v>
      </c>
      <c r="V79" s="9">
        <f>ROUND(ROUND(P79, 2)/1.2, 2)</f>
        <v>6.18</v>
      </c>
      <c r="Y79" s="9">
        <f t="shared" si="7"/>
        <v>0</v>
      </c>
      <c r="AD79" s="4" t="s">
        <v>385</v>
      </c>
      <c r="AE79" s="4" t="s">
        <v>386</v>
      </c>
      <c r="AF79" s="4" t="s">
        <v>387</v>
      </c>
    </row>
    <row r="80" spans="1:35" ht="36" x14ac:dyDescent="0.35">
      <c r="A80" s="10" t="s">
        <v>390</v>
      </c>
      <c r="B80" s="10" t="s">
        <v>391</v>
      </c>
      <c r="C80" s="14" t="s">
        <v>392</v>
      </c>
      <c r="D80" s="15"/>
      <c r="E80" s="15" t="s">
        <v>393</v>
      </c>
      <c r="F80" s="15" t="s">
        <v>56</v>
      </c>
      <c r="G80" s="16">
        <v>1</v>
      </c>
      <c r="H80" s="16"/>
      <c r="I80" s="16">
        <v>891.74</v>
      </c>
      <c r="J80" s="17">
        <f>IFERROR(ROUND(SUM(M81,M82,M83)/I80, 2),0)</f>
        <v>170.02</v>
      </c>
      <c r="K80" s="18">
        <v>557</v>
      </c>
      <c r="L80" s="17">
        <f>J80+ROUND(K80, 2)</f>
        <v>727.02</v>
      </c>
      <c r="M80" s="17">
        <f>ROUND(J80*I80, 2)</f>
        <v>151613.63</v>
      </c>
      <c r="N80" s="17">
        <f>ROUND(I80*ROUND(K80, 2), 2)</f>
        <v>496699.18</v>
      </c>
      <c r="O80" s="17">
        <f>M80+N80</f>
        <v>648312.81000000006</v>
      </c>
      <c r="P80" s="17">
        <f>IFERROR(ROUND(SUM(S81,S82,S83)/I80, 2),0)</f>
        <v>179.62</v>
      </c>
      <c r="Q80" s="19">
        <v>557</v>
      </c>
      <c r="R80" s="17">
        <f>P80+ROUND(Q80, 2)</f>
        <v>736.62</v>
      </c>
      <c r="S80" s="17">
        <f>ROUND(P80*I80, 2)</f>
        <v>160174.34</v>
      </c>
      <c r="T80" s="17">
        <f>ROUND(I80*ROUND(Q80, 2), 2)</f>
        <v>496699.18</v>
      </c>
      <c r="U80" s="17">
        <f>S80+T80</f>
        <v>656873.52</v>
      </c>
      <c r="V80" s="9">
        <f>ROUND(P80 / 1.2, 2)</f>
        <v>149.68</v>
      </c>
      <c r="W80" s="9">
        <f>ROUND(Q80 / 1.2, 2)</f>
        <v>464.17</v>
      </c>
      <c r="X80" s="9">
        <f>ROUND(R80 / 1.2, 2)</f>
        <v>613.85</v>
      </c>
      <c r="Y80" s="9">
        <f t="shared" si="7"/>
        <v>133478.62</v>
      </c>
      <c r="Z80" s="9">
        <f>ROUND(T80 / 1.2, 2)</f>
        <v>413915.98</v>
      </c>
      <c r="AA80" s="9">
        <f>Y80+Z80</f>
        <v>547394.6</v>
      </c>
      <c r="AD80" s="4">
        <v>303752398</v>
      </c>
      <c r="AE80" s="4">
        <v>19955023</v>
      </c>
      <c r="AG80" s="4" t="s">
        <v>394</v>
      </c>
      <c r="AH80" s="4" t="s">
        <v>395</v>
      </c>
      <c r="AI80" s="4" t="s">
        <v>247</v>
      </c>
    </row>
    <row r="81" spans="1:35" ht="18" x14ac:dyDescent="0.35">
      <c r="A81" s="10" t="s">
        <v>396</v>
      </c>
      <c r="B81" s="10"/>
      <c r="C81" s="24" t="s">
        <v>309</v>
      </c>
      <c r="D81" s="15"/>
      <c r="E81" s="15"/>
      <c r="F81" s="25" t="s">
        <v>129</v>
      </c>
      <c r="G81" s="26">
        <v>1</v>
      </c>
      <c r="H81" s="27"/>
      <c r="I81" s="27">
        <v>193.81</v>
      </c>
      <c r="J81" s="28">
        <v>10.4</v>
      </c>
      <c r="M81" s="29">
        <f>ROUND(ROUND(J81, 2)*I81, 2)</f>
        <v>2015.62</v>
      </c>
      <c r="P81" s="30">
        <v>10.4</v>
      </c>
      <c r="S81" s="29">
        <f>ROUND(ROUND(P81, 2)*I81, 2)</f>
        <v>2015.62</v>
      </c>
      <c r="V81" s="9">
        <f>ROUND(ROUND(P81, 2)/1.2, 2)</f>
        <v>8.67</v>
      </c>
      <c r="Y81" s="9">
        <f t="shared" si="7"/>
        <v>1679.68</v>
      </c>
      <c r="AD81" s="4" t="s">
        <v>397</v>
      </c>
      <c r="AE81" s="4" t="s">
        <v>398</v>
      </c>
      <c r="AF81" s="4" t="s">
        <v>312</v>
      </c>
    </row>
    <row r="82" spans="1:35" ht="36" x14ac:dyDescent="0.35">
      <c r="A82" s="10" t="s">
        <v>399</v>
      </c>
      <c r="B82" s="10"/>
      <c r="C82" s="24" t="s">
        <v>258</v>
      </c>
      <c r="D82" s="15"/>
      <c r="E82" s="15"/>
      <c r="F82" s="25" t="s">
        <v>81</v>
      </c>
      <c r="G82" s="26">
        <v>0.255</v>
      </c>
      <c r="H82" s="26"/>
      <c r="I82" s="26">
        <v>227.39400000000001</v>
      </c>
      <c r="J82" s="28">
        <v>88.8</v>
      </c>
      <c r="M82" s="29">
        <f>ROUND(ROUND(J82, 2)*I82, 2)</f>
        <v>20192.59</v>
      </c>
      <c r="P82" s="30">
        <v>88.8</v>
      </c>
      <c r="S82" s="29">
        <f>ROUND(ROUND(P82, 2)*I82, 2)</f>
        <v>20192.59</v>
      </c>
      <c r="V82" s="9">
        <f>ROUND(ROUND(P82, 2)/1.2, 2)</f>
        <v>74</v>
      </c>
      <c r="Y82" s="9">
        <f t="shared" si="7"/>
        <v>16827.16</v>
      </c>
      <c r="AD82" s="4" t="s">
        <v>400</v>
      </c>
      <c r="AE82" s="4" t="s">
        <v>401</v>
      </c>
      <c r="AF82" s="4" t="s">
        <v>261</v>
      </c>
    </row>
    <row r="83" spans="1:35" ht="36" x14ac:dyDescent="0.35">
      <c r="A83" s="10" t="s">
        <v>402</v>
      </c>
      <c r="B83" s="10"/>
      <c r="C83" s="37" t="s">
        <v>250</v>
      </c>
      <c r="D83" s="15"/>
      <c r="E83" s="15"/>
      <c r="F83" s="25" t="s">
        <v>81</v>
      </c>
      <c r="G83" s="26">
        <v>1.6</v>
      </c>
      <c r="H83" s="27"/>
      <c r="I83" s="27">
        <v>14267.84</v>
      </c>
      <c r="J83" s="28">
        <v>9.07</v>
      </c>
      <c r="M83" s="29">
        <f>ROUND(ROUND(J83, 2)*I83, 2)</f>
        <v>129409.31</v>
      </c>
      <c r="P83" s="30">
        <v>9.67</v>
      </c>
      <c r="S83" s="29">
        <f>ROUND(ROUND(P83, 2)*I83, 2)</f>
        <v>137970.01</v>
      </c>
      <c r="V83" s="9">
        <f>ROUND(ROUND(P83, 2)/1.2, 2)</f>
        <v>8.06</v>
      </c>
      <c r="Y83" s="9">
        <f t="shared" si="7"/>
        <v>114975.01</v>
      </c>
      <c r="AD83" s="4" t="s">
        <v>403</v>
      </c>
      <c r="AE83" s="4" t="s">
        <v>404</v>
      </c>
      <c r="AF83" s="4" t="s">
        <v>405</v>
      </c>
    </row>
    <row r="84" spans="1:35" ht="17" customHeight="1" x14ac:dyDescent="0.35">
      <c r="A84" s="10" t="s">
        <v>406</v>
      </c>
      <c r="B84" s="10" t="s">
        <v>407</v>
      </c>
      <c r="C84" s="100" t="s">
        <v>408</v>
      </c>
      <c r="D84" s="101"/>
      <c r="E84" s="101"/>
      <c r="F84" s="101"/>
      <c r="G84" s="101"/>
      <c r="H84" s="101"/>
      <c r="I84" s="102"/>
      <c r="M84" s="6">
        <f>SUM(M85,M88,M91)</f>
        <v>0</v>
      </c>
      <c r="N84" s="6">
        <f>SUM(N85,N88,N91)</f>
        <v>0</v>
      </c>
      <c r="O84" s="6">
        <f>SUM(O85,O88,O91)</f>
        <v>0</v>
      </c>
      <c r="S84" s="6">
        <f>SUM(S85,S88,S91)</f>
        <v>0</v>
      </c>
      <c r="T84" s="6">
        <f>SUM(T85,T88,T91)</f>
        <v>0</v>
      </c>
      <c r="U84" s="6">
        <f>SUM(U85,U88,U91)</f>
        <v>0</v>
      </c>
      <c r="Y84" s="9">
        <f>SUM(Y85,Y88,Y91)</f>
        <v>0</v>
      </c>
      <c r="Z84" s="9">
        <f>SUM(Z85,Z88,Z91)</f>
        <v>0</v>
      </c>
      <c r="AA84" s="9">
        <f>SUM(AA85,AA88,AA91)</f>
        <v>0</v>
      </c>
      <c r="AD84" s="4">
        <v>303752399</v>
      </c>
      <c r="AE84" s="4">
        <v>16077960</v>
      </c>
    </row>
    <row r="85" spans="1:35" ht="36" x14ac:dyDescent="0.35">
      <c r="A85" s="10" t="s">
        <v>409</v>
      </c>
      <c r="B85" s="10" t="s">
        <v>410</v>
      </c>
      <c r="C85" s="14" t="s">
        <v>411</v>
      </c>
      <c r="D85" s="15"/>
      <c r="E85" s="15" t="s">
        <v>412</v>
      </c>
      <c r="F85" s="15" t="s">
        <v>56</v>
      </c>
      <c r="G85" s="16">
        <v>1</v>
      </c>
      <c r="H85" s="16"/>
      <c r="I85" s="16">
        <v>0</v>
      </c>
      <c r="J85" s="17">
        <f>IFERROR(ROUND(SUM(M86,M87)/I85, 2),0)</f>
        <v>0</v>
      </c>
      <c r="K85" s="18">
        <v>439</v>
      </c>
      <c r="L85" s="17">
        <f>J85+ROUND(K85, 2)</f>
        <v>439</v>
      </c>
      <c r="M85" s="17">
        <f>ROUND(J85*I85, 2)</f>
        <v>0</v>
      </c>
      <c r="N85" s="17">
        <f>ROUND(I85*ROUND(K85, 2), 2)</f>
        <v>0</v>
      </c>
      <c r="O85" s="17">
        <f>M85+N85</f>
        <v>0</v>
      </c>
      <c r="P85" s="17">
        <f>IFERROR(ROUND(SUM(S86,S87)/I85, 2),0)</f>
        <v>0</v>
      </c>
      <c r="Q85" s="18">
        <v>439</v>
      </c>
      <c r="R85" s="17">
        <f>P85+ROUND(Q85, 2)</f>
        <v>439</v>
      </c>
      <c r="S85" s="17">
        <f>ROUND(P85*I85, 2)</f>
        <v>0</v>
      </c>
      <c r="T85" s="17">
        <f>ROUND(I85*ROUND(Q85, 2), 2)</f>
        <v>0</v>
      </c>
      <c r="U85" s="17">
        <f>S85+T85</f>
        <v>0</v>
      </c>
      <c r="V85" s="9">
        <f>ROUND(P85 / 1.2, 2)</f>
        <v>0</v>
      </c>
      <c r="W85" s="9">
        <f>ROUND(Q85 / 1.2, 2)</f>
        <v>365.83</v>
      </c>
      <c r="X85" s="9">
        <f>ROUND(R85 / 1.2, 2)</f>
        <v>365.83</v>
      </c>
      <c r="Y85" s="9">
        <f>ROUND(S85 / 1.2, 2)</f>
        <v>0</v>
      </c>
      <c r="Z85" s="9">
        <f>ROUND(T85 / 1.2, 2)</f>
        <v>0</v>
      </c>
      <c r="AA85" s="9">
        <f>Y85+Z85</f>
        <v>0</v>
      </c>
      <c r="AD85" s="4">
        <v>303752401</v>
      </c>
      <c r="AE85" s="4">
        <v>16077964</v>
      </c>
      <c r="AG85" s="4" t="s">
        <v>413</v>
      </c>
      <c r="AH85" s="4" t="s">
        <v>414</v>
      </c>
      <c r="AI85" s="4" t="s">
        <v>247</v>
      </c>
    </row>
    <row r="86" spans="1:35" ht="18" x14ac:dyDescent="0.35">
      <c r="A86" s="10" t="s">
        <v>416</v>
      </c>
      <c r="B86" s="10"/>
      <c r="C86" s="24" t="s">
        <v>417</v>
      </c>
      <c r="D86" s="15"/>
      <c r="E86" s="15"/>
      <c r="F86" s="25" t="s">
        <v>103</v>
      </c>
      <c r="G86" s="26">
        <v>0.1</v>
      </c>
      <c r="H86" s="27"/>
      <c r="I86" s="27">
        <v>0</v>
      </c>
      <c r="J86" s="28">
        <v>600</v>
      </c>
      <c r="M86" s="29">
        <f>ROUND(ROUND(J86, 2)*I86, 2)</f>
        <v>0</v>
      </c>
      <c r="P86" s="28">
        <v>600</v>
      </c>
      <c r="S86" s="29">
        <f>ROUND(ROUND(P86, 2)*I86, 2)</f>
        <v>0</v>
      </c>
      <c r="V86" s="9">
        <f>ROUND(ROUND(P86, 2)/1.2, 2)</f>
        <v>500</v>
      </c>
      <c r="Y86" s="9">
        <f t="shared" ref="Y86:Y92" si="8">ROUND(S86 / 1.2, 2)</f>
        <v>0</v>
      </c>
      <c r="AD86" s="4" t="s">
        <v>418</v>
      </c>
      <c r="AE86" s="4" t="s">
        <v>419</v>
      </c>
      <c r="AF86" s="4" t="s">
        <v>420</v>
      </c>
    </row>
    <row r="87" spans="1:35" ht="18" x14ac:dyDescent="0.35">
      <c r="A87" s="10" t="s">
        <v>423</v>
      </c>
      <c r="B87" s="10"/>
      <c r="C87" s="37" t="s">
        <v>424</v>
      </c>
      <c r="D87" s="15"/>
      <c r="E87" s="15"/>
      <c r="F87" s="25" t="s">
        <v>425</v>
      </c>
      <c r="G87" s="26">
        <v>1.03</v>
      </c>
      <c r="H87" s="27"/>
      <c r="I87" s="27">
        <v>0</v>
      </c>
      <c r="J87" s="28">
        <v>5213.5</v>
      </c>
      <c r="M87" s="29">
        <f>ROUND(ROUND(J87, 2)*I87, 2)</f>
        <v>0</v>
      </c>
      <c r="P87" s="28">
        <v>5213.5</v>
      </c>
      <c r="S87" s="29">
        <f>ROUND(ROUND(P87, 2)*I87, 2)</f>
        <v>0</v>
      </c>
      <c r="V87" s="9">
        <f>ROUND(ROUND(P87, 2)/1.2, 2)</f>
        <v>4344.58</v>
      </c>
      <c r="Y87" s="9">
        <f t="shared" si="8"/>
        <v>0</v>
      </c>
      <c r="AD87" s="4" t="s">
        <v>426</v>
      </c>
      <c r="AE87" s="4" t="s">
        <v>427</v>
      </c>
      <c r="AF87" s="4" t="s">
        <v>428</v>
      </c>
    </row>
    <row r="88" spans="1:35" ht="36" x14ac:dyDescent="0.35">
      <c r="A88" s="10" t="s">
        <v>431</v>
      </c>
      <c r="B88" s="10" t="s">
        <v>410</v>
      </c>
      <c r="C88" s="14" t="s">
        <v>411</v>
      </c>
      <c r="D88" s="15"/>
      <c r="E88" s="15" t="s">
        <v>432</v>
      </c>
      <c r="F88" s="15" t="s">
        <v>56</v>
      </c>
      <c r="G88" s="16">
        <v>1</v>
      </c>
      <c r="H88" s="16"/>
      <c r="I88" s="16">
        <v>0</v>
      </c>
      <c r="J88" s="17">
        <f>IFERROR(ROUND(SUM(M89,M90)/I88, 2),0)</f>
        <v>0</v>
      </c>
      <c r="K88" s="18">
        <v>439</v>
      </c>
      <c r="L88" s="17">
        <f>J88+ROUND(K88, 2)</f>
        <v>439</v>
      </c>
      <c r="M88" s="17">
        <f>ROUND(J88*I88, 2)</f>
        <v>0</v>
      </c>
      <c r="N88" s="17">
        <f>ROUND(I88*ROUND(K88, 2), 2)</f>
        <v>0</v>
      </c>
      <c r="O88" s="17">
        <f>M88+N88</f>
        <v>0</v>
      </c>
      <c r="P88" s="17">
        <f>IFERROR(ROUND(SUM(S89,S90)/I88, 2),0)</f>
        <v>0</v>
      </c>
      <c r="Q88" s="18">
        <v>439</v>
      </c>
      <c r="R88" s="17">
        <f>P88+ROUND(Q88, 2)</f>
        <v>439</v>
      </c>
      <c r="S88" s="17">
        <f>ROUND(P88*I88, 2)</f>
        <v>0</v>
      </c>
      <c r="T88" s="17">
        <f>ROUND(I88*ROUND(Q88, 2), 2)</f>
        <v>0</v>
      </c>
      <c r="U88" s="17">
        <f>S88+T88</f>
        <v>0</v>
      </c>
      <c r="V88" s="9">
        <f>ROUND(P88 / 1.2, 2)</f>
        <v>0</v>
      </c>
      <c r="W88" s="9">
        <f>ROUND(Q88 / 1.2, 2)</f>
        <v>365.83</v>
      </c>
      <c r="X88" s="9">
        <f>ROUND(R88 / 1.2, 2)</f>
        <v>365.83</v>
      </c>
      <c r="Y88" s="9">
        <f t="shared" si="8"/>
        <v>0</v>
      </c>
      <c r="Z88" s="9">
        <f>ROUND(T88 / 1.2, 2)</f>
        <v>0</v>
      </c>
      <c r="AA88" s="9">
        <f>Y88+Z88</f>
        <v>0</v>
      </c>
      <c r="AD88" s="4">
        <v>303752464</v>
      </c>
      <c r="AE88" s="4">
        <v>16088188</v>
      </c>
      <c r="AG88" s="4" t="s">
        <v>413</v>
      </c>
      <c r="AH88" s="4" t="s">
        <v>414</v>
      </c>
      <c r="AI88" s="4" t="s">
        <v>247</v>
      </c>
    </row>
    <row r="89" spans="1:35" ht="18" x14ac:dyDescent="0.35">
      <c r="A89" s="10" t="s">
        <v>434</v>
      </c>
      <c r="B89" s="10"/>
      <c r="C89" s="37" t="s">
        <v>424</v>
      </c>
      <c r="D89" s="15"/>
      <c r="E89" s="15"/>
      <c r="F89" s="25" t="s">
        <v>425</v>
      </c>
      <c r="G89" s="26">
        <v>1.03</v>
      </c>
      <c r="H89" s="27"/>
      <c r="I89" s="27">
        <v>0</v>
      </c>
      <c r="J89" s="28">
        <v>5213.5</v>
      </c>
      <c r="M89" s="29">
        <f>ROUND(ROUND(J89, 2)*I89, 2)</f>
        <v>0</v>
      </c>
      <c r="P89" s="28">
        <v>5213.5</v>
      </c>
      <c r="S89" s="29">
        <f>ROUND(ROUND(P89, 2)*I89, 2)</f>
        <v>0</v>
      </c>
      <c r="V89" s="9">
        <f>ROUND(ROUND(P89, 2)/1.2, 2)</f>
        <v>4344.58</v>
      </c>
      <c r="Y89" s="9">
        <f t="shared" si="8"/>
        <v>0</v>
      </c>
      <c r="AD89" s="4" t="s">
        <v>435</v>
      </c>
      <c r="AE89" s="4" t="s">
        <v>436</v>
      </c>
      <c r="AF89" s="4" t="s">
        <v>428</v>
      </c>
    </row>
    <row r="90" spans="1:35" ht="18" x14ac:dyDescent="0.35">
      <c r="A90" s="10" t="s">
        <v>439</v>
      </c>
      <c r="B90" s="10"/>
      <c r="C90" s="24" t="s">
        <v>417</v>
      </c>
      <c r="D90" s="15"/>
      <c r="E90" s="15"/>
      <c r="F90" s="25" t="s">
        <v>103</v>
      </c>
      <c r="G90" s="26">
        <v>0.1</v>
      </c>
      <c r="H90" s="27"/>
      <c r="I90" s="27">
        <v>0</v>
      </c>
      <c r="J90" s="28">
        <v>600</v>
      </c>
      <c r="M90" s="29">
        <f>ROUND(ROUND(J90, 2)*I90, 2)</f>
        <v>0</v>
      </c>
      <c r="P90" s="28">
        <v>600</v>
      </c>
      <c r="S90" s="29">
        <f>ROUND(ROUND(P90, 2)*I90, 2)</f>
        <v>0</v>
      </c>
      <c r="V90" s="9">
        <f>ROUND(ROUND(P90, 2)/1.2, 2)</f>
        <v>500</v>
      </c>
      <c r="Y90" s="9">
        <f t="shared" si="8"/>
        <v>0</v>
      </c>
      <c r="AD90" s="4" t="s">
        <v>440</v>
      </c>
      <c r="AE90" s="4" t="s">
        <v>441</v>
      </c>
      <c r="AF90" s="4" t="s">
        <v>420</v>
      </c>
    </row>
    <row r="91" spans="1:35" ht="36" x14ac:dyDescent="0.35">
      <c r="A91" s="10" t="s">
        <v>444</v>
      </c>
      <c r="B91" s="10" t="s">
        <v>445</v>
      </c>
      <c r="C91" s="14" t="s">
        <v>446</v>
      </c>
      <c r="D91" s="15"/>
      <c r="E91" s="15" t="s">
        <v>447</v>
      </c>
      <c r="F91" s="15" t="s">
        <v>56</v>
      </c>
      <c r="G91" s="16">
        <v>1</v>
      </c>
      <c r="H91" s="16"/>
      <c r="I91" s="16">
        <v>0</v>
      </c>
      <c r="J91" s="17">
        <f>IFERROR(ROUND(SUM(M92)/I91, 2),0)</f>
        <v>0</v>
      </c>
      <c r="K91" s="18">
        <v>56</v>
      </c>
      <c r="L91" s="17">
        <f>J91+ROUND(K91, 2)</f>
        <v>56</v>
      </c>
      <c r="M91" s="17">
        <f>ROUND(J91*I91, 2)</f>
        <v>0</v>
      </c>
      <c r="N91" s="17">
        <f>ROUND(I91*ROUND(K91, 2), 2)</f>
        <v>0</v>
      </c>
      <c r="O91" s="17">
        <f>M91+N91</f>
        <v>0</v>
      </c>
      <c r="P91" s="17">
        <f>IFERROR(ROUND(SUM(S92)/I91, 2),0)</f>
        <v>0</v>
      </c>
      <c r="Q91" s="18">
        <v>56</v>
      </c>
      <c r="R91" s="17">
        <f>P91+ROUND(Q91, 2)</f>
        <v>56</v>
      </c>
      <c r="S91" s="17">
        <f>ROUND(P91*I91, 2)</f>
        <v>0</v>
      </c>
      <c r="T91" s="17">
        <f>ROUND(I91*ROUND(Q91, 2), 2)</f>
        <v>0</v>
      </c>
      <c r="U91" s="17">
        <f>S91+T91</f>
        <v>0</v>
      </c>
      <c r="V91" s="9">
        <f>ROUND(P91 / 1.2, 2)</f>
        <v>0</v>
      </c>
      <c r="W91" s="9">
        <f>ROUND(Q91 / 1.2, 2)</f>
        <v>46.67</v>
      </c>
      <c r="X91" s="9">
        <f>ROUND(R91 / 1.2, 2)</f>
        <v>46.67</v>
      </c>
      <c r="Y91" s="9">
        <f t="shared" si="8"/>
        <v>0</v>
      </c>
      <c r="Z91" s="9">
        <f>ROUND(T91 / 1.2, 2)</f>
        <v>0</v>
      </c>
      <c r="AA91" s="9">
        <f>Y91+Z91</f>
        <v>0</v>
      </c>
      <c r="AD91" s="4">
        <v>303752402</v>
      </c>
      <c r="AE91" s="4">
        <v>16078329</v>
      </c>
      <c r="AG91" s="4" t="s">
        <v>448</v>
      </c>
      <c r="AH91" s="4" t="s">
        <v>449</v>
      </c>
      <c r="AI91" s="4" t="s">
        <v>247</v>
      </c>
    </row>
    <row r="92" spans="1:35" ht="54" x14ac:dyDescent="0.35">
      <c r="A92" s="10" t="s">
        <v>451</v>
      </c>
      <c r="B92" s="10"/>
      <c r="C92" s="24" t="s">
        <v>452</v>
      </c>
      <c r="D92" s="15"/>
      <c r="E92" s="15" t="s">
        <v>453</v>
      </c>
      <c r="F92" s="25" t="s">
        <v>56</v>
      </c>
      <c r="G92" s="26">
        <v>1.03</v>
      </c>
      <c r="H92" s="26"/>
      <c r="I92" s="26">
        <v>0</v>
      </c>
      <c r="J92" s="28">
        <v>54</v>
      </c>
      <c r="M92" s="29">
        <f>ROUND(ROUND(J92, 2)*I92, 2)</f>
        <v>0</v>
      </c>
      <c r="P92" s="28">
        <v>54</v>
      </c>
      <c r="S92" s="29">
        <f>ROUND(ROUND(P92, 2)*I92, 2)</f>
        <v>0</v>
      </c>
      <c r="V92" s="9">
        <f>ROUND(ROUND(P92, 2)/1.2, 2)</f>
        <v>45</v>
      </c>
      <c r="Y92" s="9">
        <f t="shared" si="8"/>
        <v>0</v>
      </c>
      <c r="AD92" s="4" t="s">
        <v>454</v>
      </c>
      <c r="AE92" s="4" t="s">
        <v>455</v>
      </c>
      <c r="AF92" s="4" t="s">
        <v>456</v>
      </c>
    </row>
    <row r="93" spans="1:35" ht="17" customHeight="1" x14ac:dyDescent="0.35">
      <c r="A93" s="10" t="s">
        <v>459</v>
      </c>
      <c r="B93" s="10" t="s">
        <v>460</v>
      </c>
      <c r="C93" s="100" t="s">
        <v>461</v>
      </c>
      <c r="D93" s="101"/>
      <c r="E93" s="101"/>
      <c r="F93" s="101"/>
      <c r="G93" s="101"/>
      <c r="H93" s="101"/>
      <c r="I93" s="102"/>
      <c r="M93" s="6">
        <f>SUM(M94,M99,M104,M109,M113,M116,M121,M126)</f>
        <v>1434337.04</v>
      </c>
      <c r="N93" s="6">
        <f>SUM(N94,N99,N104,N109,N113,N116,N121,N126)</f>
        <v>537714.84</v>
      </c>
      <c r="O93" s="6">
        <f>SUM(O94,O99,O104,O109,O113,O116,O121,O126)</f>
        <v>1972051.88</v>
      </c>
      <c r="S93" s="6">
        <f>SUM(S94,S99,S104,S109,S113,S116,S121,S126)</f>
        <v>1549555.1300000001</v>
      </c>
      <c r="T93" s="6">
        <f>SUM(T94,T99,T104,T109,T113,T116,T121,T126)</f>
        <v>409304.28</v>
      </c>
      <c r="U93" s="6">
        <f>SUM(U94,U99,U104,U109,U113,U116,U121,U126)</f>
        <v>1958859.41</v>
      </c>
      <c r="Y93" s="9">
        <f>SUM(Y94,Y99,Y104,Y109,Y113,Y116,Y121,Y126)</f>
        <v>1291295.9500000002</v>
      </c>
      <c r="Z93" s="9">
        <f>SUM(Z94,Z99,Z104,Z109,Z113,Z116,Z121,Z126)</f>
        <v>341086.9</v>
      </c>
      <c r="AA93" s="9">
        <f>SUM(AA94,AA99,AA104,AA109,AA113,AA116,AA121,AA126)</f>
        <v>1632382.85</v>
      </c>
      <c r="AD93" s="4">
        <v>303752403</v>
      </c>
      <c r="AE93" s="4">
        <v>16075337</v>
      </c>
    </row>
    <row r="94" spans="1:35" ht="54" x14ac:dyDescent="0.35">
      <c r="A94" s="10" t="s">
        <v>462</v>
      </c>
      <c r="B94" s="10" t="s">
        <v>463</v>
      </c>
      <c r="C94" s="14" t="s">
        <v>464</v>
      </c>
      <c r="D94" s="15"/>
      <c r="E94" s="15" t="s">
        <v>465</v>
      </c>
      <c r="F94" s="15" t="s">
        <v>56</v>
      </c>
      <c r="G94" s="16">
        <v>1</v>
      </c>
      <c r="H94" s="16"/>
      <c r="I94" s="16">
        <v>0</v>
      </c>
      <c r="J94" s="17">
        <f>IFERROR(ROUND(SUM(M95,M96,M97,M98)/I94, 2),0)</f>
        <v>0</v>
      </c>
      <c r="K94" s="18">
        <v>1439</v>
      </c>
      <c r="L94" s="17">
        <f>J94+ROUND(K94, 2)</f>
        <v>1439</v>
      </c>
      <c r="M94" s="17">
        <f>ROUND(J94*I94, 2)</f>
        <v>0</v>
      </c>
      <c r="N94" s="17">
        <f>ROUND(I94*ROUND(K94, 2), 2)</f>
        <v>0</v>
      </c>
      <c r="O94" s="17">
        <f>M94+N94</f>
        <v>0</v>
      </c>
      <c r="P94" s="17">
        <f>IFERROR(ROUND(SUM(S95,S96,S97,S98)/I94, 2),0)</f>
        <v>0</v>
      </c>
      <c r="Q94" s="18">
        <v>1251</v>
      </c>
      <c r="R94" s="17">
        <f>P94+ROUND(Q94, 2)</f>
        <v>1251</v>
      </c>
      <c r="S94" s="17">
        <f>ROUND(P94*I94, 2)</f>
        <v>0</v>
      </c>
      <c r="T94" s="17">
        <f>ROUND(I94*ROUND(Q94, 2), 2)</f>
        <v>0</v>
      </c>
      <c r="U94" s="17">
        <f>S94+T94</f>
        <v>0</v>
      </c>
      <c r="V94" s="9">
        <f>ROUND(P94 / 1.2, 2)</f>
        <v>0</v>
      </c>
      <c r="W94" s="9">
        <f>ROUND(Q94 / 1.2, 2)</f>
        <v>1042.5</v>
      </c>
      <c r="X94" s="9">
        <f>ROUND(R94 / 1.2, 2)</f>
        <v>1042.5</v>
      </c>
      <c r="Y94" s="9">
        <f>ROUND(S94 / 1.2, 2)</f>
        <v>0</v>
      </c>
      <c r="Z94" s="9">
        <f>ROUND(T94 / 1.2, 2)</f>
        <v>0</v>
      </c>
      <c r="AA94" s="9">
        <f>Y94+Z94</f>
        <v>0</v>
      </c>
      <c r="AD94" s="4">
        <v>303752405</v>
      </c>
      <c r="AE94" s="4">
        <v>16080908</v>
      </c>
      <c r="AG94" s="4" t="s">
        <v>466</v>
      </c>
      <c r="AH94" s="4" t="s">
        <v>467</v>
      </c>
      <c r="AI94" s="4" t="s">
        <v>247</v>
      </c>
    </row>
    <row r="95" spans="1:35" ht="36" x14ac:dyDescent="0.35">
      <c r="A95" s="10" t="s">
        <v>469</v>
      </c>
      <c r="B95" s="10"/>
      <c r="C95" s="37" t="s">
        <v>470</v>
      </c>
      <c r="D95" s="15"/>
      <c r="E95" s="15" t="s">
        <v>471</v>
      </c>
      <c r="F95" s="25" t="s">
        <v>81</v>
      </c>
      <c r="G95" s="26">
        <v>1.2</v>
      </c>
      <c r="H95" s="27"/>
      <c r="I95" s="27">
        <v>0</v>
      </c>
      <c r="J95" s="28">
        <v>6.28</v>
      </c>
      <c r="M95" s="29">
        <f>ROUND(ROUND(J95, 2)*I95, 2)</f>
        <v>0</v>
      </c>
      <c r="P95" s="28">
        <v>6.28</v>
      </c>
      <c r="S95" s="29">
        <f>ROUND(ROUND(P95, 2)*I95, 2)</f>
        <v>0</v>
      </c>
      <c r="V95" s="9">
        <f>ROUND(ROUND(P95, 2)/1.2, 2)</f>
        <v>5.23</v>
      </c>
      <c r="Y95" s="9">
        <f t="shared" ref="Y95:Y128" si="9">ROUND(S95 / 1.2, 2)</f>
        <v>0</v>
      </c>
      <c r="AD95" s="4" t="s">
        <v>472</v>
      </c>
      <c r="AE95" s="4" t="s">
        <v>473</v>
      </c>
      <c r="AF95" s="4" t="s">
        <v>474</v>
      </c>
    </row>
    <row r="96" spans="1:35" ht="72" x14ac:dyDescent="0.35">
      <c r="A96" s="10" t="s">
        <v>477</v>
      </c>
      <c r="B96" s="10"/>
      <c r="C96" s="37" t="s">
        <v>478</v>
      </c>
      <c r="D96" s="15"/>
      <c r="E96" s="15" t="s">
        <v>479</v>
      </c>
      <c r="F96" s="25" t="s">
        <v>56</v>
      </c>
      <c r="G96" s="26">
        <v>1.07</v>
      </c>
      <c r="H96" s="27"/>
      <c r="I96" s="27">
        <v>0</v>
      </c>
      <c r="J96" s="28">
        <v>504</v>
      </c>
      <c r="M96" s="29">
        <f>ROUND(ROUND(J96, 2)*I96, 2)</f>
        <v>0</v>
      </c>
      <c r="P96" s="28">
        <v>1083.5999999999999</v>
      </c>
      <c r="S96" s="29">
        <f>ROUND(ROUND(P96, 2)*I96, 2)</f>
        <v>0</v>
      </c>
      <c r="V96" s="9">
        <f>ROUND(ROUND(P96, 2)/1.2, 2)</f>
        <v>903</v>
      </c>
      <c r="Y96" s="9">
        <f t="shared" si="9"/>
        <v>0</v>
      </c>
      <c r="AD96" s="4" t="s">
        <v>480</v>
      </c>
      <c r="AE96" s="4" t="s">
        <v>481</v>
      </c>
      <c r="AF96" s="4" t="s">
        <v>482</v>
      </c>
    </row>
    <row r="97" spans="1:35" ht="18" x14ac:dyDescent="0.35">
      <c r="A97" s="10" t="s">
        <v>485</v>
      </c>
      <c r="B97" s="10"/>
      <c r="C97" s="24" t="s">
        <v>486</v>
      </c>
      <c r="D97" s="15"/>
      <c r="E97" s="15"/>
      <c r="F97" s="25" t="s">
        <v>81</v>
      </c>
      <c r="G97" s="26">
        <v>0.25</v>
      </c>
      <c r="H97" s="27"/>
      <c r="I97" s="27">
        <v>0</v>
      </c>
      <c r="J97" s="28">
        <v>40.270000000000003</v>
      </c>
      <c r="M97" s="29">
        <f>ROUND(ROUND(J97, 2)*I97, 2)</f>
        <v>0</v>
      </c>
      <c r="P97" s="28">
        <v>40.270000000000003</v>
      </c>
      <c r="S97" s="29">
        <f>ROUND(ROUND(P97, 2)*I97, 2)</f>
        <v>0</v>
      </c>
      <c r="V97" s="9">
        <f>ROUND(ROUND(P97, 2)/1.2, 2)</f>
        <v>33.56</v>
      </c>
      <c r="Y97" s="9">
        <f t="shared" si="9"/>
        <v>0</v>
      </c>
      <c r="AD97" s="4" t="s">
        <v>487</v>
      </c>
      <c r="AE97" s="4" t="s">
        <v>488</v>
      </c>
      <c r="AF97" s="4" t="s">
        <v>489</v>
      </c>
    </row>
    <row r="98" spans="1:35" ht="36" x14ac:dyDescent="0.35">
      <c r="A98" s="10" t="s">
        <v>492</v>
      </c>
      <c r="B98" s="10"/>
      <c r="C98" s="24" t="s">
        <v>493</v>
      </c>
      <c r="D98" s="15"/>
      <c r="E98" s="15"/>
      <c r="F98" s="25" t="s">
        <v>81</v>
      </c>
      <c r="G98" s="26">
        <v>0.15</v>
      </c>
      <c r="H98" s="26"/>
      <c r="I98" s="26">
        <v>0</v>
      </c>
      <c r="J98" s="28">
        <v>88.8</v>
      </c>
      <c r="M98" s="29">
        <f>ROUND(ROUND(J98, 2)*I98, 2)</f>
        <v>0</v>
      </c>
      <c r="P98" s="28">
        <v>88.8</v>
      </c>
      <c r="S98" s="29">
        <f>ROUND(ROUND(P98, 2)*I98, 2)</f>
        <v>0</v>
      </c>
      <c r="V98" s="9">
        <f>ROUND(ROUND(P98, 2)/1.2, 2)</f>
        <v>74</v>
      </c>
      <c r="Y98" s="9">
        <f t="shared" si="9"/>
        <v>0</v>
      </c>
      <c r="AD98" s="4" t="s">
        <v>494</v>
      </c>
      <c r="AE98" s="4" t="s">
        <v>495</v>
      </c>
      <c r="AF98" s="4" t="s">
        <v>496</v>
      </c>
    </row>
    <row r="99" spans="1:35" ht="54" x14ac:dyDescent="0.35">
      <c r="A99" s="10" t="s">
        <v>499</v>
      </c>
      <c r="B99" s="10" t="s">
        <v>463</v>
      </c>
      <c r="C99" s="14" t="s">
        <v>464</v>
      </c>
      <c r="D99" s="15"/>
      <c r="E99" s="15" t="s">
        <v>500</v>
      </c>
      <c r="F99" s="15" t="s">
        <v>56</v>
      </c>
      <c r="G99" s="16">
        <v>1</v>
      </c>
      <c r="H99" s="16"/>
      <c r="I99" s="16">
        <v>0</v>
      </c>
      <c r="J99" s="17">
        <f>IFERROR(ROUND(SUM(M100,M101,M102,M103)/I99, 2),0)</f>
        <v>0</v>
      </c>
      <c r="K99" s="18">
        <v>1439</v>
      </c>
      <c r="L99" s="17">
        <f>J99+ROUND(K99, 2)</f>
        <v>1439</v>
      </c>
      <c r="M99" s="17">
        <f>ROUND(J99*I99, 2)</f>
        <v>0</v>
      </c>
      <c r="N99" s="17">
        <f>ROUND(I99*ROUND(K99, 2), 2)</f>
        <v>0</v>
      </c>
      <c r="O99" s="17">
        <f>M99+N99</f>
        <v>0</v>
      </c>
      <c r="P99" s="17">
        <f>IFERROR(ROUND(SUM(S100,S101,S102,S103)/I99, 2),0)</f>
        <v>0</v>
      </c>
      <c r="Q99" s="18">
        <v>1251</v>
      </c>
      <c r="R99" s="17">
        <f>P99+ROUND(Q99, 2)</f>
        <v>1251</v>
      </c>
      <c r="S99" s="17">
        <f>ROUND(P99*I99, 2)</f>
        <v>0</v>
      </c>
      <c r="T99" s="17">
        <f>ROUND(I99*ROUND(Q99, 2), 2)</f>
        <v>0</v>
      </c>
      <c r="U99" s="17">
        <f>S99+T99</f>
        <v>0</v>
      </c>
      <c r="V99" s="9">
        <f>ROUND(P99 / 1.2, 2)</f>
        <v>0</v>
      </c>
      <c r="W99" s="9">
        <f>ROUND(Q99 / 1.2, 2)</f>
        <v>1042.5</v>
      </c>
      <c r="X99" s="9">
        <f>ROUND(R99 / 1.2, 2)</f>
        <v>1042.5</v>
      </c>
      <c r="Y99" s="9">
        <f t="shared" si="9"/>
        <v>0</v>
      </c>
      <c r="Z99" s="9">
        <f>ROUND(T99 / 1.2, 2)</f>
        <v>0</v>
      </c>
      <c r="AA99" s="9">
        <f>Y99+Z99</f>
        <v>0</v>
      </c>
      <c r="AD99" s="4">
        <v>303752465</v>
      </c>
      <c r="AE99" s="4">
        <v>16080909</v>
      </c>
      <c r="AG99" s="4" t="s">
        <v>466</v>
      </c>
      <c r="AH99" s="4" t="s">
        <v>467</v>
      </c>
      <c r="AI99" s="4" t="s">
        <v>247</v>
      </c>
    </row>
    <row r="100" spans="1:35" ht="36" x14ac:dyDescent="0.35">
      <c r="A100" s="10" t="s">
        <v>502</v>
      </c>
      <c r="B100" s="10"/>
      <c r="C100" s="24" t="s">
        <v>493</v>
      </c>
      <c r="D100" s="15"/>
      <c r="E100" s="15"/>
      <c r="F100" s="25" t="s">
        <v>81</v>
      </c>
      <c r="G100" s="26">
        <v>0.15</v>
      </c>
      <c r="H100" s="26"/>
      <c r="I100" s="26">
        <v>0</v>
      </c>
      <c r="J100" s="28">
        <v>88.8</v>
      </c>
      <c r="M100" s="29">
        <f>ROUND(ROUND(J100, 2)*I100, 2)</f>
        <v>0</v>
      </c>
      <c r="P100" s="28">
        <v>88.8</v>
      </c>
      <c r="S100" s="29">
        <f>ROUND(ROUND(P100, 2)*I100, 2)</f>
        <v>0</v>
      </c>
      <c r="V100" s="9">
        <f>ROUND(ROUND(P100, 2)/1.2, 2)</f>
        <v>74</v>
      </c>
      <c r="Y100" s="9">
        <f t="shared" si="9"/>
        <v>0</v>
      </c>
      <c r="AD100" s="4" t="s">
        <v>503</v>
      </c>
      <c r="AE100" s="4" t="s">
        <v>504</v>
      </c>
      <c r="AF100" s="4" t="s">
        <v>496</v>
      </c>
    </row>
    <row r="101" spans="1:35" ht="18" x14ac:dyDescent="0.35">
      <c r="A101" s="10" t="s">
        <v>507</v>
      </c>
      <c r="B101" s="10"/>
      <c r="C101" s="24" t="s">
        <v>486</v>
      </c>
      <c r="D101" s="15"/>
      <c r="E101" s="15"/>
      <c r="F101" s="25" t="s">
        <v>81</v>
      </c>
      <c r="G101" s="26">
        <v>0.25</v>
      </c>
      <c r="H101" s="27"/>
      <c r="I101" s="27">
        <v>0</v>
      </c>
      <c r="J101" s="28">
        <v>40.270000000000003</v>
      </c>
      <c r="M101" s="29">
        <f>ROUND(ROUND(J101, 2)*I101, 2)</f>
        <v>0</v>
      </c>
      <c r="P101" s="28">
        <v>40.270000000000003</v>
      </c>
      <c r="S101" s="29">
        <f>ROUND(ROUND(P101, 2)*I101, 2)</f>
        <v>0</v>
      </c>
      <c r="V101" s="9">
        <f>ROUND(ROUND(P101, 2)/1.2, 2)</f>
        <v>33.56</v>
      </c>
      <c r="Y101" s="9">
        <f t="shared" si="9"/>
        <v>0</v>
      </c>
      <c r="AD101" s="4" t="s">
        <v>508</v>
      </c>
      <c r="AE101" s="4" t="s">
        <v>509</v>
      </c>
      <c r="AF101" s="4" t="s">
        <v>489</v>
      </c>
    </row>
    <row r="102" spans="1:35" ht="36" x14ac:dyDescent="0.35">
      <c r="A102" s="10" t="s">
        <v>512</v>
      </c>
      <c r="B102" s="10"/>
      <c r="C102" s="37" t="s">
        <v>470</v>
      </c>
      <c r="D102" s="15"/>
      <c r="E102" s="15"/>
      <c r="F102" s="25" t="s">
        <v>81</v>
      </c>
      <c r="G102" s="26">
        <v>1.2</v>
      </c>
      <c r="H102" s="27"/>
      <c r="I102" s="27">
        <v>0</v>
      </c>
      <c r="J102" s="28">
        <v>6.28</v>
      </c>
      <c r="M102" s="29">
        <f>ROUND(ROUND(J102, 2)*I102, 2)</f>
        <v>0</v>
      </c>
      <c r="P102" s="28">
        <v>6.28</v>
      </c>
      <c r="S102" s="29">
        <f>ROUND(ROUND(P102, 2)*I102, 2)</f>
        <v>0</v>
      </c>
      <c r="V102" s="9">
        <f>ROUND(ROUND(P102, 2)/1.2, 2)</f>
        <v>5.23</v>
      </c>
      <c r="Y102" s="9">
        <f t="shared" si="9"/>
        <v>0</v>
      </c>
      <c r="AD102" s="4" t="s">
        <v>513</v>
      </c>
      <c r="AE102" s="4" t="s">
        <v>514</v>
      </c>
      <c r="AF102" s="4" t="s">
        <v>474</v>
      </c>
    </row>
    <row r="103" spans="1:35" ht="72" x14ac:dyDescent="0.35">
      <c r="A103" s="10" t="s">
        <v>517</v>
      </c>
      <c r="B103" s="10"/>
      <c r="C103" s="24" t="s">
        <v>518</v>
      </c>
      <c r="D103" s="15"/>
      <c r="E103" s="15" t="s">
        <v>519</v>
      </c>
      <c r="F103" s="25" t="s">
        <v>56</v>
      </c>
      <c r="G103" s="26">
        <v>1.07</v>
      </c>
      <c r="H103" s="27"/>
      <c r="I103" s="27">
        <v>0</v>
      </c>
      <c r="J103" s="28">
        <v>2059.0500000000002</v>
      </c>
      <c r="M103" s="29">
        <f>ROUND(ROUND(J103, 2)*I103, 2)</f>
        <v>0</v>
      </c>
      <c r="P103" s="28">
        <v>1332</v>
      </c>
      <c r="S103" s="29">
        <f>ROUND(ROUND(P103, 2)*I103, 2)</f>
        <v>0</v>
      </c>
      <c r="V103" s="9">
        <f>ROUND(ROUND(P103, 2)/1.2, 2)</f>
        <v>1110</v>
      </c>
      <c r="Y103" s="9">
        <f t="shared" si="9"/>
        <v>0</v>
      </c>
      <c r="AD103" s="4" t="s">
        <v>520</v>
      </c>
      <c r="AE103" s="4" t="s">
        <v>521</v>
      </c>
      <c r="AF103" s="4" t="s">
        <v>522</v>
      </c>
    </row>
    <row r="104" spans="1:35" ht="54" x14ac:dyDescent="0.35">
      <c r="A104" s="10" t="s">
        <v>525</v>
      </c>
      <c r="B104" s="10" t="s">
        <v>463</v>
      </c>
      <c r="C104" s="14" t="s">
        <v>464</v>
      </c>
      <c r="D104" s="15"/>
      <c r="E104" s="15" t="s">
        <v>526</v>
      </c>
      <c r="F104" s="15" t="s">
        <v>56</v>
      </c>
      <c r="G104" s="16">
        <v>1</v>
      </c>
      <c r="H104" s="16"/>
      <c r="I104" s="16">
        <v>0</v>
      </c>
      <c r="J104" s="17">
        <f>IFERROR(ROUND(SUM(M105,M106,M107,M108)/I104, 2),0)</f>
        <v>0</v>
      </c>
      <c r="K104" s="18">
        <v>1439</v>
      </c>
      <c r="L104" s="17">
        <f>J104+ROUND(K104, 2)</f>
        <v>1439</v>
      </c>
      <c r="M104" s="17">
        <f>ROUND(J104*I104, 2)</f>
        <v>0</v>
      </c>
      <c r="N104" s="17">
        <f>ROUND(I104*ROUND(K104, 2), 2)</f>
        <v>0</v>
      </c>
      <c r="O104" s="17">
        <f>M104+N104</f>
        <v>0</v>
      </c>
      <c r="P104" s="17">
        <f>IFERROR(ROUND(SUM(S105,S106,S107,S108)/I104, 2),0)</f>
        <v>0</v>
      </c>
      <c r="Q104" s="18">
        <v>1251</v>
      </c>
      <c r="R104" s="17">
        <f>P104+ROUND(Q104, 2)</f>
        <v>1251</v>
      </c>
      <c r="S104" s="17">
        <f>ROUND(P104*I104, 2)</f>
        <v>0</v>
      </c>
      <c r="T104" s="17">
        <f>ROUND(I104*ROUND(Q104, 2), 2)</f>
        <v>0</v>
      </c>
      <c r="U104" s="17">
        <f>S104+T104</f>
        <v>0</v>
      </c>
      <c r="V104" s="9">
        <f>ROUND(P104 / 1.2, 2)</f>
        <v>0</v>
      </c>
      <c r="W104" s="9">
        <f>ROUND(Q104 / 1.2, 2)</f>
        <v>1042.5</v>
      </c>
      <c r="X104" s="9">
        <f>ROUND(R104 / 1.2, 2)</f>
        <v>1042.5</v>
      </c>
      <c r="Y104" s="9">
        <f t="shared" si="9"/>
        <v>0</v>
      </c>
      <c r="Z104" s="9">
        <f>ROUND(T104 / 1.2, 2)</f>
        <v>0</v>
      </c>
      <c r="AA104" s="9">
        <f>Y104+Z104</f>
        <v>0</v>
      </c>
      <c r="AD104" s="4">
        <v>303752466</v>
      </c>
      <c r="AE104" s="4">
        <v>16087569</v>
      </c>
      <c r="AG104" s="4" t="s">
        <v>466</v>
      </c>
      <c r="AH104" s="4" t="s">
        <v>467</v>
      </c>
      <c r="AI104" s="4" t="s">
        <v>247</v>
      </c>
    </row>
    <row r="105" spans="1:35" ht="36" x14ac:dyDescent="0.35">
      <c r="A105" s="10" t="s">
        <v>528</v>
      </c>
      <c r="B105" s="10"/>
      <c r="C105" s="24" t="s">
        <v>493</v>
      </c>
      <c r="D105" s="15"/>
      <c r="E105" s="15"/>
      <c r="F105" s="25" t="s">
        <v>81</v>
      </c>
      <c r="G105" s="26">
        <v>0.15</v>
      </c>
      <c r="H105" s="26"/>
      <c r="I105" s="26">
        <v>0</v>
      </c>
      <c r="J105" s="28">
        <v>88.8</v>
      </c>
      <c r="M105" s="29">
        <f>ROUND(ROUND(J105, 2)*I105, 2)</f>
        <v>0</v>
      </c>
      <c r="P105" s="28">
        <v>88.8</v>
      </c>
      <c r="S105" s="29">
        <f>ROUND(ROUND(P105, 2)*I105, 2)</f>
        <v>0</v>
      </c>
      <c r="V105" s="9">
        <f>ROUND(ROUND(P105, 2)/1.2, 2)</f>
        <v>74</v>
      </c>
      <c r="Y105" s="9">
        <f t="shared" si="9"/>
        <v>0</v>
      </c>
      <c r="AD105" s="4" t="s">
        <v>529</v>
      </c>
      <c r="AE105" s="4" t="s">
        <v>530</v>
      </c>
      <c r="AF105" s="4" t="s">
        <v>496</v>
      </c>
    </row>
    <row r="106" spans="1:35" ht="18" x14ac:dyDescent="0.35">
      <c r="A106" s="10" t="s">
        <v>533</v>
      </c>
      <c r="B106" s="10"/>
      <c r="C106" s="24" t="s">
        <v>486</v>
      </c>
      <c r="D106" s="15"/>
      <c r="E106" s="15"/>
      <c r="F106" s="25" t="s">
        <v>81</v>
      </c>
      <c r="G106" s="26">
        <v>0.25</v>
      </c>
      <c r="H106" s="27"/>
      <c r="I106" s="27">
        <v>0</v>
      </c>
      <c r="J106" s="28">
        <v>40.270000000000003</v>
      </c>
      <c r="M106" s="29">
        <f>ROUND(ROUND(J106, 2)*I106, 2)</f>
        <v>0</v>
      </c>
      <c r="P106" s="28">
        <v>6</v>
      </c>
      <c r="S106" s="29">
        <f>ROUND(ROUND(P106, 2)*I106, 2)</f>
        <v>0</v>
      </c>
      <c r="V106" s="9">
        <f>ROUND(ROUND(P106, 2)/1.2, 2)</f>
        <v>5</v>
      </c>
      <c r="Y106" s="9">
        <f t="shared" si="9"/>
        <v>0</v>
      </c>
      <c r="AD106" s="4" t="s">
        <v>534</v>
      </c>
      <c r="AE106" s="4" t="s">
        <v>535</v>
      </c>
      <c r="AF106" s="4" t="s">
        <v>489</v>
      </c>
    </row>
    <row r="107" spans="1:35" ht="108" x14ac:dyDescent="0.35">
      <c r="A107" s="10" t="s">
        <v>538</v>
      </c>
      <c r="B107" s="10"/>
      <c r="C107" s="24" t="s">
        <v>539</v>
      </c>
      <c r="D107" s="15"/>
      <c r="E107" s="15" t="s">
        <v>540</v>
      </c>
      <c r="F107" s="25" t="s">
        <v>56</v>
      </c>
      <c r="G107" s="26">
        <v>1.07</v>
      </c>
      <c r="H107" s="27"/>
      <c r="I107" s="27">
        <v>0</v>
      </c>
      <c r="J107" s="28">
        <v>1809.15</v>
      </c>
      <c r="M107" s="29">
        <f>ROUND(ROUND(J107, 2)*I107, 2)</f>
        <v>0</v>
      </c>
      <c r="P107" s="28">
        <v>1083.5999999999999</v>
      </c>
      <c r="S107" s="29">
        <f>ROUND(ROUND(P107, 2)*I107, 2)</f>
        <v>0</v>
      </c>
      <c r="V107" s="9">
        <f>ROUND(ROUND(P107, 2)/1.2, 2)</f>
        <v>903</v>
      </c>
      <c r="Y107" s="9">
        <f t="shared" si="9"/>
        <v>0</v>
      </c>
      <c r="AD107" s="4" t="s">
        <v>541</v>
      </c>
      <c r="AE107" s="4" t="s">
        <v>542</v>
      </c>
      <c r="AF107" s="4" t="s">
        <v>543</v>
      </c>
    </row>
    <row r="108" spans="1:35" ht="36" x14ac:dyDescent="0.35">
      <c r="A108" s="10" t="s">
        <v>546</v>
      </c>
      <c r="B108" s="10"/>
      <c r="C108" s="37" t="s">
        <v>470</v>
      </c>
      <c r="D108" s="15"/>
      <c r="E108" s="15" t="s">
        <v>471</v>
      </c>
      <c r="F108" s="25" t="s">
        <v>81</v>
      </c>
      <c r="G108" s="26">
        <v>1.2</v>
      </c>
      <c r="H108" s="27"/>
      <c r="I108" s="27">
        <v>0</v>
      </c>
      <c r="J108" s="28">
        <v>6.28</v>
      </c>
      <c r="M108" s="29">
        <f>ROUND(ROUND(J108, 2)*I108, 2)</f>
        <v>0</v>
      </c>
      <c r="P108" s="28">
        <v>6.28</v>
      </c>
      <c r="S108" s="29">
        <f>ROUND(ROUND(P108, 2)*I108, 2)</f>
        <v>0</v>
      </c>
      <c r="V108" s="9">
        <f>ROUND(ROUND(P108, 2)/1.2, 2)</f>
        <v>5.23</v>
      </c>
      <c r="Y108" s="9">
        <f t="shared" si="9"/>
        <v>0</v>
      </c>
      <c r="AD108" s="4" t="s">
        <v>547</v>
      </c>
      <c r="AE108" s="4" t="s">
        <v>548</v>
      </c>
      <c r="AF108" s="4" t="s">
        <v>474</v>
      </c>
    </row>
    <row r="109" spans="1:35" ht="36" x14ac:dyDescent="0.35">
      <c r="A109" s="10" t="s">
        <v>551</v>
      </c>
      <c r="B109" s="10" t="s">
        <v>552</v>
      </c>
      <c r="C109" s="14" t="s">
        <v>553</v>
      </c>
      <c r="D109" s="15" t="s">
        <v>554</v>
      </c>
      <c r="E109" s="15" t="s">
        <v>555</v>
      </c>
      <c r="F109" s="15" t="s">
        <v>56</v>
      </c>
      <c r="G109" s="16">
        <v>1</v>
      </c>
      <c r="H109" s="16"/>
      <c r="I109" s="16">
        <v>891.74</v>
      </c>
      <c r="J109" s="17">
        <f>IFERROR(ROUND(SUM(M110,M111,M112)/I109, 2),0)</f>
        <v>1608.47</v>
      </c>
      <c r="K109" s="18">
        <v>556</v>
      </c>
      <c r="L109" s="17">
        <f>J109+ROUND(K109, 2)</f>
        <v>2164.4700000000003</v>
      </c>
      <c r="M109" s="17">
        <f>ROUND(J109*I109, 2)</f>
        <v>1434337.04</v>
      </c>
      <c r="N109" s="17">
        <f>ROUND(I109*ROUND(K109, 2), 2)</f>
        <v>495807.44</v>
      </c>
      <c r="O109" s="17">
        <f>M109+N109</f>
        <v>1930144.48</v>
      </c>
      <c r="P109" s="17">
        <f>IFERROR(ROUND(SUM(S110,S111,S112)/I109, 2),0)</f>
        <v>1608.47</v>
      </c>
      <c r="Q109" s="18">
        <v>412</v>
      </c>
      <c r="R109" s="17">
        <f>P109+ROUND(Q109, 2)</f>
        <v>2020.47</v>
      </c>
      <c r="S109" s="17">
        <f>ROUND(P109*I109, 2)</f>
        <v>1434337.04</v>
      </c>
      <c r="T109" s="17">
        <f>ROUND(I109*ROUND(Q109, 2), 2)</f>
        <v>367396.88</v>
      </c>
      <c r="U109" s="17">
        <f>S109+T109</f>
        <v>1801733.92</v>
      </c>
      <c r="V109" s="9">
        <f>ROUND(P109 / 1.2, 2)</f>
        <v>1340.39</v>
      </c>
      <c r="W109" s="9">
        <f>ROUND(Q109 / 1.2, 2)</f>
        <v>343.33</v>
      </c>
      <c r="X109" s="9">
        <f>ROUND(R109 / 1.2, 2)</f>
        <v>1683.73</v>
      </c>
      <c r="Y109" s="9">
        <f t="shared" si="9"/>
        <v>1195280.8700000001</v>
      </c>
      <c r="Z109" s="9">
        <f>ROUND(T109 / 1.2, 2)</f>
        <v>306164.07</v>
      </c>
      <c r="AA109" s="9">
        <f>Y109+Z109</f>
        <v>1501444.9400000002</v>
      </c>
      <c r="AD109" s="4">
        <v>303752407</v>
      </c>
      <c r="AE109" s="4">
        <v>16075343</v>
      </c>
      <c r="AG109" s="4" t="s">
        <v>556</v>
      </c>
      <c r="AH109" s="4" t="s">
        <v>557</v>
      </c>
      <c r="AI109" s="4" t="s">
        <v>247</v>
      </c>
    </row>
    <row r="110" spans="1:35" ht="18" x14ac:dyDescent="0.35">
      <c r="A110" s="10" t="s">
        <v>559</v>
      </c>
      <c r="B110" s="10"/>
      <c r="C110" s="24" t="s">
        <v>560</v>
      </c>
      <c r="D110" s="15"/>
      <c r="E110" s="15"/>
      <c r="F110" s="25" t="s">
        <v>81</v>
      </c>
      <c r="G110" s="26">
        <v>0.3</v>
      </c>
      <c r="H110" s="26"/>
      <c r="I110" s="26">
        <v>267.52199999999999</v>
      </c>
      <c r="J110" s="28">
        <v>341.05</v>
      </c>
      <c r="M110" s="29">
        <f>ROUND(ROUND(J110, 2)*I110, 2)</f>
        <v>91238.38</v>
      </c>
      <c r="P110" s="28">
        <v>341.05</v>
      </c>
      <c r="S110" s="29">
        <f>ROUND(ROUND(P110, 2)*I110, 2)</f>
        <v>91238.38</v>
      </c>
      <c r="V110" s="9">
        <f>ROUND(ROUND(P110, 2)/1.2, 2)</f>
        <v>284.20999999999998</v>
      </c>
      <c r="Y110" s="9">
        <f t="shared" si="9"/>
        <v>76031.98</v>
      </c>
      <c r="AD110" s="4" t="s">
        <v>561</v>
      </c>
      <c r="AE110" s="4" t="s">
        <v>562</v>
      </c>
      <c r="AF110" s="4" t="s">
        <v>563</v>
      </c>
    </row>
    <row r="111" spans="1:35" ht="72" x14ac:dyDescent="0.35">
      <c r="A111" s="10" t="s">
        <v>566</v>
      </c>
      <c r="B111" s="10"/>
      <c r="C111" s="24" t="s">
        <v>567</v>
      </c>
      <c r="D111" s="15"/>
      <c r="E111" s="15"/>
      <c r="F111" s="25" t="s">
        <v>129</v>
      </c>
      <c r="G111" s="26">
        <v>1</v>
      </c>
      <c r="H111" s="27"/>
      <c r="I111" s="27">
        <v>891.74</v>
      </c>
      <c r="J111" s="28">
        <v>33.25</v>
      </c>
      <c r="M111" s="29">
        <f>ROUND(ROUND(J111, 2)*I111, 2)</f>
        <v>29650.36</v>
      </c>
      <c r="P111" s="28">
        <v>33.25</v>
      </c>
      <c r="S111" s="29">
        <f>ROUND(ROUND(P111, 2)*I111, 2)</f>
        <v>29650.36</v>
      </c>
      <c r="V111" s="9">
        <f>ROUND(ROUND(P111, 2)/1.2, 2)</f>
        <v>27.71</v>
      </c>
      <c r="Y111" s="9">
        <f t="shared" si="9"/>
        <v>24708.63</v>
      </c>
      <c r="AD111" s="4" t="s">
        <v>568</v>
      </c>
      <c r="AE111" s="4" t="s">
        <v>569</v>
      </c>
      <c r="AF111" s="4" t="s">
        <v>570</v>
      </c>
    </row>
    <row r="112" spans="1:35" ht="54" x14ac:dyDescent="0.35">
      <c r="A112" s="10" t="s">
        <v>573</v>
      </c>
      <c r="B112" s="10"/>
      <c r="C112" s="24" t="s">
        <v>574</v>
      </c>
      <c r="D112" s="15"/>
      <c r="E112" s="15"/>
      <c r="F112" s="25" t="s">
        <v>56</v>
      </c>
      <c r="G112" s="26">
        <v>1.1000000000000001</v>
      </c>
      <c r="H112" s="27"/>
      <c r="I112" s="27">
        <v>980.91399999999999</v>
      </c>
      <c r="J112" s="28">
        <v>1339</v>
      </c>
      <c r="M112" s="29">
        <f>ROUND(ROUND(J112, 2)*I112, 2)</f>
        <v>1313443.8500000001</v>
      </c>
      <c r="P112" s="28">
        <v>1339</v>
      </c>
      <c r="S112" s="29">
        <f>ROUND(ROUND(P112, 2)*I112, 2)</f>
        <v>1313443.8500000001</v>
      </c>
      <c r="V112" s="9">
        <f>ROUND(ROUND(P112, 2)/1.2, 2)</f>
        <v>1115.83</v>
      </c>
      <c r="Y112" s="9">
        <f t="shared" si="9"/>
        <v>1094536.54</v>
      </c>
      <c r="AD112" s="4" t="s">
        <v>575</v>
      </c>
      <c r="AE112" s="4" t="s">
        <v>576</v>
      </c>
      <c r="AF112" s="4" t="s">
        <v>577</v>
      </c>
    </row>
    <row r="113" spans="1:35" ht="18" x14ac:dyDescent="0.35">
      <c r="A113" s="10" t="s">
        <v>580</v>
      </c>
      <c r="B113" s="10" t="s">
        <v>581</v>
      </c>
      <c r="C113" s="14" t="s">
        <v>582</v>
      </c>
      <c r="D113" s="15"/>
      <c r="E113" s="15" t="s">
        <v>583</v>
      </c>
      <c r="F113" s="15" t="s">
        <v>129</v>
      </c>
      <c r="G113" s="16">
        <v>1</v>
      </c>
      <c r="H113" s="16"/>
      <c r="I113" s="16">
        <v>0</v>
      </c>
      <c r="J113" s="17">
        <f>IFERROR(ROUND(SUM(M114,M115)/I113, 2),0)</f>
        <v>0</v>
      </c>
      <c r="K113" s="18">
        <v>200</v>
      </c>
      <c r="L113" s="17">
        <f>J113+ROUND(K113, 2)</f>
        <v>200</v>
      </c>
      <c r="M113" s="17">
        <f>ROUND(J113*I113, 2)</f>
        <v>0</v>
      </c>
      <c r="N113" s="17">
        <f>ROUND(I113*ROUND(K113, 2), 2)</f>
        <v>0</v>
      </c>
      <c r="O113" s="17">
        <f>M113+N113</f>
        <v>0</v>
      </c>
      <c r="P113" s="17">
        <f>IFERROR(ROUND(SUM(S114,S115)/I113, 2),0)</f>
        <v>0</v>
      </c>
      <c r="Q113" s="18">
        <v>200</v>
      </c>
      <c r="R113" s="17">
        <f>P113+ROUND(Q113, 2)</f>
        <v>200</v>
      </c>
      <c r="S113" s="17">
        <f>ROUND(P113*I113, 2)</f>
        <v>0</v>
      </c>
      <c r="T113" s="17">
        <f>ROUND(I113*ROUND(Q113, 2), 2)</f>
        <v>0</v>
      </c>
      <c r="U113" s="17">
        <f>S113+T113</f>
        <v>0</v>
      </c>
      <c r="V113" s="9">
        <f>ROUND(P113 / 1.2, 2)</f>
        <v>0</v>
      </c>
      <c r="W113" s="9">
        <f>ROUND(Q113 / 1.2, 2)</f>
        <v>166.67</v>
      </c>
      <c r="X113" s="9">
        <f>ROUND(R113 / 1.2, 2)</f>
        <v>166.67</v>
      </c>
      <c r="Y113" s="9">
        <f t="shared" si="9"/>
        <v>0</v>
      </c>
      <c r="Z113" s="9">
        <f>ROUND(T113 / 1.2, 2)</f>
        <v>0</v>
      </c>
      <c r="AA113" s="9">
        <f>Y113+Z113</f>
        <v>0</v>
      </c>
      <c r="AD113" s="4">
        <v>303752409</v>
      </c>
      <c r="AE113" s="4">
        <v>16076862</v>
      </c>
      <c r="AG113" s="4" t="s">
        <v>584</v>
      </c>
      <c r="AH113" s="4" t="s">
        <v>585</v>
      </c>
      <c r="AI113" s="4" t="s">
        <v>247</v>
      </c>
    </row>
    <row r="114" spans="1:35" ht="36" x14ac:dyDescent="0.35">
      <c r="A114" s="10" t="s">
        <v>587</v>
      </c>
      <c r="B114" s="10"/>
      <c r="C114" s="24" t="s">
        <v>588</v>
      </c>
      <c r="D114" s="15"/>
      <c r="E114" s="15"/>
      <c r="F114" s="25" t="s">
        <v>129</v>
      </c>
      <c r="G114" s="26">
        <v>1.05</v>
      </c>
      <c r="H114" s="27"/>
      <c r="I114" s="27">
        <v>0</v>
      </c>
      <c r="J114" s="28">
        <v>90.97</v>
      </c>
      <c r="M114" s="29">
        <f>ROUND(ROUND(J114, 2)*I114, 2)</f>
        <v>0</v>
      </c>
      <c r="P114" s="28">
        <v>90.97</v>
      </c>
      <c r="S114" s="29">
        <f>ROUND(ROUND(P114, 2)*I114, 2)</f>
        <v>0</v>
      </c>
      <c r="V114" s="9">
        <f>ROUND(ROUND(P114, 2)/1.2, 2)</f>
        <v>75.81</v>
      </c>
      <c r="Y114" s="9">
        <f t="shared" si="9"/>
        <v>0</v>
      </c>
      <c r="AD114" s="4" t="s">
        <v>589</v>
      </c>
      <c r="AE114" s="4" t="s">
        <v>590</v>
      </c>
      <c r="AF114" s="4" t="s">
        <v>591</v>
      </c>
    </row>
    <row r="115" spans="1:35" ht="18" x14ac:dyDescent="0.35">
      <c r="A115" s="10" t="s">
        <v>594</v>
      </c>
      <c r="B115" s="10"/>
      <c r="C115" s="24" t="s">
        <v>595</v>
      </c>
      <c r="D115" s="15"/>
      <c r="E115" s="15"/>
      <c r="F115" s="25" t="s">
        <v>103</v>
      </c>
      <c r="G115" s="64">
        <v>0.09</v>
      </c>
      <c r="H115" s="26"/>
      <c r="I115" s="26">
        <v>0</v>
      </c>
      <c r="J115" s="28">
        <v>100</v>
      </c>
      <c r="M115" s="29">
        <f>ROUND(ROUND(J115, 2)*I115, 2)</f>
        <v>0</v>
      </c>
      <c r="P115" s="28">
        <v>100</v>
      </c>
      <c r="S115" s="29">
        <f>ROUND(ROUND(P115, 2)*I115, 2)</f>
        <v>0</v>
      </c>
      <c r="V115" s="9">
        <f>ROUND(ROUND(P115, 2)/1.2, 2)</f>
        <v>83.33</v>
      </c>
      <c r="Y115" s="9">
        <f t="shared" si="9"/>
        <v>0</v>
      </c>
      <c r="AD115" s="4" t="s">
        <v>596</v>
      </c>
      <c r="AE115" s="4" t="s">
        <v>597</v>
      </c>
      <c r="AF115" s="4" t="s">
        <v>598</v>
      </c>
    </row>
    <row r="116" spans="1:35" ht="54" x14ac:dyDescent="0.35">
      <c r="A116" s="10" t="s">
        <v>601</v>
      </c>
      <c r="B116" s="10" t="s">
        <v>602</v>
      </c>
      <c r="C116" s="14" t="s">
        <v>603</v>
      </c>
      <c r="D116" s="15"/>
      <c r="E116" s="15" t="s">
        <v>604</v>
      </c>
      <c r="F116" s="15" t="s">
        <v>129</v>
      </c>
      <c r="G116" s="16">
        <v>1</v>
      </c>
      <c r="H116" s="16"/>
      <c r="I116" s="16">
        <v>0</v>
      </c>
      <c r="J116" s="17">
        <f>IFERROR(ROUND(SUM(M117,M118,M119,M120)/I116, 2),0)</f>
        <v>0</v>
      </c>
      <c r="K116" s="18">
        <v>411</v>
      </c>
      <c r="L116" s="17">
        <f>J116+ROUND(K116, 2)</f>
        <v>411</v>
      </c>
      <c r="M116" s="17">
        <f>ROUND(J116*I116, 2)</f>
        <v>0</v>
      </c>
      <c r="N116" s="17">
        <f>ROUND(I116*ROUND(K116, 2), 2)</f>
        <v>0</v>
      </c>
      <c r="O116" s="17">
        <f>M116+N116</f>
        <v>0</v>
      </c>
      <c r="P116" s="17">
        <f>IFERROR(ROUND(SUM(S117,S118,S119,S120)/I116, 2),0)</f>
        <v>0</v>
      </c>
      <c r="Q116" s="18">
        <v>374</v>
      </c>
      <c r="R116" s="17">
        <f>P116+ROUND(Q116, 2)</f>
        <v>374</v>
      </c>
      <c r="S116" s="17">
        <f>ROUND(P116*I116, 2)</f>
        <v>0</v>
      </c>
      <c r="T116" s="17">
        <f>ROUND(I116*ROUND(Q116, 2), 2)</f>
        <v>0</v>
      </c>
      <c r="U116" s="17">
        <f>S116+T116</f>
        <v>0</v>
      </c>
      <c r="V116" s="9">
        <f>ROUND(P116 / 1.2, 2)</f>
        <v>0</v>
      </c>
      <c r="W116" s="9">
        <f>ROUND(Q116 / 1.2, 2)</f>
        <v>311.67</v>
      </c>
      <c r="X116" s="9">
        <f>ROUND(R116 / 1.2, 2)</f>
        <v>311.67</v>
      </c>
      <c r="Y116" s="9">
        <f t="shared" si="9"/>
        <v>0</v>
      </c>
      <c r="Z116" s="9">
        <f>ROUND(T116 / 1.2, 2)</f>
        <v>0</v>
      </c>
      <c r="AA116" s="9">
        <f>Y116+Z116</f>
        <v>0</v>
      </c>
      <c r="AD116" s="4">
        <v>303752411</v>
      </c>
      <c r="AE116" s="4">
        <v>16082192</v>
      </c>
      <c r="AG116" s="4" t="s">
        <v>605</v>
      </c>
      <c r="AH116" s="4" t="s">
        <v>606</v>
      </c>
      <c r="AI116" s="4" t="s">
        <v>247</v>
      </c>
    </row>
    <row r="117" spans="1:35" ht="144" x14ac:dyDescent="0.35">
      <c r="A117" s="10" t="s">
        <v>608</v>
      </c>
      <c r="B117" s="10"/>
      <c r="C117" s="24" t="s">
        <v>609</v>
      </c>
      <c r="D117" s="15"/>
      <c r="E117" s="15" t="s">
        <v>610</v>
      </c>
      <c r="F117" s="25" t="s">
        <v>103</v>
      </c>
      <c r="G117" s="26">
        <v>1.84</v>
      </c>
      <c r="H117" s="26"/>
      <c r="I117" s="26">
        <v>0</v>
      </c>
      <c r="J117" s="28">
        <v>196</v>
      </c>
      <c r="M117" s="29">
        <f>ROUND(ROUND(J117, 2)*I117, 2)</f>
        <v>0</v>
      </c>
      <c r="P117" s="28">
        <v>196</v>
      </c>
      <c r="S117" s="29">
        <f>ROUND(ROUND(P117, 2)*I117, 2)</f>
        <v>0</v>
      </c>
      <c r="V117" s="9">
        <f>ROUND(ROUND(P117, 2)/1.2, 2)</f>
        <v>163.33000000000001</v>
      </c>
      <c r="Y117" s="9">
        <f t="shared" si="9"/>
        <v>0</v>
      </c>
      <c r="AD117" s="4" t="s">
        <v>611</v>
      </c>
      <c r="AE117" s="4" t="s">
        <v>612</v>
      </c>
      <c r="AF117" s="4" t="s">
        <v>613</v>
      </c>
    </row>
    <row r="118" spans="1:35" ht="36" x14ac:dyDescent="0.35">
      <c r="A118" s="10" t="s">
        <v>616</v>
      </c>
      <c r="B118" s="10"/>
      <c r="C118" s="37" t="s">
        <v>617</v>
      </c>
      <c r="D118" s="15"/>
      <c r="E118" s="15"/>
      <c r="F118" s="25" t="s">
        <v>81</v>
      </c>
      <c r="G118" s="26">
        <v>0.7</v>
      </c>
      <c r="H118" s="27"/>
      <c r="I118" s="27">
        <v>0</v>
      </c>
      <c r="J118" s="28">
        <v>6.28</v>
      </c>
      <c r="M118" s="29">
        <f>ROUND(ROUND(J118, 2)*I118, 2)</f>
        <v>0</v>
      </c>
      <c r="P118" s="28">
        <v>6.28</v>
      </c>
      <c r="S118" s="29">
        <f>ROUND(ROUND(P118, 2)*I118, 2)</f>
        <v>0</v>
      </c>
      <c r="V118" s="9">
        <f>ROUND(ROUND(P118, 2)/1.2, 2)</f>
        <v>5.23</v>
      </c>
      <c r="Y118" s="9">
        <f t="shared" si="9"/>
        <v>0</v>
      </c>
      <c r="AD118" s="4" t="s">
        <v>618</v>
      </c>
      <c r="AE118" s="4" t="s">
        <v>619</v>
      </c>
      <c r="AF118" s="4" t="s">
        <v>620</v>
      </c>
    </row>
    <row r="119" spans="1:35" ht="18" x14ac:dyDescent="0.35">
      <c r="A119" s="10" t="s">
        <v>623</v>
      </c>
      <c r="B119" s="10"/>
      <c r="C119" s="24" t="s">
        <v>486</v>
      </c>
      <c r="D119" s="15"/>
      <c r="E119" s="15"/>
      <c r="F119" s="25" t="s">
        <v>81</v>
      </c>
      <c r="G119" s="26">
        <v>0.04</v>
      </c>
      <c r="H119" s="26"/>
      <c r="I119" s="26">
        <v>0</v>
      </c>
      <c r="J119" s="28">
        <v>40.270000000000003</v>
      </c>
      <c r="M119" s="29">
        <f>ROUND(ROUND(J119, 2)*I119, 2)</f>
        <v>0</v>
      </c>
      <c r="P119" s="28">
        <v>40.270000000000003</v>
      </c>
      <c r="S119" s="29">
        <f>ROUND(ROUND(P119, 2)*I119, 2)</f>
        <v>0</v>
      </c>
      <c r="V119" s="9">
        <f>ROUND(ROUND(P119, 2)/1.2, 2)</f>
        <v>33.56</v>
      </c>
      <c r="Y119" s="9">
        <f t="shared" si="9"/>
        <v>0</v>
      </c>
      <c r="AD119" s="4" t="s">
        <v>624</v>
      </c>
      <c r="AE119" s="4" t="s">
        <v>625</v>
      </c>
      <c r="AF119" s="4" t="s">
        <v>489</v>
      </c>
    </row>
    <row r="120" spans="1:35" ht="36" x14ac:dyDescent="0.35">
      <c r="A120" s="10" t="s">
        <v>628</v>
      </c>
      <c r="B120" s="10"/>
      <c r="C120" s="24" t="s">
        <v>493</v>
      </c>
      <c r="D120" s="15"/>
      <c r="E120" s="15"/>
      <c r="F120" s="25" t="s">
        <v>81</v>
      </c>
      <c r="G120" s="26">
        <v>1.4999999999999999E-2</v>
      </c>
      <c r="H120" s="26"/>
      <c r="I120" s="26">
        <v>0</v>
      </c>
      <c r="J120" s="28">
        <v>88.8</v>
      </c>
      <c r="M120" s="29">
        <f>ROUND(ROUND(J120, 2)*I120, 2)</f>
        <v>0</v>
      </c>
      <c r="P120" s="28">
        <v>88.8</v>
      </c>
      <c r="S120" s="29">
        <f>ROUND(ROUND(P120, 2)*I120, 2)</f>
        <v>0</v>
      </c>
      <c r="V120" s="9">
        <f>ROUND(ROUND(P120, 2)/1.2, 2)</f>
        <v>74</v>
      </c>
      <c r="Y120" s="9">
        <f t="shared" si="9"/>
        <v>0</v>
      </c>
      <c r="AD120" s="4" t="s">
        <v>629</v>
      </c>
      <c r="AE120" s="4" t="s">
        <v>630</v>
      </c>
      <c r="AF120" s="4" t="s">
        <v>496</v>
      </c>
    </row>
    <row r="121" spans="1:35" ht="54" x14ac:dyDescent="0.35">
      <c r="A121" s="10" t="s">
        <v>633</v>
      </c>
      <c r="B121" s="10" t="s">
        <v>602</v>
      </c>
      <c r="C121" s="14" t="s">
        <v>603</v>
      </c>
      <c r="D121" s="15"/>
      <c r="E121" s="15" t="s">
        <v>370</v>
      </c>
      <c r="F121" s="15" t="s">
        <v>129</v>
      </c>
      <c r="G121" s="16">
        <v>1</v>
      </c>
      <c r="H121" s="16"/>
      <c r="I121" s="16">
        <v>0</v>
      </c>
      <c r="J121" s="17">
        <f>IFERROR(ROUND(SUM(M122,M123,M124,M125)/I121, 2),0)</f>
        <v>0</v>
      </c>
      <c r="K121" s="18">
        <v>411</v>
      </c>
      <c r="L121" s="17">
        <f>J121+ROUND(K121, 2)</f>
        <v>411</v>
      </c>
      <c r="M121" s="17">
        <f>ROUND(J121*I121, 2)</f>
        <v>0</v>
      </c>
      <c r="N121" s="17">
        <f>ROUND(I121*ROUND(K121, 2), 2)</f>
        <v>0</v>
      </c>
      <c r="O121" s="17">
        <f>M121+N121</f>
        <v>0</v>
      </c>
      <c r="P121" s="17">
        <f>IFERROR(ROUND(SUM(S122,S123,S124,S125)/I121, 2),0)</f>
        <v>0</v>
      </c>
      <c r="Q121" s="18">
        <v>374</v>
      </c>
      <c r="R121" s="17">
        <f>P121+ROUND(Q121, 2)</f>
        <v>374</v>
      </c>
      <c r="S121" s="17">
        <f>ROUND(P121*I121, 2)</f>
        <v>0</v>
      </c>
      <c r="T121" s="17">
        <f>ROUND(I121*ROUND(Q121, 2), 2)</f>
        <v>0</v>
      </c>
      <c r="U121" s="17">
        <f>S121+T121</f>
        <v>0</v>
      </c>
      <c r="V121" s="9">
        <f>ROUND(P121 / 1.2, 2)</f>
        <v>0</v>
      </c>
      <c r="W121" s="9">
        <f>ROUND(Q121 / 1.2, 2)</f>
        <v>311.67</v>
      </c>
      <c r="X121" s="9">
        <f>ROUND(R121 / 1.2, 2)</f>
        <v>311.67</v>
      </c>
      <c r="Y121" s="9">
        <f t="shared" si="9"/>
        <v>0</v>
      </c>
      <c r="Z121" s="9">
        <f>ROUND(T121 / 1.2, 2)</f>
        <v>0</v>
      </c>
      <c r="AA121" s="9">
        <f>Y121+Z121</f>
        <v>0</v>
      </c>
      <c r="AD121" s="4">
        <v>303752467</v>
      </c>
      <c r="AE121" s="4">
        <v>16087853</v>
      </c>
      <c r="AG121" s="4" t="s">
        <v>605</v>
      </c>
      <c r="AH121" s="4" t="s">
        <v>606</v>
      </c>
      <c r="AI121" s="4" t="s">
        <v>247</v>
      </c>
    </row>
    <row r="122" spans="1:35" ht="36" x14ac:dyDescent="0.35">
      <c r="A122" s="10" t="s">
        <v>635</v>
      </c>
      <c r="B122" s="10"/>
      <c r="C122" s="24" t="s">
        <v>493</v>
      </c>
      <c r="D122" s="15"/>
      <c r="E122" s="15"/>
      <c r="F122" s="25" t="s">
        <v>81</v>
      </c>
      <c r="G122" s="26">
        <v>1.4999999999999999E-2</v>
      </c>
      <c r="H122" s="26"/>
      <c r="I122" s="26">
        <v>0</v>
      </c>
      <c r="J122" s="28">
        <v>88.8</v>
      </c>
      <c r="M122" s="29">
        <f>ROUND(ROUND(J122, 2)*I122, 2)</f>
        <v>0</v>
      </c>
      <c r="P122" s="28">
        <v>88.8</v>
      </c>
      <c r="S122" s="29">
        <f>ROUND(ROUND(P122, 2)*I122, 2)</f>
        <v>0</v>
      </c>
      <c r="V122" s="9">
        <f>ROUND(ROUND(P122, 2)/1.2, 2)</f>
        <v>74</v>
      </c>
      <c r="Y122" s="9">
        <f t="shared" si="9"/>
        <v>0</v>
      </c>
      <c r="AD122" s="4" t="s">
        <v>636</v>
      </c>
      <c r="AE122" s="4" t="s">
        <v>637</v>
      </c>
      <c r="AF122" s="4" t="s">
        <v>496</v>
      </c>
    </row>
    <row r="123" spans="1:35" ht="18" x14ac:dyDescent="0.35">
      <c r="A123" s="10" t="s">
        <v>640</v>
      </c>
      <c r="B123" s="10"/>
      <c r="C123" s="24" t="s">
        <v>486</v>
      </c>
      <c r="D123" s="15"/>
      <c r="E123" s="15"/>
      <c r="F123" s="25" t="s">
        <v>81</v>
      </c>
      <c r="G123" s="26">
        <v>0.04</v>
      </c>
      <c r="H123" s="26"/>
      <c r="I123" s="26">
        <v>0</v>
      </c>
      <c r="J123" s="28">
        <v>40.270000000000003</v>
      </c>
      <c r="M123" s="29">
        <f>ROUND(ROUND(J123, 2)*I123, 2)</f>
        <v>0</v>
      </c>
      <c r="P123" s="28">
        <v>40.270000000000003</v>
      </c>
      <c r="S123" s="29">
        <f>ROUND(ROUND(P123, 2)*I123, 2)</f>
        <v>0</v>
      </c>
      <c r="V123" s="9">
        <f>ROUND(ROUND(P123, 2)/1.2, 2)</f>
        <v>33.56</v>
      </c>
      <c r="Y123" s="9">
        <f t="shared" si="9"/>
        <v>0</v>
      </c>
      <c r="AD123" s="4" t="s">
        <v>641</v>
      </c>
      <c r="AE123" s="4" t="s">
        <v>642</v>
      </c>
      <c r="AF123" s="4" t="s">
        <v>489</v>
      </c>
    </row>
    <row r="124" spans="1:35" ht="144" x14ac:dyDescent="0.35">
      <c r="A124" s="10" t="s">
        <v>645</v>
      </c>
      <c r="B124" s="10"/>
      <c r="C124" s="37" t="s">
        <v>646</v>
      </c>
      <c r="D124" s="15"/>
      <c r="E124" s="15" t="s">
        <v>610</v>
      </c>
      <c r="F124" s="25" t="s">
        <v>56</v>
      </c>
      <c r="G124" s="26">
        <v>0.11</v>
      </c>
      <c r="H124" s="26"/>
      <c r="I124" s="26">
        <v>0</v>
      </c>
      <c r="J124" s="28">
        <v>1012.6</v>
      </c>
      <c r="M124" s="29">
        <f>ROUND(ROUND(J124, 2)*I124, 2)</f>
        <v>0</v>
      </c>
      <c r="P124" s="28">
        <v>1012.6</v>
      </c>
      <c r="S124" s="29">
        <f>ROUND(ROUND(P124, 2)*I124, 2)</f>
        <v>0</v>
      </c>
      <c r="V124" s="9">
        <f>ROUND(ROUND(P124, 2)/1.2, 2)</f>
        <v>843.83</v>
      </c>
      <c r="Y124" s="9">
        <f t="shared" si="9"/>
        <v>0</v>
      </c>
      <c r="AD124" s="4" t="s">
        <v>647</v>
      </c>
      <c r="AE124" s="4" t="s">
        <v>648</v>
      </c>
      <c r="AF124" s="4" t="s">
        <v>649</v>
      </c>
    </row>
    <row r="125" spans="1:35" ht="36" x14ac:dyDescent="0.35">
      <c r="A125" s="10" t="s">
        <v>652</v>
      </c>
      <c r="B125" s="10"/>
      <c r="C125" s="37" t="s">
        <v>653</v>
      </c>
      <c r="D125" s="15"/>
      <c r="E125" s="15"/>
      <c r="F125" s="25" t="s">
        <v>81</v>
      </c>
      <c r="G125" s="26">
        <v>0.7</v>
      </c>
      <c r="H125" s="27"/>
      <c r="I125" s="27">
        <v>0</v>
      </c>
      <c r="J125" s="28">
        <v>6.28</v>
      </c>
      <c r="M125" s="29">
        <f>ROUND(ROUND(J125, 2)*I125, 2)</f>
        <v>0</v>
      </c>
      <c r="P125" s="28">
        <v>6.28</v>
      </c>
      <c r="S125" s="29">
        <f>ROUND(ROUND(P125, 2)*I125, 2)</f>
        <v>0</v>
      </c>
      <c r="V125" s="9">
        <f>ROUND(ROUND(P125, 2)/1.2, 2)</f>
        <v>5.23</v>
      </c>
      <c r="Y125" s="9">
        <f t="shared" si="9"/>
        <v>0</v>
      </c>
      <c r="AD125" s="4" t="s">
        <v>654</v>
      </c>
      <c r="AE125" s="4" t="s">
        <v>655</v>
      </c>
      <c r="AF125" s="4" t="s">
        <v>656</v>
      </c>
    </row>
    <row r="126" spans="1:35" ht="36" x14ac:dyDescent="0.35">
      <c r="A126" s="10" t="s">
        <v>659</v>
      </c>
      <c r="B126" s="10" t="s">
        <v>660</v>
      </c>
      <c r="C126" s="14" t="s">
        <v>661</v>
      </c>
      <c r="D126" s="15"/>
      <c r="E126" s="15" t="s">
        <v>662</v>
      </c>
      <c r="F126" s="15" t="s">
        <v>56</v>
      </c>
      <c r="G126" s="16">
        <v>1</v>
      </c>
      <c r="H126" s="16"/>
      <c r="I126" s="16">
        <v>63.4</v>
      </c>
      <c r="J126" s="17">
        <f>IFERROR(ROUND(SUM(M127,M128)/I126, 2),0)</f>
        <v>0</v>
      </c>
      <c r="K126" s="18">
        <v>661</v>
      </c>
      <c r="L126" s="17">
        <f>J126+ROUND(K126, 2)</f>
        <v>661</v>
      </c>
      <c r="M126" s="17">
        <f>ROUND(J126*I126, 2)</f>
        <v>0</v>
      </c>
      <c r="N126" s="17">
        <f>ROUND(I126*ROUND(K126, 2), 2)</f>
        <v>41907.4</v>
      </c>
      <c r="O126" s="17">
        <f>M126+N126</f>
        <v>41907.4</v>
      </c>
      <c r="P126" s="17">
        <f>IFERROR(ROUND(SUM(S127,S128)/I126, 2),0)</f>
        <v>1817.32</v>
      </c>
      <c r="Q126" s="19">
        <v>661</v>
      </c>
      <c r="R126" s="17">
        <f>P126+ROUND(Q126, 2)</f>
        <v>2478.3199999999997</v>
      </c>
      <c r="S126" s="17">
        <f>ROUND(P126*I126, 2)</f>
        <v>115218.09</v>
      </c>
      <c r="T126" s="17">
        <f>ROUND(I126*ROUND(Q126, 2), 2)</f>
        <v>41907.4</v>
      </c>
      <c r="U126" s="17">
        <f>S126+T126</f>
        <v>157125.49</v>
      </c>
      <c r="V126" s="9">
        <f>ROUND(P126 / 1.2, 2)</f>
        <v>1514.43</v>
      </c>
      <c r="W126" s="9">
        <f>ROUND(Q126 / 1.2, 2)</f>
        <v>550.83000000000004</v>
      </c>
      <c r="X126" s="9">
        <f>ROUND(R126 / 1.2, 2)</f>
        <v>2065.27</v>
      </c>
      <c r="Y126" s="9">
        <f t="shared" si="9"/>
        <v>96015.08</v>
      </c>
      <c r="Z126" s="9">
        <f>ROUND(T126 / 1.2, 2)</f>
        <v>34922.83</v>
      </c>
      <c r="AA126" s="9">
        <f>Y126+Z126</f>
        <v>130937.91</v>
      </c>
      <c r="AD126" s="4">
        <v>303752413</v>
      </c>
      <c r="AE126" s="4">
        <v>19936864</v>
      </c>
      <c r="AG126" s="4" t="s">
        <v>663</v>
      </c>
      <c r="AH126" s="4" t="s">
        <v>664</v>
      </c>
      <c r="AI126" s="4" t="s">
        <v>247</v>
      </c>
    </row>
    <row r="127" spans="1:35" ht="90" x14ac:dyDescent="0.35">
      <c r="A127" s="10" t="s">
        <v>665</v>
      </c>
      <c r="B127" s="10"/>
      <c r="C127" s="24" t="s">
        <v>666</v>
      </c>
      <c r="D127" s="15"/>
      <c r="E127" s="15" t="s">
        <v>667</v>
      </c>
      <c r="F127" s="25" t="s">
        <v>103</v>
      </c>
      <c r="G127" s="26">
        <v>1</v>
      </c>
      <c r="H127" s="27"/>
      <c r="I127" s="27">
        <v>7.35</v>
      </c>
      <c r="J127" s="28">
        <v>0</v>
      </c>
      <c r="M127" s="29">
        <f>ROUND(ROUND(J127, 2)*I127, 2)</f>
        <v>0</v>
      </c>
      <c r="P127" s="30">
        <v>2348.9499999999998</v>
      </c>
      <c r="S127" s="29">
        <f>ROUND(ROUND(P127, 2)*I127, 2)</f>
        <v>17264.78</v>
      </c>
      <c r="V127" s="9">
        <f>ROUND(ROUND(P127, 2)/1.2, 2)</f>
        <v>1957.46</v>
      </c>
      <c r="Y127" s="9">
        <f t="shared" si="9"/>
        <v>14387.32</v>
      </c>
      <c r="AD127" s="4" t="s">
        <v>668</v>
      </c>
      <c r="AE127" s="4" t="s">
        <v>669</v>
      </c>
      <c r="AF127" s="4" t="s">
        <v>670</v>
      </c>
    </row>
    <row r="128" spans="1:35" ht="36" x14ac:dyDescent="0.35">
      <c r="A128" s="10" t="s">
        <v>671</v>
      </c>
      <c r="B128" s="10"/>
      <c r="C128" s="24" t="s">
        <v>672</v>
      </c>
      <c r="D128" s="15"/>
      <c r="E128" s="15" t="s">
        <v>673</v>
      </c>
      <c r="F128" s="25" t="s">
        <v>56</v>
      </c>
      <c r="G128" s="26">
        <v>1.03</v>
      </c>
      <c r="H128" s="27"/>
      <c r="I128" s="27">
        <v>65.302000000000007</v>
      </c>
      <c r="J128" s="28">
        <v>0</v>
      </c>
      <c r="M128" s="29">
        <f>ROUND(ROUND(J128, 2)*I128, 2)</f>
        <v>0</v>
      </c>
      <c r="P128" s="30">
        <v>1500</v>
      </c>
      <c r="S128" s="29">
        <f>ROUND(ROUND(P128, 2)*I128, 2)</f>
        <v>97953</v>
      </c>
      <c r="V128" s="9">
        <f>ROUND(ROUND(P128, 2)/1.2, 2)</f>
        <v>1250</v>
      </c>
      <c r="Y128" s="9">
        <f t="shared" si="9"/>
        <v>81627.5</v>
      </c>
      <c r="AD128" s="4" t="s">
        <v>674</v>
      </c>
      <c r="AE128" s="4" t="s">
        <v>675</v>
      </c>
      <c r="AF128" s="4" t="s">
        <v>676</v>
      </c>
    </row>
    <row r="129" spans="1:35" ht="17" customHeight="1" x14ac:dyDescent="0.35">
      <c r="A129" s="10" t="s">
        <v>677</v>
      </c>
      <c r="B129" s="10" t="s">
        <v>678</v>
      </c>
      <c r="C129" s="100" t="s">
        <v>679</v>
      </c>
      <c r="D129" s="101"/>
      <c r="E129" s="101"/>
      <c r="F129" s="101"/>
      <c r="G129" s="101"/>
      <c r="H129" s="101"/>
      <c r="I129" s="102"/>
      <c r="M129" s="6">
        <f>SUM(M130,M279,M295)</f>
        <v>1187771.0900000003</v>
      </c>
      <c r="N129" s="6">
        <f>SUM(N130,N279,N295)</f>
        <v>7697223.7399999993</v>
      </c>
      <c r="O129" s="6">
        <f>SUM(O130,O279,O295)</f>
        <v>8884994.8300000001</v>
      </c>
      <c r="S129" s="6">
        <f>SUM(S130,S279,S295)</f>
        <v>1395007.6700000002</v>
      </c>
      <c r="T129" s="6">
        <f>SUM(T130,T279,T295)</f>
        <v>7697223.7399999993</v>
      </c>
      <c r="U129" s="6">
        <f>SUM(U130,U279,U295)</f>
        <v>9092231.4100000001</v>
      </c>
      <c r="Y129" s="9">
        <f>SUM(Y130,Y279,Y295)</f>
        <v>1162506.42</v>
      </c>
      <c r="Z129" s="9">
        <f>SUM(Z130,Z279,Z295)</f>
        <v>6414353.1500000013</v>
      </c>
      <c r="AA129" s="9">
        <f>SUM(AA130,AA279,AA295)</f>
        <v>7576859.5699999975</v>
      </c>
      <c r="AD129" s="4">
        <v>303752414</v>
      </c>
      <c r="AE129" s="4">
        <v>16076852</v>
      </c>
    </row>
    <row r="130" spans="1:35" ht="17" customHeight="1" x14ac:dyDescent="0.35">
      <c r="A130" s="10" t="s">
        <v>680</v>
      </c>
      <c r="B130" s="10" t="s">
        <v>681</v>
      </c>
      <c r="C130" s="100" t="s">
        <v>682</v>
      </c>
      <c r="D130" s="101"/>
      <c r="E130" s="101"/>
      <c r="F130" s="101"/>
      <c r="G130" s="101"/>
      <c r="H130" s="101"/>
      <c r="I130" s="102"/>
      <c r="M130" s="6">
        <f>SUM(M131,M136,M141,M145,M149,M154,M159,M163,M167,M171,M175,M180,M185,M189,M194,M199,M204,M208,M211,M215,M218,M221,M225,M228,M231,M234,M238,M241,M244,M248,M251,M255,M258,M261,M264,M269,M274)</f>
        <v>841111.31000000029</v>
      </c>
      <c r="N130" s="6">
        <f>SUM(N131,N136,N141,N145,N149,N154,N159,N163,N167,N171,N175,N180,N185,N189,N194,N199,N204,N208,N211,N215,N218,N221,N225,N228,N231,N234,N238,N241,N244,N248,N251,N255,N258,N261,N264,N269,N274)</f>
        <v>5337483.0299999993</v>
      </c>
      <c r="O130" s="6">
        <f>SUM(O131,O136,O141,O145,O149,O154,O159,O163,O167,O171,O175,O180,O185,O189,O194,O199,O204,O208,O211,O215,O218,O221,O225,O228,O231,O234,O238,O241,O244,O248,O251,O255,O258,O261,O264,O269,O274)</f>
        <v>6178594.3400000008</v>
      </c>
      <c r="S130" s="6">
        <f>SUM(S131,S136,S141,S145,S149,S154,S159,S163,S167,S171,S175,S180,S185,S189,S194,S199,S204,S208,S211,S215,S218,S221,S225,S228,S231,S234,S238,S241,S244,S248,S251,S255,S258,S261,S264,S269,S274)</f>
        <v>860783.49000000011</v>
      </c>
      <c r="T130" s="6">
        <f>SUM(T131,T136,T141,T145,T149,T154,T159,T163,T167,T171,T175,T180,T185,T189,T194,T199,T204,T208,T211,T215,T218,T221,T225,T228,T231,T234,T238,T241,T244,T248,T251,T255,T258,T261,T264,T269,T274)</f>
        <v>5337483.0299999993</v>
      </c>
      <c r="U130" s="6">
        <f>SUM(U131,U136,U141,U145,U149,U154,U159,U163,U167,U171,U175,U180,U185,U189,U194,U199,U204,U208,U211,U215,U218,U221,U225,U228,U231,U234,U238,U241,U244,U248,U251,U255,U258,U261,U264,U269,U274)</f>
        <v>6198266.5199999996</v>
      </c>
      <c r="Y130" s="9">
        <f>SUM(Y131,Y136,Y141,Y145,Y149,Y154,Y159,Y163,Y167,Y171,Y175,Y180,Y185,Y189,Y194,Y199,Y204,Y208,Y211,Y215,Y218,Y221,Y225,Y228,Y231,Y234,Y238,Y241,Y244,Y248,Y251,Y255,Y258,Y261,Y264,Y269,Y274)</f>
        <v>717319.58000000007</v>
      </c>
      <c r="Z130" s="9">
        <f>SUM(Z131,Z136,Z141,Z145,Z149,Z154,Z159,Z163,Z167,Z171,Z175,Z180,Z185,Z189,Z194,Z199,Z204,Z208,Z211,Z215,Z218,Z221,Z225,Z228,Z231,Z234,Z238,Z241,Z244,Z248,Z251,Z255,Z258,Z261,Z264,Z269,Z274)</f>
        <v>4447902.540000001</v>
      </c>
      <c r="AA130" s="9">
        <f>SUM(AA131,AA136,AA141,AA145,AA149,AA154,AA159,AA163,AA167,AA171,AA175,AA180,AA185,AA189,AA194,AA199,AA204,AA208,AA211,AA215,AA218,AA221,AA225,AA228,AA231,AA234,AA238,AA241,AA244,AA248,AA251,AA255,AA258,AA261,AA264,AA269,AA274)</f>
        <v>5165222.1199999982</v>
      </c>
      <c r="AD130" s="4">
        <v>303752415</v>
      </c>
      <c r="AE130" s="4">
        <v>16077161</v>
      </c>
    </row>
    <row r="131" spans="1:35" ht="54" x14ac:dyDescent="0.35">
      <c r="A131" s="10" t="s">
        <v>683</v>
      </c>
      <c r="B131" s="10" t="s">
        <v>684</v>
      </c>
      <c r="C131" s="14" t="s">
        <v>685</v>
      </c>
      <c r="D131" s="15"/>
      <c r="E131" s="15" t="s">
        <v>686</v>
      </c>
      <c r="F131" s="15" t="s">
        <v>56</v>
      </c>
      <c r="G131" s="16">
        <v>1</v>
      </c>
      <c r="H131" s="16"/>
      <c r="I131" s="16">
        <v>0</v>
      </c>
      <c r="J131" s="17">
        <f>IFERROR(ROUND(SUM(M132,M133,M134,M135)/I131, 2),0)</f>
        <v>0</v>
      </c>
      <c r="K131" s="18">
        <v>826</v>
      </c>
      <c r="L131" s="17">
        <f>J131+ROUND(K131, 2)</f>
        <v>826</v>
      </c>
      <c r="M131" s="17">
        <f>ROUND(J131*I131, 2)</f>
        <v>0</v>
      </c>
      <c r="N131" s="17">
        <f>ROUND(I131*ROUND(K131, 2), 2)</f>
        <v>0</v>
      </c>
      <c r="O131" s="17">
        <f>M131+N131</f>
        <v>0</v>
      </c>
      <c r="P131" s="17">
        <f>IFERROR(ROUND(SUM(S132,S133,S134,S135)/I131, 2),0)</f>
        <v>0</v>
      </c>
      <c r="Q131" s="18">
        <v>826</v>
      </c>
      <c r="R131" s="17">
        <f>P131+ROUND(Q131, 2)</f>
        <v>826</v>
      </c>
      <c r="S131" s="17">
        <f>ROUND(P131*I131, 2)</f>
        <v>0</v>
      </c>
      <c r="T131" s="17">
        <f>ROUND(I131*ROUND(Q131, 2), 2)</f>
        <v>0</v>
      </c>
      <c r="U131" s="17">
        <f>S131+T131</f>
        <v>0</v>
      </c>
      <c r="V131" s="9">
        <f>ROUND(P131 / 1.2, 2)</f>
        <v>0</v>
      </c>
      <c r="W131" s="9">
        <f>ROUND(Q131 / 1.2, 2)</f>
        <v>688.33</v>
      </c>
      <c r="X131" s="9">
        <f>ROUND(R131 / 1.2, 2)</f>
        <v>688.33</v>
      </c>
      <c r="Y131" s="9">
        <f>ROUND(S131 / 1.2, 2)</f>
        <v>0</v>
      </c>
      <c r="Z131" s="9">
        <f>ROUND(T131 / 1.2, 2)</f>
        <v>0</v>
      </c>
      <c r="AA131" s="9">
        <f>Y131+Z131</f>
        <v>0</v>
      </c>
      <c r="AD131" s="4">
        <v>303752417</v>
      </c>
      <c r="AE131" s="4">
        <v>16077164</v>
      </c>
      <c r="AG131" s="4" t="s">
        <v>687</v>
      </c>
      <c r="AH131" s="4" t="s">
        <v>688</v>
      </c>
      <c r="AI131" s="4" t="s">
        <v>247</v>
      </c>
    </row>
    <row r="132" spans="1:35" ht="18" x14ac:dyDescent="0.35">
      <c r="A132" s="10" t="s">
        <v>690</v>
      </c>
      <c r="B132" s="10"/>
      <c r="C132" s="24" t="s">
        <v>691</v>
      </c>
      <c r="D132" s="15"/>
      <c r="E132" s="15"/>
      <c r="F132" s="25" t="s">
        <v>56</v>
      </c>
      <c r="G132" s="26">
        <v>1.1000000000000001</v>
      </c>
      <c r="H132" s="26"/>
      <c r="I132" s="26">
        <v>0</v>
      </c>
      <c r="J132" s="28">
        <v>27.55</v>
      </c>
      <c r="M132" s="29">
        <f>ROUND(ROUND(J132, 2)*I132, 2)</f>
        <v>0</v>
      </c>
      <c r="P132" s="28">
        <v>27.55</v>
      </c>
      <c r="S132" s="29">
        <f>ROUND(ROUND(P132, 2)*I132, 2)</f>
        <v>0</v>
      </c>
      <c r="V132" s="9">
        <f>ROUND(ROUND(P132, 2)/1.2, 2)</f>
        <v>22.96</v>
      </c>
      <c r="Y132" s="9">
        <f t="shared" ref="Y132:Y163" si="10">ROUND(S132 / 1.2, 2)</f>
        <v>0</v>
      </c>
      <c r="AD132" s="4" t="s">
        <v>692</v>
      </c>
      <c r="AE132" s="4" t="s">
        <v>693</v>
      </c>
      <c r="AF132" s="4" t="s">
        <v>694</v>
      </c>
    </row>
    <row r="133" spans="1:35" ht="18" x14ac:dyDescent="0.35">
      <c r="A133" s="10" t="s">
        <v>697</v>
      </c>
      <c r="B133" s="10"/>
      <c r="C133" s="24" t="s">
        <v>316</v>
      </c>
      <c r="D133" s="15"/>
      <c r="E133" s="15"/>
      <c r="F133" s="25" t="s">
        <v>81</v>
      </c>
      <c r="G133" s="26">
        <v>0.25</v>
      </c>
      <c r="H133" s="26"/>
      <c r="I133" s="26">
        <v>0</v>
      </c>
      <c r="J133" s="28">
        <v>100</v>
      </c>
      <c r="M133" s="29">
        <f>ROUND(ROUND(J133, 2)*I133, 2)</f>
        <v>0</v>
      </c>
      <c r="P133" s="28">
        <v>100</v>
      </c>
      <c r="S133" s="29">
        <f>ROUND(ROUND(P133, 2)*I133, 2)</f>
        <v>0</v>
      </c>
      <c r="V133" s="9">
        <f>ROUND(ROUND(P133, 2)/1.2, 2)</f>
        <v>83.33</v>
      </c>
      <c r="Y133" s="9">
        <f t="shared" si="10"/>
        <v>0</v>
      </c>
      <c r="AD133" s="4" t="s">
        <v>698</v>
      </c>
      <c r="AE133" s="4" t="s">
        <v>699</v>
      </c>
      <c r="AF133" s="4" t="s">
        <v>319</v>
      </c>
    </row>
    <row r="134" spans="1:35" ht="18" x14ac:dyDescent="0.35">
      <c r="A134" s="10" t="s">
        <v>702</v>
      </c>
      <c r="B134" s="10"/>
      <c r="C134" s="24" t="s">
        <v>703</v>
      </c>
      <c r="D134" s="15"/>
      <c r="E134" s="15" t="s">
        <v>704</v>
      </c>
      <c r="F134" s="25" t="s">
        <v>81</v>
      </c>
      <c r="G134" s="26">
        <v>1.8</v>
      </c>
      <c r="H134" s="27"/>
      <c r="I134" s="27">
        <v>0</v>
      </c>
      <c r="J134" s="28">
        <v>5.85</v>
      </c>
      <c r="M134" s="29">
        <f>ROUND(ROUND(J134, 2)*I134, 2)</f>
        <v>0</v>
      </c>
      <c r="P134" s="28">
        <v>5.85</v>
      </c>
      <c r="S134" s="29">
        <f>ROUND(ROUND(P134, 2)*I134, 2)</f>
        <v>0</v>
      </c>
      <c r="V134" s="9">
        <f>ROUND(ROUND(P134, 2)/1.2, 2)</f>
        <v>4.88</v>
      </c>
      <c r="Y134" s="9">
        <f t="shared" si="10"/>
        <v>0</v>
      </c>
      <c r="AD134" s="4" t="s">
        <v>705</v>
      </c>
      <c r="AE134" s="4" t="s">
        <v>706</v>
      </c>
      <c r="AF134" s="4" t="s">
        <v>707</v>
      </c>
    </row>
    <row r="135" spans="1:35" ht="18" x14ac:dyDescent="0.35">
      <c r="A135" s="10" t="s">
        <v>710</v>
      </c>
      <c r="B135" s="10"/>
      <c r="C135" s="24" t="s">
        <v>711</v>
      </c>
      <c r="D135" s="15"/>
      <c r="E135" s="15"/>
      <c r="F135" s="25" t="s">
        <v>129</v>
      </c>
      <c r="G135" s="26">
        <v>1.1000000000000001</v>
      </c>
      <c r="H135" s="27"/>
      <c r="I135" s="27">
        <v>0</v>
      </c>
      <c r="J135" s="28">
        <v>18.34</v>
      </c>
      <c r="M135" s="29">
        <f>ROUND(ROUND(J135, 2)*I135, 2)</f>
        <v>0</v>
      </c>
      <c r="P135" s="28">
        <v>18.34</v>
      </c>
      <c r="S135" s="29">
        <f>ROUND(ROUND(P135, 2)*I135, 2)</f>
        <v>0</v>
      </c>
      <c r="V135" s="9">
        <f>ROUND(ROUND(P135, 2)/1.2, 2)</f>
        <v>15.28</v>
      </c>
      <c r="Y135" s="9">
        <f t="shared" si="10"/>
        <v>0</v>
      </c>
      <c r="AD135" s="4" t="s">
        <v>712</v>
      </c>
      <c r="AE135" s="4" t="s">
        <v>713</v>
      </c>
      <c r="AF135" s="4" t="s">
        <v>714</v>
      </c>
    </row>
    <row r="136" spans="1:35" ht="54" x14ac:dyDescent="0.35">
      <c r="A136" s="10" t="s">
        <v>717</v>
      </c>
      <c r="B136" s="10" t="s">
        <v>684</v>
      </c>
      <c r="C136" s="14" t="s">
        <v>685</v>
      </c>
      <c r="D136" s="15"/>
      <c r="E136" s="15" t="s">
        <v>718</v>
      </c>
      <c r="F136" s="15" t="s">
        <v>56</v>
      </c>
      <c r="G136" s="16">
        <v>1</v>
      </c>
      <c r="H136" s="16"/>
      <c r="I136" s="16">
        <v>0</v>
      </c>
      <c r="J136" s="17">
        <f>IFERROR(ROUND(SUM(M137,M138,M139,M140)/I136, 2),0)</f>
        <v>0</v>
      </c>
      <c r="K136" s="18">
        <v>826</v>
      </c>
      <c r="L136" s="17">
        <f>J136+ROUND(K136, 2)</f>
        <v>826</v>
      </c>
      <c r="M136" s="17">
        <f>ROUND(J136*I136, 2)</f>
        <v>0</v>
      </c>
      <c r="N136" s="17">
        <f>ROUND(I136*ROUND(K136, 2), 2)</f>
        <v>0</v>
      </c>
      <c r="O136" s="17">
        <f>M136+N136</f>
        <v>0</v>
      </c>
      <c r="P136" s="17">
        <f>IFERROR(ROUND(SUM(S137,S138,S139,S140)/I136, 2),0)</f>
        <v>0</v>
      </c>
      <c r="Q136" s="18">
        <v>826</v>
      </c>
      <c r="R136" s="17">
        <f>P136+ROUND(Q136, 2)</f>
        <v>826</v>
      </c>
      <c r="S136" s="17">
        <f>ROUND(P136*I136, 2)</f>
        <v>0</v>
      </c>
      <c r="T136" s="17">
        <f>ROUND(I136*ROUND(Q136, 2), 2)</f>
        <v>0</v>
      </c>
      <c r="U136" s="17">
        <f>S136+T136</f>
        <v>0</v>
      </c>
      <c r="V136" s="9">
        <f>ROUND(P136 / 1.2, 2)</f>
        <v>0</v>
      </c>
      <c r="W136" s="9">
        <f>ROUND(Q136 / 1.2, 2)</f>
        <v>688.33</v>
      </c>
      <c r="X136" s="9">
        <f>ROUND(R136 / 1.2, 2)</f>
        <v>688.33</v>
      </c>
      <c r="Y136" s="9">
        <f t="shared" si="10"/>
        <v>0</v>
      </c>
      <c r="Z136" s="9">
        <f>ROUND(T136 / 1.2, 2)</f>
        <v>0</v>
      </c>
      <c r="AA136" s="9">
        <f>Y136+Z136</f>
        <v>0</v>
      </c>
      <c r="AD136" s="4">
        <v>303752468</v>
      </c>
      <c r="AE136" s="4">
        <v>16077288</v>
      </c>
      <c r="AG136" s="4" t="s">
        <v>687</v>
      </c>
      <c r="AH136" s="4" t="s">
        <v>688</v>
      </c>
      <c r="AI136" s="4" t="s">
        <v>247</v>
      </c>
    </row>
    <row r="137" spans="1:35" ht="36" x14ac:dyDescent="0.35">
      <c r="A137" s="10" t="s">
        <v>720</v>
      </c>
      <c r="B137" s="10"/>
      <c r="C137" s="24" t="s">
        <v>721</v>
      </c>
      <c r="D137" s="15"/>
      <c r="E137" s="15"/>
      <c r="F137" s="25" t="s">
        <v>81</v>
      </c>
      <c r="G137" s="26">
        <v>0.15</v>
      </c>
      <c r="H137" s="26"/>
      <c r="I137" s="26">
        <v>0</v>
      </c>
      <c r="J137" s="28">
        <v>80</v>
      </c>
      <c r="M137" s="29">
        <f>ROUND(ROUND(J137, 2)*I137, 2)</f>
        <v>0</v>
      </c>
      <c r="P137" s="28">
        <v>80</v>
      </c>
      <c r="S137" s="29">
        <f>ROUND(ROUND(P137, 2)*I137, 2)</f>
        <v>0</v>
      </c>
      <c r="V137" s="9">
        <f>ROUND(ROUND(P137, 2)/1.2, 2)</f>
        <v>66.67</v>
      </c>
      <c r="Y137" s="9">
        <f t="shared" si="10"/>
        <v>0</v>
      </c>
      <c r="AD137" s="4" t="s">
        <v>722</v>
      </c>
      <c r="AE137" s="4" t="s">
        <v>723</v>
      </c>
      <c r="AF137" s="4" t="s">
        <v>724</v>
      </c>
    </row>
    <row r="138" spans="1:35" ht="18" x14ac:dyDescent="0.35">
      <c r="A138" s="10" t="s">
        <v>727</v>
      </c>
      <c r="B138" s="10"/>
      <c r="C138" s="24" t="s">
        <v>711</v>
      </c>
      <c r="D138" s="15"/>
      <c r="E138" s="15"/>
      <c r="F138" s="25" t="s">
        <v>129</v>
      </c>
      <c r="G138" s="26">
        <v>1.1000000000000001</v>
      </c>
      <c r="H138" s="27"/>
      <c r="I138" s="27">
        <v>0</v>
      </c>
      <c r="J138" s="28">
        <v>18.34</v>
      </c>
      <c r="M138" s="29">
        <f>ROUND(ROUND(J138, 2)*I138, 2)</f>
        <v>0</v>
      </c>
      <c r="P138" s="28">
        <v>18.34</v>
      </c>
      <c r="S138" s="29">
        <f>ROUND(ROUND(P138, 2)*I138, 2)</f>
        <v>0</v>
      </c>
      <c r="V138" s="9">
        <f>ROUND(ROUND(P138, 2)/1.2, 2)</f>
        <v>15.28</v>
      </c>
      <c r="Y138" s="9">
        <f t="shared" si="10"/>
        <v>0</v>
      </c>
      <c r="AD138" s="4" t="s">
        <v>728</v>
      </c>
      <c r="AE138" s="4" t="s">
        <v>729</v>
      </c>
      <c r="AF138" s="4" t="s">
        <v>714</v>
      </c>
    </row>
    <row r="139" spans="1:35" ht="18" x14ac:dyDescent="0.35">
      <c r="A139" s="10" t="s">
        <v>732</v>
      </c>
      <c r="B139" s="10"/>
      <c r="C139" s="24" t="s">
        <v>703</v>
      </c>
      <c r="D139" s="15"/>
      <c r="E139" s="15" t="s">
        <v>704</v>
      </c>
      <c r="F139" s="25" t="s">
        <v>81</v>
      </c>
      <c r="G139" s="26">
        <v>1.8</v>
      </c>
      <c r="H139" s="27"/>
      <c r="I139" s="27">
        <v>0</v>
      </c>
      <c r="J139" s="28">
        <v>5.85</v>
      </c>
      <c r="M139" s="29">
        <f>ROUND(ROUND(J139, 2)*I139, 2)</f>
        <v>0</v>
      </c>
      <c r="P139" s="28">
        <v>5.85</v>
      </c>
      <c r="S139" s="29">
        <f>ROUND(ROUND(P139, 2)*I139, 2)</f>
        <v>0</v>
      </c>
      <c r="V139" s="9">
        <f>ROUND(ROUND(P139, 2)/1.2, 2)</f>
        <v>4.88</v>
      </c>
      <c r="Y139" s="9">
        <f t="shared" si="10"/>
        <v>0</v>
      </c>
      <c r="AD139" s="4" t="s">
        <v>733</v>
      </c>
      <c r="AE139" s="4" t="s">
        <v>734</v>
      </c>
      <c r="AF139" s="4" t="s">
        <v>707</v>
      </c>
    </row>
    <row r="140" spans="1:35" ht="18" x14ac:dyDescent="0.35">
      <c r="A140" s="10" t="s">
        <v>737</v>
      </c>
      <c r="B140" s="10"/>
      <c r="C140" s="24" t="s">
        <v>691</v>
      </c>
      <c r="D140" s="15"/>
      <c r="E140" s="15"/>
      <c r="F140" s="25" t="s">
        <v>56</v>
      </c>
      <c r="G140" s="26">
        <v>1.1000000000000001</v>
      </c>
      <c r="H140" s="26"/>
      <c r="I140" s="26">
        <v>0</v>
      </c>
      <c r="J140" s="28">
        <v>27.55</v>
      </c>
      <c r="M140" s="29">
        <f>ROUND(ROUND(J140, 2)*I140, 2)</f>
        <v>0</v>
      </c>
      <c r="P140" s="28">
        <v>27.55</v>
      </c>
      <c r="S140" s="29">
        <f>ROUND(ROUND(P140, 2)*I140, 2)</f>
        <v>0</v>
      </c>
      <c r="V140" s="9">
        <f>ROUND(ROUND(P140, 2)/1.2, 2)</f>
        <v>22.96</v>
      </c>
      <c r="Y140" s="9">
        <f t="shared" si="10"/>
        <v>0</v>
      </c>
      <c r="AD140" s="4" t="s">
        <v>738</v>
      </c>
      <c r="AE140" s="4" t="s">
        <v>739</v>
      </c>
      <c r="AF140" s="4" t="s">
        <v>694</v>
      </c>
    </row>
    <row r="141" spans="1:35" ht="54" x14ac:dyDescent="0.35">
      <c r="A141" s="10" t="s">
        <v>742</v>
      </c>
      <c r="B141" s="10" t="s">
        <v>684</v>
      </c>
      <c r="C141" s="14" t="s">
        <v>685</v>
      </c>
      <c r="D141" s="15"/>
      <c r="E141" s="15" t="s">
        <v>743</v>
      </c>
      <c r="F141" s="15" t="s">
        <v>56</v>
      </c>
      <c r="G141" s="16">
        <v>1</v>
      </c>
      <c r="H141" s="16"/>
      <c r="I141" s="16">
        <v>0</v>
      </c>
      <c r="J141" s="17">
        <f>IFERROR(ROUND(SUM(M142,M143,M144)/I141, 2),0)</f>
        <v>0</v>
      </c>
      <c r="K141" s="18">
        <v>826</v>
      </c>
      <c r="L141" s="17">
        <f>J141+ROUND(K141, 2)</f>
        <v>826</v>
      </c>
      <c r="M141" s="17">
        <f>ROUND(J141*I141, 2)</f>
        <v>0</v>
      </c>
      <c r="N141" s="17">
        <f>ROUND(I141*ROUND(K141, 2), 2)</f>
        <v>0</v>
      </c>
      <c r="O141" s="17">
        <f>M141+N141</f>
        <v>0</v>
      </c>
      <c r="P141" s="17">
        <f>IFERROR(ROUND(SUM(S142,S143,S144)/I141, 2),0)</f>
        <v>0</v>
      </c>
      <c r="Q141" s="18">
        <v>826</v>
      </c>
      <c r="R141" s="17">
        <f>P141+ROUND(Q141, 2)</f>
        <v>826</v>
      </c>
      <c r="S141" s="17">
        <f>ROUND(P141*I141, 2)</f>
        <v>0</v>
      </c>
      <c r="T141" s="17">
        <f>ROUND(I141*ROUND(Q141, 2), 2)</f>
        <v>0</v>
      </c>
      <c r="U141" s="17">
        <f>S141+T141</f>
        <v>0</v>
      </c>
      <c r="V141" s="9">
        <f>ROUND(P141 / 1.2, 2)</f>
        <v>0</v>
      </c>
      <c r="W141" s="9">
        <f>ROUND(Q141 / 1.2, 2)</f>
        <v>688.33</v>
      </c>
      <c r="X141" s="9">
        <f>ROUND(R141 / 1.2, 2)</f>
        <v>688.33</v>
      </c>
      <c r="Y141" s="9">
        <f t="shared" si="10"/>
        <v>0</v>
      </c>
      <c r="Z141" s="9">
        <f>ROUND(T141 / 1.2, 2)</f>
        <v>0</v>
      </c>
      <c r="AA141" s="9">
        <f>Y141+Z141</f>
        <v>0</v>
      </c>
      <c r="AD141" s="4">
        <v>303752469</v>
      </c>
      <c r="AE141" s="4">
        <v>16081379</v>
      </c>
      <c r="AG141" s="4" t="s">
        <v>687</v>
      </c>
      <c r="AH141" s="4" t="s">
        <v>688</v>
      </c>
      <c r="AI141" s="4" t="s">
        <v>247</v>
      </c>
    </row>
    <row r="142" spans="1:35" ht="18" x14ac:dyDescent="0.35">
      <c r="A142" s="10" t="s">
        <v>745</v>
      </c>
      <c r="B142" s="10"/>
      <c r="C142" s="24" t="s">
        <v>711</v>
      </c>
      <c r="D142" s="15"/>
      <c r="E142" s="15"/>
      <c r="F142" s="25" t="s">
        <v>129</v>
      </c>
      <c r="G142" s="26">
        <v>1.1000000000000001</v>
      </c>
      <c r="H142" s="27"/>
      <c r="I142" s="27">
        <v>0</v>
      </c>
      <c r="J142" s="28">
        <v>18.34</v>
      </c>
      <c r="M142" s="29">
        <f>ROUND(ROUND(J142, 2)*I142, 2)</f>
        <v>0</v>
      </c>
      <c r="P142" s="28">
        <v>18.34</v>
      </c>
      <c r="S142" s="29">
        <f>ROUND(ROUND(P142, 2)*I142, 2)</f>
        <v>0</v>
      </c>
      <c r="V142" s="9">
        <f>ROUND(ROUND(P142, 2)/1.2, 2)</f>
        <v>15.28</v>
      </c>
      <c r="Y142" s="9">
        <f t="shared" si="10"/>
        <v>0</v>
      </c>
      <c r="AD142" s="4" t="s">
        <v>746</v>
      </c>
      <c r="AE142" s="4" t="s">
        <v>747</v>
      </c>
      <c r="AF142" s="4" t="s">
        <v>714</v>
      </c>
    </row>
    <row r="143" spans="1:35" ht="18" x14ac:dyDescent="0.35">
      <c r="A143" s="10" t="s">
        <v>750</v>
      </c>
      <c r="B143" s="10"/>
      <c r="C143" s="24" t="s">
        <v>316</v>
      </c>
      <c r="D143" s="15"/>
      <c r="E143" s="15"/>
      <c r="F143" s="25" t="s">
        <v>81</v>
      </c>
      <c r="G143" s="26">
        <v>0.25</v>
      </c>
      <c r="H143" s="26"/>
      <c r="I143" s="26">
        <v>0</v>
      </c>
      <c r="J143" s="28">
        <v>100</v>
      </c>
      <c r="M143" s="29">
        <f>ROUND(ROUND(J143, 2)*I143, 2)</f>
        <v>0</v>
      </c>
      <c r="P143" s="28">
        <v>100</v>
      </c>
      <c r="S143" s="29">
        <f>ROUND(ROUND(P143, 2)*I143, 2)</f>
        <v>0</v>
      </c>
      <c r="V143" s="9">
        <f>ROUND(ROUND(P143, 2)/1.2, 2)</f>
        <v>83.33</v>
      </c>
      <c r="Y143" s="9">
        <f t="shared" si="10"/>
        <v>0</v>
      </c>
      <c r="AD143" s="4" t="s">
        <v>751</v>
      </c>
      <c r="AE143" s="4" t="s">
        <v>752</v>
      </c>
      <c r="AF143" s="4" t="s">
        <v>319</v>
      </c>
    </row>
    <row r="144" spans="1:35" ht="36" x14ac:dyDescent="0.35">
      <c r="A144" s="10" t="s">
        <v>755</v>
      </c>
      <c r="B144" s="10"/>
      <c r="C144" s="37" t="s">
        <v>756</v>
      </c>
      <c r="D144" s="15"/>
      <c r="E144" s="15" t="s">
        <v>704</v>
      </c>
      <c r="F144" s="25" t="s">
        <v>81</v>
      </c>
      <c r="G144" s="26">
        <v>1</v>
      </c>
      <c r="H144" s="27"/>
      <c r="I144" s="27">
        <v>0</v>
      </c>
      <c r="J144" s="28">
        <v>7.59</v>
      </c>
      <c r="M144" s="29">
        <f>ROUND(ROUND(J144, 2)*I144, 2)</f>
        <v>0</v>
      </c>
      <c r="P144" s="28">
        <v>8.35</v>
      </c>
      <c r="S144" s="29">
        <f>ROUND(ROUND(P144, 2)*I144, 2)</f>
        <v>0</v>
      </c>
      <c r="V144" s="9">
        <f>ROUND(ROUND(P144, 2)/1.2, 2)</f>
        <v>6.96</v>
      </c>
      <c r="Y144" s="9">
        <f t="shared" si="10"/>
        <v>0</v>
      </c>
      <c r="AD144" s="4" t="s">
        <v>757</v>
      </c>
      <c r="AE144" s="4" t="s">
        <v>758</v>
      </c>
      <c r="AF144" s="4" t="s">
        <v>759</v>
      </c>
    </row>
    <row r="145" spans="1:35" ht="54" x14ac:dyDescent="0.35">
      <c r="A145" s="10" t="s">
        <v>762</v>
      </c>
      <c r="B145" s="10" t="s">
        <v>684</v>
      </c>
      <c r="C145" s="14" t="s">
        <v>685</v>
      </c>
      <c r="D145" s="15"/>
      <c r="E145" s="15" t="s">
        <v>763</v>
      </c>
      <c r="F145" s="15" t="s">
        <v>56</v>
      </c>
      <c r="G145" s="16">
        <v>1</v>
      </c>
      <c r="H145" s="16"/>
      <c r="I145" s="16">
        <v>0</v>
      </c>
      <c r="J145" s="17">
        <f>IFERROR(ROUND(SUM(M146,M147,M148)/I145, 2),0)</f>
        <v>0</v>
      </c>
      <c r="K145" s="18">
        <v>826</v>
      </c>
      <c r="L145" s="17">
        <f>J145+ROUND(K145, 2)</f>
        <v>826</v>
      </c>
      <c r="M145" s="17">
        <f>ROUND(J145*I145, 2)</f>
        <v>0</v>
      </c>
      <c r="N145" s="17">
        <f>ROUND(I145*ROUND(K145, 2), 2)</f>
        <v>0</v>
      </c>
      <c r="O145" s="17">
        <f>M145+N145</f>
        <v>0</v>
      </c>
      <c r="P145" s="17">
        <f>IFERROR(ROUND(SUM(S146,S147,S148)/I145, 2),0)</f>
        <v>0</v>
      </c>
      <c r="Q145" s="18">
        <v>826</v>
      </c>
      <c r="R145" s="17">
        <f>P145+ROUND(Q145, 2)</f>
        <v>826</v>
      </c>
      <c r="S145" s="17">
        <f>ROUND(P145*I145, 2)</f>
        <v>0</v>
      </c>
      <c r="T145" s="17">
        <f>ROUND(I145*ROUND(Q145, 2), 2)</f>
        <v>0</v>
      </c>
      <c r="U145" s="17">
        <f>S145+T145</f>
        <v>0</v>
      </c>
      <c r="V145" s="9">
        <f>ROUND(P145 / 1.2, 2)</f>
        <v>0</v>
      </c>
      <c r="W145" s="9">
        <f>ROUND(Q145 / 1.2, 2)</f>
        <v>688.33</v>
      </c>
      <c r="X145" s="9">
        <f>ROUND(R145 / 1.2, 2)</f>
        <v>688.33</v>
      </c>
      <c r="Y145" s="9">
        <f t="shared" si="10"/>
        <v>0</v>
      </c>
      <c r="Z145" s="9">
        <f>ROUND(T145 / 1.2, 2)</f>
        <v>0</v>
      </c>
      <c r="AA145" s="9">
        <f>Y145+Z145</f>
        <v>0</v>
      </c>
      <c r="AD145" s="4">
        <v>303752470</v>
      </c>
      <c r="AE145" s="4">
        <v>16081378</v>
      </c>
      <c r="AG145" s="4" t="s">
        <v>687</v>
      </c>
      <c r="AH145" s="4" t="s">
        <v>688</v>
      </c>
      <c r="AI145" s="4" t="s">
        <v>247</v>
      </c>
    </row>
    <row r="146" spans="1:35" ht="18" x14ac:dyDescent="0.35">
      <c r="A146" s="10" t="s">
        <v>765</v>
      </c>
      <c r="B146" s="10"/>
      <c r="C146" s="24" t="s">
        <v>711</v>
      </c>
      <c r="D146" s="15"/>
      <c r="E146" s="15"/>
      <c r="F146" s="25" t="s">
        <v>129</v>
      </c>
      <c r="G146" s="26">
        <v>1.1000000000000001</v>
      </c>
      <c r="H146" s="27"/>
      <c r="I146" s="27">
        <v>0</v>
      </c>
      <c r="J146" s="28">
        <v>18.34</v>
      </c>
      <c r="M146" s="29">
        <f>ROUND(ROUND(J146, 2)*I146, 2)</f>
        <v>0</v>
      </c>
      <c r="P146" s="28">
        <v>18.34</v>
      </c>
      <c r="S146" s="29">
        <f>ROUND(ROUND(P146, 2)*I146, 2)</f>
        <v>0</v>
      </c>
      <c r="V146" s="9">
        <f>ROUND(ROUND(P146, 2)/1.2, 2)</f>
        <v>15.28</v>
      </c>
      <c r="Y146" s="9">
        <f t="shared" si="10"/>
        <v>0</v>
      </c>
      <c r="AD146" s="4" t="s">
        <v>766</v>
      </c>
      <c r="AE146" s="4" t="s">
        <v>767</v>
      </c>
      <c r="AF146" s="4" t="s">
        <v>714</v>
      </c>
    </row>
    <row r="147" spans="1:35" ht="36" x14ac:dyDescent="0.35">
      <c r="A147" s="10" t="s">
        <v>770</v>
      </c>
      <c r="B147" s="10"/>
      <c r="C147" s="24" t="s">
        <v>771</v>
      </c>
      <c r="D147" s="15"/>
      <c r="E147" s="15"/>
      <c r="F147" s="25" t="s">
        <v>81</v>
      </c>
      <c r="G147" s="26">
        <v>0.15</v>
      </c>
      <c r="H147" s="27"/>
      <c r="I147" s="27">
        <v>0</v>
      </c>
      <c r="J147" s="28">
        <v>80</v>
      </c>
      <c r="M147" s="29">
        <f>ROUND(ROUND(J147, 2)*I147, 2)</f>
        <v>0</v>
      </c>
      <c r="P147" s="28">
        <v>80</v>
      </c>
      <c r="S147" s="29">
        <f>ROUND(ROUND(P147, 2)*I147, 2)</f>
        <v>0</v>
      </c>
      <c r="V147" s="9">
        <f>ROUND(ROUND(P147, 2)/1.2, 2)</f>
        <v>66.67</v>
      </c>
      <c r="Y147" s="9">
        <f t="shared" si="10"/>
        <v>0</v>
      </c>
      <c r="AD147" s="4" t="s">
        <v>772</v>
      </c>
      <c r="AE147" s="4" t="s">
        <v>773</v>
      </c>
      <c r="AF147" s="4" t="s">
        <v>774</v>
      </c>
    </row>
    <row r="148" spans="1:35" ht="36" x14ac:dyDescent="0.35">
      <c r="A148" s="10" t="s">
        <v>777</v>
      </c>
      <c r="B148" s="10"/>
      <c r="C148" s="37" t="s">
        <v>756</v>
      </c>
      <c r="D148" s="15"/>
      <c r="E148" s="15" t="s">
        <v>704</v>
      </c>
      <c r="F148" s="25" t="s">
        <v>81</v>
      </c>
      <c r="G148" s="26">
        <v>1</v>
      </c>
      <c r="H148" s="27"/>
      <c r="I148" s="27">
        <v>0</v>
      </c>
      <c r="J148" s="28">
        <v>7.59</v>
      </c>
      <c r="M148" s="29">
        <f>ROUND(ROUND(J148, 2)*I148, 2)</f>
        <v>0</v>
      </c>
      <c r="P148" s="28">
        <v>8.35</v>
      </c>
      <c r="S148" s="29">
        <f>ROUND(ROUND(P148, 2)*I148, 2)</f>
        <v>0</v>
      </c>
      <c r="V148" s="9">
        <f>ROUND(ROUND(P148, 2)/1.2, 2)</f>
        <v>6.96</v>
      </c>
      <c r="Y148" s="9">
        <f t="shared" si="10"/>
        <v>0</v>
      </c>
      <c r="AD148" s="4" t="s">
        <v>778</v>
      </c>
      <c r="AE148" s="4" t="s">
        <v>779</v>
      </c>
      <c r="AF148" s="4" t="s">
        <v>759</v>
      </c>
    </row>
    <row r="149" spans="1:35" ht="54" x14ac:dyDescent="0.35">
      <c r="A149" s="10" t="s">
        <v>782</v>
      </c>
      <c r="B149" s="10" t="s">
        <v>684</v>
      </c>
      <c r="C149" s="14" t="s">
        <v>685</v>
      </c>
      <c r="D149" s="15"/>
      <c r="E149" s="15" t="s">
        <v>783</v>
      </c>
      <c r="F149" s="15" t="s">
        <v>56</v>
      </c>
      <c r="G149" s="16">
        <v>1</v>
      </c>
      <c r="H149" s="16"/>
      <c r="I149" s="16">
        <v>0</v>
      </c>
      <c r="J149" s="17">
        <f>IFERROR(ROUND(SUM(M150,M151,M152,M153)/I149, 2),0)</f>
        <v>0</v>
      </c>
      <c r="K149" s="18">
        <v>826</v>
      </c>
      <c r="L149" s="17">
        <f>J149+ROUND(K149, 2)</f>
        <v>826</v>
      </c>
      <c r="M149" s="17">
        <f>ROUND(J149*I149, 2)</f>
        <v>0</v>
      </c>
      <c r="N149" s="17">
        <f>ROUND(I149*ROUND(K149, 2), 2)</f>
        <v>0</v>
      </c>
      <c r="O149" s="17">
        <f>M149+N149</f>
        <v>0</v>
      </c>
      <c r="P149" s="17">
        <f>IFERROR(ROUND(SUM(S150,S151,S152,S153)/I149, 2),0)</f>
        <v>0</v>
      </c>
      <c r="Q149" s="18">
        <v>826</v>
      </c>
      <c r="R149" s="17">
        <f>P149+ROUND(Q149, 2)</f>
        <v>826</v>
      </c>
      <c r="S149" s="17">
        <f>ROUND(P149*I149, 2)</f>
        <v>0</v>
      </c>
      <c r="T149" s="17">
        <f>ROUND(I149*ROUND(Q149, 2), 2)</f>
        <v>0</v>
      </c>
      <c r="U149" s="17">
        <f>S149+T149</f>
        <v>0</v>
      </c>
      <c r="V149" s="9">
        <f>ROUND(P149 / 1.2, 2)</f>
        <v>0</v>
      </c>
      <c r="W149" s="9">
        <f>ROUND(Q149 / 1.2, 2)</f>
        <v>688.33</v>
      </c>
      <c r="X149" s="9">
        <f>ROUND(R149 / 1.2, 2)</f>
        <v>688.33</v>
      </c>
      <c r="Y149" s="9">
        <f t="shared" si="10"/>
        <v>0</v>
      </c>
      <c r="Z149" s="9">
        <f>ROUND(T149 / 1.2, 2)</f>
        <v>0</v>
      </c>
      <c r="AA149" s="9">
        <f>Y149+Z149</f>
        <v>0</v>
      </c>
      <c r="AD149" s="4">
        <v>303752471</v>
      </c>
      <c r="AE149" s="4">
        <v>16086783</v>
      </c>
      <c r="AG149" s="4" t="s">
        <v>687</v>
      </c>
      <c r="AH149" s="4" t="s">
        <v>688</v>
      </c>
      <c r="AI149" s="4" t="s">
        <v>247</v>
      </c>
    </row>
    <row r="150" spans="1:35" ht="18" x14ac:dyDescent="0.35">
      <c r="A150" s="10" t="s">
        <v>785</v>
      </c>
      <c r="B150" s="10"/>
      <c r="C150" s="24" t="s">
        <v>711</v>
      </c>
      <c r="D150" s="15"/>
      <c r="E150" s="15"/>
      <c r="F150" s="25" t="s">
        <v>129</v>
      </c>
      <c r="G150" s="26">
        <v>1.1000000000000001</v>
      </c>
      <c r="H150" s="27"/>
      <c r="I150" s="27">
        <v>0</v>
      </c>
      <c r="J150" s="28">
        <v>18.34</v>
      </c>
      <c r="M150" s="29">
        <f>ROUND(ROUND(J150, 2)*I150, 2)</f>
        <v>0</v>
      </c>
      <c r="P150" s="28">
        <v>18.34</v>
      </c>
      <c r="S150" s="29">
        <f>ROUND(ROUND(P150, 2)*I150, 2)</f>
        <v>0</v>
      </c>
      <c r="V150" s="9">
        <f>ROUND(ROUND(P150, 2)/1.2, 2)</f>
        <v>15.28</v>
      </c>
      <c r="Y150" s="9">
        <f t="shared" si="10"/>
        <v>0</v>
      </c>
      <c r="AD150" s="4" t="s">
        <v>786</v>
      </c>
      <c r="AE150" s="4" t="s">
        <v>787</v>
      </c>
      <c r="AF150" s="4" t="s">
        <v>714</v>
      </c>
    </row>
    <row r="151" spans="1:35" ht="18" x14ac:dyDescent="0.35">
      <c r="A151" s="10" t="s">
        <v>790</v>
      </c>
      <c r="B151" s="10"/>
      <c r="C151" s="24" t="s">
        <v>703</v>
      </c>
      <c r="D151" s="15"/>
      <c r="E151" s="15" t="s">
        <v>704</v>
      </c>
      <c r="F151" s="25" t="s">
        <v>81</v>
      </c>
      <c r="G151" s="26">
        <v>1.8</v>
      </c>
      <c r="H151" s="27"/>
      <c r="I151" s="27">
        <v>0</v>
      </c>
      <c r="J151" s="28">
        <v>5.85</v>
      </c>
      <c r="M151" s="29">
        <f>ROUND(ROUND(J151, 2)*I151, 2)</f>
        <v>0</v>
      </c>
      <c r="P151" s="28">
        <v>5.85</v>
      </c>
      <c r="S151" s="29">
        <f>ROUND(ROUND(P151, 2)*I151, 2)</f>
        <v>0</v>
      </c>
      <c r="V151" s="9">
        <f>ROUND(ROUND(P151, 2)/1.2, 2)</f>
        <v>4.88</v>
      </c>
      <c r="Y151" s="9">
        <f t="shared" si="10"/>
        <v>0</v>
      </c>
      <c r="AD151" s="4" t="s">
        <v>791</v>
      </c>
      <c r="AE151" s="4" t="s">
        <v>792</v>
      </c>
      <c r="AF151" s="4" t="s">
        <v>707</v>
      </c>
    </row>
    <row r="152" spans="1:35" ht="18" x14ac:dyDescent="0.35">
      <c r="A152" s="10" t="s">
        <v>795</v>
      </c>
      <c r="B152" s="10"/>
      <c r="C152" s="24" t="s">
        <v>316</v>
      </c>
      <c r="D152" s="15"/>
      <c r="E152" s="15"/>
      <c r="F152" s="25" t="s">
        <v>81</v>
      </c>
      <c r="G152" s="26">
        <v>0.25</v>
      </c>
      <c r="H152" s="26"/>
      <c r="I152" s="26">
        <v>0</v>
      </c>
      <c r="J152" s="28">
        <v>100</v>
      </c>
      <c r="M152" s="29">
        <f>ROUND(ROUND(J152, 2)*I152, 2)</f>
        <v>0</v>
      </c>
      <c r="P152" s="28">
        <v>100</v>
      </c>
      <c r="S152" s="29">
        <f>ROUND(ROUND(P152, 2)*I152, 2)</f>
        <v>0</v>
      </c>
      <c r="V152" s="9">
        <f>ROUND(ROUND(P152, 2)/1.2, 2)</f>
        <v>83.33</v>
      </c>
      <c r="Y152" s="9">
        <f t="shared" si="10"/>
        <v>0</v>
      </c>
      <c r="AD152" s="4" t="s">
        <v>796</v>
      </c>
      <c r="AE152" s="4" t="s">
        <v>797</v>
      </c>
      <c r="AF152" s="4" t="s">
        <v>319</v>
      </c>
    </row>
    <row r="153" spans="1:35" ht="18" x14ac:dyDescent="0.35">
      <c r="A153" s="10" t="s">
        <v>800</v>
      </c>
      <c r="B153" s="10"/>
      <c r="C153" s="24" t="s">
        <v>691</v>
      </c>
      <c r="D153" s="15"/>
      <c r="E153" s="15"/>
      <c r="F153" s="25" t="s">
        <v>56</v>
      </c>
      <c r="G153" s="26">
        <v>1.1000000000000001</v>
      </c>
      <c r="H153" s="26"/>
      <c r="I153" s="26">
        <v>0</v>
      </c>
      <c r="J153" s="28">
        <v>27.55</v>
      </c>
      <c r="M153" s="29">
        <f>ROUND(ROUND(J153, 2)*I153, 2)</f>
        <v>0</v>
      </c>
      <c r="P153" s="28">
        <v>27.55</v>
      </c>
      <c r="S153" s="29">
        <f>ROUND(ROUND(P153, 2)*I153, 2)</f>
        <v>0</v>
      </c>
      <c r="V153" s="9">
        <f>ROUND(ROUND(P153, 2)/1.2, 2)</f>
        <v>22.96</v>
      </c>
      <c r="Y153" s="9">
        <f t="shared" si="10"/>
        <v>0</v>
      </c>
      <c r="AD153" s="4" t="s">
        <v>801</v>
      </c>
      <c r="AE153" s="4" t="s">
        <v>802</v>
      </c>
      <c r="AF153" s="4" t="s">
        <v>694</v>
      </c>
    </row>
    <row r="154" spans="1:35" ht="54" x14ac:dyDescent="0.35">
      <c r="A154" s="10" t="s">
        <v>805</v>
      </c>
      <c r="B154" s="10" t="s">
        <v>684</v>
      </c>
      <c r="C154" s="14" t="s">
        <v>685</v>
      </c>
      <c r="D154" s="15"/>
      <c r="E154" s="15" t="s">
        <v>806</v>
      </c>
      <c r="F154" s="15" t="s">
        <v>56</v>
      </c>
      <c r="G154" s="16">
        <v>1</v>
      </c>
      <c r="H154" s="16"/>
      <c r="I154" s="16">
        <v>0</v>
      </c>
      <c r="J154" s="17">
        <f>IFERROR(ROUND(SUM(M155,M156,M157,M158)/I154, 2),0)</f>
        <v>0</v>
      </c>
      <c r="K154" s="18">
        <v>826</v>
      </c>
      <c r="L154" s="17">
        <f>J154+ROUND(K154, 2)</f>
        <v>826</v>
      </c>
      <c r="M154" s="17">
        <f>ROUND(J154*I154, 2)</f>
        <v>0</v>
      </c>
      <c r="N154" s="17">
        <f>ROUND(I154*ROUND(K154, 2), 2)</f>
        <v>0</v>
      </c>
      <c r="O154" s="17">
        <f>M154+N154</f>
        <v>0</v>
      </c>
      <c r="P154" s="17">
        <f>IFERROR(ROUND(SUM(S155,S156,S157,S158)/I154, 2),0)</f>
        <v>0</v>
      </c>
      <c r="Q154" s="18">
        <v>826</v>
      </c>
      <c r="R154" s="17">
        <f>P154+ROUND(Q154, 2)</f>
        <v>826</v>
      </c>
      <c r="S154" s="17">
        <f>ROUND(P154*I154, 2)</f>
        <v>0</v>
      </c>
      <c r="T154" s="17">
        <f>ROUND(I154*ROUND(Q154, 2), 2)</f>
        <v>0</v>
      </c>
      <c r="U154" s="17">
        <f>S154+T154</f>
        <v>0</v>
      </c>
      <c r="V154" s="9">
        <f>ROUND(P154 / 1.2, 2)</f>
        <v>0</v>
      </c>
      <c r="W154" s="9">
        <f>ROUND(Q154 / 1.2, 2)</f>
        <v>688.33</v>
      </c>
      <c r="X154" s="9">
        <f>ROUND(R154 / 1.2, 2)</f>
        <v>688.33</v>
      </c>
      <c r="Y154" s="9">
        <f t="shared" si="10"/>
        <v>0</v>
      </c>
      <c r="Z154" s="9">
        <f>ROUND(T154 / 1.2, 2)</f>
        <v>0</v>
      </c>
      <c r="AA154" s="9">
        <f>Y154+Z154</f>
        <v>0</v>
      </c>
      <c r="AD154" s="4">
        <v>303752472</v>
      </c>
      <c r="AE154" s="4">
        <v>16086782</v>
      </c>
      <c r="AG154" s="4" t="s">
        <v>687</v>
      </c>
      <c r="AH154" s="4" t="s">
        <v>688</v>
      </c>
      <c r="AI154" s="4" t="s">
        <v>247</v>
      </c>
    </row>
    <row r="155" spans="1:35" ht="18" x14ac:dyDescent="0.35">
      <c r="A155" s="10" t="s">
        <v>808</v>
      </c>
      <c r="B155" s="10"/>
      <c r="C155" s="24" t="s">
        <v>711</v>
      </c>
      <c r="D155" s="15"/>
      <c r="E155" s="15"/>
      <c r="F155" s="25" t="s">
        <v>129</v>
      </c>
      <c r="G155" s="26">
        <v>1.1000000000000001</v>
      </c>
      <c r="H155" s="27"/>
      <c r="I155" s="27">
        <v>0</v>
      </c>
      <c r="J155" s="28">
        <v>18.34</v>
      </c>
      <c r="M155" s="29">
        <f>ROUND(ROUND(J155, 2)*I155, 2)</f>
        <v>0</v>
      </c>
      <c r="P155" s="28">
        <v>18.34</v>
      </c>
      <c r="S155" s="29">
        <f>ROUND(ROUND(P155, 2)*I155, 2)</f>
        <v>0</v>
      </c>
      <c r="V155" s="9">
        <f>ROUND(ROUND(P155, 2)/1.2, 2)</f>
        <v>15.28</v>
      </c>
      <c r="Y155" s="9">
        <f t="shared" si="10"/>
        <v>0</v>
      </c>
      <c r="AD155" s="4" t="s">
        <v>809</v>
      </c>
      <c r="AE155" s="4" t="s">
        <v>810</v>
      </c>
      <c r="AF155" s="4" t="s">
        <v>714</v>
      </c>
    </row>
    <row r="156" spans="1:35" ht="18" x14ac:dyDescent="0.35">
      <c r="A156" s="10" t="s">
        <v>813</v>
      </c>
      <c r="B156" s="10"/>
      <c r="C156" s="24" t="s">
        <v>703</v>
      </c>
      <c r="D156" s="15"/>
      <c r="E156" s="15" t="s">
        <v>704</v>
      </c>
      <c r="F156" s="25" t="s">
        <v>81</v>
      </c>
      <c r="G156" s="26">
        <v>1.8</v>
      </c>
      <c r="H156" s="27"/>
      <c r="I156" s="27">
        <v>0</v>
      </c>
      <c r="J156" s="28">
        <v>5.85</v>
      </c>
      <c r="M156" s="29">
        <f>ROUND(ROUND(J156, 2)*I156, 2)</f>
        <v>0</v>
      </c>
      <c r="P156" s="28">
        <v>5.85</v>
      </c>
      <c r="S156" s="29">
        <f>ROUND(ROUND(P156, 2)*I156, 2)</f>
        <v>0</v>
      </c>
      <c r="V156" s="9">
        <f>ROUND(ROUND(P156, 2)/1.2, 2)</f>
        <v>4.88</v>
      </c>
      <c r="Y156" s="9">
        <f t="shared" si="10"/>
        <v>0</v>
      </c>
      <c r="AD156" s="4" t="s">
        <v>814</v>
      </c>
      <c r="AE156" s="4" t="s">
        <v>815</v>
      </c>
      <c r="AF156" s="4" t="s">
        <v>707</v>
      </c>
    </row>
    <row r="157" spans="1:35" ht="36" x14ac:dyDescent="0.35">
      <c r="A157" s="10" t="s">
        <v>818</v>
      </c>
      <c r="B157" s="10"/>
      <c r="C157" s="24" t="s">
        <v>771</v>
      </c>
      <c r="D157" s="15"/>
      <c r="E157" s="15"/>
      <c r="F157" s="25" t="s">
        <v>81</v>
      </c>
      <c r="G157" s="26">
        <v>0.15</v>
      </c>
      <c r="H157" s="27"/>
      <c r="I157" s="27">
        <v>0</v>
      </c>
      <c r="J157" s="28">
        <v>80</v>
      </c>
      <c r="M157" s="29">
        <f>ROUND(ROUND(J157, 2)*I157, 2)</f>
        <v>0</v>
      </c>
      <c r="P157" s="28">
        <v>80</v>
      </c>
      <c r="S157" s="29">
        <f>ROUND(ROUND(P157, 2)*I157, 2)</f>
        <v>0</v>
      </c>
      <c r="V157" s="9">
        <f>ROUND(ROUND(P157, 2)/1.2, 2)</f>
        <v>66.67</v>
      </c>
      <c r="Y157" s="9">
        <f t="shared" si="10"/>
        <v>0</v>
      </c>
      <c r="AD157" s="4" t="s">
        <v>819</v>
      </c>
      <c r="AE157" s="4" t="s">
        <v>820</v>
      </c>
      <c r="AF157" s="4" t="s">
        <v>774</v>
      </c>
    </row>
    <row r="158" spans="1:35" ht="18" x14ac:dyDescent="0.35">
      <c r="A158" s="10" t="s">
        <v>823</v>
      </c>
      <c r="B158" s="10"/>
      <c r="C158" s="24" t="s">
        <v>691</v>
      </c>
      <c r="D158" s="15"/>
      <c r="E158" s="15"/>
      <c r="F158" s="25" t="s">
        <v>56</v>
      </c>
      <c r="G158" s="26">
        <v>1.1000000000000001</v>
      </c>
      <c r="H158" s="26"/>
      <c r="I158" s="26">
        <v>0</v>
      </c>
      <c r="J158" s="28">
        <v>27.55</v>
      </c>
      <c r="M158" s="29">
        <f>ROUND(ROUND(J158, 2)*I158, 2)</f>
        <v>0</v>
      </c>
      <c r="P158" s="28">
        <v>27.55</v>
      </c>
      <c r="S158" s="29">
        <f>ROUND(ROUND(P158, 2)*I158, 2)</f>
        <v>0</v>
      </c>
      <c r="V158" s="9">
        <f>ROUND(ROUND(P158, 2)/1.2, 2)</f>
        <v>22.96</v>
      </c>
      <c r="Y158" s="9">
        <f t="shared" si="10"/>
        <v>0</v>
      </c>
      <c r="AD158" s="4" t="s">
        <v>824</v>
      </c>
      <c r="AE158" s="4" t="s">
        <v>825</v>
      </c>
      <c r="AF158" s="4" t="s">
        <v>694</v>
      </c>
    </row>
    <row r="159" spans="1:35" ht="54" x14ac:dyDescent="0.35">
      <c r="A159" s="10" t="s">
        <v>828</v>
      </c>
      <c r="B159" s="10" t="s">
        <v>684</v>
      </c>
      <c r="C159" s="14" t="s">
        <v>685</v>
      </c>
      <c r="D159" s="15"/>
      <c r="E159" s="15" t="s">
        <v>829</v>
      </c>
      <c r="F159" s="15" t="s">
        <v>56</v>
      </c>
      <c r="G159" s="16">
        <v>1</v>
      </c>
      <c r="H159" s="16"/>
      <c r="I159" s="16">
        <v>0</v>
      </c>
      <c r="J159" s="17">
        <f>IFERROR(ROUND(SUM(M160,M161,M162)/I159, 2),0)</f>
        <v>0</v>
      </c>
      <c r="K159" s="18">
        <v>826</v>
      </c>
      <c r="L159" s="17">
        <f>J159+ROUND(K159, 2)</f>
        <v>826</v>
      </c>
      <c r="M159" s="17">
        <f>ROUND(J159*I159, 2)</f>
        <v>0</v>
      </c>
      <c r="N159" s="17">
        <f>ROUND(I159*ROUND(K159, 2), 2)</f>
        <v>0</v>
      </c>
      <c r="O159" s="17">
        <f>M159+N159</f>
        <v>0</v>
      </c>
      <c r="P159" s="17">
        <f>IFERROR(ROUND(SUM(S160,S161,S162)/I159, 2),0)</f>
        <v>0</v>
      </c>
      <c r="Q159" s="18">
        <v>826</v>
      </c>
      <c r="R159" s="17">
        <f>P159+ROUND(Q159, 2)</f>
        <v>826</v>
      </c>
      <c r="S159" s="17">
        <f>ROUND(P159*I159, 2)</f>
        <v>0</v>
      </c>
      <c r="T159" s="17">
        <f>ROUND(I159*ROUND(Q159, 2), 2)</f>
        <v>0</v>
      </c>
      <c r="U159" s="17">
        <f>S159+T159</f>
        <v>0</v>
      </c>
      <c r="V159" s="9">
        <f>ROUND(P159 / 1.2, 2)</f>
        <v>0</v>
      </c>
      <c r="W159" s="9">
        <f>ROUND(Q159 / 1.2, 2)</f>
        <v>688.33</v>
      </c>
      <c r="X159" s="9">
        <f>ROUND(R159 / 1.2, 2)</f>
        <v>688.33</v>
      </c>
      <c r="Y159" s="9">
        <f t="shared" si="10"/>
        <v>0</v>
      </c>
      <c r="Z159" s="9">
        <f>ROUND(T159 / 1.2, 2)</f>
        <v>0</v>
      </c>
      <c r="AA159" s="9">
        <f>Y159+Z159</f>
        <v>0</v>
      </c>
      <c r="AD159" s="4">
        <v>303752473</v>
      </c>
      <c r="AE159" s="4">
        <v>16087273</v>
      </c>
      <c r="AG159" s="4" t="s">
        <v>687</v>
      </c>
      <c r="AH159" s="4" t="s">
        <v>688</v>
      </c>
      <c r="AI159" s="4" t="s">
        <v>247</v>
      </c>
    </row>
    <row r="160" spans="1:35" ht="18" x14ac:dyDescent="0.35">
      <c r="A160" s="10" t="s">
        <v>831</v>
      </c>
      <c r="B160" s="10"/>
      <c r="C160" s="24" t="s">
        <v>703</v>
      </c>
      <c r="D160" s="15"/>
      <c r="E160" s="15" t="s">
        <v>832</v>
      </c>
      <c r="F160" s="25" t="s">
        <v>81</v>
      </c>
      <c r="G160" s="26">
        <v>1.8</v>
      </c>
      <c r="H160" s="27"/>
      <c r="I160" s="27">
        <v>0</v>
      </c>
      <c r="J160" s="28">
        <v>5.85</v>
      </c>
      <c r="M160" s="29">
        <f>ROUND(ROUND(J160, 2)*I160, 2)</f>
        <v>0</v>
      </c>
      <c r="P160" s="28">
        <v>5.85</v>
      </c>
      <c r="S160" s="29">
        <f>ROUND(ROUND(P160, 2)*I160, 2)</f>
        <v>0</v>
      </c>
      <c r="V160" s="9">
        <f>ROUND(ROUND(P160, 2)/1.2, 2)</f>
        <v>4.88</v>
      </c>
      <c r="Y160" s="9">
        <f t="shared" si="10"/>
        <v>0</v>
      </c>
      <c r="AD160" s="4" t="s">
        <v>833</v>
      </c>
      <c r="AE160" s="4" t="s">
        <v>834</v>
      </c>
      <c r="AF160" s="4" t="s">
        <v>707</v>
      </c>
    </row>
    <row r="161" spans="1:35" ht="36" x14ac:dyDescent="0.35">
      <c r="A161" s="10" t="s">
        <v>837</v>
      </c>
      <c r="B161" s="10"/>
      <c r="C161" s="24" t="s">
        <v>771</v>
      </c>
      <c r="D161" s="15"/>
      <c r="E161" s="15"/>
      <c r="F161" s="25" t="s">
        <v>81</v>
      </c>
      <c r="G161" s="26">
        <v>0.15</v>
      </c>
      <c r="H161" s="27"/>
      <c r="I161" s="27">
        <v>0</v>
      </c>
      <c r="J161" s="28">
        <v>80</v>
      </c>
      <c r="M161" s="29">
        <f>ROUND(ROUND(J161, 2)*I161, 2)</f>
        <v>0</v>
      </c>
      <c r="P161" s="28">
        <v>80</v>
      </c>
      <c r="S161" s="29">
        <f>ROUND(ROUND(P161, 2)*I161, 2)</f>
        <v>0</v>
      </c>
      <c r="V161" s="9">
        <f>ROUND(ROUND(P161, 2)/1.2, 2)</f>
        <v>66.67</v>
      </c>
      <c r="Y161" s="9">
        <f t="shared" si="10"/>
        <v>0</v>
      </c>
      <c r="AD161" s="4" t="s">
        <v>838</v>
      </c>
      <c r="AE161" s="4" t="s">
        <v>839</v>
      </c>
      <c r="AF161" s="4" t="s">
        <v>774</v>
      </c>
    </row>
    <row r="162" spans="1:35" ht="18" x14ac:dyDescent="0.35">
      <c r="A162" s="10" t="s">
        <v>842</v>
      </c>
      <c r="B162" s="10"/>
      <c r="C162" s="24" t="s">
        <v>691</v>
      </c>
      <c r="D162" s="15"/>
      <c r="E162" s="15"/>
      <c r="F162" s="25" t="s">
        <v>56</v>
      </c>
      <c r="G162" s="26">
        <v>1.1000000000000001</v>
      </c>
      <c r="H162" s="26"/>
      <c r="I162" s="26">
        <v>0</v>
      </c>
      <c r="J162" s="28">
        <v>27.55</v>
      </c>
      <c r="M162" s="29">
        <f>ROUND(ROUND(J162, 2)*I162, 2)</f>
        <v>0</v>
      </c>
      <c r="P162" s="28">
        <v>27.55</v>
      </c>
      <c r="S162" s="29">
        <f>ROUND(ROUND(P162, 2)*I162, 2)</f>
        <v>0</v>
      </c>
      <c r="V162" s="9">
        <f>ROUND(ROUND(P162, 2)/1.2, 2)</f>
        <v>22.96</v>
      </c>
      <c r="Y162" s="9">
        <f t="shared" si="10"/>
        <v>0</v>
      </c>
      <c r="AD162" s="4" t="s">
        <v>843</v>
      </c>
      <c r="AE162" s="4" t="s">
        <v>844</v>
      </c>
      <c r="AF162" s="4" t="s">
        <v>694</v>
      </c>
    </row>
    <row r="163" spans="1:35" ht="54" x14ac:dyDescent="0.35">
      <c r="A163" s="10" t="s">
        <v>847</v>
      </c>
      <c r="B163" s="10" t="s">
        <v>848</v>
      </c>
      <c r="C163" s="14" t="s">
        <v>849</v>
      </c>
      <c r="D163" s="15"/>
      <c r="E163" s="15" t="s">
        <v>850</v>
      </c>
      <c r="F163" s="15" t="s">
        <v>56</v>
      </c>
      <c r="G163" s="16">
        <v>1</v>
      </c>
      <c r="H163" s="16"/>
      <c r="I163" s="16">
        <v>754.1</v>
      </c>
      <c r="J163" s="17">
        <f>IFERROR(ROUND(SUM(M164,M165,M166)/I163, 2),0)</f>
        <v>70.430000000000007</v>
      </c>
      <c r="K163" s="18">
        <v>329</v>
      </c>
      <c r="L163" s="17">
        <f>J163+ROUND(K163, 2)</f>
        <v>399.43</v>
      </c>
      <c r="M163" s="17">
        <f>ROUND(J163*I163, 2)</f>
        <v>53111.26</v>
      </c>
      <c r="N163" s="17">
        <f>ROUND(I163*ROUND(K163, 2), 2)</f>
        <v>248098.9</v>
      </c>
      <c r="O163" s="17">
        <f>M163+N163</f>
        <v>301210.15999999997</v>
      </c>
      <c r="P163" s="17">
        <f>IFERROR(ROUND(SUM(S164,S165,S166)/I163, 2),0)</f>
        <v>70.430000000000007</v>
      </c>
      <c r="Q163" s="18">
        <v>329</v>
      </c>
      <c r="R163" s="17">
        <f>P163+ROUND(Q163, 2)</f>
        <v>399.43</v>
      </c>
      <c r="S163" s="17">
        <f>ROUND(P163*I163, 2)</f>
        <v>53111.26</v>
      </c>
      <c r="T163" s="17">
        <f>ROUND(I163*ROUND(Q163, 2), 2)</f>
        <v>248098.9</v>
      </c>
      <c r="U163" s="17">
        <f>S163+T163</f>
        <v>301210.15999999997</v>
      </c>
      <c r="V163" s="9">
        <f>ROUND(P163 / 1.2, 2)</f>
        <v>58.69</v>
      </c>
      <c r="W163" s="9">
        <f>ROUND(Q163 / 1.2, 2)</f>
        <v>274.17</v>
      </c>
      <c r="X163" s="9">
        <f>ROUND(R163 / 1.2, 2)</f>
        <v>332.86</v>
      </c>
      <c r="Y163" s="9">
        <f t="shared" si="10"/>
        <v>44259.38</v>
      </c>
      <c r="Z163" s="9">
        <f>ROUND(T163 / 1.2, 2)</f>
        <v>206749.08</v>
      </c>
      <c r="AA163" s="9">
        <f>Y163+Z163</f>
        <v>251008.46</v>
      </c>
      <c r="AD163" s="4">
        <v>303752419</v>
      </c>
      <c r="AE163" s="4">
        <v>16077289</v>
      </c>
      <c r="AG163" s="4" t="s">
        <v>851</v>
      </c>
      <c r="AH163" s="4" t="s">
        <v>852</v>
      </c>
      <c r="AI163" s="4" t="s">
        <v>247</v>
      </c>
    </row>
    <row r="164" spans="1:35" ht="54" x14ac:dyDescent="0.35">
      <c r="A164" s="10" t="s">
        <v>853</v>
      </c>
      <c r="B164" s="10"/>
      <c r="C164" s="24" t="s">
        <v>854</v>
      </c>
      <c r="D164" s="15"/>
      <c r="E164" s="15" t="s">
        <v>855</v>
      </c>
      <c r="F164" s="25" t="s">
        <v>81</v>
      </c>
      <c r="G164" s="26">
        <v>2</v>
      </c>
      <c r="H164" s="26"/>
      <c r="I164" s="26">
        <v>1508.2</v>
      </c>
      <c r="J164" s="28">
        <v>23</v>
      </c>
      <c r="M164" s="29">
        <f>ROUND(ROUND(J164, 2)*I164, 2)</f>
        <v>34688.6</v>
      </c>
      <c r="P164" s="28">
        <v>23</v>
      </c>
      <c r="S164" s="29">
        <f>ROUND(ROUND(P164, 2)*I164, 2)</f>
        <v>34688.6</v>
      </c>
      <c r="V164" s="9">
        <f>ROUND(ROUND(P164, 2)/1.2, 2)</f>
        <v>19.170000000000002</v>
      </c>
      <c r="Y164" s="9">
        <f t="shared" ref="Y164:Y195" si="11">ROUND(S164 / 1.2, 2)</f>
        <v>28907.17</v>
      </c>
      <c r="AD164" s="4" t="s">
        <v>856</v>
      </c>
      <c r="AE164" s="4" t="s">
        <v>857</v>
      </c>
      <c r="AF164" s="4" t="s">
        <v>858</v>
      </c>
    </row>
    <row r="165" spans="1:35" ht="18" x14ac:dyDescent="0.35">
      <c r="A165" s="10" t="s">
        <v>859</v>
      </c>
      <c r="B165" s="10"/>
      <c r="C165" s="24" t="s">
        <v>860</v>
      </c>
      <c r="D165" s="15"/>
      <c r="E165" s="15"/>
      <c r="F165" s="25" t="s">
        <v>103</v>
      </c>
      <c r="G165" s="26">
        <v>0.3</v>
      </c>
      <c r="H165" s="27"/>
      <c r="I165" s="27">
        <v>226.23</v>
      </c>
      <c r="J165" s="28">
        <v>37.049999999999997</v>
      </c>
      <c r="M165" s="29">
        <f>ROUND(ROUND(J165, 2)*I165, 2)</f>
        <v>8381.82</v>
      </c>
      <c r="P165" s="28">
        <v>37.049999999999997</v>
      </c>
      <c r="S165" s="29">
        <f>ROUND(ROUND(P165, 2)*I165, 2)</f>
        <v>8381.82</v>
      </c>
      <c r="V165" s="9">
        <f>ROUND(ROUND(P165, 2)/1.2, 2)</f>
        <v>30.88</v>
      </c>
      <c r="Y165" s="9">
        <f t="shared" si="11"/>
        <v>6984.85</v>
      </c>
      <c r="AD165" s="4" t="s">
        <v>861</v>
      </c>
      <c r="AE165" s="4" t="s">
        <v>862</v>
      </c>
      <c r="AF165" s="4" t="s">
        <v>863</v>
      </c>
    </row>
    <row r="166" spans="1:35" ht="36" x14ac:dyDescent="0.35">
      <c r="A166" s="10" t="s">
        <v>864</v>
      </c>
      <c r="B166" s="10"/>
      <c r="C166" s="24" t="s">
        <v>493</v>
      </c>
      <c r="D166" s="15"/>
      <c r="E166" s="15"/>
      <c r="F166" s="25" t="s">
        <v>81</v>
      </c>
      <c r="G166" s="26">
        <v>0.15</v>
      </c>
      <c r="H166" s="26"/>
      <c r="I166" s="26">
        <v>113.11499999999999</v>
      </c>
      <c r="J166" s="28">
        <v>88.8</v>
      </c>
      <c r="M166" s="29">
        <f>ROUND(ROUND(J166, 2)*I166, 2)</f>
        <v>10044.61</v>
      </c>
      <c r="P166" s="28">
        <v>88.8</v>
      </c>
      <c r="S166" s="29">
        <f>ROUND(ROUND(P166, 2)*I166, 2)</f>
        <v>10044.61</v>
      </c>
      <c r="V166" s="9">
        <f>ROUND(ROUND(P166, 2)/1.2, 2)</f>
        <v>74</v>
      </c>
      <c r="Y166" s="9">
        <f t="shared" si="11"/>
        <v>8370.51</v>
      </c>
      <c r="AD166" s="4" t="s">
        <v>865</v>
      </c>
      <c r="AE166" s="4" t="s">
        <v>866</v>
      </c>
      <c r="AF166" s="4" t="s">
        <v>496</v>
      </c>
    </row>
    <row r="167" spans="1:35" ht="54" x14ac:dyDescent="0.35">
      <c r="A167" s="10" t="s">
        <v>867</v>
      </c>
      <c r="B167" s="10" t="s">
        <v>848</v>
      </c>
      <c r="C167" s="14" t="s">
        <v>849</v>
      </c>
      <c r="D167" s="15"/>
      <c r="E167" s="15" t="s">
        <v>850</v>
      </c>
      <c r="F167" s="15" t="s">
        <v>56</v>
      </c>
      <c r="G167" s="16">
        <v>1</v>
      </c>
      <c r="H167" s="16"/>
      <c r="I167" s="16">
        <v>754.1</v>
      </c>
      <c r="J167" s="17">
        <f>IFERROR(ROUND(SUM(M168,M169,M170)/I167, 2),0)</f>
        <v>84.43</v>
      </c>
      <c r="K167" s="18">
        <v>329</v>
      </c>
      <c r="L167" s="17">
        <f>J167+ROUND(K167, 2)</f>
        <v>413.43</v>
      </c>
      <c r="M167" s="17">
        <f>ROUND(J167*I167, 2)</f>
        <v>63668.66</v>
      </c>
      <c r="N167" s="17">
        <f>ROUND(I167*ROUND(K167, 2), 2)</f>
        <v>248098.9</v>
      </c>
      <c r="O167" s="17">
        <f>M167+N167</f>
        <v>311767.56</v>
      </c>
      <c r="P167" s="17">
        <f>IFERROR(ROUND(SUM(S168,S169,S170)/I167, 2),0)</f>
        <v>37.01</v>
      </c>
      <c r="Q167" s="18">
        <v>329</v>
      </c>
      <c r="R167" s="17">
        <f>P167+ROUND(Q167, 2)</f>
        <v>366.01</v>
      </c>
      <c r="S167" s="17">
        <f>ROUND(P167*I167, 2)</f>
        <v>27909.24</v>
      </c>
      <c r="T167" s="17">
        <f>ROUND(I167*ROUND(Q167, 2), 2)</f>
        <v>248098.9</v>
      </c>
      <c r="U167" s="17">
        <f>S167+T167</f>
        <v>276008.14</v>
      </c>
      <c r="V167" s="9">
        <f>ROUND(P167 / 1.2, 2)</f>
        <v>30.84</v>
      </c>
      <c r="W167" s="9">
        <f>ROUND(Q167 / 1.2, 2)</f>
        <v>274.17</v>
      </c>
      <c r="X167" s="9">
        <f>ROUND(R167 / 1.2, 2)</f>
        <v>305.01</v>
      </c>
      <c r="Y167" s="9">
        <f t="shared" si="11"/>
        <v>23257.7</v>
      </c>
      <c r="Z167" s="9">
        <f>ROUND(T167 / 1.2, 2)</f>
        <v>206749.08</v>
      </c>
      <c r="AA167" s="9">
        <f>Y167+Z167</f>
        <v>230006.78</v>
      </c>
      <c r="AD167" s="4">
        <v>303752474</v>
      </c>
      <c r="AE167" s="4">
        <v>16077336</v>
      </c>
      <c r="AG167" s="4" t="s">
        <v>851</v>
      </c>
      <c r="AH167" s="4" t="s">
        <v>852</v>
      </c>
      <c r="AI167" s="4" t="s">
        <v>247</v>
      </c>
    </row>
    <row r="168" spans="1:35" ht="36" x14ac:dyDescent="0.35">
      <c r="A168" s="10" t="s">
        <v>868</v>
      </c>
      <c r="B168" s="10"/>
      <c r="C168" s="24" t="s">
        <v>493</v>
      </c>
      <c r="D168" s="15"/>
      <c r="E168" s="15"/>
      <c r="F168" s="25" t="s">
        <v>81</v>
      </c>
      <c r="G168" s="26">
        <v>0.15</v>
      </c>
      <c r="H168" s="26"/>
      <c r="I168" s="26">
        <v>113.11499999999999</v>
      </c>
      <c r="J168" s="28">
        <v>88.8</v>
      </c>
      <c r="M168" s="29">
        <f>ROUND(ROUND(J168, 2)*I168, 2)</f>
        <v>10044.61</v>
      </c>
      <c r="P168" s="28">
        <v>88.8</v>
      </c>
      <c r="S168" s="29">
        <f>ROUND(ROUND(P168, 2)*I168, 2)</f>
        <v>10044.61</v>
      </c>
      <c r="V168" s="9">
        <f>ROUND(ROUND(P168, 2)/1.2, 2)</f>
        <v>74</v>
      </c>
      <c r="Y168" s="9">
        <f t="shared" si="11"/>
        <v>8370.51</v>
      </c>
      <c r="AD168" s="4" t="s">
        <v>869</v>
      </c>
      <c r="AE168" s="4" t="s">
        <v>870</v>
      </c>
      <c r="AF168" s="4" t="s">
        <v>496</v>
      </c>
    </row>
    <row r="169" spans="1:35" ht="18" x14ac:dyDescent="0.35">
      <c r="A169" s="10" t="s">
        <v>871</v>
      </c>
      <c r="B169" s="10"/>
      <c r="C169" s="24" t="s">
        <v>860</v>
      </c>
      <c r="D169" s="15"/>
      <c r="E169" s="15"/>
      <c r="F169" s="25" t="s">
        <v>103</v>
      </c>
      <c r="G169" s="26">
        <v>0.3</v>
      </c>
      <c r="H169" s="27"/>
      <c r="I169" s="27">
        <v>226.23</v>
      </c>
      <c r="J169" s="28">
        <v>37.049999999999997</v>
      </c>
      <c r="M169" s="29">
        <f>ROUND(ROUND(J169, 2)*I169, 2)</f>
        <v>8381.82</v>
      </c>
      <c r="P169" s="28">
        <v>37.049999999999997</v>
      </c>
      <c r="S169" s="29">
        <f>ROUND(ROUND(P169, 2)*I169, 2)</f>
        <v>8381.82</v>
      </c>
      <c r="V169" s="9">
        <f>ROUND(ROUND(P169, 2)/1.2, 2)</f>
        <v>30.88</v>
      </c>
      <c r="Y169" s="9">
        <f t="shared" si="11"/>
        <v>6984.85</v>
      </c>
      <c r="AD169" s="4" t="s">
        <v>872</v>
      </c>
      <c r="AE169" s="4" t="s">
        <v>873</v>
      </c>
      <c r="AF169" s="4" t="s">
        <v>863</v>
      </c>
    </row>
    <row r="170" spans="1:35" ht="36" x14ac:dyDescent="0.35">
      <c r="A170" s="10" t="s">
        <v>874</v>
      </c>
      <c r="B170" s="10"/>
      <c r="C170" s="24" t="s">
        <v>875</v>
      </c>
      <c r="D170" s="15"/>
      <c r="E170" s="15"/>
      <c r="F170" s="25" t="s">
        <v>81</v>
      </c>
      <c r="G170" s="26">
        <v>1</v>
      </c>
      <c r="H170" s="26"/>
      <c r="I170" s="26">
        <v>754.1</v>
      </c>
      <c r="J170" s="28">
        <v>60</v>
      </c>
      <c r="M170" s="29">
        <f>ROUND(ROUND(J170, 2)*I170, 2)</f>
        <v>45246</v>
      </c>
      <c r="P170" s="28">
        <v>12.58</v>
      </c>
      <c r="S170" s="29">
        <f>ROUND(ROUND(P170, 2)*I170, 2)</f>
        <v>9486.58</v>
      </c>
      <c r="V170" s="9">
        <f>ROUND(ROUND(P170, 2)/1.2, 2)</f>
        <v>10.48</v>
      </c>
      <c r="Y170" s="9">
        <f t="shared" si="11"/>
        <v>7905.48</v>
      </c>
      <c r="AD170" s="4" t="s">
        <v>876</v>
      </c>
      <c r="AE170" s="4" t="s">
        <v>877</v>
      </c>
      <c r="AF170" s="4" t="s">
        <v>878</v>
      </c>
    </row>
    <row r="171" spans="1:35" ht="54" x14ac:dyDescent="0.35">
      <c r="A171" s="10" t="s">
        <v>879</v>
      </c>
      <c r="B171" s="10" t="s">
        <v>848</v>
      </c>
      <c r="C171" s="14" t="s">
        <v>849</v>
      </c>
      <c r="D171" s="15"/>
      <c r="E171" s="15" t="s">
        <v>850</v>
      </c>
      <c r="F171" s="15" t="s">
        <v>56</v>
      </c>
      <c r="G171" s="16">
        <v>1</v>
      </c>
      <c r="H171" s="16"/>
      <c r="I171" s="16">
        <v>754.1</v>
      </c>
      <c r="J171" s="17">
        <f>IFERROR(ROUND(SUM(M172,M173,M174)/I171, 2),0)</f>
        <v>65.83</v>
      </c>
      <c r="K171" s="18">
        <v>329</v>
      </c>
      <c r="L171" s="17">
        <f>J171+ROUND(K171, 2)</f>
        <v>394.83</v>
      </c>
      <c r="M171" s="17">
        <f>ROUND(J171*I171, 2)</f>
        <v>49642.400000000001</v>
      </c>
      <c r="N171" s="17">
        <f>ROUND(I171*ROUND(K171, 2), 2)</f>
        <v>248098.9</v>
      </c>
      <c r="O171" s="17">
        <f>M171+N171</f>
        <v>297741.3</v>
      </c>
      <c r="P171" s="17">
        <f>IFERROR(ROUND(SUM(S172,S173,S174)/I171, 2),0)</f>
        <v>47.08</v>
      </c>
      <c r="Q171" s="18">
        <v>329</v>
      </c>
      <c r="R171" s="17">
        <f>P171+ROUND(Q171, 2)</f>
        <v>376.08</v>
      </c>
      <c r="S171" s="17">
        <f>ROUND(P171*I171, 2)</f>
        <v>35503.03</v>
      </c>
      <c r="T171" s="17">
        <f>ROUND(I171*ROUND(Q171, 2), 2)</f>
        <v>248098.9</v>
      </c>
      <c r="U171" s="17">
        <f>S171+T171</f>
        <v>283601.93</v>
      </c>
      <c r="V171" s="9">
        <f>ROUND(P171 / 1.2, 2)</f>
        <v>39.229999999999997</v>
      </c>
      <c r="W171" s="9">
        <f>ROUND(Q171 / 1.2, 2)</f>
        <v>274.17</v>
      </c>
      <c r="X171" s="9">
        <f>ROUND(R171 / 1.2, 2)</f>
        <v>313.39999999999998</v>
      </c>
      <c r="Y171" s="9">
        <f t="shared" si="11"/>
        <v>29585.86</v>
      </c>
      <c r="Z171" s="9">
        <f>ROUND(T171 / 1.2, 2)</f>
        <v>206749.08</v>
      </c>
      <c r="AA171" s="9">
        <f>Y171+Z171</f>
        <v>236334.94</v>
      </c>
      <c r="AD171" s="4">
        <v>303752475</v>
      </c>
      <c r="AE171" s="4">
        <v>16077337</v>
      </c>
      <c r="AG171" s="4" t="s">
        <v>851</v>
      </c>
      <c r="AH171" s="4" t="s">
        <v>852</v>
      </c>
      <c r="AI171" s="4" t="s">
        <v>247</v>
      </c>
    </row>
    <row r="172" spans="1:35" ht="36" x14ac:dyDescent="0.35">
      <c r="A172" s="10" t="s">
        <v>880</v>
      </c>
      <c r="B172" s="10"/>
      <c r="C172" s="24" t="s">
        <v>493</v>
      </c>
      <c r="D172" s="15"/>
      <c r="E172" s="15"/>
      <c r="F172" s="25" t="s">
        <v>81</v>
      </c>
      <c r="G172" s="26">
        <v>0.15</v>
      </c>
      <c r="H172" s="26"/>
      <c r="I172" s="26">
        <v>113.11499999999999</v>
      </c>
      <c r="J172" s="28">
        <v>88.8</v>
      </c>
      <c r="M172" s="29">
        <f>ROUND(ROUND(J172, 2)*I172, 2)</f>
        <v>10044.61</v>
      </c>
      <c r="P172" s="28">
        <v>88.8</v>
      </c>
      <c r="S172" s="29">
        <f>ROUND(ROUND(P172, 2)*I172, 2)</f>
        <v>10044.61</v>
      </c>
      <c r="V172" s="9">
        <f>ROUND(ROUND(P172, 2)/1.2, 2)</f>
        <v>74</v>
      </c>
      <c r="Y172" s="9">
        <f t="shared" si="11"/>
        <v>8370.51</v>
      </c>
      <c r="AD172" s="4" t="s">
        <v>881</v>
      </c>
      <c r="AE172" s="4" t="s">
        <v>882</v>
      </c>
      <c r="AF172" s="4" t="s">
        <v>496</v>
      </c>
    </row>
    <row r="173" spans="1:35" ht="18" x14ac:dyDescent="0.35">
      <c r="A173" s="10" t="s">
        <v>883</v>
      </c>
      <c r="B173" s="10"/>
      <c r="C173" s="24" t="s">
        <v>860</v>
      </c>
      <c r="D173" s="15"/>
      <c r="E173" s="15"/>
      <c r="F173" s="25" t="s">
        <v>103</v>
      </c>
      <c r="G173" s="26">
        <v>0.3</v>
      </c>
      <c r="H173" s="27"/>
      <c r="I173" s="27">
        <v>226.23</v>
      </c>
      <c r="J173" s="28">
        <v>37.049999999999997</v>
      </c>
      <c r="M173" s="29">
        <f>ROUND(ROUND(J173, 2)*I173, 2)</f>
        <v>8381.82</v>
      </c>
      <c r="P173" s="28">
        <v>37.049999999999997</v>
      </c>
      <c r="S173" s="29">
        <f>ROUND(ROUND(P173, 2)*I173, 2)</f>
        <v>8381.82</v>
      </c>
      <c r="V173" s="9">
        <f>ROUND(ROUND(P173, 2)/1.2, 2)</f>
        <v>30.88</v>
      </c>
      <c r="Y173" s="9">
        <f t="shared" si="11"/>
        <v>6984.85</v>
      </c>
      <c r="AD173" s="4" t="s">
        <v>884</v>
      </c>
      <c r="AE173" s="4" t="s">
        <v>885</v>
      </c>
      <c r="AF173" s="4" t="s">
        <v>863</v>
      </c>
    </row>
    <row r="174" spans="1:35" ht="36" x14ac:dyDescent="0.35">
      <c r="A174" s="10" t="s">
        <v>886</v>
      </c>
      <c r="B174" s="10"/>
      <c r="C174" s="24" t="s">
        <v>887</v>
      </c>
      <c r="D174" s="15"/>
      <c r="E174" s="15"/>
      <c r="F174" s="25" t="s">
        <v>81</v>
      </c>
      <c r="G174" s="26">
        <v>1.8</v>
      </c>
      <c r="H174" s="26"/>
      <c r="I174" s="26">
        <v>1357.38</v>
      </c>
      <c r="J174" s="28">
        <v>23</v>
      </c>
      <c r="M174" s="29">
        <f>ROUND(ROUND(J174, 2)*I174, 2)</f>
        <v>31219.74</v>
      </c>
      <c r="P174" s="28">
        <v>12.58</v>
      </c>
      <c r="S174" s="29">
        <f>ROUND(ROUND(P174, 2)*I174, 2)</f>
        <v>17075.84</v>
      </c>
      <c r="V174" s="9">
        <f>ROUND(ROUND(P174, 2)/1.2, 2)</f>
        <v>10.48</v>
      </c>
      <c r="Y174" s="9">
        <f t="shared" si="11"/>
        <v>14229.87</v>
      </c>
      <c r="AD174" s="4" t="s">
        <v>888</v>
      </c>
      <c r="AE174" s="4" t="s">
        <v>889</v>
      </c>
      <c r="AF174" s="4" t="s">
        <v>890</v>
      </c>
    </row>
    <row r="175" spans="1:35" ht="54" x14ac:dyDescent="0.35">
      <c r="A175" s="10" t="s">
        <v>891</v>
      </c>
      <c r="B175" s="10" t="s">
        <v>848</v>
      </c>
      <c r="C175" s="14" t="s">
        <v>849</v>
      </c>
      <c r="D175" s="15"/>
      <c r="E175" s="15" t="s">
        <v>892</v>
      </c>
      <c r="F175" s="15" t="s">
        <v>56</v>
      </c>
      <c r="G175" s="16">
        <v>1</v>
      </c>
      <c r="H175" s="16"/>
      <c r="I175" s="16">
        <v>0</v>
      </c>
      <c r="J175" s="17">
        <f>IFERROR(ROUND(SUM(M176,M177,M178,M179)/I175, 2),0)</f>
        <v>0</v>
      </c>
      <c r="K175" s="18">
        <v>329</v>
      </c>
      <c r="L175" s="17">
        <f>J175+ROUND(K175, 2)</f>
        <v>329</v>
      </c>
      <c r="M175" s="17">
        <f>ROUND(J175*I175, 2)</f>
        <v>0</v>
      </c>
      <c r="N175" s="17">
        <f>ROUND(I175*ROUND(K175, 2), 2)</f>
        <v>0</v>
      </c>
      <c r="O175" s="17">
        <f>M175+N175</f>
        <v>0</v>
      </c>
      <c r="P175" s="17">
        <f>IFERROR(ROUND(SUM(S176,S177,S178,S179)/I175, 2),0)</f>
        <v>0</v>
      </c>
      <c r="Q175" s="18">
        <v>329</v>
      </c>
      <c r="R175" s="17">
        <f>P175+ROUND(Q175, 2)</f>
        <v>329</v>
      </c>
      <c r="S175" s="17">
        <f>ROUND(P175*I175, 2)</f>
        <v>0</v>
      </c>
      <c r="T175" s="17">
        <f>ROUND(I175*ROUND(Q175, 2), 2)</f>
        <v>0</v>
      </c>
      <c r="U175" s="17">
        <f>S175+T175</f>
        <v>0</v>
      </c>
      <c r="V175" s="9">
        <f>ROUND(P175 / 1.2, 2)</f>
        <v>0</v>
      </c>
      <c r="W175" s="9">
        <f>ROUND(Q175 / 1.2, 2)</f>
        <v>274.17</v>
      </c>
      <c r="X175" s="9">
        <f>ROUND(R175 / 1.2, 2)</f>
        <v>274.17</v>
      </c>
      <c r="Y175" s="9">
        <f t="shared" si="11"/>
        <v>0</v>
      </c>
      <c r="Z175" s="9">
        <f>ROUND(T175 / 1.2, 2)</f>
        <v>0</v>
      </c>
      <c r="AA175" s="9">
        <f>Y175+Z175</f>
        <v>0</v>
      </c>
      <c r="AD175" s="4">
        <v>303752476</v>
      </c>
      <c r="AE175" s="4">
        <v>16081445</v>
      </c>
      <c r="AG175" s="4" t="s">
        <v>851</v>
      </c>
      <c r="AH175" s="4" t="s">
        <v>852</v>
      </c>
      <c r="AI175" s="4" t="s">
        <v>247</v>
      </c>
    </row>
    <row r="176" spans="1:35" ht="36" x14ac:dyDescent="0.35">
      <c r="A176" s="10" t="s">
        <v>894</v>
      </c>
      <c r="B176" s="10"/>
      <c r="C176" s="24" t="s">
        <v>895</v>
      </c>
      <c r="D176" s="15"/>
      <c r="E176" s="15"/>
      <c r="F176" s="25" t="s">
        <v>81</v>
      </c>
      <c r="G176" s="26">
        <v>0.1</v>
      </c>
      <c r="H176" s="26"/>
      <c r="I176" s="26">
        <v>0</v>
      </c>
      <c r="J176" s="28">
        <v>142.9</v>
      </c>
      <c r="M176" s="29">
        <f>ROUND(ROUND(J176, 2)*I176, 2)</f>
        <v>0</v>
      </c>
      <c r="P176" s="28">
        <v>142.9</v>
      </c>
      <c r="S176" s="29">
        <f>ROUND(ROUND(P176, 2)*I176, 2)</f>
        <v>0</v>
      </c>
      <c r="V176" s="9">
        <f>ROUND(ROUND(P176, 2)/1.2, 2)</f>
        <v>119.08</v>
      </c>
      <c r="Y176" s="9">
        <f t="shared" si="11"/>
        <v>0</v>
      </c>
      <c r="AD176" s="4" t="s">
        <v>896</v>
      </c>
      <c r="AE176" s="4" t="s">
        <v>897</v>
      </c>
      <c r="AF176" s="4" t="s">
        <v>898</v>
      </c>
    </row>
    <row r="177" spans="1:35" ht="18" x14ac:dyDescent="0.35">
      <c r="A177" s="10" t="s">
        <v>901</v>
      </c>
      <c r="B177" s="10"/>
      <c r="C177" s="24" t="s">
        <v>902</v>
      </c>
      <c r="D177" s="15"/>
      <c r="E177" s="15"/>
      <c r="F177" s="25" t="s">
        <v>129</v>
      </c>
      <c r="G177" s="26">
        <v>1</v>
      </c>
      <c r="H177" s="27"/>
      <c r="I177" s="27">
        <v>0</v>
      </c>
      <c r="J177" s="28">
        <v>7</v>
      </c>
      <c r="M177" s="29">
        <f>ROUND(ROUND(J177, 2)*I177, 2)</f>
        <v>0</v>
      </c>
      <c r="P177" s="28">
        <v>7</v>
      </c>
      <c r="S177" s="29">
        <f>ROUND(ROUND(P177, 2)*I177, 2)</f>
        <v>0</v>
      </c>
      <c r="V177" s="9">
        <f>ROUND(ROUND(P177, 2)/1.2, 2)</f>
        <v>5.83</v>
      </c>
      <c r="Y177" s="9">
        <f t="shared" si="11"/>
        <v>0</v>
      </c>
      <c r="AD177" s="4" t="s">
        <v>903</v>
      </c>
      <c r="AE177" s="4" t="s">
        <v>904</v>
      </c>
      <c r="AF177" s="4" t="s">
        <v>905</v>
      </c>
    </row>
    <row r="178" spans="1:35" ht="18" x14ac:dyDescent="0.35">
      <c r="A178" s="10" t="s">
        <v>908</v>
      </c>
      <c r="B178" s="10"/>
      <c r="C178" s="24" t="s">
        <v>860</v>
      </c>
      <c r="D178" s="15"/>
      <c r="E178" s="15"/>
      <c r="F178" s="25" t="s">
        <v>103</v>
      </c>
      <c r="G178" s="26">
        <v>0.3</v>
      </c>
      <c r="H178" s="27"/>
      <c r="I178" s="27">
        <v>0</v>
      </c>
      <c r="J178" s="28">
        <v>37.049999999999997</v>
      </c>
      <c r="M178" s="29">
        <f>ROUND(ROUND(J178, 2)*I178, 2)</f>
        <v>0</v>
      </c>
      <c r="P178" s="28">
        <v>37.049999999999997</v>
      </c>
      <c r="S178" s="29">
        <f>ROUND(ROUND(P178, 2)*I178, 2)</f>
        <v>0</v>
      </c>
      <c r="V178" s="9">
        <f>ROUND(ROUND(P178, 2)/1.2, 2)</f>
        <v>30.88</v>
      </c>
      <c r="Y178" s="9">
        <f t="shared" si="11"/>
        <v>0</v>
      </c>
      <c r="AD178" s="4" t="s">
        <v>909</v>
      </c>
      <c r="AE178" s="4" t="s">
        <v>910</v>
      </c>
      <c r="AF178" s="4" t="s">
        <v>863</v>
      </c>
    </row>
    <row r="179" spans="1:35" ht="36" x14ac:dyDescent="0.35">
      <c r="A179" s="10" t="s">
        <v>913</v>
      </c>
      <c r="B179" s="10"/>
      <c r="C179" s="37" t="s">
        <v>914</v>
      </c>
      <c r="D179" s="15"/>
      <c r="E179" s="15"/>
      <c r="F179" s="25" t="s">
        <v>81</v>
      </c>
      <c r="G179" s="26">
        <v>1.8</v>
      </c>
      <c r="H179" s="26"/>
      <c r="I179" s="26">
        <v>0</v>
      </c>
      <c r="J179" s="28">
        <v>12.58</v>
      </c>
      <c r="M179" s="29">
        <f>ROUND(ROUND(J179, 2)*I179, 2)</f>
        <v>0</v>
      </c>
      <c r="P179" s="28">
        <v>12.58</v>
      </c>
      <c r="S179" s="29">
        <f>ROUND(ROUND(P179, 2)*I179, 2)</f>
        <v>0</v>
      </c>
      <c r="V179" s="9">
        <f>ROUND(ROUND(P179, 2)/1.2, 2)</f>
        <v>10.48</v>
      </c>
      <c r="Y179" s="9">
        <f t="shared" si="11"/>
        <v>0</v>
      </c>
      <c r="AD179" s="4" t="s">
        <v>915</v>
      </c>
      <c r="AE179" s="4" t="s">
        <v>916</v>
      </c>
      <c r="AF179" s="4" t="s">
        <v>917</v>
      </c>
    </row>
    <row r="180" spans="1:35" ht="54" x14ac:dyDescent="0.35">
      <c r="A180" s="10" t="s">
        <v>920</v>
      </c>
      <c r="B180" s="10" t="s">
        <v>848</v>
      </c>
      <c r="C180" s="14" t="s">
        <v>849</v>
      </c>
      <c r="D180" s="15"/>
      <c r="E180" s="15" t="s">
        <v>921</v>
      </c>
      <c r="F180" s="15" t="s">
        <v>56</v>
      </c>
      <c r="G180" s="16">
        <v>1</v>
      </c>
      <c r="H180" s="16"/>
      <c r="I180" s="16">
        <v>0</v>
      </c>
      <c r="J180" s="17">
        <f>IFERROR(ROUND(SUM(M181,M182,M183,M184)/I180, 2),0)</f>
        <v>0</v>
      </c>
      <c r="K180" s="18">
        <v>329</v>
      </c>
      <c r="L180" s="17">
        <f>J180+ROUND(K180, 2)</f>
        <v>329</v>
      </c>
      <c r="M180" s="17">
        <f>ROUND(J180*I180, 2)</f>
        <v>0</v>
      </c>
      <c r="N180" s="17">
        <f>ROUND(I180*ROUND(K180, 2), 2)</f>
        <v>0</v>
      </c>
      <c r="O180" s="17">
        <f>M180+N180</f>
        <v>0</v>
      </c>
      <c r="P180" s="17">
        <f>IFERROR(ROUND(SUM(S181,S182,S183,S184)/I180, 2),0)</f>
        <v>0</v>
      </c>
      <c r="Q180" s="18">
        <v>329</v>
      </c>
      <c r="R180" s="17">
        <f>P180+ROUND(Q180, 2)</f>
        <v>329</v>
      </c>
      <c r="S180" s="17">
        <f>ROUND(P180*I180, 2)</f>
        <v>0</v>
      </c>
      <c r="T180" s="17">
        <f>ROUND(I180*ROUND(Q180, 2), 2)</f>
        <v>0</v>
      </c>
      <c r="U180" s="17">
        <f>S180+T180</f>
        <v>0</v>
      </c>
      <c r="V180" s="9">
        <f>ROUND(P180 / 1.2, 2)</f>
        <v>0</v>
      </c>
      <c r="W180" s="9">
        <f>ROUND(Q180 / 1.2, 2)</f>
        <v>274.17</v>
      </c>
      <c r="X180" s="9">
        <f>ROUND(R180 / 1.2, 2)</f>
        <v>274.17</v>
      </c>
      <c r="Y180" s="9">
        <f t="shared" si="11"/>
        <v>0</v>
      </c>
      <c r="Z180" s="9">
        <f>ROUND(T180 / 1.2, 2)</f>
        <v>0</v>
      </c>
      <c r="AA180" s="9">
        <f>Y180+Z180</f>
        <v>0</v>
      </c>
      <c r="AD180" s="4">
        <v>303752477</v>
      </c>
      <c r="AE180" s="4">
        <v>16081650</v>
      </c>
      <c r="AG180" s="4" t="s">
        <v>851</v>
      </c>
      <c r="AH180" s="4" t="s">
        <v>852</v>
      </c>
      <c r="AI180" s="4" t="s">
        <v>247</v>
      </c>
    </row>
    <row r="181" spans="1:35" ht="36" x14ac:dyDescent="0.35">
      <c r="A181" s="10" t="s">
        <v>923</v>
      </c>
      <c r="B181" s="10"/>
      <c r="C181" s="24" t="s">
        <v>493</v>
      </c>
      <c r="D181" s="15"/>
      <c r="E181" s="15"/>
      <c r="F181" s="25" t="s">
        <v>81</v>
      </c>
      <c r="G181" s="26">
        <v>0.15</v>
      </c>
      <c r="H181" s="26"/>
      <c r="I181" s="26">
        <v>0</v>
      </c>
      <c r="J181" s="28">
        <v>88.8</v>
      </c>
      <c r="M181" s="29">
        <f>ROUND(ROUND(J181, 2)*I181, 2)</f>
        <v>0</v>
      </c>
      <c r="P181" s="28">
        <v>88.8</v>
      </c>
      <c r="S181" s="29">
        <f>ROUND(ROUND(P181, 2)*I181, 2)</f>
        <v>0</v>
      </c>
      <c r="V181" s="9">
        <f>ROUND(ROUND(P181, 2)/1.2, 2)</f>
        <v>74</v>
      </c>
      <c r="Y181" s="9">
        <f t="shared" si="11"/>
        <v>0</v>
      </c>
      <c r="AD181" s="4" t="s">
        <v>924</v>
      </c>
      <c r="AE181" s="4" t="s">
        <v>925</v>
      </c>
      <c r="AF181" s="4" t="s">
        <v>496</v>
      </c>
    </row>
    <row r="182" spans="1:35" ht="18" x14ac:dyDescent="0.35">
      <c r="A182" s="10" t="s">
        <v>928</v>
      </c>
      <c r="B182" s="10"/>
      <c r="C182" s="24" t="s">
        <v>902</v>
      </c>
      <c r="D182" s="15"/>
      <c r="E182" s="15"/>
      <c r="F182" s="25" t="s">
        <v>129</v>
      </c>
      <c r="G182" s="26">
        <v>1</v>
      </c>
      <c r="H182" s="27"/>
      <c r="I182" s="27">
        <v>0</v>
      </c>
      <c r="J182" s="28">
        <v>7</v>
      </c>
      <c r="M182" s="29">
        <f>ROUND(ROUND(J182, 2)*I182, 2)</f>
        <v>0</v>
      </c>
      <c r="P182" s="28">
        <v>7</v>
      </c>
      <c r="S182" s="29">
        <f>ROUND(ROUND(P182, 2)*I182, 2)</f>
        <v>0</v>
      </c>
      <c r="V182" s="9">
        <f>ROUND(ROUND(P182, 2)/1.2, 2)</f>
        <v>5.83</v>
      </c>
      <c r="Y182" s="9">
        <f t="shared" si="11"/>
        <v>0</v>
      </c>
      <c r="AD182" s="4" t="s">
        <v>929</v>
      </c>
      <c r="AE182" s="4" t="s">
        <v>930</v>
      </c>
      <c r="AF182" s="4" t="s">
        <v>905</v>
      </c>
    </row>
    <row r="183" spans="1:35" ht="18" x14ac:dyDescent="0.35">
      <c r="A183" s="10" t="s">
        <v>933</v>
      </c>
      <c r="B183" s="10"/>
      <c r="C183" s="24" t="s">
        <v>860</v>
      </c>
      <c r="D183" s="15"/>
      <c r="E183" s="15"/>
      <c r="F183" s="25" t="s">
        <v>103</v>
      </c>
      <c r="G183" s="26">
        <v>0.3</v>
      </c>
      <c r="H183" s="27"/>
      <c r="I183" s="27">
        <v>0</v>
      </c>
      <c r="J183" s="28">
        <v>37.049999999999997</v>
      </c>
      <c r="M183" s="29">
        <f>ROUND(ROUND(J183, 2)*I183, 2)</f>
        <v>0</v>
      </c>
      <c r="P183" s="28">
        <v>37.049999999999997</v>
      </c>
      <c r="S183" s="29">
        <f>ROUND(ROUND(P183, 2)*I183, 2)</f>
        <v>0</v>
      </c>
      <c r="V183" s="9">
        <f>ROUND(ROUND(P183, 2)/1.2, 2)</f>
        <v>30.88</v>
      </c>
      <c r="Y183" s="9">
        <f t="shared" si="11"/>
        <v>0</v>
      </c>
      <c r="AD183" s="4" t="s">
        <v>934</v>
      </c>
      <c r="AE183" s="4" t="s">
        <v>935</v>
      </c>
      <c r="AF183" s="4" t="s">
        <v>863</v>
      </c>
    </row>
    <row r="184" spans="1:35" ht="36" x14ac:dyDescent="0.35">
      <c r="A184" s="10" t="s">
        <v>938</v>
      </c>
      <c r="B184" s="10"/>
      <c r="C184" s="24" t="s">
        <v>875</v>
      </c>
      <c r="D184" s="15"/>
      <c r="E184" s="15"/>
      <c r="F184" s="25" t="s">
        <v>81</v>
      </c>
      <c r="G184" s="26">
        <v>1</v>
      </c>
      <c r="H184" s="26"/>
      <c r="I184" s="26">
        <v>0</v>
      </c>
      <c r="J184" s="28">
        <v>60</v>
      </c>
      <c r="M184" s="29">
        <f>ROUND(ROUND(J184, 2)*I184, 2)</f>
        <v>0</v>
      </c>
      <c r="P184" s="28">
        <v>12.58</v>
      </c>
      <c r="S184" s="29">
        <f>ROUND(ROUND(P184, 2)*I184, 2)</f>
        <v>0</v>
      </c>
      <c r="V184" s="9">
        <f>ROUND(ROUND(P184, 2)/1.2, 2)</f>
        <v>10.48</v>
      </c>
      <c r="Y184" s="9">
        <f t="shared" si="11"/>
        <v>0</v>
      </c>
      <c r="AD184" s="4" t="s">
        <v>939</v>
      </c>
      <c r="AE184" s="4" t="s">
        <v>940</v>
      </c>
      <c r="AF184" s="4" t="s">
        <v>878</v>
      </c>
    </row>
    <row r="185" spans="1:35" ht="54" x14ac:dyDescent="0.35">
      <c r="A185" s="10" t="s">
        <v>943</v>
      </c>
      <c r="B185" s="10" t="s">
        <v>848</v>
      </c>
      <c r="C185" s="14" t="s">
        <v>849</v>
      </c>
      <c r="D185" s="15"/>
      <c r="E185" s="15" t="s">
        <v>921</v>
      </c>
      <c r="F185" s="15" t="s">
        <v>56</v>
      </c>
      <c r="G185" s="16">
        <v>1</v>
      </c>
      <c r="H185" s="16"/>
      <c r="I185" s="16">
        <v>0</v>
      </c>
      <c r="J185" s="17">
        <f>IFERROR(ROUND(SUM(M186,M187,M188)/I185, 2),0)</f>
        <v>0</v>
      </c>
      <c r="K185" s="18">
        <v>329</v>
      </c>
      <c r="L185" s="17">
        <f>J185+ROUND(K185, 2)</f>
        <v>329</v>
      </c>
      <c r="M185" s="17">
        <f>ROUND(J185*I185, 2)</f>
        <v>0</v>
      </c>
      <c r="N185" s="17">
        <f>ROUND(I185*ROUND(K185, 2), 2)</f>
        <v>0</v>
      </c>
      <c r="O185" s="17">
        <f>M185+N185</f>
        <v>0</v>
      </c>
      <c r="P185" s="17">
        <f>IFERROR(ROUND(SUM(S186,S187,S188)/I185, 2),0)</f>
        <v>0</v>
      </c>
      <c r="Q185" s="18">
        <v>329</v>
      </c>
      <c r="R185" s="17">
        <f>P185+ROUND(Q185, 2)</f>
        <v>329</v>
      </c>
      <c r="S185" s="17">
        <f>ROUND(P185*I185, 2)</f>
        <v>0</v>
      </c>
      <c r="T185" s="17">
        <f>ROUND(I185*ROUND(Q185, 2), 2)</f>
        <v>0</v>
      </c>
      <c r="U185" s="17">
        <f>S185+T185</f>
        <v>0</v>
      </c>
      <c r="V185" s="9">
        <f>ROUND(P185 / 1.2, 2)</f>
        <v>0</v>
      </c>
      <c r="W185" s="9">
        <f>ROUND(Q185 / 1.2, 2)</f>
        <v>274.17</v>
      </c>
      <c r="X185" s="9">
        <f>ROUND(R185 / 1.2, 2)</f>
        <v>274.17</v>
      </c>
      <c r="Y185" s="9">
        <f t="shared" si="11"/>
        <v>0</v>
      </c>
      <c r="Z185" s="9">
        <f>ROUND(T185 / 1.2, 2)</f>
        <v>0</v>
      </c>
      <c r="AA185" s="9">
        <f>Y185+Z185</f>
        <v>0</v>
      </c>
      <c r="AD185" s="4">
        <v>303752478</v>
      </c>
      <c r="AE185" s="4">
        <v>16081685</v>
      </c>
      <c r="AG185" s="4" t="s">
        <v>851</v>
      </c>
      <c r="AH185" s="4" t="s">
        <v>852</v>
      </c>
      <c r="AI185" s="4" t="s">
        <v>247</v>
      </c>
    </row>
    <row r="186" spans="1:35" ht="36" x14ac:dyDescent="0.35">
      <c r="A186" s="10" t="s">
        <v>945</v>
      </c>
      <c r="B186" s="10"/>
      <c r="C186" s="24" t="s">
        <v>493</v>
      </c>
      <c r="D186" s="15"/>
      <c r="E186" s="15"/>
      <c r="F186" s="25" t="s">
        <v>81</v>
      </c>
      <c r="G186" s="26">
        <v>0.15</v>
      </c>
      <c r="H186" s="26"/>
      <c r="I186" s="26">
        <v>0</v>
      </c>
      <c r="J186" s="28">
        <v>88.8</v>
      </c>
      <c r="M186" s="29">
        <f>ROUND(ROUND(J186, 2)*I186, 2)</f>
        <v>0</v>
      </c>
      <c r="P186" s="28">
        <v>88.8</v>
      </c>
      <c r="S186" s="29">
        <f>ROUND(ROUND(P186, 2)*I186, 2)</f>
        <v>0</v>
      </c>
      <c r="V186" s="9">
        <f>ROUND(ROUND(P186, 2)/1.2, 2)</f>
        <v>74</v>
      </c>
      <c r="Y186" s="9">
        <f t="shared" si="11"/>
        <v>0</v>
      </c>
      <c r="AD186" s="4" t="s">
        <v>946</v>
      </c>
      <c r="AE186" s="4" t="s">
        <v>947</v>
      </c>
      <c r="AF186" s="4" t="s">
        <v>496</v>
      </c>
    </row>
    <row r="187" spans="1:35" ht="18" x14ac:dyDescent="0.35">
      <c r="A187" s="10" t="s">
        <v>950</v>
      </c>
      <c r="B187" s="10"/>
      <c r="C187" s="24" t="s">
        <v>860</v>
      </c>
      <c r="D187" s="15"/>
      <c r="E187" s="15"/>
      <c r="F187" s="25" t="s">
        <v>103</v>
      </c>
      <c r="G187" s="26">
        <v>0.3</v>
      </c>
      <c r="H187" s="27"/>
      <c r="I187" s="27">
        <v>0</v>
      </c>
      <c r="J187" s="28">
        <v>37.049999999999997</v>
      </c>
      <c r="M187" s="29">
        <f>ROUND(ROUND(J187, 2)*I187, 2)</f>
        <v>0</v>
      </c>
      <c r="P187" s="28">
        <v>37.049999999999997</v>
      </c>
      <c r="S187" s="29">
        <f>ROUND(ROUND(P187, 2)*I187, 2)</f>
        <v>0</v>
      </c>
      <c r="V187" s="9">
        <f>ROUND(ROUND(P187, 2)/1.2, 2)</f>
        <v>30.88</v>
      </c>
      <c r="Y187" s="9">
        <f t="shared" si="11"/>
        <v>0</v>
      </c>
      <c r="AD187" s="4" t="s">
        <v>951</v>
      </c>
      <c r="AE187" s="4" t="s">
        <v>952</v>
      </c>
      <c r="AF187" s="4" t="s">
        <v>863</v>
      </c>
    </row>
    <row r="188" spans="1:35" ht="36" x14ac:dyDescent="0.35">
      <c r="A188" s="10" t="s">
        <v>955</v>
      </c>
      <c r="B188" s="10"/>
      <c r="C188" s="24" t="s">
        <v>887</v>
      </c>
      <c r="D188" s="15"/>
      <c r="E188" s="15"/>
      <c r="F188" s="25" t="s">
        <v>81</v>
      </c>
      <c r="G188" s="26">
        <v>1.8</v>
      </c>
      <c r="H188" s="26"/>
      <c r="I188" s="26">
        <v>0</v>
      </c>
      <c r="J188" s="28">
        <v>23</v>
      </c>
      <c r="M188" s="29">
        <f>ROUND(ROUND(J188, 2)*I188, 2)</f>
        <v>0</v>
      </c>
      <c r="P188" s="28">
        <v>12.58</v>
      </c>
      <c r="S188" s="29">
        <f>ROUND(ROUND(P188, 2)*I188, 2)</f>
        <v>0</v>
      </c>
      <c r="V188" s="9">
        <f>ROUND(ROUND(P188, 2)/1.2, 2)</f>
        <v>10.48</v>
      </c>
      <c r="Y188" s="9">
        <f t="shared" si="11"/>
        <v>0</v>
      </c>
      <c r="AD188" s="4" t="s">
        <v>956</v>
      </c>
      <c r="AE188" s="4" t="s">
        <v>957</v>
      </c>
      <c r="AF188" s="4" t="s">
        <v>890</v>
      </c>
    </row>
    <row r="189" spans="1:35" ht="54" x14ac:dyDescent="0.35">
      <c r="A189" s="10" t="s">
        <v>960</v>
      </c>
      <c r="B189" s="10" t="s">
        <v>848</v>
      </c>
      <c r="C189" s="14" t="s">
        <v>849</v>
      </c>
      <c r="D189" s="15"/>
      <c r="E189" s="15" t="s">
        <v>370</v>
      </c>
      <c r="F189" s="15" t="s">
        <v>56</v>
      </c>
      <c r="G189" s="16">
        <v>1</v>
      </c>
      <c r="H189" s="16"/>
      <c r="I189" s="16">
        <v>0</v>
      </c>
      <c r="J189" s="17">
        <f>IFERROR(ROUND(SUM(M190,M191,M192,M193)/I189, 2),0)</f>
        <v>0</v>
      </c>
      <c r="K189" s="18">
        <v>329</v>
      </c>
      <c r="L189" s="17">
        <f>J189+ROUND(K189, 2)</f>
        <v>329</v>
      </c>
      <c r="M189" s="17">
        <f>ROUND(J189*I189, 2)</f>
        <v>0</v>
      </c>
      <c r="N189" s="17">
        <f>ROUND(I189*ROUND(K189, 2), 2)</f>
        <v>0</v>
      </c>
      <c r="O189" s="17">
        <f>M189+N189</f>
        <v>0</v>
      </c>
      <c r="P189" s="17">
        <f>IFERROR(ROUND(SUM(S190,S191,S192,S193)/I189, 2),0)</f>
        <v>0</v>
      </c>
      <c r="Q189" s="18">
        <v>329</v>
      </c>
      <c r="R189" s="17">
        <f>P189+ROUND(Q189, 2)</f>
        <v>329</v>
      </c>
      <c r="S189" s="17">
        <f>ROUND(P189*I189, 2)</f>
        <v>0</v>
      </c>
      <c r="T189" s="17">
        <f>ROUND(I189*ROUND(Q189, 2), 2)</f>
        <v>0</v>
      </c>
      <c r="U189" s="17">
        <f>S189+T189</f>
        <v>0</v>
      </c>
      <c r="V189" s="9">
        <f>ROUND(P189 / 1.2, 2)</f>
        <v>0</v>
      </c>
      <c r="W189" s="9">
        <f>ROUND(Q189 / 1.2, 2)</f>
        <v>274.17</v>
      </c>
      <c r="X189" s="9">
        <f>ROUND(R189 / 1.2, 2)</f>
        <v>274.17</v>
      </c>
      <c r="Y189" s="9">
        <f t="shared" si="11"/>
        <v>0</v>
      </c>
      <c r="Z189" s="9">
        <f>ROUND(T189 / 1.2, 2)</f>
        <v>0</v>
      </c>
      <c r="AA189" s="9">
        <f>Y189+Z189</f>
        <v>0</v>
      </c>
      <c r="AD189" s="4">
        <v>303752479</v>
      </c>
      <c r="AE189" s="4">
        <v>16086874</v>
      </c>
      <c r="AG189" s="4" t="s">
        <v>851</v>
      </c>
      <c r="AH189" s="4" t="s">
        <v>852</v>
      </c>
      <c r="AI189" s="4" t="s">
        <v>247</v>
      </c>
    </row>
    <row r="190" spans="1:35" ht="36" x14ac:dyDescent="0.35">
      <c r="A190" s="10" t="s">
        <v>962</v>
      </c>
      <c r="B190" s="10"/>
      <c r="C190" s="24" t="s">
        <v>493</v>
      </c>
      <c r="D190" s="15"/>
      <c r="E190" s="15"/>
      <c r="F190" s="25" t="s">
        <v>81</v>
      </c>
      <c r="G190" s="26">
        <v>0.15</v>
      </c>
      <c r="H190" s="26"/>
      <c r="I190" s="26">
        <v>0</v>
      </c>
      <c r="J190" s="28">
        <v>88.8</v>
      </c>
      <c r="M190" s="29">
        <f>ROUND(ROUND(J190, 2)*I190, 2)</f>
        <v>0</v>
      </c>
      <c r="P190" s="28">
        <v>88.8</v>
      </c>
      <c r="S190" s="29">
        <f>ROUND(ROUND(P190, 2)*I190, 2)</f>
        <v>0</v>
      </c>
      <c r="V190" s="9">
        <f>ROUND(ROUND(P190, 2)/1.2, 2)</f>
        <v>74</v>
      </c>
      <c r="Y190" s="9">
        <f t="shared" si="11"/>
        <v>0</v>
      </c>
      <c r="AD190" s="4" t="s">
        <v>963</v>
      </c>
      <c r="AE190" s="4" t="s">
        <v>964</v>
      </c>
      <c r="AF190" s="4" t="s">
        <v>496</v>
      </c>
    </row>
    <row r="191" spans="1:35" ht="18" x14ac:dyDescent="0.35">
      <c r="A191" s="10" t="s">
        <v>967</v>
      </c>
      <c r="B191" s="10"/>
      <c r="C191" s="24" t="s">
        <v>902</v>
      </c>
      <c r="D191" s="15"/>
      <c r="E191" s="15"/>
      <c r="F191" s="25" t="s">
        <v>129</v>
      </c>
      <c r="G191" s="26">
        <v>1</v>
      </c>
      <c r="H191" s="27"/>
      <c r="I191" s="27">
        <v>0</v>
      </c>
      <c r="J191" s="28">
        <v>7</v>
      </c>
      <c r="M191" s="29">
        <f>ROUND(ROUND(J191, 2)*I191, 2)</f>
        <v>0</v>
      </c>
      <c r="P191" s="28">
        <v>7</v>
      </c>
      <c r="S191" s="29">
        <f>ROUND(ROUND(P191, 2)*I191, 2)</f>
        <v>0</v>
      </c>
      <c r="V191" s="9">
        <f>ROUND(ROUND(P191, 2)/1.2, 2)</f>
        <v>5.83</v>
      </c>
      <c r="Y191" s="9">
        <f t="shared" si="11"/>
        <v>0</v>
      </c>
      <c r="AD191" s="4" t="s">
        <v>968</v>
      </c>
      <c r="AE191" s="4" t="s">
        <v>969</v>
      </c>
      <c r="AF191" s="4" t="s">
        <v>905</v>
      </c>
    </row>
    <row r="192" spans="1:35" ht="18" x14ac:dyDescent="0.35">
      <c r="A192" s="10" t="s">
        <v>972</v>
      </c>
      <c r="B192" s="10"/>
      <c r="C192" s="24" t="s">
        <v>860</v>
      </c>
      <c r="D192" s="15"/>
      <c r="E192" s="15"/>
      <c r="F192" s="25" t="s">
        <v>103</v>
      </c>
      <c r="G192" s="26">
        <v>0.3</v>
      </c>
      <c r="H192" s="27"/>
      <c r="I192" s="27">
        <v>0</v>
      </c>
      <c r="J192" s="28">
        <v>37.049999999999997</v>
      </c>
      <c r="M192" s="29">
        <f>ROUND(ROUND(J192, 2)*I192, 2)</f>
        <v>0</v>
      </c>
      <c r="P192" s="28">
        <v>37.049999999999997</v>
      </c>
      <c r="S192" s="29">
        <f>ROUND(ROUND(P192, 2)*I192, 2)</f>
        <v>0</v>
      </c>
      <c r="V192" s="9">
        <f>ROUND(ROUND(P192, 2)/1.2, 2)</f>
        <v>30.88</v>
      </c>
      <c r="Y192" s="9">
        <f t="shared" si="11"/>
        <v>0</v>
      </c>
      <c r="AD192" s="4" t="s">
        <v>973</v>
      </c>
      <c r="AE192" s="4" t="s">
        <v>974</v>
      </c>
      <c r="AF192" s="4" t="s">
        <v>863</v>
      </c>
    </row>
    <row r="193" spans="1:35" ht="18" x14ac:dyDescent="0.35">
      <c r="A193" s="10" t="s">
        <v>977</v>
      </c>
      <c r="B193" s="10"/>
      <c r="C193" s="24" t="s">
        <v>854</v>
      </c>
      <c r="D193" s="15"/>
      <c r="E193" s="15"/>
      <c r="F193" s="25" t="s">
        <v>81</v>
      </c>
      <c r="G193" s="26">
        <v>2</v>
      </c>
      <c r="H193" s="26"/>
      <c r="I193" s="26">
        <v>0</v>
      </c>
      <c r="J193" s="28">
        <v>23</v>
      </c>
      <c r="M193" s="29">
        <f>ROUND(ROUND(J193, 2)*I193, 2)</f>
        <v>0</v>
      </c>
      <c r="P193" s="28">
        <v>23</v>
      </c>
      <c r="S193" s="29">
        <f>ROUND(ROUND(P193, 2)*I193, 2)</f>
        <v>0</v>
      </c>
      <c r="V193" s="9">
        <f>ROUND(ROUND(P193, 2)/1.2, 2)</f>
        <v>19.170000000000002</v>
      </c>
      <c r="Y193" s="9">
        <f t="shared" si="11"/>
        <v>0</v>
      </c>
      <c r="AD193" s="4" t="s">
        <v>978</v>
      </c>
      <c r="AE193" s="4" t="s">
        <v>979</v>
      </c>
      <c r="AF193" s="4" t="s">
        <v>858</v>
      </c>
    </row>
    <row r="194" spans="1:35" ht="54" x14ac:dyDescent="0.35">
      <c r="A194" s="10" t="s">
        <v>982</v>
      </c>
      <c r="B194" s="10" t="s">
        <v>848</v>
      </c>
      <c r="C194" s="14" t="s">
        <v>849</v>
      </c>
      <c r="D194" s="15"/>
      <c r="E194" s="15" t="s">
        <v>370</v>
      </c>
      <c r="F194" s="15" t="s">
        <v>56</v>
      </c>
      <c r="G194" s="16">
        <v>1</v>
      </c>
      <c r="H194" s="16"/>
      <c r="I194" s="16">
        <v>0</v>
      </c>
      <c r="J194" s="17">
        <f>IFERROR(ROUND(SUM(M195,M196,M197,M198)/I194, 2),0)</f>
        <v>0</v>
      </c>
      <c r="K194" s="18">
        <v>329</v>
      </c>
      <c r="L194" s="17">
        <f>J194+ROUND(K194, 2)</f>
        <v>329</v>
      </c>
      <c r="M194" s="17">
        <f>ROUND(J194*I194, 2)</f>
        <v>0</v>
      </c>
      <c r="N194" s="17">
        <f>ROUND(I194*ROUND(K194, 2), 2)</f>
        <v>0</v>
      </c>
      <c r="O194" s="17">
        <f>M194+N194</f>
        <v>0</v>
      </c>
      <c r="P194" s="17">
        <f>IFERROR(ROUND(SUM(S195,S196,S197,S198)/I194, 2),0)</f>
        <v>0</v>
      </c>
      <c r="Q194" s="18">
        <v>329</v>
      </c>
      <c r="R194" s="17">
        <f>P194+ROUND(Q194, 2)</f>
        <v>329</v>
      </c>
      <c r="S194" s="17">
        <f>ROUND(P194*I194, 2)</f>
        <v>0</v>
      </c>
      <c r="T194" s="17">
        <f>ROUND(I194*ROUND(Q194, 2), 2)</f>
        <v>0</v>
      </c>
      <c r="U194" s="17">
        <f>S194+T194</f>
        <v>0</v>
      </c>
      <c r="V194" s="9">
        <f>ROUND(P194 / 1.2, 2)</f>
        <v>0</v>
      </c>
      <c r="W194" s="9">
        <f>ROUND(Q194 / 1.2, 2)</f>
        <v>274.17</v>
      </c>
      <c r="X194" s="9">
        <f>ROUND(R194 / 1.2, 2)</f>
        <v>274.17</v>
      </c>
      <c r="Y194" s="9">
        <f t="shared" si="11"/>
        <v>0</v>
      </c>
      <c r="Z194" s="9">
        <f>ROUND(T194 / 1.2, 2)</f>
        <v>0</v>
      </c>
      <c r="AA194" s="9">
        <f>Y194+Z194</f>
        <v>0</v>
      </c>
      <c r="AD194" s="4">
        <v>303752480</v>
      </c>
      <c r="AE194" s="4">
        <v>16086875</v>
      </c>
      <c r="AG194" s="4" t="s">
        <v>851</v>
      </c>
      <c r="AH194" s="4" t="s">
        <v>852</v>
      </c>
      <c r="AI194" s="4" t="s">
        <v>247</v>
      </c>
    </row>
    <row r="195" spans="1:35" ht="36" x14ac:dyDescent="0.35">
      <c r="A195" s="10" t="s">
        <v>984</v>
      </c>
      <c r="B195" s="10"/>
      <c r="C195" s="24" t="s">
        <v>493</v>
      </c>
      <c r="D195" s="15"/>
      <c r="E195" s="15"/>
      <c r="F195" s="25" t="s">
        <v>81</v>
      </c>
      <c r="G195" s="26">
        <v>0.15</v>
      </c>
      <c r="H195" s="26"/>
      <c r="I195" s="26">
        <v>0</v>
      </c>
      <c r="J195" s="28">
        <v>88.8</v>
      </c>
      <c r="M195" s="29">
        <f>ROUND(ROUND(J195, 2)*I195, 2)</f>
        <v>0</v>
      </c>
      <c r="P195" s="28">
        <v>88.8</v>
      </c>
      <c r="S195" s="29">
        <f>ROUND(ROUND(P195, 2)*I195, 2)</f>
        <v>0</v>
      </c>
      <c r="V195" s="9">
        <f>ROUND(ROUND(P195, 2)/1.2, 2)</f>
        <v>74</v>
      </c>
      <c r="Y195" s="9">
        <f t="shared" si="11"/>
        <v>0</v>
      </c>
      <c r="AD195" s="4" t="s">
        <v>985</v>
      </c>
      <c r="AE195" s="4" t="s">
        <v>986</v>
      </c>
      <c r="AF195" s="4" t="s">
        <v>496</v>
      </c>
    </row>
    <row r="196" spans="1:35" ht="18" x14ac:dyDescent="0.35">
      <c r="A196" s="10" t="s">
        <v>989</v>
      </c>
      <c r="B196" s="10"/>
      <c r="C196" s="24" t="s">
        <v>902</v>
      </c>
      <c r="D196" s="15"/>
      <c r="E196" s="15"/>
      <c r="F196" s="25" t="s">
        <v>129</v>
      </c>
      <c r="G196" s="26">
        <v>1</v>
      </c>
      <c r="H196" s="27"/>
      <c r="I196" s="27">
        <v>0</v>
      </c>
      <c r="J196" s="28">
        <v>7</v>
      </c>
      <c r="M196" s="29">
        <f>ROUND(ROUND(J196, 2)*I196, 2)</f>
        <v>0</v>
      </c>
      <c r="P196" s="28">
        <v>7</v>
      </c>
      <c r="S196" s="29">
        <f>ROUND(ROUND(P196, 2)*I196, 2)</f>
        <v>0</v>
      </c>
      <c r="V196" s="9">
        <f>ROUND(ROUND(P196, 2)/1.2, 2)</f>
        <v>5.83</v>
      </c>
      <c r="Y196" s="9">
        <f t="shared" ref="Y196:Y227" si="12">ROUND(S196 / 1.2, 2)</f>
        <v>0</v>
      </c>
      <c r="AD196" s="4" t="s">
        <v>990</v>
      </c>
      <c r="AE196" s="4" t="s">
        <v>991</v>
      </c>
      <c r="AF196" s="4" t="s">
        <v>905</v>
      </c>
    </row>
    <row r="197" spans="1:35" ht="18" x14ac:dyDescent="0.35">
      <c r="A197" s="10" t="s">
        <v>994</v>
      </c>
      <c r="B197" s="10"/>
      <c r="C197" s="24" t="s">
        <v>860</v>
      </c>
      <c r="D197" s="15"/>
      <c r="E197" s="15"/>
      <c r="F197" s="25" t="s">
        <v>103</v>
      </c>
      <c r="G197" s="26">
        <v>0.3</v>
      </c>
      <c r="H197" s="27"/>
      <c r="I197" s="27">
        <v>0</v>
      </c>
      <c r="J197" s="28">
        <v>37.049999999999997</v>
      </c>
      <c r="M197" s="29">
        <f>ROUND(ROUND(J197, 2)*I197, 2)</f>
        <v>0</v>
      </c>
      <c r="P197" s="28">
        <v>37.049999999999997</v>
      </c>
      <c r="S197" s="29">
        <f>ROUND(ROUND(P197, 2)*I197, 2)</f>
        <v>0</v>
      </c>
      <c r="V197" s="9">
        <f>ROUND(ROUND(P197, 2)/1.2, 2)</f>
        <v>30.88</v>
      </c>
      <c r="Y197" s="9">
        <f t="shared" si="12"/>
        <v>0</v>
      </c>
      <c r="AD197" s="4" t="s">
        <v>995</v>
      </c>
      <c r="AE197" s="4" t="s">
        <v>996</v>
      </c>
      <c r="AF197" s="4" t="s">
        <v>863</v>
      </c>
    </row>
    <row r="198" spans="1:35" ht="36" x14ac:dyDescent="0.35">
      <c r="A198" s="10" t="s">
        <v>999</v>
      </c>
      <c r="B198" s="10"/>
      <c r="C198" s="24" t="s">
        <v>875</v>
      </c>
      <c r="D198" s="15"/>
      <c r="E198" s="15"/>
      <c r="F198" s="25" t="s">
        <v>81</v>
      </c>
      <c r="G198" s="26">
        <v>1</v>
      </c>
      <c r="H198" s="26"/>
      <c r="I198" s="26">
        <v>0</v>
      </c>
      <c r="J198" s="28">
        <v>60</v>
      </c>
      <c r="M198" s="29">
        <f>ROUND(ROUND(J198, 2)*I198, 2)</f>
        <v>0</v>
      </c>
      <c r="P198" s="28">
        <v>12.58</v>
      </c>
      <c r="S198" s="29">
        <f>ROUND(ROUND(P198, 2)*I198, 2)</f>
        <v>0</v>
      </c>
      <c r="V198" s="9">
        <f>ROUND(ROUND(P198, 2)/1.2, 2)</f>
        <v>10.48</v>
      </c>
      <c r="Y198" s="9">
        <f t="shared" si="12"/>
        <v>0</v>
      </c>
      <c r="AD198" s="4" t="s">
        <v>1000</v>
      </c>
      <c r="AE198" s="4" t="s">
        <v>1001</v>
      </c>
      <c r="AF198" s="4" t="s">
        <v>878</v>
      </c>
    </row>
    <row r="199" spans="1:35" ht="54" x14ac:dyDescent="0.35">
      <c r="A199" s="10" t="s">
        <v>1004</v>
      </c>
      <c r="B199" s="10" t="s">
        <v>848</v>
      </c>
      <c r="C199" s="14" t="s">
        <v>849</v>
      </c>
      <c r="D199" s="15"/>
      <c r="E199" s="15" t="s">
        <v>370</v>
      </c>
      <c r="F199" s="15" t="s">
        <v>56</v>
      </c>
      <c r="G199" s="16">
        <v>1</v>
      </c>
      <c r="H199" s="16"/>
      <c r="I199" s="16">
        <v>0</v>
      </c>
      <c r="J199" s="17">
        <f>IFERROR(ROUND(SUM(M200,M201,M202,M203)/I199, 2),0)</f>
        <v>0</v>
      </c>
      <c r="K199" s="18">
        <v>329</v>
      </c>
      <c r="L199" s="17">
        <f>J199+ROUND(K199, 2)</f>
        <v>329</v>
      </c>
      <c r="M199" s="17">
        <f>ROUND(J199*I199, 2)</f>
        <v>0</v>
      </c>
      <c r="N199" s="17">
        <f>ROUND(I199*ROUND(K199, 2), 2)</f>
        <v>0</v>
      </c>
      <c r="O199" s="17">
        <f>M199+N199</f>
        <v>0</v>
      </c>
      <c r="P199" s="17">
        <f>IFERROR(ROUND(SUM(S200,S201,S202,S203)/I199, 2),0)</f>
        <v>0</v>
      </c>
      <c r="Q199" s="18">
        <v>329</v>
      </c>
      <c r="R199" s="17">
        <f>P199+ROUND(Q199, 2)</f>
        <v>329</v>
      </c>
      <c r="S199" s="17">
        <f>ROUND(P199*I199, 2)</f>
        <v>0</v>
      </c>
      <c r="T199" s="17">
        <f>ROUND(I199*ROUND(Q199, 2), 2)</f>
        <v>0</v>
      </c>
      <c r="U199" s="17">
        <f>S199+T199</f>
        <v>0</v>
      </c>
      <c r="V199" s="9">
        <f>ROUND(P199 / 1.2, 2)</f>
        <v>0</v>
      </c>
      <c r="W199" s="9">
        <f>ROUND(Q199 / 1.2, 2)</f>
        <v>274.17</v>
      </c>
      <c r="X199" s="9">
        <f>ROUND(R199 / 1.2, 2)</f>
        <v>274.17</v>
      </c>
      <c r="Y199" s="9">
        <f t="shared" si="12"/>
        <v>0</v>
      </c>
      <c r="Z199" s="9">
        <f>ROUND(T199 / 1.2, 2)</f>
        <v>0</v>
      </c>
      <c r="AA199" s="9">
        <f>Y199+Z199</f>
        <v>0</v>
      </c>
      <c r="AD199" s="4">
        <v>303752481</v>
      </c>
      <c r="AE199" s="4">
        <v>16087151</v>
      </c>
      <c r="AG199" s="4" t="s">
        <v>851</v>
      </c>
      <c r="AH199" s="4" t="s">
        <v>852</v>
      </c>
      <c r="AI199" s="4" t="s">
        <v>247</v>
      </c>
    </row>
    <row r="200" spans="1:35" ht="36" x14ac:dyDescent="0.35">
      <c r="A200" s="10" t="s">
        <v>1006</v>
      </c>
      <c r="B200" s="10"/>
      <c r="C200" s="24" t="s">
        <v>493</v>
      </c>
      <c r="D200" s="15"/>
      <c r="E200" s="15"/>
      <c r="F200" s="25" t="s">
        <v>81</v>
      </c>
      <c r="G200" s="26">
        <v>0.15</v>
      </c>
      <c r="H200" s="26"/>
      <c r="I200" s="26">
        <v>0</v>
      </c>
      <c r="J200" s="28">
        <v>88.8</v>
      </c>
      <c r="M200" s="29">
        <f>ROUND(ROUND(J200, 2)*I200, 2)</f>
        <v>0</v>
      </c>
      <c r="P200" s="28">
        <v>88.8</v>
      </c>
      <c r="S200" s="29">
        <f>ROUND(ROUND(P200, 2)*I200, 2)</f>
        <v>0</v>
      </c>
      <c r="V200" s="9">
        <f>ROUND(ROUND(P200, 2)/1.2, 2)</f>
        <v>74</v>
      </c>
      <c r="Y200" s="9">
        <f t="shared" si="12"/>
        <v>0</v>
      </c>
      <c r="AD200" s="4" t="s">
        <v>1007</v>
      </c>
      <c r="AE200" s="4" t="s">
        <v>1008</v>
      </c>
      <c r="AF200" s="4" t="s">
        <v>496</v>
      </c>
    </row>
    <row r="201" spans="1:35" ht="18" x14ac:dyDescent="0.35">
      <c r="A201" s="10" t="s">
        <v>1011</v>
      </c>
      <c r="B201" s="10"/>
      <c r="C201" s="24" t="s">
        <v>902</v>
      </c>
      <c r="D201" s="15"/>
      <c r="E201" s="15"/>
      <c r="F201" s="25" t="s">
        <v>129</v>
      </c>
      <c r="G201" s="26">
        <v>1</v>
      </c>
      <c r="H201" s="27"/>
      <c r="I201" s="27">
        <v>0</v>
      </c>
      <c r="J201" s="28">
        <v>7</v>
      </c>
      <c r="M201" s="29">
        <f>ROUND(ROUND(J201, 2)*I201, 2)</f>
        <v>0</v>
      </c>
      <c r="P201" s="28">
        <v>7</v>
      </c>
      <c r="S201" s="29">
        <f>ROUND(ROUND(P201, 2)*I201, 2)</f>
        <v>0</v>
      </c>
      <c r="V201" s="9">
        <f>ROUND(ROUND(P201, 2)/1.2, 2)</f>
        <v>5.83</v>
      </c>
      <c r="Y201" s="9">
        <f t="shared" si="12"/>
        <v>0</v>
      </c>
      <c r="AD201" s="4" t="s">
        <v>1012</v>
      </c>
      <c r="AE201" s="4" t="s">
        <v>1013</v>
      </c>
      <c r="AF201" s="4" t="s">
        <v>905</v>
      </c>
    </row>
    <row r="202" spans="1:35" ht="18" x14ac:dyDescent="0.35">
      <c r="A202" s="10" t="s">
        <v>1016</v>
      </c>
      <c r="B202" s="10"/>
      <c r="C202" s="24" t="s">
        <v>860</v>
      </c>
      <c r="D202" s="15"/>
      <c r="E202" s="15"/>
      <c r="F202" s="25" t="s">
        <v>103</v>
      </c>
      <c r="G202" s="26">
        <v>0.3</v>
      </c>
      <c r="H202" s="27"/>
      <c r="I202" s="27">
        <v>0</v>
      </c>
      <c r="J202" s="28">
        <v>37.049999999999997</v>
      </c>
      <c r="M202" s="29">
        <f>ROUND(ROUND(J202, 2)*I202, 2)</f>
        <v>0</v>
      </c>
      <c r="P202" s="28">
        <v>37.049999999999997</v>
      </c>
      <c r="S202" s="29">
        <f>ROUND(ROUND(P202, 2)*I202, 2)</f>
        <v>0</v>
      </c>
      <c r="V202" s="9">
        <f>ROUND(ROUND(P202, 2)/1.2, 2)</f>
        <v>30.88</v>
      </c>
      <c r="Y202" s="9">
        <f t="shared" si="12"/>
        <v>0</v>
      </c>
      <c r="AD202" s="4" t="s">
        <v>1017</v>
      </c>
      <c r="AE202" s="4" t="s">
        <v>1018</v>
      </c>
      <c r="AF202" s="4" t="s">
        <v>863</v>
      </c>
    </row>
    <row r="203" spans="1:35" ht="36" x14ac:dyDescent="0.35">
      <c r="A203" s="10" t="s">
        <v>1021</v>
      </c>
      <c r="B203" s="10"/>
      <c r="C203" s="24" t="s">
        <v>887</v>
      </c>
      <c r="D203" s="15"/>
      <c r="E203" s="15"/>
      <c r="F203" s="25" t="s">
        <v>81</v>
      </c>
      <c r="G203" s="26">
        <v>1.8</v>
      </c>
      <c r="H203" s="26"/>
      <c r="I203" s="26">
        <v>0</v>
      </c>
      <c r="J203" s="28">
        <v>23</v>
      </c>
      <c r="M203" s="29">
        <f>ROUND(ROUND(J203, 2)*I203, 2)</f>
        <v>0</v>
      </c>
      <c r="P203" s="28">
        <v>12.58</v>
      </c>
      <c r="S203" s="29">
        <f>ROUND(ROUND(P203, 2)*I203, 2)</f>
        <v>0</v>
      </c>
      <c r="V203" s="9">
        <f>ROUND(ROUND(P203, 2)/1.2, 2)</f>
        <v>10.48</v>
      </c>
      <c r="Y203" s="9">
        <f t="shared" si="12"/>
        <v>0</v>
      </c>
      <c r="AD203" s="4" t="s">
        <v>1022</v>
      </c>
      <c r="AE203" s="4" t="s">
        <v>1023</v>
      </c>
      <c r="AF203" s="4" t="s">
        <v>890</v>
      </c>
    </row>
    <row r="204" spans="1:35" ht="36" x14ac:dyDescent="0.35">
      <c r="A204" s="10" t="s">
        <v>1026</v>
      </c>
      <c r="B204" s="10" t="s">
        <v>1027</v>
      </c>
      <c r="C204" s="14" t="s">
        <v>1028</v>
      </c>
      <c r="D204" s="15"/>
      <c r="E204" s="15" t="s">
        <v>1029</v>
      </c>
      <c r="F204" s="15" t="s">
        <v>56</v>
      </c>
      <c r="G204" s="16">
        <v>1</v>
      </c>
      <c r="H204" s="16"/>
      <c r="I204" s="16">
        <v>79.16</v>
      </c>
      <c r="J204" s="17">
        <f>IFERROR(ROUND(SUM(M205,M206,M207)/I204, 2),0)</f>
        <v>81.25</v>
      </c>
      <c r="K204" s="18">
        <v>639</v>
      </c>
      <c r="L204" s="17">
        <f>J204+ROUND(K204, 2)</f>
        <v>720.25</v>
      </c>
      <c r="M204" s="17">
        <f>ROUND(J204*I204, 2)</f>
        <v>6431.75</v>
      </c>
      <c r="N204" s="17">
        <f>ROUND(I204*ROUND(K204, 2), 2)</f>
        <v>50583.24</v>
      </c>
      <c r="O204" s="17">
        <f>M204+N204</f>
        <v>57014.99</v>
      </c>
      <c r="P204" s="17">
        <f>IFERROR(ROUND(SUM(S205,S206,S207)/I204, 2),0)</f>
        <v>90.95</v>
      </c>
      <c r="Q204" s="19">
        <v>639</v>
      </c>
      <c r="R204" s="17">
        <f>P204+ROUND(Q204, 2)</f>
        <v>729.95</v>
      </c>
      <c r="S204" s="17">
        <f>ROUND(P204*I204, 2)</f>
        <v>7199.6</v>
      </c>
      <c r="T204" s="17">
        <f>ROUND(I204*ROUND(Q204, 2), 2)</f>
        <v>50583.24</v>
      </c>
      <c r="U204" s="17">
        <f>S204+T204</f>
        <v>57782.84</v>
      </c>
      <c r="V204" s="9">
        <f>ROUND(P204 / 1.2, 2)</f>
        <v>75.790000000000006</v>
      </c>
      <c r="W204" s="9">
        <f>ROUND(Q204 / 1.2, 2)</f>
        <v>532.5</v>
      </c>
      <c r="X204" s="9">
        <f>ROUND(R204 / 1.2, 2)</f>
        <v>608.29</v>
      </c>
      <c r="Y204" s="9">
        <f t="shared" si="12"/>
        <v>5999.67</v>
      </c>
      <c r="Z204" s="9">
        <f>ROUND(T204 / 1.2, 2)</f>
        <v>42152.7</v>
      </c>
      <c r="AA204" s="9">
        <f>Y204+Z204</f>
        <v>48152.369999999995</v>
      </c>
      <c r="AD204" s="4">
        <v>303752421</v>
      </c>
      <c r="AE204" s="4">
        <v>19916865</v>
      </c>
      <c r="AG204" s="4" t="s">
        <v>1030</v>
      </c>
      <c r="AH204" s="4" t="s">
        <v>1031</v>
      </c>
      <c r="AI204" s="4" t="s">
        <v>247</v>
      </c>
    </row>
    <row r="205" spans="1:35" ht="54" x14ac:dyDescent="0.35">
      <c r="A205" s="10" t="s">
        <v>1032</v>
      </c>
      <c r="B205" s="10"/>
      <c r="C205" s="24" t="s">
        <v>854</v>
      </c>
      <c r="D205" s="15"/>
      <c r="E205" s="15" t="s">
        <v>855</v>
      </c>
      <c r="F205" s="25" t="s">
        <v>81</v>
      </c>
      <c r="G205" s="26">
        <v>2</v>
      </c>
      <c r="H205" s="26"/>
      <c r="I205" s="26">
        <v>158.32</v>
      </c>
      <c r="J205" s="28">
        <v>23</v>
      </c>
      <c r="M205" s="29">
        <f>ROUND(ROUND(J205, 2)*I205, 2)</f>
        <v>3641.36</v>
      </c>
      <c r="P205" s="30">
        <v>27.85</v>
      </c>
      <c r="S205" s="29">
        <f>ROUND(ROUND(P205, 2)*I205, 2)</f>
        <v>4409.21</v>
      </c>
      <c r="V205" s="9">
        <f>ROUND(ROUND(P205, 2)/1.2, 2)</f>
        <v>23.21</v>
      </c>
      <c r="Y205" s="9">
        <f t="shared" si="12"/>
        <v>3674.34</v>
      </c>
      <c r="AD205" s="4" t="s">
        <v>1033</v>
      </c>
      <c r="AE205" s="4" t="s">
        <v>1034</v>
      </c>
      <c r="AF205" s="4" t="s">
        <v>858</v>
      </c>
    </row>
    <row r="206" spans="1:35" ht="36" x14ac:dyDescent="0.35">
      <c r="A206" s="10" t="s">
        <v>1035</v>
      </c>
      <c r="B206" s="10"/>
      <c r="C206" s="24" t="s">
        <v>1036</v>
      </c>
      <c r="D206" s="15"/>
      <c r="E206" s="15"/>
      <c r="F206" s="25" t="s">
        <v>103</v>
      </c>
      <c r="G206" s="26">
        <v>0.3</v>
      </c>
      <c r="H206" s="26"/>
      <c r="I206" s="26">
        <v>23.748000000000001</v>
      </c>
      <c r="J206" s="28">
        <v>73.099999999999994</v>
      </c>
      <c r="M206" s="29">
        <f>ROUND(ROUND(J206, 2)*I206, 2)</f>
        <v>1735.98</v>
      </c>
      <c r="P206" s="30">
        <v>73.099999999999994</v>
      </c>
      <c r="S206" s="29">
        <f>ROUND(ROUND(P206, 2)*I206, 2)</f>
        <v>1735.98</v>
      </c>
      <c r="V206" s="9">
        <f>ROUND(ROUND(P206, 2)/1.2, 2)</f>
        <v>60.92</v>
      </c>
      <c r="Y206" s="9">
        <f t="shared" si="12"/>
        <v>1446.65</v>
      </c>
      <c r="AD206" s="4" t="s">
        <v>1037</v>
      </c>
      <c r="AE206" s="4" t="s">
        <v>1038</v>
      </c>
      <c r="AF206" s="4" t="s">
        <v>1039</v>
      </c>
    </row>
    <row r="207" spans="1:35" ht="36" x14ac:dyDescent="0.35">
      <c r="A207" s="10" t="s">
        <v>1040</v>
      </c>
      <c r="B207" s="10"/>
      <c r="C207" s="24" t="s">
        <v>493</v>
      </c>
      <c r="D207" s="15"/>
      <c r="E207" s="15"/>
      <c r="F207" s="25" t="s">
        <v>81</v>
      </c>
      <c r="G207" s="26">
        <v>0.15</v>
      </c>
      <c r="H207" s="26"/>
      <c r="I207" s="26">
        <v>11.874000000000001</v>
      </c>
      <c r="J207" s="28">
        <v>88.8</v>
      </c>
      <c r="M207" s="29">
        <f>ROUND(ROUND(J207, 2)*I207, 2)</f>
        <v>1054.4100000000001</v>
      </c>
      <c r="P207" s="30">
        <v>88.8</v>
      </c>
      <c r="S207" s="29">
        <f>ROUND(ROUND(P207, 2)*I207, 2)</f>
        <v>1054.4100000000001</v>
      </c>
      <c r="V207" s="9">
        <f>ROUND(ROUND(P207, 2)/1.2, 2)</f>
        <v>74</v>
      </c>
      <c r="Y207" s="9">
        <f t="shared" si="12"/>
        <v>878.68</v>
      </c>
      <c r="AD207" s="4" t="s">
        <v>1041</v>
      </c>
      <c r="AE207" s="4" t="s">
        <v>1042</v>
      </c>
      <c r="AF207" s="4" t="s">
        <v>496</v>
      </c>
    </row>
    <row r="208" spans="1:35" ht="36" x14ac:dyDescent="0.35">
      <c r="A208" s="10" t="s">
        <v>1043</v>
      </c>
      <c r="B208" s="10" t="s">
        <v>1027</v>
      </c>
      <c r="C208" s="14" t="s">
        <v>1028</v>
      </c>
      <c r="D208" s="15"/>
      <c r="E208" s="15" t="s">
        <v>1044</v>
      </c>
      <c r="F208" s="15" t="s">
        <v>56</v>
      </c>
      <c r="G208" s="16">
        <v>1</v>
      </c>
      <c r="H208" s="16"/>
      <c r="I208" s="16">
        <v>79.16</v>
      </c>
      <c r="J208" s="17">
        <f>IFERROR(ROUND(SUM(M209,M210)/I208, 2),0)</f>
        <v>59.32</v>
      </c>
      <c r="K208" s="18">
        <v>639</v>
      </c>
      <c r="L208" s="17">
        <f>J208+ROUND(K208, 2)</f>
        <v>698.32</v>
      </c>
      <c r="M208" s="17">
        <f>ROUND(J208*I208, 2)</f>
        <v>4695.7700000000004</v>
      </c>
      <c r="N208" s="17">
        <f>ROUND(I208*ROUND(K208, 2), 2)</f>
        <v>50583.24</v>
      </c>
      <c r="O208" s="17">
        <f>M208+N208</f>
        <v>55279.009999999995</v>
      </c>
      <c r="P208" s="17">
        <f>IFERROR(ROUND(SUM(S209,S210)/I208, 2),0)</f>
        <v>59.32</v>
      </c>
      <c r="Q208" s="19">
        <v>639</v>
      </c>
      <c r="R208" s="17">
        <f>P208+ROUND(Q208, 2)</f>
        <v>698.32</v>
      </c>
      <c r="S208" s="17">
        <f>ROUND(P208*I208, 2)</f>
        <v>4695.7700000000004</v>
      </c>
      <c r="T208" s="17">
        <f>ROUND(I208*ROUND(Q208, 2), 2)</f>
        <v>50583.24</v>
      </c>
      <c r="U208" s="17">
        <f>S208+T208</f>
        <v>55279.009999999995</v>
      </c>
      <c r="V208" s="9">
        <f>ROUND(P208 / 1.2, 2)</f>
        <v>49.43</v>
      </c>
      <c r="W208" s="9">
        <f>ROUND(Q208 / 1.2, 2)</f>
        <v>532.5</v>
      </c>
      <c r="X208" s="9">
        <f>ROUND(R208 / 1.2, 2)</f>
        <v>581.92999999999995</v>
      </c>
      <c r="Y208" s="9">
        <f t="shared" si="12"/>
        <v>3913.14</v>
      </c>
      <c r="Z208" s="9">
        <f>ROUND(T208 / 1.2, 2)</f>
        <v>42152.7</v>
      </c>
      <c r="AA208" s="9">
        <f>Y208+Z208</f>
        <v>46065.84</v>
      </c>
      <c r="AD208" s="4">
        <v>303752482</v>
      </c>
      <c r="AE208" s="4">
        <v>19916872</v>
      </c>
      <c r="AG208" s="4" t="s">
        <v>1030</v>
      </c>
      <c r="AH208" s="4" t="s">
        <v>1031</v>
      </c>
      <c r="AI208" s="4" t="s">
        <v>247</v>
      </c>
    </row>
    <row r="209" spans="1:35" ht="36" x14ac:dyDescent="0.35">
      <c r="A209" s="10" t="s">
        <v>1045</v>
      </c>
      <c r="B209" s="10"/>
      <c r="C209" s="24" t="s">
        <v>493</v>
      </c>
      <c r="D209" s="15"/>
      <c r="E209" s="15"/>
      <c r="F209" s="25" t="s">
        <v>81</v>
      </c>
      <c r="G209" s="26">
        <v>0.15</v>
      </c>
      <c r="H209" s="26"/>
      <c r="I209" s="26">
        <v>11.874000000000001</v>
      </c>
      <c r="J209" s="28">
        <v>88.8</v>
      </c>
      <c r="M209" s="29">
        <f>ROUND(ROUND(J209, 2)*I209, 2)</f>
        <v>1054.4100000000001</v>
      </c>
      <c r="P209" s="30">
        <v>88.8</v>
      </c>
      <c r="S209" s="29">
        <f>ROUND(ROUND(P209, 2)*I209, 2)</f>
        <v>1054.4100000000001</v>
      </c>
      <c r="V209" s="9">
        <f>ROUND(ROUND(P209, 2)/1.2, 2)</f>
        <v>74</v>
      </c>
      <c r="Y209" s="9">
        <f t="shared" si="12"/>
        <v>878.68</v>
      </c>
      <c r="AD209" s="4" t="s">
        <v>1046</v>
      </c>
      <c r="AE209" s="4" t="s">
        <v>1047</v>
      </c>
      <c r="AF209" s="4" t="s">
        <v>496</v>
      </c>
    </row>
    <row r="210" spans="1:35" ht="54" x14ac:dyDescent="0.35">
      <c r="A210" s="10" t="s">
        <v>1048</v>
      </c>
      <c r="B210" s="10"/>
      <c r="C210" s="24" t="s">
        <v>854</v>
      </c>
      <c r="D210" s="15"/>
      <c r="E210" s="15" t="s">
        <v>1049</v>
      </c>
      <c r="F210" s="25" t="s">
        <v>81</v>
      </c>
      <c r="G210" s="26">
        <v>2</v>
      </c>
      <c r="H210" s="26"/>
      <c r="I210" s="26">
        <v>158.32</v>
      </c>
      <c r="J210" s="28">
        <v>23</v>
      </c>
      <c r="M210" s="29">
        <f>ROUND(ROUND(J210, 2)*I210, 2)</f>
        <v>3641.36</v>
      </c>
      <c r="P210" s="30">
        <v>23</v>
      </c>
      <c r="S210" s="29">
        <f>ROUND(ROUND(P210, 2)*I210, 2)</f>
        <v>3641.36</v>
      </c>
      <c r="V210" s="9">
        <f>ROUND(ROUND(P210, 2)/1.2, 2)</f>
        <v>19.170000000000002</v>
      </c>
      <c r="Y210" s="9">
        <f t="shared" si="12"/>
        <v>3034.47</v>
      </c>
      <c r="AD210" s="4" t="s">
        <v>1050</v>
      </c>
      <c r="AE210" s="4" t="s">
        <v>1051</v>
      </c>
      <c r="AF210" s="4" t="s">
        <v>858</v>
      </c>
    </row>
    <row r="211" spans="1:35" ht="36" x14ac:dyDescent="0.35">
      <c r="A211" s="10" t="s">
        <v>1052</v>
      </c>
      <c r="B211" s="10" t="s">
        <v>1027</v>
      </c>
      <c r="C211" s="14" t="s">
        <v>1028</v>
      </c>
      <c r="D211" s="15"/>
      <c r="E211" s="15" t="s">
        <v>1053</v>
      </c>
      <c r="F211" s="15" t="s">
        <v>56</v>
      </c>
      <c r="G211" s="16">
        <v>1</v>
      </c>
      <c r="H211" s="16"/>
      <c r="I211" s="16">
        <v>520.01</v>
      </c>
      <c r="J211" s="17">
        <f>IFERROR(ROUND(SUM(M212,M213,M214)/I211, 2),0)</f>
        <v>81.25</v>
      </c>
      <c r="K211" s="18">
        <v>639</v>
      </c>
      <c r="L211" s="17">
        <f>J211+ROUND(K211, 2)</f>
        <v>720.25</v>
      </c>
      <c r="M211" s="17">
        <f>ROUND(J211*I211, 2)</f>
        <v>42250.81</v>
      </c>
      <c r="N211" s="17">
        <f>ROUND(I211*ROUND(K211, 2), 2)</f>
        <v>332286.39</v>
      </c>
      <c r="O211" s="17">
        <f>M211+N211</f>
        <v>374537.2</v>
      </c>
      <c r="P211" s="17">
        <f>IFERROR(ROUND(SUM(S212,S213,S214)/I211, 2),0)</f>
        <v>90.95</v>
      </c>
      <c r="Q211" s="19">
        <v>639</v>
      </c>
      <c r="R211" s="17">
        <f>P211+ROUND(Q211, 2)</f>
        <v>729.95</v>
      </c>
      <c r="S211" s="17">
        <f>ROUND(P211*I211, 2)</f>
        <v>47294.91</v>
      </c>
      <c r="T211" s="17">
        <f>ROUND(I211*ROUND(Q211, 2), 2)</f>
        <v>332286.39</v>
      </c>
      <c r="U211" s="17">
        <f>S211+T211</f>
        <v>379581.30000000005</v>
      </c>
      <c r="V211" s="9">
        <f>ROUND(P211 / 1.2, 2)</f>
        <v>75.790000000000006</v>
      </c>
      <c r="W211" s="9">
        <f>ROUND(Q211 / 1.2, 2)</f>
        <v>532.5</v>
      </c>
      <c r="X211" s="9">
        <f>ROUND(R211 / 1.2, 2)</f>
        <v>608.29</v>
      </c>
      <c r="Y211" s="9">
        <f t="shared" si="12"/>
        <v>39412.43</v>
      </c>
      <c r="Z211" s="9">
        <f>ROUND(T211 / 1.2, 2)</f>
        <v>276905.33</v>
      </c>
      <c r="AA211" s="9">
        <f>Y211+Z211</f>
        <v>316317.76</v>
      </c>
      <c r="AD211" s="4">
        <v>303752483</v>
      </c>
      <c r="AE211" s="4">
        <v>19916870</v>
      </c>
      <c r="AG211" s="4" t="s">
        <v>1030</v>
      </c>
      <c r="AH211" s="4" t="s">
        <v>1031</v>
      </c>
      <c r="AI211" s="4" t="s">
        <v>247</v>
      </c>
    </row>
    <row r="212" spans="1:35" ht="36" x14ac:dyDescent="0.35">
      <c r="A212" s="10" t="s">
        <v>1054</v>
      </c>
      <c r="B212" s="10"/>
      <c r="C212" s="24" t="s">
        <v>493</v>
      </c>
      <c r="D212" s="15"/>
      <c r="E212" s="15"/>
      <c r="F212" s="25" t="s">
        <v>81</v>
      </c>
      <c r="G212" s="26">
        <v>0.15</v>
      </c>
      <c r="H212" s="26"/>
      <c r="I212" s="26">
        <v>78.001999999999995</v>
      </c>
      <c r="J212" s="28">
        <v>88.8</v>
      </c>
      <c r="M212" s="29">
        <f>ROUND(ROUND(J212, 2)*I212, 2)</f>
        <v>6926.58</v>
      </c>
      <c r="P212" s="30">
        <v>88.8</v>
      </c>
      <c r="S212" s="29">
        <f>ROUND(ROUND(P212, 2)*I212, 2)</f>
        <v>6926.58</v>
      </c>
      <c r="V212" s="9">
        <f>ROUND(ROUND(P212, 2)/1.2, 2)</f>
        <v>74</v>
      </c>
      <c r="Y212" s="9">
        <f t="shared" si="12"/>
        <v>5772.15</v>
      </c>
      <c r="AD212" s="4" t="s">
        <v>1055</v>
      </c>
      <c r="AE212" s="4" t="s">
        <v>1056</v>
      </c>
      <c r="AF212" s="4" t="s">
        <v>496</v>
      </c>
    </row>
    <row r="213" spans="1:35" ht="36" x14ac:dyDescent="0.35">
      <c r="A213" s="10" t="s">
        <v>1057</v>
      </c>
      <c r="B213" s="10"/>
      <c r="C213" s="24" t="s">
        <v>1036</v>
      </c>
      <c r="D213" s="15"/>
      <c r="E213" s="15"/>
      <c r="F213" s="25" t="s">
        <v>103</v>
      </c>
      <c r="G213" s="26">
        <v>0.3</v>
      </c>
      <c r="H213" s="26"/>
      <c r="I213" s="26">
        <v>156.00299999999999</v>
      </c>
      <c r="J213" s="28">
        <v>73.099999999999994</v>
      </c>
      <c r="M213" s="29">
        <f>ROUND(ROUND(J213, 2)*I213, 2)</f>
        <v>11403.82</v>
      </c>
      <c r="P213" s="30">
        <v>73.099999999999994</v>
      </c>
      <c r="S213" s="29">
        <f>ROUND(ROUND(P213, 2)*I213, 2)</f>
        <v>11403.82</v>
      </c>
      <c r="V213" s="9">
        <f>ROUND(ROUND(P213, 2)/1.2, 2)</f>
        <v>60.92</v>
      </c>
      <c r="Y213" s="9">
        <f t="shared" si="12"/>
        <v>9503.18</v>
      </c>
      <c r="AD213" s="4" t="s">
        <v>1058</v>
      </c>
      <c r="AE213" s="4" t="s">
        <v>1059</v>
      </c>
      <c r="AF213" s="4" t="s">
        <v>1039</v>
      </c>
    </row>
    <row r="214" spans="1:35" ht="54" x14ac:dyDescent="0.35">
      <c r="A214" s="10" t="s">
        <v>1060</v>
      </c>
      <c r="B214" s="10"/>
      <c r="C214" s="24" t="s">
        <v>854</v>
      </c>
      <c r="D214" s="15"/>
      <c r="E214" s="15" t="s">
        <v>855</v>
      </c>
      <c r="F214" s="25" t="s">
        <v>81</v>
      </c>
      <c r="G214" s="26">
        <v>2</v>
      </c>
      <c r="H214" s="26"/>
      <c r="I214" s="26">
        <v>1040.02</v>
      </c>
      <c r="J214" s="28">
        <v>23</v>
      </c>
      <c r="M214" s="29">
        <f>ROUND(ROUND(J214, 2)*I214, 2)</f>
        <v>23920.46</v>
      </c>
      <c r="P214" s="30">
        <v>27.85</v>
      </c>
      <c r="S214" s="29">
        <f>ROUND(ROUND(P214, 2)*I214, 2)</f>
        <v>28964.560000000001</v>
      </c>
      <c r="V214" s="9">
        <f>ROUND(ROUND(P214, 2)/1.2, 2)</f>
        <v>23.21</v>
      </c>
      <c r="Y214" s="9">
        <f t="shared" si="12"/>
        <v>24137.13</v>
      </c>
      <c r="AD214" s="4" t="s">
        <v>1061</v>
      </c>
      <c r="AE214" s="4" t="s">
        <v>1062</v>
      </c>
      <c r="AF214" s="4" t="s">
        <v>858</v>
      </c>
    </row>
    <row r="215" spans="1:35" ht="36" x14ac:dyDescent="0.35">
      <c r="A215" s="10" t="s">
        <v>1063</v>
      </c>
      <c r="B215" s="10" t="s">
        <v>1027</v>
      </c>
      <c r="C215" s="14" t="s">
        <v>1028</v>
      </c>
      <c r="D215" s="15"/>
      <c r="E215" s="15" t="s">
        <v>1064</v>
      </c>
      <c r="F215" s="15" t="s">
        <v>56</v>
      </c>
      <c r="G215" s="16">
        <v>1</v>
      </c>
      <c r="H215" s="16"/>
      <c r="I215" s="16">
        <v>520.01</v>
      </c>
      <c r="J215" s="17">
        <f>IFERROR(ROUND(SUM(M216,M217)/I215, 2),0)</f>
        <v>59.32</v>
      </c>
      <c r="K215" s="18">
        <v>639</v>
      </c>
      <c r="L215" s="17">
        <f>J215+ROUND(K215, 2)</f>
        <v>698.32</v>
      </c>
      <c r="M215" s="17">
        <f>ROUND(J215*I215, 2)</f>
        <v>30846.99</v>
      </c>
      <c r="N215" s="17">
        <f>ROUND(I215*ROUND(K215, 2), 2)</f>
        <v>332286.39</v>
      </c>
      <c r="O215" s="17">
        <f>M215+N215</f>
        <v>363133.38</v>
      </c>
      <c r="P215" s="17">
        <f>IFERROR(ROUND(SUM(S216,S217)/I215, 2),0)</f>
        <v>77.94</v>
      </c>
      <c r="Q215" s="19">
        <v>639</v>
      </c>
      <c r="R215" s="17">
        <f>P215+ROUND(Q215, 2)</f>
        <v>716.94</v>
      </c>
      <c r="S215" s="17">
        <f>ROUND(P215*I215, 2)</f>
        <v>40529.58</v>
      </c>
      <c r="T215" s="17">
        <f>ROUND(I215*ROUND(Q215, 2), 2)</f>
        <v>332286.39</v>
      </c>
      <c r="U215" s="17">
        <f>S215+T215</f>
        <v>372815.97000000003</v>
      </c>
      <c r="V215" s="9">
        <f>ROUND(P215 / 1.2, 2)</f>
        <v>64.95</v>
      </c>
      <c r="W215" s="9">
        <f>ROUND(Q215 / 1.2, 2)</f>
        <v>532.5</v>
      </c>
      <c r="X215" s="9">
        <f>ROUND(R215 / 1.2, 2)</f>
        <v>597.45000000000005</v>
      </c>
      <c r="Y215" s="9">
        <f t="shared" si="12"/>
        <v>33774.65</v>
      </c>
      <c r="Z215" s="9">
        <f>ROUND(T215 / 1.2, 2)</f>
        <v>276905.33</v>
      </c>
      <c r="AA215" s="9">
        <f>Y215+Z215</f>
        <v>310679.98000000004</v>
      </c>
      <c r="AD215" s="4">
        <v>303752484</v>
      </c>
      <c r="AE215" s="4">
        <v>19916877</v>
      </c>
      <c r="AG215" s="4" t="s">
        <v>1030</v>
      </c>
      <c r="AH215" s="4" t="s">
        <v>1031</v>
      </c>
      <c r="AI215" s="4" t="s">
        <v>247</v>
      </c>
    </row>
    <row r="216" spans="1:35" ht="36" x14ac:dyDescent="0.35">
      <c r="A216" s="10" t="s">
        <v>1065</v>
      </c>
      <c r="B216" s="10"/>
      <c r="C216" s="24" t="s">
        <v>493</v>
      </c>
      <c r="D216" s="15"/>
      <c r="E216" s="15"/>
      <c r="F216" s="25" t="s">
        <v>81</v>
      </c>
      <c r="G216" s="26">
        <v>0.15</v>
      </c>
      <c r="H216" s="26"/>
      <c r="I216" s="26">
        <v>78.001999999999995</v>
      </c>
      <c r="J216" s="28">
        <v>88.8</v>
      </c>
      <c r="M216" s="29">
        <f>ROUND(ROUND(J216, 2)*I216, 2)</f>
        <v>6926.58</v>
      </c>
      <c r="P216" s="30">
        <v>88.8</v>
      </c>
      <c r="S216" s="29">
        <f>ROUND(ROUND(P216, 2)*I216, 2)</f>
        <v>6926.58</v>
      </c>
      <c r="V216" s="9">
        <f>ROUND(ROUND(P216, 2)/1.2, 2)</f>
        <v>74</v>
      </c>
      <c r="Y216" s="9">
        <f t="shared" si="12"/>
        <v>5772.15</v>
      </c>
      <c r="AD216" s="4" t="s">
        <v>1066</v>
      </c>
      <c r="AE216" s="4" t="s">
        <v>1067</v>
      </c>
      <c r="AF216" s="4" t="s">
        <v>496</v>
      </c>
    </row>
    <row r="217" spans="1:35" ht="54" x14ac:dyDescent="0.35">
      <c r="A217" s="10" t="s">
        <v>1068</v>
      </c>
      <c r="B217" s="10"/>
      <c r="C217" s="24" t="s">
        <v>854</v>
      </c>
      <c r="D217" s="15"/>
      <c r="E217" s="15" t="s">
        <v>1049</v>
      </c>
      <c r="F217" s="25" t="s">
        <v>81</v>
      </c>
      <c r="G217" s="26">
        <v>2</v>
      </c>
      <c r="H217" s="26"/>
      <c r="I217" s="26">
        <v>1040.02</v>
      </c>
      <c r="J217" s="28">
        <v>23</v>
      </c>
      <c r="M217" s="29">
        <f>ROUND(ROUND(J217, 2)*I217, 2)</f>
        <v>23920.46</v>
      </c>
      <c r="P217" s="30">
        <v>32.31</v>
      </c>
      <c r="S217" s="29">
        <f>ROUND(ROUND(P217, 2)*I217, 2)</f>
        <v>33603.050000000003</v>
      </c>
      <c r="V217" s="9">
        <f>ROUND(ROUND(P217, 2)/1.2, 2)</f>
        <v>26.93</v>
      </c>
      <c r="Y217" s="9">
        <f t="shared" si="12"/>
        <v>28002.54</v>
      </c>
      <c r="AD217" s="4" t="s">
        <v>1069</v>
      </c>
      <c r="AE217" s="4" t="s">
        <v>1070</v>
      </c>
      <c r="AF217" s="4" t="s">
        <v>858</v>
      </c>
    </row>
    <row r="218" spans="1:35" ht="54" x14ac:dyDescent="0.35">
      <c r="A218" s="10" t="s">
        <v>1071</v>
      </c>
      <c r="B218" s="10" t="s">
        <v>1027</v>
      </c>
      <c r="C218" s="14" t="s">
        <v>1028</v>
      </c>
      <c r="D218" s="15"/>
      <c r="E218" s="15" t="s">
        <v>1072</v>
      </c>
      <c r="F218" s="15" t="s">
        <v>56</v>
      </c>
      <c r="G218" s="16">
        <v>1</v>
      </c>
      <c r="H218" s="16"/>
      <c r="I218" s="16">
        <v>66.28</v>
      </c>
      <c r="J218" s="17">
        <f>IFERROR(ROUND(SUM(M219,M220)/I218, 2),0)</f>
        <v>59.32</v>
      </c>
      <c r="K218" s="18">
        <v>639</v>
      </c>
      <c r="L218" s="17">
        <f>J218+ROUND(K218, 2)</f>
        <v>698.32</v>
      </c>
      <c r="M218" s="17">
        <f>ROUND(J218*I218, 2)</f>
        <v>3931.73</v>
      </c>
      <c r="N218" s="17">
        <f>ROUND(I218*ROUND(K218, 2), 2)</f>
        <v>42352.92</v>
      </c>
      <c r="O218" s="17">
        <f>M218+N218</f>
        <v>46284.65</v>
      </c>
      <c r="P218" s="17">
        <f>IFERROR(ROUND(SUM(S219,S220)/I218, 2),0)</f>
        <v>59.32</v>
      </c>
      <c r="Q218" s="19">
        <v>639</v>
      </c>
      <c r="R218" s="17">
        <f>P218+ROUND(Q218, 2)</f>
        <v>698.32</v>
      </c>
      <c r="S218" s="17">
        <f>ROUND(P218*I218, 2)</f>
        <v>3931.73</v>
      </c>
      <c r="T218" s="17">
        <f>ROUND(I218*ROUND(Q218, 2), 2)</f>
        <v>42352.92</v>
      </c>
      <c r="U218" s="17">
        <f>S218+T218</f>
        <v>46284.65</v>
      </c>
      <c r="V218" s="9">
        <f>ROUND(P218 / 1.2, 2)</f>
        <v>49.43</v>
      </c>
      <c r="W218" s="9">
        <f>ROUND(Q218 / 1.2, 2)</f>
        <v>532.5</v>
      </c>
      <c r="X218" s="9">
        <f>ROUND(R218 / 1.2, 2)</f>
        <v>581.92999999999995</v>
      </c>
      <c r="Y218" s="9">
        <f t="shared" si="12"/>
        <v>3276.44</v>
      </c>
      <c r="Z218" s="9">
        <f>ROUND(T218 / 1.2, 2)</f>
        <v>35294.1</v>
      </c>
      <c r="AA218" s="9">
        <f>Y218+Z218</f>
        <v>38570.54</v>
      </c>
      <c r="AD218" s="4">
        <v>303752485</v>
      </c>
      <c r="AE218" s="4">
        <v>19916874</v>
      </c>
      <c r="AG218" s="4" t="s">
        <v>1030</v>
      </c>
      <c r="AH218" s="4" t="s">
        <v>1031</v>
      </c>
      <c r="AI218" s="4" t="s">
        <v>247</v>
      </c>
    </row>
    <row r="219" spans="1:35" ht="36" x14ac:dyDescent="0.35">
      <c r="A219" s="10" t="s">
        <v>1073</v>
      </c>
      <c r="B219" s="10"/>
      <c r="C219" s="24" t="s">
        <v>493</v>
      </c>
      <c r="D219" s="15"/>
      <c r="E219" s="15"/>
      <c r="F219" s="25" t="s">
        <v>81</v>
      </c>
      <c r="G219" s="26">
        <v>0.15</v>
      </c>
      <c r="H219" s="26"/>
      <c r="I219" s="26">
        <v>9.9420000000000002</v>
      </c>
      <c r="J219" s="28">
        <v>88.8</v>
      </c>
      <c r="M219" s="29">
        <f>ROUND(ROUND(J219, 2)*I219, 2)</f>
        <v>882.85</v>
      </c>
      <c r="P219" s="30">
        <v>88.8</v>
      </c>
      <c r="S219" s="29">
        <f>ROUND(ROUND(P219, 2)*I219, 2)</f>
        <v>882.85</v>
      </c>
      <c r="V219" s="9">
        <f>ROUND(ROUND(P219, 2)/1.2, 2)</f>
        <v>74</v>
      </c>
      <c r="Y219" s="9">
        <f t="shared" si="12"/>
        <v>735.71</v>
      </c>
      <c r="AD219" s="4" t="s">
        <v>1074</v>
      </c>
      <c r="AE219" s="4" t="s">
        <v>1075</v>
      </c>
      <c r="AF219" s="4" t="s">
        <v>496</v>
      </c>
    </row>
    <row r="220" spans="1:35" ht="54" x14ac:dyDescent="0.35">
      <c r="A220" s="10" t="s">
        <v>1076</v>
      </c>
      <c r="B220" s="10"/>
      <c r="C220" s="24" t="s">
        <v>854</v>
      </c>
      <c r="D220" s="15"/>
      <c r="E220" s="15" t="s">
        <v>1049</v>
      </c>
      <c r="F220" s="25" t="s">
        <v>81</v>
      </c>
      <c r="G220" s="26">
        <v>2</v>
      </c>
      <c r="H220" s="26"/>
      <c r="I220" s="26">
        <v>132.56</v>
      </c>
      <c r="J220" s="28">
        <v>23</v>
      </c>
      <c r="M220" s="29">
        <f>ROUND(ROUND(J220, 2)*I220, 2)</f>
        <v>3048.88</v>
      </c>
      <c r="P220" s="30">
        <v>23</v>
      </c>
      <c r="S220" s="29">
        <f>ROUND(ROUND(P220, 2)*I220, 2)</f>
        <v>3048.88</v>
      </c>
      <c r="V220" s="9">
        <f>ROUND(ROUND(P220, 2)/1.2, 2)</f>
        <v>19.170000000000002</v>
      </c>
      <c r="Y220" s="9">
        <f t="shared" si="12"/>
        <v>2540.73</v>
      </c>
      <c r="AD220" s="4" t="s">
        <v>1077</v>
      </c>
      <c r="AE220" s="4" t="s">
        <v>1078</v>
      </c>
      <c r="AF220" s="4" t="s">
        <v>858</v>
      </c>
    </row>
    <row r="221" spans="1:35" ht="54" x14ac:dyDescent="0.35">
      <c r="A221" s="10" t="s">
        <v>1079</v>
      </c>
      <c r="B221" s="10" t="s">
        <v>1027</v>
      </c>
      <c r="C221" s="14" t="s">
        <v>1028</v>
      </c>
      <c r="D221" s="15"/>
      <c r="E221" s="15" t="s">
        <v>1080</v>
      </c>
      <c r="F221" s="15" t="s">
        <v>56</v>
      </c>
      <c r="G221" s="16">
        <v>1</v>
      </c>
      <c r="H221" s="16"/>
      <c r="I221" s="16">
        <v>66.28</v>
      </c>
      <c r="J221" s="17">
        <f>IFERROR(ROUND(SUM(M222,M223,M224)/I221, 2),0)</f>
        <v>81.25</v>
      </c>
      <c r="K221" s="18">
        <v>639</v>
      </c>
      <c r="L221" s="17">
        <f>J221+ROUND(K221, 2)</f>
        <v>720.25</v>
      </c>
      <c r="M221" s="17">
        <f>ROUND(J221*I221, 2)</f>
        <v>5385.25</v>
      </c>
      <c r="N221" s="17">
        <f>ROUND(I221*ROUND(K221, 2), 2)</f>
        <v>42352.92</v>
      </c>
      <c r="O221" s="17">
        <f>M221+N221</f>
        <v>47738.17</v>
      </c>
      <c r="P221" s="17">
        <f>IFERROR(ROUND(SUM(S222,S223,S224)/I221, 2),0)</f>
        <v>81.25</v>
      </c>
      <c r="Q221" s="19">
        <v>639</v>
      </c>
      <c r="R221" s="17">
        <f>P221+ROUND(Q221, 2)</f>
        <v>720.25</v>
      </c>
      <c r="S221" s="17">
        <f>ROUND(P221*I221, 2)</f>
        <v>5385.25</v>
      </c>
      <c r="T221" s="17">
        <f>ROUND(I221*ROUND(Q221, 2), 2)</f>
        <v>42352.92</v>
      </c>
      <c r="U221" s="17">
        <f>S221+T221</f>
        <v>47738.17</v>
      </c>
      <c r="V221" s="9">
        <f>ROUND(P221 / 1.2, 2)</f>
        <v>67.709999999999994</v>
      </c>
      <c r="W221" s="9">
        <f>ROUND(Q221 / 1.2, 2)</f>
        <v>532.5</v>
      </c>
      <c r="X221" s="9">
        <f>ROUND(R221 / 1.2, 2)</f>
        <v>600.21</v>
      </c>
      <c r="Y221" s="9">
        <f t="shared" si="12"/>
        <v>4487.71</v>
      </c>
      <c r="Z221" s="9">
        <f>ROUND(T221 / 1.2, 2)</f>
        <v>35294.1</v>
      </c>
      <c r="AA221" s="9">
        <f>Y221+Z221</f>
        <v>39781.81</v>
      </c>
      <c r="AD221" s="4">
        <v>303752486</v>
      </c>
      <c r="AE221" s="4">
        <v>19916867</v>
      </c>
      <c r="AG221" s="4" t="s">
        <v>1030</v>
      </c>
      <c r="AH221" s="4" t="s">
        <v>1031</v>
      </c>
      <c r="AI221" s="4" t="s">
        <v>247</v>
      </c>
    </row>
    <row r="222" spans="1:35" ht="36" x14ac:dyDescent="0.35">
      <c r="A222" s="10" t="s">
        <v>1081</v>
      </c>
      <c r="B222" s="10"/>
      <c r="C222" s="24" t="s">
        <v>493</v>
      </c>
      <c r="D222" s="15"/>
      <c r="E222" s="15"/>
      <c r="F222" s="25" t="s">
        <v>81</v>
      </c>
      <c r="G222" s="26">
        <v>0.15</v>
      </c>
      <c r="H222" s="26"/>
      <c r="I222" s="26">
        <v>9.9420000000000002</v>
      </c>
      <c r="J222" s="28">
        <v>88.8</v>
      </c>
      <c r="M222" s="29">
        <f>ROUND(ROUND(J222, 2)*I222, 2)</f>
        <v>882.85</v>
      </c>
      <c r="P222" s="30">
        <v>88.8</v>
      </c>
      <c r="S222" s="29">
        <f>ROUND(ROUND(P222, 2)*I222, 2)</f>
        <v>882.85</v>
      </c>
      <c r="V222" s="9">
        <f>ROUND(ROUND(P222, 2)/1.2, 2)</f>
        <v>74</v>
      </c>
      <c r="Y222" s="9">
        <f t="shared" si="12"/>
        <v>735.71</v>
      </c>
      <c r="AD222" s="4" t="s">
        <v>1082</v>
      </c>
      <c r="AE222" s="4" t="s">
        <v>1083</v>
      </c>
      <c r="AF222" s="4" t="s">
        <v>496</v>
      </c>
    </row>
    <row r="223" spans="1:35" ht="36" x14ac:dyDescent="0.35">
      <c r="A223" s="10" t="s">
        <v>1084</v>
      </c>
      <c r="B223" s="10"/>
      <c r="C223" s="24" t="s">
        <v>1036</v>
      </c>
      <c r="D223" s="15"/>
      <c r="E223" s="15"/>
      <c r="F223" s="25" t="s">
        <v>103</v>
      </c>
      <c r="G223" s="26">
        <v>0.3</v>
      </c>
      <c r="H223" s="26"/>
      <c r="I223" s="26">
        <v>19.884</v>
      </c>
      <c r="J223" s="28">
        <v>73.099999999999994</v>
      </c>
      <c r="M223" s="29">
        <f>ROUND(ROUND(J223, 2)*I223, 2)</f>
        <v>1453.52</v>
      </c>
      <c r="P223" s="30">
        <v>73.099999999999994</v>
      </c>
      <c r="S223" s="29">
        <f>ROUND(ROUND(P223, 2)*I223, 2)</f>
        <v>1453.52</v>
      </c>
      <c r="V223" s="9">
        <f>ROUND(ROUND(P223, 2)/1.2, 2)</f>
        <v>60.92</v>
      </c>
      <c r="Y223" s="9">
        <f t="shared" si="12"/>
        <v>1211.27</v>
      </c>
      <c r="AD223" s="4" t="s">
        <v>1085</v>
      </c>
      <c r="AE223" s="4" t="s">
        <v>1086</v>
      </c>
      <c r="AF223" s="4" t="s">
        <v>1039</v>
      </c>
    </row>
    <row r="224" spans="1:35" ht="54" x14ac:dyDescent="0.35">
      <c r="A224" s="10" t="s">
        <v>1087</v>
      </c>
      <c r="B224" s="10"/>
      <c r="C224" s="24" t="s">
        <v>854</v>
      </c>
      <c r="D224" s="15"/>
      <c r="E224" s="15" t="s">
        <v>855</v>
      </c>
      <c r="F224" s="25" t="s">
        <v>81</v>
      </c>
      <c r="G224" s="26">
        <v>2</v>
      </c>
      <c r="H224" s="26"/>
      <c r="I224" s="26">
        <v>132.56</v>
      </c>
      <c r="J224" s="28">
        <v>23</v>
      </c>
      <c r="M224" s="29">
        <f>ROUND(ROUND(J224, 2)*I224, 2)</f>
        <v>3048.88</v>
      </c>
      <c r="P224" s="30">
        <v>23</v>
      </c>
      <c r="S224" s="29">
        <f>ROUND(ROUND(P224, 2)*I224, 2)</f>
        <v>3048.88</v>
      </c>
      <c r="V224" s="9">
        <f>ROUND(ROUND(P224, 2)/1.2, 2)</f>
        <v>19.170000000000002</v>
      </c>
      <c r="Y224" s="9">
        <f t="shared" si="12"/>
        <v>2540.73</v>
      </c>
      <c r="AD224" s="4" t="s">
        <v>1088</v>
      </c>
      <c r="AE224" s="4" t="s">
        <v>1089</v>
      </c>
      <c r="AF224" s="4" t="s">
        <v>858</v>
      </c>
    </row>
    <row r="225" spans="1:35" ht="36" x14ac:dyDescent="0.35">
      <c r="A225" s="10" t="s">
        <v>1090</v>
      </c>
      <c r="B225" s="10" t="s">
        <v>1027</v>
      </c>
      <c r="C225" s="14" t="s">
        <v>1028</v>
      </c>
      <c r="D225" s="15"/>
      <c r="E225" s="15" t="s">
        <v>1091</v>
      </c>
      <c r="F225" s="15" t="s">
        <v>56</v>
      </c>
      <c r="G225" s="16">
        <v>1</v>
      </c>
      <c r="H225" s="16"/>
      <c r="I225" s="16">
        <v>79.16</v>
      </c>
      <c r="J225" s="17">
        <f>IFERROR(ROUND(SUM(M226,M227)/I225, 2),0)</f>
        <v>59.32</v>
      </c>
      <c r="K225" s="18">
        <v>639</v>
      </c>
      <c r="L225" s="17">
        <f>J225+ROUND(K225, 2)</f>
        <v>698.32</v>
      </c>
      <c r="M225" s="17">
        <f>ROUND(J225*I225, 2)</f>
        <v>4695.7700000000004</v>
      </c>
      <c r="N225" s="17">
        <f>ROUND(I225*ROUND(K225, 2), 2)</f>
        <v>50583.24</v>
      </c>
      <c r="O225" s="17">
        <f>M225+N225</f>
        <v>55279.009999999995</v>
      </c>
      <c r="P225" s="17">
        <f>IFERROR(ROUND(SUM(S226,S227)/I225, 2),0)</f>
        <v>77.94</v>
      </c>
      <c r="Q225" s="19">
        <v>639</v>
      </c>
      <c r="R225" s="17">
        <f>P225+ROUND(Q225, 2)</f>
        <v>716.94</v>
      </c>
      <c r="S225" s="17">
        <f>ROUND(P225*I225, 2)</f>
        <v>6169.73</v>
      </c>
      <c r="T225" s="17">
        <f>ROUND(I225*ROUND(Q225, 2), 2)</f>
        <v>50583.24</v>
      </c>
      <c r="U225" s="17">
        <f>S225+T225</f>
        <v>56752.97</v>
      </c>
      <c r="V225" s="9">
        <f>ROUND(P225 / 1.2, 2)</f>
        <v>64.95</v>
      </c>
      <c r="W225" s="9">
        <f>ROUND(Q225 / 1.2, 2)</f>
        <v>532.5</v>
      </c>
      <c r="X225" s="9">
        <f>ROUND(R225 / 1.2, 2)</f>
        <v>597.45000000000005</v>
      </c>
      <c r="Y225" s="9">
        <f t="shared" si="12"/>
        <v>5141.4399999999996</v>
      </c>
      <c r="Z225" s="9">
        <f>ROUND(T225 / 1.2, 2)</f>
        <v>42152.7</v>
      </c>
      <c r="AA225" s="9">
        <f>Y225+Z225</f>
        <v>47294.14</v>
      </c>
      <c r="AD225" s="4">
        <v>303752487</v>
      </c>
      <c r="AE225" s="4">
        <v>21807244</v>
      </c>
      <c r="AG225" s="4" t="s">
        <v>1030</v>
      </c>
      <c r="AH225" s="4" t="s">
        <v>1031</v>
      </c>
      <c r="AI225" s="4" t="s">
        <v>247</v>
      </c>
    </row>
    <row r="226" spans="1:35" ht="36" x14ac:dyDescent="0.35">
      <c r="A226" s="10" t="s">
        <v>1092</v>
      </c>
      <c r="B226" s="10"/>
      <c r="C226" s="24" t="s">
        <v>493</v>
      </c>
      <c r="D226" s="15"/>
      <c r="E226" s="15"/>
      <c r="F226" s="25" t="s">
        <v>81</v>
      </c>
      <c r="G226" s="26">
        <v>0.15</v>
      </c>
      <c r="H226" s="26"/>
      <c r="I226" s="26">
        <v>11.874000000000001</v>
      </c>
      <c r="J226" s="28">
        <v>88.8</v>
      </c>
      <c r="M226" s="29">
        <f>ROUND(ROUND(J226, 2)*I226, 2)</f>
        <v>1054.4100000000001</v>
      </c>
      <c r="P226" s="30">
        <v>88.8</v>
      </c>
      <c r="S226" s="29">
        <f>ROUND(ROUND(P226, 2)*I226, 2)</f>
        <v>1054.4100000000001</v>
      </c>
      <c r="V226" s="9">
        <f>ROUND(ROUND(P226, 2)/1.2, 2)</f>
        <v>74</v>
      </c>
      <c r="Y226" s="9">
        <f t="shared" si="12"/>
        <v>878.68</v>
      </c>
      <c r="AD226" s="4" t="s">
        <v>1093</v>
      </c>
      <c r="AE226" s="4" t="s">
        <v>1094</v>
      </c>
      <c r="AF226" s="4" t="s">
        <v>496</v>
      </c>
    </row>
    <row r="227" spans="1:35" ht="18" x14ac:dyDescent="0.35">
      <c r="A227" s="10" t="s">
        <v>1095</v>
      </c>
      <c r="B227" s="10"/>
      <c r="C227" s="24" t="s">
        <v>854</v>
      </c>
      <c r="D227" s="15"/>
      <c r="E227" s="15"/>
      <c r="F227" s="25" t="s">
        <v>81</v>
      </c>
      <c r="G227" s="26">
        <v>2</v>
      </c>
      <c r="H227" s="26"/>
      <c r="I227" s="26">
        <v>158.32</v>
      </c>
      <c r="J227" s="28">
        <v>23</v>
      </c>
      <c r="M227" s="29">
        <f>ROUND(ROUND(J227, 2)*I227, 2)</f>
        <v>3641.36</v>
      </c>
      <c r="P227" s="30">
        <v>32.31</v>
      </c>
      <c r="S227" s="29">
        <f>ROUND(ROUND(P227, 2)*I227, 2)</f>
        <v>5115.32</v>
      </c>
      <c r="V227" s="9">
        <f>ROUND(ROUND(P227, 2)/1.2, 2)</f>
        <v>26.93</v>
      </c>
      <c r="Y227" s="9">
        <f t="shared" si="12"/>
        <v>4262.7700000000004</v>
      </c>
      <c r="AD227" s="4" t="s">
        <v>1096</v>
      </c>
      <c r="AE227" s="4" t="s">
        <v>1097</v>
      </c>
      <c r="AF227" s="4" t="s">
        <v>858</v>
      </c>
    </row>
    <row r="228" spans="1:35" ht="36" x14ac:dyDescent="0.35">
      <c r="A228" s="10" t="s">
        <v>1098</v>
      </c>
      <c r="B228" s="10" t="s">
        <v>1027</v>
      </c>
      <c r="C228" s="14" t="s">
        <v>1028</v>
      </c>
      <c r="D228" s="15"/>
      <c r="E228" s="15" t="s">
        <v>1099</v>
      </c>
      <c r="F228" s="15" t="s">
        <v>56</v>
      </c>
      <c r="G228" s="16">
        <v>1</v>
      </c>
      <c r="H228" s="16"/>
      <c r="I228" s="16">
        <v>520.01</v>
      </c>
      <c r="J228" s="17">
        <f>IFERROR(ROUND(SUM(M229,M230)/I228, 2),0)</f>
        <v>59.32</v>
      </c>
      <c r="K228" s="18">
        <v>639</v>
      </c>
      <c r="L228" s="17">
        <f>J228+ROUND(K228, 2)</f>
        <v>698.32</v>
      </c>
      <c r="M228" s="17">
        <f>ROUND(J228*I228, 2)</f>
        <v>30846.99</v>
      </c>
      <c r="N228" s="17">
        <f>ROUND(I228*ROUND(K228, 2), 2)</f>
        <v>332286.39</v>
      </c>
      <c r="O228" s="17">
        <f>M228+N228</f>
        <v>363133.38</v>
      </c>
      <c r="P228" s="17">
        <f>IFERROR(ROUND(SUM(S229,S230)/I228, 2),0)</f>
        <v>77.94</v>
      </c>
      <c r="Q228" s="19">
        <v>639</v>
      </c>
      <c r="R228" s="17">
        <f>P228+ROUND(Q228, 2)</f>
        <v>716.94</v>
      </c>
      <c r="S228" s="17">
        <f>ROUND(P228*I228, 2)</f>
        <v>40529.58</v>
      </c>
      <c r="T228" s="17">
        <f>ROUND(I228*ROUND(Q228, 2), 2)</f>
        <v>332286.39</v>
      </c>
      <c r="U228" s="17">
        <f>S228+T228</f>
        <v>372815.97000000003</v>
      </c>
      <c r="V228" s="9">
        <f>ROUND(P228 / 1.2, 2)</f>
        <v>64.95</v>
      </c>
      <c r="W228" s="9">
        <f>ROUND(Q228 / 1.2, 2)</f>
        <v>532.5</v>
      </c>
      <c r="X228" s="9">
        <f>ROUND(R228 / 1.2, 2)</f>
        <v>597.45000000000005</v>
      </c>
      <c r="Y228" s="9">
        <f t="shared" ref="Y228:Y259" si="13">ROUND(S228 / 1.2, 2)</f>
        <v>33774.65</v>
      </c>
      <c r="Z228" s="9">
        <f>ROUND(T228 / 1.2, 2)</f>
        <v>276905.33</v>
      </c>
      <c r="AA228" s="9">
        <f>Y228+Z228</f>
        <v>310679.98000000004</v>
      </c>
      <c r="AD228" s="4">
        <v>303752488</v>
      </c>
      <c r="AE228" s="4">
        <v>21807246</v>
      </c>
      <c r="AG228" s="4" t="s">
        <v>1030</v>
      </c>
      <c r="AH228" s="4" t="s">
        <v>1031</v>
      </c>
      <c r="AI228" s="4" t="s">
        <v>247</v>
      </c>
    </row>
    <row r="229" spans="1:35" ht="36" x14ac:dyDescent="0.35">
      <c r="A229" s="10" t="s">
        <v>1100</v>
      </c>
      <c r="B229" s="10"/>
      <c r="C229" s="24" t="s">
        <v>493</v>
      </c>
      <c r="D229" s="15"/>
      <c r="E229" s="15"/>
      <c r="F229" s="25" t="s">
        <v>81</v>
      </c>
      <c r="G229" s="26">
        <v>0.15</v>
      </c>
      <c r="H229" s="26"/>
      <c r="I229" s="26">
        <v>78.001999999999995</v>
      </c>
      <c r="J229" s="28">
        <v>88.8</v>
      </c>
      <c r="M229" s="29">
        <f>ROUND(ROUND(J229, 2)*I229, 2)</f>
        <v>6926.58</v>
      </c>
      <c r="P229" s="30">
        <v>88.8</v>
      </c>
      <c r="S229" s="29">
        <f>ROUND(ROUND(P229, 2)*I229, 2)</f>
        <v>6926.58</v>
      </c>
      <c r="V229" s="9">
        <f>ROUND(ROUND(P229, 2)/1.2, 2)</f>
        <v>74</v>
      </c>
      <c r="Y229" s="9">
        <f t="shared" si="13"/>
        <v>5772.15</v>
      </c>
      <c r="AD229" s="4" t="s">
        <v>1101</v>
      </c>
      <c r="AE229" s="4" t="s">
        <v>1102</v>
      </c>
      <c r="AF229" s="4" t="s">
        <v>496</v>
      </c>
    </row>
    <row r="230" spans="1:35" ht="18" x14ac:dyDescent="0.35">
      <c r="A230" s="10" t="s">
        <v>1103</v>
      </c>
      <c r="B230" s="10"/>
      <c r="C230" s="24" t="s">
        <v>854</v>
      </c>
      <c r="D230" s="15"/>
      <c r="E230" s="15"/>
      <c r="F230" s="25" t="s">
        <v>81</v>
      </c>
      <c r="G230" s="26">
        <v>2</v>
      </c>
      <c r="H230" s="26"/>
      <c r="I230" s="26">
        <v>1040.02</v>
      </c>
      <c r="J230" s="28">
        <v>23</v>
      </c>
      <c r="M230" s="29">
        <f>ROUND(ROUND(J230, 2)*I230, 2)</f>
        <v>23920.46</v>
      </c>
      <c r="P230" s="30">
        <v>32.31</v>
      </c>
      <c r="S230" s="29">
        <f>ROUND(ROUND(P230, 2)*I230, 2)</f>
        <v>33603.050000000003</v>
      </c>
      <c r="V230" s="9">
        <f>ROUND(ROUND(P230, 2)/1.2, 2)</f>
        <v>26.93</v>
      </c>
      <c r="Y230" s="9">
        <f t="shared" si="13"/>
        <v>28002.54</v>
      </c>
      <c r="AD230" s="4" t="s">
        <v>1104</v>
      </c>
      <c r="AE230" s="4" t="s">
        <v>1105</v>
      </c>
      <c r="AF230" s="4" t="s">
        <v>858</v>
      </c>
    </row>
    <row r="231" spans="1:35" ht="54" x14ac:dyDescent="0.35">
      <c r="A231" s="10" t="s">
        <v>1106</v>
      </c>
      <c r="B231" s="10" t="s">
        <v>1027</v>
      </c>
      <c r="C231" s="14" t="s">
        <v>1028</v>
      </c>
      <c r="D231" s="15"/>
      <c r="E231" s="15" t="s">
        <v>1107</v>
      </c>
      <c r="F231" s="15" t="s">
        <v>56</v>
      </c>
      <c r="G231" s="16">
        <v>1</v>
      </c>
      <c r="H231" s="16"/>
      <c r="I231" s="16">
        <v>66.28</v>
      </c>
      <c r="J231" s="17">
        <f>IFERROR(ROUND(SUM(M232,M233)/I231, 2),0)</f>
        <v>31.41</v>
      </c>
      <c r="K231" s="18">
        <v>639</v>
      </c>
      <c r="L231" s="17">
        <f>J231+ROUND(K231, 2)</f>
        <v>670.41</v>
      </c>
      <c r="M231" s="17">
        <f>ROUND(J231*I231, 2)</f>
        <v>2081.85</v>
      </c>
      <c r="N231" s="17">
        <f>ROUND(I231*ROUND(K231, 2), 2)</f>
        <v>42352.92</v>
      </c>
      <c r="O231" s="17">
        <f>M231+N231</f>
        <v>44434.77</v>
      </c>
      <c r="P231" s="17">
        <f>IFERROR(ROUND(SUM(S232,S233)/I231, 2),0)</f>
        <v>31.43</v>
      </c>
      <c r="Q231" s="19">
        <v>639</v>
      </c>
      <c r="R231" s="17">
        <f>P231+ROUND(Q231, 2)</f>
        <v>670.43</v>
      </c>
      <c r="S231" s="17">
        <f>ROUND(P231*I231, 2)</f>
        <v>2083.1799999999998</v>
      </c>
      <c r="T231" s="17">
        <f>ROUND(I231*ROUND(Q231, 2), 2)</f>
        <v>42352.92</v>
      </c>
      <c r="U231" s="17">
        <f>S231+T231</f>
        <v>44436.1</v>
      </c>
      <c r="V231" s="9">
        <f>ROUND(P231 / 1.2, 2)</f>
        <v>26.19</v>
      </c>
      <c r="W231" s="9">
        <f>ROUND(Q231 / 1.2, 2)</f>
        <v>532.5</v>
      </c>
      <c r="X231" s="9">
        <f>ROUND(R231 / 1.2, 2)</f>
        <v>558.69000000000005</v>
      </c>
      <c r="Y231" s="9">
        <f t="shared" si="13"/>
        <v>1735.98</v>
      </c>
      <c r="Z231" s="9">
        <f>ROUND(T231 / 1.2, 2)</f>
        <v>35294.1</v>
      </c>
      <c r="AA231" s="9">
        <f>Y231+Z231</f>
        <v>37030.080000000002</v>
      </c>
      <c r="AD231" s="4">
        <v>303752489</v>
      </c>
      <c r="AE231" s="4">
        <v>21807239</v>
      </c>
      <c r="AG231" s="4" t="s">
        <v>1030</v>
      </c>
      <c r="AH231" s="4" t="s">
        <v>1031</v>
      </c>
      <c r="AI231" s="4" t="s">
        <v>247</v>
      </c>
    </row>
    <row r="232" spans="1:35" ht="36" x14ac:dyDescent="0.35">
      <c r="A232" s="10" t="s">
        <v>1108</v>
      </c>
      <c r="B232" s="10"/>
      <c r="C232" s="24" t="s">
        <v>493</v>
      </c>
      <c r="D232" s="15"/>
      <c r="E232" s="15"/>
      <c r="F232" s="25" t="s">
        <v>81</v>
      </c>
      <c r="G232" s="26">
        <v>0.15</v>
      </c>
      <c r="H232" s="26"/>
      <c r="I232" s="26">
        <v>9.9420000000000002</v>
      </c>
      <c r="J232" s="28">
        <v>88.8</v>
      </c>
      <c r="M232" s="29">
        <f>ROUND(ROUND(J232, 2)*I232, 2)</f>
        <v>882.85</v>
      </c>
      <c r="P232" s="30">
        <v>88.8</v>
      </c>
      <c r="S232" s="29">
        <f>ROUND(ROUND(P232, 2)*I232, 2)</f>
        <v>882.85</v>
      </c>
      <c r="V232" s="9">
        <f>ROUND(ROUND(P232, 2)/1.2, 2)</f>
        <v>74</v>
      </c>
      <c r="Y232" s="9">
        <f t="shared" si="13"/>
        <v>735.71</v>
      </c>
      <c r="AD232" s="4" t="s">
        <v>1109</v>
      </c>
      <c r="AE232" s="4" t="s">
        <v>1110</v>
      </c>
      <c r="AF232" s="4" t="s">
        <v>496</v>
      </c>
    </row>
    <row r="233" spans="1:35" ht="36" x14ac:dyDescent="0.35">
      <c r="A233" s="10" t="s">
        <v>1111</v>
      </c>
      <c r="B233" s="10"/>
      <c r="C233" s="37" t="s">
        <v>914</v>
      </c>
      <c r="D233" s="15"/>
      <c r="E233" s="15"/>
      <c r="F233" s="25" t="s">
        <v>81</v>
      </c>
      <c r="G233" s="26">
        <v>1.5</v>
      </c>
      <c r="H233" s="26"/>
      <c r="I233" s="26">
        <v>99.42</v>
      </c>
      <c r="J233" s="28">
        <v>12.06</v>
      </c>
      <c r="M233" s="29">
        <f>ROUND(ROUND(J233, 2)*I233, 2)</f>
        <v>1199.01</v>
      </c>
      <c r="P233" s="30">
        <v>12.07</v>
      </c>
      <c r="S233" s="29">
        <f>ROUND(ROUND(P233, 2)*I233, 2)</f>
        <v>1200</v>
      </c>
      <c r="V233" s="9">
        <f>ROUND(ROUND(P233, 2)/1.2, 2)</f>
        <v>10.06</v>
      </c>
      <c r="Y233" s="9">
        <f t="shared" si="13"/>
        <v>1000</v>
      </c>
      <c r="AD233" s="4" t="s">
        <v>1112</v>
      </c>
      <c r="AE233" s="4" t="s">
        <v>1113</v>
      </c>
      <c r="AF233" s="4" t="s">
        <v>1114</v>
      </c>
    </row>
    <row r="234" spans="1:35" ht="36" x14ac:dyDescent="0.35">
      <c r="A234" s="10" t="s">
        <v>1115</v>
      </c>
      <c r="B234" s="10" t="s">
        <v>1116</v>
      </c>
      <c r="C234" s="14" t="s">
        <v>1117</v>
      </c>
      <c r="D234" s="15"/>
      <c r="E234" s="15" t="s">
        <v>1029</v>
      </c>
      <c r="F234" s="15" t="s">
        <v>56</v>
      </c>
      <c r="G234" s="16">
        <v>1</v>
      </c>
      <c r="H234" s="16"/>
      <c r="I234" s="16">
        <v>216.42</v>
      </c>
      <c r="J234" s="17">
        <f>IFERROR(ROUND(SUM(M235,M236,M237)/I234, 2),0)</f>
        <v>81.25</v>
      </c>
      <c r="K234" s="18">
        <v>508</v>
      </c>
      <c r="L234" s="17">
        <f>J234+ROUND(K234, 2)</f>
        <v>589.25</v>
      </c>
      <c r="M234" s="17">
        <f>ROUND(J234*I234, 2)</f>
        <v>17584.13</v>
      </c>
      <c r="N234" s="17">
        <f>ROUND(I234*ROUND(K234, 2), 2)</f>
        <v>109941.36</v>
      </c>
      <c r="O234" s="17">
        <f>M234+N234</f>
        <v>127525.49</v>
      </c>
      <c r="P234" s="17">
        <f>IFERROR(ROUND(SUM(S235,S236,S237)/I234, 2),0)</f>
        <v>81.25</v>
      </c>
      <c r="Q234" s="19">
        <v>508</v>
      </c>
      <c r="R234" s="17">
        <f>P234+ROUND(Q234, 2)</f>
        <v>589.25</v>
      </c>
      <c r="S234" s="17">
        <f>ROUND(P234*I234, 2)</f>
        <v>17584.13</v>
      </c>
      <c r="T234" s="17">
        <f>ROUND(I234*ROUND(Q234, 2), 2)</f>
        <v>109941.36</v>
      </c>
      <c r="U234" s="17">
        <f>S234+T234</f>
        <v>127525.49</v>
      </c>
      <c r="V234" s="9">
        <f>ROUND(P234 / 1.2, 2)</f>
        <v>67.709999999999994</v>
      </c>
      <c r="W234" s="9">
        <f>ROUND(Q234 / 1.2, 2)</f>
        <v>423.33</v>
      </c>
      <c r="X234" s="9">
        <f>ROUND(R234 / 1.2, 2)</f>
        <v>491.04</v>
      </c>
      <c r="Y234" s="9">
        <f t="shared" si="13"/>
        <v>14653.44</v>
      </c>
      <c r="Z234" s="9">
        <f>ROUND(T234 / 1.2, 2)</f>
        <v>91617.8</v>
      </c>
      <c r="AA234" s="9">
        <f>Y234+Z234</f>
        <v>106271.24</v>
      </c>
      <c r="AD234" s="4">
        <v>303752422</v>
      </c>
      <c r="AE234" s="4">
        <v>19916866</v>
      </c>
      <c r="AG234" s="4" t="s">
        <v>1118</v>
      </c>
      <c r="AH234" s="4" t="s">
        <v>1119</v>
      </c>
      <c r="AI234" s="4" t="s">
        <v>247</v>
      </c>
    </row>
    <row r="235" spans="1:35" ht="54" x14ac:dyDescent="0.35">
      <c r="A235" s="10" t="s">
        <v>1120</v>
      </c>
      <c r="B235" s="10"/>
      <c r="C235" s="24" t="s">
        <v>854</v>
      </c>
      <c r="D235" s="15"/>
      <c r="E235" s="15" t="s">
        <v>855</v>
      </c>
      <c r="F235" s="25" t="s">
        <v>81</v>
      </c>
      <c r="G235" s="26">
        <v>2</v>
      </c>
      <c r="H235" s="26"/>
      <c r="I235" s="26">
        <v>432.84</v>
      </c>
      <c r="J235" s="28">
        <v>23</v>
      </c>
      <c r="M235" s="29">
        <f>ROUND(ROUND(J235, 2)*I235, 2)</f>
        <v>9955.32</v>
      </c>
      <c r="P235" s="30">
        <v>23</v>
      </c>
      <c r="S235" s="29">
        <f>ROUND(ROUND(P235, 2)*I235, 2)</f>
        <v>9955.32</v>
      </c>
      <c r="V235" s="9">
        <f>ROUND(ROUND(P235, 2)/1.2, 2)</f>
        <v>19.170000000000002</v>
      </c>
      <c r="Y235" s="9">
        <f t="shared" si="13"/>
        <v>8296.1</v>
      </c>
      <c r="AD235" s="4" t="s">
        <v>1121</v>
      </c>
      <c r="AE235" s="4" t="s">
        <v>1122</v>
      </c>
      <c r="AF235" s="4" t="s">
        <v>858</v>
      </c>
    </row>
    <row r="236" spans="1:35" ht="18" x14ac:dyDescent="0.35">
      <c r="A236" s="10" t="s">
        <v>1123</v>
      </c>
      <c r="B236" s="10"/>
      <c r="C236" s="24" t="s">
        <v>860</v>
      </c>
      <c r="D236" s="15"/>
      <c r="E236" s="15"/>
      <c r="F236" s="25" t="s">
        <v>103</v>
      </c>
      <c r="G236" s="26">
        <v>0.3</v>
      </c>
      <c r="H236" s="26"/>
      <c r="I236" s="26">
        <v>64.926000000000002</v>
      </c>
      <c r="J236" s="28">
        <v>73.099999999999994</v>
      </c>
      <c r="M236" s="29">
        <f>ROUND(ROUND(J236, 2)*I236, 2)</f>
        <v>4746.09</v>
      </c>
      <c r="P236" s="30">
        <v>73.099999999999994</v>
      </c>
      <c r="S236" s="29">
        <f>ROUND(ROUND(P236, 2)*I236, 2)</f>
        <v>4746.09</v>
      </c>
      <c r="V236" s="9">
        <f>ROUND(ROUND(P236, 2)/1.2, 2)</f>
        <v>60.92</v>
      </c>
      <c r="Y236" s="9">
        <f t="shared" si="13"/>
        <v>3955.08</v>
      </c>
      <c r="AD236" s="4" t="s">
        <v>1124</v>
      </c>
      <c r="AE236" s="4" t="s">
        <v>1125</v>
      </c>
      <c r="AF236" s="4" t="s">
        <v>863</v>
      </c>
    </row>
    <row r="237" spans="1:35" ht="36" x14ac:dyDescent="0.35">
      <c r="A237" s="10" t="s">
        <v>1126</v>
      </c>
      <c r="B237" s="10"/>
      <c r="C237" s="24" t="s">
        <v>493</v>
      </c>
      <c r="D237" s="15"/>
      <c r="E237" s="15"/>
      <c r="F237" s="25" t="s">
        <v>81</v>
      </c>
      <c r="G237" s="26">
        <v>0.15</v>
      </c>
      <c r="H237" s="26"/>
      <c r="I237" s="26">
        <v>32.463000000000001</v>
      </c>
      <c r="J237" s="28">
        <v>88.8</v>
      </c>
      <c r="M237" s="29">
        <f>ROUND(ROUND(J237, 2)*I237, 2)</f>
        <v>2882.71</v>
      </c>
      <c r="P237" s="30">
        <v>88.8</v>
      </c>
      <c r="S237" s="29">
        <f>ROUND(ROUND(P237, 2)*I237, 2)</f>
        <v>2882.71</v>
      </c>
      <c r="V237" s="9">
        <f>ROUND(ROUND(P237, 2)/1.2, 2)</f>
        <v>74</v>
      </c>
      <c r="Y237" s="9">
        <f t="shared" si="13"/>
        <v>2402.2600000000002</v>
      </c>
      <c r="AD237" s="4" t="s">
        <v>1127</v>
      </c>
      <c r="AE237" s="4" t="s">
        <v>1128</v>
      </c>
      <c r="AF237" s="4" t="s">
        <v>496</v>
      </c>
    </row>
    <row r="238" spans="1:35" ht="36" x14ac:dyDescent="0.35">
      <c r="A238" s="10" t="s">
        <v>1129</v>
      </c>
      <c r="B238" s="10" t="s">
        <v>1116</v>
      </c>
      <c r="C238" s="14" t="s">
        <v>1117</v>
      </c>
      <c r="D238" s="15"/>
      <c r="E238" s="15" t="s">
        <v>1044</v>
      </c>
      <c r="F238" s="15" t="s">
        <v>56</v>
      </c>
      <c r="G238" s="16">
        <v>1</v>
      </c>
      <c r="H238" s="16"/>
      <c r="I238" s="16">
        <v>216.42</v>
      </c>
      <c r="J238" s="17">
        <f>IFERROR(ROUND(SUM(M239,M240)/I238, 2),0)</f>
        <v>59.32</v>
      </c>
      <c r="K238" s="18">
        <v>508</v>
      </c>
      <c r="L238" s="17">
        <f>J238+ROUND(K238, 2)</f>
        <v>567.32000000000005</v>
      </c>
      <c r="M238" s="17">
        <f>ROUND(J238*I238, 2)</f>
        <v>12838.03</v>
      </c>
      <c r="N238" s="17">
        <f>ROUND(I238*ROUND(K238, 2), 2)</f>
        <v>109941.36</v>
      </c>
      <c r="O238" s="17">
        <f>M238+N238</f>
        <v>122779.39</v>
      </c>
      <c r="P238" s="17">
        <f>IFERROR(ROUND(SUM(S239,S240)/I238, 2),0)</f>
        <v>59.32</v>
      </c>
      <c r="Q238" s="19">
        <v>508</v>
      </c>
      <c r="R238" s="17">
        <f>P238+ROUND(Q238, 2)</f>
        <v>567.32000000000005</v>
      </c>
      <c r="S238" s="17">
        <f>ROUND(P238*I238, 2)</f>
        <v>12838.03</v>
      </c>
      <c r="T238" s="17">
        <f>ROUND(I238*ROUND(Q238, 2), 2)</f>
        <v>109941.36</v>
      </c>
      <c r="U238" s="17">
        <f>S238+T238</f>
        <v>122779.39</v>
      </c>
      <c r="V238" s="9">
        <f>ROUND(P238 / 1.2, 2)</f>
        <v>49.43</v>
      </c>
      <c r="W238" s="9">
        <f>ROUND(Q238 / 1.2, 2)</f>
        <v>423.33</v>
      </c>
      <c r="X238" s="9">
        <f>ROUND(R238 / 1.2, 2)</f>
        <v>472.77</v>
      </c>
      <c r="Y238" s="9">
        <f t="shared" si="13"/>
        <v>10698.36</v>
      </c>
      <c r="Z238" s="9">
        <f>ROUND(T238 / 1.2, 2)</f>
        <v>91617.8</v>
      </c>
      <c r="AA238" s="9">
        <f>Y238+Z238</f>
        <v>102316.16</v>
      </c>
      <c r="AD238" s="4">
        <v>303752490</v>
      </c>
      <c r="AE238" s="4">
        <v>19916873</v>
      </c>
      <c r="AG238" s="4" t="s">
        <v>1118</v>
      </c>
      <c r="AH238" s="4" t="s">
        <v>1119</v>
      </c>
      <c r="AI238" s="4" t="s">
        <v>247</v>
      </c>
    </row>
    <row r="239" spans="1:35" ht="36" x14ac:dyDescent="0.35">
      <c r="A239" s="10" t="s">
        <v>1130</v>
      </c>
      <c r="B239" s="10"/>
      <c r="C239" s="24" t="s">
        <v>493</v>
      </c>
      <c r="D239" s="15"/>
      <c r="E239" s="15"/>
      <c r="F239" s="25" t="s">
        <v>81</v>
      </c>
      <c r="G239" s="26">
        <v>0.15</v>
      </c>
      <c r="H239" s="26"/>
      <c r="I239" s="26">
        <v>32.463000000000001</v>
      </c>
      <c r="J239" s="28">
        <v>88.8</v>
      </c>
      <c r="M239" s="29">
        <f>ROUND(ROUND(J239, 2)*I239, 2)</f>
        <v>2882.71</v>
      </c>
      <c r="P239" s="30">
        <v>88.8</v>
      </c>
      <c r="S239" s="29">
        <f>ROUND(ROUND(P239, 2)*I239, 2)</f>
        <v>2882.71</v>
      </c>
      <c r="V239" s="9">
        <f>ROUND(ROUND(P239, 2)/1.2, 2)</f>
        <v>74</v>
      </c>
      <c r="Y239" s="9">
        <f t="shared" si="13"/>
        <v>2402.2600000000002</v>
      </c>
      <c r="AD239" s="4" t="s">
        <v>1131</v>
      </c>
      <c r="AE239" s="4" t="s">
        <v>1132</v>
      </c>
      <c r="AF239" s="4" t="s">
        <v>496</v>
      </c>
    </row>
    <row r="240" spans="1:35" ht="54" x14ac:dyDescent="0.35">
      <c r="A240" s="10" t="s">
        <v>1133</v>
      </c>
      <c r="B240" s="10"/>
      <c r="C240" s="24" t="s">
        <v>854</v>
      </c>
      <c r="D240" s="15"/>
      <c r="E240" s="15" t="s">
        <v>1049</v>
      </c>
      <c r="F240" s="25" t="s">
        <v>81</v>
      </c>
      <c r="G240" s="26">
        <v>2</v>
      </c>
      <c r="H240" s="26"/>
      <c r="I240" s="26">
        <v>432.84</v>
      </c>
      <c r="J240" s="28">
        <v>23</v>
      </c>
      <c r="M240" s="29">
        <f>ROUND(ROUND(J240, 2)*I240, 2)</f>
        <v>9955.32</v>
      </c>
      <c r="P240" s="30">
        <v>23</v>
      </c>
      <c r="S240" s="29">
        <f>ROUND(ROUND(P240, 2)*I240, 2)</f>
        <v>9955.32</v>
      </c>
      <c r="V240" s="9">
        <f>ROUND(ROUND(P240, 2)/1.2, 2)</f>
        <v>19.170000000000002</v>
      </c>
      <c r="Y240" s="9">
        <f t="shared" si="13"/>
        <v>8296.1</v>
      </c>
      <c r="AD240" s="4" t="s">
        <v>1134</v>
      </c>
      <c r="AE240" s="4" t="s">
        <v>1135</v>
      </c>
      <c r="AF240" s="4" t="s">
        <v>858</v>
      </c>
    </row>
    <row r="241" spans="1:35" ht="54" x14ac:dyDescent="0.35">
      <c r="A241" s="10" t="s">
        <v>1136</v>
      </c>
      <c r="B241" s="10" t="s">
        <v>1116</v>
      </c>
      <c r="C241" s="14" t="s">
        <v>1117</v>
      </c>
      <c r="D241" s="15"/>
      <c r="E241" s="15" t="s">
        <v>1072</v>
      </c>
      <c r="F241" s="15" t="s">
        <v>56</v>
      </c>
      <c r="G241" s="16">
        <v>1</v>
      </c>
      <c r="H241" s="16"/>
      <c r="I241" s="16">
        <v>1035.18</v>
      </c>
      <c r="J241" s="17">
        <f>IFERROR(ROUND(SUM(M242,M243)/I241, 2),0)</f>
        <v>59.32</v>
      </c>
      <c r="K241" s="18">
        <v>508</v>
      </c>
      <c r="L241" s="17">
        <f>J241+ROUND(K241, 2)</f>
        <v>567.32000000000005</v>
      </c>
      <c r="M241" s="17">
        <f>ROUND(J241*I241, 2)</f>
        <v>61406.879999999997</v>
      </c>
      <c r="N241" s="17">
        <f>ROUND(I241*ROUND(K241, 2), 2)</f>
        <v>525871.43999999994</v>
      </c>
      <c r="O241" s="17">
        <f>M241+N241</f>
        <v>587278.31999999995</v>
      </c>
      <c r="P241" s="17">
        <f>IFERROR(ROUND(SUM(S242,S243)/I241, 2),0)</f>
        <v>59.32</v>
      </c>
      <c r="Q241" s="19">
        <v>508</v>
      </c>
      <c r="R241" s="17">
        <f>P241+ROUND(Q241, 2)</f>
        <v>567.32000000000005</v>
      </c>
      <c r="S241" s="17">
        <f>ROUND(P241*I241, 2)</f>
        <v>61406.879999999997</v>
      </c>
      <c r="T241" s="17">
        <f>ROUND(I241*ROUND(Q241, 2), 2)</f>
        <v>525871.43999999994</v>
      </c>
      <c r="U241" s="17">
        <f>S241+T241</f>
        <v>587278.31999999995</v>
      </c>
      <c r="V241" s="9">
        <f>ROUND(P241 / 1.2, 2)</f>
        <v>49.43</v>
      </c>
      <c r="W241" s="9">
        <f>ROUND(Q241 / 1.2, 2)</f>
        <v>423.33</v>
      </c>
      <c r="X241" s="9">
        <f>ROUND(R241 / 1.2, 2)</f>
        <v>472.77</v>
      </c>
      <c r="Y241" s="9">
        <f t="shared" si="13"/>
        <v>51172.4</v>
      </c>
      <c r="Z241" s="9">
        <f>ROUND(T241 / 1.2, 2)</f>
        <v>438226.2</v>
      </c>
      <c r="AA241" s="9">
        <f>Y241+Z241</f>
        <v>489398.60000000003</v>
      </c>
      <c r="AD241" s="4">
        <v>303752491</v>
      </c>
      <c r="AE241" s="4">
        <v>19916875</v>
      </c>
      <c r="AG241" s="4" t="s">
        <v>1118</v>
      </c>
      <c r="AH241" s="4" t="s">
        <v>1119</v>
      </c>
      <c r="AI241" s="4" t="s">
        <v>247</v>
      </c>
    </row>
    <row r="242" spans="1:35" ht="36" x14ac:dyDescent="0.35">
      <c r="A242" s="10" t="s">
        <v>1137</v>
      </c>
      <c r="B242" s="10"/>
      <c r="C242" s="24" t="s">
        <v>493</v>
      </c>
      <c r="D242" s="15"/>
      <c r="E242" s="15"/>
      <c r="F242" s="25" t="s">
        <v>81</v>
      </c>
      <c r="G242" s="26">
        <v>0.15</v>
      </c>
      <c r="H242" s="26"/>
      <c r="I242" s="26">
        <v>155.27699999999999</v>
      </c>
      <c r="J242" s="28">
        <v>88.8</v>
      </c>
      <c r="M242" s="29">
        <f>ROUND(ROUND(J242, 2)*I242, 2)</f>
        <v>13788.6</v>
      </c>
      <c r="P242" s="30">
        <v>88.8</v>
      </c>
      <c r="S242" s="29">
        <f>ROUND(ROUND(P242, 2)*I242, 2)</f>
        <v>13788.6</v>
      </c>
      <c r="V242" s="9">
        <f>ROUND(ROUND(P242, 2)/1.2, 2)</f>
        <v>74</v>
      </c>
      <c r="Y242" s="9">
        <f t="shared" si="13"/>
        <v>11490.5</v>
      </c>
      <c r="AD242" s="4" t="s">
        <v>1138</v>
      </c>
      <c r="AE242" s="4" t="s">
        <v>1139</v>
      </c>
      <c r="AF242" s="4" t="s">
        <v>496</v>
      </c>
    </row>
    <row r="243" spans="1:35" ht="54" x14ac:dyDescent="0.35">
      <c r="A243" s="10" t="s">
        <v>1140</v>
      </c>
      <c r="B243" s="10"/>
      <c r="C243" s="24" t="s">
        <v>854</v>
      </c>
      <c r="D243" s="15"/>
      <c r="E243" s="15" t="s">
        <v>1049</v>
      </c>
      <c r="F243" s="25" t="s">
        <v>81</v>
      </c>
      <c r="G243" s="26">
        <v>2</v>
      </c>
      <c r="H243" s="26"/>
      <c r="I243" s="26">
        <v>2070.36</v>
      </c>
      <c r="J243" s="28">
        <v>23</v>
      </c>
      <c r="M243" s="29">
        <f>ROUND(ROUND(J243, 2)*I243, 2)</f>
        <v>47618.28</v>
      </c>
      <c r="P243" s="30">
        <v>23</v>
      </c>
      <c r="S243" s="29">
        <f>ROUND(ROUND(P243, 2)*I243, 2)</f>
        <v>47618.28</v>
      </c>
      <c r="V243" s="9">
        <f>ROUND(ROUND(P243, 2)/1.2, 2)</f>
        <v>19.170000000000002</v>
      </c>
      <c r="Y243" s="9">
        <f t="shared" si="13"/>
        <v>39681.9</v>
      </c>
      <c r="AD243" s="4" t="s">
        <v>1141</v>
      </c>
      <c r="AE243" s="4" t="s">
        <v>1142</v>
      </c>
      <c r="AF243" s="4" t="s">
        <v>858</v>
      </c>
    </row>
    <row r="244" spans="1:35" ht="54" x14ac:dyDescent="0.35">
      <c r="A244" s="10" t="s">
        <v>1143</v>
      </c>
      <c r="B244" s="10" t="s">
        <v>1116</v>
      </c>
      <c r="C244" s="14" t="s">
        <v>1117</v>
      </c>
      <c r="D244" s="15"/>
      <c r="E244" s="15" t="s">
        <v>1080</v>
      </c>
      <c r="F244" s="15" t="s">
        <v>56</v>
      </c>
      <c r="G244" s="16">
        <v>1</v>
      </c>
      <c r="H244" s="16"/>
      <c r="I244" s="16">
        <v>1035.18</v>
      </c>
      <c r="J244" s="17">
        <f>IFERROR(ROUND(SUM(M245,M246,M247)/I244, 2),0)</f>
        <v>81.25</v>
      </c>
      <c r="K244" s="18">
        <v>508</v>
      </c>
      <c r="L244" s="17">
        <f>J244+ROUND(K244, 2)</f>
        <v>589.25</v>
      </c>
      <c r="M244" s="17">
        <f>ROUND(J244*I244, 2)</f>
        <v>84108.38</v>
      </c>
      <c r="N244" s="17">
        <f>ROUND(I244*ROUND(K244, 2), 2)</f>
        <v>525871.43999999994</v>
      </c>
      <c r="O244" s="17">
        <f>M244+N244</f>
        <v>609979.81999999995</v>
      </c>
      <c r="P244" s="17">
        <f>IFERROR(ROUND(SUM(S245,S246,S247)/I244, 2),0)</f>
        <v>81.25</v>
      </c>
      <c r="Q244" s="19">
        <v>508</v>
      </c>
      <c r="R244" s="17">
        <f>P244+ROUND(Q244, 2)</f>
        <v>589.25</v>
      </c>
      <c r="S244" s="17">
        <f>ROUND(P244*I244, 2)</f>
        <v>84108.38</v>
      </c>
      <c r="T244" s="17">
        <f>ROUND(I244*ROUND(Q244, 2), 2)</f>
        <v>525871.43999999994</v>
      </c>
      <c r="U244" s="17">
        <f>S244+T244</f>
        <v>609979.81999999995</v>
      </c>
      <c r="V244" s="9">
        <f>ROUND(P244 / 1.2, 2)</f>
        <v>67.709999999999994</v>
      </c>
      <c r="W244" s="9">
        <f>ROUND(Q244 / 1.2, 2)</f>
        <v>423.33</v>
      </c>
      <c r="X244" s="9">
        <f>ROUND(R244 / 1.2, 2)</f>
        <v>491.04</v>
      </c>
      <c r="Y244" s="9">
        <f t="shared" si="13"/>
        <v>70090.320000000007</v>
      </c>
      <c r="Z244" s="9">
        <f>ROUND(T244 / 1.2, 2)</f>
        <v>438226.2</v>
      </c>
      <c r="AA244" s="9">
        <f>Y244+Z244</f>
        <v>508316.52</v>
      </c>
      <c r="AD244" s="4">
        <v>303752492</v>
      </c>
      <c r="AE244" s="4">
        <v>19916868</v>
      </c>
      <c r="AG244" s="4" t="s">
        <v>1118</v>
      </c>
      <c r="AH244" s="4" t="s">
        <v>1119</v>
      </c>
      <c r="AI244" s="4" t="s">
        <v>247</v>
      </c>
    </row>
    <row r="245" spans="1:35" ht="36" x14ac:dyDescent="0.35">
      <c r="A245" s="10" t="s">
        <v>1144</v>
      </c>
      <c r="B245" s="10"/>
      <c r="C245" s="24" t="s">
        <v>493</v>
      </c>
      <c r="D245" s="15"/>
      <c r="E245" s="15"/>
      <c r="F245" s="25" t="s">
        <v>81</v>
      </c>
      <c r="G245" s="26">
        <v>0.15</v>
      </c>
      <c r="H245" s="26"/>
      <c r="I245" s="26">
        <v>155.27699999999999</v>
      </c>
      <c r="J245" s="28">
        <v>88.8</v>
      </c>
      <c r="M245" s="29">
        <f>ROUND(ROUND(J245, 2)*I245, 2)</f>
        <v>13788.6</v>
      </c>
      <c r="P245" s="30">
        <v>88.8</v>
      </c>
      <c r="S245" s="29">
        <f>ROUND(ROUND(P245, 2)*I245, 2)</f>
        <v>13788.6</v>
      </c>
      <c r="V245" s="9">
        <f>ROUND(ROUND(P245, 2)/1.2, 2)</f>
        <v>74</v>
      </c>
      <c r="Y245" s="9">
        <f t="shared" si="13"/>
        <v>11490.5</v>
      </c>
      <c r="AD245" s="4" t="s">
        <v>1145</v>
      </c>
      <c r="AE245" s="4" t="s">
        <v>1146</v>
      </c>
      <c r="AF245" s="4" t="s">
        <v>496</v>
      </c>
    </row>
    <row r="246" spans="1:35" ht="18" x14ac:dyDescent="0.35">
      <c r="A246" s="10" t="s">
        <v>1147</v>
      </c>
      <c r="B246" s="10"/>
      <c r="C246" s="24" t="s">
        <v>860</v>
      </c>
      <c r="D246" s="15"/>
      <c r="E246" s="15"/>
      <c r="F246" s="25" t="s">
        <v>103</v>
      </c>
      <c r="G246" s="26">
        <v>0.3</v>
      </c>
      <c r="H246" s="26"/>
      <c r="I246" s="26">
        <v>310.55399999999997</v>
      </c>
      <c r="J246" s="28">
        <v>73.099999999999994</v>
      </c>
      <c r="M246" s="29">
        <f>ROUND(ROUND(J246, 2)*I246, 2)</f>
        <v>22701.5</v>
      </c>
      <c r="P246" s="30">
        <v>73.099999999999994</v>
      </c>
      <c r="S246" s="29">
        <f>ROUND(ROUND(P246, 2)*I246, 2)</f>
        <v>22701.5</v>
      </c>
      <c r="V246" s="9">
        <f>ROUND(ROUND(P246, 2)/1.2, 2)</f>
        <v>60.92</v>
      </c>
      <c r="Y246" s="9">
        <f t="shared" si="13"/>
        <v>18917.919999999998</v>
      </c>
      <c r="AD246" s="4" t="s">
        <v>1148</v>
      </c>
      <c r="AE246" s="4" t="s">
        <v>1149</v>
      </c>
      <c r="AF246" s="4" t="s">
        <v>863</v>
      </c>
    </row>
    <row r="247" spans="1:35" ht="54" x14ac:dyDescent="0.35">
      <c r="A247" s="10" t="s">
        <v>1150</v>
      </c>
      <c r="B247" s="10"/>
      <c r="C247" s="24" t="s">
        <v>854</v>
      </c>
      <c r="D247" s="15"/>
      <c r="E247" s="15" t="s">
        <v>855</v>
      </c>
      <c r="F247" s="25" t="s">
        <v>81</v>
      </c>
      <c r="G247" s="26">
        <v>2</v>
      </c>
      <c r="H247" s="26"/>
      <c r="I247" s="26">
        <v>2070.36</v>
      </c>
      <c r="J247" s="28">
        <v>23</v>
      </c>
      <c r="M247" s="29">
        <f>ROUND(ROUND(J247, 2)*I247, 2)</f>
        <v>47618.28</v>
      </c>
      <c r="P247" s="30">
        <v>23</v>
      </c>
      <c r="S247" s="29">
        <f>ROUND(ROUND(P247, 2)*I247, 2)</f>
        <v>47618.28</v>
      </c>
      <c r="V247" s="9">
        <f>ROUND(ROUND(P247, 2)/1.2, 2)</f>
        <v>19.170000000000002</v>
      </c>
      <c r="Y247" s="9">
        <f t="shared" si="13"/>
        <v>39681.9</v>
      </c>
      <c r="AD247" s="4" t="s">
        <v>1151</v>
      </c>
      <c r="AE247" s="4" t="s">
        <v>1152</v>
      </c>
      <c r="AF247" s="4" t="s">
        <v>858</v>
      </c>
    </row>
    <row r="248" spans="1:35" ht="36" x14ac:dyDescent="0.35">
      <c r="A248" s="10" t="s">
        <v>1153</v>
      </c>
      <c r="B248" s="10" t="s">
        <v>1116</v>
      </c>
      <c r="C248" s="14" t="s">
        <v>1117</v>
      </c>
      <c r="D248" s="15"/>
      <c r="E248" s="15" t="s">
        <v>1064</v>
      </c>
      <c r="F248" s="15" t="s">
        <v>56</v>
      </c>
      <c r="G248" s="16">
        <v>1</v>
      </c>
      <c r="H248" s="16"/>
      <c r="I248" s="16">
        <v>555.89</v>
      </c>
      <c r="J248" s="17">
        <f>IFERROR(ROUND(SUM(M249,M250)/I248, 2),0)</f>
        <v>59.32</v>
      </c>
      <c r="K248" s="18">
        <v>508</v>
      </c>
      <c r="L248" s="17">
        <f>J248+ROUND(K248, 2)</f>
        <v>567.32000000000005</v>
      </c>
      <c r="M248" s="17">
        <f>ROUND(J248*I248, 2)</f>
        <v>32975.39</v>
      </c>
      <c r="N248" s="17">
        <f>ROUND(I248*ROUND(K248, 2), 2)</f>
        <v>282392.12</v>
      </c>
      <c r="O248" s="17">
        <f>M248+N248</f>
        <v>315367.51</v>
      </c>
      <c r="P248" s="17">
        <f>IFERROR(ROUND(SUM(S249,S250)/I248, 2),0)</f>
        <v>59.32</v>
      </c>
      <c r="Q248" s="19">
        <v>508</v>
      </c>
      <c r="R248" s="17">
        <f>P248+ROUND(Q248, 2)</f>
        <v>567.32000000000005</v>
      </c>
      <c r="S248" s="17">
        <f>ROUND(P248*I248, 2)</f>
        <v>32975.39</v>
      </c>
      <c r="T248" s="17">
        <f>ROUND(I248*ROUND(Q248, 2), 2)</f>
        <v>282392.12</v>
      </c>
      <c r="U248" s="17">
        <f>S248+T248</f>
        <v>315367.51</v>
      </c>
      <c r="V248" s="9">
        <f>ROUND(P248 / 1.2, 2)</f>
        <v>49.43</v>
      </c>
      <c r="W248" s="9">
        <f>ROUND(Q248 / 1.2, 2)</f>
        <v>423.33</v>
      </c>
      <c r="X248" s="9">
        <f>ROUND(R248 / 1.2, 2)</f>
        <v>472.77</v>
      </c>
      <c r="Y248" s="9">
        <f t="shared" si="13"/>
        <v>27479.49</v>
      </c>
      <c r="Z248" s="9">
        <f>ROUND(T248 / 1.2, 2)</f>
        <v>235326.77</v>
      </c>
      <c r="AA248" s="9">
        <f>Y248+Z248</f>
        <v>262806.26</v>
      </c>
      <c r="AD248" s="4">
        <v>303752493</v>
      </c>
      <c r="AE248" s="4">
        <v>19916878</v>
      </c>
      <c r="AG248" s="4" t="s">
        <v>1118</v>
      </c>
      <c r="AH248" s="4" t="s">
        <v>1119</v>
      </c>
      <c r="AI248" s="4" t="s">
        <v>247</v>
      </c>
    </row>
    <row r="249" spans="1:35" ht="36" x14ac:dyDescent="0.35">
      <c r="A249" s="10" t="s">
        <v>1154</v>
      </c>
      <c r="B249" s="10"/>
      <c r="C249" s="24" t="s">
        <v>493</v>
      </c>
      <c r="D249" s="15"/>
      <c r="E249" s="15"/>
      <c r="F249" s="25" t="s">
        <v>81</v>
      </c>
      <c r="G249" s="26">
        <v>0.15</v>
      </c>
      <c r="H249" s="26"/>
      <c r="I249" s="26">
        <v>83.384</v>
      </c>
      <c r="J249" s="28">
        <v>88.8</v>
      </c>
      <c r="M249" s="29">
        <f>ROUND(ROUND(J249, 2)*I249, 2)</f>
        <v>7404.5</v>
      </c>
      <c r="P249" s="30">
        <v>88.8</v>
      </c>
      <c r="S249" s="29">
        <f>ROUND(ROUND(P249, 2)*I249, 2)</f>
        <v>7404.5</v>
      </c>
      <c r="V249" s="9">
        <f>ROUND(ROUND(P249, 2)/1.2, 2)</f>
        <v>74</v>
      </c>
      <c r="Y249" s="9">
        <f t="shared" si="13"/>
        <v>6170.42</v>
      </c>
      <c r="AD249" s="4" t="s">
        <v>1155</v>
      </c>
      <c r="AE249" s="4" t="s">
        <v>1156</v>
      </c>
      <c r="AF249" s="4" t="s">
        <v>496</v>
      </c>
    </row>
    <row r="250" spans="1:35" ht="54" x14ac:dyDescent="0.35">
      <c r="A250" s="10" t="s">
        <v>1157</v>
      </c>
      <c r="B250" s="10"/>
      <c r="C250" s="24" t="s">
        <v>854</v>
      </c>
      <c r="D250" s="15"/>
      <c r="E250" s="15" t="s">
        <v>1049</v>
      </c>
      <c r="F250" s="25" t="s">
        <v>81</v>
      </c>
      <c r="G250" s="26">
        <v>2</v>
      </c>
      <c r="H250" s="26"/>
      <c r="I250" s="26">
        <v>1111.78</v>
      </c>
      <c r="J250" s="28">
        <v>23</v>
      </c>
      <c r="M250" s="29">
        <f>ROUND(ROUND(J250, 2)*I250, 2)</f>
        <v>25570.94</v>
      </c>
      <c r="P250" s="30">
        <v>23</v>
      </c>
      <c r="S250" s="29">
        <f>ROUND(ROUND(P250, 2)*I250, 2)</f>
        <v>25570.94</v>
      </c>
      <c r="V250" s="9">
        <f>ROUND(ROUND(P250, 2)/1.2, 2)</f>
        <v>19.170000000000002</v>
      </c>
      <c r="Y250" s="9">
        <f t="shared" si="13"/>
        <v>21309.119999999999</v>
      </c>
      <c r="AD250" s="4" t="s">
        <v>1158</v>
      </c>
      <c r="AE250" s="4" t="s">
        <v>1159</v>
      </c>
      <c r="AF250" s="4" t="s">
        <v>858</v>
      </c>
    </row>
    <row r="251" spans="1:35" ht="36" x14ac:dyDescent="0.35">
      <c r="A251" s="10" t="s">
        <v>1160</v>
      </c>
      <c r="B251" s="10" t="s">
        <v>1116</v>
      </c>
      <c r="C251" s="14" t="s">
        <v>1117</v>
      </c>
      <c r="D251" s="15"/>
      <c r="E251" s="15" t="s">
        <v>1053</v>
      </c>
      <c r="F251" s="15" t="s">
        <v>56</v>
      </c>
      <c r="G251" s="16">
        <v>1</v>
      </c>
      <c r="H251" s="16"/>
      <c r="I251" s="16">
        <v>555.89</v>
      </c>
      <c r="J251" s="17">
        <f>IFERROR(ROUND(SUM(M252,M253,M254)/I251, 2),0)</f>
        <v>81.25</v>
      </c>
      <c r="K251" s="18">
        <v>508</v>
      </c>
      <c r="L251" s="17">
        <f>J251+ROUND(K251, 2)</f>
        <v>589.25</v>
      </c>
      <c r="M251" s="17">
        <f>ROUND(J251*I251, 2)</f>
        <v>45166.06</v>
      </c>
      <c r="N251" s="17">
        <f>ROUND(I251*ROUND(K251, 2), 2)</f>
        <v>282392.12</v>
      </c>
      <c r="O251" s="17">
        <f>M251+N251</f>
        <v>327558.18</v>
      </c>
      <c r="P251" s="17">
        <f>IFERROR(ROUND(SUM(S252,S253,S254)/I251, 2),0)</f>
        <v>81.25</v>
      </c>
      <c r="Q251" s="19">
        <v>508</v>
      </c>
      <c r="R251" s="17">
        <f>P251+ROUND(Q251, 2)</f>
        <v>589.25</v>
      </c>
      <c r="S251" s="17">
        <f>ROUND(P251*I251, 2)</f>
        <v>45166.06</v>
      </c>
      <c r="T251" s="17">
        <f>ROUND(I251*ROUND(Q251, 2), 2)</f>
        <v>282392.12</v>
      </c>
      <c r="U251" s="17">
        <f>S251+T251</f>
        <v>327558.18</v>
      </c>
      <c r="V251" s="9">
        <f>ROUND(P251 / 1.2, 2)</f>
        <v>67.709999999999994</v>
      </c>
      <c r="W251" s="9">
        <f>ROUND(Q251 / 1.2, 2)</f>
        <v>423.33</v>
      </c>
      <c r="X251" s="9">
        <f>ROUND(R251 / 1.2, 2)</f>
        <v>491.04</v>
      </c>
      <c r="Y251" s="9">
        <f t="shared" si="13"/>
        <v>37638.379999999997</v>
      </c>
      <c r="Z251" s="9">
        <f>ROUND(T251 / 1.2, 2)</f>
        <v>235326.77</v>
      </c>
      <c r="AA251" s="9">
        <f>Y251+Z251</f>
        <v>272965.14999999997</v>
      </c>
      <c r="AD251" s="4">
        <v>303752494</v>
      </c>
      <c r="AE251" s="4">
        <v>19916871</v>
      </c>
      <c r="AG251" s="4" t="s">
        <v>1118</v>
      </c>
      <c r="AH251" s="4" t="s">
        <v>1119</v>
      </c>
      <c r="AI251" s="4" t="s">
        <v>247</v>
      </c>
    </row>
    <row r="252" spans="1:35" ht="36" x14ac:dyDescent="0.35">
      <c r="A252" s="10" t="s">
        <v>1161</v>
      </c>
      <c r="B252" s="10"/>
      <c r="C252" s="24" t="s">
        <v>493</v>
      </c>
      <c r="D252" s="15"/>
      <c r="E252" s="15"/>
      <c r="F252" s="25" t="s">
        <v>81</v>
      </c>
      <c r="G252" s="26">
        <v>0.15</v>
      </c>
      <c r="H252" s="26"/>
      <c r="I252" s="26">
        <v>83.384</v>
      </c>
      <c r="J252" s="28">
        <v>88.8</v>
      </c>
      <c r="M252" s="29">
        <f>ROUND(ROUND(J252, 2)*I252, 2)</f>
        <v>7404.5</v>
      </c>
      <c r="P252" s="30">
        <v>88.8</v>
      </c>
      <c r="S252" s="29">
        <f>ROUND(ROUND(P252, 2)*I252, 2)</f>
        <v>7404.5</v>
      </c>
      <c r="V252" s="9">
        <f>ROUND(ROUND(P252, 2)/1.2, 2)</f>
        <v>74</v>
      </c>
      <c r="Y252" s="9">
        <f t="shared" si="13"/>
        <v>6170.42</v>
      </c>
      <c r="AD252" s="4" t="s">
        <v>1162</v>
      </c>
      <c r="AE252" s="4" t="s">
        <v>1163</v>
      </c>
      <c r="AF252" s="4" t="s">
        <v>496</v>
      </c>
    </row>
    <row r="253" spans="1:35" ht="18" x14ac:dyDescent="0.35">
      <c r="A253" s="10" t="s">
        <v>1164</v>
      </c>
      <c r="B253" s="10"/>
      <c r="C253" s="24" t="s">
        <v>860</v>
      </c>
      <c r="D253" s="15"/>
      <c r="E253" s="15"/>
      <c r="F253" s="25" t="s">
        <v>103</v>
      </c>
      <c r="G253" s="26">
        <v>0.3</v>
      </c>
      <c r="H253" s="26"/>
      <c r="I253" s="26">
        <v>166.767</v>
      </c>
      <c r="J253" s="28">
        <v>73.099999999999994</v>
      </c>
      <c r="M253" s="29">
        <f>ROUND(ROUND(J253, 2)*I253, 2)</f>
        <v>12190.67</v>
      </c>
      <c r="P253" s="30">
        <v>73.099999999999994</v>
      </c>
      <c r="S253" s="29">
        <f>ROUND(ROUND(P253, 2)*I253, 2)</f>
        <v>12190.67</v>
      </c>
      <c r="V253" s="9">
        <f>ROUND(ROUND(P253, 2)/1.2, 2)</f>
        <v>60.92</v>
      </c>
      <c r="Y253" s="9">
        <f t="shared" si="13"/>
        <v>10158.89</v>
      </c>
      <c r="AD253" s="4" t="s">
        <v>1165</v>
      </c>
      <c r="AE253" s="4" t="s">
        <v>1166</v>
      </c>
      <c r="AF253" s="4" t="s">
        <v>863</v>
      </c>
    </row>
    <row r="254" spans="1:35" ht="54" x14ac:dyDescent="0.35">
      <c r="A254" s="10" t="s">
        <v>1167</v>
      </c>
      <c r="B254" s="10"/>
      <c r="C254" s="24" t="s">
        <v>854</v>
      </c>
      <c r="D254" s="15"/>
      <c r="E254" s="15" t="s">
        <v>855</v>
      </c>
      <c r="F254" s="25" t="s">
        <v>81</v>
      </c>
      <c r="G254" s="26">
        <v>2</v>
      </c>
      <c r="H254" s="26"/>
      <c r="I254" s="26">
        <v>1111.78</v>
      </c>
      <c r="J254" s="28">
        <v>23</v>
      </c>
      <c r="M254" s="29">
        <f>ROUND(ROUND(J254, 2)*I254, 2)</f>
        <v>25570.94</v>
      </c>
      <c r="P254" s="30">
        <v>23</v>
      </c>
      <c r="S254" s="29">
        <f>ROUND(ROUND(P254, 2)*I254, 2)</f>
        <v>25570.94</v>
      </c>
      <c r="V254" s="9">
        <f>ROUND(ROUND(P254, 2)/1.2, 2)</f>
        <v>19.170000000000002</v>
      </c>
      <c r="Y254" s="9">
        <f t="shared" si="13"/>
        <v>21309.119999999999</v>
      </c>
      <c r="AD254" s="4" t="s">
        <v>1168</v>
      </c>
      <c r="AE254" s="4" t="s">
        <v>1169</v>
      </c>
      <c r="AF254" s="4" t="s">
        <v>858</v>
      </c>
    </row>
    <row r="255" spans="1:35" ht="36" x14ac:dyDescent="0.35">
      <c r="A255" s="10" t="s">
        <v>1170</v>
      </c>
      <c r="B255" s="10" t="s">
        <v>1116</v>
      </c>
      <c r="C255" s="14" t="s">
        <v>1117</v>
      </c>
      <c r="D255" s="15"/>
      <c r="E255" s="15" t="s">
        <v>1091</v>
      </c>
      <c r="F255" s="15" t="s">
        <v>56</v>
      </c>
      <c r="G255" s="16">
        <v>1</v>
      </c>
      <c r="H255" s="16"/>
      <c r="I255" s="16">
        <v>216.42</v>
      </c>
      <c r="J255" s="17">
        <f>IFERROR(ROUND(SUM(M256,M257)/I255, 2),0)</f>
        <v>54.72</v>
      </c>
      <c r="K255" s="18">
        <v>508</v>
      </c>
      <c r="L255" s="17">
        <f>J255+ROUND(K255, 2)</f>
        <v>562.72</v>
      </c>
      <c r="M255" s="17">
        <f>ROUND(J255*I255, 2)</f>
        <v>11842.5</v>
      </c>
      <c r="N255" s="17">
        <f>ROUND(I255*ROUND(K255, 2), 2)</f>
        <v>109941.36</v>
      </c>
      <c r="O255" s="17">
        <f>M255+N255</f>
        <v>121783.86</v>
      </c>
      <c r="P255" s="17">
        <f>IFERROR(ROUND(SUM(S256,S257)/I255, 2),0)</f>
        <v>54.72</v>
      </c>
      <c r="Q255" s="19">
        <v>508</v>
      </c>
      <c r="R255" s="17">
        <f>P255+ROUND(Q255, 2)</f>
        <v>562.72</v>
      </c>
      <c r="S255" s="17">
        <f>ROUND(P255*I255, 2)</f>
        <v>11842.5</v>
      </c>
      <c r="T255" s="17">
        <f>ROUND(I255*ROUND(Q255, 2), 2)</f>
        <v>109941.36</v>
      </c>
      <c r="U255" s="17">
        <f>S255+T255</f>
        <v>121783.86</v>
      </c>
      <c r="V255" s="9">
        <f>ROUND(P255 / 1.2, 2)</f>
        <v>45.6</v>
      </c>
      <c r="W255" s="9">
        <f>ROUND(Q255 / 1.2, 2)</f>
        <v>423.33</v>
      </c>
      <c r="X255" s="9">
        <f>ROUND(R255 / 1.2, 2)</f>
        <v>468.93</v>
      </c>
      <c r="Y255" s="9">
        <f t="shared" si="13"/>
        <v>9868.75</v>
      </c>
      <c r="Z255" s="9">
        <f>ROUND(T255 / 1.2, 2)</f>
        <v>91617.8</v>
      </c>
      <c r="AA255" s="9">
        <f>Y255+Z255</f>
        <v>101486.55</v>
      </c>
      <c r="AD255" s="4">
        <v>303752495</v>
      </c>
      <c r="AE255" s="4">
        <v>21807245</v>
      </c>
      <c r="AG255" s="4" t="s">
        <v>1118</v>
      </c>
      <c r="AH255" s="4" t="s">
        <v>1119</v>
      </c>
      <c r="AI255" s="4" t="s">
        <v>247</v>
      </c>
    </row>
    <row r="256" spans="1:35" ht="36" x14ac:dyDescent="0.35">
      <c r="A256" s="10" t="s">
        <v>1171</v>
      </c>
      <c r="B256" s="10"/>
      <c r="C256" s="24" t="s">
        <v>493</v>
      </c>
      <c r="D256" s="15"/>
      <c r="E256" s="15"/>
      <c r="F256" s="25" t="s">
        <v>81</v>
      </c>
      <c r="G256" s="26">
        <v>0.15</v>
      </c>
      <c r="H256" s="26"/>
      <c r="I256" s="26">
        <v>32.463000000000001</v>
      </c>
      <c r="J256" s="28">
        <v>88.8</v>
      </c>
      <c r="M256" s="29">
        <f>ROUND(ROUND(J256, 2)*I256, 2)</f>
        <v>2882.71</v>
      </c>
      <c r="P256" s="30">
        <v>88.8</v>
      </c>
      <c r="S256" s="29">
        <f>ROUND(ROUND(P256, 2)*I256, 2)</f>
        <v>2882.71</v>
      </c>
      <c r="V256" s="9">
        <f>ROUND(ROUND(P256, 2)/1.2, 2)</f>
        <v>74</v>
      </c>
      <c r="Y256" s="9">
        <f t="shared" si="13"/>
        <v>2402.2600000000002</v>
      </c>
      <c r="AD256" s="4" t="s">
        <v>1172</v>
      </c>
      <c r="AE256" s="4" t="s">
        <v>1173</v>
      </c>
      <c r="AF256" s="4" t="s">
        <v>496</v>
      </c>
    </row>
    <row r="257" spans="1:35" ht="36" x14ac:dyDescent="0.35">
      <c r="A257" s="10" t="s">
        <v>1174</v>
      </c>
      <c r="B257" s="10"/>
      <c r="C257" s="24" t="s">
        <v>887</v>
      </c>
      <c r="D257" s="15"/>
      <c r="E257" s="15"/>
      <c r="F257" s="25" t="s">
        <v>81</v>
      </c>
      <c r="G257" s="26">
        <v>1.8</v>
      </c>
      <c r="H257" s="26"/>
      <c r="I257" s="26">
        <v>389.55599999999998</v>
      </c>
      <c r="J257" s="28">
        <v>23</v>
      </c>
      <c r="M257" s="29">
        <f>ROUND(ROUND(J257, 2)*I257, 2)</f>
        <v>8959.7900000000009</v>
      </c>
      <c r="P257" s="30">
        <v>23</v>
      </c>
      <c r="S257" s="29">
        <f>ROUND(ROUND(P257, 2)*I257, 2)</f>
        <v>8959.7900000000009</v>
      </c>
      <c r="V257" s="9">
        <f>ROUND(ROUND(P257, 2)/1.2, 2)</f>
        <v>19.170000000000002</v>
      </c>
      <c r="Y257" s="9">
        <f t="shared" si="13"/>
        <v>7466.49</v>
      </c>
      <c r="AD257" s="4" t="s">
        <v>1175</v>
      </c>
      <c r="AE257" s="4" t="s">
        <v>1176</v>
      </c>
      <c r="AF257" s="4" t="s">
        <v>890</v>
      </c>
    </row>
    <row r="258" spans="1:35" ht="54" x14ac:dyDescent="0.35">
      <c r="A258" s="10" t="s">
        <v>1177</v>
      </c>
      <c r="B258" s="10" t="s">
        <v>1116</v>
      </c>
      <c r="C258" s="14" t="s">
        <v>1117</v>
      </c>
      <c r="D258" s="15"/>
      <c r="E258" s="15" t="s">
        <v>1107</v>
      </c>
      <c r="F258" s="15" t="s">
        <v>56</v>
      </c>
      <c r="G258" s="16">
        <v>1</v>
      </c>
      <c r="H258" s="16"/>
      <c r="I258" s="16">
        <v>1035.18</v>
      </c>
      <c r="J258" s="17">
        <f>IFERROR(ROUND(SUM(M259,M260)/I258, 2),0)</f>
        <v>54.72</v>
      </c>
      <c r="K258" s="18">
        <v>508</v>
      </c>
      <c r="L258" s="17">
        <f>J258+ROUND(K258, 2)</f>
        <v>562.72</v>
      </c>
      <c r="M258" s="17">
        <f>ROUND(J258*I258, 2)</f>
        <v>56645.05</v>
      </c>
      <c r="N258" s="17">
        <f>ROUND(I258*ROUND(K258, 2), 2)</f>
        <v>525871.43999999994</v>
      </c>
      <c r="O258" s="17">
        <f>M258+N258</f>
        <v>582516.49</v>
      </c>
      <c r="P258" s="17">
        <f>IFERROR(ROUND(SUM(S259,S260)/I258, 2),0)</f>
        <v>54.72</v>
      </c>
      <c r="Q258" s="19">
        <v>508</v>
      </c>
      <c r="R258" s="17">
        <f>P258+ROUND(Q258, 2)</f>
        <v>562.72</v>
      </c>
      <c r="S258" s="17">
        <f>ROUND(P258*I258, 2)</f>
        <v>56645.05</v>
      </c>
      <c r="T258" s="17">
        <f>ROUND(I258*ROUND(Q258, 2), 2)</f>
        <v>525871.43999999994</v>
      </c>
      <c r="U258" s="17">
        <f>S258+T258</f>
        <v>582516.49</v>
      </c>
      <c r="V258" s="9">
        <f>ROUND(P258 / 1.2, 2)</f>
        <v>45.6</v>
      </c>
      <c r="W258" s="9">
        <f>ROUND(Q258 / 1.2, 2)</f>
        <v>423.33</v>
      </c>
      <c r="X258" s="9">
        <f>ROUND(R258 / 1.2, 2)</f>
        <v>468.93</v>
      </c>
      <c r="Y258" s="9">
        <f t="shared" si="13"/>
        <v>47204.21</v>
      </c>
      <c r="Z258" s="9">
        <f>ROUND(T258 / 1.2, 2)</f>
        <v>438226.2</v>
      </c>
      <c r="AA258" s="9">
        <f>Y258+Z258</f>
        <v>485430.41000000003</v>
      </c>
      <c r="AD258" s="4">
        <v>303752496</v>
      </c>
      <c r="AE258" s="4">
        <v>21807240</v>
      </c>
      <c r="AG258" s="4" t="s">
        <v>1118</v>
      </c>
      <c r="AH258" s="4" t="s">
        <v>1119</v>
      </c>
      <c r="AI258" s="4" t="s">
        <v>247</v>
      </c>
    </row>
    <row r="259" spans="1:35" ht="36" x14ac:dyDescent="0.35">
      <c r="A259" s="10" t="s">
        <v>1178</v>
      </c>
      <c r="B259" s="10"/>
      <c r="C259" s="24" t="s">
        <v>493</v>
      </c>
      <c r="D259" s="15"/>
      <c r="E259" s="15"/>
      <c r="F259" s="25" t="s">
        <v>81</v>
      </c>
      <c r="G259" s="26">
        <v>0.15</v>
      </c>
      <c r="H259" s="26"/>
      <c r="I259" s="26">
        <v>155.27699999999999</v>
      </c>
      <c r="J259" s="28">
        <v>88.8</v>
      </c>
      <c r="M259" s="29">
        <f>ROUND(ROUND(J259, 2)*I259, 2)</f>
        <v>13788.6</v>
      </c>
      <c r="P259" s="30">
        <v>88.8</v>
      </c>
      <c r="S259" s="29">
        <f>ROUND(ROUND(P259, 2)*I259, 2)</f>
        <v>13788.6</v>
      </c>
      <c r="V259" s="9">
        <f>ROUND(ROUND(P259, 2)/1.2, 2)</f>
        <v>74</v>
      </c>
      <c r="Y259" s="9">
        <f t="shared" si="13"/>
        <v>11490.5</v>
      </c>
      <c r="AD259" s="4" t="s">
        <v>1179</v>
      </c>
      <c r="AE259" s="4" t="s">
        <v>1180</v>
      </c>
      <c r="AF259" s="4" t="s">
        <v>496</v>
      </c>
    </row>
    <row r="260" spans="1:35" ht="36" x14ac:dyDescent="0.35">
      <c r="A260" s="10" t="s">
        <v>1181</v>
      </c>
      <c r="B260" s="10"/>
      <c r="C260" s="24" t="s">
        <v>887</v>
      </c>
      <c r="D260" s="15"/>
      <c r="E260" s="15"/>
      <c r="F260" s="25" t="s">
        <v>81</v>
      </c>
      <c r="G260" s="26">
        <v>1.8</v>
      </c>
      <c r="H260" s="26"/>
      <c r="I260" s="26">
        <v>1863.3240000000001</v>
      </c>
      <c r="J260" s="28">
        <v>23</v>
      </c>
      <c r="M260" s="29">
        <f>ROUND(ROUND(J260, 2)*I260, 2)</f>
        <v>42856.45</v>
      </c>
      <c r="P260" s="30">
        <v>23</v>
      </c>
      <c r="S260" s="29">
        <f>ROUND(ROUND(P260, 2)*I260, 2)</f>
        <v>42856.45</v>
      </c>
      <c r="V260" s="9">
        <f>ROUND(ROUND(P260, 2)/1.2, 2)</f>
        <v>19.170000000000002</v>
      </c>
      <c r="Y260" s="9">
        <f t="shared" ref="Y260:Y278" si="14">ROUND(S260 / 1.2, 2)</f>
        <v>35713.71</v>
      </c>
      <c r="AD260" s="4" t="s">
        <v>1182</v>
      </c>
      <c r="AE260" s="4" t="s">
        <v>1183</v>
      </c>
      <c r="AF260" s="4" t="s">
        <v>890</v>
      </c>
    </row>
    <row r="261" spans="1:35" ht="36" x14ac:dyDescent="0.35">
      <c r="A261" s="10" t="s">
        <v>1184</v>
      </c>
      <c r="B261" s="10" t="s">
        <v>1116</v>
      </c>
      <c r="C261" s="14" t="s">
        <v>1117</v>
      </c>
      <c r="D261" s="15"/>
      <c r="E261" s="15" t="s">
        <v>1099</v>
      </c>
      <c r="F261" s="15" t="s">
        <v>56</v>
      </c>
      <c r="G261" s="16">
        <v>1</v>
      </c>
      <c r="H261" s="16"/>
      <c r="I261" s="16">
        <v>555.89</v>
      </c>
      <c r="J261" s="17">
        <f>IFERROR(ROUND(SUM(M262,M263)/I261, 2),0)</f>
        <v>54.72</v>
      </c>
      <c r="K261" s="18">
        <v>508</v>
      </c>
      <c r="L261" s="17">
        <f>J261+ROUND(K261, 2)</f>
        <v>562.72</v>
      </c>
      <c r="M261" s="17">
        <f>ROUND(J261*I261, 2)</f>
        <v>30418.3</v>
      </c>
      <c r="N261" s="17">
        <f>ROUND(I261*ROUND(K261, 2), 2)</f>
        <v>282392.12</v>
      </c>
      <c r="O261" s="17">
        <f>M261+N261</f>
        <v>312810.42</v>
      </c>
      <c r="P261" s="17">
        <f>IFERROR(ROUND(SUM(S262,S263)/I261, 2),0)</f>
        <v>54.72</v>
      </c>
      <c r="Q261" s="19">
        <v>508</v>
      </c>
      <c r="R261" s="17">
        <f>P261+ROUND(Q261, 2)</f>
        <v>562.72</v>
      </c>
      <c r="S261" s="17">
        <f>ROUND(P261*I261, 2)</f>
        <v>30418.3</v>
      </c>
      <c r="T261" s="17">
        <f>ROUND(I261*ROUND(Q261, 2), 2)</f>
        <v>282392.12</v>
      </c>
      <c r="U261" s="17">
        <f>S261+T261</f>
        <v>312810.42</v>
      </c>
      <c r="V261" s="9">
        <f>ROUND(P261 / 1.2, 2)</f>
        <v>45.6</v>
      </c>
      <c r="W261" s="9">
        <f>ROUND(Q261 / 1.2, 2)</f>
        <v>423.33</v>
      </c>
      <c r="X261" s="9">
        <f>ROUND(R261 / 1.2, 2)</f>
        <v>468.93</v>
      </c>
      <c r="Y261" s="9">
        <f t="shared" si="14"/>
        <v>25348.58</v>
      </c>
      <c r="Z261" s="9">
        <f>ROUND(T261 / 1.2, 2)</f>
        <v>235326.77</v>
      </c>
      <c r="AA261" s="9">
        <f>Y261+Z261</f>
        <v>260675.34999999998</v>
      </c>
      <c r="AD261" s="4">
        <v>303752497</v>
      </c>
      <c r="AE261" s="4">
        <v>21807247</v>
      </c>
      <c r="AG261" s="4" t="s">
        <v>1118</v>
      </c>
      <c r="AH261" s="4" t="s">
        <v>1119</v>
      </c>
      <c r="AI261" s="4" t="s">
        <v>247</v>
      </c>
    </row>
    <row r="262" spans="1:35" ht="36" x14ac:dyDescent="0.35">
      <c r="A262" s="10" t="s">
        <v>1185</v>
      </c>
      <c r="B262" s="10"/>
      <c r="C262" s="24" t="s">
        <v>493</v>
      </c>
      <c r="D262" s="15"/>
      <c r="E262" s="15"/>
      <c r="F262" s="25" t="s">
        <v>81</v>
      </c>
      <c r="G262" s="26">
        <v>0.15</v>
      </c>
      <c r="H262" s="26"/>
      <c r="I262" s="26">
        <v>83.384</v>
      </c>
      <c r="J262" s="28">
        <v>88.8</v>
      </c>
      <c r="M262" s="29">
        <f>ROUND(ROUND(J262, 2)*I262, 2)</f>
        <v>7404.5</v>
      </c>
      <c r="P262" s="30">
        <v>88.8</v>
      </c>
      <c r="S262" s="29">
        <f>ROUND(ROUND(P262, 2)*I262, 2)</f>
        <v>7404.5</v>
      </c>
      <c r="V262" s="9">
        <f>ROUND(ROUND(P262, 2)/1.2, 2)</f>
        <v>74</v>
      </c>
      <c r="Y262" s="9">
        <f t="shared" si="14"/>
        <v>6170.42</v>
      </c>
      <c r="AD262" s="4" t="s">
        <v>1186</v>
      </c>
      <c r="AE262" s="4" t="s">
        <v>1187</v>
      </c>
      <c r="AF262" s="4" t="s">
        <v>496</v>
      </c>
    </row>
    <row r="263" spans="1:35" ht="36" x14ac:dyDescent="0.35">
      <c r="A263" s="10" t="s">
        <v>1188</v>
      </c>
      <c r="B263" s="10"/>
      <c r="C263" s="24" t="s">
        <v>887</v>
      </c>
      <c r="D263" s="15"/>
      <c r="E263" s="15"/>
      <c r="F263" s="25" t="s">
        <v>81</v>
      </c>
      <c r="G263" s="26">
        <v>1.8</v>
      </c>
      <c r="H263" s="26"/>
      <c r="I263" s="26">
        <v>1000.602</v>
      </c>
      <c r="J263" s="28">
        <v>23</v>
      </c>
      <c r="M263" s="29">
        <f>ROUND(ROUND(J263, 2)*I263, 2)</f>
        <v>23013.85</v>
      </c>
      <c r="P263" s="30">
        <v>23</v>
      </c>
      <c r="S263" s="29">
        <f>ROUND(ROUND(P263, 2)*I263, 2)</f>
        <v>23013.85</v>
      </c>
      <c r="V263" s="9">
        <f>ROUND(ROUND(P263, 2)/1.2, 2)</f>
        <v>19.170000000000002</v>
      </c>
      <c r="Y263" s="9">
        <f t="shared" si="14"/>
        <v>19178.21</v>
      </c>
      <c r="AD263" s="4" t="s">
        <v>1189</v>
      </c>
      <c r="AE263" s="4" t="s">
        <v>1190</v>
      </c>
      <c r="AF263" s="4" t="s">
        <v>890</v>
      </c>
    </row>
    <row r="264" spans="1:35" ht="72" x14ac:dyDescent="0.35">
      <c r="A264" s="10" t="s">
        <v>1191</v>
      </c>
      <c r="B264" s="10" t="s">
        <v>1192</v>
      </c>
      <c r="C264" s="14" t="s">
        <v>1193</v>
      </c>
      <c r="D264" s="15"/>
      <c r="E264" s="15" t="s">
        <v>1194</v>
      </c>
      <c r="F264" s="15" t="s">
        <v>56</v>
      </c>
      <c r="G264" s="16">
        <v>1</v>
      </c>
      <c r="H264" s="16"/>
      <c r="I264" s="16">
        <v>162.13999999999999</v>
      </c>
      <c r="J264" s="17">
        <f>IFERROR(ROUND(SUM(M265,M266,M267,M268)/I264, 2),0)</f>
        <v>333.01</v>
      </c>
      <c r="K264" s="18">
        <v>873</v>
      </c>
      <c r="L264" s="17">
        <f>J264+ROUND(K264, 2)</f>
        <v>1206.01</v>
      </c>
      <c r="M264" s="17">
        <f>ROUND(J264*I264, 2)</f>
        <v>53994.239999999998</v>
      </c>
      <c r="N264" s="17">
        <f>ROUND(I264*ROUND(K264, 2), 2)</f>
        <v>141548.22</v>
      </c>
      <c r="O264" s="17">
        <f>M264+N264</f>
        <v>195542.46</v>
      </c>
      <c r="P264" s="17">
        <f>IFERROR(ROUND(SUM(S265,S266,S267,S268)/I264, 2),0)</f>
        <v>400.48</v>
      </c>
      <c r="Q264" s="19">
        <v>873</v>
      </c>
      <c r="R264" s="17">
        <f>P264+ROUND(Q264, 2)</f>
        <v>1273.48</v>
      </c>
      <c r="S264" s="17">
        <f>ROUND(P264*I264, 2)</f>
        <v>64933.83</v>
      </c>
      <c r="T264" s="17">
        <f>ROUND(I264*ROUND(Q264, 2), 2)</f>
        <v>141548.22</v>
      </c>
      <c r="U264" s="17">
        <f>S264+T264</f>
        <v>206482.05</v>
      </c>
      <c r="V264" s="9">
        <f>ROUND(P264 / 1.2, 2)</f>
        <v>333.73</v>
      </c>
      <c r="W264" s="9">
        <f>ROUND(Q264 / 1.2, 2)</f>
        <v>727.5</v>
      </c>
      <c r="X264" s="9">
        <f>ROUND(R264 / 1.2, 2)</f>
        <v>1061.23</v>
      </c>
      <c r="Y264" s="9">
        <f t="shared" si="14"/>
        <v>54111.53</v>
      </c>
      <c r="Z264" s="9">
        <f>ROUND(T264 / 1.2, 2)</f>
        <v>117956.85</v>
      </c>
      <c r="AA264" s="9">
        <f>Y264+Z264</f>
        <v>172068.38</v>
      </c>
      <c r="AD264" s="4">
        <v>303752424</v>
      </c>
      <c r="AE264" s="4">
        <v>18538440</v>
      </c>
      <c r="AG264" s="4" t="s">
        <v>1195</v>
      </c>
      <c r="AH264" s="4" t="s">
        <v>1196</v>
      </c>
      <c r="AI264" s="4" t="s">
        <v>247</v>
      </c>
    </row>
    <row r="265" spans="1:35" ht="36" x14ac:dyDescent="0.35">
      <c r="A265" s="10" t="s">
        <v>1197</v>
      </c>
      <c r="B265" s="10"/>
      <c r="C265" s="24" t="s">
        <v>1198</v>
      </c>
      <c r="D265" s="15"/>
      <c r="E265" s="15" t="s">
        <v>1199</v>
      </c>
      <c r="F265" s="25" t="s">
        <v>81</v>
      </c>
      <c r="G265" s="26">
        <v>1.3</v>
      </c>
      <c r="H265" s="27"/>
      <c r="I265" s="27">
        <v>4227.8599999999997</v>
      </c>
      <c r="J265" s="28">
        <v>8.6</v>
      </c>
      <c r="M265" s="29">
        <f>ROUND(ROUND(J265, 2)*I265, 2)</f>
        <v>36359.599999999999</v>
      </c>
      <c r="P265" s="30">
        <v>8.6</v>
      </c>
      <c r="S265" s="29">
        <f>ROUND(ROUND(P265, 2)*I265, 2)</f>
        <v>36359.599999999999</v>
      </c>
      <c r="V265" s="9">
        <f>ROUND(ROUND(P265, 2)/1.2, 2)</f>
        <v>7.17</v>
      </c>
      <c r="Y265" s="9">
        <f t="shared" si="14"/>
        <v>30299.67</v>
      </c>
      <c r="AD265" s="4" t="s">
        <v>1200</v>
      </c>
      <c r="AE265" s="4" t="s">
        <v>1201</v>
      </c>
      <c r="AF265" s="4" t="s">
        <v>1202</v>
      </c>
    </row>
    <row r="266" spans="1:35" ht="36" x14ac:dyDescent="0.35">
      <c r="A266" s="10" t="s">
        <v>1203</v>
      </c>
      <c r="B266" s="10"/>
      <c r="C266" s="24" t="s">
        <v>1204</v>
      </c>
      <c r="D266" s="15"/>
      <c r="E266" s="15" t="s">
        <v>1205</v>
      </c>
      <c r="F266" s="25" t="s">
        <v>56</v>
      </c>
      <c r="G266" s="26">
        <v>1.1000000000000001</v>
      </c>
      <c r="H266" s="26"/>
      <c r="I266" s="26">
        <v>178.35400000000001</v>
      </c>
      <c r="J266" s="28">
        <v>66.16</v>
      </c>
      <c r="M266" s="29">
        <f>ROUND(ROUND(J266, 2)*I266, 2)</f>
        <v>11799.9</v>
      </c>
      <c r="P266" s="30">
        <v>127.5</v>
      </c>
      <c r="S266" s="29">
        <f>ROUND(ROUND(P266, 2)*I266, 2)</f>
        <v>22740.14</v>
      </c>
      <c r="V266" s="9">
        <f>ROUND(ROUND(P266, 2)/1.2, 2)</f>
        <v>106.25</v>
      </c>
      <c r="Y266" s="9">
        <f t="shared" si="14"/>
        <v>18950.12</v>
      </c>
      <c r="AD266" s="4" t="s">
        <v>1206</v>
      </c>
      <c r="AE266" s="4" t="s">
        <v>1207</v>
      </c>
      <c r="AF266" s="4" t="s">
        <v>1208</v>
      </c>
    </row>
    <row r="267" spans="1:35" ht="18" x14ac:dyDescent="0.35">
      <c r="A267" s="10" t="s">
        <v>1209</v>
      </c>
      <c r="B267" s="10"/>
      <c r="C267" s="24" t="s">
        <v>1210</v>
      </c>
      <c r="D267" s="15"/>
      <c r="E267" s="15"/>
      <c r="F267" s="25" t="s">
        <v>129</v>
      </c>
      <c r="G267" s="26">
        <v>1</v>
      </c>
      <c r="H267" s="27"/>
      <c r="I267" s="27">
        <v>113</v>
      </c>
      <c r="J267" s="28">
        <v>15.76</v>
      </c>
      <c r="M267" s="29">
        <f>ROUND(ROUND(J267, 2)*I267, 2)</f>
        <v>1780.88</v>
      </c>
      <c r="P267" s="30">
        <v>15.76</v>
      </c>
      <c r="S267" s="29">
        <f>ROUND(ROUND(P267, 2)*I267, 2)</f>
        <v>1780.88</v>
      </c>
      <c r="V267" s="9">
        <f>ROUND(ROUND(P267, 2)/1.2, 2)</f>
        <v>13.13</v>
      </c>
      <c r="Y267" s="9">
        <f t="shared" si="14"/>
        <v>1484.07</v>
      </c>
      <c r="AD267" s="4" t="s">
        <v>1211</v>
      </c>
      <c r="AE267" s="4" t="s">
        <v>1212</v>
      </c>
      <c r="AF267" s="4" t="s">
        <v>1213</v>
      </c>
    </row>
    <row r="268" spans="1:35" ht="18" x14ac:dyDescent="0.35">
      <c r="A268" s="10" t="s">
        <v>1214</v>
      </c>
      <c r="B268" s="10"/>
      <c r="C268" s="24" t="s">
        <v>316</v>
      </c>
      <c r="D268" s="15"/>
      <c r="E268" s="15"/>
      <c r="F268" s="25" t="s">
        <v>81</v>
      </c>
      <c r="G268" s="26">
        <v>0.25</v>
      </c>
      <c r="H268" s="26"/>
      <c r="I268" s="26">
        <v>40.534999999999997</v>
      </c>
      <c r="J268" s="28">
        <v>100</v>
      </c>
      <c r="M268" s="29">
        <f>ROUND(ROUND(J268, 2)*I268, 2)</f>
        <v>4053.5</v>
      </c>
      <c r="P268" s="30">
        <v>100</v>
      </c>
      <c r="S268" s="29">
        <f>ROUND(ROUND(P268, 2)*I268, 2)</f>
        <v>4053.5</v>
      </c>
      <c r="V268" s="9">
        <f>ROUND(ROUND(P268, 2)/1.2, 2)</f>
        <v>83.33</v>
      </c>
      <c r="Y268" s="9">
        <f t="shared" si="14"/>
        <v>3377.92</v>
      </c>
      <c r="AD268" s="4" t="s">
        <v>1215</v>
      </c>
      <c r="AE268" s="4" t="s">
        <v>1216</v>
      </c>
      <c r="AF268" s="4" t="s">
        <v>319</v>
      </c>
    </row>
    <row r="269" spans="1:35" ht="72" x14ac:dyDescent="0.35">
      <c r="A269" s="10" t="s">
        <v>1217</v>
      </c>
      <c r="B269" s="10" t="s">
        <v>1218</v>
      </c>
      <c r="C269" s="14" t="s">
        <v>1219</v>
      </c>
      <c r="D269" s="15" t="s">
        <v>1220</v>
      </c>
      <c r="E269" s="15" t="s">
        <v>1194</v>
      </c>
      <c r="F269" s="15" t="s">
        <v>56</v>
      </c>
      <c r="G269" s="16">
        <v>1</v>
      </c>
      <c r="H269" s="16"/>
      <c r="I269" s="16">
        <v>164.02</v>
      </c>
      <c r="J269" s="17">
        <f>IFERROR(ROUND(SUM(M270,M271,M272,M273)/I269, 2),0)</f>
        <v>333.67</v>
      </c>
      <c r="K269" s="18">
        <v>954</v>
      </c>
      <c r="L269" s="17">
        <f>J269+ROUND(K269, 2)</f>
        <v>1287.67</v>
      </c>
      <c r="M269" s="17">
        <f>ROUND(J269*I269, 2)</f>
        <v>54728.55</v>
      </c>
      <c r="N269" s="17">
        <f>ROUND(I269*ROUND(K269, 2), 2)</f>
        <v>156475.07999999999</v>
      </c>
      <c r="O269" s="17">
        <f>M269+N269</f>
        <v>211203.63</v>
      </c>
      <c r="P269" s="17">
        <f>IFERROR(ROUND(SUM(S270,S271,S272,S273)/I269, 2),0)</f>
        <v>411.55</v>
      </c>
      <c r="Q269" s="19">
        <v>954</v>
      </c>
      <c r="R269" s="17">
        <f>P269+ROUND(Q269, 2)</f>
        <v>1365.55</v>
      </c>
      <c r="S269" s="17">
        <f>ROUND(P269*I269, 2)</f>
        <v>67502.429999999993</v>
      </c>
      <c r="T269" s="17">
        <f>ROUND(I269*ROUND(Q269, 2), 2)</f>
        <v>156475.07999999999</v>
      </c>
      <c r="U269" s="17">
        <f>S269+T269</f>
        <v>223977.50999999998</v>
      </c>
      <c r="V269" s="9">
        <f>ROUND(P269 / 1.2, 2)</f>
        <v>342.96</v>
      </c>
      <c r="W269" s="9">
        <f>ROUND(Q269 / 1.2, 2)</f>
        <v>795</v>
      </c>
      <c r="X269" s="9">
        <f>ROUND(R269 / 1.2, 2)</f>
        <v>1137.96</v>
      </c>
      <c r="Y269" s="9">
        <f t="shared" si="14"/>
        <v>56252.03</v>
      </c>
      <c r="Z269" s="9">
        <f>ROUND(T269 / 1.2, 2)</f>
        <v>130395.9</v>
      </c>
      <c r="AA269" s="9">
        <f>Y269+Z269</f>
        <v>186647.93</v>
      </c>
      <c r="AD269" s="4">
        <v>303752425</v>
      </c>
      <c r="AE269" s="4">
        <v>18538441</v>
      </c>
      <c r="AG269" s="4" t="s">
        <v>1221</v>
      </c>
      <c r="AH269" s="4" t="s">
        <v>1222</v>
      </c>
      <c r="AI269" s="4" t="s">
        <v>247</v>
      </c>
    </row>
    <row r="270" spans="1:35" ht="36" x14ac:dyDescent="0.35">
      <c r="A270" s="10" t="s">
        <v>1223</v>
      </c>
      <c r="B270" s="10"/>
      <c r="C270" s="24" t="s">
        <v>1198</v>
      </c>
      <c r="D270" s="15"/>
      <c r="E270" s="15" t="s">
        <v>1199</v>
      </c>
      <c r="F270" s="25" t="s">
        <v>81</v>
      </c>
      <c r="G270" s="26">
        <v>1.3</v>
      </c>
      <c r="H270" s="27"/>
      <c r="I270" s="27">
        <v>4264.5200000000004</v>
      </c>
      <c r="J270" s="28">
        <v>8.6</v>
      </c>
      <c r="M270" s="29">
        <f>ROUND(ROUND(J270, 2)*I270, 2)</f>
        <v>36674.870000000003</v>
      </c>
      <c r="P270" s="30">
        <v>9</v>
      </c>
      <c r="S270" s="29">
        <f>ROUND(ROUND(P270, 2)*I270, 2)</f>
        <v>38380.68</v>
      </c>
      <c r="V270" s="9">
        <f>ROUND(ROUND(P270, 2)/1.2, 2)</f>
        <v>7.5</v>
      </c>
      <c r="Y270" s="9">
        <f t="shared" si="14"/>
        <v>31983.9</v>
      </c>
      <c r="AD270" s="4" t="s">
        <v>1224</v>
      </c>
      <c r="AE270" s="4" t="s">
        <v>1225</v>
      </c>
      <c r="AF270" s="4" t="s">
        <v>1202</v>
      </c>
    </row>
    <row r="271" spans="1:35" ht="18" x14ac:dyDescent="0.35">
      <c r="A271" s="10" t="s">
        <v>1226</v>
      </c>
      <c r="B271" s="10"/>
      <c r="C271" s="24" t="s">
        <v>316</v>
      </c>
      <c r="D271" s="15"/>
      <c r="E271" s="15"/>
      <c r="F271" s="25" t="s">
        <v>81</v>
      </c>
      <c r="G271" s="26">
        <v>0.25</v>
      </c>
      <c r="H271" s="26"/>
      <c r="I271" s="26">
        <v>41.005000000000003</v>
      </c>
      <c r="J271" s="28">
        <v>100</v>
      </c>
      <c r="M271" s="29">
        <f>ROUND(ROUND(J271, 2)*I271, 2)</f>
        <v>4100.5</v>
      </c>
      <c r="P271" s="30">
        <v>100</v>
      </c>
      <c r="S271" s="29">
        <f>ROUND(ROUND(P271, 2)*I271, 2)</f>
        <v>4100.5</v>
      </c>
      <c r="V271" s="9">
        <f>ROUND(ROUND(P271, 2)/1.2, 2)</f>
        <v>83.33</v>
      </c>
      <c r="Y271" s="9">
        <f t="shared" si="14"/>
        <v>3417.08</v>
      </c>
      <c r="AD271" s="4" t="s">
        <v>1227</v>
      </c>
      <c r="AE271" s="4" t="s">
        <v>1228</v>
      </c>
      <c r="AF271" s="4" t="s">
        <v>319</v>
      </c>
    </row>
    <row r="272" spans="1:35" ht="36" x14ac:dyDescent="0.35">
      <c r="A272" s="10" t="s">
        <v>1229</v>
      </c>
      <c r="B272" s="10"/>
      <c r="C272" s="24" t="s">
        <v>1204</v>
      </c>
      <c r="D272" s="15"/>
      <c r="E272" s="15"/>
      <c r="F272" s="25" t="s">
        <v>56</v>
      </c>
      <c r="G272" s="26">
        <v>1.1000000000000001</v>
      </c>
      <c r="H272" s="26"/>
      <c r="I272" s="26">
        <v>180.422</v>
      </c>
      <c r="J272" s="28">
        <v>66.16</v>
      </c>
      <c r="M272" s="29">
        <f>ROUND(ROUND(J272, 2)*I272, 2)</f>
        <v>11936.72</v>
      </c>
      <c r="P272" s="30">
        <v>127.5</v>
      </c>
      <c r="S272" s="29">
        <f>ROUND(ROUND(P272, 2)*I272, 2)</f>
        <v>23003.81</v>
      </c>
      <c r="V272" s="9">
        <f>ROUND(ROUND(P272, 2)/1.2, 2)</f>
        <v>106.25</v>
      </c>
      <c r="Y272" s="9">
        <f t="shared" si="14"/>
        <v>19169.84</v>
      </c>
      <c r="AD272" s="4" t="s">
        <v>1230</v>
      </c>
      <c r="AE272" s="4" t="s">
        <v>1231</v>
      </c>
      <c r="AF272" s="4" t="s">
        <v>1208</v>
      </c>
    </row>
    <row r="273" spans="1:35" ht="18" x14ac:dyDescent="0.35">
      <c r="A273" s="10" t="s">
        <v>1232</v>
      </c>
      <c r="B273" s="10"/>
      <c r="C273" s="24" t="s">
        <v>1210</v>
      </c>
      <c r="D273" s="15"/>
      <c r="E273" s="15"/>
      <c r="F273" s="25" t="s">
        <v>129</v>
      </c>
      <c r="G273" s="26">
        <v>1</v>
      </c>
      <c r="H273" s="27"/>
      <c r="I273" s="27">
        <v>128</v>
      </c>
      <c r="J273" s="28">
        <v>15.76</v>
      </c>
      <c r="M273" s="29">
        <f>ROUND(ROUND(J273, 2)*I273, 2)</f>
        <v>2017.28</v>
      </c>
      <c r="P273" s="30">
        <v>15.76</v>
      </c>
      <c r="S273" s="29">
        <f>ROUND(ROUND(P273, 2)*I273, 2)</f>
        <v>2017.28</v>
      </c>
      <c r="V273" s="9">
        <f>ROUND(ROUND(P273, 2)/1.2, 2)</f>
        <v>13.13</v>
      </c>
      <c r="Y273" s="9">
        <f t="shared" si="14"/>
        <v>1681.07</v>
      </c>
      <c r="AD273" s="4" t="s">
        <v>1233</v>
      </c>
      <c r="AE273" s="4" t="s">
        <v>1234</v>
      </c>
      <c r="AF273" s="4" t="s">
        <v>1213</v>
      </c>
    </row>
    <row r="274" spans="1:35" ht="72" x14ac:dyDescent="0.35">
      <c r="A274" s="10" t="s">
        <v>1235</v>
      </c>
      <c r="B274" s="10" t="s">
        <v>1236</v>
      </c>
      <c r="C274" s="14" t="s">
        <v>1237</v>
      </c>
      <c r="D274" s="15" t="s">
        <v>1220</v>
      </c>
      <c r="E274" s="15" t="s">
        <v>1194</v>
      </c>
      <c r="F274" s="15" t="s">
        <v>56</v>
      </c>
      <c r="G274" s="16">
        <v>1</v>
      </c>
      <c r="H274" s="16"/>
      <c r="I274" s="16">
        <v>246.63</v>
      </c>
      <c r="J274" s="17">
        <f>IFERROR(ROUND(SUM(M275,M276,M277,M278)/I274, 2),0)</f>
        <v>331.73</v>
      </c>
      <c r="K274" s="18">
        <v>1074</v>
      </c>
      <c r="L274" s="17">
        <f>J274+ROUND(K274, 2)</f>
        <v>1405.73</v>
      </c>
      <c r="M274" s="17">
        <f>ROUND(J274*I274, 2)</f>
        <v>81814.570000000007</v>
      </c>
      <c r="N274" s="17">
        <f>ROUND(I274*ROUND(K274, 2), 2)</f>
        <v>264880.62</v>
      </c>
      <c r="O274" s="17">
        <f>M274+N274</f>
        <v>346695.19</v>
      </c>
      <c r="P274" s="17">
        <f>IFERROR(ROUND(SUM(S275,S276,S277,S278)/I274, 2),0)</f>
        <v>409.6</v>
      </c>
      <c r="Q274" s="19">
        <v>1074</v>
      </c>
      <c r="R274" s="17">
        <f>P274+ROUND(Q274, 2)</f>
        <v>1483.6</v>
      </c>
      <c r="S274" s="17">
        <f>ROUND(P274*I274, 2)</f>
        <v>101019.65</v>
      </c>
      <c r="T274" s="17">
        <f>ROUND(I274*ROUND(Q274, 2), 2)</f>
        <v>264880.62</v>
      </c>
      <c r="U274" s="17">
        <f>S274+T274</f>
        <v>365900.27</v>
      </c>
      <c r="V274" s="9">
        <f>ROUND(P274 / 1.2, 2)</f>
        <v>341.33</v>
      </c>
      <c r="W274" s="9">
        <f>ROUND(Q274 / 1.2, 2)</f>
        <v>895</v>
      </c>
      <c r="X274" s="9">
        <f>ROUND(R274 / 1.2, 2)</f>
        <v>1236.33</v>
      </c>
      <c r="Y274" s="9">
        <f t="shared" si="14"/>
        <v>84183.039999999994</v>
      </c>
      <c r="Z274" s="9">
        <f>ROUND(T274 / 1.2, 2)</f>
        <v>220733.85</v>
      </c>
      <c r="AA274" s="9">
        <f>Y274+Z274</f>
        <v>304916.89</v>
      </c>
      <c r="AD274" s="4">
        <v>303752426</v>
      </c>
      <c r="AE274" s="4">
        <v>18539040</v>
      </c>
      <c r="AG274" s="4" t="s">
        <v>1238</v>
      </c>
      <c r="AH274" s="4" t="s">
        <v>1239</v>
      </c>
      <c r="AI274" s="4" t="s">
        <v>247</v>
      </c>
    </row>
    <row r="275" spans="1:35" ht="36" x14ac:dyDescent="0.35">
      <c r="A275" s="10" t="s">
        <v>1240</v>
      </c>
      <c r="B275" s="10"/>
      <c r="C275" s="24" t="s">
        <v>1198</v>
      </c>
      <c r="D275" s="15"/>
      <c r="E275" s="15" t="s">
        <v>1199</v>
      </c>
      <c r="F275" s="25" t="s">
        <v>81</v>
      </c>
      <c r="G275" s="26">
        <v>1.3</v>
      </c>
      <c r="H275" s="27"/>
      <c r="I275" s="27">
        <v>6412.38</v>
      </c>
      <c r="J275" s="28">
        <v>8.6</v>
      </c>
      <c r="M275" s="29">
        <f>ROUND(ROUND(J275, 2)*I275, 2)</f>
        <v>55146.47</v>
      </c>
      <c r="P275" s="30">
        <v>9</v>
      </c>
      <c r="S275" s="29">
        <f>ROUND(ROUND(P275, 2)*I275, 2)</f>
        <v>57711.42</v>
      </c>
      <c r="V275" s="9">
        <f>ROUND(ROUND(P275, 2)/1.2, 2)</f>
        <v>7.5</v>
      </c>
      <c r="Y275" s="9">
        <f t="shared" si="14"/>
        <v>48092.85</v>
      </c>
      <c r="AD275" s="4" t="s">
        <v>1241</v>
      </c>
      <c r="AE275" s="4" t="s">
        <v>1242</v>
      </c>
      <c r="AF275" s="4" t="s">
        <v>1202</v>
      </c>
    </row>
    <row r="276" spans="1:35" ht="36" x14ac:dyDescent="0.35">
      <c r="A276" s="10" t="s">
        <v>1243</v>
      </c>
      <c r="B276" s="10"/>
      <c r="C276" s="24" t="s">
        <v>1204</v>
      </c>
      <c r="D276" s="15"/>
      <c r="E276" s="15"/>
      <c r="F276" s="25" t="s">
        <v>56</v>
      </c>
      <c r="G276" s="26">
        <v>1.1000000000000001</v>
      </c>
      <c r="H276" s="26"/>
      <c r="I276" s="26">
        <v>271.29300000000001</v>
      </c>
      <c r="J276" s="28">
        <v>66.16</v>
      </c>
      <c r="M276" s="29">
        <f>ROUND(ROUND(J276, 2)*I276, 2)</f>
        <v>17948.740000000002</v>
      </c>
      <c r="P276" s="30">
        <v>127.5</v>
      </c>
      <c r="S276" s="29">
        <f>ROUND(ROUND(P276, 2)*I276, 2)</f>
        <v>34589.86</v>
      </c>
      <c r="V276" s="9">
        <f>ROUND(ROUND(P276, 2)/1.2, 2)</f>
        <v>106.25</v>
      </c>
      <c r="Y276" s="9">
        <f t="shared" si="14"/>
        <v>28824.880000000001</v>
      </c>
      <c r="AD276" s="4" t="s">
        <v>1244</v>
      </c>
      <c r="AE276" s="4" t="s">
        <v>1245</v>
      </c>
      <c r="AF276" s="4" t="s">
        <v>1208</v>
      </c>
    </row>
    <row r="277" spans="1:35" ht="18" x14ac:dyDescent="0.35">
      <c r="A277" s="10" t="s">
        <v>1246</v>
      </c>
      <c r="B277" s="10"/>
      <c r="C277" s="24" t="s">
        <v>1210</v>
      </c>
      <c r="D277" s="15"/>
      <c r="E277" s="15"/>
      <c r="F277" s="25" t="s">
        <v>129</v>
      </c>
      <c r="G277" s="26">
        <v>1</v>
      </c>
      <c r="H277" s="27"/>
      <c r="I277" s="27">
        <v>162</v>
      </c>
      <c r="J277" s="28">
        <v>15.76</v>
      </c>
      <c r="M277" s="29">
        <f>ROUND(ROUND(J277, 2)*I277, 2)</f>
        <v>2553.12</v>
      </c>
      <c r="P277" s="30">
        <v>15.76</v>
      </c>
      <c r="S277" s="29">
        <f>ROUND(ROUND(P277, 2)*I277, 2)</f>
        <v>2553.12</v>
      </c>
      <c r="V277" s="9">
        <f>ROUND(ROUND(P277, 2)/1.2, 2)</f>
        <v>13.13</v>
      </c>
      <c r="Y277" s="9">
        <f t="shared" si="14"/>
        <v>2127.6</v>
      </c>
      <c r="AD277" s="4" t="s">
        <v>1247</v>
      </c>
      <c r="AE277" s="4" t="s">
        <v>1248</v>
      </c>
      <c r="AF277" s="4" t="s">
        <v>1213</v>
      </c>
    </row>
    <row r="278" spans="1:35" ht="18" x14ac:dyDescent="0.35">
      <c r="A278" s="10" t="s">
        <v>1249</v>
      </c>
      <c r="B278" s="10"/>
      <c r="C278" s="24" t="s">
        <v>316</v>
      </c>
      <c r="D278" s="15"/>
      <c r="E278" s="15"/>
      <c r="F278" s="25" t="s">
        <v>81</v>
      </c>
      <c r="G278" s="26">
        <v>0.25</v>
      </c>
      <c r="H278" s="26"/>
      <c r="I278" s="26">
        <v>61.658000000000001</v>
      </c>
      <c r="J278" s="28">
        <v>100</v>
      </c>
      <c r="M278" s="29">
        <f>ROUND(ROUND(J278, 2)*I278, 2)</f>
        <v>6165.8</v>
      </c>
      <c r="P278" s="30">
        <v>100</v>
      </c>
      <c r="S278" s="29">
        <f>ROUND(ROUND(P278, 2)*I278, 2)</f>
        <v>6165.8</v>
      </c>
      <c r="V278" s="9">
        <f>ROUND(ROUND(P278, 2)/1.2, 2)</f>
        <v>83.33</v>
      </c>
      <c r="Y278" s="9">
        <f t="shared" si="14"/>
        <v>5138.17</v>
      </c>
      <c r="AD278" s="4" t="s">
        <v>1250</v>
      </c>
      <c r="AE278" s="4" t="s">
        <v>1251</v>
      </c>
      <c r="AF278" s="4" t="s">
        <v>319</v>
      </c>
    </row>
    <row r="279" spans="1:35" ht="17" customHeight="1" x14ac:dyDescent="0.35">
      <c r="A279" s="10" t="s">
        <v>1252</v>
      </c>
      <c r="B279" s="10" t="s">
        <v>1253</v>
      </c>
      <c r="C279" s="100" t="s">
        <v>1254</v>
      </c>
      <c r="D279" s="101"/>
      <c r="E279" s="101"/>
      <c r="F279" s="101"/>
      <c r="G279" s="101"/>
      <c r="H279" s="101"/>
      <c r="I279" s="102"/>
      <c r="M279" s="6">
        <f>SUM(M280,M283,M286,M289,M292)</f>
        <v>280760.78999999998</v>
      </c>
      <c r="N279" s="6">
        <f>SUM(N280,N283,N286,N289,N292)</f>
        <v>1976328.08</v>
      </c>
      <c r="O279" s="6">
        <f>SUM(O280,O283,O286,O289,O292)</f>
        <v>2257088.87</v>
      </c>
      <c r="S279" s="6">
        <f>SUM(S280,S283,S286,S289,S292)</f>
        <v>390547.39</v>
      </c>
      <c r="T279" s="6">
        <f>SUM(T280,T283,T286,T289,T292)</f>
        <v>1976328.08</v>
      </c>
      <c r="U279" s="6">
        <f>SUM(U280,U283,U286,U289,U292)</f>
        <v>2366875.4700000002</v>
      </c>
      <c r="Y279" s="9">
        <f>SUM(Y280,Y283,Y286,Y289,Y292)</f>
        <v>325456.15999999997</v>
      </c>
      <c r="Z279" s="9">
        <f>SUM(Z280,Z283,Z286,Z289,Z292)</f>
        <v>1646940.07</v>
      </c>
      <c r="AA279" s="9">
        <f>SUM(AA280,AA283,AA286,AA289,AA292)</f>
        <v>1972396.23</v>
      </c>
      <c r="AD279" s="4">
        <v>303752427</v>
      </c>
      <c r="AE279" s="4">
        <v>16076860</v>
      </c>
    </row>
    <row r="280" spans="1:35" ht="36" x14ac:dyDescent="0.35">
      <c r="A280" s="10" t="s">
        <v>1255</v>
      </c>
      <c r="B280" s="10" t="s">
        <v>1256</v>
      </c>
      <c r="C280" s="14" t="s">
        <v>1257</v>
      </c>
      <c r="D280" s="15"/>
      <c r="E280" s="15" t="s">
        <v>1258</v>
      </c>
      <c r="F280" s="15" t="s">
        <v>56</v>
      </c>
      <c r="G280" s="16">
        <v>1</v>
      </c>
      <c r="H280" s="16"/>
      <c r="I280" s="16">
        <v>0</v>
      </c>
      <c r="J280" s="17">
        <f>IFERROR(ROUND(SUM(M281,M282)/I280, 2),0)</f>
        <v>0</v>
      </c>
      <c r="K280" s="18">
        <v>276</v>
      </c>
      <c r="L280" s="17">
        <f>J280+ROUND(K280, 2)</f>
        <v>276</v>
      </c>
      <c r="M280" s="17">
        <f>ROUND(J280*I280, 2)</f>
        <v>0</v>
      </c>
      <c r="N280" s="17">
        <f>ROUND(I280*ROUND(K280, 2), 2)</f>
        <v>0</v>
      </c>
      <c r="O280" s="17">
        <f>M280+N280</f>
        <v>0</v>
      </c>
      <c r="P280" s="17">
        <f>IFERROR(ROUND(SUM(S281,S282)/I280, 2),0)</f>
        <v>0</v>
      </c>
      <c r="Q280" s="18">
        <v>251</v>
      </c>
      <c r="R280" s="17">
        <f>P280+ROUND(Q280, 2)</f>
        <v>251</v>
      </c>
      <c r="S280" s="17">
        <f>ROUND(P280*I280, 2)</f>
        <v>0</v>
      </c>
      <c r="T280" s="17">
        <f>ROUND(I280*ROUND(Q280, 2), 2)</f>
        <v>0</v>
      </c>
      <c r="U280" s="17">
        <f>S280+T280</f>
        <v>0</v>
      </c>
      <c r="V280" s="9">
        <f>ROUND(P280 / 1.2, 2)</f>
        <v>0</v>
      </c>
      <c r="W280" s="9">
        <f>ROUND(Q280 / 1.2, 2)</f>
        <v>209.17</v>
      </c>
      <c r="X280" s="9">
        <f>ROUND(R280 / 1.2, 2)</f>
        <v>209.17</v>
      </c>
      <c r="Y280" s="9">
        <f>ROUND(S280 / 1.2, 2)</f>
        <v>0</v>
      </c>
      <c r="Z280" s="9">
        <f>ROUND(T280 / 1.2, 2)</f>
        <v>0</v>
      </c>
      <c r="AA280" s="9">
        <f>Y280+Z280</f>
        <v>0</v>
      </c>
      <c r="AD280" s="4">
        <v>303752429</v>
      </c>
      <c r="AE280" s="4">
        <v>16076863</v>
      </c>
      <c r="AG280" s="4" t="s">
        <v>1259</v>
      </c>
      <c r="AH280" s="4" t="s">
        <v>1260</v>
      </c>
      <c r="AI280" s="4" t="s">
        <v>247</v>
      </c>
    </row>
    <row r="281" spans="1:35" ht="36" x14ac:dyDescent="0.35">
      <c r="A281" s="10" t="s">
        <v>1262</v>
      </c>
      <c r="B281" s="10"/>
      <c r="C281" s="24" t="s">
        <v>721</v>
      </c>
      <c r="D281" s="15"/>
      <c r="E281" s="15"/>
      <c r="F281" s="25" t="s">
        <v>81</v>
      </c>
      <c r="G281" s="26">
        <v>0.15</v>
      </c>
      <c r="H281" s="26"/>
      <c r="I281" s="26">
        <v>0</v>
      </c>
      <c r="J281" s="28">
        <v>80</v>
      </c>
      <c r="M281" s="29">
        <f>ROUND(ROUND(J281, 2)*I281, 2)</f>
        <v>0</v>
      </c>
      <c r="P281" s="28">
        <v>80</v>
      </c>
      <c r="S281" s="29">
        <f>ROUND(ROUND(P281, 2)*I281, 2)</f>
        <v>0</v>
      </c>
      <c r="V281" s="9">
        <f>ROUND(ROUND(P281, 2)/1.2, 2)</f>
        <v>66.67</v>
      </c>
      <c r="Y281" s="9">
        <f t="shared" ref="Y281:Y294" si="15">ROUND(S281 / 1.2, 2)</f>
        <v>0</v>
      </c>
      <c r="AD281" s="4" t="s">
        <v>1263</v>
      </c>
      <c r="AE281" s="4" t="s">
        <v>1264</v>
      </c>
      <c r="AF281" s="4" t="s">
        <v>724</v>
      </c>
    </row>
    <row r="282" spans="1:35" ht="90" x14ac:dyDescent="0.35">
      <c r="A282" s="10" t="s">
        <v>1267</v>
      </c>
      <c r="B282" s="10"/>
      <c r="C282" s="24" t="s">
        <v>1268</v>
      </c>
      <c r="D282" s="15"/>
      <c r="E282" s="15" t="s">
        <v>1269</v>
      </c>
      <c r="F282" s="25" t="s">
        <v>81</v>
      </c>
      <c r="G282" s="26">
        <v>0.3</v>
      </c>
      <c r="H282" s="26"/>
      <c r="I282" s="26">
        <v>0</v>
      </c>
      <c r="J282" s="28">
        <v>21.1</v>
      </c>
      <c r="M282" s="29">
        <f>ROUND(ROUND(J282, 2)*I282, 2)</f>
        <v>0</v>
      </c>
      <c r="P282" s="28">
        <v>21.1</v>
      </c>
      <c r="S282" s="29">
        <f>ROUND(ROUND(P282, 2)*I282, 2)</f>
        <v>0</v>
      </c>
      <c r="V282" s="9">
        <f>ROUND(ROUND(P282, 2)/1.2, 2)</f>
        <v>17.579999999999998</v>
      </c>
      <c r="Y282" s="9">
        <f t="shared" si="15"/>
        <v>0</v>
      </c>
      <c r="AD282" s="4" t="s">
        <v>1270</v>
      </c>
      <c r="AE282" s="4" t="s">
        <v>1271</v>
      </c>
      <c r="AF282" s="4" t="s">
        <v>1272</v>
      </c>
    </row>
    <row r="283" spans="1:35" ht="36" x14ac:dyDescent="0.35">
      <c r="A283" s="10" t="s">
        <v>1275</v>
      </c>
      <c r="B283" s="10" t="s">
        <v>1276</v>
      </c>
      <c r="C283" s="14" t="s">
        <v>1277</v>
      </c>
      <c r="D283" s="15"/>
      <c r="E283" s="15" t="s">
        <v>1278</v>
      </c>
      <c r="F283" s="15" t="s">
        <v>56</v>
      </c>
      <c r="G283" s="16">
        <v>1</v>
      </c>
      <c r="H283" s="16"/>
      <c r="I283" s="16">
        <v>1049.68</v>
      </c>
      <c r="J283" s="17">
        <f>IFERROR(ROUND(SUM(M284,M285)/I283, 2),0)</f>
        <v>75.650000000000006</v>
      </c>
      <c r="K283" s="18">
        <v>428</v>
      </c>
      <c r="L283" s="17">
        <f>J283+ROUND(K283, 2)</f>
        <v>503.65</v>
      </c>
      <c r="M283" s="17">
        <f>ROUND(J283*I283, 2)</f>
        <v>79408.289999999994</v>
      </c>
      <c r="N283" s="17">
        <f>ROUND(I283*ROUND(K283, 2), 2)</f>
        <v>449263.04</v>
      </c>
      <c r="O283" s="17">
        <f>M283+N283</f>
        <v>528671.32999999996</v>
      </c>
      <c r="P283" s="17">
        <f>IFERROR(ROUND(SUM(S284,S285)/I283, 2),0)</f>
        <v>75.650000000000006</v>
      </c>
      <c r="Q283" s="19">
        <v>428</v>
      </c>
      <c r="R283" s="17">
        <f>P283+ROUND(Q283, 2)</f>
        <v>503.65</v>
      </c>
      <c r="S283" s="17">
        <f>ROUND(P283*I283, 2)</f>
        <v>79408.289999999994</v>
      </c>
      <c r="T283" s="17">
        <f>ROUND(I283*ROUND(Q283, 2), 2)</f>
        <v>449263.04</v>
      </c>
      <c r="U283" s="17">
        <f>S283+T283</f>
        <v>528671.32999999996</v>
      </c>
      <c r="V283" s="9">
        <f>ROUND(P283 / 1.2, 2)</f>
        <v>63.04</v>
      </c>
      <c r="W283" s="9">
        <f>ROUND(Q283 / 1.2, 2)</f>
        <v>356.67</v>
      </c>
      <c r="X283" s="9">
        <f>ROUND(R283 / 1.2, 2)</f>
        <v>419.71</v>
      </c>
      <c r="Y283" s="9">
        <f t="shared" si="15"/>
        <v>66173.58</v>
      </c>
      <c r="Z283" s="9">
        <f>ROUND(T283 / 1.2, 2)</f>
        <v>374385.87</v>
      </c>
      <c r="AA283" s="9">
        <f>Y283+Z283</f>
        <v>440559.45</v>
      </c>
      <c r="AD283" s="4">
        <v>303752431</v>
      </c>
      <c r="AE283" s="4">
        <v>19934100</v>
      </c>
      <c r="AG283" s="4" t="s">
        <v>1279</v>
      </c>
      <c r="AH283" s="4" t="s">
        <v>1280</v>
      </c>
      <c r="AI283" s="4" t="s">
        <v>247</v>
      </c>
    </row>
    <row r="284" spans="1:35" ht="36" x14ac:dyDescent="0.35">
      <c r="A284" s="10" t="s">
        <v>1281</v>
      </c>
      <c r="B284" s="10"/>
      <c r="C284" s="24" t="s">
        <v>1282</v>
      </c>
      <c r="D284" s="15"/>
      <c r="E284" s="15"/>
      <c r="F284" s="25" t="s">
        <v>81</v>
      </c>
      <c r="G284" s="26">
        <v>0.17</v>
      </c>
      <c r="H284" s="26"/>
      <c r="I284" s="26">
        <v>178.446</v>
      </c>
      <c r="J284" s="28">
        <v>366.67</v>
      </c>
      <c r="M284" s="29">
        <f>ROUND(ROUND(J284, 2)*I284, 2)</f>
        <v>65430.79</v>
      </c>
      <c r="P284" s="30">
        <v>366.67</v>
      </c>
      <c r="S284" s="29">
        <f>ROUND(ROUND(P284, 2)*I284, 2)</f>
        <v>65430.79</v>
      </c>
      <c r="V284" s="9">
        <f>ROUND(ROUND(P284, 2)/1.2, 2)</f>
        <v>305.56</v>
      </c>
      <c r="Y284" s="9">
        <f t="shared" si="15"/>
        <v>54525.66</v>
      </c>
      <c r="AD284" s="4" t="s">
        <v>1283</v>
      </c>
      <c r="AE284" s="4" t="s">
        <v>1284</v>
      </c>
      <c r="AF284" s="4" t="s">
        <v>1285</v>
      </c>
    </row>
    <row r="285" spans="1:35" ht="36" x14ac:dyDescent="0.35">
      <c r="A285" s="10" t="s">
        <v>1286</v>
      </c>
      <c r="B285" s="10"/>
      <c r="C285" s="24" t="s">
        <v>493</v>
      </c>
      <c r="D285" s="15"/>
      <c r="E285" s="15"/>
      <c r="F285" s="25" t="s">
        <v>81</v>
      </c>
      <c r="G285" s="26">
        <v>0.15</v>
      </c>
      <c r="H285" s="26"/>
      <c r="I285" s="26">
        <v>157.452</v>
      </c>
      <c r="J285" s="28">
        <v>88.8</v>
      </c>
      <c r="M285" s="29">
        <f>ROUND(ROUND(J285, 2)*I285, 2)</f>
        <v>13981.74</v>
      </c>
      <c r="P285" s="30">
        <v>88.8</v>
      </c>
      <c r="S285" s="29">
        <f>ROUND(ROUND(P285, 2)*I285, 2)</f>
        <v>13981.74</v>
      </c>
      <c r="V285" s="9">
        <f>ROUND(ROUND(P285, 2)/1.2, 2)</f>
        <v>74</v>
      </c>
      <c r="Y285" s="9">
        <f t="shared" si="15"/>
        <v>11651.45</v>
      </c>
      <c r="AD285" s="4" t="s">
        <v>1287</v>
      </c>
      <c r="AE285" s="4" t="s">
        <v>1288</v>
      </c>
      <c r="AF285" s="4" t="s">
        <v>496</v>
      </c>
    </row>
    <row r="286" spans="1:35" ht="36" x14ac:dyDescent="0.35">
      <c r="A286" s="10" t="s">
        <v>1289</v>
      </c>
      <c r="B286" s="10" t="s">
        <v>1276</v>
      </c>
      <c r="C286" s="14" t="s">
        <v>1277</v>
      </c>
      <c r="D286" s="15"/>
      <c r="E286" s="15" t="s">
        <v>1290</v>
      </c>
      <c r="F286" s="15" t="s">
        <v>56</v>
      </c>
      <c r="G286" s="16">
        <v>1</v>
      </c>
      <c r="H286" s="16"/>
      <c r="I286" s="16">
        <v>1075.9000000000001</v>
      </c>
      <c r="J286" s="17">
        <f>IFERROR(ROUND(SUM(M287,M288)/I286, 2),0)</f>
        <v>75.650000000000006</v>
      </c>
      <c r="K286" s="18">
        <v>428</v>
      </c>
      <c r="L286" s="17">
        <f>J286+ROUND(K286, 2)</f>
        <v>503.65</v>
      </c>
      <c r="M286" s="17">
        <f>ROUND(J286*I286, 2)</f>
        <v>81391.839999999997</v>
      </c>
      <c r="N286" s="17">
        <f>ROUND(I286*ROUND(K286, 2), 2)</f>
        <v>460485.2</v>
      </c>
      <c r="O286" s="17">
        <f>M286+N286</f>
        <v>541877.04</v>
      </c>
      <c r="P286" s="17">
        <f>IFERROR(ROUND(SUM(S287,S288)/I286, 2),0)</f>
        <v>75.650000000000006</v>
      </c>
      <c r="Q286" s="19">
        <v>428</v>
      </c>
      <c r="R286" s="17">
        <f>P286+ROUND(Q286, 2)</f>
        <v>503.65</v>
      </c>
      <c r="S286" s="17">
        <f>ROUND(P286*I286, 2)</f>
        <v>81391.839999999997</v>
      </c>
      <c r="T286" s="17">
        <f>ROUND(I286*ROUND(Q286, 2), 2)</f>
        <v>460485.2</v>
      </c>
      <c r="U286" s="17">
        <f>S286+T286</f>
        <v>541877.04</v>
      </c>
      <c r="V286" s="9">
        <f>ROUND(P286 / 1.2, 2)</f>
        <v>63.04</v>
      </c>
      <c r="W286" s="9">
        <f>ROUND(Q286 / 1.2, 2)</f>
        <v>356.67</v>
      </c>
      <c r="X286" s="9">
        <f>ROUND(R286 / 1.2, 2)</f>
        <v>419.71</v>
      </c>
      <c r="Y286" s="9">
        <f t="shared" si="15"/>
        <v>67826.53</v>
      </c>
      <c r="Z286" s="9">
        <f>ROUND(T286 / 1.2, 2)</f>
        <v>383737.67</v>
      </c>
      <c r="AA286" s="9">
        <f>Y286+Z286</f>
        <v>451564.19999999995</v>
      </c>
      <c r="AD286" s="4">
        <v>303752498</v>
      </c>
      <c r="AE286" s="4">
        <v>19934099</v>
      </c>
      <c r="AG286" s="4" t="s">
        <v>1279</v>
      </c>
      <c r="AH286" s="4" t="s">
        <v>1280</v>
      </c>
      <c r="AI286" s="4" t="s">
        <v>247</v>
      </c>
    </row>
    <row r="287" spans="1:35" ht="36" x14ac:dyDescent="0.35">
      <c r="A287" s="10" t="s">
        <v>1291</v>
      </c>
      <c r="B287" s="10"/>
      <c r="C287" s="24" t="s">
        <v>493</v>
      </c>
      <c r="D287" s="15"/>
      <c r="E287" s="15"/>
      <c r="F287" s="25" t="s">
        <v>81</v>
      </c>
      <c r="G287" s="26">
        <v>0.15</v>
      </c>
      <c r="H287" s="26"/>
      <c r="I287" s="26">
        <v>161.38499999999999</v>
      </c>
      <c r="J287" s="28">
        <v>88.8</v>
      </c>
      <c r="M287" s="29">
        <f>ROUND(ROUND(J287, 2)*I287, 2)</f>
        <v>14330.99</v>
      </c>
      <c r="P287" s="30">
        <v>88.8</v>
      </c>
      <c r="S287" s="29">
        <f>ROUND(ROUND(P287, 2)*I287, 2)</f>
        <v>14330.99</v>
      </c>
      <c r="V287" s="9">
        <f>ROUND(ROUND(P287, 2)/1.2, 2)</f>
        <v>74</v>
      </c>
      <c r="Y287" s="9">
        <f t="shared" si="15"/>
        <v>11942.49</v>
      </c>
      <c r="AD287" s="4" t="s">
        <v>1292</v>
      </c>
      <c r="AE287" s="4" t="s">
        <v>1293</v>
      </c>
      <c r="AF287" s="4" t="s">
        <v>496</v>
      </c>
    </row>
    <row r="288" spans="1:35" ht="36" x14ac:dyDescent="0.35">
      <c r="A288" s="10" t="s">
        <v>1294</v>
      </c>
      <c r="B288" s="10"/>
      <c r="C288" s="24" t="s">
        <v>1282</v>
      </c>
      <c r="D288" s="15"/>
      <c r="E288" s="15"/>
      <c r="F288" s="25" t="s">
        <v>81</v>
      </c>
      <c r="G288" s="26">
        <v>0.17</v>
      </c>
      <c r="H288" s="26"/>
      <c r="I288" s="26">
        <v>182.90299999999999</v>
      </c>
      <c r="J288" s="28">
        <v>366.67</v>
      </c>
      <c r="M288" s="29">
        <f>ROUND(ROUND(J288, 2)*I288, 2)</f>
        <v>67065.039999999994</v>
      </c>
      <c r="P288" s="30">
        <v>366.67</v>
      </c>
      <c r="S288" s="29">
        <f>ROUND(ROUND(P288, 2)*I288, 2)</f>
        <v>67065.039999999994</v>
      </c>
      <c r="V288" s="9">
        <f>ROUND(ROUND(P288, 2)/1.2, 2)</f>
        <v>305.56</v>
      </c>
      <c r="Y288" s="9">
        <f t="shared" si="15"/>
        <v>55887.53</v>
      </c>
      <c r="AD288" s="4" t="s">
        <v>1295</v>
      </c>
      <c r="AE288" s="4" t="s">
        <v>1296</v>
      </c>
      <c r="AF288" s="4" t="s">
        <v>1285</v>
      </c>
    </row>
    <row r="289" spans="1:35" ht="36" x14ac:dyDescent="0.35">
      <c r="A289" s="10" t="s">
        <v>1297</v>
      </c>
      <c r="B289" s="10" t="s">
        <v>1276</v>
      </c>
      <c r="C289" s="14" t="s">
        <v>1277</v>
      </c>
      <c r="D289" s="15"/>
      <c r="E289" s="15" t="s">
        <v>1298</v>
      </c>
      <c r="F289" s="15" t="s">
        <v>56</v>
      </c>
      <c r="G289" s="16">
        <v>1</v>
      </c>
      <c r="H289" s="16"/>
      <c r="I289" s="16">
        <v>1410</v>
      </c>
      <c r="J289" s="17">
        <f>IFERROR(ROUND(SUM(M290,M291)/I289, 2),0)</f>
        <v>75.650000000000006</v>
      </c>
      <c r="K289" s="18">
        <v>428</v>
      </c>
      <c r="L289" s="17">
        <f>J289+ROUND(K289, 2)</f>
        <v>503.65</v>
      </c>
      <c r="M289" s="17">
        <f>ROUND(J289*I289, 2)</f>
        <v>106666.5</v>
      </c>
      <c r="N289" s="17">
        <f>ROUND(I289*ROUND(K289, 2), 2)</f>
        <v>603480</v>
      </c>
      <c r="O289" s="17">
        <f>M289+N289</f>
        <v>710146.5</v>
      </c>
      <c r="P289" s="17">
        <f>IFERROR(ROUND(SUM(S290,S291)/I289, 2),0)</f>
        <v>75.650000000000006</v>
      </c>
      <c r="Q289" s="19">
        <v>428</v>
      </c>
      <c r="R289" s="17">
        <f>P289+ROUND(Q289, 2)</f>
        <v>503.65</v>
      </c>
      <c r="S289" s="17">
        <f>ROUND(P289*I289, 2)</f>
        <v>106666.5</v>
      </c>
      <c r="T289" s="17">
        <f>ROUND(I289*ROUND(Q289, 2), 2)</f>
        <v>603480</v>
      </c>
      <c r="U289" s="17">
        <f>S289+T289</f>
        <v>710146.5</v>
      </c>
      <c r="V289" s="9">
        <f>ROUND(P289 / 1.2, 2)</f>
        <v>63.04</v>
      </c>
      <c r="W289" s="9">
        <f>ROUND(Q289 / 1.2, 2)</f>
        <v>356.67</v>
      </c>
      <c r="X289" s="9">
        <f>ROUND(R289 / 1.2, 2)</f>
        <v>419.71</v>
      </c>
      <c r="Y289" s="9">
        <f t="shared" si="15"/>
        <v>88888.75</v>
      </c>
      <c r="Z289" s="9">
        <f>ROUND(T289 / 1.2, 2)</f>
        <v>502900</v>
      </c>
      <c r="AA289" s="9">
        <f>Y289+Z289</f>
        <v>591788.75</v>
      </c>
      <c r="AD289" s="4">
        <v>303752499</v>
      </c>
      <c r="AE289" s="4">
        <v>19934098</v>
      </c>
      <c r="AG289" s="4" t="s">
        <v>1279</v>
      </c>
      <c r="AH289" s="4" t="s">
        <v>1280</v>
      </c>
      <c r="AI289" s="4" t="s">
        <v>247</v>
      </c>
    </row>
    <row r="290" spans="1:35" ht="36" x14ac:dyDescent="0.35">
      <c r="A290" s="10" t="s">
        <v>1299</v>
      </c>
      <c r="B290" s="10"/>
      <c r="C290" s="24" t="s">
        <v>493</v>
      </c>
      <c r="D290" s="15"/>
      <c r="E290" s="15"/>
      <c r="F290" s="25" t="s">
        <v>81</v>
      </c>
      <c r="G290" s="26">
        <v>0.15</v>
      </c>
      <c r="H290" s="26"/>
      <c r="I290" s="26">
        <v>211.5</v>
      </c>
      <c r="J290" s="28">
        <v>88.8</v>
      </c>
      <c r="M290" s="29">
        <f>ROUND(ROUND(J290, 2)*I290, 2)</f>
        <v>18781.2</v>
      </c>
      <c r="P290" s="30">
        <v>88.8</v>
      </c>
      <c r="S290" s="29">
        <f>ROUND(ROUND(P290, 2)*I290, 2)</f>
        <v>18781.2</v>
      </c>
      <c r="V290" s="9">
        <f>ROUND(ROUND(P290, 2)/1.2, 2)</f>
        <v>74</v>
      </c>
      <c r="Y290" s="9">
        <f t="shared" si="15"/>
        <v>15651</v>
      </c>
      <c r="AD290" s="4" t="s">
        <v>1300</v>
      </c>
      <c r="AE290" s="4" t="s">
        <v>1301</v>
      </c>
      <c r="AF290" s="4" t="s">
        <v>496</v>
      </c>
    </row>
    <row r="291" spans="1:35" ht="36" x14ac:dyDescent="0.35">
      <c r="A291" s="10" t="s">
        <v>1302</v>
      </c>
      <c r="B291" s="10"/>
      <c r="C291" s="24" t="s">
        <v>1282</v>
      </c>
      <c r="D291" s="15"/>
      <c r="E291" s="15"/>
      <c r="F291" s="25" t="s">
        <v>81</v>
      </c>
      <c r="G291" s="26">
        <v>0.17</v>
      </c>
      <c r="H291" s="26"/>
      <c r="I291" s="26">
        <v>239.7</v>
      </c>
      <c r="J291" s="28">
        <v>366.67</v>
      </c>
      <c r="M291" s="29">
        <f>ROUND(ROUND(J291, 2)*I291, 2)</f>
        <v>87890.8</v>
      </c>
      <c r="P291" s="30">
        <v>366.67</v>
      </c>
      <c r="S291" s="29">
        <f>ROUND(ROUND(P291, 2)*I291, 2)</f>
        <v>87890.8</v>
      </c>
      <c r="V291" s="9">
        <f>ROUND(ROUND(P291, 2)/1.2, 2)</f>
        <v>305.56</v>
      </c>
      <c r="Y291" s="9">
        <f t="shared" si="15"/>
        <v>73242.33</v>
      </c>
      <c r="AD291" s="4" t="s">
        <v>1303</v>
      </c>
      <c r="AE291" s="4" t="s">
        <v>1304</v>
      </c>
      <c r="AF291" s="4" t="s">
        <v>1285</v>
      </c>
    </row>
    <row r="292" spans="1:35" ht="36" x14ac:dyDescent="0.35">
      <c r="A292" s="10" t="s">
        <v>1305</v>
      </c>
      <c r="B292" s="10" t="s">
        <v>1306</v>
      </c>
      <c r="C292" s="14" t="s">
        <v>1307</v>
      </c>
      <c r="D292" s="15"/>
      <c r="E292" s="15" t="s">
        <v>1308</v>
      </c>
      <c r="F292" s="15" t="s">
        <v>56</v>
      </c>
      <c r="G292" s="16">
        <v>1</v>
      </c>
      <c r="H292" s="16"/>
      <c r="I292" s="16">
        <v>998.06</v>
      </c>
      <c r="J292" s="17">
        <f>IFERROR(ROUND(SUM(M293,M294)/I292, 2),0)</f>
        <v>13.32</v>
      </c>
      <c r="K292" s="18">
        <v>464</v>
      </c>
      <c r="L292" s="17">
        <f>J292+ROUND(K292, 2)</f>
        <v>477.32</v>
      </c>
      <c r="M292" s="17">
        <f>ROUND(J292*I292, 2)</f>
        <v>13294.16</v>
      </c>
      <c r="N292" s="17">
        <f>ROUND(I292*ROUND(K292, 2), 2)</f>
        <v>463099.84</v>
      </c>
      <c r="O292" s="17">
        <f>M292+N292</f>
        <v>476394</v>
      </c>
      <c r="P292" s="17">
        <f>IFERROR(ROUND(SUM(S293,S294)/I292, 2),0)</f>
        <v>123.32</v>
      </c>
      <c r="Q292" s="19">
        <v>464</v>
      </c>
      <c r="R292" s="17">
        <f>P292+ROUND(Q292, 2)</f>
        <v>587.31999999999994</v>
      </c>
      <c r="S292" s="17">
        <f>ROUND(P292*I292, 2)</f>
        <v>123080.76</v>
      </c>
      <c r="T292" s="17">
        <f>ROUND(I292*ROUND(Q292, 2), 2)</f>
        <v>463099.84</v>
      </c>
      <c r="U292" s="17">
        <f>S292+T292</f>
        <v>586180.6</v>
      </c>
      <c r="V292" s="9">
        <f>ROUND(P292 / 1.2, 2)</f>
        <v>102.77</v>
      </c>
      <c r="W292" s="9">
        <f>ROUND(Q292 / 1.2, 2)</f>
        <v>386.67</v>
      </c>
      <c r="X292" s="9">
        <f>ROUND(R292 / 1.2, 2)</f>
        <v>489.43</v>
      </c>
      <c r="Y292" s="9">
        <f t="shared" si="15"/>
        <v>102567.3</v>
      </c>
      <c r="Z292" s="9">
        <f>ROUND(T292 / 1.2, 2)</f>
        <v>385916.53</v>
      </c>
      <c r="AA292" s="9">
        <f>Y292+Z292</f>
        <v>488483.83</v>
      </c>
      <c r="AD292" s="4">
        <v>303752432</v>
      </c>
      <c r="AE292" s="4">
        <v>19918753</v>
      </c>
      <c r="AG292" s="4" t="s">
        <v>1309</v>
      </c>
      <c r="AH292" s="4" t="s">
        <v>1310</v>
      </c>
      <c r="AI292" s="4" t="s">
        <v>247</v>
      </c>
    </row>
    <row r="293" spans="1:35" ht="54" x14ac:dyDescent="0.35">
      <c r="A293" s="10" t="s">
        <v>1311</v>
      </c>
      <c r="B293" s="10"/>
      <c r="C293" s="24" t="s">
        <v>1312</v>
      </c>
      <c r="D293" s="15"/>
      <c r="E293" s="15"/>
      <c r="F293" s="25" t="s">
        <v>81</v>
      </c>
      <c r="G293" s="26">
        <v>0.3</v>
      </c>
      <c r="H293" s="26"/>
      <c r="I293" s="26">
        <v>299.41800000000001</v>
      </c>
      <c r="J293" s="28">
        <v>0</v>
      </c>
      <c r="M293" s="29">
        <f>ROUND(ROUND(J293, 2)*I293, 2)</f>
        <v>0</v>
      </c>
      <c r="P293" s="30">
        <v>366.67</v>
      </c>
      <c r="S293" s="29">
        <f>ROUND(ROUND(P293, 2)*I293, 2)</f>
        <v>109787.6</v>
      </c>
      <c r="V293" s="9">
        <f>ROUND(ROUND(P293, 2)/1.2, 2)</f>
        <v>305.56</v>
      </c>
      <c r="Y293" s="9">
        <f t="shared" si="15"/>
        <v>91489.67</v>
      </c>
      <c r="AD293" s="4" t="s">
        <v>1313</v>
      </c>
      <c r="AE293" s="4" t="s">
        <v>1314</v>
      </c>
      <c r="AF293" s="4" t="s">
        <v>1315</v>
      </c>
    </row>
    <row r="294" spans="1:35" ht="36" x14ac:dyDescent="0.35">
      <c r="A294" s="10" t="s">
        <v>1316</v>
      </c>
      <c r="B294" s="10"/>
      <c r="C294" s="24" t="s">
        <v>493</v>
      </c>
      <c r="D294" s="15"/>
      <c r="E294" s="15"/>
      <c r="F294" s="25" t="s">
        <v>81</v>
      </c>
      <c r="G294" s="26">
        <v>0.15</v>
      </c>
      <c r="H294" s="26"/>
      <c r="I294" s="26">
        <v>149.709</v>
      </c>
      <c r="J294" s="28">
        <v>88.8</v>
      </c>
      <c r="M294" s="29">
        <f>ROUND(ROUND(J294, 2)*I294, 2)</f>
        <v>13294.16</v>
      </c>
      <c r="P294" s="30">
        <v>88.8</v>
      </c>
      <c r="S294" s="29">
        <f>ROUND(ROUND(P294, 2)*I294, 2)</f>
        <v>13294.16</v>
      </c>
      <c r="V294" s="9">
        <f>ROUND(ROUND(P294, 2)/1.2, 2)</f>
        <v>74</v>
      </c>
      <c r="Y294" s="9">
        <f t="shared" si="15"/>
        <v>11078.47</v>
      </c>
      <c r="AD294" s="4" t="s">
        <v>1317</v>
      </c>
      <c r="AE294" s="4" t="s">
        <v>1318</v>
      </c>
      <c r="AF294" s="4" t="s">
        <v>496</v>
      </c>
    </row>
    <row r="295" spans="1:35" ht="17" customHeight="1" x14ac:dyDescent="0.35">
      <c r="A295" s="10" t="s">
        <v>1319</v>
      </c>
      <c r="B295" s="10" t="s">
        <v>1320</v>
      </c>
      <c r="C295" s="100" t="s">
        <v>1321</v>
      </c>
      <c r="D295" s="101"/>
      <c r="E295" s="101"/>
      <c r="F295" s="101"/>
      <c r="G295" s="101"/>
      <c r="H295" s="101"/>
      <c r="I295" s="102"/>
      <c r="M295" s="6">
        <f>SUM(M296,M300,M303,M307,M310,M313,M317,M320,M323,M326,M329,M332,M335,M339,M346)</f>
        <v>65898.990000000005</v>
      </c>
      <c r="N295" s="6">
        <f>SUM(N296,N300,N303,N307,N310,N313,N317,N320,N323,N326,N329,N332,N335,N339,N346)</f>
        <v>383412.62999999995</v>
      </c>
      <c r="O295" s="6">
        <f>SUM(O296,O300,O303,O307,O310,O313,O317,O320,O323,O326,O329,O332,O335,O339,O346)</f>
        <v>449311.62</v>
      </c>
      <c r="S295" s="6">
        <f>SUM(S296,S300,S303,S307,S310,S313,S317,S320,S323,S326,S329,S332,S335,S339,S346)</f>
        <v>143676.78999999998</v>
      </c>
      <c r="T295" s="6">
        <f>SUM(T296,T300,T303,T307,T310,T313,T317,T320,T323,T326,T329,T332,T335,T339,T346)</f>
        <v>383412.62999999995</v>
      </c>
      <c r="U295" s="6">
        <f>SUM(U296,U300,U303,U307,U310,U313,U317,U320,U323,U326,U329,U332,U335,U339,U346)</f>
        <v>527089.41999999993</v>
      </c>
      <c r="Y295" s="9">
        <f>SUM(Y296,Y300,Y303,Y307,Y310,Y313,Y317,Y320,Y323,Y326,Y329,Y332,Y335,Y339,Y346)</f>
        <v>119730.68</v>
      </c>
      <c r="Z295" s="9">
        <f>SUM(Z296,Z300,Z303,Z307,Z310,Z313,Z317,Z320,Z323,Z326,Z329,Z332,Z335,Z339,Z346)</f>
        <v>319510.53999999998</v>
      </c>
      <c r="AA295" s="9">
        <f>SUM(AA296,AA300,AA303,AA307,AA310,AA313,AA317,AA320,AA323,AA326,AA329,AA332,AA335,AA339,AA346)</f>
        <v>439241.22000000003</v>
      </c>
      <c r="AD295" s="4">
        <v>303752433</v>
      </c>
      <c r="AE295" s="4">
        <v>18541165</v>
      </c>
    </row>
    <row r="296" spans="1:35" ht="54" x14ac:dyDescent="0.35">
      <c r="A296" s="10" t="s">
        <v>1322</v>
      </c>
      <c r="B296" s="10" t="s">
        <v>1323</v>
      </c>
      <c r="C296" s="14" t="s">
        <v>1324</v>
      </c>
      <c r="D296" s="15"/>
      <c r="E296" s="15" t="s">
        <v>1325</v>
      </c>
      <c r="F296" s="15" t="s">
        <v>56</v>
      </c>
      <c r="G296" s="16">
        <v>1</v>
      </c>
      <c r="H296" s="16"/>
      <c r="I296" s="16">
        <v>25.45</v>
      </c>
      <c r="J296" s="17">
        <f>IFERROR(ROUND(SUM(M297,M298,M299)/I296, 2),0)</f>
        <v>151.59</v>
      </c>
      <c r="K296" s="18">
        <v>1001</v>
      </c>
      <c r="L296" s="17">
        <f>J296+ROUND(K296, 2)</f>
        <v>1152.5899999999999</v>
      </c>
      <c r="M296" s="17">
        <f>ROUND(J296*I296, 2)</f>
        <v>3857.97</v>
      </c>
      <c r="N296" s="17">
        <f>ROUND(I296*ROUND(K296, 2), 2)</f>
        <v>25475.45</v>
      </c>
      <c r="O296" s="17">
        <f>M296+N296</f>
        <v>29333.420000000002</v>
      </c>
      <c r="P296" s="17">
        <f>IFERROR(ROUND(SUM(S297,S298,S299)/I296, 2),0)</f>
        <v>175.84</v>
      </c>
      <c r="Q296" s="19">
        <v>1001</v>
      </c>
      <c r="R296" s="17">
        <f>P296+ROUND(Q296, 2)</f>
        <v>1176.8399999999999</v>
      </c>
      <c r="S296" s="17">
        <f>ROUND(P296*I296, 2)</f>
        <v>4475.13</v>
      </c>
      <c r="T296" s="17">
        <f>ROUND(I296*ROUND(Q296, 2), 2)</f>
        <v>25475.45</v>
      </c>
      <c r="U296" s="17">
        <f>S296+T296</f>
        <v>29950.58</v>
      </c>
      <c r="V296" s="9">
        <f>ROUND(P296 / 1.2, 2)</f>
        <v>146.53</v>
      </c>
      <c r="W296" s="9">
        <f>ROUND(Q296 / 1.2, 2)</f>
        <v>834.17</v>
      </c>
      <c r="X296" s="9">
        <f>ROUND(R296 / 1.2, 2)</f>
        <v>980.7</v>
      </c>
      <c r="Y296" s="9">
        <f>ROUND(S296 / 1.2, 2)</f>
        <v>3729.28</v>
      </c>
      <c r="Z296" s="9">
        <f>ROUND(T296 / 1.2, 2)</f>
        <v>21229.54</v>
      </c>
      <c r="AA296" s="9">
        <f>Y296+Z296</f>
        <v>24958.82</v>
      </c>
      <c r="AD296" s="4">
        <v>303752435</v>
      </c>
      <c r="AE296" s="4">
        <v>18541176</v>
      </c>
      <c r="AG296" s="4" t="s">
        <v>1326</v>
      </c>
      <c r="AH296" s="4" t="s">
        <v>1327</v>
      </c>
      <c r="AI296" s="4" t="s">
        <v>247</v>
      </c>
    </row>
    <row r="297" spans="1:35" ht="54" x14ac:dyDescent="0.35">
      <c r="A297" s="10" t="s">
        <v>1328</v>
      </c>
      <c r="B297" s="10"/>
      <c r="C297" s="24" t="s">
        <v>854</v>
      </c>
      <c r="D297" s="15"/>
      <c r="E297" s="15" t="s">
        <v>855</v>
      </c>
      <c r="F297" s="25" t="s">
        <v>81</v>
      </c>
      <c r="G297" s="26">
        <v>5</v>
      </c>
      <c r="H297" s="26"/>
      <c r="I297" s="26">
        <v>127.25</v>
      </c>
      <c r="J297" s="28">
        <v>23</v>
      </c>
      <c r="M297" s="29">
        <f>ROUND(ROUND(J297, 2)*I297, 2)</f>
        <v>2926.75</v>
      </c>
      <c r="P297" s="30">
        <v>27.85</v>
      </c>
      <c r="S297" s="29">
        <f>ROUND(ROUND(P297, 2)*I297, 2)</f>
        <v>3543.91</v>
      </c>
      <c r="V297" s="9">
        <f>ROUND(ROUND(P297, 2)/1.2, 2)</f>
        <v>23.21</v>
      </c>
      <c r="Y297" s="9">
        <f t="shared" ref="Y297:Y328" si="16">ROUND(S297 / 1.2, 2)</f>
        <v>2953.26</v>
      </c>
      <c r="AD297" s="4" t="s">
        <v>1329</v>
      </c>
      <c r="AE297" s="4" t="s">
        <v>1330</v>
      </c>
      <c r="AF297" s="4" t="s">
        <v>858</v>
      </c>
    </row>
    <row r="298" spans="1:35" ht="36" x14ac:dyDescent="0.35">
      <c r="A298" s="10" t="s">
        <v>1331</v>
      </c>
      <c r="B298" s="10"/>
      <c r="C298" s="24" t="s">
        <v>1036</v>
      </c>
      <c r="D298" s="15"/>
      <c r="E298" s="15"/>
      <c r="F298" s="25" t="s">
        <v>103</v>
      </c>
      <c r="G298" s="26">
        <v>0.3</v>
      </c>
      <c r="H298" s="27"/>
      <c r="I298" s="27">
        <v>8.1</v>
      </c>
      <c r="J298" s="28">
        <v>73.099999999999994</v>
      </c>
      <c r="M298" s="29">
        <f>ROUND(ROUND(J298, 2)*I298, 2)</f>
        <v>592.11</v>
      </c>
      <c r="P298" s="30">
        <v>73.099999999999994</v>
      </c>
      <c r="S298" s="29">
        <f>ROUND(ROUND(P298, 2)*I298, 2)</f>
        <v>592.11</v>
      </c>
      <c r="V298" s="9">
        <f>ROUND(ROUND(P298, 2)/1.2, 2)</f>
        <v>60.92</v>
      </c>
      <c r="Y298" s="9">
        <f t="shared" si="16"/>
        <v>493.43</v>
      </c>
      <c r="AD298" s="4" t="s">
        <v>1332</v>
      </c>
      <c r="AE298" s="4" t="s">
        <v>1333</v>
      </c>
      <c r="AF298" s="4" t="s">
        <v>1039</v>
      </c>
    </row>
    <row r="299" spans="1:35" ht="36" x14ac:dyDescent="0.35">
      <c r="A299" s="10" t="s">
        <v>1334</v>
      </c>
      <c r="B299" s="10"/>
      <c r="C299" s="24" t="s">
        <v>493</v>
      </c>
      <c r="D299" s="15"/>
      <c r="E299" s="15"/>
      <c r="F299" s="25" t="s">
        <v>81</v>
      </c>
      <c r="G299" s="26">
        <v>0.15</v>
      </c>
      <c r="H299" s="26"/>
      <c r="I299" s="26">
        <v>3.8180000000000001</v>
      </c>
      <c r="J299" s="28">
        <v>88.8</v>
      </c>
      <c r="M299" s="29">
        <f>ROUND(ROUND(J299, 2)*I299, 2)</f>
        <v>339.04</v>
      </c>
      <c r="P299" s="30">
        <v>88.8</v>
      </c>
      <c r="S299" s="29">
        <f>ROUND(ROUND(P299, 2)*I299, 2)</f>
        <v>339.04</v>
      </c>
      <c r="V299" s="9">
        <f>ROUND(ROUND(P299, 2)/1.2, 2)</f>
        <v>74</v>
      </c>
      <c r="Y299" s="9">
        <f t="shared" si="16"/>
        <v>282.52999999999997</v>
      </c>
      <c r="AD299" s="4" t="s">
        <v>1335</v>
      </c>
      <c r="AE299" s="4" t="s">
        <v>1336</v>
      </c>
      <c r="AF299" s="4" t="s">
        <v>496</v>
      </c>
    </row>
    <row r="300" spans="1:35" ht="54" x14ac:dyDescent="0.35">
      <c r="A300" s="10" t="s">
        <v>1337</v>
      </c>
      <c r="B300" s="10" t="s">
        <v>1323</v>
      </c>
      <c r="C300" s="14" t="s">
        <v>1324</v>
      </c>
      <c r="D300" s="15"/>
      <c r="E300" s="15" t="s">
        <v>1338</v>
      </c>
      <c r="F300" s="15" t="s">
        <v>56</v>
      </c>
      <c r="G300" s="16">
        <v>1</v>
      </c>
      <c r="H300" s="16"/>
      <c r="I300" s="16">
        <v>25.45</v>
      </c>
      <c r="J300" s="17">
        <f>IFERROR(ROUND(SUM(M301,M302)/I300, 2),0)</f>
        <v>128.32</v>
      </c>
      <c r="K300" s="18">
        <v>1001</v>
      </c>
      <c r="L300" s="17">
        <f>J300+ROUND(K300, 2)</f>
        <v>1129.32</v>
      </c>
      <c r="M300" s="17">
        <f>ROUND(J300*I300, 2)</f>
        <v>3265.74</v>
      </c>
      <c r="N300" s="17">
        <f>ROUND(I300*ROUND(K300, 2), 2)</f>
        <v>25475.45</v>
      </c>
      <c r="O300" s="17">
        <f>M300+N300</f>
        <v>28741.190000000002</v>
      </c>
      <c r="P300" s="17">
        <f>IFERROR(ROUND(SUM(S301,S302)/I300, 2),0)</f>
        <v>174.87</v>
      </c>
      <c r="Q300" s="19">
        <v>1001</v>
      </c>
      <c r="R300" s="17">
        <f>P300+ROUND(Q300, 2)</f>
        <v>1175.8699999999999</v>
      </c>
      <c r="S300" s="17">
        <f>ROUND(P300*I300, 2)</f>
        <v>4450.4399999999996</v>
      </c>
      <c r="T300" s="17">
        <f>ROUND(I300*ROUND(Q300, 2), 2)</f>
        <v>25475.45</v>
      </c>
      <c r="U300" s="17">
        <f>S300+T300</f>
        <v>29925.89</v>
      </c>
      <c r="V300" s="9">
        <f>ROUND(P300 / 1.2, 2)</f>
        <v>145.72999999999999</v>
      </c>
      <c r="W300" s="9">
        <f>ROUND(Q300 / 1.2, 2)</f>
        <v>834.17</v>
      </c>
      <c r="X300" s="9">
        <f>ROUND(R300 / 1.2, 2)</f>
        <v>979.89</v>
      </c>
      <c r="Y300" s="9">
        <f t="shared" si="16"/>
        <v>3708.7</v>
      </c>
      <c r="Z300" s="9">
        <f>ROUND(T300 / 1.2, 2)</f>
        <v>21229.54</v>
      </c>
      <c r="AA300" s="9">
        <f>Y300+Z300</f>
        <v>24938.240000000002</v>
      </c>
      <c r="AD300" s="4">
        <v>303752500</v>
      </c>
      <c r="AE300" s="4">
        <v>18541177</v>
      </c>
      <c r="AG300" s="4" t="s">
        <v>1326</v>
      </c>
      <c r="AH300" s="4" t="s">
        <v>1327</v>
      </c>
      <c r="AI300" s="4" t="s">
        <v>247</v>
      </c>
    </row>
    <row r="301" spans="1:35" ht="36" x14ac:dyDescent="0.35">
      <c r="A301" s="10" t="s">
        <v>1339</v>
      </c>
      <c r="B301" s="10"/>
      <c r="C301" s="24" t="s">
        <v>493</v>
      </c>
      <c r="D301" s="15"/>
      <c r="E301" s="15"/>
      <c r="F301" s="25" t="s">
        <v>81</v>
      </c>
      <c r="G301" s="26">
        <v>0.15</v>
      </c>
      <c r="H301" s="26"/>
      <c r="I301" s="26">
        <v>3.8180000000000001</v>
      </c>
      <c r="J301" s="28">
        <v>88.8</v>
      </c>
      <c r="M301" s="29">
        <f>ROUND(ROUND(J301, 2)*I301, 2)</f>
        <v>339.04</v>
      </c>
      <c r="P301" s="30">
        <v>88.8</v>
      </c>
      <c r="S301" s="29">
        <f>ROUND(ROUND(P301, 2)*I301, 2)</f>
        <v>339.04</v>
      </c>
      <c r="V301" s="9">
        <f>ROUND(ROUND(P301, 2)/1.2, 2)</f>
        <v>74</v>
      </c>
      <c r="Y301" s="9">
        <f t="shared" si="16"/>
        <v>282.52999999999997</v>
      </c>
      <c r="AD301" s="4" t="s">
        <v>1340</v>
      </c>
      <c r="AE301" s="4" t="s">
        <v>1341</v>
      </c>
      <c r="AF301" s="4" t="s">
        <v>496</v>
      </c>
    </row>
    <row r="302" spans="1:35" ht="54" x14ac:dyDescent="0.35">
      <c r="A302" s="10" t="s">
        <v>1342</v>
      </c>
      <c r="B302" s="10"/>
      <c r="C302" s="24" t="s">
        <v>854</v>
      </c>
      <c r="D302" s="15"/>
      <c r="E302" s="15" t="s">
        <v>1049</v>
      </c>
      <c r="F302" s="25" t="s">
        <v>81</v>
      </c>
      <c r="G302" s="26">
        <v>5</v>
      </c>
      <c r="H302" s="26"/>
      <c r="I302" s="26">
        <v>127.25</v>
      </c>
      <c r="J302" s="28">
        <v>23</v>
      </c>
      <c r="M302" s="29">
        <f>ROUND(ROUND(J302, 2)*I302, 2)</f>
        <v>2926.75</v>
      </c>
      <c r="P302" s="30">
        <v>32.31</v>
      </c>
      <c r="S302" s="29">
        <f>ROUND(ROUND(P302, 2)*I302, 2)</f>
        <v>4111.45</v>
      </c>
      <c r="V302" s="9">
        <f>ROUND(ROUND(P302, 2)/1.2, 2)</f>
        <v>26.93</v>
      </c>
      <c r="Y302" s="9">
        <f t="shared" si="16"/>
        <v>3426.21</v>
      </c>
      <c r="AD302" s="4" t="s">
        <v>1343</v>
      </c>
      <c r="AE302" s="4" t="s">
        <v>1344</v>
      </c>
      <c r="AF302" s="4" t="s">
        <v>858</v>
      </c>
    </row>
    <row r="303" spans="1:35" ht="54" x14ac:dyDescent="0.35">
      <c r="A303" s="10" t="s">
        <v>1345</v>
      </c>
      <c r="B303" s="10" t="s">
        <v>1323</v>
      </c>
      <c r="C303" s="14" t="s">
        <v>1324</v>
      </c>
      <c r="D303" s="15"/>
      <c r="E303" s="15" t="s">
        <v>1346</v>
      </c>
      <c r="F303" s="15" t="s">
        <v>56</v>
      </c>
      <c r="G303" s="16">
        <v>1</v>
      </c>
      <c r="H303" s="16"/>
      <c r="I303" s="16">
        <v>23.61</v>
      </c>
      <c r="J303" s="17">
        <f>IFERROR(ROUND(SUM(M304,M305,M306)/I303, 2),0)</f>
        <v>56.96</v>
      </c>
      <c r="K303" s="18">
        <v>1001</v>
      </c>
      <c r="L303" s="17">
        <f>J303+ROUND(K303, 2)</f>
        <v>1057.96</v>
      </c>
      <c r="M303" s="17">
        <f>ROUND(J303*I303, 2)</f>
        <v>1344.83</v>
      </c>
      <c r="N303" s="17">
        <f>ROUND(I303*ROUND(K303, 2), 2)</f>
        <v>23633.61</v>
      </c>
      <c r="O303" s="17">
        <f>M303+N303</f>
        <v>24978.440000000002</v>
      </c>
      <c r="P303" s="17">
        <f>IFERROR(ROUND(SUM(S304,S305,S306)/I303, 2),0)</f>
        <v>56.98</v>
      </c>
      <c r="Q303" s="19">
        <v>1001</v>
      </c>
      <c r="R303" s="17">
        <f>P303+ROUND(Q303, 2)</f>
        <v>1057.98</v>
      </c>
      <c r="S303" s="17">
        <f>ROUND(P303*I303, 2)</f>
        <v>1345.3</v>
      </c>
      <c r="T303" s="17">
        <f>ROUND(I303*ROUND(Q303, 2), 2)</f>
        <v>23633.61</v>
      </c>
      <c r="U303" s="17">
        <f>S303+T303</f>
        <v>24978.91</v>
      </c>
      <c r="V303" s="9">
        <f>ROUND(P303 / 1.2, 2)</f>
        <v>47.48</v>
      </c>
      <c r="W303" s="9">
        <f>ROUND(Q303 / 1.2, 2)</f>
        <v>834.17</v>
      </c>
      <c r="X303" s="9">
        <f>ROUND(R303 / 1.2, 2)</f>
        <v>881.65</v>
      </c>
      <c r="Y303" s="9">
        <f t="shared" si="16"/>
        <v>1121.08</v>
      </c>
      <c r="Z303" s="9">
        <f>ROUND(T303 / 1.2, 2)</f>
        <v>19694.68</v>
      </c>
      <c r="AA303" s="9">
        <f>Y303+Z303</f>
        <v>20815.760000000002</v>
      </c>
      <c r="AD303" s="4">
        <v>303752501</v>
      </c>
      <c r="AE303" s="4">
        <v>19923298</v>
      </c>
      <c r="AG303" s="4" t="s">
        <v>1326</v>
      </c>
      <c r="AH303" s="4" t="s">
        <v>1327</v>
      </c>
      <c r="AI303" s="4" t="s">
        <v>247</v>
      </c>
    </row>
    <row r="304" spans="1:35" ht="36" x14ac:dyDescent="0.35">
      <c r="A304" s="10" t="s">
        <v>1347</v>
      </c>
      <c r="B304" s="10"/>
      <c r="C304" s="24" t="s">
        <v>493</v>
      </c>
      <c r="D304" s="15"/>
      <c r="E304" s="15"/>
      <c r="F304" s="25" t="s">
        <v>81</v>
      </c>
      <c r="G304" s="26">
        <v>0.15</v>
      </c>
      <c r="H304" s="26"/>
      <c r="I304" s="26">
        <v>3.5419999999999998</v>
      </c>
      <c r="J304" s="28">
        <v>88.8</v>
      </c>
      <c r="M304" s="29">
        <f>ROUND(ROUND(J304, 2)*I304, 2)</f>
        <v>314.52999999999997</v>
      </c>
      <c r="P304" s="30">
        <v>88.8</v>
      </c>
      <c r="S304" s="29">
        <f>ROUND(ROUND(P304, 2)*I304, 2)</f>
        <v>314.52999999999997</v>
      </c>
      <c r="V304" s="9">
        <f>ROUND(ROUND(P304, 2)/1.2, 2)</f>
        <v>74</v>
      </c>
      <c r="Y304" s="9">
        <f t="shared" si="16"/>
        <v>262.11</v>
      </c>
      <c r="AD304" s="4" t="s">
        <v>1348</v>
      </c>
      <c r="AE304" s="4" t="s">
        <v>1349</v>
      </c>
      <c r="AF304" s="4" t="s">
        <v>496</v>
      </c>
    </row>
    <row r="305" spans="1:35" ht="18" x14ac:dyDescent="0.35">
      <c r="A305" s="10" t="s">
        <v>1350</v>
      </c>
      <c r="B305" s="10"/>
      <c r="C305" s="24" t="s">
        <v>860</v>
      </c>
      <c r="D305" s="15"/>
      <c r="E305" s="15"/>
      <c r="F305" s="25" t="s">
        <v>103</v>
      </c>
      <c r="G305" s="26">
        <v>0.3</v>
      </c>
      <c r="H305" s="26"/>
      <c r="I305" s="26">
        <v>7.0830000000000002</v>
      </c>
      <c r="J305" s="28">
        <v>73.099999999999994</v>
      </c>
      <c r="M305" s="29">
        <f>ROUND(ROUND(J305, 2)*I305, 2)</f>
        <v>517.77</v>
      </c>
      <c r="P305" s="30">
        <v>73.099999999999994</v>
      </c>
      <c r="S305" s="29">
        <f>ROUND(ROUND(P305, 2)*I305, 2)</f>
        <v>517.77</v>
      </c>
      <c r="V305" s="9">
        <f>ROUND(ROUND(P305, 2)/1.2, 2)</f>
        <v>60.92</v>
      </c>
      <c r="Y305" s="9">
        <f t="shared" si="16"/>
        <v>431.48</v>
      </c>
      <c r="AD305" s="4" t="s">
        <v>1351</v>
      </c>
      <c r="AE305" s="4" t="s">
        <v>1352</v>
      </c>
      <c r="AF305" s="4" t="s">
        <v>863</v>
      </c>
    </row>
    <row r="306" spans="1:35" ht="36" x14ac:dyDescent="0.35">
      <c r="A306" s="10" t="s">
        <v>1353</v>
      </c>
      <c r="B306" s="10"/>
      <c r="C306" s="37" t="s">
        <v>914</v>
      </c>
      <c r="D306" s="15"/>
      <c r="E306" s="15" t="s">
        <v>1354</v>
      </c>
      <c r="F306" s="25" t="s">
        <v>81</v>
      </c>
      <c r="G306" s="26">
        <v>1.8</v>
      </c>
      <c r="H306" s="26"/>
      <c r="I306" s="26">
        <v>42.497999999999998</v>
      </c>
      <c r="J306" s="28">
        <v>12.06</v>
      </c>
      <c r="M306" s="29">
        <f>ROUND(ROUND(J306, 2)*I306, 2)</f>
        <v>512.53</v>
      </c>
      <c r="P306" s="30">
        <v>12.07</v>
      </c>
      <c r="S306" s="29">
        <f>ROUND(ROUND(P306, 2)*I306, 2)</f>
        <v>512.95000000000005</v>
      </c>
      <c r="V306" s="9">
        <f>ROUND(ROUND(P306, 2)/1.2, 2)</f>
        <v>10.06</v>
      </c>
      <c r="Y306" s="9">
        <f t="shared" si="16"/>
        <v>427.46</v>
      </c>
      <c r="AD306" s="4" t="s">
        <v>1355</v>
      </c>
      <c r="AE306" s="4" t="s">
        <v>1356</v>
      </c>
      <c r="AF306" s="4" t="s">
        <v>917</v>
      </c>
    </row>
    <row r="307" spans="1:35" ht="54" x14ac:dyDescent="0.35">
      <c r="A307" s="10" t="s">
        <v>1357</v>
      </c>
      <c r="B307" s="10" t="s">
        <v>1323</v>
      </c>
      <c r="C307" s="14" t="s">
        <v>1324</v>
      </c>
      <c r="D307" s="15"/>
      <c r="E307" s="15" t="s">
        <v>1358</v>
      </c>
      <c r="F307" s="15" t="s">
        <v>56</v>
      </c>
      <c r="G307" s="16">
        <v>1</v>
      </c>
      <c r="H307" s="16"/>
      <c r="I307" s="16">
        <v>23.61</v>
      </c>
      <c r="J307" s="17">
        <f>IFERROR(ROUND(SUM(M308,M309)/I307, 2),0)</f>
        <v>35.03</v>
      </c>
      <c r="K307" s="18">
        <v>1001</v>
      </c>
      <c r="L307" s="17">
        <f>J307+ROUND(K307, 2)</f>
        <v>1036.03</v>
      </c>
      <c r="M307" s="17">
        <f>ROUND(J307*I307, 2)</f>
        <v>827.06</v>
      </c>
      <c r="N307" s="17">
        <f>ROUND(I307*ROUND(K307, 2), 2)</f>
        <v>23633.61</v>
      </c>
      <c r="O307" s="17">
        <f>M307+N307</f>
        <v>24460.670000000002</v>
      </c>
      <c r="P307" s="17">
        <f>IFERROR(ROUND(SUM(S308,S309)/I307, 2),0)</f>
        <v>35.049999999999997</v>
      </c>
      <c r="Q307" s="19">
        <v>1001</v>
      </c>
      <c r="R307" s="17">
        <f>P307+ROUND(Q307, 2)</f>
        <v>1036.05</v>
      </c>
      <c r="S307" s="17">
        <f>ROUND(P307*I307, 2)</f>
        <v>827.53</v>
      </c>
      <c r="T307" s="17">
        <f>ROUND(I307*ROUND(Q307, 2), 2)</f>
        <v>23633.61</v>
      </c>
      <c r="U307" s="17">
        <f>S307+T307</f>
        <v>24461.14</v>
      </c>
      <c r="V307" s="9">
        <f>ROUND(P307 / 1.2, 2)</f>
        <v>29.21</v>
      </c>
      <c r="W307" s="9">
        <f>ROUND(Q307 / 1.2, 2)</f>
        <v>834.17</v>
      </c>
      <c r="X307" s="9">
        <f>ROUND(R307 / 1.2, 2)</f>
        <v>863.38</v>
      </c>
      <c r="Y307" s="9">
        <f t="shared" si="16"/>
        <v>689.61</v>
      </c>
      <c r="Z307" s="9">
        <f>ROUND(T307 / 1.2, 2)</f>
        <v>19694.68</v>
      </c>
      <c r="AA307" s="9">
        <f>Y307+Z307</f>
        <v>20384.29</v>
      </c>
      <c r="AD307" s="4">
        <v>303752502</v>
      </c>
      <c r="AE307" s="4">
        <v>19923299</v>
      </c>
      <c r="AG307" s="4" t="s">
        <v>1326</v>
      </c>
      <c r="AH307" s="4" t="s">
        <v>1327</v>
      </c>
      <c r="AI307" s="4" t="s">
        <v>247</v>
      </c>
    </row>
    <row r="308" spans="1:35" ht="36" x14ac:dyDescent="0.35">
      <c r="A308" s="10" t="s">
        <v>1359</v>
      </c>
      <c r="B308" s="10"/>
      <c r="C308" s="24" t="s">
        <v>493</v>
      </c>
      <c r="D308" s="15"/>
      <c r="E308" s="15"/>
      <c r="F308" s="25" t="s">
        <v>81</v>
      </c>
      <c r="G308" s="26">
        <v>0.15</v>
      </c>
      <c r="H308" s="26"/>
      <c r="I308" s="26">
        <v>3.5419999999999998</v>
      </c>
      <c r="J308" s="28">
        <v>88.8</v>
      </c>
      <c r="M308" s="29">
        <f>ROUND(ROUND(J308, 2)*I308, 2)</f>
        <v>314.52999999999997</v>
      </c>
      <c r="P308" s="30">
        <v>88.8</v>
      </c>
      <c r="S308" s="29">
        <f>ROUND(ROUND(P308, 2)*I308, 2)</f>
        <v>314.52999999999997</v>
      </c>
      <c r="V308" s="9">
        <f>ROUND(ROUND(P308, 2)/1.2, 2)</f>
        <v>74</v>
      </c>
      <c r="Y308" s="9">
        <f t="shared" si="16"/>
        <v>262.11</v>
      </c>
      <c r="AD308" s="4" t="s">
        <v>1360</v>
      </c>
      <c r="AE308" s="4" t="s">
        <v>1361</v>
      </c>
      <c r="AF308" s="4" t="s">
        <v>496</v>
      </c>
    </row>
    <row r="309" spans="1:35" ht="36" x14ac:dyDescent="0.35">
      <c r="A309" s="10" t="s">
        <v>1362</v>
      </c>
      <c r="B309" s="10"/>
      <c r="C309" s="37" t="s">
        <v>914</v>
      </c>
      <c r="D309" s="15"/>
      <c r="E309" s="15"/>
      <c r="F309" s="25" t="s">
        <v>81</v>
      </c>
      <c r="G309" s="26">
        <v>1.8</v>
      </c>
      <c r="H309" s="26"/>
      <c r="I309" s="26">
        <v>42.497999999999998</v>
      </c>
      <c r="J309" s="28">
        <v>12.06</v>
      </c>
      <c r="M309" s="29">
        <f>ROUND(ROUND(J309, 2)*I309, 2)</f>
        <v>512.53</v>
      </c>
      <c r="P309" s="30">
        <v>12.07</v>
      </c>
      <c r="S309" s="29">
        <f>ROUND(ROUND(P309, 2)*I309, 2)</f>
        <v>512.95000000000005</v>
      </c>
      <c r="V309" s="9">
        <f>ROUND(ROUND(P309, 2)/1.2, 2)</f>
        <v>10.06</v>
      </c>
      <c r="Y309" s="9">
        <f t="shared" si="16"/>
        <v>427.46</v>
      </c>
      <c r="AD309" s="4" t="s">
        <v>1363</v>
      </c>
      <c r="AE309" s="4" t="s">
        <v>1364</v>
      </c>
      <c r="AF309" s="4" t="s">
        <v>917</v>
      </c>
    </row>
    <row r="310" spans="1:35" ht="54" x14ac:dyDescent="0.35">
      <c r="A310" s="10" t="s">
        <v>1365</v>
      </c>
      <c r="B310" s="10" t="s">
        <v>1323</v>
      </c>
      <c r="C310" s="14" t="s">
        <v>1324</v>
      </c>
      <c r="D310" s="15"/>
      <c r="E310" s="15" t="s">
        <v>1366</v>
      </c>
      <c r="F310" s="15" t="s">
        <v>56</v>
      </c>
      <c r="G310" s="16">
        <v>1</v>
      </c>
      <c r="H310" s="16"/>
      <c r="I310" s="16">
        <v>37.68</v>
      </c>
      <c r="J310" s="17">
        <f>IFERROR(ROUND(SUM(M311,M312)/I310, 2),0)</f>
        <v>128.32</v>
      </c>
      <c r="K310" s="18">
        <v>1001</v>
      </c>
      <c r="L310" s="17">
        <f>J310+ROUND(K310, 2)</f>
        <v>1129.32</v>
      </c>
      <c r="M310" s="17">
        <f>ROUND(J310*I310, 2)</f>
        <v>4835.1000000000004</v>
      </c>
      <c r="N310" s="17">
        <f>ROUND(I310*ROUND(K310, 2), 2)</f>
        <v>37717.68</v>
      </c>
      <c r="O310" s="17">
        <f>M310+N310</f>
        <v>42552.78</v>
      </c>
      <c r="P310" s="17">
        <f>IFERROR(ROUND(SUM(S311,S312)/I310, 2),0)</f>
        <v>174.87</v>
      </c>
      <c r="Q310" s="19">
        <v>1001</v>
      </c>
      <c r="R310" s="17">
        <f>P310+ROUND(Q310, 2)</f>
        <v>1175.8699999999999</v>
      </c>
      <c r="S310" s="17">
        <f>ROUND(P310*I310, 2)</f>
        <v>6589.1</v>
      </c>
      <c r="T310" s="17">
        <f>ROUND(I310*ROUND(Q310, 2), 2)</f>
        <v>37717.68</v>
      </c>
      <c r="U310" s="17">
        <f>S310+T310</f>
        <v>44306.78</v>
      </c>
      <c r="V310" s="9">
        <f>ROUND(P310 / 1.2, 2)</f>
        <v>145.72999999999999</v>
      </c>
      <c r="W310" s="9">
        <f>ROUND(Q310 / 1.2, 2)</f>
        <v>834.17</v>
      </c>
      <c r="X310" s="9">
        <f>ROUND(R310 / 1.2, 2)</f>
        <v>979.89</v>
      </c>
      <c r="Y310" s="9">
        <f t="shared" si="16"/>
        <v>5490.92</v>
      </c>
      <c r="Z310" s="9">
        <f>ROUND(T310 / 1.2, 2)</f>
        <v>31431.4</v>
      </c>
      <c r="AA310" s="9">
        <f>Y310+Z310</f>
        <v>36922.32</v>
      </c>
      <c r="AD310" s="4">
        <v>303752503</v>
      </c>
      <c r="AE310" s="4">
        <v>19934299</v>
      </c>
      <c r="AG310" s="4" t="s">
        <v>1326</v>
      </c>
      <c r="AH310" s="4" t="s">
        <v>1327</v>
      </c>
      <c r="AI310" s="4" t="s">
        <v>247</v>
      </c>
    </row>
    <row r="311" spans="1:35" ht="36" x14ac:dyDescent="0.35">
      <c r="A311" s="10" t="s">
        <v>1367</v>
      </c>
      <c r="B311" s="10"/>
      <c r="C311" s="24" t="s">
        <v>493</v>
      </c>
      <c r="D311" s="15"/>
      <c r="E311" s="15"/>
      <c r="F311" s="25" t="s">
        <v>81</v>
      </c>
      <c r="G311" s="26">
        <v>0.15</v>
      </c>
      <c r="H311" s="26"/>
      <c r="I311" s="26">
        <v>5.6520000000000001</v>
      </c>
      <c r="J311" s="28">
        <v>88.8</v>
      </c>
      <c r="M311" s="29">
        <f>ROUND(ROUND(J311, 2)*I311, 2)</f>
        <v>501.9</v>
      </c>
      <c r="P311" s="30">
        <v>88.8</v>
      </c>
      <c r="S311" s="29">
        <f>ROUND(ROUND(P311, 2)*I311, 2)</f>
        <v>501.9</v>
      </c>
      <c r="V311" s="9">
        <f>ROUND(ROUND(P311, 2)/1.2, 2)</f>
        <v>74</v>
      </c>
      <c r="Y311" s="9">
        <f t="shared" si="16"/>
        <v>418.25</v>
      </c>
      <c r="AD311" s="4" t="s">
        <v>1368</v>
      </c>
      <c r="AE311" s="4" t="s">
        <v>1369</v>
      </c>
      <c r="AF311" s="4" t="s">
        <v>496</v>
      </c>
    </row>
    <row r="312" spans="1:35" ht="54" x14ac:dyDescent="0.35">
      <c r="A312" s="10" t="s">
        <v>1370</v>
      </c>
      <c r="B312" s="10"/>
      <c r="C312" s="24" t="s">
        <v>854</v>
      </c>
      <c r="D312" s="15"/>
      <c r="E312" s="15" t="s">
        <v>1049</v>
      </c>
      <c r="F312" s="25" t="s">
        <v>81</v>
      </c>
      <c r="G312" s="26">
        <v>5</v>
      </c>
      <c r="H312" s="26"/>
      <c r="I312" s="26">
        <v>188.4</v>
      </c>
      <c r="J312" s="28">
        <v>23</v>
      </c>
      <c r="M312" s="29">
        <f>ROUND(ROUND(J312, 2)*I312, 2)</f>
        <v>4333.2</v>
      </c>
      <c r="P312" s="30">
        <v>32.31</v>
      </c>
      <c r="S312" s="29">
        <f>ROUND(ROUND(P312, 2)*I312, 2)</f>
        <v>6087.2</v>
      </c>
      <c r="V312" s="9">
        <f>ROUND(ROUND(P312, 2)/1.2, 2)</f>
        <v>26.93</v>
      </c>
      <c r="Y312" s="9">
        <f t="shared" si="16"/>
        <v>5072.67</v>
      </c>
      <c r="AD312" s="4" t="s">
        <v>1371</v>
      </c>
      <c r="AE312" s="4" t="s">
        <v>1372</v>
      </c>
      <c r="AF312" s="4" t="s">
        <v>858</v>
      </c>
    </row>
    <row r="313" spans="1:35" ht="54" x14ac:dyDescent="0.35">
      <c r="A313" s="10" t="s">
        <v>1373</v>
      </c>
      <c r="B313" s="10" t="s">
        <v>1323</v>
      </c>
      <c r="C313" s="14" t="s">
        <v>1324</v>
      </c>
      <c r="D313" s="15"/>
      <c r="E313" s="15" t="s">
        <v>1374</v>
      </c>
      <c r="F313" s="15" t="s">
        <v>56</v>
      </c>
      <c r="G313" s="16">
        <v>1</v>
      </c>
      <c r="H313" s="16"/>
      <c r="I313" s="16">
        <v>37.68</v>
      </c>
      <c r="J313" s="17">
        <f>IFERROR(ROUND(SUM(M314,M315,M316)/I313, 2),0)</f>
        <v>150.25</v>
      </c>
      <c r="K313" s="18">
        <v>1001</v>
      </c>
      <c r="L313" s="17">
        <f>J313+ROUND(K313, 2)</f>
        <v>1151.25</v>
      </c>
      <c r="M313" s="17">
        <f>ROUND(J313*I313, 2)</f>
        <v>5661.42</v>
      </c>
      <c r="N313" s="17">
        <f>ROUND(I313*ROUND(K313, 2), 2)</f>
        <v>37717.68</v>
      </c>
      <c r="O313" s="17">
        <f>M313+N313</f>
        <v>43379.1</v>
      </c>
      <c r="P313" s="17">
        <f>IFERROR(ROUND(SUM(S314,S315,S316)/I313, 2),0)</f>
        <v>174.5</v>
      </c>
      <c r="Q313" s="19">
        <v>1001</v>
      </c>
      <c r="R313" s="17">
        <f>P313+ROUND(Q313, 2)</f>
        <v>1175.5</v>
      </c>
      <c r="S313" s="17">
        <f>ROUND(P313*I313, 2)</f>
        <v>6575.16</v>
      </c>
      <c r="T313" s="17">
        <f>ROUND(I313*ROUND(Q313, 2), 2)</f>
        <v>37717.68</v>
      </c>
      <c r="U313" s="17">
        <f>S313+T313</f>
        <v>44292.84</v>
      </c>
      <c r="V313" s="9">
        <f>ROUND(P313 / 1.2, 2)</f>
        <v>145.41999999999999</v>
      </c>
      <c r="W313" s="9">
        <f>ROUND(Q313 / 1.2, 2)</f>
        <v>834.17</v>
      </c>
      <c r="X313" s="9">
        <f>ROUND(R313 / 1.2, 2)</f>
        <v>979.58</v>
      </c>
      <c r="Y313" s="9">
        <f t="shared" si="16"/>
        <v>5479.3</v>
      </c>
      <c r="Z313" s="9">
        <f>ROUND(T313 / 1.2, 2)</f>
        <v>31431.4</v>
      </c>
      <c r="AA313" s="9">
        <f>Y313+Z313</f>
        <v>36910.700000000004</v>
      </c>
      <c r="AD313" s="4">
        <v>303752504</v>
      </c>
      <c r="AE313" s="4">
        <v>19934297</v>
      </c>
      <c r="AG313" s="4" t="s">
        <v>1326</v>
      </c>
      <c r="AH313" s="4" t="s">
        <v>1327</v>
      </c>
      <c r="AI313" s="4" t="s">
        <v>247</v>
      </c>
    </row>
    <row r="314" spans="1:35" ht="36" x14ac:dyDescent="0.35">
      <c r="A314" s="10" t="s">
        <v>1375</v>
      </c>
      <c r="B314" s="10"/>
      <c r="C314" s="24" t="s">
        <v>493</v>
      </c>
      <c r="D314" s="15"/>
      <c r="E314" s="15"/>
      <c r="F314" s="25" t="s">
        <v>81</v>
      </c>
      <c r="G314" s="26">
        <v>0.15</v>
      </c>
      <c r="H314" s="26"/>
      <c r="I314" s="26">
        <v>5.6520000000000001</v>
      </c>
      <c r="J314" s="28">
        <v>88.8</v>
      </c>
      <c r="M314" s="29">
        <f>ROUND(ROUND(J314, 2)*I314, 2)</f>
        <v>501.9</v>
      </c>
      <c r="P314" s="30">
        <v>88.8</v>
      </c>
      <c r="S314" s="29">
        <f>ROUND(ROUND(P314, 2)*I314, 2)</f>
        <v>501.9</v>
      </c>
      <c r="V314" s="9">
        <f>ROUND(ROUND(P314, 2)/1.2, 2)</f>
        <v>74</v>
      </c>
      <c r="Y314" s="9">
        <f t="shared" si="16"/>
        <v>418.25</v>
      </c>
      <c r="AD314" s="4" t="s">
        <v>1376</v>
      </c>
      <c r="AE314" s="4" t="s">
        <v>1377</v>
      </c>
      <c r="AF314" s="4" t="s">
        <v>496</v>
      </c>
    </row>
    <row r="315" spans="1:35" ht="18" x14ac:dyDescent="0.35">
      <c r="A315" s="10" t="s">
        <v>1378</v>
      </c>
      <c r="B315" s="10"/>
      <c r="C315" s="24" t="s">
        <v>860</v>
      </c>
      <c r="D315" s="15"/>
      <c r="E315" s="15"/>
      <c r="F315" s="25" t="s">
        <v>103</v>
      </c>
      <c r="G315" s="26">
        <v>0.3</v>
      </c>
      <c r="H315" s="26"/>
      <c r="I315" s="26">
        <v>11.304</v>
      </c>
      <c r="J315" s="28">
        <v>73.099999999999994</v>
      </c>
      <c r="M315" s="29">
        <f>ROUND(ROUND(J315, 2)*I315, 2)</f>
        <v>826.32</v>
      </c>
      <c r="P315" s="30">
        <v>73.099999999999994</v>
      </c>
      <c r="S315" s="29">
        <f>ROUND(ROUND(P315, 2)*I315, 2)</f>
        <v>826.32</v>
      </c>
      <c r="V315" s="9">
        <f>ROUND(ROUND(P315, 2)/1.2, 2)</f>
        <v>60.92</v>
      </c>
      <c r="Y315" s="9">
        <f t="shared" si="16"/>
        <v>688.6</v>
      </c>
      <c r="AD315" s="4" t="s">
        <v>1379</v>
      </c>
      <c r="AE315" s="4" t="s">
        <v>1380</v>
      </c>
      <c r="AF315" s="4" t="s">
        <v>863</v>
      </c>
    </row>
    <row r="316" spans="1:35" ht="54" x14ac:dyDescent="0.35">
      <c r="A316" s="10" t="s">
        <v>1381</v>
      </c>
      <c r="B316" s="10"/>
      <c r="C316" s="24" t="s">
        <v>854</v>
      </c>
      <c r="D316" s="15"/>
      <c r="E316" s="15" t="s">
        <v>855</v>
      </c>
      <c r="F316" s="25" t="s">
        <v>81</v>
      </c>
      <c r="G316" s="26">
        <v>5</v>
      </c>
      <c r="H316" s="26"/>
      <c r="I316" s="26">
        <v>188.4</v>
      </c>
      <c r="J316" s="28">
        <v>23</v>
      </c>
      <c r="M316" s="29">
        <f>ROUND(ROUND(J316, 2)*I316, 2)</f>
        <v>4333.2</v>
      </c>
      <c r="P316" s="30">
        <v>27.85</v>
      </c>
      <c r="S316" s="29">
        <f>ROUND(ROUND(P316, 2)*I316, 2)</f>
        <v>5246.94</v>
      </c>
      <c r="V316" s="9">
        <f>ROUND(ROUND(P316, 2)/1.2, 2)</f>
        <v>23.21</v>
      </c>
      <c r="Y316" s="9">
        <f t="shared" si="16"/>
        <v>4372.45</v>
      </c>
      <c r="AD316" s="4" t="s">
        <v>1382</v>
      </c>
      <c r="AE316" s="4" t="s">
        <v>1383</v>
      </c>
      <c r="AF316" s="4" t="s">
        <v>858</v>
      </c>
    </row>
    <row r="317" spans="1:35" ht="54" x14ac:dyDescent="0.35">
      <c r="A317" s="10" t="s">
        <v>1384</v>
      </c>
      <c r="B317" s="10" t="s">
        <v>1323</v>
      </c>
      <c r="C317" s="14" t="s">
        <v>1324</v>
      </c>
      <c r="D317" s="15"/>
      <c r="E317" s="15" t="s">
        <v>1385</v>
      </c>
      <c r="F317" s="15" t="s">
        <v>56</v>
      </c>
      <c r="G317" s="16">
        <v>1</v>
      </c>
      <c r="H317" s="16"/>
      <c r="I317" s="16">
        <v>25.45</v>
      </c>
      <c r="J317" s="17">
        <f>IFERROR(ROUND(SUM(M318,M319)/I317, 2),0)</f>
        <v>128.32</v>
      </c>
      <c r="K317" s="18">
        <v>1001</v>
      </c>
      <c r="L317" s="17">
        <f>J317+ROUND(K317, 2)</f>
        <v>1129.32</v>
      </c>
      <c r="M317" s="17">
        <f>ROUND(J317*I317, 2)</f>
        <v>3265.74</v>
      </c>
      <c r="N317" s="17">
        <f>ROUND(I317*ROUND(K317, 2), 2)</f>
        <v>25475.45</v>
      </c>
      <c r="O317" s="17">
        <f>M317+N317</f>
        <v>28741.190000000002</v>
      </c>
      <c r="P317" s="17">
        <f>IFERROR(ROUND(SUM(S318,S319)/I317, 2),0)</f>
        <v>174.87</v>
      </c>
      <c r="Q317" s="19">
        <v>1001</v>
      </c>
      <c r="R317" s="17">
        <f>P317+ROUND(Q317, 2)</f>
        <v>1175.8699999999999</v>
      </c>
      <c r="S317" s="17">
        <f>ROUND(P317*I317, 2)</f>
        <v>4450.4399999999996</v>
      </c>
      <c r="T317" s="17">
        <f>ROUND(I317*ROUND(Q317, 2), 2)</f>
        <v>25475.45</v>
      </c>
      <c r="U317" s="17">
        <f>S317+T317</f>
        <v>29925.89</v>
      </c>
      <c r="V317" s="9">
        <f>ROUND(P317 / 1.2, 2)</f>
        <v>145.72999999999999</v>
      </c>
      <c r="W317" s="9">
        <f>ROUND(Q317 / 1.2, 2)</f>
        <v>834.17</v>
      </c>
      <c r="X317" s="9">
        <f>ROUND(R317 / 1.2, 2)</f>
        <v>979.89</v>
      </c>
      <c r="Y317" s="9">
        <f t="shared" si="16"/>
        <v>3708.7</v>
      </c>
      <c r="Z317" s="9">
        <f>ROUND(T317 / 1.2, 2)</f>
        <v>21229.54</v>
      </c>
      <c r="AA317" s="9">
        <f>Y317+Z317</f>
        <v>24938.240000000002</v>
      </c>
      <c r="AD317" s="4">
        <v>303752505</v>
      </c>
      <c r="AE317" s="4">
        <v>21807242</v>
      </c>
      <c r="AG317" s="4" t="s">
        <v>1326</v>
      </c>
      <c r="AH317" s="4" t="s">
        <v>1327</v>
      </c>
      <c r="AI317" s="4" t="s">
        <v>247</v>
      </c>
    </row>
    <row r="318" spans="1:35" ht="36" x14ac:dyDescent="0.35">
      <c r="A318" s="10" t="s">
        <v>1386</v>
      </c>
      <c r="B318" s="10"/>
      <c r="C318" s="24" t="s">
        <v>493</v>
      </c>
      <c r="D318" s="15"/>
      <c r="E318" s="15"/>
      <c r="F318" s="25" t="s">
        <v>81</v>
      </c>
      <c r="G318" s="26">
        <v>0.15</v>
      </c>
      <c r="H318" s="26"/>
      <c r="I318" s="26">
        <v>3.8180000000000001</v>
      </c>
      <c r="J318" s="28">
        <v>88.8</v>
      </c>
      <c r="M318" s="29">
        <f>ROUND(ROUND(J318, 2)*I318, 2)</f>
        <v>339.04</v>
      </c>
      <c r="P318" s="30">
        <v>88.8</v>
      </c>
      <c r="S318" s="29">
        <f>ROUND(ROUND(P318, 2)*I318, 2)</f>
        <v>339.04</v>
      </c>
      <c r="V318" s="9">
        <f>ROUND(ROUND(P318, 2)/1.2, 2)</f>
        <v>74</v>
      </c>
      <c r="Y318" s="9">
        <f t="shared" si="16"/>
        <v>282.52999999999997</v>
      </c>
      <c r="AD318" s="4" t="s">
        <v>1387</v>
      </c>
      <c r="AE318" s="4" t="s">
        <v>1388</v>
      </c>
      <c r="AF318" s="4" t="s">
        <v>496</v>
      </c>
    </row>
    <row r="319" spans="1:35" ht="18" x14ac:dyDescent="0.35">
      <c r="A319" s="10" t="s">
        <v>1389</v>
      </c>
      <c r="B319" s="10"/>
      <c r="C319" s="24" t="s">
        <v>854</v>
      </c>
      <c r="D319" s="15"/>
      <c r="E319" s="15"/>
      <c r="F319" s="25" t="s">
        <v>81</v>
      </c>
      <c r="G319" s="26">
        <v>5</v>
      </c>
      <c r="H319" s="26"/>
      <c r="I319" s="26">
        <v>127.25</v>
      </c>
      <c r="J319" s="28">
        <v>23</v>
      </c>
      <c r="M319" s="29">
        <f>ROUND(ROUND(J319, 2)*I319, 2)</f>
        <v>2926.75</v>
      </c>
      <c r="P319" s="30">
        <v>32.31</v>
      </c>
      <c r="S319" s="29">
        <f>ROUND(ROUND(P319, 2)*I319, 2)</f>
        <v>4111.45</v>
      </c>
      <c r="V319" s="9">
        <f>ROUND(ROUND(P319, 2)/1.2, 2)</f>
        <v>26.93</v>
      </c>
      <c r="Y319" s="9">
        <f t="shared" si="16"/>
        <v>3426.21</v>
      </c>
      <c r="AD319" s="4" t="s">
        <v>1390</v>
      </c>
      <c r="AE319" s="4" t="s">
        <v>1391</v>
      </c>
      <c r="AF319" s="4" t="s">
        <v>858</v>
      </c>
    </row>
    <row r="320" spans="1:35" ht="54" x14ac:dyDescent="0.35">
      <c r="A320" s="10" t="s">
        <v>1392</v>
      </c>
      <c r="B320" s="10" t="s">
        <v>1323</v>
      </c>
      <c r="C320" s="14" t="s">
        <v>1324</v>
      </c>
      <c r="D320" s="15"/>
      <c r="E320" s="15" t="s">
        <v>1393</v>
      </c>
      <c r="F320" s="15" t="s">
        <v>56</v>
      </c>
      <c r="G320" s="16">
        <v>1</v>
      </c>
      <c r="H320" s="16"/>
      <c r="I320" s="16">
        <v>23.61</v>
      </c>
      <c r="J320" s="17">
        <f>IFERROR(ROUND(SUM(M321,M322)/I320, 2),0)</f>
        <v>67.59</v>
      </c>
      <c r="K320" s="18">
        <v>1001</v>
      </c>
      <c r="L320" s="17">
        <f>J320+ROUND(K320, 2)</f>
        <v>1068.5899999999999</v>
      </c>
      <c r="M320" s="17">
        <f>ROUND(J320*I320, 2)</f>
        <v>1595.8</v>
      </c>
      <c r="N320" s="17">
        <f>ROUND(I320*ROUND(K320, 2), 2)</f>
        <v>23633.61</v>
      </c>
      <c r="O320" s="17">
        <f>M320+N320</f>
        <v>25229.41</v>
      </c>
      <c r="P320" s="17">
        <f>IFERROR(ROUND(SUM(S321,S322)/I320, 2),0)</f>
        <v>67.64</v>
      </c>
      <c r="Q320" s="19">
        <v>1001</v>
      </c>
      <c r="R320" s="17">
        <f>P320+ROUND(Q320, 2)</f>
        <v>1068.6400000000001</v>
      </c>
      <c r="S320" s="17">
        <f>ROUND(P320*I320, 2)</f>
        <v>1596.98</v>
      </c>
      <c r="T320" s="17">
        <f>ROUND(I320*ROUND(Q320, 2), 2)</f>
        <v>23633.61</v>
      </c>
      <c r="U320" s="17">
        <f>S320+T320</f>
        <v>25230.59</v>
      </c>
      <c r="V320" s="9">
        <f>ROUND(P320 / 1.2, 2)</f>
        <v>56.37</v>
      </c>
      <c r="W320" s="9">
        <f>ROUND(Q320 / 1.2, 2)</f>
        <v>834.17</v>
      </c>
      <c r="X320" s="9">
        <f>ROUND(R320 / 1.2, 2)</f>
        <v>890.53</v>
      </c>
      <c r="Y320" s="9">
        <f t="shared" si="16"/>
        <v>1330.82</v>
      </c>
      <c r="Z320" s="9">
        <f>ROUND(T320 / 1.2, 2)</f>
        <v>19694.68</v>
      </c>
      <c r="AA320" s="9">
        <f>Y320+Z320</f>
        <v>21025.5</v>
      </c>
      <c r="AD320" s="4">
        <v>303752506</v>
      </c>
      <c r="AE320" s="4">
        <v>21807238</v>
      </c>
      <c r="AG320" s="4" t="s">
        <v>1326</v>
      </c>
      <c r="AH320" s="4" t="s">
        <v>1327</v>
      </c>
      <c r="AI320" s="4" t="s">
        <v>247</v>
      </c>
    </row>
    <row r="321" spans="1:35" ht="36" x14ac:dyDescent="0.35">
      <c r="A321" s="10" t="s">
        <v>1394</v>
      </c>
      <c r="B321" s="10"/>
      <c r="C321" s="24" t="s">
        <v>493</v>
      </c>
      <c r="D321" s="15"/>
      <c r="E321" s="15"/>
      <c r="F321" s="25" t="s">
        <v>81</v>
      </c>
      <c r="G321" s="26">
        <v>0.15</v>
      </c>
      <c r="H321" s="26"/>
      <c r="I321" s="26">
        <v>3.5419999999999998</v>
      </c>
      <c r="J321" s="28">
        <v>88.8</v>
      </c>
      <c r="M321" s="29">
        <f>ROUND(ROUND(J321, 2)*I321, 2)</f>
        <v>314.52999999999997</v>
      </c>
      <c r="P321" s="30">
        <v>88.8</v>
      </c>
      <c r="S321" s="29">
        <f>ROUND(ROUND(P321, 2)*I321, 2)</f>
        <v>314.52999999999997</v>
      </c>
      <c r="V321" s="9">
        <f>ROUND(ROUND(P321, 2)/1.2, 2)</f>
        <v>74</v>
      </c>
      <c r="Y321" s="9">
        <f t="shared" si="16"/>
        <v>262.11</v>
      </c>
      <c r="AD321" s="4" t="s">
        <v>1395</v>
      </c>
      <c r="AE321" s="4" t="s">
        <v>1396</v>
      </c>
      <c r="AF321" s="4" t="s">
        <v>496</v>
      </c>
    </row>
    <row r="322" spans="1:35" ht="36" x14ac:dyDescent="0.35">
      <c r="A322" s="10" t="s">
        <v>1397</v>
      </c>
      <c r="B322" s="10"/>
      <c r="C322" s="37" t="s">
        <v>914</v>
      </c>
      <c r="D322" s="15"/>
      <c r="E322" s="15"/>
      <c r="F322" s="25" t="s">
        <v>81</v>
      </c>
      <c r="G322" s="26">
        <v>4.5</v>
      </c>
      <c r="H322" s="26"/>
      <c r="I322" s="26">
        <v>106.245</v>
      </c>
      <c r="J322" s="28">
        <v>12.06</v>
      </c>
      <c r="M322" s="29">
        <f>ROUND(ROUND(J322, 2)*I322, 2)</f>
        <v>1281.31</v>
      </c>
      <c r="P322" s="30">
        <v>12.07</v>
      </c>
      <c r="S322" s="29">
        <f>ROUND(ROUND(P322, 2)*I322, 2)</f>
        <v>1282.3800000000001</v>
      </c>
      <c r="V322" s="9">
        <f>ROUND(ROUND(P322, 2)/1.2, 2)</f>
        <v>10.06</v>
      </c>
      <c r="Y322" s="9">
        <f t="shared" si="16"/>
        <v>1068.6500000000001</v>
      </c>
      <c r="AD322" s="4" t="s">
        <v>1398</v>
      </c>
      <c r="AE322" s="4" t="s">
        <v>1399</v>
      </c>
      <c r="AF322" s="4" t="s">
        <v>1114</v>
      </c>
    </row>
    <row r="323" spans="1:35" ht="54" x14ac:dyDescent="0.35">
      <c r="A323" s="10" t="s">
        <v>1400</v>
      </c>
      <c r="B323" s="10" t="s">
        <v>1323</v>
      </c>
      <c r="C323" s="14" t="s">
        <v>1324</v>
      </c>
      <c r="D323" s="15"/>
      <c r="E323" s="15" t="s">
        <v>1401</v>
      </c>
      <c r="F323" s="15" t="s">
        <v>56</v>
      </c>
      <c r="G323" s="16">
        <v>1</v>
      </c>
      <c r="H323" s="16"/>
      <c r="I323" s="16">
        <v>37.68</v>
      </c>
      <c r="J323" s="17">
        <f>IFERROR(ROUND(SUM(M324,M325)/I323, 2),0)</f>
        <v>128.32</v>
      </c>
      <c r="K323" s="18">
        <v>1001</v>
      </c>
      <c r="L323" s="17">
        <f>J323+ROUND(K323, 2)</f>
        <v>1129.32</v>
      </c>
      <c r="M323" s="17">
        <f>ROUND(J323*I323, 2)</f>
        <v>4835.1000000000004</v>
      </c>
      <c r="N323" s="17">
        <f>ROUND(I323*ROUND(K323, 2), 2)</f>
        <v>37717.68</v>
      </c>
      <c r="O323" s="17">
        <f>M323+N323</f>
        <v>42552.78</v>
      </c>
      <c r="P323" s="17">
        <f>IFERROR(ROUND(SUM(S324,S325)/I323, 2),0)</f>
        <v>174.87</v>
      </c>
      <c r="Q323" s="19">
        <v>1001</v>
      </c>
      <c r="R323" s="17">
        <f>P323+ROUND(Q323, 2)</f>
        <v>1175.8699999999999</v>
      </c>
      <c r="S323" s="17">
        <f>ROUND(P323*I323, 2)</f>
        <v>6589.1</v>
      </c>
      <c r="T323" s="17">
        <f>ROUND(I323*ROUND(Q323, 2), 2)</f>
        <v>37717.68</v>
      </c>
      <c r="U323" s="17">
        <f>S323+T323</f>
        <v>44306.78</v>
      </c>
      <c r="V323" s="9">
        <f>ROUND(P323 / 1.2, 2)</f>
        <v>145.72999999999999</v>
      </c>
      <c r="W323" s="9">
        <f>ROUND(Q323 / 1.2, 2)</f>
        <v>834.17</v>
      </c>
      <c r="X323" s="9">
        <f>ROUND(R323 / 1.2, 2)</f>
        <v>979.89</v>
      </c>
      <c r="Y323" s="9">
        <f t="shared" si="16"/>
        <v>5490.92</v>
      </c>
      <c r="Z323" s="9">
        <f>ROUND(T323 / 1.2, 2)</f>
        <v>31431.4</v>
      </c>
      <c r="AA323" s="9">
        <f>Y323+Z323</f>
        <v>36922.32</v>
      </c>
      <c r="AD323" s="4">
        <v>303752507</v>
      </c>
      <c r="AE323" s="4">
        <v>21807243</v>
      </c>
      <c r="AG323" s="4" t="s">
        <v>1326</v>
      </c>
      <c r="AH323" s="4" t="s">
        <v>1327</v>
      </c>
      <c r="AI323" s="4" t="s">
        <v>247</v>
      </c>
    </row>
    <row r="324" spans="1:35" ht="36" x14ac:dyDescent="0.35">
      <c r="A324" s="10" t="s">
        <v>1402</v>
      </c>
      <c r="B324" s="10"/>
      <c r="C324" s="24" t="s">
        <v>493</v>
      </c>
      <c r="D324" s="15"/>
      <c r="E324" s="15"/>
      <c r="F324" s="25" t="s">
        <v>81</v>
      </c>
      <c r="G324" s="26">
        <v>0.15</v>
      </c>
      <c r="H324" s="26"/>
      <c r="I324" s="26">
        <v>5.6520000000000001</v>
      </c>
      <c r="J324" s="28">
        <v>88.8</v>
      </c>
      <c r="M324" s="29">
        <f>ROUND(ROUND(J324, 2)*I324, 2)</f>
        <v>501.9</v>
      </c>
      <c r="P324" s="30">
        <v>88.8</v>
      </c>
      <c r="S324" s="29">
        <f>ROUND(ROUND(P324, 2)*I324, 2)</f>
        <v>501.9</v>
      </c>
      <c r="V324" s="9">
        <f>ROUND(ROUND(P324, 2)/1.2, 2)</f>
        <v>74</v>
      </c>
      <c r="Y324" s="9">
        <f t="shared" si="16"/>
        <v>418.25</v>
      </c>
      <c r="AD324" s="4" t="s">
        <v>1403</v>
      </c>
      <c r="AE324" s="4" t="s">
        <v>1404</v>
      </c>
      <c r="AF324" s="4" t="s">
        <v>496</v>
      </c>
    </row>
    <row r="325" spans="1:35" ht="18" x14ac:dyDescent="0.35">
      <c r="A325" s="10" t="s">
        <v>1405</v>
      </c>
      <c r="B325" s="10"/>
      <c r="C325" s="24" t="s">
        <v>854</v>
      </c>
      <c r="D325" s="15"/>
      <c r="E325" s="15"/>
      <c r="F325" s="25" t="s">
        <v>81</v>
      </c>
      <c r="G325" s="26">
        <v>5</v>
      </c>
      <c r="H325" s="26"/>
      <c r="I325" s="26">
        <v>188.4</v>
      </c>
      <c r="J325" s="28">
        <v>23</v>
      </c>
      <c r="M325" s="29">
        <f>ROUND(ROUND(J325, 2)*I325, 2)</f>
        <v>4333.2</v>
      </c>
      <c r="P325" s="30">
        <v>32.31</v>
      </c>
      <c r="S325" s="29">
        <f>ROUND(ROUND(P325, 2)*I325, 2)</f>
        <v>6087.2</v>
      </c>
      <c r="V325" s="9">
        <f>ROUND(ROUND(P325, 2)/1.2, 2)</f>
        <v>26.93</v>
      </c>
      <c r="Y325" s="9">
        <f t="shared" si="16"/>
        <v>5072.67</v>
      </c>
      <c r="AD325" s="4" t="s">
        <v>1406</v>
      </c>
      <c r="AE325" s="4" t="s">
        <v>1407</v>
      </c>
      <c r="AF325" s="4" t="s">
        <v>858</v>
      </c>
    </row>
    <row r="326" spans="1:35" ht="54" x14ac:dyDescent="0.35">
      <c r="A326" s="10" t="s">
        <v>1408</v>
      </c>
      <c r="B326" s="10" t="s">
        <v>1409</v>
      </c>
      <c r="C326" s="14" t="s">
        <v>1410</v>
      </c>
      <c r="D326" s="15"/>
      <c r="E326" s="15" t="s">
        <v>1411</v>
      </c>
      <c r="F326" s="15" t="s">
        <v>56</v>
      </c>
      <c r="G326" s="16">
        <v>1</v>
      </c>
      <c r="H326" s="16"/>
      <c r="I326" s="16">
        <v>25.45</v>
      </c>
      <c r="J326" s="17">
        <f>IFERROR(ROUND(SUM(M327,M328)/I326, 2),0)</f>
        <v>30.41</v>
      </c>
      <c r="K326" s="18">
        <v>303</v>
      </c>
      <c r="L326" s="17">
        <f>J326+ROUND(K326, 2)</f>
        <v>333.41</v>
      </c>
      <c r="M326" s="17">
        <f>ROUND(J326*I326, 2)</f>
        <v>773.93</v>
      </c>
      <c r="N326" s="17">
        <f>ROUND(I326*ROUND(K326, 2), 2)</f>
        <v>7711.35</v>
      </c>
      <c r="O326" s="17">
        <f>M326+N326</f>
        <v>8485.2800000000007</v>
      </c>
      <c r="P326" s="17">
        <f>IFERROR(ROUND(SUM(S327,S328)/I326, 2),0)</f>
        <v>118.88</v>
      </c>
      <c r="Q326" s="19">
        <v>303</v>
      </c>
      <c r="R326" s="17">
        <f>P326+ROUND(Q326, 2)</f>
        <v>421.88</v>
      </c>
      <c r="S326" s="17">
        <f>ROUND(P326*I326, 2)</f>
        <v>3025.5</v>
      </c>
      <c r="T326" s="17">
        <f>ROUND(I326*ROUND(Q326, 2), 2)</f>
        <v>7711.35</v>
      </c>
      <c r="U326" s="17">
        <f>S326+T326</f>
        <v>10736.85</v>
      </c>
      <c r="V326" s="9">
        <f>ROUND(P326 / 1.2, 2)</f>
        <v>99.07</v>
      </c>
      <c r="W326" s="9">
        <f>ROUND(Q326 / 1.2, 2)</f>
        <v>252.5</v>
      </c>
      <c r="X326" s="9">
        <f>ROUND(R326 / 1.2, 2)</f>
        <v>351.57</v>
      </c>
      <c r="Y326" s="9">
        <f t="shared" si="16"/>
        <v>2521.25</v>
      </c>
      <c r="Z326" s="9">
        <f>ROUND(T326 / 1.2, 2)</f>
        <v>6426.13</v>
      </c>
      <c r="AA326" s="9">
        <f>Y326+Z326</f>
        <v>8947.380000000001</v>
      </c>
      <c r="AD326" s="4">
        <v>303752437</v>
      </c>
      <c r="AE326" s="4">
        <v>18541174</v>
      </c>
      <c r="AG326" s="4" t="s">
        <v>1412</v>
      </c>
      <c r="AH326" s="4" t="s">
        <v>1413</v>
      </c>
      <c r="AI326" s="4" t="s">
        <v>247</v>
      </c>
    </row>
    <row r="327" spans="1:35" ht="36" x14ac:dyDescent="0.35">
      <c r="A327" s="10" t="s">
        <v>1414</v>
      </c>
      <c r="B327" s="10"/>
      <c r="C327" s="24" t="s">
        <v>1415</v>
      </c>
      <c r="D327" s="15"/>
      <c r="E327" s="15"/>
      <c r="F327" s="25" t="s">
        <v>81</v>
      </c>
      <c r="G327" s="26">
        <v>0.3</v>
      </c>
      <c r="H327" s="26"/>
      <c r="I327" s="26">
        <v>7.6349999999999998</v>
      </c>
      <c r="J327" s="28">
        <v>71.75</v>
      </c>
      <c r="M327" s="29">
        <f>ROUND(ROUND(J327, 2)*I327, 2)</f>
        <v>547.80999999999995</v>
      </c>
      <c r="P327" s="30">
        <v>366.67</v>
      </c>
      <c r="S327" s="29">
        <f>ROUND(ROUND(P327, 2)*I327, 2)</f>
        <v>2799.53</v>
      </c>
      <c r="V327" s="9">
        <f>ROUND(ROUND(P327, 2)/1.2, 2)</f>
        <v>305.56</v>
      </c>
      <c r="Y327" s="9">
        <f t="shared" si="16"/>
        <v>2332.94</v>
      </c>
      <c r="AD327" s="4" t="s">
        <v>1416</v>
      </c>
      <c r="AE327" s="4" t="s">
        <v>1417</v>
      </c>
      <c r="AF327" s="4" t="s">
        <v>1418</v>
      </c>
    </row>
    <row r="328" spans="1:35" ht="36" x14ac:dyDescent="0.35">
      <c r="A328" s="10" t="s">
        <v>1419</v>
      </c>
      <c r="B328" s="10"/>
      <c r="C328" s="24" t="s">
        <v>493</v>
      </c>
      <c r="D328" s="15"/>
      <c r="E328" s="15"/>
      <c r="F328" s="25" t="s">
        <v>81</v>
      </c>
      <c r="G328" s="26">
        <v>0.1</v>
      </c>
      <c r="H328" s="26"/>
      <c r="I328" s="26">
        <v>2.5449999999999999</v>
      </c>
      <c r="J328" s="28">
        <v>88.8</v>
      </c>
      <c r="M328" s="29">
        <f>ROUND(ROUND(J328, 2)*I328, 2)</f>
        <v>226</v>
      </c>
      <c r="P328" s="30">
        <v>88.8</v>
      </c>
      <c r="S328" s="29">
        <f>ROUND(ROUND(P328, 2)*I328, 2)</f>
        <v>226</v>
      </c>
      <c r="V328" s="9">
        <f>ROUND(ROUND(P328, 2)/1.2, 2)</f>
        <v>74</v>
      </c>
      <c r="Y328" s="9">
        <f t="shared" si="16"/>
        <v>188.33</v>
      </c>
      <c r="AD328" s="4" t="s">
        <v>1420</v>
      </c>
      <c r="AE328" s="4" t="s">
        <v>1421</v>
      </c>
      <c r="AF328" s="4" t="s">
        <v>496</v>
      </c>
    </row>
    <row r="329" spans="1:35" ht="54" x14ac:dyDescent="0.35">
      <c r="A329" s="10" t="s">
        <v>1422</v>
      </c>
      <c r="B329" s="10" t="s">
        <v>1409</v>
      </c>
      <c r="C329" s="14" t="s">
        <v>1410</v>
      </c>
      <c r="D329" s="15"/>
      <c r="E329" s="15" t="s">
        <v>1423</v>
      </c>
      <c r="F329" s="15" t="s">
        <v>56</v>
      </c>
      <c r="G329" s="16">
        <v>1</v>
      </c>
      <c r="H329" s="16"/>
      <c r="I329" s="16">
        <v>51.66</v>
      </c>
      <c r="J329" s="17">
        <f>IFERROR(ROUND(SUM(M330,M331)/I329, 2),0)</f>
        <v>30.4</v>
      </c>
      <c r="K329" s="18">
        <v>303</v>
      </c>
      <c r="L329" s="17">
        <f>J329+ROUND(K329, 2)</f>
        <v>333.4</v>
      </c>
      <c r="M329" s="17">
        <f>ROUND(J329*I329, 2)</f>
        <v>1570.46</v>
      </c>
      <c r="N329" s="17">
        <f>ROUND(I329*ROUND(K329, 2), 2)</f>
        <v>15652.98</v>
      </c>
      <c r="O329" s="17">
        <f>M329+N329</f>
        <v>17223.439999999999</v>
      </c>
      <c r="P329" s="17">
        <f>IFERROR(ROUND(SUM(S330,S331)/I329, 2),0)</f>
        <v>118.88</v>
      </c>
      <c r="Q329" s="19">
        <v>303</v>
      </c>
      <c r="R329" s="17">
        <f>P329+ROUND(Q329, 2)</f>
        <v>421.88</v>
      </c>
      <c r="S329" s="17">
        <f>ROUND(P329*I329, 2)</f>
        <v>6141.34</v>
      </c>
      <c r="T329" s="17">
        <f>ROUND(I329*ROUND(Q329, 2), 2)</f>
        <v>15652.98</v>
      </c>
      <c r="U329" s="17">
        <f>S329+T329</f>
        <v>21794.32</v>
      </c>
      <c r="V329" s="9">
        <f>ROUND(P329 / 1.2, 2)</f>
        <v>99.07</v>
      </c>
      <c r="W329" s="9">
        <f>ROUND(Q329 / 1.2, 2)</f>
        <v>252.5</v>
      </c>
      <c r="X329" s="9">
        <f>ROUND(R329 / 1.2, 2)</f>
        <v>351.57</v>
      </c>
      <c r="Y329" s="9">
        <f t="shared" ref="Y329:Y352" si="17">ROUND(S329 / 1.2, 2)</f>
        <v>5117.78</v>
      </c>
      <c r="Z329" s="9">
        <f>ROUND(T329 / 1.2, 2)</f>
        <v>13044.15</v>
      </c>
      <c r="AA329" s="9">
        <f>Y329+Z329</f>
        <v>18161.93</v>
      </c>
      <c r="AD329" s="4">
        <v>303752508</v>
      </c>
      <c r="AE329" s="4">
        <v>19919222</v>
      </c>
      <c r="AG329" s="4" t="s">
        <v>1412</v>
      </c>
      <c r="AH329" s="4" t="s">
        <v>1413</v>
      </c>
      <c r="AI329" s="4" t="s">
        <v>247</v>
      </c>
    </row>
    <row r="330" spans="1:35" ht="36" x14ac:dyDescent="0.35">
      <c r="A330" s="10" t="s">
        <v>1424</v>
      </c>
      <c r="B330" s="10"/>
      <c r="C330" s="24" t="s">
        <v>493</v>
      </c>
      <c r="D330" s="15"/>
      <c r="E330" s="15"/>
      <c r="F330" s="25" t="s">
        <v>81</v>
      </c>
      <c r="G330" s="26">
        <v>0.1</v>
      </c>
      <c r="H330" s="26"/>
      <c r="I330" s="26">
        <v>5.1660000000000004</v>
      </c>
      <c r="J330" s="28">
        <v>88.8</v>
      </c>
      <c r="M330" s="29">
        <f>ROUND(ROUND(J330, 2)*I330, 2)</f>
        <v>458.74</v>
      </c>
      <c r="P330" s="30">
        <v>88.8</v>
      </c>
      <c r="S330" s="29">
        <f>ROUND(ROUND(P330, 2)*I330, 2)</f>
        <v>458.74</v>
      </c>
      <c r="V330" s="9">
        <f>ROUND(ROUND(P330, 2)/1.2, 2)</f>
        <v>74</v>
      </c>
      <c r="Y330" s="9">
        <f t="shared" si="17"/>
        <v>382.28</v>
      </c>
      <c r="AD330" s="4" t="s">
        <v>1425</v>
      </c>
      <c r="AE330" s="4" t="s">
        <v>1426</v>
      </c>
      <c r="AF330" s="4" t="s">
        <v>496</v>
      </c>
    </row>
    <row r="331" spans="1:35" ht="36" x14ac:dyDescent="0.35">
      <c r="A331" s="10" t="s">
        <v>1427</v>
      </c>
      <c r="B331" s="10"/>
      <c r="C331" s="24" t="s">
        <v>1415</v>
      </c>
      <c r="D331" s="15"/>
      <c r="E331" s="15"/>
      <c r="F331" s="25" t="s">
        <v>81</v>
      </c>
      <c r="G331" s="26">
        <v>0.3</v>
      </c>
      <c r="H331" s="26"/>
      <c r="I331" s="26">
        <v>15.497999999999999</v>
      </c>
      <c r="J331" s="28">
        <v>71.75</v>
      </c>
      <c r="M331" s="29">
        <f>ROUND(ROUND(J331, 2)*I331, 2)</f>
        <v>1111.98</v>
      </c>
      <c r="P331" s="30">
        <v>366.67</v>
      </c>
      <c r="S331" s="29">
        <f>ROUND(ROUND(P331, 2)*I331, 2)</f>
        <v>5682.65</v>
      </c>
      <c r="V331" s="9">
        <f>ROUND(ROUND(P331, 2)/1.2, 2)</f>
        <v>305.56</v>
      </c>
      <c r="Y331" s="9">
        <f t="shared" si="17"/>
        <v>4735.54</v>
      </c>
      <c r="AD331" s="4" t="s">
        <v>1428</v>
      </c>
      <c r="AE331" s="4" t="s">
        <v>1429</v>
      </c>
      <c r="AF331" s="4" t="s">
        <v>1418</v>
      </c>
    </row>
    <row r="332" spans="1:35" ht="54" x14ac:dyDescent="0.35">
      <c r="A332" s="10" t="s">
        <v>1430</v>
      </c>
      <c r="B332" s="10" t="s">
        <v>1409</v>
      </c>
      <c r="C332" s="14" t="s">
        <v>1410</v>
      </c>
      <c r="D332" s="15"/>
      <c r="E332" s="15" t="s">
        <v>1431</v>
      </c>
      <c r="F332" s="15" t="s">
        <v>56</v>
      </c>
      <c r="G332" s="16">
        <v>1</v>
      </c>
      <c r="H332" s="16"/>
      <c r="I332" s="16">
        <v>37.68</v>
      </c>
      <c r="J332" s="17">
        <f>IFERROR(ROUND(SUM(M333,M334)/I332, 2),0)</f>
        <v>30.4</v>
      </c>
      <c r="K332" s="18">
        <v>303</v>
      </c>
      <c r="L332" s="17">
        <f>J332+ROUND(K332, 2)</f>
        <v>333.4</v>
      </c>
      <c r="M332" s="17">
        <f>ROUND(J332*I332, 2)</f>
        <v>1145.47</v>
      </c>
      <c r="N332" s="17">
        <f>ROUND(I332*ROUND(K332, 2), 2)</f>
        <v>11417.04</v>
      </c>
      <c r="O332" s="17">
        <f>M332+N332</f>
        <v>12562.51</v>
      </c>
      <c r="P332" s="17">
        <f>IFERROR(ROUND(SUM(S333,S334)/I332, 2),0)</f>
        <v>118.88</v>
      </c>
      <c r="Q332" s="19">
        <v>303</v>
      </c>
      <c r="R332" s="17">
        <f>P332+ROUND(Q332, 2)</f>
        <v>421.88</v>
      </c>
      <c r="S332" s="17">
        <f>ROUND(P332*I332, 2)</f>
        <v>4479.3999999999996</v>
      </c>
      <c r="T332" s="17">
        <f>ROUND(I332*ROUND(Q332, 2), 2)</f>
        <v>11417.04</v>
      </c>
      <c r="U332" s="17">
        <f>S332+T332</f>
        <v>15896.44</v>
      </c>
      <c r="V332" s="9">
        <f>ROUND(P332 / 1.2, 2)</f>
        <v>99.07</v>
      </c>
      <c r="W332" s="9">
        <f>ROUND(Q332 / 1.2, 2)</f>
        <v>252.5</v>
      </c>
      <c r="X332" s="9">
        <f>ROUND(R332 / 1.2, 2)</f>
        <v>351.57</v>
      </c>
      <c r="Y332" s="9">
        <f t="shared" si="17"/>
        <v>3732.83</v>
      </c>
      <c r="Z332" s="9">
        <f>ROUND(T332 / 1.2, 2)</f>
        <v>9514.2000000000007</v>
      </c>
      <c r="AA332" s="9">
        <f>Y332+Z332</f>
        <v>13247.03</v>
      </c>
      <c r="AD332" s="4">
        <v>303752509</v>
      </c>
      <c r="AE332" s="4">
        <v>19919224</v>
      </c>
      <c r="AG332" s="4" t="s">
        <v>1412</v>
      </c>
      <c r="AH332" s="4" t="s">
        <v>1413</v>
      </c>
      <c r="AI332" s="4" t="s">
        <v>247</v>
      </c>
    </row>
    <row r="333" spans="1:35" ht="36" x14ac:dyDescent="0.35">
      <c r="A333" s="10" t="s">
        <v>1432</v>
      </c>
      <c r="B333" s="10"/>
      <c r="C333" s="24" t="s">
        <v>493</v>
      </c>
      <c r="D333" s="15"/>
      <c r="E333" s="15"/>
      <c r="F333" s="25" t="s">
        <v>81</v>
      </c>
      <c r="G333" s="26">
        <v>0.1</v>
      </c>
      <c r="H333" s="26"/>
      <c r="I333" s="26">
        <v>3.7679999999999998</v>
      </c>
      <c r="J333" s="28">
        <v>88.8</v>
      </c>
      <c r="M333" s="29">
        <f>ROUND(ROUND(J333, 2)*I333, 2)</f>
        <v>334.6</v>
      </c>
      <c r="P333" s="30">
        <v>88.8</v>
      </c>
      <c r="S333" s="29">
        <f>ROUND(ROUND(P333, 2)*I333, 2)</f>
        <v>334.6</v>
      </c>
      <c r="V333" s="9">
        <f>ROUND(ROUND(P333, 2)/1.2, 2)</f>
        <v>74</v>
      </c>
      <c r="Y333" s="9">
        <f t="shared" si="17"/>
        <v>278.83</v>
      </c>
      <c r="AD333" s="4" t="s">
        <v>1433</v>
      </c>
      <c r="AE333" s="4" t="s">
        <v>1434</v>
      </c>
      <c r="AF333" s="4" t="s">
        <v>496</v>
      </c>
    </row>
    <row r="334" spans="1:35" ht="36" x14ac:dyDescent="0.35">
      <c r="A334" s="10" t="s">
        <v>1435</v>
      </c>
      <c r="B334" s="10"/>
      <c r="C334" s="24" t="s">
        <v>1415</v>
      </c>
      <c r="D334" s="15"/>
      <c r="E334" s="15"/>
      <c r="F334" s="25" t="s">
        <v>81</v>
      </c>
      <c r="G334" s="26">
        <v>0.3</v>
      </c>
      <c r="H334" s="26"/>
      <c r="I334" s="26">
        <v>11.304</v>
      </c>
      <c r="J334" s="28">
        <v>71.75</v>
      </c>
      <c r="M334" s="29">
        <f>ROUND(ROUND(J334, 2)*I334, 2)</f>
        <v>811.06</v>
      </c>
      <c r="P334" s="30">
        <v>366.67</v>
      </c>
      <c r="S334" s="29">
        <f>ROUND(ROUND(P334, 2)*I334, 2)</f>
        <v>4144.84</v>
      </c>
      <c r="V334" s="9">
        <f>ROUND(ROUND(P334, 2)/1.2, 2)</f>
        <v>305.56</v>
      </c>
      <c r="Y334" s="9">
        <f t="shared" si="17"/>
        <v>3454.03</v>
      </c>
      <c r="AD334" s="4" t="s">
        <v>1436</v>
      </c>
      <c r="AE334" s="4" t="s">
        <v>1437</v>
      </c>
      <c r="AF334" s="4" t="s">
        <v>1418</v>
      </c>
    </row>
    <row r="335" spans="1:35" ht="54" x14ac:dyDescent="0.35">
      <c r="A335" s="10" t="s">
        <v>1438</v>
      </c>
      <c r="B335" s="10" t="s">
        <v>1439</v>
      </c>
      <c r="C335" s="14" t="s">
        <v>1440</v>
      </c>
      <c r="D335" s="15"/>
      <c r="E335" s="15" t="s">
        <v>1441</v>
      </c>
      <c r="F335" s="15" t="s">
        <v>56</v>
      </c>
      <c r="G335" s="16">
        <v>1</v>
      </c>
      <c r="H335" s="16"/>
      <c r="I335" s="16">
        <v>37.44</v>
      </c>
      <c r="J335" s="17">
        <f>IFERROR(ROUND(SUM(M336,M337,M338)/I335, 2),0)</f>
        <v>238.99</v>
      </c>
      <c r="K335" s="18">
        <v>1291</v>
      </c>
      <c r="L335" s="17">
        <f>J335+ROUND(K335, 2)</f>
        <v>1529.99</v>
      </c>
      <c r="M335" s="17">
        <f>ROUND(J335*I335, 2)</f>
        <v>8947.7900000000009</v>
      </c>
      <c r="N335" s="17">
        <f>ROUND(I335*ROUND(K335, 2), 2)</f>
        <v>48335.040000000001</v>
      </c>
      <c r="O335" s="17">
        <f>M335+N335</f>
        <v>57282.83</v>
      </c>
      <c r="P335" s="17">
        <f>IFERROR(ROUND(SUM(S336,S337,S338)/I335, 2),0)</f>
        <v>1847.19</v>
      </c>
      <c r="Q335" s="19">
        <v>1291</v>
      </c>
      <c r="R335" s="17">
        <f>P335+ROUND(Q335, 2)</f>
        <v>3138.19</v>
      </c>
      <c r="S335" s="17">
        <f>ROUND(P335*I335, 2)</f>
        <v>69158.789999999994</v>
      </c>
      <c r="T335" s="17">
        <f>ROUND(I335*ROUND(Q335, 2), 2)</f>
        <v>48335.040000000001</v>
      </c>
      <c r="U335" s="17">
        <f>S335+T335</f>
        <v>117493.82999999999</v>
      </c>
      <c r="V335" s="9">
        <f>ROUND(P335 / 1.2, 2)</f>
        <v>1539.33</v>
      </c>
      <c r="W335" s="9">
        <f>ROUND(Q335 / 1.2, 2)</f>
        <v>1075.83</v>
      </c>
      <c r="X335" s="9">
        <f>ROUND(R335 / 1.2, 2)</f>
        <v>2615.16</v>
      </c>
      <c r="Y335" s="9">
        <f t="shared" si="17"/>
        <v>57632.33</v>
      </c>
      <c r="Z335" s="9">
        <f>ROUND(T335 / 1.2, 2)</f>
        <v>40279.199999999997</v>
      </c>
      <c r="AA335" s="9">
        <f>Y335+Z335</f>
        <v>97911.53</v>
      </c>
      <c r="AD335" s="4">
        <v>303752439</v>
      </c>
      <c r="AE335" s="4">
        <v>19917608</v>
      </c>
      <c r="AG335" s="4" t="s">
        <v>1442</v>
      </c>
      <c r="AH335" s="4" t="s">
        <v>1443</v>
      </c>
      <c r="AI335" s="4" t="s">
        <v>247</v>
      </c>
    </row>
    <row r="336" spans="1:35" ht="18" x14ac:dyDescent="0.35">
      <c r="A336" s="10" t="s">
        <v>1444</v>
      </c>
      <c r="B336" s="10"/>
      <c r="C336" s="24" t="s">
        <v>1445</v>
      </c>
      <c r="D336" s="15"/>
      <c r="E336" s="15"/>
      <c r="F336" s="25" t="s">
        <v>103</v>
      </c>
      <c r="G336" s="26">
        <v>1</v>
      </c>
      <c r="H336" s="27"/>
      <c r="I336" s="27">
        <v>22</v>
      </c>
      <c r="J336" s="28">
        <v>80</v>
      </c>
      <c r="M336" s="29">
        <f>ROUND(ROUND(J336, 2)*I336, 2)</f>
        <v>1760</v>
      </c>
      <c r="P336" s="30">
        <v>80</v>
      </c>
      <c r="S336" s="29">
        <f>ROUND(ROUND(P336, 2)*I336, 2)</f>
        <v>1760</v>
      </c>
      <c r="V336" s="9">
        <f>ROUND(ROUND(P336, 2)/1.2, 2)</f>
        <v>66.67</v>
      </c>
      <c r="Y336" s="9">
        <f t="shared" si="17"/>
        <v>1466.67</v>
      </c>
      <c r="AD336" s="4" t="s">
        <v>1446</v>
      </c>
      <c r="AE336" s="4" t="s">
        <v>1447</v>
      </c>
      <c r="AF336" s="4" t="s">
        <v>1448</v>
      </c>
    </row>
    <row r="337" spans="1:35" ht="18" x14ac:dyDescent="0.35">
      <c r="A337" s="10" t="s">
        <v>1449</v>
      </c>
      <c r="B337" s="10"/>
      <c r="C337" s="24" t="s">
        <v>188</v>
      </c>
      <c r="D337" s="15"/>
      <c r="E337" s="15"/>
      <c r="F337" s="25" t="s">
        <v>129</v>
      </c>
      <c r="G337" s="26">
        <v>1</v>
      </c>
      <c r="H337" s="27"/>
      <c r="I337" s="27">
        <v>201</v>
      </c>
      <c r="J337" s="28">
        <v>35.76</v>
      </c>
      <c r="M337" s="29">
        <f>ROUND(ROUND(J337, 2)*I337, 2)</f>
        <v>7187.76</v>
      </c>
      <c r="P337" s="30">
        <v>35.76</v>
      </c>
      <c r="S337" s="29">
        <f>ROUND(ROUND(P337, 2)*I337, 2)</f>
        <v>7187.76</v>
      </c>
      <c r="V337" s="9">
        <f>ROUND(ROUND(P337, 2)/1.2, 2)</f>
        <v>29.8</v>
      </c>
      <c r="Y337" s="9">
        <f t="shared" si="17"/>
        <v>5989.8</v>
      </c>
      <c r="AD337" s="4" t="s">
        <v>1450</v>
      </c>
      <c r="AE337" s="4" t="s">
        <v>1451</v>
      </c>
      <c r="AF337" s="4" t="s">
        <v>191</v>
      </c>
    </row>
    <row r="338" spans="1:35" ht="18" x14ac:dyDescent="0.35">
      <c r="A338" s="10" t="s">
        <v>1452</v>
      </c>
      <c r="B338" s="10"/>
      <c r="C338" s="24" t="s">
        <v>1453</v>
      </c>
      <c r="D338" s="15"/>
      <c r="E338" s="15"/>
      <c r="F338" s="25" t="s">
        <v>56</v>
      </c>
      <c r="G338" s="26">
        <v>1.1000000000000001</v>
      </c>
      <c r="H338" s="26"/>
      <c r="I338" s="26">
        <v>41.183999999999997</v>
      </c>
      <c r="J338" s="28">
        <v>0</v>
      </c>
      <c r="M338" s="29">
        <f>ROUND(ROUND(J338, 2)*I338, 2)</f>
        <v>0</v>
      </c>
      <c r="P338" s="30">
        <v>1462</v>
      </c>
      <c r="S338" s="29">
        <f>ROUND(ROUND(P338, 2)*I338, 2)</f>
        <v>60211.01</v>
      </c>
      <c r="V338" s="9">
        <f>ROUND(ROUND(P338, 2)/1.2, 2)</f>
        <v>1218.33</v>
      </c>
      <c r="Y338" s="9">
        <f t="shared" si="17"/>
        <v>50175.839999999997</v>
      </c>
      <c r="AD338" s="4" t="s">
        <v>1454</v>
      </c>
      <c r="AE338" s="4" t="s">
        <v>1455</v>
      </c>
      <c r="AF338" s="4" t="s">
        <v>1456</v>
      </c>
    </row>
    <row r="339" spans="1:35" ht="54" x14ac:dyDescent="0.35">
      <c r="A339" s="10" t="s">
        <v>1457</v>
      </c>
      <c r="B339" s="10" t="s">
        <v>1458</v>
      </c>
      <c r="C339" s="14" t="s">
        <v>1459</v>
      </c>
      <c r="D339" s="15"/>
      <c r="E339" s="15" t="s">
        <v>1460</v>
      </c>
      <c r="F339" s="15" t="s">
        <v>56</v>
      </c>
      <c r="G339" s="16">
        <v>1</v>
      </c>
      <c r="H339" s="16"/>
      <c r="I339" s="16">
        <v>25.45</v>
      </c>
      <c r="J339" s="17">
        <f>IFERROR(ROUND(SUM(M340,M341,M342,M343,M344,M345)/I339, 2),0)</f>
        <v>856.16</v>
      </c>
      <c r="K339" s="18">
        <v>1422</v>
      </c>
      <c r="L339" s="17">
        <f>J339+ROUND(K339, 2)</f>
        <v>2278.16</v>
      </c>
      <c r="M339" s="17">
        <f>ROUND(J339*I339, 2)</f>
        <v>21789.27</v>
      </c>
      <c r="N339" s="17">
        <f>ROUND(I339*ROUND(K339, 2), 2)</f>
        <v>36189.9</v>
      </c>
      <c r="O339" s="17">
        <f>M339+N339</f>
        <v>57979.17</v>
      </c>
      <c r="P339" s="17">
        <f>IFERROR(ROUND(SUM(S340,S341,S342,S343,S344,S345)/I339, 2),0)</f>
        <v>856.16</v>
      </c>
      <c r="Q339" s="19">
        <v>1422</v>
      </c>
      <c r="R339" s="17">
        <f>P339+ROUND(Q339, 2)</f>
        <v>2278.16</v>
      </c>
      <c r="S339" s="17">
        <f>ROUND(P339*I339, 2)</f>
        <v>21789.27</v>
      </c>
      <c r="T339" s="17">
        <f>ROUND(I339*ROUND(Q339, 2), 2)</f>
        <v>36189.9</v>
      </c>
      <c r="U339" s="17">
        <f>S339+T339</f>
        <v>57979.17</v>
      </c>
      <c r="V339" s="9">
        <f>ROUND(P339 / 1.2, 2)</f>
        <v>713.47</v>
      </c>
      <c r="W339" s="9">
        <f>ROUND(Q339 / 1.2, 2)</f>
        <v>1185</v>
      </c>
      <c r="X339" s="9">
        <f>ROUND(R339 / 1.2, 2)</f>
        <v>1898.47</v>
      </c>
      <c r="Y339" s="9">
        <f t="shared" si="17"/>
        <v>18157.73</v>
      </c>
      <c r="Z339" s="9">
        <f>ROUND(T339 / 1.2, 2)</f>
        <v>30158.25</v>
      </c>
      <c r="AA339" s="9">
        <f>Y339+Z339</f>
        <v>48315.979999999996</v>
      </c>
      <c r="AD339" s="4">
        <v>303752441</v>
      </c>
      <c r="AE339" s="4">
        <v>21804153</v>
      </c>
      <c r="AG339" s="4" t="s">
        <v>1461</v>
      </c>
      <c r="AH339" s="4" t="s">
        <v>1462</v>
      </c>
      <c r="AI339" s="4" t="s">
        <v>247</v>
      </c>
    </row>
    <row r="340" spans="1:35" ht="18" x14ac:dyDescent="0.35">
      <c r="A340" s="10" t="s">
        <v>1463</v>
      </c>
      <c r="B340" s="10"/>
      <c r="C340" s="24" t="s">
        <v>1464</v>
      </c>
      <c r="D340" s="15"/>
      <c r="E340" s="15"/>
      <c r="F340" s="25" t="s">
        <v>103</v>
      </c>
      <c r="G340" s="26">
        <v>44</v>
      </c>
      <c r="H340" s="26"/>
      <c r="I340" s="26">
        <v>1119.8</v>
      </c>
      <c r="J340" s="28">
        <v>0.95</v>
      </c>
      <c r="M340" s="29">
        <f t="shared" ref="M340:M345" si="18">ROUND(ROUND(J340, 2)*I340, 2)</f>
        <v>1063.81</v>
      </c>
      <c r="P340" s="30">
        <v>0.95</v>
      </c>
      <c r="S340" s="29">
        <f t="shared" ref="S340:S345" si="19">ROUND(ROUND(P340, 2)*I340, 2)</f>
        <v>1063.81</v>
      </c>
      <c r="V340" s="9">
        <f t="shared" ref="V340:V345" si="20">ROUND(ROUND(P340, 2)/1.2, 2)</f>
        <v>0.79</v>
      </c>
      <c r="Y340" s="9">
        <f t="shared" si="17"/>
        <v>886.51</v>
      </c>
      <c r="AD340" s="4" t="s">
        <v>1465</v>
      </c>
      <c r="AE340" s="4" t="s">
        <v>1466</v>
      </c>
      <c r="AF340" s="4" t="s">
        <v>1467</v>
      </c>
    </row>
    <row r="341" spans="1:35" ht="18" x14ac:dyDescent="0.35">
      <c r="A341" s="10" t="s">
        <v>1468</v>
      </c>
      <c r="B341" s="10"/>
      <c r="C341" s="24" t="s">
        <v>1469</v>
      </c>
      <c r="D341" s="15"/>
      <c r="E341" s="15"/>
      <c r="F341" s="25" t="s">
        <v>81</v>
      </c>
      <c r="G341" s="26">
        <v>0.35</v>
      </c>
      <c r="H341" s="26"/>
      <c r="I341" s="26">
        <v>8.9079999999999995</v>
      </c>
      <c r="J341" s="28">
        <v>55</v>
      </c>
      <c r="M341" s="29">
        <f t="shared" si="18"/>
        <v>489.94</v>
      </c>
      <c r="P341" s="30">
        <v>55</v>
      </c>
      <c r="S341" s="29">
        <f t="shared" si="19"/>
        <v>489.94</v>
      </c>
      <c r="V341" s="9">
        <f t="shared" si="20"/>
        <v>45.83</v>
      </c>
      <c r="Y341" s="9">
        <f t="shared" si="17"/>
        <v>408.28</v>
      </c>
      <c r="AD341" s="4" t="s">
        <v>1470</v>
      </c>
      <c r="AE341" s="4" t="s">
        <v>1471</v>
      </c>
      <c r="AF341" s="4" t="s">
        <v>1472</v>
      </c>
    </row>
    <row r="342" spans="1:35" ht="18" x14ac:dyDescent="0.35">
      <c r="A342" s="10" t="s">
        <v>1473</v>
      </c>
      <c r="B342" s="10"/>
      <c r="C342" s="24" t="s">
        <v>1445</v>
      </c>
      <c r="D342" s="15"/>
      <c r="E342" s="15"/>
      <c r="F342" s="25" t="s">
        <v>103</v>
      </c>
      <c r="G342" s="26">
        <v>2.2200000000000002</v>
      </c>
      <c r="H342" s="26"/>
      <c r="I342" s="26">
        <v>56.499000000000002</v>
      </c>
      <c r="J342" s="28">
        <v>80</v>
      </c>
      <c r="M342" s="29">
        <f t="shared" si="18"/>
        <v>4519.92</v>
      </c>
      <c r="P342" s="30">
        <v>80</v>
      </c>
      <c r="S342" s="29">
        <f t="shared" si="19"/>
        <v>4519.92</v>
      </c>
      <c r="V342" s="9">
        <f t="shared" si="20"/>
        <v>66.67</v>
      </c>
      <c r="Y342" s="9">
        <f t="shared" si="17"/>
        <v>3766.6</v>
      </c>
      <c r="AD342" s="4" t="s">
        <v>1474</v>
      </c>
      <c r="AE342" s="4" t="s">
        <v>1475</v>
      </c>
      <c r="AF342" s="4" t="s">
        <v>1448</v>
      </c>
    </row>
    <row r="343" spans="1:35" ht="36" x14ac:dyDescent="0.35">
      <c r="A343" s="10" t="s">
        <v>1476</v>
      </c>
      <c r="B343" s="10"/>
      <c r="C343" s="37" t="s">
        <v>1477</v>
      </c>
      <c r="D343" s="15"/>
      <c r="E343" s="15"/>
      <c r="F343" s="25" t="s">
        <v>129</v>
      </c>
      <c r="G343" s="26">
        <v>13.5</v>
      </c>
      <c r="H343" s="26"/>
      <c r="I343" s="26">
        <v>343.57499999999999</v>
      </c>
      <c r="J343" s="28">
        <v>32.950000000000003</v>
      </c>
      <c r="M343" s="29">
        <f t="shared" si="18"/>
        <v>11320.8</v>
      </c>
      <c r="P343" s="30">
        <v>32.950000000000003</v>
      </c>
      <c r="S343" s="29">
        <f t="shared" si="19"/>
        <v>11320.8</v>
      </c>
      <c r="V343" s="9">
        <f t="shared" si="20"/>
        <v>27.46</v>
      </c>
      <c r="Y343" s="9">
        <f t="shared" si="17"/>
        <v>9434</v>
      </c>
      <c r="AD343" s="4" t="s">
        <v>1478</v>
      </c>
      <c r="AE343" s="4" t="s">
        <v>1479</v>
      </c>
      <c r="AF343" s="4" t="s">
        <v>1480</v>
      </c>
    </row>
    <row r="344" spans="1:35" ht="18" x14ac:dyDescent="0.35">
      <c r="A344" s="10" t="s">
        <v>1481</v>
      </c>
      <c r="B344" s="10"/>
      <c r="C344" s="24" t="s">
        <v>1482</v>
      </c>
      <c r="D344" s="15"/>
      <c r="E344" s="15"/>
      <c r="F344" s="25" t="s">
        <v>103</v>
      </c>
      <c r="G344" s="26">
        <v>33.75</v>
      </c>
      <c r="H344" s="26"/>
      <c r="I344" s="26">
        <v>858.93799999999999</v>
      </c>
      <c r="J344" s="28">
        <v>0.9</v>
      </c>
      <c r="M344" s="29">
        <f t="shared" si="18"/>
        <v>773.04</v>
      </c>
      <c r="P344" s="30">
        <v>0.9</v>
      </c>
      <c r="S344" s="29">
        <f t="shared" si="19"/>
        <v>773.04</v>
      </c>
      <c r="V344" s="9">
        <f t="shared" si="20"/>
        <v>0.75</v>
      </c>
      <c r="Y344" s="9">
        <f t="shared" si="17"/>
        <v>644.20000000000005</v>
      </c>
      <c r="AD344" s="4" t="s">
        <v>1483</v>
      </c>
      <c r="AE344" s="4" t="s">
        <v>1484</v>
      </c>
      <c r="AF344" s="4" t="s">
        <v>1485</v>
      </c>
    </row>
    <row r="345" spans="1:35" ht="36" x14ac:dyDescent="0.35">
      <c r="A345" s="10" t="s">
        <v>1486</v>
      </c>
      <c r="B345" s="10"/>
      <c r="C345" s="24" t="s">
        <v>122</v>
      </c>
      <c r="D345" s="15"/>
      <c r="E345" s="15"/>
      <c r="F345" s="25" t="s">
        <v>56</v>
      </c>
      <c r="G345" s="26">
        <v>1.05</v>
      </c>
      <c r="H345" s="26"/>
      <c r="I345" s="26">
        <v>26.722999999999999</v>
      </c>
      <c r="J345" s="28">
        <v>135.53</v>
      </c>
      <c r="M345" s="29">
        <f t="shared" si="18"/>
        <v>3621.77</v>
      </c>
      <c r="P345" s="30">
        <v>135.53</v>
      </c>
      <c r="S345" s="29">
        <f t="shared" si="19"/>
        <v>3621.77</v>
      </c>
      <c r="V345" s="9">
        <f t="shared" si="20"/>
        <v>112.94</v>
      </c>
      <c r="Y345" s="9">
        <f t="shared" si="17"/>
        <v>3018.14</v>
      </c>
      <c r="AD345" s="4" t="s">
        <v>1487</v>
      </c>
      <c r="AE345" s="4" t="s">
        <v>1488</v>
      </c>
      <c r="AF345" s="4" t="s">
        <v>126</v>
      </c>
    </row>
    <row r="346" spans="1:35" ht="54" x14ac:dyDescent="0.35">
      <c r="A346" s="10" t="s">
        <v>1489</v>
      </c>
      <c r="B346" s="10" t="s">
        <v>1458</v>
      </c>
      <c r="C346" s="14" t="s">
        <v>1459</v>
      </c>
      <c r="D346" s="15"/>
      <c r="E346" s="15" t="s">
        <v>1490</v>
      </c>
      <c r="F346" s="15" t="s">
        <v>56</v>
      </c>
      <c r="G346" s="16">
        <v>1</v>
      </c>
      <c r="H346" s="16"/>
      <c r="I346" s="16">
        <v>2.5499999999999998</v>
      </c>
      <c r="J346" s="17">
        <f>IFERROR(ROUND(SUM(M347,M348,M349,M350,M351,M352)/I346, 2),0)</f>
        <v>856.2</v>
      </c>
      <c r="K346" s="18">
        <v>1422</v>
      </c>
      <c r="L346" s="17">
        <f>J346+ROUND(K346, 2)</f>
        <v>2278.1999999999998</v>
      </c>
      <c r="M346" s="17">
        <f>ROUND(J346*I346, 2)</f>
        <v>2183.31</v>
      </c>
      <c r="N346" s="17">
        <f>ROUND(I346*ROUND(K346, 2), 2)</f>
        <v>3626.1</v>
      </c>
      <c r="O346" s="17">
        <f>M346+N346</f>
        <v>5809.41</v>
      </c>
      <c r="P346" s="17">
        <f>IFERROR(ROUND(SUM(S347,S348,S349,S350,S351,S352)/I346, 2),0)</f>
        <v>856.2</v>
      </c>
      <c r="Q346" s="19">
        <v>1422</v>
      </c>
      <c r="R346" s="17">
        <f>P346+ROUND(Q346, 2)</f>
        <v>2278.1999999999998</v>
      </c>
      <c r="S346" s="17">
        <f>ROUND(P346*I346, 2)</f>
        <v>2183.31</v>
      </c>
      <c r="T346" s="17">
        <f>ROUND(I346*ROUND(Q346, 2), 2)</f>
        <v>3626.1</v>
      </c>
      <c r="U346" s="17">
        <f>S346+T346</f>
        <v>5809.41</v>
      </c>
      <c r="V346" s="9">
        <f>ROUND(P346 / 1.2, 2)</f>
        <v>713.5</v>
      </c>
      <c r="W346" s="9">
        <f>ROUND(Q346 / 1.2, 2)</f>
        <v>1185</v>
      </c>
      <c r="X346" s="9">
        <f>ROUND(R346 / 1.2, 2)</f>
        <v>1898.5</v>
      </c>
      <c r="Y346" s="9">
        <f t="shared" si="17"/>
        <v>1819.43</v>
      </c>
      <c r="Z346" s="9">
        <f>ROUND(T346 / 1.2, 2)</f>
        <v>3021.75</v>
      </c>
      <c r="AA346" s="9">
        <f>Y346+Z346</f>
        <v>4841.18</v>
      </c>
      <c r="AD346" s="4">
        <v>303752510</v>
      </c>
      <c r="AE346" s="4">
        <v>21804152</v>
      </c>
      <c r="AG346" s="4" t="s">
        <v>1461</v>
      </c>
      <c r="AH346" s="4" t="s">
        <v>1462</v>
      </c>
      <c r="AI346" s="4" t="s">
        <v>247</v>
      </c>
    </row>
    <row r="347" spans="1:35" ht="36" x14ac:dyDescent="0.35">
      <c r="A347" s="10" t="s">
        <v>1491</v>
      </c>
      <c r="B347" s="10"/>
      <c r="C347" s="24" t="s">
        <v>122</v>
      </c>
      <c r="D347" s="15"/>
      <c r="E347" s="15"/>
      <c r="F347" s="25" t="s">
        <v>56</v>
      </c>
      <c r="G347" s="26">
        <v>1.05</v>
      </c>
      <c r="H347" s="26"/>
      <c r="I347" s="26">
        <v>2.6779999999999999</v>
      </c>
      <c r="J347" s="28">
        <v>135.53</v>
      </c>
      <c r="M347" s="29">
        <f t="shared" ref="M347:M352" si="21">ROUND(ROUND(J347, 2)*I347, 2)</f>
        <v>362.95</v>
      </c>
      <c r="P347" s="30">
        <v>135.53</v>
      </c>
      <c r="S347" s="29">
        <f t="shared" ref="S347:S352" si="22">ROUND(ROUND(P347, 2)*I347, 2)</f>
        <v>362.95</v>
      </c>
      <c r="V347" s="9">
        <f t="shared" ref="V347:V352" si="23">ROUND(ROUND(P347, 2)/1.2, 2)</f>
        <v>112.94</v>
      </c>
      <c r="Y347" s="9">
        <f t="shared" si="17"/>
        <v>302.45999999999998</v>
      </c>
      <c r="AD347" s="4" t="s">
        <v>1492</v>
      </c>
      <c r="AE347" s="4" t="s">
        <v>1493</v>
      </c>
      <c r="AF347" s="4" t="s">
        <v>126</v>
      </c>
    </row>
    <row r="348" spans="1:35" ht="18" x14ac:dyDescent="0.35">
      <c r="A348" s="10" t="s">
        <v>1494</v>
      </c>
      <c r="B348" s="10"/>
      <c r="C348" s="24" t="s">
        <v>1482</v>
      </c>
      <c r="D348" s="15"/>
      <c r="E348" s="15"/>
      <c r="F348" s="25" t="s">
        <v>103</v>
      </c>
      <c r="G348" s="26">
        <v>33.75</v>
      </c>
      <c r="H348" s="26"/>
      <c r="I348" s="26">
        <v>86.063000000000002</v>
      </c>
      <c r="J348" s="28">
        <v>0.9</v>
      </c>
      <c r="M348" s="29">
        <f t="shared" si="21"/>
        <v>77.459999999999994</v>
      </c>
      <c r="P348" s="30">
        <v>0.9</v>
      </c>
      <c r="S348" s="29">
        <f t="shared" si="22"/>
        <v>77.459999999999994</v>
      </c>
      <c r="V348" s="9">
        <f t="shared" si="23"/>
        <v>0.75</v>
      </c>
      <c r="Y348" s="9">
        <f t="shared" si="17"/>
        <v>64.55</v>
      </c>
      <c r="AD348" s="4" t="s">
        <v>1495</v>
      </c>
      <c r="AE348" s="4" t="s">
        <v>1496</v>
      </c>
      <c r="AF348" s="4" t="s">
        <v>1485</v>
      </c>
    </row>
    <row r="349" spans="1:35" ht="36" x14ac:dyDescent="0.35">
      <c r="A349" s="10" t="s">
        <v>1497</v>
      </c>
      <c r="B349" s="10"/>
      <c r="C349" s="37" t="s">
        <v>1477</v>
      </c>
      <c r="D349" s="15"/>
      <c r="E349" s="15"/>
      <c r="F349" s="25" t="s">
        <v>129</v>
      </c>
      <c r="G349" s="26">
        <v>13.5</v>
      </c>
      <c r="H349" s="26"/>
      <c r="I349" s="26">
        <v>34.424999999999997</v>
      </c>
      <c r="J349" s="28">
        <v>32.950000000000003</v>
      </c>
      <c r="M349" s="29">
        <f t="shared" si="21"/>
        <v>1134.3</v>
      </c>
      <c r="P349" s="30">
        <v>32.950000000000003</v>
      </c>
      <c r="S349" s="29">
        <f t="shared" si="22"/>
        <v>1134.3</v>
      </c>
      <c r="V349" s="9">
        <f t="shared" si="23"/>
        <v>27.46</v>
      </c>
      <c r="Y349" s="9">
        <f t="shared" si="17"/>
        <v>945.25</v>
      </c>
      <c r="AD349" s="4" t="s">
        <v>1498</v>
      </c>
      <c r="AE349" s="4" t="s">
        <v>1499</v>
      </c>
      <c r="AF349" s="4" t="s">
        <v>1480</v>
      </c>
    </row>
    <row r="350" spans="1:35" ht="18" x14ac:dyDescent="0.35">
      <c r="A350" s="10" t="s">
        <v>1500</v>
      </c>
      <c r="B350" s="10"/>
      <c r="C350" s="24" t="s">
        <v>1445</v>
      </c>
      <c r="D350" s="15"/>
      <c r="E350" s="15"/>
      <c r="F350" s="25" t="s">
        <v>103</v>
      </c>
      <c r="G350" s="26">
        <v>2.2200000000000002</v>
      </c>
      <c r="H350" s="26"/>
      <c r="I350" s="26">
        <v>5.6609999999999996</v>
      </c>
      <c r="J350" s="28">
        <v>80</v>
      </c>
      <c r="M350" s="29">
        <f t="shared" si="21"/>
        <v>452.88</v>
      </c>
      <c r="P350" s="30">
        <v>80</v>
      </c>
      <c r="S350" s="29">
        <f t="shared" si="22"/>
        <v>452.88</v>
      </c>
      <c r="V350" s="9">
        <f t="shared" si="23"/>
        <v>66.67</v>
      </c>
      <c r="Y350" s="9">
        <f t="shared" si="17"/>
        <v>377.4</v>
      </c>
      <c r="AD350" s="4" t="s">
        <v>1501</v>
      </c>
      <c r="AE350" s="4" t="s">
        <v>1502</v>
      </c>
      <c r="AF350" s="4" t="s">
        <v>1448</v>
      </c>
    </row>
    <row r="351" spans="1:35" ht="18" x14ac:dyDescent="0.35">
      <c r="A351" s="10" t="s">
        <v>1503</v>
      </c>
      <c r="B351" s="10"/>
      <c r="C351" s="24" t="s">
        <v>1469</v>
      </c>
      <c r="D351" s="15"/>
      <c r="E351" s="15"/>
      <c r="F351" s="25" t="s">
        <v>81</v>
      </c>
      <c r="G351" s="26">
        <v>0.35</v>
      </c>
      <c r="H351" s="26"/>
      <c r="I351" s="26">
        <v>0.89300000000000002</v>
      </c>
      <c r="J351" s="28">
        <v>55</v>
      </c>
      <c r="M351" s="29">
        <f t="shared" si="21"/>
        <v>49.12</v>
      </c>
      <c r="P351" s="30">
        <v>55</v>
      </c>
      <c r="S351" s="29">
        <f t="shared" si="22"/>
        <v>49.12</v>
      </c>
      <c r="V351" s="9">
        <f t="shared" si="23"/>
        <v>45.83</v>
      </c>
      <c r="Y351" s="9">
        <f t="shared" si="17"/>
        <v>40.93</v>
      </c>
      <c r="AD351" s="4" t="s">
        <v>1504</v>
      </c>
      <c r="AE351" s="4" t="s">
        <v>1505</v>
      </c>
      <c r="AF351" s="4" t="s">
        <v>1472</v>
      </c>
    </row>
    <row r="352" spans="1:35" ht="18" x14ac:dyDescent="0.35">
      <c r="A352" s="10" t="s">
        <v>1506</v>
      </c>
      <c r="B352" s="10"/>
      <c r="C352" s="24" t="s">
        <v>1464</v>
      </c>
      <c r="D352" s="15"/>
      <c r="E352" s="15"/>
      <c r="F352" s="25" t="s">
        <v>103</v>
      </c>
      <c r="G352" s="26">
        <v>44</v>
      </c>
      <c r="H352" s="26"/>
      <c r="I352" s="26">
        <v>112.2</v>
      </c>
      <c r="J352" s="28">
        <v>0.95</v>
      </c>
      <c r="M352" s="29">
        <f t="shared" si="21"/>
        <v>106.59</v>
      </c>
      <c r="P352" s="30">
        <v>0.95</v>
      </c>
      <c r="S352" s="29">
        <f t="shared" si="22"/>
        <v>106.59</v>
      </c>
      <c r="V352" s="9">
        <f t="shared" si="23"/>
        <v>0.79</v>
      </c>
      <c r="Y352" s="9">
        <f t="shared" si="17"/>
        <v>88.83</v>
      </c>
      <c r="AD352" s="4" t="s">
        <v>1507</v>
      </c>
      <c r="AE352" s="4" t="s">
        <v>1508</v>
      </c>
      <c r="AF352" s="4" t="s">
        <v>1467</v>
      </c>
    </row>
    <row r="353" spans="1:35" ht="17" customHeight="1" x14ac:dyDescent="0.35">
      <c r="A353" s="10" t="s">
        <v>1509</v>
      </c>
      <c r="B353" s="10" t="s">
        <v>1510</v>
      </c>
      <c r="C353" s="100" t="s">
        <v>1511</v>
      </c>
      <c r="D353" s="101"/>
      <c r="E353" s="101"/>
      <c r="F353" s="101"/>
      <c r="G353" s="101"/>
      <c r="H353" s="101"/>
      <c r="I353" s="102"/>
      <c r="M353" s="6">
        <f>SUM(M354,M385)</f>
        <v>190511.67</v>
      </c>
      <c r="N353" s="6">
        <f>SUM(N354,N385)</f>
        <v>2261166.7199999997</v>
      </c>
      <c r="O353" s="6">
        <f>SUM(O354,O385)</f>
        <v>2451678.3899999997</v>
      </c>
      <c r="S353" s="6">
        <f>SUM(S354,S385)</f>
        <v>426384.35</v>
      </c>
      <c r="T353" s="6">
        <f>SUM(T354,T385)</f>
        <v>2261166.7199999997</v>
      </c>
      <c r="U353" s="6">
        <f>SUM(U354,U385)</f>
        <v>2687551.07</v>
      </c>
      <c r="Y353" s="9">
        <f>SUM(Y354,Y385)</f>
        <v>355320.30000000005</v>
      </c>
      <c r="Z353" s="9">
        <f>SUM(Z354,Z385)</f>
        <v>1884305.5899999999</v>
      </c>
      <c r="AA353" s="9">
        <f>SUM(AA354,AA385)</f>
        <v>2239625.8899999997</v>
      </c>
      <c r="AD353" s="4">
        <v>303752442</v>
      </c>
      <c r="AE353" s="4">
        <v>16077436</v>
      </c>
    </row>
    <row r="354" spans="1:35" ht="17" customHeight="1" x14ac:dyDescent="0.35">
      <c r="A354" s="10" t="s">
        <v>1512</v>
      </c>
      <c r="B354" s="10" t="s">
        <v>1513</v>
      </c>
      <c r="C354" s="100" t="s">
        <v>1514</v>
      </c>
      <c r="D354" s="101"/>
      <c r="E354" s="101"/>
      <c r="F354" s="101"/>
      <c r="G354" s="101"/>
      <c r="H354" s="101"/>
      <c r="I354" s="102"/>
      <c r="M354" s="6">
        <f>SUM(M355,M358,M361,M364,M367,M370,M373,M376,M379,M382)</f>
        <v>172067.6</v>
      </c>
      <c r="N354" s="6">
        <f>SUM(N355,N358,N361,N364,N367,N370,N373,N376,N379,N382)</f>
        <v>1618670.5599999998</v>
      </c>
      <c r="O354" s="6">
        <f>SUM(O355,O358,O361,O364,O367,O370,O373,O376,O379,O382)</f>
        <v>1790738.16</v>
      </c>
      <c r="S354" s="6">
        <f>SUM(S355,S358,S361,S364,S367,S370,S373,S376,S379,S382)</f>
        <v>255624.37999999998</v>
      </c>
      <c r="T354" s="6">
        <f>SUM(T355,T358,T361,T364,T367,T370,T373,T376,T379,T382)</f>
        <v>1618670.5599999998</v>
      </c>
      <c r="U354" s="6">
        <f>SUM(U355,U358,U361,U364,U367,U370,U373,U376,U379,U382)</f>
        <v>1874294.9399999997</v>
      </c>
      <c r="Y354" s="9">
        <f>SUM(Y355,Y358,Y361,Y364,Y367,Y370,Y373,Y376,Y379,Y382)</f>
        <v>213020.32</v>
      </c>
      <c r="Z354" s="9">
        <f>SUM(Z355,Z358,Z361,Z364,Z367,Z370,Z373,Z376,Z379,Z382)</f>
        <v>1348892.13</v>
      </c>
      <c r="AA354" s="9">
        <f>SUM(AA355,AA358,AA361,AA364,AA367,AA370,AA373,AA376,AA379,AA382)</f>
        <v>1561912.45</v>
      </c>
      <c r="AD354" s="4">
        <v>303752443</v>
      </c>
      <c r="AE354" s="4">
        <v>16077440</v>
      </c>
    </row>
    <row r="355" spans="1:35" ht="36" x14ac:dyDescent="0.35">
      <c r="A355" s="10" t="s">
        <v>1515</v>
      </c>
      <c r="B355" s="10" t="s">
        <v>1516</v>
      </c>
      <c r="C355" s="14" t="s">
        <v>1517</v>
      </c>
      <c r="D355" s="15"/>
      <c r="E355" s="15" t="s">
        <v>1518</v>
      </c>
      <c r="F355" s="15" t="s">
        <v>56</v>
      </c>
      <c r="G355" s="16">
        <v>1</v>
      </c>
      <c r="H355" s="16"/>
      <c r="I355" s="16">
        <v>0</v>
      </c>
      <c r="J355" s="17">
        <f>IFERROR(ROUND(SUM(M356,M357)/I355, 2),0)</f>
        <v>0</v>
      </c>
      <c r="K355" s="18">
        <v>790</v>
      </c>
      <c r="L355" s="17">
        <f>J355+ROUND(K355, 2)</f>
        <v>790</v>
      </c>
      <c r="M355" s="17">
        <f>ROUND(J355*I355, 2)</f>
        <v>0</v>
      </c>
      <c r="N355" s="17">
        <f>ROUND(I355*ROUND(K355, 2), 2)</f>
        <v>0</v>
      </c>
      <c r="O355" s="17">
        <f>M355+N355</f>
        <v>0</v>
      </c>
      <c r="P355" s="17">
        <f>IFERROR(ROUND(SUM(S356,S357)/I355, 2),0)</f>
        <v>0</v>
      </c>
      <c r="Q355" s="18">
        <v>718</v>
      </c>
      <c r="R355" s="17">
        <f>P355+ROUND(Q355, 2)</f>
        <v>718</v>
      </c>
      <c r="S355" s="17">
        <f>ROUND(P355*I355, 2)</f>
        <v>0</v>
      </c>
      <c r="T355" s="17">
        <f>ROUND(I355*ROUND(Q355, 2), 2)</f>
        <v>0</v>
      </c>
      <c r="U355" s="17">
        <f>S355+T355</f>
        <v>0</v>
      </c>
      <c r="V355" s="9">
        <f>ROUND(P355 / 1.2, 2)</f>
        <v>0</v>
      </c>
      <c r="W355" s="9">
        <f>ROUND(Q355 / 1.2, 2)</f>
        <v>598.33000000000004</v>
      </c>
      <c r="X355" s="9">
        <f>ROUND(R355 / 1.2, 2)</f>
        <v>598.33000000000004</v>
      </c>
      <c r="Y355" s="9">
        <f>ROUND(S355 / 1.2, 2)</f>
        <v>0</v>
      </c>
      <c r="Z355" s="9">
        <f>ROUND(T355 / 1.2, 2)</f>
        <v>0</v>
      </c>
      <c r="AA355" s="9">
        <f>Y355+Z355</f>
        <v>0</v>
      </c>
      <c r="AD355" s="4">
        <v>303752445</v>
      </c>
      <c r="AE355" s="4">
        <v>16077787</v>
      </c>
      <c r="AG355" s="4" t="s">
        <v>1519</v>
      </c>
      <c r="AH355" s="4" t="s">
        <v>1520</v>
      </c>
      <c r="AI355" s="4" t="s">
        <v>247</v>
      </c>
    </row>
    <row r="356" spans="1:35" ht="18" x14ac:dyDescent="0.35">
      <c r="A356" s="10" t="s">
        <v>1522</v>
      </c>
      <c r="B356" s="10"/>
      <c r="C356" s="24" t="s">
        <v>854</v>
      </c>
      <c r="D356" s="15"/>
      <c r="E356" s="15"/>
      <c r="F356" s="25" t="s">
        <v>81</v>
      </c>
      <c r="G356" s="26">
        <v>5</v>
      </c>
      <c r="H356" s="26"/>
      <c r="I356" s="26">
        <v>0</v>
      </c>
      <c r="J356" s="28">
        <v>23</v>
      </c>
      <c r="M356" s="29">
        <f>ROUND(ROUND(J356, 2)*I356, 2)</f>
        <v>0</v>
      </c>
      <c r="P356" s="28">
        <v>23</v>
      </c>
      <c r="S356" s="29">
        <f>ROUND(ROUND(P356, 2)*I356, 2)</f>
        <v>0</v>
      </c>
      <c r="V356" s="9">
        <f>ROUND(ROUND(P356, 2)/1.2, 2)</f>
        <v>19.170000000000002</v>
      </c>
      <c r="Y356" s="9">
        <f t="shared" ref="Y356:Y384" si="24">ROUND(S356 / 1.2, 2)</f>
        <v>0</v>
      </c>
      <c r="AD356" s="4" t="s">
        <v>1523</v>
      </c>
      <c r="AE356" s="4" t="s">
        <v>1524</v>
      </c>
      <c r="AF356" s="4" t="s">
        <v>858</v>
      </c>
    </row>
    <row r="357" spans="1:35" ht="36" x14ac:dyDescent="0.35">
      <c r="A357" s="10" t="s">
        <v>1527</v>
      </c>
      <c r="B357" s="10"/>
      <c r="C357" s="24" t="s">
        <v>316</v>
      </c>
      <c r="D357" s="15"/>
      <c r="E357" s="15" t="s">
        <v>1528</v>
      </c>
      <c r="F357" s="25" t="s">
        <v>81</v>
      </c>
      <c r="G357" s="26">
        <v>0.15</v>
      </c>
      <c r="H357" s="26"/>
      <c r="I357" s="26">
        <v>0</v>
      </c>
      <c r="J357" s="28">
        <v>100</v>
      </c>
      <c r="M357" s="29">
        <f>ROUND(ROUND(J357, 2)*I357, 2)</f>
        <v>0</v>
      </c>
      <c r="P357" s="28">
        <v>100</v>
      </c>
      <c r="S357" s="29">
        <f>ROUND(ROUND(P357, 2)*I357, 2)</f>
        <v>0</v>
      </c>
      <c r="V357" s="9">
        <f>ROUND(ROUND(P357, 2)/1.2, 2)</f>
        <v>83.33</v>
      </c>
      <c r="Y357" s="9">
        <f t="shared" si="24"/>
        <v>0</v>
      </c>
      <c r="AD357" s="4" t="s">
        <v>1529</v>
      </c>
      <c r="AE357" s="4" t="s">
        <v>1530</v>
      </c>
      <c r="AF357" s="4" t="s">
        <v>319</v>
      </c>
    </row>
    <row r="358" spans="1:35" ht="36" x14ac:dyDescent="0.35">
      <c r="A358" s="10" t="s">
        <v>1533</v>
      </c>
      <c r="B358" s="10" t="s">
        <v>1516</v>
      </c>
      <c r="C358" s="14" t="s">
        <v>1517</v>
      </c>
      <c r="D358" s="15"/>
      <c r="E358" s="15" t="s">
        <v>1518</v>
      </c>
      <c r="F358" s="15" t="s">
        <v>56</v>
      </c>
      <c r="G358" s="16">
        <v>1</v>
      </c>
      <c r="H358" s="16"/>
      <c r="I358" s="16">
        <v>0</v>
      </c>
      <c r="J358" s="17">
        <f>IFERROR(ROUND(SUM(M359,M360)/I358, 2),0)</f>
        <v>0</v>
      </c>
      <c r="K358" s="18">
        <v>790</v>
      </c>
      <c r="L358" s="17">
        <f>J358+ROUND(K358, 2)</f>
        <v>790</v>
      </c>
      <c r="M358" s="17">
        <f>ROUND(J358*I358, 2)</f>
        <v>0</v>
      </c>
      <c r="N358" s="17">
        <f>ROUND(I358*ROUND(K358, 2), 2)</f>
        <v>0</v>
      </c>
      <c r="O358" s="17">
        <f>M358+N358</f>
        <v>0</v>
      </c>
      <c r="P358" s="17">
        <f>IFERROR(ROUND(SUM(S359,S360)/I358, 2),0)</f>
        <v>0</v>
      </c>
      <c r="Q358" s="18">
        <v>718</v>
      </c>
      <c r="R358" s="17">
        <f>P358+ROUND(Q358, 2)</f>
        <v>718</v>
      </c>
      <c r="S358" s="17">
        <f>ROUND(P358*I358, 2)</f>
        <v>0</v>
      </c>
      <c r="T358" s="17">
        <f>ROUND(I358*ROUND(Q358, 2), 2)</f>
        <v>0</v>
      </c>
      <c r="U358" s="17">
        <f>S358+T358</f>
        <v>0</v>
      </c>
      <c r="V358" s="9">
        <f>ROUND(P358 / 1.2, 2)</f>
        <v>0</v>
      </c>
      <c r="W358" s="9">
        <f>ROUND(Q358 / 1.2, 2)</f>
        <v>598.33000000000004</v>
      </c>
      <c r="X358" s="9">
        <f>ROUND(R358 / 1.2, 2)</f>
        <v>598.33000000000004</v>
      </c>
      <c r="Y358" s="9">
        <f t="shared" si="24"/>
        <v>0</v>
      </c>
      <c r="Z358" s="9">
        <f>ROUND(T358 / 1.2, 2)</f>
        <v>0</v>
      </c>
      <c r="AA358" s="9">
        <f>Y358+Z358</f>
        <v>0</v>
      </c>
      <c r="AD358" s="4">
        <v>303752511</v>
      </c>
      <c r="AE358" s="4">
        <v>16077788</v>
      </c>
      <c r="AG358" s="4" t="s">
        <v>1519</v>
      </c>
      <c r="AH358" s="4" t="s">
        <v>1520</v>
      </c>
      <c r="AI358" s="4" t="s">
        <v>247</v>
      </c>
    </row>
    <row r="359" spans="1:35" ht="36" x14ac:dyDescent="0.35">
      <c r="A359" s="10" t="s">
        <v>1535</v>
      </c>
      <c r="B359" s="10"/>
      <c r="C359" s="24" t="s">
        <v>493</v>
      </c>
      <c r="D359" s="15"/>
      <c r="E359" s="15"/>
      <c r="F359" s="25" t="s">
        <v>81</v>
      </c>
      <c r="G359" s="26">
        <v>0.15</v>
      </c>
      <c r="H359" s="26"/>
      <c r="I359" s="26">
        <v>0</v>
      </c>
      <c r="J359" s="28">
        <v>88.8</v>
      </c>
      <c r="M359" s="29">
        <f>ROUND(ROUND(J359, 2)*I359, 2)</f>
        <v>0</v>
      </c>
      <c r="P359" s="28">
        <v>88.8</v>
      </c>
      <c r="S359" s="29">
        <f>ROUND(ROUND(P359, 2)*I359, 2)</f>
        <v>0</v>
      </c>
      <c r="V359" s="9">
        <f>ROUND(ROUND(P359, 2)/1.2, 2)</f>
        <v>74</v>
      </c>
      <c r="Y359" s="9">
        <f t="shared" si="24"/>
        <v>0</v>
      </c>
      <c r="AD359" s="4" t="s">
        <v>1536</v>
      </c>
      <c r="AE359" s="4" t="s">
        <v>1537</v>
      </c>
      <c r="AF359" s="4" t="s">
        <v>496</v>
      </c>
    </row>
    <row r="360" spans="1:35" ht="36" x14ac:dyDescent="0.35">
      <c r="A360" s="10" t="s">
        <v>1540</v>
      </c>
      <c r="B360" s="10"/>
      <c r="C360" s="24" t="s">
        <v>875</v>
      </c>
      <c r="D360" s="15"/>
      <c r="E360" s="15"/>
      <c r="F360" s="25" t="s">
        <v>81</v>
      </c>
      <c r="G360" s="26">
        <v>2.5</v>
      </c>
      <c r="H360" s="26"/>
      <c r="I360" s="26">
        <v>0</v>
      </c>
      <c r="J360" s="28">
        <v>60</v>
      </c>
      <c r="M360" s="29">
        <f>ROUND(ROUND(J360, 2)*I360, 2)</f>
        <v>0</v>
      </c>
      <c r="P360" s="28">
        <v>12.58</v>
      </c>
      <c r="S360" s="29">
        <f>ROUND(ROUND(P360, 2)*I360, 2)</f>
        <v>0</v>
      </c>
      <c r="V360" s="9">
        <f>ROUND(ROUND(P360, 2)/1.2, 2)</f>
        <v>10.48</v>
      </c>
      <c r="Y360" s="9">
        <f t="shared" si="24"/>
        <v>0</v>
      </c>
      <c r="AD360" s="4" t="s">
        <v>1541</v>
      </c>
      <c r="AE360" s="4" t="s">
        <v>1542</v>
      </c>
      <c r="AF360" s="4" t="s">
        <v>878</v>
      </c>
    </row>
    <row r="361" spans="1:35" ht="36" x14ac:dyDescent="0.35">
      <c r="A361" s="10" t="s">
        <v>1545</v>
      </c>
      <c r="B361" s="10" t="s">
        <v>1516</v>
      </c>
      <c r="C361" s="14" t="s">
        <v>1517</v>
      </c>
      <c r="D361" s="15"/>
      <c r="E361" s="15" t="s">
        <v>1518</v>
      </c>
      <c r="F361" s="15" t="s">
        <v>56</v>
      </c>
      <c r="G361" s="16">
        <v>1</v>
      </c>
      <c r="H361" s="16"/>
      <c r="I361" s="16">
        <v>0</v>
      </c>
      <c r="J361" s="17">
        <f>IFERROR(ROUND(SUM(M362,M363)/I361, 2),0)</f>
        <v>0</v>
      </c>
      <c r="K361" s="18">
        <v>790</v>
      </c>
      <c r="L361" s="17">
        <f>J361+ROUND(K361, 2)</f>
        <v>790</v>
      </c>
      <c r="M361" s="17">
        <f>ROUND(J361*I361, 2)</f>
        <v>0</v>
      </c>
      <c r="N361" s="17">
        <f>ROUND(I361*ROUND(K361, 2), 2)</f>
        <v>0</v>
      </c>
      <c r="O361" s="17">
        <f>M361+N361</f>
        <v>0</v>
      </c>
      <c r="P361" s="17">
        <f>IFERROR(ROUND(SUM(S362,S363)/I361, 2),0)</f>
        <v>0</v>
      </c>
      <c r="Q361" s="18">
        <v>718</v>
      </c>
      <c r="R361" s="17">
        <f>P361+ROUND(Q361, 2)</f>
        <v>718</v>
      </c>
      <c r="S361" s="17">
        <f>ROUND(P361*I361, 2)</f>
        <v>0</v>
      </c>
      <c r="T361" s="17">
        <f>ROUND(I361*ROUND(Q361, 2), 2)</f>
        <v>0</v>
      </c>
      <c r="U361" s="17">
        <f>S361+T361</f>
        <v>0</v>
      </c>
      <c r="V361" s="9">
        <f>ROUND(P361 / 1.2, 2)</f>
        <v>0</v>
      </c>
      <c r="W361" s="9">
        <f>ROUND(Q361 / 1.2, 2)</f>
        <v>598.33000000000004</v>
      </c>
      <c r="X361" s="9">
        <f>ROUND(R361 / 1.2, 2)</f>
        <v>598.33000000000004</v>
      </c>
      <c r="Y361" s="9">
        <f t="shared" si="24"/>
        <v>0</v>
      </c>
      <c r="Z361" s="9">
        <f>ROUND(T361 / 1.2, 2)</f>
        <v>0</v>
      </c>
      <c r="AA361" s="9">
        <f>Y361+Z361</f>
        <v>0</v>
      </c>
      <c r="AD361" s="4">
        <v>303752512</v>
      </c>
      <c r="AE361" s="4">
        <v>16077789</v>
      </c>
      <c r="AG361" s="4" t="s">
        <v>1519</v>
      </c>
      <c r="AH361" s="4" t="s">
        <v>1520</v>
      </c>
      <c r="AI361" s="4" t="s">
        <v>247</v>
      </c>
    </row>
    <row r="362" spans="1:35" ht="36" x14ac:dyDescent="0.35">
      <c r="A362" s="10" t="s">
        <v>1547</v>
      </c>
      <c r="B362" s="10"/>
      <c r="C362" s="24" t="s">
        <v>493</v>
      </c>
      <c r="D362" s="15"/>
      <c r="E362" s="15"/>
      <c r="F362" s="25" t="s">
        <v>81</v>
      </c>
      <c r="G362" s="26">
        <v>0.15</v>
      </c>
      <c r="H362" s="26"/>
      <c r="I362" s="26">
        <v>0</v>
      </c>
      <c r="J362" s="28">
        <v>88.8</v>
      </c>
      <c r="M362" s="29">
        <f>ROUND(ROUND(J362, 2)*I362, 2)</f>
        <v>0</v>
      </c>
      <c r="P362" s="28">
        <v>88.8</v>
      </c>
      <c r="S362" s="29">
        <f>ROUND(ROUND(P362, 2)*I362, 2)</f>
        <v>0</v>
      </c>
      <c r="V362" s="9">
        <f>ROUND(ROUND(P362, 2)/1.2, 2)</f>
        <v>74</v>
      </c>
      <c r="Y362" s="9">
        <f t="shared" si="24"/>
        <v>0</v>
      </c>
      <c r="AD362" s="4" t="s">
        <v>1548</v>
      </c>
      <c r="AE362" s="4" t="s">
        <v>1549</v>
      </c>
      <c r="AF362" s="4" t="s">
        <v>496</v>
      </c>
    </row>
    <row r="363" spans="1:35" ht="36" x14ac:dyDescent="0.35">
      <c r="A363" s="10" t="s">
        <v>1552</v>
      </c>
      <c r="B363" s="10"/>
      <c r="C363" s="24" t="s">
        <v>887</v>
      </c>
      <c r="D363" s="15"/>
      <c r="E363" s="15"/>
      <c r="F363" s="25" t="s">
        <v>81</v>
      </c>
      <c r="G363" s="26">
        <v>1.5</v>
      </c>
      <c r="H363" s="26"/>
      <c r="I363" s="26">
        <v>0</v>
      </c>
      <c r="J363" s="28">
        <v>23</v>
      </c>
      <c r="M363" s="29">
        <f>ROUND(ROUND(J363, 2)*I363, 2)</f>
        <v>0</v>
      </c>
      <c r="P363" s="28">
        <v>12.58</v>
      </c>
      <c r="S363" s="29">
        <f>ROUND(ROUND(P363, 2)*I363, 2)</f>
        <v>0</v>
      </c>
      <c r="V363" s="9">
        <f>ROUND(ROUND(P363, 2)/1.2, 2)</f>
        <v>10.48</v>
      </c>
      <c r="Y363" s="9">
        <f t="shared" si="24"/>
        <v>0</v>
      </c>
      <c r="AD363" s="4" t="s">
        <v>1553</v>
      </c>
      <c r="AE363" s="4" t="s">
        <v>1554</v>
      </c>
      <c r="AF363" s="4" t="s">
        <v>890</v>
      </c>
    </row>
    <row r="364" spans="1:35" ht="36" x14ac:dyDescent="0.35">
      <c r="A364" s="10" t="s">
        <v>1557</v>
      </c>
      <c r="B364" s="10" t="s">
        <v>1516</v>
      </c>
      <c r="C364" s="14" t="s">
        <v>1517</v>
      </c>
      <c r="D364" s="15"/>
      <c r="E364" s="15" t="s">
        <v>1558</v>
      </c>
      <c r="F364" s="15" t="s">
        <v>56</v>
      </c>
      <c r="G364" s="16">
        <v>1</v>
      </c>
      <c r="H364" s="16"/>
      <c r="I364" s="16">
        <v>0</v>
      </c>
      <c r="J364" s="17">
        <f>IFERROR(ROUND(SUM(M365,M366)/I364, 2),0)</f>
        <v>0</v>
      </c>
      <c r="K364" s="18">
        <v>790</v>
      </c>
      <c r="L364" s="17">
        <f>J364+ROUND(K364, 2)</f>
        <v>790</v>
      </c>
      <c r="M364" s="17">
        <f>ROUND(J364*I364, 2)</f>
        <v>0</v>
      </c>
      <c r="N364" s="17">
        <f>ROUND(I364*ROUND(K364, 2), 2)</f>
        <v>0</v>
      </c>
      <c r="O364" s="17">
        <f>M364+N364</f>
        <v>0</v>
      </c>
      <c r="P364" s="17">
        <f>IFERROR(ROUND(SUM(S365,S366)/I364, 2),0)</f>
        <v>0</v>
      </c>
      <c r="Q364" s="18">
        <v>718</v>
      </c>
      <c r="R364" s="17">
        <f>P364+ROUND(Q364, 2)</f>
        <v>718</v>
      </c>
      <c r="S364" s="17">
        <f>ROUND(P364*I364, 2)</f>
        <v>0</v>
      </c>
      <c r="T364" s="17">
        <f>ROUND(I364*ROUND(Q364, 2), 2)</f>
        <v>0</v>
      </c>
      <c r="U364" s="17">
        <f>S364+T364</f>
        <v>0</v>
      </c>
      <c r="V364" s="9">
        <f>ROUND(P364 / 1.2, 2)</f>
        <v>0</v>
      </c>
      <c r="W364" s="9">
        <f>ROUND(Q364 / 1.2, 2)</f>
        <v>598.33000000000004</v>
      </c>
      <c r="X364" s="9">
        <f>ROUND(R364 / 1.2, 2)</f>
        <v>598.33000000000004</v>
      </c>
      <c r="Y364" s="9">
        <f t="shared" si="24"/>
        <v>0</v>
      </c>
      <c r="Z364" s="9">
        <f>ROUND(T364 / 1.2, 2)</f>
        <v>0</v>
      </c>
      <c r="AA364" s="9">
        <f>Y364+Z364</f>
        <v>0</v>
      </c>
      <c r="AD364" s="4">
        <v>303752513</v>
      </c>
      <c r="AE364" s="4">
        <v>16082313</v>
      </c>
      <c r="AG364" s="4" t="s">
        <v>1519</v>
      </c>
      <c r="AH364" s="4" t="s">
        <v>1520</v>
      </c>
      <c r="AI364" s="4" t="s">
        <v>247</v>
      </c>
    </row>
    <row r="365" spans="1:35" ht="18" x14ac:dyDescent="0.35">
      <c r="A365" s="10" t="s">
        <v>1560</v>
      </c>
      <c r="B365" s="10"/>
      <c r="C365" s="24" t="s">
        <v>316</v>
      </c>
      <c r="D365" s="15"/>
      <c r="E365" s="15"/>
      <c r="F365" s="25" t="s">
        <v>81</v>
      </c>
      <c r="G365" s="26">
        <v>0.15</v>
      </c>
      <c r="H365" s="26"/>
      <c r="I365" s="26">
        <v>0</v>
      </c>
      <c r="J365" s="28">
        <v>100</v>
      </c>
      <c r="M365" s="29">
        <f>ROUND(ROUND(J365, 2)*I365, 2)</f>
        <v>0</v>
      </c>
      <c r="P365" s="28">
        <v>100</v>
      </c>
      <c r="S365" s="29">
        <f>ROUND(ROUND(P365, 2)*I365, 2)</f>
        <v>0</v>
      </c>
      <c r="V365" s="9">
        <f>ROUND(ROUND(P365, 2)/1.2, 2)</f>
        <v>83.33</v>
      </c>
      <c r="Y365" s="9">
        <f t="shared" si="24"/>
        <v>0</v>
      </c>
      <c r="AD365" s="4" t="s">
        <v>1561</v>
      </c>
      <c r="AE365" s="4" t="s">
        <v>1562</v>
      </c>
      <c r="AF365" s="4" t="s">
        <v>319</v>
      </c>
    </row>
    <row r="366" spans="1:35" ht="36" x14ac:dyDescent="0.35">
      <c r="A366" s="10" t="s">
        <v>1565</v>
      </c>
      <c r="B366" s="10"/>
      <c r="C366" s="37" t="s">
        <v>914</v>
      </c>
      <c r="D366" s="15"/>
      <c r="E366" s="15"/>
      <c r="F366" s="25" t="s">
        <v>81</v>
      </c>
      <c r="G366" s="26">
        <v>4.5</v>
      </c>
      <c r="H366" s="26"/>
      <c r="I366" s="26">
        <v>0</v>
      </c>
      <c r="J366" s="28">
        <v>12.58</v>
      </c>
      <c r="M366" s="29">
        <f>ROUND(ROUND(J366, 2)*I366, 2)</f>
        <v>0</v>
      </c>
      <c r="P366" s="28">
        <v>12.58</v>
      </c>
      <c r="S366" s="29">
        <f>ROUND(ROUND(P366, 2)*I366, 2)</f>
        <v>0</v>
      </c>
      <c r="V366" s="9">
        <f>ROUND(ROUND(P366, 2)/1.2, 2)</f>
        <v>10.48</v>
      </c>
      <c r="Y366" s="9">
        <f t="shared" si="24"/>
        <v>0</v>
      </c>
      <c r="AD366" s="4" t="s">
        <v>1566</v>
      </c>
      <c r="AE366" s="4" t="s">
        <v>1567</v>
      </c>
      <c r="AF366" s="4" t="s">
        <v>1114</v>
      </c>
    </row>
    <row r="367" spans="1:35" ht="36" x14ac:dyDescent="0.35">
      <c r="A367" s="10" t="s">
        <v>1570</v>
      </c>
      <c r="B367" s="10" t="s">
        <v>1516</v>
      </c>
      <c r="C367" s="14" t="s">
        <v>1517</v>
      </c>
      <c r="D367" s="15"/>
      <c r="E367" s="15" t="s">
        <v>829</v>
      </c>
      <c r="F367" s="15" t="s">
        <v>56</v>
      </c>
      <c r="G367" s="16">
        <v>1</v>
      </c>
      <c r="H367" s="16"/>
      <c r="I367" s="16">
        <v>0</v>
      </c>
      <c r="J367" s="17">
        <f>IFERROR(ROUND(SUM(M368,M369)/I367, 2),0)</f>
        <v>0</v>
      </c>
      <c r="K367" s="18">
        <v>790</v>
      </c>
      <c r="L367" s="17">
        <f>J367+ROUND(K367, 2)</f>
        <v>790</v>
      </c>
      <c r="M367" s="17">
        <f>ROUND(J367*I367, 2)</f>
        <v>0</v>
      </c>
      <c r="N367" s="17">
        <f>ROUND(I367*ROUND(K367, 2), 2)</f>
        <v>0</v>
      </c>
      <c r="O367" s="17">
        <f>M367+N367</f>
        <v>0</v>
      </c>
      <c r="P367" s="17">
        <f>IFERROR(ROUND(SUM(S368,S369)/I367, 2),0)</f>
        <v>0</v>
      </c>
      <c r="Q367" s="18">
        <v>718</v>
      </c>
      <c r="R367" s="17">
        <f>P367+ROUND(Q367, 2)</f>
        <v>718</v>
      </c>
      <c r="S367" s="17">
        <f>ROUND(P367*I367, 2)</f>
        <v>0</v>
      </c>
      <c r="T367" s="17">
        <f>ROUND(I367*ROUND(Q367, 2), 2)</f>
        <v>0</v>
      </c>
      <c r="U367" s="17">
        <f>S367+T367</f>
        <v>0</v>
      </c>
      <c r="V367" s="9">
        <f>ROUND(P367 / 1.2, 2)</f>
        <v>0</v>
      </c>
      <c r="W367" s="9">
        <f>ROUND(Q367 / 1.2, 2)</f>
        <v>598.33000000000004</v>
      </c>
      <c r="X367" s="9">
        <f>ROUND(R367 / 1.2, 2)</f>
        <v>598.33000000000004</v>
      </c>
      <c r="Y367" s="9">
        <f t="shared" si="24"/>
        <v>0</v>
      </c>
      <c r="Z367" s="9">
        <f>ROUND(T367 / 1.2, 2)</f>
        <v>0</v>
      </c>
      <c r="AA367" s="9">
        <f>Y367+Z367</f>
        <v>0</v>
      </c>
      <c r="AD367" s="4">
        <v>303752514</v>
      </c>
      <c r="AE367" s="4">
        <v>16087382</v>
      </c>
      <c r="AG367" s="4" t="s">
        <v>1519</v>
      </c>
      <c r="AH367" s="4" t="s">
        <v>1520</v>
      </c>
      <c r="AI367" s="4" t="s">
        <v>247</v>
      </c>
    </row>
    <row r="368" spans="1:35" ht="18" x14ac:dyDescent="0.35">
      <c r="A368" s="10" t="s">
        <v>1572</v>
      </c>
      <c r="B368" s="10"/>
      <c r="C368" s="24" t="s">
        <v>316</v>
      </c>
      <c r="D368" s="15"/>
      <c r="E368" s="15"/>
      <c r="F368" s="25" t="s">
        <v>81</v>
      </c>
      <c r="G368" s="26">
        <v>0.15</v>
      </c>
      <c r="H368" s="26"/>
      <c r="I368" s="26">
        <v>0</v>
      </c>
      <c r="J368" s="28">
        <v>100</v>
      </c>
      <c r="M368" s="29">
        <f>ROUND(ROUND(J368, 2)*I368, 2)</f>
        <v>0</v>
      </c>
      <c r="P368" s="28">
        <v>100</v>
      </c>
      <c r="S368" s="29">
        <f>ROUND(ROUND(P368, 2)*I368, 2)</f>
        <v>0</v>
      </c>
      <c r="V368" s="9">
        <f>ROUND(ROUND(P368, 2)/1.2, 2)</f>
        <v>83.33</v>
      </c>
      <c r="Y368" s="9">
        <f t="shared" si="24"/>
        <v>0</v>
      </c>
      <c r="AD368" s="4" t="s">
        <v>1573</v>
      </c>
      <c r="AE368" s="4" t="s">
        <v>1574</v>
      </c>
      <c r="AF368" s="4" t="s">
        <v>319</v>
      </c>
    </row>
    <row r="369" spans="1:35" ht="18" x14ac:dyDescent="0.35">
      <c r="A369" s="10" t="s">
        <v>1577</v>
      </c>
      <c r="B369" s="10"/>
      <c r="C369" s="24" t="s">
        <v>854</v>
      </c>
      <c r="D369" s="15"/>
      <c r="E369" s="15" t="s">
        <v>370</v>
      </c>
      <c r="F369" s="25" t="s">
        <v>81</v>
      </c>
      <c r="G369" s="26">
        <v>5</v>
      </c>
      <c r="H369" s="26"/>
      <c r="I369" s="26">
        <v>0</v>
      </c>
      <c r="J369" s="28">
        <v>23</v>
      </c>
      <c r="M369" s="29">
        <f>ROUND(ROUND(J369, 2)*I369, 2)</f>
        <v>0</v>
      </c>
      <c r="P369" s="28">
        <v>23</v>
      </c>
      <c r="S369" s="29">
        <f>ROUND(ROUND(P369, 2)*I369, 2)</f>
        <v>0</v>
      </c>
      <c r="V369" s="9">
        <f>ROUND(ROUND(P369, 2)/1.2, 2)</f>
        <v>19.170000000000002</v>
      </c>
      <c r="Y369" s="9">
        <f t="shared" si="24"/>
        <v>0</v>
      </c>
      <c r="AD369" s="4" t="s">
        <v>1578</v>
      </c>
      <c r="AE369" s="4" t="s">
        <v>1579</v>
      </c>
      <c r="AF369" s="4" t="s">
        <v>858</v>
      </c>
    </row>
    <row r="370" spans="1:35" ht="36" x14ac:dyDescent="0.35">
      <c r="A370" s="10" t="s">
        <v>1582</v>
      </c>
      <c r="B370" s="10" t="s">
        <v>1516</v>
      </c>
      <c r="C370" s="14" t="s">
        <v>1517</v>
      </c>
      <c r="D370" s="15"/>
      <c r="E370" s="15" t="s">
        <v>829</v>
      </c>
      <c r="F370" s="15" t="s">
        <v>56</v>
      </c>
      <c r="G370" s="16">
        <v>1</v>
      </c>
      <c r="H370" s="16"/>
      <c r="I370" s="16">
        <v>0</v>
      </c>
      <c r="J370" s="17">
        <f>IFERROR(ROUND(SUM(M371,M372)/I370, 2),0)</f>
        <v>0</v>
      </c>
      <c r="K370" s="18">
        <v>790</v>
      </c>
      <c r="L370" s="17">
        <f>J370+ROUND(K370, 2)</f>
        <v>790</v>
      </c>
      <c r="M370" s="17">
        <f>ROUND(J370*I370, 2)</f>
        <v>0</v>
      </c>
      <c r="N370" s="17">
        <f>ROUND(I370*ROUND(K370, 2), 2)</f>
        <v>0</v>
      </c>
      <c r="O370" s="17">
        <f>M370+N370</f>
        <v>0</v>
      </c>
      <c r="P370" s="17">
        <f>IFERROR(ROUND(SUM(S371,S372)/I370, 2),0)</f>
        <v>0</v>
      </c>
      <c r="Q370" s="18">
        <v>718</v>
      </c>
      <c r="R370" s="17">
        <f>P370+ROUND(Q370, 2)</f>
        <v>718</v>
      </c>
      <c r="S370" s="17">
        <f>ROUND(P370*I370, 2)</f>
        <v>0</v>
      </c>
      <c r="T370" s="17">
        <f>ROUND(I370*ROUND(Q370, 2), 2)</f>
        <v>0</v>
      </c>
      <c r="U370" s="17">
        <f>S370+T370</f>
        <v>0</v>
      </c>
      <c r="V370" s="9">
        <f>ROUND(P370 / 1.2, 2)</f>
        <v>0</v>
      </c>
      <c r="W370" s="9">
        <f>ROUND(Q370 / 1.2, 2)</f>
        <v>598.33000000000004</v>
      </c>
      <c r="X370" s="9">
        <f>ROUND(R370 / 1.2, 2)</f>
        <v>598.33000000000004</v>
      </c>
      <c r="Y370" s="9">
        <f t="shared" si="24"/>
        <v>0</v>
      </c>
      <c r="Z370" s="9">
        <f>ROUND(T370 / 1.2, 2)</f>
        <v>0</v>
      </c>
      <c r="AA370" s="9">
        <f>Y370+Z370</f>
        <v>0</v>
      </c>
      <c r="AD370" s="4">
        <v>303752515</v>
      </c>
      <c r="AE370" s="4">
        <v>16087383</v>
      </c>
      <c r="AG370" s="4" t="s">
        <v>1519</v>
      </c>
      <c r="AH370" s="4" t="s">
        <v>1520</v>
      </c>
      <c r="AI370" s="4" t="s">
        <v>247</v>
      </c>
    </row>
    <row r="371" spans="1:35" ht="36" x14ac:dyDescent="0.35">
      <c r="A371" s="10" t="s">
        <v>1584</v>
      </c>
      <c r="B371" s="10"/>
      <c r="C371" s="24" t="s">
        <v>493</v>
      </c>
      <c r="D371" s="15"/>
      <c r="E371" s="15"/>
      <c r="F371" s="25" t="s">
        <v>81</v>
      </c>
      <c r="G371" s="26">
        <v>0.15</v>
      </c>
      <c r="H371" s="26"/>
      <c r="I371" s="26">
        <v>0</v>
      </c>
      <c r="J371" s="28">
        <v>88.8</v>
      </c>
      <c r="M371" s="29">
        <f>ROUND(ROUND(J371, 2)*I371, 2)</f>
        <v>0</v>
      </c>
      <c r="P371" s="28">
        <v>88.8</v>
      </c>
      <c r="S371" s="29">
        <f>ROUND(ROUND(P371, 2)*I371, 2)</f>
        <v>0</v>
      </c>
      <c r="V371" s="9">
        <f>ROUND(ROUND(P371, 2)/1.2, 2)</f>
        <v>74</v>
      </c>
      <c r="Y371" s="9">
        <f t="shared" si="24"/>
        <v>0</v>
      </c>
      <c r="AD371" s="4" t="s">
        <v>1585</v>
      </c>
      <c r="AE371" s="4" t="s">
        <v>1586</v>
      </c>
      <c r="AF371" s="4" t="s">
        <v>496</v>
      </c>
    </row>
    <row r="372" spans="1:35" ht="36" x14ac:dyDescent="0.35">
      <c r="A372" s="10" t="s">
        <v>1589</v>
      </c>
      <c r="B372" s="10"/>
      <c r="C372" s="24" t="s">
        <v>875</v>
      </c>
      <c r="D372" s="15"/>
      <c r="E372" s="15"/>
      <c r="F372" s="25" t="s">
        <v>81</v>
      </c>
      <c r="G372" s="26">
        <v>2.5</v>
      </c>
      <c r="H372" s="26"/>
      <c r="I372" s="26">
        <v>0</v>
      </c>
      <c r="J372" s="28">
        <v>60</v>
      </c>
      <c r="M372" s="29">
        <f>ROUND(ROUND(J372, 2)*I372, 2)</f>
        <v>0</v>
      </c>
      <c r="P372" s="28">
        <v>12.58</v>
      </c>
      <c r="S372" s="29">
        <f>ROUND(ROUND(P372, 2)*I372, 2)</f>
        <v>0</v>
      </c>
      <c r="V372" s="9">
        <f>ROUND(ROUND(P372, 2)/1.2, 2)</f>
        <v>10.48</v>
      </c>
      <c r="Y372" s="9">
        <f t="shared" si="24"/>
        <v>0</v>
      </c>
      <c r="AD372" s="4" t="s">
        <v>1590</v>
      </c>
      <c r="AE372" s="4" t="s">
        <v>1591</v>
      </c>
      <c r="AF372" s="4" t="s">
        <v>878</v>
      </c>
    </row>
    <row r="373" spans="1:35" ht="36" x14ac:dyDescent="0.35">
      <c r="A373" s="10" t="s">
        <v>1594</v>
      </c>
      <c r="B373" s="10" t="s">
        <v>1516</v>
      </c>
      <c r="C373" s="14" t="s">
        <v>1517</v>
      </c>
      <c r="D373" s="15"/>
      <c r="E373" s="15" t="s">
        <v>829</v>
      </c>
      <c r="F373" s="15" t="s">
        <v>56</v>
      </c>
      <c r="G373" s="16">
        <v>1</v>
      </c>
      <c r="H373" s="16"/>
      <c r="I373" s="16">
        <v>0</v>
      </c>
      <c r="J373" s="17">
        <f>IFERROR(ROUND(SUM(M374,M375)/I373, 2),0)</f>
        <v>0</v>
      </c>
      <c r="K373" s="18">
        <v>790</v>
      </c>
      <c r="L373" s="17">
        <f>J373+ROUND(K373, 2)</f>
        <v>790</v>
      </c>
      <c r="M373" s="17">
        <f>ROUND(J373*I373, 2)</f>
        <v>0</v>
      </c>
      <c r="N373" s="17">
        <f>ROUND(I373*ROUND(K373, 2), 2)</f>
        <v>0</v>
      </c>
      <c r="O373" s="17">
        <f>M373+N373</f>
        <v>0</v>
      </c>
      <c r="P373" s="17">
        <f>IFERROR(ROUND(SUM(S374,S375)/I373, 2),0)</f>
        <v>0</v>
      </c>
      <c r="Q373" s="18">
        <v>718</v>
      </c>
      <c r="R373" s="17">
        <f>P373+ROUND(Q373, 2)</f>
        <v>718</v>
      </c>
      <c r="S373" s="17">
        <f>ROUND(P373*I373, 2)</f>
        <v>0</v>
      </c>
      <c r="T373" s="17">
        <f>ROUND(I373*ROUND(Q373, 2), 2)</f>
        <v>0</v>
      </c>
      <c r="U373" s="17">
        <f>S373+T373</f>
        <v>0</v>
      </c>
      <c r="V373" s="9">
        <f>ROUND(P373 / 1.2, 2)</f>
        <v>0</v>
      </c>
      <c r="W373" s="9">
        <f>ROUND(Q373 / 1.2, 2)</f>
        <v>598.33000000000004</v>
      </c>
      <c r="X373" s="9">
        <f>ROUND(R373 / 1.2, 2)</f>
        <v>598.33000000000004</v>
      </c>
      <c r="Y373" s="9">
        <f t="shared" si="24"/>
        <v>0</v>
      </c>
      <c r="Z373" s="9">
        <f>ROUND(T373 / 1.2, 2)</f>
        <v>0</v>
      </c>
      <c r="AA373" s="9">
        <f>Y373+Z373</f>
        <v>0</v>
      </c>
      <c r="AD373" s="4">
        <v>303752516</v>
      </c>
      <c r="AE373" s="4">
        <v>16087384</v>
      </c>
      <c r="AG373" s="4" t="s">
        <v>1519</v>
      </c>
      <c r="AH373" s="4" t="s">
        <v>1520</v>
      </c>
      <c r="AI373" s="4" t="s">
        <v>247</v>
      </c>
    </row>
    <row r="374" spans="1:35" ht="36" x14ac:dyDescent="0.35">
      <c r="A374" s="10" t="s">
        <v>1596</v>
      </c>
      <c r="B374" s="10"/>
      <c r="C374" s="24" t="s">
        <v>493</v>
      </c>
      <c r="D374" s="15"/>
      <c r="E374" s="15"/>
      <c r="F374" s="25" t="s">
        <v>81</v>
      </c>
      <c r="G374" s="26">
        <v>0.15</v>
      </c>
      <c r="H374" s="26"/>
      <c r="I374" s="26">
        <v>0</v>
      </c>
      <c r="J374" s="28">
        <v>88.8</v>
      </c>
      <c r="M374" s="29">
        <f>ROUND(ROUND(J374, 2)*I374, 2)</f>
        <v>0</v>
      </c>
      <c r="P374" s="28">
        <v>88.8</v>
      </c>
      <c r="S374" s="29">
        <f>ROUND(ROUND(P374, 2)*I374, 2)</f>
        <v>0</v>
      </c>
      <c r="V374" s="9">
        <f>ROUND(ROUND(P374, 2)/1.2, 2)</f>
        <v>74</v>
      </c>
      <c r="Y374" s="9">
        <f t="shared" si="24"/>
        <v>0</v>
      </c>
      <c r="AD374" s="4" t="s">
        <v>1597</v>
      </c>
      <c r="AE374" s="4" t="s">
        <v>1598</v>
      </c>
      <c r="AF374" s="4" t="s">
        <v>496</v>
      </c>
    </row>
    <row r="375" spans="1:35" ht="36" x14ac:dyDescent="0.35">
      <c r="A375" s="10" t="s">
        <v>1601</v>
      </c>
      <c r="B375" s="10"/>
      <c r="C375" s="24" t="s">
        <v>887</v>
      </c>
      <c r="D375" s="15"/>
      <c r="E375" s="15"/>
      <c r="F375" s="25" t="s">
        <v>81</v>
      </c>
      <c r="G375" s="26">
        <v>1.5</v>
      </c>
      <c r="H375" s="26"/>
      <c r="I375" s="26">
        <v>0</v>
      </c>
      <c r="J375" s="28">
        <v>23</v>
      </c>
      <c r="M375" s="29">
        <f>ROUND(ROUND(J375, 2)*I375, 2)</f>
        <v>0</v>
      </c>
      <c r="P375" s="28">
        <v>12.58</v>
      </c>
      <c r="S375" s="29">
        <f>ROUND(ROUND(P375, 2)*I375, 2)</f>
        <v>0</v>
      </c>
      <c r="V375" s="9">
        <f>ROUND(ROUND(P375, 2)/1.2, 2)</f>
        <v>10.48</v>
      </c>
      <c r="Y375" s="9">
        <f t="shared" si="24"/>
        <v>0</v>
      </c>
      <c r="AD375" s="4" t="s">
        <v>1602</v>
      </c>
      <c r="AE375" s="4" t="s">
        <v>1603</v>
      </c>
      <c r="AF375" s="4" t="s">
        <v>890</v>
      </c>
    </row>
    <row r="376" spans="1:35" ht="72" x14ac:dyDescent="0.35">
      <c r="A376" s="10" t="s">
        <v>1606</v>
      </c>
      <c r="B376" s="10" t="s">
        <v>1516</v>
      </c>
      <c r="C376" s="14" t="s">
        <v>1517</v>
      </c>
      <c r="D376" s="15"/>
      <c r="E376" s="15" t="s">
        <v>1607</v>
      </c>
      <c r="F376" s="15" t="s">
        <v>56</v>
      </c>
      <c r="G376" s="16">
        <v>1</v>
      </c>
      <c r="H376" s="16"/>
      <c r="I376" s="16">
        <v>860.08</v>
      </c>
      <c r="J376" s="17">
        <f>IFERROR(ROUND(SUM(M377,M378)/I376, 2),0)</f>
        <v>130</v>
      </c>
      <c r="K376" s="18">
        <v>790</v>
      </c>
      <c r="L376" s="17">
        <f>J376+ROUND(K376, 2)</f>
        <v>920</v>
      </c>
      <c r="M376" s="17">
        <f>ROUND(J376*I376, 2)</f>
        <v>111810.4</v>
      </c>
      <c r="N376" s="17">
        <f>ROUND(I376*ROUND(K376, 2), 2)</f>
        <v>679463.2</v>
      </c>
      <c r="O376" s="17">
        <f>M376+N376</f>
        <v>791273.6</v>
      </c>
      <c r="P376" s="17">
        <f>IFERROR(ROUND(SUM(S377,S378)/I376, 2),0)</f>
        <v>154.25</v>
      </c>
      <c r="Q376" s="19">
        <v>790</v>
      </c>
      <c r="R376" s="17">
        <f>P376+ROUND(Q376, 2)</f>
        <v>944.25</v>
      </c>
      <c r="S376" s="17">
        <f>ROUND(P376*I376, 2)</f>
        <v>132667.34</v>
      </c>
      <c r="T376" s="17">
        <f>ROUND(I376*ROUND(Q376, 2), 2)</f>
        <v>679463.2</v>
      </c>
      <c r="U376" s="17">
        <f>S376+T376</f>
        <v>812130.53999999992</v>
      </c>
      <c r="V376" s="9">
        <f>ROUND(P376 / 1.2, 2)</f>
        <v>128.54</v>
      </c>
      <c r="W376" s="9">
        <f>ROUND(Q376 / 1.2, 2)</f>
        <v>658.33</v>
      </c>
      <c r="X376" s="9">
        <f>ROUND(R376 / 1.2, 2)</f>
        <v>786.88</v>
      </c>
      <c r="Y376" s="9">
        <f t="shared" si="24"/>
        <v>110556.12</v>
      </c>
      <c r="Z376" s="9">
        <f>ROUND(T376 / 1.2, 2)</f>
        <v>566219.32999999996</v>
      </c>
      <c r="AA376" s="9">
        <f>Y376+Z376</f>
        <v>676775.45</v>
      </c>
      <c r="AD376" s="4">
        <v>303752517</v>
      </c>
      <c r="AE376" s="4">
        <v>21803396</v>
      </c>
      <c r="AG376" s="4" t="s">
        <v>1519</v>
      </c>
      <c r="AH376" s="4" t="s">
        <v>1520</v>
      </c>
      <c r="AI376" s="4" t="s">
        <v>247</v>
      </c>
    </row>
    <row r="377" spans="1:35" ht="18" x14ac:dyDescent="0.35">
      <c r="A377" s="10" t="s">
        <v>1608</v>
      </c>
      <c r="B377" s="10"/>
      <c r="C377" s="24" t="s">
        <v>316</v>
      </c>
      <c r="D377" s="15"/>
      <c r="E377" s="15"/>
      <c r="F377" s="25" t="s">
        <v>81</v>
      </c>
      <c r="G377" s="26">
        <v>0.15</v>
      </c>
      <c r="H377" s="26"/>
      <c r="I377" s="26">
        <v>129.012</v>
      </c>
      <c r="J377" s="28">
        <v>100</v>
      </c>
      <c r="M377" s="29">
        <f>ROUND(ROUND(J377, 2)*I377, 2)</f>
        <v>12901.2</v>
      </c>
      <c r="P377" s="30">
        <v>100</v>
      </c>
      <c r="S377" s="29">
        <f>ROUND(ROUND(P377, 2)*I377, 2)</f>
        <v>12901.2</v>
      </c>
      <c r="V377" s="9">
        <f>ROUND(ROUND(P377, 2)/1.2, 2)</f>
        <v>83.33</v>
      </c>
      <c r="Y377" s="9">
        <f t="shared" si="24"/>
        <v>10751</v>
      </c>
      <c r="AD377" s="4" t="s">
        <v>1609</v>
      </c>
      <c r="AE377" s="4" t="s">
        <v>1610</v>
      </c>
      <c r="AF377" s="4" t="s">
        <v>319</v>
      </c>
    </row>
    <row r="378" spans="1:35" ht="18" x14ac:dyDescent="0.35">
      <c r="A378" s="10" t="s">
        <v>1611</v>
      </c>
      <c r="B378" s="10"/>
      <c r="C378" s="24" t="s">
        <v>854</v>
      </c>
      <c r="D378" s="15"/>
      <c r="E378" s="15"/>
      <c r="F378" s="25" t="s">
        <v>81</v>
      </c>
      <c r="G378" s="26">
        <v>5</v>
      </c>
      <c r="H378" s="26"/>
      <c r="I378" s="26">
        <v>4300.3999999999996</v>
      </c>
      <c r="J378" s="28">
        <v>23</v>
      </c>
      <c r="M378" s="29">
        <f>ROUND(ROUND(J378, 2)*I378, 2)</f>
        <v>98909.2</v>
      </c>
      <c r="P378" s="30">
        <v>27.85</v>
      </c>
      <c r="S378" s="29">
        <f>ROUND(ROUND(P378, 2)*I378, 2)</f>
        <v>119766.14</v>
      </c>
      <c r="V378" s="9">
        <f>ROUND(ROUND(P378, 2)/1.2, 2)</f>
        <v>23.21</v>
      </c>
      <c r="Y378" s="9">
        <f t="shared" si="24"/>
        <v>99805.119999999995</v>
      </c>
      <c r="AD378" s="4" t="s">
        <v>1612</v>
      </c>
      <c r="AE378" s="4" t="s">
        <v>1613</v>
      </c>
      <c r="AF378" s="4" t="s">
        <v>858</v>
      </c>
    </row>
    <row r="379" spans="1:35" ht="54" x14ac:dyDescent="0.35">
      <c r="A379" s="10" t="s">
        <v>1614</v>
      </c>
      <c r="B379" s="10" t="s">
        <v>1615</v>
      </c>
      <c r="C379" s="14" t="s">
        <v>1616</v>
      </c>
      <c r="D379" s="15"/>
      <c r="E379" s="15" t="s">
        <v>1072</v>
      </c>
      <c r="F379" s="15" t="s">
        <v>56</v>
      </c>
      <c r="G379" s="16">
        <v>1</v>
      </c>
      <c r="H379" s="16"/>
      <c r="I379" s="16">
        <v>860.08</v>
      </c>
      <c r="J379" s="17">
        <f>IFERROR(ROUND(SUM(M380,M381)/I379, 2),0)</f>
        <v>35.03</v>
      </c>
      <c r="K379" s="18">
        <v>546</v>
      </c>
      <c r="L379" s="17">
        <f>J379+ROUND(K379, 2)</f>
        <v>581.03</v>
      </c>
      <c r="M379" s="17">
        <f>ROUND(J379*I379, 2)</f>
        <v>30128.6</v>
      </c>
      <c r="N379" s="17">
        <f>ROUND(I379*ROUND(K379, 2), 2)</f>
        <v>469603.68</v>
      </c>
      <c r="O379" s="17">
        <f>M379+N379</f>
        <v>499732.27999999997</v>
      </c>
      <c r="P379" s="17">
        <f>IFERROR(ROUND(SUM(S380,S381)/I379, 2),0)</f>
        <v>71.48</v>
      </c>
      <c r="Q379" s="19">
        <v>546</v>
      </c>
      <c r="R379" s="17">
        <f>P379+ROUND(Q379, 2)</f>
        <v>617.48</v>
      </c>
      <c r="S379" s="17">
        <f>ROUND(P379*I379, 2)</f>
        <v>61478.52</v>
      </c>
      <c r="T379" s="17">
        <f>ROUND(I379*ROUND(Q379, 2), 2)</f>
        <v>469603.68</v>
      </c>
      <c r="U379" s="17">
        <f>S379+T379</f>
        <v>531082.19999999995</v>
      </c>
      <c r="V379" s="9">
        <f>ROUND(P379 / 1.2, 2)</f>
        <v>59.57</v>
      </c>
      <c r="W379" s="9">
        <f>ROUND(Q379 / 1.2, 2)</f>
        <v>455</v>
      </c>
      <c r="X379" s="9">
        <f>ROUND(R379 / 1.2, 2)</f>
        <v>514.57000000000005</v>
      </c>
      <c r="Y379" s="9">
        <f t="shared" si="24"/>
        <v>51232.1</v>
      </c>
      <c r="Z379" s="9">
        <f>ROUND(T379 / 1.2, 2)</f>
        <v>391336.4</v>
      </c>
      <c r="AA379" s="9">
        <f>Y379+Z379</f>
        <v>442568.5</v>
      </c>
      <c r="AD379" s="4">
        <v>303752446</v>
      </c>
      <c r="AE379" s="4">
        <v>21803398</v>
      </c>
      <c r="AG379" s="4" t="s">
        <v>1617</v>
      </c>
      <c r="AH379" s="4" t="s">
        <v>1618</v>
      </c>
      <c r="AI379" s="4" t="s">
        <v>247</v>
      </c>
    </row>
    <row r="380" spans="1:35" ht="54" x14ac:dyDescent="0.35">
      <c r="A380" s="10" t="s">
        <v>1619</v>
      </c>
      <c r="B380" s="10"/>
      <c r="C380" s="37" t="s">
        <v>1620</v>
      </c>
      <c r="D380" s="15"/>
      <c r="E380" s="15" t="s">
        <v>1049</v>
      </c>
      <c r="F380" s="25" t="s">
        <v>81</v>
      </c>
      <c r="G380" s="26">
        <v>1.8</v>
      </c>
      <c r="H380" s="26"/>
      <c r="I380" s="26">
        <v>1548.144</v>
      </c>
      <c r="J380" s="28">
        <v>12.06</v>
      </c>
      <c r="M380" s="29">
        <f>ROUND(ROUND(J380, 2)*I380, 2)</f>
        <v>18670.62</v>
      </c>
      <c r="P380" s="30">
        <v>32.31</v>
      </c>
      <c r="S380" s="29">
        <f>ROUND(ROUND(P380, 2)*I380, 2)</f>
        <v>50020.53</v>
      </c>
      <c r="V380" s="9">
        <f>ROUND(ROUND(P380, 2)/1.2, 2)</f>
        <v>26.93</v>
      </c>
      <c r="Y380" s="9">
        <f t="shared" si="24"/>
        <v>41683.78</v>
      </c>
      <c r="AD380" s="4" t="s">
        <v>1621</v>
      </c>
      <c r="AE380" s="4" t="s">
        <v>1622</v>
      </c>
      <c r="AF380" s="4" t="s">
        <v>1623</v>
      </c>
    </row>
    <row r="381" spans="1:35" ht="36" x14ac:dyDescent="0.35">
      <c r="A381" s="10" t="s">
        <v>1624</v>
      </c>
      <c r="B381" s="10"/>
      <c r="C381" s="24" t="s">
        <v>258</v>
      </c>
      <c r="D381" s="15"/>
      <c r="E381" s="15"/>
      <c r="F381" s="25" t="s">
        <v>81</v>
      </c>
      <c r="G381" s="26">
        <v>0.15</v>
      </c>
      <c r="H381" s="26"/>
      <c r="I381" s="26">
        <v>129.012</v>
      </c>
      <c r="J381" s="28">
        <v>88.8</v>
      </c>
      <c r="M381" s="29">
        <f>ROUND(ROUND(J381, 2)*I381, 2)</f>
        <v>11456.27</v>
      </c>
      <c r="P381" s="30">
        <v>88.8</v>
      </c>
      <c r="S381" s="29">
        <f>ROUND(ROUND(P381, 2)*I381, 2)</f>
        <v>11456.27</v>
      </c>
      <c r="V381" s="9">
        <f>ROUND(ROUND(P381, 2)/1.2, 2)</f>
        <v>74</v>
      </c>
      <c r="Y381" s="9">
        <f t="shared" si="24"/>
        <v>9546.89</v>
      </c>
      <c r="AD381" s="4" t="s">
        <v>1625</v>
      </c>
      <c r="AE381" s="4" t="s">
        <v>1626</v>
      </c>
      <c r="AF381" s="4" t="s">
        <v>261</v>
      </c>
    </row>
    <row r="382" spans="1:35" ht="36" x14ac:dyDescent="0.35">
      <c r="A382" s="10" t="s">
        <v>1627</v>
      </c>
      <c r="B382" s="10" t="s">
        <v>1615</v>
      </c>
      <c r="C382" s="14" t="s">
        <v>1616</v>
      </c>
      <c r="D382" s="15"/>
      <c r="E382" s="15" t="s">
        <v>1628</v>
      </c>
      <c r="F382" s="15" t="s">
        <v>56</v>
      </c>
      <c r="G382" s="16">
        <v>1</v>
      </c>
      <c r="H382" s="16"/>
      <c r="I382" s="16">
        <v>860.08</v>
      </c>
      <c r="J382" s="17">
        <f>IFERROR(ROUND(SUM(M383,M384)/I382, 2),0)</f>
        <v>35.03</v>
      </c>
      <c r="K382" s="18">
        <v>546</v>
      </c>
      <c r="L382" s="17">
        <f>J382+ROUND(K382, 2)</f>
        <v>581.03</v>
      </c>
      <c r="M382" s="17">
        <f>ROUND(J382*I382, 2)</f>
        <v>30128.6</v>
      </c>
      <c r="N382" s="17">
        <f>ROUND(I382*ROUND(K382, 2), 2)</f>
        <v>469603.68</v>
      </c>
      <c r="O382" s="17">
        <f>M382+N382</f>
        <v>499732.27999999997</v>
      </c>
      <c r="P382" s="17">
        <f>IFERROR(ROUND(SUM(S383,S384)/I382, 2),0)</f>
        <v>71.48</v>
      </c>
      <c r="Q382" s="19">
        <v>546</v>
      </c>
      <c r="R382" s="17">
        <f>P382+ROUND(Q382, 2)</f>
        <v>617.48</v>
      </c>
      <c r="S382" s="17">
        <f>ROUND(P382*I382, 2)</f>
        <v>61478.52</v>
      </c>
      <c r="T382" s="17">
        <f>ROUND(I382*ROUND(Q382, 2), 2)</f>
        <v>469603.68</v>
      </c>
      <c r="U382" s="17">
        <f>S382+T382</f>
        <v>531082.19999999995</v>
      </c>
      <c r="V382" s="9">
        <f>ROUND(P382 / 1.2, 2)</f>
        <v>59.57</v>
      </c>
      <c r="W382" s="9">
        <f>ROUND(Q382 / 1.2, 2)</f>
        <v>455</v>
      </c>
      <c r="X382" s="9">
        <f>ROUND(R382 / 1.2, 2)</f>
        <v>514.57000000000005</v>
      </c>
      <c r="Y382" s="9">
        <f t="shared" si="24"/>
        <v>51232.1</v>
      </c>
      <c r="Z382" s="9">
        <f>ROUND(T382 / 1.2, 2)</f>
        <v>391336.4</v>
      </c>
      <c r="AA382" s="9">
        <f>Y382+Z382</f>
        <v>442568.5</v>
      </c>
      <c r="AD382" s="4">
        <v>303752518</v>
      </c>
      <c r="AE382" s="4">
        <v>21803397</v>
      </c>
      <c r="AG382" s="4" t="s">
        <v>1617</v>
      </c>
      <c r="AH382" s="4" t="s">
        <v>1618</v>
      </c>
      <c r="AI382" s="4" t="s">
        <v>247</v>
      </c>
    </row>
    <row r="383" spans="1:35" ht="36" x14ac:dyDescent="0.35">
      <c r="A383" s="10" t="s">
        <v>1629</v>
      </c>
      <c r="B383" s="10"/>
      <c r="C383" s="24" t="s">
        <v>258</v>
      </c>
      <c r="D383" s="15"/>
      <c r="E383" s="15"/>
      <c r="F383" s="25" t="s">
        <v>81</v>
      </c>
      <c r="G383" s="26">
        <v>0.15</v>
      </c>
      <c r="H383" s="26"/>
      <c r="I383" s="26">
        <v>129.012</v>
      </c>
      <c r="J383" s="28">
        <v>88.8</v>
      </c>
      <c r="M383" s="29">
        <f>ROUND(ROUND(J383, 2)*I383, 2)</f>
        <v>11456.27</v>
      </c>
      <c r="P383" s="30">
        <v>88.8</v>
      </c>
      <c r="S383" s="29">
        <f>ROUND(ROUND(P383, 2)*I383, 2)</f>
        <v>11456.27</v>
      </c>
      <c r="V383" s="9">
        <f>ROUND(ROUND(P383, 2)/1.2, 2)</f>
        <v>74</v>
      </c>
      <c r="Y383" s="9">
        <f t="shared" si="24"/>
        <v>9546.89</v>
      </c>
      <c r="AD383" s="4" t="s">
        <v>1630</v>
      </c>
      <c r="AE383" s="4" t="s">
        <v>1631</v>
      </c>
      <c r="AF383" s="4" t="s">
        <v>261</v>
      </c>
    </row>
    <row r="384" spans="1:35" ht="54" x14ac:dyDescent="0.35">
      <c r="A384" s="10" t="s">
        <v>1632</v>
      </c>
      <c r="B384" s="10"/>
      <c r="C384" s="37" t="s">
        <v>1620</v>
      </c>
      <c r="D384" s="15"/>
      <c r="E384" s="15" t="s">
        <v>1049</v>
      </c>
      <c r="F384" s="25" t="s">
        <v>81</v>
      </c>
      <c r="G384" s="26">
        <v>1.8</v>
      </c>
      <c r="H384" s="26"/>
      <c r="I384" s="26">
        <v>1548.144</v>
      </c>
      <c r="J384" s="28">
        <v>12.06</v>
      </c>
      <c r="M384" s="29">
        <f>ROUND(ROUND(J384, 2)*I384, 2)</f>
        <v>18670.62</v>
      </c>
      <c r="P384" s="30">
        <v>32.31</v>
      </c>
      <c r="S384" s="29">
        <f>ROUND(ROUND(P384, 2)*I384, 2)</f>
        <v>50020.53</v>
      </c>
      <c r="V384" s="9">
        <f>ROUND(ROUND(P384, 2)/1.2, 2)</f>
        <v>26.93</v>
      </c>
      <c r="Y384" s="9">
        <f t="shared" si="24"/>
        <v>41683.78</v>
      </c>
      <c r="AD384" s="4" t="s">
        <v>1633</v>
      </c>
      <c r="AE384" s="4" t="s">
        <v>1634</v>
      </c>
      <c r="AF384" s="4" t="s">
        <v>1623</v>
      </c>
    </row>
    <row r="385" spans="1:35" ht="17" customHeight="1" x14ac:dyDescent="0.35">
      <c r="A385" s="10" t="s">
        <v>1635</v>
      </c>
      <c r="B385" s="10" t="s">
        <v>1636</v>
      </c>
      <c r="C385" s="100" t="s">
        <v>1637</v>
      </c>
      <c r="D385" s="101"/>
      <c r="E385" s="101"/>
      <c r="F385" s="101"/>
      <c r="G385" s="101"/>
      <c r="H385" s="101"/>
      <c r="I385" s="102"/>
      <c r="M385" s="6">
        <f>SUM(M386,M389,M392,M395)</f>
        <v>18444.07</v>
      </c>
      <c r="N385" s="6">
        <f>SUM(N386,N389,N392,N395)</f>
        <v>642496.16</v>
      </c>
      <c r="O385" s="6">
        <f>SUM(O386,O389,O392,O395)</f>
        <v>660940.23</v>
      </c>
      <c r="S385" s="6">
        <f>SUM(S386,S389,S392,S395)</f>
        <v>170759.97</v>
      </c>
      <c r="T385" s="6">
        <f>SUM(T386,T389,T392,T395)</f>
        <v>642496.16</v>
      </c>
      <c r="U385" s="6">
        <f>SUM(U386,U389,U392,U395)</f>
        <v>813256.13</v>
      </c>
      <c r="Y385" s="9">
        <f>SUM(Y386,Y389,Y392,Y395)</f>
        <v>142299.98000000001</v>
      </c>
      <c r="Z385" s="9">
        <f>SUM(Z386,Z389,Z392,Z395)</f>
        <v>535413.46</v>
      </c>
      <c r="AA385" s="9">
        <f>SUM(AA386,AA389,AA392,AA395)</f>
        <v>677713.44</v>
      </c>
      <c r="AD385" s="4">
        <v>303752447</v>
      </c>
      <c r="AE385" s="4">
        <v>16082936</v>
      </c>
    </row>
    <row r="386" spans="1:35" ht="54" x14ac:dyDescent="0.35">
      <c r="A386" s="10" t="s">
        <v>1638</v>
      </c>
      <c r="B386" s="10" t="s">
        <v>1639</v>
      </c>
      <c r="C386" s="14" t="s">
        <v>1640</v>
      </c>
      <c r="D386" s="15"/>
      <c r="E386" s="15" t="s">
        <v>1641</v>
      </c>
      <c r="F386" s="15" t="s">
        <v>56</v>
      </c>
      <c r="G386" s="16">
        <v>1</v>
      </c>
      <c r="H386" s="16"/>
      <c r="I386" s="16">
        <v>0</v>
      </c>
      <c r="J386" s="17">
        <f>IFERROR(ROUND(SUM(M387,M388)/I386, 2),0)</f>
        <v>0</v>
      </c>
      <c r="K386" s="18">
        <v>306</v>
      </c>
      <c r="L386" s="17">
        <f>J386+ROUND(K386, 2)</f>
        <v>306</v>
      </c>
      <c r="M386" s="17">
        <f>ROUND(J386*I386, 2)</f>
        <v>0</v>
      </c>
      <c r="N386" s="17">
        <f>ROUND(I386*ROUND(K386, 2), 2)</f>
        <v>0</v>
      </c>
      <c r="O386" s="17">
        <f>M386+N386</f>
        <v>0</v>
      </c>
      <c r="P386" s="17">
        <f>IFERROR(ROUND(SUM(S387,S388)/I386, 2),0)</f>
        <v>0</v>
      </c>
      <c r="Q386" s="18">
        <v>278</v>
      </c>
      <c r="R386" s="17">
        <f>P386+ROUND(Q386, 2)</f>
        <v>278</v>
      </c>
      <c r="S386" s="17">
        <f>ROUND(P386*I386, 2)</f>
        <v>0</v>
      </c>
      <c r="T386" s="17">
        <f>ROUND(I386*ROUND(Q386, 2), 2)</f>
        <v>0</v>
      </c>
      <c r="U386" s="17">
        <f>S386+T386</f>
        <v>0</v>
      </c>
      <c r="V386" s="9">
        <f>ROUND(P386 / 1.2, 2)</f>
        <v>0</v>
      </c>
      <c r="W386" s="9">
        <f>ROUND(Q386 / 1.2, 2)</f>
        <v>231.67</v>
      </c>
      <c r="X386" s="9">
        <f>ROUND(R386 / 1.2, 2)</f>
        <v>231.67</v>
      </c>
      <c r="Y386" s="9">
        <f>ROUND(S386 / 1.2, 2)</f>
        <v>0</v>
      </c>
      <c r="Z386" s="9">
        <f>ROUND(T386 / 1.2, 2)</f>
        <v>0</v>
      </c>
      <c r="AA386" s="9">
        <f>Y386+Z386</f>
        <v>0</v>
      </c>
      <c r="AD386" s="4">
        <v>303752449</v>
      </c>
      <c r="AE386" s="4">
        <v>16082938</v>
      </c>
      <c r="AG386" s="4" t="s">
        <v>1642</v>
      </c>
      <c r="AH386" s="4" t="s">
        <v>1643</v>
      </c>
      <c r="AI386" s="4" t="s">
        <v>247</v>
      </c>
    </row>
    <row r="387" spans="1:35" ht="108" x14ac:dyDescent="0.35">
      <c r="A387" s="10" t="s">
        <v>1645</v>
      </c>
      <c r="B387" s="10"/>
      <c r="C387" s="24" t="s">
        <v>1646</v>
      </c>
      <c r="D387" s="15"/>
      <c r="E387" s="15" t="s">
        <v>1647</v>
      </c>
      <c r="F387" s="25" t="s">
        <v>81</v>
      </c>
      <c r="G387" s="26">
        <v>0.3</v>
      </c>
      <c r="H387" s="27"/>
      <c r="I387" s="27">
        <v>0</v>
      </c>
      <c r="J387" s="28">
        <v>226.67</v>
      </c>
      <c r="M387" s="29">
        <f>ROUND(ROUND(J387, 2)*I387, 2)</f>
        <v>0</v>
      </c>
      <c r="P387" s="28">
        <v>135.36000000000001</v>
      </c>
      <c r="S387" s="29">
        <f>ROUND(ROUND(P387, 2)*I387, 2)</f>
        <v>0</v>
      </c>
      <c r="V387" s="9">
        <f>ROUND(ROUND(P387, 2)/1.2, 2)</f>
        <v>112.8</v>
      </c>
      <c r="Y387" s="9">
        <f t="shared" ref="Y387:Y397" si="25">ROUND(S387 / 1.2, 2)</f>
        <v>0</v>
      </c>
      <c r="AD387" s="4" t="s">
        <v>1648</v>
      </c>
      <c r="AE387" s="4" t="s">
        <v>1649</v>
      </c>
      <c r="AF387" s="4" t="s">
        <v>1650</v>
      </c>
    </row>
    <row r="388" spans="1:35" ht="36" x14ac:dyDescent="0.35">
      <c r="A388" s="10" t="s">
        <v>1653</v>
      </c>
      <c r="B388" s="10"/>
      <c r="C388" s="24" t="s">
        <v>493</v>
      </c>
      <c r="D388" s="15"/>
      <c r="E388" s="15"/>
      <c r="F388" s="25" t="s">
        <v>81</v>
      </c>
      <c r="G388" s="26">
        <v>0.15</v>
      </c>
      <c r="H388" s="27"/>
      <c r="I388" s="27">
        <v>0</v>
      </c>
      <c r="J388" s="28">
        <v>88.8</v>
      </c>
      <c r="M388" s="29">
        <f>ROUND(ROUND(J388, 2)*I388, 2)</f>
        <v>0</v>
      </c>
      <c r="P388" s="28">
        <v>88.8</v>
      </c>
      <c r="S388" s="29">
        <f>ROUND(ROUND(P388, 2)*I388, 2)</f>
        <v>0</v>
      </c>
      <c r="V388" s="9">
        <f>ROUND(ROUND(P388, 2)/1.2, 2)</f>
        <v>74</v>
      </c>
      <c r="Y388" s="9">
        <f t="shared" si="25"/>
        <v>0</v>
      </c>
      <c r="AD388" s="4" t="s">
        <v>1654</v>
      </c>
      <c r="AE388" s="4" t="s">
        <v>1655</v>
      </c>
      <c r="AF388" s="4" t="s">
        <v>496</v>
      </c>
    </row>
    <row r="389" spans="1:35" ht="54" x14ac:dyDescent="0.35">
      <c r="A389" s="10" t="s">
        <v>1658</v>
      </c>
      <c r="B389" s="10" t="s">
        <v>1639</v>
      </c>
      <c r="C389" s="14" t="s">
        <v>1640</v>
      </c>
      <c r="D389" s="15"/>
      <c r="E389" s="15" t="s">
        <v>526</v>
      </c>
      <c r="F389" s="15" t="s">
        <v>56</v>
      </c>
      <c r="G389" s="16">
        <v>1</v>
      </c>
      <c r="H389" s="16"/>
      <c r="I389" s="16">
        <v>0</v>
      </c>
      <c r="J389" s="17">
        <f>IFERROR(ROUND(SUM(M390,M391)/I389, 2),0)</f>
        <v>0</v>
      </c>
      <c r="K389" s="18">
        <v>306</v>
      </c>
      <c r="L389" s="17">
        <f>J389+ROUND(K389, 2)</f>
        <v>306</v>
      </c>
      <c r="M389" s="17">
        <f>ROUND(J389*I389, 2)</f>
        <v>0</v>
      </c>
      <c r="N389" s="17">
        <f>ROUND(I389*ROUND(K389, 2), 2)</f>
        <v>0</v>
      </c>
      <c r="O389" s="17">
        <f>M389+N389</f>
        <v>0</v>
      </c>
      <c r="P389" s="17">
        <f>IFERROR(ROUND(SUM(S390,S391)/I389, 2),0)</f>
        <v>0</v>
      </c>
      <c r="Q389" s="18">
        <v>278</v>
      </c>
      <c r="R389" s="17">
        <f>P389+ROUND(Q389, 2)</f>
        <v>278</v>
      </c>
      <c r="S389" s="17">
        <f>ROUND(P389*I389, 2)</f>
        <v>0</v>
      </c>
      <c r="T389" s="17">
        <f>ROUND(I389*ROUND(Q389, 2), 2)</f>
        <v>0</v>
      </c>
      <c r="U389" s="17">
        <f>S389+T389</f>
        <v>0</v>
      </c>
      <c r="V389" s="9">
        <f>ROUND(P389 / 1.2, 2)</f>
        <v>0</v>
      </c>
      <c r="W389" s="9">
        <f>ROUND(Q389 / 1.2, 2)</f>
        <v>231.67</v>
      </c>
      <c r="X389" s="9">
        <f>ROUND(R389 / 1.2, 2)</f>
        <v>231.67</v>
      </c>
      <c r="Y389" s="9">
        <f t="shared" si="25"/>
        <v>0</v>
      </c>
      <c r="Z389" s="9">
        <f>ROUND(T389 / 1.2, 2)</f>
        <v>0</v>
      </c>
      <c r="AA389" s="9">
        <f>Y389+Z389</f>
        <v>0</v>
      </c>
      <c r="AD389" s="4">
        <v>303752519</v>
      </c>
      <c r="AE389" s="4">
        <v>16088066</v>
      </c>
      <c r="AG389" s="4" t="s">
        <v>1642</v>
      </c>
      <c r="AH389" s="4" t="s">
        <v>1643</v>
      </c>
      <c r="AI389" s="4" t="s">
        <v>247</v>
      </c>
    </row>
    <row r="390" spans="1:35" ht="36" x14ac:dyDescent="0.35">
      <c r="A390" s="10" t="s">
        <v>1660</v>
      </c>
      <c r="B390" s="10"/>
      <c r="C390" s="24" t="s">
        <v>493</v>
      </c>
      <c r="D390" s="15"/>
      <c r="E390" s="15"/>
      <c r="F390" s="25" t="s">
        <v>81</v>
      </c>
      <c r="G390" s="26">
        <v>0.15</v>
      </c>
      <c r="H390" s="27"/>
      <c r="I390" s="27">
        <v>0</v>
      </c>
      <c r="J390" s="28">
        <v>88.8</v>
      </c>
      <c r="M390" s="29">
        <f>ROUND(ROUND(J390, 2)*I390, 2)</f>
        <v>0</v>
      </c>
      <c r="P390" s="28">
        <v>88.8</v>
      </c>
      <c r="S390" s="29">
        <f>ROUND(ROUND(P390, 2)*I390, 2)</f>
        <v>0</v>
      </c>
      <c r="V390" s="9">
        <f>ROUND(ROUND(P390, 2)/1.2, 2)</f>
        <v>74</v>
      </c>
      <c r="Y390" s="9">
        <f t="shared" si="25"/>
        <v>0</v>
      </c>
      <c r="AD390" s="4" t="s">
        <v>1661</v>
      </c>
      <c r="AE390" s="4" t="s">
        <v>1662</v>
      </c>
      <c r="AF390" s="4" t="s">
        <v>496</v>
      </c>
    </row>
    <row r="391" spans="1:35" ht="90" x14ac:dyDescent="0.35">
      <c r="A391" s="10" t="s">
        <v>1665</v>
      </c>
      <c r="B391" s="10"/>
      <c r="C391" s="24" t="s">
        <v>1646</v>
      </c>
      <c r="D391" s="15"/>
      <c r="E391" s="15" t="s">
        <v>1666</v>
      </c>
      <c r="F391" s="25" t="s">
        <v>81</v>
      </c>
      <c r="G391" s="26">
        <v>0.3</v>
      </c>
      <c r="H391" s="27"/>
      <c r="I391" s="27">
        <v>0</v>
      </c>
      <c r="J391" s="28">
        <v>226.67</v>
      </c>
      <c r="M391" s="29">
        <f>ROUND(ROUND(J391, 2)*I391, 2)</f>
        <v>0</v>
      </c>
      <c r="P391" s="28">
        <v>135.36000000000001</v>
      </c>
      <c r="S391" s="29">
        <f>ROUND(ROUND(P391, 2)*I391, 2)</f>
        <v>0</v>
      </c>
      <c r="V391" s="9">
        <f>ROUND(ROUND(P391, 2)/1.2, 2)</f>
        <v>112.8</v>
      </c>
      <c r="Y391" s="9">
        <f t="shared" si="25"/>
        <v>0</v>
      </c>
      <c r="AD391" s="4" t="s">
        <v>1667</v>
      </c>
      <c r="AE391" s="4" t="s">
        <v>1668</v>
      </c>
      <c r="AF391" s="4" t="s">
        <v>1650</v>
      </c>
    </row>
    <row r="392" spans="1:35" ht="36" x14ac:dyDescent="0.35">
      <c r="A392" s="10" t="s">
        <v>1671</v>
      </c>
      <c r="B392" s="10" t="s">
        <v>1672</v>
      </c>
      <c r="C392" s="14" t="s">
        <v>1307</v>
      </c>
      <c r="D392" s="15"/>
      <c r="E392" s="15" t="s">
        <v>1673</v>
      </c>
      <c r="F392" s="15" t="s">
        <v>56</v>
      </c>
      <c r="G392" s="16">
        <v>1</v>
      </c>
      <c r="H392" s="16"/>
      <c r="I392" s="16">
        <v>998.06</v>
      </c>
      <c r="J392" s="17">
        <f>IFERROR(ROUND(SUM(M393,M394)/I392, 2),0)</f>
        <v>13.32</v>
      </c>
      <c r="K392" s="18">
        <v>464</v>
      </c>
      <c r="L392" s="17">
        <f>J392+ROUND(K392, 2)</f>
        <v>477.32</v>
      </c>
      <c r="M392" s="17">
        <f>ROUND(J392*I392, 2)</f>
        <v>13294.16</v>
      </c>
      <c r="N392" s="17">
        <f>ROUND(I392*ROUND(K392, 2), 2)</f>
        <v>463099.84</v>
      </c>
      <c r="O392" s="17">
        <f>M392+N392</f>
        <v>476394</v>
      </c>
      <c r="P392" s="17">
        <f>IFERROR(ROUND(SUM(S393,S394)/I392, 2),0)</f>
        <v>123.32</v>
      </c>
      <c r="Q392" s="19">
        <v>464</v>
      </c>
      <c r="R392" s="17">
        <f>P392+ROUND(Q392, 2)</f>
        <v>587.31999999999994</v>
      </c>
      <c r="S392" s="17">
        <f>ROUND(P392*I392, 2)</f>
        <v>123080.76</v>
      </c>
      <c r="T392" s="17">
        <f>ROUND(I392*ROUND(Q392, 2), 2)</f>
        <v>463099.84</v>
      </c>
      <c r="U392" s="17">
        <f>S392+T392</f>
        <v>586180.6</v>
      </c>
      <c r="V392" s="9">
        <f>ROUND(P392 / 1.2, 2)</f>
        <v>102.77</v>
      </c>
      <c r="W392" s="9">
        <f>ROUND(Q392 / 1.2, 2)</f>
        <v>386.67</v>
      </c>
      <c r="X392" s="9">
        <f>ROUND(R392 / 1.2, 2)</f>
        <v>489.43</v>
      </c>
      <c r="Y392" s="9">
        <f t="shared" si="25"/>
        <v>102567.3</v>
      </c>
      <c r="Z392" s="9">
        <f>ROUND(T392 / 1.2, 2)</f>
        <v>385916.53</v>
      </c>
      <c r="AA392" s="9">
        <f>Y392+Z392</f>
        <v>488483.83</v>
      </c>
      <c r="AD392" s="4">
        <v>303752451</v>
      </c>
      <c r="AE392" s="4">
        <v>21800364</v>
      </c>
      <c r="AG392" s="4" t="s">
        <v>1309</v>
      </c>
      <c r="AH392" s="4" t="s">
        <v>1674</v>
      </c>
      <c r="AI392" s="4" t="s">
        <v>247</v>
      </c>
    </row>
    <row r="393" spans="1:35" ht="126" x14ac:dyDescent="0.35">
      <c r="A393" s="10" t="s">
        <v>1675</v>
      </c>
      <c r="B393" s="10"/>
      <c r="C393" s="24" t="s">
        <v>1676</v>
      </c>
      <c r="D393" s="15"/>
      <c r="E393" s="15" t="s">
        <v>1677</v>
      </c>
      <c r="F393" s="25" t="s">
        <v>81</v>
      </c>
      <c r="G393" s="26">
        <v>0.3</v>
      </c>
      <c r="H393" s="26"/>
      <c r="I393" s="26">
        <v>299.41800000000001</v>
      </c>
      <c r="J393" s="28">
        <v>0</v>
      </c>
      <c r="M393" s="29">
        <f>ROUND(ROUND(J393, 2)*I393, 2)</f>
        <v>0</v>
      </c>
      <c r="P393" s="30">
        <v>366.67</v>
      </c>
      <c r="S393" s="29">
        <f>ROUND(ROUND(P393, 2)*I393, 2)</f>
        <v>109787.6</v>
      </c>
      <c r="V393" s="9">
        <f>ROUND(ROUND(P393, 2)/1.2, 2)</f>
        <v>305.56</v>
      </c>
      <c r="Y393" s="9">
        <f t="shared" si="25"/>
        <v>91489.67</v>
      </c>
      <c r="AD393" s="4" t="s">
        <v>1678</v>
      </c>
      <c r="AE393" s="4" t="s">
        <v>1679</v>
      </c>
      <c r="AF393" s="4" t="s">
        <v>1680</v>
      </c>
    </row>
    <row r="394" spans="1:35" ht="36" x14ac:dyDescent="0.35">
      <c r="A394" s="10" t="s">
        <v>1681</v>
      </c>
      <c r="B394" s="10"/>
      <c r="C394" s="24" t="s">
        <v>493</v>
      </c>
      <c r="D394" s="15"/>
      <c r="E394" s="15"/>
      <c r="F394" s="25" t="s">
        <v>81</v>
      </c>
      <c r="G394" s="26">
        <v>0.15</v>
      </c>
      <c r="H394" s="26"/>
      <c r="I394" s="26">
        <v>149.709</v>
      </c>
      <c r="J394" s="28">
        <v>88.8</v>
      </c>
      <c r="M394" s="29">
        <f>ROUND(ROUND(J394, 2)*I394, 2)</f>
        <v>13294.16</v>
      </c>
      <c r="P394" s="30">
        <v>88.8</v>
      </c>
      <c r="S394" s="29">
        <f>ROUND(ROUND(P394, 2)*I394, 2)</f>
        <v>13294.16</v>
      </c>
      <c r="V394" s="9">
        <f>ROUND(ROUND(P394, 2)/1.2, 2)</f>
        <v>74</v>
      </c>
      <c r="Y394" s="9">
        <f t="shared" si="25"/>
        <v>11078.47</v>
      </c>
      <c r="AD394" s="4" t="s">
        <v>1682</v>
      </c>
      <c r="AE394" s="4" t="s">
        <v>1683</v>
      </c>
      <c r="AF394" s="4" t="s">
        <v>496</v>
      </c>
    </row>
    <row r="395" spans="1:35" ht="90" x14ac:dyDescent="0.35">
      <c r="A395" s="10" t="s">
        <v>1684</v>
      </c>
      <c r="B395" s="10" t="s">
        <v>1672</v>
      </c>
      <c r="C395" s="14" t="s">
        <v>1307</v>
      </c>
      <c r="D395" s="15"/>
      <c r="E395" s="15" t="s">
        <v>1685</v>
      </c>
      <c r="F395" s="15" t="s">
        <v>56</v>
      </c>
      <c r="G395" s="16">
        <v>1</v>
      </c>
      <c r="H395" s="16"/>
      <c r="I395" s="16">
        <v>386.63</v>
      </c>
      <c r="J395" s="17">
        <f>IFERROR(ROUND(SUM(M396,M397)/I395, 2),0)</f>
        <v>13.32</v>
      </c>
      <c r="K395" s="18">
        <v>464</v>
      </c>
      <c r="L395" s="17">
        <f>J395+ROUND(K395, 2)</f>
        <v>477.32</v>
      </c>
      <c r="M395" s="17">
        <f>ROUND(J395*I395, 2)</f>
        <v>5149.91</v>
      </c>
      <c r="N395" s="17">
        <f>ROUND(I395*ROUND(K395, 2), 2)</f>
        <v>179396.32</v>
      </c>
      <c r="O395" s="17">
        <f>M395+N395</f>
        <v>184546.23</v>
      </c>
      <c r="P395" s="17">
        <f>IFERROR(ROUND(SUM(S396,S397)/I395, 2),0)</f>
        <v>123.32</v>
      </c>
      <c r="Q395" s="19">
        <v>464</v>
      </c>
      <c r="R395" s="17">
        <f>P395+ROUND(Q395, 2)</f>
        <v>587.31999999999994</v>
      </c>
      <c r="S395" s="17">
        <f>ROUND(P395*I395, 2)</f>
        <v>47679.21</v>
      </c>
      <c r="T395" s="17">
        <f>ROUND(I395*ROUND(Q395, 2), 2)</f>
        <v>179396.32</v>
      </c>
      <c r="U395" s="17">
        <f>S395+T395</f>
        <v>227075.53</v>
      </c>
      <c r="V395" s="9">
        <f>ROUND(P395 / 1.2, 2)</f>
        <v>102.77</v>
      </c>
      <c r="W395" s="9">
        <f>ROUND(Q395 / 1.2, 2)</f>
        <v>386.67</v>
      </c>
      <c r="X395" s="9">
        <f>ROUND(R395 / 1.2, 2)</f>
        <v>489.43</v>
      </c>
      <c r="Y395" s="9">
        <f t="shared" si="25"/>
        <v>39732.68</v>
      </c>
      <c r="Z395" s="9">
        <f>ROUND(T395 / 1.2, 2)</f>
        <v>149496.93</v>
      </c>
      <c r="AA395" s="9">
        <f>Y395+Z395</f>
        <v>189229.61</v>
      </c>
      <c r="AD395" s="4">
        <v>303752520</v>
      </c>
      <c r="AE395" s="4">
        <v>21833393</v>
      </c>
      <c r="AG395" s="4" t="s">
        <v>1309</v>
      </c>
      <c r="AH395" s="4" t="s">
        <v>1674</v>
      </c>
      <c r="AI395" s="4" t="s">
        <v>247</v>
      </c>
    </row>
    <row r="396" spans="1:35" ht="36" x14ac:dyDescent="0.35">
      <c r="A396" s="10" t="s">
        <v>1686</v>
      </c>
      <c r="B396" s="10"/>
      <c r="C396" s="24" t="s">
        <v>493</v>
      </c>
      <c r="D396" s="15"/>
      <c r="E396" s="15"/>
      <c r="F396" s="25" t="s">
        <v>81</v>
      </c>
      <c r="G396" s="26">
        <v>0.15</v>
      </c>
      <c r="H396" s="26"/>
      <c r="I396" s="26">
        <v>57.994999999999997</v>
      </c>
      <c r="J396" s="28">
        <v>88.8</v>
      </c>
      <c r="M396" s="29">
        <f>ROUND(ROUND(J396, 2)*I396, 2)</f>
        <v>5149.96</v>
      </c>
      <c r="P396" s="30">
        <v>88.8</v>
      </c>
      <c r="S396" s="29">
        <f>ROUND(ROUND(P396, 2)*I396, 2)</f>
        <v>5149.96</v>
      </c>
      <c r="V396" s="9">
        <f>ROUND(ROUND(P396, 2)/1.2, 2)</f>
        <v>74</v>
      </c>
      <c r="Y396" s="9">
        <f t="shared" si="25"/>
        <v>4291.63</v>
      </c>
      <c r="AD396" s="4" t="s">
        <v>1687</v>
      </c>
      <c r="AE396" s="4" t="s">
        <v>1688</v>
      </c>
      <c r="AF396" s="4" t="s">
        <v>496</v>
      </c>
    </row>
    <row r="397" spans="1:35" ht="36" x14ac:dyDescent="0.35">
      <c r="A397" s="10" t="s">
        <v>1689</v>
      </c>
      <c r="B397" s="10"/>
      <c r="C397" s="24" t="s">
        <v>1690</v>
      </c>
      <c r="D397" s="15"/>
      <c r="E397" s="15" t="s">
        <v>1691</v>
      </c>
      <c r="F397" s="25" t="s">
        <v>81</v>
      </c>
      <c r="G397" s="26">
        <v>0.3</v>
      </c>
      <c r="H397" s="26"/>
      <c r="I397" s="26">
        <v>115.989</v>
      </c>
      <c r="J397" s="28">
        <v>0</v>
      </c>
      <c r="M397" s="29">
        <f>ROUND(ROUND(J397, 2)*I397, 2)</f>
        <v>0</v>
      </c>
      <c r="P397" s="30">
        <v>366.67</v>
      </c>
      <c r="S397" s="29">
        <f>ROUND(ROUND(P397, 2)*I397, 2)</f>
        <v>42529.69</v>
      </c>
      <c r="V397" s="9">
        <f>ROUND(ROUND(P397, 2)/1.2, 2)</f>
        <v>305.56</v>
      </c>
      <c r="Y397" s="9">
        <f t="shared" si="25"/>
        <v>35441.410000000003</v>
      </c>
      <c r="AD397" s="4" t="s">
        <v>1692</v>
      </c>
      <c r="AE397" s="4" t="s">
        <v>1693</v>
      </c>
      <c r="AF397" s="4" t="s">
        <v>1694</v>
      </c>
    </row>
    <row r="398" spans="1:35" ht="17" customHeight="1" x14ac:dyDescent="0.35">
      <c r="A398" s="10" t="s">
        <v>1695</v>
      </c>
      <c r="B398" s="10" t="s">
        <v>1696</v>
      </c>
      <c r="C398" s="100" t="s">
        <v>1697</v>
      </c>
      <c r="D398" s="101"/>
      <c r="E398" s="101"/>
      <c r="F398" s="101"/>
      <c r="G398" s="101"/>
      <c r="H398" s="101"/>
      <c r="I398" s="102"/>
      <c r="M398" s="6">
        <f>SUM(M399,M401,M402,M404)</f>
        <v>0</v>
      </c>
      <c r="N398" s="6">
        <f>SUM(N399,N401,N402,N404)</f>
        <v>69484.399999999994</v>
      </c>
      <c r="O398" s="6">
        <f>SUM(O399,O401,O402,O404)</f>
        <v>69484.399999999994</v>
      </c>
      <c r="S398" s="6">
        <f>SUM(S399,S401,S402,S404)</f>
        <v>207208.38</v>
      </c>
      <c r="T398" s="6">
        <f>SUM(T399,T401,T402,T404)</f>
        <v>69484.399999999994</v>
      </c>
      <c r="U398" s="6">
        <f>SUM(U399,U401,U402,U404)</f>
        <v>276692.78000000003</v>
      </c>
      <c r="Y398" s="9">
        <f>SUM(Y399,Y401,Y402,Y404)</f>
        <v>172673.65</v>
      </c>
      <c r="Z398" s="9">
        <f>SUM(Z399,Z401,Z402,Z404)</f>
        <v>57903.67</v>
      </c>
      <c r="AA398" s="9">
        <f>SUM(AA399,AA401,AA402,AA404)</f>
        <v>230577.32</v>
      </c>
      <c r="AD398" s="4">
        <v>303752452</v>
      </c>
      <c r="AE398" s="4">
        <v>16083550</v>
      </c>
    </row>
    <row r="399" spans="1:35" ht="36" x14ac:dyDescent="0.35">
      <c r="A399" s="10" t="s">
        <v>1698</v>
      </c>
      <c r="B399" s="10" t="s">
        <v>1699</v>
      </c>
      <c r="C399" s="14" t="s">
        <v>1700</v>
      </c>
      <c r="D399" s="15"/>
      <c r="E399" s="15" t="s">
        <v>1701</v>
      </c>
      <c r="F399" s="15" t="s">
        <v>56</v>
      </c>
      <c r="G399" s="16">
        <v>1</v>
      </c>
      <c r="H399" s="16"/>
      <c r="I399" s="16">
        <v>0</v>
      </c>
      <c r="J399" s="17">
        <f>IFERROR(ROUND(SUM(M400)/I399, 2),0)</f>
        <v>0</v>
      </c>
      <c r="K399" s="18">
        <v>1499</v>
      </c>
      <c r="L399" s="17">
        <f>J399+ROUND(K399, 2)</f>
        <v>1499</v>
      </c>
      <c r="M399" s="17">
        <f>ROUND(J399*I399, 2)</f>
        <v>0</v>
      </c>
      <c r="N399" s="17">
        <f>ROUND(I399*ROUND(K399, 2), 2)</f>
        <v>0</v>
      </c>
      <c r="O399" s="17">
        <f>M399+N399</f>
        <v>0</v>
      </c>
      <c r="P399" s="17">
        <f>IFERROR(ROUND(SUM(S400)/I399, 2),0)</f>
        <v>0</v>
      </c>
      <c r="Q399" s="18">
        <v>1499</v>
      </c>
      <c r="R399" s="17">
        <f>P399+ROUND(Q399, 2)</f>
        <v>1499</v>
      </c>
      <c r="S399" s="17">
        <f>ROUND(P399*I399, 2)</f>
        <v>0</v>
      </c>
      <c r="T399" s="17">
        <f>ROUND(I399*ROUND(Q399, 2), 2)</f>
        <v>0</v>
      </c>
      <c r="U399" s="17">
        <f>S399+T399</f>
        <v>0</v>
      </c>
      <c r="V399" s="9">
        <f>ROUND(P399 / 1.2, 2)</f>
        <v>0</v>
      </c>
      <c r="W399" s="9">
        <f>ROUND(Q399 / 1.2, 2)</f>
        <v>1249.17</v>
      </c>
      <c r="X399" s="9">
        <f>ROUND(R399 / 1.2, 2)</f>
        <v>1249.17</v>
      </c>
      <c r="Y399" s="9">
        <f>ROUND(S399 / 1.2, 2)</f>
        <v>0</v>
      </c>
      <c r="Z399" s="9">
        <f>ROUND(T399 / 1.2, 2)</f>
        <v>0</v>
      </c>
      <c r="AA399" s="9">
        <f>Y399+Z399</f>
        <v>0</v>
      </c>
      <c r="AD399" s="4">
        <v>303752454</v>
      </c>
      <c r="AE399" s="4">
        <v>16084347</v>
      </c>
      <c r="AG399" s="4" t="s">
        <v>1702</v>
      </c>
      <c r="AH399" s="4" t="s">
        <v>1703</v>
      </c>
      <c r="AI399" s="4" t="s">
        <v>247</v>
      </c>
    </row>
    <row r="400" spans="1:35" ht="126" x14ac:dyDescent="0.35">
      <c r="A400" s="10" t="s">
        <v>1705</v>
      </c>
      <c r="B400" s="10"/>
      <c r="C400" s="24" t="s">
        <v>1706</v>
      </c>
      <c r="D400" s="15"/>
      <c r="E400" s="15" t="s">
        <v>1707</v>
      </c>
      <c r="F400" s="25" t="s">
        <v>56</v>
      </c>
      <c r="G400" s="26">
        <v>1</v>
      </c>
      <c r="H400" s="26"/>
      <c r="I400" s="26">
        <v>0</v>
      </c>
      <c r="J400" s="28">
        <v>0</v>
      </c>
      <c r="M400" s="29">
        <f>ROUND(ROUND(J400, 2)*I400, 2)</f>
        <v>0</v>
      </c>
      <c r="P400" s="28">
        <v>0</v>
      </c>
      <c r="S400" s="29">
        <f>ROUND(ROUND(P400, 2)*I400, 2)</f>
        <v>0</v>
      </c>
      <c r="V400" s="9">
        <f>ROUND(ROUND(P400, 2)/1.2, 2)</f>
        <v>0</v>
      </c>
      <c r="Y400" s="9">
        <f>ROUND(S400 / 1.2, 2)</f>
        <v>0</v>
      </c>
      <c r="AD400" s="4" t="s">
        <v>1708</v>
      </c>
      <c r="AE400" s="4" t="s">
        <v>1709</v>
      </c>
      <c r="AF400" s="4" t="s">
        <v>1710</v>
      </c>
    </row>
    <row r="401" spans="1:35" ht="54" x14ac:dyDescent="0.35">
      <c r="A401" s="10" t="s">
        <v>1713</v>
      </c>
      <c r="B401" s="10" t="s">
        <v>1714</v>
      </c>
      <c r="C401" s="14" t="s">
        <v>1715</v>
      </c>
      <c r="D401" s="15"/>
      <c r="E401" s="15"/>
      <c r="F401" s="15" t="s">
        <v>56</v>
      </c>
      <c r="G401" s="16">
        <v>1</v>
      </c>
      <c r="H401" s="16"/>
      <c r="I401" s="16">
        <v>64.099999999999994</v>
      </c>
      <c r="J401" s="17">
        <v>0</v>
      </c>
      <c r="K401" s="18">
        <v>121</v>
      </c>
      <c r="L401" s="17">
        <f>J401+ROUND(K401, 2)</f>
        <v>121</v>
      </c>
      <c r="M401" s="17">
        <v>0</v>
      </c>
      <c r="N401" s="17">
        <f>ROUND(I401*ROUND(K401, 2), 2)</f>
        <v>7756.1</v>
      </c>
      <c r="O401" s="17">
        <f>M401+N401</f>
        <v>7756.1</v>
      </c>
      <c r="P401" s="17">
        <v>0</v>
      </c>
      <c r="Q401" s="19">
        <v>121</v>
      </c>
      <c r="R401" s="17">
        <f>P401+ROUND(Q401, 2)</f>
        <v>121</v>
      </c>
      <c r="S401" s="17">
        <v>0</v>
      </c>
      <c r="T401" s="17">
        <f>ROUND(I401*ROUND(Q401, 2), 2)</f>
        <v>7756.1</v>
      </c>
      <c r="U401" s="17">
        <f>S401+T401</f>
        <v>7756.1</v>
      </c>
      <c r="V401" s="9"/>
      <c r="W401" s="9">
        <f>ROUND(Q401 / 1.2, 2)</f>
        <v>100.83</v>
      </c>
      <c r="X401" s="9">
        <f>ROUND(R401 / 1.2, 2)</f>
        <v>100.83</v>
      </c>
      <c r="Y401" s="9"/>
      <c r="Z401" s="9">
        <f>ROUND(T401 / 1.2, 2)</f>
        <v>6463.42</v>
      </c>
      <c r="AA401" s="9">
        <f>Y401+Z401</f>
        <v>6463.42</v>
      </c>
      <c r="AD401" s="4">
        <v>303752456</v>
      </c>
      <c r="AE401" s="4">
        <v>19937195</v>
      </c>
      <c r="AG401" s="4" t="s">
        <v>1716</v>
      </c>
      <c r="AH401" s="4" t="s">
        <v>1717</v>
      </c>
      <c r="AI401" s="4" t="s">
        <v>247</v>
      </c>
    </row>
    <row r="402" spans="1:35" ht="36" x14ac:dyDescent="0.35">
      <c r="A402" s="10" t="s">
        <v>1718</v>
      </c>
      <c r="B402" s="10" t="s">
        <v>1719</v>
      </c>
      <c r="C402" s="14" t="s">
        <v>1720</v>
      </c>
      <c r="D402" s="15"/>
      <c r="E402" s="15" t="s">
        <v>1721</v>
      </c>
      <c r="F402" s="15" t="s">
        <v>56</v>
      </c>
      <c r="G402" s="16">
        <v>1</v>
      </c>
      <c r="H402" s="16"/>
      <c r="I402" s="16">
        <v>32.5</v>
      </c>
      <c r="J402" s="17">
        <f>IFERROR(ROUND(SUM(M403)/I402, 2),0)</f>
        <v>0</v>
      </c>
      <c r="K402" s="18">
        <v>963</v>
      </c>
      <c r="L402" s="17">
        <f>J402+ROUND(K402, 2)</f>
        <v>963</v>
      </c>
      <c r="M402" s="17">
        <f>ROUND(J402*I402, 2)</f>
        <v>0</v>
      </c>
      <c r="N402" s="17">
        <f>ROUND(I402*ROUND(K402, 2), 2)</f>
        <v>31297.5</v>
      </c>
      <c r="O402" s="17">
        <f>M402+N402</f>
        <v>31297.5</v>
      </c>
      <c r="P402" s="17">
        <f>IFERROR(ROUND(SUM(S403)/I402, 2),0)</f>
        <v>3232.58</v>
      </c>
      <c r="Q402" s="19">
        <v>963</v>
      </c>
      <c r="R402" s="17">
        <f>P402+ROUND(Q402, 2)</f>
        <v>4195.58</v>
      </c>
      <c r="S402" s="17">
        <f>ROUND(P402*I402, 2)</f>
        <v>105058.85</v>
      </c>
      <c r="T402" s="17">
        <f>ROUND(I402*ROUND(Q402, 2), 2)</f>
        <v>31297.5</v>
      </c>
      <c r="U402" s="17">
        <f>S402+T402</f>
        <v>136356.35</v>
      </c>
      <c r="V402" s="9">
        <f>ROUND(P402 / 1.2, 2)</f>
        <v>2693.82</v>
      </c>
      <c r="W402" s="9">
        <f>ROUND(Q402 / 1.2, 2)</f>
        <v>802.5</v>
      </c>
      <c r="X402" s="9">
        <f>ROUND(R402 / 1.2, 2)</f>
        <v>3496.32</v>
      </c>
      <c r="Y402" s="9">
        <f>ROUND(S402 / 1.2, 2)</f>
        <v>87549.04</v>
      </c>
      <c r="Z402" s="9">
        <f>ROUND(T402 / 1.2, 2)</f>
        <v>26081.25</v>
      </c>
      <c r="AA402" s="9">
        <f>Y402+Z402</f>
        <v>113630.29</v>
      </c>
      <c r="AD402" s="4">
        <v>303752458</v>
      </c>
      <c r="AE402" s="4">
        <v>21799003</v>
      </c>
      <c r="AG402" s="4" t="s">
        <v>1722</v>
      </c>
      <c r="AH402" s="4" t="s">
        <v>1723</v>
      </c>
      <c r="AI402" s="4" t="s">
        <v>247</v>
      </c>
    </row>
    <row r="403" spans="1:35" ht="90" x14ac:dyDescent="0.35">
      <c r="A403" s="10" t="s">
        <v>1724</v>
      </c>
      <c r="B403" s="10"/>
      <c r="C403" s="24" t="s">
        <v>1725</v>
      </c>
      <c r="D403" s="15"/>
      <c r="E403" s="15" t="s">
        <v>1726</v>
      </c>
      <c r="F403" s="25" t="s">
        <v>56</v>
      </c>
      <c r="G403" s="26">
        <v>1</v>
      </c>
      <c r="H403" s="27"/>
      <c r="I403" s="27">
        <v>32.5</v>
      </c>
      <c r="J403" s="28">
        <v>0</v>
      </c>
      <c r="M403" s="29">
        <f>ROUND(ROUND(J403, 2)*I403, 2)</f>
        <v>0</v>
      </c>
      <c r="P403" s="30">
        <v>3232.58</v>
      </c>
      <c r="S403" s="29">
        <f>ROUND(ROUND(P403, 2)*I403, 2)</f>
        <v>105058.85</v>
      </c>
      <c r="V403" s="9">
        <f>ROUND(ROUND(P403, 2)/1.2, 2)</f>
        <v>2693.82</v>
      </c>
      <c r="Y403" s="9">
        <f>ROUND(S403 / 1.2, 2)</f>
        <v>87549.04</v>
      </c>
      <c r="AD403" s="4" t="s">
        <v>1727</v>
      </c>
      <c r="AE403" s="4" t="s">
        <v>1728</v>
      </c>
      <c r="AF403" s="4" t="s">
        <v>1729</v>
      </c>
    </row>
    <row r="404" spans="1:35" ht="36" x14ac:dyDescent="0.35">
      <c r="A404" s="10" t="s">
        <v>1730</v>
      </c>
      <c r="B404" s="10" t="s">
        <v>1719</v>
      </c>
      <c r="C404" s="14" t="s">
        <v>1720</v>
      </c>
      <c r="D404" s="15"/>
      <c r="E404" s="15" t="s">
        <v>1731</v>
      </c>
      <c r="F404" s="15" t="s">
        <v>56</v>
      </c>
      <c r="G404" s="16">
        <v>1</v>
      </c>
      <c r="H404" s="16"/>
      <c r="I404" s="16">
        <v>31.6</v>
      </c>
      <c r="J404" s="17">
        <f>IFERROR(ROUND(SUM(M405)/I404, 2),0)</f>
        <v>0</v>
      </c>
      <c r="K404" s="18">
        <v>963</v>
      </c>
      <c r="L404" s="17">
        <f>J404+ROUND(K404, 2)</f>
        <v>963</v>
      </c>
      <c r="M404" s="17">
        <f>ROUND(J404*I404, 2)</f>
        <v>0</v>
      </c>
      <c r="N404" s="17">
        <f>ROUND(I404*ROUND(K404, 2), 2)</f>
        <v>30430.799999999999</v>
      </c>
      <c r="O404" s="17">
        <f>M404+N404</f>
        <v>30430.799999999999</v>
      </c>
      <c r="P404" s="17">
        <f>IFERROR(ROUND(SUM(S405)/I404, 2),0)</f>
        <v>3232.58</v>
      </c>
      <c r="Q404" s="19">
        <v>963</v>
      </c>
      <c r="R404" s="17">
        <f>P404+ROUND(Q404, 2)</f>
        <v>4195.58</v>
      </c>
      <c r="S404" s="17">
        <f>ROUND(P404*I404, 2)</f>
        <v>102149.53</v>
      </c>
      <c r="T404" s="17">
        <f>ROUND(I404*ROUND(Q404, 2), 2)</f>
        <v>30430.799999999999</v>
      </c>
      <c r="U404" s="17">
        <f>S404+T404</f>
        <v>132580.32999999999</v>
      </c>
      <c r="V404" s="9">
        <f>ROUND(P404 / 1.2, 2)</f>
        <v>2693.82</v>
      </c>
      <c r="W404" s="9">
        <f>ROUND(Q404 / 1.2, 2)</f>
        <v>802.5</v>
      </c>
      <c r="X404" s="9">
        <f>ROUND(R404 / 1.2, 2)</f>
        <v>3496.32</v>
      </c>
      <c r="Y404" s="9">
        <f>ROUND(S404 / 1.2, 2)</f>
        <v>85124.61</v>
      </c>
      <c r="Z404" s="9">
        <f>ROUND(T404 / 1.2, 2)</f>
        <v>25359</v>
      </c>
      <c r="AA404" s="9">
        <f>Y404+Z404</f>
        <v>110483.61</v>
      </c>
      <c r="AD404" s="4">
        <v>303752521</v>
      </c>
      <c r="AE404" s="4">
        <v>21799002</v>
      </c>
      <c r="AG404" s="4" t="s">
        <v>1722</v>
      </c>
      <c r="AH404" s="4" t="s">
        <v>1723</v>
      </c>
      <c r="AI404" s="4" t="s">
        <v>247</v>
      </c>
    </row>
    <row r="405" spans="1:35" ht="90" x14ac:dyDescent="0.35">
      <c r="A405" s="10" t="s">
        <v>1732</v>
      </c>
      <c r="B405" s="10"/>
      <c r="C405" s="24" t="s">
        <v>1725</v>
      </c>
      <c r="D405" s="15"/>
      <c r="E405" s="15" t="s">
        <v>1726</v>
      </c>
      <c r="F405" s="25" t="s">
        <v>56</v>
      </c>
      <c r="G405" s="26">
        <v>1</v>
      </c>
      <c r="H405" s="27"/>
      <c r="I405" s="27">
        <v>31.6</v>
      </c>
      <c r="J405" s="28">
        <v>0</v>
      </c>
      <c r="M405" s="29">
        <f>ROUND(ROUND(J405, 2)*I405, 2)</f>
        <v>0</v>
      </c>
      <c r="P405" s="30">
        <v>3232.58</v>
      </c>
      <c r="S405" s="29">
        <f>ROUND(ROUND(P405, 2)*I405, 2)</f>
        <v>102149.53</v>
      </c>
      <c r="V405" s="9">
        <f>ROUND(ROUND(P405, 2)/1.2, 2)</f>
        <v>2693.82</v>
      </c>
      <c r="Y405" s="9">
        <f>ROUND(S405 / 1.2, 2)</f>
        <v>85124.61</v>
      </c>
      <c r="AD405" s="4" t="s">
        <v>1733</v>
      </c>
      <c r="AE405" s="4" t="s">
        <v>1734</v>
      </c>
      <c r="AF405" s="4" t="s">
        <v>1729</v>
      </c>
    </row>
    <row r="406" spans="1:35" ht="24" customHeight="1" x14ac:dyDescent="0.35">
      <c r="A406" s="67"/>
      <c r="B406" s="67"/>
      <c r="C406" s="67"/>
      <c r="D406" s="68" t="s">
        <v>1735</v>
      </c>
      <c r="E406" s="67"/>
      <c r="F406" s="67"/>
      <c r="G406" s="67"/>
      <c r="H406" s="67"/>
      <c r="I406" s="67"/>
      <c r="J406" s="67"/>
      <c r="K406" s="67"/>
      <c r="L406" s="67"/>
      <c r="M406" s="69">
        <f>SUM(M8)</f>
        <v>3115785.56</v>
      </c>
      <c r="N406" s="69">
        <f>SUM(N8)</f>
        <v>11639805.32</v>
      </c>
      <c r="O406" s="69">
        <f>M406+N406</f>
        <v>14755590.880000001</v>
      </c>
      <c r="P406" s="67"/>
      <c r="Q406" s="67"/>
      <c r="R406" s="67"/>
      <c r="S406" s="69">
        <f>SUM(S8)</f>
        <v>3897607.1600000006</v>
      </c>
      <c r="T406" s="69">
        <f>SUM(T8)</f>
        <v>11511394.759999998</v>
      </c>
      <c r="U406" s="69">
        <f>S406+T406</f>
        <v>15409001.919999998</v>
      </c>
      <c r="Y406" s="9">
        <f>SUM(Y8)</f>
        <v>3248006.02</v>
      </c>
      <c r="Z406" s="9">
        <f>SUM(Z8)</f>
        <v>9592829.0000000019</v>
      </c>
      <c r="AA406" s="9">
        <f>Y406+Z406</f>
        <v>12840835.020000001</v>
      </c>
    </row>
    <row r="407" spans="1:35" ht="22.5" x14ac:dyDescent="0.35">
      <c r="A407" s="106" t="s">
        <v>1742</v>
      </c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8"/>
    </row>
    <row r="408" spans="1:35" ht="15.5" x14ac:dyDescent="0.35">
      <c r="A408" s="71"/>
      <c r="B408" s="5" t="s">
        <v>1743</v>
      </c>
      <c r="C408" s="70" t="s">
        <v>1744</v>
      </c>
      <c r="D408" s="70" t="s">
        <v>1745</v>
      </c>
      <c r="E408" s="72"/>
      <c r="F408" s="72"/>
      <c r="G408" s="72"/>
      <c r="H408" s="98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99"/>
    </row>
    <row r="409" spans="1:35" ht="15.5" x14ac:dyDescent="0.35">
      <c r="A409" s="71"/>
      <c r="B409" s="5" t="s">
        <v>1746</v>
      </c>
      <c r="C409" s="70" t="s">
        <v>1747</v>
      </c>
      <c r="D409" s="70" t="s">
        <v>1748</v>
      </c>
      <c r="E409" s="72"/>
      <c r="F409" s="72"/>
      <c r="G409" s="72"/>
      <c r="H409" s="98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99"/>
    </row>
    <row r="410" spans="1:35" ht="31" x14ac:dyDescent="0.35">
      <c r="A410" s="71"/>
      <c r="B410" s="5" t="s">
        <v>1749</v>
      </c>
      <c r="C410" s="70" t="s">
        <v>1750</v>
      </c>
      <c r="D410" s="70" t="s">
        <v>1751</v>
      </c>
      <c r="E410" s="72"/>
      <c r="F410" s="72"/>
      <c r="G410" s="72"/>
      <c r="H410" s="98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99"/>
    </row>
    <row r="411" spans="1:35" ht="15.5" x14ac:dyDescent="0.35">
      <c r="A411" s="71"/>
      <c r="B411" s="5" t="s">
        <v>1752</v>
      </c>
      <c r="C411" s="70" t="s">
        <v>1753</v>
      </c>
      <c r="D411" s="70" t="s">
        <v>1754</v>
      </c>
      <c r="E411" s="72"/>
      <c r="F411" s="72"/>
      <c r="G411" s="72"/>
      <c r="H411" s="98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99"/>
    </row>
    <row r="412" spans="1:35" ht="15.5" x14ac:dyDescent="0.35">
      <c r="A412" s="71"/>
      <c r="B412" s="5" t="s">
        <v>1755</v>
      </c>
      <c r="C412" s="70" t="s">
        <v>1756</v>
      </c>
      <c r="D412" s="70" t="s">
        <v>1748</v>
      </c>
      <c r="E412" s="72"/>
      <c r="F412" s="72"/>
      <c r="G412" s="72"/>
      <c r="H412" s="98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99"/>
    </row>
    <row r="413" spans="1:35" ht="31" x14ac:dyDescent="0.35">
      <c r="A413" s="71"/>
      <c r="B413" s="5" t="s">
        <v>1757</v>
      </c>
      <c r="C413" s="70" t="s">
        <v>1758</v>
      </c>
      <c r="D413" s="70" t="s">
        <v>1759</v>
      </c>
      <c r="E413" s="72"/>
      <c r="F413" s="72"/>
      <c r="G413" s="72"/>
      <c r="H413" s="98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99"/>
    </row>
    <row r="414" spans="1:35" ht="31" x14ac:dyDescent="0.35">
      <c r="A414" s="71"/>
      <c r="B414" s="5" t="s">
        <v>1760</v>
      </c>
      <c r="C414" s="70" t="s">
        <v>1761</v>
      </c>
      <c r="D414" s="70" t="s">
        <v>1762</v>
      </c>
      <c r="E414" s="72"/>
      <c r="F414" s="72"/>
      <c r="G414" s="72"/>
      <c r="H414" s="98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99"/>
    </row>
    <row r="415" spans="1:35" ht="15.5" x14ac:dyDescent="0.35">
      <c r="A415" s="71"/>
      <c r="B415" s="5" t="s">
        <v>1763</v>
      </c>
      <c r="C415" s="70" t="s">
        <v>1764</v>
      </c>
      <c r="D415" s="70" t="s">
        <v>1765</v>
      </c>
      <c r="E415" s="72"/>
      <c r="F415" s="72"/>
      <c r="G415" s="72"/>
      <c r="H415" s="98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99"/>
    </row>
    <row r="416" spans="1:35" ht="15.5" x14ac:dyDescent="0.35">
      <c r="A416" s="71"/>
      <c r="B416" s="5" t="s">
        <v>1766</v>
      </c>
      <c r="C416" s="70" t="s">
        <v>1767</v>
      </c>
      <c r="D416" s="70" t="s">
        <v>1768</v>
      </c>
      <c r="E416" s="72"/>
      <c r="F416" s="72"/>
      <c r="G416" s="72"/>
      <c r="H416" s="98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99"/>
    </row>
    <row r="417" spans="1:21" ht="31" x14ac:dyDescent="0.35">
      <c r="A417" s="71"/>
      <c r="B417" s="5" t="s">
        <v>1769</v>
      </c>
      <c r="C417" s="70" t="s">
        <v>1770</v>
      </c>
      <c r="D417" s="70" t="s">
        <v>1771</v>
      </c>
      <c r="E417" s="72"/>
      <c r="F417" s="72"/>
      <c r="G417" s="72"/>
      <c r="H417" s="98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99"/>
    </row>
    <row r="418" spans="1:21" ht="46.5" x14ac:dyDescent="0.35">
      <c r="A418" s="71"/>
      <c r="B418" s="5" t="s">
        <v>1772</v>
      </c>
      <c r="C418" s="70" t="s">
        <v>1773</v>
      </c>
      <c r="D418" s="70" t="s">
        <v>1774</v>
      </c>
      <c r="E418" s="72"/>
      <c r="F418" s="72"/>
      <c r="G418" s="72"/>
      <c r="H418" s="98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99"/>
    </row>
    <row r="419" spans="1:21" ht="31" x14ac:dyDescent="0.35">
      <c r="A419" s="71"/>
      <c r="B419" s="5" t="s">
        <v>1775</v>
      </c>
      <c r="C419" s="70" t="s">
        <v>1776</v>
      </c>
      <c r="D419" s="70" t="s">
        <v>1777</v>
      </c>
      <c r="E419" s="72"/>
      <c r="F419" s="72"/>
      <c r="G419" s="72"/>
      <c r="H419" s="98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99"/>
    </row>
    <row r="420" spans="1:21" ht="15.5" x14ac:dyDescent="0.35">
      <c r="A420" s="71"/>
      <c r="B420" s="5" t="s">
        <v>1778</v>
      </c>
      <c r="C420" s="70" t="s">
        <v>1779</v>
      </c>
      <c r="D420" s="70" t="s">
        <v>1780</v>
      </c>
      <c r="E420" s="72"/>
      <c r="F420" s="72"/>
      <c r="G420" s="72"/>
      <c r="H420" s="98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99"/>
    </row>
    <row r="421" spans="1:21" ht="48" customHeight="1" x14ac:dyDescent="0.35">
      <c r="A421" s="71"/>
      <c r="B421" s="5" t="s">
        <v>1781</v>
      </c>
      <c r="C421" s="70" t="s">
        <v>1782</v>
      </c>
      <c r="D421" s="70" t="s">
        <v>1783</v>
      </c>
      <c r="E421" s="72"/>
      <c r="F421" s="72"/>
      <c r="G421" s="72"/>
      <c r="H421" s="98" t="s">
        <v>1784</v>
      </c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99"/>
    </row>
    <row r="422" spans="1:21" ht="15.5" x14ac:dyDescent="0.35">
      <c r="A422" s="71"/>
      <c r="B422" s="5" t="s">
        <v>1785</v>
      </c>
      <c r="C422" s="70" t="s">
        <v>1786</v>
      </c>
      <c r="D422" s="70" t="s">
        <v>1787</v>
      </c>
      <c r="E422" s="72"/>
      <c r="F422" s="72"/>
      <c r="G422" s="72"/>
      <c r="H422" s="98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99"/>
    </row>
    <row r="423" spans="1:21" ht="15.5" x14ac:dyDescent="0.35">
      <c r="A423" s="71"/>
      <c r="B423" s="5" t="s">
        <v>1788</v>
      </c>
      <c r="C423" s="70" t="s">
        <v>1789</v>
      </c>
      <c r="D423" s="72"/>
      <c r="E423" s="72"/>
      <c r="F423" s="72"/>
      <c r="G423" s="72"/>
      <c r="H423" s="98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99"/>
    </row>
    <row r="424" spans="1:21" ht="15.5" x14ac:dyDescent="0.35">
      <c r="A424" s="71"/>
      <c r="B424" s="5" t="s">
        <v>1790</v>
      </c>
      <c r="C424" s="70" t="s">
        <v>1791</v>
      </c>
      <c r="D424" s="72"/>
      <c r="E424" s="72"/>
      <c r="F424" s="72"/>
      <c r="G424" s="72"/>
      <c r="H424" s="98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99"/>
    </row>
    <row r="425" spans="1:21" ht="15.5" x14ac:dyDescent="0.35">
      <c r="A425" s="71"/>
      <c r="B425" s="5" t="s">
        <v>1792</v>
      </c>
      <c r="C425" s="70" t="s">
        <v>1793</v>
      </c>
      <c r="D425" s="72"/>
      <c r="E425" s="72"/>
      <c r="F425" s="72"/>
      <c r="G425" s="72"/>
      <c r="H425" s="98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99"/>
    </row>
  </sheetData>
  <sheetProtection password="C644" sheet="1" formatColumns="0" autoFilter="0"/>
  <autoFilter ref="A7:U7" xr:uid="{00000000-0009-0000-0000-000001000000}"/>
  <mergeCells count="67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6:I16"/>
    <mergeCell ref="C17:I17"/>
    <mergeCell ref="C24:I24"/>
    <mergeCell ref="C45:I45"/>
    <mergeCell ref="C50:I50"/>
    <mergeCell ref="C51:I51"/>
    <mergeCell ref="C52:I52"/>
    <mergeCell ref="C53:I53"/>
    <mergeCell ref="C54:I54"/>
    <mergeCell ref="C84:I84"/>
    <mergeCell ref="C93:I93"/>
    <mergeCell ref="C129:I129"/>
    <mergeCell ref="C130:I130"/>
    <mergeCell ref="C279:I279"/>
    <mergeCell ref="C295:I295"/>
    <mergeCell ref="C353:I353"/>
    <mergeCell ref="C354:I354"/>
    <mergeCell ref="C385:I385"/>
    <mergeCell ref="C398:I398"/>
    <mergeCell ref="A407:U407"/>
    <mergeCell ref="H408:U408"/>
    <mergeCell ref="H409:U409"/>
    <mergeCell ref="H410:U410"/>
    <mergeCell ref="H411:U411"/>
    <mergeCell ref="H412:U412"/>
    <mergeCell ref="H413:U413"/>
    <mergeCell ref="H414:U414"/>
    <mergeCell ref="H415:U415"/>
    <mergeCell ref="H416:U416"/>
    <mergeCell ref="H417:U417"/>
    <mergeCell ref="H418:U418"/>
    <mergeCell ref="H419:U419"/>
    <mergeCell ref="H425:U425"/>
    <mergeCell ref="H420:U420"/>
    <mergeCell ref="H421:U421"/>
    <mergeCell ref="H422:U422"/>
    <mergeCell ref="H423:U423"/>
    <mergeCell ref="H424:U4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3B5F-3090-496A-A950-FA1F2C2068BF}">
  <sheetPr>
    <tabColor rgb="FFFF0000"/>
  </sheetPr>
  <dimension ref="A1:U406"/>
  <sheetViews>
    <sheetView tabSelected="1" view="pageBreakPreview" topLeftCell="A283" zoomScale="60" zoomScaleNormal="50" workbookViewId="0">
      <selection activeCell="B286" sqref="B286:I286"/>
    </sheetView>
  </sheetViews>
  <sheetFormatPr defaultRowHeight="14.5" x14ac:dyDescent="0.35"/>
  <cols>
    <col min="1" max="1" width="16" customWidth="1"/>
    <col min="2" max="2" width="15.6328125" customWidth="1"/>
    <col min="3" max="3" width="54" customWidth="1"/>
    <col min="4" max="4" width="25.26953125" customWidth="1"/>
    <col min="5" max="5" width="36.90625" customWidth="1"/>
    <col min="6" max="6" width="17.26953125" customWidth="1"/>
    <col min="8" max="8" width="11.6328125" customWidth="1"/>
    <col min="9" max="9" width="16.6328125" customWidth="1"/>
    <col min="10" max="10" width="14.90625" customWidth="1"/>
    <col min="11" max="11" width="13.08984375" customWidth="1"/>
    <col min="12" max="12" width="16.26953125" customWidth="1"/>
    <col min="13" max="13" width="15.7265625" customWidth="1"/>
    <col min="14" max="14" width="20.54296875" customWidth="1"/>
    <col min="15" max="15" width="18.81640625" customWidth="1"/>
    <col min="16" max="16" width="16.81640625" customWidth="1"/>
    <col min="17" max="17" width="13.81640625" customWidth="1"/>
    <col min="18" max="18" width="12.54296875" customWidth="1"/>
    <col min="19" max="19" width="20" customWidth="1"/>
    <col min="20" max="20" width="17.26953125" customWidth="1"/>
    <col min="21" max="21" width="24.7265625" customWidth="1"/>
  </cols>
  <sheetData>
    <row r="1" spans="1:21" ht="15" customHeight="1" x14ac:dyDescent="0.35">
      <c r="A1" s="1" t="s">
        <v>0</v>
      </c>
      <c r="B1" s="3"/>
      <c r="C1" s="3"/>
      <c r="D1" s="2" t="s">
        <v>1</v>
      </c>
      <c r="E1" s="2"/>
      <c r="F1" s="2" t="s">
        <v>1736</v>
      </c>
      <c r="G1" s="2" t="s">
        <v>1737</v>
      </c>
      <c r="H1" s="2" t="s">
        <v>1738</v>
      </c>
      <c r="I1" s="2" t="s">
        <v>1739</v>
      </c>
      <c r="J1" s="2" t="s">
        <v>1740</v>
      </c>
      <c r="K1" s="2" t="s">
        <v>1741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5">
      <c r="A2" s="89" t="s">
        <v>4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 spans="1:21" ht="15" customHeight="1" x14ac:dyDescent="0.35">
      <c r="A3" s="90" t="s">
        <v>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</row>
    <row r="4" spans="1:21" ht="15" customHeight="1" x14ac:dyDescent="0.35">
      <c r="A4" s="91" t="s">
        <v>6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1:21" ht="40.75" customHeight="1" x14ac:dyDescent="0.35">
      <c r="A5" s="92" t="s">
        <v>21</v>
      </c>
      <c r="B5" s="92" t="s">
        <v>22</v>
      </c>
      <c r="C5" s="92" t="s">
        <v>23</v>
      </c>
      <c r="D5" s="92" t="s">
        <v>24</v>
      </c>
      <c r="E5" s="92" t="s">
        <v>25</v>
      </c>
      <c r="F5" s="92" t="s">
        <v>26</v>
      </c>
      <c r="G5" s="92" t="s">
        <v>27</v>
      </c>
      <c r="H5" s="92" t="s">
        <v>28</v>
      </c>
      <c r="I5" s="92" t="s">
        <v>29</v>
      </c>
      <c r="J5" s="103" t="s">
        <v>7</v>
      </c>
      <c r="K5" s="104"/>
      <c r="L5" s="104"/>
      <c r="M5" s="104"/>
      <c r="N5" s="104"/>
      <c r="O5" s="105"/>
      <c r="P5" s="95" t="s">
        <v>8</v>
      </c>
      <c r="Q5" s="96"/>
      <c r="R5" s="97"/>
      <c r="S5" s="95" t="s">
        <v>9</v>
      </c>
      <c r="T5" s="96"/>
      <c r="U5" s="97"/>
    </row>
    <row r="6" spans="1:21" ht="15.75" customHeight="1" x14ac:dyDescent="0.35">
      <c r="A6" s="93"/>
      <c r="B6" s="93"/>
      <c r="C6" s="93"/>
      <c r="D6" s="93"/>
      <c r="E6" s="93"/>
      <c r="F6" s="93"/>
      <c r="G6" s="93"/>
      <c r="H6" s="93"/>
      <c r="I6" s="93"/>
      <c r="J6" s="98" t="s">
        <v>30</v>
      </c>
      <c r="K6" s="99"/>
      <c r="L6" s="92" t="s">
        <v>30</v>
      </c>
      <c r="M6" s="98" t="s">
        <v>33</v>
      </c>
      <c r="N6" s="99"/>
      <c r="O6" s="92" t="s">
        <v>34</v>
      </c>
      <c r="P6" s="98" t="s">
        <v>30</v>
      </c>
      <c r="Q6" s="99"/>
      <c r="R6" s="92" t="s">
        <v>30</v>
      </c>
      <c r="S6" s="98" t="s">
        <v>33</v>
      </c>
      <c r="T6" s="99"/>
      <c r="U6" s="92" t="s">
        <v>34</v>
      </c>
    </row>
    <row r="7" spans="1:21" ht="59.5" customHeight="1" x14ac:dyDescent="0.35">
      <c r="A7" s="94"/>
      <c r="B7" s="94"/>
      <c r="C7" s="94"/>
      <c r="D7" s="94"/>
      <c r="E7" s="94"/>
      <c r="F7" s="94"/>
      <c r="G7" s="94"/>
      <c r="H7" s="94"/>
      <c r="I7" s="94"/>
      <c r="J7" s="5" t="s">
        <v>31</v>
      </c>
      <c r="K7" s="5" t="s">
        <v>32</v>
      </c>
      <c r="L7" s="94"/>
      <c r="M7" s="5" t="s">
        <v>31</v>
      </c>
      <c r="N7" s="5" t="s">
        <v>32</v>
      </c>
      <c r="O7" s="94"/>
      <c r="P7" s="5" t="s">
        <v>31</v>
      </c>
      <c r="Q7" s="5" t="s">
        <v>32</v>
      </c>
      <c r="R7" s="94"/>
      <c r="S7" s="5" t="s">
        <v>31</v>
      </c>
      <c r="T7" s="5" t="s">
        <v>32</v>
      </c>
      <c r="U7" s="94"/>
    </row>
    <row r="8" spans="1:21" ht="30" customHeight="1" x14ac:dyDescent="0.35">
      <c r="A8" s="106" t="s">
        <v>35</v>
      </c>
      <c r="B8" s="107"/>
      <c r="C8" s="107"/>
      <c r="D8" s="107"/>
      <c r="E8" s="107"/>
      <c r="F8" s="107"/>
      <c r="G8" s="107"/>
      <c r="H8" s="107"/>
      <c r="I8" s="108"/>
      <c r="J8" s="7"/>
      <c r="K8" s="7"/>
      <c r="L8" s="7"/>
      <c r="M8" s="8">
        <f>SUM(M9)</f>
        <v>3115785.56</v>
      </c>
      <c r="N8" s="8">
        <f>SUM(N9)</f>
        <v>11639805.32</v>
      </c>
      <c r="O8" s="8">
        <f>SUM(O9)</f>
        <v>14755590.880000001</v>
      </c>
      <c r="P8" s="7"/>
      <c r="Q8" s="7"/>
      <c r="R8" s="7"/>
      <c r="S8" s="8">
        <f>SUM(S9)</f>
        <v>3897607.1600000006</v>
      </c>
      <c r="T8" s="8">
        <f>SUM(T9)</f>
        <v>11511394.759999998</v>
      </c>
      <c r="U8" s="8">
        <f>SUM(U9)</f>
        <v>15409001.92</v>
      </c>
    </row>
    <row r="9" spans="1:21" ht="17" customHeight="1" x14ac:dyDescent="0.35">
      <c r="A9" s="10" t="s">
        <v>37</v>
      </c>
      <c r="B9" s="10" t="s">
        <v>38</v>
      </c>
      <c r="C9" s="100" t="s">
        <v>39</v>
      </c>
      <c r="D9" s="101"/>
      <c r="E9" s="101"/>
      <c r="F9" s="101"/>
      <c r="G9" s="101"/>
      <c r="H9" s="101"/>
      <c r="I9" s="102"/>
      <c r="M9" s="6">
        <f>SUM(M10,M50)</f>
        <v>3115785.56</v>
      </c>
      <c r="N9" s="6">
        <f>SUM(N10,N50)</f>
        <v>11639805.32</v>
      </c>
      <c r="O9" s="6">
        <f>SUM(O10,O50)</f>
        <v>14755590.880000001</v>
      </c>
      <c r="S9" s="6">
        <f>SUM(S10,S50)</f>
        <v>3897607.1600000006</v>
      </c>
      <c r="T9" s="6">
        <f>SUM(T10,T50)</f>
        <v>11511394.759999998</v>
      </c>
      <c r="U9" s="6">
        <f>SUM(U10,U50)</f>
        <v>15409001.92</v>
      </c>
    </row>
    <row r="10" spans="1:21" ht="17" customHeight="1" x14ac:dyDescent="0.35">
      <c r="A10" s="10" t="s">
        <v>40</v>
      </c>
      <c r="B10" s="10" t="s">
        <v>41</v>
      </c>
      <c r="C10" s="100" t="s">
        <v>42</v>
      </c>
      <c r="D10" s="101"/>
      <c r="E10" s="101"/>
      <c r="F10" s="101"/>
      <c r="G10" s="101"/>
      <c r="H10" s="101"/>
      <c r="I10" s="102"/>
      <c r="M10" s="6">
        <f t="shared" ref="M10:O11" si="0">SUM(M11)</f>
        <v>151552.12999999998</v>
      </c>
      <c r="N10" s="6">
        <f t="shared" si="0"/>
        <v>577516.43999999994</v>
      </c>
      <c r="O10" s="6">
        <f t="shared" si="0"/>
        <v>729068.57</v>
      </c>
      <c r="S10" s="6">
        <f t="shared" ref="S10:U11" si="1">SUM(S11)</f>
        <v>159277.29</v>
      </c>
      <c r="T10" s="6">
        <f t="shared" si="1"/>
        <v>577516.43999999994</v>
      </c>
      <c r="U10" s="6">
        <f t="shared" si="1"/>
        <v>736793.73</v>
      </c>
    </row>
    <row r="11" spans="1:21" ht="17" customHeight="1" x14ac:dyDescent="0.35">
      <c r="A11" s="10" t="s">
        <v>43</v>
      </c>
      <c r="B11" s="10" t="s">
        <v>44</v>
      </c>
      <c r="C11" s="100" t="s">
        <v>45</v>
      </c>
      <c r="D11" s="101"/>
      <c r="E11" s="101"/>
      <c r="F11" s="101"/>
      <c r="G11" s="101"/>
      <c r="H11" s="101"/>
      <c r="I11" s="102"/>
      <c r="M11" s="6">
        <f t="shared" si="0"/>
        <v>151552.12999999998</v>
      </c>
      <c r="N11" s="6">
        <f t="shared" si="0"/>
        <v>577516.43999999994</v>
      </c>
      <c r="O11" s="6">
        <f t="shared" si="0"/>
        <v>729068.57</v>
      </c>
      <c r="S11" s="6">
        <f t="shared" si="1"/>
        <v>159277.29</v>
      </c>
      <c r="T11" s="6">
        <f t="shared" si="1"/>
        <v>577516.43999999994</v>
      </c>
      <c r="U11" s="6">
        <f t="shared" si="1"/>
        <v>736793.73</v>
      </c>
    </row>
    <row r="12" spans="1:21" ht="17" customHeight="1" x14ac:dyDescent="0.35">
      <c r="A12" s="10" t="s">
        <v>46</v>
      </c>
      <c r="B12" s="10" t="s">
        <v>47</v>
      </c>
      <c r="C12" s="100" t="s">
        <v>48</v>
      </c>
      <c r="D12" s="101"/>
      <c r="E12" s="101"/>
      <c r="F12" s="101"/>
      <c r="G12" s="101"/>
      <c r="H12" s="101"/>
      <c r="I12" s="102"/>
      <c r="M12" s="6">
        <f>SUM(M13,M16,M45)</f>
        <v>151552.12999999998</v>
      </c>
      <c r="N12" s="6">
        <f>SUM(N13,N16,N45)</f>
        <v>577516.43999999994</v>
      </c>
      <c r="O12" s="6">
        <f>SUM(O13,O16,O45)</f>
        <v>729068.57</v>
      </c>
      <c r="S12" s="6">
        <f>SUM(S13,S16,S45)</f>
        <v>159277.29</v>
      </c>
      <c r="T12" s="6">
        <f>SUM(T13,T16,T45)</f>
        <v>577516.43999999994</v>
      </c>
      <c r="U12" s="6">
        <f>SUM(U13,U16,U45)</f>
        <v>736793.73</v>
      </c>
    </row>
    <row r="13" spans="1:21" ht="17" customHeight="1" x14ac:dyDescent="0.35">
      <c r="A13" s="10" t="s">
        <v>49</v>
      </c>
      <c r="B13" s="10" t="s">
        <v>50</v>
      </c>
      <c r="C13" s="100" t="s">
        <v>51</v>
      </c>
      <c r="D13" s="101"/>
      <c r="E13" s="101"/>
      <c r="F13" s="101"/>
      <c r="G13" s="101"/>
      <c r="H13" s="101"/>
      <c r="I13" s="102"/>
      <c r="M13" s="6">
        <f>SUM(M14)</f>
        <v>0</v>
      </c>
      <c r="N13" s="6">
        <f>SUM(N14)</f>
        <v>282000</v>
      </c>
      <c r="O13" s="6">
        <f>SUM(O14)</f>
        <v>282000</v>
      </c>
      <c r="S13" s="6">
        <f>SUM(S14)</f>
        <v>0</v>
      </c>
      <c r="T13" s="6">
        <f>SUM(T14)</f>
        <v>282000</v>
      </c>
      <c r="U13" s="6">
        <f>SUM(U14)</f>
        <v>282000</v>
      </c>
    </row>
    <row r="14" spans="1:21" ht="36" x14ac:dyDescent="0.35">
      <c r="A14" s="10" t="s">
        <v>52</v>
      </c>
      <c r="B14" s="10" t="s">
        <v>53</v>
      </c>
      <c r="C14" s="14" t="s">
        <v>54</v>
      </c>
      <c r="D14" s="15"/>
      <c r="E14" s="15" t="s">
        <v>55</v>
      </c>
      <c r="F14" s="15" t="s">
        <v>56</v>
      </c>
      <c r="G14" s="16">
        <v>1</v>
      </c>
      <c r="H14" s="16"/>
      <c r="I14" s="16">
        <v>752</v>
      </c>
      <c r="J14" s="17">
        <f>IFERROR(ROUND(SUM(M15)/I14, 2),0)</f>
        <v>0</v>
      </c>
      <c r="K14" s="18">
        <v>375</v>
      </c>
      <c r="L14" s="17">
        <f>J14+ROUND(K14, 2)</f>
        <v>375</v>
      </c>
      <c r="M14" s="17">
        <f>ROUND(J14*I14, 2)</f>
        <v>0</v>
      </c>
      <c r="N14" s="17">
        <f>ROUND(I14*ROUND(K14, 2), 2)</f>
        <v>282000</v>
      </c>
      <c r="O14" s="17">
        <f>M14+N14</f>
        <v>282000</v>
      </c>
      <c r="P14" s="17">
        <f>IFERROR(ROUND(SUM(S15)/I14, 2),0)</f>
        <v>0</v>
      </c>
      <c r="Q14" s="19">
        <v>375</v>
      </c>
      <c r="R14" s="17">
        <f>P14+ROUND(Q14, 2)</f>
        <v>375</v>
      </c>
      <c r="S14" s="17">
        <f>ROUND(P14*I14, 2)</f>
        <v>0</v>
      </c>
      <c r="T14" s="17">
        <f>ROUND(I14*ROUND(Q14, 2), 2)</f>
        <v>282000</v>
      </c>
      <c r="U14" s="17">
        <f>S14+T14</f>
        <v>282000</v>
      </c>
    </row>
    <row r="15" spans="1:21" ht="18" x14ac:dyDescent="0.35">
      <c r="A15" s="10" t="s">
        <v>60</v>
      </c>
      <c r="B15" s="10"/>
      <c r="C15" s="24" t="s">
        <v>61</v>
      </c>
      <c r="D15" s="15"/>
      <c r="E15" s="15"/>
      <c r="F15" s="25" t="s">
        <v>62</v>
      </c>
      <c r="G15" s="26">
        <v>1</v>
      </c>
      <c r="H15" s="27"/>
      <c r="I15" s="27">
        <v>752</v>
      </c>
      <c r="J15" s="28">
        <v>0</v>
      </c>
      <c r="M15" s="29">
        <f>ROUND(ROUND(J15, 2)*I15, 2)</f>
        <v>0</v>
      </c>
      <c r="P15" s="30">
        <v>0</v>
      </c>
      <c r="S15" s="29">
        <f>ROUND(ROUND(P15, 2)*I15, 2)</f>
        <v>0</v>
      </c>
    </row>
    <row r="16" spans="1:21" ht="17" customHeight="1" x14ac:dyDescent="0.35">
      <c r="A16" s="10" t="s">
        <v>66</v>
      </c>
      <c r="B16" s="10" t="s">
        <v>67</v>
      </c>
      <c r="C16" s="100" t="s">
        <v>68</v>
      </c>
      <c r="D16" s="101"/>
      <c r="E16" s="101"/>
      <c r="F16" s="101"/>
      <c r="G16" s="101"/>
      <c r="H16" s="101"/>
      <c r="I16" s="102"/>
      <c r="M16" s="6">
        <f>SUM(M17,M24)</f>
        <v>146594.16999999998</v>
      </c>
      <c r="N16" s="6">
        <f>SUM(N17,N24)</f>
        <v>291991.67999999999</v>
      </c>
      <c r="O16" s="6">
        <f>SUM(O17,O24)</f>
        <v>438585.85</v>
      </c>
      <c r="S16" s="6">
        <f>SUM(S17,S24)</f>
        <v>154267.09</v>
      </c>
      <c r="T16" s="6">
        <f>SUM(T17,T24)</f>
        <v>291991.67999999999</v>
      </c>
      <c r="U16" s="6">
        <f>SUM(U17,U24)</f>
        <v>446258.77</v>
      </c>
    </row>
    <row r="17" spans="1:21" ht="38" customHeight="1" x14ac:dyDescent="0.35">
      <c r="A17" s="10" t="s">
        <v>69</v>
      </c>
      <c r="B17" s="10" t="s">
        <v>70</v>
      </c>
      <c r="C17" s="100" t="s">
        <v>71</v>
      </c>
      <c r="D17" s="101"/>
      <c r="E17" s="101"/>
      <c r="F17" s="101"/>
      <c r="G17" s="101"/>
      <c r="H17" s="101"/>
      <c r="I17" s="102"/>
      <c r="M17" s="6">
        <f>SUM(M18)</f>
        <v>24333.02</v>
      </c>
      <c r="N17" s="6">
        <f>SUM(N18)</f>
        <v>26118.33</v>
      </c>
      <c r="O17" s="6">
        <f>SUM(O18)</f>
        <v>50451.350000000006</v>
      </c>
      <c r="S17" s="6">
        <f>SUM(S18)</f>
        <v>24326.95</v>
      </c>
      <c r="T17" s="6">
        <f>SUM(T18)</f>
        <v>26118.33</v>
      </c>
      <c r="U17" s="6">
        <f>SUM(U18)</f>
        <v>50445.279999999999</v>
      </c>
    </row>
    <row r="18" spans="1:21" ht="72" x14ac:dyDescent="0.35">
      <c r="A18" s="10" t="s">
        <v>72</v>
      </c>
      <c r="B18" s="10" t="s">
        <v>73</v>
      </c>
      <c r="C18" s="14" t="s">
        <v>74</v>
      </c>
      <c r="D18" s="15" t="s">
        <v>75</v>
      </c>
      <c r="E18" s="15" t="s">
        <v>76</v>
      </c>
      <c r="F18" s="15" t="s">
        <v>56</v>
      </c>
      <c r="G18" s="16">
        <v>1</v>
      </c>
      <c r="H18" s="16"/>
      <c r="I18" s="16">
        <v>13.47</v>
      </c>
      <c r="J18" s="17">
        <f>IFERROR(ROUND(SUM(M19,M20,M21,M22,M23)/I18, 2),0)</f>
        <v>1806.46</v>
      </c>
      <c r="K18" s="18">
        <v>1939</v>
      </c>
      <c r="L18" s="17">
        <f>J18+ROUND(K18, 2)</f>
        <v>3745.46</v>
      </c>
      <c r="M18" s="17">
        <f>ROUND(J18*I18, 2)</f>
        <v>24333.02</v>
      </c>
      <c r="N18" s="17">
        <f>ROUND(I18*ROUND(K18, 2), 2)</f>
        <v>26118.33</v>
      </c>
      <c r="O18" s="17">
        <f>M18+N18</f>
        <v>50451.350000000006</v>
      </c>
      <c r="P18" s="17">
        <f>IFERROR(ROUND(SUM(S19,S20,S21,S22,S23)/I18, 2),0)</f>
        <v>1806.01</v>
      </c>
      <c r="Q18" s="19">
        <v>1939</v>
      </c>
      <c r="R18" s="17">
        <f>P18+ROUND(Q18, 2)</f>
        <v>3745.01</v>
      </c>
      <c r="S18" s="17">
        <f>ROUND(P18*I18, 2)</f>
        <v>24326.95</v>
      </c>
      <c r="T18" s="17">
        <f>ROUND(I18*ROUND(Q18, 2), 2)</f>
        <v>26118.33</v>
      </c>
      <c r="U18" s="17">
        <f>S18+T18</f>
        <v>50445.279999999999</v>
      </c>
    </row>
    <row r="19" spans="1:21" ht="18" x14ac:dyDescent="0.35">
      <c r="A19" s="10" t="s">
        <v>79</v>
      </c>
      <c r="B19" s="10"/>
      <c r="C19" s="24" t="s">
        <v>80</v>
      </c>
      <c r="D19" s="15"/>
      <c r="E19" s="15"/>
      <c r="F19" s="25" t="s">
        <v>81</v>
      </c>
      <c r="G19" s="26">
        <v>44.85</v>
      </c>
      <c r="H19" s="26"/>
      <c r="I19" s="26">
        <v>604.13</v>
      </c>
      <c r="J19" s="28">
        <v>6.28</v>
      </c>
      <c r="M19" s="29">
        <f>ROUND(ROUND(J19, 2)*I19, 2)</f>
        <v>3793.94</v>
      </c>
      <c r="P19" s="30">
        <v>6.27</v>
      </c>
      <c r="S19" s="29">
        <f>ROUND(ROUND(P19, 2)*I19, 2)</f>
        <v>3787.9</v>
      </c>
    </row>
    <row r="20" spans="1:21" ht="36" x14ac:dyDescent="0.35">
      <c r="A20" s="10" t="s">
        <v>85</v>
      </c>
      <c r="B20" s="10"/>
      <c r="C20" s="24" t="s">
        <v>86</v>
      </c>
      <c r="D20" s="15"/>
      <c r="E20" s="15"/>
      <c r="F20" s="25" t="s">
        <v>87</v>
      </c>
      <c r="G20" s="26">
        <v>1</v>
      </c>
      <c r="H20" s="26"/>
      <c r="I20" s="26">
        <v>13.47</v>
      </c>
      <c r="J20" s="28">
        <v>64.599999999999994</v>
      </c>
      <c r="M20" s="29">
        <f>ROUND(ROUND(J20, 2)*I20, 2)</f>
        <v>870.16</v>
      </c>
      <c r="P20" s="30">
        <v>64.599999999999994</v>
      </c>
      <c r="S20" s="29">
        <f>ROUND(ROUND(P20, 2)*I20, 2)</f>
        <v>870.16</v>
      </c>
    </row>
    <row r="21" spans="1:21" ht="36" x14ac:dyDescent="0.35">
      <c r="A21" s="10" t="s">
        <v>91</v>
      </c>
      <c r="B21" s="10"/>
      <c r="C21" s="24" t="s">
        <v>92</v>
      </c>
      <c r="D21" s="15"/>
      <c r="E21" s="15"/>
      <c r="F21" s="25" t="s">
        <v>87</v>
      </c>
      <c r="G21" s="26">
        <v>1</v>
      </c>
      <c r="H21" s="26"/>
      <c r="I21" s="26">
        <v>13.47</v>
      </c>
      <c r="J21" s="28">
        <v>117.04</v>
      </c>
      <c r="M21" s="29">
        <f>ROUND(ROUND(J21, 2)*I21, 2)</f>
        <v>1576.53</v>
      </c>
      <c r="P21" s="30">
        <v>117.04</v>
      </c>
      <c r="S21" s="29">
        <f>ROUND(ROUND(P21, 2)*I21, 2)</f>
        <v>1576.53</v>
      </c>
    </row>
    <row r="22" spans="1:21" ht="18" x14ac:dyDescent="0.35">
      <c r="A22" s="10" t="s">
        <v>96</v>
      </c>
      <c r="B22" s="10"/>
      <c r="C22" s="24" t="s">
        <v>97</v>
      </c>
      <c r="D22" s="15"/>
      <c r="E22" s="15"/>
      <c r="F22" s="25" t="s">
        <v>56</v>
      </c>
      <c r="G22" s="26">
        <v>0.504</v>
      </c>
      <c r="H22" s="26"/>
      <c r="I22" s="26">
        <v>6.7889999999999997</v>
      </c>
      <c r="J22" s="28">
        <v>265</v>
      </c>
      <c r="M22" s="29">
        <f>ROUND(ROUND(J22, 2)*I22, 2)</f>
        <v>1799.09</v>
      </c>
      <c r="P22" s="30">
        <v>265</v>
      </c>
      <c r="S22" s="29">
        <f>ROUND(ROUND(P22, 2)*I22, 2)</f>
        <v>1799.09</v>
      </c>
    </row>
    <row r="23" spans="1:21" ht="18" x14ac:dyDescent="0.35">
      <c r="A23" s="10" t="s">
        <v>101</v>
      </c>
      <c r="B23" s="10"/>
      <c r="C23" s="24" t="s">
        <v>102</v>
      </c>
      <c r="D23" s="15"/>
      <c r="E23" s="15"/>
      <c r="F23" s="25" t="s">
        <v>103</v>
      </c>
      <c r="G23" s="26">
        <v>50.4</v>
      </c>
      <c r="H23" s="26"/>
      <c r="I23" s="26">
        <v>678.88800000000003</v>
      </c>
      <c r="J23" s="28">
        <v>24</v>
      </c>
      <c r="M23" s="29">
        <f>ROUND(ROUND(J23, 2)*I23, 2)</f>
        <v>16293.31</v>
      </c>
      <c r="P23" s="30">
        <v>24</v>
      </c>
      <c r="S23" s="29">
        <f>ROUND(ROUND(P23, 2)*I23, 2)</f>
        <v>16293.31</v>
      </c>
    </row>
    <row r="24" spans="1:21" ht="17" customHeight="1" x14ac:dyDescent="0.35">
      <c r="A24" s="10" t="s">
        <v>107</v>
      </c>
      <c r="B24" s="10" t="s">
        <v>108</v>
      </c>
      <c r="C24" s="100" t="s">
        <v>109</v>
      </c>
      <c r="D24" s="101"/>
      <c r="E24" s="101"/>
      <c r="F24" s="101"/>
      <c r="G24" s="101"/>
      <c r="H24" s="101"/>
      <c r="I24" s="102"/>
      <c r="M24" s="6">
        <f>SUM(M25,M30,M35,M40)</f>
        <v>122261.15</v>
      </c>
      <c r="N24" s="6">
        <f>SUM(N25,N30,N35,N40)</f>
        <v>265873.34999999998</v>
      </c>
      <c r="O24" s="6">
        <f>SUM(O25,O30,O35,O40)</f>
        <v>388134.5</v>
      </c>
      <c r="S24" s="6">
        <f>SUM(S25,S30,S35,S40)</f>
        <v>129940.14</v>
      </c>
      <c r="T24" s="6">
        <f>SUM(T25,T30,T35,T40)</f>
        <v>265873.34999999998</v>
      </c>
      <c r="U24" s="6">
        <f>SUM(U25,U30,U35,U40)</f>
        <v>395813.49</v>
      </c>
    </row>
    <row r="25" spans="1:21" ht="47.5" customHeight="1" x14ac:dyDescent="0.35">
      <c r="A25" s="10" t="s">
        <v>110</v>
      </c>
      <c r="B25" s="10" t="s">
        <v>111</v>
      </c>
      <c r="C25" s="14" t="s">
        <v>112</v>
      </c>
      <c r="D25" s="15"/>
      <c r="E25" s="15" t="s">
        <v>113</v>
      </c>
      <c r="F25" s="15" t="s">
        <v>56</v>
      </c>
      <c r="G25" s="16">
        <v>1</v>
      </c>
      <c r="H25" s="16"/>
      <c r="I25" s="16">
        <v>76.67</v>
      </c>
      <c r="J25" s="17">
        <f>IFERROR(ROUND(SUM(M26,M27,M28,M29)/I25, 2),0)</f>
        <v>1003.9</v>
      </c>
      <c r="K25" s="18">
        <v>2293</v>
      </c>
      <c r="L25" s="17">
        <f>J25+ROUND(K25, 2)</f>
        <v>3296.9</v>
      </c>
      <c r="M25" s="17">
        <f>ROUND(J25*I25, 2)</f>
        <v>76969.009999999995</v>
      </c>
      <c r="N25" s="17">
        <f>ROUND(I25*ROUND(K25, 2), 2)</f>
        <v>175804.31</v>
      </c>
      <c r="O25" s="17">
        <f>M25+N25</f>
        <v>252773.32</v>
      </c>
      <c r="P25" s="17">
        <f>IFERROR(ROUND(SUM(S26,S27,S28,S29)/I25, 2),0)</f>
        <v>1065.1099999999999</v>
      </c>
      <c r="Q25" s="19">
        <v>2293</v>
      </c>
      <c r="R25" s="17">
        <f>P25+ROUND(Q25, 2)</f>
        <v>3358.1099999999997</v>
      </c>
      <c r="S25" s="17">
        <f>ROUND(P25*I25, 2)</f>
        <v>81661.98</v>
      </c>
      <c r="T25" s="17">
        <f>ROUND(I25*ROUND(Q25, 2), 2)</f>
        <v>175804.31</v>
      </c>
      <c r="U25" s="17">
        <f>S25+T25</f>
        <v>257466.28999999998</v>
      </c>
    </row>
    <row r="26" spans="1:21" ht="54" x14ac:dyDescent="0.35">
      <c r="A26" s="10" t="s">
        <v>116</v>
      </c>
      <c r="B26" s="10"/>
      <c r="C26" s="24" t="s">
        <v>117</v>
      </c>
      <c r="D26" s="15"/>
      <c r="E26" s="15"/>
      <c r="F26" s="25" t="s">
        <v>87</v>
      </c>
      <c r="G26" s="26">
        <v>1</v>
      </c>
      <c r="H26" s="26"/>
      <c r="I26" s="26">
        <v>76.67</v>
      </c>
      <c r="J26" s="28">
        <v>102.34</v>
      </c>
      <c r="M26" s="29">
        <f>ROUND(ROUND(J26, 2)*I26, 2)</f>
        <v>7846.41</v>
      </c>
      <c r="P26" s="30">
        <v>102.33</v>
      </c>
      <c r="S26" s="29">
        <f>ROUND(ROUND(P26, 2)*I26, 2)</f>
        <v>7845.64</v>
      </c>
    </row>
    <row r="27" spans="1:21" ht="36" x14ac:dyDescent="0.35">
      <c r="A27" s="10" t="s">
        <v>121</v>
      </c>
      <c r="B27" s="10"/>
      <c r="C27" s="24" t="s">
        <v>122</v>
      </c>
      <c r="D27" s="15"/>
      <c r="E27" s="15" t="s">
        <v>123</v>
      </c>
      <c r="F27" s="25" t="s">
        <v>56</v>
      </c>
      <c r="G27" s="26">
        <v>2.1</v>
      </c>
      <c r="H27" s="26"/>
      <c r="I27" s="26">
        <v>161.00700000000001</v>
      </c>
      <c r="J27" s="28">
        <v>135.53</v>
      </c>
      <c r="M27" s="29">
        <f>ROUND(ROUND(J27, 2)*I27, 2)</f>
        <v>21821.279999999999</v>
      </c>
      <c r="P27" s="30">
        <v>135.53</v>
      </c>
      <c r="S27" s="29">
        <f>ROUND(ROUND(P27, 2)*I27, 2)</f>
        <v>21821.279999999999</v>
      </c>
    </row>
    <row r="28" spans="1:21" ht="18" x14ac:dyDescent="0.35">
      <c r="A28" s="10" t="s">
        <v>127</v>
      </c>
      <c r="B28" s="10"/>
      <c r="C28" s="37" t="s">
        <v>128</v>
      </c>
      <c r="D28" s="15"/>
      <c r="E28" s="15"/>
      <c r="F28" s="25" t="s">
        <v>129</v>
      </c>
      <c r="G28" s="26">
        <v>4.07</v>
      </c>
      <c r="H28" s="27"/>
      <c r="I28" s="27">
        <v>447.00799999999998</v>
      </c>
      <c r="J28" s="28">
        <v>64.56</v>
      </c>
      <c r="M28" s="29">
        <f>ROUND(ROUND(J28, 2)*I28, 2)</f>
        <v>28858.84</v>
      </c>
      <c r="P28" s="30">
        <v>70.97</v>
      </c>
      <c r="S28" s="29">
        <f>ROUND(ROUND(P28, 2)*I28, 2)</f>
        <v>31724.16</v>
      </c>
    </row>
    <row r="29" spans="1:21" ht="18" x14ac:dyDescent="0.35">
      <c r="A29" s="10" t="s">
        <v>133</v>
      </c>
      <c r="B29" s="10"/>
      <c r="C29" s="37" t="s">
        <v>134</v>
      </c>
      <c r="D29" s="15"/>
      <c r="E29" s="15"/>
      <c r="F29" s="25" t="s">
        <v>129</v>
      </c>
      <c r="G29" s="26">
        <v>1.42</v>
      </c>
      <c r="H29" s="27"/>
      <c r="I29" s="27">
        <v>357.13</v>
      </c>
      <c r="J29" s="28">
        <v>51.64</v>
      </c>
      <c r="M29" s="29">
        <f>ROUND(ROUND(J29, 2)*I29, 2)</f>
        <v>18442.189999999999</v>
      </c>
      <c r="P29" s="30">
        <v>56.76</v>
      </c>
      <c r="S29" s="29">
        <f>ROUND(ROUND(P29, 2)*I29, 2)</f>
        <v>20270.7</v>
      </c>
    </row>
    <row r="30" spans="1:21" ht="51" customHeight="1" x14ac:dyDescent="0.35">
      <c r="A30" s="77" t="s">
        <v>138</v>
      </c>
      <c r="B30" s="77" t="s">
        <v>111</v>
      </c>
      <c r="C30" s="78" t="s">
        <v>112</v>
      </c>
      <c r="D30" s="79"/>
      <c r="E30" s="79" t="s">
        <v>139</v>
      </c>
      <c r="F30" s="79" t="s">
        <v>56</v>
      </c>
      <c r="G30" s="80">
        <v>1</v>
      </c>
      <c r="H30" s="80"/>
      <c r="I30" s="80">
        <v>4.1500000000000004</v>
      </c>
      <c r="J30" s="17">
        <f>IFERROR(ROUND(SUM(M31,M32,M33,M34)/I30, 2),0)</f>
        <v>2735.25</v>
      </c>
      <c r="K30" s="18">
        <v>2293</v>
      </c>
      <c r="L30" s="17">
        <f>J30+ROUND(K30, 2)</f>
        <v>5028.25</v>
      </c>
      <c r="M30" s="17">
        <f>ROUND(J30*I30, 2)</f>
        <v>11351.29</v>
      </c>
      <c r="N30" s="17">
        <f>ROUND(I30*ROUND(K30, 2), 2)</f>
        <v>9515.9500000000007</v>
      </c>
      <c r="O30" s="17">
        <f>M30+N30</f>
        <v>20867.240000000002</v>
      </c>
      <c r="P30" s="17">
        <f>IFERROR(ROUND(SUM(S31,S32,S33,S34)/I30, 2),0)</f>
        <v>2968.37</v>
      </c>
      <c r="Q30" s="19">
        <v>2293</v>
      </c>
      <c r="R30" s="17">
        <f>P30+ROUND(Q30, 2)</f>
        <v>5261.37</v>
      </c>
      <c r="S30" s="17">
        <f>ROUND(P30*I30, 2)</f>
        <v>12318.74</v>
      </c>
      <c r="T30" s="17">
        <f>ROUND(I30*ROUND(Q30, 2), 2)</f>
        <v>9515.9500000000007</v>
      </c>
      <c r="U30" s="17">
        <f>S30+T30</f>
        <v>21834.690000000002</v>
      </c>
    </row>
    <row r="31" spans="1:21" ht="18" x14ac:dyDescent="0.35">
      <c r="A31" s="10" t="s">
        <v>140</v>
      </c>
      <c r="B31" s="10"/>
      <c r="C31" s="37" t="s">
        <v>128</v>
      </c>
      <c r="D31" s="15"/>
      <c r="E31" s="15"/>
      <c r="F31" s="25" t="s">
        <v>129</v>
      </c>
      <c r="G31" s="26">
        <v>4.07</v>
      </c>
      <c r="H31" s="27"/>
      <c r="I31" s="27">
        <v>138.78700000000001</v>
      </c>
      <c r="J31" s="28">
        <v>64.56</v>
      </c>
      <c r="M31" s="29">
        <f>ROUND(ROUND(J31, 2)*I31, 2)</f>
        <v>8960.09</v>
      </c>
      <c r="P31" s="30">
        <v>70.97</v>
      </c>
      <c r="S31" s="29">
        <f>ROUND(ROUND(P31, 2)*I31, 2)</f>
        <v>9849.7099999999991</v>
      </c>
    </row>
    <row r="32" spans="1:21" ht="18" x14ac:dyDescent="0.35">
      <c r="A32" s="10" t="s">
        <v>143</v>
      </c>
      <c r="B32" s="10"/>
      <c r="C32" s="37" t="s">
        <v>134</v>
      </c>
      <c r="D32" s="15"/>
      <c r="E32" s="15"/>
      <c r="F32" s="25" t="s">
        <v>129</v>
      </c>
      <c r="G32" s="26">
        <v>1.42</v>
      </c>
      <c r="H32" s="27"/>
      <c r="I32" s="27">
        <v>15.208</v>
      </c>
      <c r="J32" s="28">
        <v>51.64</v>
      </c>
      <c r="M32" s="29">
        <f>ROUND(ROUND(J32, 2)*I32, 2)</f>
        <v>785.34</v>
      </c>
      <c r="P32" s="30">
        <v>56.76</v>
      </c>
      <c r="S32" s="29">
        <f>ROUND(ROUND(P32, 2)*I32, 2)</f>
        <v>863.21</v>
      </c>
    </row>
    <row r="33" spans="1:21" ht="36" x14ac:dyDescent="0.35">
      <c r="A33" s="10" t="s">
        <v>146</v>
      </c>
      <c r="B33" s="10"/>
      <c r="C33" s="24" t="s">
        <v>122</v>
      </c>
      <c r="D33" s="15"/>
      <c r="E33" s="15"/>
      <c r="F33" s="25" t="s">
        <v>56</v>
      </c>
      <c r="G33" s="26">
        <v>2.1</v>
      </c>
      <c r="H33" s="26"/>
      <c r="I33" s="26">
        <v>8.7149999999999999</v>
      </c>
      <c r="J33" s="28">
        <v>135.53</v>
      </c>
      <c r="M33" s="29">
        <f>ROUND(ROUND(J33, 2)*I33, 2)</f>
        <v>1181.1400000000001</v>
      </c>
      <c r="P33" s="30">
        <v>135.53</v>
      </c>
      <c r="S33" s="29">
        <f>ROUND(ROUND(P33, 2)*I33, 2)</f>
        <v>1181.1400000000001</v>
      </c>
    </row>
    <row r="34" spans="1:21" ht="54" x14ac:dyDescent="0.35">
      <c r="A34" s="10" t="s">
        <v>149</v>
      </c>
      <c r="B34" s="10"/>
      <c r="C34" s="24" t="s">
        <v>117</v>
      </c>
      <c r="D34" s="15"/>
      <c r="E34" s="15"/>
      <c r="F34" s="25" t="s">
        <v>87</v>
      </c>
      <c r="G34" s="26">
        <v>1</v>
      </c>
      <c r="H34" s="26"/>
      <c r="I34" s="26">
        <v>4.1500000000000004</v>
      </c>
      <c r="J34" s="28">
        <v>102.34</v>
      </c>
      <c r="M34" s="29">
        <f>ROUND(ROUND(J34, 2)*I34, 2)</f>
        <v>424.71</v>
      </c>
      <c r="P34" s="30">
        <v>102.33</v>
      </c>
      <c r="S34" s="29">
        <f>ROUND(ROUND(P34, 2)*I34, 2)</f>
        <v>424.67</v>
      </c>
    </row>
    <row r="35" spans="1:21" ht="47.5" customHeight="1" x14ac:dyDescent="0.35">
      <c r="A35" s="77" t="s">
        <v>152</v>
      </c>
      <c r="B35" s="77" t="s">
        <v>111</v>
      </c>
      <c r="C35" s="78" t="s">
        <v>112</v>
      </c>
      <c r="D35" s="79"/>
      <c r="E35" s="79" t="s">
        <v>153</v>
      </c>
      <c r="F35" s="79" t="s">
        <v>56</v>
      </c>
      <c r="G35" s="80">
        <v>1</v>
      </c>
      <c r="H35" s="80"/>
      <c r="I35" s="80">
        <v>35.130000000000003</v>
      </c>
      <c r="J35" s="17">
        <f>IFERROR(ROUND(SUM(M36,M37,M38,M39)/I35, 2),0)</f>
        <v>966.15</v>
      </c>
      <c r="K35" s="18">
        <v>2293</v>
      </c>
      <c r="L35" s="17">
        <f>J35+ROUND(K35, 2)</f>
        <v>3259.15</v>
      </c>
      <c r="M35" s="17">
        <f>ROUND(J35*I35, 2)</f>
        <v>33940.85</v>
      </c>
      <c r="N35" s="17">
        <f>ROUND(I35*ROUND(K35, 2), 2)</f>
        <v>80553.09</v>
      </c>
      <c r="O35" s="17">
        <f>M35+N35</f>
        <v>114493.94</v>
      </c>
      <c r="P35" s="17">
        <f>IFERROR(ROUND(SUM(S36,S37,S38,S39)/I35, 2),0)</f>
        <v>1023.61</v>
      </c>
      <c r="Q35" s="19">
        <v>2293</v>
      </c>
      <c r="R35" s="17">
        <f>P35+ROUND(Q35, 2)</f>
        <v>3316.61</v>
      </c>
      <c r="S35" s="17">
        <f>ROUND(P35*I35, 2)</f>
        <v>35959.42</v>
      </c>
      <c r="T35" s="17">
        <f>ROUND(I35*ROUND(Q35, 2), 2)</f>
        <v>80553.09</v>
      </c>
      <c r="U35" s="17">
        <f>S35+T35</f>
        <v>116512.51</v>
      </c>
    </row>
    <row r="36" spans="1:21" ht="18" x14ac:dyDescent="0.35">
      <c r="A36" s="10" t="s">
        <v>154</v>
      </c>
      <c r="B36" s="10"/>
      <c r="C36" s="37" t="s">
        <v>128</v>
      </c>
      <c r="D36" s="15"/>
      <c r="E36" s="15"/>
      <c r="F36" s="25" t="s">
        <v>129</v>
      </c>
      <c r="G36" s="26">
        <v>4.07</v>
      </c>
      <c r="H36" s="27"/>
      <c r="I36" s="27">
        <v>190.476</v>
      </c>
      <c r="J36" s="28">
        <v>64.56</v>
      </c>
      <c r="M36" s="29">
        <f>ROUND(ROUND(J36, 2)*I36, 2)</f>
        <v>12297.13</v>
      </c>
      <c r="P36" s="30">
        <v>70.97</v>
      </c>
      <c r="S36" s="29">
        <f>ROUND(ROUND(P36, 2)*I36, 2)</f>
        <v>13518.08</v>
      </c>
    </row>
    <row r="37" spans="1:21" ht="18" x14ac:dyDescent="0.35">
      <c r="A37" s="10" t="s">
        <v>157</v>
      </c>
      <c r="B37" s="10"/>
      <c r="C37" s="37" t="s">
        <v>134</v>
      </c>
      <c r="D37" s="15"/>
      <c r="E37" s="15"/>
      <c r="F37" s="25" t="s">
        <v>129</v>
      </c>
      <c r="G37" s="26">
        <v>1.42</v>
      </c>
      <c r="H37" s="27"/>
      <c r="I37" s="27">
        <v>155.88800000000001</v>
      </c>
      <c r="J37" s="28">
        <v>51.64</v>
      </c>
      <c r="M37" s="29">
        <f>ROUND(ROUND(J37, 2)*I37, 2)</f>
        <v>8050.06</v>
      </c>
      <c r="P37" s="30">
        <v>56.76</v>
      </c>
      <c r="S37" s="29">
        <f>ROUND(ROUND(P37, 2)*I37, 2)</f>
        <v>8848.2000000000007</v>
      </c>
    </row>
    <row r="38" spans="1:21" ht="36" x14ac:dyDescent="0.35">
      <c r="A38" s="10" t="s">
        <v>160</v>
      </c>
      <c r="B38" s="10"/>
      <c r="C38" s="24" t="s">
        <v>122</v>
      </c>
      <c r="D38" s="15"/>
      <c r="E38" s="15"/>
      <c r="F38" s="25" t="s">
        <v>56</v>
      </c>
      <c r="G38" s="26">
        <v>2.1</v>
      </c>
      <c r="H38" s="26"/>
      <c r="I38" s="26">
        <v>73.772999999999996</v>
      </c>
      <c r="J38" s="28">
        <v>135.53</v>
      </c>
      <c r="M38" s="29">
        <f>ROUND(ROUND(J38, 2)*I38, 2)</f>
        <v>9998.4500000000007</v>
      </c>
      <c r="P38" s="30">
        <v>135.53</v>
      </c>
      <c r="S38" s="29">
        <f>ROUND(ROUND(P38, 2)*I38, 2)</f>
        <v>9998.4500000000007</v>
      </c>
    </row>
    <row r="39" spans="1:21" ht="54" x14ac:dyDescent="0.35">
      <c r="A39" s="10" t="s">
        <v>163</v>
      </c>
      <c r="B39" s="10"/>
      <c r="C39" s="24" t="s">
        <v>117</v>
      </c>
      <c r="D39" s="15"/>
      <c r="E39" s="15"/>
      <c r="F39" s="25" t="s">
        <v>87</v>
      </c>
      <c r="G39" s="26">
        <v>1</v>
      </c>
      <c r="H39" s="26"/>
      <c r="I39" s="26">
        <v>35.130000000000003</v>
      </c>
      <c r="J39" s="28">
        <v>102.34</v>
      </c>
      <c r="M39" s="29">
        <f>ROUND(ROUND(J39, 2)*I39, 2)</f>
        <v>3595.2</v>
      </c>
      <c r="P39" s="30">
        <v>102.33</v>
      </c>
      <c r="S39" s="29">
        <f>ROUND(ROUND(P39, 2)*I39, 2)</f>
        <v>3594.85</v>
      </c>
    </row>
    <row r="40" spans="1:21" ht="170" customHeight="1" x14ac:dyDescent="0.35">
      <c r="A40" s="10" t="s">
        <v>166</v>
      </c>
      <c r="B40" s="10" t="s">
        <v>167</v>
      </c>
      <c r="C40" s="14" t="s">
        <v>168</v>
      </c>
      <c r="D40" s="15" t="s">
        <v>75</v>
      </c>
      <c r="E40" s="15" t="s">
        <v>169</v>
      </c>
      <c r="F40" s="15" t="s">
        <v>56</v>
      </c>
      <c r="G40" s="16">
        <v>1</v>
      </c>
      <c r="H40" s="16"/>
      <c r="I40" s="16">
        <v>0</v>
      </c>
      <c r="J40" s="17">
        <f>IFERROR(ROUND(SUM(M41,M42,M43,M44)/I40, 2),0)</f>
        <v>0</v>
      </c>
      <c r="K40" s="18">
        <v>1064</v>
      </c>
      <c r="L40" s="17">
        <f>J40+ROUND(K40, 2)</f>
        <v>1064</v>
      </c>
      <c r="M40" s="17">
        <f>ROUND(J40*I40, 2)</f>
        <v>0</v>
      </c>
      <c r="N40" s="17">
        <f>ROUND(I40*ROUND(K40, 2), 2)</f>
        <v>0</v>
      </c>
      <c r="O40" s="17">
        <f>M40+N40</f>
        <v>0</v>
      </c>
      <c r="P40" s="17">
        <f>IFERROR(ROUND(SUM(S41,S42,S43,S44)/I40, 2),0)</f>
        <v>0</v>
      </c>
      <c r="Q40" s="18">
        <v>1064</v>
      </c>
      <c r="R40" s="17">
        <f>P40+ROUND(Q40, 2)</f>
        <v>1064</v>
      </c>
      <c r="S40" s="17">
        <f>ROUND(P40*I40, 2)</f>
        <v>0</v>
      </c>
      <c r="T40" s="17">
        <f>ROUND(I40*ROUND(Q40, 2), 2)</f>
        <v>0</v>
      </c>
      <c r="U40" s="17">
        <f>S40+T40</f>
        <v>0</v>
      </c>
    </row>
    <row r="41" spans="1:21" ht="72" x14ac:dyDescent="0.35">
      <c r="A41" s="10" t="s">
        <v>173</v>
      </c>
      <c r="B41" s="10"/>
      <c r="C41" s="24" t="s">
        <v>174</v>
      </c>
      <c r="D41" s="15"/>
      <c r="E41" s="15"/>
      <c r="F41" s="25" t="s">
        <v>87</v>
      </c>
      <c r="G41" s="26">
        <v>1</v>
      </c>
      <c r="H41" s="26"/>
      <c r="I41" s="26">
        <v>0</v>
      </c>
      <c r="J41" s="28">
        <v>43.7</v>
      </c>
      <c r="M41" s="29">
        <f>ROUND(ROUND(J41, 2)*I41, 2)</f>
        <v>0</v>
      </c>
      <c r="P41" s="28">
        <v>43.7</v>
      </c>
      <c r="S41" s="29">
        <f>ROUND(ROUND(P41, 2)*I41, 2)</f>
        <v>0</v>
      </c>
    </row>
    <row r="42" spans="1:21" ht="18" x14ac:dyDescent="0.35">
      <c r="A42" s="10" t="s">
        <v>180</v>
      </c>
      <c r="B42" s="10"/>
      <c r="C42" s="24" t="s">
        <v>181</v>
      </c>
      <c r="D42" s="15"/>
      <c r="E42" s="15"/>
      <c r="F42" s="25" t="s">
        <v>129</v>
      </c>
      <c r="G42" s="26">
        <v>2.1</v>
      </c>
      <c r="H42" s="26"/>
      <c r="I42" s="26">
        <v>0</v>
      </c>
      <c r="J42" s="28">
        <v>95.07</v>
      </c>
      <c r="M42" s="29">
        <f>ROUND(ROUND(J42, 2)*I42, 2)</f>
        <v>0</v>
      </c>
      <c r="P42" s="28">
        <v>95.07</v>
      </c>
      <c r="S42" s="29">
        <f>ROUND(ROUND(P42, 2)*I42, 2)</f>
        <v>0</v>
      </c>
    </row>
    <row r="43" spans="1:21" ht="18" x14ac:dyDescent="0.35">
      <c r="A43" s="10" t="s">
        <v>187</v>
      </c>
      <c r="B43" s="10"/>
      <c r="C43" s="24" t="s">
        <v>188</v>
      </c>
      <c r="D43" s="15"/>
      <c r="E43" s="15"/>
      <c r="F43" s="25" t="s">
        <v>129</v>
      </c>
      <c r="G43" s="26">
        <v>0.8</v>
      </c>
      <c r="H43" s="26"/>
      <c r="I43" s="26">
        <v>0</v>
      </c>
      <c r="J43" s="28">
        <v>69.39</v>
      </c>
      <c r="M43" s="29">
        <f>ROUND(ROUND(J43, 2)*I43, 2)</f>
        <v>0</v>
      </c>
      <c r="P43" s="28">
        <v>69.39</v>
      </c>
      <c r="S43" s="29">
        <f>ROUND(ROUND(P43, 2)*I43, 2)</f>
        <v>0</v>
      </c>
    </row>
    <row r="44" spans="1:21" ht="18" x14ac:dyDescent="0.35">
      <c r="A44" s="10" t="s">
        <v>194</v>
      </c>
      <c r="B44" s="10"/>
      <c r="C44" s="37" t="s">
        <v>195</v>
      </c>
      <c r="D44" s="15"/>
      <c r="E44" s="15"/>
      <c r="F44" s="25" t="s">
        <v>56</v>
      </c>
      <c r="G44" s="26">
        <v>1.1000000000000001</v>
      </c>
      <c r="H44" s="26"/>
      <c r="I44" s="26">
        <v>0</v>
      </c>
      <c r="J44" s="28">
        <v>207.33</v>
      </c>
      <c r="M44" s="29">
        <f>ROUND(ROUND(J44, 2)*I44, 2)</f>
        <v>0</v>
      </c>
      <c r="P44" s="28">
        <v>207.33</v>
      </c>
      <c r="S44" s="29">
        <f>ROUND(ROUND(P44, 2)*I44, 2)</f>
        <v>0</v>
      </c>
    </row>
    <row r="45" spans="1:21" ht="17" customHeight="1" x14ac:dyDescent="0.35">
      <c r="A45" s="10" t="s">
        <v>201</v>
      </c>
      <c r="B45" s="10" t="s">
        <v>202</v>
      </c>
      <c r="C45" s="100" t="s">
        <v>203</v>
      </c>
      <c r="D45" s="101"/>
      <c r="E45" s="101"/>
      <c r="F45" s="101"/>
      <c r="G45" s="101"/>
      <c r="H45" s="101"/>
      <c r="I45" s="102"/>
      <c r="M45" s="6">
        <f>SUM(M46)</f>
        <v>4957.96</v>
      </c>
      <c r="N45" s="6">
        <f>SUM(N46)</f>
        <v>3524.76</v>
      </c>
      <c r="O45" s="6">
        <f>SUM(O46)</f>
        <v>8482.7200000000012</v>
      </c>
      <c r="S45" s="6">
        <f>SUM(S46)</f>
        <v>5010.2</v>
      </c>
      <c r="T45" s="6">
        <f>SUM(T46)</f>
        <v>3524.76</v>
      </c>
      <c r="U45" s="6">
        <f>SUM(U46)</f>
        <v>8534.9599999999991</v>
      </c>
    </row>
    <row r="46" spans="1:21" ht="36" x14ac:dyDescent="0.35">
      <c r="A46" s="10" t="s">
        <v>204</v>
      </c>
      <c r="B46" s="10" t="s">
        <v>205</v>
      </c>
      <c r="C46" s="14" t="s">
        <v>206</v>
      </c>
      <c r="D46" s="15" t="s">
        <v>75</v>
      </c>
      <c r="E46" s="15" t="s">
        <v>76</v>
      </c>
      <c r="F46" s="15" t="s">
        <v>207</v>
      </c>
      <c r="G46" s="16">
        <v>1</v>
      </c>
      <c r="H46" s="16"/>
      <c r="I46" s="16">
        <v>0.06</v>
      </c>
      <c r="J46" s="17">
        <f>IFERROR(ROUND(SUM(M47,M48,M49)/I46, 2),0)</f>
        <v>82632.67</v>
      </c>
      <c r="K46" s="18">
        <v>58746</v>
      </c>
      <c r="L46" s="17">
        <f>J46+ROUND(K46, 2)</f>
        <v>141378.66999999998</v>
      </c>
      <c r="M46" s="17">
        <f>ROUND(J46*I46, 2)</f>
        <v>4957.96</v>
      </c>
      <c r="N46" s="17">
        <f>ROUND(I46*ROUND(K46, 2), 2)</f>
        <v>3524.76</v>
      </c>
      <c r="O46" s="17">
        <f>M46+N46</f>
        <v>8482.7200000000012</v>
      </c>
      <c r="P46" s="17">
        <f>IFERROR(ROUND(SUM(S47,S48,S49)/I46, 2),0)</f>
        <v>83503.33</v>
      </c>
      <c r="Q46" s="19">
        <v>58746</v>
      </c>
      <c r="R46" s="17">
        <f>P46+ROUND(Q46, 2)</f>
        <v>142249.33000000002</v>
      </c>
      <c r="S46" s="17">
        <f>ROUND(P46*I46, 2)</f>
        <v>5010.2</v>
      </c>
      <c r="T46" s="17">
        <f>ROUND(I46*ROUND(Q46, 2), 2)</f>
        <v>3524.76</v>
      </c>
      <c r="U46" s="17">
        <f>S46+T46</f>
        <v>8534.9599999999991</v>
      </c>
    </row>
    <row r="47" spans="1:21" ht="18" x14ac:dyDescent="0.35">
      <c r="A47" s="10" t="s">
        <v>210</v>
      </c>
      <c r="B47" s="10"/>
      <c r="C47" s="24" t="s">
        <v>211</v>
      </c>
      <c r="D47" s="15"/>
      <c r="E47" s="15"/>
      <c r="F47" s="25" t="s">
        <v>103</v>
      </c>
      <c r="G47" s="26">
        <v>1</v>
      </c>
      <c r="H47" s="27"/>
      <c r="I47" s="27">
        <v>2</v>
      </c>
      <c r="J47" s="28">
        <v>0</v>
      </c>
      <c r="M47" s="29">
        <f>ROUND(ROUND(J47, 2)*I47, 2)</f>
        <v>0</v>
      </c>
      <c r="P47" s="30">
        <v>26.12</v>
      </c>
      <c r="S47" s="29">
        <f>ROUND(ROUND(P47, 2)*I47, 2)</f>
        <v>52.24</v>
      </c>
    </row>
    <row r="48" spans="1:21" ht="18" x14ac:dyDescent="0.35">
      <c r="A48" s="10" t="s">
        <v>215</v>
      </c>
      <c r="B48" s="10"/>
      <c r="C48" s="24" t="s">
        <v>216</v>
      </c>
      <c r="D48" s="15"/>
      <c r="E48" s="15"/>
      <c r="F48" s="25" t="s">
        <v>207</v>
      </c>
      <c r="G48" s="26">
        <v>1.03</v>
      </c>
      <c r="H48" s="27"/>
      <c r="I48" s="27">
        <v>6.2E-2</v>
      </c>
      <c r="J48" s="28">
        <v>77175</v>
      </c>
      <c r="M48" s="29">
        <f>ROUND(ROUND(J48, 2)*I48, 2)</f>
        <v>4784.8500000000004</v>
      </c>
      <c r="P48" s="30">
        <v>77175</v>
      </c>
      <c r="S48" s="29">
        <f>ROUND(ROUND(P48, 2)*I48, 2)</f>
        <v>4784.8500000000004</v>
      </c>
    </row>
    <row r="49" spans="1:21" ht="36" x14ac:dyDescent="0.35">
      <c r="A49" s="10" t="s">
        <v>220</v>
      </c>
      <c r="B49" s="10"/>
      <c r="C49" s="24" t="s">
        <v>221</v>
      </c>
      <c r="D49" s="15"/>
      <c r="E49" s="15"/>
      <c r="F49" s="25" t="s">
        <v>87</v>
      </c>
      <c r="G49" s="26">
        <v>1</v>
      </c>
      <c r="H49" s="26"/>
      <c r="I49" s="26">
        <v>0.06</v>
      </c>
      <c r="J49" s="28">
        <v>2885.15</v>
      </c>
      <c r="M49" s="29">
        <f>ROUND(ROUND(J49, 2)*I49, 2)</f>
        <v>173.11</v>
      </c>
      <c r="P49" s="30">
        <v>2885.15</v>
      </c>
      <c r="S49" s="29">
        <f>ROUND(ROUND(P49, 2)*I49, 2)</f>
        <v>173.11</v>
      </c>
    </row>
    <row r="50" spans="1:21" ht="17" customHeight="1" x14ac:dyDescent="0.35">
      <c r="A50" s="10" t="s">
        <v>225</v>
      </c>
      <c r="B50" s="10" t="s">
        <v>226</v>
      </c>
      <c r="C50" s="100" t="s">
        <v>227</v>
      </c>
      <c r="D50" s="101"/>
      <c r="E50" s="101"/>
      <c r="F50" s="101"/>
      <c r="G50" s="101"/>
      <c r="H50" s="101"/>
      <c r="I50" s="102"/>
      <c r="M50" s="6">
        <f t="shared" ref="M50:O51" si="2">SUM(M51)</f>
        <v>2964233.43</v>
      </c>
      <c r="N50" s="6">
        <f t="shared" si="2"/>
        <v>11062288.880000001</v>
      </c>
      <c r="O50" s="6">
        <f t="shared" si="2"/>
        <v>14026522.310000001</v>
      </c>
      <c r="S50" s="6">
        <f t="shared" ref="S50:U51" si="3">SUM(S51)</f>
        <v>3738329.8700000006</v>
      </c>
      <c r="T50" s="6">
        <f t="shared" si="3"/>
        <v>10933878.319999998</v>
      </c>
      <c r="U50" s="6">
        <f t="shared" si="3"/>
        <v>14672208.189999999</v>
      </c>
    </row>
    <row r="51" spans="1:21" ht="17" customHeight="1" x14ac:dyDescent="0.35">
      <c r="A51" s="10" t="s">
        <v>228</v>
      </c>
      <c r="B51" s="10" t="s">
        <v>229</v>
      </c>
      <c r="C51" s="100" t="s">
        <v>230</v>
      </c>
      <c r="D51" s="101"/>
      <c r="E51" s="101"/>
      <c r="F51" s="101"/>
      <c r="G51" s="101"/>
      <c r="H51" s="101"/>
      <c r="I51" s="102"/>
      <c r="M51" s="6">
        <f t="shared" si="2"/>
        <v>2964233.43</v>
      </c>
      <c r="N51" s="6">
        <f t="shared" si="2"/>
        <v>11062288.880000001</v>
      </c>
      <c r="O51" s="6">
        <f t="shared" si="2"/>
        <v>14026522.310000001</v>
      </c>
      <c r="S51" s="6">
        <f t="shared" si="3"/>
        <v>3738329.8700000006</v>
      </c>
      <c r="T51" s="6">
        <f t="shared" si="3"/>
        <v>10933878.319999998</v>
      </c>
      <c r="U51" s="6">
        <f t="shared" si="3"/>
        <v>14672208.189999999</v>
      </c>
    </row>
    <row r="52" spans="1:21" ht="17" customHeight="1" x14ac:dyDescent="0.35">
      <c r="A52" s="10" t="s">
        <v>231</v>
      </c>
      <c r="B52" s="10" t="s">
        <v>232</v>
      </c>
      <c r="C52" s="100" t="s">
        <v>233</v>
      </c>
      <c r="D52" s="101"/>
      <c r="E52" s="101"/>
      <c r="F52" s="101"/>
      <c r="G52" s="101"/>
      <c r="H52" s="101"/>
      <c r="I52" s="102"/>
      <c r="M52" s="6">
        <f>SUM(M53,M129,M353,M398)</f>
        <v>2964233.43</v>
      </c>
      <c r="N52" s="6">
        <f>SUM(N53,N129,N353,N398)</f>
        <v>11062288.880000001</v>
      </c>
      <c r="O52" s="6">
        <f>SUM(O53,O129,O353,O398)</f>
        <v>14026522.310000001</v>
      </c>
      <c r="S52" s="6">
        <f>SUM(S53,S129,S353,S398)</f>
        <v>3738329.8700000006</v>
      </c>
      <c r="T52" s="6">
        <f>SUM(T53,T129,T353,T398)</f>
        <v>10933878.319999998</v>
      </c>
      <c r="U52" s="6">
        <f>SUM(U53,U129,U353,U398)</f>
        <v>14672208.189999999</v>
      </c>
    </row>
    <row r="53" spans="1:21" ht="17" customHeight="1" x14ac:dyDescent="0.35">
      <c r="A53" s="10" t="s">
        <v>234</v>
      </c>
      <c r="B53" s="10" t="s">
        <v>235</v>
      </c>
      <c r="C53" s="100" t="s">
        <v>236</v>
      </c>
      <c r="D53" s="101"/>
      <c r="E53" s="101"/>
      <c r="F53" s="101"/>
      <c r="G53" s="101"/>
      <c r="H53" s="101"/>
      <c r="I53" s="102"/>
      <c r="M53" s="6">
        <f>SUM(M54,M84,M93)</f>
        <v>1585950.67</v>
      </c>
      <c r="N53" s="6">
        <f>SUM(N54,N84,N93)</f>
        <v>1034414.02</v>
      </c>
      <c r="O53" s="6">
        <f>SUM(O54,O84,O93)</f>
        <v>2620364.69</v>
      </c>
      <c r="S53" s="6">
        <f>SUM(S54,S84,S93)</f>
        <v>1709729.4700000002</v>
      </c>
      <c r="T53" s="6">
        <f>SUM(T54,T84,T93)</f>
        <v>906003.46</v>
      </c>
      <c r="U53" s="6">
        <f>SUM(U54,U84,U93)</f>
        <v>2615732.9299999997</v>
      </c>
    </row>
    <row r="54" spans="1:21" ht="17" customHeight="1" x14ac:dyDescent="0.35">
      <c r="A54" s="10" t="s">
        <v>237</v>
      </c>
      <c r="B54" s="10" t="s">
        <v>238</v>
      </c>
      <c r="C54" s="100" t="s">
        <v>239</v>
      </c>
      <c r="D54" s="101"/>
      <c r="E54" s="101"/>
      <c r="F54" s="101"/>
      <c r="G54" s="101"/>
      <c r="H54" s="101"/>
      <c r="I54" s="102"/>
      <c r="M54" s="6">
        <f>SUM(M55,M58,M60,M62,M67,M71,M76,M80)</f>
        <v>151613.63</v>
      </c>
      <c r="N54" s="6">
        <f>SUM(N55,N58,N60,N62,N67,N71,N76,N80)</f>
        <v>496699.18</v>
      </c>
      <c r="O54" s="6">
        <f>SUM(O55,O58,O60,O62,O67,O71,O76,O80)</f>
        <v>648312.81000000006</v>
      </c>
      <c r="S54" s="6">
        <f>SUM(S55,S58,S60,S62,S67,S71,S76,S80)</f>
        <v>160174.34</v>
      </c>
      <c r="T54" s="6">
        <f>SUM(T55,T58,T60,T62,T67,T71,T76,T80)</f>
        <v>496699.18</v>
      </c>
      <c r="U54" s="6">
        <f>SUM(U55,U58,U60,U62,U67,U71,U76,U80)</f>
        <v>656873.52</v>
      </c>
    </row>
    <row r="55" spans="1:21" ht="90" x14ac:dyDescent="0.35">
      <c r="A55" s="10" t="s">
        <v>240</v>
      </c>
      <c r="B55" s="10" t="s">
        <v>241</v>
      </c>
      <c r="C55" s="14" t="s">
        <v>242</v>
      </c>
      <c r="D55" s="15" t="s">
        <v>243</v>
      </c>
      <c r="E55" s="15" t="s">
        <v>244</v>
      </c>
      <c r="F55" s="15" t="s">
        <v>56</v>
      </c>
      <c r="G55" s="16">
        <v>1</v>
      </c>
      <c r="H55" s="16"/>
      <c r="I55" s="16">
        <v>0</v>
      </c>
      <c r="J55" s="17">
        <f>IFERROR(ROUND(SUM(M56,M57)/I55, 2),0)</f>
        <v>0</v>
      </c>
      <c r="K55" s="18">
        <v>400</v>
      </c>
      <c r="L55" s="17">
        <f>J55+ROUND(K55, 2)</f>
        <v>400</v>
      </c>
      <c r="M55" s="17">
        <f>ROUND(J55*I55, 2)</f>
        <v>0</v>
      </c>
      <c r="N55" s="17">
        <f>ROUND(I55*ROUND(K55, 2), 2)</f>
        <v>0</v>
      </c>
      <c r="O55" s="17">
        <f>M55+N55</f>
        <v>0</v>
      </c>
      <c r="P55" s="17">
        <f>IFERROR(ROUND(SUM(S56,S57)/I55, 2),0)</f>
        <v>0</v>
      </c>
      <c r="Q55" s="18">
        <v>388</v>
      </c>
      <c r="R55" s="17">
        <f>P55+ROUND(Q55, 2)</f>
        <v>388</v>
      </c>
      <c r="S55" s="17">
        <f>ROUND(P55*I55, 2)</f>
        <v>0</v>
      </c>
      <c r="T55" s="17">
        <f>ROUND(I55*ROUND(Q55, 2), 2)</f>
        <v>0</v>
      </c>
      <c r="U55" s="17">
        <f>S55+T55</f>
        <v>0</v>
      </c>
    </row>
    <row r="56" spans="1:21" ht="36" x14ac:dyDescent="0.35">
      <c r="A56" s="10" t="s">
        <v>249</v>
      </c>
      <c r="B56" s="10"/>
      <c r="C56" s="37" t="s">
        <v>250</v>
      </c>
      <c r="D56" s="15"/>
      <c r="E56" s="15" t="s">
        <v>251</v>
      </c>
      <c r="F56" s="25" t="s">
        <v>81</v>
      </c>
      <c r="G56" s="26">
        <v>1.6</v>
      </c>
      <c r="H56" s="27"/>
      <c r="I56" s="27">
        <v>0</v>
      </c>
      <c r="J56" s="28">
        <v>9.67</v>
      </c>
      <c r="M56" s="29">
        <f>ROUND(ROUND(J56, 2)*I56, 2)</f>
        <v>0</v>
      </c>
      <c r="P56" s="28">
        <v>9.67</v>
      </c>
      <c r="S56" s="29">
        <f>ROUND(ROUND(P56, 2)*I56, 2)</f>
        <v>0</v>
      </c>
    </row>
    <row r="57" spans="1:21" ht="36" x14ac:dyDescent="0.35">
      <c r="A57" s="10" t="s">
        <v>257</v>
      </c>
      <c r="B57" s="10"/>
      <c r="C57" s="24" t="s">
        <v>258</v>
      </c>
      <c r="D57" s="15"/>
      <c r="E57" s="15"/>
      <c r="F57" s="25" t="s">
        <v>81</v>
      </c>
      <c r="G57" s="26">
        <v>0.255</v>
      </c>
      <c r="H57" s="27"/>
      <c r="I57" s="27">
        <v>0</v>
      </c>
      <c r="J57" s="28">
        <v>88.8</v>
      </c>
      <c r="M57" s="29">
        <f>ROUND(ROUND(J57, 2)*I57, 2)</f>
        <v>0</v>
      </c>
      <c r="P57" s="28">
        <v>88.8</v>
      </c>
      <c r="S57" s="29">
        <f>ROUND(ROUND(P57, 2)*I57, 2)</f>
        <v>0</v>
      </c>
    </row>
    <row r="58" spans="1:21" ht="36" x14ac:dyDescent="0.35">
      <c r="A58" s="10" t="s">
        <v>264</v>
      </c>
      <c r="B58" s="10" t="s">
        <v>265</v>
      </c>
      <c r="C58" s="14" t="s">
        <v>266</v>
      </c>
      <c r="D58" s="15"/>
      <c r="E58" s="15" t="s">
        <v>267</v>
      </c>
      <c r="F58" s="15" t="s">
        <v>56</v>
      </c>
      <c r="G58" s="16">
        <v>1</v>
      </c>
      <c r="H58" s="16"/>
      <c r="I58" s="16">
        <v>0</v>
      </c>
      <c r="J58" s="17">
        <f>IFERROR(ROUND(SUM(M59)/I58, 2),0)</f>
        <v>0</v>
      </c>
      <c r="K58" s="18">
        <v>40</v>
      </c>
      <c r="L58" s="17">
        <f>J58+ROUND(K58, 2)</f>
        <v>40</v>
      </c>
      <c r="M58" s="17">
        <f>ROUND(J58*I58, 2)</f>
        <v>0</v>
      </c>
      <c r="N58" s="17">
        <f>ROUND(I58*ROUND(K58, 2), 2)</f>
        <v>0</v>
      </c>
      <c r="O58" s="17">
        <f>M58+N58</f>
        <v>0</v>
      </c>
      <c r="P58" s="17">
        <f>IFERROR(ROUND(SUM(S59)/I58, 2),0)</f>
        <v>0</v>
      </c>
      <c r="Q58" s="18">
        <v>40</v>
      </c>
      <c r="R58" s="17">
        <f>P58+ROUND(Q58, 2)</f>
        <v>40</v>
      </c>
      <c r="S58" s="17">
        <f>ROUND(P58*I58, 2)</f>
        <v>0</v>
      </c>
      <c r="T58" s="17">
        <f>ROUND(I58*ROUND(Q58, 2), 2)</f>
        <v>0</v>
      </c>
      <c r="U58" s="17">
        <f>S58+T58</f>
        <v>0</v>
      </c>
    </row>
    <row r="59" spans="1:21" ht="18" x14ac:dyDescent="0.35">
      <c r="A59" s="10" t="s">
        <v>271</v>
      </c>
      <c r="B59" s="10"/>
      <c r="C59" s="24" t="s">
        <v>272</v>
      </c>
      <c r="D59" s="15"/>
      <c r="E59" s="15"/>
      <c r="F59" s="25" t="s">
        <v>56</v>
      </c>
      <c r="G59" s="26">
        <v>1.1000000000000001</v>
      </c>
      <c r="H59" s="26"/>
      <c r="I59" s="26">
        <v>0</v>
      </c>
      <c r="J59" s="28">
        <v>46.76</v>
      </c>
      <c r="M59" s="29">
        <f>ROUND(ROUND(J59, 2)*I59, 2)</f>
        <v>0</v>
      </c>
      <c r="P59" s="28">
        <v>46.76</v>
      </c>
      <c r="S59" s="29">
        <f>ROUND(ROUND(P59, 2)*I59, 2)</f>
        <v>0</v>
      </c>
    </row>
    <row r="60" spans="1:21" ht="36" x14ac:dyDescent="0.35">
      <c r="A60" s="10" t="s">
        <v>278</v>
      </c>
      <c r="B60" s="10" t="s">
        <v>265</v>
      </c>
      <c r="C60" s="14" t="s">
        <v>266</v>
      </c>
      <c r="D60" s="15"/>
      <c r="E60" s="15" t="s">
        <v>279</v>
      </c>
      <c r="F60" s="15" t="s">
        <v>56</v>
      </c>
      <c r="G60" s="16">
        <v>1</v>
      </c>
      <c r="H60" s="16"/>
      <c r="I60" s="16">
        <v>0</v>
      </c>
      <c r="J60" s="17">
        <f>IFERROR(ROUND(SUM(M61)/I60, 2),0)</f>
        <v>0</v>
      </c>
      <c r="K60" s="18">
        <v>40</v>
      </c>
      <c r="L60" s="17">
        <f>J60+ROUND(K60, 2)</f>
        <v>40</v>
      </c>
      <c r="M60" s="17">
        <f>ROUND(J60*I60, 2)</f>
        <v>0</v>
      </c>
      <c r="N60" s="17">
        <f>ROUND(I60*ROUND(K60, 2), 2)</f>
        <v>0</v>
      </c>
      <c r="O60" s="17">
        <f>M60+N60</f>
        <v>0</v>
      </c>
      <c r="P60" s="17">
        <f>IFERROR(ROUND(SUM(S61)/I60, 2),0)</f>
        <v>0</v>
      </c>
      <c r="Q60" s="18">
        <v>40</v>
      </c>
      <c r="R60" s="17">
        <f>P60+ROUND(Q60, 2)</f>
        <v>40</v>
      </c>
      <c r="S60" s="17">
        <f>ROUND(P60*I60, 2)</f>
        <v>0</v>
      </c>
      <c r="T60" s="17">
        <f>ROUND(I60*ROUND(Q60, 2), 2)</f>
        <v>0</v>
      </c>
      <c r="U60" s="17">
        <f>S60+T60</f>
        <v>0</v>
      </c>
    </row>
    <row r="61" spans="1:21" ht="18" x14ac:dyDescent="0.35">
      <c r="A61" s="10" t="s">
        <v>281</v>
      </c>
      <c r="B61" s="10"/>
      <c r="C61" s="24" t="s">
        <v>272</v>
      </c>
      <c r="D61" s="15"/>
      <c r="E61" s="15"/>
      <c r="F61" s="25" t="s">
        <v>56</v>
      </c>
      <c r="G61" s="26">
        <v>1.1000000000000001</v>
      </c>
      <c r="H61" s="26"/>
      <c r="I61" s="26">
        <v>0</v>
      </c>
      <c r="J61" s="28">
        <v>46.76</v>
      </c>
      <c r="M61" s="29">
        <f>ROUND(ROUND(J61, 2)*I61, 2)</f>
        <v>0</v>
      </c>
      <c r="P61" s="28">
        <v>46.76</v>
      </c>
      <c r="S61" s="29">
        <f>ROUND(ROUND(P61, 2)*I61, 2)</f>
        <v>0</v>
      </c>
    </row>
    <row r="62" spans="1:21" ht="36" x14ac:dyDescent="0.35">
      <c r="A62" s="10" t="s">
        <v>286</v>
      </c>
      <c r="B62" s="10" t="s">
        <v>287</v>
      </c>
      <c r="C62" s="14" t="s">
        <v>288</v>
      </c>
      <c r="D62" s="15"/>
      <c r="E62" s="15" t="s">
        <v>289</v>
      </c>
      <c r="F62" s="15" t="s">
        <v>56</v>
      </c>
      <c r="G62" s="16">
        <v>1</v>
      </c>
      <c r="H62" s="16"/>
      <c r="I62" s="16">
        <v>0</v>
      </c>
      <c r="J62" s="17">
        <f>IFERROR(ROUND(SUM(M63,M64,M65,M66)/I62, 2),0)</f>
        <v>0</v>
      </c>
      <c r="K62" s="18">
        <v>941</v>
      </c>
      <c r="L62" s="17">
        <f>J62+ROUND(K62, 2)</f>
        <v>941</v>
      </c>
      <c r="M62" s="17">
        <f>ROUND(J62*I62, 2)</f>
        <v>0</v>
      </c>
      <c r="N62" s="17">
        <f>ROUND(I62*ROUND(K62, 2), 2)</f>
        <v>0</v>
      </c>
      <c r="O62" s="17">
        <f>M62+N62</f>
        <v>0</v>
      </c>
      <c r="P62" s="17">
        <f>IFERROR(ROUND(SUM(S63,S64,S65,S66)/I62, 2),0)</f>
        <v>0</v>
      </c>
      <c r="Q62" s="18">
        <v>855</v>
      </c>
      <c r="R62" s="17">
        <f>P62+ROUND(Q62, 2)</f>
        <v>855</v>
      </c>
      <c r="S62" s="17">
        <f>ROUND(P62*I62, 2)</f>
        <v>0</v>
      </c>
      <c r="T62" s="17">
        <f>ROUND(I62*ROUND(Q62, 2), 2)</f>
        <v>0</v>
      </c>
      <c r="U62" s="17">
        <f>S62+T62</f>
        <v>0</v>
      </c>
    </row>
    <row r="63" spans="1:21" ht="18" x14ac:dyDescent="0.35">
      <c r="A63" s="10" t="s">
        <v>293</v>
      </c>
      <c r="B63" s="10"/>
      <c r="C63" s="24" t="s">
        <v>294</v>
      </c>
      <c r="D63" s="15"/>
      <c r="E63" s="15" t="s">
        <v>295</v>
      </c>
      <c r="F63" s="25" t="s">
        <v>81</v>
      </c>
      <c r="G63" s="26">
        <v>1.8</v>
      </c>
      <c r="H63" s="27"/>
      <c r="I63" s="27">
        <v>0</v>
      </c>
      <c r="J63" s="28">
        <v>6.17</v>
      </c>
      <c r="M63" s="29">
        <f>ROUND(ROUND(J63, 2)*I63, 2)</f>
        <v>0</v>
      </c>
      <c r="P63" s="28">
        <v>6.17</v>
      </c>
      <c r="S63" s="29">
        <f>ROUND(ROUND(P63, 2)*I63, 2)</f>
        <v>0</v>
      </c>
    </row>
    <row r="64" spans="1:21" ht="18" x14ac:dyDescent="0.35">
      <c r="A64" s="10" t="s">
        <v>301</v>
      </c>
      <c r="B64" s="10"/>
      <c r="C64" s="24" t="s">
        <v>302</v>
      </c>
      <c r="D64" s="15"/>
      <c r="E64" s="15"/>
      <c r="F64" s="25" t="s">
        <v>56</v>
      </c>
      <c r="G64" s="26">
        <v>1.1000000000000001</v>
      </c>
      <c r="H64" s="27"/>
      <c r="I64" s="27">
        <v>0</v>
      </c>
      <c r="J64" s="28">
        <v>155.01</v>
      </c>
      <c r="M64" s="29">
        <f>ROUND(ROUND(J64, 2)*I64, 2)</f>
        <v>0</v>
      </c>
      <c r="P64" s="28">
        <v>155.01</v>
      </c>
      <c r="S64" s="29">
        <f>ROUND(ROUND(P64, 2)*I64, 2)</f>
        <v>0</v>
      </c>
    </row>
    <row r="65" spans="1:21" ht="18" x14ac:dyDescent="0.35">
      <c r="A65" s="10" t="s">
        <v>308</v>
      </c>
      <c r="B65" s="10"/>
      <c r="C65" s="24" t="s">
        <v>309</v>
      </c>
      <c r="D65" s="15"/>
      <c r="E65" s="15"/>
      <c r="F65" s="25" t="s">
        <v>129</v>
      </c>
      <c r="G65" s="26">
        <v>1</v>
      </c>
      <c r="H65" s="27"/>
      <c r="I65" s="27">
        <v>0</v>
      </c>
      <c r="J65" s="28">
        <v>10.4</v>
      </c>
      <c r="M65" s="29">
        <f>ROUND(ROUND(J65, 2)*I65, 2)</f>
        <v>0</v>
      </c>
      <c r="P65" s="28">
        <v>10.4</v>
      </c>
      <c r="S65" s="29">
        <f>ROUND(ROUND(P65, 2)*I65, 2)</f>
        <v>0</v>
      </c>
    </row>
    <row r="66" spans="1:21" ht="18" x14ac:dyDescent="0.35">
      <c r="A66" s="10" t="s">
        <v>315</v>
      </c>
      <c r="B66" s="10"/>
      <c r="C66" s="24" t="s">
        <v>316</v>
      </c>
      <c r="D66" s="15"/>
      <c r="E66" s="15"/>
      <c r="F66" s="25" t="s">
        <v>81</v>
      </c>
      <c r="G66" s="26">
        <v>0.255</v>
      </c>
      <c r="H66" s="26"/>
      <c r="I66" s="26">
        <v>0</v>
      </c>
      <c r="J66" s="28">
        <v>100</v>
      </c>
      <c r="M66" s="29">
        <f>ROUND(ROUND(J66, 2)*I66, 2)</f>
        <v>0</v>
      </c>
      <c r="P66" s="28">
        <v>100</v>
      </c>
      <c r="S66" s="29">
        <f>ROUND(ROUND(P66, 2)*I66, 2)</f>
        <v>0</v>
      </c>
    </row>
    <row r="67" spans="1:21" ht="36" x14ac:dyDescent="0.35">
      <c r="A67" s="10" t="s">
        <v>322</v>
      </c>
      <c r="B67" s="10" t="s">
        <v>323</v>
      </c>
      <c r="C67" s="14" t="s">
        <v>324</v>
      </c>
      <c r="D67" s="15"/>
      <c r="E67" s="15" t="s">
        <v>325</v>
      </c>
      <c r="F67" s="15" t="s">
        <v>56</v>
      </c>
      <c r="G67" s="16">
        <v>1</v>
      </c>
      <c r="H67" s="16"/>
      <c r="I67" s="16">
        <v>0</v>
      </c>
      <c r="J67" s="17">
        <f>IFERROR(ROUND(SUM(M68,M69,M70)/I67, 2),0)</f>
        <v>0</v>
      </c>
      <c r="K67" s="18">
        <v>1014</v>
      </c>
      <c r="L67" s="17">
        <f>J67+ROUND(K67, 2)</f>
        <v>1014</v>
      </c>
      <c r="M67" s="17">
        <f>ROUND(J67*I67, 2)</f>
        <v>0</v>
      </c>
      <c r="N67" s="17">
        <f>ROUND(I67*ROUND(K67, 2), 2)</f>
        <v>0</v>
      </c>
      <c r="O67" s="17">
        <f>M67+N67</f>
        <v>0</v>
      </c>
      <c r="P67" s="17">
        <f>IFERROR(ROUND(SUM(S68,S69,S70)/I67, 2),0)</f>
        <v>0</v>
      </c>
      <c r="Q67" s="18">
        <v>922</v>
      </c>
      <c r="R67" s="17">
        <f>P67+ROUND(Q67, 2)</f>
        <v>922</v>
      </c>
      <c r="S67" s="17">
        <f>ROUND(P67*I67, 2)</f>
        <v>0</v>
      </c>
      <c r="T67" s="17">
        <f>ROUND(I67*ROUND(Q67, 2), 2)</f>
        <v>0</v>
      </c>
      <c r="U67" s="17">
        <f>S67+T67</f>
        <v>0</v>
      </c>
    </row>
    <row r="68" spans="1:21" ht="18" x14ac:dyDescent="0.35">
      <c r="A68" s="10" t="s">
        <v>329</v>
      </c>
      <c r="B68" s="10"/>
      <c r="C68" s="24" t="s">
        <v>294</v>
      </c>
      <c r="D68" s="15"/>
      <c r="E68" s="15" t="s">
        <v>330</v>
      </c>
      <c r="F68" s="25" t="s">
        <v>81</v>
      </c>
      <c r="G68" s="26">
        <v>1.8</v>
      </c>
      <c r="H68" s="27"/>
      <c r="I68" s="27">
        <v>0</v>
      </c>
      <c r="J68" s="28">
        <v>6.17</v>
      </c>
      <c r="M68" s="29">
        <f>ROUND(ROUND(J68, 2)*I68, 2)</f>
        <v>0</v>
      </c>
      <c r="P68" s="28">
        <v>6.17</v>
      </c>
      <c r="S68" s="29">
        <f>ROUND(ROUND(P68, 2)*I68, 2)</f>
        <v>0</v>
      </c>
    </row>
    <row r="69" spans="1:21" ht="18" x14ac:dyDescent="0.35">
      <c r="A69" s="10" t="s">
        <v>335</v>
      </c>
      <c r="B69" s="10"/>
      <c r="C69" s="24" t="s">
        <v>302</v>
      </c>
      <c r="D69" s="15"/>
      <c r="E69" s="15"/>
      <c r="F69" s="25" t="s">
        <v>56</v>
      </c>
      <c r="G69" s="26">
        <v>1.1000000000000001</v>
      </c>
      <c r="H69" s="27"/>
      <c r="I69" s="27">
        <v>0</v>
      </c>
      <c r="J69" s="28">
        <v>155.01</v>
      </c>
      <c r="M69" s="29">
        <f>ROUND(ROUND(J69, 2)*I69, 2)</f>
        <v>0</v>
      </c>
      <c r="P69" s="28">
        <v>155.01</v>
      </c>
      <c r="S69" s="29">
        <f>ROUND(ROUND(P69, 2)*I69, 2)</f>
        <v>0</v>
      </c>
    </row>
    <row r="70" spans="1:21" ht="18" x14ac:dyDescent="0.35">
      <c r="A70" s="10" t="s">
        <v>340</v>
      </c>
      <c r="B70" s="10"/>
      <c r="C70" s="24" t="s">
        <v>309</v>
      </c>
      <c r="D70" s="15"/>
      <c r="E70" s="15"/>
      <c r="F70" s="25" t="s">
        <v>129</v>
      </c>
      <c r="G70" s="26">
        <v>1</v>
      </c>
      <c r="H70" s="27"/>
      <c r="I70" s="27">
        <v>0</v>
      </c>
      <c r="J70" s="28">
        <v>10.4</v>
      </c>
      <c r="M70" s="29">
        <f>ROUND(ROUND(J70, 2)*I70, 2)</f>
        <v>0</v>
      </c>
      <c r="P70" s="28">
        <v>10.4</v>
      </c>
      <c r="S70" s="29">
        <f>ROUND(ROUND(P70, 2)*I70, 2)</f>
        <v>0</v>
      </c>
    </row>
    <row r="71" spans="1:21" ht="36" x14ac:dyDescent="0.35">
      <c r="A71" s="10" t="s">
        <v>345</v>
      </c>
      <c r="B71" s="10" t="s">
        <v>323</v>
      </c>
      <c r="C71" s="14" t="s">
        <v>324</v>
      </c>
      <c r="D71" s="15"/>
      <c r="E71" s="15" t="s">
        <v>346</v>
      </c>
      <c r="F71" s="15" t="s">
        <v>56</v>
      </c>
      <c r="G71" s="16">
        <v>1</v>
      </c>
      <c r="H71" s="16"/>
      <c r="I71" s="16">
        <v>0</v>
      </c>
      <c r="J71" s="17">
        <f>IFERROR(ROUND(SUM(M72,M73,M74,M75)/I71, 2),0)</f>
        <v>0</v>
      </c>
      <c r="K71" s="18">
        <v>1014</v>
      </c>
      <c r="L71" s="17">
        <f>J71+ROUND(K71, 2)</f>
        <v>1014</v>
      </c>
      <c r="M71" s="17">
        <f>ROUND(J71*I71, 2)</f>
        <v>0</v>
      </c>
      <c r="N71" s="17">
        <f>ROUND(I71*ROUND(K71, 2), 2)</f>
        <v>0</v>
      </c>
      <c r="O71" s="17">
        <f>M71+N71</f>
        <v>0</v>
      </c>
      <c r="P71" s="17">
        <f>IFERROR(ROUND(SUM(S72,S73,S74,S75)/I71, 2),0)</f>
        <v>0</v>
      </c>
      <c r="Q71" s="18">
        <v>922</v>
      </c>
      <c r="R71" s="17">
        <f>P71+ROUND(Q71, 2)</f>
        <v>922</v>
      </c>
      <c r="S71" s="17">
        <f>ROUND(P71*I71, 2)</f>
        <v>0</v>
      </c>
      <c r="T71" s="17">
        <f>ROUND(I71*ROUND(Q71, 2), 2)</f>
        <v>0</v>
      </c>
      <c r="U71" s="17">
        <f>S71+T71</f>
        <v>0</v>
      </c>
    </row>
    <row r="72" spans="1:21" ht="18" x14ac:dyDescent="0.35">
      <c r="A72" s="10" t="s">
        <v>348</v>
      </c>
      <c r="B72" s="10"/>
      <c r="C72" s="24" t="s">
        <v>316</v>
      </c>
      <c r="D72" s="15"/>
      <c r="E72" s="15"/>
      <c r="F72" s="25" t="s">
        <v>81</v>
      </c>
      <c r="G72" s="26">
        <v>0.255</v>
      </c>
      <c r="H72" s="26"/>
      <c r="I72" s="26">
        <v>0</v>
      </c>
      <c r="J72" s="28">
        <v>100</v>
      </c>
      <c r="M72" s="29">
        <f>ROUND(ROUND(J72, 2)*I72, 2)</f>
        <v>0</v>
      </c>
      <c r="P72" s="28">
        <v>100</v>
      </c>
      <c r="S72" s="29">
        <f>ROUND(ROUND(P72, 2)*I72, 2)</f>
        <v>0</v>
      </c>
    </row>
    <row r="73" spans="1:21" ht="18" x14ac:dyDescent="0.35">
      <c r="A73" s="10" t="s">
        <v>353</v>
      </c>
      <c r="B73" s="10"/>
      <c r="C73" s="24" t="s">
        <v>309</v>
      </c>
      <c r="D73" s="15"/>
      <c r="E73" s="15"/>
      <c r="F73" s="25" t="s">
        <v>129</v>
      </c>
      <c r="G73" s="26">
        <v>1</v>
      </c>
      <c r="H73" s="27"/>
      <c r="I73" s="27">
        <v>0</v>
      </c>
      <c r="J73" s="28">
        <v>10.4</v>
      </c>
      <c r="M73" s="29">
        <f>ROUND(ROUND(J73, 2)*I73, 2)</f>
        <v>0</v>
      </c>
      <c r="P73" s="28">
        <v>10.4</v>
      </c>
      <c r="S73" s="29">
        <f>ROUND(ROUND(P73, 2)*I73, 2)</f>
        <v>0</v>
      </c>
    </row>
    <row r="74" spans="1:21" ht="18" x14ac:dyDescent="0.35">
      <c r="A74" s="10" t="s">
        <v>358</v>
      </c>
      <c r="B74" s="10"/>
      <c r="C74" s="24" t="s">
        <v>302</v>
      </c>
      <c r="D74" s="15"/>
      <c r="E74" s="15"/>
      <c r="F74" s="25" t="s">
        <v>56</v>
      </c>
      <c r="G74" s="26">
        <v>1.1000000000000001</v>
      </c>
      <c r="H74" s="27"/>
      <c r="I74" s="27">
        <v>0</v>
      </c>
      <c r="J74" s="28">
        <v>155.01</v>
      </c>
      <c r="M74" s="29">
        <f>ROUND(ROUND(J74, 2)*I74, 2)</f>
        <v>0</v>
      </c>
      <c r="P74" s="28">
        <v>155.01</v>
      </c>
      <c r="S74" s="29">
        <f>ROUND(ROUND(P74, 2)*I74, 2)</f>
        <v>0</v>
      </c>
    </row>
    <row r="75" spans="1:21" ht="18" x14ac:dyDescent="0.35">
      <c r="A75" s="10" t="s">
        <v>363</v>
      </c>
      <c r="B75" s="10"/>
      <c r="C75" s="24" t="s">
        <v>294</v>
      </c>
      <c r="D75" s="15"/>
      <c r="E75" s="15" t="s">
        <v>364</v>
      </c>
      <c r="F75" s="25" t="s">
        <v>81</v>
      </c>
      <c r="G75" s="26">
        <v>1.8</v>
      </c>
      <c r="H75" s="27"/>
      <c r="I75" s="27">
        <v>0</v>
      </c>
      <c r="J75" s="28">
        <v>6.17</v>
      </c>
      <c r="M75" s="29">
        <f>ROUND(ROUND(J75, 2)*I75, 2)</f>
        <v>0</v>
      </c>
      <c r="P75" s="28">
        <v>6.17</v>
      </c>
      <c r="S75" s="29">
        <f>ROUND(ROUND(P75, 2)*I75, 2)</f>
        <v>0</v>
      </c>
    </row>
    <row r="76" spans="1:21" ht="36" x14ac:dyDescent="0.35">
      <c r="A76" s="10" t="s">
        <v>369</v>
      </c>
      <c r="B76" s="10" t="s">
        <v>323</v>
      </c>
      <c r="C76" s="14" t="s">
        <v>324</v>
      </c>
      <c r="D76" s="15"/>
      <c r="E76" s="15" t="s">
        <v>370</v>
      </c>
      <c r="F76" s="15" t="s">
        <v>56</v>
      </c>
      <c r="G76" s="16">
        <v>1</v>
      </c>
      <c r="H76" s="16"/>
      <c r="I76" s="16">
        <v>0</v>
      </c>
      <c r="J76" s="17">
        <f>IFERROR(ROUND(SUM(M77,M78,M79)/I76, 2),0)</f>
        <v>0</v>
      </c>
      <c r="K76" s="18">
        <v>1014</v>
      </c>
      <c r="L76" s="17">
        <f>J76+ROUND(K76, 2)</f>
        <v>1014</v>
      </c>
      <c r="M76" s="17">
        <f>ROUND(J76*I76, 2)</f>
        <v>0</v>
      </c>
      <c r="N76" s="17">
        <f>ROUND(I76*ROUND(K76, 2), 2)</f>
        <v>0</v>
      </c>
      <c r="O76" s="17">
        <f>M76+N76</f>
        <v>0</v>
      </c>
      <c r="P76" s="17">
        <f>IFERROR(ROUND(SUM(S77,S78,S79)/I76, 2),0)</f>
        <v>0</v>
      </c>
      <c r="Q76" s="18">
        <v>922</v>
      </c>
      <c r="R76" s="17">
        <f>P76+ROUND(Q76, 2)</f>
        <v>922</v>
      </c>
      <c r="S76" s="17">
        <f>ROUND(P76*I76, 2)</f>
        <v>0</v>
      </c>
      <c r="T76" s="17">
        <f>ROUND(I76*ROUND(Q76, 2), 2)</f>
        <v>0</v>
      </c>
      <c r="U76" s="17">
        <f>S76+T76</f>
        <v>0</v>
      </c>
    </row>
    <row r="77" spans="1:21" ht="18" x14ac:dyDescent="0.35">
      <c r="A77" s="10" t="s">
        <v>372</v>
      </c>
      <c r="B77" s="10"/>
      <c r="C77" s="24" t="s">
        <v>309</v>
      </c>
      <c r="D77" s="15"/>
      <c r="E77" s="15"/>
      <c r="F77" s="25" t="s">
        <v>129</v>
      </c>
      <c r="G77" s="26">
        <v>1</v>
      </c>
      <c r="H77" s="27"/>
      <c r="I77" s="27">
        <v>0</v>
      </c>
      <c r="J77" s="28">
        <v>10.4</v>
      </c>
      <c r="M77" s="29">
        <f>ROUND(ROUND(J77, 2)*I77, 2)</f>
        <v>0</v>
      </c>
      <c r="P77" s="28">
        <v>10.4</v>
      </c>
      <c r="S77" s="29">
        <f>ROUND(ROUND(P77, 2)*I77, 2)</f>
        <v>0</v>
      </c>
    </row>
    <row r="78" spans="1:21" ht="18" x14ac:dyDescent="0.35">
      <c r="A78" s="10" t="s">
        <v>377</v>
      </c>
      <c r="B78" s="10"/>
      <c r="C78" s="24" t="s">
        <v>302</v>
      </c>
      <c r="D78" s="15"/>
      <c r="E78" s="15"/>
      <c r="F78" s="25" t="s">
        <v>56</v>
      </c>
      <c r="G78" s="26">
        <v>1.1000000000000001</v>
      </c>
      <c r="H78" s="27"/>
      <c r="I78" s="27">
        <v>0</v>
      </c>
      <c r="J78" s="28">
        <v>155.01</v>
      </c>
      <c r="M78" s="29">
        <f>ROUND(ROUND(J78, 2)*I78, 2)</f>
        <v>0</v>
      </c>
      <c r="P78" s="28">
        <v>155.01</v>
      </c>
      <c r="S78" s="29">
        <f>ROUND(ROUND(P78, 2)*I78, 2)</f>
        <v>0</v>
      </c>
    </row>
    <row r="79" spans="1:21" ht="18" x14ac:dyDescent="0.35">
      <c r="A79" s="10" t="s">
        <v>382</v>
      </c>
      <c r="B79" s="10"/>
      <c r="C79" s="24" t="s">
        <v>383</v>
      </c>
      <c r="D79" s="15"/>
      <c r="E79" s="15" t="s">
        <v>384</v>
      </c>
      <c r="F79" s="25" t="s">
        <v>81</v>
      </c>
      <c r="G79" s="26">
        <v>1.8</v>
      </c>
      <c r="H79" s="27"/>
      <c r="I79" s="27">
        <v>0</v>
      </c>
      <c r="J79" s="28">
        <v>7.41</v>
      </c>
      <c r="M79" s="29">
        <f>ROUND(ROUND(J79, 2)*I79, 2)</f>
        <v>0</v>
      </c>
      <c r="P79" s="28">
        <v>7.41</v>
      </c>
      <c r="S79" s="29">
        <f>ROUND(ROUND(P79, 2)*I79, 2)</f>
        <v>0</v>
      </c>
    </row>
    <row r="80" spans="1:21" ht="36" x14ac:dyDescent="0.35">
      <c r="A80" s="10" t="s">
        <v>390</v>
      </c>
      <c r="B80" s="10" t="s">
        <v>391</v>
      </c>
      <c r="C80" s="14" t="s">
        <v>392</v>
      </c>
      <c r="D80" s="15"/>
      <c r="E80" s="15" t="s">
        <v>393</v>
      </c>
      <c r="F80" s="15" t="s">
        <v>56</v>
      </c>
      <c r="G80" s="16">
        <v>1</v>
      </c>
      <c r="H80" s="16"/>
      <c r="I80" s="16">
        <v>891.74</v>
      </c>
      <c r="J80" s="17">
        <f>IFERROR(ROUND(SUM(M81,M82,M83)/I80, 2),0)</f>
        <v>170.02</v>
      </c>
      <c r="K80" s="18">
        <v>557</v>
      </c>
      <c r="L80" s="17">
        <f>J80+ROUND(K80, 2)</f>
        <v>727.02</v>
      </c>
      <c r="M80" s="17">
        <f>ROUND(J80*I80, 2)</f>
        <v>151613.63</v>
      </c>
      <c r="N80" s="17">
        <f>ROUND(I80*ROUND(K80, 2), 2)</f>
        <v>496699.18</v>
      </c>
      <c r="O80" s="17">
        <f>M80+N80</f>
        <v>648312.81000000006</v>
      </c>
      <c r="P80" s="17">
        <f>IFERROR(ROUND(SUM(S81,S82,S83)/I80, 2),0)</f>
        <v>179.62</v>
      </c>
      <c r="Q80" s="19">
        <v>557</v>
      </c>
      <c r="R80" s="17">
        <f>P80+ROUND(Q80, 2)</f>
        <v>736.62</v>
      </c>
      <c r="S80" s="17">
        <f>ROUND(P80*I80, 2)</f>
        <v>160174.34</v>
      </c>
      <c r="T80" s="17">
        <f>ROUND(I80*ROUND(Q80, 2), 2)</f>
        <v>496699.18</v>
      </c>
      <c r="U80" s="17">
        <f>S80+T80</f>
        <v>656873.52</v>
      </c>
    </row>
    <row r="81" spans="1:21" ht="18" x14ac:dyDescent="0.35">
      <c r="A81" s="10" t="s">
        <v>396</v>
      </c>
      <c r="B81" s="10"/>
      <c r="C81" s="24" t="s">
        <v>309</v>
      </c>
      <c r="D81" s="15"/>
      <c r="E81" s="15"/>
      <c r="F81" s="25" t="s">
        <v>129</v>
      </c>
      <c r="G81" s="26">
        <v>1</v>
      </c>
      <c r="H81" s="27"/>
      <c r="I81" s="27">
        <v>193.81</v>
      </c>
      <c r="J81" s="28">
        <v>10.4</v>
      </c>
      <c r="M81" s="29">
        <f>ROUND(ROUND(J81, 2)*I81, 2)</f>
        <v>2015.62</v>
      </c>
      <c r="P81" s="30">
        <v>10.4</v>
      </c>
      <c r="S81" s="29">
        <f>ROUND(ROUND(P81, 2)*I81, 2)</f>
        <v>2015.62</v>
      </c>
    </row>
    <row r="82" spans="1:21" ht="36" x14ac:dyDescent="0.35">
      <c r="A82" s="10" t="s">
        <v>399</v>
      </c>
      <c r="B82" s="10"/>
      <c r="C82" s="24" t="s">
        <v>258</v>
      </c>
      <c r="D82" s="15"/>
      <c r="E82" s="15"/>
      <c r="F82" s="25" t="s">
        <v>81</v>
      </c>
      <c r="G82" s="26">
        <v>0.255</v>
      </c>
      <c r="H82" s="26"/>
      <c r="I82" s="26">
        <v>227.39400000000001</v>
      </c>
      <c r="J82" s="28">
        <v>88.8</v>
      </c>
      <c r="M82" s="29">
        <f>ROUND(ROUND(J82, 2)*I82, 2)</f>
        <v>20192.59</v>
      </c>
      <c r="P82" s="30">
        <v>88.8</v>
      </c>
      <c r="S82" s="29">
        <f>ROUND(ROUND(P82, 2)*I82, 2)</f>
        <v>20192.59</v>
      </c>
    </row>
    <row r="83" spans="1:21" ht="36" x14ac:dyDescent="0.35">
      <c r="A83" s="10" t="s">
        <v>402</v>
      </c>
      <c r="B83" s="10"/>
      <c r="C83" s="37" t="s">
        <v>250</v>
      </c>
      <c r="D83" s="15"/>
      <c r="E83" s="15"/>
      <c r="F83" s="25" t="s">
        <v>81</v>
      </c>
      <c r="G83" s="26">
        <v>1.6</v>
      </c>
      <c r="H83" s="27"/>
      <c r="I83" s="27">
        <v>14267.84</v>
      </c>
      <c r="J83" s="28">
        <v>9.07</v>
      </c>
      <c r="M83" s="29">
        <f>ROUND(ROUND(J83, 2)*I83, 2)</f>
        <v>129409.31</v>
      </c>
      <c r="P83" s="30">
        <v>9.67</v>
      </c>
      <c r="S83" s="29">
        <f>ROUND(ROUND(P83, 2)*I83, 2)</f>
        <v>137970.01</v>
      </c>
    </row>
    <row r="84" spans="1:21" ht="17" customHeight="1" x14ac:dyDescent="0.35">
      <c r="A84" s="10" t="s">
        <v>406</v>
      </c>
      <c r="B84" s="10" t="s">
        <v>407</v>
      </c>
      <c r="C84" s="100" t="s">
        <v>408</v>
      </c>
      <c r="D84" s="101"/>
      <c r="E84" s="101"/>
      <c r="F84" s="101"/>
      <c r="G84" s="101"/>
      <c r="H84" s="101"/>
      <c r="I84" s="102"/>
      <c r="M84" s="6">
        <f>SUM(M85,M88,M91)</f>
        <v>0</v>
      </c>
      <c r="N84" s="6">
        <f>SUM(N85,N88,N91)</f>
        <v>0</v>
      </c>
      <c r="O84" s="6">
        <f>SUM(O85,O88,O91)</f>
        <v>0</v>
      </c>
      <c r="S84" s="6">
        <f>SUM(S85,S88,S91)</f>
        <v>0</v>
      </c>
      <c r="T84" s="6">
        <f>SUM(T85,T88,T91)</f>
        <v>0</v>
      </c>
      <c r="U84" s="6">
        <f>SUM(U85,U88,U91)</f>
        <v>0</v>
      </c>
    </row>
    <row r="85" spans="1:21" ht="36" x14ac:dyDescent="0.35">
      <c r="A85" s="10" t="s">
        <v>409</v>
      </c>
      <c r="B85" s="10" t="s">
        <v>410</v>
      </c>
      <c r="C85" s="14" t="s">
        <v>411</v>
      </c>
      <c r="D85" s="15"/>
      <c r="E85" s="15" t="s">
        <v>412</v>
      </c>
      <c r="F85" s="15" t="s">
        <v>56</v>
      </c>
      <c r="G85" s="16">
        <v>1</v>
      </c>
      <c r="H85" s="16"/>
      <c r="I85" s="16">
        <v>0</v>
      </c>
      <c r="J85" s="17">
        <f>IFERROR(ROUND(SUM(M86,M87)/I85, 2),0)</f>
        <v>0</v>
      </c>
      <c r="K85" s="18">
        <v>439</v>
      </c>
      <c r="L85" s="17">
        <f>J85+ROUND(K85, 2)</f>
        <v>439</v>
      </c>
      <c r="M85" s="17">
        <f>ROUND(J85*I85, 2)</f>
        <v>0</v>
      </c>
      <c r="N85" s="17">
        <f>ROUND(I85*ROUND(K85, 2), 2)</f>
        <v>0</v>
      </c>
      <c r="O85" s="17">
        <f>M85+N85</f>
        <v>0</v>
      </c>
      <c r="P85" s="17">
        <f>IFERROR(ROUND(SUM(S86,S87)/I85, 2),0)</f>
        <v>0</v>
      </c>
      <c r="Q85" s="18">
        <v>439</v>
      </c>
      <c r="R85" s="17">
        <f>P85+ROUND(Q85, 2)</f>
        <v>439</v>
      </c>
      <c r="S85" s="17">
        <f>ROUND(P85*I85, 2)</f>
        <v>0</v>
      </c>
      <c r="T85" s="17">
        <f>ROUND(I85*ROUND(Q85, 2), 2)</f>
        <v>0</v>
      </c>
      <c r="U85" s="17">
        <f>S85+T85</f>
        <v>0</v>
      </c>
    </row>
    <row r="86" spans="1:21" ht="18" x14ac:dyDescent="0.35">
      <c r="A86" s="10" t="s">
        <v>416</v>
      </c>
      <c r="B86" s="10"/>
      <c r="C86" s="24" t="s">
        <v>417</v>
      </c>
      <c r="D86" s="15"/>
      <c r="E86" s="15"/>
      <c r="F86" s="25" t="s">
        <v>103</v>
      </c>
      <c r="G86" s="26">
        <v>0.1</v>
      </c>
      <c r="H86" s="27"/>
      <c r="I86" s="27">
        <v>0</v>
      </c>
      <c r="J86" s="28">
        <v>600</v>
      </c>
      <c r="M86" s="29">
        <f>ROUND(ROUND(J86, 2)*I86, 2)</f>
        <v>0</v>
      </c>
      <c r="P86" s="28">
        <v>600</v>
      </c>
      <c r="S86" s="29">
        <f>ROUND(ROUND(P86, 2)*I86, 2)</f>
        <v>0</v>
      </c>
    </row>
    <row r="87" spans="1:21" ht="18" x14ac:dyDescent="0.35">
      <c r="A87" s="10" t="s">
        <v>423</v>
      </c>
      <c r="B87" s="10"/>
      <c r="C87" s="37" t="s">
        <v>424</v>
      </c>
      <c r="D87" s="15"/>
      <c r="E87" s="15"/>
      <c r="F87" s="25" t="s">
        <v>425</v>
      </c>
      <c r="G87" s="26">
        <v>1.03</v>
      </c>
      <c r="H87" s="27"/>
      <c r="I87" s="27">
        <v>0</v>
      </c>
      <c r="J87" s="28">
        <v>5213.5</v>
      </c>
      <c r="M87" s="29">
        <f>ROUND(ROUND(J87, 2)*I87, 2)</f>
        <v>0</v>
      </c>
      <c r="P87" s="28">
        <v>5213.5</v>
      </c>
      <c r="S87" s="29">
        <f>ROUND(ROUND(P87, 2)*I87, 2)</f>
        <v>0</v>
      </c>
    </row>
    <row r="88" spans="1:21" ht="36" x14ac:dyDescent="0.35">
      <c r="A88" s="10" t="s">
        <v>431</v>
      </c>
      <c r="B88" s="10" t="s">
        <v>410</v>
      </c>
      <c r="C88" s="14" t="s">
        <v>411</v>
      </c>
      <c r="D88" s="15"/>
      <c r="E88" s="15" t="s">
        <v>432</v>
      </c>
      <c r="F88" s="15" t="s">
        <v>56</v>
      </c>
      <c r="G88" s="16">
        <v>1</v>
      </c>
      <c r="H88" s="16"/>
      <c r="I88" s="16">
        <v>0</v>
      </c>
      <c r="J88" s="17">
        <f>IFERROR(ROUND(SUM(M89,M90)/I88, 2),0)</f>
        <v>0</v>
      </c>
      <c r="K88" s="18">
        <v>439</v>
      </c>
      <c r="L88" s="17">
        <f>J88+ROUND(K88, 2)</f>
        <v>439</v>
      </c>
      <c r="M88" s="17">
        <f>ROUND(J88*I88, 2)</f>
        <v>0</v>
      </c>
      <c r="N88" s="17">
        <f>ROUND(I88*ROUND(K88, 2), 2)</f>
        <v>0</v>
      </c>
      <c r="O88" s="17">
        <f>M88+N88</f>
        <v>0</v>
      </c>
      <c r="P88" s="17">
        <f>IFERROR(ROUND(SUM(S89,S90)/I88, 2),0)</f>
        <v>0</v>
      </c>
      <c r="Q88" s="18">
        <v>439</v>
      </c>
      <c r="R88" s="17">
        <f>P88+ROUND(Q88, 2)</f>
        <v>439</v>
      </c>
      <c r="S88" s="17">
        <f>ROUND(P88*I88, 2)</f>
        <v>0</v>
      </c>
      <c r="T88" s="17">
        <f>ROUND(I88*ROUND(Q88, 2), 2)</f>
        <v>0</v>
      </c>
      <c r="U88" s="17">
        <f>S88+T88</f>
        <v>0</v>
      </c>
    </row>
    <row r="89" spans="1:21" ht="18" x14ac:dyDescent="0.35">
      <c r="A89" s="10" t="s">
        <v>434</v>
      </c>
      <c r="B89" s="10"/>
      <c r="C89" s="37" t="s">
        <v>424</v>
      </c>
      <c r="D89" s="15"/>
      <c r="E89" s="15"/>
      <c r="F89" s="25" t="s">
        <v>425</v>
      </c>
      <c r="G89" s="26">
        <v>1.03</v>
      </c>
      <c r="H89" s="27"/>
      <c r="I89" s="27">
        <v>0</v>
      </c>
      <c r="J89" s="28">
        <v>5213.5</v>
      </c>
      <c r="M89" s="29">
        <f>ROUND(ROUND(J89, 2)*I89, 2)</f>
        <v>0</v>
      </c>
      <c r="P89" s="28">
        <v>5213.5</v>
      </c>
      <c r="S89" s="29">
        <f>ROUND(ROUND(P89, 2)*I89, 2)</f>
        <v>0</v>
      </c>
    </row>
    <row r="90" spans="1:21" ht="18" x14ac:dyDescent="0.35">
      <c r="A90" s="10" t="s">
        <v>439</v>
      </c>
      <c r="B90" s="10"/>
      <c r="C90" s="24" t="s">
        <v>417</v>
      </c>
      <c r="D90" s="15"/>
      <c r="E90" s="15"/>
      <c r="F90" s="25" t="s">
        <v>103</v>
      </c>
      <c r="G90" s="26">
        <v>0.1</v>
      </c>
      <c r="H90" s="27"/>
      <c r="I90" s="27">
        <v>0</v>
      </c>
      <c r="J90" s="28">
        <v>600</v>
      </c>
      <c r="M90" s="29">
        <f>ROUND(ROUND(J90, 2)*I90, 2)</f>
        <v>0</v>
      </c>
      <c r="P90" s="28">
        <v>600</v>
      </c>
      <c r="S90" s="29">
        <f>ROUND(ROUND(P90, 2)*I90, 2)</f>
        <v>0</v>
      </c>
    </row>
    <row r="91" spans="1:21" ht="36" x14ac:dyDescent="0.35">
      <c r="A91" s="10" t="s">
        <v>444</v>
      </c>
      <c r="B91" s="10" t="s">
        <v>445</v>
      </c>
      <c r="C91" s="14" t="s">
        <v>446</v>
      </c>
      <c r="D91" s="15"/>
      <c r="E91" s="15" t="s">
        <v>447</v>
      </c>
      <c r="F91" s="15" t="s">
        <v>56</v>
      </c>
      <c r="G91" s="16">
        <v>1</v>
      </c>
      <c r="H91" s="16"/>
      <c r="I91" s="16">
        <v>0</v>
      </c>
      <c r="J91" s="17">
        <f>IFERROR(ROUND(SUM(M92)/I91, 2),0)</f>
        <v>0</v>
      </c>
      <c r="K91" s="18">
        <v>56</v>
      </c>
      <c r="L91" s="17">
        <f>J91+ROUND(K91, 2)</f>
        <v>56</v>
      </c>
      <c r="M91" s="17">
        <f>ROUND(J91*I91, 2)</f>
        <v>0</v>
      </c>
      <c r="N91" s="17">
        <f>ROUND(I91*ROUND(K91, 2), 2)</f>
        <v>0</v>
      </c>
      <c r="O91" s="17">
        <f>M91+N91</f>
        <v>0</v>
      </c>
      <c r="P91" s="17">
        <f>IFERROR(ROUND(SUM(S92)/I91, 2),0)</f>
        <v>0</v>
      </c>
      <c r="Q91" s="18">
        <v>56</v>
      </c>
      <c r="R91" s="17">
        <f>P91+ROUND(Q91, 2)</f>
        <v>56</v>
      </c>
      <c r="S91" s="17">
        <f>ROUND(P91*I91, 2)</f>
        <v>0</v>
      </c>
      <c r="T91" s="17">
        <f>ROUND(I91*ROUND(Q91, 2), 2)</f>
        <v>0</v>
      </c>
      <c r="U91" s="17">
        <f>S91+T91</f>
        <v>0</v>
      </c>
    </row>
    <row r="92" spans="1:21" ht="54" x14ac:dyDescent="0.35">
      <c r="A92" s="10" t="s">
        <v>451</v>
      </c>
      <c r="B92" s="10"/>
      <c r="C92" s="24" t="s">
        <v>452</v>
      </c>
      <c r="D92" s="15"/>
      <c r="E92" s="15" t="s">
        <v>453</v>
      </c>
      <c r="F92" s="25" t="s">
        <v>56</v>
      </c>
      <c r="G92" s="26">
        <v>1.03</v>
      </c>
      <c r="H92" s="26"/>
      <c r="I92" s="26">
        <v>0</v>
      </c>
      <c r="J92" s="28">
        <v>54</v>
      </c>
      <c r="M92" s="29">
        <f>ROUND(ROUND(J92, 2)*I92, 2)</f>
        <v>0</v>
      </c>
      <c r="P92" s="28">
        <v>54</v>
      </c>
      <c r="S92" s="29">
        <f>ROUND(ROUND(P92, 2)*I92, 2)</f>
        <v>0</v>
      </c>
    </row>
    <row r="93" spans="1:21" ht="17" customHeight="1" x14ac:dyDescent="0.35">
      <c r="A93" s="10" t="s">
        <v>459</v>
      </c>
      <c r="B93" s="10" t="s">
        <v>460</v>
      </c>
      <c r="C93" s="100" t="s">
        <v>461</v>
      </c>
      <c r="D93" s="101"/>
      <c r="E93" s="101"/>
      <c r="F93" s="101"/>
      <c r="G93" s="101"/>
      <c r="H93" s="101"/>
      <c r="I93" s="102"/>
      <c r="M93" s="6">
        <f>SUM(M94,M99,M104,M109,M113,M116,M121,M126)</f>
        <v>1434337.04</v>
      </c>
      <c r="N93" s="6">
        <f>SUM(N94,N99,N104,N109,N113,N116,N121,N126)</f>
        <v>537714.84</v>
      </c>
      <c r="O93" s="6">
        <f>SUM(O94,O99,O104,O109,O113,O116,O121,O126)</f>
        <v>1972051.88</v>
      </c>
      <c r="S93" s="6">
        <f>SUM(S94,S99,S104,S109,S113,S116,S121,S126)</f>
        <v>1549555.1300000001</v>
      </c>
      <c r="T93" s="6">
        <f>SUM(T94,T99,T104,T109,T113,T116,T121,T126)</f>
        <v>409304.28</v>
      </c>
      <c r="U93" s="6">
        <f>SUM(U94,U99,U104,U109,U113,U116,U121,U126)</f>
        <v>1958859.41</v>
      </c>
    </row>
    <row r="94" spans="1:21" ht="54" x14ac:dyDescent="0.35">
      <c r="A94" s="10" t="s">
        <v>462</v>
      </c>
      <c r="B94" s="10" t="s">
        <v>463</v>
      </c>
      <c r="C94" s="14" t="s">
        <v>464</v>
      </c>
      <c r="D94" s="15"/>
      <c r="E94" s="15" t="s">
        <v>465</v>
      </c>
      <c r="F94" s="15" t="s">
        <v>56</v>
      </c>
      <c r="G94" s="16">
        <v>1</v>
      </c>
      <c r="H94" s="16"/>
      <c r="I94" s="16">
        <v>0</v>
      </c>
      <c r="J94" s="17">
        <f>IFERROR(ROUND(SUM(M95,M96,M97,M98)/I94, 2),0)</f>
        <v>0</v>
      </c>
      <c r="K94" s="18">
        <v>1439</v>
      </c>
      <c r="L94" s="17">
        <f>J94+ROUND(K94, 2)</f>
        <v>1439</v>
      </c>
      <c r="M94" s="17">
        <f>ROUND(J94*I94, 2)</f>
        <v>0</v>
      </c>
      <c r="N94" s="17">
        <f>ROUND(I94*ROUND(K94, 2), 2)</f>
        <v>0</v>
      </c>
      <c r="O94" s="17">
        <f>M94+N94</f>
        <v>0</v>
      </c>
      <c r="P94" s="17">
        <f>IFERROR(ROUND(SUM(S95,S96,S97,S98)/I94, 2),0)</f>
        <v>0</v>
      </c>
      <c r="Q94" s="18">
        <v>1251</v>
      </c>
      <c r="R94" s="17">
        <f>P94+ROUND(Q94, 2)</f>
        <v>1251</v>
      </c>
      <c r="S94" s="17">
        <f>ROUND(P94*I94, 2)</f>
        <v>0</v>
      </c>
      <c r="T94" s="17">
        <f>ROUND(I94*ROUND(Q94, 2), 2)</f>
        <v>0</v>
      </c>
      <c r="U94" s="17">
        <f>S94+T94</f>
        <v>0</v>
      </c>
    </row>
    <row r="95" spans="1:21" ht="36" x14ac:dyDescent="0.35">
      <c r="A95" s="10" t="s">
        <v>469</v>
      </c>
      <c r="B95" s="10"/>
      <c r="C95" s="37" t="s">
        <v>470</v>
      </c>
      <c r="D95" s="15"/>
      <c r="E95" s="15" t="s">
        <v>471</v>
      </c>
      <c r="F95" s="25" t="s">
        <v>81</v>
      </c>
      <c r="G95" s="26">
        <v>1.2</v>
      </c>
      <c r="H95" s="27"/>
      <c r="I95" s="27">
        <v>0</v>
      </c>
      <c r="J95" s="28">
        <v>6.28</v>
      </c>
      <c r="M95" s="29">
        <f>ROUND(ROUND(J95, 2)*I95, 2)</f>
        <v>0</v>
      </c>
      <c r="P95" s="28">
        <v>6.28</v>
      </c>
      <c r="S95" s="29">
        <f>ROUND(ROUND(P95, 2)*I95, 2)</f>
        <v>0</v>
      </c>
    </row>
    <row r="96" spans="1:21" ht="72" x14ac:dyDescent="0.35">
      <c r="A96" s="10" t="s">
        <v>477</v>
      </c>
      <c r="B96" s="10"/>
      <c r="C96" s="37" t="s">
        <v>478</v>
      </c>
      <c r="D96" s="15"/>
      <c r="E96" s="15" t="s">
        <v>479</v>
      </c>
      <c r="F96" s="25" t="s">
        <v>56</v>
      </c>
      <c r="G96" s="26">
        <v>1.07</v>
      </c>
      <c r="H96" s="27"/>
      <c r="I96" s="27">
        <v>0</v>
      </c>
      <c r="J96" s="28">
        <v>504</v>
      </c>
      <c r="M96" s="29">
        <f>ROUND(ROUND(J96, 2)*I96, 2)</f>
        <v>0</v>
      </c>
      <c r="P96" s="28">
        <v>1083.5999999999999</v>
      </c>
      <c r="S96" s="29">
        <f>ROUND(ROUND(P96, 2)*I96, 2)</f>
        <v>0</v>
      </c>
    </row>
    <row r="97" spans="1:21" ht="18" x14ac:dyDescent="0.35">
      <c r="A97" s="10" t="s">
        <v>485</v>
      </c>
      <c r="B97" s="10"/>
      <c r="C97" s="24" t="s">
        <v>486</v>
      </c>
      <c r="D97" s="15"/>
      <c r="E97" s="15"/>
      <c r="F97" s="25" t="s">
        <v>81</v>
      </c>
      <c r="G97" s="26">
        <v>0.25</v>
      </c>
      <c r="H97" s="27"/>
      <c r="I97" s="27">
        <v>0</v>
      </c>
      <c r="J97" s="28">
        <v>40.270000000000003</v>
      </c>
      <c r="M97" s="29">
        <f>ROUND(ROUND(J97, 2)*I97, 2)</f>
        <v>0</v>
      </c>
      <c r="P97" s="28">
        <v>40.270000000000003</v>
      </c>
      <c r="S97" s="29">
        <f>ROUND(ROUND(P97, 2)*I97, 2)</f>
        <v>0</v>
      </c>
    </row>
    <row r="98" spans="1:21" ht="36" x14ac:dyDescent="0.35">
      <c r="A98" s="10" t="s">
        <v>492</v>
      </c>
      <c r="B98" s="10"/>
      <c r="C98" s="24" t="s">
        <v>493</v>
      </c>
      <c r="D98" s="15"/>
      <c r="E98" s="15"/>
      <c r="F98" s="25" t="s">
        <v>81</v>
      </c>
      <c r="G98" s="26">
        <v>0.15</v>
      </c>
      <c r="H98" s="26"/>
      <c r="I98" s="26">
        <v>0</v>
      </c>
      <c r="J98" s="28">
        <v>88.8</v>
      </c>
      <c r="M98" s="29">
        <f>ROUND(ROUND(J98, 2)*I98, 2)</f>
        <v>0</v>
      </c>
      <c r="P98" s="28">
        <v>88.8</v>
      </c>
      <c r="S98" s="29">
        <f>ROUND(ROUND(P98, 2)*I98, 2)</f>
        <v>0</v>
      </c>
    </row>
    <row r="99" spans="1:21" ht="54" x14ac:dyDescent="0.35">
      <c r="A99" s="10" t="s">
        <v>499</v>
      </c>
      <c r="B99" s="10" t="s">
        <v>463</v>
      </c>
      <c r="C99" s="14" t="s">
        <v>464</v>
      </c>
      <c r="D99" s="15"/>
      <c r="E99" s="15" t="s">
        <v>500</v>
      </c>
      <c r="F99" s="15" t="s">
        <v>56</v>
      </c>
      <c r="G99" s="16">
        <v>1</v>
      </c>
      <c r="H99" s="16"/>
      <c r="I99" s="16">
        <v>0</v>
      </c>
      <c r="J99" s="17">
        <f>IFERROR(ROUND(SUM(M100,M101,M102,M103)/I99, 2),0)</f>
        <v>0</v>
      </c>
      <c r="K99" s="18">
        <v>1439</v>
      </c>
      <c r="L99" s="17">
        <f>J99+ROUND(K99, 2)</f>
        <v>1439</v>
      </c>
      <c r="M99" s="17">
        <f>ROUND(J99*I99, 2)</f>
        <v>0</v>
      </c>
      <c r="N99" s="17">
        <f>ROUND(I99*ROUND(K99, 2), 2)</f>
        <v>0</v>
      </c>
      <c r="O99" s="17">
        <f>M99+N99</f>
        <v>0</v>
      </c>
      <c r="P99" s="17">
        <f>IFERROR(ROUND(SUM(S100,S101,S102,S103)/I99, 2),0)</f>
        <v>0</v>
      </c>
      <c r="Q99" s="18">
        <v>1251</v>
      </c>
      <c r="R99" s="17">
        <f>P99+ROUND(Q99, 2)</f>
        <v>1251</v>
      </c>
      <c r="S99" s="17">
        <f>ROUND(P99*I99, 2)</f>
        <v>0</v>
      </c>
      <c r="T99" s="17">
        <f>ROUND(I99*ROUND(Q99, 2), 2)</f>
        <v>0</v>
      </c>
      <c r="U99" s="17">
        <f>S99+T99</f>
        <v>0</v>
      </c>
    </row>
    <row r="100" spans="1:21" ht="36" x14ac:dyDescent="0.35">
      <c r="A100" s="10" t="s">
        <v>502</v>
      </c>
      <c r="B100" s="10"/>
      <c r="C100" s="24" t="s">
        <v>493</v>
      </c>
      <c r="D100" s="15"/>
      <c r="E100" s="15"/>
      <c r="F100" s="25" t="s">
        <v>81</v>
      </c>
      <c r="G100" s="26">
        <v>0.15</v>
      </c>
      <c r="H100" s="26"/>
      <c r="I100" s="26">
        <v>0</v>
      </c>
      <c r="J100" s="28">
        <v>88.8</v>
      </c>
      <c r="M100" s="29">
        <f>ROUND(ROUND(J100, 2)*I100, 2)</f>
        <v>0</v>
      </c>
      <c r="P100" s="28">
        <v>88.8</v>
      </c>
      <c r="S100" s="29">
        <f>ROUND(ROUND(P100, 2)*I100, 2)</f>
        <v>0</v>
      </c>
    </row>
    <row r="101" spans="1:21" ht="18" x14ac:dyDescent="0.35">
      <c r="A101" s="10" t="s">
        <v>507</v>
      </c>
      <c r="B101" s="10"/>
      <c r="C101" s="24" t="s">
        <v>486</v>
      </c>
      <c r="D101" s="15"/>
      <c r="E101" s="15"/>
      <c r="F101" s="25" t="s">
        <v>81</v>
      </c>
      <c r="G101" s="26">
        <v>0.25</v>
      </c>
      <c r="H101" s="27"/>
      <c r="I101" s="27">
        <v>0</v>
      </c>
      <c r="J101" s="28">
        <v>40.270000000000003</v>
      </c>
      <c r="M101" s="29">
        <f>ROUND(ROUND(J101, 2)*I101, 2)</f>
        <v>0</v>
      </c>
      <c r="P101" s="28">
        <v>40.270000000000003</v>
      </c>
      <c r="S101" s="29">
        <f>ROUND(ROUND(P101, 2)*I101, 2)</f>
        <v>0</v>
      </c>
    </row>
    <row r="102" spans="1:21" ht="36" x14ac:dyDescent="0.35">
      <c r="A102" s="10" t="s">
        <v>512</v>
      </c>
      <c r="B102" s="10"/>
      <c r="C102" s="37" t="s">
        <v>470</v>
      </c>
      <c r="D102" s="15"/>
      <c r="E102" s="15"/>
      <c r="F102" s="25" t="s">
        <v>81</v>
      </c>
      <c r="G102" s="26">
        <v>1.2</v>
      </c>
      <c r="H102" s="27"/>
      <c r="I102" s="27">
        <v>0</v>
      </c>
      <c r="J102" s="28">
        <v>6.28</v>
      </c>
      <c r="M102" s="29">
        <f>ROUND(ROUND(J102, 2)*I102, 2)</f>
        <v>0</v>
      </c>
      <c r="P102" s="28">
        <v>6.28</v>
      </c>
      <c r="S102" s="29">
        <f>ROUND(ROUND(P102, 2)*I102, 2)</f>
        <v>0</v>
      </c>
    </row>
    <row r="103" spans="1:21" ht="72" x14ac:dyDescent="0.35">
      <c r="A103" s="10" t="s">
        <v>517</v>
      </c>
      <c r="B103" s="10"/>
      <c r="C103" s="24" t="s">
        <v>518</v>
      </c>
      <c r="D103" s="15"/>
      <c r="E103" s="15" t="s">
        <v>519</v>
      </c>
      <c r="F103" s="25" t="s">
        <v>56</v>
      </c>
      <c r="G103" s="26">
        <v>1.07</v>
      </c>
      <c r="H103" s="27"/>
      <c r="I103" s="27">
        <v>0</v>
      </c>
      <c r="J103" s="28">
        <v>2059.0500000000002</v>
      </c>
      <c r="M103" s="29">
        <f>ROUND(ROUND(J103, 2)*I103, 2)</f>
        <v>0</v>
      </c>
      <c r="P103" s="28">
        <v>1332</v>
      </c>
      <c r="S103" s="29">
        <f>ROUND(ROUND(P103, 2)*I103, 2)</f>
        <v>0</v>
      </c>
    </row>
    <row r="104" spans="1:21" ht="54" x14ac:dyDescent="0.35">
      <c r="A104" s="10" t="s">
        <v>525</v>
      </c>
      <c r="B104" s="10" t="s">
        <v>463</v>
      </c>
      <c r="C104" s="14" t="s">
        <v>464</v>
      </c>
      <c r="D104" s="15"/>
      <c r="E104" s="15" t="s">
        <v>526</v>
      </c>
      <c r="F104" s="15" t="s">
        <v>56</v>
      </c>
      <c r="G104" s="16">
        <v>1</v>
      </c>
      <c r="H104" s="16"/>
      <c r="I104" s="16">
        <v>0</v>
      </c>
      <c r="J104" s="17">
        <f>IFERROR(ROUND(SUM(M105,M106,M107,M108)/I104, 2),0)</f>
        <v>0</v>
      </c>
      <c r="K104" s="18">
        <v>1439</v>
      </c>
      <c r="L104" s="17">
        <f>J104+ROUND(K104, 2)</f>
        <v>1439</v>
      </c>
      <c r="M104" s="17">
        <f>ROUND(J104*I104, 2)</f>
        <v>0</v>
      </c>
      <c r="N104" s="17">
        <f>ROUND(I104*ROUND(K104, 2), 2)</f>
        <v>0</v>
      </c>
      <c r="O104" s="17">
        <f>M104+N104</f>
        <v>0</v>
      </c>
      <c r="P104" s="17">
        <f>IFERROR(ROUND(SUM(S105,S106,S107,S108)/I104, 2),0)</f>
        <v>0</v>
      </c>
      <c r="Q104" s="18">
        <v>1251</v>
      </c>
      <c r="R104" s="17">
        <f>P104+ROUND(Q104, 2)</f>
        <v>1251</v>
      </c>
      <c r="S104" s="17">
        <f>ROUND(P104*I104, 2)</f>
        <v>0</v>
      </c>
      <c r="T104" s="17">
        <f>ROUND(I104*ROUND(Q104, 2), 2)</f>
        <v>0</v>
      </c>
      <c r="U104" s="17">
        <f>S104+T104</f>
        <v>0</v>
      </c>
    </row>
    <row r="105" spans="1:21" ht="36" x14ac:dyDescent="0.35">
      <c r="A105" s="10" t="s">
        <v>528</v>
      </c>
      <c r="B105" s="10"/>
      <c r="C105" s="24" t="s">
        <v>493</v>
      </c>
      <c r="D105" s="15"/>
      <c r="E105" s="15"/>
      <c r="F105" s="25" t="s">
        <v>81</v>
      </c>
      <c r="G105" s="26">
        <v>0.15</v>
      </c>
      <c r="H105" s="26"/>
      <c r="I105" s="26">
        <v>0</v>
      </c>
      <c r="J105" s="28">
        <v>88.8</v>
      </c>
      <c r="M105" s="29">
        <f>ROUND(ROUND(J105, 2)*I105, 2)</f>
        <v>0</v>
      </c>
      <c r="P105" s="28">
        <v>88.8</v>
      </c>
      <c r="S105" s="29">
        <f>ROUND(ROUND(P105, 2)*I105, 2)</f>
        <v>0</v>
      </c>
    </row>
    <row r="106" spans="1:21" ht="18" x14ac:dyDescent="0.35">
      <c r="A106" s="10" t="s">
        <v>533</v>
      </c>
      <c r="B106" s="10"/>
      <c r="C106" s="24" t="s">
        <v>486</v>
      </c>
      <c r="D106" s="15"/>
      <c r="E106" s="15"/>
      <c r="F106" s="25" t="s">
        <v>81</v>
      </c>
      <c r="G106" s="26">
        <v>0.25</v>
      </c>
      <c r="H106" s="27"/>
      <c r="I106" s="27">
        <v>0</v>
      </c>
      <c r="J106" s="28">
        <v>40.270000000000003</v>
      </c>
      <c r="M106" s="29">
        <f>ROUND(ROUND(J106, 2)*I106, 2)</f>
        <v>0</v>
      </c>
      <c r="P106" s="28">
        <v>6</v>
      </c>
      <c r="S106" s="29">
        <f>ROUND(ROUND(P106, 2)*I106, 2)</f>
        <v>0</v>
      </c>
    </row>
    <row r="107" spans="1:21" ht="108" x14ac:dyDescent="0.35">
      <c r="A107" s="10" t="s">
        <v>538</v>
      </c>
      <c r="B107" s="10"/>
      <c r="C107" s="24" t="s">
        <v>539</v>
      </c>
      <c r="D107" s="15"/>
      <c r="E107" s="15" t="s">
        <v>540</v>
      </c>
      <c r="F107" s="25" t="s">
        <v>56</v>
      </c>
      <c r="G107" s="26">
        <v>1.07</v>
      </c>
      <c r="H107" s="27"/>
      <c r="I107" s="27">
        <v>0</v>
      </c>
      <c r="J107" s="28">
        <v>1809.15</v>
      </c>
      <c r="M107" s="29">
        <f>ROUND(ROUND(J107, 2)*I107, 2)</f>
        <v>0</v>
      </c>
      <c r="P107" s="28">
        <v>1083.5999999999999</v>
      </c>
      <c r="S107" s="29">
        <f>ROUND(ROUND(P107, 2)*I107, 2)</f>
        <v>0</v>
      </c>
    </row>
    <row r="108" spans="1:21" ht="36" x14ac:dyDescent="0.35">
      <c r="A108" s="10" t="s">
        <v>546</v>
      </c>
      <c r="B108" s="10"/>
      <c r="C108" s="37" t="s">
        <v>470</v>
      </c>
      <c r="D108" s="15"/>
      <c r="E108" s="15" t="s">
        <v>471</v>
      </c>
      <c r="F108" s="25" t="s">
        <v>81</v>
      </c>
      <c r="G108" s="26">
        <v>1.2</v>
      </c>
      <c r="H108" s="27"/>
      <c r="I108" s="27">
        <v>0</v>
      </c>
      <c r="J108" s="28">
        <v>6.28</v>
      </c>
      <c r="M108" s="29">
        <f>ROUND(ROUND(J108, 2)*I108, 2)</f>
        <v>0</v>
      </c>
      <c r="P108" s="28">
        <v>6.28</v>
      </c>
      <c r="S108" s="29">
        <f>ROUND(ROUND(P108, 2)*I108, 2)</f>
        <v>0</v>
      </c>
    </row>
    <row r="109" spans="1:21" ht="36" x14ac:dyDescent="0.35">
      <c r="A109" s="10" t="s">
        <v>551</v>
      </c>
      <c r="B109" s="10" t="s">
        <v>552</v>
      </c>
      <c r="C109" s="14" t="s">
        <v>553</v>
      </c>
      <c r="D109" s="15" t="s">
        <v>554</v>
      </c>
      <c r="E109" s="15" t="s">
        <v>555</v>
      </c>
      <c r="F109" s="15" t="s">
        <v>56</v>
      </c>
      <c r="G109" s="16">
        <v>1</v>
      </c>
      <c r="H109" s="16"/>
      <c r="I109" s="16">
        <v>891.74</v>
      </c>
      <c r="J109" s="17">
        <f>IFERROR(ROUND(SUM(M110,M111,M112)/I109, 2),0)</f>
        <v>1608.47</v>
      </c>
      <c r="K109" s="18">
        <v>556</v>
      </c>
      <c r="L109" s="17">
        <f>J109+ROUND(K109, 2)</f>
        <v>2164.4700000000003</v>
      </c>
      <c r="M109" s="17">
        <f>ROUND(J109*I109, 2)</f>
        <v>1434337.04</v>
      </c>
      <c r="N109" s="17">
        <f>ROUND(I109*ROUND(K109, 2), 2)</f>
        <v>495807.44</v>
      </c>
      <c r="O109" s="17">
        <f>M109+N109</f>
        <v>1930144.48</v>
      </c>
      <c r="P109" s="17">
        <f>IFERROR(ROUND(SUM(S110,S111,S112)/I109, 2),0)</f>
        <v>1608.47</v>
      </c>
      <c r="Q109" s="18">
        <v>412</v>
      </c>
      <c r="R109" s="17">
        <f>P109+ROUND(Q109, 2)</f>
        <v>2020.47</v>
      </c>
      <c r="S109" s="17">
        <f>ROUND(P109*I109, 2)</f>
        <v>1434337.04</v>
      </c>
      <c r="T109" s="17">
        <f>ROUND(I109*ROUND(Q109, 2), 2)</f>
        <v>367396.88</v>
      </c>
      <c r="U109" s="17">
        <f>S109+T109</f>
        <v>1801733.92</v>
      </c>
    </row>
    <row r="110" spans="1:21" ht="18" x14ac:dyDescent="0.35">
      <c r="A110" s="10" t="s">
        <v>559</v>
      </c>
      <c r="B110" s="10"/>
      <c r="C110" s="24" t="s">
        <v>560</v>
      </c>
      <c r="D110" s="15"/>
      <c r="E110" s="15"/>
      <c r="F110" s="25" t="s">
        <v>81</v>
      </c>
      <c r="G110" s="26">
        <v>0.3</v>
      </c>
      <c r="H110" s="26"/>
      <c r="I110" s="26">
        <v>267.52199999999999</v>
      </c>
      <c r="J110" s="28">
        <v>341.05</v>
      </c>
      <c r="M110" s="29">
        <f>ROUND(ROUND(J110, 2)*I110, 2)</f>
        <v>91238.38</v>
      </c>
      <c r="P110" s="28">
        <v>341.05</v>
      </c>
      <c r="S110" s="29">
        <f>ROUND(ROUND(P110, 2)*I110, 2)</f>
        <v>91238.38</v>
      </c>
    </row>
    <row r="111" spans="1:21" ht="72" x14ac:dyDescent="0.35">
      <c r="A111" s="10" t="s">
        <v>566</v>
      </c>
      <c r="B111" s="10"/>
      <c r="C111" s="24" t="s">
        <v>567</v>
      </c>
      <c r="D111" s="15"/>
      <c r="E111" s="15"/>
      <c r="F111" s="25" t="s">
        <v>129</v>
      </c>
      <c r="G111" s="26">
        <v>1</v>
      </c>
      <c r="H111" s="27"/>
      <c r="I111" s="27">
        <v>891.74</v>
      </c>
      <c r="J111" s="28">
        <v>33.25</v>
      </c>
      <c r="M111" s="29">
        <f>ROUND(ROUND(J111, 2)*I111, 2)</f>
        <v>29650.36</v>
      </c>
      <c r="P111" s="28">
        <v>33.25</v>
      </c>
      <c r="S111" s="29">
        <f>ROUND(ROUND(P111, 2)*I111, 2)</f>
        <v>29650.36</v>
      </c>
    </row>
    <row r="112" spans="1:21" ht="54" x14ac:dyDescent="0.35">
      <c r="A112" s="10" t="s">
        <v>573</v>
      </c>
      <c r="B112" s="10"/>
      <c r="C112" s="24" t="s">
        <v>574</v>
      </c>
      <c r="D112" s="15"/>
      <c r="E112" s="15"/>
      <c r="F112" s="25" t="s">
        <v>56</v>
      </c>
      <c r="G112" s="26">
        <v>1.1000000000000001</v>
      </c>
      <c r="H112" s="27"/>
      <c r="I112" s="27">
        <v>980.91399999999999</v>
      </c>
      <c r="J112" s="28">
        <v>1339</v>
      </c>
      <c r="M112" s="29">
        <f>ROUND(ROUND(J112, 2)*I112, 2)</f>
        <v>1313443.8500000001</v>
      </c>
      <c r="P112" s="28">
        <v>1339</v>
      </c>
      <c r="S112" s="29">
        <f>ROUND(ROUND(P112, 2)*I112, 2)</f>
        <v>1313443.8500000001</v>
      </c>
    </row>
    <row r="113" spans="1:21" ht="18" x14ac:dyDescent="0.35">
      <c r="A113" s="10" t="s">
        <v>580</v>
      </c>
      <c r="B113" s="10" t="s">
        <v>581</v>
      </c>
      <c r="C113" s="14" t="s">
        <v>582</v>
      </c>
      <c r="D113" s="15"/>
      <c r="E113" s="15" t="s">
        <v>583</v>
      </c>
      <c r="F113" s="15" t="s">
        <v>129</v>
      </c>
      <c r="G113" s="16">
        <v>1</v>
      </c>
      <c r="H113" s="16"/>
      <c r="I113" s="16">
        <v>0</v>
      </c>
      <c r="J113" s="17">
        <f>IFERROR(ROUND(SUM(M114,M115)/I113, 2),0)</f>
        <v>0</v>
      </c>
      <c r="K113" s="18">
        <v>200</v>
      </c>
      <c r="L113" s="17">
        <f>J113+ROUND(K113, 2)</f>
        <v>200</v>
      </c>
      <c r="M113" s="17">
        <f>ROUND(J113*I113, 2)</f>
        <v>0</v>
      </c>
      <c r="N113" s="17">
        <f>ROUND(I113*ROUND(K113, 2), 2)</f>
        <v>0</v>
      </c>
      <c r="O113" s="17">
        <f>M113+N113</f>
        <v>0</v>
      </c>
      <c r="P113" s="17">
        <f>IFERROR(ROUND(SUM(S114,S115)/I113, 2),0)</f>
        <v>0</v>
      </c>
      <c r="Q113" s="18">
        <v>200</v>
      </c>
      <c r="R113" s="17">
        <f>P113+ROUND(Q113, 2)</f>
        <v>200</v>
      </c>
      <c r="S113" s="17">
        <f>ROUND(P113*I113, 2)</f>
        <v>0</v>
      </c>
      <c r="T113" s="17">
        <f>ROUND(I113*ROUND(Q113, 2), 2)</f>
        <v>0</v>
      </c>
      <c r="U113" s="17">
        <f>S113+T113</f>
        <v>0</v>
      </c>
    </row>
    <row r="114" spans="1:21" ht="36" x14ac:dyDescent="0.35">
      <c r="A114" s="10" t="s">
        <v>587</v>
      </c>
      <c r="B114" s="10"/>
      <c r="C114" s="24" t="s">
        <v>588</v>
      </c>
      <c r="D114" s="15"/>
      <c r="E114" s="15"/>
      <c r="F114" s="25" t="s">
        <v>129</v>
      </c>
      <c r="G114" s="26">
        <v>1.05</v>
      </c>
      <c r="H114" s="27"/>
      <c r="I114" s="27">
        <v>0</v>
      </c>
      <c r="J114" s="28">
        <v>90.97</v>
      </c>
      <c r="M114" s="29">
        <f>ROUND(ROUND(J114, 2)*I114, 2)</f>
        <v>0</v>
      </c>
      <c r="P114" s="28">
        <v>90.97</v>
      </c>
      <c r="S114" s="29">
        <f>ROUND(ROUND(P114, 2)*I114, 2)</f>
        <v>0</v>
      </c>
    </row>
    <row r="115" spans="1:21" ht="18" x14ac:dyDescent="0.35">
      <c r="A115" s="10" t="s">
        <v>594</v>
      </c>
      <c r="B115" s="10"/>
      <c r="C115" s="24" t="s">
        <v>595</v>
      </c>
      <c r="D115" s="15"/>
      <c r="E115" s="15"/>
      <c r="F115" s="25" t="s">
        <v>103</v>
      </c>
      <c r="G115" s="64">
        <v>0.09</v>
      </c>
      <c r="H115" s="26"/>
      <c r="I115" s="26">
        <v>0</v>
      </c>
      <c r="J115" s="28">
        <v>100</v>
      </c>
      <c r="M115" s="29">
        <f>ROUND(ROUND(J115, 2)*I115, 2)</f>
        <v>0</v>
      </c>
      <c r="P115" s="28">
        <v>100</v>
      </c>
      <c r="S115" s="29">
        <f>ROUND(ROUND(P115, 2)*I115, 2)</f>
        <v>0</v>
      </c>
    </row>
    <row r="116" spans="1:21" ht="54" x14ac:dyDescent="0.35">
      <c r="A116" s="10" t="s">
        <v>601</v>
      </c>
      <c r="B116" s="10" t="s">
        <v>602</v>
      </c>
      <c r="C116" s="14" t="s">
        <v>603</v>
      </c>
      <c r="D116" s="15"/>
      <c r="E116" s="15" t="s">
        <v>604</v>
      </c>
      <c r="F116" s="15" t="s">
        <v>129</v>
      </c>
      <c r="G116" s="16">
        <v>1</v>
      </c>
      <c r="H116" s="16"/>
      <c r="I116" s="16">
        <v>0</v>
      </c>
      <c r="J116" s="17">
        <f>IFERROR(ROUND(SUM(M117,M118,M119,M120)/I116, 2),0)</f>
        <v>0</v>
      </c>
      <c r="K116" s="18">
        <v>411</v>
      </c>
      <c r="L116" s="17">
        <f>J116+ROUND(K116, 2)</f>
        <v>411</v>
      </c>
      <c r="M116" s="17">
        <f>ROUND(J116*I116, 2)</f>
        <v>0</v>
      </c>
      <c r="N116" s="17">
        <f>ROUND(I116*ROUND(K116, 2), 2)</f>
        <v>0</v>
      </c>
      <c r="O116" s="17">
        <f>M116+N116</f>
        <v>0</v>
      </c>
      <c r="P116" s="17">
        <f>IFERROR(ROUND(SUM(S117,S118,S119,S120)/I116, 2),0)</f>
        <v>0</v>
      </c>
      <c r="Q116" s="18">
        <v>374</v>
      </c>
      <c r="R116" s="17">
        <f>P116+ROUND(Q116, 2)</f>
        <v>374</v>
      </c>
      <c r="S116" s="17">
        <f>ROUND(P116*I116, 2)</f>
        <v>0</v>
      </c>
      <c r="T116" s="17">
        <f>ROUND(I116*ROUND(Q116, 2), 2)</f>
        <v>0</v>
      </c>
      <c r="U116" s="17">
        <f>S116+T116</f>
        <v>0</v>
      </c>
    </row>
    <row r="117" spans="1:21" ht="144" x14ac:dyDescent="0.35">
      <c r="A117" s="10" t="s">
        <v>608</v>
      </c>
      <c r="B117" s="10"/>
      <c r="C117" s="24" t="s">
        <v>609</v>
      </c>
      <c r="D117" s="15"/>
      <c r="E117" s="15" t="s">
        <v>610</v>
      </c>
      <c r="F117" s="25" t="s">
        <v>103</v>
      </c>
      <c r="G117" s="26">
        <v>1.84</v>
      </c>
      <c r="H117" s="26"/>
      <c r="I117" s="26">
        <v>0</v>
      </c>
      <c r="J117" s="28">
        <v>196</v>
      </c>
      <c r="M117" s="29">
        <f>ROUND(ROUND(J117, 2)*I117, 2)</f>
        <v>0</v>
      </c>
      <c r="P117" s="28">
        <v>196</v>
      </c>
      <c r="S117" s="29">
        <f>ROUND(ROUND(P117, 2)*I117, 2)</f>
        <v>0</v>
      </c>
    </row>
    <row r="118" spans="1:21" ht="36" x14ac:dyDescent="0.35">
      <c r="A118" s="10" t="s">
        <v>616</v>
      </c>
      <c r="B118" s="10"/>
      <c r="C118" s="37" t="s">
        <v>617</v>
      </c>
      <c r="D118" s="15"/>
      <c r="E118" s="15"/>
      <c r="F118" s="25" t="s">
        <v>81</v>
      </c>
      <c r="G118" s="26">
        <v>0.7</v>
      </c>
      <c r="H118" s="27"/>
      <c r="I118" s="27">
        <v>0</v>
      </c>
      <c r="J118" s="28">
        <v>6.28</v>
      </c>
      <c r="M118" s="29">
        <f>ROUND(ROUND(J118, 2)*I118, 2)</f>
        <v>0</v>
      </c>
      <c r="P118" s="28">
        <v>6.28</v>
      </c>
      <c r="S118" s="29">
        <f>ROUND(ROUND(P118, 2)*I118, 2)</f>
        <v>0</v>
      </c>
    </row>
    <row r="119" spans="1:21" ht="18" x14ac:dyDescent="0.35">
      <c r="A119" s="10" t="s">
        <v>623</v>
      </c>
      <c r="B119" s="10"/>
      <c r="C119" s="24" t="s">
        <v>486</v>
      </c>
      <c r="D119" s="15"/>
      <c r="E119" s="15"/>
      <c r="F119" s="25" t="s">
        <v>81</v>
      </c>
      <c r="G119" s="26">
        <v>0.04</v>
      </c>
      <c r="H119" s="26"/>
      <c r="I119" s="26">
        <v>0</v>
      </c>
      <c r="J119" s="28">
        <v>40.270000000000003</v>
      </c>
      <c r="M119" s="29">
        <f>ROUND(ROUND(J119, 2)*I119, 2)</f>
        <v>0</v>
      </c>
      <c r="P119" s="28">
        <v>40.270000000000003</v>
      </c>
      <c r="S119" s="29">
        <f>ROUND(ROUND(P119, 2)*I119, 2)</f>
        <v>0</v>
      </c>
    </row>
    <row r="120" spans="1:21" ht="36" x14ac:dyDescent="0.35">
      <c r="A120" s="10" t="s">
        <v>628</v>
      </c>
      <c r="B120" s="10"/>
      <c r="C120" s="24" t="s">
        <v>493</v>
      </c>
      <c r="D120" s="15"/>
      <c r="E120" s="15"/>
      <c r="F120" s="25" t="s">
        <v>81</v>
      </c>
      <c r="G120" s="26">
        <v>1.4999999999999999E-2</v>
      </c>
      <c r="H120" s="26"/>
      <c r="I120" s="26">
        <v>0</v>
      </c>
      <c r="J120" s="28">
        <v>88.8</v>
      </c>
      <c r="M120" s="29">
        <f>ROUND(ROUND(J120, 2)*I120, 2)</f>
        <v>0</v>
      </c>
      <c r="P120" s="28">
        <v>88.8</v>
      </c>
      <c r="S120" s="29">
        <f>ROUND(ROUND(P120, 2)*I120, 2)</f>
        <v>0</v>
      </c>
    </row>
    <row r="121" spans="1:21" ht="54" x14ac:dyDescent="0.35">
      <c r="A121" s="10" t="s">
        <v>633</v>
      </c>
      <c r="B121" s="10" t="s">
        <v>602</v>
      </c>
      <c r="C121" s="14" t="s">
        <v>603</v>
      </c>
      <c r="D121" s="15"/>
      <c r="E121" s="15" t="s">
        <v>370</v>
      </c>
      <c r="F121" s="15" t="s">
        <v>129</v>
      </c>
      <c r="G121" s="16">
        <v>1</v>
      </c>
      <c r="H121" s="16"/>
      <c r="I121" s="16">
        <v>0</v>
      </c>
      <c r="J121" s="17">
        <f>IFERROR(ROUND(SUM(M122,M123,M124,M125)/I121, 2),0)</f>
        <v>0</v>
      </c>
      <c r="K121" s="18">
        <v>411</v>
      </c>
      <c r="L121" s="17">
        <f>J121+ROUND(K121, 2)</f>
        <v>411</v>
      </c>
      <c r="M121" s="17">
        <f>ROUND(J121*I121, 2)</f>
        <v>0</v>
      </c>
      <c r="N121" s="17">
        <f>ROUND(I121*ROUND(K121, 2), 2)</f>
        <v>0</v>
      </c>
      <c r="O121" s="17">
        <f>M121+N121</f>
        <v>0</v>
      </c>
      <c r="P121" s="17">
        <f>IFERROR(ROUND(SUM(S122,S123,S124,S125)/I121, 2),0)</f>
        <v>0</v>
      </c>
      <c r="Q121" s="18">
        <v>374</v>
      </c>
      <c r="R121" s="17">
        <f>P121+ROUND(Q121, 2)</f>
        <v>374</v>
      </c>
      <c r="S121" s="17">
        <f>ROUND(P121*I121, 2)</f>
        <v>0</v>
      </c>
      <c r="T121" s="17">
        <f>ROUND(I121*ROUND(Q121, 2), 2)</f>
        <v>0</v>
      </c>
      <c r="U121" s="17">
        <f>S121+T121</f>
        <v>0</v>
      </c>
    </row>
    <row r="122" spans="1:21" ht="36" x14ac:dyDescent="0.35">
      <c r="A122" s="10" t="s">
        <v>635</v>
      </c>
      <c r="B122" s="10"/>
      <c r="C122" s="24" t="s">
        <v>493</v>
      </c>
      <c r="D122" s="15"/>
      <c r="E122" s="15"/>
      <c r="F122" s="25" t="s">
        <v>81</v>
      </c>
      <c r="G122" s="26">
        <v>1.4999999999999999E-2</v>
      </c>
      <c r="H122" s="26"/>
      <c r="I122" s="26">
        <v>0</v>
      </c>
      <c r="J122" s="28">
        <v>88.8</v>
      </c>
      <c r="M122" s="29">
        <f>ROUND(ROUND(J122, 2)*I122, 2)</f>
        <v>0</v>
      </c>
      <c r="P122" s="28">
        <v>88.8</v>
      </c>
      <c r="S122" s="29">
        <f>ROUND(ROUND(P122, 2)*I122, 2)</f>
        <v>0</v>
      </c>
    </row>
    <row r="123" spans="1:21" ht="18" x14ac:dyDescent="0.35">
      <c r="A123" s="10" t="s">
        <v>640</v>
      </c>
      <c r="B123" s="10"/>
      <c r="C123" s="24" t="s">
        <v>486</v>
      </c>
      <c r="D123" s="15"/>
      <c r="E123" s="15"/>
      <c r="F123" s="25" t="s">
        <v>81</v>
      </c>
      <c r="G123" s="26">
        <v>0.04</v>
      </c>
      <c r="H123" s="26"/>
      <c r="I123" s="26">
        <v>0</v>
      </c>
      <c r="J123" s="28">
        <v>40.270000000000003</v>
      </c>
      <c r="M123" s="29">
        <f>ROUND(ROUND(J123, 2)*I123, 2)</f>
        <v>0</v>
      </c>
      <c r="P123" s="28">
        <v>40.270000000000003</v>
      </c>
      <c r="S123" s="29">
        <f>ROUND(ROUND(P123, 2)*I123, 2)</f>
        <v>0</v>
      </c>
    </row>
    <row r="124" spans="1:21" ht="144" x14ac:dyDescent="0.35">
      <c r="A124" s="10" t="s">
        <v>645</v>
      </c>
      <c r="B124" s="10"/>
      <c r="C124" s="37" t="s">
        <v>646</v>
      </c>
      <c r="D124" s="15"/>
      <c r="E124" s="15" t="s">
        <v>610</v>
      </c>
      <c r="F124" s="25" t="s">
        <v>56</v>
      </c>
      <c r="G124" s="26">
        <v>0.11</v>
      </c>
      <c r="H124" s="26"/>
      <c r="I124" s="26">
        <v>0</v>
      </c>
      <c r="J124" s="28">
        <v>1012.6</v>
      </c>
      <c r="M124" s="29">
        <f>ROUND(ROUND(J124, 2)*I124, 2)</f>
        <v>0</v>
      </c>
      <c r="P124" s="28">
        <v>1012.6</v>
      </c>
      <c r="S124" s="29">
        <f>ROUND(ROUND(P124, 2)*I124, 2)</f>
        <v>0</v>
      </c>
    </row>
    <row r="125" spans="1:21" ht="36" x14ac:dyDescent="0.35">
      <c r="A125" s="10" t="s">
        <v>652</v>
      </c>
      <c r="B125" s="10"/>
      <c r="C125" s="37" t="s">
        <v>653</v>
      </c>
      <c r="D125" s="15"/>
      <c r="E125" s="15"/>
      <c r="F125" s="25" t="s">
        <v>81</v>
      </c>
      <c r="G125" s="26">
        <v>0.7</v>
      </c>
      <c r="H125" s="27"/>
      <c r="I125" s="27">
        <v>0</v>
      </c>
      <c r="J125" s="28">
        <v>6.28</v>
      </c>
      <c r="M125" s="29">
        <f>ROUND(ROUND(J125, 2)*I125, 2)</f>
        <v>0</v>
      </c>
      <c r="P125" s="28">
        <v>6.28</v>
      </c>
      <c r="S125" s="29">
        <f>ROUND(ROUND(P125, 2)*I125, 2)</f>
        <v>0</v>
      </c>
    </row>
    <row r="126" spans="1:21" ht="36" x14ac:dyDescent="0.35">
      <c r="A126" s="10" t="s">
        <v>659</v>
      </c>
      <c r="B126" s="10" t="s">
        <v>660</v>
      </c>
      <c r="C126" s="14" t="s">
        <v>661</v>
      </c>
      <c r="D126" s="15"/>
      <c r="E126" s="15" t="s">
        <v>662</v>
      </c>
      <c r="F126" s="15" t="s">
        <v>56</v>
      </c>
      <c r="G126" s="16">
        <v>1</v>
      </c>
      <c r="H126" s="16"/>
      <c r="I126" s="16">
        <v>63.4</v>
      </c>
      <c r="J126" s="17">
        <f>IFERROR(ROUND(SUM(M127,M128)/I126, 2),0)</f>
        <v>0</v>
      </c>
      <c r="K126" s="18">
        <v>661</v>
      </c>
      <c r="L126" s="17">
        <f>J126+ROUND(K126, 2)</f>
        <v>661</v>
      </c>
      <c r="M126" s="17">
        <f>ROUND(J126*I126, 2)</f>
        <v>0</v>
      </c>
      <c r="N126" s="17">
        <f>ROUND(I126*ROUND(K126, 2), 2)</f>
        <v>41907.4</v>
      </c>
      <c r="O126" s="17">
        <f>M126+N126</f>
        <v>41907.4</v>
      </c>
      <c r="P126" s="17">
        <f>IFERROR(ROUND(SUM(S127,S128)/I126, 2),0)</f>
        <v>1817.32</v>
      </c>
      <c r="Q126" s="19">
        <v>661</v>
      </c>
      <c r="R126" s="17">
        <f>P126+ROUND(Q126, 2)</f>
        <v>2478.3199999999997</v>
      </c>
      <c r="S126" s="17">
        <f>ROUND(P126*I126, 2)</f>
        <v>115218.09</v>
      </c>
      <c r="T126" s="17">
        <f>ROUND(I126*ROUND(Q126, 2), 2)</f>
        <v>41907.4</v>
      </c>
      <c r="U126" s="17">
        <f>S126+T126</f>
        <v>157125.49</v>
      </c>
    </row>
    <row r="127" spans="1:21" ht="90" x14ac:dyDescent="0.35">
      <c r="A127" s="10" t="s">
        <v>665</v>
      </c>
      <c r="B127" s="10"/>
      <c r="C127" s="24" t="s">
        <v>666</v>
      </c>
      <c r="D127" s="15"/>
      <c r="E127" s="15" t="s">
        <v>667</v>
      </c>
      <c r="F127" s="25" t="s">
        <v>103</v>
      </c>
      <c r="G127" s="26">
        <v>1</v>
      </c>
      <c r="H127" s="27"/>
      <c r="I127" s="27">
        <v>7.35</v>
      </c>
      <c r="J127" s="28">
        <v>0</v>
      </c>
      <c r="M127" s="29">
        <f>ROUND(ROUND(J127, 2)*I127, 2)</f>
        <v>0</v>
      </c>
      <c r="P127" s="30">
        <v>2348.9499999999998</v>
      </c>
      <c r="S127" s="29">
        <f>ROUND(ROUND(P127, 2)*I127, 2)</f>
        <v>17264.78</v>
      </c>
    </row>
    <row r="128" spans="1:21" ht="36" x14ac:dyDescent="0.35">
      <c r="A128" s="10" t="s">
        <v>671</v>
      </c>
      <c r="B128" s="10"/>
      <c r="C128" s="24" t="s">
        <v>672</v>
      </c>
      <c r="D128" s="15"/>
      <c r="E128" s="15" t="s">
        <v>673</v>
      </c>
      <c r="F128" s="25" t="s">
        <v>56</v>
      </c>
      <c r="G128" s="26">
        <v>1.03</v>
      </c>
      <c r="H128" s="27"/>
      <c r="I128" s="27">
        <v>65.302000000000007</v>
      </c>
      <c r="J128" s="28">
        <v>0</v>
      </c>
      <c r="M128" s="29">
        <f>ROUND(ROUND(J128, 2)*I128, 2)</f>
        <v>0</v>
      </c>
      <c r="P128" s="30">
        <v>1500</v>
      </c>
      <c r="S128" s="29">
        <f>ROUND(ROUND(P128, 2)*I128, 2)</f>
        <v>97953</v>
      </c>
    </row>
    <row r="129" spans="1:21" ht="17" customHeight="1" x14ac:dyDescent="0.35">
      <c r="A129" s="10" t="s">
        <v>677</v>
      </c>
      <c r="B129" s="10" t="s">
        <v>678</v>
      </c>
      <c r="C129" s="100" t="s">
        <v>679</v>
      </c>
      <c r="D129" s="101"/>
      <c r="E129" s="101"/>
      <c r="F129" s="101"/>
      <c r="G129" s="101"/>
      <c r="H129" s="101"/>
      <c r="I129" s="102"/>
      <c r="M129" s="6">
        <f>SUM(M130,M279,M295)</f>
        <v>1187771.0900000003</v>
      </c>
      <c r="N129" s="6">
        <f>SUM(N130,N279,N295)</f>
        <v>7697223.7399999993</v>
      </c>
      <c r="O129" s="6">
        <f>SUM(O130,O279,O295)</f>
        <v>8884994.8300000001</v>
      </c>
      <c r="S129" s="6">
        <f>SUM(S130,S279,S295)</f>
        <v>1395007.6700000002</v>
      </c>
      <c r="T129" s="6">
        <f>SUM(T130,T279,T295)</f>
        <v>7697223.7399999993</v>
      </c>
      <c r="U129" s="6">
        <f>SUM(U130,U279,U295)</f>
        <v>9092231.4100000001</v>
      </c>
    </row>
    <row r="130" spans="1:21" ht="17" customHeight="1" x14ac:dyDescent="0.35">
      <c r="A130" s="10" t="s">
        <v>680</v>
      </c>
      <c r="B130" s="10" t="s">
        <v>681</v>
      </c>
      <c r="C130" s="100" t="s">
        <v>682</v>
      </c>
      <c r="D130" s="101"/>
      <c r="E130" s="101"/>
      <c r="F130" s="101"/>
      <c r="G130" s="101"/>
      <c r="H130" s="101"/>
      <c r="I130" s="102"/>
      <c r="M130" s="6">
        <f>SUM(M131,M136,M141,M145,M149,M154,M159,M163,M167,M171,M175,M180,M185,M189,M194,M199,M204,M208,M211,M215,M218,M221,M225,M228,M231,M234,M238,M241,M244,M248,M251,M255,M258,M261,M264,M269,M274)</f>
        <v>841111.31000000029</v>
      </c>
      <c r="N130" s="6">
        <f>SUM(N131,N136,N141,N145,N149,N154,N159,N163,N167,N171,N175,N180,N185,N189,N194,N199,N204,N208,N211,N215,N218,N221,N225,N228,N231,N234,N238,N241,N244,N248,N251,N255,N258,N261,N264,N269,N274)</f>
        <v>5337483.0299999993</v>
      </c>
      <c r="O130" s="6">
        <f>SUM(O131,O136,O141,O145,O149,O154,O159,O163,O167,O171,O175,O180,O185,O189,O194,O199,O204,O208,O211,O215,O218,O221,O225,O228,O231,O234,O238,O241,O244,O248,O251,O255,O258,O261,O264,O269,O274)</f>
        <v>6178594.3400000008</v>
      </c>
      <c r="S130" s="6">
        <f>SUM(S131,S136,S141,S145,S149,S154,S159,S163,S167,S171,S175,S180,S185,S189,S194,S199,S204,S208,S211,S215,S218,S221,S225,S228,S231,S234,S238,S241,S244,S248,S251,S255,S258,S261,S264,S269,S274)</f>
        <v>860783.49000000011</v>
      </c>
      <c r="T130" s="6">
        <f>SUM(T131,T136,T141,T145,T149,T154,T159,T163,T167,T171,T175,T180,T185,T189,T194,T199,T204,T208,T211,T215,T218,T221,T225,T228,T231,T234,T238,T241,T244,T248,T251,T255,T258,T261,T264,T269,T274)</f>
        <v>5337483.0299999993</v>
      </c>
      <c r="U130" s="6">
        <f>SUM(U131,U136,U141,U145,U149,U154,U159,U163,U167,U171,U175,U180,U185,U189,U194,U199,U204,U208,U211,U215,U218,U221,U225,U228,U231,U234,U238,U241,U244,U248,U251,U255,U258,U261,U264,U269,U274)</f>
        <v>6198266.5199999996</v>
      </c>
    </row>
    <row r="131" spans="1:21" ht="54" x14ac:dyDescent="0.35">
      <c r="A131" s="10" t="s">
        <v>683</v>
      </c>
      <c r="B131" s="10" t="s">
        <v>684</v>
      </c>
      <c r="C131" s="14" t="s">
        <v>685</v>
      </c>
      <c r="D131" s="15"/>
      <c r="E131" s="15" t="s">
        <v>686</v>
      </c>
      <c r="F131" s="15" t="s">
        <v>56</v>
      </c>
      <c r="G131" s="16">
        <v>1</v>
      </c>
      <c r="H131" s="16"/>
      <c r="I131" s="16">
        <v>0</v>
      </c>
      <c r="J131" s="17">
        <f>IFERROR(ROUND(SUM(M132,M133,M134,M135)/I131, 2),0)</f>
        <v>0</v>
      </c>
      <c r="K131" s="18">
        <v>826</v>
      </c>
      <c r="L131" s="17">
        <f>J131+ROUND(K131, 2)</f>
        <v>826</v>
      </c>
      <c r="M131" s="17">
        <f>ROUND(J131*I131, 2)</f>
        <v>0</v>
      </c>
      <c r="N131" s="17">
        <f>ROUND(I131*ROUND(K131, 2), 2)</f>
        <v>0</v>
      </c>
      <c r="O131" s="17">
        <f>M131+N131</f>
        <v>0</v>
      </c>
      <c r="P131" s="17">
        <f>IFERROR(ROUND(SUM(S132,S133,S134,S135)/I131, 2),0)</f>
        <v>0</v>
      </c>
      <c r="Q131" s="18">
        <v>826</v>
      </c>
      <c r="R131" s="17">
        <f>P131+ROUND(Q131, 2)</f>
        <v>826</v>
      </c>
      <c r="S131" s="17">
        <f>ROUND(P131*I131, 2)</f>
        <v>0</v>
      </c>
      <c r="T131" s="17">
        <f>ROUND(I131*ROUND(Q131, 2), 2)</f>
        <v>0</v>
      </c>
      <c r="U131" s="17">
        <f>S131+T131</f>
        <v>0</v>
      </c>
    </row>
    <row r="132" spans="1:21" ht="18" x14ac:dyDescent="0.35">
      <c r="A132" s="10" t="s">
        <v>690</v>
      </c>
      <c r="B132" s="10"/>
      <c r="C132" s="24" t="s">
        <v>691</v>
      </c>
      <c r="D132" s="15"/>
      <c r="E132" s="15"/>
      <c r="F132" s="25" t="s">
        <v>56</v>
      </c>
      <c r="G132" s="26">
        <v>1.1000000000000001</v>
      </c>
      <c r="H132" s="26"/>
      <c r="I132" s="26">
        <v>0</v>
      </c>
      <c r="J132" s="28">
        <v>27.55</v>
      </c>
      <c r="M132" s="29">
        <f>ROUND(ROUND(J132, 2)*I132, 2)</f>
        <v>0</v>
      </c>
      <c r="P132" s="28">
        <v>27.55</v>
      </c>
      <c r="S132" s="29">
        <f>ROUND(ROUND(P132, 2)*I132, 2)</f>
        <v>0</v>
      </c>
    </row>
    <row r="133" spans="1:21" ht="18" x14ac:dyDescent="0.35">
      <c r="A133" s="10" t="s">
        <v>697</v>
      </c>
      <c r="B133" s="10"/>
      <c r="C133" s="24" t="s">
        <v>316</v>
      </c>
      <c r="D133" s="15"/>
      <c r="E133" s="15"/>
      <c r="F133" s="25" t="s">
        <v>81</v>
      </c>
      <c r="G133" s="26">
        <v>0.25</v>
      </c>
      <c r="H133" s="26"/>
      <c r="I133" s="26">
        <v>0</v>
      </c>
      <c r="J133" s="28">
        <v>100</v>
      </c>
      <c r="M133" s="29">
        <f>ROUND(ROUND(J133, 2)*I133, 2)</f>
        <v>0</v>
      </c>
      <c r="P133" s="28">
        <v>100</v>
      </c>
      <c r="S133" s="29">
        <f>ROUND(ROUND(P133, 2)*I133, 2)</f>
        <v>0</v>
      </c>
    </row>
    <row r="134" spans="1:21" ht="18" x14ac:dyDescent="0.35">
      <c r="A134" s="10" t="s">
        <v>702</v>
      </c>
      <c r="B134" s="10"/>
      <c r="C134" s="24" t="s">
        <v>703</v>
      </c>
      <c r="D134" s="15"/>
      <c r="E134" s="15" t="s">
        <v>704</v>
      </c>
      <c r="F134" s="25" t="s">
        <v>81</v>
      </c>
      <c r="G134" s="26">
        <v>1.8</v>
      </c>
      <c r="H134" s="27"/>
      <c r="I134" s="27">
        <v>0</v>
      </c>
      <c r="J134" s="28">
        <v>5.85</v>
      </c>
      <c r="M134" s="29">
        <f>ROUND(ROUND(J134, 2)*I134, 2)</f>
        <v>0</v>
      </c>
      <c r="P134" s="28">
        <v>5.85</v>
      </c>
      <c r="S134" s="29">
        <f>ROUND(ROUND(P134, 2)*I134, 2)</f>
        <v>0</v>
      </c>
    </row>
    <row r="135" spans="1:21" ht="18" x14ac:dyDescent="0.35">
      <c r="A135" s="10" t="s">
        <v>710</v>
      </c>
      <c r="B135" s="10"/>
      <c r="C135" s="24" t="s">
        <v>711</v>
      </c>
      <c r="D135" s="15"/>
      <c r="E135" s="15"/>
      <c r="F135" s="25" t="s">
        <v>129</v>
      </c>
      <c r="G135" s="26">
        <v>1.1000000000000001</v>
      </c>
      <c r="H135" s="27"/>
      <c r="I135" s="27">
        <v>0</v>
      </c>
      <c r="J135" s="28">
        <v>18.34</v>
      </c>
      <c r="M135" s="29">
        <f>ROUND(ROUND(J135, 2)*I135, 2)</f>
        <v>0</v>
      </c>
      <c r="P135" s="28">
        <v>18.34</v>
      </c>
      <c r="S135" s="29">
        <f>ROUND(ROUND(P135, 2)*I135, 2)</f>
        <v>0</v>
      </c>
    </row>
    <row r="136" spans="1:21" ht="54" x14ac:dyDescent="0.35">
      <c r="A136" s="10" t="s">
        <v>717</v>
      </c>
      <c r="B136" s="10" t="s">
        <v>684</v>
      </c>
      <c r="C136" s="14" t="s">
        <v>685</v>
      </c>
      <c r="D136" s="15"/>
      <c r="E136" s="15" t="s">
        <v>718</v>
      </c>
      <c r="F136" s="15" t="s">
        <v>56</v>
      </c>
      <c r="G136" s="16">
        <v>1</v>
      </c>
      <c r="H136" s="16"/>
      <c r="I136" s="16">
        <v>0</v>
      </c>
      <c r="J136" s="17">
        <f>IFERROR(ROUND(SUM(M137,M138,M139,M140)/I136, 2),0)</f>
        <v>0</v>
      </c>
      <c r="K136" s="18">
        <v>826</v>
      </c>
      <c r="L136" s="17">
        <f>J136+ROUND(K136, 2)</f>
        <v>826</v>
      </c>
      <c r="M136" s="17">
        <f>ROUND(J136*I136, 2)</f>
        <v>0</v>
      </c>
      <c r="N136" s="17">
        <f>ROUND(I136*ROUND(K136, 2), 2)</f>
        <v>0</v>
      </c>
      <c r="O136" s="17">
        <f>M136+N136</f>
        <v>0</v>
      </c>
      <c r="P136" s="17">
        <f>IFERROR(ROUND(SUM(S137,S138,S139,S140)/I136, 2),0)</f>
        <v>0</v>
      </c>
      <c r="Q136" s="18">
        <v>826</v>
      </c>
      <c r="R136" s="17">
        <f>P136+ROUND(Q136, 2)</f>
        <v>826</v>
      </c>
      <c r="S136" s="17">
        <f>ROUND(P136*I136, 2)</f>
        <v>0</v>
      </c>
      <c r="T136" s="17">
        <f>ROUND(I136*ROUND(Q136, 2), 2)</f>
        <v>0</v>
      </c>
      <c r="U136" s="17">
        <f>S136+T136</f>
        <v>0</v>
      </c>
    </row>
    <row r="137" spans="1:21" ht="36" x14ac:dyDescent="0.35">
      <c r="A137" s="10" t="s">
        <v>720</v>
      </c>
      <c r="B137" s="10"/>
      <c r="C137" s="24" t="s">
        <v>721</v>
      </c>
      <c r="D137" s="15"/>
      <c r="E137" s="15"/>
      <c r="F137" s="25" t="s">
        <v>81</v>
      </c>
      <c r="G137" s="26">
        <v>0.15</v>
      </c>
      <c r="H137" s="26"/>
      <c r="I137" s="26">
        <v>0</v>
      </c>
      <c r="J137" s="28">
        <v>80</v>
      </c>
      <c r="M137" s="29">
        <f>ROUND(ROUND(J137, 2)*I137, 2)</f>
        <v>0</v>
      </c>
      <c r="P137" s="28">
        <v>80</v>
      </c>
      <c r="S137" s="29">
        <f>ROUND(ROUND(P137, 2)*I137, 2)</f>
        <v>0</v>
      </c>
    </row>
    <row r="138" spans="1:21" ht="18" x14ac:dyDescent="0.35">
      <c r="A138" s="10" t="s">
        <v>727</v>
      </c>
      <c r="B138" s="10"/>
      <c r="C138" s="24" t="s">
        <v>711</v>
      </c>
      <c r="D138" s="15"/>
      <c r="E138" s="15"/>
      <c r="F138" s="25" t="s">
        <v>129</v>
      </c>
      <c r="G138" s="26">
        <v>1.1000000000000001</v>
      </c>
      <c r="H138" s="27"/>
      <c r="I138" s="27">
        <v>0</v>
      </c>
      <c r="J138" s="28">
        <v>18.34</v>
      </c>
      <c r="M138" s="29">
        <f>ROUND(ROUND(J138, 2)*I138, 2)</f>
        <v>0</v>
      </c>
      <c r="P138" s="28">
        <v>18.34</v>
      </c>
      <c r="S138" s="29">
        <f>ROUND(ROUND(P138, 2)*I138, 2)</f>
        <v>0</v>
      </c>
    </row>
    <row r="139" spans="1:21" ht="18" x14ac:dyDescent="0.35">
      <c r="A139" s="10" t="s">
        <v>732</v>
      </c>
      <c r="B139" s="10"/>
      <c r="C139" s="24" t="s">
        <v>703</v>
      </c>
      <c r="D139" s="15"/>
      <c r="E139" s="15" t="s">
        <v>704</v>
      </c>
      <c r="F139" s="25" t="s">
        <v>81</v>
      </c>
      <c r="G139" s="26">
        <v>1.8</v>
      </c>
      <c r="H139" s="27"/>
      <c r="I139" s="27">
        <v>0</v>
      </c>
      <c r="J139" s="28">
        <v>5.85</v>
      </c>
      <c r="M139" s="29">
        <f>ROUND(ROUND(J139, 2)*I139, 2)</f>
        <v>0</v>
      </c>
      <c r="P139" s="28">
        <v>5.85</v>
      </c>
      <c r="S139" s="29">
        <f>ROUND(ROUND(P139, 2)*I139, 2)</f>
        <v>0</v>
      </c>
    </row>
    <row r="140" spans="1:21" ht="18" x14ac:dyDescent="0.35">
      <c r="A140" s="10" t="s">
        <v>737</v>
      </c>
      <c r="B140" s="10"/>
      <c r="C140" s="24" t="s">
        <v>691</v>
      </c>
      <c r="D140" s="15"/>
      <c r="E140" s="15"/>
      <c r="F140" s="25" t="s">
        <v>56</v>
      </c>
      <c r="G140" s="26">
        <v>1.1000000000000001</v>
      </c>
      <c r="H140" s="26"/>
      <c r="I140" s="26">
        <v>0</v>
      </c>
      <c r="J140" s="28">
        <v>27.55</v>
      </c>
      <c r="M140" s="29">
        <f>ROUND(ROUND(J140, 2)*I140, 2)</f>
        <v>0</v>
      </c>
      <c r="P140" s="28">
        <v>27.55</v>
      </c>
      <c r="S140" s="29">
        <f>ROUND(ROUND(P140, 2)*I140, 2)</f>
        <v>0</v>
      </c>
    </row>
    <row r="141" spans="1:21" ht="54" x14ac:dyDescent="0.35">
      <c r="A141" s="10" t="s">
        <v>742</v>
      </c>
      <c r="B141" s="10" t="s">
        <v>684</v>
      </c>
      <c r="C141" s="14" t="s">
        <v>685</v>
      </c>
      <c r="D141" s="15"/>
      <c r="E141" s="15" t="s">
        <v>743</v>
      </c>
      <c r="F141" s="15" t="s">
        <v>56</v>
      </c>
      <c r="G141" s="16">
        <v>1</v>
      </c>
      <c r="H141" s="16"/>
      <c r="I141" s="16">
        <v>0</v>
      </c>
      <c r="J141" s="17">
        <f>IFERROR(ROUND(SUM(M142,M143,M144)/I141, 2),0)</f>
        <v>0</v>
      </c>
      <c r="K141" s="18">
        <v>826</v>
      </c>
      <c r="L141" s="17">
        <f>J141+ROUND(K141, 2)</f>
        <v>826</v>
      </c>
      <c r="M141" s="17">
        <f>ROUND(J141*I141, 2)</f>
        <v>0</v>
      </c>
      <c r="N141" s="17">
        <f>ROUND(I141*ROUND(K141, 2), 2)</f>
        <v>0</v>
      </c>
      <c r="O141" s="17">
        <f>M141+N141</f>
        <v>0</v>
      </c>
      <c r="P141" s="17">
        <f>IFERROR(ROUND(SUM(S142,S143,S144)/I141, 2),0)</f>
        <v>0</v>
      </c>
      <c r="Q141" s="18">
        <v>826</v>
      </c>
      <c r="R141" s="17">
        <f>P141+ROUND(Q141, 2)</f>
        <v>826</v>
      </c>
      <c r="S141" s="17">
        <f>ROUND(P141*I141, 2)</f>
        <v>0</v>
      </c>
      <c r="T141" s="17">
        <f>ROUND(I141*ROUND(Q141, 2), 2)</f>
        <v>0</v>
      </c>
      <c r="U141" s="17">
        <f>S141+T141</f>
        <v>0</v>
      </c>
    </row>
    <row r="142" spans="1:21" ht="18" x14ac:dyDescent="0.35">
      <c r="A142" s="10" t="s">
        <v>745</v>
      </c>
      <c r="B142" s="10"/>
      <c r="C142" s="24" t="s">
        <v>711</v>
      </c>
      <c r="D142" s="15"/>
      <c r="E142" s="15"/>
      <c r="F142" s="25" t="s">
        <v>129</v>
      </c>
      <c r="G142" s="26">
        <v>1.1000000000000001</v>
      </c>
      <c r="H142" s="27"/>
      <c r="I142" s="27">
        <v>0</v>
      </c>
      <c r="J142" s="28">
        <v>18.34</v>
      </c>
      <c r="M142" s="29">
        <f>ROUND(ROUND(J142, 2)*I142, 2)</f>
        <v>0</v>
      </c>
      <c r="P142" s="28">
        <v>18.34</v>
      </c>
      <c r="S142" s="29">
        <f>ROUND(ROUND(P142, 2)*I142, 2)</f>
        <v>0</v>
      </c>
    </row>
    <row r="143" spans="1:21" ht="18" x14ac:dyDescent="0.35">
      <c r="A143" s="10" t="s">
        <v>750</v>
      </c>
      <c r="B143" s="10"/>
      <c r="C143" s="24" t="s">
        <v>316</v>
      </c>
      <c r="D143" s="15"/>
      <c r="E143" s="15"/>
      <c r="F143" s="25" t="s">
        <v>81</v>
      </c>
      <c r="G143" s="26">
        <v>0.25</v>
      </c>
      <c r="H143" s="26"/>
      <c r="I143" s="26">
        <v>0</v>
      </c>
      <c r="J143" s="28">
        <v>100</v>
      </c>
      <c r="M143" s="29">
        <f>ROUND(ROUND(J143, 2)*I143, 2)</f>
        <v>0</v>
      </c>
      <c r="P143" s="28">
        <v>100</v>
      </c>
      <c r="S143" s="29">
        <f>ROUND(ROUND(P143, 2)*I143, 2)</f>
        <v>0</v>
      </c>
    </row>
    <row r="144" spans="1:21" ht="36" x14ac:dyDescent="0.35">
      <c r="A144" s="10" t="s">
        <v>755</v>
      </c>
      <c r="B144" s="10"/>
      <c r="C144" s="37" t="s">
        <v>756</v>
      </c>
      <c r="D144" s="15"/>
      <c r="E144" s="15" t="s">
        <v>704</v>
      </c>
      <c r="F144" s="25" t="s">
        <v>81</v>
      </c>
      <c r="G144" s="26">
        <v>1</v>
      </c>
      <c r="H144" s="27"/>
      <c r="I144" s="27">
        <v>0</v>
      </c>
      <c r="J144" s="28">
        <v>7.59</v>
      </c>
      <c r="M144" s="29">
        <f>ROUND(ROUND(J144, 2)*I144, 2)</f>
        <v>0</v>
      </c>
      <c r="P144" s="28">
        <v>8.35</v>
      </c>
      <c r="S144" s="29">
        <f>ROUND(ROUND(P144, 2)*I144, 2)</f>
        <v>0</v>
      </c>
    </row>
    <row r="145" spans="1:21" ht="54" x14ac:dyDescent="0.35">
      <c r="A145" s="10" t="s">
        <v>762</v>
      </c>
      <c r="B145" s="10" t="s">
        <v>684</v>
      </c>
      <c r="C145" s="14" t="s">
        <v>685</v>
      </c>
      <c r="D145" s="15"/>
      <c r="E145" s="15" t="s">
        <v>763</v>
      </c>
      <c r="F145" s="15" t="s">
        <v>56</v>
      </c>
      <c r="G145" s="16">
        <v>1</v>
      </c>
      <c r="H145" s="16"/>
      <c r="I145" s="16">
        <v>0</v>
      </c>
      <c r="J145" s="17">
        <f>IFERROR(ROUND(SUM(M146,M147,M148)/I145, 2),0)</f>
        <v>0</v>
      </c>
      <c r="K145" s="18">
        <v>826</v>
      </c>
      <c r="L145" s="17">
        <f>J145+ROUND(K145, 2)</f>
        <v>826</v>
      </c>
      <c r="M145" s="17">
        <f>ROUND(J145*I145, 2)</f>
        <v>0</v>
      </c>
      <c r="N145" s="17">
        <f>ROUND(I145*ROUND(K145, 2), 2)</f>
        <v>0</v>
      </c>
      <c r="O145" s="17">
        <f>M145+N145</f>
        <v>0</v>
      </c>
      <c r="P145" s="17">
        <f>IFERROR(ROUND(SUM(S146,S147,S148)/I145, 2),0)</f>
        <v>0</v>
      </c>
      <c r="Q145" s="18">
        <v>826</v>
      </c>
      <c r="R145" s="17">
        <f>P145+ROUND(Q145, 2)</f>
        <v>826</v>
      </c>
      <c r="S145" s="17">
        <f>ROUND(P145*I145, 2)</f>
        <v>0</v>
      </c>
      <c r="T145" s="17">
        <f>ROUND(I145*ROUND(Q145, 2), 2)</f>
        <v>0</v>
      </c>
      <c r="U145" s="17">
        <f>S145+T145</f>
        <v>0</v>
      </c>
    </row>
    <row r="146" spans="1:21" ht="18" x14ac:dyDescent="0.35">
      <c r="A146" s="10" t="s">
        <v>765</v>
      </c>
      <c r="B146" s="10"/>
      <c r="C146" s="24" t="s">
        <v>711</v>
      </c>
      <c r="D146" s="15"/>
      <c r="E146" s="15"/>
      <c r="F146" s="25" t="s">
        <v>129</v>
      </c>
      <c r="G146" s="26">
        <v>1.1000000000000001</v>
      </c>
      <c r="H146" s="27"/>
      <c r="I146" s="27">
        <v>0</v>
      </c>
      <c r="J146" s="28">
        <v>18.34</v>
      </c>
      <c r="M146" s="29">
        <f>ROUND(ROUND(J146, 2)*I146, 2)</f>
        <v>0</v>
      </c>
      <c r="P146" s="28">
        <v>18.34</v>
      </c>
      <c r="S146" s="29">
        <f>ROUND(ROUND(P146, 2)*I146, 2)</f>
        <v>0</v>
      </c>
    </row>
    <row r="147" spans="1:21" ht="36" x14ac:dyDescent="0.35">
      <c r="A147" s="10" t="s">
        <v>770</v>
      </c>
      <c r="B147" s="10"/>
      <c r="C147" s="24" t="s">
        <v>771</v>
      </c>
      <c r="D147" s="15"/>
      <c r="E147" s="15"/>
      <c r="F147" s="25" t="s">
        <v>81</v>
      </c>
      <c r="G147" s="26">
        <v>0.15</v>
      </c>
      <c r="H147" s="27"/>
      <c r="I147" s="27">
        <v>0</v>
      </c>
      <c r="J147" s="28">
        <v>80</v>
      </c>
      <c r="M147" s="29">
        <f>ROUND(ROUND(J147, 2)*I147, 2)</f>
        <v>0</v>
      </c>
      <c r="P147" s="28">
        <v>80</v>
      </c>
      <c r="S147" s="29">
        <f>ROUND(ROUND(P147, 2)*I147, 2)</f>
        <v>0</v>
      </c>
    </row>
    <row r="148" spans="1:21" ht="36" x14ac:dyDescent="0.35">
      <c r="A148" s="10" t="s">
        <v>777</v>
      </c>
      <c r="B148" s="10"/>
      <c r="C148" s="37" t="s">
        <v>756</v>
      </c>
      <c r="D148" s="15"/>
      <c r="E148" s="15" t="s">
        <v>704</v>
      </c>
      <c r="F148" s="25" t="s">
        <v>81</v>
      </c>
      <c r="G148" s="26">
        <v>1</v>
      </c>
      <c r="H148" s="27"/>
      <c r="I148" s="27">
        <v>0</v>
      </c>
      <c r="J148" s="28">
        <v>7.59</v>
      </c>
      <c r="M148" s="29">
        <f>ROUND(ROUND(J148, 2)*I148, 2)</f>
        <v>0</v>
      </c>
      <c r="P148" s="28">
        <v>8.35</v>
      </c>
      <c r="S148" s="29">
        <f>ROUND(ROUND(P148, 2)*I148, 2)</f>
        <v>0</v>
      </c>
    </row>
    <row r="149" spans="1:21" ht="54" x14ac:dyDescent="0.35">
      <c r="A149" s="10" t="s">
        <v>782</v>
      </c>
      <c r="B149" s="10" t="s">
        <v>684</v>
      </c>
      <c r="C149" s="14" t="s">
        <v>685</v>
      </c>
      <c r="D149" s="15"/>
      <c r="E149" s="15" t="s">
        <v>783</v>
      </c>
      <c r="F149" s="15" t="s">
        <v>56</v>
      </c>
      <c r="G149" s="16">
        <v>1</v>
      </c>
      <c r="H149" s="16"/>
      <c r="I149" s="16">
        <v>0</v>
      </c>
      <c r="J149" s="17">
        <f>IFERROR(ROUND(SUM(M150,M151,M152,M153)/I149, 2),0)</f>
        <v>0</v>
      </c>
      <c r="K149" s="18">
        <v>826</v>
      </c>
      <c r="L149" s="17">
        <f>J149+ROUND(K149, 2)</f>
        <v>826</v>
      </c>
      <c r="M149" s="17">
        <f>ROUND(J149*I149, 2)</f>
        <v>0</v>
      </c>
      <c r="N149" s="17">
        <f>ROUND(I149*ROUND(K149, 2), 2)</f>
        <v>0</v>
      </c>
      <c r="O149" s="17">
        <f>M149+N149</f>
        <v>0</v>
      </c>
      <c r="P149" s="17">
        <f>IFERROR(ROUND(SUM(S150,S151,S152,S153)/I149, 2),0)</f>
        <v>0</v>
      </c>
      <c r="Q149" s="18">
        <v>826</v>
      </c>
      <c r="R149" s="17">
        <f>P149+ROUND(Q149, 2)</f>
        <v>826</v>
      </c>
      <c r="S149" s="17">
        <f>ROUND(P149*I149, 2)</f>
        <v>0</v>
      </c>
      <c r="T149" s="17">
        <f>ROUND(I149*ROUND(Q149, 2), 2)</f>
        <v>0</v>
      </c>
      <c r="U149" s="17">
        <f>S149+T149</f>
        <v>0</v>
      </c>
    </row>
    <row r="150" spans="1:21" ht="18" x14ac:dyDescent="0.35">
      <c r="A150" s="10" t="s">
        <v>785</v>
      </c>
      <c r="B150" s="10"/>
      <c r="C150" s="24" t="s">
        <v>711</v>
      </c>
      <c r="D150" s="15"/>
      <c r="E150" s="15"/>
      <c r="F150" s="25" t="s">
        <v>129</v>
      </c>
      <c r="G150" s="26">
        <v>1.1000000000000001</v>
      </c>
      <c r="H150" s="27"/>
      <c r="I150" s="27">
        <v>0</v>
      </c>
      <c r="J150" s="28">
        <v>18.34</v>
      </c>
      <c r="M150" s="29">
        <f>ROUND(ROUND(J150, 2)*I150, 2)</f>
        <v>0</v>
      </c>
      <c r="P150" s="28">
        <v>18.34</v>
      </c>
      <c r="S150" s="29">
        <f>ROUND(ROUND(P150, 2)*I150, 2)</f>
        <v>0</v>
      </c>
    </row>
    <row r="151" spans="1:21" ht="18" x14ac:dyDescent="0.35">
      <c r="A151" s="10" t="s">
        <v>790</v>
      </c>
      <c r="B151" s="10"/>
      <c r="C151" s="24" t="s">
        <v>703</v>
      </c>
      <c r="D151" s="15"/>
      <c r="E151" s="15" t="s">
        <v>704</v>
      </c>
      <c r="F151" s="25" t="s">
        <v>81</v>
      </c>
      <c r="G151" s="26">
        <v>1.8</v>
      </c>
      <c r="H151" s="27"/>
      <c r="I151" s="27">
        <v>0</v>
      </c>
      <c r="J151" s="28">
        <v>5.85</v>
      </c>
      <c r="M151" s="29">
        <f>ROUND(ROUND(J151, 2)*I151, 2)</f>
        <v>0</v>
      </c>
      <c r="P151" s="28">
        <v>5.85</v>
      </c>
      <c r="S151" s="29">
        <f>ROUND(ROUND(P151, 2)*I151, 2)</f>
        <v>0</v>
      </c>
    </row>
    <row r="152" spans="1:21" ht="18" x14ac:dyDescent="0.35">
      <c r="A152" s="10" t="s">
        <v>795</v>
      </c>
      <c r="B152" s="10"/>
      <c r="C152" s="24" t="s">
        <v>316</v>
      </c>
      <c r="D152" s="15"/>
      <c r="E152" s="15"/>
      <c r="F152" s="25" t="s">
        <v>81</v>
      </c>
      <c r="G152" s="26">
        <v>0.25</v>
      </c>
      <c r="H152" s="26"/>
      <c r="I152" s="26">
        <v>0</v>
      </c>
      <c r="J152" s="28">
        <v>100</v>
      </c>
      <c r="M152" s="29">
        <f>ROUND(ROUND(J152, 2)*I152, 2)</f>
        <v>0</v>
      </c>
      <c r="P152" s="28">
        <v>100</v>
      </c>
      <c r="S152" s="29">
        <f>ROUND(ROUND(P152, 2)*I152, 2)</f>
        <v>0</v>
      </c>
    </row>
    <row r="153" spans="1:21" ht="18" x14ac:dyDescent="0.35">
      <c r="A153" s="10" t="s">
        <v>800</v>
      </c>
      <c r="B153" s="10"/>
      <c r="C153" s="24" t="s">
        <v>691</v>
      </c>
      <c r="D153" s="15"/>
      <c r="E153" s="15"/>
      <c r="F153" s="25" t="s">
        <v>56</v>
      </c>
      <c r="G153" s="26">
        <v>1.1000000000000001</v>
      </c>
      <c r="H153" s="26"/>
      <c r="I153" s="26">
        <v>0</v>
      </c>
      <c r="J153" s="28">
        <v>27.55</v>
      </c>
      <c r="M153" s="29">
        <f>ROUND(ROUND(J153, 2)*I153, 2)</f>
        <v>0</v>
      </c>
      <c r="P153" s="28">
        <v>27.55</v>
      </c>
      <c r="S153" s="29">
        <f>ROUND(ROUND(P153, 2)*I153, 2)</f>
        <v>0</v>
      </c>
    </row>
    <row r="154" spans="1:21" ht="54" x14ac:dyDescent="0.35">
      <c r="A154" s="10" t="s">
        <v>805</v>
      </c>
      <c r="B154" s="10" t="s">
        <v>684</v>
      </c>
      <c r="C154" s="14" t="s">
        <v>685</v>
      </c>
      <c r="D154" s="15"/>
      <c r="E154" s="15" t="s">
        <v>806</v>
      </c>
      <c r="F154" s="15" t="s">
        <v>56</v>
      </c>
      <c r="G154" s="16">
        <v>1</v>
      </c>
      <c r="H154" s="16"/>
      <c r="I154" s="16">
        <v>0</v>
      </c>
      <c r="J154" s="17">
        <f>IFERROR(ROUND(SUM(M155,M156,M157,M158)/I154, 2),0)</f>
        <v>0</v>
      </c>
      <c r="K154" s="18">
        <v>826</v>
      </c>
      <c r="L154" s="17">
        <f>J154+ROUND(K154, 2)</f>
        <v>826</v>
      </c>
      <c r="M154" s="17">
        <f>ROUND(J154*I154, 2)</f>
        <v>0</v>
      </c>
      <c r="N154" s="17">
        <f>ROUND(I154*ROUND(K154, 2), 2)</f>
        <v>0</v>
      </c>
      <c r="O154" s="17">
        <f>M154+N154</f>
        <v>0</v>
      </c>
      <c r="P154" s="17">
        <f>IFERROR(ROUND(SUM(S155,S156,S157,S158)/I154, 2),0)</f>
        <v>0</v>
      </c>
      <c r="Q154" s="18">
        <v>826</v>
      </c>
      <c r="R154" s="17">
        <f>P154+ROUND(Q154, 2)</f>
        <v>826</v>
      </c>
      <c r="S154" s="17">
        <f>ROUND(P154*I154, 2)</f>
        <v>0</v>
      </c>
      <c r="T154" s="17">
        <f>ROUND(I154*ROUND(Q154, 2), 2)</f>
        <v>0</v>
      </c>
      <c r="U154" s="17">
        <f>S154+T154</f>
        <v>0</v>
      </c>
    </row>
    <row r="155" spans="1:21" ht="18" x14ac:dyDescent="0.35">
      <c r="A155" s="10" t="s">
        <v>808</v>
      </c>
      <c r="B155" s="10"/>
      <c r="C155" s="24" t="s">
        <v>711</v>
      </c>
      <c r="D155" s="15"/>
      <c r="E155" s="15"/>
      <c r="F155" s="25" t="s">
        <v>129</v>
      </c>
      <c r="G155" s="26">
        <v>1.1000000000000001</v>
      </c>
      <c r="H155" s="27"/>
      <c r="I155" s="27">
        <v>0</v>
      </c>
      <c r="J155" s="28">
        <v>18.34</v>
      </c>
      <c r="M155" s="29">
        <f>ROUND(ROUND(J155, 2)*I155, 2)</f>
        <v>0</v>
      </c>
      <c r="P155" s="28">
        <v>18.34</v>
      </c>
      <c r="S155" s="29">
        <f>ROUND(ROUND(P155, 2)*I155, 2)</f>
        <v>0</v>
      </c>
    </row>
    <row r="156" spans="1:21" ht="18" x14ac:dyDescent="0.35">
      <c r="A156" s="10" t="s">
        <v>813</v>
      </c>
      <c r="B156" s="10"/>
      <c r="C156" s="24" t="s">
        <v>703</v>
      </c>
      <c r="D156" s="15"/>
      <c r="E156" s="15" t="s">
        <v>704</v>
      </c>
      <c r="F156" s="25" t="s">
        <v>81</v>
      </c>
      <c r="G156" s="26">
        <v>1.8</v>
      </c>
      <c r="H156" s="27"/>
      <c r="I156" s="27">
        <v>0</v>
      </c>
      <c r="J156" s="28">
        <v>5.85</v>
      </c>
      <c r="M156" s="29">
        <f>ROUND(ROUND(J156, 2)*I156, 2)</f>
        <v>0</v>
      </c>
      <c r="P156" s="28">
        <v>5.85</v>
      </c>
      <c r="S156" s="29">
        <f>ROUND(ROUND(P156, 2)*I156, 2)</f>
        <v>0</v>
      </c>
    </row>
    <row r="157" spans="1:21" ht="36" x14ac:dyDescent="0.35">
      <c r="A157" s="10" t="s">
        <v>818</v>
      </c>
      <c r="B157" s="10"/>
      <c r="C157" s="24" t="s">
        <v>771</v>
      </c>
      <c r="D157" s="15"/>
      <c r="E157" s="15"/>
      <c r="F157" s="25" t="s">
        <v>81</v>
      </c>
      <c r="G157" s="26">
        <v>0.15</v>
      </c>
      <c r="H157" s="27"/>
      <c r="I157" s="27">
        <v>0</v>
      </c>
      <c r="J157" s="28">
        <v>80</v>
      </c>
      <c r="M157" s="29">
        <f>ROUND(ROUND(J157, 2)*I157, 2)</f>
        <v>0</v>
      </c>
      <c r="P157" s="28">
        <v>80</v>
      </c>
      <c r="S157" s="29">
        <f>ROUND(ROUND(P157, 2)*I157, 2)</f>
        <v>0</v>
      </c>
    </row>
    <row r="158" spans="1:21" ht="18" x14ac:dyDescent="0.35">
      <c r="A158" s="10" t="s">
        <v>823</v>
      </c>
      <c r="B158" s="10"/>
      <c r="C158" s="24" t="s">
        <v>691</v>
      </c>
      <c r="D158" s="15"/>
      <c r="E158" s="15"/>
      <c r="F158" s="25" t="s">
        <v>56</v>
      </c>
      <c r="G158" s="26">
        <v>1.1000000000000001</v>
      </c>
      <c r="H158" s="26"/>
      <c r="I158" s="26">
        <v>0</v>
      </c>
      <c r="J158" s="28">
        <v>27.55</v>
      </c>
      <c r="M158" s="29">
        <f>ROUND(ROUND(J158, 2)*I158, 2)</f>
        <v>0</v>
      </c>
      <c r="P158" s="28">
        <v>27.55</v>
      </c>
      <c r="S158" s="29">
        <f>ROUND(ROUND(P158, 2)*I158, 2)</f>
        <v>0</v>
      </c>
    </row>
    <row r="159" spans="1:21" ht="54" x14ac:dyDescent="0.35">
      <c r="A159" s="10" t="s">
        <v>828</v>
      </c>
      <c r="B159" s="10" t="s">
        <v>684</v>
      </c>
      <c r="C159" s="14" t="s">
        <v>685</v>
      </c>
      <c r="D159" s="15"/>
      <c r="E159" s="15" t="s">
        <v>829</v>
      </c>
      <c r="F159" s="15" t="s">
        <v>56</v>
      </c>
      <c r="G159" s="16">
        <v>1</v>
      </c>
      <c r="H159" s="16"/>
      <c r="I159" s="16">
        <v>0</v>
      </c>
      <c r="J159" s="17">
        <f>IFERROR(ROUND(SUM(M160,M161,M162)/I159, 2),0)</f>
        <v>0</v>
      </c>
      <c r="K159" s="18">
        <v>826</v>
      </c>
      <c r="L159" s="17">
        <f>J159+ROUND(K159, 2)</f>
        <v>826</v>
      </c>
      <c r="M159" s="17">
        <f>ROUND(J159*I159, 2)</f>
        <v>0</v>
      </c>
      <c r="N159" s="17">
        <f>ROUND(I159*ROUND(K159, 2), 2)</f>
        <v>0</v>
      </c>
      <c r="O159" s="17">
        <f>M159+N159</f>
        <v>0</v>
      </c>
      <c r="P159" s="17">
        <f>IFERROR(ROUND(SUM(S160,S161,S162)/I159, 2),0)</f>
        <v>0</v>
      </c>
      <c r="Q159" s="18">
        <v>826</v>
      </c>
      <c r="R159" s="17">
        <f>P159+ROUND(Q159, 2)</f>
        <v>826</v>
      </c>
      <c r="S159" s="17">
        <f>ROUND(P159*I159, 2)</f>
        <v>0</v>
      </c>
      <c r="T159" s="17">
        <f>ROUND(I159*ROUND(Q159, 2), 2)</f>
        <v>0</v>
      </c>
      <c r="U159" s="17">
        <f>S159+T159</f>
        <v>0</v>
      </c>
    </row>
    <row r="160" spans="1:21" ht="18" x14ac:dyDescent="0.35">
      <c r="A160" s="10" t="s">
        <v>831</v>
      </c>
      <c r="B160" s="10"/>
      <c r="C160" s="24" t="s">
        <v>703</v>
      </c>
      <c r="D160" s="15"/>
      <c r="E160" s="15" t="s">
        <v>832</v>
      </c>
      <c r="F160" s="25" t="s">
        <v>81</v>
      </c>
      <c r="G160" s="26">
        <v>1.8</v>
      </c>
      <c r="H160" s="27"/>
      <c r="I160" s="27">
        <v>0</v>
      </c>
      <c r="J160" s="28">
        <v>5.85</v>
      </c>
      <c r="M160" s="29">
        <f>ROUND(ROUND(J160, 2)*I160, 2)</f>
        <v>0</v>
      </c>
      <c r="P160" s="28">
        <v>5.85</v>
      </c>
      <c r="S160" s="29">
        <f>ROUND(ROUND(P160, 2)*I160, 2)</f>
        <v>0</v>
      </c>
    </row>
    <row r="161" spans="1:21" ht="36" x14ac:dyDescent="0.35">
      <c r="A161" s="10" t="s">
        <v>837</v>
      </c>
      <c r="B161" s="10"/>
      <c r="C161" s="24" t="s">
        <v>771</v>
      </c>
      <c r="D161" s="15"/>
      <c r="E161" s="15"/>
      <c r="F161" s="25" t="s">
        <v>81</v>
      </c>
      <c r="G161" s="26">
        <v>0.15</v>
      </c>
      <c r="H161" s="27"/>
      <c r="I161" s="27">
        <v>0</v>
      </c>
      <c r="J161" s="28">
        <v>80</v>
      </c>
      <c r="M161" s="29">
        <f>ROUND(ROUND(J161, 2)*I161, 2)</f>
        <v>0</v>
      </c>
      <c r="P161" s="28">
        <v>80</v>
      </c>
      <c r="S161" s="29">
        <f>ROUND(ROUND(P161, 2)*I161, 2)</f>
        <v>0</v>
      </c>
    </row>
    <row r="162" spans="1:21" ht="18" x14ac:dyDescent="0.35">
      <c r="A162" s="10" t="s">
        <v>842</v>
      </c>
      <c r="B162" s="10"/>
      <c r="C162" s="24" t="s">
        <v>691</v>
      </c>
      <c r="D162" s="15"/>
      <c r="E162" s="15"/>
      <c r="F162" s="25" t="s">
        <v>56</v>
      </c>
      <c r="G162" s="26">
        <v>1.1000000000000001</v>
      </c>
      <c r="H162" s="26"/>
      <c r="I162" s="26">
        <v>0</v>
      </c>
      <c r="J162" s="28">
        <v>27.55</v>
      </c>
      <c r="M162" s="29">
        <f>ROUND(ROUND(J162, 2)*I162, 2)</f>
        <v>0</v>
      </c>
      <c r="P162" s="28">
        <v>27.55</v>
      </c>
      <c r="S162" s="29">
        <f>ROUND(ROUND(P162, 2)*I162, 2)</f>
        <v>0</v>
      </c>
    </row>
    <row r="163" spans="1:21" ht="54" x14ac:dyDescent="0.35">
      <c r="A163" s="10" t="s">
        <v>847</v>
      </c>
      <c r="B163" s="10" t="s">
        <v>848</v>
      </c>
      <c r="C163" s="14" t="s">
        <v>849</v>
      </c>
      <c r="D163" s="15"/>
      <c r="E163" s="15" t="s">
        <v>850</v>
      </c>
      <c r="F163" s="15" t="s">
        <v>56</v>
      </c>
      <c r="G163" s="16">
        <v>1</v>
      </c>
      <c r="H163" s="16"/>
      <c r="I163" s="16">
        <v>754.1</v>
      </c>
      <c r="J163" s="17">
        <f>IFERROR(ROUND(SUM(M164,M165,M166)/I163, 2),0)</f>
        <v>70.430000000000007</v>
      </c>
      <c r="K163" s="18">
        <v>329</v>
      </c>
      <c r="L163" s="17">
        <f>J163+ROUND(K163, 2)</f>
        <v>399.43</v>
      </c>
      <c r="M163" s="17">
        <f>ROUND(J163*I163, 2)</f>
        <v>53111.26</v>
      </c>
      <c r="N163" s="17">
        <f>ROUND(I163*ROUND(K163, 2), 2)</f>
        <v>248098.9</v>
      </c>
      <c r="O163" s="17">
        <f>M163+N163</f>
        <v>301210.15999999997</v>
      </c>
      <c r="P163" s="17">
        <f>IFERROR(ROUND(SUM(S164,S165,S166)/I163, 2),0)</f>
        <v>70.430000000000007</v>
      </c>
      <c r="Q163" s="18">
        <v>329</v>
      </c>
      <c r="R163" s="17">
        <f>P163+ROUND(Q163, 2)</f>
        <v>399.43</v>
      </c>
      <c r="S163" s="17">
        <f>ROUND(P163*I163, 2)</f>
        <v>53111.26</v>
      </c>
      <c r="T163" s="17">
        <f>ROUND(I163*ROUND(Q163, 2), 2)</f>
        <v>248098.9</v>
      </c>
      <c r="U163" s="17">
        <f>S163+T163</f>
        <v>301210.15999999997</v>
      </c>
    </row>
    <row r="164" spans="1:21" ht="54" x14ac:dyDescent="0.35">
      <c r="A164" s="10" t="s">
        <v>853</v>
      </c>
      <c r="B164" s="10"/>
      <c r="C164" s="24" t="s">
        <v>854</v>
      </c>
      <c r="D164" s="15"/>
      <c r="E164" s="15" t="s">
        <v>855</v>
      </c>
      <c r="F164" s="25" t="s">
        <v>81</v>
      </c>
      <c r="G164" s="26">
        <v>2</v>
      </c>
      <c r="H164" s="26"/>
      <c r="I164" s="26">
        <v>1508.2</v>
      </c>
      <c r="J164" s="28">
        <v>23</v>
      </c>
      <c r="M164" s="29">
        <f>ROUND(ROUND(J164, 2)*I164, 2)</f>
        <v>34688.6</v>
      </c>
      <c r="P164" s="28">
        <v>23</v>
      </c>
      <c r="S164" s="29">
        <f>ROUND(ROUND(P164, 2)*I164, 2)</f>
        <v>34688.6</v>
      </c>
    </row>
    <row r="165" spans="1:21" ht="18" x14ac:dyDescent="0.35">
      <c r="A165" s="10" t="s">
        <v>859</v>
      </c>
      <c r="B165" s="10"/>
      <c r="C165" s="24" t="s">
        <v>860</v>
      </c>
      <c r="D165" s="15"/>
      <c r="E165" s="15"/>
      <c r="F165" s="25" t="s">
        <v>103</v>
      </c>
      <c r="G165" s="26">
        <v>0.3</v>
      </c>
      <c r="H165" s="27"/>
      <c r="I165" s="27">
        <v>226.23</v>
      </c>
      <c r="J165" s="28">
        <v>37.049999999999997</v>
      </c>
      <c r="M165" s="29">
        <f>ROUND(ROUND(J165, 2)*I165, 2)</f>
        <v>8381.82</v>
      </c>
      <c r="P165" s="28">
        <v>37.049999999999997</v>
      </c>
      <c r="S165" s="29">
        <f>ROUND(ROUND(P165, 2)*I165, 2)</f>
        <v>8381.82</v>
      </c>
    </row>
    <row r="166" spans="1:21" ht="36" x14ac:dyDescent="0.35">
      <c r="A166" s="10" t="s">
        <v>864</v>
      </c>
      <c r="B166" s="10"/>
      <c r="C166" s="24" t="s">
        <v>493</v>
      </c>
      <c r="D166" s="15"/>
      <c r="E166" s="15"/>
      <c r="F166" s="25" t="s">
        <v>81</v>
      </c>
      <c r="G166" s="26">
        <v>0.15</v>
      </c>
      <c r="H166" s="26"/>
      <c r="I166" s="26">
        <v>113.11499999999999</v>
      </c>
      <c r="J166" s="28">
        <v>88.8</v>
      </c>
      <c r="M166" s="29">
        <f>ROUND(ROUND(J166, 2)*I166, 2)</f>
        <v>10044.61</v>
      </c>
      <c r="P166" s="28">
        <v>88.8</v>
      </c>
      <c r="S166" s="29">
        <f>ROUND(ROUND(P166, 2)*I166, 2)</f>
        <v>10044.61</v>
      </c>
    </row>
    <row r="167" spans="1:21" ht="54" x14ac:dyDescent="0.35">
      <c r="A167" s="10" t="s">
        <v>867</v>
      </c>
      <c r="B167" s="10" t="s">
        <v>848</v>
      </c>
      <c r="C167" s="14" t="s">
        <v>849</v>
      </c>
      <c r="D167" s="15"/>
      <c r="E167" s="15" t="s">
        <v>1794</v>
      </c>
      <c r="F167" s="15" t="s">
        <v>56</v>
      </c>
      <c r="G167" s="16">
        <v>1</v>
      </c>
      <c r="H167" s="16"/>
      <c r="I167" s="16">
        <v>754.1</v>
      </c>
      <c r="J167" s="17">
        <f>IFERROR(ROUND(SUM(M168,M169,M170)/I167, 2),0)</f>
        <v>84.43</v>
      </c>
      <c r="K167" s="18">
        <v>329</v>
      </c>
      <c r="L167" s="17">
        <f>J167+ROUND(K167, 2)</f>
        <v>413.43</v>
      </c>
      <c r="M167" s="17">
        <f>ROUND(J167*I167, 2)</f>
        <v>63668.66</v>
      </c>
      <c r="N167" s="17">
        <f>ROUND(I167*ROUND(K167, 2), 2)</f>
        <v>248098.9</v>
      </c>
      <c r="O167" s="17">
        <f>M167+N167</f>
        <v>311767.56</v>
      </c>
      <c r="P167" s="17">
        <f>IFERROR(ROUND(SUM(S168,S169,S170)/I167, 2),0)</f>
        <v>37.01</v>
      </c>
      <c r="Q167" s="18">
        <v>329</v>
      </c>
      <c r="R167" s="17">
        <f>P167+ROUND(Q167, 2)</f>
        <v>366.01</v>
      </c>
      <c r="S167" s="17">
        <f>ROUND(P167*I167, 2)</f>
        <v>27909.24</v>
      </c>
      <c r="T167" s="17">
        <f>ROUND(I167*ROUND(Q167, 2), 2)</f>
        <v>248098.9</v>
      </c>
      <c r="U167" s="17">
        <f>S167+T167</f>
        <v>276008.14</v>
      </c>
    </row>
    <row r="168" spans="1:21" ht="36" x14ac:dyDescent="0.35">
      <c r="A168" s="10" t="s">
        <v>868</v>
      </c>
      <c r="B168" s="10"/>
      <c r="C168" s="24" t="s">
        <v>493</v>
      </c>
      <c r="D168" s="15"/>
      <c r="E168" s="15"/>
      <c r="F168" s="25" t="s">
        <v>81</v>
      </c>
      <c r="G168" s="26">
        <v>0.15</v>
      </c>
      <c r="H168" s="26"/>
      <c r="I168" s="26">
        <v>113.11499999999999</v>
      </c>
      <c r="J168" s="28">
        <v>88.8</v>
      </c>
      <c r="M168" s="29">
        <f>ROUND(ROUND(J168, 2)*I168, 2)</f>
        <v>10044.61</v>
      </c>
      <c r="P168" s="28">
        <v>88.8</v>
      </c>
      <c r="S168" s="29">
        <f>ROUND(ROUND(P168, 2)*I168, 2)</f>
        <v>10044.61</v>
      </c>
    </row>
    <row r="169" spans="1:21" ht="18" x14ac:dyDescent="0.35">
      <c r="A169" s="10" t="s">
        <v>871</v>
      </c>
      <c r="B169" s="10"/>
      <c r="C169" s="24" t="s">
        <v>860</v>
      </c>
      <c r="D169" s="15"/>
      <c r="E169" s="15"/>
      <c r="F169" s="25" t="s">
        <v>103</v>
      </c>
      <c r="G169" s="26">
        <v>0.3</v>
      </c>
      <c r="H169" s="27"/>
      <c r="I169" s="27">
        <v>226.23</v>
      </c>
      <c r="J169" s="28">
        <v>37.049999999999997</v>
      </c>
      <c r="M169" s="29">
        <f>ROUND(ROUND(J169, 2)*I169, 2)</f>
        <v>8381.82</v>
      </c>
      <c r="P169" s="28">
        <v>37.049999999999997</v>
      </c>
      <c r="S169" s="29">
        <f>ROUND(ROUND(P169, 2)*I169, 2)</f>
        <v>8381.82</v>
      </c>
    </row>
    <row r="170" spans="1:21" ht="36" x14ac:dyDescent="0.35">
      <c r="A170" s="10" t="s">
        <v>874</v>
      </c>
      <c r="B170" s="10"/>
      <c r="C170" s="24" t="s">
        <v>875</v>
      </c>
      <c r="D170" s="15"/>
      <c r="E170" s="15"/>
      <c r="F170" s="25" t="s">
        <v>81</v>
      </c>
      <c r="G170" s="26">
        <v>1</v>
      </c>
      <c r="H170" s="26"/>
      <c r="I170" s="26">
        <v>754.1</v>
      </c>
      <c r="J170" s="28">
        <v>60</v>
      </c>
      <c r="M170" s="29">
        <f>ROUND(ROUND(J170, 2)*I170, 2)</f>
        <v>45246</v>
      </c>
      <c r="P170" s="28">
        <v>12.58</v>
      </c>
      <c r="S170" s="29">
        <f>ROUND(ROUND(P170, 2)*I170, 2)</f>
        <v>9486.58</v>
      </c>
    </row>
    <row r="171" spans="1:21" ht="54" x14ac:dyDescent="0.35">
      <c r="A171" s="10" t="s">
        <v>879</v>
      </c>
      <c r="B171" s="10" t="s">
        <v>848</v>
      </c>
      <c r="C171" s="14" t="s">
        <v>849</v>
      </c>
      <c r="D171" s="15"/>
      <c r="E171" s="15" t="s">
        <v>1794</v>
      </c>
      <c r="F171" s="15" t="s">
        <v>56</v>
      </c>
      <c r="G171" s="16">
        <v>1</v>
      </c>
      <c r="H171" s="16"/>
      <c r="I171" s="16">
        <v>754.1</v>
      </c>
      <c r="J171" s="17">
        <f>IFERROR(ROUND(SUM(M172,M173,M174)/I171, 2),0)</f>
        <v>65.83</v>
      </c>
      <c r="K171" s="18">
        <v>329</v>
      </c>
      <c r="L171" s="17">
        <f>J171+ROUND(K171, 2)</f>
        <v>394.83</v>
      </c>
      <c r="M171" s="17">
        <f>ROUND(J171*I171, 2)</f>
        <v>49642.400000000001</v>
      </c>
      <c r="N171" s="17">
        <f>ROUND(I171*ROUND(K171, 2), 2)</f>
        <v>248098.9</v>
      </c>
      <c r="O171" s="17">
        <f>M171+N171</f>
        <v>297741.3</v>
      </c>
      <c r="P171" s="17">
        <f>IFERROR(ROUND(SUM(S172,S173,S174)/I171, 2),0)</f>
        <v>47.08</v>
      </c>
      <c r="Q171" s="18">
        <v>329</v>
      </c>
      <c r="R171" s="17">
        <f>P171+ROUND(Q171, 2)</f>
        <v>376.08</v>
      </c>
      <c r="S171" s="17">
        <f>ROUND(P171*I171, 2)</f>
        <v>35503.03</v>
      </c>
      <c r="T171" s="17">
        <f>ROUND(I171*ROUND(Q171, 2), 2)</f>
        <v>248098.9</v>
      </c>
      <c r="U171" s="17">
        <f>S171+T171</f>
        <v>283601.93</v>
      </c>
    </row>
    <row r="172" spans="1:21" ht="36" x14ac:dyDescent="0.35">
      <c r="A172" s="10" t="s">
        <v>880</v>
      </c>
      <c r="B172" s="10"/>
      <c r="C172" s="24" t="s">
        <v>493</v>
      </c>
      <c r="D172" s="15"/>
      <c r="E172" s="15"/>
      <c r="F172" s="25" t="s">
        <v>81</v>
      </c>
      <c r="G172" s="26">
        <v>0.15</v>
      </c>
      <c r="H172" s="26"/>
      <c r="I172" s="26">
        <v>113.11499999999999</v>
      </c>
      <c r="J172" s="28">
        <v>88.8</v>
      </c>
      <c r="M172" s="29">
        <f>ROUND(ROUND(J172, 2)*I172, 2)</f>
        <v>10044.61</v>
      </c>
      <c r="P172" s="28">
        <v>88.8</v>
      </c>
      <c r="S172" s="29">
        <f>ROUND(ROUND(P172, 2)*I172, 2)</f>
        <v>10044.61</v>
      </c>
    </row>
    <row r="173" spans="1:21" ht="18" x14ac:dyDescent="0.35">
      <c r="A173" s="10" t="s">
        <v>883</v>
      </c>
      <c r="B173" s="10"/>
      <c r="C173" s="24" t="s">
        <v>860</v>
      </c>
      <c r="D173" s="15"/>
      <c r="E173" s="15"/>
      <c r="F173" s="25" t="s">
        <v>103</v>
      </c>
      <c r="G173" s="26">
        <v>0.3</v>
      </c>
      <c r="H173" s="27"/>
      <c r="I173" s="27">
        <v>226.23</v>
      </c>
      <c r="J173" s="28">
        <v>37.049999999999997</v>
      </c>
      <c r="M173" s="29">
        <f>ROUND(ROUND(J173, 2)*I173, 2)</f>
        <v>8381.82</v>
      </c>
      <c r="P173" s="28">
        <v>37.049999999999997</v>
      </c>
      <c r="S173" s="29">
        <f>ROUND(ROUND(P173, 2)*I173, 2)</f>
        <v>8381.82</v>
      </c>
    </row>
    <row r="174" spans="1:21" ht="36" x14ac:dyDescent="0.35">
      <c r="A174" s="10" t="s">
        <v>886</v>
      </c>
      <c r="B174" s="10"/>
      <c r="C174" s="24" t="s">
        <v>887</v>
      </c>
      <c r="D174" s="15"/>
      <c r="E174" s="15"/>
      <c r="F174" s="25" t="s">
        <v>81</v>
      </c>
      <c r="G174" s="26">
        <v>1.8</v>
      </c>
      <c r="H174" s="26"/>
      <c r="I174" s="26">
        <v>1357.38</v>
      </c>
      <c r="J174" s="28">
        <v>23</v>
      </c>
      <c r="M174" s="29">
        <f>ROUND(ROUND(J174, 2)*I174, 2)</f>
        <v>31219.74</v>
      </c>
      <c r="P174" s="28">
        <v>12.58</v>
      </c>
      <c r="S174" s="29">
        <f>ROUND(ROUND(P174, 2)*I174, 2)</f>
        <v>17075.84</v>
      </c>
    </row>
    <row r="175" spans="1:21" ht="54" x14ac:dyDescent="0.35">
      <c r="A175" s="10" t="s">
        <v>891</v>
      </c>
      <c r="B175" s="10" t="s">
        <v>848</v>
      </c>
      <c r="C175" s="14" t="s">
        <v>849</v>
      </c>
      <c r="D175" s="15"/>
      <c r="E175" s="15" t="s">
        <v>1795</v>
      </c>
      <c r="F175" s="15" t="s">
        <v>56</v>
      </c>
      <c r="G175" s="16">
        <v>1</v>
      </c>
      <c r="H175" s="16"/>
      <c r="I175" s="16">
        <v>0</v>
      </c>
      <c r="J175" s="17">
        <f>IFERROR(ROUND(SUM(M176,M177,M178,M179)/I175, 2),0)</f>
        <v>0</v>
      </c>
      <c r="K175" s="18">
        <v>329</v>
      </c>
      <c r="L175" s="17">
        <f>J175+ROUND(K175, 2)</f>
        <v>329</v>
      </c>
      <c r="M175" s="17">
        <f>ROUND(J175*I175, 2)</f>
        <v>0</v>
      </c>
      <c r="N175" s="17">
        <f>ROUND(I175*ROUND(K175, 2), 2)</f>
        <v>0</v>
      </c>
      <c r="O175" s="17">
        <f>M175+N175</f>
        <v>0</v>
      </c>
      <c r="P175" s="17">
        <f>IFERROR(ROUND(SUM(S176,S177,S178,S179)/I175, 2),0)</f>
        <v>0</v>
      </c>
      <c r="Q175" s="18">
        <v>329</v>
      </c>
      <c r="R175" s="17">
        <f>P175+ROUND(Q175, 2)</f>
        <v>329</v>
      </c>
      <c r="S175" s="17">
        <f>ROUND(P175*I175, 2)</f>
        <v>0</v>
      </c>
      <c r="T175" s="17">
        <f>ROUND(I175*ROUND(Q175, 2), 2)</f>
        <v>0</v>
      </c>
      <c r="U175" s="17">
        <f>S175+T175</f>
        <v>0</v>
      </c>
    </row>
    <row r="176" spans="1:21" ht="36" x14ac:dyDescent="0.35">
      <c r="A176" s="10" t="s">
        <v>894</v>
      </c>
      <c r="B176" s="10"/>
      <c r="C176" s="24" t="s">
        <v>895</v>
      </c>
      <c r="D176" s="15"/>
      <c r="E176" s="15"/>
      <c r="F176" s="25" t="s">
        <v>81</v>
      </c>
      <c r="G176" s="26">
        <v>0.1</v>
      </c>
      <c r="H176" s="26"/>
      <c r="I176" s="26">
        <v>0</v>
      </c>
      <c r="J176" s="28">
        <v>142.9</v>
      </c>
      <c r="M176" s="29">
        <f>ROUND(ROUND(J176, 2)*I176, 2)</f>
        <v>0</v>
      </c>
      <c r="P176" s="28">
        <v>142.9</v>
      </c>
      <c r="S176" s="29">
        <f>ROUND(ROUND(P176, 2)*I176, 2)</f>
        <v>0</v>
      </c>
    </row>
    <row r="177" spans="1:21" ht="18" x14ac:dyDescent="0.35">
      <c r="A177" s="10" t="s">
        <v>901</v>
      </c>
      <c r="B177" s="10"/>
      <c r="C177" s="24" t="s">
        <v>902</v>
      </c>
      <c r="D177" s="15"/>
      <c r="E177" s="15"/>
      <c r="F177" s="25" t="s">
        <v>129</v>
      </c>
      <c r="G177" s="26">
        <v>1</v>
      </c>
      <c r="H177" s="27"/>
      <c r="I177" s="27">
        <v>0</v>
      </c>
      <c r="J177" s="28">
        <v>7</v>
      </c>
      <c r="M177" s="29">
        <f>ROUND(ROUND(J177, 2)*I177, 2)</f>
        <v>0</v>
      </c>
      <c r="P177" s="28">
        <v>7</v>
      </c>
      <c r="S177" s="29">
        <f>ROUND(ROUND(P177, 2)*I177, 2)</f>
        <v>0</v>
      </c>
    </row>
    <row r="178" spans="1:21" ht="18" x14ac:dyDescent="0.35">
      <c r="A178" s="10" t="s">
        <v>908</v>
      </c>
      <c r="B178" s="10"/>
      <c r="C178" s="24" t="s">
        <v>860</v>
      </c>
      <c r="D178" s="15"/>
      <c r="E178" s="15"/>
      <c r="F178" s="25" t="s">
        <v>103</v>
      </c>
      <c r="G178" s="26">
        <v>0.3</v>
      </c>
      <c r="H178" s="27"/>
      <c r="I178" s="27">
        <v>0</v>
      </c>
      <c r="J178" s="28">
        <v>37.049999999999997</v>
      </c>
      <c r="M178" s="29">
        <f>ROUND(ROUND(J178, 2)*I178, 2)</f>
        <v>0</v>
      </c>
      <c r="P178" s="28">
        <v>37.049999999999997</v>
      </c>
      <c r="S178" s="29">
        <f>ROUND(ROUND(P178, 2)*I178, 2)</f>
        <v>0</v>
      </c>
    </row>
    <row r="179" spans="1:21" ht="36" x14ac:dyDescent="0.35">
      <c r="A179" s="10" t="s">
        <v>913</v>
      </c>
      <c r="B179" s="10"/>
      <c r="C179" s="37" t="s">
        <v>914</v>
      </c>
      <c r="D179" s="15"/>
      <c r="E179" s="15"/>
      <c r="F179" s="25" t="s">
        <v>81</v>
      </c>
      <c r="G179" s="26">
        <v>1.8</v>
      </c>
      <c r="H179" s="26"/>
      <c r="I179" s="26">
        <v>0</v>
      </c>
      <c r="J179" s="28">
        <v>12.58</v>
      </c>
      <c r="M179" s="29">
        <f>ROUND(ROUND(J179, 2)*I179, 2)</f>
        <v>0</v>
      </c>
      <c r="P179" s="28">
        <v>12.58</v>
      </c>
      <c r="S179" s="29">
        <f>ROUND(ROUND(P179, 2)*I179, 2)</f>
        <v>0</v>
      </c>
    </row>
    <row r="180" spans="1:21" ht="54" x14ac:dyDescent="0.35">
      <c r="A180" s="10" t="s">
        <v>920</v>
      </c>
      <c r="B180" s="10" t="s">
        <v>848</v>
      </c>
      <c r="C180" s="14" t="s">
        <v>849</v>
      </c>
      <c r="D180" s="15"/>
      <c r="E180" s="15" t="s">
        <v>921</v>
      </c>
      <c r="F180" s="15" t="s">
        <v>56</v>
      </c>
      <c r="G180" s="16">
        <v>1</v>
      </c>
      <c r="H180" s="16"/>
      <c r="I180" s="16">
        <v>0</v>
      </c>
      <c r="J180" s="17">
        <f>IFERROR(ROUND(SUM(M181,M182,M183,M184)/I180, 2),0)</f>
        <v>0</v>
      </c>
      <c r="K180" s="18">
        <v>329</v>
      </c>
      <c r="L180" s="17">
        <f>J180+ROUND(K180, 2)</f>
        <v>329</v>
      </c>
      <c r="M180" s="17">
        <f>ROUND(J180*I180, 2)</f>
        <v>0</v>
      </c>
      <c r="N180" s="17">
        <f>ROUND(I180*ROUND(K180, 2), 2)</f>
        <v>0</v>
      </c>
      <c r="O180" s="17">
        <f>M180+N180</f>
        <v>0</v>
      </c>
      <c r="P180" s="17">
        <f>IFERROR(ROUND(SUM(S181,S182,S183,S184)/I180, 2),0)</f>
        <v>0</v>
      </c>
      <c r="Q180" s="18">
        <v>329</v>
      </c>
      <c r="R180" s="17">
        <f>P180+ROUND(Q180, 2)</f>
        <v>329</v>
      </c>
      <c r="S180" s="17">
        <f>ROUND(P180*I180, 2)</f>
        <v>0</v>
      </c>
      <c r="T180" s="17">
        <f>ROUND(I180*ROUND(Q180, 2), 2)</f>
        <v>0</v>
      </c>
      <c r="U180" s="17">
        <f>S180+T180</f>
        <v>0</v>
      </c>
    </row>
    <row r="181" spans="1:21" ht="36" x14ac:dyDescent="0.35">
      <c r="A181" s="10" t="s">
        <v>923</v>
      </c>
      <c r="B181" s="10"/>
      <c r="C181" s="24" t="s">
        <v>493</v>
      </c>
      <c r="D181" s="15"/>
      <c r="E181" s="15"/>
      <c r="F181" s="25" t="s">
        <v>81</v>
      </c>
      <c r="G181" s="26">
        <v>0.15</v>
      </c>
      <c r="H181" s="26"/>
      <c r="I181" s="26">
        <v>0</v>
      </c>
      <c r="J181" s="28">
        <v>88.8</v>
      </c>
      <c r="M181" s="29">
        <f>ROUND(ROUND(J181, 2)*I181, 2)</f>
        <v>0</v>
      </c>
      <c r="P181" s="28">
        <v>88.8</v>
      </c>
      <c r="S181" s="29">
        <f>ROUND(ROUND(P181, 2)*I181, 2)</f>
        <v>0</v>
      </c>
    </row>
    <row r="182" spans="1:21" ht="18" x14ac:dyDescent="0.35">
      <c r="A182" s="10" t="s">
        <v>928</v>
      </c>
      <c r="B182" s="10"/>
      <c r="C182" s="24" t="s">
        <v>902</v>
      </c>
      <c r="D182" s="15"/>
      <c r="E182" s="15"/>
      <c r="F182" s="25" t="s">
        <v>129</v>
      </c>
      <c r="G182" s="26">
        <v>1</v>
      </c>
      <c r="H182" s="27"/>
      <c r="I182" s="27">
        <v>0</v>
      </c>
      <c r="J182" s="28">
        <v>7</v>
      </c>
      <c r="M182" s="29">
        <f>ROUND(ROUND(J182, 2)*I182, 2)</f>
        <v>0</v>
      </c>
      <c r="P182" s="28">
        <v>7</v>
      </c>
      <c r="S182" s="29">
        <f>ROUND(ROUND(P182, 2)*I182, 2)</f>
        <v>0</v>
      </c>
    </row>
    <row r="183" spans="1:21" ht="18" x14ac:dyDescent="0.35">
      <c r="A183" s="10" t="s">
        <v>933</v>
      </c>
      <c r="B183" s="10"/>
      <c r="C183" s="24" t="s">
        <v>860</v>
      </c>
      <c r="D183" s="15"/>
      <c r="E183" s="15"/>
      <c r="F183" s="25" t="s">
        <v>103</v>
      </c>
      <c r="G183" s="26">
        <v>0.3</v>
      </c>
      <c r="H183" s="27"/>
      <c r="I183" s="27">
        <v>0</v>
      </c>
      <c r="J183" s="28">
        <v>37.049999999999997</v>
      </c>
      <c r="M183" s="29">
        <f>ROUND(ROUND(J183, 2)*I183, 2)</f>
        <v>0</v>
      </c>
      <c r="P183" s="28">
        <v>37.049999999999997</v>
      </c>
      <c r="S183" s="29">
        <f>ROUND(ROUND(P183, 2)*I183, 2)</f>
        <v>0</v>
      </c>
    </row>
    <row r="184" spans="1:21" ht="36" x14ac:dyDescent="0.35">
      <c r="A184" s="10" t="s">
        <v>938</v>
      </c>
      <c r="B184" s="10"/>
      <c r="C184" s="24" t="s">
        <v>875</v>
      </c>
      <c r="D184" s="15"/>
      <c r="E184" s="15"/>
      <c r="F184" s="25" t="s">
        <v>81</v>
      </c>
      <c r="G184" s="26">
        <v>1</v>
      </c>
      <c r="H184" s="26"/>
      <c r="I184" s="26">
        <v>0</v>
      </c>
      <c r="J184" s="28">
        <v>60</v>
      </c>
      <c r="M184" s="29">
        <f>ROUND(ROUND(J184, 2)*I184, 2)</f>
        <v>0</v>
      </c>
      <c r="P184" s="28">
        <v>12.58</v>
      </c>
      <c r="S184" s="29">
        <f>ROUND(ROUND(P184, 2)*I184, 2)</f>
        <v>0</v>
      </c>
    </row>
    <row r="185" spans="1:21" ht="54" x14ac:dyDescent="0.35">
      <c r="A185" s="10" t="s">
        <v>943</v>
      </c>
      <c r="B185" s="10" t="s">
        <v>848</v>
      </c>
      <c r="C185" s="14" t="s">
        <v>849</v>
      </c>
      <c r="D185" s="15"/>
      <c r="E185" s="15" t="s">
        <v>921</v>
      </c>
      <c r="F185" s="15" t="s">
        <v>56</v>
      </c>
      <c r="G185" s="16">
        <v>1</v>
      </c>
      <c r="H185" s="16"/>
      <c r="I185" s="16">
        <v>0</v>
      </c>
      <c r="J185" s="17">
        <f>IFERROR(ROUND(SUM(M186,M187,M188)/I185, 2),0)</f>
        <v>0</v>
      </c>
      <c r="K185" s="18">
        <v>329</v>
      </c>
      <c r="L185" s="17">
        <f>J185+ROUND(K185, 2)</f>
        <v>329</v>
      </c>
      <c r="M185" s="17">
        <f>ROUND(J185*I185, 2)</f>
        <v>0</v>
      </c>
      <c r="N185" s="17">
        <f>ROUND(I185*ROUND(K185, 2), 2)</f>
        <v>0</v>
      </c>
      <c r="O185" s="17">
        <f>M185+N185</f>
        <v>0</v>
      </c>
      <c r="P185" s="17">
        <f>IFERROR(ROUND(SUM(S186,S187,S188)/I185, 2),0)</f>
        <v>0</v>
      </c>
      <c r="Q185" s="18">
        <v>329</v>
      </c>
      <c r="R185" s="17">
        <f>P185+ROUND(Q185, 2)</f>
        <v>329</v>
      </c>
      <c r="S185" s="17">
        <f>ROUND(P185*I185, 2)</f>
        <v>0</v>
      </c>
      <c r="T185" s="17">
        <f>ROUND(I185*ROUND(Q185, 2), 2)</f>
        <v>0</v>
      </c>
      <c r="U185" s="17">
        <f>S185+T185</f>
        <v>0</v>
      </c>
    </row>
    <row r="186" spans="1:21" ht="36" x14ac:dyDescent="0.35">
      <c r="A186" s="10" t="s">
        <v>945</v>
      </c>
      <c r="B186" s="10"/>
      <c r="C186" s="24" t="s">
        <v>493</v>
      </c>
      <c r="D186" s="15"/>
      <c r="E186" s="15"/>
      <c r="F186" s="25" t="s">
        <v>81</v>
      </c>
      <c r="G186" s="26">
        <v>0.15</v>
      </c>
      <c r="H186" s="26"/>
      <c r="I186" s="26">
        <v>0</v>
      </c>
      <c r="J186" s="28">
        <v>88.8</v>
      </c>
      <c r="M186" s="29">
        <f>ROUND(ROUND(J186, 2)*I186, 2)</f>
        <v>0</v>
      </c>
      <c r="P186" s="28">
        <v>88.8</v>
      </c>
      <c r="S186" s="29">
        <f>ROUND(ROUND(P186, 2)*I186, 2)</f>
        <v>0</v>
      </c>
    </row>
    <row r="187" spans="1:21" ht="18" x14ac:dyDescent="0.35">
      <c r="A187" s="10" t="s">
        <v>950</v>
      </c>
      <c r="B187" s="10"/>
      <c r="C187" s="24" t="s">
        <v>860</v>
      </c>
      <c r="D187" s="15"/>
      <c r="E187" s="15"/>
      <c r="F187" s="25" t="s">
        <v>103</v>
      </c>
      <c r="G187" s="26">
        <v>0.3</v>
      </c>
      <c r="H187" s="27"/>
      <c r="I187" s="27">
        <v>0</v>
      </c>
      <c r="J187" s="28">
        <v>37.049999999999997</v>
      </c>
      <c r="M187" s="29">
        <f>ROUND(ROUND(J187, 2)*I187, 2)</f>
        <v>0</v>
      </c>
      <c r="P187" s="28">
        <v>37.049999999999997</v>
      </c>
      <c r="S187" s="29">
        <f>ROUND(ROUND(P187, 2)*I187, 2)</f>
        <v>0</v>
      </c>
    </row>
    <row r="188" spans="1:21" ht="36" x14ac:dyDescent="0.35">
      <c r="A188" s="10" t="s">
        <v>955</v>
      </c>
      <c r="B188" s="10"/>
      <c r="C188" s="24" t="s">
        <v>887</v>
      </c>
      <c r="D188" s="15"/>
      <c r="E188" s="15"/>
      <c r="F188" s="25" t="s">
        <v>81</v>
      </c>
      <c r="G188" s="26">
        <v>1.8</v>
      </c>
      <c r="H188" s="26"/>
      <c r="I188" s="26">
        <v>0</v>
      </c>
      <c r="J188" s="28">
        <v>23</v>
      </c>
      <c r="M188" s="29">
        <f>ROUND(ROUND(J188, 2)*I188, 2)</f>
        <v>0</v>
      </c>
      <c r="P188" s="28">
        <v>12.58</v>
      </c>
      <c r="S188" s="29">
        <f>ROUND(ROUND(P188, 2)*I188, 2)</f>
        <v>0</v>
      </c>
    </row>
    <row r="189" spans="1:21" ht="54" x14ac:dyDescent="0.35">
      <c r="A189" s="10" t="s">
        <v>960</v>
      </c>
      <c r="B189" s="10" t="s">
        <v>848</v>
      </c>
      <c r="C189" s="14" t="s">
        <v>849</v>
      </c>
      <c r="D189" s="15"/>
      <c r="E189" s="15" t="s">
        <v>370</v>
      </c>
      <c r="F189" s="15" t="s">
        <v>56</v>
      </c>
      <c r="G189" s="16">
        <v>1</v>
      </c>
      <c r="H189" s="16"/>
      <c r="I189" s="16">
        <v>0</v>
      </c>
      <c r="J189" s="17">
        <f>IFERROR(ROUND(SUM(M190,M191,M192,M193)/I189, 2),0)</f>
        <v>0</v>
      </c>
      <c r="K189" s="18">
        <v>329</v>
      </c>
      <c r="L189" s="17">
        <f>J189+ROUND(K189, 2)</f>
        <v>329</v>
      </c>
      <c r="M189" s="17">
        <f>ROUND(J189*I189, 2)</f>
        <v>0</v>
      </c>
      <c r="N189" s="17">
        <f>ROUND(I189*ROUND(K189, 2), 2)</f>
        <v>0</v>
      </c>
      <c r="O189" s="17">
        <f>M189+N189</f>
        <v>0</v>
      </c>
      <c r="P189" s="17">
        <f>IFERROR(ROUND(SUM(S190,S191,S192,S193)/I189, 2),0)</f>
        <v>0</v>
      </c>
      <c r="Q189" s="18">
        <v>329</v>
      </c>
      <c r="R189" s="17">
        <f>P189+ROUND(Q189, 2)</f>
        <v>329</v>
      </c>
      <c r="S189" s="17">
        <f>ROUND(P189*I189, 2)</f>
        <v>0</v>
      </c>
      <c r="T189" s="17">
        <f>ROUND(I189*ROUND(Q189, 2), 2)</f>
        <v>0</v>
      </c>
      <c r="U189" s="17">
        <f>S189+T189</f>
        <v>0</v>
      </c>
    </row>
    <row r="190" spans="1:21" ht="36" x14ac:dyDescent="0.35">
      <c r="A190" s="10" t="s">
        <v>962</v>
      </c>
      <c r="B190" s="10"/>
      <c r="C190" s="24" t="s">
        <v>493</v>
      </c>
      <c r="D190" s="15"/>
      <c r="E190" s="15"/>
      <c r="F190" s="25" t="s">
        <v>81</v>
      </c>
      <c r="G190" s="26">
        <v>0.15</v>
      </c>
      <c r="H190" s="26"/>
      <c r="I190" s="26">
        <v>0</v>
      </c>
      <c r="J190" s="28">
        <v>88.8</v>
      </c>
      <c r="M190" s="29">
        <f>ROUND(ROUND(J190, 2)*I190, 2)</f>
        <v>0</v>
      </c>
      <c r="P190" s="28">
        <v>88.8</v>
      </c>
      <c r="S190" s="29">
        <f>ROUND(ROUND(P190, 2)*I190, 2)</f>
        <v>0</v>
      </c>
    </row>
    <row r="191" spans="1:21" ht="18" x14ac:dyDescent="0.35">
      <c r="A191" s="10" t="s">
        <v>967</v>
      </c>
      <c r="B191" s="10"/>
      <c r="C191" s="24" t="s">
        <v>902</v>
      </c>
      <c r="D191" s="15"/>
      <c r="E191" s="15"/>
      <c r="F191" s="25" t="s">
        <v>129</v>
      </c>
      <c r="G191" s="26">
        <v>1</v>
      </c>
      <c r="H191" s="27"/>
      <c r="I191" s="27">
        <v>0</v>
      </c>
      <c r="J191" s="28">
        <v>7</v>
      </c>
      <c r="M191" s="29">
        <f>ROUND(ROUND(J191, 2)*I191, 2)</f>
        <v>0</v>
      </c>
      <c r="P191" s="28">
        <v>7</v>
      </c>
      <c r="S191" s="29">
        <f>ROUND(ROUND(P191, 2)*I191, 2)</f>
        <v>0</v>
      </c>
    </row>
    <row r="192" spans="1:21" ht="18" x14ac:dyDescent="0.35">
      <c r="A192" s="10" t="s">
        <v>972</v>
      </c>
      <c r="B192" s="10"/>
      <c r="C192" s="24" t="s">
        <v>860</v>
      </c>
      <c r="D192" s="15"/>
      <c r="E192" s="15"/>
      <c r="F192" s="25" t="s">
        <v>103</v>
      </c>
      <c r="G192" s="26">
        <v>0.3</v>
      </c>
      <c r="H192" s="27"/>
      <c r="I192" s="27">
        <v>0</v>
      </c>
      <c r="J192" s="28">
        <v>37.049999999999997</v>
      </c>
      <c r="M192" s="29">
        <f>ROUND(ROUND(J192, 2)*I192, 2)</f>
        <v>0</v>
      </c>
      <c r="P192" s="28">
        <v>37.049999999999997</v>
      </c>
      <c r="S192" s="29">
        <f>ROUND(ROUND(P192, 2)*I192, 2)</f>
        <v>0</v>
      </c>
    </row>
    <row r="193" spans="1:21" ht="18" x14ac:dyDescent="0.35">
      <c r="A193" s="10" t="s">
        <v>977</v>
      </c>
      <c r="B193" s="10"/>
      <c r="C193" s="24" t="s">
        <v>854</v>
      </c>
      <c r="D193" s="15"/>
      <c r="E193" s="15"/>
      <c r="F193" s="25" t="s">
        <v>81</v>
      </c>
      <c r="G193" s="26">
        <v>2</v>
      </c>
      <c r="H193" s="26"/>
      <c r="I193" s="26">
        <v>0</v>
      </c>
      <c r="J193" s="28">
        <v>23</v>
      </c>
      <c r="M193" s="29">
        <f>ROUND(ROUND(J193, 2)*I193, 2)</f>
        <v>0</v>
      </c>
      <c r="P193" s="28">
        <v>23</v>
      </c>
      <c r="S193" s="29">
        <f>ROUND(ROUND(P193, 2)*I193, 2)</f>
        <v>0</v>
      </c>
    </row>
    <row r="194" spans="1:21" ht="54" x14ac:dyDescent="0.35">
      <c r="A194" s="10" t="s">
        <v>982</v>
      </c>
      <c r="B194" s="10" t="s">
        <v>848</v>
      </c>
      <c r="C194" s="14" t="s">
        <v>849</v>
      </c>
      <c r="D194" s="15"/>
      <c r="E194" s="15" t="s">
        <v>370</v>
      </c>
      <c r="F194" s="15" t="s">
        <v>56</v>
      </c>
      <c r="G194" s="16">
        <v>1</v>
      </c>
      <c r="H194" s="16"/>
      <c r="I194" s="16">
        <v>0</v>
      </c>
      <c r="J194" s="17">
        <f>IFERROR(ROUND(SUM(M195,M196,M197,M198)/I194, 2),0)</f>
        <v>0</v>
      </c>
      <c r="K194" s="18">
        <v>329</v>
      </c>
      <c r="L194" s="17">
        <f>J194+ROUND(K194, 2)</f>
        <v>329</v>
      </c>
      <c r="M194" s="17">
        <f>ROUND(J194*I194, 2)</f>
        <v>0</v>
      </c>
      <c r="N194" s="17">
        <f>ROUND(I194*ROUND(K194, 2), 2)</f>
        <v>0</v>
      </c>
      <c r="O194" s="17">
        <f>M194+N194</f>
        <v>0</v>
      </c>
      <c r="P194" s="17">
        <f>IFERROR(ROUND(SUM(S195,S196,S197,S198)/I194, 2),0)</f>
        <v>0</v>
      </c>
      <c r="Q194" s="18">
        <v>329</v>
      </c>
      <c r="R194" s="17">
        <f>P194+ROUND(Q194, 2)</f>
        <v>329</v>
      </c>
      <c r="S194" s="17">
        <f>ROUND(P194*I194, 2)</f>
        <v>0</v>
      </c>
      <c r="T194" s="17">
        <f>ROUND(I194*ROUND(Q194, 2), 2)</f>
        <v>0</v>
      </c>
      <c r="U194" s="17">
        <f>S194+T194</f>
        <v>0</v>
      </c>
    </row>
    <row r="195" spans="1:21" ht="36" x14ac:dyDescent="0.35">
      <c r="A195" s="10" t="s">
        <v>984</v>
      </c>
      <c r="B195" s="10"/>
      <c r="C195" s="24" t="s">
        <v>493</v>
      </c>
      <c r="D195" s="15"/>
      <c r="E195" s="15"/>
      <c r="F195" s="25" t="s">
        <v>81</v>
      </c>
      <c r="G195" s="26">
        <v>0.15</v>
      </c>
      <c r="H195" s="26"/>
      <c r="I195" s="26">
        <v>0</v>
      </c>
      <c r="J195" s="28">
        <v>88.8</v>
      </c>
      <c r="M195" s="29">
        <f>ROUND(ROUND(J195, 2)*I195, 2)</f>
        <v>0</v>
      </c>
      <c r="P195" s="28">
        <v>88.8</v>
      </c>
      <c r="S195" s="29">
        <f>ROUND(ROUND(P195, 2)*I195, 2)</f>
        <v>0</v>
      </c>
    </row>
    <row r="196" spans="1:21" ht="18" x14ac:dyDescent="0.35">
      <c r="A196" s="10" t="s">
        <v>989</v>
      </c>
      <c r="B196" s="10"/>
      <c r="C196" s="24" t="s">
        <v>902</v>
      </c>
      <c r="D196" s="15"/>
      <c r="E196" s="15"/>
      <c r="F196" s="25" t="s">
        <v>129</v>
      </c>
      <c r="G196" s="26">
        <v>1</v>
      </c>
      <c r="H196" s="27"/>
      <c r="I196" s="27">
        <v>0</v>
      </c>
      <c r="J196" s="28">
        <v>7</v>
      </c>
      <c r="M196" s="29">
        <f>ROUND(ROUND(J196, 2)*I196, 2)</f>
        <v>0</v>
      </c>
      <c r="P196" s="28">
        <v>7</v>
      </c>
      <c r="S196" s="29">
        <f>ROUND(ROUND(P196, 2)*I196, 2)</f>
        <v>0</v>
      </c>
    </row>
    <row r="197" spans="1:21" ht="18" x14ac:dyDescent="0.35">
      <c r="A197" s="10" t="s">
        <v>994</v>
      </c>
      <c r="B197" s="10"/>
      <c r="C197" s="24" t="s">
        <v>860</v>
      </c>
      <c r="D197" s="15"/>
      <c r="E197" s="15"/>
      <c r="F197" s="25" t="s">
        <v>103</v>
      </c>
      <c r="G197" s="26">
        <v>0.3</v>
      </c>
      <c r="H197" s="27"/>
      <c r="I197" s="27">
        <v>0</v>
      </c>
      <c r="J197" s="28">
        <v>37.049999999999997</v>
      </c>
      <c r="M197" s="29">
        <f>ROUND(ROUND(J197, 2)*I197, 2)</f>
        <v>0</v>
      </c>
      <c r="P197" s="28">
        <v>37.049999999999997</v>
      </c>
      <c r="S197" s="29">
        <f>ROUND(ROUND(P197, 2)*I197, 2)</f>
        <v>0</v>
      </c>
    </row>
    <row r="198" spans="1:21" ht="36" x14ac:dyDescent="0.35">
      <c r="A198" s="10" t="s">
        <v>999</v>
      </c>
      <c r="B198" s="10"/>
      <c r="C198" s="24" t="s">
        <v>875</v>
      </c>
      <c r="D198" s="15"/>
      <c r="E198" s="15"/>
      <c r="F198" s="25" t="s">
        <v>81</v>
      </c>
      <c r="G198" s="26">
        <v>1</v>
      </c>
      <c r="H198" s="26"/>
      <c r="I198" s="26">
        <v>0</v>
      </c>
      <c r="J198" s="28">
        <v>60</v>
      </c>
      <c r="M198" s="29">
        <f>ROUND(ROUND(J198, 2)*I198, 2)</f>
        <v>0</v>
      </c>
      <c r="P198" s="28">
        <v>12.58</v>
      </c>
      <c r="S198" s="29">
        <f>ROUND(ROUND(P198, 2)*I198, 2)</f>
        <v>0</v>
      </c>
    </row>
    <row r="199" spans="1:21" ht="54" x14ac:dyDescent="0.35">
      <c r="A199" s="10" t="s">
        <v>1004</v>
      </c>
      <c r="B199" s="10" t="s">
        <v>848</v>
      </c>
      <c r="C199" s="14" t="s">
        <v>849</v>
      </c>
      <c r="D199" s="15"/>
      <c r="E199" s="15" t="s">
        <v>370</v>
      </c>
      <c r="F199" s="15" t="s">
        <v>56</v>
      </c>
      <c r="G199" s="16">
        <v>1</v>
      </c>
      <c r="H199" s="16"/>
      <c r="I199" s="16">
        <v>0</v>
      </c>
      <c r="J199" s="17">
        <f>IFERROR(ROUND(SUM(M200,M201,M202,M203)/I199, 2),0)</f>
        <v>0</v>
      </c>
      <c r="K199" s="18">
        <v>329</v>
      </c>
      <c r="L199" s="17">
        <f>J199+ROUND(K199, 2)</f>
        <v>329</v>
      </c>
      <c r="M199" s="17">
        <f>ROUND(J199*I199, 2)</f>
        <v>0</v>
      </c>
      <c r="N199" s="17">
        <f>ROUND(I199*ROUND(K199, 2), 2)</f>
        <v>0</v>
      </c>
      <c r="O199" s="17">
        <f>M199+N199</f>
        <v>0</v>
      </c>
      <c r="P199" s="17">
        <f>IFERROR(ROUND(SUM(S200,S201,S202,S203)/I199, 2),0)</f>
        <v>0</v>
      </c>
      <c r="Q199" s="18">
        <v>329</v>
      </c>
      <c r="R199" s="17">
        <f>P199+ROUND(Q199, 2)</f>
        <v>329</v>
      </c>
      <c r="S199" s="17">
        <f>ROUND(P199*I199, 2)</f>
        <v>0</v>
      </c>
      <c r="T199" s="17">
        <f>ROUND(I199*ROUND(Q199, 2), 2)</f>
        <v>0</v>
      </c>
      <c r="U199" s="17">
        <f>S199+T199</f>
        <v>0</v>
      </c>
    </row>
    <row r="200" spans="1:21" ht="36" x14ac:dyDescent="0.35">
      <c r="A200" s="10" t="s">
        <v>1006</v>
      </c>
      <c r="B200" s="10"/>
      <c r="C200" s="24" t="s">
        <v>493</v>
      </c>
      <c r="D200" s="15"/>
      <c r="E200" s="15"/>
      <c r="F200" s="25" t="s">
        <v>81</v>
      </c>
      <c r="G200" s="26">
        <v>0.15</v>
      </c>
      <c r="H200" s="26"/>
      <c r="I200" s="26">
        <v>0</v>
      </c>
      <c r="J200" s="28">
        <v>88.8</v>
      </c>
      <c r="M200" s="29">
        <f>ROUND(ROUND(J200, 2)*I200, 2)</f>
        <v>0</v>
      </c>
      <c r="P200" s="28">
        <v>88.8</v>
      </c>
      <c r="S200" s="29">
        <f>ROUND(ROUND(P200, 2)*I200, 2)</f>
        <v>0</v>
      </c>
    </row>
    <row r="201" spans="1:21" ht="18" x14ac:dyDescent="0.35">
      <c r="A201" s="10" t="s">
        <v>1011</v>
      </c>
      <c r="B201" s="10"/>
      <c r="C201" s="24" t="s">
        <v>902</v>
      </c>
      <c r="D201" s="15"/>
      <c r="E201" s="15"/>
      <c r="F201" s="25" t="s">
        <v>129</v>
      </c>
      <c r="G201" s="26">
        <v>1</v>
      </c>
      <c r="H201" s="27"/>
      <c r="I201" s="27">
        <v>0</v>
      </c>
      <c r="J201" s="28">
        <v>7</v>
      </c>
      <c r="M201" s="29">
        <f>ROUND(ROUND(J201, 2)*I201, 2)</f>
        <v>0</v>
      </c>
      <c r="P201" s="28">
        <v>7</v>
      </c>
      <c r="S201" s="29">
        <f>ROUND(ROUND(P201, 2)*I201, 2)</f>
        <v>0</v>
      </c>
    </row>
    <row r="202" spans="1:21" ht="18" x14ac:dyDescent="0.35">
      <c r="A202" s="10" t="s">
        <v>1016</v>
      </c>
      <c r="B202" s="10"/>
      <c r="C202" s="24" t="s">
        <v>860</v>
      </c>
      <c r="D202" s="15"/>
      <c r="E202" s="15"/>
      <c r="F202" s="25" t="s">
        <v>103</v>
      </c>
      <c r="G202" s="26">
        <v>0.3</v>
      </c>
      <c r="H202" s="27"/>
      <c r="I202" s="27">
        <v>0</v>
      </c>
      <c r="J202" s="28">
        <v>37.049999999999997</v>
      </c>
      <c r="M202" s="29">
        <f>ROUND(ROUND(J202, 2)*I202, 2)</f>
        <v>0</v>
      </c>
      <c r="P202" s="28">
        <v>37.049999999999997</v>
      </c>
      <c r="S202" s="29">
        <f>ROUND(ROUND(P202, 2)*I202, 2)</f>
        <v>0</v>
      </c>
    </row>
    <row r="203" spans="1:21" ht="36" x14ac:dyDescent="0.35">
      <c r="A203" s="10" t="s">
        <v>1021</v>
      </c>
      <c r="B203" s="10"/>
      <c r="C203" s="24" t="s">
        <v>887</v>
      </c>
      <c r="D203" s="15"/>
      <c r="E203" s="15"/>
      <c r="F203" s="25" t="s">
        <v>81</v>
      </c>
      <c r="G203" s="26">
        <v>1.8</v>
      </c>
      <c r="H203" s="26"/>
      <c r="I203" s="26">
        <v>0</v>
      </c>
      <c r="J203" s="28">
        <v>23</v>
      </c>
      <c r="M203" s="29">
        <f>ROUND(ROUND(J203, 2)*I203, 2)</f>
        <v>0</v>
      </c>
      <c r="P203" s="28">
        <v>12.58</v>
      </c>
      <c r="S203" s="29">
        <f>ROUND(ROUND(P203, 2)*I203, 2)</f>
        <v>0</v>
      </c>
    </row>
    <row r="204" spans="1:21" ht="60" customHeight="1" x14ac:dyDescent="0.35">
      <c r="A204" s="10" t="s">
        <v>1026</v>
      </c>
      <c r="B204" s="10" t="s">
        <v>1027</v>
      </c>
      <c r="C204" s="14" t="s">
        <v>1028</v>
      </c>
      <c r="D204" s="15"/>
      <c r="E204" s="15" t="s">
        <v>1029</v>
      </c>
      <c r="F204" s="15" t="s">
        <v>56</v>
      </c>
      <c r="G204" s="16">
        <v>1</v>
      </c>
      <c r="H204" s="16"/>
      <c r="I204" s="16">
        <v>79.16</v>
      </c>
      <c r="J204" s="17">
        <f>IFERROR(ROUND(SUM(M205,M206,M207)/I204, 2),0)</f>
        <v>81.25</v>
      </c>
      <c r="K204" s="18">
        <v>639</v>
      </c>
      <c r="L204" s="17">
        <f>J204+ROUND(K204, 2)</f>
        <v>720.25</v>
      </c>
      <c r="M204" s="17">
        <f>ROUND(J204*I204, 2)</f>
        <v>6431.75</v>
      </c>
      <c r="N204" s="17">
        <f>ROUND(I204*ROUND(K204, 2), 2)</f>
        <v>50583.24</v>
      </c>
      <c r="O204" s="17">
        <f>M204+N204</f>
        <v>57014.99</v>
      </c>
      <c r="P204" s="17">
        <f>IFERROR(ROUND(SUM(S205,S206,S207)/I204, 2),0)</f>
        <v>90.95</v>
      </c>
      <c r="Q204" s="19">
        <v>639</v>
      </c>
      <c r="R204" s="17">
        <f>P204+ROUND(Q204, 2)</f>
        <v>729.95</v>
      </c>
      <c r="S204" s="17">
        <f>ROUND(P204*I204, 2)</f>
        <v>7199.6</v>
      </c>
      <c r="T204" s="17">
        <f>ROUND(I204*ROUND(Q204, 2), 2)</f>
        <v>50583.24</v>
      </c>
      <c r="U204" s="17">
        <f>S204+T204</f>
        <v>57782.84</v>
      </c>
    </row>
    <row r="205" spans="1:21" ht="54" x14ac:dyDescent="0.35">
      <c r="A205" s="10" t="s">
        <v>1032</v>
      </c>
      <c r="B205" s="10"/>
      <c r="C205" s="24" t="s">
        <v>854</v>
      </c>
      <c r="D205" s="15"/>
      <c r="E205" s="15" t="s">
        <v>855</v>
      </c>
      <c r="F205" s="25" t="s">
        <v>81</v>
      </c>
      <c r="G205" s="26">
        <v>2</v>
      </c>
      <c r="H205" s="26"/>
      <c r="I205" s="26">
        <v>158.32</v>
      </c>
      <c r="J205" s="28">
        <v>23</v>
      </c>
      <c r="M205" s="29">
        <f>ROUND(ROUND(J205, 2)*I205, 2)</f>
        <v>3641.36</v>
      </c>
      <c r="P205" s="30">
        <v>27.85</v>
      </c>
      <c r="S205" s="29">
        <f>ROUND(ROUND(P205, 2)*I205, 2)</f>
        <v>4409.21</v>
      </c>
    </row>
    <row r="206" spans="1:21" ht="36" x14ac:dyDescent="0.35">
      <c r="A206" s="10" t="s">
        <v>1035</v>
      </c>
      <c r="B206" s="10"/>
      <c r="C206" s="24" t="s">
        <v>1036</v>
      </c>
      <c r="D206" s="15"/>
      <c r="E206" s="15"/>
      <c r="F206" s="25" t="s">
        <v>103</v>
      </c>
      <c r="G206" s="26">
        <v>0.3</v>
      </c>
      <c r="H206" s="26"/>
      <c r="I206" s="26">
        <v>23.748000000000001</v>
      </c>
      <c r="J206" s="28">
        <v>73.099999999999994</v>
      </c>
      <c r="M206" s="29">
        <f>ROUND(ROUND(J206, 2)*I206, 2)</f>
        <v>1735.98</v>
      </c>
      <c r="P206" s="30">
        <v>73.099999999999994</v>
      </c>
      <c r="S206" s="29">
        <f>ROUND(ROUND(P206, 2)*I206, 2)</f>
        <v>1735.98</v>
      </c>
    </row>
    <row r="207" spans="1:21" ht="36" x14ac:dyDescent="0.35">
      <c r="A207" s="10" t="s">
        <v>1040</v>
      </c>
      <c r="B207" s="10"/>
      <c r="C207" s="24" t="s">
        <v>493</v>
      </c>
      <c r="D207" s="15"/>
      <c r="E207" s="15"/>
      <c r="F207" s="25" t="s">
        <v>81</v>
      </c>
      <c r="G207" s="26">
        <v>0.15</v>
      </c>
      <c r="H207" s="26"/>
      <c r="I207" s="26">
        <v>11.874000000000001</v>
      </c>
      <c r="J207" s="28">
        <v>88.8</v>
      </c>
      <c r="M207" s="29">
        <f>ROUND(ROUND(J207, 2)*I207, 2)</f>
        <v>1054.4100000000001</v>
      </c>
      <c r="P207" s="30">
        <v>88.8</v>
      </c>
      <c r="S207" s="29">
        <f>ROUND(ROUND(P207, 2)*I207, 2)</f>
        <v>1054.4100000000001</v>
      </c>
    </row>
    <row r="208" spans="1:21" ht="36" x14ac:dyDescent="0.35">
      <c r="A208" s="10" t="s">
        <v>1043</v>
      </c>
      <c r="B208" s="10" t="s">
        <v>1027</v>
      </c>
      <c r="C208" s="14" t="s">
        <v>1028</v>
      </c>
      <c r="D208" s="15"/>
      <c r="E208" s="15" t="s">
        <v>1044</v>
      </c>
      <c r="F208" s="15" t="s">
        <v>56</v>
      </c>
      <c r="G208" s="16">
        <v>1</v>
      </c>
      <c r="H208" s="16"/>
      <c r="I208" s="16">
        <v>79.16</v>
      </c>
      <c r="J208" s="17">
        <f>IFERROR(ROUND(SUM(M209,M210)/I208, 2),0)</f>
        <v>59.32</v>
      </c>
      <c r="K208" s="18">
        <v>639</v>
      </c>
      <c r="L208" s="17">
        <f>J208+ROUND(K208, 2)</f>
        <v>698.32</v>
      </c>
      <c r="M208" s="17">
        <f>ROUND(J208*I208, 2)</f>
        <v>4695.7700000000004</v>
      </c>
      <c r="N208" s="17">
        <f>ROUND(I208*ROUND(K208, 2), 2)</f>
        <v>50583.24</v>
      </c>
      <c r="O208" s="17">
        <f>M208+N208</f>
        <v>55279.009999999995</v>
      </c>
      <c r="P208" s="17">
        <f>IFERROR(ROUND(SUM(S209,S210)/I208, 2),0)</f>
        <v>59.32</v>
      </c>
      <c r="Q208" s="19">
        <v>639</v>
      </c>
      <c r="R208" s="17">
        <f>P208+ROUND(Q208, 2)</f>
        <v>698.32</v>
      </c>
      <c r="S208" s="17">
        <f>ROUND(P208*I208, 2)</f>
        <v>4695.7700000000004</v>
      </c>
      <c r="T208" s="17">
        <f>ROUND(I208*ROUND(Q208, 2), 2)</f>
        <v>50583.24</v>
      </c>
      <c r="U208" s="17">
        <f>S208+T208</f>
        <v>55279.009999999995</v>
      </c>
    </row>
    <row r="209" spans="1:21" ht="36" x14ac:dyDescent="0.35">
      <c r="A209" s="10" t="s">
        <v>1045</v>
      </c>
      <c r="B209" s="10"/>
      <c r="C209" s="24" t="s">
        <v>493</v>
      </c>
      <c r="D209" s="15"/>
      <c r="E209" s="15"/>
      <c r="F209" s="25" t="s">
        <v>81</v>
      </c>
      <c r="G209" s="26">
        <v>0.15</v>
      </c>
      <c r="H209" s="26"/>
      <c r="I209" s="26">
        <v>11.874000000000001</v>
      </c>
      <c r="J209" s="28">
        <v>88.8</v>
      </c>
      <c r="M209" s="29">
        <f>ROUND(ROUND(J209, 2)*I209, 2)</f>
        <v>1054.4100000000001</v>
      </c>
      <c r="P209" s="30">
        <v>88.8</v>
      </c>
      <c r="S209" s="29">
        <f>ROUND(ROUND(P209, 2)*I209, 2)</f>
        <v>1054.4100000000001</v>
      </c>
    </row>
    <row r="210" spans="1:21" ht="54" x14ac:dyDescent="0.35">
      <c r="A210" s="10" t="s">
        <v>1048</v>
      </c>
      <c r="B210" s="10"/>
      <c r="C210" s="24" t="s">
        <v>854</v>
      </c>
      <c r="D210" s="15"/>
      <c r="E210" s="15" t="s">
        <v>1049</v>
      </c>
      <c r="F210" s="25" t="s">
        <v>81</v>
      </c>
      <c r="G210" s="26">
        <v>2</v>
      </c>
      <c r="H210" s="26"/>
      <c r="I210" s="26">
        <v>158.32</v>
      </c>
      <c r="J210" s="28">
        <v>23</v>
      </c>
      <c r="M210" s="29">
        <f>ROUND(ROUND(J210, 2)*I210, 2)</f>
        <v>3641.36</v>
      </c>
      <c r="P210" s="30">
        <v>23</v>
      </c>
      <c r="S210" s="29">
        <f>ROUND(ROUND(P210, 2)*I210, 2)</f>
        <v>3641.36</v>
      </c>
    </row>
    <row r="211" spans="1:21" ht="50" customHeight="1" x14ac:dyDescent="0.35">
      <c r="A211" s="10" t="s">
        <v>1052</v>
      </c>
      <c r="B211" s="81" t="s">
        <v>1027</v>
      </c>
      <c r="C211" s="82" t="s">
        <v>1028</v>
      </c>
      <c r="D211" s="83"/>
      <c r="E211" s="83" t="s">
        <v>1053</v>
      </c>
      <c r="F211" s="83" t="s">
        <v>56</v>
      </c>
      <c r="G211" s="84">
        <v>1</v>
      </c>
      <c r="H211" s="84"/>
      <c r="I211" s="84">
        <v>520.01</v>
      </c>
      <c r="J211" s="17">
        <f>IFERROR(ROUND(SUM(M212,M213,M214)/I211, 2),0)</f>
        <v>81.25</v>
      </c>
      <c r="K211" s="18">
        <v>639</v>
      </c>
      <c r="L211" s="17">
        <f>J211+ROUND(K211, 2)</f>
        <v>720.25</v>
      </c>
      <c r="M211" s="17">
        <f>ROUND(J211*I211, 2)</f>
        <v>42250.81</v>
      </c>
      <c r="N211" s="17">
        <f>ROUND(I211*ROUND(K211, 2), 2)</f>
        <v>332286.39</v>
      </c>
      <c r="O211" s="17">
        <f>M211+N211</f>
        <v>374537.2</v>
      </c>
      <c r="P211" s="17">
        <f>IFERROR(ROUND(SUM(S212,S213,S214)/I211, 2),0)</f>
        <v>90.95</v>
      </c>
      <c r="Q211" s="19">
        <v>639</v>
      </c>
      <c r="R211" s="17">
        <f>P211+ROUND(Q211, 2)</f>
        <v>729.95</v>
      </c>
      <c r="S211" s="17">
        <f>ROUND(P211*I211, 2)</f>
        <v>47294.91</v>
      </c>
      <c r="T211" s="17">
        <f>ROUND(I211*ROUND(Q211, 2), 2)</f>
        <v>332286.39</v>
      </c>
      <c r="U211" s="17">
        <f>S211+T211</f>
        <v>379581.30000000005</v>
      </c>
    </row>
    <row r="212" spans="1:21" ht="36" x14ac:dyDescent="0.35">
      <c r="A212" s="10" t="s">
        <v>1054</v>
      </c>
      <c r="B212" s="10"/>
      <c r="C212" s="24" t="s">
        <v>493</v>
      </c>
      <c r="D212" s="15"/>
      <c r="E212" s="15"/>
      <c r="F212" s="25" t="s">
        <v>81</v>
      </c>
      <c r="G212" s="26">
        <v>0.15</v>
      </c>
      <c r="H212" s="26"/>
      <c r="I212" s="26">
        <v>78.001999999999995</v>
      </c>
      <c r="J212" s="28">
        <v>88.8</v>
      </c>
      <c r="M212" s="29">
        <f>ROUND(ROUND(J212, 2)*I212, 2)</f>
        <v>6926.58</v>
      </c>
      <c r="P212" s="30">
        <v>88.8</v>
      </c>
      <c r="S212" s="29">
        <f>ROUND(ROUND(P212, 2)*I212, 2)</f>
        <v>6926.58</v>
      </c>
    </row>
    <row r="213" spans="1:21" ht="36" x14ac:dyDescent="0.35">
      <c r="A213" s="10" t="s">
        <v>1057</v>
      </c>
      <c r="B213" s="10"/>
      <c r="C213" s="24" t="s">
        <v>1036</v>
      </c>
      <c r="D213" s="15"/>
      <c r="E213" s="15"/>
      <c r="F213" s="25" t="s">
        <v>103</v>
      </c>
      <c r="G213" s="26">
        <v>0.3</v>
      </c>
      <c r="H213" s="26"/>
      <c r="I213" s="26">
        <v>156.00299999999999</v>
      </c>
      <c r="J213" s="28">
        <v>73.099999999999994</v>
      </c>
      <c r="M213" s="29">
        <f>ROUND(ROUND(J213, 2)*I213, 2)</f>
        <v>11403.82</v>
      </c>
      <c r="P213" s="30">
        <v>73.099999999999994</v>
      </c>
      <c r="S213" s="29">
        <f>ROUND(ROUND(P213, 2)*I213, 2)</f>
        <v>11403.82</v>
      </c>
    </row>
    <row r="214" spans="1:21" ht="54" x14ac:dyDescent="0.35">
      <c r="A214" s="10" t="s">
        <v>1060</v>
      </c>
      <c r="B214" s="10"/>
      <c r="C214" s="24" t="s">
        <v>854</v>
      </c>
      <c r="D214" s="15"/>
      <c r="E214" s="15" t="s">
        <v>855</v>
      </c>
      <c r="F214" s="25" t="s">
        <v>81</v>
      </c>
      <c r="G214" s="26">
        <v>2</v>
      </c>
      <c r="H214" s="26"/>
      <c r="I214" s="26">
        <v>1040.02</v>
      </c>
      <c r="J214" s="28">
        <v>23</v>
      </c>
      <c r="M214" s="29">
        <f>ROUND(ROUND(J214, 2)*I214, 2)</f>
        <v>23920.46</v>
      </c>
      <c r="P214" s="30">
        <v>27.85</v>
      </c>
      <c r="S214" s="29">
        <f>ROUND(ROUND(P214, 2)*I214, 2)</f>
        <v>28964.560000000001</v>
      </c>
    </row>
    <row r="215" spans="1:21" ht="36" x14ac:dyDescent="0.35">
      <c r="A215" s="10" t="s">
        <v>1063</v>
      </c>
      <c r="B215" s="81" t="s">
        <v>1027</v>
      </c>
      <c r="C215" s="82" t="s">
        <v>1028</v>
      </c>
      <c r="D215" s="83"/>
      <c r="E215" s="83" t="s">
        <v>1064</v>
      </c>
      <c r="F215" s="83" t="s">
        <v>56</v>
      </c>
      <c r="G215" s="84">
        <v>1</v>
      </c>
      <c r="H215" s="84"/>
      <c r="I215" s="84">
        <v>520.01</v>
      </c>
      <c r="J215" s="17">
        <f>IFERROR(ROUND(SUM(M216,M217)/I215, 2),0)</f>
        <v>59.32</v>
      </c>
      <c r="K215" s="18">
        <v>639</v>
      </c>
      <c r="L215" s="17">
        <f>J215+ROUND(K215, 2)</f>
        <v>698.32</v>
      </c>
      <c r="M215" s="17">
        <f>ROUND(J215*I215, 2)</f>
        <v>30846.99</v>
      </c>
      <c r="N215" s="17">
        <f>ROUND(I215*ROUND(K215, 2), 2)</f>
        <v>332286.39</v>
      </c>
      <c r="O215" s="17">
        <f>M215+N215</f>
        <v>363133.38</v>
      </c>
      <c r="P215" s="17">
        <f>IFERROR(ROUND(SUM(S216,S217)/I215, 2),0)</f>
        <v>77.94</v>
      </c>
      <c r="Q215" s="19">
        <v>639</v>
      </c>
      <c r="R215" s="17">
        <f>P215+ROUND(Q215, 2)</f>
        <v>716.94</v>
      </c>
      <c r="S215" s="17">
        <f>ROUND(P215*I215, 2)</f>
        <v>40529.58</v>
      </c>
      <c r="T215" s="17">
        <f>ROUND(I215*ROUND(Q215, 2), 2)</f>
        <v>332286.39</v>
      </c>
      <c r="U215" s="17">
        <f>S215+T215</f>
        <v>372815.97000000003</v>
      </c>
    </row>
    <row r="216" spans="1:21" ht="36" x14ac:dyDescent="0.35">
      <c r="A216" s="10" t="s">
        <v>1065</v>
      </c>
      <c r="B216" s="10"/>
      <c r="C216" s="24" t="s">
        <v>493</v>
      </c>
      <c r="D216" s="15"/>
      <c r="E216" s="15"/>
      <c r="F216" s="25" t="s">
        <v>81</v>
      </c>
      <c r="G216" s="26">
        <v>0.15</v>
      </c>
      <c r="H216" s="26"/>
      <c r="I216" s="26">
        <v>78.001999999999995</v>
      </c>
      <c r="J216" s="28">
        <v>88.8</v>
      </c>
      <c r="M216" s="29">
        <f>ROUND(ROUND(J216, 2)*I216, 2)</f>
        <v>6926.58</v>
      </c>
      <c r="P216" s="30">
        <v>88.8</v>
      </c>
      <c r="S216" s="29">
        <f>ROUND(ROUND(P216, 2)*I216, 2)</f>
        <v>6926.58</v>
      </c>
    </row>
    <row r="217" spans="1:21" ht="69" customHeight="1" x14ac:dyDescent="0.35">
      <c r="A217" s="10" t="s">
        <v>1068</v>
      </c>
      <c r="B217" s="10"/>
      <c r="C217" s="24" t="s">
        <v>854</v>
      </c>
      <c r="D217" s="15"/>
      <c r="E217" s="15" t="s">
        <v>1049</v>
      </c>
      <c r="F217" s="25" t="s">
        <v>81</v>
      </c>
      <c r="G217" s="26">
        <v>2</v>
      </c>
      <c r="H217" s="26"/>
      <c r="I217" s="26">
        <v>1040.02</v>
      </c>
      <c r="J217" s="28">
        <v>23</v>
      </c>
      <c r="M217" s="29">
        <f>ROUND(ROUND(J217, 2)*I217, 2)</f>
        <v>23920.46</v>
      </c>
      <c r="P217" s="30">
        <v>32.31</v>
      </c>
      <c r="S217" s="29">
        <f>ROUND(ROUND(P217, 2)*I217, 2)</f>
        <v>33603.050000000003</v>
      </c>
    </row>
    <row r="218" spans="1:21" ht="54" x14ac:dyDescent="0.35">
      <c r="A218" s="77" t="s">
        <v>1071</v>
      </c>
      <c r="B218" s="77" t="s">
        <v>1027</v>
      </c>
      <c r="C218" s="78" t="s">
        <v>1028</v>
      </c>
      <c r="D218" s="79"/>
      <c r="E218" s="79" t="s">
        <v>1072</v>
      </c>
      <c r="F218" s="79" t="s">
        <v>56</v>
      </c>
      <c r="G218" s="80">
        <v>1</v>
      </c>
      <c r="H218" s="80"/>
      <c r="I218" s="80">
        <v>66.28</v>
      </c>
      <c r="J218" s="17">
        <f>IFERROR(ROUND(SUM(M219,M220)/I218, 2),0)</f>
        <v>59.32</v>
      </c>
      <c r="K218" s="18">
        <v>639</v>
      </c>
      <c r="L218" s="17">
        <f>J218+ROUND(K218, 2)</f>
        <v>698.32</v>
      </c>
      <c r="M218" s="17">
        <f>ROUND(J218*I218, 2)</f>
        <v>3931.73</v>
      </c>
      <c r="N218" s="17">
        <f>ROUND(I218*ROUND(K218, 2), 2)</f>
        <v>42352.92</v>
      </c>
      <c r="O218" s="17">
        <f>M218+N218</f>
        <v>46284.65</v>
      </c>
      <c r="P218" s="17">
        <f>IFERROR(ROUND(SUM(S219,S220)/I218, 2),0)</f>
        <v>59.32</v>
      </c>
      <c r="Q218" s="19">
        <v>639</v>
      </c>
      <c r="R218" s="17">
        <f>P218+ROUND(Q218, 2)</f>
        <v>698.32</v>
      </c>
      <c r="S218" s="17">
        <f>ROUND(P218*I218, 2)</f>
        <v>3931.73</v>
      </c>
      <c r="T218" s="17">
        <f>ROUND(I218*ROUND(Q218, 2), 2)</f>
        <v>42352.92</v>
      </c>
      <c r="U218" s="17">
        <f>S218+T218</f>
        <v>46284.65</v>
      </c>
    </row>
    <row r="219" spans="1:21" ht="36" x14ac:dyDescent="0.35">
      <c r="A219" s="10" t="s">
        <v>1073</v>
      </c>
      <c r="B219" s="10"/>
      <c r="C219" s="24" t="s">
        <v>493</v>
      </c>
      <c r="D219" s="15"/>
      <c r="E219" s="15"/>
      <c r="F219" s="25" t="s">
        <v>81</v>
      </c>
      <c r="G219" s="26">
        <v>0.15</v>
      </c>
      <c r="H219" s="26"/>
      <c r="I219" s="26">
        <v>9.9420000000000002</v>
      </c>
      <c r="J219" s="28">
        <v>88.8</v>
      </c>
      <c r="M219" s="29">
        <f>ROUND(ROUND(J219, 2)*I219, 2)</f>
        <v>882.85</v>
      </c>
      <c r="P219" s="30">
        <v>88.8</v>
      </c>
      <c r="S219" s="29">
        <f>ROUND(ROUND(P219, 2)*I219, 2)</f>
        <v>882.85</v>
      </c>
    </row>
    <row r="220" spans="1:21" ht="54" x14ac:dyDescent="0.35">
      <c r="A220" s="10" t="s">
        <v>1076</v>
      </c>
      <c r="B220" s="10"/>
      <c r="C220" s="24" t="s">
        <v>854</v>
      </c>
      <c r="D220" s="15"/>
      <c r="E220" s="15" t="s">
        <v>1049</v>
      </c>
      <c r="F220" s="25" t="s">
        <v>81</v>
      </c>
      <c r="G220" s="26">
        <v>2</v>
      </c>
      <c r="H220" s="26"/>
      <c r="I220" s="26">
        <v>132.56</v>
      </c>
      <c r="J220" s="28">
        <v>23</v>
      </c>
      <c r="M220" s="29">
        <f>ROUND(ROUND(J220, 2)*I220, 2)</f>
        <v>3048.88</v>
      </c>
      <c r="P220" s="30">
        <v>23</v>
      </c>
      <c r="S220" s="29">
        <f>ROUND(ROUND(P220, 2)*I220, 2)</f>
        <v>3048.88</v>
      </c>
    </row>
    <row r="221" spans="1:21" ht="54" x14ac:dyDescent="0.35">
      <c r="A221" s="77" t="s">
        <v>1079</v>
      </c>
      <c r="B221" s="77" t="s">
        <v>1027</v>
      </c>
      <c r="C221" s="78" t="s">
        <v>1028</v>
      </c>
      <c r="D221" s="79"/>
      <c r="E221" s="79" t="s">
        <v>1080</v>
      </c>
      <c r="F221" s="79" t="s">
        <v>56</v>
      </c>
      <c r="G221" s="80">
        <v>1</v>
      </c>
      <c r="H221" s="80"/>
      <c r="I221" s="80">
        <v>66.28</v>
      </c>
      <c r="J221" s="17">
        <f>IFERROR(ROUND(SUM(M222,M223,M224)/I221, 2),0)</f>
        <v>81.25</v>
      </c>
      <c r="K221" s="18">
        <v>639</v>
      </c>
      <c r="L221" s="17">
        <f>J221+ROUND(K221, 2)</f>
        <v>720.25</v>
      </c>
      <c r="M221" s="17">
        <f>ROUND(J221*I221, 2)</f>
        <v>5385.25</v>
      </c>
      <c r="N221" s="17">
        <f>ROUND(I221*ROUND(K221, 2), 2)</f>
        <v>42352.92</v>
      </c>
      <c r="O221" s="17">
        <f>M221+N221</f>
        <v>47738.17</v>
      </c>
      <c r="P221" s="17">
        <f>IFERROR(ROUND(SUM(S222,S223,S224)/I221, 2),0)</f>
        <v>81.25</v>
      </c>
      <c r="Q221" s="19">
        <v>639</v>
      </c>
      <c r="R221" s="17">
        <f>P221+ROUND(Q221, 2)</f>
        <v>720.25</v>
      </c>
      <c r="S221" s="17">
        <f>ROUND(P221*I221, 2)</f>
        <v>5385.25</v>
      </c>
      <c r="T221" s="17">
        <f>ROUND(I221*ROUND(Q221, 2), 2)</f>
        <v>42352.92</v>
      </c>
      <c r="U221" s="17">
        <f>S221+T221</f>
        <v>47738.17</v>
      </c>
    </row>
    <row r="222" spans="1:21" ht="36" x14ac:dyDescent="0.35">
      <c r="A222" s="10" t="s">
        <v>1081</v>
      </c>
      <c r="B222" s="10"/>
      <c r="C222" s="24" t="s">
        <v>493</v>
      </c>
      <c r="D222" s="15"/>
      <c r="E222" s="15"/>
      <c r="F222" s="25" t="s">
        <v>81</v>
      </c>
      <c r="G222" s="26">
        <v>0.15</v>
      </c>
      <c r="H222" s="26"/>
      <c r="I222" s="26">
        <v>9.9420000000000002</v>
      </c>
      <c r="J222" s="28">
        <v>88.8</v>
      </c>
      <c r="M222" s="29">
        <f>ROUND(ROUND(J222, 2)*I222, 2)</f>
        <v>882.85</v>
      </c>
      <c r="P222" s="30">
        <v>88.8</v>
      </c>
      <c r="S222" s="29">
        <f>ROUND(ROUND(P222, 2)*I222, 2)</f>
        <v>882.85</v>
      </c>
    </row>
    <row r="223" spans="1:21" ht="36" x14ac:dyDescent="0.35">
      <c r="A223" s="10" t="s">
        <v>1084</v>
      </c>
      <c r="B223" s="10"/>
      <c r="C223" s="24" t="s">
        <v>1036</v>
      </c>
      <c r="D223" s="15"/>
      <c r="E223" s="15"/>
      <c r="F223" s="25" t="s">
        <v>103</v>
      </c>
      <c r="G223" s="26">
        <v>0.3</v>
      </c>
      <c r="H223" s="26"/>
      <c r="I223" s="26">
        <v>19.884</v>
      </c>
      <c r="J223" s="28">
        <v>73.099999999999994</v>
      </c>
      <c r="M223" s="29">
        <f>ROUND(ROUND(J223, 2)*I223, 2)</f>
        <v>1453.52</v>
      </c>
      <c r="P223" s="30">
        <v>73.099999999999994</v>
      </c>
      <c r="S223" s="29">
        <f>ROUND(ROUND(P223, 2)*I223, 2)</f>
        <v>1453.52</v>
      </c>
    </row>
    <row r="224" spans="1:21" ht="54" x14ac:dyDescent="0.35">
      <c r="A224" s="10" t="s">
        <v>1087</v>
      </c>
      <c r="B224" s="10"/>
      <c r="C224" s="24" t="s">
        <v>854</v>
      </c>
      <c r="D224" s="15"/>
      <c r="E224" s="15" t="s">
        <v>855</v>
      </c>
      <c r="F224" s="25" t="s">
        <v>81</v>
      </c>
      <c r="G224" s="26">
        <v>2</v>
      </c>
      <c r="H224" s="26"/>
      <c r="I224" s="26">
        <v>132.56</v>
      </c>
      <c r="J224" s="28">
        <v>23</v>
      </c>
      <c r="M224" s="29">
        <f>ROUND(ROUND(J224, 2)*I224, 2)</f>
        <v>3048.88</v>
      </c>
      <c r="P224" s="30">
        <v>23</v>
      </c>
      <c r="S224" s="29">
        <f>ROUND(ROUND(P224, 2)*I224, 2)</f>
        <v>3048.88</v>
      </c>
    </row>
    <row r="225" spans="1:21" ht="36" x14ac:dyDescent="0.35">
      <c r="A225" s="10" t="s">
        <v>1090</v>
      </c>
      <c r="B225" s="10" t="s">
        <v>1027</v>
      </c>
      <c r="C225" s="14" t="s">
        <v>1028</v>
      </c>
      <c r="D225" s="15"/>
      <c r="E225" s="15" t="s">
        <v>1091</v>
      </c>
      <c r="F225" s="15" t="s">
        <v>56</v>
      </c>
      <c r="G225" s="16">
        <v>1</v>
      </c>
      <c r="H225" s="16"/>
      <c r="I225" s="16">
        <v>79.16</v>
      </c>
      <c r="J225" s="17">
        <f>IFERROR(ROUND(SUM(M226,M227)/I225, 2),0)</f>
        <v>59.32</v>
      </c>
      <c r="K225" s="18">
        <v>639</v>
      </c>
      <c r="L225" s="17">
        <f>J225+ROUND(K225, 2)</f>
        <v>698.32</v>
      </c>
      <c r="M225" s="17">
        <f>ROUND(J225*I225, 2)</f>
        <v>4695.7700000000004</v>
      </c>
      <c r="N225" s="17">
        <f>ROUND(I225*ROUND(K225, 2), 2)</f>
        <v>50583.24</v>
      </c>
      <c r="O225" s="17">
        <f>M225+N225</f>
        <v>55279.009999999995</v>
      </c>
      <c r="P225" s="17">
        <f>IFERROR(ROUND(SUM(S226,S227)/I225, 2),0)</f>
        <v>77.94</v>
      </c>
      <c r="Q225" s="19">
        <v>639</v>
      </c>
      <c r="R225" s="17">
        <f>P225+ROUND(Q225, 2)</f>
        <v>716.94</v>
      </c>
      <c r="S225" s="17">
        <f>ROUND(P225*I225, 2)</f>
        <v>6169.73</v>
      </c>
      <c r="T225" s="17">
        <f>ROUND(I225*ROUND(Q225, 2), 2)</f>
        <v>50583.24</v>
      </c>
      <c r="U225" s="17">
        <f>S225+T225</f>
        <v>56752.97</v>
      </c>
    </row>
    <row r="226" spans="1:21" ht="36" x14ac:dyDescent="0.35">
      <c r="A226" s="10" t="s">
        <v>1092</v>
      </c>
      <c r="B226" s="10"/>
      <c r="C226" s="24" t="s">
        <v>493</v>
      </c>
      <c r="D226" s="15"/>
      <c r="E226" s="15"/>
      <c r="F226" s="25" t="s">
        <v>81</v>
      </c>
      <c r="G226" s="26">
        <v>0.15</v>
      </c>
      <c r="H226" s="26"/>
      <c r="I226" s="26">
        <v>11.874000000000001</v>
      </c>
      <c r="J226" s="28">
        <v>88.8</v>
      </c>
      <c r="M226" s="29">
        <f>ROUND(ROUND(J226, 2)*I226, 2)</f>
        <v>1054.4100000000001</v>
      </c>
      <c r="P226" s="30">
        <v>88.8</v>
      </c>
      <c r="S226" s="29">
        <f>ROUND(ROUND(P226, 2)*I226, 2)</f>
        <v>1054.4100000000001</v>
      </c>
    </row>
    <row r="227" spans="1:21" ht="18" x14ac:dyDescent="0.35">
      <c r="A227" s="10" t="s">
        <v>1095</v>
      </c>
      <c r="B227" s="10"/>
      <c r="C227" s="24" t="s">
        <v>854</v>
      </c>
      <c r="D227" s="15"/>
      <c r="E227" s="15"/>
      <c r="F227" s="25" t="s">
        <v>81</v>
      </c>
      <c r="G227" s="26">
        <v>2</v>
      </c>
      <c r="H227" s="26"/>
      <c r="I227" s="26">
        <v>158.32</v>
      </c>
      <c r="J227" s="28">
        <v>23</v>
      </c>
      <c r="M227" s="29">
        <f>ROUND(ROUND(J227, 2)*I227, 2)</f>
        <v>3641.36</v>
      </c>
      <c r="P227" s="30">
        <v>32.31</v>
      </c>
      <c r="S227" s="29">
        <f>ROUND(ROUND(P227, 2)*I227, 2)</f>
        <v>5115.32</v>
      </c>
    </row>
    <row r="228" spans="1:21" ht="36" x14ac:dyDescent="0.35">
      <c r="A228" s="73" t="s">
        <v>1098</v>
      </c>
      <c r="B228" s="73" t="s">
        <v>1027</v>
      </c>
      <c r="C228" s="74" t="s">
        <v>1028</v>
      </c>
      <c r="D228" s="75"/>
      <c r="E228" s="75" t="s">
        <v>1099</v>
      </c>
      <c r="F228" s="75" t="s">
        <v>56</v>
      </c>
      <c r="G228" s="76">
        <v>1</v>
      </c>
      <c r="H228" s="76"/>
      <c r="I228" s="76">
        <v>520.01</v>
      </c>
      <c r="J228" s="17">
        <f>IFERROR(ROUND(SUM(M229,M230)/I228, 2),0)</f>
        <v>59.32</v>
      </c>
      <c r="K228" s="18">
        <v>639</v>
      </c>
      <c r="L228" s="17">
        <f>J228+ROUND(K228, 2)</f>
        <v>698.32</v>
      </c>
      <c r="M228" s="17">
        <f>ROUND(J228*I228, 2)</f>
        <v>30846.99</v>
      </c>
      <c r="N228" s="17">
        <f>ROUND(I228*ROUND(K228, 2), 2)</f>
        <v>332286.39</v>
      </c>
      <c r="O228" s="17">
        <f>M228+N228</f>
        <v>363133.38</v>
      </c>
      <c r="P228" s="17">
        <f>IFERROR(ROUND(SUM(S229,S230)/I228, 2),0)</f>
        <v>77.94</v>
      </c>
      <c r="Q228" s="19">
        <v>639</v>
      </c>
      <c r="R228" s="17">
        <f>P228+ROUND(Q228, 2)</f>
        <v>716.94</v>
      </c>
      <c r="S228" s="17">
        <f>ROUND(P228*I228, 2)</f>
        <v>40529.58</v>
      </c>
      <c r="T228" s="17">
        <f>ROUND(I228*ROUND(Q228, 2), 2)</f>
        <v>332286.39</v>
      </c>
      <c r="U228" s="17">
        <f>S228+T228</f>
        <v>372815.97000000003</v>
      </c>
    </row>
    <row r="229" spans="1:21" ht="36" x14ac:dyDescent="0.35">
      <c r="A229" s="10" t="s">
        <v>1100</v>
      </c>
      <c r="B229" s="10"/>
      <c r="C229" s="24" t="s">
        <v>493</v>
      </c>
      <c r="D229" s="15"/>
      <c r="E229" s="15"/>
      <c r="F229" s="25" t="s">
        <v>81</v>
      </c>
      <c r="G229" s="26">
        <v>0.15</v>
      </c>
      <c r="H229" s="26"/>
      <c r="I229" s="26">
        <v>78.001999999999995</v>
      </c>
      <c r="J229" s="28">
        <v>88.8</v>
      </c>
      <c r="M229" s="29">
        <f>ROUND(ROUND(J229, 2)*I229, 2)</f>
        <v>6926.58</v>
      </c>
      <c r="P229" s="30">
        <v>88.8</v>
      </c>
      <c r="S229" s="29">
        <f>ROUND(ROUND(P229, 2)*I229, 2)</f>
        <v>6926.58</v>
      </c>
    </row>
    <row r="230" spans="1:21" ht="18" x14ac:dyDescent="0.35">
      <c r="A230" s="10" t="s">
        <v>1103</v>
      </c>
      <c r="B230" s="10"/>
      <c r="C230" s="24" t="s">
        <v>854</v>
      </c>
      <c r="D230" s="15"/>
      <c r="E230" s="15"/>
      <c r="F230" s="25" t="s">
        <v>81</v>
      </c>
      <c r="G230" s="26">
        <v>2</v>
      </c>
      <c r="H230" s="26"/>
      <c r="I230" s="26">
        <v>1040.02</v>
      </c>
      <c r="J230" s="28">
        <v>23</v>
      </c>
      <c r="M230" s="29">
        <f>ROUND(ROUND(J230, 2)*I230, 2)</f>
        <v>23920.46</v>
      </c>
      <c r="P230" s="30">
        <v>32.31</v>
      </c>
      <c r="S230" s="29">
        <f>ROUND(ROUND(P230, 2)*I230, 2)</f>
        <v>33603.050000000003</v>
      </c>
    </row>
    <row r="231" spans="1:21" ht="54" x14ac:dyDescent="0.35">
      <c r="A231" s="85" t="s">
        <v>1106</v>
      </c>
      <c r="B231" s="85" t="s">
        <v>1027</v>
      </c>
      <c r="C231" s="86" t="s">
        <v>1028</v>
      </c>
      <c r="D231" s="87"/>
      <c r="E231" s="87" t="s">
        <v>1107</v>
      </c>
      <c r="F231" s="87" t="s">
        <v>56</v>
      </c>
      <c r="G231" s="88">
        <v>1</v>
      </c>
      <c r="H231" s="88"/>
      <c r="I231" s="88">
        <v>66.28</v>
      </c>
      <c r="J231" s="17">
        <f>IFERROR(ROUND(SUM(M232,M233)/I231, 2),0)</f>
        <v>31.41</v>
      </c>
      <c r="K231" s="18">
        <v>639</v>
      </c>
      <c r="L231" s="17">
        <f>J231+ROUND(K231, 2)</f>
        <v>670.41</v>
      </c>
      <c r="M231" s="17">
        <f>ROUND(J231*I231, 2)</f>
        <v>2081.85</v>
      </c>
      <c r="N231" s="17">
        <f>ROUND(I231*ROUND(K231, 2), 2)</f>
        <v>42352.92</v>
      </c>
      <c r="O231" s="17">
        <f>M231+N231</f>
        <v>44434.77</v>
      </c>
      <c r="P231" s="17">
        <f>IFERROR(ROUND(SUM(S232,S233)/I231, 2),0)</f>
        <v>31.43</v>
      </c>
      <c r="Q231" s="19">
        <v>639</v>
      </c>
      <c r="R231" s="17">
        <f>P231+ROUND(Q231, 2)</f>
        <v>670.43</v>
      </c>
      <c r="S231" s="17">
        <f>ROUND(P231*I231, 2)</f>
        <v>2083.1799999999998</v>
      </c>
      <c r="T231" s="17">
        <f>ROUND(I231*ROUND(Q231, 2), 2)</f>
        <v>42352.92</v>
      </c>
      <c r="U231" s="17">
        <f>S231+T231</f>
        <v>44436.1</v>
      </c>
    </row>
    <row r="232" spans="1:21" ht="36" x14ac:dyDescent="0.35">
      <c r="A232" s="10" t="s">
        <v>1108</v>
      </c>
      <c r="B232" s="10"/>
      <c r="C232" s="24" t="s">
        <v>493</v>
      </c>
      <c r="D232" s="15"/>
      <c r="E232" s="15"/>
      <c r="F232" s="25" t="s">
        <v>81</v>
      </c>
      <c r="G232" s="26">
        <v>0.15</v>
      </c>
      <c r="H232" s="26"/>
      <c r="I232" s="26">
        <v>9.9420000000000002</v>
      </c>
      <c r="J232" s="28">
        <v>88.8</v>
      </c>
      <c r="M232" s="29">
        <f>ROUND(ROUND(J232, 2)*I232, 2)</f>
        <v>882.85</v>
      </c>
      <c r="P232" s="30">
        <v>88.8</v>
      </c>
      <c r="S232" s="29">
        <f>ROUND(ROUND(P232, 2)*I232, 2)</f>
        <v>882.85</v>
      </c>
    </row>
    <row r="233" spans="1:21" ht="36" x14ac:dyDescent="0.35">
      <c r="A233" s="10" t="s">
        <v>1111</v>
      </c>
      <c r="B233" s="10"/>
      <c r="C233" s="37" t="s">
        <v>914</v>
      </c>
      <c r="D233" s="15"/>
      <c r="E233" s="15"/>
      <c r="F233" s="25" t="s">
        <v>81</v>
      </c>
      <c r="G233" s="26">
        <v>1.5</v>
      </c>
      <c r="H233" s="26"/>
      <c r="I233" s="26">
        <v>99.42</v>
      </c>
      <c r="J233" s="28">
        <v>12.06</v>
      </c>
      <c r="M233" s="29">
        <f>ROUND(ROUND(J233, 2)*I233, 2)</f>
        <v>1199.01</v>
      </c>
      <c r="P233" s="30">
        <v>12.07</v>
      </c>
      <c r="S233" s="29">
        <f>ROUND(ROUND(P233, 2)*I233, 2)</f>
        <v>1200</v>
      </c>
    </row>
    <row r="234" spans="1:21" ht="45" customHeight="1" x14ac:dyDescent="0.35">
      <c r="A234" s="10" t="s">
        <v>1115</v>
      </c>
      <c r="B234" s="10" t="s">
        <v>1116</v>
      </c>
      <c r="C234" s="14" t="s">
        <v>1117</v>
      </c>
      <c r="D234" s="15"/>
      <c r="E234" s="15" t="s">
        <v>1029</v>
      </c>
      <c r="F234" s="15" t="s">
        <v>56</v>
      </c>
      <c r="G234" s="16">
        <v>1</v>
      </c>
      <c r="H234" s="16"/>
      <c r="I234" s="16">
        <v>216.42</v>
      </c>
      <c r="J234" s="17">
        <f>IFERROR(ROUND(SUM(M235,M236,M237)/I234, 2),0)</f>
        <v>81.25</v>
      </c>
      <c r="K234" s="18">
        <v>508</v>
      </c>
      <c r="L234" s="17">
        <f>J234+ROUND(K234, 2)</f>
        <v>589.25</v>
      </c>
      <c r="M234" s="17">
        <f>ROUND(J234*I234, 2)</f>
        <v>17584.13</v>
      </c>
      <c r="N234" s="17">
        <f>ROUND(I234*ROUND(K234, 2), 2)</f>
        <v>109941.36</v>
      </c>
      <c r="O234" s="17">
        <f>M234+N234</f>
        <v>127525.49</v>
      </c>
      <c r="P234" s="17">
        <f>IFERROR(ROUND(SUM(S235,S236,S237)/I234, 2),0)</f>
        <v>81.25</v>
      </c>
      <c r="Q234" s="19">
        <v>508</v>
      </c>
      <c r="R234" s="17">
        <f>P234+ROUND(Q234, 2)</f>
        <v>589.25</v>
      </c>
      <c r="S234" s="17">
        <f>ROUND(P234*I234, 2)</f>
        <v>17584.13</v>
      </c>
      <c r="T234" s="17">
        <f>ROUND(I234*ROUND(Q234, 2), 2)</f>
        <v>109941.36</v>
      </c>
      <c r="U234" s="17">
        <f>S234+T234</f>
        <v>127525.49</v>
      </c>
    </row>
    <row r="235" spans="1:21" ht="54" x14ac:dyDescent="0.35">
      <c r="A235" s="10" t="s">
        <v>1120</v>
      </c>
      <c r="B235" s="10"/>
      <c r="C235" s="24" t="s">
        <v>854</v>
      </c>
      <c r="D235" s="15"/>
      <c r="E235" s="15" t="s">
        <v>855</v>
      </c>
      <c r="F235" s="25" t="s">
        <v>81</v>
      </c>
      <c r="G235" s="26">
        <v>2</v>
      </c>
      <c r="H235" s="26"/>
      <c r="I235" s="26">
        <v>432.84</v>
      </c>
      <c r="J235" s="28">
        <v>23</v>
      </c>
      <c r="M235" s="29">
        <f>ROUND(ROUND(J235, 2)*I235, 2)</f>
        <v>9955.32</v>
      </c>
      <c r="P235" s="30">
        <v>23</v>
      </c>
      <c r="S235" s="29">
        <f>ROUND(ROUND(P235, 2)*I235, 2)</f>
        <v>9955.32</v>
      </c>
    </row>
    <row r="236" spans="1:21" ht="18" x14ac:dyDescent="0.35">
      <c r="A236" s="10" t="s">
        <v>1123</v>
      </c>
      <c r="B236" s="10"/>
      <c r="C236" s="24" t="s">
        <v>860</v>
      </c>
      <c r="D236" s="15"/>
      <c r="E236" s="15"/>
      <c r="F236" s="25" t="s">
        <v>103</v>
      </c>
      <c r="G236" s="26">
        <v>0.3</v>
      </c>
      <c r="H236" s="26"/>
      <c r="I236" s="26">
        <v>64.926000000000002</v>
      </c>
      <c r="J236" s="28">
        <v>73.099999999999994</v>
      </c>
      <c r="M236" s="29">
        <f>ROUND(ROUND(J236, 2)*I236, 2)</f>
        <v>4746.09</v>
      </c>
      <c r="P236" s="30">
        <v>73.099999999999994</v>
      </c>
      <c r="S236" s="29">
        <f>ROUND(ROUND(P236, 2)*I236, 2)</f>
        <v>4746.09</v>
      </c>
    </row>
    <row r="237" spans="1:21" ht="36" x14ac:dyDescent="0.35">
      <c r="A237" s="10" t="s">
        <v>1126</v>
      </c>
      <c r="B237" s="10"/>
      <c r="C237" s="24" t="s">
        <v>493</v>
      </c>
      <c r="D237" s="15"/>
      <c r="E237" s="15"/>
      <c r="F237" s="25" t="s">
        <v>81</v>
      </c>
      <c r="G237" s="26">
        <v>0.15</v>
      </c>
      <c r="H237" s="26"/>
      <c r="I237" s="26">
        <v>32.463000000000001</v>
      </c>
      <c r="J237" s="28">
        <v>88.8</v>
      </c>
      <c r="M237" s="29">
        <f>ROUND(ROUND(J237, 2)*I237, 2)</f>
        <v>2882.71</v>
      </c>
      <c r="P237" s="30">
        <v>88.8</v>
      </c>
      <c r="S237" s="29">
        <f>ROUND(ROUND(P237, 2)*I237, 2)</f>
        <v>2882.71</v>
      </c>
    </row>
    <row r="238" spans="1:21" ht="44.5" customHeight="1" x14ac:dyDescent="0.35">
      <c r="A238" s="10" t="s">
        <v>1129</v>
      </c>
      <c r="B238" s="10" t="s">
        <v>1116</v>
      </c>
      <c r="C238" s="14" t="s">
        <v>1117</v>
      </c>
      <c r="D238" s="15"/>
      <c r="E238" s="15" t="s">
        <v>1044</v>
      </c>
      <c r="F238" s="15" t="s">
        <v>56</v>
      </c>
      <c r="G238" s="16">
        <v>1</v>
      </c>
      <c r="H238" s="16"/>
      <c r="I238" s="16">
        <v>216.42</v>
      </c>
      <c r="J238" s="17">
        <f>IFERROR(ROUND(SUM(M239,M240)/I238, 2),0)</f>
        <v>59.32</v>
      </c>
      <c r="K238" s="18">
        <v>508</v>
      </c>
      <c r="L238" s="17">
        <f>J238+ROUND(K238, 2)</f>
        <v>567.32000000000005</v>
      </c>
      <c r="M238" s="17">
        <f>ROUND(J238*I238, 2)</f>
        <v>12838.03</v>
      </c>
      <c r="N238" s="17">
        <f>ROUND(I238*ROUND(K238, 2), 2)</f>
        <v>109941.36</v>
      </c>
      <c r="O238" s="17">
        <f>M238+N238</f>
        <v>122779.39</v>
      </c>
      <c r="P238" s="17">
        <f>IFERROR(ROUND(SUM(S239,S240)/I238, 2),0)</f>
        <v>59.32</v>
      </c>
      <c r="Q238" s="19">
        <v>508</v>
      </c>
      <c r="R238" s="17">
        <f>P238+ROUND(Q238, 2)</f>
        <v>567.32000000000005</v>
      </c>
      <c r="S238" s="17">
        <f>ROUND(P238*I238, 2)</f>
        <v>12838.03</v>
      </c>
      <c r="T238" s="17">
        <f>ROUND(I238*ROUND(Q238, 2), 2)</f>
        <v>109941.36</v>
      </c>
      <c r="U238" s="17">
        <f>S238+T238</f>
        <v>122779.39</v>
      </c>
    </row>
    <row r="239" spans="1:21" ht="36" x14ac:dyDescent="0.35">
      <c r="A239" s="10" t="s">
        <v>1130</v>
      </c>
      <c r="B239" s="10"/>
      <c r="C239" s="24" t="s">
        <v>493</v>
      </c>
      <c r="D239" s="15"/>
      <c r="E239" s="15"/>
      <c r="F239" s="25" t="s">
        <v>81</v>
      </c>
      <c r="G239" s="26">
        <v>0.15</v>
      </c>
      <c r="H239" s="26"/>
      <c r="I239" s="26">
        <v>32.463000000000001</v>
      </c>
      <c r="J239" s="28">
        <v>88.8</v>
      </c>
      <c r="M239" s="29">
        <f>ROUND(ROUND(J239, 2)*I239, 2)</f>
        <v>2882.71</v>
      </c>
      <c r="P239" s="30">
        <v>88.8</v>
      </c>
      <c r="S239" s="29">
        <f>ROUND(ROUND(P239, 2)*I239, 2)</f>
        <v>2882.71</v>
      </c>
    </row>
    <row r="240" spans="1:21" ht="54" x14ac:dyDescent="0.35">
      <c r="A240" s="10" t="s">
        <v>1133</v>
      </c>
      <c r="B240" s="10"/>
      <c r="C240" s="24" t="s">
        <v>854</v>
      </c>
      <c r="D240" s="15"/>
      <c r="E240" s="15" t="s">
        <v>1049</v>
      </c>
      <c r="F240" s="25" t="s">
        <v>81</v>
      </c>
      <c r="G240" s="26">
        <v>2</v>
      </c>
      <c r="H240" s="26"/>
      <c r="I240" s="26">
        <v>432.84</v>
      </c>
      <c r="J240" s="28">
        <v>23</v>
      </c>
      <c r="M240" s="29">
        <f>ROUND(ROUND(J240, 2)*I240, 2)</f>
        <v>9955.32</v>
      </c>
      <c r="P240" s="30">
        <v>23</v>
      </c>
      <c r="S240" s="29">
        <f>ROUND(ROUND(P240, 2)*I240, 2)</f>
        <v>9955.32</v>
      </c>
    </row>
    <row r="241" spans="1:21" ht="54" x14ac:dyDescent="0.35">
      <c r="A241" s="10" t="s">
        <v>1136</v>
      </c>
      <c r="B241" s="10" t="s">
        <v>1116</v>
      </c>
      <c r="C241" s="14" t="s">
        <v>1117</v>
      </c>
      <c r="D241" s="15"/>
      <c r="E241" s="15" t="s">
        <v>1072</v>
      </c>
      <c r="F241" s="15" t="s">
        <v>56</v>
      </c>
      <c r="G241" s="16">
        <v>1</v>
      </c>
      <c r="H241" s="16"/>
      <c r="I241" s="16">
        <v>1035.18</v>
      </c>
      <c r="J241" s="17">
        <f>IFERROR(ROUND(SUM(M242,M243)/I241, 2),0)</f>
        <v>59.32</v>
      </c>
      <c r="K241" s="18">
        <v>508</v>
      </c>
      <c r="L241" s="17">
        <f>J241+ROUND(K241, 2)</f>
        <v>567.32000000000005</v>
      </c>
      <c r="M241" s="17">
        <f>ROUND(J241*I241, 2)</f>
        <v>61406.879999999997</v>
      </c>
      <c r="N241" s="17">
        <f>ROUND(I241*ROUND(K241, 2), 2)</f>
        <v>525871.43999999994</v>
      </c>
      <c r="O241" s="17">
        <f>M241+N241</f>
        <v>587278.31999999995</v>
      </c>
      <c r="P241" s="17">
        <f>IFERROR(ROUND(SUM(S242,S243)/I241, 2),0)</f>
        <v>59.32</v>
      </c>
      <c r="Q241" s="19">
        <v>508</v>
      </c>
      <c r="R241" s="17">
        <f>P241+ROUND(Q241, 2)</f>
        <v>567.32000000000005</v>
      </c>
      <c r="S241" s="17">
        <f>ROUND(P241*I241, 2)</f>
        <v>61406.879999999997</v>
      </c>
      <c r="T241" s="17">
        <f>ROUND(I241*ROUND(Q241, 2), 2)</f>
        <v>525871.43999999994</v>
      </c>
      <c r="U241" s="17">
        <f>S241+T241</f>
        <v>587278.31999999995</v>
      </c>
    </row>
    <row r="242" spans="1:21" ht="36" x14ac:dyDescent="0.35">
      <c r="A242" s="10" t="s">
        <v>1137</v>
      </c>
      <c r="B242" s="10"/>
      <c r="C242" s="24" t="s">
        <v>493</v>
      </c>
      <c r="D242" s="15"/>
      <c r="E242" s="15"/>
      <c r="F242" s="25" t="s">
        <v>81</v>
      </c>
      <c r="G242" s="26">
        <v>0.15</v>
      </c>
      <c r="H242" s="26"/>
      <c r="I242" s="26">
        <v>155.27699999999999</v>
      </c>
      <c r="J242" s="28">
        <v>88.8</v>
      </c>
      <c r="M242" s="29">
        <f>ROUND(ROUND(J242, 2)*I242, 2)</f>
        <v>13788.6</v>
      </c>
      <c r="P242" s="30">
        <v>88.8</v>
      </c>
      <c r="S242" s="29">
        <f>ROUND(ROUND(P242, 2)*I242, 2)</f>
        <v>13788.6</v>
      </c>
    </row>
    <row r="243" spans="1:21" ht="54" x14ac:dyDescent="0.35">
      <c r="A243" s="10" t="s">
        <v>1140</v>
      </c>
      <c r="B243" s="10"/>
      <c r="C243" s="24" t="s">
        <v>854</v>
      </c>
      <c r="D243" s="15"/>
      <c r="E243" s="15" t="s">
        <v>1049</v>
      </c>
      <c r="F243" s="25" t="s">
        <v>81</v>
      </c>
      <c r="G243" s="26">
        <v>2</v>
      </c>
      <c r="H243" s="26"/>
      <c r="I243" s="26">
        <v>2070.36</v>
      </c>
      <c r="J243" s="28">
        <v>23</v>
      </c>
      <c r="M243" s="29">
        <f>ROUND(ROUND(J243, 2)*I243, 2)</f>
        <v>47618.28</v>
      </c>
      <c r="P243" s="30">
        <v>23</v>
      </c>
      <c r="S243" s="29">
        <f>ROUND(ROUND(P243, 2)*I243, 2)</f>
        <v>47618.28</v>
      </c>
    </row>
    <row r="244" spans="1:21" ht="54" x14ac:dyDescent="0.35">
      <c r="A244" s="81" t="s">
        <v>1143</v>
      </c>
      <c r="B244" s="81" t="s">
        <v>1116</v>
      </c>
      <c r="C244" s="82" t="s">
        <v>1117</v>
      </c>
      <c r="D244" s="83"/>
      <c r="E244" s="83" t="s">
        <v>1080</v>
      </c>
      <c r="F244" s="83" t="s">
        <v>56</v>
      </c>
      <c r="G244" s="84">
        <v>1</v>
      </c>
      <c r="H244" s="84"/>
      <c r="I244" s="84">
        <v>1035.18</v>
      </c>
      <c r="J244" s="17">
        <f>IFERROR(ROUND(SUM(M245,M246,M247)/I244, 2),0)</f>
        <v>81.25</v>
      </c>
      <c r="K244" s="18">
        <v>508</v>
      </c>
      <c r="L244" s="17">
        <f>J244+ROUND(K244, 2)</f>
        <v>589.25</v>
      </c>
      <c r="M244" s="17">
        <f>ROUND(J244*I244, 2)</f>
        <v>84108.38</v>
      </c>
      <c r="N244" s="17">
        <f>ROUND(I244*ROUND(K244, 2), 2)</f>
        <v>525871.43999999994</v>
      </c>
      <c r="O244" s="17">
        <f>M244+N244</f>
        <v>609979.81999999995</v>
      </c>
      <c r="P244" s="17">
        <f>IFERROR(ROUND(SUM(S245,S246,S247)/I244, 2),0)</f>
        <v>81.25</v>
      </c>
      <c r="Q244" s="19">
        <v>508</v>
      </c>
      <c r="R244" s="17">
        <f>P244+ROUND(Q244, 2)</f>
        <v>589.25</v>
      </c>
      <c r="S244" s="17">
        <f>ROUND(P244*I244, 2)</f>
        <v>84108.38</v>
      </c>
      <c r="T244" s="17">
        <f>ROUND(I244*ROUND(Q244, 2), 2)</f>
        <v>525871.43999999994</v>
      </c>
      <c r="U244" s="17">
        <f>S244+T244</f>
        <v>609979.81999999995</v>
      </c>
    </row>
    <row r="245" spans="1:21" ht="36" x14ac:dyDescent="0.35">
      <c r="A245" s="10" t="s">
        <v>1144</v>
      </c>
      <c r="B245" s="10"/>
      <c r="C245" s="24" t="s">
        <v>493</v>
      </c>
      <c r="D245" s="15"/>
      <c r="E245" s="15"/>
      <c r="F245" s="25" t="s">
        <v>81</v>
      </c>
      <c r="G245" s="26">
        <v>0.15</v>
      </c>
      <c r="H245" s="26"/>
      <c r="I245" s="26">
        <v>155.27699999999999</v>
      </c>
      <c r="J245" s="28">
        <v>88.8</v>
      </c>
      <c r="M245" s="29">
        <f>ROUND(ROUND(J245, 2)*I245, 2)</f>
        <v>13788.6</v>
      </c>
      <c r="P245" s="30">
        <v>88.8</v>
      </c>
      <c r="S245" s="29">
        <f>ROUND(ROUND(P245, 2)*I245, 2)</f>
        <v>13788.6</v>
      </c>
    </row>
    <row r="246" spans="1:21" ht="18" x14ac:dyDescent="0.35">
      <c r="A246" s="10" t="s">
        <v>1147</v>
      </c>
      <c r="B246" s="10"/>
      <c r="C246" s="24" t="s">
        <v>860</v>
      </c>
      <c r="D246" s="15"/>
      <c r="E246" s="15"/>
      <c r="F246" s="25" t="s">
        <v>103</v>
      </c>
      <c r="G246" s="26">
        <v>0.3</v>
      </c>
      <c r="H246" s="26"/>
      <c r="I246" s="26">
        <v>310.55399999999997</v>
      </c>
      <c r="J246" s="28">
        <v>73.099999999999994</v>
      </c>
      <c r="M246" s="29">
        <f>ROUND(ROUND(J246, 2)*I246, 2)</f>
        <v>22701.5</v>
      </c>
      <c r="P246" s="30">
        <v>73.099999999999994</v>
      </c>
      <c r="S246" s="29">
        <f>ROUND(ROUND(P246, 2)*I246, 2)</f>
        <v>22701.5</v>
      </c>
    </row>
    <row r="247" spans="1:21" ht="54" x14ac:dyDescent="0.35">
      <c r="A247" s="10" t="s">
        <v>1150</v>
      </c>
      <c r="B247" s="10"/>
      <c r="C247" s="24" t="s">
        <v>854</v>
      </c>
      <c r="D247" s="15"/>
      <c r="E247" s="15" t="s">
        <v>855</v>
      </c>
      <c r="F247" s="25" t="s">
        <v>81</v>
      </c>
      <c r="G247" s="26">
        <v>2</v>
      </c>
      <c r="H247" s="26"/>
      <c r="I247" s="26">
        <v>2070.36</v>
      </c>
      <c r="J247" s="28">
        <v>23</v>
      </c>
      <c r="M247" s="29">
        <f>ROUND(ROUND(J247, 2)*I247, 2)</f>
        <v>47618.28</v>
      </c>
      <c r="P247" s="30">
        <v>23</v>
      </c>
      <c r="S247" s="29">
        <f>ROUND(ROUND(P247, 2)*I247, 2)</f>
        <v>47618.28</v>
      </c>
    </row>
    <row r="248" spans="1:21" ht="36" x14ac:dyDescent="0.35">
      <c r="A248" s="10" t="s">
        <v>1153</v>
      </c>
      <c r="B248" s="81" t="s">
        <v>1116</v>
      </c>
      <c r="C248" s="82" t="s">
        <v>1117</v>
      </c>
      <c r="D248" s="83"/>
      <c r="E248" s="83" t="s">
        <v>1064</v>
      </c>
      <c r="F248" s="83" t="s">
        <v>56</v>
      </c>
      <c r="G248" s="84">
        <v>1</v>
      </c>
      <c r="H248" s="84"/>
      <c r="I248" s="84">
        <v>555.89</v>
      </c>
      <c r="J248" s="17">
        <f>IFERROR(ROUND(SUM(M249,M250)/I248, 2),0)</f>
        <v>59.32</v>
      </c>
      <c r="K248" s="18">
        <v>508</v>
      </c>
      <c r="L248" s="17">
        <f>J248+ROUND(K248, 2)</f>
        <v>567.32000000000005</v>
      </c>
      <c r="M248" s="17">
        <f>ROUND(J248*I248, 2)</f>
        <v>32975.39</v>
      </c>
      <c r="N248" s="17">
        <f>ROUND(I248*ROUND(K248, 2), 2)</f>
        <v>282392.12</v>
      </c>
      <c r="O248" s="17">
        <f>M248+N248</f>
        <v>315367.51</v>
      </c>
      <c r="P248" s="17">
        <f>IFERROR(ROUND(SUM(S249,S250)/I248, 2),0)</f>
        <v>59.32</v>
      </c>
      <c r="Q248" s="19">
        <v>508</v>
      </c>
      <c r="R248" s="17">
        <f>P248+ROUND(Q248, 2)</f>
        <v>567.32000000000005</v>
      </c>
      <c r="S248" s="17">
        <f>ROUND(P248*I248, 2)</f>
        <v>32975.39</v>
      </c>
      <c r="T248" s="17">
        <f>ROUND(I248*ROUND(Q248, 2), 2)</f>
        <v>282392.12</v>
      </c>
      <c r="U248" s="17">
        <f>S248+T248</f>
        <v>315367.51</v>
      </c>
    </row>
    <row r="249" spans="1:21" ht="36" x14ac:dyDescent="0.35">
      <c r="A249" s="10" t="s">
        <v>1154</v>
      </c>
      <c r="B249" s="10"/>
      <c r="C249" s="24" t="s">
        <v>493</v>
      </c>
      <c r="D249" s="15"/>
      <c r="E249" s="15"/>
      <c r="F249" s="25" t="s">
        <v>81</v>
      </c>
      <c r="G249" s="26">
        <v>0.15</v>
      </c>
      <c r="H249" s="26"/>
      <c r="I249" s="26">
        <v>83.384</v>
      </c>
      <c r="J249" s="28">
        <v>88.8</v>
      </c>
      <c r="M249" s="29">
        <f>ROUND(ROUND(J249, 2)*I249, 2)</f>
        <v>7404.5</v>
      </c>
      <c r="P249" s="30">
        <v>88.8</v>
      </c>
      <c r="S249" s="29">
        <f>ROUND(ROUND(P249, 2)*I249, 2)</f>
        <v>7404.5</v>
      </c>
    </row>
    <row r="250" spans="1:21" ht="54" x14ac:dyDescent="0.35">
      <c r="A250" s="10" t="s">
        <v>1157</v>
      </c>
      <c r="B250" s="10"/>
      <c r="C250" s="24" t="s">
        <v>854</v>
      </c>
      <c r="D250" s="15"/>
      <c r="E250" s="15" t="s">
        <v>1049</v>
      </c>
      <c r="F250" s="25" t="s">
        <v>81</v>
      </c>
      <c r="G250" s="26">
        <v>2</v>
      </c>
      <c r="H250" s="26"/>
      <c r="I250" s="26">
        <v>1111.78</v>
      </c>
      <c r="J250" s="28">
        <v>23</v>
      </c>
      <c r="M250" s="29">
        <f>ROUND(ROUND(J250, 2)*I250, 2)</f>
        <v>25570.94</v>
      </c>
      <c r="P250" s="30">
        <v>23</v>
      </c>
      <c r="S250" s="29">
        <f>ROUND(ROUND(P250, 2)*I250, 2)</f>
        <v>25570.94</v>
      </c>
    </row>
    <row r="251" spans="1:21" ht="36" x14ac:dyDescent="0.35">
      <c r="A251" s="10" t="s">
        <v>1160</v>
      </c>
      <c r="B251" s="81" t="s">
        <v>1116</v>
      </c>
      <c r="C251" s="82" t="s">
        <v>1117</v>
      </c>
      <c r="D251" s="83"/>
      <c r="E251" s="83" t="s">
        <v>1053</v>
      </c>
      <c r="F251" s="83" t="s">
        <v>56</v>
      </c>
      <c r="G251" s="84">
        <v>1</v>
      </c>
      <c r="H251" s="84"/>
      <c r="I251" s="84">
        <v>555.89</v>
      </c>
      <c r="J251" s="17">
        <f>IFERROR(ROUND(SUM(M252,M253,M254)/I251, 2),0)</f>
        <v>81.25</v>
      </c>
      <c r="K251" s="18">
        <v>508</v>
      </c>
      <c r="L251" s="17">
        <f>J251+ROUND(K251, 2)</f>
        <v>589.25</v>
      </c>
      <c r="M251" s="17">
        <f>ROUND(J251*I251, 2)</f>
        <v>45166.06</v>
      </c>
      <c r="N251" s="17">
        <f>ROUND(I251*ROUND(K251, 2), 2)</f>
        <v>282392.12</v>
      </c>
      <c r="O251" s="17">
        <f>M251+N251</f>
        <v>327558.18</v>
      </c>
      <c r="P251" s="17">
        <f>IFERROR(ROUND(SUM(S252,S253,S254)/I251, 2),0)</f>
        <v>81.25</v>
      </c>
      <c r="Q251" s="19">
        <v>508</v>
      </c>
      <c r="R251" s="17">
        <f>P251+ROUND(Q251, 2)</f>
        <v>589.25</v>
      </c>
      <c r="S251" s="17">
        <f>ROUND(P251*I251, 2)</f>
        <v>45166.06</v>
      </c>
      <c r="T251" s="17">
        <f>ROUND(I251*ROUND(Q251, 2), 2)</f>
        <v>282392.12</v>
      </c>
      <c r="U251" s="17">
        <f>S251+T251</f>
        <v>327558.18</v>
      </c>
    </row>
    <row r="252" spans="1:21" ht="36" x14ac:dyDescent="0.35">
      <c r="A252" s="10" t="s">
        <v>1161</v>
      </c>
      <c r="B252" s="10"/>
      <c r="C252" s="24" t="s">
        <v>493</v>
      </c>
      <c r="D252" s="15"/>
      <c r="E252" s="15"/>
      <c r="F252" s="25" t="s">
        <v>81</v>
      </c>
      <c r="G252" s="26">
        <v>0.15</v>
      </c>
      <c r="H252" s="26"/>
      <c r="I252" s="26">
        <v>83.384</v>
      </c>
      <c r="J252" s="28">
        <v>88.8</v>
      </c>
      <c r="M252" s="29">
        <f>ROUND(ROUND(J252, 2)*I252, 2)</f>
        <v>7404.5</v>
      </c>
      <c r="P252" s="30">
        <v>88.8</v>
      </c>
      <c r="S252" s="29">
        <f>ROUND(ROUND(P252, 2)*I252, 2)</f>
        <v>7404.5</v>
      </c>
    </row>
    <row r="253" spans="1:21" ht="18" x14ac:dyDescent="0.35">
      <c r="A253" s="10" t="s">
        <v>1164</v>
      </c>
      <c r="B253" s="10"/>
      <c r="C253" s="24" t="s">
        <v>860</v>
      </c>
      <c r="D253" s="15"/>
      <c r="E253" s="15"/>
      <c r="F253" s="25" t="s">
        <v>103</v>
      </c>
      <c r="G253" s="26">
        <v>0.3</v>
      </c>
      <c r="H253" s="26"/>
      <c r="I253" s="26">
        <v>166.767</v>
      </c>
      <c r="J253" s="28">
        <v>73.099999999999994</v>
      </c>
      <c r="M253" s="29">
        <f>ROUND(ROUND(J253, 2)*I253, 2)</f>
        <v>12190.67</v>
      </c>
      <c r="P253" s="30">
        <v>73.099999999999994</v>
      </c>
      <c r="S253" s="29">
        <f>ROUND(ROUND(P253, 2)*I253, 2)</f>
        <v>12190.67</v>
      </c>
    </row>
    <row r="254" spans="1:21" ht="54" x14ac:dyDescent="0.35">
      <c r="A254" s="10" t="s">
        <v>1167</v>
      </c>
      <c r="B254" s="10"/>
      <c r="C254" s="24" t="s">
        <v>854</v>
      </c>
      <c r="D254" s="15"/>
      <c r="E254" s="15" t="s">
        <v>855</v>
      </c>
      <c r="F254" s="25" t="s">
        <v>81</v>
      </c>
      <c r="G254" s="26">
        <v>2</v>
      </c>
      <c r="H254" s="26"/>
      <c r="I254" s="26">
        <v>1111.78</v>
      </c>
      <c r="J254" s="28">
        <v>23</v>
      </c>
      <c r="M254" s="29">
        <f>ROUND(ROUND(J254, 2)*I254, 2)</f>
        <v>25570.94</v>
      </c>
      <c r="P254" s="30">
        <v>23</v>
      </c>
      <c r="S254" s="29">
        <f>ROUND(ROUND(P254, 2)*I254, 2)</f>
        <v>25570.94</v>
      </c>
    </row>
    <row r="255" spans="1:21" ht="36" x14ac:dyDescent="0.35">
      <c r="A255" s="10" t="s">
        <v>1170</v>
      </c>
      <c r="B255" s="10" t="s">
        <v>1116</v>
      </c>
      <c r="C255" s="14" t="s">
        <v>1117</v>
      </c>
      <c r="D255" s="15"/>
      <c r="E255" s="15" t="s">
        <v>1091</v>
      </c>
      <c r="F255" s="15" t="s">
        <v>56</v>
      </c>
      <c r="G255" s="16">
        <v>1</v>
      </c>
      <c r="H255" s="16"/>
      <c r="I255" s="16">
        <v>216.42</v>
      </c>
      <c r="J255" s="17">
        <f>IFERROR(ROUND(SUM(M256,M257)/I255, 2),0)</f>
        <v>54.72</v>
      </c>
      <c r="K255" s="18">
        <v>508</v>
      </c>
      <c r="L255" s="17">
        <f>J255+ROUND(K255, 2)</f>
        <v>562.72</v>
      </c>
      <c r="M255" s="17">
        <f>ROUND(J255*I255, 2)</f>
        <v>11842.5</v>
      </c>
      <c r="N255" s="17">
        <f>ROUND(I255*ROUND(K255, 2), 2)</f>
        <v>109941.36</v>
      </c>
      <c r="O255" s="17">
        <f>M255+N255</f>
        <v>121783.86</v>
      </c>
      <c r="P255" s="17">
        <f>IFERROR(ROUND(SUM(S256,S257)/I255, 2),0)</f>
        <v>54.72</v>
      </c>
      <c r="Q255" s="19">
        <v>508</v>
      </c>
      <c r="R255" s="17">
        <f>P255+ROUND(Q255, 2)</f>
        <v>562.72</v>
      </c>
      <c r="S255" s="17">
        <f>ROUND(P255*I255, 2)</f>
        <v>11842.5</v>
      </c>
      <c r="T255" s="17">
        <f>ROUND(I255*ROUND(Q255, 2), 2)</f>
        <v>109941.36</v>
      </c>
      <c r="U255" s="17">
        <f>S255+T255</f>
        <v>121783.86</v>
      </c>
    </row>
    <row r="256" spans="1:21" ht="36" x14ac:dyDescent="0.35">
      <c r="A256" s="10" t="s">
        <v>1171</v>
      </c>
      <c r="B256" s="10"/>
      <c r="C256" s="24" t="s">
        <v>493</v>
      </c>
      <c r="D256" s="15"/>
      <c r="E256" s="15"/>
      <c r="F256" s="25" t="s">
        <v>81</v>
      </c>
      <c r="G256" s="26">
        <v>0.15</v>
      </c>
      <c r="H256" s="26"/>
      <c r="I256" s="26">
        <v>32.463000000000001</v>
      </c>
      <c r="J256" s="28">
        <v>88.8</v>
      </c>
      <c r="M256" s="29">
        <f>ROUND(ROUND(J256, 2)*I256, 2)</f>
        <v>2882.71</v>
      </c>
      <c r="P256" s="30">
        <v>88.8</v>
      </c>
      <c r="S256" s="29">
        <f>ROUND(ROUND(P256, 2)*I256, 2)</f>
        <v>2882.71</v>
      </c>
    </row>
    <row r="257" spans="1:21" ht="36" x14ac:dyDescent="0.35">
      <c r="A257" s="10" t="s">
        <v>1174</v>
      </c>
      <c r="B257" s="10"/>
      <c r="C257" s="24" t="s">
        <v>887</v>
      </c>
      <c r="D257" s="15"/>
      <c r="E257" s="15"/>
      <c r="F257" s="25" t="s">
        <v>81</v>
      </c>
      <c r="G257" s="26">
        <v>1.8</v>
      </c>
      <c r="H257" s="26"/>
      <c r="I257" s="26">
        <v>389.55599999999998</v>
      </c>
      <c r="J257" s="28">
        <v>23</v>
      </c>
      <c r="M257" s="29">
        <f>ROUND(ROUND(J257, 2)*I257, 2)</f>
        <v>8959.7900000000009</v>
      </c>
      <c r="P257" s="30">
        <v>23</v>
      </c>
      <c r="S257" s="29">
        <f>ROUND(ROUND(P257, 2)*I257, 2)</f>
        <v>8959.7900000000009</v>
      </c>
    </row>
    <row r="258" spans="1:21" ht="54" x14ac:dyDescent="0.35">
      <c r="A258" s="81" t="s">
        <v>1177</v>
      </c>
      <c r="B258" s="81" t="s">
        <v>1116</v>
      </c>
      <c r="C258" s="82" t="s">
        <v>1117</v>
      </c>
      <c r="D258" s="83"/>
      <c r="E258" s="83" t="s">
        <v>1107</v>
      </c>
      <c r="F258" s="83" t="s">
        <v>56</v>
      </c>
      <c r="G258" s="84">
        <v>1</v>
      </c>
      <c r="H258" s="84"/>
      <c r="I258" s="84">
        <v>1035.18</v>
      </c>
      <c r="J258" s="17">
        <f>IFERROR(ROUND(SUM(M259,M260)/I258, 2),0)</f>
        <v>54.72</v>
      </c>
      <c r="K258" s="18">
        <v>508</v>
      </c>
      <c r="L258" s="17">
        <f>J258+ROUND(K258, 2)</f>
        <v>562.72</v>
      </c>
      <c r="M258" s="17">
        <f>ROUND(J258*I258, 2)</f>
        <v>56645.05</v>
      </c>
      <c r="N258" s="17">
        <f>ROUND(I258*ROUND(K258, 2), 2)</f>
        <v>525871.43999999994</v>
      </c>
      <c r="O258" s="17">
        <f>M258+N258</f>
        <v>582516.49</v>
      </c>
      <c r="P258" s="17">
        <f>IFERROR(ROUND(SUM(S259,S260)/I258, 2),0)</f>
        <v>54.72</v>
      </c>
      <c r="Q258" s="19">
        <v>508</v>
      </c>
      <c r="R258" s="17">
        <f>P258+ROUND(Q258, 2)</f>
        <v>562.72</v>
      </c>
      <c r="S258" s="17">
        <f>ROUND(P258*I258, 2)</f>
        <v>56645.05</v>
      </c>
      <c r="T258" s="17">
        <f>ROUND(I258*ROUND(Q258, 2), 2)</f>
        <v>525871.43999999994</v>
      </c>
      <c r="U258" s="17">
        <f>S258+T258</f>
        <v>582516.49</v>
      </c>
    </row>
    <row r="259" spans="1:21" ht="36" x14ac:dyDescent="0.35">
      <c r="A259" s="10" t="s">
        <v>1178</v>
      </c>
      <c r="B259" s="10"/>
      <c r="C259" s="24" t="s">
        <v>493</v>
      </c>
      <c r="D259" s="15"/>
      <c r="E259" s="15"/>
      <c r="F259" s="25" t="s">
        <v>81</v>
      </c>
      <c r="G259" s="26">
        <v>0.15</v>
      </c>
      <c r="H259" s="26"/>
      <c r="I259" s="26">
        <v>155.27699999999999</v>
      </c>
      <c r="J259" s="28">
        <v>88.8</v>
      </c>
      <c r="M259" s="29">
        <f>ROUND(ROUND(J259, 2)*I259, 2)</f>
        <v>13788.6</v>
      </c>
      <c r="P259" s="30">
        <v>88.8</v>
      </c>
      <c r="S259" s="29">
        <f>ROUND(ROUND(P259, 2)*I259, 2)</f>
        <v>13788.6</v>
      </c>
    </row>
    <row r="260" spans="1:21" ht="36" x14ac:dyDescent="0.35">
      <c r="A260" s="10" t="s">
        <v>1181</v>
      </c>
      <c r="B260" s="10"/>
      <c r="C260" s="24" t="s">
        <v>887</v>
      </c>
      <c r="D260" s="15"/>
      <c r="E260" s="15"/>
      <c r="F260" s="25" t="s">
        <v>81</v>
      </c>
      <c r="G260" s="26">
        <v>1.8</v>
      </c>
      <c r="H260" s="26"/>
      <c r="I260" s="26">
        <v>1863.3240000000001</v>
      </c>
      <c r="J260" s="28">
        <v>23</v>
      </c>
      <c r="M260" s="29">
        <f>ROUND(ROUND(J260, 2)*I260, 2)</f>
        <v>42856.45</v>
      </c>
      <c r="P260" s="30">
        <v>23</v>
      </c>
      <c r="S260" s="29">
        <f>ROUND(ROUND(P260, 2)*I260, 2)</f>
        <v>42856.45</v>
      </c>
    </row>
    <row r="261" spans="1:21" ht="36" x14ac:dyDescent="0.35">
      <c r="A261" s="10" t="s">
        <v>1184</v>
      </c>
      <c r="B261" s="81" t="s">
        <v>1116</v>
      </c>
      <c r="C261" s="82" t="s">
        <v>1117</v>
      </c>
      <c r="D261" s="83"/>
      <c r="E261" s="83" t="s">
        <v>1099</v>
      </c>
      <c r="F261" s="83" t="s">
        <v>56</v>
      </c>
      <c r="G261" s="84">
        <v>1</v>
      </c>
      <c r="H261" s="84"/>
      <c r="I261" s="84">
        <v>555.89</v>
      </c>
      <c r="J261" s="17">
        <f>IFERROR(ROUND(SUM(M262,M263)/I261, 2),0)</f>
        <v>54.72</v>
      </c>
      <c r="K261" s="18">
        <v>508</v>
      </c>
      <c r="L261" s="17">
        <f>J261+ROUND(K261, 2)</f>
        <v>562.72</v>
      </c>
      <c r="M261" s="17">
        <f>ROUND(J261*I261, 2)</f>
        <v>30418.3</v>
      </c>
      <c r="N261" s="17">
        <f>ROUND(I261*ROUND(K261, 2), 2)</f>
        <v>282392.12</v>
      </c>
      <c r="O261" s="17">
        <f>M261+N261</f>
        <v>312810.42</v>
      </c>
      <c r="P261" s="17">
        <f>IFERROR(ROUND(SUM(S262,S263)/I261, 2),0)</f>
        <v>54.72</v>
      </c>
      <c r="Q261" s="19">
        <v>508</v>
      </c>
      <c r="R261" s="17">
        <f>P261+ROUND(Q261, 2)</f>
        <v>562.72</v>
      </c>
      <c r="S261" s="17">
        <f>ROUND(P261*I261, 2)</f>
        <v>30418.3</v>
      </c>
      <c r="T261" s="17">
        <f>ROUND(I261*ROUND(Q261, 2), 2)</f>
        <v>282392.12</v>
      </c>
      <c r="U261" s="17">
        <f>S261+T261</f>
        <v>312810.42</v>
      </c>
    </row>
    <row r="262" spans="1:21" ht="36" x14ac:dyDescent="0.35">
      <c r="A262" s="10" t="s">
        <v>1185</v>
      </c>
      <c r="B262" s="10"/>
      <c r="C262" s="24" t="s">
        <v>493</v>
      </c>
      <c r="D262" s="15"/>
      <c r="E262" s="15"/>
      <c r="F262" s="25" t="s">
        <v>81</v>
      </c>
      <c r="G262" s="26">
        <v>0.15</v>
      </c>
      <c r="H262" s="26"/>
      <c r="I262" s="26">
        <v>83.384</v>
      </c>
      <c r="J262" s="28">
        <v>88.8</v>
      </c>
      <c r="M262" s="29">
        <f>ROUND(ROUND(J262, 2)*I262, 2)</f>
        <v>7404.5</v>
      </c>
      <c r="P262" s="30">
        <v>88.8</v>
      </c>
      <c r="S262" s="29">
        <f>ROUND(ROUND(P262, 2)*I262, 2)</f>
        <v>7404.5</v>
      </c>
    </row>
    <row r="263" spans="1:21" ht="36" x14ac:dyDescent="0.35">
      <c r="A263" s="10" t="s">
        <v>1188</v>
      </c>
      <c r="B263" s="10"/>
      <c r="C263" s="24" t="s">
        <v>887</v>
      </c>
      <c r="D263" s="15"/>
      <c r="E263" s="15"/>
      <c r="F263" s="25" t="s">
        <v>81</v>
      </c>
      <c r="G263" s="26">
        <v>1.8</v>
      </c>
      <c r="H263" s="26"/>
      <c r="I263" s="26">
        <v>1000.602</v>
      </c>
      <c r="J263" s="28">
        <v>23</v>
      </c>
      <c r="M263" s="29">
        <f>ROUND(ROUND(J263, 2)*I263, 2)</f>
        <v>23013.85</v>
      </c>
      <c r="P263" s="30">
        <v>23</v>
      </c>
      <c r="S263" s="29">
        <f>ROUND(ROUND(P263, 2)*I263, 2)</f>
        <v>23013.85</v>
      </c>
    </row>
    <row r="264" spans="1:21" ht="72" x14ac:dyDescent="0.35">
      <c r="A264" s="73" t="s">
        <v>1191</v>
      </c>
      <c r="B264" s="73" t="s">
        <v>1192</v>
      </c>
      <c r="C264" s="74" t="s">
        <v>1193</v>
      </c>
      <c r="D264" s="75"/>
      <c r="E264" s="75" t="s">
        <v>1194</v>
      </c>
      <c r="F264" s="75" t="s">
        <v>56</v>
      </c>
      <c r="G264" s="76">
        <v>1</v>
      </c>
      <c r="H264" s="76"/>
      <c r="I264" s="76">
        <v>162.13999999999999</v>
      </c>
      <c r="J264" s="17">
        <f>IFERROR(ROUND(SUM(M265,M266,M267,M268)/I264, 2),0)</f>
        <v>333.01</v>
      </c>
      <c r="K264" s="18">
        <v>873</v>
      </c>
      <c r="L264" s="17">
        <f>J264+ROUND(K264, 2)</f>
        <v>1206.01</v>
      </c>
      <c r="M264" s="17">
        <f>ROUND(J264*I264, 2)</f>
        <v>53994.239999999998</v>
      </c>
      <c r="N264" s="17">
        <f>ROUND(I264*ROUND(K264, 2), 2)</f>
        <v>141548.22</v>
      </c>
      <c r="O264" s="17">
        <f>M264+N264</f>
        <v>195542.46</v>
      </c>
      <c r="P264" s="17">
        <f>IFERROR(ROUND(SUM(S265,S266,S267,S268)/I264, 2),0)</f>
        <v>400.48</v>
      </c>
      <c r="Q264" s="19">
        <v>873</v>
      </c>
      <c r="R264" s="17">
        <f>P264+ROUND(Q264, 2)</f>
        <v>1273.48</v>
      </c>
      <c r="S264" s="17">
        <f>ROUND(P264*I264, 2)</f>
        <v>64933.83</v>
      </c>
      <c r="T264" s="17">
        <f>ROUND(I264*ROUND(Q264, 2), 2)</f>
        <v>141548.22</v>
      </c>
      <c r="U264" s="17">
        <f>S264+T264</f>
        <v>206482.05</v>
      </c>
    </row>
    <row r="265" spans="1:21" ht="36" x14ac:dyDescent="0.35">
      <c r="A265" s="10" t="s">
        <v>1197</v>
      </c>
      <c r="B265" s="10"/>
      <c r="C265" s="24" t="s">
        <v>1198</v>
      </c>
      <c r="D265" s="15"/>
      <c r="E265" s="15" t="s">
        <v>1199</v>
      </c>
      <c r="F265" s="25" t="s">
        <v>81</v>
      </c>
      <c r="G265" s="26">
        <v>1.3</v>
      </c>
      <c r="H265" s="27"/>
      <c r="I265" s="27">
        <v>4227.8599999999997</v>
      </c>
      <c r="J265" s="28">
        <v>8.6</v>
      </c>
      <c r="M265" s="29">
        <f>ROUND(ROUND(J265, 2)*I265, 2)</f>
        <v>36359.599999999999</v>
      </c>
      <c r="P265" s="30">
        <v>8.6</v>
      </c>
      <c r="S265" s="29">
        <f>ROUND(ROUND(P265, 2)*I265, 2)</f>
        <v>36359.599999999999</v>
      </c>
    </row>
    <row r="266" spans="1:21" ht="36" x14ac:dyDescent="0.35">
      <c r="A266" s="10" t="s">
        <v>1203</v>
      </c>
      <c r="B266" s="10"/>
      <c r="C266" s="24" t="s">
        <v>1204</v>
      </c>
      <c r="D266" s="15"/>
      <c r="E266" s="15" t="s">
        <v>1205</v>
      </c>
      <c r="F266" s="25" t="s">
        <v>56</v>
      </c>
      <c r="G266" s="26">
        <v>1.1000000000000001</v>
      </c>
      <c r="H266" s="26"/>
      <c r="I266" s="26">
        <v>178.35400000000001</v>
      </c>
      <c r="J266" s="28">
        <v>66.16</v>
      </c>
      <c r="M266" s="29">
        <f>ROUND(ROUND(J266, 2)*I266, 2)</f>
        <v>11799.9</v>
      </c>
      <c r="P266" s="30">
        <v>127.5</v>
      </c>
      <c r="S266" s="29">
        <f>ROUND(ROUND(P266, 2)*I266, 2)</f>
        <v>22740.14</v>
      </c>
    </row>
    <row r="267" spans="1:21" ht="18" x14ac:dyDescent="0.35">
      <c r="A267" s="10" t="s">
        <v>1209</v>
      </c>
      <c r="B267" s="10"/>
      <c r="C267" s="24" t="s">
        <v>1210</v>
      </c>
      <c r="D267" s="15"/>
      <c r="E267" s="15"/>
      <c r="F267" s="25" t="s">
        <v>129</v>
      </c>
      <c r="G267" s="26">
        <v>1</v>
      </c>
      <c r="H267" s="27"/>
      <c r="I267" s="27">
        <v>113</v>
      </c>
      <c r="J267" s="28">
        <v>15.76</v>
      </c>
      <c r="M267" s="29">
        <f>ROUND(ROUND(J267, 2)*I267, 2)</f>
        <v>1780.88</v>
      </c>
      <c r="P267" s="30">
        <v>15.76</v>
      </c>
      <c r="S267" s="29">
        <f>ROUND(ROUND(P267, 2)*I267, 2)</f>
        <v>1780.88</v>
      </c>
    </row>
    <row r="268" spans="1:21" ht="18" x14ac:dyDescent="0.35">
      <c r="A268" s="10" t="s">
        <v>1214</v>
      </c>
      <c r="B268" s="10"/>
      <c r="C268" s="24" t="s">
        <v>316</v>
      </c>
      <c r="D268" s="15"/>
      <c r="E268" s="15"/>
      <c r="F268" s="25" t="s">
        <v>81</v>
      </c>
      <c r="G268" s="26">
        <v>0.25</v>
      </c>
      <c r="H268" s="26"/>
      <c r="I268" s="26">
        <v>40.534999999999997</v>
      </c>
      <c r="J268" s="28">
        <v>100</v>
      </c>
      <c r="M268" s="29">
        <f>ROUND(ROUND(J268, 2)*I268, 2)</f>
        <v>4053.5</v>
      </c>
      <c r="P268" s="30">
        <v>100</v>
      </c>
      <c r="S268" s="29">
        <f>ROUND(ROUND(P268, 2)*I268, 2)</f>
        <v>4053.5</v>
      </c>
    </row>
    <row r="269" spans="1:21" ht="72" x14ac:dyDescent="0.35">
      <c r="A269" s="73" t="s">
        <v>1217</v>
      </c>
      <c r="B269" s="73" t="s">
        <v>1218</v>
      </c>
      <c r="C269" s="74" t="s">
        <v>1219</v>
      </c>
      <c r="D269" s="75" t="s">
        <v>1220</v>
      </c>
      <c r="E269" s="75" t="s">
        <v>1194</v>
      </c>
      <c r="F269" s="75" t="s">
        <v>56</v>
      </c>
      <c r="G269" s="76">
        <v>1</v>
      </c>
      <c r="H269" s="76"/>
      <c r="I269" s="76">
        <v>164.02</v>
      </c>
      <c r="J269" s="17">
        <f>IFERROR(ROUND(SUM(M270,M271,M272,M273)/I269, 2),0)</f>
        <v>333.67</v>
      </c>
      <c r="K269" s="18">
        <v>954</v>
      </c>
      <c r="L269" s="17">
        <f>J269+ROUND(K269, 2)</f>
        <v>1287.67</v>
      </c>
      <c r="M269" s="17">
        <f>ROUND(J269*I269, 2)</f>
        <v>54728.55</v>
      </c>
      <c r="N269" s="17">
        <f>ROUND(I269*ROUND(K269, 2), 2)</f>
        <v>156475.07999999999</v>
      </c>
      <c r="O269" s="17">
        <f>M269+N269</f>
        <v>211203.63</v>
      </c>
      <c r="P269" s="17">
        <f>IFERROR(ROUND(SUM(S270,S271,S272,S273)/I269, 2),0)</f>
        <v>411.55</v>
      </c>
      <c r="Q269" s="19">
        <v>954</v>
      </c>
      <c r="R269" s="17">
        <f>P269+ROUND(Q269, 2)</f>
        <v>1365.55</v>
      </c>
      <c r="S269" s="17">
        <f>ROUND(P269*I269, 2)</f>
        <v>67502.429999999993</v>
      </c>
      <c r="T269" s="17">
        <f>ROUND(I269*ROUND(Q269, 2), 2)</f>
        <v>156475.07999999999</v>
      </c>
      <c r="U269" s="17">
        <f>S269+T269</f>
        <v>223977.50999999998</v>
      </c>
    </row>
    <row r="270" spans="1:21" ht="36" x14ac:dyDescent="0.35">
      <c r="A270" s="10" t="s">
        <v>1223</v>
      </c>
      <c r="B270" s="10"/>
      <c r="C270" s="24" t="s">
        <v>1198</v>
      </c>
      <c r="D270" s="15"/>
      <c r="E270" s="15" t="s">
        <v>1199</v>
      </c>
      <c r="F270" s="25" t="s">
        <v>81</v>
      </c>
      <c r="G270" s="26">
        <v>1.3</v>
      </c>
      <c r="H270" s="27"/>
      <c r="I270" s="27">
        <v>4264.5200000000004</v>
      </c>
      <c r="J270" s="28">
        <v>8.6</v>
      </c>
      <c r="M270" s="29">
        <f>ROUND(ROUND(J270, 2)*I270, 2)</f>
        <v>36674.870000000003</v>
      </c>
      <c r="P270" s="30">
        <v>9</v>
      </c>
      <c r="S270" s="29">
        <f>ROUND(ROUND(P270, 2)*I270, 2)</f>
        <v>38380.68</v>
      </c>
    </row>
    <row r="271" spans="1:21" ht="18" x14ac:dyDescent="0.35">
      <c r="A271" s="10" t="s">
        <v>1226</v>
      </c>
      <c r="B271" s="10"/>
      <c r="C271" s="24" t="s">
        <v>316</v>
      </c>
      <c r="D271" s="15"/>
      <c r="E271" s="15"/>
      <c r="F271" s="25" t="s">
        <v>81</v>
      </c>
      <c r="G271" s="26">
        <v>0.25</v>
      </c>
      <c r="H271" s="26"/>
      <c r="I271" s="26">
        <v>41.005000000000003</v>
      </c>
      <c r="J271" s="28">
        <v>100</v>
      </c>
      <c r="M271" s="29">
        <f>ROUND(ROUND(J271, 2)*I271, 2)</f>
        <v>4100.5</v>
      </c>
      <c r="P271" s="30">
        <v>100</v>
      </c>
      <c r="S271" s="29">
        <f>ROUND(ROUND(P271, 2)*I271, 2)</f>
        <v>4100.5</v>
      </c>
    </row>
    <row r="272" spans="1:21" ht="36" x14ac:dyDescent="0.35">
      <c r="A272" s="10" t="s">
        <v>1229</v>
      </c>
      <c r="B272" s="10"/>
      <c r="C272" s="24" t="s">
        <v>1204</v>
      </c>
      <c r="D272" s="15"/>
      <c r="E272" s="15"/>
      <c r="F272" s="25" t="s">
        <v>56</v>
      </c>
      <c r="G272" s="26">
        <v>1.1000000000000001</v>
      </c>
      <c r="H272" s="26"/>
      <c r="I272" s="26">
        <v>180.422</v>
      </c>
      <c r="J272" s="28">
        <v>66.16</v>
      </c>
      <c r="M272" s="29">
        <f>ROUND(ROUND(J272, 2)*I272, 2)</f>
        <v>11936.72</v>
      </c>
      <c r="P272" s="30">
        <v>127.5</v>
      </c>
      <c r="S272" s="29">
        <f>ROUND(ROUND(P272, 2)*I272, 2)</f>
        <v>23003.81</v>
      </c>
    </row>
    <row r="273" spans="1:21" ht="18" x14ac:dyDescent="0.35">
      <c r="A273" s="10" t="s">
        <v>1232</v>
      </c>
      <c r="B273" s="10"/>
      <c r="C273" s="24" t="s">
        <v>1210</v>
      </c>
      <c r="D273" s="15"/>
      <c r="E273" s="15"/>
      <c r="F273" s="25" t="s">
        <v>129</v>
      </c>
      <c r="G273" s="26">
        <v>1</v>
      </c>
      <c r="H273" s="27"/>
      <c r="I273" s="27">
        <v>128</v>
      </c>
      <c r="J273" s="28">
        <v>15.76</v>
      </c>
      <c r="M273" s="29">
        <f>ROUND(ROUND(J273, 2)*I273, 2)</f>
        <v>2017.28</v>
      </c>
      <c r="P273" s="30">
        <v>15.76</v>
      </c>
      <c r="S273" s="29">
        <f>ROUND(ROUND(P273, 2)*I273, 2)</f>
        <v>2017.28</v>
      </c>
    </row>
    <row r="274" spans="1:21" ht="72" x14ac:dyDescent="0.35">
      <c r="A274" s="73" t="s">
        <v>1235</v>
      </c>
      <c r="B274" s="73" t="s">
        <v>1236</v>
      </c>
      <c r="C274" s="74" t="s">
        <v>1237</v>
      </c>
      <c r="D274" s="75" t="s">
        <v>1220</v>
      </c>
      <c r="E274" s="75" t="s">
        <v>1194</v>
      </c>
      <c r="F274" s="75" t="s">
        <v>56</v>
      </c>
      <c r="G274" s="76">
        <v>1</v>
      </c>
      <c r="H274" s="76"/>
      <c r="I274" s="76">
        <v>246.63</v>
      </c>
      <c r="J274" s="17">
        <f>IFERROR(ROUND(SUM(M275,M276,M277,M278)/I274, 2),0)</f>
        <v>331.73</v>
      </c>
      <c r="K274" s="18">
        <v>1074</v>
      </c>
      <c r="L274" s="17">
        <f>J274+ROUND(K274, 2)</f>
        <v>1405.73</v>
      </c>
      <c r="M274" s="17">
        <f>ROUND(J274*I274, 2)</f>
        <v>81814.570000000007</v>
      </c>
      <c r="N274" s="17">
        <f>ROUND(I274*ROUND(K274, 2), 2)</f>
        <v>264880.62</v>
      </c>
      <c r="O274" s="17">
        <f>M274+N274</f>
        <v>346695.19</v>
      </c>
      <c r="P274" s="17">
        <f>IFERROR(ROUND(SUM(S275,S276,S277,S278)/I274, 2),0)</f>
        <v>409.6</v>
      </c>
      <c r="Q274" s="19">
        <v>1074</v>
      </c>
      <c r="R274" s="17">
        <f>P274+ROUND(Q274, 2)</f>
        <v>1483.6</v>
      </c>
      <c r="S274" s="17">
        <f>ROUND(P274*I274, 2)</f>
        <v>101019.65</v>
      </c>
      <c r="T274" s="17">
        <f>ROUND(I274*ROUND(Q274, 2), 2)</f>
        <v>264880.62</v>
      </c>
      <c r="U274" s="17">
        <f>S274+T274</f>
        <v>365900.27</v>
      </c>
    </row>
    <row r="275" spans="1:21" ht="36" x14ac:dyDescent="0.35">
      <c r="A275" s="10" t="s">
        <v>1240</v>
      </c>
      <c r="B275" s="10"/>
      <c r="C275" s="24" t="s">
        <v>1198</v>
      </c>
      <c r="D275" s="15"/>
      <c r="E275" s="15" t="s">
        <v>1199</v>
      </c>
      <c r="F275" s="25" t="s">
        <v>81</v>
      </c>
      <c r="G275" s="26">
        <v>1.3</v>
      </c>
      <c r="H275" s="27"/>
      <c r="I275" s="27">
        <v>6412.38</v>
      </c>
      <c r="J275" s="28">
        <v>8.6</v>
      </c>
      <c r="M275" s="29">
        <f>ROUND(ROUND(J275, 2)*I275, 2)</f>
        <v>55146.47</v>
      </c>
      <c r="P275" s="30">
        <v>9</v>
      </c>
      <c r="S275" s="29">
        <f>ROUND(ROUND(P275, 2)*I275, 2)</f>
        <v>57711.42</v>
      </c>
    </row>
    <row r="276" spans="1:21" ht="36" x14ac:dyDescent="0.35">
      <c r="A276" s="10" t="s">
        <v>1243</v>
      </c>
      <c r="B276" s="10"/>
      <c r="C276" s="24" t="s">
        <v>1204</v>
      </c>
      <c r="D276" s="15"/>
      <c r="E276" s="15"/>
      <c r="F276" s="25" t="s">
        <v>56</v>
      </c>
      <c r="G276" s="26">
        <v>1.1000000000000001</v>
      </c>
      <c r="H276" s="26"/>
      <c r="I276" s="26">
        <v>271.29300000000001</v>
      </c>
      <c r="J276" s="28">
        <v>66.16</v>
      </c>
      <c r="M276" s="29">
        <f>ROUND(ROUND(J276, 2)*I276, 2)</f>
        <v>17948.740000000002</v>
      </c>
      <c r="P276" s="30">
        <v>127.5</v>
      </c>
      <c r="S276" s="29">
        <f>ROUND(ROUND(P276, 2)*I276, 2)</f>
        <v>34589.86</v>
      </c>
    </row>
    <row r="277" spans="1:21" ht="18" x14ac:dyDescent="0.35">
      <c r="A277" s="10" t="s">
        <v>1246</v>
      </c>
      <c r="B277" s="10"/>
      <c r="C277" s="24" t="s">
        <v>1210</v>
      </c>
      <c r="D277" s="15"/>
      <c r="E277" s="15"/>
      <c r="F277" s="25" t="s">
        <v>129</v>
      </c>
      <c r="G277" s="26">
        <v>1</v>
      </c>
      <c r="H277" s="27"/>
      <c r="I277" s="27">
        <v>162</v>
      </c>
      <c r="J277" s="28">
        <v>15.76</v>
      </c>
      <c r="M277" s="29">
        <f>ROUND(ROUND(J277, 2)*I277, 2)</f>
        <v>2553.12</v>
      </c>
      <c r="P277" s="30">
        <v>15.76</v>
      </c>
      <c r="S277" s="29">
        <f>ROUND(ROUND(P277, 2)*I277, 2)</f>
        <v>2553.12</v>
      </c>
    </row>
    <row r="278" spans="1:21" ht="18" x14ac:dyDescent="0.35">
      <c r="A278" s="10" t="s">
        <v>1249</v>
      </c>
      <c r="B278" s="10"/>
      <c r="C278" s="24" t="s">
        <v>316</v>
      </c>
      <c r="D278" s="15"/>
      <c r="E278" s="15"/>
      <c r="F278" s="25" t="s">
        <v>81</v>
      </c>
      <c r="G278" s="26">
        <v>0.25</v>
      </c>
      <c r="H278" s="26"/>
      <c r="I278" s="26">
        <v>61.658000000000001</v>
      </c>
      <c r="J278" s="28">
        <v>100</v>
      </c>
      <c r="M278" s="29">
        <f>ROUND(ROUND(J278, 2)*I278, 2)</f>
        <v>6165.8</v>
      </c>
      <c r="P278" s="30">
        <v>100</v>
      </c>
      <c r="S278" s="29">
        <f>ROUND(ROUND(P278, 2)*I278, 2)</f>
        <v>6165.8</v>
      </c>
    </row>
    <row r="279" spans="1:21" ht="17" customHeight="1" x14ac:dyDescent="0.35">
      <c r="A279" s="10" t="s">
        <v>1252</v>
      </c>
      <c r="B279" s="10" t="s">
        <v>1253</v>
      </c>
      <c r="C279" s="100" t="s">
        <v>1254</v>
      </c>
      <c r="D279" s="101"/>
      <c r="E279" s="101"/>
      <c r="F279" s="101"/>
      <c r="G279" s="101"/>
      <c r="H279" s="101"/>
      <c r="I279" s="102"/>
      <c r="M279" s="6">
        <f>SUM(M280,M283,M286,M289,M292)</f>
        <v>280760.78999999998</v>
      </c>
      <c r="N279" s="6">
        <f>SUM(N280,N283,N286,N289,N292)</f>
        <v>1976328.08</v>
      </c>
      <c r="O279" s="6">
        <f>SUM(O280,O283,O286,O289,O292)</f>
        <v>2257088.87</v>
      </c>
      <c r="S279" s="6">
        <f>SUM(S280,S283,S286,S289,S292)</f>
        <v>390547.39</v>
      </c>
      <c r="T279" s="6">
        <f>SUM(T280,T283,T286,T289,T292)</f>
        <v>1976328.08</v>
      </c>
      <c r="U279" s="6">
        <f>SUM(U280,U283,U286,U289,U292)</f>
        <v>2366875.4700000002</v>
      </c>
    </row>
    <row r="280" spans="1:21" ht="36" x14ac:dyDescent="0.35">
      <c r="A280" s="10" t="s">
        <v>1255</v>
      </c>
      <c r="B280" s="10" t="s">
        <v>1256</v>
      </c>
      <c r="C280" s="14" t="s">
        <v>1257</v>
      </c>
      <c r="D280" s="15"/>
      <c r="E280" s="15" t="s">
        <v>1258</v>
      </c>
      <c r="F280" s="15" t="s">
        <v>56</v>
      </c>
      <c r="G280" s="16">
        <v>1</v>
      </c>
      <c r="H280" s="16"/>
      <c r="I280" s="16">
        <v>0</v>
      </c>
      <c r="J280" s="17">
        <f>IFERROR(ROUND(SUM(M281,M282)/I280, 2),0)</f>
        <v>0</v>
      </c>
      <c r="K280" s="18">
        <v>276</v>
      </c>
      <c r="L280" s="17">
        <f>J280+ROUND(K280, 2)</f>
        <v>276</v>
      </c>
      <c r="M280" s="17">
        <f>ROUND(J280*I280, 2)</f>
        <v>0</v>
      </c>
      <c r="N280" s="17">
        <f>ROUND(I280*ROUND(K280, 2), 2)</f>
        <v>0</v>
      </c>
      <c r="O280" s="17">
        <f>M280+N280</f>
        <v>0</v>
      </c>
      <c r="P280" s="17">
        <f>IFERROR(ROUND(SUM(S281,S282)/I280, 2),0)</f>
        <v>0</v>
      </c>
      <c r="Q280" s="18">
        <v>251</v>
      </c>
      <c r="R280" s="17">
        <f>P280+ROUND(Q280, 2)</f>
        <v>251</v>
      </c>
      <c r="S280" s="17">
        <f>ROUND(P280*I280, 2)</f>
        <v>0</v>
      </c>
      <c r="T280" s="17">
        <f>ROUND(I280*ROUND(Q280, 2), 2)</f>
        <v>0</v>
      </c>
      <c r="U280" s="17">
        <f>S280+T280</f>
        <v>0</v>
      </c>
    </row>
    <row r="281" spans="1:21" ht="36" x14ac:dyDescent="0.35">
      <c r="A281" s="10" t="s">
        <v>1262</v>
      </c>
      <c r="B281" s="10"/>
      <c r="C281" s="24" t="s">
        <v>721</v>
      </c>
      <c r="D281" s="15"/>
      <c r="E281" s="15"/>
      <c r="F281" s="25" t="s">
        <v>81</v>
      </c>
      <c r="G281" s="26">
        <v>0.15</v>
      </c>
      <c r="H281" s="26"/>
      <c r="I281" s="26">
        <v>0</v>
      </c>
      <c r="J281" s="28">
        <v>80</v>
      </c>
      <c r="M281" s="29">
        <f>ROUND(ROUND(J281, 2)*I281, 2)</f>
        <v>0</v>
      </c>
      <c r="P281" s="28">
        <v>80</v>
      </c>
      <c r="S281" s="29">
        <f>ROUND(ROUND(P281, 2)*I281, 2)</f>
        <v>0</v>
      </c>
    </row>
    <row r="282" spans="1:21" ht="108" x14ac:dyDescent="0.35">
      <c r="A282" s="10" t="s">
        <v>1267</v>
      </c>
      <c r="B282" s="10"/>
      <c r="C282" s="24" t="s">
        <v>1268</v>
      </c>
      <c r="D282" s="15"/>
      <c r="E282" s="15" t="s">
        <v>1269</v>
      </c>
      <c r="F282" s="25" t="s">
        <v>81</v>
      </c>
      <c r="G282" s="26">
        <v>0.3</v>
      </c>
      <c r="H282" s="26"/>
      <c r="I282" s="26">
        <v>0</v>
      </c>
      <c r="J282" s="28">
        <v>21.1</v>
      </c>
      <c r="M282" s="29">
        <f>ROUND(ROUND(J282, 2)*I282, 2)</f>
        <v>0</v>
      </c>
      <c r="P282" s="28">
        <v>21.1</v>
      </c>
      <c r="S282" s="29">
        <f>ROUND(ROUND(P282, 2)*I282, 2)</f>
        <v>0</v>
      </c>
    </row>
    <row r="283" spans="1:21" ht="36" x14ac:dyDescent="0.35">
      <c r="A283" s="10" t="s">
        <v>1275</v>
      </c>
      <c r="B283" s="10" t="s">
        <v>1276</v>
      </c>
      <c r="C283" s="14" t="s">
        <v>1277</v>
      </c>
      <c r="D283" s="15"/>
      <c r="E283" s="15" t="s">
        <v>1278</v>
      </c>
      <c r="F283" s="15" t="s">
        <v>56</v>
      </c>
      <c r="G283" s="16">
        <v>1</v>
      </c>
      <c r="H283" s="16"/>
      <c r="I283" s="16">
        <v>1049.68</v>
      </c>
      <c r="J283" s="17">
        <f>IFERROR(ROUND(SUM(M284,M285)/I283, 2),0)</f>
        <v>75.650000000000006</v>
      </c>
      <c r="K283" s="18">
        <v>428</v>
      </c>
      <c r="L283" s="17">
        <f>J283+ROUND(K283, 2)</f>
        <v>503.65</v>
      </c>
      <c r="M283" s="17">
        <f>ROUND(J283*I283, 2)</f>
        <v>79408.289999999994</v>
      </c>
      <c r="N283" s="17">
        <f>ROUND(I283*ROUND(K283, 2), 2)</f>
        <v>449263.04</v>
      </c>
      <c r="O283" s="17">
        <f>M283+N283</f>
        <v>528671.32999999996</v>
      </c>
      <c r="P283" s="17">
        <f>IFERROR(ROUND(SUM(S284,S285)/I283, 2),0)</f>
        <v>75.650000000000006</v>
      </c>
      <c r="Q283" s="19">
        <v>428</v>
      </c>
      <c r="R283" s="17">
        <f>P283+ROUND(Q283, 2)</f>
        <v>503.65</v>
      </c>
      <c r="S283" s="17">
        <f>ROUND(P283*I283, 2)</f>
        <v>79408.289999999994</v>
      </c>
      <c r="T283" s="17">
        <f>ROUND(I283*ROUND(Q283, 2), 2)</f>
        <v>449263.04</v>
      </c>
      <c r="U283" s="17">
        <f>S283+T283</f>
        <v>528671.32999999996</v>
      </c>
    </row>
    <row r="284" spans="1:21" ht="36" x14ac:dyDescent="0.35">
      <c r="A284" s="10" t="s">
        <v>1281</v>
      </c>
      <c r="B284" s="10"/>
      <c r="C284" s="24" t="s">
        <v>1282</v>
      </c>
      <c r="D284" s="15"/>
      <c r="E284" s="15"/>
      <c r="F284" s="25" t="s">
        <v>81</v>
      </c>
      <c r="G284" s="26">
        <v>0.17</v>
      </c>
      <c r="H284" s="26"/>
      <c r="I284" s="26">
        <v>178.446</v>
      </c>
      <c r="J284" s="28">
        <v>366.67</v>
      </c>
      <c r="M284" s="29">
        <f>ROUND(ROUND(J284, 2)*I284, 2)</f>
        <v>65430.79</v>
      </c>
      <c r="P284" s="30">
        <v>366.67</v>
      </c>
      <c r="S284" s="29">
        <f>ROUND(ROUND(P284, 2)*I284, 2)</f>
        <v>65430.79</v>
      </c>
    </row>
    <row r="285" spans="1:21" ht="36" x14ac:dyDescent="0.35">
      <c r="A285" s="10" t="s">
        <v>1286</v>
      </c>
      <c r="B285" s="10"/>
      <c r="C285" s="24" t="s">
        <v>493</v>
      </c>
      <c r="D285" s="15"/>
      <c r="E285" s="15"/>
      <c r="F285" s="25" t="s">
        <v>81</v>
      </c>
      <c r="G285" s="26">
        <v>0.15</v>
      </c>
      <c r="H285" s="26"/>
      <c r="I285" s="26">
        <v>157.452</v>
      </c>
      <c r="J285" s="28">
        <v>88.8</v>
      </c>
      <c r="M285" s="29">
        <f>ROUND(ROUND(J285, 2)*I285, 2)</f>
        <v>13981.74</v>
      </c>
      <c r="P285" s="30">
        <v>88.8</v>
      </c>
      <c r="S285" s="29">
        <f>ROUND(ROUND(P285, 2)*I285, 2)</f>
        <v>13981.74</v>
      </c>
    </row>
    <row r="286" spans="1:21" ht="36" x14ac:dyDescent="0.35">
      <c r="A286" s="10" t="s">
        <v>1289</v>
      </c>
      <c r="B286" s="81" t="s">
        <v>1276</v>
      </c>
      <c r="C286" s="82" t="s">
        <v>1277</v>
      </c>
      <c r="D286" s="83"/>
      <c r="E286" s="83" t="s">
        <v>1290</v>
      </c>
      <c r="F286" s="83" t="s">
        <v>56</v>
      </c>
      <c r="G286" s="84">
        <v>1</v>
      </c>
      <c r="H286" s="84"/>
      <c r="I286" s="84">
        <v>1075.9000000000001</v>
      </c>
      <c r="J286" s="17">
        <f>IFERROR(ROUND(SUM(M287,M288)/I286, 2),0)</f>
        <v>75.650000000000006</v>
      </c>
      <c r="K286" s="18">
        <v>428</v>
      </c>
      <c r="L286" s="17">
        <f>J286+ROUND(K286, 2)</f>
        <v>503.65</v>
      </c>
      <c r="M286" s="17">
        <f>ROUND(J286*I286, 2)</f>
        <v>81391.839999999997</v>
      </c>
      <c r="N286" s="17">
        <f>ROUND(I286*ROUND(K286, 2), 2)</f>
        <v>460485.2</v>
      </c>
      <c r="O286" s="17">
        <f>M286+N286</f>
        <v>541877.04</v>
      </c>
      <c r="P286" s="17">
        <f>IFERROR(ROUND(SUM(S287,S288)/I286, 2),0)</f>
        <v>75.650000000000006</v>
      </c>
      <c r="Q286" s="19">
        <v>428</v>
      </c>
      <c r="R286" s="17">
        <f>P286+ROUND(Q286, 2)</f>
        <v>503.65</v>
      </c>
      <c r="S286" s="17">
        <f>ROUND(P286*I286, 2)</f>
        <v>81391.839999999997</v>
      </c>
      <c r="T286" s="17">
        <f>ROUND(I286*ROUND(Q286, 2), 2)</f>
        <v>460485.2</v>
      </c>
      <c r="U286" s="17">
        <f>S286+T286</f>
        <v>541877.04</v>
      </c>
    </row>
    <row r="287" spans="1:21" ht="36" x14ac:dyDescent="0.35">
      <c r="A287" s="10" t="s">
        <v>1291</v>
      </c>
      <c r="B287" s="10"/>
      <c r="C287" s="24" t="s">
        <v>493</v>
      </c>
      <c r="D287" s="15"/>
      <c r="E287" s="15"/>
      <c r="F287" s="25" t="s">
        <v>81</v>
      </c>
      <c r="G287" s="26">
        <v>0.15</v>
      </c>
      <c r="H287" s="26"/>
      <c r="I287" s="26">
        <v>161.38499999999999</v>
      </c>
      <c r="J287" s="28">
        <v>88.8</v>
      </c>
      <c r="M287" s="29">
        <f>ROUND(ROUND(J287, 2)*I287, 2)</f>
        <v>14330.99</v>
      </c>
      <c r="P287" s="30">
        <v>88.8</v>
      </c>
      <c r="S287" s="29">
        <f>ROUND(ROUND(P287, 2)*I287, 2)</f>
        <v>14330.99</v>
      </c>
    </row>
    <row r="288" spans="1:21" ht="36" x14ac:dyDescent="0.35">
      <c r="A288" s="10" t="s">
        <v>1294</v>
      </c>
      <c r="B288" s="10"/>
      <c r="C288" s="24" t="s">
        <v>1282</v>
      </c>
      <c r="D288" s="15"/>
      <c r="E288" s="15"/>
      <c r="F288" s="25" t="s">
        <v>81</v>
      </c>
      <c r="G288" s="26">
        <v>0.17</v>
      </c>
      <c r="H288" s="26"/>
      <c r="I288" s="26">
        <v>182.90299999999999</v>
      </c>
      <c r="J288" s="28">
        <v>366.67</v>
      </c>
      <c r="M288" s="29">
        <f>ROUND(ROUND(J288, 2)*I288, 2)</f>
        <v>67065.039999999994</v>
      </c>
      <c r="P288" s="30">
        <v>366.67</v>
      </c>
      <c r="S288" s="29">
        <f>ROUND(ROUND(P288, 2)*I288, 2)</f>
        <v>67065.039999999994</v>
      </c>
    </row>
    <row r="289" spans="1:21" ht="36" x14ac:dyDescent="0.35">
      <c r="A289" s="10" t="s">
        <v>1297</v>
      </c>
      <c r="B289" s="10" t="s">
        <v>1276</v>
      </c>
      <c r="C289" s="14" t="s">
        <v>1277</v>
      </c>
      <c r="D289" s="15"/>
      <c r="E289" s="15" t="s">
        <v>1298</v>
      </c>
      <c r="F289" s="15" t="s">
        <v>56</v>
      </c>
      <c r="G289" s="16">
        <v>1</v>
      </c>
      <c r="H289" s="16"/>
      <c r="I289" s="16">
        <v>1410</v>
      </c>
      <c r="J289" s="17">
        <f>IFERROR(ROUND(SUM(M290,M291)/I289, 2),0)</f>
        <v>75.650000000000006</v>
      </c>
      <c r="K289" s="18">
        <v>428</v>
      </c>
      <c r="L289" s="17">
        <f>J289+ROUND(K289, 2)</f>
        <v>503.65</v>
      </c>
      <c r="M289" s="17">
        <f>ROUND(J289*I289, 2)</f>
        <v>106666.5</v>
      </c>
      <c r="N289" s="17">
        <f>ROUND(I289*ROUND(K289, 2), 2)</f>
        <v>603480</v>
      </c>
      <c r="O289" s="17">
        <f>M289+N289</f>
        <v>710146.5</v>
      </c>
      <c r="P289" s="17">
        <f>IFERROR(ROUND(SUM(S290,S291)/I289, 2),0)</f>
        <v>75.650000000000006</v>
      </c>
      <c r="Q289" s="19">
        <v>428</v>
      </c>
      <c r="R289" s="17">
        <f>P289+ROUND(Q289, 2)</f>
        <v>503.65</v>
      </c>
      <c r="S289" s="17">
        <f>ROUND(P289*I289, 2)</f>
        <v>106666.5</v>
      </c>
      <c r="T289" s="17">
        <f>ROUND(I289*ROUND(Q289, 2), 2)</f>
        <v>603480</v>
      </c>
      <c r="U289" s="17">
        <f>S289+T289</f>
        <v>710146.5</v>
      </c>
    </row>
    <row r="290" spans="1:21" ht="36" x14ac:dyDescent="0.35">
      <c r="A290" s="10" t="s">
        <v>1299</v>
      </c>
      <c r="B290" s="10"/>
      <c r="C290" s="24" t="s">
        <v>493</v>
      </c>
      <c r="D290" s="15"/>
      <c r="E290" s="15"/>
      <c r="F290" s="25" t="s">
        <v>81</v>
      </c>
      <c r="G290" s="26">
        <v>0.15</v>
      </c>
      <c r="H290" s="26"/>
      <c r="I290" s="26">
        <v>211.5</v>
      </c>
      <c r="J290" s="28">
        <v>88.8</v>
      </c>
      <c r="M290" s="29">
        <f>ROUND(ROUND(J290, 2)*I290, 2)</f>
        <v>18781.2</v>
      </c>
      <c r="P290" s="30">
        <v>88.8</v>
      </c>
      <c r="S290" s="29">
        <f>ROUND(ROUND(P290, 2)*I290, 2)</f>
        <v>18781.2</v>
      </c>
    </row>
    <row r="291" spans="1:21" ht="36" x14ac:dyDescent="0.35">
      <c r="A291" s="10" t="s">
        <v>1302</v>
      </c>
      <c r="B291" s="10"/>
      <c r="C291" s="24" t="s">
        <v>1282</v>
      </c>
      <c r="D291" s="15"/>
      <c r="E291" s="15"/>
      <c r="F291" s="25" t="s">
        <v>81</v>
      </c>
      <c r="G291" s="26">
        <v>0.17</v>
      </c>
      <c r="H291" s="26"/>
      <c r="I291" s="26">
        <v>239.7</v>
      </c>
      <c r="J291" s="28">
        <v>366.67</v>
      </c>
      <c r="M291" s="29">
        <f>ROUND(ROUND(J291, 2)*I291, 2)</f>
        <v>87890.8</v>
      </c>
      <c r="P291" s="30">
        <v>366.67</v>
      </c>
      <c r="S291" s="29">
        <f>ROUND(ROUND(P291, 2)*I291, 2)</f>
        <v>87890.8</v>
      </c>
    </row>
    <row r="292" spans="1:21" ht="36" x14ac:dyDescent="0.35">
      <c r="A292" s="10" t="s">
        <v>1305</v>
      </c>
      <c r="B292" s="10" t="s">
        <v>1306</v>
      </c>
      <c r="C292" s="14" t="s">
        <v>1307</v>
      </c>
      <c r="D292" s="15"/>
      <c r="E292" s="15" t="s">
        <v>1308</v>
      </c>
      <c r="F292" s="15" t="s">
        <v>56</v>
      </c>
      <c r="G292" s="16">
        <v>1</v>
      </c>
      <c r="H292" s="16"/>
      <c r="I292" s="16">
        <v>998.06</v>
      </c>
      <c r="J292" s="17">
        <f>IFERROR(ROUND(SUM(M293,M294)/I292, 2),0)</f>
        <v>13.32</v>
      </c>
      <c r="K292" s="18">
        <v>464</v>
      </c>
      <c r="L292" s="17">
        <f>J292+ROUND(K292, 2)</f>
        <v>477.32</v>
      </c>
      <c r="M292" s="17">
        <f>ROUND(J292*I292, 2)</f>
        <v>13294.16</v>
      </c>
      <c r="N292" s="17">
        <f>ROUND(I292*ROUND(K292, 2), 2)</f>
        <v>463099.84</v>
      </c>
      <c r="O292" s="17">
        <f>M292+N292</f>
        <v>476394</v>
      </c>
      <c r="P292" s="17">
        <f>IFERROR(ROUND(SUM(S293,S294)/I292, 2),0)</f>
        <v>123.32</v>
      </c>
      <c r="Q292" s="19">
        <v>464</v>
      </c>
      <c r="R292" s="17">
        <f>P292+ROUND(Q292, 2)</f>
        <v>587.31999999999994</v>
      </c>
      <c r="S292" s="17">
        <f>ROUND(P292*I292, 2)</f>
        <v>123080.76</v>
      </c>
      <c r="T292" s="17">
        <f>ROUND(I292*ROUND(Q292, 2), 2)</f>
        <v>463099.84</v>
      </c>
      <c r="U292" s="17">
        <f>S292+T292</f>
        <v>586180.6</v>
      </c>
    </row>
    <row r="293" spans="1:21" ht="54" x14ac:dyDescent="0.35">
      <c r="A293" s="10" t="s">
        <v>1311</v>
      </c>
      <c r="B293" s="10"/>
      <c r="C293" s="24" t="s">
        <v>1312</v>
      </c>
      <c r="D293" s="15"/>
      <c r="E293" s="15"/>
      <c r="F293" s="25" t="s">
        <v>81</v>
      </c>
      <c r="G293" s="26">
        <v>0.3</v>
      </c>
      <c r="H293" s="26"/>
      <c r="I293" s="26">
        <v>299.41800000000001</v>
      </c>
      <c r="J293" s="28">
        <v>0</v>
      </c>
      <c r="M293" s="29">
        <f>ROUND(ROUND(J293, 2)*I293, 2)</f>
        <v>0</v>
      </c>
      <c r="P293" s="30">
        <v>366.67</v>
      </c>
      <c r="S293" s="29">
        <f>ROUND(ROUND(P293, 2)*I293, 2)</f>
        <v>109787.6</v>
      </c>
    </row>
    <row r="294" spans="1:21" ht="36" x14ac:dyDescent="0.35">
      <c r="A294" s="10" t="s">
        <v>1316</v>
      </c>
      <c r="B294" s="10"/>
      <c r="C294" s="24" t="s">
        <v>493</v>
      </c>
      <c r="D294" s="15"/>
      <c r="E294" s="15"/>
      <c r="F294" s="25" t="s">
        <v>81</v>
      </c>
      <c r="G294" s="26">
        <v>0.15</v>
      </c>
      <c r="H294" s="26"/>
      <c r="I294" s="26">
        <v>149.709</v>
      </c>
      <c r="J294" s="28">
        <v>88.8</v>
      </c>
      <c r="M294" s="29">
        <f>ROUND(ROUND(J294, 2)*I294, 2)</f>
        <v>13294.16</v>
      </c>
      <c r="P294" s="30">
        <v>88.8</v>
      </c>
      <c r="S294" s="29">
        <f>ROUND(ROUND(P294, 2)*I294, 2)</f>
        <v>13294.16</v>
      </c>
    </row>
    <row r="295" spans="1:21" ht="17" customHeight="1" x14ac:dyDescent="0.35">
      <c r="A295" s="10" t="s">
        <v>1319</v>
      </c>
      <c r="B295" s="10" t="s">
        <v>1320</v>
      </c>
      <c r="C295" s="100" t="s">
        <v>1321</v>
      </c>
      <c r="D295" s="101"/>
      <c r="E295" s="101"/>
      <c r="F295" s="101"/>
      <c r="G295" s="101"/>
      <c r="H295" s="101"/>
      <c r="I295" s="102"/>
      <c r="M295" s="6">
        <f>SUM(M296,M300,M303,M307,M310,M313,M317,M320,M323,M326,M329,M332,M335,M339,M346)</f>
        <v>65898.990000000005</v>
      </c>
      <c r="N295" s="6">
        <f>SUM(N296,N300,N303,N307,N310,N313,N317,N320,N323,N326,N329,N332,N335,N339,N346)</f>
        <v>383412.62999999995</v>
      </c>
      <c r="O295" s="6">
        <f>SUM(O296,O300,O303,O307,O310,O313,O317,O320,O323,O326,O329,O332,O335,O339,O346)</f>
        <v>449311.62</v>
      </c>
      <c r="S295" s="6">
        <f>SUM(S296,S300,S303,S307,S310,S313,S317,S320,S323,S326,S329,S332,S335,S339,S346)</f>
        <v>143676.78999999998</v>
      </c>
      <c r="T295" s="6">
        <f>SUM(T296,T300,T303,T307,T310,T313,T317,T320,T323,T326,T329,T332,T335,T339,T346)</f>
        <v>383412.62999999995</v>
      </c>
      <c r="U295" s="6">
        <f>SUM(U296,U300,U303,U307,U310,U313,U317,U320,U323,U326,U329,U332,U335,U339,U346)</f>
        <v>527089.41999999993</v>
      </c>
    </row>
    <row r="296" spans="1:21" ht="54" x14ac:dyDescent="0.35">
      <c r="A296" s="10" t="s">
        <v>1322</v>
      </c>
      <c r="B296" s="10" t="s">
        <v>1323</v>
      </c>
      <c r="C296" s="14" t="s">
        <v>1324</v>
      </c>
      <c r="D296" s="15"/>
      <c r="E296" s="15" t="s">
        <v>1325</v>
      </c>
      <c r="F296" s="15" t="s">
        <v>56</v>
      </c>
      <c r="G296" s="16">
        <v>1</v>
      </c>
      <c r="H296" s="16"/>
      <c r="I296" s="16">
        <v>25.45</v>
      </c>
      <c r="J296" s="17">
        <f>IFERROR(ROUND(SUM(M297,M298,M299)/I296, 2),0)</f>
        <v>151.59</v>
      </c>
      <c r="K296" s="18">
        <v>1001</v>
      </c>
      <c r="L296" s="17">
        <f>J296+ROUND(K296, 2)</f>
        <v>1152.5899999999999</v>
      </c>
      <c r="M296" s="17">
        <f>ROUND(J296*I296, 2)</f>
        <v>3857.97</v>
      </c>
      <c r="N296" s="17">
        <f>ROUND(I296*ROUND(K296, 2), 2)</f>
        <v>25475.45</v>
      </c>
      <c r="O296" s="17">
        <f>M296+N296</f>
        <v>29333.420000000002</v>
      </c>
      <c r="P296" s="17">
        <f>IFERROR(ROUND(SUM(S297,S298,S299)/I296, 2),0)</f>
        <v>175.84</v>
      </c>
      <c r="Q296" s="19">
        <v>1001</v>
      </c>
      <c r="R296" s="17">
        <f>P296+ROUND(Q296, 2)</f>
        <v>1176.8399999999999</v>
      </c>
      <c r="S296" s="17">
        <f>ROUND(P296*I296, 2)</f>
        <v>4475.13</v>
      </c>
      <c r="T296" s="17">
        <f>ROUND(I296*ROUND(Q296, 2), 2)</f>
        <v>25475.45</v>
      </c>
      <c r="U296" s="17">
        <f>S296+T296</f>
        <v>29950.58</v>
      </c>
    </row>
    <row r="297" spans="1:21" ht="54" x14ac:dyDescent="0.35">
      <c r="A297" s="10" t="s">
        <v>1328</v>
      </c>
      <c r="B297" s="10"/>
      <c r="C297" s="24" t="s">
        <v>854</v>
      </c>
      <c r="D297" s="15"/>
      <c r="E297" s="15" t="s">
        <v>855</v>
      </c>
      <c r="F297" s="25" t="s">
        <v>81</v>
      </c>
      <c r="G297" s="26">
        <v>5</v>
      </c>
      <c r="H297" s="26"/>
      <c r="I297" s="26">
        <v>127.25</v>
      </c>
      <c r="J297" s="28">
        <v>23</v>
      </c>
      <c r="M297" s="29">
        <f>ROUND(ROUND(J297, 2)*I297, 2)</f>
        <v>2926.75</v>
      </c>
      <c r="P297" s="30">
        <v>27.85</v>
      </c>
      <c r="S297" s="29">
        <f>ROUND(ROUND(P297, 2)*I297, 2)</f>
        <v>3543.91</v>
      </c>
    </row>
    <row r="298" spans="1:21" ht="36" x14ac:dyDescent="0.35">
      <c r="A298" s="10" t="s">
        <v>1331</v>
      </c>
      <c r="B298" s="10"/>
      <c r="C298" s="24" t="s">
        <v>1036</v>
      </c>
      <c r="D298" s="15"/>
      <c r="E298" s="15"/>
      <c r="F298" s="25" t="s">
        <v>103</v>
      </c>
      <c r="G298" s="26">
        <v>0.3</v>
      </c>
      <c r="H298" s="27"/>
      <c r="I298" s="27">
        <v>8.1</v>
      </c>
      <c r="J298" s="28">
        <v>73.099999999999994</v>
      </c>
      <c r="M298" s="29">
        <f>ROUND(ROUND(J298, 2)*I298, 2)</f>
        <v>592.11</v>
      </c>
      <c r="P298" s="30">
        <v>73.099999999999994</v>
      </c>
      <c r="S298" s="29">
        <f>ROUND(ROUND(P298, 2)*I298, 2)</f>
        <v>592.11</v>
      </c>
    </row>
    <row r="299" spans="1:21" ht="36" x14ac:dyDescent="0.35">
      <c r="A299" s="10" t="s">
        <v>1334</v>
      </c>
      <c r="B299" s="10"/>
      <c r="C299" s="24" t="s">
        <v>493</v>
      </c>
      <c r="D299" s="15"/>
      <c r="E299" s="15"/>
      <c r="F299" s="25" t="s">
        <v>81</v>
      </c>
      <c r="G299" s="26">
        <v>0.15</v>
      </c>
      <c r="H299" s="26"/>
      <c r="I299" s="26">
        <v>3.8180000000000001</v>
      </c>
      <c r="J299" s="28">
        <v>88.8</v>
      </c>
      <c r="M299" s="29">
        <f>ROUND(ROUND(J299, 2)*I299, 2)</f>
        <v>339.04</v>
      </c>
      <c r="P299" s="30">
        <v>88.8</v>
      </c>
      <c r="S299" s="29">
        <f>ROUND(ROUND(P299, 2)*I299, 2)</f>
        <v>339.04</v>
      </c>
    </row>
    <row r="300" spans="1:21" ht="54" x14ac:dyDescent="0.35">
      <c r="A300" s="10" t="s">
        <v>1337</v>
      </c>
      <c r="B300" s="10" t="s">
        <v>1323</v>
      </c>
      <c r="C300" s="14" t="s">
        <v>1324</v>
      </c>
      <c r="D300" s="15"/>
      <c r="E300" s="15" t="s">
        <v>1338</v>
      </c>
      <c r="F300" s="15" t="s">
        <v>56</v>
      </c>
      <c r="G300" s="16">
        <v>1</v>
      </c>
      <c r="H300" s="16"/>
      <c r="I300" s="16">
        <v>25.45</v>
      </c>
      <c r="J300" s="17">
        <f>IFERROR(ROUND(SUM(M301,M302)/I300, 2),0)</f>
        <v>128.32</v>
      </c>
      <c r="K300" s="18">
        <v>1001</v>
      </c>
      <c r="L300" s="17">
        <f>J300+ROUND(K300, 2)</f>
        <v>1129.32</v>
      </c>
      <c r="M300" s="17">
        <f>ROUND(J300*I300, 2)</f>
        <v>3265.74</v>
      </c>
      <c r="N300" s="17">
        <f>ROUND(I300*ROUND(K300, 2), 2)</f>
        <v>25475.45</v>
      </c>
      <c r="O300" s="17">
        <f>M300+N300</f>
        <v>28741.190000000002</v>
      </c>
      <c r="P300" s="17">
        <f>IFERROR(ROUND(SUM(S301,S302)/I300, 2),0)</f>
        <v>174.87</v>
      </c>
      <c r="Q300" s="19">
        <v>1001</v>
      </c>
      <c r="R300" s="17">
        <f>P300+ROUND(Q300, 2)</f>
        <v>1175.8699999999999</v>
      </c>
      <c r="S300" s="17">
        <f>ROUND(P300*I300, 2)</f>
        <v>4450.4399999999996</v>
      </c>
      <c r="T300" s="17">
        <f>ROUND(I300*ROUND(Q300, 2), 2)</f>
        <v>25475.45</v>
      </c>
      <c r="U300" s="17">
        <f>S300+T300</f>
        <v>29925.89</v>
      </c>
    </row>
    <row r="301" spans="1:21" ht="36" x14ac:dyDescent="0.35">
      <c r="A301" s="10" t="s">
        <v>1339</v>
      </c>
      <c r="B301" s="10"/>
      <c r="C301" s="24" t="s">
        <v>493</v>
      </c>
      <c r="D301" s="15"/>
      <c r="E301" s="15"/>
      <c r="F301" s="25" t="s">
        <v>81</v>
      </c>
      <c r="G301" s="26">
        <v>0.15</v>
      </c>
      <c r="H301" s="26"/>
      <c r="I301" s="26">
        <v>3.8180000000000001</v>
      </c>
      <c r="J301" s="28">
        <v>88.8</v>
      </c>
      <c r="M301" s="29">
        <f>ROUND(ROUND(J301, 2)*I301, 2)</f>
        <v>339.04</v>
      </c>
      <c r="P301" s="30">
        <v>88.8</v>
      </c>
      <c r="S301" s="29">
        <f>ROUND(ROUND(P301, 2)*I301, 2)</f>
        <v>339.04</v>
      </c>
    </row>
    <row r="302" spans="1:21" ht="54" x14ac:dyDescent="0.35">
      <c r="A302" s="10" t="s">
        <v>1342</v>
      </c>
      <c r="B302" s="10"/>
      <c r="C302" s="24" t="s">
        <v>854</v>
      </c>
      <c r="D302" s="15"/>
      <c r="E302" s="15" t="s">
        <v>1049</v>
      </c>
      <c r="F302" s="25" t="s">
        <v>81</v>
      </c>
      <c r="G302" s="26">
        <v>5</v>
      </c>
      <c r="H302" s="26"/>
      <c r="I302" s="26">
        <v>127.25</v>
      </c>
      <c r="J302" s="28">
        <v>23</v>
      </c>
      <c r="M302" s="29">
        <f>ROUND(ROUND(J302, 2)*I302, 2)</f>
        <v>2926.75</v>
      </c>
      <c r="P302" s="30">
        <v>32.31</v>
      </c>
      <c r="S302" s="29">
        <f>ROUND(ROUND(P302, 2)*I302, 2)</f>
        <v>4111.45</v>
      </c>
    </row>
    <row r="303" spans="1:21" ht="54" x14ac:dyDescent="0.35">
      <c r="A303" s="81" t="s">
        <v>1345</v>
      </c>
      <c r="B303" s="81" t="s">
        <v>1323</v>
      </c>
      <c r="C303" s="82" t="s">
        <v>1324</v>
      </c>
      <c r="D303" s="83"/>
      <c r="E303" s="83" t="s">
        <v>1346</v>
      </c>
      <c r="F303" s="83" t="s">
        <v>56</v>
      </c>
      <c r="G303" s="84">
        <v>1</v>
      </c>
      <c r="H303" s="84"/>
      <c r="I303" s="84">
        <v>23.61</v>
      </c>
      <c r="J303" s="17">
        <f>IFERROR(ROUND(SUM(M304,M305,M306)/I303, 2),0)</f>
        <v>56.96</v>
      </c>
      <c r="K303" s="18">
        <v>1001</v>
      </c>
      <c r="L303" s="17">
        <f>J303+ROUND(K303, 2)</f>
        <v>1057.96</v>
      </c>
      <c r="M303" s="17">
        <f>ROUND(J303*I303, 2)</f>
        <v>1344.83</v>
      </c>
      <c r="N303" s="17">
        <f>ROUND(I303*ROUND(K303, 2), 2)</f>
        <v>23633.61</v>
      </c>
      <c r="O303" s="17">
        <f>M303+N303</f>
        <v>24978.440000000002</v>
      </c>
      <c r="P303" s="17">
        <f>IFERROR(ROUND(SUM(S304,S305,S306)/I303, 2),0)</f>
        <v>56.98</v>
      </c>
      <c r="Q303" s="19">
        <v>1001</v>
      </c>
      <c r="R303" s="17">
        <f>P303+ROUND(Q303, 2)</f>
        <v>1057.98</v>
      </c>
      <c r="S303" s="17">
        <f>ROUND(P303*I303, 2)</f>
        <v>1345.3</v>
      </c>
      <c r="T303" s="17">
        <f>ROUND(I303*ROUND(Q303, 2), 2)</f>
        <v>23633.61</v>
      </c>
      <c r="U303" s="17">
        <f>S303+T303</f>
        <v>24978.91</v>
      </c>
    </row>
    <row r="304" spans="1:21" ht="36" x14ac:dyDescent="0.35">
      <c r="A304" s="10" t="s">
        <v>1347</v>
      </c>
      <c r="B304" s="10"/>
      <c r="C304" s="24" t="s">
        <v>493</v>
      </c>
      <c r="D304" s="15"/>
      <c r="E304" s="15"/>
      <c r="F304" s="25" t="s">
        <v>81</v>
      </c>
      <c r="G304" s="26">
        <v>0.15</v>
      </c>
      <c r="H304" s="26"/>
      <c r="I304" s="26">
        <v>3.5419999999999998</v>
      </c>
      <c r="J304" s="28">
        <v>88.8</v>
      </c>
      <c r="M304" s="29">
        <f>ROUND(ROUND(J304, 2)*I304, 2)</f>
        <v>314.52999999999997</v>
      </c>
      <c r="P304" s="30">
        <v>88.8</v>
      </c>
      <c r="S304" s="29">
        <f>ROUND(ROUND(P304, 2)*I304, 2)</f>
        <v>314.52999999999997</v>
      </c>
    </row>
    <row r="305" spans="1:21" ht="18" x14ac:dyDescent="0.35">
      <c r="A305" s="10" t="s">
        <v>1350</v>
      </c>
      <c r="B305" s="10"/>
      <c r="C305" s="24" t="s">
        <v>860</v>
      </c>
      <c r="D305" s="15"/>
      <c r="E305" s="15"/>
      <c r="F305" s="25" t="s">
        <v>103</v>
      </c>
      <c r="G305" s="26">
        <v>0.3</v>
      </c>
      <c r="H305" s="26"/>
      <c r="I305" s="26">
        <v>7.0830000000000002</v>
      </c>
      <c r="J305" s="28">
        <v>73.099999999999994</v>
      </c>
      <c r="M305" s="29">
        <f>ROUND(ROUND(J305, 2)*I305, 2)</f>
        <v>517.77</v>
      </c>
      <c r="P305" s="30">
        <v>73.099999999999994</v>
      </c>
      <c r="S305" s="29">
        <f>ROUND(ROUND(P305, 2)*I305, 2)</f>
        <v>517.77</v>
      </c>
    </row>
    <row r="306" spans="1:21" ht="36" x14ac:dyDescent="0.35">
      <c r="A306" s="10" t="s">
        <v>1353</v>
      </c>
      <c r="B306" s="10"/>
      <c r="C306" s="37" t="s">
        <v>914</v>
      </c>
      <c r="D306" s="15"/>
      <c r="E306" s="15" t="s">
        <v>1354</v>
      </c>
      <c r="F306" s="25" t="s">
        <v>81</v>
      </c>
      <c r="G306" s="26">
        <v>1.8</v>
      </c>
      <c r="H306" s="26"/>
      <c r="I306" s="26">
        <v>42.497999999999998</v>
      </c>
      <c r="J306" s="28">
        <v>12.06</v>
      </c>
      <c r="M306" s="29">
        <f>ROUND(ROUND(J306, 2)*I306, 2)</f>
        <v>512.53</v>
      </c>
      <c r="P306" s="30">
        <v>12.07</v>
      </c>
      <c r="S306" s="29">
        <f>ROUND(ROUND(P306, 2)*I306, 2)</f>
        <v>512.95000000000005</v>
      </c>
    </row>
    <row r="307" spans="1:21" ht="54" x14ac:dyDescent="0.35">
      <c r="A307" s="81" t="s">
        <v>1357</v>
      </c>
      <c r="B307" s="81" t="s">
        <v>1323</v>
      </c>
      <c r="C307" s="82" t="s">
        <v>1324</v>
      </c>
      <c r="D307" s="83"/>
      <c r="E307" s="83" t="s">
        <v>1358</v>
      </c>
      <c r="F307" s="83" t="s">
        <v>56</v>
      </c>
      <c r="G307" s="84">
        <v>1</v>
      </c>
      <c r="H307" s="84"/>
      <c r="I307" s="84">
        <v>23.61</v>
      </c>
      <c r="J307" s="17">
        <f>IFERROR(ROUND(SUM(M308,M309)/I307, 2),0)</f>
        <v>35.03</v>
      </c>
      <c r="K307" s="18">
        <v>1001</v>
      </c>
      <c r="L307" s="17">
        <f>J307+ROUND(K307, 2)</f>
        <v>1036.03</v>
      </c>
      <c r="M307" s="17">
        <f>ROUND(J307*I307, 2)</f>
        <v>827.06</v>
      </c>
      <c r="N307" s="17">
        <f>ROUND(I307*ROUND(K307, 2), 2)</f>
        <v>23633.61</v>
      </c>
      <c r="O307" s="17">
        <f>M307+N307</f>
        <v>24460.670000000002</v>
      </c>
      <c r="P307" s="17">
        <f>IFERROR(ROUND(SUM(S308,S309)/I307, 2),0)</f>
        <v>35.049999999999997</v>
      </c>
      <c r="Q307" s="19">
        <v>1001</v>
      </c>
      <c r="R307" s="17">
        <f>P307+ROUND(Q307, 2)</f>
        <v>1036.05</v>
      </c>
      <c r="S307" s="17">
        <f>ROUND(P307*I307, 2)</f>
        <v>827.53</v>
      </c>
      <c r="T307" s="17">
        <f>ROUND(I307*ROUND(Q307, 2), 2)</f>
        <v>23633.61</v>
      </c>
      <c r="U307" s="17">
        <f>S307+T307</f>
        <v>24461.14</v>
      </c>
    </row>
    <row r="308" spans="1:21" ht="36" x14ac:dyDescent="0.35">
      <c r="A308" s="10" t="s">
        <v>1359</v>
      </c>
      <c r="B308" s="10"/>
      <c r="C308" s="24" t="s">
        <v>493</v>
      </c>
      <c r="D308" s="15"/>
      <c r="E308" s="15"/>
      <c r="F308" s="25" t="s">
        <v>81</v>
      </c>
      <c r="G308" s="26">
        <v>0.15</v>
      </c>
      <c r="H308" s="26"/>
      <c r="I308" s="26">
        <v>3.5419999999999998</v>
      </c>
      <c r="J308" s="28">
        <v>88.8</v>
      </c>
      <c r="M308" s="29">
        <f>ROUND(ROUND(J308, 2)*I308, 2)</f>
        <v>314.52999999999997</v>
      </c>
      <c r="P308" s="30">
        <v>88.8</v>
      </c>
      <c r="S308" s="29">
        <f>ROUND(ROUND(P308, 2)*I308, 2)</f>
        <v>314.52999999999997</v>
      </c>
    </row>
    <row r="309" spans="1:21" ht="36" x14ac:dyDescent="0.35">
      <c r="A309" s="10" t="s">
        <v>1362</v>
      </c>
      <c r="B309" s="10"/>
      <c r="C309" s="37" t="s">
        <v>914</v>
      </c>
      <c r="D309" s="15"/>
      <c r="E309" s="15"/>
      <c r="F309" s="25" t="s">
        <v>81</v>
      </c>
      <c r="G309" s="26">
        <v>1.8</v>
      </c>
      <c r="H309" s="26"/>
      <c r="I309" s="26">
        <v>42.497999999999998</v>
      </c>
      <c r="J309" s="28">
        <v>12.06</v>
      </c>
      <c r="M309" s="29">
        <f>ROUND(ROUND(J309, 2)*I309, 2)</f>
        <v>512.53</v>
      </c>
      <c r="P309" s="30">
        <v>12.07</v>
      </c>
      <c r="S309" s="29">
        <f>ROUND(ROUND(P309, 2)*I309, 2)</f>
        <v>512.95000000000005</v>
      </c>
    </row>
    <row r="310" spans="1:21" ht="54" x14ac:dyDescent="0.35">
      <c r="A310" s="10" t="s">
        <v>1365</v>
      </c>
      <c r="B310" s="10" t="s">
        <v>1323</v>
      </c>
      <c r="C310" s="14" t="s">
        <v>1324</v>
      </c>
      <c r="D310" s="15"/>
      <c r="E310" s="15" t="s">
        <v>1366</v>
      </c>
      <c r="F310" s="15" t="s">
        <v>56</v>
      </c>
      <c r="G310" s="16">
        <v>1</v>
      </c>
      <c r="H310" s="16"/>
      <c r="I310" s="16">
        <v>37.68</v>
      </c>
      <c r="J310" s="17">
        <f>IFERROR(ROUND(SUM(M311,M312)/I310, 2),0)</f>
        <v>128.32</v>
      </c>
      <c r="K310" s="18">
        <v>1001</v>
      </c>
      <c r="L310" s="17">
        <f>J310+ROUND(K310, 2)</f>
        <v>1129.32</v>
      </c>
      <c r="M310" s="17">
        <f>ROUND(J310*I310, 2)</f>
        <v>4835.1000000000004</v>
      </c>
      <c r="N310" s="17">
        <f>ROUND(I310*ROUND(K310, 2), 2)</f>
        <v>37717.68</v>
      </c>
      <c r="O310" s="17">
        <f>M310+N310</f>
        <v>42552.78</v>
      </c>
      <c r="P310" s="17">
        <f>IFERROR(ROUND(SUM(S311,S312)/I310, 2),0)</f>
        <v>174.87</v>
      </c>
      <c r="Q310" s="19">
        <v>1001</v>
      </c>
      <c r="R310" s="17">
        <f>P310+ROUND(Q310, 2)</f>
        <v>1175.8699999999999</v>
      </c>
      <c r="S310" s="17">
        <f>ROUND(P310*I310, 2)</f>
        <v>6589.1</v>
      </c>
      <c r="T310" s="17">
        <f>ROUND(I310*ROUND(Q310, 2), 2)</f>
        <v>37717.68</v>
      </c>
      <c r="U310" s="17">
        <f>S310+T310</f>
        <v>44306.78</v>
      </c>
    </row>
    <row r="311" spans="1:21" ht="36" x14ac:dyDescent="0.35">
      <c r="A311" s="10" t="s">
        <v>1367</v>
      </c>
      <c r="B311" s="10"/>
      <c r="C311" s="24" t="s">
        <v>493</v>
      </c>
      <c r="D311" s="15"/>
      <c r="E311" s="15"/>
      <c r="F311" s="25" t="s">
        <v>81</v>
      </c>
      <c r="G311" s="26">
        <v>0.15</v>
      </c>
      <c r="H311" s="26"/>
      <c r="I311" s="26">
        <v>5.6520000000000001</v>
      </c>
      <c r="J311" s="28">
        <v>88.8</v>
      </c>
      <c r="M311" s="29">
        <f>ROUND(ROUND(J311, 2)*I311, 2)</f>
        <v>501.9</v>
      </c>
      <c r="P311" s="30">
        <v>88.8</v>
      </c>
      <c r="S311" s="29">
        <f>ROUND(ROUND(P311, 2)*I311, 2)</f>
        <v>501.9</v>
      </c>
    </row>
    <row r="312" spans="1:21" ht="54" x14ac:dyDescent="0.35">
      <c r="A312" s="10" t="s">
        <v>1370</v>
      </c>
      <c r="B312" s="10"/>
      <c r="C312" s="24" t="s">
        <v>854</v>
      </c>
      <c r="D312" s="15"/>
      <c r="E312" s="15" t="s">
        <v>1049</v>
      </c>
      <c r="F312" s="25" t="s">
        <v>81</v>
      </c>
      <c r="G312" s="26">
        <v>5</v>
      </c>
      <c r="H312" s="26"/>
      <c r="I312" s="26">
        <v>188.4</v>
      </c>
      <c r="J312" s="28">
        <v>23</v>
      </c>
      <c r="M312" s="29">
        <f>ROUND(ROUND(J312, 2)*I312, 2)</f>
        <v>4333.2</v>
      </c>
      <c r="P312" s="30">
        <v>32.31</v>
      </c>
      <c r="S312" s="29">
        <f>ROUND(ROUND(P312, 2)*I312, 2)</f>
        <v>6087.2</v>
      </c>
    </row>
    <row r="313" spans="1:21" ht="54" x14ac:dyDescent="0.35">
      <c r="A313" s="10" t="s">
        <v>1373</v>
      </c>
      <c r="B313" s="10" t="s">
        <v>1323</v>
      </c>
      <c r="C313" s="14" t="s">
        <v>1324</v>
      </c>
      <c r="D313" s="15"/>
      <c r="E313" s="15" t="s">
        <v>1374</v>
      </c>
      <c r="F313" s="15" t="s">
        <v>56</v>
      </c>
      <c r="G313" s="16">
        <v>1</v>
      </c>
      <c r="H313" s="16"/>
      <c r="I313" s="16">
        <v>37.68</v>
      </c>
      <c r="J313" s="17">
        <f>IFERROR(ROUND(SUM(M314,M315,M316)/I313, 2),0)</f>
        <v>150.25</v>
      </c>
      <c r="K313" s="18">
        <v>1001</v>
      </c>
      <c r="L313" s="17">
        <f>J313+ROUND(K313, 2)</f>
        <v>1151.25</v>
      </c>
      <c r="M313" s="17">
        <f>ROUND(J313*I313, 2)</f>
        <v>5661.42</v>
      </c>
      <c r="N313" s="17">
        <f>ROUND(I313*ROUND(K313, 2), 2)</f>
        <v>37717.68</v>
      </c>
      <c r="O313" s="17">
        <f>M313+N313</f>
        <v>43379.1</v>
      </c>
      <c r="P313" s="17">
        <f>IFERROR(ROUND(SUM(S314,S315,S316)/I313, 2),0)</f>
        <v>174.5</v>
      </c>
      <c r="Q313" s="19">
        <v>1001</v>
      </c>
      <c r="R313" s="17">
        <f>P313+ROUND(Q313, 2)</f>
        <v>1175.5</v>
      </c>
      <c r="S313" s="17">
        <f>ROUND(P313*I313, 2)</f>
        <v>6575.16</v>
      </c>
      <c r="T313" s="17">
        <f>ROUND(I313*ROUND(Q313, 2), 2)</f>
        <v>37717.68</v>
      </c>
      <c r="U313" s="17">
        <f>S313+T313</f>
        <v>44292.84</v>
      </c>
    </row>
    <row r="314" spans="1:21" ht="36" x14ac:dyDescent="0.35">
      <c r="A314" s="10" t="s">
        <v>1375</v>
      </c>
      <c r="B314" s="10"/>
      <c r="C314" s="24" t="s">
        <v>493</v>
      </c>
      <c r="D314" s="15"/>
      <c r="E314" s="15"/>
      <c r="F314" s="25" t="s">
        <v>81</v>
      </c>
      <c r="G314" s="26">
        <v>0.15</v>
      </c>
      <c r="H314" s="26"/>
      <c r="I314" s="26">
        <v>5.6520000000000001</v>
      </c>
      <c r="J314" s="28">
        <v>88.8</v>
      </c>
      <c r="M314" s="29">
        <f>ROUND(ROUND(J314, 2)*I314, 2)</f>
        <v>501.9</v>
      </c>
      <c r="P314" s="30">
        <v>88.8</v>
      </c>
      <c r="S314" s="29">
        <f>ROUND(ROUND(P314, 2)*I314, 2)</f>
        <v>501.9</v>
      </c>
    </row>
    <row r="315" spans="1:21" ht="18" x14ac:dyDescent="0.35">
      <c r="A315" s="10" t="s">
        <v>1378</v>
      </c>
      <c r="B315" s="10"/>
      <c r="C315" s="24" t="s">
        <v>860</v>
      </c>
      <c r="D315" s="15"/>
      <c r="E315" s="15"/>
      <c r="F315" s="25" t="s">
        <v>103</v>
      </c>
      <c r="G315" s="26">
        <v>0.3</v>
      </c>
      <c r="H315" s="26"/>
      <c r="I315" s="26">
        <v>11.304</v>
      </c>
      <c r="J315" s="28">
        <v>73.099999999999994</v>
      </c>
      <c r="M315" s="29">
        <f>ROUND(ROUND(J315, 2)*I315, 2)</f>
        <v>826.32</v>
      </c>
      <c r="P315" s="30">
        <v>73.099999999999994</v>
      </c>
      <c r="S315" s="29">
        <f>ROUND(ROUND(P315, 2)*I315, 2)</f>
        <v>826.32</v>
      </c>
    </row>
    <row r="316" spans="1:21" ht="54" x14ac:dyDescent="0.35">
      <c r="A316" s="10" t="s">
        <v>1381</v>
      </c>
      <c r="B316" s="10"/>
      <c r="C316" s="24" t="s">
        <v>854</v>
      </c>
      <c r="D316" s="15"/>
      <c r="E316" s="15" t="s">
        <v>855</v>
      </c>
      <c r="F316" s="25" t="s">
        <v>81</v>
      </c>
      <c r="G316" s="26">
        <v>5</v>
      </c>
      <c r="H316" s="26"/>
      <c r="I316" s="26">
        <v>188.4</v>
      </c>
      <c r="J316" s="28">
        <v>23</v>
      </c>
      <c r="M316" s="29">
        <f>ROUND(ROUND(J316, 2)*I316, 2)</f>
        <v>4333.2</v>
      </c>
      <c r="P316" s="30">
        <v>27.85</v>
      </c>
      <c r="S316" s="29">
        <f>ROUND(ROUND(P316, 2)*I316, 2)</f>
        <v>5246.94</v>
      </c>
    </row>
    <row r="317" spans="1:21" ht="54" x14ac:dyDescent="0.35">
      <c r="A317" s="10" t="s">
        <v>1384</v>
      </c>
      <c r="B317" s="10" t="s">
        <v>1323</v>
      </c>
      <c r="C317" s="14" t="s">
        <v>1324</v>
      </c>
      <c r="D317" s="15"/>
      <c r="E317" s="15" t="s">
        <v>1385</v>
      </c>
      <c r="F317" s="15" t="s">
        <v>56</v>
      </c>
      <c r="G317" s="16">
        <v>1</v>
      </c>
      <c r="H317" s="16"/>
      <c r="I317" s="16">
        <v>25.45</v>
      </c>
      <c r="J317" s="17">
        <f>IFERROR(ROUND(SUM(M318,M319)/I317, 2),0)</f>
        <v>128.32</v>
      </c>
      <c r="K317" s="18">
        <v>1001</v>
      </c>
      <c r="L317" s="17">
        <f>J317+ROUND(K317, 2)</f>
        <v>1129.32</v>
      </c>
      <c r="M317" s="17">
        <f>ROUND(J317*I317, 2)</f>
        <v>3265.74</v>
      </c>
      <c r="N317" s="17">
        <f>ROUND(I317*ROUND(K317, 2), 2)</f>
        <v>25475.45</v>
      </c>
      <c r="O317" s="17">
        <f>M317+N317</f>
        <v>28741.190000000002</v>
      </c>
      <c r="P317" s="17">
        <f>IFERROR(ROUND(SUM(S318,S319)/I317, 2),0)</f>
        <v>174.87</v>
      </c>
      <c r="Q317" s="19">
        <v>1001</v>
      </c>
      <c r="R317" s="17">
        <f>P317+ROUND(Q317, 2)</f>
        <v>1175.8699999999999</v>
      </c>
      <c r="S317" s="17">
        <f>ROUND(P317*I317, 2)</f>
        <v>4450.4399999999996</v>
      </c>
      <c r="T317" s="17">
        <f>ROUND(I317*ROUND(Q317, 2), 2)</f>
        <v>25475.45</v>
      </c>
      <c r="U317" s="17">
        <f>S317+T317</f>
        <v>29925.89</v>
      </c>
    </row>
    <row r="318" spans="1:21" ht="36" x14ac:dyDescent="0.35">
      <c r="A318" s="10" t="s">
        <v>1386</v>
      </c>
      <c r="B318" s="10"/>
      <c r="C318" s="24" t="s">
        <v>493</v>
      </c>
      <c r="D318" s="15"/>
      <c r="E318" s="15"/>
      <c r="F318" s="25" t="s">
        <v>81</v>
      </c>
      <c r="G318" s="26">
        <v>0.15</v>
      </c>
      <c r="H318" s="26"/>
      <c r="I318" s="26">
        <v>3.8180000000000001</v>
      </c>
      <c r="J318" s="28">
        <v>88.8</v>
      </c>
      <c r="M318" s="29">
        <f>ROUND(ROUND(J318, 2)*I318, 2)</f>
        <v>339.04</v>
      </c>
      <c r="P318" s="30">
        <v>88.8</v>
      </c>
      <c r="S318" s="29">
        <f>ROUND(ROUND(P318, 2)*I318, 2)</f>
        <v>339.04</v>
      </c>
    </row>
    <row r="319" spans="1:21" ht="18" x14ac:dyDescent="0.35">
      <c r="A319" s="10" t="s">
        <v>1389</v>
      </c>
      <c r="B319" s="10"/>
      <c r="C319" s="24" t="s">
        <v>854</v>
      </c>
      <c r="D319" s="15"/>
      <c r="E319" s="15"/>
      <c r="F319" s="25" t="s">
        <v>81</v>
      </c>
      <c r="G319" s="26">
        <v>5</v>
      </c>
      <c r="H319" s="26"/>
      <c r="I319" s="26">
        <v>127.25</v>
      </c>
      <c r="J319" s="28">
        <v>23</v>
      </c>
      <c r="M319" s="29">
        <f>ROUND(ROUND(J319, 2)*I319, 2)</f>
        <v>2926.75</v>
      </c>
      <c r="P319" s="30">
        <v>32.31</v>
      </c>
      <c r="S319" s="29">
        <f>ROUND(ROUND(P319, 2)*I319, 2)</f>
        <v>4111.45</v>
      </c>
    </row>
    <row r="320" spans="1:21" ht="54" x14ac:dyDescent="0.35">
      <c r="A320" s="81" t="s">
        <v>1392</v>
      </c>
      <c r="B320" s="81" t="s">
        <v>1323</v>
      </c>
      <c r="C320" s="82" t="s">
        <v>1324</v>
      </c>
      <c r="D320" s="83"/>
      <c r="E320" s="83" t="s">
        <v>1393</v>
      </c>
      <c r="F320" s="83" t="s">
        <v>56</v>
      </c>
      <c r="G320" s="84">
        <v>1</v>
      </c>
      <c r="H320" s="84"/>
      <c r="I320" s="84">
        <v>23.61</v>
      </c>
      <c r="J320" s="17">
        <f>IFERROR(ROUND(SUM(M321,M322)/I320, 2),0)</f>
        <v>67.59</v>
      </c>
      <c r="K320" s="18">
        <v>1001</v>
      </c>
      <c r="L320" s="17">
        <f>J320+ROUND(K320, 2)</f>
        <v>1068.5899999999999</v>
      </c>
      <c r="M320" s="17">
        <f>ROUND(J320*I320, 2)</f>
        <v>1595.8</v>
      </c>
      <c r="N320" s="17">
        <f>ROUND(I320*ROUND(K320, 2), 2)</f>
        <v>23633.61</v>
      </c>
      <c r="O320" s="17">
        <f>M320+N320</f>
        <v>25229.41</v>
      </c>
      <c r="P320" s="17">
        <f>IFERROR(ROUND(SUM(S321,S322)/I320, 2),0)</f>
        <v>67.64</v>
      </c>
      <c r="Q320" s="19">
        <v>1001</v>
      </c>
      <c r="R320" s="17">
        <f>P320+ROUND(Q320, 2)</f>
        <v>1068.6400000000001</v>
      </c>
      <c r="S320" s="17">
        <f>ROUND(P320*I320, 2)</f>
        <v>1596.98</v>
      </c>
      <c r="T320" s="17">
        <f>ROUND(I320*ROUND(Q320, 2), 2)</f>
        <v>23633.61</v>
      </c>
      <c r="U320" s="17">
        <f>S320+T320</f>
        <v>25230.59</v>
      </c>
    </row>
    <row r="321" spans="1:21" ht="36" x14ac:dyDescent="0.35">
      <c r="A321" s="10" t="s">
        <v>1394</v>
      </c>
      <c r="B321" s="10"/>
      <c r="C321" s="24" t="s">
        <v>493</v>
      </c>
      <c r="D321" s="15"/>
      <c r="E321" s="15"/>
      <c r="F321" s="25" t="s">
        <v>81</v>
      </c>
      <c r="G321" s="26">
        <v>0.15</v>
      </c>
      <c r="H321" s="26"/>
      <c r="I321" s="26">
        <v>3.5419999999999998</v>
      </c>
      <c r="J321" s="28">
        <v>88.8</v>
      </c>
      <c r="M321" s="29">
        <f>ROUND(ROUND(J321, 2)*I321, 2)</f>
        <v>314.52999999999997</v>
      </c>
      <c r="P321" s="30">
        <v>88.8</v>
      </c>
      <c r="S321" s="29">
        <f>ROUND(ROUND(P321, 2)*I321, 2)</f>
        <v>314.52999999999997</v>
      </c>
    </row>
    <row r="322" spans="1:21" ht="36" x14ac:dyDescent="0.35">
      <c r="A322" s="10" t="s">
        <v>1397</v>
      </c>
      <c r="B322" s="10"/>
      <c r="C322" s="37" t="s">
        <v>914</v>
      </c>
      <c r="D322" s="15"/>
      <c r="E322" s="15"/>
      <c r="F322" s="25" t="s">
        <v>81</v>
      </c>
      <c r="G322" s="26">
        <v>4.5</v>
      </c>
      <c r="H322" s="26"/>
      <c r="I322" s="26">
        <v>106.245</v>
      </c>
      <c r="J322" s="28">
        <v>12.06</v>
      </c>
      <c r="M322" s="29">
        <f>ROUND(ROUND(J322, 2)*I322, 2)</f>
        <v>1281.31</v>
      </c>
      <c r="P322" s="30">
        <v>12.07</v>
      </c>
      <c r="S322" s="29">
        <f>ROUND(ROUND(P322, 2)*I322, 2)</f>
        <v>1282.3800000000001</v>
      </c>
    </row>
    <row r="323" spans="1:21" ht="54" x14ac:dyDescent="0.35">
      <c r="A323" s="10" t="s">
        <v>1400</v>
      </c>
      <c r="B323" s="10" t="s">
        <v>1323</v>
      </c>
      <c r="C323" s="14" t="s">
        <v>1324</v>
      </c>
      <c r="D323" s="15"/>
      <c r="E323" s="15" t="s">
        <v>1401</v>
      </c>
      <c r="F323" s="15" t="s">
        <v>56</v>
      </c>
      <c r="G323" s="16">
        <v>1</v>
      </c>
      <c r="H323" s="16"/>
      <c r="I323" s="16">
        <v>37.68</v>
      </c>
      <c r="J323" s="17">
        <f>IFERROR(ROUND(SUM(M324,M325)/I323, 2),0)</f>
        <v>128.32</v>
      </c>
      <c r="K323" s="18">
        <v>1001</v>
      </c>
      <c r="L323" s="17">
        <f>J323+ROUND(K323, 2)</f>
        <v>1129.32</v>
      </c>
      <c r="M323" s="17">
        <f>ROUND(J323*I323, 2)</f>
        <v>4835.1000000000004</v>
      </c>
      <c r="N323" s="17">
        <f>ROUND(I323*ROUND(K323, 2), 2)</f>
        <v>37717.68</v>
      </c>
      <c r="O323" s="17">
        <f>M323+N323</f>
        <v>42552.78</v>
      </c>
      <c r="P323" s="17">
        <f>IFERROR(ROUND(SUM(S324,S325)/I323, 2),0)</f>
        <v>174.87</v>
      </c>
      <c r="Q323" s="19">
        <v>1001</v>
      </c>
      <c r="R323" s="17">
        <f>P323+ROUND(Q323, 2)</f>
        <v>1175.8699999999999</v>
      </c>
      <c r="S323" s="17">
        <f>ROUND(P323*I323, 2)</f>
        <v>6589.1</v>
      </c>
      <c r="T323" s="17">
        <f>ROUND(I323*ROUND(Q323, 2), 2)</f>
        <v>37717.68</v>
      </c>
      <c r="U323" s="17">
        <f>S323+T323</f>
        <v>44306.78</v>
      </c>
    </row>
    <row r="324" spans="1:21" ht="36" x14ac:dyDescent="0.35">
      <c r="A324" s="10" t="s">
        <v>1402</v>
      </c>
      <c r="B324" s="10"/>
      <c r="C324" s="24" t="s">
        <v>493</v>
      </c>
      <c r="D324" s="15"/>
      <c r="E324" s="15"/>
      <c r="F324" s="25" t="s">
        <v>81</v>
      </c>
      <c r="G324" s="26">
        <v>0.15</v>
      </c>
      <c r="H324" s="26"/>
      <c r="I324" s="26">
        <v>5.6520000000000001</v>
      </c>
      <c r="J324" s="28">
        <v>88.8</v>
      </c>
      <c r="M324" s="29">
        <f>ROUND(ROUND(J324, 2)*I324, 2)</f>
        <v>501.9</v>
      </c>
      <c r="P324" s="30">
        <v>88.8</v>
      </c>
      <c r="S324" s="29">
        <f>ROUND(ROUND(P324, 2)*I324, 2)</f>
        <v>501.9</v>
      </c>
    </row>
    <row r="325" spans="1:21" ht="18" x14ac:dyDescent="0.35">
      <c r="A325" s="10" t="s">
        <v>1405</v>
      </c>
      <c r="B325" s="10"/>
      <c r="C325" s="24" t="s">
        <v>854</v>
      </c>
      <c r="D325" s="15"/>
      <c r="E325" s="15"/>
      <c r="F325" s="25" t="s">
        <v>81</v>
      </c>
      <c r="G325" s="26">
        <v>5</v>
      </c>
      <c r="H325" s="26"/>
      <c r="I325" s="26">
        <v>188.4</v>
      </c>
      <c r="J325" s="28">
        <v>23</v>
      </c>
      <c r="M325" s="29">
        <f>ROUND(ROUND(J325, 2)*I325, 2)</f>
        <v>4333.2</v>
      </c>
      <c r="P325" s="30">
        <v>32.31</v>
      </c>
      <c r="S325" s="29">
        <f>ROUND(ROUND(P325, 2)*I325, 2)</f>
        <v>6087.2</v>
      </c>
    </row>
    <row r="326" spans="1:21" ht="54" x14ac:dyDescent="0.35">
      <c r="A326" s="10" t="s">
        <v>1408</v>
      </c>
      <c r="B326" s="10" t="s">
        <v>1409</v>
      </c>
      <c r="C326" s="14" t="s">
        <v>1410</v>
      </c>
      <c r="D326" s="15"/>
      <c r="E326" s="15" t="s">
        <v>1411</v>
      </c>
      <c r="F326" s="15" t="s">
        <v>56</v>
      </c>
      <c r="G326" s="16">
        <v>1</v>
      </c>
      <c r="H326" s="16"/>
      <c r="I326" s="16">
        <v>25.45</v>
      </c>
      <c r="J326" s="17">
        <f>IFERROR(ROUND(SUM(M327,M328)/I326, 2),0)</f>
        <v>30.41</v>
      </c>
      <c r="K326" s="18">
        <v>303</v>
      </c>
      <c r="L326" s="17">
        <f>J326+ROUND(K326, 2)</f>
        <v>333.41</v>
      </c>
      <c r="M326" s="17">
        <f>ROUND(J326*I326, 2)</f>
        <v>773.93</v>
      </c>
      <c r="N326" s="17">
        <f>ROUND(I326*ROUND(K326, 2), 2)</f>
        <v>7711.35</v>
      </c>
      <c r="O326" s="17">
        <f>M326+N326</f>
        <v>8485.2800000000007</v>
      </c>
      <c r="P326" s="17">
        <f>IFERROR(ROUND(SUM(S327,S328)/I326, 2),0)</f>
        <v>118.88</v>
      </c>
      <c r="Q326" s="19">
        <v>303</v>
      </c>
      <c r="R326" s="17">
        <f>P326+ROUND(Q326, 2)</f>
        <v>421.88</v>
      </c>
      <c r="S326" s="17">
        <f>ROUND(P326*I326, 2)</f>
        <v>3025.5</v>
      </c>
      <c r="T326" s="17">
        <f>ROUND(I326*ROUND(Q326, 2), 2)</f>
        <v>7711.35</v>
      </c>
      <c r="U326" s="17">
        <f>S326+T326</f>
        <v>10736.85</v>
      </c>
    </row>
    <row r="327" spans="1:21" ht="36" x14ac:dyDescent="0.35">
      <c r="A327" s="10" t="s">
        <v>1414</v>
      </c>
      <c r="B327" s="10"/>
      <c r="C327" s="24" t="s">
        <v>1415</v>
      </c>
      <c r="D327" s="15"/>
      <c r="E327" s="15"/>
      <c r="F327" s="25" t="s">
        <v>81</v>
      </c>
      <c r="G327" s="26">
        <v>0.3</v>
      </c>
      <c r="H327" s="26"/>
      <c r="I327" s="26">
        <v>7.6349999999999998</v>
      </c>
      <c r="J327" s="28">
        <v>71.75</v>
      </c>
      <c r="M327" s="29">
        <f>ROUND(ROUND(J327, 2)*I327, 2)</f>
        <v>547.80999999999995</v>
      </c>
      <c r="P327" s="30">
        <v>366.67</v>
      </c>
      <c r="S327" s="29">
        <f>ROUND(ROUND(P327, 2)*I327, 2)</f>
        <v>2799.53</v>
      </c>
    </row>
    <row r="328" spans="1:21" ht="36" x14ac:dyDescent="0.35">
      <c r="A328" s="10" t="s">
        <v>1419</v>
      </c>
      <c r="B328" s="10"/>
      <c r="C328" s="24" t="s">
        <v>493</v>
      </c>
      <c r="D328" s="15"/>
      <c r="E328" s="15"/>
      <c r="F328" s="25" t="s">
        <v>81</v>
      </c>
      <c r="G328" s="26">
        <v>0.1</v>
      </c>
      <c r="H328" s="26"/>
      <c r="I328" s="26">
        <v>2.5449999999999999</v>
      </c>
      <c r="J328" s="28">
        <v>88.8</v>
      </c>
      <c r="M328" s="29">
        <f>ROUND(ROUND(J328, 2)*I328, 2)</f>
        <v>226</v>
      </c>
      <c r="P328" s="30">
        <v>88.8</v>
      </c>
      <c r="S328" s="29">
        <f>ROUND(ROUND(P328, 2)*I328, 2)</f>
        <v>226</v>
      </c>
    </row>
    <row r="329" spans="1:21" ht="54" x14ac:dyDescent="0.35">
      <c r="A329" s="81" t="s">
        <v>1422</v>
      </c>
      <c r="B329" s="81" t="s">
        <v>1409</v>
      </c>
      <c r="C329" s="82" t="s">
        <v>1410</v>
      </c>
      <c r="D329" s="83"/>
      <c r="E329" s="83" t="s">
        <v>1423</v>
      </c>
      <c r="F329" s="83" t="s">
        <v>56</v>
      </c>
      <c r="G329" s="84">
        <v>1</v>
      </c>
      <c r="H329" s="84"/>
      <c r="I329" s="84">
        <v>51.66</v>
      </c>
      <c r="J329" s="17">
        <f>IFERROR(ROUND(SUM(M330,M331)/I329, 2),0)</f>
        <v>30.4</v>
      </c>
      <c r="K329" s="18">
        <v>303</v>
      </c>
      <c r="L329" s="17">
        <f>J329+ROUND(K329, 2)</f>
        <v>333.4</v>
      </c>
      <c r="M329" s="17">
        <f>ROUND(J329*I329, 2)</f>
        <v>1570.46</v>
      </c>
      <c r="N329" s="17">
        <f>ROUND(I329*ROUND(K329, 2), 2)</f>
        <v>15652.98</v>
      </c>
      <c r="O329" s="17">
        <f>M329+N329</f>
        <v>17223.439999999999</v>
      </c>
      <c r="P329" s="17">
        <f>IFERROR(ROUND(SUM(S330,S331)/I329, 2),0)</f>
        <v>118.88</v>
      </c>
      <c r="Q329" s="19">
        <v>303</v>
      </c>
      <c r="R329" s="17">
        <f>P329+ROUND(Q329, 2)</f>
        <v>421.88</v>
      </c>
      <c r="S329" s="17">
        <f>ROUND(P329*I329, 2)</f>
        <v>6141.34</v>
      </c>
      <c r="T329" s="17">
        <f>ROUND(I329*ROUND(Q329, 2), 2)</f>
        <v>15652.98</v>
      </c>
      <c r="U329" s="17">
        <f>S329+T329</f>
        <v>21794.32</v>
      </c>
    </row>
    <row r="330" spans="1:21" ht="36" x14ac:dyDescent="0.35">
      <c r="A330" s="10" t="s">
        <v>1424</v>
      </c>
      <c r="B330" s="10"/>
      <c r="C330" s="24" t="s">
        <v>493</v>
      </c>
      <c r="D330" s="15"/>
      <c r="E330" s="15"/>
      <c r="F330" s="25" t="s">
        <v>81</v>
      </c>
      <c r="G330" s="26">
        <v>0.1</v>
      </c>
      <c r="H330" s="26"/>
      <c r="I330" s="26">
        <v>5.1660000000000004</v>
      </c>
      <c r="J330" s="28">
        <v>88.8</v>
      </c>
      <c r="M330" s="29">
        <f>ROUND(ROUND(J330, 2)*I330, 2)</f>
        <v>458.74</v>
      </c>
      <c r="P330" s="30">
        <v>88.8</v>
      </c>
      <c r="S330" s="29">
        <f>ROUND(ROUND(P330, 2)*I330, 2)</f>
        <v>458.74</v>
      </c>
    </row>
    <row r="331" spans="1:21" ht="36" x14ac:dyDescent="0.35">
      <c r="A331" s="10" t="s">
        <v>1427</v>
      </c>
      <c r="B331" s="10"/>
      <c r="C331" s="24" t="s">
        <v>1415</v>
      </c>
      <c r="D331" s="15"/>
      <c r="E331" s="15"/>
      <c r="F331" s="25" t="s">
        <v>81</v>
      </c>
      <c r="G331" s="26">
        <v>0.3</v>
      </c>
      <c r="H331" s="26"/>
      <c r="I331" s="26">
        <v>15.497999999999999</v>
      </c>
      <c r="J331" s="28">
        <v>71.75</v>
      </c>
      <c r="M331" s="29">
        <f>ROUND(ROUND(J331, 2)*I331, 2)</f>
        <v>1111.98</v>
      </c>
      <c r="P331" s="30">
        <v>366.67</v>
      </c>
      <c r="S331" s="29">
        <f>ROUND(ROUND(P331, 2)*I331, 2)</f>
        <v>5682.65</v>
      </c>
    </row>
    <row r="332" spans="1:21" ht="54" x14ac:dyDescent="0.35">
      <c r="A332" s="77" t="s">
        <v>1430</v>
      </c>
      <c r="B332" s="77" t="s">
        <v>1409</v>
      </c>
      <c r="C332" s="78" t="s">
        <v>1410</v>
      </c>
      <c r="D332" s="79"/>
      <c r="E332" s="79" t="s">
        <v>1431</v>
      </c>
      <c r="F332" s="79" t="s">
        <v>56</v>
      </c>
      <c r="G332" s="80">
        <v>1</v>
      </c>
      <c r="H332" s="80"/>
      <c r="I332" s="80">
        <v>37.68</v>
      </c>
      <c r="J332" s="17">
        <f>IFERROR(ROUND(SUM(M333,M334)/I332, 2),0)</f>
        <v>30.4</v>
      </c>
      <c r="K332" s="18">
        <v>303</v>
      </c>
      <c r="L332" s="17">
        <f>J332+ROUND(K332, 2)</f>
        <v>333.4</v>
      </c>
      <c r="M332" s="17">
        <f>ROUND(J332*I332, 2)</f>
        <v>1145.47</v>
      </c>
      <c r="N332" s="17">
        <f>ROUND(I332*ROUND(K332, 2), 2)</f>
        <v>11417.04</v>
      </c>
      <c r="O332" s="17">
        <f>M332+N332</f>
        <v>12562.51</v>
      </c>
      <c r="P332" s="17">
        <f>IFERROR(ROUND(SUM(S333,S334)/I332, 2),0)</f>
        <v>118.88</v>
      </c>
      <c r="Q332" s="19">
        <v>303</v>
      </c>
      <c r="R332" s="17">
        <f>P332+ROUND(Q332, 2)</f>
        <v>421.88</v>
      </c>
      <c r="S332" s="17">
        <f>ROUND(P332*I332, 2)</f>
        <v>4479.3999999999996</v>
      </c>
      <c r="T332" s="17">
        <f>ROUND(I332*ROUND(Q332, 2), 2)</f>
        <v>11417.04</v>
      </c>
      <c r="U332" s="17">
        <f>S332+T332</f>
        <v>15896.44</v>
      </c>
    </row>
    <row r="333" spans="1:21" ht="36" x14ac:dyDescent="0.35">
      <c r="A333" s="10" t="s">
        <v>1432</v>
      </c>
      <c r="B333" s="10"/>
      <c r="C333" s="24" t="s">
        <v>493</v>
      </c>
      <c r="D333" s="15"/>
      <c r="E333" s="15"/>
      <c r="F333" s="25" t="s">
        <v>81</v>
      </c>
      <c r="G333" s="26">
        <v>0.1</v>
      </c>
      <c r="H333" s="26"/>
      <c r="I333" s="26">
        <v>3.7679999999999998</v>
      </c>
      <c r="J333" s="28">
        <v>88.8</v>
      </c>
      <c r="M333" s="29">
        <f>ROUND(ROUND(J333, 2)*I333, 2)</f>
        <v>334.6</v>
      </c>
      <c r="P333" s="30">
        <v>88.8</v>
      </c>
      <c r="S333" s="29">
        <f>ROUND(ROUND(P333, 2)*I333, 2)</f>
        <v>334.6</v>
      </c>
    </row>
    <row r="334" spans="1:21" ht="36" x14ac:dyDescent="0.35">
      <c r="A334" s="10" t="s">
        <v>1435</v>
      </c>
      <c r="B334" s="10"/>
      <c r="C334" s="24" t="s">
        <v>1415</v>
      </c>
      <c r="D334" s="15"/>
      <c r="E334" s="15"/>
      <c r="F334" s="25" t="s">
        <v>81</v>
      </c>
      <c r="G334" s="26">
        <v>0.3</v>
      </c>
      <c r="H334" s="26"/>
      <c r="I334" s="26">
        <v>11.304</v>
      </c>
      <c r="J334" s="28">
        <v>71.75</v>
      </c>
      <c r="M334" s="29">
        <f>ROUND(ROUND(J334, 2)*I334, 2)</f>
        <v>811.06</v>
      </c>
      <c r="P334" s="30">
        <v>366.67</v>
      </c>
      <c r="S334" s="29">
        <f>ROUND(ROUND(P334, 2)*I334, 2)</f>
        <v>4144.84</v>
      </c>
    </row>
    <row r="335" spans="1:21" ht="54" x14ac:dyDescent="0.35">
      <c r="A335" s="81" t="s">
        <v>1438</v>
      </c>
      <c r="B335" s="81" t="s">
        <v>1439</v>
      </c>
      <c r="C335" s="82" t="s">
        <v>1440</v>
      </c>
      <c r="D335" s="83"/>
      <c r="E335" s="83" t="s">
        <v>1441</v>
      </c>
      <c r="F335" s="83" t="s">
        <v>56</v>
      </c>
      <c r="G335" s="84">
        <v>1</v>
      </c>
      <c r="H335" s="84"/>
      <c r="I335" s="84">
        <v>37.44</v>
      </c>
      <c r="J335" s="17">
        <f>IFERROR(ROUND(SUM(M336,M337,M338)/I335, 2),0)</f>
        <v>238.99</v>
      </c>
      <c r="K335" s="18">
        <v>1291</v>
      </c>
      <c r="L335" s="17">
        <f>J335+ROUND(K335, 2)</f>
        <v>1529.99</v>
      </c>
      <c r="M335" s="17">
        <f>ROUND(J335*I335, 2)</f>
        <v>8947.7900000000009</v>
      </c>
      <c r="N335" s="17">
        <f>ROUND(I335*ROUND(K335, 2), 2)</f>
        <v>48335.040000000001</v>
      </c>
      <c r="O335" s="17">
        <f>M335+N335</f>
        <v>57282.83</v>
      </c>
      <c r="P335" s="17">
        <f>IFERROR(ROUND(SUM(S336,S337,S338)/I335, 2),0)</f>
        <v>1847.19</v>
      </c>
      <c r="Q335" s="19">
        <v>1291</v>
      </c>
      <c r="R335" s="17">
        <f>P335+ROUND(Q335, 2)</f>
        <v>3138.19</v>
      </c>
      <c r="S335" s="17">
        <f>ROUND(P335*I335, 2)</f>
        <v>69158.789999999994</v>
      </c>
      <c r="T335" s="17">
        <f>ROUND(I335*ROUND(Q335, 2), 2)</f>
        <v>48335.040000000001</v>
      </c>
      <c r="U335" s="17">
        <f>S335+T335</f>
        <v>117493.82999999999</v>
      </c>
    </row>
    <row r="336" spans="1:21" ht="18" x14ac:dyDescent="0.35">
      <c r="A336" s="10" t="s">
        <v>1444</v>
      </c>
      <c r="B336" s="10"/>
      <c r="C336" s="24" t="s">
        <v>1445</v>
      </c>
      <c r="D336" s="15"/>
      <c r="E336" s="15"/>
      <c r="F336" s="25" t="s">
        <v>103</v>
      </c>
      <c r="G336" s="26">
        <v>1</v>
      </c>
      <c r="H336" s="27"/>
      <c r="I336" s="27">
        <v>22</v>
      </c>
      <c r="J336" s="28">
        <v>80</v>
      </c>
      <c r="M336" s="29">
        <f>ROUND(ROUND(J336, 2)*I336, 2)</f>
        <v>1760</v>
      </c>
      <c r="P336" s="30">
        <v>80</v>
      </c>
      <c r="S336" s="29">
        <f>ROUND(ROUND(P336, 2)*I336, 2)</f>
        <v>1760</v>
      </c>
    </row>
    <row r="337" spans="1:21" ht="18" x14ac:dyDescent="0.35">
      <c r="A337" s="10" t="s">
        <v>1449</v>
      </c>
      <c r="B337" s="10"/>
      <c r="C337" s="24" t="s">
        <v>188</v>
      </c>
      <c r="D337" s="15"/>
      <c r="E337" s="15"/>
      <c r="F337" s="25" t="s">
        <v>129</v>
      </c>
      <c r="G337" s="26">
        <v>1</v>
      </c>
      <c r="H337" s="27"/>
      <c r="I337" s="27">
        <v>201</v>
      </c>
      <c r="J337" s="28">
        <v>35.76</v>
      </c>
      <c r="M337" s="29">
        <f>ROUND(ROUND(J337, 2)*I337, 2)</f>
        <v>7187.76</v>
      </c>
      <c r="P337" s="30">
        <v>35.76</v>
      </c>
      <c r="S337" s="29">
        <f>ROUND(ROUND(P337, 2)*I337, 2)</f>
        <v>7187.76</v>
      </c>
    </row>
    <row r="338" spans="1:21" ht="18" x14ac:dyDescent="0.35">
      <c r="A338" s="10" t="s">
        <v>1452</v>
      </c>
      <c r="B338" s="10"/>
      <c r="C338" s="24" t="s">
        <v>1453</v>
      </c>
      <c r="D338" s="15"/>
      <c r="E338" s="15"/>
      <c r="F338" s="25" t="s">
        <v>56</v>
      </c>
      <c r="G338" s="26">
        <v>1.1000000000000001</v>
      </c>
      <c r="H338" s="26"/>
      <c r="I338" s="26">
        <v>41.183999999999997</v>
      </c>
      <c r="J338" s="28">
        <v>0</v>
      </c>
      <c r="M338" s="29">
        <f>ROUND(ROUND(J338, 2)*I338, 2)</f>
        <v>0</v>
      </c>
      <c r="P338" s="30">
        <v>1462</v>
      </c>
      <c r="S338" s="29">
        <f>ROUND(ROUND(P338, 2)*I338, 2)</f>
        <v>60211.01</v>
      </c>
    </row>
    <row r="339" spans="1:21" ht="54" x14ac:dyDescent="0.35">
      <c r="A339" s="10" t="s">
        <v>1457</v>
      </c>
      <c r="B339" s="10" t="s">
        <v>1458</v>
      </c>
      <c r="C339" s="14" t="s">
        <v>1459</v>
      </c>
      <c r="D339" s="15"/>
      <c r="E339" s="15" t="s">
        <v>1460</v>
      </c>
      <c r="F339" s="15" t="s">
        <v>56</v>
      </c>
      <c r="G339" s="16">
        <v>1</v>
      </c>
      <c r="H339" s="16"/>
      <c r="I339" s="16">
        <v>25.45</v>
      </c>
      <c r="J339" s="17">
        <f>IFERROR(ROUND(SUM(M340,M341,M342,M343,M344,M345)/I339, 2),0)</f>
        <v>856.16</v>
      </c>
      <c r="K339" s="18">
        <v>1422</v>
      </c>
      <c r="L339" s="17">
        <f>J339+ROUND(K339, 2)</f>
        <v>2278.16</v>
      </c>
      <c r="M339" s="17">
        <f>ROUND(J339*I339, 2)</f>
        <v>21789.27</v>
      </c>
      <c r="N339" s="17">
        <f>ROUND(I339*ROUND(K339, 2), 2)</f>
        <v>36189.9</v>
      </c>
      <c r="O339" s="17">
        <f>M339+N339</f>
        <v>57979.17</v>
      </c>
      <c r="P339" s="17">
        <f>IFERROR(ROUND(SUM(S340,S341,S342,S343,S344,S345)/I339, 2),0)</f>
        <v>856.16</v>
      </c>
      <c r="Q339" s="19">
        <v>1422</v>
      </c>
      <c r="R339" s="17">
        <f>P339+ROUND(Q339, 2)</f>
        <v>2278.16</v>
      </c>
      <c r="S339" s="17">
        <f>ROUND(P339*I339, 2)</f>
        <v>21789.27</v>
      </c>
      <c r="T339" s="17">
        <f>ROUND(I339*ROUND(Q339, 2), 2)</f>
        <v>36189.9</v>
      </c>
      <c r="U339" s="17">
        <f>S339+T339</f>
        <v>57979.17</v>
      </c>
    </row>
    <row r="340" spans="1:21" ht="18" x14ac:dyDescent="0.35">
      <c r="A340" s="10" t="s">
        <v>1463</v>
      </c>
      <c r="B340" s="10"/>
      <c r="C340" s="24" t="s">
        <v>1464</v>
      </c>
      <c r="D340" s="15"/>
      <c r="E340" s="15"/>
      <c r="F340" s="25" t="s">
        <v>103</v>
      </c>
      <c r="G340" s="26">
        <v>44</v>
      </c>
      <c r="H340" s="26"/>
      <c r="I340" s="26">
        <v>1119.8</v>
      </c>
      <c r="J340" s="28">
        <v>0.95</v>
      </c>
      <c r="M340" s="29">
        <f t="shared" ref="M340:M345" si="4">ROUND(ROUND(J340, 2)*I340, 2)</f>
        <v>1063.81</v>
      </c>
      <c r="P340" s="30">
        <v>0.95</v>
      </c>
      <c r="S340" s="29">
        <f t="shared" ref="S340:S345" si="5">ROUND(ROUND(P340, 2)*I340, 2)</f>
        <v>1063.81</v>
      </c>
    </row>
    <row r="341" spans="1:21" ht="18" x14ac:dyDescent="0.35">
      <c r="A341" s="10" t="s">
        <v>1468</v>
      </c>
      <c r="B341" s="10"/>
      <c r="C341" s="24" t="s">
        <v>1469</v>
      </c>
      <c r="D341" s="15"/>
      <c r="E341" s="15"/>
      <c r="F341" s="25" t="s">
        <v>81</v>
      </c>
      <c r="G341" s="26">
        <v>0.35</v>
      </c>
      <c r="H341" s="26"/>
      <c r="I341" s="26">
        <v>8.9079999999999995</v>
      </c>
      <c r="J341" s="28">
        <v>55</v>
      </c>
      <c r="M341" s="29">
        <f t="shared" si="4"/>
        <v>489.94</v>
      </c>
      <c r="P341" s="30">
        <v>55</v>
      </c>
      <c r="S341" s="29">
        <f t="shared" si="5"/>
        <v>489.94</v>
      </c>
    </row>
    <row r="342" spans="1:21" ht="18" x14ac:dyDescent="0.35">
      <c r="A342" s="10" t="s">
        <v>1473</v>
      </c>
      <c r="B342" s="10"/>
      <c r="C342" s="24" t="s">
        <v>1445</v>
      </c>
      <c r="D342" s="15"/>
      <c r="E342" s="15"/>
      <c r="F342" s="25" t="s">
        <v>103</v>
      </c>
      <c r="G342" s="26">
        <v>2.2200000000000002</v>
      </c>
      <c r="H342" s="26"/>
      <c r="I342" s="26">
        <v>56.499000000000002</v>
      </c>
      <c r="J342" s="28">
        <v>80</v>
      </c>
      <c r="M342" s="29">
        <f t="shared" si="4"/>
        <v>4519.92</v>
      </c>
      <c r="P342" s="30">
        <v>80</v>
      </c>
      <c r="S342" s="29">
        <f t="shared" si="5"/>
        <v>4519.92</v>
      </c>
    </row>
    <row r="343" spans="1:21" ht="36" x14ac:dyDescent="0.35">
      <c r="A343" s="10" t="s">
        <v>1476</v>
      </c>
      <c r="B343" s="10"/>
      <c r="C343" s="37" t="s">
        <v>1477</v>
      </c>
      <c r="D343" s="15"/>
      <c r="E343" s="15"/>
      <c r="F343" s="25" t="s">
        <v>129</v>
      </c>
      <c r="G343" s="26">
        <v>13.5</v>
      </c>
      <c r="H343" s="26"/>
      <c r="I343" s="26">
        <v>343.57499999999999</v>
      </c>
      <c r="J343" s="28">
        <v>32.950000000000003</v>
      </c>
      <c r="M343" s="29">
        <f t="shared" si="4"/>
        <v>11320.8</v>
      </c>
      <c r="P343" s="30">
        <v>32.950000000000003</v>
      </c>
      <c r="S343" s="29">
        <f t="shared" si="5"/>
        <v>11320.8</v>
      </c>
    </row>
    <row r="344" spans="1:21" ht="18" x14ac:dyDescent="0.35">
      <c r="A344" s="10" t="s">
        <v>1481</v>
      </c>
      <c r="B344" s="10"/>
      <c r="C344" s="24" t="s">
        <v>1482</v>
      </c>
      <c r="D344" s="15"/>
      <c r="E344" s="15"/>
      <c r="F344" s="25" t="s">
        <v>103</v>
      </c>
      <c r="G344" s="26">
        <v>33.75</v>
      </c>
      <c r="H344" s="26"/>
      <c r="I344" s="26">
        <v>858.93799999999999</v>
      </c>
      <c r="J344" s="28">
        <v>0.9</v>
      </c>
      <c r="M344" s="29">
        <f t="shared" si="4"/>
        <v>773.04</v>
      </c>
      <c r="P344" s="30">
        <v>0.9</v>
      </c>
      <c r="S344" s="29">
        <f t="shared" si="5"/>
        <v>773.04</v>
      </c>
    </row>
    <row r="345" spans="1:21" ht="36" x14ac:dyDescent="0.35">
      <c r="A345" s="10" t="s">
        <v>1486</v>
      </c>
      <c r="B345" s="10"/>
      <c r="C345" s="24" t="s">
        <v>122</v>
      </c>
      <c r="D345" s="15"/>
      <c r="E345" s="15"/>
      <c r="F345" s="25" t="s">
        <v>56</v>
      </c>
      <c r="G345" s="26">
        <v>1.05</v>
      </c>
      <c r="H345" s="26"/>
      <c r="I345" s="26">
        <v>26.722999999999999</v>
      </c>
      <c r="J345" s="28">
        <v>135.53</v>
      </c>
      <c r="M345" s="29">
        <f t="shared" si="4"/>
        <v>3621.77</v>
      </c>
      <c r="P345" s="30">
        <v>135.53</v>
      </c>
      <c r="S345" s="29">
        <f t="shared" si="5"/>
        <v>3621.77</v>
      </c>
    </row>
    <row r="346" spans="1:21" ht="54" x14ac:dyDescent="0.35">
      <c r="A346" s="81" t="s">
        <v>1489</v>
      </c>
      <c r="B346" s="81" t="s">
        <v>1458</v>
      </c>
      <c r="C346" s="82" t="s">
        <v>1459</v>
      </c>
      <c r="D346" s="83"/>
      <c r="E346" s="83" t="s">
        <v>1490</v>
      </c>
      <c r="F346" s="83" t="s">
        <v>56</v>
      </c>
      <c r="G346" s="84">
        <v>1</v>
      </c>
      <c r="H346" s="84"/>
      <c r="I346" s="84">
        <v>2.5499999999999998</v>
      </c>
      <c r="J346" s="17">
        <f>IFERROR(ROUND(SUM(M347,M348,M349,M350,M351,M352)/I346, 2),0)</f>
        <v>856.2</v>
      </c>
      <c r="K346" s="18">
        <v>1422</v>
      </c>
      <c r="L346" s="17">
        <f>J346+ROUND(K346, 2)</f>
        <v>2278.1999999999998</v>
      </c>
      <c r="M346" s="17">
        <f>ROUND(J346*I346, 2)</f>
        <v>2183.31</v>
      </c>
      <c r="N346" s="17">
        <f>ROUND(I346*ROUND(K346, 2), 2)</f>
        <v>3626.1</v>
      </c>
      <c r="O346" s="17">
        <f>M346+N346</f>
        <v>5809.41</v>
      </c>
      <c r="P346" s="17">
        <f>IFERROR(ROUND(SUM(S347,S348,S349,S350,S351,S352)/I346, 2),0)</f>
        <v>856.2</v>
      </c>
      <c r="Q346" s="19">
        <v>1422</v>
      </c>
      <c r="R346" s="17">
        <f>P346+ROUND(Q346, 2)</f>
        <v>2278.1999999999998</v>
      </c>
      <c r="S346" s="17">
        <f>ROUND(P346*I346, 2)</f>
        <v>2183.31</v>
      </c>
      <c r="T346" s="17">
        <f>ROUND(I346*ROUND(Q346, 2), 2)</f>
        <v>3626.1</v>
      </c>
      <c r="U346" s="17">
        <f>S346+T346</f>
        <v>5809.41</v>
      </c>
    </row>
    <row r="347" spans="1:21" ht="36" x14ac:dyDescent="0.35">
      <c r="A347" s="10" t="s">
        <v>1491</v>
      </c>
      <c r="B347" s="10"/>
      <c r="C347" s="24" t="s">
        <v>122</v>
      </c>
      <c r="D347" s="15"/>
      <c r="E347" s="15"/>
      <c r="F347" s="25" t="s">
        <v>56</v>
      </c>
      <c r="G347" s="26">
        <v>1.05</v>
      </c>
      <c r="H347" s="26"/>
      <c r="I347" s="26">
        <v>2.6779999999999999</v>
      </c>
      <c r="J347" s="28">
        <v>135.53</v>
      </c>
      <c r="M347" s="29">
        <f t="shared" ref="M347:M352" si="6">ROUND(ROUND(J347, 2)*I347, 2)</f>
        <v>362.95</v>
      </c>
      <c r="P347" s="30">
        <v>135.53</v>
      </c>
      <c r="S347" s="29">
        <f t="shared" ref="S347:S352" si="7">ROUND(ROUND(P347, 2)*I347, 2)</f>
        <v>362.95</v>
      </c>
    </row>
    <row r="348" spans="1:21" ht="18" x14ac:dyDescent="0.35">
      <c r="A348" s="10" t="s">
        <v>1494</v>
      </c>
      <c r="B348" s="10"/>
      <c r="C348" s="24" t="s">
        <v>1482</v>
      </c>
      <c r="D348" s="15"/>
      <c r="E348" s="15"/>
      <c r="F348" s="25" t="s">
        <v>103</v>
      </c>
      <c r="G348" s="26">
        <v>33.75</v>
      </c>
      <c r="H348" s="26"/>
      <c r="I348" s="26">
        <v>86.063000000000002</v>
      </c>
      <c r="J348" s="28">
        <v>0.9</v>
      </c>
      <c r="M348" s="29">
        <f t="shared" si="6"/>
        <v>77.459999999999994</v>
      </c>
      <c r="P348" s="30">
        <v>0.9</v>
      </c>
      <c r="S348" s="29">
        <f t="shared" si="7"/>
        <v>77.459999999999994</v>
      </c>
    </row>
    <row r="349" spans="1:21" ht="36" x14ac:dyDescent="0.35">
      <c r="A349" s="10" t="s">
        <v>1497</v>
      </c>
      <c r="B349" s="10"/>
      <c r="C349" s="37" t="s">
        <v>1477</v>
      </c>
      <c r="D349" s="15"/>
      <c r="E349" s="15"/>
      <c r="F349" s="25" t="s">
        <v>129</v>
      </c>
      <c r="G349" s="26">
        <v>13.5</v>
      </c>
      <c r="H349" s="26"/>
      <c r="I349" s="26">
        <v>34.424999999999997</v>
      </c>
      <c r="J349" s="28">
        <v>32.950000000000003</v>
      </c>
      <c r="M349" s="29">
        <f t="shared" si="6"/>
        <v>1134.3</v>
      </c>
      <c r="P349" s="30">
        <v>32.950000000000003</v>
      </c>
      <c r="S349" s="29">
        <f t="shared" si="7"/>
        <v>1134.3</v>
      </c>
    </row>
    <row r="350" spans="1:21" ht="18" x14ac:dyDescent="0.35">
      <c r="A350" s="10" t="s">
        <v>1500</v>
      </c>
      <c r="B350" s="10"/>
      <c r="C350" s="24" t="s">
        <v>1445</v>
      </c>
      <c r="D350" s="15"/>
      <c r="E350" s="15"/>
      <c r="F350" s="25" t="s">
        <v>103</v>
      </c>
      <c r="G350" s="26">
        <v>2.2200000000000002</v>
      </c>
      <c r="H350" s="26"/>
      <c r="I350" s="26">
        <v>5.6609999999999996</v>
      </c>
      <c r="J350" s="28">
        <v>80</v>
      </c>
      <c r="M350" s="29">
        <f t="shared" si="6"/>
        <v>452.88</v>
      </c>
      <c r="P350" s="30">
        <v>80</v>
      </c>
      <c r="S350" s="29">
        <f t="shared" si="7"/>
        <v>452.88</v>
      </c>
    </row>
    <row r="351" spans="1:21" ht="18" x14ac:dyDescent="0.35">
      <c r="A351" s="10" t="s">
        <v>1503</v>
      </c>
      <c r="B351" s="10"/>
      <c r="C351" s="24" t="s">
        <v>1469</v>
      </c>
      <c r="D351" s="15"/>
      <c r="E351" s="15"/>
      <c r="F351" s="25" t="s">
        <v>81</v>
      </c>
      <c r="G351" s="26">
        <v>0.35</v>
      </c>
      <c r="H351" s="26"/>
      <c r="I351" s="26">
        <v>0.89300000000000002</v>
      </c>
      <c r="J351" s="28">
        <v>55</v>
      </c>
      <c r="M351" s="29">
        <f t="shared" si="6"/>
        <v>49.12</v>
      </c>
      <c r="P351" s="30">
        <v>55</v>
      </c>
      <c r="S351" s="29">
        <f t="shared" si="7"/>
        <v>49.12</v>
      </c>
    </row>
    <row r="352" spans="1:21" ht="18" x14ac:dyDescent="0.35">
      <c r="A352" s="10" t="s">
        <v>1506</v>
      </c>
      <c r="B352" s="10"/>
      <c r="C352" s="24" t="s">
        <v>1464</v>
      </c>
      <c r="D352" s="15"/>
      <c r="E352" s="15"/>
      <c r="F352" s="25" t="s">
        <v>103</v>
      </c>
      <c r="G352" s="26">
        <v>44</v>
      </c>
      <c r="H352" s="26"/>
      <c r="I352" s="26">
        <v>112.2</v>
      </c>
      <c r="J352" s="28">
        <v>0.95</v>
      </c>
      <c r="M352" s="29">
        <f t="shared" si="6"/>
        <v>106.59</v>
      </c>
      <c r="P352" s="30">
        <v>0.95</v>
      </c>
      <c r="S352" s="29">
        <f t="shared" si="7"/>
        <v>106.59</v>
      </c>
    </row>
    <row r="353" spans="1:21" ht="17" customHeight="1" x14ac:dyDescent="0.35">
      <c r="A353" s="10" t="s">
        <v>1509</v>
      </c>
      <c r="B353" s="10" t="s">
        <v>1510</v>
      </c>
      <c r="C353" s="100" t="s">
        <v>1511</v>
      </c>
      <c r="D353" s="101"/>
      <c r="E353" s="101"/>
      <c r="F353" s="101"/>
      <c r="G353" s="101"/>
      <c r="H353" s="101"/>
      <c r="I353" s="102"/>
      <c r="M353" s="6">
        <f>SUM(M354,M385)</f>
        <v>190511.67</v>
      </c>
      <c r="N353" s="6">
        <f>SUM(N354,N385)</f>
        <v>2261166.7199999997</v>
      </c>
      <c r="O353" s="6">
        <f>SUM(O354,O385)</f>
        <v>2451678.3899999997</v>
      </c>
      <c r="S353" s="6">
        <f>SUM(S354,S385)</f>
        <v>426384.35</v>
      </c>
      <c r="T353" s="6">
        <f>SUM(T354,T385)</f>
        <v>2261166.7199999997</v>
      </c>
      <c r="U353" s="6">
        <f>SUM(U354,U385)</f>
        <v>2687551.07</v>
      </c>
    </row>
    <row r="354" spans="1:21" ht="17" customHeight="1" x14ac:dyDescent="0.35">
      <c r="A354" s="10" t="s">
        <v>1512</v>
      </c>
      <c r="B354" s="10" t="s">
        <v>1513</v>
      </c>
      <c r="C354" s="100" t="s">
        <v>1514</v>
      </c>
      <c r="D354" s="101"/>
      <c r="E354" s="101"/>
      <c r="F354" s="101"/>
      <c r="G354" s="101"/>
      <c r="H354" s="101"/>
      <c r="I354" s="102"/>
      <c r="M354" s="6">
        <f>SUM(M355,M358,M361,M364,M367,M370,M373,M376,M379,M382)</f>
        <v>172067.6</v>
      </c>
      <c r="N354" s="6">
        <f>SUM(N355,N358,N361,N364,N367,N370,N373,N376,N379,N382)</f>
        <v>1618670.5599999998</v>
      </c>
      <c r="O354" s="6">
        <f>SUM(O355,O358,O361,O364,O367,O370,O373,O376,O379,O382)</f>
        <v>1790738.16</v>
      </c>
      <c r="S354" s="6">
        <f>SUM(S355,S358,S361,S364,S367,S370,S373,S376,S379,S382)</f>
        <v>255624.37999999998</v>
      </c>
      <c r="T354" s="6">
        <f>SUM(T355,T358,T361,T364,T367,T370,T373,T376,T379,T382)</f>
        <v>1618670.5599999998</v>
      </c>
      <c r="U354" s="6">
        <f>SUM(U355,U358,U361,U364,U367,U370,U373,U376,U379,U382)</f>
        <v>1874294.9399999997</v>
      </c>
    </row>
    <row r="355" spans="1:21" ht="36" x14ac:dyDescent="0.35">
      <c r="A355" s="10" t="s">
        <v>1515</v>
      </c>
      <c r="B355" s="10" t="s">
        <v>1516</v>
      </c>
      <c r="C355" s="14" t="s">
        <v>1517</v>
      </c>
      <c r="D355" s="15"/>
      <c r="E355" s="15" t="s">
        <v>1518</v>
      </c>
      <c r="F355" s="15" t="s">
        <v>56</v>
      </c>
      <c r="G355" s="16">
        <v>1</v>
      </c>
      <c r="H355" s="16"/>
      <c r="I355" s="16">
        <v>0</v>
      </c>
      <c r="J355" s="17">
        <f>IFERROR(ROUND(SUM(M356,M357)/I355, 2),0)</f>
        <v>0</v>
      </c>
      <c r="K355" s="18">
        <v>790</v>
      </c>
      <c r="L355" s="17">
        <f>J355+ROUND(K355, 2)</f>
        <v>790</v>
      </c>
      <c r="M355" s="17">
        <f>ROUND(J355*I355, 2)</f>
        <v>0</v>
      </c>
      <c r="N355" s="17">
        <f>ROUND(I355*ROUND(K355, 2), 2)</f>
        <v>0</v>
      </c>
      <c r="O355" s="17">
        <f>M355+N355</f>
        <v>0</v>
      </c>
      <c r="P355" s="17">
        <f>IFERROR(ROUND(SUM(S356,S357)/I355, 2),0)</f>
        <v>0</v>
      </c>
      <c r="Q355" s="18">
        <v>718</v>
      </c>
      <c r="R355" s="17">
        <f>P355+ROUND(Q355, 2)</f>
        <v>718</v>
      </c>
      <c r="S355" s="17">
        <f>ROUND(P355*I355, 2)</f>
        <v>0</v>
      </c>
      <c r="T355" s="17">
        <f>ROUND(I355*ROUND(Q355, 2), 2)</f>
        <v>0</v>
      </c>
      <c r="U355" s="17">
        <f>S355+T355</f>
        <v>0</v>
      </c>
    </row>
    <row r="356" spans="1:21" ht="18" x14ac:dyDescent="0.35">
      <c r="A356" s="10" t="s">
        <v>1522</v>
      </c>
      <c r="B356" s="10"/>
      <c r="C356" s="24" t="s">
        <v>854</v>
      </c>
      <c r="D356" s="15"/>
      <c r="E356" s="15"/>
      <c r="F356" s="25" t="s">
        <v>81</v>
      </c>
      <c r="G356" s="26">
        <v>5</v>
      </c>
      <c r="H356" s="26"/>
      <c r="I356" s="26">
        <v>0</v>
      </c>
      <c r="J356" s="28">
        <v>23</v>
      </c>
      <c r="M356" s="29">
        <f>ROUND(ROUND(J356, 2)*I356, 2)</f>
        <v>0</v>
      </c>
      <c r="P356" s="28">
        <v>23</v>
      </c>
      <c r="S356" s="29">
        <f>ROUND(ROUND(P356, 2)*I356, 2)</f>
        <v>0</v>
      </c>
    </row>
    <row r="357" spans="1:21" ht="36" x14ac:dyDescent="0.35">
      <c r="A357" s="10" t="s">
        <v>1527</v>
      </c>
      <c r="B357" s="10"/>
      <c r="C357" s="24" t="s">
        <v>316</v>
      </c>
      <c r="D357" s="15"/>
      <c r="E357" s="15" t="s">
        <v>1528</v>
      </c>
      <c r="F357" s="25" t="s">
        <v>81</v>
      </c>
      <c r="G357" s="26">
        <v>0.15</v>
      </c>
      <c r="H357" s="26"/>
      <c r="I357" s="26">
        <v>0</v>
      </c>
      <c r="J357" s="28">
        <v>100</v>
      </c>
      <c r="M357" s="29">
        <f>ROUND(ROUND(J357, 2)*I357, 2)</f>
        <v>0</v>
      </c>
      <c r="P357" s="28">
        <v>100</v>
      </c>
      <c r="S357" s="29">
        <f>ROUND(ROUND(P357, 2)*I357, 2)</f>
        <v>0</v>
      </c>
    </row>
    <row r="358" spans="1:21" ht="36" x14ac:dyDescent="0.35">
      <c r="A358" s="10" t="s">
        <v>1533</v>
      </c>
      <c r="B358" s="10" t="s">
        <v>1516</v>
      </c>
      <c r="C358" s="14" t="s">
        <v>1517</v>
      </c>
      <c r="D358" s="15"/>
      <c r="E358" s="15" t="s">
        <v>1518</v>
      </c>
      <c r="F358" s="15" t="s">
        <v>56</v>
      </c>
      <c r="G358" s="16">
        <v>1</v>
      </c>
      <c r="H358" s="16"/>
      <c r="I358" s="16">
        <v>0</v>
      </c>
      <c r="J358" s="17">
        <f>IFERROR(ROUND(SUM(M359,M360)/I358, 2),0)</f>
        <v>0</v>
      </c>
      <c r="K358" s="18">
        <v>790</v>
      </c>
      <c r="L358" s="17">
        <f>J358+ROUND(K358, 2)</f>
        <v>790</v>
      </c>
      <c r="M358" s="17">
        <f>ROUND(J358*I358, 2)</f>
        <v>0</v>
      </c>
      <c r="N358" s="17">
        <f>ROUND(I358*ROUND(K358, 2), 2)</f>
        <v>0</v>
      </c>
      <c r="O358" s="17">
        <f>M358+N358</f>
        <v>0</v>
      </c>
      <c r="P358" s="17">
        <f>IFERROR(ROUND(SUM(S359,S360)/I358, 2),0)</f>
        <v>0</v>
      </c>
      <c r="Q358" s="18">
        <v>718</v>
      </c>
      <c r="R358" s="17">
        <f>P358+ROUND(Q358, 2)</f>
        <v>718</v>
      </c>
      <c r="S358" s="17">
        <f>ROUND(P358*I358, 2)</f>
        <v>0</v>
      </c>
      <c r="T358" s="17">
        <f>ROUND(I358*ROUND(Q358, 2), 2)</f>
        <v>0</v>
      </c>
      <c r="U358" s="17">
        <f>S358+T358</f>
        <v>0</v>
      </c>
    </row>
    <row r="359" spans="1:21" ht="36" x14ac:dyDescent="0.35">
      <c r="A359" s="10" t="s">
        <v>1535</v>
      </c>
      <c r="B359" s="10"/>
      <c r="C359" s="24" t="s">
        <v>493</v>
      </c>
      <c r="D359" s="15"/>
      <c r="E359" s="15"/>
      <c r="F359" s="25" t="s">
        <v>81</v>
      </c>
      <c r="G359" s="26">
        <v>0.15</v>
      </c>
      <c r="H359" s="26"/>
      <c r="I359" s="26">
        <v>0</v>
      </c>
      <c r="J359" s="28">
        <v>88.8</v>
      </c>
      <c r="M359" s="29">
        <f>ROUND(ROUND(J359, 2)*I359, 2)</f>
        <v>0</v>
      </c>
      <c r="P359" s="28">
        <v>88.8</v>
      </c>
      <c r="S359" s="29">
        <f>ROUND(ROUND(P359, 2)*I359, 2)</f>
        <v>0</v>
      </c>
    </row>
    <row r="360" spans="1:21" ht="36" x14ac:dyDescent="0.35">
      <c r="A360" s="10" t="s">
        <v>1540</v>
      </c>
      <c r="B360" s="10"/>
      <c r="C360" s="24" t="s">
        <v>875</v>
      </c>
      <c r="D360" s="15"/>
      <c r="E360" s="15"/>
      <c r="F360" s="25" t="s">
        <v>81</v>
      </c>
      <c r="G360" s="26">
        <v>2.5</v>
      </c>
      <c r="H360" s="26"/>
      <c r="I360" s="26">
        <v>0</v>
      </c>
      <c r="J360" s="28">
        <v>60</v>
      </c>
      <c r="M360" s="29">
        <f>ROUND(ROUND(J360, 2)*I360, 2)</f>
        <v>0</v>
      </c>
      <c r="P360" s="28">
        <v>12.58</v>
      </c>
      <c r="S360" s="29">
        <f>ROUND(ROUND(P360, 2)*I360, 2)</f>
        <v>0</v>
      </c>
    </row>
    <row r="361" spans="1:21" ht="36" x14ac:dyDescent="0.35">
      <c r="A361" s="10" t="s">
        <v>1545</v>
      </c>
      <c r="B361" s="10" t="s">
        <v>1516</v>
      </c>
      <c r="C361" s="14" t="s">
        <v>1517</v>
      </c>
      <c r="D361" s="15"/>
      <c r="E361" s="15" t="s">
        <v>1518</v>
      </c>
      <c r="F361" s="15" t="s">
        <v>56</v>
      </c>
      <c r="G361" s="16">
        <v>1</v>
      </c>
      <c r="H361" s="16"/>
      <c r="I361" s="16">
        <v>0</v>
      </c>
      <c r="J361" s="17">
        <f>IFERROR(ROUND(SUM(M362,M363)/I361, 2),0)</f>
        <v>0</v>
      </c>
      <c r="K361" s="18">
        <v>790</v>
      </c>
      <c r="L361" s="17">
        <f>J361+ROUND(K361, 2)</f>
        <v>790</v>
      </c>
      <c r="M361" s="17">
        <f>ROUND(J361*I361, 2)</f>
        <v>0</v>
      </c>
      <c r="N361" s="17">
        <f>ROUND(I361*ROUND(K361, 2), 2)</f>
        <v>0</v>
      </c>
      <c r="O361" s="17">
        <f>M361+N361</f>
        <v>0</v>
      </c>
      <c r="P361" s="17">
        <f>IFERROR(ROUND(SUM(S362,S363)/I361, 2),0)</f>
        <v>0</v>
      </c>
      <c r="Q361" s="18">
        <v>718</v>
      </c>
      <c r="R361" s="17">
        <f>P361+ROUND(Q361, 2)</f>
        <v>718</v>
      </c>
      <c r="S361" s="17">
        <f>ROUND(P361*I361, 2)</f>
        <v>0</v>
      </c>
      <c r="T361" s="17">
        <f>ROUND(I361*ROUND(Q361, 2), 2)</f>
        <v>0</v>
      </c>
      <c r="U361" s="17">
        <f>S361+T361</f>
        <v>0</v>
      </c>
    </row>
    <row r="362" spans="1:21" ht="36" x14ac:dyDescent="0.35">
      <c r="A362" s="10" t="s">
        <v>1547</v>
      </c>
      <c r="B362" s="10"/>
      <c r="C362" s="24" t="s">
        <v>493</v>
      </c>
      <c r="D362" s="15"/>
      <c r="E362" s="15"/>
      <c r="F362" s="25" t="s">
        <v>81</v>
      </c>
      <c r="G362" s="26">
        <v>0.15</v>
      </c>
      <c r="H362" s="26"/>
      <c r="I362" s="26">
        <v>0</v>
      </c>
      <c r="J362" s="28">
        <v>88.8</v>
      </c>
      <c r="M362" s="29">
        <f>ROUND(ROUND(J362, 2)*I362, 2)</f>
        <v>0</v>
      </c>
      <c r="P362" s="28">
        <v>88.8</v>
      </c>
      <c r="S362" s="29">
        <f>ROUND(ROUND(P362, 2)*I362, 2)</f>
        <v>0</v>
      </c>
    </row>
    <row r="363" spans="1:21" ht="36" x14ac:dyDescent="0.35">
      <c r="A363" s="10" t="s">
        <v>1552</v>
      </c>
      <c r="B363" s="10"/>
      <c r="C363" s="24" t="s">
        <v>887</v>
      </c>
      <c r="D363" s="15"/>
      <c r="E363" s="15"/>
      <c r="F363" s="25" t="s">
        <v>81</v>
      </c>
      <c r="G363" s="26">
        <v>1.5</v>
      </c>
      <c r="H363" s="26"/>
      <c r="I363" s="26">
        <v>0</v>
      </c>
      <c r="J363" s="28">
        <v>23</v>
      </c>
      <c r="M363" s="29">
        <f>ROUND(ROUND(J363, 2)*I363, 2)</f>
        <v>0</v>
      </c>
      <c r="P363" s="28">
        <v>12.58</v>
      </c>
      <c r="S363" s="29">
        <f>ROUND(ROUND(P363, 2)*I363, 2)</f>
        <v>0</v>
      </c>
    </row>
    <row r="364" spans="1:21" ht="36" x14ac:dyDescent="0.35">
      <c r="A364" s="10" t="s">
        <v>1557</v>
      </c>
      <c r="B364" s="10" t="s">
        <v>1516</v>
      </c>
      <c r="C364" s="14" t="s">
        <v>1517</v>
      </c>
      <c r="D364" s="15"/>
      <c r="E364" s="15" t="s">
        <v>1558</v>
      </c>
      <c r="F364" s="15" t="s">
        <v>56</v>
      </c>
      <c r="G364" s="16">
        <v>1</v>
      </c>
      <c r="H364" s="16"/>
      <c r="I364" s="16">
        <v>0</v>
      </c>
      <c r="J364" s="17">
        <f>IFERROR(ROUND(SUM(M365,M366)/I364, 2),0)</f>
        <v>0</v>
      </c>
      <c r="K364" s="18">
        <v>790</v>
      </c>
      <c r="L364" s="17">
        <f>J364+ROUND(K364, 2)</f>
        <v>790</v>
      </c>
      <c r="M364" s="17">
        <f>ROUND(J364*I364, 2)</f>
        <v>0</v>
      </c>
      <c r="N364" s="17">
        <f>ROUND(I364*ROUND(K364, 2), 2)</f>
        <v>0</v>
      </c>
      <c r="O364" s="17">
        <f>M364+N364</f>
        <v>0</v>
      </c>
      <c r="P364" s="17">
        <f>IFERROR(ROUND(SUM(S365,S366)/I364, 2),0)</f>
        <v>0</v>
      </c>
      <c r="Q364" s="18">
        <v>718</v>
      </c>
      <c r="R364" s="17">
        <f>P364+ROUND(Q364, 2)</f>
        <v>718</v>
      </c>
      <c r="S364" s="17">
        <f>ROUND(P364*I364, 2)</f>
        <v>0</v>
      </c>
      <c r="T364" s="17">
        <f>ROUND(I364*ROUND(Q364, 2), 2)</f>
        <v>0</v>
      </c>
      <c r="U364" s="17">
        <f>S364+T364</f>
        <v>0</v>
      </c>
    </row>
    <row r="365" spans="1:21" ht="18" x14ac:dyDescent="0.35">
      <c r="A365" s="10" t="s">
        <v>1560</v>
      </c>
      <c r="B365" s="10"/>
      <c r="C365" s="24" t="s">
        <v>316</v>
      </c>
      <c r="D365" s="15"/>
      <c r="E365" s="15"/>
      <c r="F365" s="25" t="s">
        <v>81</v>
      </c>
      <c r="G365" s="26">
        <v>0.15</v>
      </c>
      <c r="H365" s="26"/>
      <c r="I365" s="26">
        <v>0</v>
      </c>
      <c r="J365" s="28">
        <v>100</v>
      </c>
      <c r="M365" s="29">
        <f>ROUND(ROUND(J365, 2)*I365, 2)</f>
        <v>0</v>
      </c>
      <c r="P365" s="28">
        <v>100</v>
      </c>
      <c r="S365" s="29">
        <f>ROUND(ROUND(P365, 2)*I365, 2)</f>
        <v>0</v>
      </c>
    </row>
    <row r="366" spans="1:21" ht="36" x14ac:dyDescent="0.35">
      <c r="A366" s="10" t="s">
        <v>1565</v>
      </c>
      <c r="B366" s="10"/>
      <c r="C366" s="37" t="s">
        <v>914</v>
      </c>
      <c r="D366" s="15"/>
      <c r="E366" s="15"/>
      <c r="F366" s="25" t="s">
        <v>81</v>
      </c>
      <c r="G366" s="26">
        <v>4.5</v>
      </c>
      <c r="H366" s="26"/>
      <c r="I366" s="26">
        <v>0</v>
      </c>
      <c r="J366" s="28">
        <v>12.58</v>
      </c>
      <c r="M366" s="29">
        <f>ROUND(ROUND(J366, 2)*I366, 2)</f>
        <v>0</v>
      </c>
      <c r="P366" s="28">
        <v>12.58</v>
      </c>
      <c r="S366" s="29">
        <f>ROUND(ROUND(P366, 2)*I366, 2)</f>
        <v>0</v>
      </c>
    </row>
    <row r="367" spans="1:21" ht="36" x14ac:dyDescent="0.35">
      <c r="A367" s="10" t="s">
        <v>1570</v>
      </c>
      <c r="B367" s="10" t="s">
        <v>1516</v>
      </c>
      <c r="C367" s="14" t="s">
        <v>1517</v>
      </c>
      <c r="D367" s="15"/>
      <c r="E367" s="15" t="s">
        <v>829</v>
      </c>
      <c r="F367" s="15" t="s">
        <v>56</v>
      </c>
      <c r="G367" s="16">
        <v>1</v>
      </c>
      <c r="H367" s="16"/>
      <c r="I367" s="16">
        <v>0</v>
      </c>
      <c r="J367" s="17">
        <f>IFERROR(ROUND(SUM(M368,M369)/I367, 2),0)</f>
        <v>0</v>
      </c>
      <c r="K367" s="18">
        <v>790</v>
      </c>
      <c r="L367" s="17">
        <f>J367+ROUND(K367, 2)</f>
        <v>790</v>
      </c>
      <c r="M367" s="17">
        <f>ROUND(J367*I367, 2)</f>
        <v>0</v>
      </c>
      <c r="N367" s="17">
        <f>ROUND(I367*ROUND(K367, 2), 2)</f>
        <v>0</v>
      </c>
      <c r="O367" s="17">
        <f>M367+N367</f>
        <v>0</v>
      </c>
      <c r="P367" s="17">
        <f>IFERROR(ROUND(SUM(S368,S369)/I367, 2),0)</f>
        <v>0</v>
      </c>
      <c r="Q367" s="18">
        <v>718</v>
      </c>
      <c r="R367" s="17">
        <f>P367+ROUND(Q367, 2)</f>
        <v>718</v>
      </c>
      <c r="S367" s="17">
        <f>ROUND(P367*I367, 2)</f>
        <v>0</v>
      </c>
      <c r="T367" s="17">
        <f>ROUND(I367*ROUND(Q367, 2), 2)</f>
        <v>0</v>
      </c>
      <c r="U367" s="17">
        <f>S367+T367</f>
        <v>0</v>
      </c>
    </row>
    <row r="368" spans="1:21" ht="18" x14ac:dyDescent="0.35">
      <c r="A368" s="10" t="s">
        <v>1572</v>
      </c>
      <c r="B368" s="10"/>
      <c r="C368" s="24" t="s">
        <v>316</v>
      </c>
      <c r="D368" s="15"/>
      <c r="E368" s="15"/>
      <c r="F368" s="25" t="s">
        <v>81</v>
      </c>
      <c r="G368" s="26">
        <v>0.15</v>
      </c>
      <c r="H368" s="26"/>
      <c r="I368" s="26">
        <v>0</v>
      </c>
      <c r="J368" s="28">
        <v>100</v>
      </c>
      <c r="M368" s="29">
        <f>ROUND(ROUND(J368, 2)*I368, 2)</f>
        <v>0</v>
      </c>
      <c r="P368" s="28">
        <v>100</v>
      </c>
      <c r="S368" s="29">
        <f>ROUND(ROUND(P368, 2)*I368, 2)</f>
        <v>0</v>
      </c>
    </row>
    <row r="369" spans="1:21" ht="18" x14ac:dyDescent="0.35">
      <c r="A369" s="10" t="s">
        <v>1577</v>
      </c>
      <c r="B369" s="10"/>
      <c r="C369" s="24" t="s">
        <v>854</v>
      </c>
      <c r="D369" s="15"/>
      <c r="E369" s="15" t="s">
        <v>370</v>
      </c>
      <c r="F369" s="25" t="s">
        <v>81</v>
      </c>
      <c r="G369" s="26">
        <v>5</v>
      </c>
      <c r="H369" s="26"/>
      <c r="I369" s="26">
        <v>0</v>
      </c>
      <c r="J369" s="28">
        <v>23</v>
      </c>
      <c r="M369" s="29">
        <f>ROUND(ROUND(J369, 2)*I369, 2)</f>
        <v>0</v>
      </c>
      <c r="P369" s="28">
        <v>23</v>
      </c>
      <c r="S369" s="29">
        <f>ROUND(ROUND(P369, 2)*I369, 2)</f>
        <v>0</v>
      </c>
    </row>
    <row r="370" spans="1:21" ht="36" x14ac:dyDescent="0.35">
      <c r="A370" s="10" t="s">
        <v>1582</v>
      </c>
      <c r="B370" s="10" t="s">
        <v>1516</v>
      </c>
      <c r="C370" s="14" t="s">
        <v>1517</v>
      </c>
      <c r="D370" s="15"/>
      <c r="E370" s="15" t="s">
        <v>829</v>
      </c>
      <c r="F370" s="15" t="s">
        <v>56</v>
      </c>
      <c r="G370" s="16">
        <v>1</v>
      </c>
      <c r="H370" s="16"/>
      <c r="I370" s="16">
        <v>0</v>
      </c>
      <c r="J370" s="17">
        <f>IFERROR(ROUND(SUM(M371,M372)/I370, 2),0)</f>
        <v>0</v>
      </c>
      <c r="K370" s="18">
        <v>790</v>
      </c>
      <c r="L370" s="17">
        <f>J370+ROUND(K370, 2)</f>
        <v>790</v>
      </c>
      <c r="M370" s="17">
        <f>ROUND(J370*I370, 2)</f>
        <v>0</v>
      </c>
      <c r="N370" s="17">
        <f>ROUND(I370*ROUND(K370, 2), 2)</f>
        <v>0</v>
      </c>
      <c r="O370" s="17">
        <f>M370+N370</f>
        <v>0</v>
      </c>
      <c r="P370" s="17">
        <f>IFERROR(ROUND(SUM(S371,S372)/I370, 2),0)</f>
        <v>0</v>
      </c>
      <c r="Q370" s="18">
        <v>718</v>
      </c>
      <c r="R370" s="17">
        <f>P370+ROUND(Q370, 2)</f>
        <v>718</v>
      </c>
      <c r="S370" s="17">
        <f>ROUND(P370*I370, 2)</f>
        <v>0</v>
      </c>
      <c r="T370" s="17">
        <f>ROUND(I370*ROUND(Q370, 2), 2)</f>
        <v>0</v>
      </c>
      <c r="U370" s="17">
        <f>S370+T370</f>
        <v>0</v>
      </c>
    </row>
    <row r="371" spans="1:21" ht="36" x14ac:dyDescent="0.35">
      <c r="A371" s="10" t="s">
        <v>1584</v>
      </c>
      <c r="B371" s="10"/>
      <c r="C371" s="24" t="s">
        <v>493</v>
      </c>
      <c r="D371" s="15"/>
      <c r="E371" s="15"/>
      <c r="F371" s="25" t="s">
        <v>81</v>
      </c>
      <c r="G371" s="26">
        <v>0.15</v>
      </c>
      <c r="H371" s="26"/>
      <c r="I371" s="26">
        <v>0</v>
      </c>
      <c r="J371" s="28">
        <v>88.8</v>
      </c>
      <c r="M371" s="29">
        <f>ROUND(ROUND(J371, 2)*I371, 2)</f>
        <v>0</v>
      </c>
      <c r="P371" s="28">
        <v>88.8</v>
      </c>
      <c r="S371" s="29">
        <f>ROUND(ROUND(P371, 2)*I371, 2)</f>
        <v>0</v>
      </c>
    </row>
    <row r="372" spans="1:21" ht="36" x14ac:dyDescent="0.35">
      <c r="A372" s="10" t="s">
        <v>1589</v>
      </c>
      <c r="B372" s="10"/>
      <c r="C372" s="24" t="s">
        <v>875</v>
      </c>
      <c r="D372" s="15"/>
      <c r="E372" s="15"/>
      <c r="F372" s="25" t="s">
        <v>81</v>
      </c>
      <c r="G372" s="26">
        <v>2.5</v>
      </c>
      <c r="H372" s="26"/>
      <c r="I372" s="26">
        <v>0</v>
      </c>
      <c r="J372" s="28">
        <v>60</v>
      </c>
      <c r="M372" s="29">
        <f>ROUND(ROUND(J372, 2)*I372, 2)</f>
        <v>0</v>
      </c>
      <c r="P372" s="28">
        <v>12.58</v>
      </c>
      <c r="S372" s="29">
        <f>ROUND(ROUND(P372, 2)*I372, 2)</f>
        <v>0</v>
      </c>
    </row>
    <row r="373" spans="1:21" ht="36" x14ac:dyDescent="0.35">
      <c r="A373" s="10" t="s">
        <v>1594</v>
      </c>
      <c r="B373" s="10" t="s">
        <v>1516</v>
      </c>
      <c r="C373" s="14" t="s">
        <v>1517</v>
      </c>
      <c r="D373" s="15"/>
      <c r="E373" s="15" t="s">
        <v>829</v>
      </c>
      <c r="F373" s="15" t="s">
        <v>56</v>
      </c>
      <c r="G373" s="16">
        <v>1</v>
      </c>
      <c r="H373" s="16"/>
      <c r="I373" s="16">
        <v>0</v>
      </c>
      <c r="J373" s="17">
        <f>IFERROR(ROUND(SUM(M374,M375)/I373, 2),0)</f>
        <v>0</v>
      </c>
      <c r="K373" s="18">
        <v>790</v>
      </c>
      <c r="L373" s="17">
        <f>J373+ROUND(K373, 2)</f>
        <v>790</v>
      </c>
      <c r="M373" s="17">
        <f>ROUND(J373*I373, 2)</f>
        <v>0</v>
      </c>
      <c r="N373" s="17">
        <f>ROUND(I373*ROUND(K373, 2), 2)</f>
        <v>0</v>
      </c>
      <c r="O373" s="17">
        <f>M373+N373</f>
        <v>0</v>
      </c>
      <c r="P373" s="17">
        <f>IFERROR(ROUND(SUM(S374,S375)/I373, 2),0)</f>
        <v>0</v>
      </c>
      <c r="Q373" s="18">
        <v>718</v>
      </c>
      <c r="R373" s="17">
        <f>P373+ROUND(Q373, 2)</f>
        <v>718</v>
      </c>
      <c r="S373" s="17">
        <f>ROUND(P373*I373, 2)</f>
        <v>0</v>
      </c>
      <c r="T373" s="17">
        <f>ROUND(I373*ROUND(Q373, 2), 2)</f>
        <v>0</v>
      </c>
      <c r="U373" s="17">
        <f>S373+T373</f>
        <v>0</v>
      </c>
    </row>
    <row r="374" spans="1:21" ht="36" x14ac:dyDescent="0.35">
      <c r="A374" s="10" t="s">
        <v>1596</v>
      </c>
      <c r="B374" s="10"/>
      <c r="C374" s="24" t="s">
        <v>493</v>
      </c>
      <c r="D374" s="15"/>
      <c r="E374" s="15"/>
      <c r="F374" s="25" t="s">
        <v>81</v>
      </c>
      <c r="G374" s="26">
        <v>0.15</v>
      </c>
      <c r="H374" s="26"/>
      <c r="I374" s="26">
        <v>0</v>
      </c>
      <c r="J374" s="28">
        <v>88.8</v>
      </c>
      <c r="M374" s="29">
        <f>ROUND(ROUND(J374, 2)*I374, 2)</f>
        <v>0</v>
      </c>
      <c r="P374" s="28">
        <v>88.8</v>
      </c>
      <c r="S374" s="29">
        <f>ROUND(ROUND(P374, 2)*I374, 2)</f>
        <v>0</v>
      </c>
    </row>
    <row r="375" spans="1:21" ht="36" x14ac:dyDescent="0.35">
      <c r="A375" s="10" t="s">
        <v>1601</v>
      </c>
      <c r="B375" s="10"/>
      <c r="C375" s="24" t="s">
        <v>887</v>
      </c>
      <c r="D375" s="15"/>
      <c r="E375" s="15"/>
      <c r="F375" s="25" t="s">
        <v>81</v>
      </c>
      <c r="G375" s="26">
        <v>1.5</v>
      </c>
      <c r="H375" s="26"/>
      <c r="I375" s="26">
        <v>0</v>
      </c>
      <c r="J375" s="28">
        <v>23</v>
      </c>
      <c r="M375" s="29">
        <f>ROUND(ROUND(J375, 2)*I375, 2)</f>
        <v>0</v>
      </c>
      <c r="P375" s="28">
        <v>12.58</v>
      </c>
      <c r="S375" s="29">
        <f>ROUND(ROUND(P375, 2)*I375, 2)</f>
        <v>0</v>
      </c>
    </row>
    <row r="376" spans="1:21" ht="72" x14ac:dyDescent="0.35">
      <c r="A376" s="81" t="s">
        <v>1606</v>
      </c>
      <c r="B376" s="81" t="s">
        <v>1516</v>
      </c>
      <c r="C376" s="82" t="s">
        <v>1517</v>
      </c>
      <c r="D376" s="83"/>
      <c r="E376" s="83" t="s">
        <v>1607</v>
      </c>
      <c r="F376" s="83" t="s">
        <v>56</v>
      </c>
      <c r="G376" s="84">
        <v>1</v>
      </c>
      <c r="H376" s="84"/>
      <c r="I376" s="84">
        <v>860.08</v>
      </c>
      <c r="J376" s="17">
        <f>IFERROR(ROUND(SUM(M377,M378)/I376, 2),0)</f>
        <v>130</v>
      </c>
      <c r="K376" s="18">
        <v>790</v>
      </c>
      <c r="L376" s="17">
        <f>J376+ROUND(K376, 2)</f>
        <v>920</v>
      </c>
      <c r="M376" s="17">
        <f>ROUND(J376*I376, 2)</f>
        <v>111810.4</v>
      </c>
      <c r="N376" s="17">
        <f>ROUND(I376*ROUND(K376, 2), 2)</f>
        <v>679463.2</v>
      </c>
      <c r="O376" s="17">
        <f>M376+N376</f>
        <v>791273.6</v>
      </c>
      <c r="P376" s="17">
        <f>IFERROR(ROUND(SUM(S377,S378)/I376, 2),0)</f>
        <v>154.25</v>
      </c>
      <c r="Q376" s="19">
        <v>790</v>
      </c>
      <c r="R376" s="17">
        <f>P376+ROUND(Q376, 2)</f>
        <v>944.25</v>
      </c>
      <c r="S376" s="17">
        <f>ROUND(P376*I376, 2)</f>
        <v>132667.34</v>
      </c>
      <c r="T376" s="17">
        <f>ROUND(I376*ROUND(Q376, 2), 2)</f>
        <v>679463.2</v>
      </c>
      <c r="U376" s="17">
        <f>S376+T376</f>
        <v>812130.53999999992</v>
      </c>
    </row>
    <row r="377" spans="1:21" ht="18" x14ac:dyDescent="0.35">
      <c r="A377" s="10" t="s">
        <v>1608</v>
      </c>
      <c r="B377" s="10"/>
      <c r="C377" s="24" t="s">
        <v>316</v>
      </c>
      <c r="D377" s="15"/>
      <c r="E377" s="15"/>
      <c r="F377" s="25" t="s">
        <v>81</v>
      </c>
      <c r="G377" s="26">
        <v>0.15</v>
      </c>
      <c r="H377" s="26"/>
      <c r="I377" s="26">
        <v>129.012</v>
      </c>
      <c r="J377" s="28">
        <v>100</v>
      </c>
      <c r="M377" s="29">
        <f>ROUND(ROUND(J377, 2)*I377, 2)</f>
        <v>12901.2</v>
      </c>
      <c r="P377" s="30">
        <v>100</v>
      </c>
      <c r="S377" s="29">
        <f>ROUND(ROUND(P377, 2)*I377, 2)</f>
        <v>12901.2</v>
      </c>
    </row>
    <row r="378" spans="1:21" ht="18" x14ac:dyDescent="0.35">
      <c r="A378" s="10" t="s">
        <v>1611</v>
      </c>
      <c r="B378" s="10"/>
      <c r="C378" s="24" t="s">
        <v>854</v>
      </c>
      <c r="D378" s="15"/>
      <c r="E378" s="15"/>
      <c r="F378" s="25" t="s">
        <v>81</v>
      </c>
      <c r="G378" s="26">
        <v>5</v>
      </c>
      <c r="H378" s="26"/>
      <c r="I378" s="26">
        <v>4300.3999999999996</v>
      </c>
      <c r="J378" s="28">
        <v>23</v>
      </c>
      <c r="M378" s="29">
        <f>ROUND(ROUND(J378, 2)*I378, 2)</f>
        <v>98909.2</v>
      </c>
      <c r="P378" s="30">
        <v>27.85</v>
      </c>
      <c r="S378" s="29">
        <f>ROUND(ROUND(P378, 2)*I378, 2)</f>
        <v>119766.14</v>
      </c>
    </row>
    <row r="379" spans="1:21" ht="63" customHeight="1" x14ac:dyDescent="0.35">
      <c r="A379" s="81" t="s">
        <v>1614</v>
      </c>
      <c r="B379" s="81" t="s">
        <v>1615</v>
      </c>
      <c r="C379" s="82" t="s">
        <v>1616</v>
      </c>
      <c r="D379" s="83"/>
      <c r="E379" s="83" t="s">
        <v>1072</v>
      </c>
      <c r="F379" s="83" t="s">
        <v>56</v>
      </c>
      <c r="G379" s="84">
        <v>1</v>
      </c>
      <c r="H379" s="84"/>
      <c r="I379" s="84">
        <v>860.08</v>
      </c>
      <c r="J379" s="17">
        <f>IFERROR(ROUND(SUM(M380,M381)/I379, 2),0)</f>
        <v>35.03</v>
      </c>
      <c r="K379" s="18">
        <v>546</v>
      </c>
      <c r="L379" s="17">
        <f>J379+ROUND(K379, 2)</f>
        <v>581.03</v>
      </c>
      <c r="M379" s="17">
        <f>ROUND(J379*I379, 2)</f>
        <v>30128.6</v>
      </c>
      <c r="N379" s="17">
        <f>ROUND(I379*ROUND(K379, 2), 2)</f>
        <v>469603.68</v>
      </c>
      <c r="O379" s="17">
        <f>M379+N379</f>
        <v>499732.27999999997</v>
      </c>
      <c r="P379" s="17">
        <f>IFERROR(ROUND(SUM(S380,S381)/I379, 2),0)</f>
        <v>71.48</v>
      </c>
      <c r="Q379" s="19">
        <v>546</v>
      </c>
      <c r="R379" s="17">
        <f>P379+ROUND(Q379, 2)</f>
        <v>617.48</v>
      </c>
      <c r="S379" s="17">
        <f>ROUND(P379*I379, 2)</f>
        <v>61478.52</v>
      </c>
      <c r="T379" s="17">
        <f>ROUND(I379*ROUND(Q379, 2), 2)</f>
        <v>469603.68</v>
      </c>
      <c r="U379" s="17">
        <f>S379+T379</f>
        <v>531082.19999999995</v>
      </c>
    </row>
    <row r="380" spans="1:21" ht="54" x14ac:dyDescent="0.35">
      <c r="A380" s="10" t="s">
        <v>1619</v>
      </c>
      <c r="B380" s="10"/>
      <c r="C380" s="37" t="s">
        <v>1620</v>
      </c>
      <c r="D380" s="15"/>
      <c r="E380" s="15" t="s">
        <v>1049</v>
      </c>
      <c r="F380" s="25" t="s">
        <v>81</v>
      </c>
      <c r="G380" s="26">
        <v>1.8</v>
      </c>
      <c r="H380" s="26"/>
      <c r="I380" s="26">
        <v>1548.144</v>
      </c>
      <c r="J380" s="28">
        <v>12.06</v>
      </c>
      <c r="M380" s="29">
        <f>ROUND(ROUND(J380, 2)*I380, 2)</f>
        <v>18670.62</v>
      </c>
      <c r="P380" s="30">
        <v>32.31</v>
      </c>
      <c r="S380" s="29">
        <f>ROUND(ROUND(P380, 2)*I380, 2)</f>
        <v>50020.53</v>
      </c>
    </row>
    <row r="381" spans="1:21" ht="36" x14ac:dyDescent="0.35">
      <c r="A381" s="10" t="s">
        <v>1624</v>
      </c>
      <c r="B381" s="10"/>
      <c r="C381" s="24" t="s">
        <v>258</v>
      </c>
      <c r="D381" s="15"/>
      <c r="E381" s="15"/>
      <c r="F381" s="25" t="s">
        <v>81</v>
      </c>
      <c r="G381" s="26">
        <v>0.15</v>
      </c>
      <c r="H381" s="26"/>
      <c r="I381" s="26">
        <v>129.012</v>
      </c>
      <c r="J381" s="28">
        <v>88.8</v>
      </c>
      <c r="M381" s="29">
        <f>ROUND(ROUND(J381, 2)*I381, 2)</f>
        <v>11456.27</v>
      </c>
      <c r="P381" s="30">
        <v>88.8</v>
      </c>
      <c r="S381" s="29">
        <f>ROUND(ROUND(P381, 2)*I381, 2)</f>
        <v>11456.27</v>
      </c>
    </row>
    <row r="382" spans="1:21" ht="36" x14ac:dyDescent="0.35">
      <c r="A382" s="10" t="s">
        <v>1627</v>
      </c>
      <c r="B382" s="10" t="s">
        <v>1615</v>
      </c>
      <c r="C382" s="14" t="s">
        <v>1616</v>
      </c>
      <c r="D382" s="15"/>
      <c r="E382" s="15" t="s">
        <v>1628</v>
      </c>
      <c r="F382" s="15" t="s">
        <v>56</v>
      </c>
      <c r="G382" s="16">
        <v>1</v>
      </c>
      <c r="H382" s="16"/>
      <c r="I382" s="16">
        <v>860.08</v>
      </c>
      <c r="J382" s="17">
        <f>IFERROR(ROUND(SUM(M383,M384)/I382, 2),0)</f>
        <v>35.03</v>
      </c>
      <c r="K382" s="18">
        <v>546</v>
      </c>
      <c r="L382" s="17">
        <f>J382+ROUND(K382, 2)</f>
        <v>581.03</v>
      </c>
      <c r="M382" s="17">
        <f>ROUND(J382*I382, 2)</f>
        <v>30128.6</v>
      </c>
      <c r="N382" s="17">
        <f>ROUND(I382*ROUND(K382, 2), 2)</f>
        <v>469603.68</v>
      </c>
      <c r="O382" s="17">
        <f>M382+N382</f>
        <v>499732.27999999997</v>
      </c>
      <c r="P382" s="17">
        <f>IFERROR(ROUND(SUM(S383,S384)/I382, 2),0)</f>
        <v>71.48</v>
      </c>
      <c r="Q382" s="19">
        <v>546</v>
      </c>
      <c r="R382" s="17">
        <f>P382+ROUND(Q382, 2)</f>
        <v>617.48</v>
      </c>
      <c r="S382" s="17">
        <f>ROUND(P382*I382, 2)</f>
        <v>61478.52</v>
      </c>
      <c r="T382" s="17">
        <f>ROUND(I382*ROUND(Q382, 2), 2)</f>
        <v>469603.68</v>
      </c>
      <c r="U382" s="17">
        <f>S382+T382</f>
        <v>531082.19999999995</v>
      </c>
    </row>
    <row r="383" spans="1:21" ht="36" x14ac:dyDescent="0.35">
      <c r="A383" s="10" t="s">
        <v>1629</v>
      </c>
      <c r="B383" s="10"/>
      <c r="C383" s="24" t="s">
        <v>258</v>
      </c>
      <c r="D383" s="15"/>
      <c r="E383" s="15"/>
      <c r="F383" s="25" t="s">
        <v>81</v>
      </c>
      <c r="G383" s="26">
        <v>0.15</v>
      </c>
      <c r="H383" s="26"/>
      <c r="I383" s="26">
        <v>129.012</v>
      </c>
      <c r="J383" s="28">
        <v>88.8</v>
      </c>
      <c r="M383" s="29">
        <f>ROUND(ROUND(J383, 2)*I383, 2)</f>
        <v>11456.27</v>
      </c>
      <c r="P383" s="30">
        <v>88.8</v>
      </c>
      <c r="S383" s="29">
        <f>ROUND(ROUND(P383, 2)*I383, 2)</f>
        <v>11456.27</v>
      </c>
    </row>
    <row r="384" spans="1:21" ht="54" x14ac:dyDescent="0.35">
      <c r="A384" s="10" t="s">
        <v>1632</v>
      </c>
      <c r="B384" s="10"/>
      <c r="C384" s="37" t="s">
        <v>1620</v>
      </c>
      <c r="D384" s="15"/>
      <c r="E384" s="15" t="s">
        <v>1049</v>
      </c>
      <c r="F384" s="25" t="s">
        <v>81</v>
      </c>
      <c r="G384" s="26">
        <v>1.8</v>
      </c>
      <c r="H384" s="26"/>
      <c r="I384" s="26">
        <v>1548.144</v>
      </c>
      <c r="J384" s="28">
        <v>12.06</v>
      </c>
      <c r="M384" s="29">
        <f>ROUND(ROUND(J384, 2)*I384, 2)</f>
        <v>18670.62</v>
      </c>
      <c r="P384" s="30">
        <v>32.31</v>
      </c>
      <c r="S384" s="29">
        <f>ROUND(ROUND(P384, 2)*I384, 2)</f>
        <v>50020.53</v>
      </c>
    </row>
    <row r="385" spans="1:21" ht="17" customHeight="1" x14ac:dyDescent="0.35">
      <c r="A385" s="10" t="s">
        <v>1635</v>
      </c>
      <c r="B385" s="10" t="s">
        <v>1636</v>
      </c>
      <c r="C385" s="100" t="s">
        <v>1637</v>
      </c>
      <c r="D385" s="101"/>
      <c r="E385" s="101"/>
      <c r="F385" s="101"/>
      <c r="G385" s="101"/>
      <c r="H385" s="101"/>
      <c r="I385" s="102"/>
      <c r="M385" s="6">
        <f>SUM(M386,M389,M392,M395)</f>
        <v>18444.07</v>
      </c>
      <c r="N385" s="6">
        <f>SUM(N386,N389,N392,N395)</f>
        <v>642496.16</v>
      </c>
      <c r="O385" s="6">
        <f>SUM(O386,O389,O392,O395)</f>
        <v>660940.23</v>
      </c>
      <c r="S385" s="6">
        <f>SUM(S386,S389,S392,S395)</f>
        <v>170759.97</v>
      </c>
      <c r="T385" s="6">
        <f>SUM(T386,T389,T392,T395)</f>
        <v>642496.16</v>
      </c>
      <c r="U385" s="6">
        <f>SUM(U386,U389,U392,U395)</f>
        <v>813256.13</v>
      </c>
    </row>
    <row r="386" spans="1:21" ht="54" x14ac:dyDescent="0.35">
      <c r="A386" s="10" t="s">
        <v>1638</v>
      </c>
      <c r="B386" s="10" t="s">
        <v>1639</v>
      </c>
      <c r="C386" s="14" t="s">
        <v>1640</v>
      </c>
      <c r="D386" s="15"/>
      <c r="E386" s="15" t="s">
        <v>1641</v>
      </c>
      <c r="F386" s="15" t="s">
        <v>56</v>
      </c>
      <c r="G386" s="16">
        <v>1</v>
      </c>
      <c r="H386" s="16"/>
      <c r="I386" s="16">
        <v>0</v>
      </c>
      <c r="J386" s="17">
        <f>IFERROR(ROUND(SUM(M387,M388)/I386, 2),0)</f>
        <v>0</v>
      </c>
      <c r="K386" s="18">
        <v>306</v>
      </c>
      <c r="L386" s="17">
        <f>J386+ROUND(K386, 2)</f>
        <v>306</v>
      </c>
      <c r="M386" s="17">
        <f>ROUND(J386*I386, 2)</f>
        <v>0</v>
      </c>
      <c r="N386" s="17">
        <f>ROUND(I386*ROUND(K386, 2), 2)</f>
        <v>0</v>
      </c>
      <c r="O386" s="17">
        <f>M386+N386</f>
        <v>0</v>
      </c>
      <c r="P386" s="17">
        <f>IFERROR(ROUND(SUM(S387,S388)/I386, 2),0)</f>
        <v>0</v>
      </c>
      <c r="Q386" s="18">
        <v>278</v>
      </c>
      <c r="R386" s="17">
        <f>P386+ROUND(Q386, 2)</f>
        <v>278</v>
      </c>
      <c r="S386" s="17">
        <f>ROUND(P386*I386, 2)</f>
        <v>0</v>
      </c>
      <c r="T386" s="17">
        <f>ROUND(I386*ROUND(Q386, 2), 2)</f>
        <v>0</v>
      </c>
      <c r="U386" s="17">
        <f>S386+T386</f>
        <v>0</v>
      </c>
    </row>
    <row r="387" spans="1:21" ht="108" x14ac:dyDescent="0.35">
      <c r="A387" s="10" t="s">
        <v>1645</v>
      </c>
      <c r="B387" s="10"/>
      <c r="C387" s="24" t="s">
        <v>1646</v>
      </c>
      <c r="D387" s="15"/>
      <c r="E387" s="15" t="s">
        <v>1647</v>
      </c>
      <c r="F387" s="25" t="s">
        <v>81</v>
      </c>
      <c r="G387" s="26">
        <v>0.3</v>
      </c>
      <c r="H387" s="27"/>
      <c r="I387" s="27">
        <v>0</v>
      </c>
      <c r="J387" s="28">
        <v>226.67</v>
      </c>
      <c r="M387" s="29">
        <f>ROUND(ROUND(J387, 2)*I387, 2)</f>
        <v>0</v>
      </c>
      <c r="P387" s="28">
        <v>135.36000000000001</v>
      </c>
      <c r="S387" s="29">
        <f>ROUND(ROUND(P387, 2)*I387, 2)</f>
        <v>0</v>
      </c>
    </row>
    <row r="388" spans="1:21" ht="36" x14ac:dyDescent="0.35">
      <c r="A388" s="10" t="s">
        <v>1653</v>
      </c>
      <c r="B388" s="10"/>
      <c r="C388" s="24" t="s">
        <v>493</v>
      </c>
      <c r="D388" s="15"/>
      <c r="E388" s="15"/>
      <c r="F388" s="25" t="s">
        <v>81</v>
      </c>
      <c r="G388" s="26">
        <v>0.15</v>
      </c>
      <c r="H388" s="27"/>
      <c r="I388" s="27">
        <v>0</v>
      </c>
      <c r="J388" s="28">
        <v>88.8</v>
      </c>
      <c r="M388" s="29">
        <f>ROUND(ROUND(J388, 2)*I388, 2)</f>
        <v>0</v>
      </c>
      <c r="P388" s="28">
        <v>88.8</v>
      </c>
      <c r="S388" s="29">
        <f>ROUND(ROUND(P388, 2)*I388, 2)</f>
        <v>0</v>
      </c>
    </row>
    <row r="389" spans="1:21" ht="54" x14ac:dyDescent="0.35">
      <c r="A389" s="10" t="s">
        <v>1658</v>
      </c>
      <c r="B389" s="10" t="s">
        <v>1639</v>
      </c>
      <c r="C389" s="14" t="s">
        <v>1640</v>
      </c>
      <c r="D389" s="15"/>
      <c r="E389" s="15" t="s">
        <v>526</v>
      </c>
      <c r="F389" s="15" t="s">
        <v>56</v>
      </c>
      <c r="G389" s="16">
        <v>1</v>
      </c>
      <c r="H389" s="16"/>
      <c r="I389" s="16">
        <v>0</v>
      </c>
      <c r="J389" s="17">
        <f>IFERROR(ROUND(SUM(M390,M391)/I389, 2),0)</f>
        <v>0</v>
      </c>
      <c r="K389" s="18">
        <v>306</v>
      </c>
      <c r="L389" s="17">
        <f>J389+ROUND(K389, 2)</f>
        <v>306</v>
      </c>
      <c r="M389" s="17">
        <f>ROUND(J389*I389, 2)</f>
        <v>0</v>
      </c>
      <c r="N389" s="17">
        <f>ROUND(I389*ROUND(K389, 2), 2)</f>
        <v>0</v>
      </c>
      <c r="O389" s="17">
        <f>M389+N389</f>
        <v>0</v>
      </c>
      <c r="P389" s="17">
        <f>IFERROR(ROUND(SUM(S390,S391)/I389, 2),0)</f>
        <v>0</v>
      </c>
      <c r="Q389" s="18">
        <v>278</v>
      </c>
      <c r="R389" s="17">
        <f>P389+ROUND(Q389, 2)</f>
        <v>278</v>
      </c>
      <c r="S389" s="17">
        <f>ROUND(P389*I389, 2)</f>
        <v>0</v>
      </c>
      <c r="T389" s="17">
        <f>ROUND(I389*ROUND(Q389, 2), 2)</f>
        <v>0</v>
      </c>
      <c r="U389" s="17">
        <f>S389+T389</f>
        <v>0</v>
      </c>
    </row>
    <row r="390" spans="1:21" ht="36" x14ac:dyDescent="0.35">
      <c r="A390" s="10" t="s">
        <v>1660</v>
      </c>
      <c r="B390" s="10"/>
      <c r="C390" s="24" t="s">
        <v>493</v>
      </c>
      <c r="D390" s="15"/>
      <c r="E390" s="15"/>
      <c r="F390" s="25" t="s">
        <v>81</v>
      </c>
      <c r="G390" s="26">
        <v>0.15</v>
      </c>
      <c r="H390" s="27"/>
      <c r="I390" s="27">
        <v>0</v>
      </c>
      <c r="J390" s="28">
        <v>88.8</v>
      </c>
      <c r="M390" s="29">
        <f>ROUND(ROUND(J390, 2)*I390, 2)</f>
        <v>0</v>
      </c>
      <c r="P390" s="28">
        <v>88.8</v>
      </c>
      <c r="S390" s="29">
        <f>ROUND(ROUND(P390, 2)*I390, 2)</f>
        <v>0</v>
      </c>
    </row>
    <row r="391" spans="1:21" ht="90" x14ac:dyDescent="0.35">
      <c r="A391" s="10" t="s">
        <v>1665</v>
      </c>
      <c r="B391" s="10"/>
      <c r="C391" s="24" t="s">
        <v>1646</v>
      </c>
      <c r="D391" s="15"/>
      <c r="E391" s="15" t="s">
        <v>1666</v>
      </c>
      <c r="F391" s="25" t="s">
        <v>81</v>
      </c>
      <c r="G391" s="26">
        <v>0.3</v>
      </c>
      <c r="H391" s="27"/>
      <c r="I391" s="27">
        <v>0</v>
      </c>
      <c r="J391" s="28">
        <v>226.67</v>
      </c>
      <c r="M391" s="29">
        <f>ROUND(ROUND(J391, 2)*I391, 2)</f>
        <v>0</v>
      </c>
      <c r="P391" s="28">
        <v>135.36000000000001</v>
      </c>
      <c r="S391" s="29">
        <f>ROUND(ROUND(P391, 2)*I391, 2)</f>
        <v>0</v>
      </c>
    </row>
    <row r="392" spans="1:21" ht="36" x14ac:dyDescent="0.35">
      <c r="A392" s="81" t="s">
        <v>1671</v>
      </c>
      <c r="B392" s="81" t="s">
        <v>1672</v>
      </c>
      <c r="C392" s="82" t="s">
        <v>1307</v>
      </c>
      <c r="D392" s="83"/>
      <c r="E392" s="83" t="s">
        <v>1673</v>
      </c>
      <c r="F392" s="83" t="s">
        <v>56</v>
      </c>
      <c r="G392" s="84">
        <v>1</v>
      </c>
      <c r="H392" s="84"/>
      <c r="I392" s="84">
        <v>998.06</v>
      </c>
      <c r="J392" s="17">
        <f>IFERROR(ROUND(SUM(M393,M394)/I392, 2),0)</f>
        <v>13.32</v>
      </c>
      <c r="K392" s="18">
        <v>464</v>
      </c>
      <c r="L392" s="17">
        <f>J392+ROUND(K392, 2)</f>
        <v>477.32</v>
      </c>
      <c r="M392" s="17">
        <f>ROUND(J392*I392, 2)</f>
        <v>13294.16</v>
      </c>
      <c r="N392" s="17">
        <f>ROUND(I392*ROUND(K392, 2), 2)</f>
        <v>463099.84</v>
      </c>
      <c r="O392" s="17">
        <f>M392+N392</f>
        <v>476394</v>
      </c>
      <c r="P392" s="17">
        <f>IFERROR(ROUND(SUM(S393,S394)/I392, 2),0)</f>
        <v>123.32</v>
      </c>
      <c r="Q392" s="19">
        <v>464</v>
      </c>
      <c r="R392" s="17">
        <f>P392+ROUND(Q392, 2)</f>
        <v>587.31999999999994</v>
      </c>
      <c r="S392" s="17">
        <f>ROUND(P392*I392, 2)</f>
        <v>123080.76</v>
      </c>
      <c r="T392" s="17">
        <f>ROUND(I392*ROUND(Q392, 2), 2)</f>
        <v>463099.84</v>
      </c>
      <c r="U392" s="17">
        <f>S392+T392</f>
        <v>586180.6</v>
      </c>
    </row>
    <row r="393" spans="1:21" ht="126" x14ac:dyDescent="0.35">
      <c r="A393" s="10" t="s">
        <v>1675</v>
      </c>
      <c r="B393" s="10"/>
      <c r="C393" s="24" t="s">
        <v>1676</v>
      </c>
      <c r="D393" s="15"/>
      <c r="E393" s="15" t="s">
        <v>1677</v>
      </c>
      <c r="F393" s="25" t="s">
        <v>81</v>
      </c>
      <c r="G393" s="26">
        <v>0.3</v>
      </c>
      <c r="H393" s="26"/>
      <c r="I393" s="26">
        <v>299.41800000000001</v>
      </c>
      <c r="J393" s="28">
        <v>0</v>
      </c>
      <c r="M393" s="29">
        <f>ROUND(ROUND(J393, 2)*I393, 2)</f>
        <v>0</v>
      </c>
      <c r="P393" s="30">
        <v>366.67</v>
      </c>
      <c r="S393" s="29">
        <f>ROUND(ROUND(P393, 2)*I393, 2)</f>
        <v>109787.6</v>
      </c>
    </row>
    <row r="394" spans="1:21" ht="36" x14ac:dyDescent="0.35">
      <c r="A394" s="10" t="s">
        <v>1681</v>
      </c>
      <c r="B394" s="10"/>
      <c r="C394" s="24" t="s">
        <v>493</v>
      </c>
      <c r="D394" s="15"/>
      <c r="E394" s="15"/>
      <c r="F394" s="25" t="s">
        <v>81</v>
      </c>
      <c r="G394" s="26">
        <v>0.15</v>
      </c>
      <c r="H394" s="26"/>
      <c r="I394" s="26">
        <v>149.709</v>
      </c>
      <c r="J394" s="28">
        <v>88.8</v>
      </c>
      <c r="M394" s="29">
        <f>ROUND(ROUND(J394, 2)*I394, 2)</f>
        <v>13294.16</v>
      </c>
      <c r="P394" s="30">
        <v>88.8</v>
      </c>
      <c r="S394" s="29">
        <f>ROUND(ROUND(P394, 2)*I394, 2)</f>
        <v>13294.16</v>
      </c>
    </row>
    <row r="395" spans="1:21" ht="108" x14ac:dyDescent="0.35">
      <c r="A395" s="10" t="s">
        <v>1684</v>
      </c>
      <c r="B395" s="10" t="s">
        <v>1672</v>
      </c>
      <c r="C395" s="14" t="s">
        <v>1307</v>
      </c>
      <c r="D395" s="15"/>
      <c r="E395" s="15" t="s">
        <v>1685</v>
      </c>
      <c r="F395" s="15" t="s">
        <v>56</v>
      </c>
      <c r="G395" s="16">
        <v>1</v>
      </c>
      <c r="H395" s="16"/>
      <c r="I395" s="16">
        <v>386.63</v>
      </c>
      <c r="J395" s="17">
        <f>IFERROR(ROUND(SUM(M396,M397)/I395, 2),0)</f>
        <v>13.32</v>
      </c>
      <c r="K395" s="18">
        <v>464</v>
      </c>
      <c r="L395" s="17">
        <f>J395+ROUND(K395, 2)</f>
        <v>477.32</v>
      </c>
      <c r="M395" s="17">
        <f>ROUND(J395*I395, 2)</f>
        <v>5149.91</v>
      </c>
      <c r="N395" s="17">
        <f>ROUND(I395*ROUND(K395, 2), 2)</f>
        <v>179396.32</v>
      </c>
      <c r="O395" s="17">
        <f>M395+N395</f>
        <v>184546.23</v>
      </c>
      <c r="P395" s="17">
        <f>IFERROR(ROUND(SUM(S396,S397)/I395, 2),0)</f>
        <v>123.32</v>
      </c>
      <c r="Q395" s="19">
        <v>464</v>
      </c>
      <c r="R395" s="17">
        <f>P395+ROUND(Q395, 2)</f>
        <v>587.31999999999994</v>
      </c>
      <c r="S395" s="17">
        <f>ROUND(P395*I395, 2)</f>
        <v>47679.21</v>
      </c>
      <c r="T395" s="17">
        <f>ROUND(I395*ROUND(Q395, 2), 2)</f>
        <v>179396.32</v>
      </c>
      <c r="U395" s="17">
        <f>S395+T395</f>
        <v>227075.53</v>
      </c>
    </row>
    <row r="396" spans="1:21" ht="36" x14ac:dyDescent="0.35">
      <c r="A396" s="10" t="s">
        <v>1686</v>
      </c>
      <c r="B396" s="10"/>
      <c r="C396" s="24" t="s">
        <v>493</v>
      </c>
      <c r="D396" s="15"/>
      <c r="E396" s="15"/>
      <c r="F396" s="25" t="s">
        <v>81</v>
      </c>
      <c r="G396" s="26">
        <v>0.15</v>
      </c>
      <c r="H396" s="26"/>
      <c r="I396" s="26">
        <v>57.994999999999997</v>
      </c>
      <c r="J396" s="28">
        <v>88.8</v>
      </c>
      <c r="M396" s="29">
        <f>ROUND(ROUND(J396, 2)*I396, 2)</f>
        <v>5149.96</v>
      </c>
      <c r="P396" s="30">
        <v>88.8</v>
      </c>
      <c r="S396" s="29">
        <f>ROUND(ROUND(P396, 2)*I396, 2)</f>
        <v>5149.96</v>
      </c>
    </row>
    <row r="397" spans="1:21" ht="36" x14ac:dyDescent="0.35">
      <c r="A397" s="10" t="s">
        <v>1689</v>
      </c>
      <c r="B397" s="10"/>
      <c r="C397" s="24" t="s">
        <v>1690</v>
      </c>
      <c r="D397" s="15"/>
      <c r="E397" s="15" t="s">
        <v>1691</v>
      </c>
      <c r="F397" s="25" t="s">
        <v>81</v>
      </c>
      <c r="G397" s="26">
        <v>0.3</v>
      </c>
      <c r="H397" s="26"/>
      <c r="I397" s="26">
        <v>115.989</v>
      </c>
      <c r="J397" s="28">
        <v>0</v>
      </c>
      <c r="M397" s="29">
        <f>ROUND(ROUND(J397, 2)*I397, 2)</f>
        <v>0</v>
      </c>
      <c r="P397" s="30">
        <v>366.67</v>
      </c>
      <c r="S397" s="29">
        <f>ROUND(ROUND(P397, 2)*I397, 2)</f>
        <v>42529.69</v>
      </c>
    </row>
    <row r="398" spans="1:21" ht="17" customHeight="1" x14ac:dyDescent="0.35">
      <c r="A398" s="10" t="s">
        <v>1695</v>
      </c>
      <c r="B398" s="10" t="s">
        <v>1696</v>
      </c>
      <c r="C398" s="100" t="s">
        <v>1697</v>
      </c>
      <c r="D398" s="101"/>
      <c r="E398" s="101"/>
      <c r="F398" s="101"/>
      <c r="G398" s="101"/>
      <c r="H398" s="101"/>
      <c r="I398" s="102"/>
      <c r="M398" s="6">
        <f>SUM(M399,M401,M402,M404)</f>
        <v>0</v>
      </c>
      <c r="N398" s="6">
        <f>SUM(N399,N401,N402,N404)</f>
        <v>69484.399999999994</v>
      </c>
      <c r="O398" s="6">
        <f>SUM(O399,O401,O402,O404)</f>
        <v>69484.399999999994</v>
      </c>
      <c r="S398" s="6">
        <f>SUM(S399,S401,S402,S404)</f>
        <v>207208.38</v>
      </c>
      <c r="T398" s="6">
        <f>SUM(T399,T401,T402,T404)</f>
        <v>69484.399999999994</v>
      </c>
      <c r="U398" s="6">
        <f>SUM(U399,U401,U402,U404)</f>
        <v>276692.78000000003</v>
      </c>
    </row>
    <row r="399" spans="1:21" ht="36" x14ac:dyDescent="0.35">
      <c r="A399" s="10" t="s">
        <v>1698</v>
      </c>
      <c r="B399" s="10" t="s">
        <v>1699</v>
      </c>
      <c r="C399" s="14" t="s">
        <v>1700</v>
      </c>
      <c r="D399" s="15"/>
      <c r="E399" s="15" t="s">
        <v>1701</v>
      </c>
      <c r="F399" s="15" t="s">
        <v>56</v>
      </c>
      <c r="G399" s="16">
        <v>1</v>
      </c>
      <c r="H399" s="16"/>
      <c r="I399" s="16">
        <v>0</v>
      </c>
      <c r="J399" s="17">
        <f>IFERROR(ROUND(SUM(M400)/I399, 2),0)</f>
        <v>0</v>
      </c>
      <c r="K399" s="18">
        <v>1499</v>
      </c>
      <c r="L399" s="17">
        <f>J399+ROUND(K399, 2)</f>
        <v>1499</v>
      </c>
      <c r="M399" s="17">
        <f>ROUND(J399*I399, 2)</f>
        <v>0</v>
      </c>
      <c r="N399" s="17">
        <f>ROUND(I399*ROUND(K399, 2), 2)</f>
        <v>0</v>
      </c>
      <c r="O399" s="17">
        <f>M399+N399</f>
        <v>0</v>
      </c>
      <c r="P399" s="17">
        <f>IFERROR(ROUND(SUM(S400)/I399, 2),0)</f>
        <v>0</v>
      </c>
      <c r="Q399" s="18">
        <v>1499</v>
      </c>
      <c r="R399" s="17">
        <f>P399+ROUND(Q399, 2)</f>
        <v>1499</v>
      </c>
      <c r="S399" s="17">
        <f>ROUND(P399*I399, 2)</f>
        <v>0</v>
      </c>
      <c r="T399" s="17">
        <f>ROUND(I399*ROUND(Q399, 2), 2)</f>
        <v>0</v>
      </c>
      <c r="U399" s="17">
        <f>S399+T399</f>
        <v>0</v>
      </c>
    </row>
    <row r="400" spans="1:21" ht="126" x14ac:dyDescent="0.35">
      <c r="A400" s="10" t="s">
        <v>1705</v>
      </c>
      <c r="B400" s="10"/>
      <c r="C400" s="24" t="s">
        <v>1706</v>
      </c>
      <c r="D400" s="15"/>
      <c r="E400" s="15" t="s">
        <v>1707</v>
      </c>
      <c r="F400" s="25" t="s">
        <v>56</v>
      </c>
      <c r="G400" s="26">
        <v>1</v>
      </c>
      <c r="H400" s="26"/>
      <c r="I400" s="26">
        <v>0</v>
      </c>
      <c r="J400" s="28">
        <v>0</v>
      </c>
      <c r="M400" s="29">
        <f>ROUND(ROUND(J400, 2)*I400, 2)</f>
        <v>0</v>
      </c>
      <c r="P400" s="28">
        <v>0</v>
      </c>
      <c r="S400" s="29">
        <f>ROUND(ROUND(P400, 2)*I400, 2)</f>
        <v>0</v>
      </c>
    </row>
    <row r="401" spans="1:21" ht="54" x14ac:dyDescent="0.35">
      <c r="A401" s="10" t="s">
        <v>1713</v>
      </c>
      <c r="B401" s="10" t="s">
        <v>1714</v>
      </c>
      <c r="C401" s="14" t="s">
        <v>1715</v>
      </c>
      <c r="D401" s="15"/>
      <c r="E401" s="15"/>
      <c r="F401" s="15" t="s">
        <v>56</v>
      </c>
      <c r="G401" s="16">
        <v>1</v>
      </c>
      <c r="H401" s="16"/>
      <c r="I401" s="16">
        <v>64.099999999999994</v>
      </c>
      <c r="J401" s="17">
        <v>0</v>
      </c>
      <c r="K401" s="18">
        <v>121</v>
      </c>
      <c r="L401" s="17">
        <f>J401+ROUND(K401, 2)</f>
        <v>121</v>
      </c>
      <c r="M401" s="17">
        <v>0</v>
      </c>
      <c r="N401" s="17">
        <f>ROUND(I401*ROUND(K401, 2), 2)</f>
        <v>7756.1</v>
      </c>
      <c r="O401" s="17">
        <f>M401+N401</f>
        <v>7756.1</v>
      </c>
      <c r="P401" s="17">
        <v>0</v>
      </c>
      <c r="Q401" s="19">
        <v>121</v>
      </c>
      <c r="R401" s="17">
        <f>P401+ROUND(Q401, 2)</f>
        <v>121</v>
      </c>
      <c r="S401" s="17">
        <v>0</v>
      </c>
      <c r="T401" s="17">
        <f>ROUND(I401*ROUND(Q401, 2), 2)</f>
        <v>7756.1</v>
      </c>
      <c r="U401" s="17">
        <f>S401+T401</f>
        <v>7756.1</v>
      </c>
    </row>
    <row r="402" spans="1:21" ht="36" x14ac:dyDescent="0.35">
      <c r="A402" s="10" t="s">
        <v>1718</v>
      </c>
      <c r="B402" s="10" t="s">
        <v>1719</v>
      </c>
      <c r="C402" s="14" t="s">
        <v>1720</v>
      </c>
      <c r="D402" s="15"/>
      <c r="E402" s="15" t="s">
        <v>1721</v>
      </c>
      <c r="F402" s="15" t="s">
        <v>56</v>
      </c>
      <c r="G402" s="16">
        <v>1</v>
      </c>
      <c r="H402" s="16"/>
      <c r="I402" s="16">
        <v>32.5</v>
      </c>
      <c r="J402" s="17">
        <f>IFERROR(ROUND(SUM(M403)/I402, 2),0)</f>
        <v>0</v>
      </c>
      <c r="K402" s="18">
        <v>963</v>
      </c>
      <c r="L402" s="17">
        <f>J402+ROUND(K402, 2)</f>
        <v>963</v>
      </c>
      <c r="M402" s="17">
        <f>ROUND(J402*I402, 2)</f>
        <v>0</v>
      </c>
      <c r="N402" s="17">
        <f>ROUND(I402*ROUND(K402, 2), 2)</f>
        <v>31297.5</v>
      </c>
      <c r="O402" s="17">
        <f>M402+N402</f>
        <v>31297.5</v>
      </c>
      <c r="P402" s="17">
        <f>IFERROR(ROUND(SUM(S403)/I402, 2),0)</f>
        <v>3232.58</v>
      </c>
      <c r="Q402" s="19">
        <v>963</v>
      </c>
      <c r="R402" s="17">
        <f>P402+ROUND(Q402, 2)</f>
        <v>4195.58</v>
      </c>
      <c r="S402" s="17">
        <f>ROUND(P402*I402, 2)</f>
        <v>105058.85</v>
      </c>
      <c r="T402" s="17">
        <f>ROUND(I402*ROUND(Q402, 2), 2)</f>
        <v>31297.5</v>
      </c>
      <c r="U402" s="17">
        <f>S402+T402</f>
        <v>136356.35</v>
      </c>
    </row>
    <row r="403" spans="1:21" ht="90" x14ac:dyDescent="0.35">
      <c r="A403" s="10" t="s">
        <v>1724</v>
      </c>
      <c r="B403" s="10"/>
      <c r="C403" s="24" t="s">
        <v>1725</v>
      </c>
      <c r="D403" s="15"/>
      <c r="E403" s="15" t="s">
        <v>1726</v>
      </c>
      <c r="F403" s="25" t="s">
        <v>56</v>
      </c>
      <c r="G403" s="26">
        <v>1</v>
      </c>
      <c r="H403" s="27"/>
      <c r="I403" s="27">
        <v>32.5</v>
      </c>
      <c r="J403" s="28">
        <v>0</v>
      </c>
      <c r="M403" s="29">
        <f>ROUND(ROUND(J403, 2)*I403, 2)</f>
        <v>0</v>
      </c>
      <c r="P403" s="30">
        <v>3232.58</v>
      </c>
      <c r="S403" s="29">
        <f>ROUND(ROUND(P403, 2)*I403, 2)</f>
        <v>105058.85</v>
      </c>
    </row>
    <row r="404" spans="1:21" ht="36" x14ac:dyDescent="0.35">
      <c r="A404" s="10" t="s">
        <v>1730</v>
      </c>
      <c r="B404" s="10" t="s">
        <v>1719</v>
      </c>
      <c r="C404" s="14" t="s">
        <v>1720</v>
      </c>
      <c r="D404" s="15"/>
      <c r="E404" s="15" t="s">
        <v>1731</v>
      </c>
      <c r="F404" s="15" t="s">
        <v>56</v>
      </c>
      <c r="G404" s="16">
        <v>1</v>
      </c>
      <c r="H404" s="16"/>
      <c r="I404" s="16">
        <v>31.6</v>
      </c>
      <c r="J404" s="17">
        <f>IFERROR(ROUND(SUM(M405)/I404, 2),0)</f>
        <v>0</v>
      </c>
      <c r="K404" s="18">
        <v>963</v>
      </c>
      <c r="L404" s="17">
        <f>J404+ROUND(K404, 2)</f>
        <v>963</v>
      </c>
      <c r="M404" s="17">
        <f>ROUND(J404*I404, 2)</f>
        <v>0</v>
      </c>
      <c r="N404" s="17">
        <f>ROUND(I404*ROUND(K404, 2), 2)</f>
        <v>30430.799999999999</v>
      </c>
      <c r="O404" s="17">
        <f>M404+N404</f>
        <v>30430.799999999999</v>
      </c>
      <c r="P404" s="17">
        <f>IFERROR(ROUND(SUM(S405)/I404, 2),0)</f>
        <v>3232.58</v>
      </c>
      <c r="Q404" s="19">
        <v>963</v>
      </c>
      <c r="R404" s="17">
        <f>P404+ROUND(Q404, 2)</f>
        <v>4195.58</v>
      </c>
      <c r="S404" s="17">
        <f>ROUND(P404*I404, 2)</f>
        <v>102149.53</v>
      </c>
      <c r="T404" s="17">
        <f>ROUND(I404*ROUND(Q404, 2), 2)</f>
        <v>30430.799999999999</v>
      </c>
      <c r="U404" s="17">
        <f>S404+T404</f>
        <v>132580.32999999999</v>
      </c>
    </row>
    <row r="405" spans="1:21" ht="90" x14ac:dyDescent="0.35">
      <c r="A405" s="10" t="s">
        <v>1732</v>
      </c>
      <c r="B405" s="10"/>
      <c r="C405" s="24" t="s">
        <v>1725</v>
      </c>
      <c r="D405" s="15"/>
      <c r="E405" s="15" t="s">
        <v>1726</v>
      </c>
      <c r="F405" s="25" t="s">
        <v>56</v>
      </c>
      <c r="G405" s="26">
        <v>1</v>
      </c>
      <c r="H405" s="27"/>
      <c r="I405" s="27">
        <v>31.6</v>
      </c>
      <c r="J405" s="28">
        <v>0</v>
      </c>
      <c r="M405" s="29">
        <f>ROUND(ROUND(J405, 2)*I405, 2)</f>
        <v>0</v>
      </c>
      <c r="P405" s="30">
        <v>3232.58</v>
      </c>
      <c r="S405" s="29">
        <f>ROUND(ROUND(P405, 2)*I405, 2)</f>
        <v>102149.53</v>
      </c>
    </row>
    <row r="406" spans="1:21" ht="24" customHeight="1" x14ac:dyDescent="0.35">
      <c r="A406" s="67"/>
      <c r="B406" s="67"/>
      <c r="C406" s="67"/>
      <c r="D406" s="68" t="s">
        <v>1735</v>
      </c>
      <c r="E406" s="67"/>
      <c r="F406" s="67"/>
      <c r="G406" s="67"/>
      <c r="H406" s="67"/>
      <c r="I406" s="67"/>
      <c r="J406" s="67"/>
      <c r="K406" s="67"/>
      <c r="L406" s="67"/>
      <c r="M406" s="69">
        <f>SUM(M8)</f>
        <v>3115785.56</v>
      </c>
      <c r="N406" s="69">
        <f>SUM(N8)</f>
        <v>11639805.32</v>
      </c>
      <c r="O406" s="69">
        <f>M406+N406</f>
        <v>14755590.880000001</v>
      </c>
      <c r="P406" s="67"/>
      <c r="Q406" s="67"/>
      <c r="R406" s="67"/>
      <c r="S406" s="69">
        <f>SUM(S8)</f>
        <v>3897607.1600000006</v>
      </c>
      <c r="T406" s="69">
        <f>SUM(T8)</f>
        <v>11511394.759999998</v>
      </c>
      <c r="U406" s="69">
        <f>S406+T406</f>
        <v>15409001.919999998</v>
      </c>
    </row>
  </sheetData>
  <mergeCells count="48">
    <mergeCell ref="C295:I295"/>
    <mergeCell ref="C353:I353"/>
    <mergeCell ref="C354:I354"/>
    <mergeCell ref="C385:I385"/>
    <mergeCell ref="C398:I398"/>
    <mergeCell ref="C84:I84"/>
    <mergeCell ref="C93:I93"/>
    <mergeCell ref="C129:I129"/>
    <mergeCell ref="C130:I130"/>
    <mergeCell ref="C279:I279"/>
    <mergeCell ref="S6:T6"/>
    <mergeCell ref="U6:U7"/>
    <mergeCell ref="A8:I8"/>
    <mergeCell ref="C9:I9"/>
    <mergeCell ref="C54:I54"/>
    <mergeCell ref="C11:I11"/>
    <mergeCell ref="C12:I12"/>
    <mergeCell ref="C13:I13"/>
    <mergeCell ref="C16:I16"/>
    <mergeCell ref="C17:I17"/>
    <mergeCell ref="C24:I24"/>
    <mergeCell ref="C45:I45"/>
    <mergeCell ref="C50:I50"/>
    <mergeCell ref="C51:I51"/>
    <mergeCell ref="C52:I52"/>
    <mergeCell ref="C53:I53"/>
    <mergeCell ref="C10:I10"/>
    <mergeCell ref="H5:H7"/>
    <mergeCell ref="I5:I7"/>
    <mergeCell ref="J5:O5"/>
    <mergeCell ref="P5:R5"/>
    <mergeCell ref="R6:R7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</mergeCells>
  <pageMargins left="0.70866141732283472" right="0.70866141732283472" top="0.74803149606299213" bottom="0.74803149606299213" header="0.31496062992125984" footer="0.31496062992125984"/>
  <pageSetup paperSize="8" scale="4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ПРОВЕРКА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срк</cp:lastModifiedBy>
  <cp:lastPrinted>2026-01-21T09:10:30Z</cp:lastPrinted>
  <dcterms:created xsi:type="dcterms:W3CDTF">2025-12-23T11:53:27Z</dcterms:created>
  <dcterms:modified xsi:type="dcterms:W3CDTF">2026-02-23T18:38:40Z</dcterms:modified>
  <cp:category/>
</cp:coreProperties>
</file>