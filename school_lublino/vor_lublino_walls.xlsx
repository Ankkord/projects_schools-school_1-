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 firstSheet="2" activeTab="5"/>
  </bookViews>
  <sheets>
    <sheet name="ВОР 2 э. шт." sheetId="8" r:id="rId1"/>
    <sheet name="Спец 2 э. шт." sheetId="7" r:id="rId2"/>
    <sheet name="ВОР 3 э. шт." sheetId="10" r:id="rId3"/>
    <sheet name="Спец 3 э. шт." sheetId="9" r:id="rId4"/>
    <sheet name="ВОР 1.2.3 э. шт." sheetId="15" r:id="rId5"/>
    <sheet name="сп1.2.3эт" sheetId="11" r:id="rId6"/>
    <sheet name="Лист4" sheetId="14" r:id="rId7"/>
  </sheets>
  <calcPr calcId="152511"/>
</workbook>
</file>

<file path=xl/calcChain.xml><?xml version="1.0" encoding="utf-8"?>
<calcChain xmlns="http://schemas.openxmlformats.org/spreadsheetml/2006/main">
  <c r="C22" i="14" l="1"/>
  <c r="E22" i="14"/>
  <c r="D22" i="14"/>
  <c r="G17" i="11"/>
  <c r="G18" i="11"/>
  <c r="G19" i="11"/>
  <c r="E16" i="15" l="1"/>
  <c r="E20" i="15" s="1"/>
  <c r="D8" i="14"/>
  <c r="C8" i="14"/>
  <c r="B8" i="14"/>
  <c r="C16" i="14"/>
  <c r="D16" i="14"/>
  <c r="B16" i="14"/>
  <c r="B15" i="14"/>
  <c r="B7" i="14"/>
  <c r="C7" i="14"/>
  <c r="D7" i="14"/>
  <c r="D15" i="14"/>
  <c r="D5" i="14"/>
  <c r="C5" i="14"/>
  <c r="B5" i="14"/>
  <c r="B13" i="14"/>
  <c r="D13" i="14"/>
  <c r="C13" i="14"/>
  <c r="C15" i="14"/>
  <c r="G8" i="11"/>
  <c r="G6" i="11"/>
  <c r="F22" i="11"/>
  <c r="G9" i="11"/>
  <c r="E22" i="11"/>
  <c r="E11" i="15" s="1"/>
  <c r="E15" i="15" s="1"/>
  <c r="G20" i="11"/>
  <c r="G16" i="11"/>
  <c r="G14" i="11"/>
  <c r="G13" i="11"/>
  <c r="G7" i="11"/>
  <c r="D22" i="11"/>
  <c r="E21" i="15" s="1"/>
  <c r="E25" i="15" s="1"/>
  <c r="E18" i="15" l="1"/>
  <c r="E19" i="15"/>
  <c r="E5" i="15"/>
  <c r="E12" i="15"/>
  <c r="E13" i="15"/>
  <c r="E14" i="15"/>
  <c r="E22" i="15"/>
  <c r="E7" i="15"/>
  <c r="E23" i="15"/>
  <c r="E24" i="15"/>
  <c r="E17" i="15"/>
  <c r="G12" i="11"/>
  <c r="G10" i="11"/>
  <c r="G15" i="11"/>
  <c r="G11" i="11"/>
  <c r="G5" i="11"/>
  <c r="C22" i="11"/>
  <c r="E6" i="15" s="1"/>
  <c r="E10" i="15" s="1"/>
  <c r="G21" i="11"/>
  <c r="E21" i="10"/>
  <c r="E16" i="10"/>
  <c r="E11" i="10"/>
  <c r="E6" i="10"/>
  <c r="D27" i="9"/>
  <c r="C27" i="9"/>
  <c r="E9" i="15" l="1"/>
  <c r="E8" i="15"/>
  <c r="E4" i="15"/>
  <c r="G22" i="11"/>
  <c r="F19" i="9"/>
  <c r="F20" i="9"/>
  <c r="F21" i="9"/>
  <c r="F18" i="9"/>
  <c r="E26" i="9"/>
  <c r="M5" i="7"/>
  <c r="D14" i="7"/>
  <c r="D25" i="9"/>
  <c r="C25" i="9"/>
  <c r="D24" i="9"/>
  <c r="C24" i="9"/>
  <c r="D23" i="9"/>
  <c r="C23" i="9"/>
  <c r="D22" i="9"/>
  <c r="C22" i="9"/>
  <c r="C6" i="9"/>
  <c r="D6" i="9"/>
  <c r="C7" i="9"/>
  <c r="D7" i="9"/>
  <c r="C8" i="9"/>
  <c r="D8" i="9"/>
  <c r="C9" i="9"/>
  <c r="D9" i="9"/>
  <c r="C10" i="9"/>
  <c r="D10" i="9"/>
  <c r="C11" i="9"/>
  <c r="D11" i="9"/>
  <c r="C12" i="9"/>
  <c r="D12" i="9"/>
  <c r="C13" i="9"/>
  <c r="D13" i="9"/>
  <c r="C14" i="9"/>
  <c r="D14" i="9"/>
  <c r="C15" i="9"/>
  <c r="D15" i="9"/>
  <c r="C16" i="9"/>
  <c r="D16" i="9"/>
  <c r="C17" i="9"/>
  <c r="D17" i="9"/>
  <c r="E20" i="10" l="1"/>
  <c r="E19" i="10"/>
  <c r="E18" i="10"/>
  <c r="E17" i="10"/>
  <c r="E13" i="10"/>
  <c r="E12" i="10" l="1"/>
  <c r="E14" i="10"/>
  <c r="E15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C45" i="7"/>
  <c r="E21" i="8" l="1"/>
  <c r="E6" i="8"/>
  <c r="E7" i="8" s="1"/>
  <c r="E23" i="8"/>
  <c r="E8" i="8"/>
  <c r="E10" i="8"/>
  <c r="E9" i="8"/>
  <c r="E3" i="8"/>
  <c r="E4" i="8" s="1"/>
  <c r="G45" i="7"/>
  <c r="E9" i="10" l="1"/>
  <c r="E10" i="10"/>
  <c r="E3" i="10"/>
  <c r="E7" i="10"/>
  <c r="E8" i="10"/>
  <c r="E5" i="8"/>
  <c r="E25" i="10"/>
  <c r="E22" i="10"/>
  <c r="E23" i="10"/>
  <c r="E24" i="10"/>
  <c r="E25" i="8"/>
  <c r="E22" i="8"/>
  <c r="E24" i="8"/>
  <c r="E5" i="10" l="1"/>
  <c r="E4" i="10"/>
</calcChain>
</file>

<file path=xl/sharedStrings.xml><?xml version="1.0" encoding="utf-8"?>
<sst xmlns="http://schemas.openxmlformats.org/spreadsheetml/2006/main" count="384" uniqueCount="145">
  <si>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</si>
  <si>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</si>
  <si>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</si>
  <si>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</si>
  <si>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</si>
  <si>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</si>
  <si>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</si>
  <si>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</si>
  <si>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</si>
  <si>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</si>
  <si>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</si>
  <si>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</si>
  <si>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</si>
  <si>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</si>
  <si>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</si>
  <si>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</si>
  <si>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</si>
  <si>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</si>
  <si>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</si>
  <si>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</si>
  <si>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</si>
  <si>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</si>
  <si>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</si>
  <si>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</si>
  <si>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</si>
  <si>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</si>
  <si>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</si>
  <si>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</si>
  <si>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</si>
  <si>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</si>
  <si>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</si>
  <si>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</si>
  <si>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</si>
  <si>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</si>
  <si>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</si>
  <si>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</si>
  <si>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</si>
  <si>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</si>
  <si>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</si>
  <si>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</si>
  <si>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</si>
  <si>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</si>
  <si>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</si>
  <si>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</si>
  <si>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</si>
  <si>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</si>
  <si>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</si>
  <si>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</si>
  <si>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</si>
  <si>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</si>
  <si>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</si>
  <si>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</si>
  <si>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</si>
  <si>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</si>
  <si>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</si>
  <si>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</si>
  <si>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</si>
  <si>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</si>
  <si>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</si>
  <si>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</si>
  <si>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</si>
  <si>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</si>
  <si>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</si>
  <si>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</si>
  <si>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</si>
  <si>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</si>
  <si>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</si>
  <si>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</si>
  <si>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</si>
  <si>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</si>
  <si>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</si>
  <si>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</si>
  <si>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</si>
  <si>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</si>
  <si>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</si>
  <si>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</si>
  <si>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</si>
  <si>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</si>
  <si>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</si>
  <si>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</si>
  <si>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</si>
  <si>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</si>
  <si>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</si>
  <si>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</si>
  <si>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</si>
  <si>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</si>
  <si>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</si>
  <si>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</si>
  <si>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</si>
  <si>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</si>
  <si>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</si>
  <si>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</si>
  <si>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</si>
  <si>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</si>
  <si>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</si>
  <si>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</si>
  <si>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</si>
  <si>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</si>
  <si>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</si>
  <si>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</si>
  <si>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</si>
  <si>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</si>
  <si>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</si>
  <si>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</si>
  <si>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</si>
  <si>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</si>
  <si>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</si>
  <si>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</si>
  <si>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</si>
  <si>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</si>
  <si>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</si>
  <si>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</si>
  <si>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</si>
  <si>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</si>
  <si>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</si>
  <si>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</si>
  <si>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</si>
  <si>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</si>
  <si>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</si>
  <si>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</si>
  <si>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</si>
  <si>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</si>
  <si>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</si>
  <si>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</si>
  <si>
    <t>1.037</t>
  </si>
  <si>
    <t>1.034</t>
  </si>
  <si>
    <t>1.035</t>
  </si>
  <si>
    <t>1.036</t>
  </si>
  <si>
    <t>1.038</t>
  </si>
  <si>
    <t>по рд</t>
  </si>
  <si>
    <t>1.050</t>
  </si>
  <si>
    <t>1.051</t>
  </si>
  <si>
    <t>2.079</t>
  </si>
  <si>
    <t>2.081</t>
  </si>
  <si>
    <t>2.084</t>
  </si>
  <si>
    <t>2.085</t>
  </si>
  <si>
    <t>2.087</t>
  </si>
  <si>
    <t>2.160</t>
  </si>
  <si>
    <t>3.085</t>
  </si>
  <si>
    <t>1 эт</t>
  </si>
  <si>
    <t>чст1</t>
  </si>
  <si>
    <t>чст2</t>
  </si>
  <si>
    <t>2 эт</t>
  </si>
  <si>
    <t>3 эт</t>
  </si>
  <si>
    <t>по ис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</si>
</sst>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8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wrapText="1"/>
    </xf>
    <xf numFmtId="0" fontId="2" fillId="0" borderId="4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wrapText="1"/>
    </xf>
    <xf numFmtId="0" fontId="2" fillId="0" borderId="9" xfId="0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2" fontId="2" fillId="0" borderId="10" xfId="0" applyNumberFormat="1" applyFont="1" applyBorder="1" applyAlignment="1">
      <alignment horizontal="right" vertical="center"/>
    </xf>
    <xf numFmtId="49" fontId="2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2" fontId="2" fillId="0" borderId="4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wrapText="1"/>
    </xf>
    <xf numFmtId="49" fontId="2" fillId="0" borderId="6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left" vertical="center" wrapText="1"/>
    </xf>
    <xf numFmtId="2" fontId="2" fillId="0" borderId="9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0" fillId="0" borderId="1" xfId="0" applyBorder="1"/>
    <xf numFmtId="2" fontId="0" fillId="0" borderId="1" xfId="0" applyNumberForma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6"/>
  <sheetViews>
    <sheetView zoomScale="130" zoomScaleNormal="130" workbookViewId="0">
      <selection activeCell="E3" sqref="E3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P45"/>
  <sheetViews>
    <sheetView zoomScale="85" zoomScaleNormal="85" workbookViewId="0">
      <selection activeCell="B31" sqref="B31:B3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78" t="s">
        <v>2</v>
      </c>
      <c r="B1" s="78"/>
      <c r="C1" s="78"/>
      <c r="D1" s="78"/>
      <c r="E1" s="78"/>
      <c r="F1" s="78"/>
      <c r="G1" s="78"/>
    </row>
    <row r="2" spans="1:16" x14ac:dyDescent="0.2">
      <c r="A2" s="79" t="s">
        <v>64</v>
      </c>
      <c r="B2" s="79"/>
      <c r="C2" s="79"/>
      <c r="D2" s="79"/>
      <c r="E2" s="79"/>
      <c r="F2" s="79"/>
      <c r="G2" s="79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>P14/100*66</f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E26"/>
  <sheetViews>
    <sheetView zoomScale="70" zoomScaleNormal="70" workbookViewId="0">
      <selection activeCell="E3" sqref="E3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ht="13.5" thickBot="1" x14ac:dyDescent="0.25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">
      <c r="A3" s="63" t="s">
        <v>11</v>
      </c>
      <c r="B3" s="71" t="s">
        <v>71</v>
      </c>
      <c r="C3" s="65" t="s">
        <v>9</v>
      </c>
      <c r="D3" s="54">
        <v>1</v>
      </c>
      <c r="E3" s="55">
        <f>(E6+E11+E16+E21)/100 * 71</f>
        <v>2134.0327999999995</v>
      </c>
    </row>
    <row r="4" spans="1:5" x14ac:dyDescent="0.2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640.20983999999987</v>
      </c>
    </row>
    <row r="5" spans="1:5" ht="13.5" thickBot="1" x14ac:dyDescent="0.25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2347.4360799999995</v>
      </c>
    </row>
    <row r="6" spans="1:5" ht="38.25" x14ac:dyDescent="0.2">
      <c r="A6" s="63" t="s">
        <v>12</v>
      </c>
      <c r="B6" s="71" t="s">
        <v>81</v>
      </c>
      <c r="C6" s="65" t="s">
        <v>82</v>
      </c>
      <c r="D6" s="54">
        <v>1</v>
      </c>
      <c r="E6" s="55">
        <f>'Спец 3 э. шт.'!C28</f>
        <v>840.60999999999979</v>
      </c>
    </row>
    <row r="7" spans="1:5" x14ac:dyDescent="0.2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25218.384060999993</v>
      </c>
    </row>
    <row r="8" spans="1:5" x14ac:dyDescent="0.2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924.67099999999982</v>
      </c>
    </row>
    <row r="9" spans="1:5" x14ac:dyDescent="0.2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840.60999999999979</v>
      </c>
    </row>
    <row r="10" spans="1:5" ht="13.5" thickBot="1" x14ac:dyDescent="0.25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210.15249999999995</v>
      </c>
    </row>
    <row r="11" spans="1:5" ht="38.25" x14ac:dyDescent="0.2">
      <c r="A11" s="63" t="s">
        <v>75</v>
      </c>
      <c r="B11" s="64" t="s">
        <v>83</v>
      </c>
      <c r="C11" s="65" t="s">
        <v>82</v>
      </c>
      <c r="D11" s="54">
        <v>1</v>
      </c>
      <c r="E11" s="55">
        <f>'Спец 3 э. шт.'!E28</f>
        <v>38.590000000000003</v>
      </c>
    </row>
    <row r="12" spans="1:5" x14ac:dyDescent="0.2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9.6475000000000009</v>
      </c>
    </row>
    <row r="13" spans="1:5" x14ac:dyDescent="0.2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38.590000000000003</v>
      </c>
    </row>
    <row r="14" spans="1:5" x14ac:dyDescent="0.2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42.449000000000005</v>
      </c>
    </row>
    <row r="15" spans="1:5" ht="13.5" thickBot="1" x14ac:dyDescent="0.25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1157.7038590000002</v>
      </c>
    </row>
    <row r="16" spans="1:5" ht="38.25" x14ac:dyDescent="0.2">
      <c r="A16" s="63" t="s">
        <v>87</v>
      </c>
      <c r="B16" s="64" t="s">
        <v>84</v>
      </c>
      <c r="C16" s="65" t="s">
        <v>82</v>
      </c>
      <c r="D16" s="54">
        <v>1</v>
      </c>
      <c r="E16" s="55">
        <f>'Спец 3 э. шт.'!F28</f>
        <v>261.49</v>
      </c>
    </row>
    <row r="17" spans="1:5" x14ac:dyDescent="0.2">
      <c r="A17" s="56">
        <v>4.0999999999999996</v>
      </c>
      <c r="B17" s="21" t="s">
        <v>6</v>
      </c>
      <c r="C17" s="45" t="s">
        <v>10</v>
      </c>
      <c r="D17" s="9">
        <v>1.3</v>
      </c>
      <c r="E17" s="57">
        <f>E16*D17*23.077</f>
        <v>7844.726149000001</v>
      </c>
    </row>
    <row r="18" spans="1:5" x14ac:dyDescent="0.2">
      <c r="A18" s="56">
        <v>4.2</v>
      </c>
      <c r="B18" s="21" t="s">
        <v>113</v>
      </c>
      <c r="C18" s="45" t="s">
        <v>82</v>
      </c>
      <c r="D18" s="9">
        <v>1.1000000000000001</v>
      </c>
      <c r="E18" s="57">
        <f>E16*D18</f>
        <v>287.63900000000001</v>
      </c>
    </row>
    <row r="19" spans="1:5" x14ac:dyDescent="0.2">
      <c r="A19" s="56">
        <v>4.3</v>
      </c>
      <c r="B19" s="21" t="s">
        <v>80</v>
      </c>
      <c r="C19" s="45" t="s">
        <v>9</v>
      </c>
      <c r="D19" s="9">
        <v>1</v>
      </c>
      <c r="E19" s="57">
        <f>E16*D19</f>
        <v>261.49</v>
      </c>
    </row>
    <row r="20" spans="1:5" ht="13.5" thickBot="1" x14ac:dyDescent="0.25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65.372500000000002</v>
      </c>
    </row>
    <row r="21" spans="1:5" ht="38.25" x14ac:dyDescent="0.2">
      <c r="A21" s="51">
        <v>5</v>
      </c>
      <c r="B21" s="52" t="s">
        <v>85</v>
      </c>
      <c r="C21" s="53" t="s">
        <v>82</v>
      </c>
      <c r="D21" s="54">
        <v>1</v>
      </c>
      <c r="E21" s="55">
        <f>'Спец 3 э. шт.'!D28</f>
        <v>1864.9899999999998</v>
      </c>
    </row>
    <row r="22" spans="1:5" x14ac:dyDescent="0.2">
      <c r="A22" s="56">
        <v>5.0999999999999996</v>
      </c>
      <c r="B22" s="21" t="s">
        <v>17</v>
      </c>
      <c r="C22" s="45" t="s">
        <v>10</v>
      </c>
      <c r="D22" s="9">
        <v>0.15</v>
      </c>
      <c r="E22" s="57">
        <f>E21*D22</f>
        <v>279.74849999999998</v>
      </c>
    </row>
    <row r="23" spans="1:5" x14ac:dyDescent="0.2">
      <c r="A23" s="56">
        <v>5.2</v>
      </c>
      <c r="B23" s="21" t="s">
        <v>80</v>
      </c>
      <c r="C23" s="45" t="s">
        <v>9</v>
      </c>
      <c r="D23" s="9">
        <v>1</v>
      </c>
      <c r="E23" s="57">
        <f>E21*D23</f>
        <v>1864.9899999999998</v>
      </c>
    </row>
    <row r="24" spans="1:5" x14ac:dyDescent="0.2">
      <c r="A24" s="56">
        <v>5.3</v>
      </c>
      <c r="B24" s="21" t="s">
        <v>113</v>
      </c>
      <c r="C24" s="45" t="s">
        <v>82</v>
      </c>
      <c r="D24" s="9">
        <v>1.1000000000000001</v>
      </c>
      <c r="E24" s="57">
        <f>E21*D24</f>
        <v>2051.489</v>
      </c>
    </row>
    <row r="25" spans="1:5" x14ac:dyDescent="0.2">
      <c r="A25" s="56">
        <v>5.4</v>
      </c>
      <c r="B25" s="21" t="s">
        <v>6</v>
      </c>
      <c r="C25" s="45" t="s">
        <v>10</v>
      </c>
      <c r="D25" s="9">
        <v>1.3</v>
      </c>
      <c r="E25" s="57">
        <f>E21*D25*23.077</f>
        <v>55949.886498999993</v>
      </c>
    </row>
    <row r="26" spans="1:5" ht="13.5" thickBot="1" x14ac:dyDescent="0.25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Z28"/>
  <sheetViews>
    <sheetView topLeftCell="A2" zoomScale="90" zoomScaleNormal="90" workbookViewId="0">
      <selection activeCell="D28" sqref="D28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12" width="9.140625" style="1" customWidth="1"/>
    <col min="13" max="13" width="13.140625" style="1" customWidth="1"/>
    <col min="14" max="14" width="7.5703125" style="1" customWidth="1"/>
    <col min="15" max="15" width="9.7109375" style="1" customWidth="1"/>
    <col min="16" max="16" width="7.7109375" style="1" customWidth="1"/>
    <col min="17" max="17" width="10.5703125" style="1" customWidth="1"/>
    <col min="18" max="18" width="11.42578125" style="1" customWidth="1"/>
    <col min="19" max="20" width="13.140625" style="1" customWidth="1"/>
    <col min="21" max="21" width="24.42578125" style="1" customWidth="1"/>
    <col min="22" max="22" width="9.140625" style="1" customWidth="1"/>
    <col min="23" max="23" width="12" style="1" customWidth="1"/>
    <col min="24" max="24" width="9.140625" style="1" customWidth="1"/>
    <col min="25" max="25" width="13.85546875" style="1" customWidth="1"/>
    <col min="26" max="27" width="9.140625" style="1" customWidth="1"/>
    <col min="28" max="16384" width="9.140625" style="1"/>
  </cols>
  <sheetData>
    <row r="1" spans="1:26" x14ac:dyDescent="0.2">
      <c r="A1" s="78" t="s">
        <v>2</v>
      </c>
      <c r="B1" s="78"/>
      <c r="C1" s="78"/>
      <c r="D1" s="78"/>
      <c r="E1" s="78"/>
      <c r="F1" s="78"/>
      <c r="G1" s="78"/>
    </row>
    <row r="2" spans="1:26" x14ac:dyDescent="0.2">
      <c r="A2" s="79" t="s">
        <v>64</v>
      </c>
      <c r="B2" s="79"/>
      <c r="C2" s="79"/>
      <c r="D2" s="79"/>
      <c r="E2" s="79"/>
      <c r="F2" s="79"/>
      <c r="G2" s="79"/>
      <c r="O2" s="39"/>
      <c r="Q2" s="41"/>
    </row>
    <row r="3" spans="1:26" ht="38.25" x14ac:dyDescent="0.2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39" t="s">
        <v>115</v>
      </c>
      <c r="O3" s="40" t="s">
        <v>116</v>
      </c>
      <c r="P3" s="41" t="s">
        <v>114</v>
      </c>
      <c r="Q3" s="40" t="s">
        <v>117</v>
      </c>
      <c r="R3" s="43" t="s">
        <v>120</v>
      </c>
      <c r="S3" s="42" t="s">
        <v>118</v>
      </c>
      <c r="T3" s="42" t="s">
        <v>119</v>
      </c>
      <c r="U3" s="1" t="s">
        <v>20</v>
      </c>
      <c r="V3" s="1" t="s">
        <v>35</v>
      </c>
    </row>
    <row r="4" spans="1:26" x14ac:dyDescent="0.2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">
      <c r="A6" s="44">
        <v>2</v>
      </c>
      <c r="B6" s="12" t="s">
        <v>91</v>
      </c>
      <c r="C6" s="25">
        <f t="shared" ref="C6:C17" si="1">ROUND(N6+O6-T6, 2)</f>
        <v>14.03</v>
      </c>
      <c r="D6" s="25">
        <f t="shared" ref="D6:D17" si="2">ROUND(P6+Q6+R6-S6, 2)</f>
        <v>91.55</v>
      </c>
      <c r="E6" s="25"/>
      <c r="F6" s="25"/>
      <c r="G6" s="25">
        <f t="shared" ref="G6:G27" si="3">SUM(C6:F6)</f>
        <v>105.58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4">ROUND(U6*V6/1000000, 2)</f>
        <v>123.32</v>
      </c>
      <c r="Y6" s="1">
        <v>15</v>
      </c>
      <c r="Z6" s="8">
        <f t="shared" ref="Z6:Z27" si="5">(W6-Y6) / 100 * 5 + (W6-Y6)</f>
        <v>113.73599999999999</v>
      </c>
    </row>
    <row r="7" spans="1:26" x14ac:dyDescent="0.2">
      <c r="A7" s="44">
        <v>3</v>
      </c>
      <c r="B7" s="12" t="s">
        <v>92</v>
      </c>
      <c r="C7" s="25">
        <f t="shared" si="1"/>
        <v>19.86</v>
      </c>
      <c r="D7" s="25">
        <f t="shared" si="2"/>
        <v>85.93</v>
      </c>
      <c r="E7" s="25"/>
      <c r="F7" s="25"/>
      <c r="G7" s="25">
        <f t="shared" si="3"/>
        <v>105.79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4"/>
        <v>131.66999999999999</v>
      </c>
      <c r="Y7" s="1">
        <v>15</v>
      </c>
      <c r="Z7" s="8">
        <f t="shared" si="5"/>
        <v>122.50349999999999</v>
      </c>
    </row>
    <row r="8" spans="1:26" x14ac:dyDescent="0.2">
      <c r="A8" s="44">
        <v>4</v>
      </c>
      <c r="B8" s="12" t="s">
        <v>93</v>
      </c>
      <c r="C8" s="25">
        <f t="shared" si="1"/>
        <v>45.58</v>
      </c>
      <c r="D8" s="25">
        <f t="shared" si="2"/>
        <v>70.930000000000007</v>
      </c>
      <c r="E8" s="25"/>
      <c r="F8" s="25"/>
      <c r="G8" s="25">
        <f t="shared" si="3"/>
        <v>116.51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4"/>
        <v>314.62</v>
      </c>
      <c r="Y8" s="1">
        <v>15</v>
      </c>
      <c r="Z8" s="8">
        <f t="shared" si="5"/>
        <v>314.601</v>
      </c>
    </row>
    <row r="9" spans="1:26" x14ac:dyDescent="0.2">
      <c r="A9" s="44">
        <v>5</v>
      </c>
      <c r="B9" s="12" t="s">
        <v>94</v>
      </c>
      <c r="C9" s="25">
        <f t="shared" si="1"/>
        <v>159.75</v>
      </c>
      <c r="D9" s="25">
        <f t="shared" si="2"/>
        <v>242.78</v>
      </c>
      <c r="E9" s="25"/>
      <c r="F9" s="25"/>
      <c r="G9" s="25">
        <f t="shared" si="3"/>
        <v>402.53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4"/>
        <v>48.22</v>
      </c>
      <c r="Y9" s="1">
        <v>20</v>
      </c>
      <c r="Z9" s="8">
        <f t="shared" si="5"/>
        <v>29.631</v>
      </c>
    </row>
    <row r="10" spans="1:26" x14ac:dyDescent="0.2">
      <c r="A10" s="44">
        <v>6</v>
      </c>
      <c r="B10" s="12" t="s">
        <v>95</v>
      </c>
      <c r="C10" s="25">
        <f t="shared" si="1"/>
        <v>33.93</v>
      </c>
      <c r="D10" s="25">
        <f t="shared" si="2"/>
        <v>14.8</v>
      </c>
      <c r="E10" s="25"/>
      <c r="F10" s="25"/>
      <c r="G10" s="25">
        <f t="shared" si="3"/>
        <v>48.730000000000004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4"/>
        <v>121.69</v>
      </c>
      <c r="Y10" s="1">
        <v>20</v>
      </c>
      <c r="Z10" s="8">
        <f t="shared" si="5"/>
        <v>106.7745</v>
      </c>
    </row>
    <row r="11" spans="1:26" x14ac:dyDescent="0.2">
      <c r="A11" s="44">
        <v>7</v>
      </c>
      <c r="B11" s="12" t="s">
        <v>96</v>
      </c>
      <c r="C11" s="25">
        <f t="shared" si="1"/>
        <v>34.19</v>
      </c>
      <c r="D11" s="25">
        <f t="shared" si="2"/>
        <v>68.38</v>
      </c>
      <c r="E11" s="25"/>
      <c r="F11" s="25"/>
      <c r="G11" s="25">
        <f t="shared" si="3"/>
        <v>102.57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4"/>
        <v>121.69</v>
      </c>
      <c r="Y11" s="1">
        <v>20</v>
      </c>
      <c r="Z11" s="8">
        <f t="shared" si="5"/>
        <v>106.7745</v>
      </c>
    </row>
    <row r="12" spans="1:26" x14ac:dyDescent="0.2">
      <c r="A12" s="44">
        <v>8</v>
      </c>
      <c r="B12" s="12" t="s">
        <v>97</v>
      </c>
      <c r="C12" s="25">
        <f t="shared" si="1"/>
        <v>36.79</v>
      </c>
      <c r="D12" s="25">
        <f t="shared" si="2"/>
        <v>67.91</v>
      </c>
      <c r="E12" s="25"/>
      <c r="F12" s="25"/>
      <c r="G12" s="25">
        <f t="shared" si="3"/>
        <v>104.69999999999999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4"/>
        <v>108.6</v>
      </c>
      <c r="Y12" s="1">
        <v>20</v>
      </c>
      <c r="Z12" s="8">
        <f t="shared" si="5"/>
        <v>93.03</v>
      </c>
    </row>
    <row r="13" spans="1:26" x14ac:dyDescent="0.2">
      <c r="A13" s="44">
        <v>9</v>
      </c>
      <c r="B13" s="12" t="s">
        <v>98</v>
      </c>
      <c r="C13" s="25">
        <f t="shared" si="1"/>
        <v>13.36</v>
      </c>
      <c r="D13" s="25">
        <f t="shared" si="2"/>
        <v>88.25</v>
      </c>
      <c r="E13" s="25"/>
      <c r="F13" s="25"/>
      <c r="G13" s="25">
        <f t="shared" si="3"/>
        <v>101.61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4"/>
        <v>121.56</v>
      </c>
      <c r="Y13" s="1">
        <v>20</v>
      </c>
      <c r="Z13" s="8">
        <f t="shared" si="5"/>
        <v>106.63800000000001</v>
      </c>
    </row>
    <row r="14" spans="1:26" x14ac:dyDescent="0.2">
      <c r="A14" s="44">
        <v>10</v>
      </c>
      <c r="B14" s="12" t="s">
        <v>99</v>
      </c>
      <c r="C14" s="25">
        <f t="shared" si="1"/>
        <v>34.97</v>
      </c>
      <c r="D14" s="25">
        <f t="shared" si="2"/>
        <v>70.28</v>
      </c>
      <c r="E14" s="25"/>
      <c r="F14" s="25"/>
      <c r="G14" s="25">
        <f t="shared" si="3"/>
        <v>105.25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4"/>
        <v>238.55</v>
      </c>
      <c r="Y14" s="1">
        <v>15</v>
      </c>
      <c r="Z14" s="8">
        <f t="shared" si="5"/>
        <v>234.72750000000002</v>
      </c>
    </row>
    <row r="15" spans="1:26" x14ac:dyDescent="0.2">
      <c r="A15" s="44">
        <v>11</v>
      </c>
      <c r="B15" s="12" t="s">
        <v>100</v>
      </c>
      <c r="C15" s="25">
        <f t="shared" si="1"/>
        <v>15.36</v>
      </c>
      <c r="D15" s="25">
        <f t="shared" si="2"/>
        <v>89.97</v>
      </c>
      <c r="E15" s="25"/>
      <c r="F15" s="25"/>
      <c r="G15" s="25">
        <f t="shared" si="3"/>
        <v>105.33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4"/>
        <v>99.24</v>
      </c>
      <c r="Y15" s="1">
        <v>20</v>
      </c>
      <c r="Z15" s="8">
        <f t="shared" si="5"/>
        <v>83.201999999999998</v>
      </c>
    </row>
    <row r="16" spans="1:26" x14ac:dyDescent="0.2">
      <c r="A16" s="44">
        <v>12</v>
      </c>
      <c r="B16" s="12" t="s">
        <v>101</v>
      </c>
      <c r="C16" s="25">
        <f t="shared" si="1"/>
        <v>42.14</v>
      </c>
      <c r="D16" s="25">
        <f t="shared" si="2"/>
        <v>59.81</v>
      </c>
      <c r="E16" s="25"/>
      <c r="F16" s="25"/>
      <c r="G16" s="25">
        <f t="shared" si="3"/>
        <v>101.95</v>
      </c>
      <c r="H16" s="37"/>
      <c r="I16" s="33"/>
      <c r="J16" s="35"/>
      <c r="K16" s="33">
        <f t="shared" si="0"/>
        <v>0</v>
      </c>
      <c r="L16" s="38"/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4"/>
        <v>74.89</v>
      </c>
      <c r="Y16" s="1">
        <v>5.4</v>
      </c>
      <c r="Z16" s="8">
        <f t="shared" si="5"/>
        <v>72.964500000000001</v>
      </c>
    </row>
    <row r="17" spans="1:26" x14ac:dyDescent="0.2">
      <c r="A17" s="44">
        <v>13</v>
      </c>
      <c r="B17" s="12" t="s">
        <v>102</v>
      </c>
      <c r="C17" s="25">
        <f t="shared" si="1"/>
        <v>63.53</v>
      </c>
      <c r="D17" s="25">
        <f t="shared" si="2"/>
        <v>157.88999999999999</v>
      </c>
      <c r="E17" s="25"/>
      <c r="F17" s="25"/>
      <c r="G17" s="25">
        <f t="shared" si="3"/>
        <v>221.42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4"/>
        <v>93.33</v>
      </c>
      <c r="Y17" s="1">
        <v>5.4</v>
      </c>
      <c r="Z17" s="8">
        <f t="shared" si="5"/>
        <v>92.326499999999996</v>
      </c>
    </row>
    <row r="18" spans="1:26" x14ac:dyDescent="0.2">
      <c r="A18" s="44">
        <v>14</v>
      </c>
      <c r="B18" s="12" t="s">
        <v>103</v>
      </c>
      <c r="C18" s="25"/>
      <c r="D18" s="25"/>
      <c r="E18" s="25"/>
      <c r="F18" s="25">
        <f>SUM(N18:R18)-SUM(S18:T18)</f>
        <v>86.309999999999988</v>
      </c>
      <c r="G18" s="25">
        <f t="shared" si="3"/>
        <v>86.309999999999988</v>
      </c>
      <c r="H18" s="37"/>
      <c r="I18" s="33"/>
      <c r="J18" s="35"/>
      <c r="K18" s="33">
        <f t="shared" si="0"/>
        <v>0</v>
      </c>
      <c r="L18" s="38"/>
      <c r="M18" s="1" t="s">
        <v>67</v>
      </c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4"/>
        <v>33.979999999999997</v>
      </c>
      <c r="Z18" s="8">
        <f t="shared" si="5"/>
        <v>35.678999999999995</v>
      </c>
    </row>
    <row r="19" spans="1:26" x14ac:dyDescent="0.2">
      <c r="A19" s="44">
        <v>15</v>
      </c>
      <c r="B19" s="12" t="s">
        <v>104</v>
      </c>
      <c r="C19" s="25"/>
      <c r="D19" s="25"/>
      <c r="E19" s="25"/>
      <c r="F19" s="25">
        <f t="shared" ref="F19:F21" si="6">SUM(N19:R19)-SUM(S19:T19)</f>
        <v>113.91</v>
      </c>
      <c r="G19" s="25">
        <f t="shared" si="3"/>
        <v>113.91</v>
      </c>
      <c r="H19" s="37"/>
      <c r="I19" s="33"/>
      <c r="J19" s="35"/>
      <c r="K19" s="33">
        <f t="shared" si="0"/>
        <v>0</v>
      </c>
      <c r="L19" s="38"/>
      <c r="M19" s="1" t="s">
        <v>67</v>
      </c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4"/>
        <v>16.399999999999999</v>
      </c>
      <c r="Z19" s="8">
        <f t="shared" si="5"/>
        <v>17.22</v>
      </c>
    </row>
    <row r="20" spans="1:26" x14ac:dyDescent="0.2">
      <c r="A20" s="44">
        <v>16</v>
      </c>
      <c r="B20" s="12" t="s">
        <v>105</v>
      </c>
      <c r="C20" s="25"/>
      <c r="D20" s="25"/>
      <c r="E20" s="25"/>
      <c r="F20" s="25">
        <f t="shared" si="6"/>
        <v>36.11</v>
      </c>
      <c r="G20" s="25">
        <f t="shared" si="3"/>
        <v>36.11</v>
      </c>
      <c r="H20" s="37"/>
      <c r="I20" s="33"/>
      <c r="J20" s="35"/>
      <c r="K20" s="33">
        <f t="shared" si="0"/>
        <v>0</v>
      </c>
      <c r="L20" s="38"/>
      <c r="M20" s="1" t="s">
        <v>67</v>
      </c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4"/>
        <v>36.46</v>
      </c>
      <c r="Z20" s="8">
        <f t="shared" si="5"/>
        <v>38.283000000000001</v>
      </c>
    </row>
    <row r="21" spans="1:26" x14ac:dyDescent="0.2">
      <c r="A21" s="44">
        <v>17</v>
      </c>
      <c r="B21" s="12" t="s">
        <v>106</v>
      </c>
      <c r="C21" s="25"/>
      <c r="D21" s="25"/>
      <c r="E21" s="25"/>
      <c r="F21" s="25">
        <f t="shared" si="6"/>
        <v>25.16</v>
      </c>
      <c r="G21" s="25">
        <f t="shared" si="3"/>
        <v>25.16</v>
      </c>
      <c r="H21" s="37"/>
      <c r="I21" s="33"/>
      <c r="J21" s="35"/>
      <c r="K21" s="33">
        <f t="shared" si="0"/>
        <v>0</v>
      </c>
      <c r="L21" s="38"/>
      <c r="M21" s="1" t="s">
        <v>67</v>
      </c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4"/>
        <v>273.23</v>
      </c>
      <c r="Y21" s="1">
        <v>2.7</v>
      </c>
      <c r="Z21" s="8">
        <f t="shared" si="5"/>
        <v>284.05650000000003</v>
      </c>
    </row>
    <row r="22" spans="1:26" x14ac:dyDescent="0.2">
      <c r="A22" s="44">
        <v>18</v>
      </c>
      <c r="B22" s="12" t="s">
        <v>107</v>
      </c>
      <c r="C22" s="25">
        <f t="shared" ref="C22:C27" si="7">ROUND(N22+O22-T22, 2)</f>
        <v>78.069999999999993</v>
      </c>
      <c r="D22" s="25">
        <f t="shared" ref="D22:D27" si="8">ROUND(P22+Q22+R22-S22, 2)</f>
        <v>205.31</v>
      </c>
      <c r="E22" s="25"/>
      <c r="F22" s="25"/>
      <c r="G22" s="25">
        <f t="shared" si="3"/>
        <v>283.38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4"/>
        <v>431.54</v>
      </c>
      <c r="Y22" s="1">
        <v>5.4</v>
      </c>
      <c r="Z22" s="8">
        <f t="shared" si="5"/>
        <v>447.44700000000006</v>
      </c>
    </row>
    <row r="23" spans="1:26" x14ac:dyDescent="0.2">
      <c r="A23" s="44">
        <v>19</v>
      </c>
      <c r="B23" s="12" t="s">
        <v>108</v>
      </c>
      <c r="C23" s="25">
        <f t="shared" si="7"/>
        <v>74.56</v>
      </c>
      <c r="D23" s="25">
        <f t="shared" si="8"/>
        <v>243.42</v>
      </c>
      <c r="E23" s="25"/>
      <c r="F23" s="25"/>
      <c r="G23" s="25">
        <f t="shared" si="3"/>
        <v>317.98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4"/>
        <v>50.64</v>
      </c>
      <c r="Z23" s="8">
        <f t="shared" si="5"/>
        <v>53.171999999999997</v>
      </c>
    </row>
    <row r="24" spans="1:26" x14ac:dyDescent="0.2">
      <c r="A24" s="44">
        <v>20</v>
      </c>
      <c r="B24" s="12" t="s">
        <v>109</v>
      </c>
      <c r="C24" s="25">
        <f t="shared" si="7"/>
        <v>37.6</v>
      </c>
      <c r="D24" s="25">
        <f t="shared" si="8"/>
        <v>48.09</v>
      </c>
      <c r="E24" s="25"/>
      <c r="F24" s="25"/>
      <c r="G24" s="25">
        <f t="shared" si="3"/>
        <v>85.69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4"/>
        <v>29.16</v>
      </c>
      <c r="Z24" s="8">
        <f t="shared" si="5"/>
        <v>30.618000000000002</v>
      </c>
    </row>
    <row r="25" spans="1:26" x14ac:dyDescent="0.2">
      <c r="A25" s="44">
        <v>21</v>
      </c>
      <c r="B25" s="12" t="s">
        <v>121</v>
      </c>
      <c r="C25" s="25">
        <f t="shared" si="7"/>
        <v>69.510000000000005</v>
      </c>
      <c r="D25" s="25">
        <f t="shared" si="8"/>
        <v>95.88</v>
      </c>
      <c r="E25" s="25"/>
      <c r="F25" s="25"/>
      <c r="G25" s="25">
        <f t="shared" si="3"/>
        <v>165.39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4"/>
        <v>35.47</v>
      </c>
      <c r="Z25" s="8">
        <f t="shared" si="5"/>
        <v>37.243499999999997</v>
      </c>
    </row>
    <row r="26" spans="1:26" x14ac:dyDescent="0.2">
      <c r="A26" s="44">
        <v>22</v>
      </c>
      <c r="B26" s="12" t="s">
        <v>122</v>
      </c>
      <c r="C26" s="25"/>
      <c r="D26" s="25"/>
      <c r="E26" s="25">
        <f>SUM(N26:R26)-SUM(S26:T26)</f>
        <v>38.590000000000003</v>
      </c>
      <c r="F26" s="25"/>
      <c r="G26" s="25">
        <f t="shared" si="3"/>
        <v>38.590000000000003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4"/>
        <v>48.34</v>
      </c>
      <c r="Z26" s="8">
        <f t="shared" si="5"/>
        <v>50.757000000000005</v>
      </c>
    </row>
    <row r="27" spans="1:26" x14ac:dyDescent="0.2">
      <c r="A27" s="44">
        <v>23</v>
      </c>
      <c r="B27" s="12" t="s">
        <v>123</v>
      </c>
      <c r="C27" s="25">
        <f t="shared" si="7"/>
        <v>13.56</v>
      </c>
      <c r="D27" s="25">
        <f t="shared" si="8"/>
        <v>48.85</v>
      </c>
      <c r="E27" s="25"/>
      <c r="F27" s="25"/>
      <c r="G27" s="25">
        <f t="shared" si="3"/>
        <v>62.410000000000004</v>
      </c>
      <c r="H27" s="37"/>
      <c r="I27" s="33"/>
      <c r="J27" s="35"/>
      <c r="K27" s="33">
        <f t="shared" si="0"/>
        <v>0</v>
      </c>
      <c r="L27" s="38"/>
      <c r="M27" s="1" t="s">
        <v>68</v>
      </c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4"/>
        <v>43.96</v>
      </c>
      <c r="Z27" s="8">
        <f t="shared" si="5"/>
        <v>46.158000000000001</v>
      </c>
    </row>
    <row r="28" spans="1:26" x14ac:dyDescent="0.2">
      <c r="A28" s="28"/>
      <c r="B28" s="28" t="s">
        <v>19</v>
      </c>
      <c r="C28" s="25">
        <f>SUM(C5:C27)</f>
        <v>840.60999999999979</v>
      </c>
      <c r="D28" s="25">
        <f>SUM(D5:D27)</f>
        <v>1864.9899999999998</v>
      </c>
      <c r="E28" s="25">
        <f>SUM(E5:E27)</f>
        <v>38.590000000000003</v>
      </c>
      <c r="F28" s="25">
        <f>SUM(F5:F27)</f>
        <v>261.49</v>
      </c>
      <c r="G28" s="25">
        <f>SUM(G5:G27)</f>
        <v>3005.68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6"/>
  <sheetViews>
    <sheetView zoomScaleNormal="100" workbookViewId="0">
      <selection activeCell="E3" sqref="E3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ht="13.5" thickBot="1" x14ac:dyDescent="0.25">
      <c r="A2" s="46" t="s">
        <v>0</v>
      </c>
      <c r="B2" s="47" t="s">
        <v>1</v>
      </c>
      <c r="C2" s="48" t="s">
        <v>15</v>
      </c>
      <c r="D2" s="49" t="s">
        <v>16</v>
      </c>
      <c r="E2" s="50" t="s">
        <v>8</v>
      </c>
    </row>
    <row r="3" spans="1:5" ht="38.25" customHeight="1" x14ac:dyDescent="0.2">
      <c r="A3" s="63" t="s">
        <v>11</v>
      </c>
      <c r="B3" s="71" t="s">
        <v>71</v>
      </c>
      <c r="C3" s="65" t="s">
        <v>9</v>
      </c>
      <c r="D3" s="54">
        <v>1</v>
      </c>
      <c r="E3" s="55">
        <v>3167.2299999999996</v>
      </c>
    </row>
    <row r="4" spans="1:5" x14ac:dyDescent="0.2">
      <c r="A4" s="67" t="s">
        <v>7</v>
      </c>
      <c r="B4" s="4" t="s">
        <v>89</v>
      </c>
      <c r="C4" s="3" t="s">
        <v>10</v>
      </c>
      <c r="D4" s="9">
        <v>0.3</v>
      </c>
      <c r="E4" s="57">
        <f>D4*E3</f>
        <v>950.16899999999987</v>
      </c>
    </row>
    <row r="5" spans="1:5" ht="13.5" thickBot="1" x14ac:dyDescent="0.25">
      <c r="A5" s="68" t="s">
        <v>72</v>
      </c>
      <c r="B5" s="69" t="s">
        <v>73</v>
      </c>
      <c r="C5" s="70" t="s">
        <v>9</v>
      </c>
      <c r="D5" s="61">
        <v>1.1000000000000001</v>
      </c>
      <c r="E5" s="62">
        <f>D5*E3</f>
        <v>3483.953</v>
      </c>
    </row>
    <row r="6" spans="1:5" ht="38.25" x14ac:dyDescent="0.2">
      <c r="A6" s="63" t="s">
        <v>12</v>
      </c>
      <c r="B6" s="71" t="s">
        <v>81</v>
      </c>
      <c r="C6" s="65" t="s">
        <v>82</v>
      </c>
      <c r="D6" s="54">
        <v>1</v>
      </c>
      <c r="E6" s="55">
        <f>сп1.2.3эт!C22</f>
        <v>235.59000000000003</v>
      </c>
    </row>
    <row r="7" spans="1:5" x14ac:dyDescent="0.2">
      <c r="A7" s="67" t="s">
        <v>13</v>
      </c>
      <c r="B7" s="4" t="s">
        <v>6</v>
      </c>
      <c r="C7" s="3" t="s">
        <v>10</v>
      </c>
      <c r="D7" s="9">
        <v>1.3</v>
      </c>
      <c r="E7" s="57">
        <f>$E$6*D7*23.077</f>
        <v>7067.7235590000018</v>
      </c>
    </row>
    <row r="8" spans="1:5" x14ac:dyDescent="0.2">
      <c r="A8" s="67" t="s">
        <v>14</v>
      </c>
      <c r="B8" s="21" t="s">
        <v>113</v>
      </c>
      <c r="C8" s="3" t="s">
        <v>82</v>
      </c>
      <c r="D8" s="9">
        <v>1.1000000000000001</v>
      </c>
      <c r="E8" s="57">
        <f t="shared" ref="E8:E10" si="0">$E$6*D8</f>
        <v>259.14900000000006</v>
      </c>
    </row>
    <row r="9" spans="1:5" x14ac:dyDescent="0.2">
      <c r="A9" s="67" t="s">
        <v>74</v>
      </c>
      <c r="B9" s="4" t="s">
        <v>80</v>
      </c>
      <c r="C9" s="3" t="s">
        <v>9</v>
      </c>
      <c r="D9" s="9">
        <v>1</v>
      </c>
      <c r="E9" s="57">
        <f t="shared" si="0"/>
        <v>235.59000000000003</v>
      </c>
    </row>
    <row r="10" spans="1:5" ht="13.5" thickBot="1" x14ac:dyDescent="0.25">
      <c r="A10" s="68" t="s">
        <v>86</v>
      </c>
      <c r="B10" s="69" t="s">
        <v>18</v>
      </c>
      <c r="C10" s="70" t="s">
        <v>10</v>
      </c>
      <c r="D10" s="61">
        <v>0.25</v>
      </c>
      <c r="E10" s="62">
        <f t="shared" si="0"/>
        <v>58.897500000000008</v>
      </c>
    </row>
    <row r="11" spans="1:5" ht="38.25" x14ac:dyDescent="0.2">
      <c r="A11" s="63" t="s">
        <v>75</v>
      </c>
      <c r="B11" s="64" t="s">
        <v>83</v>
      </c>
      <c r="C11" s="65" t="s">
        <v>82</v>
      </c>
      <c r="D11" s="54">
        <v>1</v>
      </c>
      <c r="E11" s="55">
        <f>сп1.2.3эт!E22</f>
        <v>124.25</v>
      </c>
    </row>
    <row r="12" spans="1:5" x14ac:dyDescent="0.2">
      <c r="A12" s="67" t="s">
        <v>76</v>
      </c>
      <c r="B12" s="4" t="s">
        <v>18</v>
      </c>
      <c r="C12" s="3" t="s">
        <v>10</v>
      </c>
      <c r="D12" s="9">
        <v>0.25</v>
      </c>
      <c r="E12" s="57">
        <f>E11*D12</f>
        <v>31.0625</v>
      </c>
    </row>
    <row r="13" spans="1:5" x14ac:dyDescent="0.2">
      <c r="A13" s="67" t="s">
        <v>77</v>
      </c>
      <c r="B13" s="4" t="s">
        <v>80</v>
      </c>
      <c r="C13" s="3" t="s">
        <v>9</v>
      </c>
      <c r="D13" s="9">
        <v>1</v>
      </c>
      <c r="E13" s="57">
        <f>E11*D13</f>
        <v>124.25</v>
      </c>
    </row>
    <row r="14" spans="1:5" x14ac:dyDescent="0.2">
      <c r="A14" s="67" t="s">
        <v>78</v>
      </c>
      <c r="B14" s="21" t="s">
        <v>113</v>
      </c>
      <c r="C14" s="3" t="s">
        <v>82</v>
      </c>
      <c r="D14" s="9">
        <v>1.1000000000000001</v>
      </c>
      <c r="E14" s="57">
        <f>E11*D14</f>
        <v>136.67500000000001</v>
      </c>
    </row>
    <row r="15" spans="1:5" ht="13.5" thickBot="1" x14ac:dyDescent="0.25">
      <c r="A15" s="68" t="s">
        <v>79</v>
      </c>
      <c r="B15" s="69" t="s">
        <v>6</v>
      </c>
      <c r="C15" s="70" t="s">
        <v>10</v>
      </c>
      <c r="D15" s="61">
        <v>1.3</v>
      </c>
      <c r="E15" s="62">
        <f>E11*D15*23.077</f>
        <v>3727.5124250000003</v>
      </c>
    </row>
    <row r="16" spans="1:5" ht="38.25" x14ac:dyDescent="0.2">
      <c r="A16" s="63" t="s">
        <v>87</v>
      </c>
      <c r="B16" s="64" t="s">
        <v>84</v>
      </c>
      <c r="C16" s="65" t="s">
        <v>82</v>
      </c>
      <c r="D16" s="54">
        <v>1</v>
      </c>
      <c r="E16" s="55">
        <f>сп1.2.3эт!F22</f>
        <v>225.55</v>
      </c>
    </row>
    <row r="17" spans="1:5" x14ac:dyDescent="0.2">
      <c r="A17" s="56">
        <v>4.0999999999999996</v>
      </c>
      <c r="B17" s="21" t="s">
        <v>6</v>
      </c>
      <c r="C17" s="72" t="s">
        <v>10</v>
      </c>
      <c r="D17" s="9">
        <v>1.3</v>
      </c>
      <c r="E17" s="57">
        <f>E16*D17*23.077</f>
        <v>6766.5225550000014</v>
      </c>
    </row>
    <row r="18" spans="1:5" x14ac:dyDescent="0.2">
      <c r="A18" s="56">
        <v>4.2</v>
      </c>
      <c r="B18" s="21" t="s">
        <v>113</v>
      </c>
      <c r="C18" s="72" t="s">
        <v>82</v>
      </c>
      <c r="D18" s="9">
        <v>1.1000000000000001</v>
      </c>
      <c r="E18" s="57">
        <f>E16*D18</f>
        <v>248.10500000000005</v>
      </c>
    </row>
    <row r="19" spans="1:5" x14ac:dyDescent="0.2">
      <c r="A19" s="56">
        <v>4.3</v>
      </c>
      <c r="B19" s="21" t="s">
        <v>80</v>
      </c>
      <c r="C19" s="72" t="s">
        <v>9</v>
      </c>
      <c r="D19" s="9">
        <v>1</v>
      </c>
      <c r="E19" s="57">
        <f>E16*D19</f>
        <v>225.55</v>
      </c>
    </row>
    <row r="20" spans="1:5" ht="13.5" thickBot="1" x14ac:dyDescent="0.25">
      <c r="A20" s="58">
        <v>4.4000000000000004</v>
      </c>
      <c r="B20" s="66" t="s">
        <v>18</v>
      </c>
      <c r="C20" s="60" t="s">
        <v>10</v>
      </c>
      <c r="D20" s="61">
        <v>0.25</v>
      </c>
      <c r="E20" s="62">
        <f>E16*D20</f>
        <v>56.387500000000003</v>
      </c>
    </row>
    <row r="21" spans="1:5" ht="38.25" x14ac:dyDescent="0.2">
      <c r="A21" s="51">
        <v>5</v>
      </c>
      <c r="B21" s="52" t="s">
        <v>85</v>
      </c>
      <c r="C21" s="53" t="s">
        <v>82</v>
      </c>
      <c r="D21" s="54">
        <v>1</v>
      </c>
      <c r="E21" s="55">
        <f>сп1.2.3эт!D22</f>
        <v>1208.07</v>
      </c>
    </row>
    <row r="22" spans="1:5" x14ac:dyDescent="0.2">
      <c r="A22" s="56">
        <v>5.0999999999999996</v>
      </c>
      <c r="B22" s="21" t="s">
        <v>17</v>
      </c>
      <c r="C22" s="72" t="s">
        <v>10</v>
      </c>
      <c r="D22" s="9">
        <v>0.15</v>
      </c>
      <c r="E22" s="57">
        <f>E21*D22</f>
        <v>181.2105</v>
      </c>
    </row>
    <row r="23" spans="1:5" x14ac:dyDescent="0.2">
      <c r="A23" s="56">
        <v>5.2</v>
      </c>
      <c r="B23" s="21" t="s">
        <v>80</v>
      </c>
      <c r="C23" s="72" t="s">
        <v>9</v>
      </c>
      <c r="D23" s="9">
        <v>1</v>
      </c>
      <c r="E23" s="57">
        <f>E21*D23</f>
        <v>1208.07</v>
      </c>
    </row>
    <row r="24" spans="1:5" x14ac:dyDescent="0.2">
      <c r="A24" s="56">
        <v>5.3</v>
      </c>
      <c r="B24" s="21" t="s">
        <v>113</v>
      </c>
      <c r="C24" s="72" t="s">
        <v>82</v>
      </c>
      <c r="D24" s="9">
        <v>1.1000000000000001</v>
      </c>
      <c r="E24" s="57">
        <f>E21*D24</f>
        <v>1328.877</v>
      </c>
    </row>
    <row r="25" spans="1:5" x14ac:dyDescent="0.2">
      <c r="A25" s="56">
        <v>5.4</v>
      </c>
      <c r="B25" s="21" t="s">
        <v>6</v>
      </c>
      <c r="C25" s="72" t="s">
        <v>10</v>
      </c>
      <c r="D25" s="9">
        <v>1.3</v>
      </c>
      <c r="E25" s="57">
        <f>E21*D25*23.077</f>
        <v>36242.220807000005</v>
      </c>
    </row>
    <row r="26" spans="1:5" ht="13.5" thickBot="1" x14ac:dyDescent="0.25">
      <c r="A26" s="58">
        <v>6</v>
      </c>
      <c r="B26" s="59" t="s">
        <v>88</v>
      </c>
      <c r="C26" s="60" t="s">
        <v>9</v>
      </c>
      <c r="D26" s="61">
        <v>1</v>
      </c>
      <c r="E26" s="62">
        <v>315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G22"/>
  <sheetViews>
    <sheetView tabSelected="1" zoomScale="130" zoomScaleNormal="130" workbookViewId="0">
      <selection activeCell="G11" sqref="G5:G11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16384" width="9.140625" style="1"/>
  </cols>
  <sheetData>
    <row r="1" spans="1:7" x14ac:dyDescent="0.2">
      <c r="A1" s="78" t="s">
        <v>2</v>
      </c>
      <c r="B1" s="78"/>
      <c r="C1" s="78"/>
      <c r="D1" s="78"/>
      <c r="E1" s="78"/>
      <c r="F1" s="78"/>
      <c r="G1" s="78"/>
    </row>
    <row r="2" spans="1:7" x14ac:dyDescent="0.2">
      <c r="A2" s="79" t="s">
        <v>64</v>
      </c>
      <c r="B2" s="79"/>
      <c r="C2" s="79"/>
      <c r="D2" s="79"/>
      <c r="E2" s="79"/>
      <c r="F2" s="79"/>
      <c r="G2" s="79"/>
    </row>
    <row r="3" spans="1:7" ht="25.5" x14ac:dyDescent="0.2">
      <c r="A3" s="72"/>
      <c r="B3" s="12"/>
      <c r="C3" s="6" t="s">
        <v>65</v>
      </c>
      <c r="D3" s="73" t="s">
        <v>69</v>
      </c>
      <c r="E3" s="73" t="s">
        <v>68</v>
      </c>
      <c r="F3" s="73" t="s">
        <v>67</v>
      </c>
      <c r="G3" s="15" t="s">
        <v>3</v>
      </c>
    </row>
    <row r="4" spans="1:7" x14ac:dyDescent="0.2">
      <c r="A4" s="7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</row>
    <row r="5" spans="1:7" x14ac:dyDescent="0.2">
      <c r="A5" s="72">
        <v>1</v>
      </c>
      <c r="B5" s="12" t="s">
        <v>125</v>
      </c>
      <c r="C5" s="25"/>
      <c r="D5" s="25"/>
      <c r="E5" s="25"/>
      <c r="F5" s="25">
        <v>75.790000000000006</v>
      </c>
      <c r="G5" s="25">
        <f>SUM(C5:F5)</f>
        <v>75.790000000000006</v>
      </c>
    </row>
    <row r="6" spans="1:7" x14ac:dyDescent="0.2">
      <c r="A6" s="74">
        <v>2</v>
      </c>
      <c r="B6" s="12" t="s">
        <v>126</v>
      </c>
      <c r="C6" s="25"/>
      <c r="D6" s="25"/>
      <c r="E6" s="25"/>
      <c r="F6" s="25">
        <v>93.93</v>
      </c>
      <c r="G6" s="25">
        <f t="shared" ref="G6:G21" si="0">SUM(C6:F6)</f>
        <v>93.93</v>
      </c>
    </row>
    <row r="7" spans="1:7" x14ac:dyDescent="0.2">
      <c r="A7" s="74">
        <v>3</v>
      </c>
      <c r="B7" s="12" t="s">
        <v>127</v>
      </c>
      <c r="C7" s="25"/>
      <c r="D7" s="25"/>
      <c r="E7" s="25"/>
      <c r="F7" s="25">
        <v>34.979999999999997</v>
      </c>
      <c r="G7" s="25">
        <f t="shared" si="0"/>
        <v>34.979999999999997</v>
      </c>
    </row>
    <row r="8" spans="1:7" x14ac:dyDescent="0.2">
      <c r="A8" s="74">
        <v>4</v>
      </c>
      <c r="B8" s="12" t="s">
        <v>124</v>
      </c>
      <c r="C8" s="25"/>
      <c r="D8" s="25"/>
      <c r="E8" s="25"/>
      <c r="F8" s="25">
        <v>20.85</v>
      </c>
      <c r="G8" s="25">
        <f t="shared" si="0"/>
        <v>20.85</v>
      </c>
    </row>
    <row r="9" spans="1:7" x14ac:dyDescent="0.2">
      <c r="A9" s="74">
        <v>5</v>
      </c>
      <c r="B9" s="12" t="s">
        <v>128</v>
      </c>
      <c r="C9" s="25"/>
      <c r="D9" s="25"/>
      <c r="E9" s="25">
        <v>38.89</v>
      </c>
      <c r="F9" s="25"/>
      <c r="G9" s="25">
        <f t="shared" si="0"/>
        <v>38.89</v>
      </c>
    </row>
    <row r="10" spans="1:7" x14ac:dyDescent="0.2">
      <c r="A10" s="74">
        <v>6</v>
      </c>
      <c r="B10" s="12" t="s">
        <v>130</v>
      </c>
      <c r="C10" s="25">
        <v>1.89</v>
      </c>
      <c r="D10" s="25">
        <v>83.51</v>
      </c>
      <c r="E10" s="25"/>
      <c r="F10" s="25"/>
      <c r="G10" s="25">
        <f t="shared" si="0"/>
        <v>85.4</v>
      </c>
    </row>
    <row r="11" spans="1:7" x14ac:dyDescent="0.2">
      <c r="A11" s="74">
        <v>7</v>
      </c>
      <c r="B11" s="12" t="s">
        <v>131</v>
      </c>
      <c r="C11" s="25">
        <v>1.63</v>
      </c>
      <c r="D11" s="25">
        <v>87.22</v>
      </c>
      <c r="E11" s="25"/>
      <c r="F11" s="25"/>
      <c r="G11" s="25">
        <f t="shared" si="0"/>
        <v>88.85</v>
      </c>
    </row>
    <row r="12" spans="1:7" x14ac:dyDescent="0.2">
      <c r="A12" s="74">
        <v>8</v>
      </c>
      <c r="B12" s="12" t="s">
        <v>132</v>
      </c>
      <c r="C12" s="25">
        <v>66.650000000000006</v>
      </c>
      <c r="D12" s="25">
        <v>161.4</v>
      </c>
      <c r="E12" s="25"/>
      <c r="F12" s="25"/>
      <c r="G12" s="25">
        <f t="shared" si="0"/>
        <v>228.05</v>
      </c>
    </row>
    <row r="13" spans="1:7" x14ac:dyDescent="0.2">
      <c r="A13" s="74">
        <v>9</v>
      </c>
      <c r="B13" s="12" t="s">
        <v>133</v>
      </c>
      <c r="C13" s="25">
        <v>69.88</v>
      </c>
      <c r="D13" s="25">
        <v>357.36</v>
      </c>
      <c r="E13" s="25"/>
      <c r="F13" s="25"/>
      <c r="G13" s="25">
        <f t="shared" si="0"/>
        <v>427.24</v>
      </c>
    </row>
    <row r="14" spans="1:7" x14ac:dyDescent="0.2">
      <c r="A14" s="74">
        <v>10</v>
      </c>
      <c r="B14" s="12" t="s">
        <v>134</v>
      </c>
      <c r="C14" s="25">
        <v>36.6</v>
      </c>
      <c r="D14" s="25">
        <v>41.25</v>
      </c>
      <c r="E14" s="25"/>
      <c r="F14" s="25"/>
      <c r="G14" s="25">
        <f t="shared" si="0"/>
        <v>77.849999999999994</v>
      </c>
    </row>
    <row r="15" spans="1:7" x14ac:dyDescent="0.2">
      <c r="A15" s="74">
        <v>11</v>
      </c>
      <c r="B15" s="12" t="s">
        <v>135</v>
      </c>
      <c r="C15" s="25">
        <v>32.200000000000003</v>
      </c>
      <c r="D15" s="25">
        <v>287.72000000000003</v>
      </c>
      <c r="E15" s="25"/>
      <c r="F15" s="25"/>
      <c r="G15" s="25">
        <f t="shared" si="0"/>
        <v>319.92</v>
      </c>
    </row>
    <row r="16" spans="1:7" x14ac:dyDescent="0.2">
      <c r="A16" s="74">
        <v>12</v>
      </c>
      <c r="B16" s="12" t="s">
        <v>136</v>
      </c>
      <c r="C16" s="25">
        <v>1.02</v>
      </c>
      <c r="D16" s="25">
        <v>82.31</v>
      </c>
      <c r="E16" s="25"/>
      <c r="F16" s="25"/>
      <c r="G16" s="25">
        <f t="shared" si="0"/>
        <v>83.33</v>
      </c>
    </row>
    <row r="17" spans="1:7" x14ac:dyDescent="0.2">
      <c r="A17" s="74">
        <v>13</v>
      </c>
      <c r="B17" s="12" t="s">
        <v>50</v>
      </c>
      <c r="C17" s="25"/>
      <c r="D17" s="25"/>
      <c r="E17" s="25">
        <v>28.81</v>
      </c>
      <c r="F17" s="25"/>
      <c r="G17" s="25">
        <f t="shared" si="0"/>
        <v>28.81</v>
      </c>
    </row>
    <row r="18" spans="1:7" x14ac:dyDescent="0.2">
      <c r="A18" s="74">
        <v>14</v>
      </c>
      <c r="B18" s="12" t="s">
        <v>51</v>
      </c>
      <c r="C18" s="25"/>
      <c r="D18" s="25"/>
      <c r="E18" s="25">
        <v>28.19</v>
      </c>
      <c r="F18" s="25"/>
      <c r="G18" s="25">
        <f t="shared" si="0"/>
        <v>28.19</v>
      </c>
    </row>
    <row r="19" spans="1:7" x14ac:dyDescent="0.2">
      <c r="A19" s="74">
        <v>15</v>
      </c>
      <c r="B19" s="12" t="s">
        <v>55</v>
      </c>
      <c r="C19" s="25"/>
      <c r="D19" s="25"/>
      <c r="E19" s="25">
        <v>28.36</v>
      </c>
      <c r="F19" s="25"/>
      <c r="G19" s="25">
        <f t="shared" si="0"/>
        <v>28.36</v>
      </c>
    </row>
    <row r="20" spans="1:7" x14ac:dyDescent="0.2">
      <c r="A20" s="74">
        <v>16</v>
      </c>
      <c r="B20" s="12" t="s">
        <v>137</v>
      </c>
      <c r="C20" s="25">
        <v>24.7</v>
      </c>
      <c r="D20" s="25">
        <v>53.51</v>
      </c>
      <c r="E20" s="25"/>
      <c r="F20" s="25"/>
      <c r="G20" s="25">
        <f t="shared" si="0"/>
        <v>78.209999999999994</v>
      </c>
    </row>
    <row r="21" spans="1:7" x14ac:dyDescent="0.2">
      <c r="A21" s="74">
        <v>17</v>
      </c>
      <c r="B21" s="12" t="s">
        <v>138</v>
      </c>
      <c r="C21" s="25">
        <v>1.02</v>
      </c>
      <c r="D21" s="25">
        <v>53.79</v>
      </c>
      <c r="E21" s="25"/>
      <c r="F21" s="25"/>
      <c r="G21" s="25">
        <f t="shared" si="0"/>
        <v>54.81</v>
      </c>
    </row>
    <row r="22" spans="1:7" x14ac:dyDescent="0.2">
      <c r="A22" s="72"/>
      <c r="B22" s="72" t="s">
        <v>19</v>
      </c>
      <c r="C22" s="25">
        <f>SUM(C5:C21)</f>
        <v>235.59000000000003</v>
      </c>
      <c r="D22" s="25">
        <f>SUM(D5:D21)</f>
        <v>1208.07</v>
      </c>
      <c r="E22" s="25">
        <f>SUM(E5:E21)</f>
        <v>124.25</v>
      </c>
      <c r="F22" s="25">
        <f>SUM(F5:F21)</f>
        <v>225.55</v>
      </c>
      <c r="G22" s="25">
        <f>SUM(G5:G21)</f>
        <v>1793.4599999999998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workbookViewId="0">
      <selection activeCell="F22" sqref="C22:F22"/>
    </sheetView>
  </sheetViews>
  <sheetFormatPr defaultRowHeight="15" x14ac:dyDescent="0.25"/>
  <sheetData>
    <row r="1" spans="1:4" x14ac:dyDescent="0.25">
      <c r="A1" t="s">
        <v>140</v>
      </c>
      <c r="B1" t="s">
        <v>139</v>
      </c>
      <c r="C1" t="s">
        <v>142</v>
      </c>
      <c r="D1" t="s">
        <v>143</v>
      </c>
    </row>
    <row r="2" spans="1:4" x14ac:dyDescent="0.25">
      <c r="A2">
        <v>1</v>
      </c>
      <c r="B2" s="76">
        <v>544.88</v>
      </c>
      <c r="C2" s="76">
        <v>528.22</v>
      </c>
      <c r="D2" s="76">
        <v>563.80999999999995</v>
      </c>
    </row>
    <row r="3" spans="1:4" x14ac:dyDescent="0.25">
      <c r="B3" s="76"/>
      <c r="C3" s="76"/>
      <c r="D3" s="76"/>
    </row>
    <row r="4" spans="1:4" x14ac:dyDescent="0.25">
      <c r="A4">
        <v>4.0999999999999996</v>
      </c>
      <c r="B4" s="76">
        <v>492.07</v>
      </c>
      <c r="C4" s="76">
        <v>542.94000000000005</v>
      </c>
      <c r="D4" s="76">
        <v>303.39999999999998</v>
      </c>
    </row>
    <row r="5" spans="1:4" x14ac:dyDescent="0.25">
      <c r="A5" t="s">
        <v>129</v>
      </c>
      <c r="B5" s="77">
        <f>B4+B2</f>
        <v>1036.95</v>
      </c>
      <c r="C5" s="77">
        <f>C4+C2</f>
        <v>1071.1600000000001</v>
      </c>
      <c r="D5" s="77">
        <f>D4+D2</f>
        <v>867.20999999999992</v>
      </c>
    </row>
    <row r="6" spans="1:4" x14ac:dyDescent="0.25">
      <c r="B6" s="75"/>
      <c r="C6" s="75"/>
      <c r="D6" s="75"/>
    </row>
    <row r="7" spans="1:4" x14ac:dyDescent="0.25">
      <c r="A7" t="s">
        <v>144</v>
      </c>
      <c r="B7" s="75">
        <f>991.77</f>
        <v>991.77</v>
      </c>
      <c r="C7" s="75">
        <f>'ВОР 2 э. шт.'!E6</f>
        <v>907.35119999999995</v>
      </c>
      <c r="D7" s="75">
        <f>'ВОР 3 э. шт.'!E6</f>
        <v>840.60999999999979</v>
      </c>
    </row>
    <row r="8" spans="1:4" x14ac:dyDescent="0.25">
      <c r="B8" s="75">
        <f>B5-B7</f>
        <v>45.180000000000064</v>
      </c>
      <c r="C8" s="75">
        <f t="shared" ref="C8" si="0">C5-C7</f>
        <v>163.80880000000013</v>
      </c>
      <c r="D8" s="75">
        <f t="shared" ref="D8" si="1">D5-D7</f>
        <v>26.600000000000136</v>
      </c>
    </row>
    <row r="9" spans="1:4" x14ac:dyDescent="0.25">
      <c r="A9" t="s">
        <v>141</v>
      </c>
    </row>
    <row r="10" spans="1:4" x14ac:dyDescent="0.25">
      <c r="A10">
        <v>1</v>
      </c>
      <c r="B10" s="76">
        <v>771.83</v>
      </c>
      <c r="C10" s="76">
        <v>972.84</v>
      </c>
      <c r="D10" s="76">
        <v>1176.67</v>
      </c>
    </row>
    <row r="11" spans="1:4" x14ac:dyDescent="0.25">
      <c r="B11" s="76"/>
      <c r="C11" s="76"/>
      <c r="D11" s="76"/>
    </row>
    <row r="12" spans="1:4" x14ac:dyDescent="0.25">
      <c r="A12">
        <v>4.0999999999999996</v>
      </c>
      <c r="B12" s="76">
        <v>927.42</v>
      </c>
      <c r="C12" s="76">
        <v>1669.68</v>
      </c>
      <c r="D12" s="76">
        <v>707.8</v>
      </c>
    </row>
    <row r="13" spans="1:4" x14ac:dyDescent="0.25">
      <c r="A13" t="s">
        <v>129</v>
      </c>
      <c r="B13" s="77">
        <f>B12+B10</f>
        <v>1699.25</v>
      </c>
      <c r="C13" s="77">
        <f>C12+C10</f>
        <v>2642.52</v>
      </c>
      <c r="D13" s="77">
        <f>D12+D10</f>
        <v>1884.47</v>
      </c>
    </row>
    <row r="15" spans="1:4" x14ac:dyDescent="0.25">
      <c r="A15" t="s">
        <v>144</v>
      </c>
      <c r="B15">
        <f>1615</f>
        <v>1615</v>
      </c>
      <c r="C15" s="75">
        <f>'ВОР 2 э. шт.'!E21</f>
        <v>1761.3287999999998</v>
      </c>
      <c r="D15" s="75">
        <f>'ВОР 3 э. шт.'!E21</f>
        <v>1864.9899999999998</v>
      </c>
    </row>
    <row r="16" spans="1:4" x14ac:dyDescent="0.25">
      <c r="B16" s="75">
        <f>B13-B15</f>
        <v>84.25</v>
      </c>
      <c r="C16" s="75">
        <f t="shared" ref="C16:D16" si="2">C13-C15</f>
        <v>881.19120000000021</v>
      </c>
      <c r="D16" s="75">
        <f t="shared" si="2"/>
        <v>19.480000000000246</v>
      </c>
    </row>
    <row r="21" spans="3:5" ht="15.75" thickBot="1" x14ac:dyDescent="0.3"/>
    <row r="22" spans="3:5" x14ac:dyDescent="0.25">
      <c r="C22" s="55">
        <f>(1432.33)/100 * 71</f>
        <v>1016.9543</v>
      </c>
      <c r="D22" s="55">
        <f>(2736)/100 * 71</f>
        <v>1942.56</v>
      </c>
      <c r="E22" s="75">
        <f>3617-D22-C22</f>
        <v>657.48570000000007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ВОР 2 э. шт.</vt:lpstr>
      <vt:lpstr>Спец 2 э. шт.</vt:lpstr>
      <vt:lpstr>ВОР 3 э. шт.</vt:lpstr>
      <vt:lpstr>Спец 3 э. шт.</vt:lpstr>
      <vt:lpstr>ВОР 1.2.3 э. шт.</vt:lpstr>
      <vt:lpstr>сп1.2.3эт</vt:lpstr>
      <vt:lpstr>Лист4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2025-11-16T14:15:58Z</dcterms:modified>
</cp:coreProperties>
</file>