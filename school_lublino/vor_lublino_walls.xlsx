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23265" yWindow="5565" windowWidth="5535" windowHeight="6105"/>
  </bookViews>
  <sheets>
    <sheet name="ВОР 2 э. шт." sheetId="8" r:id="rId1"/>
    <sheet name="Спец 2 э. шт." sheetId="7" r:id="rId2"/>
  </sheets>
  <calcPr calcId="152511"/>
</workbook>
</file>

<file path=xl/calcChain.xml><?xml version="1.0" encoding="utf-8"?>
<calcChain xmlns="http://schemas.openxmlformats.org/spreadsheetml/2006/main">
  <c r="G41" i="7" l="1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5" i="7"/>
  <c r="E16" i="8"/>
  <c r="E17" i="8" s="1"/>
  <c r="E11" i="8"/>
  <c r="E15" i="8" s="1"/>
  <c r="E14" i="8"/>
  <c r="E13" i="8"/>
  <c r="E12" i="8"/>
  <c r="E20" i="8" l="1"/>
  <c r="E19" i="8"/>
  <c r="E18" i="8"/>
  <c r="G7" i="7" l="1"/>
  <c r="G8" i="7"/>
  <c r="G17" i="7"/>
  <c r="G18" i="7"/>
  <c r="G19" i="7"/>
  <c r="G20" i="7"/>
  <c r="G21" i="7"/>
  <c r="G25" i="7"/>
  <c r="G26" i="7"/>
  <c r="G27" i="7"/>
  <c r="G29" i="7"/>
  <c r="G30" i="7"/>
  <c r="G31" i="7"/>
  <c r="G32" i="7"/>
  <c r="G34" i="7"/>
  <c r="G35" i="7"/>
  <c r="G38" i="7"/>
  <c r="G39" i="7"/>
  <c r="G40" i="7"/>
  <c r="G42" i="7"/>
  <c r="G5" i="7"/>
  <c r="E45" i="7"/>
  <c r="F45" i="7"/>
  <c r="C6" i="7"/>
  <c r="D6" i="7"/>
  <c r="G6" i="7" s="1"/>
  <c r="C7" i="7"/>
  <c r="D7" i="7"/>
  <c r="C8" i="7"/>
  <c r="D8" i="7"/>
  <c r="C9" i="7"/>
  <c r="D9" i="7"/>
  <c r="C10" i="7"/>
  <c r="D10" i="7"/>
  <c r="C11" i="7"/>
  <c r="G11" i="7" s="1"/>
  <c r="D11" i="7"/>
  <c r="C12" i="7"/>
  <c r="G12" i="7" s="1"/>
  <c r="D12" i="7"/>
  <c r="C13" i="7"/>
  <c r="D13" i="7"/>
  <c r="C14" i="7"/>
  <c r="G14" i="7" s="1"/>
  <c r="D14" i="7"/>
  <c r="C15" i="7"/>
  <c r="G15" i="7" s="1"/>
  <c r="D15" i="7"/>
  <c r="C16" i="7"/>
  <c r="G16" i="7" s="1"/>
  <c r="D16" i="7"/>
  <c r="C22" i="7"/>
  <c r="D22" i="7"/>
  <c r="C23" i="7"/>
  <c r="G23" i="7" s="1"/>
  <c r="D23" i="7"/>
  <c r="C24" i="7"/>
  <c r="G24" i="7" s="1"/>
  <c r="D24" i="7"/>
  <c r="C28" i="7"/>
  <c r="G28" i="7" s="1"/>
  <c r="D28" i="7"/>
  <c r="C33" i="7"/>
  <c r="D33" i="7"/>
  <c r="C36" i="7"/>
  <c r="G36" i="7" s="1"/>
  <c r="D36" i="7"/>
  <c r="C37" i="7"/>
  <c r="G37" i="7" s="1"/>
  <c r="D37" i="7"/>
  <c r="C40" i="7"/>
  <c r="D40" i="7"/>
  <c r="C43" i="7"/>
  <c r="D43" i="7"/>
  <c r="C44" i="7"/>
  <c r="G44" i="7" s="1"/>
  <c r="D44" i="7"/>
  <c r="D5" i="7"/>
  <c r="C5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9" i="7"/>
  <c r="M30" i="7"/>
  <c r="M31" i="7"/>
  <c r="M32" i="7"/>
  <c r="M33" i="7"/>
  <c r="M34" i="7"/>
  <c r="M35" i="7"/>
  <c r="M36" i="7"/>
  <c r="M37" i="7"/>
  <c r="M38" i="7"/>
  <c r="M39" i="7"/>
  <c r="M41" i="7"/>
  <c r="M42" i="7"/>
  <c r="M43" i="7"/>
  <c r="M44" i="7"/>
  <c r="K40" i="7"/>
  <c r="M40" i="7" s="1"/>
  <c r="K31" i="7"/>
  <c r="K28" i="7"/>
  <c r="M28" i="7" s="1"/>
  <c r="G10" i="7" l="1"/>
  <c r="G43" i="7"/>
  <c r="G22" i="7"/>
  <c r="G13" i="7"/>
  <c r="G9" i="7"/>
  <c r="G33" i="7"/>
  <c r="D45" i="7"/>
  <c r="E21" i="8" s="1"/>
  <c r="E25" i="8" s="1"/>
  <c r="C45" i="7"/>
  <c r="E6" i="8" s="1"/>
  <c r="E7" i="8" s="1"/>
  <c r="E22" i="8"/>
  <c r="E24" i="8"/>
  <c r="E23" i="8" l="1"/>
  <c r="E8" i="8"/>
  <c r="E10" i="8"/>
  <c r="E9" i="8"/>
  <c r="E3" i="8"/>
  <c r="E4" i="8"/>
  <c r="E5" i="8"/>
  <c r="G45" i="7"/>
</calcChain>
</file>

<file path=xl/sharedStrings.xml><?xml version="1.0" encoding="utf-8"?>
<sst xmlns="http://schemas.openxmlformats.org/spreadsheetml/2006/main" count="146" uniqueCount="91">
  <si>
    <t>№ п.п.</t>
  </si>
  <si>
    <t>Наименование</t>
  </si>
  <si>
    <t>Спецификация выполненных работ</t>
  </si>
  <si>
    <t>Итог</t>
  </si>
  <si>
    <t>Объем, м²</t>
  </si>
  <si>
    <t>Помещения:</t>
  </si>
  <si>
    <t>Штукатурка цементная</t>
  </si>
  <si>
    <t>1.2</t>
  </si>
  <si>
    <t>Объем</t>
  </si>
  <si>
    <t>пог. 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</si>
  <si>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</si>
  <si>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</si>
  <si>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</si>
  <si>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</si>
  <si>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</si>
  <si>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</si>
  <si>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</si>
  <si>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</si>
  <si>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Грунтовка БЕТОН-КОНТАКТ_/</t>
  </si>
  <si>
    <t>сумма:</t>
  </si>
  <si>
    <t>длина полилинии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</si>
  <si>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</si>
  <si>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</si>
  <si>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</si>
  <si>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</si>
  <si>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</si>
  <si>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</si>
  <si>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</si>
  <si>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</si>
  <si>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</si>
  <si>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</si>
  <si>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</si>
  <si>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</si>
  <si>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</si>
  <si>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</si>
  <si>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*4000</t>
  </si>
  <si>
    <t>ТИП</t>
  </si>
  <si>
    <t>2.016</t>
  </si>
  <si>
    <t>2.017</t>
  </si>
  <si>
    <t>чст-1,2</t>
  </si>
  <si>
    <t>2.162</t>
  </si>
  <si>
    <t>2.168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</si>
  <si>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</si>
  <si>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</si>
  <si>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</si>
  <si>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</si>
  <si>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</si>
  <si>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</si>
  <si>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</si>
  <si>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</si>
  <si>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</si>
  <si>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</si>
  <si>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</si>
  <si>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</si>
  <si>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</si>
  <si>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</si>
  <si>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2.075</t>
  </si>
  <si>
    <t>2.103</t>
  </si>
  <si>
    <t>2.104</t>
  </si>
  <si>
    <t>2.105</t>
  </si>
  <si>
    <t>2.106</t>
  </si>
  <si>
    <t>2.107</t>
  </si>
  <si>
    <t>2.108</t>
  </si>
  <si>
    <t>2.109</t>
  </si>
  <si>
    <t>Штукатурка стен</t>
  </si>
  <si>
    <t>ЧСТ-1</t>
  </si>
  <si>
    <t>Минус окна</t>
  </si>
  <si>
    <t>СТ-8, СТ-8.1</t>
  </si>
  <si>
    <t>СТ-5, СТ-5.1</t>
  </si>
  <si>
    <t xml:space="preserve">ЧСТ-2, ЧСТ-4 </t>
  </si>
  <si>
    <t>Ведомость работ и используемых материалов (Штукатурка)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</si>
  <si>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</si>
  <si>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Штукатурка гипсовая</t>
  </si>
  <si>
    <t>1.3</t>
  </si>
  <si>
    <t>Лента армирующая ( серпянка)_/150мм</t>
  </si>
  <si>
    <t>2.3</t>
  </si>
  <si>
    <t>3</t>
  </si>
  <si>
    <t>3.1</t>
  </si>
  <si>
    <t>3.2</t>
  </si>
  <si>
    <t>3.3</t>
  </si>
  <si>
    <t>3.4</t>
  </si>
  <si>
    <t>Сетка штукатурная_/пластиковая/5*5</t>
  </si>
  <si>
    <t>Профиль маячковый_/ПМ10</t>
  </si>
  <si>
    <t>Штукатурка стен цементным, цементно-песчаным раствором с предварительной огрунтовкой / толщ. от 21 до 40 мм / высотой от 4,01 до 8 метров - ЧСТ-1</t>
  </si>
  <si>
    <t>м2</t>
  </si>
  <si>
    <t>Штукатурка стен цементным, цементно-песчаным раствором с предварительной огрунтовкой / толщ. от 21 до 40 мм / высотой от 4,01 до 8 метров - СТ-5, СТ-5.1</t>
  </si>
  <si>
    <t>Штукатурка стен цементным, цементно-песчаным раствором с предварительной огрунтовкой / толщ. от 21 до 40 мм / высотой от 4,01 до 8 метров - СТ-8, СТ-8.1</t>
  </si>
  <si>
    <t>Штукатурка стен цементным, цементно-песчаным раствором с предварительной огрунтовкой / толщ. от 21 до 40 мм / высотой от 4,01 до 8 метров - ЧСТ-2, ЧСТ-4</t>
  </si>
  <si>
    <t>2.4</t>
  </si>
  <si>
    <t>4</t>
  </si>
  <si>
    <t>Профиль углозащ. оцинков. 31х31 мм 0.5 мм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</si>
</sst>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2" fontId="2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tabSelected="1" topLeftCell="A13" zoomScale="130" zoomScaleNormal="130" workbookViewId="0">
      <selection activeCell="E7" sqref="E7"/>
    </sheetView>
  </sheetViews>
  <sheetFormatPr defaultRowHeight="12.75" x14ac:dyDescent="0.2"/>
  <cols>
    <col min="1" max="1" width="7.5703125" style="10" customWidth="1"/>
    <col min="2" max="2" width="50.28515625" style="7" customWidth="1"/>
    <col min="3" max="3" width="9.140625" style="10" customWidth="1"/>
    <col min="4" max="4" width="14.5703125" style="23" customWidth="1"/>
    <col min="5" max="5" width="8.85546875" style="26" customWidth="1"/>
    <col min="6" max="16384" width="9.140625" style="1"/>
  </cols>
  <sheetData>
    <row r="1" spans="1:5" x14ac:dyDescent="0.2">
      <c r="A1" s="16"/>
      <c r="B1" s="17" t="s">
        <v>70</v>
      </c>
      <c r="C1" s="11"/>
      <c r="D1" s="22"/>
      <c r="E1" s="24"/>
    </row>
    <row r="2" spans="1:5" x14ac:dyDescent="0.2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">
      <c r="A4" s="18" t="s">
        <v>7</v>
      </c>
      <c r="B4" s="4" t="s">
        <v>72</v>
      </c>
      <c r="C4" s="3" t="s">
        <v>10</v>
      </c>
      <c r="D4" s="9">
        <v>0.3</v>
      </c>
      <c r="E4" s="25">
        <f>D4*E3</f>
        <v>713.62241999999992</v>
      </c>
    </row>
    <row r="5" spans="1:5" x14ac:dyDescent="0.2">
      <c r="A5" s="18" t="s">
        <v>73</v>
      </c>
      <c r="B5" s="4" t="s">
        <v>74</v>
      </c>
      <c r="C5" s="3" t="s">
        <v>9</v>
      </c>
      <c r="D5" s="9">
        <v>1.1000000000000001</v>
      </c>
      <c r="E5" s="25">
        <f>D5*E3</f>
        <v>2616.6155400000002</v>
      </c>
    </row>
    <row r="6" spans="1:5" ht="38.25" x14ac:dyDescent="0.2">
      <c r="A6" s="18" t="s">
        <v>12</v>
      </c>
      <c r="B6" s="5" t="s">
        <v>83</v>
      </c>
      <c r="C6" s="3" t="s">
        <v>84</v>
      </c>
      <c r="D6" s="9">
        <v>1</v>
      </c>
      <c r="E6" s="25">
        <f>'Спец 2 э. шт.'!C45</f>
        <v>907.35119999999995</v>
      </c>
    </row>
    <row r="7" spans="1:5" x14ac:dyDescent="0.2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">
      <c r="A8" s="18" t="s">
        <v>14</v>
      </c>
      <c r="B8" s="4" t="s">
        <v>81</v>
      </c>
      <c r="C8" s="3" t="s">
        <v>84</v>
      </c>
      <c r="D8" s="9">
        <v>1.1000000000000001</v>
      </c>
      <c r="E8" s="25">
        <f t="shared" ref="E8:E10" si="0">$E$6*D8</f>
        <v>998.08632</v>
      </c>
    </row>
    <row r="9" spans="1:5" x14ac:dyDescent="0.2">
      <c r="A9" s="18" t="s">
        <v>75</v>
      </c>
      <c r="B9" s="4" t="s">
        <v>82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">
      <c r="A10" s="18" t="s">
        <v>88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8.25" x14ac:dyDescent="0.2">
      <c r="A11" s="18" t="s">
        <v>76</v>
      </c>
      <c r="B11" s="4" t="s">
        <v>85</v>
      </c>
      <c r="C11" s="3" t="s">
        <v>84</v>
      </c>
      <c r="D11" s="9">
        <v>1</v>
      </c>
      <c r="E11" s="25">
        <f>'Спец 2 э. шт.'!E45</f>
        <v>62.379999999999995</v>
      </c>
    </row>
    <row r="12" spans="1:5" x14ac:dyDescent="0.2">
      <c r="A12" s="18" t="s">
        <v>77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">
      <c r="A13" s="18" t="s">
        <v>78</v>
      </c>
      <c r="B13" s="4" t="s">
        <v>82</v>
      </c>
      <c r="C13" s="3" t="s">
        <v>9</v>
      </c>
      <c r="D13" s="9">
        <v>1</v>
      </c>
      <c r="E13" s="25">
        <f>E11*D13</f>
        <v>62.379999999999995</v>
      </c>
    </row>
    <row r="14" spans="1:5" x14ac:dyDescent="0.2">
      <c r="A14" s="18" t="s">
        <v>79</v>
      </c>
      <c r="B14" s="4" t="s">
        <v>81</v>
      </c>
      <c r="C14" s="3" t="s">
        <v>84</v>
      </c>
      <c r="D14" s="9">
        <v>1.1000000000000001</v>
      </c>
      <c r="E14" s="25">
        <f>E11*D14</f>
        <v>68.617999999999995</v>
      </c>
    </row>
    <row r="15" spans="1:5" x14ac:dyDescent="0.2">
      <c r="A15" s="18" t="s">
        <v>80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8.25" x14ac:dyDescent="0.2">
      <c r="A16" s="18" t="s">
        <v>89</v>
      </c>
      <c r="B16" s="4" t="s">
        <v>86</v>
      </c>
      <c r="C16" s="3" t="s">
        <v>84</v>
      </c>
      <c r="D16" s="9">
        <v>1</v>
      </c>
      <c r="E16" s="25">
        <f>'Спец 2 э. шт.'!F45</f>
        <v>619.28000000000009</v>
      </c>
    </row>
    <row r="17" spans="1:5" x14ac:dyDescent="0.2">
      <c r="A17" s="2">
        <v>4.0999999999999996</v>
      </c>
      <c r="B17" s="21" t="s">
        <v>6</v>
      </c>
      <c r="C17" s="2" t="s">
        <v>10</v>
      </c>
      <c r="D17" s="9">
        <v>1.3</v>
      </c>
      <c r="E17" s="25">
        <f>E16*D17*23.077</f>
        <v>18578.461928000004</v>
      </c>
    </row>
    <row r="18" spans="1:5" x14ac:dyDescent="0.2">
      <c r="A18" s="2">
        <v>4.2</v>
      </c>
      <c r="B18" s="21" t="s">
        <v>81</v>
      </c>
      <c r="C18" s="2" t="s">
        <v>84</v>
      </c>
      <c r="D18" s="9">
        <v>1.1000000000000001</v>
      </c>
      <c r="E18" s="25">
        <f>E16*D18</f>
        <v>681.2080000000002</v>
      </c>
    </row>
    <row r="19" spans="1:5" x14ac:dyDescent="0.2">
      <c r="A19" s="2">
        <v>4.3</v>
      </c>
      <c r="B19" s="21" t="s">
        <v>82</v>
      </c>
      <c r="C19" s="2" t="s">
        <v>9</v>
      </c>
      <c r="D19" s="9">
        <v>1</v>
      </c>
      <c r="E19" s="25">
        <f>E16*D19</f>
        <v>619.28000000000009</v>
      </c>
    </row>
    <row r="20" spans="1:5" x14ac:dyDescent="0.2">
      <c r="A20" s="2">
        <v>4.4000000000000004</v>
      </c>
      <c r="B20" s="21" t="s">
        <v>18</v>
      </c>
      <c r="C20" s="2" t="s">
        <v>10</v>
      </c>
      <c r="D20" s="9">
        <v>0.25</v>
      </c>
      <c r="E20" s="25">
        <f>E16*D20</f>
        <v>154.82000000000002</v>
      </c>
    </row>
    <row r="21" spans="1:5" ht="38.25" x14ac:dyDescent="0.2">
      <c r="A21" s="2">
        <v>5</v>
      </c>
      <c r="B21" s="19" t="s">
        <v>87</v>
      </c>
      <c r="C21" s="2" t="s">
        <v>84</v>
      </c>
      <c r="D21" s="9">
        <v>1</v>
      </c>
      <c r="E21" s="25">
        <f>'Спец 2 э. шт.'!D45</f>
        <v>1761.3287999999998</v>
      </c>
    </row>
    <row r="22" spans="1:5" x14ac:dyDescent="0.2">
      <c r="A22" s="2">
        <v>5.0999999999999996</v>
      </c>
      <c r="B22" s="21" t="s">
        <v>17</v>
      </c>
      <c r="C22" s="2" t="s">
        <v>10</v>
      </c>
      <c r="D22" s="9">
        <v>0.15</v>
      </c>
      <c r="E22" s="25">
        <f>E21*D22</f>
        <v>264.19931999999994</v>
      </c>
    </row>
    <row r="23" spans="1:5" x14ac:dyDescent="0.2">
      <c r="A23" s="2">
        <v>5.2</v>
      </c>
      <c r="B23" s="21" t="s">
        <v>82</v>
      </c>
      <c r="C23" s="2" t="s">
        <v>9</v>
      </c>
      <c r="D23" s="9">
        <v>1</v>
      </c>
      <c r="E23" s="25">
        <f>E21*D23</f>
        <v>1761.3287999999998</v>
      </c>
    </row>
    <row r="24" spans="1:5" x14ac:dyDescent="0.2">
      <c r="A24" s="2">
        <v>5.3</v>
      </c>
      <c r="B24" s="21" t="s">
        <v>81</v>
      </c>
      <c r="C24" s="2" t="s">
        <v>84</v>
      </c>
      <c r="D24" s="9">
        <v>1.1000000000000001</v>
      </c>
      <c r="E24" s="25">
        <f>E21*D24</f>
        <v>1937.4616799999999</v>
      </c>
    </row>
    <row r="25" spans="1:5" x14ac:dyDescent="0.2">
      <c r="A25" s="2">
        <v>5.4</v>
      </c>
      <c r="B25" s="21" t="s">
        <v>6</v>
      </c>
      <c r="C25" s="2" t="s">
        <v>10</v>
      </c>
      <c r="D25" s="9">
        <v>1.3</v>
      </c>
      <c r="E25" s="25">
        <f>E21*D25*23.077</f>
        <v>52840.040132879993</v>
      </c>
    </row>
    <row r="26" spans="1:5" x14ac:dyDescent="0.2">
      <c r="A26" s="2">
        <v>6</v>
      </c>
      <c r="B26" s="19" t="s">
        <v>90</v>
      </c>
      <c r="C26" s="2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5"/>
  <sheetViews>
    <sheetView zoomScale="115" zoomScaleNormal="115" workbookViewId="0">
      <selection activeCell="L5" sqref="L5"/>
    </sheetView>
  </sheetViews>
  <sheetFormatPr defaultRowHeight="12.75" x14ac:dyDescent="0.2"/>
  <cols>
    <col min="1" max="1" width="7" style="10" customWidth="1"/>
    <col min="2" max="2" width="11.140625" style="10" customWidth="1"/>
    <col min="3" max="6" width="8.7109375" style="10" customWidth="1"/>
    <col min="7" max="7" width="8.7109375" style="27" customWidth="1"/>
    <col min="8" max="9" width="9.140625" style="1" customWidth="1"/>
    <col min="10" max="10" width="13.140625" style="1" customWidth="1"/>
    <col min="11" max="11" width="24.42578125" style="1" customWidth="1"/>
    <col min="12" max="12" width="9.140625" style="1" customWidth="1"/>
    <col min="13" max="13" width="12" style="1" customWidth="1"/>
    <col min="14" max="14" width="9.140625" style="1" customWidth="1"/>
    <col min="15" max="15" width="13.85546875" style="1" customWidth="1"/>
    <col min="16" max="17" width="9.140625" style="1" customWidth="1"/>
    <col min="18" max="16384" width="9.140625" style="1"/>
  </cols>
  <sheetData>
    <row r="1" spans="1:16" x14ac:dyDescent="0.2">
      <c r="A1" s="28" t="s">
        <v>2</v>
      </c>
      <c r="B1" s="28"/>
      <c r="C1" s="28"/>
      <c r="D1" s="28"/>
      <c r="E1" s="28"/>
      <c r="F1" s="28"/>
      <c r="G1" s="28"/>
    </row>
    <row r="2" spans="1:16" x14ac:dyDescent="0.2">
      <c r="A2" s="29" t="s">
        <v>64</v>
      </c>
      <c r="B2" s="29"/>
      <c r="C2" s="29"/>
      <c r="D2" s="29"/>
      <c r="E2" s="29"/>
      <c r="F2" s="29"/>
      <c r="G2" s="29"/>
    </row>
    <row r="3" spans="1:16" ht="25.5" x14ac:dyDescent="0.2">
      <c r="A3" s="2"/>
      <c r="B3" s="12"/>
      <c r="C3" s="6" t="s">
        <v>65</v>
      </c>
      <c r="D3" s="13" t="s">
        <v>69</v>
      </c>
      <c r="E3" s="13" t="s">
        <v>68</v>
      </c>
      <c r="F3" s="13" t="s">
        <v>67</v>
      </c>
      <c r="G3" s="15" t="s">
        <v>3</v>
      </c>
      <c r="J3" s="1" t="s">
        <v>36</v>
      </c>
      <c r="K3" s="1" t="s">
        <v>20</v>
      </c>
      <c r="L3" s="1" t="s">
        <v>35</v>
      </c>
    </row>
    <row r="4" spans="1:16" x14ac:dyDescent="0.2">
      <c r="A4" s="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O4" s="1" t="s">
        <v>66</v>
      </c>
    </row>
    <row r="5" spans="1:16" x14ac:dyDescent="0.2">
      <c r="A5" s="2">
        <v>1</v>
      </c>
      <c r="B5" s="12" t="s">
        <v>21</v>
      </c>
      <c r="C5" s="25">
        <f>P5/100*34</f>
        <v>40.180350000000004</v>
      </c>
      <c r="D5" s="25">
        <f>P5/100*66</f>
        <v>77.997150000000005</v>
      </c>
      <c r="E5" s="25"/>
      <c r="F5" s="25"/>
      <c r="G5" s="25">
        <f>SUM(C5:F5)</f>
        <v>118.17750000000001</v>
      </c>
      <c r="J5" s="1" t="s">
        <v>39</v>
      </c>
      <c r="K5" s="1">
        <v>31886.4221</v>
      </c>
      <c r="L5" s="1">
        <v>4000</v>
      </c>
      <c r="M5" s="8">
        <f>ROUND(K5*L5/1000000, 2)</f>
        <v>127.55</v>
      </c>
      <c r="O5" s="1">
        <v>15</v>
      </c>
      <c r="P5" s="8">
        <f>(M5-O5) / 100 * 5 + (M5-O5)</f>
        <v>118.17749999999999</v>
      </c>
    </row>
    <row r="6" spans="1:16" x14ac:dyDescent="0.2">
      <c r="A6" s="2">
        <v>2</v>
      </c>
      <c r="B6" s="12" t="s">
        <v>22</v>
      </c>
      <c r="C6" s="25">
        <f t="shared" ref="C6:C44" si="0">P6/100*34</f>
        <v>38.67024</v>
      </c>
      <c r="D6" s="25">
        <f t="shared" ref="D6:D44" si="1">P6/100*66</f>
        <v>75.065759999999997</v>
      </c>
      <c r="E6" s="25"/>
      <c r="F6" s="25"/>
      <c r="G6" s="25">
        <f t="shared" ref="G6:G44" si="2">SUM(C6:F6)</f>
        <v>113.73599999999999</v>
      </c>
      <c r="K6" s="1">
        <v>30830.7402</v>
      </c>
      <c r="L6" s="1">
        <v>4000</v>
      </c>
      <c r="M6" s="8">
        <f t="shared" ref="M6:M44" si="3">ROUND(K6*L6/1000000, 2)</f>
        <v>123.32</v>
      </c>
      <c r="O6" s="1">
        <v>15</v>
      </c>
      <c r="P6" s="8">
        <f t="shared" ref="P6:P44" si="4">(M6-O6) / 100 * 5 + (M6-O6)</f>
        <v>113.73599999999999</v>
      </c>
    </row>
    <row r="7" spans="1:16" x14ac:dyDescent="0.2">
      <c r="A7" s="2">
        <v>3</v>
      </c>
      <c r="B7" s="12" t="s">
        <v>23</v>
      </c>
      <c r="C7" s="25">
        <f t="shared" si="0"/>
        <v>41.651189999999993</v>
      </c>
      <c r="D7" s="25">
        <f t="shared" si="1"/>
        <v>80.852309999999989</v>
      </c>
      <c r="E7" s="25"/>
      <c r="F7" s="25"/>
      <c r="G7" s="25">
        <f t="shared" si="2"/>
        <v>122.50349999999997</v>
      </c>
      <c r="K7" s="1">
        <v>32917.396500000003</v>
      </c>
      <c r="L7" s="1">
        <v>4000</v>
      </c>
      <c r="M7" s="8">
        <f t="shared" si="3"/>
        <v>131.66999999999999</v>
      </c>
      <c r="O7" s="1">
        <v>15</v>
      </c>
      <c r="P7" s="8">
        <f t="shared" si="4"/>
        <v>122.50349999999999</v>
      </c>
    </row>
    <row r="8" spans="1:16" x14ac:dyDescent="0.2">
      <c r="A8" s="2">
        <v>4</v>
      </c>
      <c r="B8" s="12" t="s">
        <v>24</v>
      </c>
      <c r="C8" s="25">
        <f t="shared" si="0"/>
        <v>106.96433999999999</v>
      </c>
      <c r="D8" s="25">
        <f t="shared" si="1"/>
        <v>207.63666000000001</v>
      </c>
      <c r="E8" s="25"/>
      <c r="F8" s="25"/>
      <c r="G8" s="25">
        <f t="shared" si="2"/>
        <v>314.601</v>
      </c>
      <c r="K8" s="1">
        <v>78654.636299999998</v>
      </c>
      <c r="L8" s="1">
        <v>4000</v>
      </c>
      <c r="M8" s="8">
        <f t="shared" si="3"/>
        <v>314.62</v>
      </c>
      <c r="O8" s="1">
        <v>15</v>
      </c>
      <c r="P8" s="8">
        <f t="shared" si="4"/>
        <v>314.601</v>
      </c>
    </row>
    <row r="9" spans="1:16" x14ac:dyDescent="0.2">
      <c r="A9" s="2">
        <v>5</v>
      </c>
      <c r="B9" s="12" t="s">
        <v>25</v>
      </c>
      <c r="C9" s="25">
        <f t="shared" si="0"/>
        <v>10.074540000000001</v>
      </c>
      <c r="D9" s="25">
        <f t="shared" si="1"/>
        <v>19.556460000000001</v>
      </c>
      <c r="E9" s="25"/>
      <c r="F9" s="25"/>
      <c r="G9" s="25">
        <f t="shared" si="2"/>
        <v>29.631</v>
      </c>
      <c r="K9" s="1">
        <v>12056</v>
      </c>
      <c r="L9" s="1">
        <v>4000</v>
      </c>
      <c r="M9" s="8">
        <f t="shared" si="3"/>
        <v>48.22</v>
      </c>
      <c r="O9" s="1">
        <v>20</v>
      </c>
      <c r="P9" s="8">
        <f t="shared" si="4"/>
        <v>29.631</v>
      </c>
    </row>
    <row r="10" spans="1:16" x14ac:dyDescent="0.2">
      <c r="A10" s="2">
        <v>6</v>
      </c>
      <c r="B10" s="12" t="s">
        <v>26</v>
      </c>
      <c r="C10" s="25">
        <f t="shared" si="0"/>
        <v>36.303329999999995</v>
      </c>
      <c r="D10" s="25">
        <f t="shared" si="1"/>
        <v>70.471170000000001</v>
      </c>
      <c r="E10" s="25"/>
      <c r="F10" s="25"/>
      <c r="G10" s="25">
        <f t="shared" si="2"/>
        <v>106.77449999999999</v>
      </c>
      <c r="K10" s="1">
        <v>30423</v>
      </c>
      <c r="L10" s="1">
        <v>4000</v>
      </c>
      <c r="M10" s="8">
        <f t="shared" si="3"/>
        <v>121.69</v>
      </c>
      <c r="O10" s="1">
        <v>20</v>
      </c>
      <c r="P10" s="8">
        <f t="shared" si="4"/>
        <v>106.7745</v>
      </c>
    </row>
    <row r="11" spans="1:16" x14ac:dyDescent="0.2">
      <c r="A11" s="2">
        <v>7</v>
      </c>
      <c r="B11" s="12" t="s">
        <v>27</v>
      </c>
      <c r="C11" s="25">
        <f t="shared" si="0"/>
        <v>37.913399999999996</v>
      </c>
      <c r="D11" s="25">
        <f t="shared" si="1"/>
        <v>73.596599999999995</v>
      </c>
      <c r="E11" s="25"/>
      <c r="F11" s="25"/>
      <c r="G11" s="25">
        <f t="shared" si="2"/>
        <v>111.50999999999999</v>
      </c>
      <c r="K11" s="1">
        <v>31549</v>
      </c>
      <c r="L11" s="1">
        <v>4000</v>
      </c>
      <c r="M11" s="8">
        <f t="shared" si="3"/>
        <v>126.2</v>
      </c>
      <c r="O11" s="1">
        <v>20</v>
      </c>
      <c r="P11" s="8">
        <f t="shared" si="4"/>
        <v>111.51</v>
      </c>
    </row>
    <row r="12" spans="1:16" x14ac:dyDescent="0.2">
      <c r="A12" s="2">
        <v>8</v>
      </c>
      <c r="B12" s="12" t="s">
        <v>28</v>
      </c>
      <c r="C12" s="25">
        <f t="shared" si="0"/>
        <v>36.303329999999995</v>
      </c>
      <c r="D12" s="25">
        <f t="shared" si="1"/>
        <v>70.471170000000001</v>
      </c>
      <c r="E12" s="25"/>
      <c r="F12" s="25"/>
      <c r="G12" s="25">
        <f t="shared" si="2"/>
        <v>106.77449999999999</v>
      </c>
      <c r="K12" s="1">
        <v>30423</v>
      </c>
      <c r="L12" s="1">
        <v>4000</v>
      </c>
      <c r="M12" s="8">
        <f t="shared" si="3"/>
        <v>121.69</v>
      </c>
      <c r="O12" s="1">
        <v>20</v>
      </c>
      <c r="P12" s="8">
        <f t="shared" si="4"/>
        <v>106.7745</v>
      </c>
    </row>
    <row r="13" spans="1:16" x14ac:dyDescent="0.2">
      <c r="A13" s="2">
        <v>9</v>
      </c>
      <c r="B13" s="12" t="s">
        <v>29</v>
      </c>
      <c r="C13" s="25">
        <f t="shared" si="0"/>
        <v>31.630200000000002</v>
      </c>
      <c r="D13" s="25">
        <f t="shared" si="1"/>
        <v>61.399799999999999</v>
      </c>
      <c r="E13" s="25"/>
      <c r="F13" s="25"/>
      <c r="G13" s="25">
        <f t="shared" si="2"/>
        <v>93.03</v>
      </c>
      <c r="K13" s="1">
        <v>27149</v>
      </c>
      <c r="L13" s="1">
        <v>4000</v>
      </c>
      <c r="M13" s="8">
        <f t="shared" si="3"/>
        <v>108.6</v>
      </c>
      <c r="O13" s="1">
        <v>20</v>
      </c>
      <c r="P13" s="8">
        <f t="shared" si="4"/>
        <v>93.03</v>
      </c>
    </row>
    <row r="14" spans="1:16" x14ac:dyDescent="0.2">
      <c r="A14" s="2">
        <v>10</v>
      </c>
      <c r="B14" s="12" t="s">
        <v>30</v>
      </c>
      <c r="C14" s="25">
        <f t="shared" si="0"/>
        <v>36.256920000000001</v>
      </c>
      <c r="D14" s="25">
        <f t="shared" si="1"/>
        <v>70.381080000000011</v>
      </c>
      <c r="E14" s="25"/>
      <c r="F14" s="25"/>
      <c r="G14" s="25">
        <f t="shared" si="2"/>
        <v>106.63800000000001</v>
      </c>
      <c r="K14" s="1">
        <v>30390</v>
      </c>
      <c r="L14" s="1">
        <v>4000</v>
      </c>
      <c r="M14" s="8">
        <f t="shared" si="3"/>
        <v>121.56</v>
      </c>
      <c r="O14" s="1">
        <v>20</v>
      </c>
      <c r="P14" s="8">
        <f t="shared" si="4"/>
        <v>106.63800000000001</v>
      </c>
    </row>
    <row r="15" spans="1:16" x14ac:dyDescent="0.2">
      <c r="A15" s="2">
        <v>11</v>
      </c>
      <c r="B15" s="12" t="s">
        <v>31</v>
      </c>
      <c r="C15" s="25">
        <f t="shared" si="0"/>
        <v>79.807350000000014</v>
      </c>
      <c r="D15" s="25">
        <f t="shared" si="1"/>
        <v>154.92015000000001</v>
      </c>
      <c r="E15" s="25"/>
      <c r="F15" s="25"/>
      <c r="G15" s="25">
        <f t="shared" si="2"/>
        <v>234.72750000000002</v>
      </c>
      <c r="K15" s="1">
        <v>59638</v>
      </c>
      <c r="L15" s="1">
        <v>4000</v>
      </c>
      <c r="M15" s="8">
        <f t="shared" si="3"/>
        <v>238.55</v>
      </c>
      <c r="O15" s="1">
        <v>15</v>
      </c>
      <c r="P15" s="8">
        <f t="shared" si="4"/>
        <v>234.72750000000002</v>
      </c>
    </row>
    <row r="16" spans="1:16" x14ac:dyDescent="0.2">
      <c r="A16" s="2">
        <v>12</v>
      </c>
      <c r="B16" s="12" t="s">
        <v>32</v>
      </c>
      <c r="C16" s="25">
        <f t="shared" si="0"/>
        <v>28.288679999999999</v>
      </c>
      <c r="D16" s="25">
        <f t="shared" si="1"/>
        <v>54.913319999999999</v>
      </c>
      <c r="E16" s="25"/>
      <c r="F16" s="25"/>
      <c r="G16" s="25">
        <f t="shared" si="2"/>
        <v>83.201999999999998</v>
      </c>
      <c r="K16" s="1">
        <v>24809</v>
      </c>
      <c r="L16" s="1">
        <v>4000</v>
      </c>
      <c r="M16" s="8">
        <f t="shared" si="3"/>
        <v>99.24</v>
      </c>
      <c r="O16" s="1">
        <v>20</v>
      </c>
      <c r="P16" s="8">
        <f t="shared" si="4"/>
        <v>83.201999999999998</v>
      </c>
    </row>
    <row r="17" spans="1:16" x14ac:dyDescent="0.2">
      <c r="A17" s="2">
        <v>13</v>
      </c>
      <c r="B17" s="12" t="s">
        <v>33</v>
      </c>
      <c r="C17" s="25"/>
      <c r="D17" s="25"/>
      <c r="E17" s="25"/>
      <c r="F17" s="25">
        <v>69.489999999999995</v>
      </c>
      <c r="G17" s="25">
        <f t="shared" si="2"/>
        <v>69.489999999999995</v>
      </c>
      <c r="J17" s="1" t="s">
        <v>67</v>
      </c>
      <c r="K17" s="1">
        <v>18723</v>
      </c>
      <c r="L17" s="1">
        <v>4000</v>
      </c>
      <c r="M17" s="8">
        <f t="shared" si="3"/>
        <v>74.89</v>
      </c>
      <c r="O17" s="1">
        <v>5.4</v>
      </c>
      <c r="P17" s="8">
        <f t="shared" si="4"/>
        <v>72.964500000000001</v>
      </c>
    </row>
    <row r="18" spans="1:16" x14ac:dyDescent="0.2">
      <c r="A18" s="2">
        <v>14</v>
      </c>
      <c r="B18" s="12" t="s">
        <v>34</v>
      </c>
      <c r="C18" s="25"/>
      <c r="D18" s="25"/>
      <c r="E18" s="25"/>
      <c r="F18" s="25">
        <v>87.929999999999993</v>
      </c>
      <c r="G18" s="25">
        <f t="shared" si="2"/>
        <v>87.929999999999993</v>
      </c>
      <c r="J18" s="1" t="s">
        <v>67</v>
      </c>
      <c r="K18" s="1">
        <v>23333</v>
      </c>
      <c r="L18" s="1">
        <v>4000</v>
      </c>
      <c r="M18" s="8">
        <f t="shared" si="3"/>
        <v>93.33</v>
      </c>
      <c r="O18" s="1">
        <v>5.4</v>
      </c>
      <c r="P18" s="8">
        <f t="shared" si="4"/>
        <v>92.326499999999996</v>
      </c>
    </row>
    <row r="19" spans="1:16" x14ac:dyDescent="0.2">
      <c r="A19" s="2">
        <v>15</v>
      </c>
      <c r="B19" s="12" t="s">
        <v>37</v>
      </c>
      <c r="C19" s="25"/>
      <c r="D19" s="25"/>
      <c r="E19" s="25"/>
      <c r="F19" s="25">
        <v>33.979999999999997</v>
      </c>
      <c r="G19" s="25">
        <f t="shared" si="2"/>
        <v>33.979999999999997</v>
      </c>
      <c r="J19" s="1" t="s">
        <v>67</v>
      </c>
      <c r="K19" s="1">
        <v>8495</v>
      </c>
      <c r="L19" s="1">
        <v>4000</v>
      </c>
      <c r="M19" s="8">
        <f t="shared" si="3"/>
        <v>33.979999999999997</v>
      </c>
      <c r="P19" s="8">
        <f t="shared" si="4"/>
        <v>35.678999999999995</v>
      </c>
    </row>
    <row r="20" spans="1:16" x14ac:dyDescent="0.2">
      <c r="A20" s="2">
        <v>16</v>
      </c>
      <c r="B20" s="12" t="s">
        <v>38</v>
      </c>
      <c r="C20" s="25"/>
      <c r="D20" s="25"/>
      <c r="E20" s="25"/>
      <c r="F20" s="25">
        <v>16.399999999999999</v>
      </c>
      <c r="G20" s="25">
        <f t="shared" si="2"/>
        <v>16.399999999999999</v>
      </c>
      <c r="J20" s="1" t="s">
        <v>67</v>
      </c>
      <c r="K20" s="1">
        <v>4100</v>
      </c>
      <c r="L20" s="1">
        <v>4000</v>
      </c>
      <c r="M20" s="8">
        <f t="shared" si="3"/>
        <v>16.399999999999999</v>
      </c>
      <c r="P20" s="8">
        <f t="shared" si="4"/>
        <v>17.22</v>
      </c>
    </row>
    <row r="21" spans="1:16" x14ac:dyDescent="0.2">
      <c r="A21" s="2">
        <v>17</v>
      </c>
      <c r="B21" s="12" t="s">
        <v>40</v>
      </c>
      <c r="C21" s="25"/>
      <c r="D21" s="25"/>
      <c r="E21" s="25">
        <v>36.46</v>
      </c>
      <c r="F21" s="25"/>
      <c r="G21" s="25">
        <f t="shared" si="2"/>
        <v>36.46</v>
      </c>
      <c r="J21" s="1" t="s">
        <v>68</v>
      </c>
      <c r="K21" s="1">
        <v>9115</v>
      </c>
      <c r="L21" s="1">
        <v>4000</v>
      </c>
      <c r="M21" s="8">
        <f t="shared" si="3"/>
        <v>36.46</v>
      </c>
      <c r="P21" s="8">
        <f t="shared" si="4"/>
        <v>38.283000000000001</v>
      </c>
    </row>
    <row r="22" spans="1:16" x14ac:dyDescent="0.2">
      <c r="A22" s="2">
        <v>18</v>
      </c>
      <c r="B22" s="12" t="s">
        <v>56</v>
      </c>
      <c r="C22" s="25">
        <f t="shared" si="0"/>
        <v>96.579210000000003</v>
      </c>
      <c r="D22" s="25">
        <f t="shared" si="1"/>
        <v>187.47729000000001</v>
      </c>
      <c r="E22" s="25"/>
      <c r="F22" s="25"/>
      <c r="G22" s="25">
        <f t="shared" si="2"/>
        <v>284.05650000000003</v>
      </c>
      <c r="K22" s="1">
        <v>68290</v>
      </c>
      <c r="L22" s="1">
        <v>4001</v>
      </c>
      <c r="M22" s="8">
        <f t="shared" si="3"/>
        <v>273.23</v>
      </c>
      <c r="O22" s="1">
        <v>2.7</v>
      </c>
      <c r="P22" s="8">
        <f t="shared" si="4"/>
        <v>284.05650000000003</v>
      </c>
    </row>
    <row r="23" spans="1:16" x14ac:dyDescent="0.2">
      <c r="A23" s="2">
        <v>19</v>
      </c>
      <c r="B23" s="12" t="s">
        <v>42</v>
      </c>
      <c r="C23" s="25">
        <f t="shared" si="0"/>
        <v>152.13198</v>
      </c>
      <c r="D23" s="25">
        <f t="shared" si="1"/>
        <v>295.31502</v>
      </c>
      <c r="E23" s="25"/>
      <c r="F23" s="25"/>
      <c r="G23" s="25">
        <f t="shared" si="2"/>
        <v>447.447</v>
      </c>
      <c r="K23" s="1">
        <v>107884</v>
      </c>
      <c r="L23" s="1">
        <v>4000</v>
      </c>
      <c r="M23" s="8">
        <f t="shared" si="3"/>
        <v>431.54</v>
      </c>
      <c r="O23" s="1">
        <v>5.4</v>
      </c>
      <c r="P23" s="8">
        <f t="shared" si="4"/>
        <v>447.44700000000006</v>
      </c>
    </row>
    <row r="24" spans="1:16" x14ac:dyDescent="0.2">
      <c r="A24" s="2">
        <v>20</v>
      </c>
      <c r="B24" s="12" t="s">
        <v>43</v>
      </c>
      <c r="C24" s="25">
        <f t="shared" si="0"/>
        <v>18.078479999999999</v>
      </c>
      <c r="D24" s="25">
        <f t="shared" si="1"/>
        <v>35.093519999999998</v>
      </c>
      <c r="E24" s="25"/>
      <c r="F24" s="25"/>
      <c r="G24" s="25">
        <f t="shared" si="2"/>
        <v>53.171999999999997</v>
      </c>
      <c r="K24" s="1">
        <v>12659</v>
      </c>
      <c r="L24" s="1">
        <v>4000</v>
      </c>
      <c r="M24" s="8">
        <f t="shared" si="3"/>
        <v>50.64</v>
      </c>
      <c r="P24" s="8">
        <f t="shared" si="4"/>
        <v>53.171999999999997</v>
      </c>
    </row>
    <row r="25" spans="1:16" x14ac:dyDescent="0.2">
      <c r="A25" s="2">
        <v>21</v>
      </c>
      <c r="B25" s="12" t="s">
        <v>44</v>
      </c>
      <c r="C25" s="25"/>
      <c r="D25" s="25"/>
      <c r="E25" s="25"/>
      <c r="F25" s="25">
        <v>29.16</v>
      </c>
      <c r="G25" s="25">
        <f t="shared" si="2"/>
        <v>29.16</v>
      </c>
      <c r="J25" s="1" t="s">
        <v>67</v>
      </c>
      <c r="K25" s="1">
        <v>7290</v>
      </c>
      <c r="L25" s="1">
        <v>4000</v>
      </c>
      <c r="M25" s="8">
        <f t="shared" si="3"/>
        <v>29.16</v>
      </c>
      <c r="P25" s="8">
        <f t="shared" si="4"/>
        <v>30.618000000000002</v>
      </c>
    </row>
    <row r="26" spans="1:16" x14ac:dyDescent="0.2">
      <c r="A26" s="2">
        <v>22</v>
      </c>
      <c r="B26" s="12" t="s">
        <v>45</v>
      </c>
      <c r="C26" s="25"/>
      <c r="D26" s="25"/>
      <c r="E26" s="25"/>
      <c r="F26" s="25">
        <v>35.47</v>
      </c>
      <c r="G26" s="25">
        <f t="shared" si="2"/>
        <v>35.47</v>
      </c>
      <c r="J26" s="1" t="s">
        <v>67</v>
      </c>
      <c r="K26" s="1">
        <v>8867</v>
      </c>
      <c r="L26" s="1">
        <v>4000</v>
      </c>
      <c r="M26" s="8">
        <f t="shared" si="3"/>
        <v>35.47</v>
      </c>
      <c r="P26" s="8">
        <f t="shared" si="4"/>
        <v>37.243499999999997</v>
      </c>
    </row>
    <row r="27" spans="1:16" x14ac:dyDescent="0.2">
      <c r="A27" s="2">
        <v>23</v>
      </c>
      <c r="B27" s="12" t="s">
        <v>46</v>
      </c>
      <c r="C27" s="25"/>
      <c r="D27" s="25"/>
      <c r="E27" s="25"/>
      <c r="F27" s="25">
        <v>48.34</v>
      </c>
      <c r="G27" s="25">
        <f t="shared" si="2"/>
        <v>48.34</v>
      </c>
      <c r="J27" s="1" t="s">
        <v>67</v>
      </c>
      <c r="K27" s="1">
        <v>12084</v>
      </c>
      <c r="L27" s="1">
        <v>4000</v>
      </c>
      <c r="M27" s="8">
        <f t="shared" si="3"/>
        <v>48.34</v>
      </c>
      <c r="P27" s="8">
        <f t="shared" si="4"/>
        <v>50.757000000000005</v>
      </c>
    </row>
    <row r="28" spans="1:16" x14ac:dyDescent="0.2">
      <c r="A28" s="2">
        <v>24</v>
      </c>
      <c r="B28" s="12" t="s">
        <v>47</v>
      </c>
      <c r="C28" s="25">
        <f t="shared" si="0"/>
        <v>15.693719999999999</v>
      </c>
      <c r="D28" s="25">
        <f t="shared" si="1"/>
        <v>30.464279999999999</v>
      </c>
      <c r="E28" s="25"/>
      <c r="F28" s="25"/>
      <c r="G28" s="25">
        <f t="shared" si="2"/>
        <v>46.158000000000001</v>
      </c>
      <c r="K28" s="1">
        <f>5400+3590+2000</f>
        <v>10990</v>
      </c>
      <c r="L28" s="1">
        <v>4000</v>
      </c>
      <c r="M28" s="8">
        <f t="shared" si="3"/>
        <v>43.96</v>
      </c>
      <c r="P28" s="8">
        <f t="shared" si="4"/>
        <v>46.158000000000001</v>
      </c>
    </row>
    <row r="29" spans="1:16" x14ac:dyDescent="0.2">
      <c r="A29" s="2">
        <v>25</v>
      </c>
      <c r="B29" s="12" t="s">
        <v>48</v>
      </c>
      <c r="C29" s="25"/>
      <c r="D29" s="25"/>
      <c r="E29" s="25"/>
      <c r="F29" s="25">
        <v>35.200000000000003</v>
      </c>
      <c r="G29" s="25">
        <f t="shared" si="2"/>
        <v>35.200000000000003</v>
      </c>
      <c r="J29" s="1" t="s">
        <v>67</v>
      </c>
      <c r="K29" s="1">
        <v>8800</v>
      </c>
      <c r="L29" s="1">
        <v>4000</v>
      </c>
      <c r="M29" s="8">
        <f t="shared" si="3"/>
        <v>35.200000000000003</v>
      </c>
      <c r="P29" s="8">
        <f t="shared" si="4"/>
        <v>36.96</v>
      </c>
    </row>
    <row r="30" spans="1:16" x14ac:dyDescent="0.2">
      <c r="A30" s="2">
        <v>26</v>
      </c>
      <c r="B30" s="12" t="s">
        <v>49</v>
      </c>
      <c r="C30" s="25"/>
      <c r="D30" s="25"/>
      <c r="E30" s="25"/>
      <c r="F30" s="25">
        <v>63.16</v>
      </c>
      <c r="G30" s="25">
        <f t="shared" si="2"/>
        <v>63.16</v>
      </c>
      <c r="J30" s="1" t="s">
        <v>67</v>
      </c>
      <c r="K30" s="1">
        <v>15790</v>
      </c>
      <c r="L30" s="1">
        <v>4000</v>
      </c>
      <c r="M30" s="8">
        <f t="shared" si="3"/>
        <v>63.16</v>
      </c>
      <c r="P30" s="8">
        <f t="shared" si="4"/>
        <v>66.317999999999998</v>
      </c>
    </row>
    <row r="31" spans="1:16" x14ac:dyDescent="0.2">
      <c r="A31" s="2">
        <v>27</v>
      </c>
      <c r="B31" s="12" t="s">
        <v>50</v>
      </c>
      <c r="C31" s="25"/>
      <c r="D31" s="25"/>
      <c r="E31" s="25">
        <v>13.12</v>
      </c>
      <c r="F31" s="25"/>
      <c r="G31" s="25">
        <f t="shared" si="2"/>
        <v>13.12</v>
      </c>
      <c r="J31" s="1" t="s">
        <v>68</v>
      </c>
      <c r="K31" s="1">
        <f>3240+40</f>
        <v>3280</v>
      </c>
      <c r="L31" s="1">
        <v>4000</v>
      </c>
      <c r="M31" s="8">
        <f t="shared" si="3"/>
        <v>13.12</v>
      </c>
      <c r="P31" s="8">
        <f t="shared" si="4"/>
        <v>13.776</v>
      </c>
    </row>
    <row r="32" spans="1:16" x14ac:dyDescent="0.2">
      <c r="A32" s="2">
        <v>28</v>
      </c>
      <c r="B32" s="12" t="s">
        <v>51</v>
      </c>
      <c r="C32" s="25"/>
      <c r="D32" s="25"/>
      <c r="E32" s="25">
        <v>12.8</v>
      </c>
      <c r="F32" s="25"/>
      <c r="G32" s="25">
        <f t="shared" si="2"/>
        <v>12.8</v>
      </c>
      <c r="J32" s="1" t="s">
        <v>68</v>
      </c>
      <c r="K32" s="1">
        <v>3200</v>
      </c>
      <c r="L32" s="1">
        <v>4000</v>
      </c>
      <c r="M32" s="8">
        <f t="shared" si="3"/>
        <v>12.8</v>
      </c>
      <c r="P32" s="8">
        <f t="shared" si="4"/>
        <v>13.440000000000001</v>
      </c>
    </row>
    <row r="33" spans="1:16" x14ac:dyDescent="0.2">
      <c r="A33" s="2">
        <v>29</v>
      </c>
      <c r="B33" s="12" t="s">
        <v>52</v>
      </c>
      <c r="C33" s="25">
        <f t="shared" si="0"/>
        <v>8.7465000000000011</v>
      </c>
      <c r="D33" s="25">
        <f t="shared" si="1"/>
        <v>16.978500000000004</v>
      </c>
      <c r="E33" s="25"/>
      <c r="F33" s="25"/>
      <c r="G33" s="25">
        <f t="shared" si="2"/>
        <v>25.725000000000005</v>
      </c>
      <c r="K33" s="1">
        <v>6124</v>
      </c>
      <c r="L33" s="1">
        <v>4000</v>
      </c>
      <c r="M33" s="8">
        <f t="shared" si="3"/>
        <v>24.5</v>
      </c>
      <c r="P33" s="8">
        <f t="shared" si="4"/>
        <v>25.725000000000001</v>
      </c>
    </row>
    <row r="34" spans="1:16" x14ac:dyDescent="0.2">
      <c r="A34" s="2">
        <v>30</v>
      </c>
      <c r="B34" s="12" t="s">
        <v>53</v>
      </c>
      <c r="C34" s="25"/>
      <c r="D34" s="25"/>
      <c r="E34" s="25"/>
      <c r="F34" s="25">
        <v>44.08</v>
      </c>
      <c r="G34" s="25">
        <f t="shared" si="2"/>
        <v>44.08</v>
      </c>
      <c r="J34" s="1" t="s">
        <v>67</v>
      </c>
      <c r="K34" s="1">
        <v>11020</v>
      </c>
      <c r="L34" s="1">
        <v>4000</v>
      </c>
      <c r="M34" s="8">
        <f t="shared" si="3"/>
        <v>44.08</v>
      </c>
      <c r="P34" s="8">
        <f t="shared" si="4"/>
        <v>46.283999999999999</v>
      </c>
    </row>
    <row r="35" spans="1:16" x14ac:dyDescent="0.2">
      <c r="A35" s="2">
        <v>31</v>
      </c>
      <c r="B35" s="12" t="s">
        <v>54</v>
      </c>
      <c r="C35" s="25"/>
      <c r="D35" s="25"/>
      <c r="E35" s="25"/>
      <c r="F35" s="25">
        <v>33.04</v>
      </c>
      <c r="G35" s="25">
        <f t="shared" si="2"/>
        <v>33.04</v>
      </c>
      <c r="J35" s="1" t="s">
        <v>67</v>
      </c>
      <c r="K35" s="1">
        <v>8260</v>
      </c>
      <c r="L35" s="1">
        <v>4000</v>
      </c>
      <c r="M35" s="8">
        <f t="shared" si="3"/>
        <v>33.04</v>
      </c>
      <c r="P35" s="8">
        <f t="shared" si="4"/>
        <v>34.692</v>
      </c>
    </row>
    <row r="36" spans="1:16" x14ac:dyDescent="0.2">
      <c r="A36" s="2">
        <v>32</v>
      </c>
      <c r="B36" s="12" t="s">
        <v>55</v>
      </c>
      <c r="C36" s="25">
        <f t="shared" si="0"/>
        <v>10.967040000000001</v>
      </c>
      <c r="D36" s="25">
        <f t="shared" si="1"/>
        <v>21.288959999999999</v>
      </c>
      <c r="E36" s="25"/>
      <c r="F36" s="25"/>
      <c r="G36" s="25">
        <f t="shared" si="2"/>
        <v>32.256</v>
      </c>
      <c r="K36" s="1">
        <v>7681</v>
      </c>
      <c r="L36" s="1">
        <v>4000</v>
      </c>
      <c r="M36" s="8">
        <f t="shared" si="3"/>
        <v>30.72</v>
      </c>
      <c r="P36" s="8">
        <f t="shared" si="4"/>
        <v>32.256</v>
      </c>
    </row>
    <row r="37" spans="1:16" x14ac:dyDescent="0.2">
      <c r="A37" s="2">
        <v>33</v>
      </c>
      <c r="B37" s="12" t="s">
        <v>57</v>
      </c>
      <c r="C37" s="25">
        <f t="shared" si="0"/>
        <v>19.535039999999999</v>
      </c>
      <c r="D37" s="25">
        <f t="shared" si="1"/>
        <v>37.920959999999994</v>
      </c>
      <c r="E37" s="25"/>
      <c r="F37" s="25"/>
      <c r="G37" s="25">
        <f t="shared" si="2"/>
        <v>57.455999999999989</v>
      </c>
      <c r="K37" s="1">
        <v>13680</v>
      </c>
      <c r="L37" s="1">
        <v>4000</v>
      </c>
      <c r="M37" s="8">
        <f t="shared" si="3"/>
        <v>54.72</v>
      </c>
      <c r="P37" s="8">
        <f t="shared" si="4"/>
        <v>57.455999999999996</v>
      </c>
    </row>
    <row r="38" spans="1:16" x14ac:dyDescent="0.2">
      <c r="A38" s="2">
        <v>34</v>
      </c>
      <c r="B38" s="12" t="s">
        <v>58</v>
      </c>
      <c r="C38" s="25"/>
      <c r="D38" s="25"/>
      <c r="E38" s="25"/>
      <c r="F38" s="25">
        <v>15.6</v>
      </c>
      <c r="G38" s="25">
        <f t="shared" si="2"/>
        <v>15.6</v>
      </c>
      <c r="J38" s="1" t="s">
        <v>67</v>
      </c>
      <c r="K38" s="1">
        <v>3900</v>
      </c>
      <c r="L38" s="1">
        <v>4000</v>
      </c>
      <c r="M38" s="8">
        <f t="shared" si="3"/>
        <v>15.6</v>
      </c>
      <c r="P38" s="8">
        <f t="shared" si="4"/>
        <v>16.38</v>
      </c>
    </row>
    <row r="39" spans="1:16" x14ac:dyDescent="0.2">
      <c r="A39" s="2">
        <v>35</v>
      </c>
      <c r="B39" s="12" t="s">
        <v>59</v>
      </c>
      <c r="C39" s="25"/>
      <c r="D39" s="25"/>
      <c r="E39" s="25"/>
      <c r="F39" s="25">
        <v>42.99</v>
      </c>
      <c r="G39" s="25">
        <f t="shared" si="2"/>
        <v>42.99</v>
      </c>
      <c r="J39" s="1" t="s">
        <v>67</v>
      </c>
      <c r="K39" s="1">
        <v>10748</v>
      </c>
      <c r="L39" s="1">
        <v>4000</v>
      </c>
      <c r="M39" s="8">
        <f t="shared" si="3"/>
        <v>42.99</v>
      </c>
      <c r="P39" s="8">
        <f t="shared" si="4"/>
        <v>45.139500000000005</v>
      </c>
    </row>
    <row r="40" spans="1:16" x14ac:dyDescent="0.2">
      <c r="A40" s="2">
        <v>36</v>
      </c>
      <c r="B40" s="12" t="s">
        <v>60</v>
      </c>
      <c r="C40" s="25">
        <f t="shared" si="0"/>
        <v>11.352600000000002</v>
      </c>
      <c r="D40" s="25">
        <f t="shared" si="1"/>
        <v>22.037400000000005</v>
      </c>
      <c r="E40" s="25"/>
      <c r="F40" s="25"/>
      <c r="G40" s="25">
        <f t="shared" si="2"/>
        <v>33.390000000000008</v>
      </c>
      <c r="K40" s="1">
        <f>7500+1800</f>
        <v>9300</v>
      </c>
      <c r="L40" s="1">
        <v>4000</v>
      </c>
      <c r="M40" s="8">
        <f t="shared" si="3"/>
        <v>37.200000000000003</v>
      </c>
      <c r="O40" s="1">
        <v>5.4</v>
      </c>
      <c r="P40" s="8">
        <f t="shared" si="4"/>
        <v>33.390000000000008</v>
      </c>
    </row>
    <row r="41" spans="1:16" x14ac:dyDescent="0.2">
      <c r="A41" s="2">
        <v>37</v>
      </c>
      <c r="B41" s="12" t="s">
        <v>61</v>
      </c>
      <c r="C41" s="25"/>
      <c r="D41" s="25"/>
      <c r="E41" s="25"/>
      <c r="F41" s="25">
        <v>22.84</v>
      </c>
      <c r="G41" s="25">
        <f>SUM(C41:F41)</f>
        <v>22.84</v>
      </c>
      <c r="J41" s="1" t="s">
        <v>67</v>
      </c>
      <c r="K41" s="1">
        <v>5710</v>
      </c>
      <c r="L41" s="1">
        <v>4000</v>
      </c>
      <c r="M41" s="8">
        <f t="shared" si="3"/>
        <v>22.84</v>
      </c>
      <c r="P41" s="8">
        <f t="shared" si="4"/>
        <v>23.981999999999999</v>
      </c>
    </row>
    <row r="42" spans="1:16" x14ac:dyDescent="0.2">
      <c r="A42" s="2">
        <v>38</v>
      </c>
      <c r="B42" s="12" t="s">
        <v>62</v>
      </c>
      <c r="C42" s="25"/>
      <c r="D42" s="25"/>
      <c r="E42" s="25"/>
      <c r="F42" s="25">
        <v>41.6</v>
      </c>
      <c r="G42" s="25">
        <f t="shared" si="2"/>
        <v>41.6</v>
      </c>
      <c r="J42" s="1" t="s">
        <v>67</v>
      </c>
      <c r="K42" s="1">
        <v>11750</v>
      </c>
      <c r="L42" s="1">
        <v>4000</v>
      </c>
      <c r="M42" s="8">
        <f t="shared" si="3"/>
        <v>47</v>
      </c>
      <c r="O42" s="1">
        <v>5.4</v>
      </c>
      <c r="P42" s="8">
        <f t="shared" si="4"/>
        <v>43.68</v>
      </c>
    </row>
    <row r="43" spans="1:16" x14ac:dyDescent="0.2">
      <c r="A43" s="2">
        <v>39</v>
      </c>
      <c r="B43" s="12" t="s">
        <v>63</v>
      </c>
      <c r="C43" s="25">
        <f t="shared" si="0"/>
        <v>35.94276</v>
      </c>
      <c r="D43" s="25">
        <f t="shared" si="1"/>
        <v>69.771239999999992</v>
      </c>
      <c r="E43" s="25"/>
      <c r="F43" s="25"/>
      <c r="G43" s="25">
        <f t="shared" si="2"/>
        <v>105.714</v>
      </c>
      <c r="K43" s="1">
        <v>26520</v>
      </c>
      <c r="L43" s="1">
        <v>4000</v>
      </c>
      <c r="M43" s="8">
        <f t="shared" si="3"/>
        <v>106.08</v>
      </c>
      <c r="O43" s="1">
        <v>5.4</v>
      </c>
      <c r="P43" s="8">
        <f t="shared" si="4"/>
        <v>105.714</v>
      </c>
    </row>
    <row r="44" spans="1:16" x14ac:dyDescent="0.2">
      <c r="A44" s="2">
        <v>40</v>
      </c>
      <c r="B44" s="12" t="s">
        <v>41</v>
      </c>
      <c r="C44" s="25">
        <f t="shared" si="0"/>
        <v>14.28</v>
      </c>
      <c r="D44" s="25">
        <f t="shared" si="1"/>
        <v>27.72</v>
      </c>
      <c r="E44" s="25"/>
      <c r="F44" s="25"/>
      <c r="G44" s="25">
        <f t="shared" si="2"/>
        <v>42</v>
      </c>
      <c r="K44" s="1">
        <v>10000</v>
      </c>
      <c r="L44" s="1">
        <v>4000</v>
      </c>
      <c r="M44" s="8">
        <f t="shared" si="3"/>
        <v>40</v>
      </c>
      <c r="P44" s="8">
        <f t="shared" si="4"/>
        <v>42</v>
      </c>
    </row>
    <row r="45" spans="1:16" x14ac:dyDescent="0.2">
      <c r="A45" s="2"/>
      <c r="B45" s="2" t="s">
        <v>19</v>
      </c>
      <c r="C45" s="25">
        <f>SUM(C5:C44)</f>
        <v>907.35119999999995</v>
      </c>
      <c r="D45" s="25">
        <f t="shared" ref="D45:F45" si="5">SUM(D5:D44)</f>
        <v>1761.3287999999998</v>
      </c>
      <c r="E45" s="25">
        <f t="shared" si="5"/>
        <v>62.379999999999995</v>
      </c>
      <c r="F45" s="25">
        <f t="shared" si="5"/>
        <v>619.28000000000009</v>
      </c>
      <c r="G45" s="25">
        <f>SUM(G5:G44)</f>
        <v>3350.3399999999992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ВОР 2 э. шт.</vt:lpstr>
      <vt:lpstr>Спец 2 э. шт.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2025-10-04T16:45:11Z</dcterms:modified>
</cp:coreProperties>
</file>