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23265" yWindow="5565" windowWidth="5535" windowHeight="6105" tabRatio="800" firstSheet="1" activeTab="11"/>
  </bookViews>
  <sheets>
    <sheet name="ВОР 2 э. шт." sheetId="8" state="hidden" r:id="rId1"/>
    <sheet name="Спец 2 э. шт." sheetId="7" r:id="rId2"/>
    <sheet name="ВОР 3 э. шт." sheetId="10" state="hidden" r:id="rId3"/>
    <sheet name="Спец 3 э. шт." sheetId="9" state="hidden" r:id="rId4"/>
    <sheet name="ВОР 1.2.3 э. шт." sheetId="15" state="hidden" r:id="rId5"/>
    <sheet name="сп1.2.3эт" sheetId="11" state="hidden" r:id="rId6"/>
    <sheet name="Лист4" sheetId="14" state="hidden" r:id="rId7"/>
    <sheet name="Лист2" sheetId="17" r:id="rId8"/>
    <sheet name="2.1ШпВор" sheetId="16" r:id="rId9"/>
    <sheet name="2.2)Шп1эт" sheetId="20" r:id="rId10"/>
    <sheet name="2.3)Шп2эт" sheetId="21" r:id="rId11"/>
    <sheet name="2.4)Шп3эт" sheetId="22" r:id="rId12"/>
    <sheet name="Лист5" sheetId="19" state="hidden" r:id="rId13"/>
  </sheets>
  <calcPr calcId="152511" calcMode="manual"/>
</workbook>
</file>

<file path=xl/calcChain.xml><?xml version="1.0" encoding="utf-8"?>
<calcChain xmlns="http://schemas.openxmlformats.org/spreadsheetml/2006/main">
  <c r="E17" i="22" l="1"/>
  <c r="F16" i="22"/>
  <c r="G16" i="22" s="1"/>
  <c r="F15" i="22"/>
  <c r="G15" i="22" s="1"/>
  <c r="G14" i="22"/>
  <c r="D13" i="22"/>
  <c r="G13" i="22" s="1"/>
  <c r="D12" i="22"/>
  <c r="G12" i="22" s="1"/>
  <c r="D11" i="22"/>
  <c r="G11" i="22" s="1"/>
  <c r="D10" i="22"/>
  <c r="G10" i="22" s="1"/>
  <c r="D9" i="22"/>
  <c r="G9" i="22" s="1"/>
  <c r="D8" i="22"/>
  <c r="G8" i="22" s="1"/>
  <c r="G7" i="22"/>
  <c r="D7" i="22"/>
  <c r="D6" i="22"/>
  <c r="G6" i="22" s="1"/>
  <c r="D5" i="22"/>
  <c r="G5" i="22" s="1"/>
  <c r="D4" i="22"/>
  <c r="G4" i="22" s="1"/>
  <c r="E24" i="21"/>
  <c r="F24" i="21" s="1"/>
  <c r="E23" i="21"/>
  <c r="F23" i="21" s="1"/>
  <c r="E22" i="21"/>
  <c r="F22" i="21" s="1"/>
  <c r="E21" i="21"/>
  <c r="D20" i="21"/>
  <c r="F20" i="21" s="1"/>
  <c r="D19" i="21"/>
  <c r="F19" i="21" s="1"/>
  <c r="D18" i="21"/>
  <c r="F18" i="21" s="1"/>
  <c r="D17" i="21"/>
  <c r="F17" i="21" s="1"/>
  <c r="D16" i="21"/>
  <c r="F16" i="21" s="1"/>
  <c r="D15" i="21"/>
  <c r="F15" i="21" s="1"/>
  <c r="D14" i="21"/>
  <c r="F14" i="21" s="1"/>
  <c r="F13" i="21"/>
  <c r="D13" i="21"/>
  <c r="D12" i="21"/>
  <c r="F12" i="21" s="1"/>
  <c r="D11" i="21"/>
  <c r="F11" i="21" s="1"/>
  <c r="D10" i="21"/>
  <c r="F10" i="21" s="1"/>
  <c r="D9" i="21"/>
  <c r="F9" i="21" s="1"/>
  <c r="D8" i="21"/>
  <c r="F8" i="21" s="1"/>
  <c r="D7" i="21"/>
  <c r="F7" i="21" s="1"/>
  <c r="D6" i="21"/>
  <c r="F6" i="21" s="1"/>
  <c r="D5" i="21"/>
  <c r="F5" i="21" s="1"/>
  <c r="D4" i="21"/>
  <c r="F4" i="21" s="1"/>
  <c r="E23" i="20"/>
  <c r="F23" i="20" s="1"/>
  <c r="F22" i="20"/>
  <c r="E21" i="20"/>
  <c r="F21" i="20" s="1"/>
  <c r="D20" i="20"/>
  <c r="F20" i="20" s="1"/>
  <c r="D19" i="20"/>
  <c r="F19" i="20" s="1"/>
  <c r="D18" i="20"/>
  <c r="F18" i="20" s="1"/>
  <c r="D16" i="20"/>
  <c r="D17" i="20" s="1"/>
  <c r="F17" i="20" s="1"/>
  <c r="F15" i="20"/>
  <c r="D14" i="20"/>
  <c r="F14" i="20" s="1"/>
  <c r="D13" i="20"/>
  <c r="F13" i="20" s="1"/>
  <c r="D12" i="20"/>
  <c r="F12" i="20" s="1"/>
  <c r="D11" i="20"/>
  <c r="F11" i="20" s="1"/>
  <c r="D10" i="20"/>
  <c r="F10" i="20" s="1"/>
  <c r="D9" i="20"/>
  <c r="F9" i="20" s="1"/>
  <c r="D8" i="20"/>
  <c r="F8" i="20" s="1"/>
  <c r="D7" i="20"/>
  <c r="F7" i="20" s="1"/>
  <c r="D6" i="20"/>
  <c r="F6" i="20" s="1"/>
  <c r="D5" i="20"/>
  <c r="F5" i="20" s="1"/>
  <c r="D4" i="20"/>
  <c r="E25" i="21" l="1"/>
  <c r="F17" i="22"/>
  <c r="G17" i="22"/>
  <c r="E24" i="20"/>
  <c r="D24" i="20"/>
  <c r="F4" i="20"/>
  <c r="F24" i="20" s="1"/>
  <c r="F25" i="21"/>
  <c r="F21" i="21"/>
  <c r="D17" i="22"/>
  <c r="D25" i="21"/>
  <c r="F16" i="20"/>
  <c r="D51" i="17"/>
  <c r="D50" i="17"/>
  <c r="D49" i="17"/>
  <c r="D48" i="17"/>
  <c r="D47" i="17"/>
  <c r="D46" i="17"/>
  <c r="D14" i="17"/>
  <c r="D11" i="17"/>
  <c r="D10" i="17"/>
  <c r="D9" i="17"/>
  <c r="D8" i="17"/>
  <c r="D4" i="17"/>
  <c r="D5" i="17"/>
  <c r="D6" i="17"/>
  <c r="D12" i="17"/>
  <c r="D20" i="17"/>
  <c r="D21" i="17"/>
  <c r="D19" i="17"/>
  <c r="D18" i="17"/>
  <c r="D17" i="17"/>
  <c r="D7" i="17"/>
  <c r="D13" i="17"/>
  <c r="N93" i="17"/>
  <c r="N92" i="17"/>
  <c r="M93" i="17"/>
  <c r="M92" i="17"/>
  <c r="L93" i="17"/>
  <c r="L92" i="17"/>
  <c r="S92" i="17"/>
  <c r="S93" i="17"/>
  <c r="Q92" i="17"/>
  <c r="N21" i="17"/>
  <c r="N20" i="17"/>
  <c r="N19" i="17"/>
  <c r="N18" i="17"/>
  <c r="N17" i="17"/>
  <c r="N30" i="17"/>
  <c r="M30" i="17"/>
  <c r="L30" i="17"/>
  <c r="N29" i="17"/>
  <c r="M29" i="17"/>
  <c r="Q29" i="17" s="1"/>
  <c r="L29" i="17"/>
  <c r="M61" i="17"/>
  <c r="M62" i="17"/>
  <c r="L62" i="17"/>
  <c r="L61" i="17"/>
  <c r="N62" i="17"/>
  <c r="N61" i="17"/>
  <c r="F3" i="16" l="1"/>
  <c r="Q93" i="17"/>
  <c r="F29" i="17"/>
  <c r="E61" i="17"/>
  <c r="Q61" i="17" s="1"/>
  <c r="F62" i="17"/>
  <c r="F61" i="17"/>
  <c r="E93" i="17"/>
  <c r="G16" i="17"/>
  <c r="D15" i="17"/>
  <c r="E24" i="17" l="1"/>
  <c r="G24" i="17" s="1"/>
  <c r="G23" i="17"/>
  <c r="F25" i="17"/>
  <c r="F30" i="17" s="1"/>
  <c r="R53" i="17"/>
  <c r="N53" i="17"/>
  <c r="T53" i="17" s="1"/>
  <c r="R52" i="17"/>
  <c r="N52" i="17"/>
  <c r="R51" i="17"/>
  <c r="N51" i="17"/>
  <c r="R50" i="17"/>
  <c r="N50" i="17"/>
  <c r="R49" i="17"/>
  <c r="N49" i="17"/>
  <c r="G89" i="17"/>
  <c r="R87" i="17"/>
  <c r="N87" i="17"/>
  <c r="R86" i="17"/>
  <c r="N86" i="17"/>
  <c r="T86" i="17" s="1"/>
  <c r="R85" i="17"/>
  <c r="N85" i="17"/>
  <c r="R84" i="17"/>
  <c r="N84" i="17"/>
  <c r="R83" i="17"/>
  <c r="N83" i="17"/>
  <c r="R82" i="17"/>
  <c r="N82" i="17"/>
  <c r="T82" i="17" l="1"/>
  <c r="T52" i="17"/>
  <c r="T85" i="17"/>
  <c r="T50" i="17"/>
  <c r="T83" i="17"/>
  <c r="T87" i="17"/>
  <c r="T51" i="17"/>
  <c r="T84" i="17"/>
  <c r="T49" i="17"/>
  <c r="E89" i="17"/>
  <c r="F86" i="17" l="1"/>
  <c r="F87" i="17"/>
  <c r="F88" i="17"/>
  <c r="F85" i="17"/>
  <c r="F92" i="17" s="1"/>
  <c r="R92" i="17" s="1"/>
  <c r="D83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93" i="17" s="1"/>
  <c r="P93" i="17" s="1"/>
  <c r="D70" i="17"/>
  <c r="G21" i="17"/>
  <c r="E22" i="17"/>
  <c r="E30" i="17" s="1"/>
  <c r="Q30" i="17" s="1"/>
  <c r="D35" i="17"/>
  <c r="D36" i="17"/>
  <c r="D37" i="17"/>
  <c r="D38" i="17"/>
  <c r="D39" i="17"/>
  <c r="D40" i="17"/>
  <c r="D41" i="17"/>
  <c r="D42" i="17"/>
  <c r="D43" i="17"/>
  <c r="D44" i="17"/>
  <c r="D45" i="17"/>
  <c r="E53" i="17"/>
  <c r="E54" i="17"/>
  <c r="E55" i="17"/>
  <c r="E56" i="17"/>
  <c r="E57" i="17"/>
  <c r="D25" i="17" l="1"/>
  <c r="D29" i="17"/>
  <c r="P29" i="17" s="1"/>
  <c r="D30" i="17"/>
  <c r="P30" i="17" s="1"/>
  <c r="F93" i="17"/>
  <c r="R93" i="17" s="1"/>
  <c r="D61" i="17"/>
  <c r="P61" i="17" s="1"/>
  <c r="E62" i="17"/>
  <c r="Q62" i="17" s="1"/>
  <c r="G22" i="17"/>
  <c r="E25" i="17"/>
  <c r="D62" i="17"/>
  <c r="P62" i="17" s="1"/>
  <c r="D92" i="17"/>
  <c r="P92" i="17" s="1"/>
  <c r="F89" i="17"/>
  <c r="G41" i="17"/>
  <c r="G42" i="17"/>
  <c r="G45" i="17"/>
  <c r="G46" i="17"/>
  <c r="G49" i="17"/>
  <c r="G50" i="17"/>
  <c r="G37" i="17"/>
  <c r="G38" i="17"/>
  <c r="G39" i="17"/>
  <c r="G40" i="17"/>
  <c r="H70" i="17"/>
  <c r="D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F58" i="17"/>
  <c r="AA17" i="17"/>
  <c r="W17" i="17"/>
  <c r="Z23" i="17"/>
  <c r="Y23" i="17"/>
  <c r="V23" i="17"/>
  <c r="U23" i="17"/>
  <c r="AA21" i="17"/>
  <c r="AA20" i="17"/>
  <c r="AA19" i="17"/>
  <c r="AA18" i="17"/>
  <c r="AA16" i="17"/>
  <c r="AA14" i="17"/>
  <c r="AA13" i="17"/>
  <c r="AA12" i="17"/>
  <c r="AA11" i="17"/>
  <c r="AA10" i="17"/>
  <c r="AA8" i="17"/>
  <c r="AA7" i="17"/>
  <c r="AA6" i="17"/>
  <c r="AA5" i="17"/>
  <c r="AA4" i="17"/>
  <c r="W5" i="17"/>
  <c r="W6" i="17"/>
  <c r="W7" i="17"/>
  <c r="W8" i="17"/>
  <c r="W10" i="17"/>
  <c r="W11" i="17"/>
  <c r="W12" i="17"/>
  <c r="W13" i="17"/>
  <c r="W14" i="17"/>
  <c r="W16" i="17"/>
  <c r="W18" i="17"/>
  <c r="W19" i="17"/>
  <c r="AC19" i="17" s="1"/>
  <c r="W20" i="17"/>
  <c r="W21" i="17"/>
  <c r="W4" i="17"/>
  <c r="G51" i="17"/>
  <c r="G48" i="17"/>
  <c r="G47" i="17"/>
  <c r="G44" i="17"/>
  <c r="G43" i="17"/>
  <c r="G36" i="17"/>
  <c r="G20" i="17"/>
  <c r="G19" i="17"/>
  <c r="G18" i="17"/>
  <c r="G17" i="17"/>
  <c r="G15" i="17"/>
  <c r="G14" i="17"/>
  <c r="G13" i="17"/>
  <c r="G12" i="17"/>
  <c r="G11" i="17"/>
  <c r="G10" i="17"/>
  <c r="G9" i="17"/>
  <c r="G8" i="17"/>
  <c r="G7" i="17"/>
  <c r="G6" i="17"/>
  <c r="G5" i="17"/>
  <c r="G4" i="17"/>
  <c r="AC8" i="17" l="1"/>
  <c r="H89" i="17"/>
  <c r="G25" i="17"/>
  <c r="G54" i="17"/>
  <c r="G56" i="17"/>
  <c r="G57" i="17"/>
  <c r="G55" i="17"/>
  <c r="G53" i="17"/>
  <c r="E58" i="17"/>
  <c r="G52" i="17"/>
  <c r="D58" i="17"/>
  <c r="G35" i="17"/>
  <c r="G58" i="17" s="1"/>
  <c r="AC21" i="17"/>
  <c r="AC11" i="17"/>
  <c r="AC17" i="17"/>
  <c r="AC14" i="17"/>
  <c r="AA23" i="17"/>
  <c r="AC20" i="17"/>
  <c r="AC10" i="17"/>
  <c r="AC12" i="17"/>
  <c r="AC18" i="17"/>
  <c r="AC7" i="17"/>
  <c r="AC16" i="17"/>
  <c r="AC6" i="17"/>
  <c r="AC4" i="17"/>
  <c r="AC5" i="17"/>
  <c r="AC13" i="17"/>
  <c r="W23" i="17"/>
  <c r="AC23" i="17" l="1"/>
  <c r="F5" i="16" l="1"/>
  <c r="F4" i="16"/>
  <c r="C22" i="14"/>
  <c r="E22" i="14"/>
  <c r="D22" i="14"/>
  <c r="G17" i="11"/>
  <c r="G18" i="11"/>
  <c r="G19" i="11"/>
  <c r="E16" i="15" l="1"/>
  <c r="E20" i="15" s="1"/>
  <c r="D8" i="14"/>
  <c r="C8" i="14"/>
  <c r="B8" i="14"/>
  <c r="C16" i="14"/>
  <c r="D16" i="14"/>
  <c r="B16" i="14"/>
  <c r="B15" i="14"/>
  <c r="B7" i="14"/>
  <c r="C7" i="14"/>
  <c r="D7" i="14"/>
  <c r="D15" i="14"/>
  <c r="D5" i="14"/>
  <c r="C5" i="14"/>
  <c r="B5" i="14"/>
  <c r="B13" i="14"/>
  <c r="D13" i="14"/>
  <c r="C13" i="14"/>
  <c r="C15" i="14"/>
  <c r="G8" i="11"/>
  <c r="G6" i="11"/>
  <c r="F22" i="11"/>
  <c r="G9" i="11"/>
  <c r="E22" i="11"/>
  <c r="E11" i="15" s="1"/>
  <c r="E15" i="15" s="1"/>
  <c r="G20" i="11"/>
  <c r="G16" i="11"/>
  <c r="G14" i="11"/>
  <c r="G13" i="11"/>
  <c r="G7" i="11"/>
  <c r="D22" i="11"/>
  <c r="E21" i="15" s="1"/>
  <c r="E25" i="15" s="1"/>
  <c r="E18" i="15" l="1"/>
  <c r="E19" i="15"/>
  <c r="E5" i="15"/>
  <c r="E12" i="15"/>
  <c r="E13" i="15"/>
  <c r="E14" i="15"/>
  <c r="E22" i="15"/>
  <c r="E7" i="15"/>
  <c r="E23" i="15"/>
  <c r="E24" i="15"/>
  <c r="E17" i="15"/>
  <c r="G12" i="11"/>
  <c r="G10" i="11"/>
  <c r="G15" i="11"/>
  <c r="G11" i="11"/>
  <c r="G5" i="11"/>
  <c r="C22" i="11"/>
  <c r="E6" i="15" s="1"/>
  <c r="E10" i="15" s="1"/>
  <c r="G21" i="11"/>
  <c r="E21" i="10"/>
  <c r="E16" i="10"/>
  <c r="E11" i="10"/>
  <c r="E6" i="10"/>
  <c r="D27" i="9"/>
  <c r="C27" i="9"/>
  <c r="E9" i="15" l="1"/>
  <c r="E8" i="15"/>
  <c r="E4" i="15"/>
  <c r="G22" i="11"/>
  <c r="F19" i="9"/>
  <c r="F20" i="9"/>
  <c r="F21" i="9"/>
  <c r="F18" i="9"/>
  <c r="E26" i="9"/>
  <c r="M5" i="7"/>
  <c r="D14" i="7"/>
  <c r="D25" i="9"/>
  <c r="C25" i="9"/>
  <c r="D24" i="9"/>
  <c r="C24" i="9"/>
  <c r="D23" i="9"/>
  <c r="C23" i="9"/>
  <c r="D22" i="9"/>
  <c r="C22" i="9"/>
  <c r="C6" i="9"/>
  <c r="D6" i="9"/>
  <c r="C7" i="9"/>
  <c r="D7" i="9"/>
  <c r="C8" i="9"/>
  <c r="D8" i="9"/>
  <c r="C9" i="9"/>
  <c r="D9" i="9"/>
  <c r="C10" i="9"/>
  <c r="D10" i="9"/>
  <c r="C11" i="9"/>
  <c r="D11" i="9"/>
  <c r="C12" i="9"/>
  <c r="D12" i="9"/>
  <c r="C13" i="9"/>
  <c r="D13" i="9"/>
  <c r="C14" i="9"/>
  <c r="D14" i="9"/>
  <c r="C15" i="9"/>
  <c r="D15" i="9"/>
  <c r="C16" i="9"/>
  <c r="D16" i="9"/>
  <c r="C17" i="9"/>
  <c r="D17" i="9"/>
  <c r="E20" i="10" l="1"/>
  <c r="E19" i="10"/>
  <c r="E18" i="10"/>
  <c r="E17" i="10"/>
  <c r="E13" i="10"/>
  <c r="E12" i="10" l="1"/>
  <c r="E14" i="10"/>
  <c r="E15" i="10"/>
  <c r="D5" i="9" l="1"/>
  <c r="I5" i="9"/>
  <c r="C5" i="9"/>
  <c r="H5" i="9"/>
  <c r="H7" i="9" l="1"/>
  <c r="H8" i="9"/>
  <c r="J8" i="9"/>
  <c r="I6" i="9" l="1"/>
  <c r="K6" i="9" s="1"/>
  <c r="J7" i="9"/>
  <c r="I7" i="9"/>
  <c r="K7" i="9" s="1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4" i="9"/>
  <c r="K5" i="9"/>
  <c r="I8" i="9"/>
  <c r="K8" i="9" s="1"/>
  <c r="F28" i="9"/>
  <c r="E28" i="9"/>
  <c r="U27" i="9"/>
  <c r="W27" i="9" s="1"/>
  <c r="Z27" i="9" s="1"/>
  <c r="W26" i="9"/>
  <c r="Z26" i="9" s="1"/>
  <c r="G26" i="9"/>
  <c r="W25" i="9"/>
  <c r="Z25" i="9" s="1"/>
  <c r="G25" i="9"/>
  <c r="W24" i="9"/>
  <c r="Z24" i="9" s="1"/>
  <c r="G24" i="9"/>
  <c r="W23" i="9"/>
  <c r="Z23" i="9" s="1"/>
  <c r="W22" i="9"/>
  <c r="Z22" i="9" s="1"/>
  <c r="G22" i="9" s="1"/>
  <c r="W21" i="9"/>
  <c r="Z21" i="9" s="1"/>
  <c r="W20" i="9"/>
  <c r="Z20" i="9" s="1"/>
  <c r="G20" i="9"/>
  <c r="W19" i="9"/>
  <c r="Z19" i="9" s="1"/>
  <c r="G19" i="9"/>
  <c r="W18" i="9"/>
  <c r="Z18" i="9" s="1"/>
  <c r="G18" i="9"/>
  <c r="W17" i="9"/>
  <c r="Z17" i="9" s="1"/>
  <c r="G17" i="9"/>
  <c r="W16" i="9"/>
  <c r="Z16" i="9" s="1"/>
  <c r="G16" i="9"/>
  <c r="W15" i="9"/>
  <c r="Z15" i="9" s="1"/>
  <c r="W14" i="9"/>
  <c r="Z14" i="9" s="1"/>
  <c r="W13" i="9"/>
  <c r="Z13" i="9" s="1"/>
  <c r="W12" i="9"/>
  <c r="Z12" i="9" s="1"/>
  <c r="W11" i="9"/>
  <c r="Z11" i="9" s="1"/>
  <c r="W10" i="9"/>
  <c r="Z10" i="9" s="1"/>
  <c r="W9" i="9"/>
  <c r="Z9" i="9" s="1"/>
  <c r="W8" i="9"/>
  <c r="Z8" i="9" s="1"/>
  <c r="W7" i="9"/>
  <c r="Z7" i="9" s="1"/>
  <c r="W6" i="9"/>
  <c r="Z6" i="9" s="1"/>
  <c r="W5" i="9"/>
  <c r="Z5" i="9" s="1"/>
  <c r="G11" i="9" l="1"/>
  <c r="G6" i="9"/>
  <c r="G7" i="9"/>
  <c r="G8" i="9"/>
  <c r="G13" i="9"/>
  <c r="G21" i="9"/>
  <c r="G27" i="9"/>
  <c r="G9" i="9"/>
  <c r="G41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5" i="7"/>
  <c r="E16" i="8"/>
  <c r="E17" i="8" s="1"/>
  <c r="E11" i="8"/>
  <c r="E15" i="8" s="1"/>
  <c r="E14" i="8"/>
  <c r="E13" i="8"/>
  <c r="E12" i="8"/>
  <c r="D28" i="9" l="1"/>
  <c r="G23" i="9"/>
  <c r="G10" i="9"/>
  <c r="C28" i="9"/>
  <c r="G5" i="9"/>
  <c r="G15" i="9"/>
  <c r="G14" i="9"/>
  <c r="G12" i="9"/>
  <c r="E20" i="8"/>
  <c r="E19" i="8"/>
  <c r="E18" i="8"/>
  <c r="G28" i="9" l="1"/>
  <c r="G7" i="7"/>
  <c r="G8" i="7"/>
  <c r="G17" i="7"/>
  <c r="G18" i="7"/>
  <c r="G19" i="7"/>
  <c r="G20" i="7"/>
  <c r="G21" i="7"/>
  <c r="G25" i="7"/>
  <c r="G26" i="7"/>
  <c r="G27" i="7"/>
  <c r="G29" i="7"/>
  <c r="G30" i="7"/>
  <c r="G31" i="7"/>
  <c r="G32" i="7"/>
  <c r="G34" i="7"/>
  <c r="G35" i="7"/>
  <c r="G38" i="7"/>
  <c r="G39" i="7"/>
  <c r="G40" i="7"/>
  <c r="G42" i="7"/>
  <c r="G5" i="7"/>
  <c r="E45" i="7"/>
  <c r="F45" i="7"/>
  <c r="C6" i="7"/>
  <c r="D6" i="7"/>
  <c r="G6" i="7" s="1"/>
  <c r="C7" i="7"/>
  <c r="D7" i="7"/>
  <c r="C8" i="7"/>
  <c r="D8" i="7"/>
  <c r="C9" i="7"/>
  <c r="D9" i="7"/>
  <c r="C10" i="7"/>
  <c r="D10" i="7"/>
  <c r="C11" i="7"/>
  <c r="G11" i="7" s="1"/>
  <c r="D11" i="7"/>
  <c r="C12" i="7"/>
  <c r="G12" i="7" s="1"/>
  <c r="D12" i="7"/>
  <c r="C13" i="7"/>
  <c r="D13" i="7"/>
  <c r="C14" i="7"/>
  <c r="G14" i="7" s="1"/>
  <c r="C15" i="7"/>
  <c r="G15" i="7" s="1"/>
  <c r="D15" i="7"/>
  <c r="C16" i="7"/>
  <c r="G16" i="7" s="1"/>
  <c r="D16" i="7"/>
  <c r="C22" i="7"/>
  <c r="D22" i="7"/>
  <c r="C23" i="7"/>
  <c r="G23" i="7" s="1"/>
  <c r="D23" i="7"/>
  <c r="C24" i="7"/>
  <c r="G24" i="7" s="1"/>
  <c r="D24" i="7"/>
  <c r="C28" i="7"/>
  <c r="G28" i="7" s="1"/>
  <c r="D28" i="7"/>
  <c r="C33" i="7"/>
  <c r="D33" i="7"/>
  <c r="C36" i="7"/>
  <c r="G36" i="7" s="1"/>
  <c r="D36" i="7"/>
  <c r="C37" i="7"/>
  <c r="G37" i="7" s="1"/>
  <c r="D37" i="7"/>
  <c r="C40" i="7"/>
  <c r="D40" i="7"/>
  <c r="C43" i="7"/>
  <c r="D43" i="7"/>
  <c r="C44" i="7"/>
  <c r="G44" i="7" s="1"/>
  <c r="D44" i="7"/>
  <c r="D5" i="7"/>
  <c r="C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9" i="7"/>
  <c r="M30" i="7"/>
  <c r="M31" i="7"/>
  <c r="M32" i="7"/>
  <c r="M33" i="7"/>
  <c r="M34" i="7"/>
  <c r="M35" i="7"/>
  <c r="M36" i="7"/>
  <c r="M37" i="7"/>
  <c r="M38" i="7"/>
  <c r="M39" i="7"/>
  <c r="M41" i="7"/>
  <c r="M42" i="7"/>
  <c r="M43" i="7"/>
  <c r="M44" i="7"/>
  <c r="K40" i="7"/>
  <c r="M40" i="7" s="1"/>
  <c r="K31" i="7"/>
  <c r="K28" i="7"/>
  <c r="M28" i="7" s="1"/>
  <c r="G10" i="7" l="1"/>
  <c r="G43" i="7"/>
  <c r="G22" i="7"/>
  <c r="G13" i="7"/>
  <c r="G9" i="7"/>
  <c r="G33" i="7"/>
  <c r="D45" i="7"/>
  <c r="C45" i="7"/>
  <c r="E21" i="8" l="1"/>
  <c r="E6" i="8"/>
  <c r="E7" i="8" s="1"/>
  <c r="E23" i="8"/>
  <c r="E8" i="8"/>
  <c r="E10" i="8"/>
  <c r="E9" i="8"/>
  <c r="E3" i="8"/>
  <c r="E4" i="8" s="1"/>
  <c r="G45" i="7"/>
  <c r="E9" i="10" l="1"/>
  <c r="E10" i="10"/>
  <c r="E3" i="10"/>
  <c r="E7" i="10"/>
  <c r="E8" i="10"/>
  <c r="E5" i="8"/>
  <c r="E25" i="10"/>
  <c r="E22" i="10"/>
  <c r="E23" i="10"/>
  <c r="E24" i="10"/>
  <c r="E25" i="8"/>
  <c r="E22" i="8"/>
  <c r="E24" i="8"/>
  <c r="E5" i="10" l="1"/>
  <c r="E4" i="10"/>
</calcChain>
</file>

<file path=xl/sharedStrings.xml><?xml version="1.0" encoding="utf-8"?>
<sst xmlns="http://schemas.openxmlformats.org/spreadsheetml/2006/main" count="595" uniqueCount="175">
  <si>
    <t>№ п.п.</t>
  </si>
  <si>
    <t>Наименование</t>
  </si>
  <si>
    <t>Спецификация выполненных работ</t>
  </si>
  <si>
    <t>Итог</t>
  </si>
  <si>
    <t>Объем, м²</t>
  </si>
  <si>
    <t>Помещения:</t>
  </si>
  <si>
    <t>Штукатурка цементная</t>
  </si>
  <si>
    <t>1.2</t>
  </si>
  <si>
    <t>Объем</t>
  </si>
  <si>
    <t>пог. 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</si>
  <si>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</si>
  <si>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</si>
  <si>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</si>
  <si>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</si>
  <si>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</si>
  <si>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</si>
  <si>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</si>
  <si>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</si>
  <si>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Грунтовка БЕТОН-КОНТАКТ_/</t>
  </si>
  <si>
    <t>сумма:</t>
  </si>
  <si>
    <t>длина полилинии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</si>
  <si>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</si>
  <si>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</si>
  <si>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</si>
  <si>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</si>
  <si>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</si>
  <si>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</si>
  <si>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</si>
  <si>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</si>
  <si>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</si>
  <si>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</si>
  <si>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</si>
  <si>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</si>
  <si>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</si>
  <si>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</si>
  <si>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*4000</t>
  </si>
  <si>
    <t>ТИП</t>
  </si>
  <si>
    <t>2.016</t>
  </si>
  <si>
    <t>2.017</t>
  </si>
  <si>
    <t>чст-1,2</t>
  </si>
  <si>
    <t>2.162</t>
  </si>
  <si>
    <t>2.168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</si>
  <si>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</si>
  <si>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</si>
  <si>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</si>
  <si>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</si>
  <si>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</si>
  <si>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</si>
  <si>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</si>
  <si>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</si>
  <si>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</si>
  <si>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</si>
  <si>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</si>
  <si>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</si>
  <si>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</si>
  <si>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</si>
  <si>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2.075</t>
  </si>
  <si>
    <t>2.103</t>
  </si>
  <si>
    <t>2.104</t>
  </si>
  <si>
    <t>2.105</t>
  </si>
  <si>
    <t>2.106</t>
  </si>
  <si>
    <t>2.107</t>
  </si>
  <si>
    <t>2.108</t>
  </si>
  <si>
    <t>2.109</t>
  </si>
  <si>
    <t>Штукатурка стен</t>
  </si>
  <si>
    <t>ЧСТ-1</t>
  </si>
  <si>
    <t>Минус окна</t>
  </si>
  <si>
    <t>СТ-8, СТ-8.1</t>
  </si>
  <si>
    <t>СТ-5, СТ-5.1</t>
  </si>
  <si>
    <t xml:space="preserve">ЧСТ-2, ЧСТ-4 </t>
  </si>
  <si>
    <t>Ведомость работ и используемых материалов (Штукатурка)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</si>
  <si>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</si>
  <si>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1.3</t>
  </si>
  <si>
    <t>Лента армирующая ( серпянка)_/150мм</t>
  </si>
  <si>
    <t>2.3</t>
  </si>
  <si>
    <t>3</t>
  </si>
  <si>
    <t>3.1</t>
  </si>
  <si>
    <t>3.2</t>
  </si>
  <si>
    <t>3.3</t>
  </si>
  <si>
    <t>3.4</t>
  </si>
  <si>
    <t>Профиль маячковый_/ПМ10</t>
  </si>
  <si>
    <t>Штукатурка стен цементным, цементно-песчаным раствором с предварительной огрунтовкой / толщ. от 21 до 40 мм / высотой от 4,01 до 8 метров - ЧСТ-1</t>
  </si>
  <si>
    <t>м2</t>
  </si>
  <si>
    <t>Штукатурка стен цементным, цементно-песчаным раствором с предварительной огрунтовкой / толщ. от 21 до 40 мм / высотой от 4,01 до 8 метров - СТ-5, СТ-5.1</t>
  </si>
  <si>
    <t>Штукатурка стен цементным, цементно-песчаным раствором с предварительной огрунтовкой / толщ. от 21 до 40 мм / высотой от 4,01 до 8 метров - СТ-8, СТ-8.1</t>
  </si>
  <si>
    <t>Штукатурка стен цементным, цементно-песчаным раствором с предварительной огрунтовкой / толщ. от 21 до 40 мм / высотой от 4,01 до 8 метров - ЧСТ-2, ЧСТ-4</t>
  </si>
  <si>
    <t>2.4</t>
  </si>
  <si>
    <t>4</t>
  </si>
  <si>
    <t>Профиль углозащ. оцинков. 31х31 мм 0.5 мм</t>
  </si>
  <si>
    <t>Шпаклевка гипсовая</t>
  </si>
  <si>
    <t>3.001</t>
  </si>
  <si>
    <t>3.002</t>
  </si>
  <si>
    <t>3.003</t>
  </si>
  <si>
    <t>3.004</t>
  </si>
  <si>
    <t>3.005</t>
  </si>
  <si>
    <t>3.006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</si>
  <si>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</si>
  <si>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</si>
  <si>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</si>
  <si>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</si>
  <si>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</si>
  <si>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</si>
  <si>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</si>
  <si>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</si>
  <si>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</si>
  <si>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</si>
  <si>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</si>
  <si>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</si>
  <si>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</si>
  <si>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</si>
  <si>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вверх блок
300</t>
  </si>
  <si>
    <t>низ 900 
ГАЗОБЛОК</t>
  </si>
  <si>
    <t>Между окнами 2700</t>
  </si>
  <si>
    <t>Сетка штукатурная_/пластиковая/10*10</t>
  </si>
  <si>
    <t>ПГП</t>
  </si>
  <si>
    <t>БЕТОН</t>
  </si>
  <si>
    <t>над окнами
ЖБ 0.3</t>
  </si>
  <si>
    <t>под окнами
ПГП 1</t>
  </si>
  <si>
    <t>ДВЕРИ В ПГП</t>
  </si>
  <si>
    <t>ДВЕРИ В ЖБ</t>
  </si>
  <si>
    <t>ПГП 
между окнами</t>
  </si>
  <si>
    <t>3.077.2</t>
  </si>
  <si>
    <t>3.092</t>
  </si>
  <si>
    <t>3.094</t>
  </si>
  <si>
    <t>1.037</t>
  </si>
  <si>
    <t>1.034</t>
  </si>
  <si>
    <t>1.035</t>
  </si>
  <si>
    <t>1.036</t>
  </si>
  <si>
    <t>1.038</t>
  </si>
  <si>
    <t>по рд</t>
  </si>
  <si>
    <t>1.050</t>
  </si>
  <si>
    <t>1.051</t>
  </si>
  <si>
    <t>2.079</t>
  </si>
  <si>
    <t>2.081</t>
  </si>
  <si>
    <t>2.084</t>
  </si>
  <si>
    <t>2.085</t>
  </si>
  <si>
    <t>2.087</t>
  </si>
  <si>
    <t>2.160</t>
  </si>
  <si>
    <t>3.085</t>
  </si>
  <si>
    <t>1 эт</t>
  </si>
  <si>
    <t>чст1</t>
  </si>
  <si>
    <t>чст2</t>
  </si>
  <si>
    <t>2 эт</t>
  </si>
  <si>
    <t>3 эт</t>
  </si>
  <si>
    <t>по ис</t>
  </si>
  <si>
    <t>Подготовка поверхности СКБ / потолка / по штукатурке / 2мм</t>
  </si>
  <si>
    <t>Шпатлевка гипсовая_ / белая / Унифицированная по ПИК-СТАНДАРТ, 30кг (BIM)</t>
  </si>
  <si>
    <t>Грунтовка универсальный ЛАСТИМИН_ / УНКОНТ ЛЮКС LP51 А</t>
  </si>
  <si>
    <t xml:space="preserve">Ведомость работ и используемых материалов </t>
  </si>
  <si>
    <t>Типы</t>
  </si>
  <si>
    <t>СТ-6</t>
  </si>
  <si>
    <t>СТ-6.1</t>
  </si>
  <si>
    <t>СТ-7</t>
  </si>
  <si>
    <t>СТ-12</t>
  </si>
  <si>
    <t>Блок:</t>
  </si>
  <si>
    <t>1.026</t>
  </si>
  <si>
    <t>ст6</t>
  </si>
  <si>
    <t>ст7</t>
  </si>
  <si>
    <t>ст12</t>
  </si>
  <si>
    <t>ст12.1</t>
  </si>
  <si>
    <t>ст12.2</t>
  </si>
  <si>
    <t>1эт</t>
  </si>
  <si>
    <t>2эт</t>
  </si>
  <si>
    <t>3эт</t>
  </si>
  <si>
    <t>-</t>
  </si>
  <si>
    <t>Итог:</t>
  </si>
  <si>
    <t>ст6.1</t>
  </si>
  <si>
    <t>Новый минус Старый</t>
  </si>
  <si>
    <t>Разница:</t>
  </si>
  <si>
    <t>1.035, 1.037</t>
  </si>
  <si>
    <t>1.040, 1.043, 1.044</t>
  </si>
  <si>
    <t>1.045, 1.046</t>
  </si>
  <si>
    <t>Новый РД</t>
  </si>
  <si>
    <t>Старый РД</t>
  </si>
  <si>
    <t>СТ-6, СТ-6.1, СТ-7
подготовка под высококачественное окрашивание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</si>
</sst>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9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  <font>
      <sz val="12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2"/>
      <name val="ГОСТ тип А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43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2" fontId="2" fillId="0" borderId="0" xfId="0" applyNumberFormat="1" applyFont="1"/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2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/>
    <xf numFmtId="0" fontId="2" fillId="2" borderId="0" xfId="0" applyFont="1" applyFill="1" applyBorder="1"/>
    <xf numFmtId="0" fontId="2" fillId="5" borderId="0" xfId="0" applyFont="1" applyFill="1"/>
    <xf numFmtId="0" fontId="2" fillId="6" borderId="0" xfId="0" applyFont="1" applyFill="1" applyAlignment="1">
      <alignment wrapText="1"/>
    </xf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 applyAlignment="1">
      <alignment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wrapText="1"/>
    </xf>
    <xf numFmtId="0" fontId="2" fillId="0" borderId="4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right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wrapText="1"/>
    </xf>
    <xf numFmtId="0" fontId="2" fillId="0" borderId="9" xfId="0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right" vertic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2" fontId="2" fillId="0" borderId="4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wrapText="1"/>
    </xf>
    <xf numFmtId="49" fontId="2" fillId="0" borderId="6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0" fillId="0" borderId="0" xfId="0" applyNumberFormat="1"/>
    <xf numFmtId="0" fontId="0" fillId="0" borderId="1" xfId="0" applyBorder="1"/>
    <xf numFmtId="2" fontId="0" fillId="0" borderId="1" xfId="0" applyNumberFormat="1" applyBorder="1"/>
    <xf numFmtId="0" fontId="5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49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right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right" vertical="center"/>
    </xf>
    <xf numFmtId="0" fontId="7" fillId="0" borderId="0" xfId="0" applyFont="1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right" vertical="center"/>
    </xf>
    <xf numFmtId="2" fontId="5" fillId="10" borderId="1" xfId="0" applyNumberFormat="1" applyFont="1" applyFill="1" applyBorder="1" applyAlignment="1">
      <alignment horizontal="right" vertical="center"/>
    </xf>
    <xf numFmtId="2" fontId="5" fillId="0" borderId="0" xfId="0" applyNumberFormat="1" applyFont="1"/>
    <xf numFmtId="0" fontId="5" fillId="0" borderId="1" xfId="0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right" vertical="center"/>
    </xf>
    <xf numFmtId="0" fontId="8" fillId="0" borderId="1" xfId="0" applyNumberFormat="1" applyFont="1" applyFill="1" applyBorder="1" applyAlignment="1">
      <alignment horizontal="center" vertical="center"/>
    </xf>
    <xf numFmtId="0" fontId="5" fillId="2" borderId="0" xfId="0" applyFont="1" applyFill="1"/>
    <xf numFmtId="0" fontId="5" fillId="2" borderId="1" xfId="0" applyFont="1" applyFill="1" applyBorder="1"/>
    <xf numFmtId="2" fontId="5" fillId="2" borderId="1" xfId="0" applyNumberFormat="1" applyFont="1" applyFill="1" applyBorder="1"/>
    <xf numFmtId="0" fontId="5" fillId="11" borderId="0" xfId="0" applyFont="1" applyFill="1"/>
    <xf numFmtId="0" fontId="5" fillId="11" borderId="1" xfId="0" applyFont="1" applyFill="1" applyBorder="1"/>
    <xf numFmtId="2" fontId="5" fillId="11" borderId="1" xfId="0" applyNumberFormat="1" applyFont="1" applyFill="1" applyBorder="1"/>
    <xf numFmtId="0" fontId="5" fillId="0" borderId="1" xfId="0" applyFont="1" applyFill="1" applyBorder="1"/>
    <xf numFmtId="2" fontId="5" fillId="0" borderId="1" xfId="0" applyNumberFormat="1" applyFont="1" applyFill="1" applyBorder="1"/>
    <xf numFmtId="0" fontId="5" fillId="0" borderId="0" xfId="0" applyFont="1" applyFill="1"/>
    <xf numFmtId="2" fontId="5" fillId="0" borderId="0" xfId="0" applyNumberFormat="1" applyFont="1" applyFill="1"/>
    <xf numFmtId="164" fontId="8" fillId="0" borderId="1" xfId="0" applyNumberFormat="1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right" vertical="center"/>
    </xf>
    <xf numFmtId="0" fontId="0" fillId="0" borderId="0" xfId="0" applyNumberFormat="1"/>
    <xf numFmtId="164" fontId="8" fillId="0" borderId="1" xfId="0" applyNumberFormat="1" applyFont="1" applyBorder="1" applyAlignment="1">
      <alignment horizontal="center" vertical="center"/>
    </xf>
    <xf numFmtId="0" fontId="3" fillId="0" borderId="0" xfId="0" applyNumberFormat="1" applyFont="1" applyBorder="1" applyAlignment="1">
      <alignment horizontal="center" vertical="center"/>
    </xf>
    <xf numFmtId="2" fontId="2" fillId="0" borderId="0" xfId="0" applyNumberFormat="1" applyFont="1" applyBorder="1" applyAlignment="1">
      <alignment horizontal="right" vertical="center"/>
    </xf>
    <xf numFmtId="49" fontId="3" fillId="0" borderId="1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2" fontId="2" fillId="0" borderId="12" xfId="0" applyNumberFormat="1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/>
    </xf>
    <xf numFmtId="0" fontId="3" fillId="0" borderId="9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right" vertical="center"/>
    </xf>
    <xf numFmtId="0" fontId="5" fillId="0" borderId="1" xfId="0" applyFont="1" applyBorder="1"/>
    <xf numFmtId="2" fontId="5" fillId="0" borderId="1" xfId="0" applyNumberFormat="1" applyFont="1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2" fontId="5" fillId="5" borderId="1" xfId="0" applyNumberFormat="1" applyFont="1" applyFill="1" applyBorder="1" applyAlignment="1">
      <alignment horizontal="righ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8" fillId="5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6"/>
  <sheetViews>
    <sheetView zoomScale="130" zoomScaleNormal="130" workbookViewId="0">
      <selection activeCell="F22" sqref="C22:F22"/>
    </sheetView>
  </sheetViews>
  <sheetFormatPr defaultRowHeight="12.75" x14ac:dyDescent="0.2"/>
  <cols>
    <col min="1" max="1" width="7.5703125" style="10" customWidth="1"/>
    <col min="2" max="2" width="50.28515625" style="7" customWidth="1"/>
    <col min="3" max="3" width="9.140625" style="10" customWidth="1"/>
    <col min="4" max="4" width="14.5703125" style="23" customWidth="1"/>
    <col min="5" max="5" width="8.85546875" style="26" customWidth="1"/>
    <col min="6" max="16384" width="9.140625" style="1"/>
  </cols>
  <sheetData>
    <row r="1" spans="1:5" x14ac:dyDescent="0.2">
      <c r="A1" s="16"/>
      <c r="B1" s="17" t="s">
        <v>70</v>
      </c>
      <c r="C1" s="11"/>
      <c r="D1" s="22"/>
      <c r="E1" s="24"/>
    </row>
    <row r="2" spans="1:5" x14ac:dyDescent="0.2">
      <c r="A2" s="16" t="s">
        <v>0</v>
      </c>
      <c r="B2" s="20" t="s">
        <v>1</v>
      </c>
      <c r="C2" s="11" t="s">
        <v>15</v>
      </c>
      <c r="D2" s="22" t="s">
        <v>16</v>
      </c>
      <c r="E2" s="24" t="s">
        <v>8</v>
      </c>
    </row>
    <row r="3" spans="1:5" ht="38.25" customHeight="1" x14ac:dyDescent="0.2">
      <c r="A3" s="18" t="s">
        <v>11</v>
      </c>
      <c r="B3" s="5" t="s">
        <v>71</v>
      </c>
      <c r="C3" s="3" t="s">
        <v>9</v>
      </c>
      <c r="D3" s="9">
        <v>1</v>
      </c>
      <c r="E3" s="25">
        <f>(E6+E11+E16+E21)/100 * 71</f>
        <v>2378.7413999999999</v>
      </c>
    </row>
    <row r="4" spans="1:5" x14ac:dyDescent="0.2">
      <c r="A4" s="18" t="s">
        <v>7</v>
      </c>
      <c r="B4" s="4" t="s">
        <v>89</v>
      </c>
      <c r="C4" s="3" t="s">
        <v>10</v>
      </c>
      <c r="D4" s="9">
        <v>0.3</v>
      </c>
      <c r="E4" s="25">
        <f>D4*E3</f>
        <v>713.62241999999992</v>
      </c>
    </row>
    <row r="5" spans="1:5" x14ac:dyDescent="0.2">
      <c r="A5" s="18" t="s">
        <v>72</v>
      </c>
      <c r="B5" s="4" t="s">
        <v>73</v>
      </c>
      <c r="C5" s="3" t="s">
        <v>9</v>
      </c>
      <c r="D5" s="9">
        <v>1.1000000000000001</v>
      </c>
      <c r="E5" s="25">
        <f>D5*E3</f>
        <v>2616.6155400000002</v>
      </c>
    </row>
    <row r="6" spans="1:5" ht="38.25" x14ac:dyDescent="0.2">
      <c r="A6" s="18" t="s">
        <v>12</v>
      </c>
      <c r="B6" s="5" t="s">
        <v>81</v>
      </c>
      <c r="C6" s="3" t="s">
        <v>82</v>
      </c>
      <c r="D6" s="9">
        <v>1</v>
      </c>
      <c r="E6" s="25">
        <f>'Спец 2 э. шт.'!C45</f>
        <v>907.35119999999995</v>
      </c>
    </row>
    <row r="7" spans="1:5" x14ac:dyDescent="0.2">
      <c r="A7" s="18" t="s">
        <v>13</v>
      </c>
      <c r="B7" s="4" t="s">
        <v>6</v>
      </c>
      <c r="C7" s="3" t="s">
        <v>10</v>
      </c>
      <c r="D7" s="9">
        <v>1.3</v>
      </c>
      <c r="E7" s="25">
        <f>$E$6*D7*23.077</f>
        <v>27220.62673512</v>
      </c>
    </row>
    <row r="8" spans="1:5" x14ac:dyDescent="0.2">
      <c r="A8" s="18" t="s">
        <v>14</v>
      </c>
      <c r="B8" s="21" t="s">
        <v>113</v>
      </c>
      <c r="C8" s="3" t="s">
        <v>82</v>
      </c>
      <c r="D8" s="9">
        <v>1.1000000000000001</v>
      </c>
      <c r="E8" s="25">
        <f t="shared" ref="E8:E10" si="0">$E$6*D8</f>
        <v>998.08632</v>
      </c>
    </row>
    <row r="9" spans="1:5" x14ac:dyDescent="0.2">
      <c r="A9" s="18" t="s">
        <v>74</v>
      </c>
      <c r="B9" s="4" t="s">
        <v>80</v>
      </c>
      <c r="C9" s="3" t="s">
        <v>9</v>
      </c>
      <c r="D9" s="9">
        <v>1</v>
      </c>
      <c r="E9" s="25">
        <f t="shared" si="0"/>
        <v>907.35119999999995</v>
      </c>
    </row>
    <row r="10" spans="1:5" x14ac:dyDescent="0.2">
      <c r="A10" s="18" t="s">
        <v>86</v>
      </c>
      <c r="B10" s="4" t="s">
        <v>18</v>
      </c>
      <c r="C10" s="3" t="s">
        <v>10</v>
      </c>
      <c r="D10" s="9">
        <v>0.25</v>
      </c>
      <c r="E10" s="25">
        <f t="shared" si="0"/>
        <v>226.83779999999999</v>
      </c>
    </row>
    <row r="11" spans="1:5" ht="38.25" x14ac:dyDescent="0.2">
      <c r="A11" s="18" t="s">
        <v>75</v>
      </c>
      <c r="B11" s="4" t="s">
        <v>83</v>
      </c>
      <c r="C11" s="3" t="s">
        <v>82</v>
      </c>
      <c r="D11" s="9">
        <v>1</v>
      </c>
      <c r="E11" s="25">
        <f>'Спец 2 э. шт.'!E45</f>
        <v>62.379999999999995</v>
      </c>
    </row>
    <row r="12" spans="1:5" x14ac:dyDescent="0.2">
      <c r="A12" s="18" t="s">
        <v>76</v>
      </c>
      <c r="B12" s="4" t="s">
        <v>18</v>
      </c>
      <c r="C12" s="3" t="s">
        <v>10</v>
      </c>
      <c r="D12" s="9">
        <v>0.25</v>
      </c>
      <c r="E12" s="25">
        <f>E11*D12</f>
        <v>15.594999999999999</v>
      </c>
    </row>
    <row r="13" spans="1:5" x14ac:dyDescent="0.2">
      <c r="A13" s="18" t="s">
        <v>77</v>
      </c>
      <c r="B13" s="4" t="s">
        <v>80</v>
      </c>
      <c r="C13" s="3" t="s">
        <v>9</v>
      </c>
      <c r="D13" s="9">
        <v>1</v>
      </c>
      <c r="E13" s="25">
        <f>E11*D13</f>
        <v>62.379999999999995</v>
      </c>
    </row>
    <row r="14" spans="1:5" x14ac:dyDescent="0.2">
      <c r="A14" s="18" t="s">
        <v>78</v>
      </c>
      <c r="B14" s="21" t="s">
        <v>113</v>
      </c>
      <c r="C14" s="3" t="s">
        <v>82</v>
      </c>
      <c r="D14" s="9">
        <v>1.1000000000000001</v>
      </c>
      <c r="E14" s="25">
        <f>E11*D14</f>
        <v>68.617999999999995</v>
      </c>
    </row>
    <row r="15" spans="1:5" x14ac:dyDescent="0.2">
      <c r="A15" s="18" t="s">
        <v>79</v>
      </c>
      <c r="B15" s="4" t="s">
        <v>6</v>
      </c>
      <c r="C15" s="3" t="s">
        <v>10</v>
      </c>
      <c r="D15" s="9">
        <v>1.3</v>
      </c>
      <c r="E15" s="25">
        <f>E11*D15*23.077</f>
        <v>1871.406238</v>
      </c>
    </row>
    <row r="16" spans="1:5" ht="38.25" x14ac:dyDescent="0.2">
      <c r="A16" s="18" t="s">
        <v>87</v>
      </c>
      <c r="B16" s="4" t="s">
        <v>84</v>
      </c>
      <c r="C16" s="3" t="s">
        <v>82</v>
      </c>
      <c r="D16" s="9">
        <v>1</v>
      </c>
      <c r="E16" s="25">
        <f>'Спец 2 э. шт.'!F45</f>
        <v>619.28000000000009</v>
      </c>
    </row>
    <row r="17" spans="1:5" x14ac:dyDescent="0.2">
      <c r="A17" s="2">
        <v>4.0999999999999996</v>
      </c>
      <c r="B17" s="21" t="s">
        <v>6</v>
      </c>
      <c r="C17" s="2" t="s">
        <v>10</v>
      </c>
      <c r="D17" s="9">
        <v>1.3</v>
      </c>
      <c r="E17" s="25">
        <f>E16*D17*23.077</f>
        <v>18578.461928000004</v>
      </c>
    </row>
    <row r="18" spans="1:5" x14ac:dyDescent="0.2">
      <c r="A18" s="2">
        <v>4.2</v>
      </c>
      <c r="B18" s="21" t="s">
        <v>113</v>
      </c>
      <c r="C18" s="2" t="s">
        <v>82</v>
      </c>
      <c r="D18" s="9">
        <v>1.1000000000000001</v>
      </c>
      <c r="E18" s="25">
        <f>E16*D18</f>
        <v>681.2080000000002</v>
      </c>
    </row>
    <row r="19" spans="1:5" x14ac:dyDescent="0.2">
      <c r="A19" s="2">
        <v>4.3</v>
      </c>
      <c r="B19" s="21" t="s">
        <v>80</v>
      </c>
      <c r="C19" s="2" t="s">
        <v>9</v>
      </c>
      <c r="D19" s="9">
        <v>1</v>
      </c>
      <c r="E19" s="25">
        <f>E16*D19</f>
        <v>619.28000000000009</v>
      </c>
    </row>
    <row r="20" spans="1:5" x14ac:dyDescent="0.2">
      <c r="A20" s="2">
        <v>4.4000000000000004</v>
      </c>
      <c r="B20" s="21" t="s">
        <v>18</v>
      </c>
      <c r="C20" s="2" t="s">
        <v>10</v>
      </c>
      <c r="D20" s="9">
        <v>0.25</v>
      </c>
      <c r="E20" s="25">
        <f>E16*D20</f>
        <v>154.82000000000002</v>
      </c>
    </row>
    <row r="21" spans="1:5" ht="38.25" x14ac:dyDescent="0.2">
      <c r="A21" s="2">
        <v>5</v>
      </c>
      <c r="B21" s="19" t="s">
        <v>85</v>
      </c>
      <c r="C21" s="2" t="s">
        <v>82</v>
      </c>
      <c r="D21" s="9">
        <v>1</v>
      </c>
      <c r="E21" s="25">
        <f>'Спец 2 э. шт.'!D45</f>
        <v>1761.3287999999998</v>
      </c>
    </row>
    <row r="22" spans="1:5" x14ac:dyDescent="0.2">
      <c r="A22" s="2">
        <v>5.0999999999999996</v>
      </c>
      <c r="B22" s="21" t="s">
        <v>17</v>
      </c>
      <c r="C22" s="2" t="s">
        <v>10</v>
      </c>
      <c r="D22" s="9">
        <v>0.15</v>
      </c>
      <c r="E22" s="25">
        <f>E21*D22</f>
        <v>264.19931999999994</v>
      </c>
    </row>
    <row r="23" spans="1:5" x14ac:dyDescent="0.2">
      <c r="A23" s="2">
        <v>5.2</v>
      </c>
      <c r="B23" s="21" t="s">
        <v>80</v>
      </c>
      <c r="C23" s="2" t="s">
        <v>9</v>
      </c>
      <c r="D23" s="9">
        <v>1</v>
      </c>
      <c r="E23" s="25">
        <f>E21*D23</f>
        <v>1761.3287999999998</v>
      </c>
    </row>
    <row r="24" spans="1:5" x14ac:dyDescent="0.2">
      <c r="A24" s="2">
        <v>5.3</v>
      </c>
      <c r="B24" s="21" t="s">
        <v>113</v>
      </c>
      <c r="C24" s="2" t="s">
        <v>82</v>
      </c>
      <c r="D24" s="9">
        <v>1.1000000000000001</v>
      </c>
      <c r="E24" s="25">
        <f>E21*D24</f>
        <v>1937.4616799999999</v>
      </c>
    </row>
    <row r="25" spans="1:5" x14ac:dyDescent="0.2">
      <c r="A25" s="2">
        <v>5.4</v>
      </c>
      <c r="B25" s="21" t="s">
        <v>6</v>
      </c>
      <c r="C25" s="2" t="s">
        <v>10</v>
      </c>
      <c r="D25" s="9">
        <v>1.3</v>
      </c>
      <c r="E25" s="25">
        <f>E21*D25*23.077</f>
        <v>52840.040132879993</v>
      </c>
    </row>
    <row r="26" spans="1:5" x14ac:dyDescent="0.2">
      <c r="A26" s="2">
        <v>6</v>
      </c>
      <c r="B26" s="19" t="s">
        <v>88</v>
      </c>
      <c r="C26" s="2" t="s">
        <v>9</v>
      </c>
      <c r="D26" s="9">
        <v>1</v>
      </c>
      <c r="E26" s="25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P45"/>
  <sheetViews>
    <sheetView zoomScale="85" zoomScaleNormal="85" workbookViewId="0">
      <selection activeCell="E41" sqref="E41"/>
    </sheetView>
  </sheetViews>
  <sheetFormatPr defaultRowHeight="12.75" x14ac:dyDescent="0.2"/>
  <cols>
    <col min="1" max="1" width="7" style="10" customWidth="1"/>
    <col min="2" max="2" width="11.140625" style="10" customWidth="1"/>
    <col min="3" max="6" width="8.7109375" style="10" customWidth="1"/>
    <col min="7" max="7" width="8.7109375" style="27" customWidth="1"/>
    <col min="8" max="9" width="9.140625" style="1" customWidth="1"/>
    <col min="10" max="10" width="13.140625" style="1" customWidth="1"/>
    <col min="11" max="11" width="24.42578125" style="1" customWidth="1"/>
    <col min="12" max="12" width="9.140625" style="1" customWidth="1"/>
    <col min="13" max="13" width="12" style="1" customWidth="1"/>
    <col min="14" max="14" width="9.140625" style="1" customWidth="1"/>
    <col min="15" max="15" width="13.85546875" style="1" customWidth="1"/>
    <col min="16" max="17" width="9.140625" style="1" customWidth="1"/>
    <col min="18" max="16384" width="9.140625" style="1"/>
  </cols>
  <sheetData>
    <row r="1" spans="1:16" x14ac:dyDescent="0.2">
      <c r="A1" s="140" t="s">
        <v>2</v>
      </c>
      <c r="B1" s="140"/>
      <c r="C1" s="140"/>
      <c r="D1" s="140"/>
      <c r="E1" s="140"/>
      <c r="F1" s="140"/>
      <c r="G1" s="140"/>
    </row>
    <row r="2" spans="1:16" x14ac:dyDescent="0.2">
      <c r="A2" s="141" t="s">
        <v>64</v>
      </c>
      <c r="B2" s="141"/>
      <c r="C2" s="141"/>
      <c r="D2" s="141"/>
      <c r="E2" s="141"/>
      <c r="F2" s="141"/>
      <c r="G2" s="141"/>
    </row>
    <row r="3" spans="1:16" ht="25.5" x14ac:dyDescent="0.2">
      <c r="A3" s="2"/>
      <c r="B3" s="12"/>
      <c r="C3" s="6" t="s">
        <v>65</v>
      </c>
      <c r="D3" s="13" t="s">
        <v>69</v>
      </c>
      <c r="E3" s="13" t="s">
        <v>68</v>
      </c>
      <c r="F3" s="13" t="s">
        <v>67</v>
      </c>
      <c r="G3" s="15" t="s">
        <v>3</v>
      </c>
      <c r="J3" s="1" t="s">
        <v>36</v>
      </c>
      <c r="K3" s="1" t="s">
        <v>20</v>
      </c>
      <c r="L3" s="1" t="s">
        <v>35</v>
      </c>
    </row>
    <row r="4" spans="1:16" x14ac:dyDescent="0.2">
      <c r="A4" s="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O4" s="1" t="s">
        <v>66</v>
      </c>
    </row>
    <row r="5" spans="1:16" x14ac:dyDescent="0.2">
      <c r="A5" s="2">
        <v>1</v>
      </c>
      <c r="B5" s="12" t="s">
        <v>21</v>
      </c>
      <c r="C5" s="25">
        <f>P5/100*34</f>
        <v>40.180350000000004</v>
      </c>
      <c r="D5" s="25">
        <f>P5/100*66</f>
        <v>77.997150000000005</v>
      </c>
      <c r="E5" s="25"/>
      <c r="F5" s="25"/>
      <c r="G5" s="25">
        <f>SUM(C5:F5)</f>
        <v>118.17750000000001</v>
      </c>
      <c r="J5" s="1" t="s">
        <v>39</v>
      </c>
      <c r="K5" s="1">
        <v>31886.4221</v>
      </c>
      <c r="L5" s="1">
        <v>4000</v>
      </c>
      <c r="M5" s="8">
        <f>ROUND(K5*L5/1000000, 2)</f>
        <v>127.55</v>
      </c>
      <c r="O5" s="1">
        <v>15</v>
      </c>
      <c r="P5" s="8">
        <f>(M5-O5) / 100 * 5 + (M5-O5)</f>
        <v>118.17749999999999</v>
      </c>
    </row>
    <row r="6" spans="1:16" x14ac:dyDescent="0.2">
      <c r="A6" s="2">
        <v>2</v>
      </c>
      <c r="B6" s="12" t="s">
        <v>22</v>
      </c>
      <c r="C6" s="25">
        <f t="shared" ref="C6:C44" si="0">P6/100*34</f>
        <v>38.67024</v>
      </c>
      <c r="D6" s="25">
        <f t="shared" ref="D6:D44" si="1">P6/100*66</f>
        <v>75.065759999999997</v>
      </c>
      <c r="E6" s="25"/>
      <c r="F6" s="25"/>
      <c r="G6" s="25">
        <f t="shared" ref="G6:G44" si="2">SUM(C6:F6)</f>
        <v>113.73599999999999</v>
      </c>
      <c r="K6" s="1">
        <v>30830.7402</v>
      </c>
      <c r="L6" s="1">
        <v>4000</v>
      </c>
      <c r="M6" s="8">
        <f t="shared" ref="M6:M44" si="3">ROUND(K6*L6/1000000, 2)</f>
        <v>123.32</v>
      </c>
      <c r="O6" s="1">
        <v>15</v>
      </c>
      <c r="P6" s="8">
        <f t="shared" ref="P6:P44" si="4">(M6-O6) / 100 * 5 + (M6-O6)</f>
        <v>113.73599999999999</v>
      </c>
    </row>
    <row r="7" spans="1:16" x14ac:dyDescent="0.2">
      <c r="A7" s="2">
        <v>3</v>
      </c>
      <c r="B7" s="12" t="s">
        <v>23</v>
      </c>
      <c r="C7" s="25">
        <f t="shared" si="0"/>
        <v>41.651189999999993</v>
      </c>
      <c r="D7" s="25">
        <f t="shared" si="1"/>
        <v>80.852309999999989</v>
      </c>
      <c r="E7" s="25"/>
      <c r="F7" s="25"/>
      <c r="G7" s="25">
        <f t="shared" si="2"/>
        <v>122.50349999999997</v>
      </c>
      <c r="K7" s="1">
        <v>32917.396500000003</v>
      </c>
      <c r="L7" s="1">
        <v>4000</v>
      </c>
      <c r="M7" s="8">
        <f t="shared" si="3"/>
        <v>131.66999999999999</v>
      </c>
      <c r="O7" s="1">
        <v>15</v>
      </c>
      <c r="P7" s="8">
        <f t="shared" si="4"/>
        <v>122.50349999999999</v>
      </c>
    </row>
    <row r="8" spans="1:16" x14ac:dyDescent="0.2">
      <c r="A8" s="2">
        <v>4</v>
      </c>
      <c r="B8" s="12" t="s">
        <v>24</v>
      </c>
      <c r="C8" s="25">
        <f t="shared" si="0"/>
        <v>106.96433999999999</v>
      </c>
      <c r="D8" s="25">
        <f t="shared" si="1"/>
        <v>207.63666000000001</v>
      </c>
      <c r="E8" s="25"/>
      <c r="F8" s="25"/>
      <c r="G8" s="25">
        <f t="shared" si="2"/>
        <v>314.601</v>
      </c>
      <c r="K8" s="1">
        <v>78654.636299999998</v>
      </c>
      <c r="L8" s="1">
        <v>4000</v>
      </c>
      <c r="M8" s="8">
        <f t="shared" si="3"/>
        <v>314.62</v>
      </c>
      <c r="O8" s="1">
        <v>15</v>
      </c>
      <c r="P8" s="8">
        <f t="shared" si="4"/>
        <v>314.601</v>
      </c>
    </row>
    <row r="9" spans="1:16" x14ac:dyDescent="0.2">
      <c r="A9" s="2">
        <v>5</v>
      </c>
      <c r="B9" s="12" t="s">
        <v>25</v>
      </c>
      <c r="C9" s="25">
        <f t="shared" si="0"/>
        <v>10.074540000000001</v>
      </c>
      <c r="D9" s="25">
        <f t="shared" si="1"/>
        <v>19.556460000000001</v>
      </c>
      <c r="E9" s="25"/>
      <c r="F9" s="25"/>
      <c r="G9" s="25">
        <f t="shared" si="2"/>
        <v>29.631</v>
      </c>
      <c r="K9" s="1">
        <v>12056</v>
      </c>
      <c r="L9" s="1">
        <v>4000</v>
      </c>
      <c r="M9" s="8">
        <f t="shared" si="3"/>
        <v>48.22</v>
      </c>
      <c r="O9" s="1">
        <v>20</v>
      </c>
      <c r="P9" s="8">
        <f t="shared" si="4"/>
        <v>29.631</v>
      </c>
    </row>
    <row r="10" spans="1:16" x14ac:dyDescent="0.2">
      <c r="A10" s="2">
        <v>6</v>
      </c>
      <c r="B10" s="12" t="s">
        <v>26</v>
      </c>
      <c r="C10" s="25">
        <f t="shared" si="0"/>
        <v>36.303329999999995</v>
      </c>
      <c r="D10" s="25">
        <f t="shared" si="1"/>
        <v>70.471170000000001</v>
      </c>
      <c r="E10" s="25"/>
      <c r="F10" s="25"/>
      <c r="G10" s="25">
        <f t="shared" si="2"/>
        <v>106.77449999999999</v>
      </c>
      <c r="K10" s="1">
        <v>30423</v>
      </c>
      <c r="L10" s="1">
        <v>4000</v>
      </c>
      <c r="M10" s="8">
        <f t="shared" si="3"/>
        <v>121.69</v>
      </c>
      <c r="O10" s="1">
        <v>20</v>
      </c>
      <c r="P10" s="8">
        <f t="shared" si="4"/>
        <v>106.7745</v>
      </c>
    </row>
    <row r="11" spans="1:16" x14ac:dyDescent="0.2">
      <c r="A11" s="2">
        <v>7</v>
      </c>
      <c r="B11" s="12" t="s">
        <v>27</v>
      </c>
      <c r="C11" s="25">
        <f t="shared" si="0"/>
        <v>37.913399999999996</v>
      </c>
      <c r="D11" s="25">
        <f t="shared" si="1"/>
        <v>73.596599999999995</v>
      </c>
      <c r="E11" s="25"/>
      <c r="F11" s="25"/>
      <c r="G11" s="25">
        <f t="shared" si="2"/>
        <v>111.50999999999999</v>
      </c>
      <c r="K11" s="1">
        <v>31549</v>
      </c>
      <c r="L11" s="1">
        <v>4000</v>
      </c>
      <c r="M11" s="8">
        <f t="shared" si="3"/>
        <v>126.2</v>
      </c>
      <c r="O11" s="1">
        <v>20</v>
      </c>
      <c r="P11" s="8">
        <f t="shared" si="4"/>
        <v>111.51</v>
      </c>
    </row>
    <row r="12" spans="1:16" x14ac:dyDescent="0.2">
      <c r="A12" s="2">
        <v>8</v>
      </c>
      <c r="B12" s="12" t="s">
        <v>28</v>
      </c>
      <c r="C12" s="25">
        <f t="shared" si="0"/>
        <v>36.303329999999995</v>
      </c>
      <c r="D12" s="25">
        <f t="shared" si="1"/>
        <v>70.471170000000001</v>
      </c>
      <c r="E12" s="25"/>
      <c r="F12" s="25"/>
      <c r="G12" s="25">
        <f t="shared" si="2"/>
        <v>106.77449999999999</v>
      </c>
      <c r="K12" s="1">
        <v>30423</v>
      </c>
      <c r="L12" s="1">
        <v>4000</v>
      </c>
      <c r="M12" s="8">
        <f t="shared" si="3"/>
        <v>121.69</v>
      </c>
      <c r="O12" s="1">
        <v>20</v>
      </c>
      <c r="P12" s="8">
        <f t="shared" si="4"/>
        <v>106.7745</v>
      </c>
    </row>
    <row r="13" spans="1:16" x14ac:dyDescent="0.2">
      <c r="A13" s="2">
        <v>9</v>
      </c>
      <c r="B13" s="12" t="s">
        <v>29</v>
      </c>
      <c r="C13" s="25">
        <f t="shared" si="0"/>
        <v>31.630200000000002</v>
      </c>
      <c r="D13" s="25">
        <f t="shared" si="1"/>
        <v>61.399799999999999</v>
      </c>
      <c r="E13" s="25"/>
      <c r="F13" s="25"/>
      <c r="G13" s="25">
        <f t="shared" si="2"/>
        <v>93.03</v>
      </c>
      <c r="K13" s="1">
        <v>27149</v>
      </c>
      <c r="L13" s="1">
        <v>4000</v>
      </c>
      <c r="M13" s="8">
        <f t="shared" si="3"/>
        <v>108.6</v>
      </c>
      <c r="O13" s="1">
        <v>20</v>
      </c>
      <c r="P13" s="8">
        <f t="shared" si="4"/>
        <v>93.03</v>
      </c>
    </row>
    <row r="14" spans="1:16" x14ac:dyDescent="0.2">
      <c r="A14" s="2">
        <v>10</v>
      </c>
      <c r="B14" s="12" t="s">
        <v>30</v>
      </c>
      <c r="C14" s="25">
        <f t="shared" si="0"/>
        <v>36.256920000000001</v>
      </c>
      <c r="D14" s="25">
        <f>P14/100*66</f>
        <v>70.381080000000011</v>
      </c>
      <c r="E14" s="25"/>
      <c r="F14" s="25"/>
      <c r="G14" s="25">
        <f t="shared" si="2"/>
        <v>106.63800000000001</v>
      </c>
      <c r="K14" s="1">
        <v>30390</v>
      </c>
      <c r="L14" s="1">
        <v>4000</v>
      </c>
      <c r="M14" s="8">
        <f t="shared" si="3"/>
        <v>121.56</v>
      </c>
      <c r="O14" s="1">
        <v>20</v>
      </c>
      <c r="P14" s="8">
        <f t="shared" si="4"/>
        <v>106.63800000000001</v>
      </c>
    </row>
    <row r="15" spans="1:16" x14ac:dyDescent="0.2">
      <c r="A15" s="2">
        <v>11</v>
      </c>
      <c r="B15" s="12" t="s">
        <v>31</v>
      </c>
      <c r="C15" s="25">
        <f t="shared" si="0"/>
        <v>79.807350000000014</v>
      </c>
      <c r="D15" s="25">
        <f t="shared" si="1"/>
        <v>154.92015000000001</v>
      </c>
      <c r="E15" s="25"/>
      <c r="F15" s="25"/>
      <c r="G15" s="25">
        <f t="shared" si="2"/>
        <v>234.72750000000002</v>
      </c>
      <c r="K15" s="1">
        <v>59638</v>
      </c>
      <c r="L15" s="1">
        <v>4000</v>
      </c>
      <c r="M15" s="8">
        <f t="shared" si="3"/>
        <v>238.55</v>
      </c>
      <c r="O15" s="1">
        <v>15</v>
      </c>
      <c r="P15" s="8">
        <f t="shared" si="4"/>
        <v>234.72750000000002</v>
      </c>
    </row>
    <row r="16" spans="1:16" x14ac:dyDescent="0.2">
      <c r="A16" s="2">
        <v>12</v>
      </c>
      <c r="B16" s="12" t="s">
        <v>32</v>
      </c>
      <c r="C16" s="25">
        <f t="shared" si="0"/>
        <v>28.288679999999999</v>
      </c>
      <c r="D16" s="25">
        <f t="shared" si="1"/>
        <v>54.913319999999999</v>
      </c>
      <c r="E16" s="25"/>
      <c r="F16" s="25"/>
      <c r="G16" s="25">
        <f t="shared" si="2"/>
        <v>83.201999999999998</v>
      </c>
      <c r="K16" s="1">
        <v>24809</v>
      </c>
      <c r="L16" s="1">
        <v>4000</v>
      </c>
      <c r="M16" s="8">
        <f t="shared" si="3"/>
        <v>99.24</v>
      </c>
      <c r="O16" s="1">
        <v>20</v>
      </c>
      <c r="P16" s="8">
        <f t="shared" si="4"/>
        <v>83.201999999999998</v>
      </c>
    </row>
    <row r="17" spans="1:16" x14ac:dyDescent="0.2">
      <c r="A17" s="2">
        <v>13</v>
      </c>
      <c r="B17" s="12" t="s">
        <v>33</v>
      </c>
      <c r="C17" s="25"/>
      <c r="D17" s="25"/>
      <c r="E17" s="25"/>
      <c r="F17" s="25">
        <v>69.489999999999995</v>
      </c>
      <c r="G17" s="25">
        <f t="shared" si="2"/>
        <v>69.489999999999995</v>
      </c>
      <c r="J17" s="1" t="s">
        <v>67</v>
      </c>
      <c r="K17" s="1">
        <v>18723</v>
      </c>
      <c r="L17" s="1">
        <v>4000</v>
      </c>
      <c r="M17" s="8">
        <f t="shared" si="3"/>
        <v>74.89</v>
      </c>
      <c r="O17" s="1">
        <v>5.4</v>
      </c>
      <c r="P17" s="8">
        <f t="shared" si="4"/>
        <v>72.964500000000001</v>
      </c>
    </row>
    <row r="18" spans="1:16" x14ac:dyDescent="0.2">
      <c r="A18" s="2">
        <v>14</v>
      </c>
      <c r="B18" s="12" t="s">
        <v>34</v>
      </c>
      <c r="C18" s="25"/>
      <c r="D18" s="25"/>
      <c r="E18" s="25"/>
      <c r="F18" s="25">
        <v>87.929999999999993</v>
      </c>
      <c r="G18" s="25">
        <f t="shared" si="2"/>
        <v>87.929999999999993</v>
      </c>
      <c r="J18" s="1" t="s">
        <v>67</v>
      </c>
      <c r="K18" s="1">
        <v>23333</v>
      </c>
      <c r="L18" s="1">
        <v>4000</v>
      </c>
      <c r="M18" s="8">
        <f t="shared" si="3"/>
        <v>93.33</v>
      </c>
      <c r="O18" s="1">
        <v>5.4</v>
      </c>
      <c r="P18" s="8">
        <f t="shared" si="4"/>
        <v>92.326499999999996</v>
      </c>
    </row>
    <row r="19" spans="1:16" x14ac:dyDescent="0.2">
      <c r="A19" s="2">
        <v>15</v>
      </c>
      <c r="B19" s="12" t="s">
        <v>37</v>
      </c>
      <c r="C19" s="25"/>
      <c r="D19" s="25"/>
      <c r="E19" s="25"/>
      <c r="F19" s="25">
        <v>33.979999999999997</v>
      </c>
      <c r="G19" s="25">
        <f t="shared" si="2"/>
        <v>33.979999999999997</v>
      </c>
      <c r="J19" s="1" t="s">
        <v>67</v>
      </c>
      <c r="K19" s="1">
        <v>8495</v>
      </c>
      <c r="L19" s="1">
        <v>4000</v>
      </c>
      <c r="M19" s="8">
        <f t="shared" si="3"/>
        <v>33.979999999999997</v>
      </c>
      <c r="P19" s="8">
        <f t="shared" si="4"/>
        <v>35.678999999999995</v>
      </c>
    </row>
    <row r="20" spans="1:16" x14ac:dyDescent="0.2">
      <c r="A20" s="2">
        <v>16</v>
      </c>
      <c r="B20" s="12" t="s">
        <v>38</v>
      </c>
      <c r="C20" s="25"/>
      <c r="D20" s="25"/>
      <c r="E20" s="25"/>
      <c r="F20" s="25">
        <v>16.399999999999999</v>
      </c>
      <c r="G20" s="25">
        <f t="shared" si="2"/>
        <v>16.399999999999999</v>
      </c>
      <c r="J20" s="1" t="s">
        <v>67</v>
      </c>
      <c r="K20" s="1">
        <v>4100</v>
      </c>
      <c r="L20" s="1">
        <v>4000</v>
      </c>
      <c r="M20" s="8">
        <f t="shared" si="3"/>
        <v>16.399999999999999</v>
      </c>
      <c r="P20" s="8">
        <f t="shared" si="4"/>
        <v>17.22</v>
      </c>
    </row>
    <row r="21" spans="1:16" x14ac:dyDescent="0.2">
      <c r="A21" s="2">
        <v>17</v>
      </c>
      <c r="B21" s="12" t="s">
        <v>40</v>
      </c>
      <c r="C21" s="25"/>
      <c r="D21" s="25"/>
      <c r="E21" s="25">
        <v>36.46</v>
      </c>
      <c r="F21" s="25"/>
      <c r="G21" s="25">
        <f t="shared" si="2"/>
        <v>36.46</v>
      </c>
      <c r="J21" s="1" t="s">
        <v>68</v>
      </c>
      <c r="K21" s="1">
        <v>9115</v>
      </c>
      <c r="L21" s="1">
        <v>4000</v>
      </c>
      <c r="M21" s="8">
        <f t="shared" si="3"/>
        <v>36.46</v>
      </c>
      <c r="P21" s="8">
        <f t="shared" si="4"/>
        <v>38.283000000000001</v>
      </c>
    </row>
    <row r="22" spans="1:16" x14ac:dyDescent="0.2">
      <c r="A22" s="2">
        <v>18</v>
      </c>
      <c r="B22" s="12" t="s">
        <v>56</v>
      </c>
      <c r="C22" s="25">
        <f t="shared" si="0"/>
        <v>96.579210000000003</v>
      </c>
      <c r="D22" s="25">
        <f t="shared" si="1"/>
        <v>187.47729000000001</v>
      </c>
      <c r="E22" s="25"/>
      <c r="F22" s="25"/>
      <c r="G22" s="25">
        <f t="shared" si="2"/>
        <v>284.05650000000003</v>
      </c>
      <c r="K22" s="1">
        <v>68290</v>
      </c>
      <c r="L22" s="1">
        <v>4001</v>
      </c>
      <c r="M22" s="8">
        <f t="shared" si="3"/>
        <v>273.23</v>
      </c>
      <c r="O22" s="1">
        <v>2.7</v>
      </c>
      <c r="P22" s="8">
        <f t="shared" si="4"/>
        <v>284.05650000000003</v>
      </c>
    </row>
    <row r="23" spans="1:16" x14ac:dyDescent="0.2">
      <c r="A23" s="2">
        <v>19</v>
      </c>
      <c r="B23" s="12" t="s">
        <v>42</v>
      </c>
      <c r="C23" s="25">
        <f t="shared" si="0"/>
        <v>152.13198</v>
      </c>
      <c r="D23" s="25">
        <f t="shared" si="1"/>
        <v>295.31502</v>
      </c>
      <c r="E23" s="25"/>
      <c r="F23" s="25"/>
      <c r="G23" s="25">
        <f t="shared" si="2"/>
        <v>447.447</v>
      </c>
      <c r="K23" s="1">
        <v>107884</v>
      </c>
      <c r="L23" s="1">
        <v>4000</v>
      </c>
      <c r="M23" s="8">
        <f t="shared" si="3"/>
        <v>431.54</v>
      </c>
      <c r="O23" s="1">
        <v>5.4</v>
      </c>
      <c r="P23" s="8">
        <f t="shared" si="4"/>
        <v>447.44700000000006</v>
      </c>
    </row>
    <row r="24" spans="1:16" x14ac:dyDescent="0.2">
      <c r="A24" s="2">
        <v>20</v>
      </c>
      <c r="B24" s="12" t="s">
        <v>43</v>
      </c>
      <c r="C24" s="25">
        <f t="shared" si="0"/>
        <v>18.078479999999999</v>
      </c>
      <c r="D24" s="25">
        <f t="shared" si="1"/>
        <v>35.093519999999998</v>
      </c>
      <c r="E24" s="25"/>
      <c r="F24" s="25"/>
      <c r="G24" s="25">
        <f t="shared" si="2"/>
        <v>53.171999999999997</v>
      </c>
      <c r="K24" s="1">
        <v>12659</v>
      </c>
      <c r="L24" s="1">
        <v>4000</v>
      </c>
      <c r="M24" s="8">
        <f t="shared" si="3"/>
        <v>50.64</v>
      </c>
      <c r="P24" s="8">
        <f t="shared" si="4"/>
        <v>53.171999999999997</v>
      </c>
    </row>
    <row r="25" spans="1:16" x14ac:dyDescent="0.2">
      <c r="A25" s="2">
        <v>21</v>
      </c>
      <c r="B25" s="12" t="s">
        <v>44</v>
      </c>
      <c r="C25" s="25"/>
      <c r="D25" s="25"/>
      <c r="E25" s="25"/>
      <c r="F25" s="25">
        <v>29.16</v>
      </c>
      <c r="G25" s="25">
        <f t="shared" si="2"/>
        <v>29.16</v>
      </c>
      <c r="J25" s="1" t="s">
        <v>67</v>
      </c>
      <c r="K25" s="1">
        <v>7290</v>
      </c>
      <c r="L25" s="1">
        <v>4000</v>
      </c>
      <c r="M25" s="8">
        <f t="shared" si="3"/>
        <v>29.16</v>
      </c>
      <c r="P25" s="8">
        <f t="shared" si="4"/>
        <v>30.618000000000002</v>
      </c>
    </row>
    <row r="26" spans="1:16" x14ac:dyDescent="0.2">
      <c r="A26" s="2">
        <v>22</v>
      </c>
      <c r="B26" s="12" t="s">
        <v>45</v>
      </c>
      <c r="C26" s="25"/>
      <c r="D26" s="25"/>
      <c r="E26" s="25"/>
      <c r="F26" s="25">
        <v>35.47</v>
      </c>
      <c r="G26" s="25">
        <f t="shared" si="2"/>
        <v>35.47</v>
      </c>
      <c r="J26" s="1" t="s">
        <v>67</v>
      </c>
      <c r="K26" s="1">
        <v>8867</v>
      </c>
      <c r="L26" s="1">
        <v>4000</v>
      </c>
      <c r="M26" s="8">
        <f t="shared" si="3"/>
        <v>35.47</v>
      </c>
      <c r="P26" s="8">
        <f t="shared" si="4"/>
        <v>37.243499999999997</v>
      </c>
    </row>
    <row r="27" spans="1:16" x14ac:dyDescent="0.2">
      <c r="A27" s="2">
        <v>23</v>
      </c>
      <c r="B27" s="12" t="s">
        <v>46</v>
      </c>
      <c r="C27" s="25"/>
      <c r="D27" s="25"/>
      <c r="E27" s="25"/>
      <c r="F27" s="25">
        <v>48.34</v>
      </c>
      <c r="G27" s="25">
        <f t="shared" si="2"/>
        <v>48.34</v>
      </c>
      <c r="J27" s="1" t="s">
        <v>67</v>
      </c>
      <c r="K27" s="1">
        <v>12084</v>
      </c>
      <c r="L27" s="1">
        <v>4000</v>
      </c>
      <c r="M27" s="8">
        <f t="shared" si="3"/>
        <v>48.34</v>
      </c>
      <c r="P27" s="8">
        <f t="shared" si="4"/>
        <v>50.757000000000005</v>
      </c>
    </row>
    <row r="28" spans="1:16" x14ac:dyDescent="0.2">
      <c r="A28" s="2">
        <v>24</v>
      </c>
      <c r="B28" s="12" t="s">
        <v>47</v>
      </c>
      <c r="C28" s="25">
        <f t="shared" si="0"/>
        <v>15.693719999999999</v>
      </c>
      <c r="D28" s="25">
        <f t="shared" si="1"/>
        <v>30.464279999999999</v>
      </c>
      <c r="E28" s="25"/>
      <c r="F28" s="25"/>
      <c r="G28" s="25">
        <f t="shared" si="2"/>
        <v>46.158000000000001</v>
      </c>
      <c r="K28" s="1">
        <f>5400+3590+2000</f>
        <v>10990</v>
      </c>
      <c r="L28" s="1">
        <v>4000</v>
      </c>
      <c r="M28" s="8">
        <f t="shared" si="3"/>
        <v>43.96</v>
      </c>
      <c r="P28" s="8">
        <f t="shared" si="4"/>
        <v>46.158000000000001</v>
      </c>
    </row>
    <row r="29" spans="1:16" x14ac:dyDescent="0.2">
      <c r="A29" s="2">
        <v>25</v>
      </c>
      <c r="B29" s="12" t="s">
        <v>48</v>
      </c>
      <c r="C29" s="25"/>
      <c r="D29" s="25"/>
      <c r="E29" s="25"/>
      <c r="F29" s="25">
        <v>35.200000000000003</v>
      </c>
      <c r="G29" s="25">
        <f t="shared" si="2"/>
        <v>35.200000000000003</v>
      </c>
      <c r="J29" s="1" t="s">
        <v>67</v>
      </c>
      <c r="K29" s="1">
        <v>8800</v>
      </c>
      <c r="L29" s="1">
        <v>4000</v>
      </c>
      <c r="M29" s="8">
        <f t="shared" si="3"/>
        <v>35.200000000000003</v>
      </c>
      <c r="P29" s="8">
        <f t="shared" si="4"/>
        <v>36.96</v>
      </c>
    </row>
    <row r="30" spans="1:16" x14ac:dyDescent="0.2">
      <c r="A30" s="2">
        <v>26</v>
      </c>
      <c r="B30" s="12" t="s">
        <v>49</v>
      </c>
      <c r="C30" s="25"/>
      <c r="D30" s="25"/>
      <c r="E30" s="25"/>
      <c r="F30" s="25">
        <v>63.16</v>
      </c>
      <c r="G30" s="25">
        <f t="shared" si="2"/>
        <v>63.16</v>
      </c>
      <c r="J30" s="1" t="s">
        <v>67</v>
      </c>
      <c r="K30" s="1">
        <v>15790</v>
      </c>
      <c r="L30" s="1">
        <v>4000</v>
      </c>
      <c r="M30" s="8">
        <f t="shared" si="3"/>
        <v>63.16</v>
      </c>
      <c r="P30" s="8">
        <f t="shared" si="4"/>
        <v>66.317999999999998</v>
      </c>
    </row>
    <row r="31" spans="1:16" x14ac:dyDescent="0.2">
      <c r="A31" s="2">
        <v>27</v>
      </c>
      <c r="B31" s="12" t="s">
        <v>50</v>
      </c>
      <c r="C31" s="25"/>
      <c r="D31" s="25"/>
      <c r="E31" s="25">
        <v>13.12</v>
      </c>
      <c r="F31" s="25"/>
      <c r="G31" s="25">
        <f t="shared" si="2"/>
        <v>13.12</v>
      </c>
      <c r="J31" s="1" t="s">
        <v>68</v>
      </c>
      <c r="K31" s="1">
        <f>3240+40</f>
        <v>3280</v>
      </c>
      <c r="L31" s="1">
        <v>4000</v>
      </c>
      <c r="M31" s="8">
        <f t="shared" si="3"/>
        <v>13.12</v>
      </c>
      <c r="P31" s="8">
        <f t="shared" si="4"/>
        <v>13.776</v>
      </c>
    </row>
    <row r="32" spans="1:16" x14ac:dyDescent="0.2">
      <c r="A32" s="2">
        <v>28</v>
      </c>
      <c r="B32" s="12" t="s">
        <v>51</v>
      </c>
      <c r="C32" s="25"/>
      <c r="D32" s="25"/>
      <c r="E32" s="25">
        <v>12.8</v>
      </c>
      <c r="F32" s="25"/>
      <c r="G32" s="25">
        <f t="shared" si="2"/>
        <v>12.8</v>
      </c>
      <c r="J32" s="1" t="s">
        <v>68</v>
      </c>
      <c r="K32" s="1">
        <v>3200</v>
      </c>
      <c r="L32" s="1">
        <v>4000</v>
      </c>
      <c r="M32" s="8">
        <f t="shared" si="3"/>
        <v>12.8</v>
      </c>
      <c r="P32" s="8">
        <f t="shared" si="4"/>
        <v>13.440000000000001</v>
      </c>
    </row>
    <row r="33" spans="1:16" x14ac:dyDescent="0.2">
      <c r="A33" s="2">
        <v>29</v>
      </c>
      <c r="B33" s="12" t="s">
        <v>52</v>
      </c>
      <c r="C33" s="25">
        <f t="shared" si="0"/>
        <v>8.7465000000000011</v>
      </c>
      <c r="D33" s="25">
        <f t="shared" si="1"/>
        <v>16.978500000000004</v>
      </c>
      <c r="E33" s="25"/>
      <c r="F33" s="25"/>
      <c r="G33" s="25">
        <f t="shared" si="2"/>
        <v>25.725000000000005</v>
      </c>
      <c r="K33" s="1">
        <v>6124</v>
      </c>
      <c r="L33" s="1">
        <v>4000</v>
      </c>
      <c r="M33" s="8">
        <f t="shared" si="3"/>
        <v>24.5</v>
      </c>
      <c r="P33" s="8">
        <f t="shared" si="4"/>
        <v>25.725000000000001</v>
      </c>
    </row>
    <row r="34" spans="1:16" x14ac:dyDescent="0.2">
      <c r="A34" s="2">
        <v>30</v>
      </c>
      <c r="B34" s="12" t="s">
        <v>53</v>
      </c>
      <c r="C34" s="25"/>
      <c r="D34" s="25"/>
      <c r="E34" s="25"/>
      <c r="F34" s="25">
        <v>44.08</v>
      </c>
      <c r="G34" s="25">
        <f t="shared" si="2"/>
        <v>44.08</v>
      </c>
      <c r="J34" s="1" t="s">
        <v>67</v>
      </c>
      <c r="K34" s="1">
        <v>11020</v>
      </c>
      <c r="L34" s="1">
        <v>4000</v>
      </c>
      <c r="M34" s="8">
        <f t="shared" si="3"/>
        <v>44.08</v>
      </c>
      <c r="P34" s="8">
        <f t="shared" si="4"/>
        <v>46.283999999999999</v>
      </c>
    </row>
    <row r="35" spans="1:16" x14ac:dyDescent="0.2">
      <c r="A35" s="2">
        <v>31</v>
      </c>
      <c r="B35" s="12" t="s">
        <v>54</v>
      </c>
      <c r="C35" s="25"/>
      <c r="D35" s="25"/>
      <c r="E35" s="25"/>
      <c r="F35" s="25">
        <v>33.04</v>
      </c>
      <c r="G35" s="25">
        <f t="shared" si="2"/>
        <v>33.04</v>
      </c>
      <c r="J35" s="1" t="s">
        <v>67</v>
      </c>
      <c r="K35" s="1">
        <v>8260</v>
      </c>
      <c r="L35" s="1">
        <v>4000</v>
      </c>
      <c r="M35" s="8">
        <f t="shared" si="3"/>
        <v>33.04</v>
      </c>
      <c r="P35" s="8">
        <f t="shared" si="4"/>
        <v>34.692</v>
      </c>
    </row>
    <row r="36" spans="1:16" x14ac:dyDescent="0.2">
      <c r="A36" s="2">
        <v>32</v>
      </c>
      <c r="B36" s="12" t="s">
        <v>55</v>
      </c>
      <c r="C36" s="25">
        <f t="shared" si="0"/>
        <v>10.967040000000001</v>
      </c>
      <c r="D36" s="25">
        <f t="shared" si="1"/>
        <v>21.288959999999999</v>
      </c>
      <c r="E36" s="25"/>
      <c r="F36" s="25"/>
      <c r="G36" s="25">
        <f t="shared" si="2"/>
        <v>32.256</v>
      </c>
      <c r="K36" s="1">
        <v>7681</v>
      </c>
      <c r="L36" s="1">
        <v>4000</v>
      </c>
      <c r="M36" s="8">
        <f t="shared" si="3"/>
        <v>30.72</v>
      </c>
      <c r="P36" s="8">
        <f t="shared" si="4"/>
        <v>32.256</v>
      </c>
    </row>
    <row r="37" spans="1:16" x14ac:dyDescent="0.2">
      <c r="A37" s="2">
        <v>33</v>
      </c>
      <c r="B37" s="12" t="s">
        <v>57</v>
      </c>
      <c r="C37" s="25">
        <f t="shared" si="0"/>
        <v>19.535039999999999</v>
      </c>
      <c r="D37" s="25">
        <f t="shared" si="1"/>
        <v>37.920959999999994</v>
      </c>
      <c r="E37" s="25"/>
      <c r="F37" s="25"/>
      <c r="G37" s="25">
        <f t="shared" si="2"/>
        <v>57.455999999999989</v>
      </c>
      <c r="K37" s="1">
        <v>13680</v>
      </c>
      <c r="L37" s="1">
        <v>4000</v>
      </c>
      <c r="M37" s="8">
        <f t="shared" si="3"/>
        <v>54.72</v>
      </c>
      <c r="P37" s="8">
        <f t="shared" si="4"/>
        <v>57.455999999999996</v>
      </c>
    </row>
    <row r="38" spans="1:16" x14ac:dyDescent="0.2">
      <c r="A38" s="2">
        <v>34</v>
      </c>
      <c r="B38" s="12" t="s">
        <v>58</v>
      </c>
      <c r="C38" s="25"/>
      <c r="D38" s="25"/>
      <c r="E38" s="25"/>
      <c r="F38" s="25">
        <v>15.6</v>
      </c>
      <c r="G38" s="25">
        <f t="shared" si="2"/>
        <v>15.6</v>
      </c>
      <c r="J38" s="1" t="s">
        <v>67</v>
      </c>
      <c r="K38" s="1">
        <v>3900</v>
      </c>
      <c r="L38" s="1">
        <v>4000</v>
      </c>
      <c r="M38" s="8">
        <f t="shared" si="3"/>
        <v>15.6</v>
      </c>
      <c r="P38" s="8">
        <f t="shared" si="4"/>
        <v>16.38</v>
      </c>
    </row>
    <row r="39" spans="1:16" x14ac:dyDescent="0.2">
      <c r="A39" s="2">
        <v>35</v>
      </c>
      <c r="B39" s="12" t="s">
        <v>59</v>
      </c>
      <c r="C39" s="25"/>
      <c r="D39" s="25"/>
      <c r="E39" s="25"/>
      <c r="F39" s="25">
        <v>42.99</v>
      </c>
      <c r="G39" s="25">
        <f t="shared" si="2"/>
        <v>42.99</v>
      </c>
      <c r="J39" s="1" t="s">
        <v>67</v>
      </c>
      <c r="K39" s="1">
        <v>10748</v>
      </c>
      <c r="L39" s="1">
        <v>4000</v>
      </c>
      <c r="M39" s="8">
        <f t="shared" si="3"/>
        <v>42.99</v>
      </c>
      <c r="P39" s="8">
        <f t="shared" si="4"/>
        <v>45.139500000000005</v>
      </c>
    </row>
    <row r="40" spans="1:16" x14ac:dyDescent="0.2">
      <c r="A40" s="2">
        <v>36</v>
      </c>
      <c r="B40" s="12" t="s">
        <v>60</v>
      </c>
      <c r="C40" s="25">
        <f t="shared" si="0"/>
        <v>11.352600000000002</v>
      </c>
      <c r="D40" s="25">
        <f t="shared" si="1"/>
        <v>22.037400000000005</v>
      </c>
      <c r="E40" s="25"/>
      <c r="F40" s="25"/>
      <c r="G40" s="25">
        <f t="shared" si="2"/>
        <v>33.390000000000008</v>
      </c>
      <c r="K40" s="1">
        <f>7500+1800</f>
        <v>9300</v>
      </c>
      <c r="L40" s="1">
        <v>4000</v>
      </c>
      <c r="M40" s="8">
        <f t="shared" si="3"/>
        <v>37.200000000000003</v>
      </c>
      <c r="O40" s="1">
        <v>5.4</v>
      </c>
      <c r="P40" s="8">
        <f t="shared" si="4"/>
        <v>33.390000000000008</v>
      </c>
    </row>
    <row r="41" spans="1:16" x14ac:dyDescent="0.2">
      <c r="A41" s="2">
        <v>37</v>
      </c>
      <c r="B41" s="12" t="s">
        <v>61</v>
      </c>
      <c r="C41" s="25"/>
      <c r="D41" s="25"/>
      <c r="E41" s="25"/>
      <c r="F41" s="25">
        <v>22.84</v>
      </c>
      <c r="G41" s="25">
        <f>SUM(C41:F41)</f>
        <v>22.84</v>
      </c>
      <c r="J41" s="1" t="s">
        <v>67</v>
      </c>
      <c r="K41" s="1">
        <v>5710</v>
      </c>
      <c r="L41" s="1">
        <v>4000</v>
      </c>
      <c r="M41" s="8">
        <f t="shared" si="3"/>
        <v>22.84</v>
      </c>
      <c r="P41" s="8">
        <f t="shared" si="4"/>
        <v>23.981999999999999</v>
      </c>
    </row>
    <row r="42" spans="1:16" x14ac:dyDescent="0.2">
      <c r="A42" s="2">
        <v>38</v>
      </c>
      <c r="B42" s="12" t="s">
        <v>62</v>
      </c>
      <c r="C42" s="25"/>
      <c r="D42" s="25"/>
      <c r="E42" s="25"/>
      <c r="F42" s="25">
        <v>41.6</v>
      </c>
      <c r="G42" s="25">
        <f t="shared" si="2"/>
        <v>41.6</v>
      </c>
      <c r="J42" s="1" t="s">
        <v>67</v>
      </c>
      <c r="K42" s="1">
        <v>11750</v>
      </c>
      <c r="L42" s="1">
        <v>4000</v>
      </c>
      <c r="M42" s="8">
        <f t="shared" si="3"/>
        <v>47</v>
      </c>
      <c r="O42" s="1">
        <v>5.4</v>
      </c>
      <c r="P42" s="8">
        <f t="shared" si="4"/>
        <v>43.68</v>
      </c>
    </row>
    <row r="43" spans="1:16" x14ac:dyDescent="0.2">
      <c r="A43" s="2">
        <v>39</v>
      </c>
      <c r="B43" s="12" t="s">
        <v>63</v>
      </c>
      <c r="C43" s="25">
        <f t="shared" si="0"/>
        <v>35.94276</v>
      </c>
      <c r="D43" s="25">
        <f t="shared" si="1"/>
        <v>69.771239999999992</v>
      </c>
      <c r="E43" s="25"/>
      <c r="F43" s="25"/>
      <c r="G43" s="25">
        <f t="shared" si="2"/>
        <v>105.714</v>
      </c>
      <c r="K43" s="1">
        <v>26520</v>
      </c>
      <c r="L43" s="1">
        <v>4000</v>
      </c>
      <c r="M43" s="8">
        <f t="shared" si="3"/>
        <v>106.08</v>
      </c>
      <c r="O43" s="1">
        <v>5.4</v>
      </c>
      <c r="P43" s="8">
        <f t="shared" si="4"/>
        <v>105.714</v>
      </c>
    </row>
    <row r="44" spans="1:16" x14ac:dyDescent="0.2">
      <c r="A44" s="2">
        <v>40</v>
      </c>
      <c r="B44" s="12" t="s">
        <v>41</v>
      </c>
      <c r="C44" s="25">
        <f t="shared" si="0"/>
        <v>14.28</v>
      </c>
      <c r="D44" s="25">
        <f t="shared" si="1"/>
        <v>27.72</v>
      </c>
      <c r="E44" s="25"/>
      <c r="F44" s="25"/>
      <c r="G44" s="25">
        <f t="shared" si="2"/>
        <v>42</v>
      </c>
      <c r="K44" s="1">
        <v>10000</v>
      </c>
      <c r="L44" s="1">
        <v>4000</v>
      </c>
      <c r="M44" s="8">
        <f t="shared" si="3"/>
        <v>40</v>
      </c>
      <c r="P44" s="8">
        <f t="shared" si="4"/>
        <v>42</v>
      </c>
    </row>
    <row r="45" spans="1:16" x14ac:dyDescent="0.2">
      <c r="A45" s="2"/>
      <c r="B45" s="2" t="s">
        <v>19</v>
      </c>
      <c r="C45" s="25">
        <f>SUM(C5:C44)</f>
        <v>907.35119999999995</v>
      </c>
      <c r="D45" s="25">
        <f t="shared" ref="D45:F45" si="5">SUM(D5:D44)</f>
        <v>1761.3287999999998</v>
      </c>
      <c r="E45" s="25">
        <f t="shared" si="5"/>
        <v>62.379999999999995</v>
      </c>
      <c r="F45" s="25">
        <f t="shared" si="5"/>
        <v>619.28000000000009</v>
      </c>
      <c r="G45" s="25">
        <f>SUM(G5:G44)</f>
        <v>3350.3399999999992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6"/>
  <sheetViews>
    <sheetView zoomScale="70" zoomScaleNormal="70" workbookViewId="0">
      <selection activeCell="F22" sqref="C22:F22"/>
    </sheetView>
  </sheetViews>
  <sheetFormatPr defaultRowHeight="12.75" x14ac:dyDescent="0.2"/>
  <cols>
    <col min="1" max="1" width="7.5703125" style="10" customWidth="1"/>
    <col min="2" max="2" width="50.28515625" style="7" customWidth="1"/>
    <col min="3" max="3" width="9.140625" style="10" customWidth="1"/>
    <col min="4" max="4" width="14.5703125" style="23" customWidth="1"/>
    <col min="5" max="5" width="8.85546875" style="26" customWidth="1"/>
    <col min="6" max="16384" width="9.140625" style="1"/>
  </cols>
  <sheetData>
    <row r="1" spans="1:5" x14ac:dyDescent="0.2">
      <c r="A1" s="16"/>
      <c r="B1" s="17" t="s">
        <v>70</v>
      </c>
      <c r="C1" s="11"/>
      <c r="D1" s="22"/>
      <c r="E1" s="24"/>
    </row>
    <row r="2" spans="1:5" ht="13.5" thickBot="1" x14ac:dyDescent="0.25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">
      <c r="A3" s="63" t="s">
        <v>11</v>
      </c>
      <c r="B3" s="71" t="s">
        <v>71</v>
      </c>
      <c r="C3" s="65" t="s">
        <v>9</v>
      </c>
      <c r="D3" s="54">
        <v>1</v>
      </c>
      <c r="E3" s="55">
        <f>(E6+E11+E16+E21)/100 * 71</f>
        <v>2134.0327999999995</v>
      </c>
    </row>
    <row r="4" spans="1:5" x14ac:dyDescent="0.2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640.20983999999987</v>
      </c>
    </row>
    <row r="5" spans="1:5" ht="13.5" thickBot="1" x14ac:dyDescent="0.25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2347.4360799999995</v>
      </c>
    </row>
    <row r="6" spans="1:5" ht="38.25" x14ac:dyDescent="0.2">
      <c r="A6" s="63" t="s">
        <v>12</v>
      </c>
      <c r="B6" s="71" t="s">
        <v>81</v>
      </c>
      <c r="C6" s="65" t="s">
        <v>82</v>
      </c>
      <c r="D6" s="54">
        <v>1</v>
      </c>
      <c r="E6" s="55">
        <f>'Спец 3 э. шт.'!C28</f>
        <v>840.60999999999979</v>
      </c>
    </row>
    <row r="7" spans="1:5" x14ac:dyDescent="0.2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25218.384060999993</v>
      </c>
    </row>
    <row r="8" spans="1:5" x14ac:dyDescent="0.2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924.67099999999982</v>
      </c>
    </row>
    <row r="9" spans="1:5" x14ac:dyDescent="0.2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840.60999999999979</v>
      </c>
    </row>
    <row r="10" spans="1:5" ht="13.5" thickBot="1" x14ac:dyDescent="0.25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210.15249999999995</v>
      </c>
    </row>
    <row r="11" spans="1:5" ht="38.25" x14ac:dyDescent="0.2">
      <c r="A11" s="63" t="s">
        <v>75</v>
      </c>
      <c r="B11" s="64" t="s">
        <v>83</v>
      </c>
      <c r="C11" s="65" t="s">
        <v>82</v>
      </c>
      <c r="D11" s="54">
        <v>1</v>
      </c>
      <c r="E11" s="55">
        <f>'Спец 3 э. шт.'!E28</f>
        <v>38.590000000000003</v>
      </c>
    </row>
    <row r="12" spans="1:5" x14ac:dyDescent="0.2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9.6475000000000009</v>
      </c>
    </row>
    <row r="13" spans="1:5" x14ac:dyDescent="0.2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38.590000000000003</v>
      </c>
    </row>
    <row r="14" spans="1:5" x14ac:dyDescent="0.2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42.449000000000005</v>
      </c>
    </row>
    <row r="15" spans="1:5" ht="13.5" thickBot="1" x14ac:dyDescent="0.25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1157.7038590000002</v>
      </c>
    </row>
    <row r="16" spans="1:5" ht="38.25" x14ac:dyDescent="0.2">
      <c r="A16" s="63" t="s">
        <v>87</v>
      </c>
      <c r="B16" s="64" t="s">
        <v>84</v>
      </c>
      <c r="C16" s="65" t="s">
        <v>82</v>
      </c>
      <c r="D16" s="54">
        <v>1</v>
      </c>
      <c r="E16" s="55">
        <f>'Спец 3 э. шт.'!F28</f>
        <v>261.49</v>
      </c>
    </row>
    <row r="17" spans="1:5" x14ac:dyDescent="0.2">
      <c r="A17" s="56">
        <v>4.0999999999999996</v>
      </c>
      <c r="B17" s="21" t="s">
        <v>6</v>
      </c>
      <c r="C17" s="45" t="s">
        <v>10</v>
      </c>
      <c r="D17" s="9">
        <v>1.3</v>
      </c>
      <c r="E17" s="57">
        <f>E16*D17*23.077</f>
        <v>7844.726149000001</v>
      </c>
    </row>
    <row r="18" spans="1:5" x14ac:dyDescent="0.2">
      <c r="A18" s="56">
        <v>4.2</v>
      </c>
      <c r="B18" s="21" t="s">
        <v>113</v>
      </c>
      <c r="C18" s="45" t="s">
        <v>82</v>
      </c>
      <c r="D18" s="9">
        <v>1.1000000000000001</v>
      </c>
      <c r="E18" s="57">
        <f>E16*D18</f>
        <v>287.63900000000001</v>
      </c>
    </row>
    <row r="19" spans="1:5" x14ac:dyDescent="0.2">
      <c r="A19" s="56">
        <v>4.3</v>
      </c>
      <c r="B19" s="21" t="s">
        <v>80</v>
      </c>
      <c r="C19" s="45" t="s">
        <v>9</v>
      </c>
      <c r="D19" s="9">
        <v>1</v>
      </c>
      <c r="E19" s="57">
        <f>E16*D19</f>
        <v>261.49</v>
      </c>
    </row>
    <row r="20" spans="1:5" ht="13.5" thickBot="1" x14ac:dyDescent="0.25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65.372500000000002</v>
      </c>
    </row>
    <row r="21" spans="1:5" ht="38.25" x14ac:dyDescent="0.2">
      <c r="A21" s="51">
        <v>5</v>
      </c>
      <c r="B21" s="52" t="s">
        <v>85</v>
      </c>
      <c r="C21" s="53" t="s">
        <v>82</v>
      </c>
      <c r="D21" s="54">
        <v>1</v>
      </c>
      <c r="E21" s="55">
        <f>'Спец 3 э. шт.'!D28</f>
        <v>1864.9899999999998</v>
      </c>
    </row>
    <row r="22" spans="1:5" x14ac:dyDescent="0.2">
      <c r="A22" s="56">
        <v>5.0999999999999996</v>
      </c>
      <c r="B22" s="21" t="s">
        <v>17</v>
      </c>
      <c r="C22" s="45" t="s">
        <v>10</v>
      </c>
      <c r="D22" s="9">
        <v>0.15</v>
      </c>
      <c r="E22" s="57">
        <f>E21*D22</f>
        <v>279.74849999999998</v>
      </c>
    </row>
    <row r="23" spans="1:5" x14ac:dyDescent="0.2">
      <c r="A23" s="56">
        <v>5.2</v>
      </c>
      <c r="B23" s="21" t="s">
        <v>80</v>
      </c>
      <c r="C23" s="45" t="s">
        <v>9</v>
      </c>
      <c r="D23" s="9">
        <v>1</v>
      </c>
      <c r="E23" s="57">
        <f>E21*D23</f>
        <v>1864.9899999999998</v>
      </c>
    </row>
    <row r="24" spans="1:5" x14ac:dyDescent="0.2">
      <c r="A24" s="56">
        <v>5.3</v>
      </c>
      <c r="B24" s="21" t="s">
        <v>113</v>
      </c>
      <c r="C24" s="45" t="s">
        <v>82</v>
      </c>
      <c r="D24" s="9">
        <v>1.1000000000000001</v>
      </c>
      <c r="E24" s="57">
        <f>E21*D24</f>
        <v>2051.489</v>
      </c>
    </row>
    <row r="25" spans="1:5" x14ac:dyDescent="0.2">
      <c r="A25" s="56">
        <v>5.4</v>
      </c>
      <c r="B25" s="21" t="s">
        <v>6</v>
      </c>
      <c r="C25" s="45" t="s">
        <v>10</v>
      </c>
      <c r="D25" s="9">
        <v>1.3</v>
      </c>
      <c r="E25" s="57">
        <f>E21*D25*23.077</f>
        <v>55949.886498999993</v>
      </c>
    </row>
    <row r="26" spans="1:5" ht="13.5" thickBot="1" x14ac:dyDescent="0.25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Z28"/>
  <sheetViews>
    <sheetView topLeftCell="A2" zoomScale="90" zoomScaleNormal="90" workbookViewId="0">
      <selection activeCell="F22" sqref="C22:F22"/>
    </sheetView>
  </sheetViews>
  <sheetFormatPr defaultRowHeight="12.75" x14ac:dyDescent="0.2"/>
  <cols>
    <col min="1" max="1" width="7" style="10" customWidth="1"/>
    <col min="2" max="2" width="11.140625" style="10" customWidth="1"/>
    <col min="3" max="6" width="8.7109375" style="10" customWidth="1"/>
    <col min="7" max="7" width="8.7109375" style="27" customWidth="1"/>
    <col min="8" max="12" width="9.140625" style="1" customWidth="1"/>
    <col min="13" max="13" width="13.140625" style="1" customWidth="1"/>
    <col min="14" max="14" width="7.5703125" style="1" customWidth="1"/>
    <col min="15" max="15" width="9.7109375" style="1" customWidth="1"/>
    <col min="16" max="16" width="7.7109375" style="1" customWidth="1"/>
    <col min="17" max="17" width="10.5703125" style="1" customWidth="1"/>
    <col min="18" max="18" width="11.42578125" style="1" customWidth="1"/>
    <col min="19" max="20" width="13.140625" style="1" customWidth="1"/>
    <col min="21" max="21" width="24.42578125" style="1" customWidth="1"/>
    <col min="22" max="22" width="9.140625" style="1" customWidth="1"/>
    <col min="23" max="23" width="12" style="1" customWidth="1"/>
    <col min="24" max="24" width="9.140625" style="1" customWidth="1"/>
    <col min="25" max="25" width="13.85546875" style="1" customWidth="1"/>
    <col min="26" max="27" width="9.140625" style="1" customWidth="1"/>
    <col min="28" max="16384" width="9.140625" style="1"/>
  </cols>
  <sheetData>
    <row r="1" spans="1:26" x14ac:dyDescent="0.2">
      <c r="A1" s="140" t="s">
        <v>2</v>
      </c>
      <c r="B1" s="140"/>
      <c r="C1" s="140"/>
      <c r="D1" s="140"/>
      <c r="E1" s="140"/>
      <c r="F1" s="140"/>
      <c r="G1" s="140"/>
    </row>
    <row r="2" spans="1:26" x14ac:dyDescent="0.2">
      <c r="A2" s="141" t="s">
        <v>64</v>
      </c>
      <c r="B2" s="141"/>
      <c r="C2" s="141"/>
      <c r="D2" s="141"/>
      <c r="E2" s="141"/>
      <c r="F2" s="141"/>
      <c r="G2" s="141"/>
      <c r="O2" s="39"/>
      <c r="Q2" s="41"/>
    </row>
    <row r="3" spans="1:26" ht="38.25" x14ac:dyDescent="0.2">
      <c r="A3" s="28"/>
      <c r="B3" s="12"/>
      <c r="C3" s="6" t="s">
        <v>65</v>
      </c>
      <c r="D3" s="29" t="s">
        <v>69</v>
      </c>
      <c r="E3" s="29" t="s">
        <v>68</v>
      </c>
      <c r="F3" s="29" t="s">
        <v>67</v>
      </c>
      <c r="G3" s="15" t="s">
        <v>3</v>
      </c>
      <c r="H3" s="36" t="s">
        <v>65</v>
      </c>
      <c r="I3" s="30" t="s">
        <v>110</v>
      </c>
      <c r="J3" s="34" t="s">
        <v>69</v>
      </c>
      <c r="K3" s="31" t="s">
        <v>111</v>
      </c>
      <c r="L3" s="32" t="s">
        <v>112</v>
      </c>
      <c r="M3" s="1" t="s">
        <v>36</v>
      </c>
      <c r="N3" s="39" t="s">
        <v>115</v>
      </c>
      <c r="O3" s="40" t="s">
        <v>116</v>
      </c>
      <c r="P3" s="41" t="s">
        <v>114</v>
      </c>
      <c r="Q3" s="40" t="s">
        <v>117</v>
      </c>
      <c r="R3" s="43" t="s">
        <v>120</v>
      </c>
      <c r="S3" s="42" t="s">
        <v>118</v>
      </c>
      <c r="T3" s="42" t="s">
        <v>119</v>
      </c>
      <c r="U3" s="1" t="s">
        <v>20</v>
      </c>
      <c r="V3" s="1" t="s">
        <v>35</v>
      </c>
    </row>
    <row r="4" spans="1:26" x14ac:dyDescent="0.2">
      <c r="A4" s="28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H4" s="37"/>
      <c r="I4" s="33"/>
      <c r="J4" s="35"/>
      <c r="K4" s="33">
        <f t="shared" ref="K4:K27" si="0">I4</f>
        <v>0</v>
      </c>
      <c r="L4" s="38"/>
      <c r="Y4" s="1" t="s">
        <v>66</v>
      </c>
    </row>
    <row r="5" spans="1:26" x14ac:dyDescent="0.2">
      <c r="A5" s="28">
        <v>1</v>
      </c>
      <c r="B5" s="12" t="s">
        <v>90</v>
      </c>
      <c r="C5" s="25">
        <f>ROUND(N5+O5-T5, 2)</f>
        <v>53.82</v>
      </c>
      <c r="D5" s="25">
        <f>ROUND(P5+Q5+R5-S5, 2)</f>
        <v>114.96</v>
      </c>
      <c r="E5" s="25"/>
      <c r="F5" s="25"/>
      <c r="G5" s="25">
        <f>SUM(C5:F5)</f>
        <v>168.78</v>
      </c>
      <c r="H5" s="37">
        <f>ROUND(N5+O5-T5, 2)</f>
        <v>53.82</v>
      </c>
      <c r="I5" s="33">
        <f>ROUND(P5+Q5+R5-S5, 2)</f>
        <v>114.96</v>
      </c>
      <c r="J5" s="35"/>
      <c r="K5" s="33">
        <f t="shared" si="0"/>
        <v>114.96</v>
      </c>
      <c r="L5" s="38"/>
      <c r="M5" s="1" t="s">
        <v>39</v>
      </c>
      <c r="N5" s="1">
        <v>50.395499999999998</v>
      </c>
      <c r="O5" s="1">
        <v>3.42</v>
      </c>
      <c r="P5" s="1">
        <v>103.56</v>
      </c>
      <c r="Q5" s="1">
        <v>11.4</v>
      </c>
      <c r="R5" s="1">
        <v>0</v>
      </c>
      <c r="S5" s="1">
        <v>0</v>
      </c>
      <c r="T5" s="1">
        <v>0</v>
      </c>
      <c r="V5" s="1">
        <v>4000</v>
      </c>
      <c r="W5" s="8">
        <f>ROUND(U5*V5/1000000, 2)</f>
        <v>0</v>
      </c>
      <c r="Y5" s="1">
        <v>15</v>
      </c>
      <c r="Z5" s="8">
        <f>(W5-Y5) / 100 * 5 + (W5-Y5)</f>
        <v>-15.75</v>
      </c>
    </row>
    <row r="6" spans="1:26" x14ac:dyDescent="0.2">
      <c r="A6" s="44">
        <v>2</v>
      </c>
      <c r="B6" s="12" t="s">
        <v>91</v>
      </c>
      <c r="C6" s="25">
        <f t="shared" ref="C6:C17" si="1">ROUND(N6+O6-T6, 2)</f>
        <v>14.03</v>
      </c>
      <c r="D6" s="25">
        <f t="shared" ref="D6:D17" si="2">ROUND(P6+Q6+R6-S6, 2)</f>
        <v>91.55</v>
      </c>
      <c r="E6" s="25"/>
      <c r="F6" s="25"/>
      <c r="G6" s="25">
        <f t="shared" ref="G6:G27" si="3">SUM(C6:F6)</f>
        <v>105.58</v>
      </c>
      <c r="H6" s="37"/>
      <c r="I6" s="33">
        <f>6900+1200</f>
        <v>8100</v>
      </c>
      <c r="J6" s="35"/>
      <c r="K6" s="33">
        <f t="shared" si="0"/>
        <v>8100</v>
      </c>
      <c r="L6" s="38"/>
      <c r="N6" s="1">
        <v>11.6</v>
      </c>
      <c r="O6" s="1">
        <v>2.4300000000000002</v>
      </c>
      <c r="P6" s="1">
        <v>80.12</v>
      </c>
      <c r="Q6" s="1">
        <v>8.1</v>
      </c>
      <c r="R6" s="1">
        <v>3.33</v>
      </c>
      <c r="S6" s="1">
        <v>0</v>
      </c>
      <c r="T6" s="1">
        <v>0</v>
      </c>
      <c r="U6" s="1">
        <v>30830.7402</v>
      </c>
      <c r="V6" s="1">
        <v>4000</v>
      </c>
      <c r="W6" s="8">
        <f t="shared" ref="W6:W27" si="4">ROUND(U6*V6/1000000, 2)</f>
        <v>123.32</v>
      </c>
      <c r="Y6" s="1">
        <v>15</v>
      </c>
      <c r="Z6" s="8">
        <f t="shared" ref="Z6:Z27" si="5">(W6-Y6) / 100 * 5 + (W6-Y6)</f>
        <v>113.73599999999999</v>
      </c>
    </row>
    <row r="7" spans="1:26" x14ac:dyDescent="0.2">
      <c r="A7" s="44">
        <v>3</v>
      </c>
      <c r="B7" s="12" t="s">
        <v>92</v>
      </c>
      <c r="C7" s="25">
        <f t="shared" si="1"/>
        <v>19.86</v>
      </c>
      <c r="D7" s="25">
        <f t="shared" si="2"/>
        <v>85.93</v>
      </c>
      <c r="E7" s="25"/>
      <c r="F7" s="25"/>
      <c r="G7" s="25">
        <f t="shared" si="3"/>
        <v>105.79</v>
      </c>
      <c r="H7" s="37">
        <f>(900+900+480+900+1200)*4/1000</f>
        <v>17.52</v>
      </c>
      <c r="I7" s="33">
        <f>4300+3500</f>
        <v>7800</v>
      </c>
      <c r="J7" s="35">
        <f>1010+3530+14190</f>
        <v>18730</v>
      </c>
      <c r="K7" s="33">
        <f t="shared" si="0"/>
        <v>7800</v>
      </c>
      <c r="L7" s="38"/>
      <c r="N7" s="1">
        <v>17.52</v>
      </c>
      <c r="O7" s="1">
        <v>2.34</v>
      </c>
      <c r="P7" s="1">
        <v>74.8</v>
      </c>
      <c r="Q7" s="1">
        <v>7.8</v>
      </c>
      <c r="R7" s="1">
        <v>3.33</v>
      </c>
      <c r="S7" s="1">
        <v>0</v>
      </c>
      <c r="T7" s="1">
        <v>0</v>
      </c>
      <c r="U7" s="1">
        <v>32917.396500000003</v>
      </c>
      <c r="V7" s="1">
        <v>4000</v>
      </c>
      <c r="W7" s="8">
        <f t="shared" si="4"/>
        <v>131.66999999999999</v>
      </c>
      <c r="Y7" s="1">
        <v>15</v>
      </c>
      <c r="Z7" s="8">
        <f t="shared" si="5"/>
        <v>122.50349999999999</v>
      </c>
    </row>
    <row r="8" spans="1:26" x14ac:dyDescent="0.2">
      <c r="A8" s="44">
        <v>4</v>
      </c>
      <c r="B8" s="12" t="s">
        <v>93</v>
      </c>
      <c r="C8" s="25">
        <f t="shared" si="1"/>
        <v>45.58</v>
      </c>
      <c r="D8" s="25">
        <f t="shared" si="2"/>
        <v>70.930000000000007</v>
      </c>
      <c r="E8" s="25"/>
      <c r="F8" s="25"/>
      <c r="G8" s="25">
        <f t="shared" si="3"/>
        <v>116.51</v>
      </c>
      <c r="H8" s="37">
        <f>10460*4/1000</f>
        <v>41.84</v>
      </c>
      <c r="I8" s="33">
        <f>3450+3300</f>
        <v>6750</v>
      </c>
      <c r="J8" s="35">
        <f>15250*4/1000</f>
        <v>61</v>
      </c>
      <c r="K8" s="33">
        <f>I8</f>
        <v>6750</v>
      </c>
      <c r="L8" s="38"/>
      <c r="N8" s="1">
        <v>43.6</v>
      </c>
      <c r="O8" s="1">
        <v>1.98</v>
      </c>
      <c r="P8" s="1">
        <v>61</v>
      </c>
      <c r="Q8" s="1">
        <v>6.6</v>
      </c>
      <c r="R8" s="1">
        <v>3.33</v>
      </c>
      <c r="S8" s="1">
        <v>0</v>
      </c>
      <c r="T8" s="1">
        <v>0</v>
      </c>
      <c r="U8" s="1">
        <v>78654.636299999998</v>
      </c>
      <c r="V8" s="1">
        <v>4000</v>
      </c>
      <c r="W8" s="8">
        <f t="shared" si="4"/>
        <v>314.62</v>
      </c>
      <c r="Y8" s="1">
        <v>15</v>
      </c>
      <c r="Z8" s="8">
        <f t="shared" si="5"/>
        <v>314.601</v>
      </c>
    </row>
    <row r="9" spans="1:26" x14ac:dyDescent="0.2">
      <c r="A9" s="44">
        <v>5</v>
      </c>
      <c r="B9" s="12" t="s">
        <v>94</v>
      </c>
      <c r="C9" s="25">
        <f t="shared" si="1"/>
        <v>159.75</v>
      </c>
      <c r="D9" s="25">
        <f t="shared" si="2"/>
        <v>242.78</v>
      </c>
      <c r="E9" s="25"/>
      <c r="F9" s="25"/>
      <c r="G9" s="25">
        <f t="shared" si="3"/>
        <v>402.53</v>
      </c>
      <c r="H9" s="37"/>
      <c r="I9" s="33"/>
      <c r="J9" s="35"/>
      <c r="K9" s="33">
        <f t="shared" si="0"/>
        <v>0</v>
      </c>
      <c r="L9" s="38"/>
      <c r="N9" s="1">
        <v>161.94</v>
      </c>
      <c r="O9" s="1">
        <v>5.23</v>
      </c>
      <c r="P9" s="1">
        <v>230.3</v>
      </c>
      <c r="Q9" s="1">
        <v>17.420000000000002</v>
      </c>
      <c r="R9" s="1">
        <v>0</v>
      </c>
      <c r="S9" s="1">
        <v>4.9351000000000003</v>
      </c>
      <c r="T9" s="1">
        <v>7.4238999999999997</v>
      </c>
      <c r="U9" s="1">
        <v>12056</v>
      </c>
      <c r="V9" s="1">
        <v>4000</v>
      </c>
      <c r="W9" s="8">
        <f t="shared" si="4"/>
        <v>48.22</v>
      </c>
      <c r="Y9" s="1">
        <v>20</v>
      </c>
      <c r="Z9" s="8">
        <f t="shared" si="5"/>
        <v>29.631</v>
      </c>
    </row>
    <row r="10" spans="1:26" x14ac:dyDescent="0.2">
      <c r="A10" s="44">
        <v>6</v>
      </c>
      <c r="B10" s="12" t="s">
        <v>95</v>
      </c>
      <c r="C10" s="25">
        <f t="shared" si="1"/>
        <v>33.93</v>
      </c>
      <c r="D10" s="25">
        <f t="shared" si="2"/>
        <v>14.8</v>
      </c>
      <c r="E10" s="25"/>
      <c r="F10" s="25"/>
      <c r="G10" s="25">
        <f t="shared" si="3"/>
        <v>48.730000000000004</v>
      </c>
      <c r="H10" s="37"/>
      <c r="I10" s="33"/>
      <c r="J10" s="35"/>
      <c r="K10" s="33">
        <f t="shared" si="0"/>
        <v>0</v>
      </c>
      <c r="L10" s="38"/>
      <c r="N10" s="1">
        <v>41.35</v>
      </c>
      <c r="O10" s="1">
        <v>0</v>
      </c>
      <c r="P10" s="1">
        <v>14.8</v>
      </c>
      <c r="Q10" s="1">
        <v>0</v>
      </c>
      <c r="R10" s="1">
        <v>0</v>
      </c>
      <c r="S10" s="1">
        <v>0</v>
      </c>
      <c r="T10" s="1">
        <v>7.42</v>
      </c>
      <c r="U10" s="1">
        <v>30423</v>
      </c>
      <c r="V10" s="1">
        <v>4000</v>
      </c>
      <c r="W10" s="8">
        <f t="shared" si="4"/>
        <v>121.69</v>
      </c>
      <c r="Y10" s="1">
        <v>20</v>
      </c>
      <c r="Z10" s="8">
        <f t="shared" si="5"/>
        <v>106.7745</v>
      </c>
    </row>
    <row r="11" spans="1:26" x14ac:dyDescent="0.2">
      <c r="A11" s="44">
        <v>7</v>
      </c>
      <c r="B11" s="12" t="s">
        <v>96</v>
      </c>
      <c r="C11" s="25">
        <f t="shared" si="1"/>
        <v>34.19</v>
      </c>
      <c r="D11" s="25">
        <f t="shared" si="2"/>
        <v>68.38</v>
      </c>
      <c r="E11" s="25"/>
      <c r="F11" s="25"/>
      <c r="G11" s="25">
        <f t="shared" si="3"/>
        <v>102.57</v>
      </c>
      <c r="H11" s="37"/>
      <c r="I11" s="33"/>
      <c r="J11" s="35"/>
      <c r="K11" s="33">
        <f t="shared" si="0"/>
        <v>0</v>
      </c>
      <c r="L11" s="38"/>
      <c r="N11" s="1">
        <v>32.049999999999997</v>
      </c>
      <c r="O11" s="1">
        <v>2.14</v>
      </c>
      <c r="P11" s="1">
        <v>57.92</v>
      </c>
      <c r="Q11" s="1">
        <v>7.13</v>
      </c>
      <c r="R11" s="1">
        <v>3.33</v>
      </c>
      <c r="S11" s="1">
        <v>0</v>
      </c>
      <c r="T11" s="1">
        <v>0</v>
      </c>
      <c r="U11" s="1">
        <v>30423</v>
      </c>
      <c r="V11" s="1">
        <v>4000</v>
      </c>
      <c r="W11" s="8">
        <f t="shared" si="4"/>
        <v>121.69</v>
      </c>
      <c r="Y11" s="1">
        <v>20</v>
      </c>
      <c r="Z11" s="8">
        <f t="shared" si="5"/>
        <v>106.7745</v>
      </c>
    </row>
    <row r="12" spans="1:26" x14ac:dyDescent="0.2">
      <c r="A12" s="44">
        <v>8</v>
      </c>
      <c r="B12" s="12" t="s">
        <v>97</v>
      </c>
      <c r="C12" s="25">
        <f t="shared" si="1"/>
        <v>36.79</v>
      </c>
      <c r="D12" s="25">
        <f t="shared" si="2"/>
        <v>67.91</v>
      </c>
      <c r="E12" s="25"/>
      <c r="F12" s="25"/>
      <c r="G12" s="25">
        <f t="shared" si="3"/>
        <v>104.69999999999999</v>
      </c>
      <c r="H12" s="37"/>
      <c r="I12" s="33"/>
      <c r="J12" s="35"/>
      <c r="K12" s="33">
        <f t="shared" si="0"/>
        <v>0</v>
      </c>
      <c r="L12" s="38"/>
      <c r="N12" s="1">
        <v>34.479999999999997</v>
      </c>
      <c r="O12" s="1">
        <v>2.31</v>
      </c>
      <c r="P12" s="1">
        <v>56.88</v>
      </c>
      <c r="Q12" s="1">
        <v>7.7</v>
      </c>
      <c r="R12" s="1">
        <v>3.33</v>
      </c>
      <c r="S12" s="1">
        <v>0</v>
      </c>
      <c r="T12" s="1">
        <v>0</v>
      </c>
      <c r="U12" s="1">
        <v>27149</v>
      </c>
      <c r="V12" s="1">
        <v>4000</v>
      </c>
      <c r="W12" s="8">
        <f t="shared" si="4"/>
        <v>108.6</v>
      </c>
      <c r="Y12" s="1">
        <v>20</v>
      </c>
      <c r="Z12" s="8">
        <f t="shared" si="5"/>
        <v>93.03</v>
      </c>
    </row>
    <row r="13" spans="1:26" x14ac:dyDescent="0.2">
      <c r="A13" s="44">
        <v>9</v>
      </c>
      <c r="B13" s="12" t="s">
        <v>98</v>
      </c>
      <c r="C13" s="25">
        <f t="shared" si="1"/>
        <v>13.36</v>
      </c>
      <c r="D13" s="25">
        <f t="shared" si="2"/>
        <v>88.25</v>
      </c>
      <c r="E13" s="25"/>
      <c r="F13" s="25"/>
      <c r="G13" s="25">
        <f t="shared" si="3"/>
        <v>101.61</v>
      </c>
      <c r="H13" s="37"/>
      <c r="I13" s="33"/>
      <c r="J13" s="35"/>
      <c r="K13" s="33">
        <f t="shared" si="0"/>
        <v>0</v>
      </c>
      <c r="L13" s="38"/>
      <c r="N13" s="1">
        <v>11.2</v>
      </c>
      <c r="O13" s="1">
        <v>2.16</v>
      </c>
      <c r="P13" s="1">
        <v>77.72</v>
      </c>
      <c r="Q13" s="1">
        <v>7.2</v>
      </c>
      <c r="R13" s="1">
        <v>3.33</v>
      </c>
      <c r="S13" s="1">
        <v>0</v>
      </c>
      <c r="T13" s="1">
        <v>0</v>
      </c>
      <c r="U13" s="1">
        <v>30390</v>
      </c>
      <c r="V13" s="1">
        <v>4000</v>
      </c>
      <c r="W13" s="8">
        <f t="shared" si="4"/>
        <v>121.56</v>
      </c>
      <c r="Y13" s="1">
        <v>20</v>
      </c>
      <c r="Z13" s="8">
        <f t="shared" si="5"/>
        <v>106.63800000000001</v>
      </c>
    </row>
    <row r="14" spans="1:26" x14ac:dyDescent="0.2">
      <c r="A14" s="44">
        <v>10</v>
      </c>
      <c r="B14" s="12" t="s">
        <v>99</v>
      </c>
      <c r="C14" s="25">
        <f t="shared" si="1"/>
        <v>34.97</v>
      </c>
      <c r="D14" s="25">
        <f t="shared" si="2"/>
        <v>70.28</v>
      </c>
      <c r="E14" s="25"/>
      <c r="F14" s="25"/>
      <c r="G14" s="25">
        <f t="shared" si="3"/>
        <v>105.25</v>
      </c>
      <c r="H14" s="37"/>
      <c r="I14" s="33"/>
      <c r="J14" s="35"/>
      <c r="K14" s="33">
        <f t="shared" si="0"/>
        <v>0</v>
      </c>
      <c r="L14" s="38"/>
      <c r="N14" s="1">
        <v>32.76</v>
      </c>
      <c r="O14" s="1">
        <v>2.21</v>
      </c>
      <c r="P14" s="1">
        <v>59.6</v>
      </c>
      <c r="Q14" s="1">
        <v>7.35</v>
      </c>
      <c r="R14" s="1">
        <v>3.33</v>
      </c>
      <c r="S14" s="1">
        <v>0</v>
      </c>
      <c r="T14" s="1">
        <v>0</v>
      </c>
      <c r="U14" s="1">
        <v>59638</v>
      </c>
      <c r="V14" s="1">
        <v>4000</v>
      </c>
      <c r="W14" s="8">
        <f t="shared" si="4"/>
        <v>238.55</v>
      </c>
      <c r="Y14" s="1">
        <v>15</v>
      </c>
      <c r="Z14" s="8">
        <f t="shared" si="5"/>
        <v>234.72750000000002</v>
      </c>
    </row>
    <row r="15" spans="1:26" x14ac:dyDescent="0.2">
      <c r="A15" s="44">
        <v>11</v>
      </c>
      <c r="B15" s="12" t="s">
        <v>100</v>
      </c>
      <c r="C15" s="25">
        <f t="shared" si="1"/>
        <v>15.36</v>
      </c>
      <c r="D15" s="25">
        <f t="shared" si="2"/>
        <v>89.97</v>
      </c>
      <c r="E15" s="25"/>
      <c r="F15" s="25"/>
      <c r="G15" s="25">
        <f t="shared" si="3"/>
        <v>105.33</v>
      </c>
      <c r="H15" s="37"/>
      <c r="I15" s="33"/>
      <c r="J15" s="35"/>
      <c r="K15" s="33">
        <f t="shared" si="0"/>
        <v>0</v>
      </c>
      <c r="L15" s="38"/>
      <c r="N15" s="1">
        <v>13.2</v>
      </c>
      <c r="O15" s="1">
        <v>2.16</v>
      </c>
      <c r="P15" s="1">
        <v>79.44</v>
      </c>
      <c r="Q15" s="1">
        <v>7.2</v>
      </c>
      <c r="R15" s="1">
        <v>3.33</v>
      </c>
      <c r="S15" s="1">
        <v>0</v>
      </c>
      <c r="T15" s="1">
        <v>0</v>
      </c>
      <c r="U15" s="1">
        <v>24809</v>
      </c>
      <c r="V15" s="1">
        <v>4000</v>
      </c>
      <c r="W15" s="8">
        <f t="shared" si="4"/>
        <v>99.24</v>
      </c>
      <c r="Y15" s="1">
        <v>20</v>
      </c>
      <c r="Z15" s="8">
        <f t="shared" si="5"/>
        <v>83.201999999999998</v>
      </c>
    </row>
    <row r="16" spans="1:26" x14ac:dyDescent="0.2">
      <c r="A16" s="44">
        <v>12</v>
      </c>
      <c r="B16" s="12" t="s">
        <v>101</v>
      </c>
      <c r="C16" s="25">
        <f t="shared" si="1"/>
        <v>42.14</v>
      </c>
      <c r="D16" s="25">
        <f t="shared" si="2"/>
        <v>59.81</v>
      </c>
      <c r="E16" s="25"/>
      <c r="F16" s="25"/>
      <c r="G16" s="25">
        <f t="shared" si="3"/>
        <v>101.95</v>
      </c>
      <c r="H16" s="37"/>
      <c r="I16" s="33"/>
      <c r="J16" s="35"/>
      <c r="K16" s="33">
        <f t="shared" si="0"/>
        <v>0</v>
      </c>
      <c r="L16" s="38"/>
      <c r="N16" s="1">
        <v>40.1</v>
      </c>
      <c r="O16" s="1">
        <v>2.04</v>
      </c>
      <c r="P16" s="1">
        <v>49.68</v>
      </c>
      <c r="Q16" s="1">
        <v>6.8</v>
      </c>
      <c r="R16" s="1">
        <v>3.33</v>
      </c>
      <c r="S16" s="1">
        <v>0</v>
      </c>
      <c r="T16" s="1">
        <v>0</v>
      </c>
      <c r="U16" s="1">
        <v>18723</v>
      </c>
      <c r="V16" s="1">
        <v>4000</v>
      </c>
      <c r="W16" s="8">
        <f t="shared" si="4"/>
        <v>74.89</v>
      </c>
      <c r="Y16" s="1">
        <v>5.4</v>
      </c>
      <c r="Z16" s="8">
        <f t="shared" si="5"/>
        <v>72.964500000000001</v>
      </c>
    </row>
    <row r="17" spans="1:26" x14ac:dyDescent="0.2">
      <c r="A17" s="44">
        <v>13</v>
      </c>
      <c r="B17" s="12" t="s">
        <v>102</v>
      </c>
      <c r="C17" s="25">
        <f t="shared" si="1"/>
        <v>63.53</v>
      </c>
      <c r="D17" s="25">
        <f t="shared" si="2"/>
        <v>157.88999999999999</v>
      </c>
      <c r="E17" s="25"/>
      <c r="F17" s="25"/>
      <c r="G17" s="25">
        <f t="shared" si="3"/>
        <v>221.42</v>
      </c>
      <c r="H17" s="37"/>
      <c r="I17" s="33"/>
      <c r="J17" s="35"/>
      <c r="K17" s="33">
        <f t="shared" si="0"/>
        <v>0</v>
      </c>
      <c r="L17" s="38"/>
      <c r="N17" s="1">
        <v>62.07</v>
      </c>
      <c r="O17" s="1">
        <v>1.46</v>
      </c>
      <c r="P17" s="1">
        <v>164.12</v>
      </c>
      <c r="Q17" s="1">
        <v>4.88</v>
      </c>
      <c r="R17" s="1">
        <v>0</v>
      </c>
      <c r="S17" s="1">
        <v>11.11</v>
      </c>
      <c r="T17" s="1">
        <v>0</v>
      </c>
      <c r="U17" s="1">
        <v>23333</v>
      </c>
      <c r="V17" s="1">
        <v>4000</v>
      </c>
      <c r="W17" s="8">
        <f t="shared" si="4"/>
        <v>93.33</v>
      </c>
      <c r="Y17" s="1">
        <v>5.4</v>
      </c>
      <c r="Z17" s="8">
        <f t="shared" si="5"/>
        <v>92.326499999999996</v>
      </c>
    </row>
    <row r="18" spans="1:26" x14ac:dyDescent="0.2">
      <c r="A18" s="44">
        <v>14</v>
      </c>
      <c r="B18" s="12" t="s">
        <v>103</v>
      </c>
      <c r="C18" s="25"/>
      <c r="D18" s="25"/>
      <c r="E18" s="25"/>
      <c r="F18" s="25">
        <f>SUM(N18:R18)-SUM(S18:T18)</f>
        <v>86.309999999999988</v>
      </c>
      <c r="G18" s="25">
        <f t="shared" si="3"/>
        <v>86.309999999999988</v>
      </c>
      <c r="H18" s="37"/>
      <c r="I18" s="33"/>
      <c r="J18" s="35"/>
      <c r="K18" s="33">
        <f t="shared" si="0"/>
        <v>0</v>
      </c>
      <c r="L18" s="38"/>
      <c r="M18" s="1" t="s">
        <v>67</v>
      </c>
      <c r="N18" s="1">
        <v>33.020000000000003</v>
      </c>
      <c r="O18" s="1">
        <v>0</v>
      </c>
      <c r="P18" s="1">
        <v>55.58</v>
      </c>
      <c r="Q18" s="1">
        <v>0</v>
      </c>
      <c r="R18" s="1">
        <v>0</v>
      </c>
      <c r="S18" s="1">
        <v>2.29</v>
      </c>
      <c r="T18" s="1">
        <v>0</v>
      </c>
      <c r="U18" s="1">
        <v>8495</v>
      </c>
      <c r="V18" s="1">
        <v>4000</v>
      </c>
      <c r="W18" s="8">
        <f t="shared" si="4"/>
        <v>33.979999999999997</v>
      </c>
      <c r="Z18" s="8">
        <f t="shared" si="5"/>
        <v>35.678999999999995</v>
      </c>
    </row>
    <row r="19" spans="1:26" x14ac:dyDescent="0.2">
      <c r="A19" s="44">
        <v>15</v>
      </c>
      <c r="B19" s="12" t="s">
        <v>104</v>
      </c>
      <c r="C19" s="25"/>
      <c r="D19" s="25"/>
      <c r="E19" s="25"/>
      <c r="F19" s="25">
        <f t="shared" ref="F19:F21" si="6">SUM(N19:R19)-SUM(S19:T19)</f>
        <v>113.91</v>
      </c>
      <c r="G19" s="25">
        <f t="shared" si="3"/>
        <v>113.91</v>
      </c>
      <c r="H19" s="37"/>
      <c r="I19" s="33"/>
      <c r="J19" s="35"/>
      <c r="K19" s="33">
        <f t="shared" si="0"/>
        <v>0</v>
      </c>
      <c r="L19" s="38"/>
      <c r="M19" s="1" t="s">
        <v>67</v>
      </c>
      <c r="N19" s="1">
        <v>8.08</v>
      </c>
      <c r="O19" s="1">
        <v>0</v>
      </c>
      <c r="P19" s="1">
        <v>108.12</v>
      </c>
      <c r="Q19" s="1">
        <v>0</v>
      </c>
      <c r="R19" s="1">
        <v>0</v>
      </c>
      <c r="S19" s="1">
        <v>2.29</v>
      </c>
      <c r="T19" s="1">
        <v>0</v>
      </c>
      <c r="U19" s="1">
        <v>4100</v>
      </c>
      <c r="V19" s="1">
        <v>4000</v>
      </c>
      <c r="W19" s="8">
        <f t="shared" si="4"/>
        <v>16.399999999999999</v>
      </c>
      <c r="Z19" s="8">
        <f t="shared" si="5"/>
        <v>17.22</v>
      </c>
    </row>
    <row r="20" spans="1:26" x14ac:dyDescent="0.2">
      <c r="A20" s="44">
        <v>16</v>
      </c>
      <c r="B20" s="12" t="s">
        <v>105</v>
      </c>
      <c r="C20" s="25"/>
      <c r="D20" s="25"/>
      <c r="E20" s="25"/>
      <c r="F20" s="25">
        <f t="shared" si="6"/>
        <v>36.11</v>
      </c>
      <c r="G20" s="25">
        <f t="shared" si="3"/>
        <v>36.11</v>
      </c>
      <c r="H20" s="37"/>
      <c r="I20" s="33"/>
      <c r="J20" s="35"/>
      <c r="K20" s="33">
        <f t="shared" si="0"/>
        <v>0</v>
      </c>
      <c r="L20" s="38"/>
      <c r="M20" s="1" t="s">
        <v>67</v>
      </c>
      <c r="N20" s="1">
        <v>3.12</v>
      </c>
      <c r="O20" s="1">
        <v>0</v>
      </c>
      <c r="P20" s="1">
        <v>35.28</v>
      </c>
      <c r="Q20" s="1">
        <v>0</v>
      </c>
      <c r="R20" s="1">
        <v>0</v>
      </c>
      <c r="S20" s="1">
        <v>2.29</v>
      </c>
      <c r="T20" s="1">
        <v>0</v>
      </c>
      <c r="U20" s="1">
        <v>9115</v>
      </c>
      <c r="V20" s="1">
        <v>4000</v>
      </c>
      <c r="W20" s="8">
        <f t="shared" si="4"/>
        <v>36.46</v>
      </c>
      <c r="Z20" s="8">
        <f t="shared" si="5"/>
        <v>38.283000000000001</v>
      </c>
    </row>
    <row r="21" spans="1:26" x14ac:dyDescent="0.2">
      <c r="A21" s="44">
        <v>17</v>
      </c>
      <c r="B21" s="12" t="s">
        <v>106</v>
      </c>
      <c r="C21" s="25"/>
      <c r="D21" s="25"/>
      <c r="E21" s="25"/>
      <c r="F21" s="25">
        <f t="shared" si="6"/>
        <v>25.16</v>
      </c>
      <c r="G21" s="25">
        <f t="shared" si="3"/>
        <v>25.16</v>
      </c>
      <c r="H21" s="37"/>
      <c r="I21" s="33"/>
      <c r="J21" s="35"/>
      <c r="K21" s="33">
        <f t="shared" si="0"/>
        <v>0</v>
      </c>
      <c r="L21" s="38"/>
      <c r="M21" s="1" t="s">
        <v>67</v>
      </c>
      <c r="N21" s="1">
        <v>4</v>
      </c>
      <c r="O21" s="1">
        <v>0</v>
      </c>
      <c r="P21" s="1">
        <v>25.06</v>
      </c>
      <c r="Q21" s="1">
        <v>0</v>
      </c>
      <c r="R21" s="1">
        <v>0</v>
      </c>
      <c r="S21" s="1">
        <v>1.95</v>
      </c>
      <c r="T21" s="1">
        <v>1.95</v>
      </c>
      <c r="U21" s="1">
        <v>68290</v>
      </c>
      <c r="V21" s="1">
        <v>4001</v>
      </c>
      <c r="W21" s="8">
        <f t="shared" si="4"/>
        <v>273.23</v>
      </c>
      <c r="Y21" s="1">
        <v>2.7</v>
      </c>
      <c r="Z21" s="8">
        <f t="shared" si="5"/>
        <v>284.05650000000003</v>
      </c>
    </row>
    <row r="22" spans="1:26" x14ac:dyDescent="0.2">
      <c r="A22" s="44">
        <v>18</v>
      </c>
      <c r="B22" s="12" t="s">
        <v>107</v>
      </c>
      <c r="C22" s="25">
        <f t="shared" ref="C22:C27" si="7">ROUND(N22+O22-T22, 2)</f>
        <v>78.069999999999993</v>
      </c>
      <c r="D22" s="25">
        <f t="shared" ref="D22:D27" si="8">ROUND(P22+Q22+R22-S22, 2)</f>
        <v>205.31</v>
      </c>
      <c r="E22" s="25"/>
      <c r="F22" s="25"/>
      <c r="G22" s="25">
        <f t="shared" si="3"/>
        <v>283.38</v>
      </c>
      <c r="H22" s="37"/>
      <c r="I22" s="33"/>
      <c r="J22" s="35"/>
      <c r="K22" s="33">
        <f t="shared" si="0"/>
        <v>0</v>
      </c>
      <c r="L22" s="38"/>
      <c r="N22" s="1">
        <v>76.3</v>
      </c>
      <c r="O22" s="1">
        <v>1.77</v>
      </c>
      <c r="P22" s="1">
        <v>195.71</v>
      </c>
      <c r="Q22" s="1">
        <v>5.9</v>
      </c>
      <c r="R22" s="1">
        <v>3.7</v>
      </c>
      <c r="S22" s="1">
        <v>0</v>
      </c>
      <c r="T22" s="1">
        <v>0</v>
      </c>
      <c r="U22" s="1">
        <v>107884</v>
      </c>
      <c r="V22" s="1">
        <v>4000</v>
      </c>
      <c r="W22" s="8">
        <f t="shared" si="4"/>
        <v>431.54</v>
      </c>
      <c r="Y22" s="1">
        <v>5.4</v>
      </c>
      <c r="Z22" s="8">
        <f t="shared" si="5"/>
        <v>447.44700000000006</v>
      </c>
    </row>
    <row r="23" spans="1:26" x14ac:dyDescent="0.2">
      <c r="A23" s="44">
        <v>19</v>
      </c>
      <c r="B23" s="12" t="s">
        <v>108</v>
      </c>
      <c r="C23" s="25">
        <f t="shared" si="7"/>
        <v>74.56</v>
      </c>
      <c r="D23" s="25">
        <f t="shared" si="8"/>
        <v>243.42</v>
      </c>
      <c r="E23" s="25"/>
      <c r="F23" s="25"/>
      <c r="G23" s="25">
        <f t="shared" si="3"/>
        <v>317.98</v>
      </c>
      <c r="H23" s="37"/>
      <c r="I23" s="33"/>
      <c r="J23" s="35"/>
      <c r="K23" s="33">
        <f t="shared" si="0"/>
        <v>0</v>
      </c>
      <c r="L23" s="38"/>
      <c r="N23" s="1">
        <v>79.260000000000005</v>
      </c>
      <c r="O23" s="1">
        <v>0.52</v>
      </c>
      <c r="P23" s="1">
        <v>249.17</v>
      </c>
      <c r="Q23" s="1">
        <v>1.73</v>
      </c>
      <c r="R23" s="1">
        <v>1.96</v>
      </c>
      <c r="S23" s="1">
        <v>9.44</v>
      </c>
      <c r="T23" s="1">
        <v>5.22</v>
      </c>
      <c r="U23" s="1">
        <v>12659</v>
      </c>
      <c r="V23" s="1">
        <v>4000</v>
      </c>
      <c r="W23" s="8">
        <f t="shared" si="4"/>
        <v>50.64</v>
      </c>
      <c r="Z23" s="8">
        <f t="shared" si="5"/>
        <v>53.171999999999997</v>
      </c>
    </row>
    <row r="24" spans="1:26" x14ac:dyDescent="0.2">
      <c r="A24" s="44">
        <v>20</v>
      </c>
      <c r="B24" s="12" t="s">
        <v>109</v>
      </c>
      <c r="C24" s="25">
        <f t="shared" si="7"/>
        <v>37.6</v>
      </c>
      <c r="D24" s="25">
        <f t="shared" si="8"/>
        <v>48.09</v>
      </c>
      <c r="E24" s="25"/>
      <c r="F24" s="25"/>
      <c r="G24" s="25">
        <f t="shared" si="3"/>
        <v>85.69</v>
      </c>
      <c r="H24" s="37"/>
      <c r="I24" s="33"/>
      <c r="J24" s="35"/>
      <c r="K24" s="33">
        <f t="shared" si="0"/>
        <v>0</v>
      </c>
      <c r="L24" s="38"/>
      <c r="N24" s="1">
        <v>37.6</v>
      </c>
      <c r="O24" s="1">
        <v>0</v>
      </c>
      <c r="P24" s="1">
        <v>50.4</v>
      </c>
      <c r="Q24" s="1">
        <v>0</v>
      </c>
      <c r="R24" s="1">
        <v>0</v>
      </c>
      <c r="S24" s="1">
        <v>2.31</v>
      </c>
      <c r="T24" s="1">
        <v>0</v>
      </c>
      <c r="U24" s="1">
        <v>7290</v>
      </c>
      <c r="V24" s="1">
        <v>4000</v>
      </c>
      <c r="W24" s="8">
        <f t="shared" si="4"/>
        <v>29.16</v>
      </c>
      <c r="Z24" s="8">
        <f t="shared" si="5"/>
        <v>30.618000000000002</v>
      </c>
    </row>
    <row r="25" spans="1:26" x14ac:dyDescent="0.2">
      <c r="A25" s="44">
        <v>21</v>
      </c>
      <c r="B25" s="12" t="s">
        <v>121</v>
      </c>
      <c r="C25" s="25">
        <f t="shared" si="7"/>
        <v>69.510000000000005</v>
      </c>
      <c r="D25" s="25">
        <f t="shared" si="8"/>
        <v>95.88</v>
      </c>
      <c r="E25" s="25"/>
      <c r="F25" s="25"/>
      <c r="G25" s="25">
        <f t="shared" si="3"/>
        <v>165.39</v>
      </c>
      <c r="H25" s="37"/>
      <c r="I25" s="33"/>
      <c r="J25" s="35"/>
      <c r="K25" s="33">
        <f t="shared" si="0"/>
        <v>0</v>
      </c>
      <c r="L25" s="38"/>
      <c r="N25" s="1">
        <v>66.959999999999994</v>
      </c>
      <c r="O25" s="1">
        <v>2.5499999999999998</v>
      </c>
      <c r="P25" s="1">
        <v>89.69</v>
      </c>
      <c r="Q25" s="1">
        <v>8.5</v>
      </c>
      <c r="R25" s="1">
        <v>0</v>
      </c>
      <c r="S25" s="1">
        <v>2.31</v>
      </c>
      <c r="T25" s="1">
        <v>0</v>
      </c>
      <c r="U25" s="1">
        <v>8867</v>
      </c>
      <c r="V25" s="1">
        <v>4000</v>
      </c>
      <c r="W25" s="8">
        <f t="shared" si="4"/>
        <v>35.47</v>
      </c>
      <c r="Z25" s="8">
        <f t="shared" si="5"/>
        <v>37.243499999999997</v>
      </c>
    </row>
    <row r="26" spans="1:26" x14ac:dyDescent="0.2">
      <c r="A26" s="44">
        <v>22</v>
      </c>
      <c r="B26" s="12" t="s">
        <v>122</v>
      </c>
      <c r="C26" s="25"/>
      <c r="D26" s="25"/>
      <c r="E26" s="25">
        <f>SUM(N26:R26)-SUM(S26:T26)</f>
        <v>38.590000000000003</v>
      </c>
      <c r="F26" s="25"/>
      <c r="G26" s="25">
        <f t="shared" si="3"/>
        <v>38.590000000000003</v>
      </c>
      <c r="H26" s="37"/>
      <c r="I26" s="33"/>
      <c r="J26" s="35"/>
      <c r="K26" s="33">
        <f t="shared" si="0"/>
        <v>0</v>
      </c>
      <c r="L26" s="38"/>
      <c r="M26" s="1" t="s">
        <v>68</v>
      </c>
      <c r="N26" s="1">
        <v>0</v>
      </c>
      <c r="O26" s="1">
        <v>0</v>
      </c>
      <c r="P26" s="1">
        <v>40.880000000000003</v>
      </c>
      <c r="Q26" s="1">
        <v>0</v>
      </c>
      <c r="R26" s="1">
        <v>0</v>
      </c>
      <c r="S26" s="1">
        <v>2.29</v>
      </c>
      <c r="T26" s="1">
        <v>0</v>
      </c>
      <c r="U26" s="1">
        <v>12084</v>
      </c>
      <c r="V26" s="1">
        <v>4000</v>
      </c>
      <c r="W26" s="8">
        <f t="shared" si="4"/>
        <v>48.34</v>
      </c>
      <c r="Z26" s="8">
        <f t="shared" si="5"/>
        <v>50.757000000000005</v>
      </c>
    </row>
    <row r="27" spans="1:26" x14ac:dyDescent="0.2">
      <c r="A27" s="44">
        <v>23</v>
      </c>
      <c r="B27" s="12" t="s">
        <v>123</v>
      </c>
      <c r="C27" s="25">
        <f t="shared" si="7"/>
        <v>13.56</v>
      </c>
      <c r="D27" s="25">
        <f t="shared" si="8"/>
        <v>48.85</v>
      </c>
      <c r="E27" s="25"/>
      <c r="F27" s="25"/>
      <c r="G27" s="25">
        <f t="shared" si="3"/>
        <v>62.410000000000004</v>
      </c>
      <c r="H27" s="37"/>
      <c r="I27" s="33"/>
      <c r="J27" s="35"/>
      <c r="K27" s="33">
        <f t="shared" si="0"/>
        <v>0</v>
      </c>
      <c r="L27" s="38"/>
      <c r="M27" s="1" t="s">
        <v>68</v>
      </c>
      <c r="N27" s="1">
        <v>13.56</v>
      </c>
      <c r="O27" s="1">
        <v>0</v>
      </c>
      <c r="P27" s="1">
        <v>52</v>
      </c>
      <c r="Q27" s="1">
        <v>0</v>
      </c>
      <c r="R27" s="1">
        <v>0</v>
      </c>
      <c r="S27" s="1">
        <v>3.15</v>
      </c>
      <c r="T27" s="1">
        <v>0</v>
      </c>
      <c r="U27" s="1">
        <f>5400+3590+2000</f>
        <v>10990</v>
      </c>
      <c r="V27" s="1">
        <v>4000</v>
      </c>
      <c r="W27" s="8">
        <f t="shared" si="4"/>
        <v>43.96</v>
      </c>
      <c r="Z27" s="8">
        <f t="shared" si="5"/>
        <v>46.158000000000001</v>
      </c>
    </row>
    <row r="28" spans="1:26" x14ac:dyDescent="0.2">
      <c r="A28" s="28"/>
      <c r="B28" s="28" t="s">
        <v>19</v>
      </c>
      <c r="C28" s="25">
        <f>SUM(C5:C27)</f>
        <v>840.60999999999979</v>
      </c>
      <c r="D28" s="25">
        <f>SUM(D5:D27)</f>
        <v>1864.9899999999998</v>
      </c>
      <c r="E28" s="25">
        <f>SUM(E5:E27)</f>
        <v>38.590000000000003</v>
      </c>
      <c r="F28" s="25">
        <f>SUM(F5:F27)</f>
        <v>261.49</v>
      </c>
      <c r="G28" s="25">
        <f>SUM(G5:G27)</f>
        <v>3005.68</v>
      </c>
      <c r="H28" s="37"/>
      <c r="I28" s="33"/>
      <c r="J28" s="35"/>
      <c r="K28" s="33"/>
      <c r="L28" s="38"/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6"/>
  <sheetViews>
    <sheetView zoomScaleNormal="100" workbookViewId="0">
      <selection activeCell="F22" sqref="C22:F22"/>
    </sheetView>
  </sheetViews>
  <sheetFormatPr defaultRowHeight="12.75" x14ac:dyDescent="0.2"/>
  <cols>
    <col min="1" max="1" width="7.5703125" style="10" customWidth="1"/>
    <col min="2" max="2" width="50.28515625" style="7" customWidth="1"/>
    <col min="3" max="3" width="9.140625" style="10" customWidth="1"/>
    <col min="4" max="4" width="14.5703125" style="23" customWidth="1"/>
    <col min="5" max="5" width="8.85546875" style="26" customWidth="1"/>
    <col min="6" max="16384" width="9.140625" style="1"/>
  </cols>
  <sheetData>
    <row r="1" spans="1:5" x14ac:dyDescent="0.2">
      <c r="A1" s="16"/>
      <c r="B1" s="17" t="s">
        <v>70</v>
      </c>
      <c r="C1" s="11"/>
      <c r="D1" s="22"/>
      <c r="E1" s="24"/>
    </row>
    <row r="2" spans="1:5" ht="13.5" thickBot="1" x14ac:dyDescent="0.25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">
      <c r="A3" s="63" t="s">
        <v>11</v>
      </c>
      <c r="B3" s="71" t="s">
        <v>71</v>
      </c>
      <c r="C3" s="65" t="s">
        <v>9</v>
      </c>
      <c r="D3" s="54">
        <v>1</v>
      </c>
      <c r="E3" s="55">
        <v>3167.2299999999996</v>
      </c>
    </row>
    <row r="4" spans="1:5" x14ac:dyDescent="0.2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950.16899999999987</v>
      </c>
    </row>
    <row r="5" spans="1:5" ht="13.5" thickBot="1" x14ac:dyDescent="0.25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3483.953</v>
      </c>
    </row>
    <row r="6" spans="1:5" ht="38.25" x14ac:dyDescent="0.2">
      <c r="A6" s="63" t="s">
        <v>12</v>
      </c>
      <c r="B6" s="71" t="s">
        <v>81</v>
      </c>
      <c r="C6" s="65" t="s">
        <v>82</v>
      </c>
      <c r="D6" s="54">
        <v>1</v>
      </c>
      <c r="E6" s="55">
        <f>сп1.2.3эт!C22</f>
        <v>235.59000000000003</v>
      </c>
    </row>
    <row r="7" spans="1:5" x14ac:dyDescent="0.2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7067.7235590000018</v>
      </c>
    </row>
    <row r="8" spans="1:5" x14ac:dyDescent="0.2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259.14900000000006</v>
      </c>
    </row>
    <row r="9" spans="1:5" x14ac:dyDescent="0.2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235.59000000000003</v>
      </c>
    </row>
    <row r="10" spans="1:5" ht="13.5" thickBot="1" x14ac:dyDescent="0.25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58.897500000000008</v>
      </c>
    </row>
    <row r="11" spans="1:5" ht="38.25" x14ac:dyDescent="0.2">
      <c r="A11" s="63" t="s">
        <v>75</v>
      </c>
      <c r="B11" s="64" t="s">
        <v>83</v>
      </c>
      <c r="C11" s="65" t="s">
        <v>82</v>
      </c>
      <c r="D11" s="54">
        <v>1</v>
      </c>
      <c r="E11" s="55">
        <f>сп1.2.3эт!E22</f>
        <v>124.25</v>
      </c>
    </row>
    <row r="12" spans="1:5" x14ac:dyDescent="0.2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31.0625</v>
      </c>
    </row>
    <row r="13" spans="1:5" x14ac:dyDescent="0.2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124.25</v>
      </c>
    </row>
    <row r="14" spans="1:5" x14ac:dyDescent="0.2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136.67500000000001</v>
      </c>
    </row>
    <row r="15" spans="1:5" ht="13.5" thickBot="1" x14ac:dyDescent="0.25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3727.5124250000003</v>
      </c>
    </row>
    <row r="16" spans="1:5" ht="38.25" x14ac:dyDescent="0.2">
      <c r="A16" s="63" t="s">
        <v>87</v>
      </c>
      <c r="B16" s="64" t="s">
        <v>84</v>
      </c>
      <c r="C16" s="65" t="s">
        <v>82</v>
      </c>
      <c r="D16" s="54">
        <v>1</v>
      </c>
      <c r="E16" s="55">
        <f>сп1.2.3эт!F22</f>
        <v>225.55</v>
      </c>
    </row>
    <row r="17" spans="1:5" x14ac:dyDescent="0.2">
      <c r="A17" s="56">
        <v>4.0999999999999996</v>
      </c>
      <c r="B17" s="21" t="s">
        <v>6</v>
      </c>
      <c r="C17" s="72" t="s">
        <v>10</v>
      </c>
      <c r="D17" s="9">
        <v>1.3</v>
      </c>
      <c r="E17" s="57">
        <f>E16*D17*23.077</f>
        <v>6766.5225550000014</v>
      </c>
    </row>
    <row r="18" spans="1:5" x14ac:dyDescent="0.2">
      <c r="A18" s="56">
        <v>4.2</v>
      </c>
      <c r="B18" s="21" t="s">
        <v>113</v>
      </c>
      <c r="C18" s="72" t="s">
        <v>82</v>
      </c>
      <c r="D18" s="9">
        <v>1.1000000000000001</v>
      </c>
      <c r="E18" s="57">
        <f>E16*D18</f>
        <v>248.10500000000005</v>
      </c>
    </row>
    <row r="19" spans="1:5" x14ac:dyDescent="0.2">
      <c r="A19" s="56">
        <v>4.3</v>
      </c>
      <c r="B19" s="21" t="s">
        <v>80</v>
      </c>
      <c r="C19" s="72" t="s">
        <v>9</v>
      </c>
      <c r="D19" s="9">
        <v>1</v>
      </c>
      <c r="E19" s="57">
        <f>E16*D19</f>
        <v>225.55</v>
      </c>
    </row>
    <row r="20" spans="1:5" ht="13.5" thickBot="1" x14ac:dyDescent="0.25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56.387500000000003</v>
      </c>
    </row>
    <row r="21" spans="1:5" ht="38.25" x14ac:dyDescent="0.2">
      <c r="A21" s="51">
        <v>5</v>
      </c>
      <c r="B21" s="52" t="s">
        <v>85</v>
      </c>
      <c r="C21" s="53" t="s">
        <v>82</v>
      </c>
      <c r="D21" s="54">
        <v>1</v>
      </c>
      <c r="E21" s="55">
        <f>сп1.2.3эт!D22</f>
        <v>1208.07</v>
      </c>
    </row>
    <row r="22" spans="1:5" x14ac:dyDescent="0.2">
      <c r="A22" s="56">
        <v>5.0999999999999996</v>
      </c>
      <c r="B22" s="21" t="s">
        <v>17</v>
      </c>
      <c r="C22" s="72" t="s">
        <v>10</v>
      </c>
      <c r="D22" s="9">
        <v>0.15</v>
      </c>
      <c r="E22" s="57">
        <f>E21*D22</f>
        <v>181.2105</v>
      </c>
    </row>
    <row r="23" spans="1:5" x14ac:dyDescent="0.2">
      <c r="A23" s="56">
        <v>5.2</v>
      </c>
      <c r="B23" s="21" t="s">
        <v>80</v>
      </c>
      <c r="C23" s="72" t="s">
        <v>9</v>
      </c>
      <c r="D23" s="9">
        <v>1</v>
      </c>
      <c r="E23" s="57">
        <f>E21*D23</f>
        <v>1208.07</v>
      </c>
    </row>
    <row r="24" spans="1:5" x14ac:dyDescent="0.2">
      <c r="A24" s="56">
        <v>5.3</v>
      </c>
      <c r="B24" s="21" t="s">
        <v>113</v>
      </c>
      <c r="C24" s="72" t="s">
        <v>82</v>
      </c>
      <c r="D24" s="9">
        <v>1.1000000000000001</v>
      </c>
      <c r="E24" s="57">
        <f>E21*D24</f>
        <v>1328.877</v>
      </c>
    </row>
    <row r="25" spans="1:5" x14ac:dyDescent="0.2">
      <c r="A25" s="56">
        <v>5.4</v>
      </c>
      <c r="B25" s="21" t="s">
        <v>6</v>
      </c>
      <c r="C25" s="72" t="s">
        <v>10</v>
      </c>
      <c r="D25" s="9">
        <v>1.3</v>
      </c>
      <c r="E25" s="57">
        <f>E21*D25*23.077</f>
        <v>36242.220807000005</v>
      </c>
    </row>
    <row r="26" spans="1:5" ht="13.5" thickBot="1" x14ac:dyDescent="0.25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G22"/>
  <sheetViews>
    <sheetView zoomScale="130" zoomScaleNormal="130" workbookViewId="0">
      <selection activeCell="F22" sqref="C22:F22"/>
    </sheetView>
  </sheetViews>
  <sheetFormatPr defaultRowHeight="12.75" x14ac:dyDescent="0.2"/>
  <cols>
    <col min="1" max="1" width="7" style="10" customWidth="1"/>
    <col min="2" max="2" width="11.140625" style="10" customWidth="1"/>
    <col min="3" max="6" width="8.7109375" style="10" customWidth="1"/>
    <col min="7" max="7" width="8.7109375" style="27" customWidth="1"/>
    <col min="8" max="16384" width="9.140625" style="1"/>
  </cols>
  <sheetData>
    <row r="1" spans="1:7" x14ac:dyDescent="0.2">
      <c r="A1" s="140" t="s">
        <v>2</v>
      </c>
      <c r="B1" s="140"/>
      <c r="C1" s="140"/>
      <c r="D1" s="140"/>
      <c r="E1" s="140"/>
      <c r="F1" s="140"/>
      <c r="G1" s="140"/>
    </row>
    <row r="2" spans="1:7" x14ac:dyDescent="0.2">
      <c r="A2" s="141" t="s">
        <v>64</v>
      </c>
      <c r="B2" s="141"/>
      <c r="C2" s="141"/>
      <c r="D2" s="141"/>
      <c r="E2" s="141"/>
      <c r="F2" s="141"/>
      <c r="G2" s="141"/>
    </row>
    <row r="3" spans="1:7" ht="25.5" x14ac:dyDescent="0.2">
      <c r="A3" s="72"/>
      <c r="B3" s="12"/>
      <c r="C3" s="6" t="s">
        <v>65</v>
      </c>
      <c r="D3" s="73" t="s">
        <v>69</v>
      </c>
      <c r="E3" s="73" t="s">
        <v>68</v>
      </c>
      <c r="F3" s="73" t="s">
        <v>67</v>
      </c>
      <c r="G3" s="15" t="s">
        <v>3</v>
      </c>
    </row>
    <row r="4" spans="1:7" x14ac:dyDescent="0.2">
      <c r="A4" s="7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</row>
    <row r="5" spans="1:7" x14ac:dyDescent="0.2">
      <c r="A5" s="72">
        <v>1</v>
      </c>
      <c r="B5" s="12" t="s">
        <v>125</v>
      </c>
      <c r="C5" s="25"/>
      <c r="D5" s="25"/>
      <c r="E5" s="25"/>
      <c r="F5" s="25">
        <v>75.790000000000006</v>
      </c>
      <c r="G5" s="25">
        <f>SUM(C5:F5)</f>
        <v>75.790000000000006</v>
      </c>
    </row>
    <row r="6" spans="1:7" x14ac:dyDescent="0.2">
      <c r="A6" s="74">
        <v>2</v>
      </c>
      <c r="B6" s="12" t="s">
        <v>126</v>
      </c>
      <c r="C6" s="25"/>
      <c r="D6" s="25"/>
      <c r="E6" s="25"/>
      <c r="F6" s="25">
        <v>93.93</v>
      </c>
      <c r="G6" s="25">
        <f t="shared" ref="G6:G21" si="0">SUM(C6:F6)</f>
        <v>93.93</v>
      </c>
    </row>
    <row r="7" spans="1:7" x14ac:dyDescent="0.2">
      <c r="A7" s="74">
        <v>3</v>
      </c>
      <c r="B7" s="12" t="s">
        <v>127</v>
      </c>
      <c r="C7" s="25"/>
      <c r="D7" s="25"/>
      <c r="E7" s="25"/>
      <c r="F7" s="25">
        <v>34.979999999999997</v>
      </c>
      <c r="G7" s="25">
        <f t="shared" si="0"/>
        <v>34.979999999999997</v>
      </c>
    </row>
    <row r="8" spans="1:7" x14ac:dyDescent="0.2">
      <c r="A8" s="74">
        <v>4</v>
      </c>
      <c r="B8" s="12" t="s">
        <v>124</v>
      </c>
      <c r="C8" s="25"/>
      <c r="D8" s="25"/>
      <c r="E8" s="25"/>
      <c r="F8" s="25">
        <v>20.85</v>
      </c>
      <c r="G8" s="25">
        <f t="shared" si="0"/>
        <v>20.85</v>
      </c>
    </row>
    <row r="9" spans="1:7" x14ac:dyDescent="0.2">
      <c r="A9" s="74">
        <v>5</v>
      </c>
      <c r="B9" s="12" t="s">
        <v>128</v>
      </c>
      <c r="C9" s="25"/>
      <c r="D9" s="25"/>
      <c r="E9" s="25">
        <v>38.89</v>
      </c>
      <c r="F9" s="25"/>
      <c r="G9" s="25">
        <f t="shared" si="0"/>
        <v>38.89</v>
      </c>
    </row>
    <row r="10" spans="1:7" x14ac:dyDescent="0.2">
      <c r="A10" s="74">
        <v>6</v>
      </c>
      <c r="B10" s="12" t="s">
        <v>130</v>
      </c>
      <c r="C10" s="25">
        <v>1.89</v>
      </c>
      <c r="D10" s="25">
        <v>83.51</v>
      </c>
      <c r="E10" s="25"/>
      <c r="F10" s="25"/>
      <c r="G10" s="25">
        <f t="shared" si="0"/>
        <v>85.4</v>
      </c>
    </row>
    <row r="11" spans="1:7" x14ac:dyDescent="0.2">
      <c r="A11" s="74">
        <v>7</v>
      </c>
      <c r="B11" s="12" t="s">
        <v>131</v>
      </c>
      <c r="C11" s="25">
        <v>1.63</v>
      </c>
      <c r="D11" s="25">
        <v>87.22</v>
      </c>
      <c r="E11" s="25"/>
      <c r="F11" s="25"/>
      <c r="G11" s="25">
        <f t="shared" si="0"/>
        <v>88.85</v>
      </c>
    </row>
    <row r="12" spans="1:7" x14ac:dyDescent="0.2">
      <c r="A12" s="74">
        <v>8</v>
      </c>
      <c r="B12" s="12" t="s">
        <v>132</v>
      </c>
      <c r="C12" s="25">
        <v>66.650000000000006</v>
      </c>
      <c r="D12" s="25">
        <v>161.4</v>
      </c>
      <c r="E12" s="25"/>
      <c r="F12" s="25"/>
      <c r="G12" s="25">
        <f t="shared" si="0"/>
        <v>228.05</v>
      </c>
    </row>
    <row r="13" spans="1:7" x14ac:dyDescent="0.2">
      <c r="A13" s="74">
        <v>9</v>
      </c>
      <c r="B13" s="12" t="s">
        <v>133</v>
      </c>
      <c r="C13" s="25">
        <v>69.88</v>
      </c>
      <c r="D13" s="25">
        <v>357.36</v>
      </c>
      <c r="E13" s="25"/>
      <c r="F13" s="25"/>
      <c r="G13" s="25">
        <f t="shared" si="0"/>
        <v>427.24</v>
      </c>
    </row>
    <row r="14" spans="1:7" x14ac:dyDescent="0.2">
      <c r="A14" s="74">
        <v>10</v>
      </c>
      <c r="B14" s="12" t="s">
        <v>134</v>
      </c>
      <c r="C14" s="25">
        <v>36.6</v>
      </c>
      <c r="D14" s="25">
        <v>41.25</v>
      </c>
      <c r="E14" s="25"/>
      <c r="F14" s="25"/>
      <c r="G14" s="25">
        <f t="shared" si="0"/>
        <v>77.849999999999994</v>
      </c>
    </row>
    <row r="15" spans="1:7" x14ac:dyDescent="0.2">
      <c r="A15" s="74">
        <v>11</v>
      </c>
      <c r="B15" s="12" t="s">
        <v>135</v>
      </c>
      <c r="C15" s="25">
        <v>32.200000000000003</v>
      </c>
      <c r="D15" s="25">
        <v>287.72000000000003</v>
      </c>
      <c r="E15" s="25"/>
      <c r="F15" s="25"/>
      <c r="G15" s="25">
        <f t="shared" si="0"/>
        <v>319.92</v>
      </c>
    </row>
    <row r="16" spans="1:7" x14ac:dyDescent="0.2">
      <c r="A16" s="74">
        <v>12</v>
      </c>
      <c r="B16" s="12" t="s">
        <v>136</v>
      </c>
      <c r="C16" s="25">
        <v>1.02</v>
      </c>
      <c r="D16" s="25">
        <v>82.31</v>
      </c>
      <c r="E16" s="25"/>
      <c r="F16" s="25"/>
      <c r="G16" s="25">
        <f t="shared" si="0"/>
        <v>83.33</v>
      </c>
    </row>
    <row r="17" spans="1:7" x14ac:dyDescent="0.2">
      <c r="A17" s="74">
        <v>13</v>
      </c>
      <c r="B17" s="12" t="s">
        <v>50</v>
      </c>
      <c r="C17" s="25"/>
      <c r="D17" s="25"/>
      <c r="E17" s="25">
        <v>28.81</v>
      </c>
      <c r="F17" s="25"/>
      <c r="G17" s="25">
        <f t="shared" si="0"/>
        <v>28.81</v>
      </c>
    </row>
    <row r="18" spans="1:7" x14ac:dyDescent="0.2">
      <c r="A18" s="74">
        <v>14</v>
      </c>
      <c r="B18" s="12" t="s">
        <v>51</v>
      </c>
      <c r="C18" s="25"/>
      <c r="D18" s="25"/>
      <c r="E18" s="25">
        <v>28.19</v>
      </c>
      <c r="F18" s="25"/>
      <c r="G18" s="25">
        <f t="shared" si="0"/>
        <v>28.19</v>
      </c>
    </row>
    <row r="19" spans="1:7" x14ac:dyDescent="0.2">
      <c r="A19" s="74">
        <v>15</v>
      </c>
      <c r="B19" s="12" t="s">
        <v>55</v>
      </c>
      <c r="C19" s="25"/>
      <c r="D19" s="25"/>
      <c r="E19" s="25">
        <v>28.36</v>
      </c>
      <c r="F19" s="25"/>
      <c r="G19" s="25">
        <f t="shared" si="0"/>
        <v>28.36</v>
      </c>
    </row>
    <row r="20" spans="1:7" x14ac:dyDescent="0.2">
      <c r="A20" s="74">
        <v>16</v>
      </c>
      <c r="B20" s="12" t="s">
        <v>137</v>
      </c>
      <c r="C20" s="25">
        <v>24.7</v>
      </c>
      <c r="D20" s="25">
        <v>53.51</v>
      </c>
      <c r="E20" s="25"/>
      <c r="F20" s="25"/>
      <c r="G20" s="25">
        <f t="shared" si="0"/>
        <v>78.209999999999994</v>
      </c>
    </row>
    <row r="21" spans="1:7" x14ac:dyDescent="0.2">
      <c r="A21" s="74">
        <v>17</v>
      </c>
      <c r="B21" s="12" t="s">
        <v>138</v>
      </c>
      <c r="C21" s="25">
        <v>1.02</v>
      </c>
      <c r="D21" s="25">
        <v>53.79</v>
      </c>
      <c r="E21" s="25"/>
      <c r="F21" s="25"/>
      <c r="G21" s="25">
        <f t="shared" si="0"/>
        <v>54.81</v>
      </c>
    </row>
    <row r="22" spans="1:7" x14ac:dyDescent="0.2">
      <c r="A22" s="72"/>
      <c r="B22" s="72" t="s">
        <v>19</v>
      </c>
      <c r="C22" s="25">
        <f>SUM(C5:C21)</f>
        <v>235.59000000000003</v>
      </c>
      <c r="D22" s="25">
        <f>SUM(D5:D21)</f>
        <v>1208.07</v>
      </c>
      <c r="E22" s="25">
        <f>SUM(E5:E21)</f>
        <v>124.25</v>
      </c>
      <c r="F22" s="25">
        <f>SUM(F5:F21)</f>
        <v>225.55</v>
      </c>
      <c r="G22" s="25">
        <f>SUM(G5:G21)</f>
        <v>1793.4599999999998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F22" sqref="C22:F22"/>
    </sheetView>
  </sheetViews>
  <sheetFormatPr defaultRowHeight="15" x14ac:dyDescent="0.25"/>
  <sheetData>
    <row r="1" spans="1:4" x14ac:dyDescent="0.25">
      <c r="A1" t="s">
        <v>140</v>
      </c>
      <c r="B1" t="s">
        <v>139</v>
      </c>
      <c r="C1" t="s">
        <v>142</v>
      </c>
      <c r="D1" t="s">
        <v>143</v>
      </c>
    </row>
    <row r="2" spans="1:4" x14ac:dyDescent="0.25">
      <c r="A2">
        <v>1</v>
      </c>
      <c r="B2" s="76">
        <v>544.88</v>
      </c>
      <c r="C2" s="76">
        <v>528.22</v>
      </c>
      <c r="D2" s="76">
        <v>563.80999999999995</v>
      </c>
    </row>
    <row r="3" spans="1:4" x14ac:dyDescent="0.25">
      <c r="B3" s="76"/>
      <c r="C3" s="76"/>
      <c r="D3" s="76"/>
    </row>
    <row r="4" spans="1:4" x14ac:dyDescent="0.25">
      <c r="A4">
        <v>4.0999999999999996</v>
      </c>
      <c r="B4" s="76">
        <v>492.07</v>
      </c>
      <c r="C4" s="76">
        <v>542.94000000000005</v>
      </c>
      <c r="D4" s="76">
        <v>303.39999999999998</v>
      </c>
    </row>
    <row r="5" spans="1:4" x14ac:dyDescent="0.25">
      <c r="A5" t="s">
        <v>129</v>
      </c>
      <c r="B5" s="77">
        <f>B4+B2</f>
        <v>1036.95</v>
      </c>
      <c r="C5" s="77">
        <f>C4+C2</f>
        <v>1071.1600000000001</v>
      </c>
      <c r="D5" s="77">
        <f>D4+D2</f>
        <v>867.20999999999992</v>
      </c>
    </row>
    <row r="6" spans="1:4" x14ac:dyDescent="0.25">
      <c r="B6" s="75"/>
      <c r="C6" s="75"/>
      <c r="D6" s="75"/>
    </row>
    <row r="7" spans="1:4" x14ac:dyDescent="0.25">
      <c r="A7" t="s">
        <v>144</v>
      </c>
      <c r="B7" s="75">
        <f>991.77</f>
        <v>991.77</v>
      </c>
      <c r="C7" s="75">
        <f>'ВОР 2 э. шт.'!E6</f>
        <v>907.35119999999995</v>
      </c>
      <c r="D7" s="75">
        <f>'ВОР 3 э. шт.'!E6</f>
        <v>840.60999999999979</v>
      </c>
    </row>
    <row r="8" spans="1:4" x14ac:dyDescent="0.25">
      <c r="B8" s="75">
        <f>B5-B7</f>
        <v>45.180000000000064</v>
      </c>
      <c r="C8" s="75">
        <f t="shared" ref="C8" si="0">C5-C7</f>
        <v>163.80880000000013</v>
      </c>
      <c r="D8" s="75">
        <f t="shared" ref="D8" si="1">D5-D7</f>
        <v>26.600000000000136</v>
      </c>
    </row>
    <row r="9" spans="1:4" x14ac:dyDescent="0.25">
      <c r="A9" t="s">
        <v>141</v>
      </c>
    </row>
    <row r="10" spans="1:4" x14ac:dyDescent="0.25">
      <c r="A10">
        <v>1</v>
      </c>
      <c r="B10" s="76">
        <v>771.83</v>
      </c>
      <c r="C10" s="76">
        <v>972.84</v>
      </c>
      <c r="D10" s="76">
        <v>1176.67</v>
      </c>
    </row>
    <row r="11" spans="1:4" x14ac:dyDescent="0.25">
      <c r="B11" s="76"/>
      <c r="C11" s="76"/>
      <c r="D11" s="76"/>
    </row>
    <row r="12" spans="1:4" x14ac:dyDescent="0.25">
      <c r="A12">
        <v>4.0999999999999996</v>
      </c>
      <c r="B12" s="76">
        <v>927.42</v>
      </c>
      <c r="C12" s="76">
        <v>1669.68</v>
      </c>
      <c r="D12" s="76">
        <v>707.8</v>
      </c>
    </row>
    <row r="13" spans="1:4" x14ac:dyDescent="0.25">
      <c r="A13" t="s">
        <v>129</v>
      </c>
      <c r="B13" s="77">
        <f>B12+B10</f>
        <v>1699.25</v>
      </c>
      <c r="C13" s="77">
        <f>C12+C10</f>
        <v>2642.52</v>
      </c>
      <c r="D13" s="77">
        <f>D12+D10</f>
        <v>1884.47</v>
      </c>
    </row>
    <row r="15" spans="1:4" x14ac:dyDescent="0.25">
      <c r="A15" t="s">
        <v>144</v>
      </c>
      <c r="B15">
        <f>1615</f>
        <v>1615</v>
      </c>
      <c r="C15" s="75">
        <f>'ВОР 2 э. шт.'!E21</f>
        <v>1761.3287999999998</v>
      </c>
      <c r="D15" s="75">
        <f>'ВОР 3 э. шт.'!E21</f>
        <v>1864.9899999999998</v>
      </c>
    </row>
    <row r="16" spans="1:4" x14ac:dyDescent="0.25">
      <c r="B16" s="75">
        <f>B13-B15</f>
        <v>84.25</v>
      </c>
      <c r="C16" s="75">
        <f t="shared" ref="C16:D16" si="2">C13-C15</f>
        <v>881.19120000000021</v>
      </c>
      <c r="D16" s="75">
        <f t="shared" si="2"/>
        <v>19.480000000000246</v>
      </c>
    </row>
    <row r="21" spans="3:5" ht="15.75" thickBot="1" x14ac:dyDescent="0.3"/>
    <row r="22" spans="3:5" x14ac:dyDescent="0.25">
      <c r="C22" s="55">
        <f>(1432.33)/100 * 71</f>
        <v>1016.9543</v>
      </c>
      <c r="D22" s="55">
        <f>(2736)/100 * 71</f>
        <v>1942.56</v>
      </c>
      <c r="E22" s="75">
        <f>3617-D22-C22</f>
        <v>657.48570000000007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AD93"/>
  <sheetViews>
    <sheetView topLeftCell="A68" zoomScale="70" zoomScaleNormal="70" workbookViewId="0">
      <selection activeCell="A87" sqref="A87:H87"/>
    </sheetView>
  </sheetViews>
  <sheetFormatPr defaultRowHeight="15.75" x14ac:dyDescent="0.25"/>
  <cols>
    <col min="1" max="2" width="9.140625" style="78"/>
    <col min="3" max="3" width="11.5703125" style="78" customWidth="1"/>
    <col min="4" max="7" width="10.5703125" style="78" customWidth="1"/>
    <col min="8" max="16384" width="9.140625" style="78"/>
  </cols>
  <sheetData>
    <row r="1" spans="1:30" x14ac:dyDescent="0.25">
      <c r="A1" s="142" t="s">
        <v>2</v>
      </c>
      <c r="B1" s="142"/>
      <c r="C1" s="142"/>
      <c r="D1" s="142"/>
      <c r="E1" s="142"/>
      <c r="F1" s="142"/>
      <c r="G1" s="142"/>
    </row>
    <row r="2" spans="1:30" x14ac:dyDescent="0.25">
      <c r="A2" s="79"/>
      <c r="B2" s="79"/>
      <c r="C2" s="94"/>
      <c r="D2" s="95" t="s">
        <v>150</v>
      </c>
      <c r="E2" s="96" t="s">
        <v>152</v>
      </c>
      <c r="F2" s="96" t="s">
        <v>153</v>
      </c>
      <c r="G2" s="80" t="s">
        <v>3</v>
      </c>
      <c r="S2" s="105"/>
      <c r="T2" s="105"/>
      <c r="U2" s="105" t="s">
        <v>172</v>
      </c>
      <c r="V2" s="105"/>
      <c r="W2" s="105"/>
      <c r="Y2" s="108" t="s">
        <v>173</v>
      </c>
      <c r="Z2" s="108"/>
      <c r="AA2" s="108"/>
      <c r="AC2" s="78" t="s">
        <v>167</v>
      </c>
    </row>
    <row r="3" spans="1:30" x14ac:dyDescent="0.25">
      <c r="A3" s="79" t="s">
        <v>0</v>
      </c>
      <c r="B3" s="79" t="s">
        <v>154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  <c r="S3" s="106"/>
      <c r="T3" s="106"/>
      <c r="U3" s="106">
        <v>1</v>
      </c>
      <c r="V3" s="106">
        <v>4.0999999999999996</v>
      </c>
      <c r="W3" s="106" t="s">
        <v>165</v>
      </c>
      <c r="Y3" s="109">
        <v>1</v>
      </c>
      <c r="Z3" s="109">
        <v>4.0999999999999996</v>
      </c>
      <c r="AA3" s="109" t="s">
        <v>165</v>
      </c>
      <c r="AC3" s="78" t="s">
        <v>168</v>
      </c>
    </row>
    <row r="4" spans="1:30" x14ac:dyDescent="0.25">
      <c r="A4" s="79">
        <v>1</v>
      </c>
      <c r="B4" s="79">
        <v>1</v>
      </c>
      <c r="C4" s="119">
        <v>1.028</v>
      </c>
      <c r="D4" s="100">
        <f>VLOOKUP($C4,Лист5!$A$1:$B$104,2,)+15</f>
        <v>118.27</v>
      </c>
      <c r="E4" s="99"/>
      <c r="F4" s="99"/>
      <c r="G4" s="99">
        <f>SUM(D4:F4)</f>
        <v>118.27</v>
      </c>
      <c r="S4" s="106" t="s">
        <v>161</v>
      </c>
      <c r="T4" s="106" t="s">
        <v>156</v>
      </c>
      <c r="U4" s="107">
        <v>1469.99</v>
      </c>
      <c r="V4" s="106">
        <v>1225.93</v>
      </c>
      <c r="W4" s="107">
        <f>SUM(U4:V4)</f>
        <v>2695.92</v>
      </c>
      <c r="Y4" s="109">
        <v>1469.31</v>
      </c>
      <c r="Z4" s="109">
        <v>1224.44</v>
      </c>
      <c r="AA4" s="110">
        <f>SUM(Y4:Z4)</f>
        <v>2693.75</v>
      </c>
      <c r="AC4" s="101">
        <f>W4-AA4</f>
        <v>2.1700000000000728</v>
      </c>
    </row>
    <row r="5" spans="1:30" x14ac:dyDescent="0.25">
      <c r="A5" s="79">
        <v>2</v>
      </c>
      <c r="B5" s="79">
        <v>1</v>
      </c>
      <c r="C5" s="119">
        <v>1.0269999999999999</v>
      </c>
      <c r="D5" s="100">
        <f>VLOOKUP($C5,Лист5!$A$1:$B$104,2,)+15</f>
        <v>125.55</v>
      </c>
      <c r="E5" s="99"/>
      <c r="F5" s="99"/>
      <c r="G5" s="99">
        <f t="shared" ref="G5:G24" si="0">SUM(D5:F5)</f>
        <v>125.55</v>
      </c>
      <c r="S5" s="111"/>
      <c r="T5" s="111" t="s">
        <v>157</v>
      </c>
      <c r="U5" s="111" t="s">
        <v>164</v>
      </c>
      <c r="V5" s="111">
        <v>378.74</v>
      </c>
      <c r="W5" s="112">
        <f t="shared" ref="W5:W23" si="1">SUM(U5:V5)</f>
        <v>378.74</v>
      </c>
      <c r="X5" s="113"/>
      <c r="Y5" s="111" t="s">
        <v>164</v>
      </c>
      <c r="Z5" s="111">
        <v>348.14</v>
      </c>
      <c r="AA5" s="112">
        <f t="shared" ref="AA5:AA21" si="2">SUM(Y5:Z5)</f>
        <v>348.14</v>
      </c>
      <c r="AB5" s="113"/>
      <c r="AC5" s="114">
        <f t="shared" ref="AC5:AC21" si="3">W5-AA5</f>
        <v>30.600000000000023</v>
      </c>
      <c r="AD5" s="113"/>
    </row>
    <row r="6" spans="1:30" x14ac:dyDescent="0.25">
      <c r="A6" s="79">
        <v>3</v>
      </c>
      <c r="B6" s="79">
        <v>1</v>
      </c>
      <c r="C6" s="119">
        <v>1.026</v>
      </c>
      <c r="D6" s="100">
        <f>284.86+35</f>
        <v>319.86</v>
      </c>
      <c r="E6" s="99"/>
      <c r="F6" s="99"/>
      <c r="G6" s="99">
        <f t="shared" si="0"/>
        <v>319.86</v>
      </c>
      <c r="S6" s="106"/>
      <c r="T6" s="106" t="s">
        <v>158</v>
      </c>
      <c r="U6" s="106" t="s">
        <v>164</v>
      </c>
      <c r="V6" s="106" t="s">
        <v>164</v>
      </c>
      <c r="W6" s="107">
        <f t="shared" si="1"/>
        <v>0</v>
      </c>
      <c r="Y6" s="109">
        <v>57.81</v>
      </c>
      <c r="Z6" s="109">
        <v>5.85</v>
      </c>
      <c r="AA6" s="110">
        <f t="shared" si="2"/>
        <v>63.660000000000004</v>
      </c>
      <c r="AC6" s="101">
        <f t="shared" si="3"/>
        <v>-63.660000000000004</v>
      </c>
    </row>
    <row r="7" spans="1:30" x14ac:dyDescent="0.25">
      <c r="A7" s="135">
        <v>4</v>
      </c>
      <c r="B7" s="135">
        <v>1</v>
      </c>
      <c r="C7" s="136">
        <v>1.024</v>
      </c>
      <c r="D7" s="137">
        <f>53.84</f>
        <v>53.84</v>
      </c>
      <c r="E7" s="137"/>
      <c r="F7" s="137"/>
      <c r="G7" s="137">
        <f t="shared" si="0"/>
        <v>53.84</v>
      </c>
      <c r="S7" s="111"/>
      <c r="T7" s="111" t="s">
        <v>159</v>
      </c>
      <c r="U7" s="112">
        <v>13.59</v>
      </c>
      <c r="V7" s="111">
        <v>1.8</v>
      </c>
      <c r="W7" s="112">
        <f t="shared" si="1"/>
        <v>15.39</v>
      </c>
      <c r="X7" s="113"/>
      <c r="Y7" s="111" t="s">
        <v>164</v>
      </c>
      <c r="Z7" s="111" t="s">
        <v>164</v>
      </c>
      <c r="AA7" s="112">
        <f t="shared" si="2"/>
        <v>0</v>
      </c>
      <c r="AB7" s="113"/>
      <c r="AC7" s="114">
        <f t="shared" si="3"/>
        <v>15.39</v>
      </c>
      <c r="AD7" s="113"/>
    </row>
    <row r="8" spans="1:30" x14ac:dyDescent="0.25">
      <c r="A8" s="79">
        <v>5</v>
      </c>
      <c r="B8" s="79">
        <v>1</v>
      </c>
      <c r="C8" s="119">
        <v>1.0289999999999999</v>
      </c>
      <c r="D8" s="100">
        <f>VLOOKUP($C8,Лист5!$A$1:$B$104,2,)+10</f>
        <v>102.42</v>
      </c>
      <c r="E8" s="99"/>
      <c r="F8" s="99"/>
      <c r="G8" s="99">
        <f t="shared" si="0"/>
        <v>102.42</v>
      </c>
      <c r="S8" s="106"/>
      <c r="T8" s="106" t="s">
        <v>160</v>
      </c>
      <c r="U8" s="106">
        <v>2.4</v>
      </c>
      <c r="V8" s="106" t="s">
        <v>164</v>
      </c>
      <c r="W8" s="107">
        <f t="shared" si="1"/>
        <v>2.4</v>
      </c>
      <c r="Y8" s="109" t="s">
        <v>164</v>
      </c>
      <c r="Z8" s="109" t="s">
        <v>164</v>
      </c>
      <c r="AA8" s="110">
        <f t="shared" si="2"/>
        <v>0</v>
      </c>
      <c r="AC8" s="101">
        <f t="shared" si="3"/>
        <v>2.4</v>
      </c>
    </row>
    <row r="9" spans="1:30" x14ac:dyDescent="0.25">
      <c r="A9" s="79">
        <v>6</v>
      </c>
      <c r="B9" s="79">
        <v>1</v>
      </c>
      <c r="C9" s="119">
        <v>1.03</v>
      </c>
      <c r="D9" s="100">
        <f>VLOOKUP($C9,Лист5!$A$1:$B$104,2,)+7</f>
        <v>101.91</v>
      </c>
      <c r="E9" s="99"/>
      <c r="F9" s="99"/>
      <c r="G9" s="99">
        <f t="shared" si="0"/>
        <v>101.91</v>
      </c>
      <c r="S9" s="111"/>
      <c r="T9" s="111"/>
      <c r="U9" s="111"/>
      <c r="V9" s="111"/>
      <c r="W9" s="112"/>
      <c r="X9" s="113"/>
      <c r="Y9" s="111"/>
      <c r="Z9" s="111"/>
      <c r="AA9" s="112"/>
      <c r="AB9" s="113"/>
      <c r="AC9" s="114"/>
      <c r="AD9" s="113"/>
    </row>
    <row r="10" spans="1:30" x14ac:dyDescent="0.25">
      <c r="A10" s="79">
        <v>7</v>
      </c>
      <c r="B10" s="79">
        <v>1</v>
      </c>
      <c r="C10" s="119">
        <v>1.0309999999999999</v>
      </c>
      <c r="D10" s="100">
        <f>VLOOKUP($C10,Лист5!$A$1:$B$104,2,)+8</f>
        <v>98.2</v>
      </c>
      <c r="E10" s="99"/>
      <c r="F10" s="99"/>
      <c r="G10" s="99">
        <f t="shared" si="0"/>
        <v>98.2</v>
      </c>
      <c r="S10" s="106" t="s">
        <v>162</v>
      </c>
      <c r="T10" s="106" t="s">
        <v>156</v>
      </c>
      <c r="U10" s="106">
        <v>1537.74</v>
      </c>
      <c r="V10" s="106">
        <v>1995.77</v>
      </c>
      <c r="W10" s="107">
        <f t="shared" si="1"/>
        <v>3533.51</v>
      </c>
      <c r="Y10" s="109">
        <v>1537.34</v>
      </c>
      <c r="Z10" s="109">
        <v>1673.16</v>
      </c>
      <c r="AA10" s="110">
        <f t="shared" si="2"/>
        <v>3210.5</v>
      </c>
      <c r="AC10" s="101">
        <f t="shared" si="3"/>
        <v>323.01000000000022</v>
      </c>
    </row>
    <row r="11" spans="1:30" x14ac:dyDescent="0.25">
      <c r="A11" s="79">
        <v>8</v>
      </c>
      <c r="B11" s="79">
        <v>1</v>
      </c>
      <c r="C11" s="119">
        <v>1.032</v>
      </c>
      <c r="D11" s="100">
        <f>VLOOKUP($C11,Лист5!$A$1:$B$104,2,)+7</f>
        <v>94.76</v>
      </c>
      <c r="E11" s="99"/>
      <c r="F11" s="99"/>
      <c r="G11" s="99">
        <f t="shared" si="0"/>
        <v>94.76</v>
      </c>
      <c r="S11" s="111"/>
      <c r="T11" s="111" t="s">
        <v>157</v>
      </c>
      <c r="U11" s="111">
        <v>51.07</v>
      </c>
      <c r="V11" s="111">
        <v>409.01</v>
      </c>
      <c r="W11" s="112">
        <f t="shared" si="1"/>
        <v>460.08</v>
      </c>
      <c r="X11" s="113"/>
      <c r="Y11" s="111">
        <v>51.07</v>
      </c>
      <c r="Z11" s="111">
        <v>409.01</v>
      </c>
      <c r="AA11" s="112">
        <f t="shared" si="2"/>
        <v>460.08</v>
      </c>
      <c r="AB11" s="113"/>
      <c r="AC11" s="114">
        <f t="shared" si="3"/>
        <v>0</v>
      </c>
      <c r="AD11" s="113"/>
    </row>
    <row r="12" spans="1:30" x14ac:dyDescent="0.25">
      <c r="A12" s="79">
        <v>9</v>
      </c>
      <c r="B12" s="79">
        <v>1</v>
      </c>
      <c r="C12" s="119">
        <v>1.0329999999999999</v>
      </c>
      <c r="D12" s="100">
        <f>VLOOKUP($C12,Лист5!$A$1:$B$104,2,)+10</f>
        <v>152.44</v>
      </c>
      <c r="E12" s="99"/>
      <c r="F12" s="99"/>
      <c r="G12" s="99">
        <f t="shared" si="0"/>
        <v>152.44</v>
      </c>
      <c r="S12" s="106"/>
      <c r="T12" s="106" t="s">
        <v>158</v>
      </c>
      <c r="U12" s="106" t="s">
        <v>164</v>
      </c>
      <c r="V12" s="106" t="s">
        <v>164</v>
      </c>
      <c r="W12" s="107">
        <f t="shared" si="1"/>
        <v>0</v>
      </c>
      <c r="Y12" s="109">
        <v>60.14</v>
      </c>
      <c r="Z12" s="109">
        <v>338.43</v>
      </c>
      <c r="AA12" s="110">
        <f t="shared" si="2"/>
        <v>398.57</v>
      </c>
      <c r="AC12" s="101">
        <f t="shared" si="3"/>
        <v>-398.57</v>
      </c>
    </row>
    <row r="13" spans="1:30" x14ac:dyDescent="0.25">
      <c r="A13" s="79">
        <v>10</v>
      </c>
      <c r="B13" s="79">
        <v>1</v>
      </c>
      <c r="C13" s="119">
        <v>1.0389999999999999</v>
      </c>
      <c r="D13" s="100">
        <f>VLOOKUP($C13,Лист5!$A$1:$B$104,2,)+15</f>
        <v>181.2</v>
      </c>
      <c r="E13" s="99"/>
      <c r="F13" s="99"/>
      <c r="G13" s="99">
        <f t="shared" si="0"/>
        <v>181.2</v>
      </c>
      <c r="S13" s="111"/>
      <c r="T13" s="111" t="s">
        <v>159</v>
      </c>
      <c r="U13" s="111">
        <v>16.09</v>
      </c>
      <c r="V13" s="111" t="s">
        <v>164</v>
      </c>
      <c r="W13" s="112">
        <f t="shared" si="1"/>
        <v>16.09</v>
      </c>
      <c r="X13" s="113"/>
      <c r="Y13" s="111" t="s">
        <v>164</v>
      </c>
      <c r="Z13" s="111" t="s">
        <v>164</v>
      </c>
      <c r="AA13" s="112">
        <f t="shared" si="2"/>
        <v>0</v>
      </c>
      <c r="AB13" s="113"/>
      <c r="AC13" s="114">
        <f t="shared" si="3"/>
        <v>16.09</v>
      </c>
      <c r="AD13" s="113"/>
    </row>
    <row r="14" spans="1:30" x14ac:dyDescent="0.25">
      <c r="A14" s="79">
        <v>11</v>
      </c>
      <c r="B14" s="79">
        <v>4.0999999999999996</v>
      </c>
      <c r="C14" s="119">
        <v>1.04</v>
      </c>
      <c r="D14" s="100">
        <f>164+32.45+20</f>
        <v>216.45</v>
      </c>
      <c r="E14" s="99"/>
      <c r="F14" s="99"/>
      <c r="G14" s="99">
        <f t="shared" si="0"/>
        <v>216.45</v>
      </c>
      <c r="S14" s="106"/>
      <c r="T14" s="106" t="s">
        <v>160</v>
      </c>
      <c r="U14" s="106">
        <v>2.4</v>
      </c>
      <c r="V14" s="106" t="s">
        <v>164</v>
      </c>
      <c r="W14" s="107">
        <f t="shared" si="1"/>
        <v>2.4</v>
      </c>
      <c r="Y14" s="109" t="s">
        <v>164</v>
      </c>
      <c r="Z14" s="109" t="s">
        <v>164</v>
      </c>
      <c r="AA14" s="110">
        <f t="shared" si="2"/>
        <v>0</v>
      </c>
      <c r="AC14" s="101">
        <f t="shared" si="3"/>
        <v>2.4</v>
      </c>
    </row>
    <row r="15" spans="1:30" x14ac:dyDescent="0.25">
      <c r="A15" s="79">
        <v>12</v>
      </c>
      <c r="B15" s="79">
        <v>4.0999999999999996</v>
      </c>
      <c r="C15" s="119">
        <v>1.0429999999999999</v>
      </c>
      <c r="D15" s="100">
        <f>18+83.8</f>
        <v>101.8</v>
      </c>
      <c r="E15" s="99"/>
      <c r="F15" s="99"/>
      <c r="G15" s="99">
        <f t="shared" si="0"/>
        <v>101.8</v>
      </c>
      <c r="S15" s="111"/>
      <c r="T15" s="111"/>
      <c r="U15" s="111"/>
      <c r="V15" s="111"/>
      <c r="W15" s="112"/>
      <c r="X15" s="113"/>
      <c r="Y15" s="111"/>
      <c r="Z15" s="111"/>
      <c r="AA15" s="112"/>
      <c r="AB15" s="113"/>
      <c r="AC15" s="114"/>
      <c r="AD15" s="113"/>
    </row>
    <row r="16" spans="1:30" x14ac:dyDescent="0.25">
      <c r="A16" s="79">
        <v>13</v>
      </c>
      <c r="B16" s="79">
        <v>4.0999999999999996</v>
      </c>
      <c r="C16" s="119">
        <v>1.044</v>
      </c>
      <c r="D16" s="100">
        <v>67.3</v>
      </c>
      <c r="E16" s="99"/>
      <c r="F16" s="99"/>
      <c r="G16" s="99">
        <f t="shared" si="0"/>
        <v>67.3</v>
      </c>
      <c r="S16" s="111" t="s">
        <v>163</v>
      </c>
      <c r="T16" s="111" t="s">
        <v>156</v>
      </c>
      <c r="U16" s="111">
        <v>1765.15</v>
      </c>
      <c r="V16" s="111">
        <v>642.66</v>
      </c>
      <c r="W16" s="112">
        <f t="shared" si="1"/>
        <v>2407.81</v>
      </c>
      <c r="X16" s="113"/>
      <c r="Y16" s="111">
        <v>1762.76</v>
      </c>
      <c r="Z16" s="111">
        <v>642.66</v>
      </c>
      <c r="AA16" s="112">
        <f t="shared" si="2"/>
        <v>2405.42</v>
      </c>
      <c r="AB16" s="113"/>
      <c r="AC16" s="114">
        <f t="shared" si="3"/>
        <v>2.3899999999998727</v>
      </c>
      <c r="AD16" s="113"/>
    </row>
    <row r="17" spans="1:30" x14ac:dyDescent="0.25">
      <c r="A17" s="79">
        <v>14</v>
      </c>
      <c r="B17" s="79">
        <v>4.0999999999999996</v>
      </c>
      <c r="C17" s="119">
        <v>1.046</v>
      </c>
      <c r="D17" s="100">
        <f>185.78+30</f>
        <v>215.78</v>
      </c>
      <c r="E17" s="99"/>
      <c r="F17" s="99"/>
      <c r="G17" s="99">
        <f t="shared" si="0"/>
        <v>215.78</v>
      </c>
      <c r="J17" s="106" t="s">
        <v>161</v>
      </c>
      <c r="K17" s="106" t="s">
        <v>156</v>
      </c>
      <c r="L17" s="107">
        <v>1469.99</v>
      </c>
      <c r="M17" s="106">
        <v>1225.93</v>
      </c>
      <c r="N17" s="107">
        <f>SUM(L17:M17)</f>
        <v>2695.92</v>
      </c>
      <c r="S17" s="106"/>
      <c r="T17" s="106" t="s">
        <v>166</v>
      </c>
      <c r="U17" s="106"/>
      <c r="V17" s="106">
        <v>182.74</v>
      </c>
      <c r="W17" s="107">
        <f t="shared" si="1"/>
        <v>182.74</v>
      </c>
      <c r="Y17" s="109"/>
      <c r="Z17" s="109">
        <v>182.74</v>
      </c>
      <c r="AA17" s="110">
        <f t="shared" si="2"/>
        <v>182.74</v>
      </c>
      <c r="AC17" s="101">
        <f t="shared" si="3"/>
        <v>0</v>
      </c>
    </row>
    <row r="18" spans="1:30" x14ac:dyDescent="0.25">
      <c r="A18" s="79">
        <v>15</v>
      </c>
      <c r="B18" s="79">
        <v>4.0999999999999996</v>
      </c>
      <c r="C18" s="119">
        <v>1.0449999999999999</v>
      </c>
      <c r="D18" s="100">
        <f>372.12-D17+20</f>
        <v>176.34</v>
      </c>
      <c r="E18" s="99"/>
      <c r="F18" s="99"/>
      <c r="G18" s="99">
        <f t="shared" si="0"/>
        <v>176.34</v>
      </c>
      <c r="J18" s="111"/>
      <c r="K18" s="111" t="s">
        <v>157</v>
      </c>
      <c r="L18" s="111" t="s">
        <v>164</v>
      </c>
      <c r="M18" s="111">
        <v>378.74</v>
      </c>
      <c r="N18" s="112">
        <f t="shared" ref="N18:N21" si="4">SUM(L18:M18)</f>
        <v>378.74</v>
      </c>
      <c r="S18" s="111"/>
      <c r="T18" s="111" t="s">
        <v>157</v>
      </c>
      <c r="U18" s="111">
        <v>49.99</v>
      </c>
      <c r="V18" s="111">
        <v>189.76</v>
      </c>
      <c r="W18" s="112">
        <f t="shared" si="1"/>
        <v>239.75</v>
      </c>
      <c r="X18" s="113"/>
      <c r="Y18" s="111">
        <v>51.07</v>
      </c>
      <c r="Z18" s="111">
        <v>193.9</v>
      </c>
      <c r="AA18" s="112">
        <f t="shared" si="2"/>
        <v>244.97</v>
      </c>
      <c r="AB18" s="113"/>
      <c r="AC18" s="114">
        <f t="shared" si="3"/>
        <v>-5.2199999999999989</v>
      </c>
      <c r="AD18" s="113"/>
    </row>
    <row r="19" spans="1:30" x14ac:dyDescent="0.25">
      <c r="A19" s="79">
        <v>16</v>
      </c>
      <c r="B19" s="79">
        <v>4.0999999999999996</v>
      </c>
      <c r="C19" s="119">
        <v>1.0489999999999999</v>
      </c>
      <c r="D19" s="100">
        <f>VLOOKUP($C19,Лист5!$A$1:$B$104,2,)+15</f>
        <v>167.54</v>
      </c>
      <c r="E19" s="99"/>
      <c r="F19" s="99"/>
      <c r="G19" s="99">
        <f t="shared" si="0"/>
        <v>167.54</v>
      </c>
      <c r="J19" s="106"/>
      <c r="K19" s="106" t="s">
        <v>158</v>
      </c>
      <c r="L19" s="106" t="s">
        <v>164</v>
      </c>
      <c r="M19" s="106" t="s">
        <v>164</v>
      </c>
      <c r="N19" s="107">
        <f t="shared" si="4"/>
        <v>0</v>
      </c>
      <c r="S19" s="106"/>
      <c r="T19" s="106" t="s">
        <v>158</v>
      </c>
      <c r="U19" s="106" t="s">
        <v>164</v>
      </c>
      <c r="V19" s="106" t="s">
        <v>164</v>
      </c>
      <c r="W19" s="107">
        <f t="shared" si="1"/>
        <v>0</v>
      </c>
      <c r="Y19" s="109">
        <v>60.25</v>
      </c>
      <c r="Z19" s="109" t="s">
        <v>164</v>
      </c>
      <c r="AA19" s="110">
        <f t="shared" si="2"/>
        <v>60.25</v>
      </c>
      <c r="AC19" s="101">
        <f t="shared" si="3"/>
        <v>-60.25</v>
      </c>
    </row>
    <row r="20" spans="1:30" x14ac:dyDescent="0.25">
      <c r="A20" s="79">
        <v>17</v>
      </c>
      <c r="B20" s="79">
        <v>4.0999999999999996</v>
      </c>
      <c r="C20" s="119">
        <v>1.05</v>
      </c>
      <c r="D20" s="100">
        <f>VLOOKUP($C20,Лист5!$A$1:$B$104,2,)+3</f>
        <v>88.4</v>
      </c>
      <c r="E20" s="99"/>
      <c r="F20" s="99"/>
      <c r="G20" s="99">
        <f t="shared" si="0"/>
        <v>88.4</v>
      </c>
      <c r="J20" s="111"/>
      <c r="K20" s="111" t="s">
        <v>159</v>
      </c>
      <c r="L20" s="112">
        <v>13.59</v>
      </c>
      <c r="M20" s="111">
        <v>1.8</v>
      </c>
      <c r="N20" s="112">
        <f t="shared" si="4"/>
        <v>15.39</v>
      </c>
      <c r="S20" s="111"/>
      <c r="T20" s="111" t="s">
        <v>159</v>
      </c>
      <c r="U20" s="111">
        <v>17.940000000000001</v>
      </c>
      <c r="V20" s="111"/>
      <c r="W20" s="112">
        <f t="shared" si="1"/>
        <v>17.940000000000001</v>
      </c>
      <c r="X20" s="113"/>
      <c r="Y20" s="111" t="s">
        <v>164</v>
      </c>
      <c r="Z20" s="111" t="s">
        <v>164</v>
      </c>
      <c r="AA20" s="112">
        <f t="shared" si="2"/>
        <v>0</v>
      </c>
      <c r="AB20" s="113"/>
      <c r="AC20" s="114">
        <f t="shared" si="3"/>
        <v>17.940000000000001</v>
      </c>
      <c r="AD20" s="113"/>
    </row>
    <row r="21" spans="1:30" x14ac:dyDescent="0.25">
      <c r="A21" s="79">
        <v>18</v>
      </c>
      <c r="B21" s="79">
        <v>4.0999999999999996</v>
      </c>
      <c r="C21" s="119">
        <v>1.0509999999999999</v>
      </c>
      <c r="D21" s="100">
        <f>VLOOKUP($C21,Лист5!$A$1:$B$104,2,)+3</f>
        <v>91.85</v>
      </c>
      <c r="E21" s="99"/>
      <c r="F21" s="99"/>
      <c r="G21" s="99">
        <f t="shared" si="0"/>
        <v>91.85</v>
      </c>
      <c r="J21" s="106"/>
      <c r="K21" s="106" t="s">
        <v>160</v>
      </c>
      <c r="L21" s="106">
        <v>2.4</v>
      </c>
      <c r="M21" s="106" t="s">
        <v>164</v>
      </c>
      <c r="N21" s="107">
        <f t="shared" si="4"/>
        <v>2.4</v>
      </c>
      <c r="S21" s="106"/>
      <c r="T21" s="106" t="s">
        <v>160</v>
      </c>
      <c r="U21" s="106">
        <v>3.6</v>
      </c>
      <c r="V21" s="106"/>
      <c r="W21" s="107">
        <f t="shared" si="1"/>
        <v>3.6</v>
      </c>
      <c r="Y21" s="109" t="s">
        <v>164</v>
      </c>
      <c r="Z21" s="109" t="s">
        <v>164</v>
      </c>
      <c r="AA21" s="110">
        <f t="shared" si="2"/>
        <v>0</v>
      </c>
      <c r="AC21" s="101">
        <f t="shared" si="3"/>
        <v>3.6</v>
      </c>
    </row>
    <row r="22" spans="1:30" x14ac:dyDescent="0.25">
      <c r="A22" s="79">
        <v>19</v>
      </c>
      <c r="B22" s="79">
        <v>4.0999999999999996</v>
      </c>
      <c r="C22" s="119">
        <v>1.048</v>
      </c>
      <c r="D22" s="99"/>
      <c r="E22" s="100">
        <f>VLOOKUP($C22,Лист5!$A$1:$B$104,2,)</f>
        <v>75.8</v>
      </c>
      <c r="F22" s="99"/>
      <c r="G22" s="99">
        <f t="shared" si="0"/>
        <v>75.8</v>
      </c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</row>
    <row r="23" spans="1:30" x14ac:dyDescent="0.25">
      <c r="A23" s="79">
        <v>20</v>
      </c>
      <c r="B23" s="79">
        <v>4.0999999999999996</v>
      </c>
      <c r="C23" s="119">
        <v>1.0529999999999999</v>
      </c>
      <c r="D23" s="99"/>
      <c r="E23" s="100">
        <v>254.19</v>
      </c>
      <c r="F23" s="99"/>
      <c r="G23" s="99">
        <f t="shared" si="0"/>
        <v>254.19</v>
      </c>
      <c r="S23" s="105"/>
      <c r="T23" s="106" t="s">
        <v>165</v>
      </c>
      <c r="U23" s="107">
        <f>SUM(U4:U21)</f>
        <v>4929.96</v>
      </c>
      <c r="V23" s="107">
        <f>SUM(V4:V21)</f>
        <v>5026.41</v>
      </c>
      <c r="W23" s="107">
        <f t="shared" si="1"/>
        <v>9956.369999999999</v>
      </c>
      <c r="Y23" s="110">
        <f>SUM(Y4:Y21)</f>
        <v>5049.75</v>
      </c>
      <c r="Z23" s="110">
        <f>SUM(Z4:Z21)</f>
        <v>5018.33</v>
      </c>
      <c r="AA23" s="110">
        <f t="shared" ref="AA23" si="5">SUM(Y23:Z23)</f>
        <v>10068.08</v>
      </c>
      <c r="AC23" s="101">
        <f>W23-AA23</f>
        <v>-111.71000000000095</v>
      </c>
    </row>
    <row r="24" spans="1:30" x14ac:dyDescent="0.25">
      <c r="A24" s="79">
        <v>21</v>
      </c>
      <c r="B24" s="79">
        <v>4.0999999999999996</v>
      </c>
      <c r="C24" s="119">
        <v>1.054</v>
      </c>
      <c r="D24" s="99"/>
      <c r="E24" s="100">
        <f>26+8+8.48</f>
        <v>42.480000000000004</v>
      </c>
      <c r="F24" s="99"/>
      <c r="G24" s="99">
        <f t="shared" si="0"/>
        <v>42.480000000000004</v>
      </c>
    </row>
    <row r="25" spans="1:30" x14ac:dyDescent="0.25">
      <c r="A25" s="79"/>
      <c r="B25" s="79"/>
      <c r="C25" s="79" t="s">
        <v>19</v>
      </c>
      <c r="D25" s="99">
        <f>SUM(D4:D24)</f>
        <v>2473.91</v>
      </c>
      <c r="E25" s="99">
        <f>SUM(E4:E24)</f>
        <v>372.47</v>
      </c>
      <c r="F25" s="99">
        <f t="shared" ref="F25:G25" si="6">SUM(F4:F24)</f>
        <v>0</v>
      </c>
      <c r="G25" s="99">
        <f t="shared" si="6"/>
        <v>2846.38</v>
      </c>
    </row>
    <row r="28" spans="1:30" x14ac:dyDescent="0.25">
      <c r="B28" s="93" t="s">
        <v>154</v>
      </c>
      <c r="C28" s="130"/>
      <c r="D28" s="95" t="s">
        <v>150</v>
      </c>
      <c r="E28" s="96" t="s">
        <v>152</v>
      </c>
      <c r="F28" s="96" t="s">
        <v>153</v>
      </c>
      <c r="J28" s="132" t="s">
        <v>154</v>
      </c>
      <c r="K28" s="130"/>
      <c r="L28" s="95" t="s">
        <v>150</v>
      </c>
      <c r="M28" s="96" t="s">
        <v>152</v>
      </c>
      <c r="N28" s="96" t="s">
        <v>153</v>
      </c>
    </row>
    <row r="29" spans="1:30" x14ac:dyDescent="0.25">
      <c r="B29" s="130">
        <v>1</v>
      </c>
      <c r="C29" s="130"/>
      <c r="D29" s="131">
        <f>SUM(D4:D13)</f>
        <v>1348.45</v>
      </c>
      <c r="E29" s="131">
        <v>0</v>
      </c>
      <c r="F29" s="131">
        <f>F22</f>
        <v>0</v>
      </c>
      <c r="J29" s="130">
        <v>1</v>
      </c>
      <c r="K29" s="130"/>
      <c r="L29" s="131">
        <f>L17</f>
        <v>1469.99</v>
      </c>
      <c r="M29" s="131" t="str">
        <f>L18</f>
        <v>-</v>
      </c>
      <c r="N29" s="131">
        <f>N22</f>
        <v>0</v>
      </c>
      <c r="P29" s="101">
        <f>L29-D29</f>
        <v>121.53999999999996</v>
      </c>
      <c r="Q29" s="101" t="e">
        <f>M29-E29</f>
        <v>#VALUE!</v>
      </c>
    </row>
    <row r="30" spans="1:30" x14ac:dyDescent="0.25">
      <c r="B30" s="130">
        <v>4.0999999999999996</v>
      </c>
      <c r="C30" s="130"/>
      <c r="D30" s="131">
        <f>SUM(D14:D21)</f>
        <v>1125.46</v>
      </c>
      <c r="E30" s="131">
        <f>SUM(E22:E24)</f>
        <v>372.47</v>
      </c>
      <c r="F30" s="131">
        <f>SUM(F23:F25)</f>
        <v>0</v>
      </c>
      <c r="J30" s="130">
        <v>4.0999999999999996</v>
      </c>
      <c r="K30" s="130"/>
      <c r="L30" s="131">
        <f>M17</f>
        <v>1225.93</v>
      </c>
      <c r="M30" s="131">
        <f>M18</f>
        <v>378.74</v>
      </c>
      <c r="N30" s="131">
        <f>SUM(N23:N25)</f>
        <v>0</v>
      </c>
      <c r="P30" s="101">
        <f>L30-D30</f>
        <v>100.47000000000003</v>
      </c>
      <c r="Q30" s="101">
        <f>M30-E30</f>
        <v>6.2699999999999818</v>
      </c>
    </row>
    <row r="32" spans="1:30" x14ac:dyDescent="0.25">
      <c r="A32" s="142" t="s">
        <v>2</v>
      </c>
      <c r="B32" s="142"/>
      <c r="C32" s="142"/>
      <c r="D32" s="142"/>
      <c r="E32" s="142"/>
      <c r="F32" s="142"/>
      <c r="G32" s="142"/>
    </row>
    <row r="33" spans="1:7" x14ac:dyDescent="0.25">
      <c r="A33" s="79"/>
      <c r="B33" s="79"/>
      <c r="C33" s="94"/>
      <c r="D33" s="95" t="s">
        <v>150</v>
      </c>
      <c r="E33" s="96" t="s">
        <v>152</v>
      </c>
      <c r="F33" s="96" t="s">
        <v>153</v>
      </c>
      <c r="G33" s="80" t="s">
        <v>3</v>
      </c>
    </row>
    <row r="34" spans="1:7" x14ac:dyDescent="0.25">
      <c r="A34" s="79" t="s">
        <v>0</v>
      </c>
      <c r="B34" s="79" t="s">
        <v>154</v>
      </c>
      <c r="C34" s="97" t="s">
        <v>5</v>
      </c>
      <c r="D34" s="98" t="s">
        <v>4</v>
      </c>
      <c r="E34" s="98" t="s">
        <v>4</v>
      </c>
      <c r="F34" s="98" t="s">
        <v>4</v>
      </c>
      <c r="G34" s="99" t="s">
        <v>4</v>
      </c>
    </row>
    <row r="35" spans="1:7" x14ac:dyDescent="0.25">
      <c r="A35" s="79">
        <v>1</v>
      </c>
      <c r="B35" s="102">
        <v>1</v>
      </c>
      <c r="C35" s="104">
        <v>2.0009999999999999</v>
      </c>
      <c r="D35" s="100">
        <f>VLOOKUP($C35,Лист5!$A$1:$B$104,2,)</f>
        <v>118.17750000000001</v>
      </c>
      <c r="E35" s="103"/>
      <c r="F35" s="103"/>
      <c r="G35" s="99">
        <f>SUM(D35:F35)</f>
        <v>118.17750000000001</v>
      </c>
    </row>
    <row r="36" spans="1:7" x14ac:dyDescent="0.25">
      <c r="A36" s="79">
        <v>2</v>
      </c>
      <c r="B36" s="102">
        <v>1</v>
      </c>
      <c r="C36" s="104">
        <v>2.0019999999999998</v>
      </c>
      <c r="D36" s="100">
        <f>VLOOKUP($C36,Лист5!$A$1:$B$104,2,)</f>
        <v>113.73599999999999</v>
      </c>
      <c r="E36" s="103"/>
      <c r="F36" s="103"/>
      <c r="G36" s="99">
        <f t="shared" ref="G36:G57" si="7">SUM(D36:F36)</f>
        <v>113.73599999999999</v>
      </c>
    </row>
    <row r="37" spans="1:7" x14ac:dyDescent="0.25">
      <c r="A37" s="79">
        <v>3</v>
      </c>
      <c r="B37" s="102">
        <v>1</v>
      </c>
      <c r="C37" s="104">
        <v>2.0030000000000001</v>
      </c>
      <c r="D37" s="100">
        <f>VLOOKUP($C37,Лист5!$A$1:$B$104,2,)</f>
        <v>122.50349999999997</v>
      </c>
      <c r="E37" s="103"/>
      <c r="F37" s="103"/>
      <c r="G37" s="99">
        <f t="shared" si="7"/>
        <v>122.50349999999997</v>
      </c>
    </row>
    <row r="38" spans="1:7" x14ac:dyDescent="0.25">
      <c r="A38" s="79">
        <v>4</v>
      </c>
      <c r="B38" s="102">
        <v>1</v>
      </c>
      <c r="C38" s="104">
        <v>2.004</v>
      </c>
      <c r="D38" s="100">
        <f>VLOOKUP($C38,Лист5!$A$1:$B$104,2,)</f>
        <v>314.601</v>
      </c>
      <c r="E38" s="103"/>
      <c r="F38" s="103"/>
      <c r="G38" s="99">
        <f t="shared" si="7"/>
        <v>314.601</v>
      </c>
    </row>
    <row r="39" spans="1:7" x14ac:dyDescent="0.25">
      <c r="A39" s="79">
        <v>5</v>
      </c>
      <c r="B39" s="102">
        <v>1</v>
      </c>
      <c r="C39" s="104">
        <v>2.0070000000000001</v>
      </c>
      <c r="D39" s="100">
        <f>VLOOKUP($C39,Лист5!$A$1:$B$104,2,)</f>
        <v>106.77449999999999</v>
      </c>
      <c r="E39" s="103"/>
      <c r="F39" s="103"/>
      <c r="G39" s="99">
        <f t="shared" si="7"/>
        <v>106.77449999999999</v>
      </c>
    </row>
    <row r="40" spans="1:7" x14ac:dyDescent="0.25">
      <c r="A40" s="79">
        <v>6</v>
      </c>
      <c r="B40" s="102">
        <v>1</v>
      </c>
      <c r="C40" s="104">
        <v>2.008</v>
      </c>
      <c r="D40" s="100">
        <f>VLOOKUP($C40,Лист5!$A$1:$B$104,2,)</f>
        <v>111.50999999999999</v>
      </c>
      <c r="E40" s="103"/>
      <c r="F40" s="103"/>
      <c r="G40" s="99">
        <f t="shared" si="7"/>
        <v>111.50999999999999</v>
      </c>
    </row>
    <row r="41" spans="1:7" x14ac:dyDescent="0.25">
      <c r="A41" s="79">
        <v>7</v>
      </c>
      <c r="B41" s="102">
        <v>1</v>
      </c>
      <c r="C41" s="104">
        <v>2.0089999999999999</v>
      </c>
      <c r="D41" s="100">
        <f>VLOOKUP($C41,Лист5!$A$1:$B$104,2,)</f>
        <v>106.77449999999999</v>
      </c>
      <c r="E41" s="103"/>
      <c r="F41" s="103"/>
      <c r="G41" s="99">
        <f t="shared" si="7"/>
        <v>106.77449999999999</v>
      </c>
    </row>
    <row r="42" spans="1:7" x14ac:dyDescent="0.25">
      <c r="A42" s="79">
        <v>8</v>
      </c>
      <c r="B42" s="102">
        <v>1</v>
      </c>
      <c r="C42" s="115">
        <v>2.0099999999999998</v>
      </c>
      <c r="D42" s="100">
        <f>VLOOKUP($C42,Лист5!$A$1:$B$104,2,)</f>
        <v>93.03</v>
      </c>
      <c r="E42" s="103"/>
      <c r="F42" s="103"/>
      <c r="G42" s="99">
        <f t="shared" si="7"/>
        <v>93.03</v>
      </c>
    </row>
    <row r="43" spans="1:7" x14ac:dyDescent="0.25">
      <c r="A43" s="79">
        <v>9</v>
      </c>
      <c r="B43" s="102">
        <v>1</v>
      </c>
      <c r="C43" s="104">
        <v>2.0110000000000001</v>
      </c>
      <c r="D43" s="100">
        <f>VLOOKUP($C43,Лист5!$A$1:$B$104,2,)</f>
        <v>106.63800000000001</v>
      </c>
      <c r="E43" s="103"/>
      <c r="F43" s="103"/>
      <c r="G43" s="99">
        <f t="shared" si="7"/>
        <v>106.63800000000001</v>
      </c>
    </row>
    <row r="44" spans="1:7" x14ac:dyDescent="0.25">
      <c r="A44" s="79">
        <v>10</v>
      </c>
      <c r="B44" s="102">
        <v>1</v>
      </c>
      <c r="C44" s="104">
        <v>2.012</v>
      </c>
      <c r="D44" s="100">
        <f>VLOOKUP($C44,Лист5!$A$1:$B$104,2,)</f>
        <v>234.72750000000002</v>
      </c>
      <c r="E44" s="103"/>
      <c r="F44" s="103"/>
      <c r="G44" s="99">
        <f t="shared" si="7"/>
        <v>234.72750000000002</v>
      </c>
    </row>
    <row r="45" spans="1:7" x14ac:dyDescent="0.25">
      <c r="A45" s="79">
        <v>11</v>
      </c>
      <c r="B45" s="102">
        <v>1</v>
      </c>
      <c r="C45" s="104">
        <v>2.0129999999999999</v>
      </c>
      <c r="D45" s="100">
        <f>VLOOKUP($C45,Лист5!$A$1:$B$104,2,)</f>
        <v>83.201999999999998</v>
      </c>
      <c r="E45" s="103"/>
      <c r="F45" s="103"/>
      <c r="G45" s="99">
        <f t="shared" si="7"/>
        <v>83.201999999999998</v>
      </c>
    </row>
    <row r="46" spans="1:7" x14ac:dyDescent="0.25">
      <c r="A46" s="79">
        <v>12</v>
      </c>
      <c r="B46" s="102">
        <v>4.0999999999999996</v>
      </c>
      <c r="C46" s="104">
        <v>2.0750000000000002</v>
      </c>
      <c r="D46" s="100">
        <f>VLOOKUP($C46,Лист5!$A$1:$B$104,2,)+19</f>
        <v>303.05650000000003</v>
      </c>
      <c r="E46" s="103"/>
      <c r="F46" s="103"/>
      <c r="G46" s="99">
        <f t="shared" si="7"/>
        <v>303.05650000000003</v>
      </c>
    </row>
    <row r="47" spans="1:7" x14ac:dyDescent="0.25">
      <c r="A47" s="79">
        <v>13</v>
      </c>
      <c r="B47" s="102">
        <v>4.0999999999999996</v>
      </c>
      <c r="C47" s="115">
        <v>2.08</v>
      </c>
      <c r="D47" s="100">
        <f>447.447/2+20</f>
        <v>243.7235</v>
      </c>
      <c r="E47" s="103"/>
      <c r="F47" s="103"/>
      <c r="G47" s="99">
        <f t="shared" si="7"/>
        <v>243.7235</v>
      </c>
    </row>
    <row r="48" spans="1:7" x14ac:dyDescent="0.25">
      <c r="A48" s="79">
        <v>14</v>
      </c>
      <c r="B48" s="102">
        <v>4.0999999999999996</v>
      </c>
      <c r="C48" s="104">
        <v>2.081</v>
      </c>
      <c r="D48" s="100">
        <f>VLOOKUP($C48,Лист5!$A$1:$B$104,2,)+210</f>
        <v>637.24</v>
      </c>
      <c r="E48" s="103"/>
      <c r="F48" s="103"/>
      <c r="G48" s="99">
        <f t="shared" si="7"/>
        <v>637.24</v>
      </c>
    </row>
    <row r="49" spans="1:20" x14ac:dyDescent="0.25">
      <c r="A49" s="79">
        <v>15</v>
      </c>
      <c r="B49" s="102">
        <v>4.0999999999999996</v>
      </c>
      <c r="C49" s="104">
        <v>2.0819999999999999</v>
      </c>
      <c r="D49" s="100">
        <f>447.447/2-30</f>
        <v>193.7235</v>
      </c>
      <c r="E49" s="103"/>
      <c r="F49" s="103"/>
      <c r="G49" s="99">
        <f t="shared" si="7"/>
        <v>193.7235</v>
      </c>
      <c r="J49" s="106" t="s">
        <v>162</v>
      </c>
      <c r="K49" s="106" t="s">
        <v>156</v>
      </c>
      <c r="L49" s="106">
        <v>1537.74</v>
      </c>
      <c r="M49" s="106">
        <v>1995.77</v>
      </c>
      <c r="N49" s="107">
        <f>SUM(L49:M49)</f>
        <v>3533.51</v>
      </c>
      <c r="P49" s="109">
        <v>1537.34</v>
      </c>
      <c r="Q49" s="109">
        <v>1673.16</v>
      </c>
      <c r="R49" s="110">
        <f t="shared" ref="R49:R53" si="8">SUM(P49:Q49)</f>
        <v>3210.5</v>
      </c>
      <c r="T49" s="101">
        <f>N49-R49</f>
        <v>323.01000000000022</v>
      </c>
    </row>
    <row r="50" spans="1:20" x14ac:dyDescent="0.25">
      <c r="A50" s="79">
        <v>16</v>
      </c>
      <c r="B50" s="102">
        <v>4.0999999999999996</v>
      </c>
      <c r="C50" s="104">
        <v>2.085</v>
      </c>
      <c r="D50" s="100">
        <f>VLOOKUP($C50,Лист5!$A$1:$B$104,2,)+160</f>
        <v>479.92</v>
      </c>
      <c r="E50" s="103"/>
      <c r="F50" s="103"/>
      <c r="G50" s="99">
        <f t="shared" si="7"/>
        <v>479.92</v>
      </c>
      <c r="J50" s="111"/>
      <c r="K50" s="111" t="s">
        <v>157</v>
      </c>
      <c r="L50" s="111">
        <v>51.07</v>
      </c>
      <c r="M50" s="111">
        <v>409.01</v>
      </c>
      <c r="N50" s="112">
        <f>SUM(L50:M50)</f>
        <v>460.08</v>
      </c>
      <c r="O50" s="113"/>
      <c r="P50" s="111">
        <v>51.07</v>
      </c>
      <c r="Q50" s="111">
        <v>409.01</v>
      </c>
      <c r="R50" s="112">
        <f t="shared" si="8"/>
        <v>460.08</v>
      </c>
      <c r="S50" s="113"/>
      <c r="T50" s="114">
        <f>N50-R50</f>
        <v>0</v>
      </c>
    </row>
    <row r="51" spans="1:20" x14ac:dyDescent="0.25">
      <c r="A51" s="79">
        <v>17</v>
      </c>
      <c r="B51" s="102">
        <v>4.0999999999999996</v>
      </c>
      <c r="C51" s="104">
        <v>2.0880000000000001</v>
      </c>
      <c r="D51" s="100">
        <f>VLOOKUP($C51,Лист5!$A$1:$B$104,2,)+8</f>
        <v>61.171999999999997</v>
      </c>
      <c r="E51" s="103"/>
      <c r="F51" s="103"/>
      <c r="G51" s="99">
        <f t="shared" si="7"/>
        <v>61.171999999999997</v>
      </c>
      <c r="J51" s="106"/>
      <c r="K51" s="106" t="s">
        <v>158</v>
      </c>
      <c r="L51" s="106" t="s">
        <v>164</v>
      </c>
      <c r="M51" s="106" t="s">
        <v>164</v>
      </c>
      <c r="N51" s="107">
        <f>SUM(L51:M51)</f>
        <v>0</v>
      </c>
      <c r="P51" s="109">
        <v>60.14</v>
      </c>
      <c r="Q51" s="109">
        <v>338.43</v>
      </c>
      <c r="R51" s="110">
        <f t="shared" si="8"/>
        <v>398.57</v>
      </c>
      <c r="T51" s="101">
        <f>N51-R51</f>
        <v>-398.57</v>
      </c>
    </row>
    <row r="52" spans="1:20" x14ac:dyDescent="0.25">
      <c r="A52" s="135">
        <v>18</v>
      </c>
      <c r="B52" s="135">
        <v>1</v>
      </c>
      <c r="C52" s="136">
        <v>2.0049999999999999</v>
      </c>
      <c r="D52" s="137"/>
      <c r="E52" s="137">
        <v>48.22</v>
      </c>
      <c r="F52" s="137"/>
      <c r="G52" s="137">
        <f t="shared" si="7"/>
        <v>48.22</v>
      </c>
      <c r="J52" s="111"/>
      <c r="K52" s="111" t="s">
        <v>159</v>
      </c>
      <c r="L52" s="111">
        <v>16.09</v>
      </c>
      <c r="M52" s="111" t="s">
        <v>164</v>
      </c>
      <c r="N52" s="112">
        <f>SUM(L52:M52)</f>
        <v>16.09</v>
      </c>
      <c r="O52" s="113"/>
      <c r="P52" s="111" t="s">
        <v>164</v>
      </c>
      <c r="Q52" s="111" t="s">
        <v>164</v>
      </c>
      <c r="R52" s="112">
        <f t="shared" si="8"/>
        <v>0</v>
      </c>
      <c r="S52" s="113"/>
      <c r="T52" s="114">
        <f>N52-R52</f>
        <v>16.09</v>
      </c>
    </row>
    <row r="53" spans="1:20" x14ac:dyDescent="0.25">
      <c r="A53" s="79">
        <v>19</v>
      </c>
      <c r="B53" s="102">
        <v>4.0999999999999996</v>
      </c>
      <c r="C53" s="115">
        <v>2.0840000000000001</v>
      </c>
      <c r="D53" s="117"/>
      <c r="E53" s="100">
        <f>VLOOKUP($C53,Лист5!$A$1:$B$104,2,)</f>
        <v>77.849999999999994</v>
      </c>
      <c r="F53" s="103"/>
      <c r="G53" s="99">
        <f t="shared" si="7"/>
        <v>77.849999999999994</v>
      </c>
      <c r="J53" s="106"/>
      <c r="K53" s="106" t="s">
        <v>160</v>
      </c>
      <c r="L53" s="106">
        <v>2.4</v>
      </c>
      <c r="M53" s="106" t="s">
        <v>164</v>
      </c>
      <c r="N53" s="107">
        <f>SUM(L53:M53)</f>
        <v>2.4</v>
      </c>
      <c r="P53" s="109" t="s">
        <v>164</v>
      </c>
      <c r="Q53" s="109" t="s">
        <v>164</v>
      </c>
      <c r="R53" s="110">
        <f t="shared" si="8"/>
        <v>0</v>
      </c>
      <c r="T53" s="101">
        <f>N53-R53</f>
        <v>2.4</v>
      </c>
    </row>
    <row r="54" spans="1:20" x14ac:dyDescent="0.25">
      <c r="A54" s="79">
        <v>20</v>
      </c>
      <c r="B54" s="102">
        <v>4.0999999999999996</v>
      </c>
      <c r="C54" s="115">
        <v>2.0870000000000002</v>
      </c>
      <c r="D54" s="117"/>
      <c r="E54" s="100">
        <f>VLOOKUP($C54,Лист5!$A$1:$B$104,2,)</f>
        <v>83.33</v>
      </c>
      <c r="F54" s="103"/>
      <c r="G54" s="99">
        <f t="shared" si="7"/>
        <v>83.33</v>
      </c>
    </row>
    <row r="55" spans="1:20" x14ac:dyDescent="0.25">
      <c r="A55" s="79">
        <v>21</v>
      </c>
      <c r="B55" s="102">
        <v>4.0999999999999996</v>
      </c>
      <c r="C55" s="115">
        <v>2.109</v>
      </c>
      <c r="D55" s="117"/>
      <c r="E55" s="100">
        <f>VLOOKUP($C55,Лист5!$A$1:$B$104,2,)</f>
        <v>105.714</v>
      </c>
      <c r="F55" s="103"/>
      <c r="G55" s="99">
        <f t="shared" si="7"/>
        <v>105.714</v>
      </c>
    </row>
    <row r="56" spans="1:20" x14ac:dyDescent="0.25">
      <c r="A56" s="135">
        <v>22</v>
      </c>
      <c r="B56" s="135">
        <v>4.0999999999999996</v>
      </c>
      <c r="C56" s="136">
        <v>2.16</v>
      </c>
      <c r="D56" s="138"/>
      <c r="E56" s="137">
        <f>VLOOKUP($C56,Лист5!$A$1:$B$104,2,)</f>
        <v>78.209999999999994</v>
      </c>
      <c r="F56" s="137"/>
      <c r="G56" s="137">
        <f t="shared" si="7"/>
        <v>78.209999999999994</v>
      </c>
    </row>
    <row r="57" spans="1:20" x14ac:dyDescent="0.25">
      <c r="A57" s="79">
        <v>23</v>
      </c>
      <c r="B57" s="102">
        <v>4.0999999999999996</v>
      </c>
      <c r="C57" s="115">
        <v>2.1680000000000001</v>
      </c>
      <c r="D57" s="117"/>
      <c r="E57" s="100">
        <f>VLOOKUP($C57,Лист5!$A$1:$B$104,2,)</f>
        <v>42</v>
      </c>
      <c r="F57" s="103"/>
      <c r="G57" s="99">
        <f t="shared" si="7"/>
        <v>42</v>
      </c>
    </row>
    <row r="58" spans="1:20" x14ac:dyDescent="0.25">
      <c r="A58" s="79"/>
      <c r="B58" s="79"/>
      <c r="C58" s="79" t="s">
        <v>19</v>
      </c>
      <c r="D58" s="99">
        <f t="shared" ref="D58:E58" si="9">SUM(D35:D57)</f>
        <v>3430.5099999999998</v>
      </c>
      <c r="E58" s="99">
        <f t="shared" si="9"/>
        <v>435.32399999999996</v>
      </c>
      <c r="F58" s="99">
        <f>SUM(F35:F57)</f>
        <v>0</v>
      </c>
      <c r="G58" s="99">
        <f>SUM(G35:G51)</f>
        <v>3430.5099999999998</v>
      </c>
    </row>
    <row r="60" spans="1:20" x14ac:dyDescent="0.25">
      <c r="B60" s="93" t="s">
        <v>154</v>
      </c>
      <c r="C60" s="130"/>
      <c r="D60" s="95" t="s">
        <v>150</v>
      </c>
      <c r="E60" s="96" t="s">
        <v>152</v>
      </c>
      <c r="F60" s="96" t="s">
        <v>153</v>
      </c>
      <c r="J60" s="132" t="s">
        <v>154</v>
      </c>
      <c r="K60" s="130"/>
      <c r="L60" s="95" t="s">
        <v>150</v>
      </c>
      <c r="M60" s="96" t="s">
        <v>152</v>
      </c>
      <c r="N60" s="96" t="s">
        <v>153</v>
      </c>
    </row>
    <row r="61" spans="1:20" x14ac:dyDescent="0.25">
      <c r="B61" s="130">
        <v>1</v>
      </c>
      <c r="C61" s="130"/>
      <c r="D61" s="131">
        <f>SUM(D35:D45)</f>
        <v>1511.6744999999999</v>
      </c>
      <c r="E61" s="131">
        <f>E52</f>
        <v>48.22</v>
      </c>
      <c r="F61" s="131">
        <f>F54</f>
        <v>0</v>
      </c>
      <c r="J61" s="130">
        <v>1</v>
      </c>
      <c r="K61" s="130"/>
      <c r="L61" s="131">
        <f>L49</f>
        <v>1537.74</v>
      </c>
      <c r="M61" s="131">
        <f>L50</f>
        <v>51.07</v>
      </c>
      <c r="N61" s="131">
        <f>N54</f>
        <v>0</v>
      </c>
      <c r="P61" s="101">
        <f>L61-D61</f>
        <v>26.065500000000156</v>
      </c>
      <c r="Q61" s="101">
        <f>M61-E61</f>
        <v>2.8500000000000014</v>
      </c>
    </row>
    <row r="62" spans="1:20" x14ac:dyDescent="0.25">
      <c r="B62" s="130">
        <v>4.0999999999999996</v>
      </c>
      <c r="C62" s="130"/>
      <c r="D62" s="131">
        <f>SUM(D46:D51)</f>
        <v>1918.8355000000001</v>
      </c>
      <c r="E62" s="131">
        <f>SUM(E53:E57)</f>
        <v>387.10399999999998</v>
      </c>
      <c r="F62" s="131">
        <f>SUM(F55:F57)</f>
        <v>0</v>
      </c>
      <c r="J62" s="130">
        <v>4.0999999999999996</v>
      </c>
      <c r="K62" s="130"/>
      <c r="L62" s="131">
        <f>M49</f>
        <v>1995.77</v>
      </c>
      <c r="M62" s="131">
        <f>M50</f>
        <v>409.01</v>
      </c>
      <c r="N62" s="131">
        <f>SUM(N55:N57)</f>
        <v>0</v>
      </c>
      <c r="P62" s="101">
        <f>L62-D62</f>
        <v>76.934499999999844</v>
      </c>
      <c r="Q62" s="101">
        <f>M62-E62</f>
        <v>21.906000000000006</v>
      </c>
    </row>
    <row r="63" spans="1:20" x14ac:dyDescent="0.25">
      <c r="D63" s="101"/>
      <c r="E63" s="101"/>
      <c r="F63" s="101"/>
    </row>
    <row r="64" spans="1:20" x14ac:dyDescent="0.25">
      <c r="D64" s="101"/>
      <c r="E64" s="101"/>
      <c r="F64" s="101"/>
    </row>
    <row r="65" spans="1:8" x14ac:dyDescent="0.25">
      <c r="D65" s="101"/>
      <c r="E65" s="101"/>
      <c r="F65" s="101"/>
    </row>
    <row r="66" spans="1:8" x14ac:dyDescent="0.25">
      <c r="D66" s="101"/>
      <c r="E66" s="101"/>
      <c r="F66" s="101"/>
    </row>
    <row r="67" spans="1:8" x14ac:dyDescent="0.25">
      <c r="A67" s="142" t="s">
        <v>2</v>
      </c>
      <c r="B67" s="142"/>
      <c r="C67" s="142"/>
      <c r="D67" s="142"/>
      <c r="E67" s="142"/>
      <c r="F67" s="142"/>
      <c r="G67" s="142"/>
    </row>
    <row r="68" spans="1:8" x14ac:dyDescent="0.25">
      <c r="A68" s="79"/>
      <c r="B68" s="79"/>
      <c r="C68" s="94"/>
      <c r="D68" s="95" t="s">
        <v>150</v>
      </c>
      <c r="E68" s="95" t="s">
        <v>151</v>
      </c>
      <c r="F68" s="96" t="s">
        <v>152</v>
      </c>
      <c r="G68" s="96" t="s">
        <v>153</v>
      </c>
      <c r="H68" s="80" t="s">
        <v>3</v>
      </c>
    </row>
    <row r="69" spans="1:8" x14ac:dyDescent="0.25">
      <c r="A69" s="79" t="s">
        <v>0</v>
      </c>
      <c r="B69" s="79" t="s">
        <v>154</v>
      </c>
      <c r="C69" s="97" t="s">
        <v>5</v>
      </c>
      <c r="D69" s="98" t="s">
        <v>4</v>
      </c>
      <c r="E69" s="98" t="s">
        <v>4</v>
      </c>
      <c r="F69" s="98" t="s">
        <v>4</v>
      </c>
      <c r="G69" s="98" t="s">
        <v>4</v>
      </c>
      <c r="H69" s="99" t="s">
        <v>4</v>
      </c>
    </row>
    <row r="70" spans="1:8" x14ac:dyDescent="0.25">
      <c r="A70" s="135">
        <v>1</v>
      </c>
      <c r="B70" s="135">
        <v>1</v>
      </c>
      <c r="C70" s="136">
        <v>3.0009999999999999</v>
      </c>
      <c r="D70" s="137">
        <f>VLOOKUP($C70,Лист5!$A$1:$B$104,2,)</f>
        <v>168.78</v>
      </c>
      <c r="E70" s="137"/>
      <c r="F70" s="137"/>
      <c r="G70" s="137"/>
      <c r="H70" s="137">
        <f t="shared" ref="H70:H88" si="10">SUM(D70:G70)</f>
        <v>168.78</v>
      </c>
    </row>
    <row r="71" spans="1:8" x14ac:dyDescent="0.25">
      <c r="A71" s="135">
        <v>2</v>
      </c>
      <c r="B71" s="135">
        <v>1</v>
      </c>
      <c r="C71" s="136">
        <v>3.0019999999999998</v>
      </c>
      <c r="D71" s="137">
        <f>VLOOKUP($C71,Лист5!$A$1:$B$104,2,)</f>
        <v>105.58</v>
      </c>
      <c r="E71" s="137"/>
      <c r="F71" s="137"/>
      <c r="G71" s="137"/>
      <c r="H71" s="137">
        <f t="shared" si="10"/>
        <v>105.58</v>
      </c>
    </row>
    <row r="72" spans="1:8" x14ac:dyDescent="0.25">
      <c r="A72" s="135">
        <v>3</v>
      </c>
      <c r="B72" s="135">
        <v>1</v>
      </c>
      <c r="C72" s="136">
        <v>3.0030000000000001</v>
      </c>
      <c r="D72" s="137">
        <f>VLOOKUP($C72,Лист5!$A$1:$B$104,2,)</f>
        <v>105.79</v>
      </c>
      <c r="E72" s="137"/>
      <c r="F72" s="137"/>
      <c r="G72" s="137"/>
      <c r="H72" s="137">
        <f t="shared" si="10"/>
        <v>105.79</v>
      </c>
    </row>
    <row r="73" spans="1:8" x14ac:dyDescent="0.25">
      <c r="A73" s="79">
        <v>4</v>
      </c>
      <c r="B73" s="79">
        <v>1</v>
      </c>
      <c r="C73" s="115">
        <v>3.004</v>
      </c>
      <c r="D73" s="100">
        <f>VLOOKUP($C73,Лист5!$A$1:$B$104,2,)</f>
        <v>116.51</v>
      </c>
      <c r="E73" s="103"/>
      <c r="F73" s="103"/>
      <c r="G73" s="103"/>
      <c r="H73" s="99">
        <f t="shared" si="10"/>
        <v>116.51</v>
      </c>
    </row>
    <row r="74" spans="1:8" x14ac:dyDescent="0.25">
      <c r="A74" s="135">
        <v>5</v>
      </c>
      <c r="B74" s="135">
        <v>1</v>
      </c>
      <c r="C74" s="136">
        <v>3.0049999999999999</v>
      </c>
      <c r="D74" s="137">
        <f>VLOOKUP($C74,Лист5!$A$1:$B$104,2,)</f>
        <v>402.53</v>
      </c>
      <c r="E74" s="137"/>
      <c r="F74" s="137"/>
      <c r="G74" s="137"/>
      <c r="H74" s="137">
        <f t="shared" si="10"/>
        <v>402.53</v>
      </c>
    </row>
    <row r="75" spans="1:8" x14ac:dyDescent="0.25">
      <c r="A75" s="79">
        <v>6</v>
      </c>
      <c r="B75" s="79">
        <v>1</v>
      </c>
      <c r="C75" s="115">
        <v>3.008</v>
      </c>
      <c r="D75" s="100">
        <f>VLOOKUP($C75,Лист5!$A$1:$B$104,2,)</f>
        <v>102.57</v>
      </c>
      <c r="E75" s="103"/>
      <c r="F75" s="103"/>
      <c r="G75" s="103"/>
      <c r="H75" s="99">
        <f t="shared" si="10"/>
        <v>102.57</v>
      </c>
    </row>
    <row r="76" spans="1:8" x14ac:dyDescent="0.25">
      <c r="A76" s="79">
        <v>7</v>
      </c>
      <c r="B76" s="79">
        <v>1</v>
      </c>
      <c r="C76" s="115">
        <v>3.0089999999999999</v>
      </c>
      <c r="D76" s="100">
        <f>VLOOKUP($C76,Лист5!$A$1:$B$104,2,)</f>
        <v>104.69999999999999</v>
      </c>
      <c r="E76" s="103"/>
      <c r="F76" s="103"/>
      <c r="G76" s="103"/>
      <c r="H76" s="99">
        <f t="shared" si="10"/>
        <v>104.69999999999999</v>
      </c>
    </row>
    <row r="77" spans="1:8" x14ac:dyDescent="0.25">
      <c r="A77" s="79">
        <v>8</v>
      </c>
      <c r="B77" s="79">
        <v>1</v>
      </c>
      <c r="C77" s="115">
        <v>3.01</v>
      </c>
      <c r="D77" s="100">
        <f>VLOOKUP($C77,Лист5!$A$1:$B$104,2,)</f>
        <v>101.61</v>
      </c>
      <c r="E77" s="103"/>
      <c r="F77" s="103"/>
      <c r="G77" s="103"/>
      <c r="H77" s="99">
        <f t="shared" si="10"/>
        <v>101.61</v>
      </c>
    </row>
    <row r="78" spans="1:8" x14ac:dyDescent="0.25">
      <c r="A78" s="79">
        <v>9</v>
      </c>
      <c r="B78" s="79">
        <v>1</v>
      </c>
      <c r="C78" s="115">
        <v>3.0110000000000001</v>
      </c>
      <c r="D78" s="100">
        <f>VLOOKUP($C78,Лист5!$A$1:$B$104,2,)</f>
        <v>105.25</v>
      </c>
      <c r="E78" s="103"/>
      <c r="F78" s="103"/>
      <c r="G78" s="103"/>
      <c r="H78" s="99">
        <f t="shared" si="10"/>
        <v>105.25</v>
      </c>
    </row>
    <row r="79" spans="1:8" x14ac:dyDescent="0.25">
      <c r="A79" s="79">
        <v>10</v>
      </c>
      <c r="B79" s="79">
        <v>1</v>
      </c>
      <c r="C79" s="115">
        <v>3.012</v>
      </c>
      <c r="D79" s="100">
        <f>VLOOKUP($C79,Лист5!$A$1:$B$104,2,)</f>
        <v>105.33</v>
      </c>
      <c r="E79" s="103"/>
      <c r="F79" s="103"/>
      <c r="G79" s="103"/>
      <c r="H79" s="99">
        <f t="shared" si="10"/>
        <v>105.33</v>
      </c>
    </row>
    <row r="80" spans="1:8" x14ac:dyDescent="0.25">
      <c r="A80" s="79">
        <v>11</v>
      </c>
      <c r="B80" s="79">
        <v>1</v>
      </c>
      <c r="C80" s="115">
        <v>3.0129999999999999</v>
      </c>
      <c r="D80" s="100">
        <f>VLOOKUP($C80,Лист5!$A$1:$B$104,2,)</f>
        <v>101.95</v>
      </c>
      <c r="E80" s="103"/>
      <c r="F80" s="103"/>
      <c r="G80" s="103"/>
      <c r="H80" s="99">
        <f t="shared" si="10"/>
        <v>101.95</v>
      </c>
    </row>
    <row r="81" spans="1:20" x14ac:dyDescent="0.25">
      <c r="A81" s="79">
        <v>12</v>
      </c>
      <c r="B81" s="79">
        <v>1</v>
      </c>
      <c r="C81" s="115">
        <v>3.0139999999999998</v>
      </c>
      <c r="D81" s="100">
        <f>VLOOKUP($C81,Лист5!$A$1:$B$104,2,)</f>
        <v>221.42</v>
      </c>
      <c r="E81" s="103"/>
      <c r="F81" s="103"/>
      <c r="G81" s="103"/>
      <c r="H81" s="99">
        <f t="shared" si="10"/>
        <v>221.42</v>
      </c>
    </row>
    <row r="82" spans="1:20" x14ac:dyDescent="0.25">
      <c r="A82" s="79">
        <v>13</v>
      </c>
      <c r="B82" s="102">
        <v>4.0999999999999996</v>
      </c>
      <c r="C82" s="115">
        <v>3.0190000000000001</v>
      </c>
      <c r="D82" s="100">
        <f>VLOOKUP($C82,Лист5!$A$1:$B$104,2,)</f>
        <v>283.38</v>
      </c>
      <c r="E82" s="103"/>
      <c r="F82" s="103"/>
      <c r="G82" s="103"/>
      <c r="H82" s="99">
        <f t="shared" si="10"/>
        <v>283.38</v>
      </c>
      <c r="J82" s="111" t="s">
        <v>163</v>
      </c>
      <c r="K82" s="111" t="s">
        <v>156</v>
      </c>
      <c r="L82" s="111">
        <v>1765.15</v>
      </c>
      <c r="M82" s="111">
        <v>642.66</v>
      </c>
      <c r="N82" s="112">
        <f t="shared" ref="N82:N87" si="11">SUM(L82:M82)</f>
        <v>2407.81</v>
      </c>
      <c r="O82" s="113"/>
      <c r="P82" s="111">
        <v>1762.76</v>
      </c>
      <c r="Q82" s="111">
        <v>642.66</v>
      </c>
      <c r="R82" s="112">
        <f t="shared" ref="R82:R87" si="12">SUM(P82:Q82)</f>
        <v>2405.42</v>
      </c>
      <c r="S82" s="113"/>
      <c r="T82" s="114">
        <f t="shared" ref="T82:T87" si="13">N82-R82</f>
        <v>2.3899999999998727</v>
      </c>
    </row>
    <row r="83" spans="1:20" x14ac:dyDescent="0.25">
      <c r="A83" s="79">
        <v>14</v>
      </c>
      <c r="B83" s="102">
        <v>4.0999999999999996</v>
      </c>
      <c r="C83" s="115">
        <v>3.02</v>
      </c>
      <c r="D83" s="100">
        <f>VLOOKUP($C83,Лист5!$A$1:$B$104,2,)</f>
        <v>317.98</v>
      </c>
      <c r="E83" s="103"/>
      <c r="F83" s="103"/>
      <c r="G83" s="103"/>
      <c r="H83" s="99">
        <f t="shared" si="10"/>
        <v>317.98</v>
      </c>
      <c r="J83" s="106"/>
      <c r="K83" s="106" t="s">
        <v>166</v>
      </c>
      <c r="L83" s="106"/>
      <c r="M83" s="106">
        <v>182.74</v>
      </c>
      <c r="N83" s="107">
        <f t="shared" si="11"/>
        <v>182.74</v>
      </c>
      <c r="P83" s="109"/>
      <c r="Q83" s="109">
        <v>182.74</v>
      </c>
      <c r="R83" s="110">
        <f t="shared" si="12"/>
        <v>182.74</v>
      </c>
      <c r="T83" s="101">
        <f t="shared" si="13"/>
        <v>0</v>
      </c>
    </row>
    <row r="84" spans="1:20" x14ac:dyDescent="0.25">
      <c r="A84" s="79">
        <v>15</v>
      </c>
      <c r="B84" s="102">
        <v>4.0999999999999996</v>
      </c>
      <c r="C84" s="104" t="s">
        <v>121</v>
      </c>
      <c r="D84" s="103"/>
      <c r="E84" s="100">
        <v>182.74</v>
      </c>
      <c r="F84" s="103"/>
      <c r="G84" s="103"/>
      <c r="H84" s="99">
        <f t="shared" si="10"/>
        <v>182.74</v>
      </c>
      <c r="J84" s="111"/>
      <c r="K84" s="111" t="s">
        <v>157</v>
      </c>
      <c r="L84" s="111">
        <v>49.99</v>
      </c>
      <c r="M84" s="111">
        <v>189.76</v>
      </c>
      <c r="N84" s="112">
        <f t="shared" si="11"/>
        <v>239.75</v>
      </c>
      <c r="O84" s="113"/>
      <c r="P84" s="111">
        <v>51.07</v>
      </c>
      <c r="Q84" s="111">
        <v>193.9</v>
      </c>
      <c r="R84" s="112">
        <f t="shared" si="12"/>
        <v>244.97</v>
      </c>
      <c r="S84" s="113"/>
      <c r="T84" s="114">
        <f t="shared" si="13"/>
        <v>-5.2199999999999989</v>
      </c>
    </row>
    <row r="85" spans="1:20" x14ac:dyDescent="0.25">
      <c r="A85" s="135">
        <v>16</v>
      </c>
      <c r="B85" s="135">
        <v>1</v>
      </c>
      <c r="C85" s="139">
        <v>3.0059999999999998</v>
      </c>
      <c r="D85" s="137"/>
      <c r="E85" s="137"/>
      <c r="F85" s="137">
        <f>VLOOKUP($C85,Лист5!$A$1:$B$104,2,)</f>
        <v>48.730000000000004</v>
      </c>
      <c r="G85" s="137"/>
      <c r="H85" s="137">
        <f t="shared" si="10"/>
        <v>48.730000000000004</v>
      </c>
      <c r="J85" s="106"/>
      <c r="K85" s="106" t="s">
        <v>158</v>
      </c>
      <c r="L85" s="106" t="s">
        <v>164</v>
      </c>
      <c r="M85" s="106" t="s">
        <v>164</v>
      </c>
      <c r="N85" s="107">
        <f t="shared" si="11"/>
        <v>0</v>
      </c>
      <c r="P85" s="109">
        <v>60.25</v>
      </c>
      <c r="Q85" s="109" t="s">
        <v>164</v>
      </c>
      <c r="R85" s="110">
        <f t="shared" si="12"/>
        <v>60.25</v>
      </c>
      <c r="T85" s="101">
        <f t="shared" si="13"/>
        <v>-60.25</v>
      </c>
    </row>
    <row r="86" spans="1:20" x14ac:dyDescent="0.25">
      <c r="A86" s="79">
        <v>17</v>
      </c>
      <c r="B86" s="102">
        <v>4.0999999999999996</v>
      </c>
      <c r="C86" s="104">
        <v>3.0209999999999999</v>
      </c>
      <c r="D86" s="103"/>
      <c r="E86" s="103"/>
      <c r="F86" s="100">
        <f>VLOOKUP($C86,Лист5!$A$1:$B$104,2,)</f>
        <v>85.69</v>
      </c>
      <c r="G86" s="103"/>
      <c r="H86" s="99">
        <f t="shared" si="10"/>
        <v>85.69</v>
      </c>
      <c r="J86" s="111"/>
      <c r="K86" s="111" t="s">
        <v>159</v>
      </c>
      <c r="L86" s="111">
        <v>17.940000000000001</v>
      </c>
      <c r="M86" s="111"/>
      <c r="N86" s="112">
        <f t="shared" si="11"/>
        <v>17.940000000000001</v>
      </c>
      <c r="O86" s="113"/>
      <c r="P86" s="111" t="s">
        <v>164</v>
      </c>
      <c r="Q86" s="111" t="s">
        <v>164</v>
      </c>
      <c r="R86" s="112">
        <f t="shared" si="12"/>
        <v>0</v>
      </c>
      <c r="S86" s="113"/>
      <c r="T86" s="114">
        <f t="shared" si="13"/>
        <v>17.940000000000001</v>
      </c>
    </row>
    <row r="87" spans="1:20" x14ac:dyDescent="0.25">
      <c r="A87" s="135">
        <v>18</v>
      </c>
      <c r="B87" s="135">
        <v>4.0999999999999996</v>
      </c>
      <c r="C87" s="139">
        <v>3.085</v>
      </c>
      <c r="D87" s="137"/>
      <c r="E87" s="137"/>
      <c r="F87" s="137">
        <f>VLOOKUP($C87,Лист5!$A$1:$B$104,2,)</f>
        <v>54.81</v>
      </c>
      <c r="G87" s="137"/>
      <c r="H87" s="137">
        <f t="shared" si="10"/>
        <v>54.81</v>
      </c>
      <c r="J87" s="106"/>
      <c r="K87" s="106" t="s">
        <v>160</v>
      </c>
      <c r="L87" s="106">
        <v>3.6</v>
      </c>
      <c r="M87" s="106"/>
      <c r="N87" s="107">
        <f t="shared" si="11"/>
        <v>3.6</v>
      </c>
      <c r="P87" s="109" t="s">
        <v>164</v>
      </c>
      <c r="Q87" s="109" t="s">
        <v>164</v>
      </c>
      <c r="R87" s="110">
        <f t="shared" si="12"/>
        <v>0</v>
      </c>
      <c r="T87" s="101">
        <f t="shared" si="13"/>
        <v>3.6</v>
      </c>
    </row>
    <row r="88" spans="1:20" x14ac:dyDescent="0.25">
      <c r="A88" s="79">
        <v>19</v>
      </c>
      <c r="B88" s="102">
        <v>4.0999999999999996</v>
      </c>
      <c r="C88" s="104">
        <v>3.0939999999999999</v>
      </c>
      <c r="D88" s="103"/>
      <c r="E88" s="103"/>
      <c r="F88" s="100">
        <f>VLOOKUP($C88,Лист5!$A$1:$B$104,2,)</f>
        <v>62.410000000000004</v>
      </c>
      <c r="G88" s="103"/>
      <c r="H88" s="99">
        <f t="shared" si="10"/>
        <v>62.410000000000004</v>
      </c>
    </row>
    <row r="89" spans="1:20" x14ac:dyDescent="0.25">
      <c r="A89" s="79"/>
      <c r="B89" s="79"/>
      <c r="C89" s="79" t="s">
        <v>19</v>
      </c>
      <c r="D89" s="99">
        <f>SUM(D70:D88)</f>
        <v>2343.38</v>
      </c>
      <c r="E89" s="99">
        <f t="shared" ref="E89:F89" si="14">SUM(E70:E88)</f>
        <v>182.74</v>
      </c>
      <c r="F89" s="99">
        <f t="shared" si="14"/>
        <v>251.64000000000001</v>
      </c>
      <c r="G89" s="99">
        <f t="shared" ref="G89" si="15">SUM(G70:G88)</f>
        <v>0</v>
      </c>
      <c r="H89" s="99">
        <f t="shared" ref="H89" si="16">SUM(H70:H88)</f>
        <v>2777.7599999999998</v>
      </c>
    </row>
    <row r="91" spans="1:20" x14ac:dyDescent="0.25">
      <c r="B91" s="93" t="s">
        <v>154</v>
      </c>
      <c r="C91" s="130"/>
      <c r="D91" s="95" t="s">
        <v>150</v>
      </c>
      <c r="E91" s="95" t="s">
        <v>151</v>
      </c>
      <c r="F91" s="96" t="s">
        <v>152</v>
      </c>
      <c r="G91" s="96" t="s">
        <v>153</v>
      </c>
      <c r="J91" s="132" t="s">
        <v>154</v>
      </c>
      <c r="K91" s="130"/>
      <c r="L91" s="95" t="s">
        <v>150</v>
      </c>
      <c r="M91" s="95" t="s">
        <v>151</v>
      </c>
      <c r="N91" s="96" t="s">
        <v>152</v>
      </c>
      <c r="O91" s="96" t="s">
        <v>153</v>
      </c>
    </row>
    <row r="92" spans="1:20" x14ac:dyDescent="0.25">
      <c r="B92" s="130">
        <v>1</v>
      </c>
      <c r="C92" s="130"/>
      <c r="D92" s="131">
        <f>SUM(D70:D81)</f>
        <v>1742.02</v>
      </c>
      <c r="E92" s="130"/>
      <c r="F92" s="131">
        <f>F85</f>
        <v>48.730000000000004</v>
      </c>
      <c r="G92" s="130"/>
      <c r="J92" s="130">
        <v>1</v>
      </c>
      <c r="K92" s="130"/>
      <c r="L92" s="131">
        <f>L82</f>
        <v>1765.15</v>
      </c>
      <c r="M92" s="130">
        <f>L83</f>
        <v>0</v>
      </c>
      <c r="N92" s="131">
        <f>L84</f>
        <v>49.99</v>
      </c>
      <c r="O92" s="130"/>
      <c r="P92" s="101">
        <f t="shared" ref="P92:S93" si="17">L92-D92</f>
        <v>23.130000000000109</v>
      </c>
      <c r="Q92" s="101">
        <f t="shared" si="17"/>
        <v>0</v>
      </c>
      <c r="R92" s="101">
        <f t="shared" si="17"/>
        <v>1.259999999999998</v>
      </c>
      <c r="S92" s="101">
        <f t="shared" si="17"/>
        <v>0</v>
      </c>
    </row>
    <row r="93" spans="1:20" x14ac:dyDescent="0.25">
      <c r="B93" s="130">
        <v>4.0999999999999996</v>
      </c>
      <c r="C93" s="130"/>
      <c r="D93" s="131">
        <f>SUM(D82:D83)</f>
        <v>601.36</v>
      </c>
      <c r="E93" s="131">
        <f>E84</f>
        <v>182.74</v>
      </c>
      <c r="F93" s="131">
        <f>SUM(F86:F88)</f>
        <v>202.91</v>
      </c>
      <c r="G93" s="130"/>
      <c r="J93" s="130">
        <v>4.0999999999999996</v>
      </c>
      <c r="K93" s="130"/>
      <c r="L93" s="131">
        <f>M82</f>
        <v>642.66</v>
      </c>
      <c r="M93" s="131">
        <f>M83</f>
        <v>182.74</v>
      </c>
      <c r="N93" s="131">
        <f>M84</f>
        <v>189.76</v>
      </c>
      <c r="O93" s="130"/>
      <c r="P93" s="101">
        <f t="shared" si="17"/>
        <v>41.299999999999955</v>
      </c>
      <c r="Q93" s="101">
        <f t="shared" si="17"/>
        <v>0</v>
      </c>
      <c r="R93" s="101">
        <f t="shared" si="17"/>
        <v>-13.150000000000006</v>
      </c>
      <c r="S93" s="101">
        <f t="shared" si="17"/>
        <v>0</v>
      </c>
    </row>
  </sheetData>
  <mergeCells count="3">
    <mergeCell ref="A1:G1"/>
    <mergeCell ref="A32:G32"/>
    <mergeCell ref="A67:G67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5"/>
  <sheetViews>
    <sheetView zoomScale="70" zoomScaleNormal="70" workbookViewId="0">
      <selection activeCell="F3" sqref="F3"/>
    </sheetView>
  </sheetViews>
  <sheetFormatPr defaultRowHeight="18.75" x14ac:dyDescent="0.3"/>
  <cols>
    <col min="1" max="1" width="7.5703125" style="86" customWidth="1"/>
    <col min="2" max="2" width="61.7109375" style="90" customWidth="1"/>
    <col min="3" max="3" width="49.140625" style="90" customWidth="1"/>
    <col min="4" max="4" width="12.140625" style="86" customWidth="1"/>
    <col min="5" max="5" width="19.42578125" style="86" customWidth="1"/>
    <col min="6" max="6" width="11.42578125" style="86" customWidth="1"/>
    <col min="7" max="16384" width="9.140625" style="86"/>
  </cols>
  <sheetData>
    <row r="1" spans="1:6" x14ac:dyDescent="0.3">
      <c r="A1" s="81"/>
      <c r="B1" s="82" t="s">
        <v>148</v>
      </c>
      <c r="C1" s="82"/>
      <c r="D1" s="83"/>
      <c r="E1" s="84"/>
      <c r="F1" s="85"/>
    </row>
    <row r="2" spans="1:6" s="92" customFormat="1" x14ac:dyDescent="0.25">
      <c r="A2" s="81" t="s">
        <v>0</v>
      </c>
      <c r="B2" s="91" t="s">
        <v>1</v>
      </c>
      <c r="C2" s="91" t="s">
        <v>149</v>
      </c>
      <c r="D2" s="83" t="s">
        <v>15</v>
      </c>
      <c r="E2" s="84" t="s">
        <v>16</v>
      </c>
      <c r="F2" s="83" t="s">
        <v>8</v>
      </c>
    </row>
    <row r="3" spans="1:6" ht="56.25" x14ac:dyDescent="0.3">
      <c r="A3" s="87">
        <v>1</v>
      </c>
      <c r="B3" s="88" t="s">
        <v>145</v>
      </c>
      <c r="C3" s="88" t="s">
        <v>174</v>
      </c>
      <c r="D3" s="87" t="s">
        <v>82</v>
      </c>
      <c r="E3" s="87">
        <v>1</v>
      </c>
      <c r="F3" s="129">
        <f>'2.2)Шп1эт'!F24+'2.3)Шп2эт'!F25+'2.4)Шп3эт'!G17</f>
        <v>8114.59</v>
      </c>
    </row>
    <row r="4" spans="1:6" ht="37.5" x14ac:dyDescent="0.3">
      <c r="A4" s="87">
        <v>1.1000000000000001</v>
      </c>
      <c r="B4" s="88" t="s">
        <v>146</v>
      </c>
      <c r="C4" s="88"/>
      <c r="D4" s="87" t="s">
        <v>10</v>
      </c>
      <c r="E4" s="87">
        <v>1.8</v>
      </c>
      <c r="F4" s="129">
        <f>E4*F3</f>
        <v>14606.262000000001</v>
      </c>
    </row>
    <row r="5" spans="1:6" ht="37.5" x14ac:dyDescent="0.3">
      <c r="A5" s="87">
        <v>1.2</v>
      </c>
      <c r="B5" s="88" t="s">
        <v>147</v>
      </c>
      <c r="C5" s="88"/>
      <c r="D5" s="87" t="s">
        <v>10</v>
      </c>
      <c r="E5" s="87">
        <v>0.15</v>
      </c>
      <c r="F5" s="89">
        <f>E5*F3</f>
        <v>1217.1885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4"/>
  <sheetViews>
    <sheetView zoomScale="85" zoomScaleNormal="85" workbookViewId="0">
      <selection activeCell="G2" sqref="G1:G1048576"/>
    </sheetView>
  </sheetViews>
  <sheetFormatPr defaultRowHeight="15" x14ac:dyDescent="0.25"/>
  <cols>
    <col min="3" max="3" width="11.5703125" customWidth="1"/>
    <col min="4" max="6" width="10.5703125" customWidth="1"/>
  </cols>
  <sheetData>
    <row r="1" spans="1:6" ht="15.75" x14ac:dyDescent="0.25">
      <c r="A1" s="142" t="s">
        <v>2</v>
      </c>
      <c r="B1" s="142"/>
      <c r="C1" s="142"/>
      <c r="D1" s="142"/>
      <c r="E1" s="142"/>
      <c r="F1" s="142"/>
    </row>
    <row r="2" spans="1:6" ht="15.75" x14ac:dyDescent="0.25">
      <c r="A2" s="133"/>
      <c r="B2" s="133"/>
      <c r="C2" s="94"/>
      <c r="D2" s="95" t="s">
        <v>150</v>
      </c>
      <c r="E2" s="96" t="s">
        <v>152</v>
      </c>
      <c r="F2" s="80" t="s">
        <v>3</v>
      </c>
    </row>
    <row r="3" spans="1:6" ht="15.75" x14ac:dyDescent="0.25">
      <c r="A3" s="133" t="s">
        <v>0</v>
      </c>
      <c r="B3" s="133" t="s">
        <v>154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75" x14ac:dyDescent="0.25">
      <c r="A4" s="133">
        <v>1</v>
      </c>
      <c r="B4" s="133">
        <v>1</v>
      </c>
      <c r="C4" s="119">
        <v>1.028</v>
      </c>
      <c r="D4" s="100">
        <f>VLOOKUP($C4,Лист5!$A$1:$B$104,2,)+15</f>
        <v>118.27</v>
      </c>
      <c r="E4" s="99"/>
      <c r="F4" s="99">
        <f t="shared" ref="F4:F23" si="0">SUM(D4:E4)</f>
        <v>118.27</v>
      </c>
    </row>
    <row r="5" spans="1:6" ht="15.75" x14ac:dyDescent="0.25">
      <c r="A5" s="133">
        <v>2</v>
      </c>
      <c r="B5" s="133">
        <v>1</v>
      </c>
      <c r="C5" s="119">
        <v>1.0269999999999999</v>
      </c>
      <c r="D5" s="100">
        <f>VLOOKUP($C5,Лист5!$A$1:$B$104,2,)+15</f>
        <v>125.55</v>
      </c>
      <c r="E5" s="99"/>
      <c r="F5" s="99">
        <f t="shared" si="0"/>
        <v>125.55</v>
      </c>
    </row>
    <row r="6" spans="1:6" ht="15.75" x14ac:dyDescent="0.25">
      <c r="A6" s="133">
        <v>3</v>
      </c>
      <c r="B6" s="133">
        <v>1</v>
      </c>
      <c r="C6" s="119">
        <v>1.026</v>
      </c>
      <c r="D6" s="100">
        <f>284.86+35</f>
        <v>319.86</v>
      </c>
      <c r="E6" s="99"/>
      <c r="F6" s="99">
        <f t="shared" si="0"/>
        <v>319.86</v>
      </c>
    </row>
    <row r="7" spans="1:6" ht="15.75" x14ac:dyDescent="0.25">
      <c r="A7" s="134">
        <v>4</v>
      </c>
      <c r="B7" s="133">
        <v>1</v>
      </c>
      <c r="C7" s="119">
        <v>1.0289999999999999</v>
      </c>
      <c r="D7" s="100">
        <f>VLOOKUP($C7,Лист5!$A$1:$B$104,2,)+10</f>
        <v>102.42</v>
      </c>
      <c r="E7" s="99"/>
      <c r="F7" s="99">
        <f t="shared" si="0"/>
        <v>102.42</v>
      </c>
    </row>
    <row r="8" spans="1:6" ht="15.75" x14ac:dyDescent="0.25">
      <c r="A8" s="134">
        <v>5</v>
      </c>
      <c r="B8" s="133">
        <v>1</v>
      </c>
      <c r="C8" s="119">
        <v>1.03</v>
      </c>
      <c r="D8" s="100">
        <f>VLOOKUP($C8,Лист5!$A$1:$B$104,2,)+7</f>
        <v>101.91</v>
      </c>
      <c r="E8" s="99"/>
      <c r="F8" s="99">
        <f t="shared" si="0"/>
        <v>101.91</v>
      </c>
    </row>
    <row r="9" spans="1:6" ht="15.75" x14ac:dyDescent="0.25">
      <c r="A9" s="134">
        <v>6</v>
      </c>
      <c r="B9" s="133">
        <v>1</v>
      </c>
      <c r="C9" s="119">
        <v>1.0309999999999999</v>
      </c>
      <c r="D9" s="100">
        <f>VLOOKUP($C9,Лист5!$A$1:$B$104,2,)+8</f>
        <v>98.2</v>
      </c>
      <c r="E9" s="99"/>
      <c r="F9" s="99">
        <f t="shared" si="0"/>
        <v>98.2</v>
      </c>
    </row>
    <row r="10" spans="1:6" ht="15.75" x14ac:dyDescent="0.25">
      <c r="A10" s="134">
        <v>7</v>
      </c>
      <c r="B10" s="133">
        <v>1</v>
      </c>
      <c r="C10" s="119">
        <v>1.032</v>
      </c>
      <c r="D10" s="100">
        <f>VLOOKUP($C10,Лист5!$A$1:$B$104,2,)+7</f>
        <v>94.76</v>
      </c>
      <c r="E10" s="99"/>
      <c r="F10" s="99">
        <f t="shared" si="0"/>
        <v>94.76</v>
      </c>
    </row>
    <row r="11" spans="1:6" ht="15.75" x14ac:dyDescent="0.25">
      <c r="A11" s="134">
        <v>8</v>
      </c>
      <c r="B11" s="133">
        <v>1</v>
      </c>
      <c r="C11" s="119">
        <v>1.0329999999999999</v>
      </c>
      <c r="D11" s="100">
        <f>VLOOKUP($C11,Лист5!$A$1:$B$104,2,)+10</f>
        <v>152.44</v>
      </c>
      <c r="E11" s="99"/>
      <c r="F11" s="99">
        <f t="shared" si="0"/>
        <v>152.44</v>
      </c>
    </row>
    <row r="12" spans="1:6" ht="15.75" x14ac:dyDescent="0.25">
      <c r="A12" s="134">
        <v>9</v>
      </c>
      <c r="B12" s="133">
        <v>1</v>
      </c>
      <c r="C12" s="119">
        <v>1.0389999999999999</v>
      </c>
      <c r="D12" s="100">
        <f>VLOOKUP($C12,Лист5!$A$1:$B$104,2,)+15</f>
        <v>181.2</v>
      </c>
      <c r="E12" s="99"/>
      <c r="F12" s="99">
        <f t="shared" si="0"/>
        <v>181.2</v>
      </c>
    </row>
    <row r="13" spans="1:6" ht="15.75" x14ac:dyDescent="0.25">
      <c r="A13" s="134">
        <v>10</v>
      </c>
      <c r="B13" s="133">
        <v>4.0999999999999996</v>
      </c>
      <c r="C13" s="119">
        <v>1.04</v>
      </c>
      <c r="D13" s="100">
        <f>164+32.45+20</f>
        <v>216.45</v>
      </c>
      <c r="E13" s="99"/>
      <c r="F13" s="99">
        <f t="shared" si="0"/>
        <v>216.45</v>
      </c>
    </row>
    <row r="14" spans="1:6" ht="15.75" x14ac:dyDescent="0.25">
      <c r="A14" s="134">
        <v>11</v>
      </c>
      <c r="B14" s="133">
        <v>4.0999999999999996</v>
      </c>
      <c r="C14" s="119">
        <v>1.0429999999999999</v>
      </c>
      <c r="D14" s="100">
        <f>18+83.8</f>
        <v>101.8</v>
      </c>
      <c r="E14" s="99"/>
      <c r="F14" s="99">
        <f t="shared" si="0"/>
        <v>101.8</v>
      </c>
    </row>
    <row r="15" spans="1:6" ht="15.75" x14ac:dyDescent="0.25">
      <c r="A15" s="134">
        <v>12</v>
      </c>
      <c r="B15" s="133">
        <v>4.0999999999999996</v>
      </c>
      <c r="C15" s="119">
        <v>1.044</v>
      </c>
      <c r="D15" s="100">
        <v>67.3</v>
      </c>
      <c r="E15" s="99"/>
      <c r="F15" s="99">
        <f t="shared" si="0"/>
        <v>67.3</v>
      </c>
    </row>
    <row r="16" spans="1:6" ht="15.75" x14ac:dyDescent="0.25">
      <c r="A16" s="134">
        <v>13</v>
      </c>
      <c r="B16" s="133">
        <v>4.0999999999999996</v>
      </c>
      <c r="C16" s="119">
        <v>1.046</v>
      </c>
      <c r="D16" s="100">
        <f>185.78+30</f>
        <v>215.78</v>
      </c>
      <c r="E16" s="99"/>
      <c r="F16" s="99">
        <f t="shared" si="0"/>
        <v>215.78</v>
      </c>
    </row>
    <row r="17" spans="1:6" ht="15.75" x14ac:dyDescent="0.25">
      <c r="A17" s="134">
        <v>14</v>
      </c>
      <c r="B17" s="133">
        <v>4.0999999999999996</v>
      </c>
      <c r="C17" s="119">
        <v>1.0449999999999999</v>
      </c>
      <c r="D17" s="100">
        <f>372.12-D16+20</f>
        <v>176.34</v>
      </c>
      <c r="E17" s="99"/>
      <c r="F17" s="99">
        <f t="shared" si="0"/>
        <v>176.34</v>
      </c>
    </row>
    <row r="18" spans="1:6" ht="15.75" x14ac:dyDescent="0.25">
      <c r="A18" s="134">
        <v>15</v>
      </c>
      <c r="B18" s="133">
        <v>4.0999999999999996</v>
      </c>
      <c r="C18" s="119">
        <v>1.0489999999999999</v>
      </c>
      <c r="D18" s="100">
        <f>VLOOKUP($C18,Лист5!$A$1:$B$104,2,)+15</f>
        <v>167.54</v>
      </c>
      <c r="E18" s="99"/>
      <c r="F18" s="99">
        <f t="shared" si="0"/>
        <v>167.54</v>
      </c>
    </row>
    <row r="19" spans="1:6" ht="15.75" x14ac:dyDescent="0.25">
      <c r="A19" s="134">
        <v>16</v>
      </c>
      <c r="B19" s="133">
        <v>4.0999999999999996</v>
      </c>
      <c r="C19" s="119">
        <v>1.05</v>
      </c>
      <c r="D19" s="100">
        <f>VLOOKUP($C19,Лист5!$A$1:$B$104,2,)+3</f>
        <v>88.4</v>
      </c>
      <c r="E19" s="99"/>
      <c r="F19" s="99">
        <f t="shared" si="0"/>
        <v>88.4</v>
      </c>
    </row>
    <row r="20" spans="1:6" ht="15.75" x14ac:dyDescent="0.25">
      <c r="A20" s="134">
        <v>17</v>
      </c>
      <c r="B20" s="133">
        <v>4.0999999999999996</v>
      </c>
      <c r="C20" s="119">
        <v>1.0509999999999999</v>
      </c>
      <c r="D20" s="100">
        <f>VLOOKUP($C20,Лист5!$A$1:$B$104,2,)+3</f>
        <v>91.85</v>
      </c>
      <c r="E20" s="99"/>
      <c r="F20" s="99">
        <f t="shared" si="0"/>
        <v>91.85</v>
      </c>
    </row>
    <row r="21" spans="1:6" ht="15.75" x14ac:dyDescent="0.25">
      <c r="A21" s="134">
        <v>18</v>
      </c>
      <c r="B21" s="133">
        <v>4.0999999999999996</v>
      </c>
      <c r="C21" s="119">
        <v>1.048</v>
      </c>
      <c r="D21" s="99"/>
      <c r="E21" s="100">
        <f>VLOOKUP($C21,Лист5!$A$1:$B$104,2,)</f>
        <v>75.8</v>
      </c>
      <c r="F21" s="99">
        <f t="shared" si="0"/>
        <v>75.8</v>
      </c>
    </row>
    <row r="22" spans="1:6" ht="15.75" x14ac:dyDescent="0.25">
      <c r="A22" s="134">
        <v>19</v>
      </c>
      <c r="B22" s="133">
        <v>4.0999999999999996</v>
      </c>
      <c r="C22" s="119">
        <v>1.0529999999999999</v>
      </c>
      <c r="D22" s="99"/>
      <c r="E22" s="100">
        <v>254.19</v>
      </c>
      <c r="F22" s="99">
        <f t="shared" si="0"/>
        <v>254.19</v>
      </c>
    </row>
    <row r="23" spans="1:6" ht="15.75" x14ac:dyDescent="0.25">
      <c r="A23" s="134">
        <v>20</v>
      </c>
      <c r="B23" s="133">
        <v>4.0999999999999996</v>
      </c>
      <c r="C23" s="119">
        <v>1.054</v>
      </c>
      <c r="D23" s="99"/>
      <c r="E23" s="100">
        <f>26+8+8.48</f>
        <v>42.480000000000004</v>
      </c>
      <c r="F23" s="99">
        <f t="shared" si="0"/>
        <v>42.480000000000004</v>
      </c>
    </row>
    <row r="24" spans="1:6" ht="15.75" x14ac:dyDescent="0.25">
      <c r="A24" s="133"/>
      <c r="B24" s="133"/>
      <c r="C24" s="133" t="s">
        <v>19</v>
      </c>
      <c r="D24" s="99">
        <f>SUM(D4:D23)</f>
        <v>2420.0700000000002</v>
      </c>
      <c r="E24" s="99">
        <f>SUM(E4:E23)</f>
        <v>372.47</v>
      </c>
      <c r="F24" s="99">
        <f>SUM(F4:F23)</f>
        <v>2792.5400000000004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5"/>
  <sheetViews>
    <sheetView workbookViewId="0">
      <selection activeCell="G2" sqref="G1:G1048576"/>
    </sheetView>
  </sheetViews>
  <sheetFormatPr defaultRowHeight="15" x14ac:dyDescent="0.25"/>
  <cols>
    <col min="3" max="3" width="11.5703125" customWidth="1"/>
    <col min="4" max="6" width="10.5703125" customWidth="1"/>
  </cols>
  <sheetData>
    <row r="1" spans="1:6" ht="15.75" x14ac:dyDescent="0.25">
      <c r="A1" s="142" t="s">
        <v>2</v>
      </c>
      <c r="B1" s="142"/>
      <c r="C1" s="142"/>
      <c r="D1" s="142"/>
      <c r="E1" s="142"/>
      <c r="F1" s="142"/>
    </row>
    <row r="2" spans="1:6" ht="15.75" x14ac:dyDescent="0.25">
      <c r="A2" s="133"/>
      <c r="B2" s="133"/>
      <c r="C2" s="94"/>
      <c r="D2" s="95" t="s">
        <v>150</v>
      </c>
      <c r="E2" s="96" t="s">
        <v>152</v>
      </c>
      <c r="F2" s="80" t="s">
        <v>3</v>
      </c>
    </row>
    <row r="3" spans="1:6" ht="15.75" x14ac:dyDescent="0.25">
      <c r="A3" s="133" t="s">
        <v>0</v>
      </c>
      <c r="B3" s="133" t="s">
        <v>154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75" x14ac:dyDescent="0.25">
      <c r="A4" s="133">
        <v>1</v>
      </c>
      <c r="B4" s="102">
        <v>1</v>
      </c>
      <c r="C4" s="104">
        <v>2.0009999999999999</v>
      </c>
      <c r="D4" s="100">
        <f>VLOOKUP($C4,Лист5!$A$1:$B$104,2,)</f>
        <v>118.17750000000001</v>
      </c>
      <c r="E4" s="103"/>
      <c r="F4" s="99">
        <f t="shared" ref="F4:F24" si="0">SUM(D4:E4)</f>
        <v>118.17750000000001</v>
      </c>
    </row>
    <row r="5" spans="1:6" ht="15.75" x14ac:dyDescent="0.25">
      <c r="A5" s="133">
        <v>2</v>
      </c>
      <c r="B5" s="102">
        <v>1</v>
      </c>
      <c r="C5" s="104">
        <v>2.0019999999999998</v>
      </c>
      <c r="D5" s="100">
        <f>VLOOKUP($C5,Лист5!$A$1:$B$104,2,)</f>
        <v>113.73599999999999</v>
      </c>
      <c r="E5" s="103"/>
      <c r="F5" s="99">
        <f t="shared" si="0"/>
        <v>113.73599999999999</v>
      </c>
    </row>
    <row r="6" spans="1:6" ht="15.75" x14ac:dyDescent="0.25">
      <c r="A6" s="133">
        <v>3</v>
      </c>
      <c r="B6" s="102">
        <v>1</v>
      </c>
      <c r="C6" s="104">
        <v>2.0030000000000001</v>
      </c>
      <c r="D6" s="100">
        <f>VLOOKUP($C6,Лист5!$A$1:$B$104,2,)</f>
        <v>122.50349999999997</v>
      </c>
      <c r="E6" s="103"/>
      <c r="F6" s="99">
        <f t="shared" si="0"/>
        <v>122.50349999999997</v>
      </c>
    </row>
    <row r="7" spans="1:6" ht="15.75" x14ac:dyDescent="0.25">
      <c r="A7" s="133">
        <v>4</v>
      </c>
      <c r="B7" s="102">
        <v>1</v>
      </c>
      <c r="C7" s="104">
        <v>2.004</v>
      </c>
      <c r="D7" s="100">
        <f>VLOOKUP($C7,Лист5!$A$1:$B$104,2,)</f>
        <v>314.601</v>
      </c>
      <c r="E7" s="103"/>
      <c r="F7" s="99">
        <f t="shared" si="0"/>
        <v>314.601</v>
      </c>
    </row>
    <row r="8" spans="1:6" ht="15.75" x14ac:dyDescent="0.25">
      <c r="A8" s="133">
        <v>5</v>
      </c>
      <c r="B8" s="102">
        <v>1</v>
      </c>
      <c r="C8" s="104">
        <v>2.0070000000000001</v>
      </c>
      <c r="D8" s="100">
        <f>VLOOKUP($C8,Лист5!$A$1:$B$104,2,)</f>
        <v>106.77449999999999</v>
      </c>
      <c r="E8" s="103"/>
      <c r="F8" s="99">
        <f t="shared" si="0"/>
        <v>106.77449999999999</v>
      </c>
    </row>
    <row r="9" spans="1:6" ht="15.75" x14ac:dyDescent="0.25">
      <c r="A9" s="133">
        <v>6</v>
      </c>
      <c r="B9" s="102">
        <v>1</v>
      </c>
      <c r="C9" s="104">
        <v>2.008</v>
      </c>
      <c r="D9" s="100">
        <f>VLOOKUP($C9,Лист5!$A$1:$B$104,2,)</f>
        <v>111.50999999999999</v>
      </c>
      <c r="E9" s="103"/>
      <c r="F9" s="99">
        <f t="shared" si="0"/>
        <v>111.50999999999999</v>
      </c>
    </row>
    <row r="10" spans="1:6" ht="15.75" x14ac:dyDescent="0.25">
      <c r="A10" s="133">
        <v>7</v>
      </c>
      <c r="B10" s="102">
        <v>1</v>
      </c>
      <c r="C10" s="104">
        <v>2.0089999999999999</v>
      </c>
      <c r="D10" s="100">
        <f>VLOOKUP($C10,Лист5!$A$1:$B$104,2,)</f>
        <v>106.77449999999999</v>
      </c>
      <c r="E10" s="103"/>
      <c r="F10" s="99">
        <f t="shared" si="0"/>
        <v>106.77449999999999</v>
      </c>
    </row>
    <row r="11" spans="1:6" ht="15.75" x14ac:dyDescent="0.25">
      <c r="A11" s="133">
        <v>8</v>
      </c>
      <c r="B11" s="102">
        <v>1</v>
      </c>
      <c r="C11" s="115">
        <v>2.0099999999999998</v>
      </c>
      <c r="D11" s="100">
        <f>VLOOKUP($C11,Лист5!$A$1:$B$104,2,)</f>
        <v>93.03</v>
      </c>
      <c r="E11" s="103"/>
      <c r="F11" s="99">
        <f t="shared" si="0"/>
        <v>93.03</v>
      </c>
    </row>
    <row r="12" spans="1:6" ht="15.75" x14ac:dyDescent="0.25">
      <c r="A12" s="133">
        <v>9</v>
      </c>
      <c r="B12" s="102">
        <v>1</v>
      </c>
      <c r="C12" s="104">
        <v>2.0110000000000001</v>
      </c>
      <c r="D12" s="100">
        <f>VLOOKUP($C12,Лист5!$A$1:$B$104,2,)</f>
        <v>106.63800000000001</v>
      </c>
      <c r="E12" s="103"/>
      <c r="F12" s="99">
        <f t="shared" si="0"/>
        <v>106.63800000000001</v>
      </c>
    </row>
    <row r="13" spans="1:6" ht="15.75" x14ac:dyDescent="0.25">
      <c r="A13" s="133">
        <v>10</v>
      </c>
      <c r="B13" s="102">
        <v>1</v>
      </c>
      <c r="C13" s="104">
        <v>2.012</v>
      </c>
      <c r="D13" s="100">
        <f>VLOOKUP($C13,Лист5!$A$1:$B$104,2,)</f>
        <v>234.72750000000002</v>
      </c>
      <c r="E13" s="103"/>
      <c r="F13" s="99">
        <f t="shared" si="0"/>
        <v>234.72750000000002</v>
      </c>
    </row>
    <row r="14" spans="1:6" ht="15.75" x14ac:dyDescent="0.25">
      <c r="A14" s="133">
        <v>11</v>
      </c>
      <c r="B14" s="102">
        <v>1</v>
      </c>
      <c r="C14" s="104">
        <v>2.0129999999999999</v>
      </c>
      <c r="D14" s="100">
        <f>VLOOKUP($C14,Лист5!$A$1:$B$104,2,)</f>
        <v>83.201999999999998</v>
      </c>
      <c r="E14" s="103"/>
      <c r="F14" s="99">
        <f t="shared" si="0"/>
        <v>83.201999999999998</v>
      </c>
    </row>
    <row r="15" spans="1:6" ht="15.75" x14ac:dyDescent="0.25">
      <c r="A15" s="133">
        <v>12</v>
      </c>
      <c r="B15" s="102">
        <v>4.0999999999999996</v>
      </c>
      <c r="C15" s="104">
        <v>2.0750000000000002</v>
      </c>
      <c r="D15" s="100">
        <f>VLOOKUP($C15,Лист5!$A$1:$B$104,2,)+19</f>
        <v>303.05650000000003</v>
      </c>
      <c r="E15" s="103"/>
      <c r="F15" s="99">
        <f t="shared" si="0"/>
        <v>303.05650000000003</v>
      </c>
    </row>
    <row r="16" spans="1:6" ht="15.75" x14ac:dyDescent="0.25">
      <c r="A16" s="133">
        <v>13</v>
      </c>
      <c r="B16" s="102">
        <v>4.0999999999999996</v>
      </c>
      <c r="C16" s="115">
        <v>2.08</v>
      </c>
      <c r="D16" s="100">
        <f>447.447/2+20</f>
        <v>243.7235</v>
      </c>
      <c r="E16" s="103"/>
      <c r="F16" s="99">
        <f t="shared" si="0"/>
        <v>243.7235</v>
      </c>
    </row>
    <row r="17" spans="1:6" ht="15.75" x14ac:dyDescent="0.25">
      <c r="A17" s="133">
        <v>14</v>
      </c>
      <c r="B17" s="102">
        <v>4.0999999999999996</v>
      </c>
      <c r="C17" s="104">
        <v>2.081</v>
      </c>
      <c r="D17" s="100">
        <f>VLOOKUP($C17,Лист5!$A$1:$B$104,2,)+210</f>
        <v>637.24</v>
      </c>
      <c r="E17" s="103"/>
      <c r="F17" s="99">
        <f t="shared" si="0"/>
        <v>637.24</v>
      </c>
    </row>
    <row r="18" spans="1:6" ht="15.75" x14ac:dyDescent="0.25">
      <c r="A18" s="133">
        <v>15</v>
      </c>
      <c r="B18" s="102">
        <v>4.0999999999999996</v>
      </c>
      <c r="C18" s="104">
        <v>2.0819999999999999</v>
      </c>
      <c r="D18" s="100">
        <f>447.447/2-30</f>
        <v>193.7235</v>
      </c>
      <c r="E18" s="103"/>
      <c r="F18" s="99">
        <f t="shared" si="0"/>
        <v>193.7235</v>
      </c>
    </row>
    <row r="19" spans="1:6" ht="15.75" x14ac:dyDescent="0.25">
      <c r="A19" s="133">
        <v>16</v>
      </c>
      <c r="B19" s="102">
        <v>4.0999999999999996</v>
      </c>
      <c r="C19" s="104">
        <v>2.085</v>
      </c>
      <c r="D19" s="100">
        <f>VLOOKUP($C19,Лист5!$A$1:$B$104,2,)+160</f>
        <v>479.92</v>
      </c>
      <c r="E19" s="103"/>
      <c r="F19" s="99">
        <f t="shared" si="0"/>
        <v>479.92</v>
      </c>
    </row>
    <row r="20" spans="1:6" ht="15.75" x14ac:dyDescent="0.25">
      <c r="A20" s="133">
        <v>17</v>
      </c>
      <c r="B20" s="102">
        <v>4.0999999999999996</v>
      </c>
      <c r="C20" s="104">
        <v>2.0880000000000001</v>
      </c>
      <c r="D20" s="100">
        <f>VLOOKUP($C20,Лист5!$A$1:$B$104,2,)+8</f>
        <v>61.171999999999997</v>
      </c>
      <c r="E20" s="103"/>
      <c r="F20" s="99">
        <f t="shared" si="0"/>
        <v>61.171999999999997</v>
      </c>
    </row>
    <row r="21" spans="1:6" ht="15.75" x14ac:dyDescent="0.25">
      <c r="A21" s="134">
        <v>18</v>
      </c>
      <c r="B21" s="102">
        <v>4.0999999999999996</v>
      </c>
      <c r="C21" s="115">
        <v>2.0840000000000001</v>
      </c>
      <c r="D21" s="117"/>
      <c r="E21" s="100">
        <f>VLOOKUP($C21,Лист5!$A$1:$B$104,2,)</f>
        <v>77.849999999999994</v>
      </c>
      <c r="F21" s="99">
        <f t="shared" si="0"/>
        <v>77.849999999999994</v>
      </c>
    </row>
    <row r="22" spans="1:6" ht="15.75" x14ac:dyDescent="0.25">
      <c r="A22" s="134">
        <v>19</v>
      </c>
      <c r="B22" s="102">
        <v>4.0999999999999996</v>
      </c>
      <c r="C22" s="115">
        <v>2.0870000000000002</v>
      </c>
      <c r="D22" s="117"/>
      <c r="E22" s="100">
        <f>VLOOKUP($C22,Лист5!$A$1:$B$104,2,)</f>
        <v>83.33</v>
      </c>
      <c r="F22" s="99">
        <f t="shared" si="0"/>
        <v>83.33</v>
      </c>
    </row>
    <row r="23" spans="1:6" ht="15.75" x14ac:dyDescent="0.25">
      <c r="A23" s="134">
        <v>20</v>
      </c>
      <c r="B23" s="102">
        <v>4.0999999999999996</v>
      </c>
      <c r="C23" s="115">
        <v>2.109</v>
      </c>
      <c r="D23" s="117"/>
      <c r="E23" s="100">
        <f>VLOOKUP($C23,Лист5!$A$1:$B$104,2,)</f>
        <v>105.714</v>
      </c>
      <c r="F23" s="99">
        <f t="shared" si="0"/>
        <v>105.714</v>
      </c>
    </row>
    <row r="24" spans="1:6" ht="15.75" x14ac:dyDescent="0.25">
      <c r="A24" s="134">
        <v>21</v>
      </c>
      <c r="B24" s="102">
        <v>4.0999999999999996</v>
      </c>
      <c r="C24" s="115">
        <v>2.1680000000000001</v>
      </c>
      <c r="D24" s="117"/>
      <c r="E24" s="100">
        <f>VLOOKUP($C24,Лист5!$A$1:$B$104,2,)</f>
        <v>42</v>
      </c>
      <c r="F24" s="99">
        <f t="shared" si="0"/>
        <v>42</v>
      </c>
    </row>
    <row r="25" spans="1:6" ht="15.75" x14ac:dyDescent="0.25">
      <c r="A25" s="133"/>
      <c r="B25" s="133"/>
      <c r="C25" s="133" t="s">
        <v>19</v>
      </c>
      <c r="D25" s="99">
        <f>SUM(D4:D24)</f>
        <v>3430.5099999999998</v>
      </c>
      <c r="E25" s="99">
        <f>SUM(E4:E24)</f>
        <v>308.89400000000001</v>
      </c>
      <c r="F25" s="99">
        <f>SUM(F4:F20)</f>
        <v>3430.5099999999998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G17"/>
  <sheetViews>
    <sheetView tabSelected="1" workbookViewId="0">
      <selection activeCell="H1" sqref="H1:H1048576"/>
    </sheetView>
  </sheetViews>
  <sheetFormatPr defaultRowHeight="15" x14ac:dyDescent="0.25"/>
  <cols>
    <col min="3" max="3" width="11.5703125" customWidth="1"/>
    <col min="4" max="7" width="10.5703125" customWidth="1"/>
  </cols>
  <sheetData>
    <row r="1" spans="1:7" ht="15.75" x14ac:dyDescent="0.25">
      <c r="A1" s="142" t="s">
        <v>2</v>
      </c>
      <c r="B1" s="142"/>
      <c r="C1" s="142"/>
      <c r="D1" s="142"/>
      <c r="E1" s="142"/>
      <c r="F1" s="142"/>
      <c r="G1" s="142"/>
    </row>
    <row r="2" spans="1:7" ht="15.75" x14ac:dyDescent="0.25">
      <c r="A2" s="133"/>
      <c r="B2" s="133"/>
      <c r="C2" s="94"/>
      <c r="D2" s="95" t="s">
        <v>150</v>
      </c>
      <c r="E2" s="95" t="s">
        <v>151</v>
      </c>
      <c r="F2" s="96" t="s">
        <v>152</v>
      </c>
      <c r="G2" s="80" t="s">
        <v>3</v>
      </c>
    </row>
    <row r="3" spans="1:7" ht="15.75" x14ac:dyDescent="0.25">
      <c r="A3" s="133" t="s">
        <v>0</v>
      </c>
      <c r="B3" s="133" t="s">
        <v>154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</row>
    <row r="4" spans="1:7" ht="15.75" x14ac:dyDescent="0.25">
      <c r="A4" s="133">
        <v>1</v>
      </c>
      <c r="B4" s="133">
        <v>1</v>
      </c>
      <c r="C4" s="115">
        <v>3.004</v>
      </c>
      <c r="D4" s="100">
        <f>VLOOKUP($C4,Лист5!$A$1:$B$104,2,)</f>
        <v>116.51</v>
      </c>
      <c r="E4" s="103"/>
      <c r="F4" s="103"/>
      <c r="G4" s="99">
        <f t="shared" ref="G4:G16" si="0">SUM(D4:F4)</f>
        <v>116.51</v>
      </c>
    </row>
    <row r="5" spans="1:7" ht="15.75" x14ac:dyDescent="0.25">
      <c r="A5" s="134">
        <v>2</v>
      </c>
      <c r="B5" s="133">
        <v>1</v>
      </c>
      <c r="C5" s="115">
        <v>3.008</v>
      </c>
      <c r="D5" s="100">
        <f>VLOOKUP($C5,Лист5!$A$1:$B$104,2,)</f>
        <v>102.57</v>
      </c>
      <c r="E5" s="103"/>
      <c r="F5" s="103"/>
      <c r="G5" s="99">
        <f t="shared" si="0"/>
        <v>102.57</v>
      </c>
    </row>
    <row r="6" spans="1:7" ht="15.75" x14ac:dyDescent="0.25">
      <c r="A6" s="134">
        <v>3</v>
      </c>
      <c r="B6" s="133">
        <v>1</v>
      </c>
      <c r="C6" s="115">
        <v>3.0089999999999999</v>
      </c>
      <c r="D6" s="100">
        <f>VLOOKUP($C6,Лист5!$A$1:$B$104,2,)</f>
        <v>104.69999999999999</v>
      </c>
      <c r="E6" s="103"/>
      <c r="F6" s="103"/>
      <c r="G6" s="99">
        <f t="shared" si="0"/>
        <v>104.69999999999999</v>
      </c>
    </row>
    <row r="7" spans="1:7" ht="15.75" x14ac:dyDescent="0.25">
      <c r="A7" s="134">
        <v>4</v>
      </c>
      <c r="B7" s="133">
        <v>1</v>
      </c>
      <c r="C7" s="115">
        <v>3.01</v>
      </c>
      <c r="D7" s="100">
        <f>VLOOKUP($C7,Лист5!$A$1:$B$104,2,)</f>
        <v>101.61</v>
      </c>
      <c r="E7" s="103"/>
      <c r="F7" s="103"/>
      <c r="G7" s="99">
        <f t="shared" si="0"/>
        <v>101.61</v>
      </c>
    </row>
    <row r="8" spans="1:7" ht="15.75" x14ac:dyDescent="0.25">
      <c r="A8" s="134">
        <v>5</v>
      </c>
      <c r="B8" s="133">
        <v>1</v>
      </c>
      <c r="C8" s="115">
        <v>3.0110000000000001</v>
      </c>
      <c r="D8" s="100">
        <f>VLOOKUP($C8,Лист5!$A$1:$B$104,2,)</f>
        <v>105.25</v>
      </c>
      <c r="E8" s="103"/>
      <c r="F8" s="103"/>
      <c r="G8" s="99">
        <f t="shared" si="0"/>
        <v>105.25</v>
      </c>
    </row>
    <row r="9" spans="1:7" ht="15.75" x14ac:dyDescent="0.25">
      <c r="A9" s="134">
        <v>6</v>
      </c>
      <c r="B9" s="133">
        <v>1</v>
      </c>
      <c r="C9" s="115">
        <v>3.012</v>
      </c>
      <c r="D9" s="100">
        <f>VLOOKUP($C9,Лист5!$A$1:$B$104,2,)</f>
        <v>105.33</v>
      </c>
      <c r="E9" s="103"/>
      <c r="F9" s="103"/>
      <c r="G9" s="99">
        <f t="shared" si="0"/>
        <v>105.33</v>
      </c>
    </row>
    <row r="10" spans="1:7" ht="15.75" x14ac:dyDescent="0.25">
      <c r="A10" s="134">
        <v>7</v>
      </c>
      <c r="B10" s="133">
        <v>1</v>
      </c>
      <c r="C10" s="115">
        <v>3.0129999999999999</v>
      </c>
      <c r="D10" s="100">
        <f>VLOOKUP($C10,Лист5!$A$1:$B$104,2,)</f>
        <v>101.95</v>
      </c>
      <c r="E10" s="103"/>
      <c r="F10" s="103"/>
      <c r="G10" s="99">
        <f t="shared" si="0"/>
        <v>101.95</v>
      </c>
    </row>
    <row r="11" spans="1:7" ht="15.75" x14ac:dyDescent="0.25">
      <c r="A11" s="134">
        <v>8</v>
      </c>
      <c r="B11" s="133">
        <v>1</v>
      </c>
      <c r="C11" s="115">
        <v>3.0139999999999998</v>
      </c>
      <c r="D11" s="100">
        <f>VLOOKUP($C11,Лист5!$A$1:$B$104,2,)</f>
        <v>221.42</v>
      </c>
      <c r="E11" s="103"/>
      <c r="F11" s="103"/>
      <c r="G11" s="99">
        <f t="shared" si="0"/>
        <v>221.42</v>
      </c>
    </row>
    <row r="12" spans="1:7" ht="15.75" x14ac:dyDescent="0.25">
      <c r="A12" s="134">
        <v>9</v>
      </c>
      <c r="B12" s="102">
        <v>4.0999999999999996</v>
      </c>
      <c r="C12" s="115">
        <v>3.0190000000000001</v>
      </c>
      <c r="D12" s="100">
        <f>VLOOKUP($C12,Лист5!$A$1:$B$104,2,)</f>
        <v>283.38</v>
      </c>
      <c r="E12" s="103"/>
      <c r="F12" s="103"/>
      <c r="G12" s="99">
        <f t="shared" si="0"/>
        <v>283.38</v>
      </c>
    </row>
    <row r="13" spans="1:7" ht="15.75" x14ac:dyDescent="0.25">
      <c r="A13" s="134">
        <v>10</v>
      </c>
      <c r="B13" s="102">
        <v>4.0999999999999996</v>
      </c>
      <c r="C13" s="115">
        <v>3.02</v>
      </c>
      <c r="D13" s="100">
        <f>VLOOKUP($C13,Лист5!$A$1:$B$104,2,)</f>
        <v>317.98</v>
      </c>
      <c r="E13" s="103"/>
      <c r="F13" s="103"/>
      <c r="G13" s="99">
        <f t="shared" si="0"/>
        <v>317.98</v>
      </c>
    </row>
    <row r="14" spans="1:7" ht="15.75" x14ac:dyDescent="0.25">
      <c r="A14" s="134">
        <v>11</v>
      </c>
      <c r="B14" s="102">
        <v>4.0999999999999996</v>
      </c>
      <c r="C14" s="104" t="s">
        <v>121</v>
      </c>
      <c r="D14" s="103"/>
      <c r="E14" s="100">
        <v>182.74</v>
      </c>
      <c r="F14" s="103"/>
      <c r="G14" s="99">
        <f t="shared" si="0"/>
        <v>182.74</v>
      </c>
    </row>
    <row r="15" spans="1:7" ht="15.75" x14ac:dyDescent="0.25">
      <c r="A15" s="134">
        <v>12</v>
      </c>
      <c r="B15" s="102">
        <v>4.0999999999999996</v>
      </c>
      <c r="C15" s="104">
        <v>3.0209999999999999</v>
      </c>
      <c r="D15" s="103"/>
      <c r="E15" s="103"/>
      <c r="F15" s="100">
        <f>VLOOKUP($C15,Лист5!$A$1:$B$104,2,)</f>
        <v>85.69</v>
      </c>
      <c r="G15" s="99">
        <f t="shared" si="0"/>
        <v>85.69</v>
      </c>
    </row>
    <row r="16" spans="1:7" ht="15.75" x14ac:dyDescent="0.25">
      <c r="A16" s="134">
        <v>13</v>
      </c>
      <c r="B16" s="102">
        <v>4.0999999999999996</v>
      </c>
      <c r="C16" s="104">
        <v>3.0939999999999999</v>
      </c>
      <c r="D16" s="103"/>
      <c r="E16" s="103"/>
      <c r="F16" s="100">
        <f>VLOOKUP($C16,Лист5!$A$1:$B$104,2,)</f>
        <v>62.410000000000004</v>
      </c>
      <c r="G16" s="99">
        <f t="shared" si="0"/>
        <v>62.410000000000004</v>
      </c>
    </row>
    <row r="17" spans="1:7" ht="15.75" x14ac:dyDescent="0.25">
      <c r="A17" s="133"/>
      <c r="B17" s="133"/>
      <c r="C17" s="133" t="s">
        <v>19</v>
      </c>
      <c r="D17" s="99">
        <f>SUM(D4:D16)</f>
        <v>1560.7</v>
      </c>
      <c r="E17" s="99">
        <f>SUM(E4:E16)</f>
        <v>182.74</v>
      </c>
      <c r="F17" s="99">
        <f>SUM(F4:F16)</f>
        <v>148.1</v>
      </c>
      <c r="G17" s="99">
        <f>SUM(G4:G16)</f>
        <v>1891.5400000000002</v>
      </c>
    </row>
  </sheetData>
  <mergeCells count="1">
    <mergeCell ref="A1:G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4"/>
  <sheetViews>
    <sheetView topLeftCell="A45" workbookViewId="0">
      <selection activeCell="B87" sqref="B87"/>
    </sheetView>
  </sheetViews>
  <sheetFormatPr defaultRowHeight="15" x14ac:dyDescent="0.25"/>
  <sheetData>
    <row r="1" spans="1:2" x14ac:dyDescent="0.25">
      <c r="A1" s="116">
        <v>2.0009999999999999</v>
      </c>
      <c r="B1" s="25">
        <v>118.17750000000001</v>
      </c>
    </row>
    <row r="2" spans="1:2" x14ac:dyDescent="0.25">
      <c r="A2" s="116">
        <v>2.0019999999999998</v>
      </c>
      <c r="B2" s="25">
        <v>113.73599999999999</v>
      </c>
    </row>
    <row r="3" spans="1:2" x14ac:dyDescent="0.25">
      <c r="A3" s="116">
        <v>2.0030000000000001</v>
      </c>
      <c r="B3" s="25">
        <v>122.50349999999997</v>
      </c>
    </row>
    <row r="4" spans="1:2" x14ac:dyDescent="0.25">
      <c r="A4" s="116">
        <v>2.004</v>
      </c>
      <c r="B4" s="25">
        <v>314.601</v>
      </c>
    </row>
    <row r="5" spans="1:2" x14ac:dyDescent="0.25">
      <c r="A5" s="116">
        <v>2.0049999999999999</v>
      </c>
      <c r="B5" s="25">
        <v>29.631</v>
      </c>
    </row>
    <row r="6" spans="1:2" x14ac:dyDescent="0.25">
      <c r="A6" s="116">
        <v>2.0070000000000001</v>
      </c>
      <c r="B6" s="25">
        <v>106.77449999999999</v>
      </c>
    </row>
    <row r="7" spans="1:2" x14ac:dyDescent="0.25">
      <c r="A7" s="116">
        <v>2.008</v>
      </c>
      <c r="B7" s="25">
        <v>111.50999999999999</v>
      </c>
    </row>
    <row r="8" spans="1:2" x14ac:dyDescent="0.25">
      <c r="A8" s="116">
        <v>2.0089999999999999</v>
      </c>
      <c r="B8" s="25">
        <v>106.77449999999999</v>
      </c>
    </row>
    <row r="9" spans="1:2" x14ac:dyDescent="0.25">
      <c r="A9" s="116">
        <v>2.0099999999999998</v>
      </c>
      <c r="B9" s="25">
        <v>93.03</v>
      </c>
    </row>
    <row r="10" spans="1:2" x14ac:dyDescent="0.25">
      <c r="A10" s="116">
        <v>2.0110000000000001</v>
      </c>
      <c r="B10" s="25">
        <v>106.63800000000001</v>
      </c>
    </row>
    <row r="11" spans="1:2" x14ac:dyDescent="0.25">
      <c r="A11" s="116">
        <v>2.012</v>
      </c>
      <c r="B11" s="25">
        <v>234.72750000000002</v>
      </c>
    </row>
    <row r="12" spans="1:2" x14ac:dyDescent="0.25">
      <c r="A12" s="116">
        <v>2.0129999999999999</v>
      </c>
      <c r="B12" s="25">
        <v>83.201999999999998</v>
      </c>
    </row>
    <row r="13" spans="1:2" x14ac:dyDescent="0.25">
      <c r="A13" s="116">
        <v>2.0139999999999998</v>
      </c>
      <c r="B13" s="25">
        <v>69.489999999999995</v>
      </c>
    </row>
    <row r="14" spans="1:2" x14ac:dyDescent="0.25">
      <c r="A14" s="116">
        <v>2.0150000000000001</v>
      </c>
      <c r="B14" s="25">
        <v>87.929999999999993</v>
      </c>
    </row>
    <row r="15" spans="1:2" x14ac:dyDescent="0.25">
      <c r="A15" s="116">
        <v>2.016</v>
      </c>
      <c r="B15" s="25">
        <v>33.979999999999997</v>
      </c>
    </row>
    <row r="16" spans="1:2" x14ac:dyDescent="0.25">
      <c r="A16" s="116">
        <v>2.0169999999999999</v>
      </c>
      <c r="B16" s="25">
        <v>16.399999999999999</v>
      </c>
    </row>
    <row r="17" spans="1:2" x14ac:dyDescent="0.25">
      <c r="A17" s="116">
        <v>2.1619999999999999</v>
      </c>
      <c r="B17" s="25">
        <v>36.46</v>
      </c>
    </row>
    <row r="18" spans="1:2" x14ac:dyDescent="0.25">
      <c r="A18" s="116">
        <v>2.0750000000000002</v>
      </c>
      <c r="B18" s="25">
        <v>284.05650000000003</v>
      </c>
    </row>
    <row r="19" spans="1:2" x14ac:dyDescent="0.25">
      <c r="A19" s="116">
        <v>2.08</v>
      </c>
      <c r="B19" s="25">
        <v>447.447</v>
      </c>
    </row>
    <row r="20" spans="1:2" x14ac:dyDescent="0.25">
      <c r="A20" s="116">
        <v>2.0880000000000001</v>
      </c>
      <c r="B20" s="25">
        <v>53.171999999999997</v>
      </c>
    </row>
    <row r="21" spans="1:2" x14ac:dyDescent="0.25">
      <c r="A21" s="116">
        <v>2.089</v>
      </c>
      <c r="B21" s="25">
        <v>29.16</v>
      </c>
    </row>
    <row r="22" spans="1:2" x14ac:dyDescent="0.25">
      <c r="A22" s="116">
        <v>2.09</v>
      </c>
      <c r="B22" s="25">
        <v>35.47</v>
      </c>
    </row>
    <row r="23" spans="1:2" x14ac:dyDescent="0.25">
      <c r="A23" s="116">
        <v>2.0910000000000002</v>
      </c>
      <c r="B23" s="25">
        <v>48.34</v>
      </c>
    </row>
    <row r="24" spans="1:2" x14ac:dyDescent="0.25">
      <c r="A24" s="116">
        <v>2.0939999999999999</v>
      </c>
      <c r="B24" s="25">
        <v>46.158000000000001</v>
      </c>
    </row>
    <row r="25" spans="1:2" x14ac:dyDescent="0.25">
      <c r="A25" s="116">
        <v>2.0950000000000002</v>
      </c>
      <c r="B25" s="25">
        <v>35.200000000000003</v>
      </c>
    </row>
    <row r="26" spans="1:2" x14ac:dyDescent="0.25">
      <c r="A26" s="116">
        <v>2.0960000000000001</v>
      </c>
      <c r="B26" s="25">
        <v>63.16</v>
      </c>
    </row>
    <row r="27" spans="1:2" x14ac:dyDescent="0.25">
      <c r="A27" s="116">
        <v>2.097</v>
      </c>
      <c r="B27" s="25">
        <v>13.12</v>
      </c>
    </row>
    <row r="28" spans="1:2" x14ac:dyDescent="0.25">
      <c r="A28" s="116">
        <v>2.0979999999999999</v>
      </c>
      <c r="B28" s="25">
        <v>12.8</v>
      </c>
    </row>
    <row r="29" spans="1:2" x14ac:dyDescent="0.25">
      <c r="A29" s="116">
        <v>2.0990000000000002</v>
      </c>
      <c r="B29" s="25">
        <v>25.725000000000005</v>
      </c>
    </row>
    <row r="30" spans="1:2" x14ac:dyDescent="0.25">
      <c r="A30" s="116">
        <v>2.1</v>
      </c>
      <c r="B30" s="25">
        <v>44.08</v>
      </c>
    </row>
    <row r="31" spans="1:2" x14ac:dyDescent="0.25">
      <c r="A31" s="116">
        <v>2.101</v>
      </c>
      <c r="B31" s="25">
        <v>33.04</v>
      </c>
    </row>
    <row r="32" spans="1:2" x14ac:dyDescent="0.25">
      <c r="A32" s="116">
        <v>2.1019999999999999</v>
      </c>
      <c r="B32" s="25">
        <v>32.256</v>
      </c>
    </row>
    <row r="33" spans="1:2" x14ac:dyDescent="0.25">
      <c r="A33" s="116">
        <v>2.1030000000000002</v>
      </c>
      <c r="B33" s="25">
        <v>57.455999999999989</v>
      </c>
    </row>
    <row r="34" spans="1:2" x14ac:dyDescent="0.25">
      <c r="A34" s="116">
        <v>2.1040000000000001</v>
      </c>
      <c r="B34" s="25">
        <v>15.6</v>
      </c>
    </row>
    <row r="35" spans="1:2" x14ac:dyDescent="0.25">
      <c r="A35" s="116">
        <v>2.105</v>
      </c>
      <c r="B35" s="25">
        <v>42.99</v>
      </c>
    </row>
    <row r="36" spans="1:2" x14ac:dyDescent="0.25">
      <c r="A36" s="116">
        <v>2.1059999999999999</v>
      </c>
      <c r="B36" s="25">
        <v>33.390000000000008</v>
      </c>
    </row>
    <row r="37" spans="1:2" x14ac:dyDescent="0.25">
      <c r="A37" s="116">
        <v>2.1070000000000002</v>
      </c>
      <c r="B37" s="25">
        <v>22.84</v>
      </c>
    </row>
    <row r="38" spans="1:2" x14ac:dyDescent="0.25">
      <c r="A38" s="116">
        <v>2.1080000000000001</v>
      </c>
      <c r="B38" s="25">
        <v>41.6</v>
      </c>
    </row>
    <row r="39" spans="1:2" x14ac:dyDescent="0.25">
      <c r="A39" s="116">
        <v>2.109</v>
      </c>
      <c r="B39" s="25">
        <v>105.714</v>
      </c>
    </row>
    <row r="40" spans="1:2" x14ac:dyDescent="0.25">
      <c r="A40" s="116">
        <v>2.1680000000000001</v>
      </c>
      <c r="B40" s="25">
        <v>42</v>
      </c>
    </row>
    <row r="41" spans="1:2" x14ac:dyDescent="0.25">
      <c r="A41" s="122" t="s">
        <v>155</v>
      </c>
      <c r="B41" s="124">
        <v>284.86</v>
      </c>
    </row>
    <row r="42" spans="1:2" x14ac:dyDescent="0.25">
      <c r="A42" s="123">
        <v>1.0269999999999999</v>
      </c>
      <c r="B42" s="125">
        <v>110.55</v>
      </c>
    </row>
    <row r="43" spans="1:2" x14ac:dyDescent="0.25">
      <c r="A43" s="127">
        <v>1.028</v>
      </c>
      <c r="B43" s="125">
        <v>103.27</v>
      </c>
    </row>
    <row r="44" spans="1:2" x14ac:dyDescent="0.25">
      <c r="A44" s="123">
        <v>1.0289999999999999</v>
      </c>
      <c r="B44" s="125">
        <v>92.42</v>
      </c>
    </row>
    <row r="45" spans="1:2" x14ac:dyDescent="0.25">
      <c r="A45" s="127">
        <v>1.03</v>
      </c>
      <c r="B45" s="125">
        <v>94.91</v>
      </c>
    </row>
    <row r="46" spans="1:2" x14ac:dyDescent="0.25">
      <c r="A46" s="123">
        <v>1.0309999999999999</v>
      </c>
      <c r="B46" s="125">
        <v>90.2</v>
      </c>
    </row>
    <row r="47" spans="1:2" x14ac:dyDescent="0.25">
      <c r="A47" s="127">
        <v>1.032</v>
      </c>
      <c r="B47" s="125">
        <v>87.76</v>
      </c>
    </row>
    <row r="48" spans="1:2" x14ac:dyDescent="0.25">
      <c r="A48" s="127">
        <v>1.0329999999999999</v>
      </c>
      <c r="B48" s="125">
        <v>142.44</v>
      </c>
    </row>
    <row r="49" spans="1:2" x14ac:dyDescent="0.25">
      <c r="A49" s="123">
        <v>1.034</v>
      </c>
      <c r="B49" s="125">
        <v>76.23</v>
      </c>
    </row>
    <row r="50" spans="1:2" x14ac:dyDescent="0.25">
      <c r="A50" s="123" t="s">
        <v>169</v>
      </c>
      <c r="B50" s="125">
        <v>40.76</v>
      </c>
    </row>
    <row r="51" spans="1:2" x14ac:dyDescent="0.25">
      <c r="A51" s="127">
        <v>1.036</v>
      </c>
      <c r="B51" s="125">
        <v>14.15</v>
      </c>
    </row>
    <row r="52" spans="1:2" x14ac:dyDescent="0.25">
      <c r="A52" s="123">
        <v>1.038</v>
      </c>
      <c r="B52" s="125">
        <v>36.69</v>
      </c>
    </row>
    <row r="53" spans="1:2" x14ac:dyDescent="0.25">
      <c r="A53" s="127">
        <v>1.0389999999999999</v>
      </c>
      <c r="B53" s="125">
        <v>166.2</v>
      </c>
    </row>
    <row r="54" spans="1:2" x14ac:dyDescent="0.25">
      <c r="A54" s="123" t="s">
        <v>170</v>
      </c>
      <c r="B54" s="125">
        <v>260.64999999999998</v>
      </c>
    </row>
    <row r="55" spans="1:2" x14ac:dyDescent="0.25">
      <c r="A55" s="123" t="s">
        <v>171</v>
      </c>
      <c r="B55" s="125">
        <v>372.12</v>
      </c>
    </row>
    <row r="56" spans="1:2" x14ac:dyDescent="0.25">
      <c r="A56" s="127">
        <v>1.048</v>
      </c>
      <c r="B56" s="125">
        <v>75.8</v>
      </c>
    </row>
    <row r="57" spans="1:2" x14ac:dyDescent="0.25">
      <c r="A57" s="127">
        <v>1.0489999999999999</v>
      </c>
      <c r="B57" s="125">
        <v>152.54</v>
      </c>
    </row>
    <row r="58" spans="1:2" ht="15.75" thickBot="1" x14ac:dyDescent="0.3">
      <c r="A58" s="128">
        <v>1.0529999999999999</v>
      </c>
      <c r="B58" s="126">
        <v>405.22</v>
      </c>
    </row>
    <row r="59" spans="1:2" x14ac:dyDescent="0.25">
      <c r="A59" s="120"/>
      <c r="B59" s="121"/>
    </row>
    <row r="60" spans="1:2" x14ac:dyDescent="0.25">
      <c r="A60" s="120"/>
      <c r="B60" s="121"/>
    </row>
    <row r="61" spans="1:2" x14ac:dyDescent="0.25">
      <c r="A61" s="120"/>
      <c r="B61" s="121"/>
    </row>
    <row r="62" spans="1:2" x14ac:dyDescent="0.25">
      <c r="A62" s="120"/>
      <c r="B62" s="121"/>
    </row>
    <row r="63" spans="1:2" x14ac:dyDescent="0.25">
      <c r="A63" s="120"/>
      <c r="B63" s="121"/>
    </row>
    <row r="64" spans="1:2" x14ac:dyDescent="0.25">
      <c r="A64" s="120"/>
      <c r="B64" s="121"/>
    </row>
    <row r="65" spans="1:2" x14ac:dyDescent="0.25">
      <c r="A65" s="118">
        <v>3.0009999999999999</v>
      </c>
      <c r="B65">
        <v>168.78</v>
      </c>
    </row>
    <row r="66" spans="1:2" x14ac:dyDescent="0.25">
      <c r="A66" s="118">
        <v>3.0019999999999998</v>
      </c>
      <c r="B66">
        <v>105.58</v>
      </c>
    </row>
    <row r="67" spans="1:2" x14ac:dyDescent="0.25">
      <c r="A67" s="118">
        <v>3.0030000000000001</v>
      </c>
      <c r="B67">
        <v>105.79</v>
      </c>
    </row>
    <row r="68" spans="1:2" x14ac:dyDescent="0.25">
      <c r="A68" s="118">
        <v>3.004</v>
      </c>
      <c r="B68">
        <v>116.51</v>
      </c>
    </row>
    <row r="69" spans="1:2" x14ac:dyDescent="0.25">
      <c r="A69" s="118">
        <v>3.0049999999999999</v>
      </c>
      <c r="B69">
        <v>402.53</v>
      </c>
    </row>
    <row r="70" spans="1:2" x14ac:dyDescent="0.25">
      <c r="A70" s="118">
        <v>3.0059999999999998</v>
      </c>
      <c r="B70">
        <v>48.730000000000004</v>
      </c>
    </row>
    <row r="71" spans="1:2" x14ac:dyDescent="0.25">
      <c r="A71" s="118">
        <v>3.008</v>
      </c>
      <c r="B71">
        <v>102.57</v>
      </c>
    </row>
    <row r="72" spans="1:2" x14ac:dyDescent="0.25">
      <c r="A72" s="118">
        <v>3.0089999999999999</v>
      </c>
      <c r="B72">
        <v>104.69999999999999</v>
      </c>
    </row>
    <row r="73" spans="1:2" x14ac:dyDescent="0.25">
      <c r="A73" s="118">
        <v>3.01</v>
      </c>
      <c r="B73">
        <v>101.61</v>
      </c>
    </row>
    <row r="74" spans="1:2" x14ac:dyDescent="0.25">
      <c r="A74" s="118">
        <v>3.0110000000000001</v>
      </c>
      <c r="B74">
        <v>105.25</v>
      </c>
    </row>
    <row r="75" spans="1:2" x14ac:dyDescent="0.25">
      <c r="A75" s="118">
        <v>3.012</v>
      </c>
      <c r="B75">
        <v>105.33</v>
      </c>
    </row>
    <row r="76" spans="1:2" x14ac:dyDescent="0.25">
      <c r="A76" s="118">
        <v>3.0129999999999999</v>
      </c>
      <c r="B76">
        <v>101.95</v>
      </c>
    </row>
    <row r="77" spans="1:2" x14ac:dyDescent="0.25">
      <c r="A77" s="118">
        <v>3.0139999999999998</v>
      </c>
      <c r="B77">
        <v>221.42</v>
      </c>
    </row>
    <row r="78" spans="1:2" x14ac:dyDescent="0.25">
      <c r="A78" s="118">
        <v>3.0150000000000001</v>
      </c>
      <c r="B78">
        <v>86.309999999999988</v>
      </c>
    </row>
    <row r="79" spans="1:2" x14ac:dyDescent="0.25">
      <c r="A79" s="118">
        <v>3.016</v>
      </c>
      <c r="B79">
        <v>113.91</v>
      </c>
    </row>
    <row r="80" spans="1:2" x14ac:dyDescent="0.25">
      <c r="A80" s="118">
        <v>3.0169999999999999</v>
      </c>
      <c r="B80">
        <v>36.11</v>
      </c>
    </row>
    <row r="81" spans="1:2" x14ac:dyDescent="0.25">
      <c r="A81" s="118">
        <v>3.0179999999999998</v>
      </c>
      <c r="B81">
        <v>25.16</v>
      </c>
    </row>
    <row r="82" spans="1:2" x14ac:dyDescent="0.25">
      <c r="A82" s="118">
        <v>3.0190000000000001</v>
      </c>
      <c r="B82">
        <v>283.38</v>
      </c>
    </row>
    <row r="83" spans="1:2" x14ac:dyDescent="0.25">
      <c r="A83" s="118">
        <v>3.02</v>
      </c>
      <c r="B83">
        <v>317.98</v>
      </c>
    </row>
    <row r="84" spans="1:2" x14ac:dyDescent="0.25">
      <c r="A84" s="118">
        <v>3.0209999999999999</v>
      </c>
      <c r="B84">
        <v>85.69</v>
      </c>
    </row>
    <row r="85" spans="1:2" x14ac:dyDescent="0.25">
      <c r="A85" t="s">
        <v>121</v>
      </c>
      <c r="B85">
        <v>165.39</v>
      </c>
    </row>
    <row r="86" spans="1:2" x14ac:dyDescent="0.25">
      <c r="A86" s="118">
        <v>3.0920000000000001</v>
      </c>
      <c r="B86">
        <v>38.590000000000003</v>
      </c>
    </row>
    <row r="87" spans="1:2" x14ac:dyDescent="0.25">
      <c r="A87" s="118">
        <v>3.0939999999999999</v>
      </c>
      <c r="B87">
        <v>62.410000000000004</v>
      </c>
    </row>
    <row r="88" spans="1:2" x14ac:dyDescent="0.25">
      <c r="A88" s="118">
        <v>1.034</v>
      </c>
      <c r="B88">
        <v>75.790000000000006</v>
      </c>
    </row>
    <row r="89" spans="1:2" x14ac:dyDescent="0.25">
      <c r="A89" s="118">
        <v>1.0349999999999999</v>
      </c>
      <c r="B89">
        <v>93.93</v>
      </c>
    </row>
    <row r="90" spans="1:2" x14ac:dyDescent="0.25">
      <c r="A90" s="118">
        <v>1.036</v>
      </c>
      <c r="B90">
        <v>34.979999999999997</v>
      </c>
    </row>
    <row r="91" spans="1:2" x14ac:dyDescent="0.25">
      <c r="A91" s="118">
        <v>1.0369999999999999</v>
      </c>
      <c r="B91">
        <v>20.85</v>
      </c>
    </row>
    <row r="92" spans="1:2" x14ac:dyDescent="0.25">
      <c r="A92" s="118">
        <v>1.038</v>
      </c>
      <c r="B92">
        <v>38.89</v>
      </c>
    </row>
    <row r="93" spans="1:2" x14ac:dyDescent="0.25">
      <c r="A93" s="118">
        <v>1.05</v>
      </c>
      <c r="B93">
        <v>85.4</v>
      </c>
    </row>
    <row r="94" spans="1:2" x14ac:dyDescent="0.25">
      <c r="A94" s="118">
        <v>1.0509999999999999</v>
      </c>
      <c r="B94">
        <v>88.85</v>
      </c>
    </row>
    <row r="95" spans="1:2" x14ac:dyDescent="0.25">
      <c r="A95" s="118">
        <v>2.0790000000000002</v>
      </c>
      <c r="B95">
        <v>228.05</v>
      </c>
    </row>
    <row r="96" spans="1:2" x14ac:dyDescent="0.25">
      <c r="A96" s="118">
        <v>2.081</v>
      </c>
      <c r="B96">
        <v>427.24</v>
      </c>
    </row>
    <row r="97" spans="1:2" x14ac:dyDescent="0.25">
      <c r="A97" s="118">
        <v>2.0840000000000001</v>
      </c>
      <c r="B97">
        <v>77.849999999999994</v>
      </c>
    </row>
    <row r="98" spans="1:2" x14ac:dyDescent="0.25">
      <c r="A98" s="118">
        <v>2.085</v>
      </c>
      <c r="B98">
        <v>319.92</v>
      </c>
    </row>
    <row r="99" spans="1:2" x14ac:dyDescent="0.25">
      <c r="A99" s="118">
        <v>2.0870000000000002</v>
      </c>
      <c r="B99">
        <v>83.33</v>
      </c>
    </row>
    <row r="100" spans="1:2" x14ac:dyDescent="0.25">
      <c r="A100" s="118">
        <v>2.097</v>
      </c>
      <c r="B100">
        <v>28.81</v>
      </c>
    </row>
    <row r="101" spans="1:2" x14ac:dyDescent="0.25">
      <c r="A101" s="118">
        <v>2.0979999999999999</v>
      </c>
      <c r="B101">
        <v>28.19</v>
      </c>
    </row>
    <row r="102" spans="1:2" x14ac:dyDescent="0.25">
      <c r="A102" s="118">
        <v>2.1019999999999999</v>
      </c>
      <c r="B102">
        <v>28.36</v>
      </c>
    </row>
    <row r="103" spans="1:2" x14ac:dyDescent="0.25">
      <c r="A103" s="118">
        <v>2.16</v>
      </c>
      <c r="B103">
        <v>78.209999999999994</v>
      </c>
    </row>
    <row r="104" spans="1:2" x14ac:dyDescent="0.25">
      <c r="A104" s="118">
        <v>3.085</v>
      </c>
      <c r="B104">
        <v>54.81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ВОР 2 э. шт.</vt:lpstr>
      <vt:lpstr>Спец 2 э. шт.</vt:lpstr>
      <vt:lpstr>ВОР 3 э. шт.</vt:lpstr>
      <vt:lpstr>Спец 3 э. шт.</vt:lpstr>
      <vt:lpstr>ВОР 1.2.3 э. шт.</vt:lpstr>
      <vt:lpstr>сп1.2.3эт</vt:lpstr>
      <vt:lpstr>Лист4</vt:lpstr>
      <vt:lpstr>Лист2</vt:lpstr>
      <vt:lpstr>2.1ШпВор</vt:lpstr>
      <vt:lpstr>2.2)Шп1эт</vt:lpstr>
      <vt:lpstr>2.3)Шп2эт</vt:lpstr>
      <vt:lpstr>2.4)Шп3эт</vt:lpstr>
      <vt:lpstr>Лист5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2025-12-22T12:40:00Z</dcterms:modified>
</cp:coreProperties>
</file>