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МирзаяновИИ\Documents\projects\school_lublino\"/>
    </mc:Choice>
  </mc:AlternateContent>
  <bookViews>
    <workbookView xWindow="23265" yWindow="5565" windowWidth="5535" windowHeight="6105" activeTab="2"/>
  </bookViews>
  <sheets>
    <sheet name="ВОР 2 э. шт." sheetId="8" r:id="rId1"/>
    <sheet name="Спец 2 э. шт." sheetId="7" r:id="rId2"/>
    <sheet name="ВОР 3 э. шт." sheetId="10" r:id="rId3"/>
    <sheet name="Спец 3 э. шт." sheetId="9" r:id="rId4"/>
  </sheets>
  <calcPr calcId="152511"/>
</workbook>
</file>

<file path=xl/calcChain.xml><?xml version="1.0" encoding="utf-8"?>
<calcChain xmlns="http://schemas.openxmlformats.org/spreadsheetml/2006/main">
  <c r="E21" i="10" l="1"/>
  <c r="E16" i="10"/>
  <c r="E11" i="10"/>
  <c r="E6" i="10"/>
  <c r="D27" i="9"/>
  <c r="C27" i="9"/>
  <c r="F19" i="9" l="1"/>
  <c r="F20" i="9"/>
  <c r="F21" i="9"/>
  <c r="F18" i="9"/>
  <c r="E26" i="9"/>
  <c r="M5" i="7"/>
  <c r="D14" i="7"/>
  <c r="D25" i="9"/>
  <c r="C25" i="9"/>
  <c r="D24" i="9"/>
  <c r="C24" i="9"/>
  <c r="D23" i="9"/>
  <c r="C23" i="9"/>
  <c r="D22" i="9"/>
  <c r="C22" i="9"/>
  <c r="C6" i="9"/>
  <c r="D6" i="9"/>
  <c r="C7" i="9"/>
  <c r="D7" i="9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E20" i="10" l="1"/>
  <c r="E19" i="10"/>
  <c r="E18" i="10"/>
  <c r="E17" i="10"/>
  <c r="E13" i="10"/>
  <c r="E12" i="10" l="1"/>
  <c r="E14" i="10"/>
  <c r="E15" i="10"/>
  <c r="D5" i="9" l="1"/>
  <c r="I5" i="9"/>
  <c r="C5" i="9"/>
  <c r="H5" i="9"/>
  <c r="H7" i="9" l="1"/>
  <c r="H8" i="9"/>
  <c r="J8" i="9"/>
  <c r="I6" i="9" l="1"/>
  <c r="K6" i="9" s="1"/>
  <c r="J7" i="9"/>
  <c r="I7" i="9"/>
  <c r="K7" i="9" s="1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4" i="9"/>
  <c r="K5" i="9"/>
  <c r="I8" i="9"/>
  <c r="K8" i="9" s="1"/>
  <c r="F28" i="9"/>
  <c r="E28" i="9"/>
  <c r="U27" i="9"/>
  <c r="W27" i="9" s="1"/>
  <c r="Z27" i="9" s="1"/>
  <c r="W26" i="9"/>
  <c r="Z26" i="9" s="1"/>
  <c r="G26" i="9"/>
  <c r="W25" i="9"/>
  <c r="Z25" i="9" s="1"/>
  <c r="G25" i="9"/>
  <c r="W24" i="9"/>
  <c r="Z24" i="9" s="1"/>
  <c r="G24" i="9"/>
  <c r="W23" i="9"/>
  <c r="Z23" i="9" s="1"/>
  <c r="W22" i="9"/>
  <c r="Z22" i="9" s="1"/>
  <c r="G22" i="9" s="1"/>
  <c r="W21" i="9"/>
  <c r="Z21" i="9" s="1"/>
  <c r="W20" i="9"/>
  <c r="Z20" i="9" s="1"/>
  <c r="G20" i="9"/>
  <c r="W19" i="9"/>
  <c r="Z19" i="9" s="1"/>
  <c r="G19" i="9"/>
  <c r="W18" i="9"/>
  <c r="Z18" i="9" s="1"/>
  <c r="G18" i="9"/>
  <c r="W17" i="9"/>
  <c r="Z17" i="9" s="1"/>
  <c r="G17" i="9"/>
  <c r="W16" i="9"/>
  <c r="Z16" i="9" s="1"/>
  <c r="G16" i="9"/>
  <c r="W15" i="9"/>
  <c r="Z15" i="9" s="1"/>
  <c r="W14" i="9"/>
  <c r="Z14" i="9" s="1"/>
  <c r="W13" i="9"/>
  <c r="Z13" i="9" s="1"/>
  <c r="W12" i="9"/>
  <c r="Z12" i="9" s="1"/>
  <c r="W11" i="9"/>
  <c r="Z11" i="9" s="1"/>
  <c r="W10" i="9"/>
  <c r="Z10" i="9" s="1"/>
  <c r="W9" i="9"/>
  <c r="Z9" i="9" s="1"/>
  <c r="W8" i="9"/>
  <c r="Z8" i="9" s="1"/>
  <c r="W7" i="9"/>
  <c r="Z7" i="9" s="1"/>
  <c r="W6" i="9"/>
  <c r="Z6" i="9" s="1"/>
  <c r="W5" i="9"/>
  <c r="Z5" i="9" s="1"/>
  <c r="G11" i="9" l="1"/>
  <c r="G6" i="9"/>
  <c r="G7" i="9"/>
  <c r="G8" i="9"/>
  <c r="G13" i="9"/>
  <c r="G21" i="9"/>
  <c r="G27" i="9"/>
  <c r="G9" i="9"/>
  <c r="G41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5" i="7"/>
  <c r="E16" i="8"/>
  <c r="E17" i="8" s="1"/>
  <c r="E11" i="8"/>
  <c r="E15" i="8" s="1"/>
  <c r="E14" i="8"/>
  <c r="E13" i="8"/>
  <c r="E12" i="8"/>
  <c r="D28" i="9" l="1"/>
  <c r="G23" i="9"/>
  <c r="G10" i="9"/>
  <c r="C28" i="9"/>
  <c r="G5" i="9"/>
  <c r="G15" i="9"/>
  <c r="G14" i="9"/>
  <c r="G12" i="9"/>
  <c r="E20" i="8"/>
  <c r="E19" i="8"/>
  <c r="E18" i="8"/>
  <c r="G28" i="9" l="1"/>
  <c r="G7" i="7"/>
  <c r="G8" i="7"/>
  <c r="G17" i="7"/>
  <c r="G18" i="7"/>
  <c r="G19" i="7"/>
  <c r="G20" i="7"/>
  <c r="G21" i="7"/>
  <c r="G25" i="7"/>
  <c r="G26" i="7"/>
  <c r="G27" i="7"/>
  <c r="G29" i="7"/>
  <c r="G30" i="7"/>
  <c r="G31" i="7"/>
  <c r="G32" i="7"/>
  <c r="G34" i="7"/>
  <c r="G35" i="7"/>
  <c r="G38" i="7"/>
  <c r="G39" i="7"/>
  <c r="G40" i="7"/>
  <c r="G42" i="7"/>
  <c r="G5" i="7"/>
  <c r="E45" i="7"/>
  <c r="F45" i="7"/>
  <c r="C6" i="7"/>
  <c r="D6" i="7"/>
  <c r="G6" i="7" s="1"/>
  <c r="C7" i="7"/>
  <c r="D7" i="7"/>
  <c r="C8" i="7"/>
  <c r="D8" i="7"/>
  <c r="C9" i="7"/>
  <c r="D9" i="7"/>
  <c r="C10" i="7"/>
  <c r="D10" i="7"/>
  <c r="C11" i="7"/>
  <c r="G11" i="7" s="1"/>
  <c r="D11" i="7"/>
  <c r="C12" i="7"/>
  <c r="G12" i="7" s="1"/>
  <c r="D12" i="7"/>
  <c r="C13" i="7"/>
  <c r="D13" i="7"/>
  <c r="C14" i="7"/>
  <c r="G14" i="7" s="1"/>
  <c r="C15" i="7"/>
  <c r="G15" i="7" s="1"/>
  <c r="D15" i="7"/>
  <c r="C16" i="7"/>
  <c r="G16" i="7" s="1"/>
  <c r="D16" i="7"/>
  <c r="C22" i="7"/>
  <c r="D22" i="7"/>
  <c r="C23" i="7"/>
  <c r="G23" i="7" s="1"/>
  <c r="D23" i="7"/>
  <c r="C24" i="7"/>
  <c r="G24" i="7" s="1"/>
  <c r="D24" i="7"/>
  <c r="C28" i="7"/>
  <c r="G28" i="7" s="1"/>
  <c r="D28" i="7"/>
  <c r="C33" i="7"/>
  <c r="D33" i="7"/>
  <c r="C36" i="7"/>
  <c r="G36" i="7" s="1"/>
  <c r="D36" i="7"/>
  <c r="C37" i="7"/>
  <c r="G37" i="7" s="1"/>
  <c r="D37" i="7"/>
  <c r="C40" i="7"/>
  <c r="D40" i="7"/>
  <c r="C43" i="7"/>
  <c r="D43" i="7"/>
  <c r="C44" i="7"/>
  <c r="G44" i="7" s="1"/>
  <c r="D44" i="7"/>
  <c r="D5" i="7"/>
  <c r="C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9" i="7"/>
  <c r="M30" i="7"/>
  <c r="M31" i="7"/>
  <c r="M32" i="7"/>
  <c r="M33" i="7"/>
  <c r="M34" i="7"/>
  <c r="M35" i="7"/>
  <c r="M36" i="7"/>
  <c r="M37" i="7"/>
  <c r="M38" i="7"/>
  <c r="M39" i="7"/>
  <c r="M41" i="7"/>
  <c r="M42" i="7"/>
  <c r="M43" i="7"/>
  <c r="M44" i="7"/>
  <c r="K40" i="7"/>
  <c r="M40" i="7" s="1"/>
  <c r="K31" i="7"/>
  <c r="K28" i="7"/>
  <c r="M28" i="7" s="1"/>
  <c r="G10" i="7" l="1"/>
  <c r="G43" i="7"/>
  <c r="G22" i="7"/>
  <c r="G13" i="7"/>
  <c r="G9" i="7"/>
  <c r="G33" i="7"/>
  <c r="D45" i="7"/>
  <c r="C45" i="7"/>
  <c r="E21" i="8" l="1"/>
  <c r="E6" i="8"/>
  <c r="E7" i="8" s="1"/>
  <c r="E23" i="8"/>
  <c r="E8" i="8"/>
  <c r="E10" i="8"/>
  <c r="E9" i="8"/>
  <c r="E3" i="8"/>
  <c r="E4" i="8" s="1"/>
  <c r="G45" i="7"/>
  <c r="E9" i="10" l="1"/>
  <c r="E10" i="10"/>
  <c r="E3" i="10"/>
  <c r="E7" i="10"/>
  <c r="E8" i="10"/>
  <c r="E5" i="8"/>
  <c r="E25" i="10"/>
  <c r="E22" i="10"/>
  <c r="E23" i="10"/>
  <c r="E24" i="10"/>
  <c r="E25" i="8"/>
  <c r="E22" i="8"/>
  <c r="E24" i="8"/>
  <c r="E5" i="10" l="1"/>
  <c r="E4" i="10"/>
</calcChain>
</file>

<file path=xl/sharedStrings.xml><?xml version="1.0" encoding="utf-8"?>
<sst xmlns="http://schemas.openxmlformats.org/spreadsheetml/2006/main" count="275" uniqueCount="124">
  <si>
    <t>№ п.п.</t>
  </si>
  <si>
    <t>Наименование</t>
  </si>
  <si>
    <t>Спецификация выполненных работ</t>
  </si>
  <si>
    <t>Итог</t>
  </si>
  <si>
    <t>Объем, м²</t>
  </si>
  <si>
    <t>Помещения:</t>
  </si>
  <si>
    <t>Штукатурка цементная</t>
  </si>
  <si>
    <t>1.2</t>
  </si>
  <si>
    <t>Объем</t>
  </si>
  <si>
    <t>пог. м</t>
  </si>
  <si>
    <t>кг</t>
  </si>
  <si>
    <t>1</t>
  </si>
  <si>
    <t>2</t>
  </si>
  <si>
    <t>2.1</t>
  </si>
  <si>
    <t>2.2</t>
  </si>
  <si>
    <t>Ед. изм.</t>
  </si>
  <si>
    <t>Коэф. расхода</t>
  </si>
  <si>
    <t>Грунтовка универсальный ЛАСТИМИН_ / LP-51 А</t>
  </si>
  <si>
    <t>Грунтовка БЕТОН-КОНТАКТ_/</t>
  </si>
  <si>
    <t>сумма:</t>
  </si>
  <si>
    <t>длина полилинии</t>
  </si>
  <si>
    <t>2.001</t>
  </si>
  <si>
    <t>2.002</t>
  </si>
  <si>
    <t>2.003</t>
  </si>
  <si>
    <t>2.004</t>
  </si>
  <si>
    <t>2.005</t>
  </si>
  <si>
    <t>2.007</t>
  </si>
  <si>
    <t>2.008</t>
  </si>
  <si>
    <t>2.009</t>
  </si>
  <si>
    <t>2.010</t>
  </si>
  <si>
    <t>2.011</t>
  </si>
  <si>
    <t>2.012</t>
  </si>
  <si>
    <t>2.013</t>
  </si>
  <si>
    <t>2.014</t>
  </si>
  <si>
    <t>2.015</t>
  </si>
  <si>
    <t>*4000</t>
  </si>
  <si>
    <t>ТИП</t>
  </si>
  <si>
    <t>2.016</t>
  </si>
  <si>
    <t>2.017</t>
  </si>
  <si>
    <t>чст-1,2</t>
  </si>
  <si>
    <t>2.162</t>
  </si>
  <si>
    <t>2.168</t>
  </si>
  <si>
    <t>2.080</t>
  </si>
  <si>
    <t>2.088</t>
  </si>
  <si>
    <t>2.089</t>
  </si>
  <si>
    <t>2.090</t>
  </si>
  <si>
    <t>2.091</t>
  </si>
  <si>
    <t>2.094</t>
  </si>
  <si>
    <t>2.095</t>
  </si>
  <si>
    <t>2.096</t>
  </si>
  <si>
    <t>2.097</t>
  </si>
  <si>
    <t>2.098</t>
  </si>
  <si>
    <t>2.099</t>
  </si>
  <si>
    <t>2.100</t>
  </si>
  <si>
    <t>2.101</t>
  </si>
  <si>
    <t>2.102</t>
  </si>
  <si>
    <t>2.075</t>
  </si>
  <si>
    <t>2.103</t>
  </si>
  <si>
    <t>2.104</t>
  </si>
  <si>
    <t>2.105</t>
  </si>
  <si>
    <t>2.106</t>
  </si>
  <si>
    <t>2.107</t>
  </si>
  <si>
    <t>2.108</t>
  </si>
  <si>
    <t>2.109</t>
  </si>
  <si>
    <t>Штукатурка стен</t>
  </si>
  <si>
    <t>ЧСТ-1</t>
  </si>
  <si>
    <t>Минус окна</t>
  </si>
  <si>
    <t>СТ-8, СТ-8.1</t>
  </si>
  <si>
    <t>СТ-5, СТ-5.1</t>
  </si>
  <si>
    <t xml:space="preserve">ЧСТ-2, ЧСТ-4 </t>
  </si>
  <si>
    <t>Ведомость работ и используемых материалов (Штукатурка)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</si>
  <si>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</si>
  <si>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>1.3</t>
  </si>
  <si>
    <t>Лента армирующая ( серпянка)_/150мм</t>
  </si>
  <si>
    <t>2.3</t>
  </si>
  <si>
    <t>3</t>
  </si>
  <si>
    <t>3.1</t>
  </si>
  <si>
    <t>3.2</t>
  </si>
  <si>
    <t>3.3</t>
  </si>
  <si>
    <t>3.4</t>
  </si>
  <si>
    <t>Профиль маячковый_/ПМ10</t>
  </si>
  <si>
    <t>Штукатурка стен цементным, цементно-песчаным раствором с предварительной огрунтовкой / толщ. от 21 до 40 мм / высотой от 4,01 до 8 метров - ЧСТ-1</t>
  </si>
  <si>
    <t>м2</t>
  </si>
  <si>
    <t>Штукатурка стен цементным, цементно-песчаным раствором с предварительной огрунтовкой / толщ. от 21 до 40 мм / высотой от 4,01 до 8 метров - СТ-5, СТ-5.1</t>
  </si>
  <si>
    <t>Штукатурка стен цементным, цементно-песчаным раствором с предварительной огрунтовкой / толщ. от 21 до 40 мм / высотой от 4,01 до 8 метров - СТ-8, СТ-8.1</t>
  </si>
  <si>
    <t>Штукатурка стен цементным, цементно-песчаным раствором с предварительной огрунтовкой / толщ. от 21 до 40 мм / высотой от 4,01 до 8 метров - ЧСТ-2, ЧСТ-4</t>
  </si>
  <si>
    <t>2.4</t>
  </si>
  <si>
    <t>4</t>
  </si>
  <si>
    <t>Профиль углозащ. оцинков. 31х31 мм 0.5 мм</t>
  </si>
  <si>
    <t>Шпаклевка гипсовая</t>
  </si>
  <si>
    <t>3.001</t>
  </si>
  <si>
    <t>3.002</t>
  </si>
  <si>
    <t>3.003</t>
  </si>
  <si>
    <t>3.004</t>
  </si>
  <si>
    <t>3.005</t>
  </si>
  <si>
    <t>3.006</t>
  </si>
  <si>
    <t>3.008</t>
  </si>
  <si>
    <t>3.009</t>
  </si>
  <si>
    <t>3.010</t>
  </si>
  <si>
    <t>3.011</t>
  </si>
  <si>
    <t>3.012</t>
  </si>
  <si>
    <t>3.013</t>
  </si>
  <si>
    <t>3.014</t>
  </si>
  <si>
    <t>3.015</t>
  </si>
  <si>
    <t>3.016</t>
  </si>
  <si>
    <t>3.017</t>
  </si>
  <si>
    <t>3.018</t>
  </si>
  <si>
    <t>3.019</t>
  </si>
  <si>
    <t>3.020</t>
  </si>
  <si>
    <t>3.021</t>
  </si>
  <si>
    <t>вверх блок
300</t>
  </si>
  <si>
    <t>низ 900 
ГАЗОБЛОК</t>
  </si>
  <si>
    <t>Между окнами 2700</t>
  </si>
  <si>
    <t>Сетка штукатурная_/пластиковая/10*10</t>
  </si>
  <si>
    <t>ПГП</t>
  </si>
  <si>
    <t>БЕТОН</t>
  </si>
  <si>
    <t>над окнами
ЖБ 0.3</t>
  </si>
  <si>
    <t>под окнами
ПГП 1</t>
  </si>
  <si>
    <t>ДВЕРИ В ПГП</t>
  </si>
  <si>
    <t>ДВЕРИ В ЖБ</t>
  </si>
  <si>
    <t>ПГП 
между окнами</t>
  </si>
  <si>
    <t>3.077.2</t>
  </si>
  <si>
    <t>3.092</t>
  </si>
  <si>
    <t>3.094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</si>
</sst>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ГОСТ тип А"/>
      <family val="2"/>
      <charset val="204"/>
    </font>
    <font>
      <sz val="10"/>
      <color theme="1"/>
      <name val="ГОСТ тип А"/>
      <family val="2"/>
      <charset val="204"/>
    </font>
    <font>
      <sz val="10"/>
      <name val="ГОСТ тип А"/>
      <family val="2"/>
      <charset val="204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2" fontId="2" fillId="0" borderId="0" xfId="0" applyNumberFormat="1" applyFont="1"/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2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2" fillId="2" borderId="0" xfId="0" applyFont="1" applyFill="1" applyBorder="1"/>
    <xf numFmtId="0" fontId="2" fillId="5" borderId="0" xfId="0" applyFont="1" applyFill="1"/>
    <xf numFmtId="0" fontId="2" fillId="6" borderId="0" xfId="0" applyFont="1" applyFill="1" applyAlignment="1">
      <alignment wrapText="1"/>
    </xf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2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9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right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2" fontId="2" fillId="0" borderId="4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left" wrapText="1"/>
    </xf>
    <xf numFmtId="49" fontId="2" fillId="0" borderId="6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2" fontId="2" fillId="0" borderId="9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26"/>
  <sheetViews>
    <sheetView zoomScale="130" zoomScaleNormal="130" workbookViewId="0">
      <selection activeCell="E3" sqref="E3"/>
    </sheetView>
  </sheetViews>
  <sheetFormatPr defaultRowHeight="12.75" x14ac:dyDescent="0.2"/>
  <cols>
    <col min="1" max="1" width="7.5703125" style="10" customWidth="1"/>
    <col min="2" max="2" width="50.28515625" style="7" customWidth="1"/>
    <col min="3" max="3" width="9.140625" style="10" customWidth="1"/>
    <col min="4" max="4" width="14.5703125" style="23" customWidth="1"/>
    <col min="5" max="5" width="8.85546875" style="26" customWidth="1"/>
    <col min="6" max="16384" width="9.140625" style="1"/>
  </cols>
  <sheetData>
    <row r="1" spans="1:5" x14ac:dyDescent="0.2">
      <c r="A1" s="16"/>
      <c r="B1" s="17" t="s">
        <v>70</v>
      </c>
      <c r="C1" s="11"/>
      <c r="D1" s="22"/>
      <c r="E1" s="24"/>
    </row>
    <row r="2" spans="1:5" x14ac:dyDescent="0.2">
      <c r="A2" s="16" t="s">
        <v>0</v>
      </c>
      <c r="B2" s="20" t="s">
        <v>1</v>
      </c>
      <c r="C2" s="11" t="s">
        <v>15</v>
      </c>
      <c r="D2" s="22" t="s">
        <v>16</v>
      </c>
      <c r="E2" s="24" t="s">
        <v>8</v>
      </c>
    </row>
    <row r="3" spans="1:5" ht="38.25" customHeight="1" x14ac:dyDescent="0.2">
      <c r="A3" s="18" t="s">
        <v>11</v>
      </c>
      <c r="B3" s="5" t="s">
        <v>71</v>
      </c>
      <c r="C3" s="3" t="s">
        <v>9</v>
      </c>
      <c r="D3" s="9">
        <v>1</v>
      </c>
      <c r="E3" s="25">
        <f>(E6+E11+E16+E21)/100 * 71</f>
        <v>2378.7413999999999</v>
      </c>
    </row>
    <row r="4" spans="1:5" x14ac:dyDescent="0.2">
      <c r="A4" s="18" t="s">
        <v>7</v>
      </c>
      <c r="B4" s="4" t="s">
        <v>89</v>
      </c>
      <c r="C4" s="3" t="s">
        <v>10</v>
      </c>
      <c r="D4" s="9">
        <v>0.3</v>
      </c>
      <c r="E4" s="25">
        <f>D4*E3</f>
        <v>713.62241999999992</v>
      </c>
    </row>
    <row r="5" spans="1:5" x14ac:dyDescent="0.2">
      <c r="A5" s="18" t="s">
        <v>72</v>
      </c>
      <c r="B5" s="4" t="s">
        <v>73</v>
      </c>
      <c r="C5" s="3" t="s">
        <v>9</v>
      </c>
      <c r="D5" s="9">
        <v>1.1000000000000001</v>
      </c>
      <c r="E5" s="25">
        <f>D5*E3</f>
        <v>2616.6155400000002</v>
      </c>
    </row>
    <row r="6" spans="1:5" ht="38.25" x14ac:dyDescent="0.2">
      <c r="A6" s="18" t="s">
        <v>12</v>
      </c>
      <c r="B6" s="5" t="s">
        <v>81</v>
      </c>
      <c r="C6" s="3" t="s">
        <v>82</v>
      </c>
      <c r="D6" s="9">
        <v>1</v>
      </c>
      <c r="E6" s="25">
        <f>'Спец 2 э. шт.'!C45</f>
        <v>907.35119999999995</v>
      </c>
    </row>
    <row r="7" spans="1:5" x14ac:dyDescent="0.2">
      <c r="A7" s="18" t="s">
        <v>13</v>
      </c>
      <c r="B7" s="4" t="s">
        <v>6</v>
      </c>
      <c r="C7" s="3" t="s">
        <v>10</v>
      </c>
      <c r="D7" s="9">
        <v>1.3</v>
      </c>
      <c r="E7" s="25">
        <f>$E$6*D7*23.077</f>
        <v>27220.62673512</v>
      </c>
    </row>
    <row r="8" spans="1:5" x14ac:dyDescent="0.2">
      <c r="A8" s="18" t="s">
        <v>14</v>
      </c>
      <c r="B8" s="21" t="s">
        <v>113</v>
      </c>
      <c r="C8" s="3" t="s">
        <v>82</v>
      </c>
      <c r="D8" s="9">
        <v>1.1000000000000001</v>
      </c>
      <c r="E8" s="25">
        <f t="shared" ref="E8:E10" si="0">$E$6*D8</f>
        <v>998.08632</v>
      </c>
    </row>
    <row r="9" spans="1:5" x14ac:dyDescent="0.2">
      <c r="A9" s="18" t="s">
        <v>74</v>
      </c>
      <c r="B9" s="4" t="s">
        <v>80</v>
      </c>
      <c r="C9" s="3" t="s">
        <v>9</v>
      </c>
      <c r="D9" s="9">
        <v>1</v>
      </c>
      <c r="E9" s="25">
        <f t="shared" si="0"/>
        <v>907.35119999999995</v>
      </c>
    </row>
    <row r="10" spans="1:5" x14ac:dyDescent="0.2">
      <c r="A10" s="18" t="s">
        <v>86</v>
      </c>
      <c r="B10" s="4" t="s">
        <v>18</v>
      </c>
      <c r="C10" s="3" t="s">
        <v>10</v>
      </c>
      <c r="D10" s="9">
        <v>0.25</v>
      </c>
      <c r="E10" s="25">
        <f t="shared" si="0"/>
        <v>226.83779999999999</v>
      </c>
    </row>
    <row r="11" spans="1:5" ht="38.25" x14ac:dyDescent="0.2">
      <c r="A11" s="18" t="s">
        <v>75</v>
      </c>
      <c r="B11" s="4" t="s">
        <v>83</v>
      </c>
      <c r="C11" s="3" t="s">
        <v>82</v>
      </c>
      <c r="D11" s="9">
        <v>1</v>
      </c>
      <c r="E11" s="25">
        <f>'Спец 2 э. шт.'!E45</f>
        <v>62.379999999999995</v>
      </c>
    </row>
    <row r="12" spans="1:5" x14ac:dyDescent="0.2">
      <c r="A12" s="18" t="s">
        <v>76</v>
      </c>
      <c r="B12" s="4" t="s">
        <v>18</v>
      </c>
      <c r="C12" s="3" t="s">
        <v>10</v>
      </c>
      <c r="D12" s="9">
        <v>0.25</v>
      </c>
      <c r="E12" s="25">
        <f>E11*D12</f>
        <v>15.594999999999999</v>
      </c>
    </row>
    <row r="13" spans="1:5" x14ac:dyDescent="0.2">
      <c r="A13" s="18" t="s">
        <v>77</v>
      </c>
      <c r="B13" s="4" t="s">
        <v>80</v>
      </c>
      <c r="C13" s="3" t="s">
        <v>9</v>
      </c>
      <c r="D13" s="9">
        <v>1</v>
      </c>
      <c r="E13" s="25">
        <f>E11*D13</f>
        <v>62.379999999999995</v>
      </c>
    </row>
    <row r="14" spans="1:5" x14ac:dyDescent="0.2">
      <c r="A14" s="18" t="s">
        <v>78</v>
      </c>
      <c r="B14" s="21" t="s">
        <v>113</v>
      </c>
      <c r="C14" s="3" t="s">
        <v>82</v>
      </c>
      <c r="D14" s="9">
        <v>1.1000000000000001</v>
      </c>
      <c r="E14" s="25">
        <f>E11*D14</f>
        <v>68.617999999999995</v>
      </c>
    </row>
    <row r="15" spans="1:5" x14ac:dyDescent="0.2">
      <c r="A15" s="18" t="s">
        <v>79</v>
      </c>
      <c r="B15" s="4" t="s">
        <v>6</v>
      </c>
      <c r="C15" s="3" t="s">
        <v>10</v>
      </c>
      <c r="D15" s="9">
        <v>1.3</v>
      </c>
      <c r="E15" s="25">
        <f>E11*D15*23.077</f>
        <v>1871.406238</v>
      </c>
    </row>
    <row r="16" spans="1:5" ht="38.25" x14ac:dyDescent="0.2">
      <c r="A16" s="18" t="s">
        <v>87</v>
      </c>
      <c r="B16" s="4" t="s">
        <v>84</v>
      </c>
      <c r="C16" s="3" t="s">
        <v>82</v>
      </c>
      <c r="D16" s="9">
        <v>1</v>
      </c>
      <c r="E16" s="25">
        <f>'Спец 2 э. шт.'!F45</f>
        <v>619.28000000000009</v>
      </c>
    </row>
    <row r="17" spans="1:5" x14ac:dyDescent="0.2">
      <c r="A17" s="2">
        <v>4.0999999999999996</v>
      </c>
      <c r="B17" s="21" t="s">
        <v>6</v>
      </c>
      <c r="C17" s="2" t="s">
        <v>10</v>
      </c>
      <c r="D17" s="9">
        <v>1.3</v>
      </c>
      <c r="E17" s="25">
        <f>E16*D17*23.077</f>
        <v>18578.461928000004</v>
      </c>
    </row>
    <row r="18" spans="1:5" x14ac:dyDescent="0.2">
      <c r="A18" s="2">
        <v>4.2</v>
      </c>
      <c r="B18" s="21" t="s">
        <v>113</v>
      </c>
      <c r="C18" s="2" t="s">
        <v>82</v>
      </c>
      <c r="D18" s="9">
        <v>1.1000000000000001</v>
      </c>
      <c r="E18" s="25">
        <f>E16*D18</f>
        <v>681.2080000000002</v>
      </c>
    </row>
    <row r="19" spans="1:5" x14ac:dyDescent="0.2">
      <c r="A19" s="2">
        <v>4.3</v>
      </c>
      <c r="B19" s="21" t="s">
        <v>80</v>
      </c>
      <c r="C19" s="2" t="s">
        <v>9</v>
      </c>
      <c r="D19" s="9">
        <v>1</v>
      </c>
      <c r="E19" s="25">
        <f>E16*D19</f>
        <v>619.28000000000009</v>
      </c>
    </row>
    <row r="20" spans="1:5" x14ac:dyDescent="0.2">
      <c r="A20" s="2">
        <v>4.4000000000000004</v>
      </c>
      <c r="B20" s="21" t="s">
        <v>18</v>
      </c>
      <c r="C20" s="2" t="s">
        <v>10</v>
      </c>
      <c r="D20" s="9">
        <v>0.25</v>
      </c>
      <c r="E20" s="25">
        <f>E16*D20</f>
        <v>154.82000000000002</v>
      </c>
    </row>
    <row r="21" spans="1:5" ht="38.25" x14ac:dyDescent="0.2">
      <c r="A21" s="2">
        <v>5</v>
      </c>
      <c r="B21" s="19" t="s">
        <v>85</v>
      </c>
      <c r="C21" s="2" t="s">
        <v>82</v>
      </c>
      <c r="D21" s="9">
        <v>1</v>
      </c>
      <c r="E21" s="25">
        <f>'Спец 2 э. шт.'!D45</f>
        <v>1761.3287999999998</v>
      </c>
    </row>
    <row r="22" spans="1:5" x14ac:dyDescent="0.2">
      <c r="A22" s="2">
        <v>5.0999999999999996</v>
      </c>
      <c r="B22" s="21" t="s">
        <v>17</v>
      </c>
      <c r="C22" s="2" t="s">
        <v>10</v>
      </c>
      <c r="D22" s="9">
        <v>0.15</v>
      </c>
      <c r="E22" s="25">
        <f>E21*D22</f>
        <v>264.19931999999994</v>
      </c>
    </row>
    <row r="23" spans="1:5" x14ac:dyDescent="0.2">
      <c r="A23" s="2">
        <v>5.2</v>
      </c>
      <c r="B23" s="21" t="s">
        <v>80</v>
      </c>
      <c r="C23" s="2" t="s">
        <v>9</v>
      </c>
      <c r="D23" s="9">
        <v>1</v>
      </c>
      <c r="E23" s="25">
        <f>E21*D23</f>
        <v>1761.3287999999998</v>
      </c>
    </row>
    <row r="24" spans="1:5" x14ac:dyDescent="0.2">
      <c r="A24" s="2">
        <v>5.3</v>
      </c>
      <c r="B24" s="21" t="s">
        <v>113</v>
      </c>
      <c r="C24" s="2" t="s">
        <v>82</v>
      </c>
      <c r="D24" s="9">
        <v>1.1000000000000001</v>
      </c>
      <c r="E24" s="25">
        <f>E21*D24</f>
        <v>1937.4616799999999</v>
      </c>
    </row>
    <row r="25" spans="1:5" x14ac:dyDescent="0.2">
      <c r="A25" s="2">
        <v>5.4</v>
      </c>
      <c r="B25" s="21" t="s">
        <v>6</v>
      </c>
      <c r="C25" s="2" t="s">
        <v>10</v>
      </c>
      <c r="D25" s="9">
        <v>1.3</v>
      </c>
      <c r="E25" s="25">
        <f>E21*D25*23.077</f>
        <v>52840.040132879993</v>
      </c>
    </row>
    <row r="26" spans="1:5" x14ac:dyDescent="0.2">
      <c r="A26" s="2">
        <v>6</v>
      </c>
      <c r="B26" s="19" t="s">
        <v>88</v>
      </c>
      <c r="C26" s="2" t="s">
        <v>9</v>
      </c>
      <c r="D26" s="9">
        <v>1</v>
      </c>
      <c r="E26" s="25">
        <v>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45"/>
  <sheetViews>
    <sheetView zoomScale="85" zoomScaleNormal="85" workbookViewId="0">
      <selection activeCell="E3" sqref="E3"/>
    </sheetView>
  </sheetViews>
  <sheetFormatPr defaultRowHeight="12.75" x14ac:dyDescent="0.2"/>
  <cols>
    <col min="1" max="1" width="7" style="10" customWidth="1"/>
    <col min="2" max="2" width="11.140625" style="10" customWidth="1"/>
    <col min="3" max="6" width="8.7109375" style="10" customWidth="1"/>
    <col min="7" max="7" width="8.7109375" style="27" customWidth="1"/>
    <col min="8" max="9" width="9.140625" style="1" customWidth="1"/>
    <col min="10" max="10" width="13.140625" style="1" customWidth="1"/>
    <col min="11" max="11" width="24.42578125" style="1" customWidth="1"/>
    <col min="12" max="12" width="9.140625" style="1" customWidth="1"/>
    <col min="13" max="13" width="12" style="1" customWidth="1"/>
    <col min="14" max="14" width="9.140625" style="1" customWidth="1"/>
    <col min="15" max="15" width="13.85546875" style="1" customWidth="1"/>
    <col min="16" max="17" width="9.140625" style="1" customWidth="1"/>
    <col min="18" max="16384" width="9.140625" style="1"/>
  </cols>
  <sheetData>
    <row r="1" spans="1:16" x14ac:dyDescent="0.2">
      <c r="A1" s="72" t="s">
        <v>2</v>
      </c>
      <c r="B1" s="72"/>
      <c r="C1" s="72"/>
      <c r="D1" s="72"/>
      <c r="E1" s="72"/>
      <c r="F1" s="72"/>
      <c r="G1" s="72"/>
    </row>
    <row r="2" spans="1:16" x14ac:dyDescent="0.2">
      <c r="A2" s="73" t="s">
        <v>64</v>
      </c>
      <c r="B2" s="73"/>
      <c r="C2" s="73"/>
      <c r="D2" s="73"/>
      <c r="E2" s="73"/>
      <c r="F2" s="73"/>
      <c r="G2" s="73"/>
    </row>
    <row r="3" spans="1:16" ht="25.5" x14ac:dyDescent="0.2">
      <c r="A3" s="2"/>
      <c r="B3" s="12"/>
      <c r="C3" s="6" t="s">
        <v>65</v>
      </c>
      <c r="D3" s="13" t="s">
        <v>69</v>
      </c>
      <c r="E3" s="13" t="s">
        <v>68</v>
      </c>
      <c r="F3" s="13" t="s">
        <v>67</v>
      </c>
      <c r="G3" s="15" t="s">
        <v>3</v>
      </c>
      <c r="J3" s="1" t="s">
        <v>36</v>
      </c>
      <c r="K3" s="1" t="s">
        <v>20</v>
      </c>
      <c r="L3" s="1" t="s">
        <v>35</v>
      </c>
    </row>
    <row r="4" spans="1:16" x14ac:dyDescent="0.2">
      <c r="A4" s="2" t="s">
        <v>0</v>
      </c>
      <c r="B4" s="14" t="s">
        <v>5</v>
      </c>
      <c r="C4" s="3" t="s">
        <v>4</v>
      </c>
      <c r="D4" s="3" t="s">
        <v>4</v>
      </c>
      <c r="E4" s="3" t="s">
        <v>4</v>
      </c>
      <c r="F4" s="3" t="s">
        <v>4</v>
      </c>
      <c r="G4" s="25" t="s">
        <v>4</v>
      </c>
      <c r="O4" s="1" t="s">
        <v>66</v>
      </c>
    </row>
    <row r="5" spans="1:16" x14ac:dyDescent="0.2">
      <c r="A5" s="2">
        <v>1</v>
      </c>
      <c r="B5" s="12" t="s">
        <v>21</v>
      </c>
      <c r="C5" s="25">
        <f>P5/100*34</f>
        <v>40.180350000000004</v>
      </c>
      <c r="D5" s="25">
        <f>P5/100*66</f>
        <v>77.997150000000005</v>
      </c>
      <c r="E5" s="25"/>
      <c r="F5" s="25"/>
      <c r="G5" s="25">
        <f>SUM(C5:F5)</f>
        <v>118.17750000000001</v>
      </c>
      <c r="J5" s="1" t="s">
        <v>39</v>
      </c>
      <c r="K5" s="1">
        <v>31886.4221</v>
      </c>
      <c r="L5" s="1">
        <v>4000</v>
      </c>
      <c r="M5" s="8">
        <f>ROUND(K5*L5/1000000, 2)</f>
        <v>127.55</v>
      </c>
      <c r="O5" s="1">
        <v>15</v>
      </c>
      <c r="P5" s="8">
        <f>(M5-O5) / 100 * 5 + (M5-O5)</f>
        <v>118.17749999999999</v>
      </c>
    </row>
    <row r="6" spans="1:16" x14ac:dyDescent="0.2">
      <c r="A6" s="2">
        <v>2</v>
      </c>
      <c r="B6" s="12" t="s">
        <v>22</v>
      </c>
      <c r="C6" s="25">
        <f t="shared" ref="C6:C44" si="0">P6/100*34</f>
        <v>38.67024</v>
      </c>
      <c r="D6" s="25">
        <f t="shared" ref="D6:D44" si="1">P6/100*66</f>
        <v>75.065759999999997</v>
      </c>
      <c r="E6" s="25"/>
      <c r="F6" s="25"/>
      <c r="G6" s="25">
        <f t="shared" ref="G6:G44" si="2">SUM(C6:F6)</f>
        <v>113.73599999999999</v>
      </c>
      <c r="K6" s="1">
        <v>30830.7402</v>
      </c>
      <c r="L6" s="1">
        <v>4000</v>
      </c>
      <c r="M6" s="8">
        <f t="shared" ref="M6:M44" si="3">ROUND(K6*L6/1000000, 2)</f>
        <v>123.32</v>
      </c>
      <c r="O6" s="1">
        <v>15</v>
      </c>
      <c r="P6" s="8">
        <f t="shared" ref="P6:P44" si="4">(M6-O6) / 100 * 5 + (M6-O6)</f>
        <v>113.73599999999999</v>
      </c>
    </row>
    <row r="7" spans="1:16" x14ac:dyDescent="0.2">
      <c r="A7" s="2">
        <v>3</v>
      </c>
      <c r="B7" s="12" t="s">
        <v>23</v>
      </c>
      <c r="C7" s="25">
        <f t="shared" si="0"/>
        <v>41.651189999999993</v>
      </c>
      <c r="D7" s="25">
        <f t="shared" si="1"/>
        <v>80.852309999999989</v>
      </c>
      <c r="E7" s="25"/>
      <c r="F7" s="25"/>
      <c r="G7" s="25">
        <f t="shared" si="2"/>
        <v>122.50349999999997</v>
      </c>
      <c r="K7" s="1">
        <v>32917.396500000003</v>
      </c>
      <c r="L7" s="1">
        <v>4000</v>
      </c>
      <c r="M7" s="8">
        <f t="shared" si="3"/>
        <v>131.66999999999999</v>
      </c>
      <c r="O7" s="1">
        <v>15</v>
      </c>
      <c r="P7" s="8">
        <f t="shared" si="4"/>
        <v>122.50349999999999</v>
      </c>
    </row>
    <row r="8" spans="1:16" x14ac:dyDescent="0.2">
      <c r="A8" s="2">
        <v>4</v>
      </c>
      <c r="B8" s="12" t="s">
        <v>24</v>
      </c>
      <c r="C8" s="25">
        <f t="shared" si="0"/>
        <v>106.96433999999999</v>
      </c>
      <c r="D8" s="25">
        <f t="shared" si="1"/>
        <v>207.63666000000001</v>
      </c>
      <c r="E8" s="25"/>
      <c r="F8" s="25"/>
      <c r="G8" s="25">
        <f t="shared" si="2"/>
        <v>314.601</v>
      </c>
      <c r="K8" s="1">
        <v>78654.636299999998</v>
      </c>
      <c r="L8" s="1">
        <v>4000</v>
      </c>
      <c r="M8" s="8">
        <f t="shared" si="3"/>
        <v>314.62</v>
      </c>
      <c r="O8" s="1">
        <v>15</v>
      </c>
      <c r="P8" s="8">
        <f t="shared" si="4"/>
        <v>314.601</v>
      </c>
    </row>
    <row r="9" spans="1:16" x14ac:dyDescent="0.2">
      <c r="A9" s="2">
        <v>5</v>
      </c>
      <c r="B9" s="12" t="s">
        <v>25</v>
      </c>
      <c r="C9" s="25">
        <f t="shared" si="0"/>
        <v>10.074540000000001</v>
      </c>
      <c r="D9" s="25">
        <f t="shared" si="1"/>
        <v>19.556460000000001</v>
      </c>
      <c r="E9" s="25"/>
      <c r="F9" s="25"/>
      <c r="G9" s="25">
        <f t="shared" si="2"/>
        <v>29.631</v>
      </c>
      <c r="K9" s="1">
        <v>12056</v>
      </c>
      <c r="L9" s="1">
        <v>4000</v>
      </c>
      <c r="M9" s="8">
        <f t="shared" si="3"/>
        <v>48.22</v>
      </c>
      <c r="O9" s="1">
        <v>20</v>
      </c>
      <c r="P9" s="8">
        <f t="shared" si="4"/>
        <v>29.631</v>
      </c>
    </row>
    <row r="10" spans="1:16" x14ac:dyDescent="0.2">
      <c r="A10" s="2">
        <v>6</v>
      </c>
      <c r="B10" s="12" t="s">
        <v>26</v>
      </c>
      <c r="C10" s="25">
        <f t="shared" si="0"/>
        <v>36.303329999999995</v>
      </c>
      <c r="D10" s="25">
        <f t="shared" si="1"/>
        <v>70.471170000000001</v>
      </c>
      <c r="E10" s="25"/>
      <c r="F10" s="25"/>
      <c r="G10" s="25">
        <f t="shared" si="2"/>
        <v>106.77449999999999</v>
      </c>
      <c r="K10" s="1">
        <v>30423</v>
      </c>
      <c r="L10" s="1">
        <v>4000</v>
      </c>
      <c r="M10" s="8">
        <f t="shared" si="3"/>
        <v>121.69</v>
      </c>
      <c r="O10" s="1">
        <v>20</v>
      </c>
      <c r="P10" s="8">
        <f t="shared" si="4"/>
        <v>106.7745</v>
      </c>
    </row>
    <row r="11" spans="1:16" x14ac:dyDescent="0.2">
      <c r="A11" s="2">
        <v>7</v>
      </c>
      <c r="B11" s="12" t="s">
        <v>27</v>
      </c>
      <c r="C11" s="25">
        <f t="shared" si="0"/>
        <v>37.913399999999996</v>
      </c>
      <c r="D11" s="25">
        <f t="shared" si="1"/>
        <v>73.596599999999995</v>
      </c>
      <c r="E11" s="25"/>
      <c r="F11" s="25"/>
      <c r="G11" s="25">
        <f t="shared" si="2"/>
        <v>111.50999999999999</v>
      </c>
      <c r="K11" s="1">
        <v>31549</v>
      </c>
      <c r="L11" s="1">
        <v>4000</v>
      </c>
      <c r="M11" s="8">
        <f t="shared" si="3"/>
        <v>126.2</v>
      </c>
      <c r="O11" s="1">
        <v>20</v>
      </c>
      <c r="P11" s="8">
        <f t="shared" si="4"/>
        <v>111.51</v>
      </c>
    </row>
    <row r="12" spans="1:16" x14ac:dyDescent="0.2">
      <c r="A12" s="2">
        <v>8</v>
      </c>
      <c r="B12" s="12" t="s">
        <v>28</v>
      </c>
      <c r="C12" s="25">
        <f t="shared" si="0"/>
        <v>36.303329999999995</v>
      </c>
      <c r="D12" s="25">
        <f t="shared" si="1"/>
        <v>70.471170000000001</v>
      </c>
      <c r="E12" s="25"/>
      <c r="F12" s="25"/>
      <c r="G12" s="25">
        <f t="shared" si="2"/>
        <v>106.77449999999999</v>
      </c>
      <c r="K12" s="1">
        <v>30423</v>
      </c>
      <c r="L12" s="1">
        <v>4000</v>
      </c>
      <c r="M12" s="8">
        <f t="shared" si="3"/>
        <v>121.69</v>
      </c>
      <c r="O12" s="1">
        <v>20</v>
      </c>
      <c r="P12" s="8">
        <f t="shared" si="4"/>
        <v>106.7745</v>
      </c>
    </row>
    <row r="13" spans="1:16" x14ac:dyDescent="0.2">
      <c r="A13" s="2">
        <v>9</v>
      </c>
      <c r="B13" s="12" t="s">
        <v>29</v>
      </c>
      <c r="C13" s="25">
        <f t="shared" si="0"/>
        <v>31.630200000000002</v>
      </c>
      <c r="D13" s="25">
        <f t="shared" si="1"/>
        <v>61.399799999999999</v>
      </c>
      <c r="E13" s="25"/>
      <c r="F13" s="25"/>
      <c r="G13" s="25">
        <f t="shared" si="2"/>
        <v>93.03</v>
      </c>
      <c r="K13" s="1">
        <v>27149</v>
      </c>
      <c r="L13" s="1">
        <v>4000</v>
      </c>
      <c r="M13" s="8">
        <f t="shared" si="3"/>
        <v>108.6</v>
      </c>
      <c r="O13" s="1">
        <v>20</v>
      </c>
      <c r="P13" s="8">
        <f t="shared" si="4"/>
        <v>93.03</v>
      </c>
    </row>
    <row r="14" spans="1:16" x14ac:dyDescent="0.2">
      <c r="A14" s="2">
        <v>10</v>
      </c>
      <c r="B14" s="12" t="s">
        <v>30</v>
      </c>
      <c r="C14" s="25">
        <f t="shared" si="0"/>
        <v>36.256920000000001</v>
      </c>
      <c r="D14" s="25">
        <f>P14/100*66</f>
        <v>70.381080000000011</v>
      </c>
      <c r="E14" s="25"/>
      <c r="F14" s="25"/>
      <c r="G14" s="25">
        <f t="shared" si="2"/>
        <v>106.63800000000001</v>
      </c>
      <c r="K14" s="1">
        <v>30390</v>
      </c>
      <c r="L14" s="1">
        <v>4000</v>
      </c>
      <c r="M14" s="8">
        <f t="shared" si="3"/>
        <v>121.56</v>
      </c>
      <c r="O14" s="1">
        <v>20</v>
      </c>
      <c r="P14" s="8">
        <f t="shared" si="4"/>
        <v>106.63800000000001</v>
      </c>
    </row>
    <row r="15" spans="1:16" x14ac:dyDescent="0.2">
      <c r="A15" s="2">
        <v>11</v>
      </c>
      <c r="B15" s="12" t="s">
        <v>31</v>
      </c>
      <c r="C15" s="25">
        <f t="shared" si="0"/>
        <v>79.807350000000014</v>
      </c>
      <c r="D15" s="25">
        <f t="shared" si="1"/>
        <v>154.92015000000001</v>
      </c>
      <c r="E15" s="25"/>
      <c r="F15" s="25"/>
      <c r="G15" s="25">
        <f t="shared" si="2"/>
        <v>234.72750000000002</v>
      </c>
      <c r="K15" s="1">
        <v>59638</v>
      </c>
      <c r="L15" s="1">
        <v>4000</v>
      </c>
      <c r="M15" s="8">
        <f t="shared" si="3"/>
        <v>238.55</v>
      </c>
      <c r="O15" s="1">
        <v>15</v>
      </c>
      <c r="P15" s="8">
        <f t="shared" si="4"/>
        <v>234.72750000000002</v>
      </c>
    </row>
    <row r="16" spans="1:16" x14ac:dyDescent="0.2">
      <c r="A16" s="2">
        <v>12</v>
      </c>
      <c r="B16" s="12" t="s">
        <v>32</v>
      </c>
      <c r="C16" s="25">
        <f t="shared" si="0"/>
        <v>28.288679999999999</v>
      </c>
      <c r="D16" s="25">
        <f t="shared" si="1"/>
        <v>54.913319999999999</v>
      </c>
      <c r="E16" s="25"/>
      <c r="F16" s="25"/>
      <c r="G16" s="25">
        <f t="shared" si="2"/>
        <v>83.201999999999998</v>
      </c>
      <c r="K16" s="1">
        <v>24809</v>
      </c>
      <c r="L16" s="1">
        <v>4000</v>
      </c>
      <c r="M16" s="8">
        <f t="shared" si="3"/>
        <v>99.24</v>
      </c>
      <c r="O16" s="1">
        <v>20</v>
      </c>
      <c r="P16" s="8">
        <f t="shared" si="4"/>
        <v>83.201999999999998</v>
      </c>
    </row>
    <row r="17" spans="1:16" x14ac:dyDescent="0.2">
      <c r="A17" s="2">
        <v>13</v>
      </c>
      <c r="B17" s="12" t="s">
        <v>33</v>
      </c>
      <c r="C17" s="25"/>
      <c r="D17" s="25"/>
      <c r="E17" s="25"/>
      <c r="F17" s="25">
        <v>69.489999999999995</v>
      </c>
      <c r="G17" s="25">
        <f t="shared" si="2"/>
        <v>69.489999999999995</v>
      </c>
      <c r="J17" s="1" t="s">
        <v>67</v>
      </c>
      <c r="K17" s="1">
        <v>18723</v>
      </c>
      <c r="L17" s="1">
        <v>4000</v>
      </c>
      <c r="M17" s="8">
        <f t="shared" si="3"/>
        <v>74.89</v>
      </c>
      <c r="O17" s="1">
        <v>5.4</v>
      </c>
      <c r="P17" s="8">
        <f t="shared" si="4"/>
        <v>72.964500000000001</v>
      </c>
    </row>
    <row r="18" spans="1:16" x14ac:dyDescent="0.2">
      <c r="A18" s="2">
        <v>14</v>
      </c>
      <c r="B18" s="12" t="s">
        <v>34</v>
      </c>
      <c r="C18" s="25"/>
      <c r="D18" s="25"/>
      <c r="E18" s="25"/>
      <c r="F18" s="25">
        <v>87.929999999999993</v>
      </c>
      <c r="G18" s="25">
        <f t="shared" si="2"/>
        <v>87.929999999999993</v>
      </c>
      <c r="J18" s="1" t="s">
        <v>67</v>
      </c>
      <c r="K18" s="1">
        <v>23333</v>
      </c>
      <c r="L18" s="1">
        <v>4000</v>
      </c>
      <c r="M18" s="8">
        <f t="shared" si="3"/>
        <v>93.33</v>
      </c>
      <c r="O18" s="1">
        <v>5.4</v>
      </c>
      <c r="P18" s="8">
        <f t="shared" si="4"/>
        <v>92.326499999999996</v>
      </c>
    </row>
    <row r="19" spans="1:16" x14ac:dyDescent="0.2">
      <c r="A19" s="2">
        <v>15</v>
      </c>
      <c r="B19" s="12" t="s">
        <v>37</v>
      </c>
      <c r="C19" s="25"/>
      <c r="D19" s="25"/>
      <c r="E19" s="25"/>
      <c r="F19" s="25">
        <v>33.979999999999997</v>
      </c>
      <c r="G19" s="25">
        <f t="shared" si="2"/>
        <v>33.979999999999997</v>
      </c>
      <c r="J19" s="1" t="s">
        <v>67</v>
      </c>
      <c r="K19" s="1">
        <v>8495</v>
      </c>
      <c r="L19" s="1">
        <v>4000</v>
      </c>
      <c r="M19" s="8">
        <f t="shared" si="3"/>
        <v>33.979999999999997</v>
      </c>
      <c r="P19" s="8">
        <f t="shared" si="4"/>
        <v>35.678999999999995</v>
      </c>
    </row>
    <row r="20" spans="1:16" x14ac:dyDescent="0.2">
      <c r="A20" s="2">
        <v>16</v>
      </c>
      <c r="B20" s="12" t="s">
        <v>38</v>
      </c>
      <c r="C20" s="25"/>
      <c r="D20" s="25"/>
      <c r="E20" s="25"/>
      <c r="F20" s="25">
        <v>16.399999999999999</v>
      </c>
      <c r="G20" s="25">
        <f t="shared" si="2"/>
        <v>16.399999999999999</v>
      </c>
      <c r="J20" s="1" t="s">
        <v>67</v>
      </c>
      <c r="K20" s="1">
        <v>4100</v>
      </c>
      <c r="L20" s="1">
        <v>4000</v>
      </c>
      <c r="M20" s="8">
        <f t="shared" si="3"/>
        <v>16.399999999999999</v>
      </c>
      <c r="P20" s="8">
        <f t="shared" si="4"/>
        <v>17.22</v>
      </c>
    </row>
    <row r="21" spans="1:16" x14ac:dyDescent="0.2">
      <c r="A21" s="2">
        <v>17</v>
      </c>
      <c r="B21" s="12" t="s">
        <v>40</v>
      </c>
      <c r="C21" s="25"/>
      <c r="D21" s="25"/>
      <c r="E21" s="25">
        <v>36.46</v>
      </c>
      <c r="F21" s="25"/>
      <c r="G21" s="25">
        <f t="shared" si="2"/>
        <v>36.46</v>
      </c>
      <c r="J21" s="1" t="s">
        <v>68</v>
      </c>
      <c r="K21" s="1">
        <v>9115</v>
      </c>
      <c r="L21" s="1">
        <v>4000</v>
      </c>
      <c r="M21" s="8">
        <f t="shared" si="3"/>
        <v>36.46</v>
      </c>
      <c r="P21" s="8">
        <f t="shared" si="4"/>
        <v>38.283000000000001</v>
      </c>
    </row>
    <row r="22" spans="1:16" x14ac:dyDescent="0.2">
      <c r="A22" s="2">
        <v>18</v>
      </c>
      <c r="B22" s="12" t="s">
        <v>56</v>
      </c>
      <c r="C22" s="25">
        <f t="shared" si="0"/>
        <v>96.579210000000003</v>
      </c>
      <c r="D22" s="25">
        <f t="shared" si="1"/>
        <v>187.47729000000001</v>
      </c>
      <c r="E22" s="25"/>
      <c r="F22" s="25"/>
      <c r="G22" s="25">
        <f t="shared" si="2"/>
        <v>284.05650000000003</v>
      </c>
      <c r="K22" s="1">
        <v>68290</v>
      </c>
      <c r="L22" s="1">
        <v>4001</v>
      </c>
      <c r="M22" s="8">
        <f t="shared" si="3"/>
        <v>273.23</v>
      </c>
      <c r="O22" s="1">
        <v>2.7</v>
      </c>
      <c r="P22" s="8">
        <f t="shared" si="4"/>
        <v>284.05650000000003</v>
      </c>
    </row>
    <row r="23" spans="1:16" x14ac:dyDescent="0.2">
      <c r="A23" s="2">
        <v>19</v>
      </c>
      <c r="B23" s="12" t="s">
        <v>42</v>
      </c>
      <c r="C23" s="25">
        <f t="shared" si="0"/>
        <v>152.13198</v>
      </c>
      <c r="D23" s="25">
        <f t="shared" si="1"/>
        <v>295.31502</v>
      </c>
      <c r="E23" s="25"/>
      <c r="F23" s="25"/>
      <c r="G23" s="25">
        <f t="shared" si="2"/>
        <v>447.447</v>
      </c>
      <c r="K23" s="1">
        <v>107884</v>
      </c>
      <c r="L23" s="1">
        <v>4000</v>
      </c>
      <c r="M23" s="8">
        <f t="shared" si="3"/>
        <v>431.54</v>
      </c>
      <c r="O23" s="1">
        <v>5.4</v>
      </c>
      <c r="P23" s="8">
        <f t="shared" si="4"/>
        <v>447.44700000000006</v>
      </c>
    </row>
    <row r="24" spans="1:16" x14ac:dyDescent="0.2">
      <c r="A24" s="2">
        <v>20</v>
      </c>
      <c r="B24" s="12" t="s">
        <v>43</v>
      </c>
      <c r="C24" s="25">
        <f t="shared" si="0"/>
        <v>18.078479999999999</v>
      </c>
      <c r="D24" s="25">
        <f t="shared" si="1"/>
        <v>35.093519999999998</v>
      </c>
      <c r="E24" s="25"/>
      <c r="F24" s="25"/>
      <c r="G24" s="25">
        <f t="shared" si="2"/>
        <v>53.171999999999997</v>
      </c>
      <c r="K24" s="1">
        <v>12659</v>
      </c>
      <c r="L24" s="1">
        <v>4000</v>
      </c>
      <c r="M24" s="8">
        <f t="shared" si="3"/>
        <v>50.64</v>
      </c>
      <c r="P24" s="8">
        <f t="shared" si="4"/>
        <v>53.171999999999997</v>
      </c>
    </row>
    <row r="25" spans="1:16" x14ac:dyDescent="0.2">
      <c r="A25" s="2">
        <v>21</v>
      </c>
      <c r="B25" s="12" t="s">
        <v>44</v>
      </c>
      <c r="C25" s="25"/>
      <c r="D25" s="25"/>
      <c r="E25" s="25"/>
      <c r="F25" s="25">
        <v>29.16</v>
      </c>
      <c r="G25" s="25">
        <f t="shared" si="2"/>
        <v>29.16</v>
      </c>
      <c r="J25" s="1" t="s">
        <v>67</v>
      </c>
      <c r="K25" s="1">
        <v>7290</v>
      </c>
      <c r="L25" s="1">
        <v>4000</v>
      </c>
      <c r="M25" s="8">
        <f t="shared" si="3"/>
        <v>29.16</v>
      </c>
      <c r="P25" s="8">
        <f t="shared" si="4"/>
        <v>30.618000000000002</v>
      </c>
    </row>
    <row r="26" spans="1:16" x14ac:dyDescent="0.2">
      <c r="A26" s="2">
        <v>22</v>
      </c>
      <c r="B26" s="12" t="s">
        <v>45</v>
      </c>
      <c r="C26" s="25"/>
      <c r="D26" s="25"/>
      <c r="E26" s="25"/>
      <c r="F26" s="25">
        <v>35.47</v>
      </c>
      <c r="G26" s="25">
        <f t="shared" si="2"/>
        <v>35.47</v>
      </c>
      <c r="J26" s="1" t="s">
        <v>67</v>
      </c>
      <c r="K26" s="1">
        <v>8867</v>
      </c>
      <c r="L26" s="1">
        <v>4000</v>
      </c>
      <c r="M26" s="8">
        <f t="shared" si="3"/>
        <v>35.47</v>
      </c>
      <c r="P26" s="8">
        <f t="shared" si="4"/>
        <v>37.243499999999997</v>
      </c>
    </row>
    <row r="27" spans="1:16" x14ac:dyDescent="0.2">
      <c r="A27" s="2">
        <v>23</v>
      </c>
      <c r="B27" s="12" t="s">
        <v>46</v>
      </c>
      <c r="C27" s="25"/>
      <c r="D27" s="25"/>
      <c r="E27" s="25"/>
      <c r="F27" s="25">
        <v>48.34</v>
      </c>
      <c r="G27" s="25">
        <f t="shared" si="2"/>
        <v>48.34</v>
      </c>
      <c r="J27" s="1" t="s">
        <v>67</v>
      </c>
      <c r="K27" s="1">
        <v>12084</v>
      </c>
      <c r="L27" s="1">
        <v>4000</v>
      </c>
      <c r="M27" s="8">
        <f t="shared" si="3"/>
        <v>48.34</v>
      </c>
      <c r="P27" s="8">
        <f t="shared" si="4"/>
        <v>50.757000000000005</v>
      </c>
    </row>
    <row r="28" spans="1:16" x14ac:dyDescent="0.2">
      <c r="A28" s="2">
        <v>24</v>
      </c>
      <c r="B28" s="12" t="s">
        <v>47</v>
      </c>
      <c r="C28" s="25">
        <f t="shared" si="0"/>
        <v>15.693719999999999</v>
      </c>
      <c r="D28" s="25">
        <f t="shared" si="1"/>
        <v>30.464279999999999</v>
      </c>
      <c r="E28" s="25"/>
      <c r="F28" s="25"/>
      <c r="G28" s="25">
        <f t="shared" si="2"/>
        <v>46.158000000000001</v>
      </c>
      <c r="K28" s="1">
        <f>5400+3590+2000</f>
        <v>10990</v>
      </c>
      <c r="L28" s="1">
        <v>4000</v>
      </c>
      <c r="M28" s="8">
        <f t="shared" si="3"/>
        <v>43.96</v>
      </c>
      <c r="P28" s="8">
        <f t="shared" si="4"/>
        <v>46.158000000000001</v>
      </c>
    </row>
    <row r="29" spans="1:16" x14ac:dyDescent="0.2">
      <c r="A29" s="2">
        <v>25</v>
      </c>
      <c r="B29" s="12" t="s">
        <v>48</v>
      </c>
      <c r="C29" s="25"/>
      <c r="D29" s="25"/>
      <c r="E29" s="25"/>
      <c r="F29" s="25">
        <v>35.200000000000003</v>
      </c>
      <c r="G29" s="25">
        <f t="shared" si="2"/>
        <v>35.200000000000003</v>
      </c>
      <c r="J29" s="1" t="s">
        <v>67</v>
      </c>
      <c r="K29" s="1">
        <v>8800</v>
      </c>
      <c r="L29" s="1">
        <v>4000</v>
      </c>
      <c r="M29" s="8">
        <f t="shared" si="3"/>
        <v>35.200000000000003</v>
      </c>
      <c r="P29" s="8">
        <f t="shared" si="4"/>
        <v>36.96</v>
      </c>
    </row>
    <row r="30" spans="1:16" x14ac:dyDescent="0.2">
      <c r="A30" s="2">
        <v>26</v>
      </c>
      <c r="B30" s="12" t="s">
        <v>49</v>
      </c>
      <c r="C30" s="25"/>
      <c r="D30" s="25"/>
      <c r="E30" s="25"/>
      <c r="F30" s="25">
        <v>63.16</v>
      </c>
      <c r="G30" s="25">
        <f t="shared" si="2"/>
        <v>63.16</v>
      </c>
      <c r="J30" s="1" t="s">
        <v>67</v>
      </c>
      <c r="K30" s="1">
        <v>15790</v>
      </c>
      <c r="L30" s="1">
        <v>4000</v>
      </c>
      <c r="M30" s="8">
        <f t="shared" si="3"/>
        <v>63.16</v>
      </c>
      <c r="P30" s="8">
        <f t="shared" si="4"/>
        <v>66.317999999999998</v>
      </c>
    </row>
    <row r="31" spans="1:16" x14ac:dyDescent="0.2">
      <c r="A31" s="2">
        <v>27</v>
      </c>
      <c r="B31" s="12" t="s">
        <v>50</v>
      </c>
      <c r="C31" s="25"/>
      <c r="D31" s="25"/>
      <c r="E31" s="25">
        <v>13.12</v>
      </c>
      <c r="F31" s="25"/>
      <c r="G31" s="25">
        <f t="shared" si="2"/>
        <v>13.12</v>
      </c>
      <c r="J31" s="1" t="s">
        <v>68</v>
      </c>
      <c r="K31" s="1">
        <f>3240+40</f>
        <v>3280</v>
      </c>
      <c r="L31" s="1">
        <v>4000</v>
      </c>
      <c r="M31" s="8">
        <f t="shared" si="3"/>
        <v>13.12</v>
      </c>
      <c r="P31" s="8">
        <f t="shared" si="4"/>
        <v>13.776</v>
      </c>
    </row>
    <row r="32" spans="1:16" x14ac:dyDescent="0.2">
      <c r="A32" s="2">
        <v>28</v>
      </c>
      <c r="B32" s="12" t="s">
        <v>51</v>
      </c>
      <c r="C32" s="25"/>
      <c r="D32" s="25"/>
      <c r="E32" s="25">
        <v>12.8</v>
      </c>
      <c r="F32" s="25"/>
      <c r="G32" s="25">
        <f t="shared" si="2"/>
        <v>12.8</v>
      </c>
      <c r="J32" s="1" t="s">
        <v>68</v>
      </c>
      <c r="K32" s="1">
        <v>3200</v>
      </c>
      <c r="L32" s="1">
        <v>4000</v>
      </c>
      <c r="M32" s="8">
        <f t="shared" si="3"/>
        <v>12.8</v>
      </c>
      <c r="P32" s="8">
        <f t="shared" si="4"/>
        <v>13.440000000000001</v>
      </c>
    </row>
    <row r="33" spans="1:16" x14ac:dyDescent="0.2">
      <c r="A33" s="2">
        <v>29</v>
      </c>
      <c r="B33" s="12" t="s">
        <v>52</v>
      </c>
      <c r="C33" s="25">
        <f t="shared" si="0"/>
        <v>8.7465000000000011</v>
      </c>
      <c r="D33" s="25">
        <f t="shared" si="1"/>
        <v>16.978500000000004</v>
      </c>
      <c r="E33" s="25"/>
      <c r="F33" s="25"/>
      <c r="G33" s="25">
        <f t="shared" si="2"/>
        <v>25.725000000000005</v>
      </c>
      <c r="K33" s="1">
        <v>6124</v>
      </c>
      <c r="L33" s="1">
        <v>4000</v>
      </c>
      <c r="M33" s="8">
        <f t="shared" si="3"/>
        <v>24.5</v>
      </c>
      <c r="P33" s="8">
        <f t="shared" si="4"/>
        <v>25.725000000000001</v>
      </c>
    </row>
    <row r="34" spans="1:16" x14ac:dyDescent="0.2">
      <c r="A34" s="2">
        <v>30</v>
      </c>
      <c r="B34" s="12" t="s">
        <v>53</v>
      </c>
      <c r="C34" s="25"/>
      <c r="D34" s="25"/>
      <c r="E34" s="25"/>
      <c r="F34" s="25">
        <v>44.08</v>
      </c>
      <c r="G34" s="25">
        <f t="shared" si="2"/>
        <v>44.08</v>
      </c>
      <c r="J34" s="1" t="s">
        <v>67</v>
      </c>
      <c r="K34" s="1">
        <v>11020</v>
      </c>
      <c r="L34" s="1">
        <v>4000</v>
      </c>
      <c r="M34" s="8">
        <f t="shared" si="3"/>
        <v>44.08</v>
      </c>
      <c r="P34" s="8">
        <f t="shared" si="4"/>
        <v>46.283999999999999</v>
      </c>
    </row>
    <row r="35" spans="1:16" x14ac:dyDescent="0.2">
      <c r="A35" s="2">
        <v>31</v>
      </c>
      <c r="B35" s="12" t="s">
        <v>54</v>
      </c>
      <c r="C35" s="25"/>
      <c r="D35" s="25"/>
      <c r="E35" s="25"/>
      <c r="F35" s="25">
        <v>33.04</v>
      </c>
      <c r="G35" s="25">
        <f t="shared" si="2"/>
        <v>33.04</v>
      </c>
      <c r="J35" s="1" t="s">
        <v>67</v>
      </c>
      <c r="K35" s="1">
        <v>8260</v>
      </c>
      <c r="L35" s="1">
        <v>4000</v>
      </c>
      <c r="M35" s="8">
        <f t="shared" si="3"/>
        <v>33.04</v>
      </c>
      <c r="P35" s="8">
        <f t="shared" si="4"/>
        <v>34.692</v>
      </c>
    </row>
    <row r="36" spans="1:16" x14ac:dyDescent="0.2">
      <c r="A36" s="2">
        <v>32</v>
      </c>
      <c r="B36" s="12" t="s">
        <v>55</v>
      </c>
      <c r="C36" s="25">
        <f t="shared" si="0"/>
        <v>10.967040000000001</v>
      </c>
      <c r="D36" s="25">
        <f t="shared" si="1"/>
        <v>21.288959999999999</v>
      </c>
      <c r="E36" s="25"/>
      <c r="F36" s="25"/>
      <c r="G36" s="25">
        <f t="shared" si="2"/>
        <v>32.256</v>
      </c>
      <c r="K36" s="1">
        <v>7681</v>
      </c>
      <c r="L36" s="1">
        <v>4000</v>
      </c>
      <c r="M36" s="8">
        <f t="shared" si="3"/>
        <v>30.72</v>
      </c>
      <c r="P36" s="8">
        <f t="shared" si="4"/>
        <v>32.256</v>
      </c>
    </row>
    <row r="37" spans="1:16" x14ac:dyDescent="0.2">
      <c r="A37" s="2">
        <v>33</v>
      </c>
      <c r="B37" s="12" t="s">
        <v>57</v>
      </c>
      <c r="C37" s="25">
        <f t="shared" si="0"/>
        <v>19.535039999999999</v>
      </c>
      <c r="D37" s="25">
        <f t="shared" si="1"/>
        <v>37.920959999999994</v>
      </c>
      <c r="E37" s="25"/>
      <c r="F37" s="25"/>
      <c r="G37" s="25">
        <f t="shared" si="2"/>
        <v>57.455999999999989</v>
      </c>
      <c r="K37" s="1">
        <v>13680</v>
      </c>
      <c r="L37" s="1">
        <v>4000</v>
      </c>
      <c r="M37" s="8">
        <f t="shared" si="3"/>
        <v>54.72</v>
      </c>
      <c r="P37" s="8">
        <f t="shared" si="4"/>
        <v>57.455999999999996</v>
      </c>
    </row>
    <row r="38" spans="1:16" x14ac:dyDescent="0.2">
      <c r="A38" s="2">
        <v>34</v>
      </c>
      <c r="B38" s="12" t="s">
        <v>58</v>
      </c>
      <c r="C38" s="25"/>
      <c r="D38" s="25"/>
      <c r="E38" s="25"/>
      <c r="F38" s="25">
        <v>15.6</v>
      </c>
      <c r="G38" s="25">
        <f t="shared" si="2"/>
        <v>15.6</v>
      </c>
      <c r="J38" s="1" t="s">
        <v>67</v>
      </c>
      <c r="K38" s="1">
        <v>3900</v>
      </c>
      <c r="L38" s="1">
        <v>4000</v>
      </c>
      <c r="M38" s="8">
        <f t="shared" si="3"/>
        <v>15.6</v>
      </c>
      <c r="P38" s="8">
        <f t="shared" si="4"/>
        <v>16.38</v>
      </c>
    </row>
    <row r="39" spans="1:16" x14ac:dyDescent="0.2">
      <c r="A39" s="2">
        <v>35</v>
      </c>
      <c r="B39" s="12" t="s">
        <v>59</v>
      </c>
      <c r="C39" s="25"/>
      <c r="D39" s="25"/>
      <c r="E39" s="25"/>
      <c r="F39" s="25">
        <v>42.99</v>
      </c>
      <c r="G39" s="25">
        <f t="shared" si="2"/>
        <v>42.99</v>
      </c>
      <c r="J39" s="1" t="s">
        <v>67</v>
      </c>
      <c r="K39" s="1">
        <v>10748</v>
      </c>
      <c r="L39" s="1">
        <v>4000</v>
      </c>
      <c r="M39" s="8">
        <f t="shared" si="3"/>
        <v>42.99</v>
      </c>
      <c r="P39" s="8">
        <f t="shared" si="4"/>
        <v>45.139500000000005</v>
      </c>
    </row>
    <row r="40" spans="1:16" x14ac:dyDescent="0.2">
      <c r="A40" s="2">
        <v>36</v>
      </c>
      <c r="B40" s="12" t="s">
        <v>60</v>
      </c>
      <c r="C40" s="25">
        <f t="shared" si="0"/>
        <v>11.352600000000002</v>
      </c>
      <c r="D40" s="25">
        <f t="shared" si="1"/>
        <v>22.037400000000005</v>
      </c>
      <c r="E40" s="25"/>
      <c r="F40" s="25"/>
      <c r="G40" s="25">
        <f t="shared" si="2"/>
        <v>33.390000000000008</v>
      </c>
      <c r="K40" s="1">
        <f>7500+1800</f>
        <v>9300</v>
      </c>
      <c r="L40" s="1">
        <v>4000</v>
      </c>
      <c r="M40" s="8">
        <f t="shared" si="3"/>
        <v>37.200000000000003</v>
      </c>
      <c r="O40" s="1">
        <v>5.4</v>
      </c>
      <c r="P40" s="8">
        <f t="shared" si="4"/>
        <v>33.390000000000008</v>
      </c>
    </row>
    <row r="41" spans="1:16" x14ac:dyDescent="0.2">
      <c r="A41" s="2">
        <v>37</v>
      </c>
      <c r="B41" s="12" t="s">
        <v>61</v>
      </c>
      <c r="C41" s="25"/>
      <c r="D41" s="25"/>
      <c r="E41" s="25"/>
      <c r="F41" s="25">
        <v>22.84</v>
      </c>
      <c r="G41" s="25">
        <f>SUM(C41:F41)</f>
        <v>22.84</v>
      </c>
      <c r="J41" s="1" t="s">
        <v>67</v>
      </c>
      <c r="K41" s="1">
        <v>5710</v>
      </c>
      <c r="L41" s="1">
        <v>4000</v>
      </c>
      <c r="M41" s="8">
        <f t="shared" si="3"/>
        <v>22.84</v>
      </c>
      <c r="P41" s="8">
        <f t="shared" si="4"/>
        <v>23.981999999999999</v>
      </c>
    </row>
    <row r="42" spans="1:16" x14ac:dyDescent="0.2">
      <c r="A42" s="2">
        <v>38</v>
      </c>
      <c r="B42" s="12" t="s">
        <v>62</v>
      </c>
      <c r="C42" s="25"/>
      <c r="D42" s="25"/>
      <c r="E42" s="25"/>
      <c r="F42" s="25">
        <v>41.6</v>
      </c>
      <c r="G42" s="25">
        <f t="shared" si="2"/>
        <v>41.6</v>
      </c>
      <c r="J42" s="1" t="s">
        <v>67</v>
      </c>
      <c r="K42" s="1">
        <v>11750</v>
      </c>
      <c r="L42" s="1">
        <v>4000</v>
      </c>
      <c r="M42" s="8">
        <f t="shared" si="3"/>
        <v>47</v>
      </c>
      <c r="O42" s="1">
        <v>5.4</v>
      </c>
      <c r="P42" s="8">
        <f t="shared" si="4"/>
        <v>43.68</v>
      </c>
    </row>
    <row r="43" spans="1:16" x14ac:dyDescent="0.2">
      <c r="A43" s="2">
        <v>39</v>
      </c>
      <c r="B43" s="12" t="s">
        <v>63</v>
      </c>
      <c r="C43" s="25">
        <f t="shared" si="0"/>
        <v>35.94276</v>
      </c>
      <c r="D43" s="25">
        <f t="shared" si="1"/>
        <v>69.771239999999992</v>
      </c>
      <c r="E43" s="25"/>
      <c r="F43" s="25"/>
      <c r="G43" s="25">
        <f t="shared" si="2"/>
        <v>105.714</v>
      </c>
      <c r="K43" s="1">
        <v>26520</v>
      </c>
      <c r="L43" s="1">
        <v>4000</v>
      </c>
      <c r="M43" s="8">
        <f t="shared" si="3"/>
        <v>106.08</v>
      </c>
      <c r="O43" s="1">
        <v>5.4</v>
      </c>
      <c r="P43" s="8">
        <f t="shared" si="4"/>
        <v>105.714</v>
      </c>
    </row>
    <row r="44" spans="1:16" x14ac:dyDescent="0.2">
      <c r="A44" s="2">
        <v>40</v>
      </c>
      <c r="B44" s="12" t="s">
        <v>41</v>
      </c>
      <c r="C44" s="25">
        <f t="shared" si="0"/>
        <v>14.28</v>
      </c>
      <c r="D44" s="25">
        <f t="shared" si="1"/>
        <v>27.72</v>
      </c>
      <c r="E44" s="25"/>
      <c r="F44" s="25"/>
      <c r="G44" s="25">
        <f t="shared" si="2"/>
        <v>42</v>
      </c>
      <c r="K44" s="1">
        <v>10000</v>
      </c>
      <c r="L44" s="1">
        <v>4000</v>
      </c>
      <c r="M44" s="8">
        <f t="shared" si="3"/>
        <v>40</v>
      </c>
      <c r="P44" s="8">
        <f t="shared" si="4"/>
        <v>42</v>
      </c>
    </row>
    <row r="45" spans="1:16" x14ac:dyDescent="0.2">
      <c r="A45" s="2"/>
      <c r="B45" s="2" t="s">
        <v>19</v>
      </c>
      <c r="C45" s="25">
        <f>SUM(C5:C44)</f>
        <v>907.35119999999995</v>
      </c>
      <c r="D45" s="25">
        <f t="shared" ref="D45:F45" si="5">SUM(D5:D44)</f>
        <v>1761.3287999999998</v>
      </c>
      <c r="E45" s="25">
        <f t="shared" si="5"/>
        <v>62.379999999999995</v>
      </c>
      <c r="F45" s="25">
        <f t="shared" si="5"/>
        <v>619.28000000000009</v>
      </c>
      <c r="G45" s="25">
        <f>SUM(G5:G44)</f>
        <v>3350.3399999999992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E26"/>
  <sheetViews>
    <sheetView tabSelected="1" zoomScale="115" zoomScaleNormal="115" workbookViewId="0">
      <selection activeCell="J32" sqref="J32"/>
    </sheetView>
  </sheetViews>
  <sheetFormatPr defaultRowHeight="12.75" x14ac:dyDescent="0.2"/>
  <cols>
    <col min="1" max="1" width="7.5703125" style="10" customWidth="1"/>
    <col min="2" max="2" width="50.28515625" style="7" customWidth="1"/>
    <col min="3" max="3" width="9.140625" style="10" customWidth="1"/>
    <col min="4" max="4" width="14.5703125" style="23" customWidth="1"/>
    <col min="5" max="5" width="8.85546875" style="26" customWidth="1"/>
    <col min="6" max="16384" width="9.140625" style="1"/>
  </cols>
  <sheetData>
    <row r="1" spans="1:5" x14ac:dyDescent="0.2">
      <c r="A1" s="16"/>
      <c r="B1" s="17" t="s">
        <v>70</v>
      </c>
      <c r="C1" s="11"/>
      <c r="D1" s="22"/>
      <c r="E1" s="24"/>
    </row>
    <row r="2" spans="1:5" ht="13.5" thickBot="1" x14ac:dyDescent="0.25">
      <c r="A2" s="46" t="s">
        <v>0</v>
      </c>
      <c r="B2" s="47" t="s">
        <v>1</v>
      </c>
      <c r="C2" s="48" t="s">
        <v>15</v>
      </c>
      <c r="D2" s="49" t="s">
        <v>16</v>
      </c>
      <c r="E2" s="50" t="s">
        <v>8</v>
      </c>
    </row>
    <row r="3" spans="1:5" ht="38.25" customHeight="1" x14ac:dyDescent="0.2">
      <c r="A3" s="63" t="s">
        <v>11</v>
      </c>
      <c r="B3" s="71" t="s">
        <v>71</v>
      </c>
      <c r="C3" s="65" t="s">
        <v>9</v>
      </c>
      <c r="D3" s="54">
        <v>1</v>
      </c>
      <c r="E3" s="55">
        <f>(E6+E11+E16+E21)/100 * 71</f>
        <v>2134.0327999999995</v>
      </c>
    </row>
    <row r="4" spans="1:5" x14ac:dyDescent="0.2">
      <c r="A4" s="67" t="s">
        <v>7</v>
      </c>
      <c r="B4" s="4" t="s">
        <v>89</v>
      </c>
      <c r="C4" s="3" t="s">
        <v>10</v>
      </c>
      <c r="D4" s="9">
        <v>0.3</v>
      </c>
      <c r="E4" s="57">
        <f>D4*E3</f>
        <v>640.20983999999987</v>
      </c>
    </row>
    <row r="5" spans="1:5" ht="13.5" thickBot="1" x14ac:dyDescent="0.25">
      <c r="A5" s="68" t="s">
        <v>72</v>
      </c>
      <c r="B5" s="69" t="s">
        <v>73</v>
      </c>
      <c r="C5" s="70" t="s">
        <v>9</v>
      </c>
      <c r="D5" s="61">
        <v>1.1000000000000001</v>
      </c>
      <c r="E5" s="62">
        <f>D5*E3</f>
        <v>2347.4360799999995</v>
      </c>
    </row>
    <row r="6" spans="1:5" ht="38.25" x14ac:dyDescent="0.2">
      <c r="A6" s="63" t="s">
        <v>12</v>
      </c>
      <c r="B6" s="71" t="s">
        <v>81</v>
      </c>
      <c r="C6" s="65" t="s">
        <v>82</v>
      </c>
      <c r="D6" s="54">
        <v>1</v>
      </c>
      <c r="E6" s="55">
        <f>'Спец 3 э. шт.'!C28</f>
        <v>840.60999999999979</v>
      </c>
    </row>
    <row r="7" spans="1:5" x14ac:dyDescent="0.2">
      <c r="A7" s="67" t="s">
        <v>13</v>
      </c>
      <c r="B7" s="4" t="s">
        <v>6</v>
      </c>
      <c r="C7" s="3" t="s">
        <v>10</v>
      </c>
      <c r="D7" s="9">
        <v>1.3</v>
      </c>
      <c r="E7" s="57">
        <f>$E$6*D7*23.077</f>
        <v>25218.384060999993</v>
      </c>
    </row>
    <row r="8" spans="1:5" x14ac:dyDescent="0.2">
      <c r="A8" s="67" t="s">
        <v>14</v>
      </c>
      <c r="B8" s="21" t="s">
        <v>113</v>
      </c>
      <c r="C8" s="3" t="s">
        <v>82</v>
      </c>
      <c r="D8" s="9">
        <v>1.1000000000000001</v>
      </c>
      <c r="E8" s="57">
        <f t="shared" ref="E8:E10" si="0">$E$6*D8</f>
        <v>924.67099999999982</v>
      </c>
    </row>
    <row r="9" spans="1:5" x14ac:dyDescent="0.2">
      <c r="A9" s="67" t="s">
        <v>74</v>
      </c>
      <c r="B9" s="4" t="s">
        <v>80</v>
      </c>
      <c r="C9" s="3" t="s">
        <v>9</v>
      </c>
      <c r="D9" s="9">
        <v>1</v>
      </c>
      <c r="E9" s="57">
        <f t="shared" si="0"/>
        <v>840.60999999999979</v>
      </c>
    </row>
    <row r="10" spans="1:5" ht="13.5" thickBot="1" x14ac:dyDescent="0.25">
      <c r="A10" s="68" t="s">
        <v>86</v>
      </c>
      <c r="B10" s="69" t="s">
        <v>18</v>
      </c>
      <c r="C10" s="70" t="s">
        <v>10</v>
      </c>
      <c r="D10" s="61">
        <v>0.25</v>
      </c>
      <c r="E10" s="62">
        <f t="shared" si="0"/>
        <v>210.15249999999995</v>
      </c>
    </row>
    <row r="11" spans="1:5" ht="38.25" x14ac:dyDescent="0.2">
      <c r="A11" s="63" t="s">
        <v>75</v>
      </c>
      <c r="B11" s="64" t="s">
        <v>83</v>
      </c>
      <c r="C11" s="65" t="s">
        <v>82</v>
      </c>
      <c r="D11" s="54">
        <v>1</v>
      </c>
      <c r="E11" s="55">
        <f>'Спец 3 э. шт.'!E28</f>
        <v>38.590000000000003</v>
      </c>
    </row>
    <row r="12" spans="1:5" x14ac:dyDescent="0.2">
      <c r="A12" s="67" t="s">
        <v>76</v>
      </c>
      <c r="B12" s="4" t="s">
        <v>18</v>
      </c>
      <c r="C12" s="3" t="s">
        <v>10</v>
      </c>
      <c r="D12" s="9">
        <v>0.25</v>
      </c>
      <c r="E12" s="57">
        <f>E11*D12</f>
        <v>9.6475000000000009</v>
      </c>
    </row>
    <row r="13" spans="1:5" x14ac:dyDescent="0.2">
      <c r="A13" s="67" t="s">
        <v>77</v>
      </c>
      <c r="B13" s="4" t="s">
        <v>80</v>
      </c>
      <c r="C13" s="3" t="s">
        <v>9</v>
      </c>
      <c r="D13" s="9">
        <v>1</v>
      </c>
      <c r="E13" s="57">
        <f>E11*D13</f>
        <v>38.590000000000003</v>
      </c>
    </row>
    <row r="14" spans="1:5" x14ac:dyDescent="0.2">
      <c r="A14" s="67" t="s">
        <v>78</v>
      </c>
      <c r="B14" s="21" t="s">
        <v>113</v>
      </c>
      <c r="C14" s="3" t="s">
        <v>82</v>
      </c>
      <c r="D14" s="9">
        <v>1.1000000000000001</v>
      </c>
      <c r="E14" s="57">
        <f>E11*D14</f>
        <v>42.449000000000005</v>
      </c>
    </row>
    <row r="15" spans="1:5" ht="13.5" thickBot="1" x14ac:dyDescent="0.25">
      <c r="A15" s="68" t="s">
        <v>79</v>
      </c>
      <c r="B15" s="69" t="s">
        <v>6</v>
      </c>
      <c r="C15" s="70" t="s">
        <v>10</v>
      </c>
      <c r="D15" s="61">
        <v>1.3</v>
      </c>
      <c r="E15" s="62">
        <f>E11*D15*23.077</f>
        <v>1157.7038590000002</v>
      </c>
    </row>
    <row r="16" spans="1:5" ht="38.25" x14ac:dyDescent="0.2">
      <c r="A16" s="63" t="s">
        <v>87</v>
      </c>
      <c r="B16" s="64" t="s">
        <v>84</v>
      </c>
      <c r="C16" s="65" t="s">
        <v>82</v>
      </c>
      <c r="D16" s="54">
        <v>1</v>
      </c>
      <c r="E16" s="55">
        <f>'Спец 3 э. шт.'!F28</f>
        <v>261.49</v>
      </c>
    </row>
    <row r="17" spans="1:5" x14ac:dyDescent="0.2">
      <c r="A17" s="56">
        <v>4.0999999999999996</v>
      </c>
      <c r="B17" s="21" t="s">
        <v>6</v>
      </c>
      <c r="C17" s="45" t="s">
        <v>10</v>
      </c>
      <c r="D17" s="9">
        <v>1.3</v>
      </c>
      <c r="E17" s="57">
        <f>E16*D17*23.077</f>
        <v>7844.726149000001</v>
      </c>
    </row>
    <row r="18" spans="1:5" x14ac:dyDescent="0.2">
      <c r="A18" s="56">
        <v>4.2</v>
      </c>
      <c r="B18" s="21" t="s">
        <v>113</v>
      </c>
      <c r="C18" s="45" t="s">
        <v>82</v>
      </c>
      <c r="D18" s="9">
        <v>1.1000000000000001</v>
      </c>
      <c r="E18" s="57">
        <f>E16*D18</f>
        <v>287.63900000000001</v>
      </c>
    </row>
    <row r="19" spans="1:5" x14ac:dyDescent="0.2">
      <c r="A19" s="56">
        <v>4.3</v>
      </c>
      <c r="B19" s="21" t="s">
        <v>80</v>
      </c>
      <c r="C19" s="45" t="s">
        <v>9</v>
      </c>
      <c r="D19" s="9">
        <v>1</v>
      </c>
      <c r="E19" s="57">
        <f>E16*D19</f>
        <v>261.49</v>
      </c>
    </row>
    <row r="20" spans="1:5" ht="13.5" thickBot="1" x14ac:dyDescent="0.25">
      <c r="A20" s="58">
        <v>4.4000000000000004</v>
      </c>
      <c r="B20" s="66" t="s">
        <v>18</v>
      </c>
      <c r="C20" s="60" t="s">
        <v>10</v>
      </c>
      <c r="D20" s="61">
        <v>0.25</v>
      </c>
      <c r="E20" s="62">
        <f>E16*D20</f>
        <v>65.372500000000002</v>
      </c>
    </row>
    <row r="21" spans="1:5" ht="38.25" x14ac:dyDescent="0.2">
      <c r="A21" s="51">
        <v>5</v>
      </c>
      <c r="B21" s="52" t="s">
        <v>85</v>
      </c>
      <c r="C21" s="53" t="s">
        <v>82</v>
      </c>
      <c r="D21" s="54">
        <v>1</v>
      </c>
      <c r="E21" s="55">
        <f>'Спец 3 э. шт.'!D28</f>
        <v>1864.9899999999998</v>
      </c>
    </row>
    <row r="22" spans="1:5" x14ac:dyDescent="0.2">
      <c r="A22" s="56">
        <v>5.0999999999999996</v>
      </c>
      <c r="B22" s="21" t="s">
        <v>17</v>
      </c>
      <c r="C22" s="45" t="s">
        <v>10</v>
      </c>
      <c r="D22" s="9">
        <v>0.15</v>
      </c>
      <c r="E22" s="57">
        <f>E21*D22</f>
        <v>279.74849999999998</v>
      </c>
    </row>
    <row r="23" spans="1:5" x14ac:dyDescent="0.2">
      <c r="A23" s="56">
        <v>5.2</v>
      </c>
      <c r="B23" s="21" t="s">
        <v>80</v>
      </c>
      <c r="C23" s="45" t="s">
        <v>9</v>
      </c>
      <c r="D23" s="9">
        <v>1</v>
      </c>
      <c r="E23" s="57">
        <f>E21*D23</f>
        <v>1864.9899999999998</v>
      </c>
    </row>
    <row r="24" spans="1:5" x14ac:dyDescent="0.2">
      <c r="A24" s="56">
        <v>5.3</v>
      </c>
      <c r="B24" s="21" t="s">
        <v>113</v>
      </c>
      <c r="C24" s="45" t="s">
        <v>82</v>
      </c>
      <c r="D24" s="9">
        <v>1.1000000000000001</v>
      </c>
      <c r="E24" s="57">
        <f>E21*D24</f>
        <v>2051.489</v>
      </c>
    </row>
    <row r="25" spans="1:5" x14ac:dyDescent="0.2">
      <c r="A25" s="56">
        <v>5.4</v>
      </c>
      <c r="B25" s="21" t="s">
        <v>6</v>
      </c>
      <c r="C25" s="45" t="s">
        <v>10</v>
      </c>
      <c r="D25" s="9">
        <v>1.3</v>
      </c>
      <c r="E25" s="57">
        <f>E21*D25*23.077</f>
        <v>55949.886498999993</v>
      </c>
    </row>
    <row r="26" spans="1:5" ht="13.5" thickBot="1" x14ac:dyDescent="0.25">
      <c r="A26" s="58">
        <v>6</v>
      </c>
      <c r="B26" s="59" t="s">
        <v>88</v>
      </c>
      <c r="C26" s="60" t="s">
        <v>9</v>
      </c>
      <c r="D26" s="61">
        <v>1</v>
      </c>
      <c r="E26" s="62">
        <v>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Z28"/>
  <sheetViews>
    <sheetView topLeftCell="A4" zoomScale="145" zoomScaleNormal="145" workbookViewId="0">
      <selection activeCell="C12" sqref="C12"/>
    </sheetView>
  </sheetViews>
  <sheetFormatPr defaultRowHeight="12.75" x14ac:dyDescent="0.2"/>
  <cols>
    <col min="1" max="1" width="7" style="10" customWidth="1"/>
    <col min="2" max="2" width="11.140625" style="10" customWidth="1"/>
    <col min="3" max="6" width="8.7109375" style="10" customWidth="1"/>
    <col min="7" max="7" width="8.7109375" style="27" customWidth="1"/>
    <col min="8" max="12" width="9.140625" style="1" customWidth="1"/>
    <col min="13" max="13" width="13.140625" style="1" customWidth="1"/>
    <col min="14" max="14" width="7.5703125" style="1" customWidth="1"/>
    <col min="15" max="15" width="9.7109375" style="1" customWidth="1"/>
    <col min="16" max="16" width="7.7109375" style="1" customWidth="1"/>
    <col min="17" max="17" width="10.5703125" style="1" customWidth="1"/>
    <col min="18" max="18" width="11.42578125" style="1" customWidth="1"/>
    <col min="19" max="20" width="13.140625" style="1" customWidth="1"/>
    <col min="21" max="21" width="24.42578125" style="1" customWidth="1"/>
    <col min="22" max="22" width="9.140625" style="1" customWidth="1"/>
    <col min="23" max="23" width="12" style="1" customWidth="1"/>
    <col min="24" max="24" width="9.140625" style="1" customWidth="1"/>
    <col min="25" max="25" width="13.85546875" style="1" customWidth="1"/>
    <col min="26" max="27" width="9.140625" style="1" customWidth="1"/>
    <col min="28" max="16384" width="9.140625" style="1"/>
  </cols>
  <sheetData>
    <row r="1" spans="1:26" x14ac:dyDescent="0.2">
      <c r="A1" s="72" t="s">
        <v>2</v>
      </c>
      <c r="B1" s="72"/>
      <c r="C1" s="72"/>
      <c r="D1" s="72"/>
      <c r="E1" s="72"/>
      <c r="F1" s="72"/>
      <c r="G1" s="72"/>
    </row>
    <row r="2" spans="1:26" x14ac:dyDescent="0.2">
      <c r="A2" s="73" t="s">
        <v>64</v>
      </c>
      <c r="B2" s="73"/>
      <c r="C2" s="73"/>
      <c r="D2" s="73"/>
      <c r="E2" s="73"/>
      <c r="F2" s="73"/>
      <c r="G2" s="73"/>
      <c r="O2" s="39"/>
      <c r="Q2" s="41"/>
    </row>
    <row r="3" spans="1:26" ht="38.25" x14ac:dyDescent="0.2">
      <c r="A3" s="28"/>
      <c r="B3" s="12"/>
      <c r="C3" s="6" t="s">
        <v>65</v>
      </c>
      <c r="D3" s="29" t="s">
        <v>69</v>
      </c>
      <c r="E3" s="29" t="s">
        <v>68</v>
      </c>
      <c r="F3" s="29" t="s">
        <v>67</v>
      </c>
      <c r="G3" s="15" t="s">
        <v>3</v>
      </c>
      <c r="H3" s="36" t="s">
        <v>65</v>
      </c>
      <c r="I3" s="30" t="s">
        <v>110</v>
      </c>
      <c r="J3" s="34" t="s">
        <v>69</v>
      </c>
      <c r="K3" s="31" t="s">
        <v>111</v>
      </c>
      <c r="L3" s="32" t="s">
        <v>112</v>
      </c>
      <c r="M3" s="1" t="s">
        <v>36</v>
      </c>
      <c r="N3" s="39" t="s">
        <v>115</v>
      </c>
      <c r="O3" s="40" t="s">
        <v>116</v>
      </c>
      <c r="P3" s="41" t="s">
        <v>114</v>
      </c>
      <c r="Q3" s="40" t="s">
        <v>117</v>
      </c>
      <c r="R3" s="43" t="s">
        <v>120</v>
      </c>
      <c r="S3" s="42" t="s">
        <v>118</v>
      </c>
      <c r="T3" s="42" t="s">
        <v>119</v>
      </c>
      <c r="U3" s="1" t="s">
        <v>20</v>
      </c>
      <c r="V3" s="1" t="s">
        <v>35</v>
      </c>
    </row>
    <row r="4" spans="1:26" x14ac:dyDescent="0.2">
      <c r="A4" s="28" t="s">
        <v>0</v>
      </c>
      <c r="B4" s="14" t="s">
        <v>5</v>
      </c>
      <c r="C4" s="3" t="s">
        <v>4</v>
      </c>
      <c r="D4" s="3" t="s">
        <v>4</v>
      </c>
      <c r="E4" s="3" t="s">
        <v>4</v>
      </c>
      <c r="F4" s="3" t="s">
        <v>4</v>
      </c>
      <c r="G4" s="25" t="s">
        <v>4</v>
      </c>
      <c r="H4" s="37"/>
      <c r="I4" s="33"/>
      <c r="J4" s="35"/>
      <c r="K4" s="33">
        <f t="shared" ref="K4:K27" si="0">I4</f>
        <v>0</v>
      </c>
      <c r="L4" s="38"/>
      <c r="Y4" s="1" t="s">
        <v>66</v>
      </c>
    </row>
    <row r="5" spans="1:26" x14ac:dyDescent="0.2">
      <c r="A5" s="28">
        <v>1</v>
      </c>
      <c r="B5" s="12" t="s">
        <v>90</v>
      </c>
      <c r="C5" s="25">
        <f>ROUND(N5+O5-T5, 2)</f>
        <v>53.82</v>
      </c>
      <c r="D5" s="25">
        <f>ROUND(P5+Q5+R5-S5, 2)</f>
        <v>114.96</v>
      </c>
      <c r="E5" s="25"/>
      <c r="F5" s="25"/>
      <c r="G5" s="25">
        <f>SUM(C5:F5)</f>
        <v>168.78</v>
      </c>
      <c r="H5" s="37">
        <f>ROUND(N5+O5-T5, 2)</f>
        <v>53.82</v>
      </c>
      <c r="I5" s="33">
        <f>ROUND(P5+Q5+R5-S5, 2)</f>
        <v>114.96</v>
      </c>
      <c r="J5" s="35"/>
      <c r="K5" s="33">
        <f t="shared" si="0"/>
        <v>114.96</v>
      </c>
      <c r="L5" s="38"/>
      <c r="M5" s="1" t="s">
        <v>39</v>
      </c>
      <c r="N5" s="1">
        <v>50.395499999999998</v>
      </c>
      <c r="O5" s="1">
        <v>3.42</v>
      </c>
      <c r="P5" s="1">
        <v>103.56</v>
      </c>
      <c r="Q5" s="1">
        <v>11.4</v>
      </c>
      <c r="R5" s="1">
        <v>0</v>
      </c>
      <c r="S5" s="1">
        <v>0</v>
      </c>
      <c r="T5" s="1">
        <v>0</v>
      </c>
      <c r="V5" s="1">
        <v>4000</v>
      </c>
      <c r="W5" s="8">
        <f>ROUND(U5*V5/1000000, 2)</f>
        <v>0</v>
      </c>
      <c r="Y5" s="1">
        <v>15</v>
      </c>
      <c r="Z5" s="8">
        <f>(W5-Y5) / 100 * 5 + (W5-Y5)</f>
        <v>-15.75</v>
      </c>
    </row>
    <row r="6" spans="1:26" x14ac:dyDescent="0.2">
      <c r="A6" s="44">
        <v>2</v>
      </c>
      <c r="B6" s="12" t="s">
        <v>91</v>
      </c>
      <c r="C6" s="25">
        <f t="shared" ref="C6:C17" si="1">ROUND(N6+O6-T6, 2)</f>
        <v>14.03</v>
      </c>
      <c r="D6" s="25">
        <f t="shared" ref="D6:D17" si="2">ROUND(P6+Q6+R6-S6, 2)</f>
        <v>91.55</v>
      </c>
      <c r="E6" s="25"/>
      <c r="F6" s="25"/>
      <c r="G6" s="25">
        <f t="shared" ref="G6:G27" si="3">SUM(C6:F6)</f>
        <v>105.58</v>
      </c>
      <c r="H6" s="37"/>
      <c r="I6" s="33">
        <f>6900+1200</f>
        <v>8100</v>
      </c>
      <c r="J6" s="35"/>
      <c r="K6" s="33">
        <f t="shared" si="0"/>
        <v>8100</v>
      </c>
      <c r="L6" s="38"/>
      <c r="N6" s="1">
        <v>11.6</v>
      </c>
      <c r="O6" s="1">
        <v>2.4300000000000002</v>
      </c>
      <c r="P6" s="1">
        <v>80.12</v>
      </c>
      <c r="Q6" s="1">
        <v>8.1</v>
      </c>
      <c r="R6" s="1">
        <v>3.33</v>
      </c>
      <c r="S6" s="1">
        <v>0</v>
      </c>
      <c r="T6" s="1">
        <v>0</v>
      </c>
      <c r="U6" s="1">
        <v>30830.7402</v>
      </c>
      <c r="V6" s="1">
        <v>4000</v>
      </c>
      <c r="W6" s="8">
        <f t="shared" ref="W6:W27" si="4">ROUND(U6*V6/1000000, 2)</f>
        <v>123.32</v>
      </c>
      <c r="Y6" s="1">
        <v>15</v>
      </c>
      <c r="Z6" s="8">
        <f t="shared" ref="Z6:Z27" si="5">(W6-Y6) / 100 * 5 + (W6-Y6)</f>
        <v>113.73599999999999</v>
      </c>
    </row>
    <row r="7" spans="1:26" x14ac:dyDescent="0.2">
      <c r="A7" s="44">
        <v>3</v>
      </c>
      <c r="B7" s="12" t="s">
        <v>92</v>
      </c>
      <c r="C7" s="25">
        <f t="shared" si="1"/>
        <v>19.86</v>
      </c>
      <c r="D7" s="25">
        <f t="shared" si="2"/>
        <v>85.93</v>
      </c>
      <c r="E7" s="25"/>
      <c r="F7" s="25"/>
      <c r="G7" s="25">
        <f t="shared" si="3"/>
        <v>105.79</v>
      </c>
      <c r="H7" s="37">
        <f>(900+900+480+900+1200)*4/1000</f>
        <v>17.52</v>
      </c>
      <c r="I7" s="33">
        <f>4300+3500</f>
        <v>7800</v>
      </c>
      <c r="J7" s="35">
        <f>1010+3530+14190</f>
        <v>18730</v>
      </c>
      <c r="K7" s="33">
        <f t="shared" si="0"/>
        <v>7800</v>
      </c>
      <c r="L7" s="38"/>
      <c r="N7" s="1">
        <v>17.52</v>
      </c>
      <c r="O7" s="1">
        <v>2.34</v>
      </c>
      <c r="P7" s="1">
        <v>74.8</v>
      </c>
      <c r="Q7" s="1">
        <v>7.8</v>
      </c>
      <c r="R7" s="1">
        <v>3.33</v>
      </c>
      <c r="S7" s="1">
        <v>0</v>
      </c>
      <c r="T7" s="1">
        <v>0</v>
      </c>
      <c r="U7" s="1">
        <v>32917.396500000003</v>
      </c>
      <c r="V7" s="1">
        <v>4000</v>
      </c>
      <c r="W7" s="8">
        <f t="shared" si="4"/>
        <v>131.66999999999999</v>
      </c>
      <c r="Y7" s="1">
        <v>15</v>
      </c>
      <c r="Z7" s="8">
        <f t="shared" si="5"/>
        <v>122.50349999999999</v>
      </c>
    </row>
    <row r="8" spans="1:26" x14ac:dyDescent="0.2">
      <c r="A8" s="44">
        <v>4</v>
      </c>
      <c r="B8" s="12" t="s">
        <v>93</v>
      </c>
      <c r="C8" s="25">
        <f t="shared" si="1"/>
        <v>45.58</v>
      </c>
      <c r="D8" s="25">
        <f t="shared" si="2"/>
        <v>70.930000000000007</v>
      </c>
      <c r="E8" s="25"/>
      <c r="F8" s="25"/>
      <c r="G8" s="25">
        <f t="shared" si="3"/>
        <v>116.51</v>
      </c>
      <c r="H8" s="37">
        <f>10460*4/1000</f>
        <v>41.84</v>
      </c>
      <c r="I8" s="33">
        <f>3450+3300</f>
        <v>6750</v>
      </c>
      <c r="J8" s="35">
        <f>15250*4/1000</f>
        <v>61</v>
      </c>
      <c r="K8" s="33">
        <f>I8</f>
        <v>6750</v>
      </c>
      <c r="L8" s="38"/>
      <c r="N8" s="1">
        <v>43.6</v>
      </c>
      <c r="O8" s="1">
        <v>1.98</v>
      </c>
      <c r="P8" s="1">
        <v>61</v>
      </c>
      <c r="Q8" s="1">
        <v>6.6</v>
      </c>
      <c r="R8" s="1">
        <v>3.33</v>
      </c>
      <c r="S8" s="1">
        <v>0</v>
      </c>
      <c r="T8" s="1">
        <v>0</v>
      </c>
      <c r="U8" s="1">
        <v>78654.636299999998</v>
      </c>
      <c r="V8" s="1">
        <v>4000</v>
      </c>
      <c r="W8" s="8">
        <f t="shared" si="4"/>
        <v>314.62</v>
      </c>
      <c r="Y8" s="1">
        <v>15</v>
      </c>
      <c r="Z8" s="8">
        <f t="shared" si="5"/>
        <v>314.601</v>
      </c>
    </row>
    <row r="9" spans="1:26" x14ac:dyDescent="0.2">
      <c r="A9" s="44">
        <v>5</v>
      </c>
      <c r="B9" s="12" t="s">
        <v>94</v>
      </c>
      <c r="C9" s="25">
        <f t="shared" si="1"/>
        <v>159.75</v>
      </c>
      <c r="D9" s="25">
        <f t="shared" si="2"/>
        <v>242.78</v>
      </c>
      <c r="E9" s="25"/>
      <c r="F9" s="25"/>
      <c r="G9" s="25">
        <f t="shared" si="3"/>
        <v>402.53</v>
      </c>
      <c r="H9" s="37"/>
      <c r="I9" s="33"/>
      <c r="J9" s="35"/>
      <c r="K9" s="33">
        <f t="shared" si="0"/>
        <v>0</v>
      </c>
      <c r="L9" s="38"/>
      <c r="N9" s="1">
        <v>161.94</v>
      </c>
      <c r="O9" s="1">
        <v>5.23</v>
      </c>
      <c r="P9" s="1">
        <v>230.3</v>
      </c>
      <c r="Q9" s="1">
        <v>17.420000000000002</v>
      </c>
      <c r="R9" s="1">
        <v>0</v>
      </c>
      <c r="S9" s="1">
        <v>4.9351000000000003</v>
      </c>
      <c r="T9" s="1">
        <v>7.4238999999999997</v>
      </c>
      <c r="U9" s="1">
        <v>12056</v>
      </c>
      <c r="V9" s="1">
        <v>4000</v>
      </c>
      <c r="W9" s="8">
        <f t="shared" si="4"/>
        <v>48.22</v>
      </c>
      <c r="Y9" s="1">
        <v>20</v>
      </c>
      <c r="Z9" s="8">
        <f t="shared" si="5"/>
        <v>29.631</v>
      </c>
    </row>
    <row r="10" spans="1:26" x14ac:dyDescent="0.2">
      <c r="A10" s="44">
        <v>6</v>
      </c>
      <c r="B10" s="12" t="s">
        <v>95</v>
      </c>
      <c r="C10" s="25">
        <f t="shared" si="1"/>
        <v>33.93</v>
      </c>
      <c r="D10" s="25">
        <f t="shared" si="2"/>
        <v>14.8</v>
      </c>
      <c r="E10" s="25"/>
      <c r="F10" s="25"/>
      <c r="G10" s="25">
        <f t="shared" si="3"/>
        <v>48.730000000000004</v>
      </c>
      <c r="H10" s="37"/>
      <c r="I10" s="33"/>
      <c r="J10" s="35"/>
      <c r="K10" s="33">
        <f t="shared" si="0"/>
        <v>0</v>
      </c>
      <c r="L10" s="38"/>
      <c r="N10" s="1">
        <v>41.35</v>
      </c>
      <c r="O10" s="1">
        <v>0</v>
      </c>
      <c r="P10" s="1">
        <v>14.8</v>
      </c>
      <c r="Q10" s="1">
        <v>0</v>
      </c>
      <c r="R10" s="1">
        <v>0</v>
      </c>
      <c r="S10" s="1">
        <v>0</v>
      </c>
      <c r="T10" s="1">
        <v>7.42</v>
      </c>
      <c r="U10" s="1">
        <v>30423</v>
      </c>
      <c r="V10" s="1">
        <v>4000</v>
      </c>
      <c r="W10" s="8">
        <f t="shared" si="4"/>
        <v>121.69</v>
      </c>
      <c r="Y10" s="1">
        <v>20</v>
      </c>
      <c r="Z10" s="8">
        <f t="shared" si="5"/>
        <v>106.7745</v>
      </c>
    </row>
    <row r="11" spans="1:26" x14ac:dyDescent="0.2">
      <c r="A11" s="44">
        <v>7</v>
      </c>
      <c r="B11" s="12" t="s">
        <v>96</v>
      </c>
      <c r="C11" s="25">
        <f t="shared" si="1"/>
        <v>34.19</v>
      </c>
      <c r="D11" s="25">
        <f t="shared" si="2"/>
        <v>68.38</v>
      </c>
      <c r="E11" s="25"/>
      <c r="F11" s="25"/>
      <c r="G11" s="25">
        <f t="shared" si="3"/>
        <v>102.57</v>
      </c>
      <c r="H11" s="37"/>
      <c r="I11" s="33"/>
      <c r="J11" s="35"/>
      <c r="K11" s="33">
        <f t="shared" si="0"/>
        <v>0</v>
      </c>
      <c r="L11" s="38"/>
      <c r="N11" s="1">
        <v>32.049999999999997</v>
      </c>
      <c r="O11" s="1">
        <v>2.14</v>
      </c>
      <c r="P11" s="1">
        <v>57.92</v>
      </c>
      <c r="Q11" s="1">
        <v>7.13</v>
      </c>
      <c r="R11" s="1">
        <v>3.33</v>
      </c>
      <c r="S11" s="1">
        <v>0</v>
      </c>
      <c r="T11" s="1">
        <v>0</v>
      </c>
      <c r="U11" s="1">
        <v>30423</v>
      </c>
      <c r="V11" s="1">
        <v>4000</v>
      </c>
      <c r="W11" s="8">
        <f t="shared" si="4"/>
        <v>121.69</v>
      </c>
      <c r="Y11" s="1">
        <v>20</v>
      </c>
      <c r="Z11" s="8">
        <f t="shared" si="5"/>
        <v>106.7745</v>
      </c>
    </row>
    <row r="12" spans="1:26" x14ac:dyDescent="0.2">
      <c r="A12" s="44">
        <v>8</v>
      </c>
      <c r="B12" s="12" t="s">
        <v>97</v>
      </c>
      <c r="C12" s="25">
        <f t="shared" si="1"/>
        <v>36.79</v>
      </c>
      <c r="D12" s="25">
        <f t="shared" si="2"/>
        <v>67.91</v>
      </c>
      <c r="E12" s="25"/>
      <c r="F12" s="25"/>
      <c r="G12" s="25">
        <f t="shared" si="3"/>
        <v>104.69999999999999</v>
      </c>
      <c r="H12" s="37"/>
      <c r="I12" s="33"/>
      <c r="J12" s="35"/>
      <c r="K12" s="33">
        <f t="shared" si="0"/>
        <v>0</v>
      </c>
      <c r="L12" s="38"/>
      <c r="N12" s="1">
        <v>34.479999999999997</v>
      </c>
      <c r="O12" s="1">
        <v>2.31</v>
      </c>
      <c r="P12" s="1">
        <v>56.88</v>
      </c>
      <c r="Q12" s="1">
        <v>7.7</v>
      </c>
      <c r="R12" s="1">
        <v>3.33</v>
      </c>
      <c r="S12" s="1">
        <v>0</v>
      </c>
      <c r="T12" s="1">
        <v>0</v>
      </c>
      <c r="U12" s="1">
        <v>27149</v>
      </c>
      <c r="V12" s="1">
        <v>4000</v>
      </c>
      <c r="W12" s="8">
        <f t="shared" si="4"/>
        <v>108.6</v>
      </c>
      <c r="Y12" s="1">
        <v>20</v>
      </c>
      <c r="Z12" s="8">
        <f t="shared" si="5"/>
        <v>93.03</v>
      </c>
    </row>
    <row r="13" spans="1:26" x14ac:dyDescent="0.2">
      <c r="A13" s="44">
        <v>9</v>
      </c>
      <c r="B13" s="12" t="s">
        <v>98</v>
      </c>
      <c r="C13" s="25">
        <f t="shared" si="1"/>
        <v>13.36</v>
      </c>
      <c r="D13" s="25">
        <f t="shared" si="2"/>
        <v>88.25</v>
      </c>
      <c r="E13" s="25"/>
      <c r="F13" s="25"/>
      <c r="G13" s="25">
        <f t="shared" si="3"/>
        <v>101.61</v>
      </c>
      <c r="H13" s="37"/>
      <c r="I13" s="33"/>
      <c r="J13" s="35"/>
      <c r="K13" s="33">
        <f t="shared" si="0"/>
        <v>0</v>
      </c>
      <c r="L13" s="38"/>
      <c r="N13" s="1">
        <v>11.2</v>
      </c>
      <c r="O13" s="1">
        <v>2.16</v>
      </c>
      <c r="P13" s="1">
        <v>77.72</v>
      </c>
      <c r="Q13" s="1">
        <v>7.2</v>
      </c>
      <c r="R13" s="1">
        <v>3.33</v>
      </c>
      <c r="S13" s="1">
        <v>0</v>
      </c>
      <c r="T13" s="1">
        <v>0</v>
      </c>
      <c r="U13" s="1">
        <v>30390</v>
      </c>
      <c r="V13" s="1">
        <v>4000</v>
      </c>
      <c r="W13" s="8">
        <f t="shared" si="4"/>
        <v>121.56</v>
      </c>
      <c r="Y13" s="1">
        <v>20</v>
      </c>
      <c r="Z13" s="8">
        <f t="shared" si="5"/>
        <v>106.63800000000001</v>
      </c>
    </row>
    <row r="14" spans="1:26" x14ac:dyDescent="0.2">
      <c r="A14" s="44">
        <v>10</v>
      </c>
      <c r="B14" s="12" t="s">
        <v>99</v>
      </c>
      <c r="C14" s="25">
        <f t="shared" si="1"/>
        <v>34.97</v>
      </c>
      <c r="D14" s="25">
        <f t="shared" si="2"/>
        <v>70.28</v>
      </c>
      <c r="E14" s="25"/>
      <c r="F14" s="25"/>
      <c r="G14" s="25">
        <f t="shared" si="3"/>
        <v>105.25</v>
      </c>
      <c r="H14" s="37"/>
      <c r="I14" s="33"/>
      <c r="J14" s="35"/>
      <c r="K14" s="33">
        <f t="shared" si="0"/>
        <v>0</v>
      </c>
      <c r="L14" s="38"/>
      <c r="N14" s="1">
        <v>32.76</v>
      </c>
      <c r="O14" s="1">
        <v>2.21</v>
      </c>
      <c r="P14" s="1">
        <v>59.6</v>
      </c>
      <c r="Q14" s="1">
        <v>7.35</v>
      </c>
      <c r="R14" s="1">
        <v>3.33</v>
      </c>
      <c r="S14" s="1">
        <v>0</v>
      </c>
      <c r="T14" s="1">
        <v>0</v>
      </c>
      <c r="U14" s="1">
        <v>59638</v>
      </c>
      <c r="V14" s="1">
        <v>4000</v>
      </c>
      <c r="W14" s="8">
        <f t="shared" si="4"/>
        <v>238.55</v>
      </c>
      <c r="Y14" s="1">
        <v>15</v>
      </c>
      <c r="Z14" s="8">
        <f t="shared" si="5"/>
        <v>234.72750000000002</v>
      </c>
    </row>
    <row r="15" spans="1:26" x14ac:dyDescent="0.2">
      <c r="A15" s="44">
        <v>11</v>
      </c>
      <c r="B15" s="12" t="s">
        <v>100</v>
      </c>
      <c r="C15" s="25">
        <f t="shared" si="1"/>
        <v>15.36</v>
      </c>
      <c r="D15" s="25">
        <f t="shared" si="2"/>
        <v>89.97</v>
      </c>
      <c r="E15" s="25"/>
      <c r="F15" s="25"/>
      <c r="G15" s="25">
        <f t="shared" si="3"/>
        <v>105.33</v>
      </c>
      <c r="H15" s="37"/>
      <c r="I15" s="33"/>
      <c r="J15" s="35"/>
      <c r="K15" s="33">
        <f t="shared" si="0"/>
        <v>0</v>
      </c>
      <c r="L15" s="38"/>
      <c r="N15" s="1">
        <v>13.2</v>
      </c>
      <c r="O15" s="1">
        <v>2.16</v>
      </c>
      <c r="P15" s="1">
        <v>79.44</v>
      </c>
      <c r="Q15" s="1">
        <v>7.2</v>
      </c>
      <c r="R15" s="1">
        <v>3.33</v>
      </c>
      <c r="S15" s="1">
        <v>0</v>
      </c>
      <c r="T15" s="1">
        <v>0</v>
      </c>
      <c r="U15" s="1">
        <v>24809</v>
      </c>
      <c r="V15" s="1">
        <v>4000</v>
      </c>
      <c r="W15" s="8">
        <f t="shared" si="4"/>
        <v>99.24</v>
      </c>
      <c r="Y15" s="1">
        <v>20</v>
      </c>
      <c r="Z15" s="8">
        <f t="shared" si="5"/>
        <v>83.201999999999998</v>
      </c>
    </row>
    <row r="16" spans="1:26" x14ac:dyDescent="0.2">
      <c r="A16" s="44">
        <v>12</v>
      </c>
      <c r="B16" s="12" t="s">
        <v>101</v>
      </c>
      <c r="C16" s="25">
        <f t="shared" si="1"/>
        <v>42.14</v>
      </c>
      <c r="D16" s="25">
        <f t="shared" si="2"/>
        <v>59.81</v>
      </c>
      <c r="E16" s="25"/>
      <c r="F16" s="25"/>
      <c r="G16" s="25">
        <f t="shared" si="3"/>
        <v>101.95</v>
      </c>
      <c r="H16" s="37"/>
      <c r="I16" s="33"/>
      <c r="J16" s="35"/>
      <c r="K16" s="33">
        <f t="shared" si="0"/>
        <v>0</v>
      </c>
      <c r="L16" s="38"/>
      <c r="N16" s="1">
        <v>40.1</v>
      </c>
      <c r="O16" s="1">
        <v>2.04</v>
      </c>
      <c r="P16" s="1">
        <v>49.68</v>
      </c>
      <c r="Q16" s="1">
        <v>6.8</v>
      </c>
      <c r="R16" s="1">
        <v>3.33</v>
      </c>
      <c r="S16" s="1">
        <v>0</v>
      </c>
      <c r="T16" s="1">
        <v>0</v>
      </c>
      <c r="U16" s="1">
        <v>18723</v>
      </c>
      <c r="V16" s="1">
        <v>4000</v>
      </c>
      <c r="W16" s="8">
        <f t="shared" si="4"/>
        <v>74.89</v>
      </c>
      <c r="Y16" s="1">
        <v>5.4</v>
      </c>
      <c r="Z16" s="8">
        <f t="shared" si="5"/>
        <v>72.964500000000001</v>
      </c>
    </row>
    <row r="17" spans="1:26" x14ac:dyDescent="0.2">
      <c r="A17" s="44">
        <v>13</v>
      </c>
      <c r="B17" s="12" t="s">
        <v>102</v>
      </c>
      <c r="C17" s="25">
        <f t="shared" si="1"/>
        <v>63.53</v>
      </c>
      <c r="D17" s="25">
        <f t="shared" si="2"/>
        <v>157.88999999999999</v>
      </c>
      <c r="E17" s="25"/>
      <c r="F17" s="25"/>
      <c r="G17" s="25">
        <f t="shared" si="3"/>
        <v>221.42</v>
      </c>
      <c r="H17" s="37"/>
      <c r="I17" s="33"/>
      <c r="J17" s="35"/>
      <c r="K17" s="33">
        <f t="shared" si="0"/>
        <v>0</v>
      </c>
      <c r="L17" s="38"/>
      <c r="N17" s="1">
        <v>62.07</v>
      </c>
      <c r="O17" s="1">
        <v>1.46</v>
      </c>
      <c r="P17" s="1">
        <v>164.12</v>
      </c>
      <c r="Q17" s="1">
        <v>4.88</v>
      </c>
      <c r="R17" s="1">
        <v>0</v>
      </c>
      <c r="S17" s="1">
        <v>11.11</v>
      </c>
      <c r="T17" s="1">
        <v>0</v>
      </c>
      <c r="U17" s="1">
        <v>23333</v>
      </c>
      <c r="V17" s="1">
        <v>4000</v>
      </c>
      <c r="W17" s="8">
        <f t="shared" si="4"/>
        <v>93.33</v>
      </c>
      <c r="Y17" s="1">
        <v>5.4</v>
      </c>
      <c r="Z17" s="8">
        <f t="shared" si="5"/>
        <v>92.326499999999996</v>
      </c>
    </row>
    <row r="18" spans="1:26" x14ac:dyDescent="0.2">
      <c r="A18" s="44">
        <v>14</v>
      </c>
      <c r="B18" s="12" t="s">
        <v>103</v>
      </c>
      <c r="C18" s="25"/>
      <c r="D18" s="25"/>
      <c r="E18" s="25"/>
      <c r="F18" s="25">
        <f>SUM(N18:R18)-SUM(S18:T18)</f>
        <v>86.309999999999988</v>
      </c>
      <c r="G18" s="25">
        <f t="shared" si="3"/>
        <v>86.309999999999988</v>
      </c>
      <c r="H18" s="37"/>
      <c r="I18" s="33"/>
      <c r="J18" s="35"/>
      <c r="K18" s="33">
        <f t="shared" si="0"/>
        <v>0</v>
      </c>
      <c r="L18" s="38"/>
      <c r="M18" s="1" t="s">
        <v>67</v>
      </c>
      <c r="N18" s="1">
        <v>33.020000000000003</v>
      </c>
      <c r="O18" s="1">
        <v>0</v>
      </c>
      <c r="P18" s="1">
        <v>55.58</v>
      </c>
      <c r="Q18" s="1">
        <v>0</v>
      </c>
      <c r="R18" s="1">
        <v>0</v>
      </c>
      <c r="S18" s="1">
        <v>2.29</v>
      </c>
      <c r="T18" s="1">
        <v>0</v>
      </c>
      <c r="U18" s="1">
        <v>8495</v>
      </c>
      <c r="V18" s="1">
        <v>4000</v>
      </c>
      <c r="W18" s="8">
        <f t="shared" si="4"/>
        <v>33.979999999999997</v>
      </c>
      <c r="Z18" s="8">
        <f t="shared" si="5"/>
        <v>35.678999999999995</v>
      </c>
    </row>
    <row r="19" spans="1:26" x14ac:dyDescent="0.2">
      <c r="A19" s="44">
        <v>15</v>
      </c>
      <c r="B19" s="12" t="s">
        <v>104</v>
      </c>
      <c r="C19" s="25"/>
      <c r="D19" s="25"/>
      <c r="E19" s="25"/>
      <c r="F19" s="25">
        <f t="shared" ref="F19:F21" si="6">SUM(N19:R19)-SUM(S19:T19)</f>
        <v>113.91</v>
      </c>
      <c r="G19" s="25">
        <f t="shared" si="3"/>
        <v>113.91</v>
      </c>
      <c r="H19" s="37"/>
      <c r="I19" s="33"/>
      <c r="J19" s="35"/>
      <c r="K19" s="33">
        <f t="shared" si="0"/>
        <v>0</v>
      </c>
      <c r="L19" s="38"/>
      <c r="M19" s="1" t="s">
        <v>67</v>
      </c>
      <c r="N19" s="1">
        <v>8.08</v>
      </c>
      <c r="O19" s="1">
        <v>0</v>
      </c>
      <c r="P19" s="1">
        <v>108.12</v>
      </c>
      <c r="Q19" s="1">
        <v>0</v>
      </c>
      <c r="R19" s="1">
        <v>0</v>
      </c>
      <c r="S19" s="1">
        <v>2.29</v>
      </c>
      <c r="T19" s="1">
        <v>0</v>
      </c>
      <c r="U19" s="1">
        <v>4100</v>
      </c>
      <c r="V19" s="1">
        <v>4000</v>
      </c>
      <c r="W19" s="8">
        <f t="shared" si="4"/>
        <v>16.399999999999999</v>
      </c>
      <c r="Z19" s="8">
        <f t="shared" si="5"/>
        <v>17.22</v>
      </c>
    </row>
    <row r="20" spans="1:26" x14ac:dyDescent="0.2">
      <c r="A20" s="44">
        <v>16</v>
      </c>
      <c r="B20" s="12" t="s">
        <v>105</v>
      </c>
      <c r="C20" s="25"/>
      <c r="D20" s="25"/>
      <c r="E20" s="25"/>
      <c r="F20" s="25">
        <f t="shared" si="6"/>
        <v>36.11</v>
      </c>
      <c r="G20" s="25">
        <f t="shared" si="3"/>
        <v>36.11</v>
      </c>
      <c r="H20" s="37"/>
      <c r="I20" s="33"/>
      <c r="J20" s="35"/>
      <c r="K20" s="33">
        <f t="shared" si="0"/>
        <v>0</v>
      </c>
      <c r="L20" s="38"/>
      <c r="M20" s="1" t="s">
        <v>67</v>
      </c>
      <c r="N20" s="1">
        <v>3.12</v>
      </c>
      <c r="O20" s="1">
        <v>0</v>
      </c>
      <c r="P20" s="1">
        <v>35.28</v>
      </c>
      <c r="Q20" s="1">
        <v>0</v>
      </c>
      <c r="R20" s="1">
        <v>0</v>
      </c>
      <c r="S20" s="1">
        <v>2.29</v>
      </c>
      <c r="T20" s="1">
        <v>0</v>
      </c>
      <c r="U20" s="1">
        <v>9115</v>
      </c>
      <c r="V20" s="1">
        <v>4000</v>
      </c>
      <c r="W20" s="8">
        <f t="shared" si="4"/>
        <v>36.46</v>
      </c>
      <c r="Z20" s="8">
        <f t="shared" si="5"/>
        <v>38.283000000000001</v>
      </c>
    </row>
    <row r="21" spans="1:26" x14ac:dyDescent="0.2">
      <c r="A21" s="44">
        <v>17</v>
      </c>
      <c r="B21" s="12" t="s">
        <v>106</v>
      </c>
      <c r="C21" s="25"/>
      <c r="D21" s="25"/>
      <c r="E21" s="25"/>
      <c r="F21" s="25">
        <f t="shared" si="6"/>
        <v>25.16</v>
      </c>
      <c r="G21" s="25">
        <f t="shared" si="3"/>
        <v>25.16</v>
      </c>
      <c r="H21" s="37"/>
      <c r="I21" s="33"/>
      <c r="J21" s="35"/>
      <c r="K21" s="33">
        <f t="shared" si="0"/>
        <v>0</v>
      </c>
      <c r="L21" s="38"/>
      <c r="M21" s="1" t="s">
        <v>67</v>
      </c>
      <c r="N21" s="1">
        <v>4</v>
      </c>
      <c r="O21" s="1">
        <v>0</v>
      </c>
      <c r="P21" s="1">
        <v>25.06</v>
      </c>
      <c r="Q21" s="1">
        <v>0</v>
      </c>
      <c r="R21" s="1">
        <v>0</v>
      </c>
      <c r="S21" s="1">
        <v>1.95</v>
      </c>
      <c r="T21" s="1">
        <v>1.95</v>
      </c>
      <c r="U21" s="1">
        <v>68290</v>
      </c>
      <c r="V21" s="1">
        <v>4001</v>
      </c>
      <c r="W21" s="8">
        <f t="shared" si="4"/>
        <v>273.23</v>
      </c>
      <c r="Y21" s="1">
        <v>2.7</v>
      </c>
      <c r="Z21" s="8">
        <f t="shared" si="5"/>
        <v>284.05650000000003</v>
      </c>
    </row>
    <row r="22" spans="1:26" x14ac:dyDescent="0.2">
      <c r="A22" s="44">
        <v>18</v>
      </c>
      <c r="B22" s="12" t="s">
        <v>107</v>
      </c>
      <c r="C22" s="25">
        <f t="shared" ref="C22:C27" si="7">ROUND(N22+O22-T22, 2)</f>
        <v>78.069999999999993</v>
      </c>
      <c r="D22" s="25">
        <f t="shared" ref="D22:D27" si="8">ROUND(P22+Q22+R22-S22, 2)</f>
        <v>205.31</v>
      </c>
      <c r="E22" s="25"/>
      <c r="F22" s="25"/>
      <c r="G22" s="25">
        <f t="shared" si="3"/>
        <v>283.38</v>
      </c>
      <c r="H22" s="37"/>
      <c r="I22" s="33"/>
      <c r="J22" s="35"/>
      <c r="K22" s="33">
        <f t="shared" si="0"/>
        <v>0</v>
      </c>
      <c r="L22" s="38"/>
      <c r="N22" s="1">
        <v>76.3</v>
      </c>
      <c r="O22" s="1">
        <v>1.77</v>
      </c>
      <c r="P22" s="1">
        <v>195.71</v>
      </c>
      <c r="Q22" s="1">
        <v>5.9</v>
      </c>
      <c r="R22" s="1">
        <v>3.7</v>
      </c>
      <c r="S22" s="1">
        <v>0</v>
      </c>
      <c r="T22" s="1">
        <v>0</v>
      </c>
      <c r="U22" s="1">
        <v>107884</v>
      </c>
      <c r="V22" s="1">
        <v>4000</v>
      </c>
      <c r="W22" s="8">
        <f t="shared" si="4"/>
        <v>431.54</v>
      </c>
      <c r="Y22" s="1">
        <v>5.4</v>
      </c>
      <c r="Z22" s="8">
        <f t="shared" si="5"/>
        <v>447.44700000000006</v>
      </c>
    </row>
    <row r="23" spans="1:26" x14ac:dyDescent="0.2">
      <c r="A23" s="44">
        <v>19</v>
      </c>
      <c r="B23" s="12" t="s">
        <v>108</v>
      </c>
      <c r="C23" s="25">
        <f t="shared" si="7"/>
        <v>74.56</v>
      </c>
      <c r="D23" s="25">
        <f t="shared" si="8"/>
        <v>243.42</v>
      </c>
      <c r="E23" s="25"/>
      <c r="F23" s="25"/>
      <c r="G23" s="25">
        <f t="shared" si="3"/>
        <v>317.98</v>
      </c>
      <c r="H23" s="37"/>
      <c r="I23" s="33"/>
      <c r="J23" s="35"/>
      <c r="K23" s="33">
        <f t="shared" si="0"/>
        <v>0</v>
      </c>
      <c r="L23" s="38"/>
      <c r="N23" s="1">
        <v>79.260000000000005</v>
      </c>
      <c r="O23" s="1">
        <v>0.52</v>
      </c>
      <c r="P23" s="1">
        <v>249.17</v>
      </c>
      <c r="Q23" s="1">
        <v>1.73</v>
      </c>
      <c r="R23" s="1">
        <v>1.96</v>
      </c>
      <c r="S23" s="1">
        <v>9.44</v>
      </c>
      <c r="T23" s="1">
        <v>5.22</v>
      </c>
      <c r="U23" s="1">
        <v>12659</v>
      </c>
      <c r="V23" s="1">
        <v>4000</v>
      </c>
      <c r="W23" s="8">
        <f t="shared" si="4"/>
        <v>50.64</v>
      </c>
      <c r="Z23" s="8">
        <f t="shared" si="5"/>
        <v>53.171999999999997</v>
      </c>
    </row>
    <row r="24" spans="1:26" x14ac:dyDescent="0.2">
      <c r="A24" s="44">
        <v>20</v>
      </c>
      <c r="B24" s="12" t="s">
        <v>109</v>
      </c>
      <c r="C24" s="25">
        <f t="shared" si="7"/>
        <v>37.6</v>
      </c>
      <c r="D24" s="25">
        <f t="shared" si="8"/>
        <v>48.09</v>
      </c>
      <c r="E24" s="25"/>
      <c r="F24" s="25"/>
      <c r="G24" s="25">
        <f t="shared" si="3"/>
        <v>85.69</v>
      </c>
      <c r="H24" s="37"/>
      <c r="I24" s="33"/>
      <c r="J24" s="35"/>
      <c r="K24" s="33">
        <f t="shared" si="0"/>
        <v>0</v>
      </c>
      <c r="L24" s="38"/>
      <c r="N24" s="1">
        <v>37.6</v>
      </c>
      <c r="O24" s="1">
        <v>0</v>
      </c>
      <c r="P24" s="1">
        <v>50.4</v>
      </c>
      <c r="Q24" s="1">
        <v>0</v>
      </c>
      <c r="R24" s="1">
        <v>0</v>
      </c>
      <c r="S24" s="1">
        <v>2.31</v>
      </c>
      <c r="T24" s="1">
        <v>0</v>
      </c>
      <c r="U24" s="1">
        <v>7290</v>
      </c>
      <c r="V24" s="1">
        <v>4000</v>
      </c>
      <c r="W24" s="8">
        <f t="shared" si="4"/>
        <v>29.16</v>
      </c>
      <c r="Z24" s="8">
        <f t="shared" si="5"/>
        <v>30.618000000000002</v>
      </c>
    </row>
    <row r="25" spans="1:26" x14ac:dyDescent="0.2">
      <c r="A25" s="44">
        <v>21</v>
      </c>
      <c r="B25" s="12" t="s">
        <v>121</v>
      </c>
      <c r="C25" s="25">
        <f t="shared" si="7"/>
        <v>69.510000000000005</v>
      </c>
      <c r="D25" s="25">
        <f t="shared" si="8"/>
        <v>95.88</v>
      </c>
      <c r="E25" s="25"/>
      <c r="F25" s="25"/>
      <c r="G25" s="25">
        <f t="shared" si="3"/>
        <v>165.39</v>
      </c>
      <c r="H25" s="37"/>
      <c r="I25" s="33"/>
      <c r="J25" s="35"/>
      <c r="K25" s="33">
        <f t="shared" si="0"/>
        <v>0</v>
      </c>
      <c r="L25" s="38"/>
      <c r="N25" s="1">
        <v>66.959999999999994</v>
      </c>
      <c r="O25" s="1">
        <v>2.5499999999999998</v>
      </c>
      <c r="P25" s="1">
        <v>89.69</v>
      </c>
      <c r="Q25" s="1">
        <v>8.5</v>
      </c>
      <c r="R25" s="1">
        <v>0</v>
      </c>
      <c r="S25" s="1">
        <v>2.31</v>
      </c>
      <c r="T25" s="1">
        <v>0</v>
      </c>
      <c r="U25" s="1">
        <v>8867</v>
      </c>
      <c r="V25" s="1">
        <v>4000</v>
      </c>
      <c r="W25" s="8">
        <f t="shared" si="4"/>
        <v>35.47</v>
      </c>
      <c r="Z25" s="8">
        <f t="shared" si="5"/>
        <v>37.243499999999997</v>
      </c>
    </row>
    <row r="26" spans="1:26" x14ac:dyDescent="0.2">
      <c r="A26" s="44">
        <v>22</v>
      </c>
      <c r="B26" s="12" t="s">
        <v>122</v>
      </c>
      <c r="C26" s="25"/>
      <c r="D26" s="25"/>
      <c r="E26" s="25">
        <f>SUM(N26:R26)-SUM(S26:T26)</f>
        <v>38.590000000000003</v>
      </c>
      <c r="F26" s="25"/>
      <c r="G26" s="25">
        <f t="shared" si="3"/>
        <v>38.590000000000003</v>
      </c>
      <c r="H26" s="37"/>
      <c r="I26" s="33"/>
      <c r="J26" s="35"/>
      <c r="K26" s="33">
        <f t="shared" si="0"/>
        <v>0</v>
      </c>
      <c r="L26" s="38"/>
      <c r="M26" s="1" t="s">
        <v>68</v>
      </c>
      <c r="N26" s="1">
        <v>0</v>
      </c>
      <c r="O26" s="1">
        <v>0</v>
      </c>
      <c r="P26" s="1">
        <v>40.880000000000003</v>
      </c>
      <c r="Q26" s="1">
        <v>0</v>
      </c>
      <c r="R26" s="1">
        <v>0</v>
      </c>
      <c r="S26" s="1">
        <v>2.29</v>
      </c>
      <c r="T26" s="1">
        <v>0</v>
      </c>
      <c r="U26" s="1">
        <v>12084</v>
      </c>
      <c r="V26" s="1">
        <v>4000</v>
      </c>
      <c r="W26" s="8">
        <f t="shared" si="4"/>
        <v>48.34</v>
      </c>
      <c r="Z26" s="8">
        <f t="shared" si="5"/>
        <v>50.757000000000005</v>
      </c>
    </row>
    <row r="27" spans="1:26" x14ac:dyDescent="0.2">
      <c r="A27" s="44">
        <v>23</v>
      </c>
      <c r="B27" s="12" t="s">
        <v>123</v>
      </c>
      <c r="C27" s="25">
        <f t="shared" si="7"/>
        <v>13.56</v>
      </c>
      <c r="D27" s="25">
        <f t="shared" si="8"/>
        <v>48.85</v>
      </c>
      <c r="E27" s="25"/>
      <c r="F27" s="25"/>
      <c r="G27" s="25">
        <f t="shared" si="3"/>
        <v>62.410000000000004</v>
      </c>
      <c r="H27" s="37"/>
      <c r="I27" s="33"/>
      <c r="J27" s="35"/>
      <c r="K27" s="33">
        <f t="shared" si="0"/>
        <v>0</v>
      </c>
      <c r="L27" s="38"/>
      <c r="M27" s="1" t="s">
        <v>68</v>
      </c>
      <c r="N27" s="1">
        <v>13.56</v>
      </c>
      <c r="O27" s="1">
        <v>0</v>
      </c>
      <c r="P27" s="1">
        <v>52</v>
      </c>
      <c r="Q27" s="1">
        <v>0</v>
      </c>
      <c r="R27" s="1">
        <v>0</v>
      </c>
      <c r="S27" s="1">
        <v>3.15</v>
      </c>
      <c r="T27" s="1">
        <v>0</v>
      </c>
      <c r="U27" s="1">
        <f>5400+3590+2000</f>
        <v>10990</v>
      </c>
      <c r="V27" s="1">
        <v>4000</v>
      </c>
      <c r="W27" s="8">
        <f t="shared" si="4"/>
        <v>43.96</v>
      </c>
      <c r="Z27" s="8">
        <f t="shared" si="5"/>
        <v>46.158000000000001</v>
      </c>
    </row>
    <row r="28" spans="1:26" x14ac:dyDescent="0.2">
      <c r="A28" s="28"/>
      <c r="B28" s="28" t="s">
        <v>19</v>
      </c>
      <c r="C28" s="25">
        <f>SUM(C5:C27)</f>
        <v>840.60999999999979</v>
      </c>
      <c r="D28" s="25">
        <f>SUM(D5:D27)</f>
        <v>1864.9899999999998</v>
      </c>
      <c r="E28" s="25">
        <f>SUM(E5:E27)</f>
        <v>38.590000000000003</v>
      </c>
      <c r="F28" s="25">
        <f>SUM(F5:F27)</f>
        <v>261.49</v>
      </c>
      <c r="G28" s="25">
        <f>SUM(G5:G27)</f>
        <v>3005.68</v>
      </c>
      <c r="H28" s="37"/>
      <c r="I28" s="33"/>
      <c r="J28" s="35"/>
      <c r="K28" s="33"/>
      <c r="L28" s="38"/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ВОР 2 э. шт.</vt:lpstr>
      <vt:lpstr>Спец 2 э. шт.</vt:lpstr>
      <vt:lpstr>ВОР 3 э. шт.</vt:lpstr>
      <vt:lpstr>Спец 3 э. шт.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МирзаяновИИ</cp:lastModifiedBy>
  <dcterms:created xsi:type="dcterms:W3CDTF">2025-09-01T11:02:25Z</dcterms:created>
  <dcterms:modified xsi:type="dcterms:W3CDTF">2025-10-21T10:36:20Z</dcterms:modified>
</cp:coreProperties>
</file>