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/>
  </bookViews>
  <sheets>
    <sheet name="ВОР 2 э. шт." sheetId="8" r:id="rId1"/>
    <sheet name="Спец 2 э. шт." sheetId="7" r:id="rId2"/>
    <sheet name="Спец 3 э. шт." sheetId="9" r:id="rId3"/>
  </sheets>
  <calcPr calcId="152511"/>
</workbook>
</file>

<file path=xl/calcChain.xml><?xml version="1.0" encoding="utf-8"?>
<calcChain xmlns="http://schemas.openxmlformats.org/spreadsheetml/2006/main">
  <c r="H7" i="9" l="1"/>
  <c r="I6" i="9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" i="9"/>
  <c r="K5" i="9"/>
  <c r="I8" i="9"/>
  <c r="K8" i="9" s="1"/>
  <c r="F45" i="9"/>
  <c r="E45" i="9"/>
  <c r="P44" i="9"/>
  <c r="S44" i="9" s="1"/>
  <c r="P43" i="9"/>
  <c r="S43" i="9" s="1"/>
  <c r="S42" i="9"/>
  <c r="P42" i="9"/>
  <c r="G42" i="9"/>
  <c r="P41" i="9"/>
  <c r="S41" i="9" s="1"/>
  <c r="G41" i="9"/>
  <c r="N40" i="9"/>
  <c r="P40" i="9" s="1"/>
  <c r="S40" i="9" s="1"/>
  <c r="S39" i="9"/>
  <c r="P39" i="9"/>
  <c r="G39" i="9"/>
  <c r="P38" i="9"/>
  <c r="S38" i="9" s="1"/>
  <c r="G38" i="9"/>
  <c r="S37" i="9"/>
  <c r="P37" i="9"/>
  <c r="P36" i="9"/>
  <c r="S36" i="9" s="1"/>
  <c r="S35" i="9"/>
  <c r="P35" i="9"/>
  <c r="G35" i="9"/>
  <c r="P34" i="9"/>
  <c r="S34" i="9" s="1"/>
  <c r="G34" i="9"/>
  <c r="S33" i="9"/>
  <c r="P33" i="9"/>
  <c r="P32" i="9"/>
  <c r="S32" i="9" s="1"/>
  <c r="G32" i="9"/>
  <c r="N31" i="9"/>
  <c r="P31" i="9" s="1"/>
  <c r="S31" i="9" s="1"/>
  <c r="G31" i="9"/>
  <c r="P30" i="9"/>
  <c r="S30" i="9" s="1"/>
  <c r="G30" i="9"/>
  <c r="P29" i="9"/>
  <c r="S29" i="9" s="1"/>
  <c r="G29" i="9"/>
  <c r="S28" i="9"/>
  <c r="P28" i="9"/>
  <c r="N28" i="9"/>
  <c r="S27" i="9"/>
  <c r="P27" i="9"/>
  <c r="G27" i="9"/>
  <c r="S26" i="9"/>
  <c r="P26" i="9"/>
  <c r="G26" i="9"/>
  <c r="S25" i="9"/>
  <c r="P25" i="9"/>
  <c r="G25" i="9"/>
  <c r="P24" i="9"/>
  <c r="S24" i="9" s="1"/>
  <c r="S23" i="9"/>
  <c r="G23" i="9" s="1"/>
  <c r="P23" i="9"/>
  <c r="S22" i="9"/>
  <c r="P22" i="9"/>
  <c r="S21" i="9"/>
  <c r="P21" i="9"/>
  <c r="G21" i="9"/>
  <c r="S20" i="9"/>
  <c r="P20" i="9"/>
  <c r="G20" i="9"/>
  <c r="P19" i="9"/>
  <c r="S19" i="9" s="1"/>
  <c r="G19" i="9"/>
  <c r="P18" i="9"/>
  <c r="S18" i="9" s="1"/>
  <c r="G18" i="9"/>
  <c r="P17" i="9"/>
  <c r="S17" i="9" s="1"/>
  <c r="G17" i="9"/>
  <c r="P16" i="9"/>
  <c r="S16" i="9" s="1"/>
  <c r="P15" i="9"/>
  <c r="S15" i="9" s="1"/>
  <c r="P14" i="9"/>
  <c r="S14" i="9" s="1"/>
  <c r="P13" i="9"/>
  <c r="S13" i="9" s="1"/>
  <c r="S12" i="9"/>
  <c r="P12" i="9"/>
  <c r="S11" i="9"/>
  <c r="P11" i="9"/>
  <c r="P10" i="9"/>
  <c r="S10" i="9" s="1"/>
  <c r="P9" i="9"/>
  <c r="S9" i="9" s="1"/>
  <c r="P8" i="9"/>
  <c r="S8" i="9" s="1"/>
  <c r="P7" i="9"/>
  <c r="S7" i="9" s="1"/>
  <c r="P6" i="9"/>
  <c r="S6" i="9" s="1"/>
  <c r="P5" i="9"/>
  <c r="S5" i="9" s="1"/>
  <c r="G12" i="9" l="1"/>
  <c r="G43" i="9"/>
  <c r="G6" i="9"/>
  <c r="G7" i="9"/>
  <c r="G44" i="9"/>
  <c r="G8" i="9"/>
  <c r="G14" i="9"/>
  <c r="G22" i="9"/>
  <c r="G28" i="9"/>
  <c r="G9" i="9"/>
  <c r="G11" i="9"/>
  <c r="G33" i="9"/>
  <c r="G37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45" i="9" l="1"/>
  <c r="G24" i="9"/>
  <c r="G40" i="9"/>
  <c r="G10" i="9"/>
  <c r="C45" i="9"/>
  <c r="G5" i="9"/>
  <c r="G36" i="9"/>
  <c r="G16" i="9"/>
  <c r="G15" i="9"/>
  <c r="G13" i="9"/>
  <c r="E20" i="8"/>
  <c r="E19" i="8"/>
  <c r="E18" i="8"/>
  <c r="G45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D14" i="7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E21" i="8" s="1"/>
  <c r="E25" i="8" s="1"/>
  <c r="C45" i="7"/>
  <c r="E6" i="8" s="1"/>
  <c r="E7" i="8" s="1"/>
  <c r="E22" i="8"/>
  <c r="E24" i="8"/>
  <c r="E23" i="8" l="1"/>
  <c r="E8" i="8"/>
  <c r="E10" i="8"/>
  <c r="E9" i="8"/>
  <c r="E3" i="8"/>
  <c r="E4" i="8"/>
  <c r="E5" i="8"/>
  <c r="G45" i="7"/>
</calcChain>
</file>

<file path=xl/sharedStrings.xml><?xml version="1.0" encoding="utf-8"?>
<sst xmlns="http://schemas.openxmlformats.org/spreadsheetml/2006/main" count="229" uniqueCount="134">
  <si>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</si>
  <si>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</si>
  <si>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</si>
  <si>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</si>
  <si>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</si>
  <si>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</si>
  <si>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</si>
  <si>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</si>
  <si>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</si>
  <si>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</si>
  <si>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</si>
  <si>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</si>
  <si>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</si>
  <si>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</si>
  <si>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</si>
  <si>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</si>
  <si>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</si>
  <si>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</si>
  <si>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</si>
  <si>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</si>
  <si>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</si>
  <si>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</si>
  <si>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</si>
  <si>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</si>
  <si>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</si>
  <si>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</si>
  <si>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</si>
  <si>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</si>
  <si>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</si>
  <si>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</si>
  <si>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</si>
  <si>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</si>
  <si>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</si>
  <si>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</si>
  <si>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</si>
  <si>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</si>
  <si>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</si>
  <si>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</si>
  <si>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</si>
  <si>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</si>
  <si>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</si>
  <si>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</si>
  <si>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</si>
  <si>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</si>
  <si>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</si>
  <si>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</si>
  <si>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</si>
  <si>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</si>
  <si>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</si>
  <si>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</si>
  <si>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</si>
  <si>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</si>
  <si>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</si>
  <si>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</si>
  <si>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</si>
  <si>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</si>
  <si>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</si>
  <si>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</si>
  <si>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</si>
  <si>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</si>
  <si>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</si>
  <si>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</si>
  <si>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</si>
  <si>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</si>
  <si>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</si>
  <si>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</si>
  <si>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</si>
  <si>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</si>
  <si>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</si>
  <si>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</si>
  <si>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</si>
  <si>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</si>
  <si>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</si>
  <si>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</si>
  <si>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</si>
  <si>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</si>
  <si>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</si>
  <si>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</si>
  <si>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</si>
  <si>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</si>
  <si>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</si>
  <si>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</si>
  <si>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</si>
  <si>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</si>
  <si>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</si>
  <si>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</si>
  <si>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</si>
  <si>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</si>
  <si>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</si>
  <si>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</si>
  <si>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</si>
  <si>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</si>
  <si>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</si>
  <si>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</si>
  <si>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</si>
  <si>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</si>
  <si>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</si>
  <si>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</si>
  <si>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</si>
  <si>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</si>
  <si>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</si>
  <si>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</si>
  <si>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</si>
  <si>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</si>
  <si>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</si>
  <si>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</si>
  <si>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</si>
  <si>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</si>
  <si>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</si>
  <si>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</si>
  <si>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</si>
  <si>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</si>
  <si>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</si>
  <si>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</si>
  <si>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</si>
  <si>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</si>
  <si>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</si>
  <si>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</si>
  <si>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</si>
  <si>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</si>
  <si>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</si>
  <si>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</si>
  <si>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</si>
  <si>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</si>
  <si>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</si>
  <si>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</si>
  <si>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</si>
  <si>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</si>
  <si>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</si>
  <si>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</si>
  <si>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вверх блок
300</t>
  </si>
  <si>
    <t>низ 900 
ГАЗОБЛОК</t>
  </si>
  <si>
    <t>Между окнами 2700</t>
  </si>
  <si>
    <t>Сетка штукатурная_/пластиковая/10*10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</si>
</sst>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41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abSelected="1" topLeftCell="A6" zoomScale="130" zoomScaleNormal="130" workbookViewId="0">
      <selection activeCell="B8" sqref="B8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x14ac:dyDescent="0.2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8.25" x14ac:dyDescent="0.2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">
      <c r="A8" s="18" t="s">
        <v>14</v>
      </c>
      <c r="B8" s="21" t="s">
        <v>133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8.25" x14ac:dyDescent="0.2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">
      <c r="A14" s="18" t="s">
        <v>78</v>
      </c>
      <c r="B14" s="21" t="s">
        <v>133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8.25" x14ac:dyDescent="0.2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">
      <c r="A18" s="2">
        <v>4.2</v>
      </c>
      <c r="B18" s="21" t="s">
        <v>133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8.25" x14ac:dyDescent="0.2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">
      <c r="A24" s="2">
        <v>5.3</v>
      </c>
      <c r="B24" s="21" t="s">
        <v>133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5"/>
  <sheetViews>
    <sheetView zoomScale="115" zoomScaleNormal="115" workbookViewId="0">
      <selection activeCell="A2" sqref="A2:G2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9" width="9.140625" style="1" customWidth="1"/>
    <col min="10" max="10" width="13.140625" style="1" customWidth="1"/>
    <col min="11" max="11" width="24.42578125" style="1" customWidth="1"/>
    <col min="12" max="12" width="9.140625" style="1" customWidth="1"/>
    <col min="13" max="13" width="12" style="1" customWidth="1"/>
    <col min="14" max="14" width="9.140625" style="1" customWidth="1"/>
    <col min="15" max="15" width="13.85546875" style="1" customWidth="1"/>
    <col min="16" max="17" width="9.140625" style="1" customWidth="1"/>
    <col min="18" max="16384" width="9.140625" style="1"/>
  </cols>
  <sheetData>
    <row r="1" spans="1:16" x14ac:dyDescent="0.2">
      <c r="A1" s="30" t="s">
        <v>2</v>
      </c>
      <c r="B1" s="30"/>
      <c r="C1" s="30"/>
      <c r="D1" s="30"/>
      <c r="E1" s="30"/>
      <c r="F1" s="30"/>
      <c r="G1" s="30"/>
    </row>
    <row r="2" spans="1:16" x14ac:dyDescent="0.2">
      <c r="A2" s="31" t="s">
        <v>64</v>
      </c>
      <c r="B2" s="31"/>
      <c r="C2" s="31"/>
      <c r="D2" s="31"/>
      <c r="E2" s="31"/>
      <c r="F2" s="31"/>
      <c r="G2" s="31"/>
    </row>
    <row r="3" spans="1:16" ht="25.5" x14ac:dyDescent="0.2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">
      <c r="A14" s="2">
        <v>10</v>
      </c>
      <c r="B14" s="12" t="s">
        <v>30</v>
      </c>
      <c r="C14" s="25">
        <f t="shared" si="0"/>
        <v>36.256920000000001</v>
      </c>
      <c r="D14" s="25">
        <f t="shared" si="1"/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5"/>
  <sheetViews>
    <sheetView topLeftCell="I2" zoomScale="115" zoomScaleNormal="115" workbookViewId="0">
      <selection activeCell="L4" sqref="L4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hidden="1" customWidth="1"/>
    <col min="7" max="7" width="8.7109375" style="27" hidden="1" customWidth="1"/>
    <col min="8" max="12" width="9.140625" style="1" customWidth="1"/>
    <col min="13" max="13" width="13.140625" style="1" customWidth="1"/>
    <col min="14" max="14" width="24.42578125" style="1" customWidth="1"/>
    <col min="15" max="15" width="9.140625" style="1" customWidth="1"/>
    <col min="16" max="16" width="12" style="1" customWidth="1"/>
    <col min="17" max="17" width="9.140625" style="1" customWidth="1"/>
    <col min="18" max="18" width="13.85546875" style="1" customWidth="1"/>
    <col min="19" max="20" width="9.140625" style="1" customWidth="1"/>
    <col min="21" max="16384" width="9.140625" style="1"/>
  </cols>
  <sheetData>
    <row r="1" spans="1:19" x14ac:dyDescent="0.2">
      <c r="A1" s="30" t="s">
        <v>2</v>
      </c>
      <c r="B1" s="30"/>
      <c r="C1" s="30"/>
      <c r="D1" s="30"/>
      <c r="E1" s="30"/>
      <c r="F1" s="30"/>
      <c r="G1" s="30"/>
    </row>
    <row r="2" spans="1:19" x14ac:dyDescent="0.2">
      <c r="A2" s="31" t="s">
        <v>64</v>
      </c>
      <c r="B2" s="31"/>
      <c r="C2" s="31"/>
      <c r="D2" s="31"/>
      <c r="E2" s="31"/>
      <c r="F2" s="31"/>
      <c r="G2" s="31"/>
    </row>
    <row r="3" spans="1:19" ht="38.25" x14ac:dyDescent="0.2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8" t="s">
        <v>65</v>
      </c>
      <c r="I3" s="32" t="s">
        <v>130</v>
      </c>
      <c r="J3" s="36" t="s">
        <v>69</v>
      </c>
      <c r="K3" s="33" t="s">
        <v>131</v>
      </c>
      <c r="L3" s="34" t="s">
        <v>132</v>
      </c>
      <c r="M3" s="1" t="s">
        <v>36</v>
      </c>
      <c r="N3" s="1" t="s">
        <v>20</v>
      </c>
      <c r="O3" s="1" t="s">
        <v>35</v>
      </c>
    </row>
    <row r="4" spans="1:19" x14ac:dyDescent="0.2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9"/>
      <c r="I4" s="35"/>
      <c r="J4" s="37"/>
      <c r="K4" s="35">
        <f t="shared" ref="K4:K44" si="0">I4</f>
        <v>0</v>
      </c>
      <c r="L4" s="40"/>
      <c r="R4" s="1" t="s">
        <v>66</v>
      </c>
    </row>
    <row r="5" spans="1:19" x14ac:dyDescent="0.2">
      <c r="A5" s="28">
        <v>1</v>
      </c>
      <c r="B5" s="12" t="s">
        <v>90</v>
      </c>
      <c r="C5" s="25"/>
      <c r="D5" s="25"/>
      <c r="E5" s="25"/>
      <c r="F5" s="25"/>
      <c r="G5" s="25">
        <f>SUM(C5:F5)</f>
        <v>0</v>
      </c>
      <c r="H5" s="39"/>
      <c r="I5" s="35"/>
      <c r="J5" s="37"/>
      <c r="K5" s="35">
        <f t="shared" si="0"/>
        <v>0</v>
      </c>
      <c r="L5" s="40"/>
      <c r="M5" s="1" t="s">
        <v>39</v>
      </c>
      <c r="N5" s="1">
        <v>31886.4221</v>
      </c>
      <c r="O5" s="1">
        <v>4000</v>
      </c>
      <c r="P5" s="8">
        <f>ROUND(N5*O5/1000000, 2)</f>
        <v>127.55</v>
      </c>
      <c r="R5" s="1">
        <v>15</v>
      </c>
      <c r="S5" s="8">
        <f>(P5-R5) / 100 * 5 + (P5-R5)</f>
        <v>118.17749999999999</v>
      </c>
    </row>
    <row r="6" spans="1:19" x14ac:dyDescent="0.2">
      <c r="A6" s="28">
        <v>2</v>
      </c>
      <c r="B6" s="12" t="s">
        <v>91</v>
      </c>
      <c r="C6" s="25"/>
      <c r="D6" s="25"/>
      <c r="E6" s="25"/>
      <c r="F6" s="25"/>
      <c r="G6" s="25">
        <f t="shared" ref="G6:G44" si="1">SUM(C6:F6)</f>
        <v>0</v>
      </c>
      <c r="H6" s="39"/>
      <c r="I6" s="35">
        <f>6900+1200</f>
        <v>8100</v>
      </c>
      <c r="J6" s="37"/>
      <c r="K6" s="35">
        <f t="shared" si="0"/>
        <v>8100</v>
      </c>
      <c r="L6" s="40"/>
      <c r="N6" s="1">
        <v>30830.7402</v>
      </c>
      <c r="O6" s="1">
        <v>4000</v>
      </c>
      <c r="P6" s="8">
        <f t="shared" ref="P6:P44" si="2">ROUND(N6*O6/1000000, 2)</f>
        <v>123.32</v>
      </c>
      <c r="R6" s="1">
        <v>15</v>
      </c>
      <c r="S6" s="8">
        <f t="shared" ref="S6:S44" si="3">(P6-R6) / 100 * 5 + (P6-R6)</f>
        <v>113.73599999999999</v>
      </c>
    </row>
    <row r="7" spans="1:19" x14ac:dyDescent="0.2">
      <c r="A7" s="28">
        <v>3</v>
      </c>
      <c r="B7" s="12" t="s">
        <v>92</v>
      </c>
      <c r="C7" s="25"/>
      <c r="D7" s="25"/>
      <c r="E7" s="25"/>
      <c r="F7" s="25"/>
      <c r="G7" s="25">
        <f t="shared" si="1"/>
        <v>0</v>
      </c>
      <c r="H7" s="39">
        <f>900+900+480+900+1200</f>
        <v>4380</v>
      </c>
      <c r="I7" s="35">
        <f>4300+3500</f>
        <v>7800</v>
      </c>
      <c r="J7" s="37">
        <f>1010+3530+14190</f>
        <v>18730</v>
      </c>
      <c r="K7" s="35">
        <f t="shared" si="0"/>
        <v>7800</v>
      </c>
      <c r="L7" s="40"/>
      <c r="N7" s="1">
        <v>32917.396500000003</v>
      </c>
      <c r="O7" s="1">
        <v>4000</v>
      </c>
      <c r="P7" s="8">
        <f t="shared" si="2"/>
        <v>131.66999999999999</v>
      </c>
      <c r="R7" s="1">
        <v>15</v>
      </c>
      <c r="S7" s="8">
        <f t="shared" si="3"/>
        <v>122.50349999999999</v>
      </c>
    </row>
    <row r="8" spans="1:19" x14ac:dyDescent="0.2">
      <c r="A8" s="28">
        <v>4</v>
      </c>
      <c r="B8" s="12" t="s">
        <v>93</v>
      </c>
      <c r="C8" s="25"/>
      <c r="D8" s="25"/>
      <c r="E8" s="25"/>
      <c r="F8" s="25"/>
      <c r="G8" s="25">
        <f t="shared" si="1"/>
        <v>0</v>
      </c>
      <c r="H8" s="39">
        <v>10460</v>
      </c>
      <c r="I8" s="35">
        <f>3450+3300</f>
        <v>6750</v>
      </c>
      <c r="J8" s="37">
        <v>15250</v>
      </c>
      <c r="K8" s="35">
        <f>I8</f>
        <v>6750</v>
      </c>
      <c r="L8" s="40"/>
      <c r="N8" s="1">
        <v>78654.636299999998</v>
      </c>
      <c r="O8" s="1">
        <v>4000</v>
      </c>
      <c r="P8" s="8">
        <f t="shared" si="2"/>
        <v>314.62</v>
      </c>
      <c r="R8" s="1">
        <v>15</v>
      </c>
      <c r="S8" s="8">
        <f t="shared" si="3"/>
        <v>314.601</v>
      </c>
    </row>
    <row r="9" spans="1:19" x14ac:dyDescent="0.2">
      <c r="A9" s="28">
        <v>5</v>
      </c>
      <c r="B9" s="12" t="s">
        <v>94</v>
      </c>
      <c r="C9" s="25"/>
      <c r="D9" s="25"/>
      <c r="E9" s="25"/>
      <c r="F9" s="25"/>
      <c r="G9" s="25">
        <f t="shared" si="1"/>
        <v>0</v>
      </c>
      <c r="H9" s="39"/>
      <c r="I9" s="35"/>
      <c r="J9" s="37"/>
      <c r="K9" s="35">
        <f t="shared" si="0"/>
        <v>0</v>
      </c>
      <c r="L9" s="40"/>
      <c r="N9" s="1">
        <v>12056</v>
      </c>
      <c r="O9" s="1">
        <v>4000</v>
      </c>
      <c r="P9" s="8">
        <f t="shared" si="2"/>
        <v>48.22</v>
      </c>
      <c r="R9" s="1">
        <v>20</v>
      </c>
      <c r="S9" s="8">
        <f t="shared" si="3"/>
        <v>29.631</v>
      </c>
    </row>
    <row r="10" spans="1:19" x14ac:dyDescent="0.2">
      <c r="A10" s="28">
        <v>6</v>
      </c>
      <c r="B10" s="12" t="s">
        <v>95</v>
      </c>
      <c r="C10" s="25"/>
      <c r="D10" s="25"/>
      <c r="E10" s="25"/>
      <c r="F10" s="25"/>
      <c r="G10" s="25">
        <f t="shared" si="1"/>
        <v>0</v>
      </c>
      <c r="H10" s="39"/>
      <c r="I10" s="35"/>
      <c r="J10" s="37"/>
      <c r="K10" s="35">
        <f t="shared" si="0"/>
        <v>0</v>
      </c>
      <c r="L10" s="40"/>
      <c r="N10" s="1">
        <v>30423</v>
      </c>
      <c r="O10" s="1">
        <v>4000</v>
      </c>
      <c r="P10" s="8">
        <f t="shared" si="2"/>
        <v>121.69</v>
      </c>
      <c r="R10" s="1">
        <v>20</v>
      </c>
      <c r="S10" s="8">
        <f t="shared" si="3"/>
        <v>106.7745</v>
      </c>
    </row>
    <row r="11" spans="1:19" x14ac:dyDescent="0.2">
      <c r="A11" s="28">
        <v>7</v>
      </c>
      <c r="B11" s="12" t="s">
        <v>96</v>
      </c>
      <c r="C11" s="25"/>
      <c r="D11" s="25"/>
      <c r="E11" s="25"/>
      <c r="F11" s="25"/>
      <c r="G11" s="25">
        <f t="shared" si="1"/>
        <v>0</v>
      </c>
      <c r="H11" s="39"/>
      <c r="I11" s="35"/>
      <c r="J11" s="37"/>
      <c r="K11" s="35">
        <f t="shared" si="0"/>
        <v>0</v>
      </c>
      <c r="L11" s="40"/>
      <c r="N11" s="1">
        <v>31549</v>
      </c>
      <c r="O11" s="1">
        <v>4000</v>
      </c>
      <c r="P11" s="8">
        <f t="shared" si="2"/>
        <v>126.2</v>
      </c>
      <c r="R11" s="1">
        <v>20</v>
      </c>
      <c r="S11" s="8">
        <f t="shared" si="3"/>
        <v>111.51</v>
      </c>
    </row>
    <row r="12" spans="1:19" x14ac:dyDescent="0.2">
      <c r="A12" s="28">
        <v>8</v>
      </c>
      <c r="B12" s="12" t="s">
        <v>97</v>
      </c>
      <c r="C12" s="25"/>
      <c r="D12" s="25"/>
      <c r="E12" s="25"/>
      <c r="F12" s="25"/>
      <c r="G12" s="25">
        <f t="shared" si="1"/>
        <v>0</v>
      </c>
      <c r="H12" s="39"/>
      <c r="I12" s="35"/>
      <c r="J12" s="37"/>
      <c r="K12" s="35">
        <f t="shared" si="0"/>
        <v>0</v>
      </c>
      <c r="L12" s="40"/>
      <c r="N12" s="1">
        <v>30423</v>
      </c>
      <c r="O12" s="1">
        <v>4000</v>
      </c>
      <c r="P12" s="8">
        <f t="shared" si="2"/>
        <v>121.69</v>
      </c>
      <c r="R12" s="1">
        <v>20</v>
      </c>
      <c r="S12" s="8">
        <f t="shared" si="3"/>
        <v>106.7745</v>
      </c>
    </row>
    <row r="13" spans="1:19" x14ac:dyDescent="0.2">
      <c r="A13" s="28">
        <v>9</v>
      </c>
      <c r="B13" s="12" t="s">
        <v>98</v>
      </c>
      <c r="C13" s="25"/>
      <c r="D13" s="25"/>
      <c r="E13" s="25"/>
      <c r="F13" s="25"/>
      <c r="G13" s="25">
        <f t="shared" si="1"/>
        <v>0</v>
      </c>
      <c r="H13" s="39"/>
      <c r="I13" s="35"/>
      <c r="J13" s="37"/>
      <c r="K13" s="35">
        <f t="shared" si="0"/>
        <v>0</v>
      </c>
      <c r="L13" s="40"/>
      <c r="N13" s="1">
        <v>27149</v>
      </c>
      <c r="O13" s="1">
        <v>4000</v>
      </c>
      <c r="P13" s="8">
        <f t="shared" si="2"/>
        <v>108.6</v>
      </c>
      <c r="R13" s="1">
        <v>20</v>
      </c>
      <c r="S13" s="8">
        <f t="shared" si="3"/>
        <v>93.03</v>
      </c>
    </row>
    <row r="14" spans="1:19" x14ac:dyDescent="0.2">
      <c r="A14" s="28">
        <v>10</v>
      </c>
      <c r="B14" s="12" t="s">
        <v>99</v>
      </c>
      <c r="C14" s="25"/>
      <c r="D14" s="25"/>
      <c r="E14" s="25"/>
      <c r="F14" s="25"/>
      <c r="G14" s="25">
        <f t="shared" si="1"/>
        <v>0</v>
      </c>
      <c r="H14" s="39"/>
      <c r="I14" s="35"/>
      <c r="J14" s="37"/>
      <c r="K14" s="35">
        <f t="shared" si="0"/>
        <v>0</v>
      </c>
      <c r="L14" s="40"/>
      <c r="N14" s="1">
        <v>30390</v>
      </c>
      <c r="O14" s="1">
        <v>4000</v>
      </c>
      <c r="P14" s="8">
        <f t="shared" si="2"/>
        <v>121.56</v>
      </c>
      <c r="R14" s="1">
        <v>20</v>
      </c>
      <c r="S14" s="8">
        <f t="shared" si="3"/>
        <v>106.63800000000001</v>
      </c>
    </row>
    <row r="15" spans="1:19" x14ac:dyDescent="0.2">
      <c r="A15" s="28">
        <v>11</v>
      </c>
      <c r="B15" s="12" t="s">
        <v>100</v>
      </c>
      <c r="C15" s="25"/>
      <c r="D15" s="25"/>
      <c r="E15" s="25"/>
      <c r="F15" s="25"/>
      <c r="G15" s="25">
        <f t="shared" si="1"/>
        <v>0</v>
      </c>
      <c r="H15" s="39"/>
      <c r="I15" s="35"/>
      <c r="J15" s="37"/>
      <c r="K15" s="35">
        <f t="shared" si="0"/>
        <v>0</v>
      </c>
      <c r="L15" s="40"/>
      <c r="N15" s="1">
        <v>59638</v>
      </c>
      <c r="O15" s="1">
        <v>4000</v>
      </c>
      <c r="P15" s="8">
        <f t="shared" si="2"/>
        <v>238.55</v>
      </c>
      <c r="R15" s="1">
        <v>15</v>
      </c>
      <c r="S15" s="8">
        <f t="shared" si="3"/>
        <v>234.72750000000002</v>
      </c>
    </row>
    <row r="16" spans="1:19" x14ac:dyDescent="0.2">
      <c r="A16" s="28">
        <v>12</v>
      </c>
      <c r="B16" s="12" t="s">
        <v>101</v>
      </c>
      <c r="C16" s="25"/>
      <c r="D16" s="25"/>
      <c r="E16" s="25"/>
      <c r="F16" s="25"/>
      <c r="G16" s="25">
        <f t="shared" si="1"/>
        <v>0</v>
      </c>
      <c r="H16" s="39"/>
      <c r="I16" s="35"/>
      <c r="J16" s="37"/>
      <c r="K16" s="35">
        <f t="shared" si="0"/>
        <v>0</v>
      </c>
      <c r="L16" s="40"/>
      <c r="N16" s="1">
        <v>24809</v>
      </c>
      <c r="O16" s="1">
        <v>4000</v>
      </c>
      <c r="P16" s="8">
        <f t="shared" si="2"/>
        <v>99.24</v>
      </c>
      <c r="R16" s="1">
        <v>20</v>
      </c>
      <c r="S16" s="8">
        <f t="shared" si="3"/>
        <v>83.201999999999998</v>
      </c>
    </row>
    <row r="17" spans="1:19" x14ac:dyDescent="0.2">
      <c r="A17" s="28">
        <v>13</v>
      </c>
      <c r="B17" s="12" t="s">
        <v>102</v>
      </c>
      <c r="C17" s="25"/>
      <c r="D17" s="25"/>
      <c r="E17" s="25"/>
      <c r="F17" s="25"/>
      <c r="G17" s="25">
        <f t="shared" si="1"/>
        <v>0</v>
      </c>
      <c r="H17" s="39"/>
      <c r="I17" s="35"/>
      <c r="J17" s="37"/>
      <c r="K17" s="35">
        <f t="shared" si="0"/>
        <v>0</v>
      </c>
      <c r="L17" s="40"/>
      <c r="M17" s="1" t="s">
        <v>67</v>
      </c>
      <c r="N17" s="1">
        <v>18723</v>
      </c>
      <c r="O17" s="1">
        <v>4000</v>
      </c>
      <c r="P17" s="8">
        <f t="shared" si="2"/>
        <v>74.89</v>
      </c>
      <c r="R17" s="1">
        <v>5.4</v>
      </c>
      <c r="S17" s="8">
        <f t="shared" si="3"/>
        <v>72.964500000000001</v>
      </c>
    </row>
    <row r="18" spans="1:19" x14ac:dyDescent="0.2">
      <c r="A18" s="28">
        <v>14</v>
      </c>
      <c r="B18" s="12" t="s">
        <v>103</v>
      </c>
      <c r="C18" s="25"/>
      <c r="D18" s="25"/>
      <c r="E18" s="25"/>
      <c r="F18" s="25"/>
      <c r="G18" s="25">
        <f t="shared" si="1"/>
        <v>0</v>
      </c>
      <c r="H18" s="39"/>
      <c r="I18" s="35"/>
      <c r="J18" s="37"/>
      <c r="K18" s="35">
        <f t="shared" si="0"/>
        <v>0</v>
      </c>
      <c r="L18" s="40"/>
      <c r="M18" s="1" t="s">
        <v>67</v>
      </c>
      <c r="N18" s="1">
        <v>23333</v>
      </c>
      <c r="O18" s="1">
        <v>4000</v>
      </c>
      <c r="P18" s="8">
        <f t="shared" si="2"/>
        <v>93.33</v>
      </c>
      <c r="R18" s="1">
        <v>5.4</v>
      </c>
      <c r="S18" s="8">
        <f t="shared" si="3"/>
        <v>92.326499999999996</v>
      </c>
    </row>
    <row r="19" spans="1:19" x14ac:dyDescent="0.2">
      <c r="A19" s="28">
        <v>15</v>
      </c>
      <c r="B19" s="12" t="s">
        <v>104</v>
      </c>
      <c r="C19" s="25"/>
      <c r="D19" s="25"/>
      <c r="E19" s="25"/>
      <c r="F19" s="25"/>
      <c r="G19" s="25">
        <f t="shared" si="1"/>
        <v>0</v>
      </c>
      <c r="H19" s="39"/>
      <c r="I19" s="35"/>
      <c r="J19" s="37"/>
      <c r="K19" s="35">
        <f t="shared" si="0"/>
        <v>0</v>
      </c>
      <c r="L19" s="40"/>
      <c r="M19" s="1" t="s">
        <v>67</v>
      </c>
      <c r="N19" s="1">
        <v>8495</v>
      </c>
      <c r="O19" s="1">
        <v>4000</v>
      </c>
      <c r="P19" s="8">
        <f t="shared" si="2"/>
        <v>33.979999999999997</v>
      </c>
      <c r="S19" s="8">
        <f t="shared" si="3"/>
        <v>35.678999999999995</v>
      </c>
    </row>
    <row r="20" spans="1:19" x14ac:dyDescent="0.2">
      <c r="A20" s="28">
        <v>16</v>
      </c>
      <c r="B20" s="12" t="s">
        <v>105</v>
      </c>
      <c r="C20" s="25"/>
      <c r="D20" s="25"/>
      <c r="E20" s="25"/>
      <c r="F20" s="25"/>
      <c r="G20" s="25">
        <f t="shared" si="1"/>
        <v>0</v>
      </c>
      <c r="H20" s="39"/>
      <c r="I20" s="35"/>
      <c r="J20" s="37"/>
      <c r="K20" s="35">
        <f t="shared" si="0"/>
        <v>0</v>
      </c>
      <c r="L20" s="40"/>
      <c r="M20" s="1" t="s">
        <v>67</v>
      </c>
      <c r="N20" s="1">
        <v>4100</v>
      </c>
      <c r="O20" s="1">
        <v>4000</v>
      </c>
      <c r="P20" s="8">
        <f t="shared" si="2"/>
        <v>16.399999999999999</v>
      </c>
      <c r="S20" s="8">
        <f t="shared" si="3"/>
        <v>17.22</v>
      </c>
    </row>
    <row r="21" spans="1:19" x14ac:dyDescent="0.2">
      <c r="A21" s="28">
        <v>17</v>
      </c>
      <c r="B21" s="12" t="s">
        <v>106</v>
      </c>
      <c r="C21" s="25"/>
      <c r="D21" s="25"/>
      <c r="E21" s="25"/>
      <c r="F21" s="25"/>
      <c r="G21" s="25">
        <f t="shared" si="1"/>
        <v>0</v>
      </c>
      <c r="H21" s="39"/>
      <c r="I21" s="35"/>
      <c r="J21" s="37"/>
      <c r="K21" s="35">
        <f t="shared" si="0"/>
        <v>0</v>
      </c>
      <c r="L21" s="40"/>
      <c r="M21" s="1" t="s">
        <v>68</v>
      </c>
      <c r="N21" s="1">
        <v>9115</v>
      </c>
      <c r="O21" s="1">
        <v>4000</v>
      </c>
      <c r="P21" s="8">
        <f t="shared" si="2"/>
        <v>36.46</v>
      </c>
      <c r="S21" s="8">
        <f t="shared" si="3"/>
        <v>38.283000000000001</v>
      </c>
    </row>
    <row r="22" spans="1:19" x14ac:dyDescent="0.2">
      <c r="A22" s="28">
        <v>18</v>
      </c>
      <c r="B22" s="12" t="s">
        <v>107</v>
      </c>
      <c r="C22" s="25"/>
      <c r="D22" s="25"/>
      <c r="E22" s="25"/>
      <c r="F22" s="25"/>
      <c r="G22" s="25">
        <f t="shared" si="1"/>
        <v>0</v>
      </c>
      <c r="H22" s="39"/>
      <c r="I22" s="35"/>
      <c r="J22" s="37"/>
      <c r="K22" s="35">
        <f t="shared" si="0"/>
        <v>0</v>
      </c>
      <c r="L22" s="40"/>
      <c r="N22" s="1">
        <v>68290</v>
      </c>
      <c r="O22" s="1">
        <v>4001</v>
      </c>
      <c r="P22" s="8">
        <f t="shared" si="2"/>
        <v>273.23</v>
      </c>
      <c r="R22" s="1">
        <v>2.7</v>
      </c>
      <c r="S22" s="8">
        <f t="shared" si="3"/>
        <v>284.05650000000003</v>
      </c>
    </row>
    <row r="23" spans="1:19" x14ac:dyDescent="0.2">
      <c r="A23" s="28">
        <v>19</v>
      </c>
      <c r="B23" s="12" t="s">
        <v>108</v>
      </c>
      <c r="C23" s="25"/>
      <c r="D23" s="25"/>
      <c r="E23" s="25"/>
      <c r="F23" s="25"/>
      <c r="G23" s="25">
        <f t="shared" si="1"/>
        <v>0</v>
      </c>
      <c r="H23" s="39"/>
      <c r="I23" s="35"/>
      <c r="J23" s="37"/>
      <c r="K23" s="35">
        <f t="shared" si="0"/>
        <v>0</v>
      </c>
      <c r="L23" s="40"/>
      <c r="N23" s="1">
        <v>107884</v>
      </c>
      <c r="O23" s="1">
        <v>4000</v>
      </c>
      <c r="P23" s="8">
        <f t="shared" si="2"/>
        <v>431.54</v>
      </c>
      <c r="R23" s="1">
        <v>5.4</v>
      </c>
      <c r="S23" s="8">
        <f t="shared" si="3"/>
        <v>447.44700000000006</v>
      </c>
    </row>
    <row r="24" spans="1:19" x14ac:dyDescent="0.2">
      <c r="A24" s="28">
        <v>20</v>
      </c>
      <c r="B24" s="12" t="s">
        <v>109</v>
      </c>
      <c r="C24" s="25"/>
      <c r="D24" s="25"/>
      <c r="E24" s="25"/>
      <c r="F24" s="25"/>
      <c r="G24" s="25">
        <f t="shared" si="1"/>
        <v>0</v>
      </c>
      <c r="H24" s="39"/>
      <c r="I24" s="35"/>
      <c r="J24" s="37"/>
      <c r="K24" s="35">
        <f t="shared" si="0"/>
        <v>0</v>
      </c>
      <c r="L24" s="40"/>
      <c r="N24" s="1">
        <v>12659</v>
      </c>
      <c r="O24" s="1">
        <v>4000</v>
      </c>
      <c r="P24" s="8">
        <f t="shared" si="2"/>
        <v>50.64</v>
      </c>
      <c r="S24" s="8">
        <f t="shared" si="3"/>
        <v>53.171999999999997</v>
      </c>
    </row>
    <row r="25" spans="1:19" x14ac:dyDescent="0.2">
      <c r="A25" s="28">
        <v>21</v>
      </c>
      <c r="B25" s="12" t="s">
        <v>110</v>
      </c>
      <c r="C25" s="25"/>
      <c r="D25" s="25"/>
      <c r="E25" s="25"/>
      <c r="F25" s="25"/>
      <c r="G25" s="25">
        <f t="shared" si="1"/>
        <v>0</v>
      </c>
      <c r="H25" s="39"/>
      <c r="I25" s="35"/>
      <c r="J25" s="37"/>
      <c r="K25" s="35">
        <f t="shared" si="0"/>
        <v>0</v>
      </c>
      <c r="L25" s="40"/>
      <c r="M25" s="1" t="s">
        <v>67</v>
      </c>
      <c r="N25" s="1">
        <v>7290</v>
      </c>
      <c r="O25" s="1">
        <v>4000</v>
      </c>
      <c r="P25" s="8">
        <f t="shared" si="2"/>
        <v>29.16</v>
      </c>
      <c r="S25" s="8">
        <f t="shared" si="3"/>
        <v>30.618000000000002</v>
      </c>
    </row>
    <row r="26" spans="1:19" x14ac:dyDescent="0.2">
      <c r="A26" s="28">
        <v>22</v>
      </c>
      <c r="B26" s="12" t="s">
        <v>111</v>
      </c>
      <c r="C26" s="25"/>
      <c r="D26" s="25"/>
      <c r="E26" s="25"/>
      <c r="F26" s="25"/>
      <c r="G26" s="25">
        <f t="shared" si="1"/>
        <v>0</v>
      </c>
      <c r="H26" s="39"/>
      <c r="I26" s="35"/>
      <c r="J26" s="37"/>
      <c r="K26" s="35">
        <f t="shared" si="0"/>
        <v>0</v>
      </c>
      <c r="L26" s="40"/>
      <c r="M26" s="1" t="s">
        <v>67</v>
      </c>
      <c r="N26" s="1">
        <v>8867</v>
      </c>
      <c r="O26" s="1">
        <v>4000</v>
      </c>
      <c r="P26" s="8">
        <f t="shared" si="2"/>
        <v>35.47</v>
      </c>
      <c r="S26" s="8">
        <f t="shared" si="3"/>
        <v>37.243499999999997</v>
      </c>
    </row>
    <row r="27" spans="1:19" x14ac:dyDescent="0.2">
      <c r="A27" s="28">
        <v>23</v>
      </c>
      <c r="B27" s="12" t="s">
        <v>112</v>
      </c>
      <c r="C27" s="25"/>
      <c r="D27" s="25"/>
      <c r="E27" s="25"/>
      <c r="F27" s="25"/>
      <c r="G27" s="25">
        <f t="shared" si="1"/>
        <v>0</v>
      </c>
      <c r="H27" s="39"/>
      <c r="I27" s="35"/>
      <c r="J27" s="37"/>
      <c r="K27" s="35">
        <f t="shared" si="0"/>
        <v>0</v>
      </c>
      <c r="L27" s="40"/>
      <c r="M27" s="1" t="s">
        <v>67</v>
      </c>
      <c r="N27" s="1">
        <v>12084</v>
      </c>
      <c r="O27" s="1">
        <v>4000</v>
      </c>
      <c r="P27" s="8">
        <f t="shared" si="2"/>
        <v>48.34</v>
      </c>
      <c r="S27" s="8">
        <f t="shared" si="3"/>
        <v>50.757000000000005</v>
      </c>
    </row>
    <row r="28" spans="1:19" x14ac:dyDescent="0.2">
      <c r="A28" s="28">
        <v>24</v>
      </c>
      <c r="B28" s="12" t="s">
        <v>113</v>
      </c>
      <c r="C28" s="25"/>
      <c r="D28" s="25"/>
      <c r="E28" s="25"/>
      <c r="F28" s="25"/>
      <c r="G28" s="25">
        <f t="shared" si="1"/>
        <v>0</v>
      </c>
      <c r="H28" s="39"/>
      <c r="I28" s="35"/>
      <c r="J28" s="37"/>
      <c r="K28" s="35">
        <f t="shared" si="0"/>
        <v>0</v>
      </c>
      <c r="L28" s="40"/>
      <c r="N28" s="1">
        <f>5400+3590+2000</f>
        <v>10990</v>
      </c>
      <c r="O28" s="1">
        <v>4000</v>
      </c>
      <c r="P28" s="8">
        <f t="shared" si="2"/>
        <v>43.96</v>
      </c>
      <c r="S28" s="8">
        <f t="shared" si="3"/>
        <v>46.158000000000001</v>
      </c>
    </row>
    <row r="29" spans="1:19" x14ac:dyDescent="0.2">
      <c r="A29" s="28">
        <v>25</v>
      </c>
      <c r="B29" s="12" t="s">
        <v>114</v>
      </c>
      <c r="C29" s="25"/>
      <c r="D29" s="25"/>
      <c r="E29" s="25"/>
      <c r="F29" s="25"/>
      <c r="G29" s="25">
        <f t="shared" si="1"/>
        <v>0</v>
      </c>
      <c r="H29" s="39"/>
      <c r="I29" s="35"/>
      <c r="J29" s="37"/>
      <c r="K29" s="35">
        <f t="shared" si="0"/>
        <v>0</v>
      </c>
      <c r="L29" s="40"/>
      <c r="M29" s="1" t="s">
        <v>67</v>
      </c>
      <c r="N29" s="1">
        <v>8800</v>
      </c>
      <c r="O29" s="1">
        <v>4000</v>
      </c>
      <c r="P29" s="8">
        <f t="shared" si="2"/>
        <v>35.200000000000003</v>
      </c>
      <c r="S29" s="8">
        <f t="shared" si="3"/>
        <v>36.96</v>
      </c>
    </row>
    <row r="30" spans="1:19" x14ac:dyDescent="0.2">
      <c r="A30" s="28">
        <v>26</v>
      </c>
      <c r="B30" s="12" t="s">
        <v>115</v>
      </c>
      <c r="C30" s="25"/>
      <c r="D30" s="25"/>
      <c r="E30" s="25"/>
      <c r="F30" s="25"/>
      <c r="G30" s="25">
        <f t="shared" si="1"/>
        <v>0</v>
      </c>
      <c r="H30" s="39"/>
      <c r="I30" s="35"/>
      <c r="J30" s="37"/>
      <c r="K30" s="35">
        <f t="shared" si="0"/>
        <v>0</v>
      </c>
      <c r="L30" s="40"/>
      <c r="M30" s="1" t="s">
        <v>67</v>
      </c>
      <c r="N30" s="1">
        <v>15790</v>
      </c>
      <c r="O30" s="1">
        <v>4000</v>
      </c>
      <c r="P30" s="8">
        <f t="shared" si="2"/>
        <v>63.16</v>
      </c>
      <c r="S30" s="8">
        <f t="shared" si="3"/>
        <v>66.317999999999998</v>
      </c>
    </row>
    <row r="31" spans="1:19" x14ac:dyDescent="0.2">
      <c r="A31" s="28">
        <v>27</v>
      </c>
      <c r="B31" s="12" t="s">
        <v>116</v>
      </c>
      <c r="C31" s="25"/>
      <c r="D31" s="25"/>
      <c r="E31" s="25"/>
      <c r="F31" s="25"/>
      <c r="G31" s="25">
        <f t="shared" si="1"/>
        <v>0</v>
      </c>
      <c r="H31" s="39"/>
      <c r="I31" s="35"/>
      <c r="J31" s="37"/>
      <c r="K31" s="35">
        <f t="shared" si="0"/>
        <v>0</v>
      </c>
      <c r="L31" s="40"/>
      <c r="M31" s="1" t="s">
        <v>68</v>
      </c>
      <c r="N31" s="1">
        <f>3240+40</f>
        <v>3280</v>
      </c>
      <c r="O31" s="1">
        <v>4000</v>
      </c>
      <c r="P31" s="8">
        <f t="shared" si="2"/>
        <v>13.12</v>
      </c>
      <c r="S31" s="8">
        <f t="shared" si="3"/>
        <v>13.776</v>
      </c>
    </row>
    <row r="32" spans="1:19" x14ac:dyDescent="0.2">
      <c r="A32" s="28">
        <v>28</v>
      </c>
      <c r="B32" s="12" t="s">
        <v>117</v>
      </c>
      <c r="C32" s="25"/>
      <c r="D32" s="25"/>
      <c r="E32" s="25"/>
      <c r="F32" s="25"/>
      <c r="G32" s="25">
        <f t="shared" si="1"/>
        <v>0</v>
      </c>
      <c r="H32" s="39"/>
      <c r="I32" s="35"/>
      <c r="J32" s="37"/>
      <c r="K32" s="35">
        <f t="shared" si="0"/>
        <v>0</v>
      </c>
      <c r="L32" s="40"/>
      <c r="M32" s="1" t="s">
        <v>68</v>
      </c>
      <c r="N32" s="1">
        <v>3200</v>
      </c>
      <c r="O32" s="1">
        <v>4000</v>
      </c>
      <c r="P32" s="8">
        <f t="shared" si="2"/>
        <v>12.8</v>
      </c>
      <c r="S32" s="8">
        <f t="shared" si="3"/>
        <v>13.440000000000001</v>
      </c>
    </row>
    <row r="33" spans="1:19" x14ac:dyDescent="0.2">
      <c r="A33" s="28">
        <v>29</v>
      </c>
      <c r="B33" s="12" t="s">
        <v>118</v>
      </c>
      <c r="C33" s="25"/>
      <c r="D33" s="25"/>
      <c r="E33" s="25"/>
      <c r="F33" s="25"/>
      <c r="G33" s="25">
        <f t="shared" si="1"/>
        <v>0</v>
      </c>
      <c r="H33" s="39"/>
      <c r="I33" s="35"/>
      <c r="J33" s="37"/>
      <c r="K33" s="35">
        <f t="shared" si="0"/>
        <v>0</v>
      </c>
      <c r="L33" s="40"/>
      <c r="N33" s="1">
        <v>6124</v>
      </c>
      <c r="O33" s="1">
        <v>4000</v>
      </c>
      <c r="P33" s="8">
        <f t="shared" si="2"/>
        <v>24.5</v>
      </c>
      <c r="S33" s="8">
        <f t="shared" si="3"/>
        <v>25.725000000000001</v>
      </c>
    </row>
    <row r="34" spans="1:19" x14ac:dyDescent="0.2">
      <c r="A34" s="28">
        <v>30</v>
      </c>
      <c r="B34" s="12" t="s">
        <v>119</v>
      </c>
      <c r="C34" s="25"/>
      <c r="D34" s="25"/>
      <c r="E34" s="25"/>
      <c r="F34" s="25"/>
      <c r="G34" s="25">
        <f t="shared" si="1"/>
        <v>0</v>
      </c>
      <c r="H34" s="39"/>
      <c r="I34" s="35"/>
      <c r="J34" s="37"/>
      <c r="K34" s="35">
        <f t="shared" si="0"/>
        <v>0</v>
      </c>
      <c r="L34" s="40"/>
      <c r="M34" s="1" t="s">
        <v>67</v>
      </c>
      <c r="N34" s="1">
        <v>11020</v>
      </c>
      <c r="O34" s="1">
        <v>4000</v>
      </c>
      <c r="P34" s="8">
        <f t="shared" si="2"/>
        <v>44.08</v>
      </c>
      <c r="S34" s="8">
        <f t="shared" si="3"/>
        <v>46.283999999999999</v>
      </c>
    </row>
    <row r="35" spans="1:19" x14ac:dyDescent="0.2">
      <c r="A35" s="28">
        <v>31</v>
      </c>
      <c r="B35" s="12" t="s">
        <v>120</v>
      </c>
      <c r="C35" s="25"/>
      <c r="D35" s="25"/>
      <c r="E35" s="25"/>
      <c r="F35" s="25"/>
      <c r="G35" s="25">
        <f t="shared" si="1"/>
        <v>0</v>
      </c>
      <c r="H35" s="39"/>
      <c r="I35" s="35"/>
      <c r="J35" s="37"/>
      <c r="K35" s="35">
        <f t="shared" si="0"/>
        <v>0</v>
      </c>
      <c r="L35" s="40"/>
      <c r="M35" s="1" t="s">
        <v>67</v>
      </c>
      <c r="N35" s="1">
        <v>8260</v>
      </c>
      <c r="O35" s="1">
        <v>4000</v>
      </c>
      <c r="P35" s="8">
        <f t="shared" si="2"/>
        <v>33.04</v>
      </c>
      <c r="S35" s="8">
        <f t="shared" si="3"/>
        <v>34.692</v>
      </c>
    </row>
    <row r="36" spans="1:19" x14ac:dyDescent="0.2">
      <c r="A36" s="28">
        <v>32</v>
      </c>
      <c r="B36" s="12" t="s">
        <v>121</v>
      </c>
      <c r="C36" s="25"/>
      <c r="D36" s="25"/>
      <c r="E36" s="25"/>
      <c r="F36" s="25"/>
      <c r="G36" s="25">
        <f t="shared" si="1"/>
        <v>0</v>
      </c>
      <c r="H36" s="39"/>
      <c r="I36" s="35"/>
      <c r="J36" s="37"/>
      <c r="K36" s="35">
        <f t="shared" si="0"/>
        <v>0</v>
      </c>
      <c r="L36" s="40"/>
      <c r="N36" s="1">
        <v>7681</v>
      </c>
      <c r="O36" s="1">
        <v>4000</v>
      </c>
      <c r="P36" s="8">
        <f t="shared" si="2"/>
        <v>30.72</v>
      </c>
      <c r="S36" s="8">
        <f t="shared" si="3"/>
        <v>32.256</v>
      </c>
    </row>
    <row r="37" spans="1:19" x14ac:dyDescent="0.2">
      <c r="A37" s="28">
        <v>33</v>
      </c>
      <c r="B37" s="12" t="s">
        <v>122</v>
      </c>
      <c r="C37" s="25"/>
      <c r="D37" s="25"/>
      <c r="E37" s="25"/>
      <c r="F37" s="25"/>
      <c r="G37" s="25">
        <f t="shared" si="1"/>
        <v>0</v>
      </c>
      <c r="H37" s="39"/>
      <c r="I37" s="35"/>
      <c r="J37" s="37"/>
      <c r="K37" s="35">
        <f t="shared" si="0"/>
        <v>0</v>
      </c>
      <c r="L37" s="40"/>
      <c r="N37" s="1">
        <v>13680</v>
      </c>
      <c r="O37" s="1">
        <v>4000</v>
      </c>
      <c r="P37" s="8">
        <f t="shared" si="2"/>
        <v>54.72</v>
      </c>
      <c r="S37" s="8">
        <f t="shared" si="3"/>
        <v>57.455999999999996</v>
      </c>
    </row>
    <row r="38" spans="1:19" x14ac:dyDescent="0.2">
      <c r="A38" s="28">
        <v>34</v>
      </c>
      <c r="B38" s="12" t="s">
        <v>123</v>
      </c>
      <c r="C38" s="25"/>
      <c r="D38" s="25"/>
      <c r="E38" s="25"/>
      <c r="F38" s="25"/>
      <c r="G38" s="25">
        <f t="shared" si="1"/>
        <v>0</v>
      </c>
      <c r="H38" s="39"/>
      <c r="I38" s="35"/>
      <c r="J38" s="37"/>
      <c r="K38" s="35">
        <f t="shared" si="0"/>
        <v>0</v>
      </c>
      <c r="L38" s="40"/>
      <c r="M38" s="1" t="s">
        <v>67</v>
      </c>
      <c r="N38" s="1">
        <v>3900</v>
      </c>
      <c r="O38" s="1">
        <v>4000</v>
      </c>
      <c r="P38" s="8">
        <f t="shared" si="2"/>
        <v>15.6</v>
      </c>
      <c r="S38" s="8">
        <f t="shared" si="3"/>
        <v>16.38</v>
      </c>
    </row>
    <row r="39" spans="1:19" x14ac:dyDescent="0.2">
      <c r="A39" s="28">
        <v>35</v>
      </c>
      <c r="B39" s="12" t="s">
        <v>124</v>
      </c>
      <c r="C39" s="25"/>
      <c r="D39" s="25"/>
      <c r="E39" s="25"/>
      <c r="F39" s="25"/>
      <c r="G39" s="25">
        <f t="shared" si="1"/>
        <v>0</v>
      </c>
      <c r="H39" s="39"/>
      <c r="I39" s="35"/>
      <c r="J39" s="37"/>
      <c r="K39" s="35">
        <f t="shared" si="0"/>
        <v>0</v>
      </c>
      <c r="L39" s="40"/>
      <c r="M39" s="1" t="s">
        <v>67</v>
      </c>
      <c r="N39" s="1">
        <v>10748</v>
      </c>
      <c r="O39" s="1">
        <v>4000</v>
      </c>
      <c r="P39" s="8">
        <f t="shared" si="2"/>
        <v>42.99</v>
      </c>
      <c r="S39" s="8">
        <f t="shared" si="3"/>
        <v>45.139500000000005</v>
      </c>
    </row>
    <row r="40" spans="1:19" x14ac:dyDescent="0.2">
      <c r="A40" s="28">
        <v>36</v>
      </c>
      <c r="B40" s="12" t="s">
        <v>125</v>
      </c>
      <c r="C40" s="25"/>
      <c r="D40" s="25"/>
      <c r="E40" s="25"/>
      <c r="F40" s="25"/>
      <c r="G40" s="25">
        <f t="shared" si="1"/>
        <v>0</v>
      </c>
      <c r="H40" s="39"/>
      <c r="I40" s="35"/>
      <c r="J40" s="37"/>
      <c r="K40" s="35">
        <f t="shared" si="0"/>
        <v>0</v>
      </c>
      <c r="L40" s="40"/>
      <c r="N40" s="1">
        <f>7500+1800</f>
        <v>9300</v>
      </c>
      <c r="O40" s="1">
        <v>4000</v>
      </c>
      <c r="P40" s="8">
        <f t="shared" si="2"/>
        <v>37.200000000000003</v>
      </c>
      <c r="R40" s="1">
        <v>5.4</v>
      </c>
      <c r="S40" s="8">
        <f t="shared" si="3"/>
        <v>33.390000000000008</v>
      </c>
    </row>
    <row r="41" spans="1:19" x14ac:dyDescent="0.2">
      <c r="A41" s="28">
        <v>37</v>
      </c>
      <c r="B41" s="12" t="s">
        <v>126</v>
      </c>
      <c r="C41" s="25"/>
      <c r="D41" s="25"/>
      <c r="E41" s="25"/>
      <c r="F41" s="25"/>
      <c r="G41" s="25">
        <f>SUM(C41:F41)</f>
        <v>0</v>
      </c>
      <c r="H41" s="39"/>
      <c r="I41" s="35"/>
      <c r="J41" s="37"/>
      <c r="K41" s="35">
        <f t="shared" si="0"/>
        <v>0</v>
      </c>
      <c r="L41" s="40"/>
      <c r="M41" s="1" t="s">
        <v>67</v>
      </c>
      <c r="N41" s="1">
        <v>5710</v>
      </c>
      <c r="O41" s="1">
        <v>4000</v>
      </c>
      <c r="P41" s="8">
        <f t="shared" si="2"/>
        <v>22.84</v>
      </c>
      <c r="S41" s="8">
        <f t="shared" si="3"/>
        <v>23.981999999999999</v>
      </c>
    </row>
    <row r="42" spans="1:19" x14ac:dyDescent="0.2">
      <c r="A42" s="28">
        <v>38</v>
      </c>
      <c r="B42" s="12" t="s">
        <v>127</v>
      </c>
      <c r="C42" s="25"/>
      <c r="D42" s="25"/>
      <c r="E42" s="25"/>
      <c r="F42" s="25"/>
      <c r="G42" s="25">
        <f t="shared" si="1"/>
        <v>0</v>
      </c>
      <c r="H42" s="39"/>
      <c r="I42" s="35"/>
      <c r="J42" s="37"/>
      <c r="K42" s="35">
        <f t="shared" si="0"/>
        <v>0</v>
      </c>
      <c r="L42" s="40"/>
      <c r="M42" s="1" t="s">
        <v>67</v>
      </c>
      <c r="N42" s="1">
        <v>11750</v>
      </c>
      <c r="O42" s="1">
        <v>4000</v>
      </c>
      <c r="P42" s="8">
        <f t="shared" si="2"/>
        <v>47</v>
      </c>
      <c r="R42" s="1">
        <v>5.4</v>
      </c>
      <c r="S42" s="8">
        <f t="shared" si="3"/>
        <v>43.68</v>
      </c>
    </row>
    <row r="43" spans="1:19" x14ac:dyDescent="0.2">
      <c r="A43" s="28">
        <v>39</v>
      </c>
      <c r="B43" s="12" t="s">
        <v>128</v>
      </c>
      <c r="C43" s="25"/>
      <c r="D43" s="25"/>
      <c r="E43" s="25"/>
      <c r="F43" s="25"/>
      <c r="G43" s="25">
        <f t="shared" si="1"/>
        <v>0</v>
      </c>
      <c r="H43" s="39"/>
      <c r="I43" s="35"/>
      <c r="J43" s="37"/>
      <c r="K43" s="35">
        <f t="shared" si="0"/>
        <v>0</v>
      </c>
      <c r="L43" s="40"/>
      <c r="N43" s="1">
        <v>26520</v>
      </c>
      <c r="O43" s="1">
        <v>4000</v>
      </c>
      <c r="P43" s="8">
        <f t="shared" si="2"/>
        <v>106.08</v>
      </c>
      <c r="R43" s="1">
        <v>5.4</v>
      </c>
      <c r="S43" s="8">
        <f t="shared" si="3"/>
        <v>105.714</v>
      </c>
    </row>
    <row r="44" spans="1:19" x14ac:dyDescent="0.2">
      <c r="A44" s="28">
        <v>40</v>
      </c>
      <c r="B44" s="12" t="s">
        <v>129</v>
      </c>
      <c r="C44" s="25"/>
      <c r="D44" s="25"/>
      <c r="E44" s="25"/>
      <c r="F44" s="25"/>
      <c r="G44" s="25">
        <f t="shared" si="1"/>
        <v>0</v>
      </c>
      <c r="H44" s="39"/>
      <c r="I44" s="35"/>
      <c r="J44" s="37"/>
      <c r="K44" s="35">
        <f t="shared" si="0"/>
        <v>0</v>
      </c>
      <c r="L44" s="40"/>
      <c r="N44" s="1">
        <v>10000</v>
      </c>
      <c r="O44" s="1">
        <v>4000</v>
      </c>
      <c r="P44" s="8">
        <f t="shared" si="2"/>
        <v>40</v>
      </c>
      <c r="S44" s="8">
        <f t="shared" si="3"/>
        <v>42</v>
      </c>
    </row>
    <row r="45" spans="1:19" x14ac:dyDescent="0.2">
      <c r="A45" s="28"/>
      <c r="B45" s="28" t="s">
        <v>19</v>
      </c>
      <c r="C45" s="25">
        <f>SUM(C5:C44)</f>
        <v>0</v>
      </c>
      <c r="D45" s="25">
        <f t="shared" ref="D45:F45" si="4">SUM(D5:D44)</f>
        <v>0</v>
      </c>
      <c r="E45" s="25">
        <f t="shared" si="4"/>
        <v>0</v>
      </c>
      <c r="F45" s="25">
        <f t="shared" si="4"/>
        <v>0</v>
      </c>
      <c r="G45" s="25">
        <f>SUM(G5:G44)</f>
        <v>0</v>
      </c>
      <c r="H45" s="39"/>
      <c r="I45" s="35"/>
      <c r="J45" s="37"/>
      <c r="K45" s="35"/>
      <c r="L45" s="40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ВОР 2 э. шт.</vt:lpstr>
      <vt:lpstr>Спец 2 э. шт.</vt:lpstr>
      <vt:lpstr>Спец 3 э. шт.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2025-10-17T11:56:57Z</dcterms:modified>
</cp:coreProperties>
</file>