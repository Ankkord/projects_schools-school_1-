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ux\Documents\schools\school_lublino\ceilling\"/>
    </mc:Choice>
  </mc:AlternateContent>
  <bookViews>
    <workbookView xWindow="0" yWindow="0" windowWidth="5532" windowHeight="3396" tabRatio="790" firstSheet="6" activeTab="7"/>
  </bookViews>
  <sheets>
    <sheet name="ВОР 2 э. шт." sheetId="8" state="hidden" r:id="rId1"/>
    <sheet name="Спец 2 э. шт." sheetId="7" state="hidden" r:id="rId2"/>
    <sheet name="Спец 2 эт. шлиф." sheetId="9" state="hidden" r:id="rId3"/>
    <sheet name="1этВор" sheetId="10" state="hidden" r:id="rId4"/>
    <sheet name="1эт спец" sheetId="11" state="hidden" r:id="rId5"/>
    <sheet name="Вор2Вып" sheetId="12" state="hidden" r:id="rId6"/>
    <sheet name="9.3П8" sheetId="24" r:id="rId7"/>
    <sheet name="7.2КрсИнж" sheetId="25" r:id="rId8"/>
    <sheet name="7.1КрсИнж" sheetId="23" r:id="rId9"/>
    <sheet name="6.5П7,10 (2)" sheetId="22" r:id="rId10"/>
    <sheet name="6.4П8" sheetId="21" r:id="rId11"/>
    <sheet name="6.3П8" sheetId="20" r:id="rId12"/>
    <sheet name="6.2П7,10" sheetId="19" r:id="rId13"/>
    <sheet name="6.1П9" sheetId="18" r:id="rId14"/>
    <sheet name="Общий" sheetId="13" r:id="rId15"/>
    <sheet name="4.СКБвор" sheetId="15" state="hidden" r:id="rId16"/>
    <sheet name="4.СКБспец" sheetId="14" state="hidden" r:id="rId17"/>
    <sheet name="5.Кр-Пт" sheetId="17" r:id="rId18"/>
    <sheet name="ПокрПом" sheetId="16" r:id="rId19"/>
  </sheets>
  <calcPr calcId="152511"/>
</workbook>
</file>

<file path=xl/calcChain.xml><?xml version="1.0" encoding="utf-8"?>
<calcChain xmlns="http://schemas.openxmlformats.org/spreadsheetml/2006/main">
  <c r="I124" i="13" l="1"/>
  <c r="J123" i="13"/>
  <c r="K123" i="13" s="1"/>
  <c r="K122" i="13"/>
  <c r="J122" i="13"/>
  <c r="J121" i="13"/>
  <c r="K121" i="13" s="1"/>
  <c r="J120" i="13"/>
  <c r="K120" i="13" s="1"/>
  <c r="J119" i="13"/>
  <c r="K119" i="13" s="1"/>
  <c r="J118" i="13"/>
  <c r="K118" i="13" s="1"/>
  <c r="J117" i="13"/>
  <c r="K117" i="13" s="1"/>
  <c r="J116" i="13"/>
  <c r="J124" i="13" s="1"/>
  <c r="H3" i="23"/>
  <c r="C6" i="23"/>
  <c r="C12" i="23" s="1"/>
  <c r="C7" i="23"/>
  <c r="C8" i="23"/>
  <c r="C9" i="23"/>
  <c r="C10" i="23"/>
  <c r="C11" i="23"/>
  <c r="K116" i="13" l="1"/>
  <c r="K124" i="13" s="1"/>
  <c r="N113" i="13" s="1"/>
  <c r="C14" i="25"/>
  <c r="H3" i="25" s="1"/>
  <c r="C19" i="24"/>
  <c r="K16" i="24"/>
  <c r="G15" i="24"/>
  <c r="C13" i="24"/>
  <c r="K3" i="24" l="1"/>
  <c r="C7" i="22" l="1"/>
  <c r="K3" i="22" s="1"/>
  <c r="C9" i="21" l="1"/>
  <c r="K3" i="21" s="1"/>
  <c r="K3" i="19" l="1"/>
  <c r="K16" i="20" l="1"/>
  <c r="G15" i="20"/>
  <c r="C13" i="20"/>
  <c r="K3" i="20" s="1"/>
  <c r="C9" i="19"/>
  <c r="G21" i="18"/>
  <c r="K10" i="18"/>
  <c r="C10" i="18"/>
  <c r="K3" i="18" s="1"/>
  <c r="E97" i="16" l="1"/>
  <c r="E92" i="16"/>
  <c r="E78" i="16"/>
  <c r="E82" i="16" s="1"/>
  <c r="F15" i="17" s="1"/>
  <c r="K27" i="13"/>
  <c r="F12" i="17"/>
  <c r="F14" i="17" s="1"/>
  <c r="E65" i="16"/>
  <c r="E58" i="16"/>
  <c r="E50" i="16"/>
  <c r="E38" i="16"/>
  <c r="E39" i="16" s="1"/>
  <c r="F6" i="17" s="1"/>
  <c r="E27" i="16"/>
  <c r="E20" i="16"/>
  <c r="E7" i="16"/>
  <c r="F17" i="17" l="1"/>
  <c r="F16" i="17"/>
  <c r="F13" i="17"/>
  <c r="E66" i="16"/>
  <c r="F9" i="17" s="1"/>
  <c r="F10" i="17" s="1"/>
  <c r="E98" i="16"/>
  <c r="F18" i="17" s="1"/>
  <c r="F7" i="17"/>
  <c r="F8" i="17"/>
  <c r="E28" i="16"/>
  <c r="F3" i="17" s="1"/>
  <c r="F4" i="17" s="1"/>
  <c r="F11" i="17" l="1"/>
  <c r="F20" i="17"/>
  <c r="F19" i="17"/>
  <c r="F5" i="17"/>
  <c r="E3" i="15" l="1"/>
  <c r="E5" i="15" l="1"/>
  <c r="E9" i="14"/>
  <c r="E4" i="15" l="1"/>
  <c r="G106" i="13"/>
  <c r="L8" i="13" l="1"/>
  <c r="L9" i="13"/>
  <c r="L10" i="13"/>
  <c r="L11" i="13"/>
  <c r="L12" i="13"/>
  <c r="L13" i="13"/>
  <c r="L14" i="13"/>
  <c r="L15" i="13"/>
  <c r="L16" i="13"/>
  <c r="L17" i="13"/>
  <c r="L18" i="13"/>
  <c r="L19" i="13"/>
  <c r="L7" i="13"/>
  <c r="E15" i="10" l="1"/>
  <c r="E19" i="10"/>
  <c r="E18" i="10"/>
  <c r="E3" i="10"/>
  <c r="D26" i="11"/>
  <c r="D24" i="11"/>
  <c r="D22" i="11"/>
  <c r="D20" i="11"/>
  <c r="D18" i="11"/>
  <c r="D16" i="11"/>
  <c r="D14" i="11"/>
  <c r="D12" i="11"/>
  <c r="D10" i="11"/>
  <c r="D7" i="11"/>
  <c r="D5" i="11"/>
  <c r="E11" i="10"/>
  <c r="E10" i="10"/>
  <c r="E6" i="10"/>
  <c r="E5" i="10"/>
  <c r="C48" i="9" l="1"/>
  <c r="F6" i="7" l="1"/>
  <c r="C35" i="7" l="1"/>
  <c r="D35" i="7"/>
  <c r="F28" i="7"/>
  <c r="F26" i="7"/>
  <c r="F27" i="7"/>
  <c r="F30" i="7"/>
  <c r="F31" i="7"/>
  <c r="F32" i="7"/>
  <c r="F34" i="7"/>
  <c r="E35" i="7"/>
  <c r="E9" i="8" s="1"/>
  <c r="F14" i="7"/>
  <c r="F16" i="7"/>
  <c r="F24" i="7"/>
  <c r="F11" i="7"/>
  <c r="F13" i="7"/>
  <c r="F19" i="7"/>
  <c r="F20" i="7"/>
  <c r="F21" i="7"/>
  <c r="F7" i="7"/>
  <c r="F8" i="7"/>
  <c r="F9" i="7"/>
  <c r="F15" i="7"/>
  <c r="F17" i="7"/>
  <c r="F22" i="7"/>
  <c r="F23" i="7"/>
  <c r="F25" i="7"/>
  <c r="F29" i="7" l="1"/>
  <c r="F33" i="7"/>
  <c r="F5" i="7"/>
  <c r="E12" i="8"/>
  <c r="E10" i="8"/>
  <c r="E11" i="8"/>
  <c r="F18" i="7"/>
  <c r="F10" i="7"/>
  <c r="F12" i="7"/>
  <c r="F35" i="7" l="1"/>
  <c r="E3" i="8" l="1"/>
  <c r="E6" i="8"/>
  <c r="E7" i="8" l="1"/>
  <c r="E8" i="8"/>
  <c r="E4" i="8"/>
  <c r="E5" i="8" l="1"/>
</calcChain>
</file>

<file path=xl/sharedStrings.xml><?xml version="1.0" encoding="utf-8"?>
<sst xmlns="http://schemas.openxmlformats.org/spreadsheetml/2006/main" count="700" uniqueCount="196">
  <si>
    <t>№ п.п.</t>
  </si>
  <si>
    <t>Наименование</t>
  </si>
  <si>
    <t>Итог</t>
  </si>
  <si>
    <t>Объем, м²</t>
  </si>
  <si>
    <t>Помещения:</t>
  </si>
  <si>
    <t>1.2</t>
  </si>
  <si>
    <t>Объем</t>
  </si>
  <si>
    <t>кг</t>
  </si>
  <si>
    <t>1</t>
  </si>
  <si>
    <t>2</t>
  </si>
  <si>
    <t>2.1</t>
  </si>
  <si>
    <t>2.2</t>
  </si>
  <si>
    <t>Ед. изм.</t>
  </si>
  <si>
    <t>Коэф. расхода</t>
  </si>
  <si>
    <t>Грунтовка универсальный ЛАСТИМИН_ / LP-51 А</t>
  </si>
  <si>
    <t>сумма:</t>
  </si>
  <si>
    <t>2.004</t>
  </si>
  <si>
    <t>2.005</t>
  </si>
  <si>
    <t>2.012</t>
  </si>
  <si>
    <t>2.014</t>
  </si>
  <si>
    <t>2.015</t>
  </si>
  <si>
    <t>ТИП</t>
  </si>
  <si>
    <t>2.016</t>
  </si>
  <si>
    <t>2.017</t>
  </si>
  <si>
    <t>2.080</t>
  </si>
  <si>
    <t>2.089</t>
  </si>
  <si>
    <t>2.090</t>
  </si>
  <si>
    <t>2.091</t>
  </si>
  <si>
    <t>2.095</t>
  </si>
  <si>
    <t>2.096</t>
  </si>
  <si>
    <t>2.100</t>
  </si>
  <si>
    <t>2.101</t>
  </si>
  <si>
    <t>2.075</t>
  </si>
  <si>
    <t>2.104</t>
  </si>
  <si>
    <t>2.105</t>
  </si>
  <si>
    <t>2.107</t>
  </si>
  <si>
    <t>2.108</t>
  </si>
  <si>
    <t>1.3</t>
  </si>
  <si>
    <t>3</t>
  </si>
  <si>
    <t>3.1</t>
  </si>
  <si>
    <t>3.2</t>
  </si>
  <si>
    <t>3.3</t>
  </si>
  <si>
    <t>м2</t>
  </si>
  <si>
    <t>2.082</t>
  </si>
  <si>
    <t>П-6</t>
  </si>
  <si>
    <t>П-9</t>
  </si>
  <si>
    <t>П-15</t>
  </si>
  <si>
    <t>Шпатлевка гипсовая_ / белая / Унифицированная по ПИК-СТАНДАРТ, 30кг</t>
  </si>
  <si>
    <t>Шпатлевка гипсовая</t>
  </si>
  <si>
    <t>Грунтовка БЕТОН-КОНТАКТ</t>
  </si>
  <si>
    <t>Подготовка поверхности СКБ / потолка / ЖБ / 5 мм 
тип П-6</t>
  </si>
  <si>
    <t>Подготовка поверхности СКБ / потолка / ЖБ / 5 мм 
тип П-9</t>
  </si>
  <si>
    <t>Уголок малярный_/перфорированный/25*25*3000мм</t>
  </si>
  <si>
    <t>шт</t>
  </si>
  <si>
    <t>3.005</t>
  </si>
  <si>
    <t>3.019</t>
  </si>
  <si>
    <t>3.020</t>
  </si>
  <si>
    <t>3.014</t>
  </si>
  <si>
    <t>3.015</t>
  </si>
  <si>
    <t>3.016</t>
  </si>
  <si>
    <t>3.017</t>
  </si>
  <si>
    <t>3.018</t>
  </si>
  <si>
    <t>3.006</t>
  </si>
  <si>
    <t>Подготовка поверхности СКБ / стен / ГКЛ, ПГП / 2мм 
тип П-15</t>
  </si>
  <si>
    <t>Спецификация выполненных работ (2, 3 этаж)</t>
  </si>
  <si>
    <t>Ведомость работ и используемых материалов (2, 3 этаж)</t>
  </si>
  <si>
    <t>Шпаклевка потолка</t>
  </si>
  <si>
    <t>Шлифовка поверхностей потолка.</t>
  </si>
  <si>
    <t>Спецификация выполненных работ (2 этаж)</t>
  </si>
  <si>
    <t>2.001</t>
  </si>
  <si>
    <t>2.002</t>
  </si>
  <si>
    <t>2.003</t>
  </si>
  <si>
    <t>2.006</t>
  </si>
  <si>
    <t>2.007</t>
  </si>
  <si>
    <t>2.008</t>
  </si>
  <si>
    <t>2.009</t>
  </si>
  <si>
    <t>2.010</t>
  </si>
  <si>
    <t>2.011</t>
  </si>
  <si>
    <t>2.013</t>
  </si>
  <si>
    <t>2.083</t>
  </si>
  <si>
    <t>2.086</t>
  </si>
  <si>
    <t>2.087</t>
  </si>
  <si>
    <t>2.088</t>
  </si>
  <si>
    <t>2.084.1</t>
  </si>
  <si>
    <t>№ помещения:</t>
  </si>
  <si>
    <t>2.094</t>
  </si>
  <si>
    <t>2.099</t>
  </si>
  <si>
    <t>2.102</t>
  </si>
  <si>
    <t>2.103</t>
  </si>
  <si>
    <t>2.106</t>
  </si>
  <si>
    <t>2.168</t>
  </si>
  <si>
    <t>2.109</t>
  </si>
  <si>
    <t>2.160</t>
  </si>
  <si>
    <t>Итог:</t>
  </si>
  <si>
    <t>Ведомость работ и используемых материалов</t>
  </si>
  <si>
    <t>Шлифование бетонных поверхностей</t>
  </si>
  <si>
    <t>м²</t>
  </si>
  <si>
    <t>Штукатурка цементным составом толщиной 21-40 мм</t>
  </si>
  <si>
    <t>Грунтовка универсальный ЛАСТИМИН / LP-51 А</t>
  </si>
  <si>
    <t>Штукатурка цементная</t>
  </si>
  <si>
    <t>2.3</t>
  </si>
  <si>
    <t>Сетка штукатурная стеклопакетная 10х10 мм</t>
  </si>
  <si>
    <t>2.4</t>
  </si>
  <si>
    <t>Профиль углозащитный оцинкованный 31х31 мм 0,5 мм</t>
  </si>
  <si>
    <t xml:space="preserve"> п.м</t>
  </si>
  <si>
    <t>Подготовка поверхности потолка СКБ</t>
  </si>
  <si>
    <t>Шпатлевка гипсовая белая</t>
  </si>
  <si>
    <t>Грунт универсальный ЛАСТИМИН</t>
  </si>
  <si>
    <t>Спецификация выполненных работ</t>
  </si>
  <si>
    <t>1.045, 1.046</t>
  </si>
  <si>
    <t>1.053, 1.054</t>
  </si>
  <si>
    <t>1.039</t>
  </si>
  <si>
    <t>1.038</t>
  </si>
  <si>
    <t>1.037</t>
  </si>
  <si>
    <t>1.036</t>
  </si>
  <si>
    <t>1.035</t>
  </si>
  <si>
    <t>1.034</t>
  </si>
  <si>
    <t>1.026</t>
  </si>
  <si>
    <t>60.41 п.м.</t>
  </si>
  <si>
    <t>51.28 п.м.</t>
  </si>
  <si>
    <t>П-9.1</t>
  </si>
  <si>
    <t>П-5</t>
  </si>
  <si>
    <t>П-6, П-12</t>
  </si>
  <si>
    <t>Блок</t>
  </si>
  <si>
    <t>№ пом.</t>
  </si>
  <si>
    <t>Типы</t>
  </si>
  <si>
    <t>Объем. м²</t>
  </si>
  <si>
    <t>.</t>
  </si>
  <si>
    <t>3.015; 3.016; 3.017; 3.018</t>
  </si>
  <si>
    <t>3.077.2</t>
  </si>
  <si>
    <t>сумма</t>
  </si>
  <si>
    <t>Подготовка поверхности СКБ / потолка / ЖБ / 5 мм
тип П-6, П-13, П-14, П-16</t>
  </si>
  <si>
    <t xml:space="preserve">Ведомость работ и используемых материалов </t>
  </si>
  <si>
    <t>Лакокрасочные работы СКБ / окраска потолков / в 2 слоя</t>
  </si>
  <si>
    <t xml:space="preserve"> Огнестойкая краска КМ-0, Краска НГ</t>
  </si>
  <si>
    <t>Сумма:</t>
  </si>
  <si>
    <t>тип П-13, П-16</t>
  </si>
  <si>
    <t>тип П-6</t>
  </si>
  <si>
    <t>тип П-14</t>
  </si>
  <si>
    <t>П-7, П-10</t>
  </si>
  <si>
    <t>Тип П-12, П-15</t>
  </si>
  <si>
    <t>Тип</t>
  </si>
  <si>
    <t>Тип-9</t>
  </si>
  <si>
    <t>Матовая огнестойкая краска для высококачественной отделки стен и потолков, RAL 9003 (белый) КМ0/НГ</t>
  </si>
  <si>
    <t>матовая огнестойкая краска, Краска НГ RAL 7016 КМ0/НГ</t>
  </si>
  <si>
    <t>матовая водно-дисперсионная краска RAL 7044 (серый шелк) КМ1/Г1</t>
  </si>
  <si>
    <t>матовая огнестойкая краска RAL 9003 (белый) КМ0/НГ</t>
  </si>
  <si>
    <t>ANTEGA СТРОИТЕЛЬ RAL 9003 (белый) КМ0/НГ</t>
  </si>
  <si>
    <t>Описание</t>
  </si>
  <si>
    <t>Монтаж подвесного потолка / типа Грильято</t>
  </si>
  <si>
    <t>Тип П-9</t>
  </si>
  <si>
    <t>Пом.:</t>
  </si>
  <si>
    <t>1.014</t>
  </si>
  <si>
    <t>1.015</t>
  </si>
  <si>
    <t>1.016</t>
  </si>
  <si>
    <t>1.017</t>
  </si>
  <si>
    <t>Монтаж подвесного потолка / из ГКЛ в 1 слой с применением профиля ПП</t>
  </si>
  <si>
    <t>1.040</t>
  </si>
  <si>
    <t>1.043</t>
  </si>
  <si>
    <t>1.044</t>
  </si>
  <si>
    <t>Не забудьте взять позицуию Надбавку. Она в кп чуть ниже</t>
  </si>
  <si>
    <t>Тип П-10</t>
  </si>
  <si>
    <t>Монтаж подвесного потолка / из акустических древесных плит</t>
  </si>
  <si>
    <t>Тип П-8</t>
  </si>
  <si>
    <t>1.027</t>
  </si>
  <si>
    <t>1.028</t>
  </si>
  <si>
    <t>1.029</t>
  </si>
  <si>
    <t>1.030</t>
  </si>
  <si>
    <t>1.031</t>
  </si>
  <si>
    <t>1.032</t>
  </si>
  <si>
    <t>1.033</t>
  </si>
  <si>
    <t>3.001</t>
  </si>
  <si>
    <t>3.002</t>
  </si>
  <si>
    <t>3.003</t>
  </si>
  <si>
    <t>3.004</t>
  </si>
  <si>
    <t>3.008</t>
  </si>
  <si>
    <t>3.009</t>
  </si>
  <si>
    <t>3.010</t>
  </si>
  <si>
    <t>3.011</t>
  </si>
  <si>
    <t>3.012</t>
  </si>
  <si>
    <t>3.013</t>
  </si>
  <si>
    <t>1.049</t>
  </si>
  <si>
    <t>1.050</t>
  </si>
  <si>
    <t>1.051</t>
  </si>
  <si>
    <t>2.085</t>
  </si>
  <si>
    <t>Тип П-7</t>
  </si>
  <si>
    <t>Лакокрасочные работы
СКБ / окраска потолков /</t>
  </si>
  <si>
    <t>Инж. Ком
Объем, м²</t>
  </si>
  <si>
    <t>Итог
Объем, м²</t>
  </si>
  <si>
    <t>1.045</t>
  </si>
  <si>
    <t>1.046</t>
  </si>
  <si>
    <t>Окраска потолка/
окраска инженерных
коммуникации /</t>
  </si>
  <si>
    <t>1.053</t>
  </si>
  <si>
    <t>Потолок
Объем, м²</t>
  </si>
  <si>
    <t xml:space="preserve">окраска инженерных
коммуникации </t>
  </si>
  <si>
    <t>окраска инженерных
коммуникации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</si>
</sst>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</font>
    <font>
      <sz val="11"/>
      <name val="Calibri"/>
      <family val="2"/>
      <charset val="204"/>
      <scheme val="minor"/>
    </font>
    <font>
      <b/>
      <sz val="11"/>
      <color theme="1"/>
      <name val="ГОСТ тип А"/>
      <family val="2"/>
      <charset val="204"/>
    </font>
    <font>
      <sz val="11"/>
      <color theme="1"/>
      <name val="ГОСТ тип А"/>
      <family val="2"/>
      <charset val="204"/>
    </font>
    <font>
      <sz val="11"/>
      <name val="ГОСТ тип А"/>
      <family val="2"/>
      <charset val="204"/>
    </font>
    <font>
      <sz val="11"/>
      <color theme="4" tint="-0.24997711111789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ГОСТ тип А"/>
      <family val="2"/>
      <charset val="204"/>
    </font>
    <font>
      <sz val="12"/>
      <color rgb="FF000000"/>
      <name val="ГОСТ тип А"/>
      <family val="2"/>
      <charset val="204"/>
    </font>
    <font>
      <sz val="12"/>
      <name val="ГОСТ тип А"/>
      <family val="2"/>
      <charset val="204"/>
    </font>
    <font>
      <b/>
      <sz val="12"/>
      <name val="ГОСТ тип А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ГОСТ тип А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243">
    <xf numFmtId="0" fontId="0" fillId="0" borderId="0" xfId="0"/>
    <xf numFmtId="0" fontId="2" fillId="0" borderId="0" xfId="0" applyFont="1"/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2" fontId="2" fillId="0" borderId="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2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right" vertical="center"/>
    </xf>
    <xf numFmtId="49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 indent="2"/>
    </xf>
    <xf numFmtId="2" fontId="2" fillId="0" borderId="10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right" vertical="center"/>
    </xf>
    <xf numFmtId="0" fontId="2" fillId="0" borderId="0" xfId="0" applyFont="1" applyBorder="1"/>
    <xf numFmtId="0" fontId="2" fillId="0" borderId="5" xfId="0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49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/>
    <xf numFmtId="49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49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/>
    <xf numFmtId="2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49" fontId="7" fillId="0" borderId="18" xfId="0" applyNumberFormat="1" applyFont="1" applyBorder="1" applyAlignment="1">
      <alignment horizontal="center" vertical="center"/>
    </xf>
    <xf numFmtId="0" fontId="6" fillId="0" borderId="19" xfId="0" applyFont="1" applyBorder="1"/>
    <xf numFmtId="2" fontId="7" fillId="0" borderId="20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6" fillId="0" borderId="3" xfId="0" applyFont="1" applyBorder="1"/>
    <xf numFmtId="0" fontId="7" fillId="0" borderId="3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2" fontId="7" fillId="0" borderId="10" xfId="0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2" fontId="7" fillId="0" borderId="26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2" fontId="7" fillId="0" borderId="6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49" fontId="8" fillId="0" borderId="3" xfId="0" applyNumberFormat="1" applyFont="1" applyBorder="1" applyAlignment="1">
      <alignment horizontal="center" wrapText="1"/>
    </xf>
    <xf numFmtId="49" fontId="8" fillId="0" borderId="10" xfId="0" applyNumberFormat="1" applyFont="1" applyBorder="1" applyAlignment="1">
      <alignment horizontal="center" wrapText="1"/>
    </xf>
    <xf numFmtId="2" fontId="7" fillId="0" borderId="19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2" fontId="2" fillId="0" borderId="29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9" fillId="0" borderId="33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64" fontId="0" fillId="2" borderId="0" xfId="0" applyNumberFormat="1" applyFill="1"/>
    <xf numFmtId="164" fontId="0" fillId="2" borderId="1" xfId="0" applyNumberFormat="1" applyFill="1" applyBorder="1"/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0" fontId="2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NumberFormat="1" applyFill="1" applyBorder="1"/>
    <xf numFmtId="0" fontId="2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164" fontId="0" fillId="5" borderId="1" xfId="0" applyNumberFormat="1" applyFill="1" applyBorder="1"/>
    <xf numFmtId="0" fontId="0" fillId="2" borderId="0" xfId="0" applyFill="1" applyBorder="1"/>
    <xf numFmtId="164" fontId="0" fillId="2" borderId="0" xfId="0" applyNumberFormat="1" applyFill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vertical="top"/>
    </xf>
    <xf numFmtId="0" fontId="0" fillId="0" borderId="0" xfId="0" applyAlignment="1">
      <alignment horizontal="center"/>
    </xf>
    <xf numFmtId="0" fontId="16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 wrapText="1"/>
    </xf>
    <xf numFmtId="165" fontId="16" fillId="0" borderId="37" xfId="0" applyNumberFormat="1" applyFont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 wrapText="1"/>
    </xf>
    <xf numFmtId="4" fontId="13" fillId="6" borderId="38" xfId="0" applyNumberFormat="1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" fontId="13" fillId="0" borderId="38" xfId="0" applyNumberFormat="1" applyFont="1" applyBorder="1" applyAlignment="1">
      <alignment horizontal="center" vertical="center"/>
    </xf>
    <xf numFmtId="2" fontId="12" fillId="0" borderId="1" xfId="2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1" fillId="0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horizontal="center" vertical="top"/>
    </xf>
    <xf numFmtId="0" fontId="12" fillId="0" borderId="1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1" xfId="2" applyFont="1" applyFill="1" applyBorder="1" applyAlignment="1">
      <alignment horizontal="center" vertical="center" wrapText="1"/>
    </xf>
    <xf numFmtId="0" fontId="12" fillId="0" borderId="1" xfId="2" applyFont="1" applyFill="1" applyBorder="1" applyAlignment="1">
      <alignment horizontal="center" vertical="top"/>
    </xf>
    <xf numFmtId="0" fontId="12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12" fillId="0" borderId="1" xfId="2" applyNumberFormat="1" applyFont="1" applyFill="1" applyBorder="1" applyAlignment="1">
      <alignment horizontal="center" vertical="center"/>
    </xf>
    <xf numFmtId="0" fontId="0" fillId="0" borderId="30" xfId="0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30" xfId="0" applyFont="1" applyBorder="1" applyAlignment="1">
      <alignment horizont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1" xfId="2" applyFont="1" applyFill="1" applyBorder="1" applyAlignment="1">
      <alignment vertical="center" wrapText="1"/>
    </xf>
    <xf numFmtId="0" fontId="12" fillId="0" borderId="1" xfId="2" applyFont="1" applyFill="1" applyBorder="1" applyAlignment="1">
      <alignment horizontal="center" vertical="top"/>
    </xf>
    <xf numFmtId="0" fontId="12" fillId="0" borderId="1" xfId="2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16" fillId="0" borderId="37" xfId="0" applyNumberFormat="1" applyFont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/>
    </xf>
    <xf numFmtId="4" fontId="13" fillId="0" borderId="38" xfId="0" applyNumberFormat="1" applyFont="1" applyFill="1" applyBorder="1" applyAlignment="1">
      <alignment horizontal="center" vertical="center"/>
    </xf>
    <xf numFmtId="0" fontId="11" fillId="0" borderId="27" xfId="2" applyFont="1" applyFill="1" applyBorder="1" applyAlignment="1">
      <alignment vertical="center" wrapText="1"/>
    </xf>
    <xf numFmtId="0" fontId="11" fillId="0" borderId="16" xfId="2" applyFont="1" applyFill="1" applyBorder="1" applyAlignment="1">
      <alignment vertical="center" wrapText="1"/>
    </xf>
    <xf numFmtId="0" fontId="11" fillId="0" borderId="17" xfId="2" applyFont="1" applyFill="1" applyBorder="1" applyAlignment="1">
      <alignment vertical="center" wrapText="1"/>
    </xf>
    <xf numFmtId="0" fontId="11" fillId="0" borderId="27" xfId="2" applyFont="1" applyFill="1" applyBorder="1" applyAlignment="1">
      <alignment horizontal="center" vertical="center" wrapText="1"/>
    </xf>
    <xf numFmtId="0" fontId="11" fillId="0" borderId="17" xfId="2" applyFont="1" applyFill="1" applyBorder="1" applyAlignment="1">
      <alignment horizontal="center" vertical="center" wrapText="1"/>
    </xf>
    <xf numFmtId="0" fontId="12" fillId="0" borderId="27" xfId="2" applyFont="1" applyFill="1" applyBorder="1" applyAlignment="1">
      <alignment horizontal="center" vertical="center" wrapText="1"/>
    </xf>
    <xf numFmtId="0" fontId="12" fillId="0" borderId="17" xfId="2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4" fontId="0" fillId="0" borderId="39" xfId="0" applyNumberFormat="1" applyBorder="1" applyAlignment="1">
      <alignment horizontal="center"/>
    </xf>
  </cellXfs>
  <cellStyles count="3">
    <cellStyle name="Обычный" xfId="0" builtinId="0"/>
    <cellStyle name="Обычный 2" xfId="1"/>
    <cellStyle name="Обычный 3" xfId="2"/>
  </cellStyles>
  <dxfs count="9">
    <dxf>
      <numFmt numFmtId="164" formatCode="0.0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64" formatCode="0.0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numFmt numFmtId="164" formatCode="0.00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2:E28" totalsRowShown="0" headerRowBorderDxfId="8" tableBorderDxfId="7">
  <autoFilter ref="A2:E28">
    <filterColumn colId="3">
      <filters>
        <filter val="10"/>
      </filters>
    </filterColumn>
  </autoFilter>
  <sortState ref="A3:E28">
    <sortCondition ref="D2:D28"/>
  </sortState>
  <tableColumns count="5">
    <tableColumn id="1" name="№ п.п."/>
    <tableColumn id="2" name="Блок"/>
    <tableColumn id="3" name="№ пом." dataDxfId="6"/>
    <tableColumn id="4" name="Типы"/>
    <tableColumn id="5" name="Объем. м²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A32:E76" totalsRowShown="0" headerRowBorderDxfId="5" tableBorderDxfId="4">
  <autoFilter ref="A32:E76">
    <filterColumn colId="3">
      <filters>
        <filter val="7"/>
      </filters>
    </filterColumn>
  </autoFilter>
  <sortState ref="A36:E55">
    <sortCondition ref="D32:D76"/>
  </sortState>
  <tableColumns count="5">
    <tableColumn id="1" name="№ п.п."/>
    <tableColumn id="2" name="Блок"/>
    <tableColumn id="3" name="№ пом." dataDxfId="3"/>
    <tableColumn id="4" name="Типы"/>
    <tableColumn id="5" name="Объем. м²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id="4" name="Таблица4" displayName="Таблица4" ref="A81:E106" totalsRowShown="0" headerRowBorderDxfId="2" tableBorderDxfId="1">
  <autoFilter ref="A81:E106">
    <filterColumn colId="3">
      <filters>
        <filter val="15"/>
      </filters>
    </filterColumn>
  </autoFilter>
  <sortState ref="A82:E106">
    <sortCondition ref="A81:A106"/>
  </sortState>
  <tableColumns count="5">
    <tableColumn id="1" name="№ п.п."/>
    <tableColumn id="2" name="Блок"/>
    <tableColumn id="3" name="№ пом." dataDxfId="0"/>
    <tableColumn id="4" name="Типы"/>
    <tableColumn id="5" name="Объем. м²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zoomScale="90" zoomScaleNormal="90" workbookViewId="0">
      <selection activeCell="A31" sqref="A31:E106"/>
    </sheetView>
  </sheetViews>
  <sheetFormatPr defaultColWidth="9.109375" defaultRowHeight="13.2" x14ac:dyDescent="0.25"/>
  <cols>
    <col min="1" max="1" width="7.5546875" style="6" customWidth="1"/>
    <col min="2" max="2" width="47.44140625" style="4" customWidth="1"/>
    <col min="3" max="3" width="9.109375" style="6" customWidth="1"/>
    <col min="4" max="4" width="14.5546875" style="10" customWidth="1"/>
    <col min="5" max="5" width="8.88671875" style="12" customWidth="1"/>
    <col min="6" max="16384" width="9.109375" style="1"/>
  </cols>
  <sheetData>
    <row r="1" spans="1:5" x14ac:dyDescent="0.25">
      <c r="A1" s="37"/>
      <c r="B1" s="38" t="s">
        <v>65</v>
      </c>
      <c r="C1" s="39"/>
      <c r="D1" s="40"/>
      <c r="E1" s="41"/>
    </row>
    <row r="2" spans="1:5" ht="13.8" thickBot="1" x14ac:dyDescent="0.3">
      <c r="A2" s="48" t="s">
        <v>0</v>
      </c>
      <c r="B2" s="49" t="s">
        <v>1</v>
      </c>
      <c r="C2" s="50" t="s">
        <v>12</v>
      </c>
      <c r="D2" s="51" t="s">
        <v>13</v>
      </c>
      <c r="E2" s="52" t="s">
        <v>6</v>
      </c>
    </row>
    <row r="3" spans="1:5" ht="22.5" customHeight="1" x14ac:dyDescent="0.25">
      <c r="A3" s="26" t="s">
        <v>8</v>
      </c>
      <c r="B3" s="47" t="s">
        <v>50</v>
      </c>
      <c r="C3" s="27" t="s">
        <v>42</v>
      </c>
      <c r="D3" s="28">
        <v>1</v>
      </c>
      <c r="E3" s="29">
        <f>'Спец 2 э. шт.'!C35</f>
        <v>1500.73</v>
      </c>
    </row>
    <row r="4" spans="1:5" x14ac:dyDescent="0.25">
      <c r="A4" s="30" t="s">
        <v>5</v>
      </c>
      <c r="B4" s="20" t="s">
        <v>48</v>
      </c>
      <c r="C4" s="2" t="s">
        <v>7</v>
      </c>
      <c r="D4" s="5">
        <v>4.5</v>
      </c>
      <c r="E4" s="31">
        <f>D4*E3</f>
        <v>6753.2849999999999</v>
      </c>
    </row>
    <row r="5" spans="1:5" ht="13.8" thickBot="1" x14ac:dyDescent="0.3">
      <c r="A5" s="32" t="s">
        <v>37</v>
      </c>
      <c r="B5" s="33" t="s">
        <v>49</v>
      </c>
      <c r="C5" s="34" t="s">
        <v>7</v>
      </c>
      <c r="D5" s="35">
        <v>0.15</v>
      </c>
      <c r="E5" s="36">
        <f>D5*E3</f>
        <v>225.1095</v>
      </c>
    </row>
    <row r="6" spans="1:5" ht="26.4" x14ac:dyDescent="0.25">
      <c r="A6" s="44" t="s">
        <v>9</v>
      </c>
      <c r="B6" s="53" t="s">
        <v>51</v>
      </c>
      <c r="C6" s="24" t="s">
        <v>42</v>
      </c>
      <c r="D6" s="25">
        <v>1</v>
      </c>
      <c r="E6" s="45">
        <f>'Спец 2 э. шт.'!D35</f>
        <v>232.12</v>
      </c>
    </row>
    <row r="7" spans="1:5" x14ac:dyDescent="0.25">
      <c r="A7" s="30" t="s">
        <v>10</v>
      </c>
      <c r="B7" s="20" t="s">
        <v>48</v>
      </c>
      <c r="C7" s="2" t="s">
        <v>7</v>
      </c>
      <c r="D7" s="5">
        <v>4.5</v>
      </c>
      <c r="E7" s="31">
        <f>D7*E6</f>
        <v>1044.54</v>
      </c>
    </row>
    <row r="8" spans="1:5" ht="13.8" thickBot="1" x14ac:dyDescent="0.3">
      <c r="A8" s="42" t="s">
        <v>11</v>
      </c>
      <c r="B8" s="21" t="s">
        <v>49</v>
      </c>
      <c r="C8" s="22" t="s">
        <v>7</v>
      </c>
      <c r="D8" s="23">
        <v>0.15</v>
      </c>
      <c r="E8" s="43">
        <f>D8*E6</f>
        <v>34.817999999999998</v>
      </c>
    </row>
    <row r="9" spans="1:5" ht="26.4" x14ac:dyDescent="0.25">
      <c r="A9" s="26" t="s">
        <v>38</v>
      </c>
      <c r="B9" s="47" t="s">
        <v>63</v>
      </c>
      <c r="C9" s="27" t="s">
        <v>42</v>
      </c>
      <c r="D9" s="28">
        <v>1</v>
      </c>
      <c r="E9" s="29">
        <f>'Спец 2 э. шт.'!E35</f>
        <v>29.908999999999999</v>
      </c>
    </row>
    <row r="10" spans="1:5" x14ac:dyDescent="0.25">
      <c r="A10" s="30" t="s">
        <v>39</v>
      </c>
      <c r="B10" s="20" t="s">
        <v>14</v>
      </c>
      <c r="C10" s="2" t="s">
        <v>7</v>
      </c>
      <c r="D10" s="5">
        <v>0.15</v>
      </c>
      <c r="E10" s="31">
        <f>D10*E9</f>
        <v>4.4863499999999998</v>
      </c>
    </row>
    <row r="11" spans="1:5" x14ac:dyDescent="0.25">
      <c r="A11" s="30" t="s">
        <v>40</v>
      </c>
      <c r="B11" s="20" t="s">
        <v>52</v>
      </c>
      <c r="C11" s="2" t="s">
        <v>53</v>
      </c>
      <c r="D11" s="5">
        <v>0.3</v>
      </c>
      <c r="E11" s="31">
        <f>D11*E9</f>
        <v>8.9726999999999997</v>
      </c>
    </row>
    <row r="12" spans="1:5" ht="27" thickBot="1" x14ac:dyDescent="0.3">
      <c r="A12" s="32" t="s">
        <v>41</v>
      </c>
      <c r="B12" s="33" t="s">
        <v>47</v>
      </c>
      <c r="C12" s="34" t="s">
        <v>7</v>
      </c>
      <c r="D12" s="35">
        <v>1.5</v>
      </c>
      <c r="E12" s="36">
        <f>D12*E9</f>
        <v>44.863500000000002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30" zoomScaleNormal="130" workbookViewId="0">
      <selection activeCell="A31" sqref="A31:E106"/>
    </sheetView>
  </sheetViews>
  <sheetFormatPr defaultColWidth="9.109375" defaultRowHeight="13.2" x14ac:dyDescent="0.25"/>
  <cols>
    <col min="1" max="1" width="7" style="6" customWidth="1"/>
    <col min="2" max="2" width="11.109375" style="6" customWidth="1"/>
    <col min="3" max="5" width="8.6640625" style="6" customWidth="1"/>
    <col min="6" max="7" width="8.6640625" style="13" customWidth="1"/>
    <col min="8" max="10" width="8.6640625" style="46" hidden="1" customWidth="1"/>
    <col min="11" max="11" width="9.109375" style="46" hidden="1" customWidth="1"/>
    <col min="12" max="16384" width="9.109375" style="1"/>
  </cols>
  <sheetData>
    <row r="1" spans="1:10" x14ac:dyDescent="0.25">
      <c r="A1" s="202" t="s">
        <v>64</v>
      </c>
      <c r="B1" s="202"/>
      <c r="C1" s="202"/>
      <c r="D1" s="202"/>
      <c r="E1" s="202"/>
      <c r="F1" s="202"/>
      <c r="G1" s="16"/>
    </row>
    <row r="2" spans="1:10" ht="12.75" customHeight="1" x14ac:dyDescent="0.25">
      <c r="A2" s="203" t="s">
        <v>66</v>
      </c>
      <c r="B2" s="204"/>
      <c r="C2" s="204"/>
      <c r="D2" s="204"/>
      <c r="E2" s="204"/>
      <c r="F2" s="205"/>
      <c r="G2" s="17"/>
    </row>
    <row r="3" spans="1:10" x14ac:dyDescent="0.25">
      <c r="A3" s="14"/>
      <c r="B3" s="7"/>
      <c r="C3" s="3" t="s">
        <v>44</v>
      </c>
      <c r="D3" s="15" t="s">
        <v>45</v>
      </c>
      <c r="E3" s="15" t="s">
        <v>46</v>
      </c>
      <c r="F3" s="9" t="s">
        <v>2</v>
      </c>
      <c r="G3" s="18"/>
      <c r="J3" s="46" t="s">
        <v>21</v>
      </c>
    </row>
    <row r="4" spans="1:10" x14ac:dyDescent="0.25">
      <c r="A4" s="14" t="s">
        <v>0</v>
      </c>
      <c r="B4" s="8" t="s">
        <v>4</v>
      </c>
      <c r="C4" s="2" t="s">
        <v>3</v>
      </c>
      <c r="D4" s="2" t="s">
        <v>3</v>
      </c>
      <c r="E4" s="2" t="s">
        <v>3</v>
      </c>
      <c r="F4" s="11" t="s">
        <v>3</v>
      </c>
      <c r="G4" s="19"/>
    </row>
    <row r="5" spans="1:10" x14ac:dyDescent="0.25">
      <c r="A5" s="14">
        <v>1</v>
      </c>
      <c r="B5" s="7" t="s">
        <v>16</v>
      </c>
      <c r="C5" s="11">
        <v>171.64400000000001</v>
      </c>
      <c r="D5" s="11"/>
      <c r="E5" s="11"/>
      <c r="F5" s="11">
        <f>SUM(C5:E5)</f>
        <v>171.64400000000001</v>
      </c>
      <c r="G5" s="19"/>
      <c r="H5" s="19">
        <v>156.04</v>
      </c>
      <c r="I5" s="19"/>
      <c r="J5" s="19"/>
    </row>
    <row r="6" spans="1:10" x14ac:dyDescent="0.25">
      <c r="A6" s="14">
        <v>2</v>
      </c>
      <c r="B6" s="7" t="s">
        <v>17</v>
      </c>
      <c r="C6" s="11"/>
      <c r="D6" s="11"/>
      <c r="E6" s="11">
        <v>15.026</v>
      </c>
      <c r="F6" s="11">
        <f>SUM(C6:E6)</f>
        <v>15.026</v>
      </c>
      <c r="G6" s="19"/>
      <c r="H6" s="19"/>
      <c r="I6" s="19"/>
      <c r="J6" s="19">
        <v>13.66</v>
      </c>
    </row>
    <row r="7" spans="1:10" x14ac:dyDescent="0.25">
      <c r="A7" s="14">
        <v>3</v>
      </c>
      <c r="B7" s="7" t="s">
        <v>18</v>
      </c>
      <c r="C7" s="11">
        <v>162.11799999999999</v>
      </c>
      <c r="D7" s="11"/>
      <c r="E7" s="11"/>
      <c r="F7" s="11">
        <f t="shared" ref="F7:F34" si="0">SUM(C7:E7)</f>
        <v>162.11799999999999</v>
      </c>
      <c r="G7" s="19"/>
      <c r="H7" s="19">
        <v>147.38</v>
      </c>
      <c r="I7" s="19"/>
      <c r="J7" s="19"/>
    </row>
    <row r="8" spans="1:10" x14ac:dyDescent="0.25">
      <c r="A8" s="14">
        <v>4</v>
      </c>
      <c r="B8" s="7" t="s">
        <v>19</v>
      </c>
      <c r="C8" s="11"/>
      <c r="D8" s="11">
        <v>18.909000000000002</v>
      </c>
      <c r="E8" s="11"/>
      <c r="F8" s="11">
        <f t="shared" si="0"/>
        <v>18.909000000000002</v>
      </c>
      <c r="G8" s="19"/>
      <c r="H8" s="19"/>
      <c r="I8" s="19">
        <v>17.190000000000001</v>
      </c>
      <c r="J8" s="19"/>
    </row>
    <row r="9" spans="1:10" x14ac:dyDescent="0.25">
      <c r="A9" s="14">
        <v>5</v>
      </c>
      <c r="B9" s="7" t="s">
        <v>20</v>
      </c>
      <c r="C9" s="11"/>
      <c r="D9" s="11">
        <v>23.309000000000001</v>
      </c>
      <c r="E9" s="11"/>
      <c r="F9" s="11">
        <f t="shared" si="0"/>
        <v>23.309000000000001</v>
      </c>
      <c r="G9" s="19"/>
      <c r="H9" s="19"/>
      <c r="I9" s="19">
        <v>21.19</v>
      </c>
      <c r="J9" s="19"/>
    </row>
    <row r="10" spans="1:10" x14ac:dyDescent="0.25">
      <c r="A10" s="14">
        <v>6</v>
      </c>
      <c r="B10" s="7" t="s">
        <v>22</v>
      </c>
      <c r="C10" s="11"/>
      <c r="D10" s="11">
        <v>6.3030000000000008</v>
      </c>
      <c r="E10" s="11"/>
      <c r="F10" s="11">
        <f t="shared" si="0"/>
        <v>6.3030000000000008</v>
      </c>
      <c r="G10" s="19"/>
      <c r="H10" s="19"/>
      <c r="I10" s="19">
        <v>5.73</v>
      </c>
      <c r="J10" s="19"/>
    </row>
    <row r="11" spans="1:10" x14ac:dyDescent="0.25">
      <c r="A11" s="14">
        <v>7</v>
      </c>
      <c r="B11" s="7" t="s">
        <v>23</v>
      </c>
      <c r="C11" s="11"/>
      <c r="D11" s="11">
        <v>3.5309999999999997</v>
      </c>
      <c r="E11" s="11"/>
      <c r="F11" s="11">
        <f t="shared" si="0"/>
        <v>3.5309999999999997</v>
      </c>
      <c r="G11" s="19"/>
      <c r="H11" s="19"/>
      <c r="I11" s="19">
        <v>3.21</v>
      </c>
      <c r="J11" s="19"/>
    </row>
    <row r="12" spans="1:10" x14ac:dyDescent="0.25">
      <c r="A12" s="14">
        <v>8</v>
      </c>
      <c r="B12" s="7" t="s">
        <v>32</v>
      </c>
      <c r="C12" s="11">
        <v>87.295999999999992</v>
      </c>
      <c r="D12" s="11"/>
      <c r="E12" s="11"/>
      <c r="F12" s="11">
        <f t="shared" si="0"/>
        <v>87.295999999999992</v>
      </c>
      <c r="G12" s="19"/>
      <c r="H12" s="19">
        <v>79.36</v>
      </c>
      <c r="I12" s="19"/>
      <c r="J12" s="19"/>
    </row>
    <row r="13" spans="1:10" x14ac:dyDescent="0.25">
      <c r="A13" s="14">
        <v>9</v>
      </c>
      <c r="B13" s="7" t="s">
        <v>24</v>
      </c>
      <c r="C13" s="11">
        <v>160.84199999999998</v>
      </c>
      <c r="D13" s="11"/>
      <c r="E13" s="11"/>
      <c r="F13" s="11">
        <f t="shared" si="0"/>
        <v>160.84199999999998</v>
      </c>
      <c r="G13" s="19"/>
      <c r="H13" s="19">
        <v>146.22</v>
      </c>
      <c r="I13" s="19"/>
      <c r="J13" s="19"/>
    </row>
    <row r="14" spans="1:10" x14ac:dyDescent="0.25">
      <c r="A14" s="14">
        <v>10</v>
      </c>
      <c r="B14" s="7" t="s">
        <v>43</v>
      </c>
      <c r="C14" s="11">
        <v>59.191000000000003</v>
      </c>
      <c r="D14" s="11"/>
      <c r="E14" s="11"/>
      <c r="F14" s="11">
        <f t="shared" si="0"/>
        <v>59.191000000000003</v>
      </c>
      <c r="G14" s="19"/>
      <c r="H14" s="19">
        <v>53.81</v>
      </c>
      <c r="I14" s="19"/>
      <c r="J14" s="19"/>
    </row>
    <row r="15" spans="1:10" x14ac:dyDescent="0.25">
      <c r="A15" s="14">
        <v>11</v>
      </c>
      <c r="B15" s="7" t="s">
        <v>25</v>
      </c>
      <c r="C15" s="11"/>
      <c r="D15" s="11">
        <v>6.6549999999999994</v>
      </c>
      <c r="E15" s="11"/>
      <c r="F15" s="11">
        <f t="shared" si="0"/>
        <v>6.6549999999999994</v>
      </c>
      <c r="G15" s="19"/>
      <c r="H15" s="19"/>
      <c r="I15" s="19">
        <v>6.05</v>
      </c>
      <c r="J15" s="19"/>
    </row>
    <row r="16" spans="1:10" x14ac:dyDescent="0.25">
      <c r="A16" s="14">
        <v>12</v>
      </c>
      <c r="B16" s="7" t="s">
        <v>26</v>
      </c>
      <c r="C16" s="11"/>
      <c r="D16" s="11">
        <v>13.365</v>
      </c>
      <c r="E16" s="11"/>
      <c r="F16" s="11">
        <f t="shared" si="0"/>
        <v>13.365</v>
      </c>
      <c r="G16" s="19"/>
      <c r="H16" s="19"/>
      <c r="I16" s="19">
        <v>12.15</v>
      </c>
      <c r="J16" s="19"/>
    </row>
    <row r="17" spans="1:10" x14ac:dyDescent="0.25">
      <c r="A17" s="14">
        <v>13</v>
      </c>
      <c r="B17" s="7" t="s">
        <v>27</v>
      </c>
      <c r="C17" s="11"/>
      <c r="D17" s="11">
        <v>11.737</v>
      </c>
      <c r="E17" s="11"/>
      <c r="F17" s="11">
        <f t="shared" si="0"/>
        <v>11.737</v>
      </c>
      <c r="G17" s="19"/>
      <c r="H17" s="19"/>
      <c r="I17" s="19">
        <v>10.67</v>
      </c>
      <c r="J17" s="19"/>
    </row>
    <row r="18" spans="1:10" x14ac:dyDescent="0.25">
      <c r="A18" s="14">
        <v>14</v>
      </c>
      <c r="B18" s="7" t="s">
        <v>28</v>
      </c>
      <c r="C18" s="11"/>
      <c r="D18" s="11">
        <v>9.6689999999999987</v>
      </c>
      <c r="E18" s="11"/>
      <c r="F18" s="11">
        <f t="shared" si="0"/>
        <v>9.6689999999999987</v>
      </c>
      <c r="G18" s="19"/>
      <c r="H18" s="19"/>
      <c r="I18" s="19">
        <v>8.7899999999999991</v>
      </c>
      <c r="J18" s="19"/>
    </row>
    <row r="19" spans="1:10" x14ac:dyDescent="0.25">
      <c r="A19" s="14">
        <v>15</v>
      </c>
      <c r="B19" s="7" t="s">
        <v>29</v>
      </c>
      <c r="C19" s="11"/>
      <c r="D19" s="11">
        <v>15.718999999999999</v>
      </c>
      <c r="E19" s="11"/>
      <c r="F19" s="11">
        <f t="shared" si="0"/>
        <v>15.718999999999999</v>
      </c>
      <c r="G19" s="19"/>
      <c r="H19" s="19"/>
      <c r="I19" s="19">
        <v>14.29</v>
      </c>
      <c r="J19" s="19"/>
    </row>
    <row r="20" spans="1:10" x14ac:dyDescent="0.25">
      <c r="A20" s="14">
        <v>16</v>
      </c>
      <c r="B20" s="7" t="s">
        <v>30</v>
      </c>
      <c r="C20" s="11"/>
      <c r="D20" s="11">
        <v>8.7669999999999995</v>
      </c>
      <c r="E20" s="11"/>
      <c r="F20" s="11">
        <f t="shared" si="0"/>
        <v>8.7669999999999995</v>
      </c>
      <c r="G20" s="19"/>
      <c r="H20" s="19"/>
      <c r="I20" s="19">
        <v>7.97</v>
      </c>
      <c r="J20" s="19"/>
    </row>
    <row r="21" spans="1:10" x14ac:dyDescent="0.25">
      <c r="A21" s="14">
        <v>17</v>
      </c>
      <c r="B21" s="7" t="s">
        <v>31</v>
      </c>
      <c r="C21" s="11"/>
      <c r="D21" s="11">
        <v>13.189</v>
      </c>
      <c r="E21" s="11"/>
      <c r="F21" s="11">
        <f t="shared" si="0"/>
        <v>13.189</v>
      </c>
      <c r="G21" s="19"/>
      <c r="H21" s="19"/>
      <c r="I21" s="19">
        <v>11.99</v>
      </c>
      <c r="J21" s="19"/>
    </row>
    <row r="22" spans="1:10" x14ac:dyDescent="0.25">
      <c r="A22" s="14">
        <v>18</v>
      </c>
      <c r="B22" s="7" t="s">
        <v>33</v>
      </c>
      <c r="C22" s="11"/>
      <c r="D22" s="11">
        <v>9.152000000000001</v>
      </c>
      <c r="E22" s="11"/>
      <c r="F22" s="11">
        <f t="shared" si="0"/>
        <v>9.152000000000001</v>
      </c>
      <c r="G22" s="19"/>
      <c r="H22" s="19"/>
      <c r="I22" s="19">
        <v>8.32</v>
      </c>
      <c r="J22" s="19"/>
    </row>
    <row r="23" spans="1:10" x14ac:dyDescent="0.25">
      <c r="A23" s="14">
        <v>19</v>
      </c>
      <c r="B23" s="7" t="s">
        <v>34</v>
      </c>
      <c r="C23" s="11"/>
      <c r="D23" s="11">
        <v>15.499000000000001</v>
      </c>
      <c r="E23" s="11"/>
      <c r="F23" s="11">
        <f t="shared" si="0"/>
        <v>15.499000000000001</v>
      </c>
      <c r="G23" s="19"/>
      <c r="H23" s="19"/>
      <c r="I23" s="19">
        <v>14.09</v>
      </c>
      <c r="J23" s="19"/>
    </row>
    <row r="24" spans="1:10" x14ac:dyDescent="0.25">
      <c r="A24" s="14">
        <v>20</v>
      </c>
      <c r="B24" s="7" t="s">
        <v>35</v>
      </c>
      <c r="C24" s="11"/>
      <c r="D24" s="11">
        <v>8.1300000000000008</v>
      </c>
      <c r="E24" s="11"/>
      <c r="F24" s="11">
        <f t="shared" si="0"/>
        <v>8.1300000000000008</v>
      </c>
      <c r="G24" s="19"/>
      <c r="H24" s="19"/>
      <c r="I24" s="19">
        <v>0</v>
      </c>
      <c r="J24" s="19"/>
    </row>
    <row r="25" spans="1:10" x14ac:dyDescent="0.25">
      <c r="A25" s="14">
        <v>21</v>
      </c>
      <c r="B25" s="7" t="s">
        <v>36</v>
      </c>
      <c r="C25" s="11"/>
      <c r="D25" s="11">
        <v>16.09</v>
      </c>
      <c r="E25" s="11"/>
      <c r="F25" s="11">
        <f t="shared" si="0"/>
        <v>16.09</v>
      </c>
      <c r="G25" s="19"/>
      <c r="H25" s="19"/>
      <c r="I25" s="19">
        <v>0</v>
      </c>
      <c r="J25" s="19"/>
    </row>
    <row r="26" spans="1:10" x14ac:dyDescent="0.25">
      <c r="A26" s="14">
        <v>22</v>
      </c>
      <c r="B26" s="7" t="s">
        <v>54</v>
      </c>
      <c r="C26" s="11">
        <v>272.01900000000001</v>
      </c>
      <c r="D26" s="11"/>
      <c r="E26" s="11"/>
      <c r="F26" s="11">
        <f t="shared" si="0"/>
        <v>272.01900000000001</v>
      </c>
      <c r="G26" s="19"/>
      <c r="H26" s="19">
        <v>247.29</v>
      </c>
      <c r="I26" s="19"/>
      <c r="J26" s="19"/>
    </row>
    <row r="27" spans="1:10" x14ac:dyDescent="0.25">
      <c r="A27" s="14">
        <v>23</v>
      </c>
      <c r="B27" s="7" t="s">
        <v>62</v>
      </c>
      <c r="C27" s="11"/>
      <c r="D27" s="11"/>
      <c r="E27" s="11">
        <v>14.882999999999999</v>
      </c>
      <c r="F27" s="11">
        <f t="shared" si="0"/>
        <v>14.882999999999999</v>
      </c>
      <c r="G27" s="19"/>
      <c r="H27" s="19"/>
      <c r="I27" s="19"/>
      <c r="J27" s="19">
        <v>13.53</v>
      </c>
    </row>
    <row r="28" spans="1:10" x14ac:dyDescent="0.25">
      <c r="A28" s="14">
        <v>24</v>
      </c>
      <c r="B28" s="7" t="s">
        <v>57</v>
      </c>
      <c r="C28" s="11">
        <v>163.35</v>
      </c>
      <c r="D28" s="11"/>
      <c r="E28" s="11"/>
      <c r="F28" s="11">
        <f t="shared" si="0"/>
        <v>163.35</v>
      </c>
      <c r="G28" s="19"/>
      <c r="H28" s="19">
        <v>148.5</v>
      </c>
      <c r="I28" s="19"/>
      <c r="J28" s="19"/>
    </row>
    <row r="29" spans="1:10" x14ac:dyDescent="0.25">
      <c r="A29" s="14">
        <v>25</v>
      </c>
      <c r="B29" s="7" t="s">
        <v>58</v>
      </c>
      <c r="C29" s="11"/>
      <c r="D29" s="11">
        <v>18.986000000000001</v>
      </c>
      <c r="E29" s="11"/>
      <c r="F29" s="11">
        <f>SUM(C29:E29)</f>
        <v>18.986000000000001</v>
      </c>
      <c r="G29" s="19"/>
      <c r="H29" s="19"/>
      <c r="I29" s="19">
        <v>17.260000000000002</v>
      </c>
      <c r="J29" s="19"/>
    </row>
    <row r="30" spans="1:10" x14ac:dyDescent="0.25">
      <c r="A30" s="14">
        <v>26</v>
      </c>
      <c r="B30" s="7" t="s">
        <v>59</v>
      </c>
      <c r="C30" s="11"/>
      <c r="D30" s="11">
        <v>23.287000000000003</v>
      </c>
      <c r="E30" s="11"/>
      <c r="F30" s="11">
        <f>SUM(C30:E30)</f>
        <v>23.287000000000003</v>
      </c>
      <c r="G30" s="19"/>
      <c r="H30" s="19"/>
      <c r="I30" s="19">
        <v>21.17</v>
      </c>
      <c r="J30" s="19"/>
    </row>
    <row r="31" spans="1:10" x14ac:dyDescent="0.25">
      <c r="A31" s="14">
        <v>27</v>
      </c>
      <c r="B31" s="7" t="s">
        <v>60</v>
      </c>
      <c r="C31" s="11"/>
      <c r="D31" s="11">
        <v>6.3030000000000008</v>
      </c>
      <c r="E31" s="11"/>
      <c r="F31" s="11">
        <f>SUM(C31:E31)</f>
        <v>6.3030000000000008</v>
      </c>
      <c r="G31" s="19"/>
      <c r="H31" s="19"/>
      <c r="I31" s="19">
        <v>5.73</v>
      </c>
      <c r="J31" s="19"/>
    </row>
    <row r="32" spans="1:10" x14ac:dyDescent="0.25">
      <c r="A32" s="14">
        <v>28</v>
      </c>
      <c r="B32" s="7" t="s">
        <v>61</v>
      </c>
      <c r="C32" s="11"/>
      <c r="D32" s="11">
        <v>3.52</v>
      </c>
      <c r="E32" s="11"/>
      <c r="F32" s="11">
        <f>SUM(C32:E32)</f>
        <v>3.52</v>
      </c>
      <c r="G32" s="19"/>
      <c r="H32" s="19"/>
      <c r="I32" s="19">
        <v>3.2</v>
      </c>
      <c r="J32" s="19"/>
    </row>
    <row r="33" spans="1:10" x14ac:dyDescent="0.25">
      <c r="A33" s="14">
        <v>29</v>
      </c>
      <c r="B33" s="7" t="s">
        <v>55</v>
      </c>
      <c r="C33" s="11">
        <v>275.209</v>
      </c>
      <c r="D33" s="11"/>
      <c r="E33" s="11"/>
      <c r="F33" s="11">
        <f t="shared" si="0"/>
        <v>275.209</v>
      </c>
      <c r="G33" s="19"/>
      <c r="H33" s="19">
        <v>250.19</v>
      </c>
      <c r="I33" s="19"/>
      <c r="J33" s="19"/>
    </row>
    <row r="34" spans="1:10" x14ac:dyDescent="0.25">
      <c r="A34" s="14">
        <v>30</v>
      </c>
      <c r="B34" s="7" t="s">
        <v>56</v>
      </c>
      <c r="C34" s="11">
        <v>149.06099999999998</v>
      </c>
      <c r="D34" s="11"/>
      <c r="E34" s="11"/>
      <c r="F34" s="11">
        <f t="shared" si="0"/>
        <v>149.06099999999998</v>
      </c>
      <c r="G34" s="19"/>
      <c r="H34" s="19">
        <v>135.51</v>
      </c>
      <c r="I34" s="19"/>
      <c r="J34" s="19"/>
    </row>
    <row r="35" spans="1:10" x14ac:dyDescent="0.25">
      <c r="A35" s="14"/>
      <c r="B35" s="14" t="s">
        <v>15</v>
      </c>
      <c r="C35" s="11">
        <f>SUM(C5:C34)</f>
        <v>1500.73</v>
      </c>
      <c r="D35" s="11">
        <f t="shared" ref="D35:F35" si="1">SUM(D5:D34)</f>
        <v>232.12</v>
      </c>
      <c r="E35" s="11">
        <f t="shared" si="1"/>
        <v>29.908999999999999</v>
      </c>
      <c r="F35" s="11">
        <f t="shared" si="1"/>
        <v>1762.7590000000005</v>
      </c>
      <c r="G35" s="19"/>
    </row>
  </sheetData>
  <mergeCells count="2">
    <mergeCell ref="A1:F1"/>
    <mergeCell ref="A2:F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31" sqref="A31:E106"/>
    </sheetView>
  </sheetViews>
  <sheetFormatPr defaultRowHeight="14.4" x14ac:dyDescent="0.3"/>
  <cols>
    <col min="2" max="2" width="13" customWidth="1"/>
    <col min="3" max="3" width="14.33203125" customWidth="1"/>
  </cols>
  <sheetData>
    <row r="1" spans="1:3" ht="12" customHeight="1" x14ac:dyDescent="0.3">
      <c r="A1" s="206" t="s">
        <v>68</v>
      </c>
      <c r="B1" s="206"/>
      <c r="C1" s="206"/>
    </row>
    <row r="2" spans="1:3" ht="12" customHeight="1" x14ac:dyDescent="0.3">
      <c r="A2" s="207" t="s">
        <v>67</v>
      </c>
      <c r="B2" s="207"/>
      <c r="C2" s="207"/>
    </row>
    <row r="3" spans="1:3" ht="12" customHeight="1" x14ac:dyDescent="0.3">
      <c r="A3" s="8" t="s">
        <v>0</v>
      </c>
      <c r="B3" s="8" t="s">
        <v>84</v>
      </c>
      <c r="C3" s="54" t="s">
        <v>3</v>
      </c>
    </row>
    <row r="4" spans="1:3" ht="12" customHeight="1" x14ac:dyDescent="0.3">
      <c r="A4" s="8">
        <v>1</v>
      </c>
      <c r="B4" s="7" t="s">
        <v>69</v>
      </c>
      <c r="C4" s="54">
        <v>78.238</v>
      </c>
    </row>
    <row r="5" spans="1:3" ht="12" customHeight="1" x14ac:dyDescent="0.3">
      <c r="A5" s="8">
        <v>2</v>
      </c>
      <c r="B5" s="7" t="s">
        <v>70</v>
      </c>
      <c r="C5" s="54">
        <v>79.463999999999999</v>
      </c>
    </row>
    <row r="6" spans="1:3" ht="12" customHeight="1" x14ac:dyDescent="0.3">
      <c r="A6" s="8">
        <v>3</v>
      </c>
      <c r="B6" s="7" t="s">
        <v>71</v>
      </c>
      <c r="C6" s="54">
        <v>76.085999999999999</v>
      </c>
    </row>
    <row r="7" spans="1:3" ht="12" customHeight="1" x14ac:dyDescent="0.3">
      <c r="A7" s="8">
        <v>4</v>
      </c>
      <c r="B7" s="7" t="s">
        <v>16</v>
      </c>
      <c r="C7" s="54">
        <v>171.64400000000001</v>
      </c>
    </row>
    <row r="8" spans="1:3" ht="12" customHeight="1" x14ac:dyDescent="0.3">
      <c r="A8" s="8">
        <v>5</v>
      </c>
      <c r="B8" s="7" t="s">
        <v>17</v>
      </c>
      <c r="C8" s="54">
        <v>15.026</v>
      </c>
    </row>
    <row r="9" spans="1:3" ht="12" customHeight="1" x14ac:dyDescent="0.3">
      <c r="A9" s="8">
        <v>6</v>
      </c>
      <c r="B9" s="7" t="s">
        <v>72</v>
      </c>
      <c r="C9" s="54">
        <v>26.302500000000002</v>
      </c>
    </row>
    <row r="10" spans="1:3" ht="12" customHeight="1" x14ac:dyDescent="0.3">
      <c r="A10" s="8">
        <v>7</v>
      </c>
      <c r="B10" s="7" t="s">
        <v>73</v>
      </c>
      <c r="C10" s="54">
        <v>72.715000000000003</v>
      </c>
    </row>
    <row r="11" spans="1:3" ht="12" customHeight="1" x14ac:dyDescent="0.3">
      <c r="A11" s="8">
        <v>8</v>
      </c>
      <c r="B11" s="7" t="s">
        <v>74</v>
      </c>
      <c r="C11" s="54">
        <v>72.882999999999996</v>
      </c>
    </row>
    <row r="12" spans="1:3" ht="12" customHeight="1" x14ac:dyDescent="0.3">
      <c r="A12" s="8">
        <v>9</v>
      </c>
      <c r="B12" s="7" t="s">
        <v>75</v>
      </c>
      <c r="C12" s="54">
        <v>72.882999999999996</v>
      </c>
    </row>
    <row r="13" spans="1:3" ht="12" customHeight="1" x14ac:dyDescent="0.3">
      <c r="A13" s="8">
        <v>10</v>
      </c>
      <c r="B13" s="7" t="s">
        <v>76</v>
      </c>
      <c r="C13" s="54">
        <v>71.906499999999994</v>
      </c>
    </row>
    <row r="14" spans="1:3" ht="12" customHeight="1" x14ac:dyDescent="0.3">
      <c r="A14" s="8">
        <v>11</v>
      </c>
      <c r="B14" s="7" t="s">
        <v>77</v>
      </c>
      <c r="C14" s="54">
        <v>71.882999999999996</v>
      </c>
    </row>
    <row r="15" spans="1:3" ht="12" customHeight="1" x14ac:dyDescent="0.3">
      <c r="A15" s="8">
        <v>12</v>
      </c>
      <c r="B15" s="7" t="s">
        <v>18</v>
      </c>
      <c r="C15" s="54">
        <v>162.11799999999999</v>
      </c>
    </row>
    <row r="16" spans="1:3" ht="12" customHeight="1" x14ac:dyDescent="0.3">
      <c r="A16" s="8">
        <v>13</v>
      </c>
      <c r="B16" s="7" t="s">
        <v>78</v>
      </c>
      <c r="C16" s="54">
        <v>72.882999999999996</v>
      </c>
    </row>
    <row r="17" spans="1:3" ht="12" customHeight="1" x14ac:dyDescent="0.3">
      <c r="A17" s="8">
        <v>14</v>
      </c>
      <c r="B17" s="7" t="s">
        <v>19</v>
      </c>
      <c r="C17" s="54">
        <v>18.909000000000002</v>
      </c>
    </row>
    <row r="18" spans="1:3" ht="12" customHeight="1" x14ac:dyDescent="0.3">
      <c r="A18" s="8">
        <v>15</v>
      </c>
      <c r="B18" s="7" t="s">
        <v>20</v>
      </c>
      <c r="C18" s="54">
        <v>23.309000000000001</v>
      </c>
    </row>
    <row r="19" spans="1:3" ht="12" customHeight="1" x14ac:dyDescent="0.3">
      <c r="A19" s="8">
        <v>16</v>
      </c>
      <c r="B19" s="7" t="s">
        <v>22</v>
      </c>
      <c r="C19" s="54">
        <v>6.3030000000000008</v>
      </c>
    </row>
    <row r="20" spans="1:3" ht="12" customHeight="1" x14ac:dyDescent="0.3">
      <c r="A20" s="8">
        <v>17</v>
      </c>
      <c r="B20" s="7" t="s">
        <v>23</v>
      </c>
      <c r="C20" s="54">
        <v>3.5309999999999997</v>
      </c>
    </row>
    <row r="21" spans="1:3" ht="12" customHeight="1" x14ac:dyDescent="0.3">
      <c r="A21" s="8">
        <v>18</v>
      </c>
      <c r="B21" s="7" t="s">
        <v>32</v>
      </c>
      <c r="C21" s="54">
        <v>87.295999999999992</v>
      </c>
    </row>
    <row r="22" spans="1:3" ht="12" customHeight="1" x14ac:dyDescent="0.3">
      <c r="A22" s="8">
        <v>19</v>
      </c>
      <c r="B22" s="7" t="s">
        <v>24</v>
      </c>
      <c r="C22" s="54">
        <v>160.84199999999998</v>
      </c>
    </row>
    <row r="23" spans="1:3" ht="12" customHeight="1" x14ac:dyDescent="0.3">
      <c r="A23" s="8">
        <v>20</v>
      </c>
      <c r="B23" s="7" t="s">
        <v>43</v>
      </c>
      <c r="C23" s="54">
        <v>59.191000000000003</v>
      </c>
    </row>
    <row r="24" spans="1:3" ht="12" customHeight="1" x14ac:dyDescent="0.3">
      <c r="A24" s="8">
        <v>21</v>
      </c>
      <c r="B24" s="7" t="s">
        <v>79</v>
      </c>
      <c r="C24" s="54">
        <v>28.035</v>
      </c>
    </row>
    <row r="25" spans="1:3" ht="12" customHeight="1" x14ac:dyDescent="0.3">
      <c r="A25" s="8">
        <v>22</v>
      </c>
      <c r="B25" s="7" t="s">
        <v>83</v>
      </c>
      <c r="C25" s="54">
        <v>23.48</v>
      </c>
    </row>
    <row r="26" spans="1:3" ht="12" customHeight="1" x14ac:dyDescent="0.3">
      <c r="A26" s="8">
        <v>23</v>
      </c>
      <c r="B26" s="7" t="s">
        <v>80</v>
      </c>
      <c r="C26" s="54">
        <v>28.181999999999999</v>
      </c>
    </row>
    <row r="27" spans="1:3" ht="12" customHeight="1" x14ac:dyDescent="0.3">
      <c r="A27" s="8">
        <v>24</v>
      </c>
      <c r="B27" s="7" t="s">
        <v>81</v>
      </c>
      <c r="C27" s="54">
        <v>20.433</v>
      </c>
    </row>
    <row r="28" spans="1:3" ht="12" customHeight="1" x14ac:dyDescent="0.3">
      <c r="A28" s="8">
        <v>25</v>
      </c>
      <c r="B28" s="7" t="s">
        <v>82</v>
      </c>
      <c r="C28" s="54">
        <v>10.752000000000001</v>
      </c>
    </row>
    <row r="29" spans="1:3" ht="12" customHeight="1" x14ac:dyDescent="0.3">
      <c r="A29" s="8">
        <v>26</v>
      </c>
      <c r="B29" s="7" t="s">
        <v>25</v>
      </c>
      <c r="C29" s="54">
        <v>6.6549999999999994</v>
      </c>
    </row>
    <row r="30" spans="1:3" ht="12" customHeight="1" x14ac:dyDescent="0.3">
      <c r="A30" s="8">
        <v>27</v>
      </c>
      <c r="B30" s="7" t="s">
        <v>26</v>
      </c>
      <c r="C30" s="54">
        <v>13.365</v>
      </c>
    </row>
    <row r="31" spans="1:3" ht="12" customHeight="1" x14ac:dyDescent="0.3">
      <c r="A31" s="8">
        <v>28</v>
      </c>
      <c r="B31" s="7" t="s">
        <v>27</v>
      </c>
      <c r="C31" s="54">
        <v>11.737</v>
      </c>
    </row>
    <row r="32" spans="1:3" ht="12" customHeight="1" x14ac:dyDescent="0.3">
      <c r="A32" s="8">
        <v>29</v>
      </c>
      <c r="B32" s="7" t="s">
        <v>85</v>
      </c>
      <c r="C32" s="54">
        <v>24.527999999999999</v>
      </c>
    </row>
    <row r="33" spans="1:3" ht="12" customHeight="1" x14ac:dyDescent="0.3">
      <c r="A33" s="8">
        <v>30</v>
      </c>
      <c r="B33" s="7" t="s">
        <v>28</v>
      </c>
      <c r="C33" s="54">
        <v>9.6689999999999987</v>
      </c>
    </row>
    <row r="34" spans="1:3" ht="12" customHeight="1" x14ac:dyDescent="0.3">
      <c r="A34" s="8">
        <v>31</v>
      </c>
      <c r="B34" s="7" t="s">
        <v>29</v>
      </c>
      <c r="C34" s="54">
        <v>15.718999999999999</v>
      </c>
    </row>
    <row r="35" spans="1:3" ht="12" customHeight="1" x14ac:dyDescent="0.3">
      <c r="A35" s="8">
        <v>32</v>
      </c>
      <c r="B35" s="7" t="s">
        <v>86</v>
      </c>
      <c r="C35" s="54">
        <v>22.144500000000001</v>
      </c>
    </row>
    <row r="36" spans="1:3" ht="12" customHeight="1" x14ac:dyDescent="0.3">
      <c r="A36" s="8">
        <v>33</v>
      </c>
      <c r="B36" s="7" t="s">
        <v>30</v>
      </c>
      <c r="C36" s="54">
        <v>8.7669999999999995</v>
      </c>
    </row>
    <row r="37" spans="1:3" ht="12" customHeight="1" x14ac:dyDescent="0.3">
      <c r="A37" s="8">
        <v>34</v>
      </c>
      <c r="B37" s="7" t="s">
        <v>31</v>
      </c>
      <c r="C37" s="54">
        <v>13.189</v>
      </c>
    </row>
    <row r="38" spans="1:3" ht="12" customHeight="1" x14ac:dyDescent="0.3">
      <c r="A38" s="8">
        <v>35</v>
      </c>
      <c r="B38" s="7" t="s">
        <v>87</v>
      </c>
      <c r="C38" s="54">
        <v>9.702</v>
      </c>
    </row>
    <row r="39" spans="1:3" ht="12" customHeight="1" x14ac:dyDescent="0.3">
      <c r="A39" s="8">
        <v>36</v>
      </c>
      <c r="B39" s="7" t="s">
        <v>88</v>
      </c>
      <c r="C39" s="54">
        <v>20.296499999999998</v>
      </c>
    </row>
    <row r="40" spans="1:3" ht="12" customHeight="1" x14ac:dyDescent="0.3">
      <c r="A40" s="8">
        <v>37</v>
      </c>
      <c r="B40" s="7" t="s">
        <v>33</v>
      </c>
      <c r="C40" s="54">
        <v>9.152000000000001</v>
      </c>
    </row>
    <row r="41" spans="1:3" ht="12" customHeight="1" x14ac:dyDescent="0.3">
      <c r="A41" s="8">
        <v>38</v>
      </c>
      <c r="B41" s="7" t="s">
        <v>34</v>
      </c>
      <c r="C41" s="54">
        <v>15.499000000000001</v>
      </c>
    </row>
    <row r="42" spans="1:3" ht="12" customHeight="1" x14ac:dyDescent="0.3">
      <c r="A42" s="8">
        <v>39</v>
      </c>
      <c r="B42" s="7" t="s">
        <v>89</v>
      </c>
      <c r="C42" s="54">
        <v>20.327999999999999</v>
      </c>
    </row>
    <row r="43" spans="1:3" ht="12" customHeight="1" x14ac:dyDescent="0.3">
      <c r="A43" s="8">
        <v>40</v>
      </c>
      <c r="B43" s="7" t="s">
        <v>35</v>
      </c>
      <c r="C43" s="54">
        <v>8.1300000000000008</v>
      </c>
    </row>
    <row r="44" spans="1:3" ht="12" customHeight="1" x14ac:dyDescent="0.3">
      <c r="A44" s="8">
        <v>41</v>
      </c>
      <c r="B44" s="7" t="s">
        <v>36</v>
      </c>
      <c r="C44" s="54">
        <v>16.894500000000001</v>
      </c>
    </row>
    <row r="45" spans="1:3" ht="12" customHeight="1" x14ac:dyDescent="0.3">
      <c r="A45" s="8">
        <v>42</v>
      </c>
      <c r="B45" s="7" t="s">
        <v>91</v>
      </c>
      <c r="C45" s="54">
        <v>34.702500000000001</v>
      </c>
    </row>
    <row r="46" spans="1:3" ht="12" customHeight="1" x14ac:dyDescent="0.3">
      <c r="A46" s="8">
        <v>43</v>
      </c>
      <c r="B46" s="7" t="s">
        <v>92</v>
      </c>
      <c r="C46" s="54">
        <v>76.272000000000006</v>
      </c>
    </row>
    <row r="47" spans="1:3" ht="12" customHeight="1" x14ac:dyDescent="0.3">
      <c r="A47" s="8">
        <v>44</v>
      </c>
      <c r="B47" s="7" t="s">
        <v>90</v>
      </c>
      <c r="C47" s="54">
        <v>8.4209999999999994</v>
      </c>
    </row>
    <row r="48" spans="1:3" ht="12" customHeight="1" x14ac:dyDescent="0.3">
      <c r="A48" s="55"/>
      <c r="B48" s="56" t="s">
        <v>93</v>
      </c>
      <c r="C48" s="57">
        <f>SUM(C4:C47)</f>
        <v>1859.466000000001</v>
      </c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31" sqref="A31:E106"/>
    </sheetView>
  </sheetViews>
  <sheetFormatPr defaultRowHeight="14.4" x14ac:dyDescent="0.3"/>
  <cols>
    <col min="1" max="1" width="10.44140625" customWidth="1"/>
    <col min="2" max="2" width="61" customWidth="1"/>
    <col min="4" max="4" width="15.88671875" customWidth="1"/>
  </cols>
  <sheetData>
    <row r="1" spans="1:5" x14ac:dyDescent="0.3">
      <c r="A1" s="58"/>
      <c r="B1" s="59" t="s">
        <v>94</v>
      </c>
      <c r="C1" s="60"/>
      <c r="D1" s="59"/>
      <c r="E1" s="59"/>
    </row>
    <row r="2" spans="1:5" ht="15" thickBot="1" x14ac:dyDescent="0.35">
      <c r="A2" s="61" t="s">
        <v>0</v>
      </c>
      <c r="B2" s="62" t="s">
        <v>1</v>
      </c>
      <c r="C2" s="64"/>
      <c r="D2" s="62"/>
      <c r="E2" s="63" t="s">
        <v>6</v>
      </c>
    </row>
    <row r="3" spans="1:5" ht="15" thickBot="1" x14ac:dyDescent="0.35">
      <c r="A3" s="65" t="s">
        <v>8</v>
      </c>
      <c r="B3" s="66" t="s">
        <v>95</v>
      </c>
      <c r="C3" s="67" t="s">
        <v>96</v>
      </c>
      <c r="D3" s="66"/>
      <c r="E3" s="108">
        <f>SUM('1эт спец'!D25+'1эт спец'!D23+'1эт спец'!D21+'1эт спец'!D19+'1эт спец'!D17+'1эт спец'!D15+'1эт спец'!D13+'1эт спец'!D8+'1эт спец'!D3)</f>
        <v>1268.4699999999998</v>
      </c>
    </row>
    <row r="4" spans="1:5" x14ac:dyDescent="0.3">
      <c r="A4" s="68" t="s">
        <v>9</v>
      </c>
      <c r="B4" s="69" t="s">
        <v>97</v>
      </c>
      <c r="C4" s="71" t="s">
        <v>96</v>
      </c>
      <c r="D4" s="69"/>
      <c r="E4" s="70">
        <v>58.519999999999996</v>
      </c>
    </row>
    <row r="5" spans="1:5" x14ac:dyDescent="0.3">
      <c r="A5" s="72" t="s">
        <v>10</v>
      </c>
      <c r="B5" s="73" t="s">
        <v>98</v>
      </c>
      <c r="C5" s="75" t="s">
        <v>7</v>
      </c>
      <c r="D5" s="73"/>
      <c r="E5" s="74">
        <f>E4*0.25</f>
        <v>14.629999999999999</v>
      </c>
    </row>
    <row r="6" spans="1:5" x14ac:dyDescent="0.3">
      <c r="A6" s="72" t="s">
        <v>11</v>
      </c>
      <c r="B6" s="76" t="s">
        <v>99</v>
      </c>
      <c r="C6" s="75" t="s">
        <v>7</v>
      </c>
      <c r="D6" s="76"/>
      <c r="E6" s="77">
        <f>E4*0.15</f>
        <v>8.7779999999999987</v>
      </c>
    </row>
    <row r="7" spans="1:5" x14ac:dyDescent="0.3">
      <c r="A7" s="72" t="s">
        <v>100</v>
      </c>
      <c r="B7" s="76" t="s">
        <v>101</v>
      </c>
      <c r="C7" s="75" t="s">
        <v>96</v>
      </c>
      <c r="D7" s="76"/>
      <c r="E7" s="74">
        <v>58.519999999999996</v>
      </c>
    </row>
    <row r="8" spans="1:5" ht="15" thickBot="1" x14ac:dyDescent="0.35">
      <c r="A8" s="78" t="s">
        <v>102</v>
      </c>
      <c r="B8" s="79" t="s">
        <v>103</v>
      </c>
      <c r="C8" s="81" t="s">
        <v>104</v>
      </c>
      <c r="D8" s="79"/>
      <c r="E8" s="80">
        <v>111.69</v>
      </c>
    </row>
    <row r="9" spans="1:5" x14ac:dyDescent="0.3">
      <c r="A9" s="68" t="s">
        <v>38</v>
      </c>
      <c r="B9" s="69" t="s">
        <v>105</v>
      </c>
      <c r="C9" s="71" t="s">
        <v>96</v>
      </c>
      <c r="D9" s="69"/>
      <c r="E9" s="70">
        <v>1268.4699999999998</v>
      </c>
    </row>
    <row r="10" spans="1:5" x14ac:dyDescent="0.3">
      <c r="A10" s="72" t="s">
        <v>39</v>
      </c>
      <c r="B10" s="76" t="s">
        <v>106</v>
      </c>
      <c r="C10" s="75" t="s">
        <v>7</v>
      </c>
      <c r="D10" s="76"/>
      <c r="E10" s="77">
        <f>E9*4.5</f>
        <v>5708.1149999999989</v>
      </c>
    </row>
    <row r="11" spans="1:5" ht="15" thickBot="1" x14ac:dyDescent="0.35">
      <c r="A11" s="78" t="s">
        <v>40</v>
      </c>
      <c r="B11" s="79" t="s">
        <v>107</v>
      </c>
      <c r="C11" s="83" t="s">
        <v>7</v>
      </c>
      <c r="D11" s="79"/>
      <c r="E11" s="82">
        <f>E9*0.15</f>
        <v>190.27049999999997</v>
      </c>
    </row>
    <row r="13" spans="1:5" x14ac:dyDescent="0.3">
      <c r="A13" s="110"/>
      <c r="B13" s="111" t="s">
        <v>94</v>
      </c>
      <c r="C13" s="112"/>
      <c r="D13" s="111"/>
      <c r="E13" s="111"/>
    </row>
    <row r="14" spans="1:5" x14ac:dyDescent="0.3">
      <c r="A14" s="110" t="s">
        <v>0</v>
      </c>
      <c r="B14" s="113" t="s">
        <v>1</v>
      </c>
      <c r="C14" s="112" t="s">
        <v>12</v>
      </c>
      <c r="D14" s="114" t="s">
        <v>13</v>
      </c>
      <c r="E14" s="115" t="s">
        <v>6</v>
      </c>
    </row>
    <row r="15" spans="1:5" x14ac:dyDescent="0.3">
      <c r="A15" s="116" t="s">
        <v>8</v>
      </c>
      <c r="B15" s="113" t="s">
        <v>95</v>
      </c>
      <c r="C15" s="77" t="s">
        <v>96</v>
      </c>
      <c r="D15" s="109">
        <v>1</v>
      </c>
      <c r="E15" s="77">
        <f>E17</f>
        <v>1268.4699999999998</v>
      </c>
    </row>
    <row r="16" spans="1:5" x14ac:dyDescent="0.3">
      <c r="A16" s="116" t="s">
        <v>9</v>
      </c>
      <c r="B16" s="113" t="s">
        <v>97</v>
      </c>
      <c r="C16" s="77" t="s">
        <v>96</v>
      </c>
      <c r="D16" s="109">
        <v>1</v>
      </c>
      <c r="E16" s="74">
        <v>58.519999999999996</v>
      </c>
    </row>
    <row r="17" spans="1:5" x14ac:dyDescent="0.3">
      <c r="A17" s="116" t="s">
        <v>38</v>
      </c>
      <c r="B17" s="113" t="s">
        <v>105</v>
      </c>
      <c r="C17" s="77" t="s">
        <v>96</v>
      </c>
      <c r="D17" s="109">
        <v>1</v>
      </c>
      <c r="E17" s="74">
        <v>1268.4699999999998</v>
      </c>
    </row>
    <row r="18" spans="1:5" x14ac:dyDescent="0.3">
      <c r="A18" s="116" t="s">
        <v>39</v>
      </c>
      <c r="B18" s="76" t="s">
        <v>106</v>
      </c>
      <c r="C18" s="77" t="s">
        <v>7</v>
      </c>
      <c r="D18" s="109">
        <v>4.5</v>
      </c>
      <c r="E18" s="77">
        <f>E17*4.5</f>
        <v>5708.1149999999989</v>
      </c>
    </row>
    <row r="19" spans="1:5" x14ac:dyDescent="0.3">
      <c r="A19" s="116" t="s">
        <v>40</v>
      </c>
      <c r="B19" s="76" t="s">
        <v>49</v>
      </c>
      <c r="C19" s="77" t="s">
        <v>7</v>
      </c>
      <c r="D19" s="109">
        <v>0.15</v>
      </c>
      <c r="E19" s="77">
        <f>E17*0.15</f>
        <v>190.27049999999997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A31" sqref="A31:E106"/>
    </sheetView>
  </sheetViews>
  <sheetFormatPr defaultRowHeight="14.4" x14ac:dyDescent="0.3"/>
  <cols>
    <col min="2" max="2" width="12.5546875" customWidth="1"/>
    <col min="3" max="3" width="55.88671875" customWidth="1"/>
    <col min="4" max="4" width="11.44140625" customWidth="1"/>
  </cols>
  <sheetData>
    <row r="1" spans="1:4" ht="15" thickBot="1" x14ac:dyDescent="0.35">
      <c r="A1" s="84"/>
      <c r="B1" s="85"/>
      <c r="C1" s="86" t="s">
        <v>108</v>
      </c>
      <c r="D1" s="87"/>
    </row>
    <row r="2" spans="1:4" ht="15" thickBot="1" x14ac:dyDescent="0.35">
      <c r="A2" s="88" t="s">
        <v>0</v>
      </c>
      <c r="B2" s="89" t="s">
        <v>4</v>
      </c>
      <c r="C2" s="90" t="s">
        <v>1</v>
      </c>
      <c r="D2" s="91" t="s">
        <v>3</v>
      </c>
    </row>
    <row r="3" spans="1:4" x14ac:dyDescent="0.3">
      <c r="A3" s="92">
        <v>1</v>
      </c>
      <c r="B3" s="93" t="s">
        <v>109</v>
      </c>
      <c r="C3" s="94" t="s">
        <v>95</v>
      </c>
      <c r="D3" s="95">
        <v>336.4</v>
      </c>
    </row>
    <row r="4" spans="1:4" x14ac:dyDescent="0.3">
      <c r="A4" s="96"/>
      <c r="B4" s="97" t="s">
        <v>44</v>
      </c>
      <c r="C4" s="73" t="s">
        <v>97</v>
      </c>
      <c r="D4" s="75">
        <v>30.2</v>
      </c>
    </row>
    <row r="5" spans="1:4" x14ac:dyDescent="0.3">
      <c r="A5" s="96"/>
      <c r="B5" s="97"/>
      <c r="C5" s="73" t="s">
        <v>101</v>
      </c>
      <c r="D5" s="75">
        <f>D4</f>
        <v>30.2</v>
      </c>
    </row>
    <row r="6" spans="1:4" x14ac:dyDescent="0.3">
      <c r="A6" s="96"/>
      <c r="B6" s="97"/>
      <c r="C6" s="98" t="s">
        <v>103</v>
      </c>
      <c r="D6" s="99" t="s">
        <v>118</v>
      </c>
    </row>
    <row r="7" spans="1:4" ht="15" thickBot="1" x14ac:dyDescent="0.35">
      <c r="A7" s="100"/>
      <c r="B7" s="101"/>
      <c r="C7" s="102" t="s">
        <v>105</v>
      </c>
      <c r="D7" s="83">
        <f>D3</f>
        <v>336.4</v>
      </c>
    </row>
    <row r="8" spans="1:4" x14ac:dyDescent="0.3">
      <c r="A8" s="103">
        <v>2</v>
      </c>
      <c r="B8" s="104" t="s">
        <v>110</v>
      </c>
      <c r="C8" s="105" t="s">
        <v>95</v>
      </c>
      <c r="D8" s="71">
        <v>543.35</v>
      </c>
    </row>
    <row r="9" spans="1:4" x14ac:dyDescent="0.3">
      <c r="A9" s="96"/>
      <c r="B9" s="97" t="s">
        <v>122</v>
      </c>
      <c r="C9" s="73" t="s">
        <v>97</v>
      </c>
      <c r="D9" s="75">
        <v>28.32</v>
      </c>
    </row>
    <row r="10" spans="1:4" x14ac:dyDescent="0.3">
      <c r="A10" s="96"/>
      <c r="B10" s="97"/>
      <c r="C10" s="73" t="s">
        <v>101</v>
      </c>
      <c r="D10" s="75">
        <f>D9</f>
        <v>28.32</v>
      </c>
    </row>
    <row r="11" spans="1:4" x14ac:dyDescent="0.3">
      <c r="A11" s="96"/>
      <c r="B11" s="97"/>
      <c r="C11" s="98" t="s">
        <v>103</v>
      </c>
      <c r="D11" s="99" t="s">
        <v>119</v>
      </c>
    </row>
    <row r="12" spans="1:4" ht="15" thickBot="1" x14ac:dyDescent="0.35">
      <c r="A12" s="100"/>
      <c r="B12" s="101"/>
      <c r="C12" s="102" t="s">
        <v>105</v>
      </c>
      <c r="D12" s="83">
        <f>D8</f>
        <v>543.35</v>
      </c>
    </row>
    <row r="13" spans="1:4" x14ac:dyDescent="0.3">
      <c r="A13" s="103">
        <v>3</v>
      </c>
      <c r="B13" s="106" t="s">
        <v>111</v>
      </c>
      <c r="C13" s="105" t="s">
        <v>95</v>
      </c>
      <c r="D13" s="71">
        <v>143.85999999999999</v>
      </c>
    </row>
    <row r="14" spans="1:4" ht="15" thickBot="1" x14ac:dyDescent="0.35">
      <c r="A14" s="100"/>
      <c r="B14" s="107" t="s">
        <v>44</v>
      </c>
      <c r="C14" s="102" t="s">
        <v>105</v>
      </c>
      <c r="D14" s="83">
        <f>D13</f>
        <v>143.85999999999999</v>
      </c>
    </row>
    <row r="15" spans="1:4" x14ac:dyDescent="0.3">
      <c r="A15" s="103">
        <v>4</v>
      </c>
      <c r="B15" s="106" t="s">
        <v>112</v>
      </c>
      <c r="C15" s="105" t="s">
        <v>95</v>
      </c>
      <c r="D15" s="71">
        <v>5.24</v>
      </c>
    </row>
    <row r="16" spans="1:4" ht="15" thickBot="1" x14ac:dyDescent="0.35">
      <c r="A16" s="100"/>
      <c r="B16" s="107" t="s">
        <v>121</v>
      </c>
      <c r="C16" s="102" t="s">
        <v>105</v>
      </c>
      <c r="D16" s="83">
        <f>D15</f>
        <v>5.24</v>
      </c>
    </row>
    <row r="17" spans="1:4" x14ac:dyDescent="0.3">
      <c r="A17" s="103">
        <v>5</v>
      </c>
      <c r="B17" s="106" t="s">
        <v>113</v>
      </c>
      <c r="C17" s="105" t="s">
        <v>95</v>
      </c>
      <c r="D17" s="71">
        <v>12.32</v>
      </c>
    </row>
    <row r="18" spans="1:4" ht="15" thickBot="1" x14ac:dyDescent="0.35">
      <c r="A18" s="100"/>
      <c r="B18" s="107" t="s">
        <v>45</v>
      </c>
      <c r="C18" s="102" t="s">
        <v>105</v>
      </c>
      <c r="D18" s="83">
        <f>D17</f>
        <v>12.32</v>
      </c>
    </row>
    <row r="19" spans="1:4" x14ac:dyDescent="0.3">
      <c r="A19" s="103">
        <v>6</v>
      </c>
      <c r="B19" s="106" t="s">
        <v>114</v>
      </c>
      <c r="C19" s="105" t="s">
        <v>95</v>
      </c>
      <c r="D19" s="71">
        <v>5.67</v>
      </c>
    </row>
    <row r="20" spans="1:4" ht="15" thickBot="1" x14ac:dyDescent="0.35">
      <c r="A20" s="100"/>
      <c r="B20" s="107" t="s">
        <v>45</v>
      </c>
      <c r="C20" s="102" t="s">
        <v>105</v>
      </c>
      <c r="D20" s="83">
        <f>D19</f>
        <v>5.67</v>
      </c>
    </row>
    <row r="21" spans="1:4" x14ac:dyDescent="0.3">
      <c r="A21" s="103">
        <v>7</v>
      </c>
      <c r="B21" s="106" t="s">
        <v>115</v>
      </c>
      <c r="C21" s="105" t="s">
        <v>95</v>
      </c>
      <c r="D21" s="71">
        <v>12.01</v>
      </c>
    </row>
    <row r="22" spans="1:4" ht="15" thickBot="1" x14ac:dyDescent="0.35">
      <c r="A22" s="100"/>
      <c r="B22" s="107" t="s">
        <v>120</v>
      </c>
      <c r="C22" s="102" t="s">
        <v>105</v>
      </c>
      <c r="D22" s="83">
        <f>D21</f>
        <v>12.01</v>
      </c>
    </row>
    <row r="23" spans="1:4" x14ac:dyDescent="0.3">
      <c r="A23" s="103">
        <v>8</v>
      </c>
      <c r="B23" s="106" t="s">
        <v>116</v>
      </c>
      <c r="C23" s="105" t="s">
        <v>95</v>
      </c>
      <c r="D23" s="71">
        <v>17.239999999999998</v>
      </c>
    </row>
    <row r="24" spans="1:4" ht="15" thickBot="1" x14ac:dyDescent="0.35">
      <c r="A24" s="100"/>
      <c r="B24" s="107" t="s">
        <v>45</v>
      </c>
      <c r="C24" s="102" t="s">
        <v>105</v>
      </c>
      <c r="D24" s="83">
        <f>D23</f>
        <v>17.239999999999998</v>
      </c>
    </row>
    <row r="25" spans="1:4" x14ac:dyDescent="0.3">
      <c r="A25" s="103">
        <v>9</v>
      </c>
      <c r="B25" s="106" t="s">
        <v>117</v>
      </c>
      <c r="C25" s="105" t="s">
        <v>95</v>
      </c>
      <c r="D25" s="71">
        <v>192.38</v>
      </c>
    </row>
    <row r="26" spans="1:4" ht="15" thickBot="1" x14ac:dyDescent="0.35">
      <c r="A26" s="100"/>
      <c r="B26" s="107" t="s">
        <v>44</v>
      </c>
      <c r="C26" s="102" t="s">
        <v>105</v>
      </c>
      <c r="D26" s="83">
        <f>D25</f>
        <v>192.38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1" sqref="A31:E106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="85" zoomScaleNormal="85" workbookViewId="0">
      <selection activeCell="G20" sqref="G20"/>
    </sheetView>
  </sheetViews>
  <sheetFormatPr defaultRowHeight="14.4" x14ac:dyDescent="0.3"/>
  <cols>
    <col min="1" max="2" width="8.77734375" customWidth="1"/>
    <col min="3" max="3" width="12.88671875" customWidth="1"/>
    <col min="4" max="4" width="2" customWidth="1"/>
    <col min="5" max="6" width="8.77734375" customWidth="1"/>
    <col min="7" max="7" width="11.44140625" bestFit="1" customWidth="1"/>
    <col min="8" max="8" width="1.5546875" customWidth="1"/>
    <col min="9" max="9" width="7.44140625" bestFit="1" customWidth="1"/>
    <col min="10" max="10" width="6.109375" bestFit="1" customWidth="1"/>
    <col min="11" max="11" width="11.44140625" bestFit="1" customWidth="1"/>
  </cols>
  <sheetData>
    <row r="1" spans="1:11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s="195" customFormat="1" ht="15.6" customHeight="1" x14ac:dyDescent="0.3">
      <c r="A2" s="193" t="s">
        <v>0</v>
      </c>
      <c r="B2" s="211" t="s">
        <v>1</v>
      </c>
      <c r="C2" s="211"/>
      <c r="D2" s="211"/>
      <c r="E2" s="211"/>
      <c r="F2" s="211"/>
      <c r="G2" s="210" t="s">
        <v>148</v>
      </c>
      <c r="H2" s="210"/>
      <c r="I2" s="212" t="s">
        <v>12</v>
      </c>
      <c r="J2" s="212"/>
      <c r="K2" s="194" t="s">
        <v>6</v>
      </c>
    </row>
    <row r="3" spans="1:11" ht="32.4" customHeight="1" x14ac:dyDescent="0.3">
      <c r="A3" s="193">
        <v>1</v>
      </c>
      <c r="B3" s="211" t="s">
        <v>162</v>
      </c>
      <c r="C3" s="211"/>
      <c r="D3" s="211"/>
      <c r="E3" s="211"/>
      <c r="F3" s="211"/>
      <c r="G3" s="213" t="s">
        <v>163</v>
      </c>
      <c r="H3" s="213"/>
      <c r="I3" s="213" t="s">
        <v>42</v>
      </c>
      <c r="J3" s="213"/>
      <c r="K3" s="200">
        <f>C13+C19+G15+K16</f>
        <v>2125.2200000000003</v>
      </c>
    </row>
    <row r="4" spans="1:11" ht="15.6" x14ac:dyDescent="0.3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</row>
    <row r="5" spans="1:11" ht="16.2" customHeight="1" x14ac:dyDescent="0.3">
      <c r="A5" s="175" t="s">
        <v>0</v>
      </c>
      <c r="B5" s="176" t="s">
        <v>151</v>
      </c>
      <c r="C5" s="177" t="s">
        <v>3</v>
      </c>
      <c r="D5" s="208"/>
      <c r="E5" s="175" t="s">
        <v>0</v>
      </c>
      <c r="F5" s="176" t="s">
        <v>151</v>
      </c>
      <c r="G5" s="177" t="s">
        <v>3</v>
      </c>
      <c r="H5" s="208"/>
      <c r="I5" s="175" t="s">
        <v>0</v>
      </c>
      <c r="J5" s="176" t="s">
        <v>151</v>
      </c>
      <c r="K5" s="177" t="s">
        <v>3</v>
      </c>
    </row>
    <row r="6" spans="1:11" ht="15.6" x14ac:dyDescent="0.3">
      <c r="A6" s="178">
        <v>1</v>
      </c>
      <c r="B6" s="178" t="s">
        <v>164</v>
      </c>
      <c r="C6" s="180">
        <v>114.46</v>
      </c>
      <c r="D6" s="208"/>
      <c r="E6" s="178">
        <v>1</v>
      </c>
      <c r="F6" s="178" t="s">
        <v>69</v>
      </c>
      <c r="G6" s="180">
        <v>73.849999999999994</v>
      </c>
      <c r="H6" s="208"/>
      <c r="I6" s="178">
        <v>1</v>
      </c>
      <c r="J6" s="178" t="s">
        <v>171</v>
      </c>
      <c r="K6" s="180">
        <v>127.87</v>
      </c>
    </row>
    <row r="7" spans="1:11" ht="15.6" x14ac:dyDescent="0.3">
      <c r="A7" s="181">
        <v>2</v>
      </c>
      <c r="B7" s="181" t="s">
        <v>165</v>
      </c>
      <c r="C7" s="183">
        <v>69</v>
      </c>
      <c r="D7" s="208"/>
      <c r="E7" s="181">
        <v>2</v>
      </c>
      <c r="F7" s="181" t="s">
        <v>70</v>
      </c>
      <c r="G7" s="183">
        <v>72.41</v>
      </c>
      <c r="H7" s="208"/>
      <c r="I7" s="181">
        <v>2</v>
      </c>
      <c r="J7" s="181" t="s">
        <v>172</v>
      </c>
      <c r="K7" s="183">
        <v>73.17</v>
      </c>
    </row>
    <row r="8" spans="1:11" ht="15.6" x14ac:dyDescent="0.3">
      <c r="A8" s="178">
        <v>3</v>
      </c>
      <c r="B8" s="178" t="s">
        <v>166</v>
      </c>
      <c r="C8" s="180">
        <v>69.06</v>
      </c>
      <c r="D8" s="208"/>
      <c r="E8" s="178">
        <v>3</v>
      </c>
      <c r="F8" s="178" t="s">
        <v>71</v>
      </c>
      <c r="G8" s="180">
        <v>68.52</v>
      </c>
      <c r="H8" s="208"/>
      <c r="I8" s="178">
        <v>3</v>
      </c>
      <c r="J8" s="178" t="s">
        <v>173</v>
      </c>
      <c r="K8" s="180">
        <v>71.7</v>
      </c>
    </row>
    <row r="9" spans="1:11" ht="15.6" x14ac:dyDescent="0.3">
      <c r="A9" s="181">
        <v>4</v>
      </c>
      <c r="B9" s="181" t="s">
        <v>167</v>
      </c>
      <c r="C9" s="183">
        <v>69.319999999999993</v>
      </c>
      <c r="D9" s="208"/>
      <c r="E9" s="181">
        <v>4</v>
      </c>
      <c r="F9" s="181" t="s">
        <v>73</v>
      </c>
      <c r="G9" s="183">
        <v>68.55</v>
      </c>
      <c r="H9" s="208"/>
      <c r="I9" s="181">
        <v>4</v>
      </c>
      <c r="J9" s="181" t="s">
        <v>174</v>
      </c>
      <c r="K9" s="183">
        <v>67.69</v>
      </c>
    </row>
    <row r="10" spans="1:11" ht="15.6" x14ac:dyDescent="0.3">
      <c r="A10" s="178">
        <v>5</v>
      </c>
      <c r="B10" s="178" t="s">
        <v>168</v>
      </c>
      <c r="C10" s="180">
        <v>69.03</v>
      </c>
      <c r="D10" s="208"/>
      <c r="E10" s="178">
        <v>5</v>
      </c>
      <c r="F10" s="178" t="s">
        <v>74</v>
      </c>
      <c r="G10" s="180">
        <v>68.64</v>
      </c>
      <c r="H10" s="208"/>
      <c r="I10" s="178">
        <v>5</v>
      </c>
      <c r="J10" s="178" t="s">
        <v>175</v>
      </c>
      <c r="K10" s="180">
        <v>67.83</v>
      </c>
    </row>
    <row r="11" spans="1:11" ht="15.6" x14ac:dyDescent="0.3">
      <c r="A11" s="181">
        <v>6</v>
      </c>
      <c r="B11" s="181" t="s">
        <v>169</v>
      </c>
      <c r="C11" s="183">
        <v>68.28</v>
      </c>
      <c r="D11" s="208"/>
      <c r="E11" s="181">
        <v>6</v>
      </c>
      <c r="F11" s="181" t="s">
        <v>75</v>
      </c>
      <c r="G11" s="183">
        <v>68.459999999999994</v>
      </c>
      <c r="H11" s="208"/>
      <c r="I11" s="181">
        <v>6</v>
      </c>
      <c r="J11" s="181" t="s">
        <v>176</v>
      </c>
      <c r="K11" s="183">
        <v>68.180000000000007</v>
      </c>
    </row>
    <row r="12" spans="1:11" ht="15.6" x14ac:dyDescent="0.3">
      <c r="A12" s="178">
        <v>7</v>
      </c>
      <c r="B12" s="178" t="s">
        <v>170</v>
      </c>
      <c r="C12" s="180">
        <v>137.83000000000001</v>
      </c>
      <c r="D12" s="208"/>
      <c r="E12" s="178">
        <v>7</v>
      </c>
      <c r="F12" s="178" t="s">
        <v>76</v>
      </c>
      <c r="G12" s="180">
        <v>67.58</v>
      </c>
      <c r="H12" s="208"/>
      <c r="I12" s="178">
        <v>7</v>
      </c>
      <c r="J12" s="178" t="s">
        <v>177</v>
      </c>
      <c r="K12" s="180">
        <v>68.010000000000005</v>
      </c>
    </row>
    <row r="13" spans="1:11" ht="15.6" x14ac:dyDescent="0.3">
      <c r="A13" s="182"/>
      <c r="B13" s="182" t="s">
        <v>93</v>
      </c>
      <c r="C13" s="183">
        <f>SUM(C6:C12)</f>
        <v>596.98</v>
      </c>
      <c r="D13" s="208"/>
      <c r="E13" s="181">
        <v>8</v>
      </c>
      <c r="F13" s="181" t="s">
        <v>77</v>
      </c>
      <c r="G13" s="183">
        <v>68.459999999999994</v>
      </c>
      <c r="H13" s="208"/>
      <c r="I13" s="181">
        <v>8</v>
      </c>
      <c r="J13" s="181" t="s">
        <v>178</v>
      </c>
      <c r="K13" s="183">
        <v>67.14</v>
      </c>
    </row>
    <row r="14" spans="1:11" ht="15.6" x14ac:dyDescent="0.3">
      <c r="A14" s="201"/>
      <c r="B14" s="201"/>
      <c r="C14" s="201"/>
      <c r="D14" s="208"/>
      <c r="E14" s="178">
        <v>9</v>
      </c>
      <c r="F14" s="178" t="s">
        <v>78</v>
      </c>
      <c r="G14" s="180">
        <v>68.27</v>
      </c>
      <c r="H14" s="208"/>
      <c r="I14" s="178">
        <v>9</v>
      </c>
      <c r="J14" s="178" t="s">
        <v>179</v>
      </c>
      <c r="K14" s="180">
        <v>68</v>
      </c>
    </row>
    <row r="15" spans="1:11" ht="15.6" x14ac:dyDescent="0.3">
      <c r="A15" s="175" t="s">
        <v>0</v>
      </c>
      <c r="B15" s="176" t="s">
        <v>151</v>
      </c>
      <c r="C15" s="177" t="s">
        <v>3</v>
      </c>
      <c r="D15" s="208"/>
      <c r="F15" s="182" t="s">
        <v>93</v>
      </c>
      <c r="G15" s="183">
        <f>SUM(G6:G14)</f>
        <v>624.7399999999999</v>
      </c>
      <c r="H15" s="208"/>
      <c r="I15" s="181">
        <v>10</v>
      </c>
      <c r="J15" s="181" t="s">
        <v>180</v>
      </c>
      <c r="K15" s="183">
        <v>67.81</v>
      </c>
    </row>
    <row r="16" spans="1:11" ht="15.6" x14ac:dyDescent="0.3">
      <c r="A16" s="178">
        <v>1</v>
      </c>
      <c r="B16" s="178" t="s">
        <v>181</v>
      </c>
      <c r="C16" s="180">
        <v>103.08</v>
      </c>
      <c r="D16" s="208"/>
      <c r="E16" s="208"/>
      <c r="F16" s="208"/>
      <c r="G16" s="208"/>
      <c r="H16" s="208"/>
      <c r="J16" s="182" t="s">
        <v>93</v>
      </c>
      <c r="K16" s="183">
        <f>SUM(K6:K15)</f>
        <v>747.40000000000009</v>
      </c>
    </row>
    <row r="17" spans="1:11" ht="15.6" x14ac:dyDescent="0.3">
      <c r="A17" s="181">
        <v>2</v>
      </c>
      <c r="B17" s="181" t="s">
        <v>182</v>
      </c>
      <c r="C17" s="183">
        <v>22.05</v>
      </c>
      <c r="D17" s="208"/>
      <c r="E17" s="208"/>
      <c r="F17" s="208"/>
      <c r="G17" s="208"/>
      <c r="H17" s="208"/>
      <c r="I17" s="208"/>
      <c r="J17" s="208"/>
      <c r="K17" s="208"/>
    </row>
    <row r="18" spans="1:11" ht="15.6" x14ac:dyDescent="0.3">
      <c r="A18" s="178">
        <v>3</v>
      </c>
      <c r="B18" s="178" t="s">
        <v>183</v>
      </c>
      <c r="C18" s="180">
        <v>30.97</v>
      </c>
      <c r="D18" s="208"/>
      <c r="E18" s="208"/>
      <c r="F18" s="208"/>
      <c r="G18" s="208"/>
      <c r="H18" s="208"/>
      <c r="I18" s="208"/>
      <c r="J18" s="208"/>
      <c r="K18" s="208"/>
    </row>
    <row r="19" spans="1:11" ht="15.6" x14ac:dyDescent="0.3">
      <c r="A19" s="182"/>
      <c r="B19" s="182" t="s">
        <v>93</v>
      </c>
      <c r="C19" s="183">
        <f>SUM(C16:C18)</f>
        <v>156.1</v>
      </c>
      <c r="D19" s="208"/>
      <c r="E19" s="208"/>
      <c r="F19" s="208"/>
      <c r="G19" s="208"/>
      <c r="H19" s="208"/>
      <c r="I19" s="208"/>
      <c r="J19" s="208"/>
      <c r="K19" s="208"/>
    </row>
  </sheetData>
  <mergeCells count="12">
    <mergeCell ref="A1:K1"/>
    <mergeCell ref="B2:F2"/>
    <mergeCell ref="G2:H2"/>
    <mergeCell ref="I2:J2"/>
    <mergeCell ref="B3:F3"/>
    <mergeCell ref="G3:H3"/>
    <mergeCell ref="I3:J3"/>
    <mergeCell ref="I17:K19"/>
    <mergeCell ref="H5:H19"/>
    <mergeCell ref="D5:D19"/>
    <mergeCell ref="A4:K4"/>
    <mergeCell ref="E16:G19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Normal="100" workbookViewId="0">
      <selection activeCell="E24" sqref="E24"/>
    </sheetView>
  </sheetViews>
  <sheetFormatPr defaultRowHeight="14.4" x14ac:dyDescent="0.3"/>
  <cols>
    <col min="1" max="1" width="7.44140625" bestFit="1" customWidth="1"/>
    <col min="2" max="2" width="6.109375" bestFit="1" customWidth="1"/>
    <col min="3" max="3" width="11.44140625" bestFit="1" customWidth="1"/>
    <col min="4" max="4" width="11.5546875" customWidth="1"/>
    <col min="5" max="5" width="12.109375" customWidth="1"/>
    <col min="6" max="6" width="7.6640625" customWidth="1"/>
    <col min="7" max="7" width="8.77734375" customWidth="1"/>
    <col min="8" max="8" width="7.5546875" bestFit="1" customWidth="1"/>
  </cols>
  <sheetData>
    <row r="1" spans="1:8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</row>
    <row r="2" spans="1:8" s="199" customFormat="1" ht="15.6" customHeight="1" x14ac:dyDescent="0.3">
      <c r="A2" s="196" t="s">
        <v>0</v>
      </c>
      <c r="B2" s="234" t="s">
        <v>1</v>
      </c>
      <c r="C2" s="235"/>
      <c r="D2" s="236"/>
      <c r="E2" s="237" t="s">
        <v>148</v>
      </c>
      <c r="F2" s="238"/>
      <c r="G2" s="197" t="s">
        <v>12</v>
      </c>
      <c r="H2" s="173" t="s">
        <v>6</v>
      </c>
    </row>
    <row r="3" spans="1:8" ht="46.8" customHeight="1" x14ac:dyDescent="0.3">
      <c r="A3" s="196">
        <v>1</v>
      </c>
      <c r="B3" s="234" t="s">
        <v>186</v>
      </c>
      <c r="C3" s="235"/>
      <c r="D3" s="236"/>
      <c r="E3" s="239" t="s">
        <v>195</v>
      </c>
      <c r="F3" s="240"/>
      <c r="G3" s="198" t="s">
        <v>42</v>
      </c>
      <c r="H3" s="184">
        <f>C14</f>
        <v>1205.9000000000001</v>
      </c>
    </row>
    <row r="4" spans="1:8" ht="10.8" customHeight="1" x14ac:dyDescent="0.3">
      <c r="A4" s="214"/>
      <c r="B4" s="214"/>
      <c r="C4" s="214"/>
      <c r="D4" s="214"/>
      <c r="E4" s="214"/>
      <c r="F4" s="214"/>
      <c r="G4" s="214"/>
      <c r="H4" s="214"/>
    </row>
    <row r="5" spans="1:8" ht="34.799999999999997" customHeight="1" x14ac:dyDescent="0.3">
      <c r="A5" s="175" t="s">
        <v>0</v>
      </c>
      <c r="B5" s="176" t="s">
        <v>151</v>
      </c>
      <c r="C5" s="231" t="s">
        <v>188</v>
      </c>
      <c r="D5" s="242"/>
      <c r="E5" s="241"/>
      <c r="F5" s="241"/>
      <c r="G5" s="241"/>
      <c r="H5" s="241"/>
    </row>
    <row r="6" spans="1:8" ht="15.6" x14ac:dyDescent="0.3">
      <c r="A6" s="232">
        <v>1</v>
      </c>
      <c r="B6" s="232" t="s">
        <v>192</v>
      </c>
      <c r="C6" s="233">
        <v>411.5</v>
      </c>
      <c r="D6" s="242"/>
      <c r="E6" s="241"/>
      <c r="F6" s="241"/>
      <c r="G6" s="241"/>
      <c r="H6" s="241"/>
    </row>
    <row r="7" spans="1:8" ht="15.6" x14ac:dyDescent="0.3">
      <c r="A7" s="232">
        <v>2</v>
      </c>
      <c r="B7" s="232" t="s">
        <v>190</v>
      </c>
      <c r="C7" s="233">
        <v>128.1</v>
      </c>
      <c r="D7" s="242"/>
      <c r="E7" s="241"/>
      <c r="F7" s="241"/>
      <c r="G7" s="241"/>
      <c r="H7" s="241"/>
    </row>
    <row r="8" spans="1:8" ht="15.6" x14ac:dyDescent="0.3">
      <c r="A8" s="232">
        <v>3</v>
      </c>
      <c r="B8" s="232" t="s">
        <v>189</v>
      </c>
      <c r="C8" s="233">
        <v>134.30000000000001</v>
      </c>
      <c r="D8" s="242"/>
      <c r="E8" s="241"/>
      <c r="F8" s="241"/>
      <c r="G8" s="241"/>
      <c r="H8" s="241"/>
    </row>
    <row r="9" spans="1:8" ht="15.6" x14ac:dyDescent="0.3">
      <c r="A9" s="232">
        <v>4</v>
      </c>
      <c r="B9" s="181" t="s">
        <v>32</v>
      </c>
      <c r="C9" s="233">
        <v>53.400000000000006</v>
      </c>
      <c r="D9" s="242"/>
      <c r="E9" s="241"/>
      <c r="F9" s="241"/>
      <c r="G9" s="241"/>
      <c r="H9" s="241"/>
    </row>
    <row r="10" spans="1:8" ht="15.6" x14ac:dyDescent="0.3">
      <c r="A10" s="232">
        <v>5</v>
      </c>
      <c r="B10" s="181" t="s">
        <v>24</v>
      </c>
      <c r="C10" s="233">
        <v>144.4</v>
      </c>
      <c r="D10" s="242"/>
      <c r="E10" s="241"/>
      <c r="F10" s="241"/>
      <c r="G10" s="241"/>
      <c r="H10" s="241"/>
    </row>
    <row r="11" spans="1:8" ht="15.6" x14ac:dyDescent="0.3">
      <c r="A11" s="232">
        <v>6</v>
      </c>
      <c r="B11" s="181" t="s">
        <v>43</v>
      </c>
      <c r="C11" s="233">
        <v>6.3999999999999986</v>
      </c>
      <c r="D11" s="242"/>
      <c r="E11" s="241"/>
      <c r="F11" s="241"/>
      <c r="G11" s="241"/>
      <c r="H11" s="241"/>
    </row>
    <row r="12" spans="1:8" ht="15.6" x14ac:dyDescent="0.3">
      <c r="A12" s="232">
        <v>7</v>
      </c>
      <c r="B12" s="181" t="s">
        <v>55</v>
      </c>
      <c r="C12" s="233">
        <v>216.1</v>
      </c>
      <c r="D12" s="242"/>
      <c r="E12" s="241"/>
      <c r="F12" s="241"/>
      <c r="G12" s="241"/>
      <c r="H12" s="241"/>
    </row>
    <row r="13" spans="1:8" ht="15.6" x14ac:dyDescent="0.3">
      <c r="A13" s="232">
        <v>8</v>
      </c>
      <c r="B13" s="181" t="s">
        <v>56</v>
      </c>
      <c r="C13" s="233">
        <v>111.69999999999999</v>
      </c>
      <c r="D13" s="242"/>
      <c r="E13" s="241"/>
      <c r="F13" s="241"/>
      <c r="G13" s="241"/>
      <c r="H13" s="241"/>
    </row>
    <row r="14" spans="1:8" ht="15.6" x14ac:dyDescent="0.3">
      <c r="A14" s="182"/>
      <c r="B14" s="182" t="s">
        <v>93</v>
      </c>
      <c r="C14" s="183">
        <f t="shared" ref="C14" si="0">SUM(C6:C13)</f>
        <v>1205.9000000000001</v>
      </c>
      <c r="D14" s="242"/>
      <c r="E14" s="241"/>
      <c r="F14" s="241"/>
      <c r="G14" s="241"/>
      <c r="H14" s="241"/>
    </row>
  </sheetData>
  <mergeCells count="7">
    <mergeCell ref="D5:H14"/>
    <mergeCell ref="A1:H1"/>
    <mergeCell ref="A4:H4"/>
    <mergeCell ref="B2:D2"/>
    <mergeCell ref="B3:D3"/>
    <mergeCell ref="E2:F2"/>
    <mergeCell ref="E3:F3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85" zoomScaleNormal="85" workbookViewId="0">
      <selection activeCell="M28" sqref="M28"/>
    </sheetView>
  </sheetViews>
  <sheetFormatPr defaultRowHeight="14.4" x14ac:dyDescent="0.3"/>
  <cols>
    <col min="1" max="1" width="7.44140625" bestFit="1" customWidth="1"/>
    <col min="2" max="2" width="6.109375" bestFit="1" customWidth="1"/>
    <col min="3" max="3" width="11.44140625" customWidth="1"/>
    <col min="4" max="5" width="11.44140625" bestFit="1" customWidth="1"/>
    <col min="6" max="6" width="11.33203125" customWidth="1"/>
    <col min="7" max="7" width="8.77734375" customWidth="1"/>
    <col min="8" max="8" width="7.5546875" bestFit="1" customWidth="1"/>
  </cols>
  <sheetData>
    <row r="1" spans="1:8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</row>
    <row r="2" spans="1:8" s="189" customFormat="1" ht="15.6" customHeight="1" x14ac:dyDescent="0.3">
      <c r="A2" s="190" t="s">
        <v>0</v>
      </c>
      <c r="B2" s="234" t="s">
        <v>1</v>
      </c>
      <c r="C2" s="235"/>
      <c r="D2" s="236"/>
      <c r="E2" s="237" t="s">
        <v>148</v>
      </c>
      <c r="F2" s="238"/>
      <c r="G2" s="191" t="s">
        <v>12</v>
      </c>
      <c r="H2" s="173" t="s">
        <v>6</v>
      </c>
    </row>
    <row r="3" spans="1:8" ht="46.8" customHeight="1" x14ac:dyDescent="0.3">
      <c r="A3" s="190">
        <v>1</v>
      </c>
      <c r="B3" s="234" t="s">
        <v>186</v>
      </c>
      <c r="C3" s="235"/>
      <c r="D3" s="236"/>
      <c r="E3" s="239" t="s">
        <v>194</v>
      </c>
      <c r="F3" s="240"/>
      <c r="G3" s="192" t="s">
        <v>42</v>
      </c>
      <c r="H3" s="184">
        <f>C12</f>
        <v>1482.242</v>
      </c>
    </row>
    <row r="4" spans="1:8" ht="15.6" x14ac:dyDescent="0.3">
      <c r="A4" s="214"/>
      <c r="B4" s="214"/>
      <c r="C4" s="214"/>
      <c r="D4" s="214"/>
      <c r="E4" s="214"/>
      <c r="F4" s="214"/>
      <c r="G4" s="214"/>
      <c r="H4" s="214"/>
    </row>
    <row r="5" spans="1:8" ht="36" customHeight="1" x14ac:dyDescent="0.3">
      <c r="A5" s="175" t="s">
        <v>0</v>
      </c>
      <c r="B5" s="176" t="s">
        <v>151</v>
      </c>
      <c r="C5" s="231" t="s">
        <v>188</v>
      </c>
      <c r="D5" s="215"/>
      <c r="E5" s="216"/>
      <c r="F5" s="216"/>
      <c r="G5" s="216"/>
      <c r="H5" s="216"/>
    </row>
    <row r="6" spans="1:8" ht="15.6" x14ac:dyDescent="0.3">
      <c r="A6" s="178">
        <v>1</v>
      </c>
      <c r="B6" s="178" t="s">
        <v>117</v>
      </c>
      <c r="C6" s="180">
        <f t="shared" ref="C6" si="0">191.78+15.6*3+0.4*0.4*6.2+13*0.1*2*4+0.942*13</f>
        <v>262.21799999999996</v>
      </c>
      <c r="D6" s="215"/>
      <c r="E6" s="216"/>
      <c r="F6" s="216"/>
      <c r="G6" s="216"/>
      <c r="H6" s="216"/>
    </row>
    <row r="7" spans="1:8" ht="15.6" x14ac:dyDescent="0.3">
      <c r="A7" s="181">
        <v>2</v>
      </c>
      <c r="B7" s="181" t="s">
        <v>111</v>
      </c>
      <c r="C7" s="183">
        <f t="shared" ref="C7" si="1">146.45+59.6+0.942*13</f>
        <v>218.29599999999999</v>
      </c>
      <c r="D7" s="215"/>
      <c r="E7" s="216"/>
      <c r="F7" s="216"/>
      <c r="G7" s="216"/>
      <c r="H7" s="216"/>
    </row>
    <row r="8" spans="1:8" ht="15.6" x14ac:dyDescent="0.3">
      <c r="A8" s="181">
        <v>3</v>
      </c>
      <c r="B8" s="181" t="s">
        <v>16</v>
      </c>
      <c r="C8" s="183">
        <f t="shared" ref="C8" si="2">158.69+15.6*3+0.4*0.4*6.2+13*0.1*2*4+0.942*13</f>
        <v>229.12800000000001</v>
      </c>
      <c r="D8" s="215"/>
      <c r="E8" s="216"/>
      <c r="F8" s="216"/>
      <c r="G8" s="216"/>
      <c r="H8" s="216"/>
    </row>
    <row r="9" spans="1:8" ht="15.6" x14ac:dyDescent="0.3">
      <c r="A9" s="181">
        <v>4</v>
      </c>
      <c r="B9" s="181" t="s">
        <v>18</v>
      </c>
      <c r="C9" s="183">
        <f t="shared" ref="C9" si="3">145.8+59.6+0.942*13</f>
        <v>217.64600000000002</v>
      </c>
      <c r="D9" s="215"/>
      <c r="E9" s="216"/>
      <c r="F9" s="216"/>
      <c r="G9" s="216"/>
      <c r="H9" s="216"/>
    </row>
    <row r="10" spans="1:8" ht="15.6" x14ac:dyDescent="0.3">
      <c r="A10" s="181">
        <v>5</v>
      </c>
      <c r="B10" s="181" t="s">
        <v>54</v>
      </c>
      <c r="C10" s="183">
        <f t="shared" ref="C10" si="4">243.62+15.6*3+0.4*0.4*6.2+13*0.1*2*4+0.942*13</f>
        <v>314.05799999999999</v>
      </c>
      <c r="D10" s="215"/>
      <c r="E10" s="216"/>
      <c r="F10" s="216"/>
      <c r="G10" s="216"/>
      <c r="H10" s="216"/>
    </row>
    <row r="11" spans="1:8" ht="15.6" x14ac:dyDescent="0.3">
      <c r="A11" s="181">
        <v>6</v>
      </c>
      <c r="B11" s="178" t="s">
        <v>57</v>
      </c>
      <c r="C11" s="180">
        <f t="shared" ref="C11" si="5">146.65+59.6+22.4+0.942*13</f>
        <v>240.89600000000002</v>
      </c>
      <c r="D11" s="215"/>
      <c r="E11" s="216"/>
      <c r="F11" s="216"/>
      <c r="G11" s="216"/>
      <c r="H11" s="216"/>
    </row>
    <row r="12" spans="1:8" ht="15.6" x14ac:dyDescent="0.3">
      <c r="A12" s="182"/>
      <c r="B12" s="182" t="s">
        <v>93</v>
      </c>
      <c r="C12" s="183">
        <f t="shared" ref="C12" si="6">SUM(C6:C11)</f>
        <v>1482.242</v>
      </c>
      <c r="D12" s="215"/>
      <c r="E12" s="216"/>
      <c r="F12" s="216"/>
      <c r="G12" s="216"/>
      <c r="H12" s="216"/>
    </row>
  </sheetData>
  <mergeCells count="7">
    <mergeCell ref="A4:H4"/>
    <mergeCell ref="D5:H12"/>
    <mergeCell ref="A1:H1"/>
    <mergeCell ref="E2:F2"/>
    <mergeCell ref="E3:F3"/>
    <mergeCell ref="B2:D2"/>
    <mergeCell ref="B3:D3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zoomScale="85" zoomScaleNormal="85" workbookViewId="0">
      <selection activeCell="E9" sqref="E9"/>
    </sheetView>
  </sheetViews>
  <sheetFormatPr defaultRowHeight="14.4" x14ac:dyDescent="0.3"/>
  <cols>
    <col min="1" max="1" width="8.77734375" customWidth="1"/>
    <col min="2" max="2" width="10" customWidth="1"/>
    <col min="3" max="3" width="12.88671875" customWidth="1"/>
    <col min="4" max="4" width="2" customWidth="1"/>
    <col min="5" max="6" width="8.77734375" customWidth="1"/>
    <col min="7" max="7" width="10.6640625" customWidth="1"/>
    <col min="8" max="8" width="1.5546875" customWidth="1"/>
    <col min="9" max="9" width="8.77734375" customWidth="1"/>
    <col min="10" max="10" width="2.88671875" customWidth="1"/>
    <col min="11" max="11" width="8.21875" customWidth="1"/>
  </cols>
  <sheetData>
    <row r="1" spans="1:11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s="188" customFormat="1" ht="15.6" customHeight="1" x14ac:dyDescent="0.3">
      <c r="A2" s="187" t="s">
        <v>0</v>
      </c>
      <c r="B2" s="211" t="s">
        <v>1</v>
      </c>
      <c r="C2" s="211"/>
      <c r="D2" s="211"/>
      <c r="E2" s="211"/>
      <c r="F2" s="211"/>
      <c r="G2" s="210" t="s">
        <v>148</v>
      </c>
      <c r="H2" s="210"/>
      <c r="I2" s="212" t="s">
        <v>12</v>
      </c>
      <c r="J2" s="212"/>
      <c r="K2" s="173" t="s">
        <v>6</v>
      </c>
    </row>
    <row r="3" spans="1:11" ht="37.200000000000003" customHeight="1" x14ac:dyDescent="0.3">
      <c r="A3" s="187">
        <v>1</v>
      </c>
      <c r="B3" s="211" t="s">
        <v>156</v>
      </c>
      <c r="C3" s="211"/>
      <c r="D3" s="211"/>
      <c r="E3" s="211"/>
      <c r="F3" s="211"/>
      <c r="G3" s="213" t="s">
        <v>185</v>
      </c>
      <c r="H3" s="213"/>
      <c r="I3" s="213" t="s">
        <v>42</v>
      </c>
      <c r="J3" s="213"/>
      <c r="K3" s="184">
        <f>C7</f>
        <v>167.53</v>
      </c>
    </row>
    <row r="4" spans="1:11" ht="15.6" x14ac:dyDescent="0.3">
      <c r="A4" s="209"/>
      <c r="B4" s="209"/>
      <c r="C4" s="209"/>
      <c r="D4" s="209"/>
      <c r="E4" s="209"/>
      <c r="F4" s="209"/>
      <c r="G4" s="209"/>
      <c r="H4" s="209"/>
      <c r="I4" s="209"/>
      <c r="J4" s="209"/>
      <c r="K4" s="209"/>
    </row>
    <row r="5" spans="1:11" ht="16.2" customHeight="1" x14ac:dyDescent="0.3">
      <c r="A5" s="175" t="s">
        <v>0</v>
      </c>
      <c r="B5" s="176" t="s">
        <v>151</v>
      </c>
      <c r="C5" s="177" t="s">
        <v>3</v>
      </c>
      <c r="D5" s="215"/>
      <c r="E5" s="216"/>
      <c r="F5" s="216"/>
      <c r="G5" s="216"/>
      <c r="H5" s="216"/>
      <c r="I5" s="216"/>
      <c r="J5" s="216"/>
      <c r="K5" s="216"/>
    </row>
    <row r="6" spans="1:11" ht="15.6" x14ac:dyDescent="0.3">
      <c r="A6" s="178">
        <v>1</v>
      </c>
      <c r="B6" s="179" t="s">
        <v>184</v>
      </c>
      <c r="C6" s="180">
        <v>167.53</v>
      </c>
      <c r="D6" s="215"/>
      <c r="E6" s="216"/>
      <c r="F6" s="216"/>
      <c r="G6" s="216"/>
      <c r="H6" s="216"/>
      <c r="I6" s="216"/>
      <c r="J6" s="216"/>
      <c r="K6" s="216"/>
    </row>
    <row r="7" spans="1:11" ht="15.6" x14ac:dyDescent="0.3">
      <c r="A7" s="182" t="s">
        <v>93</v>
      </c>
      <c r="B7" s="182" t="s">
        <v>185</v>
      </c>
      <c r="C7" s="183">
        <f>SUM(C6:C6)</f>
        <v>167.53</v>
      </c>
      <c r="D7" s="215"/>
      <c r="E7" s="216"/>
      <c r="F7" s="216"/>
      <c r="G7" s="216"/>
      <c r="H7" s="216"/>
      <c r="I7" s="216"/>
      <c r="J7" s="216"/>
      <c r="K7" s="216"/>
    </row>
  </sheetData>
  <mergeCells count="9">
    <mergeCell ref="A4:K4"/>
    <mergeCell ref="D5:K7"/>
    <mergeCell ref="A1:K1"/>
    <mergeCell ref="B2:F2"/>
    <mergeCell ref="G2:H2"/>
    <mergeCell ref="I2:J2"/>
    <mergeCell ref="B3:F3"/>
    <mergeCell ref="G3:H3"/>
    <mergeCell ref="I3:J3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85" zoomScaleNormal="85" workbookViewId="0">
      <selection activeCell="A5" sqref="A5:C9"/>
    </sheetView>
  </sheetViews>
  <sheetFormatPr defaultRowHeight="14.4" x14ac:dyDescent="0.3"/>
  <cols>
    <col min="1" max="1" width="8.77734375" customWidth="1"/>
    <col min="2" max="2" width="10" customWidth="1"/>
    <col min="3" max="3" width="12.21875" customWidth="1"/>
    <col min="4" max="4" width="2" customWidth="1"/>
    <col min="5" max="6" width="8.77734375" customWidth="1"/>
    <col min="7" max="7" width="14.33203125" customWidth="1"/>
    <col min="8" max="8" width="1.5546875" customWidth="1"/>
    <col min="9" max="10" width="8.77734375" customWidth="1"/>
    <col min="11" max="11" width="14.33203125" customWidth="1"/>
  </cols>
  <sheetData>
    <row r="1" spans="1:11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s="185" customFormat="1" ht="15.6" customHeight="1" x14ac:dyDescent="0.3">
      <c r="A2" s="186" t="s">
        <v>0</v>
      </c>
      <c r="B2" s="211" t="s">
        <v>1</v>
      </c>
      <c r="C2" s="211"/>
      <c r="D2" s="211"/>
      <c r="E2" s="211"/>
      <c r="F2" s="211"/>
      <c r="G2" s="210" t="s">
        <v>148</v>
      </c>
      <c r="H2" s="210"/>
      <c r="I2" s="212" t="s">
        <v>12</v>
      </c>
      <c r="J2" s="212"/>
      <c r="K2" s="173" t="s">
        <v>6</v>
      </c>
    </row>
    <row r="3" spans="1:11" ht="37.200000000000003" customHeight="1" x14ac:dyDescent="0.3">
      <c r="A3" s="186">
        <v>1</v>
      </c>
      <c r="B3" s="211" t="s">
        <v>162</v>
      </c>
      <c r="C3" s="211"/>
      <c r="D3" s="211"/>
      <c r="E3" s="211"/>
      <c r="F3" s="211"/>
      <c r="G3" s="213" t="s">
        <v>163</v>
      </c>
      <c r="H3" s="213"/>
      <c r="I3" s="213" t="s">
        <v>42</v>
      </c>
      <c r="J3" s="213"/>
      <c r="K3" s="184">
        <f>C9</f>
        <v>155.35</v>
      </c>
    </row>
    <row r="4" spans="1:11" ht="15.6" x14ac:dyDescent="0.3">
      <c r="A4" s="214"/>
      <c r="B4" s="214"/>
      <c r="C4" s="214"/>
      <c r="D4" s="214"/>
      <c r="E4" s="214"/>
      <c r="F4" s="214"/>
      <c r="G4" s="214"/>
      <c r="H4" s="214"/>
      <c r="I4" s="214"/>
      <c r="J4" s="214"/>
      <c r="K4" s="214"/>
    </row>
    <row r="5" spans="1:11" ht="16.2" customHeight="1" x14ac:dyDescent="0.3">
      <c r="A5" s="175" t="s">
        <v>0</v>
      </c>
      <c r="B5" s="176" t="s">
        <v>151</v>
      </c>
      <c r="C5" s="177" t="s">
        <v>3</v>
      </c>
      <c r="D5" s="215"/>
      <c r="E5" s="216"/>
      <c r="F5" s="216"/>
      <c r="G5" s="216"/>
      <c r="H5" s="216"/>
      <c r="I5" s="216"/>
      <c r="J5" s="216"/>
      <c r="K5" s="216"/>
    </row>
    <row r="6" spans="1:11" ht="15.6" x14ac:dyDescent="0.3">
      <c r="A6" s="178">
        <v>1</v>
      </c>
      <c r="B6" s="178" t="s">
        <v>181</v>
      </c>
      <c r="C6" s="180">
        <v>102.83</v>
      </c>
      <c r="D6" s="215"/>
      <c r="E6" s="216"/>
      <c r="F6" s="216"/>
      <c r="G6" s="216"/>
      <c r="H6" s="216"/>
      <c r="I6" s="216"/>
      <c r="J6" s="216"/>
      <c r="K6" s="216"/>
    </row>
    <row r="7" spans="1:11" ht="15.6" x14ac:dyDescent="0.3">
      <c r="A7" s="181">
        <v>2</v>
      </c>
      <c r="B7" s="181" t="s">
        <v>182</v>
      </c>
      <c r="C7" s="183">
        <v>21.8</v>
      </c>
      <c r="D7" s="215"/>
      <c r="E7" s="216"/>
      <c r="F7" s="216"/>
      <c r="G7" s="216"/>
      <c r="H7" s="216"/>
      <c r="I7" s="216"/>
      <c r="J7" s="216"/>
      <c r="K7" s="216"/>
    </row>
    <row r="8" spans="1:11" ht="15.6" x14ac:dyDescent="0.3">
      <c r="A8" s="178">
        <v>3</v>
      </c>
      <c r="B8" s="178" t="s">
        <v>183</v>
      </c>
      <c r="C8" s="180">
        <v>30.72</v>
      </c>
      <c r="D8" s="215"/>
      <c r="E8" s="216"/>
      <c r="F8" s="216"/>
      <c r="G8" s="216"/>
      <c r="H8" s="216"/>
      <c r="I8" s="216"/>
      <c r="J8" s="216"/>
      <c r="K8" s="216"/>
    </row>
    <row r="9" spans="1:11" ht="15.6" x14ac:dyDescent="0.3">
      <c r="A9" s="182"/>
      <c r="B9" s="182" t="s">
        <v>93</v>
      </c>
      <c r="C9" s="183">
        <f>SUM(C6:C8)</f>
        <v>155.35</v>
      </c>
      <c r="D9" s="215"/>
      <c r="E9" s="216"/>
      <c r="F9" s="216"/>
      <c r="G9" s="216"/>
      <c r="H9" s="216"/>
      <c r="I9" s="216"/>
      <c r="J9" s="216"/>
      <c r="K9" s="216"/>
    </row>
  </sheetData>
  <mergeCells count="9">
    <mergeCell ref="A4:K4"/>
    <mergeCell ref="D5:K9"/>
    <mergeCell ref="A1:K1"/>
    <mergeCell ref="B2:F2"/>
    <mergeCell ref="G2:H2"/>
    <mergeCell ref="I2:J2"/>
    <mergeCell ref="B3:F3"/>
    <mergeCell ref="G3:H3"/>
    <mergeCell ref="I3:J3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="85" zoomScaleNormal="85" workbookViewId="0">
      <selection activeCell="A5" sqref="A5:XFD16"/>
    </sheetView>
  </sheetViews>
  <sheetFormatPr defaultRowHeight="14.4" x14ac:dyDescent="0.3"/>
  <cols>
    <col min="1" max="1" width="8.77734375" customWidth="1"/>
    <col min="2" max="2" width="10" customWidth="1"/>
    <col min="3" max="3" width="12.21875" customWidth="1"/>
    <col min="4" max="4" width="2" customWidth="1"/>
    <col min="5" max="6" width="8.77734375" customWidth="1"/>
    <col min="7" max="7" width="14.33203125" customWidth="1"/>
    <col min="8" max="8" width="1.5546875" customWidth="1"/>
    <col min="9" max="10" width="8.77734375" customWidth="1"/>
    <col min="11" max="11" width="14.33203125" customWidth="1"/>
  </cols>
  <sheetData>
    <row r="1" spans="1:11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s="174" customFormat="1" ht="15.6" customHeight="1" x14ac:dyDescent="0.3">
      <c r="A2" s="172" t="s">
        <v>0</v>
      </c>
      <c r="B2" s="211" t="s">
        <v>1</v>
      </c>
      <c r="C2" s="211"/>
      <c r="D2" s="211"/>
      <c r="E2" s="211"/>
      <c r="F2" s="211"/>
      <c r="G2" s="210" t="s">
        <v>148</v>
      </c>
      <c r="H2" s="210"/>
      <c r="I2" s="212" t="s">
        <v>12</v>
      </c>
      <c r="J2" s="212"/>
      <c r="K2" s="173" t="s">
        <v>6</v>
      </c>
    </row>
    <row r="3" spans="1:11" ht="37.200000000000003" customHeight="1" x14ac:dyDescent="0.3">
      <c r="A3" s="172">
        <v>1</v>
      </c>
      <c r="B3" s="211" t="s">
        <v>162</v>
      </c>
      <c r="C3" s="211"/>
      <c r="D3" s="211"/>
      <c r="E3" s="211"/>
      <c r="F3" s="211"/>
      <c r="G3" s="213" t="s">
        <v>163</v>
      </c>
      <c r="H3" s="213"/>
      <c r="I3" s="213" t="s">
        <v>42</v>
      </c>
      <c r="J3" s="213"/>
      <c r="K3" s="184">
        <f>C13+G15+K16</f>
        <v>1966.37</v>
      </c>
    </row>
    <row r="4" spans="1:11" ht="15.6" x14ac:dyDescent="0.3">
      <c r="A4" s="209" t="s">
        <v>160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</row>
    <row r="5" spans="1:11" ht="16.2" customHeight="1" x14ac:dyDescent="0.3">
      <c r="A5" s="175" t="s">
        <v>0</v>
      </c>
      <c r="B5" s="176" t="s">
        <v>151</v>
      </c>
      <c r="C5" s="177" t="s">
        <v>3</v>
      </c>
      <c r="D5" s="216"/>
      <c r="E5" s="175" t="s">
        <v>0</v>
      </c>
      <c r="F5" s="176" t="s">
        <v>151</v>
      </c>
      <c r="G5" s="177" t="s">
        <v>3</v>
      </c>
      <c r="H5" s="208"/>
      <c r="I5" s="175" t="s">
        <v>0</v>
      </c>
      <c r="J5" s="176" t="s">
        <v>151</v>
      </c>
      <c r="K5" s="177" t="s">
        <v>3</v>
      </c>
    </row>
    <row r="6" spans="1:11" ht="15.6" x14ac:dyDescent="0.3">
      <c r="A6" s="178">
        <v>1</v>
      </c>
      <c r="B6" s="178" t="s">
        <v>164</v>
      </c>
      <c r="C6" s="180">
        <v>114.21</v>
      </c>
      <c r="D6" s="216"/>
      <c r="E6" s="178">
        <v>1</v>
      </c>
      <c r="F6" s="178" t="s">
        <v>69</v>
      </c>
      <c r="G6" s="180">
        <v>73.599999999999994</v>
      </c>
      <c r="H6" s="208"/>
      <c r="I6" s="178">
        <v>1</v>
      </c>
      <c r="J6" s="178" t="s">
        <v>171</v>
      </c>
      <c r="K6" s="180">
        <v>127.87</v>
      </c>
    </row>
    <row r="7" spans="1:11" ht="15.6" x14ac:dyDescent="0.3">
      <c r="A7" s="181">
        <v>2</v>
      </c>
      <c r="B7" s="181" t="s">
        <v>165</v>
      </c>
      <c r="C7" s="183">
        <v>68.75</v>
      </c>
      <c r="D7" s="216"/>
      <c r="E7" s="181">
        <v>2</v>
      </c>
      <c r="F7" s="181" t="s">
        <v>70</v>
      </c>
      <c r="G7" s="183">
        <v>72.16</v>
      </c>
      <c r="H7" s="208"/>
      <c r="I7" s="181">
        <v>2</v>
      </c>
      <c r="J7" s="181" t="s">
        <v>172</v>
      </c>
      <c r="K7" s="183">
        <v>73.17</v>
      </c>
    </row>
    <row r="8" spans="1:11" ht="15.6" x14ac:dyDescent="0.3">
      <c r="A8" s="178">
        <v>3</v>
      </c>
      <c r="B8" s="178" t="s">
        <v>166</v>
      </c>
      <c r="C8" s="180">
        <v>68.81</v>
      </c>
      <c r="D8" s="216"/>
      <c r="E8" s="178">
        <v>3</v>
      </c>
      <c r="F8" s="178" t="s">
        <v>71</v>
      </c>
      <c r="G8" s="180">
        <v>68.27</v>
      </c>
      <c r="H8" s="208"/>
      <c r="I8" s="178">
        <v>3</v>
      </c>
      <c r="J8" s="178" t="s">
        <v>173</v>
      </c>
      <c r="K8" s="180">
        <v>71.7</v>
      </c>
    </row>
    <row r="9" spans="1:11" ht="15.6" x14ac:dyDescent="0.3">
      <c r="A9" s="181">
        <v>4</v>
      </c>
      <c r="B9" s="181" t="s">
        <v>167</v>
      </c>
      <c r="C9" s="183">
        <v>69.069999999999993</v>
      </c>
      <c r="D9" s="216"/>
      <c r="E9" s="181">
        <v>4</v>
      </c>
      <c r="F9" s="181" t="s">
        <v>73</v>
      </c>
      <c r="G9" s="183">
        <v>68.3</v>
      </c>
      <c r="H9" s="208"/>
      <c r="I9" s="181">
        <v>4</v>
      </c>
      <c r="J9" s="181" t="s">
        <v>174</v>
      </c>
      <c r="K9" s="183">
        <v>67.69</v>
      </c>
    </row>
    <row r="10" spans="1:11" ht="15.6" x14ac:dyDescent="0.3">
      <c r="A10" s="178">
        <v>5</v>
      </c>
      <c r="B10" s="178" t="s">
        <v>168</v>
      </c>
      <c r="C10" s="180">
        <v>68.78</v>
      </c>
      <c r="D10" s="216"/>
      <c r="E10" s="178">
        <v>5</v>
      </c>
      <c r="F10" s="178" t="s">
        <v>74</v>
      </c>
      <c r="G10" s="180">
        <v>68.64</v>
      </c>
      <c r="H10" s="208"/>
      <c r="I10" s="178">
        <v>5</v>
      </c>
      <c r="J10" s="178" t="s">
        <v>175</v>
      </c>
      <c r="K10" s="180">
        <v>67.83</v>
      </c>
    </row>
    <row r="11" spans="1:11" ht="15.6" x14ac:dyDescent="0.3">
      <c r="A11" s="181">
        <v>6</v>
      </c>
      <c r="B11" s="181" t="s">
        <v>169</v>
      </c>
      <c r="C11" s="183">
        <v>68.03</v>
      </c>
      <c r="D11" s="216"/>
      <c r="E11" s="181">
        <v>6</v>
      </c>
      <c r="F11" s="181" t="s">
        <v>75</v>
      </c>
      <c r="G11" s="183">
        <v>68.459999999999994</v>
      </c>
      <c r="H11" s="208"/>
      <c r="I11" s="181">
        <v>6</v>
      </c>
      <c r="J11" s="181" t="s">
        <v>176</v>
      </c>
      <c r="K11" s="183">
        <v>68.180000000000007</v>
      </c>
    </row>
    <row r="12" spans="1:11" ht="15.6" x14ac:dyDescent="0.3">
      <c r="A12" s="178">
        <v>7</v>
      </c>
      <c r="B12" s="178" t="s">
        <v>170</v>
      </c>
      <c r="C12" s="180">
        <v>137.58000000000001</v>
      </c>
      <c r="D12" s="216"/>
      <c r="E12" s="178">
        <v>7</v>
      </c>
      <c r="F12" s="178" t="s">
        <v>76</v>
      </c>
      <c r="G12" s="180">
        <v>67.58</v>
      </c>
      <c r="H12" s="208"/>
      <c r="I12" s="178">
        <v>7</v>
      </c>
      <c r="J12" s="178" t="s">
        <v>177</v>
      </c>
      <c r="K12" s="180">
        <v>68.010000000000005</v>
      </c>
    </row>
    <row r="13" spans="1:11" ht="15.6" x14ac:dyDescent="0.3">
      <c r="A13" s="182"/>
      <c r="B13" s="182" t="s">
        <v>93</v>
      </c>
      <c r="C13" s="183">
        <f>SUM(C6:C12)</f>
        <v>595.23</v>
      </c>
      <c r="D13" s="216"/>
      <c r="E13" s="181">
        <v>8</v>
      </c>
      <c r="F13" s="181" t="s">
        <v>77</v>
      </c>
      <c r="G13" s="183">
        <v>68.459999999999994</v>
      </c>
      <c r="H13" s="208"/>
      <c r="I13" s="181">
        <v>8</v>
      </c>
      <c r="J13" s="181" t="s">
        <v>178</v>
      </c>
      <c r="K13" s="183">
        <v>67.14</v>
      </c>
    </row>
    <row r="14" spans="1:11" ht="15.6" x14ac:dyDescent="0.3">
      <c r="A14" s="217"/>
      <c r="B14" s="217"/>
      <c r="C14" s="217"/>
      <c r="D14" s="216"/>
      <c r="E14" s="178">
        <v>9</v>
      </c>
      <c r="F14" s="178" t="s">
        <v>78</v>
      </c>
      <c r="G14" s="180">
        <v>68.27</v>
      </c>
      <c r="H14" s="208"/>
      <c r="I14" s="178">
        <v>9</v>
      </c>
      <c r="J14" s="178" t="s">
        <v>179</v>
      </c>
      <c r="K14" s="180">
        <v>68</v>
      </c>
    </row>
    <row r="15" spans="1:11" ht="15.6" x14ac:dyDescent="0.3">
      <c r="A15" s="208"/>
      <c r="B15" s="208"/>
      <c r="C15" s="208"/>
      <c r="D15" s="216"/>
      <c r="F15" s="182" t="s">
        <v>93</v>
      </c>
      <c r="G15" s="183">
        <f>SUM(G6:G14)</f>
        <v>623.7399999999999</v>
      </c>
      <c r="H15" s="208"/>
      <c r="I15" s="181">
        <v>10</v>
      </c>
      <c r="J15" s="181" t="s">
        <v>180</v>
      </c>
      <c r="K15" s="183">
        <v>67.81</v>
      </c>
    </row>
    <row r="16" spans="1:11" ht="15.6" x14ac:dyDescent="0.3">
      <c r="A16" s="208"/>
      <c r="B16" s="208"/>
      <c r="C16" s="208"/>
      <c r="D16" s="216"/>
      <c r="E16" s="208"/>
      <c r="F16" s="208"/>
      <c r="G16" s="208"/>
      <c r="H16" s="208"/>
      <c r="J16" s="182" t="s">
        <v>93</v>
      </c>
      <c r="K16" s="183">
        <f>SUM(K6:K15)</f>
        <v>747.40000000000009</v>
      </c>
    </row>
  </sheetData>
  <mergeCells count="12">
    <mergeCell ref="A4:K4"/>
    <mergeCell ref="A14:C16"/>
    <mergeCell ref="D5:D16"/>
    <mergeCell ref="H5:H16"/>
    <mergeCell ref="E16:G16"/>
    <mergeCell ref="A1:K1"/>
    <mergeCell ref="B2:F2"/>
    <mergeCell ref="G2:H2"/>
    <mergeCell ref="I2:J2"/>
    <mergeCell ref="B3:F3"/>
    <mergeCell ref="G3:H3"/>
    <mergeCell ref="I3:J3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85" zoomScaleNormal="85" workbookViewId="0">
      <selection activeCell="E19" sqref="E19"/>
    </sheetView>
  </sheetViews>
  <sheetFormatPr defaultRowHeight="14.4" x14ac:dyDescent="0.3"/>
  <cols>
    <col min="1" max="1" width="8.77734375" customWidth="1"/>
    <col min="2" max="2" width="10" customWidth="1"/>
    <col min="3" max="3" width="12.88671875" customWidth="1"/>
    <col min="4" max="4" width="2" customWidth="1"/>
    <col min="5" max="6" width="8.77734375" customWidth="1"/>
    <col min="7" max="7" width="14.33203125" customWidth="1"/>
    <col min="8" max="8" width="1.5546875" customWidth="1"/>
    <col min="9" max="10" width="8.77734375" customWidth="1"/>
    <col min="11" max="11" width="14.33203125" customWidth="1"/>
  </cols>
  <sheetData>
    <row r="1" spans="1:11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s="174" customFormat="1" ht="15.6" customHeight="1" x14ac:dyDescent="0.3">
      <c r="A2" s="172" t="s">
        <v>0</v>
      </c>
      <c r="B2" s="211" t="s">
        <v>1</v>
      </c>
      <c r="C2" s="211"/>
      <c r="D2" s="211"/>
      <c r="E2" s="211"/>
      <c r="F2" s="211"/>
      <c r="G2" s="210" t="s">
        <v>148</v>
      </c>
      <c r="H2" s="210"/>
      <c r="I2" s="212" t="s">
        <v>12</v>
      </c>
      <c r="J2" s="212"/>
      <c r="K2" s="173" t="s">
        <v>6</v>
      </c>
    </row>
    <row r="3" spans="1:11" ht="37.200000000000003" customHeight="1" x14ac:dyDescent="0.3">
      <c r="A3" s="172">
        <v>1</v>
      </c>
      <c r="B3" s="211" t="s">
        <v>156</v>
      </c>
      <c r="C3" s="211"/>
      <c r="D3" s="211"/>
      <c r="E3" s="211"/>
      <c r="F3" s="211"/>
      <c r="G3" s="213" t="s">
        <v>161</v>
      </c>
      <c r="H3" s="213"/>
      <c r="I3" s="213" t="s">
        <v>42</v>
      </c>
      <c r="J3" s="213"/>
      <c r="K3" s="184">
        <f>C9</f>
        <v>292.98</v>
      </c>
    </row>
    <row r="4" spans="1:11" ht="15.6" x14ac:dyDescent="0.3">
      <c r="A4" s="209" t="s">
        <v>160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</row>
    <row r="5" spans="1:11" ht="16.2" customHeight="1" x14ac:dyDescent="0.3">
      <c r="A5" s="175" t="s">
        <v>0</v>
      </c>
      <c r="B5" s="176" t="s">
        <v>151</v>
      </c>
      <c r="C5" s="177" t="s">
        <v>3</v>
      </c>
      <c r="D5" s="215"/>
      <c r="E5" s="216"/>
      <c r="F5" s="216"/>
      <c r="G5" s="216"/>
      <c r="H5" s="216"/>
      <c r="I5" s="216"/>
      <c r="J5" s="216"/>
      <c r="K5" s="216"/>
    </row>
    <row r="6" spans="1:11" ht="15.6" x14ac:dyDescent="0.3">
      <c r="A6" s="178">
        <v>1</v>
      </c>
      <c r="B6" s="179" t="s">
        <v>157</v>
      </c>
      <c r="C6" s="180">
        <v>219.5</v>
      </c>
      <c r="D6" s="215"/>
      <c r="E6" s="216"/>
      <c r="F6" s="216"/>
      <c r="G6" s="216"/>
      <c r="H6" s="216"/>
      <c r="I6" s="216"/>
      <c r="J6" s="216"/>
      <c r="K6" s="216"/>
    </row>
    <row r="7" spans="1:11" ht="15.6" x14ac:dyDescent="0.3">
      <c r="A7" s="181">
        <v>2</v>
      </c>
      <c r="B7" s="182" t="s">
        <v>158</v>
      </c>
      <c r="C7" s="183">
        <v>59.48</v>
      </c>
      <c r="D7" s="215"/>
      <c r="E7" s="216"/>
      <c r="F7" s="216"/>
      <c r="G7" s="216"/>
      <c r="H7" s="216"/>
      <c r="I7" s="216"/>
      <c r="J7" s="216"/>
      <c r="K7" s="216"/>
    </row>
    <row r="8" spans="1:11" ht="15.6" x14ac:dyDescent="0.3">
      <c r="A8" s="178">
        <v>3</v>
      </c>
      <c r="B8" s="179" t="s">
        <v>159</v>
      </c>
      <c r="C8" s="180">
        <v>14</v>
      </c>
      <c r="D8" s="215"/>
      <c r="E8" s="216"/>
      <c r="F8" s="216"/>
      <c r="G8" s="216"/>
      <c r="H8" s="216"/>
      <c r="I8" s="216"/>
      <c r="J8" s="216"/>
      <c r="K8" s="216"/>
    </row>
    <row r="9" spans="1:11" ht="15.6" x14ac:dyDescent="0.3">
      <c r="A9" s="182" t="s">
        <v>93</v>
      </c>
      <c r="B9" s="182" t="s">
        <v>161</v>
      </c>
      <c r="C9" s="183">
        <f>SUM(C6:C8)</f>
        <v>292.98</v>
      </c>
      <c r="D9" s="215"/>
      <c r="E9" s="216"/>
      <c r="F9" s="216"/>
      <c r="G9" s="216"/>
      <c r="H9" s="216"/>
      <c r="I9" s="216"/>
      <c r="J9" s="216"/>
      <c r="K9" s="216"/>
    </row>
  </sheetData>
  <mergeCells count="9">
    <mergeCell ref="D5:K9"/>
    <mergeCell ref="A4:K4"/>
    <mergeCell ref="A1:K1"/>
    <mergeCell ref="B2:F2"/>
    <mergeCell ref="G2:H2"/>
    <mergeCell ref="I2:J2"/>
    <mergeCell ref="B3:F3"/>
    <mergeCell ref="G3:H3"/>
    <mergeCell ref="I3:J3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85" zoomScaleNormal="85" workbookViewId="0">
      <selection activeCell="K10" sqref="K10"/>
    </sheetView>
  </sheetViews>
  <sheetFormatPr defaultRowHeight="14.4" x14ac:dyDescent="0.3"/>
  <cols>
    <col min="1" max="2" width="8.77734375" customWidth="1"/>
    <col min="3" max="3" width="12.88671875" customWidth="1"/>
    <col min="4" max="4" width="2" customWidth="1"/>
    <col min="5" max="6" width="8.77734375" customWidth="1"/>
    <col min="7" max="7" width="14.33203125" customWidth="1"/>
    <col min="8" max="8" width="1.5546875" customWidth="1"/>
    <col min="9" max="10" width="8.77734375" customWidth="1"/>
    <col min="11" max="11" width="14.33203125" customWidth="1"/>
  </cols>
  <sheetData>
    <row r="1" spans="1:11" ht="15.6" customHeight="1" x14ac:dyDescent="0.3">
      <c r="A1" s="210" t="s">
        <v>108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s="174" customFormat="1" ht="15.6" customHeight="1" x14ac:dyDescent="0.3">
      <c r="A2" s="172" t="s">
        <v>0</v>
      </c>
      <c r="B2" s="211" t="s">
        <v>1</v>
      </c>
      <c r="C2" s="211"/>
      <c r="D2" s="211"/>
      <c r="E2" s="211"/>
      <c r="F2" s="211"/>
      <c r="G2" s="210" t="s">
        <v>148</v>
      </c>
      <c r="H2" s="210"/>
      <c r="I2" s="212" t="s">
        <v>12</v>
      </c>
      <c r="J2" s="212"/>
      <c r="K2" s="173" t="s">
        <v>6</v>
      </c>
    </row>
    <row r="3" spans="1:11" ht="37.200000000000003" customHeight="1" x14ac:dyDescent="0.3">
      <c r="A3" s="172">
        <v>1</v>
      </c>
      <c r="B3" s="211" t="s">
        <v>149</v>
      </c>
      <c r="C3" s="211"/>
      <c r="D3" s="211"/>
      <c r="E3" s="211"/>
      <c r="F3" s="211"/>
      <c r="G3" s="213" t="s">
        <v>150</v>
      </c>
      <c r="H3" s="213"/>
      <c r="I3" s="213" t="s">
        <v>42</v>
      </c>
      <c r="J3" s="213"/>
      <c r="K3" s="184">
        <f>C10+G21+K10</f>
        <v>258.09999999999997</v>
      </c>
    </row>
    <row r="4" spans="1:11" ht="15.6" x14ac:dyDescent="0.3">
      <c r="A4" s="209" t="s">
        <v>160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</row>
    <row r="5" spans="1:11" ht="16.2" customHeight="1" x14ac:dyDescent="0.3">
      <c r="A5" s="175" t="s">
        <v>0</v>
      </c>
      <c r="B5" s="176" t="s">
        <v>151</v>
      </c>
      <c r="C5" s="177" t="s">
        <v>3</v>
      </c>
      <c r="D5" s="216"/>
      <c r="E5" s="175" t="s">
        <v>0</v>
      </c>
      <c r="F5" s="176" t="s">
        <v>151</v>
      </c>
      <c r="G5" s="177" t="s">
        <v>3</v>
      </c>
      <c r="H5" s="215"/>
      <c r="I5" s="175" t="s">
        <v>0</v>
      </c>
      <c r="J5" s="176" t="s">
        <v>151</v>
      </c>
      <c r="K5" s="177" t="s">
        <v>3</v>
      </c>
    </row>
    <row r="6" spans="1:11" ht="15.6" x14ac:dyDescent="0.3">
      <c r="A6" s="178">
        <v>1</v>
      </c>
      <c r="B6" s="179" t="s">
        <v>152</v>
      </c>
      <c r="C6" s="180">
        <v>17.2</v>
      </c>
      <c r="D6" s="216"/>
      <c r="E6" s="178">
        <v>1</v>
      </c>
      <c r="F6" s="180" t="s">
        <v>19</v>
      </c>
      <c r="G6" s="180">
        <v>17.2</v>
      </c>
      <c r="H6" s="215"/>
      <c r="I6" s="178">
        <v>1</v>
      </c>
      <c r="J6" s="180" t="s">
        <v>58</v>
      </c>
      <c r="K6" s="180">
        <v>17.2</v>
      </c>
    </row>
    <row r="7" spans="1:11" ht="15.6" x14ac:dyDescent="0.3">
      <c r="A7" s="181">
        <v>2</v>
      </c>
      <c r="B7" s="182" t="s">
        <v>153</v>
      </c>
      <c r="C7" s="183">
        <v>20.7</v>
      </c>
      <c r="D7" s="216"/>
      <c r="E7" s="181">
        <v>2</v>
      </c>
      <c r="F7" s="183" t="s">
        <v>20</v>
      </c>
      <c r="G7" s="183">
        <v>20.7</v>
      </c>
      <c r="H7" s="215"/>
      <c r="I7" s="181">
        <v>2</v>
      </c>
      <c r="J7" s="183" t="s">
        <v>59</v>
      </c>
      <c r="K7" s="183">
        <v>20.7</v>
      </c>
    </row>
    <row r="8" spans="1:11" ht="15.6" x14ac:dyDescent="0.3">
      <c r="A8" s="178">
        <v>3</v>
      </c>
      <c r="B8" s="179" t="s">
        <v>154</v>
      </c>
      <c r="C8" s="180">
        <v>5.5</v>
      </c>
      <c r="D8" s="216"/>
      <c r="E8" s="178">
        <v>3</v>
      </c>
      <c r="F8" s="180" t="s">
        <v>22</v>
      </c>
      <c r="G8" s="180">
        <v>5.5</v>
      </c>
      <c r="H8" s="215"/>
      <c r="I8" s="178">
        <v>3</v>
      </c>
      <c r="J8" s="180" t="s">
        <v>60</v>
      </c>
      <c r="K8" s="180">
        <v>5.5</v>
      </c>
    </row>
    <row r="9" spans="1:11" ht="15.6" x14ac:dyDescent="0.3">
      <c r="A9" s="181">
        <v>4</v>
      </c>
      <c r="B9" s="182" t="s">
        <v>155</v>
      </c>
      <c r="C9" s="183">
        <v>3</v>
      </c>
      <c r="D9" s="216"/>
      <c r="E9" s="181">
        <v>4</v>
      </c>
      <c r="F9" s="183" t="s">
        <v>23</v>
      </c>
      <c r="G9" s="183">
        <v>3</v>
      </c>
      <c r="H9" s="215"/>
      <c r="I9" s="181">
        <v>4</v>
      </c>
      <c r="J9" s="183" t="s">
        <v>61</v>
      </c>
      <c r="K9" s="183">
        <v>3</v>
      </c>
    </row>
    <row r="10" spans="1:11" ht="15.6" x14ac:dyDescent="0.3">
      <c r="A10" s="178"/>
      <c r="B10" s="182" t="s">
        <v>93</v>
      </c>
      <c r="C10" s="183">
        <f>SUM(C6:C9)</f>
        <v>46.4</v>
      </c>
      <c r="D10" s="216"/>
      <c r="E10" s="178">
        <v>5</v>
      </c>
      <c r="F10" s="180" t="s">
        <v>25</v>
      </c>
      <c r="G10" s="180">
        <v>6.08</v>
      </c>
      <c r="H10" s="215"/>
      <c r="I10" s="178"/>
      <c r="J10" s="182" t="s">
        <v>93</v>
      </c>
      <c r="K10" s="183">
        <f>SUM(K6:K9)</f>
        <v>46.4</v>
      </c>
    </row>
    <row r="11" spans="1:11" ht="15.6" x14ac:dyDescent="0.3">
      <c r="A11" s="217"/>
      <c r="B11" s="217"/>
      <c r="C11" s="217"/>
      <c r="D11" s="216"/>
      <c r="E11" s="181">
        <v>6</v>
      </c>
      <c r="F11" s="183" t="s">
        <v>26</v>
      </c>
      <c r="G11" s="183">
        <v>12.15</v>
      </c>
      <c r="H11" s="215"/>
      <c r="I11" s="217"/>
      <c r="J11" s="217"/>
      <c r="K11" s="217"/>
    </row>
    <row r="12" spans="1:11" ht="15.6" x14ac:dyDescent="0.3">
      <c r="A12" s="208"/>
      <c r="B12" s="208"/>
      <c r="C12" s="208"/>
      <c r="D12" s="216"/>
      <c r="E12" s="178">
        <v>7</v>
      </c>
      <c r="F12" s="180" t="s">
        <v>27</v>
      </c>
      <c r="G12" s="180">
        <v>10.67</v>
      </c>
      <c r="H12" s="215"/>
      <c r="I12" s="208"/>
      <c r="J12" s="208"/>
      <c r="K12" s="208"/>
    </row>
    <row r="13" spans="1:11" ht="15.6" x14ac:dyDescent="0.3">
      <c r="A13" s="208"/>
      <c r="B13" s="208"/>
      <c r="C13" s="208"/>
      <c r="D13" s="216"/>
      <c r="E13" s="181">
        <v>8</v>
      </c>
      <c r="F13" s="183" t="s">
        <v>28</v>
      </c>
      <c r="G13" s="183">
        <v>8.81</v>
      </c>
      <c r="H13" s="215"/>
      <c r="I13" s="208"/>
      <c r="J13" s="208"/>
      <c r="K13" s="208"/>
    </row>
    <row r="14" spans="1:11" ht="15.6" x14ac:dyDescent="0.3">
      <c r="A14" s="208"/>
      <c r="B14" s="208"/>
      <c r="C14" s="208"/>
      <c r="D14" s="216"/>
      <c r="E14" s="178">
        <v>9</v>
      </c>
      <c r="F14" s="179" t="s">
        <v>29</v>
      </c>
      <c r="G14" s="180">
        <v>14.23</v>
      </c>
      <c r="H14" s="215"/>
      <c r="I14" s="208"/>
      <c r="J14" s="208"/>
      <c r="K14" s="208"/>
    </row>
    <row r="15" spans="1:11" ht="15.6" x14ac:dyDescent="0.3">
      <c r="A15" s="208"/>
      <c r="B15" s="208"/>
      <c r="C15" s="208"/>
      <c r="D15" s="216"/>
      <c r="E15" s="181">
        <v>10</v>
      </c>
      <c r="F15" s="183" t="s">
        <v>30</v>
      </c>
      <c r="G15" s="183">
        <v>8.1300000000000008</v>
      </c>
      <c r="H15" s="215"/>
      <c r="I15" s="208"/>
      <c r="J15" s="208"/>
      <c r="K15" s="208"/>
    </row>
    <row r="16" spans="1:11" ht="15.6" x14ac:dyDescent="0.3">
      <c r="A16" s="208"/>
      <c r="B16" s="208"/>
      <c r="C16" s="208"/>
      <c r="D16" s="216"/>
      <c r="E16" s="178">
        <v>11</v>
      </c>
      <c r="F16" s="180" t="s">
        <v>31</v>
      </c>
      <c r="G16" s="180">
        <v>12.22</v>
      </c>
      <c r="H16" s="215"/>
      <c r="I16" s="208"/>
      <c r="J16" s="208"/>
      <c r="K16" s="208"/>
    </row>
    <row r="17" spans="1:11" ht="15.6" x14ac:dyDescent="0.3">
      <c r="A17" s="208"/>
      <c r="B17" s="208"/>
      <c r="C17" s="208"/>
      <c r="D17" s="216"/>
      <c r="E17" s="181">
        <v>12</v>
      </c>
      <c r="F17" s="183" t="s">
        <v>33</v>
      </c>
      <c r="G17" s="183">
        <v>8.35</v>
      </c>
      <c r="H17" s="215"/>
      <c r="I17" s="208"/>
      <c r="J17" s="208"/>
      <c r="K17" s="208"/>
    </row>
    <row r="18" spans="1:11" ht="15.6" x14ac:dyDescent="0.3">
      <c r="A18" s="208"/>
      <c r="B18" s="208"/>
      <c r="C18" s="208"/>
      <c r="D18" s="216"/>
      <c r="E18" s="178">
        <v>13</v>
      </c>
      <c r="F18" s="179" t="s">
        <v>34</v>
      </c>
      <c r="G18" s="180">
        <v>14.03</v>
      </c>
      <c r="H18" s="215"/>
      <c r="I18" s="208"/>
      <c r="J18" s="208"/>
      <c r="K18" s="208"/>
    </row>
    <row r="19" spans="1:11" ht="15.6" x14ac:dyDescent="0.3">
      <c r="A19" s="208"/>
      <c r="B19" s="208"/>
      <c r="C19" s="208"/>
      <c r="D19" s="216"/>
      <c r="E19" s="181">
        <v>12</v>
      </c>
      <c r="F19" s="183" t="s">
        <v>35</v>
      </c>
      <c r="G19" s="183">
        <v>8.0299999999999994</v>
      </c>
      <c r="H19" s="215"/>
      <c r="I19" s="208"/>
      <c r="J19" s="208"/>
      <c r="K19" s="208"/>
    </row>
    <row r="20" spans="1:11" ht="15.6" x14ac:dyDescent="0.3">
      <c r="A20" s="208"/>
      <c r="B20" s="208"/>
      <c r="C20" s="208"/>
      <c r="D20" s="216"/>
      <c r="E20" s="178">
        <v>13</v>
      </c>
      <c r="F20" s="179" t="s">
        <v>36</v>
      </c>
      <c r="G20" s="180">
        <v>16.2</v>
      </c>
      <c r="H20" s="215"/>
      <c r="I20" s="208"/>
      <c r="J20" s="208"/>
      <c r="K20" s="208"/>
    </row>
    <row r="21" spans="1:11" ht="15.6" x14ac:dyDescent="0.3">
      <c r="A21" s="208"/>
      <c r="B21" s="208"/>
      <c r="C21" s="208"/>
      <c r="D21" s="216"/>
      <c r="F21" s="182" t="s">
        <v>93</v>
      </c>
      <c r="G21" s="183">
        <f>SUM(G6:G20)</f>
        <v>165.29999999999998</v>
      </c>
      <c r="H21" s="215"/>
      <c r="I21" s="208"/>
      <c r="J21" s="208"/>
      <c r="K21" s="208"/>
    </row>
  </sheetData>
  <mergeCells count="12">
    <mergeCell ref="A11:C21"/>
    <mergeCell ref="I11:K21"/>
    <mergeCell ref="B2:F2"/>
    <mergeCell ref="B3:F3"/>
    <mergeCell ref="A1:K1"/>
    <mergeCell ref="A4:K4"/>
    <mergeCell ref="I2:J2"/>
    <mergeCell ref="I3:J3"/>
    <mergeCell ref="G2:H2"/>
    <mergeCell ref="G3:H3"/>
    <mergeCell ref="D5:D21"/>
    <mergeCell ref="H5:H2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124"/>
  <sheetViews>
    <sheetView zoomScale="85" zoomScaleNormal="85" workbookViewId="0">
      <selection activeCell="H115" sqref="H115"/>
    </sheetView>
  </sheetViews>
  <sheetFormatPr defaultRowHeight="14.4" x14ac:dyDescent="0.3"/>
  <cols>
    <col min="1" max="1" width="9.109375" customWidth="1"/>
    <col min="3" max="3" width="9.109375" style="120"/>
    <col min="5" max="5" width="10.5546875" customWidth="1"/>
    <col min="6" max="10" width="9.109375" customWidth="1"/>
    <col min="12" max="12" width="10.33203125" bestFit="1" customWidth="1"/>
  </cols>
  <sheetData>
    <row r="1" spans="1:12" x14ac:dyDescent="0.3">
      <c r="A1" s="218" t="s">
        <v>108</v>
      </c>
      <c r="B1" s="219"/>
      <c r="C1" s="219"/>
      <c r="D1" s="219"/>
      <c r="E1" s="220"/>
      <c r="G1" s="221" t="s">
        <v>108</v>
      </c>
      <c r="H1" s="222"/>
      <c r="I1" s="222"/>
      <c r="J1" s="223"/>
    </row>
    <row r="2" spans="1:12" x14ac:dyDescent="0.3">
      <c r="A2" s="117" t="s">
        <v>0</v>
      </c>
      <c r="B2" s="118" t="s">
        <v>123</v>
      </c>
      <c r="C2" s="25" t="s">
        <v>124</v>
      </c>
      <c r="D2" s="118" t="s">
        <v>125</v>
      </c>
      <c r="E2" s="119" t="s">
        <v>126</v>
      </c>
      <c r="G2" s="117" t="s">
        <v>0</v>
      </c>
      <c r="H2" s="118" t="s">
        <v>123</v>
      </c>
      <c r="I2" s="118" t="s">
        <v>125</v>
      </c>
      <c r="J2" s="119" t="s">
        <v>126</v>
      </c>
    </row>
    <row r="3" spans="1:12" hidden="1" x14ac:dyDescent="0.3">
      <c r="A3">
        <v>1</v>
      </c>
      <c r="B3">
        <v>1</v>
      </c>
      <c r="C3" s="120">
        <v>1.038</v>
      </c>
      <c r="D3">
        <v>5</v>
      </c>
      <c r="E3">
        <v>5.25</v>
      </c>
      <c r="H3">
        <v>1</v>
      </c>
      <c r="I3">
        <v>5</v>
      </c>
      <c r="J3">
        <v>5.24</v>
      </c>
    </row>
    <row r="4" spans="1:12" hidden="1" x14ac:dyDescent="0.3">
      <c r="A4">
        <v>2</v>
      </c>
      <c r="B4">
        <v>4.0999999999999996</v>
      </c>
      <c r="C4" s="120">
        <v>1.048</v>
      </c>
      <c r="D4">
        <v>5</v>
      </c>
      <c r="E4">
        <v>23.92</v>
      </c>
      <c r="F4">
        <v>191.68</v>
      </c>
      <c r="H4">
        <v>4.0999999999999996</v>
      </c>
      <c r="I4">
        <v>5</v>
      </c>
      <c r="J4">
        <v>23.92</v>
      </c>
    </row>
    <row r="5" spans="1:12" hidden="1" x14ac:dyDescent="0.3">
      <c r="A5">
        <v>3</v>
      </c>
      <c r="B5">
        <v>1</v>
      </c>
      <c r="C5" s="120">
        <v>1.024</v>
      </c>
      <c r="D5">
        <v>6</v>
      </c>
      <c r="E5">
        <v>13.62</v>
      </c>
      <c r="F5">
        <v>114.04</v>
      </c>
      <c r="H5">
        <v>1</v>
      </c>
      <c r="I5">
        <v>6</v>
      </c>
      <c r="J5">
        <v>352.16</v>
      </c>
    </row>
    <row r="6" spans="1:12" hidden="1" x14ac:dyDescent="0.3">
      <c r="A6">
        <v>4</v>
      </c>
      <c r="B6">
        <v>1</v>
      </c>
      <c r="C6" s="120">
        <v>1.026</v>
      </c>
      <c r="D6">
        <v>6</v>
      </c>
      <c r="E6">
        <v>191.68</v>
      </c>
      <c r="F6">
        <v>68.81</v>
      </c>
      <c r="H6">
        <v>4.0999999999999996</v>
      </c>
      <c r="I6">
        <v>6</v>
      </c>
      <c r="J6">
        <v>762.49</v>
      </c>
      <c r="L6" t="s">
        <v>128</v>
      </c>
    </row>
    <row r="7" spans="1:12" hidden="1" x14ac:dyDescent="0.3">
      <c r="A7">
        <v>5</v>
      </c>
      <c r="B7">
        <v>1</v>
      </c>
      <c r="C7" s="120">
        <v>1.0389999999999999</v>
      </c>
      <c r="D7">
        <v>6</v>
      </c>
      <c r="E7">
        <v>149.69999999999999</v>
      </c>
      <c r="F7">
        <v>68.81</v>
      </c>
      <c r="H7">
        <v>1</v>
      </c>
      <c r="I7">
        <v>7</v>
      </c>
      <c r="J7">
        <v>38.21</v>
      </c>
      <c r="L7" t="e">
        <f>--MID($L$6,IF(ROW(A1)=1,1,FIND("; ",$L$6,FIND("; ",$L$6,1)*(ROW(A1)-1))+2),FIND("; ",$L$6&amp;"; ",IF(ROW(A1)=1,1,FIND("; ",$L$6,FIND("; ",$L$6,1)*(ROW(A1)-1))+2))-IF(ROW(A1)=1,1,FIND("; ",$L$6,FIND("; ",$L$6,1)*(ROW(A1)-1))+2))</f>
        <v>#VALUE!</v>
      </c>
    </row>
    <row r="8" spans="1:12" hidden="1" x14ac:dyDescent="0.3">
      <c r="A8">
        <v>6</v>
      </c>
      <c r="B8">
        <v>4.0999999999999996</v>
      </c>
      <c r="C8" s="120">
        <v>1.0449999999999999</v>
      </c>
      <c r="D8">
        <v>6</v>
      </c>
      <c r="E8">
        <v>161.78</v>
      </c>
      <c r="F8">
        <v>68.89</v>
      </c>
      <c r="H8">
        <v>1</v>
      </c>
      <c r="I8">
        <v>8</v>
      </c>
      <c r="J8">
        <v>596.26</v>
      </c>
      <c r="L8" t="e">
        <f t="shared" ref="L8:L19" si="0">--MID($L$6,IF(ROW(A2)=1,1,FIND("; ",$L$6,FIND("; ",$L$6,1)*(ROW(A2)-1))+2),FIND("; ",$L$6&amp;"; ",IF(ROW(A2)=1,1,FIND("; ",$L$6,FIND("; ",$L$6,1)*(ROW(A2)-1))+2))-IF(ROW(A2)=1,1,FIND("; ",$L$6,FIND("; ",$L$6,1)*(ROW(A2)-1))+2))</f>
        <v>#VALUE!</v>
      </c>
    </row>
    <row r="9" spans="1:12" hidden="1" x14ac:dyDescent="0.3">
      <c r="A9">
        <v>7</v>
      </c>
      <c r="B9">
        <v>4.0999999999999996</v>
      </c>
      <c r="C9" s="120">
        <v>1.046</v>
      </c>
      <c r="D9">
        <v>6</v>
      </c>
      <c r="E9">
        <v>161.15</v>
      </c>
      <c r="F9">
        <v>68.89</v>
      </c>
      <c r="H9">
        <v>4.0999999999999996</v>
      </c>
      <c r="I9">
        <v>8</v>
      </c>
      <c r="J9">
        <v>156.6</v>
      </c>
      <c r="L9" t="e">
        <f t="shared" si="0"/>
        <v>#VALUE!</v>
      </c>
    </row>
    <row r="10" spans="1:12" hidden="1" x14ac:dyDescent="0.3">
      <c r="A10">
        <v>8</v>
      </c>
      <c r="B10">
        <v>4.0999999999999996</v>
      </c>
      <c r="C10" s="120">
        <v>1.0529999999999999</v>
      </c>
      <c r="D10">
        <v>6</v>
      </c>
      <c r="E10">
        <v>443.48</v>
      </c>
      <c r="F10">
        <v>68.069999999999993</v>
      </c>
      <c r="H10">
        <v>1</v>
      </c>
      <c r="I10">
        <v>9</v>
      </c>
      <c r="J10">
        <v>46.57</v>
      </c>
      <c r="L10" t="e">
        <f t="shared" si="0"/>
        <v>#VALUE!</v>
      </c>
    </row>
    <row r="11" spans="1:12" hidden="1" x14ac:dyDescent="0.3">
      <c r="A11">
        <v>9</v>
      </c>
      <c r="B11">
        <v>1</v>
      </c>
      <c r="C11" s="120">
        <v>1.0269999999999999</v>
      </c>
      <c r="D11">
        <v>8</v>
      </c>
      <c r="E11">
        <v>114.04</v>
      </c>
      <c r="F11">
        <v>139.1</v>
      </c>
      <c r="H11">
        <v>4.0999999999999996</v>
      </c>
      <c r="I11">
        <v>10</v>
      </c>
      <c r="J11">
        <v>296.76</v>
      </c>
      <c r="L11" t="e">
        <f t="shared" si="0"/>
        <v>#VALUE!</v>
      </c>
    </row>
    <row r="12" spans="1:12" hidden="1" x14ac:dyDescent="0.3">
      <c r="A12">
        <v>10</v>
      </c>
      <c r="B12">
        <v>1</v>
      </c>
      <c r="C12" s="120">
        <v>1.028</v>
      </c>
      <c r="D12">
        <v>8</v>
      </c>
      <c r="E12">
        <v>68.81</v>
      </c>
      <c r="F12">
        <v>17.22</v>
      </c>
      <c r="H12">
        <v>4.0999999999999996</v>
      </c>
      <c r="I12">
        <v>12</v>
      </c>
      <c r="J12">
        <v>58.61</v>
      </c>
      <c r="L12" t="e">
        <f t="shared" si="0"/>
        <v>#VALUE!</v>
      </c>
    </row>
    <row r="13" spans="1:12" hidden="1" x14ac:dyDescent="0.3">
      <c r="A13">
        <v>11</v>
      </c>
      <c r="B13">
        <v>1</v>
      </c>
      <c r="C13" s="120">
        <v>1.0289999999999999</v>
      </c>
      <c r="D13">
        <v>8</v>
      </c>
      <c r="E13">
        <v>68.81</v>
      </c>
      <c r="F13">
        <v>21.63</v>
      </c>
      <c r="L13" t="e">
        <f t="shared" si="0"/>
        <v>#VALUE!</v>
      </c>
    </row>
    <row r="14" spans="1:12" hidden="1" x14ac:dyDescent="0.3">
      <c r="A14">
        <v>12</v>
      </c>
      <c r="B14">
        <v>1</v>
      </c>
      <c r="C14" s="120">
        <v>1.03</v>
      </c>
      <c r="D14">
        <v>8</v>
      </c>
      <c r="E14">
        <v>68.89</v>
      </c>
      <c r="F14">
        <v>5.76</v>
      </c>
      <c r="L14" t="e">
        <f t="shared" si="0"/>
        <v>#VALUE!</v>
      </c>
    </row>
    <row r="15" spans="1:12" hidden="1" x14ac:dyDescent="0.3">
      <c r="A15">
        <v>13</v>
      </c>
      <c r="B15">
        <v>1</v>
      </c>
      <c r="C15" s="120">
        <v>1.0309999999999999</v>
      </c>
      <c r="D15">
        <v>8</v>
      </c>
      <c r="E15">
        <v>68.89</v>
      </c>
      <c r="F15">
        <v>3.34</v>
      </c>
      <c r="L15" t="e">
        <f t="shared" si="0"/>
        <v>#VALUE!</v>
      </c>
    </row>
    <row r="16" spans="1:12" hidden="1" x14ac:dyDescent="0.3">
      <c r="A16">
        <v>14</v>
      </c>
      <c r="B16">
        <v>1</v>
      </c>
      <c r="C16" s="120">
        <v>1.032</v>
      </c>
      <c r="D16">
        <v>8</v>
      </c>
      <c r="E16">
        <v>68.069999999999993</v>
      </c>
      <c r="F16">
        <v>5.25</v>
      </c>
      <c r="L16" t="e">
        <f t="shared" si="0"/>
        <v>#VALUE!</v>
      </c>
    </row>
    <row r="17" spans="1:12" hidden="1" x14ac:dyDescent="0.3">
      <c r="A17">
        <v>15</v>
      </c>
      <c r="B17">
        <v>1</v>
      </c>
      <c r="C17" s="120">
        <v>1.0329999999999999</v>
      </c>
      <c r="D17">
        <v>8</v>
      </c>
      <c r="E17">
        <v>139.1</v>
      </c>
      <c r="L17" t="e">
        <f t="shared" si="0"/>
        <v>#VALUE!</v>
      </c>
    </row>
    <row r="18" spans="1:12" hidden="1" x14ac:dyDescent="0.3">
      <c r="A18">
        <v>16</v>
      </c>
      <c r="B18">
        <v>4.0999999999999996</v>
      </c>
      <c r="C18" s="120">
        <v>1.0489999999999999</v>
      </c>
      <c r="D18">
        <v>8</v>
      </c>
      <c r="E18">
        <v>103.8</v>
      </c>
      <c r="L18" t="e">
        <f t="shared" si="0"/>
        <v>#VALUE!</v>
      </c>
    </row>
    <row r="19" spans="1:12" hidden="1" x14ac:dyDescent="0.3">
      <c r="A19">
        <v>17</v>
      </c>
      <c r="B19">
        <v>4.0999999999999996</v>
      </c>
      <c r="C19" s="120">
        <v>1.05</v>
      </c>
      <c r="D19">
        <v>8</v>
      </c>
      <c r="E19">
        <v>22</v>
      </c>
      <c r="L19" t="e">
        <f t="shared" si="0"/>
        <v>#VALUE!</v>
      </c>
    </row>
    <row r="20" spans="1:12" hidden="1" x14ac:dyDescent="0.3">
      <c r="A20">
        <v>18</v>
      </c>
      <c r="B20">
        <v>4.0999999999999996</v>
      </c>
      <c r="C20" s="120">
        <v>1.0509999999999999</v>
      </c>
      <c r="D20">
        <v>8</v>
      </c>
      <c r="E20">
        <v>31.58</v>
      </c>
    </row>
    <row r="21" spans="1:12" hidden="1" x14ac:dyDescent="0.3">
      <c r="A21">
        <v>21</v>
      </c>
      <c r="B21">
        <v>1</v>
      </c>
      <c r="C21" s="120">
        <v>1.034</v>
      </c>
      <c r="D21">
        <v>9</v>
      </c>
      <c r="E21">
        <v>17.22</v>
      </c>
    </row>
    <row r="22" spans="1:12" hidden="1" x14ac:dyDescent="0.3">
      <c r="A22">
        <v>22</v>
      </c>
      <c r="B22">
        <v>1</v>
      </c>
      <c r="C22" s="120">
        <v>1.0349999999999999</v>
      </c>
      <c r="D22">
        <v>9</v>
      </c>
      <c r="E22">
        <v>21.63</v>
      </c>
    </row>
    <row r="23" spans="1:12" hidden="1" x14ac:dyDescent="0.3">
      <c r="A23">
        <v>20</v>
      </c>
      <c r="B23">
        <v>1</v>
      </c>
      <c r="C23" s="120">
        <v>1.036</v>
      </c>
      <c r="D23">
        <v>9</v>
      </c>
      <c r="E23">
        <v>5.76</v>
      </c>
    </row>
    <row r="24" spans="1:12" hidden="1" x14ac:dyDescent="0.3">
      <c r="A24">
        <v>19</v>
      </c>
      <c r="B24">
        <v>1</v>
      </c>
      <c r="C24" s="120">
        <v>1.0369999999999999</v>
      </c>
      <c r="D24">
        <v>9</v>
      </c>
      <c r="E24">
        <v>3.34</v>
      </c>
    </row>
    <row r="25" spans="1:12" x14ac:dyDescent="0.3">
      <c r="A25">
        <v>23</v>
      </c>
      <c r="B25">
        <v>4.0999999999999996</v>
      </c>
      <c r="C25" s="120">
        <v>1.04</v>
      </c>
      <c r="D25">
        <v>10</v>
      </c>
      <c r="E25">
        <v>220.47</v>
      </c>
    </row>
    <row r="26" spans="1:12" x14ac:dyDescent="0.3">
      <c r="A26">
        <v>24</v>
      </c>
      <c r="B26">
        <v>4.0999999999999996</v>
      </c>
      <c r="C26" s="120">
        <v>1.0429999999999999</v>
      </c>
      <c r="D26">
        <v>10</v>
      </c>
      <c r="E26">
        <v>61.99</v>
      </c>
    </row>
    <row r="27" spans="1:12" x14ac:dyDescent="0.3">
      <c r="A27">
        <v>25</v>
      </c>
      <c r="B27">
        <v>4.0999999999999996</v>
      </c>
      <c r="C27" s="120">
        <v>1.044</v>
      </c>
      <c r="D27">
        <v>10</v>
      </c>
      <c r="E27">
        <v>14.14</v>
      </c>
      <c r="K27">
        <f>296.76-E25-E26</f>
        <v>14.29999999999999</v>
      </c>
    </row>
    <row r="28" spans="1:12" hidden="1" x14ac:dyDescent="0.3">
      <c r="A28">
        <v>26</v>
      </c>
      <c r="B28">
        <v>4.0999999999999996</v>
      </c>
      <c r="C28">
        <v>1.054</v>
      </c>
      <c r="D28">
        <v>12</v>
      </c>
      <c r="E28">
        <v>58.14</v>
      </c>
      <c r="F28" s="121"/>
    </row>
    <row r="31" spans="1:12" x14ac:dyDescent="0.3">
      <c r="A31" s="218" t="s">
        <v>108</v>
      </c>
      <c r="B31" s="219"/>
      <c r="C31" s="219"/>
      <c r="D31" s="219"/>
      <c r="E31" s="220"/>
      <c r="G31" s="221" t="s">
        <v>108</v>
      </c>
      <c r="H31" s="222"/>
      <c r="I31" s="222"/>
      <c r="J31" s="223"/>
    </row>
    <row r="32" spans="1:12" x14ac:dyDescent="0.3">
      <c r="A32" s="117" t="s">
        <v>0</v>
      </c>
      <c r="B32" s="118" t="s">
        <v>123</v>
      </c>
      <c r="C32" s="25" t="s">
        <v>124</v>
      </c>
      <c r="D32" s="118" t="s">
        <v>125</v>
      </c>
      <c r="E32" s="119" t="s">
        <v>126</v>
      </c>
      <c r="G32" s="117" t="s">
        <v>0</v>
      </c>
      <c r="H32" s="118" t="s">
        <v>123</v>
      </c>
      <c r="I32" s="118" t="s">
        <v>125</v>
      </c>
      <c r="J32" s="119" t="s">
        <v>126</v>
      </c>
    </row>
    <row r="33" spans="1:10" hidden="1" x14ac:dyDescent="0.3">
      <c r="A33">
        <v>28</v>
      </c>
      <c r="B33">
        <v>1</v>
      </c>
      <c r="C33" s="120">
        <v>2.0009999999999999</v>
      </c>
      <c r="D33">
        <v>8</v>
      </c>
      <c r="E33">
        <v>73.55</v>
      </c>
      <c r="F33" s="120">
        <v>1.0489999999999999</v>
      </c>
      <c r="H33">
        <v>4.0999999999999996</v>
      </c>
      <c r="I33">
        <v>4</v>
      </c>
      <c r="J33">
        <v>115.28</v>
      </c>
    </row>
    <row r="34" spans="1:10" hidden="1" x14ac:dyDescent="0.3">
      <c r="A34">
        <v>27</v>
      </c>
      <c r="B34">
        <v>1</v>
      </c>
      <c r="C34" s="120">
        <v>2.0019999999999998</v>
      </c>
      <c r="D34">
        <v>8</v>
      </c>
      <c r="E34">
        <v>72.239999999999995</v>
      </c>
      <c r="F34" s="120">
        <v>1.05</v>
      </c>
      <c r="H34">
        <v>1</v>
      </c>
      <c r="I34">
        <v>5</v>
      </c>
      <c r="J34">
        <v>5.24</v>
      </c>
    </row>
    <row r="35" spans="1:10" hidden="1" x14ac:dyDescent="0.3">
      <c r="A35">
        <v>21</v>
      </c>
      <c r="B35">
        <v>1</v>
      </c>
      <c r="C35" s="120">
        <v>2.0030000000000001</v>
      </c>
      <c r="D35">
        <v>8</v>
      </c>
      <c r="E35">
        <v>68.260000000000005</v>
      </c>
      <c r="F35" s="120">
        <v>1.0509999999999999</v>
      </c>
      <c r="H35">
        <v>4.0999999999999996</v>
      </c>
      <c r="I35">
        <v>5</v>
      </c>
      <c r="J35">
        <v>180.8</v>
      </c>
    </row>
    <row r="36" spans="1:10" hidden="1" x14ac:dyDescent="0.3">
      <c r="A36">
        <v>14</v>
      </c>
      <c r="B36">
        <v>1</v>
      </c>
      <c r="C36" s="120">
        <v>2.004</v>
      </c>
      <c r="D36">
        <v>6</v>
      </c>
      <c r="E36">
        <v>158.71</v>
      </c>
      <c r="H36">
        <v>1</v>
      </c>
      <c r="I36">
        <v>6</v>
      </c>
      <c r="J36">
        <v>306.63</v>
      </c>
    </row>
    <row r="37" spans="1:10" hidden="1" x14ac:dyDescent="0.3">
      <c r="A37">
        <v>43</v>
      </c>
      <c r="B37">
        <v>1</v>
      </c>
      <c r="C37" s="120">
        <v>2.0049999999999999</v>
      </c>
      <c r="D37">
        <v>15</v>
      </c>
      <c r="E37">
        <v>13.62</v>
      </c>
      <c r="H37">
        <v>4.0999999999999996</v>
      </c>
      <c r="I37">
        <v>6</v>
      </c>
      <c r="J37">
        <v>282.87</v>
      </c>
    </row>
    <row r="38" spans="1:10" hidden="1" x14ac:dyDescent="0.3">
      <c r="A38">
        <v>23</v>
      </c>
      <c r="B38">
        <v>1</v>
      </c>
      <c r="C38" s="120">
        <v>2.0070000000000001</v>
      </c>
      <c r="D38">
        <v>8</v>
      </c>
      <c r="E38">
        <v>68.3</v>
      </c>
      <c r="H38">
        <v>4.0999999999999996</v>
      </c>
      <c r="I38">
        <v>7</v>
      </c>
      <c r="J38">
        <v>169.2</v>
      </c>
    </row>
    <row r="39" spans="1:10" hidden="1" x14ac:dyDescent="0.3">
      <c r="A39">
        <v>26</v>
      </c>
      <c r="B39">
        <v>1</v>
      </c>
      <c r="C39" s="120">
        <v>2.008</v>
      </c>
      <c r="D39">
        <v>8</v>
      </c>
      <c r="E39">
        <v>68.459999999999994</v>
      </c>
      <c r="H39">
        <v>1</v>
      </c>
      <c r="I39">
        <v>8</v>
      </c>
      <c r="J39">
        <v>625.16999999999996</v>
      </c>
    </row>
    <row r="40" spans="1:10" hidden="1" x14ac:dyDescent="0.3">
      <c r="A40">
        <v>25</v>
      </c>
      <c r="B40">
        <v>1</v>
      </c>
      <c r="C40" s="120">
        <v>2.0089999999999999</v>
      </c>
      <c r="D40">
        <v>8</v>
      </c>
      <c r="E40">
        <v>68.459999999999994</v>
      </c>
      <c r="H40">
        <v>1</v>
      </c>
      <c r="I40">
        <v>9</v>
      </c>
      <c r="J40">
        <v>46.57</v>
      </c>
    </row>
    <row r="41" spans="1:10" hidden="1" x14ac:dyDescent="0.3">
      <c r="A41">
        <v>20</v>
      </c>
      <c r="B41">
        <v>1</v>
      </c>
      <c r="C41" s="120">
        <v>2.0099999999999998</v>
      </c>
      <c r="D41">
        <v>8</v>
      </c>
      <c r="E41">
        <v>67.64</v>
      </c>
      <c r="H41">
        <v>4.0999999999999996</v>
      </c>
      <c r="I41">
        <v>9</v>
      </c>
      <c r="J41">
        <v>119.43</v>
      </c>
    </row>
    <row r="42" spans="1:10" hidden="1" x14ac:dyDescent="0.3">
      <c r="A42">
        <v>24</v>
      </c>
      <c r="B42">
        <v>1</v>
      </c>
      <c r="C42" s="120">
        <v>2.0110000000000001</v>
      </c>
      <c r="D42">
        <v>8</v>
      </c>
      <c r="E42">
        <v>68.459999999999994</v>
      </c>
      <c r="H42">
        <v>4.0999999999999996</v>
      </c>
      <c r="I42">
        <v>13</v>
      </c>
      <c r="J42">
        <v>299.02</v>
      </c>
    </row>
    <row r="43" spans="1:10" hidden="1" x14ac:dyDescent="0.3">
      <c r="A43">
        <v>15</v>
      </c>
      <c r="B43">
        <v>1</v>
      </c>
      <c r="C43" s="120">
        <v>2.012</v>
      </c>
      <c r="D43">
        <v>6</v>
      </c>
      <c r="E43">
        <v>149.25</v>
      </c>
      <c r="H43">
        <v>1</v>
      </c>
      <c r="I43">
        <v>15</v>
      </c>
      <c r="J43">
        <v>13.62</v>
      </c>
    </row>
    <row r="44" spans="1:10" hidden="1" x14ac:dyDescent="0.3">
      <c r="A44">
        <v>22</v>
      </c>
      <c r="B44">
        <v>1</v>
      </c>
      <c r="C44" s="120">
        <v>2.0129999999999999</v>
      </c>
      <c r="D44">
        <v>8</v>
      </c>
      <c r="E44">
        <v>68.459999999999994</v>
      </c>
      <c r="H44">
        <v>4.0999999999999996</v>
      </c>
      <c r="I44">
        <v>15</v>
      </c>
      <c r="J44">
        <v>8.0299999999999994</v>
      </c>
    </row>
    <row r="45" spans="1:10" hidden="1" x14ac:dyDescent="0.3">
      <c r="A45">
        <v>35</v>
      </c>
      <c r="B45">
        <v>1</v>
      </c>
      <c r="C45" s="120">
        <v>2.0139999999999998</v>
      </c>
      <c r="D45">
        <v>9</v>
      </c>
      <c r="E45">
        <v>17.22</v>
      </c>
    </row>
    <row r="46" spans="1:10" hidden="1" x14ac:dyDescent="0.3">
      <c r="A46">
        <v>34</v>
      </c>
      <c r="B46">
        <v>1</v>
      </c>
      <c r="C46" s="120">
        <v>2.0150000000000001</v>
      </c>
      <c r="D46">
        <v>9</v>
      </c>
      <c r="E46">
        <v>21.87</v>
      </c>
    </row>
    <row r="47" spans="1:10" hidden="1" x14ac:dyDescent="0.3">
      <c r="A47">
        <v>33</v>
      </c>
      <c r="B47">
        <v>1</v>
      </c>
      <c r="C47" s="120">
        <v>2.016</v>
      </c>
      <c r="D47">
        <v>9</v>
      </c>
      <c r="E47">
        <v>5.0599999999999996</v>
      </c>
    </row>
    <row r="48" spans="1:10" hidden="1" x14ac:dyDescent="0.3">
      <c r="A48">
        <v>32</v>
      </c>
      <c r="B48">
        <v>1</v>
      </c>
      <c r="C48" s="120">
        <v>2.0169999999999999</v>
      </c>
      <c r="D48">
        <v>9</v>
      </c>
      <c r="E48">
        <v>3.22</v>
      </c>
    </row>
    <row r="49" spans="1:5" hidden="1" x14ac:dyDescent="0.3">
      <c r="A49">
        <v>29</v>
      </c>
      <c r="B49">
        <v>4.0999999999999996</v>
      </c>
      <c r="C49" s="120">
        <v>1.0489999999999999</v>
      </c>
      <c r="D49">
        <v>8</v>
      </c>
      <c r="E49">
        <v>67.98</v>
      </c>
    </row>
    <row r="50" spans="1:5" hidden="1" x14ac:dyDescent="0.3">
      <c r="A50">
        <v>30</v>
      </c>
      <c r="B50">
        <v>4.0999999999999996</v>
      </c>
      <c r="C50" s="120">
        <v>1.05</v>
      </c>
      <c r="D50">
        <v>8</v>
      </c>
      <c r="E50">
        <v>68.459999999999994</v>
      </c>
    </row>
    <row r="51" spans="1:5" hidden="1" x14ac:dyDescent="0.3">
      <c r="A51">
        <v>31</v>
      </c>
      <c r="B51">
        <v>4.0999999999999996</v>
      </c>
      <c r="C51" s="120">
        <v>1.0509999999999999</v>
      </c>
      <c r="D51">
        <v>8</v>
      </c>
      <c r="E51">
        <v>113.65</v>
      </c>
    </row>
    <row r="52" spans="1:5" hidden="1" x14ac:dyDescent="0.3">
      <c r="A52">
        <v>17</v>
      </c>
      <c r="B52">
        <v>4.0999999999999996</v>
      </c>
      <c r="C52" s="120">
        <v>2.0750000000000002</v>
      </c>
      <c r="D52">
        <v>6</v>
      </c>
      <c r="E52">
        <v>79.790000000000006</v>
      </c>
    </row>
    <row r="53" spans="1:5" hidden="1" x14ac:dyDescent="0.3">
      <c r="A53">
        <v>18</v>
      </c>
      <c r="B53">
        <v>4.0999999999999996</v>
      </c>
      <c r="C53" s="120">
        <v>2.08</v>
      </c>
      <c r="D53">
        <v>6</v>
      </c>
      <c r="E53">
        <v>170.56</v>
      </c>
    </row>
    <row r="54" spans="1:5" hidden="1" x14ac:dyDescent="0.3">
      <c r="A54">
        <v>16</v>
      </c>
      <c r="B54">
        <v>4.0999999999999996</v>
      </c>
      <c r="C54" s="120">
        <v>2.0819999999999999</v>
      </c>
      <c r="D54">
        <v>6</v>
      </c>
      <c r="E54">
        <v>32.630000000000003</v>
      </c>
    </row>
    <row r="55" spans="1:5" hidden="1" x14ac:dyDescent="0.3">
      <c r="A55">
        <v>42</v>
      </c>
      <c r="B55">
        <v>4.0999999999999996</v>
      </c>
      <c r="C55" s="120">
        <v>2.081</v>
      </c>
      <c r="D55">
        <v>13</v>
      </c>
      <c r="E55">
        <v>298.27999999999997</v>
      </c>
    </row>
    <row r="56" spans="1:5" hidden="1" x14ac:dyDescent="0.3">
      <c r="A56">
        <v>7</v>
      </c>
      <c r="B56">
        <v>4.0999999999999996</v>
      </c>
      <c r="C56" s="120">
        <v>2.0840000000000001</v>
      </c>
      <c r="D56">
        <v>5</v>
      </c>
      <c r="E56">
        <v>16</v>
      </c>
    </row>
    <row r="57" spans="1:5" x14ac:dyDescent="0.3">
      <c r="A57">
        <v>19</v>
      </c>
      <c r="B57">
        <v>4.0999999999999996</v>
      </c>
      <c r="C57" s="120">
        <v>2.085</v>
      </c>
      <c r="D57">
        <v>7</v>
      </c>
      <c r="E57">
        <v>168.62</v>
      </c>
    </row>
    <row r="58" spans="1:5" hidden="1" x14ac:dyDescent="0.3">
      <c r="A58">
        <v>6</v>
      </c>
      <c r="B58">
        <v>4.0999999999999996</v>
      </c>
      <c r="C58" s="120">
        <v>2.0880000000000001</v>
      </c>
      <c r="D58">
        <v>5</v>
      </c>
      <c r="E58">
        <v>10.24</v>
      </c>
    </row>
    <row r="59" spans="1:5" hidden="1" x14ac:dyDescent="0.3">
      <c r="A59">
        <v>41</v>
      </c>
      <c r="B59">
        <v>4.0999999999999996</v>
      </c>
      <c r="C59" s="120">
        <v>2.09</v>
      </c>
      <c r="D59">
        <v>9</v>
      </c>
      <c r="E59">
        <v>12.15</v>
      </c>
    </row>
    <row r="60" spans="1:5" hidden="1" x14ac:dyDescent="0.3">
      <c r="A60">
        <v>40</v>
      </c>
      <c r="B60">
        <v>4.0999999999999996</v>
      </c>
      <c r="C60" s="120">
        <v>2.0910000000000002</v>
      </c>
      <c r="D60">
        <v>9</v>
      </c>
      <c r="E60">
        <v>10.63</v>
      </c>
    </row>
    <row r="61" spans="1:5" hidden="1" x14ac:dyDescent="0.3">
      <c r="A61">
        <v>12</v>
      </c>
      <c r="B61">
        <v>4.0999999999999996</v>
      </c>
      <c r="C61" s="120">
        <v>2.0939999999999999</v>
      </c>
      <c r="D61">
        <v>5</v>
      </c>
      <c r="E61">
        <v>23.36</v>
      </c>
    </row>
    <row r="62" spans="1:5" hidden="1" x14ac:dyDescent="0.3">
      <c r="A62">
        <v>39</v>
      </c>
      <c r="B62">
        <v>4.0999999999999996</v>
      </c>
      <c r="C62" s="120">
        <v>2.0950000000000002</v>
      </c>
      <c r="D62">
        <v>9</v>
      </c>
      <c r="E62">
        <v>8.7899999999999991</v>
      </c>
    </row>
    <row r="63" spans="1:5" hidden="1" x14ac:dyDescent="0.3">
      <c r="A63">
        <v>3</v>
      </c>
      <c r="B63">
        <v>4.0999999999999996</v>
      </c>
      <c r="C63" s="120">
        <v>2.097</v>
      </c>
      <c r="D63">
        <v>5</v>
      </c>
      <c r="E63">
        <v>4.8499999999999996</v>
      </c>
    </row>
    <row r="64" spans="1:5" hidden="1" x14ac:dyDescent="0.3">
      <c r="A64">
        <v>4</v>
      </c>
      <c r="B64">
        <v>4.0999999999999996</v>
      </c>
      <c r="C64" s="120">
        <v>2.0979999999999999</v>
      </c>
      <c r="D64">
        <v>5</v>
      </c>
      <c r="E64">
        <v>4.76</v>
      </c>
    </row>
    <row r="65" spans="1:10" hidden="1" x14ac:dyDescent="0.3">
      <c r="A65">
        <v>11</v>
      </c>
      <c r="B65">
        <v>4.0999999999999996</v>
      </c>
      <c r="C65" s="120">
        <v>2.0990000000000002</v>
      </c>
      <c r="D65">
        <v>5</v>
      </c>
      <c r="E65">
        <v>21.09</v>
      </c>
    </row>
    <row r="66" spans="1:10" hidden="1" x14ac:dyDescent="0.3">
      <c r="A66">
        <v>36</v>
      </c>
      <c r="B66">
        <v>4.0999999999999996</v>
      </c>
      <c r="C66" s="120">
        <v>2.1</v>
      </c>
      <c r="D66">
        <v>9</v>
      </c>
      <c r="E66">
        <v>8.19</v>
      </c>
    </row>
    <row r="67" spans="1:10" hidden="1" x14ac:dyDescent="0.3">
      <c r="A67">
        <v>5</v>
      </c>
      <c r="B67">
        <v>4.0999999999999996</v>
      </c>
      <c r="C67" s="120">
        <v>2.1019999999999999</v>
      </c>
      <c r="D67">
        <v>5</v>
      </c>
      <c r="E67">
        <v>9.24</v>
      </c>
    </row>
    <row r="68" spans="1:10" hidden="1" x14ac:dyDescent="0.3">
      <c r="A68">
        <v>10</v>
      </c>
      <c r="B68">
        <v>4.0999999999999996</v>
      </c>
      <c r="C68" s="120">
        <v>2.1030000000000002</v>
      </c>
      <c r="D68">
        <v>5</v>
      </c>
      <c r="E68">
        <v>19.329999999999998</v>
      </c>
    </row>
    <row r="69" spans="1:10" hidden="1" x14ac:dyDescent="0.3">
      <c r="A69">
        <v>38</v>
      </c>
      <c r="B69">
        <v>4.0999999999999996</v>
      </c>
      <c r="C69" s="120">
        <v>2.1040000000000001</v>
      </c>
      <c r="D69">
        <v>9</v>
      </c>
      <c r="E69">
        <v>8.4499999999999993</v>
      </c>
    </row>
    <row r="70" spans="1:10" hidden="1" x14ac:dyDescent="0.3">
      <c r="A70">
        <v>9</v>
      </c>
      <c r="B70">
        <v>4.0999999999999996</v>
      </c>
      <c r="C70" s="120">
        <v>2.1059999999999999</v>
      </c>
      <c r="D70">
        <v>5</v>
      </c>
      <c r="E70">
        <v>19.36</v>
      </c>
    </row>
    <row r="71" spans="1:10" hidden="1" x14ac:dyDescent="0.3">
      <c r="A71">
        <v>37</v>
      </c>
      <c r="B71">
        <v>4.0999999999999996</v>
      </c>
      <c r="C71" s="120">
        <v>2.1070000000000002</v>
      </c>
      <c r="D71">
        <v>9</v>
      </c>
      <c r="E71">
        <v>8.14</v>
      </c>
    </row>
    <row r="72" spans="1:10" hidden="1" x14ac:dyDescent="0.3">
      <c r="A72">
        <v>13</v>
      </c>
      <c r="B72">
        <v>4.0999999999999996</v>
      </c>
      <c r="C72" s="120">
        <v>2.109</v>
      </c>
      <c r="D72">
        <v>5</v>
      </c>
      <c r="E72">
        <v>33.049999999999997</v>
      </c>
    </row>
    <row r="73" spans="1:10" hidden="1" x14ac:dyDescent="0.3">
      <c r="A73">
        <v>1</v>
      </c>
      <c r="B73">
        <v>4.0999999999999996</v>
      </c>
      <c r="C73" s="120">
        <v>2.16</v>
      </c>
      <c r="D73">
        <v>4</v>
      </c>
      <c r="E73">
        <v>72.64</v>
      </c>
    </row>
    <row r="74" spans="1:10" hidden="1" x14ac:dyDescent="0.3">
      <c r="A74">
        <v>2</v>
      </c>
      <c r="B74">
        <v>1</v>
      </c>
      <c r="C74" s="120">
        <v>2.1619999999999999</v>
      </c>
      <c r="D74">
        <v>5</v>
      </c>
      <c r="E74">
        <v>5.24</v>
      </c>
    </row>
    <row r="75" spans="1:10" hidden="1" x14ac:dyDescent="0.3">
      <c r="A75">
        <v>8</v>
      </c>
      <c r="B75">
        <v>4.0999999999999996</v>
      </c>
      <c r="C75" s="120">
        <v>2.1619999999999999</v>
      </c>
      <c r="D75">
        <v>5</v>
      </c>
    </row>
    <row r="76" spans="1:10" hidden="1" x14ac:dyDescent="0.3">
      <c r="A76">
        <v>44</v>
      </c>
      <c r="B76">
        <v>4.0999999999999996</v>
      </c>
      <c r="C76" s="120">
        <v>2.1680000000000001</v>
      </c>
      <c r="D76">
        <v>15</v>
      </c>
      <c r="E76">
        <v>8.02</v>
      </c>
    </row>
    <row r="80" spans="1:10" x14ac:dyDescent="0.3">
      <c r="A80" s="218" t="s">
        <v>108</v>
      </c>
      <c r="B80" s="219"/>
      <c r="C80" s="219"/>
      <c r="D80" s="219"/>
      <c r="E80" s="220"/>
      <c r="G80" s="221" t="s">
        <v>108</v>
      </c>
      <c r="H80" s="222"/>
      <c r="I80" s="222"/>
      <c r="J80" s="223"/>
    </row>
    <row r="81" spans="1:10" x14ac:dyDescent="0.3">
      <c r="A81" s="117" t="s">
        <v>0</v>
      </c>
      <c r="B81" s="118" t="s">
        <v>123</v>
      </c>
      <c r="C81" s="25" t="s">
        <v>124</v>
      </c>
      <c r="D81" s="118" t="s">
        <v>125</v>
      </c>
      <c r="E81" s="119" t="s">
        <v>126</v>
      </c>
      <c r="G81" s="117" t="s">
        <v>0</v>
      </c>
      <c r="H81" s="118" t="s">
        <v>123</v>
      </c>
      <c r="I81" s="118" t="s">
        <v>125</v>
      </c>
      <c r="J81" s="119" t="s">
        <v>127</v>
      </c>
    </row>
    <row r="82" spans="1:10" hidden="1" x14ac:dyDescent="0.3">
      <c r="A82">
        <v>1</v>
      </c>
      <c r="B82">
        <v>1</v>
      </c>
      <c r="C82" s="120">
        <v>3.0920000000000001</v>
      </c>
      <c r="D82">
        <v>5</v>
      </c>
      <c r="E82">
        <v>5.24</v>
      </c>
      <c r="H82">
        <v>1</v>
      </c>
      <c r="I82">
        <v>5</v>
      </c>
      <c r="J82">
        <v>5.24</v>
      </c>
    </row>
    <row r="83" spans="1:10" hidden="1" x14ac:dyDescent="0.3">
      <c r="A83">
        <v>2</v>
      </c>
      <c r="B83">
        <v>1</v>
      </c>
      <c r="C83" s="120">
        <v>3.0139999999999998</v>
      </c>
      <c r="D83">
        <v>6</v>
      </c>
      <c r="E83">
        <v>148.61000000000001</v>
      </c>
      <c r="H83">
        <v>1</v>
      </c>
      <c r="I83">
        <v>6</v>
      </c>
      <c r="J83">
        <v>388.9</v>
      </c>
    </row>
    <row r="84" spans="1:10" hidden="1" x14ac:dyDescent="0.3">
      <c r="A84">
        <v>3</v>
      </c>
      <c r="B84">
        <v>1</v>
      </c>
      <c r="C84" s="120">
        <v>3.0049999999999999</v>
      </c>
      <c r="D84">
        <v>6</v>
      </c>
      <c r="E84">
        <v>239.62</v>
      </c>
      <c r="H84">
        <v>4.0999999999999996</v>
      </c>
      <c r="I84">
        <v>6</v>
      </c>
      <c r="J84">
        <v>380.9</v>
      </c>
    </row>
    <row r="85" spans="1:10" hidden="1" x14ac:dyDescent="0.3">
      <c r="A85">
        <v>4</v>
      </c>
      <c r="B85">
        <v>4.0999999999999996</v>
      </c>
      <c r="C85" s="120">
        <v>3.02</v>
      </c>
      <c r="D85">
        <v>6</v>
      </c>
      <c r="E85">
        <v>137.72999999999999</v>
      </c>
      <c r="H85">
        <v>1</v>
      </c>
      <c r="I85">
        <v>8</v>
      </c>
      <c r="J85">
        <v>748.81</v>
      </c>
    </row>
    <row r="86" spans="1:10" hidden="1" x14ac:dyDescent="0.3">
      <c r="A86">
        <v>5</v>
      </c>
      <c r="B86">
        <v>4.0999999999999996</v>
      </c>
      <c r="C86">
        <v>3.0190000000000001</v>
      </c>
      <c r="D86">
        <v>6</v>
      </c>
      <c r="E86">
        <v>244.28</v>
      </c>
      <c r="H86">
        <v>1</v>
      </c>
      <c r="I86">
        <v>9</v>
      </c>
      <c r="J86">
        <v>46.57</v>
      </c>
    </row>
    <row r="87" spans="1:10" hidden="1" x14ac:dyDescent="0.3">
      <c r="A87">
        <v>6</v>
      </c>
      <c r="B87">
        <v>1</v>
      </c>
      <c r="C87" s="120">
        <v>3.0110000000000001</v>
      </c>
      <c r="D87">
        <v>8</v>
      </c>
      <c r="E87">
        <v>67.14</v>
      </c>
      <c r="H87">
        <v>4.0999999999999996</v>
      </c>
      <c r="I87">
        <v>13</v>
      </c>
      <c r="J87">
        <v>16</v>
      </c>
    </row>
    <row r="88" spans="1:10" hidden="1" x14ac:dyDescent="0.3">
      <c r="A88">
        <v>7</v>
      </c>
      <c r="B88">
        <v>1</v>
      </c>
      <c r="C88" s="120">
        <v>3.004</v>
      </c>
      <c r="D88">
        <v>8</v>
      </c>
      <c r="E88">
        <v>67.59</v>
      </c>
      <c r="H88">
        <v>4.0999999999999996</v>
      </c>
      <c r="I88">
        <v>14</v>
      </c>
      <c r="J88">
        <v>134.78</v>
      </c>
    </row>
    <row r="89" spans="1:10" hidden="1" x14ac:dyDescent="0.3">
      <c r="A89">
        <v>8</v>
      </c>
      <c r="B89">
        <v>1</v>
      </c>
      <c r="C89" s="120">
        <v>3.008</v>
      </c>
      <c r="D89">
        <v>8</v>
      </c>
      <c r="E89">
        <v>67.84</v>
      </c>
      <c r="H89">
        <v>1</v>
      </c>
      <c r="I89">
        <v>15</v>
      </c>
      <c r="J89">
        <v>13.62</v>
      </c>
    </row>
    <row r="90" spans="1:10" hidden="1" x14ac:dyDescent="0.3">
      <c r="A90">
        <v>9</v>
      </c>
      <c r="B90">
        <v>1</v>
      </c>
      <c r="C90" s="120">
        <v>3.0129999999999999</v>
      </c>
      <c r="D90">
        <v>8</v>
      </c>
      <c r="E90">
        <v>68</v>
      </c>
      <c r="H90">
        <v>4.0999999999999996</v>
      </c>
      <c r="I90">
        <v>15</v>
      </c>
      <c r="J90">
        <v>15.08</v>
      </c>
    </row>
    <row r="91" spans="1:10" hidden="1" x14ac:dyDescent="0.3">
      <c r="A91">
        <v>10</v>
      </c>
      <c r="B91">
        <v>1</v>
      </c>
      <c r="C91" s="120">
        <v>3.01</v>
      </c>
      <c r="D91">
        <v>8</v>
      </c>
      <c r="E91">
        <v>68</v>
      </c>
      <c r="H91">
        <v>4.0999999999999996</v>
      </c>
      <c r="I91">
        <v>16</v>
      </c>
      <c r="J91">
        <v>322.77</v>
      </c>
    </row>
    <row r="92" spans="1:10" hidden="1" x14ac:dyDescent="0.3">
      <c r="A92">
        <v>11</v>
      </c>
      <c r="B92">
        <v>1</v>
      </c>
      <c r="C92" s="120">
        <v>3.012</v>
      </c>
      <c r="D92">
        <v>8</v>
      </c>
      <c r="E92">
        <v>68</v>
      </c>
    </row>
    <row r="93" spans="1:10" hidden="1" x14ac:dyDescent="0.3">
      <c r="A93">
        <v>12</v>
      </c>
      <c r="B93">
        <v>1</v>
      </c>
      <c r="C93" s="120">
        <v>3.0089999999999999</v>
      </c>
      <c r="D93">
        <v>8</v>
      </c>
      <c r="E93">
        <v>68</v>
      </c>
    </row>
    <row r="94" spans="1:10" hidden="1" x14ac:dyDescent="0.3">
      <c r="A94">
        <v>13</v>
      </c>
      <c r="B94">
        <v>1</v>
      </c>
      <c r="C94" s="120">
        <v>3.0030000000000001</v>
      </c>
      <c r="D94">
        <v>8</v>
      </c>
      <c r="E94">
        <v>71.709999999999994</v>
      </c>
    </row>
    <row r="95" spans="1:10" hidden="1" x14ac:dyDescent="0.3">
      <c r="A95">
        <v>14</v>
      </c>
      <c r="B95">
        <v>1</v>
      </c>
      <c r="C95" s="120">
        <v>3.0019999999999998</v>
      </c>
      <c r="D95">
        <v>8</v>
      </c>
      <c r="E95">
        <v>73.05</v>
      </c>
    </row>
    <row r="96" spans="1:10" hidden="1" x14ac:dyDescent="0.3">
      <c r="A96">
        <v>15</v>
      </c>
      <c r="B96">
        <v>1</v>
      </c>
      <c r="C96" s="120">
        <v>3.0009999999999999</v>
      </c>
      <c r="D96">
        <v>8</v>
      </c>
      <c r="E96">
        <v>129.68</v>
      </c>
    </row>
    <row r="97" spans="1:14" hidden="1" x14ac:dyDescent="0.3">
      <c r="A97">
        <v>16</v>
      </c>
      <c r="B97">
        <v>1</v>
      </c>
      <c r="C97" s="120">
        <v>3.0150000000000001</v>
      </c>
      <c r="D97">
        <v>9</v>
      </c>
      <c r="E97">
        <v>17.21</v>
      </c>
    </row>
    <row r="98" spans="1:14" hidden="1" x14ac:dyDescent="0.3">
      <c r="A98">
        <v>17</v>
      </c>
      <c r="B98">
        <v>1</v>
      </c>
      <c r="C98" s="120">
        <v>3.016</v>
      </c>
      <c r="D98">
        <v>9</v>
      </c>
      <c r="E98">
        <v>21.12</v>
      </c>
    </row>
    <row r="99" spans="1:14" hidden="1" x14ac:dyDescent="0.3">
      <c r="A99">
        <v>18</v>
      </c>
      <c r="B99">
        <v>1</v>
      </c>
      <c r="C99" s="120">
        <v>3.0169999999999999</v>
      </c>
      <c r="D99">
        <v>9</v>
      </c>
      <c r="E99">
        <v>5.0599999999999996</v>
      </c>
    </row>
    <row r="100" spans="1:14" hidden="1" x14ac:dyDescent="0.3">
      <c r="A100">
        <v>19</v>
      </c>
      <c r="B100">
        <v>1</v>
      </c>
      <c r="C100" s="120">
        <v>3.0179999999999998</v>
      </c>
      <c r="D100">
        <v>9</v>
      </c>
      <c r="E100">
        <v>3.2</v>
      </c>
    </row>
    <row r="101" spans="1:14" hidden="1" x14ac:dyDescent="0.3">
      <c r="A101">
        <v>20</v>
      </c>
      <c r="B101">
        <v>4.0999999999999996</v>
      </c>
      <c r="C101" s="120">
        <v>3.0209999999999999</v>
      </c>
      <c r="D101">
        <v>13</v>
      </c>
      <c r="E101">
        <v>15.62</v>
      </c>
    </row>
    <row r="102" spans="1:14" hidden="1" x14ac:dyDescent="0.3">
      <c r="A102">
        <v>21</v>
      </c>
      <c r="B102">
        <v>4.0999999999999996</v>
      </c>
      <c r="C102" s="120" t="s">
        <v>129</v>
      </c>
      <c r="D102">
        <v>14</v>
      </c>
      <c r="E102">
        <v>140.80000000000001</v>
      </c>
    </row>
    <row r="103" spans="1:14" x14ac:dyDescent="0.3">
      <c r="A103">
        <v>22</v>
      </c>
      <c r="B103">
        <v>1</v>
      </c>
      <c r="C103" s="120">
        <v>3.0059999999999998</v>
      </c>
      <c r="D103">
        <v>15</v>
      </c>
      <c r="E103">
        <v>13.62</v>
      </c>
    </row>
    <row r="104" spans="1:14" x14ac:dyDescent="0.3">
      <c r="A104">
        <v>23</v>
      </c>
      <c r="B104">
        <v>4.0999999999999996</v>
      </c>
      <c r="C104" s="120">
        <v>3.0939999999999999</v>
      </c>
      <c r="D104">
        <v>15</v>
      </c>
      <c r="E104">
        <v>15.07</v>
      </c>
    </row>
    <row r="105" spans="1:14" hidden="1" x14ac:dyDescent="0.3">
      <c r="A105">
        <v>24</v>
      </c>
      <c r="B105">
        <v>4.0999999999999996</v>
      </c>
      <c r="C105" s="120">
        <v>3.085</v>
      </c>
      <c r="D105">
        <v>16</v>
      </c>
      <c r="E105">
        <v>13.16</v>
      </c>
    </row>
    <row r="106" spans="1:14" hidden="1" x14ac:dyDescent="0.3">
      <c r="A106">
        <v>25</v>
      </c>
      <c r="B106">
        <v>4.0999999999999996</v>
      </c>
      <c r="C106" s="120">
        <v>2.0790000000000002</v>
      </c>
      <c r="D106">
        <v>16</v>
      </c>
      <c r="E106">
        <v>310.88</v>
      </c>
      <c r="F106">
        <v>322.77</v>
      </c>
      <c r="G106">
        <f>F106-E105</f>
        <v>309.60999999999996</v>
      </c>
    </row>
    <row r="111" spans="1:14" ht="15.6" x14ac:dyDescent="0.3">
      <c r="G111" s="210" t="s">
        <v>108</v>
      </c>
      <c r="H111" s="210"/>
      <c r="I111" s="210"/>
      <c r="J111" s="210"/>
      <c r="K111" s="210"/>
      <c r="L111" s="210"/>
      <c r="M111" s="210"/>
      <c r="N111" s="210"/>
    </row>
    <row r="112" spans="1:14" ht="15.6" x14ac:dyDescent="0.3">
      <c r="G112" s="196" t="s">
        <v>0</v>
      </c>
      <c r="H112" s="234" t="s">
        <v>1</v>
      </c>
      <c r="I112" s="235"/>
      <c r="J112" s="236"/>
      <c r="K112" s="237" t="s">
        <v>148</v>
      </c>
      <c r="L112" s="238"/>
      <c r="M112" s="197" t="s">
        <v>12</v>
      </c>
      <c r="N112" s="173" t="s">
        <v>6</v>
      </c>
    </row>
    <row r="113" spans="7:14" ht="15.6" x14ac:dyDescent="0.3">
      <c r="G113" s="196">
        <v>1</v>
      </c>
      <c r="H113" s="234" t="s">
        <v>186</v>
      </c>
      <c r="I113" s="235"/>
      <c r="J113" s="236"/>
      <c r="K113" s="239" t="s">
        <v>191</v>
      </c>
      <c r="L113" s="240"/>
      <c r="M113" s="198" t="s">
        <v>42</v>
      </c>
      <c r="N113" s="184">
        <f>K124</f>
        <v>2207.5182500000001</v>
      </c>
    </row>
    <row r="114" spans="7:14" ht="15.6" x14ac:dyDescent="0.3">
      <c r="G114" s="214"/>
      <c r="H114" s="214"/>
      <c r="I114" s="214"/>
      <c r="J114" s="214"/>
      <c r="K114" s="214"/>
      <c r="L114" s="214"/>
      <c r="M114" s="214"/>
      <c r="N114" s="214"/>
    </row>
    <row r="115" spans="7:14" ht="62.4" x14ac:dyDescent="0.3">
      <c r="G115" s="175" t="s">
        <v>0</v>
      </c>
      <c r="H115" s="176" t="s">
        <v>151</v>
      </c>
      <c r="I115" s="231" t="s">
        <v>193</v>
      </c>
      <c r="J115" s="231" t="s">
        <v>187</v>
      </c>
      <c r="K115" s="231" t="s">
        <v>188</v>
      </c>
      <c r="L115" s="215"/>
      <c r="M115" s="216"/>
      <c r="N115" s="216"/>
    </row>
    <row r="116" spans="7:14" ht="15.6" x14ac:dyDescent="0.3">
      <c r="G116" s="232">
        <v>1</v>
      </c>
      <c r="H116" s="232" t="s">
        <v>192</v>
      </c>
      <c r="I116" s="233">
        <v>436.5</v>
      </c>
      <c r="J116" s="233">
        <f>((0.8+0.5*2)*19.3+(0.8+0.5*2)*10.9+(0.6+0.3*2)*8.1+0.25*3.14*28.1+(0.4+0.2*2)*7.3+0.1*2*30)*2</f>
        <v>195.95699999999999</v>
      </c>
      <c r="K116" s="233">
        <f>I116+J116</f>
        <v>632.45699999999999</v>
      </c>
      <c r="L116" s="215"/>
      <c r="M116" s="216"/>
      <c r="N116" s="216"/>
    </row>
    <row r="117" spans="7:14" ht="15.6" x14ac:dyDescent="0.3">
      <c r="G117" s="232">
        <v>2</v>
      </c>
      <c r="H117" s="232" t="s">
        <v>190</v>
      </c>
      <c r="I117" s="233">
        <v>153.1</v>
      </c>
      <c r="J117" s="233">
        <f>((17.4+21+23)*3.14*0.25+0.1*2*30)*2</f>
        <v>108.398</v>
      </c>
      <c r="K117" s="233">
        <f t="shared" ref="K117:K123" si="1">I117+J117</f>
        <v>261.49799999999999</v>
      </c>
      <c r="L117" s="215"/>
      <c r="M117" s="216"/>
      <c r="N117" s="216"/>
    </row>
    <row r="118" spans="7:14" ht="15.6" x14ac:dyDescent="0.3">
      <c r="G118" s="232">
        <v>3</v>
      </c>
      <c r="H118" s="232" t="s">
        <v>189</v>
      </c>
      <c r="I118" s="233">
        <v>159.30000000000001</v>
      </c>
      <c r="J118" s="233">
        <f>(2*4.7)*3.14*0.25+(0.6+0.3*2)*19.3+(0.8+0.5*2)*5.5+3.14*0.25*17.4+(0.8+0.6*2)*12.3+(0.5+0.3*2)*16.4+(0.5+0.3*2)*18.1+0.1*2*30</f>
        <v>122.648</v>
      </c>
      <c r="K118" s="233">
        <f t="shared" si="1"/>
        <v>281.94799999999998</v>
      </c>
      <c r="L118" s="215"/>
      <c r="M118" s="216"/>
      <c r="N118" s="216"/>
    </row>
    <row r="119" spans="7:14" ht="15.6" x14ac:dyDescent="0.3">
      <c r="G119" s="232">
        <v>4</v>
      </c>
      <c r="H119" s="181" t="s">
        <v>32</v>
      </c>
      <c r="I119" s="183">
        <v>78.400000000000006</v>
      </c>
      <c r="J119" s="183">
        <f>(0.2+0.2*2)*16.9+3.14*0.125*23.8+(0.4+0.2*2)*16.2+(0.8+0.5*2)*7.4+0.1*2*30</f>
        <v>51.761500000000005</v>
      </c>
      <c r="K119" s="233">
        <f t="shared" si="1"/>
        <v>130.16150000000002</v>
      </c>
      <c r="L119" s="215"/>
      <c r="M119" s="216"/>
      <c r="N119" s="216"/>
    </row>
    <row r="120" spans="7:14" ht="15.6" x14ac:dyDescent="0.3">
      <c r="G120" s="232">
        <v>5</v>
      </c>
      <c r="H120" s="181" t="s">
        <v>24</v>
      </c>
      <c r="I120" s="183">
        <v>169.4</v>
      </c>
      <c r="J120" s="183">
        <f>((0.8+0.5*2)*14.1+0.1*2*30)*2</f>
        <v>62.76</v>
      </c>
      <c r="K120" s="233">
        <f t="shared" si="1"/>
        <v>232.16</v>
      </c>
      <c r="L120" s="215"/>
      <c r="M120" s="216"/>
      <c r="N120" s="216"/>
    </row>
    <row r="121" spans="7:14" ht="15.6" x14ac:dyDescent="0.3">
      <c r="G121" s="232">
        <v>6</v>
      </c>
      <c r="H121" s="181" t="s">
        <v>43</v>
      </c>
      <c r="I121" s="183">
        <v>31.4</v>
      </c>
      <c r="J121" s="183">
        <f>3.14*0.125*17.9</f>
        <v>7.0257499999999995</v>
      </c>
      <c r="K121" s="233">
        <f t="shared" si="1"/>
        <v>38.425750000000001</v>
      </c>
      <c r="L121" s="215"/>
      <c r="M121" s="216"/>
      <c r="N121" s="216"/>
    </row>
    <row r="122" spans="7:14" ht="15.6" x14ac:dyDescent="0.3">
      <c r="G122" s="232">
        <v>7</v>
      </c>
      <c r="H122" s="181" t="s">
        <v>55</v>
      </c>
      <c r="I122" s="183">
        <v>241.1</v>
      </c>
      <c r="J122" s="183">
        <f>((0.8+0.5*2)*14.1+0.1*2*30+(0.8+0.5*2)*8.5+3.14*0.125*7.2)*3</f>
        <v>148.518</v>
      </c>
      <c r="K122" s="233">
        <f t="shared" si="1"/>
        <v>389.61799999999999</v>
      </c>
      <c r="L122" s="215"/>
      <c r="M122" s="216"/>
      <c r="N122" s="216"/>
    </row>
    <row r="123" spans="7:14" ht="15.6" x14ac:dyDescent="0.3">
      <c r="G123" s="232">
        <v>8</v>
      </c>
      <c r="H123" s="181" t="s">
        <v>56</v>
      </c>
      <c r="I123" s="183">
        <v>136.69999999999999</v>
      </c>
      <c r="J123" s="183">
        <f>((0.8+0.5*2)*7.5+0.1*2*30+(0.4+0.2*2)*10.7+(0.4+0.2*2)*17.2)*2.5</f>
        <v>104.55</v>
      </c>
      <c r="K123" s="233">
        <f t="shared" si="1"/>
        <v>241.25</v>
      </c>
      <c r="L123" s="215"/>
      <c r="M123" s="216"/>
      <c r="N123" s="216"/>
    </row>
    <row r="124" spans="7:14" ht="15.6" x14ac:dyDescent="0.3">
      <c r="G124" s="182"/>
      <c r="H124" s="182" t="s">
        <v>93</v>
      </c>
      <c r="I124" s="183">
        <f>SUM(I116:I123)</f>
        <v>1405.9</v>
      </c>
      <c r="J124" s="183">
        <f t="shared" ref="J124:K124" si="2">SUM(J116:J123)</f>
        <v>801.6182500000001</v>
      </c>
      <c r="K124" s="183">
        <f t="shared" si="2"/>
        <v>2207.5182500000001</v>
      </c>
      <c r="L124" s="215"/>
      <c r="M124" s="216"/>
      <c r="N124" s="216"/>
    </row>
  </sheetData>
  <mergeCells count="13">
    <mergeCell ref="G114:N114"/>
    <mergeCell ref="L115:N124"/>
    <mergeCell ref="G111:N111"/>
    <mergeCell ref="H112:J112"/>
    <mergeCell ref="K112:L112"/>
    <mergeCell ref="H113:J113"/>
    <mergeCell ref="K113:L113"/>
    <mergeCell ref="A80:E80"/>
    <mergeCell ref="G80:J80"/>
    <mergeCell ref="A1:E1"/>
    <mergeCell ref="G1:J1"/>
    <mergeCell ref="A31:E31"/>
    <mergeCell ref="G31:J3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"/>
  <sheetViews>
    <sheetView zoomScale="80" zoomScaleNormal="80" workbookViewId="0">
      <selection activeCell="D4" sqref="D4"/>
    </sheetView>
  </sheetViews>
  <sheetFormatPr defaultRowHeight="14.4" x14ac:dyDescent="0.3"/>
  <cols>
    <col min="1" max="1" width="7.5546875" customWidth="1"/>
    <col min="2" max="2" width="47.44140625" customWidth="1"/>
    <col min="3" max="3" width="9.109375" customWidth="1"/>
    <col min="4" max="4" width="14.5546875" customWidth="1"/>
    <col min="5" max="5" width="8.88671875" customWidth="1"/>
  </cols>
  <sheetData>
    <row r="1" spans="1:5" x14ac:dyDescent="0.3">
      <c r="A1" s="37"/>
      <c r="B1" s="38" t="s">
        <v>132</v>
      </c>
      <c r="C1" s="39"/>
      <c r="D1" s="40"/>
      <c r="E1" s="41"/>
    </row>
    <row r="2" spans="1:5" ht="15" thickBot="1" x14ac:dyDescent="0.35">
      <c r="A2" s="48" t="s">
        <v>0</v>
      </c>
      <c r="B2" s="49" t="s">
        <v>1</v>
      </c>
      <c r="C2" s="50" t="s">
        <v>12</v>
      </c>
      <c r="D2" s="51" t="s">
        <v>13</v>
      </c>
      <c r="E2" s="52" t="s">
        <v>6</v>
      </c>
    </row>
    <row r="3" spans="1:5" ht="26.4" x14ac:dyDescent="0.3">
      <c r="A3" s="26" t="s">
        <v>8</v>
      </c>
      <c r="B3" s="47" t="s">
        <v>131</v>
      </c>
      <c r="C3" s="27" t="s">
        <v>42</v>
      </c>
      <c r="D3" s="28">
        <v>1</v>
      </c>
      <c r="E3" s="29">
        <f>'4.СКБспец'!E9</f>
        <v>637</v>
      </c>
    </row>
    <row r="4" spans="1:5" x14ac:dyDescent="0.3">
      <c r="A4" s="30" t="s">
        <v>5</v>
      </c>
      <c r="B4" s="20" t="s">
        <v>48</v>
      </c>
      <c r="C4" s="2" t="s">
        <v>7</v>
      </c>
      <c r="D4" s="5">
        <v>4.5</v>
      </c>
      <c r="E4" s="31">
        <f>D4*E3</f>
        <v>2866.5</v>
      </c>
    </row>
    <row r="5" spans="1:5" ht="15" thickBot="1" x14ac:dyDescent="0.35">
      <c r="A5" s="32" t="s">
        <v>37</v>
      </c>
      <c r="B5" s="33" t="s">
        <v>49</v>
      </c>
      <c r="C5" s="34" t="s">
        <v>7</v>
      </c>
      <c r="D5" s="35">
        <v>0.15</v>
      </c>
      <c r="E5" s="36">
        <f>D5*E3</f>
        <v>95.55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9"/>
  <sheetViews>
    <sheetView zoomScale="115" zoomScaleNormal="115" workbookViewId="0">
      <selection activeCell="D4" sqref="D4"/>
    </sheetView>
  </sheetViews>
  <sheetFormatPr defaultColWidth="9.109375" defaultRowHeight="13.2" x14ac:dyDescent="0.25"/>
  <cols>
    <col min="1" max="16384" width="9.109375" style="1"/>
  </cols>
  <sheetData>
    <row r="1" spans="1:5" x14ac:dyDescent="0.25">
      <c r="A1" s="221" t="s">
        <v>108</v>
      </c>
      <c r="B1" s="222"/>
      <c r="C1" s="222"/>
      <c r="D1" s="222"/>
      <c r="E1" s="223"/>
    </row>
    <row r="2" spans="1:5" x14ac:dyDescent="0.25">
      <c r="A2" s="122" t="s">
        <v>0</v>
      </c>
      <c r="B2" s="122" t="s">
        <v>123</v>
      </c>
      <c r="C2" s="122" t="s">
        <v>124</v>
      </c>
      <c r="D2" s="122" t="s">
        <v>125</v>
      </c>
      <c r="E2" s="122" t="s">
        <v>126</v>
      </c>
    </row>
    <row r="3" spans="1:5" x14ac:dyDescent="0.25">
      <c r="A3" s="122">
        <v>1</v>
      </c>
      <c r="B3" s="125">
        <v>1</v>
      </c>
      <c r="C3" s="125">
        <v>1.024</v>
      </c>
      <c r="D3" s="125">
        <v>6</v>
      </c>
      <c r="E3" s="125">
        <v>11.62</v>
      </c>
    </row>
    <row r="4" spans="1:5" x14ac:dyDescent="0.25">
      <c r="A4" s="122">
        <v>2</v>
      </c>
      <c r="B4" s="125">
        <v>4.0999999999999996</v>
      </c>
      <c r="C4" s="125">
        <v>2.081</v>
      </c>
      <c r="D4" s="125">
        <v>13</v>
      </c>
      <c r="E4" s="125">
        <v>228.82</v>
      </c>
    </row>
    <row r="5" spans="1:5" x14ac:dyDescent="0.25">
      <c r="A5" s="122">
        <v>3</v>
      </c>
      <c r="B5" s="122">
        <v>4.0999999999999996</v>
      </c>
      <c r="C5" s="122">
        <v>3.0209999999999999</v>
      </c>
      <c r="D5" s="122">
        <v>13</v>
      </c>
      <c r="E5" s="122">
        <v>13.72</v>
      </c>
    </row>
    <row r="6" spans="1:5" x14ac:dyDescent="0.25">
      <c r="A6" s="122">
        <v>4</v>
      </c>
      <c r="B6" s="122">
        <v>4.0999999999999996</v>
      </c>
      <c r="C6" s="122" t="s">
        <v>129</v>
      </c>
      <c r="D6" s="122">
        <v>14</v>
      </c>
      <c r="E6" s="122">
        <v>110.8</v>
      </c>
    </row>
    <row r="7" spans="1:5" x14ac:dyDescent="0.25">
      <c r="A7" s="122">
        <v>5</v>
      </c>
      <c r="B7" s="125">
        <v>4.0999999999999996</v>
      </c>
      <c r="C7" s="125">
        <v>3.085</v>
      </c>
      <c r="D7" s="125">
        <v>16</v>
      </c>
      <c r="E7" s="125">
        <v>13.16</v>
      </c>
    </row>
    <row r="8" spans="1:5" x14ac:dyDescent="0.25">
      <c r="A8" s="122">
        <v>6</v>
      </c>
      <c r="B8" s="125">
        <v>4.0999999999999996</v>
      </c>
      <c r="C8" s="125">
        <v>2.0790000000000002</v>
      </c>
      <c r="D8" s="125">
        <v>16</v>
      </c>
      <c r="E8" s="125">
        <v>258.88</v>
      </c>
    </row>
    <row r="9" spans="1:5" x14ac:dyDescent="0.25">
      <c r="A9" s="125"/>
      <c r="B9" s="125"/>
      <c r="C9" s="125"/>
      <c r="D9" s="125" t="s">
        <v>130</v>
      </c>
      <c r="E9" s="125">
        <f>SUM(E3:E8)</f>
        <v>637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F20"/>
  <sheetViews>
    <sheetView zoomScale="130" zoomScaleNormal="130" workbookViewId="0">
      <selection activeCell="C10" sqref="C10"/>
    </sheetView>
  </sheetViews>
  <sheetFormatPr defaultColWidth="9.109375" defaultRowHeight="13.2" x14ac:dyDescent="0.25"/>
  <cols>
    <col min="1" max="1" width="7.5546875" style="131" customWidth="1"/>
    <col min="2" max="2" width="47.44140625" style="171" customWidth="1"/>
    <col min="3" max="3" width="12.109375" style="131" customWidth="1"/>
    <col min="4" max="4" width="14.5546875" style="131" customWidth="1"/>
    <col min="5" max="5" width="8.88671875" style="131" customWidth="1"/>
    <col min="6" max="6" width="9.109375" style="132"/>
    <col min="7" max="16384" width="9.109375" style="4"/>
  </cols>
  <sheetData>
    <row r="1" spans="1:6" x14ac:dyDescent="0.25">
      <c r="A1" s="133"/>
      <c r="B1" s="134" t="s">
        <v>132</v>
      </c>
      <c r="C1" s="135"/>
      <c r="D1" s="136"/>
      <c r="E1" s="135"/>
      <c r="F1" s="137"/>
    </row>
    <row r="2" spans="1:6" ht="26.4" x14ac:dyDescent="0.25">
      <c r="A2" s="133" t="s">
        <v>0</v>
      </c>
      <c r="B2" s="138" t="s">
        <v>1</v>
      </c>
      <c r="C2" s="135" t="s">
        <v>141</v>
      </c>
      <c r="D2" s="135" t="s">
        <v>12</v>
      </c>
      <c r="E2" s="136" t="s">
        <v>13</v>
      </c>
      <c r="F2" s="139" t="s">
        <v>6</v>
      </c>
    </row>
    <row r="3" spans="1:6" ht="26.4" x14ac:dyDescent="0.25">
      <c r="A3" s="140" t="s">
        <v>8</v>
      </c>
      <c r="B3" s="129" t="s">
        <v>133</v>
      </c>
      <c r="C3" s="3" t="s">
        <v>142</v>
      </c>
      <c r="D3" s="3" t="s">
        <v>42</v>
      </c>
      <c r="E3" s="130">
        <v>1</v>
      </c>
      <c r="F3" s="141">
        <f>ПокрПом!E28</f>
        <v>196.11999999999998</v>
      </c>
    </row>
    <row r="4" spans="1:6" x14ac:dyDescent="0.25">
      <c r="A4" s="140" t="s">
        <v>5</v>
      </c>
      <c r="B4" s="20" t="s">
        <v>134</v>
      </c>
      <c r="C4" s="3"/>
      <c r="D4" s="3" t="s">
        <v>7</v>
      </c>
      <c r="E4" s="130">
        <v>0.3</v>
      </c>
      <c r="F4" s="141">
        <f>E4*F3</f>
        <v>58.835999999999991</v>
      </c>
    </row>
    <row r="5" spans="1:6" x14ac:dyDescent="0.25">
      <c r="A5" s="140" t="s">
        <v>37</v>
      </c>
      <c r="B5" s="20" t="s">
        <v>14</v>
      </c>
      <c r="C5" s="3"/>
      <c r="D5" s="3" t="s">
        <v>7</v>
      </c>
      <c r="E5" s="130">
        <v>0.15</v>
      </c>
      <c r="F5" s="141">
        <f>E5*F3</f>
        <v>29.417999999999996</v>
      </c>
    </row>
    <row r="6" spans="1:6" ht="26.4" x14ac:dyDescent="0.25">
      <c r="A6" s="124">
        <v>2</v>
      </c>
      <c r="B6" s="170" t="s">
        <v>133</v>
      </c>
      <c r="C6" s="124" t="s">
        <v>136</v>
      </c>
      <c r="D6" s="124" t="s">
        <v>42</v>
      </c>
      <c r="E6" s="124">
        <v>1</v>
      </c>
      <c r="F6" s="137">
        <f>ПокрПом!E39</f>
        <v>631.62</v>
      </c>
    </row>
    <row r="7" spans="1:6" x14ac:dyDescent="0.25">
      <c r="A7" s="124">
        <v>2.1</v>
      </c>
      <c r="B7" s="20" t="s">
        <v>14</v>
      </c>
      <c r="C7" s="124"/>
      <c r="D7" s="124" t="s">
        <v>7</v>
      </c>
      <c r="E7" s="124">
        <v>0.15</v>
      </c>
      <c r="F7" s="141">
        <f>E7*F6</f>
        <v>94.742999999999995</v>
      </c>
    </row>
    <row r="8" spans="1:6" ht="39.6" x14ac:dyDescent="0.25">
      <c r="A8" s="124">
        <v>2.2000000000000002</v>
      </c>
      <c r="B8" s="20" t="s">
        <v>143</v>
      </c>
      <c r="C8" s="124"/>
      <c r="D8" s="124" t="s">
        <v>7</v>
      </c>
      <c r="E8" s="124">
        <v>0.3</v>
      </c>
      <c r="F8" s="141">
        <f>E8*F6</f>
        <v>189.48599999999999</v>
      </c>
    </row>
    <row r="9" spans="1:6" ht="26.4" x14ac:dyDescent="0.25">
      <c r="A9" s="124">
        <v>3</v>
      </c>
      <c r="B9" s="170" t="s">
        <v>133</v>
      </c>
      <c r="C9" s="124" t="s">
        <v>137</v>
      </c>
      <c r="D9" s="124" t="s">
        <v>42</v>
      </c>
      <c r="E9" s="124">
        <v>1</v>
      </c>
      <c r="F9" s="137">
        <f>ПокрПом!E66</f>
        <v>2468.63</v>
      </c>
    </row>
    <row r="10" spans="1:6" ht="26.4" x14ac:dyDescent="0.25">
      <c r="A10" s="124">
        <v>3.1</v>
      </c>
      <c r="B10" s="20" t="s">
        <v>144</v>
      </c>
      <c r="C10" s="124"/>
      <c r="D10" s="124" t="s">
        <v>7</v>
      </c>
      <c r="E10" s="124">
        <v>0.3</v>
      </c>
      <c r="F10" s="141">
        <f>E10*F9</f>
        <v>740.58900000000006</v>
      </c>
    </row>
    <row r="11" spans="1:6" x14ac:dyDescent="0.25">
      <c r="A11" s="124">
        <v>3.2</v>
      </c>
      <c r="B11" s="20" t="s">
        <v>14</v>
      </c>
      <c r="C11" s="124"/>
      <c r="D11" s="124" t="s">
        <v>7</v>
      </c>
      <c r="E11" s="124">
        <v>0.15</v>
      </c>
      <c r="F11" s="141">
        <f>E11*F9</f>
        <v>370.29450000000003</v>
      </c>
    </row>
    <row r="12" spans="1:6" ht="26.4" x14ac:dyDescent="0.25">
      <c r="A12" s="124">
        <v>4</v>
      </c>
      <c r="B12" s="170" t="s">
        <v>133</v>
      </c>
      <c r="C12" s="124" t="s">
        <v>138</v>
      </c>
      <c r="D12" s="124" t="s">
        <v>42</v>
      </c>
      <c r="E12" s="124">
        <v>1</v>
      </c>
      <c r="F12" s="137">
        <f>ПокрПом!E70</f>
        <v>132.71</v>
      </c>
    </row>
    <row r="13" spans="1:6" x14ac:dyDescent="0.25">
      <c r="A13" s="124">
        <v>4.0999999999999996</v>
      </c>
      <c r="B13" s="20" t="s">
        <v>14</v>
      </c>
      <c r="C13" s="124"/>
      <c r="D13" s="124" t="s">
        <v>7</v>
      </c>
      <c r="E13" s="124">
        <v>0.15</v>
      </c>
      <c r="F13" s="141">
        <f>E13*F12</f>
        <v>19.906500000000001</v>
      </c>
    </row>
    <row r="14" spans="1:6" ht="26.4" x14ac:dyDescent="0.25">
      <c r="A14" s="124">
        <v>4.2</v>
      </c>
      <c r="B14" s="20" t="s">
        <v>145</v>
      </c>
      <c r="C14" s="124"/>
      <c r="D14" s="124" t="s">
        <v>7</v>
      </c>
      <c r="E14" s="124">
        <v>0.3</v>
      </c>
      <c r="F14" s="141">
        <f>E14*F12</f>
        <v>39.813000000000002</v>
      </c>
    </row>
    <row r="15" spans="1:6" ht="26.4" x14ac:dyDescent="0.25">
      <c r="A15" s="124">
        <v>5</v>
      </c>
      <c r="B15" s="170" t="s">
        <v>133</v>
      </c>
      <c r="C15" s="124" t="s">
        <v>139</v>
      </c>
      <c r="D15" s="124" t="s">
        <v>42</v>
      </c>
      <c r="E15" s="124">
        <v>1</v>
      </c>
      <c r="F15" s="137">
        <f>ПокрПом!E82</f>
        <v>456.19999999999993</v>
      </c>
    </row>
    <row r="16" spans="1:6" ht="26.4" x14ac:dyDescent="0.25">
      <c r="A16" s="124">
        <v>5.0999999999999996</v>
      </c>
      <c r="B16" s="20" t="s">
        <v>146</v>
      </c>
      <c r="C16" s="124"/>
      <c r="D16" s="124" t="s">
        <v>7</v>
      </c>
      <c r="E16" s="124">
        <v>0.3</v>
      </c>
      <c r="F16" s="141">
        <f>E16*F15</f>
        <v>136.85999999999999</v>
      </c>
    </row>
    <row r="17" spans="1:6" x14ac:dyDescent="0.25">
      <c r="A17" s="124">
        <v>5.2</v>
      </c>
      <c r="B17" s="20" t="s">
        <v>14</v>
      </c>
      <c r="C17" s="124"/>
      <c r="D17" s="124" t="s">
        <v>7</v>
      </c>
      <c r="E17" s="124">
        <v>0.15</v>
      </c>
      <c r="F17" s="141">
        <f>E17*F15</f>
        <v>68.429999999999993</v>
      </c>
    </row>
    <row r="18" spans="1:6" ht="26.4" x14ac:dyDescent="0.25">
      <c r="A18" s="124">
        <v>6</v>
      </c>
      <c r="B18" s="170" t="s">
        <v>133</v>
      </c>
      <c r="C18" s="124" t="s">
        <v>140</v>
      </c>
      <c r="D18" s="124" t="s">
        <v>42</v>
      </c>
      <c r="E18" s="124">
        <v>1</v>
      </c>
      <c r="F18" s="137">
        <f>ПокрПом!E98</f>
        <v>106.37</v>
      </c>
    </row>
    <row r="19" spans="1:6" x14ac:dyDescent="0.25">
      <c r="A19" s="124">
        <v>6.1</v>
      </c>
      <c r="B19" s="20" t="s">
        <v>14</v>
      </c>
      <c r="C19" s="124"/>
      <c r="D19" s="124" t="s">
        <v>7</v>
      </c>
      <c r="E19" s="124">
        <v>0.15</v>
      </c>
      <c r="F19" s="141">
        <f>E19*F18</f>
        <v>15.955500000000001</v>
      </c>
    </row>
    <row r="20" spans="1:6" x14ac:dyDescent="0.25">
      <c r="A20" s="124">
        <v>6.2</v>
      </c>
      <c r="B20" s="20" t="s">
        <v>147</v>
      </c>
      <c r="C20" s="124"/>
      <c r="D20" s="124" t="s">
        <v>7</v>
      </c>
      <c r="E20" s="124">
        <v>0.3</v>
      </c>
      <c r="F20" s="141">
        <f>E20*F18</f>
        <v>31.911000000000001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E98"/>
  <sheetViews>
    <sheetView topLeftCell="A85" workbookViewId="0">
      <selection activeCell="F82" sqref="F82"/>
    </sheetView>
  </sheetViews>
  <sheetFormatPr defaultRowHeight="14.4" x14ac:dyDescent="0.3"/>
  <sheetData>
    <row r="1" spans="1:5" x14ac:dyDescent="0.3">
      <c r="A1" s="225" t="s">
        <v>108</v>
      </c>
      <c r="B1" s="225"/>
      <c r="C1" s="225"/>
      <c r="D1" s="225"/>
      <c r="E1" s="225"/>
    </row>
    <row r="2" spans="1:5" x14ac:dyDescent="0.3">
      <c r="A2" s="142" t="s">
        <v>0</v>
      </c>
      <c r="B2" s="143" t="s">
        <v>123</v>
      </c>
      <c r="C2" s="144" t="s">
        <v>124</v>
      </c>
      <c r="D2" s="143" t="s">
        <v>125</v>
      </c>
      <c r="E2" s="145" t="s">
        <v>126</v>
      </c>
    </row>
    <row r="3" spans="1:5" x14ac:dyDescent="0.3">
      <c r="A3" s="146">
        <v>1</v>
      </c>
      <c r="B3" s="146">
        <v>1</v>
      </c>
      <c r="C3" s="149">
        <v>1.034</v>
      </c>
      <c r="D3" s="146">
        <v>9</v>
      </c>
      <c r="E3" s="146">
        <v>17.12</v>
      </c>
    </row>
    <row r="4" spans="1:5" x14ac:dyDescent="0.3">
      <c r="A4" s="146">
        <v>2</v>
      </c>
      <c r="B4" s="146">
        <v>1</v>
      </c>
      <c r="C4" s="149">
        <v>1.0349999999999999</v>
      </c>
      <c r="D4" s="146">
        <v>9</v>
      </c>
      <c r="E4" s="146">
        <v>21.34</v>
      </c>
    </row>
    <row r="5" spans="1:5" x14ac:dyDescent="0.3">
      <c r="A5" s="146">
        <v>3</v>
      </c>
      <c r="B5" s="146">
        <v>1</v>
      </c>
      <c r="C5" s="149">
        <v>1.036</v>
      </c>
      <c r="D5" s="146">
        <v>9</v>
      </c>
      <c r="E5" s="146">
        <v>5.76</v>
      </c>
    </row>
    <row r="6" spans="1:5" x14ac:dyDescent="0.3">
      <c r="A6" s="146">
        <v>4</v>
      </c>
      <c r="B6" s="146">
        <v>1</v>
      </c>
      <c r="C6" s="149">
        <v>1.0369999999999999</v>
      </c>
      <c r="D6" s="146">
        <v>9</v>
      </c>
      <c r="E6" s="146">
        <v>3.34</v>
      </c>
    </row>
    <row r="7" spans="1:5" x14ac:dyDescent="0.3">
      <c r="A7" s="168"/>
      <c r="B7" s="168"/>
      <c r="C7" s="169"/>
      <c r="D7" s="146" t="s">
        <v>93</v>
      </c>
      <c r="E7" s="146">
        <f>SUM(E3:E6)</f>
        <v>47.56</v>
      </c>
    </row>
    <row r="8" spans="1:5" x14ac:dyDescent="0.3">
      <c r="A8" s="225" t="s">
        <v>108</v>
      </c>
      <c r="B8" s="225"/>
      <c r="C8" s="225"/>
      <c r="D8" s="225"/>
      <c r="E8" s="225"/>
    </row>
    <row r="9" spans="1:5" x14ac:dyDescent="0.3">
      <c r="A9" s="142" t="s">
        <v>0</v>
      </c>
      <c r="B9" s="143" t="s">
        <v>123</v>
      </c>
      <c r="C9" s="144" t="s">
        <v>124</v>
      </c>
      <c r="D9" s="143" t="s">
        <v>125</v>
      </c>
      <c r="E9" s="145" t="s">
        <v>126</v>
      </c>
    </row>
    <row r="10" spans="1:5" x14ac:dyDescent="0.3">
      <c r="A10" s="146">
        <v>5</v>
      </c>
      <c r="B10" s="146">
        <v>1</v>
      </c>
      <c r="C10" s="149">
        <v>2.0139999999999998</v>
      </c>
      <c r="D10" s="146">
        <v>9</v>
      </c>
      <c r="E10" s="146">
        <v>17.22</v>
      </c>
    </row>
    <row r="11" spans="1:5" x14ac:dyDescent="0.3">
      <c r="A11" s="146">
        <v>6</v>
      </c>
      <c r="B11" s="146">
        <v>1</v>
      </c>
      <c r="C11" s="149">
        <v>2.0150000000000001</v>
      </c>
      <c r="D11" s="146">
        <v>9</v>
      </c>
      <c r="E11" s="146">
        <v>20.93</v>
      </c>
    </row>
    <row r="12" spans="1:5" x14ac:dyDescent="0.3">
      <c r="A12" s="146">
        <v>7</v>
      </c>
      <c r="B12" s="146">
        <v>1</v>
      </c>
      <c r="C12" s="149">
        <v>2.016</v>
      </c>
      <c r="D12" s="146">
        <v>9</v>
      </c>
      <c r="E12" s="146">
        <v>5.0599999999999996</v>
      </c>
    </row>
    <row r="13" spans="1:5" x14ac:dyDescent="0.3">
      <c r="A13" s="146">
        <v>8</v>
      </c>
      <c r="B13" s="146">
        <v>1</v>
      </c>
      <c r="C13" s="149">
        <v>2.0169999999999999</v>
      </c>
      <c r="D13" s="146">
        <v>9</v>
      </c>
      <c r="E13" s="146">
        <v>3.22</v>
      </c>
    </row>
    <row r="14" spans="1:5" x14ac:dyDescent="0.3">
      <c r="A14" s="146">
        <v>9</v>
      </c>
      <c r="B14" s="146">
        <v>4.0999999999999996</v>
      </c>
      <c r="C14" s="149">
        <v>2.09</v>
      </c>
      <c r="D14" s="146">
        <v>9</v>
      </c>
      <c r="E14" s="146">
        <v>12.15</v>
      </c>
    </row>
    <row r="15" spans="1:5" x14ac:dyDescent="0.3">
      <c r="A15" s="146">
        <v>10</v>
      </c>
      <c r="B15" s="146">
        <v>4.0999999999999996</v>
      </c>
      <c r="C15" s="149">
        <v>2.0910000000000002</v>
      </c>
      <c r="D15" s="146">
        <v>9</v>
      </c>
      <c r="E15" s="146">
        <v>10.63</v>
      </c>
    </row>
    <row r="16" spans="1:5" x14ac:dyDescent="0.3">
      <c r="A16" s="146">
        <v>11</v>
      </c>
      <c r="B16" s="146">
        <v>4.0999999999999996</v>
      </c>
      <c r="C16" s="149">
        <v>2.0950000000000002</v>
      </c>
      <c r="D16" s="146">
        <v>9</v>
      </c>
      <c r="E16" s="146">
        <v>8.4600000000000009</v>
      </c>
    </row>
    <row r="17" spans="1:5" x14ac:dyDescent="0.3">
      <c r="A17" s="146">
        <v>12</v>
      </c>
      <c r="B17" s="146">
        <v>4.0999999999999996</v>
      </c>
      <c r="C17" s="149">
        <v>2.1</v>
      </c>
      <c r="D17" s="146">
        <v>9</v>
      </c>
      <c r="E17" s="146">
        <v>8.19</v>
      </c>
    </row>
    <row r="18" spans="1:5" x14ac:dyDescent="0.3">
      <c r="A18" s="146">
        <v>13</v>
      </c>
      <c r="B18" s="146">
        <v>4.0999999999999996</v>
      </c>
      <c r="C18" s="149">
        <v>2.1040000000000001</v>
      </c>
      <c r="D18" s="146">
        <v>9</v>
      </c>
      <c r="E18" s="146">
        <v>8.32</v>
      </c>
    </row>
    <row r="19" spans="1:5" x14ac:dyDescent="0.3">
      <c r="A19" s="146">
        <v>14</v>
      </c>
      <c r="B19" s="146">
        <v>4.0999999999999996</v>
      </c>
      <c r="C19" s="149">
        <v>2.1070000000000002</v>
      </c>
      <c r="D19" s="146">
        <v>9</v>
      </c>
      <c r="E19" s="146">
        <v>8.14</v>
      </c>
    </row>
    <row r="20" spans="1:5" x14ac:dyDescent="0.3">
      <c r="A20" s="147"/>
      <c r="B20" s="147"/>
      <c r="C20" s="148"/>
      <c r="D20" s="146" t="s">
        <v>93</v>
      </c>
      <c r="E20" s="146">
        <f>SUM(E10:E19)</f>
        <v>102.31999999999998</v>
      </c>
    </row>
    <row r="21" spans="1:5" x14ac:dyDescent="0.3">
      <c r="A21" s="225" t="s">
        <v>108</v>
      </c>
      <c r="B21" s="225"/>
      <c r="C21" s="225"/>
      <c r="D21" s="225"/>
      <c r="E21" s="225"/>
    </row>
    <row r="22" spans="1:5" x14ac:dyDescent="0.3">
      <c r="A22" s="142" t="s">
        <v>0</v>
      </c>
      <c r="B22" s="143" t="s">
        <v>123</v>
      </c>
      <c r="C22" s="144" t="s">
        <v>124</v>
      </c>
      <c r="D22" s="143" t="s">
        <v>125</v>
      </c>
      <c r="E22" s="145" t="s">
        <v>126</v>
      </c>
    </row>
    <row r="23" spans="1:5" x14ac:dyDescent="0.3">
      <c r="A23" s="146">
        <v>15</v>
      </c>
      <c r="B23" s="146">
        <v>1</v>
      </c>
      <c r="C23" s="149">
        <v>3.0150000000000001</v>
      </c>
      <c r="D23" s="146">
        <v>9</v>
      </c>
      <c r="E23" s="146">
        <v>17.21</v>
      </c>
    </row>
    <row r="24" spans="1:5" x14ac:dyDescent="0.3">
      <c r="A24" s="146">
        <v>16</v>
      </c>
      <c r="B24" s="146">
        <v>1</v>
      </c>
      <c r="C24" s="149">
        <v>3.016</v>
      </c>
      <c r="D24" s="146">
        <v>9</v>
      </c>
      <c r="E24" s="146">
        <v>20.87</v>
      </c>
    </row>
    <row r="25" spans="1:5" x14ac:dyDescent="0.3">
      <c r="A25" s="146">
        <v>17</v>
      </c>
      <c r="B25" s="146">
        <v>1</v>
      </c>
      <c r="C25" s="149">
        <v>3.0169999999999999</v>
      </c>
      <c r="D25" s="146">
        <v>9</v>
      </c>
      <c r="E25" s="146">
        <v>5.0599999999999996</v>
      </c>
    </row>
    <row r="26" spans="1:5" x14ac:dyDescent="0.3">
      <c r="A26" s="146">
        <v>18</v>
      </c>
      <c r="B26" s="146">
        <v>1</v>
      </c>
      <c r="C26" s="149">
        <v>3.0179999999999998</v>
      </c>
      <c r="D26" s="146">
        <v>9</v>
      </c>
      <c r="E26" s="146">
        <v>3.1</v>
      </c>
    </row>
    <row r="27" spans="1:5" x14ac:dyDescent="0.3">
      <c r="A27" s="147"/>
      <c r="B27" s="147"/>
      <c r="C27" s="147"/>
      <c r="D27" s="146" t="s">
        <v>93</v>
      </c>
      <c r="E27" s="146">
        <f>SUM(E23:E26)</f>
        <v>46.24</v>
      </c>
    </row>
    <row r="28" spans="1:5" x14ac:dyDescent="0.3">
      <c r="A28" s="147"/>
      <c r="B28" s="147"/>
      <c r="C28" s="147"/>
      <c r="D28" s="146" t="s">
        <v>135</v>
      </c>
      <c r="E28" s="146">
        <f>E27+E20+E7</f>
        <v>196.11999999999998</v>
      </c>
    </row>
    <row r="30" spans="1:5" x14ac:dyDescent="0.3">
      <c r="A30" s="229" t="s">
        <v>108</v>
      </c>
      <c r="B30" s="229"/>
      <c r="C30" s="229"/>
      <c r="D30" s="229"/>
      <c r="E30" s="229"/>
    </row>
    <row r="31" spans="1:5" x14ac:dyDescent="0.3">
      <c r="A31" s="150" t="s">
        <v>0</v>
      </c>
      <c r="B31" s="151" t="s">
        <v>123</v>
      </c>
      <c r="C31" s="152" t="s">
        <v>124</v>
      </c>
      <c r="D31" s="151" t="s">
        <v>125</v>
      </c>
      <c r="E31" s="153" t="s">
        <v>126</v>
      </c>
    </row>
    <row r="32" spans="1:5" x14ac:dyDescent="0.3">
      <c r="A32" s="154">
        <v>1</v>
      </c>
      <c r="B32" s="154">
        <v>4.0999999999999996</v>
      </c>
      <c r="C32" s="155">
        <v>2.081</v>
      </c>
      <c r="D32" s="154">
        <v>13</v>
      </c>
      <c r="E32" s="154">
        <v>295.85000000000002</v>
      </c>
    </row>
    <row r="33" spans="1:5" x14ac:dyDescent="0.3">
      <c r="A33" s="226" t="s">
        <v>108</v>
      </c>
      <c r="B33" s="227"/>
      <c r="C33" s="227"/>
      <c r="D33" s="227"/>
      <c r="E33" s="228"/>
    </row>
    <row r="34" spans="1:5" x14ac:dyDescent="0.3">
      <c r="A34" s="150" t="s">
        <v>0</v>
      </c>
      <c r="B34" s="151" t="s">
        <v>123</v>
      </c>
      <c r="C34" s="152" t="s">
        <v>124</v>
      </c>
      <c r="D34" s="151" t="s">
        <v>125</v>
      </c>
      <c r="E34" s="153" t="s">
        <v>126</v>
      </c>
    </row>
    <row r="35" spans="1:5" x14ac:dyDescent="0.3">
      <c r="A35" s="154">
        <v>2</v>
      </c>
      <c r="B35" s="154">
        <v>4.0999999999999996</v>
      </c>
      <c r="C35" s="155">
        <v>3.0209999999999999</v>
      </c>
      <c r="D35" s="154">
        <v>13</v>
      </c>
      <c r="E35" s="154">
        <v>15.37</v>
      </c>
    </row>
    <row r="36" spans="1:5" x14ac:dyDescent="0.3">
      <c r="A36" s="154">
        <v>3</v>
      </c>
      <c r="B36" s="154">
        <v>4.0999999999999996</v>
      </c>
      <c r="C36" s="155">
        <v>3.085</v>
      </c>
      <c r="D36" s="154">
        <v>16</v>
      </c>
      <c r="E36" s="154">
        <v>13.08</v>
      </c>
    </row>
    <row r="37" spans="1:5" x14ac:dyDescent="0.3">
      <c r="A37" s="154">
        <v>4</v>
      </c>
      <c r="B37" s="154">
        <v>4.0999999999999996</v>
      </c>
      <c r="C37" s="155">
        <v>2.0790000000000002</v>
      </c>
      <c r="D37" s="154">
        <v>16</v>
      </c>
      <c r="E37" s="154">
        <v>307.32</v>
      </c>
    </row>
    <row r="38" spans="1:5" x14ac:dyDescent="0.3">
      <c r="A38" s="154"/>
      <c r="B38" s="154"/>
      <c r="C38" s="154"/>
      <c r="D38" s="154" t="s">
        <v>15</v>
      </c>
      <c r="E38" s="154">
        <f>SUM(E35:E37)</f>
        <v>335.77</v>
      </c>
    </row>
    <row r="39" spans="1:5" x14ac:dyDescent="0.3">
      <c r="A39" s="154"/>
      <c r="B39" s="154"/>
      <c r="C39" s="154"/>
      <c r="D39" s="154" t="s">
        <v>93</v>
      </c>
      <c r="E39" s="154">
        <f>E38+E32</f>
        <v>631.62</v>
      </c>
    </row>
    <row r="42" spans="1:5" x14ac:dyDescent="0.3">
      <c r="A42" s="224" t="s">
        <v>108</v>
      </c>
      <c r="B42" s="224"/>
      <c r="C42" s="224"/>
      <c r="D42" s="224"/>
      <c r="E42" s="224"/>
    </row>
    <row r="43" spans="1:5" x14ac:dyDescent="0.3">
      <c r="A43" s="162" t="s">
        <v>0</v>
      </c>
      <c r="B43" s="163" t="s">
        <v>123</v>
      </c>
      <c r="C43" s="164" t="s">
        <v>124</v>
      </c>
      <c r="D43" s="163" t="s">
        <v>125</v>
      </c>
      <c r="E43" s="165" t="s">
        <v>126</v>
      </c>
    </row>
    <row r="44" spans="1:5" x14ac:dyDescent="0.3">
      <c r="A44" s="166">
        <v>1</v>
      </c>
      <c r="B44" s="166">
        <v>1</v>
      </c>
      <c r="C44" s="167">
        <v>1.024</v>
      </c>
      <c r="D44" s="166">
        <v>6</v>
      </c>
      <c r="E44" s="166">
        <v>13.62</v>
      </c>
    </row>
    <row r="45" spans="1:5" x14ac:dyDescent="0.3">
      <c r="A45" s="166">
        <v>2</v>
      </c>
      <c r="B45" s="166">
        <v>1</v>
      </c>
      <c r="C45" s="167">
        <v>1.026</v>
      </c>
      <c r="D45" s="166">
        <v>6</v>
      </c>
      <c r="E45" s="166">
        <v>191.68</v>
      </c>
    </row>
    <row r="46" spans="1:5" x14ac:dyDescent="0.3">
      <c r="A46" s="166">
        <v>3</v>
      </c>
      <c r="B46" s="166">
        <v>1</v>
      </c>
      <c r="C46" s="167">
        <v>1.0389999999999999</v>
      </c>
      <c r="D46" s="166">
        <v>6</v>
      </c>
      <c r="E46" s="166">
        <v>149.69999999999999</v>
      </c>
    </row>
    <row r="47" spans="1:5" x14ac:dyDescent="0.3">
      <c r="A47" s="166">
        <v>4</v>
      </c>
      <c r="B47" s="166">
        <v>4.0999999999999996</v>
      </c>
      <c r="C47" s="167">
        <v>1.0449999999999999</v>
      </c>
      <c r="D47" s="166">
        <v>6</v>
      </c>
      <c r="E47" s="166">
        <v>161.78</v>
      </c>
    </row>
    <row r="48" spans="1:5" x14ac:dyDescent="0.3">
      <c r="A48" s="166">
        <v>5</v>
      </c>
      <c r="B48" s="166">
        <v>4.0999999999999996</v>
      </c>
      <c r="C48" s="167">
        <v>1.046</v>
      </c>
      <c r="D48" s="166">
        <v>6</v>
      </c>
      <c r="E48" s="166">
        <v>161.15</v>
      </c>
    </row>
    <row r="49" spans="1:5" x14ac:dyDescent="0.3">
      <c r="A49" s="166">
        <v>6</v>
      </c>
      <c r="B49" s="166">
        <v>4.0999999999999996</v>
      </c>
      <c r="C49" s="167">
        <v>1.0529999999999999</v>
      </c>
      <c r="D49" s="166">
        <v>6</v>
      </c>
      <c r="E49" s="166">
        <v>443.48</v>
      </c>
    </row>
    <row r="50" spans="1:5" x14ac:dyDescent="0.3">
      <c r="A50" s="166"/>
      <c r="B50" s="166"/>
      <c r="C50" s="167"/>
      <c r="D50" s="166" t="s">
        <v>15</v>
      </c>
      <c r="E50" s="166">
        <f>SUM(E44:E49)</f>
        <v>1121.4099999999999</v>
      </c>
    </row>
    <row r="51" spans="1:5" x14ac:dyDescent="0.3">
      <c r="A51" s="224" t="s">
        <v>108</v>
      </c>
      <c r="B51" s="224"/>
      <c r="C51" s="224"/>
      <c r="D51" s="224"/>
      <c r="E51" s="224"/>
    </row>
    <row r="52" spans="1:5" x14ac:dyDescent="0.3">
      <c r="A52" s="162" t="s">
        <v>0</v>
      </c>
      <c r="B52" s="163" t="s">
        <v>123</v>
      </c>
      <c r="C52" s="164" t="s">
        <v>124</v>
      </c>
      <c r="D52" s="163" t="s">
        <v>125</v>
      </c>
      <c r="E52" s="165" t="s">
        <v>126</v>
      </c>
    </row>
    <row r="53" spans="1:5" x14ac:dyDescent="0.3">
      <c r="A53" s="166">
        <v>7</v>
      </c>
      <c r="B53" s="166">
        <v>1</v>
      </c>
      <c r="C53" s="167">
        <v>2.004</v>
      </c>
      <c r="D53" s="166">
        <v>6</v>
      </c>
      <c r="E53" s="166">
        <v>158.71</v>
      </c>
    </row>
    <row r="54" spans="1:5" x14ac:dyDescent="0.3">
      <c r="A54" s="166">
        <v>8</v>
      </c>
      <c r="B54" s="166">
        <v>1</v>
      </c>
      <c r="C54" s="167">
        <v>2.012</v>
      </c>
      <c r="D54" s="166">
        <v>6</v>
      </c>
      <c r="E54" s="166">
        <v>144.29</v>
      </c>
    </row>
    <row r="55" spans="1:5" x14ac:dyDescent="0.3">
      <c r="A55" s="166">
        <v>9</v>
      </c>
      <c r="B55" s="166">
        <v>4.0999999999999996</v>
      </c>
      <c r="C55" s="167">
        <v>2.0750000000000002</v>
      </c>
      <c r="D55" s="166">
        <v>6</v>
      </c>
      <c r="E55" s="166">
        <v>79.790000000000006</v>
      </c>
    </row>
    <row r="56" spans="1:5" x14ac:dyDescent="0.3">
      <c r="A56" s="166">
        <v>10</v>
      </c>
      <c r="B56" s="166">
        <v>4.0999999999999996</v>
      </c>
      <c r="C56" s="167">
        <v>2.08</v>
      </c>
      <c r="D56" s="166">
        <v>6</v>
      </c>
      <c r="E56" s="166">
        <v>165.74</v>
      </c>
    </row>
    <row r="57" spans="1:5" x14ac:dyDescent="0.3">
      <c r="A57" s="166">
        <v>11</v>
      </c>
      <c r="B57" s="166">
        <v>4.0999999999999996</v>
      </c>
      <c r="C57" s="167">
        <v>2.0819999999999999</v>
      </c>
      <c r="D57" s="166">
        <v>6</v>
      </c>
      <c r="E57" s="166">
        <v>32.630000000000003</v>
      </c>
    </row>
    <row r="58" spans="1:5" x14ac:dyDescent="0.3">
      <c r="A58" s="166"/>
      <c r="B58" s="166"/>
      <c r="C58" s="167"/>
      <c r="D58" s="166" t="s">
        <v>15</v>
      </c>
      <c r="E58" s="166">
        <f>SUM(E53:E57)</f>
        <v>581.16</v>
      </c>
    </row>
    <row r="59" spans="1:5" x14ac:dyDescent="0.3">
      <c r="A59" s="224" t="s">
        <v>108</v>
      </c>
      <c r="B59" s="224"/>
      <c r="C59" s="224"/>
      <c r="D59" s="224"/>
      <c r="E59" s="224"/>
    </row>
    <row r="60" spans="1:5" x14ac:dyDescent="0.3">
      <c r="A60" s="162" t="s">
        <v>0</v>
      </c>
      <c r="B60" s="163" t="s">
        <v>123</v>
      </c>
      <c r="C60" s="164" t="s">
        <v>124</v>
      </c>
      <c r="D60" s="163" t="s">
        <v>125</v>
      </c>
      <c r="E60" s="165" t="s">
        <v>126</v>
      </c>
    </row>
    <row r="61" spans="1:5" x14ac:dyDescent="0.3">
      <c r="A61" s="166">
        <v>12</v>
      </c>
      <c r="B61" s="166">
        <v>1</v>
      </c>
      <c r="C61" s="167">
        <v>3.0139999999999998</v>
      </c>
      <c r="D61" s="166">
        <v>6</v>
      </c>
      <c r="E61" s="166">
        <v>148.61000000000001</v>
      </c>
    </row>
    <row r="62" spans="1:5" x14ac:dyDescent="0.3">
      <c r="A62" s="166">
        <v>13</v>
      </c>
      <c r="B62" s="166">
        <v>1</v>
      </c>
      <c r="C62" s="167">
        <v>3.0049999999999999</v>
      </c>
      <c r="D62" s="166">
        <v>6</v>
      </c>
      <c r="E62" s="166">
        <v>238.37</v>
      </c>
    </row>
    <row r="63" spans="1:5" x14ac:dyDescent="0.3">
      <c r="A63" s="166">
        <v>14</v>
      </c>
      <c r="B63" s="166">
        <v>4.0999999999999996</v>
      </c>
      <c r="C63" s="167">
        <v>3.02</v>
      </c>
      <c r="D63" s="166">
        <v>6</v>
      </c>
      <c r="E63" s="166">
        <v>137.72999999999999</v>
      </c>
    </row>
    <row r="64" spans="1:5" x14ac:dyDescent="0.3">
      <c r="A64" s="166">
        <v>15</v>
      </c>
      <c r="B64" s="166">
        <v>4.0999999999999996</v>
      </c>
      <c r="C64" s="166">
        <v>3.0190000000000001</v>
      </c>
      <c r="D64" s="166">
        <v>6</v>
      </c>
      <c r="E64" s="166">
        <v>241.35</v>
      </c>
    </row>
    <row r="65" spans="1:5" x14ac:dyDescent="0.3">
      <c r="A65" s="166"/>
      <c r="B65" s="166"/>
      <c r="C65" s="166"/>
      <c r="D65" s="166" t="s">
        <v>15</v>
      </c>
      <c r="E65" s="166">
        <f>SUM(E60:E64)</f>
        <v>766.06000000000006</v>
      </c>
    </row>
    <row r="66" spans="1:5" x14ac:dyDescent="0.3">
      <c r="A66" s="166"/>
      <c r="B66" s="166"/>
      <c r="C66" s="166"/>
      <c r="D66" s="166" t="s">
        <v>93</v>
      </c>
      <c r="E66" s="166">
        <f>E65+E58+E50</f>
        <v>2468.63</v>
      </c>
    </row>
    <row r="68" spans="1:5" x14ac:dyDescent="0.3">
      <c r="A68" s="202" t="s">
        <v>108</v>
      </c>
      <c r="B68" s="202"/>
      <c r="C68" s="202"/>
      <c r="D68" s="202"/>
      <c r="E68" s="202"/>
    </row>
    <row r="69" spans="1:5" x14ac:dyDescent="0.3">
      <c r="A69" s="123" t="s">
        <v>0</v>
      </c>
      <c r="B69" s="7" t="s">
        <v>123</v>
      </c>
      <c r="C69" s="5" t="s">
        <v>124</v>
      </c>
      <c r="D69" s="7" t="s">
        <v>125</v>
      </c>
      <c r="E69" s="126" t="s">
        <v>126</v>
      </c>
    </row>
    <row r="70" spans="1:5" x14ac:dyDescent="0.3">
      <c r="A70" s="127">
        <v>1</v>
      </c>
      <c r="B70" s="127">
        <v>4.0999999999999996</v>
      </c>
      <c r="C70" s="128" t="s">
        <v>129</v>
      </c>
      <c r="D70" s="127">
        <v>14</v>
      </c>
      <c r="E70" s="127">
        <v>132.71</v>
      </c>
    </row>
    <row r="73" spans="1:5" x14ac:dyDescent="0.3">
      <c r="A73" s="230" t="s">
        <v>108</v>
      </c>
      <c r="B73" s="230"/>
      <c r="C73" s="230"/>
      <c r="D73" s="230"/>
      <c r="E73" s="230"/>
    </row>
    <row r="74" spans="1:5" x14ac:dyDescent="0.3">
      <c r="A74" s="156" t="s">
        <v>0</v>
      </c>
      <c r="B74" s="157" t="s">
        <v>123</v>
      </c>
      <c r="C74" s="158" t="s">
        <v>124</v>
      </c>
      <c r="D74" s="157" t="s">
        <v>125</v>
      </c>
      <c r="E74" s="159" t="s">
        <v>126</v>
      </c>
    </row>
    <row r="75" spans="1:5" x14ac:dyDescent="0.3">
      <c r="A75" s="160">
        <v>1</v>
      </c>
      <c r="B75" s="160">
        <v>4.0999999999999996</v>
      </c>
      <c r="C75" s="161">
        <v>1.04</v>
      </c>
      <c r="D75" s="160">
        <v>10</v>
      </c>
      <c r="E75" s="160">
        <v>215.72</v>
      </c>
    </row>
    <row r="76" spans="1:5" x14ac:dyDescent="0.3">
      <c r="A76" s="160">
        <v>2</v>
      </c>
      <c r="B76" s="160">
        <v>4.0999999999999996</v>
      </c>
      <c r="C76" s="161">
        <v>1.0429999999999999</v>
      </c>
      <c r="D76" s="160">
        <v>10</v>
      </c>
      <c r="E76" s="160">
        <v>61.99</v>
      </c>
    </row>
    <row r="77" spans="1:5" x14ac:dyDescent="0.3">
      <c r="A77" s="160">
        <v>3</v>
      </c>
      <c r="B77" s="160">
        <v>4.0999999999999996</v>
      </c>
      <c r="C77" s="161">
        <v>1.044</v>
      </c>
      <c r="D77" s="160">
        <v>10</v>
      </c>
      <c r="E77" s="160">
        <v>14.14</v>
      </c>
    </row>
    <row r="78" spans="1:5" x14ac:dyDescent="0.3">
      <c r="A78" s="160"/>
      <c r="B78" s="160"/>
      <c r="C78" s="161"/>
      <c r="D78" s="160" t="s">
        <v>15</v>
      </c>
      <c r="E78" s="160">
        <f>SUM(E75:E77)</f>
        <v>291.84999999999997</v>
      </c>
    </row>
    <row r="79" spans="1:5" x14ac:dyDescent="0.3">
      <c r="A79" s="230" t="s">
        <v>108</v>
      </c>
      <c r="B79" s="230"/>
      <c r="C79" s="230"/>
      <c r="D79" s="230"/>
      <c r="E79" s="230"/>
    </row>
    <row r="80" spans="1:5" x14ac:dyDescent="0.3">
      <c r="A80" s="156" t="s">
        <v>0</v>
      </c>
      <c r="B80" s="157" t="s">
        <v>123</v>
      </c>
      <c r="C80" s="158" t="s">
        <v>124</v>
      </c>
      <c r="D80" s="157" t="s">
        <v>125</v>
      </c>
      <c r="E80" s="159" t="s">
        <v>126</v>
      </c>
    </row>
    <row r="81" spans="1:5" x14ac:dyDescent="0.3">
      <c r="A81" s="160">
        <v>4</v>
      </c>
      <c r="B81" s="160">
        <v>4.0999999999999996</v>
      </c>
      <c r="C81" s="161">
        <v>2.085</v>
      </c>
      <c r="D81" s="160">
        <v>7</v>
      </c>
      <c r="E81" s="160">
        <v>164.35</v>
      </c>
    </row>
    <row r="82" spans="1:5" x14ac:dyDescent="0.3">
      <c r="A82" s="160"/>
      <c r="B82" s="160"/>
      <c r="C82" s="160"/>
      <c r="D82" s="160" t="s">
        <v>93</v>
      </c>
      <c r="E82" s="160">
        <f>E81+E78</f>
        <v>456.19999999999993</v>
      </c>
    </row>
    <row r="85" spans="1:5" x14ac:dyDescent="0.3">
      <c r="A85" s="225" t="s">
        <v>108</v>
      </c>
      <c r="B85" s="225"/>
      <c r="C85" s="225"/>
      <c r="D85" s="225"/>
      <c r="E85" s="225"/>
    </row>
    <row r="86" spans="1:5" x14ac:dyDescent="0.3">
      <c r="A86" s="142" t="s">
        <v>0</v>
      </c>
      <c r="B86" s="143" t="s">
        <v>123</v>
      </c>
      <c r="C86" s="144" t="s">
        <v>124</v>
      </c>
      <c r="D86" s="143" t="s">
        <v>125</v>
      </c>
      <c r="E86" s="145" t="s">
        <v>126</v>
      </c>
    </row>
    <row r="87" spans="1:5" x14ac:dyDescent="0.3">
      <c r="A87" s="146">
        <v>1</v>
      </c>
      <c r="B87" s="146">
        <v>4.0999999999999996</v>
      </c>
      <c r="C87" s="146">
        <v>1.054</v>
      </c>
      <c r="D87" s="146">
        <v>12</v>
      </c>
      <c r="E87" s="146">
        <v>56.35</v>
      </c>
    </row>
    <row r="88" spans="1:5" x14ac:dyDescent="0.3">
      <c r="A88" s="225" t="s">
        <v>108</v>
      </c>
      <c r="B88" s="225"/>
      <c r="C88" s="225"/>
      <c r="D88" s="225"/>
      <c r="E88" s="225"/>
    </row>
    <row r="89" spans="1:5" x14ac:dyDescent="0.3">
      <c r="A89" s="142" t="s">
        <v>0</v>
      </c>
      <c r="B89" s="143" t="s">
        <v>123</v>
      </c>
      <c r="C89" s="144" t="s">
        <v>124</v>
      </c>
      <c r="D89" s="143" t="s">
        <v>125</v>
      </c>
      <c r="E89" s="145" t="s">
        <v>126</v>
      </c>
    </row>
    <row r="90" spans="1:5" x14ac:dyDescent="0.3">
      <c r="A90" s="146">
        <v>2</v>
      </c>
      <c r="B90" s="146">
        <v>1</v>
      </c>
      <c r="C90" s="149">
        <v>2.0049999999999999</v>
      </c>
      <c r="D90" s="146">
        <v>15</v>
      </c>
      <c r="E90" s="146">
        <v>13.31</v>
      </c>
    </row>
    <row r="91" spans="1:5" x14ac:dyDescent="0.3">
      <c r="A91" s="146">
        <v>3</v>
      </c>
      <c r="B91" s="146">
        <v>4.0999999999999996</v>
      </c>
      <c r="C91" s="149">
        <v>2.1680000000000001</v>
      </c>
      <c r="D91" s="146">
        <v>15</v>
      </c>
      <c r="E91" s="146">
        <v>8.02</v>
      </c>
    </row>
    <row r="92" spans="1:5" x14ac:dyDescent="0.3">
      <c r="A92" s="146"/>
      <c r="B92" s="146"/>
      <c r="C92" s="149"/>
      <c r="D92" s="146" t="s">
        <v>15</v>
      </c>
      <c r="E92" s="146">
        <f>SUM(E90:E91)</f>
        <v>21.33</v>
      </c>
    </row>
    <row r="93" spans="1:5" x14ac:dyDescent="0.3">
      <c r="A93" s="225" t="s">
        <v>108</v>
      </c>
      <c r="B93" s="225"/>
      <c r="C93" s="225"/>
      <c r="D93" s="225"/>
      <c r="E93" s="225"/>
    </row>
    <row r="94" spans="1:5" x14ac:dyDescent="0.3">
      <c r="A94" s="142" t="s">
        <v>0</v>
      </c>
      <c r="B94" s="143" t="s">
        <v>123</v>
      </c>
      <c r="C94" s="144" t="s">
        <v>124</v>
      </c>
      <c r="D94" s="143" t="s">
        <v>125</v>
      </c>
      <c r="E94" s="145" t="s">
        <v>126</v>
      </c>
    </row>
    <row r="95" spans="1:5" x14ac:dyDescent="0.3">
      <c r="A95" s="146">
        <v>4</v>
      </c>
      <c r="B95" s="146">
        <v>1</v>
      </c>
      <c r="C95" s="149">
        <v>3.0059999999999998</v>
      </c>
      <c r="D95" s="146">
        <v>15</v>
      </c>
      <c r="E95" s="146">
        <v>13.62</v>
      </c>
    </row>
    <row r="96" spans="1:5" x14ac:dyDescent="0.3">
      <c r="A96" s="146">
        <v>5</v>
      </c>
      <c r="B96" s="146">
        <v>4.0999999999999996</v>
      </c>
      <c r="C96" s="149">
        <v>3.0939999999999999</v>
      </c>
      <c r="D96" s="146">
        <v>15</v>
      </c>
      <c r="E96" s="146">
        <v>15.07</v>
      </c>
    </row>
    <row r="97" spans="1:5" x14ac:dyDescent="0.3">
      <c r="A97" s="146"/>
      <c r="B97" s="146"/>
      <c r="C97" s="146"/>
      <c r="D97" s="146" t="s">
        <v>15</v>
      </c>
      <c r="E97" s="146">
        <f>SUM(E95:E96)</f>
        <v>28.689999999999998</v>
      </c>
    </row>
    <row r="98" spans="1:5" x14ac:dyDescent="0.3">
      <c r="A98" s="146"/>
      <c r="B98" s="146"/>
      <c r="C98" s="146"/>
      <c r="D98" s="146" t="s">
        <v>93</v>
      </c>
      <c r="E98" s="146">
        <f>E97+E92+E87</f>
        <v>106.37</v>
      </c>
    </row>
  </sheetData>
  <mergeCells count="14">
    <mergeCell ref="A85:E85"/>
    <mergeCell ref="A88:E88"/>
    <mergeCell ref="A93:E93"/>
    <mergeCell ref="A51:E51"/>
    <mergeCell ref="A59:E59"/>
    <mergeCell ref="A68:E68"/>
    <mergeCell ref="A73:E73"/>
    <mergeCell ref="A79:E79"/>
    <mergeCell ref="A42:E42"/>
    <mergeCell ref="A1:E1"/>
    <mergeCell ref="A8:E8"/>
    <mergeCell ref="A21:E21"/>
    <mergeCell ref="A33:E33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ВОР 2 э. шт.</vt:lpstr>
      <vt:lpstr>Спец 2 э. шт.</vt:lpstr>
      <vt:lpstr>Спец 2 эт. шлиф.</vt:lpstr>
      <vt:lpstr>1этВор</vt:lpstr>
      <vt:lpstr>1эт спец</vt:lpstr>
      <vt:lpstr>Вор2Вып</vt:lpstr>
      <vt:lpstr>9.3П8</vt:lpstr>
      <vt:lpstr>7.2КрсИнж</vt:lpstr>
      <vt:lpstr>7.1КрсИнж</vt:lpstr>
      <vt:lpstr>6.5П7,10 (2)</vt:lpstr>
      <vt:lpstr>6.4П8</vt:lpstr>
      <vt:lpstr>6.3П8</vt:lpstr>
      <vt:lpstr>6.2П7,10</vt:lpstr>
      <vt:lpstr>6.1П9</vt:lpstr>
      <vt:lpstr>Общий</vt:lpstr>
      <vt:lpstr>4.СКБвор</vt:lpstr>
      <vt:lpstr>4.СКБспец</vt:lpstr>
      <vt:lpstr>5.Кр-Пт</vt:lpstr>
      <vt:lpstr>ПокрПом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Linux</cp:lastModifiedBy>
  <dcterms:created xsi:type="dcterms:W3CDTF">2025-09-01T11:02:25Z</dcterms:created>
  <dcterms:modified xsi:type="dcterms:W3CDTF">2026-10-05T12:47:50Z</dcterms:modified>
</cp:coreProperties>
</file>