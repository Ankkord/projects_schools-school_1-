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МирзаяновИИ\Documents\projects\school_lublino\"/>
    </mc:Choice>
  </mc:AlternateContent>
  <bookViews>
    <workbookView minimized="1" xWindow="-105" yWindow="-105" windowWidth="19425" windowHeight="10425"/>
  </bookViews>
  <sheets>
    <sheet name="ВЫПОЛНЕНИЕ 2 (2)" sheetId="6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46" i="6" l="1"/>
  <c r="S51" i="6"/>
  <c r="P51" i="6" s="1"/>
  <c r="AA74" i="6"/>
  <c r="AA71" i="6"/>
  <c r="AA70" i="6"/>
  <c r="AA69" i="6"/>
  <c r="AA68" i="6"/>
  <c r="AA67" i="6"/>
  <c r="AA66" i="6"/>
  <c r="AA65" i="6"/>
  <c r="AA64" i="6"/>
  <c r="AA63" i="6"/>
  <c r="AA61" i="6"/>
  <c r="AA60" i="6"/>
  <c r="AA59" i="6"/>
  <c r="AA58" i="6"/>
  <c r="AA56" i="6"/>
  <c r="AA55" i="6"/>
  <c r="AA54" i="6"/>
  <c r="AA53" i="6"/>
  <c r="AA52" i="6"/>
  <c r="AA50" i="6"/>
  <c r="AA49" i="6"/>
  <c r="AA48" i="6"/>
  <c r="AA47" i="6"/>
  <c r="Z80" i="6"/>
  <c r="P72" i="6"/>
  <c r="P62" i="6"/>
  <c r="P57" i="6"/>
  <c r="P36" i="6"/>
  <c r="T79" i="6"/>
  <c r="AA79" i="6" s="1"/>
  <c r="P79" i="6"/>
  <c r="N79" i="6"/>
  <c r="O79" i="6" s="1"/>
  <c r="L79" i="6"/>
  <c r="Q78" i="6"/>
  <c r="S78" i="6" s="1"/>
  <c r="T78" i="6" s="1"/>
  <c r="N78" i="6"/>
  <c r="S77" i="6"/>
  <c r="P77" i="6" s="1"/>
  <c r="R77" i="6"/>
  <c r="N77" i="6"/>
  <c r="Q76" i="6"/>
  <c r="N76" i="6"/>
  <c r="Q75" i="6"/>
  <c r="N75" i="6"/>
  <c r="S74" i="6"/>
  <c r="T74" i="6" s="1"/>
  <c r="R74" i="6"/>
  <c r="N74" i="6"/>
  <c r="Q73" i="6"/>
  <c r="S73" i="6" s="1"/>
  <c r="T73" i="6" s="1"/>
  <c r="N73" i="6"/>
  <c r="J72" i="6"/>
  <c r="T72" i="6"/>
  <c r="AA72" i="6" s="1"/>
  <c r="N72" i="6"/>
  <c r="N67" i="6" s="1"/>
  <c r="M71" i="6"/>
  <c r="M70" i="6"/>
  <c r="M69" i="6"/>
  <c r="P68" i="6"/>
  <c r="N68" i="6"/>
  <c r="M66" i="6"/>
  <c r="M65" i="6"/>
  <c r="M64" i="6"/>
  <c r="M63" i="6"/>
  <c r="N62" i="6"/>
  <c r="M61" i="6"/>
  <c r="M60" i="6"/>
  <c r="M59" i="6"/>
  <c r="M58" i="6"/>
  <c r="T57" i="6"/>
  <c r="AA57" i="6" s="1"/>
  <c r="N57" i="6"/>
  <c r="M56" i="6"/>
  <c r="M55" i="6"/>
  <c r="M54" i="6"/>
  <c r="M53" i="6"/>
  <c r="M52" i="6"/>
  <c r="N51" i="6"/>
  <c r="M50" i="6"/>
  <c r="M49" i="6"/>
  <c r="M48" i="6"/>
  <c r="M47" i="6"/>
  <c r="Q46" i="6"/>
  <c r="R46" i="6" s="1"/>
  <c r="N46" i="6"/>
  <c r="M45" i="6"/>
  <c r="M44" i="6"/>
  <c r="M43" i="6"/>
  <c r="M42" i="6"/>
  <c r="Q41" i="6"/>
  <c r="S41" i="6" s="1"/>
  <c r="T41" i="6" s="1"/>
  <c r="N41" i="6"/>
  <c r="M40" i="6"/>
  <c r="M39" i="6"/>
  <c r="M38" i="6"/>
  <c r="M37" i="6"/>
  <c r="T36" i="6"/>
  <c r="AA36" i="6" s="1"/>
  <c r="N36" i="6"/>
  <c r="M35" i="6"/>
  <c r="J34" i="6" s="1"/>
  <c r="N34" i="6"/>
  <c r="M33" i="6"/>
  <c r="M32" i="6"/>
  <c r="N31" i="6"/>
  <c r="M30" i="6"/>
  <c r="J29" i="6" s="1"/>
  <c r="M29" i="6" s="1"/>
  <c r="S29" i="6"/>
  <c r="T29" i="6" s="1"/>
  <c r="AA29" i="6" s="1"/>
  <c r="N29" i="6"/>
  <c r="M28" i="6"/>
  <c r="M27" i="6"/>
  <c r="M26" i="6"/>
  <c r="P25" i="6"/>
  <c r="N25" i="6"/>
  <c r="P19" i="6"/>
  <c r="M19" i="6"/>
  <c r="P18" i="6"/>
  <c r="M18" i="6"/>
  <c r="P17" i="6"/>
  <c r="M17" i="6"/>
  <c r="P16" i="6"/>
  <c r="M16" i="6"/>
  <c r="P15" i="6"/>
  <c r="N15" i="6"/>
  <c r="N14" i="6" s="1"/>
  <c r="N13" i="6" s="1"/>
  <c r="N12" i="6" s="1"/>
  <c r="N11" i="6" s="1"/>
  <c r="N10" i="6" s="1"/>
  <c r="Z8" i="6"/>
  <c r="Y8" i="6"/>
  <c r="X8" i="6"/>
  <c r="AA80" i="6" l="1"/>
  <c r="T51" i="6"/>
  <c r="AA51" i="6" s="1"/>
  <c r="P29" i="6"/>
  <c r="J31" i="6"/>
  <c r="M31" i="6" s="1"/>
  <c r="O31" i="6" s="1"/>
  <c r="J78" i="6"/>
  <c r="M78" i="6" s="1"/>
  <c r="O78" i="6" s="1"/>
  <c r="R78" i="6"/>
  <c r="AA78" i="6" s="1"/>
  <c r="J15" i="6"/>
  <c r="M15" i="6" s="1"/>
  <c r="N24" i="6"/>
  <c r="O29" i="6"/>
  <c r="J74" i="6"/>
  <c r="M74" i="6" s="1"/>
  <c r="O74" i="6" s="1"/>
  <c r="R76" i="6"/>
  <c r="J77" i="6"/>
  <c r="L77" i="6" s="1"/>
  <c r="J57" i="6"/>
  <c r="L57" i="6" s="1"/>
  <c r="J25" i="6"/>
  <c r="L25" i="6" s="1"/>
  <c r="T77" i="6"/>
  <c r="AA77" i="6" s="1"/>
  <c r="J73" i="6"/>
  <c r="L73" i="6" s="1"/>
  <c r="J76" i="6"/>
  <c r="M76" i="6" s="1"/>
  <c r="O76" i="6" s="1"/>
  <c r="S75" i="6"/>
  <c r="S76" i="6"/>
  <c r="P76" i="6" s="1"/>
  <c r="J75" i="6"/>
  <c r="L75" i="6" s="1"/>
  <c r="J51" i="6"/>
  <c r="M51" i="6" s="1"/>
  <c r="O51" i="6" s="1"/>
  <c r="J68" i="6"/>
  <c r="L68" i="6" s="1"/>
  <c r="J62" i="6"/>
  <c r="L62" i="6" s="1"/>
  <c r="J46" i="6"/>
  <c r="M46" i="6" s="1"/>
  <c r="O46" i="6" s="1"/>
  <c r="J41" i="6"/>
  <c r="L41" i="6" s="1"/>
  <c r="J36" i="6"/>
  <c r="M36" i="6" s="1"/>
  <c r="O36" i="6" s="1"/>
  <c r="M72" i="6"/>
  <c r="O72" i="6" s="1"/>
  <c r="L72" i="6"/>
  <c r="M34" i="6"/>
  <c r="O34" i="6" s="1"/>
  <c r="L34" i="6"/>
  <c r="N23" i="6"/>
  <c r="M68" i="6"/>
  <c r="P41" i="6"/>
  <c r="T46" i="6"/>
  <c r="AA46" i="6" s="1"/>
  <c r="R41" i="6"/>
  <c r="AA41" i="6" s="1"/>
  <c r="P74" i="6"/>
  <c r="P78" i="6"/>
  <c r="L29" i="6"/>
  <c r="L31" i="6"/>
  <c r="P73" i="6"/>
  <c r="R75" i="6"/>
  <c r="R73" i="6"/>
  <c r="AA73" i="6" s="1"/>
  <c r="M73" i="6" l="1"/>
  <c r="L78" i="6"/>
  <c r="M25" i="6"/>
  <c r="O25" i="6" s="1"/>
  <c r="L15" i="6"/>
  <c r="L74" i="6"/>
  <c r="T76" i="6"/>
  <c r="AA76" i="6" s="1"/>
  <c r="M77" i="6"/>
  <c r="O77" i="6" s="1"/>
  <c r="M57" i="6"/>
  <c r="O57" i="6" s="1"/>
  <c r="L76" i="6"/>
  <c r="M41" i="6"/>
  <c r="O41" i="6" s="1"/>
  <c r="M62" i="6"/>
  <c r="O62" i="6" s="1"/>
  <c r="L51" i="6"/>
  <c r="L36" i="6"/>
  <c r="M75" i="6"/>
  <c r="O75" i="6" s="1"/>
  <c r="L46" i="6"/>
  <c r="T75" i="6"/>
  <c r="AA75" i="6" s="1"/>
  <c r="P75" i="6"/>
  <c r="P46" i="6"/>
  <c r="N22" i="6"/>
  <c r="N21" i="6" s="1"/>
  <c r="N20" i="6" s="1"/>
  <c r="N9" i="6" s="1"/>
  <c r="N8" i="6" s="1"/>
  <c r="N80" i="6" s="1"/>
  <c r="M14" i="6"/>
  <c r="M13" i="6" s="1"/>
  <c r="M12" i="6" s="1"/>
  <c r="M11" i="6" s="1"/>
  <c r="M10" i="6" s="1"/>
  <c r="O15" i="6"/>
  <c r="O14" i="6" s="1"/>
  <c r="O13" i="6" s="1"/>
  <c r="O12" i="6" s="1"/>
  <c r="O11" i="6" s="1"/>
  <c r="O10" i="6" s="1"/>
  <c r="O73" i="6"/>
  <c r="R80" i="6"/>
  <c r="R81" i="6" s="1"/>
  <c r="O68" i="6"/>
  <c r="O67" i="6" s="1"/>
  <c r="M67" i="6"/>
  <c r="M24" i="6" l="1"/>
  <c r="O24" i="6"/>
  <c r="O23" i="6"/>
  <c r="O22" i="6" s="1"/>
  <c r="O21" i="6" s="1"/>
  <c r="O20" i="6" s="1"/>
  <c r="O9" i="6" s="1"/>
  <c r="O8" i="6" s="1"/>
  <c r="M23" i="6"/>
  <c r="M22" i="6" s="1"/>
  <c r="M21" i="6" s="1"/>
  <c r="M20" i="6" s="1"/>
  <c r="M9" i="6" s="1"/>
  <c r="M8" i="6" s="1"/>
  <c r="M80" i="6" s="1"/>
  <c r="O80" i="6" s="1"/>
  <c r="T62" i="6" l="1"/>
  <c r="T80" i="6" l="1"/>
  <c r="Z81" i="6" s="1"/>
  <c r="AA62" i="6"/>
  <c r="T81" i="6" l="1"/>
</calcChain>
</file>

<file path=xl/sharedStrings.xml><?xml version="1.0" encoding="utf-8"?>
<sst xmlns="http://schemas.openxmlformats.org/spreadsheetml/2006/main" count="310" uniqueCount="210">
  <si>
    <t>Указать название организации (на бланке организации)</t>
  </si>
  <si>
    <t>{"tkp_id":null,"is_full":true,"with_vat":true,"price_type":"c4c5aea1-b5cd-11e8-80e5-005056881952","estimate_id":5121666,"estimate_version_id":6661205,"tkp_form_id":308534,"fill_recommended_prices":true}</t>
  </si>
  <si>
    <t>3</t>
  </si>
  <si>
    <t>aXohyeHVdZ+7vmRgQdweDcB7/ooCZcQFgB9Bf6eGhjnKsK7LNZG2zgUjE+xp6BrlI/0m5zETDuOoQ18uhQiUJUbBGcn+J/PKY5/pELKrqpMWU2H3+CUoxqINNgIESzAmkG8Av7GRhB/oj9W+YjgxnpEeqPS26dmt8F4YMFXzBTc=</t>
  </si>
  <si>
    <t>ТЕХНИКО-КОММЕРЧЕСКОЕ ПРЕДЛОЖЕНИЕ (ТКП)</t>
  </si>
  <si>
    <t>г. Москва, ул. Люблинская, вл. 72, корп. 34, Школа на 2200 мест</t>
  </si>
  <si>
    <t>Стоимость, указанная в предложении, включает в себя все необходимые затраты на выполнение полного комплекса работ, с НДС</t>
  </si>
  <si>
    <t>Предельная стоимость производства работ (ПСПР)</t>
  </si>
  <si>
    <t>МФ-СТРОЙ ООО</t>
  </si>
  <si>
    <t>9701212867</t>
  </si>
  <si>
    <t>eF7s/XuTHMeRJ4p+lTKZrRnV6MyTERmRD6zNH0Cz2VsQ+kE0MOeOBmOyquqqHdqIoC5J7ezetTUj+NDjUCNSorTDwxdEanZmzO7uXhAERBBPs/MJsr7C+Qz3A9yIqKzq7uqIhLtXehbm7lDqRj+qu38/j8jwn4d7hP/n7735n34y/t757706+Mn3Nr/3HwY//un4qvvKjZ/++Meb3xv/x9H4x7MvfO+N+QvMx//5+vdGr7366ms3rn/v/F+aT+xvMR8ef3Xz+vEvu17/tuvHv8699o3jl7nPqz9WD6rb1bfV7enb01/1qsfukzvm/ePqfnWvVz2ZvlV9U39qX/Uz8+/93gv2hb3q6+qh+9aD4Cu/7/7e6LXXXj965cbgzdkfvSDcV8dvvPnKq+ZrV1772/7RCcA33nzlzf+089NX5l/7L5un2d6YvPLvaWz/8/Xr5jf9zU9+ZH739cUPmY9eeeNHE/Ox++Kbr/907L74t6+8+dc/+g+DN09/9SevvzIa/8jBsV+370ZqpAfjgYiGenQUCTEuoiIZ6yhJdKKzohCllvZ17ufnrOcYtJAiy7LT3/sP49ffeOW1G/PXmO8LmejNOfzJa6+/Ov9emhQ6Ve5bk1d+/OMfvT6282F842h89COH9Y0F/v/iG4wXVxkMM4VpI+FD8tIqSN545d8THwEflO1VoKz0PH5V/b76b9Xn1cfVJ9UXkX1XfWb+9/vqD9U/mfdfuq/8vlfdMl/4ffW76lPz6X81H9mf+L15Lr8yL7jlf+rk+WtyXbS+iXuGxZPpTbNWmNVlszd9p3povvbp9NduFblfPXbfuz39YLNnXmG+l0vz0QO3rDyNe2aK96p/tp/bNcctVD0pk6RXParuTW9O3/ZSTs9fS9dF+cvp2wbsfYPvicU3/ZUjXa+2Bv9jS9Zw7VVPDcV71V1D7En1J/ORXUHvOzM8qB5Ofz39uXn9venb9rXGSPeqr93P2Q+tHe6Zn/p6+p55f9f+ten79suzBf0t9/79mbXMT7xfPXX2e1z/EfPC+ReemLX7ibO3AfzUfOle9cD8hds9+0vMED2Zvm3w3+yZifa76kuvsdX5a2pdxr5Vm/CeMdivatNaq58egZmpnzgHdccazL3kzimW5hm6ZR4z83x5n6JL+vy+XhfLz6p/iAy2r8yz/0X1f/bMO/M/H8oDff7KulCWeWJcmiyy3IfsUJ+/ti5kZu4+ccvFW2YiGK/4v5n3vomsz1/I1wXxEzst7ULx7Wyd+9iM9x98KC/q8xfXhvJz87TY5+qeWzlOyMUT644P9JY+v7U20J+40XegzVN/26C8X33nVsAGM7+oz7/4HCI2S9db0w/M+5+bLxmf4oO+rc9vrw3676u7xr3bhfZR7AP3kj7/0trAGbtO/276buwm6s3ad3ptuKPP76wTZvUwsp6qV/3Gv9D/O33+360N3xdGd/zSTM57M90wg+pD2dfn+2tD+Y9ulbKS8y2zrH4dN6uYS9n5H2TrgvqZXTetfzIPzm2jZN63Tur69RtW4VkhbPDfPbneegmszdBfGvx/2LShyef+tfQHa4OGmwOXs/OX1wbVFzY40M2Yd7Pze/+i5+3u+iz+rHm7tzZosxXWH8xsGgODpvN+dn5/bQxwT95Bdv7lf9Gz+GBthn7mLH55bdBwc+BKdv7K2qASV9/D7PzVf9Hz9nB9Fn/WvL26NmitrL7XsvPXVmHw5mtvDn58hsD1790YvDqe/Vo6idObexA2L0q9yoZqiMxP3vjJ61ft93bNr3z9lcGPt/+fP33lJ6+a3+ahOFmi+GeH13Zf2C2823W7zHgPX3394MbrUJB7fpB7zCAPbBoIgtFa69wCzbKM4EH55krDfui36CEjVtyQX/UDvMoIEDzc1krnrgaG+xoPwr9+5ehofGO1Z/0v/Db9C3bEuKH/oR/mD9lhgieAtdi5HwYmwIULqwFdyfV+4uTKw+r+9N3ZBqcrJ3hynDa7P9tzcvui1QPzfv5186V3XdLw0eyHph94yUmtzpsprtZF8EMfqotS63UB+ry2989nG/m3Z3pxetN86a1j9ei35tYacd+tbvde+Dff77l8zmObJ/UhfHF9CH1w/p2BY6ffujBVvwlMv7UFMR9ZEerm2ePT2dr77pN3qqfmI/fFBydUa53BtvmyOy7/a/MlD2fZ7emvA1N1bRztVH3mNF0XusA0zew0XRem6reBabpKQLUSoOA0dZPPRVh25ayn6td1ddwTV63xYPrO9Nc9WyPnJrB1XWaS9l6YTfNZ7d18Bb5/cgW+7dURW2s0g5nJL8zZAZbedeEMzOnczul1Yao+CszpYl2AvnQO/kHPLrWnC4SsoJpPbls38batlHnbfe+u23Dy5ky31sjFFYPFgWm4LlSBaVjYabguTNXvAtOwXBegj06ui9V35t/3q+/sptVsduqedeyBspI1wgY59XWhC8y80s68dWHa9k+8LFkTnurjsyFjz5ZcPHX1qvdcicPjmU+2lZb/hyuNtEuhcYFmjhqXPR//3vwL33fVm09m5YZmCr9fy1S7lH5rS1+nv3IFPVYtPDrzl0JB1vpMFOJpswy2cuYZ839twP3zP0vM/F8bpuq/Bh6AtdWc/9ZM7rtmjp7MBrga4FnIb/MC9+aFxQ88dcRGxJo5/o750ROVaW79fuQemumZgyHmBeZbgVm+NjvcsXY4YYXISXJPnWNglq8LeGCWCzvL14Wp+vvALF/bEQR/6OZK/5466VsfgbKbCN+41z2xhcJ3erUAttuMs9NP1d/bT8zbt03ll1tr5ApZk9cFLjBb7emUtWGqPg7M1nRdgJa2Y7+0Jf+BWbY2jG7r1a38tkj59rM3AtYGNTDnUjvn1oWp+iQw59S6AH1h9Or707dPeEArCm72zNL5iS3Q+Nj8E9itcrsCdoPrl+ZL783P2cyEsllKoxNHn9wq+29mq6r7Fc84Lbq1Rouc0Pt2bvfOSAT71X/jk0ReCf/i+qgEngCbBFsbpurTwBOg1wXoxBNwZnLOxYKtqjLa1s5yNxvs/D55fsz+xDyke+iUw+xsjIzSnhMWs2Xz9PNQR1VuCtmCet1bnP27Z2eX/Wsng0/7Ny0k97B9uyRHzDdDT9LaLLv0JC1jdl9zxgk8N+sCHnhubPZubZiqzwLPzdryNP/kBPQs8Xasrk/k6W6bqVy7Bndw1Z02dUuqHf+zP+sLQGcJ/rvmsfjAu+LS9qrXZ7QTZ2bs7G8+QvPi+oAGHgGbGVwbpurzwCOwtrTO72bbeTPX8U2dtn7r2HnMT1bPthBCex9rg3/XrLx2FholX6/F3wSm4bogBqahTeatDZM/JjPTcG1pnS9mNd+NSqRJhzw58fMvOOVhVl+zRhtt//36rOxdN4fd9p7dCH5n+p7b3ns4K0J31zg8scdUbfzwc7cS18u6fQwsJJkIZSeZ+VfX/2Y1pJBuWZs9HaroOMg9FirP+qKx7ayi2lj0XvVtXVTtJfji+gjaMYiuX79hx6D+N48Cj5pNWK4NaHUr8KitK49VfWkm/Xf2MYMt7evCaWbkTZetCexTvrg+aIF5ZtOTa8MUuG1B5mvLF33kRKyTsLPbTVxi3CzD953WcOHg9K3e+V71D3H1cVx9EZ+41mUmp6e/3pyJ4YfxZm8cvTp45cf+Wbo2lv6pkNtM3dow+Y/AmKmwtqSKvRHgZMnzE7trYHfhflY9aWf810UtMP42h7U2TNVXgfFfW5rCXnPk8pHuTqj6zpUHvdmtX3X8exz0zqZKYKDXxSEw0Db9g8X0V+43HY0PBm/+tfmaQZgNR3I4HCTRWE10pIpkEhVFPokGKk0GqVbi6Ggwe+Xrr/3t7INy9s+C2/jH48VZlJPkwCfuhHn8fltHf0/muxp2nO57vh6dqHFeerm96s1bpn2hON+HqzCoUf6L+UGRgo3Rwom90n9ij4mawlPDHffZ8/PZY+Kj8XzA54IsnX0/nX0mOvDHcMUDg35ahzy0ZIKjhZtxV/1crjJxETguqNl2zU/lGgMVyyW7ftoJLFN7Yzx68xWPhzNO4KevDse+ETrrBoSP0QV/XCNVJu1FrmKZ1sz5GuuDEVqP+KOfOJf4TJCZD+JFIsTlR7jBiDBPautslm+xXHjK+zM9a7Tt7A5H7675Vnm+T2RzxheG6bTgC0WyuSsTv0OkElj2eAACuPVnz6DeC6Deo6LWeNSolWbfgN4PgN6ngoZPfbD3urEEPtVaSFlkcX1yZdmBEaGf8VDPgB6cIct4dVKKNEnSOCl8eK9S8cKX6kYvtAy3yJTUsijjOqu77IgocE+s28yeJuBrhH/nZI5aBo0MBolyNrH0obxIRQl/6KD+xt1Fs7h0evqOuwB5vn1v09jugmHzff8er0jO96lkOnY3wu9qyOg78DV+yHtkyBoPGelo/Ij3yYjhE57sZYTMZJHGsvQhP6QiZ3MyokhUUsSpV8deJcOFL9IoH5MmWVaKkIchoe3SxYScjH97do47DVoZDBPpZEJuhogT/tQh3YytoL1bfetKmx67lLnd1Z0nyk87oRe8Xsi7vmwJYdwQkWzHbkgG3BAVfQduyA95jwxZ4yEj3ZAf8T4ZMfyB4HJDROTrckNUuPCFvE03REFr4dbPXgduKOSI/OmjOXIVtDMYKNoRxcqH9CIVKfzJg7qi31aPjYd52xUSPK4Tis4D2eTh+71Z1fu9uqbR1YUZ7xOMf6RxPERqHTueNOB4qOg7cDx+yHtkyBoPGel4/Ij3yYjh05/L8RCRr8vxUOHCl+42HQ8FbbfxT9j1pI3YddDSYKgE1xOKg4hY4U8f1Pn8cZHM+W6exPG5myfVAx+RLZEad0Mk07G7UQF3Q0XfgbvxQ94jQ9Z4yEh340e8T0YMn/Bc7oaIfF3uhgoXvmC36W4oaLuOc8IORzWiz4K2BoMlOZxQvENEC38C23c5vfq0yvQXJiiynThvzwv9H03fcZHS/Fbi79wBef9h5i2hjJMi0u/YSemAk6Ki78BJ+SHvkSFrPGSkk/Ij3icjhj8iXE6KiHxdTooKF77Mt+mkKGhPrPPCFrr9ZZO3+tvXXv8bDweaqwo5K93IogjaHIaV6KnMm/DXv1HxLi/XIdsCfdUXs87Y9mxH7YDmO3P1bYI3Z4XjLoF0r/eDG4OfTmZn6qsvo0xm9cd3erLnDoA+mX5Qf+nDKNu0771P9BaV/vJ6Hxwu257+zR+98gZkflW/nb5ffeNOUv6pcm2wDWV3z/+3rilmfSb11MWM1aPexf6ubZ7+jz6CL1IJahRBCLnf2GExWkNs9txg24+VeYqu3xC9TbnZS3vTv3OM/mRvWrStfI7ViBt6M6azCz8WHREeVg+PD4XZ7/hMsE01QQYzwavjwRs/fR00yx95dyleogLMYQDH//En4xtv+ACecSdxkiQ+iDtUiAUM4n947cc/BS0UPnD/jgpuWU8EwDkfB7GeLOJE+RD2qQjFsnAIQLQKzXlhiOY5o9b6L21fubJ/5YUr+9f2XnxhJpCzzV2Rm7fCvJXft0upIbHZk9/f9JeTXiJTBHrpBUW4OFJJGfvn8w/IaIF+eoEWYn9ju3Mz2/9gZmMf5MtkyEBXvVpYNcNvmGz0wxx2yRyA/pYQXM2AG9Abp4YgRGGPTEEjKYCnj7HquTmsM7EWFS3Q+f0EuugsP5xlYeSpt1r6gIwZ6A9/0tYq8jIZKdAt/gQYWMm01AFrXiFjxHhHygx4RqhNhH0m1G6CDZ8EzXE2FSvQ9bUZZFOgWqxJal4zHolIHuUyUrIU0TDNkmiQZpnOEl2mw3rCBMPvV+tJ4mFIDcFDQXiGYwml5wvUG1hhgnUfj4ucPJZVQdPoAIP4W+4upfoW30fLnXoX19k9WYr175+I9V2o63aYey/M7smzIeFmz8SCT90vtF9zMaGJImehsn3Fk/nXpr+YvuO++tR8/+70166U9KG97Om+uzIg/v6PZvsCJ/YJ6r832y6YdTGwjfjcT92qPncXHt2qvuzluueuDPOM1BbnSGn4SMHDcR+LbU4Wy4KigQUiop5fR1TvA/hYvcTJallyNLBChOE+GjucNJb1SAONFUN1RhLLgqWBRBshPSOTM2F/AxVU6H+GnzAuVPv4XWLlh3A+bYSl8+A0s1GdCVCzcIDKyRqxBJLjqvCIHrBywz58JG5KpiFle8jGzsnfweBoMhxng2gwFGWkhBxGAzXMokzpYTaclKXI1fXu5a93P/mC8F8R2mAKGL3O5S8jD8QKhJO/tXT8kZWNs7SFu8HKXWRnv6aTDfP/ZDNL7GdpSE8yUtdw6qvqSUYWiMUUoSftXXLfxD3/qLzEyYdFSUp/gLzDSaQ7LclIAuvOIGORFXFRKB+VPieVzsRknsSl976OS6z0ECt5m1oyr7VkHtaSnKwRyx9ZSwYH9ICVGvbZo1ATZVLIOPdu6x+ysXNScjIaZZN8OIqKfDSKVGkE6FANRtEkG0g5GA6LIq+X0E6lZOozxQXhv5SswRQwep1LSUYeiAWILiXdCfqn7l7kO3YbddZjZCEpFUBSMppAw02wqqRkZIFYU9uTlIx8WCRlEnvzjDucRLqTlIwksG4NMBYikbFKvZsAfU4qnUlKncW5N+d6iZUeYkVvU1IWtaQswpKSkzVi+SNLyuCAHrBSwz57JGqFUIFkwSEbuVkBvBzq8UQNoiTLdCTEuIiK5KiMkkQnOisKUepaa3WqKL2muCBKrClg9DpXlIw8EOsPVFF+Oquft62H7hsdedOlzJ/MyrBdSzl7Vuz92fmu31af9oTc1DbbbT73biFtcfLXcP6ryklGFoj1FCEnQzXkjERYdGTg6rIdTiLd6UhGElhfBhmLQsTmb/io9DmpdKYj06SMlXez5xIrP8RC3qaQLGshWYaFJCdrxMJHFpLhET1g5YZ9+ijcilxoFUv/3dds7Mx/f/Vf3H+bCwUS1IstHfz3569l8+2g5TJF7gP/3q3Ri1SUyzNo9YP+X5y4J9PWQM6yznaT8C2Xd753qsv9pq1ivHeqMLJuhDl9Z9bhe95uyUd7Sybn+1Tq3R7yl4GLn8noFR49/ByKO+QfgLxHhqzxkMHnTtwh/wDifTJi+ONBXl9Ts0xm9rp+/5GJQyp2tmP+OslTqUsV594F8yoZMHxZR51BKDIhCl0WgXMz10h43ey43o1bCpwrkI33haokaGcwTKRj8uO8SMUJf/ZIrqnn+tf/yWW13p++N+vcaBv8/dLdyGmzWR42W1IYj0Nk1LHHCahtMvoOPE7gmCMZssZDRnqcwB3PZMTwWc/ncYjY1+dxqIDhK3a7HoeC98RWZAceJ+RzZCPyrpuoWZ8Tax/Si1Sk8OeP6HWC3UW3pDSuhQi7Y9eSbu4KKc27LLXt0+w7VQTcDZVRB+4m3dyzNPYsjT1LYy9EY49MQ+NpIF1QurlvWexbFvuWxX6IxT6ZBfyx4HNLROzrc0tUwPBlvV23RMHbbSAUdkxpI3YZtDUYKsExhQIiIlb4Mwh1Tbfcztz7PpRbMjXeiIi0Y2+kNnezfHM3t9cEiUBzazKVDtyQ2twz+PcM/r0Q/j0yfo3Hj/Q/anPfwN838PdD8PfJ8OGTnux4pEzTvJQ6TpUP+yEVO5vjEbo0/0vyQM7pKhkwfOFGOZ60kGWuUhnnXgNfI+Ht3vGEXI9qRN95G7ba9YScDxEt/DnEOJ+77urnxZUZs024h7NrFe2Hd3uu7tyWBP3CtWq7N/v6g+lb0/dtuzbzBR/NLamM9yJS7dh7aRM8lZu7qTBvxpOlxosZrbWrzL/a/KuNZ8tCW3lUhh04NW2CqXJzz9DaM7T2DK09Q2vP0NoztPYMrb0ArT0yLY2nhfR12gRX5ea+YbVvWO0bVvuG1b5htW9Y7RtW+wFW+2RW8EeP7ALzIimUTOPUu2gcUqGzecC8NJGMrXD1lu9eJeOFOxCUAxQ6l1mZ5nHqLaO4RsJrAdcrlYXNftn0wguG/KBuJAFuxdPKZdMLJxhOSxHhLjuHFe+a9vZFsMerHrr7hh8f56ZmbnF601ZILF82ZXuYuhfdsZdcTd+zvnLez/R+fY+UeZm9mOi7+cvvuuurnxoHa+/FmvVBXdxyZT9xd1DV1Ru/jO0PPOmJxF07FXC6RJMue6OW7q+2CT7XScJY5b69s9sgX1jFqA576dZT+xVXcmLEx53p+7WlH89ygNMPThSruEoVY9pZPcq35rtvLepTntjLwh7a32tGyAyNu2PhnemvY5+dXqTaSaPsBLHRV67++v1eudkrY2HfSfsu3ewJYd/8z842lcByLR7bJdZUgMBLO+GFxeFLrKkQl8uGWS6xpoJbliorXmKtysRE5f5SYCrEtd1iLY2gl0bMy2J2g7VsvMGaTA/o+vE3WKskCV1gTQYL9P24C6zl4gJrGb7AmgwZ6P9Xiwzr2mmpN/phDrtkDkCHS4j96gus5eICa9l8gTWZgkZSAE8fY9Vzc1hnQjgqWqDjIxegiyIPHWUkYwb6QtwF1uFF5GUyUKBHhN5frYO2vEKGiPGLlPEvpUhSFbhr75AKm+n66jKTQsvANLhKBgt0fKjAXRZFKoosYNhrJKwW7NFEHRW5GESF0ONIJVkWFaORiMZpWk7SSToqJ+MZnWBI/+qgnUOyJ8L6UGCf4VhC6fmC/wZWmA0AH4+LnDyWVUHT6AB3Bj4/3gQ4ju8f1jdGV3908em77ubqk5Ho49m5Wdeb6Vb1cfVJVH1pwrwPza/7nXn/h+orn222OG2j4baBh64+FtucLBDnyBDx64PqGx+TlziZsJygFbHXZe5wEunsBC0niWVp0EACGjbnhTI+KwnEzYxcOjtCW8aZ/3I/VnaIRb6N8G8eBNYXRcvwRdGsrBELHzl+CY3nASsz7KNHYZbrosySOC199A7Z6M0aZotJnuTDMsrFOI+USERUZBMZ5YOJLI8yPdFrUZneLdsLsvGeQ58pYPQ6V5mMPBALEFRlfjpva9KzRRXuCJTtmvK4um2bkSzniMwX3QWAxYZIEtd/xHwik8Alf5ym0HBTrCoqGVkg1laEqGy+5I+TD4+09NHY4aTRnbBkJIH1boCRaMzHMFLpTFeKJHQzCys9xLreprCsb42W4VujWVkjFj+ysAwO6AErNeyzR6GmDQAdl9rH7pCNnROWw+FoPJikZaSVGkUqLybRIEu0+alhcSSGg6NU109sp8Iy9Znigmy87tBnChi9zoUlIw/EAgQVlh8t98Pr2U/dfqYtUbrp+vD9ar5f+Wn1odun/Lj6zLx9frzL+Xn1SfWFef+Vfc3/NJ982bt8oEWv+tBnpC1OI2m4kVaVnIwsEKsuQnIG9zEZmbCIzSSWWvuo7HBS6U5wMpLAOj3AaAipk7jwn6/sc3LpTHEWRVwEFCcnPcSC36birC+VluFLpVlZI9Y+suIMDugBKzXsw0ehJoRI8jxWXp11yEbP3QW4ufBcdup2WOwe2K0sG8nmy2Q7KnYPXg9IhLu8TDAUu7sC62/rGzLuu9bLThfaPSz77Xlj5JkgdC2ZZx12H7tuzXXB9v3p37njYLNvzK6TrivYqzs9Uf+a0J1OROsomHVwdes+hC9SEWoUQgC6RcW4itVmT5v/27LxzPzf/pub/7t/bRl5YT8qXEG5qy6/fv2Gj9s2lRuwpg4hYkPF5ESAwAI6uDZtKCYnQgSWzq2oOYngMEVzAOvJvNBx4s3D9akQ11ZMniZ1EXnZWEROpQV0qZQi8mANORUr0KUia8jLRQ158N7qy2TIQLfahvI2TDb6YQ67ZA5A57dCDXm5cWoIwjXkVAoaSQE8fYxVz81hLaHdJ6MF+jty4KJFrJQP8gEZMtADYkvIgxXkVJxANwitIC9DlrxCRojxhZTBFyqVmXGPgdCOCJupgFwIlaRxFqgfp2IF+jxc/bhWWVbEmdes10hQ3XQYlyN5JHU0SPJBZIyhInt1WiSTJBuLUTEoVe1igkFyw/4ANVAOlI+nCY4llJ4vnG5ghQmpfTwucvJAbMdBY+1biyD5djhIntfzSFfN82D6lo/5FidzDWcOj1J9LLY5WSA2FlePRzmJsORUAgdLdjiJdJZR4SSB3dQFjEWaZGmsS38YzMmls4yKCrbpZKWHWMLbiOvq6C5NZhmV2b8+1rusrBELHzkwCQ7oASs17MNHoWZlt07jwvs4HrLRm2dUaoodXx/kFcMX6qunQmTBfZZazqiUgeuDqHCBWz9QlfdF9fXxDTVnrtCz7TXv1t3b7R039bU19mYa17D9kc2LzK7Eue1SJo98XLeoXBWMawv5ESpCjUIIQLfIj8xSI71o1s/qnr1qaPp+fZ6zoaPVNpUJcHeoBfVJBAjcC8KoylA2hAoRuA20ol4kgsPsAAGsp/I49x656lMBri8XIjd303SWD0lFUz6ETA3oEPH5ECHyUEKEDBboEXEJkVTMEyIzE/sgXyZDBnrFNoSzYbLRD3PYJXMAejt6QsQAPzUEwYQImYJGUgBPH2PVc3NYS2j3yWiBLo8cd2RFoNTpgAwZ6ARxCZHwGvIyGSjQFUIzIqLQAVteIUPEOETK8KfSTIDSa9dDKmiehIjWRRmobLhKRgp0eah0SFHoPPbvPV0jAXWqbTgoRsV4EuVHgzxS5WAcDdI8iSZ5Kcq8SEayqJfmYHzbENpTY9xQMkTiWELp+SLhBlaYaNjH4yInD8ROGjRMvuWKDp+6+kIXJN+1HYl7LjKzB1Qen7xod/kO3XvVd726lPB/mAjutr1Ad/pWr/qs+o13kLc4jaPhxoFHrT4W25wsENuGiIg1dAiFkwlLwiTx75HtcBLpLmHCSAK7ZwsYC6Hi1K9c+5xMOkuXiLyMhf8yHVZ+iFW+jbBvHvzJOl8iwwEgJ2vEwkeOW8IjesDKDfvwUbhJneVxFkiXcJFzMjOXuS4nSkX5wLxMiPEwKpLJMEoSneisKESpawHWqcz0btJeSFOsKWD0OpeZjDwQCxBUZnrOPN+cNQawn5gv19fqfFJ9lvRqUfqtzd+4fgHvB46ncBpBw42wqpxkZIFYVduQk4xMmOSkd5XY4STSnZxkJIH1aICxKGOtlY9In5NIZ2oyTwNX3V1ipYdYy9sUk2ktJtOwmORkjVj2yGIyOKAHrNSwTx6JWiICOvmQjdu88mb+QHZceuNdeS7UfU8DbHW4UTUMK0YFniy9EUmo9oaId3mVWLH25u+dpLOXbxtxt9mbvjN9z+i5u5vH5dZvLXTgyaoc10YqPtV8Klh5Q2SqYEzbqLwhItQohAB0s8obey7Zh3ObihOYZETIylBdDREgMKUIV4sNdTVEiMBk4oo6kAgOk0YEWC+XcemdgX0qwPXV1ei6pkY11tRQaQE9Hb6mRuUiWFNDBQt0dciaGrWoqVHhmhoqZKC3a0MPGyYb/TCHXTIHheSAr6lRG6eGIFxTQ6WgkRTA08dY9dwc1hLafTJaoLsjhxMq1t4n84CMGOj/cCU14SXkZTJQoBeEltSoXAdseYUMEeMLKaOfyiKWqQ/zIRUzT0VNqlKt4tz7cF0lQwV6PFRJTaqywkgObxh7jYTUQh2NRkmSTcpI5VkRqTRJo6EwH2k9ybP0KC1EomdkgoFrQ8RODV5DNTUaxxJKzxfiNrDChLk+Hhc5eSA2yKDh7z+63gCue0BUl8fcsoUxJiZ+6I443K2/+pn2L6VbnIQ1nDA8xvSx2OZkgdjhQ0SgwcQGIxOmxIb3XOAOJ5HuEhuMJLDbq4CxUGmcZ16H2edk0l1mI6C2LrGyQ6zbbQRy83BO14mNcO9hVtaIZY8ciYTG84CVGfbBozBrUtlc3BZ5jVoGWt3UYV5D+9heSLNGtuky267yGoFLZS9S8QJ3eqDCzntLq/3SB9WfZneufll9Uv2mVne3zSsfnW5B6opcpjddbfUDdxGrPZ3ck8LmPh7Z4usnPTVrH+UxwxbVDApmhjaSHkSEGoUQgK5OeuTudtWwSbepgIHbQQjtGcp+EAECd3/gkrIh+0GECNz3WVEsEsFhdnwA1lNZnHkHuE8FuL7sR765mxbmrdzcVfVtq2nWmAmhUgT6RnwmJLfnwgKZECpYoHNEZkKyRSYk2OX0Mhky0D+2IaANk41+mMMumQPQua2QCck2Tg1BOBNCpaCRFMDTx1j13BzWEtp9Mlqg66PHH6kKHi+mYgZ6Q1wuJLyIvEwGCvSJ0FyI0DINni+mYsS4RsoESJVMy1gEAjUiaqZ0SJYXJn4pfFCvkqEC3R4qHZKLRMrYf17rGgmpk3DlkcwSJSOtbNPliRxFZZ4kkflj5aCc6ETqmkww3m0I9Kkxbygd0tj67yxLKD1fZNzAChMd+3hc5OSB2FaDRs3/YA952LZ29vSHPR48C4zNp9N3pm9N3+9Vf29PFrtWJ7bD8oPqtrt61bhF815Fwuu/tjitoOFWgIekPhbbnCwQm4XwOHX6i+nbPiYvcTJhyZF4F+0dThrdZUgYSWA3agEjkdraQO9T3udk0lmGRAYzJJzsEEt5GwHePMyreyen4d7JrKwRix45QgmN5wErM+yDR2FWpjLQFvqQjZsTkslRVmZaD6NxkaWRGqgkGgzMT41HxaCYDLNyrIbXuxeS3i27C2ljQz+fKWD0OheSjDwQqw9USH7pDojcnP6qN/3ZcYmNvY0mqp667/zcpVlmSRZ36mR+jX/1mQyV2jDaQMNtsKqMZGSBWFHhMjJcasPIhEVGijggJBmJdCckGUlg/RlgLNJUZ3Go1oaRSmdKMo+Vd2/jEis7xFreppKseyKn4Z7IrKwR6x5ZSYbG84CVGfbJozCTqjBRXR7QklzsnJYcTgo5HioVDdVIRkqUo2g4SCdRIoUuZC70UNcW6FRLevezL9RnyBGmgNHrXEsy8kCsP3Atea++8XD6d9VDKxGnN6s7s33HJNmwb9rHc4uTp4bzXFUvMrJArJsIvRgqj2EkwiQXvQv+DieR7uQiIwms0wKMhTYLdOGdV31OJp2pRaF1nAT0Iic/xHrdpl4sa70Y7unLyhqx7pH1YnhED1i5YR8+Cre8VGUsvY/jIRs5JxiVmORJPiyjXIxz89pEREU2kVE+mMjyKNMTPRlf714wKp8pLtTbswhTwOh1LRg5eSAWIKhg/LTebbzds91A7b00Llld31t41+1HPp2+a2/Inn3RacnCKklXfOx6iQbqujlNoeGmWFFTcrJArK0ITWmvHvom7vlH5SVOPjzS0kdjh5NGZ8KSkwTWtwFGIlztzUmkO12ZBJKEl1jpIVb1FmWlqhuJqnAjUVbWiKWPLitDA3rASg375FGoqULFhfZxO2TjZs/8bc5USIdH/bwFNBfq/eUQSbVMsrujft790ItUvMuLw3N61E+dPOqXhY/6Uc2gYGZo4agfFaFGIQSgW3QWLeJ0s1fGwr5Lr1+/ETbvNhU88OwDQoMG9jWpAIEHHRCiMnjsjwoReMRhRcFIBLfsklY89iekjKX2IexTEa7t3J+Sm7sqNW/KvNU3IKrGrqJkikBHiT/3V9j9M/+5PzJYoKfEnftTi66iKtxVlAwZ6CzbUNGGyUY/zGGXzAHo6ejn/tSiq6hq7ipKpqCRFMDTx1j13BzWEtp9Mlqg71shCLHXjpc+0Adk0EB/iDv4F15FXiYDBXpF8MG/QmcBY14hY8Q4R9IMkDItday8BXWHVNg8J/9EouzZylz7sF4lYwV6PtTRPymzUpSBm2+ukaA6HQcq77ZsggFwQ8BPDYIDZ/+UxLGE0vOFyg2sMOGyj8dFTh6I/TVoGM109o/TChpuBXiM6mOxzckCsWsID1aDZ/84mbCkSvwl25w0ukuVMJLAbtgCRqLMvWPR56TRWaIkePCPlR1iHW8jwpvHeXUDURVuIMrKGrHikUOU4ME/VmbYp47ETKlQTHPIRu75PfmXBU7+1VepIEwBo9e5jGTkgVh+oDKS5eQfpw003AarikhGFoglFS4igyf/OJmwiMjQyT9OIt3JSEYSWIcGGYtUJt79jT4nkc6EZPDcHys7xEreppCsm4eqcPNQVtaIVY8sJIPn/liZYZ87CjMTz6UqdMs2G7vn99xfFjj3pxTWFDB6nStJRh6I9QeuJInn/jh5ajjPVdUiIwvEuolQi6H6GEYiTGLRu+DvcBLpTiwyksA6LchY2Btm/Zm7PieVzuRiw8E/Vn6IBbtNwahqwRjus8nKGrHwkQVjw8E/Vm7Yp4/CzcBUKtCp75CN3fN78i8LnfzTWFPA6HUuGRl5IFYgqGRkPfnHaAoNN8WqqpKRBWJxRajKZ5z8Y+TDIy59NHY4aXQnLRlJYJ0bZCQaCr4ZmXSnLMNH/zjpIZb1NoVl3e1Phbv9sbJGrH10YRk++sdJDfvokagZsRe6zZaNXH32zyi4Ls/+ebXzBZU1ktTLJLs7+6d8eC9S8S6vDs/p2b9MHB/9KxqO/hGtoGBWaOPoHxGhRiEEoFsc/cs2e5k9+Jeb/8dys1fYTwr7UWlPA3r3ELepNIAHIRByNLTJSQQIPPSA0JfhQ4BEiMDjDitqRyI4zDkHgPXMX0rj0jvEfSrE9Z0CzDd3VWHeys1dXXf/U43d/8gUgS4TfwqwNCI9dAqQChboM5GnABfd/1S4+x8ZMtBttiGoDZONfpjDLpkD0OmtcApw0f1PNXf/I1PQSArg6WOsem4OawntPhkt0PmtEI9keVx4C6sOyKCBDhF3CjC8irxMBgp0i+BTgGVRBox5hYwR4x0pM0CXaVLKJE5KH+5DKm6eY4BayCQXKpbKB/YqGSzQ96HOAQqRaJGlKk69JSnXSGCdmAOVe1s+wXC4If6nhsShk4DNfWzOsITS8wXODawwwbOPx0VOHojtNmhQzXUSkNEKGm4FeMjqY7HNyQKxiQiPWMMnARmZsKROAiXcjDS6S50wksDu3wJGQimVitjfrbrPyaWz5En4OCAnO8Ri3kaoNw/46j6AKtwHkJU1Ytkjxyrh44CczLCPHoWZMFoxL4LJEy56z++BwDx0ILC5k43HFDB6natJRh6IBQiqJnkOBDLaQMNtsKqWZGSBWFThWjJ8IJCRCYuWDB4IZCTSnZpkJIF1aYCxyFRZJEWoGSAnmc7kZPhQICc7xGreppysmwGqcDNAVtaIlY8sJ8OHAjmZYZ89CjNVCJ0UMk68IuqQjd/zeywwDx0LLLGmgNHrXE8y8kCsQHA9ST0WyMhTw3muqhkZWSBWToRmDFXMMBJhkoyB2m1GIt1JRkYSWLcFGItMJGWcCu/M6nNy6UwxNp0L5OSHWLHb1Ix1Q0AVbgjIyhqx8pE1Y9O5QE5u2MePwq1UeZKouC7VPiMaueg9vwcD88DBQN3cyMZjChi9rkUjJw/EEgQVjZwHAzlNoeGmWFFXcrJArK4IXdl8MJCTD4+89NHY4aTRmbjkJIH1boCR0A1F4JxUutOWwZOBrPQQ63qL0lLXTQF1uCkgK2vE4keXlsGTgazUsM8ehZrO8yyJc/+NE2zsrLJsEoztHgn0pqIuaNFALhP5Mrl1Hwmk4l1eFv5lHwmkWkHBrNDCkUAqQo1CCEC3OBIoxKZ5i4VtBFgEGwFScQOPQSCUZ2BHkwoQeOQBISWDZwCpEIGHHVaUiURwy25oxTOAKitiGVB/RIRrOwKo5eauTs2bMm/avGWzY4C6sRkgmSbQTbZ6DJAMFugncccA9aIZoA43AyRDBrrKNtSzYbLRD3PYJXMAOjr6MUC9aAaom5sBkiloJAXw9DFWPTeHtYR2n4wW6P/owYdI0zgtfaAPyKCBPrG1Y4BkoEDPCD0GKBOtA8a8QsaIcZCUGaDTJMt1XASCNCJsnlOAKhVZWcSF8mG9SsYK9HyoQ4BlJtNcxbl3PbhGguq0XFbIUX6UR8M0TyKVjSdROVLDKLWHOSflYJCO60kdDH8bAn1qCBw4AqgljiWUXuf5EkYeiH01aBD90fSt6TsuY2LDYltsU/2m+r0J2L6oPo9M+Gz+MZ98aD76ymVKfJy3ODlrOGd4QOpjsc3JArE3iAhPQ0XanExYUiJJLLX2UdnhpNJdWoSRBHZrFjAaQpRGmfjP/HFS6TAtkgTk4SVWfoj1u43Ibh7f1U0AdbgJICtrxNpHD02CI3rAyg379JG4iTIt48x/7I+N3fNbcVMEjv3pFGsKGL3OFSQjD8QKBFWQrBU3jKbQcFOsKiwZWSAWV4SwfEbFDSMfFnkZqLhhpNGdtGQkgXVugJFoSrkwMulQWQYLbjjpIZb1NoVl3RRQh5sCsrJGrH0rCMtgwQ0nNeyjR6GmiqyMlXcH+pCN3PN7+q8InP7TCmsKGL3OZSUjD8T6A5WV5NN/nDw1nOeqmpGRBWLdRGjGUK0MIxEesRg4/cdJpDu5yEgC67MAY6GFjhMV0IuMVLrTi+HDf6z8EAt2m4Kxbgqow00BWVkjFj66YAwf/mPlhn36KNzyskizOPNmBg7Z2D2/F5AVobN/GmsKGL3OJSMjD8QKBJeMDBeQcdpAw22wqpxkZIFYVRFyMpjbZmTCpCe9pz52OIl0pycZSWA9GmAsdJ6KJBbSOyJ9TjKdKcrgBWSs7BCreZt6su4FqMO9AFlZI1Y+sp4MXkDGygz77FGYKQM1K+JE++gdstF7frsjFLHXFBd0hjUFjF7ncpKRB2IBgspJpu4InFbQcCusKigZWSCWVbigDHZH4GTCIigDcpKRRndykpEE1qUBRiLNlY7zQKEkI5XOxGSwOQIrO8Ra3qaYzGoxGe6Ix8oaseqRxWSwOQIrM+yTR2FWppkKtUZgI9ft5RHeTP0F3dT3IRPFMrm1Xx5BxLu8KPwLvzyCaAUFs0Ibl0cQEWoUQgC62eURPSOqb+RBg25T4QLPzMJ1ZjAPTgQIPB8Ll48Nd0YQIQJPxq4oDYngMEdiIdYr41A+mghwfVdGFJu7utzczRLzJurrIvLG6yKoFIGOsd3rIqhggZ4ReV1EvrguIth86zIZMtA5tqGWDZONfpjDLpkD0LWtcF1EvnFqCMLXRVApaCQF8PQxVj03h7WEdp+MFuj6yMFGadbKUvswH5AxA71he7dFUIECfSL0tghRKBEw5hUyRoxrpEwAkReZjlXqQ31IRc1zWYTIy0SHGkaToQLdHuquiFTneRJn3rXgGgnpc5sPKUNXRRQ4llB6nedDGHkg9tCgITNXPoTRChpuBXhA6mOxzckCsTMIj1PD+RBGJl3mQxhpdJcPYSSB3ZUFjIStfQ30iuZk8hykQzjZIZbyNgK8eZhXN/fT4eZ+rKwRix45QgmnQziZYR88CrO0CDaKZuPmhORACJVpVUaZGOlIqSKPhnqUR5NhfpQciUJnWfdH+8rQjREl1hQwep0LSUYeiNUHKiRXqtMW/kd2i9MGGm6DVWUkIwvEigqXkeE6bUYmLDIyWKfNSKQ7IclIAuvPAGMhlcqCjVkYqXSmJLNYeHdwLrGyQ6zlbSrJuuWfDrf8Y2WNWPfISjI0ngeszLBPHoWZ8bdlHtDJh2zsnJYcaZEVqcgjPRzLSI3LgdGdhY7EJCl1PhrIwbAe2061pHc/+0LW1KHGawoYva61JCcPxPoD15LPvCZC+XhucfLUcJ4r6kVOFoh1E6EXA+UxnESY5KI3ObHDSaQzuchJAuu0AGMhRZxmfrXIyaQztSgS43e8y9glVn6I9bpFvZjVffyycB8/VtaIdY+sF8MjesDKDfvwUbhJkedx5iV3yEbu+b2utgxcEpEJrClg9DoXjIw8EAsQVDByXlfLaQoNN8WqmpKRBWJtRWjK5utqOfnwSEsfjR1OGt0JS0YSWN8GGYlgtTcnkQ51Zei2WlZ6iFW9TVkpalkZbnXHyhqx9K0gK0O31bJSwz55FGrSKmbvHushG7duz/cJ78hdqAPbELtymd26D/hR8S6vCv+yD/hRraBgVmjhgB8VoUYhBKBbdIdWsdrsadcdOmzZbSpu4HEHhOwMbWUSAQLPNiB0ZPCkHxUi8FTDihqRCG7ZC6160s84HFn6EPapCNd21C9LN3czZd60eas7Q2ey6agfmSLQR7Z61I8MFugjcUf9Mjk/6pcFO25dJkMGusk2hLNhstEPc9glcwA6OfpRPwP81BAEj/qRKWgkBfD0MVY9N4e1hHafjBbo+1aIO1IRuvWYDBroD1s760cGCvSK4LN+pU4DxrxCxohxjrQZoJSdA/46ESpsnsN+ZZoWZZx6y/2ukqECHR/qsJ8o80ImAajXSFCf2zyJvZjVR/NCluJoQvl1nihh5IHYUoMG0KyJEkZTaLgp4DGqj8U2JwvEbiEiYn1GooSRT5eJEkYa3SVKGElgt2shI9EQLDMyeR4yJZz0EMt6GwHfPOyr+/pl4b5+rKwRa98KEUswU8JJDfvo0aiZ+MGftjxkI/f8Fmybkfba4kJdooSwBYxf57qSkQdiAYLqSnrFNiNPDee5qmhkZIFYOBGiMZTmYCTCoxZDFduMRLrTi4wksE4LMhY2fSwCgpGRSoeCMVyyzckPsWC3qRjrxn5ZuLEfK2vEwreCYgyXbHNywz59JG4i1cFOLGzsnt8LI4xmTH22uJBprC1g/DrXjIw8EEsQXDMy3BjBaQMNt8GqepKRBWJZRejJ0I0RnEyYBKX/xghOIt0JSkYSWJcGGQuli2AvFk4unSnK4JURrOwQi3mberJu7JeFG/uxskYsfGQ9GbwygpUZ9tGjMCvKslSxUD52h2zsnt97bO1es88WF+pO2ghbwPh1riYZeSAWIKiaZLrIltMKGm6FVfUkIwvEsgrXk8GLbDmZsOjJgJpkpNGdmmQkgXVpkJGwGwDebe8+J5POtGTwIltWdoilvE0tWff1y8J9/VhZIxY9spYMXmTLygz74JGYmb8XF4GqUi5y5r+/+i8nRFRQK74xHr35yms3PIRJUjGQp25q6qB1tkwzdAAwDBYjAI/PAHrRXqSiXZ5MDaYFyryPjMy76yoX7xsp96R6OP1g+rPq/vSDzZ4Rfveqp9VDu3/4bXVn+o474Xf2Ze8sXnivemy+f89HeSvLz/eptM8simHeq62Js3NAxeZuLs2bCiyEVBYKzwJ+qMNC3zPQ9wz0vQD0PTJ0jYcOPsxhke8b5PsG+X4A+T4ZOfyRIS+/ItVSCBkn3pDnkAr9TF3/M6CDS/uFXd5LGefe1PJVMl74wo+q75eZAxwX2gf3GgmumxozuNYD/GWT/2rzALsMle833Tev9ZnT+Z2cX5dh/0WEu7yOMxxfN598bfcprJtylfjuUPo3fjdX3e9Nb/aqp+47D5wHu18fbb9vU2i96S/sL63u+A+/u1/9sM6zuU/Mb3cH6M3X7K974n76ofvlj6vb9Tn6Oz1pz8ybL08/8Jl3i2reZQfDeC6eiFCjEALQLc7F55u9PBb2ndzsFbN36WavtF8LXEe7TWWxHK3wnZInAgSeCoTvujSckidCBJ4HXHFHhQhuWTSseEpeKRGn3inYpyJc3yn50ijjxLzVzXCzovGEPJUe0AnjT8inUgVPyFPBAr0w8oR8sTghH+wudJkMGeiJVwun5ptLxUY/zGGXzAHo7gjB1PyEfLFxagjCJ+SpFDSSAnj6GKuem8M6E0tR0QL9HnmHLpM6ltqH+YCMGegKcQfkw4vIy2SgQIcIPSBfqjJgyytkiBi3SBl/mevSuErtnbaHVNg85+OFkmWZBPqvXCVjBfo9VACtRFGmod3vaySoTgUXUovRUR7pI1tyICZlVGQDd/IpzYuyzIfp0YxNMLR+ddBuGYH718fyQlbiWELp+YLwBlaYQNzH4yInD0TqCRqh3zLx8u3qO1eZ+lbPROb3bf2A+fTx9P3qux/VAfFX5rvvuXjaxt0PXHz+q97//e5/9V/wscVpBA03AjxK9bHY5mSByKchotRgUSojE5YigiTgGnc4mXRXR8BIApvOBAyGsHUEofCYkUp3hQSWYKCUgJMfYj1vI86bR3t1J7Ms3MmMlTVi6SMHKuERPWDlhn36SNxSmaRx4n0eD9nYza5cSsVQmtdFmR6rSOmjLBpO8kmUjwepOhIDlenJ9e4Vpb/iIG/q0uE1BYxe14qSkwdiBYIqys+q2y7Bct9VnDYKSPc9oyKlX0VyEtdw4nAVqXvB+345uSAW1Ba0JCcTFi3pXR12OGl0JiQ5SWBdGWAkikLGmbcGo8/JpDsdGeR3iZUfYhVvUUfmdYezPNzhjJU1Ytmj68jgiB6wcsM+fCRuqrRFRv4cxCEbPSckJ6XW43SURkIXw0iIcREVyVEZJYlOdFYUotTPqlrlEJJeTX0hF1hTwOh1LiQZeSCWIKiQPHF1Z6ixhbuG6a3q6fQD8wV7GZPQ4WYWnPQ1nD5cTvpYbHOyQKyoCCHZfF0nJx8WOSkCN4zscDLpTlEyksA6NcBgqCyNU39DpT4nlc4kZR5IY19iZYdYzdsUlHVvszzc24yVNWL5IwvK0HgesDLDPnkUZqlUaZwHxCQXOXfGaXNRWGs1Yoel4oF9R9lENkuWyXZUKq78ifeLVLjAAjWo2vN2Onv2ASfbAu1pXcJ9p95sNErRyME77mT8cUm3qEu6q+98ZtiimkHBzNBCSTcVoUYhBKBblHTrzV62OSvsduXcoi7sLl1Zt4/ENpUEsLINIUsDFd1UgMAyNpTODFR0UyECC9hWFJBEcJjSNYD1pBZmKgaEIRHi2kq683RWyp03Njsj0wI6SXwpt0rLUCk3GSzQS+JKufNFs7M83OyMDBnoKdtQ0obJRj/MYZfMAejm6KXc+aLZWd7c7IxMQSMpgKePseq5OawltPtktECHRw5ElEjjzH91Fxkz0AfiSrnDi8jLZKBATwgt5S60DNjyChkixh9Sxl8kSuSpjHPtw31Ixc1Uyy0SrWUSa+8G/VUyWKDnQxVzS6FyqdNYekPhaySsFuxRPjzKJqNJNEjSLFKl0lGpBkWkyzRNhCxzMarpBKPfhrCfGgEHqrnzFMcSSs8XJzewwsTKPh4XOXkgNtmgQfQtE+Den6VMZkHwPVfePTvnfNvdNWxvFD5TlPPQ1oBP3+5V/8NeKefi8Ns+e2xx2kPD7QGPVXvQYPX6jWN7TN+1NUynrNGb7UPMrmt2X/zV9Ne9MjE/p5OGsh9GeyG2KzFhsXeJfYmTCFeaxstkh5NJd2kaRhLYzWLIYMgyzkqvq+hzUuksTZOmeREr74S7xEoQ4UTaiC/nUWbdWy0P91ZjZY1Y+sgBUpEEj+QdsJLDPn8Uck79KxmX3tqmQzZ+Nl+zOZM+HeZpvM/lhVw1khTLJDvL03jhXqTCBe4+QSVmi3maW+4+uif11+/Pqsbdr34IztoQjaJgRmkja0NEqFEIAehmQtjewWO17h8XY3bffWTL8d3lSNWfXCeSt90QfmPva3p6ephm4+rG9Hb12N41XSfaXjB/4ffVf6s+r74wbx9Xn5h/P63+u9c9bFPNAtwWwwjeQB6ICBC4B4YSsqE8EBEicPdrRYVKBIfZ9wJYT2Vx5h3gPhXg+rJAus4CqcYsEJUW0AXjs0BSh4pefkAGC/TByCyQWmSBgh3gLpMhA/1wGyrdMNnohznskjkoJAd8FkhtnBqCcBaISkEjKYCnj7HquTmsJbT7ZLRAd0cOcvK0iOsjo2diHCpmoAfEZYHCi8jLZKBAPwjNApWlDtjyChkixhtSxj9VKs3j3BtxHFJRc+WAykLEqfcBu0qGCvR6qAyQypQo48SbELxGQuqE0TARg8lREg3U0VGkjtQkKtR4HKXKxN0m+j6aDGuvGIyqG3YSqJF1KP+jcSyh9HzxdwMrTAzu43GRkwdi6w4anC8SFiYEv3v6vIy9zudMLHcy5J71mTyT5ej932991FO6584D21f4EwRbnJbScEvB42Efi21OFohNS0z46h2OlziJsORrkliEEjaMVLpL2DCSwG4YA0ZDxUUSCJsZiXSWrslFLkLNg1gJItb8NgLBeThYN6LMw40oWVkjVj56JBMe0gNWctinj0JuJtO18rE7ZGO3aCBUz9qgrmy5gVAgXZM10pTLNEPpmrYbCAWyNUS0y7Np9QZC3h4MVv89sF0inf774ERuxsdmK8/O96mMuu0NlOebu4U0b+bfMjVvmXkrN3dFouw7+5GwH4k8sA5SWSo8S/jumOsdZKjtGWp7htqeobZnqO0ZanuW2p6ltmep7YWo7ZGpaTw18K6Z6y1kmO0bZvuG2b5htm+Y7Rtm+5bZvmW2b5nth5jtk5nBnzby0i2kTvK00IFT44dU7GzNh7JcCS2zWHoXtqtkvHCngdpsEaVURSlEsN6WgtdNjusLX9dZqUJwO6WxhVKmgkaHYSU6vjhwl/NFKlxgioTD891e9Bm6V911xbJvHWfG552EnlTfuK2VWTehOy5F/t3sN9yxpbZ19ajbVKkrGFxK/UFdh/to9htm7Ytmmyyzn59l4R/U3Y6+dQl1uy0z+wPzHkc+W29Rbb3srxgrIIgINQohAN2iFPi4+LeI054P9DYVNDBhg9ng8cbhL1EBArMz8I2bhvoEIkRgXmbFDRkiOExGBmC9Ig1kX/pUgOurT7BtOY3ALhLzVjcfMsquqVaBShHog/G1CqLpyCoVLdALI4sV8kWxQh4uVqBCBnri1QK2+e5UvtEPc9glcwB6OEI4Ni9WyDdODUG4WIFKQSMpgKePseq5Oawz0RQVLdD30bf4EiM5vYrzgIwZ6A5xxQoNq8jLZKRArwitVpBCyYA1r5AxYpwjZQbooshFrLyWPaSiZipXkIkq8lh5n7GrZKxAz4cLofMy1UVcBAoWKFAd1nIwLJMkjfRQpZEqB3lUDAcyKlSWySLR6igfz9gEY+tXB+0WLARD1gt5Y5Olsyyh9HxReAMrTCTu43GRkwcieQUN0T9x3XlPxMCuJbCtVZiFz390kfK75u1n/nKGJ/YYwcfVJ1H1pQnvPqw+r35n3v+h+spnnS1O62i4dRAh68JAd+1JivBWwu3e1vaV7cP+1d7Wbs8oTmM9qXtRL5+dTb1+Q2ymJ2o4ZM+1Oxbuuz23nfFw+kt7ZNiEx4vWx+6n7A9t5O59kW7maXUnrh79WS/PxGapQrfEb3NaGpFORMTZwfvuGZmwVFIE+mHscBLpro6CkQQ2kwsYC53IOPVuTPc5mXRWSCFkoG/yJVZ6CE/URog6D1SLuowi3CqXlTVi3SPHWLKMbeB8ltoBKzXso0ehJlRmwrJU+9gdsrGb3d0yHukiHxRRNlHjSA0mw2h4ZN6VgyxPRDEa5HJ0vXsp7PUTF/ISawoYvc6lMCMPxAIEl8JzZXffaOB7RoQ9mN1xf5weut0zr7LZqoezw5fVk/lVLu4efKeJ3eeHO6VIkyTZm31qPtywb0X4bnxGW2m4reDC2Mdim5MFYvFFiM5QcoeRCJPm9B932OFk0p3oZCSB9XyAwSjKWIcuW2Fk0pnoVCqPlZffJVZ+iEW/TdVZt+vMw+06WVkjFj6y6gyP6AErN+zDR+KWJEUa+5/HQzZ2sx1YrcdyONZRORqKSA21VadH0ojVVAlZiFFR1mtop7LTGzBeKBobTnkVOIhe17KTkwdiBYLKzr8/UWxk9OU/Vveqb50SvW/vA/xyO03dwTCR2i5M7io8txX7to/7Fid3Dee+oozkZIFYTREyMrR3ycmERUcG+75zMulMR3KSwLoywGDIJC79u3t9Tibd6UgjOpSP3iVWeohFvEUZWdTdOotwt05W1oiFjywjhVKBLPYBKzfss0fhlrrrCDMfuUM2ck5FZpMiyexpsYlMJpEaZWVUHJVlNBqPVZKlk0Gial/QqYr0PrkXCoE1BYxe5yqSkQdiAYKqyI+W6uJv9+yn1f26Lv6mvYTa1tHP0vafVh+6dP3H1Wfm7fN6E/PyQaRFr/rQZ48tTntouD1WVZaMLBALbBvKkpEJk7K01ZRnmexwMulOWTKSwHo3wGCIkCvrcxLpTFgWRVz4LxdgpYdY19sUlnXXziLctZOVNWLdIwvL4IAesFLDPnkUakIIHajhOGQjV18DbQVVh2cr/enuQjaS1MskOztb6YV7kQp3eXH4/5uzle6nntZtO564RvG367OV7vricMVk01lLW3D5pCcCCdot6igo2Ci0cOqSilCjEALQLU5dZpu9zB68dC1YhOvD4kO+TUUOPH6CEL+B7DwVIPCsCVzTho9eUiEuC1aWo5dUcJjTJRDryUTEpQ9hn4pwbWcvi3Rzt1DmTZu3bHb2smjsFkqmCPTR+LOXUkkZOntJRgv00rizl8WiXWgRbhdKhgz01G1IeMNkox/msEvmAPRz9LOXxaJdaNHcLpRMQSMpgKePseq5OawltPtktEDnR46AhJYqdFM0GTTQIeIOXzYsIy+TkQL9IvTwZVravgRea14hY8S4R9IUKFJpZ0GglIWKm+f4pSyFSIx/94ftV8lggd4Pdf5S5Sq1Ny7lXsNeI2G1YIfjPBvmkyQ6KqSIlBRpNEiGOjpSR+UwKQpRTGo6wQC8YceBGoQHDmAWKY4llJ4vVG9ghQnXfTwucvJAbPBB4/hby+cubcDsjhzOS8tbPoLJaR8Ntw8ifl31CGbWzhHMzL23QctmaT6cncIs01xtFjJ4DJPT2oiNV0TMHUw4MTJhSTiFjmFyEuku38RIArvrDRiLXIpAwUCfk0lnCafwMUxWegh/1Ea0Oo9Z6+ajRbj5KCtrxLpHDrfCxzBZqWEfPRI1kQiVxNJ/iQsbvVkpU5IXw7SUkUwHo0hNBjoyv3RgfmpUFqN8nA4m6nr3itjrKC4UCmsKGL3OFTEjD8QKBFXEoHOYB6+M33x9YP+58f8a1ErZvNJmqt52fVDNJ/MTmdVnLsdkdPPxAc0flEmZiORKYmLUP796kDhJaOTgLGPmsmL2b7rXZkmykTWe3uS0sIZbGK6pf7B95cLuhd7uhSsXfvjD/mbPJd8eOp39wIUZH5w3QYUNNmrr2Yyh7W2zaU8hvGUzduazd6qH53svvpgl0vzvyqbRyiczgOet4abvuXdlyHTbnKZDOAqEQA4lpRiJdKuPGYl0p48ZSWCdNGQslJKBC7T7nFS6E8gmTo6V9hG8xEoQ4aDalMiqlsjhHqCsrBErH1kiC3usUgcyEpzksM8fiZzOZGFUsvDyO2Tj51TySJaplGIYHZWpea2SKipkkkRjMSzLYS4y8/Lr3atkb4B7odBYU8Doda6SGXkgFiGoSgYeG01Ub6aEzfe/dt+1BVwn5bHPGFucxtBwY8AFrY/FNicLxAqL0JbBzVdGJiziMnyOlJFJd+qSkQTWuwEGI02SWOXe8ehzUulMXdrtLO+xw0us9BDLepvasm4mWISbCbKyRqx8dG3ZcJCUkxv24aNws7UGZVwEiji42D2/J0ll6CRphjUFjF7nwpKRB2IFggpL/pOkjPbQcHusqi0ZWSBW2Da0JSMTJm0ZOknKyKQ7bclIAuveAIMhCqO9Cu949DmpdKYtG86SctJDrOxtasus1pZZWFtyskasfGRt2XCWlJMa9tmjUBNZkpRxGpCWXOxcm+rNhaiyirHDQ6WBXcm8kWy+TLajQ6WB4tuLVLjLq0Snh0pn5z/tVciP3VfuGaH4qLrtI7hFJahgBHHnNavf2hrb6a+nP58VFtgzqL+0G6fTd3rV78x3b/k4vEjloFEcIPjnJzqF2DRv/jm1TYULPMmCUJ6hjDkRIPDUClxQNhzjJEIEHldZUSkSwWHOqQCsp7Iilt4R7lMRru8YZ7G5W5Sbu2Vi3oR5k/VRzsY2mmSaQM+IP8qpRPgkJxUs0DUiT3IuumgW4S6aZMhA99iGgDZMNvphDrtkDkAPuMJJzkUXzaK5iyaZgkZSAE8fY9Vzc1hLaPfJaIH+jxx/WJEei8wH+oAMGugTcSc5w6vIy2SgQM8IPcgpE4PRb8wrZIwYB0mZAbkqpczi0us0D6mwec5xilKWSRZnyof1Khkr0POhjnGWtvY8DVxsdo0E1elhdZTno3EaDUVRRCrTMhqk46HtOHQkhtngqNCjGZtgxNsQ61Oj3tApzgLHEkrPFxs3sMLExz4eFzl5ILbWoIHz2aTJvCbdmzuZhZ32nqO7NnaOzD/3zXef1q+6b77xePYqn3G2OI2j4caBB6w+FtucLBD7iIg4NphBYWSy7NgbmMAD3nAGhZFJdxkURhLYXVzAYORJLP2HB/ucTDpLoGRFoGH4JVZ6iFW+jfhvHgXWLSqLcItKVtaIhY8cwAQH9ICVGvbRo1BTRZLGpVfrHrKRcyozUcmgEKNRlI2TNFKjchiVKtVRNimzyXBcTFQ6ud69yvSGKBeKEmsKGL3OVSYjD8T6A1WZX9Z3dx7fFTL9hfngnelbi7sxzmRjei/Mv/Wk+nr6f7gDfm/PLtj8svqk+s33a6F6dfD634zffHPRzvJZf8nJ1Sf1UcA7x7d9ngVQ/cldNPr2/BU1nLv2qKY73Dn7ulPHd83rHYIil6X3ONQW55hp+JitKn4ZWSB8AEL82qzfN3HPf4zzJU4+LBLYGz7vcNLoTv8yksA6YcBIuPyRj0ifk0hn8jcJbKFeYmWH8D5tqt+6VWYRbpXJyhqx8pHVrxaBAT1gpYZ98CjUZFrkRfBiEC52Tv7mciKPsrKIsqFQkSrK1Lx2Mo6S7KhQR+MyOZpnkTqVv96w/ELZ3O7JYwoYva7lLycPxAIElb+fnpaWUGWrZhe81TJ3+8Ll2Uf7r9545Y2fvPb6m2/0Lmxd7e/v9a6oxKOFo4UkPqV3Z+XvS2p3IY5/MbtQw14k97P6UhJ3zb5vGLY4h0HDhwGuaGG2mDM/b21XHza1d4TM7hWxxWP1DviiFcH5ueU3e9WHp28Zee3EaI3efOW1G260/v3r4/+0eerqvur2+XrA/639U/bqwNvTm7bRwK3qNwbJJ9Vn7mLA6rfS/JHfpebdV/ajP1S3pBnq2Y/6Rmmbc5QQfguh2ANlV5xEeKS6P9e1w0mkM7HOSQKrGSBjUWSx8Kt1TiadqXWRpmVIsLMSRPjLFgV7WTclLcNNSVlZIxY+smBvGNIDVnLYx49CTqpSChVn3r2yQzZ6TrMXg0SLvNBRqnVut7d1VNp3o1E60lIlo2xQm6BTza58prhQX5qOMAWMXueanZEHYg3qUrOfuMqvQbnvXNn+i9blu28ItjiHQMOH4F/1erNeZxwlhNtqQa8zEulWrzMS6U6vM5LACgbAWKSyiMvA6QxOKs+HYOckiHCWbQr2utlrGW72ysoasfLxCHZOctjnj0JOqUTJLFCkfMhGzwl2MUjHqTTf1MNBFqlynEfD4aiIZF6OxVDIohzUj22ngl37THGhro5HmAJGr3PBzsgDsQZBBftysxXY8V5OkhpOEi6JfSy2OVkgFk6EZAxVJHMyYdGMiT/VtsNJpDvNyEgC67MAY2G7Q6jM66D6nFQ604xSBosyWPkhlus2JaOsJWO4zSgra8TKR5aM4RE9YOWGffoo3NKkTGSsvTHcIRu7+aUu9SLZ8aUuykf2Qpk2ki2XyXZ0qUsRuNSFCnd5mWjjUhfXJG9xoZ+95eV9t8d5Z17iO32vVz11Fb/vGsXnNKCP1BaVlIKRwl3k4kP4IhWhRiEEoHP7oU97eeB+FirO5fV09ftZmkt7qTiBR9LhGjF8TQsVIvAw+orqjwhu2besek2LN0XYp6Jb2xUtpdrcLfXsWpYybbqWhUwN6Nvw17LIJCRTfkAGC3RuuGtZynR+LUsZbPJ3mQwZ6ODa0MCGyUY/zGGXzAHoz+jXshjgp4YgeC0LmYJGUgBPH2PVc3NYS2j3yWiBbo8cQmjzbKbKh/mAjBnoAnG3soQXkZfJQIGOEHorSx605RUyRIw7pIy/VIkwqj4QZhFR89zJUmbBKXCVjBTo9FA3sqRpFrTpNRJSJ4zKcjgpxsPoqMhUpFSW2xqlJBrpJEvFYDhJBqMZmWC02hCnUyPWwIUs9WFiMEsoPV9c28AKE9v6eFzk5LGsB5pGBxj03joOZae/6lUfRa7gyLYV/XZe/2LvYvm17TLqbmi5d7I7aHWr+qz6n1EivFeLbXHaQsNtAY9EfSy2OVkg9vzai1MZ+bDkPIJ1MoxEust5MJLA7roCxkLLOBAfM/LoLOGhUhloOHOJlR9iYW8j2JuHfHXzzTLcfJOVNWLxI0cr4RE9YOWGffQo3KQszOOYen3vIRs7Jy3TNC9GudCRGI5EpJKJjoqjpIyEHpRCjhM1Ko+udy8tvQL6QqmxpoDR61xaMvJArEBQaflfjVq8Wz2wmrFXfeNqor+1VdHhPkn3XCtOH/ctTu4azn1VKcnIArGawqXk9BfTt31MXuJkwiIikzgpfUx2OJl0pyIZSWBdGWAwVGCvo8/JozMVKYK7TpdY+SHW8DZVZN1mswy32WRljVj3yCpSZmWcepePA1Zu2EePwk2ILI3zQJk1FzmrIpvEYbtVMtpH7kKZNZAzb8vk1l0lQ4S7vCo8X1UyRFIKRqqNKhkiQo1CCEBXV8lUt6o/RIFCGSJUYMYQrhqftQFJxAnMEsI1YUOhDBEiMD+4otgjgsNkBiHWU+ErLogI11csk2/ulkVdLJM1FstQqQFdXLvFMlSwQB+HLJbJFsUywbaZl8mQgX6uDeVrmGz0wxx2yRyAbm2FYpls49QQhItlqBQ0kgJ4+hirnpvDWkK7T0YLdH3kwEGoIvbfz3tAxgx0g+0Vy1CBAp0htFgmDdryChkixiVSxl+KPDOoA9EVETVPsYwspVTBahkqVKDXQ1XL6KQsZcCo10hIXUiRismRSlSUHJWpPSCcRWUpRKSH4+FoNEmElPWEDkatDeE5NXINVcs0NWnysITS6zylwcgDsR0GDX5PV8tc9RTLzAtifnTySh4T/tqXPbGXsNyuex89qe7NXiLzJNlIvY/dFqd5NNw88CDVx2Kbk8WyA29g0V78ysiHJfdh4lztY7LDyaS73AcjCewGLGAw8izObbBylkmfk0ln2Y8yiUtvScIlVnqI1b6NEHAeCOZ18iPc0JaVNWL5I8cwwQE9YKWGffQo1LIyL2LtjSkO2cg5tTkRepLKSRpNZH4UqTwT0WAoj6JCJelwmJX2Hsnr3avNQAFNgTUFjF7napORB2L9IanNzYW2LH50LBxDt/ptcVLVcKpw5WiYvr24Ad62/Zz+3N1w+Pb0Vz6C25wEEatqe6KSkU/HopKRSXeikpEE1rMBBqNJVDIy6UxUCl0EahQusfJDrOptqsq6OWYZbo7Jyhqx/pFVpSjDhdmc3LAPH4mbykuzPHqfx0M2dvObaOYPZcdX0Xifzgtl2cBW52KZbUdFNiIJVdkQ8QKzj1Dp56ps3HXS37l6mzt28/Dp7JJB8413bNl0z1413aseuB3G20YJGnnhPnrsbp52fXTqHzKfPrCF1zd71bduB/K+eeED94LpL9xm5J1N992nbrPybt3VcnGB9fyXub9wqoF7/Tee1NXc79lXOsT3febdoppXwczbRr0PEaFGIQSgO673+TTyriTbVKjApGd70paIE5joREnWUL0PEeKyHuWp9yGCwyQ3AdZL0zTOtQ9hn4pwbfU+Ikk2zTth30n7Lq1rf8rG2h8qTaDnxdf+KBHqsvgDMlig60XW/pSL2p9gz8vLZMhA79uGRDdMNvphDrtkDkAXt0LtT7lxagjCtT9UChpJATx9jFXPzWEtod0nowW6QXKEo4SKE++G6gEZM9Al4mp/wovIy2SgQMcIrf0ppA7Y8goZIsY9UsZfpIXIy1gUPtiHVNg8xT8izUVuojntw3qVjBXo91DVPzLXqU5i5dXE10hQLdYjZX5xnosolaMiEmI8jgZGG0RHIsvEYJQMh2XtZYLxdMNWAjWmDpT/iPpxBdOE8vOF3g20MOG3j8hFViKIzTtoXH7rZAjeEHvPioF+Z77wnS0Bqh73DnekEDJJrlidmV682suSZPpeqV3/LvOaWerjYfUkOm7j5TPZFqvJNNxk8Eh22WqN2xa3z1+/fuMH21cu7F7o7V64cuGHP+zPGl7Z1goPXSO0n5kXfnC+N8uP9arP7I6G3a0w37ppX7vUYuvFF7NEzi2fXbxqX/IPts3XrBrr/HwkzJvrkrXZq/5x3uErMDCbvpHZZh0ZxJ4sPHAPHu9mpcKUjiqUj8oOK5XO8lGsLLB74oDhyETgorc+K5PuElJlFjrjzUsQ4dTaCHfroNful7iUVP2Bj/guL3HEAkgO2aRIAlntA15y2CeQQs62LChFnHsfy0M+fvWFQSIf5FpHclSOIzUeD6JycFTanyr0WOqjPBtc715e++udRCKwtoDx615eMxJBrERQeb1oqjXPWtXHyc2Xtsavj9945c3eC71gZ9yns1p7J7jt77GC8oPe9xeNbT8T3hzlFquVNNxKCEW93H0sqKZ7W9tXtg/7V3tbuz3hOsT6Y/xtViMg1m64eA029WKlwiJek9hbYLvDyqRD7crIAus5AaMhU+Ma/I9Jn5VLZ+o1eD8RLz2Ex2hVu4q5dg03g+Uljlj/6Nq1jG0O6Sy3A15u2AeQwi0rkjwuvDu+h3zsnHAdyTKVUgyjozIdRUpJFRUySaKxGJblMBdZPl7HvrDXFka4SqwtYPy6F66MRBDLEFS4/v2Jqqrbdv/wXvWtk2RGhBnpuZ2m7mrLRJ0+EXrflUoBtnwZraHh1oALVB+NbVYaiCW2FYnJSIVJYiZe77DDSqVDjcnIAuviAMMh0jjVPiZ9ViadKUyVxNJ/CpSXH2Jtb1ViyrnEDDeP5SWOWP/IElMoFRf+o6C85LAPIIlcmao4CW2OcrFzGjObFEk2OUqiiUwmkRplZVQclWU0Go9VkqWTQaJqn9CpxvT6C6MxU6wtYPy615iMRBDrEFRjfrRUen87fJH6d73q0+rD6svqq+rj6jPz9nl9ZvTyQaRFr/rQZ5AtVoNouEFWlpmMNBDLbCsyk5EKl8y0ZaBnueywculQZzKywLo5wHjoOEm8WY8+K5POdGZRxEVoK5OTH2J9b1VnpnOdGW7VykscsQCSdWZwUA94uWGfPwo3ZTS0Tn3kDvnIdXvdujdCMLpRNbDL5Bl26z4KSga8vDb861lQn323yPZVMPu2cBiUDFGjIALgnTwN6p2u22SswHMwCDnbfByUDBR4+AUuVsPnQckYgedeVhWhRHSYIy8Q+5XBGk8iwDUeCNX2GGhm3+X2XX0ZvGHSdCKUThTogls9EkpHC/TBuDOhBs78UGhtZh/qy3TUQEfchkC3ZDb6DTR26TQUkgb6ZKjFfnoggmdD6Sw0kgV4HlnLnlsAWwK8TwcM9IsrRTne0PyAjhnoIls7H0pHCnSU0AOiqiwD1rxCx4hxl5QZILIyj2UoGCSi5jkgmhfaxEneSXCVDhXoBFHnQ0ut8jj1GvUaDelzm6LJg8dDNY4mlF/3KRpGIogtPGio3kGKhtEgGm4QeODqo7HNSgOxQ4mIacMpGkYqnadoGLl0mKJhZIHdIgaNh/QXVfRZmTwXKRpOfoj1vY0IcBEH6nmKJtwQl5c4YgFcKXgJpWg4uWGfPwo3qWPlvWvokI+bE5lS67EcjnVUjoYiUkMto0IdyUiVqRKyEKOirFfRTkWm9NnCiMwMawsYv+5FJiMRxCIEFZnAWnOR9uqLMW67GzPe9pHfYiWv4eRXFpSMNBDraSuCkpEKl6BUPio7rFQ61JOMLLD+DDQceeYdjz4rk870pMpj5eV3iZcfYilvVU9mcz0ZbjjLSxyx/pH1ZGNpOSc57ANIIieSOPNfA8hHbqYoy0IkuS6ikZBlpIrJOBqkOon0SOYDkRZZOd8u7lRRendnjaLM0bYA8eteUTISQSxDUEX5yaJs6P705+4CjQfVfbtDeaKGyG5Oug1O+337sROZ1Yc9e3GM/ehro0P/ZN7uuGOM9pI7e62ae5cH2xSxWkrDLbWy/GSkgVh+EfLzkTeqe4mVCZP6FN4syA4rlQ7VJyMLrPMDDIdZ5v2HqPqsTDpTn1rnsdY+gpd4CSLW/VblZz6Xn+EWl7zEEesfWX6GR/WAlxz2CaSQE/ZqZxU62cjF7vm99i0PnmwssLaA8etefzISQaxDcP25</t>
  </si>
  <si>
    <t>nmvfGK2k4VaCa0+Wa98YjYBYuRHKNbxxykiFSbp6dzx2WJl0qFwZWWD9JmA07JUcoTw8I5POlGvDpW+c9BD+olXdWsx1a7iJJi9xxOpH1q1Nl75xcsM+fhRuaVHGmXfGHvKR6/akpHdP2OjQspGdXGa3/pOSRMDLa8O/npT02XeLbF8Fs28rJyWJEDUKIgAe5KQkESvwRAhCyz7rpCQR6LJaZT0pScS4rEOZTkoS0WGOfgDsJ0XwpCQR4PpOSgrbOlPY1pnCts4U6fykZGPvTDpRoAtu+aQkFS3QB2NPSpbHJyXD/TPpqIGOuA2Bbsls9Bto7NJpAP3dKicly43TA9FwUpLKQiNZgOeRtey5BbAlwPt0wEC/SI5y8ixQYXZAxwx0kS2elKQiBTpK8EnJIg9Y8wodI8ZdUmaAyBIVqPo6JKPmOSlZZLkMn5SkQgU6QdRJSZFI82Rpr1Wv0aA+tzmfInRUsh4pME0ov85zPpxEEHt40Fh9TTkfTitpuJXg4SxHzofTCIhdT0ScHMz5cFLpNufDyaS7nA8nC+ymM2A0hIrzQM6Hk8lzkPNhpYfwF22ElPPAUsybVIqGJpWsxBGrHzkaasj5sHLDPn4UbipNYhXI+bCRm/V/H490kQ+KKJso89rBZBgNj8y7cpDliShGg1yOrnevWgNnL+uSV4QtYPy6V62MRBCrEFy1nq2Uv21V2XHC6HZv0az8vhNnT360kKV1k5/Z54c7pUiTJNmbfWo+3LBvRbhYntNYGm4suHj10dhmpYFYgBHyM1Qsz8mESX3OCz7P6k9GLh3qT0YWWAcIGA8ZS+0tAuizMulMfyp7WNO783KJlyBi7W9Vgc5bTYqGVpOsxBELIFmBqqKMc++0PeAlh30CKeSMztRx6V3wD/nYPb/3fxSh05pCYm0B49e9BmUkgliHoBq03fs/OMlrOPmVNSUjDcSSitCU4S1NRipMojJ0/wcnlQ41JSMLrEcDDUfhz5T2WZl0pynD93+w8kMs5a1KynlrSdHQWpKVOGL9o0vK0KAe8HLDPn8kbqEF8pCP2/N7aXEROn0pUqwtYPy615OMRBCLEFRP8l9azGkQDTfIyhqTkQZijW1FYzJS4dKYoUuLObl0KDIZWWCdHGg8UhFKnDMy6UxkNlxazMoPsb63KjLnfSVFQ19JVuKIBZAsMhsuLWblhn3+KNxkEfsXyEM+bua/v3IE1fWFePzLJjXZ7ulJbxm70ZGqga7O02W6XZ2eVKHTk1TAy2sFz+nJJ9UDm7V2W44fzL7w8MQxSnfmcfoz8+99Jxrt92bp7sf2VQ9s9eL01z7iW2TiCka8jWONVIgaBREArz7WWG72Sn9RyDYZK/D4BkJ3BvPlRITAwxpwOdlwnpGKEXhMY1WZSESHOaABsJ9KsywOCkAixjUeabTNH0VWH2QUzS0fyfSA3hB/kDHLwgcZyWiB7hB5kFEct3wUDS0fyaiBPrEN7WzJbPQbaOzSaSgkDfxBRnHc8lE8o+UjmYVGsgDPI2vZcwtgS4D36YCBnpAcgMgk1YEDVwd01EDviDvKGF5TXqYjBfpI6FFGmZWh82tX6CAxrpIyCYqiyLVIgzeCU4HzHGeURZElaRG4GusqHS3QG+JONIo8T7WWcd2nZwntNRpaC3eixsMyywbR0PxrC8iHUZFMhlGS6ERnRSFKXTvMYPDbEPVTA+DgoUaNownl5wuTG2hhQmUfkYusRBBbbdAQ+sShxieuIPwdd0rx7Vkd+OxqdHuQ7475xnvuHqBH7qWP7RFGe/vQ7AW/m530MwH07BfNsi/T93ru0N/d6Tsnv3Sr+m3136LTgXr13QuX//zq5nF4Hh3H58bRV3+y0bv9q9Ob9gfN+yfV1/NLiKa/6olIbOrpzzdtzfodR+Bh9SQ6fcX7Zk9tpiKUYthiHToNHzp4hL0YvZdee334WrT9+uSnr7/Z07LobV+7sn949cKV3pULB/0Xe1FP91yR/vUbdgynfzd9N3ZlVjfNoJrxqW73/qyXbCrdc9a5fkP1TLi0KXI7HnH1aMN+7896oszUZh4y4DarARG7rfCwf/oLf5HZS6xUWNJN3nV1h5VHh6kmRhbYrW7IWJjnxH9ots9KpbNcU8MhTU56CP/XRri8CJrn/TFFQ39MVuKIxY8c6alSB0b1gJcc9gGkkCtzqaWJvEIHNbn4OSWux2U+VoWORuOJLYAaZlE5UONIJ+MjLWU2GR7VA9ypEvfueBslnmFtAePXvRJnJIJYieBK/KzydfVNZ05rzs5iHmz1/rz/5xd6h+YPj99Y3Pn5y9mloEbvPjJfc7/invkw2UwbTmkyWkrDLYUQvi6EsHGJjQpuV99Vj6OTJjrfq/7ByNy3DOXb07fP97Tt6eTeSaeDN5dt9d3cVt/ZIOZez5nfBA7GbsVCOf/jLLI4b197HGPYG11mh2Q3e+4e1QcuJLFx1O1ZWHW3Z+MQV6322PzlWy5jaYHfcdp7cfvq+ZmO71Ufmt9nY6IHNm46vz2ZjP/mzUHv4PXXJuM33njltRuDH/eKJEsMpqu9y6/8+79+s7f12o3R6+M3x72DK/s9FxZYbX/Txlq/OW+/8Jmsc5y/lQbC71Lz7iv70R+qW6HcHOOkQPgzuJgP5/AYmfBo+ThJfVR2WKl0KOcZWWDVBGA4lCrzWPib7fRZyTwPgp6THsKNtiro5w1KRUODUlbiiAWQLOhFnoWG9YCXHfYZpLDLS6HKUgbK4w75CC5KyOoxVNc7LSHz39NoZHveyFcv8+2qhizzH564SAYMzJdDZberIZvvds/Op57axbZ31vku5Z+pqXrX3ChEe5x18WJAIRmRvYKxb6WQjAhRoyAC4J28Hz8kVolYl9fh1QvJnnE/PhUoMGOO0pjBejIiRmCufFXxSESHSZID7Gf+WBEr7cPYJ2NcYz1ZMS8ly5tLyajMgF4RX0omRUjl/ICOFugVsaVk+XEpWbA36WU6aqBrbENKWzIb/QYau3QaQB+3SilZvnF6IBpKyagsNJIFeB5Zy55bAFsCvE8HDPSF5HgkzctYev33AR000C/iKsnCS8rLdKRA7witJNNFyJpX6BgxPpIyBUzQVhYy9rfbPiTj5qkjU6n5myqQM7pKBwv0hLgyMpkmWmex9lr2Gg2sRXs0FjI7mkyiVB4lNs81jgYikdGRyDIxGCXDYVl7nWD82xD9k2PgYBlZgeMJJeiLlBt4YaJlH5GLrEQQu27QKPrWyeh4cfG7+5qLkO9N37G5mN4Lwfvxv6w+qX7z/Z5IEpdv6f3vl93HLw5e/5vezuuD/9RLhMp6L7724x//zfhGD/wH59+5axMw7vLTWYjuLgm4606F2dZ49ssPfSOxxToSGj4S8HB5nhz7xhjja9sP0GWmfvaM5FVsM1y33DZGXfRnewQ+mb5r85DHlynYbJtLW81efnJP5PEsU/mwrgy8fb536bIdQs8fdK/ME5XZ3+LLVkX4dBXjMCF2a1vcKWAkxJS1CtWgMTLpMGnFyAK7YQ4YDSnLPJal9pHps5LpLGmVKhXnXoKXeAkiHGgbsfYi4p43iBYNDaJZiSMWQnqYGBzVA15y2IeQQs4GQKUM7Bse8vFzSasT+YOgWH9jPHrzlddueDiTtLry8TQyvWzkmS3zDCWrwmgxCvw4X+WFe5EMd3lGNRgXqrPdpakfGGlrdJ1t5Ww+u+nqhx5N3++5rs0f2LtVj8ubpu/7OBlZW57vk4mdWQHDzFZbAGeb09K/G71Lx6/w+OG7jBb0Xgj0Hh20xoMGbypazPshzPt0zPBHgLymZnmSJCp8ATYR+plNpWdAB+8rpUWZqzj1wr1KhwtfyVE7S3li4Jax9C6N12hw3cy4vvA/nVVPBO6zuSBkU6MenRdBo8PAEp1RHIioLpLxAhNEUG/0R1fjYPdR3B2MJ5xRwBXVlRFPw7stVGbLCzpjXQQVokZBBMCrvnJ1Ebl/lmyTgQITQYitjlBlLhUhMOuD2bsIVkNQMQLzPSvuSlDRYTI9APupLM68Y9wnI1xfLYQUdS2ETBprIcjMgD4OXwtRpFmwFoKMFujkkLUQMlnUQshg78PLdNRAV7daeDLfmZHJRr+Bxi6dBtCvEaKUeS2EwX56IMK1EGQWGskCPI+sZc8tgJ0JW8iAgS6QvMklVJqLwJJ5QIcN9Iu4aojwovIyHSnQO0KrIYSWSR6w5xU6SoyXpEyDZ4SuVNw89RDNcSsZK9AZthm0krA6CZ8fjVKd5pF5oY7UyLYyEAMRZVkxVuVwkB0d1VMmGM++Omi3GiIYJZqotqn1l4cmlJ8v8m2ghYl+fUQushJB5HKgYfFHZ0NfV5Vwb+ly2urevM/qb1yL1m9t/NyrPrPHgE1EfS/UAIvTHBpuDkSg6reILQJwtw39wpUHuLMXJyyx2XPnoY8PwprvxlJHMt10P2ZfZX/Lj2xZh/vC19a6PzK/v/51m7M6k1n7W1eXYI3eq+7U9wbfdi0jbtsNCzc8l6PF67+tRyzqySR0cHqbdSQQubY2InFGJjzVBj4eO6w8uqs14GSBTXMCxqIp+mdk0lmhQamT8AFZVoYI79RGJLuIZ+dNYWVDU1hW4ojVjysI46SHfQgp9J4VXHDxm9UanBCJQS3carGBl6YRwbKRZrlMs5tSAy/Yi2Sw8CwrVMN+6fI4j0PVA1Ke75PRdl09kIYWMCp+hccP35erqwf8oPfooDUeNHgbrq4e8GPep2OGz2vyKqlSnRVCxknpw35Ixs5WPiDyQhZZomPtvY35Kh0xfHlGbcZIKQqtRB5n3hNr12iA3fy43qV/CW6zpE3wiyRobzBakocJ1g4Q4cKfRaiP+afFpQn2xMG9ngu8TQw/qxR4Om/mM2vq+N78sl97YGNWZfDYR9D4ptT6JiLLrn2T2jTvcvMuFfZdZt6pxL5L7bvCvNP2I12EfBiVZxc+TG3uWXJ7ltyeJbdnye1ZcnuW3J4ltxcit0cnp/HksL5Obe5bbvuW277ltm+57Vtu+5bbvuW2H+K2T+cGfw75fCIR+xp9IhUx3KW07BMpgE/4xA7r6mRDBkI1spBBs8PAEv1iQ10dES+w2ADqGL+Y3R1UfTerq/uFO3F3p+cuvX/qttL/NNvMtuftFldLzq/Xv9+r7roGyd+YF7zn96H33I2XMy+6aV9yz22gf+MuzbSXUj6pHvReMJ/bnfAnp6+vrD6qbrmfue26ADy0f/DD6hOD+qvq99UncwDx9+d/wZJ54i6af+i+8iR0DynV/Mu+jLP4jwhRoyAS4W2T4QHrHRCJhmecbqQCBVY4IPIIDZV/RIzA2oZVcwREdJiaBoD98sx/A1+fDHCNhX+2qZ6cN9WTzU31yPSAnnhBD6yCZBEu/qOCBXpibPHfcU892dBTj4wa6I9Xi+AWyRLbUy9MY5dOQyFpwAO0RfHfcU89+YyeemQWGskCPI+sZc8tgJ2NsKiAgc6QnncSsfLK/gM6ZqBfxFX+BReUl+lAgc4RWviXlgFbXqFDxHhIyvgXRVKUcea17CEZNk/RnxQ6UaHk91U6WKATRAXVaZIKGTLsNRpWC3akx0elGbJoONY6UsNxERVHwzRKJrLIBvJoOBzoGZ1gtP3qoM2qv4YY1sTcGkcTys8XlzfQwsTmPiIXWYkg6iqgQfs/24jY3XJzb36RsL2B56mL2l0Xj3m139cuarbVb7PP/+hC+XfN28/M21uzl9t4ft7644mNuj+uPomqL02M/WH1efU78/4P1VebvTQJ97PjNKCGG3DlmJaRBqLMBBH7BkbkJVYqLFV2SZz6mOywMumwzo6RBbbEBzAaMk2Uj0iflUhnZXZCBvbvL/HyQziDNiLGRdw4bysnG9rKsRJHrH70YCc0qAe83LCPH4WbLMoidCLmkI+eE6XjwTg9GpYiyko1ilQqVVSk+TDSo6EciKxQST6+3r0o9drCiNIMawsYv+5FKSMRxDoEFaWfzi9jdGcpqkdWX07fmf56+kunLV/o1fcxPp1+YOSmEa3f/5HVpCboC3eL4zSBhptgZVnJSAOxsCJk5bNSKoyEWMRl8MJITiYdiktGFljvBhiNQimvn+6zEulMXObhAxyc9BBreqvact7hTDZ0OGMljlgCydoyNKYHvNSwDx+Fmi5F8Nj9IR+9eXOzetp2XEUUEo+Nl9cXapltR1VEabCKiIgXmLWEar9/tvdyW01Xd6N1W5J3jBx8xx1+ved2GG2F0LwQaLbVaL9tPpt307WdaX9df+dkOY87YOsKgGxx0nczIWm/eG+2q+nqfB5Ofxnbu9ef9ESToCTaS8Hs1UrZDxGiRkEkwtsmwwNmOhEaNXi+mIgQmNfEiM5wvQ8RIzCluaqcJKLDZDMB9jNeSXr3hPtkhGss+LEF9rK0lffJvOqnuf8ZmSPQc+KrfnLRUPZDRQt0ndiyn+P+Z7Kh/xkZNdCBtiG0LZmNfgONXToNoF9bpeznuP+ZfEb/MzILjWQBnkfWsucWwJYA79MBA50hOVrRWRqn3qXzgA4a6B9xdT/hJeVlOlKgl4QW/pi1WwTMeYUOEuMsKXNAJiopg9f/U2Ezlf5kiTAxjvJhvUrHCnSEqMoflSkpY+09rnSNBtViHRbDI31kWyoMxyJSqhxERTYaRoOjvDjSenh0NDmasQkGyA17A9QgOVj409g84ixNKD9fKN1ACxNO+4hcZCWC2I+jxtmPqydRfYDn3qzwxwbHtkP4zemv5jVAX1RfVp+b97+tPq6+si2vPjQf/t72t6o+taU+1Ze9q1uBHp9brBbScAvBw9Y6/L9+A0L8Qoj4NitxxI4lIiAO1wIxUmFK12gfkx1WJh2maxhZYHeMAaOhVRpsP85JpbOETSrjMpSx4eSH8BBtBJKLcHLe3Es2NPdiJY5Y/8gxUHBQD3i5YR9ACjeRF3kZ6MB7yEdvdupbTPLR0SSLxEhK2wasjIpknEdJohOdFYUodS3hOlWqoYROibUFjF/3SpWRCGIdgirVLxf3rAZTOVatijQxosXI1OqR3OxNP5j+fHEWXSTT9xpTOYwG0XCDwIWpj8Y2Kw3EMouQmcG8CyMTJpUZKgpiZNKhymRkgXVygNFIy7jQoXQPI5XOVKYUceF9dC7x8kOs7q2qzHKuMssGlclJHLH8kVWmKmKlfNwOeLlhH0AKN1GmSeyv1DvkYzfbDk2HA1GIJEpFNo6UEEVUJuNhNBrL8kiPijTJ69HtVGR6l6cLRsRgbQHj17nI5CSCWIagItO2qH1iTzNWD6e/6hmpeNspyAf1NX/fuQLz6lb1Weaju8VKV8PpriohOWkg1lCEhHxGeTknISYlmWgflR1WKt1JSU4WWE8GGI60iBPllVp9ViqdSUmh49y7pl3i5YdYw9uUkmlSS8m0oe8dK3HEMkiWksFBPeDlhn0AKdx0WcZa+cgd8pGbV5jr6wuB2GGFeUgrNvZCKMJNt2FgMRrwZIW5DlWYU/EuLxUrVpj/se6j9KT6zm0o3rFF4vPi8SdR9a1RfO845XffXSP50CjBn5mPj29wrrPhd3rC5sgf2t/kY7xFZqxgjNuoEadC1CiIAHjVb5wlH/Rsv/PrN+zxTyPDv3bFCbfNF4yt/8598U8+IttkIsACOoQkDe1qUhECq+VQGjNUTU7FCKyTW1U8EtFhCuQA9muoJqciXF81eSptIbm9rj2117qnui4pT0VjSTmZKNBV4kvKdaaDJeVktEBfiSwpT8WipDwN9qq6TEcN9JhtCGtLZqPfQGOXTgPoBlcoKTfYTw9EuKSczEIjWYDnkbXsuQWwJcD7dMBAj0iPTvIsi7NQfEJFDfSSuJry8JryMh0p0FdCa8plmoqAOa/QQWJcJmUSZCpJsmCvBipsppryRGVlXGof1qt0rEBPiKopL5TKjVmVD+o1GlSn9vOj9CjPZTRMhIjUsBhFQ50VkRgNVDbORK5kPWGCIXHDXgA1LA7VlNd3G4FpQvn5gucGWpgA2kfkIisRxAYcNLL+yDVweOwOUc8uk5wXjtseC//NVVB/7sqlv6g+rf57L5HepXWLlbeG84YHrz4a26w0ENuIiNA1WPfNSYUlj5LEVnidpbLDSqXDPAojC+w2LmA4dKxS73j0WZl0lkbJdeAG50u8/BCreBvR3iLmk/M0imyI+ziJI9Y/cqASHNQDXm7Y54/CTYkkLkLqm4vc83s+MQ1Vfacp1hYwft1rSUYiiFUIqiXXcD6R00IabiG46qy+NXb4pbvw6LEtUmrMRm2z8kMsx63IUUYqLHLUO+V2WHl0qEUZWWB9IWAspE7jzLt10Gel0pkYbTiEyMoP4QZaFaPpXIymDWKUkzhi9SOL0YZDiKzcsA8ghVuRqjTOvWvkIR87p0YLmaRayySSxWgSqWySRsNUiiiXg/EwGWRlbuPWztVo6rOFUaMKawsYv+7VKCMRxDIEVaO36nslb5+oFFoqD3py3Pvmkfn0sbuh/LZ74R3XYufxyW46xxui/2BE6pdWut4yX/y4+qz60GexLVaLabjF4Oq0vo59I802ZfpnelOl1QMj6b+O/bXa26wMESs0Qp8+8j6mL7EyYZGnIk68VHZYqXSoUBlZYB0kYDh0rEvvePRZmXQmUEul8rBE5WSI8A2tSlQ1l6gNHVdZiSMWQLJEbRjWA1522GeQwk7LQhlx5qV3yEfPqdS0yHQxyXU0yoo0Uul4FA3UQEVjISeDMhkNzfvr3atU5bOFUakaawsYv+5VKiMRxEoEVam/m/561qbRHmG8604sLpew9394Obram950Otb11nlSfWNfUafsn9RHHc00N++lv/Zpi9UwGm4YuBj10dhmpYFYcOGKc/qL6ds+Ki+xUmGRnKEdUUYeHepNRhZYXwcYi8YdUUYq3QnOWIfUJic9xBrfqtqc92hMG3o0shJHLH50tRkY0wNeatjHj0JN2vuW05DS5GI3P+RYL5NG3HV5yDGkJbNGtsUy244OORZ+vBfJeJeXihUPOd4ySu6uVXYnijHdXQl3rOybvmfz6e444/1e9WX1SfWbuv/N6ROOH5nvfLpp+3h/VN2afU2Gr1GjUlcw6q2cdiRC1CiIAHjVP9mu6JF3k2ebDBN4cgOuN8NnGYkIgac04DKy6SwjESPwfMaqEpGIbtn/rHiWUeVJrL2HR/pkiGs8zJjbI4y2P05azs8xZs3nGKkcgd6QcI6xEOFzjFS0QHeIPceYHZ9jDLZsvExHDXSKbWhnS2aj30Bjl04D6OBWOceYbZweiIZzjFQWGskCPI+sZc8tgC0B3qcDBnpDcgCiVSy87vGAjhnoH5GnGIMryst0pEAvCT3FmKU6YM0rdIwYX0mZAVKrLItz787JIRk20yHGPE1LHfufsqt0sEA/iDrFKMuiyGScePcIr9GwWrAjPT4qk6KMhmOtIzUcF1FxNEyjZCKLbCCPhsOBntEJBr0N4T418A0eY2zuAHSGJpSfLzxuoIUJkX1ELrISQWyxQWPnfzaBsi3YeegqzV3k/E11v3o6vVnX8iyqeFyyxdX8zD7/o+tN+655+5l5e2v28uO6INuO1sTSH1efRDb6qz6sPq9+Z97/ofpqs5cmoXLnLVYDargB4eGtj8Y2Kw3EjiMi/A0XoDNSYUm3BPvgcDLpMOHCyAK74wsYjTzRcaF8VPqsVDpLuAgZa+91z5d4+SHcQRtR4yJ2zOcZl4bWqqzEEesfOeAJDuoBLzfsA0jhVtg2OCpUgs7FzqlSVSSTcqSySBU6jVQ+FtFglCZRqpKjXI4niUrrx7ZTVeoNxowqbW4J5LEFjF/3qpSRCGIZgqrSPy7qdB64+8ldUc9bs4N/s9vJn7rUzrvVE/PlU+rTvsSV8+gN8/80SRp64XBaRcOtsrLUZKSBWGrhUrOhsoeRCovUTPynV3ZYmXQoNRlZYD0dYDSEMkt65nXbfVYunWnNPA1U5V7i5YdY5FvVmvOei2lDz0VW4ogFkKw1g4N6wMsN+wRSuIkkFWWcep/JQz56TmxmkyLJJkdJNJHJJFKjrDTCtCyj0XiskiydDBJVO4VOxabXYxixWWJtAePXvdhkJIJYh6Bi8+xNbvbT6n5dPnTTyc9f1bdOVJ/aI4z16cWPq8/r3dHLB5EWveBxRkaDaLhBVtaZjDQQyyxcZzZsaTJSYdKZwSveGKl0KDQZWWDdHGA4bCFRcE+TkUpnOrMo4iKkMzn5Idb3VnXmvOti2tB1kZU4YgEk68zgoB7wcsM+gBRumczyuPAm/A/52Nky8s2Z9+qwfFz7WF4QKmlkWS6z7Kx83DsqF8l4gZVyUP1HLB+3L3E/8dD9xOJrPbu7deo6twfVvWfWk1NtoWC2aKOenApRoyAC4Llq8myzN/s3FvVHef2vkNev33AD6B3Vuz3b5dLVNzxwb7dt9/S6O9I9V8DwxAyY/Za91GT6CxcJ3HYRwT2fZbbJlgEW7SEEb6iEnYpwWctylrBTMQKL81YUqFR0mLI8gP1K2xIuD+xwUjGur4ZdiU3zTtbl6yppLF8n0wN6Y3z5uiqzYPk6GS3QHSPL11WyKF9XwXaQl+mogU65DdFuyWz0G2js0mkA/ekK5esG++mBCJevk1loJAvwPLKWPbcAtgR4nw4Y6AnJkU+q49KrQg/omIG+EVe+Hl5RXqYjBXpIaPm6TkXAmlfoGDF+kjQDlDYIgk14qLh56tdVnglVJnHhdfRX6WiBnhBVwK5FkmVlEZfegqJrNLAuzpNaDdVwHA1GNtUzkGU0OJJpVOZyOM71cCTVcMYnGHc37DRQY+9QBbtq7jd0hiaUny9Cb6CFidJ9RC6yEkFs70HD93VWsPdeuNjf9TrvLVYzargZ4WG1j8Y2Kw3EniciBg4mfTipsCR9ROxd/3dYmXSX8+Fkgd1yhoxGLvMyzvz95vqsbDpL+zSUsrPyQ/iFNiLIRRwp6rSPamjpykocsQSSg5+GUnZWbthnkMJNijzN81h59z0P+fjNuvsMR+PBJC0jrdQoUnkxiQZZoiMlhsWRGA6OUl0/uJ0KVK8tjECVWFvA+HUvUBmJIBYiqEBto77IaNXPXSvJz22vn0+r/+n6+1w+aCg64rSShltpZf3JSAOx+LaiPxmpsOjPcNERJ5UOBSgjC6zzAwyHUGkZl5l3m6XPSqYz/dlQdsTKD7Hst6o/560lVUNrSVbiiCWQrD8byo5YuWEfQQo3IfMiKwO3dxzy8ZvfXzl/MvX1TiuQvLv/RmKmTXRLsUy3owokkfhLpi6SAQOznVCJuNwA0onE+fWU05+Zfx7ZD+veh482l75m20U+dTUsP7cbmPYlPVe7MitqeeL2Nh/Zm9Crp+bje9VdtzH6lmvzc2+mPu1t6Lbo5ZsltWq/PLsu09U6TX8Z92xNTU8a5Xm3etJTiT2h+aiWqXVljXvtd7MXqs2kfmnRcz0s355ttfoGZIs8IAo2ILg6KCO071l9PjPb/drgH0x/bTjctFvElujdUxaszf4zV0nkrBf7iL5IJqpRRCEkZ7dzCjs9RFS5K/Jnm99pZDgbSn9nm0FVf6ru+5hsk5kAc74I5R2sfiIiBGZ44YK6qfqJiBGY211VKRPRYbK6APvJMtdx6h3lPhnjGquflK1+0vZdZt/l8zqotLkOikoUqAnwdVBCZDpcCEWFC1QF2EKo9LgQKthD8zIdNVAatBFGWDIb/QYau3QaQIe6SiFUunF6IBoKoagsNJIFeB5Zy55bAFsCvE8HDHSK5FgszYwo9i6gB3TQQD+Jq4RqWFNepkMFuktoKZTQMgvY8wodJMZrUiaBSHKdpXmchYqhiMB5iqFSlWVS5YE9hKt0tEB3iCqGUlqJotCx8pr2Gg2sU8upSiZlmUZFoo4ipbNBNEiG4ygdyqRUw6M0n9TTJrgF0LD/Qd0GCBZDKRxNKD/fZkEDLcyGgY/IRVYiy0qhaXxW2Ug4vVdwe/qBj+oWK1UNp4qIXH1sjYL+3nHH4V71h+oTmfeq39rKL3cc6OZsc8L92Af21eZHbsw3N1wz49undjZ8xtpmNRZiTxYRHIfTUoxUWNJSInTnEieTDrNSjCywW+KA0ShKqctYl16H12dl011aKs5CWSlOeggH0UY4uQgq5w18VUMDX1biiBWQHAkVceFdRg54qWGfQAq1vChEJmMZOA3Pxs8J1XIiCjFJVVQWuYrUeCCjYZKMoyOtjkbjvJgkk+6LorJgUZTG2gLGr3uhykgEsQ5BheqXNhE0k6fLx+WdRJ3f8vmwzmLdd8mUO7Vm+9/0hvaZYYvVDBpuBriInX5gj5/P9GhPJNP3RKPsZKSHWHQRsjOYk2FkwqQ6vbHuDiuTDlUnIwuszwOMRipzGRf+nbc+K5nORKcMnQS9xMsPsdq3qjrnjXxVQyNfVuKIBZCsOlUR1/LrrOzk5IZ9BCnchC50msWl9vE75OPnZKcc6WGaKHv1/GQYqVIkUTnQwygZjswXCq3SfHi9e9npDTGM7MywtoDx6152MhJBLERQ2XnL1h7ZI5+2ZMddLe/0l9OWx5fL36o+89/Hu8XKV8P5wvWlj8Y2Kw3EMorQkfbqpm/inl8Yv8RKiEdO+njssPLoUEwyssB6MsBYNJcVMXLpTEuKIk69suMSLz/EEt6qlszmWrKhxS0rccQiSNaSwUE94OWGfQIp3LTSWR6nobJ6LnpOShZZIUf5UR4N0zyJVDaeROVIDaO0TJNyUg4G6bheSjuVkt6hNlIyx9oCxq97KclIBLEOQaXk2WOd1W+q31df2UOa0fysZvWh+egrpyp9pLdYSWs46ZX1JCMNxFKK0JPhdDgjFRYlmcRS+6jssFLpUEwyssC6MsBw5CoNZBb7rFS605JJEt6Y5CSIWMRbFZPzfpeqod8lK3HECkgXk8FRPeAlh30EKeTMM1mkAXqHfPSsnGxSie2eyfRqZaMPiwZ2mUyX2a3/TCYR8PLy8K9nMts6k0kcEAUbkOfoTCaRqEYRhZC0JzJ1fZ994MbJbTJc4BkThJgOJvmJCIEHSuAauengJREj8CTJquKXiA5zhARgPymzWIY2SIkQ13justzcFTqx7+z983px/3zRfO6SShTo99s+d0mFC/T82HOXxfG5y2Azz8t01ED330ZkYMls9Bto7NJpAJ3mKucui43TA9Fw7pLKQiNZgOeRtey5BbAlwPt0wECfSA6vGs9dUkED3WSb5y6pUIHesp1zl1SQGKdJmQSFyG0Yqn2wD8mweU5dyizVygRsoUOXVLBAX4g6dJkqncoyTr2GvUbD+twmgvLgmcsSRxPKr/tEECMRxB4idKOgpUQQI2kNJw2PUX00tllpILZBEbFrOBHESKXrRBAjlWXP3kBl1ViYkQV2FxowHNooFO0dkD4rlecjEcRJELGItxHuLYK+eZNg1dAkmJU4YgUkRyqNiSBOcthHkEJOZ1rHOpQH4mL3/Bao56FzkbWNELaA8etcTHISQaxDUDG5coE6J18N57uqjuSkgVhFETryGQXqnIRY1GSgQJ2TR3dSkpMF1o8BxqIp/cJJpTspGa5PZ+WHWMHbVJI6qZWkbuhhy0ocsQbSlWS4Pp2VG/YBpHBTQhVxEShPZ2P3/F6wkYdOOuqmDkxeW8D4dS8kGYkgliGokOS6YIPTDBpuBri+xF2wwUkPseYidGeo9oaTCY/gDF2wwcmkQ8nJyALr8QCjIa1/87fV67Ny6UxzNtyvwcoPsdi3qjnnvS51Q69LVuKI9Y+sORvu12Dlhn0CKdyETHQal95V8pCP3vN7/XAeOhNZV4YgbAHj173oZCSCWIegonOV64c5qWo4VbiwXOf1w5zGQizTCJkaTLNzUmHSqd5Qd4eVSYc6lZEF1ksCRiPLiyzWpbcetM9KpjOhGr59mJUewj+0qlPnPTF1Q09MVuKIBZCsU8O3D7NSwz6AFGq6LKWOs8xH75CPXreHLb3rjRGeaSM7tcxu7YctqYCXF4d/PWzZ0mFL6oAo2IA8P4ctqUQ1iiiEpD1kWdSHLYvQYUsqXODBEoSSDm74EhECT5FgBHLwsCUVI/D4yKrSl4hu2auueNhSiCQLXkdHxbi+05badrnUtsultl0u9bzLpW7uckkmCnT8LZ+2JMMFun7kaUt93OVSN3S5JKMG+v82AgNLZqPfQGOXTgPoNVc4bamPu1zqZ3S5JLPQSBbgeWQte24BbAnwPh0w0CmSo6um05Zk0EA/2eJpSzJUoLts5bQlGSTGa5ImQVmWOouLUL6EiJvnuKWQRWH+arDJJRkt0BuizluKzIAVZZx5TXuNBva5zTIFQgIT7CscTSi/7rNMjESWhULT+KyyWQDNMjFS1XCqiOh0nVkmRmMhNlkRsXE4y8RIpeMsEyOTDrNMjCywm9yA0UhTUZQNaSZGNs9DmomTHsJBtBFNLmLKeZNL3dDkkpU4YgUkB0INaSZOatgnkEJNlmmSqdgGv2f5HfLxe35r8IvgYU6NtQWMX/dClZEIYh2CClW2GnxGM2i4GeAiFlmDz0gPsegiZGcwJcPIhEl1hmrwGZl0qDoZWWB9HmQ0pLDt9EKZIEYynYnOpiJ8Tn6I1b5V1TlvcqkbmlyyEkcsgGTV2VSEz8kN+whSuOmiVGVYdXLRe36vECmCJz8zrC1g/LpXnYxEEOsQVHWufoUII18N5wuXlz4a26w0EKsoQkY+6woRRkI8atLHY4eVR4dakpEF1pFBxqKxqIiRS2dSsukOEU5+iCW8VSk573GpG3pcshJHLIJkKdl0hwgnN+wTSOEmE1mU4fOcXPSe36uNi+B5zqYOTV5bwPh1LyUZiSDWIaiUbOdqY07SGk56ZT3JSAOxlCL0ZDgbzkiFRUmGrzbmpNKhmGRkgXVlgOGQeRbrUC6ckUp3WrLhamNWgohFvFUxOe9xqRt6XLISR6yAdDHZcLUxKznsI0ghZ55JXQR7XLLR6/bYZeljZ/Rh0chOL7Nb/7FLIuDl5eFfj122deySOCAKNiDP0bFLIlGNIgoh+U/uwKXc7NUfKTtRRGTnghk0uxnaSyPD3pD7O8P3dvWn6r6P0zaZE/AYCkJxBwsBiAiBZ07gQrrpbCYR47JKZjqbSUSHOWUCsF+mVBmnXjfUJ2Nc49lM2wkzs50wM9sJM5t3wtTNnTDJRIHqoO2zmVS4QH2APZt53AlTN3TCJKMGioQ24gdLZqPfQGOXTgPoWlc5m3ncCVM/oxMmmYVGsgDPI2vZcwtgS4D36YCBTpEchKVmAS2UD/QBHTTQT7Z5NpMKFegu4WczhQrY8wodJMZrUiaBlNr8eRU4cXBIBs5zODPXItVpqMHkVTpaoDtEHc4s86zMyzQuvWCv0cA6tTwpkmxylEQTmUwiNcrKqDgqy2g0HqskSyeDRNWPYXAzoGHfg7ohEDycWeJoQvl1nzJiJILYbYRuKZxNGdlPTRh3x8S0b9modha12kqkngl0P7SxX/Vx9Zl5+/xHs3D+8kGkTez+oc8gW6wG0XCDwCNdH41tVhqIzVREcBtOJzFSYUon+Qs4d1ipLHv+BiqrBsuMLLB72YDhKLM8VkkoqGbk0lk+qSgCNztc4uWHWODbCAcXQeG8U6Zu6JTJShyxApIjmeCgHvBywz6BJG66THRcerczD/noPb9l7mXocGUdwiBsAePXudDkJIJYh6BCc+Uyd06+Gs53VR3JSQOxiiJ05DPK3DkJsajJQJk7J4/upCQnC6wjA4xFY36Gk0tnUrKhzJ2VH2IJb1NKZvNWmVlDq0xW4ohFkCwlG8rcWblhn0ASN1HIQgTv4WPj9/xe1FGGjkxmzT2cPLaA8eteSzISQSxEUC3JdVEHpxk03AxwiYm7qIOTHmLVRUjPUH0OJxMezRm6qIOTSYeqk5EF1ucBRiNPShWnMiQ7Gcl0JjsbLupg5YdY7VuVnfNumVlDt0xW4ogFkCw7Gy7qYOWGfQQp3FKVZjYW9E7aQz5+z+9FxmXoeGUmsbaA8etedjISQSxEUNm5ykXGnFQ1nCpcWnZ0kfH1Gz57bbPaC7FUI7RqMN3OSYVJrHrj3R1WJh2KVUYWWE8JGY0yVYWI88TrDfqsdDqTq+HLjFnpIZxEq2p13jMza+iZyUocsQSS1Wr4MmNWathHkEJN5EmhVBor7SN4yEfQ/PdXM8laT92gHn1jPHrzlddueFgT5Gho/zNtoKlLuUwzdI4zjBWjMedHOb1gL5LBLs+nBsMCdeSt+uTjQ6MZvEfkjFxMz/fJiM8sa2HIq61qs0NJmW0YV6jQMkYlofAk4EdKLPI9i3wvhHyPjlzjkYOPkVjg+xb4fgj4Ph04fKqTV05dJJlUgezZIRn6mYMEz4AOPktgVvmskNLILx/gq3TA8PUadZxAJyJXKo/9avEaDa+bHNe79DehYwKZaoR/ph11Rx7HD/ciGS78QYT6nH+y5fzu8LmttrrnDqBXX1tHNH1/dnjb1fnMqv7fsy+cZc7clxfeKngeP1PWXxHZdu2vbG/T3J6fza3nygvrvoIqnMqpC/eljfsyRPYskT1LZC9EZI9OROOJYL2ZNt7M8Ni3PPYtj/0Qj306D/gzRXZuaaGk8RVF5oN+SIbO5txkLlSel3HpBXyVDhjuHFDOLU3KMkmMgb1p4Ws0vCd2UK2X+MsmJ9fe7TjWcYR8nG5kcSZ4DPm4Fm/Hqe/I8eG9SMa7vOqveDnOH63DcnfGfDe/0Kbn7q2xdSBPoupb4/necT7svvnYbkh/MP2Z+XjJxd2eX1HTE73pTfuj1Xc+3ltk3sueoZU7aHwQXyRD1CiIAHjVV8bST3vVrUh4Z9E2GSrw/DtiIz9YdEJECDzsjtmfD14KQ8UIPOW+6s47Ed2y617xUhhdBFrh9skI13clTJbZi2By+84K2czeEJMn9b0wmW68F4bMFugX8ffC6FIFr4UhowU6RuS1MJleXAuTBbvDXKajBrrH1SKiRUZCb/QbaOzSaQC9HSEIml8LY7CfHojwtTBkFhrJAjyPrGXPLYCdjXaogIFukZzcEWWRx9q7ih7QUQNdJe5emPCa8jIdKdBhQq+FkboQAXNeoYPE+E3SJDARl5kG/vDxkIyb51YYm0UPbTxfpWMFukJUnCu0SE2Y66+Fu0bD6nQUqCTO0glGwK8O2ixzc1FwMA7OcDSh/HyxcgMtTLzsI3KRlciySmgaH2AgzXa6gtEMGm4GeNBaX637wG4CzCxiDHBvxrQnEmsN/2HlbVauiNqNNqJeRiZM1WtJ6KwFI5UOy9cYWWBrZwDDoctY+AVCn5VKZ6VrTSctOPkhVv42YsRFpDjvY5U19LFiJY5Y/8jhTdNJC05u2AeQwk0W9v4m7WN3yMdudlXMZJAOdHEUFUlaRGo4yqJhNhpEIz0Rw4GUxXBwdL17Aep1fUaA5lhbwPh1L0AZiSCWIagAvWUEl205cNseEbBnBu65aoWHtcqsz1nUlw9WX5lvzwoW3rWCtFf9j+m75kOj26Zv+8yxxWoODTcHXIh6OBp2s3SX7TpQC9S6aGP6q+mve9ZqvdnBFPN2r1cm7oCCVe6P0uvXb8hkcQBDF5uZMN+9E1ePNnrJptwQm0n6Z0JuJnnP/J13qq/jppMajNZELPUYqZv6mLzEyoRF6iaxSLxcdli5dKh1GVlgXS1gPISMk9zHpM/KpDOpK5KsVLEMqV1Oigg306ranTfayhoabbESRyyBZLVrUMhYe4f1gJcd9iGksCuzUstYei/eP+Sj5wTvaJSOjwZyEg1KmUdqkGVRoeQwGstBMdRJUg5Gzyqs5RC8XqdhBG/TXeNeW8D4dS94GYkgViKo4P3ECLh7i53F6U3X/+rm9FdziftF9aU9b1v9tvq4+qpnXv6h+fD31R+MUv7UfOmT6svehS0hvK5ni9UYGm4MuNz10dhmpYFYZBE6M3wimJEKi9AMnwhmZNKhzGRkgfVwgNFIiyQu/RUDfVYunQlNGW7nysoPsba3qjKLucpsaMzEShyxAJJVZnBQD3i5YZ9ACrc8Ew1313CxcxIzL9TRZKiLqJTDMlJjnUZFORpFR8PJxPyeYjTM1pHUVz5bGIlZYm0B49e9xGQkgliGoBLzd9NfV1/PWpD2qrtuH3C5DL7/w8vRVdvU02a9p28ZEepae9b7rq5JqUv9Gy9g3qf+Z3mL1TAabpiV5SYjDcRqC5ebtljDR+UlViosctMbyOyw8uhQbDKywLo6wFgokcQytKnJSKVLrVn3xzirNTn5IRb5VrXmvNdL1tDrhZU4YvVbRWv6B/WAlxv2AaRwK+z5fhWqueViN7snUR3l+WicRkNRFJHKtIwG6dhe6j04EsNscFTo0fXutab22eKCqO9sQNgCxq9zrclJBLEMQbXm2Z6C9Uamv7Wg2/S0xzWruzaFHZl/7pvvPq1fdd9843HT1Yqc1tFw66wqODlpIJZcuOAM729yUmERnOEGg5xUutOcnCywLg8wHEWc+1uZ9VmZdCY5syJWge1NVn6Itb5NyZnPe8LkDT1hWIkj1j+y5AwO6gEvN+zzR+KWGKnlDQIP+ci5uw43F87LCskOL+cI1ITmopFtvsy2o8s5stANVFS8y0vFipdz3HLq7pv6no2ZKAxdOPVl9Un1mzrz7buZ47/Ov6uDvU62yLwVjHcbl3NQIWoURAA8d4bLXc6RbborOtLZP2r2jzfS3CbDX16L+S7soCIEnkKGy8uGCzuoGIHnj1fVjUR0mIPHAPul5g8Gr+ygYlzflR25tHd0pPUdHblovKODTA/oHvF3dOSiCN7RQUYL9I/IOzpysbijIw82hrlMRw30km2IaUtmo99AY5dOA+j0Vrijw2A/PRDhOzrILDSSBXgeWcueWwBbArxPBwz0hOSIJBeBRfOAjhnoG3E3dIRXlJfpSIEeEnpDR16UAWteoWPE+EnKDJDGcxrcufLhPiTj5rmgQ6apSDIdl95K7at0tEBPiLqiQ+os1VrHuVd7XqOBtWhHenxUJkUZDcdaR2o4tn1Th2mUTGSRDeTRcDjQMz7BQLhhB4AaDIfu6Kjpg2lC+flC5gZamLDZR+QiKxHEths0nv5nExnbk5APXdW4i6a/sUHc9Ob8Ko557bgr+nEpltnnf7QpmOm75u1n5u2t2cvnCZb6Juhbtqg8MoH4V9WH1efV78z7P1RfbfbSJLTnv8VqQA03IDzq9dHYZqWB2IVERL/hLAwjFZYsjPIncndYmXSYhGFkgd0EBoyGUFlipYN3TPqsbDpLxAgZa6/auMTLD+ER2ogdFxHkvO9U3tB3ipU4Ygkkhz3BQT3g5YZ9BkncijQvQ7VNh3z8nDQtskKO8qM8GqZ5EqlsPInKkRpGaZkm5aQcDNJxvZp2Kk1DmZoUawsYv+6lKSMRxEIElaZnq3+q31S/N1Lyi+rzqPrE/uN05SfVV66c3Ed6i5W0hpNeWU4y0kCspa3ISUYqLHKyoaiHkUqHepKRBdaXAYZDFVlcBst6GLl0pyaT8LFFVoKIVbxVOZnO5WTaICc5iSOWQLqcDI7qAS857DNIIWceyrIM3OhyyEfPlvZszootOizpSX0sjVBUjSyLZZadlfQoH96LZLzLq8R6SnrqS3Uf19uRH5nvfGrrTMxHt2Zfkw1VPUTqCka9laoeIkSNggiAd1zVk8/qeLwP+TYZMDB7iZCewToeIkJgrhKuKJvqeIgYgVnKVaUiER0mPwmwn7LZPW85WZ8McY1lPK6PpG2/k+fzWh7VXMtD5Qj0i/haHtt2IljLQ0ULdIzYWh51XMujGmp5qKiB7rENAW3JbPQbaOzSaSgkDUItj9o4PRANtTxUFhrJAjyPrGXPLYAtAd6nAwZ6Q3IUolXs75x3QMcM9I+4Wp7wivIyHSnQS0JrebJUB6x5hY4R4yspM0BqKfI4D5z7pcJmKuXJk9w2TfeCvUoHC/SDuEqeUpcqibV3PlyjYbVgYZkVSycY/jZE/NQQOFjIo3E0ofx8gXIDLUyw7CNykZUIYp8NGkU/h4U8jAbUcAPCA10fjW1WGohtR0T4G868MFJhybwEbmTYYWXSYeKFkQV20xcwGllZxKXyUemzUuku79JQxcPJD+EO2ogaF7GjnqddGvq1shJHrH/kgKepioeTG/YBpHAr8lLGWeg8NRc7p0pVkUzKkcoiVeg0UvlYRINRmkSpSo5yOZ4kKq0f205VaaiGJ8PaAsave1XKSASxDEFV6R8XFz8+sGesb7tbIt+qHk/fr++ArG/nebd6Yr58Sn3al9hXSL1h/p8mSdKQzmG0ioZbZWWpyUgDsdTCpWb4qkhOKixSMwndTM7JpEOpycgC6+kAoyHSMs4Lr9vus3LpTGvmxl+FSnw4+SEW+Va15rzbY97Q7ZGVOGIBJGvN4KAe8HLDPoEUbiKRogg09znkoze7LnJSJNnkKIkmMplEapSVRpiWZTQaj1WSpZNBomqn0KnYDNUBNXcC8tgCxq97sclIBLEOQcXm2YJx/z2RVln2qk+rD91+5sfVZ+bt83p39PJBpEWv+tBnkC1Wg2i4QVbWmYw0EMssXGc2bGkyUmHSmcFickYqHQpNRhZYNwcYjqyMi+CeJiOVznRmUcRFSGdy8kOs763qzHmfxbyhzyIrccQCSNaZwUE94OWGfQAp3AzOLHwukYud1ZlN8rHdAnLvgmOEY9HALpPZMru1F5AT8QIr5KC6by0F5ETqCka9lQJyIkSNggiAZ0R2XUAu5KyCXPsQb5MRA2vmEHozWEFORLgsJVkryIkYgbVxq+pDIjpMVRzEfkkRriAnQlxjBXm5uSuKxL4T8wryormCnMoR6BhbriCnogV6RmwFeXFcQR5stHiZjhroH9vQzZbMRr+Bxi6dBtDXrVJBXmycHoiGCnIqC41kAZ5H1rLnFsCWAO/TAQO9ITn4aKogp2IG+scWK8ipSIFespUKcipGjK8kzYCizGL/CfxDMmqeAvIsTRMdrh+nYgV6QVT9eFbKRMaZdzm4RoP63OZOVLB8vMTRhPLrPnfCSASxtwaNoTvInTAaRMMNAg9bfTS2WWkgtg4RsWw4d8JIpevcCSOVDnMnjCywW7eA4RBZnCrlo9JnpfJc5E44+SHW9zZiwEUkOO/omjd0dGUljlgAyeFLU+6Ekxv2AaRwE0obfeVdIw/52D2/9eAqVA9ezwCELWD8OpeZnEQQyxBUZnZUD85pFQ23yqpak5MGYqmFa81wPTgnFSatmfqY7LAy6U5qcrLAejrAaKR2Y8S7M9JnpdKZ1GwoB2flh1jj25SaxbyTa9HQyZWVOGL9I0vNhnJwVm7YB5DCTaZFGatAmQ4bu+f3QgwVqgYvmhr4eG0B49e91GQkgliGoFLz+bsQg9OAGm7AlVUpIw3EqgxXpeEdUE4qLKo0eCEGJ5MOVSkjC6xThIxGlsahDVBOKp2p0oYLMVj5IdxBq6pUzFVpQ3NUVuKI9Y+sShsuxGDlhn0AKdxkorM48bI75GNnbyE/seRbsdnhbeTax9boTtnENkmW2XZUTJ77M/8XyXiBxXJQ2fhF9bWRfLeNKLTl5PNScpcXf2g+NVpwpiPvWmFo9ynNK+9X31qhOH1n+uvpL81nj3pWZLr68ttGOz4JblMSKSsY5TaKyKkQNQoiAN7xLeReh7tNRgosl0PIzVDxOBUhsDgOoyKDxeNUjMCyuFX1IREdpiAOYj+hYxnajSRCXF/xeJHWJeOFbCwZJzMDuj98ybiQZbBknIwW6P+QJeOFXJSMF8GeiZfpqIFesA21bMls9Bto7NJpAD3bCiXjBvvpgQiXjJNZaCQL8Dyylj23ALYEeJ8OGOgDySFHquPCuz16QMcM9Iq4kvHwivIyHSnQN0JLxkWmAta8QseI8ZCUGaBEmsQqFJgRUfOUjAtV5CJQlH+VjhXoBVEl46JMEhFn3gl7jQbVibnhoBgV40mUHw3ySJWDcTSwbbgmeSnKvEhGsqgX6mCI2xDcU8PcUMl4/SyAaUL5+YLhBlqYgNhH5CIrEcSOGjRSvuVSI09N5FvHyXdtNY9Lp7hw2dXsTN/zH8W+V33Xq9Mt/8MmX2xoPX2rV31W/cY7zFus1tFw68AjVh+NbVYaiN1DRDgbzp4wUmHJniT+csAdViYdZk8YWWA3bwGjIdM40YEj2JxUusue5GUsch/BS7wEEYt9GwHhIiyct3EtGtq4shJHLIDkWCY8qge85LCPIIWck+n++7AO+di5/MkJuRVUlW+MR2++8toND2OSqPR6AyMoVSNPscwzlDkJo8VoxePkiRfuRTLc5fnUYFygIvwnowVvzo4QTt+v7vWOEynT9+u6mcC1PEspFh9RowDV+T6Z7ZlFMUx3tTWx3lS1PR2LwrwrhX2n7Lt8c1cm/u3VXToxhScG3zazbPYsmz3LZs+y2bNs9iybvRCbPTobjWcD3j6zZPYtmX1LZt+S2bdk9i2Z/RCZfToZ+CNGXrFFmalEhLdWiNDPbK08Azp8dyWXMlEy9jdOvEoHDPcVyC0WA0mpWHpX32s0vCcicus0OisWkME9FN3IIg1aHQaW6O8afB4RLzBNAnV4n842LqoH1tO5nP/P3UGlZdd34ta5E6/2FhfMXnSnJ20NwUPzzQ98FtgiW2DZW3DWDhAhahREALzj2gFvvfo2GSkwb4LYbAnWDhARArMk8D2UptoBIkZgfmTV3REiOkxmBGA/qU346PV9fTLENdYO2K7lxbxreaGbCwio9IAuEV9AoKQMFxBQ0QJ9IraAQB8XEATbtV2mowZ6xtVio8VOkd7oN9DYpdMAujdCJLQoINAbpweioYCAykIjWYDnkbXsuQWws4EOFTDQEZI33VQZp17PeEDHDHSNuAKC8IryMh0p0EFCCwhULgLWvELHiHGTlBkgZF4ksf+yxEMybKYKgqRMdR6oQ79KBwv0g7j4VkqR5nHhTcRco2F1cUY5KI8KOYy0Hg8jNcyOooEaZ1Fa5ELqUVpOiq6vnXP/+mia+DfD0YTy88XIDbQwcbKPyEVWIoi0EjSA/uRkKHzHFQJ8U+8KP6m+s1+eflDXCVwdv/7qa6PXXu9duXC5VyaJrkPlT6rPqi98xthiNYaGGwMeqPaqLwz/x9W9JQuc3jIwjKNks3dh7+r2zoWeO4P6B/ODH5t/f199Wv333mmzfl59dP36DfPtb2c77qfs6z6e/up8T5g/4k7B3pze7NX7+PfdLoY9DPuB+Q3Tn7md+7fPL0bAZ/VtVqsjEnyIoDtc4cBIhanCIfUx2WFl0mGFAyMLbHoVMBp5HufKK7T6rFS6q3CQSUDtXuIliHBFbUSsi7h13sWyaOhiyUocsQCSg63wqB7wksM+ghRyZWpLvJWP3SEfu+f1Jmb7b6gKIsfaAsave0nMSASxDkElMf9NzJwG0XCDwGWxj8Y2Kw3EMtuKzmSkwqQzQzcxc1LpUGgyssB6OcBwpEVs/I2PSp+VSmdCs+EmZlZ+iPW9VZ0572JZNHSxZCWOWADJOrPhJmZWbtgHkMIttTcx+2ucDvnYddnFUgaFY3OnknyZ3dpriYh4gRlTqO5bZy0R0QIKZoFWaomIEDUKIgDecS2RSGfNLL2Zk20yYmAqFSE7gzVFRITLipK1poiIEZgyXVUmEtFhkqUA+2VpHufe0rY+GeIaa4psM8symdcUNfexJNMDusaWa4qoaIG+EVtTdNzHsmjoY0lGDfSQbShnS2aj30Bjl04D6OZWqSk67mNZPKOPJZmFRrIAzyNr2XMLYEuA9+mAgY6QHH4oFfsvUjmgYwa6xhZriqhIgQ4SXFOUZQFrXqFjxLhJygyQhS50nGsf7EMybJ6aIpmVQuVxGqopooIF+kFUTZEs8zw1kZc3F32NhvW5TaCEz9SUOJpQft0nUBiJIDbYoIF0BwkURoNouEHgQauPxjYrDcT+ISKSDSdQGKl0nUBhpNJhAoWRBXb/FjAcpY6zLBRBM1J5LhIonPwQ63sbYeAiGJy3siwaWlmyEkcsgOQIpimBwskN+wCSuCnzTCqvtDrkY+dkZlloUY4meSSGAxmp8UhHg2SgIzEpJrmaiFE+GF3vXmYG0i1lc68ljy1g/DqXmZxEEMsQVGauULqePrt0ndMYGm4MuMQ0VG7XkttVrD8BFLLXFwbemb7vmjK57Jf57s/rHzN63XVdemJ1us1s3XWNmh5U93v1HYKPe57LYxoq43nq4NPeC7MeUjai+L79Gyd+w63qN+fdSCeuvaktxvcM+DbrgCN8URtinJMKkxj37lTssDLpTotzssBKAcBoiNJ4vDT3cemzculMjItEB8vmWQki3GCbarycd/ssG7p9shJHrIBkNR4e1QNecthnkEJOJklplklviHzIR6/bgiavFzAKu7lvVLHMbt0FTVS8y6vDv9yCJqoFFMwCbRQ0USFqFEQAvOOCpkAhExUpMH+LUJyhQiYqQmC2Fi4kGwqZqBiBedpVJSIRHSZDC7CfVLkKHM7qkzGur5KplLaSad5eqRSNlUxkekCf2G4lExkt0CkiK5lKsahkKoO9Oy/TUQNdYxui2ZLZ6DfQ2KXTAPq3FSqZDPbTAxGuZCKz0EgW4HlkLXtuAWwJ8D4dMNATkiMPVcZa+zAf0DEDfWN7lUxkpEAPCa5kykXAmlfoGDF+kjIDhJS6KOLMWx10SMbNU8okEqUSW30XqGUiowV6QlQtkxBZlqVp7O9UcY0G1gn5skgnWhXRqBgL21s4jYrB0TAq9HCiJkfDYjDqvpgpDRUzlRJHE8qv+ywTIxHE9ho0iKZmmfIkLQBZJkZjaLgx4MFq9UW9QfALV8/lkjLVvVl2yHxj+r7dUrA9p+x+waPqUV35Zc30M5squn+iDcFdZ8lZyurhyVTTiQZWsy94mxZs9swfQKa81n1pU56IrPeCMchDawn7qtt2G6X6hpy1YpxAiD1bxB5COGvFSKXjrBUjkw6zVowssDvmgNHIlYylv2lkn5VLd1krmcS5Ny13iZcgwq22EYAvwnA5z1o1dDpmJY5YAcmxY3hUD3jJYZ9BCrmizNIs2M+Kjd7ze1gh2POqTLG2gPHrXt8zEkEsRFB9z39YgdMgGm4QuMb30dhmpYFYZ1tRmoxUmJRm6LACJ5UOpSYjC6ybAwxHatuTJ979qD4rl86kZsNpBVZ+iAW+VaU5b5xaNjROZSWOWAHJSrPhtAIrN+wTSOGWylKrWAaOK7DR67Y8yiujjXRUjezKZXZrL48i4l1eHP4Fl0cRLaBgFmilPIoIUaMgAuCduO/JO/+3yVCBWWGE4gzWRxERLotJ1vooIkZg9ndVhUhEh8n7QuyXqkALnD4Z4hrLo2yP5DKbl0ep5vIoKj2gT2y5PIqKFugUseVR6rg8SjWUR1FRA11jG5rZktnoN9DYpdNQSBqE8ii1cXogGsqjqCw0kgV4HlnLnlsAWwK8TwcMdITkwKOpPIqKGegaWyyPoiIFOshWyqOoGDFukjIDsiwv4tSL+pCMmqc4SmdFnsf+S0Wv0rECvSCqNCpLtdax9ga912hQn9vEiQoWRmkcTSi/7hMnjEQQ+2rQ8LmDxAmjQTTcIPBQ1Udjm5UGYtsQEcaGEyeMVLpOnDBS6TBxwsgCu20LGA6ZxFJ4ax36rFSei7wJJz/E+t5GDLiIBPU8b9LQSpyVOGIBJIcvTXkTTm7YB5DCTeSljqX3kTzkY/f81t+rYH1OhrUFjF/3MpORCGIZgspM5vp7RmNouDHgEjNUf99WUf35M0X1d9wvNS+IzD/3zUg8rfX9/fqXna2xZ7tXymB7Mv319Jf2b5pXfhCvdNOURBfvK9V7wfw2y99GNWYQHO5g8b5wxfsfCYP8t/bd76R595V3hdlmnYsIN9lKnMBIhSlOSH1MdliZdBgmMLLAqhTAaKgkVqnyUemzUuksTGis5OckiHDQrcYJ87bNZUPbZlbiiAWQHCc0VvJzksM+ghRyqijScH0VF7tu66u0j52R/nkTuzRZZrf2+ioiXmASGarc11lfRbSAglmglfoqIkSNggiAV92K8lkfPe8exzYZKTCrjNCbwfIqIsJlKclaXkXECMweryoQiegweWOA/VSm4zJUV0+EuMbyqsKWV5Xz8qq8ubyKSg/oElsur6KiBfpEbHlVflxeFWzYfJmOGugZ25DMlsxGv4HGLp0G0L2tUl6Vb5weiIbyKioLjWQBnkfWsucWwJYA79MBAx0hOe5o6KNHxgx0jS2WV1GRAh0kuLyqoY8eGSPGTVJmgPnzhYpT7x7WIRk2T32VCRazVMf+mxqu0sEC/SCqwEqKXIsyVtqH9RoNq5NNoMuXLZ1g5NsQ41Oj32CFVWO7wLM0ofy6T30xEkHsrEEDaGrqC9jghNEYGm4MRKDa5m1PgPQQ9m6n1hqRMA4MYhsUEZeH80CMVJYVSgMVeAAfzgMxMukwD8TIArsJDRgNkZZx7r+kss/KpbtEUFMjEk6CCHfVRlS7iG2LeSKooU88K3HECkgOyBobkXCSwz6DJHIqy/M4Vz56h3z0nt+TCTpYMlZibQHj171uZiSCWIigurmDkwmMBtFwg8C1s4/GNisNxDrbitJkpMKkNIMnExipdCg1GVlg3RxgOLIyLvznavusVDpTmk0nEzj5Idb3VoXmvP902dB/mpU4YgEkC82mkwmc3LAPIIWbwZnFuvSxO+Rj123BkTfVfUHWsUOInVhmt+aCIzLe5bXhX2zBEdkCCmaBFgqOyBA1CiIAntHa8wud5KzwSPsQb5MRA/OtCNkZKDwiIwRmV+FqMlx4RMYIzKuuJhPJ6DAZVYj9kiJUeESGuLbCI5mITfNOzgqPDP6mwiM6PaBrbLXwiI4W6BtxhUcGzrzwqDazD/VlOmqgh2xDOVsyG/0GGrt0GkA3Ry88sthPD0Sw8IjOQiNZgOeRtey5BbAlwPt0wEBHSA4/woVHdMxA19ha4REdKdBBtlB4RMeIcZOkGWBPhQSCNDJqnrojpctChMqO6FiBXhBVdqTNn1Rx7r/XiQb1uc2eZIGqIyNicDSh/LrOnrASQeyuQaNo9uwJq0E03CDwiNVHY5uVBmLzEBHGhrInrFS6zZ6wUukse8LKArt5CxgOkcWpUj4qfVYqz0H2hJcfYn1vIwZcRIJilj2pP/AR3+UljlgAyeFLOHvCyw37AFK4CaVF6MJVPnbPb3F7FijSkYnE2gLGr3uZyUgEsQxBZSZrcTurMTTcGHCJGSxUj1evVHe/4h8bS9VP/QJgoTqrkRHrfysCmJEKkwBOfUx2WJl0qH8ZWWDdL2A0UuNgAnXqrFQ6078Ndeq8BBGep1UBLOcCONx6mJc4YgEkC+CGOnVecthHkEIuVeaplMrH7pCPnfnvr2YyWF1v1rhvjEdvvvLaDQ9lgsT10jTiNm2imahlmqFCojBWjG6d1xJ5wV4kg12eTA2GBWrTz+zNlkZD3a7+dLIkqK4nmr7Xc9VBj538spulD6Y/q+5X3/loGSmanu+TuZ1Z/8LkVlv+6sIBZQsHMvNO2hKC1H6UFuadSuw7ad+l9p19ndL2nX2JykMrJJW2wtOG54wt1z3Ldc9y3bNc9yzXPct1z3Lds1z3LNc9y3XPct2zXPdCXPfoXDWeKzizbKnuW6r7luq+pbpvqe5bqvuW6r6lum+p7luq+5bqvqW6H6K6T6cKf1TJy34hRJIpEeiKckjGfiYp+Qzs4Lxkkai0TI0j9i6LV+mA4Q4HlZwUmdBK51mgCdE1GmA3PWaArfP5yybP2V4NbqipjKwHI8QhCxodBpXkNS1qH9qLZLTLzmXF+ttlt1nddXsON91Nz9/UF1Qvymtvz3ZxZu097SbQh9O3qkczn+pulv5ms2eTkebbD6e/mn5gf9BHf4tMf9nJcBbfEiFqFEQAvONuqt6ijW0yUmCtEWKzJlh0S0QIrCyC78E0Fd0SMQJrilbdXSGiw1QTAewndRn7e/r2yRDXWHSr5/W2jX1U6cyAbhBfb1ukebjelooW6Amx9bbquN423EeVjhroEVeLtRabTGqj30Bjl05DIWnAY6dFva3aOD0QDfW2VBYayQI8j6xlzy2AnQ1vqICBPpC+X6fSJM60D/UBHTXQL+IqbsNryst0pEDvCK24lTLLA+a8QgeJcZKUSZDmSZ4WceadvIdk3DxFt1JkZZLEwpsbuUoHC/SFqMBWF3lmDOuvwb5Gw+p050iJVCQiSmQ5iJQuVDQYjfMoKwdHiZgcDQeDbstubSQZins1jiSUnS82biCFiY99RC6yEkHkpKCh862laPm7U/vO1QMTCVd/qD62BQHV/6f6qvqiLrQ9TuHPPhdJMn3PvVNJ9ah65DPOFqtxNNw48Kh1eR9gs3d89d7xtYCziuSFRezZUreVcL/6tu5idd81lzK/pld9aAxrW2LdNC/7Q3XbvOSRrW+2R4Xv2b5O5pUPqvvnr1+/kVlzZjOb9oYiWf6BD2xfK1eQcf+U/X2232a1PSJn2EYczsiEpWYisOrtsDLpsGaCkQU2YQsYDVnoONFeFdNn5dJd0URqpI//cNQlXoYID9VGKLsIaPW8aiLcDpaXOGIFpEdh4WE94GWHfQop7OrwIvUq9kM+frZwYnOmrTpL/ngdmxHBWSPHfJljR8mf1If2IhktcKsLqmBJyR8rzay0/aT61N6yIupbVmxrzZvmB5zoe+Sahd6bNTqtHs2+/GT6rtODH9hq1Vs+w2yRDaNghmklLUSEqFEQAfCO00KNvaDIgIE7Y22oUiJC4C4YRm2Gs0NEjMD9r1V1JBEdZuMLYL+GXlBkiGvMDuW2ssqWUiWleSdsPZWwNVbCFlUJW1QlbFGVsEVVwhZVCfsTwv6EsD8hk3l6KWtOL1FNA3S0+PSSEGUZzi9R4QKdLTa/lB3nl4KtSi/TUQOdbhui3JLZ6DfQ2KXTALrIVfJL2cbpgWjIL1FZaCQL8Dyylj23ALYEeJ8OGOhFyZGN7cuTe4X/AR000LHi0ksNa8rLdKhA/wrNL4kiVQF7XqGDxLhZyiSQZSZVEdeB3tkAkIibJ7+kdZEVWbh2kgoW6AxR+aVCq9JMiMS7c3CNhtWCHWfJ0SAVaaSlGkVKJSoaZkkZqTTRwvyXD8t6zgSD6oaNBFpgHcwv5TiSUHa+8LuBFCYE9xG5yEoEsXsHjc4/suGdPT7qsiT3eosyy0VGpL4p1UTpD+0Xp+/PM0y+s7n3baLlvq8F0/1FJkpu6g1h72WT2r9Qb7EaUcONCA+TfTS2WWkgNjTbCJ4ZmTCldPx+aoeVSoc5HUYW2N1kwHCoooylDh2EZeTSYU5Hx9q7E3uJlyDCKbQRPS5iyHye0gk3JOYljlgByYFPeFQPeMlhn0EKuSxLk1Ch9SEfPadNj8SREEe6jIZ6Yl4xHCVRUSp7g0wisiSRw0nHVw5abRpK+zS2rvJZAsaue23KSASxDEG16YdGQj6wpTSRu4TkfvX4R1ZBZhv+EpotVn4azm9l2chIA7FowmXj9BfTt31UXmKlwqIbkzjXPio7rFQ61I2MLLA+CzAcqSpjlfuo9FmpdCYbZfj6QE56iNW6VdFYzEVjuMsnL3HE+kcWjaExPeClhn38KNTKvIi1VyYd8pGbXR44mAzywdEokpnRlWo4KaJCyDRKZanMn1C6yGst1aFg9EYGRjCWWEvA2HUvGBmJIJYgqGD85+k77tqVp04nppt6Q2ofsS1WYhpObGWlyEgDsVK2ohQZqbAoxTRUw8NIpEOdyMgC66gAgyFS65lC+4uMXDoTikksvfQu8dJDrNKtCsVyLhTDXTp5iSOWP7JQDI3pAS817PNHoZaWQsX+OpdDPnazY5XDMtNJOo50UVhVWRTRMJ9k5tNkNBgMskwOxte7VorKZ4kLUjS2bPFZAsauc6XISQSxBoGVor1ZyO0q3qt7mVR33Z3G35ov37WJb3dqb/oLdz7wzmbP/MQX1W+rL91Ry0+cvqy+Sr36f4vVGBpujFXVJScNxPIKV5fha5w5qbCoyyRwR/8OK5Xu9CUnC6x/AwyHyNLY4PJx6bNy6Uxf6vA9zqz8EIt7mwJTJLXAFA1tLVmJI1ZAssAMDuoBLzfsE0jhVpRZGedeD3zIx252g3M2GqnBsIx0mmSRUsMkGibyKMrT0UCqo5HS2fB61wpT+yxhFGZjSxefJWDsuleYjEQQixBUYf7RyEiXsz55t8SJE4r2ZoiZjDxzj3T1nUtzJxvSm/naYjWFhptiZX3JSAOxusL1ZXj3kpMKl770MdlhZdKhvGRkgXVugNEQqXFloT4hnFy6k5dxFlKXnPQQC3ur6nLeJk80tMljJY5Y/+jqMjCmB7zUsM8fhVpeyLgIXBTPRm5WGJmW2ShVaaSS8ciWTo6jYaZFNJoU42IgkonM1fWutaU38DXaUmItAWPXvbZkJIJYgqDa8kujFu/ZW8sa1WXP3bVhu8O940703HG3ZbjL0MjCk9FOGm6nlYUnIw3EwtuK8GSkwiI8U/9issPKpEPhycgC6/gAoyGyPI+N+/GR6bOS6Ux5Ch2XIenJyQ+x7rcqPecN6kRDgzpW4ogVkCw9g4N6wMsN+whSuMksy0Wgic4hHz2nPlM1VOOj0TjSiVWqmcii4VhOovJI5bmVqkk5uN61+vSKEaM+U6wlYOy6V5+MRBCrEFR93jpxzdqvZkrycXXbqc/b9lD49IPpr6e/dH3vzPdkYdTkRrKpXM/gNHTzMKcNNNwGKytLRhqIdRWuLN2NfN/EPf+4vMRKiEVfBnph7bAy6VBfMrLAOjfAaGjbycd/YKDPyqUzeSl1oFLjEi8/xMLeqrxM5/IybZCXnMQRyyBZXgYH9YCXG/YJpHATSuQq1l71fMhHb7a5OVaqEEkSDZJ0Eik5GUbDMkmjyUAcJYXS41R1Ly+9aRcjLxXWEjB23ctLRiKIVWgFedm0UQmQloz8NZz/ytKSkQZiTW1RWjISYpGWyh+J7rAy6VBaMrLAOjbAaEhRJnEiQtqSkUxn2jLL4jJw6IeVH2JVb1Vbqrm2bGh9yEocsQ6StWVwUA94uWEfQQo3obKsCPX3O+Tj58RlMh7mw9FERoORKCI1PBpHxTjNonQ0GqrRkS6KpJ7YHYrL0mcJIy411hIwdt2LS0YiiGUILC6P+0+c6RdhPp1+UD2y91U+W3b6rLHFag0Nt8bKUpORBmKJhUvNhvw4IxUmkRnav2Rk0qHIZGSB9XCA0RClNu4sDYlMRjKdiUwdK2+h2yVeeojFvVWNOe9EJho6kbESRyyAZI0ZGtMDXmrYB5BCTSTaKEx/e8BDPnqz7cthnmdlUkSDfHwUqfFkHA3EOImEGiVH6XBwNBGT610rTH9HJiMxM6wpYPS6l5iMRBCrEFRifmpbktl+Z73qd9X96XvTt6fvVI+rb6Y3q6+r2+aju05d6oY2vJyMNZzxyjKSkQZiFYXLyGfuWDISYhGT4VvQOal0qCYZWWCdGWA4Gm9B5+TSmZhU4WM+nPQQy3irYjKbi8mGXlqsxBHLIFlMhsb0gJca9vmjUJNShzr2HvKxmzXnmaRZdpQNIyGs7hTZyCjQkXb1mWPztXEhu9+tFN6owWjJHGsKGL3utSQjEcQiRNCSt6dvGcF4395v6corb08/6L1g2+LeM994Ov3A3ZV++/vP1paMFtBwC6ysLRlpIBbVFrUlIyEmbem/XHWHlUqH2pKRBda3AYZDFzJW3gHps1LpTFqGb0pnpYdY1VuVlvP2OqKhvQ4rccQqSJaW4ZvSWalhHz8KNZGlSey/MeyQj52Tlno8NH9B51FxZE/9HE2OosF4UkbDfJAXw/F4XIqj651LS28OxUhL9K3xMHrdS0tGIohFCCotfzf9dfX1/OT4N+6ay2+ru/OKy2+MqLxffd3cboeTsYYzXllKMtJALKJwKdmQ7WakwiIivevjDiuPDhUkIwusCwOMhcxLHefeEemzculMQibhk+Cc9BCrd6sSct5sRzQ022Eljlj9yBIyNKYHvNSwzx+FmtQii4U3XXDIx85JyGxSJNnkKIkmMplEapSV5qfKMhqNxyrJ0skgWUN7xvps0lkJib5OHkavewnJSASxCEEl5Eeu2c5j</t>
  </si>
  <si>
    <t>VyM5u0TdZbrvu/rKt6Y3q9uL/uHf9apPqw+rL6uvqo+rz8zb53UX8csHkRa96kOfQbZYDaLhBllZYTLSQKyxcIXZcJE6IxUWhZnE3pzGDiuTDjUmIwusjwOMhspiXYYkJiOVziRmUYS3KTn5IZb3VjXmvE+PaOjTw0ocsf6RNWZwUA94uWEfQAo3JdI8zr2bc4d87GbXqKfFJEmHRZRIpSOVqywaTNJhVKqjUqV5lgzT4fXORabymeKClOgb5WH0OheZnEQQqxBUZC56Otpc9xP7zqlLeyinerTo8+gvXNhiJavhZFcVkJw0EAsoXECGtyg5qbAIyLqk/Ix+5CTSnX7kZIF1X4DByMqi9PdS67NS6Uw/JnHpnW+XeOkhFu425aOcd+GRDV14WIkjVj+yfAyN6QEvNezjR6GWZWkZl959uUM+dlY+NqnCv33t9b/xsCQpwsCeoxRN3FK5zO3GT3/8Y5/UC0DFyLwsTg1SbbAKP9qLZLTLy0LIsEAt95nRbK6csfpTz9XD1Uex7SXl1TdG3Z04cm23E90OYXW/+rZXfVR9Un3aq+70hJWAVvx915uf4b5fPbJ1ku7tvnn/6MzR7lvVLZ9htsiGUTDD1LrvR6+8AZl2PogvkiFqFEQAvOorY86nxpiRvVrY/qOvX79hh+y0vX9t7f1lJP23QGyTCS0v1QFCcJFaPfKGvS+RES7rzwBChPaME78Vd8gYl6VlAOOqspKIbtlnBdBB5aJIiji03UiFeEYKBjCiZOAZndR/afvKlf0rtVI6vLb7ghFCctO8S+07Zd9p+y6z73L7rrDvSvMuTew7Yd/Zn0jtT6T2J1L9fbukWu5Wbm0mXsV1iW4aoCNemObw1dcPbviWxjMDKcoycK3MD+hwgc54ARcycNZ652aj9oPazj7Ul+mogU65DZ1uyWz0G2js0mkAXeiCRnCuBLBb2BunByLEYo/OQiNZgOeRtey5BbAlwPt0wEAvSg52zLKkA5fXH9BRAz3rT9paVF6mQwU62J8EJsIyyFRpFbDnFTpIjJ8lzQKl80wF27NScUug732zccE4Mw/SJFNpnCgf2Kt0sEBv+GbTunBmOhizJnmc5z6s12hYn9NcTOrP3JvYW+JIQtl1n4phJILY0YOG7yumYhjJajhZeLzro7HNSgOxGQmPchtSMYxUuk3FMBLpMBXDyAK7FwwZjCxVwVQMI5XnIRXDSQ+xcLcR4i0CvXnfMNnQN4yVOGL1I0cnDakYTmrYx49CTWgt4yxQLc7G7nmtFk/912ga8ZhiLQFj1714ZCSCWIOg4pG/WJzTIBpukJUFJiMNxBILF5jhYnFOKiwCM1gszsmkQ4XJyALr4gCjIZK4CGZvGKl0pjAbisVZ+SGW91Yl5rx3mGzoHcZKHLH+kSVmQ7E4KzfsA0jhVmZ57G8WfchH7nm90yIN1gYprCVg7LqXmIxEEGsQVGK2cKUFJ2MNZ7yyhmSkgVhD4RqyYZOSkQqLhgxcacHJo0MFycgC68AgY6HT4I0WnFQ6U5DhGy1Y6SEW71YF5LxBmGxoEMZKHLH4kQVk+EYLVmrYx49CTRtxnIa2KLnIPa/X7ab+7InRjxprCRi77vUjIxHEEgTVjwy37XJaQMMtsLKeZKSBWFLhevJZt+1yEmJRleHbdjmpdCgsGVlgPRtkONLMn2DqszLpTFeGL9tlpYdY1FvVlfOmYLKhKRgrccQiSNaV4ct2Walhnz4KtbQQcRral+Qi97y2BEtj7bOE0ZUZ1hIwdt3rSkYiiCWIoCupHcE4GWs445V1JCMNxBLaoo5kJMSkI0MdwTipdKgjGVlgPRlkOISKVeLdEemzculMSYY7grHSQyzjrSrJeUcw2dARjJU4YhkkK8lwRzBWatjnj0JNSxPYhXYoucg5JSkG5ZEcZSIy6nISKZnqaCjKIhqXeSKOhke5VuPrXStJr6Y2SjLHWgLGrnslyUgEsQRBleSt6qERkE5JfmJ04+3pO9N3e9U/GBH5nduZ/Lp6Yt7frcslpU6S6XtCzt7HOqBitlitoOFWWFldMtJALKsIdRm8gIKRSdeykpFKh7KSkQXWrUGGo1FWMnLpTFYmgYPbl3jpIdb0VmXlvBuYbOgGxkocsf6RZaWwVwf4T2Ef8LLDPoIkdirVRRZn3iX/kI+fE5fJeJgPRxMZDUZ2S3N4NI6KcZpF6Wg0VKMjXRRJPbU7FJe5zxJGXDZ2tvBZAsaue3HJSASxEMHF5eJCtjMXqJlPpx9Uj+y1a7NqyuOL2p5Mfz47teMqK5MN6R3WLVZraLg1VhaZjDQQiyxcZDaUVjJSYVGZyp9z3WFl0qHIZGSB9XCQ0dB5bFD5uPRZuXQmMnWsvOfBLvHSQ6ztrYrMeb8w2dAvjJU4Yv0ji8zQmB7wUsM+fxRqUuU6zksfu0M+dk5fyuJooNNsFCW5EaRKJINoWGjzA8UkOSqSwXg8t0CH+tIb/xp9WWItAWPXvb5kJIJYg8D68oSkrM/kPK5uO6V528hOozNdqeX9mZLM9YZKNpJNlbiLhYJbl4w20HAbrKwqGWkgVlW4qnxmYpyREIu2TPyn+XZYmXSoLRlZYH0bYDRSe5VJaP+SkUpn0lKVgZ2uS7z8EOt6q9py3idMNvQJYyWOWAXJ2jI4qAe83LAPIIWbyJI0TkKbl1zsZjWWY6UKkSTRIHEbnZNhNCyTNJoMxFFSKD1O1eB61+LSK7MvyLSx54XPEjB2nYtLTiKIRWgFcdm0RflsYcnJX8P5w4XlyS3bZ3Rg4OSGWGfbU5uchFjUpvInP3ZYmXSnNjlZYJ0dYDS0MOu6COxkcnLpTG5mWVx65fQlXn6Ilb5NuZnO+4qlDX3FWIkjlkGy3BSZigvtI3fASw77CFLIFUpJEWfeAsRDPnozwZmW2Si1Z8qT8cgd+4mGmRbRaFKMi4FIJjJX17sWnMLrzI3iRF75DqXXveJkJIJYh6CK80sjSe5Vd43ceuxqMut7h06oMPOl73ouqf7YfOkd+43qjutTdseK0WerVJ+dtljtpOF2gitTH41tVhqI1RcuQsOJdE4qLPIzUNi9w8qkQ/nJyALr+yCjUcpY+q/V67Ny6Ux+Ch28p4iVH2LZb1V+irn8bGicxUocsQDS5WdoUA94uWGfQAq3TKZZXHgd8CEfu1knnmw0UoNhGek0ySKlhkk0TORRlKejgVRHI6Wz4fXOxae3ZsKIT4k1BYxe9+KTkQhiFYKKzz8aUfnwGdKTrC8ZTaHhplhZXzLSQCyvrehLRios+jKYTOdk0qG+ZGSB9W6A0WhKpnNS6Uxe6uAZc1Z6iHW9VXU579STNnTqYSWOWP7I6jI0pge81LCPH4WaKNLAcclDPnJOW+bDMtNJOo50UZSRGhZFNMwnmfk0GQ0GgyyTg/H1zrWl9JnCaMsUawoYve61JSMRxBoE1Zb/bDTj7eqBE5GzTj3VXSclvzVfvmvFpvni/d70F+6G9TubPfMTX1S/rb6sPq4+rT6Zyc6vUq8C2GI1hoYbY2V1yUgDsbzC1WW4Sw8nFS51qX1UdlipdCgvGVlg/RtgONIiFv7L9/qsVLqTlzp42JyVH2Jtb1Vfztv0pA1teliJIxZAur4MDeoBLzfsA0jhJpMyj1XgFiM2dk5hloPJIB8cjSKZJcq8dlJEhZBplMpSmT+hdJHX2qtLhenVIkZhKqwpYPS6V5iMRBCrEFhhzhuJL5qG+y+33mIlpuHEVlaLjDQQiyVcLTbsRTJSYVGLqXeV32El0qFWZGSBdVWQwZBZ4T+X2Wel0plWTAK3B17ipYdYpFuVivOGPGlDQx5W4ojVjywVQ2N6wEsN+/hRqJVCxzJUY8lFblZjKY6EONJlNNQTKypHSVSUahKpUSKyJJHDyRp6hgvlM4URihprChi97oUiIxHEGgQVih+6Pjv3pm9Fbj/yfvX4R839Gzn5aTi/lfUiIw3EitmKXmSkwqIXkzjXPio7rFQ6VIyMLLAuCzAchYhzb4Koz8qkM8EY7rTDSg+xWLcqGOeddtKGTjusxBHLH1kwhjvtsFLDPn0katLEb97n8ZCPnPnvrzZnnusvmwTh3772+t94yJLEYEgJZk0ck2KZ442f/vjHPpUXgIpReJkVrLE2WIW/nP8iGe3y6hAyLFDGfVY9mTXAqf7Uc0d562sm7bmY6pvqSe9ElaLNN7vby43a+7ZnE9HTd6Y3zTfvT3/ufuaBbaHTq+5O33L5afdrpu/bLz2d3Y7uM8UW2RQKZopa8f3olTcgE80H8UUyRI2CCIBXfWWM/7RXfRilm/a9cu+FmP0jZ/94H5BtMonldTlAAi5Jg5erUxEuq80AQrjSFHHiT0HtkDEuy8gAxlUlJBHdsoMKoINKQ5lIGSjS75MxnhF+AZAo0XdGFfVf2r5yZf9KrYsOr+2+YGRP/n278FnoVhttJl55dInODOguF8wOX3394IZvOTszkVVZBrKpP6DDBbrMBVyI3a31zs2M/oPazj7Ul+moga6zDVFtyWz0G2js0mkA3d6CRnCuBLBb2BunByLEYo/OQiNZgOeRtey5BbAlwPt0wEAvSI5MVGkUrvfqogM6aKBj/Elba8rLdKhA//iTwDw4A7Isk4A9r9BBYtwkZRKUZVoIHYhRD8m4JdBzvtm4XpxN36Ym5pSBGo6rdLRAb/hm07pw5vFKZGZrb0ov2Gs0sBbtJC0HupRFlAoxMUp8PI7M1FPRkcgyMRglw2FZO55gcNywG0ALkOPQmcAcRxLKzhdGN5DChNI+IhdZiSD236BR9onmYKeCY3frhDsAaGJne2DQRtO3bVeH31W/rW713vgzqW3n2d7haz+9cXTxtcHrR73Dn/5k/PpLr9wY+yyzxWoZDbcMIqL95+k7rn2Fu0jMHYb8pbFBfd9wz/bhnb47fXd+kvLD6pPqj9U/VF9Un9ur1P5gPvjUfPH/tJ9+6T754vr1G9U/OhO/fb63d7jVO+yliUqinTT5C/u9T9w2x/360o8H1e3z9jd9Vf0mEr0XiyTpRb20Z9Mmcc++/HN7E7IbJXs/iBml6l7PXo/cE0liItmeG9AH7v3t6c/Mt++fb/4rsvei7fxm/kw++zPm5X+m0mIz1eZ1d+Lqkf35Ts3Sa5/lGVtiLSJStZkXHVtEJpmxiHo+LZKWcjOV67IIklx3j46Q6aY4OVE+NB979ibtHz+1xTl9f/al2w6eWaLrnc1H7vj2PXf7ubHcYi/U/cJ7Lt99euG+DTJuz/3Cb82vN7+6N2v+mCautfhm/Wk2+zSef27fz75/PCxlkqQvmLG1o/p+9d33g4Z+ardvfbu0T6pH03ccGvMN+8W3p++4+ZWoTSU6nl+JzpPoL3imi3dSImeX1ptFuR6bdGAQrDWEEN0vyiLJdbRTJlee31kiVLEps7XZpQOjYC2SinSzTI4tYv/vUazbrIoVkVJuI33ByISloMYbJu6w8uiwmoaRBTafDxiL5pQJI5fO6mnCjWFZ6SHi+Ta2/hcJgHlj2LShMSwrccTix7NrzUkO+wRSyD1rN5aLny3DbtovbLOYRvu4XZBpc0+ydJnbmotpiGiBGUHoNt9zUUxDNIWCmaKVYhoiRI2CCIBnrW2LaW5F3kMk22SkwFxhG5KTiBCYGERIyYaKGSJGYEZwVZlIRIdJBQLsJ4U0nsabnOqTMa6xYqacV8wUzRUzVGZAn9h2xQwVLtAvYitmiuOKmWBn2Mt01ED/2IZstmQ2+g00duk0gL5tlYqZYuP0QDRUzFBZaCQL8Dyylj23ALYEeJ8OGOgFybGHzAsVOBF0QEcN9IxtlsxQoQIdJLRkRskiDdjzCh0kxk9SZoEubamPjhNvFHpIBs5UMyMKE+qVsfBu9FylowX6Q1TNTCmSTEsVOIZ8jQb2Oa2Z0cGamRJHEsqu+5oZRiKIPTZoMN1lzQyjZTTcMvDA1Rjn9ObCd4EdBPuNE9eMVw/IGW6bLXKdHO0vcN+6e3zB+XmbwVr8eftXPprdIlQ9jc23zMfuy+YrD8/3tkev/eSvX7vRe+m10U/fcEko92sf1SmlDyOhzQ/94USqfL7jMX3/vMuL/8csSSwHl2g7bQo7EcwH92sij2a7LN/b+utXRoN//1pvd2yWvx+/Mrq627sqdG/LfPg3PZmXtuHk98wff7KYYbVVT1zcPv2V/RnzJ2c/dfnP0jmMfzvb7XnqDHpvfpe754d78x916bLZjxqjfGMNPXv5HPjj4zvhe6L8j1K5V9s/mujZT9okW/WZIfy2w+uegDvT9w2BJy7Fb6w5mwfmBXfcb5xZx35rlvq3L9nsTX82TypeuXDZFRf0lqsLPjHmt6UCN23C7zfnbSrwM1HvXn1kjx791r77nT199JV3n2Kb9RFD7HO3sePCyKTTJB8jjw6TfIwssCkGwFg07/Iwcnkeknyc9BACpI3disWexbx5etrQPJ2VOGLxYwq0OdlhH0EKu2cGkFwE67PzdrHs7Oy8N5K7IOtLewIck3KZY0fpPu+O1EUyWuB2JjRCWSHdZ3Wt/cGHTtieSvg9mEkt+wIf+y0yewVj30aGjwpRoyAC4B1n+LQP6TYZKXBvswW9SUUI3MdE6Mhwho+KEbiBuaJGpKLD7FwC7CdlEivlg9gnQ1xfgk+JOsGnksYEH5kZ0AsSEnypkMEEHxku0BMiE3wqWST4VLBf+mU6aqBHbEMyWzIb/QYau3QaQNe2QoLPYD89EOEEH5mFRrIAzyNr2XMLYEuA9+mAgU6QHHcIWZSB5uoHdNRAx4hM8IUXlZfpUIH+EZrgk1kiAva8QgeJcZOUWSALJbIyll7ch2TcPPk9M2OlyAO3El+lgwV6Q1R6T+dpWmSBbhTXaFgt2CM9zlVWllE2ObJtz4pJNBxNykiK8ejo6EhPiuFkRicY8jbE+bSwN5TdU40Ng8+ShLLzBccNpDABso/IRVYiiM01aOz8yXGUu8iWnMpTuWB5+p552VsutfW2S67cn2eYbJezd2ysbFufTd+2Z6ju1BkUF1z/3B3qvD/9YPqez15brPbScHvBQ9lnm+zErsKpFOBmrylzd+HHw/Eby0m669dv/F//76vbO9cuX7jyfz0MZ+OyE8m4zVN7F9Xt3oUD860LmR3JMun9fz94+jSqvoqE3pyd4rOpqXfm5+GWUmU9oaO06B1c6e/+W5v0yu3fgOTY7A/KcvGDFts8weZsdHD5svuFmxbzqV0bm8K81Xvh8p8J9z2b+DqbGnMN9BbJMcf4bGosca/6vPrIN/O2WWceYje4ja0JRiZdpsI4eXSXCuNkgd2HB4yFVIE0GCeP5yANxkoP4anbiOkXkb2o02CzD3zEd3mJIxY+ejhqwxDlXQsPeNlhHz8KuzrMSrwZokM+fjYLdkIt20igs2yYtwjTBAWyiasQy1w7yYZJfwhzkYwWuPcHVfSfuxbEX5v3dWfib+27R8gc2UzCLyqZrEy1lyXYb98zH6absueUpv0bD6e/tjrf1jSZuGB2/cH0V+bvunqo+SUID92fe2LDg/tzCI9soZeTwN/5bLpFtqmC2bSVHBsRokZBBMA7zrF5E+jbZKTA7cU2hCwRIXArESFQG3JsRIzAPcRVxScRHWbzEGA/qctAp6g+GSJLjg2hF6mwgY6TkECTIpw/o6IF+k5s/kwe589kQ/6MihroQ1FaGzo1dumwgW5qlXyZ3Dht+IZ8GZWFRrIAzxtr2XMLYEuA9+mAgQ6NHKCEZsoBHTLQwyGTZcEF5GU6UqCfg+bKwhiv0DFivF2bE+CQDJknS5aKVOu49Drqq3SsQI+HSpI1Qb1Gg9rh7S7e1N6F+dZbAHaqghaGQW07wCWiBTrn/zUDXKJNgcqhlQCXCFGjIALgPbuIlIgUqAfaCHCJCIHuv50Al4gR6PhXDXCJ6DAuH2C/xiJSIsR1B7hU2EDH2XKAS0UL9J3YADc9DnDThgCXihroQ7kCXCpsoJtaJcBNN04bviHApbLQSBbgeWMte24B7GyASwUMdGgcAS4VMtDDtRjgUpEC/VwrAS4VI8bbtTkBDsmQeQJcmWV5Gkuvo75Kxwr0eKgAtwnqNRrUDgNcb8rJBLiqEbYOWhgGte0Al4gW6Jz/1wxwiTYFKodWAlwiRI2CCIC3SlNhKgmgVGgj9iUiBCqDdmJfIkagJlg19iWiw6gBgP0ab8inYlx38EuFDXSqLQe/VLRAv4oNftVx8Ksagl8qaqB/5Qp+qbAVEjYh+FUbpw3fEPxSWWgkC/C8sZY9twB2NvilAgZ6NI7glwoZ6OJaDH6pSIGOrpXgl4oR4+7anACHZMhMwa9SeZbHMnDFKRks0OXhot8mrNdoWDsMf/2HeU38qxtxZ0Ebw7C2Hf8S0QL98/+a8S/Rpgpm01biXyJEjYIIgHec4PXWS2yTkQIlQRtBLhEhUAG0E+QSMQJ9/6pBLhEdxusD7CebboikYlx3kEuFDXSdLQe5VLRA54kNcvVxkKsbglwqaqAT5QpyqbCBfmqVIFdvnDZ8Q5BLZaGRLMDzxlr23ALY2SCXChjo0TiCXCpkoItrMcilIgU6ulaCXCpGjLtrcwIckiEzBbk6l8ZT+0sortLBAl0eLshtwnqNhrXLIDd0d0/WiDsP2hiGte0gl4gW6J//1wxyiTYFiodWglwiRI2CCIB3HOTm9kKgyL91tE0GDFQGbcS6RIRAIdBOrEvECJQAq8a6RHQY5w+wn8p0XHrvm+iTIa471KXCBjrQlkNdKlqgC8WGutlxqJs1hLpU1EBXyhXqUmEDvdUqoW62cdrwDaEulYVGsgDPG2vZcwtgZ0NdKmCgQ+MIdamQgR6uxVCXihTo51oJdakYMd6uzQlwSIbME+rqLC1MJOZ9vq7SsQI9HirSbYJ6jQa1y0DXK3hNoJs34i6CJoZhbTvQJaIFeuf/NQNdok2B0qGVQJcIUaMgAuDNq5lvzUqXzT/ah3ibjBgoDNqIdIkIgTqgnUiXiBGoAFaNdInoML4fYr+kCEe6RIjrjnSpsIEetOVIl4oW6EOxkW5+HOnmDZEuFTXQl3JFulTYQHe1SqSbb5w2fEOkS2WhkSzA88Za9twC2NlIlwoY6NA4Il0qZKCHazHSpSIF+rlWIl0qRoy3a3MCHJIh80S6IhWFCke6VKxAj4eKdJugXqNBtRcxO+1TT4dgzPvGePTmK6/d8FAghL3ax8DEvEUTA6PsQ8YGY6WEvaX3vPFFMtrlB6/BssCw13X6MGGojTVd65SvbdQ6fd+H28SVxfk+GfwZlRFGjxIaZ/xe3XGw3NyVOrHvhH0XvGeeSmdZfQDowAWI5bBnOexZDnuWw16Iwx6dg8ZzAMsPS2HfUti3FPYthf0QhX06BfgzweGPiKjP+KNnoAa7JKWyNJcqAPgqHTB8UUf5pWa812h43byY4bXre0f9AXSwaVjZyGEd1yeWpYXtg3uRDBcYREI90ye2bZTbBX1cfdOrvjRf+E3dE/ufqwduS/X2Zq/6XfVF9YWPyBaZyPLCzrkLSoSoURAB8Oadsqq7vervjUm/9OHdJuMFhoxt7IESEQIjxHb2QIkYgbHhqnugRHSYqBBgvyzXZRzaAyVCXPceKBU20GlR9kBDaH9ARwv0W9g90PJ4D7Rs2AOloga6L1RoAp0au3TYQGdFCEEWe6DlxmnDN+yBUlloJAvwvLGWPbcAdjbqoAIGOjSOPVAqZKCHw+6BhpC+TEcK9HPwPdAQxit0jBhv1+YEOCRD5tkDLYQQOtTL/CodLNDloYLNRqzXaFg7q/fR/njtgtRJE+w03CQcBrXt8JIKF+ifuwsvqUSAHruN8JIKUaMgEuFtk+EBnW8L0SQVIdDXthJNUjECveyK0SQVHca/AuzXFE1SIa45miTDBvqodqNJMlqgm0JGkzpZRJM6CUeTZNRAb8UUTZJhA33TCtGkTjZOGz4cTZJZaCQL8Lyxlj23AHYmmiQDBjo0hmiSDBno4dqLJslIgX6ujWiSjBHj7dqcAIdkyGuJJslggS6vzWiShLXDaDL1wTbRpGiCrZKgiWFQW48miXCB/rnDaJJIBOixW4kmiRA1CiIR3jYZHtD5thFNEhECfW070SQRI9DLrhpNEtFh/CvAfo3RJBHiuqNJKmygj2o5mqSiBbopbDQpjqNJ0RBNUlEDvRVXNEmFDfRNq0STYuO04RuiSSoLjWQBnjfWsucWwM5Gk1TAQIfGEU1SIQM9XIvRJBUp0M+1Ek1SMWK8XZsT4JAMeT3RJBUs0OW1Gk1SsNoTGpuL0Mz+01kprPLRMNGlbKIh1nHRvIkuZTC6JMIF+mtodPmlO/Vv6zP/dHwxgIkqzReeTt+Z3rQXD9zp1SWc9+2LZxcR2IsE7tmftD9j7xmwFxLYT+1lBfdn8ansmZ+/Vz2Y/sz85H2fGbbIZgD6f1xsakJrE05HhtoTez/DvenN6QcG/D1jAXdRwjc21p7d0NCrvrFnWqbvGmqL2xmemE++tT9d3XWXKNyx3zg2jD0M83j6/vS9E8dhYp9ZXiSbRaPMAjHJbyzw6kHPtmCbf6w2vbpimwwbKCswcbIdPR/Il8gggUKinVCZiBEoIVYNlYnoMOIBYj/v0tonw1t3mEyFDXS2hDA5K0VRhiNlKmCgy8VGyvI4UpYNkTIVNdDzckXKVNhAT7lKpCw3Thu+IVKmstBIFuB5Yy17bgHsbKRMBQx0aRyRMhUy0MEhI+WmNeRlOligpwMHy00wr9BhYlxem9PgkAyZJ16WSZrIrAgHzFS0QOeHCpibwV6jgXV3Gsz+M9//61eOjsY3tkxQeeBiSsshG47kcDhIorGa6EgVySQqinwSDVSaDFKtxNHRYPbKRZwt9RL98Y/Hi5lz2gKzvwj2TMsLpc8Sf+E/QWvpLpsAys6N6fLaCSIF9ls+Jj9kYrK8pIKYQH2Xj8iFCwxMToRo4ZkXPrXNMfOa6ul1KrxPoG9qgVCvNrWoUJfnDgjqanOHAvXEHtrzMjlEU32MTuXzNDvIWNcwPUhYn8f50bTjrdP0uZofVKzrmB8UrCd2c5+b+dGk73QaPlm2jvlBxbqO+UHB+jyuH2kjj3Df6HXMDyrWdcwPCtbncf1QjTzCwew65gcV6zrmBwXrifXDbcqdylNLucQisH0wowDe9IfQ+fP6MvAQm/AljsCN6BOYwVOk3tN9WehZClfEwZ30/52MX6Hxw5FfASD/f5CRawzyltcUKublNeXZmLGz5SrA5j8k4wfuSre3yFCAWqRJal4zHolIHuUyUrIU0TDNkmiQZpnOEl2mw3o3OLz8vFpPl/aXoPnz4d4fiFlTKzNoDWP25/WdrmBTQG3gfZaeSZ38PNXUD0X2zGn6F2yU3RQZDI4mw3E2iAZDUUZKyGE0UMMsypQeZsNJWYr8jJRZ2xTJQVOk6Xpfr71gNljXFMkBU4SLspsik9Eom+TDUVTko1GkSjOxhmowiibZ4P9X3bftyI1j2f7KoJ6LAO+XeR2gz9s85BQQoYBfSF26jeOyGy73zJwB/O+HikjXVCuV5Nau4EUFNMqdFZlea+US9+ZeosS5D8FaY7uxiAVZJPWczV29YBq0sogFWKQU5Uc3y4OaF+kJjSsMYWy2xNLJEUoVVdpa5tSbDXMziziQRdKD5x29YBq0sogDWKQU5f8NGn/+/W7RXjbGPD1Afv+QbYONMRprg40xCusKlnXmj+QAOXHbfAt/YLG28AcG6wpWdeYPnuTRVeyLxtrCHxisPa4fyQGy5F35A4u1hT8wWHv0h0zy6Cr4RWNt4Q8M1j/0p6tNupnLrx5NkHk/Maswl+f5SesFjV8exg9H/gJAfkUjV0eQP3lJwWLeLil5zEfd8gtA8xsaf+25PAroinRa5GQN88QyNRMZd8/EjiMjsxBuEYsY3TJ/2JSpVuMSDprLr945IgVUg0bjEg6Yyxej/Lh/gC2GmuCIYbMhklFGrF44MX7hbtJqUR1ZBDSX58kh9Z5eMA1aWQQwly9G+W6REMbZL8IRJeVIpLEL8Zqq+F3BTiz4SSjajUVAc3meHFLv6QXToJVFAHP5YpR/PA/htaivnWA//Wxy0izNlnTVfjY/Kb+g8cvD+OHIXwDIr2jk26sn31s9yy0DGnONfjav+Q2Nv3o/iwF6n6nMbuQTV8RT42NjI2SsWpQSTqme2Wi9k29in1aVSFBIJRLJ+OKtFFANGlUiQbM2HYpR/lGJ3If+JisiHUO8H6lVqESCZX9pFzT+opUIgPyKRr69evKr4rPcMqAxV6hEAM1vaPy1KxEK6IrUBm9HOy/ETD7un5yfiReGksU45oylI7evzu+gEnFQJUoHYW+kgGrQqhLxrE2HYpTvFjHcKLdIGffU8WOMzYFYuoQu71USAmSRdBa2oxdMg1YWEQCLlKL8o1n58eSlvroVmWKt3g/wa3QrMvtbu6Dxl+1W8sivaOTbyydfOZ/llgGNuUa3ktf8hsZfvVvBAF2RjuMYt0qLI9JoS6SgggQW/6TUYrSYhGX01T8dlCIFKkXqmBRQDVqVonxcORSj/Hsper1lZf3N91OKdJL1+/eC1ChF+fTugsZfthTlkV/RyLeXT35ZfJZbBjTmGqUor/kNjb96KcIAvW+c3cQ1lZwouWbTCx+JM5QSRrnzblH0/lDuTkoRKG8WyfD1rRRQDVqVIkDeXIzy4zTppJ1WKpDZakGkl5R4H79rHq23S9BulqEbi4DyZpEMX/f0gmnQyiKAvLkY5cctCYvlc4ib7CBHTiRzIwleLIRypiw3TAXlurEI6ByYSGZie3rBNGhlkXxeORSjfLobmyQoK5TJ4GxPL5gGjSwiAVlhMcrrnufnzu5WkckwQr3/PKsKWx2ZT30uaPzyMH448hcA8isa+faqybfdz3LLgMZcYasD0PyGxl97q4MCeratjgRlhJIfkwKqQasKBMgIi1E+3VZHgjJCmQzM9vSCadDKIoCMsBjl0211pARZRB7VC6ZBK4vkI6ahGOXzbXVA8Y5UR/WCadDKIoB4pxjl161OdGBHW530+LjpQVOZn9Nf0PjlYfxw5C8A5Fc08u1Vk2+7n+WWAY25xlYnr/kNjb/6VgcD9HRbHVCqI9MRx855KZgGrSoQINUpRvl8Wx1QqiPTEceOXjANWlkEkOoUo3y+rQ4o1ZHpiGPv1CVIg1YWAaQ6xSifbqujQKmOSkcc+LPbbSyiAKlOMcqrR3rZ4qTfLc+anj1W+fn8BY1fHsYPR/4CQH5FI99eLfl2+1luGdCYK2xxAJrf0Phrb3FQQO9bHG35aCZDwnrgR+p5IW6UgQgnqFuc92Lu5unUCpTmZN7luXMQF6ZBq8oDSHOKUT5fcwJKc1Qq2tjVC6ZBK4sA0pxilE+3xVGgNEfJo3rBNGhlEUCaU4zy6QYlCpTmKHVUL5gGrSwCSHOKUT7duFWBnuunUpPn/cIM0qCVRfKpwFCMcle74NRMWbOmb3pT+Zn4BY1fHsYPR/4CQH5FI99eLfkd2bPcMqAx19gF5zW/ofFX3wVjgJ6u8oBSHJWKNHakgGrQqvIAUpxilO8W8YxJraQjmo2KSGnj3lmNhizBTHRiVmndzxYHlOKoVKSxqxdMg1YWAaQ4xSg/nkegmLaCGaLCHLdDs/PRTlYRtlCnzOi5D7oXi2hQiqNTkcauXjANGllEA1KcYpRPN0vTDGSR9OR5Ry+YBq0skk8FhmKUe9ri6PRMuemjHXV+Jn5B45eH8cORvwCQX9HIt1dLvt1+llsGNOYKWxyA5jc0/tpbHBTQ01UeUIqj05HGzkPsYBq0qjyAFKcY5fP1r6AUR8ujesE0aGURQIpTjPLpdsEalOJodVQvmAatLAJIcYpRPt0sTYNSHK2P6gXToJVFAClOMcr3p/LdiW89sBUC9JZDjA77hNOnBPSW8LsNLAg2uIfdw3pDY902qyCsf7JfxWBdwb6uEatNujnfp9PnBJrGfjo/Ib+g8cvD+OHIXwDIr2jk6gjyJy8pWMw19sR5zW9o/NX3xBigK1JtY1Eap9j5TmtbwxYXN0f+vkMSxjpngpg+9NKqgDIdnQo4dqSAatCqVQFkOsUoP8YmggUeP0e0miWRatIkLGYhZvZCTszHtnjpxSIGlOmY9DGVvek1SINGFjGATKcY5btFFqfULEZBmLJhfTWCJZZOrss3YhhQpmPSz4ba0QumQSuLADKdYpS/vz6G/LWFWtvabvpZkxomK023pGv2syY/tb+g8cvD+OHIXwDIr2jk26sn31s9yy0DGnOFfhag+Q2Nv3Y/iwK6Ip1MmPQyLsRToYl0UhEnvSXKCUEZd4aN3YzeDCjjMcmHkL2VAqpBq0oEyHiKUf7e4cNhjUySbfpKJpNPWy5o/GUrUB75FY18e9XkV8NnuWVAY65RgfKa39D4q1cgDNAVqQuU+WWixMtpInKSC7FynomQcYGKy9S0hH72QqB80KhjUkA1aFWBAPlgMcq/hz9vXme9FQKUTGB02Cesk4T5u9fldl0BwQYvLftrCBZrg/AHhfUP4U9fm+VkkqWbPsfe5E/xXND4y7YqeeRXNHJ1BPmTlxQs5hqtSl7zGxp/9VYFA/SO1PngKBVEBSnWlx4bYoPnsXBpzS1VcjLzh15aFdCZL5PMwd5KAdWgVauSzyiHYpQf85R5VNbEnbRe5EykXwIJsZUhzmtDmR294WM3FgHlgyYZlu3pBdOglUUA+WAxyo9VRKmZh1kRNwZGZFCrkyYejSUk45aN1nXz/CQLygdtMizbvaRAGjSyiAXkg8UoP+4yWCzV6+Zo4XQhctSO2Mk5Ms6zpFosnkrTjUVA+aBNhmV7esE0aGURQD5YjPLrVHb9hXez1bHpAKLpc+xtPum5oPHLw/jhyF8AyK9o5NurJt92P8stAxpzha0OQPMbGn/trQ4K6Io0zEYHs1AyWR6rFWeCeBoUmeTkArWW2aWbXNCCckGbDsn2HscM0qBVBQLkgsUoP5oUamwQjhMu/Ejk4hWJP9TH7xqdHc0s/CK7sQjo7JeVR/WCadDKIvl8aShG+XE8kDvBOQtkciJ+VnJJLKeUzCw4FwzT8ePdWASU7Vh1VC+YBq0sAsh2ilE+31YHdPbLpiOMvUsKpEEriwDOfhWj/ONWyNffeFfpjk2PkZs+197m5/UXNH55GD8c+QsA+RWNfHv15NvvZ7llQGOuseXJa35D46++5cEAvVciORkzzoIEZi2RWnHixRzWgf/EgvaTVd2M7i0o3bHpqGPnwaowDVpVIkC6U4zy44nUknrLxpHomYpYtVwgTgpF9OL0Ema7SLF0YxFQumPTUcfe45lBGrSyCCDdKUb5bhHDFz5pZ4kOTBJpnYifXWZC9WTlNDs6MdWLRRwo3XHpqGNHL5gGjSziAOlOMcqPx114qtj6uBShlFlXHEXWB56TcRSj4pKO2rtuLAJKd1w66th7gjdIg1YWAaQ7xSg/7maLJUjw+B9V8Ov9+bMhIYyWcOPiJppx6zztxiIcZJH0JHpHL5gGrSySTwmGYpR/7IpfbxPoalfs0jPnpg+BdPmZ+QWNXx7GD0f+AkB+RSPfXj35Hdqz3DKgMVfYFQM0v6Hx194Vo4CuSJ1zYbFxPzRZHRsbqc3a2FAyKqoF82GhvptdsQOlPE4ekwKqQatKBEh5ilF+HM0Qxo6GKcLCyIikiyJ2oo4w5R3jM40bpqkbi4BSHqeO6gXToJVFAClPMcrfO3pCtdMJkvF/W5JVm5N8znJB4y/bnOSRX9HIt1dLvlA+yy0DGnON5iSv+Q2Nv3pzggG6IpWCLZOkktDJiXVLrYlzjK2PpQ3juFDGeTe3UjsDqjyp9GJHCqgGrSpPPlkailF+PGqJqUXwRZCFm4lIoxnxgU/ESipC0G4d0HVjEVCq45IvLdrTC6ZBK4sAUp1ilH9MUtjrNK2vUUoyqDBNn3Th8kHLBY2/bLeSR35FI99ePvnK+Sy3DGjMNbqVvOY3NP7q3QoG6Ip0ktwoYxgRfLTr499m4hnlZGJaMz/SEFw3d0MyCsoG48eOiQFVoVExinyyTh3KkX4dpzDjjVKEj24mcp49cX5y9+cFqpmryWjfj01A+WD82FHFYCo0swkgISxH+nT3Vkerw2ySTMz2FIOp0MwmgJSwHOnT3V/NKOgkT/zYUcVgKjSzST5pGsqR7mlAy6hMsNS86Z4ngsv+ni54BvIwAzj2Fwj2Kx779qLJ9+DPssyAB11h4wOR/YZnUHvrg0N6vjIECgnjx46JAVWhWRkCxITlSJ/u2SiMgo6DxY8dVQymQjOb5KOnoRzp1wdxWUaNsmRk3BFpl7idFooSNXLjmbDa8W5uj4xAYTZJxyB7ioFUaGYTQPRTjvQJJymg8Cd+7KhiMBWa2QQQ/5Qj3dfeJzVY1pxvWdbd++RH+Bc8A3mYARz7CwT7FY99e9Hkm/BnWWbAg66y98nLfsMzqL/3wSA9XRlisNyHpSKQHTGgKrQqQwyS+xQjfbpHhzIGy31YKgLZVQymQjObQHKfYqTPt0VmsNyHpSKQXcVgKjSzCST3KUb6fAM3Bst9WCoC2VUMpkIzm0Byn2Kkf7/3TT6Yd3XvG1tRvUtbGbGlXXUzxPJT/QuegTzMAI79BYL9ise+vYryXfmzLDPgQdfYDAFkv+EZVN8MoZCuUGODE5zWnoT477UPDsTS2Or0+OpbxmBB0PpohyNiQFVoVpcgQVAx0nebqNmZWVoVi9aytjpBx2Y49saKzpPiXC9h0v3YBBYEsVQmsqsYTIVmNoEEQcVI/96+vPpgrZodtS+pYEOZps9Dj+Cyv7gLnkHh9iWP/YrHvr2K8nX0WZYZ8KCrtC952W94BvXbFwzSx5COcT0tCxE8brA6v4efwSJFlnxm3lsxoCo0q0uQSLEY6e8/3lgptz7YSgF6nSJGiXcYp/ILZfS7V+d2fQHhBi8x7ywlWLDbpQQE9s+uJhiw997lAbavyQtPn26x70pfo3Xh+ZzmgmdQtnUBYL/isasj2J+8tKBB12hdALLf8Ayqty4opPcttZlGoYQh8YOKyHFND5hnRGs7Sxe8nib3oZfWhcPyRZ4+YvVGDKgKrVoXDskXi5F+tC537lsjbLUAlVWMFO9Q5knK8OfEgXCD15h31hIs2Ba9CwrsH3qXfiySPB9laV8WwYJtYhEM2H7bW5lkw9+Vvkp7m0+JLngG8jADOPYXCPYrHrs6gv3ZSwsWdJX2Ni/7Dc+gfnuLQbpCHdU8OWodCbOKPU6YLbFTEIQu3GrPpxD8q4d6aG9hweLq+iNiQFVo1t5CgsVipO82mf0spuBi7+vkSKRYz84LE4gaA/dMW0nXl7n3YhNYsLiuM8cUg6nQzCaQYLEY6R/B4mu976x7SQYX9s1Lpet2L/mQ6IJnULh7yWO/4rFvL6J8GX2WZQY86CrdS172G55B/e4Fg3SFGmyY1LRGSmFmRErnidVjIH4ydlIqTNMyfeimLMFyRZ6M2N6KAVWhWVmC5IrFSD921Gwx47RowkbO1wzSEUtn0+fdcxz0BrL4saOKwVRoZpP8sbehHOnHaiKCZ5ZRIpieiWTMEkfnQMaZu0mNVlCju7GJgJ04E8ncY/fCAqnQyiYiH0sN5Uj/aHJfiffV5IpkwGHfD/9rNLkiH9Fc8AzkYQZw7C8Q7Fc89u1FlO+2nmWZAQ+6RpMLkP2GZ1C9yUUhvS82ZhKTMZwEytY7e+1IQixdsaJ5qWfNjOT9JNCCw8pSMj97KwZUhWZlCXJ0sRjp8+2FBOzookhnaDuKwVRoZhPI0cVipO82sZwKpTgl3I4LkXoRJAjOiOF+DtRrZ4TqxyagV5PFjx1VDKZCM5vkw6mhHOnH0zesVnYxiozaCiLFPBIvvSQz44t3dAxLP2/bZQKWC63sjikGU6GZTSC5UDHS3//5darRjT3thXSSddu7cUU+qLngGcjDDODYXyDYr3js24so35Q/yzIDHnSVvVBe9hueQf29EAbpChWWWfdSlmCPsBTp9GPnxlSYCs3KUj6cGsqRfhwisnRxo9REWhVLmIldsR8FJULSyfB5oVL086RTAcuFRDoi2VEMpkIzm0ByoWKkz/e0HwHLhUQ6ItlRDKZCM5tAcqFipNcmdzXKh56aW5mON96/U75GcyvzAc0Fz0AeZgDH/gLBfsVj3148+S7rWZYZ8KBrNLcA2W94BtWbWxTS+8yFKxliYxML1lq6PHfET1wQZ3iYjQojl+FDL+VIwo6ayXTqsfeCdJAKrcqRzIdSQznSj0F/GGe/CEeUXG/INHYhXq8H1FiwEwt+Eqqf5lbC8iCZjkZ2FIOp0MwmkDyoGOnfH/Lz6oNVgI7al2S+4dq+rErmE5oLnkHh9iWP/YrHvr2K8nX0WZYZ8KCrtC952W94BvXbFwzS+246brEX5wSxVE5EKu2Jp7GkicCpk2ESZuknMpKwZFHKY2JAVWhWlyDJYjHSd5u4hVm2CEmcNZLI2a93N9CZTEpO4xxLGl06al9gyaJURxWDqdDMJpBksRjpx7MURhUEleuQdwlEOkaJ8yoQGsb4BaukMB1thmAnzmQy9thTDKZCM5vkU6mhHOnH7Sza8tFMhgRhKJF6XogbZSDCCeoW572Y+3muv4QFQjKZjewpBlOhmU0ggVAx0qtP+tn7pF/J1fb57DKfyFzwDORhBnDsLxDsVzz27UWTb8KfZZkBD7rK3icv+w3PoP7eB4P0fGUIliTKVKi2IwZUhWZlCJIkFiN9vqZWwU6YqfTrvXYUg6nQyiYqn0YN5Uifb4usYEGQSr/ea0cxmArNbAIJgoqRPt/ATcGCIJXKRHYVg6nQzCaQIKgY6a72Pir9Sq62D2FR+SH+Bc9AHmYAx/4CwX7FY99eNPkm/FmWGfCga+x9ALLf8Ayq731QSM9XhmC5j5LHxICq0KwMQXKfYqRP2NTCch+ljioGU6GZTSC5TzHSJ9wiw3IflYpAdhWDqdDMJpDcpxjp8w3cFCz3UakIZFcxmArNbALJfYqR7mvvkx4st32xncoP8S94BvIwAzj2Fwj2Kx779qLJN+HPssyAB11l75OX/YZnUH/vg0F63/uAjhH1UoZguY9KRyA773iDqdCsDEFyn2Kkz9fUaljuo9MRyI5iMBVa2URDcp9ipM+3Rdaw3EenI5AdxWAqNLMJJPcpRvp8AzcNy310OgLZW39BKjSzCST3KUb6+++vJHvzWt2tFqBXIWGkeIdy+nQB31J+t6sF4QY3tntgb3iw2wYWBPZP9rAosCva3l5JpmWSCPyGNxDuP2sRLNgmFsGAXdG+OmItIv2cI9QqyabtTEXnJ+kXPAN5mAEc+wsE+xWPXR3B/uylBQu6xkwFIPsNz6D6TAWF9Hy7IFgCpPUxMaAqNGtvIQlQMdKPmcrihVd2iq2wsESGUZOgR09GtbDgObfBT/3YBJYA6fQhmL3xAkiFZjaBJEDFSD+eGDiKefJ8Id5xQ6TXmljJA5m5t0FR6vz4pgFuZxPYo+B08qloe4rBVGhmk3yaMJQjfbeJsXJagrLE8eDiyqPiFtuNI5nCssSfY8egOyo6sEG+Ts20dxWDqdDMJpBBfjHSj9GbnIwZZ0ECs3Hl0YoTL+Z1rusnFrSfrBq7sYmBDfJN8nlVe4rBVGhlEwMZ5Bcj/ePZO687hr5eEWSSD6ZyZsu66pbZ5CfrFzwDeZgBHPsLBPsVj317EeX3bs+yzIAHXWPLDJD9hmdQfcuMQnpvckHPRu6lLMESIZMKR3bEgKrQrCxBEqFipM9306SBvSLIpGOPHcVgKjSzSf5UyVCO9PfH847XYtlR1yKTbNu+zMPkT1Zc8AwKdy157Fc89u3Fky+fz7LMgAddpWvJy37DM6jftWCQnq9rgZ0IMuqYGFAVmpWjfCg1lCN9twnsjQ692ASWB5l0NIJ/r0Urm0DyoGKkz3crtoHlQSYdjeDfa9HKJpA8qBjprk4EmfSRg7Zv6zb5QOaCZyAPM4Bjf4Fgv+Kxby+afHf1LMsMeNBVmtq87Dc8g/pNLQbp+coQLEg0qUxtRwyoCs3KECRILEb6fE2thQWJNn04ZkcxmAqtbGIhQWIx0ufbIlvYiSCbPhyzoxhMhWY2yYdQQznSP/Lm16LSV95sU3GGpnTLumqTa/OBzAXPQB5mAMf+AsF+xWPfXkT5butZlhnwoGs0uQDZb3gG1ZtcFNJ7kBi8He28EDN5s94BMxO/5kqLccwZS0duX/3fQ1mCBYk2+fyzt2JAVWhWliBBYjHSjxOIK/WtD7ZSgA4+YZR4h7FMMoa/SgqEG7zEvLOUYMFulxIQ2D+7mmDArmhfi/3qlI5aF5Vk0/ZNDTafylzwDORhBnDsLxDsVzx2dQT7s5cWLOgqrUte9hueQf3WBYP0Pnhx3k2WB6LUevNu0BPxctZEWMO4GoVbbD/zOQtLE60+JgZUhWatCyRNLEb6fGNcC0sTbSpY21UMpkIzm0DSxGKku0oTbTquaHtjv81HQxc8g8LdSh77FY99e9Hky+azLDPgQVfpVvKy3/AM6ncrGKTnK0OwNNGmg7Wdm5dhKjQrQ5A0sRjpxyMTrGJuXAxZjz8TOY+KeOoVYYtdjFzYaHw/xxIdLE106WBtRzGYCq1s4iBpYjHSXXUrLh2Gtb2h3+XjvAueQdluBYD9ise+vWjyZfNZlhnwoGt0KwDZb3gG1bsVFNIVqnJWLEpaMtqZrZG1INZPgVgVFrlMwfqxn27FcVgZSmZkb8WAqtCsDOUjzKEc6fM1tQ6WHrr025PwNy23sgkkPSxGuq9uRSZZui3Lut1K/izZBc+gcLeSx37FY99eNPmy+SzLDHjQVbqVvOw3PIP63QoG6fnKEOz4oVPHxICq0KwM5VPLoRzpEza1sMDQ6aOKwVRoZhNIYFiMdF/dSjLvEm1vuXX5xO6CZ1C4W8ljv+Kxby+afNl8lmUGPOgq3Upe9hueQf1uBYP0fCN+2HNMXTIWeysGVIVmZSifWg7lSJ+wqYUFhi6Zne0pBlOhmU0ggWEx0j11K5wm8y7x/g3OFbqVCC77e7rgGRTtViDYr3js24smXzafZZkBD7pCtwKR/YZnULtbwSE9WxniFHRuNX7smBhQFRqVocgn69WhHOnTNbWcggLD+LGjisFUaGYTQGBYjvT3399kJ7dG2GoBOuOEkeIdyumjc29eXP5uHQLhBpeiPbA3PNhtyQGB/bNVBwN2Rfv6Io91hejmIBmnMsmm6YOeIrjsxX3BM5CHGcCxv0CwX/HY1RHsz15asKCrtLh52W94BvVbXAzSFaoZJROMMkK580QqK4kfZ0O08xNlyxS876jFBcWH8WPHxICq0Kx3AcSH5Uh/fzxMe13HOypHOsm26UmhCC77+7rgGRQuR3nsVzz27cWTXxefZZkBD7pKOcrLfsMzqF+OMEhXqLOmkxdMEMXlSKSkkgRNHZGCKhb/MWGdKPdSjkAHVuPHjokBVaFZOcpnmUM50nebTGxibFKOBLW49dWJlFgn1zkNZZpSHpaeBnOgGDF+7KhiMBWa2QQQI5Yj/RjM+cUbP42Ex/12/OxiiWVcEMGdjH9FbHkM78cmoBgxfuyoYjAVmtkEECOWI/3YAwWnFRUzUdaulrKWBLPo+H/p6L3Xmvu5G5sw0LnD+LGjisFUaGUTlo+khnKkH6NbPY7SB0eUoDoWqEBJoHwiRoyey2mUSod+bAJLg1gyGNlTDKZCM5tA0qBipB+9iXB6FFIQSedx7V7m2McoRsbFztYzuvD1VTO92ASWBrFkMLJbpkEqNLMJJA0qRvrxuDgZ5DyNceWhq6U00yTMfCFuksasnqLO92MT0PGx+LGjisFUaGYTwPGxcqQfq8kspWWUEk9FbHL5EkhwVJDFs4laqWYhO7KJhNlEHlUMpkIzm+SzhKEc6btN6BxMGBdO/Mhs7GOmmdhZaCLGMchxit0NFf3YBDbGZ+qoYjAVmtkEMsYvRvqxmgRjtKOWeDNPRM7LTDybKWFx9zyJ4KeFLf3YBHQKKH7sqGIwFZrZJD8KHsqRfkxhF6H1pANhbLUU02M016juHc0cvzZb3tFqApvCsuMDSZAKzWwCmcIWI/04UziH+DcoQ+y09rzTMhE/Ly7uoL2xYZ5nx6Z+bAKbwrLDA0mYCs1sApnCFiN9vrtoGWwKyw4PJGEqNLMJZApbjPRjvCbsQkWwhHIZ1xsjNfGLCMTJyUlhNA2in/Eah01h+eGBJEyFVjbhkClsMdJdnfnh6VvK+ZZl1TtQeH4MesEzkIcZwLG/QLBf8di3F03+VohnWWbAg9aHQR+1zC8Q2W94BtXvQEEhPV8Zgo3veXKS/VYMqArNyhBkfF+M9PmaWg4b3/PkJHtPMZgKzWwCGd8XI32+LTKHje/X+n9MMZgKzWwCGd8XI32+gRuHje/XX+UxxWAqNLMJZHxfjPT5xvccNr7nyUn2nmIwFZrZBDK+L0b6cYDQu4mPmpFonTU4FIoE5iyZnaFsCpNRcu7HJrDxPU9OsvcUg6nQzCaQ8X0x0ufLjDlsfM/TjyXaUQymQjObQMb3xUjfbcLt5JWIZYma6CvJqCfBqvgNcbM0WepjlXL92AQ2vufJSfaeYjAVmtkEMr4vRvp8NyoJ2PhepB8cs6MYTIVWNhGQ8X0x0ue7O1bAbqIWB2eNUBWa2SQ/Ch7KkT7fvfYCNoUVxweSIBWa2QQyhS1G+nwndwRsCisODyRhKjSzCWQKW4z0+c4BCtgUVsijisFUaGYTyBS2GOnznSoWsCmsUEcVg6nQzCaQKWwx0q/PQtEfenoWikgOE2nT9xBGcNnf1wXPQB5mAMf+AsF+xWPfXjz5WyKeZZkBD1ofBn3UMr9AZL/hGVS/EwWFdIW6COeV45YIxhbC2DwT52IRm5jWzI80BNfPfFbAxvgiOdF+KwZUhWblCDLGL0a6qxsiRXoKLd69IquUofwc/YJnULgM5bFf8di3F01+PXyWZQY86CplKC/7Dc+gfhnCID1fGYLlPyIdhbwRA6pCszIEyX+KkX7dFUWDdbQrkulTCE3fdxrBZX9fFzyDsuUIgP2Kx769ePLr4rMsM+BB1yhHANlveAbVyxEK6X1Ip2YjtXNEL9MaD9iFhHFxhLN5nKZJLTYsH3opRxIWIMr0A4l23ukIU6FVOZKQALEY6bUc3Zk/iK+P0++oLCXzMNb2VVEyn+hd8AwKl6U89ise+/Yiyq+Pz7LMgAddpSzlZb/hGdQvSxikPU1hZDpIff8VKVXWl3wUfMEzKLy+5LFf8djVEezPXl+woKusL3nZb3gG9dcXDNKu1heZJKDelbrK+pK/h+CCZ1B4fcljv+KxqyPYn72+YEFXWV/yst/wDOqvLxikXa0vKkmg7XvGZP7mkwueQeH1JY/9iseujmB/9vqCBV1lfcnLfsMzqL++YJB2tb7oJIH336FTZX3J3/lywTMovL7ksV/x2NUR7M9eX7Cgq6wvedlveAb11xcM0q7Wl+S9PqLtzZgyf7fSBc+g8PqSx37FY1dHsD97fcGCrrK+5GW/4RnUX18wSO8v747/5e2r57a2Ab1X+onOSd7TwzjYOSDcYPO8YxIs2K1JQGD/rE8wYFe0Xb68Wybv/GGNQ4H8vUsXPIPCRSmP/YrHro5gf/bSggVdpSjlZb/hGdQvShikPTW9Kv3IgLb32qn8jVMXPIOy6wsA+xWPXR3B/uT1BQ26xvoCkP2GZ1B9fUEh7Wp9Sd4qJum7UldZX/I3u13wDAqvL3nsVzx2dQT7s9cXLOgq60te9hueQf31BYP0n2/S7Gu/pHiKEGsbQqr8HXcXPIPC600e+xWPXR3B/uz1Bgu6ynqTl/2GZ1B/vcEgvQ/xXv/56ec//NSf/vWnv7D4lX/6cY9v+vkPP+fHV3779v8+zb9Fxj8tXz5/W/89fvn05ev6B//1r2H9aX/hf1HSmp++//zTZ//r+hf88vHX+bd/+ff5v/7l5cuv/nP82377+D/xPzD+80//+DzNXz99/Lx+7vOX+K/4bf7Tx79+Xv24/ti/ffn68X/i3+U/xU98mpdv8dv/c/767eN4/8oYPzZ/jV/7r6/+77/M/x2/59vXf8zxp4RIcf56xxq+fPv25dfHn9Yv/sfK4sdf+PMOBXr/56fYBf40ffR//fJ5/bsw330HjPrOrx//+jfkt3778nfMN8bvXD5+uhNd/736Mn7gty+f4q9/9cL0b+9+72oM//Xb2w/88MJqhn/8Guavf/nyNdrsYaD1T//2ZVr/lv8zf56/RpHj5/7+9cu3x4xz/dSnL+P/naP9fnx5XrE8Lqb4xY+f/xZXsG8r+P8PcPrNZQ==</t>
  </si>
  <si>
    <t>Номер п/п</t>
  </si>
  <si>
    <t>Код узла ИСР</t>
  </si>
  <si>
    <t>Наименование затрат</t>
  </si>
  <si>
    <t>Комментарий по ИСР</t>
  </si>
  <si>
    <t>Комментарий подрядчика</t>
  </si>
  <si>
    <t>Ед. изм.</t>
  </si>
  <si>
    <t>Коэф.расхода</t>
  </si>
  <si>
    <t>Кол-во БО</t>
  </si>
  <si>
    <t>Общее кол-во</t>
  </si>
  <si>
    <t>Цена, руб. с НДС</t>
  </si>
  <si>
    <t>Материалы/
оборудование</t>
  </si>
  <si>
    <t>СМР, ПНР</t>
  </si>
  <si>
    <t>Стоимость, руб с НДС</t>
  </si>
  <si>
    <t>Общая стоимость,
руб. с НДС</t>
  </si>
  <si>
    <t>1. Встроенное и Встроенно-пристроенное СКБ</t>
  </si>
  <si>
    <t>1.1</t>
  </si>
  <si>
    <t>6</t>
  </si>
  <si>
    <t>Затраты на строительство</t>
  </si>
  <si>
    <t>1.1.1</t>
  </si>
  <si>
    <t>6.2</t>
  </si>
  <si>
    <t>СМР корпуса без отделки</t>
  </si>
  <si>
    <t>1.1.1.1</t>
  </si>
  <si>
    <t>6.2.2</t>
  </si>
  <si>
    <t>СМР надземной части корпуса (без отделки)</t>
  </si>
  <si>
    <t>1.1.1.1.1</t>
  </si>
  <si>
    <t>6.2.2.4</t>
  </si>
  <si>
    <t>Внутренние стены и перегородки</t>
  </si>
  <si>
    <t>1.1.1.1.1.1</t>
  </si>
  <si>
    <t>6.2.2.4.2</t>
  </si>
  <si>
    <t>Устройство перегородок</t>
  </si>
  <si>
    <t>1.1.1.1.1.1.1</t>
  </si>
  <si>
    <t>6.2.2.4.2.4</t>
  </si>
  <si>
    <t>Устройство перегородок и зашивка коммуникаций ГКЛ</t>
  </si>
  <si>
    <t>1.1.1.1.1.1.1.1</t>
  </si>
  <si>
    <t>6.2.2.4.2.4.2.16</t>
  </si>
  <si>
    <t>Облицовка стен по системе Knauf / С-626 / в 2 слоя / А-6, А-9</t>
  </si>
  <si>
    <t>Выгружается из БО по объектам BIM-КЦ</t>
  </si>
  <si>
    <t>Блок 1, блок 4.1
1 ,2, 3 этаж
Обшивка стояков и коллекторов</t>
  </si>
  <si>
    <t>м2</t>
  </si>
  <si>
    <t>1.1.1.1.1.1.1.1.1</t>
  </si>
  <si>
    <t>Прочие материалы для облицовки стен из ГКЛ (лента, шпатлевка, грунтовка, шуруп, дюбель и пр.)_ / 2 слоя ГКЛ / профиль ПН/ПС 75 мм</t>
  </si>
  <si>
    <t>комплект</t>
  </si>
  <si>
    <t>1.1.1.1.1.1.1.1.2</t>
  </si>
  <si>
    <t>Профиль_/стоечный/50*50*0,60/3м</t>
  </si>
  <si>
    <t>пог. м</t>
  </si>
  <si>
    <t>1.1.1.1.1.1.1.1.3</t>
  </si>
  <si>
    <t>Профиль_/направляющий/50*40*0,60/3м</t>
  </si>
  <si>
    <t>1.1.1.1.1.1.1.1.4</t>
  </si>
  <si>
    <t>Лист гипсоволокнистый ГВЛ 12,5мм Г1</t>
  </si>
  <si>
    <t>1.1.2</t>
  </si>
  <si>
    <t>6.3</t>
  </si>
  <si>
    <t>Отделка, столярные работы, мебель и оборудование</t>
  </si>
  <si>
    <t>1.1.2.1</t>
  </si>
  <si>
    <t>6.3.1</t>
  </si>
  <si>
    <t>Отделка нежилых помещений</t>
  </si>
  <si>
    <t>1.1.2.1.1</t>
  </si>
  <si>
    <t>6.3.1.5</t>
  </si>
  <si>
    <t>Отделка СКБ</t>
  </si>
  <si>
    <t>1.1.2.1.1.1</t>
  </si>
  <si>
    <t>6.3.1.5.1</t>
  </si>
  <si>
    <t>Полы</t>
  </si>
  <si>
    <t>1.1.2.1.1.1.1</t>
  </si>
  <si>
    <t>6.3.1.5.1.1</t>
  </si>
  <si>
    <t xml:space="preserve">Подготовка полов под финишное покрытие </t>
  </si>
  <si>
    <t>1.1.2.1.1.1.1.1</t>
  </si>
  <si>
    <t>6.3.1.5.1.1.3.1</t>
  </si>
  <si>
    <t xml:space="preserve">Устройство наливных полов с огрунтовкой поверхности и проклейкой демпферной лентой / толщ. до 10 мм </t>
  </si>
  <si>
    <t>Вне зависимости от способа выполнения работ механизировано или в ручную.</t>
  </si>
  <si>
    <t>Типы 9, 9.1, 9.2, 9.3, 11, 11.1</t>
  </si>
  <si>
    <t>1.1.2.1.1.1.1.1.1</t>
  </si>
  <si>
    <t>Наливной пол_ / Унифицированный по ПИК-СТАНДАРТ</t>
  </si>
  <si>
    <t>кг</t>
  </si>
  <si>
    <t>1.1.2.1.1.1.1.1.2</t>
  </si>
  <si>
    <t>Лента кромочная демпферная_/8*100мм/20м</t>
  </si>
  <si>
    <t>1.1.2.1.1.1.1.1.3</t>
  </si>
  <si>
    <t>Грунтовка универсальный ЛАСТИМИН_ / УНКОНТ ЛЮКС LP51 А</t>
  </si>
  <si>
    <t>1.1.2.1.1.1.1.2</t>
  </si>
  <si>
    <t>6.3.1.5.1.1.6.3</t>
  </si>
  <si>
    <t>Устройство разделительного слоя / из пленки полиэтиленовой / в 1 слой</t>
  </si>
  <si>
    <t xml:space="preserve">Типы 4.4, 5, 5.1, 6, 6.1, 7, 7.1, 7.2, 8.1, 8.2, 9, 9.1
</t>
  </si>
  <si>
    <t>1.1.2.1.1.1.1.2.1</t>
  </si>
  <si>
    <t>Пленка полиэтиленовая_/200мкр</t>
  </si>
  <si>
    <t>1.1.2.1.1.1.1.3</t>
  </si>
  <si>
    <t>6.3.1.5.1.1.9.1</t>
  </si>
  <si>
    <t>Обработка полов гидрофобизирующим составом</t>
  </si>
  <si>
    <t>Типы 5, 5.1 - обеспыливание</t>
  </si>
  <si>
    <t>1.1.2.1.1.1.1.3.1</t>
  </si>
  <si>
    <t>Пропитка для бетонных поверхностей  / Элакор МБ1</t>
  </si>
  <si>
    <t>1.1.2.1.1.1.1.3.2</t>
  </si>
  <si>
    <t>Грунтовка силикатная КМ0 Прозрачный</t>
  </si>
  <si>
    <t>1.1.2.1.1.1.1.4</t>
  </si>
  <si>
    <t>6.3.1.5.1.1.10.1</t>
  </si>
  <si>
    <t>Затирка, уход, полировка полов мех.способом</t>
  </si>
  <si>
    <t>Тип 4.4</t>
  </si>
  <si>
    <t>1.1.2.1.1.1.1.4.1</t>
  </si>
  <si>
    <t>Цемент- / Портланд / М500</t>
  </si>
  <si>
    <t>1.1.2.1.1.1.1.5</t>
  </si>
  <si>
    <t>6.3.1.5.1.1.11.2</t>
  </si>
  <si>
    <t>Устройство стяжки СКБ / армированная сеткой от 21 мм до 40мм</t>
  </si>
  <si>
    <t>Тип 7.1
40мм</t>
  </si>
  <si>
    <t>1.1.2.1.1.1.1.5.1</t>
  </si>
  <si>
    <t>Фиксатор арматуры Звездочка_/15/4-16</t>
  </si>
  <si>
    <t>шт</t>
  </si>
  <si>
    <t>1.1.2.1.1.1.1.5.2</t>
  </si>
  <si>
    <t>Смесь цементно-песчаная сухая_/М200</t>
  </si>
  <si>
    <t>1.1.2.1.1.1.1.5.3</t>
  </si>
  <si>
    <t>Сетка эл/св_/100*100*5</t>
  </si>
  <si>
    <t>1.1.2.1.1.1.1.5.4</t>
  </si>
  <si>
    <t>1.1.2.1.1.1.1.6</t>
  </si>
  <si>
    <t>6.3.1.5.1.1.11.3</t>
  </si>
  <si>
    <t>Устройство стяжки СКБ / армированная сеткой от 41 мм до 60мм</t>
  </si>
  <si>
    <t>Типы 8.3, 9.1, 9.3
60мм</t>
  </si>
  <si>
    <t>1.1.2.1.1.1.1.6.1</t>
  </si>
  <si>
    <t>1.1.2.1.1.1.1.6.2</t>
  </si>
  <si>
    <t>1.1.2.1.1.1.1.6.3</t>
  </si>
  <si>
    <t>1.1.2.1.1.1.1.6.4</t>
  </si>
  <si>
    <t>1.1.2.1.1.1.1.7</t>
  </si>
  <si>
    <t>6.3.1.5.1.1.11.4</t>
  </si>
  <si>
    <t>Устройство стяжки СКБ / армированная сеткой от 61мм до 80мм</t>
  </si>
  <si>
    <t>Типы 6, 6.1, 7, 7.2, 8.1, 8.2, 9, 9.2</t>
  </si>
  <si>
    <t>1.1.2.1.1.1.1.7.1</t>
  </si>
  <si>
    <t>1.1.2.1.1.1.1.7.2</t>
  </si>
  <si>
    <t>1.1.2.1.1.1.1.7.3</t>
  </si>
  <si>
    <t>1.1.2.1.1.1.1.7.4</t>
  </si>
  <si>
    <t>1.1.2.1.1.1.1.8</t>
  </si>
  <si>
    <t>Типы 11, 11.1
68мм</t>
  </si>
  <si>
    <t>1.1.2.1.1.1.1.8.1</t>
  </si>
  <si>
    <t>Грунтовка БЕТОН-КОНТАКТ_/</t>
  </si>
  <si>
    <t>1.1.2.1.1.1.1.8.2</t>
  </si>
  <si>
    <t>1.1.2.1.1.1.1.8.3</t>
  </si>
  <si>
    <t>1.1.2.1.1.1.1.8.4</t>
  </si>
  <si>
    <t>1.1.2.1.1.1.1.8.5</t>
  </si>
  <si>
    <t>1.1.2.1.1.1.1.9</t>
  </si>
  <si>
    <t>Тип 5
70мм</t>
  </si>
  <si>
    <t>1.1.2.1.1.1.1.9.1</t>
  </si>
  <si>
    <t>1.1.2.1.1.1.1.9.2</t>
  </si>
  <si>
    <t>Смесь цементно-песчаная сухая_/М150</t>
  </si>
  <si>
    <t>1.1.2.1.1.1.1.9.3</t>
  </si>
  <si>
    <t>Сетка эл/св_/100*100*4</t>
  </si>
  <si>
    <t>1.1.2.1.1.1.1.9.4</t>
  </si>
  <si>
    <t>1.1.2.1.1.1.1.10</t>
  </si>
  <si>
    <t>Типы 4.4, 5.1
80мм</t>
  </si>
  <si>
    <t>1.1.2.1.1.1.1.10.1</t>
  </si>
  <si>
    <t>1.1.2.1.1.1.1.10.2</t>
  </si>
  <si>
    <t>1.1.2.1.1.1.1.10.3</t>
  </si>
  <si>
    <t>1.1.2.1.1.1.1.10.4</t>
  </si>
  <si>
    <t>1.1.2.1.1.1.2</t>
  </si>
  <si>
    <t>6.3.1.5.1.2</t>
  </si>
  <si>
    <t>Гидроизоляция, тепло-звукоизоляция, утепление</t>
  </si>
  <si>
    <t>1.1.2.1.1.1.2.1</t>
  </si>
  <si>
    <t>6.3.1.5.1.2.1.2</t>
  </si>
  <si>
    <t>Устройство обмазочной гидроизоляции с проклеиванием швов армированной лентой из стекловолокна / в 2 слоя</t>
  </si>
  <si>
    <t>Типы 7, 7.1, 7.2, 8.2, 8.3, 9.1, 9.3</t>
  </si>
  <si>
    <t>1.1.2.1.1.1.2.1.1</t>
  </si>
  <si>
    <t>Праймер битумный_ / Технониколь №01</t>
  </si>
  <si>
    <t>1.1.2.1.1.1.2.1.2</t>
  </si>
  <si>
    <t>Мастика_ / Технониколь / №21</t>
  </si>
  <si>
    <t>5 мм</t>
  </si>
  <si>
    <t>1.1.2.1.1.1.2.1.3</t>
  </si>
  <si>
    <t>Лента армированная Серпянка 150мм</t>
  </si>
  <si>
    <t>1.1.2.1.1.1.2.2</t>
  </si>
  <si>
    <t>6.3.1.5.1.2.4.1</t>
  </si>
  <si>
    <t>Устройство тепло-звукоизоляции полов / минвата / в 1 слой</t>
  </si>
  <si>
    <t>Типы 5, 6, 7, 7.2, 8.1, 8.2, 9, 9.1</t>
  </si>
  <si>
    <t>1.1.2.1.1.2.1.1</t>
  </si>
  <si>
    <t>6.3.1.5.2.1.1.1</t>
  </si>
  <si>
    <t>Оклейка швов сопряжения бетонных и других поверхностей стен, перегородок (газобетон, ПГП, панели АКОТЕК и др.) стеклохолстом</t>
  </si>
  <si>
    <t>1.1.2.1.1.2.1.6</t>
  </si>
  <si>
    <t>6.3.1.5.2.1.10.5</t>
  </si>
  <si>
    <t>Штукатурка стен цементным, цементно-песчаным раствором с предварительной огрунтовкой / толщ. от 21 до 40 мм / высотой от 4,01 до 8 метров</t>
  </si>
  <si>
    <t>Леса применяются отдельной расценкой.</t>
  </si>
  <si>
    <t>ЧСТ-1 с 1-ого по 3-ий этажи</t>
  </si>
  <si>
    <t>1.1.2.1.1.2.1.7</t>
  </si>
  <si>
    <t>СТ-5, СТ-5.1</t>
  </si>
  <si>
    <t>1.1.2.1.1.2.1.8</t>
  </si>
  <si>
    <t>СТ-8, СТ-8.1</t>
  </si>
  <si>
    <t>1.1.2.1.1.2.1.9</t>
  </si>
  <si>
    <t>ЧСТ-2, ЧСТ-4 с 1-ого по 3-ий этажи</t>
  </si>
  <si>
    <t>1.1.2.1.1.3.1.2</t>
  </si>
  <si>
    <t>6.3.1.5.3.1.6.1</t>
  </si>
  <si>
    <t>Подготовка поверхности СКБ / потолка / ЖБ / 5 мм</t>
  </si>
  <si>
    <t>тип П-6, П-13, П-14, П-16</t>
  </si>
  <si>
    <t>1.1.2.1.1.5.4</t>
  </si>
  <si>
    <t>6.3.1.5.99.2.2</t>
  </si>
  <si>
    <t>Содержание корпуса в период проведения отделки / 2 секции</t>
  </si>
  <si>
    <t>Кол-во месяцев согласно графика производства отделочных работ.</t>
  </si>
  <si>
    <t>Блок 1, Блок 4,1</t>
  </si>
  <si>
    <t>мес</t>
  </si>
  <si>
    <t>Общая стоимость работ, руб. с НДС</t>
  </si>
  <si>
    <t>ОКТЯБРЬ 2025 г</t>
  </si>
  <si>
    <t>ИТОГО</t>
  </si>
  <si>
    <t>ОСТАЛОСТЬ ЗАКРЫТЬ</t>
  </si>
  <si>
    <t>СУММА ВЫПОЛНЕНИЯ</t>
  </si>
  <si>
    <t>ИТОГО ПО КОНТРАКТУ</t>
  </si>
  <si>
    <t>ВЫПОЛНЕНИЕ/ЗАКРЫТИЕ № 1</t>
  </si>
  <si>
    <t>ВЫПОЛНЕНИЕ/ЗАКРЫТИЕ № 2</t>
  </si>
  <si>
    <t>СУММА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</si>
</sst>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0"/>
  </numFmts>
  <fonts count="23" x14ac:knownFonts="1">
    <font>
      <sz val="11"/>
      <color rgb="FF000000"/>
      <name val="Calibri"/>
    </font>
    <font>
      <b/>
      <sz val="11"/>
      <color rgb="FFFFFFFF"/>
      <name val="Times New Roman"/>
      <family val="1"/>
      <charset val="204"/>
    </font>
    <font>
      <sz val="12"/>
      <color rgb="FF2F5487"/>
      <name val="Times New Roman"/>
      <family val="1"/>
      <charset val="204"/>
    </font>
    <font>
      <b/>
      <sz val="16"/>
      <color rgb="FF000000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sz val="16"/>
      <color rgb="FF000000"/>
      <name val="Times New Roman"/>
      <family val="1"/>
      <charset val="204"/>
    </font>
    <font>
      <b/>
      <sz val="16"/>
      <color rgb="FFFFFFFF"/>
      <name val="Times New Roman"/>
      <family val="1"/>
      <charset val="204"/>
    </font>
    <font>
      <b/>
      <sz val="13"/>
      <color rgb="FF000000"/>
      <name val="Times New Roman"/>
      <family val="1"/>
      <charset val="204"/>
    </font>
    <font>
      <b/>
      <sz val="18"/>
      <color rgb="FF000000"/>
      <name val="Times New Roman"/>
      <family val="1"/>
      <charset val="204"/>
    </font>
    <font>
      <sz val="14"/>
      <color rgb="FF000000"/>
      <name val="Times New Roman"/>
      <family val="1"/>
      <charset val="204"/>
    </font>
    <font>
      <i/>
      <sz val="14"/>
      <color rgb="FF000000"/>
      <name val="Times New Roman"/>
      <family val="1"/>
      <charset val="204"/>
    </font>
    <font>
      <b/>
      <sz val="14"/>
      <color rgb="FFFF0000"/>
      <name val="Times New Roman"/>
      <family val="1"/>
      <charset val="204"/>
    </font>
    <font>
      <sz val="14"/>
      <color rgb="FF800000"/>
      <name val="Times New Roman"/>
      <family val="1"/>
      <charset val="204"/>
    </font>
    <font>
      <b/>
      <sz val="14"/>
      <color rgb="FF000000"/>
      <name val="Times New Roman"/>
      <family val="1"/>
      <charset val="204"/>
    </font>
    <font>
      <sz val="14"/>
      <color rgb="FF000000"/>
      <name val="Times New Roman"/>
      <family val="1"/>
      <charset val="204"/>
    </font>
    <font>
      <b/>
      <sz val="18"/>
      <color rgb="FFFF0000"/>
      <name val="Times New Roman"/>
      <family val="1"/>
      <charset val="204"/>
    </font>
    <font>
      <b/>
      <sz val="16"/>
      <color rgb="FFFF0000"/>
      <name val="Times New Roman"/>
      <family val="1"/>
      <charset val="204"/>
    </font>
    <font>
      <b/>
      <sz val="18"/>
      <color rgb="FF000000"/>
      <name val="Calibri"/>
      <family val="2"/>
      <charset val="204"/>
    </font>
    <font>
      <b/>
      <sz val="13"/>
      <color rgb="FFFF0000"/>
      <name val="Times New Roman"/>
      <family val="1"/>
      <charset val="204"/>
    </font>
    <font>
      <b/>
      <sz val="20"/>
      <color rgb="FF000000"/>
      <name val="Times New Roman"/>
      <family val="1"/>
      <charset val="204"/>
    </font>
    <font>
      <sz val="20"/>
      <color rgb="FF000000"/>
      <name val="Calibri"/>
      <family val="2"/>
      <charset val="204"/>
    </font>
    <font>
      <b/>
      <sz val="20"/>
      <color rgb="FFFF0000"/>
      <name val="Times New Roman"/>
      <family val="1"/>
      <charset val="204"/>
    </font>
    <font>
      <sz val="11"/>
      <color rgb="FF000000"/>
      <name val="Times New Roman"/>
      <family val="1"/>
      <charset val="204"/>
    </font>
  </fonts>
  <fills count="38">
    <fill>
      <patternFill patternType="none"/>
    </fill>
    <fill>
      <patternFill patternType="gray125"/>
    </fill>
    <fill>
      <patternFill patternType="solid">
        <fgColor rgb="FF2F5487"/>
        <bgColor rgb="FF000000"/>
      </patternFill>
    </fill>
    <fill>
      <patternFill patternType="solid">
        <fgColor rgb="FFDBE6F1"/>
        <bgColor rgb="FF000000"/>
      </patternFill>
    </fill>
    <fill>
      <patternFill patternType="solid">
        <fgColor rgb="FFD9D9D8"/>
        <bgColor rgb="FF000000"/>
      </patternFill>
    </fill>
    <fill>
      <patternFill patternType="solid">
        <fgColor rgb="FFD8E4BC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FFFF"/>
        <bgColor rgb="FF000000"/>
      </patternFill>
    </fill>
    <fill>
      <patternFill patternType="solid">
        <fgColor rgb="FFCCFF33"/>
        <bgColor indexed="64"/>
      </patternFill>
    </fill>
    <fill>
      <patternFill patternType="solid">
        <fgColor rgb="FFCCFF33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CCFFCC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66FFCC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66FFCC"/>
        <bgColor rgb="FF000000"/>
      </patternFill>
    </fill>
    <fill>
      <patternFill patternType="solid">
        <fgColor rgb="FFFFCCFF"/>
        <bgColor rgb="FF000000"/>
      </patternFill>
    </fill>
    <fill>
      <patternFill patternType="solid">
        <fgColor rgb="FFCCECFF"/>
        <bgColor indexed="64"/>
      </patternFill>
    </fill>
    <fill>
      <patternFill patternType="solid">
        <fgColor rgb="FFCCECFF"/>
        <bgColor rgb="FF000000"/>
      </patternFill>
    </fill>
    <fill>
      <patternFill patternType="solid">
        <fgColor rgb="FFFFCCCC"/>
        <bgColor rgb="FF000000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59999389629810485"/>
        <bgColor rgb="FF000000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59999389629810485"/>
        <bgColor rgb="FF00000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rgb="FF000000"/>
      </patternFill>
    </fill>
    <fill>
      <patternFill patternType="solid">
        <fgColor rgb="FF66FFFF"/>
        <bgColor indexed="64"/>
      </patternFill>
    </fill>
    <fill>
      <patternFill patternType="solid">
        <fgColor rgb="FF66FFFF"/>
        <bgColor rgb="FF000000"/>
      </patternFill>
    </fill>
    <fill>
      <patternFill patternType="solid">
        <fgColor theme="6" tint="0.79998168889431442"/>
        <bgColor rgb="FF000000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rgb="FF000000"/>
      </patternFill>
    </fill>
    <fill>
      <patternFill patternType="solid">
        <fgColor theme="4" tint="-0.249977111117893"/>
        <bgColor indexed="64"/>
      </patternFill>
    </fill>
  </fills>
  <borders count="7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 style="medium">
        <color indexed="64"/>
      </right>
      <top style="thin">
        <color rgb="FF000000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medium">
        <color indexed="64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66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 wrapText="1"/>
    </xf>
    <xf numFmtId="0" fontId="0" fillId="2" borderId="0" xfId="0" applyFill="1"/>
    <xf numFmtId="0" fontId="4" fillId="0" borderId="7" xfId="0" applyFont="1" applyBorder="1" applyAlignment="1">
      <alignment horizontal="center" vertical="center" wrapText="1"/>
    </xf>
    <xf numFmtId="4" fontId="7" fillId="0" borderId="7" xfId="0" applyNumberFormat="1" applyFont="1" applyBorder="1" applyAlignment="1">
      <alignment horizontal="center" vertical="center"/>
    </xf>
    <xf numFmtId="0" fontId="0" fillId="4" borderId="2" xfId="0" applyFill="1" applyBorder="1"/>
    <xf numFmtId="4" fontId="7" fillId="4" borderId="7" xfId="0" applyNumberFormat="1" applyFont="1" applyFill="1" applyBorder="1" applyAlignment="1">
      <alignment horizontal="center" vertical="center"/>
    </xf>
    <xf numFmtId="0" fontId="4" fillId="0" borderId="7" xfId="0" applyFont="1" applyBorder="1" applyAlignment="1">
      <alignment horizontal="left" vertical="center"/>
    </xf>
    <xf numFmtId="0" fontId="9" fillId="0" borderId="7" xfId="0" applyFont="1" applyBorder="1" applyAlignment="1">
      <alignment horizontal="left" vertical="center" wrapText="1"/>
    </xf>
    <xf numFmtId="0" fontId="9" fillId="0" borderId="7" xfId="0" applyFont="1" applyBorder="1" applyAlignment="1">
      <alignment horizontal="center" vertical="center" wrapText="1"/>
    </xf>
    <xf numFmtId="164" fontId="9" fillId="0" borderId="7" xfId="0" applyNumberFormat="1" applyFont="1" applyBorder="1" applyAlignment="1">
      <alignment horizontal="center" vertical="center" wrapText="1"/>
    </xf>
    <xf numFmtId="4" fontId="9" fillId="0" borderId="7" xfId="0" applyNumberFormat="1" applyFont="1" applyBorder="1" applyAlignment="1">
      <alignment horizontal="center" vertical="center" wrapText="1"/>
    </xf>
    <xf numFmtId="4" fontId="9" fillId="3" borderId="7" xfId="0" applyNumberFormat="1" applyFont="1" applyFill="1" applyBorder="1" applyAlignment="1">
      <alignment horizontal="center" vertical="center" wrapText="1"/>
    </xf>
    <xf numFmtId="0" fontId="10" fillId="0" borderId="7" xfId="0" applyFont="1" applyBorder="1" applyAlignment="1">
      <alignment horizontal="right" vertical="center" wrapText="1"/>
    </xf>
    <xf numFmtId="0" fontId="9" fillId="0" borderId="7" xfId="0" applyFont="1" applyBorder="1" applyAlignment="1">
      <alignment horizontal="center" vertical="center"/>
    </xf>
    <xf numFmtId="164" fontId="9" fillId="0" borderId="7" xfId="0" applyNumberFormat="1" applyFont="1" applyBorder="1" applyAlignment="1">
      <alignment horizontal="center" vertical="center"/>
    </xf>
    <xf numFmtId="4" fontId="9" fillId="3" borderId="7" xfId="0" applyNumberFormat="1" applyFont="1" applyFill="1" applyBorder="1" applyAlignment="1">
      <alignment horizontal="center" vertical="center"/>
    </xf>
    <xf numFmtId="4" fontId="9" fillId="0" borderId="7" xfId="0" applyNumberFormat="1" applyFont="1" applyBorder="1" applyAlignment="1">
      <alignment horizontal="center" vertical="center"/>
    </xf>
    <xf numFmtId="0" fontId="10" fillId="5" borderId="7" xfId="0" applyFont="1" applyFill="1" applyBorder="1" applyAlignment="1">
      <alignment horizontal="right" vertical="center" wrapText="1"/>
    </xf>
    <xf numFmtId="164" fontId="11" fillId="0" borderId="7" xfId="0" applyNumberFormat="1" applyFont="1" applyBorder="1" applyAlignment="1">
      <alignment horizontal="center" vertical="center"/>
    </xf>
    <xf numFmtId="164" fontId="12" fillId="0" borderId="7" xfId="0" applyNumberFormat="1" applyFont="1" applyBorder="1" applyAlignment="1">
      <alignment horizontal="center" vertical="center"/>
    </xf>
    <xf numFmtId="0" fontId="4" fillId="6" borderId="7" xfId="0" applyFont="1" applyFill="1" applyBorder="1" applyAlignment="1">
      <alignment horizontal="left" vertical="center"/>
    </xf>
    <xf numFmtId="0" fontId="4" fillId="7" borderId="7" xfId="0" applyFont="1" applyFill="1" applyBorder="1" applyAlignment="1">
      <alignment horizontal="left" vertical="center"/>
    </xf>
    <xf numFmtId="0" fontId="9" fillId="7" borderId="7" xfId="0" applyFont="1" applyFill="1" applyBorder="1" applyAlignment="1">
      <alignment horizontal="center" vertical="center" wrapText="1"/>
    </xf>
    <xf numFmtId="164" fontId="9" fillId="7" borderId="7" xfId="0" applyNumberFormat="1" applyFont="1" applyFill="1" applyBorder="1" applyAlignment="1">
      <alignment horizontal="center" vertical="center" wrapText="1"/>
    </xf>
    <xf numFmtId="0" fontId="9" fillId="6" borderId="7" xfId="0" applyFont="1" applyFill="1" applyBorder="1" applyAlignment="1">
      <alignment horizontal="center" vertical="center" wrapText="1"/>
    </xf>
    <xf numFmtId="164" fontId="9" fillId="6" borderId="7" xfId="0" applyNumberFormat="1" applyFont="1" applyFill="1" applyBorder="1" applyAlignment="1">
      <alignment horizontal="center" vertical="center" wrapText="1"/>
    </xf>
    <xf numFmtId="0" fontId="13" fillId="6" borderId="7" xfId="0" applyFont="1" applyFill="1" applyBorder="1" applyAlignment="1">
      <alignment horizontal="center" vertical="center" wrapText="1"/>
    </xf>
    <xf numFmtId="0" fontId="13" fillId="0" borderId="7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4" fontId="7" fillId="0" borderId="0" xfId="0" applyNumberFormat="1" applyFont="1" applyAlignment="1">
      <alignment horizontal="center" vertical="center"/>
    </xf>
    <xf numFmtId="4" fontId="7" fillId="4" borderId="1" xfId="0" applyNumberFormat="1" applyFont="1" applyFill="1" applyBorder="1" applyAlignment="1">
      <alignment horizontal="center" vertical="center"/>
    </xf>
    <xf numFmtId="4" fontId="7" fillId="0" borderId="1" xfId="0" applyNumberFormat="1" applyFont="1" applyBorder="1" applyAlignment="1">
      <alignment horizontal="center" vertical="center"/>
    </xf>
    <xf numFmtId="4" fontId="9" fillId="0" borderId="1" xfId="0" applyNumberFormat="1" applyFont="1" applyBorder="1" applyAlignment="1">
      <alignment horizontal="center" vertical="center" wrapText="1"/>
    </xf>
    <xf numFmtId="4" fontId="9" fillId="0" borderId="3" xfId="0" applyNumberFormat="1" applyFont="1" applyBorder="1" applyAlignment="1">
      <alignment horizontal="center" vertical="center" wrapText="1"/>
    </xf>
    <xf numFmtId="4" fontId="9" fillId="3" borderId="3" xfId="0" applyNumberFormat="1" applyFont="1" applyFill="1" applyBorder="1" applyAlignment="1">
      <alignment horizontal="center" vertical="center"/>
    </xf>
    <xf numFmtId="4" fontId="7" fillId="0" borderId="10" xfId="0" applyNumberFormat="1" applyFont="1" applyBorder="1" applyAlignment="1">
      <alignment horizontal="center" vertical="center"/>
    </xf>
    <xf numFmtId="4" fontId="7" fillId="0" borderId="11" xfId="0" applyNumberFormat="1" applyFont="1" applyBorder="1" applyAlignment="1">
      <alignment horizontal="center" vertical="center"/>
    </xf>
    <xf numFmtId="0" fontId="0" fillId="0" borderId="10" xfId="0" applyBorder="1"/>
    <xf numFmtId="0" fontId="0" fillId="0" borderId="11" xfId="0" applyBorder="1"/>
    <xf numFmtId="4" fontId="7" fillId="4" borderId="14" xfId="0" applyNumberFormat="1" applyFont="1" applyFill="1" applyBorder="1" applyAlignment="1">
      <alignment horizontal="center" vertical="center"/>
    </xf>
    <xf numFmtId="4" fontId="7" fillId="4" borderId="15" xfId="0" applyNumberFormat="1" applyFont="1" applyFill="1" applyBorder="1" applyAlignment="1">
      <alignment horizontal="center" vertical="center"/>
    </xf>
    <xf numFmtId="4" fontId="7" fillId="4" borderId="16" xfId="0" applyNumberFormat="1" applyFont="1" applyFill="1" applyBorder="1" applyAlignment="1">
      <alignment horizontal="center" vertical="center"/>
    </xf>
    <xf numFmtId="0" fontId="0" fillId="0" borderId="17" xfId="0" applyBorder="1"/>
    <xf numFmtId="4" fontId="9" fillId="7" borderId="7" xfId="0" applyNumberFormat="1" applyFont="1" applyFill="1" applyBorder="1" applyAlignment="1">
      <alignment horizontal="center" vertical="center" wrapText="1"/>
    </xf>
    <xf numFmtId="4" fontId="9" fillId="9" borderId="7" xfId="0" applyNumberFormat="1" applyFont="1" applyFill="1" applyBorder="1" applyAlignment="1">
      <alignment horizontal="center" vertical="center" wrapText="1"/>
    </xf>
    <xf numFmtId="4" fontId="9" fillId="7" borderId="1" xfId="0" applyNumberFormat="1" applyFont="1" applyFill="1" applyBorder="1" applyAlignment="1">
      <alignment horizontal="center" vertical="center" wrapText="1"/>
    </xf>
    <xf numFmtId="4" fontId="9" fillId="6" borderId="7" xfId="0" applyNumberFormat="1" applyFont="1" applyFill="1" applyBorder="1" applyAlignment="1">
      <alignment horizontal="center" vertical="center" wrapText="1"/>
    </xf>
    <xf numFmtId="4" fontId="9" fillId="12" borderId="7" xfId="0" applyNumberFormat="1" applyFont="1" applyFill="1" applyBorder="1" applyAlignment="1">
      <alignment horizontal="center" vertical="center" wrapText="1"/>
    </xf>
    <xf numFmtId="4" fontId="9" fillId="6" borderId="1" xfId="0" applyNumberFormat="1" applyFont="1" applyFill="1" applyBorder="1" applyAlignment="1">
      <alignment horizontal="center" vertical="center" wrapText="1"/>
    </xf>
    <xf numFmtId="4" fontId="9" fillId="0" borderId="2" xfId="0" applyNumberFormat="1" applyFont="1" applyBorder="1" applyAlignment="1">
      <alignment horizontal="center" vertical="center" wrapText="1"/>
    </xf>
    <xf numFmtId="4" fontId="9" fillId="0" borderId="24" xfId="0" applyNumberFormat="1" applyFont="1" applyBorder="1" applyAlignment="1">
      <alignment horizontal="center" vertical="center" wrapText="1"/>
    </xf>
    <xf numFmtId="4" fontId="9" fillId="0" borderId="26" xfId="0" applyNumberFormat="1" applyFont="1" applyBorder="1" applyAlignment="1">
      <alignment horizontal="center" vertical="center" wrapText="1"/>
    </xf>
    <xf numFmtId="4" fontId="3" fillId="6" borderId="26" xfId="0" applyNumberFormat="1" applyFont="1" applyFill="1" applyBorder="1" applyAlignment="1">
      <alignment horizontal="center" vertical="center" wrapText="1"/>
    </xf>
    <xf numFmtId="4" fontId="3" fillId="7" borderId="26" xfId="0" applyNumberFormat="1" applyFont="1" applyFill="1" applyBorder="1" applyAlignment="1">
      <alignment horizontal="center" vertical="center" wrapText="1"/>
    </xf>
    <xf numFmtId="4" fontId="7" fillId="4" borderId="31" xfId="0" applyNumberFormat="1" applyFont="1" applyFill="1" applyBorder="1" applyAlignment="1">
      <alignment horizontal="center" vertical="center"/>
    </xf>
    <xf numFmtId="4" fontId="7" fillId="0" borderId="30" xfId="0" applyNumberFormat="1" applyFont="1" applyBorder="1" applyAlignment="1">
      <alignment horizontal="center" vertical="center"/>
    </xf>
    <xf numFmtId="4" fontId="9" fillId="0" borderId="32" xfId="0" applyNumberFormat="1" applyFont="1" applyBorder="1" applyAlignment="1">
      <alignment horizontal="center" vertical="center" wrapText="1"/>
    </xf>
    <xf numFmtId="0" fontId="0" fillId="0" borderId="30" xfId="0" applyBorder="1"/>
    <xf numFmtId="164" fontId="15" fillId="15" borderId="7" xfId="0" applyNumberFormat="1" applyFont="1" applyFill="1" applyBorder="1" applyAlignment="1">
      <alignment horizontal="center" vertical="center" wrapText="1"/>
    </xf>
    <xf numFmtId="164" fontId="15" fillId="15" borderId="7" xfId="0" applyNumberFormat="1" applyFont="1" applyFill="1" applyBorder="1" applyAlignment="1">
      <alignment horizontal="center" vertical="center"/>
    </xf>
    <xf numFmtId="164" fontId="15" fillId="7" borderId="7" xfId="0" applyNumberFormat="1" applyFont="1" applyFill="1" applyBorder="1" applyAlignment="1">
      <alignment horizontal="center" vertical="center" wrapText="1"/>
    </xf>
    <xf numFmtId="4" fontId="18" fillId="13" borderId="21" xfId="0" applyNumberFormat="1" applyFont="1" applyFill="1" applyBorder="1" applyAlignment="1">
      <alignment horizontal="center" vertical="center"/>
    </xf>
    <xf numFmtId="4" fontId="18" fillId="8" borderId="20" xfId="0" applyNumberFormat="1" applyFont="1" applyFill="1" applyBorder="1" applyAlignment="1">
      <alignment horizontal="center" vertical="center"/>
    </xf>
    <xf numFmtId="4" fontId="15" fillId="8" borderId="22" xfId="0" applyNumberFormat="1" applyFont="1" applyFill="1" applyBorder="1" applyAlignment="1">
      <alignment horizontal="center" vertical="center"/>
    </xf>
    <xf numFmtId="164" fontId="15" fillId="8" borderId="22" xfId="0" applyNumberFormat="1" applyFont="1" applyFill="1" applyBorder="1" applyAlignment="1">
      <alignment horizontal="center" vertical="center" wrapText="1"/>
    </xf>
    <xf numFmtId="164" fontId="15" fillId="6" borderId="7" xfId="0" applyNumberFormat="1" applyFont="1" applyFill="1" applyBorder="1" applyAlignment="1">
      <alignment horizontal="center" vertical="center" wrapText="1"/>
    </xf>
    <xf numFmtId="0" fontId="4" fillId="10" borderId="7" xfId="0" applyFont="1" applyFill="1" applyBorder="1" applyAlignment="1">
      <alignment horizontal="left" vertical="center"/>
    </xf>
    <xf numFmtId="0" fontId="13" fillId="6" borderId="7" xfId="0" applyFont="1" applyFill="1" applyBorder="1" applyAlignment="1">
      <alignment horizontal="left" vertical="center" wrapText="1"/>
    </xf>
    <xf numFmtId="0" fontId="13" fillId="7" borderId="7" xfId="0" applyFont="1" applyFill="1" applyBorder="1" applyAlignment="1">
      <alignment horizontal="left" vertical="center" wrapText="1"/>
    </xf>
    <xf numFmtId="4" fontId="13" fillId="16" borderId="26" xfId="0" applyNumberFormat="1" applyFont="1" applyFill="1" applyBorder="1" applyAlignment="1">
      <alignment horizontal="center" vertical="center" wrapText="1"/>
    </xf>
    <xf numFmtId="4" fontId="13" fillId="17" borderId="26" xfId="0" applyNumberFormat="1" applyFont="1" applyFill="1" applyBorder="1" applyAlignment="1">
      <alignment horizontal="center" vertical="center" wrapText="1"/>
    </xf>
    <xf numFmtId="4" fontId="13" fillId="18" borderId="26" xfId="0" applyNumberFormat="1" applyFont="1" applyFill="1" applyBorder="1" applyAlignment="1">
      <alignment horizontal="center" vertical="center" wrapText="1"/>
    </xf>
    <xf numFmtId="4" fontId="13" fillId="19" borderId="41" xfId="0" applyNumberFormat="1" applyFont="1" applyFill="1" applyBorder="1" applyAlignment="1">
      <alignment horizontal="center" vertical="center" wrapText="1"/>
    </xf>
    <xf numFmtId="0" fontId="4" fillId="14" borderId="7" xfId="0" applyFont="1" applyFill="1" applyBorder="1" applyAlignment="1">
      <alignment horizontal="left" vertical="center"/>
    </xf>
    <xf numFmtId="0" fontId="13" fillId="14" borderId="7" xfId="0" applyFont="1" applyFill="1" applyBorder="1" applyAlignment="1">
      <alignment horizontal="left" vertical="center" wrapText="1"/>
    </xf>
    <xf numFmtId="0" fontId="9" fillId="14" borderId="7" xfId="0" applyFont="1" applyFill="1" applyBorder="1" applyAlignment="1">
      <alignment horizontal="center" vertical="center" wrapText="1"/>
    </xf>
    <xf numFmtId="164" fontId="9" fillId="14" borderId="7" xfId="0" applyNumberFormat="1" applyFont="1" applyFill="1" applyBorder="1" applyAlignment="1">
      <alignment horizontal="center" vertical="center" wrapText="1"/>
    </xf>
    <xf numFmtId="164" fontId="15" fillId="14" borderId="7" xfId="0" applyNumberFormat="1" applyFont="1" applyFill="1" applyBorder="1" applyAlignment="1">
      <alignment horizontal="center" vertical="center" wrapText="1"/>
    </xf>
    <xf numFmtId="4" fontId="9" fillId="14" borderId="7" xfId="0" applyNumberFormat="1" applyFont="1" applyFill="1" applyBorder="1" applyAlignment="1">
      <alignment horizontal="center" vertical="center" wrapText="1"/>
    </xf>
    <xf numFmtId="4" fontId="9" fillId="20" borderId="7" xfId="0" applyNumberFormat="1" applyFont="1" applyFill="1" applyBorder="1" applyAlignment="1">
      <alignment horizontal="center" vertical="center" wrapText="1"/>
    </xf>
    <xf numFmtId="4" fontId="9" fillId="14" borderId="1" xfId="0" applyNumberFormat="1" applyFont="1" applyFill="1" applyBorder="1" applyAlignment="1">
      <alignment horizontal="center" vertical="center" wrapText="1"/>
    </xf>
    <xf numFmtId="0" fontId="10" fillId="14" borderId="7" xfId="0" applyFont="1" applyFill="1" applyBorder="1" applyAlignment="1">
      <alignment horizontal="right" vertical="center" wrapText="1"/>
    </xf>
    <xf numFmtId="0" fontId="9" fillId="14" borderId="7" xfId="0" applyFont="1" applyFill="1" applyBorder="1" applyAlignment="1">
      <alignment horizontal="center" vertical="center"/>
    </xf>
    <xf numFmtId="164" fontId="9" fillId="14" borderId="7" xfId="0" applyNumberFormat="1" applyFont="1" applyFill="1" applyBorder="1" applyAlignment="1">
      <alignment horizontal="center" vertical="center"/>
    </xf>
    <xf numFmtId="164" fontId="15" fillId="14" borderId="7" xfId="0" applyNumberFormat="1" applyFont="1" applyFill="1" applyBorder="1" applyAlignment="1">
      <alignment horizontal="center" vertical="center"/>
    </xf>
    <xf numFmtId="4" fontId="9" fillId="20" borderId="7" xfId="0" applyNumberFormat="1" applyFont="1" applyFill="1" applyBorder="1" applyAlignment="1">
      <alignment horizontal="center" vertical="center"/>
    </xf>
    <xf numFmtId="0" fontId="0" fillId="14" borderId="0" xfId="0" applyFill="1"/>
    <xf numFmtId="4" fontId="9" fillId="14" borderId="7" xfId="0" applyNumberFormat="1" applyFont="1" applyFill="1" applyBorder="1" applyAlignment="1">
      <alignment horizontal="center" vertical="center"/>
    </xf>
    <xf numFmtId="164" fontId="12" fillId="14" borderId="7" xfId="0" applyNumberFormat="1" applyFont="1" applyFill="1" applyBorder="1" applyAlignment="1">
      <alignment horizontal="center" vertical="center"/>
    </xf>
    <xf numFmtId="0" fontId="13" fillId="14" borderId="7" xfId="0" applyFont="1" applyFill="1" applyBorder="1" applyAlignment="1">
      <alignment horizontal="center" vertical="center" wrapText="1"/>
    </xf>
    <xf numFmtId="4" fontId="7" fillId="14" borderId="7" xfId="0" applyNumberFormat="1" applyFont="1" applyFill="1" applyBorder="1" applyAlignment="1">
      <alignment horizontal="center" vertical="center"/>
    </xf>
    <xf numFmtId="4" fontId="7" fillId="14" borderId="1" xfId="0" applyNumberFormat="1" applyFont="1" applyFill="1" applyBorder="1" applyAlignment="1">
      <alignment horizontal="center" vertical="center"/>
    </xf>
    <xf numFmtId="0" fontId="4" fillId="14" borderId="1" xfId="0" applyFont="1" applyFill="1" applyBorder="1" applyAlignment="1">
      <alignment horizontal="left" vertical="center"/>
    </xf>
    <xf numFmtId="0" fontId="0" fillId="20" borderId="0" xfId="0" applyFill="1"/>
    <xf numFmtId="0" fontId="0" fillId="20" borderId="37" xfId="0" applyFill="1" applyBorder="1"/>
    <xf numFmtId="0" fontId="0" fillId="20" borderId="38" xfId="0" applyFill="1" applyBorder="1"/>
    <xf numFmtId="0" fontId="13" fillId="20" borderId="39" xfId="0" applyFont="1" applyFill="1" applyBorder="1" applyAlignment="1">
      <alignment horizontal="right" vertical="center"/>
    </xf>
    <xf numFmtId="4" fontId="13" fillId="20" borderId="39" xfId="0" applyNumberFormat="1" applyFont="1" applyFill="1" applyBorder="1" applyAlignment="1">
      <alignment horizontal="center" vertical="center"/>
    </xf>
    <xf numFmtId="4" fontId="13" fillId="20" borderId="40" xfId="0" applyNumberFormat="1" applyFont="1" applyFill="1" applyBorder="1" applyAlignment="1">
      <alignment horizontal="center" vertical="center"/>
    </xf>
    <xf numFmtId="0" fontId="0" fillId="14" borderId="35" xfId="0" applyFill="1" applyBorder="1"/>
    <xf numFmtId="0" fontId="4" fillId="18" borderId="7" xfId="0" applyFont="1" applyFill="1" applyBorder="1" applyAlignment="1">
      <alignment horizontal="left" vertical="center"/>
    </xf>
    <xf numFmtId="0" fontId="13" fillId="18" borderId="7" xfId="0" applyFont="1" applyFill="1" applyBorder="1" applyAlignment="1">
      <alignment horizontal="left" vertical="center" wrapText="1"/>
    </xf>
    <xf numFmtId="0" fontId="9" fillId="18" borderId="7" xfId="0" applyFont="1" applyFill="1" applyBorder="1" applyAlignment="1">
      <alignment horizontal="center" vertical="center" wrapText="1"/>
    </xf>
    <xf numFmtId="164" fontId="9" fillId="18" borderId="7" xfId="0" applyNumberFormat="1" applyFont="1" applyFill="1" applyBorder="1" applyAlignment="1">
      <alignment horizontal="center" vertical="center" wrapText="1"/>
    </xf>
    <xf numFmtId="164" fontId="15" fillId="18" borderId="7" xfId="0" applyNumberFormat="1" applyFont="1" applyFill="1" applyBorder="1" applyAlignment="1">
      <alignment horizontal="center" vertical="center" wrapText="1"/>
    </xf>
    <xf numFmtId="4" fontId="9" fillId="18" borderId="7" xfId="0" applyNumberFormat="1" applyFont="1" applyFill="1" applyBorder="1" applyAlignment="1">
      <alignment horizontal="center" vertical="center" wrapText="1"/>
    </xf>
    <xf numFmtId="4" fontId="9" fillId="21" borderId="7" xfId="0" applyNumberFormat="1" applyFont="1" applyFill="1" applyBorder="1" applyAlignment="1">
      <alignment horizontal="center" vertical="center" wrapText="1"/>
    </xf>
    <xf numFmtId="4" fontId="9" fillId="18" borderId="1" xfId="0" applyNumberFormat="1" applyFont="1" applyFill="1" applyBorder="1" applyAlignment="1">
      <alignment horizontal="center" vertical="center" wrapText="1"/>
    </xf>
    <xf numFmtId="0" fontId="4" fillId="16" borderId="7" xfId="0" applyFont="1" applyFill="1" applyBorder="1" applyAlignment="1">
      <alignment horizontal="left" vertical="center"/>
    </xf>
    <xf numFmtId="0" fontId="13" fillId="16" borderId="7" xfId="0" applyFont="1" applyFill="1" applyBorder="1" applyAlignment="1">
      <alignment horizontal="left" vertical="center" wrapText="1"/>
    </xf>
    <xf numFmtId="0" fontId="9" fillId="16" borderId="7" xfId="0" applyFont="1" applyFill="1" applyBorder="1" applyAlignment="1">
      <alignment horizontal="center" vertical="center" wrapText="1"/>
    </xf>
    <xf numFmtId="164" fontId="9" fillId="16" borderId="7" xfId="0" applyNumberFormat="1" applyFont="1" applyFill="1" applyBorder="1" applyAlignment="1">
      <alignment horizontal="center" vertical="center" wrapText="1"/>
    </xf>
    <xf numFmtId="164" fontId="15" fillId="16" borderId="7" xfId="0" applyNumberFormat="1" applyFont="1" applyFill="1" applyBorder="1" applyAlignment="1">
      <alignment horizontal="center" vertical="center" wrapText="1"/>
    </xf>
    <xf numFmtId="4" fontId="9" fillId="16" borderId="7" xfId="0" applyNumberFormat="1" applyFont="1" applyFill="1" applyBorder="1" applyAlignment="1">
      <alignment horizontal="center" vertical="center" wrapText="1"/>
    </xf>
    <xf numFmtId="4" fontId="9" fillId="22" borderId="7" xfId="0" applyNumberFormat="1" applyFont="1" applyFill="1" applyBorder="1" applyAlignment="1">
      <alignment horizontal="center" vertical="center" wrapText="1"/>
    </xf>
    <xf numFmtId="4" fontId="9" fillId="16" borderId="1" xfId="0" applyNumberFormat="1" applyFont="1" applyFill="1" applyBorder="1" applyAlignment="1">
      <alignment horizontal="center" vertical="center" wrapText="1"/>
    </xf>
    <xf numFmtId="0" fontId="4" fillId="23" borderId="7" xfId="0" applyFont="1" applyFill="1" applyBorder="1" applyAlignment="1">
      <alignment horizontal="left" vertical="center"/>
    </xf>
    <xf numFmtId="0" fontId="13" fillId="23" borderId="7" xfId="0" applyFont="1" applyFill="1" applyBorder="1" applyAlignment="1">
      <alignment horizontal="left" vertical="center" wrapText="1"/>
    </xf>
    <xf numFmtId="0" fontId="9" fillId="23" borderId="7" xfId="0" applyFont="1" applyFill="1" applyBorder="1" applyAlignment="1">
      <alignment horizontal="center" vertical="center" wrapText="1"/>
    </xf>
    <xf numFmtId="0" fontId="13" fillId="23" borderId="7" xfId="0" applyFont="1" applyFill="1" applyBorder="1" applyAlignment="1">
      <alignment horizontal="center" vertical="center" wrapText="1"/>
    </xf>
    <xf numFmtId="164" fontId="9" fillId="23" borderId="7" xfId="0" applyNumberFormat="1" applyFont="1" applyFill="1" applyBorder="1" applyAlignment="1">
      <alignment horizontal="center" vertical="center" wrapText="1"/>
    </xf>
    <xf numFmtId="164" fontId="15" fillId="23" borderId="7" xfId="0" applyNumberFormat="1" applyFont="1" applyFill="1" applyBorder="1" applyAlignment="1">
      <alignment horizontal="center" vertical="center" wrapText="1"/>
    </xf>
    <xf numFmtId="4" fontId="9" fillId="23" borderId="7" xfId="0" applyNumberFormat="1" applyFont="1" applyFill="1" applyBorder="1" applyAlignment="1">
      <alignment horizontal="center" vertical="center" wrapText="1"/>
    </xf>
    <xf numFmtId="4" fontId="9" fillId="24" borderId="7" xfId="0" applyNumberFormat="1" applyFont="1" applyFill="1" applyBorder="1" applyAlignment="1">
      <alignment horizontal="center" vertical="center" wrapText="1"/>
    </xf>
    <xf numFmtId="4" fontId="9" fillId="23" borderId="1" xfId="0" applyNumberFormat="1" applyFont="1" applyFill="1" applyBorder="1" applyAlignment="1">
      <alignment horizontal="center" vertical="center" wrapText="1"/>
    </xf>
    <xf numFmtId="4" fontId="3" fillId="23" borderId="26" xfId="0" applyNumberFormat="1" applyFont="1" applyFill="1" applyBorder="1" applyAlignment="1">
      <alignment horizontal="center" vertical="center" wrapText="1"/>
    </xf>
    <xf numFmtId="0" fontId="4" fillId="17" borderId="7" xfId="0" applyFont="1" applyFill="1" applyBorder="1" applyAlignment="1">
      <alignment horizontal="left" vertical="center"/>
    </xf>
    <xf numFmtId="0" fontId="13" fillId="17" borderId="7" xfId="0" applyFont="1" applyFill="1" applyBorder="1" applyAlignment="1">
      <alignment horizontal="left" vertical="center" wrapText="1"/>
    </xf>
    <xf numFmtId="0" fontId="9" fillId="17" borderId="7" xfId="0" applyFont="1" applyFill="1" applyBorder="1" applyAlignment="1">
      <alignment horizontal="center" vertical="center" wrapText="1"/>
    </xf>
    <xf numFmtId="164" fontId="9" fillId="17" borderId="7" xfId="0" applyNumberFormat="1" applyFont="1" applyFill="1" applyBorder="1" applyAlignment="1">
      <alignment horizontal="center" vertical="center" wrapText="1"/>
    </xf>
    <xf numFmtId="164" fontId="15" fillId="17" borderId="7" xfId="0" applyNumberFormat="1" applyFont="1" applyFill="1" applyBorder="1" applyAlignment="1">
      <alignment horizontal="center" vertical="center" wrapText="1"/>
    </xf>
    <xf numFmtId="4" fontId="9" fillId="17" borderId="7" xfId="0" applyNumberFormat="1" applyFont="1" applyFill="1" applyBorder="1" applyAlignment="1">
      <alignment horizontal="center" vertical="center" wrapText="1"/>
    </xf>
    <xf numFmtId="4" fontId="9" fillId="25" borderId="7" xfId="0" applyNumberFormat="1" applyFont="1" applyFill="1" applyBorder="1" applyAlignment="1">
      <alignment horizontal="center" vertical="center" wrapText="1"/>
    </xf>
    <xf numFmtId="4" fontId="9" fillId="17" borderId="1" xfId="0" applyNumberFormat="1" applyFont="1" applyFill="1" applyBorder="1" applyAlignment="1">
      <alignment horizontal="center" vertical="center" wrapText="1"/>
    </xf>
    <xf numFmtId="0" fontId="4" fillId="26" borderId="7" xfId="0" applyFont="1" applyFill="1" applyBorder="1" applyAlignment="1">
      <alignment horizontal="left" vertical="center"/>
    </xf>
    <xf numFmtId="0" fontId="13" fillId="26" borderId="7" xfId="0" applyFont="1" applyFill="1" applyBorder="1" applyAlignment="1">
      <alignment horizontal="left" vertical="center" wrapText="1"/>
    </xf>
    <xf numFmtId="0" fontId="9" fillId="26" borderId="7" xfId="0" applyFont="1" applyFill="1" applyBorder="1" applyAlignment="1">
      <alignment horizontal="center" vertical="center" wrapText="1"/>
    </xf>
    <xf numFmtId="164" fontId="9" fillId="26" borderId="7" xfId="0" applyNumberFormat="1" applyFont="1" applyFill="1" applyBorder="1" applyAlignment="1">
      <alignment horizontal="center" vertical="center" wrapText="1"/>
    </xf>
    <xf numFmtId="164" fontId="15" fillId="26" borderId="7" xfId="0" applyNumberFormat="1" applyFont="1" applyFill="1" applyBorder="1" applyAlignment="1">
      <alignment horizontal="center" vertical="center" wrapText="1"/>
    </xf>
    <xf numFmtId="4" fontId="9" fillId="26" borderId="7" xfId="0" applyNumberFormat="1" applyFont="1" applyFill="1" applyBorder="1" applyAlignment="1">
      <alignment horizontal="center" vertical="center" wrapText="1"/>
    </xf>
    <xf numFmtId="4" fontId="9" fillId="27" borderId="7" xfId="0" applyNumberFormat="1" applyFont="1" applyFill="1" applyBorder="1" applyAlignment="1">
      <alignment horizontal="center" vertical="center" wrapText="1"/>
    </xf>
    <xf numFmtId="4" fontId="9" fillId="26" borderId="1" xfId="0" applyNumberFormat="1" applyFont="1" applyFill="1" applyBorder="1" applyAlignment="1">
      <alignment horizontal="center" vertical="center" wrapText="1"/>
    </xf>
    <xf numFmtId="4" fontId="13" fillId="26" borderId="26" xfId="0" applyNumberFormat="1" applyFont="1" applyFill="1" applyBorder="1" applyAlignment="1">
      <alignment horizontal="center" vertical="center" wrapText="1"/>
    </xf>
    <xf numFmtId="0" fontId="4" fillId="28" borderId="7" xfId="0" applyFont="1" applyFill="1" applyBorder="1" applyAlignment="1">
      <alignment horizontal="left" vertical="center"/>
    </xf>
    <xf numFmtId="0" fontId="13" fillId="28" borderId="7" xfId="0" applyFont="1" applyFill="1" applyBorder="1" applyAlignment="1">
      <alignment horizontal="left" vertical="center" wrapText="1"/>
    </xf>
    <xf numFmtId="0" fontId="9" fillId="28" borderId="7" xfId="0" applyFont="1" applyFill="1" applyBorder="1" applyAlignment="1">
      <alignment horizontal="center" vertical="center" wrapText="1"/>
    </xf>
    <xf numFmtId="164" fontId="9" fillId="28" borderId="7" xfId="0" applyNumberFormat="1" applyFont="1" applyFill="1" applyBorder="1" applyAlignment="1">
      <alignment horizontal="center" vertical="center" wrapText="1"/>
    </xf>
    <xf numFmtId="164" fontId="15" fillId="28" borderId="7" xfId="0" applyNumberFormat="1" applyFont="1" applyFill="1" applyBorder="1" applyAlignment="1">
      <alignment horizontal="center" vertical="center" wrapText="1"/>
    </xf>
    <xf numFmtId="4" fontId="9" fillId="28" borderId="7" xfId="0" applyNumberFormat="1" applyFont="1" applyFill="1" applyBorder="1" applyAlignment="1">
      <alignment horizontal="center" vertical="center" wrapText="1"/>
    </xf>
    <xf numFmtId="4" fontId="9" fillId="29" borderId="7" xfId="0" applyNumberFormat="1" applyFont="1" applyFill="1" applyBorder="1" applyAlignment="1">
      <alignment horizontal="center" vertical="center" wrapText="1"/>
    </xf>
    <xf numFmtId="4" fontId="9" fillId="28" borderId="1" xfId="0" applyNumberFormat="1" applyFont="1" applyFill="1" applyBorder="1" applyAlignment="1">
      <alignment horizontal="center" vertical="center" wrapText="1"/>
    </xf>
    <xf numFmtId="4" fontId="13" fillId="28" borderId="26" xfId="0" applyNumberFormat="1" applyFont="1" applyFill="1" applyBorder="1" applyAlignment="1">
      <alignment horizontal="center" vertical="center" wrapText="1"/>
    </xf>
    <xf numFmtId="0" fontId="4" fillId="30" borderId="7" xfId="0" applyFont="1" applyFill="1" applyBorder="1" applyAlignment="1">
      <alignment horizontal="left" vertical="center"/>
    </xf>
    <xf numFmtId="0" fontId="13" fillId="30" borderId="45" xfId="0" applyFont="1" applyFill="1" applyBorder="1" applyAlignment="1">
      <alignment horizontal="left" vertical="center" wrapText="1"/>
    </xf>
    <xf numFmtId="0" fontId="9" fillId="30" borderId="45" xfId="0" applyFont="1" applyFill="1" applyBorder="1" applyAlignment="1">
      <alignment horizontal="center" vertical="center" wrapText="1"/>
    </xf>
    <xf numFmtId="164" fontId="9" fillId="30" borderId="45" xfId="0" applyNumberFormat="1" applyFont="1" applyFill="1" applyBorder="1" applyAlignment="1">
      <alignment horizontal="center" vertical="center" wrapText="1"/>
    </xf>
    <xf numFmtId="164" fontId="15" fillId="30" borderId="45" xfId="0" applyNumberFormat="1" applyFont="1" applyFill="1" applyBorder="1" applyAlignment="1">
      <alignment horizontal="center" vertical="center" wrapText="1"/>
    </xf>
    <xf numFmtId="4" fontId="9" fillId="30" borderId="45" xfId="0" applyNumberFormat="1" applyFont="1" applyFill="1" applyBorder="1" applyAlignment="1">
      <alignment horizontal="center" vertical="center" wrapText="1"/>
    </xf>
    <xf numFmtId="4" fontId="9" fillId="31" borderId="45" xfId="0" applyNumberFormat="1" applyFont="1" applyFill="1" applyBorder="1" applyAlignment="1">
      <alignment horizontal="center" vertical="center" wrapText="1"/>
    </xf>
    <xf numFmtId="4" fontId="9" fillId="30" borderId="46" xfId="0" applyNumberFormat="1" applyFont="1" applyFill="1" applyBorder="1" applyAlignment="1">
      <alignment horizontal="center" vertical="center" wrapText="1"/>
    </xf>
    <xf numFmtId="4" fontId="3" fillId="30" borderId="47" xfId="0" applyNumberFormat="1" applyFont="1" applyFill="1" applyBorder="1" applyAlignment="1">
      <alignment horizontal="center" vertical="center" wrapText="1"/>
    </xf>
    <xf numFmtId="0" fontId="13" fillId="10" borderId="6" xfId="0" applyFont="1" applyFill="1" applyBorder="1" applyAlignment="1">
      <alignment horizontal="left" vertical="center" wrapText="1"/>
    </xf>
    <xf numFmtId="0" fontId="9" fillId="10" borderId="6" xfId="0" applyFont="1" applyFill="1" applyBorder="1" applyAlignment="1">
      <alignment horizontal="center" vertical="center" wrapText="1"/>
    </xf>
    <xf numFmtId="0" fontId="14" fillId="10" borderId="6" xfId="0" applyFont="1" applyFill="1" applyBorder="1" applyAlignment="1">
      <alignment horizontal="center" vertical="center" wrapText="1"/>
    </xf>
    <xf numFmtId="164" fontId="9" fillId="10" borderId="6" xfId="0" applyNumberFormat="1" applyFont="1" applyFill="1" applyBorder="1" applyAlignment="1">
      <alignment horizontal="center" vertical="center" wrapText="1"/>
    </xf>
    <xf numFmtId="164" fontId="15" fillId="10" borderId="6" xfId="0" applyNumberFormat="1" applyFont="1" applyFill="1" applyBorder="1" applyAlignment="1">
      <alignment horizontal="center" vertical="center" wrapText="1"/>
    </xf>
    <xf numFmtId="4" fontId="9" fillId="10" borderId="6" xfId="0" applyNumberFormat="1" applyFont="1" applyFill="1" applyBorder="1" applyAlignment="1">
      <alignment horizontal="center" vertical="center" wrapText="1"/>
    </xf>
    <xf numFmtId="4" fontId="9" fillId="11" borderId="6" xfId="0" applyNumberFormat="1" applyFont="1" applyFill="1" applyBorder="1" applyAlignment="1">
      <alignment horizontal="center" vertical="center" wrapText="1"/>
    </xf>
    <xf numFmtId="4" fontId="9" fillId="10" borderId="9" xfId="0" applyNumberFormat="1" applyFont="1" applyFill="1" applyBorder="1" applyAlignment="1">
      <alignment horizontal="center" vertical="center" wrapText="1"/>
    </xf>
    <xf numFmtId="4" fontId="3" fillId="10" borderId="16" xfId="0" applyNumberFormat="1" applyFont="1" applyFill="1" applyBorder="1" applyAlignment="1">
      <alignment horizontal="center" vertical="center" wrapText="1"/>
    </xf>
    <xf numFmtId="0" fontId="4" fillId="32" borderId="7" xfId="0" applyFont="1" applyFill="1" applyBorder="1" applyAlignment="1">
      <alignment horizontal="left" vertical="center"/>
    </xf>
    <xf numFmtId="0" fontId="13" fillId="32" borderId="7" xfId="0" applyFont="1" applyFill="1" applyBorder="1" applyAlignment="1">
      <alignment horizontal="left" vertical="center" wrapText="1"/>
    </xf>
    <xf numFmtId="0" fontId="9" fillId="32" borderId="7" xfId="0" applyFont="1" applyFill="1" applyBorder="1" applyAlignment="1">
      <alignment horizontal="center" vertical="center" wrapText="1"/>
    </xf>
    <xf numFmtId="164" fontId="9" fillId="32" borderId="7" xfId="0" applyNumberFormat="1" applyFont="1" applyFill="1" applyBorder="1" applyAlignment="1">
      <alignment horizontal="center" vertical="center" wrapText="1"/>
    </xf>
    <xf numFmtId="164" fontId="15" fillId="32" borderId="7" xfId="0" applyNumberFormat="1" applyFont="1" applyFill="1" applyBorder="1" applyAlignment="1">
      <alignment horizontal="center" vertical="center" wrapText="1"/>
    </xf>
    <xf numFmtId="4" fontId="9" fillId="32" borderId="7" xfId="0" applyNumberFormat="1" applyFont="1" applyFill="1" applyBorder="1" applyAlignment="1">
      <alignment horizontal="center" vertical="center" wrapText="1"/>
    </xf>
    <xf numFmtId="4" fontId="9" fillId="33" borderId="7" xfId="0" applyNumberFormat="1" applyFont="1" applyFill="1" applyBorder="1" applyAlignment="1">
      <alignment horizontal="center" vertical="center" wrapText="1"/>
    </xf>
    <xf numFmtId="4" fontId="9" fillId="32" borderId="1" xfId="0" applyNumberFormat="1" applyFont="1" applyFill="1" applyBorder="1" applyAlignment="1">
      <alignment horizontal="center" vertical="center" wrapText="1"/>
    </xf>
    <xf numFmtId="4" fontId="3" fillId="32" borderId="26" xfId="0" applyNumberFormat="1" applyFont="1" applyFill="1" applyBorder="1" applyAlignment="1">
      <alignment horizontal="center" vertical="center" wrapText="1"/>
    </xf>
    <xf numFmtId="0" fontId="9" fillId="19" borderId="39" xfId="0" applyFont="1" applyFill="1" applyBorder="1" applyAlignment="1">
      <alignment horizontal="center" vertical="center" wrapText="1"/>
    </xf>
    <xf numFmtId="164" fontId="9" fillId="19" borderId="39" xfId="0" applyNumberFormat="1" applyFont="1" applyFill="1" applyBorder="1" applyAlignment="1">
      <alignment horizontal="center" vertical="center" wrapText="1"/>
    </xf>
    <xf numFmtId="164" fontId="15" fillId="19" borderId="39" xfId="0" applyNumberFormat="1" applyFont="1" applyFill="1" applyBorder="1" applyAlignment="1">
      <alignment horizontal="center" vertical="center" wrapText="1"/>
    </xf>
    <xf numFmtId="4" fontId="9" fillId="19" borderId="39" xfId="0" applyNumberFormat="1" applyFont="1" applyFill="1" applyBorder="1" applyAlignment="1">
      <alignment horizontal="center" vertical="center" wrapText="1"/>
    </xf>
    <xf numFmtId="4" fontId="9" fillId="34" borderId="39" xfId="0" applyNumberFormat="1" applyFont="1" applyFill="1" applyBorder="1" applyAlignment="1">
      <alignment horizontal="center" vertical="center" wrapText="1"/>
    </xf>
    <xf numFmtId="4" fontId="9" fillId="19" borderId="40" xfId="0" applyNumberFormat="1" applyFont="1" applyFill="1" applyBorder="1" applyAlignment="1">
      <alignment horizontal="center" vertical="center" wrapText="1"/>
    </xf>
    <xf numFmtId="0" fontId="4" fillId="35" borderId="7" xfId="0" applyFont="1" applyFill="1" applyBorder="1" applyAlignment="1">
      <alignment horizontal="left" vertical="center"/>
    </xf>
    <xf numFmtId="0" fontId="13" fillId="35" borderId="7" xfId="0" applyFont="1" applyFill="1" applyBorder="1" applyAlignment="1">
      <alignment horizontal="left" vertical="center" wrapText="1"/>
    </xf>
    <xf numFmtId="0" fontId="9" fillId="35" borderId="7" xfId="0" applyFont="1" applyFill="1" applyBorder="1" applyAlignment="1">
      <alignment horizontal="center" vertical="center" wrapText="1"/>
    </xf>
    <xf numFmtId="164" fontId="9" fillId="35" borderId="7" xfId="0" applyNumberFormat="1" applyFont="1" applyFill="1" applyBorder="1" applyAlignment="1">
      <alignment horizontal="center" vertical="center" wrapText="1"/>
    </xf>
    <xf numFmtId="164" fontId="15" fillId="35" borderId="7" xfId="0" applyNumberFormat="1" applyFont="1" applyFill="1" applyBorder="1" applyAlignment="1">
      <alignment horizontal="center" vertical="center" wrapText="1"/>
    </xf>
    <xf numFmtId="4" fontId="9" fillId="35" borderId="7" xfId="0" applyNumberFormat="1" applyFont="1" applyFill="1" applyBorder="1" applyAlignment="1">
      <alignment horizontal="center" vertical="center" wrapText="1"/>
    </xf>
    <xf numFmtId="4" fontId="9" fillId="36" borderId="7" xfId="0" applyNumberFormat="1" applyFont="1" applyFill="1" applyBorder="1" applyAlignment="1">
      <alignment horizontal="center" vertical="center" wrapText="1"/>
    </xf>
    <xf numFmtId="4" fontId="9" fillId="35" borderId="1" xfId="0" applyNumberFormat="1" applyFont="1" applyFill="1" applyBorder="1" applyAlignment="1">
      <alignment horizontal="center" vertical="center" wrapText="1"/>
    </xf>
    <xf numFmtId="4" fontId="3" fillId="35" borderId="26" xfId="0" applyNumberFormat="1" applyFont="1" applyFill="1" applyBorder="1" applyAlignment="1">
      <alignment horizontal="center" vertical="center" wrapText="1"/>
    </xf>
    <xf numFmtId="164" fontId="15" fillId="18" borderId="48" xfId="0" applyNumberFormat="1" applyFont="1" applyFill="1" applyBorder="1" applyAlignment="1">
      <alignment horizontal="center" vertical="center" wrapText="1"/>
    </xf>
    <xf numFmtId="164" fontId="15" fillId="14" borderId="48" xfId="0" applyNumberFormat="1" applyFont="1" applyFill="1" applyBorder="1" applyAlignment="1">
      <alignment horizontal="center" vertical="center" wrapText="1"/>
    </xf>
    <xf numFmtId="164" fontId="15" fillId="16" borderId="48" xfId="0" applyNumberFormat="1" applyFont="1" applyFill="1" applyBorder="1" applyAlignment="1">
      <alignment horizontal="center" vertical="center" wrapText="1"/>
    </xf>
    <xf numFmtId="4" fontId="15" fillId="6" borderId="48" xfId="0" applyNumberFormat="1" applyFont="1" applyFill="1" applyBorder="1" applyAlignment="1">
      <alignment horizontal="center" vertical="center" wrapText="1"/>
    </xf>
    <xf numFmtId="4" fontId="15" fillId="23" borderId="48" xfId="0" applyNumberFormat="1" applyFont="1" applyFill="1" applyBorder="1" applyAlignment="1">
      <alignment horizontal="center" vertical="center" wrapText="1"/>
    </xf>
    <xf numFmtId="164" fontId="15" fillId="17" borderId="48" xfId="0" applyNumberFormat="1" applyFont="1" applyFill="1" applyBorder="1" applyAlignment="1">
      <alignment horizontal="center" vertical="center" wrapText="1"/>
    </xf>
    <xf numFmtId="164" fontId="15" fillId="26" borderId="48" xfId="0" applyNumberFormat="1" applyFont="1" applyFill="1" applyBorder="1" applyAlignment="1">
      <alignment horizontal="center" vertical="center" wrapText="1"/>
    </xf>
    <xf numFmtId="164" fontId="15" fillId="28" borderId="48" xfId="0" applyNumberFormat="1" applyFont="1" applyFill="1" applyBorder="1" applyAlignment="1">
      <alignment horizontal="center" vertical="center" wrapText="1"/>
    </xf>
    <xf numFmtId="4" fontId="15" fillId="14" borderId="48" xfId="0" applyNumberFormat="1" applyFont="1" applyFill="1" applyBorder="1" applyAlignment="1">
      <alignment horizontal="center" vertical="center"/>
    </xf>
    <xf numFmtId="4" fontId="15" fillId="7" borderId="48" xfId="0" applyNumberFormat="1" applyFont="1" applyFill="1" applyBorder="1" applyAlignment="1">
      <alignment horizontal="center" vertical="center" wrapText="1"/>
    </xf>
    <xf numFmtId="4" fontId="15" fillId="30" borderId="48" xfId="0" applyNumberFormat="1" applyFont="1" applyFill="1" applyBorder="1" applyAlignment="1">
      <alignment horizontal="center" vertical="center" wrapText="1"/>
    </xf>
    <xf numFmtId="4" fontId="15" fillId="10" borderId="49" xfId="0" applyNumberFormat="1" applyFont="1" applyFill="1" applyBorder="1" applyAlignment="1">
      <alignment horizontal="center" vertical="center" wrapText="1"/>
    </xf>
    <xf numFmtId="4" fontId="15" fillId="32" borderId="48" xfId="0" applyNumberFormat="1" applyFont="1" applyFill="1" applyBorder="1" applyAlignment="1">
      <alignment horizontal="center" vertical="center" wrapText="1"/>
    </xf>
    <xf numFmtId="4" fontId="15" fillId="35" borderId="48" xfId="0" applyNumberFormat="1" applyFont="1" applyFill="1" applyBorder="1" applyAlignment="1">
      <alignment horizontal="center" vertical="center" wrapText="1"/>
    </xf>
    <xf numFmtId="4" fontId="15" fillId="19" borderId="37" xfId="0" applyNumberFormat="1" applyFont="1" applyFill="1" applyBorder="1" applyAlignment="1">
      <alignment horizontal="center" vertical="center" wrapText="1"/>
    </xf>
    <xf numFmtId="4" fontId="8" fillId="20" borderId="37" xfId="0" applyNumberFormat="1" applyFont="1" applyFill="1" applyBorder="1" applyAlignment="1">
      <alignment horizontal="center" vertical="center"/>
    </xf>
    <xf numFmtId="0" fontId="17" fillId="14" borderId="23" xfId="0" applyFont="1" applyFill="1" applyBorder="1"/>
    <xf numFmtId="4" fontId="13" fillId="18" borderId="50" xfId="0" applyNumberFormat="1" applyFont="1" applyFill="1" applyBorder="1" applyAlignment="1">
      <alignment horizontal="center" vertical="center" wrapText="1"/>
    </xf>
    <xf numFmtId="0" fontId="0" fillId="0" borderId="51" xfId="0" applyBorder="1"/>
    <xf numFmtId="4" fontId="9" fillId="0" borderId="50" xfId="0" applyNumberFormat="1" applyFont="1" applyBorder="1" applyAlignment="1">
      <alignment horizontal="center" vertical="center" wrapText="1"/>
    </xf>
    <xf numFmtId="4" fontId="13" fillId="16" borderId="50" xfId="0" applyNumberFormat="1" applyFont="1" applyFill="1" applyBorder="1" applyAlignment="1">
      <alignment horizontal="center" vertical="center" wrapText="1"/>
    </xf>
    <xf numFmtId="4" fontId="3" fillId="6" borderId="50" xfId="0" applyNumberFormat="1" applyFont="1" applyFill="1" applyBorder="1" applyAlignment="1">
      <alignment horizontal="center" vertical="center" wrapText="1"/>
    </xf>
    <xf numFmtId="4" fontId="3" fillId="23" borderId="50" xfId="0" applyNumberFormat="1" applyFont="1" applyFill="1" applyBorder="1" applyAlignment="1">
      <alignment horizontal="center" vertical="center" wrapText="1"/>
    </xf>
    <xf numFmtId="4" fontId="13" fillId="17" borderId="50" xfId="0" applyNumberFormat="1" applyFont="1" applyFill="1" applyBorder="1" applyAlignment="1">
      <alignment horizontal="center" vertical="center" wrapText="1"/>
    </xf>
    <xf numFmtId="4" fontId="13" fillId="26" borderId="50" xfId="0" applyNumberFormat="1" applyFont="1" applyFill="1" applyBorder="1" applyAlignment="1">
      <alignment horizontal="center" vertical="center" wrapText="1"/>
    </xf>
    <xf numFmtId="4" fontId="13" fillId="28" borderId="50" xfId="0" applyNumberFormat="1" applyFont="1" applyFill="1" applyBorder="1" applyAlignment="1">
      <alignment horizontal="center" vertical="center" wrapText="1"/>
    </xf>
    <xf numFmtId="4" fontId="7" fillId="0" borderId="51" xfId="0" applyNumberFormat="1" applyFont="1" applyBorder="1" applyAlignment="1">
      <alignment horizontal="center" vertical="center"/>
    </xf>
    <xf numFmtId="4" fontId="3" fillId="7" borderId="50" xfId="0" applyNumberFormat="1" applyFont="1" applyFill="1" applyBorder="1" applyAlignment="1">
      <alignment horizontal="center" vertical="center" wrapText="1"/>
    </xf>
    <xf numFmtId="4" fontId="3" fillId="30" borderId="52" xfId="0" applyNumberFormat="1" applyFont="1" applyFill="1" applyBorder="1" applyAlignment="1">
      <alignment horizontal="center" vertical="center" wrapText="1"/>
    </xf>
    <xf numFmtId="4" fontId="3" fillId="10" borderId="53" xfId="0" applyNumberFormat="1" applyFont="1" applyFill="1" applyBorder="1" applyAlignment="1">
      <alignment horizontal="center" vertical="center" wrapText="1"/>
    </xf>
    <xf numFmtId="4" fontId="3" fillId="32" borderId="50" xfId="0" applyNumberFormat="1" applyFont="1" applyFill="1" applyBorder="1" applyAlignment="1">
      <alignment horizontal="center" vertical="center" wrapText="1"/>
    </xf>
    <xf numFmtId="4" fontId="3" fillId="35" borderId="50" xfId="0" applyNumberFormat="1" applyFont="1" applyFill="1" applyBorder="1" applyAlignment="1">
      <alignment horizontal="center" vertical="center" wrapText="1"/>
    </xf>
    <xf numFmtId="4" fontId="3" fillId="19" borderId="54" xfId="0" applyNumberFormat="1" applyFont="1" applyFill="1" applyBorder="1" applyAlignment="1">
      <alignment horizontal="center" vertical="center" wrapText="1"/>
    </xf>
    <xf numFmtId="4" fontId="9" fillId="18" borderId="56" xfId="0" applyNumberFormat="1" applyFont="1" applyFill="1" applyBorder="1" applyAlignment="1">
      <alignment horizontal="center" vertical="center" wrapText="1"/>
    </xf>
    <xf numFmtId="4" fontId="9" fillId="18" borderId="57" xfId="0" applyNumberFormat="1" applyFont="1" applyFill="1" applyBorder="1" applyAlignment="1">
      <alignment horizontal="center" vertical="center" wrapText="1"/>
    </xf>
    <xf numFmtId="0" fontId="0" fillId="14" borderId="58" xfId="0" applyFill="1" applyBorder="1"/>
    <xf numFmtId="0" fontId="0" fillId="14" borderId="59" xfId="0" applyFill="1" applyBorder="1"/>
    <xf numFmtId="4" fontId="9" fillId="14" borderId="58" xfId="0" applyNumberFormat="1" applyFont="1" applyFill="1" applyBorder="1" applyAlignment="1">
      <alignment horizontal="center" vertical="center" wrapText="1"/>
    </xf>
    <xf numFmtId="4" fontId="9" fillId="14" borderId="59" xfId="0" applyNumberFormat="1" applyFont="1" applyFill="1" applyBorder="1" applyAlignment="1">
      <alignment horizontal="center" vertical="center" wrapText="1"/>
    </xf>
    <xf numFmtId="4" fontId="9" fillId="16" borderId="58" xfId="0" applyNumberFormat="1" applyFont="1" applyFill="1" applyBorder="1" applyAlignment="1">
      <alignment horizontal="center" vertical="center" wrapText="1"/>
    </xf>
    <xf numFmtId="4" fontId="9" fillId="16" borderId="59" xfId="0" applyNumberFormat="1" applyFont="1" applyFill="1" applyBorder="1" applyAlignment="1">
      <alignment horizontal="center" vertical="center" wrapText="1"/>
    </xf>
    <xf numFmtId="4" fontId="3" fillId="6" borderId="58" xfId="0" applyNumberFormat="1" applyFont="1" applyFill="1" applyBorder="1" applyAlignment="1">
      <alignment horizontal="center" vertical="center" wrapText="1"/>
    </xf>
    <xf numFmtId="4" fontId="3" fillId="6" borderId="59" xfId="0" applyNumberFormat="1" applyFont="1" applyFill="1" applyBorder="1" applyAlignment="1">
      <alignment horizontal="center" vertical="center" wrapText="1"/>
    </xf>
    <xf numFmtId="4" fontId="13" fillId="23" borderId="58" xfId="0" applyNumberFormat="1" applyFont="1" applyFill="1" applyBorder="1" applyAlignment="1">
      <alignment horizontal="center" vertical="center" wrapText="1"/>
    </xf>
    <xf numFmtId="4" fontId="3" fillId="23" borderId="59" xfId="0" applyNumberFormat="1" applyFont="1" applyFill="1" applyBorder="1" applyAlignment="1">
      <alignment horizontal="center" vertical="center" wrapText="1"/>
    </xf>
    <xf numFmtId="4" fontId="9" fillId="17" borderId="58" xfId="0" applyNumberFormat="1" applyFont="1" applyFill="1" applyBorder="1" applyAlignment="1">
      <alignment horizontal="center" vertical="center" wrapText="1"/>
    </xf>
    <xf numFmtId="4" fontId="9" fillId="17" borderId="59" xfId="0" applyNumberFormat="1" applyFont="1" applyFill="1" applyBorder="1" applyAlignment="1">
      <alignment horizontal="center" vertical="center" wrapText="1"/>
    </xf>
    <xf numFmtId="4" fontId="9" fillId="26" borderId="58" xfId="0" applyNumberFormat="1" applyFont="1" applyFill="1" applyBorder="1" applyAlignment="1">
      <alignment horizontal="center" vertical="center" wrapText="1"/>
    </xf>
    <xf numFmtId="4" fontId="9" fillId="26" borderId="59" xfId="0" applyNumberFormat="1" applyFont="1" applyFill="1" applyBorder="1" applyAlignment="1">
      <alignment horizontal="center" vertical="center" wrapText="1"/>
    </xf>
    <xf numFmtId="4" fontId="9" fillId="28" borderId="58" xfId="0" applyNumberFormat="1" applyFont="1" applyFill="1" applyBorder="1" applyAlignment="1">
      <alignment horizontal="center" vertical="center" wrapText="1"/>
    </xf>
    <xf numFmtId="4" fontId="9" fillId="28" borderId="59" xfId="0" applyNumberFormat="1" applyFont="1" applyFill="1" applyBorder="1" applyAlignment="1">
      <alignment horizontal="center" vertical="center" wrapText="1"/>
    </xf>
    <xf numFmtId="4" fontId="7" fillId="14" borderId="58" xfId="0" applyNumberFormat="1" applyFont="1" applyFill="1" applyBorder="1" applyAlignment="1">
      <alignment horizontal="center" vertical="center"/>
    </xf>
    <xf numFmtId="4" fontId="7" fillId="14" borderId="59" xfId="0" applyNumberFormat="1" applyFont="1" applyFill="1" applyBorder="1" applyAlignment="1">
      <alignment horizontal="center" vertical="center"/>
    </xf>
    <xf numFmtId="4" fontId="3" fillId="7" borderId="58" xfId="0" applyNumberFormat="1" applyFont="1" applyFill="1" applyBorder="1" applyAlignment="1">
      <alignment horizontal="center" vertical="center" wrapText="1"/>
    </xf>
    <xf numFmtId="4" fontId="3" fillId="7" borderId="59" xfId="0" applyNumberFormat="1" applyFont="1" applyFill="1" applyBorder="1" applyAlignment="1">
      <alignment horizontal="center" vertical="center" wrapText="1"/>
    </xf>
    <xf numFmtId="4" fontId="3" fillId="30" borderId="58" xfId="0" applyNumberFormat="1" applyFont="1" applyFill="1" applyBorder="1" applyAlignment="1">
      <alignment horizontal="center" vertical="center" wrapText="1"/>
    </xf>
    <xf numFmtId="4" fontId="3" fillId="30" borderId="59" xfId="0" applyNumberFormat="1" applyFont="1" applyFill="1" applyBorder="1" applyAlignment="1">
      <alignment horizontal="center" vertical="center" wrapText="1"/>
    </xf>
    <xf numFmtId="4" fontId="13" fillId="10" borderId="58" xfId="0" applyNumberFormat="1" applyFont="1" applyFill="1" applyBorder="1" applyAlignment="1">
      <alignment horizontal="center" vertical="center" wrapText="1"/>
    </xf>
    <xf numFmtId="4" fontId="3" fillId="10" borderId="59" xfId="0" applyNumberFormat="1" applyFont="1" applyFill="1" applyBorder="1" applyAlignment="1">
      <alignment horizontal="center" vertical="center" wrapText="1"/>
    </xf>
    <xf numFmtId="4" fontId="13" fillId="32" borderId="58" xfId="0" applyNumberFormat="1" applyFont="1" applyFill="1" applyBorder="1" applyAlignment="1">
      <alignment horizontal="center" vertical="center" wrapText="1"/>
    </xf>
    <xf numFmtId="4" fontId="3" fillId="32" borderId="59" xfId="0" applyNumberFormat="1" applyFont="1" applyFill="1" applyBorder="1" applyAlignment="1">
      <alignment horizontal="center" vertical="center" wrapText="1"/>
    </xf>
    <xf numFmtId="4" fontId="13" fillId="35" borderId="58" xfId="0" applyNumberFormat="1" applyFont="1" applyFill="1" applyBorder="1" applyAlignment="1">
      <alignment horizontal="center" vertical="center" wrapText="1"/>
    </xf>
    <xf numFmtId="4" fontId="3" fillId="35" borderId="59" xfId="0" applyNumberFormat="1" applyFont="1" applyFill="1" applyBorder="1" applyAlignment="1">
      <alignment horizontal="center" vertical="center" wrapText="1"/>
    </xf>
    <xf numFmtId="4" fontId="9" fillId="0" borderId="62" xfId="0" applyNumberFormat="1" applyFont="1" applyBorder="1" applyAlignment="1">
      <alignment horizontal="center" vertical="center" wrapText="1"/>
    </xf>
    <xf numFmtId="4" fontId="9" fillId="3" borderId="4" xfId="0" applyNumberFormat="1" applyFont="1" applyFill="1" applyBorder="1" applyAlignment="1">
      <alignment horizontal="center" vertical="center" wrapText="1"/>
    </xf>
    <xf numFmtId="4" fontId="9" fillId="0" borderId="4" xfId="0" applyNumberFormat="1" applyFont="1" applyBorder="1" applyAlignment="1">
      <alignment horizontal="center" vertical="center" wrapText="1"/>
    </xf>
    <xf numFmtId="0" fontId="0" fillId="14" borderId="36" xfId="0" applyFill="1" applyBorder="1"/>
    <xf numFmtId="4" fontId="13" fillId="20" borderId="63" xfId="0" applyNumberFormat="1" applyFont="1" applyFill="1" applyBorder="1" applyAlignment="1">
      <alignment horizontal="center" vertical="center"/>
    </xf>
    <xf numFmtId="0" fontId="4" fillId="19" borderId="37" xfId="0" applyFont="1" applyFill="1" applyBorder="1" applyAlignment="1">
      <alignment horizontal="left" vertical="center"/>
    </xf>
    <xf numFmtId="0" fontId="13" fillId="23" borderId="4" xfId="0" applyFont="1" applyFill="1" applyBorder="1" applyAlignment="1">
      <alignment horizontal="left" vertical="center" wrapText="1"/>
    </xf>
    <xf numFmtId="0" fontId="9" fillId="23" borderId="4" xfId="0" applyFont="1" applyFill="1" applyBorder="1" applyAlignment="1">
      <alignment horizontal="center" vertical="center" wrapText="1"/>
    </xf>
    <xf numFmtId="164" fontId="9" fillId="23" borderId="4" xfId="0" applyNumberFormat="1" applyFont="1" applyFill="1" applyBorder="1" applyAlignment="1">
      <alignment horizontal="center" vertical="center" wrapText="1"/>
    </xf>
    <xf numFmtId="164" fontId="15" fillId="23" borderId="4" xfId="0" applyNumberFormat="1" applyFont="1" applyFill="1" applyBorder="1" applyAlignment="1">
      <alignment horizontal="center" vertical="center" wrapText="1"/>
    </xf>
    <xf numFmtId="4" fontId="9" fillId="23" borderId="4" xfId="0" applyNumberFormat="1" applyFont="1" applyFill="1" applyBorder="1" applyAlignment="1">
      <alignment horizontal="center" vertical="center" wrapText="1"/>
    </xf>
    <xf numFmtId="4" fontId="9" fillId="24" borderId="4" xfId="0" applyNumberFormat="1" applyFont="1" applyFill="1" applyBorder="1" applyAlignment="1">
      <alignment horizontal="center" vertical="center" wrapText="1"/>
    </xf>
    <xf numFmtId="4" fontId="9" fillId="23" borderId="8" xfId="0" applyNumberFormat="1" applyFont="1" applyFill="1" applyBorder="1" applyAlignment="1">
      <alignment horizontal="center" vertical="center" wrapText="1"/>
    </xf>
    <xf numFmtId="4" fontId="15" fillId="23" borderId="65" xfId="0" applyNumberFormat="1" applyFont="1" applyFill="1" applyBorder="1" applyAlignment="1">
      <alignment horizontal="center" vertical="center" wrapText="1"/>
    </xf>
    <xf numFmtId="4" fontId="3" fillId="23" borderId="60" xfId="0" applyNumberFormat="1" applyFont="1" applyFill="1" applyBorder="1" applyAlignment="1">
      <alignment horizontal="center" vertical="center" wrapText="1"/>
    </xf>
    <xf numFmtId="4" fontId="3" fillId="23" borderId="61" xfId="0" applyNumberFormat="1" applyFont="1" applyFill="1" applyBorder="1" applyAlignment="1">
      <alignment horizontal="center" vertical="center" wrapText="1"/>
    </xf>
    <xf numFmtId="4" fontId="3" fillId="23" borderId="66" xfId="0" applyNumberFormat="1" applyFont="1" applyFill="1" applyBorder="1" applyAlignment="1">
      <alignment horizontal="center" vertical="center" wrapText="1"/>
    </xf>
    <xf numFmtId="4" fontId="3" fillId="23" borderId="67" xfId="0" applyNumberFormat="1" applyFont="1" applyFill="1" applyBorder="1" applyAlignment="1">
      <alignment horizontal="center" vertical="center" wrapText="1"/>
    </xf>
    <xf numFmtId="0" fontId="9" fillId="19" borderId="42" xfId="0" applyFont="1" applyFill="1" applyBorder="1" applyAlignment="1">
      <alignment horizontal="left" vertical="center" wrapText="1"/>
    </xf>
    <xf numFmtId="4" fontId="9" fillId="19" borderId="63" xfId="0" applyNumberFormat="1" applyFont="1" applyFill="1" applyBorder="1" applyAlignment="1">
      <alignment horizontal="center" vertical="center" wrapText="1"/>
    </xf>
    <xf numFmtId="4" fontId="3" fillId="19" borderId="64" xfId="0" applyNumberFormat="1" applyFont="1" applyFill="1" applyBorder="1" applyAlignment="1">
      <alignment horizontal="center" vertical="center" wrapText="1"/>
    </xf>
    <xf numFmtId="4" fontId="9" fillId="0" borderId="68" xfId="0" applyNumberFormat="1" applyFont="1" applyBorder="1" applyAlignment="1">
      <alignment horizontal="center" vertical="center" wrapText="1"/>
    </xf>
    <xf numFmtId="4" fontId="9" fillId="3" borderId="39" xfId="0" applyNumberFormat="1" applyFont="1" applyFill="1" applyBorder="1" applyAlignment="1">
      <alignment horizontal="center" vertical="center" wrapText="1"/>
    </xf>
    <xf numFmtId="4" fontId="9" fillId="0" borderId="39" xfId="0" applyNumberFormat="1" applyFont="1" applyBorder="1" applyAlignment="1">
      <alignment horizontal="center" vertical="center" wrapText="1"/>
    </xf>
    <xf numFmtId="4" fontId="19" fillId="20" borderId="64" xfId="0" applyNumberFormat="1" applyFont="1" applyFill="1" applyBorder="1" applyAlignment="1">
      <alignment horizontal="center" vertical="center"/>
    </xf>
    <xf numFmtId="4" fontId="19" fillId="3" borderId="54" xfId="0" applyNumberFormat="1" applyFont="1" applyFill="1" applyBorder="1" applyAlignment="1">
      <alignment horizontal="center" vertical="center"/>
    </xf>
    <xf numFmtId="4" fontId="19" fillId="3" borderId="41" xfId="0" applyNumberFormat="1" applyFont="1" applyFill="1" applyBorder="1" applyAlignment="1">
      <alignment horizontal="center" vertical="center"/>
    </xf>
    <xf numFmtId="0" fontId="20" fillId="3" borderId="38" xfId="0" applyFont="1" applyFill="1" applyBorder="1"/>
    <xf numFmtId="4" fontId="19" fillId="3" borderId="39" xfId="0" applyNumberFormat="1" applyFont="1" applyFill="1" applyBorder="1" applyAlignment="1">
      <alignment horizontal="center" vertical="center"/>
    </xf>
    <xf numFmtId="4" fontId="19" fillId="14" borderId="44" xfId="0" applyNumberFormat="1" applyFont="1" applyFill="1" applyBorder="1" applyAlignment="1">
      <alignment horizontal="center" vertical="center"/>
    </xf>
    <xf numFmtId="4" fontId="19" fillId="8" borderId="55" xfId="0" applyNumberFormat="1" applyFont="1" applyFill="1" applyBorder="1" applyAlignment="1">
      <alignment horizontal="center" vertical="center"/>
    </xf>
    <xf numFmtId="4" fontId="19" fillId="8" borderId="25" xfId="0" applyNumberFormat="1" applyFont="1" applyFill="1" applyBorder="1" applyAlignment="1">
      <alignment horizontal="center" vertical="center"/>
    </xf>
    <xf numFmtId="0" fontId="20" fillId="0" borderId="34" xfId="0" applyFont="1" applyBorder="1"/>
    <xf numFmtId="0" fontId="20" fillId="0" borderId="35" xfId="0" applyFont="1" applyBorder="1"/>
    <xf numFmtId="4" fontId="9" fillId="0" borderId="8" xfId="0" applyNumberFormat="1" applyFont="1" applyBorder="1" applyAlignment="1">
      <alignment horizontal="center" vertical="center" wrapText="1"/>
    </xf>
    <xf numFmtId="4" fontId="9" fillId="0" borderId="40" xfId="0" applyNumberFormat="1" applyFont="1" applyBorder="1" applyAlignment="1">
      <alignment horizontal="center" vertical="center" wrapText="1"/>
    </xf>
    <xf numFmtId="4" fontId="19" fillId="3" borderId="40" xfId="0" applyNumberFormat="1" applyFont="1" applyFill="1" applyBorder="1" applyAlignment="1">
      <alignment horizontal="center" vertical="center"/>
    </xf>
    <xf numFmtId="4" fontId="21" fillId="0" borderId="69" xfId="0" applyNumberFormat="1" applyFont="1" applyBorder="1" applyAlignment="1">
      <alignment horizontal="center" vertical="center"/>
    </xf>
    <xf numFmtId="0" fontId="0" fillId="37" borderId="17" xfId="0" applyFill="1" applyBorder="1"/>
    <xf numFmtId="0" fontId="22" fillId="0" borderId="17" xfId="0" applyFont="1" applyBorder="1"/>
    <xf numFmtId="4" fontId="8" fillId="0" borderId="17" xfId="0" applyNumberFormat="1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35" xfId="0" applyFont="1" applyBorder="1" applyAlignment="1">
      <alignment horizontal="center" vertical="center"/>
    </xf>
    <xf numFmtId="4" fontId="8" fillId="0" borderId="64" xfId="0" applyNumberFormat="1" applyFont="1" applyBorder="1" applyAlignment="1">
      <alignment horizontal="center" vertical="center"/>
    </xf>
    <xf numFmtId="4" fontId="19" fillId="0" borderId="64" xfId="0" applyNumberFormat="1" applyFont="1" applyBorder="1" applyAlignment="1">
      <alignment horizontal="center" vertical="center"/>
    </xf>
    <xf numFmtId="4" fontId="8" fillId="0" borderId="70" xfId="0" applyNumberFormat="1" applyFont="1" applyBorder="1" applyAlignment="1">
      <alignment horizontal="center" vertical="center"/>
    </xf>
    <xf numFmtId="0" fontId="5" fillId="14" borderId="7" xfId="0" applyFont="1" applyFill="1" applyBorder="1" applyAlignment="1">
      <alignment horizontal="left" vertical="center"/>
    </xf>
    <xf numFmtId="0" fontId="3" fillId="14" borderId="7" xfId="0" applyFont="1" applyFill="1" applyBorder="1" applyAlignment="1">
      <alignment horizontal="left" vertical="center" wrapText="1"/>
    </xf>
    <xf numFmtId="0" fontId="5" fillId="14" borderId="7" xfId="0" applyFont="1" applyFill="1" applyBorder="1" applyAlignment="1">
      <alignment horizontal="center" vertical="center" wrapText="1"/>
    </xf>
    <xf numFmtId="164" fontId="5" fillId="14" borderId="7" xfId="0" applyNumberFormat="1" applyFont="1" applyFill="1" applyBorder="1" applyAlignment="1">
      <alignment horizontal="center" vertical="center" wrapText="1"/>
    </xf>
    <xf numFmtId="164" fontId="16" fillId="14" borderId="7" xfId="0" applyNumberFormat="1" applyFont="1" applyFill="1" applyBorder="1" applyAlignment="1">
      <alignment horizontal="center" vertical="center" wrapText="1"/>
    </xf>
    <xf numFmtId="4" fontId="5" fillId="14" borderId="7" xfId="0" applyNumberFormat="1" applyFont="1" applyFill="1" applyBorder="1" applyAlignment="1">
      <alignment horizontal="center" vertical="center" wrapText="1"/>
    </xf>
    <xf numFmtId="4" fontId="5" fillId="20" borderId="7" xfId="0" applyNumberFormat="1" applyFont="1" applyFill="1" applyBorder="1" applyAlignment="1">
      <alignment horizontal="center" vertical="center" wrapText="1"/>
    </xf>
    <xf numFmtId="4" fontId="5" fillId="14" borderId="1" xfId="0" applyNumberFormat="1" applyFont="1" applyFill="1" applyBorder="1" applyAlignment="1">
      <alignment horizontal="center" vertical="center" wrapText="1"/>
    </xf>
    <xf numFmtId="164" fontId="16" fillId="14" borderId="48" xfId="0" applyNumberFormat="1" applyFont="1" applyFill="1" applyBorder="1" applyAlignment="1">
      <alignment horizontal="center" vertical="center" wrapText="1"/>
    </xf>
    <xf numFmtId="4" fontId="5" fillId="14" borderId="58" xfId="0" applyNumberFormat="1" applyFont="1" applyFill="1" applyBorder="1" applyAlignment="1">
      <alignment horizontal="center" vertical="center" wrapText="1"/>
    </xf>
    <xf numFmtId="4" fontId="5" fillId="14" borderId="59" xfId="0" applyNumberFormat="1" applyFont="1" applyFill="1" applyBorder="1" applyAlignment="1">
      <alignment horizontal="center" vertical="center" wrapText="1"/>
    </xf>
    <xf numFmtId="4" fontId="3" fillId="14" borderId="50" xfId="0" applyNumberFormat="1" applyFont="1" applyFill="1" applyBorder="1" applyAlignment="1">
      <alignment horizontal="center" vertical="center" wrapText="1"/>
    </xf>
    <xf numFmtId="4" fontId="3" fillId="14" borderId="26" xfId="0" applyNumberFormat="1" applyFont="1" applyFill="1" applyBorder="1" applyAlignment="1">
      <alignment horizontal="center" vertical="center" wrapText="1"/>
    </xf>
    <xf numFmtId="0" fontId="16" fillId="0" borderId="70" xfId="0" applyFont="1" applyBorder="1" applyAlignment="1">
      <alignment horizontal="center" vertical="center"/>
    </xf>
    <xf numFmtId="0" fontId="16" fillId="0" borderId="71" xfId="0" applyFont="1" applyBorder="1" applyAlignment="1">
      <alignment horizontal="center" vertical="center"/>
    </xf>
    <xf numFmtId="0" fontId="16" fillId="0" borderId="35" xfId="0" applyFont="1" applyBorder="1" applyAlignment="1">
      <alignment horizontal="center" vertical="center"/>
    </xf>
    <xf numFmtId="0" fontId="16" fillId="8" borderId="18" xfId="0" applyFont="1" applyFill="1" applyBorder="1" applyAlignment="1">
      <alignment horizontal="center" vertical="center" wrapText="1"/>
    </xf>
    <xf numFmtId="0" fontId="16" fillId="8" borderId="20" xfId="0" applyFont="1" applyFill="1" applyBorder="1" applyAlignment="1">
      <alignment horizontal="center" vertical="center" wrapText="1"/>
    </xf>
    <xf numFmtId="0" fontId="16" fillId="8" borderId="27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5" fillId="3" borderId="1" xfId="0" applyFont="1" applyFill="1" applyBorder="1" applyAlignment="1" applyProtection="1">
      <alignment horizontal="center" vertical="center"/>
      <protection locked="0"/>
    </xf>
    <xf numFmtId="0" fontId="5" fillId="3" borderId="2" xfId="0" applyFont="1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13" xfId="0" applyFont="1" applyBorder="1" applyAlignment="1">
      <alignment horizontal="center" vertical="center" wrapText="1"/>
    </xf>
    <xf numFmtId="0" fontId="3" fillId="0" borderId="28" xfId="0" applyFont="1" applyBorder="1" applyAlignment="1">
      <alignment horizontal="center" vertical="center" wrapText="1"/>
    </xf>
    <xf numFmtId="0" fontId="3" fillId="0" borderId="29" xfId="0" applyFont="1" applyBorder="1" applyAlignment="1">
      <alignment horizontal="center" vertical="center" wrapText="1"/>
    </xf>
    <xf numFmtId="0" fontId="3" fillId="0" borderId="36" xfId="0" applyFont="1" applyBorder="1" applyAlignment="1">
      <alignment horizontal="center" vertical="center" wrapText="1"/>
    </xf>
    <xf numFmtId="0" fontId="3" fillId="0" borderId="43" xfId="0" applyFont="1" applyBorder="1" applyAlignment="1">
      <alignment horizontal="center" vertical="center" wrapText="1"/>
    </xf>
    <xf numFmtId="0" fontId="3" fillId="0" borderId="44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8" fillId="4" borderId="1" xfId="0" applyFont="1" applyFill="1" applyBorder="1" applyAlignment="1">
      <alignment horizontal="left" vertical="center"/>
    </xf>
    <xf numFmtId="0" fontId="8" fillId="4" borderId="2" xfId="0" applyFont="1" applyFill="1" applyBorder="1" applyAlignment="1">
      <alignment horizontal="left" vertical="center"/>
    </xf>
    <xf numFmtId="0" fontId="8" fillId="4" borderId="3" xfId="0" applyFont="1" applyFill="1" applyBorder="1" applyAlignment="1">
      <alignment horizontal="left" vertical="center"/>
    </xf>
    <xf numFmtId="0" fontId="16" fillId="0" borderId="4" xfId="0" applyFont="1" applyBorder="1" applyAlignment="1">
      <alignment horizontal="center" vertical="center" wrapText="1"/>
    </xf>
    <xf numFmtId="0" fontId="16" fillId="0" borderId="5" xfId="0" applyFont="1" applyBorder="1" applyAlignment="1">
      <alignment horizontal="center" vertical="center" wrapText="1"/>
    </xf>
    <xf numFmtId="0" fontId="16" fillId="0" borderId="6" xfId="0" applyFont="1" applyBorder="1" applyAlignment="1">
      <alignment horizontal="center" vertical="center" wrapText="1"/>
    </xf>
    <xf numFmtId="0" fontId="5" fillId="3" borderId="3" xfId="0" applyFont="1" applyFill="1" applyBorder="1" applyAlignment="1" applyProtection="1">
      <alignment horizontal="center" vertical="center"/>
      <protection locked="0"/>
    </xf>
    <xf numFmtId="0" fontId="4" fillId="0" borderId="2" xfId="0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15" fillId="3" borderId="37" xfId="0" applyFont="1" applyFill="1" applyBorder="1" applyAlignment="1">
      <alignment horizontal="center" vertical="center"/>
    </xf>
    <xf numFmtId="0" fontId="15" fillId="3" borderId="41" xfId="0" applyFont="1" applyFill="1" applyBorder="1" applyAlignment="1">
      <alignment horizontal="center" vertical="center"/>
    </xf>
    <xf numFmtId="0" fontId="3" fillId="0" borderId="12" xfId="0" applyFont="1" applyBorder="1" applyAlignment="1">
      <alignment horizontal="center" vertical="center" wrapText="1"/>
    </xf>
    <xf numFmtId="0" fontId="3" fillId="0" borderId="23" xfId="0" applyFont="1" applyBorder="1" applyAlignment="1">
      <alignment horizontal="center" vertical="center" wrapText="1"/>
    </xf>
    <xf numFmtId="0" fontId="8" fillId="20" borderId="38" xfId="0" applyFont="1" applyFill="1" applyBorder="1" applyAlignment="1">
      <alignment horizontal="center" vertical="center"/>
    </xf>
    <xf numFmtId="0" fontId="8" fillId="14" borderId="19" xfId="0" applyFont="1" applyFill="1" applyBorder="1" applyAlignment="1">
      <alignment horizontal="right" vertical="center"/>
    </xf>
    <xf numFmtId="0" fontId="8" fillId="14" borderId="33" xfId="0" applyFont="1" applyFill="1" applyBorder="1" applyAlignment="1">
      <alignment horizontal="right" vertical="center"/>
    </xf>
    <xf numFmtId="0" fontId="8" fillId="14" borderId="34" xfId="0" applyFont="1" applyFill="1" applyBorder="1" applyAlignment="1">
      <alignment horizontal="right" vertical="center"/>
    </xf>
    <xf numFmtId="0" fontId="3" fillId="14" borderId="1" xfId="0" applyFont="1" applyFill="1" applyBorder="1" applyAlignment="1">
      <alignment horizontal="left" vertical="center"/>
    </xf>
    <xf numFmtId="0" fontId="3" fillId="14" borderId="2" xfId="0" applyFont="1" applyFill="1" applyBorder="1" applyAlignment="1">
      <alignment horizontal="left" vertical="center"/>
    </xf>
    <xf numFmtId="0" fontId="3" fillId="14" borderId="3" xfId="0" applyFont="1" applyFill="1" applyBorder="1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9"/>
  <colors>
    <mruColors>
      <color rgb="FFCCECFF"/>
      <color rgb="FFFF99CC"/>
      <color rgb="FF66FFFF"/>
      <color rgb="FFCCFF33"/>
      <color rgb="FFCCFFFF"/>
      <color rgb="FF99CCFF"/>
      <color rgb="FFFFCCCC"/>
      <color rgb="FFFFFF00"/>
      <color rgb="FFFFCCFF"/>
      <color rgb="FF66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333CC"/>
  </sheetPr>
  <dimension ref="A1:AA81"/>
  <sheetViews>
    <sheetView tabSelected="1" view="pageBreakPreview" topLeftCell="A2" zoomScale="85" zoomScaleNormal="38" zoomScaleSheetLayoutView="85" workbookViewId="0">
      <selection activeCell="E78" sqref="E78"/>
    </sheetView>
  </sheetViews>
  <sheetFormatPr defaultRowHeight="15" x14ac:dyDescent="0.25"/>
  <cols>
    <col min="1" max="1" width="6.42578125" customWidth="1"/>
    <col min="2" max="2" width="9.7109375" customWidth="1"/>
    <col min="3" max="3" width="47.7109375" customWidth="1"/>
    <col min="4" max="4" width="0.5703125" hidden="1" customWidth="1"/>
    <col min="5" max="5" width="29.42578125" customWidth="1"/>
    <col min="6" max="6" width="12.42578125" customWidth="1"/>
    <col min="7" max="7" width="1.85546875" hidden="1" customWidth="1"/>
    <col min="8" max="8" width="16" hidden="1" customWidth="1"/>
    <col min="9" max="9" width="16.42578125" customWidth="1"/>
    <col min="10" max="10" width="16" hidden="1" customWidth="1"/>
    <col min="11" max="11" width="17" hidden="1" customWidth="1"/>
    <col min="12" max="12" width="17.5703125" hidden="1" customWidth="1"/>
    <col min="13" max="13" width="18" hidden="1" customWidth="1"/>
    <col min="14" max="14" width="18.85546875" hidden="1" customWidth="1"/>
    <col min="15" max="15" width="23.5703125" hidden="1" customWidth="1"/>
    <col min="16" max="16" width="25.7109375" customWidth="1"/>
    <col min="17" max="17" width="20.7109375" customWidth="1"/>
    <col min="18" max="18" width="27.85546875" customWidth="1"/>
    <col min="19" max="19" width="19.28515625" customWidth="1"/>
    <col min="20" max="20" width="27.85546875" customWidth="1"/>
    <col min="21" max="21" width="16" customWidth="1"/>
    <col min="22" max="22" width="17" customWidth="1"/>
    <col min="23" max="23" width="17.28515625" customWidth="1"/>
    <col min="24" max="24" width="18" hidden="1" customWidth="1"/>
    <col min="25" max="25" width="18.85546875" hidden="1" customWidth="1"/>
    <col min="26" max="26" width="32.85546875" customWidth="1"/>
    <col min="27" max="27" width="25.7109375" customWidth="1"/>
  </cols>
  <sheetData>
    <row r="1" spans="1:27" ht="25.5" customHeight="1" x14ac:dyDescent="0.25">
      <c r="A1" s="1" t="s">
        <v>0</v>
      </c>
      <c r="B1" s="3"/>
      <c r="C1" s="3"/>
      <c r="D1" s="2" t="s">
        <v>1</v>
      </c>
      <c r="E1" s="2" t="s">
        <v>3</v>
      </c>
      <c r="F1" s="2" t="s">
        <v>2</v>
      </c>
      <c r="G1" s="2" t="s">
        <v>10</v>
      </c>
      <c r="H1" s="2" t="s">
        <v>11</v>
      </c>
      <c r="I1" s="2" t="s">
        <v>12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297"/>
    </row>
    <row r="2" spans="1:27" ht="30.75" customHeight="1" x14ac:dyDescent="0.25">
      <c r="A2" s="324" t="s">
        <v>4</v>
      </c>
      <c r="B2" s="324"/>
      <c r="C2" s="324"/>
      <c r="D2" s="324"/>
      <c r="E2" s="324"/>
      <c r="F2" s="324"/>
      <c r="G2" s="324"/>
      <c r="H2" s="324"/>
      <c r="I2" s="324"/>
      <c r="J2" s="324"/>
      <c r="K2" s="324"/>
      <c r="L2" s="324"/>
      <c r="M2" s="324"/>
      <c r="N2" s="324"/>
      <c r="O2" s="324"/>
      <c r="P2" s="324"/>
      <c r="Q2" s="324"/>
      <c r="R2" s="324"/>
      <c r="S2" s="324"/>
      <c r="T2" s="324"/>
      <c r="U2" s="324"/>
      <c r="V2" s="324"/>
      <c r="W2" s="324"/>
      <c r="X2" s="324"/>
      <c r="Y2" s="324"/>
      <c r="Z2" s="324"/>
      <c r="AA2" s="44"/>
    </row>
    <row r="3" spans="1:27" ht="35.1" customHeight="1" x14ac:dyDescent="0.25">
      <c r="A3" s="325" t="s">
        <v>5</v>
      </c>
      <c r="B3" s="325"/>
      <c r="C3" s="325"/>
      <c r="D3" s="325"/>
      <c r="E3" s="325"/>
      <c r="F3" s="325"/>
      <c r="G3" s="325"/>
      <c r="H3" s="325"/>
      <c r="I3" s="325"/>
      <c r="J3" s="325"/>
      <c r="K3" s="325"/>
      <c r="L3" s="325"/>
      <c r="M3" s="325"/>
      <c r="N3" s="325"/>
      <c r="O3" s="325"/>
      <c r="P3" s="325"/>
      <c r="Q3" s="325"/>
      <c r="R3" s="325"/>
      <c r="S3" s="325"/>
      <c r="T3" s="325"/>
      <c r="U3" s="325"/>
      <c r="V3" s="325"/>
      <c r="W3" s="325"/>
      <c r="X3" s="325"/>
      <c r="Y3" s="325"/>
      <c r="Z3" s="325"/>
      <c r="AA3" s="297"/>
    </row>
    <row r="4" spans="1:27" ht="35.1" customHeight="1" thickBot="1" x14ac:dyDescent="0.3">
      <c r="A4" s="326" t="s">
        <v>6</v>
      </c>
      <c r="B4" s="326"/>
      <c r="C4" s="326"/>
      <c r="D4" s="326"/>
      <c r="E4" s="326"/>
      <c r="F4" s="326"/>
      <c r="G4" s="326"/>
      <c r="H4" s="326"/>
      <c r="I4" s="326"/>
      <c r="J4" s="326"/>
      <c r="K4" s="326"/>
      <c r="L4" s="326"/>
      <c r="M4" s="326"/>
      <c r="N4" s="326"/>
      <c r="O4" s="326"/>
      <c r="P4" s="326"/>
      <c r="Q4" s="326"/>
      <c r="R4" s="326"/>
      <c r="S4" s="326"/>
      <c r="T4" s="326"/>
      <c r="U4" s="326"/>
      <c r="V4" s="326"/>
      <c r="W4" s="326"/>
      <c r="X4" s="326"/>
      <c r="Y4" s="326"/>
      <c r="Z4" s="326"/>
      <c r="AA4" s="44"/>
    </row>
    <row r="5" spans="1:27" ht="40.700000000000003" customHeight="1" thickBot="1" x14ac:dyDescent="0.3">
      <c r="A5" s="327" t="s">
        <v>13</v>
      </c>
      <c r="B5" s="327" t="s">
        <v>14</v>
      </c>
      <c r="C5" s="327" t="s">
        <v>15</v>
      </c>
      <c r="D5" s="327" t="s">
        <v>16</v>
      </c>
      <c r="E5" s="327" t="s">
        <v>17</v>
      </c>
      <c r="F5" s="327" t="s">
        <v>18</v>
      </c>
      <c r="G5" s="327" t="s">
        <v>19</v>
      </c>
      <c r="H5" s="327" t="s">
        <v>20</v>
      </c>
      <c r="I5" s="348" t="s">
        <v>21</v>
      </c>
      <c r="J5" s="353" t="s">
        <v>7</v>
      </c>
      <c r="K5" s="354"/>
      <c r="L5" s="354"/>
      <c r="M5" s="354"/>
      <c r="N5" s="354"/>
      <c r="O5" s="354"/>
      <c r="P5" s="321" t="s">
        <v>204</v>
      </c>
      <c r="Q5" s="355" t="s">
        <v>207</v>
      </c>
      <c r="R5" s="356"/>
      <c r="S5" s="355" t="s">
        <v>208</v>
      </c>
      <c r="T5" s="356"/>
      <c r="U5" s="331" t="s">
        <v>8</v>
      </c>
      <c r="V5" s="331"/>
      <c r="W5" s="351"/>
      <c r="X5" s="330" t="s">
        <v>9</v>
      </c>
      <c r="Y5" s="331"/>
      <c r="Z5" s="331"/>
      <c r="AA5" s="318" t="s">
        <v>209</v>
      </c>
    </row>
    <row r="6" spans="1:27" ht="15.75" customHeight="1" x14ac:dyDescent="0.25">
      <c r="A6" s="328"/>
      <c r="B6" s="328"/>
      <c r="C6" s="328"/>
      <c r="D6" s="328"/>
      <c r="E6" s="328"/>
      <c r="F6" s="328"/>
      <c r="G6" s="328"/>
      <c r="H6" s="328"/>
      <c r="I6" s="349"/>
      <c r="J6" s="332" t="s">
        <v>22</v>
      </c>
      <c r="K6" s="333"/>
      <c r="L6" s="327" t="s">
        <v>22</v>
      </c>
      <c r="M6" s="332" t="s">
        <v>25</v>
      </c>
      <c r="N6" s="333"/>
      <c r="O6" s="343" t="s">
        <v>26</v>
      </c>
      <c r="P6" s="322"/>
      <c r="Q6" s="357" t="s">
        <v>202</v>
      </c>
      <c r="R6" s="337" t="s">
        <v>205</v>
      </c>
      <c r="S6" s="339" t="s">
        <v>202</v>
      </c>
      <c r="T6" s="341" t="s">
        <v>205</v>
      </c>
      <c r="U6" s="352" t="s">
        <v>22</v>
      </c>
      <c r="V6" s="333"/>
      <c r="W6" s="327" t="s">
        <v>22</v>
      </c>
      <c r="X6" s="332" t="s">
        <v>25</v>
      </c>
      <c r="Y6" s="333"/>
      <c r="Z6" s="343" t="s">
        <v>26</v>
      </c>
      <c r="AA6" s="319"/>
    </row>
    <row r="7" spans="1:27" ht="51" customHeight="1" thickBot="1" x14ac:dyDescent="0.3">
      <c r="A7" s="329"/>
      <c r="B7" s="329"/>
      <c r="C7" s="329"/>
      <c r="D7" s="329"/>
      <c r="E7" s="329"/>
      <c r="F7" s="329"/>
      <c r="G7" s="329"/>
      <c r="H7" s="329"/>
      <c r="I7" s="350"/>
      <c r="J7" s="4" t="s">
        <v>23</v>
      </c>
      <c r="K7" s="4" t="s">
        <v>24</v>
      </c>
      <c r="L7" s="329"/>
      <c r="M7" s="4" t="s">
        <v>23</v>
      </c>
      <c r="N7" s="4" t="s">
        <v>24</v>
      </c>
      <c r="O7" s="344"/>
      <c r="P7" s="323"/>
      <c r="Q7" s="358"/>
      <c r="R7" s="338"/>
      <c r="S7" s="340"/>
      <c r="T7" s="342"/>
      <c r="U7" s="30" t="s">
        <v>23</v>
      </c>
      <c r="V7" s="4" t="s">
        <v>24</v>
      </c>
      <c r="W7" s="329"/>
      <c r="X7" s="4" t="s">
        <v>23</v>
      </c>
      <c r="Y7" s="4" t="s">
        <v>24</v>
      </c>
      <c r="Z7" s="344"/>
      <c r="AA7" s="320"/>
    </row>
    <row r="8" spans="1:27" ht="8.1" hidden="1" customHeight="1" x14ac:dyDescent="0.25">
      <c r="A8" s="345" t="s">
        <v>27</v>
      </c>
      <c r="B8" s="346"/>
      <c r="C8" s="346"/>
      <c r="D8" s="346"/>
      <c r="E8" s="346"/>
      <c r="F8" s="346"/>
      <c r="G8" s="346"/>
      <c r="H8" s="346"/>
      <c r="I8" s="347"/>
      <c r="J8" s="6"/>
      <c r="K8" s="6"/>
      <c r="L8" s="6"/>
      <c r="M8" s="7" t="e">
        <f>SUM(M9)</f>
        <v>#REF!</v>
      </c>
      <c r="N8" s="7" t="e">
        <f>SUM(N9)</f>
        <v>#REF!</v>
      </c>
      <c r="O8" s="32" t="e">
        <f>SUM(O9)</f>
        <v>#REF!</v>
      </c>
      <c r="P8" s="63"/>
      <c r="Q8" s="41"/>
      <c r="R8" s="42"/>
      <c r="S8" s="56"/>
      <c r="T8" s="43"/>
      <c r="U8" s="6"/>
      <c r="V8" s="6"/>
      <c r="W8" s="6"/>
      <c r="X8" s="7">
        <f>SUM(X9)</f>
        <v>35512286.57</v>
      </c>
      <c r="Y8" s="7">
        <f>SUM(Y9)</f>
        <v>50913003.079999998</v>
      </c>
      <c r="Z8" s="32">
        <f>SUM(Z9)</f>
        <v>86425289.650000006</v>
      </c>
      <c r="AA8" s="298"/>
    </row>
    <row r="9" spans="1:27" ht="17.100000000000001" hidden="1" customHeight="1" x14ac:dyDescent="0.25">
      <c r="A9" s="8" t="s">
        <v>28</v>
      </c>
      <c r="B9" s="8" t="s">
        <v>29</v>
      </c>
      <c r="C9" s="334" t="s">
        <v>30</v>
      </c>
      <c r="D9" s="335"/>
      <c r="E9" s="335"/>
      <c r="F9" s="335"/>
      <c r="G9" s="335"/>
      <c r="H9" s="335"/>
      <c r="I9" s="336"/>
      <c r="M9" s="5" t="e">
        <f>SUM(M10,M20)</f>
        <v>#REF!</v>
      </c>
      <c r="N9" s="5" t="e">
        <f>SUM(N10,N20)</f>
        <v>#REF!</v>
      </c>
      <c r="O9" s="33" t="e">
        <f>SUM(O10,O20)</f>
        <v>#REF!</v>
      </c>
      <c r="P9" s="64"/>
      <c r="Q9" s="37"/>
      <c r="R9" s="31"/>
      <c r="S9" s="57"/>
      <c r="T9" s="38"/>
      <c r="X9" s="5">
        <v>35512286.57</v>
      </c>
      <c r="Y9" s="5">
        <v>50913003.079999998</v>
      </c>
      <c r="Z9" s="33">
        <v>86425289.650000006</v>
      </c>
      <c r="AA9" s="298"/>
    </row>
    <row r="10" spans="1:27" ht="3" hidden="1" customHeight="1" x14ac:dyDescent="0.25">
      <c r="A10" s="8" t="s">
        <v>31</v>
      </c>
      <c r="B10" s="8" t="s">
        <v>32</v>
      </c>
      <c r="C10" s="334" t="s">
        <v>33</v>
      </c>
      <c r="D10" s="335"/>
      <c r="E10" s="335"/>
      <c r="F10" s="335"/>
      <c r="G10" s="335"/>
      <c r="H10" s="335"/>
      <c r="I10" s="336"/>
      <c r="M10" s="5">
        <f t="shared" ref="M10:O14" si="0">SUM(M11)</f>
        <v>126283.29</v>
      </c>
      <c r="N10" s="5">
        <f t="shared" si="0"/>
        <v>180408.36</v>
      </c>
      <c r="O10" s="33">
        <f t="shared" si="0"/>
        <v>306691.64999999997</v>
      </c>
      <c r="P10" s="64"/>
      <c r="Q10" s="37"/>
      <c r="R10" s="31"/>
      <c r="S10" s="57"/>
      <c r="T10" s="38"/>
      <c r="X10" s="5">
        <v>126283.29</v>
      </c>
      <c r="Y10" s="5">
        <v>180408.36</v>
      </c>
      <c r="Z10" s="33">
        <v>306691.65000000002</v>
      </c>
      <c r="AA10" s="298"/>
    </row>
    <row r="11" spans="1:27" ht="17.100000000000001" hidden="1" customHeight="1" x14ac:dyDescent="0.25">
      <c r="A11" s="8" t="s">
        <v>34</v>
      </c>
      <c r="B11" s="8" t="s">
        <v>35</v>
      </c>
      <c r="C11" s="334" t="s">
        <v>36</v>
      </c>
      <c r="D11" s="335"/>
      <c r="E11" s="335"/>
      <c r="F11" s="335"/>
      <c r="G11" s="335"/>
      <c r="H11" s="335"/>
      <c r="I11" s="336"/>
      <c r="M11" s="5">
        <f t="shared" si="0"/>
        <v>126283.29</v>
      </c>
      <c r="N11" s="5">
        <f t="shared" si="0"/>
        <v>180408.36</v>
      </c>
      <c r="O11" s="33">
        <f t="shared" si="0"/>
        <v>306691.64999999997</v>
      </c>
      <c r="P11" s="64"/>
      <c r="Q11" s="37"/>
      <c r="R11" s="31"/>
      <c r="S11" s="57"/>
      <c r="T11" s="38"/>
      <c r="X11" s="5">
        <v>126283.29</v>
      </c>
      <c r="Y11" s="5">
        <v>180408.36</v>
      </c>
      <c r="Z11" s="33">
        <v>306691.65000000002</v>
      </c>
      <c r="AA11" s="298"/>
    </row>
    <row r="12" spans="1:27" ht="17.100000000000001" hidden="1" customHeight="1" x14ac:dyDescent="0.25">
      <c r="A12" s="8" t="s">
        <v>37</v>
      </c>
      <c r="B12" s="8" t="s">
        <v>38</v>
      </c>
      <c r="C12" s="334" t="s">
        <v>39</v>
      </c>
      <c r="D12" s="335"/>
      <c r="E12" s="335"/>
      <c r="F12" s="335"/>
      <c r="G12" s="335"/>
      <c r="H12" s="335"/>
      <c r="I12" s="336"/>
      <c r="M12" s="5">
        <f t="shared" si="0"/>
        <v>126283.29</v>
      </c>
      <c r="N12" s="5">
        <f t="shared" si="0"/>
        <v>180408.36</v>
      </c>
      <c r="O12" s="33">
        <f t="shared" si="0"/>
        <v>306691.64999999997</v>
      </c>
      <c r="P12" s="64"/>
      <c r="Q12" s="37"/>
      <c r="R12" s="31"/>
      <c r="S12" s="57"/>
      <c r="T12" s="38"/>
      <c r="X12" s="5">
        <v>126283.29</v>
      </c>
      <c r="Y12" s="5">
        <v>180408.36</v>
      </c>
      <c r="Z12" s="33">
        <v>306691.65000000002</v>
      </c>
      <c r="AA12" s="298"/>
    </row>
    <row r="13" spans="1:27" ht="17.100000000000001" hidden="1" customHeight="1" x14ac:dyDescent="0.25">
      <c r="A13" s="8" t="s">
        <v>40</v>
      </c>
      <c r="B13" s="8" t="s">
        <v>41</v>
      </c>
      <c r="C13" s="334" t="s">
        <v>42</v>
      </c>
      <c r="D13" s="335"/>
      <c r="E13" s="335"/>
      <c r="F13" s="335"/>
      <c r="G13" s="335"/>
      <c r="H13" s="335"/>
      <c r="I13" s="336"/>
      <c r="M13" s="5">
        <f t="shared" si="0"/>
        <v>126283.29</v>
      </c>
      <c r="N13" s="5">
        <f t="shared" si="0"/>
        <v>180408.36</v>
      </c>
      <c r="O13" s="33">
        <f t="shared" si="0"/>
        <v>306691.64999999997</v>
      </c>
      <c r="P13" s="64"/>
      <c r="Q13" s="37"/>
      <c r="R13" s="31"/>
      <c r="S13" s="57"/>
      <c r="T13" s="38"/>
      <c r="X13" s="5">
        <v>126283.29</v>
      </c>
      <c r="Y13" s="5">
        <v>180408.36</v>
      </c>
      <c r="Z13" s="33">
        <v>306691.65000000002</v>
      </c>
      <c r="AA13" s="298"/>
    </row>
    <row r="14" spans="1:27" ht="12.6" hidden="1" customHeight="1" x14ac:dyDescent="0.25">
      <c r="A14" s="8" t="s">
        <v>43</v>
      </c>
      <c r="B14" s="8" t="s">
        <v>44</v>
      </c>
      <c r="C14" s="334" t="s">
        <v>45</v>
      </c>
      <c r="D14" s="335"/>
      <c r="E14" s="335"/>
      <c r="F14" s="335"/>
      <c r="G14" s="335"/>
      <c r="H14" s="335"/>
      <c r="I14" s="336"/>
      <c r="M14" s="5">
        <f t="shared" si="0"/>
        <v>126283.29</v>
      </c>
      <c r="N14" s="5">
        <f t="shared" si="0"/>
        <v>180408.36</v>
      </c>
      <c r="O14" s="33">
        <f t="shared" si="0"/>
        <v>306691.64999999997</v>
      </c>
      <c r="P14" s="64"/>
      <c r="Q14" s="37"/>
      <c r="R14" s="31"/>
      <c r="S14" s="57"/>
      <c r="T14" s="38"/>
      <c r="X14" s="5">
        <v>126283.29</v>
      </c>
      <c r="Y14" s="5">
        <v>180408.36</v>
      </c>
      <c r="Z14" s="33">
        <v>306691.65000000002</v>
      </c>
      <c r="AA14" s="298"/>
    </row>
    <row r="15" spans="1:27" ht="2.1" hidden="1" customHeight="1" x14ac:dyDescent="0.25">
      <c r="A15" s="8" t="s">
        <v>46</v>
      </c>
      <c r="B15" s="8" t="s">
        <v>47</v>
      </c>
      <c r="C15" s="9" t="s">
        <v>48</v>
      </c>
      <c r="D15" s="10" t="s">
        <v>49</v>
      </c>
      <c r="E15" s="10" t="s">
        <v>50</v>
      </c>
      <c r="F15" s="10" t="s">
        <v>51</v>
      </c>
      <c r="G15" s="11">
        <v>1</v>
      </c>
      <c r="H15" s="11"/>
      <c r="I15" s="60">
        <v>128.04</v>
      </c>
      <c r="J15" s="12">
        <f>IFERROR(ROUND(SUM(M16,M17,M18,M19)/I15, 2),0)</f>
        <v>986.28</v>
      </c>
      <c r="K15" s="13">
        <v>1409</v>
      </c>
      <c r="L15" s="12">
        <f>J15+ROUND(K15, 2)</f>
        <v>2395.2799999999997</v>
      </c>
      <c r="M15" s="12">
        <f>ROUND(J15*I15, 2)</f>
        <v>126283.29</v>
      </c>
      <c r="N15" s="12">
        <f>ROUND(I15*ROUND(K15, 2), 2)</f>
        <v>180408.36</v>
      </c>
      <c r="O15" s="34">
        <f>M15+N15</f>
        <v>306691.64999999997</v>
      </c>
      <c r="P15" s="66">
        <f>I15</f>
        <v>128.04</v>
      </c>
      <c r="Q15" s="52"/>
      <c r="R15" s="51"/>
      <c r="S15" s="58"/>
      <c r="T15" s="53"/>
      <c r="U15" s="35">
        <v>986.28</v>
      </c>
      <c r="V15" s="13">
        <v>1409</v>
      </c>
      <c r="W15" s="12">
        <v>2395.2800000000002</v>
      </c>
      <c r="X15" s="12">
        <v>126283.29</v>
      </c>
      <c r="Y15" s="12">
        <v>180408.36</v>
      </c>
      <c r="Z15" s="34">
        <v>306691.65000000002</v>
      </c>
      <c r="AA15" s="298"/>
    </row>
    <row r="16" spans="1:27" ht="75" hidden="1" x14ac:dyDescent="0.25">
      <c r="A16" s="8" t="s">
        <v>52</v>
      </c>
      <c r="B16" s="8"/>
      <c r="C16" s="14" t="s">
        <v>53</v>
      </c>
      <c r="D16" s="10"/>
      <c r="E16" s="10"/>
      <c r="F16" s="15" t="s">
        <v>54</v>
      </c>
      <c r="G16" s="16">
        <v>1</v>
      </c>
      <c r="H16" s="16"/>
      <c r="I16" s="61">
        <v>128.04</v>
      </c>
      <c r="J16" s="17">
        <v>111.15</v>
      </c>
      <c r="M16" s="18">
        <f>ROUND(ROUND(J16, 2)*I16, 2)</f>
        <v>14231.65</v>
      </c>
      <c r="P16" s="66">
        <f>I16</f>
        <v>128.04</v>
      </c>
      <c r="Q16" s="39"/>
      <c r="S16" s="59"/>
      <c r="T16" s="40"/>
      <c r="U16" s="36">
        <v>111.15</v>
      </c>
      <c r="X16" s="18">
        <v>14231.65</v>
      </c>
      <c r="AA16" s="298"/>
    </row>
    <row r="17" spans="1:27" ht="22.5" hidden="1" x14ac:dyDescent="0.25">
      <c r="A17" s="8" t="s">
        <v>55</v>
      </c>
      <c r="B17" s="8"/>
      <c r="C17" s="19" t="s">
        <v>56</v>
      </c>
      <c r="D17" s="10"/>
      <c r="E17" s="10"/>
      <c r="F17" s="15" t="s">
        <v>57</v>
      </c>
      <c r="G17" s="20">
        <v>2.1</v>
      </c>
      <c r="H17" s="16"/>
      <c r="I17" s="61">
        <v>268.88400000000001</v>
      </c>
      <c r="J17" s="17">
        <v>70.97</v>
      </c>
      <c r="M17" s="18">
        <f>ROUND(ROUND(J17, 2)*I17, 2)</f>
        <v>19082.7</v>
      </c>
      <c r="P17" s="66">
        <f>I17</f>
        <v>268.88400000000001</v>
      </c>
      <c r="Q17" s="39"/>
      <c r="S17" s="59"/>
      <c r="T17" s="40"/>
      <c r="U17" s="36">
        <v>70.97</v>
      </c>
      <c r="X17" s="18">
        <v>19082.7</v>
      </c>
      <c r="AA17" s="298"/>
    </row>
    <row r="18" spans="1:27" ht="37.5" hidden="1" x14ac:dyDescent="0.25">
      <c r="A18" s="8" t="s">
        <v>58</v>
      </c>
      <c r="B18" s="8"/>
      <c r="C18" s="19" t="s">
        <v>59</v>
      </c>
      <c r="D18" s="10"/>
      <c r="E18" s="10"/>
      <c r="F18" s="15" t="s">
        <v>57</v>
      </c>
      <c r="G18" s="20">
        <v>0.8</v>
      </c>
      <c r="H18" s="16"/>
      <c r="I18" s="61">
        <v>102.432</v>
      </c>
      <c r="J18" s="17">
        <v>56.76</v>
      </c>
      <c r="M18" s="18">
        <f>ROUND(ROUND(J18, 2)*I18, 2)</f>
        <v>5814.04</v>
      </c>
      <c r="P18" s="66">
        <f>I18</f>
        <v>102.432</v>
      </c>
      <c r="Q18" s="39"/>
      <c r="S18" s="59"/>
      <c r="T18" s="40"/>
      <c r="U18" s="36">
        <v>56.76</v>
      </c>
      <c r="X18" s="18">
        <v>5814.04</v>
      </c>
      <c r="AA18" s="298"/>
    </row>
    <row r="19" spans="1:27" ht="37.5" hidden="1" x14ac:dyDescent="0.25">
      <c r="A19" s="8" t="s">
        <v>60</v>
      </c>
      <c r="B19" s="8"/>
      <c r="C19" s="19" t="s">
        <v>61</v>
      </c>
      <c r="D19" s="10"/>
      <c r="E19" s="10"/>
      <c r="F19" s="15" t="s">
        <v>51</v>
      </c>
      <c r="G19" s="16">
        <v>2.2000000000000002</v>
      </c>
      <c r="H19" s="16"/>
      <c r="I19" s="61">
        <v>281.68799999999999</v>
      </c>
      <c r="J19" s="17">
        <v>309.39999999999998</v>
      </c>
      <c r="M19" s="18">
        <f>ROUND(ROUND(J19, 2)*I19, 2)</f>
        <v>87154.27</v>
      </c>
      <c r="P19" s="66">
        <f>I19</f>
        <v>281.68799999999999</v>
      </c>
      <c r="Q19" s="39"/>
      <c r="S19" s="59"/>
      <c r="T19" s="40"/>
      <c r="U19" s="36">
        <v>309.39999999999998</v>
      </c>
      <c r="X19" s="18">
        <v>87154.27</v>
      </c>
      <c r="AA19" s="298"/>
    </row>
    <row r="20" spans="1:27" ht="17.100000000000001" hidden="1" customHeight="1" x14ac:dyDescent="0.25">
      <c r="A20" s="8" t="s">
        <v>62</v>
      </c>
      <c r="B20" s="8" t="s">
        <v>63</v>
      </c>
      <c r="C20" s="334" t="s">
        <v>64</v>
      </c>
      <c r="D20" s="335"/>
      <c r="E20" s="335"/>
      <c r="F20" s="335"/>
      <c r="G20" s="335"/>
      <c r="H20" s="335"/>
      <c r="I20" s="336"/>
      <c r="M20" s="5" t="e">
        <f t="shared" ref="M20:O21" si="1">SUM(M21)</f>
        <v>#REF!</v>
      </c>
      <c r="N20" s="5" t="e">
        <f t="shared" si="1"/>
        <v>#REF!</v>
      </c>
      <c r="O20" s="33" t="e">
        <f t="shared" si="1"/>
        <v>#REF!</v>
      </c>
      <c r="P20" s="65"/>
      <c r="Q20" s="37"/>
      <c r="R20" s="31"/>
      <c r="S20" s="57"/>
      <c r="T20" s="38"/>
      <c r="X20" s="5">
        <v>35386003.280000001</v>
      </c>
      <c r="Y20" s="5">
        <v>50732594.719999999</v>
      </c>
      <c r="Z20" s="33">
        <v>86118598</v>
      </c>
      <c r="AA20" s="298"/>
    </row>
    <row r="21" spans="1:27" ht="17.100000000000001" hidden="1" customHeight="1" x14ac:dyDescent="0.25">
      <c r="A21" s="8" t="s">
        <v>65</v>
      </c>
      <c r="B21" s="8" t="s">
        <v>66</v>
      </c>
      <c r="C21" s="334" t="s">
        <v>67</v>
      </c>
      <c r="D21" s="335"/>
      <c r="E21" s="335"/>
      <c r="F21" s="335"/>
      <c r="G21" s="335"/>
      <c r="H21" s="335"/>
      <c r="I21" s="336"/>
      <c r="M21" s="5" t="e">
        <f t="shared" si="1"/>
        <v>#REF!</v>
      </c>
      <c r="N21" s="5" t="e">
        <f t="shared" si="1"/>
        <v>#REF!</v>
      </c>
      <c r="O21" s="33" t="e">
        <f t="shared" si="1"/>
        <v>#REF!</v>
      </c>
      <c r="P21" s="65"/>
      <c r="Q21" s="37"/>
      <c r="R21" s="31"/>
      <c r="S21" s="57"/>
      <c r="T21" s="38"/>
      <c r="X21" s="5">
        <v>35386003.280000001</v>
      </c>
      <c r="Y21" s="5">
        <v>50732594.719999999</v>
      </c>
      <c r="Z21" s="33">
        <v>86118598</v>
      </c>
      <c r="AA21" s="298"/>
    </row>
    <row r="22" spans="1:27" ht="17.100000000000001" hidden="1" customHeight="1" x14ac:dyDescent="0.25">
      <c r="A22" s="8" t="s">
        <v>68</v>
      </c>
      <c r="B22" s="8" t="s">
        <v>69</v>
      </c>
      <c r="C22" s="334" t="s">
        <v>70</v>
      </c>
      <c r="D22" s="335"/>
      <c r="E22" s="335"/>
      <c r="F22" s="335"/>
      <c r="G22" s="335"/>
      <c r="H22" s="335"/>
      <c r="I22" s="336"/>
      <c r="M22" s="5" t="e">
        <f>SUM(M23,#REF!,#REF!,#REF!,#REF!)</f>
        <v>#REF!</v>
      </c>
      <c r="N22" s="5" t="e">
        <f>SUM(N23,#REF!,#REF!,#REF!,#REF!)</f>
        <v>#REF!</v>
      </c>
      <c r="O22" s="33" t="e">
        <f>SUM(O23,#REF!,#REF!,#REF!,#REF!)</f>
        <v>#REF!</v>
      </c>
      <c r="P22" s="65"/>
      <c r="Q22" s="37"/>
      <c r="R22" s="31"/>
      <c r="S22" s="57"/>
      <c r="T22" s="38"/>
      <c r="X22" s="5">
        <v>35386003.280000001</v>
      </c>
      <c r="Y22" s="5">
        <v>50732594.719999999</v>
      </c>
      <c r="Z22" s="33">
        <v>86118598</v>
      </c>
      <c r="AA22" s="298"/>
    </row>
    <row r="23" spans="1:27" ht="17.100000000000001" hidden="1" customHeight="1" x14ac:dyDescent="0.25">
      <c r="A23" s="8" t="s">
        <v>71</v>
      </c>
      <c r="B23" s="8" t="s">
        <v>72</v>
      </c>
      <c r="C23" s="334" t="s">
        <v>73</v>
      </c>
      <c r="D23" s="335"/>
      <c r="E23" s="335"/>
      <c r="F23" s="335"/>
      <c r="G23" s="335"/>
      <c r="H23" s="335"/>
      <c r="I23" s="336"/>
      <c r="M23" s="5" t="e">
        <f>SUM(M24,M67,#REF!,#REF!)</f>
        <v>#REF!</v>
      </c>
      <c r="N23" s="5" t="e">
        <f>SUM(N24,N67,#REF!,#REF!)</f>
        <v>#REF!</v>
      </c>
      <c r="O23" s="33" t="e">
        <f>SUM(O24,O67,#REF!,#REF!)</f>
        <v>#REF!</v>
      </c>
      <c r="P23" s="65"/>
      <c r="Q23" s="37"/>
      <c r="R23" s="31"/>
      <c r="S23" s="57"/>
      <c r="T23" s="38"/>
      <c r="X23" s="5">
        <v>22337925.34</v>
      </c>
      <c r="Y23" s="5">
        <v>15959507.4</v>
      </c>
      <c r="Z23" s="33">
        <v>38297432.740000002</v>
      </c>
      <c r="AA23" s="298"/>
    </row>
    <row r="24" spans="1:27" ht="17.100000000000001" hidden="1" customHeight="1" x14ac:dyDescent="0.25">
      <c r="A24" s="8" t="s">
        <v>74</v>
      </c>
      <c r="B24" s="8" t="s">
        <v>75</v>
      </c>
      <c r="C24" s="334" t="s">
        <v>76</v>
      </c>
      <c r="D24" s="335"/>
      <c r="E24" s="335"/>
      <c r="F24" s="335"/>
      <c r="G24" s="335"/>
      <c r="H24" s="335"/>
      <c r="I24" s="336"/>
      <c r="M24" s="5">
        <f>SUM(M25,M29,M31,M34,M36,M41,M46,M51,M57,M62)</f>
        <v>7808423.3099999996</v>
      </c>
      <c r="N24" s="5">
        <f>SUM(N25,N29,N31,N34,N36,N41,N46,N51,N57,N62)</f>
        <v>7918514.0600000005</v>
      </c>
      <c r="O24" s="33">
        <f>SUM(O25,O29,O31,O34,O36,O41,O46,O51,O57,O62)</f>
        <v>15726937.370000001</v>
      </c>
      <c r="P24" s="65"/>
      <c r="Q24" s="37"/>
      <c r="R24" s="31"/>
      <c r="S24" s="57"/>
      <c r="T24" s="38"/>
      <c r="X24" s="5">
        <v>7808423.3099999996</v>
      </c>
      <c r="Y24" s="5">
        <v>7918514.0599999996</v>
      </c>
      <c r="Z24" s="33">
        <v>15726937.369999999</v>
      </c>
      <c r="AA24" s="298"/>
    </row>
    <row r="25" spans="1:27" ht="99.6" hidden="1" customHeight="1" x14ac:dyDescent="0.25">
      <c r="A25" s="8" t="s">
        <v>77</v>
      </c>
      <c r="B25" s="8" t="s">
        <v>78</v>
      </c>
      <c r="C25" s="29" t="s">
        <v>79</v>
      </c>
      <c r="D25" s="10" t="s">
        <v>80</v>
      </c>
      <c r="E25" s="10" t="s">
        <v>81</v>
      </c>
      <c r="F25" s="10" t="s">
        <v>51</v>
      </c>
      <c r="G25" s="11">
        <v>1</v>
      </c>
      <c r="H25" s="11"/>
      <c r="I25" s="60">
        <v>4905.38</v>
      </c>
      <c r="J25" s="12">
        <f>IFERROR(ROUND(SUM(M26,M27,M28)/I25, 2),0)</f>
        <v>187.76</v>
      </c>
      <c r="K25" s="13">
        <v>400</v>
      </c>
      <c r="L25" s="12">
        <f>J25+ROUND(K25, 2)</f>
        <v>587.76</v>
      </c>
      <c r="M25" s="12">
        <f>ROUND(J25*I25, 2)</f>
        <v>921034.15</v>
      </c>
      <c r="N25" s="12">
        <f>ROUND(I25*ROUND(K25, 2), 2)</f>
        <v>1962152</v>
      </c>
      <c r="O25" s="34">
        <f>M25+N25</f>
        <v>2883186.15</v>
      </c>
      <c r="P25" s="66">
        <f>I25</f>
        <v>4905.38</v>
      </c>
      <c r="Q25" s="52"/>
      <c r="R25" s="51"/>
      <c r="S25" s="58"/>
      <c r="T25" s="53"/>
      <c r="U25" s="35">
        <v>187.76</v>
      </c>
      <c r="V25" s="13">
        <v>400</v>
      </c>
      <c r="W25" s="12">
        <v>587.76</v>
      </c>
      <c r="X25" s="12">
        <v>921034.15</v>
      </c>
      <c r="Y25" s="12">
        <v>1962152</v>
      </c>
      <c r="Z25" s="34">
        <v>2883186.15</v>
      </c>
      <c r="AA25" s="298"/>
    </row>
    <row r="26" spans="1:27" ht="37.5" hidden="1" x14ac:dyDescent="0.25">
      <c r="A26" s="8" t="s">
        <v>82</v>
      </c>
      <c r="B26" s="8"/>
      <c r="C26" s="19" t="s">
        <v>83</v>
      </c>
      <c r="D26" s="10"/>
      <c r="E26" s="10"/>
      <c r="F26" s="15" t="s">
        <v>84</v>
      </c>
      <c r="G26" s="16">
        <v>1.6</v>
      </c>
      <c r="H26" s="21"/>
      <c r="I26" s="61">
        <v>78486.080000000002</v>
      </c>
      <c r="J26" s="17">
        <v>9.67</v>
      </c>
      <c r="M26" s="18">
        <f>ROUND(ROUND(J26, 2)*I26, 2)</f>
        <v>758960.39</v>
      </c>
      <c r="P26" s="66"/>
      <c r="Q26" s="39"/>
      <c r="S26" s="59"/>
      <c r="T26" s="40"/>
      <c r="U26" s="36">
        <v>9.67</v>
      </c>
      <c r="X26" s="18">
        <v>758960.39</v>
      </c>
      <c r="AA26" s="298"/>
    </row>
    <row r="27" spans="1:27" ht="8.1" hidden="1" customHeight="1" x14ac:dyDescent="0.25">
      <c r="A27" s="8" t="s">
        <v>85</v>
      </c>
      <c r="B27" s="8"/>
      <c r="C27" s="14" t="s">
        <v>86</v>
      </c>
      <c r="D27" s="10"/>
      <c r="E27" s="10"/>
      <c r="F27" s="15" t="s">
        <v>57</v>
      </c>
      <c r="G27" s="16">
        <v>1</v>
      </c>
      <c r="H27" s="21"/>
      <c r="I27" s="61">
        <v>4905.38</v>
      </c>
      <c r="J27" s="17">
        <v>10.4</v>
      </c>
      <c r="M27" s="18">
        <f>ROUND(ROUND(J27, 2)*I27, 2)</f>
        <v>51015.95</v>
      </c>
      <c r="P27" s="66"/>
      <c r="Q27" s="39"/>
      <c r="S27" s="59"/>
      <c r="T27" s="40"/>
      <c r="U27" s="36">
        <v>10.4</v>
      </c>
      <c r="X27" s="18">
        <v>51015.95</v>
      </c>
      <c r="AA27" s="298"/>
    </row>
    <row r="28" spans="1:27" ht="15.6" hidden="1" customHeight="1" x14ac:dyDescent="0.25">
      <c r="A28" s="8" t="s">
        <v>87</v>
      </c>
      <c r="B28" s="8"/>
      <c r="C28" s="14" t="s">
        <v>88</v>
      </c>
      <c r="D28" s="10"/>
      <c r="E28" s="10"/>
      <c r="F28" s="15" t="s">
        <v>84</v>
      </c>
      <c r="G28" s="16">
        <v>0.255</v>
      </c>
      <c r="H28" s="21"/>
      <c r="I28" s="61">
        <v>1250.8720000000001</v>
      </c>
      <c r="J28" s="17">
        <v>88.8</v>
      </c>
      <c r="M28" s="18">
        <f>ROUND(ROUND(J28, 2)*I28, 2)</f>
        <v>111077.43</v>
      </c>
      <c r="P28" s="66"/>
      <c r="Q28" s="39"/>
      <c r="S28" s="59"/>
      <c r="T28" s="40"/>
      <c r="U28" s="36">
        <v>88.8</v>
      </c>
      <c r="X28" s="18">
        <v>111077.43</v>
      </c>
      <c r="AA28" s="298"/>
    </row>
    <row r="29" spans="1:27" ht="48.95" hidden="1" customHeight="1" x14ac:dyDescent="0.25">
      <c r="A29" s="102" t="s">
        <v>89</v>
      </c>
      <c r="B29" s="102" t="s">
        <v>90</v>
      </c>
      <c r="C29" s="103" t="s">
        <v>91</v>
      </c>
      <c r="D29" s="104"/>
      <c r="E29" s="104" t="s">
        <v>92</v>
      </c>
      <c r="F29" s="104" t="s">
        <v>51</v>
      </c>
      <c r="G29" s="105">
        <v>1</v>
      </c>
      <c r="H29" s="105"/>
      <c r="I29" s="106">
        <v>2785.09</v>
      </c>
      <c r="J29" s="107">
        <f>IFERROR(ROUND(SUM(M30)/I29, 2),0)</f>
        <v>51.44</v>
      </c>
      <c r="K29" s="108">
        <v>40</v>
      </c>
      <c r="L29" s="107">
        <f>J29+ROUND(K29, 2)</f>
        <v>91.44</v>
      </c>
      <c r="M29" s="107">
        <f>ROUND(J29*I29, 2)</f>
        <v>143265.03</v>
      </c>
      <c r="N29" s="107">
        <f>ROUND(I29*ROUND(K29, 2), 2)</f>
        <v>111403.6</v>
      </c>
      <c r="O29" s="109">
        <f>M29+N29</f>
        <v>254668.63</v>
      </c>
      <c r="P29" s="196">
        <f>I29-S29</f>
        <v>0</v>
      </c>
      <c r="Q29" s="229"/>
      <c r="R29" s="230"/>
      <c r="S29" s="213">
        <f>I29</f>
        <v>2785.09</v>
      </c>
      <c r="T29" s="73">
        <f>S29*W29</f>
        <v>254668.62960000001</v>
      </c>
      <c r="U29" s="35">
        <v>51.44</v>
      </c>
      <c r="V29" s="13">
        <v>40</v>
      </c>
      <c r="W29" s="12">
        <v>91.44</v>
      </c>
      <c r="X29" s="12">
        <v>143265.03</v>
      </c>
      <c r="Y29" s="12">
        <v>111403.6</v>
      </c>
      <c r="Z29" s="34">
        <v>254668.63</v>
      </c>
      <c r="AA29" s="299">
        <f>Z29-T29</f>
        <v>3.9999998989515007E-4</v>
      </c>
    </row>
    <row r="30" spans="1:27" ht="22.5" hidden="1" x14ac:dyDescent="0.25">
      <c r="A30" s="75" t="s">
        <v>93</v>
      </c>
      <c r="B30" s="75"/>
      <c r="C30" s="83" t="s">
        <v>94</v>
      </c>
      <c r="D30" s="77"/>
      <c r="E30" s="77"/>
      <c r="F30" s="84" t="s">
        <v>51</v>
      </c>
      <c r="G30" s="85">
        <v>1.1000000000000001</v>
      </c>
      <c r="H30" s="85"/>
      <c r="I30" s="86">
        <v>3063.5990000000002</v>
      </c>
      <c r="J30" s="87">
        <v>46.76</v>
      </c>
      <c r="K30" s="88"/>
      <c r="L30" s="88"/>
      <c r="M30" s="89">
        <f>ROUND(ROUND(J30, 2)*I30, 2)</f>
        <v>143253.89000000001</v>
      </c>
      <c r="N30" s="88"/>
      <c r="O30" s="88"/>
      <c r="P30" s="197"/>
      <c r="Q30" s="231"/>
      <c r="R30" s="232"/>
      <c r="S30" s="214"/>
      <c r="T30" s="40"/>
      <c r="U30" s="36">
        <v>46.76</v>
      </c>
      <c r="X30" s="18">
        <v>143253.89000000001</v>
      </c>
      <c r="AA30" s="300"/>
    </row>
    <row r="31" spans="1:27" ht="53.45" hidden="1" customHeight="1" x14ac:dyDescent="0.25">
      <c r="A31" s="75" t="s">
        <v>95</v>
      </c>
      <c r="B31" s="75" t="s">
        <v>96</v>
      </c>
      <c r="C31" s="76" t="s">
        <v>97</v>
      </c>
      <c r="D31" s="77"/>
      <c r="E31" s="77" t="s">
        <v>98</v>
      </c>
      <c r="F31" s="77" t="s">
        <v>51</v>
      </c>
      <c r="G31" s="78">
        <v>1</v>
      </c>
      <c r="H31" s="78"/>
      <c r="I31" s="79">
        <v>47.77</v>
      </c>
      <c r="J31" s="80">
        <f>IFERROR(ROUND(SUM(M32,M33)/I31, 2),0)</f>
        <v>68.430000000000007</v>
      </c>
      <c r="K31" s="81">
        <v>117</v>
      </c>
      <c r="L31" s="80">
        <f>J31+ROUND(K31, 2)</f>
        <v>185.43</v>
      </c>
      <c r="M31" s="80">
        <f>ROUND(J31*I31, 2)</f>
        <v>3268.9</v>
      </c>
      <c r="N31" s="80">
        <f>ROUND(I31*ROUND(K31, 2), 2)</f>
        <v>5589.09</v>
      </c>
      <c r="O31" s="82">
        <f>M31+N31</f>
        <v>8857.99</v>
      </c>
      <c r="P31" s="197"/>
      <c r="Q31" s="233"/>
      <c r="R31" s="234"/>
      <c r="S31" s="215"/>
      <c r="T31" s="53"/>
      <c r="U31" s="35">
        <v>68.430000000000007</v>
      </c>
      <c r="V31" s="13">
        <v>117</v>
      </c>
      <c r="W31" s="12">
        <v>185.43</v>
      </c>
      <c r="X31" s="12">
        <v>3268.9</v>
      </c>
      <c r="Y31" s="12">
        <v>5589.09</v>
      </c>
      <c r="Z31" s="34">
        <v>8857.99</v>
      </c>
      <c r="AA31" s="300"/>
    </row>
    <row r="32" spans="1:27" ht="37.5" hidden="1" x14ac:dyDescent="0.25">
      <c r="A32" s="75" t="s">
        <v>99</v>
      </c>
      <c r="B32" s="75"/>
      <c r="C32" s="83" t="s">
        <v>100</v>
      </c>
      <c r="D32" s="77"/>
      <c r="E32" s="77"/>
      <c r="F32" s="84" t="s">
        <v>84</v>
      </c>
      <c r="G32" s="85">
        <v>0.3</v>
      </c>
      <c r="H32" s="85"/>
      <c r="I32" s="86">
        <v>14.331</v>
      </c>
      <c r="J32" s="87">
        <v>179.17</v>
      </c>
      <c r="K32" s="88"/>
      <c r="L32" s="88"/>
      <c r="M32" s="89">
        <f>ROUND(ROUND(J32, 2)*I32, 2)</f>
        <v>2567.69</v>
      </c>
      <c r="N32" s="88"/>
      <c r="O32" s="88"/>
      <c r="P32" s="197"/>
      <c r="Q32" s="231"/>
      <c r="R32" s="232"/>
      <c r="S32" s="214"/>
      <c r="T32" s="40"/>
      <c r="U32" s="36">
        <v>179.17</v>
      </c>
      <c r="X32" s="18">
        <v>2567.69</v>
      </c>
      <c r="AA32" s="300"/>
    </row>
    <row r="33" spans="1:27" ht="37.5" hidden="1" x14ac:dyDescent="0.25">
      <c r="A33" s="75" t="s">
        <v>101</v>
      </c>
      <c r="B33" s="75"/>
      <c r="C33" s="83" t="s">
        <v>102</v>
      </c>
      <c r="D33" s="77"/>
      <c r="E33" s="77"/>
      <c r="F33" s="84" t="s">
        <v>84</v>
      </c>
      <c r="G33" s="85">
        <v>0.2</v>
      </c>
      <c r="H33" s="85"/>
      <c r="I33" s="86">
        <v>9.5540000000000003</v>
      </c>
      <c r="J33" s="87">
        <v>73.39</v>
      </c>
      <c r="K33" s="88"/>
      <c r="L33" s="88"/>
      <c r="M33" s="89">
        <f>ROUND(ROUND(J33, 2)*I33, 2)</f>
        <v>701.17</v>
      </c>
      <c r="N33" s="88"/>
      <c r="O33" s="88"/>
      <c r="P33" s="197"/>
      <c r="Q33" s="231"/>
      <c r="R33" s="232"/>
      <c r="S33" s="214"/>
      <c r="T33" s="40"/>
      <c r="U33" s="36">
        <v>73.39</v>
      </c>
      <c r="X33" s="18">
        <v>701.17</v>
      </c>
      <c r="AA33" s="300"/>
    </row>
    <row r="34" spans="1:27" ht="52.5" hidden="1" customHeight="1" x14ac:dyDescent="0.25">
      <c r="A34" s="75" t="s">
        <v>103</v>
      </c>
      <c r="B34" s="75" t="s">
        <v>104</v>
      </c>
      <c r="C34" s="76" t="s">
        <v>105</v>
      </c>
      <c r="D34" s="77"/>
      <c r="E34" s="77" t="s">
        <v>106</v>
      </c>
      <c r="F34" s="77" t="s">
        <v>51</v>
      </c>
      <c r="G34" s="78">
        <v>1</v>
      </c>
      <c r="H34" s="78"/>
      <c r="I34" s="79">
        <v>72.94</v>
      </c>
      <c r="J34" s="80">
        <f>IFERROR(ROUND(SUM(M35)/I34, 2),0)</f>
        <v>4.5</v>
      </c>
      <c r="K34" s="81">
        <v>471</v>
      </c>
      <c r="L34" s="80">
        <f>J34+ROUND(K34, 2)</f>
        <v>475.5</v>
      </c>
      <c r="M34" s="80">
        <f>ROUND(J34*I34, 2)</f>
        <v>328.23</v>
      </c>
      <c r="N34" s="80">
        <f>ROUND(I34*ROUND(K34, 2), 2)</f>
        <v>34354.74</v>
      </c>
      <c r="O34" s="82">
        <f>M34+N34</f>
        <v>34682.97</v>
      </c>
      <c r="P34" s="197"/>
      <c r="Q34" s="233"/>
      <c r="R34" s="234"/>
      <c r="S34" s="215"/>
      <c r="T34" s="53"/>
      <c r="U34" s="35">
        <v>4.5</v>
      </c>
      <c r="V34" s="13">
        <v>471</v>
      </c>
      <c r="W34" s="12">
        <v>475.5</v>
      </c>
      <c r="X34" s="12">
        <v>328.23</v>
      </c>
      <c r="Y34" s="12">
        <v>34354.74</v>
      </c>
      <c r="Z34" s="34">
        <v>34682.97</v>
      </c>
      <c r="AA34" s="300"/>
    </row>
    <row r="35" spans="1:27" ht="22.5" hidden="1" x14ac:dyDescent="0.25">
      <c r="A35" s="75" t="s">
        <v>107</v>
      </c>
      <c r="B35" s="75"/>
      <c r="C35" s="83" t="s">
        <v>108</v>
      </c>
      <c r="D35" s="77"/>
      <c r="E35" s="77"/>
      <c r="F35" s="84" t="s">
        <v>84</v>
      </c>
      <c r="G35" s="85">
        <v>0.6</v>
      </c>
      <c r="H35" s="90"/>
      <c r="I35" s="86">
        <v>43.764000000000003</v>
      </c>
      <c r="J35" s="87">
        <v>7.5</v>
      </c>
      <c r="K35" s="88"/>
      <c r="L35" s="88"/>
      <c r="M35" s="89">
        <f>ROUND(ROUND(J35, 2)*I35, 2)</f>
        <v>328.23</v>
      </c>
      <c r="N35" s="88"/>
      <c r="O35" s="88"/>
      <c r="P35" s="197"/>
      <c r="Q35" s="231"/>
      <c r="R35" s="232"/>
      <c r="S35" s="214"/>
      <c r="T35" s="40"/>
      <c r="U35" s="36">
        <v>7.5</v>
      </c>
      <c r="X35" s="18">
        <v>328.23</v>
      </c>
      <c r="AA35" s="300"/>
    </row>
    <row r="36" spans="1:27" ht="51.95" hidden="1" customHeight="1" x14ac:dyDescent="0.25">
      <c r="A36" s="110" t="s">
        <v>109</v>
      </c>
      <c r="B36" s="110" t="s">
        <v>110</v>
      </c>
      <c r="C36" s="111" t="s">
        <v>111</v>
      </c>
      <c r="D36" s="112"/>
      <c r="E36" s="112" t="s">
        <v>112</v>
      </c>
      <c r="F36" s="112" t="s">
        <v>51</v>
      </c>
      <c r="G36" s="113">
        <v>1</v>
      </c>
      <c r="H36" s="113"/>
      <c r="I36" s="114">
        <v>46.62</v>
      </c>
      <c r="J36" s="115">
        <f>IFERROR(ROUND(SUM(M37,M38,M39,M40)/I36, 2),0)</f>
        <v>734.43</v>
      </c>
      <c r="K36" s="116">
        <v>789</v>
      </c>
      <c r="L36" s="115">
        <f>J36+ROUND(K36, 2)</f>
        <v>1523.4299999999998</v>
      </c>
      <c r="M36" s="115">
        <f>ROUND(J36*I36, 2)</f>
        <v>34239.129999999997</v>
      </c>
      <c r="N36" s="115">
        <f>ROUND(I36*ROUND(K36, 2), 2)</f>
        <v>36783.18</v>
      </c>
      <c r="O36" s="117">
        <f>M36+N36</f>
        <v>71022.31</v>
      </c>
      <c r="P36" s="198">
        <f>I36-S36</f>
        <v>46.62</v>
      </c>
      <c r="Q36" s="235"/>
      <c r="R36" s="236"/>
      <c r="S36" s="216">
        <v>0</v>
      </c>
      <c r="T36" s="71">
        <f>S36*W36</f>
        <v>0</v>
      </c>
      <c r="U36" s="35">
        <v>734.43</v>
      </c>
      <c r="V36" s="13">
        <v>789</v>
      </c>
      <c r="W36" s="12">
        <v>1523.43</v>
      </c>
      <c r="X36" s="12">
        <v>34239.129999999997</v>
      </c>
      <c r="Y36" s="12">
        <v>36783.18</v>
      </c>
      <c r="Z36" s="34">
        <v>71022.31</v>
      </c>
      <c r="AA36" s="299">
        <f>Z36-T36</f>
        <v>71022.31</v>
      </c>
    </row>
    <row r="37" spans="1:27" ht="37.5" hidden="1" x14ac:dyDescent="0.25">
      <c r="A37" s="75" t="s">
        <v>113</v>
      </c>
      <c r="B37" s="75"/>
      <c r="C37" s="83" t="s">
        <v>114</v>
      </c>
      <c r="D37" s="77"/>
      <c r="E37" s="77"/>
      <c r="F37" s="84" t="s">
        <v>115</v>
      </c>
      <c r="G37" s="85">
        <v>8</v>
      </c>
      <c r="H37" s="90"/>
      <c r="I37" s="86">
        <v>372.96</v>
      </c>
      <c r="J37" s="87">
        <v>2.5</v>
      </c>
      <c r="K37" s="88"/>
      <c r="L37" s="88"/>
      <c r="M37" s="89">
        <f>ROUND(ROUND(J37, 2)*I37, 2)</f>
        <v>932.4</v>
      </c>
      <c r="N37" s="88"/>
      <c r="O37" s="88"/>
      <c r="P37" s="197"/>
      <c r="Q37" s="231"/>
      <c r="R37" s="232"/>
      <c r="S37" s="214"/>
      <c r="T37" s="40"/>
      <c r="U37" s="36">
        <v>2.5</v>
      </c>
      <c r="X37" s="18">
        <v>932.4</v>
      </c>
      <c r="AA37" s="300"/>
    </row>
    <row r="38" spans="1:27" ht="37.5" hidden="1" x14ac:dyDescent="0.25">
      <c r="A38" s="75" t="s">
        <v>116</v>
      </c>
      <c r="B38" s="75"/>
      <c r="C38" s="83" t="s">
        <v>117</v>
      </c>
      <c r="D38" s="77"/>
      <c r="E38" s="77"/>
      <c r="F38" s="84" t="s">
        <v>84</v>
      </c>
      <c r="G38" s="85">
        <v>1.8</v>
      </c>
      <c r="H38" s="90"/>
      <c r="I38" s="86">
        <v>3356.64</v>
      </c>
      <c r="J38" s="87">
        <v>7.41</v>
      </c>
      <c r="K38" s="88"/>
      <c r="L38" s="88"/>
      <c r="M38" s="89">
        <f>ROUND(ROUND(J38, 2)*I38, 2)</f>
        <v>24872.7</v>
      </c>
      <c r="N38" s="88"/>
      <c r="O38" s="88"/>
      <c r="P38" s="197"/>
      <c r="Q38" s="231"/>
      <c r="R38" s="232"/>
      <c r="S38" s="214"/>
      <c r="T38" s="40"/>
      <c r="U38" s="36">
        <v>7.41</v>
      </c>
      <c r="X38" s="18">
        <v>24872.7</v>
      </c>
      <c r="AA38" s="300"/>
    </row>
    <row r="39" spans="1:27" ht="22.5" hidden="1" x14ac:dyDescent="0.25">
      <c r="A39" s="75" t="s">
        <v>118</v>
      </c>
      <c r="B39" s="75"/>
      <c r="C39" s="83" t="s">
        <v>119</v>
      </c>
      <c r="D39" s="77"/>
      <c r="E39" s="77"/>
      <c r="F39" s="84" t="s">
        <v>51</v>
      </c>
      <c r="G39" s="85">
        <v>1.1000000000000001</v>
      </c>
      <c r="H39" s="90"/>
      <c r="I39" s="86">
        <v>51.281999999999996</v>
      </c>
      <c r="J39" s="87">
        <v>155.01</v>
      </c>
      <c r="K39" s="88"/>
      <c r="L39" s="88"/>
      <c r="M39" s="89">
        <f>ROUND(ROUND(J39, 2)*I39, 2)</f>
        <v>7949.22</v>
      </c>
      <c r="N39" s="88"/>
      <c r="O39" s="88"/>
      <c r="P39" s="197"/>
      <c r="Q39" s="231"/>
      <c r="R39" s="232"/>
      <c r="S39" s="214"/>
      <c r="T39" s="40"/>
      <c r="U39" s="36">
        <v>155.01</v>
      </c>
      <c r="X39" s="18">
        <v>7949.22</v>
      </c>
      <c r="AA39" s="300"/>
    </row>
    <row r="40" spans="1:27" ht="37.5" hidden="1" x14ac:dyDescent="0.25">
      <c r="A40" s="75" t="s">
        <v>120</v>
      </c>
      <c r="B40" s="75"/>
      <c r="C40" s="83" t="s">
        <v>86</v>
      </c>
      <c r="D40" s="77"/>
      <c r="E40" s="77"/>
      <c r="F40" s="84" t="s">
        <v>57</v>
      </c>
      <c r="G40" s="85">
        <v>1</v>
      </c>
      <c r="H40" s="90"/>
      <c r="I40" s="86">
        <v>46.62</v>
      </c>
      <c r="J40" s="87">
        <v>10.4</v>
      </c>
      <c r="K40" s="88"/>
      <c r="L40" s="88"/>
      <c r="M40" s="89">
        <f>ROUND(ROUND(J40, 2)*I40, 2)</f>
        <v>484.85</v>
      </c>
      <c r="N40" s="88"/>
      <c r="O40" s="88"/>
      <c r="P40" s="197"/>
      <c r="Q40" s="231"/>
      <c r="R40" s="232"/>
      <c r="S40" s="214"/>
      <c r="T40" s="40"/>
      <c r="U40" s="36">
        <v>10.4</v>
      </c>
      <c r="X40" s="18">
        <v>484.85</v>
      </c>
      <c r="AA40" s="300"/>
    </row>
    <row r="41" spans="1:27" ht="65.099999999999994" hidden="1" customHeight="1" x14ac:dyDescent="0.25">
      <c r="A41" s="22" t="s">
        <v>121</v>
      </c>
      <c r="B41" s="22" t="s">
        <v>122</v>
      </c>
      <c r="C41" s="69" t="s">
        <v>123</v>
      </c>
      <c r="D41" s="26"/>
      <c r="E41" s="28" t="s">
        <v>124</v>
      </c>
      <c r="F41" s="26" t="s">
        <v>51</v>
      </c>
      <c r="G41" s="27">
        <v>1</v>
      </c>
      <c r="H41" s="27"/>
      <c r="I41" s="67">
        <v>122.25</v>
      </c>
      <c r="J41" s="48">
        <f>IFERROR(ROUND(SUM(M42,M43,M44,M45)/I41, 2),0)</f>
        <v>1001.19</v>
      </c>
      <c r="K41" s="49">
        <v>855</v>
      </c>
      <c r="L41" s="48">
        <f>J41+ROUND(K41, 2)</f>
        <v>1856.19</v>
      </c>
      <c r="M41" s="48">
        <f>ROUND(J41*I41, 2)</f>
        <v>122395.48</v>
      </c>
      <c r="N41" s="48">
        <f>ROUND(I41*ROUND(K41, 2), 2)</f>
        <v>104523.75</v>
      </c>
      <c r="O41" s="50">
        <f>M41+N41</f>
        <v>226919.22999999998</v>
      </c>
      <c r="P41" s="199">
        <f>I41-Q41-S41</f>
        <v>0</v>
      </c>
      <c r="Q41" s="237">
        <f>27.32</f>
        <v>27.32</v>
      </c>
      <c r="R41" s="238">
        <f>W41*Q41</f>
        <v>50711.110800000002</v>
      </c>
      <c r="S41" s="217">
        <f>I41-Q41</f>
        <v>94.93</v>
      </c>
      <c r="T41" s="54">
        <f>S41*W41</f>
        <v>176208.11670000001</v>
      </c>
      <c r="U41" s="35">
        <v>1001.19</v>
      </c>
      <c r="V41" s="13">
        <v>855</v>
      </c>
      <c r="W41" s="12">
        <v>1856.19</v>
      </c>
      <c r="X41" s="12">
        <v>122395.48</v>
      </c>
      <c r="Y41" s="12">
        <v>104523.75</v>
      </c>
      <c r="Z41" s="34">
        <v>226919.23</v>
      </c>
      <c r="AA41" s="299">
        <f>Z41-R41-T41</f>
        <v>2.5000000023283064E-3</v>
      </c>
    </row>
    <row r="42" spans="1:27" ht="37.5" hidden="1" x14ac:dyDescent="0.25">
      <c r="A42" s="75" t="s">
        <v>125</v>
      </c>
      <c r="B42" s="75"/>
      <c r="C42" s="83" t="s">
        <v>114</v>
      </c>
      <c r="D42" s="77"/>
      <c r="E42" s="91"/>
      <c r="F42" s="84" t="s">
        <v>115</v>
      </c>
      <c r="G42" s="85">
        <v>8</v>
      </c>
      <c r="H42" s="90"/>
      <c r="I42" s="86">
        <v>978</v>
      </c>
      <c r="J42" s="87">
        <v>2.5</v>
      </c>
      <c r="K42" s="88"/>
      <c r="L42" s="88"/>
      <c r="M42" s="89">
        <f>ROUND(ROUND(J42, 2)*I42, 2)</f>
        <v>2445</v>
      </c>
      <c r="N42" s="88"/>
      <c r="O42" s="88"/>
      <c r="P42" s="197"/>
      <c r="Q42" s="231"/>
      <c r="R42" s="232"/>
      <c r="S42" s="214"/>
      <c r="T42" s="40"/>
      <c r="U42" s="36">
        <v>2.5</v>
      </c>
      <c r="X42" s="18">
        <v>2445</v>
      </c>
      <c r="AA42" s="300"/>
    </row>
    <row r="43" spans="1:27" ht="37.5" hidden="1" x14ac:dyDescent="0.25">
      <c r="A43" s="75" t="s">
        <v>126</v>
      </c>
      <c r="B43" s="75"/>
      <c r="C43" s="83" t="s">
        <v>117</v>
      </c>
      <c r="D43" s="77"/>
      <c r="E43" s="91"/>
      <c r="F43" s="84" t="s">
        <v>84</v>
      </c>
      <c r="G43" s="85">
        <v>1.8</v>
      </c>
      <c r="H43" s="90"/>
      <c r="I43" s="86">
        <v>13203</v>
      </c>
      <c r="J43" s="87">
        <v>7.41</v>
      </c>
      <c r="K43" s="88"/>
      <c r="L43" s="88"/>
      <c r="M43" s="89">
        <f>ROUND(ROUND(J43, 2)*I43, 2)</f>
        <v>97834.23</v>
      </c>
      <c r="N43" s="88"/>
      <c r="O43" s="88"/>
      <c r="P43" s="197"/>
      <c r="Q43" s="231"/>
      <c r="R43" s="232"/>
      <c r="S43" s="214"/>
      <c r="T43" s="40"/>
      <c r="U43" s="36">
        <v>7.41</v>
      </c>
      <c r="X43" s="18">
        <v>97834.23</v>
      </c>
      <c r="AA43" s="300"/>
    </row>
    <row r="44" spans="1:27" ht="22.5" hidden="1" x14ac:dyDescent="0.25">
      <c r="A44" s="75" t="s">
        <v>127</v>
      </c>
      <c r="B44" s="75"/>
      <c r="C44" s="83" t="s">
        <v>119</v>
      </c>
      <c r="D44" s="77"/>
      <c r="E44" s="91"/>
      <c r="F44" s="84" t="s">
        <v>51</v>
      </c>
      <c r="G44" s="85">
        <v>1.1000000000000001</v>
      </c>
      <c r="H44" s="90"/>
      <c r="I44" s="86">
        <v>134.47499999999999</v>
      </c>
      <c r="J44" s="87">
        <v>155.01</v>
      </c>
      <c r="K44" s="88"/>
      <c r="L44" s="88"/>
      <c r="M44" s="89">
        <f>ROUND(ROUND(J44, 2)*I44, 2)</f>
        <v>20844.97</v>
      </c>
      <c r="N44" s="88"/>
      <c r="O44" s="88"/>
      <c r="P44" s="197"/>
      <c r="Q44" s="231"/>
      <c r="R44" s="232"/>
      <c r="S44" s="214"/>
      <c r="T44" s="40"/>
      <c r="U44" s="36">
        <v>155.01</v>
      </c>
      <c r="X44" s="18">
        <v>20844.97</v>
      </c>
      <c r="AA44" s="300"/>
    </row>
    <row r="45" spans="1:27" ht="37.5" hidden="1" x14ac:dyDescent="0.25">
      <c r="A45" s="75" t="s">
        <v>128</v>
      </c>
      <c r="B45" s="75"/>
      <c r="C45" s="83" t="s">
        <v>86</v>
      </c>
      <c r="D45" s="77"/>
      <c r="E45" s="91"/>
      <c r="F45" s="84" t="s">
        <v>57</v>
      </c>
      <c r="G45" s="85">
        <v>1</v>
      </c>
      <c r="H45" s="90"/>
      <c r="I45" s="86">
        <v>122.25</v>
      </c>
      <c r="J45" s="87">
        <v>10.4</v>
      </c>
      <c r="K45" s="88"/>
      <c r="L45" s="88"/>
      <c r="M45" s="89">
        <f>ROUND(ROUND(J45, 2)*I45, 2)</f>
        <v>1271.4000000000001</v>
      </c>
      <c r="N45" s="88"/>
      <c r="O45" s="88"/>
      <c r="P45" s="197"/>
      <c r="Q45" s="231"/>
      <c r="R45" s="232"/>
      <c r="S45" s="214"/>
      <c r="T45" s="40"/>
      <c r="U45" s="36">
        <v>10.4</v>
      </c>
      <c r="X45" s="18">
        <v>1271.4000000000001</v>
      </c>
      <c r="AA45" s="300"/>
    </row>
    <row r="46" spans="1:27" ht="54.95" hidden="1" customHeight="1" x14ac:dyDescent="0.25">
      <c r="A46" s="75" t="s">
        <v>129</v>
      </c>
      <c r="B46" s="118" t="s">
        <v>130</v>
      </c>
      <c r="C46" s="119" t="s">
        <v>131</v>
      </c>
      <c r="D46" s="120"/>
      <c r="E46" s="121" t="s">
        <v>132</v>
      </c>
      <c r="F46" s="120" t="s">
        <v>51</v>
      </c>
      <c r="G46" s="122">
        <v>1</v>
      </c>
      <c r="H46" s="122"/>
      <c r="I46" s="123">
        <v>5553.92</v>
      </c>
      <c r="J46" s="124">
        <f>IFERROR(ROUND(SUM(M47,M48,M49,M50)/I46, 2),0)</f>
        <v>1067.8800000000001</v>
      </c>
      <c r="K46" s="125">
        <v>922</v>
      </c>
      <c r="L46" s="124">
        <f>J46+ROUND(K46, 2)</f>
        <v>1989.88</v>
      </c>
      <c r="M46" s="124">
        <f>ROUND(J46*I46, 2)</f>
        <v>5930920.0899999999</v>
      </c>
      <c r="N46" s="124">
        <f>ROUND(I46*ROUND(K46, 2), 2)</f>
        <v>5120714.24</v>
      </c>
      <c r="O46" s="126">
        <f>M46+N46</f>
        <v>11051634.33</v>
      </c>
      <c r="P46" s="200">
        <f>I46-Q46-S46</f>
        <v>511.65999999999985</v>
      </c>
      <c r="Q46" s="239">
        <f>1530.22</f>
        <v>1530.22</v>
      </c>
      <c r="R46" s="240">
        <f>W46*Q46</f>
        <v>3044954.1736000003</v>
      </c>
      <c r="S46" s="218">
        <f>I46-Q46-11.52-19.46-13.62-467.06</f>
        <v>3512.04</v>
      </c>
      <c r="T46" s="127">
        <f>S46*W46</f>
        <v>6988538.1551999999</v>
      </c>
      <c r="U46" s="35">
        <v>1067.8800000000001</v>
      </c>
      <c r="V46" s="13">
        <v>922</v>
      </c>
      <c r="W46" s="12">
        <v>1989.88</v>
      </c>
      <c r="X46" s="12">
        <v>5930920.0899999999</v>
      </c>
      <c r="Y46" s="12">
        <v>5120714.24</v>
      </c>
      <c r="Z46" s="34">
        <v>11051634.33</v>
      </c>
      <c r="AA46" s="299">
        <f t="shared" ref="AA46:AA79" si="2">Z46-R46-T46</f>
        <v>1018142.0011999998</v>
      </c>
    </row>
    <row r="47" spans="1:27" ht="37.5" hidden="1" x14ac:dyDescent="0.25">
      <c r="A47" s="75" t="s">
        <v>133</v>
      </c>
      <c r="B47" s="75"/>
      <c r="C47" s="83" t="s">
        <v>114</v>
      </c>
      <c r="D47" s="77"/>
      <c r="E47" s="77"/>
      <c r="F47" s="84" t="s">
        <v>115</v>
      </c>
      <c r="G47" s="85">
        <v>8</v>
      </c>
      <c r="H47" s="90"/>
      <c r="I47" s="86">
        <v>44431.360000000001</v>
      </c>
      <c r="J47" s="87">
        <v>2.5</v>
      </c>
      <c r="K47" s="88"/>
      <c r="L47" s="88"/>
      <c r="M47" s="89">
        <f>ROUND(ROUND(J47, 2)*I47, 2)</f>
        <v>111078.39999999999</v>
      </c>
      <c r="N47" s="88"/>
      <c r="O47" s="88"/>
      <c r="P47" s="197"/>
      <c r="Q47" s="231"/>
      <c r="R47" s="232"/>
      <c r="S47" s="214"/>
      <c r="T47" s="40"/>
      <c r="U47" s="36">
        <v>2.5</v>
      </c>
      <c r="X47" s="18">
        <v>111078.39999999999</v>
      </c>
      <c r="AA47" s="299">
        <f t="shared" si="2"/>
        <v>0</v>
      </c>
    </row>
    <row r="48" spans="1:27" ht="37.5" hidden="1" x14ac:dyDescent="0.25">
      <c r="A48" s="75" t="s">
        <v>134</v>
      </c>
      <c r="B48" s="75"/>
      <c r="C48" s="83" t="s">
        <v>117</v>
      </c>
      <c r="D48" s="77"/>
      <c r="E48" s="77"/>
      <c r="F48" s="84" t="s">
        <v>84</v>
      </c>
      <c r="G48" s="85">
        <v>1.8</v>
      </c>
      <c r="H48" s="90"/>
      <c r="I48" s="86">
        <v>649808.64000000001</v>
      </c>
      <c r="J48" s="87">
        <v>7.41</v>
      </c>
      <c r="K48" s="88"/>
      <c r="L48" s="88"/>
      <c r="M48" s="89">
        <f>ROUND(ROUND(J48, 2)*I48, 2)</f>
        <v>4815082.0199999996</v>
      </c>
      <c r="N48" s="88"/>
      <c r="O48" s="88"/>
      <c r="P48" s="197"/>
      <c r="Q48" s="231"/>
      <c r="R48" s="232"/>
      <c r="S48" s="214"/>
      <c r="T48" s="40"/>
      <c r="U48" s="36">
        <v>7.41</v>
      </c>
      <c r="X48" s="18">
        <v>4815082.0199999996</v>
      </c>
      <c r="AA48" s="299">
        <f t="shared" si="2"/>
        <v>0</v>
      </c>
    </row>
    <row r="49" spans="1:27" ht="22.5" hidden="1" x14ac:dyDescent="0.25">
      <c r="A49" s="75" t="s">
        <v>135</v>
      </c>
      <c r="B49" s="75"/>
      <c r="C49" s="83" t="s">
        <v>119</v>
      </c>
      <c r="D49" s="77"/>
      <c r="E49" s="77"/>
      <c r="F49" s="84" t="s">
        <v>51</v>
      </c>
      <c r="G49" s="85">
        <v>1.1000000000000001</v>
      </c>
      <c r="H49" s="90"/>
      <c r="I49" s="86">
        <v>6109.3119999999999</v>
      </c>
      <c r="J49" s="87">
        <v>155.01</v>
      </c>
      <c r="K49" s="88"/>
      <c r="L49" s="88"/>
      <c r="M49" s="89">
        <f>ROUND(ROUND(J49, 2)*I49, 2)</f>
        <v>947004.45</v>
      </c>
      <c r="N49" s="88"/>
      <c r="O49" s="88"/>
      <c r="P49" s="197"/>
      <c r="Q49" s="231"/>
      <c r="R49" s="232"/>
      <c r="S49" s="214"/>
      <c r="T49" s="40"/>
      <c r="U49" s="36">
        <v>155.01</v>
      </c>
      <c r="X49" s="18">
        <v>947004.45</v>
      </c>
      <c r="AA49" s="299">
        <f t="shared" si="2"/>
        <v>0</v>
      </c>
    </row>
    <row r="50" spans="1:27" ht="37.5" hidden="1" x14ac:dyDescent="0.25">
      <c r="A50" s="75" t="s">
        <v>136</v>
      </c>
      <c r="B50" s="75"/>
      <c r="C50" s="83" t="s">
        <v>86</v>
      </c>
      <c r="D50" s="77"/>
      <c r="E50" s="77"/>
      <c r="F50" s="84" t="s">
        <v>57</v>
      </c>
      <c r="G50" s="85">
        <v>1</v>
      </c>
      <c r="H50" s="90"/>
      <c r="I50" s="86">
        <v>5553.92</v>
      </c>
      <c r="J50" s="87">
        <v>10.4</v>
      </c>
      <c r="K50" s="88"/>
      <c r="L50" s="88"/>
      <c r="M50" s="89">
        <f>ROUND(ROUND(J50, 2)*I50, 2)</f>
        <v>57760.77</v>
      </c>
      <c r="N50" s="88"/>
      <c r="O50" s="88"/>
      <c r="P50" s="197"/>
      <c r="Q50" s="231"/>
      <c r="R50" s="232"/>
      <c r="S50" s="214"/>
      <c r="T50" s="40"/>
      <c r="U50" s="36">
        <v>10.4</v>
      </c>
      <c r="X50" s="18">
        <v>57760.77</v>
      </c>
      <c r="AA50" s="299">
        <f t="shared" si="2"/>
        <v>0</v>
      </c>
    </row>
    <row r="51" spans="1:27" ht="61.5" hidden="1" customHeight="1" x14ac:dyDescent="0.25">
      <c r="A51" s="75" t="s">
        <v>137</v>
      </c>
      <c r="B51" s="128" t="s">
        <v>130</v>
      </c>
      <c r="C51" s="129" t="s">
        <v>131</v>
      </c>
      <c r="D51" s="130"/>
      <c r="E51" s="130" t="s">
        <v>138</v>
      </c>
      <c r="F51" s="130" t="s">
        <v>51</v>
      </c>
      <c r="G51" s="131">
        <v>1</v>
      </c>
      <c r="H51" s="131"/>
      <c r="I51" s="132">
        <v>468.22</v>
      </c>
      <c r="J51" s="133">
        <f>IFERROR(ROUND(SUM(M52,M53,M54,M55,M56)/I51, 2),0)</f>
        <v>1133.3900000000001</v>
      </c>
      <c r="K51" s="134">
        <v>922</v>
      </c>
      <c r="L51" s="133">
        <f>J51+ROUND(K51, 2)</f>
        <v>2055.3900000000003</v>
      </c>
      <c r="M51" s="133">
        <f>ROUND(J51*I51, 2)</f>
        <v>530675.87</v>
      </c>
      <c r="N51" s="133">
        <f>ROUND(I51*ROUND(K51, 2), 2)</f>
        <v>431698.84</v>
      </c>
      <c r="O51" s="135">
        <f>M51+N51</f>
        <v>962374.71</v>
      </c>
      <c r="P51" s="201">
        <f>I51-S51</f>
        <v>298.27999999999997</v>
      </c>
      <c r="Q51" s="241"/>
      <c r="R51" s="242"/>
      <c r="S51" s="219">
        <f>468.22-298.28</f>
        <v>169.94000000000005</v>
      </c>
      <c r="T51" s="72">
        <f>S51*W51</f>
        <v>349292.97660000011</v>
      </c>
      <c r="U51" s="35">
        <v>1133.3900000000001</v>
      </c>
      <c r="V51" s="13">
        <v>922</v>
      </c>
      <c r="W51" s="12">
        <v>2055.39</v>
      </c>
      <c r="X51" s="12">
        <v>530675.87</v>
      </c>
      <c r="Y51" s="12">
        <v>431698.84</v>
      </c>
      <c r="Z51" s="34">
        <v>962374.71</v>
      </c>
      <c r="AA51" s="299">
        <f t="shared" si="2"/>
        <v>613081.73339999979</v>
      </c>
    </row>
    <row r="52" spans="1:27" ht="0.6" hidden="1" customHeight="1" x14ac:dyDescent="0.25">
      <c r="A52" s="75" t="s">
        <v>139</v>
      </c>
      <c r="B52" s="75"/>
      <c r="C52" s="83" t="s">
        <v>140</v>
      </c>
      <c r="D52" s="77"/>
      <c r="E52" s="77"/>
      <c r="F52" s="84" t="s">
        <v>84</v>
      </c>
      <c r="G52" s="85">
        <v>0.255</v>
      </c>
      <c r="H52" s="85"/>
      <c r="I52" s="86">
        <v>119.396</v>
      </c>
      <c r="J52" s="87">
        <v>100</v>
      </c>
      <c r="K52" s="88"/>
      <c r="L52" s="88"/>
      <c r="M52" s="89">
        <f>ROUND(ROUND(J52, 2)*I52, 2)</f>
        <v>11939.6</v>
      </c>
      <c r="N52" s="88"/>
      <c r="O52" s="88"/>
      <c r="P52" s="197"/>
      <c r="Q52" s="231"/>
      <c r="R52" s="232"/>
      <c r="S52" s="214"/>
      <c r="T52" s="40"/>
      <c r="U52" s="36">
        <v>100</v>
      </c>
      <c r="X52" s="18">
        <v>11939.6</v>
      </c>
      <c r="AA52" s="299">
        <f t="shared" si="2"/>
        <v>0</v>
      </c>
    </row>
    <row r="53" spans="1:27" ht="37.5" hidden="1" x14ac:dyDescent="0.25">
      <c r="A53" s="75" t="s">
        <v>141</v>
      </c>
      <c r="B53" s="75"/>
      <c r="C53" s="83" t="s">
        <v>86</v>
      </c>
      <c r="D53" s="77"/>
      <c r="E53" s="77"/>
      <c r="F53" s="84" t="s">
        <v>57</v>
      </c>
      <c r="G53" s="85">
        <v>1</v>
      </c>
      <c r="H53" s="90"/>
      <c r="I53" s="86">
        <v>468.22</v>
      </c>
      <c r="J53" s="87">
        <v>10.4</v>
      </c>
      <c r="K53" s="88"/>
      <c r="L53" s="88"/>
      <c r="M53" s="89">
        <f>ROUND(ROUND(J53, 2)*I53, 2)</f>
        <v>4869.49</v>
      </c>
      <c r="N53" s="88"/>
      <c r="O53" s="88"/>
      <c r="P53" s="197"/>
      <c r="Q53" s="231"/>
      <c r="R53" s="232"/>
      <c r="S53" s="214"/>
      <c r="T53" s="40"/>
      <c r="U53" s="36">
        <v>10.4</v>
      </c>
      <c r="X53" s="18">
        <v>4869.49</v>
      </c>
      <c r="AA53" s="299">
        <f t="shared" si="2"/>
        <v>0</v>
      </c>
    </row>
    <row r="54" spans="1:27" ht="22.5" hidden="1" x14ac:dyDescent="0.25">
      <c r="A54" s="75" t="s">
        <v>142</v>
      </c>
      <c r="B54" s="75"/>
      <c r="C54" s="83" t="s">
        <v>119</v>
      </c>
      <c r="D54" s="77"/>
      <c r="E54" s="77"/>
      <c r="F54" s="84" t="s">
        <v>51</v>
      </c>
      <c r="G54" s="85">
        <v>1.1000000000000001</v>
      </c>
      <c r="H54" s="90"/>
      <c r="I54" s="86">
        <v>515.04200000000003</v>
      </c>
      <c r="J54" s="87">
        <v>155.01</v>
      </c>
      <c r="K54" s="88"/>
      <c r="L54" s="88"/>
      <c r="M54" s="89">
        <f>ROUND(ROUND(J54, 2)*I54, 2)</f>
        <v>79836.66</v>
      </c>
      <c r="N54" s="88"/>
      <c r="O54" s="88"/>
      <c r="P54" s="197"/>
      <c r="Q54" s="231"/>
      <c r="R54" s="232"/>
      <c r="S54" s="214"/>
      <c r="T54" s="40"/>
      <c r="U54" s="36">
        <v>155.01</v>
      </c>
      <c r="X54" s="18">
        <v>79836.66</v>
      </c>
      <c r="AA54" s="299">
        <f t="shared" si="2"/>
        <v>0</v>
      </c>
    </row>
    <row r="55" spans="1:27" ht="37.5" hidden="1" x14ac:dyDescent="0.25">
      <c r="A55" s="75" t="s">
        <v>143</v>
      </c>
      <c r="B55" s="75"/>
      <c r="C55" s="83" t="s">
        <v>117</v>
      </c>
      <c r="D55" s="77"/>
      <c r="E55" s="77"/>
      <c r="F55" s="84" t="s">
        <v>84</v>
      </c>
      <c r="G55" s="85">
        <v>1.8</v>
      </c>
      <c r="H55" s="90"/>
      <c r="I55" s="86">
        <v>57310.127999999997</v>
      </c>
      <c r="J55" s="87">
        <v>7.41</v>
      </c>
      <c r="K55" s="88"/>
      <c r="L55" s="88"/>
      <c r="M55" s="89">
        <f>ROUND(ROUND(J55, 2)*I55, 2)</f>
        <v>424668.05</v>
      </c>
      <c r="N55" s="88"/>
      <c r="O55" s="88"/>
      <c r="P55" s="197"/>
      <c r="Q55" s="231"/>
      <c r="R55" s="232"/>
      <c r="S55" s="214"/>
      <c r="T55" s="40"/>
      <c r="U55" s="36">
        <v>7.41</v>
      </c>
      <c r="X55" s="18">
        <v>424668.05</v>
      </c>
      <c r="AA55" s="299">
        <f t="shared" si="2"/>
        <v>0</v>
      </c>
    </row>
    <row r="56" spans="1:27" ht="37.5" hidden="1" x14ac:dyDescent="0.25">
      <c r="A56" s="75" t="s">
        <v>144</v>
      </c>
      <c r="B56" s="75"/>
      <c r="C56" s="83" t="s">
        <v>114</v>
      </c>
      <c r="D56" s="77"/>
      <c r="E56" s="77"/>
      <c r="F56" s="84" t="s">
        <v>115</v>
      </c>
      <c r="G56" s="85">
        <v>8</v>
      </c>
      <c r="H56" s="90"/>
      <c r="I56" s="86">
        <v>3745.76</v>
      </c>
      <c r="J56" s="87">
        <v>2.5</v>
      </c>
      <c r="K56" s="88"/>
      <c r="L56" s="88"/>
      <c r="M56" s="89">
        <f>ROUND(ROUND(J56, 2)*I56, 2)</f>
        <v>9364.4</v>
      </c>
      <c r="N56" s="88"/>
      <c r="O56" s="88"/>
      <c r="P56" s="197"/>
      <c r="Q56" s="231"/>
      <c r="R56" s="232"/>
      <c r="S56" s="214"/>
      <c r="T56" s="40"/>
      <c r="U56" s="36">
        <v>2.5</v>
      </c>
      <c r="X56" s="18">
        <v>9364.4</v>
      </c>
      <c r="AA56" s="299">
        <f t="shared" si="2"/>
        <v>0</v>
      </c>
    </row>
    <row r="57" spans="1:27" ht="43.5" hidden="1" customHeight="1" x14ac:dyDescent="0.25">
      <c r="A57" s="75" t="s">
        <v>145</v>
      </c>
      <c r="B57" s="136" t="s">
        <v>130</v>
      </c>
      <c r="C57" s="137" t="s">
        <v>131</v>
      </c>
      <c r="D57" s="138"/>
      <c r="E57" s="138" t="s">
        <v>146</v>
      </c>
      <c r="F57" s="138" t="s">
        <v>51</v>
      </c>
      <c r="G57" s="139">
        <v>1</v>
      </c>
      <c r="H57" s="139"/>
      <c r="I57" s="140">
        <v>19.420000000000002</v>
      </c>
      <c r="J57" s="141">
        <f>IFERROR(ROUND(SUM(M58,M59,M60,M61)/I57, 2),0)</f>
        <v>919.95</v>
      </c>
      <c r="K57" s="142">
        <v>922</v>
      </c>
      <c r="L57" s="141">
        <f>J57+ROUND(K57, 2)</f>
        <v>1841.95</v>
      </c>
      <c r="M57" s="141">
        <f>ROUND(J57*I57, 2)</f>
        <v>17865.43</v>
      </c>
      <c r="N57" s="141">
        <f>ROUND(I57*ROUND(K57, 2), 2)</f>
        <v>17905.240000000002</v>
      </c>
      <c r="O57" s="143">
        <f>M57+N57</f>
        <v>35770.67</v>
      </c>
      <c r="P57" s="202">
        <f>I57-S57</f>
        <v>0</v>
      </c>
      <c r="Q57" s="243"/>
      <c r="R57" s="244"/>
      <c r="S57" s="220">
        <v>19.420000000000002</v>
      </c>
      <c r="T57" s="144">
        <f>S57*W57</f>
        <v>35770.669000000002</v>
      </c>
      <c r="U57" s="35">
        <v>919.95</v>
      </c>
      <c r="V57" s="13">
        <v>922</v>
      </c>
      <c r="W57" s="12">
        <v>1841.95</v>
      </c>
      <c r="X57" s="12">
        <v>17865.43</v>
      </c>
      <c r="Y57" s="12">
        <v>17905.240000000002</v>
      </c>
      <c r="Z57" s="34">
        <v>35770.67</v>
      </c>
      <c r="AA57" s="299">
        <f t="shared" si="2"/>
        <v>9.9999999656574801E-4</v>
      </c>
    </row>
    <row r="58" spans="1:27" ht="0.95" hidden="1" customHeight="1" x14ac:dyDescent="0.25">
      <c r="A58" s="75" t="s">
        <v>147</v>
      </c>
      <c r="B58" s="75"/>
      <c r="C58" s="83" t="s">
        <v>114</v>
      </c>
      <c r="D58" s="77"/>
      <c r="E58" s="77"/>
      <c r="F58" s="84" t="s">
        <v>115</v>
      </c>
      <c r="G58" s="85">
        <v>8</v>
      </c>
      <c r="H58" s="90"/>
      <c r="I58" s="86">
        <v>155.36000000000001</v>
      </c>
      <c r="J58" s="87">
        <v>2.5</v>
      </c>
      <c r="K58" s="88"/>
      <c r="L58" s="88"/>
      <c r="M58" s="89">
        <f>ROUND(ROUND(J58, 2)*I58, 2)</f>
        <v>388.4</v>
      </c>
      <c r="N58" s="88"/>
      <c r="O58" s="88"/>
      <c r="P58" s="197"/>
      <c r="Q58" s="231"/>
      <c r="R58" s="232"/>
      <c r="S58" s="214"/>
      <c r="T58" s="40"/>
      <c r="U58" s="36">
        <v>2.5</v>
      </c>
      <c r="X58" s="18">
        <v>388.4</v>
      </c>
      <c r="AA58" s="299">
        <f t="shared" si="2"/>
        <v>0</v>
      </c>
    </row>
    <row r="59" spans="1:27" ht="37.5" hidden="1" x14ac:dyDescent="0.25">
      <c r="A59" s="75" t="s">
        <v>148</v>
      </c>
      <c r="B59" s="75"/>
      <c r="C59" s="83" t="s">
        <v>149</v>
      </c>
      <c r="D59" s="77"/>
      <c r="E59" s="77"/>
      <c r="F59" s="84" t="s">
        <v>84</v>
      </c>
      <c r="G59" s="85">
        <v>1.8</v>
      </c>
      <c r="H59" s="90"/>
      <c r="I59" s="86">
        <v>2446.92</v>
      </c>
      <c r="J59" s="87">
        <v>6.17</v>
      </c>
      <c r="K59" s="88"/>
      <c r="L59" s="88"/>
      <c r="M59" s="89">
        <f>ROUND(ROUND(J59, 2)*I59, 2)</f>
        <v>15097.5</v>
      </c>
      <c r="N59" s="88"/>
      <c r="O59" s="88"/>
      <c r="P59" s="197"/>
      <c r="Q59" s="231"/>
      <c r="R59" s="232"/>
      <c r="S59" s="214"/>
      <c r="T59" s="40"/>
      <c r="U59" s="36">
        <v>6.17</v>
      </c>
      <c r="X59" s="18">
        <v>15097.5</v>
      </c>
      <c r="AA59" s="299">
        <f t="shared" si="2"/>
        <v>0</v>
      </c>
    </row>
    <row r="60" spans="1:27" ht="22.5" hidden="1" x14ac:dyDescent="0.25">
      <c r="A60" s="75" t="s">
        <v>150</v>
      </c>
      <c r="B60" s="75"/>
      <c r="C60" s="83" t="s">
        <v>151</v>
      </c>
      <c r="D60" s="77"/>
      <c r="E60" s="77"/>
      <c r="F60" s="84" t="s">
        <v>51</v>
      </c>
      <c r="G60" s="85">
        <v>1.1000000000000001</v>
      </c>
      <c r="H60" s="90"/>
      <c r="I60" s="86">
        <v>21.361999999999998</v>
      </c>
      <c r="J60" s="87">
        <v>101.94</v>
      </c>
      <c r="K60" s="88"/>
      <c r="L60" s="88"/>
      <c r="M60" s="89">
        <f>ROUND(ROUND(J60, 2)*I60, 2)</f>
        <v>2177.64</v>
      </c>
      <c r="N60" s="88"/>
      <c r="O60" s="88"/>
      <c r="P60" s="197"/>
      <c r="Q60" s="231"/>
      <c r="R60" s="232"/>
      <c r="S60" s="214"/>
      <c r="T60" s="40"/>
      <c r="U60" s="36">
        <v>101.94</v>
      </c>
      <c r="X60" s="18">
        <v>2177.64</v>
      </c>
      <c r="AA60" s="299">
        <f t="shared" si="2"/>
        <v>0</v>
      </c>
    </row>
    <row r="61" spans="1:27" ht="37.5" hidden="1" x14ac:dyDescent="0.25">
      <c r="A61" s="75" t="s">
        <v>152</v>
      </c>
      <c r="B61" s="75"/>
      <c r="C61" s="83" t="s">
        <v>86</v>
      </c>
      <c r="D61" s="77"/>
      <c r="E61" s="77"/>
      <c r="F61" s="84" t="s">
        <v>57</v>
      </c>
      <c r="G61" s="85">
        <v>1</v>
      </c>
      <c r="H61" s="90"/>
      <c r="I61" s="86">
        <v>19.420000000000002</v>
      </c>
      <c r="J61" s="87">
        <v>10.4</v>
      </c>
      <c r="K61" s="88"/>
      <c r="L61" s="88"/>
      <c r="M61" s="89">
        <f>ROUND(ROUND(J61, 2)*I61, 2)</f>
        <v>201.97</v>
      </c>
      <c r="N61" s="88"/>
      <c r="O61" s="88"/>
      <c r="P61" s="197"/>
      <c r="Q61" s="231"/>
      <c r="R61" s="232"/>
      <c r="S61" s="214"/>
      <c r="T61" s="40"/>
      <c r="U61" s="36">
        <v>10.4</v>
      </c>
      <c r="X61" s="18">
        <v>201.97</v>
      </c>
      <c r="AA61" s="299">
        <f t="shared" si="2"/>
        <v>0</v>
      </c>
    </row>
    <row r="62" spans="1:27" ht="48.6" hidden="1" customHeight="1" x14ac:dyDescent="0.25">
      <c r="A62" s="75" t="s">
        <v>153</v>
      </c>
      <c r="B62" s="145" t="s">
        <v>130</v>
      </c>
      <c r="C62" s="146" t="s">
        <v>131</v>
      </c>
      <c r="D62" s="147"/>
      <c r="E62" s="147" t="s">
        <v>154</v>
      </c>
      <c r="F62" s="147" t="s">
        <v>51</v>
      </c>
      <c r="G62" s="148">
        <v>1</v>
      </c>
      <c r="H62" s="148"/>
      <c r="I62" s="149">
        <v>101.29</v>
      </c>
      <c r="J62" s="150">
        <f>IFERROR(ROUND(SUM(M63,M64,M65,M66)/I62, 2),0)</f>
        <v>1031.01</v>
      </c>
      <c r="K62" s="151">
        <v>922</v>
      </c>
      <c r="L62" s="150">
        <f>J62+ROUND(K62, 2)</f>
        <v>1953.01</v>
      </c>
      <c r="M62" s="150">
        <f>ROUND(J62*I62, 2)</f>
        <v>104431</v>
      </c>
      <c r="N62" s="150">
        <f>ROUND(I62*ROUND(K62, 2), 2)</f>
        <v>93389.38</v>
      </c>
      <c r="O62" s="152">
        <f>M62+N62</f>
        <v>197820.38</v>
      </c>
      <c r="P62" s="203">
        <f>I62-S62</f>
        <v>0</v>
      </c>
      <c r="Q62" s="245"/>
      <c r="R62" s="246"/>
      <c r="S62" s="221">
        <v>101.29</v>
      </c>
      <c r="T62" s="153">
        <f>S62*W62</f>
        <v>197820.3829</v>
      </c>
      <c r="U62" s="35">
        <v>1031.01</v>
      </c>
      <c r="V62" s="13">
        <v>922</v>
      </c>
      <c r="W62" s="12">
        <v>1953.01</v>
      </c>
      <c r="X62" s="12">
        <v>104431</v>
      </c>
      <c r="Y62" s="12">
        <v>93389.38</v>
      </c>
      <c r="Z62" s="34">
        <v>197820.38</v>
      </c>
      <c r="AA62" s="299">
        <f t="shared" si="2"/>
        <v>-2.8999999922234565E-3</v>
      </c>
    </row>
    <row r="63" spans="1:27" ht="2.4500000000000002" hidden="1" customHeight="1" x14ac:dyDescent="0.25">
      <c r="A63" s="75" t="s">
        <v>155</v>
      </c>
      <c r="B63" s="75"/>
      <c r="C63" s="83" t="s">
        <v>86</v>
      </c>
      <c r="D63" s="77"/>
      <c r="E63" s="77"/>
      <c r="F63" s="84" t="s">
        <v>57</v>
      </c>
      <c r="G63" s="85">
        <v>1</v>
      </c>
      <c r="H63" s="90"/>
      <c r="I63" s="86">
        <v>101.29</v>
      </c>
      <c r="J63" s="87">
        <v>10.4</v>
      </c>
      <c r="K63" s="88"/>
      <c r="L63" s="88"/>
      <c r="M63" s="89">
        <f>ROUND(ROUND(J63, 2)*I63, 2)</f>
        <v>1053.42</v>
      </c>
      <c r="N63" s="88"/>
      <c r="O63" s="88"/>
      <c r="P63" s="197"/>
      <c r="Q63" s="231"/>
      <c r="R63" s="232"/>
      <c r="S63" s="214"/>
      <c r="T63" s="40"/>
      <c r="U63" s="36">
        <v>10.4</v>
      </c>
      <c r="X63" s="18">
        <v>1053.42</v>
      </c>
      <c r="AA63" s="299">
        <f t="shared" si="2"/>
        <v>0</v>
      </c>
    </row>
    <row r="64" spans="1:27" ht="22.5" hidden="1" x14ac:dyDescent="0.25">
      <c r="A64" s="75" t="s">
        <v>156</v>
      </c>
      <c r="B64" s="75"/>
      <c r="C64" s="83" t="s">
        <v>151</v>
      </c>
      <c r="D64" s="77"/>
      <c r="E64" s="77"/>
      <c r="F64" s="84" t="s">
        <v>51</v>
      </c>
      <c r="G64" s="85">
        <v>1.1000000000000001</v>
      </c>
      <c r="H64" s="90"/>
      <c r="I64" s="86">
        <v>111.419</v>
      </c>
      <c r="J64" s="87">
        <v>101.94</v>
      </c>
      <c r="K64" s="88"/>
      <c r="L64" s="88"/>
      <c r="M64" s="89">
        <f>ROUND(ROUND(J64, 2)*I64, 2)</f>
        <v>11358.05</v>
      </c>
      <c r="N64" s="88"/>
      <c r="O64" s="88"/>
      <c r="P64" s="197"/>
      <c r="Q64" s="231"/>
      <c r="R64" s="232"/>
      <c r="S64" s="214"/>
      <c r="T64" s="40"/>
      <c r="U64" s="36">
        <v>101.94</v>
      </c>
      <c r="X64" s="18">
        <v>11358.05</v>
      </c>
      <c r="AA64" s="299">
        <f t="shared" si="2"/>
        <v>0</v>
      </c>
    </row>
    <row r="65" spans="1:27" ht="37.5" hidden="1" x14ac:dyDescent="0.25">
      <c r="A65" s="75" t="s">
        <v>157</v>
      </c>
      <c r="B65" s="75"/>
      <c r="C65" s="83" t="s">
        <v>149</v>
      </c>
      <c r="D65" s="77"/>
      <c r="E65" s="77"/>
      <c r="F65" s="84" t="s">
        <v>84</v>
      </c>
      <c r="G65" s="85">
        <v>1.8</v>
      </c>
      <c r="H65" s="90"/>
      <c r="I65" s="86">
        <v>14585.76</v>
      </c>
      <c r="J65" s="87">
        <v>6.17</v>
      </c>
      <c r="K65" s="88"/>
      <c r="L65" s="88"/>
      <c r="M65" s="89">
        <f>ROUND(ROUND(J65, 2)*I65, 2)</f>
        <v>89994.14</v>
      </c>
      <c r="N65" s="88"/>
      <c r="O65" s="88"/>
      <c r="P65" s="197"/>
      <c r="Q65" s="231"/>
      <c r="R65" s="232"/>
      <c r="S65" s="214"/>
      <c r="T65" s="40"/>
      <c r="U65" s="36">
        <v>6.17</v>
      </c>
      <c r="X65" s="18">
        <v>89994.14</v>
      </c>
      <c r="AA65" s="299">
        <f t="shared" si="2"/>
        <v>0</v>
      </c>
    </row>
    <row r="66" spans="1:27" ht="37.5" hidden="1" x14ac:dyDescent="0.25">
      <c r="A66" s="75" t="s">
        <v>158</v>
      </c>
      <c r="B66" s="75"/>
      <c r="C66" s="83" t="s">
        <v>114</v>
      </c>
      <c r="D66" s="77"/>
      <c r="E66" s="77"/>
      <c r="F66" s="84" t="s">
        <v>115</v>
      </c>
      <c r="G66" s="85">
        <v>8</v>
      </c>
      <c r="H66" s="90"/>
      <c r="I66" s="86">
        <v>810.32</v>
      </c>
      <c r="J66" s="87">
        <v>2.5</v>
      </c>
      <c r="K66" s="88"/>
      <c r="L66" s="88"/>
      <c r="M66" s="89">
        <f>ROUND(ROUND(J66, 2)*I66, 2)</f>
        <v>2025.8</v>
      </c>
      <c r="N66" s="88"/>
      <c r="O66" s="88"/>
      <c r="P66" s="197"/>
      <c r="Q66" s="231"/>
      <c r="R66" s="232"/>
      <c r="S66" s="214"/>
      <c r="T66" s="40"/>
      <c r="U66" s="36">
        <v>2.5</v>
      </c>
      <c r="X66" s="18">
        <v>2025.8</v>
      </c>
      <c r="AA66" s="299">
        <f t="shared" si="2"/>
        <v>0</v>
      </c>
    </row>
    <row r="67" spans="1:27" ht="17.100000000000001" hidden="1" customHeight="1" x14ac:dyDescent="0.25">
      <c r="A67" s="75" t="s">
        <v>159</v>
      </c>
      <c r="B67" s="75" t="s">
        <v>160</v>
      </c>
      <c r="C67" s="363" t="s">
        <v>161</v>
      </c>
      <c r="D67" s="364"/>
      <c r="E67" s="364"/>
      <c r="F67" s="364"/>
      <c r="G67" s="364"/>
      <c r="H67" s="364"/>
      <c r="I67" s="365"/>
      <c r="J67" s="88"/>
      <c r="K67" s="88"/>
      <c r="L67" s="88"/>
      <c r="M67" s="92" t="e">
        <f>SUM(M68,M72,#REF!)</f>
        <v>#REF!</v>
      </c>
      <c r="N67" s="92" t="e">
        <f>SUM(N68,N72,#REF!)</f>
        <v>#REF!</v>
      </c>
      <c r="O67" s="93" t="e">
        <f>SUM(O68,O72,#REF!)</f>
        <v>#REF!</v>
      </c>
      <c r="P67" s="204"/>
      <c r="Q67" s="247"/>
      <c r="R67" s="248"/>
      <c r="S67" s="222"/>
      <c r="T67" s="38"/>
      <c r="X67" s="5">
        <v>1352112.06</v>
      </c>
      <c r="Y67" s="5">
        <v>1260492.79</v>
      </c>
      <c r="Z67" s="33">
        <v>2612604.85</v>
      </c>
      <c r="AA67" s="299">
        <f t="shared" si="2"/>
        <v>2612604.85</v>
      </c>
    </row>
    <row r="68" spans="1:27" ht="75" hidden="1" x14ac:dyDescent="0.25">
      <c r="A68" s="75" t="s">
        <v>162</v>
      </c>
      <c r="B68" s="75" t="s">
        <v>163</v>
      </c>
      <c r="C68" s="76" t="s">
        <v>164</v>
      </c>
      <c r="D68" s="77"/>
      <c r="E68" s="77" t="s">
        <v>165</v>
      </c>
      <c r="F68" s="77" t="s">
        <v>51</v>
      </c>
      <c r="G68" s="78">
        <v>1</v>
      </c>
      <c r="H68" s="78"/>
      <c r="I68" s="79">
        <v>441.33</v>
      </c>
      <c r="J68" s="80">
        <f>IFERROR(ROUND(SUM(M69,M70,M71)/I68, 2),0)</f>
        <v>625.25</v>
      </c>
      <c r="K68" s="81">
        <v>324</v>
      </c>
      <c r="L68" s="80">
        <f>J68+ROUND(K68, 2)</f>
        <v>949.25</v>
      </c>
      <c r="M68" s="80">
        <f>ROUND(J68*I68, 2)</f>
        <v>275941.58</v>
      </c>
      <c r="N68" s="80">
        <f>ROUND(I68*ROUND(K68, 2), 2)</f>
        <v>142990.92000000001</v>
      </c>
      <c r="O68" s="82">
        <f>M68+N68</f>
        <v>418932.5</v>
      </c>
      <c r="P68" s="197">
        <f>I68</f>
        <v>441.33</v>
      </c>
      <c r="Q68" s="233"/>
      <c r="R68" s="234"/>
      <c r="S68" s="215"/>
      <c r="T68" s="53"/>
      <c r="U68" s="35">
        <v>625.25</v>
      </c>
      <c r="V68" s="13">
        <v>324</v>
      </c>
      <c r="W68" s="12">
        <v>949.25</v>
      </c>
      <c r="X68" s="12">
        <v>275941.58</v>
      </c>
      <c r="Y68" s="12">
        <v>142990.92000000001</v>
      </c>
      <c r="Z68" s="34">
        <v>418932.5</v>
      </c>
      <c r="AA68" s="299">
        <f t="shared" si="2"/>
        <v>418932.5</v>
      </c>
    </row>
    <row r="69" spans="1:27" ht="37.5" hidden="1" x14ac:dyDescent="0.25">
      <c r="A69" s="75" t="s">
        <v>166</v>
      </c>
      <c r="B69" s="75"/>
      <c r="C69" s="83" t="s">
        <v>167</v>
      </c>
      <c r="D69" s="77"/>
      <c r="E69" s="77"/>
      <c r="F69" s="84" t="s">
        <v>84</v>
      </c>
      <c r="G69" s="85">
        <v>0.25</v>
      </c>
      <c r="H69" s="85"/>
      <c r="I69" s="86">
        <v>110.333</v>
      </c>
      <c r="J69" s="87">
        <v>210.3</v>
      </c>
      <c r="K69" s="88"/>
      <c r="L69" s="88"/>
      <c r="M69" s="89">
        <f>ROUND(ROUND(J69, 2)*I69, 2)</f>
        <v>23203.03</v>
      </c>
      <c r="N69" s="88"/>
      <c r="O69" s="88"/>
      <c r="P69" s="197"/>
      <c r="Q69" s="231"/>
      <c r="R69" s="232"/>
      <c r="S69" s="214"/>
      <c r="T69" s="40"/>
      <c r="U69" s="36">
        <v>210.3</v>
      </c>
      <c r="X69" s="18">
        <v>23203.03</v>
      </c>
      <c r="AA69" s="299">
        <f t="shared" si="2"/>
        <v>0</v>
      </c>
    </row>
    <row r="70" spans="1:27" ht="22.5" hidden="1" x14ac:dyDescent="0.25">
      <c r="A70" s="75" t="s">
        <v>168</v>
      </c>
      <c r="B70" s="75"/>
      <c r="C70" s="83" t="s">
        <v>169</v>
      </c>
      <c r="D70" s="77"/>
      <c r="E70" s="77" t="s">
        <v>170</v>
      </c>
      <c r="F70" s="84" t="s">
        <v>84</v>
      </c>
      <c r="G70" s="85">
        <v>2</v>
      </c>
      <c r="H70" s="85"/>
      <c r="I70" s="86">
        <v>882.66</v>
      </c>
      <c r="J70" s="87">
        <v>282.66000000000003</v>
      </c>
      <c r="K70" s="88"/>
      <c r="L70" s="88"/>
      <c r="M70" s="89">
        <f>ROUND(ROUND(J70, 2)*I70, 2)</f>
        <v>249492.68</v>
      </c>
      <c r="N70" s="88"/>
      <c r="O70" s="88"/>
      <c r="P70" s="197"/>
      <c r="Q70" s="231"/>
      <c r="R70" s="232"/>
      <c r="S70" s="214"/>
      <c r="T70" s="40"/>
      <c r="U70" s="36">
        <v>282.66000000000003</v>
      </c>
      <c r="X70" s="18">
        <v>249492.68</v>
      </c>
      <c r="AA70" s="299">
        <f t="shared" si="2"/>
        <v>0</v>
      </c>
    </row>
    <row r="71" spans="1:27" ht="37.5" hidden="1" x14ac:dyDescent="0.25">
      <c r="A71" s="75" t="s">
        <v>171</v>
      </c>
      <c r="B71" s="75"/>
      <c r="C71" s="83" t="s">
        <v>172</v>
      </c>
      <c r="D71" s="77"/>
      <c r="E71" s="77"/>
      <c r="F71" s="84" t="s">
        <v>57</v>
      </c>
      <c r="G71" s="85">
        <v>1.05</v>
      </c>
      <c r="H71" s="90"/>
      <c r="I71" s="86">
        <v>463.39699999999999</v>
      </c>
      <c r="J71" s="87">
        <v>7</v>
      </c>
      <c r="K71" s="88"/>
      <c r="L71" s="88"/>
      <c r="M71" s="89">
        <f>ROUND(ROUND(J71, 2)*I71, 2)</f>
        <v>3243.78</v>
      </c>
      <c r="N71" s="88"/>
      <c r="O71" s="88"/>
      <c r="P71" s="197"/>
      <c r="Q71" s="231"/>
      <c r="R71" s="232"/>
      <c r="S71" s="214"/>
      <c r="T71" s="40"/>
      <c r="U71" s="36">
        <v>7</v>
      </c>
      <c r="X71" s="18">
        <v>3243.78</v>
      </c>
      <c r="AA71" s="299">
        <f t="shared" si="2"/>
        <v>0</v>
      </c>
    </row>
    <row r="72" spans="1:27" ht="68.099999999999994" hidden="1" customHeight="1" x14ac:dyDescent="0.25">
      <c r="A72" s="75" t="s">
        <v>173</v>
      </c>
      <c r="B72" s="305" t="s">
        <v>174</v>
      </c>
      <c r="C72" s="306" t="s">
        <v>175</v>
      </c>
      <c r="D72" s="307"/>
      <c r="E72" s="307" t="s">
        <v>176</v>
      </c>
      <c r="F72" s="307" t="s">
        <v>51</v>
      </c>
      <c r="G72" s="308">
        <v>1</v>
      </c>
      <c r="H72" s="308"/>
      <c r="I72" s="309">
        <v>2518.27</v>
      </c>
      <c r="J72" s="310">
        <f>IFERROR(ROUND(SUM(#REF!)/I72, 2),0)</f>
        <v>0</v>
      </c>
      <c r="K72" s="311">
        <v>439</v>
      </c>
      <c r="L72" s="310">
        <f t="shared" ref="L72:L79" si="3">J72+ROUND(K72, 2)</f>
        <v>439</v>
      </c>
      <c r="M72" s="310">
        <f t="shared" ref="M72:M78" si="4">ROUND(J72*I72, 2)</f>
        <v>0</v>
      </c>
      <c r="N72" s="310">
        <f t="shared" ref="N72:N79" si="5">ROUND(I72*ROUND(K72, 2), 2)</f>
        <v>1105520.53</v>
      </c>
      <c r="O72" s="312">
        <f t="shared" ref="O72:O80" si="6">M72+N72</f>
        <v>1105520.53</v>
      </c>
      <c r="P72" s="313">
        <f>I72-S72</f>
        <v>90.920000000000073</v>
      </c>
      <c r="Q72" s="314"/>
      <c r="R72" s="315"/>
      <c r="S72" s="316">
        <v>2427.35</v>
      </c>
      <c r="T72" s="317">
        <f t="shared" ref="T72:T79" si="7">S72*W72</f>
        <v>2069728.5244999998</v>
      </c>
      <c r="U72" s="35">
        <v>413.67</v>
      </c>
      <c r="V72" s="13">
        <v>439</v>
      </c>
      <c r="W72" s="12">
        <v>852.67</v>
      </c>
      <c r="X72" s="12">
        <v>1041732.75</v>
      </c>
      <c r="Y72" s="12">
        <v>1105520.53</v>
      </c>
      <c r="Z72" s="34">
        <v>2147253.2799999998</v>
      </c>
      <c r="AA72" s="299">
        <f t="shared" si="2"/>
        <v>77524.75549999997</v>
      </c>
    </row>
    <row r="73" spans="1:27" ht="73.5" hidden="1" customHeight="1" x14ac:dyDescent="0.25">
      <c r="A73" s="75" t="s">
        <v>177</v>
      </c>
      <c r="B73" s="23" t="s">
        <v>178</v>
      </c>
      <c r="C73" s="70" t="s">
        <v>179</v>
      </c>
      <c r="D73" s="24"/>
      <c r="E73" s="24"/>
      <c r="F73" s="24" t="s">
        <v>57</v>
      </c>
      <c r="G73" s="25">
        <v>1</v>
      </c>
      <c r="H73" s="25"/>
      <c r="I73" s="62">
        <v>7680</v>
      </c>
      <c r="J73" s="45">
        <f>IFERROR(ROUND(SUM(#REF!,#REF!)/I73, 2),0)</f>
        <v>0</v>
      </c>
      <c r="K73" s="46">
        <v>28</v>
      </c>
      <c r="L73" s="45">
        <f t="shared" si="3"/>
        <v>28</v>
      </c>
      <c r="M73" s="45">
        <f t="shared" si="4"/>
        <v>0</v>
      </c>
      <c r="N73" s="45">
        <f t="shared" si="5"/>
        <v>215040</v>
      </c>
      <c r="O73" s="47">
        <f t="shared" si="6"/>
        <v>215040</v>
      </c>
      <c r="P73" s="205">
        <f t="shared" ref="P73:P78" si="8">I73-Q73-S73</f>
        <v>0</v>
      </c>
      <c r="Q73" s="249">
        <f>2134.03+2378.74</f>
        <v>4512.7700000000004</v>
      </c>
      <c r="R73" s="250">
        <f t="shared" ref="R73:R78" si="9">W73*Q73</f>
        <v>178119.0319</v>
      </c>
      <c r="S73" s="223">
        <f t="shared" ref="S73:S78" si="10">I73-Q73</f>
        <v>3167.2299999999996</v>
      </c>
      <c r="T73" s="55">
        <f t="shared" si="7"/>
        <v>125010.56809999997</v>
      </c>
      <c r="U73" s="35">
        <v>11.47</v>
      </c>
      <c r="V73" s="13">
        <v>28</v>
      </c>
      <c r="W73" s="12">
        <v>39.47</v>
      </c>
      <c r="X73" s="12">
        <v>88089.600000000006</v>
      </c>
      <c r="Y73" s="12">
        <v>215040</v>
      </c>
      <c r="Z73" s="34">
        <v>303129.59999999998</v>
      </c>
      <c r="AA73" s="299">
        <f t="shared" si="2"/>
        <v>0</v>
      </c>
    </row>
    <row r="74" spans="1:27" ht="81.95" hidden="1" customHeight="1" x14ac:dyDescent="0.25">
      <c r="A74" s="75" t="s">
        <v>180</v>
      </c>
      <c r="B74" s="154" t="s">
        <v>181</v>
      </c>
      <c r="C74" s="155" t="s">
        <v>182</v>
      </c>
      <c r="D74" s="156" t="s">
        <v>183</v>
      </c>
      <c r="E74" s="156" t="s">
        <v>184</v>
      </c>
      <c r="F74" s="156" t="s">
        <v>51</v>
      </c>
      <c r="G74" s="157">
        <v>1</v>
      </c>
      <c r="H74" s="157"/>
      <c r="I74" s="158">
        <v>2975.32</v>
      </c>
      <c r="J74" s="159">
        <f>IFERROR(ROUND(SUM(#REF!,#REF!,#REF!,#REF!)/I74, 2),0)</f>
        <v>0</v>
      </c>
      <c r="K74" s="160">
        <v>1165</v>
      </c>
      <c r="L74" s="159">
        <f t="shared" si="3"/>
        <v>1165</v>
      </c>
      <c r="M74" s="159">
        <f t="shared" si="4"/>
        <v>0</v>
      </c>
      <c r="N74" s="159">
        <f t="shared" si="5"/>
        <v>3466247.8</v>
      </c>
      <c r="O74" s="161">
        <f t="shared" si="6"/>
        <v>3466247.8</v>
      </c>
      <c r="P74" s="206">
        <f t="shared" si="8"/>
        <v>0</v>
      </c>
      <c r="Q74" s="251">
        <v>2739.73</v>
      </c>
      <c r="R74" s="252">
        <f t="shared" si="9"/>
        <v>4182252.6395999999</v>
      </c>
      <c r="S74" s="224">
        <f t="shared" si="10"/>
        <v>235.59000000000015</v>
      </c>
      <c r="T74" s="162">
        <f t="shared" si="7"/>
        <v>359632.84680000023</v>
      </c>
      <c r="U74" s="35">
        <v>361.52</v>
      </c>
      <c r="V74" s="13">
        <v>1165</v>
      </c>
      <c r="W74" s="12">
        <v>1526.52</v>
      </c>
      <c r="X74" s="12">
        <v>1075637.69</v>
      </c>
      <c r="Y74" s="12">
        <v>3466247.8</v>
      </c>
      <c r="Z74" s="34">
        <v>4541885.49</v>
      </c>
      <c r="AA74" s="299">
        <f t="shared" si="2"/>
        <v>3.6000001127831638E-3</v>
      </c>
    </row>
    <row r="75" spans="1:27" ht="92.1" hidden="1" customHeight="1" x14ac:dyDescent="0.25">
      <c r="A75" s="75" t="s">
        <v>185</v>
      </c>
      <c r="B75" s="68" t="s">
        <v>181</v>
      </c>
      <c r="C75" s="163" t="s">
        <v>182</v>
      </c>
      <c r="D75" s="164" t="s">
        <v>183</v>
      </c>
      <c r="E75" s="165" t="s">
        <v>186</v>
      </c>
      <c r="F75" s="164" t="s">
        <v>51</v>
      </c>
      <c r="G75" s="166">
        <v>1</v>
      </c>
      <c r="H75" s="166"/>
      <c r="I75" s="167">
        <v>226.22</v>
      </c>
      <c r="J75" s="168">
        <f>IFERROR(ROUND(SUM(#REF!,#REF!,#REF!,#REF!)/I75, 2),0)</f>
        <v>0</v>
      </c>
      <c r="K75" s="169">
        <v>1165</v>
      </c>
      <c r="L75" s="168">
        <f t="shared" si="3"/>
        <v>1165</v>
      </c>
      <c r="M75" s="168">
        <f t="shared" si="4"/>
        <v>0</v>
      </c>
      <c r="N75" s="168">
        <f t="shared" si="5"/>
        <v>263546.3</v>
      </c>
      <c r="O75" s="170">
        <f t="shared" si="6"/>
        <v>263546.3</v>
      </c>
      <c r="P75" s="207">
        <f t="shared" si="8"/>
        <v>0</v>
      </c>
      <c r="Q75" s="253">
        <f>38.59+63.38</f>
        <v>101.97</v>
      </c>
      <c r="R75" s="254">
        <f t="shared" si="9"/>
        <v>155659.2444</v>
      </c>
      <c r="S75" s="225">
        <f t="shared" si="10"/>
        <v>124.25</v>
      </c>
      <c r="T75" s="171">
        <f t="shared" si="7"/>
        <v>189670.11</v>
      </c>
      <c r="U75" s="35">
        <v>361.52</v>
      </c>
      <c r="V75" s="13">
        <v>1165</v>
      </c>
      <c r="W75" s="12">
        <v>1526.52</v>
      </c>
      <c r="X75" s="12">
        <v>81783.05</v>
      </c>
      <c r="Y75" s="12">
        <v>263546.3</v>
      </c>
      <c r="Z75" s="34">
        <v>345329.35</v>
      </c>
      <c r="AA75" s="299">
        <f t="shared" si="2"/>
        <v>-4.4000000052619725E-3</v>
      </c>
    </row>
    <row r="76" spans="1:27" ht="83.1" hidden="1" customHeight="1" x14ac:dyDescent="0.25">
      <c r="A76" s="75" t="s">
        <v>187</v>
      </c>
      <c r="B76" s="172" t="s">
        <v>181</v>
      </c>
      <c r="C76" s="173" t="s">
        <v>182</v>
      </c>
      <c r="D76" s="174" t="s">
        <v>183</v>
      </c>
      <c r="E76" s="174" t="s">
        <v>188</v>
      </c>
      <c r="F76" s="174" t="s">
        <v>51</v>
      </c>
      <c r="G76" s="175">
        <v>1</v>
      </c>
      <c r="H76" s="175"/>
      <c r="I76" s="176">
        <v>1106.32</v>
      </c>
      <c r="J76" s="177">
        <f>IFERROR(ROUND(SUM(#REF!,#REF!,#REF!,#REF!)/I76, 2),0)</f>
        <v>0</v>
      </c>
      <c r="K76" s="178">
        <v>1165</v>
      </c>
      <c r="L76" s="177">
        <f t="shared" si="3"/>
        <v>1165</v>
      </c>
      <c r="M76" s="177">
        <f t="shared" si="4"/>
        <v>0</v>
      </c>
      <c r="N76" s="177">
        <f t="shared" si="5"/>
        <v>1288862.8</v>
      </c>
      <c r="O76" s="179">
        <f t="shared" si="6"/>
        <v>1288862.8</v>
      </c>
      <c r="P76" s="208">
        <f t="shared" si="8"/>
        <v>0</v>
      </c>
      <c r="Q76" s="255">
        <f>261.49+619.28</f>
        <v>880.77</v>
      </c>
      <c r="R76" s="256">
        <f t="shared" si="9"/>
        <v>1344513.0204</v>
      </c>
      <c r="S76" s="226">
        <f t="shared" si="10"/>
        <v>225.54999999999995</v>
      </c>
      <c r="T76" s="180">
        <f t="shared" si="7"/>
        <v>344306.58599999995</v>
      </c>
      <c r="U76" s="35">
        <v>361.52</v>
      </c>
      <c r="V76" s="13">
        <v>1165</v>
      </c>
      <c r="W76" s="12">
        <v>1526.52</v>
      </c>
      <c r="X76" s="12">
        <v>399956.81</v>
      </c>
      <c r="Y76" s="12">
        <v>1288862.8</v>
      </c>
      <c r="Z76" s="34">
        <v>1688819.61</v>
      </c>
      <c r="AA76" s="299">
        <f t="shared" si="2"/>
        <v>3.6000001127831638E-3</v>
      </c>
    </row>
    <row r="77" spans="1:27" ht="99.95" hidden="1" customHeight="1" x14ac:dyDescent="0.25">
      <c r="A77" s="75" t="s">
        <v>189</v>
      </c>
      <c r="B77" s="187" t="s">
        <v>181</v>
      </c>
      <c r="C77" s="188" t="s">
        <v>182</v>
      </c>
      <c r="D77" s="189" t="s">
        <v>183</v>
      </c>
      <c r="E77" s="189" t="s">
        <v>190</v>
      </c>
      <c r="F77" s="189" t="s">
        <v>51</v>
      </c>
      <c r="G77" s="190">
        <v>1</v>
      </c>
      <c r="H77" s="190"/>
      <c r="I77" s="191">
        <v>6449.39</v>
      </c>
      <c r="J77" s="192">
        <f>IFERROR(ROUND(SUM(#REF!,#REF!,#REF!,#REF!)/I77, 2),0)</f>
        <v>0</v>
      </c>
      <c r="K77" s="193">
        <v>1165</v>
      </c>
      <c r="L77" s="192">
        <f t="shared" si="3"/>
        <v>1165</v>
      </c>
      <c r="M77" s="192">
        <f t="shared" si="4"/>
        <v>0</v>
      </c>
      <c r="N77" s="192">
        <f t="shared" si="5"/>
        <v>7513539.3499999996</v>
      </c>
      <c r="O77" s="194">
        <f t="shared" si="6"/>
        <v>7513539.3499999996</v>
      </c>
      <c r="P77" s="209">
        <f t="shared" si="8"/>
        <v>0</v>
      </c>
      <c r="Q77" s="257">
        <v>5241.32</v>
      </c>
      <c r="R77" s="258">
        <f t="shared" si="9"/>
        <v>7939761.1887999987</v>
      </c>
      <c r="S77" s="227">
        <f t="shared" si="10"/>
        <v>1208.0700000000006</v>
      </c>
      <c r="T77" s="195">
        <f t="shared" si="7"/>
        <v>1830032.7588000009</v>
      </c>
      <c r="U77" s="35">
        <v>349.84</v>
      </c>
      <c r="V77" s="13">
        <v>1165</v>
      </c>
      <c r="W77" s="12">
        <v>1514.84</v>
      </c>
      <c r="X77" s="12">
        <v>2256254.6</v>
      </c>
      <c r="Y77" s="12">
        <v>7513539.3499999996</v>
      </c>
      <c r="Z77" s="34">
        <v>9769793.9499999993</v>
      </c>
      <c r="AA77" s="299">
        <f t="shared" si="2"/>
        <v>2.3999996483325958E-3</v>
      </c>
    </row>
    <row r="78" spans="1:27" ht="91.5" customHeight="1" thickBot="1" x14ac:dyDescent="0.3">
      <c r="A78" s="75" t="s">
        <v>191</v>
      </c>
      <c r="B78" s="118" t="s">
        <v>192</v>
      </c>
      <c r="C78" s="265" t="s">
        <v>193</v>
      </c>
      <c r="D78" s="266"/>
      <c r="E78" s="266" t="s">
        <v>194</v>
      </c>
      <c r="F78" s="266" t="s">
        <v>51</v>
      </c>
      <c r="G78" s="267">
        <v>1</v>
      </c>
      <c r="H78" s="267"/>
      <c r="I78" s="268">
        <v>3246.61</v>
      </c>
      <c r="J78" s="269">
        <f>IFERROR(ROUND(SUM(#REF!,#REF!)/I78, 2),0)</f>
        <v>0</v>
      </c>
      <c r="K78" s="270">
        <v>718</v>
      </c>
      <c r="L78" s="269">
        <f t="shared" si="3"/>
        <v>718</v>
      </c>
      <c r="M78" s="269">
        <f t="shared" si="4"/>
        <v>0</v>
      </c>
      <c r="N78" s="269">
        <f t="shared" si="5"/>
        <v>2331065.98</v>
      </c>
      <c r="O78" s="271">
        <f t="shared" si="6"/>
        <v>2331065.98</v>
      </c>
      <c r="P78" s="272">
        <f t="shared" si="8"/>
        <v>0</v>
      </c>
      <c r="Q78" s="273">
        <f>1157.38</f>
        <v>1157.3800000000001</v>
      </c>
      <c r="R78" s="274">
        <f t="shared" si="9"/>
        <v>913878.82180000015</v>
      </c>
      <c r="S78" s="275">
        <f t="shared" si="10"/>
        <v>2089.23</v>
      </c>
      <c r="T78" s="276">
        <f t="shared" si="7"/>
        <v>1649676.9003000001</v>
      </c>
      <c r="U78" s="259">
        <v>71.61</v>
      </c>
      <c r="V78" s="260">
        <v>718</v>
      </c>
      <c r="W78" s="261">
        <v>789.61</v>
      </c>
      <c r="X78" s="261">
        <v>232489.74</v>
      </c>
      <c r="Y78" s="261">
        <v>2331065.98</v>
      </c>
      <c r="Z78" s="293">
        <v>2563555.7200000002</v>
      </c>
      <c r="AA78" s="304">
        <f t="shared" si="2"/>
        <v>-2.099999925121665E-3</v>
      </c>
    </row>
    <row r="79" spans="1:27" ht="104.45" customHeight="1" thickBot="1" x14ac:dyDescent="0.3">
      <c r="A79" s="94" t="s">
        <v>195</v>
      </c>
      <c r="B79" s="264" t="s">
        <v>196</v>
      </c>
      <c r="C79" s="277" t="s">
        <v>197</v>
      </c>
      <c r="D79" s="181" t="s">
        <v>198</v>
      </c>
      <c r="E79" s="181" t="s">
        <v>199</v>
      </c>
      <c r="F79" s="181" t="s">
        <v>200</v>
      </c>
      <c r="G79" s="182">
        <v>1</v>
      </c>
      <c r="H79" s="182"/>
      <c r="I79" s="183">
        <v>12</v>
      </c>
      <c r="J79" s="184">
        <v>0</v>
      </c>
      <c r="K79" s="185">
        <v>169189</v>
      </c>
      <c r="L79" s="184">
        <f t="shared" si="3"/>
        <v>169189</v>
      </c>
      <c r="M79" s="184">
        <v>0</v>
      </c>
      <c r="N79" s="184">
        <f t="shared" si="5"/>
        <v>2030268</v>
      </c>
      <c r="O79" s="186">
        <f t="shared" si="6"/>
        <v>2030268</v>
      </c>
      <c r="P79" s="210">
        <f>I79-S79</f>
        <v>9</v>
      </c>
      <c r="Q79" s="278"/>
      <c r="R79" s="279"/>
      <c r="S79" s="228">
        <v>3</v>
      </c>
      <c r="T79" s="74">
        <f t="shared" si="7"/>
        <v>507567</v>
      </c>
      <c r="U79" s="280">
        <v>0</v>
      </c>
      <c r="V79" s="281">
        <v>169189</v>
      </c>
      <c r="W79" s="282">
        <v>169189</v>
      </c>
      <c r="X79" s="282">
        <v>0</v>
      </c>
      <c r="Y79" s="282">
        <v>2030268</v>
      </c>
      <c r="Z79" s="294">
        <v>2030268</v>
      </c>
      <c r="AA79" s="302">
        <f t="shared" si="2"/>
        <v>1522701</v>
      </c>
    </row>
    <row r="80" spans="1:27" ht="68.45" customHeight="1" thickBot="1" x14ac:dyDescent="0.45">
      <c r="A80" s="95"/>
      <c r="B80" s="96"/>
      <c r="C80" s="96"/>
      <c r="D80" s="98" t="s">
        <v>201</v>
      </c>
      <c r="E80" s="97"/>
      <c r="F80" s="359" t="s">
        <v>203</v>
      </c>
      <c r="G80" s="359"/>
      <c r="H80" s="359"/>
      <c r="I80" s="359"/>
      <c r="J80" s="97"/>
      <c r="K80" s="97"/>
      <c r="L80" s="97"/>
      <c r="M80" s="99" t="e">
        <f>SUM(M8)</f>
        <v>#REF!</v>
      </c>
      <c r="N80" s="99" t="e">
        <f>SUM(N8)</f>
        <v>#REF!</v>
      </c>
      <c r="O80" s="100" t="e">
        <f t="shared" si="6"/>
        <v>#REF!</v>
      </c>
      <c r="P80" s="211"/>
      <c r="Q80" s="263"/>
      <c r="R80" s="283">
        <f>SUM(R9:R79)</f>
        <v>17809849.2313</v>
      </c>
      <c r="S80" s="284"/>
      <c r="T80" s="285">
        <f>SUM(T9:T79)</f>
        <v>15077924.224499997</v>
      </c>
      <c r="U80" s="286"/>
      <c r="V80" s="286"/>
      <c r="W80" s="286"/>
      <c r="X80" s="287"/>
      <c r="Y80" s="287"/>
      <c r="Z80" s="295">
        <f>Z29+Z36+Z41+Z46+Z51+Z57+Z62+Z72+Z73+Z74+Z75+Z76+Z77+Z78+Z79</f>
        <v>36190245.260000005</v>
      </c>
      <c r="AA80" s="303">
        <f>AA79+AA72</f>
        <v>1600225.7555</v>
      </c>
    </row>
    <row r="81" spans="1:27" ht="83.45" customHeight="1" thickBot="1" x14ac:dyDescent="0.45">
      <c r="A81" s="360" t="s">
        <v>206</v>
      </c>
      <c r="B81" s="361"/>
      <c r="C81" s="361"/>
      <c r="D81" s="361"/>
      <c r="E81" s="361"/>
      <c r="F81" s="361"/>
      <c r="G81" s="361"/>
      <c r="H81" s="361"/>
      <c r="I81" s="362"/>
      <c r="J81" s="101"/>
      <c r="K81" s="101"/>
      <c r="L81" s="101"/>
      <c r="M81" s="101"/>
      <c r="N81" s="101"/>
      <c r="O81" s="101"/>
      <c r="P81" s="212"/>
      <c r="Q81" s="262"/>
      <c r="R81" s="288">
        <f>R80</f>
        <v>17809849.2313</v>
      </c>
      <c r="S81" s="289"/>
      <c r="T81" s="290">
        <f>R80+T80</f>
        <v>32887773.455799997</v>
      </c>
      <c r="U81" s="291"/>
      <c r="V81" s="292"/>
      <c r="W81" s="292"/>
      <c r="X81" s="292"/>
      <c r="Y81" s="292"/>
      <c r="Z81" s="296">
        <f>Z80-R80-T80-0.01</f>
        <v>3302471.7942000087</v>
      </c>
      <c r="AA81" s="301"/>
    </row>
  </sheetData>
  <mergeCells count="46">
    <mergeCell ref="F80:I80"/>
    <mergeCell ref="A81:I81"/>
    <mergeCell ref="C23:I23"/>
    <mergeCell ref="C24:I24"/>
    <mergeCell ref="C67:I67"/>
    <mergeCell ref="Z6:Z7"/>
    <mergeCell ref="A8:I8"/>
    <mergeCell ref="C9:I9"/>
    <mergeCell ref="C10:I10"/>
    <mergeCell ref="C11:I11"/>
    <mergeCell ref="H5:H7"/>
    <mergeCell ref="I5:I7"/>
    <mergeCell ref="U5:W5"/>
    <mergeCell ref="U6:V6"/>
    <mergeCell ref="W6:W7"/>
    <mergeCell ref="J5:O5"/>
    <mergeCell ref="S5:T5"/>
    <mergeCell ref="Q5:R5"/>
    <mergeCell ref="O6:O7"/>
    <mergeCell ref="Q6:Q7"/>
    <mergeCell ref="C22:I22"/>
    <mergeCell ref="X6:Y6"/>
    <mergeCell ref="C12:I12"/>
    <mergeCell ref="C13:I13"/>
    <mergeCell ref="C14:I14"/>
    <mergeCell ref="C20:I20"/>
    <mergeCell ref="C21:I21"/>
    <mergeCell ref="R6:R7"/>
    <mergeCell ref="S6:S7"/>
    <mergeCell ref="T6:T7"/>
    <mergeCell ref="AA5:AA7"/>
    <mergeCell ref="P5:P7"/>
    <mergeCell ref="A2:Z2"/>
    <mergeCell ref="A3:Z3"/>
    <mergeCell ref="A4:Z4"/>
    <mergeCell ref="A5:A7"/>
    <mergeCell ref="B5:B7"/>
    <mergeCell ref="C5:C7"/>
    <mergeCell ref="D5:D7"/>
    <mergeCell ref="E5:E7"/>
    <mergeCell ref="F5:F7"/>
    <mergeCell ref="G5:G7"/>
    <mergeCell ref="X5:Z5"/>
    <mergeCell ref="J6:K6"/>
    <mergeCell ref="L6:L7"/>
    <mergeCell ref="M6:N6"/>
  </mergeCells>
  <pageMargins left="0.70866141732283472" right="0.70866141732283472" top="0.74803149606299213" bottom="0.74803149606299213" header="0.31496062992125984" footer="0.31496062992125984"/>
  <pageSetup paperSize="8" scale="3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ВЫПОЛНЕНИЕ 2 (2)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МирзаяновИИ</cp:lastModifiedBy>
  <cp:lastPrinted>2025-11-11T07:59:53Z</cp:lastPrinted>
  <dcterms:created xsi:type="dcterms:W3CDTF">2025-09-11T08:38:18Z</dcterms:created>
  <dcterms:modified xsi:type="dcterms:W3CDTF">2025-11-19T15:19:46Z</dcterms:modified>
  <cp:category/>
</cp:coreProperties>
</file>