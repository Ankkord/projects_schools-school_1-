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08062026\МФ СТРОЙ\ПОЛИКЛИНИКА\2026 ГОД\ВЫПОЛНЕНИЕ\"/>
    </mc:Choice>
  </mc:AlternateContent>
  <bookViews>
    <workbookView xWindow="-108" yWindow="-108" windowWidth="19416" windowHeight="10416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1" i="3" l="1"/>
  <c r="K391" i="3"/>
  <c r="J323" i="3"/>
  <c r="K323" i="3"/>
  <c r="J303" i="3"/>
  <c r="K303" i="3"/>
  <c r="O323" i="3"/>
  <c r="O303" i="3"/>
  <c r="O391" i="3"/>
  <c r="P481" i="3" l="1"/>
  <c r="K290" i="3"/>
  <c r="J290" i="3" s="1"/>
  <c r="K284" i="3"/>
  <c r="J284" i="3" s="1"/>
  <c r="K260" i="3"/>
  <c r="J260" i="3" s="1"/>
  <c r="O290" i="3"/>
  <c r="O260" i="3"/>
  <c r="O284" i="3"/>
  <c r="K272" i="3"/>
  <c r="J272" i="3" s="1"/>
  <c r="O272" i="3"/>
  <c r="K278" i="3"/>
  <c r="J278" i="3" s="1"/>
  <c r="O278" i="3"/>
  <c r="K266" i="3"/>
  <c r="J266" i="3" s="1"/>
  <c r="K254" i="3"/>
  <c r="J254" i="3" s="1"/>
  <c r="O266" i="3"/>
  <c r="O254" i="3"/>
  <c r="K248" i="3"/>
  <c r="O248" i="3"/>
  <c r="M272" i="3"/>
  <c r="M278" i="3"/>
  <c r="M481" i="3" s="1"/>
  <c r="M266" i="3"/>
  <c r="M254" i="3"/>
  <c r="M248" i="3"/>
  <c r="O481" i="3" l="1"/>
  <c r="U481" i="3" s="1"/>
  <c r="J248" i="3" l="1"/>
  <c r="S14" i="3"/>
  <c r="S13" i="3" s="1"/>
  <c r="S12" i="3" s="1"/>
  <c r="S11" i="3" s="1"/>
  <c r="S10" i="3" s="1"/>
  <c r="T14" i="3"/>
  <c r="T13" i="3" s="1"/>
  <c r="T12" i="3" s="1"/>
  <c r="T11" i="3" s="1"/>
  <c r="T10" i="3" s="1"/>
  <c r="R15" i="3"/>
  <c r="U15" i="3"/>
  <c r="S16" i="3"/>
  <c r="S17" i="3"/>
  <c r="S18" i="3"/>
  <c r="S19" i="3"/>
  <c r="S20" i="3"/>
  <c r="R21" i="3"/>
  <c r="U21" i="3"/>
  <c r="U14" i="3" s="1"/>
  <c r="U13" i="3" s="1"/>
  <c r="U12" i="3" s="1"/>
  <c r="U11" i="3" s="1"/>
  <c r="U10" i="3" s="1"/>
  <c r="S22" i="3"/>
  <c r="S23" i="3"/>
  <c r="S24" i="3"/>
  <c r="S25" i="3"/>
  <c r="S26" i="3"/>
  <c r="R27" i="3"/>
  <c r="U27" i="3"/>
  <c r="S28" i="3"/>
  <c r="S29" i="3"/>
  <c r="S30" i="3"/>
  <c r="S31" i="3"/>
  <c r="R32" i="3"/>
  <c r="U32" i="3"/>
  <c r="S33" i="3"/>
  <c r="S34" i="3"/>
  <c r="S35" i="3"/>
  <c r="S36" i="3"/>
  <c r="S37" i="3"/>
  <c r="R38" i="3"/>
  <c r="U38" i="3"/>
  <c r="S39" i="3"/>
  <c r="S40" i="3"/>
  <c r="S41" i="3"/>
  <c r="S42" i="3"/>
  <c r="S43" i="3"/>
  <c r="R44" i="3"/>
  <c r="U44" i="3"/>
  <c r="S45" i="3"/>
  <c r="S46" i="3"/>
  <c r="S47" i="3"/>
  <c r="S48" i="3"/>
  <c r="S49" i="3"/>
  <c r="R50" i="3"/>
  <c r="U50" i="3"/>
  <c r="S51" i="3"/>
  <c r="S52" i="3"/>
  <c r="S53" i="3"/>
  <c r="S54" i="3"/>
  <c r="S55" i="3"/>
  <c r="R56" i="3"/>
  <c r="U56" i="3"/>
  <c r="S57" i="3"/>
  <c r="S58" i="3"/>
  <c r="S59" i="3"/>
  <c r="S60" i="3"/>
  <c r="S61" i="3"/>
  <c r="S66" i="3"/>
  <c r="T66" i="3"/>
  <c r="R67" i="3"/>
  <c r="U67" i="3"/>
  <c r="S68" i="3"/>
  <c r="R69" i="3"/>
  <c r="U69" i="3"/>
  <c r="S70" i="3"/>
  <c r="S71" i="3"/>
  <c r="S72" i="3"/>
  <c r="S73" i="3"/>
  <c r="R74" i="3"/>
  <c r="U74" i="3"/>
  <c r="S75" i="3"/>
  <c r="S76" i="3"/>
  <c r="S77" i="3"/>
  <c r="S78" i="3"/>
  <c r="S65" i="3" s="1"/>
  <c r="T78" i="3"/>
  <c r="R79" i="3"/>
  <c r="U79" i="3"/>
  <c r="S80" i="3"/>
  <c r="R81" i="3"/>
  <c r="U81" i="3"/>
  <c r="S82" i="3"/>
  <c r="R83" i="3"/>
  <c r="U83" i="3"/>
  <c r="S84" i="3"/>
  <c r="R85" i="3"/>
  <c r="U85" i="3"/>
  <c r="S86" i="3"/>
  <c r="R87" i="3"/>
  <c r="U87" i="3"/>
  <c r="S88" i="3"/>
  <c r="R89" i="3"/>
  <c r="U89" i="3"/>
  <c r="S90" i="3"/>
  <c r="R91" i="3"/>
  <c r="U91" i="3"/>
  <c r="S92" i="3"/>
  <c r="R93" i="3"/>
  <c r="U93" i="3"/>
  <c r="S94" i="3"/>
  <c r="R95" i="3"/>
  <c r="U95" i="3"/>
  <c r="S96" i="3"/>
  <c r="R97" i="3"/>
  <c r="U97" i="3"/>
  <c r="S98" i="3"/>
  <c r="R99" i="3"/>
  <c r="U99" i="3"/>
  <c r="S100" i="3"/>
  <c r="S101" i="3"/>
  <c r="T101" i="3"/>
  <c r="U101" i="3"/>
  <c r="R102" i="3"/>
  <c r="U102" i="3"/>
  <c r="S103" i="3"/>
  <c r="S104" i="3"/>
  <c r="S105" i="3"/>
  <c r="S106" i="3"/>
  <c r="R107" i="3"/>
  <c r="U107" i="3"/>
  <c r="S108" i="3"/>
  <c r="S109" i="3"/>
  <c r="S110" i="3"/>
  <c r="R111" i="3"/>
  <c r="U111" i="3"/>
  <c r="S112" i="3"/>
  <c r="S113" i="3"/>
  <c r="R114" i="3"/>
  <c r="U114" i="3"/>
  <c r="S115" i="3"/>
  <c r="S116" i="3"/>
  <c r="S117" i="3"/>
  <c r="S118" i="3"/>
  <c r="R119" i="3"/>
  <c r="U119" i="3"/>
  <c r="S120" i="3"/>
  <c r="S121" i="3"/>
  <c r="S122" i="3"/>
  <c r="S123" i="3"/>
  <c r="R124" i="3"/>
  <c r="U124" i="3"/>
  <c r="S125" i="3"/>
  <c r="S126" i="3"/>
  <c r="S127" i="3"/>
  <c r="S128" i="3"/>
  <c r="R129" i="3"/>
  <c r="U129" i="3"/>
  <c r="S130" i="3"/>
  <c r="S131" i="3"/>
  <c r="S132" i="3"/>
  <c r="S133" i="3"/>
  <c r="R134" i="3"/>
  <c r="U134" i="3"/>
  <c r="S135" i="3"/>
  <c r="S136" i="3"/>
  <c r="S137" i="3"/>
  <c r="S138" i="3"/>
  <c r="R139" i="3"/>
  <c r="U139" i="3"/>
  <c r="S140" i="3"/>
  <c r="S141" i="3"/>
  <c r="S142" i="3"/>
  <c r="S143" i="3"/>
  <c r="R144" i="3"/>
  <c r="U144" i="3"/>
  <c r="S145" i="3"/>
  <c r="S146" i="3"/>
  <c r="S147" i="3"/>
  <c r="S148" i="3"/>
  <c r="R149" i="3"/>
  <c r="U149" i="3"/>
  <c r="S150" i="3"/>
  <c r="S151" i="3"/>
  <c r="S152" i="3"/>
  <c r="S153" i="3"/>
  <c r="S155" i="3"/>
  <c r="T155" i="3"/>
  <c r="R156" i="3"/>
  <c r="U156" i="3"/>
  <c r="U155" i="3" s="1"/>
  <c r="S157" i="3"/>
  <c r="S158" i="3"/>
  <c r="S159" i="3"/>
  <c r="S160" i="3"/>
  <c r="S161" i="3"/>
  <c r="T161" i="3"/>
  <c r="R162" i="3"/>
  <c r="U162" i="3"/>
  <c r="S163" i="3"/>
  <c r="R164" i="3"/>
  <c r="U164" i="3"/>
  <c r="S165" i="3"/>
  <c r="S166" i="3"/>
  <c r="R167" i="3"/>
  <c r="U167" i="3"/>
  <c r="S168" i="3"/>
  <c r="S169" i="3"/>
  <c r="R170" i="3"/>
  <c r="U170" i="3"/>
  <c r="S171" i="3"/>
  <c r="S172" i="3"/>
  <c r="S173" i="3"/>
  <c r="S174" i="3"/>
  <c r="S176" i="3"/>
  <c r="T176" i="3"/>
  <c r="T175" i="3" s="1"/>
  <c r="R177" i="3"/>
  <c r="U177" i="3"/>
  <c r="S178" i="3"/>
  <c r="S179" i="3"/>
  <c r="S180" i="3"/>
  <c r="S181" i="3"/>
  <c r="R182" i="3"/>
  <c r="U182" i="3"/>
  <c r="S183" i="3"/>
  <c r="S184" i="3"/>
  <c r="S185" i="3"/>
  <c r="T185" i="3"/>
  <c r="R186" i="3"/>
  <c r="U186" i="3"/>
  <c r="S187" i="3"/>
  <c r="S188" i="3"/>
  <c r="R189" i="3"/>
  <c r="U189" i="3"/>
  <c r="S190" i="3"/>
  <c r="S191" i="3"/>
  <c r="R192" i="3"/>
  <c r="U192" i="3"/>
  <c r="S193" i="3"/>
  <c r="S194" i="3"/>
  <c r="R195" i="3"/>
  <c r="U195" i="3"/>
  <c r="S196" i="3"/>
  <c r="S197" i="3"/>
  <c r="S198" i="3"/>
  <c r="T198" i="3"/>
  <c r="R199" i="3"/>
  <c r="U199" i="3"/>
  <c r="S200" i="3"/>
  <c r="R201" i="3"/>
  <c r="U201" i="3"/>
  <c r="U198" i="3" s="1"/>
  <c r="S202" i="3"/>
  <c r="R203" i="3"/>
  <c r="U203" i="3"/>
  <c r="R204" i="3"/>
  <c r="U204" i="3"/>
  <c r="S205" i="3"/>
  <c r="S206" i="3"/>
  <c r="S207" i="3"/>
  <c r="S208" i="3"/>
  <c r="S209" i="3"/>
  <c r="S210" i="3"/>
  <c r="S211" i="3"/>
  <c r="S212" i="3"/>
  <c r="S213" i="3"/>
  <c r="S214" i="3"/>
  <c r="R215" i="3"/>
  <c r="U215" i="3"/>
  <c r="S216" i="3"/>
  <c r="S217" i="3"/>
  <c r="S218" i="3"/>
  <c r="S219" i="3"/>
  <c r="S220" i="3"/>
  <c r="S221" i="3"/>
  <c r="S222" i="3"/>
  <c r="S223" i="3"/>
  <c r="S224" i="3"/>
  <c r="S225" i="3"/>
  <c r="R226" i="3"/>
  <c r="U226" i="3"/>
  <c r="S227" i="3"/>
  <c r="S228" i="3"/>
  <c r="S229" i="3"/>
  <c r="S230" i="3"/>
  <c r="S231" i="3"/>
  <c r="S232" i="3"/>
  <c r="S233" i="3"/>
  <c r="S234" i="3"/>
  <c r="S235" i="3"/>
  <c r="S236" i="3"/>
  <c r="R237" i="3"/>
  <c r="U237" i="3"/>
  <c r="S238" i="3"/>
  <c r="S239" i="3"/>
  <c r="T239" i="3"/>
  <c r="R240" i="3"/>
  <c r="U240" i="3"/>
  <c r="U239" i="3" s="1"/>
  <c r="T479" i="3"/>
  <c r="R479" i="3"/>
  <c r="T478" i="3"/>
  <c r="R478" i="3"/>
  <c r="S477" i="3"/>
  <c r="S476" i="3"/>
  <c r="T475" i="3"/>
  <c r="S474" i="3"/>
  <c r="S473" i="3"/>
  <c r="S472" i="3"/>
  <c r="S471" i="3"/>
  <c r="S470" i="3"/>
  <c r="S469" i="3"/>
  <c r="S468" i="3"/>
  <c r="S467" i="3"/>
  <c r="S466" i="3"/>
  <c r="S465" i="3"/>
  <c r="S464" i="3"/>
  <c r="T463" i="3"/>
  <c r="S462" i="3"/>
  <c r="S461" i="3"/>
  <c r="S460" i="3"/>
  <c r="S459" i="3"/>
  <c r="S458" i="3"/>
  <c r="S457" i="3"/>
  <c r="S456" i="3"/>
  <c r="S455" i="3"/>
  <c r="S454" i="3"/>
  <c r="S453" i="3"/>
  <c r="S452" i="3"/>
  <c r="T451" i="3"/>
  <c r="S450" i="3"/>
  <c r="S449" i="3"/>
  <c r="S448" i="3"/>
  <c r="S447" i="3"/>
  <c r="S446" i="3"/>
  <c r="S445" i="3"/>
  <c r="S444" i="3"/>
  <c r="S443" i="3"/>
  <c r="S442" i="3"/>
  <c r="S441" i="3"/>
  <c r="S440" i="3"/>
  <c r="T439" i="3"/>
  <c r="T438" i="3"/>
  <c r="U438" i="3" s="1"/>
  <c r="R438" i="3"/>
  <c r="S437" i="3"/>
  <c r="P436" i="3" s="1"/>
  <c r="T436" i="3"/>
  <c r="S435" i="3"/>
  <c r="P434" i="3" s="1"/>
  <c r="T434" i="3"/>
  <c r="S432" i="3"/>
  <c r="S431" i="3"/>
  <c r="T430" i="3"/>
  <c r="S429" i="3"/>
  <c r="S428" i="3"/>
  <c r="T427" i="3"/>
  <c r="S426" i="3"/>
  <c r="S425" i="3"/>
  <c r="T424" i="3"/>
  <c r="S423" i="3"/>
  <c r="P421" i="3" s="1"/>
  <c r="S422" i="3"/>
  <c r="T421" i="3"/>
  <c r="S419" i="3"/>
  <c r="S418" i="3"/>
  <c r="T417" i="3"/>
  <c r="S416" i="3"/>
  <c r="S415" i="3"/>
  <c r="S414" i="3"/>
  <c r="S413" i="3"/>
  <c r="T412" i="3"/>
  <c r="S409" i="3"/>
  <c r="S408" i="3"/>
  <c r="S407" i="3"/>
  <c r="S406" i="3"/>
  <c r="T405" i="3"/>
  <c r="S404" i="3"/>
  <c r="P402" i="3" s="1"/>
  <c r="S403" i="3"/>
  <c r="T402" i="3"/>
  <c r="S401" i="3"/>
  <c r="P399" i="3" s="1"/>
  <c r="S400" i="3"/>
  <c r="T399" i="3"/>
  <c r="S398" i="3"/>
  <c r="P397" i="3" s="1"/>
  <c r="T397" i="3"/>
  <c r="S395" i="3"/>
  <c r="S394" i="3"/>
  <c r="S393" i="3"/>
  <c r="S392" i="3"/>
  <c r="T391" i="3"/>
  <c r="S388" i="3"/>
  <c r="S387" i="3"/>
  <c r="S386" i="3"/>
  <c r="S385" i="3"/>
  <c r="T384" i="3"/>
  <c r="S383" i="3"/>
  <c r="S382" i="3"/>
  <c r="S381" i="3"/>
  <c r="S380" i="3"/>
  <c r="T379" i="3"/>
  <c r="S378" i="3"/>
  <c r="S377" i="3"/>
  <c r="S376" i="3"/>
  <c r="S375" i="3"/>
  <c r="T374" i="3"/>
  <c r="S373" i="3"/>
  <c r="S372" i="3"/>
  <c r="S371" i="3"/>
  <c r="S370" i="3"/>
  <c r="T369" i="3"/>
  <c r="S368" i="3"/>
  <c r="S367" i="3"/>
  <c r="S366" i="3"/>
  <c r="S365" i="3"/>
  <c r="T364" i="3"/>
  <c r="S363" i="3"/>
  <c r="S362" i="3"/>
  <c r="S361" i="3"/>
  <c r="S360" i="3"/>
  <c r="T359" i="3"/>
  <c r="S358" i="3"/>
  <c r="S357" i="3"/>
  <c r="S356" i="3"/>
  <c r="S355" i="3"/>
  <c r="T354" i="3"/>
  <c r="S353" i="3"/>
  <c r="S352" i="3"/>
  <c r="S351" i="3"/>
  <c r="S350" i="3"/>
  <c r="T349" i="3"/>
  <c r="S348" i="3"/>
  <c r="S347" i="3"/>
  <c r="T346" i="3"/>
  <c r="S345" i="3"/>
  <c r="S344" i="3"/>
  <c r="S343" i="3"/>
  <c r="S342" i="3"/>
  <c r="T341" i="3"/>
  <c r="S340" i="3"/>
  <c r="S339" i="3"/>
  <c r="S338" i="3"/>
  <c r="S337" i="3"/>
  <c r="T336" i="3"/>
  <c r="S334" i="3"/>
  <c r="P333" i="3" s="1"/>
  <c r="S333" i="3" s="1"/>
  <c r="T333" i="3"/>
  <c r="S332" i="3"/>
  <c r="P331" i="3" s="1"/>
  <c r="T331" i="3"/>
  <c r="S330" i="3"/>
  <c r="P329" i="3" s="1"/>
  <c r="R329" i="3" s="1"/>
  <c r="T329" i="3"/>
  <c r="S328" i="3"/>
  <c r="P327" i="3" s="1"/>
  <c r="T327" i="3"/>
  <c r="S326" i="3"/>
  <c r="T325" i="3"/>
  <c r="S324" i="3"/>
  <c r="T323" i="3"/>
  <c r="S322" i="3"/>
  <c r="T321" i="3"/>
  <c r="S320" i="3"/>
  <c r="T319" i="3"/>
  <c r="S318" i="3"/>
  <c r="T317" i="3"/>
  <c r="S316" i="3"/>
  <c r="T315" i="3"/>
  <c r="S314" i="3"/>
  <c r="T313" i="3"/>
  <c r="S311" i="3"/>
  <c r="S310" i="3"/>
  <c r="S309" i="3"/>
  <c r="T308" i="3"/>
  <c r="S307" i="3"/>
  <c r="S306" i="3"/>
  <c r="S305" i="3"/>
  <c r="S304" i="3"/>
  <c r="T303" i="3"/>
  <c r="S302" i="3"/>
  <c r="T301" i="3"/>
  <c r="S295" i="3"/>
  <c r="S294" i="3"/>
  <c r="S293" i="3"/>
  <c r="S292" i="3"/>
  <c r="S291" i="3"/>
  <c r="T290" i="3"/>
  <c r="S289" i="3"/>
  <c r="S288" i="3"/>
  <c r="S287" i="3"/>
  <c r="S286" i="3"/>
  <c r="S285" i="3"/>
  <c r="T284" i="3"/>
  <c r="S283" i="3"/>
  <c r="S282" i="3"/>
  <c r="S281" i="3"/>
  <c r="S280" i="3"/>
  <c r="S279" i="3"/>
  <c r="T278" i="3"/>
  <c r="S277" i="3"/>
  <c r="S276" i="3"/>
  <c r="S275" i="3"/>
  <c r="S274" i="3"/>
  <c r="S273" i="3"/>
  <c r="T272" i="3"/>
  <c r="S271" i="3"/>
  <c r="S270" i="3"/>
  <c r="S269" i="3"/>
  <c r="S268" i="3"/>
  <c r="S267" i="3"/>
  <c r="T266" i="3"/>
  <c r="S265" i="3"/>
  <c r="S264" i="3"/>
  <c r="S263" i="3"/>
  <c r="S262" i="3"/>
  <c r="S261" i="3"/>
  <c r="T260" i="3"/>
  <c r="S259" i="3"/>
  <c r="S258" i="3"/>
  <c r="S257" i="3"/>
  <c r="S256" i="3"/>
  <c r="S255" i="3"/>
  <c r="T254" i="3"/>
  <c r="S253" i="3"/>
  <c r="S252" i="3"/>
  <c r="S251" i="3"/>
  <c r="S250" i="3"/>
  <c r="S249" i="3"/>
  <c r="T248" i="3"/>
  <c r="W690" i="1"/>
  <c r="T690" i="1"/>
  <c r="T688" i="1" s="1"/>
  <c r="R690" i="1"/>
  <c r="X690" i="1" s="1"/>
  <c r="N690" i="1"/>
  <c r="O690" i="1" s="1"/>
  <c r="L690" i="1"/>
  <c r="W689" i="1"/>
  <c r="T689" i="1"/>
  <c r="Z689" i="1" s="1"/>
  <c r="R689" i="1"/>
  <c r="X689" i="1" s="1"/>
  <c r="N689" i="1"/>
  <c r="O689" i="1" s="1"/>
  <c r="O688" i="1" s="1"/>
  <c r="L689" i="1"/>
  <c r="Y688" i="1"/>
  <c r="S688" i="1"/>
  <c r="M688" i="1"/>
  <c r="Y687" i="1"/>
  <c r="V687" i="1"/>
  <c r="S687" i="1"/>
  <c r="M687" i="1"/>
  <c r="W686" i="1"/>
  <c r="T686" i="1"/>
  <c r="Z686" i="1" s="1"/>
  <c r="P686" i="1"/>
  <c r="S686" i="1" s="1"/>
  <c r="N686" i="1"/>
  <c r="J686" i="1"/>
  <c r="L686" i="1" s="1"/>
  <c r="V685" i="1"/>
  <c r="S685" i="1"/>
  <c r="Y685" i="1" s="1"/>
  <c r="M685" i="1"/>
  <c r="Y684" i="1"/>
  <c r="V684" i="1"/>
  <c r="S684" i="1"/>
  <c r="M684" i="1"/>
  <c r="V683" i="1"/>
  <c r="S683" i="1"/>
  <c r="Y683" i="1" s="1"/>
  <c r="M683" i="1"/>
  <c r="Y682" i="1"/>
  <c r="V682" i="1"/>
  <c r="S682" i="1"/>
  <c r="M682" i="1"/>
  <c r="V681" i="1"/>
  <c r="S681" i="1"/>
  <c r="Y681" i="1" s="1"/>
  <c r="M681" i="1"/>
  <c r="Y680" i="1"/>
  <c r="V680" i="1"/>
  <c r="S680" i="1"/>
  <c r="M680" i="1"/>
  <c r="V679" i="1"/>
  <c r="S679" i="1"/>
  <c r="Y679" i="1" s="1"/>
  <c r="M679" i="1"/>
  <c r="Y678" i="1"/>
  <c r="V678" i="1"/>
  <c r="S678" i="1"/>
  <c r="M678" i="1"/>
  <c r="V677" i="1"/>
  <c r="S677" i="1"/>
  <c r="Y677" i="1" s="1"/>
  <c r="M677" i="1"/>
  <c r="Y676" i="1"/>
  <c r="V676" i="1"/>
  <c r="S676" i="1"/>
  <c r="M676" i="1"/>
  <c r="V675" i="1"/>
  <c r="S675" i="1"/>
  <c r="M675" i="1"/>
  <c r="W674" i="1"/>
  <c r="T674" i="1"/>
  <c r="Z674" i="1" s="1"/>
  <c r="N674" i="1"/>
  <c r="Y673" i="1"/>
  <c r="V673" i="1"/>
  <c r="S673" i="1"/>
  <c r="M673" i="1"/>
  <c r="V672" i="1"/>
  <c r="S672" i="1"/>
  <c r="Y672" i="1" s="1"/>
  <c r="M672" i="1"/>
  <c r="Y671" i="1"/>
  <c r="V671" i="1"/>
  <c r="S671" i="1"/>
  <c r="M671" i="1"/>
  <c r="V670" i="1"/>
  <c r="S670" i="1"/>
  <c r="M670" i="1"/>
  <c r="Y669" i="1"/>
  <c r="V669" i="1"/>
  <c r="S669" i="1"/>
  <c r="M669" i="1"/>
  <c r="V668" i="1"/>
  <c r="S668" i="1"/>
  <c r="Y668" i="1" s="1"/>
  <c r="M668" i="1"/>
  <c r="Y667" i="1"/>
  <c r="V667" i="1"/>
  <c r="S667" i="1"/>
  <c r="M667" i="1"/>
  <c r="V666" i="1"/>
  <c r="S666" i="1"/>
  <c r="Y666" i="1" s="1"/>
  <c r="M666" i="1"/>
  <c r="Y665" i="1"/>
  <c r="V665" i="1"/>
  <c r="S665" i="1"/>
  <c r="M665" i="1"/>
  <c r="V664" i="1"/>
  <c r="S664" i="1"/>
  <c r="Y664" i="1" s="1"/>
  <c r="M664" i="1"/>
  <c r="Y663" i="1"/>
  <c r="V663" i="1"/>
  <c r="S663" i="1"/>
  <c r="M663" i="1"/>
  <c r="W662" i="1"/>
  <c r="T662" i="1"/>
  <c r="Z662" i="1" s="1"/>
  <c r="N662" i="1"/>
  <c r="J662" i="1"/>
  <c r="V661" i="1"/>
  <c r="S661" i="1"/>
  <c r="Y661" i="1" s="1"/>
  <c r="M661" i="1"/>
  <c r="Y660" i="1"/>
  <c r="V660" i="1"/>
  <c r="S660" i="1"/>
  <c r="M660" i="1"/>
  <c r="V659" i="1"/>
  <c r="S659" i="1"/>
  <c r="Y659" i="1" s="1"/>
  <c r="M659" i="1"/>
  <c r="Y658" i="1"/>
  <c r="V658" i="1"/>
  <c r="S658" i="1"/>
  <c r="M658" i="1"/>
  <c r="V657" i="1"/>
  <c r="S657" i="1"/>
  <c r="Y657" i="1" s="1"/>
  <c r="M657" i="1"/>
  <c r="Y656" i="1"/>
  <c r="V656" i="1"/>
  <c r="S656" i="1"/>
  <c r="M656" i="1"/>
  <c r="V655" i="1"/>
  <c r="S655" i="1"/>
  <c r="Y655" i="1" s="1"/>
  <c r="M655" i="1"/>
  <c r="Y654" i="1"/>
  <c r="V654" i="1"/>
  <c r="S654" i="1"/>
  <c r="M654" i="1"/>
  <c r="V653" i="1"/>
  <c r="S653" i="1"/>
  <c r="Y653" i="1" s="1"/>
  <c r="M653" i="1"/>
  <c r="Y652" i="1"/>
  <c r="V652" i="1"/>
  <c r="S652" i="1"/>
  <c r="M652" i="1"/>
  <c r="V651" i="1"/>
  <c r="S651" i="1"/>
  <c r="M651" i="1"/>
  <c r="W650" i="1"/>
  <c r="T650" i="1"/>
  <c r="Z650" i="1" s="1"/>
  <c r="N650" i="1"/>
  <c r="W649" i="1"/>
  <c r="T649" i="1"/>
  <c r="U649" i="1" s="1"/>
  <c r="R649" i="1"/>
  <c r="X649" i="1" s="1"/>
  <c r="N649" i="1"/>
  <c r="O649" i="1" s="1"/>
  <c r="L649" i="1"/>
  <c r="Y648" i="1"/>
  <c r="V648" i="1"/>
  <c r="S648" i="1"/>
  <c r="M648" i="1"/>
  <c r="Z647" i="1"/>
  <c r="W647" i="1"/>
  <c r="V647" i="1"/>
  <c r="T647" i="1"/>
  <c r="S647" i="1"/>
  <c r="P647" i="1"/>
  <c r="R647" i="1" s="1"/>
  <c r="X647" i="1" s="1"/>
  <c r="N647" i="1"/>
  <c r="M647" i="1"/>
  <c r="O647" i="1" s="1"/>
  <c r="J647" i="1"/>
  <c r="L647" i="1" s="1"/>
  <c r="Y646" i="1"/>
  <c r="V646" i="1"/>
  <c r="S646" i="1"/>
  <c r="P645" i="1" s="1"/>
  <c r="M646" i="1"/>
  <c r="Z645" i="1"/>
  <c r="W645" i="1"/>
  <c r="T645" i="1"/>
  <c r="R645" i="1"/>
  <c r="X645" i="1" s="1"/>
  <c r="N645" i="1"/>
  <c r="N644" i="1" s="1"/>
  <c r="L645" i="1"/>
  <c r="J645" i="1"/>
  <c r="M645" i="1" s="1"/>
  <c r="T644" i="1"/>
  <c r="Y643" i="1"/>
  <c r="V643" i="1"/>
  <c r="S643" i="1"/>
  <c r="M643" i="1"/>
  <c r="J641" i="1" s="1"/>
  <c r="V642" i="1"/>
  <c r="S642" i="1"/>
  <c r="Y642" i="1" s="1"/>
  <c r="M642" i="1"/>
  <c r="Z641" i="1"/>
  <c r="W641" i="1"/>
  <c r="T641" i="1"/>
  <c r="S641" i="1"/>
  <c r="P641" i="1"/>
  <c r="R641" i="1" s="1"/>
  <c r="X641" i="1" s="1"/>
  <c r="N641" i="1"/>
  <c r="Y640" i="1"/>
  <c r="V640" i="1"/>
  <c r="S640" i="1"/>
  <c r="M640" i="1"/>
  <c r="J638" i="1" s="1"/>
  <c r="V639" i="1"/>
  <c r="S639" i="1"/>
  <c r="Y639" i="1" s="1"/>
  <c r="M639" i="1"/>
  <c r="Z638" i="1"/>
  <c r="W638" i="1"/>
  <c r="T638" i="1"/>
  <c r="S638" i="1"/>
  <c r="P638" i="1"/>
  <c r="R638" i="1" s="1"/>
  <c r="X638" i="1" s="1"/>
  <c r="N638" i="1"/>
  <c r="Y637" i="1"/>
  <c r="V637" i="1"/>
  <c r="S637" i="1"/>
  <c r="M637" i="1"/>
  <c r="J635" i="1" s="1"/>
  <c r="V636" i="1"/>
  <c r="S636" i="1"/>
  <c r="Y636" i="1" s="1"/>
  <c r="M636" i="1"/>
  <c r="Z635" i="1"/>
  <c r="W635" i="1"/>
  <c r="T635" i="1"/>
  <c r="S635" i="1"/>
  <c r="P635" i="1"/>
  <c r="R635" i="1" s="1"/>
  <c r="X635" i="1" s="1"/>
  <c r="N635" i="1"/>
  <c r="Y634" i="1"/>
  <c r="V634" i="1"/>
  <c r="S634" i="1"/>
  <c r="M634" i="1"/>
  <c r="J632" i="1" s="1"/>
  <c r="V633" i="1"/>
  <c r="S633" i="1"/>
  <c r="Y633" i="1" s="1"/>
  <c r="M633" i="1"/>
  <c r="Z632" i="1"/>
  <c r="W632" i="1"/>
  <c r="T632" i="1"/>
  <c r="S632" i="1"/>
  <c r="P632" i="1"/>
  <c r="R632" i="1" s="1"/>
  <c r="X632" i="1" s="1"/>
  <c r="N632" i="1"/>
  <c r="N631" i="1" s="1"/>
  <c r="Z631" i="1"/>
  <c r="T631" i="1"/>
  <c r="V630" i="1"/>
  <c r="S630" i="1"/>
  <c r="Y630" i="1" s="1"/>
  <c r="M630" i="1"/>
  <c r="Y629" i="1"/>
  <c r="V629" i="1"/>
  <c r="S629" i="1"/>
  <c r="M629" i="1"/>
  <c r="J628" i="1" s="1"/>
  <c r="W628" i="1"/>
  <c r="T628" i="1"/>
  <c r="Z628" i="1" s="1"/>
  <c r="P628" i="1"/>
  <c r="N628" i="1"/>
  <c r="V627" i="1"/>
  <c r="S627" i="1"/>
  <c r="Y627" i="1" s="1"/>
  <c r="M627" i="1"/>
  <c r="Y626" i="1"/>
  <c r="V626" i="1"/>
  <c r="S626" i="1"/>
  <c r="M626" i="1"/>
  <c r="V625" i="1"/>
  <c r="S625" i="1"/>
  <c r="M625" i="1"/>
  <c r="Y624" i="1"/>
  <c r="V624" i="1"/>
  <c r="S624" i="1"/>
  <c r="M624" i="1"/>
  <c r="J623" i="1" s="1"/>
  <c r="W623" i="1"/>
  <c r="T623" i="1"/>
  <c r="N623" i="1"/>
  <c r="N622" i="1"/>
  <c r="N621" i="1" s="1"/>
  <c r="Y620" i="1"/>
  <c r="V620" i="1"/>
  <c r="S620" i="1"/>
  <c r="M620" i="1"/>
  <c r="V619" i="1"/>
  <c r="S619" i="1"/>
  <c r="Y619" i="1" s="1"/>
  <c r="M619" i="1"/>
  <c r="Y618" i="1"/>
  <c r="V618" i="1"/>
  <c r="S618" i="1"/>
  <c r="M618" i="1"/>
  <c r="V617" i="1"/>
  <c r="S617" i="1"/>
  <c r="Y617" i="1" s="1"/>
  <c r="M617" i="1"/>
  <c r="W616" i="1"/>
  <c r="V616" i="1"/>
  <c r="T616" i="1"/>
  <c r="Z616" i="1" s="1"/>
  <c r="S616" i="1"/>
  <c r="P616" i="1"/>
  <c r="R616" i="1" s="1"/>
  <c r="X616" i="1" s="1"/>
  <c r="N616" i="1"/>
  <c r="M616" i="1"/>
  <c r="O616" i="1" s="1"/>
  <c r="J616" i="1"/>
  <c r="L616" i="1" s="1"/>
  <c r="Y615" i="1"/>
  <c r="V615" i="1"/>
  <c r="S615" i="1"/>
  <c r="M615" i="1"/>
  <c r="V614" i="1"/>
  <c r="S614" i="1"/>
  <c r="Y614" i="1" s="1"/>
  <c r="M614" i="1"/>
  <c r="W613" i="1"/>
  <c r="V613" i="1"/>
  <c r="T613" i="1"/>
  <c r="Z613" i="1" s="1"/>
  <c r="S613" i="1"/>
  <c r="P613" i="1"/>
  <c r="R613" i="1" s="1"/>
  <c r="X613" i="1" s="1"/>
  <c r="N613" i="1"/>
  <c r="M613" i="1"/>
  <c r="O613" i="1" s="1"/>
  <c r="J613" i="1"/>
  <c r="L613" i="1" s="1"/>
  <c r="Y612" i="1"/>
  <c r="V612" i="1"/>
  <c r="S612" i="1"/>
  <c r="M612" i="1"/>
  <c r="V611" i="1"/>
  <c r="S611" i="1"/>
  <c r="Y611" i="1" s="1"/>
  <c r="M611" i="1"/>
  <c r="W610" i="1"/>
  <c r="V610" i="1"/>
  <c r="T610" i="1"/>
  <c r="Z610" i="1" s="1"/>
  <c r="S610" i="1"/>
  <c r="P610" i="1"/>
  <c r="R610" i="1" s="1"/>
  <c r="X610" i="1" s="1"/>
  <c r="N610" i="1"/>
  <c r="M610" i="1"/>
  <c r="O610" i="1" s="1"/>
  <c r="J610" i="1"/>
  <c r="L610" i="1" s="1"/>
  <c r="Y609" i="1"/>
  <c r="V609" i="1"/>
  <c r="S609" i="1"/>
  <c r="P608" i="1" s="1"/>
  <c r="R608" i="1" s="1"/>
  <c r="X608" i="1" s="1"/>
  <c r="M609" i="1"/>
  <c r="Z608" i="1"/>
  <c r="Z607" i="1" s="1"/>
  <c r="Z600" i="1" s="1"/>
  <c r="W608" i="1"/>
  <c r="T608" i="1"/>
  <c r="N608" i="1"/>
  <c r="N607" i="1" s="1"/>
  <c r="N600" i="1" s="1"/>
  <c r="L608" i="1"/>
  <c r="J608" i="1"/>
  <c r="M608" i="1" s="1"/>
  <c r="T607" i="1"/>
  <c r="T600" i="1" s="1"/>
  <c r="Y606" i="1"/>
  <c r="V606" i="1"/>
  <c r="S606" i="1"/>
  <c r="M606" i="1"/>
  <c r="V605" i="1"/>
  <c r="S605" i="1"/>
  <c r="Y605" i="1" s="1"/>
  <c r="M605" i="1"/>
  <c r="Y604" i="1"/>
  <c r="V604" i="1"/>
  <c r="S604" i="1"/>
  <c r="M604" i="1"/>
  <c r="J602" i="1" s="1"/>
  <c r="V603" i="1"/>
  <c r="S603" i="1"/>
  <c r="Y603" i="1" s="1"/>
  <c r="M603" i="1"/>
  <c r="Z602" i="1"/>
  <c r="W602" i="1"/>
  <c r="T602" i="1"/>
  <c r="S602" i="1"/>
  <c r="P602" i="1"/>
  <c r="R602" i="1" s="1"/>
  <c r="X602" i="1" s="1"/>
  <c r="N602" i="1"/>
  <c r="Z601" i="1"/>
  <c r="T601" i="1"/>
  <c r="N601" i="1"/>
  <c r="Y599" i="1"/>
  <c r="V599" i="1"/>
  <c r="S599" i="1"/>
  <c r="M599" i="1"/>
  <c r="V598" i="1"/>
  <c r="S598" i="1"/>
  <c r="Y598" i="1" s="1"/>
  <c r="M598" i="1"/>
  <c r="Y597" i="1"/>
  <c r="V597" i="1"/>
  <c r="S597" i="1"/>
  <c r="M597" i="1"/>
  <c r="J595" i="1" s="1"/>
  <c r="M595" i="1" s="1"/>
  <c r="O595" i="1" s="1"/>
  <c r="V596" i="1"/>
  <c r="S596" i="1"/>
  <c r="M596" i="1"/>
  <c r="Z595" i="1"/>
  <c r="W595" i="1"/>
  <c r="T595" i="1"/>
  <c r="N595" i="1"/>
  <c r="Y594" i="1"/>
  <c r="V594" i="1"/>
  <c r="S594" i="1"/>
  <c r="M594" i="1"/>
  <c r="V593" i="1"/>
  <c r="S593" i="1"/>
  <c r="Y593" i="1" s="1"/>
  <c r="M593" i="1"/>
  <c r="Y592" i="1"/>
  <c r="V592" i="1"/>
  <c r="S592" i="1"/>
  <c r="M592" i="1"/>
  <c r="V591" i="1"/>
  <c r="S591" i="1"/>
  <c r="M591" i="1"/>
  <c r="Z590" i="1"/>
  <c r="W590" i="1"/>
  <c r="T590" i="1"/>
  <c r="N590" i="1"/>
  <c r="L590" i="1"/>
  <c r="J590" i="1"/>
  <c r="M590" i="1" s="1"/>
  <c r="O590" i="1" s="1"/>
  <c r="Y589" i="1"/>
  <c r="V589" i="1"/>
  <c r="S589" i="1"/>
  <c r="M589" i="1"/>
  <c r="V588" i="1"/>
  <c r="S588" i="1"/>
  <c r="Y588" i="1" s="1"/>
  <c r="M588" i="1"/>
  <c r="Y587" i="1"/>
  <c r="V587" i="1"/>
  <c r="S587" i="1"/>
  <c r="M587" i="1"/>
  <c r="V586" i="1"/>
  <c r="S586" i="1"/>
  <c r="M586" i="1"/>
  <c r="Z585" i="1"/>
  <c r="W585" i="1"/>
  <c r="T585" i="1"/>
  <c r="N585" i="1"/>
  <c r="L585" i="1"/>
  <c r="J585" i="1"/>
  <c r="M585" i="1" s="1"/>
  <c r="O585" i="1" s="1"/>
  <c r="Y584" i="1"/>
  <c r="V584" i="1"/>
  <c r="S584" i="1"/>
  <c r="M584" i="1"/>
  <c r="V583" i="1"/>
  <c r="S583" i="1"/>
  <c r="Y583" i="1" s="1"/>
  <c r="M583" i="1"/>
  <c r="Y582" i="1"/>
  <c r="V582" i="1"/>
  <c r="S582" i="1"/>
  <c r="M582" i="1"/>
  <c r="V581" i="1"/>
  <c r="S581" i="1"/>
  <c r="M581" i="1"/>
  <c r="Z580" i="1"/>
  <c r="W580" i="1"/>
  <c r="T580" i="1"/>
  <c r="N580" i="1"/>
  <c r="L580" i="1"/>
  <c r="J580" i="1"/>
  <c r="M580" i="1" s="1"/>
  <c r="O580" i="1" s="1"/>
  <c r="Y579" i="1"/>
  <c r="V579" i="1"/>
  <c r="S579" i="1"/>
  <c r="M579" i="1"/>
  <c r="V578" i="1"/>
  <c r="S578" i="1"/>
  <c r="Y578" i="1" s="1"/>
  <c r="M578" i="1"/>
  <c r="Y577" i="1"/>
  <c r="V577" i="1"/>
  <c r="S577" i="1"/>
  <c r="M577" i="1"/>
  <c r="V576" i="1"/>
  <c r="S576" i="1"/>
  <c r="M576" i="1"/>
  <c r="Z575" i="1"/>
  <c r="W575" i="1"/>
  <c r="T575" i="1"/>
  <c r="N575" i="1"/>
  <c r="L575" i="1"/>
  <c r="J575" i="1"/>
  <c r="M575" i="1" s="1"/>
  <c r="O575" i="1" s="1"/>
  <c r="Y574" i="1"/>
  <c r="V574" i="1"/>
  <c r="S574" i="1"/>
  <c r="M574" i="1"/>
  <c r="V573" i="1"/>
  <c r="S573" i="1"/>
  <c r="Y573" i="1" s="1"/>
  <c r="M573" i="1"/>
  <c r="Y572" i="1"/>
  <c r="V572" i="1"/>
  <c r="S572" i="1"/>
  <c r="M572" i="1"/>
  <c r="V571" i="1"/>
  <c r="S571" i="1"/>
  <c r="M571" i="1"/>
  <c r="W570" i="1"/>
  <c r="T570" i="1"/>
  <c r="Z570" i="1" s="1"/>
  <c r="N570" i="1"/>
  <c r="J570" i="1"/>
  <c r="M570" i="1" s="1"/>
  <c r="O570" i="1" s="1"/>
  <c r="Y569" i="1"/>
  <c r="V569" i="1"/>
  <c r="S569" i="1"/>
  <c r="M569" i="1"/>
  <c r="V568" i="1"/>
  <c r="S568" i="1"/>
  <c r="Y568" i="1" s="1"/>
  <c r="M568" i="1"/>
  <c r="Y567" i="1"/>
  <c r="V567" i="1"/>
  <c r="S567" i="1"/>
  <c r="M567" i="1"/>
  <c r="V566" i="1"/>
  <c r="S566" i="1"/>
  <c r="M566" i="1"/>
  <c r="W565" i="1"/>
  <c r="T565" i="1"/>
  <c r="Z565" i="1" s="1"/>
  <c r="N565" i="1"/>
  <c r="J565" i="1"/>
  <c r="M565" i="1" s="1"/>
  <c r="O565" i="1" s="1"/>
  <c r="Y564" i="1"/>
  <c r="V564" i="1"/>
  <c r="S564" i="1"/>
  <c r="M564" i="1"/>
  <c r="V563" i="1"/>
  <c r="S563" i="1"/>
  <c r="Y563" i="1" s="1"/>
  <c r="M563" i="1"/>
  <c r="Y562" i="1"/>
  <c r="V562" i="1"/>
  <c r="S562" i="1"/>
  <c r="M562" i="1"/>
  <c r="V561" i="1"/>
  <c r="S561" i="1"/>
  <c r="M561" i="1"/>
  <c r="W560" i="1"/>
  <c r="T560" i="1"/>
  <c r="Z560" i="1" s="1"/>
  <c r="O560" i="1"/>
  <c r="N560" i="1"/>
  <c r="J560" i="1"/>
  <c r="M560" i="1" s="1"/>
  <c r="Y559" i="1"/>
  <c r="V559" i="1"/>
  <c r="S559" i="1"/>
  <c r="M559" i="1"/>
  <c r="V558" i="1"/>
  <c r="S558" i="1"/>
  <c r="M558" i="1"/>
  <c r="W557" i="1"/>
  <c r="T557" i="1"/>
  <c r="Z557" i="1" s="1"/>
  <c r="O557" i="1"/>
  <c r="N557" i="1"/>
  <c r="L557" i="1"/>
  <c r="J557" i="1"/>
  <c r="M557" i="1" s="1"/>
  <c r="Y556" i="1"/>
  <c r="V556" i="1"/>
  <c r="S556" i="1"/>
  <c r="M556" i="1"/>
  <c r="V555" i="1"/>
  <c r="S555" i="1"/>
  <c r="Y555" i="1" s="1"/>
  <c r="M555" i="1"/>
  <c r="Y554" i="1"/>
  <c r="V554" i="1"/>
  <c r="S554" i="1"/>
  <c r="M554" i="1"/>
  <c r="V553" i="1"/>
  <c r="S553" i="1"/>
  <c r="M553" i="1"/>
  <c r="Z552" i="1"/>
  <c r="W552" i="1"/>
  <c r="T552" i="1"/>
  <c r="N552" i="1"/>
  <c r="J552" i="1"/>
  <c r="Y551" i="1"/>
  <c r="V551" i="1"/>
  <c r="S551" i="1"/>
  <c r="M551" i="1"/>
  <c r="V550" i="1"/>
  <c r="S550" i="1"/>
  <c r="Y550" i="1" s="1"/>
  <c r="M550" i="1"/>
  <c r="Y549" i="1"/>
  <c r="V549" i="1"/>
  <c r="S549" i="1"/>
  <c r="M549" i="1"/>
  <c r="V548" i="1"/>
  <c r="S548" i="1"/>
  <c r="M548" i="1"/>
  <c r="J547" i="1" s="1"/>
  <c r="Z547" i="1"/>
  <c r="Z546" i="1" s="1"/>
  <c r="W547" i="1"/>
  <c r="T547" i="1"/>
  <c r="N547" i="1"/>
  <c r="N546" i="1"/>
  <c r="V545" i="1"/>
  <c r="S545" i="1"/>
  <c r="Y545" i="1" s="1"/>
  <c r="M545" i="1"/>
  <c r="Z544" i="1"/>
  <c r="W544" i="1"/>
  <c r="T544" i="1"/>
  <c r="N544" i="1"/>
  <c r="L544" i="1"/>
  <c r="J544" i="1"/>
  <c r="M544" i="1" s="1"/>
  <c r="O544" i="1" s="1"/>
  <c r="V543" i="1"/>
  <c r="S543" i="1"/>
  <c r="Y543" i="1" s="1"/>
  <c r="M543" i="1"/>
  <c r="J542" i="1" s="1"/>
  <c r="W542" i="1"/>
  <c r="T542" i="1"/>
  <c r="Z542" i="1" s="1"/>
  <c r="P542" i="1"/>
  <c r="R542" i="1" s="1"/>
  <c r="X542" i="1" s="1"/>
  <c r="N542" i="1"/>
  <c r="Y541" i="1"/>
  <c r="V541" i="1"/>
  <c r="S541" i="1"/>
  <c r="M541" i="1"/>
  <c r="W540" i="1"/>
  <c r="T540" i="1"/>
  <c r="Z540" i="1" s="1"/>
  <c r="P540" i="1"/>
  <c r="N540" i="1"/>
  <c r="J540" i="1"/>
  <c r="M540" i="1" s="1"/>
  <c r="O540" i="1" s="1"/>
  <c r="V539" i="1"/>
  <c r="S539" i="1"/>
  <c r="Y539" i="1" s="1"/>
  <c r="M539" i="1"/>
  <c r="W538" i="1"/>
  <c r="T538" i="1"/>
  <c r="Z538" i="1" s="1"/>
  <c r="P538" i="1"/>
  <c r="R538" i="1" s="1"/>
  <c r="X538" i="1" s="1"/>
  <c r="N538" i="1"/>
  <c r="J538" i="1"/>
  <c r="V537" i="1"/>
  <c r="S537" i="1"/>
  <c r="Y537" i="1" s="1"/>
  <c r="M537" i="1"/>
  <c r="Z536" i="1"/>
  <c r="W536" i="1"/>
  <c r="T536" i="1"/>
  <c r="N536" i="1"/>
  <c r="J536" i="1"/>
  <c r="V535" i="1"/>
  <c r="S535" i="1"/>
  <c r="Y535" i="1" s="1"/>
  <c r="M535" i="1"/>
  <c r="J534" i="1" s="1"/>
  <c r="M534" i="1" s="1"/>
  <c r="O534" i="1" s="1"/>
  <c r="W534" i="1"/>
  <c r="T534" i="1"/>
  <c r="Z534" i="1" s="1"/>
  <c r="N534" i="1"/>
  <c r="L534" i="1"/>
  <c r="Y533" i="1"/>
  <c r="V533" i="1"/>
  <c r="S533" i="1"/>
  <c r="M533" i="1"/>
  <c r="W532" i="1"/>
  <c r="T532" i="1"/>
  <c r="Z532" i="1" s="1"/>
  <c r="P532" i="1"/>
  <c r="N532" i="1"/>
  <c r="L532" i="1"/>
  <c r="J532" i="1"/>
  <c r="M532" i="1" s="1"/>
  <c r="O532" i="1" s="1"/>
  <c r="V531" i="1"/>
  <c r="S531" i="1"/>
  <c r="Y531" i="1" s="1"/>
  <c r="M531" i="1"/>
  <c r="W530" i="1"/>
  <c r="T530" i="1"/>
  <c r="Z530" i="1" s="1"/>
  <c r="N530" i="1"/>
  <c r="M530" i="1"/>
  <c r="O530" i="1" s="1"/>
  <c r="L530" i="1"/>
  <c r="J530" i="1"/>
  <c r="Y529" i="1"/>
  <c r="V529" i="1"/>
  <c r="S529" i="1"/>
  <c r="P528" i="1" s="1"/>
  <c r="M529" i="1"/>
  <c r="W528" i="1"/>
  <c r="T528" i="1"/>
  <c r="Z528" i="1" s="1"/>
  <c r="N528" i="1"/>
  <c r="N523" i="1" s="1"/>
  <c r="L528" i="1"/>
  <c r="J528" i="1"/>
  <c r="M528" i="1" s="1"/>
  <c r="O528" i="1" s="1"/>
  <c r="V527" i="1"/>
  <c r="S527" i="1"/>
  <c r="Y527" i="1" s="1"/>
  <c r="M527" i="1"/>
  <c r="W526" i="1"/>
  <c r="T526" i="1"/>
  <c r="Z526" i="1" s="1"/>
  <c r="N526" i="1"/>
  <c r="J526" i="1"/>
  <c r="M526" i="1" s="1"/>
  <c r="O526" i="1" s="1"/>
  <c r="Y525" i="1"/>
  <c r="V525" i="1"/>
  <c r="S525" i="1"/>
  <c r="M525" i="1"/>
  <c r="Z524" i="1"/>
  <c r="W524" i="1"/>
  <c r="T524" i="1"/>
  <c r="T523" i="1" s="1"/>
  <c r="P524" i="1"/>
  <c r="O524" i="1"/>
  <c r="N524" i="1"/>
  <c r="J524" i="1"/>
  <c r="M524" i="1" s="1"/>
  <c r="Y522" i="1"/>
  <c r="V522" i="1"/>
  <c r="S522" i="1"/>
  <c r="M522" i="1"/>
  <c r="V521" i="1"/>
  <c r="S521" i="1"/>
  <c r="Y521" i="1" s="1"/>
  <c r="M521" i="1"/>
  <c r="V520" i="1"/>
  <c r="S520" i="1"/>
  <c r="Y520" i="1" s="1"/>
  <c r="M520" i="1"/>
  <c r="W519" i="1"/>
  <c r="T519" i="1"/>
  <c r="Z519" i="1" s="1"/>
  <c r="N519" i="1"/>
  <c r="J519" i="1"/>
  <c r="M519" i="1" s="1"/>
  <c r="Y518" i="1"/>
  <c r="V518" i="1"/>
  <c r="S518" i="1"/>
  <c r="M518" i="1"/>
  <c r="Y517" i="1"/>
  <c r="V517" i="1"/>
  <c r="S517" i="1"/>
  <c r="M517" i="1"/>
  <c r="Y516" i="1"/>
  <c r="V516" i="1"/>
  <c r="S516" i="1"/>
  <c r="M516" i="1"/>
  <c r="Y515" i="1"/>
  <c r="V515" i="1"/>
  <c r="S515" i="1"/>
  <c r="P514" i="1" s="1"/>
  <c r="M515" i="1"/>
  <c r="W514" i="1"/>
  <c r="T514" i="1"/>
  <c r="T511" i="1" s="1"/>
  <c r="N514" i="1"/>
  <c r="J514" i="1"/>
  <c r="M514" i="1" s="1"/>
  <c r="Y513" i="1"/>
  <c r="V513" i="1"/>
  <c r="S513" i="1"/>
  <c r="M513" i="1"/>
  <c r="Z512" i="1"/>
  <c r="X512" i="1"/>
  <c r="W512" i="1"/>
  <c r="V512" i="1"/>
  <c r="T512" i="1"/>
  <c r="S512" i="1"/>
  <c r="R512" i="1"/>
  <c r="P512" i="1"/>
  <c r="O512" i="1"/>
  <c r="N512" i="1"/>
  <c r="M512" i="1"/>
  <c r="J512" i="1"/>
  <c r="L512" i="1" s="1"/>
  <c r="M511" i="1"/>
  <c r="Y506" i="1"/>
  <c r="V506" i="1"/>
  <c r="S506" i="1"/>
  <c r="M506" i="1"/>
  <c r="V505" i="1"/>
  <c r="S505" i="1"/>
  <c r="Y505" i="1" s="1"/>
  <c r="M505" i="1"/>
  <c r="Y504" i="1"/>
  <c r="V504" i="1"/>
  <c r="S504" i="1"/>
  <c r="M504" i="1"/>
  <c r="V503" i="1"/>
  <c r="S503" i="1"/>
  <c r="Y503" i="1" s="1"/>
  <c r="M503" i="1"/>
  <c r="Y502" i="1"/>
  <c r="V502" i="1"/>
  <c r="S502" i="1"/>
  <c r="M502" i="1"/>
  <c r="J501" i="1" s="1"/>
  <c r="W501" i="1"/>
  <c r="T501" i="1"/>
  <c r="Z501" i="1" s="1"/>
  <c r="P501" i="1"/>
  <c r="S501" i="1" s="1"/>
  <c r="N501" i="1"/>
  <c r="V500" i="1"/>
  <c r="S500" i="1"/>
  <c r="Y500" i="1" s="1"/>
  <c r="M500" i="1"/>
  <c r="Y499" i="1"/>
  <c r="V499" i="1"/>
  <c r="S499" i="1"/>
  <c r="M499" i="1"/>
  <c r="V498" i="1"/>
  <c r="S498" i="1"/>
  <c r="Y498" i="1" s="1"/>
  <c r="M498" i="1"/>
  <c r="Y497" i="1"/>
  <c r="V497" i="1"/>
  <c r="S497" i="1"/>
  <c r="M497" i="1"/>
  <c r="J495" i="1" s="1"/>
  <c r="V496" i="1"/>
  <c r="S496" i="1"/>
  <c r="Y496" i="1" s="1"/>
  <c r="M496" i="1"/>
  <c r="W495" i="1"/>
  <c r="T495" i="1"/>
  <c r="Z495" i="1" s="1"/>
  <c r="N495" i="1"/>
  <c r="Y494" i="1"/>
  <c r="V494" i="1"/>
  <c r="S494" i="1"/>
  <c r="M494" i="1"/>
  <c r="V493" i="1"/>
  <c r="S493" i="1"/>
  <c r="Y493" i="1" s="1"/>
  <c r="M493" i="1"/>
  <c r="Y492" i="1"/>
  <c r="V492" i="1"/>
  <c r="S492" i="1"/>
  <c r="M492" i="1"/>
  <c r="V491" i="1"/>
  <c r="S491" i="1"/>
  <c r="Y491" i="1" s="1"/>
  <c r="M491" i="1"/>
  <c r="Y490" i="1"/>
  <c r="V490" i="1"/>
  <c r="S490" i="1"/>
  <c r="M490" i="1"/>
  <c r="W489" i="1"/>
  <c r="T489" i="1"/>
  <c r="Z489" i="1" s="1"/>
  <c r="P489" i="1"/>
  <c r="S489" i="1" s="1"/>
  <c r="N489" i="1"/>
  <c r="J489" i="1"/>
  <c r="V488" i="1"/>
  <c r="S488" i="1"/>
  <c r="Y488" i="1" s="1"/>
  <c r="M488" i="1"/>
  <c r="Y487" i="1"/>
  <c r="V487" i="1"/>
  <c r="S487" i="1"/>
  <c r="M487" i="1"/>
  <c r="V486" i="1"/>
  <c r="S486" i="1"/>
  <c r="Y486" i="1" s="1"/>
  <c r="M486" i="1"/>
  <c r="Y485" i="1"/>
  <c r="V485" i="1"/>
  <c r="S485" i="1"/>
  <c r="M485" i="1"/>
  <c r="J483" i="1" s="1"/>
  <c r="V484" i="1"/>
  <c r="S484" i="1"/>
  <c r="Y484" i="1" s="1"/>
  <c r="M484" i="1"/>
  <c r="W483" i="1"/>
  <c r="T483" i="1"/>
  <c r="Z483" i="1" s="1"/>
  <c r="N483" i="1"/>
  <c r="Y482" i="1"/>
  <c r="V482" i="1"/>
  <c r="S482" i="1"/>
  <c r="M482" i="1"/>
  <c r="V481" i="1"/>
  <c r="S481" i="1"/>
  <c r="Y481" i="1" s="1"/>
  <c r="M481" i="1"/>
  <c r="Y480" i="1"/>
  <c r="V480" i="1"/>
  <c r="S480" i="1"/>
  <c r="M480" i="1"/>
  <c r="V479" i="1"/>
  <c r="S479" i="1"/>
  <c r="Y479" i="1" s="1"/>
  <c r="M479" i="1"/>
  <c r="Y478" i="1"/>
  <c r="V478" i="1"/>
  <c r="S478" i="1"/>
  <c r="M478" i="1"/>
  <c r="J477" i="1" s="1"/>
  <c r="W477" i="1"/>
  <c r="T477" i="1"/>
  <c r="Z477" i="1" s="1"/>
  <c r="P477" i="1"/>
  <c r="S477" i="1" s="1"/>
  <c r="N477" i="1"/>
  <c r="V476" i="1"/>
  <c r="S476" i="1"/>
  <c r="Y476" i="1" s="1"/>
  <c r="M476" i="1"/>
  <c r="Y475" i="1"/>
  <c r="V475" i="1"/>
  <c r="S475" i="1"/>
  <c r="M475" i="1"/>
  <c r="V474" i="1"/>
  <c r="S474" i="1"/>
  <c r="Y474" i="1" s="1"/>
  <c r="M474" i="1"/>
  <c r="Y473" i="1"/>
  <c r="V473" i="1"/>
  <c r="S473" i="1"/>
  <c r="M473" i="1"/>
  <c r="J471" i="1" s="1"/>
  <c r="V472" i="1"/>
  <c r="S472" i="1"/>
  <c r="Y472" i="1" s="1"/>
  <c r="M472" i="1"/>
  <c r="W471" i="1"/>
  <c r="T471" i="1"/>
  <c r="Z471" i="1" s="1"/>
  <c r="N471" i="1"/>
  <c r="Y470" i="1"/>
  <c r="V470" i="1"/>
  <c r="S470" i="1"/>
  <c r="M470" i="1"/>
  <c r="V469" i="1"/>
  <c r="S469" i="1"/>
  <c r="Y469" i="1" s="1"/>
  <c r="M469" i="1"/>
  <c r="Y468" i="1"/>
  <c r="V468" i="1"/>
  <c r="S468" i="1"/>
  <c r="M468" i="1"/>
  <c r="V467" i="1"/>
  <c r="S467" i="1"/>
  <c r="Y467" i="1" s="1"/>
  <c r="M467" i="1"/>
  <c r="Y466" i="1"/>
  <c r="V466" i="1"/>
  <c r="S466" i="1"/>
  <c r="M466" i="1"/>
  <c r="J465" i="1" s="1"/>
  <c r="W465" i="1"/>
  <c r="T465" i="1"/>
  <c r="Z465" i="1" s="1"/>
  <c r="P465" i="1"/>
  <c r="S465" i="1" s="1"/>
  <c r="N465" i="1"/>
  <c r="V464" i="1"/>
  <c r="S464" i="1"/>
  <c r="Y464" i="1" s="1"/>
  <c r="M464" i="1"/>
  <c r="Y463" i="1"/>
  <c r="V463" i="1"/>
  <c r="S463" i="1"/>
  <c r="M463" i="1"/>
  <c r="V462" i="1"/>
  <c r="S462" i="1"/>
  <c r="Y462" i="1" s="1"/>
  <c r="M462" i="1"/>
  <c r="Y461" i="1"/>
  <c r="V461" i="1"/>
  <c r="S461" i="1"/>
  <c r="M461" i="1"/>
  <c r="J459" i="1" s="1"/>
  <c r="V460" i="1"/>
  <c r="S460" i="1"/>
  <c r="Y460" i="1" s="1"/>
  <c r="M460" i="1"/>
  <c r="W459" i="1"/>
  <c r="T459" i="1"/>
  <c r="N459" i="1"/>
  <c r="N458" i="1"/>
  <c r="N457" i="1"/>
  <c r="N456" i="1" s="1"/>
  <c r="N455" i="1" s="1"/>
  <c r="N454" i="1"/>
  <c r="Z451" i="1"/>
  <c r="X451" i="1"/>
  <c r="W451" i="1"/>
  <c r="Z450" i="1"/>
  <c r="AA450" i="1" s="1"/>
  <c r="AA449" i="1" s="1"/>
  <c r="W450" i="1"/>
  <c r="U450" i="1"/>
  <c r="U449" i="1" s="1"/>
  <c r="R450" i="1"/>
  <c r="X450" i="1" s="1"/>
  <c r="O450" i="1"/>
  <c r="L450" i="1"/>
  <c r="Y449" i="1"/>
  <c r="T449" i="1"/>
  <c r="S449" i="1"/>
  <c r="O449" i="1"/>
  <c r="N449" i="1"/>
  <c r="M449" i="1"/>
  <c r="Y448" i="1"/>
  <c r="V448" i="1"/>
  <c r="S448" i="1"/>
  <c r="M448" i="1"/>
  <c r="Y447" i="1"/>
  <c r="V447" i="1"/>
  <c r="S447" i="1"/>
  <c r="M447" i="1"/>
  <c r="Z446" i="1"/>
  <c r="X446" i="1"/>
  <c r="W446" i="1"/>
  <c r="AA445" i="1"/>
  <c r="Z445" i="1"/>
  <c r="Y445" i="1"/>
  <c r="W445" i="1"/>
  <c r="V445" i="1"/>
  <c r="U445" i="1"/>
  <c r="R445" i="1"/>
  <c r="X445" i="1" s="1"/>
  <c r="O445" i="1"/>
  <c r="L445" i="1"/>
  <c r="Y444" i="1"/>
  <c r="V444" i="1"/>
  <c r="S444" i="1"/>
  <c r="M444" i="1"/>
  <c r="V443" i="1"/>
  <c r="S443" i="1"/>
  <c r="Y443" i="1" s="1"/>
  <c r="M443" i="1"/>
  <c r="Y442" i="1"/>
  <c r="V442" i="1"/>
  <c r="S442" i="1"/>
  <c r="M442" i="1"/>
  <c r="V441" i="1"/>
  <c r="S441" i="1"/>
  <c r="Y441" i="1" s="1"/>
  <c r="M441" i="1"/>
  <c r="Y440" i="1"/>
  <c r="V440" i="1"/>
  <c r="S440" i="1"/>
  <c r="M440" i="1"/>
  <c r="V439" i="1"/>
  <c r="S439" i="1"/>
  <c r="Y439" i="1" s="1"/>
  <c r="M439" i="1"/>
  <c r="Y438" i="1"/>
  <c r="V438" i="1"/>
  <c r="S438" i="1"/>
  <c r="M438" i="1"/>
  <c r="V437" i="1"/>
  <c r="S437" i="1"/>
  <c r="Y437" i="1" s="1"/>
  <c r="M437" i="1"/>
  <c r="Y436" i="1"/>
  <c r="V436" i="1"/>
  <c r="S436" i="1"/>
  <c r="M436" i="1"/>
  <c r="V435" i="1"/>
  <c r="S435" i="1"/>
  <c r="Y435" i="1" s="1"/>
  <c r="M435" i="1"/>
  <c r="Y434" i="1"/>
  <c r="V434" i="1"/>
  <c r="S434" i="1"/>
  <c r="M434" i="1"/>
  <c r="V433" i="1"/>
  <c r="S433" i="1"/>
  <c r="Y433" i="1" s="1"/>
  <c r="M433" i="1"/>
  <c r="Y432" i="1"/>
  <c r="V432" i="1"/>
  <c r="S432" i="1"/>
  <c r="M432" i="1"/>
  <c r="V431" i="1"/>
  <c r="S431" i="1"/>
  <c r="Y431" i="1" s="1"/>
  <c r="M431" i="1"/>
  <c r="Y430" i="1"/>
  <c r="V430" i="1"/>
  <c r="S430" i="1"/>
  <c r="M430" i="1"/>
  <c r="V429" i="1"/>
  <c r="S429" i="1"/>
  <c r="Y429" i="1" s="1"/>
  <c r="M429" i="1"/>
  <c r="Y428" i="1"/>
  <c r="V428" i="1"/>
  <c r="S428" i="1"/>
  <c r="M428" i="1"/>
  <c r="V427" i="1"/>
  <c r="S427" i="1"/>
  <c r="Y427" i="1" s="1"/>
  <c r="M427" i="1"/>
  <c r="Y426" i="1"/>
  <c r="V426" i="1"/>
  <c r="S426" i="1"/>
  <c r="M426" i="1"/>
  <c r="V425" i="1"/>
  <c r="S425" i="1"/>
  <c r="Y425" i="1" s="1"/>
  <c r="M425" i="1"/>
  <c r="Z424" i="1"/>
  <c r="X424" i="1"/>
  <c r="W424" i="1"/>
  <c r="AA423" i="1"/>
  <c r="Z423" i="1"/>
  <c r="Y423" i="1"/>
  <c r="X423" i="1"/>
  <c r="W423" i="1"/>
  <c r="V423" i="1"/>
  <c r="U423" i="1"/>
  <c r="R423" i="1"/>
  <c r="O423" i="1"/>
  <c r="L423" i="1"/>
  <c r="V422" i="1"/>
  <c r="S422" i="1"/>
  <c r="Y422" i="1" s="1"/>
  <c r="M422" i="1"/>
  <c r="V421" i="1"/>
  <c r="S421" i="1"/>
  <c r="Y421" i="1" s="1"/>
  <c r="M421" i="1"/>
  <c r="V420" i="1"/>
  <c r="S420" i="1"/>
  <c r="Y420" i="1" s="1"/>
  <c r="M420" i="1"/>
  <c r="V419" i="1"/>
  <c r="S419" i="1"/>
  <c r="Y419" i="1" s="1"/>
  <c r="M419" i="1"/>
  <c r="V418" i="1"/>
  <c r="S418" i="1"/>
  <c r="Y418" i="1" s="1"/>
  <c r="M418" i="1"/>
  <c r="V417" i="1"/>
  <c r="S417" i="1"/>
  <c r="Y417" i="1" s="1"/>
  <c r="M417" i="1"/>
  <c r="V416" i="1"/>
  <c r="S416" i="1"/>
  <c r="Y416" i="1" s="1"/>
  <c r="M416" i="1"/>
  <c r="V415" i="1"/>
  <c r="S415" i="1"/>
  <c r="Y415" i="1" s="1"/>
  <c r="M415" i="1"/>
  <c r="V414" i="1"/>
  <c r="S414" i="1"/>
  <c r="Y414" i="1" s="1"/>
  <c r="M414" i="1"/>
  <c r="V413" i="1"/>
  <c r="S413" i="1"/>
  <c r="Y413" i="1" s="1"/>
  <c r="M413" i="1"/>
  <c r="V412" i="1"/>
  <c r="S412" i="1"/>
  <c r="Y412" i="1" s="1"/>
  <c r="M412" i="1"/>
  <c r="V411" i="1"/>
  <c r="S411" i="1"/>
  <c r="Y411" i="1" s="1"/>
  <c r="M411" i="1"/>
  <c r="V410" i="1"/>
  <c r="S410" i="1"/>
  <c r="Y410" i="1" s="1"/>
  <c r="M410" i="1"/>
  <c r="V409" i="1"/>
  <c r="S409" i="1"/>
  <c r="Y409" i="1" s="1"/>
  <c r="M409" i="1"/>
  <c r="V408" i="1"/>
  <c r="S408" i="1"/>
  <c r="Y408" i="1" s="1"/>
  <c r="M408" i="1"/>
  <c r="V407" i="1"/>
  <c r="S407" i="1"/>
  <c r="Y407" i="1" s="1"/>
  <c r="M407" i="1"/>
  <c r="V406" i="1"/>
  <c r="S406" i="1"/>
  <c r="Y406" i="1" s="1"/>
  <c r="M406" i="1"/>
  <c r="V405" i="1"/>
  <c r="S405" i="1"/>
  <c r="Y405" i="1" s="1"/>
  <c r="M405" i="1"/>
  <c r="V404" i="1"/>
  <c r="S404" i="1"/>
  <c r="Y404" i="1" s="1"/>
  <c r="M404" i="1"/>
  <c r="V403" i="1"/>
  <c r="S403" i="1"/>
  <c r="Y403" i="1" s="1"/>
  <c r="M403" i="1"/>
  <c r="Z402" i="1"/>
  <c r="X402" i="1"/>
  <c r="W402" i="1"/>
  <c r="AA401" i="1"/>
  <c r="Z401" i="1"/>
  <c r="Y401" i="1"/>
  <c r="X401" i="1"/>
  <c r="W401" i="1"/>
  <c r="V401" i="1"/>
  <c r="U401" i="1"/>
  <c r="R401" i="1"/>
  <c r="O401" i="1"/>
  <c r="L401" i="1"/>
  <c r="Y400" i="1"/>
  <c r="V400" i="1"/>
  <c r="S400" i="1"/>
  <c r="M400" i="1"/>
  <c r="Y399" i="1"/>
  <c r="V399" i="1"/>
  <c r="S399" i="1"/>
  <c r="M399" i="1"/>
  <c r="Y398" i="1"/>
  <c r="V398" i="1"/>
  <c r="S398" i="1"/>
  <c r="M398" i="1"/>
  <c r="Y397" i="1"/>
  <c r="V397" i="1"/>
  <c r="S397" i="1"/>
  <c r="M397" i="1"/>
  <c r="Y396" i="1"/>
  <c r="V396" i="1"/>
  <c r="S396" i="1"/>
  <c r="M396" i="1"/>
  <c r="Y395" i="1"/>
  <c r="V395" i="1"/>
  <c r="S395" i="1"/>
  <c r="M395" i="1"/>
  <c r="Y394" i="1"/>
  <c r="V394" i="1"/>
  <c r="S394" i="1"/>
  <c r="M394" i="1"/>
  <c r="Y393" i="1"/>
  <c r="V393" i="1"/>
  <c r="S393" i="1"/>
  <c r="M393" i="1"/>
  <c r="Y392" i="1"/>
  <c r="V392" i="1"/>
  <c r="S392" i="1"/>
  <c r="M392" i="1"/>
  <c r="Y391" i="1"/>
  <c r="V391" i="1"/>
  <c r="S391" i="1"/>
  <c r="M391" i="1"/>
  <c r="Y390" i="1"/>
  <c r="V390" i="1"/>
  <c r="S390" i="1"/>
  <c r="M390" i="1"/>
  <c r="Y389" i="1"/>
  <c r="V389" i="1"/>
  <c r="S389" i="1"/>
  <c r="M389" i="1"/>
  <c r="Y388" i="1"/>
  <c r="V388" i="1"/>
  <c r="S388" i="1"/>
  <c r="M388" i="1"/>
  <c r="Y387" i="1"/>
  <c r="V387" i="1"/>
  <c r="S387" i="1"/>
  <c r="M387" i="1"/>
  <c r="Y386" i="1"/>
  <c r="V386" i="1"/>
  <c r="S386" i="1"/>
  <c r="M386" i="1"/>
  <c r="Y385" i="1"/>
  <c r="V385" i="1"/>
  <c r="S385" i="1"/>
  <c r="M385" i="1"/>
  <c r="Y384" i="1"/>
  <c r="V384" i="1"/>
  <c r="S384" i="1"/>
  <c r="M384" i="1"/>
  <c r="Y383" i="1"/>
  <c r="V383" i="1"/>
  <c r="S383" i="1"/>
  <c r="M383" i="1"/>
  <c r="Y382" i="1"/>
  <c r="V382" i="1"/>
  <c r="S382" i="1"/>
  <c r="M382" i="1"/>
  <c r="Y381" i="1"/>
  <c r="V381" i="1"/>
  <c r="S381" i="1"/>
  <c r="M381" i="1"/>
  <c r="Z380" i="1"/>
  <c r="X380" i="1"/>
  <c r="W380" i="1"/>
  <c r="Z379" i="1"/>
  <c r="Y379" i="1"/>
  <c r="AA379" i="1" s="1"/>
  <c r="X379" i="1"/>
  <c r="W379" i="1"/>
  <c r="V379" i="1"/>
  <c r="U379" i="1"/>
  <c r="R379" i="1"/>
  <c r="O379" i="1"/>
  <c r="L379" i="1"/>
  <c r="Z378" i="1"/>
  <c r="X378" i="1"/>
  <c r="W378" i="1"/>
  <c r="Z377" i="1"/>
  <c r="AA377" i="1" s="1"/>
  <c r="W377" i="1"/>
  <c r="U377" i="1"/>
  <c r="R377" i="1"/>
  <c r="X377" i="1" s="1"/>
  <c r="O377" i="1"/>
  <c r="L377" i="1"/>
  <c r="Y376" i="1"/>
  <c r="V376" i="1"/>
  <c r="S376" i="1"/>
  <c r="M376" i="1"/>
  <c r="Y375" i="1"/>
  <c r="V375" i="1"/>
  <c r="S375" i="1"/>
  <c r="M375" i="1"/>
  <c r="Z374" i="1"/>
  <c r="X374" i="1"/>
  <c r="W374" i="1"/>
  <c r="Z373" i="1"/>
  <c r="Y373" i="1"/>
  <c r="AA373" i="1" s="1"/>
  <c r="X373" i="1"/>
  <c r="W373" i="1"/>
  <c r="V373" i="1"/>
  <c r="U373" i="1"/>
  <c r="U368" i="1" s="1"/>
  <c r="R373" i="1"/>
  <c r="O373" i="1"/>
  <c r="L373" i="1"/>
  <c r="Y372" i="1"/>
  <c r="V372" i="1"/>
  <c r="S372" i="1"/>
  <c r="M372" i="1"/>
  <c r="Y371" i="1"/>
  <c r="V371" i="1"/>
  <c r="S371" i="1"/>
  <c r="M371" i="1"/>
  <c r="Z370" i="1"/>
  <c r="X370" i="1"/>
  <c r="W370" i="1"/>
  <c r="Z369" i="1"/>
  <c r="Y369" i="1"/>
  <c r="X369" i="1"/>
  <c r="W369" i="1"/>
  <c r="V369" i="1"/>
  <c r="U369" i="1"/>
  <c r="R369" i="1"/>
  <c r="O369" i="1"/>
  <c r="L369" i="1"/>
  <c r="Y368" i="1"/>
  <c r="T368" i="1"/>
  <c r="S368" i="1"/>
  <c r="N368" i="1"/>
  <c r="M368" i="1"/>
  <c r="V367" i="1"/>
  <c r="S367" i="1"/>
  <c r="Y367" i="1" s="1"/>
  <c r="M367" i="1"/>
  <c r="V366" i="1"/>
  <c r="S366" i="1"/>
  <c r="Y366" i="1" s="1"/>
  <c r="M366" i="1"/>
  <c r="V365" i="1"/>
  <c r="S365" i="1"/>
  <c r="Y365" i="1" s="1"/>
  <c r="M365" i="1"/>
  <c r="V364" i="1"/>
  <c r="S364" i="1"/>
  <c r="Y364" i="1" s="1"/>
  <c r="M364" i="1"/>
  <c r="Z363" i="1"/>
  <c r="X363" i="1"/>
  <c r="W363" i="1"/>
  <c r="AA362" i="1"/>
  <c r="Z362" i="1"/>
  <c r="Y362" i="1"/>
  <c r="X362" i="1"/>
  <c r="W362" i="1"/>
  <c r="V362" i="1"/>
  <c r="U362" i="1"/>
  <c r="R362" i="1"/>
  <c r="O362" i="1"/>
  <c r="L362" i="1"/>
  <c r="Y361" i="1"/>
  <c r="V361" i="1"/>
  <c r="S361" i="1"/>
  <c r="M361" i="1"/>
  <c r="Y360" i="1"/>
  <c r="V360" i="1"/>
  <c r="S360" i="1"/>
  <c r="M360" i="1"/>
  <c r="Y359" i="1"/>
  <c r="V359" i="1"/>
  <c r="S359" i="1"/>
  <c r="M359" i="1"/>
  <c r="Y358" i="1"/>
  <c r="V358" i="1"/>
  <c r="S358" i="1"/>
  <c r="M358" i="1"/>
  <c r="Z357" i="1"/>
  <c r="X357" i="1"/>
  <c r="W357" i="1"/>
  <c r="Z356" i="1"/>
  <c r="Y356" i="1"/>
  <c r="AA356" i="1" s="1"/>
  <c r="X356" i="1"/>
  <c r="W356" i="1"/>
  <c r="V356" i="1"/>
  <c r="U356" i="1"/>
  <c r="R356" i="1"/>
  <c r="O356" i="1"/>
  <c r="L356" i="1"/>
  <c r="Y355" i="1"/>
  <c r="V355" i="1"/>
  <c r="S355" i="1"/>
  <c r="M355" i="1"/>
  <c r="Y354" i="1"/>
  <c r="V354" i="1"/>
  <c r="S354" i="1"/>
  <c r="M354" i="1"/>
  <c r="Y353" i="1"/>
  <c r="V353" i="1"/>
  <c r="S353" i="1"/>
  <c r="M353" i="1"/>
  <c r="Y352" i="1"/>
  <c r="V352" i="1"/>
  <c r="S352" i="1"/>
  <c r="M352" i="1"/>
  <c r="Z351" i="1"/>
  <c r="X351" i="1"/>
  <c r="W351" i="1"/>
  <c r="Z350" i="1"/>
  <c r="AA350" i="1" s="1"/>
  <c r="Y350" i="1"/>
  <c r="X350" i="1"/>
  <c r="W350" i="1"/>
  <c r="V350" i="1"/>
  <c r="U350" i="1"/>
  <c r="R350" i="1"/>
  <c r="O350" i="1"/>
  <c r="L350" i="1"/>
  <c r="V349" i="1"/>
  <c r="S349" i="1"/>
  <c r="Y349" i="1" s="1"/>
  <c r="M349" i="1"/>
  <c r="Y348" i="1"/>
  <c r="V348" i="1"/>
  <c r="S348" i="1"/>
  <c r="M348" i="1"/>
  <c r="V347" i="1"/>
  <c r="S347" i="1"/>
  <c r="Y347" i="1" s="1"/>
  <c r="M347" i="1"/>
  <c r="V346" i="1"/>
  <c r="S346" i="1"/>
  <c r="Y346" i="1" s="1"/>
  <c r="M346" i="1"/>
  <c r="Z345" i="1"/>
  <c r="X345" i="1"/>
  <c r="W345" i="1"/>
  <c r="AA344" i="1"/>
  <c r="AA343" i="1" s="1"/>
  <c r="Z344" i="1"/>
  <c r="Y344" i="1"/>
  <c r="Y343" i="1" s="1"/>
  <c r="W344" i="1"/>
  <c r="V344" i="1"/>
  <c r="U344" i="1"/>
  <c r="R344" i="1"/>
  <c r="X344" i="1" s="1"/>
  <c r="O344" i="1"/>
  <c r="L344" i="1"/>
  <c r="Z343" i="1"/>
  <c r="T343" i="1"/>
  <c r="S343" i="1"/>
  <c r="S325" i="1" s="1"/>
  <c r="O343" i="1"/>
  <c r="N343" i="1"/>
  <c r="M343" i="1"/>
  <c r="Y342" i="1"/>
  <c r="V342" i="1"/>
  <c r="S342" i="1"/>
  <c r="M342" i="1"/>
  <c r="Y341" i="1"/>
  <c r="V341" i="1"/>
  <c r="S341" i="1"/>
  <c r="M341" i="1"/>
  <c r="Y340" i="1"/>
  <c r="V340" i="1"/>
  <c r="S340" i="1"/>
  <c r="M340" i="1"/>
  <c r="Y339" i="1"/>
  <c r="V339" i="1"/>
  <c r="S339" i="1"/>
  <c r="M339" i="1"/>
  <c r="Z338" i="1"/>
  <c r="X338" i="1"/>
  <c r="W338" i="1"/>
  <c r="Z337" i="1"/>
  <c r="Z326" i="1" s="1"/>
  <c r="Z325" i="1" s="1"/>
  <c r="Y337" i="1"/>
  <c r="AA337" i="1" s="1"/>
  <c r="W337" i="1"/>
  <c r="V337" i="1"/>
  <c r="U337" i="1"/>
  <c r="R337" i="1"/>
  <c r="X337" i="1" s="1"/>
  <c r="O337" i="1"/>
  <c r="L337" i="1"/>
  <c r="Y336" i="1"/>
  <c r="V336" i="1"/>
  <c r="S336" i="1"/>
  <c r="M336" i="1"/>
  <c r="V335" i="1"/>
  <c r="S335" i="1"/>
  <c r="Y335" i="1" s="1"/>
  <c r="M335" i="1"/>
  <c r="V334" i="1"/>
  <c r="S334" i="1"/>
  <c r="Y334" i="1" s="1"/>
  <c r="M334" i="1"/>
  <c r="V333" i="1"/>
  <c r="S333" i="1"/>
  <c r="Y333" i="1" s="1"/>
  <c r="M333" i="1"/>
  <c r="V332" i="1"/>
  <c r="S332" i="1"/>
  <c r="Y332" i="1" s="1"/>
  <c r="M332" i="1"/>
  <c r="V331" i="1"/>
  <c r="S331" i="1"/>
  <c r="Y331" i="1" s="1"/>
  <c r="M331" i="1"/>
  <c r="V330" i="1"/>
  <c r="S330" i="1"/>
  <c r="Y330" i="1" s="1"/>
  <c r="M330" i="1"/>
  <c r="V329" i="1"/>
  <c r="S329" i="1"/>
  <c r="Y329" i="1" s="1"/>
  <c r="M329" i="1"/>
  <c r="Z328" i="1"/>
  <c r="X328" i="1"/>
  <c r="W328" i="1"/>
  <c r="AA327" i="1"/>
  <c r="Z327" i="1"/>
  <c r="Y327" i="1"/>
  <c r="W327" i="1"/>
  <c r="V327" i="1"/>
  <c r="U327" i="1"/>
  <c r="R327" i="1"/>
  <c r="X327" i="1" s="1"/>
  <c r="O327" i="1"/>
  <c r="L327" i="1"/>
  <c r="Y326" i="1"/>
  <c r="U326" i="1"/>
  <c r="T326" i="1"/>
  <c r="S326" i="1"/>
  <c r="O326" i="1"/>
  <c r="O325" i="1" s="1"/>
  <c r="N326" i="1"/>
  <c r="M326" i="1"/>
  <c r="M325" i="1" s="1"/>
  <c r="T325" i="1"/>
  <c r="N325" i="1"/>
  <c r="Y324" i="1"/>
  <c r="V324" i="1"/>
  <c r="S324" i="1"/>
  <c r="M324" i="1"/>
  <c r="Y323" i="1"/>
  <c r="V323" i="1"/>
  <c r="S323" i="1"/>
  <c r="M323" i="1"/>
  <c r="Y322" i="1"/>
  <c r="V322" i="1"/>
  <c r="S322" i="1"/>
  <c r="M322" i="1"/>
  <c r="Y321" i="1"/>
  <c r="V321" i="1"/>
  <c r="S321" i="1"/>
  <c r="M321" i="1"/>
  <c r="Y320" i="1"/>
  <c r="V320" i="1"/>
  <c r="S320" i="1"/>
  <c r="M320" i="1"/>
  <c r="Y319" i="1"/>
  <c r="V319" i="1"/>
  <c r="S319" i="1"/>
  <c r="M319" i="1"/>
  <c r="Y318" i="1"/>
  <c r="V318" i="1"/>
  <c r="S318" i="1"/>
  <c r="M318" i="1"/>
  <c r="Y317" i="1"/>
  <c r="V317" i="1"/>
  <c r="S317" i="1"/>
  <c r="M317" i="1"/>
  <c r="Z316" i="1"/>
  <c r="X316" i="1"/>
  <c r="W316" i="1"/>
  <c r="Z315" i="1"/>
  <c r="AA315" i="1" s="1"/>
  <c r="Y315" i="1"/>
  <c r="W315" i="1"/>
  <c r="V315" i="1"/>
  <c r="U315" i="1"/>
  <c r="R315" i="1"/>
  <c r="X315" i="1" s="1"/>
  <c r="O315" i="1"/>
  <c r="L315" i="1"/>
  <c r="V314" i="1"/>
  <c r="S314" i="1"/>
  <c r="Y314" i="1" s="1"/>
  <c r="M314" i="1"/>
  <c r="V313" i="1"/>
  <c r="S313" i="1"/>
  <c r="Y313" i="1" s="1"/>
  <c r="M313" i="1"/>
  <c r="V312" i="1"/>
  <c r="S312" i="1"/>
  <c r="Y312" i="1" s="1"/>
  <c r="M312" i="1"/>
  <c r="V311" i="1"/>
  <c r="S311" i="1"/>
  <c r="Y311" i="1" s="1"/>
  <c r="M311" i="1"/>
  <c r="Z310" i="1"/>
  <c r="X310" i="1"/>
  <c r="W310" i="1"/>
  <c r="AA309" i="1"/>
  <c r="Z309" i="1"/>
  <c r="Y309" i="1"/>
  <c r="X309" i="1"/>
  <c r="W309" i="1"/>
  <c r="V309" i="1"/>
  <c r="U309" i="1"/>
  <c r="R309" i="1"/>
  <c r="O309" i="1"/>
  <c r="O298" i="1" s="1"/>
  <c r="L309" i="1"/>
  <c r="V308" i="1"/>
  <c r="S308" i="1"/>
  <c r="Y308" i="1" s="1"/>
  <c r="M308" i="1"/>
  <c r="V307" i="1"/>
  <c r="S307" i="1"/>
  <c r="Y307" i="1" s="1"/>
  <c r="M307" i="1"/>
  <c r="V306" i="1"/>
  <c r="S306" i="1"/>
  <c r="Y306" i="1" s="1"/>
  <c r="M306" i="1"/>
  <c r="V305" i="1"/>
  <c r="S305" i="1"/>
  <c r="Y305" i="1" s="1"/>
  <c r="M305" i="1"/>
  <c r="Z304" i="1"/>
  <c r="X304" i="1"/>
  <c r="W304" i="1"/>
  <c r="Z303" i="1"/>
  <c r="Y303" i="1"/>
  <c r="AA303" i="1" s="1"/>
  <c r="X303" i="1"/>
  <c r="W303" i="1"/>
  <c r="V303" i="1"/>
  <c r="U303" i="1"/>
  <c r="R303" i="1"/>
  <c r="O303" i="1"/>
  <c r="L303" i="1"/>
  <c r="V302" i="1"/>
  <c r="S302" i="1"/>
  <c r="Y302" i="1" s="1"/>
  <c r="M302" i="1"/>
  <c r="Y301" i="1"/>
  <c r="V301" i="1"/>
  <c r="S301" i="1"/>
  <c r="M301" i="1"/>
  <c r="Z300" i="1"/>
  <c r="X300" i="1"/>
  <c r="W300" i="1"/>
  <c r="Z299" i="1"/>
  <c r="Z298" i="1" s="1"/>
  <c r="Z286" i="1" s="1"/>
  <c r="Y299" i="1"/>
  <c r="AA299" i="1" s="1"/>
  <c r="AA298" i="1" s="1"/>
  <c r="W299" i="1"/>
  <c r="V299" i="1"/>
  <c r="U299" i="1"/>
  <c r="U298" i="1" s="1"/>
  <c r="R299" i="1"/>
  <c r="X299" i="1" s="1"/>
  <c r="O299" i="1"/>
  <c r="L299" i="1"/>
  <c r="T298" i="1"/>
  <c r="T286" i="1" s="1"/>
  <c r="S298" i="1"/>
  <c r="N298" i="1"/>
  <c r="M298" i="1"/>
  <c r="M286" i="1" s="1"/>
  <c r="V297" i="1"/>
  <c r="S297" i="1"/>
  <c r="Y297" i="1" s="1"/>
  <c r="M297" i="1"/>
  <c r="V296" i="1"/>
  <c r="S296" i="1"/>
  <c r="Y296" i="1" s="1"/>
  <c r="M296" i="1"/>
  <c r="V295" i="1"/>
  <c r="S295" i="1"/>
  <c r="Y295" i="1" s="1"/>
  <c r="M295" i="1"/>
  <c r="V294" i="1"/>
  <c r="S294" i="1"/>
  <c r="Y294" i="1" s="1"/>
  <c r="M294" i="1"/>
  <c r="V293" i="1"/>
  <c r="S293" i="1"/>
  <c r="Y293" i="1" s="1"/>
  <c r="M293" i="1"/>
  <c r="V292" i="1"/>
  <c r="S292" i="1"/>
  <c r="Y292" i="1" s="1"/>
  <c r="M292" i="1"/>
  <c r="V291" i="1"/>
  <c r="S291" i="1"/>
  <c r="Y291" i="1" s="1"/>
  <c r="M291" i="1"/>
  <c r="V290" i="1"/>
  <c r="S290" i="1"/>
  <c r="Y290" i="1" s="1"/>
  <c r="M290" i="1"/>
  <c r="Z289" i="1"/>
  <c r="X289" i="1"/>
  <c r="W289" i="1"/>
  <c r="AA288" i="1"/>
  <c r="AA287" i="1" s="1"/>
  <c r="Z288" i="1"/>
  <c r="Y288" i="1"/>
  <c r="X288" i="1"/>
  <c r="W288" i="1"/>
  <c r="V288" i="1"/>
  <c r="U288" i="1"/>
  <c r="U287" i="1" s="1"/>
  <c r="R288" i="1"/>
  <c r="O288" i="1"/>
  <c r="O287" i="1" s="1"/>
  <c r="O286" i="1" s="1"/>
  <c r="L288" i="1"/>
  <c r="Z287" i="1"/>
  <c r="Y287" i="1"/>
  <c r="T287" i="1"/>
  <c r="S287" i="1"/>
  <c r="N287" i="1"/>
  <c r="M287" i="1"/>
  <c r="S286" i="1"/>
  <c r="N286" i="1"/>
  <c r="Y285" i="1"/>
  <c r="V285" i="1"/>
  <c r="S285" i="1"/>
  <c r="M285" i="1"/>
  <c r="Y284" i="1"/>
  <c r="V284" i="1"/>
  <c r="S284" i="1"/>
  <c r="M284" i="1"/>
  <c r="Y283" i="1"/>
  <c r="V283" i="1"/>
  <c r="S283" i="1"/>
  <c r="M283" i="1"/>
  <c r="Y282" i="1"/>
  <c r="V282" i="1"/>
  <c r="S282" i="1"/>
  <c r="M282" i="1"/>
  <c r="Y281" i="1"/>
  <c r="V281" i="1"/>
  <c r="S281" i="1"/>
  <c r="M281" i="1"/>
  <c r="Y280" i="1"/>
  <c r="V280" i="1"/>
  <c r="S280" i="1"/>
  <c r="M280" i="1"/>
  <c r="Y279" i="1"/>
  <c r="V279" i="1"/>
  <c r="S279" i="1"/>
  <c r="M279" i="1"/>
  <c r="Y278" i="1"/>
  <c r="V278" i="1"/>
  <c r="S278" i="1"/>
  <c r="M278" i="1"/>
  <c r="Z277" i="1"/>
  <c r="X277" i="1"/>
  <c r="W277" i="1"/>
  <c r="Z276" i="1"/>
  <c r="AA276" i="1" s="1"/>
  <c r="Y276" i="1"/>
  <c r="W276" i="1"/>
  <c r="V276" i="1"/>
  <c r="U276" i="1"/>
  <c r="R276" i="1"/>
  <c r="X276" i="1" s="1"/>
  <c r="O276" i="1"/>
  <c r="L276" i="1"/>
  <c r="V275" i="1"/>
  <c r="S275" i="1"/>
  <c r="Y275" i="1" s="1"/>
  <c r="M275" i="1"/>
  <c r="V274" i="1"/>
  <c r="S274" i="1"/>
  <c r="Y274" i="1" s="1"/>
  <c r="M274" i="1"/>
  <c r="V273" i="1"/>
  <c r="S273" i="1"/>
  <c r="Y273" i="1" s="1"/>
  <c r="M273" i="1"/>
  <c r="V272" i="1"/>
  <c r="S272" i="1"/>
  <c r="Y272" i="1" s="1"/>
  <c r="M272" i="1"/>
  <c r="V271" i="1"/>
  <c r="S271" i="1"/>
  <c r="Y271" i="1" s="1"/>
  <c r="M271" i="1"/>
  <c r="V270" i="1"/>
  <c r="S270" i="1"/>
  <c r="Y270" i="1" s="1"/>
  <c r="M270" i="1"/>
  <c r="V269" i="1"/>
  <c r="S269" i="1"/>
  <c r="Y269" i="1" s="1"/>
  <c r="M269" i="1"/>
  <c r="V268" i="1"/>
  <c r="S268" i="1"/>
  <c r="Y268" i="1" s="1"/>
  <c r="M268" i="1"/>
  <c r="Z267" i="1"/>
  <c r="X267" i="1"/>
  <c r="W267" i="1"/>
  <c r="AA266" i="1"/>
  <c r="Z266" i="1"/>
  <c r="Y266" i="1"/>
  <c r="W266" i="1"/>
  <c r="V266" i="1"/>
  <c r="U266" i="1"/>
  <c r="R266" i="1"/>
  <c r="X266" i="1" s="1"/>
  <c r="O266" i="1"/>
  <c r="L266" i="1"/>
  <c r="V265" i="1"/>
  <c r="S265" i="1"/>
  <c r="Y265" i="1" s="1"/>
  <c r="M265" i="1"/>
  <c r="V264" i="1"/>
  <c r="S264" i="1"/>
  <c r="Y264" i="1" s="1"/>
  <c r="M264" i="1"/>
  <c r="V263" i="1"/>
  <c r="S263" i="1"/>
  <c r="Y263" i="1" s="1"/>
  <c r="M263" i="1"/>
  <c r="V262" i="1"/>
  <c r="S262" i="1"/>
  <c r="Y262" i="1" s="1"/>
  <c r="M262" i="1"/>
  <c r="V261" i="1"/>
  <c r="S261" i="1"/>
  <c r="Y261" i="1" s="1"/>
  <c r="M261" i="1"/>
  <c r="V260" i="1"/>
  <c r="S260" i="1"/>
  <c r="Y260" i="1" s="1"/>
  <c r="M260" i="1"/>
  <c r="V259" i="1"/>
  <c r="S259" i="1"/>
  <c r="Y259" i="1" s="1"/>
  <c r="M259" i="1"/>
  <c r="V258" i="1"/>
  <c r="S258" i="1"/>
  <c r="Y258" i="1" s="1"/>
  <c r="M258" i="1"/>
  <c r="Z257" i="1"/>
  <c r="X257" i="1"/>
  <c r="W257" i="1"/>
  <c r="Z256" i="1"/>
  <c r="Y256" i="1"/>
  <c r="AA256" i="1" s="1"/>
  <c r="W256" i="1"/>
  <c r="V256" i="1"/>
  <c r="U256" i="1"/>
  <c r="R256" i="1"/>
  <c r="X256" i="1" s="1"/>
  <c r="O256" i="1"/>
  <c r="L256" i="1"/>
  <c r="Y255" i="1"/>
  <c r="V255" i="1"/>
  <c r="S255" i="1"/>
  <c r="M255" i="1"/>
  <c r="Y254" i="1"/>
  <c r="V254" i="1"/>
  <c r="S254" i="1"/>
  <c r="M254" i="1"/>
  <c r="Y253" i="1"/>
  <c r="V253" i="1"/>
  <c r="S253" i="1"/>
  <c r="M253" i="1"/>
  <c r="Y252" i="1"/>
  <c r="V252" i="1"/>
  <c r="S252" i="1"/>
  <c r="M252" i="1"/>
  <c r="Y251" i="1"/>
  <c r="V251" i="1"/>
  <c r="S251" i="1"/>
  <c r="M251" i="1"/>
  <c r="Y250" i="1"/>
  <c r="V250" i="1"/>
  <c r="S250" i="1"/>
  <c r="M250" i="1"/>
  <c r="Y249" i="1"/>
  <c r="V249" i="1"/>
  <c r="S249" i="1"/>
  <c r="M249" i="1"/>
  <c r="Y248" i="1"/>
  <c r="V248" i="1"/>
  <c r="S248" i="1"/>
  <c r="M248" i="1"/>
  <c r="Z247" i="1"/>
  <c r="X247" i="1"/>
  <c r="W247" i="1"/>
  <c r="Z246" i="1"/>
  <c r="Y246" i="1"/>
  <c r="AA246" i="1" s="1"/>
  <c r="X246" i="1"/>
  <c r="W246" i="1"/>
  <c r="V246" i="1"/>
  <c r="U246" i="1"/>
  <c r="R246" i="1"/>
  <c r="O246" i="1"/>
  <c r="L246" i="1"/>
  <c r="Y245" i="1"/>
  <c r="V245" i="1"/>
  <c r="S245" i="1"/>
  <c r="M245" i="1"/>
  <c r="Y244" i="1"/>
  <c r="V244" i="1"/>
  <c r="S244" i="1"/>
  <c r="M244" i="1"/>
  <c r="Y243" i="1"/>
  <c r="V243" i="1"/>
  <c r="S243" i="1"/>
  <c r="M243" i="1"/>
  <c r="Y242" i="1"/>
  <c r="V242" i="1"/>
  <c r="S242" i="1"/>
  <c r="M242" i="1"/>
  <c r="Y241" i="1"/>
  <c r="V241" i="1"/>
  <c r="S241" i="1"/>
  <c r="M241" i="1"/>
  <c r="Y240" i="1"/>
  <c r="V240" i="1"/>
  <c r="S240" i="1"/>
  <c r="M240" i="1"/>
  <c r="Y239" i="1"/>
  <c r="V239" i="1"/>
  <c r="S239" i="1"/>
  <c r="M239" i="1"/>
  <c r="Y238" i="1"/>
  <c r="V238" i="1"/>
  <c r="S238" i="1"/>
  <c r="M238" i="1"/>
  <c r="Z237" i="1"/>
  <c r="X237" i="1"/>
  <c r="W237" i="1"/>
  <c r="Z236" i="1"/>
  <c r="AA236" i="1" s="1"/>
  <c r="Y236" i="1"/>
  <c r="W236" i="1"/>
  <c r="V236" i="1"/>
  <c r="U236" i="1"/>
  <c r="R236" i="1"/>
  <c r="X236" i="1" s="1"/>
  <c r="O236" i="1"/>
  <c r="L236" i="1"/>
  <c r="V235" i="1"/>
  <c r="S235" i="1"/>
  <c r="Y235" i="1" s="1"/>
  <c r="M235" i="1"/>
  <c r="V234" i="1"/>
  <c r="S234" i="1"/>
  <c r="Y234" i="1" s="1"/>
  <c r="M234" i="1"/>
  <c r="V233" i="1"/>
  <c r="S233" i="1"/>
  <c r="Y233" i="1" s="1"/>
  <c r="M233" i="1"/>
  <c r="V232" i="1"/>
  <c r="S232" i="1"/>
  <c r="Y232" i="1" s="1"/>
  <c r="M232" i="1"/>
  <c r="V231" i="1"/>
  <c r="S231" i="1"/>
  <c r="Y231" i="1" s="1"/>
  <c r="M231" i="1"/>
  <c r="V230" i="1"/>
  <c r="S230" i="1"/>
  <c r="Y230" i="1" s="1"/>
  <c r="M230" i="1"/>
  <c r="V229" i="1"/>
  <c r="S229" i="1"/>
  <c r="Y229" i="1" s="1"/>
  <c r="M229" i="1"/>
  <c r="V228" i="1"/>
  <c r="S228" i="1"/>
  <c r="Y228" i="1" s="1"/>
  <c r="M228" i="1"/>
  <c r="Z227" i="1"/>
  <c r="X227" i="1"/>
  <c r="W227" i="1"/>
  <c r="AA226" i="1"/>
  <c r="Z226" i="1"/>
  <c r="Y226" i="1"/>
  <c r="X226" i="1"/>
  <c r="W226" i="1"/>
  <c r="V226" i="1"/>
  <c r="U226" i="1"/>
  <c r="R226" i="1"/>
  <c r="O226" i="1"/>
  <c r="L226" i="1"/>
  <c r="V225" i="1"/>
  <c r="S225" i="1"/>
  <c r="Y225" i="1" s="1"/>
  <c r="M225" i="1"/>
  <c r="V224" i="1"/>
  <c r="S224" i="1"/>
  <c r="Y224" i="1" s="1"/>
  <c r="M224" i="1"/>
  <c r="V223" i="1"/>
  <c r="S223" i="1"/>
  <c r="Y223" i="1" s="1"/>
  <c r="M223" i="1"/>
  <c r="V222" i="1"/>
  <c r="S222" i="1"/>
  <c r="Y222" i="1" s="1"/>
  <c r="M222" i="1"/>
  <c r="V221" i="1"/>
  <c r="S221" i="1"/>
  <c r="Y221" i="1" s="1"/>
  <c r="M221" i="1"/>
  <c r="V220" i="1"/>
  <c r="S220" i="1"/>
  <c r="Y220" i="1" s="1"/>
  <c r="M220" i="1"/>
  <c r="V219" i="1"/>
  <c r="S219" i="1"/>
  <c r="Y219" i="1" s="1"/>
  <c r="M219" i="1"/>
  <c r="V218" i="1"/>
  <c r="S218" i="1"/>
  <c r="Y218" i="1" s="1"/>
  <c r="M218" i="1"/>
  <c r="Z217" i="1"/>
  <c r="X217" i="1"/>
  <c r="W217" i="1"/>
  <c r="Z216" i="1"/>
  <c r="Y216" i="1"/>
  <c r="AA216" i="1" s="1"/>
  <c r="X216" i="1"/>
  <c r="W216" i="1"/>
  <c r="V216" i="1"/>
  <c r="U216" i="1"/>
  <c r="R216" i="1"/>
  <c r="O216" i="1"/>
  <c r="L216" i="1"/>
  <c r="Y215" i="1"/>
  <c r="V215" i="1"/>
  <c r="S215" i="1"/>
  <c r="M215" i="1"/>
  <c r="Y214" i="1"/>
  <c r="V214" i="1"/>
  <c r="S214" i="1"/>
  <c r="M214" i="1"/>
  <c r="Y213" i="1"/>
  <c r="V213" i="1"/>
  <c r="S213" i="1"/>
  <c r="M213" i="1"/>
  <c r="Y212" i="1"/>
  <c r="V212" i="1"/>
  <c r="S212" i="1"/>
  <c r="M212" i="1"/>
  <c r="Y211" i="1"/>
  <c r="V211" i="1"/>
  <c r="S211" i="1"/>
  <c r="M211" i="1"/>
  <c r="Y210" i="1"/>
  <c r="V210" i="1"/>
  <c r="S210" i="1"/>
  <c r="M210" i="1"/>
  <c r="Y209" i="1"/>
  <c r="V209" i="1"/>
  <c r="S209" i="1"/>
  <c r="M209" i="1"/>
  <c r="Y208" i="1"/>
  <c r="V208" i="1"/>
  <c r="S208" i="1"/>
  <c r="M208" i="1"/>
  <c r="Z207" i="1"/>
  <c r="X207" i="1"/>
  <c r="W207" i="1"/>
  <c r="Z206" i="1"/>
  <c r="Y206" i="1"/>
  <c r="AA206" i="1" s="1"/>
  <c r="W206" i="1"/>
  <c r="V206" i="1"/>
  <c r="U206" i="1"/>
  <c r="R206" i="1"/>
  <c r="X206" i="1" s="1"/>
  <c r="O206" i="1"/>
  <c r="L206" i="1"/>
  <c r="Y205" i="1"/>
  <c r="V205" i="1"/>
  <c r="S205" i="1"/>
  <c r="M205" i="1"/>
  <c r="Y204" i="1"/>
  <c r="V204" i="1"/>
  <c r="S204" i="1"/>
  <c r="M204" i="1"/>
  <c r="Y203" i="1"/>
  <c r="V203" i="1"/>
  <c r="S203" i="1"/>
  <c r="M203" i="1"/>
  <c r="Y202" i="1"/>
  <c r="V202" i="1"/>
  <c r="S202" i="1"/>
  <c r="M202" i="1"/>
  <c r="Z201" i="1"/>
  <c r="X201" i="1"/>
  <c r="W201" i="1"/>
  <c r="Z200" i="1"/>
  <c r="Z181" i="1" s="1"/>
  <c r="Y200" i="1"/>
  <c r="W200" i="1"/>
  <c r="V200" i="1"/>
  <c r="U200" i="1"/>
  <c r="R200" i="1"/>
  <c r="X200" i="1" s="1"/>
  <c r="O200" i="1"/>
  <c r="L200" i="1"/>
  <c r="V199" i="1"/>
  <c r="S199" i="1"/>
  <c r="Y199" i="1" s="1"/>
  <c r="M199" i="1"/>
  <c r="V198" i="1"/>
  <c r="S198" i="1"/>
  <c r="Y198" i="1" s="1"/>
  <c r="M198" i="1"/>
  <c r="V197" i="1"/>
  <c r="S197" i="1"/>
  <c r="Y197" i="1" s="1"/>
  <c r="M197" i="1"/>
  <c r="V196" i="1"/>
  <c r="S196" i="1"/>
  <c r="Y196" i="1" s="1"/>
  <c r="M196" i="1"/>
  <c r="V195" i="1"/>
  <c r="S195" i="1"/>
  <c r="Y195" i="1" s="1"/>
  <c r="M195" i="1"/>
  <c r="V194" i="1"/>
  <c r="S194" i="1"/>
  <c r="Y194" i="1" s="1"/>
  <c r="M194" i="1"/>
  <c r="Z193" i="1"/>
  <c r="X193" i="1"/>
  <c r="W193" i="1"/>
  <c r="AA192" i="1"/>
  <c r="Z192" i="1"/>
  <c r="Y192" i="1"/>
  <c r="W192" i="1"/>
  <c r="V192" i="1"/>
  <c r="U192" i="1"/>
  <c r="R192" i="1"/>
  <c r="X192" i="1" s="1"/>
  <c r="O192" i="1"/>
  <c r="O181" i="1" s="1"/>
  <c r="L192" i="1"/>
  <c r="V191" i="1"/>
  <c r="S191" i="1"/>
  <c r="Y191" i="1" s="1"/>
  <c r="M191" i="1"/>
  <c r="V190" i="1"/>
  <c r="S190" i="1"/>
  <c r="Y190" i="1" s="1"/>
  <c r="M190" i="1"/>
  <c r="V189" i="1"/>
  <c r="S189" i="1"/>
  <c r="Y189" i="1" s="1"/>
  <c r="M189" i="1"/>
  <c r="V188" i="1"/>
  <c r="S188" i="1"/>
  <c r="Y188" i="1" s="1"/>
  <c r="M188" i="1"/>
  <c r="V187" i="1"/>
  <c r="S187" i="1"/>
  <c r="Y187" i="1" s="1"/>
  <c r="M187" i="1"/>
  <c r="V186" i="1"/>
  <c r="S186" i="1"/>
  <c r="Y186" i="1" s="1"/>
  <c r="M186" i="1"/>
  <c r="V185" i="1"/>
  <c r="S185" i="1"/>
  <c r="Y185" i="1" s="1"/>
  <c r="M185" i="1"/>
  <c r="V184" i="1"/>
  <c r="S184" i="1"/>
  <c r="Y184" i="1" s="1"/>
  <c r="M184" i="1"/>
  <c r="Z183" i="1"/>
  <c r="X183" i="1"/>
  <c r="W183" i="1"/>
  <c r="Z182" i="1"/>
  <c r="Y182" i="1"/>
  <c r="AA182" i="1" s="1"/>
  <c r="W182" i="1"/>
  <c r="V182" i="1"/>
  <c r="U182" i="1"/>
  <c r="R182" i="1"/>
  <c r="X182" i="1" s="1"/>
  <c r="O182" i="1"/>
  <c r="L182" i="1"/>
  <c r="T181" i="1"/>
  <c r="S181" i="1"/>
  <c r="N181" i="1"/>
  <c r="M181" i="1"/>
  <c r="Y180" i="1"/>
  <c r="V180" i="1"/>
  <c r="S180" i="1"/>
  <c r="M180" i="1"/>
  <c r="Y179" i="1"/>
  <c r="V179" i="1"/>
  <c r="S179" i="1"/>
  <c r="M179" i="1"/>
  <c r="Z178" i="1"/>
  <c r="X178" i="1"/>
  <c r="W178" i="1"/>
  <c r="Z177" i="1"/>
  <c r="Y177" i="1"/>
  <c r="W177" i="1"/>
  <c r="V177" i="1"/>
  <c r="U177" i="1"/>
  <c r="R177" i="1"/>
  <c r="X177" i="1" s="1"/>
  <c r="O177" i="1"/>
  <c r="L177" i="1"/>
  <c r="V176" i="1"/>
  <c r="S176" i="1"/>
  <c r="Y176" i="1" s="1"/>
  <c r="M176" i="1"/>
  <c r="V175" i="1"/>
  <c r="S175" i="1"/>
  <c r="Y175" i="1" s="1"/>
  <c r="M175" i="1"/>
  <c r="Z174" i="1"/>
  <c r="X174" i="1"/>
  <c r="W174" i="1"/>
  <c r="AA173" i="1"/>
  <c r="Z173" i="1"/>
  <c r="Y173" i="1"/>
  <c r="W173" i="1"/>
  <c r="V173" i="1"/>
  <c r="U173" i="1"/>
  <c r="R173" i="1"/>
  <c r="X173" i="1" s="1"/>
  <c r="O173" i="1"/>
  <c r="L173" i="1"/>
  <c r="V172" i="1"/>
  <c r="S172" i="1"/>
  <c r="Y172" i="1" s="1"/>
  <c r="M172" i="1"/>
  <c r="V171" i="1"/>
  <c r="S171" i="1"/>
  <c r="Y171" i="1" s="1"/>
  <c r="M171" i="1"/>
  <c r="Z170" i="1"/>
  <c r="X170" i="1"/>
  <c r="W170" i="1"/>
  <c r="Z169" i="1"/>
  <c r="Y169" i="1"/>
  <c r="AA169" i="1" s="1"/>
  <c r="W169" i="1"/>
  <c r="V169" i="1"/>
  <c r="U169" i="1"/>
  <c r="R169" i="1"/>
  <c r="X169" i="1" s="1"/>
  <c r="O169" i="1"/>
  <c r="L169" i="1"/>
  <c r="Y168" i="1"/>
  <c r="V168" i="1"/>
  <c r="S168" i="1"/>
  <c r="M168" i="1"/>
  <c r="V167" i="1"/>
  <c r="S167" i="1"/>
  <c r="Y167" i="1" s="1"/>
  <c r="M167" i="1"/>
  <c r="Z166" i="1"/>
  <c r="X166" i="1"/>
  <c r="W166" i="1"/>
  <c r="Z165" i="1"/>
  <c r="Y165" i="1"/>
  <c r="AA165" i="1" s="1"/>
  <c r="X165" i="1"/>
  <c r="W165" i="1"/>
  <c r="V165" i="1"/>
  <c r="U165" i="1"/>
  <c r="R165" i="1"/>
  <c r="O165" i="1"/>
  <c r="L165" i="1"/>
  <c r="Y164" i="1"/>
  <c r="V164" i="1"/>
  <c r="S164" i="1"/>
  <c r="M164" i="1"/>
  <c r="Y163" i="1"/>
  <c r="V163" i="1"/>
  <c r="S163" i="1"/>
  <c r="M163" i="1"/>
  <c r="Z162" i="1"/>
  <c r="X162" i="1"/>
  <c r="W162" i="1"/>
  <c r="AA161" i="1"/>
  <c r="Z161" i="1"/>
  <c r="Y161" i="1"/>
  <c r="X161" i="1"/>
  <c r="W161" i="1"/>
  <c r="V161" i="1"/>
  <c r="U161" i="1"/>
  <c r="R161" i="1"/>
  <c r="O161" i="1"/>
  <c r="L161" i="1"/>
  <c r="V160" i="1"/>
  <c r="S160" i="1"/>
  <c r="Y160" i="1" s="1"/>
  <c r="M160" i="1"/>
  <c r="V159" i="1"/>
  <c r="S159" i="1"/>
  <c r="Y159" i="1" s="1"/>
  <c r="M159" i="1"/>
  <c r="Z158" i="1"/>
  <c r="X158" i="1"/>
  <c r="W158" i="1"/>
  <c r="AA157" i="1"/>
  <c r="Z157" i="1"/>
  <c r="Y157" i="1"/>
  <c r="X157" i="1"/>
  <c r="W157" i="1"/>
  <c r="V157" i="1"/>
  <c r="U157" i="1"/>
  <c r="R157" i="1"/>
  <c r="O157" i="1"/>
  <c r="L157" i="1"/>
  <c r="V156" i="1"/>
  <c r="S156" i="1"/>
  <c r="Y156" i="1" s="1"/>
  <c r="M156" i="1"/>
  <c r="V155" i="1"/>
  <c r="S155" i="1"/>
  <c r="Y155" i="1" s="1"/>
  <c r="M155" i="1"/>
  <c r="Z154" i="1"/>
  <c r="X154" i="1"/>
  <c r="W154" i="1"/>
  <c r="Z153" i="1"/>
  <c r="Y153" i="1"/>
  <c r="AA153" i="1" s="1"/>
  <c r="X153" i="1"/>
  <c r="W153" i="1"/>
  <c r="V153" i="1"/>
  <c r="U153" i="1"/>
  <c r="R153" i="1"/>
  <c r="O153" i="1"/>
  <c r="L153" i="1"/>
  <c r="V152" i="1"/>
  <c r="S152" i="1"/>
  <c r="Y152" i="1" s="1"/>
  <c r="M152" i="1"/>
  <c r="Y151" i="1"/>
  <c r="V151" i="1"/>
  <c r="S151" i="1"/>
  <c r="M151" i="1"/>
  <c r="Z150" i="1"/>
  <c r="X150" i="1"/>
  <c r="W150" i="1"/>
  <c r="Z149" i="1"/>
  <c r="Y149" i="1"/>
  <c r="AA149" i="1" s="1"/>
  <c r="W149" i="1"/>
  <c r="V149" i="1"/>
  <c r="U149" i="1"/>
  <c r="U136" i="1" s="1"/>
  <c r="R149" i="1"/>
  <c r="X149" i="1" s="1"/>
  <c r="O149" i="1"/>
  <c r="L149" i="1"/>
  <c r="Y148" i="1"/>
  <c r="V148" i="1"/>
  <c r="S148" i="1"/>
  <c r="M148" i="1"/>
  <c r="Y147" i="1"/>
  <c r="V147" i="1"/>
  <c r="S147" i="1"/>
  <c r="M147" i="1"/>
  <c r="Z146" i="1"/>
  <c r="X146" i="1"/>
  <c r="W146" i="1"/>
  <c r="Z145" i="1"/>
  <c r="Y145" i="1"/>
  <c r="AA145" i="1" s="1"/>
  <c r="W145" i="1"/>
  <c r="V145" i="1"/>
  <c r="U145" i="1"/>
  <c r="R145" i="1"/>
  <c r="X145" i="1" s="1"/>
  <c r="O145" i="1"/>
  <c r="L145" i="1"/>
  <c r="V144" i="1"/>
  <c r="S144" i="1"/>
  <c r="Y144" i="1" s="1"/>
  <c r="M144" i="1"/>
  <c r="V143" i="1"/>
  <c r="S143" i="1"/>
  <c r="Y143" i="1" s="1"/>
  <c r="M143" i="1"/>
  <c r="Z142" i="1"/>
  <c r="X142" i="1"/>
  <c r="W142" i="1"/>
  <c r="AA141" i="1"/>
  <c r="Z141" i="1"/>
  <c r="Y141" i="1"/>
  <c r="W141" i="1"/>
  <c r="V141" i="1"/>
  <c r="U141" i="1"/>
  <c r="R141" i="1"/>
  <c r="X141" i="1" s="1"/>
  <c r="O141" i="1"/>
  <c r="O136" i="1" s="1"/>
  <c r="L141" i="1"/>
  <c r="V140" i="1"/>
  <c r="S140" i="1"/>
  <c r="Y140" i="1" s="1"/>
  <c r="M140" i="1"/>
  <c r="V139" i="1"/>
  <c r="S139" i="1"/>
  <c r="Y139" i="1" s="1"/>
  <c r="M139" i="1"/>
  <c r="Z138" i="1"/>
  <c r="X138" i="1"/>
  <c r="W138" i="1"/>
  <c r="Z137" i="1"/>
  <c r="Y137" i="1"/>
  <c r="AA137" i="1" s="1"/>
  <c r="W137" i="1"/>
  <c r="V137" i="1"/>
  <c r="U137" i="1"/>
  <c r="R137" i="1"/>
  <c r="X137" i="1" s="1"/>
  <c r="O137" i="1"/>
  <c r="L137" i="1"/>
  <c r="T136" i="1"/>
  <c r="S136" i="1"/>
  <c r="N136" i="1"/>
  <c r="M136" i="1"/>
  <c r="Y135" i="1"/>
  <c r="V135" i="1"/>
  <c r="S135" i="1"/>
  <c r="M135" i="1"/>
  <c r="Y134" i="1"/>
  <c r="V134" i="1"/>
  <c r="S134" i="1"/>
  <c r="M134" i="1"/>
  <c r="Y133" i="1"/>
  <c r="V133" i="1"/>
  <c r="S133" i="1"/>
  <c r="M133" i="1"/>
  <c r="Y132" i="1"/>
  <c r="V132" i="1"/>
  <c r="S132" i="1"/>
  <c r="M132" i="1"/>
  <c r="Y131" i="1"/>
  <c r="V131" i="1"/>
  <c r="S131" i="1"/>
  <c r="M131" i="1"/>
  <c r="Y130" i="1"/>
  <c r="V130" i="1"/>
  <c r="S130" i="1"/>
  <c r="M130" i="1"/>
  <c r="Z129" i="1"/>
  <c r="X129" i="1"/>
  <c r="W129" i="1"/>
  <c r="Z128" i="1"/>
  <c r="Z113" i="1" s="1"/>
  <c r="Y128" i="1"/>
  <c r="W128" i="1"/>
  <c r="V128" i="1"/>
  <c r="U128" i="1"/>
  <c r="R128" i="1"/>
  <c r="X128" i="1" s="1"/>
  <c r="O128" i="1"/>
  <c r="L128" i="1"/>
  <c r="V127" i="1"/>
  <c r="S127" i="1"/>
  <c r="Y127" i="1" s="1"/>
  <c r="M127" i="1"/>
  <c r="V126" i="1"/>
  <c r="S126" i="1"/>
  <c r="Y126" i="1" s="1"/>
  <c r="M126" i="1"/>
  <c r="V125" i="1"/>
  <c r="S125" i="1"/>
  <c r="Y125" i="1" s="1"/>
  <c r="M125" i="1"/>
  <c r="V124" i="1"/>
  <c r="S124" i="1"/>
  <c r="Y124" i="1" s="1"/>
  <c r="M124" i="1"/>
  <c r="V123" i="1"/>
  <c r="S123" i="1"/>
  <c r="Y123" i="1" s="1"/>
  <c r="M123" i="1"/>
  <c r="V122" i="1"/>
  <c r="S122" i="1"/>
  <c r="Y122" i="1" s="1"/>
  <c r="M122" i="1"/>
  <c r="V121" i="1"/>
  <c r="S121" i="1"/>
  <c r="Y121" i="1" s="1"/>
  <c r="M121" i="1"/>
  <c r="V120" i="1"/>
  <c r="S120" i="1"/>
  <c r="Y120" i="1" s="1"/>
  <c r="M120" i="1"/>
  <c r="Z119" i="1"/>
  <c r="X119" i="1"/>
  <c r="W119" i="1"/>
  <c r="AA118" i="1"/>
  <c r="Z118" i="1"/>
  <c r="Y118" i="1"/>
  <c r="W118" i="1"/>
  <c r="V118" i="1"/>
  <c r="U118" i="1"/>
  <c r="R118" i="1"/>
  <c r="X118" i="1" s="1"/>
  <c r="O118" i="1"/>
  <c r="O113" i="1" s="1"/>
  <c r="O112" i="1" s="1"/>
  <c r="L118" i="1"/>
  <c r="V117" i="1"/>
  <c r="S117" i="1"/>
  <c r="Y117" i="1" s="1"/>
  <c r="M117" i="1"/>
  <c r="V116" i="1"/>
  <c r="S116" i="1"/>
  <c r="Y116" i="1" s="1"/>
  <c r="M116" i="1"/>
  <c r="Z115" i="1"/>
  <c r="X115" i="1"/>
  <c r="W115" i="1"/>
  <c r="Z114" i="1"/>
  <c r="Y114" i="1"/>
  <c r="AA114" i="1" s="1"/>
  <c r="W114" i="1"/>
  <c r="V114" i="1"/>
  <c r="U114" i="1"/>
  <c r="R114" i="1"/>
  <c r="X114" i="1" s="1"/>
  <c r="O114" i="1"/>
  <c r="L114" i="1"/>
  <c r="U113" i="1"/>
  <c r="T113" i="1"/>
  <c r="S113" i="1"/>
  <c r="N113" i="1"/>
  <c r="M113" i="1"/>
  <c r="M112" i="1" s="1"/>
  <c r="M111" i="1" s="1"/>
  <c r="M110" i="1" s="1"/>
  <c r="M109" i="1" s="1"/>
  <c r="T112" i="1"/>
  <c r="T111" i="1" s="1"/>
  <c r="T110" i="1" s="1"/>
  <c r="T109" i="1" s="1"/>
  <c r="N112" i="1"/>
  <c r="N111" i="1" s="1"/>
  <c r="N110" i="1" s="1"/>
  <c r="N109" i="1" s="1"/>
  <c r="Y108" i="1"/>
  <c r="V108" i="1"/>
  <c r="S108" i="1"/>
  <c r="M108" i="1"/>
  <c r="Y107" i="1"/>
  <c r="V107" i="1"/>
  <c r="S107" i="1"/>
  <c r="M107" i="1"/>
  <c r="Y106" i="1"/>
  <c r="V106" i="1"/>
  <c r="S106" i="1"/>
  <c r="M106" i="1"/>
  <c r="Y105" i="1"/>
  <c r="V105" i="1"/>
  <c r="S105" i="1"/>
  <c r="M105" i="1"/>
  <c r="Y104" i="1"/>
  <c r="V104" i="1"/>
  <c r="S104" i="1"/>
  <c r="M104" i="1"/>
  <c r="Y103" i="1"/>
  <c r="V103" i="1"/>
  <c r="S103" i="1"/>
  <c r="M103" i="1"/>
  <c r="Y102" i="1"/>
  <c r="V102" i="1"/>
  <c r="S102" i="1"/>
  <c r="M102" i="1"/>
  <c r="Y101" i="1"/>
  <c r="V101" i="1"/>
  <c r="S101" i="1"/>
  <c r="M101" i="1"/>
  <c r="Y100" i="1"/>
  <c r="V100" i="1"/>
  <c r="S100" i="1"/>
  <c r="M100" i="1"/>
  <c r="Y99" i="1"/>
  <c r="V99" i="1"/>
  <c r="S99" i="1"/>
  <c r="M99" i="1"/>
  <c r="Z98" i="1"/>
  <c r="X98" i="1"/>
  <c r="W98" i="1"/>
  <c r="AA97" i="1"/>
  <c r="Z97" i="1"/>
  <c r="Y97" i="1"/>
  <c r="X97" i="1"/>
  <c r="W97" i="1"/>
  <c r="V97" i="1"/>
  <c r="U97" i="1"/>
  <c r="R97" i="1"/>
  <c r="O97" i="1"/>
  <c r="L97" i="1"/>
  <c r="V96" i="1"/>
  <c r="S96" i="1"/>
  <c r="Y96" i="1" s="1"/>
  <c r="M96" i="1"/>
  <c r="V95" i="1"/>
  <c r="S95" i="1"/>
  <c r="Y95" i="1" s="1"/>
  <c r="M95" i="1"/>
  <c r="V94" i="1"/>
  <c r="S94" i="1"/>
  <c r="Y94" i="1" s="1"/>
  <c r="M94" i="1"/>
  <c r="V93" i="1"/>
  <c r="S93" i="1"/>
  <c r="Y93" i="1" s="1"/>
  <c r="M93" i="1"/>
  <c r="V92" i="1"/>
  <c r="S92" i="1"/>
  <c r="Y92" i="1" s="1"/>
  <c r="M92" i="1"/>
  <c r="V91" i="1"/>
  <c r="S91" i="1"/>
  <c r="Y91" i="1" s="1"/>
  <c r="M91" i="1"/>
  <c r="V90" i="1"/>
  <c r="S90" i="1"/>
  <c r="Y90" i="1" s="1"/>
  <c r="M90" i="1"/>
  <c r="V89" i="1"/>
  <c r="S89" i="1"/>
  <c r="Y89" i="1" s="1"/>
  <c r="M89" i="1"/>
  <c r="V88" i="1"/>
  <c r="S88" i="1"/>
  <c r="Y88" i="1" s="1"/>
  <c r="M88" i="1"/>
  <c r="V87" i="1"/>
  <c r="S87" i="1"/>
  <c r="Y87" i="1" s="1"/>
  <c r="M87" i="1"/>
  <c r="Z86" i="1"/>
  <c r="X86" i="1"/>
  <c r="W86" i="1"/>
  <c r="AA85" i="1"/>
  <c r="Z85" i="1"/>
  <c r="Y85" i="1"/>
  <c r="X85" i="1"/>
  <c r="W85" i="1"/>
  <c r="V85" i="1"/>
  <c r="U85" i="1"/>
  <c r="R85" i="1"/>
  <c r="O85" i="1"/>
  <c r="O14" i="1" s="1"/>
  <c r="O13" i="1" s="1"/>
  <c r="L85" i="1"/>
  <c r="V84" i="1"/>
  <c r="S84" i="1"/>
  <c r="Y84" i="1" s="1"/>
  <c r="M84" i="1"/>
  <c r="V83" i="1"/>
  <c r="S83" i="1"/>
  <c r="Y83" i="1" s="1"/>
  <c r="M83" i="1"/>
  <c r="V82" i="1"/>
  <c r="S82" i="1"/>
  <c r="Y82" i="1" s="1"/>
  <c r="M82" i="1"/>
  <c r="V81" i="1"/>
  <c r="S81" i="1"/>
  <c r="Y81" i="1" s="1"/>
  <c r="M81" i="1"/>
  <c r="V80" i="1"/>
  <c r="S80" i="1"/>
  <c r="Y80" i="1" s="1"/>
  <c r="M80" i="1"/>
  <c r="V79" i="1"/>
  <c r="S79" i="1"/>
  <c r="Y79" i="1" s="1"/>
  <c r="M79" i="1"/>
  <c r="V78" i="1"/>
  <c r="S78" i="1"/>
  <c r="Y78" i="1" s="1"/>
  <c r="M78" i="1"/>
  <c r="V77" i="1"/>
  <c r="S77" i="1"/>
  <c r="Y77" i="1" s="1"/>
  <c r="M77" i="1"/>
  <c r="V76" i="1"/>
  <c r="S76" i="1"/>
  <c r="Y76" i="1" s="1"/>
  <c r="M76" i="1"/>
  <c r="V75" i="1"/>
  <c r="S75" i="1"/>
  <c r="Y75" i="1" s="1"/>
  <c r="M75" i="1"/>
  <c r="Z74" i="1"/>
  <c r="X74" i="1"/>
  <c r="W74" i="1"/>
  <c r="Z73" i="1"/>
  <c r="Y73" i="1"/>
  <c r="AA73" i="1" s="1"/>
  <c r="X73" i="1"/>
  <c r="W73" i="1"/>
  <c r="V73" i="1"/>
  <c r="U73" i="1"/>
  <c r="R73" i="1"/>
  <c r="O73" i="1"/>
  <c r="L73" i="1"/>
  <c r="Y72" i="1"/>
  <c r="V72" i="1"/>
  <c r="S72" i="1"/>
  <c r="M72" i="1"/>
  <c r="Y71" i="1"/>
  <c r="V71" i="1"/>
  <c r="S71" i="1"/>
  <c r="M71" i="1"/>
  <c r="Y70" i="1"/>
  <c r="V70" i="1"/>
  <c r="S70" i="1"/>
  <c r="M70" i="1"/>
  <c r="Y69" i="1"/>
  <c r="V69" i="1"/>
  <c r="S69" i="1"/>
  <c r="M69" i="1"/>
  <c r="Y68" i="1"/>
  <c r="V68" i="1"/>
  <c r="S68" i="1"/>
  <c r="M68" i="1"/>
  <c r="Y67" i="1"/>
  <c r="V67" i="1"/>
  <c r="S67" i="1"/>
  <c r="M67" i="1"/>
  <c r="Y66" i="1"/>
  <c r="V66" i="1"/>
  <c r="S66" i="1"/>
  <c r="M66" i="1"/>
  <c r="Y65" i="1"/>
  <c r="V65" i="1"/>
  <c r="S65" i="1"/>
  <c r="M65" i="1"/>
  <c r="Y64" i="1"/>
  <c r="V64" i="1"/>
  <c r="S64" i="1"/>
  <c r="M64" i="1"/>
  <c r="Y63" i="1"/>
  <c r="V63" i="1"/>
  <c r="S63" i="1"/>
  <c r="M63" i="1"/>
  <c r="Z62" i="1"/>
  <c r="X62" i="1"/>
  <c r="W62" i="1"/>
  <c r="Z61" i="1"/>
  <c r="Y61" i="1"/>
  <c r="AA61" i="1" s="1"/>
  <c r="W61" i="1"/>
  <c r="V61" i="1"/>
  <c r="U61" i="1"/>
  <c r="U14" i="1" s="1"/>
  <c r="U13" i="1" s="1"/>
  <c r="U12" i="1" s="1"/>
  <c r="U11" i="1" s="1"/>
  <c r="U10" i="1" s="1"/>
  <c r="R61" i="1"/>
  <c r="X61" i="1" s="1"/>
  <c r="O61" i="1"/>
  <c r="L61" i="1"/>
  <c r="Y60" i="1"/>
  <c r="V60" i="1"/>
  <c r="S60" i="1"/>
  <c r="M60" i="1"/>
  <c r="Y59" i="1"/>
  <c r="V59" i="1"/>
  <c r="S59" i="1"/>
  <c r="M59" i="1"/>
  <c r="Y58" i="1"/>
  <c r="V58" i="1"/>
  <c r="S58" i="1"/>
  <c r="M58" i="1"/>
  <c r="Y57" i="1"/>
  <c r="V57" i="1"/>
  <c r="S57" i="1"/>
  <c r="M57" i="1"/>
  <c r="Y56" i="1"/>
  <c r="V56" i="1"/>
  <c r="S56" i="1"/>
  <c r="M56" i="1"/>
  <c r="Y55" i="1"/>
  <c r="V55" i="1"/>
  <c r="S55" i="1"/>
  <c r="M55" i="1"/>
  <c r="Y54" i="1"/>
  <c r="V54" i="1"/>
  <c r="S54" i="1"/>
  <c r="M54" i="1"/>
  <c r="Y53" i="1"/>
  <c r="V53" i="1"/>
  <c r="S53" i="1"/>
  <c r="M53" i="1"/>
  <c r="Y52" i="1"/>
  <c r="V52" i="1"/>
  <c r="S52" i="1"/>
  <c r="M52" i="1"/>
  <c r="Y51" i="1"/>
  <c r="V51" i="1"/>
  <c r="S51" i="1"/>
  <c r="M51" i="1"/>
  <c r="Z50" i="1"/>
  <c r="X50" i="1"/>
  <c r="W50" i="1"/>
  <c r="Z49" i="1"/>
  <c r="Y49" i="1"/>
  <c r="W49" i="1"/>
  <c r="V49" i="1"/>
  <c r="U49" i="1"/>
  <c r="R49" i="1"/>
  <c r="X49" i="1" s="1"/>
  <c r="O49" i="1"/>
  <c r="L49" i="1"/>
  <c r="V48" i="1"/>
  <c r="S48" i="1"/>
  <c r="Y48" i="1" s="1"/>
  <c r="M48" i="1"/>
  <c r="V47" i="1"/>
  <c r="S47" i="1"/>
  <c r="Y47" i="1" s="1"/>
  <c r="M47" i="1"/>
  <c r="V46" i="1"/>
  <c r="S46" i="1"/>
  <c r="Y46" i="1" s="1"/>
  <c r="M46" i="1"/>
  <c r="V45" i="1"/>
  <c r="S45" i="1"/>
  <c r="Y45" i="1" s="1"/>
  <c r="M45" i="1"/>
  <c r="V44" i="1"/>
  <c r="S44" i="1"/>
  <c r="Y44" i="1" s="1"/>
  <c r="M44" i="1"/>
  <c r="V43" i="1"/>
  <c r="S43" i="1"/>
  <c r="Y43" i="1" s="1"/>
  <c r="M43" i="1"/>
  <c r="V42" i="1"/>
  <c r="S42" i="1"/>
  <c r="Y42" i="1" s="1"/>
  <c r="M42" i="1"/>
  <c r="V41" i="1"/>
  <c r="S41" i="1"/>
  <c r="Y41" i="1" s="1"/>
  <c r="M41" i="1"/>
  <c r="Z40" i="1"/>
  <c r="X40" i="1"/>
  <c r="W40" i="1"/>
  <c r="AA39" i="1"/>
  <c r="Z39" i="1"/>
  <c r="Y39" i="1"/>
  <c r="W39" i="1"/>
  <c r="V39" i="1"/>
  <c r="U39" i="1"/>
  <c r="R39" i="1"/>
  <c r="X39" i="1" s="1"/>
  <c r="O39" i="1"/>
  <c r="L39" i="1"/>
  <c r="V38" i="1"/>
  <c r="S38" i="1"/>
  <c r="Y38" i="1" s="1"/>
  <c r="M38" i="1"/>
  <c r="V37" i="1"/>
  <c r="S37" i="1"/>
  <c r="Y37" i="1" s="1"/>
  <c r="M37" i="1"/>
  <c r="V36" i="1"/>
  <c r="S36" i="1"/>
  <c r="Y36" i="1" s="1"/>
  <c r="M36" i="1"/>
  <c r="V35" i="1"/>
  <c r="S35" i="1"/>
  <c r="Y35" i="1" s="1"/>
  <c r="M35" i="1"/>
  <c r="V34" i="1"/>
  <c r="S34" i="1"/>
  <c r="Y34" i="1" s="1"/>
  <c r="M34" i="1"/>
  <c r="V33" i="1"/>
  <c r="S33" i="1"/>
  <c r="Y33" i="1" s="1"/>
  <c r="M33" i="1"/>
  <c r="V32" i="1"/>
  <c r="S32" i="1"/>
  <c r="Y32" i="1" s="1"/>
  <c r="M32" i="1"/>
  <c r="V31" i="1"/>
  <c r="S31" i="1"/>
  <c r="Y31" i="1" s="1"/>
  <c r="M31" i="1"/>
  <c r="V30" i="1"/>
  <c r="S30" i="1"/>
  <c r="Y30" i="1" s="1"/>
  <c r="M30" i="1"/>
  <c r="V29" i="1"/>
  <c r="S29" i="1"/>
  <c r="Y29" i="1" s="1"/>
  <c r="M29" i="1"/>
  <c r="Z28" i="1"/>
  <c r="X28" i="1"/>
  <c r="W28" i="1"/>
  <c r="Z27" i="1"/>
  <c r="Y27" i="1"/>
  <c r="AA27" i="1" s="1"/>
  <c r="W27" i="1"/>
  <c r="V27" i="1"/>
  <c r="U27" i="1"/>
  <c r="R27" i="1"/>
  <c r="X27" i="1" s="1"/>
  <c r="O27" i="1"/>
  <c r="L27" i="1"/>
  <c r="Y26" i="1"/>
  <c r="V26" i="1"/>
  <c r="S26" i="1"/>
  <c r="M26" i="1"/>
  <c r="Y25" i="1"/>
  <c r="V25" i="1"/>
  <c r="S25" i="1"/>
  <c r="M25" i="1"/>
  <c r="Y24" i="1"/>
  <c r="V24" i="1"/>
  <c r="S24" i="1"/>
  <c r="M24" i="1"/>
  <c r="Y23" i="1"/>
  <c r="V23" i="1"/>
  <c r="S23" i="1"/>
  <c r="M23" i="1"/>
  <c r="Y22" i="1"/>
  <c r="V22" i="1"/>
  <c r="S22" i="1"/>
  <c r="M22" i="1"/>
  <c r="Y21" i="1"/>
  <c r="V21" i="1"/>
  <c r="S21" i="1"/>
  <c r="M21" i="1"/>
  <c r="Y20" i="1"/>
  <c r="V20" i="1"/>
  <c r="S20" i="1"/>
  <c r="M20" i="1"/>
  <c r="Y19" i="1"/>
  <c r="V19" i="1"/>
  <c r="S19" i="1"/>
  <c r="M19" i="1"/>
  <c r="Y18" i="1"/>
  <c r="V18" i="1"/>
  <c r="S18" i="1"/>
  <c r="M18" i="1"/>
  <c r="Y17" i="1"/>
  <c r="V17" i="1"/>
  <c r="S17" i="1"/>
  <c r="M17" i="1"/>
  <c r="Z16" i="1"/>
  <c r="X16" i="1"/>
  <c r="W16" i="1"/>
  <c r="Z15" i="1"/>
  <c r="Y15" i="1"/>
  <c r="X15" i="1"/>
  <c r="W15" i="1"/>
  <c r="V15" i="1"/>
  <c r="U15" i="1"/>
  <c r="R15" i="1"/>
  <c r="O15" i="1"/>
  <c r="L15" i="1"/>
  <c r="T14" i="1"/>
  <c r="T13" i="1" s="1"/>
  <c r="T12" i="1" s="1"/>
  <c r="T11" i="1" s="1"/>
  <c r="T10" i="1" s="1"/>
  <c r="T9" i="1" s="1"/>
  <c r="T8" i="1" s="1"/>
  <c r="S14" i="1"/>
  <c r="N14" i="1"/>
  <c r="M14" i="1"/>
  <c r="M13" i="1" s="1"/>
  <c r="M12" i="1" s="1"/>
  <c r="M11" i="1" s="1"/>
  <c r="M10" i="1" s="1"/>
  <c r="S13" i="1"/>
  <c r="N13" i="1"/>
  <c r="N12" i="1" s="1"/>
  <c r="N11" i="1" s="1"/>
  <c r="N10" i="1" s="1"/>
  <c r="S12" i="1"/>
  <c r="O12" i="1"/>
  <c r="O11" i="1" s="1"/>
  <c r="O10" i="1" s="1"/>
  <c r="S11" i="1"/>
  <c r="S10" i="1" s="1"/>
  <c r="AA479" i="2"/>
  <c r="Z479" i="2"/>
  <c r="W479" i="2"/>
  <c r="U479" i="2"/>
  <c r="T479" i="2"/>
  <c r="R479" i="2"/>
  <c r="X479" i="2" s="1"/>
  <c r="N479" i="2"/>
  <c r="O479" i="2" s="1"/>
  <c r="L479" i="2"/>
  <c r="Z478" i="2"/>
  <c r="AA478" i="2" s="1"/>
  <c r="AA477" i="2" s="1"/>
  <c r="W478" i="2"/>
  <c r="T478" i="2"/>
  <c r="U478" i="2" s="1"/>
  <c r="U477" i="2" s="1"/>
  <c r="R478" i="2"/>
  <c r="X478" i="2" s="1"/>
  <c r="O478" i="2"/>
  <c r="O477" i="2" s="1"/>
  <c r="N478" i="2"/>
  <c r="L478" i="2"/>
  <c r="Y477" i="2"/>
  <c r="T477" i="2"/>
  <c r="S477" i="2"/>
  <c r="N477" i="2"/>
  <c r="M477" i="2"/>
  <c r="V476" i="2"/>
  <c r="S476" i="2"/>
  <c r="Y476" i="2" s="1"/>
  <c r="M476" i="2"/>
  <c r="W475" i="2"/>
  <c r="T475" i="2"/>
  <c r="P475" i="2"/>
  <c r="N475" i="2"/>
  <c r="J475" i="2"/>
  <c r="V474" i="2"/>
  <c r="S474" i="2"/>
  <c r="Y474" i="2" s="1"/>
  <c r="M474" i="2"/>
  <c r="V473" i="2"/>
  <c r="S473" i="2"/>
  <c r="Y473" i="2" s="1"/>
  <c r="M473" i="2"/>
  <c r="V472" i="2"/>
  <c r="S472" i="2"/>
  <c r="Y472" i="2" s="1"/>
  <c r="M472" i="2"/>
  <c r="V471" i="2"/>
  <c r="S471" i="2"/>
  <c r="Y471" i="2" s="1"/>
  <c r="M471" i="2"/>
  <c r="V470" i="2"/>
  <c r="S470" i="2"/>
  <c r="Y470" i="2" s="1"/>
  <c r="M470" i="2"/>
  <c r="V469" i="2"/>
  <c r="S469" i="2"/>
  <c r="Y469" i="2" s="1"/>
  <c r="M469" i="2"/>
  <c r="V468" i="2"/>
  <c r="S468" i="2"/>
  <c r="Y468" i="2" s="1"/>
  <c r="M468" i="2"/>
  <c r="V467" i="2"/>
  <c r="S467" i="2"/>
  <c r="Y467" i="2" s="1"/>
  <c r="M467" i="2"/>
  <c r="V466" i="2"/>
  <c r="S466" i="2"/>
  <c r="Y466" i="2" s="1"/>
  <c r="M466" i="2"/>
  <c r="V465" i="2"/>
  <c r="S465" i="2"/>
  <c r="Y465" i="2" s="1"/>
  <c r="M465" i="2"/>
  <c r="V464" i="2"/>
  <c r="S464" i="2"/>
  <c r="Y464" i="2" s="1"/>
  <c r="M464" i="2"/>
  <c r="Z463" i="2"/>
  <c r="W463" i="2"/>
  <c r="T463" i="2"/>
  <c r="N463" i="2"/>
  <c r="V462" i="2"/>
  <c r="S462" i="2"/>
  <c r="Y462" i="2" s="1"/>
  <c r="M462" i="2"/>
  <c r="Y461" i="2"/>
  <c r="V461" i="2"/>
  <c r="S461" i="2"/>
  <c r="M461" i="2"/>
  <c r="V460" i="2"/>
  <c r="S460" i="2"/>
  <c r="Y460" i="2" s="1"/>
  <c r="M460" i="2"/>
  <c r="Y459" i="2"/>
  <c r="V459" i="2"/>
  <c r="S459" i="2"/>
  <c r="M459" i="2"/>
  <c r="V458" i="2"/>
  <c r="S458" i="2"/>
  <c r="Y458" i="2" s="1"/>
  <c r="M458" i="2"/>
  <c r="Y457" i="2"/>
  <c r="V457" i="2"/>
  <c r="S457" i="2"/>
  <c r="M457" i="2"/>
  <c r="V456" i="2"/>
  <c r="S456" i="2"/>
  <c r="Y456" i="2" s="1"/>
  <c r="M456" i="2"/>
  <c r="Y455" i="2"/>
  <c r="V455" i="2"/>
  <c r="S455" i="2"/>
  <c r="M455" i="2"/>
  <c r="V454" i="2"/>
  <c r="S454" i="2"/>
  <c r="Y454" i="2" s="1"/>
  <c r="M454" i="2"/>
  <c r="Y453" i="2"/>
  <c r="V453" i="2"/>
  <c r="S453" i="2"/>
  <c r="M453" i="2"/>
  <c r="J451" i="2" s="1"/>
  <c r="V452" i="2"/>
  <c r="S452" i="2"/>
  <c r="Y452" i="2" s="1"/>
  <c r="M452" i="2"/>
  <c r="Z451" i="2"/>
  <c r="W451" i="2"/>
  <c r="T451" i="2"/>
  <c r="S451" i="2"/>
  <c r="P451" i="2"/>
  <c r="R451" i="2" s="1"/>
  <c r="X451" i="2" s="1"/>
  <c r="N451" i="2"/>
  <c r="Y450" i="2"/>
  <c r="V450" i="2"/>
  <c r="S450" i="2"/>
  <c r="M450" i="2"/>
  <c r="V449" i="2"/>
  <c r="S449" i="2"/>
  <c r="Y449" i="2" s="1"/>
  <c r="M449" i="2"/>
  <c r="Y448" i="2"/>
  <c r="V448" i="2"/>
  <c r="S448" i="2"/>
  <c r="M448" i="2"/>
  <c r="V447" i="2"/>
  <c r="S447" i="2"/>
  <c r="Y447" i="2" s="1"/>
  <c r="M447" i="2"/>
  <c r="Y446" i="2"/>
  <c r="V446" i="2"/>
  <c r="S446" i="2"/>
  <c r="M446" i="2"/>
  <c r="V445" i="2"/>
  <c r="S445" i="2"/>
  <c r="Y445" i="2" s="1"/>
  <c r="M445" i="2"/>
  <c r="Y444" i="2"/>
  <c r="V444" i="2"/>
  <c r="S444" i="2"/>
  <c r="M444" i="2"/>
  <c r="V443" i="2"/>
  <c r="S443" i="2"/>
  <c r="Y443" i="2" s="1"/>
  <c r="M443" i="2"/>
  <c r="Y442" i="2"/>
  <c r="V442" i="2"/>
  <c r="S442" i="2"/>
  <c r="M442" i="2"/>
  <c r="V441" i="2"/>
  <c r="S441" i="2"/>
  <c r="Y441" i="2" s="1"/>
  <c r="M441" i="2"/>
  <c r="Y440" i="2"/>
  <c r="V440" i="2"/>
  <c r="S440" i="2"/>
  <c r="P439" i="2" s="1"/>
  <c r="M440" i="2"/>
  <c r="W439" i="2"/>
  <c r="T439" i="2"/>
  <c r="Z439" i="2" s="1"/>
  <c r="N439" i="2"/>
  <c r="M439" i="2"/>
  <c r="O439" i="2" s="1"/>
  <c r="L439" i="2"/>
  <c r="J439" i="2"/>
  <c r="W438" i="2"/>
  <c r="U438" i="2"/>
  <c r="T438" i="2"/>
  <c r="Z438" i="2" s="1"/>
  <c r="AA438" i="2" s="1"/>
  <c r="R438" i="2"/>
  <c r="X438" i="2" s="1"/>
  <c r="O438" i="2"/>
  <c r="N438" i="2"/>
  <c r="L438" i="2"/>
  <c r="V437" i="2"/>
  <c r="S437" i="2"/>
  <c r="M437" i="2"/>
  <c r="W436" i="2"/>
  <c r="T436" i="2"/>
  <c r="Z436" i="2" s="1"/>
  <c r="N436" i="2"/>
  <c r="L436" i="2"/>
  <c r="J436" i="2"/>
  <c r="M436" i="2" s="1"/>
  <c r="O436" i="2" s="1"/>
  <c r="Y435" i="2"/>
  <c r="V435" i="2"/>
  <c r="S435" i="2"/>
  <c r="M435" i="2"/>
  <c r="Z434" i="2"/>
  <c r="W434" i="2"/>
  <c r="T434" i="2"/>
  <c r="P434" i="2"/>
  <c r="N434" i="2"/>
  <c r="O434" i="2" s="1"/>
  <c r="M434" i="2"/>
  <c r="J434" i="2"/>
  <c r="L434" i="2" s="1"/>
  <c r="V432" i="2"/>
  <c r="S432" i="2"/>
  <c r="Y432" i="2" s="1"/>
  <c r="M432" i="2"/>
  <c r="J430" i="2" s="1"/>
  <c r="Y431" i="2"/>
  <c r="V431" i="2"/>
  <c r="S431" i="2"/>
  <c r="M431" i="2"/>
  <c r="Z430" i="2"/>
  <c r="W430" i="2"/>
  <c r="T430" i="2"/>
  <c r="R430" i="2"/>
  <c r="X430" i="2" s="1"/>
  <c r="P430" i="2"/>
  <c r="V430" i="2" s="1"/>
  <c r="N430" i="2"/>
  <c r="V429" i="2"/>
  <c r="S429" i="2"/>
  <c r="Y429" i="2" s="1"/>
  <c r="M429" i="2"/>
  <c r="J427" i="2" s="1"/>
  <c r="Y428" i="2"/>
  <c r="V428" i="2"/>
  <c r="S428" i="2"/>
  <c r="M428" i="2"/>
  <c r="Z427" i="2"/>
  <c r="W427" i="2"/>
  <c r="T427" i="2"/>
  <c r="R427" i="2"/>
  <c r="X427" i="2" s="1"/>
  <c r="P427" i="2"/>
  <c r="V427" i="2" s="1"/>
  <c r="N427" i="2"/>
  <c r="V426" i="2"/>
  <c r="S426" i="2"/>
  <c r="Y426" i="2" s="1"/>
  <c r="M426" i="2"/>
  <c r="J424" i="2" s="1"/>
  <c r="Y425" i="2"/>
  <c r="V425" i="2"/>
  <c r="S425" i="2"/>
  <c r="M425" i="2"/>
  <c r="Z424" i="2"/>
  <c r="W424" i="2"/>
  <c r="T424" i="2"/>
  <c r="R424" i="2"/>
  <c r="X424" i="2" s="1"/>
  <c r="P424" i="2"/>
  <c r="V424" i="2" s="1"/>
  <c r="N424" i="2"/>
  <c r="V423" i="2"/>
  <c r="S423" i="2"/>
  <c r="Y423" i="2" s="1"/>
  <c r="M423" i="2"/>
  <c r="J421" i="2" s="1"/>
  <c r="Y422" i="2"/>
  <c r="V422" i="2"/>
  <c r="S422" i="2"/>
  <c r="M422" i="2"/>
  <c r="Z421" i="2"/>
  <c r="W421" i="2"/>
  <c r="T421" i="2"/>
  <c r="R421" i="2"/>
  <c r="X421" i="2" s="1"/>
  <c r="P421" i="2"/>
  <c r="V421" i="2" s="1"/>
  <c r="N421" i="2"/>
  <c r="N420" i="2" s="1"/>
  <c r="N410" i="2" s="1"/>
  <c r="Z420" i="2"/>
  <c r="T420" i="2"/>
  <c r="Y419" i="2"/>
  <c r="V419" i="2"/>
  <c r="S419" i="2"/>
  <c r="M419" i="2"/>
  <c r="J417" i="2" s="1"/>
  <c r="V418" i="2"/>
  <c r="S418" i="2"/>
  <c r="Y418" i="2" s="1"/>
  <c r="M418" i="2"/>
  <c r="Z417" i="2"/>
  <c r="W417" i="2"/>
  <c r="T417" i="2"/>
  <c r="S417" i="2"/>
  <c r="R417" i="2"/>
  <c r="X417" i="2" s="1"/>
  <c r="P417" i="2"/>
  <c r="V417" i="2" s="1"/>
  <c r="N417" i="2"/>
  <c r="Y416" i="2"/>
  <c r="V416" i="2"/>
  <c r="S416" i="2"/>
  <c r="M416" i="2"/>
  <c r="V415" i="2"/>
  <c r="S415" i="2"/>
  <c r="Y415" i="2" s="1"/>
  <c r="M415" i="2"/>
  <c r="Y414" i="2"/>
  <c r="V414" i="2"/>
  <c r="S414" i="2"/>
  <c r="M414" i="2"/>
  <c r="J412" i="2" s="1"/>
  <c r="V413" i="2"/>
  <c r="S413" i="2"/>
  <c r="Y413" i="2" s="1"/>
  <c r="M413" i="2"/>
  <c r="Z412" i="2"/>
  <c r="W412" i="2"/>
  <c r="T412" i="2"/>
  <c r="T411" i="2" s="1"/>
  <c r="T410" i="2" s="1"/>
  <c r="S412" i="2"/>
  <c r="R412" i="2"/>
  <c r="X412" i="2" s="1"/>
  <c r="P412" i="2"/>
  <c r="V412" i="2" s="1"/>
  <c r="N412" i="2"/>
  <c r="Z411" i="2"/>
  <c r="N411" i="2"/>
  <c r="Y409" i="2"/>
  <c r="V409" i="2"/>
  <c r="S409" i="2"/>
  <c r="M409" i="2"/>
  <c r="V408" i="2"/>
  <c r="S408" i="2"/>
  <c r="Y408" i="2" s="1"/>
  <c r="M408" i="2"/>
  <c r="Y407" i="2"/>
  <c r="V407" i="2"/>
  <c r="S407" i="2"/>
  <c r="M407" i="2"/>
  <c r="V406" i="2"/>
  <c r="S406" i="2"/>
  <c r="M406" i="2"/>
  <c r="W405" i="2"/>
  <c r="T405" i="2"/>
  <c r="Z405" i="2" s="1"/>
  <c r="N405" i="2"/>
  <c r="L405" i="2"/>
  <c r="J405" i="2"/>
  <c r="M405" i="2" s="1"/>
  <c r="O405" i="2" s="1"/>
  <c r="Y404" i="2"/>
  <c r="V404" i="2"/>
  <c r="S404" i="2"/>
  <c r="M404" i="2"/>
  <c r="V403" i="2"/>
  <c r="S403" i="2"/>
  <c r="M403" i="2"/>
  <c r="W402" i="2"/>
  <c r="T402" i="2"/>
  <c r="Z402" i="2" s="1"/>
  <c r="N402" i="2"/>
  <c r="J402" i="2"/>
  <c r="M402" i="2" s="1"/>
  <c r="O402" i="2" s="1"/>
  <c r="Y401" i="2"/>
  <c r="V401" i="2"/>
  <c r="S401" i="2"/>
  <c r="M401" i="2"/>
  <c r="V400" i="2"/>
  <c r="S400" i="2"/>
  <c r="M400" i="2"/>
  <c r="W399" i="2"/>
  <c r="T399" i="2"/>
  <c r="Z399" i="2" s="1"/>
  <c r="N399" i="2"/>
  <c r="L399" i="2"/>
  <c r="J399" i="2"/>
  <c r="M399" i="2" s="1"/>
  <c r="O399" i="2" s="1"/>
  <c r="Y398" i="2"/>
  <c r="V398" i="2"/>
  <c r="S398" i="2"/>
  <c r="M398" i="2"/>
  <c r="Z397" i="2"/>
  <c r="W397" i="2"/>
  <c r="T397" i="2"/>
  <c r="P397" i="2"/>
  <c r="O397" i="2"/>
  <c r="N397" i="2"/>
  <c r="N396" i="2" s="1"/>
  <c r="M397" i="2"/>
  <c r="J397" i="2"/>
  <c r="L397" i="2" s="1"/>
  <c r="V395" i="2"/>
  <c r="S395" i="2"/>
  <c r="Y395" i="2" s="1"/>
  <c r="M395" i="2"/>
  <c r="Y394" i="2"/>
  <c r="V394" i="2"/>
  <c r="S394" i="2"/>
  <c r="M394" i="2"/>
  <c r="V393" i="2"/>
  <c r="S393" i="2"/>
  <c r="Y393" i="2" s="1"/>
  <c r="M393" i="2"/>
  <c r="J391" i="2" s="1"/>
  <c r="Y392" i="2"/>
  <c r="V392" i="2"/>
  <c r="S392" i="2"/>
  <c r="M392" i="2"/>
  <c r="Z391" i="2"/>
  <c r="Z390" i="2" s="1"/>
  <c r="W391" i="2"/>
  <c r="T391" i="2"/>
  <c r="N391" i="2"/>
  <c r="N390" i="2" s="1"/>
  <c r="N389" i="2" s="1"/>
  <c r="T390" i="2"/>
  <c r="Y388" i="2"/>
  <c r="V388" i="2"/>
  <c r="S388" i="2"/>
  <c r="M388" i="2"/>
  <c r="V387" i="2"/>
  <c r="S387" i="2"/>
  <c r="Y387" i="2" s="1"/>
  <c r="M387" i="2"/>
  <c r="J384" i="2" s="1"/>
  <c r="Y386" i="2"/>
  <c r="V386" i="2"/>
  <c r="S386" i="2"/>
  <c r="M386" i="2"/>
  <c r="V385" i="2"/>
  <c r="S385" i="2"/>
  <c r="Y385" i="2" s="1"/>
  <c r="M385" i="2"/>
  <c r="W384" i="2"/>
  <c r="T384" i="2"/>
  <c r="Z384" i="2" s="1"/>
  <c r="P384" i="2"/>
  <c r="V384" i="2" s="1"/>
  <c r="N384" i="2"/>
  <c r="V383" i="2"/>
  <c r="S383" i="2"/>
  <c r="Y383" i="2" s="1"/>
  <c r="M383" i="2"/>
  <c r="V382" i="2"/>
  <c r="S382" i="2"/>
  <c r="Y382" i="2" s="1"/>
  <c r="M382" i="2"/>
  <c r="J379" i="2" s="1"/>
  <c r="Y381" i="2"/>
  <c r="V381" i="2"/>
  <c r="S381" i="2"/>
  <c r="M381" i="2"/>
  <c r="V380" i="2"/>
  <c r="S380" i="2"/>
  <c r="Y380" i="2" s="1"/>
  <c r="M380" i="2"/>
  <c r="W379" i="2"/>
  <c r="T379" i="2"/>
  <c r="Z379" i="2" s="1"/>
  <c r="N379" i="2"/>
  <c r="V378" i="2"/>
  <c r="S378" i="2"/>
  <c r="Y378" i="2" s="1"/>
  <c r="M378" i="2"/>
  <c r="V377" i="2"/>
  <c r="S377" i="2"/>
  <c r="Y377" i="2" s="1"/>
  <c r="M377" i="2"/>
  <c r="J374" i="2" s="1"/>
  <c r="Y376" i="2"/>
  <c r="V376" i="2"/>
  <c r="S376" i="2"/>
  <c r="M376" i="2"/>
  <c r="V375" i="2"/>
  <c r="S375" i="2"/>
  <c r="Y375" i="2" s="1"/>
  <c r="M375" i="2"/>
  <c r="W374" i="2"/>
  <c r="T374" i="2"/>
  <c r="Z374" i="2" s="1"/>
  <c r="N374" i="2"/>
  <c r="V373" i="2"/>
  <c r="S373" i="2"/>
  <c r="Y373" i="2" s="1"/>
  <c r="M373" i="2"/>
  <c r="V372" i="2"/>
  <c r="S372" i="2"/>
  <c r="Y372" i="2" s="1"/>
  <c r="M372" i="2"/>
  <c r="J369" i="2" s="1"/>
  <c r="Y371" i="2"/>
  <c r="V371" i="2"/>
  <c r="S371" i="2"/>
  <c r="M371" i="2"/>
  <c r="V370" i="2"/>
  <c r="S370" i="2"/>
  <c r="Y370" i="2" s="1"/>
  <c r="M370" i="2"/>
  <c r="W369" i="2"/>
  <c r="T369" i="2"/>
  <c r="Z369" i="2" s="1"/>
  <c r="N369" i="2"/>
  <c r="V368" i="2"/>
  <c r="S368" i="2"/>
  <c r="Y368" i="2" s="1"/>
  <c r="M368" i="2"/>
  <c r="V367" i="2"/>
  <c r="S367" i="2"/>
  <c r="Y367" i="2" s="1"/>
  <c r="M367" i="2"/>
  <c r="J364" i="2" s="1"/>
  <c r="Y366" i="2"/>
  <c r="V366" i="2"/>
  <c r="S366" i="2"/>
  <c r="M366" i="2"/>
  <c r="V365" i="2"/>
  <c r="S365" i="2"/>
  <c r="Y365" i="2" s="1"/>
  <c r="M365" i="2"/>
  <c r="W364" i="2"/>
  <c r="T364" i="2"/>
  <c r="Z364" i="2" s="1"/>
  <c r="N364" i="2"/>
  <c r="V363" i="2"/>
  <c r="S363" i="2"/>
  <c r="Y363" i="2" s="1"/>
  <c r="M363" i="2"/>
  <c r="V362" i="2"/>
  <c r="S362" i="2"/>
  <c r="Y362" i="2" s="1"/>
  <c r="M362" i="2"/>
  <c r="J359" i="2" s="1"/>
  <c r="Y361" i="2"/>
  <c r="V361" i="2"/>
  <c r="S361" i="2"/>
  <c r="M361" i="2"/>
  <c r="V360" i="2"/>
  <c r="S360" i="2"/>
  <c r="Y360" i="2" s="1"/>
  <c r="M360" i="2"/>
  <c r="W359" i="2"/>
  <c r="T359" i="2"/>
  <c r="Z359" i="2" s="1"/>
  <c r="N359" i="2"/>
  <c r="V358" i="2"/>
  <c r="S358" i="2"/>
  <c r="Y358" i="2" s="1"/>
  <c r="M358" i="2"/>
  <c r="V357" i="2"/>
  <c r="S357" i="2"/>
  <c r="Y357" i="2" s="1"/>
  <c r="M357" i="2"/>
  <c r="J354" i="2" s="1"/>
  <c r="Y356" i="2"/>
  <c r="V356" i="2"/>
  <c r="S356" i="2"/>
  <c r="M356" i="2"/>
  <c r="V355" i="2"/>
  <c r="S355" i="2"/>
  <c r="Y355" i="2" s="1"/>
  <c r="M355" i="2"/>
  <c r="W354" i="2"/>
  <c r="T354" i="2"/>
  <c r="Z354" i="2" s="1"/>
  <c r="N354" i="2"/>
  <c r="V353" i="2"/>
  <c r="S353" i="2"/>
  <c r="Y353" i="2" s="1"/>
  <c r="M353" i="2"/>
  <c r="V352" i="2"/>
  <c r="S352" i="2"/>
  <c r="Y352" i="2" s="1"/>
  <c r="M352" i="2"/>
  <c r="J349" i="2" s="1"/>
  <c r="Y351" i="2"/>
  <c r="V351" i="2"/>
  <c r="S351" i="2"/>
  <c r="M351" i="2"/>
  <c r="V350" i="2"/>
  <c r="S350" i="2"/>
  <c r="Y350" i="2" s="1"/>
  <c r="M350" i="2"/>
  <c r="W349" i="2"/>
  <c r="T349" i="2"/>
  <c r="Z349" i="2" s="1"/>
  <c r="N349" i="2"/>
  <c r="V348" i="2"/>
  <c r="S348" i="2"/>
  <c r="Y348" i="2" s="1"/>
  <c r="M348" i="2"/>
  <c r="V347" i="2"/>
  <c r="S347" i="2"/>
  <c r="Y347" i="2" s="1"/>
  <c r="M347" i="2"/>
  <c r="J346" i="2" s="1"/>
  <c r="Z346" i="2"/>
  <c r="W346" i="2"/>
  <c r="T346" i="2"/>
  <c r="P346" i="2"/>
  <c r="N346" i="2"/>
  <c r="Y345" i="2"/>
  <c r="V345" i="2"/>
  <c r="S345" i="2"/>
  <c r="M345" i="2"/>
  <c r="V344" i="2"/>
  <c r="S344" i="2"/>
  <c r="Y344" i="2" s="1"/>
  <c r="M344" i="2"/>
  <c r="V343" i="2"/>
  <c r="S343" i="2"/>
  <c r="Y343" i="2" s="1"/>
  <c r="M343" i="2"/>
  <c r="V342" i="2"/>
  <c r="S342" i="2"/>
  <c r="Y342" i="2" s="1"/>
  <c r="M342" i="2"/>
  <c r="J341" i="2" s="1"/>
  <c r="Z341" i="2"/>
  <c r="W341" i="2"/>
  <c r="T341" i="2"/>
  <c r="P341" i="2"/>
  <c r="N341" i="2"/>
  <c r="Y340" i="2"/>
  <c r="V340" i="2"/>
  <c r="S340" i="2"/>
  <c r="M340" i="2"/>
  <c r="V339" i="2"/>
  <c r="S339" i="2"/>
  <c r="Y339" i="2" s="1"/>
  <c r="M339" i="2"/>
  <c r="V338" i="2"/>
  <c r="S338" i="2"/>
  <c r="Y338" i="2" s="1"/>
  <c r="M338" i="2"/>
  <c r="V337" i="2"/>
  <c r="S337" i="2"/>
  <c r="Y337" i="2" s="1"/>
  <c r="M337" i="2"/>
  <c r="J336" i="2" s="1"/>
  <c r="W336" i="2"/>
  <c r="T336" i="2"/>
  <c r="T335" i="2" s="1"/>
  <c r="N336" i="2"/>
  <c r="N335" i="2"/>
  <c r="Y334" i="2"/>
  <c r="V334" i="2"/>
  <c r="S334" i="2"/>
  <c r="M334" i="2"/>
  <c r="Z333" i="2"/>
  <c r="Y333" i="2"/>
  <c r="AA333" i="2" s="1"/>
  <c r="W333" i="2"/>
  <c r="V333" i="2"/>
  <c r="T333" i="2"/>
  <c r="S333" i="2"/>
  <c r="U333" i="2" s="1"/>
  <c r="P333" i="2"/>
  <c r="R333" i="2" s="1"/>
  <c r="X333" i="2" s="1"/>
  <c r="O333" i="2"/>
  <c r="N333" i="2"/>
  <c r="M333" i="2"/>
  <c r="J333" i="2"/>
  <c r="L333" i="2" s="1"/>
  <c r="Y332" i="2"/>
  <c r="V332" i="2"/>
  <c r="S332" i="2"/>
  <c r="P331" i="2" s="1"/>
  <c r="M332" i="2"/>
  <c r="W331" i="2"/>
  <c r="V331" i="2"/>
  <c r="U331" i="2"/>
  <c r="T331" i="2"/>
  <c r="Z331" i="2" s="1"/>
  <c r="AA331" i="2" s="1"/>
  <c r="S331" i="2"/>
  <c r="Y331" i="2" s="1"/>
  <c r="R331" i="2"/>
  <c r="X331" i="2" s="1"/>
  <c r="N331" i="2"/>
  <c r="J331" i="2"/>
  <c r="M331" i="2" s="1"/>
  <c r="O331" i="2" s="1"/>
  <c r="Y330" i="2"/>
  <c r="V330" i="2"/>
  <c r="S330" i="2"/>
  <c r="M330" i="2"/>
  <c r="Z329" i="2"/>
  <c r="W329" i="2"/>
  <c r="V329" i="2"/>
  <c r="T329" i="2"/>
  <c r="S329" i="2"/>
  <c r="U329" i="2" s="1"/>
  <c r="R329" i="2"/>
  <c r="X329" i="2" s="1"/>
  <c r="P329" i="2"/>
  <c r="N329" i="2"/>
  <c r="M329" i="2"/>
  <c r="O329" i="2" s="1"/>
  <c r="J329" i="2"/>
  <c r="L329" i="2" s="1"/>
  <c r="V328" i="2"/>
  <c r="S328" i="2"/>
  <c r="Y328" i="2" s="1"/>
  <c r="M328" i="2"/>
  <c r="W327" i="2"/>
  <c r="T327" i="2"/>
  <c r="Z327" i="2" s="1"/>
  <c r="O327" i="2"/>
  <c r="N327" i="2"/>
  <c r="J327" i="2"/>
  <c r="M327" i="2" s="1"/>
  <c r="V326" i="2"/>
  <c r="S326" i="2"/>
  <c r="P325" i="2" s="1"/>
  <c r="M326" i="2"/>
  <c r="J325" i="2" s="1"/>
  <c r="W325" i="2"/>
  <c r="T325" i="2"/>
  <c r="Z325" i="2" s="1"/>
  <c r="N325" i="2"/>
  <c r="Y324" i="2"/>
  <c r="V324" i="2"/>
  <c r="S324" i="2"/>
  <c r="M324" i="2"/>
  <c r="W323" i="2"/>
  <c r="T323" i="2"/>
  <c r="Z323" i="2" s="1"/>
  <c r="P323" i="2"/>
  <c r="V323" i="2" s="1"/>
  <c r="O323" i="2"/>
  <c r="N323" i="2"/>
  <c r="J323" i="2"/>
  <c r="M323" i="2" s="1"/>
  <c r="V322" i="2"/>
  <c r="S322" i="2"/>
  <c r="P321" i="2" s="1"/>
  <c r="M322" i="2"/>
  <c r="J321" i="2" s="1"/>
  <c r="W321" i="2"/>
  <c r="T321" i="2"/>
  <c r="Z321" i="2" s="1"/>
  <c r="N321" i="2"/>
  <c r="Y320" i="2"/>
  <c r="V320" i="2"/>
  <c r="S320" i="2"/>
  <c r="M320" i="2"/>
  <c r="W319" i="2"/>
  <c r="T319" i="2"/>
  <c r="Z319" i="2" s="1"/>
  <c r="P319" i="2"/>
  <c r="V319" i="2" s="1"/>
  <c r="O319" i="2"/>
  <c r="N319" i="2"/>
  <c r="J319" i="2"/>
  <c r="M319" i="2" s="1"/>
  <c r="V318" i="2"/>
  <c r="S318" i="2"/>
  <c r="P317" i="2" s="1"/>
  <c r="M318" i="2"/>
  <c r="W317" i="2"/>
  <c r="T317" i="2"/>
  <c r="Z317" i="2" s="1"/>
  <c r="N317" i="2"/>
  <c r="J317" i="2"/>
  <c r="Y316" i="2"/>
  <c r="V316" i="2"/>
  <c r="S316" i="2"/>
  <c r="M316" i="2"/>
  <c r="W315" i="2"/>
  <c r="T315" i="2"/>
  <c r="Z315" i="2" s="1"/>
  <c r="P315" i="2"/>
  <c r="V315" i="2" s="1"/>
  <c r="N315" i="2"/>
  <c r="J315" i="2"/>
  <c r="M315" i="2" s="1"/>
  <c r="O315" i="2" s="1"/>
  <c r="V314" i="2"/>
  <c r="S314" i="2"/>
  <c r="P313" i="2" s="1"/>
  <c r="M314" i="2"/>
  <c r="W313" i="2"/>
  <c r="T313" i="2"/>
  <c r="N313" i="2"/>
  <c r="J313" i="2"/>
  <c r="N312" i="2"/>
  <c r="V311" i="2"/>
  <c r="S311" i="2"/>
  <c r="Y311" i="2" s="1"/>
  <c r="M311" i="2"/>
  <c r="V310" i="2"/>
  <c r="S310" i="2"/>
  <c r="Y310" i="2" s="1"/>
  <c r="M310" i="2"/>
  <c r="J308" i="2" s="1"/>
  <c r="V309" i="2"/>
  <c r="S309" i="2"/>
  <c r="Y309" i="2" s="1"/>
  <c r="M309" i="2"/>
  <c r="Z308" i="2"/>
  <c r="W308" i="2"/>
  <c r="T308" i="2"/>
  <c r="N308" i="2"/>
  <c r="V307" i="2"/>
  <c r="S307" i="2"/>
  <c r="Y307" i="2" s="1"/>
  <c r="M307" i="2"/>
  <c r="V306" i="2"/>
  <c r="S306" i="2"/>
  <c r="Y306" i="2" s="1"/>
  <c r="M306" i="2"/>
  <c r="V305" i="2"/>
  <c r="S305" i="2"/>
  <c r="Y305" i="2" s="1"/>
  <c r="M305" i="2"/>
  <c r="J303" i="2" s="1"/>
  <c r="V304" i="2"/>
  <c r="S304" i="2"/>
  <c r="Y304" i="2" s="1"/>
  <c r="M304" i="2"/>
  <c r="Z303" i="2"/>
  <c r="W303" i="2"/>
  <c r="T303" i="2"/>
  <c r="P303" i="2"/>
  <c r="N303" i="2"/>
  <c r="V302" i="2"/>
  <c r="S302" i="2"/>
  <c r="M302" i="2"/>
  <c r="W301" i="2"/>
  <c r="T301" i="2"/>
  <c r="Z301" i="2" s="1"/>
  <c r="Z300" i="2" s="1"/>
  <c r="N301" i="2"/>
  <c r="L301" i="2"/>
  <c r="J301" i="2"/>
  <c r="M301" i="2" s="1"/>
  <c r="N300" i="2"/>
  <c r="V295" i="2"/>
  <c r="S295" i="2"/>
  <c r="Y295" i="2" s="1"/>
  <c r="M295" i="2"/>
  <c r="Y294" i="2"/>
  <c r="V294" i="2"/>
  <c r="S294" i="2"/>
  <c r="M294" i="2"/>
  <c r="V293" i="2"/>
  <c r="S293" i="2"/>
  <c r="Y293" i="2" s="1"/>
  <c r="M293" i="2"/>
  <c r="Y292" i="2"/>
  <c r="V292" i="2"/>
  <c r="S292" i="2"/>
  <c r="M292" i="2"/>
  <c r="V291" i="2"/>
  <c r="S291" i="2"/>
  <c r="P290" i="2" s="1"/>
  <c r="M291" i="2"/>
  <c r="Z290" i="2"/>
  <c r="W290" i="2"/>
  <c r="T290" i="2"/>
  <c r="N290" i="2"/>
  <c r="M290" i="2"/>
  <c r="O290" i="2" s="1"/>
  <c r="L290" i="2"/>
  <c r="J290" i="2"/>
  <c r="Y289" i="2"/>
  <c r="V289" i="2"/>
  <c r="S289" i="2"/>
  <c r="M289" i="2"/>
  <c r="V288" i="2"/>
  <c r="S288" i="2"/>
  <c r="Y288" i="2" s="1"/>
  <c r="M288" i="2"/>
  <c r="Y287" i="2"/>
  <c r="V287" i="2"/>
  <c r="S287" i="2"/>
  <c r="M287" i="2"/>
  <c r="V286" i="2"/>
  <c r="S286" i="2"/>
  <c r="Y286" i="2" s="1"/>
  <c r="M286" i="2"/>
  <c r="J284" i="2" s="1"/>
  <c r="Y285" i="2"/>
  <c r="V285" i="2"/>
  <c r="S285" i="2"/>
  <c r="M285" i="2"/>
  <c r="Z284" i="2"/>
  <c r="W284" i="2"/>
  <c r="T284" i="2"/>
  <c r="R284" i="2"/>
  <c r="X284" i="2" s="1"/>
  <c r="P284" i="2"/>
  <c r="V284" i="2" s="1"/>
  <c r="N284" i="2"/>
  <c r="V283" i="2"/>
  <c r="S283" i="2"/>
  <c r="Y283" i="2" s="1"/>
  <c r="M283" i="2"/>
  <c r="Y282" i="2"/>
  <c r="V282" i="2"/>
  <c r="S282" i="2"/>
  <c r="M282" i="2"/>
  <c r="V281" i="2"/>
  <c r="S281" i="2"/>
  <c r="Y281" i="2" s="1"/>
  <c r="M281" i="2"/>
  <c r="Y280" i="2"/>
  <c r="V280" i="2"/>
  <c r="S280" i="2"/>
  <c r="M280" i="2"/>
  <c r="V279" i="2"/>
  <c r="S279" i="2"/>
  <c r="P278" i="2" s="1"/>
  <c r="M279" i="2"/>
  <c r="Z278" i="2"/>
  <c r="W278" i="2"/>
  <c r="V278" i="2"/>
  <c r="T278" i="2"/>
  <c r="N278" i="2"/>
  <c r="M278" i="2"/>
  <c r="O278" i="2" s="1"/>
  <c r="L278" i="2"/>
  <c r="J278" i="2"/>
  <c r="Y277" i="2"/>
  <c r="V277" i="2"/>
  <c r="S277" i="2"/>
  <c r="M277" i="2"/>
  <c r="V276" i="2"/>
  <c r="S276" i="2"/>
  <c r="Y276" i="2" s="1"/>
  <c r="M276" i="2"/>
  <c r="Y275" i="2"/>
  <c r="V275" i="2"/>
  <c r="S275" i="2"/>
  <c r="M275" i="2"/>
  <c r="V274" i="2"/>
  <c r="S274" i="2"/>
  <c r="Y274" i="2" s="1"/>
  <c r="M274" i="2"/>
  <c r="J272" i="2" s="1"/>
  <c r="Y273" i="2"/>
  <c r="V273" i="2"/>
  <c r="S273" i="2"/>
  <c r="M273" i="2"/>
  <c r="Z272" i="2"/>
  <c r="W272" i="2"/>
  <c r="T272" i="2"/>
  <c r="R272" i="2"/>
  <c r="X272" i="2" s="1"/>
  <c r="P272" i="2"/>
  <c r="V272" i="2" s="1"/>
  <c r="N272" i="2"/>
  <c r="V271" i="2"/>
  <c r="S271" i="2"/>
  <c r="Y271" i="2" s="1"/>
  <c r="M271" i="2"/>
  <c r="Y270" i="2"/>
  <c r="V270" i="2"/>
  <c r="S270" i="2"/>
  <c r="M270" i="2"/>
  <c r="V269" i="2"/>
  <c r="S269" i="2"/>
  <c r="Y269" i="2" s="1"/>
  <c r="M269" i="2"/>
  <c r="Y268" i="2"/>
  <c r="V268" i="2"/>
  <c r="S268" i="2"/>
  <c r="M268" i="2"/>
  <c r="V267" i="2"/>
  <c r="S267" i="2"/>
  <c r="P266" i="2" s="1"/>
  <c r="V266" i="2" s="1"/>
  <c r="M267" i="2"/>
  <c r="Z266" i="2"/>
  <c r="W266" i="2"/>
  <c r="T266" i="2"/>
  <c r="N266" i="2"/>
  <c r="M266" i="2"/>
  <c r="O266" i="2" s="1"/>
  <c r="L266" i="2"/>
  <c r="J266" i="2"/>
  <c r="Y265" i="2"/>
  <c r="V265" i="2"/>
  <c r="S265" i="2"/>
  <c r="M265" i="2"/>
  <c r="V264" i="2"/>
  <c r="S264" i="2"/>
  <c r="Y264" i="2" s="1"/>
  <c r="M264" i="2"/>
  <c r="Y263" i="2"/>
  <c r="V263" i="2"/>
  <c r="S263" i="2"/>
  <c r="M263" i="2"/>
  <c r="V262" i="2"/>
  <c r="S262" i="2"/>
  <c r="Y262" i="2" s="1"/>
  <c r="M262" i="2"/>
  <c r="J260" i="2" s="1"/>
  <c r="Y261" i="2"/>
  <c r="V261" i="2"/>
  <c r="S261" i="2"/>
  <c r="M261" i="2"/>
  <c r="Z260" i="2"/>
  <c r="W260" i="2"/>
  <c r="T260" i="2"/>
  <c r="R260" i="2"/>
  <c r="X260" i="2" s="1"/>
  <c r="P260" i="2"/>
  <c r="V260" i="2" s="1"/>
  <c r="N260" i="2"/>
  <c r="V259" i="2"/>
  <c r="S259" i="2"/>
  <c r="Y259" i="2" s="1"/>
  <c r="M259" i="2"/>
  <c r="Y258" i="2"/>
  <c r="V258" i="2"/>
  <c r="S258" i="2"/>
  <c r="M258" i="2"/>
  <c r="V257" i="2"/>
  <c r="S257" i="2"/>
  <c r="Y257" i="2" s="1"/>
  <c r="M257" i="2"/>
  <c r="Y256" i="2"/>
  <c r="V256" i="2"/>
  <c r="S256" i="2"/>
  <c r="M256" i="2"/>
  <c r="V255" i="2"/>
  <c r="S255" i="2"/>
  <c r="M255" i="2"/>
  <c r="Z254" i="2"/>
  <c r="W254" i="2"/>
  <c r="T254" i="2"/>
  <c r="T247" i="2" s="1"/>
  <c r="N254" i="2"/>
  <c r="M254" i="2"/>
  <c r="O254" i="2" s="1"/>
  <c r="L254" i="2"/>
  <c r="J254" i="2"/>
  <c r="Y253" i="2"/>
  <c r="V253" i="2"/>
  <c r="S253" i="2"/>
  <c r="M253" i="2"/>
  <c r="V252" i="2"/>
  <c r="S252" i="2"/>
  <c r="Y252" i="2" s="1"/>
  <c r="M252" i="2"/>
  <c r="Y251" i="2"/>
  <c r="V251" i="2"/>
  <c r="S251" i="2"/>
  <c r="M251" i="2"/>
  <c r="V250" i="2"/>
  <c r="S250" i="2"/>
  <c r="Y250" i="2" s="1"/>
  <c r="M250" i="2"/>
  <c r="J248" i="2" s="1"/>
  <c r="L248" i="2" s="1"/>
  <c r="Y249" i="2"/>
  <c r="V249" i="2"/>
  <c r="S249" i="2"/>
  <c r="M249" i="2"/>
  <c r="Z248" i="2"/>
  <c r="W248" i="2"/>
  <c r="T248" i="2"/>
  <c r="P248" i="2"/>
  <c r="S248" i="2" s="1"/>
  <c r="U248" i="2" s="1"/>
  <c r="N248" i="2"/>
  <c r="M248" i="2"/>
  <c r="Z247" i="2"/>
  <c r="N247" i="2"/>
  <c r="Z246" i="2"/>
  <c r="Z245" i="2" s="1"/>
  <c r="Z244" i="2" s="1"/>
  <c r="Z243" i="2" s="1"/>
  <c r="T246" i="2"/>
  <c r="T245" i="2" s="1"/>
  <c r="T244" i="2" s="1"/>
  <c r="T243" i="2" s="1"/>
  <c r="N246" i="2"/>
  <c r="N245" i="2"/>
  <c r="N244" i="2"/>
  <c r="N243" i="2"/>
  <c r="Z240" i="2"/>
  <c r="AA240" i="2" s="1"/>
  <c r="AA239" i="2" s="1"/>
  <c r="X240" i="2"/>
  <c r="W240" i="2"/>
  <c r="U240" i="2"/>
  <c r="R240" i="2"/>
  <c r="O240" i="2"/>
  <c r="L240" i="2"/>
  <c r="Z239" i="2"/>
  <c r="Y239" i="2"/>
  <c r="U239" i="2"/>
  <c r="T239" i="2"/>
  <c r="S239" i="2"/>
  <c r="O239" i="2"/>
  <c r="N239" i="2"/>
  <c r="M239" i="2"/>
  <c r="V238" i="2"/>
  <c r="S238" i="2"/>
  <c r="Y238" i="2" s="1"/>
  <c r="M238" i="2"/>
  <c r="Z237" i="2"/>
  <c r="AA237" i="2" s="1"/>
  <c r="Y237" i="2"/>
  <c r="W237" i="2"/>
  <c r="V237" i="2"/>
  <c r="U237" i="2"/>
  <c r="R237" i="2"/>
  <c r="X237" i="2" s="1"/>
  <c r="O237" i="2"/>
  <c r="L237" i="2"/>
  <c r="V236" i="2"/>
  <c r="S236" i="2"/>
  <c r="Y236" i="2" s="1"/>
  <c r="M236" i="2"/>
  <c r="Y235" i="2"/>
  <c r="V235" i="2"/>
  <c r="S235" i="2"/>
  <c r="M235" i="2"/>
  <c r="V234" i="2"/>
  <c r="S234" i="2"/>
  <c r="Y234" i="2" s="1"/>
  <c r="M234" i="2"/>
  <c r="Y233" i="2"/>
  <c r="V233" i="2"/>
  <c r="S233" i="2"/>
  <c r="M233" i="2"/>
  <c r="V232" i="2"/>
  <c r="S232" i="2"/>
  <c r="Y232" i="2" s="1"/>
  <c r="M232" i="2"/>
  <c r="Y231" i="2"/>
  <c r="V231" i="2"/>
  <c r="S231" i="2"/>
  <c r="M231" i="2"/>
  <c r="V230" i="2"/>
  <c r="S230" i="2"/>
  <c r="Y230" i="2" s="1"/>
  <c r="M230" i="2"/>
  <c r="Y229" i="2"/>
  <c r="V229" i="2"/>
  <c r="S229" i="2"/>
  <c r="M229" i="2"/>
  <c r="V228" i="2"/>
  <c r="S228" i="2"/>
  <c r="Y228" i="2" s="1"/>
  <c r="M228" i="2"/>
  <c r="Y227" i="2"/>
  <c r="V227" i="2"/>
  <c r="S227" i="2"/>
  <c r="M227" i="2"/>
  <c r="Z226" i="2"/>
  <c r="Y226" i="2"/>
  <c r="AA226" i="2" s="1"/>
  <c r="X226" i="2"/>
  <c r="W226" i="2"/>
  <c r="V226" i="2"/>
  <c r="U226" i="2"/>
  <c r="R226" i="2"/>
  <c r="O226" i="2"/>
  <c r="L226" i="2"/>
  <c r="V225" i="2"/>
  <c r="S225" i="2"/>
  <c r="Y225" i="2" s="1"/>
  <c r="M225" i="2"/>
  <c r="Y224" i="2"/>
  <c r="V224" i="2"/>
  <c r="S224" i="2"/>
  <c r="M224" i="2"/>
  <c r="V223" i="2"/>
  <c r="S223" i="2"/>
  <c r="Y223" i="2" s="1"/>
  <c r="M223" i="2"/>
  <c r="Y222" i="2"/>
  <c r="V222" i="2"/>
  <c r="S222" i="2"/>
  <c r="M222" i="2"/>
  <c r="V221" i="2"/>
  <c r="S221" i="2"/>
  <c r="Y221" i="2" s="1"/>
  <c r="M221" i="2"/>
  <c r="Y220" i="2"/>
  <c r="V220" i="2"/>
  <c r="S220" i="2"/>
  <c r="M220" i="2"/>
  <c r="V219" i="2"/>
  <c r="S219" i="2"/>
  <c r="Y219" i="2" s="1"/>
  <c r="M219" i="2"/>
  <c r="Y218" i="2"/>
  <c r="V218" i="2"/>
  <c r="S218" i="2"/>
  <c r="M218" i="2"/>
  <c r="V217" i="2"/>
  <c r="S217" i="2"/>
  <c r="Y217" i="2" s="1"/>
  <c r="M217" i="2"/>
  <c r="Y216" i="2"/>
  <c r="V216" i="2"/>
  <c r="S216" i="2"/>
  <c r="M216" i="2"/>
  <c r="Z215" i="2"/>
  <c r="Y215" i="2"/>
  <c r="W215" i="2"/>
  <c r="V215" i="2"/>
  <c r="U215" i="2"/>
  <c r="R215" i="2"/>
  <c r="X215" i="2" s="1"/>
  <c r="O215" i="2"/>
  <c r="L215" i="2"/>
  <c r="Y214" i="2"/>
  <c r="V214" i="2"/>
  <c r="S214" i="2"/>
  <c r="M214" i="2"/>
  <c r="V213" i="2"/>
  <c r="S213" i="2"/>
  <c r="Y213" i="2" s="1"/>
  <c r="M213" i="2"/>
  <c r="Y212" i="2"/>
  <c r="V212" i="2"/>
  <c r="S212" i="2"/>
  <c r="M212" i="2"/>
  <c r="V211" i="2"/>
  <c r="S211" i="2"/>
  <c r="Y211" i="2" s="1"/>
  <c r="M211" i="2"/>
  <c r="Y210" i="2"/>
  <c r="V210" i="2"/>
  <c r="S210" i="2"/>
  <c r="M210" i="2"/>
  <c r="V209" i="2"/>
  <c r="S209" i="2"/>
  <c r="Y209" i="2" s="1"/>
  <c r="M209" i="2"/>
  <c r="Y208" i="2"/>
  <c r="V208" i="2"/>
  <c r="S208" i="2"/>
  <c r="M208" i="2"/>
  <c r="V207" i="2"/>
  <c r="S207" i="2"/>
  <c r="Y207" i="2" s="1"/>
  <c r="M207" i="2"/>
  <c r="Y206" i="2"/>
  <c r="V206" i="2"/>
  <c r="S206" i="2"/>
  <c r="M206" i="2"/>
  <c r="V205" i="2"/>
  <c r="S205" i="2"/>
  <c r="Y205" i="2" s="1"/>
  <c r="M205" i="2"/>
  <c r="Z204" i="2"/>
  <c r="Y204" i="2"/>
  <c r="AA204" i="2" s="1"/>
  <c r="X204" i="2"/>
  <c r="W204" i="2"/>
  <c r="V204" i="2"/>
  <c r="U204" i="2"/>
  <c r="R204" i="2"/>
  <c r="O204" i="2"/>
  <c r="L204" i="2"/>
  <c r="AA203" i="2"/>
  <c r="Z203" i="2"/>
  <c r="X203" i="2"/>
  <c r="W203" i="2"/>
  <c r="U203" i="2"/>
  <c r="R203" i="2"/>
  <c r="O203" i="2"/>
  <c r="L203" i="2"/>
  <c r="Y202" i="2"/>
  <c r="V202" i="2"/>
  <c r="S202" i="2"/>
  <c r="M202" i="2"/>
  <c r="Z201" i="2"/>
  <c r="AA201" i="2" s="1"/>
  <c r="Y201" i="2"/>
  <c r="X201" i="2"/>
  <c r="W201" i="2"/>
  <c r="V201" i="2"/>
  <c r="U201" i="2"/>
  <c r="R201" i="2"/>
  <c r="O201" i="2"/>
  <c r="L201" i="2"/>
  <c r="V200" i="2"/>
  <c r="S200" i="2"/>
  <c r="Y200" i="2" s="1"/>
  <c r="M200" i="2"/>
  <c r="AA199" i="2"/>
  <c r="Z199" i="2"/>
  <c r="Z198" i="2" s="1"/>
  <c r="Y199" i="2"/>
  <c r="Y198" i="2" s="1"/>
  <c r="W199" i="2"/>
  <c r="V199" i="2"/>
  <c r="U199" i="2"/>
  <c r="U198" i="2" s="1"/>
  <c r="R199" i="2"/>
  <c r="X199" i="2" s="1"/>
  <c r="O199" i="2"/>
  <c r="L199" i="2"/>
  <c r="T198" i="2"/>
  <c r="S198" i="2"/>
  <c r="O198" i="2"/>
  <c r="N198" i="2"/>
  <c r="M198" i="2"/>
  <c r="V197" i="2"/>
  <c r="S197" i="2"/>
  <c r="Y197" i="2" s="1"/>
  <c r="M197" i="2"/>
  <c r="Y196" i="2"/>
  <c r="V196" i="2"/>
  <c r="S196" i="2"/>
  <c r="M196" i="2"/>
  <c r="Z195" i="2"/>
  <c r="Y195" i="2"/>
  <c r="AA195" i="2" s="1"/>
  <c r="X195" i="2"/>
  <c r="W195" i="2"/>
  <c r="V195" i="2"/>
  <c r="U195" i="2"/>
  <c r="R195" i="2"/>
  <c r="O195" i="2"/>
  <c r="L195" i="2"/>
  <c r="Y194" i="2"/>
  <c r="V194" i="2"/>
  <c r="S194" i="2"/>
  <c r="M194" i="2"/>
  <c r="Y193" i="2"/>
  <c r="V193" i="2"/>
  <c r="S193" i="2"/>
  <c r="M193" i="2"/>
  <c r="Z192" i="2"/>
  <c r="AA192" i="2" s="1"/>
  <c r="Y192" i="2"/>
  <c r="X192" i="2"/>
  <c r="W192" i="2"/>
  <c r="V192" i="2"/>
  <c r="U192" i="2"/>
  <c r="R192" i="2"/>
  <c r="O192" i="2"/>
  <c r="L192" i="2"/>
  <c r="Y191" i="2"/>
  <c r="V191" i="2"/>
  <c r="S191" i="2"/>
  <c r="M191" i="2"/>
  <c r="V190" i="2"/>
  <c r="S190" i="2"/>
  <c r="Y190" i="2" s="1"/>
  <c r="M190" i="2"/>
  <c r="Z189" i="2"/>
  <c r="AA189" i="2" s="1"/>
  <c r="Y189" i="2"/>
  <c r="W189" i="2"/>
  <c r="V189" i="2"/>
  <c r="U189" i="2"/>
  <c r="R189" i="2"/>
  <c r="X189" i="2" s="1"/>
  <c r="O189" i="2"/>
  <c r="O185" i="2" s="1"/>
  <c r="L189" i="2"/>
  <c r="Y188" i="2"/>
  <c r="V188" i="2"/>
  <c r="S188" i="2"/>
  <c r="M188" i="2"/>
  <c r="Y187" i="2"/>
  <c r="V187" i="2"/>
  <c r="S187" i="2"/>
  <c r="M187" i="2"/>
  <c r="AA186" i="2"/>
  <c r="AA185" i="2" s="1"/>
  <c r="Z186" i="2"/>
  <c r="Z185" i="2" s="1"/>
  <c r="Y186" i="2"/>
  <c r="W186" i="2"/>
  <c r="V186" i="2"/>
  <c r="U186" i="2"/>
  <c r="R186" i="2"/>
  <c r="X186" i="2" s="1"/>
  <c r="O186" i="2"/>
  <c r="L186" i="2"/>
  <c r="Y185" i="2"/>
  <c r="U185" i="2"/>
  <c r="T185" i="2"/>
  <c r="S185" i="2"/>
  <c r="N185" i="2"/>
  <c r="M185" i="2"/>
  <c r="V184" i="2"/>
  <c r="S184" i="2"/>
  <c r="Y184" i="2" s="1"/>
  <c r="M184" i="2"/>
  <c r="Y183" i="2"/>
  <c r="V183" i="2"/>
  <c r="S183" i="2"/>
  <c r="M183" i="2"/>
  <c r="Z182" i="2"/>
  <c r="Y182" i="2"/>
  <c r="AA182" i="2" s="1"/>
  <c r="X182" i="2"/>
  <c r="W182" i="2"/>
  <c r="V182" i="2"/>
  <c r="U182" i="2"/>
  <c r="R182" i="2"/>
  <c r="O182" i="2"/>
  <c r="L182" i="2"/>
  <c r="Y181" i="2"/>
  <c r="V181" i="2"/>
  <c r="S181" i="2"/>
  <c r="M181" i="2"/>
  <c r="Y180" i="2"/>
  <c r="V180" i="2"/>
  <c r="S180" i="2"/>
  <c r="M180" i="2"/>
  <c r="Y179" i="2"/>
  <c r="V179" i="2"/>
  <c r="S179" i="2"/>
  <c r="M179" i="2"/>
  <c r="Y178" i="2"/>
  <c r="V178" i="2"/>
  <c r="S178" i="2"/>
  <c r="M178" i="2"/>
  <c r="AA177" i="2"/>
  <c r="AA176" i="2" s="1"/>
  <c r="AA175" i="2" s="1"/>
  <c r="Z177" i="2"/>
  <c r="Z176" i="2" s="1"/>
  <c r="Z175" i="2" s="1"/>
  <c r="Y177" i="2"/>
  <c r="Y176" i="2" s="1"/>
  <c r="Y175" i="2" s="1"/>
  <c r="W177" i="2"/>
  <c r="V177" i="2"/>
  <c r="U177" i="2"/>
  <c r="R177" i="2"/>
  <c r="X177" i="2" s="1"/>
  <c r="O177" i="2"/>
  <c r="O176" i="2" s="1"/>
  <c r="O175" i="2" s="1"/>
  <c r="L177" i="2"/>
  <c r="U176" i="2"/>
  <c r="U175" i="2" s="1"/>
  <c r="T176" i="2"/>
  <c r="S176" i="2"/>
  <c r="N176" i="2"/>
  <c r="M176" i="2"/>
  <c r="M175" i="2" s="1"/>
  <c r="T175" i="2"/>
  <c r="S175" i="2"/>
  <c r="N175" i="2"/>
  <c r="Y174" i="2"/>
  <c r="V174" i="2"/>
  <c r="S174" i="2"/>
  <c r="M174" i="2"/>
  <c r="Y173" i="2"/>
  <c r="V173" i="2"/>
  <c r="S173" i="2"/>
  <c r="M173" i="2"/>
  <c r="Y172" i="2"/>
  <c r="V172" i="2"/>
  <c r="S172" i="2"/>
  <c r="M172" i="2"/>
  <c r="Y171" i="2"/>
  <c r="V171" i="2"/>
  <c r="S171" i="2"/>
  <c r="M171" i="2"/>
  <c r="Z170" i="2"/>
  <c r="AA170" i="2" s="1"/>
  <c r="Y170" i="2"/>
  <c r="X170" i="2"/>
  <c r="W170" i="2"/>
  <c r="V170" i="2"/>
  <c r="U170" i="2"/>
  <c r="U161" i="2" s="1"/>
  <c r="R170" i="2"/>
  <c r="O170" i="2"/>
  <c r="L170" i="2"/>
  <c r="V169" i="2"/>
  <c r="S169" i="2"/>
  <c r="Y169" i="2" s="1"/>
  <c r="M169" i="2"/>
  <c r="Y168" i="2"/>
  <c r="V168" i="2"/>
  <c r="S168" i="2"/>
  <c r="M168" i="2"/>
  <c r="Z167" i="2"/>
  <c r="Y167" i="2"/>
  <c r="AA167" i="2" s="1"/>
  <c r="X167" i="2"/>
  <c r="W167" i="2"/>
  <c r="V167" i="2"/>
  <c r="U167" i="2"/>
  <c r="R167" i="2"/>
  <c r="O167" i="2"/>
  <c r="L167" i="2"/>
  <c r="Y166" i="2"/>
  <c r="V166" i="2"/>
  <c r="S166" i="2"/>
  <c r="M166" i="2"/>
  <c r="Y165" i="2"/>
  <c r="V165" i="2"/>
  <c r="S165" i="2"/>
  <c r="M165" i="2"/>
  <c r="AA164" i="2"/>
  <c r="Z164" i="2"/>
  <c r="Y164" i="2"/>
  <c r="W164" i="2"/>
  <c r="V164" i="2"/>
  <c r="U164" i="2"/>
  <c r="R164" i="2"/>
  <c r="X164" i="2" s="1"/>
  <c r="O164" i="2"/>
  <c r="O161" i="2" s="1"/>
  <c r="O154" i="2" s="1"/>
  <c r="L164" i="2"/>
  <c r="Y163" i="2"/>
  <c r="V163" i="2"/>
  <c r="S163" i="2"/>
  <c r="M163" i="2"/>
  <c r="Z162" i="2"/>
  <c r="Z161" i="2" s="1"/>
  <c r="Y162" i="2"/>
  <c r="Y161" i="2" s="1"/>
  <c r="X162" i="2"/>
  <c r="W162" i="2"/>
  <c r="V162" i="2"/>
  <c r="U162" i="2"/>
  <c r="R162" i="2"/>
  <c r="O162" i="2"/>
  <c r="L162" i="2"/>
  <c r="T161" i="2"/>
  <c r="S161" i="2"/>
  <c r="N161" i="2"/>
  <c r="M161" i="2"/>
  <c r="Y160" i="2"/>
  <c r="V160" i="2"/>
  <c r="S160" i="2"/>
  <c r="M160" i="2"/>
  <c r="V159" i="2"/>
  <c r="S159" i="2"/>
  <c r="Y159" i="2" s="1"/>
  <c r="M159" i="2"/>
  <c r="Y158" i="2"/>
  <c r="V158" i="2"/>
  <c r="S158" i="2"/>
  <c r="M158" i="2"/>
  <c r="V157" i="2"/>
  <c r="S157" i="2"/>
  <c r="Y157" i="2" s="1"/>
  <c r="M157" i="2"/>
  <c r="Z156" i="2"/>
  <c r="AA156" i="2" s="1"/>
  <c r="AA155" i="2" s="1"/>
  <c r="Y156" i="2"/>
  <c r="W156" i="2"/>
  <c r="V156" i="2"/>
  <c r="U156" i="2"/>
  <c r="U155" i="2" s="1"/>
  <c r="U154" i="2" s="1"/>
  <c r="R156" i="2"/>
  <c r="X156" i="2" s="1"/>
  <c r="O156" i="2"/>
  <c r="L156" i="2"/>
  <c r="Y155" i="2"/>
  <c r="T155" i="2"/>
  <c r="S155" i="2"/>
  <c r="S154" i="2" s="1"/>
  <c r="S64" i="2" s="1"/>
  <c r="S63" i="2" s="1"/>
  <c r="S62" i="2" s="1"/>
  <c r="O155" i="2"/>
  <c r="N155" i="2"/>
  <c r="N154" i="2" s="1"/>
  <c r="M155" i="2"/>
  <c r="M154" i="2" s="1"/>
  <c r="T154" i="2"/>
  <c r="T64" i="2" s="1"/>
  <c r="T63" i="2" s="1"/>
  <c r="T62" i="2" s="1"/>
  <c r="V153" i="2"/>
  <c r="S153" i="2"/>
  <c r="Y153" i="2" s="1"/>
  <c r="M153" i="2"/>
  <c r="Y152" i="2"/>
  <c r="V152" i="2"/>
  <c r="S152" i="2"/>
  <c r="M152" i="2"/>
  <c r="V151" i="2"/>
  <c r="S151" i="2"/>
  <c r="Y151" i="2" s="1"/>
  <c r="M151" i="2"/>
  <c r="Y150" i="2"/>
  <c r="V150" i="2"/>
  <c r="S150" i="2"/>
  <c r="M150" i="2"/>
  <c r="Z149" i="2"/>
  <c r="Y149" i="2"/>
  <c r="AA149" i="2" s="1"/>
  <c r="X149" i="2"/>
  <c r="W149" i="2"/>
  <c r="V149" i="2"/>
  <c r="U149" i="2"/>
  <c r="R149" i="2"/>
  <c r="O149" i="2"/>
  <c r="L149" i="2"/>
  <c r="Y148" i="2"/>
  <c r="V148" i="2"/>
  <c r="S148" i="2"/>
  <c r="M148" i="2"/>
  <c r="Y147" i="2"/>
  <c r="V147" i="2"/>
  <c r="S147" i="2"/>
  <c r="M147" i="2"/>
  <c r="Y146" i="2"/>
  <c r="V146" i="2"/>
  <c r="S146" i="2"/>
  <c r="M146" i="2"/>
  <c r="Y145" i="2"/>
  <c r="V145" i="2"/>
  <c r="S145" i="2"/>
  <c r="M145" i="2"/>
  <c r="Z144" i="2"/>
  <c r="AA144" i="2" s="1"/>
  <c r="Y144" i="2"/>
  <c r="X144" i="2"/>
  <c r="W144" i="2"/>
  <c r="V144" i="2"/>
  <c r="U144" i="2"/>
  <c r="R144" i="2"/>
  <c r="O144" i="2"/>
  <c r="L144" i="2"/>
  <c r="Y143" i="2"/>
  <c r="V143" i="2"/>
  <c r="S143" i="2"/>
  <c r="M143" i="2"/>
  <c r="V142" i="2"/>
  <c r="S142" i="2"/>
  <c r="Y142" i="2" s="1"/>
  <c r="M142" i="2"/>
  <c r="Y141" i="2"/>
  <c r="V141" i="2"/>
  <c r="S141" i="2"/>
  <c r="M141" i="2"/>
  <c r="V140" i="2"/>
  <c r="S140" i="2"/>
  <c r="Y140" i="2" s="1"/>
  <c r="M140" i="2"/>
  <c r="Z139" i="2"/>
  <c r="AA139" i="2" s="1"/>
  <c r="Y139" i="2"/>
  <c r="W139" i="2"/>
  <c r="V139" i="2"/>
  <c r="U139" i="2"/>
  <c r="R139" i="2"/>
  <c r="X139" i="2" s="1"/>
  <c r="O139" i="2"/>
  <c r="L139" i="2"/>
  <c r="Y138" i="2"/>
  <c r="V138" i="2"/>
  <c r="S138" i="2"/>
  <c r="M138" i="2"/>
  <c r="Y137" i="2"/>
  <c r="V137" i="2"/>
  <c r="S137" i="2"/>
  <c r="M137" i="2"/>
  <c r="Y136" i="2"/>
  <c r="V136" i="2"/>
  <c r="S136" i="2"/>
  <c r="M136" i="2"/>
  <c r="Y135" i="2"/>
  <c r="V135" i="2"/>
  <c r="S135" i="2"/>
  <c r="M135" i="2"/>
  <c r="Z134" i="2"/>
  <c r="AA134" i="2" s="1"/>
  <c r="Y134" i="2"/>
  <c r="W134" i="2"/>
  <c r="V134" i="2"/>
  <c r="U134" i="2"/>
  <c r="R134" i="2"/>
  <c r="X134" i="2" s="1"/>
  <c r="O134" i="2"/>
  <c r="L134" i="2"/>
  <c r="V133" i="2"/>
  <c r="S133" i="2"/>
  <c r="Y133" i="2" s="1"/>
  <c r="M133" i="2"/>
  <c r="Y132" i="2"/>
  <c r="V132" i="2"/>
  <c r="S132" i="2"/>
  <c r="M132" i="2"/>
  <c r="V131" i="2"/>
  <c r="S131" i="2"/>
  <c r="Y131" i="2" s="1"/>
  <c r="M131" i="2"/>
  <c r="Y130" i="2"/>
  <c r="V130" i="2"/>
  <c r="S130" i="2"/>
  <c r="M130" i="2"/>
  <c r="Z129" i="2"/>
  <c r="Y129" i="2"/>
  <c r="AA129" i="2" s="1"/>
  <c r="X129" i="2"/>
  <c r="W129" i="2"/>
  <c r="V129" i="2"/>
  <c r="U129" i="2"/>
  <c r="R129" i="2"/>
  <c r="O129" i="2"/>
  <c r="L129" i="2"/>
  <c r="Y128" i="2"/>
  <c r="V128" i="2"/>
  <c r="S128" i="2"/>
  <c r="M128" i="2"/>
  <c r="Y127" i="2"/>
  <c r="V127" i="2"/>
  <c r="S127" i="2"/>
  <c r="M127" i="2"/>
  <c r="Y126" i="2"/>
  <c r="V126" i="2"/>
  <c r="S126" i="2"/>
  <c r="M126" i="2"/>
  <c r="V125" i="2"/>
  <c r="S125" i="2"/>
  <c r="Y125" i="2" s="1"/>
  <c r="M125" i="2"/>
  <c r="Z124" i="2"/>
  <c r="AA124" i="2" s="1"/>
  <c r="Y124" i="2"/>
  <c r="X124" i="2"/>
  <c r="W124" i="2"/>
  <c r="V124" i="2"/>
  <c r="U124" i="2"/>
  <c r="R124" i="2"/>
  <c r="O124" i="2"/>
  <c r="L124" i="2"/>
  <c r="Y123" i="2"/>
  <c r="V123" i="2"/>
  <c r="S123" i="2"/>
  <c r="M123" i="2"/>
  <c r="V122" i="2"/>
  <c r="S122" i="2"/>
  <c r="Y122" i="2" s="1"/>
  <c r="M122" i="2"/>
  <c r="Y121" i="2"/>
  <c r="V121" i="2"/>
  <c r="S121" i="2"/>
  <c r="M121" i="2"/>
  <c r="V120" i="2"/>
  <c r="S120" i="2"/>
  <c r="Y120" i="2" s="1"/>
  <c r="M120" i="2"/>
  <c r="Z119" i="2"/>
  <c r="AA119" i="2" s="1"/>
  <c r="Y119" i="2"/>
  <c r="W119" i="2"/>
  <c r="V119" i="2"/>
  <c r="U119" i="2"/>
  <c r="R119" i="2"/>
  <c r="X119" i="2" s="1"/>
  <c r="O119" i="2"/>
  <c r="L119" i="2"/>
  <c r="Y118" i="2"/>
  <c r="V118" i="2"/>
  <c r="S118" i="2"/>
  <c r="M118" i="2"/>
  <c r="Y117" i="2"/>
  <c r="V117" i="2"/>
  <c r="S117" i="2"/>
  <c r="M117" i="2"/>
  <c r="Y116" i="2"/>
  <c r="V116" i="2"/>
  <c r="S116" i="2"/>
  <c r="M116" i="2"/>
  <c r="Y115" i="2"/>
  <c r="V115" i="2"/>
  <c r="S115" i="2"/>
  <c r="M115" i="2"/>
  <c r="Z114" i="2"/>
  <c r="Y114" i="2"/>
  <c r="AA114" i="2" s="1"/>
  <c r="W114" i="2"/>
  <c r="V114" i="2"/>
  <c r="U114" i="2"/>
  <c r="R114" i="2"/>
  <c r="X114" i="2" s="1"/>
  <c r="O114" i="2"/>
  <c r="L114" i="2"/>
  <c r="V113" i="2"/>
  <c r="S113" i="2"/>
  <c r="Y113" i="2" s="1"/>
  <c r="M113" i="2"/>
  <c r="Y112" i="2"/>
  <c r="V112" i="2"/>
  <c r="S112" i="2"/>
  <c r="M112" i="2"/>
  <c r="Z111" i="2"/>
  <c r="Y111" i="2"/>
  <c r="AA111" i="2" s="1"/>
  <c r="X111" i="2"/>
  <c r="W111" i="2"/>
  <c r="V111" i="2"/>
  <c r="U111" i="2"/>
  <c r="R111" i="2"/>
  <c r="O111" i="2"/>
  <c r="L111" i="2"/>
  <c r="Y110" i="2"/>
  <c r="V110" i="2"/>
  <c r="S110" i="2"/>
  <c r="M110" i="2"/>
  <c r="Y109" i="2"/>
  <c r="V109" i="2"/>
  <c r="S109" i="2"/>
  <c r="M109" i="2"/>
  <c r="Y108" i="2"/>
  <c r="V108" i="2"/>
  <c r="S108" i="2"/>
  <c r="M108" i="2"/>
  <c r="Z107" i="2"/>
  <c r="Y107" i="2"/>
  <c r="AA107" i="2" s="1"/>
  <c r="W107" i="2"/>
  <c r="V107" i="2"/>
  <c r="U107" i="2"/>
  <c r="R107" i="2"/>
  <c r="X107" i="2" s="1"/>
  <c r="O107" i="2"/>
  <c r="L107" i="2"/>
  <c r="V106" i="2"/>
  <c r="S106" i="2"/>
  <c r="Y106" i="2" s="1"/>
  <c r="M106" i="2"/>
  <c r="Y105" i="2"/>
  <c r="V105" i="2"/>
  <c r="S105" i="2"/>
  <c r="M105" i="2"/>
  <c r="V104" i="2"/>
  <c r="S104" i="2"/>
  <c r="Y104" i="2" s="1"/>
  <c r="M104" i="2"/>
  <c r="Y103" i="2"/>
  <c r="V103" i="2"/>
  <c r="S103" i="2"/>
  <c r="M103" i="2"/>
  <c r="Z102" i="2"/>
  <c r="Y102" i="2"/>
  <c r="Y101" i="2" s="1"/>
  <c r="X102" i="2"/>
  <c r="W102" i="2"/>
  <c r="V102" i="2"/>
  <c r="U102" i="2"/>
  <c r="R102" i="2"/>
  <c r="O102" i="2"/>
  <c r="L102" i="2"/>
  <c r="Z101" i="2"/>
  <c r="U101" i="2"/>
  <c r="T101" i="2"/>
  <c r="S101" i="2"/>
  <c r="O101" i="2"/>
  <c r="N101" i="2"/>
  <c r="M101" i="2"/>
  <c r="Y100" i="2"/>
  <c r="V100" i="2"/>
  <c r="S100" i="2"/>
  <c r="M100" i="2"/>
  <c r="Z99" i="2"/>
  <c r="Y99" i="2"/>
  <c r="AA99" i="2" s="1"/>
  <c r="X99" i="2"/>
  <c r="W99" i="2"/>
  <c r="V99" i="2"/>
  <c r="U99" i="2"/>
  <c r="R99" i="2"/>
  <c r="O99" i="2"/>
  <c r="L99" i="2"/>
  <c r="V98" i="2"/>
  <c r="S98" i="2"/>
  <c r="Y98" i="2" s="1"/>
  <c r="M98" i="2"/>
  <c r="AA97" i="2"/>
  <c r="Z97" i="2"/>
  <c r="Y97" i="2"/>
  <c r="W97" i="2"/>
  <c r="V97" i="2"/>
  <c r="U97" i="2"/>
  <c r="R97" i="2"/>
  <c r="X97" i="2" s="1"/>
  <c r="O97" i="2"/>
  <c r="L97" i="2"/>
  <c r="V96" i="2"/>
  <c r="S96" i="2"/>
  <c r="Y96" i="2" s="1"/>
  <c r="M96" i="2"/>
  <c r="AA95" i="2"/>
  <c r="Z95" i="2"/>
  <c r="Y95" i="2"/>
  <c r="W95" i="2"/>
  <c r="V95" i="2"/>
  <c r="U95" i="2"/>
  <c r="R95" i="2"/>
  <c r="X95" i="2" s="1"/>
  <c r="O95" i="2"/>
  <c r="L95" i="2"/>
  <c r="Y94" i="2"/>
  <c r="V94" i="2"/>
  <c r="S94" i="2"/>
  <c r="M94" i="2"/>
  <c r="Z93" i="2"/>
  <c r="Y93" i="2"/>
  <c r="AA93" i="2" s="1"/>
  <c r="X93" i="2"/>
  <c r="W93" i="2"/>
  <c r="V93" i="2"/>
  <c r="U93" i="2"/>
  <c r="R93" i="2"/>
  <c r="O93" i="2"/>
  <c r="L93" i="2"/>
  <c r="Y92" i="2"/>
  <c r="V92" i="2"/>
  <c r="S92" i="2"/>
  <c r="M92" i="2"/>
  <c r="Z91" i="2"/>
  <c r="Y91" i="2"/>
  <c r="AA91" i="2" s="1"/>
  <c r="X91" i="2"/>
  <c r="W91" i="2"/>
  <c r="V91" i="2"/>
  <c r="U91" i="2"/>
  <c r="R91" i="2"/>
  <c r="O91" i="2"/>
  <c r="L91" i="2"/>
  <c r="V90" i="2"/>
  <c r="S90" i="2"/>
  <c r="Y90" i="2" s="1"/>
  <c r="M90" i="2"/>
  <c r="AA89" i="2"/>
  <c r="Z89" i="2"/>
  <c r="Y89" i="2"/>
  <c r="W89" i="2"/>
  <c r="V89" i="2"/>
  <c r="U89" i="2"/>
  <c r="R89" i="2"/>
  <c r="X89" i="2" s="1"/>
  <c r="O89" i="2"/>
  <c r="L89" i="2"/>
  <c r="V88" i="2"/>
  <c r="S88" i="2"/>
  <c r="Y88" i="2" s="1"/>
  <c r="M88" i="2"/>
  <c r="AA87" i="2"/>
  <c r="Z87" i="2"/>
  <c r="Y87" i="2"/>
  <c r="W87" i="2"/>
  <c r="V87" i="2"/>
  <c r="U87" i="2"/>
  <c r="R87" i="2"/>
  <c r="X87" i="2" s="1"/>
  <c r="O87" i="2"/>
  <c r="L87" i="2"/>
  <c r="Y86" i="2"/>
  <c r="V86" i="2"/>
  <c r="S86" i="2"/>
  <c r="M86" i="2"/>
  <c r="Z85" i="2"/>
  <c r="Y85" i="2"/>
  <c r="AA85" i="2" s="1"/>
  <c r="X85" i="2"/>
  <c r="W85" i="2"/>
  <c r="V85" i="2"/>
  <c r="U85" i="2"/>
  <c r="R85" i="2"/>
  <c r="O85" i="2"/>
  <c r="L85" i="2"/>
  <c r="Y84" i="2"/>
  <c r="V84" i="2"/>
  <c r="S84" i="2"/>
  <c r="M84" i="2"/>
  <c r="Z83" i="2"/>
  <c r="Y83" i="2"/>
  <c r="AA83" i="2" s="1"/>
  <c r="X83" i="2"/>
  <c r="W83" i="2"/>
  <c r="V83" i="2"/>
  <c r="U83" i="2"/>
  <c r="R83" i="2"/>
  <c r="O83" i="2"/>
  <c r="L83" i="2"/>
  <c r="V82" i="2"/>
  <c r="S82" i="2"/>
  <c r="Y82" i="2" s="1"/>
  <c r="M82" i="2"/>
  <c r="AA81" i="2"/>
  <c r="Z81" i="2"/>
  <c r="Y81" i="2"/>
  <c r="W81" i="2"/>
  <c r="V81" i="2"/>
  <c r="U81" i="2"/>
  <c r="R81" i="2"/>
  <c r="X81" i="2" s="1"/>
  <c r="O81" i="2"/>
  <c r="L81" i="2"/>
  <c r="V80" i="2"/>
  <c r="S80" i="2"/>
  <c r="Y80" i="2" s="1"/>
  <c r="M80" i="2"/>
  <c r="AA79" i="2"/>
  <c r="Z79" i="2"/>
  <c r="Z78" i="2" s="1"/>
  <c r="Y79" i="2"/>
  <c r="Y78" i="2" s="1"/>
  <c r="Y65" i="2" s="1"/>
  <c r="W79" i="2"/>
  <c r="V79" i="2"/>
  <c r="U79" i="2"/>
  <c r="U78" i="2" s="1"/>
  <c r="R79" i="2"/>
  <c r="X79" i="2" s="1"/>
  <c r="O79" i="2"/>
  <c r="L79" i="2"/>
  <c r="T78" i="2"/>
  <c r="S78" i="2"/>
  <c r="O78" i="2"/>
  <c r="N78" i="2"/>
  <c r="M78" i="2"/>
  <c r="V77" i="2"/>
  <c r="S77" i="2"/>
  <c r="Y77" i="2" s="1"/>
  <c r="M77" i="2"/>
  <c r="Y76" i="2"/>
  <c r="V76" i="2"/>
  <c r="S76" i="2"/>
  <c r="M76" i="2"/>
  <c r="V75" i="2"/>
  <c r="S75" i="2"/>
  <c r="Y75" i="2" s="1"/>
  <c r="M75" i="2"/>
  <c r="Z74" i="2"/>
  <c r="AA74" i="2" s="1"/>
  <c r="Y74" i="2"/>
  <c r="X74" i="2"/>
  <c r="W74" i="2"/>
  <c r="V74" i="2"/>
  <c r="U74" i="2"/>
  <c r="R74" i="2"/>
  <c r="O74" i="2"/>
  <c r="L74" i="2"/>
  <c r="Y73" i="2"/>
  <c r="V73" i="2"/>
  <c r="S73" i="2"/>
  <c r="M73" i="2"/>
  <c r="V72" i="2"/>
  <c r="S72" i="2"/>
  <c r="Y72" i="2" s="1"/>
  <c r="M72" i="2"/>
  <c r="Y71" i="2"/>
  <c r="V71" i="2"/>
  <c r="S71" i="2"/>
  <c r="M71" i="2"/>
  <c r="V70" i="2"/>
  <c r="S70" i="2"/>
  <c r="Y70" i="2" s="1"/>
  <c r="M70" i="2"/>
  <c r="Z69" i="2"/>
  <c r="AA69" i="2" s="1"/>
  <c r="Y69" i="2"/>
  <c r="W69" i="2"/>
  <c r="V69" i="2"/>
  <c r="U69" i="2"/>
  <c r="U66" i="2" s="1"/>
  <c r="R69" i="2"/>
  <c r="X69" i="2" s="1"/>
  <c r="O69" i="2"/>
  <c r="L69" i="2"/>
  <c r="V68" i="2"/>
  <c r="S68" i="2"/>
  <c r="Y68" i="2" s="1"/>
  <c r="M68" i="2"/>
  <c r="Z67" i="2"/>
  <c r="Z66" i="2" s="1"/>
  <c r="Z65" i="2" s="1"/>
  <c r="Y67" i="2"/>
  <c r="X67" i="2"/>
  <c r="W67" i="2"/>
  <c r="V67" i="2"/>
  <c r="U67" i="2"/>
  <c r="R67" i="2"/>
  <c r="O67" i="2"/>
  <c r="L67" i="2"/>
  <c r="Y66" i="2"/>
  <c r="T66" i="2"/>
  <c r="S66" i="2"/>
  <c r="O66" i="2"/>
  <c r="N66" i="2"/>
  <c r="N65" i="2" s="1"/>
  <c r="N64" i="2" s="1"/>
  <c r="N63" i="2" s="1"/>
  <c r="N62" i="2" s="1"/>
  <c r="M66" i="2"/>
  <c r="T65" i="2"/>
  <c r="S65" i="2"/>
  <c r="O65" i="2"/>
  <c r="O64" i="2" s="1"/>
  <c r="O63" i="2" s="1"/>
  <c r="O62" i="2" s="1"/>
  <c r="M65" i="2"/>
  <c r="M64" i="2" s="1"/>
  <c r="M63" i="2" s="1"/>
  <c r="M62" i="2" s="1"/>
  <c r="V61" i="2"/>
  <c r="S61" i="2"/>
  <c r="Y61" i="2" s="1"/>
  <c r="M61" i="2"/>
  <c r="Y60" i="2"/>
  <c r="V60" i="2"/>
  <c r="S60" i="2"/>
  <c r="M60" i="2"/>
  <c r="V59" i="2"/>
  <c r="S59" i="2"/>
  <c r="Y59" i="2" s="1"/>
  <c r="M59" i="2"/>
  <c r="Y58" i="2"/>
  <c r="V58" i="2"/>
  <c r="S58" i="2"/>
  <c r="M58" i="2"/>
  <c r="V57" i="2"/>
  <c r="S57" i="2"/>
  <c r="Y57" i="2" s="1"/>
  <c r="M57" i="2"/>
  <c r="AA56" i="2"/>
  <c r="Z56" i="2"/>
  <c r="Y56" i="2"/>
  <c r="W56" i="2"/>
  <c r="V56" i="2"/>
  <c r="U56" i="2"/>
  <c r="R56" i="2"/>
  <c r="X56" i="2" s="1"/>
  <c r="O56" i="2"/>
  <c r="L56" i="2"/>
  <c r="V55" i="2"/>
  <c r="S55" i="2"/>
  <c r="Y55" i="2" s="1"/>
  <c r="M55" i="2"/>
  <c r="Y54" i="2"/>
  <c r="V54" i="2"/>
  <c r="S54" i="2"/>
  <c r="M54" i="2"/>
  <c r="V53" i="2"/>
  <c r="S53" i="2"/>
  <c r="Y53" i="2" s="1"/>
  <c r="M53" i="2"/>
  <c r="Y52" i="2"/>
  <c r="V52" i="2"/>
  <c r="S52" i="2"/>
  <c r="M52" i="2"/>
  <c r="V51" i="2"/>
  <c r="S51" i="2"/>
  <c r="Y51" i="2" s="1"/>
  <c r="M51" i="2"/>
  <c r="AA50" i="2"/>
  <c r="Z50" i="2"/>
  <c r="Y50" i="2"/>
  <c r="W50" i="2"/>
  <c r="V50" i="2"/>
  <c r="U50" i="2"/>
  <c r="R50" i="2"/>
  <c r="X50" i="2" s="1"/>
  <c r="O50" i="2"/>
  <c r="L50" i="2"/>
  <c r="Y49" i="2"/>
  <c r="V49" i="2"/>
  <c r="S49" i="2"/>
  <c r="M49" i="2"/>
  <c r="V48" i="2"/>
  <c r="S48" i="2"/>
  <c r="Y48" i="2" s="1"/>
  <c r="M48" i="2"/>
  <c r="Y47" i="2"/>
  <c r="V47" i="2"/>
  <c r="S47" i="2"/>
  <c r="M47" i="2"/>
  <c r="V46" i="2"/>
  <c r="S46" i="2"/>
  <c r="Y46" i="2" s="1"/>
  <c r="M46" i="2"/>
  <c r="Y45" i="2"/>
  <c r="V45" i="2"/>
  <c r="S45" i="2"/>
  <c r="M45" i="2"/>
  <c r="Z44" i="2"/>
  <c r="Y44" i="2"/>
  <c r="AA44" i="2" s="1"/>
  <c r="W44" i="2"/>
  <c r="V44" i="2"/>
  <c r="U44" i="2"/>
  <c r="R44" i="2"/>
  <c r="X44" i="2" s="1"/>
  <c r="O44" i="2"/>
  <c r="L44" i="2"/>
  <c r="Y43" i="2"/>
  <c r="V43" i="2"/>
  <c r="S43" i="2"/>
  <c r="M43" i="2"/>
  <c r="V42" i="2"/>
  <c r="S42" i="2"/>
  <c r="Y42" i="2" s="1"/>
  <c r="M42" i="2"/>
  <c r="Y41" i="2"/>
  <c r="V41" i="2"/>
  <c r="S41" i="2"/>
  <c r="M41" i="2"/>
  <c r="V40" i="2"/>
  <c r="S40" i="2"/>
  <c r="Y40" i="2" s="1"/>
  <c r="M40" i="2"/>
  <c r="Y39" i="2"/>
  <c r="V39" i="2"/>
  <c r="S39" i="2"/>
  <c r="M39" i="2"/>
  <c r="Z38" i="2"/>
  <c r="Y38" i="2"/>
  <c r="AA38" i="2" s="1"/>
  <c r="W38" i="2"/>
  <c r="V38" i="2"/>
  <c r="U38" i="2"/>
  <c r="R38" i="2"/>
  <c r="X38" i="2" s="1"/>
  <c r="O38" i="2"/>
  <c r="L38" i="2"/>
  <c r="V37" i="2"/>
  <c r="S37" i="2"/>
  <c r="Y37" i="2" s="1"/>
  <c r="M37" i="2"/>
  <c r="Y36" i="2"/>
  <c r="V36" i="2"/>
  <c r="S36" i="2"/>
  <c r="M36" i="2"/>
  <c r="V35" i="2"/>
  <c r="S35" i="2"/>
  <c r="Y35" i="2" s="1"/>
  <c r="M35" i="2"/>
  <c r="Y34" i="2"/>
  <c r="V34" i="2"/>
  <c r="S34" i="2"/>
  <c r="M34" i="2"/>
  <c r="V33" i="2"/>
  <c r="S33" i="2"/>
  <c r="Y33" i="2" s="1"/>
  <c r="M33" i="2"/>
  <c r="AA32" i="2"/>
  <c r="Z32" i="2"/>
  <c r="Y32" i="2"/>
  <c r="W32" i="2"/>
  <c r="V32" i="2"/>
  <c r="U32" i="2"/>
  <c r="R32" i="2"/>
  <c r="X32" i="2" s="1"/>
  <c r="O32" i="2"/>
  <c r="L32" i="2"/>
  <c r="V31" i="2"/>
  <c r="S31" i="2"/>
  <c r="Y31" i="2" s="1"/>
  <c r="M31" i="2"/>
  <c r="Y30" i="2"/>
  <c r="V30" i="2"/>
  <c r="S30" i="2"/>
  <c r="M30" i="2"/>
  <c r="V29" i="2"/>
  <c r="S29" i="2"/>
  <c r="Y29" i="2" s="1"/>
  <c r="M29" i="2"/>
  <c r="Y28" i="2"/>
  <c r="V28" i="2"/>
  <c r="S28" i="2"/>
  <c r="M28" i="2"/>
  <c r="Z27" i="2"/>
  <c r="Y27" i="2"/>
  <c r="AA27" i="2" s="1"/>
  <c r="X27" i="2"/>
  <c r="W27" i="2"/>
  <c r="V27" i="2"/>
  <c r="U27" i="2"/>
  <c r="R27" i="2"/>
  <c r="O27" i="2"/>
  <c r="L27" i="2"/>
  <c r="V26" i="2"/>
  <c r="S26" i="2"/>
  <c r="Y26" i="2" s="1"/>
  <c r="M26" i="2"/>
  <c r="Y25" i="2"/>
  <c r="V25" i="2"/>
  <c r="S25" i="2"/>
  <c r="M25" i="2"/>
  <c r="V24" i="2"/>
  <c r="S24" i="2"/>
  <c r="Y24" i="2" s="1"/>
  <c r="M24" i="2"/>
  <c r="Y23" i="2"/>
  <c r="V23" i="2"/>
  <c r="S23" i="2"/>
  <c r="M23" i="2"/>
  <c r="V22" i="2"/>
  <c r="S22" i="2"/>
  <c r="Y22" i="2" s="1"/>
  <c r="M22" i="2"/>
  <c r="AA21" i="2"/>
  <c r="Z21" i="2"/>
  <c r="Y21" i="2"/>
  <c r="W21" i="2"/>
  <c r="V21" i="2"/>
  <c r="U21" i="2"/>
  <c r="U14" i="2" s="1"/>
  <c r="U13" i="2" s="1"/>
  <c r="U12" i="2" s="1"/>
  <c r="U11" i="2" s="1"/>
  <c r="U10" i="2" s="1"/>
  <c r="R21" i="2"/>
  <c r="X21" i="2" s="1"/>
  <c r="O21" i="2"/>
  <c r="L21" i="2"/>
  <c r="V20" i="2"/>
  <c r="S20" i="2"/>
  <c r="Y20" i="2" s="1"/>
  <c r="M20" i="2"/>
  <c r="Y19" i="2"/>
  <c r="V19" i="2"/>
  <c r="S19" i="2"/>
  <c r="M19" i="2"/>
  <c r="V18" i="2"/>
  <c r="S18" i="2"/>
  <c r="Y18" i="2" s="1"/>
  <c r="M18" i="2"/>
  <c r="Y17" i="2"/>
  <c r="V17" i="2"/>
  <c r="S17" i="2"/>
  <c r="M17" i="2"/>
  <c r="V16" i="2"/>
  <c r="S16" i="2"/>
  <c r="Y16" i="2" s="1"/>
  <c r="M16" i="2"/>
  <c r="AA15" i="2"/>
  <c r="Z15" i="2"/>
  <c r="Z14" i="2" s="1"/>
  <c r="Z13" i="2" s="1"/>
  <c r="Z12" i="2" s="1"/>
  <c r="Z11" i="2" s="1"/>
  <c r="Z10" i="2" s="1"/>
  <c r="Y15" i="2"/>
  <c r="Y14" i="2" s="1"/>
  <c r="Y13" i="2" s="1"/>
  <c r="Y12" i="2" s="1"/>
  <c r="Y11" i="2" s="1"/>
  <c r="Y10" i="2" s="1"/>
  <c r="W15" i="2"/>
  <c r="V15" i="2"/>
  <c r="U15" i="2"/>
  <c r="R15" i="2"/>
  <c r="X15" i="2" s="1"/>
  <c r="O15" i="2"/>
  <c r="L15" i="2"/>
  <c r="T14" i="2"/>
  <c r="S14" i="2"/>
  <c r="O14" i="2"/>
  <c r="O13" i="2" s="1"/>
  <c r="O12" i="2" s="1"/>
  <c r="O11" i="2" s="1"/>
  <c r="O10" i="2" s="1"/>
  <c r="O9" i="2" s="1"/>
  <c r="O8" i="2" s="1"/>
  <c r="N14" i="2"/>
  <c r="M14" i="2"/>
  <c r="M13" i="2" s="1"/>
  <c r="M12" i="2" s="1"/>
  <c r="M11" i="2" s="1"/>
  <c r="M10" i="2" s="1"/>
  <c r="M9" i="2" s="1"/>
  <c r="M8" i="2" s="1"/>
  <c r="T13" i="2"/>
  <c r="S13" i="2"/>
  <c r="S12" i="2" s="1"/>
  <c r="S11" i="2" s="1"/>
  <c r="S10" i="2" s="1"/>
  <c r="S9" i="2" s="1"/>
  <c r="S8" i="2" s="1"/>
  <c r="N13" i="2"/>
  <c r="N12" i="2" s="1"/>
  <c r="N11" i="2" s="1"/>
  <c r="N10" i="2" s="1"/>
  <c r="T12" i="2"/>
  <c r="T11" i="2" s="1"/>
  <c r="T10" i="2" s="1"/>
  <c r="T9" i="2" s="1"/>
  <c r="T8" i="2" s="1"/>
  <c r="S175" i="3" l="1"/>
  <c r="T65" i="3"/>
  <c r="U333" i="3"/>
  <c r="P405" i="3"/>
  <c r="U185" i="3"/>
  <c r="U176" i="3"/>
  <c r="U175" i="3" s="1"/>
  <c r="S154" i="3"/>
  <c r="U78" i="3"/>
  <c r="U66" i="3"/>
  <c r="S64" i="3"/>
  <c r="S63" i="3" s="1"/>
  <c r="S62" i="3" s="1"/>
  <c r="S9" i="3" s="1"/>
  <c r="S8" i="3" s="1"/>
  <c r="P260" i="3"/>
  <c r="U161" i="3"/>
  <c r="T154" i="3"/>
  <c r="U154" i="3"/>
  <c r="R436" i="3"/>
  <c r="S436" i="3"/>
  <c r="T64" i="3"/>
  <c r="T63" i="3" s="1"/>
  <c r="T62" i="3" s="1"/>
  <c r="T9" i="3" s="1"/>
  <c r="T8" i="3" s="1"/>
  <c r="R405" i="3"/>
  <c r="S405" i="3"/>
  <c r="T433" i="3"/>
  <c r="T477" i="3"/>
  <c r="P303" i="3"/>
  <c r="S303" i="3" s="1"/>
  <c r="P427" i="3"/>
  <c r="R427" i="3" s="1"/>
  <c r="P308" i="3"/>
  <c r="P391" i="3"/>
  <c r="S391" i="3" s="1"/>
  <c r="S390" i="3" s="1"/>
  <c r="S399" i="3"/>
  <c r="R399" i="3"/>
  <c r="R421" i="3"/>
  <c r="S421" i="3"/>
  <c r="U421" i="3" s="1"/>
  <c r="S402" i="3"/>
  <c r="U402" i="3" s="1"/>
  <c r="R402" i="3"/>
  <c r="P248" i="3"/>
  <c r="S248" i="3" s="1"/>
  <c r="P290" i="3"/>
  <c r="S290" i="3" s="1"/>
  <c r="R327" i="3"/>
  <c r="P354" i="3"/>
  <c r="P384" i="3"/>
  <c r="T396" i="3"/>
  <c r="P430" i="3"/>
  <c r="P369" i="3"/>
  <c r="P417" i="3"/>
  <c r="S417" i="3" s="1"/>
  <c r="P313" i="3"/>
  <c r="S327" i="3"/>
  <c r="R331" i="3"/>
  <c r="P341" i="3"/>
  <c r="T247" i="3"/>
  <c r="T246" i="3" s="1"/>
  <c r="T245" i="3" s="1"/>
  <c r="T244" i="3" s="1"/>
  <c r="T243" i="3" s="1"/>
  <c r="P278" i="3"/>
  <c r="P336" i="3"/>
  <c r="P364" i="3"/>
  <c r="P374" i="3"/>
  <c r="P424" i="3"/>
  <c r="S427" i="3"/>
  <c r="P412" i="3"/>
  <c r="S412" i="3" s="1"/>
  <c r="P284" i="3"/>
  <c r="S284" i="3" s="1"/>
  <c r="T300" i="3"/>
  <c r="P325" i="3"/>
  <c r="P349" i="3"/>
  <c r="U479" i="3"/>
  <c r="R260" i="3"/>
  <c r="P266" i="3"/>
  <c r="P317" i="3"/>
  <c r="T335" i="3"/>
  <c r="P346" i="3"/>
  <c r="P254" i="3"/>
  <c r="R254" i="3" s="1"/>
  <c r="P272" i="3"/>
  <c r="S272" i="3" s="1"/>
  <c r="P359" i="3"/>
  <c r="P379" i="3"/>
  <c r="P475" i="3"/>
  <c r="S475" i="3" s="1"/>
  <c r="P323" i="3"/>
  <c r="S308" i="3"/>
  <c r="R308" i="3"/>
  <c r="S278" i="3"/>
  <c r="U405" i="3"/>
  <c r="T312" i="3"/>
  <c r="P301" i="3"/>
  <c r="P321" i="3"/>
  <c r="S260" i="3"/>
  <c r="P315" i="3"/>
  <c r="P319" i="3"/>
  <c r="S397" i="3"/>
  <c r="R397" i="3"/>
  <c r="S434" i="3"/>
  <c r="R434" i="3"/>
  <c r="U436" i="3"/>
  <c r="P463" i="3"/>
  <c r="P439" i="3"/>
  <c r="R333" i="3"/>
  <c r="S329" i="3"/>
  <c r="S331" i="3"/>
  <c r="P451" i="3"/>
  <c r="U478" i="3"/>
  <c r="U477" i="3" s="1"/>
  <c r="T411" i="3"/>
  <c r="T390" i="3"/>
  <c r="T420" i="3"/>
  <c r="Y154" i="2"/>
  <c r="U65" i="2"/>
  <c r="U64" i="2" s="1"/>
  <c r="U63" i="2" s="1"/>
  <c r="U62" i="2" s="1"/>
  <c r="U9" i="2" s="1"/>
  <c r="U8" i="2" s="1"/>
  <c r="Z64" i="2"/>
  <c r="Z63" i="2" s="1"/>
  <c r="Z62" i="2" s="1"/>
  <c r="Z9" i="2" s="1"/>
  <c r="Z8" i="2" s="1"/>
  <c r="M321" i="2"/>
  <c r="O321" i="2" s="1"/>
  <c r="L321" i="2"/>
  <c r="M325" i="2"/>
  <c r="O325" i="2" s="1"/>
  <c r="L325" i="2"/>
  <c r="Y64" i="2"/>
  <c r="Y63" i="2" s="1"/>
  <c r="Y62" i="2" s="1"/>
  <c r="Y9" i="2" s="1"/>
  <c r="Y8" i="2" s="1"/>
  <c r="N9" i="2"/>
  <c r="N8" i="2" s="1"/>
  <c r="AA14" i="2"/>
  <c r="AA13" i="2" s="1"/>
  <c r="AA12" i="2" s="1"/>
  <c r="AA11" i="2" s="1"/>
  <c r="AA10" i="2" s="1"/>
  <c r="AA78" i="2"/>
  <c r="M272" i="2"/>
  <c r="O272" i="2" s="1"/>
  <c r="L272" i="2"/>
  <c r="M374" i="2"/>
  <c r="O374" i="2" s="1"/>
  <c r="L374" i="2"/>
  <c r="AA67" i="2"/>
  <c r="AA66" i="2" s="1"/>
  <c r="M284" i="2"/>
  <c r="O284" i="2" s="1"/>
  <c r="L284" i="2"/>
  <c r="M313" i="2"/>
  <c r="L313" i="2"/>
  <c r="M379" i="2"/>
  <c r="O379" i="2" s="1"/>
  <c r="L379" i="2"/>
  <c r="Z410" i="2"/>
  <c r="M303" i="2"/>
  <c r="O303" i="2" s="1"/>
  <c r="L303" i="2"/>
  <c r="AA162" i="2"/>
  <c r="AA161" i="2" s="1"/>
  <c r="AA154" i="2" s="1"/>
  <c r="R248" i="2"/>
  <c r="X248" i="2" s="1"/>
  <c r="P308" i="2"/>
  <c r="M308" i="2"/>
  <c r="O308" i="2" s="1"/>
  <c r="L308" i="2"/>
  <c r="S321" i="2"/>
  <c r="R321" i="2"/>
  <c r="X321" i="2" s="1"/>
  <c r="V321" i="2"/>
  <c r="M346" i="2"/>
  <c r="O346" i="2" s="1"/>
  <c r="L346" i="2"/>
  <c r="S290" i="2"/>
  <c r="R290" i="2"/>
  <c r="X290" i="2" s="1"/>
  <c r="AA102" i="2"/>
  <c r="AA101" i="2" s="1"/>
  <c r="Z313" i="2"/>
  <c r="Z312" i="2" s="1"/>
  <c r="Z299" i="2" s="1"/>
  <c r="Z298" i="2" s="1"/>
  <c r="Z297" i="2" s="1"/>
  <c r="Z296" i="2" s="1"/>
  <c r="Z242" i="2" s="1"/>
  <c r="Z241" i="2" s="1"/>
  <c r="T312" i="2"/>
  <c r="M317" i="2"/>
  <c r="O317" i="2" s="1"/>
  <c r="L317" i="2"/>
  <c r="M349" i="2"/>
  <c r="O349" i="2" s="1"/>
  <c r="L349" i="2"/>
  <c r="M384" i="2"/>
  <c r="O384" i="2" s="1"/>
  <c r="L384" i="2"/>
  <c r="P405" i="2"/>
  <c r="Y406" i="2"/>
  <c r="M341" i="2"/>
  <c r="O341" i="2" s="1"/>
  <c r="L341" i="2"/>
  <c r="Z155" i="2"/>
  <c r="Z154" i="2" s="1"/>
  <c r="V248" i="2"/>
  <c r="V290" i="2"/>
  <c r="N299" i="2"/>
  <c r="S325" i="2"/>
  <c r="R325" i="2"/>
  <c r="X325" i="2" s="1"/>
  <c r="V325" i="2"/>
  <c r="V341" i="2"/>
  <c r="S341" i="2"/>
  <c r="R341" i="2"/>
  <c r="X341" i="2" s="1"/>
  <c r="M354" i="2"/>
  <c r="O354" i="2" s="1"/>
  <c r="L354" i="2"/>
  <c r="S317" i="2"/>
  <c r="R317" i="2"/>
  <c r="X317" i="2" s="1"/>
  <c r="V317" i="2"/>
  <c r="AA215" i="2"/>
  <c r="AA198" i="2" s="1"/>
  <c r="P254" i="2"/>
  <c r="Y255" i="2"/>
  <c r="P301" i="2"/>
  <c r="Y302" i="2"/>
  <c r="M359" i="2"/>
  <c r="O359" i="2" s="1"/>
  <c r="L359" i="2"/>
  <c r="V303" i="2"/>
  <c r="S303" i="2"/>
  <c r="R303" i="2"/>
  <c r="X303" i="2" s="1"/>
  <c r="Y248" i="2"/>
  <c r="S266" i="2"/>
  <c r="R266" i="2"/>
  <c r="X266" i="2" s="1"/>
  <c r="M300" i="2"/>
  <c r="O301" i="2"/>
  <c r="O300" i="2" s="1"/>
  <c r="S313" i="2"/>
  <c r="R313" i="2"/>
  <c r="X313" i="2" s="1"/>
  <c r="V313" i="2"/>
  <c r="M336" i="2"/>
  <c r="L336" i="2"/>
  <c r="V346" i="2"/>
  <c r="S346" i="2"/>
  <c r="R346" i="2"/>
  <c r="X346" i="2" s="1"/>
  <c r="M364" i="2"/>
  <c r="O364" i="2" s="1"/>
  <c r="L364" i="2"/>
  <c r="M424" i="2"/>
  <c r="O424" i="2" s="1"/>
  <c r="L424" i="2"/>
  <c r="O248" i="2"/>
  <c r="O247" i="2" s="1"/>
  <c r="O246" i="2" s="1"/>
  <c r="O245" i="2" s="1"/>
  <c r="O244" i="2" s="1"/>
  <c r="O243" i="2" s="1"/>
  <c r="M247" i="2"/>
  <c r="M246" i="2" s="1"/>
  <c r="M245" i="2" s="1"/>
  <c r="M244" i="2" s="1"/>
  <c r="M243" i="2" s="1"/>
  <c r="M260" i="2"/>
  <c r="O260" i="2" s="1"/>
  <c r="L260" i="2"/>
  <c r="S278" i="2"/>
  <c r="R278" i="2"/>
  <c r="X278" i="2" s="1"/>
  <c r="M369" i="2"/>
  <c r="O369" i="2" s="1"/>
  <c r="L369" i="2"/>
  <c r="S260" i="2"/>
  <c r="Y267" i="2"/>
  <c r="S272" i="2"/>
  <c r="Y279" i="2"/>
  <c r="S284" i="2"/>
  <c r="Y291" i="2"/>
  <c r="P327" i="2"/>
  <c r="P349" i="2"/>
  <c r="P354" i="2"/>
  <c r="P359" i="2"/>
  <c r="P364" i="2"/>
  <c r="P369" i="2"/>
  <c r="P374" i="2"/>
  <c r="P379" i="2"/>
  <c r="P391" i="2"/>
  <c r="V434" i="2"/>
  <c r="S434" i="2"/>
  <c r="R434" i="2"/>
  <c r="X434" i="2" s="1"/>
  <c r="P436" i="2"/>
  <c r="Y437" i="2"/>
  <c r="V439" i="2"/>
  <c r="S439" i="2"/>
  <c r="R439" i="2"/>
  <c r="X439" i="2" s="1"/>
  <c r="Y451" i="2"/>
  <c r="AA451" i="2" s="1"/>
  <c r="U451" i="2"/>
  <c r="M451" i="2"/>
  <c r="O451" i="2" s="1"/>
  <c r="L451" i="2"/>
  <c r="J463" i="2"/>
  <c r="T300" i="2"/>
  <c r="T299" i="2" s="1"/>
  <c r="R315" i="2"/>
  <c r="X315" i="2" s="1"/>
  <c r="R319" i="2"/>
  <c r="X319" i="2" s="1"/>
  <c r="R323" i="2"/>
  <c r="X323" i="2" s="1"/>
  <c r="Y329" i="2"/>
  <c r="AA329" i="2" s="1"/>
  <c r="L331" i="2"/>
  <c r="R384" i="2"/>
  <c r="X384" i="2" s="1"/>
  <c r="M396" i="2"/>
  <c r="Z396" i="2"/>
  <c r="Z389" i="2" s="1"/>
  <c r="M430" i="2"/>
  <c r="O430" i="2" s="1"/>
  <c r="L430" i="2"/>
  <c r="M477" i="1"/>
  <c r="O477" i="1" s="1"/>
  <c r="L477" i="1"/>
  <c r="Y314" i="2"/>
  <c r="S315" i="2"/>
  <c r="Y318" i="2"/>
  <c r="S319" i="2"/>
  <c r="Y322" i="2"/>
  <c r="S323" i="2"/>
  <c r="Y326" i="2"/>
  <c r="S384" i="2"/>
  <c r="T389" i="2"/>
  <c r="P402" i="2"/>
  <c r="Y403" i="2"/>
  <c r="Y417" i="2"/>
  <c r="AA417" i="2" s="1"/>
  <c r="U417" i="2"/>
  <c r="M417" i="2"/>
  <c r="O417" i="2" s="1"/>
  <c r="L417" i="2"/>
  <c r="M421" i="2"/>
  <c r="L421" i="2"/>
  <c r="M391" i="2"/>
  <c r="L391" i="2"/>
  <c r="O396" i="2"/>
  <c r="L315" i="2"/>
  <c r="L319" i="2"/>
  <c r="L323" i="2"/>
  <c r="L327" i="2"/>
  <c r="V397" i="2"/>
  <c r="S397" i="2"/>
  <c r="R397" i="2"/>
  <c r="X397" i="2" s="1"/>
  <c r="L402" i="2"/>
  <c r="Y412" i="2"/>
  <c r="S411" i="2"/>
  <c r="U412" i="2"/>
  <c r="U411" i="2" s="1"/>
  <c r="M412" i="2"/>
  <c r="L412" i="2"/>
  <c r="M427" i="2"/>
  <c r="O427" i="2" s="1"/>
  <c r="L427" i="2"/>
  <c r="P463" i="2"/>
  <c r="Z475" i="2"/>
  <c r="Z433" i="2" s="1"/>
  <c r="T433" i="2"/>
  <c r="P336" i="2"/>
  <c r="Z336" i="2"/>
  <c r="Z335" i="2" s="1"/>
  <c r="T396" i="2"/>
  <c r="P399" i="2"/>
  <c r="Y400" i="2"/>
  <c r="Y14" i="1"/>
  <c r="Y13" i="1" s="1"/>
  <c r="Y12" i="1" s="1"/>
  <c r="Y11" i="1" s="1"/>
  <c r="Y10" i="1" s="1"/>
  <c r="AA15" i="1"/>
  <c r="S421" i="2"/>
  <c r="S424" i="2"/>
  <c r="S427" i="2"/>
  <c r="S430" i="2"/>
  <c r="Z14" i="1"/>
  <c r="Z13" i="1" s="1"/>
  <c r="Z12" i="1" s="1"/>
  <c r="Z11" i="1" s="1"/>
  <c r="Z10" i="1" s="1"/>
  <c r="AA49" i="1"/>
  <c r="S112" i="1"/>
  <c r="S111" i="1" s="1"/>
  <c r="S110" i="1" s="1"/>
  <c r="S109" i="1" s="1"/>
  <c r="Y325" i="1"/>
  <c r="N9" i="1"/>
  <c r="N8" i="1" s="1"/>
  <c r="AA113" i="1"/>
  <c r="Z136" i="1"/>
  <c r="Z112" i="1" s="1"/>
  <c r="Z111" i="1" s="1"/>
  <c r="Z110" i="1" s="1"/>
  <c r="Z109" i="1" s="1"/>
  <c r="U181" i="1"/>
  <c r="U112" i="1" s="1"/>
  <c r="U111" i="1" s="1"/>
  <c r="U110" i="1" s="1"/>
  <c r="U109" i="1" s="1"/>
  <c r="U9" i="1" s="1"/>
  <c r="U8" i="1" s="1"/>
  <c r="AA286" i="1"/>
  <c r="AA326" i="1"/>
  <c r="AA325" i="1" s="1"/>
  <c r="N433" i="2"/>
  <c r="V451" i="2"/>
  <c r="Y465" i="1"/>
  <c r="AA465" i="1" s="1"/>
  <c r="U465" i="1"/>
  <c r="S528" i="1"/>
  <c r="V528" i="1"/>
  <c r="R528" i="1"/>
  <c r="X528" i="1" s="1"/>
  <c r="M475" i="2"/>
  <c r="O475" i="2" s="1"/>
  <c r="L475" i="2"/>
  <c r="M9" i="1"/>
  <c r="M8" i="1" s="1"/>
  <c r="U286" i="1"/>
  <c r="U343" i="1"/>
  <c r="U325" i="1" s="1"/>
  <c r="M459" i="1"/>
  <c r="L459" i="1"/>
  <c r="AA181" i="1"/>
  <c r="AA177" i="1"/>
  <c r="AA136" i="1" s="1"/>
  <c r="AA200" i="1"/>
  <c r="M465" i="1"/>
  <c r="O465" i="1" s="1"/>
  <c r="L465" i="1"/>
  <c r="M489" i="1"/>
  <c r="O489" i="1" s="1"/>
  <c r="L489" i="1"/>
  <c r="M501" i="1"/>
  <c r="O501" i="1" s="1"/>
  <c r="L501" i="1"/>
  <c r="V514" i="1"/>
  <c r="S514" i="1"/>
  <c r="R514" i="1"/>
  <c r="X514" i="1" s="1"/>
  <c r="S475" i="2"/>
  <c r="R475" i="2"/>
  <c r="X475" i="2" s="1"/>
  <c r="V475" i="2"/>
  <c r="S9" i="1"/>
  <c r="S8" i="1" s="1"/>
  <c r="AA128" i="1"/>
  <c r="Y286" i="1"/>
  <c r="Y512" i="1"/>
  <c r="U512" i="1"/>
  <c r="Z368" i="1"/>
  <c r="AA369" i="1"/>
  <c r="AA368" i="1" s="1"/>
  <c r="M547" i="1"/>
  <c r="L547" i="1"/>
  <c r="L628" i="1"/>
  <c r="M628" i="1"/>
  <c r="O628" i="1" s="1"/>
  <c r="Y298" i="1"/>
  <c r="T458" i="1"/>
  <c r="T457" i="1" s="1"/>
  <c r="T456" i="1" s="1"/>
  <c r="T455" i="1" s="1"/>
  <c r="T454" i="1" s="1"/>
  <c r="M483" i="1"/>
  <c r="O483" i="1" s="1"/>
  <c r="L483" i="1"/>
  <c r="Y489" i="1"/>
  <c r="AA489" i="1" s="1"/>
  <c r="U489" i="1"/>
  <c r="Z477" i="2"/>
  <c r="Y113" i="1"/>
  <c r="Y136" i="1"/>
  <c r="Y181" i="1"/>
  <c r="O514" i="1"/>
  <c r="O511" i="1" s="1"/>
  <c r="P580" i="1"/>
  <c r="Y581" i="1"/>
  <c r="Z449" i="1"/>
  <c r="N511" i="1"/>
  <c r="N510" i="1" s="1"/>
  <c r="Z523" i="1"/>
  <c r="Y625" i="1"/>
  <c r="P623" i="1"/>
  <c r="Y670" i="1"/>
  <c r="P662" i="1"/>
  <c r="M471" i="1"/>
  <c r="O471" i="1" s="1"/>
  <c r="L471" i="1"/>
  <c r="Y477" i="1"/>
  <c r="AA477" i="1" s="1"/>
  <c r="U477" i="1"/>
  <c r="T510" i="1"/>
  <c r="T509" i="1" s="1"/>
  <c r="T508" i="1" s="1"/>
  <c r="T507" i="1" s="1"/>
  <c r="P560" i="1"/>
  <c r="Y561" i="1"/>
  <c r="Z623" i="1"/>
  <c r="Z622" i="1" s="1"/>
  <c r="Z621" i="1" s="1"/>
  <c r="T622" i="1"/>
  <c r="T621" i="1" s="1"/>
  <c r="O368" i="1"/>
  <c r="O111" i="1" s="1"/>
  <c r="O110" i="1" s="1"/>
  <c r="O109" i="1" s="1"/>
  <c r="O9" i="1" s="1"/>
  <c r="O8" i="1" s="1"/>
  <c r="L662" i="1"/>
  <c r="M662" i="1"/>
  <c r="O662" i="1" s="1"/>
  <c r="M495" i="1"/>
  <c r="O495" i="1" s="1"/>
  <c r="L495" i="1"/>
  <c r="Y501" i="1"/>
  <c r="AA501" i="1" s="1"/>
  <c r="U501" i="1"/>
  <c r="O519" i="1"/>
  <c r="M536" i="1"/>
  <c r="O536" i="1" s="1"/>
  <c r="O523" i="1" s="1"/>
  <c r="L536" i="1"/>
  <c r="M538" i="1"/>
  <c r="O538" i="1" s="1"/>
  <c r="L538" i="1"/>
  <c r="M542" i="1"/>
  <c r="O542" i="1" s="1"/>
  <c r="L542" i="1"/>
  <c r="M552" i="1"/>
  <c r="O552" i="1" s="1"/>
  <c r="L552" i="1"/>
  <c r="L623" i="1"/>
  <c r="M623" i="1"/>
  <c r="P459" i="1"/>
  <c r="P471" i="1"/>
  <c r="P483" i="1"/>
  <c r="P495" i="1"/>
  <c r="S524" i="1"/>
  <c r="V524" i="1"/>
  <c r="V538" i="1"/>
  <c r="V542" i="1"/>
  <c r="L595" i="1"/>
  <c r="P595" i="1"/>
  <c r="Y596" i="1"/>
  <c r="Y602" i="1"/>
  <c r="S601" i="1"/>
  <c r="U602" i="1"/>
  <c r="U601" i="1" s="1"/>
  <c r="AA689" i="1"/>
  <c r="Z459" i="1"/>
  <c r="Z458" i="1" s="1"/>
  <c r="Z457" i="1" s="1"/>
  <c r="Z456" i="1" s="1"/>
  <c r="Z455" i="1" s="1"/>
  <c r="Z454" i="1" s="1"/>
  <c r="V465" i="1"/>
  <c r="V477" i="1"/>
  <c r="V489" i="1"/>
  <c r="V501" i="1"/>
  <c r="P519" i="1"/>
  <c r="R524" i="1"/>
  <c r="X524" i="1" s="1"/>
  <c r="P526" i="1"/>
  <c r="L540" i="1"/>
  <c r="P575" i="1"/>
  <c r="Y576" i="1"/>
  <c r="M602" i="1"/>
  <c r="L602" i="1"/>
  <c r="Z514" i="1"/>
  <c r="Z511" i="1" s="1"/>
  <c r="Z510" i="1" s="1"/>
  <c r="P530" i="1"/>
  <c r="S532" i="1"/>
  <c r="V532" i="1"/>
  <c r="P547" i="1"/>
  <c r="Y548" i="1"/>
  <c r="S628" i="1"/>
  <c r="R628" i="1"/>
  <c r="X628" i="1" s="1"/>
  <c r="V628" i="1"/>
  <c r="P650" i="1"/>
  <c r="Y651" i="1"/>
  <c r="R532" i="1"/>
  <c r="X532" i="1" s="1"/>
  <c r="P534" i="1"/>
  <c r="P536" i="1"/>
  <c r="P544" i="1"/>
  <c r="T546" i="1"/>
  <c r="L570" i="1"/>
  <c r="P570" i="1"/>
  <c r="Y571" i="1"/>
  <c r="P590" i="1"/>
  <c r="Y591" i="1"/>
  <c r="U647" i="1"/>
  <c r="Y647" i="1"/>
  <c r="AA647" i="1" s="1"/>
  <c r="U686" i="1"/>
  <c r="Y686" i="1"/>
  <c r="AA686" i="1" s="1"/>
  <c r="S540" i="1"/>
  <c r="V540" i="1"/>
  <c r="P552" i="1"/>
  <c r="Y553" i="1"/>
  <c r="O645" i="1"/>
  <c r="S645" i="1"/>
  <c r="V645" i="1"/>
  <c r="J650" i="1"/>
  <c r="P674" i="1"/>
  <c r="Y675" i="1"/>
  <c r="R465" i="1"/>
  <c r="X465" i="1" s="1"/>
  <c r="R477" i="1"/>
  <c r="X477" i="1" s="1"/>
  <c r="R489" i="1"/>
  <c r="X489" i="1" s="1"/>
  <c r="R501" i="1"/>
  <c r="X501" i="1" s="1"/>
  <c r="L514" i="1"/>
  <c r="L519" i="1"/>
  <c r="L524" i="1"/>
  <c r="L526" i="1"/>
  <c r="S538" i="1"/>
  <c r="R540" i="1"/>
  <c r="X540" i="1" s="1"/>
  <c r="S542" i="1"/>
  <c r="L560" i="1"/>
  <c r="L565" i="1"/>
  <c r="P565" i="1"/>
  <c r="Y566" i="1"/>
  <c r="P585" i="1"/>
  <c r="Y586" i="1"/>
  <c r="U610" i="1"/>
  <c r="Y610" i="1"/>
  <c r="AA610" i="1" s="1"/>
  <c r="U613" i="1"/>
  <c r="Y613" i="1"/>
  <c r="AA613" i="1" s="1"/>
  <c r="U616" i="1"/>
  <c r="Y616" i="1"/>
  <c r="AA616" i="1" s="1"/>
  <c r="Y632" i="1"/>
  <c r="S631" i="1"/>
  <c r="U632" i="1"/>
  <c r="Y635" i="1"/>
  <c r="AA635" i="1" s="1"/>
  <c r="U635" i="1"/>
  <c r="Y638" i="1"/>
  <c r="AA638" i="1" s="1"/>
  <c r="U638" i="1"/>
  <c r="Y641" i="1"/>
  <c r="AA641" i="1" s="1"/>
  <c r="U641" i="1"/>
  <c r="P557" i="1"/>
  <c r="Y558" i="1"/>
  <c r="M607" i="1"/>
  <c r="O608" i="1"/>
  <c r="O607" i="1" s="1"/>
  <c r="S608" i="1"/>
  <c r="V608" i="1"/>
  <c r="M632" i="1"/>
  <c r="L632" i="1"/>
  <c r="M635" i="1"/>
  <c r="O635" i="1" s="1"/>
  <c r="L635" i="1"/>
  <c r="M638" i="1"/>
  <c r="O638" i="1" s="1"/>
  <c r="L638" i="1"/>
  <c r="M641" i="1"/>
  <c r="O641" i="1" s="1"/>
  <c r="L641" i="1"/>
  <c r="J674" i="1"/>
  <c r="Z649" i="1"/>
  <c r="AA649" i="1" s="1"/>
  <c r="M686" i="1"/>
  <c r="O686" i="1" s="1"/>
  <c r="V686" i="1"/>
  <c r="U689" i="1"/>
  <c r="V602" i="1"/>
  <c r="V632" i="1"/>
  <c r="V635" i="1"/>
  <c r="V638" i="1"/>
  <c r="V641" i="1"/>
  <c r="U690" i="1"/>
  <c r="N688" i="1"/>
  <c r="R686" i="1"/>
  <c r="X686" i="1" s="1"/>
  <c r="Z690" i="1"/>
  <c r="AA690" i="1" s="1"/>
  <c r="R417" i="3" l="1"/>
  <c r="R303" i="3"/>
  <c r="R391" i="3"/>
  <c r="U391" i="3"/>
  <c r="U390" i="3" s="1"/>
  <c r="T389" i="3"/>
  <c r="U65" i="3"/>
  <c r="U64" i="3" s="1"/>
  <c r="U63" i="3" s="1"/>
  <c r="U62" i="3" s="1"/>
  <c r="U9" i="3" s="1"/>
  <c r="U8" i="3" s="1"/>
  <c r="U399" i="3"/>
  <c r="T299" i="3"/>
  <c r="R290" i="3"/>
  <c r="R412" i="3"/>
  <c r="R475" i="3"/>
  <c r="U427" i="3"/>
  <c r="R278" i="3"/>
  <c r="R430" i="3"/>
  <c r="S430" i="3"/>
  <c r="S313" i="3"/>
  <c r="R313" i="3"/>
  <c r="S254" i="3"/>
  <c r="U254" i="3" s="1"/>
  <c r="R266" i="3"/>
  <c r="R424" i="3"/>
  <c r="S424" i="3"/>
  <c r="S349" i="3"/>
  <c r="R349" i="3"/>
  <c r="T410" i="3"/>
  <c r="U327" i="3"/>
  <c r="S266" i="3"/>
  <c r="U266" i="3" s="1"/>
  <c r="S379" i="3"/>
  <c r="R379" i="3"/>
  <c r="S346" i="3"/>
  <c r="R346" i="3"/>
  <c r="S374" i="3"/>
  <c r="R374" i="3"/>
  <c r="S341" i="3"/>
  <c r="R341" i="3"/>
  <c r="R325" i="3"/>
  <c r="S325" i="3"/>
  <c r="S359" i="3"/>
  <c r="R359" i="3"/>
  <c r="R284" i="3"/>
  <c r="S364" i="3"/>
  <c r="R364" i="3"/>
  <c r="S369" i="3"/>
  <c r="R369" i="3"/>
  <c r="R248" i="3"/>
  <c r="S384" i="3"/>
  <c r="R384" i="3"/>
  <c r="R272" i="3"/>
  <c r="S317" i="3"/>
  <c r="R317" i="3"/>
  <c r="S336" i="3"/>
  <c r="R336" i="3"/>
  <c r="S354" i="3"/>
  <c r="R354" i="3"/>
  <c r="S319" i="3"/>
  <c r="R319" i="3"/>
  <c r="U248" i="3"/>
  <c r="U412" i="3"/>
  <c r="S411" i="3"/>
  <c r="S396" i="3"/>
  <c r="S389" i="3" s="1"/>
  <c r="U397" i="3"/>
  <c r="U303" i="3"/>
  <c r="U308" i="3"/>
  <c r="U417" i="3"/>
  <c r="U331" i="3"/>
  <c r="U434" i="3"/>
  <c r="U284" i="3"/>
  <c r="U329" i="3"/>
  <c r="S321" i="3"/>
  <c r="R321" i="3"/>
  <c r="S301" i="3"/>
  <c r="R301" i="3"/>
  <c r="S315" i="3"/>
  <c r="R315" i="3"/>
  <c r="S451" i="3"/>
  <c r="R451" i="3"/>
  <c r="S439" i="3"/>
  <c r="R439" i="3"/>
  <c r="U272" i="3"/>
  <c r="U278" i="3"/>
  <c r="R323" i="3"/>
  <c r="S323" i="3"/>
  <c r="U475" i="3"/>
  <c r="S463" i="3"/>
  <c r="R463" i="3"/>
  <c r="U290" i="3"/>
  <c r="U260" i="3"/>
  <c r="Z480" i="2"/>
  <c r="M631" i="1"/>
  <c r="O632" i="1"/>
  <c r="O631" i="1" s="1"/>
  <c r="V565" i="1"/>
  <c r="S565" i="1"/>
  <c r="R565" i="1"/>
  <c r="X565" i="1" s="1"/>
  <c r="M650" i="1"/>
  <c r="L650" i="1"/>
  <c r="Y540" i="1"/>
  <c r="AA540" i="1" s="1"/>
  <c r="U540" i="1"/>
  <c r="U532" i="1"/>
  <c r="Y532" i="1"/>
  <c r="AA532" i="1" s="1"/>
  <c r="R526" i="1"/>
  <c r="X526" i="1" s="1"/>
  <c r="V526" i="1"/>
  <c r="S526" i="1"/>
  <c r="Z688" i="1"/>
  <c r="M622" i="1"/>
  <c r="M621" i="1" s="1"/>
  <c r="O623" i="1"/>
  <c r="O622" i="1" s="1"/>
  <c r="O621" i="1" s="1"/>
  <c r="M458" i="1"/>
  <c r="M457" i="1" s="1"/>
  <c r="M456" i="1" s="1"/>
  <c r="M455" i="1" s="1"/>
  <c r="M454" i="1" s="1"/>
  <c r="O459" i="1"/>
  <c r="O458" i="1" s="1"/>
  <c r="O457" i="1" s="1"/>
  <c r="O456" i="1" s="1"/>
  <c r="O455" i="1" s="1"/>
  <c r="O454" i="1" s="1"/>
  <c r="U528" i="1"/>
  <c r="Y528" i="1"/>
  <c r="AA528" i="1" s="1"/>
  <c r="Z9" i="1"/>
  <c r="Z8" i="1" s="1"/>
  <c r="O421" i="2"/>
  <c r="O420" i="2" s="1"/>
  <c r="M420" i="2"/>
  <c r="U384" i="2"/>
  <c r="Y384" i="2"/>
  <c r="AA384" i="2" s="1"/>
  <c r="S436" i="2"/>
  <c r="R436" i="2"/>
  <c r="X436" i="2" s="1"/>
  <c r="V436" i="2"/>
  <c r="V364" i="2"/>
  <c r="S364" i="2"/>
  <c r="R364" i="2"/>
  <c r="X364" i="2" s="1"/>
  <c r="Y272" i="2"/>
  <c r="AA272" i="2" s="1"/>
  <c r="U272" i="2"/>
  <c r="U346" i="2"/>
  <c r="Y346" i="2"/>
  <c r="AA346" i="2" s="1"/>
  <c r="V459" i="1"/>
  <c r="S459" i="1"/>
  <c r="R459" i="1"/>
  <c r="X459" i="1" s="1"/>
  <c r="N480" i="2"/>
  <c r="Y608" i="1"/>
  <c r="S607" i="1"/>
  <c r="U608" i="1"/>
  <c r="U607" i="1" s="1"/>
  <c r="M523" i="1"/>
  <c r="V570" i="1"/>
  <c r="S570" i="1"/>
  <c r="R570" i="1"/>
  <c r="X570" i="1" s="1"/>
  <c r="V650" i="1"/>
  <c r="S650" i="1"/>
  <c r="R650" i="1"/>
  <c r="X650" i="1" s="1"/>
  <c r="R530" i="1"/>
  <c r="X530" i="1" s="1"/>
  <c r="V530" i="1"/>
  <c r="S530" i="1"/>
  <c r="AA688" i="1"/>
  <c r="Z644" i="1"/>
  <c r="Y112" i="1"/>
  <c r="Y111" i="1" s="1"/>
  <c r="Y110" i="1" s="1"/>
  <c r="Y109" i="1" s="1"/>
  <c r="Y9" i="1" s="1"/>
  <c r="Y8" i="1" s="1"/>
  <c r="AA512" i="1"/>
  <c r="U514" i="1"/>
  <c r="Y514" i="1"/>
  <c r="AA514" i="1" s="1"/>
  <c r="Y430" i="2"/>
  <c r="AA430" i="2" s="1"/>
  <c r="U430" i="2"/>
  <c r="V359" i="2"/>
  <c r="S359" i="2"/>
  <c r="R359" i="2"/>
  <c r="X359" i="2" s="1"/>
  <c r="Y317" i="2"/>
  <c r="AA317" i="2" s="1"/>
  <c r="U317" i="2"/>
  <c r="Y325" i="2"/>
  <c r="AA325" i="2" s="1"/>
  <c r="U325" i="2"/>
  <c r="V674" i="1"/>
  <c r="S674" i="1"/>
  <c r="R674" i="1"/>
  <c r="X674" i="1" s="1"/>
  <c r="U475" i="2"/>
  <c r="Y475" i="2"/>
  <c r="AA475" i="2" s="1"/>
  <c r="R336" i="2"/>
  <c r="X336" i="2" s="1"/>
  <c r="V336" i="2"/>
  <c r="S336" i="2"/>
  <c r="O299" i="2"/>
  <c r="Y645" i="1"/>
  <c r="U645" i="1"/>
  <c r="Z509" i="1"/>
  <c r="Z508" i="1" s="1"/>
  <c r="Z507" i="1" s="1"/>
  <c r="Z453" i="1" s="1"/>
  <c r="Z452" i="1" s="1"/>
  <c r="V519" i="1"/>
  <c r="S519" i="1"/>
  <c r="R519" i="1"/>
  <c r="X519" i="1" s="1"/>
  <c r="U600" i="1"/>
  <c r="N509" i="1"/>
  <c r="N508" i="1" s="1"/>
  <c r="N507" i="1" s="1"/>
  <c r="N453" i="1" s="1"/>
  <c r="N452" i="1" s="1"/>
  <c r="N691" i="1" s="1"/>
  <c r="AA112" i="1"/>
  <c r="AA111" i="1" s="1"/>
  <c r="AA110" i="1" s="1"/>
  <c r="AA109" i="1" s="1"/>
  <c r="Y427" i="2"/>
  <c r="AA427" i="2" s="1"/>
  <c r="U427" i="2"/>
  <c r="S463" i="2"/>
  <c r="V463" i="2"/>
  <c r="R463" i="2"/>
  <c r="X463" i="2" s="1"/>
  <c r="Y411" i="2"/>
  <c r="AA412" i="2"/>
  <c r="AA411" i="2" s="1"/>
  <c r="U323" i="2"/>
  <c r="Y323" i="2"/>
  <c r="AA323" i="2" s="1"/>
  <c r="U434" i="2"/>
  <c r="Y434" i="2"/>
  <c r="V354" i="2"/>
  <c r="S354" i="2"/>
  <c r="R354" i="2"/>
  <c r="X354" i="2" s="1"/>
  <c r="Y260" i="2"/>
  <c r="AA260" i="2" s="1"/>
  <c r="U260" i="2"/>
  <c r="U266" i="2"/>
  <c r="Y266" i="2"/>
  <c r="AA266" i="2" s="1"/>
  <c r="N298" i="2"/>
  <c r="N297" i="2" s="1"/>
  <c r="N296" i="2" s="1"/>
  <c r="N242" i="2" s="1"/>
  <c r="N241" i="2" s="1"/>
  <c r="S405" i="2"/>
  <c r="R405" i="2"/>
  <c r="X405" i="2" s="1"/>
  <c r="V405" i="2"/>
  <c r="Y321" i="2"/>
  <c r="AA321" i="2" s="1"/>
  <c r="U321" i="2"/>
  <c r="V369" i="2"/>
  <c r="S369" i="2"/>
  <c r="R369" i="2"/>
  <c r="X369" i="2" s="1"/>
  <c r="M312" i="2"/>
  <c r="M299" i="2" s="1"/>
  <c r="O313" i="2"/>
  <c r="O312" i="2" s="1"/>
  <c r="U688" i="1"/>
  <c r="Y542" i="1"/>
  <c r="AA542" i="1" s="1"/>
  <c r="U542" i="1"/>
  <c r="S600" i="1"/>
  <c r="S523" i="1"/>
  <c r="Y524" i="1"/>
  <c r="U524" i="1"/>
  <c r="Y424" i="2"/>
  <c r="AA424" i="2" s="1"/>
  <c r="U424" i="2"/>
  <c r="V349" i="2"/>
  <c r="S349" i="2"/>
  <c r="R349" i="2"/>
  <c r="X349" i="2" s="1"/>
  <c r="O336" i="2"/>
  <c r="O335" i="2" s="1"/>
  <c r="M335" i="2"/>
  <c r="AA248" i="2"/>
  <c r="S301" i="2"/>
  <c r="R301" i="2"/>
  <c r="X301" i="2" s="1"/>
  <c r="V301" i="2"/>
  <c r="M674" i="1"/>
  <c r="O674" i="1" s="1"/>
  <c r="L674" i="1"/>
  <c r="V590" i="1"/>
  <c r="S590" i="1"/>
  <c r="R590" i="1"/>
  <c r="X590" i="1" s="1"/>
  <c r="T453" i="1"/>
  <c r="T452" i="1" s="1"/>
  <c r="T691" i="1" s="1"/>
  <c r="M463" i="2"/>
  <c r="L463" i="2"/>
  <c r="U631" i="1"/>
  <c r="S544" i="1"/>
  <c r="V544" i="1"/>
  <c r="R544" i="1"/>
  <c r="X544" i="1" s="1"/>
  <c r="U628" i="1"/>
  <c r="Y628" i="1"/>
  <c r="AA628" i="1" s="1"/>
  <c r="O602" i="1"/>
  <c r="O601" i="1" s="1"/>
  <c r="O600" i="1" s="1"/>
  <c r="M601" i="1"/>
  <c r="M600" i="1" s="1"/>
  <c r="Y601" i="1"/>
  <c r="AA602" i="1"/>
  <c r="AA601" i="1" s="1"/>
  <c r="V495" i="1"/>
  <c r="S495" i="1"/>
  <c r="R495" i="1"/>
  <c r="X495" i="1" s="1"/>
  <c r="O547" i="1"/>
  <c r="O546" i="1" s="1"/>
  <c r="O510" i="1" s="1"/>
  <c r="M546" i="1"/>
  <c r="Y421" i="2"/>
  <c r="S420" i="2"/>
  <c r="S410" i="2" s="1"/>
  <c r="U421" i="2"/>
  <c r="U420" i="2" s="1"/>
  <c r="U410" i="2" s="1"/>
  <c r="S399" i="2"/>
  <c r="R399" i="2"/>
  <c r="X399" i="2" s="1"/>
  <c r="V399" i="2"/>
  <c r="U319" i="2"/>
  <c r="Y319" i="2"/>
  <c r="AA319" i="2" s="1"/>
  <c r="V391" i="2"/>
  <c r="S391" i="2"/>
  <c r="R391" i="2"/>
  <c r="X391" i="2" s="1"/>
  <c r="V327" i="2"/>
  <c r="S327" i="2"/>
  <c r="R327" i="2"/>
  <c r="X327" i="2" s="1"/>
  <c r="S623" i="1"/>
  <c r="R623" i="1"/>
  <c r="X623" i="1" s="1"/>
  <c r="V623" i="1"/>
  <c r="O412" i="2"/>
  <c r="O411" i="2" s="1"/>
  <c r="O410" i="2" s="1"/>
  <c r="M411" i="2"/>
  <c r="M410" i="2" s="1"/>
  <c r="V557" i="1"/>
  <c r="S557" i="1"/>
  <c r="R557" i="1"/>
  <c r="X557" i="1" s="1"/>
  <c r="Y538" i="1"/>
  <c r="AA538" i="1" s="1"/>
  <c r="U538" i="1"/>
  <c r="S536" i="1"/>
  <c r="V536" i="1"/>
  <c r="R536" i="1"/>
  <c r="X536" i="1" s="1"/>
  <c r="V483" i="1"/>
  <c r="S483" i="1"/>
  <c r="R483" i="1"/>
  <c r="X483" i="1" s="1"/>
  <c r="S662" i="1"/>
  <c r="R662" i="1"/>
  <c r="X662" i="1" s="1"/>
  <c r="V662" i="1"/>
  <c r="V580" i="1"/>
  <c r="S580" i="1"/>
  <c r="R580" i="1"/>
  <c r="X580" i="1" s="1"/>
  <c r="U397" i="2"/>
  <c r="Y397" i="2"/>
  <c r="T298" i="2"/>
  <c r="T297" i="2" s="1"/>
  <c r="T296" i="2" s="1"/>
  <c r="T242" i="2" s="1"/>
  <c r="T241" i="2" s="1"/>
  <c r="T480" i="2" s="1"/>
  <c r="U439" i="2"/>
  <c r="Y439" i="2"/>
  <c r="AA439" i="2" s="1"/>
  <c r="V379" i="2"/>
  <c r="S379" i="2"/>
  <c r="R379" i="2"/>
  <c r="X379" i="2" s="1"/>
  <c r="U303" i="2"/>
  <c r="Y303" i="2"/>
  <c r="AA303" i="2" s="1"/>
  <c r="S254" i="2"/>
  <c r="R254" i="2"/>
  <c r="X254" i="2" s="1"/>
  <c r="V254" i="2"/>
  <c r="U341" i="2"/>
  <c r="Y341" i="2"/>
  <c r="AA341" i="2" s="1"/>
  <c r="U290" i="2"/>
  <c r="Y290" i="2"/>
  <c r="AA290" i="2" s="1"/>
  <c r="V308" i="2"/>
  <c r="S308" i="2"/>
  <c r="R308" i="2"/>
  <c r="X308" i="2" s="1"/>
  <c r="AA65" i="2"/>
  <c r="AA64" i="2" s="1"/>
  <c r="AA63" i="2" s="1"/>
  <c r="AA62" i="2" s="1"/>
  <c r="Y631" i="1"/>
  <c r="AA632" i="1"/>
  <c r="AA631" i="1" s="1"/>
  <c r="V585" i="1"/>
  <c r="S585" i="1"/>
  <c r="R585" i="1"/>
  <c r="X585" i="1" s="1"/>
  <c r="V552" i="1"/>
  <c r="S552" i="1"/>
  <c r="R552" i="1"/>
  <c r="X552" i="1" s="1"/>
  <c r="R534" i="1"/>
  <c r="X534" i="1" s="1"/>
  <c r="S534" i="1"/>
  <c r="V534" i="1"/>
  <c r="V547" i="1"/>
  <c r="S547" i="1"/>
  <c r="R547" i="1"/>
  <c r="X547" i="1" s="1"/>
  <c r="V575" i="1"/>
  <c r="S575" i="1"/>
  <c r="R575" i="1"/>
  <c r="X575" i="1" s="1"/>
  <c r="V595" i="1"/>
  <c r="S595" i="1"/>
  <c r="R595" i="1"/>
  <c r="X595" i="1" s="1"/>
  <c r="V471" i="1"/>
  <c r="S471" i="1"/>
  <c r="R471" i="1"/>
  <c r="X471" i="1" s="1"/>
  <c r="V560" i="1"/>
  <c r="S560" i="1"/>
  <c r="R560" i="1"/>
  <c r="X560" i="1" s="1"/>
  <c r="AA14" i="1"/>
  <c r="AA13" i="1" s="1"/>
  <c r="AA12" i="1" s="1"/>
  <c r="AA11" i="1" s="1"/>
  <c r="AA10" i="1" s="1"/>
  <c r="AA9" i="1" s="1"/>
  <c r="AA8" i="1" s="1"/>
  <c r="M390" i="2"/>
  <c r="M389" i="2" s="1"/>
  <c r="O391" i="2"/>
  <c r="O390" i="2" s="1"/>
  <c r="O389" i="2" s="1"/>
  <c r="S402" i="2"/>
  <c r="R402" i="2"/>
  <c r="X402" i="2" s="1"/>
  <c r="V402" i="2"/>
  <c r="U315" i="2"/>
  <c r="Y315" i="2"/>
  <c r="AA315" i="2" s="1"/>
  <c r="V374" i="2"/>
  <c r="S374" i="2"/>
  <c r="R374" i="2"/>
  <c r="X374" i="2" s="1"/>
  <c r="Y284" i="2"/>
  <c r="AA284" i="2" s="1"/>
  <c r="U284" i="2"/>
  <c r="U278" i="2"/>
  <c r="Y278" i="2"/>
  <c r="AA278" i="2" s="1"/>
  <c r="Y313" i="2"/>
  <c r="S312" i="2"/>
  <c r="U313" i="2"/>
  <c r="AA9" i="2"/>
  <c r="AA8" i="2" s="1"/>
  <c r="U396" i="3" l="1"/>
  <c r="U389" i="3" s="1"/>
  <c r="T298" i="3"/>
  <c r="T297" i="3" s="1"/>
  <c r="T296" i="3" s="1"/>
  <c r="T242" i="3" s="1"/>
  <c r="T241" i="3" s="1"/>
  <c r="T480" i="3" s="1"/>
  <c r="S420" i="3"/>
  <c r="S247" i="3"/>
  <c r="S246" i="3" s="1"/>
  <c r="S245" i="3" s="1"/>
  <c r="S244" i="3" s="1"/>
  <c r="S243" i="3" s="1"/>
  <c r="S410" i="3"/>
  <c r="S433" i="3"/>
  <c r="U354" i="3"/>
  <c r="U336" i="3"/>
  <c r="S335" i="3"/>
  <c r="U349" i="3"/>
  <c r="U430" i="3"/>
  <c r="U346" i="3"/>
  <c r="U313" i="3"/>
  <c r="U369" i="3"/>
  <c r="U359" i="3"/>
  <c r="U341" i="3"/>
  <c r="U424" i="3"/>
  <c r="U317" i="3"/>
  <c r="U384" i="3"/>
  <c r="U379" i="3"/>
  <c r="U364" i="3"/>
  <c r="U325" i="3"/>
  <c r="U374" i="3"/>
  <c r="U319" i="3"/>
  <c r="U315" i="3"/>
  <c r="S312" i="3"/>
  <c r="S300" i="3"/>
  <c r="U301" i="3"/>
  <c r="U300" i="3" s="1"/>
  <c r="U321" i="3"/>
  <c r="U411" i="3"/>
  <c r="U463" i="3"/>
  <c r="U323" i="3"/>
  <c r="U451" i="3"/>
  <c r="U439" i="3"/>
  <c r="U247" i="3"/>
  <c r="U246" i="3" s="1"/>
  <c r="U245" i="3" s="1"/>
  <c r="U244" i="3" s="1"/>
  <c r="U243" i="3" s="1"/>
  <c r="O509" i="1"/>
  <c r="O508" i="1" s="1"/>
  <c r="O507" i="1" s="1"/>
  <c r="Y254" i="2"/>
  <c r="U254" i="2"/>
  <c r="U247" i="2" s="1"/>
  <c r="U246" i="2" s="1"/>
  <c r="U245" i="2" s="1"/>
  <c r="U244" i="2" s="1"/>
  <c r="U243" i="2" s="1"/>
  <c r="S247" i="2"/>
  <c r="S246" i="2" s="1"/>
  <c r="S245" i="2" s="1"/>
  <c r="S244" i="2" s="1"/>
  <c r="S243" i="2" s="1"/>
  <c r="Y674" i="1"/>
  <c r="AA674" i="1" s="1"/>
  <c r="U674" i="1"/>
  <c r="Y650" i="1"/>
  <c r="AA650" i="1" s="1"/>
  <c r="U650" i="1"/>
  <c r="Y565" i="1"/>
  <c r="AA565" i="1" s="1"/>
  <c r="U565" i="1"/>
  <c r="S546" i="1"/>
  <c r="Y547" i="1"/>
  <c r="U547" i="1"/>
  <c r="U662" i="1"/>
  <c r="U644" i="1" s="1"/>
  <c r="Y662" i="1"/>
  <c r="AA662" i="1" s="1"/>
  <c r="U623" i="1"/>
  <c r="U622" i="1" s="1"/>
  <c r="U621" i="1" s="1"/>
  <c r="S622" i="1"/>
  <c r="S621" i="1" s="1"/>
  <c r="Y623" i="1"/>
  <c r="Y595" i="1"/>
  <c r="AA595" i="1" s="1"/>
  <c r="U595" i="1"/>
  <c r="Y552" i="1"/>
  <c r="AA552" i="1" s="1"/>
  <c r="U552" i="1"/>
  <c r="U536" i="1"/>
  <c r="Y536" i="1"/>
  <c r="AA536" i="1" s="1"/>
  <c r="Y420" i="2"/>
  <c r="Y410" i="2" s="1"/>
  <c r="AA421" i="2"/>
  <c r="AA420" i="2" s="1"/>
  <c r="AA524" i="1"/>
  <c r="S644" i="1"/>
  <c r="Y402" i="2"/>
  <c r="AA402" i="2" s="1"/>
  <c r="U402" i="2"/>
  <c r="U359" i="2"/>
  <c r="Y359" i="2"/>
  <c r="AA359" i="2" s="1"/>
  <c r="AA397" i="2"/>
  <c r="O463" i="2"/>
  <c r="O433" i="2" s="1"/>
  <c r="O298" i="2" s="1"/>
  <c r="O297" i="2" s="1"/>
  <c r="O296" i="2" s="1"/>
  <c r="O242" i="2" s="1"/>
  <c r="O241" i="2" s="1"/>
  <c r="M433" i="2"/>
  <c r="M298" i="2" s="1"/>
  <c r="M297" i="2" s="1"/>
  <c r="M296" i="2" s="1"/>
  <c r="M242" i="2" s="1"/>
  <c r="M241" i="2" s="1"/>
  <c r="M480" i="2" s="1"/>
  <c r="O480" i="2" s="1"/>
  <c r="U369" i="2"/>
  <c r="Y369" i="2"/>
  <c r="AA369" i="2" s="1"/>
  <c r="Y405" i="2"/>
  <c r="AA405" i="2" s="1"/>
  <c r="U405" i="2"/>
  <c r="O453" i="1"/>
  <c r="O452" i="1" s="1"/>
  <c r="U312" i="2"/>
  <c r="U374" i="2"/>
  <c r="Y374" i="2"/>
  <c r="AA374" i="2" s="1"/>
  <c r="Y585" i="1"/>
  <c r="AA585" i="1" s="1"/>
  <c r="U585" i="1"/>
  <c r="Y301" i="2"/>
  <c r="S300" i="2"/>
  <c r="S299" i="2" s="1"/>
  <c r="S298" i="2" s="1"/>
  <c r="S297" i="2" s="1"/>
  <c r="S296" i="2" s="1"/>
  <c r="U301" i="2"/>
  <c r="U300" i="2" s="1"/>
  <c r="S335" i="2"/>
  <c r="Y336" i="2"/>
  <c r="U336" i="2"/>
  <c r="S396" i="2"/>
  <c r="U483" i="1"/>
  <c r="Y483" i="1"/>
  <c r="AA483" i="1" s="1"/>
  <c r="Y557" i="1"/>
  <c r="AA557" i="1" s="1"/>
  <c r="U557" i="1"/>
  <c r="Y327" i="2"/>
  <c r="AA327" i="2" s="1"/>
  <c r="U327" i="2"/>
  <c r="AA434" i="2"/>
  <c r="U519" i="1"/>
  <c r="U511" i="1" s="1"/>
  <c r="Y519" i="1"/>
  <c r="S511" i="1"/>
  <c r="S510" i="1" s="1"/>
  <c r="Y570" i="1"/>
  <c r="AA570" i="1" s="1"/>
  <c r="U570" i="1"/>
  <c r="U471" i="1"/>
  <c r="Y471" i="1"/>
  <c r="AA471" i="1" s="1"/>
  <c r="U308" i="2"/>
  <c r="Y308" i="2"/>
  <c r="AA308" i="2" s="1"/>
  <c r="U349" i="2"/>
  <c r="Y349" i="2"/>
  <c r="AA349" i="2" s="1"/>
  <c r="AA410" i="2"/>
  <c r="AA645" i="1"/>
  <c r="AA644" i="1" s="1"/>
  <c r="AA608" i="1"/>
  <c r="AA607" i="1" s="1"/>
  <c r="Y607" i="1"/>
  <c r="Y600" i="1" s="1"/>
  <c r="U354" i="2"/>
  <c r="Y354" i="2"/>
  <c r="AA354" i="2" s="1"/>
  <c r="AA313" i="2"/>
  <c r="AA312" i="2" s="1"/>
  <c r="U534" i="1"/>
  <c r="Y534" i="1"/>
  <c r="AA534" i="1" s="1"/>
  <c r="U379" i="2"/>
  <c r="Y379" i="2"/>
  <c r="AA379" i="2" s="1"/>
  <c r="Y399" i="2"/>
  <c r="AA399" i="2" s="1"/>
  <c r="U399" i="2"/>
  <c r="U396" i="2" s="1"/>
  <c r="U495" i="1"/>
  <c r="Y495" i="1"/>
  <c r="AA495" i="1" s="1"/>
  <c r="Y590" i="1"/>
  <c r="AA590" i="1" s="1"/>
  <c r="U590" i="1"/>
  <c r="Y463" i="2"/>
  <c r="AA463" i="2" s="1"/>
  <c r="U463" i="2"/>
  <c r="U530" i="1"/>
  <c r="Y530" i="1"/>
  <c r="AA530" i="1" s="1"/>
  <c r="S458" i="1"/>
  <c r="S457" i="1" s="1"/>
  <c r="S456" i="1" s="1"/>
  <c r="S455" i="1" s="1"/>
  <c r="S454" i="1" s="1"/>
  <c r="U459" i="1"/>
  <c r="Y459" i="1"/>
  <c r="U364" i="2"/>
  <c r="Y364" i="2"/>
  <c r="AA364" i="2" s="1"/>
  <c r="Y436" i="2"/>
  <c r="AA436" i="2" s="1"/>
  <c r="U436" i="2"/>
  <c r="U433" i="2" s="1"/>
  <c r="Y560" i="1"/>
  <c r="AA560" i="1" s="1"/>
  <c r="U560" i="1"/>
  <c r="Y580" i="1"/>
  <c r="AA580" i="1" s="1"/>
  <c r="U580" i="1"/>
  <c r="S433" i="2"/>
  <c r="M510" i="1"/>
  <c r="M509" i="1" s="1"/>
  <c r="M508" i="1" s="1"/>
  <c r="M507" i="1" s="1"/>
  <c r="M453" i="1" s="1"/>
  <c r="M452" i="1" s="1"/>
  <c r="M691" i="1" s="1"/>
  <c r="O691" i="1" s="1"/>
  <c r="Y575" i="1"/>
  <c r="AA575" i="1" s="1"/>
  <c r="U575" i="1"/>
  <c r="S390" i="2"/>
  <c r="S389" i="2" s="1"/>
  <c r="U391" i="2"/>
  <c r="U390" i="2" s="1"/>
  <c r="Y391" i="2"/>
  <c r="AA600" i="1"/>
  <c r="U544" i="1"/>
  <c r="Y544" i="1"/>
  <c r="AA544" i="1" s="1"/>
  <c r="U523" i="1"/>
  <c r="Z691" i="1"/>
  <c r="U526" i="1"/>
  <c r="Y526" i="1"/>
  <c r="AA526" i="1" s="1"/>
  <c r="O650" i="1"/>
  <c r="O644" i="1" s="1"/>
  <c r="M644" i="1"/>
  <c r="U410" i="3" l="1"/>
  <c r="U420" i="3"/>
  <c r="U433" i="3"/>
  <c r="U335" i="3"/>
  <c r="U312" i="3"/>
  <c r="U299" i="3" s="1"/>
  <c r="S299" i="3"/>
  <c r="S298" i="3" s="1"/>
  <c r="S297" i="3" s="1"/>
  <c r="S296" i="3" s="1"/>
  <c r="S242" i="3" s="1"/>
  <c r="S241" i="3" s="1"/>
  <c r="S480" i="3" s="1"/>
  <c r="U480" i="3" s="1"/>
  <c r="AA301" i="2"/>
  <c r="AA300" i="2" s="1"/>
  <c r="Y300" i="2"/>
  <c r="Y396" i="2"/>
  <c r="Y523" i="1"/>
  <c r="U546" i="1"/>
  <c r="U510" i="1" s="1"/>
  <c r="U509" i="1" s="1"/>
  <c r="U508" i="1" s="1"/>
  <c r="U507" i="1" s="1"/>
  <c r="Y433" i="2"/>
  <c r="AA396" i="2"/>
  <c r="AA523" i="1"/>
  <c r="Y546" i="1"/>
  <c r="AA547" i="1"/>
  <c r="AA546" i="1" s="1"/>
  <c r="S242" i="2"/>
  <c r="S241" i="2" s="1"/>
  <c r="S480" i="2" s="1"/>
  <c r="U480" i="2" s="1"/>
  <c r="AA459" i="1"/>
  <c r="AA458" i="1" s="1"/>
  <c r="AA457" i="1" s="1"/>
  <c r="AA456" i="1" s="1"/>
  <c r="AA455" i="1" s="1"/>
  <c r="AA454" i="1" s="1"/>
  <c r="Y458" i="1"/>
  <c r="Y457" i="1" s="1"/>
  <c r="Y456" i="1" s="1"/>
  <c r="Y455" i="1" s="1"/>
  <c r="Y454" i="1" s="1"/>
  <c r="AA433" i="2"/>
  <c r="AA519" i="1"/>
  <c r="AA511" i="1" s="1"/>
  <c r="Y511" i="1"/>
  <c r="Y510" i="1" s="1"/>
  <c r="AA391" i="2"/>
  <c r="AA390" i="2" s="1"/>
  <c r="AA389" i="2" s="1"/>
  <c r="Y390" i="2"/>
  <c r="Y389" i="2" s="1"/>
  <c r="U458" i="1"/>
  <c r="U457" i="1" s="1"/>
  <c r="U456" i="1" s="1"/>
  <c r="U455" i="1" s="1"/>
  <c r="U454" i="1" s="1"/>
  <c r="Y644" i="1"/>
  <c r="U335" i="2"/>
  <c r="U299" i="2" s="1"/>
  <c r="U298" i="2" s="1"/>
  <c r="U297" i="2" s="1"/>
  <c r="U296" i="2" s="1"/>
  <c r="U242" i="2" s="1"/>
  <c r="U241" i="2" s="1"/>
  <c r="AA623" i="1"/>
  <c r="AA622" i="1" s="1"/>
  <c r="AA621" i="1" s="1"/>
  <c r="Y622" i="1"/>
  <c r="Y621" i="1" s="1"/>
  <c r="AA254" i="2"/>
  <c r="AA247" i="2" s="1"/>
  <c r="AA246" i="2" s="1"/>
  <c r="AA245" i="2" s="1"/>
  <c r="AA244" i="2" s="1"/>
  <c r="AA243" i="2" s="1"/>
  <c r="Y247" i="2"/>
  <c r="Y246" i="2" s="1"/>
  <c r="Y245" i="2" s="1"/>
  <c r="Y244" i="2" s="1"/>
  <c r="Y243" i="2" s="1"/>
  <c r="AA336" i="2"/>
  <c r="AA335" i="2" s="1"/>
  <c r="Y335" i="2"/>
  <c r="U389" i="2"/>
  <c r="Y312" i="2"/>
  <c r="S509" i="1"/>
  <c r="S508" i="1" s="1"/>
  <c r="S507" i="1" s="1"/>
  <c r="S453" i="1" s="1"/>
  <c r="S452" i="1" s="1"/>
  <c r="S691" i="1" s="1"/>
  <c r="U691" i="1" s="1"/>
  <c r="U298" i="3" l="1"/>
  <c r="U297" i="3" s="1"/>
  <c r="U296" i="3" s="1"/>
  <c r="U242" i="3" s="1"/>
  <c r="U241" i="3" s="1"/>
  <c r="U453" i="1"/>
  <c r="U452" i="1" s="1"/>
  <c r="Y299" i="2"/>
  <c r="Y298" i="2" s="1"/>
  <c r="Y297" i="2" s="1"/>
  <c r="Y296" i="2" s="1"/>
  <c r="Y242" i="2" s="1"/>
  <c r="Y241" i="2" s="1"/>
  <c r="Y480" i="2" s="1"/>
  <c r="AA480" i="2" s="1"/>
  <c r="AA242" i="2"/>
  <c r="AA241" i="2" s="1"/>
  <c r="Y509" i="1"/>
  <c r="Y508" i="1" s="1"/>
  <c r="Y507" i="1" s="1"/>
  <c r="Y453" i="1" s="1"/>
  <c r="Y452" i="1" s="1"/>
  <c r="Y691" i="1" s="1"/>
  <c r="AA691" i="1" s="1"/>
  <c r="AA299" i="2"/>
  <c r="AA298" i="2" s="1"/>
  <c r="AA297" i="2" s="1"/>
  <c r="AA296" i="2" s="1"/>
  <c r="AA510" i="1"/>
  <c r="AA509" i="1" s="1"/>
  <c r="AA508" i="1" s="1"/>
  <c r="AA507" i="1" s="1"/>
  <c r="AA453" i="1" s="1"/>
  <c r="AA452" i="1" s="1"/>
</calcChain>
</file>

<file path=xl/sharedStrings.xml><?xml version="1.0" encoding="utf-8"?>
<sst xmlns="http://schemas.openxmlformats.org/spreadsheetml/2006/main" count="9163" uniqueCount="2005">
  <si>
    <t>Указать название организации (на бланке организации)</t>
  </si>
  <si>
    <t>{"estimateId":5186037,"estimateVersionId":7145531}</t>
  </si>
  <si>
    <t>5</t>
  </si>
  <si>
    <t>heYptjq90TmNNMYFxVEHZBsIUaxs9K42b0f66z8bhROCYzwtrNUmyntWREvld8Jpertg8EgskjwXhJkHhtpkGLJoFU4i4c1EG9AbindOWsM2RVgIpGg3c34OkEPd6QOmj918KsdGafVuX/kGrHLDYHu4vWuuTfkK0SxVGUiArXs=</t>
  </si>
  <si>
    <t>ТЕХНИКО-КОММЕРЧЕСКОЕ ПРЕДЛОЖЕНИЕ (ТКП)</t>
  </si>
  <si>
    <t>г. Москва, ул. Люблинская, вл. 72, поликлиника на 560 пос/см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</si>
  <si>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</si>
  <si>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</si>
  <si>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</si>
  <si>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</si>
  <si>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mTHMeV541+lTSZXTOKqoiJxT0WtPULoVSszhKqsoioutdmGm2yXLtpI5J6SOp2z4y1GRdRooYaUUv3bV1SFAWpZ3kz84AgIAIkAJr162tjmd/ountEFgpZ7h7nnIwTVRo1JRaBWoD/zz3inL9vx//T1974D9+bf+3a114ef+9rO1/7f4+/+/35ifnMK9//7nd3vjb/u+n8u/Unvvb6+hvUr//Tra9NX3355VdfufW1a3+pfqP/FPXLp5/dufX0D7vV/Gm3nv5x5ntff/pt5vfL3y+/WN5Zfr68s3p79ZPB8rH5zV318fHywfL+YPlk9ebys+a3+rt+qP77YPCc/sbB8tPll+ZLXzi/8+vm75u++uprs5deGb9R/6XfjM1n56+/8dLL6nM3X/3b4eyc4FfeeOmN/7D//ZfWn/v7nWdpX1m89Nc02v9069bTv1b9nep312RcZFGa75z/0v9z/trrL736SvMdeSykTOO/t6F8axsU9QDQOGxKXthGyesv/TXxAbJJ2dtGylZP8++W/7j8r8uPl79afrj8TaA/LH+t/vePy98u/7v6eNt85h8Hy0/UJ/5x+Q/Lj9Rv/z/qV/on/lE91b9T3/CJ/ZlNrp0ml4X1WThQFE9Wb6k3Tb2bO4PVO8sv1ec+Wv3UvIMPlo/N1+6sPtgZqO9QX8sT9auvlk/MV7+ov8f86o55yQcyi8zXV2+pZ/zfqJ9+ZKVOr52ml0V9e/W20v9g+Uir1OHJcDfhSkE81rwKV3Go0HN/eU9RPln+Qf1Kkz4wLaHIVz9d/Uh9//3V2/p7Fen95afm5/QvdWPcVz/16epd9fGe/ttW7+tP1xHxTfPx/brJ1E+83zTp4+YvuT84+8QTFfyeDNRf+EQJ/kp96v7yC/U33BnoP0T10hP1B701UE/aPyxvD5Lk/2FtbnHtVFxWc3/SNOJ91WQ/aRpXt/uzfVA39hMT4+/qJjPfcvcZTvUifaLeNfWSWV+lA3ltJC+L8tfLfw6Utt+pAPCb5f93oD6o/9lUHstrNy9LZZlHcRInRZbblFXy2ullKVPPr36+76/eVA+Cjhzqo+1Blte+mV+WxA/1Y6lDxefangxUaL+9/K1N5XV57fqlqfxYvS36vbpvYsc5x3Uu8thE78pru5cm+kPT+0a0euvvKJUPlg9NDPQ087fktW9dQcUqdL25+kB9/FGdF23S9+S1vUuT/o/LeyrH60D7KLSJe0Fee+HSxKl2Xf2X1Q9C86C+1WRPaxvuy2v7lylz+WWgM9Vg+XN7oP8Lee0vLk3fb5Tz+LF6OO/XzqGWalM5lNeGl6byv5kopX3nmyqsfhq2GpmD7Nq3s8tS+2sdOnWKUu/OHWVm3td56tatV7TN06NUhXDvfMi1AlxaW99W+n+7o4coH9vD6bcvTRr6MbiRXbtxaWptwweg7sPs2tEf9eN7eHmt3vb4Hl2atDrW2oc1O6qBoU/HKLs2ujQI9Dt4nF178Y/6WT6+tLZufZZfvDRp6MfgZnbt5qWp3SIUV9m1kz/qx7e6vFZve3xPLk1aV6H4NLt2ug3EG6++Mf7uBYZbX3tl/PK8/mPpHOcmxOCP+7eycpvJcxfP917/3msn+muH6o987aXxd/f+r++/9L2X1Z9moVxsUP55dXr43GGxcyhkYp3QO2QWXb382vErr0GVHhU7Ry6lR8xKj197aWp7cC4I1U32jTM1FwwGi8o3tnoAqmKncjVrxSgY1/knxc6JS+UJo0pwx+um+saJo+NPeRT+zUuz2fyV7d7/f1vs/FtXw/5bdtm4h+DfFTv/zqX137FrBT8Kutm+8e8cj8I3v4kW+lfmT5nNj8dv/I36nJKdTabJZDKOgrlYyEAU0SIoinwRjEUajVMp4tlsXH/na6/+bf2Lsv7PGfD8u/Ozx4SUI+NwsPyFyYh62ei+Wbd7oue7Hlg+H5jVpQe2b9drtz+3tlRxbViAWwraKH+vfjBOwY3RQYIt7bmVCU3g0XAv4ZGd54iJR+J5wC+qxhnZcUZMOPDXcMusbseqeLCSCIeFe+JO7CwnTCwxjgX1tJ3aUU4ZUDRLduvZJLCJ9vp8+sZLlsGeSgLff3kyt/XQxTRgT3OllShNIvX/KI82seqMrFofrFBnxO98z6TEVpGZTeJ1osTNV9jTiLBMuvyni3tSzjLlAz1RoXduNPsxrItIu+W1IZHmQi5043SQC+NoR/3ryIhUgs2UByDABaAjJfvIJfuIKlviZaNizUipHrlUj6iq4U//lglMqa9c6iui+gt5qkU97jE5UZJPXJJPqJLhMZuQjpTiU5fiU4riczGcOes48k4ceVXHznYGi0QlnjCxqbxOVQl/+6C5x0wmm00KKt18tXrHbG1cfqpyzud66/fb9cZB9fUHNpDdOLo2pML0nHpie9Yhq+8h7dglH5ElS7xkVDwZORSPyIrhD/y26cauvKIq5041drknZLnwIE1JM3a1pyS1faYYV5Kxz+CtdSfOVgbLRCYZV5oh6oS/dcg0o48h3Vt+rlLKIzP/93Cg9/Cboc2DzST0nDULWR+k3ThWaYgI23Maciy1kdX3kIYca25kyRIvGRVvRg7FI7Ji+AuxbRpyLMRRlXOnIceKHFkuPJBT0pBd7SlJrZbbvHs9pCFXIrIfXVsrT53tDBaKTkShsCm9TlUKf/OgqegXy8cqw7xtTkU9bg5nmAykjxK8b9avvjJ7g+7rk19mEu6ee/yTqMRDROs58aSOxENV30PisUs+IkuWeMmoCDNyKB6RFcMf/20Tj115RVXOnXjsck/IcuGhm5J47GpPSWr7Hf+4U0/q1S6cLQ2WSkg9rnEQUSv87YMmn9+fLew8XC/o2NLNk+UXNpDdOFXphgjTc7oRjnRDVd9DurFLPiJLlnjJqLgycigekRXDH/ht041deUVVzp1u7HJPyHLhAZuSbuxqT0lq+x7nuBOO8KqXzrYGiyUlHNd4h6gW/gZ2n3LM2EcfU39PDYru1jVF6roXj1bvrMuMmPo/DwfLXy4/XH5kQ9+NhUpSRPyek5TcOUzyncO03DkU6t8s3jlUruuwUJ8vc0cCo5L1kMDkzpHCOVI4RwrnSOEcKZwjhXPkwDki40g8DiqKjRTNSNGMFM1I0YwUzUjRjBTNyEEzItPAX7ttE5/cqRRVpagqRVUpqkpRVYqqclBVVCrupCh3ThTKiUI5USgnCuVEoZwolBMHygkZBZ5yKAlT7pwqklNFcqpIThXJqSI5VSSnDpJTEol51moSnZb+0pdU//bV1/69BY+WUdX/vmPD+Gac2TFiKaQoUvB+CYdaYkpVch0jOaLczbTialyGnGpKTOnSOm/rs4a6YtfqR+p3b9WpdWBy6pvm41tN3SldzOpBMyWpfnDw7VfG318M9BnFwfJ2EMdJ8+ufJUGsy4Gp/8r6P4m0tdoutdU2U5azk1/WMfA7L70OeS6Xv1i9v/zMHJz7Q12/S6F+YAqimFoeTdkZXbvrP5tiW7rdHg2uDw914bf/ZgP8FhVQogABcPHqv+hjgUn9n7T+j6j/I/V/Qn1u0zK7PFj+TrXAV0Hi/obbuufNacQvVz9ePmgWUONE6sfr0c5AH0K8t7xrlk91xbSHzXeYplxbOvOJu6a+o/rjl7q62WP9NJo/96H+i9Qfpv6yL5sn8E7921/qul/Bt174i+TcX/NuczrSiHzcPOl1tbXH5qF+XD/h8IffPAOmENnqB+o3utjaQ3PQNZd/JyLjTz9Z3s7l6l0Z1cB3L8zmPzIedrOgW63jgYF902gx53uVrqaRvjLi3q4XpTcbWUZNG5tve1L/VH0cdPXTQSoDITXLZ6Zy1qO0lqZ/+N6yLhf3pJZ11xS6e2LEfaY7wRSJUQLVCxDtFNEg0P+Rg//96d/anvM96nOewZ7zl+fj17//GigCPrLG5xeoAnOYwPnffW/+yus2ga9sCIzDKIpsEvepEjctokOisR8AgVkWR6E1XA+pCuNNv+eQqA25MUgQG3uhYeM4DzNr0x6QhQO9z5lwp1O9oLYs9ZNgU/ttslqg9zlTu53OG2SdQNODGkhvCs/TIi9KERZW7Ydk7UDr0T5UvtDSaZzFMpKhtCo+IiuWSMXQIYpN5YisEpgJvscQHo7JooHZ4XtdhYYXyUoLhNLtNN4ka8QkMsoj4A8JFVX3hdkMn274U+APBydktcCUhpqtsCk8JSnUEotClFkhRDAu5lEgynQejBflIhjPF3Es5+Momk9rCOccxcvN42EBI89TOGcq7IcknZxQQNtshocLM6Nh47jOybGZ8X39A5zq+MSMxn5ktkmpMdBG4SQ9FPxSj95dCwp6QGeWCgbPmeGcqdaqxkfvqZ/Qf5b+nFlqUGOrelLgsRl9NZ9bvadGd/qzX6mv3zNl0c1pyHqb1urN8OvNXMgzw87V+3pEd25sWX+THrua4dsHZkxsBnw/bP4ux/Yuxr6S8L6Czz/YKPY4KTb9hIcCMbp8ttr62zaqFzipNg2HhwoxJLVh7HNibGZ6D0YXw1ZGkgtDWw/KVsPboghTK94BKx4icKOGaxfWO26OTo++9Vz9USHtDJKvPz+s/2ujPmSlRgQP8oDE2aHHrGjYVw+C5u3M4/bOrNiIjZ+cjaN0PpsugomYlYGIZBGUZZ4GxVguFtE4yqNZ0yq9+snE4ScTx+Ezd2PAAPv2k5wciLCE85Nmdn/1k++YCXN9KuwrMyt/V5vJ1U/NzPtD/bVcPi+i56OdLNK/S+232exyNoGEN8GWNo2TAhFpETbNLGOEA3uvvMDJw2LQorCwgexzgmDzBABDJirnCRvJkJOkN4uWpWGe2vAOWPEQsbBDi5ZEdVav/2ujPmSlRgQOskVzdugxKxr21YOg+S1ae2dWbMTGos1lKcfFbK6+GKnvjaelcnJRHJTzPB8n+VzM49mt/i1a6rJoCbYxYIC9WzRGDkRYolm0eu6s2SFyf/WjZnqt/rTyZ9L4s2aGTehlsIstsMvZAhLeAts6NEYKRKDtzqEx8rA4tMR+NmCfEwSbJgAYcVoUSRhZX5UhJ0tvHq2UYZTb8A5Y8RDBsEuPljRpPXF7NE5qROggezRnhx6zomFfPghai0dr7cyKjdh4tHSazWUcRUGR6O8tRRlMivk8iOVkPi0nopS5vNW/RxMujyawjQED7N2jMXIgwhLYozXbVe+c31aq75R8YqbQ9CGtJ8v1Xcr1EunvlHt712xovbP8Qu8S1lWXll/UX212uNqaZpezaSS8abY1b4wUiAiMMG+PrIPiFzhBWFxbpKxOYkPZ50TBpg4ASCrSMBeZDWXIidKbbRNRkjn2bR2wAiIiZJfGTTS5XriNGyc1ImyQjZunS49Z4bDvHwSuxbq1dmfFRlxPr2XRbJzGaSATMQ2EiEQwyfRPpZGM9c7YSXkZK6DSZd2QOwehgL1bN0YORGCCWrdf6oNe5kzQ3dX7TfGx1TO1/s0U2/2zM0mr95tJuKcHt545sPXQ7IazHeV6WP9cnOzI5+Mkip5PpH038S5nG0p4G27r8RgpEMEa4/GsxugFThAWj+covbTPCYLNMACMJM8zYZ9kHHKi9Obw4lSG0rF6ysmHiKNdGryscQSZ2+BxUiNiBtnguXv0mJUN+/ZB2Fr8XWtvVmzE6p+/0tTa1/RYtsG5ec2/ky/Z5OytbENsTQPXqXo3w8b/KXUb0rpeg7A11i61sQSssS6/XAMVUKIAAXD0Og2p4xvuDMys6lf64TEFG3DP0c7F2gMBqcTDRv2GD81M8DurHwTLf1afe2iUm7vOL6eeg4zO1XOQ0aXVc3jaWb9a/tPyN8vfqn8/HCx/b25ce7v5k1V76ecCVPvhXz5jK/5AfWs2TQhb8QeqQODxXvhgxF38gSpx0+xsWfwhzhx1A4dUgf3UfojSMiytm2QPyMKBBqrb2g9ktUAD1VXtB7JOoHFCjbUuPsVFUSahnv+8KP2QLB1oY/ClH9IkTdMiFPbCD2S9Eql3m9PeI7JKYBYgD0OzQmZhbA1qx2TRwMzQXeEHstICoXQ7jTfJGjFJjPIIqNFyKtLc8RRUVN08hR+8weCErBWYzbYv+0BSqCXCjvRpCOcch2eqhzzP4Sr7kPo3xF/ghAL2vUjFyYGYXIXOlPxJl33g7CsJ7yv4PIaNYo+TAjGxjRhXQso+cFKxrIzZd6xzYmBn5iEQzgErJ0hvq2Luqg+seIi4jRqo+RfF0uYUWuo+UshKjYgd5NGIu+oDKxr2zYOg+dfE2juzYiM2dnI8ni0m82wcjCex3tqeTIKxmGRBJuQkmyzUOCYXt/q3k66Fs9S/d9/SGDDA3u0kIwciLOHs5PmqD5sHCvXnZNScJvRWe+BEl3D0bd0ZIwUiwiLcmf8sIScPiy9LwsjqaPY5SbAJAsCRpirelfZN6ZwovZmzTITSinfAioeIgl2as+b4Weo+S8hKjQgdZHPm7NBjVjTsuwdBazFnrZ1ZsREbc7aYTrNFPpkGRT6dKiM3jYOJGE+DRTZOkvFkUhR5M3Hdqzlz1XtIBbYxYIC9mzNGDkRYopszX0ku5dAAJbk4m0DCm2Bbk8ZIgYi03Zk0Rh4Wk+YqycUJgs0TAIw4KcPSumlmyEnSm0WTcZilNrwDVjxELOzSojXHzFL3qUFWakTgIFs0Z4ces6JhXz0IWotFa+3Mio346pZ7SJzlHlL/BntLY8AAe7dojByIsAS2aD2We+BsGglvmm2tGyMFIgIjrJuj3AMnCJNnc5V74ETBpg4ASBEKIW0gQ06Q3kybr9gDKyAiPnZp25rTY6n7LCArNSJokG2br9gDKxz27YPAtRi31u6s2IivbrGHxFnsIUXuF4QC9m7cGDkQgQlq3K5ksQfONpTwNoQ7PMr5NRv5Hic5IsBjXKHVSr3ACcLiCl0FIjhBsFkJgJHpwq3WOckhJ0lvptBTH4KVDxF6u/SEzZ05qfsCJFZqRMgge8JYJlGYOibzOOGwbx8ErsUTtnZnxUasTaHP63VbF8K1gir8e/3STbzLrgtB1bsZLv4k6kJQG0vAGuvy60JQASUKEAAXIypB5LBKENnFKgTKo9dlCMhlHcwRm+UvdGubx/KefnKbH380MOv3n9fjhKacgvl0/QeYoYf1kcVUbRhcStkGUCmG1JR3uF9/b81jmufeMz8V7USa6Rert/VPPbd89Py/3Fne/npoe0D3qA/oZp5nK8FAFQg8aAu3++4SDFSJm3ZiyxIMsrRvLRhS9fVSgaHUC7PSpvuArBvoVLotwEBWC3QqXRVgIOsEOhTUYObCM5yVURFm1nsZDsnKgXYBX38hjssoix3z00dkvRKpd5tj1yOySmAKIA/z3JHhmKwZmBW6K79AVloglG6n8SZZIyaBUZ4AXzSoqKp5ii94I8EJWSswk21ffIGk8MouGqWhq/iC8O9Ov8AJBex70YiTAzFzCZ2OuJKLRpxtKOFtCB/E2yj2OCkQs7kdjPQYQXpdAOIEwU5BAzAS5bNi6+mlISfJVVgAYuVDhFHUmMm/ACSaE1rCfdyOlRoRMsgjA0+BcFY27MsHYfOv/7T3ZsVGfHU3c6fOYghCYBsDBti7vWPkQMQlqL3rczM3Z9NIeNNs69oYKRAhGOParAH3BU4QFtfm3szNiYJNHQAQNci1X+vCydGba/Pt5WYFRITHLm1bc2pLuI/gsVIjYgbZtvn2crPCYV8+CFyLb2vtzoqN+OoWsUrdu3z8G9stjQED7N23MXIgAhPYt3VYxIoTXcLRt/VljBSIGIvwZf76CJw8LPbMWcSKkwSbIAAccRKHpaNCAidKbwbNXcSKFQ8RBbu0Z83ZLOE+asdKjQgdZHvmLmLFioZ99yBoLeastTMrNuKrW8QqdVZIEP4d5pbGgAH2bs4YORBhiW7Oti9ixdkEEt4E25o0RgpEpO3OpDHysJg0VxErThBsngBgiDwshA1kyAnSm0Nz17BixUOEwi4dWnNSSrgPvrFSI+IG2aG5a1ixomHfPAhai0Nr7cyKjVjfi3zOmaj40Of1yC4PJv378+Qmbk/H4Bx3aFynyt2MHVuegvvNxuU4dwbNobXHgGNsWZKtt6Cdv3GnOdkWxJE+2RYk1t2pu9QGELAGuPyTbVRAiQKEwH1iTkDd1WevdgbNOTf6NchCfYPlsXl68E0/FvXZtPq41rNH0eDnKC+cBcvxdyLb90aag3Sfne24NH9tcx7tsZnVNd9w4eDd7eUnwV8k5m9vjpTpE2vn6k/oW7IYb1DO5bmzeLm8tBuUwUfxtr8U+dYrtndrj/pubXoQtkN5VIHA4xfwgYj7UB5VIuZMA0BgXqShfW8lVWAvp/KKSIaRtOk+IOsGGifCqbwkka5TeWS1QOOEOpXn1nmDrBPomFAjrQszw2lU6FtQrYP+Q7J0oNfBH8srZVnGkaOpj8h6JVLvNgdyRmSVwCRAHoS6Q8MxWTMwLyCP5blftxfJSrs+lufWeJOsEZPCKE+ANxxUVNk85/K8oeCErBWYy7Y/l0dSaEbSoM1CGsI5s+GZ5yHPbrjO5Un/LvYLnFDAvteYODkQE6vQCZI+N25zNo2ENw18ZsFGscdJgZhDxozh7Bu3OUGYFp1cG7c5UbCT3wAQEYW5sE4bDjlJelt38m3dZgVEBEjUeMi/8iSbM1rSfeKOlRoRNcim37d1mxUO+/pB4PxrT+3dWbERG+cWpYnI5tM4SGZ5EoikjINJmkXBOM0ymUWyTCdNq/Tq3FxH7qTANgYMsHfnxsiBCExg52Zm0H+k57215dKz3HrW+4Gpg/e+XkD4Ui/xPNlYynhwbgXMzMSbgnuD58w8/GPtBHcGq/f0Uof6tf6cWf/YGTTLR4/NtHnzudV7yv7pz36lvn5v9VP1V5lSDmYO/6vVm+HXmxoO51bPmr+vtpLnVgH0T32y/NhMrn+yvL1eDLH11C5nT0l4T21rJBkpECkBYSTNeo5ZHTFrhDaqFzipWFyl9QjdPicGNqUBIDyrDIwgvRnKOFYpSNr4Dlj5EGG7Sz/ZnB2T7qOArNSI4EH2k+4ePWZlw757ELYWO9namxUbcX0SME7KcianwTgbF4GQeREUcTwPyvE0m8zVzybJ+Fb/dtJ1ElD6d95bGgMG2LudZORAxCWonfyo3g1i2zey3jXycF2Rq94qsvw40Zbto+Xvlx8+LbnlcW2MDSLhDbKta2OkQARehGtzbeFgBGExaomj2hYnCDZdADDiPEldNydzovRn1iIRSuvs5gErHyIodmnWmrNk0n0wkJUaETPoZs3Zo8esbNi3D8LWYtZae7NiIzZmbTaO0vlsuggmYlYGIpJFUJZ5GhRjuVhE4yiPZpcx9+fcle7fhG9pDBhg72aNkQMRl6BmDXcyMJeQk4GcTSDhTbCtPWOkQIRahD3znwzk5GFxaVFYWCei9jlJsIkCwJHlaViUjjk1RpTebFqWhrl1Y8ABKx4iGnbp0przZNJ9OJCVGhE6yC7N2aHHrGjYdw+C1mLSWjuzYiOuS97LUo6L2Vx9US/mxtMyGM+jOCjneT5O8rmYx7Nb/Zs01z3JGXILIRSwb5PGyYEISzSTVs+QbVbXGtSfVg6tLrDVLJcK+9T4LmcLSHgLbOnROCkQgbYzj8bJw+LRktC+6MkJgk0TAIw4E9JRsWjIidKbRStlGNkn0ljxELGwQ4uWRXVWr/9roz5kpUZEDrJFc3boMSsa9t2DoPktWntnVmzE/V5b7DRd/i2C2SbeJddroMrdjBV/tPUaqA0gYA1w+fUaqIASBQiB67Zeg/yjrNewtN1c5ajb0F614Vsv6MX4fy3c0FvhhtBVuYH6lm26D7bKDVSBwBO68EGIu3IDVeKmzdmyckMiiii0n9KhKrzs0g1k3UAP1W3pBrJaoIfqqnQDWSfQPKEGWReEl2UeFXkorb7vkKwd6HvwtRvSKC0KqQRbG/uILFgiBW9zantEVgnMA+QRqKd4A1kzMDV0V7yBrLTH4g1kjZgsRnkC/AGhourmqd7gDwYnZLHAfLZ9+QaSQi0Rth6lIZwTHZ5pHvJkh6t8QyZwnFDA3teYGDkQ86rQ+RKOjUCcTSDhTQCfULBR7HFSIKaKEQO2lkUmRh6WRSbnRiBOEuxMN4AjidM0FJF1ND3kZOltmcm9E4gVDxEOUSOglmWm5jhW5j5cx0qNiB1kk+/eCcSKhn35IGgty0ytnVmxEV/dnUDSWaoh8+9dtzQGDLB3l8bIgQhLNJfWzU4gxhaQ8BbY1qQxUiACbXcmjZGHxaQ5dwIxgmDTBABDJlEZOipqcaL0ZtE8O4E48RCxsEuL1hzCytxH6lipEZGDbNE8O4E40bDvHgStxaK1dmbFRmwsmkzkZCwKGaQingVikuXBOI+UpxMySicyyhbz6a3+LZqr/EHm37luaQwYYO8WjZEDEZagFg1f/uBbL6CqH3C2h4S3x7aGjZECEXYRhs21DYIRhMmpWUH2OUGw2QKAoVS5lp6GnCi9OTVP9QNWPkRM7NKqNUexMve5OlZqRMwgWzVP9QNWNuzbB2Fr8WqtvVmxEV/dyqfSWf0g929htzQGDLBvr8bJgYhLUK/2J1z5lLOnJLyntnSRnBSIjIBwkZDKp5xULJbSPvXHiYFNaQAIzy5dTpL+/KS79CkrHyJud+gn8+bcWO4+BMhKjYgedD/pLn3KyoZ9+SBsfj/Z3psVG/HVvQNJOs8M5sjNglDA3v0kIwciLoH9ZI93IHE2jYQ3zbYGjpECEYIRBs5xBxInCItnc9+BxImCTR0AkDgpwtJRX4sTpTfj5rsEiRUQESG7dG7NrTm5+xIkVmpE2CA7N98lSKxw2PcPAtdi3Vq7s2Ij7reAQ+YyY8KLl2/iXXIBB6rczWjxR1vAgdoAAtYAl1/AgQooUYAQuI4LOCzvXFoJhyLf+aMq4vDg7IuXr3KzuMN9a9GJB1rVYPk/VQf/eudfq1B0WoXCFib2qGFi00CxVaCgCgQeM4aPpdwVKKgSN33alhUo4kI6bvWiCrzsAhRk3UAP2G0BCrJaoAfsqgAFWSfQ/KGGiReEK58f52FS2KQfkqUDbRu+/kSS5GkWOZr6iKxXIvVuc+p8RFYJTALkEbSn/ARZMzAvdFd+gqy0x/ITZI2YFEZ5ArzhoKLK5qk+4Q0FJ2StwFy2ffEJksIru26Wha7iE7n/AMEFTihg7+tmjByIWWHoXE+v62aMTSPhTQOfJLFR7HFSICbAMWM4x7oZI0jf62aMKNh5ewBIGWbSunFryAlyNVbNOAER8RE1HGpZNWtOx+Xuo46s1IigQfb83lUzTjjs2weBa1k1a+3Oio346m6gz5z1KHL/aQJLY8AAezdujByIwAQ2bn/CG+gZe0rCe2pbH8lIgUgJCB8J2kDPSMViKh0b6BkxsCkNAuFeZGAE6c1Q+vbPc/IhwnaXfrI5wZe7z2OyUiOCB9lP+vbPc7Jh3z0IW4udbO3Nio346tbOyJy1Mwr/YQJLY8AA+7aTnByIuAS1k+y1MzjbQ8LbY0vTxkmBiLsI0+bYwMEJwuLTXLUzOEGw2QKAIaIiTK0kQ06S/qyau3QGKx8iJHZo1YrmcFzhPurISo0IGXSr5i6dwcqGffkgbH6r1t6bFRvx1b0vIHOWzij8hwcsjQED7N2qMXIg4hLUqnHcF8DZBBLeBNu6M0YKRKhFuDN/KVpOHhaT5rwvgJMEmygAHLEswyy2z6hxovRm09zXBbDiIaJhly6tOQdXuI81slIjQgfZpbmvC2BFw757ELQWk9bamRUb8dW9LiBz1qMoBLYxYIC9mzRGDkRYopm0Tq4L4GwBCW+BbT0aIwUi0Hbn0Rh5WDya67oAThBsmgBgpEUZ5g6HxkjSm0Nz3xbAiocIhV06tOYOoMJ9oRMrNSJwkB2a+7YAVjTsqwdBa3ForZ1ZsRH3W3Yid3ku//7AYhPvkstOUOVuxoo/2rIT1AYQsAa4/LITVECJAoTAdVt2Iuup6MTOxVIBwXqLIqbqxEY1hg/NuZp3Vj8Ilv+sPvfQoH6qQVtKSDBWYJDRuQoMMrq0CgxPO/FXy39Snfxb9e+Hg+Xv9XjKqLhjamM81M8KqFrDv3zGVq6B+npt2g62cg1UgcBjufDBh7tcA1Xipr/ZtlxDUoTSJnBIFdhLuYY8yUNhPY57QNYN9E7dlmsgqwV6p67KNZB1Ak0TanB1YaiRikL5U3u1BrJyoNvBV2uIZS7iJJT2ag1kvRKpd5tj2iOySmAOIA8700Ikrq22ZNHAvNBduQay0h7LNZA1YlIY5REQZZrHmatcA1U2T7kGbyw4IWsF5rLtyzWQFGqJ4/FsMZln42A8ifUERzIJxmKSBZmQk2yyKMs4bwKwc3LDM7VDnuBwlWso/HvWL3BCAXtfVmLkQMylQudILu792VxU0p+TUbOi5N/zw4gu4ejwyQMbxR4nBWJaGDFGa1lPYuTpdz2JEQQ7qQ3ByMqwkDaSISdJb+tJmQildbnsgBUPEQNRQ56W9aTm0FXhPkLHSo0IHGRj7+zQY1Y07KsHQWtZT2rtzIqN2FizxXSaLfLJNCjy6TQQ5TQOJmI8DRbZOEnGk0lR5M0wo1dr5irIUPr3qFsaAwbYtzXj5ECEJbo1823LVv4MsC2bswkkvAm2tGicFIhI25lF4+RhsWhRaB3673OCYPMEACOOEjvIkBOkN4cm4zCz78lmxUOEwg4dWtmctSrdJ+dYqRFxg+zQnB16zIqGffMgaH6H1t6ZFRvx1a1xkDtrHJT+DeqWxoAB9u7QGDkQYQnq0NhrHHC2h4S3B9yuMexcWd6zNc0eZ9MgYjnCAzq2UnCCsJg/V+EEThBsCoJgFInjimhOkN7Mn6duAisfIsx26f6aQ1yl+0QeKzUiYpDdXyyTKEwd/o8TDvvyQeBa/F9rd1ZsxFe3ZGruLJxQCmxjwAB793+MHIjABPV/f8IlUzl7SsJ7Cu5MbRR7nBSIlIAwkZCSqZxULI7Svt7LiYFNaRAI50ZfTpD+/KS7ZCorHyJsd+knmyNnpfv8ICs1InjQ/aS7ZCorG/bdg7C12MnW3qzYiK/u1Um5s8RDidxzCAXs3U4yciDiEthO9nh1EmfTSHjTbOvfGCkQIRjh3xxXJ3GCsFg299VJnCjY1AEAycKssIIMOUF6s22+q5NYARHxsUvf1ty1U7qvTmKlRgQNsm/zXZ3ECod9+yBwLcattTsrNuJ+Kz8ULivm34hYbuJdcuUHqtzNaPFHW/mB2gAC1gCXX/mBCihRgAC4rWs9FJdX60FFn+5KPaif1Avm68njZtH88go+5PJcwYdc9l3w4WkVja4LPqRd1HsIbW/VHvWt2vQbbAUfqAKBB3vhAw93wQeqxE1bs2XBh1K69pQS9fVS7yHWx5US6+D0gCwcaJm6LfhAVgu0TF0VfCDrBHol1KjqovBYlonjgTgkSwe6HELFhzhPpaupj8h6JVLvNie9R2SVwCRAHnB6YsMxWTQwMXRX8YGstEAo3U7jTbJGTA6jPQKeeFBRZTNVfPDFghOyVmAy277iA0nhlV1lKkJXxYc48m/hvwAKJex7mYkVBDGPCp0d6XOdibVtJLxt4PMKNow9VgzEpDFmIGdfaWIl6XmpiZUFO9sNIBFh6VhrYiW5EotNvISIKIkaF/lXm5S2en2i+YUN/JAXHBE7yP7ft+DES4d9ByF0/hUnSJdWfNBXd/N54SwPEUf+rfiW1oAR9u/jGEEQEQrs4/50t5+zdpWEd9XWtpIRA5EaELYSsgGdFYvFY9p3oLNyYHMbgMK59MAK0pu99GxB5wVExO5O3WWytiLuU4284IgQQnaXnm3ovHDYFxAC12Yu23u04oM25jJJJnK+EOMgUl8L4nheBEU0K4MokpHMiiIuZeO5ejWXrsoWcSSwrQEj7N9cMoIgAhTUXFpqW9w12zR0jYvH9RfNnYPKzv1C2TldyELbNfV7azLdZW0ACW+ArS0bIwYi3iIsm2NLBysJi0tzVZ5gJcGmCQhHHLmuGmRF6c2pKbWhlDbAA15ARCDs1KmJdV53nxfkBUdEDrJTc/fqMS8c9hWEwLU5tfYerfigjVOD3SHdu1Nz1aCII/9OfEtrwAj7d2qMIIgABXVquDqxuYTUiWVtAwlvg63NGiMGIuQizJq/UiwrEItni8LC6nT2WVGwGQMAUiRhWrim1xhRejNtWRrm1j0DB7x8iJDYqWfL1hnefVaQFxwRQMiezdmpx7xs2BcQwtZm2do7tOKDNpYNdql075bNVechjpBbDaGE/Vs2RhBEfKJZtnopdPPepUH9aeXX6quXmnVUYZ8r32VtAglvgq0dGyMGIuB26NgYgVgcm+v+JVYSbL6AcESx48rSIStKb4atlGFkr/DKy4cIiJ0atmKd392XMPGCI+IH2bA5O/WYlw37AkLY2gxbe4dWfNDqn7/6e/PPzlmOd7qy1+fTN1569RVLY6BMmXX5Qtmw0s6YROr/URFvMrqKPLhVYhxWFloHDNfJMjcfLU9jAv3Tb5RV0kewv2x2ob3VnAL/QB9kV+bp/sBMfumj8G+v3t8xx9qf2Zr2pD4mv3pH/THmcHl98tzGrZxVeW1Ihr8QLd302wXL6vTwucM4jlyBkapf4PU7j2pZRR+5RB/RRUu8aOiZLaN55NI8omuGvyb0AKy1Vy7tFVn7hYN8LdpxD8iJS/AJXTA8wKMO9Bm9py69pzS95um41U+Csnv/b8axY8d7IzxxNjRYJzJF2YVeJwuFv32kJDUw5U3+YEb876/eNZV3TLGVplDI8qENZ1fhqNxDZeo798SO3EPW30fusYs+oouWeNGo8DJyaR7RNcOf/q1zj117RdbOnnvsgk/oguGxm5R77HpPaXrPzf71kHuc2Sf2Sk+dTQ1Wis4+9lrv18lS4W8gMf/cXn64/LlNs0oysU4yROF9J5lk5zApsp3DNJHqQ1bsHApRuhIPlamPxJPsHGmQIw1ypEGOXCBHdBCJB0HFm5HmGGmOkeYYaY6Ri2NE54C/HlsnqGSn0jyV5qk0T+Xiqcg87Ekr2TnRECca4kRDnLggTugQ8ERASmTJzqlmONUMp5rh1MVwSmPod2DlSW+JV7xwdgBYKyG9OQdYRLHwNxia4D4xc37v22SqnJbonEbU2ndOS3cO41TltLhwDqGoJH1ksnTnSMs/csk/osuXePmoMDPS6kda/cilfkRXD3/mt85a6U6lKSoXRUWmYM9V6c6Jln7ikn5Clw6P5qQMle6cauWnLuWnNOX95yVnZkq98qWz4cFqSZnJmZuIcuHvKSY33TN1p8+qJQyaOsfqt/Uv7w3MFiB9mO49U1vrfv35L1Zvrt43BbbuD2ycKrmlOrkRYftObkLltVgN0+KkcCU3KkkfyU2ovKbkH7nkH9HlS7x8VIQaafUjrX7kUj+iq4e/NFsnN6HymqKoXBQVmYI9uQmV15T0E5f0E7p0eEogJTeh8ppSfupSfkpTrqU3G2l0IPpLX5Lr4o6NswwXOgtRNlsqL3DUe0xE5uwBmFxiigudGzGoejcD/5a3bPzenAHXVwo8NDsw7uqbNfS+i8+beccHpszQl6ufmOz2WX3xxvnbNOo7BOrCQ/XVDHWKfKDvb2guFXjcnDx/eHYpRzxYX5Zga55dcvNsZpNO7uCwSfwWWaJESQTIM1uRH5j9MY+f7a9BcL5r7ri7RlcJjRNTA1Q5lz+zAe+RgTMYMGK7rus0PFUhsJA1fP+t+4YDssbNVL3lFQdJEmY2gUOywF7uOJBxKIRN9wFdNzBj4a84EJHrggO6WGC+wtxw4JR5gy4TmKZQg5MLL1mcJaG0Pg2HdOXADNI+GNmUW0bCdbkBXa1EqoUaSJvMEV0mMAWQd1w7w8IxXTMwKeBuN3C+ay/ShXZ8uYFT4k26REzyovS/JxRUZNU8Vxu4w8AJXSkwhaHGkDaJpzSJxpnP0qSYFbNgWpZlICbjLBhH4zQop3I2G2ezyaJokoZzKPnyuJtzleeHk+4BZY4DhRLaBp0eMMzA0wZynRVkM837egg4Iv0EOF4xVTJiGdVDFhv6Liu6hKPDh3I2jD1WjM3M7MHoYoDGSMJykNKxTLHPSrKZLT0k4OGecNTwGLKS9HaOUmSOamwHvHyIAIga61yY0H32HGWcN8fu6l/YwA95wRFxg+zqnZ16zMuGff8gbN4OPYZ0aMUHbc5R7jydCtH+pMdJfeetBLonPMAXLgbvaVI/dpwCvU4WDJwugXoo66y+/tQHyz/Uc/RmJ3EzG6+vBH6kTNabZ8co62uj9B3B6oebu4ufrN4eJPGgrg97T/2BwndlFLUhBKwhOpm/J0qUKIkAec1GA930X+4MIHdim8uvrw3iIE7VD0gb3x6ZDzhX04UbJCoEzsxgXJ57up6oETPjAVCY50XhuhiAKrGfCftCxUyrhz6gCwemI/yMfZEV7il7qlpgNsJM2bt13qDrBCYhlI+9YOmkzNNIhLm1PsYhXTwwceCn7bM8i7K8CIVr6p6qWCIVbzNvN6LLBKYDssl3B4hjumhghsDN3btfuhfpSjuevHdrvEnXiMlllEfAHxQqsnCeCXx/QDihqwVmtS4m8SkStcainCVZJJJAfeM8EItkGpR5FAVxlJTjciGjRLZtevYMpsnDR+ckfuI4UuQChRL2PonPCYKYw4IOQP9Z3yysxo/6+rknqzfXY0z1W3PX3PuD5T+p8c59s8tMX3/3xfJOM5+vP4ogtk777LI2g4Q3A3xsZ8PYY8VATMzBh3Cr91zXxHGisMzoWwdR+6wc2PlEAEWWpHEUChvLkJWltxn9JJTWBHvAi4cIhqiBUMuEfhI387/1L2zgh7zgiLhB9vquPj3mRcO+fxC0lvl8QH9WfNDGq43jWGRSlEEWT2UgRJEHEznNg8Ukn0WzuJBZ1jRMr17NOdmfpNjWgBH279UYQRDhCerVbpsaVm+tfjJY/VBZskfNDcKPl0+C5VfmKz8yiwL1koDyb++ebb9Y/jq2v9C7rI0g4Y2wtVNjxEBEXLhTU1b6MxvKC6woLE4ttk9477OSYHMFgENmUV6mru32nDC9mbUsjB1VrFnxENGwU7OWrpN76jFrnOCI0EE2a64+PeZFw76AELQ2s9benxUftDFrUxlnRRrngZzMk0DMy7EydoUM4kVUynw6TsaTps97NWvOK30TiW0NGGH/Zo0RBBGe4Gat3pJxZ7D6L8svtQdbvbW8W8+dRdHz+l9hA91lBZVw0K0NGSMGIqoiDJlr9wMnCZMfsy7T7bOSYNMBgEMF3jzMHJspOFl6s2NxFIelNQ4c8AIiIl6nhkyuE7j0GDJOcEToIBsyd68e88Jh30EIXJsla+/Rig+6PrAUL/Ion5RBHs/zQKjWD4pskQT5eJGUs0wu5GJ+q39L5ry7N/HvDra0Boywf0vGCIIIUFBL9lEzYXZnoA8imZLwekmznjAzVTQeLb9a/UAZtzfrTxq3VmivZvbPqt8kkWsfLWdbSHhbbO3aGDEQoRfh2lpuhOME4jFvNo59Vg5s2gBQqOG0NQEOWUF69G2OXUUHvHyIqNipbVsfekk8p5hYwRGxYwvb5ujUY1427OsHYWtzbe0dWvFBn51iatyKdmM9nmJyz5V5d9vJaBO4r1NMjouCrpMFb4YRhlNM2kHpE+HqN4+fXsLTFOQ8d6ipuUzux2F9Vin2nVWi4goYbhdnlagSJUoiQB75rJJQn1E/kA6eW35suq8uLvfm6p3VT1c/rr2y3iD4lt41OAgGhekwawjZIzcHcC87wiY6J/eICoEb1xG+z320iapxM7FsebRJFmloXWgakhX2crIpznP3qidVODBF4U82SZk7TzaR1QIzFOZkk1vnDbpOYGJCeduLNi8VsQibeqoXbSxVOzDL4A82pYmMkygsHeeayIIlUvA2RxlGdJnAXEC3/c7wcEwXDUwPuHNN7lfuRbrSjs81uTXepGvEJDLSI+ALCRVZN8+xJm84OKGLBWa0Dk41kSRe2Zn+1H2qKfXuG74ICiXsfaafEwQxpwUdkLLO9HO2hYS3BXwoaMPYY8VAzNYhhnAtM/2cQH3O9HNyYKcaARRlFmbCRjJkJbkKU/2sfIiwiBoOtUz1p+vzMKnnfBMrOCJ40D2/e6qflQ37/kHYWqb6AR1a8UEb2zaZTOfjRVoGUohpIPJiEYyzSKqfmhSzeDKepbJ5m3u1bc4DTmmKbQ0YYf+2jREEEZ+gtu2XepbZGLf1LV76t/UktPrSW3ouW9+XsXpf1zn7aPmz5e3l75a/Wv5a/fvxd5oiab9ffrz8cPkb9fF3+nv+l/rN7cGNYxkPlj+ztdIuaytJeCttbegYMRAxGWHonCegOFFYrFwUJlLaWPZZWbDpBEASiyIsXHs3OFl6M3S6PpvL0HHyIQJmp4ZufWYm9ZyBYgVHBA+yoXN26jEvG/YNhLC1Gbr2Dq34oOv7UqdJUpTzRZDlWRqIcSKCIp2VwUzILM/jaBZl/R+CSt0bO1KJbQ0YYf+GjhEEEZ+ghu7jp3tA6tq0Zg/IU6emb0H7gfr3h88Wta393Vd6F8knytp9GBif9zP1x/2D+vjb5e9sjbPL2jgS3jhb+zhGDEQo7sTHMaKw+LjYfvh7n5UEm0MAHGWalvbS10NWlN5MXBna/fYBLx4iRnbq4daHbFLPsSlWcETgIHs4V58e86JhXz8IWpuFa+/Pig/abL89Z12cHq3ja++t8UiZs8zOWV9sXCabnK5dt11fe2+Ve50sd/Mx2/7a+18qZ3XP+KYHy8/NLtoPjJP6YGdg7pbVF8o+CdSX7q7eMZcDXPy2d86+0VxJu7xvY1bOKrs2JINfCJqAm9dJ75i+SluFwXznMBax/iD1h1J9kKn+oL+Q6S9k+guZ/kKuv5DnrohKJRZ4Ytxd50ca80hjHmnMI415pDGPNOaRxjzSmEca80hjHrkwj+iYEo8J3ThiKEeacqQpR5pypClHmnKkKUeacqQpR5pypClHLsoRnRL+4tLTg6atNG2laStNW2naStNWmrbStJWmrTRtpWkrF21Fpr2wZamFFvfYnmjEE414ohFPNOKJRjzRiCca8UQjnmjEE4144kI8oSPC0xxqr5MhPNWEp5rwVBOeasJTTXiqCU814akmPNWEp5rw1EV4SiM0z+yts3ze27kaT3HntLBzNE4mdfYUTC4xvYeOMhnXyXo3Ex3HsZony0/18Qudyc2OJjOt8pndCSwfDFZvDZZfma98YZL8g2aO5YHeAzVYvaf/UH0ix3a1kPmjv2y2UpnfqD/dXE+kPvdFfZanOdPzhd5G1Uzr3B3E+kYi/emHtvbdJbfvZlplPMdDlShREgHynj3HkzZndW6bPni8ev/cuR31S6cjHCw/NBvd3ln9IFj+8/Kj5f9c/tflP5oJtV+pX1kn1PbIjbA5WOQ7vUNVCNyejZk4cp7eoWrEbHqGKMwKVxlqqsJeTu+UZR4W1u4/oAsHJkL86R19vbXr9A5ZLTAPYk7vuHXeoOsE5j/UKM/yGCv3ExalTfshXTswt7SP1zYFJ3lSRI7FySO6XonUC3WxNpkjukxgKqDPGTqjwzFdNDA74A7vuN+4F+lKOz6849Z4k64Rk8coj4A3IlRk3TyHd3zR4ISuFZjPUONZm8RTmkStcZrJxSQTWTDJJ2kgFmUaTKbRNJgW48ksXoxn43HbfPTL4273DNT/dQxam/3BYFAooW1g6wHDDG5tINdZQRDrYdBRr2MMo361vu62KT/wtr66aHmn2U1w8s3ht0c3B3s3vlmdDHcHaRQ1w9HfLe+v3jWj2cfmB/Sf+BNbS+2ytpSEtxR8cGjD2GPFQKwDIoZ3zg0EnCg8GwhsHPusHNj1SwiFe6zISdLf7gHPmJIVEBEvUaOklv0DImrWm+tf2MAPecERcYNlLMAKh30DIXAtOwgAPVrxQesdBDu1jelxfcF5XkckXk6xydnb+oL1YbxO1gucX4E6rT/a9YWkWV9YfWBr311y+wpY+3axvkCVKFESAfLIdcKynUG+MyjUz8ShjXGPzAicM0L4S9fyAVUhcIIIYRvdywdUjZhpF4BCKUrXxUhUhb0sH4gkCnOr8AO6cGCewy8fpIlwLh+Q1QLTHGb5wK3zBl0nML2hjPGF+bc0TtSTnFu1H9K1A1MHfvkgzosod51WP6ILlkjB28wajugygbmAPGZwh4djumhgesCtH7hfuRfpSjteP3BrvEnXiElklEfAGxIqsm6e9QNvODihiwVmtA4WEEgSjTtfRNEin86DYlrKQETTOCjyqQiSSGSZnBfZdDKrKZzjUc/AnDwmdS8gCBwolLD/BQRGEMSEGHRY++vzqwMDNZx9oEa576jRZ7168NzT3Wlfr0eUibviNCe6hKPDh3M2jD1WDMTMHmLE5l4RYERhWREQYWoj2Wclwc5IAjiSNEvDpLCxDFlZ+lsVyMNC2vgOePkQMRA19mlbFBDrKWThWRTgBEeEDrLBd3bqMS8b9g2EsLWtCbR3aMUHvb7Uo7EmPZ89cJZ+EI4zFA1vtsnb09qA80oPql7g5AnURDnWBupJ/vvglQEzt/zZ8slZSa+zaf5nfNkT/T31QsKd5UP1KV2YFX6egNpmAtZmncz3EyVKlESAPPJ8fx7EqfoBOXhO9+zn6ufvmj/pyfKRuexlvXDzePVO/Xu9BcdcDeJaHiA2CXBKCGE2ncsDRIXA+R+4h/QtDxA1YmZVIApFGjm3jBAl9rI+kJQqJFvb9oAuHJjr8OsDsojc6wNUtcBUh1kfcOu8QdcJTHEoj3xhtBZnZRaHmWt9gKodmGrw6wNFUmapa9f2EV2wRAreZlJwRJcJTAbk4YM7PBzTRQPzA259wP3KvUhX2vH6gFvjTbpGTCajPALekFCRdfOsD3jDwQldLDCjdbE+QJFoNCaT6TiZT4O8HE8DUSZRMCkXUZDHMpospnORl02mc45JPYN08rjUvT7gP0lxARRK2P/6ACMIYm4MOrR1HpL+zuaJgdV/UaNOs5gwWP5cb2Fb/USPTHVZaTVMXb1ta45d1uaQ8OaADwltGHusGIiJvy6GcYwkLEsGjsIU+6wk2AlLCIfM09BVS5qTpbclgySTjlx7wAuIiIuo8VDbmkGxnmIuPGsGnOCI0EE3/c5ePeaFw76DELi2RYP2Hq34oC/nIIFwWTLpPzCRb3L2tlhgzWzXyXqBMylQR3WlFgvaDgdQ20zA2qyLxQKqRImSCJBHXyxwzPlTyYDTPB2YRapC4JwOxgQ65/ypGjEzJQCFSRKF0qZwSFbYy5R/VsShsAo/oAsHZiz8lH+RFc4pf7JaYMLCTPm7dd6g6wQmKpTFvThKiRJZhrl1m9YhXTswYeCn/OMyTkvXRusjumCJFLzNPN+ILhOYC8ju3x0ejumigekBN+XvfuVepCvteMrfrfEmXSMmkVEeAW9IqMi6eab8veHghC4WmNE6mPInSTSefDqe5WkRB/O0jAMxmyVBuZjGwXQ8TZNsqsatZRMtnCNLzxCbPLp0TvnLBAcKJex9yp8TBDG1BR2g/lYNHfX+sfpuoft1BaG3zcDxgblU8v2Be+7f1gK7rC0g4S2AGMv92lx7/qkZNuv9WWf7tx7rKwDMsPyxuYvpjvnGO/YB9B4rOWJ2r4uxHiMJy8KAY9foPisJdlISwCGyNIykDWXIitLbuoA+COnaVcYKiAieqEFTy7qATJpZ5PoXNvBDXnBE5CCPDNy9eswLh30FIXAt6wKAHq34oNeHCeStM9PW4/qAdPo34eUtN3l7Wh+QrsMEVL3AaReo/fr95i1DzUWQS1Ma6It6Al9Zjs/1LL/eUG6j2SXTCBhNJzP3RIkSJREgjz5zP3guy7379qmMwHkbjK+zjs9fICsETtLA/ZpvDp+oETP1AVEowjy3KRySFfYyh59kURSW1v4/oCsHphX8JH4Sy9w9i0+VC0wrmFl8j9AbdKHAfIJypBfMWSFiGebCJv2QLh2YPPCz+GlcyMJRtfyIrlci9W4zczeiywQmA7JV98SHY7pqYILAzeJ7XrkX6VI7nsb3iLxJF4lJZpSnwBcTKrJsnml8Xzw4oWsFprQuZvEpEuv0EItMLuIgyUUZiCQaB5Nxuggm5TiexHGxKPIm0znHf54BMXkM6J7F959QuAAKJex/Fp8RBDERBR1GfvjsQLHZrr/6werNQRwFiTU47bJCSjgkfOhmw9hjxUDMnXUxOmMkYZl1V6M46wLCPisKds4PAiLDKJM2lCErSm/T7omUrgOGB7yEiHCHGuW0zbtn61nazDPvzgmOiB10M+/u1mNeOuxLCKFrm3hv79KKD1r9s+MzWt1OtGdOi+U9cJBFm3yXPtFO1AucGIE6pK4m2ok0AkbTyUQ7UaJESQTII0+0xzvJTrqTDZ4ryqD0V8qhwgInWbrwdESFwAkVlFdzzrgTNWImKQAKpbPi9JAssa8p99htrqjKgQmm6yl3qlxgguluyp0qFJhZUGb0wsuWSiHKzPE4H9LFAxMJftI9jpM0ycswtQ7ojuiKJVLxNlNtI7pMYEagO3V3jDimqwZmiS6n3alSe512p4rEZDTKU+CPCxVZOM/Euz8mnNDVAlNbF1PvFIlXduo9c0+9Z96TAhdBoYS9T71zgiDmoqADS9rUOyekhEPCB3M2jD1WDMT0WQfDNE6SnqfeOVGws34AEJmq2JZLG8uQleVqzL2zEiLiHWq40zL3nq2vYM08l+qygiOCB93R++beWemwbyGErmXuHdClFR90v3PvudNjJV6+eJPvsufeqXqBMyRQi9TR3DuVRsBouph7p0qUKIkAeeS5d6E+M3gubilQT+UETrJ04eeICoETKiif5pp2p2rETFIAFMo0LK1764ZkhT3OultD3wFdOTC1dDzrTpYLTC2dzbqThQJzCsqGXnjXRCSSIpTWmHBI1w7MIJRJ90zILBRWwUd0wRIpeJs5thFdJjAd0B26O0Ic01UDU0SHc+5kqX3OuZNFYtIZ5SnwRoWKrJtryt0TEU7oYoFprYMZd5LEKzvjnntm3AUOFErY/4w7IwhiBgo6nCTOuDNCSjgkfAhnw9hjxUBMmnUxQmMk6XvGnREFO9cHAJEyjBwnmzlJrsh8OychItqhBjpt8+3r600zz321rOCI0EF38975dk467DsIoWubb2/v0ooPut/59sLpsLx7+bNkk+/S59uJeoFzI1CD1NV8O5FGwGg6mW8nSpQoiQB55Pn2OBo8Fycts+1ESuD0ShdejqgQOJWC8mjO2XaiRsz0BEChGlJao8eQLLCvyfYoLFyT7VTlwLzS9WQ7VS4wr3Q32U4VCkwoKA+6qTyPRBHaR9uHdOXA5IGfapeFkKGwDnuO6HIlUu42U2sjukxgJqBbc3d0OKarBmaHLifaqVJ7nWinisRkMspT4IkIFVk1zzS7Jxqc0KUC01kXk+wUiVd2kr3wTLL79+9fAIUS9j/JzgiCmHaCjiGJk+yMkBIOCR+32TD2WDEQM2VdDMwYSfqeZGdEwU7wAUDUOK+Znrs40GMkuSKT7JyEiGiHGuC0TbKvrwPNPBe8soIjQgfdyXsn2TnpsO8ghK5tkr29Sys+6H4n2UuXw8r9m/bTTb7LnmSn6gXOiUANUkeT7FQaAaPpYpKdKlGiJALkkSfZ1dtdqh+I1b+J+ldvcE/LIBb+aXcqN3CypQN3R1UInFhBuTbXtDtVI2ayAqJQlqG0OsshWWJ/E+/2/fkHdOXAXNPxxDtZLjDXdDbxThYKTDIoX7qpXMSijMqwtD7Nh3TtwJSCn3pPhYgKEdqHQ0d0wRIpeJsptxFdJjAf0C27O0Ic01UDc0SHk+9kqX1OvpNFYvIZ5SnwRoWKrJtn+t0bEU7oYoFprYMJeJLEKzsBX7on4PMEBwol7H0CnhMEMSUFHV/SJuA5ISUcEj6ms2HssWIgZtG6GKIxkvQ8Ac+Jgp38g4Bk7q1WnChXYwaelRAR7lAjnZYZ+Hx98WbuuUqVFRwRO+h23jcDz0qHfQkhdC0z8IAurfig+52BjyOnxxJeQLEJeOlT8ES9wNkRqEXqagqeSCNgNJ1MwRMlSpREgDzyFHycDp6LZcuEO5ESOMHShZsjKgROpqBcmnPCnagRM0EBUJiF0nHGkCqwv+n2QtiUH9CVAxNL19PtVLnAvNLddDtVKDChoEzohVctj4rcsXZ0SJcOzB742fZYxHkcCut88BFdr0Tq3WZ6bUSXCcwFdHfujg/HdNXA/NDlZDtVaq+T7VSRmFxGeQp8MaEiy+aZa/fFgxO6VmBK62KqnSLxyk61q1Gge67dv6v/AikUsf+5dkYQxOQTdCBJnGtnhJRwSPjgzYaxx4qBmC/rYnTGSNL3XDsjCnaaDwCShbm9zN6QleSKTLVzEiKiHWqU0zbVvr5qM/fcnsoKjggddDPvnWrnpMO+gxC6tqn29i6t+KDVP391LiNon/WXPuPV8dS723L5d/dnm8A9Tb1nzql3ol7gTAnUMX2i/JKeaX+wvLv8YnlnsPrh8r6yT/eXj1dvq3/fXz7SM71mLn71I/Ud7sl3Io+A8XQy+U6UKFESifL2yPKAMyVd+DKiQuCsCMpvOWfNiRoxMw0AhbksHLetDckSe5k3jzM9IeJySFTlwKyAnzcvY+meNqeqBeYEzLS5W+cNuk5gLkD5yQvPQ5KXWeYSf0gXDwz8+HnzrEyLLAkLq+AjumCJFLzNZNmILhOYDshe2xMgjumqgSkCN3HufulepCvteN7crfEmXSMmmZGeAW9QqMjCeSbOvQHhhC4WmNS6mDmnSDTuehyVZRbFQTmeyUBMkygo5tkkmC/SmUzGcZxNZjWFcwDnGdHSB3HOYVzh345/gRSK2PvMOScIYi4JPA5U47s31ZDvy+Wd5ePlvfPDwO/oSfTlr6X9Zd9lJZVw0m2HX5wYiDkwxDDti+VnNpQXWFFY5s+TRNpI9llJsFN3AI44j7LEMerjROlt/tw9NGTFQwQ81GCnZfK8WN+VWXiuP2UFRwQOsqF3u3lWNOzrB0FrmTkH9GfFB21mzs+lb6fjen0+feOlV1+xNATJcFkn85TTiu2cSaT+H0fgcjFutRgT9XTO3Cr3Olnu5mPmaVygVfr96q3V22ba/KH+1fLu8km9X/0L5aDeV594sPrg3AZ2G44yTfG1IZnpQjx0Q20XDqvTw+dUhEt2DuNSfUiiSH/I1IdYf0j0h1R/EPqD1B8y/SHPXMGSSizwxM7xoRXzSGMeacwjjXmkMY805pHGPNKYRxrzSGMeacwjF+YRHVPiMaEjS0M50pQjTTnSlCNNOdKUI0050pQjTTnSlCNNOXJRjuiU8HeSHvk1baVpK01badpK01aattK0laatNG2laStNW7loKzLthTmNFlrcY3uiEU804olGPNGIJxrxRCOeaMQTjXiiEU804okL8YSOCM9gqMkQQ3iqCU814akmPNWEp5rwVBOeasJTTXiqCU814amL8JRGeC7r9brcnXqmSVI7R2NSSmdPweQSM7dWbtN7nawXuMLBkbrvDJYPlp8PzNr4Y/OZ+6t3lo+Wd2yEu2TCzcTWyfr38hfLL5Zfrn66+tHyjib6XP3nx3pH5OqdwfIf1Fc/sUF8iwwhURAQAOrxNKm+Ow1tdHtkOuCKCmLm5pF1juAFskLg6gl8QsazwE7ViFmTACgUSR6mjoNpVIn9LLAr4UlmE35AFw5MQ/j1dSkz5/o6WS0wC2HW1906b9B1ArMPaox1QbhIizyMrXnzkC4dmFbaB0sXpmrTPIvzMLdGsCO6YIkUDPWQNpkjukxgLiBPxkkRZ2FuDQ/HdNXA/IBbXXe/ci/SlXa8uu7WeJOuEZPJKM9AksaizCLHO1aRhfOsrnsDwgldLDCloQaUNomnNInmSRin8zSRMpCTcRaIcp4Hk8m0CJK8nMeTOCnKcdPkzvHiy+NuV9fT0Le4LnGgUELbyNIDhhld2kCus4JsJn1fDwGHnR+ayiYPB2pE86UejkGHlIyUEk4JH7W9MLp5fTSQZTnY+/5rr74+XswH1fe/1zzDF4djjHiIdTPEsM294M6IwrLgHtmXWfZZSbArfgAO9ceHid08D1lZeltxTxL3gTVWQEQcRA2A2tbc5XqNVnrW3DnBEbFjC5vv2jx5zAuHfQchcG2r7u09WvFBG6OWiVmeT+dpMImLIhCZTAL10xP1U+NZPMnGs0JOb/Vv1BKnUcuxrQEj7N+oMYIgAhTUqP1y9aYyZI9Nkbn6PNy6hMA7pjDdXV1fYPWWnpVe/UR9xkyu3zVT1crPBeo/D9RXv2q+64H6wuP6u2yts8vaOhLeOnCDZ8PYY8VABONOjBwjCpOR0zNnF1H2WVGwWQQAkokwjqzzXkNWlN6MXFaEwuXjOPkQYbJTH5evs37u8XGc4IjQQfZxzk495mXDvoAQtjYb196hFR+0sXHFOJVZJIpgUizU9+bzeVDMEhFM82wcyTiORDS51b+NS502rsS2BoywfxvHCIKIT1Abd1tvHNDbPFY/MjUMHg5W76lfvLN60z0FN3hu/aUny09X/3l5f/lFbQMH6o/7cPnzrzdO8GT82r+fv/FG/RvA32T8YH22RvtH/Xd+pnedXBSg/sSvrX5oPObb5ksP9WfO/pz3TPWFL1fv1391KQqZ6i0q6g8yvxG2rttl7ToJ77qtPSYjBiJRIDym3kX0WTiw18t4gRWIxWlaJ9n2WTmwWQ5A4d02wojSm82UsXu6kJMPEcY7tZnl2pWUHpvJCY6IHmSb6ezUY1427AsIYWuzme0dWvFB1+dz1D95LMaBiNMoEOk0C8o4y4NJlkeTRC7EfN3pvdpM4bKZpWNTs7s1YIS920xOEER8gtrMj561cFAHmeirE5pfZqmsfzU4nH/31dlL48EzLtPWTLuszSThzQS3dMtf6rphxvnqCz5qo6wPmpsd13oj9h3zqx+phnxL2dwH+ssbBnlQLy5X3/ub+Wvjwd7uQMgoivPBc0l9FYWtqfZYmwoR+BG20bU1mJOExy/azwLss5JgExaAQ+RRGEcOy8jJ0ptldC8ws+IhInKXjrGMG4NR/8IGfsgLjggcZMcocue+gWNeOuwrCKFr8YyALq34oPu8fCx1rxmXqY8vjzb5LvtIGFXvZti4ukfCqIQCRtjPkTAqhERBAADOH/t6et5LOM56UWUD9/d3YeiICoF7+TFGzXnWi6oRs0MeolCqiOLY5EeV2M9Zr9h1J84BXTgwv3R71ousFpheujrrRdYJTCsoJ3rhcSiSoggT61jikC4dmC/wZ72UK4qKMLXuyjii65VIvduc7hjRZQJTAdmiSxFlztJLZNXA9NDdUS+y0h6PepE1YhIZ5RkohIzKyHF7TEXWzXPSyxcOTuhagfmsg4NeJIlXdkUgcR/0KiUOFErY/4oAIwhi/gk6mLy0FQHGZpLwZoIP5uwrArrgrN5C/UPdjE9XAj5Ro9P/2rYg8N25/qsHUo1l0rZFAcbWQsztdTGGZCTpeVGAkQQ7IwnhyOOwFK4hKSPLVVgU4MRDBGXUUKxtUWB9Rqn0nDpjBUcEDvKIw78owEmHfQUhdG2LAu1dWvFBX939yolnCcG7e9vWGjDC/m0jIwgiQkFtY/su4j+d/cqcXSfhXQe3sjaMPVYMRKpAeMyW/cqcQDxW08axz8qBzXIQCt/SByNKbz7Ts1+ZlQ8Rxjs1mutTVKXnWBwrOCJ6kI2mZ78yKxv2BYSwtdnM9g6t+KCvbhmqxH0srvTu3ra1Boywf5vJCIKIT1CbSSxDxUkp4ZRwR4YrQ8WJh4i1CKfmrF7AicLi0ZxlqDhJsEkCwCGysCitKENWlN5cmq8KFSsgIgx2atPWp5BKz7EyVnBE6KDbNE8VKlY47CsIgWvzae09WvFBm7ufznWr/k+P90i4rFgSeTdF58kmcE+bhuMstO4yuE4WvBlHutg1bK7KXBeK0nWe6m3CpjJUM2v2VW2y9C5bXTaqmYWrdxM/0OudqzeffvNj/cd8Yb7ylf7u1bu2Ntglt4GAtQFuX7FN4rfIEiVKIkAe+SIJsdPcJaHXn8914sBMa+qyXvfNduo314vX6i9RX39XddyT5uGoZ08fDv7mz+Mo0uvRt269YmuuPXJzAbeoIbylfxaQLBS4Kw3uHN2blskaMXu9AAqlEKG0KRySFfayZ9lp9OiygckNv2NZSXLtWKarBeY2zI5lt84bdJ3AlIayxdCH4ZAuG5iF8LuV46gU+p2zCj6iC5ZIwdvsURzRZQJzAXmwIHL1DEub6GO6aGBewO1Wdr9tL9KVdrxb2a3xJl0jJoNRHoFEZqLIwtw601GRdfPsVvaGgxO6WGAy2367Mk2iMfrZNJrkxTgoZmkciESWQSELESyKWVROJ9N0nvW/78R9m2ESpThQKGHfCwKsIIiZMOgodmNg88wI1gxqMrl6N5aDG3+eLB8Nlv9ghjtPnh2+DpY/NyOhZgPvnXoTiv7tjh4q3Vl+ar78k/o3+q8wtyIH1jXtXdYWlPAWhA8wbRh7rBiImcEOB36MQCxLC66dxqwk2HlNAIcsi7DZpXhxHMmI0tvSgme8yYmHCKeoEZR/YUEx1dPQzS9s4Ie84IjwQR4rpHnhOtnIC4d9ASFw/oUFSI9WfNDG70XZfJLMZBpkZSLU96ZJUCzkPJiOJ/NcylJGxWX4Pdc+46QZRiJaA0bYv99jBEEEKKjf+1DZt/tmTeK+uc7ifrMe8eHTNYd6yeKOmcF+YKa679b1Qm43pu/eIF+9m0Wrd0U9pW1pl13WdpHwdtnaxTFiIMIw3MWt3lu9bUN5gRWFx7/ZOPZZObDJA0DhWwRgJLkK5o0TDxEbOzVvcp3q3afEeMERUYNs3qQIc5d342TDvn4Qtjbv1t6hFR/02aaQZm5Ze7IeN4W46gknkX+3stgE7mtTSOEoJUcWDFxBg9qr3yw/1RZp9cOzTSGmttw7+kIws1/gYXM2S8+F6Z0fd+oj8OZXj3UttmbDQL1tRP32C/NbPTf3eVMi9831594z947dtTXILrlBBKxBOtkhQpQoURIB8qg7RGJH6TkyGXABD+4GXWUDyAqBq3UIk+fZxUHUiFkDAyhM8iwU1r1oQ7LEXrZxCCHyME5tyg/oyoEZibCTI41dXvLbdLnAjITayuEWeoMuFJiJUGb2wsuWJKWQaSitj/MhXTwwa+B3dGRpkSVJmLl2dFAFS6TgbZZxR3SZwIRANvqeEHFMVw1MEsgtHe637kW61K73dLhF3qSLxCQ0ylPgDwsVWTjPrg5vSDihiwUmti52dVAkao1FJIt4Mo6C8UINKEUsoqCMyiJYjGeymMalnETjmsI5gPQMqcmDSPeuDv9higugUML+Z/kZQRAzWdBh6O1zY84Hg2Zjx+otNeL8kdmD8Uh9tq5j/nQU+vTuleYswvlBaV3qY/kLsyCgj4x+pn//Hb12UO1nkcyi6GZ9S/Zb5ubr900lkH+TRpFeKVAf4tizVMDYuBLeuIjx4rn2Xf1koEb798/fBr7RsE82WtLss7inTwvcN4sxutz8t+evjV8eDw7Hr702/o//8aWd9YLM48HyF+pvujd4zhzRfcvMDzxoKrfcr3fbvLl6b/nAOnG1x9q0iIlI+IDVs3zBiMKyfCFsHPusHNj5UwBFHEcyLKwsQ1aW3hYwFGHkupeblxAR+VHDvrY1jHI95e0+2coLjggd5KGNp1uPeemwbyGErm0Vo71LKz5o400n5Sydx9M4yCIRB0IU86BMizIopzLN57kUE9G80b16U+cOlNi/tdrSGjDC3r0pJwgiQkG96VkJkvUKx1khOu0Yl783BucHdQlgs9f4rvFOzRHLr7Qz/WT5q+WHwfL28nfLny0/Xv6D+vjb5e9srbPL2joS3jpwc2nD2GPFQERjuJFzlihhRWExciqg2Ej2WUmwSQTAkaZxmEsry5CVpT8rl4WldQ7rgJcPESa7NHJxc+ld8wsb+CEvOCJ00I2cq1OPedmwbyCErcXGATq04oM2Ni6Rcp5M5lJ9caK+dyKToBAzZf7KVMRJEU+Lspkz79XGOcuXNIsXiNaAEfZv4xhBEPEJauP+6dxulDuD5X9Tnu5zM6GlLN1geXsvTc3sYJwO9DfqCTBj6KyTO7us8BIOv7VLY8RAhNpOXBojCotLi8JE2lD2WVGwSQIAkpVhHFtRhqwovbk0kYdC2PgOePkQUbBTl7Y+HRR7znuxgiNCB9mlOTv1mJcN+wJC2NpcWnuHVnzQ9WTbZDofL9IykEJMA5EXi2CcRTIQ8aSYxZPxLJWXMdnm3E/cxDNEa8AI+3dpjCCI+AR1ab9cvbl6Rx/vf7of+R1z7uuuWaZ9S+94PTvqv/xo+TMzqfar5a/Vvx8310csf7/8ePnh8jfq4+/09/wv9ZvbgxvHMh4sf2ZrpV3WVpLwVtrazjFiIGJyJ3aOEYXJztk90D4rCjabAEBEHIqstKEMWVF6s3NFERaO1VNWPkS47NTOrQ8MxZ4TYKzgiNBBtnPOTj3mZcO+gBC2NjvX3qEVH/TZCbCGvOcTYNLp2Px7FLNN4L5OgJWuE2BUwZthZMsTYKYssFm3fGi2a9211QD2bxG7cALsQXNozAa+SwYXMPAuTnpRJUqURIA86kmvQbwzyNQPJI4DX1RA4P5+hANsKeJEFQrc0g/3d55zX1SNmG3yAIVpmjiOmw7JEns591UIERbSJvyALhyYhvDHvkSeOk99kdUCsxDm1Jdb5w26TmDyQfnXC2dSijjOhQwT6yDkkC4emEDwh75imYu4VOne2txHdMUSqXibYx4jukxgVqCbe2eAOKaLBmYI3KEv90v3Il1px2e+3Bpv0jVichnlEfAHhYosnOfIlz8gnNDVArNaB2e+SBLNVP88zyb5IgpmRaKrwMVpMI4mMpiJWTmJiiIuFg2Fc8joGUSTh43OM1+xf5fxBVAoYf9T/YwgiLkr6MDzk83ttPVFMveXD5/O43e8tZaxgSS8geCjPxvGHisGYqoOMcZzz/IzojDN8uc2kn1WEuwcI4AjSZMyzKwsQ1aW3mb5fVtrOfkQkRI1Smqb5V8fqIk9Z6RYwRGhgzwQ8G2t5WTDvoEQtrZZ/vYOrfig6zsZomQ2XkzmQZzJJBAymgWTuZgFWVxEYr5IZ2l5GU7OeUIq8W80trQGjLB3J8cJgohPKCf39E4G3Dl9Zdnu6KUHfTa9MX7qN3q7x9v62oXg6QH9+ovVfhZHaRTdrH8bg07sczaohDco3PldvMDPsfRSW+G7ptqeKa93r2nqR6oj1C/riy8eN9WTHwxMjeSvVLs/PcGvD/BfOL//9AJAS4PusTYoIpHAPaj7nD4nCosHjR3H2/dZUbApEACSxUka5pEVZsgK05sLVSIcV2Ec8AIiwnyXNjRZHwhKPCe8WMER0YNsQ929eswLh30JIXAtPhTQoxUf9NU94iXdR7ySFNsaMML+fSgjCCJAQX1ot0e8OOElHB7uGW0Ye6wYiFgLd2ru2UJOFBanFoV2c7PPioJNEgCQOE3DOHEZNUaW/oya+4wXKx8iDHbq09ZHghLPGS9WcETsoPs09xkvVjbsGwhha7Np7R1a8UEbm5YtiihbzKJgkUSLQEyzMihmZRlM53MRZeliHIkmyvZq05xnvJrjt4jWgBH2b9MYQRDxCWrTujjjdeM48Bzn4mwQCW+Qra0bIwYi/HZi3RhRuKyb6zwXJws2cwBIRBmWSWJDGbKi9GbdPOe5WPkQobFT67Y+/pN4znOxgiNiB9m6ec5zsbJhX0AIW5t1a+/Qig9aezefJev2+FbmNGP+7Yb5Jt+lH9+iCt6MGn90x7eo4AIG3sXxLapEiZIIkEc+vpXsDAr1A9JxfIsKCNyoj3B8Lce3qEI3PR3n8S2qRsyWd4DCJE2E6/gWVeKlH98iCwemoW6Pb5HVArNQV8e3yDqByQdlVy+8aWWWShW5CsfxLbJ4YAIhHN+KyjIpS+fxLbJiiVS8zYmNEV0mMCvQvbzn+BZZNDBDdHd8i6y0x+Nb</t>
  </si>
  <si>
    <t>ZI2YXEZ5BPxBoSILZzq+5Q0IJ3S1wKzWwfEtksQrO4ufuY9vJf4t0BdAoYT9z+IzgiCmqqADzx5m8RkbRMIbBD7as2HssWIgZuIQYzr3LD4jymY+96DAR32+WXxGFuwkIoAkVRYqc83iM6JciVl8Tj5EaEQNi9pm8dfHexLPeS1WcETsoDt/zyw+Jxv2BYSwtc3it3doxQd9dffJZu7zWql/17ClNWCEvVs3ThBEfIJat273yXLCSzj8tjaNEwMRaruwaZwoXDZN2FD2WVGwSQIAUiZhmVlRhqwovbk0zzZZVj5EFOzSpaXrwy+p5zgTKzgidJBdmmebLCsb9gWEsLW4NECHVnzQV/dUfeY+zZSm2NaAEfbv0hhBEPEJ6tKu/ql6zgaV8AaFO7/+T9X/33UXrH4yWP5c/eIPbefqOZsUkUrgLtR9rp4ThcWFus/Vc6JgkyAARCS5iuf2lD5khenPh3rO1bMCIgJ9p0Z0fbwn9ZzXYgVHRA+6EfWcq2eFw76EELg2J9reoxUf9NWt1Jm5D2ylEtsaMML+nSgjCCJAoZxor5U6ORtIwhsI7ixtGHusGIh4DHdznjlFRhQWN+es1MlJgs0jAI44S7KwsLIMWVl683KeSp2sfIhI2amVWx/3ST3nt1jBEaGDbOU8lTpZ2bBvIIStzcm1d2jFB93v+a3c6c38+w2LTb5LP79FFbwZNf7ozm9RwQUMvIvzW1SJEiURIO/Z81sbZ7TUuC3fGZQ7gzhS/8aOo1pUFuCmfIS3azmqRRW66d44j2pRNWK2twMUFmXiOqlFVdjLSa00l2EubMIP6MKBCafbk1pktcB809VJLbJOYJpBGdMLj0Mq4zIPM2nTfkjXDswU+INaygSVWeo8p0UWLJGCtzmaMaLLBKYEsmd3h4djumhgeujunBZZaY/ntMgaMYmM9Aj4QkJF1s1zTMsbDk7oYoEZrYNTWiSJV3bqPnef0kr9G58vgEIJ+5+6ZwRBTEhBh5eXMHXP2EAS3kDwMZ4NY48VAzH/hhjeuafuGVF6nrpnJMFOHAI4skSEwjVzz4hyJWbuOfkQgRI1QGqbuV8f8Uk9Z7ZYwRGRgzwK8M3cc7JhX0AIW9vMfXuHVnzQxsjNRJLLPI+DNJkWQRzP58E4jpJgFmdZPJ5Gk0nZPO29GjnnmS0RY1sDRti7keMEQcQnlJED71w9t/t3UO0ncZxE0U3t99LrJwOzr7eUehOqa1Owrcl2WZtMwpsMbu2QrUbY77tn2mJQnQRxPvibP889W3s5Ww+RF+CO0r21lxOFxVG6t/ZyomAzGgQkE3EoXEfMOGH6M5Vl5pg3O+AFRETtLl2lWB9JEp4zZqzgiOhBd5XOXj3mhcO+hBC4FlsJ6NGKD/rqlgLI3YfMRIptDRhh/7aSEQQRoKC2sttSAJzwEg4PN4g2jD1WDESshTs199wfJwqLU3OXAuBEwSYJAEgqw8xuOoesKL35NE8pAFY+RBTs1Katz+sIzwksVnBE6CDbNE8pAFY27AsIYWtzae0dWvFBX91am7n7AJaQ2NaAEfbv0hhBEPEJ6tL4a21yNoiEN8jWzo0RAxF+O3FujChczs1Va5OTBZs5ACRxGqZFYkMZsqL0Zt08tTZZ+RChsVPrtj6gIzwnrljBEbGDbN08tTZZ2bAvIIStzbq1d2jFB63++SvjWJrXVVuyv/R5tG6PYBVOd+bdTFhEm8A9HcFKItcRLKrgzTDCcwTryfILvRhqpsc+GDRLgHeao1UDvZz4+bnJM3ME64H2ZWc/tbyvlw//YfmL5SfNXjv0Ma57Skq0kywfJfoPcC3I7ZJbUsBasoszXVSJEiURII98J1e8M8jUDySOg15UQOCufoSnfGT1Li+QFW7aRc4TXlSNmI3xAIXK/4kwtcatIVljL2e8klTkYVTYlB/QlQNTGv6QV5xJ6TzlRZYLTGmYU14eoTfoQoGpDOWGLxjDMpdlptKx9XE+pIsHZg/8Oa8sTcokTcNI2hQf0RVLpOJtTneM6DKBKYE8VPDEiGO6amCawJ308rx2L9KldnzUyyPyJl0kJqVRngJ/XKjIwnkOe/ljwgldLTC1dXDaiyTRmBtRinEmo6DI53kg0iQJxsk4D7LZOFX/m+Rx0f9ujsJ92kt4t0xfBIUS9r9OwAiCmAyDjmQ/ORs73vGNM++sPmgWBeI0Wr1b1HV+B+5Cv5zNIOHNgBrjnWsJ77D7Tj20v6cH2/o77pvx/9M6vqaQ785ADfrNVuLB8hdqjH9v8FwS1U1nms06BbXH2m6IKcUuho6MJCyrEWqImdtQ9llRsHOhABARlUkYxa7lCEaY3pYjkkiWjrx+wEuIiMGoIVjbgsT63JHwHCRjBUdED/oow92tx7x02NcQQte2JNHepRUfdL3ntxxPyihKAzkRaSBK9W3FZKy3n2RZUkRSzPL5rf5dovMomfTugLa1Boywd5fICYKIUFCX+GFdAODpUsNZcQCeigCczSPhzQN3jzaMPVYMRDhGmDnn3hJOFBY357BynBzYHAKgSLI8j8LYCjNkhenNynkqArDyIcJkl0ZOrk/6SM/ZLVZwROQgGzlPRQBWNuwrCGFrsXGADq34oK/u0a3CfXRLpujWABH2b+MYQRDxCWrjuj26xQkv4fBbmzRGDESo7cSkMaKwmLQoTKQNZZ8VBZskACClzMIoty6PDllZerNpnrNbrHyIMNipTVsf9ZGes1us4IjYQbZpnrNbrGzYNxDC1mbT2ju04oO+ume3CvfZLSmxrQEj7N+mMYIg4hPUpvGf3eJsEAlvkK2tGyMGIvx2Yt0YUZism+voFicKNnEAQGSehplwzbAxsvRm3Txnt1j5EKGxU+u2PuojPWe3WMERsYNs3Txnt1jZsG8ghK3NurV3aMUH3e9tWaXTjPl3AsabfJd+VIsqeDNq/OtRLWpLClhLdnFUiypRoiQC5OGPavHv+9OL5+bZ039MvW5+v34Unqx+rP70e/px+PqtW6/Y2naP3LbAIwEI9+ra6kdVuGlMOU+JUTVittQDFBZ56NiXRxV4+UfEyMqBqbTjI2JkucBU2tkRMbJQYApFme6LW/VElskwtT4Th3TtwKSFPyEWC5HGroqiR3TBEil4mwMhI7pMYDYgj0e8B8TIqoEZosMDYmSpBULqdiJv0kVishnpKfBFhYqsm+d8mDcinNDFAtNaB8fDSBKv7FJE6T4eJv3boC+AQgn7X4pgBEHMt0FHzz0sRTA2iIQ3CHyEacPYY8VATCciBnPupQhGlM187kGBj/o8SxGMKNiJUABInDoc1JCV5EosRHDyIQIjakzUthCxPuAjPWe2WMERkYNs/H0LEZxs2PcPwta2ENHeoRUf9NXd6lu6T2xl/o3PltaAEfZu3DhBEPEJaty63erLCS/h8NuaNE4MRKjtwqRxojCZNNdWX04UbJIAgCRx6PBonCC9eTTPPl9WPkQM7NKjZevTO5nnOBYrOCJwkD2aZ58vKxv29YOwtXg0QIdWfNBX91R96T6OlaXo1gAR9u/RGEEQ8Qnq0fo+Vc/ZPBLePFu7OEYMRDDuxMUxorC4uNzGsc/Kgc0hAIosjkJrOhyykvTm4TxH6ln5EDGyUw+3PtqTec5qsYIjwgbZw3mO1LOyYd8/CFubh2vv0IoP+urWzyzdZ7UyiW0NGGH/Ho4RBBGfoB6Oq34mZzNIeDNs7dUYMRBBF+HVXHtcOUlYrJq7nCUnCjZbAEDKNEztN7wOWVF6s2veYpashIiA2KlhWx/oyTwntFjBEbGDbNi8xSxZ6bAvIYSuzbK1d2nFB63v19qpjUqP12qpUaTLjfn35SWboP0d1rJmt+tkwZsB5P/cw1pPVm+DDmtRW1LAWrKLw1pUiRIlESAPf1iruVcr2RkU6gdkaAPcIwMC98h34SaJCjedIueJKapGzB5zgMIkSYows858DMka+zk0JWXiXkylKgfmNPyhqSQv3IemyHKBKQ1zaMoj9AZdKDCVoXzwpnKZFYVUWbhMbeIP6eKB2QN/aipLoqyIizB2HJsiK5ZIxdsclBjRZQJTAn2Q4I4Rx3TVwDSBOzblee1epEstEFK3E3mTLhKT0ihPgT8uVGThPOem/DHhhK4WmNo6ODhFkqg1TsqZHIu0CJJxXAYiKxbBROo1hEwUs1k8myWy/3UBNRB1npzK/NuRL5BCEftfGGAEQcyDQYeyn2zu6dDDTbPfo1kIYNjfwdhCEt5C8PGfDWOPFQMx74cY5bn3dzCiMC0aWAes+6wk2OlKCEea5rFjvXzICtPbqoFvkwcnHyJWosZKbWsG67M3mecwFSs4InaQhwO+TR6cbNhXEMLWtmLQ3qEVH7QxczIr09miXARRMlPfO5bToBBpEiySIlPfly4m2fzWJZg552mq3L9v2dIcMMTezRwnCCJAQc3ch2cLBbqA1/3VW3pNQHu0c6sGgz0DM/i3o9Obg93RjdHNxuj9290krX+VRdHz+t84cm/84GwZCW8ZuInruoDaYPl/q/a9r1zwTwbLn6tf/KG5OTVO/FencrYcIvYjfKNrdYCTpF/byEmCzVkAjiTLRZiWVpghK0xvtjGJkthxFO+AlxARl7s0jvn6QFDuOeHFCo4IHmTj6OnWY1467GsIoWuxjoAurfigr+45fGUdnYe88hTbHDDE/q0jIwgiREGtY7cH8TnhJRwe7g5tGHusGIhoi7Bqzik+ThQWr+Y+iM+Jgs0SABAp8zDOrCxDVpbevJrnLD4rHyIMdurU1sd+cs85LlZwROwgOzXPWXxWNuwbCGFr82ntHVrxQV/dQpf6+KnTp0lsc8AQ+/dpjCCIAAX1afyVLjkbRMIbZGvvxoiBiL+deDdGFCbv5qp0yYmCzRwAkDQVYVKWNpYhK0tv3s1T65KVDxEaO/Vu6/M/uedIFys4InaQvZun1iUrG/YNhLC1ebf2Dq34oPu9dCt27p7L/fsE003ASz/IRRW8GTb+9SAXtSUFrCW7OMhFlShREgHynj3ItXFYS4398p1BuTOII/Vv7DizRWUBbtBH2EXnqixR4aYT5DyzRdWI2eAOURjLJExSm8YhWePln9kiKwemr47PbJHlArNXZ2e2yEKBWQtldC8oL0VUlnlYWh+KQ7p4YKLAn9lKk6gosyhsrkTdUHxEVyyRirc5ozGiywSmBPIowHtmi6wamCY6PLNFltrnmS2ySExKIz0F3rhQkYXznNnyx4QTulpgauvgzBZJ4tVdA4jdZ7Zy/67nC6RQxP7XABhBEBNd0FFrD2sAjA0i4Q0CH9nZMPZYMRDzeIhBnXsNgBFlM6V7UOCjP88aACMKdgYSABLnSVikVpYhK8uVWAPg5EOERtTQqG0NYH2iJ/cc0WIFR8QOsvv3rQFwsmHfQAhb2xpAe4dWfNBXeJ9t7D6iVfi3HVuaA4bYu3fjBEEEKKh363afLSe8hMNv69M4MRCxtgufxonC5NNc+2w5UbBZAgCSqIwX6UOzF1mGrCy9+TTPPltWPkQY7NKnFevjM4XnRBQrOCJ2kH2aZ58tKxv2DYSwtfg0QIdWfNBX+Ch97D4PVaTY5oAh9u/TGEEQAQrq03o8Ss/ZMhLeMnAThztK/1hZ3HoHzTPFo/RdE/qY/J1mGlP/tt6NYzbSvL16x5jizZ9omrw6CeJ88Jxq2r/L/MftOVsXkR8Q3tK1sYOThMVaOo/bc5Jg8xqEIy2SMMsdVZo4YXqzlt7j9qyEiNjdqblcn/kpPIe4WMERwYNsLr3H7VnpsK8hhK7NXrZ3acUHfYXLbsbuY1yFxDYHDLF/e8kIgghRUHt5CWU3OVtIwlsIbjNtGHusGIiQjPBz7rlCRpSeDR0jCTaTADiyMk7D1DVVyMjSm5/zVN1k5UOEyk7d3PoUUOE51sUKjggdZDfnqbrJyoZ9AyFsbV6uvUMrPmh9T1ezrnvL79Zen0/feOnVVywtQTBr1uCqPFpmx0wi9f84lpuYrsNdbq0Y+7U+32UVe50sdvMZ8zQs0GLdVvZKl2d83yZU2aHs2pCs9kKcc8vdLsxVp4fPqciV7xwmZeGKa1QIgYdwbuS1Kj/Syo9cyo/oyiVeOXRTrxE+0sJHLuEjunD4Y06PpBqg0gCVC6AiA1zY9d0CgHteTrTqE5fqE7pqeNhGbQA3ok+16FOX6FOaaPOw3Ooz94SxTb7KPo7t7I38zNnmYLWk7GOXe50sF/5iQvPPfzdLIvpo7101Yr8/MKsin+pzvav3m+H7V2ZQr/dsv6u/0RxBfmBWQXTmsgGqvJXrvEWk7DtvOVMWVX8fKcuZraiiJV40KgKNXJpHdM3w92HrROXMUUTt7DnKmZ6oguGRnZSenJmJovf8NIZ+G3u6yLj+6JrF9u/tzZ0ND5NLTFCmfppN8HWy4M3wvWX5i/+hl9n1Kn6z3G6OEjXZZ7D6oa5iYYZQb5tJ50c7G59bPglUCruvfuJHemZaf4vJcutSGmbS+pGpl/GVKaNvSi/Ue13V78wZpbryhdk08MyZJv1pMxFuPvPl6sehrsb/ZJDUi/1NVQ2VWVdv6ZTa/DGrtwdiJ4rrby30d95v6nvctXXELrkjNvNQJ9Uzlh+ZjSZ36uZ60DT0B6ufKoa39G4JDXrvmZZrmlt3y+O61UIb6LfIoBIFCoH8Rd1nRq1+9MzuGvPA3D/b5eF9zurveM/y7BpXpW9lMHtT7g+eM3/RZ7p4i/rVY225frb8bTowiy9vGSOWpEFSfL258AF+xbOtkffIjbw5echXHISqcHM5gbM4CFXjpmXZsjhInskyLG0Sh2SJ/dQGKVS6tC5uHNCFAzM7vjRIKYWzMghZLTCxYyqDuHXeoOsE5nPUWOzC46BV5FnY3CV6cSxGFQ/Mge0DsQtvXhrlUogwszb3EV2xRCqGGm2bzBFdJjAdkNeR3AHimC4amCFwdUHcL92LdKUFQulWGm/SNWJyGekR8AaFiiycpyqIPyCc0NUCsxpq1G2TeEqTaLxhKqJFWaZBEYlZIGQ2DsbRZB6kkyQqxWSW5ovmYXGOwl8eu/crUUfizrF46T+/cQEUSmgbr3vAMGN2G8h1VhDENomtxvLPDqPUuMmGusuKKuGo8EGkDWOPFQOxvwMxTHNuDeNEYdoaltpI9llJNrOkhwQ66ovLMpa5fd5uyArT296wwpFHD3jxEDEPNd5p2RpWrg8dlp5TpKzgiNBBtvSuPj3mRcO+gBC0lp1hgP6s+KCNJSsXcREvUhGURS4CMR8nwSSK5sFMitl0nheLaNG8y71aMmetjzLFtgaMsH9LxgiCCE9QS3a7mYi+c3G22pgxU+nDVP2ul0wemDlxcxRSf0U+L23NsMvaDBLeDFvbNUYMRMxF2DXXrDonCZNbs26f2WclwSYLAEchEhkWjkl6TpbezFqSOSaXDnj5EOGwU7e2PsNXeo5lsoIjIgfZrTk79ZiXDfsGQtja7Fp7h1Z80PWhzHQyVt8dBWmczQMRx0VQRvNJMJ0n5UxOizTKm07v1a45S36UEtsaMML+7RojCCI+Qe3aJ3qjiD5wqfdX1KUpPlj9qPZk+sxlbdc+Wf46s+HusuJKOO7WtowRAxFcEbZM7934LBzY66u8wArE485sHPusHNjMAKDw7Z/gROnNmsUytNcEOeDlQ4S+Tq3Z+khe6TljyQqOiB5ka+bs1GNeNuwLCGFrs2btHVrxQV/NKw/qj85yGaVjx7RnXhFE2L81YwRBxCeoNeO/8YCzQSS8QbY2b4wYiPCLMG/uJVBGFBbb5r7xgBMFmzgAIHEsirAsrDBDVpjevJvnygNWPkRs7NS75etUn3u8Gyc4IniQvZvnygNWNuwrCGFr827tHVrxQdf1MXb6Lo/hKpBRFnbO5hxbucnZ1xFlq9zrZLmbj1kXR5TNMZiujyiXxbUhmbLnI8pluXOYRqn+oH8VS1dwpOIIPA7uQOqRZjjSDEea4cjFcERnkHgG6G7Z5gCzQhhphJFGGLkQRnQE+MtDD9H1eWaFUmmUSqNULpSKjMJ9vFnpP9H6T7T+E5f+E7p+eJJA7btuTjsr+ada/qmWf+qSf0qTf240p5NHb2efE+d+67RZSHQk+TJydgNMLjHzOQtEkfVupoUtjz7/WuU1PZ9wZ/mHs2xW58HVuzrr3TF1y01Fzuas8SfLXyz/q41pl8y0mRs6OUVsk/gtskSJkgiQ5z5bGw6Wv1s+WH51baB39oWDvzi+EZzriQeDF77/ymz+2svjvxtEUSEHL/zF4P81f+n1182xdO1R3j7fcQ+uDW5+88agjGLrkGCP3CKbIxm2w7pkhZuzG4yHdckaN/Pxlod1kzRP7TvQh2SJvRzWFXHh2uBDFw5MRfjDurF6m1yndelygakIc1rXI/QGXSgwB6HGJZvKy1I5kDIUVu2HdO3AXNM+CLn46pV5lKaO1j6iK5ZIxVCjaJM5ossE5gPyrJY7QhzTRQNTBO60ruele5EutePjuh6RN+kiMemM8hB4o0JF1s1zXNcfEU7oaoF5DTVstEk8pUnUGsexmAo5TYN0PJWBKOMoKLJZEaTZTMzixaSYpIuawjlwfHnc7Yq2r3RWGiU4UCihbYjpAcMMM20g11lBEKs20PHnJ+uBit5qaIaW9TAzyaPo79Jc/p0c2Dh3WTklnBM+4LNh7LFiINaa4KM0fYTHhvICKwrLQrV9fyErB3aJDEDhHfIxovS2Ru0dGnICIsIdaqjjX6RWTPWaZvMLG/ghLzgicPDYeU447CsIgfOvUkN6tOKDNqvU6qebAYS2WT1O2LtO46aR8PImm7w9TdgXjoraZL3AyRKoYfpIGSZTMrIueXl2c9bmqvXt5YfLnzdT9k+/+5nKpk3t0EGia0V+qX7QXhaFTC5g5J1M6xMlSpREgDzlYVEFNM/m+lVkyMLB+R//87jIy50s+rP6jwn/PE6iaKdQv0/q3ycyFzvpN9Jkp/iz+g9Xn4uTYidV39OsJfx5kkTJN2KhPiGbP6WIi53s1q1XbC25R25J4PQP3Gi6lwOICoFzPQj/6FkOIGrEzJ9AFMaFdBRfHpI19rMeUJZhaX0ADujCgZkOvx4gEpeZ+TZdLTDRYZYD3Dpv0HUCExzKIm8Kl2UiEhmHzVa+i3aYKh6Yo/DLATLK4zJXHsi1HEBVLJGKt5kAHNFlAvMBefwglVGzOrVjumZghsCtBrjfuRfpSjteDHBrvEnXiMlllCcgK4osycJc2HRXZN08awH+cHBCVwvMaV2sBVAkGmsI2k2tKZxjUs8gnTwuda8FZDhQKGH/awGMIIjJMejQlv10G2uDSHiDwIeTNow9VgzE3B9iLOc63caKwrJo4DzdxoqCnbQEgMR5nocys7EMWVl6WzhwH27j5UOERtSgqG3dIFvPMmeedQNOcETsIPt+9+E2XjbsGwhha1s2aO/Qig+63sYhkyKZ51EwH0/GgZjFRVDMi0Uwm6ifmMpJMk4mt/q3bu5FBcdpBndrwAj7t26MIIj4BLVuPzMrDA9MCc+mxPrgmUUHY86yKLEO2XdZcSUcF27MQNd36aWai83yyPymKXCqf/tk9dPVj02Vrbc2mu3plv6nu/gHz6mv1KVS36rPJf7BXCb3RP3vq/UFX835xGCw/HD56/jPBuoP+VKf8TCHO+4PmvOOD8ySkXbY9/W3Pv1jY2uw2WPtJkTy6MR4MqIwGU/rJo99VhJs1gNwpFLKMLZO7Q9ZWXrznXGWJO4dK5yEiMjeqfMs1kal8DhPTnBE8CA7z1iUYeqacuaEw76EELg269neoxUftPaePkvZ7Q4VVwHSNPZvfk43+S57hwpVL3ABD+oFL2GHCpVcwMi72KFClShREgHyyDtU0o3tKakUO8nTzSnpTvKNOM3Snfxsg0qaJjvZ2daUNEl35NONKSIu9beut6UkSb5jfa73yE0HXIJEuEnXlhSqQuCCI9wkerakUDVilvEACtMoFTaBQ7LAS9+PQhYOzGvd7kchqwWmta72o5B1AtMZygBfeM9knOUyd1wfekgXD8xI+P0ocVIWUrrGJUd0xRKpeJtF6BFdJjAZkEcHnv0oZM3A9NDdfhSy0h73o5A1YhIZ5QmI8yyNpHM/ClU3z34Ufzg4oasF5rQO9qOQJF7ZRY3UvR+lmSwDg0IJe1/U4ARBTH1BB7LbLmpw4ko4LmJoCFnUUN+gm+RBfYvbpS1qRJ0tanB2E2JeEjEMdS5qcKL0u6jBSYKdTwVwlHFkL/Q2ZCW5GksarISIuI4a0bUsacTrI5ux5xAuKzgidJAHLb4lDVY47CsIgWtZ0gD0aMUHfXU3Qqfu3TR6NgLXGjDC/o0nIwgiQEGNJ/9GaM4GkfAGgVtTG8YeKwYi/nZi3RhRmKybayM0Jwo2cQBAhN6PYiMZspL05t0826BZ+RCBsVPnJtZ5XnicGyc4InKQnZtnGzQrG/b9g7C1Gbf2Dq34oNfVUxrwnqunuG5gS2P/tm+5ydvT3pTSuTeFqBe4mAd1Vr9ZfqrnrlY/PHNWLTd7rLep6Gmpz80cl55f0vNjDwer99QPqh9utql8of8QZc0eqW8xE2f1t+2c/8qT5Wfr6Skzd6b/GKXgS/Pb+k9d3ls+GUQ7id5soP5cV721XXKTCliTdrLphShRoiQC5JE3vaiQI0Mb3B4ZDrgSiTCVzm0pRIXAdUe4V/RtSyFqxKzmARSKKCpD62L+kCyxl40pcRalYWlVfkBXDsxq+J0pSZoJ99YUqlxgVsNsTfEIvUEXCkxnKD+8qTwTSl9aOsQf0sUDEwd+b0op8jLOcmetFLJiiVS8zYL0iC4TmBHIgwVPjDimqwZmCdzuFM9r9yJdasfbUzwib9JFYjIa5Snwx4WKLJxng4o/JpzQ1QJTWxcbVCgStcZpUqZJEk+CWZlOAyESERRJFAXzeFKWk1w1y7xJJM5hqGdcTh6Kujeo+A+CXACFEva/TsAIgpgOg45m/+ncgFSNZP+bGrB+boaaD/QdULf30vQ7eggZCb1pQ3/+/vJT81Vz2WVQf1IvIthaY5e1NSS8NeCjPBvGHisGYqoPMZ5zLxIwojAtEiTShrLPioKdpASAxFGkQqCVZcjK0tsygVB9ldv4Dnj5EHERNSxqWyZYn3CMPWdWWcERsYPs/J2deszLhn0DIWxtywTtHVrxQdf7O8Qsz6fzNJjERRGITCbBOJ1PAlGOZ/EkG88KOb3Vv29z7u9I/DuoLa0BI+zdt3GCIOIT1Ldd3N/RbNqwb/Oot9TeNTPYj5VvU/9RFm75VfNdD9QXms25ttbZZW0dCW+dbX0cJwYiFnfh4zhRmHyca7MHJwo2iwBAsigOhTUjDllRerNxWeG4He+Alw8RJru0cUnUZP36FzbwQ15wROgg2zhnpx7zsmFfQAhbi40DdGjFB21s3KScybFIiyAZx6X63mIRTOQ4CYpMFLNZPJslsplQ7tXGOeuUJP5Ny5bWgBH2b+MYQRDxCWrjPmn2bawLnDysTxvdXz5s7Nxg+Xuz0+MHZsfJA3Oe6a7Z/dF8+1fLJ7qmxq+WHwZmC+/Plh8v/0F9/O3yd7YW2mVtIQlvoa2tHCMGIh53YuUYUVisXGw/qLTPSoJNJACORESycG3Z4GTpzcrFWVhmNr4DXj5EqOzUyq0P6CSeI1es4IjQQbZyzk495mXDvoEQtjYr196hFR90fdQ/S6JxlC6CfDHWm3zjOBgvFvNAyFmyGM+jqVxMbvVv5ZzbehOBbQ0YYf9WjhEEEZ+gVu5Dy97dB9qhnduuO/j2/LXxy+PBy+PXxv/xP77UeDzl2x6YSbuHjeer9hVjftT8Lomi1bvqgz4S/8jWVLusTSXhTQX3dNbWMnOUT3cy31m31mHdWjuDPMrj5e8Gy18qv6yN8L2mke+flQNYvf9n50oDLD8114K/b3ZQn5UX0L//s7qQ4Ofqs0rHtbqNpX1byx5r8yISBsJrurbzcpIwWc3IOtW2z4qCzXQAEJGUUSgKa94essL0ZzbTQoSltBEe8BIiwnmndnN9rCjxnBNjBUdED7rddHfrMS8d9jWE0LUZzvYurfigzUmxvz9nUJyW8vX59I2XXn3F0hIER5naMJWTlHbMJFL/j5NsE9N1QMytFWMS12fErGKvk8VuPmOehgUawU90dWJlNL7U3sQmVvk1eW1IVnwh2rklbxfsqtPD51T8ynYOU5G6ohsVQuAhnBt/rcqPtPIjl/IjunKJVw7dBGyEj7TwkUv4iC4c/qjTo6kGqDRA5QKoyAAXdom3AOCelxOt+sSl+oSuGh66URvGjehTLfrUJfqUJto8LLf6zD/2I78qAzm2vzfyc2ebg9WSMpDrhDJVLvzFhOag/26G14+b4e5m2XyzZmQ/tKw/fZa91DfYQFX+ynT+ItL2nb9ylb/S3JW/qBB95K9c5S+H8iO6colXjopJIy185BI+oguHvyZb569c5S8HQEUGYM9fucpfDtUndNXw0E/KX7nKXw7RpzTR5zJAj7U2UvPRNSnv3zRcOhsfJpeYxbRym97rZL2boX3LWhv/Q+Wrd+oqsat31meUzmcoc9HLOyqDPdAzyfqM0iNTb/aD5rcD9UWd2O7UuXBdH0PPBX9QJzhTluMrc7DJFHeojz6ZeeOfrKtrmJIbz2y3bYpu2DJovQvXCFz9OBxosYNsR5rZ+7oyR+ydyie2/GY+YizJQZUoURIB8oglOTYeoWsDuTPIQhvrHpl1c2KOr0IHVSHw7DVqqt5VoYOqcTPjb1mhI5ZRFLp27hIl9lOhI3efrCILB6ZCfIGOQqbO+hxktcBMiKnP4dZ5g64TmAFRI5sL+5aklIkItSG+qP2Qrh2YQ9oHNBee36SIojIPY0d1DrJiiVQMNac2mSO6TGA2oC/ROOPDMV00MEHginO437kX6UoLhNKtNN6ka8SkMsoj4I0JFVk3T2UOfzw4oasF5jTUQNUm8ZQm0TjDVESLskyDIhKzQMhsHIyjyTxIJ0lUiskszRfNs+IctL487nI/WT1wdQ5dU/9BiQugUELb8NYDhhni2kCus4IgNiBsM/Zd/VANTB/popLra1NsqLusqBKOCh/J2TD2WDEQOycQgzTnHn9OFKaNV9aF9n1WEuyGDwhHKSNHSdkhK0tv266KMHOc1mTFQ4Q81GCnZc9Vuj7cl3pOa7KCIyIH2dC7+vSYFw37/kHQWjZcAfqz4oM2jqxcxEW8SEVQFrkIxHycBJMomgczKWbTeV4sokXzLvfqyJw1N9IE2xowwv4dGSMIIjxBHdltvau89mHvbZgz48VMpTSzgf1OvRZQrzAYm6a+Ip+XtmbYZW0GCW+Grd0aIwYi5iLcmmtKnZOEyaxZDc4+Kwk2WUA4MhmFuWOGnpOlN7OWZM478Fj5EOGwU7e2Pr+Xeg5ksoIjIgfZrTk79ZiXDfsGQtja7Fp7h1Z80HVtjXQyVt8dBWmczQMRx0VQRvNJMJ0n5UxOizTKm07v1a45a2ukAtsaMML+7RojCCI+Qe3aJ/qMoC6cobdyNHs+Vj+qPZk+A1jbtU+Wv85suLusuBKOu7UtY8RABFeELdP7aj4LB/YdMi+wAjG5s0jaUPZZUbDJAQIicxnmqRVmyArTmz+LFaA1Hhzw8iHiX6f+bH3cLfWcYGQFR4QQsj9zduoxLxv2FYSwtfmz9g6t+KBrfzaZzseLtAykENNAKPMWjLNIqp+aFLN4Mp6l8jKm05wFM1LHHmNPa4AI+/dnjCCI+AT1Z11cUbz8/fLj5YfL36iPv9Pf87/Ub24Pbhx77i3mbCUJb6WtbR0jBiImI2yde22UEYXF0LlL2XKiYLMJACRJZBjbzemQlaU3P+e5uZiVDxEvO/Vz2Tr9Zx4/xwmOiB1kP+e5uZiVDfsGQtja/Fx7h1Z80Oubi5tO1f/p8TSVewHUt/eujOJN3p5OU2WhdZBxnax3M4hseZqqPi3zWXP2xXt3cXNlce2xnj1wdfa5i6ugXyzv119O3OebqG0hYG3RxfkmqkSJkgiQ18P5JirrZpjnO99EVQjcvg53fZ7zTVSNmE3hEIWe801Uib2cb0qzsLlW56JLo+oG5ib88SYpXMt936arBaYmzPEmt84bdJ3AlITytBeFJ6XKqNb9p4d06cAMgj/dVMRlWiTOq4fJgiVS8DYHGkZ0mcBUQHb7zuBwTNcMTA64s03uF+5FutKOzza5Nd6ka8SkMcoT4AsIFVk2z9EmbzA4oYsFprMOTjaRJJrhSiLFREzmwXgq00CMkzIYz5I0KPNkMs/lZJqISU3hHEB6RtTkQaTzZFNzHw4YFErY+8Q/JwhiIgs6Dv0fanyiazHre06aUehnetyyemu9XXY9u2/qN5u60OvZfsddKOva0c67UNSAKdIz0IPnrg8PrdMou6zNKOHNCB8f2jD2WDEQs3uIoZ9zZYAThWVlILbfJrLPSoKdlgRwJHmkQqd1OmvIytLbwkCchLljYYCVDxFPUYOoloUBsT5mIzzHpljBEaGDPFRwduoxLxv2DYSwtSwMADq04oO+uhs9EveygUiwrQEj7N/vMYIg4hPU713SRg/OVpLwVtrazjFiIGJyJ3aOEYXFzrk3enCiYLMJAMS70YOTpTc/59nowcqHiJed+rn1ORzhOVjFCo6IHWQ/59nowcqGfQMhbG1+rr1DKz7o+uKRnTMf4zRsHdd9T2ycyqmlds667G+abHK6Nnh0XffdKvc6We7mY9ZF3fcHZgcHU913kV4bkml7rvsuxM6herj1B32DSeYMklQcgcfBVfQ+0gxHmuFIMxy5GI7oDBLPAF1caGrBK4SRRhhphJELYURHgL9E9FBdV4VXKJVGqTRK5UKpyCjc9eGV/hOt/0TrP3HpP6HrhycL1DJVUyleyT/V8k+1/FOX/FOa/HNDX51Eetvl6FueknaOJtkLZzfA5BIzoCcLEvVupoUtdzl+pDKeTmFf6Nynl5RWPzJTC5vJ8PwOx6fffaHCvC4RX3/T3UGiC8x/qb7oKLtHbYHNTMK4t5EqUaIkAuR1tbcxdmxspIICd7MgpkNcGxupCoF7V+CzHJ6NjVSNmB0hAIVJmmT2eoRDssReNjbGaZhau/+ArhuYjvAbG0UmnBsbyWqB2QizsdGt8wZdJzALoUYmF3ayRWWROR6IQ7p0YPpoH4VceHqjvBRR6tzZSFYskYqhTtEmc0SXCcwF5OmtPA0jYdN8TNcMzA64nY3uN+5FutKOdza6Nd6ka8TkMcoTEGdlGSeO25Ursm6erY3+cHBCVwvMaKhBo03iKU2i8b/jfDxLy0mQzzI9j5rkwSSK4yCezvPJNI+zaDypKZzDxpfH3a511/91DR5zHCiU0DbA9IBhBpk2kOusIIi1G+jo88Pz48g7Zlj5QA8Z632Ng2YoeXv+2vz1l94Y7B4NZNIcmTsbWzbfFO2IgdmxqHc3DhyjiF3W9pHw9kEM/H7z7GD77up9s/HTjNnVp39kLnB7W89Rm52d5qq1py15x1S+P7vFrd5TYH779E9Vv93RtfL1NPfb1wY3v3ljUEZxNHhOfa0uzvpWPQ/+B3Pf2xP1v6/Mjz6dDw8Gyw+Xv47/TOnTP6K+U/+l9wfN/PoDM5eg9zDc19/69I+Nv65616jSN9KZP231k8E3j0729r9pvmL+vrMb5gbLj5e/PLfPVQ2BZd3rZuaivrpOKVh9oFEGQhbRThSFg7j5nvpvar6iH5tE/nlcpDtJNDCbLj51jY4ZnxrEwiBiFO3eVMCIwrSpwOr59llJsCuaAI4yjUJpjUpDVpTethREzlKtrHiIrIQajbbtKMjXC9C5Z0cBJzgicJCHXLEow9RaLPmYFw77AkLg2rYUtPdoxQddX3a0KKJsMYuCRRItAjHNyqCYlWUwnc9FlKWLcSSaGNurbXZvES2xrQEj7N82M4IgAhTUNnexRfTGceDbDcrYIBLeIHCfbMPYY8VAxN9OjBsjCpNxc+4GZUTBJg4ASCqKsBRWliErS2/WzbcblJMPERo79W7lOtOXHu/GCY6IHWTv5tsNysmGfQMhbG3Wrb1DKz5o7d18lqzbDTBOMyZjL5/c5LvsDTBUvcClR6iXusQNMNQWELAW6GIDDFWiREkEyOtqA0zimOKjggIXPREO0LUBhqoQuMQJN3aeDTBUjZiFQ4BCKcuwtCkckhVe9v4Xsm5gNup2/wtZLTAZdbX/hawTmIRQrvXCfgch87DIbcoP6cqByQO//SWRZV6mjps4j+iCJVLwNkveI7pMYCIg23nP7heyZmBq6G73C1lpj7tfyBoxSYzyBIioKPW5VJvsiiybZ/OLNxic0MUCs1kHe19IEq/sJL7n4IRMcaBQwt4n8TlBEDNV0IEn/yQ+Z4NIeIPAB3k2jD1WDMREHGII55zE50TpeRKfEwU7hQgAKdKwLKwoQ1aUqzCHz8qHiIyo0VDLHL5Mmynf+hc28ENecEToIJt+zxw+Kxv2BYSwtczhAzq04oO+uruWfTP+EtsaMML+nRsjCCI+QZ1b77uWOdtHwtsHbuQou5bVN+hWfGC+4WzXMsM25YiwTdnWL3us/YJIL504U0YUJmcqbCT7rCTYvAjgSBLlTDMbypAVpTdj6t4XzIqHiPud+lK5tjHS40s5wRGBg+xLffuCWeGwLyAErs2YtvdoxQfd7+aS1Gk1cy9ftsl36ZtLiHqB63pQp3iZm0uILSBgLdDJ5hKiRImSCJDX1eYS6dpcQgQFriki/J9zcwlRIXAFEW7rfJtLiBox63IAhTIrQmlTOCQrvPTNJVTdwGzU8eYSqlpgMupscwlVJzAJoWzrhe0EMk9CYX0eDunKgcmDsLkkS/PC1dRHdMESKXibNeURXSYwEZD9vG9zCVUzMDV0uLmEqrTPzSVUjZgkRnkCRCwT5aatD0FFls20ucQXDE7oYoHZrIvNJRSJV3aJIvVsLvEfurgACiXsf4mCEQQxVQUdePa/RMHYPhLePogx3y9a1iR0O22sSZhr886Nzq/cegRjJyCmFRHjUfd6BCNKz+sRjCTY6VAAR5LkdpIhK8lVWI7gxEPEeNS4rm05Yn0yUnqOurKCI+IGefjiXY7ghMO+fxC4tuWI9h6t+KCv7g7n1L1PJvNv5ba0BoywdxPKCYIIUFATyr/DmbNBJLxB4K7ThrHHioGIv134Nk4UJt/m2uHMiYJNHACQQoZJbkUZsqL05tw8O5xZ+RCRsUvrlsVNoq9/YQM/5AVHhA6ydfPscGZlw76AELYW5wbo0IoPut+NJMLpxVIvX77Jd9kbSah6gWt4UCt1iRtJqC0gYC3QxUYSqkSJkgiQ19VGksyxkYQKClw/RBhA10YSqkLgaiHc13k2klA1YtbgAArLNLFHnSFZ4WVvJCHrBmajbjeSkNUCk1FXG0nIOoFJCOVaLzwNiYizsLRKP6RLB2YP/E4SkSZSRA7TeUQXLJGCt1lAHtFlAjMB2c97dpKQNQNzQ3c7SchKe9xJQtaIyWKUJyAroiIPi9ImuyLL5tlJ4g0GJ3SxwHTWwU4SksQrO4kv3DtJMokDhRL2P4nPCIKYqoKOPHuYxGdsEAlvEPgoz4axx4qBmIlDjOHck/iMKH1P4jOiYOcQASBxWoZFakMZsqJciUl8Tj5EZEQNh9om8deHBzPPcVBWcEToIJt+3yQ+Jxv2BYSwtU3it3doxQd9dfcAC8/2ixzbGjDC/p0bIwgiPkGdW+97gDnbR8LbB27kQHuAL9ym2LYLOI/iDL8LmHJ5oq0b9li7AZFNOjGijChMRlTYSPZZSbBpEMCR5klYFDaUIStKbz7UvQ2YFQ8R5ju1oeu77TLPbYWs4IjAQbahvm3ArHDYFxAC1+ZD23u04oNW//xVbUbFLb/TfH0+feOlV1+xtATBaFpjqzKYhR0zidT/49RdTRqsFeMd19tKrGKvk8VuPmOehgX6w18rl/HYXJn8h/MbEJqtJat3B8YWPTaXMus5wC+UzXmwfGjDUt6vuDYks10Ii2647aJidXr4nAp05c5hmqf6Q64/qN+KKFYfEvU5IaQrPlLpBJ7OuYJhRTrSSEca6UgjHWmkI410pJGOXEhHdCSJR4KucxiikSYaaaKRJhppopEmGmmikYtoRCeCv1/0EK7JKk1WabJKk1WarNJklSarXGQVmezCylkLGe7RO9E4JxrnROOcaJwTjXOicU5cOCd0HHiGQS2vGZpTTXOqaU41zammOdU0p5rm1EVzSqMxz11No1PRX/ryaHfbMz1rbHlkp6j9Qhw5+wQmlpRFtW6b2utktZvJZsutmZtp1Oz/u1+P8JefLZ9sbO6rZ1T0uF5PBAyWP1PD+0d1jtV/0PKznYFec9PzDaufrD7QP2jD3yXjb2Yjxn2ZVIkSJREgr6t9man6yq/1TI/+g/TB8HrGSH1Rz85cNFH1J/XszX393eY8uZnUua/6/P3B7ndf+l4wPHr6NHzztZdff+O1V1/5a/Ml9ZXrL736198fvzbbqff5fr58pFddB2ay6i31p5lJpyyKVu/GSRQN1Jcf2Q6l37r1iq2H9sg9BNxGhJgDcm0opSoEbhqCT+14NpRSNWK24kAURqlwlSajSuxlR2keJ64thAd05cAUit9TWqS5c08pWS0wh2L2lLp13qDrBGZP1Djt4ibCPMnzIoysD/MhXTww97UPwy40dSaLPAulY1cpWbBECoa6XZvMEV0mMB2QZ/Y8AeKYrhqYInD7St0v3Yt0pR3vK3VrvEnXiElmpGfAGxQqsnCenaXegHBCFwtMaqihr03iKU2i1lhM4zRNRRxkRZYHYj5Jg/F8PgtmaTYTCzGeJoumyZ2j3ZfHXe5PEOaja8yb4DChfLZxsQcLMza2gVxnBUEsW0GHzZ+cHynXIyW90P5Os+a9Ma56OoSqdy38XP9O/dSD/98PBy+89urrb9Sf35u++r2/efWVQfXqd18dXB8vFt+dN1sY9PBo9a4ZKYl6nGRrxV3WVpTwVoQPbW0Ye6wYiKW8LsZ/jCQsWwBUrLGR7LOSYFcgIRyxcgmltLEMWVl62wOQibx0bgNgJUTEU9RAqmUbQJ40i8b1L2zgh7zgiNhBHix4uvWYlw77FkLoWvYBALq04oPur6iEZ39pLrx08SbdJa9aENUC512g9uvSVi2I+AKG38mqBVGiREkEyHt21YKwXFGqr3xivPNj3aMPlp/rjavv6HIh6n+fNksKzWYP2w4Q9R331f++aH72idkB8rguILL+c83Vfc2KyIOnj8jJq/9+/B8Gu9+fzAc359O/eWM+/feDm6/+zWuD5e000k+TjM6vVKifeqRsv66xq/4OXXpXL5J8YR6xd1Zv6tom9/TSh/rkXb3lVv0JX9OLIeqzT/T1gsuH+jPnntAPTd3ex4PlLxTwPVtP75F7Gjjd1YX7JSoETm1hXK179YOoETNhBFFYRK5yGlSFvSx+xIkSLlwulKocmIk7XvygqgWm4s4WP6g6gUkY5dk3hSdplCdFGFl3Xx/StQMzKH7tI5ZRoYtGWxv7iC5YIgVvM905ossEJgPycMYTH47pqoEJosO1D6rSPtc+qBoxqYzyDHhjQkXWzbP04Y0HJ3SxwJTWxdIHRWJtGCZiWkySYC7ENBCzPA2KcbIIpjOZLaJpNl2kzYvnHDJ75gyIw2b30keGw4Ty9b/0wQiCmKqDjr1/qwdVzQaxh88MvJZfNBUznLvMHNvvOVtAwlsAPra1YeyxYiCmHrsYuDGS9LxswUiCnTCFcJRFmLjGgYwova1axLGzKtgBLyEiFKJGQG2rFtl6ijvzrFpwgiNCB93mu7v1mJcO+xJC6NpWLdq7tOKDNqcXd848inZgvZ29cN6wnjtOkDS06SZtL6sYiT0pXCerBU6gQJ3Ux8oh3Vt+qj7WpcmWn5v6FMi1jeVXeuVioKeRTWntt/Wek0/Nl5VRG6Q7yUBvqzd/x5ernyo3ZkpAPFDfrP90Xf7s87MZcbNh5Uvz1+kq2/rPrSU8ago+3Hd6OGKbClibdrI0QpQoURIB8ro60BEHIrSh7pFRgdNBXVhMokLg1A/GOrrXBogaMRMqAIUiyWPnyQiixF4WB9xlKsiygdkNvzIQJ7F7ZYCqFpjeMCsDbp036DqBiQ3li6EPwyFdNjB34BcFZJwVMnYfiKAKlkjB20wEjugygVmAPFpwPQrHdMnAtIBbEXC/ay/SlXa8IuDWeJOuEZPAunwAKrJknsUAbxw4oYsFZrEuFgMoEpsRZhNedRLrbYTpvHqpKdHpAgGXyel0hClc++SoaoGJGDrCxO6Te+YGJrNp6pfqEx/pi5bipqyi2TDVDDrNFqbH5t8H+lB4/eknqx+YnXQf6O1bn9jaZ5fcPsCM38VokSpRoiQC5HU2WjT76Z59BjYXcM46/ENTKvKd1Q8Cs4Sjhv7BuUdgZ1D/yOrHZkfdnUGc7EhzLmVdZNO6APREf/0LU0rSlABY3ncMX6ltDzQuHQxfqQqBPqWT4StVIyb7AxQmaaIipk3ikCyxl+GrLEQopU34AV04MHkSBrCp8+DAt+lygekTNYJ1C71BFwrMnFsNYeNUlkVahE1lwgsDWbJ4YFrDD2TTJMrLLA9zx0iWrFgiFW/jYkd0mcCEQB7JukPEMV00MEcgx7Lut+5FutSuB7NukTfpIjH5jPIQ+MNCRRbOM6b1h4QTulpgZutgUEuSaIYPabGI0kkRRImQgchFFowX6SQoxawUaZ5Fk3RSUzgHuy+Pu93h5iloVyQ4TCifbVjswcIMjW0g11lBENs6oKPm/2HO7LyjhlB6GVR/MLdFmaHPo+/owXG6I5+PrYvLu6ywEg4LH1/aMPZYMRA7UuBDtdV7q7dtKC+wovDsZpM2kH1WEOw+GgBGKorSWdKNk6W33WyRo8TAAS8eIuahxjstW9mK9WntwnMAnxUcETjIlt7Vp8e8aNj3D4LWso8N0J8VH7QxZPmkzGSUzgNZFGUgJkURTPJFpn4bTcfjcZYl4/mtvg2Z86x+IbBtAePr35AxgiCCE9iQmRpKX5gdbc1WuXvahukNc/pgtZnhfjBYvae++mR5d2egfuI3y18sby9/tfxo+aGxbMvfpdY5yF3WxpDwxtjasDFiIOIu3LC5L07iRGExbFGYShvKPisKNmUAQIpYhT97jcIhK0tvlk1K56Y0Vj5EWOzUs4l1jhcez8YJjogdZM/m7NRjXjbsGwhhazNt7R1a8UHXs2jZdCrGkzKQaZQFQkyiYBIlsyBPp+NEzKZCZv3PojmPJhT+gxg2Awvi69+0MYIgohPUtP1eOTNTxMYUxtEFL3/yzP4QfZSgdmYXLx7Q5XD+TRY9n1hn1HdZm0LCm2Jry8aIgQi7cMvmmWNjROGybDaSfVYSbL4AcGRlHhalDWXIitKfYQszl1/jxENExE792vpsYeE5LsoKjggcdL/m6NNjXjTs6wdBa7Nr7f1Z8UEbuzZLy2yaijQQ0XwaiDSaB5NMxsF0UcyLcRwtEl0xpGe75t7n69+wbGkLGF//do0RBBGcoHbttjJguh6h37ANzP5Rffv3O6Z25l2z/ddUMCR7OcZ2kvB22trLMWIgQnInXo4RhcXLpWFmI9lnJcEmEwBHkeYibC5jvGjmGFl6M3OxdN6UxcqHCJidurlinf0Lj5vjBEeEDrKbc3bqMS8b9g2EsLXZufYOrfigjZ1LxUTMZ9N5ICNt/bI4CybzZBGUM5Hn2vtF5fhW33ZOuuxcidyqB+Xr3c5xgiCiE9TOfXLuINZPamv2eHnH2DldbuTL1Qern5rTO8aeJYWyZ89HO8LUtk5d18twtoGEt8G2Vo0TAxFv4VbNHN37LBzY++UFViAWw+a4X2CflQSbLgAcSV7GobSazyErS2+GLUnCwtpXB7x8iJDYpWEroya/17+wgR/ygiMCCNmwOTv1mJcN+wZC2FoMG6BDKz7oev5tLkQRR1EwjtJFIJLFJJiUURosxvEsKoScp6J/w5Y5DVuCbQsYX/+GjREEEZ22MGy+uTSAWWPkl3D+rc0aIwYi1nZo1hiBWMyaCK0zt/usJNhUAeCIozJNw8x6bGfICtObW8uysLROHx7w8iHiYadubb2BvfQcSGAFR0QQsltzduoxLxv2FYSwtbm19g6t+KBrtzbJ86yMimCcz2eBmC/mwTieR0EsptEsnYxni3hxq2+3ljvdmkC3BYivf7fGCIKITlC39pEueqQr3AyW/7B8sHpX3/OmLxJcvWXq+T5e3vtOfUuc+65mTmIJJ97anzFiIKJrh/6MEYjFn8WhfcP+PisKNjsAQBIhEuXPrDBDVpjeDJpwbmZjxUNEwE792Xqveuk5fMAKjoggZH/m6tNjXjTsCwhBa7Nn7f1Z8UEbezZfpFk2yyZBHMdFIOJsGoynU2nWTOfqc/MiaR72Hu1Z4bRn6I19ML7+7RkjCCI4EeyZLjao7+Z9c/WOWfHUlx88p2t66IoeX60+MBcC3/l6u11jbAEJb4Gt7RojBiLYdmjXGIFY7FoUJtKGss+Kgs0WABBZxKHMrSxDVpbe3FoSFi63xomHCIidurX1VvXSc/SAFRwRQMhuzdWnx7xo2PcPgtbm1tr7s+KDbtzaeJak40WwmEyUs0uTRDm7SR5E07QspomYp2nT5z26tdLp1tD79mB8/bs1RhBEcIK6tV/qctX1jVOr95f3B7ratDldcHYOwSx+3te1qnU56bdX768vGr2rPnFHVzI3l1M9WT6srxmtv6qLUj8fJ1H0fCLtx8N3WZtKwptqa1vHiIGIyghb5yqszUnC4uc802+MKNh8AgBpmX5jhOnN0MWpDGVqAzzgBUREzU4t3Xq7euk5f8AKjggeZEvn7tVjXjjsSwiBazN17T1a8UHXK6TxLI5nsgwmcqFLhUyjoCjFIhDTKM6iKJksRBNoezR1ceRwdSJCb+6DAfbt6lhBEPEJ6up+ZmbW7q/eDEzltgfLx2aOLXte2K0YK5+E821pxVgxENEUbsWcB0FZUVi8WBTa56P2WVGwaQAAEudChLl9onDICtObF3NOrvHiISJdh05MMdV5u/mFDfyQFxwRO8hOzDm5xouGfQEhaH4fBunPig9aGzGfv+ryRj7X0U4R+ffhZZt0l3ojH1ntZrz4P/RGPnL7CFj7dHAjH1miREkEyIu99+wl8Hv2lr+x3bQ36PGqPXKjbqYTtqv2yAo3HSbjVXtkjZuZa8ur9tRfFgqbwiFZ4WXftEcXDkyK3d60R5cLTItd3bRHFwrMiCj3fMFIZjKLy1BaQ8IhXTswW+Ev2suSLItzx07AI7pgiRS8zcVaI7pMYDYgDyw89+zRRQMTRHf37NGlFgip24m8SReJSWaUh8AbFCqybp5r9rwB4YQuFpjV3tg2GJzSJF7RBQIZum7ZE5HAYUL5+l8fYARBzJpBR8L49QFGPgnngw8TbRh7rBiIOT74wMyzPsCI0vf6ACMKdnoSAJKKKLTXiWQluQqLA5x4iDCHGt60LQ6I9WSy+5wULzgicJA9vGdxgBMN+/ZB0NoWB9r7s+KDrnfeZtFsnMZpIBMxDYT624JJFpV6l66M1T/5pGwapkcP5rpYT0T+XciWtoDx9e/BGEEQwQnqwRh23i4fDMxKxmM9EU3ak8vaiBLeiFsbPUYMRLyGGz33DDwjCYvPc+7JZUXBZhoAiMjzMLb2ypAVpTej59mRywuIiKadWr1sbQ3ch6x4wRGhg2z1PDtyeeGwryAErs3stfdoxQd9VQ/FS+eFfCLy7062tQWIr3+zxwiCCE9Qs9f9oXjWFpDwFtjaqTFiIMItwqn5D8WzArEYNueheFYUbLYAgMSx4zKaIStJb37NMzHHiYcIh526tWKd293np3jBEeGD7NY8E3OcaNi3D4LW5tXa+7Pig76q9SWl8zY+Eft3MNsmKUF8vXs1ThBEcCJ4NWJ9SVZiCSfe1ptxYiCCa3fejBOIxZu5J9M4UbDZAQDim0zjROnNnDmrS/LiIeJfl+YsXh/BiT1HqljBEfGDbM6c1SV50bCvHwStxZwB+rPig76qd+tJ9wGsGLlBD8rXvzljBEEEJ6g547hbj7UNJLwNtrZrjBiIcNuhXWMEYrJrVouzz0qCTRcADqUqTBx73DhRenNr7qv1ePkQEbFTu5as07v7shZecET8INs199V6vGzYFxDC1ubX2ju04oO+qlfrSefVekKfPsO1BYyvf7/GCIKITlv4ta2u1mPll3D+rb0aIwYi1nbo1RiBWLya62o9VhJsqgBwJHrDT+Yya4wsvZk19816vHyIcNipWVvvYI89JxJYwREBhGzW3Dfr8bJh30AIW5tZa+/Qig+6NmtpmU1TkQYimk/N2mgwyWQcTBfFvBjH0SLJxa2+zZrrZj0Ro3fswfj6N2uMIIjoBDVrt1WKv7+8Z4rdnJ1CeKaMkfrUw4Gpr/NYfeodc17hril6pA8xPGw3eLZ22mVtJwlvp61NHSMGIibDTZ37eCknCoudc2z92mclwSYTAEecKTtXCBvLkJWlNzsXy7B0LZVy8iECZqd2br1HPfacOmAFR4QOsp1zduoxLxv2DYSwtdm59g6t+KCNnRPZdCrGkzKQqZ6nE5MomETJLMjT6VhP0wmZTW71bedcN/GJGL2pD8bXv51jBEFEJ6id+72yaV+2mDmyY2NsCglviq0dGyMGIux24tgYUVgcWxSmNpJ9VhJsvgBwxGkWptZ1pyErSm+GTbq3tnHiISJip35tvU899pw7YAVHBA6yX3P16TEvGvb1g6C12bX2/qz4oI1dyydlJqN0Hsii0MVDiiKY5ItM/TaajsfjLEvG81t92zXXVXwiQW/zg/H1btc4QRDBCWrX/oeyYXdMPbb7y7t1AfJ7xp19rj59T/s3XcxjsHpPffXJ8u7OQP3Eb5a/WN5e/mr50fLD2sn9LrUm1V3WxpDwxtjWsHFiIOIu3LCpPvvMhvICKwqXYZM2lH1WFGzKAIDEsgybElAXHBsnSn+OTToqzB7w8iGiYpeWLVnvXk88pxFYwRGhg27ZXJ16zMuGfQEhbC2eDdChFR90PcWWFosonRRBlAgZiFxkwXiRToJSzEqR5lk0SfufYnPftJck2MaAAfZv2hhBEOEJbNr0IujqneVXuoLHE/3hrinkoe8PeWQsWaqLrsU22F1WWAmH3dqUMWIgIivclLln0ThRWEyZ/c7gfVYQbEYAYGRFbF2/HbKC9GbIorC09tMBLx4i4HXqx9a70xPPcQNWcETUIPsxV58e86JhXz4IWpsda+/Pig+6zwv3nOcHEuGlyzfpLvfCParazXjxf+qFe9T2EbD26eLCPapEiZIIkHd2n96d5Zfq7dfX7+0M0vo/ov6P7OBOvg+XHy9/tvz98p8Hy39Wf9VD46I/Vd/z5vJeaGuiPXITbSYHvuvzqAo3nSLn9XlUjZt5aMvr8+JIhtKmcEhW2Mv1eUIkYSPworejCgemuI6vzyPLBSa5zq7PIwsF5jeUF77wQGSZdG0IOKRLB6Ye/O15sfqL9Q1v1rY+oguWSMHbXJg1ossEJgPyKCGJ0iKUpU31MV01MEF0eH0eWWqBkLqdyJt0kZhkRnoKYhnlsaPQakXWzXN9njcinNDFArPaG9tGg1OaxCs665+FzuvzEv8m4wuYUL7+J/0ZQRBzYNBx7ZaT/oywEg4LHwHaMPZYMRDTd/BRmmfSnxGl30l/RhDsvCMIo0icgz5GlKsw7c+Jhwh5qKFO27T/+mBM4jnpxAqOiBtkQ++Z9udEw75+ELS2af/2/qz4oK/qztnMfZVe4t9FbGkLGF//fowRBBGcwH6Md+csY2NIeGNs7dcYMRBxF+7XPDtnGVFY/Jpn5ywjCjZlAEDSLCztkxhDVpTeHJtv5ywnHyIqdmrZ1odjEs9hJ1ZwROggWzbfzllONuwLCGFr82ztHVrxQV/Vw+mZ+0a81L+L2OZfQXy9ezZOEER0gno2zsPpnE0h4U2xrWPjxECEXbhjc8+wcaJwOTYbyT4rCTZfADjSOMykjWTIStKfX3OeTWfFQwTELu1auj4Xk3oOOrGCI+IG3a45z6azomHfPghai1sD9GfFB31VK0Nm7jvxmm01iLaA8fXv1hhBEMEJ6tYurTIkZztJeDttbeUYMRAhuRMrx4jCYuWclSE5SbDJBMKRl2FhIxmykvRm5Tx1IVn5EOGyUy+3PlSTeg5JsYIjAgfZy3nqQrKyYd8/CFubmWvv0IoP+qreoZe579BLBbYtYHz9mzlGEER0gpo5ljv0ONtAwttga6PGiIGIt3Cj1nYvCycQi11z3qHHSYJNFxCOJLMbzyErSW92zXOFHisfIiB2atfWl3iknltZWMER4YNs1zxX6LGyYd8/CFubXWvv0IoP+qpeoZe5j8Cn6J1+ML7+7RojCCI6bWHXtrtCj5Nfwvm3tmqMGIhY26FVYwRisWrOK/Q4SbCpAsJRyrCQNpQhK0pvXs1zgx4rHyIadurV1hvXU89BBFZwRPwgezXPDXqsbNgXEMLW5tXaO7TigzZeLR6Xs2SaxUGRmO9NZTCJyyKYl3kUzyazXIr5rb69mvMGvRS9ww/G179XYwRBRCewV9N72nTFI13Q5vHyzuqd1Q8sBW2+U9c4StQYYfVunNQfQ+lwBrusrSDhrbC1Y2PEQERchGNzFfbhJGGxanEYSRvKPisKNlVAQOIozHMry5CVpTezFjlPILDiIaJhp15tvWE99ZxAYAVHRA6yV4tlEoX2A2bHvHTYVxBC1+bW2ru04oOuZ9YmeZ6VURGM8/ksEPPFPBjH8yiIxTSapZPxbBEvbvXt1pwX5An0Dj8YX+9ujRMEEZ+gbu0jXTuydmv/oGzbu6u3V+8o1/bZ6i1l1O6oX90z020yWj5yOTNOYgkn3taZcWIg4ivCmbXMpXEC9WzQOFGw2QEC4jNonCy9GTThPHPAiocIgF0aNLHeoy48Zw5YwREBhGzQXH16zIuGff8gaC3uDNCfFR+0cWfzRZpls2wSxHFcBCLOpsF4OpVmc9tcfW6uHN6tvt2Z8z48gd6yB+Pr350xgiCCE8Gd3Vm9qSzYA110zWxNu7P6YPCcrrum59S+Wn2grNoXyztfb3drjC0g4S2wtVtjxEAE2w7dGiMQi1uLHKU891lRsNkCAJJkYeo0a4wovZm1JCxcZo0TDxEPOzVr6z3ownOogBUcET/IZs3Vp8e8aNjXD4LWZtba+7Pig66n0uJZHM9kGUzkQpf+mEZBUYpFoHxdnEVRMlmIJsT2aNbcF+EJgW0MGGD/bo0RBBGdoG7tZ8aDKT8WmEJsD5aPjRvLnhfWV3WXlU/C+bb2YowYiFgK92Luk52cKEwuzG5d9llRsGkAAJKXYewqq8aJchVcGCceIs516sLWW8uF56wAKzgicnC4ME407OsHQWtzYe39WfFBq3/+aqe+e+wvfS6ry3vwnBvLhH+TXbFJ2dM9eMKm9jpZ7WbcuMR78NSnH+jytoPlz/Qk2Oqt1dumtsbj5Wc7g+UvzT14X65+svpA/7ytFXbJrSBgrdDFbXdUiRIlESDv2dvu4vp+O8Kld0J95deqj3Wnf2k2Bf7I9PgX+qrCgeUAh/nkHVMw5Utdq/gt9SNvmUorj1bvD3a/+9L3guHR06fhm6+9/Pobr736yl+bL6mvXH/p1b/+/vi12c7AHOP9XF+OuHpzoNWoP0fPlL59bZDpnYbqw0BPkarv/KF5DtUXbn7zxqCMYms83yP3zmYW4rtoj6pw05ZyXrRH1biZ8La9aC+PXOdSqQp7uWivkDIsSpvwA7pwYA7FX7RXZqnznj2yWmASxdyz59Z5g64TmD5RlvvCYyyyKBZhkdq0H9K1A5Me4Z69TCRF7vDMR3TBEil4m5u1RnSZwFxAHo24w8MxXTQwPeCu2XO/ci/SlRYIpVtpvEnXiElklEfAGxIqsm6mS/Z84eCELhaY0d7YNhSc0iTW+SEfx0Wp1xxmkRr36gNYsfptWURJkRV5OimbKOwc63oG/cTxrvOSPeHfqHwBE8rX/4ICIwhiog06aG6/MvzCgLi5Of7npjylPhNvaYdd1naQ8HaAj0ltGHusGIjpwy4Gb4wkLOsOKmbYSPZZSbDznhAOlYAy11iQEaW3ZYc8L8LIcfCdFRARD1GjoLaFh/XJG+E5TMUKjogcZKvv7tVjXjjsKwiBa1t6aO/Rig9aLz0Yy1Y26E5D9vp8+sZLr75iaQmCH5M2TOXESjtmEqn/xyLdxHStPbi1YkzWevmhtA46r5PVbj5knpaFOilTQOhHZubZTA7rU+hvr9636Vb2qLw2JIu/EPjc6reLe9Xp4XOHQkauGEfVL/D6nUM+q+gjl+gjumiJFw0d+hnNI5fmEV0z/DGnh1KtvXJpr8jaL0wItGjHPSAnLsEndMHwaI2aFzB6T116T2l6z0Vs/Z+elrylewJAxnaKOrsmsbPVYWJpOUfJto6mrpPlAiftoUnnthm+6/MZfzDLmmbZ8wtT/uSr1TtqTH9nsLyrh/T3zRK2+ubmOgk95DeXtuqbJj4YmCH/0ztc67op5ujH8ovVD9VPPrA1wy65GTYTQCeL3ssP9axFoK+fHZiF2bdWHyjx91ULKBK9B+BLvUyr5zkGy890jjb1/sxegLpRHiw/N5fX3jOLwnf1F542TLOGvHr3XHoPbc3yLXKzSFSzAJrEJm+PLA+4uoCZrNC9ZBP5AlkkcDUBMw/hXGymasTM0QMUWr3xkKyul4Vmd/0Vsmxg3sIvM8eZGt6VzpVmsmBg7sKsNHul3qBLBeYt1HAD+kgc0mUD80z7KONCO8skyaPYofiIrlgiFUNdpE3miC4TmArIs0+uZ+GYLhmYGHDLzN737UW62I5Xmr0yb9JlYhJZl49BRZbMtM7sDQcndLXAnIYaUNokntIkmplL848WO1nMJuN5EUwWhd5fvZgFZTybBdE4j3JZ5mkWNY1/NtTcfH7m352fPRnPEgJHREk4WP5m+enqP5uRy9uD5a+W/7D8ZKDc+v3l58a4qwGANvv3G1d/NgJ6rNx+24BHDVOTa8pYJdam0i2y2UrQVrEmWXdroPKsa1ovdUzrceFtJmMAHm5S58jFdMTGJPFM0Nd0PSloRxqxIcHfSXBYd80Z2tEqLrQLsb8FDff0nbh4Tth4NrNDCw/qyTt14Zyy4JybX3BORHaw/JXYNxWowJ5amfQsalwWItsEc80/drTsZRN5nSwSvgwATLPLf1KJ9G2TTt9evb9Ons0eobOra5tZtCc2mF0Fo1MpkajvJTCxcyij3JUwqRCbGREAgYtJR1r5kUv5EV25xCtHRZ+RFj5yCR/RhcNfha2zm9ipXAAVGYB9WUzsnLhUn9BVw0M5KVOJnVOX6FOa6HOxnTkfOTOS8Mq+cNSVOSM5V8KIMuEvIjQn3V7+evnbC8tf9cjv2QUuG4lKSEInJCJO3wlJunIRVX8fucgu+oguWuJFo0LLyKV5RNcMf/C3zkB27RVZO3vysQs+oQuGh2xS3rHrPaXp7TPlOJOO9AoHVx7oLOk40w5RKPztQ6YdfbnzveXn+ih5c5Ji9SNzKvzt5YPNpPScNStZnyWVlqROS0TcvtNS5kpLVP19pCW76CO6aIkXjYo8I5fmEV0z/MXYOi3ZtVdk7expyS74hC4YHtZJacmu95SmVwtu3sIe0pIzMWVe6aWzqcFK0YnJVQ+HKhX+BkJT0y+Wj1XGedssdz1utgc29U4e62m7B+utgfd1gRwzeXfPMz7KdCIiwvWdiJxzdVT9fSQi5zQdVbTEi0bFmpFL84iuGf4abJ2InJNzRO3sicg5L0cVDA/kpETknJKj6O13fORJRblPvIycjQ3WSkhFznESUSz8LYQmo9+fLRA9XC8M2dLPk+UXNhKVfnKdfog4faefwpV+qPr7SD920Ud00RIvGhVhRi7NI7pm+IO/dfqxa6/I2tnTj13wCV0wPHyT0o9d7ylNb9/jIE8CcpxEbuSDz0p1nICc4yGiXPib2H0KMmOjz5d3Vu+pQdPd+ozQF+oLj5aPzO2F5tiQ2Sj4cLD85fLD5Uc2dpW0Cp20iA3Qd9Iqdw5FJtWHPNYfcvWhSPUH/YVS6i0QsSuvURH7yGvlzpHmOtJcR5rrSHMdaa4jzXXk4jqic0k8Fyq6jTTWSGONNNZIY4001khjjTTWyIU1omPB38mts2O5U2m8SuNVGq/SeJXGqzRe5cKryHjsCbTcOdFMJ5rpRDOdaKYTzXSimU5cTCd0JniOIuXYcudUI51qpFONdKqRTjXSqUY6dSGd0pDMY1gj6XzGenL5mVzszMallwJcMKOTk8tnqVifubbpvU7Wu5mMtjy6jMnFenuhOSt6sdCzSsl1+eU36yLMTd3nZ0o7q899+5Xx9xdN5bLbQRwnza9/lgRxsmP+K+v/2G+I2CU322aC6+ao8y9W7+sjzMqL6IPfqmH0YeeBPsCsK7P9pm4D1ThnJyHUdz0aXB8eBsqr/Dcb4bfIhBJFCKCDFAT/xDZv3dQJDxL3N9zWfV/Xt1v9WF+gY5Zq40Suq3W/NdAF8cxCra6A93BdFk+35doMmk/c1cfJ9R9vjpY/NufN3zY/ocuPP9J/2ZfNM3in/u0vl7eXnwTfeuEvknN/zbv1jHwt8nHzrGu5Wpt+rB/Xzzj88TcPgTnQbs636zMuD3V7fJzLvxORcbafLG/ncvWuGukYJXcvrBM8Mu7XlNH/0pRLN4sHtY4HBvZNo0UXErijdJ3VDvzSbP81y9+bjSzXFdHNtz2pf8pEgZ+sfjpIZSCkZvlMv5nLR2ktTf/wPfMIv1XDfq5bzZCb6w7Nmf4fnx3jiXaKaBDo/8jB//70b20P+h75Qc9gDzrm/Ls1Rr9AVgg849jN4Xeixk0LueXh9yyLI3stqyFZIssJ+AsGavjC3s2bo5tNFbJ6DJZFegymh19Zoj/o4Vcmvq5fCY2jq5Pt2AvBHNBpgbaJcHC+LF1nIr9Nlws0Tr5j8xf6QrfeN+qO+HbTzjbVN+iqgfZpu4H8ukShLJ8fejAO6RhAO0MYrNfateznn+0IF8URnUIiKcDPkW7Zb5wJuzjupgoGph7weXtAMKp0MKp0MKp0MKp0MKqAweiYTgpMYbhj+klZZKF0HdKnSt3ykP6FPjh+GoRe9Ly9N+mKMbmX9BitK2q2BKCKjNDN+f324LPuABfBCZ0AmG6RszH62TkTdXGqhSJWqy0KUWaFEMG4mEeBKNN5MF6Ui2A8X8SxnI+jaD6teZyzMC+PnQVcqTMxrrmYLMJhQvls8zUeLMycjQ3kOivIphPx9Q9wMud88VM1xtMjwrri3B1dI14Pdb/U0xOupRY9YDWLKIPn6pIMeqSrxn/v6Vu41K/158wizM6gmfV4bEaXzedW76nRq/7sV+rr91Y/Nburv1z9pN7gtnoz/Hoz2/PMsFrXrn9m7Hyu7J0enn5gxvxmQPvD5u9ybIzj7CwJ7yz4BIsNY48VY9O/eDAQw+d6Re4r83x84bpwlxOLp/C9jWOflWPTF3g4uhiXc6L0Vva+KB2X4Bzw8iHCdxeDyfWQUg0G6hrp9S9s4Ie84IgYAh4HgTv1mJcN+wJC2Lwdegzp0IoP2pjL2ThK57PpIpiIWRmISBZBWeZpUIzlYhGNozyaNQ3Tq7m0Tsoqc+mokOVuCxhf/+aSEQQRnXDm8gf1FbzfMasD+rDdV2YJ4q52lqufmmWGh/pruXxeRM9HO+rJVb9Ll49sbbDL2gYS3gZbezZGDES8RXg2s2oTDuz98gIrEItbi0LrJSn7rCTYdAHgkElR2HfwDVlRevNrWeYsOczKh4iInfq1eJ3eY49f4wRHxA+yX3N26jEvG/YFhLC1+bX2Dq34oI1fm8tSjovZXH0xUt8bT0tl66I4KOd5Pk7yuZjHs1v9+zWrYVd+LcG2BYyvf7/GCIKITjS/Vs+qNXtj7td3KCwfDupPK7MmjVlr5t6EXpm72AS7rE0g4U2wtV1jxECE2w7tGiMQi11zFIDcZyXBZgsAR5wWRRJG1tdlyArTm2ErM8e9mQe8</t>
  </si>
  <si>
    <t>fIiQ2KlhS9b5PfEYNk5wRAQhGzZnpx7zsmFfQQhbm2Fr79CKD9oYtnSazWUcRUGR6O8tRRlMivk8iOVkPi0nopS5vNW/YRO2tlCGLcW2BYyvf8PGCIKITmDD1uzavXN+d62+C+uJmVz7obk57LFZN/2gWUn9nbJy75p9vXeWX+jN0rrM1fKL+qvNRl9b2+yyto2Et83WTo4RAxGHEU7ukXWY9AIrCYuFi5TtsU7R77OyYDMIgCQVaZgLazocsrL05uFEVKZhae2tA15CRJzs1MWl66SfelwcJzgiepBdnKdbj3npsG8hhK7Nx7V3acUHXU+8ZdFsnMZpIBMxDYSIRDDJ9E+lkYzVP/mk9e5wDh8nbW2hfJzAtgWMr38fxwiCiE9QH/dLffjNnJO6u3q/KfW2euZGBjP5dv/snNbq/WZ67ulhtmcOsT00O+hsx9se1j8XJzvy+TiJoucTaZ+H32VtRAlvxK0NHyMGImRjDJ81Pr/ASsJi+BzFrfZZSbCJBsCR5Hkm7POPQ1aW3uxenOZhXtoAD3gBEdG0U7cn1tZAeNweJzgidJDdnrtXj3nhsO8gBK7N7LX3aMUHrS9U1ODa5fRY2cIaXpWPk15MsYnZW2WL2Cr4OlnwZvT4P6W0RVqXtBC21tolt5aAtdYVqGhBJZQoQgAdvZRF6viGOwMz4/qVfnxMTQvck7RzsTxDQKqCsVHi4kMzS/zO6gfB8p/V5x4a5Z9q3ZdT8kJG50peyOjSSl487axfLf9p+Zvlb9W/Hw6WvzfX5L3d/MmqvfRzASqP8S+f8dXHoL42wEPKXQxhiAqBh4vhQxNPfQyqxk3Ts2V9jDhzFGYckhVeYnmMTNfD0IUJs0J/0IUJ86g5kZ5Jb3kMMi3Qe3VcHoMsF+i+kOUxMnlWHqNuZ5vqG3TVQAvWxeBNwzw/9GAc0jGA3miL8hhK+7Md4S6PQaaQSArwc6Rb9htnwjYEj+iCgZkHPAIGBKNKB6NKB6NKB6NKB6MKGIyO6aTADNZheQyy1O7LY5wFoRc9b+9NumJM6iU9RmezDP4AVJERmMtjnAWfdQe4y2OQCYDpFlseQz07Z6I2xJ7SxGq1sNOOmsc5leOZ1KJO5zjLY2Q4TChf/wtzjCCIqWTohNCfeHkMxs6S8M6Cz9bYMPZYMRCz+IjRM6w8BiMWy2qga/8+Iwd2HQJC4RmWM5L0thLoq47ByYeI3l2MJc9GlNl62SjzjCo5wREhBDwMAnfqMS8b9v2DsLWtA7Z3aMUHbbzleDxbTObZOBhPYr3RP5kEYzHJgkzISTZZlGWci1v9e0vXYqH/Th1LW8D4+veWjCCI6ITzluerY2yetdSfk1Fz0LKlKgYju4Szb23VGDEQcRZh1dqOWTICsZi0JIys7mafFQWbJwAgaapiXpnZWIasLL05tSwLi9zGd8DLh4iFnTq1fJ3Yc49T4wRHRBCyU3N26jEvG/YNhLC1ObX2Dq34oI1TW0yn2SKfTIMin06Vq5vGwUSMp8EiGyfJeDIpiryZDO/VqVmtunJq/muXLG0B4+vfqTGCIKIT3an56pgpuwaqY8bYBhLeBls7NkYMRLzt0LExArE4NncdM0YSbLoAcMRJ6TiZNmRF6c2vyTQULr/GyYeIiJ36tWKd3guPX+MER8QPsl9zduoxLxv2BYSwtfm19g6t+KCvblkMx3qA8mslti1gfP37NUYQRHQC+7Vey2Iwto2Et83WPo4RAxGHET7OWRaDkYTJwLnLYjCyYDMIgKQIhZA2kiErSW8Ozl8Ug5MQESU79XDlOuV7rqRjBUfEDrKH8xfF4KTDvoMQujYX196lFR/01S2KkbiKYuT+mxQsbQHj693FcYIg4hPUxV3NohicjSjhjQi3e5STfTb0PVZ0RJjHWETHKTROEhaL6CykwUmCTU4AjkyXvrVOVw5ZUXpziL46GqyAiADcpUHM13cR5Z7LpVjBEZGDbBB9dTRY4bCvIASuxR8CerTig9YG0ef7ui2f4VhnzX13MZTJBbpLL59BFbwZNP40ymdQW0vAWusKlM+gEkoUIYAuRhTMyGEFM7KLxRqUY6+rNZCrX5hDOstf6OY2D+Y9/ew2P/5oYNb5P69HDU3VCfPp+g8wAxHrQ4spbjG4lOoWoIoVqamCcb/+3prHNM+9Z34q2ok00y9Wb+ufem756Pl/ubO8/fXQ9oTukZ/QzWzPV6mCqhB4zhfu/T2VKqgaN23FlpUqZGnfgjAkC7y8QhV5oitTpPqD0B+k/pA1Z8Pz2FuogkwLdDkdF6ogywX6HGShijw+K1SROy/KukFXDTQ7XYyONMzzQw/GIR0D6EK2KFShtD/bEe5CFWQKiaQAP0e6Zb9xJmxD8IguGJh4wENMQDCqdDCqdDCqdDCqdDCqgMHomE4KTGAdFqogSy0QUiF9cPw0CL3oeXtv0hVjMi/pMTobxvsDUEVGYC5UcRZ81h3gLlRBJgCmW2yhCvXsnInaEHtKE3tlF8tSV6GKPMFhQvn6XyxjBEHM1UKnXq7oYhljI0p4I8LnK2wYe6wYiOnrLga1jCQ9L3wxkmBn3QEciVRh03EYkRPlaix8cQIigmkXQ7uzAd76jsDcc+kjKzgicoBHJfBePeaFw76CELi2ha/2Hq34oK/u9vbUVTgiT7FtAePr3+sxgiDCE9Tr9bq9nbNtJLxttrZwjBiIQIyxcNbF6RdYSVgsnGd7OycLNoMASNSo1zrsHbKC9GbhvLvbWQkRQbJTD7e+HzD3XPnICo4IHWQP593dzkqHfQUhdG0mrr1LKz7oq1v9K3XudRLYtoDx9W/iGEEQ8Qls4rqs/sXJLuHsW5s0RgxEpEWYtJZaEpxALF7NXf2LEwWbJwAgcRKHpauaBCdLb27NU/2LlQ8RCzv1auvr/XLPhY2s4IgIQvZqnupfrGzYNxDC1ubU2ju04oO+utW/Ulc1Ce0wcW0B4+vfqTGCIKIT3al1UP2Lsw0kvA22dmyMGIh426FjYwRicWzO6l+cJNh0AeAQeVhYA9+QlaQ3u+Yp/sXKhwiIndo1uc7unsvaWMER4YNs1zzFv1jZsO8fhK3NrrV3aMUHfXWvbEqdZSMybFvA+Pq3a4wgiOiEs2t/qlc2cXaWhHfW1r6SEQORGBC+EnRlEycWi7u0Lnfus3JgcxuAwnM+jRGkN2vpubGJlQ8RvDu1lusLfnLPjU2s4IgIQraWnhubWNmwrx+Erc1atndoxQet/vmrc55KqP/8pc9CdluBQtholXn033qQbdL2VIHCUen2OlnvZgjZsgDFbzZM0p1BUy/iMaCCRJZk6xMR551XU1QiiCNdVCJIrOO9XXILCFgLXIWiEkRCiSKE0H1i3PNd7eh3Bk2JiaT+T1r/RyDqTgj1DZYH52nNCf1g1GUh6koJz1aBgBcxuVCGIZdNGQZ43Qr7YR1Tw+KzsyNA5q9tSkE8NqML8w0Xal7cXn4S/EVi/vammoMuFnGuDpweL9Xg50crSGx3GYxcniuDkUtdBuNqV8F4a2B++J55Z96qYZ9uwTVTy7p/1N9hBKpXLtopokGg/yMH//vTv7W9WXvkN2vThzAWwyAqBJ4lRgxIPMUwiBo3Hc+WxTDyIg0zm8IhWeElVsModPmLUn0oIv0h1h+S9QH03F8Ng0oLdFyEahhJIt3VMKhygZ4LWw0jf1oNw3k91g26aqDz6mLgpmGeH3owDukYQPu0TTWM/PlnO8JTDYNKIZEU4OdIt+w3zoRtCB7RBQMzD3j0CwhGlQ5GlQ5GlQ5GlQ5GFTAYHdNJgRkMVw0jLtLcXQ2DKpWhGkb+tBqG8+29SVeMSb2kx+hsisEfgCoyAnc1jPz5ZzvAUw2DSgBMt+hqGPk3zkRtiD2liTUTBqCN+JrHOYHjmdGiTuI4q2H4L0O6gAnl638NkBEEMY0MnQfq94QkY9tIeNvA509sGHusGIgJc8xg1To//gIrCcsqm++EJCMLdqofQCKiMLfviBmyovS21uY/I8lJiAiTXQzazoZu60v/cs8tjqzgiOABHm8guvWYlw77EkLo2tbb2ru04oM2Ni5KE5HNp3GQzPIkEEkZB5M0i4JxmmUyi2SZTpqG6dXGWR8AZeNKbFvA+Pq3cYwgiPgEtnGwrVwXtkadW/Xj38/1nYt7teq/r/aV59Y99E99svzYLCd8sry9Xv6xddUua1dJeFdt7SoZMRCJAeEqYRu5GLFYLKZrIxcjBzazASh8ayuMJL25yzhOw8jaVQe8gIjg3am5XN9FmHuul2QFR8QQsrl09+oxLxz2DYTAtXnL9h6t+KDr+htxUpYzOQ3G2bgIhMyLoIjjeVCOp9lkrn42Sca3+veW1smKb4rCf5OSpS1gfL17S04QRHiCesuP6s0wtm0z600zD9cVcuudMsuPE+3fPlr+fvnh0xK4HgvH2SIS3iLbWjhODET4RVg41y4WThIW15a4qt9ykmCzBoAjzhPX9MqQlaU/5xblYWxd0D3gBUSExi6dW7G+JbDw3PvICo4IHXTn5uzVY1447DsIgWtxboAerfigjXObjaN0PpsugomYlYGIZBGUZZ4GxVguFtE4yqPZZcwKCltbKOfmu9HB2hYwvv6dGyMIIjxBnRuuHkcuQfU4ONtAwttga6/GiIEIuAiv1lKPgxOIxbJFYWGdodpnRcHmCwBIlqdhUTpm2zhZevNsWebYDHzAy4eIiZ1atnid4D3X0rGCIyII2bI5O/WYlw37BkLY2hxbe4dWfND15VSylONiNldf1Gu+8bQMxvMoDsp5no+TfC7m8exW/45N2tpCObYE2xYwvv4dGyMIIjrRHFs9d7ZZ7XZQf1rZtbrgbbOqKmJrX+6yNoGEN8HWho0RAxFuOzRsjEAshi2xb97dZyXBZgsAR5wJGUqXX2Nk6c2vlVmYWfkOePkQEbFTv7a+j6jw3DDFCo4IIGS/5uzUY1427BsIYWvza+0dWvFBa8Pm82Hd1rWQNjrlwFIPXZnITbrLrmtB1bsZMv5461pQW0DAWuAK1LWgEkoUIYSu27oW8o+yrsXSduWso75Fe3WLb72gV+3/tcBFbwUuQts7tkd+xzYdCF+FC6pC4Plg+HjEU+GCqnHT62xZ4SIRRRQ6DvlQJV5eiYtC6JoWUn/I9IdcfyiaU+VF6i1xQaYFmq+OS1yQ5QLtF7LERZGelbgonLd13aCrBpqwLsZsGub5oQfjkI4BdFJblLhQ2p/tCHeJCzKFRFKAnyPdst84E7YheEQXDEw94IEvIBhVOhhVOhhVOhhVOhhVwGB0TCcFprAOS1yQpXZf4uIsCL3oeXtv0hVjci/pMTqbXfAHoIqMwFzi4iz4rDvAXeKCTABMt9gSF+rZORO1IfaUJlarha2/aR7nXI5nMos6n+MqcdFc2gHGhPL1v6bGCLLpRHz9A5wS4tkFxdgGEt4G8CkTG8YeKwZiThwxKm1bVGMEYllU8+yCYkTBzukDQJI4TUMRWScNhqwwvS2r+bZBcfIhgmIXQ7Szgdr63sHCc5EkKzgihIBHF+BOPeZlw76CELa2ZbX2Dq34oK/uNijpKmdRSGxbwPj6t2yMIIjoRLNsHW2DYmwCCW+CrR0bIwYi3Hbo2BiBWBybexsUIwk2WwA4ZBKVjkv5hqwsvfk13zYoTj5EROzUr60vHiw8N0mygiMCCNmv+bZBcbJh30AIW5tfa+/Qig/a+DWZyMlY/R1BKuJZICZZHozzSBk8IaN0IqNscQk3SUpniYgM2xYwvv79GiMIIjpB/Rq+RMS3XkBWiGBsEAlvkK3dGyMGIvgi3JtzFwgjCZNts5Lss5JgkwaAQwqZh1LYWIasLL3ZNm+FCE5ARGTs1Letb/UrPNc0soIjQgfZt3krRHDCYd9BCFybcWvv0YoP+urWjZXOChG+Ww6sbQHj69+4MYIgwhPUuP0p143l7CoJ76qtLSUjBiIvICwlqG4sJxaLv3RNCjJyYDMbgMK7Y5kRpT9z6SkcywqIiN6dmst8bUU8l8qxgiOCCN1cegrHssJhX0EIXJu5bO/Rig/66t4tJZ1HKX0XNFjbAsbXv7lkBEGEJ7C57PNuKc62kfC22drNMWIgAjHCzbnuluIkYTFwnrulOFmwGQRAEidFWDoLkjGy9ObivJdLsRIi4mSnNm59E1HhuVyKFRwRPcg2znu5FCsd9i2E0LX5uPYurfig+y1yYY1FypmVXroLJTwuvcgFUe9m0PgjLnJBbAEBa4GrUOSCSChRhBC6jotcLO9cWpkLNVL9oyp08eDsi5evcrMAxn1rYY4HWtVg+T9VB/96518rdXRaqcMWJ/bIcWLTRzEW6iAqBJ5yho+sfIU6iBo3/dqWhTriQrquS6MqvLw6HWW0oz7E+kOiP6T6g1gfjS/9dTqotED/2HWdDqpcoIPE1ukon9bpcN7qdYOuGugjuxh4apjnhx6MQzoG0AxuU6ejfP7ZjvDU6aBSSCQF+DnSLfuNM2Ebgkd0wcDMAx69A4JRpYNRpYNRpYNRpYNRBQxGx3RSYAbrsk4HVSpDnY7yaZ0O59t7k64Yk3pJj9HZBIk/AFVkBO46HeXzz3aAp04HlQCYbtF1OspvnInaEHtKE3tllwszV52O0ndzkwUTytf7ciEnCGIaHDqr1etyIWfbSHjbwGeDbBh7rBiICX/MYNWxXMhJ0vdyISfLZvb1sEAHv2WYSWssHLKSXI3FQlZCRJTsYsy2HrmV6wsKS8+Vk6zgiNgBHm4guvWYlw77DkLoWhYLAV1a8UFf3RMFmat0R+m7zcnaFjC+/l0cIwgiPoFd3J/wiQLOrpLwrtraVDJiIBIDwlSCThRwYrE4TMeJAk4ObGaDULiXVjhJenOXvgMFrICI4N2puVzfpVh6LsdkBUfEELK59B0oYIXDvoEQuDZv2d6jFR/01S0zkrnKjDSDDkRbwPj695aMIIjwBPWW/GVGOBtEwhtkawfHiIGIvggH59rDwknCYtqcZUY4SbBJA8AhoiJMrShDVpT+fJunyggrICIwdurb1ncqlp5LMlnBEZGD7ts8VUZY4bCvIASuzbe192jFB311b2DIXFVGyhTbFjC+/n0bIwgiPEF9G8sNDJxtIOFtsLVVY8RABFyEVWup58sJxOLY3DcwcKJg8wUAJJZlmMWuuTZGlt48m+cCBlY+REzs1LKl6wTvuS2PFRwRQciWzXMBAysb9g2EsLU5tvYOrfigr+4FDJmrdEcpsG0B4+vfsTGCIKITzbF1cwEDZxNIeBNsbdgYMRDhtkPDxgjEYticFzBwkmCzBYAjLcowd9k1RpTe7Jrn/gVWPkRA7NSura9XKj33ZbGCI+IH2a557l9gZcO+gBC2NrvW3qEVH3S/FTqs9R6UAZNeunyT7rIrdFD1boaMP94KHdQWELAWuAIVOqiEEkUIoeu2QkfWU32OnYtVFYL1xkZMgY6NwhUfmqM576x+ECz/WX3uoUH9VIO2VNtgLFYho3PFKmR0acUqnnbir5b/pDr5t+rfDwfL3+vhlVFxx5QReaifFVBhi3/5jK+yBfX92nQffJUtqAqB54LhQxFPZQuqxk2fs21li6SwT64MyQovsbJFpktZ5PpDoT+UO4cyiprD5KX0VrYg0wJ9V8eVLchygc4LWdmilGeVLUrnZWQ36KqB/quL4ZqGeX7owTikYwBN1BaVLZT2ZzvCXdmCTCGRFODnSLfsN86EbQge0QUDMw94zAsIRpUORpUORpUORpUORhUwGB3TSYEZrMPKFmSp3Ve2OAtCL3re3pt0xZjUS3qMziYW/AGoIiMwV7Y4Cz7rDnBXtiATANMttrKFenbORG2IPaWJ1WrH49liMs/GwXgS66mcZBKMxSQLMiEn2WRRlnHepATnNI5nHos6leOsbJHhMKF8/a+mMYIgJo+hs0EX9z9trqXpz8moWUhr2ffEyC7h7PBZEhvGHisGYhocMRhtW0ZjBOp5GY2RBDuLD+HIyrC5BPniEJcRpbdltCwLC+tk7wEvHyISdjEuOxudrS9PLD3XYbKCI+IHeEgB7tRjXjbsCwhha1tGa+/Qig/a+LTFdJot8sk0KPLpNBDlNA4mYjwNFtk4ScaTSVHkzXClV59mnd5UPs1/eZOlLWB8/fs0RhBEdKL7NN8+dWXWQPvUGdtAwttga7/GiIGItx36NUYgFr8WhYWNZJ+VBJsuABxxlNhJhqwkvdk1mYbCZdc4+RABsVO7tr6OsPRcMMkKjggfZLvm7NRjXjbs+wdha7Nr7R1a8UFf3XIQubMchP+OJktbwPj6t2uMIIjoBLVrPZSDYGwQCW8QuHdj2LyzvGdrmz3WtkFEdIQhdO4mYSRhcYLuGhOMJNhMBOEoEtdd45wkvTlBb4kJTkBEsO3UCq5vNCw9l1SygiMCB9kKxpn0nFjkpMO+ghC6NjPY3qUVH/TVrTubO2tMlNi2gPH1bwYZQRDxCWoG/6TrzjJ2lYR3Fdym2jD2WDEQiQHhKGF1ZxmxWOyla1mYkQOb2SAUno3PjCT9mUtf3VlOQETw7tRclmsn4rmSjhUcEUPo5tJXd5YTDvsGQuDavGV7j1Z80Ff3ZqrcUQ1DRv77HSxtAePr21uygiDCE9hb9ngzFWvbSHjbbGnmWDEQgRhh5hw3U7GSsPg3981UrCzYDAIgycKssJIMWUl683C+m6l4CRFRskMTp5jqlN/8wgZ+yAuOiB1kE+e7mYqXDvsOQuj8Lg7SpRUfdL9FMqzbVpQv89+NUGzSXXKRDLLezaDxR1skg9wCAtYCl18kg0woUYQAuq3LYhSXVxZDxZ/uqmKon9QL6+uJ5WZx/fJqY+TyXG2MXPZdG+NpwZGua2OkXZTGCG2v1R75tdq0HWy1McgKgSeL4cMQd20MssZNe7NlbYxSOjaikgVeWmkMGSW6FkaqPwj9QeoPWX0aXeH4SmPQaYFuq9vSGHS5QL+FK42h5KxLYzTtbFN9g64a6Lq6GKZpmOeHHoxDOgbQOtFLY2jtz3aEszQGnUIiKcDPkW7Zb5wJ2xA8ogsGJh7wWBcQjCodjCodjCodjCodjCpgMDqmkwITWHelMehSC4RUSB8cPw1CL3re3pt0xZjMS3qMzqYT/AGoIiPwlsZ4GnzWHeAsjUEnAKZbZGkM/eycidoQe0oTe2WX1gpHaQwVsXCYUL7+l9YYQRCTxtA5oH6X1hjbRsLbBj53YsPYY8VATI9jxqqupTVGkt6X1hhZsNP6ABIRls6lNUaSK7K0xkmIiJJdjNnORm7Jeh3Gfb8jLzgidoCHG4huPealw76DELq2pbX2Lq34oK/u5vvCUThDDTmxbQHj69/FMYIg4hPYxf3pbr5n7SoJ76qtTSUjBiIxIEwlZPM9KxaLw7RvvmflwGY2AIVnZYURpDdz6dl7zwuIiN2dest0bUTcF1HygiNCCNlbevbe88JhX0AIXJu1bO/Rig/aWMskmcj5QoyDSH0tiON5ERTRrAyiSEYyK4q4lI3n6tVaWqcqlLUU2LaA8fVvLRlBEOEJai0tRT7umm0outjH4/qL5jZKZeZ+ocycruihzZr6vfVV3mVtAAlvgK0NGyMGItoiDJtzxwojCYtHc9XfYCXBJgkIRxy5LqBkRenNp6WJiufWgH7AC4gIhJ36NLHO6u4bKHnBEZGD7NPcvXrMC4d9BSFwbT6tvUcrPmjj02C3i/fu04StLZRPk9i2gPH179MYQRDhCerTcLVzcwmpncvaBhLeBltbNUYMRMBFWDV/7VxWIBbHFoWF1efss6Jg8wUApEjCtHBNrTGi9GbZMldtrQNePkRI7NSxyXV+d19HxwuOCCBkx+bs1GNeNuwLCGFrM2ztHVrxQRvDBrtfvHfDJm1toQxbhm0LGF//ho0RBBGdaIatXgTdvJZqUH9aubX6ZqpmBVXE1r7cZW0CCW+Crf0aIwYi3Hbo1xiBWPya624qVhJstoBwRCr2uewaI0pvdq3MwszqrA94+RABsVO7lq2zu/tuKl5wRPwg2zVnpx7zsmFfQAhbm11r79CKD1r981d/b/7ZOcvxTk/2+nz6xkuvvmJpDJQlc22d813oUMgLFTpcNSzcKjEOK7Mvw14ny9x8tDyNCfRPv1FWSR8v/7LZf/ZWc8L9A31IX5mn+wMz9aWP+b+9en/HHNl/ZlPak7oEwOod9ceYg/P1qXobt3JW+bUhGf5CtHTTbxcsm6PIhSswUvULvH74CS4t+sgl+oguWuJFww9tKc0jl+YRXTP8NaEH4OaIqF17RdZ+4Xxfi3bcA3LiEnxCFwwP8MgTfUrvqUvvKU2veTpu9ZOgnGf0fGXmC3khDbOnKLvQ62Sh8LePlKQGpnTLH8yI//3Vu6askCkk0xRBWT604ajcU+jcQ2TqO/eUrtxD1d9H7rGLPqKLlnjRqPAycmke0TXDn/6tc49de0XWzp577IJP6ILhsZuUe+x6T2l6z83+9ZB7nNmn9EovnU0NVorOPvYp9etkqfA3kJh/bi8/XP7cplklmVInGaLwnpNMHO0cZpH+kMTqgxDqQ+Ec9FCZekg8CuRIgxxpkCMNcuQCOaKDSDwIKt6MNMdIc4w0x0hzjFwcIzoH/PXYNkEpnkrzVJqn0jyVi6ci83AnLQVxoiFONMSJhjhxQZzQIeCJgJLIFMOpZjjVDKea4dTFcEpj6Hdg5U5vsa9Cb5FFzg4AayWkN9cAiyoW/gZDE9wnZs7vfZvMXSVT5TSq1r5zmspkMtH1A0XmyGRkkj4ymcpfWv6RS/4RXb7Ey0eFmZFWP9LqRy71I7p6+DO/ddZSuUpTVC6KikzBnqtUhtLST1zST+jS4dGclKFUXtLKT13KT2nK+89Lzszkq0BWZLGz4cFqSZnJmZuIcuHvKSY33TM1tc/qJAyaGs7qt/Uv7w3MFiB9kO49U1Prfv35L1Zvrt43hbXuD2ycKrnFOrkRYftObro4bqzr4sau+UEySR/JLVF5Tck/csk/osuXePmoCDXS6kda/cilfkRXD39ptk5uuqRprKuZOigqMgV7cktUXlPST1zST+jS4SmBlNwSldeU8lOX8lOaci09q5XrQPSXviTXxQ0i57bC2ihUjku8FKmz/WFiiQkudG7DoOrdDPtb3iDye3P6W1+W8NDsv7irbw3Ruy4+b2YdH5jyQl+ufmJy22f1pSLnbwqpb0eoCw7Vl07UCfKBvpmiuS7hcXPm/OHZhSPxYH0NhK15dsnNs5lLOrlexCbxW2SJEiWRKG+PLC+DyUNsrXWdWqcqBJaphu+V9dyzQNW4mVa3vGchScLMJnBIFnh59yzEaVPGPE68dyqQyYD5B3+ngoicNyqQxQLzD/JGhTg5u1EhdlY+vEFXDcxC24081luG4+T5oQfjkI4BzBaEYce6qLnS/mxHuG9UIFNIJAX4OdIt+40zYRfHHFTBwBQD3n0NCDsVMOwc06mAaQl3e4LMQ/2UXhT6Il1o93cnnIWbFz3v6U26Ykw2JT0w683sLaGmIiMw351wFmbWHeC+O4FMAEyryFGqfnbORF0cm1LEmnHALE2KWTELpmVZBmIyzoJxNE6Dcipns3E2myyKttMCL4+7OcH5zClOG6YavKY4TCifbYDrwcIMcm0g11lBNj2Hr3+Ao99Pzoatd9zD1jurD0w1jlhGy0d6WteGvsuKLuHo8GGjOb/6wByqePzsMH8QnB/R+5tmECfmwghHu+yxtsumkfC0SxfjVUYSljOgjnizz0qymas9JODRr3AUHxmykvR2BFTkobSavANePkRE7WIkdzaeW1dOjT21cFnBEXEDPAgBd+oxLxv2/YOweTv0GNKhFR+0OQK683TeRxueHtcjrMlCWTrhxZWbuD2tR8QOwdfJgjeDCMeChP7UB8s/1MsLZgt0s5Cg72l+pIzJm2fnP+t7rvTFzeqHmwuln6zeHiTxoC5qe0/9gcJ3xxW1IQSsITpZeiBKlCiJAHnNDgnd9F/uDCAXlZsbya8N4kDHCnsVlD0yH3BiqQsvSFQInCTCeDz32gVRI2a2BaAwz4vCdZcBVeIlrl7oa6HjTH/I9YdiPaso/IsZVFBg8sIvZhRZ4ajV/226WmD2wq5miKerGc4irjfoqoEprAsPrGGeH3owDukYwAS0zWqGeP7ZjvCsZlApJJIC/Bzplv3GmbCLqxlUwcCkAx5IAMJQpcNQpcNQpcNQBQxDx3RIYN7CLW7EiV5RtcagF+lSGZY3xNPlDeeLe5OuGJNwSU/Q2UDNH3sqMgL38oZ4/tkO8CxvUAmAiRa9vCG+cSbq4vIGRaxWW5SzJItEEkgh54FYJNOgzKMoiKOkHJcLGSWybeu5Z16AOhJ2Lm9IHCaUr//lDUYQxGQcdCz9z/pWZzUU1pf/PVm9uR4uq9+am/7eHyz/SQ3d7pu9fvrywS+Wd5qVDv1RBLF10nWXtRkkvBngw1Qbxh4rBmKGET4aXb3nuqSPE4VlacI6Htxn5cBOjAIosiSNI/s9CkNWlt6WJhL3ygQnHiIYdjEqOxubrUtPx55a4qzgiLgBHlBA+/SYFw37/kHQ2hYm2vuz4oM2Tm0cxyKTogyyeCoDIYo8mMhpHiwm+SyaxYXMsqZhenVqrlWLDNsWML7+nRojCCI4QZ3abVNF7K3VTwarHypD9qi5vfnx8kmw/Mp85UdmdaNe21Du7d2zbSnLX8fSOgG8y9oIEt4IW/s0RgxEvIX7NGWkP7OhvMCKwuLTYvvM/T4rCTZTADhkFuVl6jxEwQjTm1XLwiS34R3w4iGiYadWbV12OvbUEWcFR4QOslVz9ekxLxr2BYSgtVm19v6s+KCNVZuqP79I4zyQk3kSiHk5VraukEG8iEqZT8fJeNL0ea9WLbW1hbJq3iK0traA8fVv1RhBEMEJbtXqnSV3Bqv/svxSO7DVW8u79bxZFD2v/xU20F1WUAkH3dqOMWIgYirCjjk3cTCSMLkx14ZeRhJsMgBwqLCbh5lrTwgjS29mLI6U2bTGgQNeQETE69SO5ev0nXvsGCc4InSQ7Zi7V4954bDvIASuzZC192jFB10f4ooXeZRPyiCP53kg4igOimyRBPl4kZSzTC7kYn6rf0NmfQCUIfNWZra1BYyvf0PGCIIIT1BD9lEzWXZnoA8hmYL8ejGzniwzVUweLb9a/UDZtjfrTxqvVminZjYBq98kkXMzMGNbSHhbbO3ZGDEQgRfh2Vru4+ME4rFuNo59Vg5s0gBQqKG0NfoNWUF6dG2htLrSA14+RFTs1LQV6xRfeEwbJzgidmxh2hydeszLhn39IGxtnq29Qys+6LODWI1b0V6sx4NYrnmy0osLvpav64NYjt1y18mCN4MIw0Es7Z/0QXD1m8dPL0BqiqGeO5fVXOT347A+bhV7j1sRcQUMt5PjVkSJEiURII983Eqoz6gfsL4ie2S+zejNeNyKqBC4bR1h4zzHrYgaN/PElsetZJGG1jWjIVnh5Z22SiJdU98U1k/WJxxK/0ErKiMwOeEPWkmZu8vGUdUCsxP2oFX59KBV6TloRVUNTFFdeFwN8/zQg3FIxwCmnm0OWpXPP9sRnoNWVAqJpAA/R7plv3EmbEPwiC4YmG7AAwVABKp0BKp0BKqAEeiYzgdMVrgzVnkpw9x1xIqqlOGIVfn0iJXzlb1JV4xJsqRn52wI5o86FRmB+4hV+fyzHeA5YkUlAKZY9BGr8htnojbEntLEXtnFB8eFud+Uif+GkguYUL7eFx84QRDTbNBRMuviA2dbSHhbwMenNow9VgzEBCJiGNqy+MAJ1OfiAyfHZsL1cEBHtmXmWHwfspJchdUHVj5EWOxiZLYenylnXU9W17+wgR/ygiOCB3hQAe7UY1427PsHYWtZfQB0aMUHbUzbZDKdjxdpGUghpoHIi0UwziKpfmpSzOLJeJbK5m3u1bQ5TlslMbYtYHz9mzZGEER0gpq2X67eXL1jbNv6Ujf9W7OsoXyaPjBfV8Jdva+rx320/Nny9vJ3y18tf63+/fg7Tem53y8/Xn64/I36+Dv9Pf9L/eb24IYaAA6WP7O10i5rK0l4K21t5xgxEBEZYeecx7E4UViMXBQmUtpY9llZsMkEQBKLIixcm0k4WXqzc6XqLJed4+RDBMxO7Vy8zv6xx85xgiOCB9nOOTv1mJcN+wZC2NrsXHuHVnzQ9fW50yQpyvkiyPIsDcQ4EUGRzspgJmSW53E0i7Km03u1c46dJkmCbQsYX/92jhEEEZ2gdu7jp5tS6nq/ZlPKU5+mbzf4gfr3h88WCq7d3Vd6W8snytj9/9v71yc5kuPQE/1X2mR2zSigszYzIyIzkjJ9wEBNbA8HQE8nwO6qA5kssx7S2CE5suHo7lmZyYwzI4rUkveQelxb2YgSRemc3fPl7oLDGRHz5D+wH6r/oxuR9WigOiLS3Ts9s+rsjsQaAN2N8Z+npz/CI8I/jJos72fmr/t78/kvy391Kec+q3IUXDm3zuIYMRCOuJMsjhGFJYtL3OfQH7CSYCMIgKMQonDXtqesKP2lcKPUifc6Lx7CR3aawaWbgB+YtccKjnAc9AzO80zPeNGwrx8ErS2Ba3+eJR90sxv4pdTFm6H5B16TEjTfWpsIcupdTt82YL+0mLzreiewU9zXyOLumllAucDs6u9MZvVxkze9WP6m2db70yaT+unxUTMzyg6K+ioyX/ro6oNm4MLNb/tg+43NqKnlJy5mk1mJr5+SwW84TT/57XzmemOitHsS7TXwqTYfwu5TFKn9sF8Q9gvCfkHaL0j7BSl9HpVKLPHE8H0hFvORxXxkMR9ZzEcW85HFfGQxH1nMRxbzkcV8ZDEf+TAf0TEVHhO+ecRQPraUjy3lY0v52FI+tpSPLeVjS/nYUj62lI8t5WMf5WM6JfzFpYeH9Y42aTez2avDDW1paUtLW1ra0tKWlra0tKWlLX20JZn2xl6mFlqc2T6xiE8s4hOL+MQiPrGITyziE4v4xCI+sYhPLOITH+ITOiI8zCH3OxnCp5bwqSV8agmfWsKnlvCpJXxqCZ9awqeW8KklfOojfEojbGz22Tae93bMx3vHdCpDFHnsfU4wYYnBfeS5seM1sry7YY7jlM9Xy1/Za6JtHG/2MjWLKr925wHLF0dX7x0tf9t85bMmxL9Yr7C8sLufjq5+ZP9Se0DINayp+as/X2+ian5j/vZm4JP5s89WR4vWR4w+sxuo1os6Hx0ldsaT/eNPXfq9T9bvblBlPFZEFVGhRASI9+qxIrE+OvTL5hl8efXjl44RmV9688Gj5YfNFrcPrv4yWv6X5T8u/3/L/7r8/zbLaf9gfuVcTjshK2G3VOQ7e0SVELidG7Ns5D17RJURsy0aImGmfbdhUyUc8OyRWu/3T8OjnchkwDiJP3GUZKn3xBFZWmCgRJ44Sq9HO6WB0U5kqYHh8nYl4XYBzY5X8WM8pGMAoxKhztvs/0+vRzulLaOdyBQKSQG2I6vZu1vBbhZlVIGBQQa8FgnwOyXQ75zRqYCBCXfOKBXJSDobo2/SJe3+nFF6PcrJ/6Ke0yXGBFSSxWwXd8O+piQjMJ8zSq9HOYX9zBM6ATCwIutuaztboW5W0RRhrbTTTC3qTGZRndcikotCRPU0nkZTXdWzZFHNqqptBf07Vbd7HLxlqymzFQ4TyucqxQNYmHLcBfIaKwiifwet0z1Vl/nVZuRxM9jJ1s0vmjlOq0L5yb3Tbz4+Pzp541755PT+kYjjdQH9r8tPrn7Q1N9fNj9g/8afuDR1n1VTCq4peDnrwjhhxUD0LREFqX/DAyMKz4YHF8cDVg5svxVCEahuGUl62+2QxIkcubfkvs5LiHCYXVRq23ptMx4oDYx7YgVHOA5wkYF4rGe8dNh3EELXtueh/ZGWfNB2z8PxKpHpsSPiXLc0qVoWpEx2KXvriDjlfY0sL3CJB5ppHWxHJF13RK5+6tLvfbJ+JUy/nXREiCIqlIgA8cgXrWXHR/nxkTY/48x5TsiIwKUoRHrp7XcQJQQuKyGyxkC/gygjZnkGIKGShW+kFFXCAfsd+WbdMQv3O6hkwCiI73eIVPr7HVRpgWEQ2+/Irvsd3kFHb9ClBgbDLrJoC3PnNIDxkI4BjDm36Xdkd159EIF+B5VCISnAdmQ1e3cr2M1+B1VgYJABlyIAv1MC/c4ZnQoYmHD9DpmlI+3U/5t0SRn6Hdl1v8P7op7TJcYEVJLFbAu7sK8pyQjc/Y7szqsPINDvoBIAAyu635Hd3Qp1s99BEbYpJxZxvMin80hPCxXJeJpEOp/KKI1llqm5zqb1bMXjLZ8D6wjUEtrb7wgOuLmJCeXrv9/BCIJYvoNW4T9/uZlxZKrvF6Yo/8AUy6tmx9eut//97qoATv03jHOiKzg6vPp0YZywYuwG/gAGosL0NzAYUVgaGNJ95vsBKwl2+RTAkYpMeC4wOGVl6a2JURQj6bt1g5MP4QO7KL62JdhmSlsamLvHCo5wHeC6AfxQz3jZsG8ghC34QM8gD7Tkg96McFmnJj0f7XD6WJODBQfW5GKXtqdGhneAC1Ve4NoNNIXyNDJWHYlPwG2MZiH818uvtrelbXsSr2RlX9nvWXU9ni8/NX9kb7xFHNcg6kzCdNZJc4IookKJCBCP3JzIo0SYH1BHX7NP9jfm5z9q/qavll80o302XaYvrz5Y/d7uF7J5tdMNnZA1AlxmQmSa3l4GUULgkhE8gQz1MogyYpZeIBJKEXu3txBFHLCZUWwWFXW4mUElA0ZCfDND6djfzKBKCwyF2GaGvm5meAfOvUGXGhgQu8inLcyd0wDGQzoGMEbdppmh77z6IALNDCqFQlKA7chq9u5WsJvNDKrAwCgDLkoAfqcE+p0zOhUwMuGaGTrVI5W7JH2TLilDM0NfNzO8L+o5XWJMRCVZzLbIC/uakozA3czQd159AIFmBpUAGFjRzQx9dyvUzWYGRdim/JhWs1zoJJqLIonkbJZGxcLU1tNqKtJsmkhdrN2Qt4QOrClQy2hvM6PAYUL5+m9mMIIgFvKglfi/mBr589VRjasfLz9ZHdV4v6mQXzR3jf/4aPdYxtX/x/xE0wJxaeA+qwYUXAPwotWFccKKgViY7KLSZCRhaWl4jng9YCXBLqhCOFQuPNvbT1lZemtpiLQYFc6H9TovIMIVdlGDbSuxYrMEHhjeyQqOcB3g8gH+VM944bDvIASuranR/kRLPuhhTmU4PdI9JYLzb3K5S9lbM8MZ114jywtcu4GmUHvVzGg7aUHVmYTprItmBlVEhRIRIB69meECOyGDAVeLOsgUqRICV34wGaC3J0GVEbOCApAwTeORckl4SpZwuJaESNZLgyIOtiTIZMB4hm9J6EyPYmeq8k26tMCAhmxJiHjbkhDeKXRv0KUGhrUu0mELc+c0gPGQjgGMNLdoSRjZX30Q/pYEmUIhKcB2ZDV7dyvYjZYEWWBgkAHXFAC/UwL9zhmdChiYcC2JJJWxx+m8SRe1+57E1uG8GXhTz+kSYyIqyWQ2NVqLsynJCMw9ia2j2TwAf0+CTACMrNiehLGdrVA3ehIkYfe2JyF9PQmR4DChfL33JDhBEAtx0IKaoSfBqQEF1wCi9vy5vY9h+aumzLf73bb74b608yqaZYQvm8Fhz5tvfO4u+E9YyRFrkV0Up4wkLG0Mzy7cB6wk2CVUAIfMxChWLpRTVpS96GKwAiKcZxdl27Z424zPFIF5qKzgCM8BrjjgT/WMFw77CkLgWroYgCda8kFvjmaoZ9uUrcduhtMzmewtDdJmu7Q9dTOU72gGVV7gsg80+fq33YFY65mly+ZWqM9W7QaTcPzG9iTs9nwXzX0yjYTRdNJnIIqoUCICxKP3GY6+luWhUxBUROBiECapEy4Jv0GWELiwA0/WQh0HooyY9RGIhHKUOztLp2QJB+w4iM3KXxruOFDJgDEH33FIE5V7T0GQxQVGHWzLIb1uOXgHbb5BlxoYe7rIXS3MndMAxkM6BjDo3KblkN559UEEWg5UCoWkANuR1ezdrWA3Ww5UgYFRBlwAABxPCXQ8Z3QqYGTCtRxErP0zLMiiMrQc0uuWg/dNPadLjAmpJJPZFlRhZ1OSEbhbDumdVx9AoOVAJQCGVnTLIb27Fepmy4Ei7CpGJTJTiyRKc1lEMo2rqK7EIqqLKqmTRC90vo693nI1UL9TS1Zvy0HgMKF8/bccGEEQq2bQqvfDV+va9YiKq7+8+v5REkepM9u7zwqp4JDwStOFccKKgVjo66KaZCRhaRGYqtPp8B6womAXKCEgahRnyoVyyorSW48gVYXx205H8DovIcLddVFobcstsVlSFoGSixMc4TvANQLisZ7x0mFfQghdW5eg/ZGWfNDmn+NQmtVtVyBz0ZkESwboirTYpRu8K0CUF7gyA82PuuoKEGkkjKaTrgBRRIUSESAeuSuQHKfH4jg7+pouoiJ4SRKVFbhw00VCR5QQuAiDStS87QGijJi1DICEKo1HudPrnZJFHLA/sJk0K8ITrslkwOjTdX+AKi4w/mD7A9cjrkVgxDVZamAU6iJttTB3TgMYD+kYwPBzm/7A9Yhr0TLimkyhkBRgO7KavbsV7GZ/gCowMMyAc3+A4ymBjueMTgUMTV32B6iiMvQHrmdc+9/Uc7rEmJhKMpltKRV2NiUZgbs/cD3jOuxontAJgKEV3R+wM67dTuYpTdi97Q9k3v6AwmFC+frvDzCCIBbMoPUvsT/ACKngkPCa04VxwoqBWOPropxkJOm7P8CIgl2aBIAoYTxbrlwsp6wse9Ig4CRE+LsuKq1tvbWZZywCI6pZwRHOA1wkIB7rGS8d9i2E0LU1CNofackH3W+DwLmV1mRYWYhOxLt0gzcIiPICl2agCVJXDQIijYTRdNIgIIqoUCICxCM3CEzdp46+loQHKFAxgYs2XSRzRAmBCzCoJM3bGyDKiFnHAEioxKgoXBKekiUcsDWwGcoqwsOgyWTAuNN1a4AqLjDyYFsD19OgRWAaNFlqYPzpImG1MHdOAxgP6RjAwHOb1sD1NGjRMg2aTKGQFGA7spq9uxXsZmuAKjAwyoCzfoDjKYGO54xOBYxMXbYGqKIytAaux0H739RzusSYkEoymW0RFXY2JRmBuzVwPQ467Gie0AmAoRXdGrDjoN1O5ilN2L1tDeTe1kBo8KIDE8rXf2uAEQSxVAatfImtAUZIBYeEV5sujBNWjN0YH8DooppkJOm7NcCIgl2UBIAoNYp959oZSfakMcBJiPB2XdRZ22prMydYBAY/s4IjXAe4REA81jNeOuw7CKELPtIzyCMt+aD7bQw4B3GZ/Co0iKsQNwZbD94YIMoLXJiBpkddNQaINBJG00ljgCiiQokIEI/cGEjio68labgtQIQELth0kcgRJQQuvqASNG9bgCgjZg0DIKGpJp3O45Qs4IBdgc10UxGeqkwmAwadrrsCVHGBYQfbFbgeqywCY5XJUgODTxfZqoW5cxrAeEjHAEad23QFrscqi5axymQKhaQA25HV7N2tYDe7AlSBgUEGnPIDHE8JdDxndCpgYOqyK0AVlaErcD1X2f+mntMlxkRUkslsK6iwsynJCNxdgeu5ymFH84ROAAyt6K6AnavsdjJPacLubVdAe7sCBQ4Tytd/V4ARBLFOBi17iV0BRkgFh4SXmi6ME1YMxNJeF8UkI0nfXQFGFOyKJADE1KaZdJGcspLsSVeAkxDh7bqos7bV1mbQrgiMTmYFR7gOcImAeKxnvHTYdxBC19YVaH+kJR90v12BwkV3T8k4SJfu0g3dFaDKC1yYgaZHHXUFqDQSRtNFV4AqokKJCBCP3BUwVZ95vZPE/C81/7NHB0QRJTLYJ6BiA5dwOkjtqBICl2NQKZuvT0CVEbOqAZFQFSPlTCtPySIO1ymQm6GjMjzsmEwGDEQddwrI4gJDEbJTIK+nHcvAtGOy1MCA1EUGa2HunAYwHtIxgJHoFp0CeT3tWLZMOyZTKCQF2I6sZu9uBbvRKSALDAwz4DIA4HhKoOM5o1MBQ1OHnQKyqN13CuT1tGP/m3pOlxgTU0kms6mqWpxNSUZg7hTI62nHYUfzhE4ADK3YToG0047dTuYpTdi97RQUvk6BTHCYUL7eOwWcIIi1M2gpTOsUcEIqOCS8/HRhnLBiIJb7uignGUl67hRwomBXKSEgmX8fGyfKfrQKWAkR7q6LQmtbbm2m2crAfGJWcITvANcIiMd6xkuHfQkhdC2tAsAjLfmg+20VJM5najKsNIgndvEG7xUQ5QUuzUATpK56BUQaCaPppFdAFFGhRASIR+4VJOLoa4kKdwaIkMAlmy5SOaKEwOUXVIrm7QwQZcSsYgAkzEbKc3STKuCAfYHNZFAZHklMJgNGna77AlRxgWEH2xe4HkksAyOJyVIDg08X6aqFuXMawHhIxwBGndv0Ba5HEsuWkcRkCoWkANuR1ezdrWA3+wJUgYFBBpzzAxxPCXQ8Z3QqYGDqsi9AFZWhL3A9ktj/pp7TJcZEVJLJbEuosLMpyQjcfYHrkcRhR/OETgAMrei+gB1J7HYyT2nC7m1fIIm9jQGB44QC9t8YYARBrJRB615iY4ARUsEh4bWmC+OEFQOxuNdFNclI0ndjgBEFuyYJAMlGeezrCzCS7ElfgJMQ4e26KLS25dZmfq0MjCRmBUe4DnCNgHisZ7x02HcQQtfWF2h/pCUftPnnD1+KCDbL+g+htKvjPoEv4ZIBXJ3rXdye+gSeoVSvkeUFLtVA86VfmGzJtgVeLD9afrZ8fnT1V8tPTPL0yfLLq/fN/368/MIuSzeNg6sfmu/wdwqIPBLG00mngCiiQolIFO+ELB5w+aWLrIwoIXApBZVtedf4iTJiViQAEuZKj4QzIzwlizjgKv9mvqcMDxYmkwFjBn6Vv0iUf5GfKi0wZmAX+a/nCsvAXGGy1MDI0UXuaWHunAYwHtIxgAHjNov813OFZctcYTKFQlKA7chq9u5WsJuL/FSBgVEGnMAD/E4J9DtndCpgZMIt8icizkeJ8wG8SReVYZH/eq6w/009p0uMCakkk9nWQ2FnU5IRuBf5r+cKhx3NEzoBMLKiF/ntXGG3k3lKE7YpBqq4KLI4iYpqpiI5TeNIz7M6mi/ETKVVkmT1bMXjrTYD5Te54vQu8iscJxSw/0V+RhDEshe4aDXF6PdNffr58vnyy+XHL9esf2TjxfLnyp3z3WclVXDSW9eKjBiI5TpETfnZ8tculG+worAs9aepcpE8YCXBrjICOJI8zlJficqI0ttSfz7KnAsZr/PiIRxeF7XWtuLajKGVgcnCrOAIxwEuE6DP9IwXDfv6QdDaFvnbn2fJB90s8r8Uvr351vfm03ffevu7DkWQ0i3nwzWZVhbkvDE+2be675cWk0RdL/A7xX2NLO6umQWUC0yV/u3qvav3mzX+T+2vlh8tv1qdBPjMZFA/Nn/w4uqnLx0NcOGYpCn7+imZ6YY/9EPdzh2ulyrz44dKpfbD/iqL7YcyH7n9VW5/pe2vtP1VYX9VKJ+zpBJLPDG8eLSYjyzmI4v5yGI+spiPLOYji/nIYj6ymI8s5iOL+ciH+YiOqfCY8ArTUD62lI8t5WNL+dhSPraUjy3lY0v52FI+tpSPLeVjH+VjOiX8naR7/vVqV35cWtrS0paWtrS0paUtLW1paUtLW1ra0kdbkmlvLHi00OLM9olFfGIRn1jEJxbxiUV8YhGfWMQnFvGJRXxiEZ/4EJ/QEeERDLkoYgifWsKnlvCpJXxqCZ9awqeW8KklfGoJn1rCp5bwqY/wKY3wpajXa2deeBdJQgOOtB5mBJCwcrvkfY0sL7C9whG4nx8tXyx/c9S08b9s/uSTqw+WXyyfuwjvkwl3w1onrfrl3y4/W35+9Z+vfrh8bol+Y/7113br5tUHR8u/N1/9hQviD8gQCgUBAaAe+zNpfeLMH0/IcMAmDWLZ5gvnAsE3yBICGy7w1ZjQVgCijJi+BUBCmeYj4TvwRxRxwK0A2qTMsrD5tU2e1fZ6rjy8M4AKCoxZ+J0BSmX+nQFUaYFBC7szIL/eGeAdJfgGXWpg6LpdebZdp8rvnAYwHtIxgPGJUHNtG3b5nVcfRGBnAJVCISnAdmQ1e3cr2M0CiSowMOiAl/wAbqi0bqi0bqi0bqgEuqEzOiQwbuE2CuSFHKWFS9I36ZIy7BPIr/cJeN/bc7rEmHhLMqDtkmrY9ZRkBO59AvmdVx9AYJ8AlQAYZ5ElsbWdrVA3C1yKsI3JVGIuUqUiVVdZJIt5HtX1VEdpXsyTOkl1Ua2fiLf2/U7V7T4BW1n6KuDQ1CQHJpTPVSUHsDCVsgvkNVYQRNcMWkJ/2Nx+8+mRqc4+t6UltDxmpFRwSngF+o3H5689PlJFcXTyZ++8/b1qMT8q/+xP1xZ8s7ZkxEN0ABE1qH/rACMKy9aB2N0wesBKgu1dAjjMXz9K3SdxTllZets7kKZilGUuwNd5ARF+sIt6bFuV6U23OTDalRUc4TvApcSNml/6TgOc8cJh30EIXNv+gfYnWvJBN2laJmd5Pp2LqE60jmSm0sj8dG1+qpoldVbNtJo+6z9Ncy5pmjStwOoCxtd/msYIgnBP0DTt766+b9KxL5trCFeHEDe3NnzQXF34kb3S4eo9u75+9RPzJ02b4KNm0d1kc5H51wvz1d+uv+uF+cKXq+9yaec+q3YUXDvw9M6FccKKgXDFnaRxjChMaZxdpbuJ8oAVBRtDACCZHCWxM8s5ZUXpLY3LipGSLr7XefkQbrLTLG4zW1AGxkWygiNcBzmL8z7UM1427AsIYWtL4tofaMkH3SRxuhIqi6WOar0w35vP55GepTKa5lkVqySJZVw/6z+JcxbS99T6ChCELmB8vSdxnCAI7wRN4n5pN0DY7SpXP2yujfj06OpH5hcfXH3fv/x29LXNl75a/urqf1l+svxslQQemb/uw+Xf/O46D3xSvfMf5+++u/oN4L/UZIOrE0I2e7T/zV/b3TM3BTB/4+9c/VWTYb7ffOlT+yfbv+dHzYUXn1/9ePWfLqRWwm61MX9R8xunE7rP+ugU/NHdNsPkxECECUSGaXdD/Xp05L6i5BusQCx5pnOB7QErBzbGAShC+184UXpLMlUy0srF9zovH8KNd5lkqnidk6jAbEdWcIT3ICeZ3od6xsuGfQEhbC1JJuCBlnzQq1NG5p88kVUkExFHUkyzqEiyPKqzPK5TtZDzzUPvNcl0BniTZIZGrjh1AePrP8lkBEF4J2iS+Y+vJnDQ/DG1gzXWv8yEWv3q6OH822/P3qqOXskxXWq6z6omBVcTPKFb/p29qK3Je+34l1WabA/LN/vG7Xby582vfmgU+Z5Jcl/YL++kx0ertnL5p38yf6c6Orl/JFUcJ/nR19LQoBJOVSHcPiJp9O1w5iThyRbd+08esJJgwxWAQ+bxKIl9CSMjS28JY+xpQr7Oi4fwyJ3mi5spZiowmI4VHOE4yPmizFPfYz3jpcO+ghC6toyx/ZGWfNB9DqYTvm6xSgN0hZC7dEMfa6PKu+s09vdYG5VQwgj7OdZGhVAoCADAy0fXrs+syZFL7BOy2Lueme/AGlVC4MZ/TJrmPbBGlRGzgR4ioTIexbO5jyricAfWlLDH1KT9sFc+qGx9UkSFB9aRQYHRqNsDa2RpgeEIeWBNXc+rU4F5dWSpgUGpiyzWwtw5DWA8pGMAI88tDqyp63l1qmVeHZlCISnAdmQ1e3cr2I7Aj+kCA4MOuBQAuKHSuqHSuqHSuqES6IbO6JDAuNXdgTWypN0fWFPX0+v87+05XWJMvCUZ0LbOCruekozAfGBNXU+vC7udJ3QCYJzFHlhTdnqd2+U8pQm7t/0NT61oaluBw4Ty9d/fYARBrKZBi+PB+huMalJwNcGLU3d/w14BbDeD/5VV43Vf4xem2v6vbe2Nb8/tf/pImdpMtLU4GLWFWKnsoiZmJOm5xcFIgl1fhXDkyaiQvhKbkWUfWhyceAin3EVxuC0RNwPZVGDGHis4wnGA6xpci4OTDvsKQujaWhztj7Tkg97fndeptyEisbqA8fWfNDKCIPwTNGls3w/9f6Od14yPTsEfHTyRdWGcsGIgAgUiw2zbec0IxJNoujgesHJgYxyEItTIYUTpLcsM7bzm5EO48U7TTLnJSQKD9VjBEd6DnGaGdl5zsmFfQAhbW5LZ/kBLPuj9vaMh9R7vU1hdwPj6TzIZQRDeCZpk9nxHA6d2FFw7t87jGDEQnhiRx3nvaOBEYcng/Hc0cKJgYwgAJBUj6b5A8ZQVpbckLnBHAysfwk12msRt5jqpwJwuVnCE6yAncYE7GljZsC8ghK0tiWt/oCUf9P7eh5p6j89lWF3A+PpP4hhBEN4JmsQR70PlpFRwSngyhrsPlRMP4Wk7SdIYUZiSNGed94CVBBsiABwyG+nCiXLKitJbjha6DpUVEOEGO03Ssk1MzwJJGic4wnWQkzT/Uz3jhcO+ghC4tiyt/YmWfNDNONWXHqv9V4+j2XyraeH798Uubk9n2JJs5DTK18gC73qRLg6xNbPnN6thdjFrdWqtWf5atz1/u0qx7KEvuza2bqOuDre9sNvVrr5//c1f2r/ms+Yrv7XfffUDlw7uk3UgYTrAHXNzifgHZBEVSkSAeOTZbPJ4NZ5tZLcPvvQQj5q+tF27/KQ53ff9zd5D8x8xX/+BeXBfrY1j1f7+9OhPfj+JY7ud0KWrE7KuduPD7U/OtfVwiYICDyLAk8bQATqijJgN/QAJlZQj5ZLwlCzhgOfn7MA3VWyOq4THvJHxgPEPf2oujRP/qTmqtMAAiD01dz3mTQXGvJGlBkbBLvJoC3PnNIDxkI4BDGS3OTV3PeZNtYx5I1MoJAXYjqxm724F2xH4MV1gYMABFyMA51Na51MCnc8ZHQ0YonBn5VKdj6yt3pT0TbqkDGflroe7+d/Wc7rEmNBKMpttgRd2OCUZgfus3PVwt7CzeUInAEZX9Fk5O9zN7Wie0oRtCpVsGte5riI9E0kkU1VEWmkZLfQsLqb1VMyzesXjrZ4D6wnUCtp7Vi48QeUGJpSv/2YGIwhiFQ9ag++UZa/U301JlqmrHyTq6I3fT5dfHC3/vinWvnq1+D5a/k1Tx61Pjz1fbW+xvz22hd7z5a+aL/9k9Rv7n/jcfkPkNIX7rBpUcA3Cy2MXxgkrBmJVs8PKlRGIpS3iP+bGSIJdkwVwqEKPCuVCOWVF6a0tEjjlxomHcKddFHPbkm4zUUwFZsSxgiPcB7gO2X2mItcj5TvkxgmHfQEhcG1NkfYnWvJBN9lenM3rdKZElBWpNN8r0kgv1DyaVvU8N6WfivUQ2V7q0oXJ9gqsLmB8/Wd7jCAI9wTN9j40ydsnTT/lk2a/8SfrXsqH1/2SVbvlebP6/qJZpv9otQ35l+uU7+Oj/OoHWXz1A+ldjr/PqhcF18utczhGDIQThudwVz+6et+F8g1WFJ7szcXxgJUDGzogFJlQLpBTVpB9yNw48RCusdPMbTNGTAXmwrGCI5wGOXNTcpT7EjdONuzbB2FrS9zaH2jJB73dzbJejrYJWY+7WaQL957K4iCu2sXtazeL9l3JTBUY2MeD5lb/vPyVzY+u/mq7m6W5o/kDe1yr2ejw6fpWALsMZresPF9dvdT86kt7p/F6p8Nqv4v57WfNb+2y3G/Wgya+v/mzHzWnwj5yKeQ+WSESppAutrZQRVQoEQHiUbe2uFtSJ2QwYFsQngl6b6uiSgjs7iESPP8GFKqMmC4ZQMI0z0bSuYfulCzicDtQsuTYfKT2w97lnMl1OziLg3tRyKDA6EXYiyISX975Tbq4wPiF3IySxdvNKJl3LNgbdKmBQayLLNjC3DkNYDykYwBDzy02oxjZX30Q/s0oZAqFpADbkdXs3a1gOwI/pgsMjDrgUgLgh0rrh0rrh0rrh0qgHzqjQwIDF25bihCxzwe9SRe1+30pW//zZuDFPadLjIm4JAvalGotvqckIzDvS9n6nc0D8O9LIRMAIy12X4qxna1QO8I+pQlrpdWx0kldxVG1MHWxTGQcFXGho0U1U3qaFKqOqxWPtw4OrAxQa2HfvpQsPH3pBiaUr/dOBScIYjkOWk3/8qXS+cXRemvK1XumcP5hs4vkC/Onq7FG18X09SDG9VmQl2vr1V15y79tmhr2wO6v7e//yIae8kEWG3uOz1dXsbzXXK/y4+Yqvf/BuHnb7TAfSeJvd3AqV8GViyh7X9Lv1U+Orv5qtUNnc+XMjmK/2tFks1PkY3ta45OmoWSnT31z/k71neroYfXOO9Wf//lbx5um0pdHy781/6WPj77WHJB+r1nmeLG++vCT1X6h71/9aPnC6RRPWFWLWE2FF97+FgwnCksLRro4HrByYBeBARRJEquRdrKcsrL01oVJkkSPcifh67yECM/fRQm6LUQ3gxOzwCxMVnCE6wBXT4jHesZLh30LIXQtrRjAIy35oJvMtC5mYp5MkyiLZRJJqedRIXQRFVMl8nmuZC3Xb3SvmalnD02WYnUB4+s/M2UEQfgnaGa6vf5l06bZ3uNs88XlvzXpzV+u5mc0e6U/ajKn9QHX39q89BfLf1h+GC1/ufzX5c+W/7T8e/P5L8t/dWnnPqt2FFw78NTShXHCioHwxfA0zn89DCcKSxqXuF3IA1YSbAgBcAiRjHL3TKlTVpb+ErlsJLSL73VePoSb7DSNSzcxPzAWkhUc4TroaZzvoZ7xsmHfQAhbWxLX/kBLPugmiUuVmqf1XJkv1uZ7a5VGWs5M6lcImaQ6mepivcreaxInXLowSZzA6gLG138SxwiC8E7QJO5/fWlDzfOj5f9mMrrfNItZJqE7Wv7yRIhmZTARR/Yb7eJXk845F3bus8IrOPytczRGDISj7SRHY0RhydHiUapcKA9YUbAhAgCSFaPEfWX0KStKbzma1KPU6c1f5+VDeMFOc7TNAK8sMJONFRzhOsg5mvehnvGyYV9ACFtbjtb+QEs+6NVCWz2dVwtRRErKaSRzvYiqLFaRTGo9S+pqJtQQC23SpQuTo0msLmB8/edojCAI7wTN0W4Oy3BPyVgtrP3j8mfNgto/LH9u/vdP67kay39b/tPyw+U/m89/td/zf5jf/PLojTOVHC1/5tLSfVYtKbiWbp3MMWIgPHInyRwjClMy5xuawYmCjSUAEJmMZFa4UE5ZUXpL5gqTd/sW3Dj5EO6y02RuMygrC0w+YwVHuA5yMud9qGe8bNgXEMLWlsy1P9CSD3p7gG1NbpO0Hg+wOX2syddUEDffxe3rAFvhPcBGFHjXidzyAFtzHXPTsfy02ab1kevu5fDWsBsH2F6sz7y5wO+TwSUMvJODakQRFUpEgHjUg2pHyfFRZn7A2TY7IfMBTw4g0r+W26eoggJ3/8OTu9CxNaKMmE30AAmFSD2HZU/JIg54bC2zh9Vy+2GvUM42t5hmKnxsjQoKjFn4Y2syT0eFM5n+Jl1aYNDCnlpT16fWvNO43qBLDYxcXaS+FubOaQDjIR0DGIduc2pN3Xn1QQROrVEpFJICbEdWs3e3gu0I/JguMDD2gOsHgBsqrRsqrRsqrRsqgW7ojA4JjFu4U2tZrjx3e7xJl5Th0Jq6PrTmfW/P6RJj4i3JgLblWdj1lGQE7kNr6s6rDyBwaI1KAIyz6ENr6u5WqB1hn9KEbToW8zyr80UczXRqr+JLRFTFtYpmclbUsdaJXqx5vLVvYDWAWv96D61lOEwoX/8dC0YQxBIctIL+xe6O4NUkok+Wn163IzreHcyoIAVXELyMdWGcsGIgVhwR1aq/WcGIwtSscN48/4CVBLtUCuBIRVqMMifLKStLb82K0O5gTj6Ep+yiYtvWbZtRg1lgeCQrOMJ1gIsN8EM942XDvoEQtrZmRfsDLfmgV0Mx4nRWLep5lNhB4FLFs6iey1mUJTqW84WYiWKIPM65OGvyuPDsD4cuYHz953GMIAjvhMrjrodi4K4ZMAnbc9tBsUfr12mf+Y3ds/K+nXsRXd8vsPpi+SBLYhHH56vfJrALBxgVquAKhed9N+c/ejpIq0T4o+bOw+aSw4/Xqv7CPAjzy9XkkS/XF1i/OGquqf6t0fv1BQT2/oEb1w+0zI/kVCgijMAz0MA1A4woLBlo4jmd/4AVBRsAASBZkopRHjthTllhestBpdKeKxFf5wVEuPlOk9B8k7MEZjCygiO8BzkJ9T/VM1447EsIgWvLQtufaMkHvb9n1JT3jFp4cIlDFzC+/rNQRhCEe4JmoR2fUWOEV3B4eMbowjhhxUB4WnieFlgpZERhydPikTu1ecCKgg0RAJBEiFGS+tI0Rpb+0rTAITVOPoQb7DRL2wzgygIj1VjBEb6DnqUFDqlxsmHfQAhbW5LW/kBLPugmScsWOs4WszhapPEiktOsiPSsKKLpfC7jTCyqWK69bK9JmtNrmSStwOoCxtd/ksYIgvBO0CSti0Nqb5xFofNojApRcIXcOnFjxEA4304SN0YUrsTNeyCNkQUbNwAkshgVqbNbcsqK0lviFjqQxsmHcI2dJm6bAVxZYKIaKzjCd5ATt9CBNE427AsIYWtL3NofaMkHbTO3UELW7fkz54LpPbXeYOumK8SN43aDnz+jCrzrMw7u/BkVXMLAuzh/RhVRoUQEiEc+f5YeH5kazp1/nJD5dt02+/kzqqC7CR3n+TOqjJj98AAJU5F65mmckkUc7vxZbsem5XZsWm7HpuWbcUV5eGwaGRQYs7o9f0aWFhi0kOfP8uupaXlgahpZamDk6iLTtTB3TgMYD+kYwDh0i/Nn+fXUtLxlahqZQiEpwHZkNXt3K9iOwI/pAgNjD7hcALih0rqh0rqh0rqhEuiGzuiQwLjV3fkzsqQaISlE+2fX7ufNwHt7TpcYE29JBrSpxlpcT0lGYD5/ll8PTQu7nSd0AmCcxZ4/y+3QNLeNP6UJu7fNiMx3/ixPcJhQvt6bEZwgiBU3aAXN34zgVIiCKwRetrowTlgxEAuKiOrU24zgROm7GcHJgl0LBZAIOdKZpxnBibIPzQhWPoRr7KJE2xZqmxFUeWCqGCs4wneAqwvwQz3jZcO+gBC2lmYE4IGWfND7u9U38x04y1OsLmB8/SdujCAI7wRN3Lrd6ssJr+Dwt07SGDEQjraTJI0RhStJky6UB6wo2BABACnSUZE5UU5ZUXrL0QI7fVn5EF6w0xxtM2EqD4wMYwVHuA5yjhbY6cvKhn0BIWxtOVr7Ay35oPf3UoDMdxwrF1hdwPj6z9EYQRDeCZqj7f+lAJwKVXCFwvO+/i8F+D9Xj+DqJ0fLvzG/+Pe2awE4VYoIJPAc1H8tACcKSw7qvxaAEwUbAgEgMs2NN5e+LJQRpr8sNHAtACsgwtF3moZuhmjlgalorOAI70FPQwPXArDCYV9CCFxbHtr+REs+6P29ZDTznTjLJVYXML7+81BGEIR7QuWhvV4yyqkgBVcQPK90YZywYiC8MTyXC6wnMqKw5HLeS0Y5SbBRBMCRZGk20k6WU1aW3jK5wCWjrHwIT9lpIrcZoJUHJqKxgiNcBzmRC1wyysqGfQMhbG15XPsDLfmg+z2A5vRDJjNTQbpsl274A2hEgXd9xuEdQCOCSxh4JwfQiCIqlIgA8V49gLZzyMzUbPnxUXF8lMTmf04zOyGjAPf7IxK7trNmREGBe/bhaVvorBlRRszed4CEuki9R82IEg541MyOOsvtqLPcjjrLNzOG8vCoMzIoMDp1fNSMKi0wPGGPml2POssDo87IUgNjVBc5rYW5cxrAeEjHAEac2xw1ux51lreMOiNTKCQF2I6sZu9uBdsR+DFdYGDoARcGADdUWjdUWjdUWjdUAt3QGR0SGLY6PGpGlZThqNn1qDP/e3tOlxgTbkkGtK27wq6nJCNwHzW7HnUWdjtP6ATAOIs+amZHnbldzlOasHvbhci9R80yHCaUr/8uBCMIYm0NWisP0IVgVJCCKwhesLowTlgxEEuJiGLV34VgROm5C8FIgl0DBXBkqRxJXxOCEWUvmhCcfAhH2UXBti3bNoOx8sCkM1ZwhOcA1xrgh3rGy4Z9ASFsbU2I9gda8kHv76bm3HvwLMfqAsbXfxrHCILwTqg0br83NTMqVMEVCk/7+Dc1nzS6OCqfREl+9Ce/n4f2LzNqDxEz4NlmYP8yIwpLthnYv8yIgo12EJBMJiPpPUXHCNNbwhncv8wJiPDpnWacmyFYeWCsGSs4wnuQM87g/mVOOOxLCIFrSznbn2jJB72/dx3k3nN0GqsLGF//KScjCMI9QVPOju86YIRXcHh4eujCOGHFQHhaeJ4WWBVkRGHJ0wJ3HTCiYEMEAESoUeZOOU9ZUfrL0gJ3HXDyIbxgp0naZghWHphqxgqOcB30JC1w1wEnG/YFhLC15WjtD7Tkg97fi0Rz7xmzAqsLGF//ORojCMI7QXO0Hi4SZVSIgivk1nkbIwbC+XaStzGicOVt3otEGVmwcQNAkoiR0M7OyCkrSm+JW+giUU4+hGvsNHHbDMHKA1PNWMERvoOcuIUuEuVkw76AELa2xK39gZZ80OafP2wylvXrahOy/xDK0Lo9ZeZ8xveUDt1lr3Wxi9vTKbM09p0yowq860R4Tpl9tfzM9kqbpbGfHq2bf8/Xp8eObCPxNy8tnDWnzF7YrGz7U8tPbOPw75d/u/zFegce+qTax0aU+DhdfpHav8DXirtP1qSEabKLY2tUERVKRIB45LlpyfFRZn7AmRackPl2A8Ptz7J94ZTwG2QJd3NFzkNsVBkxu+oBEprkT46E022dkmUc7hibthPTtJ2Ypu3ENL0ZVaTDE9PIoMDwhz/GlmRKjdy28026uMAAiDzHpq9HpunAyDSy1MAo2EUabWHunAYwHtIxgCHoFufY9PXINN0yMo1MoZAUYDuymr27FWxH4Md0gYFhB1yLAPxQaf1Qaf1Qaf1QCfRDZ3RIYOTCnWNLRSZHaeES9U26qBohKkT9Vmvbg2z+F/ecLjEm5JIsaFPrtfiekozAfJBNX89MC/udJ3QCYKTFHmTTdmaa2+c8pQnbJGmykFWm4kjn8zySIk2jKq3yKJtVwvxfnSe6/+0o2neQTSc4TChf760OThDEeh60HP/FtgB+HiqWn1/9dN3XSER89QO92rZ85N+3zKkGBVcDqlB9SRPBtYPnq/WJj+2Kgf2OT5pFjOu7lpvLlo+Plh+udkIfLf/26gPz3V9L45XqGrU5fdMJq94Qq6JdFMCMJCwNFVMo5y6UB6wo2OVcAIiMi3QUu5dOTllheuuopHEhRsL5uF7nJUT44C6KwW1JuJnlpQPD2VjBEd4DXMcgHusZLx32NYTQtXRVAI+05INebVkuqrqIYxGpWopIFubbdF3Z/TNZlupYyVk+f9Z/jug5JbfuESN0AePrP0dkBEH4J2iO+OHqZoPrbsn21gOeqw441aPg6oHnji6ME1YMhDNGpHLezTGcKCy5nC+RY+TARhAARZrleTxKnDCnrDC9JXKBqw5Y+RBustM0bjPuSwfmt7GCIzwHOY0LXHXAyoZ9BSFsbUlc+wMt+aD399yZ9p070wKtCxBf/0kcIwjCO0GTuG7PnXHCKzj8rVM0RgyEo+0kRWNEYUnR4lGqXCgPWFGwIQIAUqhsFOfOeHfKytJbkhY4eMbKh3CDnSZpm1lYOjDdjBUc4TvISVrg4BkrG/YNhLC1JWntD7Tkg97fg2fad/BsfYwWoQsYX/9JGiMIwjtBkzT+g2ecClFwhdw6cWPEQDjfThI3RhSmxM137owTBRs2ACAqF6PMd5EoJ0tviVvg4BkrH8I1dpq4bYZf6cA0M1ZwhO8gJ26Bg2esbNg3EMLWlri1P9CSD7rfaWbOPa4mFVMBukLku3TDnzMjCrzrM/6fc2ZUTUqYJjs5Z0YUUaFEBIiHPWfmwjkh4wD39yPSRe+uOqKEwM358CwwdKyMKCNmjztAQu25bvmULOCAZ8rsaDRtR6NpOxpNb2YS6fBoNDIoMNR1faaMKi4w2GHPlF3PRtOB</t>
  </si>
  <si>
    <t>2WhkqYERr4sM2cLcOQ1gPKRjAMPNbc6UXc9G0y2z0cgUCkkBtiOr2btbwXYEfkwXGBhzwGUGwA+V1g+V1g+V1g+VQD90RocEhq0uz5RRRdUIUSHqP7v2P28GXtxzusSYeEuyoG0ZF/Y9JRmB+0zZ9XC0sN95QicARlr0mTI7HM3tc57ShN3bLoZnrrYpnTMcJpSv/y4GIwhiqQ5aevfQxWBUiIIrBF6eujBOWDEQK5GIstTfxWBE6buLwYiCXUMFgCRiFPs2nzCS7EUPg5MP4Ri7qNC2ddpmdpYODENjBUd4DnBxAX6oZ7xs2PcPwtbWw2h/oCUf9P7uEC68x7xyrC5gfP2nbYwgCO8ETds63iHMCK/g8LdO0RgxEI62kxSNEYUpRfPuEGZEwYYIAEiauG8RPWUF6S1DC20P5uRD+MBOM7TNqCkdGB7GCo5wHOQMLbQ9mJMN+/pB2NoytPYHWvJB7+9B/MJ7hkujdQHi6z9DYwRBeCdohtb7QXxG9Si4em6dwzFiIFxxJzkcIwpLDpe7OB6wcmAjCIAiS2L3UYlTVpLeMrjQKXxOPoSP7DSD2wyi0oHJYqzgCLdBzuBCp/A52bDvH4StLYNrf6AlH/T+XrdZeA94FVhdwPj6z+AYQRDeCZrBsV23yagGBVcDPFM76uG+TZstN3u/7V+zSpQ/WeXOX139tfnbP7bbsZ3O4oRVoQjnj8gZvTuGGUlYUsbAPZyMKNioBQCxdxm6Z+uesqL0ljaGb+HkJES45k4Tx80gLB2YbMYKjvAd5MQxfAsnJx32JYTQtaWO7Y+05IO2s82OVylTjyPNEuf++3uqCN41X8S7mP2dNXPGttfIAu+6j/9+z5p9dfU+6KwZVZMSpskuzppRRVQoEQHiYc+abWeapcdHpj517zs7IfPthgS+w2dUCXfTRM7DZ1QZMZvhARKmaapHWeaS8ZQs43Dnzwo706ywM80KO9Os2MwSKsIzzcigwPiHP3+W5tp//owsLjAAIs+fFdczzYrATDOy1MAo2EUCbWHunAYwHtIxgCHoFufPiuuZZkXLTDMyhUJSgO3IavbuVrAdgR/TBQaGHXAVAvBDpfVDpfVDpfVDJdAPndEhgZELd/5MFLkeKWd99SZdVI0QFaL+s2v/82bgxT2nS4wJuSQL2tR4Lb6nJCMwnz8rrmeahf3OEzoBMNJiz58VdqaZ2+c8pQlrpa2Lmaqk0FFaJUUkM72IamUbMpnUs1kym6Wq/yZL4rkKxdTTweEdNzmhgL13WThBEEt50Hr8F7vbY2zN3GydWXdVut8qw6khBdcQvIh1YZywYiCWLhG1qnerDCcKU9/DWXY/YCXBrrhCOITIk1Hhq30ZYXprfAT2y7DyIXxlF1XbtnbbTKoqAsPHWMERvgNccIAf6hkvG/YVhLC1ND0AD7Tkg25SOZUVYrYoFlGczsz3VmoaaSnSaJHqzHyfWNTZ/NkAqZzTB5tULsUqAwbYfyrHCIJwT9BU7sNtr8Nu4fjk6j3b1rAZ2kuNj6OTBuZo/Pjp+dH9x288Pl+neeP7qVj9KovjO/Z/SezfQ8OpGQXXDDyF63oLzdHy/zT6/cTkwD85Wv6N+cW/r2fWJml4aC2n5hCeH5E1ejscjCQ9J42MJNiIBeBIs1yOROGEOWWF6S1pTGMlR4V0Eb7OS4jwy52mjZvZWEVg2BkrOMJ5kNPGwGM946XDvoYQurbEsf2RlnzQ+3uZgUkchUsZJnEUWGXAAPtPHBlBEA4Kmjh2e5sBJ7yCw8NzQxfGCSsGwtciEjX/8h4jCkum5r/NgBMFGyMAIErloyRzspyysvSWqQUuNGDlQ7jBTvO0zXisIjDvjBUc4TvIeVrgQgNWNuwbCGFry9LaH2jJB72/N4X6TvGaLE1ilQED7D9LYwRBuCdolsZ/VSinQhRcIbfO3BgxEN63k8yNEYUpc/NdFcqJgo0bABAh7L3nhYvllJWlt8wtcFkoKx/CNXaauW3mYxWBgWes4AjfQc7cApeFsrJh30AIW1vm1v5ASz7ofgeeJb5dcyqAVwi9izf8KTSiwLtO4/85hUbVpIRpspNTaEQRFUpEgHivnkLbOWlm6r78+Kg4Pkpi8z/ni3ZCRgHu/Efkit52LFFC4LZ9eAoYOnBGlBGz+x0iYaJSzwLHKVnGAQ+c2YFnhR14VtiBZ8Vm0FARHnhGBgWGuq4PnFHFBcY67IGz64FnRWDgGVlqYMDrIkO2MHdOAxgP6RjAaHObA2fXA8+KloFnZAqFpADbkdXs3a1gOwI/pgsMDDvgMgPgh0rrh0rrh0rrh0qgHzqjQwIjV5cHzqiiaoSoEPWfXfufNwMv7jldYkzIJVnQtowL+56SjMB94Ox64FnY7zyhEwAjLfrAmR145vY5T2nC7m8bI/EeOMtwnFDA/tsYjCCItTpo6d1DG4NRIQquEHh56sI4YcVALEUiSlN/G4MRpe82BiMKdhEVAJLk6UgLJ8spK8tetDE4+RCusYsibVuqbUZkFYGZZ6zgCN8Bri/AD/WMlw37BkLY2toY7Q+05IPe423CnuMaJnPLscqAAfafuTGCINwTNHPreJswI7yCw986S2PEQHjaTrI0RhSmLM27TZgRBRsjACCp1qNYOQPeKStLb1laaJswJx/CDXaapW3GZBWBuWes4AjfQc7SQtuEOdmwbyCErS1La3+gJR/0Ht8CkHgPc2msMmCA/WdpjCAI9wTN0vq8BYBRMwquGXgKh7sF4EuT4K62AL1y65WdOGJP+D9fL2Ha3662EzU7gd6/+qBJiXd/Yq3y8kmU5EdfM6r9T1nLTQGM2kVEB0Rm6d2awkjCklj6bwpgJMFGNQiH0OkoyzMXzCkrTG+JZfimAE5ChO/uNLXczO8qAgPZWMERzoOcWoZvCuCkw76GELq25LL9kZZ80Ht8W2jiPYNWYJUBA+w/uWQEQTgoaHI5xG2hjBpScA3Bk0wXxgkrBsIhI7I5/zohI0rP6RwjCTaOADiyIhGeexdPWVl6y+ZCl4Vy8iFcZae53GagVhGYkcYKjnAd5FwudFkoJxv2DYSwtWVy7Q+05IO2E9LWHd1n4Vzte/Ppu2+9/V2HJgipmrtNm8Xhm+uTXUzf2TS/rJj0a3M8zSnsa2Rhd20soFhgivVLk17ZeyV/7BL0vhH066dkaW/4Ob+4t3NzzcGULE6OzUfu9mt0CImHgG/vtZI/spI/8kn+iC65wksO39ZrBH9sBX/sE/wxXXC4mdM9aXOIwAKUPoCSDHBjL3gLAM5enlipn/ikfkKXGu62kVvAjdBPrdBPfUI/pQndGMuzPmOPZ3u3gQuKn3p1DpaWFH3c4r5GFhf+YkLjz//eNETsyeSPmiHgTU/kV/ZY8tWP1+X7b5ui3u7W/oH9xuYE9YumB2IjlwvQxK3Exi0iZd9xy5OK0+XvI2R5Tr3RhVZ4oVEe6LFP5sd0meHvw60DlSe9J8vOHqM8x5PoAsM9Oyk8ueV9SpP35WUM+zb2NEK6+XRhmAiVBjGkV+0wYYnhyXvx22tkgXed9y3v7vhvtsVuO/jrVntzhGgde46u/spewdEUUO83S85fHO/82fKryASwT8xP/NCuS9tvaWLc5h6QZsn6i+ayj982t/8390asdrma3zVnk1bXdjQbBl45y2T/uFkGb/7k86u/HtkhAl8dpatG//pKEBNXr96zAXX911y9fySP42T1rdp+5yfry0k+cj2I++QHsRuFOrn6Y/mPzSaT5yt1vVgr+qdX/9kwvGd3SljQj1/R3Frd9rF8udLayAX6B2RQhQKFQP7t6pk10lrTa3bWNAbzyXaHR9DOVt/xI4ftNjmVHSbR7Ev55OhrzX/o1/bmGfOrL23C9bPlv4ijpvXyXpOGpSJK9e+u51SAh2u7dHxC1vHuyiHbzSZkCXd7CYw3m5Bl3M1XbnmzSZ6pYlS4RDwlizjYxSZZLOz6kbQfyn5kqwsFDEnoYhM6KDANwF9sUijpu9eELi0wD8Dda2LE2dxrslazS+o36FIDk4HblXHr/oqR8s5pAOMhHQMYSgnV3Pp+ASv7qw/Ce68JnUIhKcB2ZDV7dyvYzfKOKjAw6IBbVQA3VFo3VFo3VFo3VALd0BkdEhi3cPeaJCJLR9q5E/BNuqgaISpE/WfX/ufNwIt7TpcYE3BJFrRuBbb5npKMwHuvybXf2TwA770mdAJgoEWuGljb2Qp1c9WAImyT6AoZL4pCRDqWs0iqrIqquJ5Hok7jQtYzkS/WRuVdT/hO5d95RVxT8K4qCBwmlM+18hDAwqw+uEBeYwVBbPe41arEqwWhqQBdqPdZURUcFV4OuzBOWDEQ+1QQFadvixsrCtMWN+EiecBKshtLAyTQAjYpikTl7hXIU1aY3va46VGuXHiv8+IhfF4Xxde2BFvPV1n/wgX+kBcc4TrAdcONAt9T3p/xomFfQAhaeIcb5HmWfNBNQlYsEp0shIwKnctIzqs0quN4Hs2UnE3nuV7Ei/W73GtC5sw7TUImsbqA8fWfkDGCIJwTNCH75XpB/fnNVfcmFWvuKmmuXl+1fl40a/vNcU77FXXH6aTvs6pBwdVw62SNEQPhcRHJmrc9wEjClKs5a7cHrCTYUAHg0DJVI+3rNjCy9JaqpdlIShff67x8CHfYaa4mN7HdPyKHFxzhOci5mvehnvGyYd9ACFtbstb+QEs+6NXBUlFX5rvjSCTZPJJJoqMintfRdJ4WMzXVIs7XD73XZM1ZLZtkTWF1AePrP1ljBEF4J2iy9gu73cUeGrW7RFaXa/z06oerjMyeG10la79Y/tzZwLjPiqvguLdOyhgxEK4VkZTZHSi/Hh25b4j5BisQT27m4njAyoGNCwCK4DYQRpTeErMkG7n7PK/z8iFcX6eJmdrEcf+MFl5whPcgJ2beh3rGy4Z9ASFsbYlZ+wMt+aD3c1zD6lO6dGESswyrCxhf/4kZIwjCO0ETM/ZpDawKUXCF3Dp1Y8RAOF9E6uZvfjKisCRt3mkNrCjYsAEASRKpR4V2wpyywvSWufnHNfDyIXxjp5lbtgn0/nENvOAI50HO3PzjGnjZsK8ghK0tc2t/oCUf9OqGj+O+L/jw9jZDFx7rQu1y9nXI2inua2Rxd82si0PWzVGezg9Z5/aQNZGy70PW+vhhlsT2wx7zSDKfc6TiSDwOfLfs+sy1Pn5kGR5Zhkc+hkd0BoVngO+XXR3B1sePLcJji/DYh/CYjgB/eeguer1PXx+XFqW0KKUPpSSjsB/Q1sdPrPxPrPxPfPI/ocsPDxLInder89r6+KkV/6kV/6lP/Kc08V+q5mzw6O30tv9+kdB1rLrIvQ8BJiwx7gUuuCLKuxsUbnl4++cmqtnVhOfLf9/GslUUvPqBjXnPm1vXmxtF16elf7H82+V/dTHdJzPtRoZOzkG7RPwDsogKJSJAPP/p4NHR8l+XL5a//fpRYr4+Ovofz96IXnoSL46+8Wffnc3f+U71n47iWKujb/yPRxfzt773veZgvc1Q3n/5wb34+tH5vTeOijhxbog8IWtkt45hPG9MlBB4bgu+rhE6b0yUcTca3/K8cSpy4e6ln5JFHPC8cbE52afDB4ypZMBIhT9gnJjXzX/CmCouMFZhTxjr6xPG3vvO36BLDYxYt6thtus7+s5pAOMhHQMYpAi1y/akn77z6oMInDCmUigkBdiOrGbvbgW7Wa5QBQaGGfBSGcDxlEDHc0anAoYm5JFiKQNHiqmiMhwp1tdHir1v6jldYkxMJZnMdu0x7GxKMgL3kWJ959UHEDhSTCUAhlZkYWttZyvUzUqWIqyVtkrkVKqpiEQ1VZEskjjS2UxHIpvJWbKodS0WKx5vkfudqtvee+iisgKHCeVzlcMBLExJ7AJ5jRUE0V+C1sq/2BRVdktkUwavSuI0j+P/JHL1n5QL8z4rpoJjwmtTF8YJKwaiKQYvKO05IxfKN1hRWDrqvm2QjBzYXh6AIlidMqL01kyXqRwVzgTsdV5AhLfros7aVlvFpvnqn5fBC45wHOASAf5Uz3jhsK8gBC74RM8gT7Tkg27a6ean1zWHzbF67Cx4mupJ+OL1Ype2p86C9l1dTpUXuE4DzZb+0WRLze2cq9tFtyPKdpvrv1x+uPybdW/h+rtfuUR2fU3rUWqv5fzc/KDn3hYquYSRd9F/oIqoUCICxDMJLOau0uumRHp8lI2OXv7x3090Xhxn8e+t/prR7ydpHB9r8/t09ftU5fJY3BXpsf691V9u/ixJ9bEw37Nuevx+msbp3USaP1Drv0Un+tjpdk/IagSuJsFzTG/TgiohcGUIkTr6mxZUGTELLBAJE608l1yfkmUcrmuR2Ck7SbpeQUziYOuCjAcMhfjWhUy1t3NBlhYYC5GdiyTedi5WanZJ/QZdamBE7CKjtjB3TgMYD+kYwPB2i86Fkf3VB+HvXJApFJICbEdWs3e3gt3oXJAFBsYacFkCcD6ldT4l0Pmc0dGAQQrXvsjseGHn6sCbdEm7715snc6bgbf1nC4xJriSzGZT6rU4nJKMwNy92DqbzQPwdy/IBMDoiu1eGNvZCnWje0EStklqQXvVLY+3kA6sLFCLaV/3IglPi7mBCeXrvXvBCYJYz4PW4/wnBzkVouAKgdfALowTVgzEciWiBvWeHOREYelz+E8OcqJg11kBIEme5yPlXL04ZWXprdcRODjIyodwjV0UZtvyLFkvjK9+4QJ/yAuO8B3gmgL8UM942bBvIIStpdMBeKAlH/Rq24lKdTrP42he1VUkZ4mO9FwvolltfmKq6rRK62f9J26+PkiK1QWMr//EjREE4Z2gidvPmqbIi+Zi1PW19Uev9Ema1CyLU2fCfZ8VV8Fx4WkZaLib7S7dVMsXzW/W18ba33519Z+v/rq5vey9HbVdH5e4PiFx9DXzldUFtO+tTnz+ezNq8Cvzf7/djH9bn/yMjpYfLn+e/N6R+Us+t+dnmoMznxytT5K+aLpcNr/+xH7r9V+bOF3NCetjQoSOTtJORhSmtNO57vSAlQQb8wAcQik1Spz++5SVpbesM8lkMVrfkHkz7+QkRHj2TvPOdJOmBMamsYIjnAc570zMUxXO+HXGC4d9CSFwbYln+xMt+aBt5hlKKLvdUuN0qyaVFAG6QvjXZWHCYlJE2JYaorzABiI0ExxiSw2RXMLIO9lSQxRRoUQEiEfeUiN29tMIJY/T69004ji9m4hMHOfbHTVCpMfZdi+NSMWxut5JI5PCfutmH02a5sdOuz4hqw7Y2kTkkt5tNEQJgR1KeIoY2kZDlBHT6QNIKGLhzItOyQIOuIfGDhlO1KaNLcJ7aKh4wNjX8R4aqrTA4IfdQyOu99B4Jwi9QZcaGAK7SJktzJ3TAMZDOgYwnt1mD4248+qDCOyhoVIoJAXYjqxm724F2xH4MV1gYKAB1x0A51Na51MCnc8ZHQ0YoTrcQ0OVlGEPjbjeQ+N9W8/pEmMiK8lstrVc2OGUZATuPTTizqsPILCHhkoAjK7oPTTi7laoHWGf0oTd21aM8O6hkThMKF//rRhGkN3MI/R8gAX4rVsxjLgKjosoaSGtGPMNViUvVhP9BmvFxN21YhgfE2I1FVE++1sxjCg9t2IYSbCrwACOIondjfRTVpI9acRwEiL8ehdV5ba23MxuSwLD+FjBEa4DXBChGjGccNhXEALX1ohpf6IlH/T+bt0W3h1ACqsLGF//aScjCMI9QdPOHrZuMypEwRUCT0xdGCesGAjv20nixojClLh5t24zomDDBgBE2j00LpJTVpLeMrfQxm1OPoRj7DRv24x2SwKz+ljBEZ6DnLeFNm5zsmHfPwhbW9rW/kBLPujNFTVr8J6vqJEuWpOYZSHaONml7Wk/TeHdT0OUF9hMhOZV/7z8lV23uvqrbV7VMuVls7XGLkn9plnfsmtLdm3s06OrH5kfND+83lrzmf1LTGL2hfmWZtFs9W3HL3/lq+WvN0tTzbqZ/WuMBJ83v139rcuPl18dxcep3SBh/l7flXb3ySqVMJV2slGHKKJCiQgQj7xRx9SJysV2QmYDNjgRGaV3Jw1RQmCfEp4ohnbSEGXE9PsAEso4LkbOaHpKFnHAvTS53UvTTHcqzEcabxrbWXhXDRUUGAHxu2pSkYlRUbjE/SZdXGAMxG6rya631XgH071BlxoYCbtIpC3MndMAxkM6BjD63GZbTXbn1QcR2FZDpVBICrAdWc3e3Qq2I/BjusDAqAOuRgB+qLR+qLR+qLR+qAT6oTM6JDBw4TbYCJHnI/fugzfpojLssMmud9h4X9xzusSYiEuyoG21F/Y9JRmBe4dNdufVBxDYYUMlAEZa9A6b7O5WqB1hn9KEtdJO00KkaVJHs0JMIylTGek0jqN5UhdFnSdZPl8HNW8tHVhcoNbT3h02OQ4Tytd/q4MRBLGiBy3J/9eXqmpTjv9vpur+TVMvv7BjzX55IsQf2agRS7vrxP75J8tfNV9tprdGqz+0fRCXNu6zakPBtQEvVV0YJ6wYu7lBAANRlfr7HIwoTH2OVLlQHrCiYNdZASBJHBsH6GQ5ZWXprdMh41EhXXyv8/Ih/GIXBdq2TMs3C+N5oFTjBEf4DnBtAX6oZ7xs2DcQwhZ8oGeQB1ryQa82qMhZnk/nIqoTrSOZqTSqxLyOZFHNkjqrZlpNn/Wftfk2qIQGQDl1AePrP2tjBEF4J2jWdnODynrXiXufympH8EfNIvyXJmsz/zIJ3PK36+96Yb6w3lvs0s59Vu0ouHZuncUxYiA8cSdZHCMKUxbn3a3CiIKNIQCQLE5GMnehnLKi9JbEZcVI+ZI4Tj6Em+w0idObmB8YYssKjnAd5CTO+1DPeNmwLyCErS2Ja3+gJR90k8TVxUxVUugorZLCfK9eRLWq0khnUs9myWyWqvUKdK9JnHDpwiRxBVYXML7+kzhGEIR3giZxv1hvPNncKvPp6qjUJ8tP18nc0fLfmq0qf9lsmXnRHMb6qNm+sv723y6/sheZ/MPyw6jZgfyz5T8t/958/svyX10aus+qIQXX0K0TOUYMhDfuJJFjRGFJ5BJ3LfiAlQQbRgAcqYyV9m46YWTpLZFLspHw7Tvm5EO4yk4Tuc0kxSQwG5MVHOE6yImc96Ge8bJh30AIW1si1/5ASz7o1S0FWRpXsVhE+aKye5STJKoWi3kk1SxdVPN4qhb1s/4TOenSxb0sDQ00ceoCxtd7IscJgvBO0ETuQ8fW4xc2P3tpt/HRN+fvVN+pjr5TvVP9+Z+/tc7wTNb2olmw+3Sd8ZUPEiXzR+vfpXF89QPzYU/zf+FS1X1WVSm4quAZnVNbzfrk9Ubs5xttPVxp6/goj/Nk+a9Hy78z2bJNgz9eK/mT7U0GVz/+vZduNVj+qpkb/+NmA/j2ZgT7+99b3d34G/OnRo6vr3Ss3BtkT1jViwgXiEzTtx2Zk4Qp0Yydy2wPWFGwcQ4AItMiHknt3N9zygrTX6opY+29nICVEOHOu0w203idm6SBAZKs4AjvQU82/Y/1jJcO+xpC6FrSTcAjLfmgm2Nuf/FSguJNKL83n7771tvfdWiCkE96lgTT0BiWIk53MX3n2/yyYpLEzRE3p7CvkYXdtbGAYoGJ4C/shdAm0fjc5iYuYU2+lnz9lCzxDW/nF/l2zm51kCVNjx9mwn1p00M6hMRDwLcDW8kfWckf+SR/RJdc4SWHbwM2gj+2gj/2Cf6YLjjc1OnedHXowACUPoCSDHBj73gLAM5enlipn/ikfkKXGu66kVvGjdBPrdBPfUI/pQndGMuzPuOPbz94mgbFF16dg6UlRSDfAWuquPAXExqD/vemvP5yXe7uTipoOkbuM9f2j7fRy3yDC9TEr9TGLyJt3/FL2OOX2he/qBB9xC9h4pdH8kd0yRVecpRPemwFf+wT/DFdcPhrcuv4JexROTdASQZgj1/CxC+P1E/oUsNdPyl+CRO/PEI/pQn9UgTo8aIQGxt8YUwEKZRX9TBhiTFs5BkW/hpZ3l3HfsuLQv6biVYfrK63vfpgczbp5fjUTNb5wMSvF3Yd2Z5N+qK5KPen698emS/asPZ8FQk3l3vYleCfrsJbc6fIb5sDTc3NFKsjT82q8U82V4M094W8stF2fWOIK36u9t82Al799ejICnuUHatm7X51rUgSXMgnan43GjHeJ0IVUaFEBIhHvE9kx4S+fqSOj5yrsidk1N1VOb7rRagSAk9po9bpfdeLUGXcDfe3vF4kUXE88mzZpYo43PUiqR3Vkyr7kdmPfH2sPw0P7SGDAuMm/noRrYR3aA9ZWmDgRN4ukl4P7UkDQ3vIUgPD5+2Kom3vws7Q8GM8pGMAYxGhLNqc8k+vh/akLUN7yBQKSQG2I6vZu1vBblZHVIGBQQfcBgK4odK6odK6odK6oRLohs7okMC4hbtdJEkTPVLO0PAmXVSNEBWi/rNr//Nm4MU9p0uMCbgkC9o22cK+pyQjMN8ukl7P7wn7nSd0AmCgRZba1na2Qt2ssinCNomukPGiKESkYzmLpMqqqIrreSTqNC5kPRP5Ym1U3gL8O1WXO+OaItxbhkscJpTPVaoHsDDlugvkNVaQ3SQk9HxuUcdf/ZUpsr+wt3tuZte4UO+zoio4KrwqdWGcsGIg9oAgKk7vWQVOFKYtZE6394CVZDeWBkjABWyhYs/dvqesLL1tINOjXLnwXufFQ7i8LmqvbQW2GYSSBkbbsIIjPAe4bNh9poWnuj/jRcO+fxC0tq1j7c+z5INu8rFikehkIWRU6FxGcl6lUR3H82im5Gw6z/UiXqzf5V7zMefipcnHFFYXML7+8zFGEIRzguZjv7S741dZ2I92UrMmE2vuems24j9fdTVWvZImSTNfUXeUSw33WdWg4Gq4da7GiIHwuIhczdsdYCRhStWc6c0DVhJsqIBwZCoe5b5mAyNLb6lamo2kdPG9zsuHcIed5mqb6SdpYJwNKzjCc5BzNe9DPeNlw76BELa2ZK39gZZ80Kv7QURdme+OI5Fk80gmiY6KeF5H03lazNRUizhfP/RekzVnsWyStQyrCxhf/8kaIwjCO0GTtV/Yk4728g+7JWW9d+Xqh6uMzJ5kXCVrv1j+3LmH4T4rroLj3jopY8RAuFZEUmb3B/16dOTe6fMNViCm3CxWLpQHrCjY0AABUbka5cIJc8oK01t2lmSj2FkTvM7Lh/B/nWZn2SaYB6alsIIjXAg5O/M+1DNeNuwrCGFry87aH2jJB73KzurpvFqIIlJSTiNpUreoymJlfqrWs6SuZkINsZQmXbow2Vn4OmKXLkB8/WdnjCAI7wTNzrqYEb38t+U/LT9c/rP5/Ff7Pf+H+c0vj944CwyO5tSSgmvp1kkdIwbCIyOSOn9XlBGFJZ3zX8XLiYKNJQCQNFWjxJ2anrKy9JbNBUZHs/Ih/GWn2dzm/v00MFCBFRzhO8jZXGB0NCsb9g2EsLVlc+0PtOSD3oyOXj9U+68eT4T5Wp/hm4fzXdqeToRlI+cq0mtkeXddyC1PhK1O/Px6fX4nODx6PTN6lWG9emhs+2c3+5+fLT9ZfTkNnNEi6kLCdNHJGS2iiAolIkC8Hs5oEVF3fTzjGS2ihMC97vCUL3RGiygjZss4RMLQGS2iiAOe0bKDn8Vm4GqqwyezqHjA+IU/maVk5j+ZRZUWGMCwJ7P09cks733/b9ClBoaxLrJgC3PnNIDxkI4BjEC3OZml77z6IAIns6gUCkkBtiOr2btbwXYEfkwXGBhqwKUEwPmU1vmUQOdzRkcDxijceaxcxx7H8yZdUobjWPr6OJb3bT2nS4yJrSSz2dZnYYdTkhG4j2PpO68+gMBxLCoBMLqij2Ppu1uhdoR9ShO2qbZSJWtZz6NqqkQkq7SIqlkqoiJP63mu6mkq6xWPt/oNLAdQK2DvcawChwnl679nwQiCWIODFtH/zRRX9ipsO2RmXUL/2hZdV+9tdvluGhPN9dnNtdybRoVnEM3m6m7vIBpT7cV28fzoa6+dPnS+o/dZ1ajgaoQXty6ME1YMxMIkonD1NzUYUViaGol7lMsDVhLsiiqAI81j4zidKx6nrCy99TSS1MP3Oi8fwp92Uc1ta7rNFJM0MJaGFRzhOsCFCPihnvGyYd9ACFtbT6P9gZZ80Pu7QyX1dTxEjNUFjK/3bI8TBOGdoNneQDtUOLWk4Fq6bTLHiYHwyF0kc5woLMmcf4cKJwo2lgBAgjtUOFl6y+YCO1RY+RD+sstsTmyGhIjA3BdWcITvIGdzgR0qrGzYNxDC1pLNAR5oyQe9mvpyvM1jvOlax5fu+zK18MwAvcvp25vS9aX7TnFfI4u7a2ZdXLr/otl8wnTpvrBDY6i0PV+6L5qhMfZ6UqHNh/SNjyHjSDwOvMGwun5fNONjlP3Q5sPD8IjOoPAM8BZDcxG/aAbJKPuhzYcH4TEdAf4S0V31qp8pmpEy9qZJg1L6UEoyCvfl/KIZLqPshzYfHvmf0OWHBwtks6q5pl80Y2aU/dDmwyP+U5r4L5W+Noj0tj3T25oSaYgiib0PASYsMf4FYiBRXuC+FmgA/EcT72wA+8xGPttOuvphs7CwGwpf3pp5/d03rve39/Ovvumjo9Te7v+5+aLnnkCqBnbjCOOmTKqICiUiQLyuNmU6X54TMidwmwxiLcS3I5MqIXC3C3yJI7AjkyojZtcIQMJUpJn7SohTsojD7cgUdhaUkOtNUSamhXZkkvGAIQu/I1Nm0rsjkywtMGYhd2SKdLsjc6Vml9Rv0KUGRq7b1TLb9Z70zmkA4yEdAxh+CDXMZpOUkf3VB+HfkUmmUEgKsB1Zzd7dCnazbKEKDAw14KUzgPMprfMpgc7njI4GjFG4HZlZlo7co8vfpEva/Y7MrdN5M/C2ntMlxsRWktls1yPDDqckIzDvyNw6m80D8O/IJBMAoyuyyLW2sxXqZlVLEbbJ3au8momijvJZZleA0zyq4ySJkuk8r6d5ksVVveLxFrzfqbrt0Tf/dmGaslfgMKF8rtI4gIUpj10gr7GCIHpO0Lr5w5cr4OdNQfzCFrur3ZhH6yL4l/N35t97692j+4+OVLo+pbititffFB/Lo2afpd2TeeQpgO6z6kfB9YMoWf/51WWCj65+3GxXbVYbzB//sJn7975dW2/2ozYT+q41+bwZMrAd/rfaC9H89vpvNb89tmMJ7PL8+18/Or/3xlERJ/HR18zXVjfhvrdav//3ZkzgV+b/ftv86PU6fnS0/HD58+T3jHz2R8x32v/oJ0frvsCLZhXE7r34xH7r9V+b/K55uo1UdpBh87dd/eTo3qMnJw/uNV9p/nvbwYRHy39a/t1Lu3ONk1Wrp96suawmHhoJrn5qUY6k0vFxHI+OkvX3rP5L669Ys0nV7ydaHKfxUbNZ5Fcjl9WcsFoNoqGJWADwb4ZgRGHaDCFdJA9YSbCdWABHIeKRcnqlU1aU3rZC+I4uvc6Lh4hKXdTE28pYbBrngUlyrOAIxwEu524s08liJJw50xkvHPYFhMC1bYVof6IlH/RqqtRCx9liFkeLNF5EcpoVkZ4VRTSdz2WciUUVy7WP7TVpdnotkzRLrC5gfP0nzYwgCPcETZq72Nj6xlkU2sPKqBAFVwg8S3ZhnLBiILxvJ2kbIwpT2ubdw8qIgg0bABAh9aiQTpZTVpbeErfQHlZOPoRr7DRz20wrEoHpU6zgCN9BztxCe1g52bBvIIStLXFrf6AlH7TN3EIJWbfbdnypmArRyRt0g2/bIcoLbH5CM6kht+0QNSBhGuhk2w5RRIUSESBeV9t2nMZ4QuYE9lIR6Z932w5RQmBLFJ7VhbbtEGXEtBYBEipVjAqXhKdkCQfctZPZXTub0fJChXftUPGAEavjXTtUaYEhC7trR13v2vHORXqDLjUwcHWR51qYO6cBjId0DGD0uc2uHXXn1QcR2LVDpVBICrAdWc3e3Qq2I/BjusDASAMuFgDOp7TOpwQ6nzM6GjBEdbhrhyopw64ddb1rx/u2ntMlxoRWktlsK7CwwynJCNy7dtSdVx9AYNcOlQAYXdG7dtTdrVA7wj6lCbu3DQj/YZUMhwnl678BwQiCWGWDls09NCAYFaLgCoGXqC6ME1YMxCIiogL1NyAYUfpuQDCiYJc/ASBajArtRDllRdmL/gMnH8IzdlGXbauzzYg3EZjZxwqOcB3gkgL8UM942bAvIIStrf/Q/kBLPuj93W3t71bkWF3A+PrP2xhBEN4Jmrf1v9uaUT8Krh94GkfZbW2+wWrxRfMN293WDNurY8L2atdzOWF9Lojg0kleyojClJdKF8kDVhJsVARwpKnJS51rbKesKL2lpYH9zJx4CL/faVa6GVUnArMHWcERjoOclQb3M3PCYV9ACFxbWtr+REs+6H63xQgXnUk0g/MkZLJLN/i2GKK8wO4iNE8cclsMUQMSpoFOtsUQRVQoEQHidbUtRrk4T8icwGYlIvnzboshSgjsOcJzutC2GKKMmN4dQEKV6ZHzOZ+SJRxwW4wdLyg3E75EeLwgGQ8YsTreFkOVFhiysNtirscLisB4QbLUwMDVRaJrYe6cBjAe0jGA0ec222KuxwuKlvGCZAqFpADbkdXs3a1gOwI/pgsMjDTgagHgfErrfEqg8zmjowFDVIfbYqiSMmyLuR4v6H9bz+kSY0IryWy2FVjY4ZRkBO5tMdfjBcPO5gmdABhd0dti7HhBt6N5ShN2b9srwrstpsBhQvn6b68wgiCW2aBlc//tFUb9KLh+EBXr37b0U6yedvopzYDFl9YW9q6XwvgQEEuiiHLa30thROm5l8JIgl3KBXCkae4mOWUl2YdWCicewsd3UWFu68zNhDwRGHnICo7wG+DiCNVK4YTDvn8QuLZWSvsTLfmg93dntneSjgxODHLpAsbXewrKCYJwT9AUlH9nNqdCFFwh8JzThXHCioHwvl1kbZwoTFmbb2c2Jwo2bABAtBqluRPllBWlt7wtsDOblQ/hGbtM3ORmGJ4MTDdkBUe4DnLiFtiZzcqGfQEhbC15G+CBlnzQ/W6BkS46k4kFx1LJdJdu6C0wVHmBnURoIjXgFhiqBiRMA11sgaGKqFAiAsTraguMsyl2QuYENiYR2Z9vCwxVQmB/EZ7UBbbAUGXE9OkAEhbCcyDllCzhcFtgpB0zKsW6C22CVGgLDBkPGLG63QJDlhYYspBbYGSy3QKzUrNL6jfoUgMDVxd5roW5cxrAeEjHAEafW2yBMbK/+iD8W2DIFApJAbYjq9m7W8F2BH5MFxgYacDFAsD5lNb5lEDnc0ZHA4ao7rbAkCXtfgvM1um8GXhbz+kSY0IryWy2FVjY4ZRkBOYtMFtns3kA/i0wZAJgdMVugTG2sxVqR9inNGH3tv8gfVtgZIrDhPL1339gBEGsskHL5h76D4wKUXCFwEtUF8YJKwZiERFRgfr7D4woffcfGFGwy58AkEQUIy1cKKesKHvRf+DkQ3jGLuqybXWWbparAxN3WcERrgNcUoAf6hkvG/YFhLC19R/aH2jJB72/W5eld9+IwOoCxtd/3sYIgvBO0Lyt963LnPpRcP3A0zjQ1uUbgzfbNi/ncZLhNy9T5my6HsMJ62NAxJJO0lBGFKY0VLpIHrCSYIMggEPk6Ug7A/opK0pvWah/9zIrHsLNd5qEbsYgysBgS1ZwhOMgJ6Gh3cuscNgXEALXloW2P9GSD9r884erVFQ+C+eZ35tP333r7e86NEFIM52+1SSYMoSZ+M8rgmXF5I6bHTFOYV8jC7trYwHFAvPDn5ss48tmuva/v7x3Yr0r5uoHR01a9GUzv9uuAH5m0pwXy09dWCb3k18/JbPdcIt+uNt5xXWfXdk+e24/7KUTKjYfme2959J86MznH6l0Ek8Hb25YpEcW6ZFFemSRHlmkRxbpkUV65EN6REdSeCR4t8MQPbZEjy3RY0v02BI9tkSPLdFjH9FjOhH8/aK78HWnVdlOa24/7LUDhqy0ZKUlK31kJZnsRlOthQxnek8szhOL88TiPLE4TyzOE4vzxIfzhI4DjzDIJpuheWppnlqap5bmqaV5ammeWpqnPpqnNJrG7lY0NhT9h1Ac7W5fqb+/poIMwvtEYKKSYujIM6j6NbK0u6HmlntKd4Nos3Hxk1V9v/z18qudXYmr9RRb1dtlgKPlz0xx/8Uqwtq/aPnr4yPbb7OrDVc/ufqp/UEX/n0y/m4s4txQShRRoUQEiNfVhlJhvvJzu85j/yJ7mn21XmS+aNdmbqZQqz+0azef2O9uDsE3SzqfmGf+46P7337rT6PTR9fWcO+d73zv3Xfe/u4fN18yX3ntrbf/+M+qd2bHqw3Kv1l+YTuuR81S1Xvmb2uWnLI4vvpBksbxkfnyF66T9K7Hc0J+PMDdSYjlH+8+WKKEwE1G8FWd0D5YooyYzToQCWMhfXfBUUUccCNsttmGFp6OSCYDRlf8Hlgt8lHsjK/fpEsLDLDYPbDX0xFlYDoiWWpgoL1dQbdd4LLDyvwYD+kYwIBJqNy229KupyPKlumIZAqFpADbkdXs3a1gN8sxqsDAKANeKwT4nRLod87oVMDIhNv+miSFGuVOp/MmXVSG/a/XkxH9b+o5XWJMSCWZzHbtNexsSjIC9/7X68mIYUfzhE4AjKzI0tzazlaom8U3RVgrrZ4mQgiZRKawzyM5r0VUzeezaCaymVzIapou1k/EW5d/p+pyH4Wtd33VeYaDhNK5KvgAFKaKd4G8xgqCaK9BC/xfvFzTr2o6uyHgg3VvfqcCvC72Vrsr/sb+zvzUi//rr46+8c7b33t39ecn07f/9E/e/u5R+fa33z56rVosvj1fb7WwhdzVD5qaTq4qOpcW77NqUcG1CC/CXRgnrBiIlmMXxSojCctWBY+necBKgu2UQjgSU3MVysVyysrS216FTOlsVBQuwtd5CRH+tIs6blvNbYbvycA0RVZwhO8AlyCIx3rGS4d9CyF0bfsV2h9pyQfd360d/l2weYhN7lt3hSgtcNEHmnwN1l0h4ksYfifdFaKICiUiQLxXuyuEtkphvvKLJnP+0j7RF8vf2O21H9j7WMz//Wrd+lhvSXHtUzHf8Yn5v8/WP/tVs0/ly9UNLZu/t5npuO7cvLg2kSdv/8fqfz66/2f1/Oh8Pv2Td+fT/3h0/vafvHO0/KWIrTWp+OWOivmpL0zSby8wNv8Ne6+xbeZ81pjYB1fft5fHfGxbNOYPP7Ibg83f8Du2aWP+9Cs7d3L5qf2Tlyz0w+ZS5C+Pln9rgD92PekT8pMGLqF1kfsSJQQuh2FyWn+jhigjZlUJIqGOvReWECUcsE+jN+ulebhPQyUDxumO+zRUaYGhGtunya/7NN6hf2/QpQaG7C7yewtz5zSA8ZCOAQy9t+nT5HdefRCBPg2VQiEpwHZkNXt3K9jNPg1VYGCQARdJAL9TAv3OGZ0KGJi67NNQRWXo0+TXfRrvm3pOlxgTUUkms605w86mJCNw92nyO68+gECfhkoAjKzoPk1+dyvUzT4NRdhVhlPLqa7TaC7lNJKzXES6ShfRdKayRTzNpguxfmO9FX5giYNW5Xv7NOF5RI41DBhd/30aRhDEuiJ0qeBfbA243nf36St14vKz9SUk3s17n7o0cJ9VAwquAXgp7sI4YcVArJN2UWcykuyG/AAJph719VgYSbCruxCOQo9SX9nKiNJbiyVJtBhJ34lQTkKEK+yiBNsWYnqzHh+YncoKjnAd4OoB8VjPeOmwLyGErq3F0v5ISz7o5kjo8TZHsflXbwdahIvVpGJFiDVRu6y9tFw8ieNrZGmB6zfQPOqfTH708fJX5nN119vyN82VH8hGzPK3ts1yZNe8m4vW37fbY37VfNmkaUfiOD2yZxWa/8bnV//Z5GLNrRovzDfbv93eJ/eb7fJ9s7fm8+Y/Z+9ct3/vSoQv1ndofOLN4Ig6lTCddtLHIYqoUCICxOvqlEwSSRfpCZkUuMTURX5JlBC4XITJG/19DKKMmFUXgIQyzRPvgROiiCyNDMTFH1SxgaEN36VI0sR/ozpVWmB0w3YpiusuhXee3ht0qYFRDpUiQ03jIV1sYCC5TVeiuPOq4gNdCSqFQlKA7cZq9u5WsJtdCarAwJBBrit8lnJGFxkYQ5AtB3uNk3JJ+iZdUoaOQ3HdcfA6j3O6xJjY16U5lGSRuTsMxZ1XFR7oMFAJgFER3WEo7m6FutlhoAi7LlzXrtqGx94KV+nCuJepOIiRe3UOE5VWuHp2Nr5GlhYY0qGFK3av4CtjvpqNY39n/uAf7TSvZH0BZrNpbF3LNtu4vmz+98Ie4F/98VdXf9nsJvyp3cL2C5d+7pP1A8wduihCqSIqlIgA8TorQps9ha/awG5XaPvAP2wu9fzg6i+jpi/03tX70UsmcHy0+pGrv252FT4/StJj1ZzM2VyH6uwqfWW//llz6WdzXcPyE5fqT8iqB6Y4HVTFVAmBGU0nVTFVRkxmAJAwFWnmXo08JYvIUhUDttk8zFRib0ezF6MpYT/s7WjK3p2mMvthL1BT2n7YW9Sy5ha1ZL0xR8XBDYFkXQCDMaHUFnnhrbXJ4gIDMrLWVvG21lbeGahv0KUGBmZUre3dEajiO6cBjId0DGD8vEXtbWR/9UH4a28yhUJSgO3IavbuVrAbtTdZYGBgAtfeAFdVWldVWldVWldVWldVWldVWldVWldVWldVWldVWldVAl3VGV0PwPCHLOiL3FdsvkkXtfuKfuui3gy82+d0iTFxm2Rkm6Zqi3sqyQjMFf7WNW0egL/CJxMAgzG2wje2sxXqRoVPErappoRexKLWUZxKFclcZlG1EHVUyFkhRZ7FtahXPN7K/ztVt3sIvTcxqgQHCaVzrREEoDDrBC6Q11hBEBtnoEsI/605xPWBqSdtq9l+NCPOmjrwiz+y4UIcqzuJ86ndZ4VVcFh4se3COGHFQOz5gReuVz+6et+F8g1WFJ79gsoF8oAVZDeUBkCgZbCQuvBeR8jJ0tt+wXhUZC6813nxED6vi+psW6Ml651lKjBlmhUc4TjAhQX0mZ7xomHfPwhay05BwPMs+aCbdCyvC5PLiXmktC4iWWsd1fkiM7+Np1VVZVlazZ/1nY45F0BNOpZiNQGj6z8dYwRBuCZwOtZcqPVZs2dwvRnxY5uE2S2J9px9s9j/4ujqR+arXy0/Oj4yP/HPy79d/nL5D8t/XH7YJGzLfxXO9dj7rMpQcGXcOl1jxEB4XXi65p/2xYnCkq7FI6FcKA9YUbABAwCiE+P8YifLKStLbwmbUqPCWbe9zsuHcIudZmybIaUqMHWWFRzhO8gZm/ehnvGyYd9ACFtbytb+QEs+6NUKWjadyqouIiXiLJKyjqM6TmdRLqZVKmdTqbL6Wd8pmzO4m5RNYDUBo+s/ZWMEQfgmaMr2byYva240am5Jsnef/uSVjTL2qMYqL7s5LcPejfQ/ZPGd1Hl8/D6rKhRcFbdO2BgxEE4XnrAF1tcYUbgSNhfJA1YSbLQAcGRFPtLOPZCnrCj9pWuj3NkAep0XD+ERO83WNsM8VWA8Kys4wnHQszXPMz3jRcO+fhC0tmSt/XmWfNBNsjYTRTYVUkQynk8jKeJ5VGcqiaYLPddVEi/SXD7rO1mTLk2YZE1iNQGj6z9ZYwRBuCZosvZLk37ZqynD6dpRs43Wjqv/oLlG9aNmF3RzmSU5k2PUk4Lr6daZHCMGwiF3kskxorBkcmLk7NU8YCXBhhIAhxa5HGXaxXLKytJbKpdko8TpB17n5UM4zE5zObmJ/TKQy3GCI1wHOZfzPtQzXjbsGwhha0vm2h9oyQfdJHNC1nI+m84jFdvEL0uyqJ6ni6iYyTy3mV9cVM/6TuaUSxMmmVNYTcDo+k/mGEEQvgmazP3ipdNoP1klZl8unzfJnL3K5fOrn1795+YIU5OcpdokZ3fiY9lcci58U4Y4daDgOrh1osaIgfC28EStOb/469GR+7l8gxWIJV3zDJp4wEqCDRYAjjQvkpFypp6nrCy9pWupGKW+pTdOPoRL7DRdU5voHhgeywqOcCDkdM37UM942bBvIIStLV1rf6AlH/Rq7W0upU7iOKpisYhkuqijuohFtKiSWaylmgvZf7rm9FkmXcuwmoDR9Z+uMYIgfNMt0rXQOhogVWPkV3D+W6dqjBgIT9thqsYIxJKqyZGzsH/ASoINFACOJC6EGGXO/UGnrDC95WqZHiW+XI2TD+EPO83VNjMEVWAsJCs4woOQczXvQz3jZcO+ghC2tlyt/YGWfNBNrhbP67yeLtKomiY6kvVsHum5yCIxndZyOlNax2tr7zFXczpgk6vlWE3A6PrP1RhBEL4JnKtdXyR049Yn89urnzbXI9O7oYzaUHBt3DpzY8RA+F145hbohjKiMOVsvuU1RhJswABwFHkej6RveY2RpbeUTfkzNk48hFfsNGPLNwE+MPKPFRzhOcgZm++ZnvGiYd8/CFpbwtb+PEs+6NXiWp3nWRHrqMrns0jOF/OoSuZxlMhpPBN1NVski2d9J2zO/RsmYQsO23CmriC6/hM2RhCEa4ImbP9or+m0dzIeLf9++eLqB3Y6sx3/ffVeM9jiy+XHf7Sa7WxvcXQR32clVnDiWydljBgI1wpPylqX0xiBWFKzZOQ+V/mAFQUbGwAgqZTpKHPfUHLKCtNbciZHmW+nGicewgN2mpxt5kWpwAgwVnCEByEnZ75nesaLhn0BIWhtyVn78yz5oJvkbL4QWTbL6ihJbCKXZFOT0k1Vs71tbv5srtP+V9Oc56RMclZgNQGj6z85YwRBuCZCcmYvx/7CJGjfv/qg2ZxmZ4B9zV67Zi9d++3VT02m9tny+e+2J2uMGlBwDdw6WWPEQLjaDpM1RiCWZC0epcqF8oAVBRsrACBKJyOVO1lOWVl6y9XSkZYuvNd58RAOsdNcrdjEdu98nIe84AgHQs7VfM/0jBcN+/5B0NpytfbnWfJBr3O1apaKahEt6trkdSJNTV5X51E8FYWepnIuxPqZ95iruRdS72UZ8tpfKF7vyRonCMI3QZO1v7PTVVZzV69+vPzkyA5HaU6Bbs+LNi3OT+xoFTv95P2rH//ReqTOR+YPntvBO82I1q+Wn9rL2pafrr5qZ6jcSdI4vpMq93Xm91lVpeCqum1Wx4mBcMqIrM43CIaThCWd86+9caJgwwkAJLz2xgnTWz6XiHyUO0v113kBEV6zy4wui9cZQBaYfcIKjnAe5IzO/1TPeOGwLyEEriWnAzzRkg961RxNZkkyU0VUq4W9zm0aR7qQi0hO4ySL47ReyLWj7TOnc27BNTldglUFDK//nI4RBOGdoDndz5pltU+uvh81d+u+WH7ZLLBld6QvEWPkU3C+WydijBgIXwpPxPwb1DhRWDKxeORejHrAioINAgCQJJdylLtXCU9ZYXrLxPwra6x4CE/XaR62uQs/C8w2YAVH+A5yHuZfWWNFw76AELS2LKz9eZZ80DYNC2VXXQ6Pdvogk1alITYpd9mGHR5NlXbXW/z3Ojyaqh8J008Xw6OpIiqUiADxkuBI6BQ+Enr5z66h0Ec9ToWm6nQ3lvBNhaZKuJteck6Fpsq4G7ZuORVaKs/Vl6dkCYcbCp3ZUdCZHQWd2VHQmR0FndlR0JkdBZ3ZUdC5HQWd2+HRuR0enYv1pNWsubreOxSarAtgkO14KDRZXGCgRQ6FztLtUOjMOyLgDbrUwIDbRWpuYe6cBjAe0jGAcfEWQ6GN7K8+CB/FIzqFQlKA7chq9u5WsB2BH9MFBsYlcH0DcFWldVWldVWldVWldVWldVWldVWldVWldVWldVWldVUl0FWd0fUAjH4dDoUmi9r9UOiti3oz8G6f0yXGhG2SkW1rzLB7KskIzEOht65p8wB8BE/oBMBg/C7KLVmN3t0KtSPsU5qwe9ovUb6h0JnAQULp+m+XMIIgFhGhSwP4dgkjn4LzwetmF8YJKwZiyRNeqgbaJYwofbdLGFGwq7UAECFj9+HYU1aSfeiVcOIh3FwXBdm2LNvMNckCc2pYwRGOA1xLQJ/pGS8a9u2DoLX1StqfZ8kHvdqFnMWzSiQiUqmcRlLGMqqzuLA7llVi/snrYq2YHjMwZ5ppMjCJ1QSMrv8MjBEE4ZqgGRjDJuTli6OmsfOlXZcnbk9mVKKCK/HWaR4jBsJbw9M8f0eCkYQlywtsT2ZEwcYZAIjM81HifCqnrCi9pXnBzcmcgAhv2mmit5l5kgWG2LCCI1wHOdELbk7mhMO+ghC4tlSv/YmWfND7ejmA8s2PzhRaEyC6/lM9RhCEc4KmegyXA3BqQME1cOs8jRED4WwReVrL5QCcQCzpmv9yAE4UbKwAgCSJZ3riKStJb9laYFGOEw/hDjvN1TYDT7LABBtWcIT7IOdqgUU5TjTs2wdBa8vU2p9nyQe9r3dsKt/w6CzDagJG13+mxgiCcE2ETI16xyYnsYIT3zozY8RAuNYOMzNGIJbMLLCQxoiCjQ0AkOBCGiNKb6mZ/4ZNVjyE/+s0NdvMN8kCA2tYwRH+g5ya+W/YZEXDvn4QtLbUrP15lnzQ+zqvRnlPouVYTcDo+k/NGEEQrgmamjHPq+HUhoJr49ZpGyMGwu3C07bA/jZGFJaEzTuvhpMEGzAAHInx2iPp2+DGyNJbwuafV8OKh/CKnSZsm/kmWWBeDSs4wnOQEzb/vBpWNOz7B0FrS9jan2fJB90kbLDB0T0nbJlLEyZhC14O79IEjK7/hI0RBOGawAnbzWHQXy6fN6nbc7uF7eqnTQf0xSo1SzVoIDSnDhRcB7dO0xgxEM4Wnqa1rq4xArEka4k3WWMkwQYLAIeSapT6cjVGlN5ytVSMUl+yxsmH8IidJmubeSdZYH4NKzjCf5CTNe9DPeNlw76AELa2bK39gZZ80KvOJ2h0dM/ZmnMdxmRrBVYTMLr+szVGEIRvukW2FlpEA2RqjPwKzn/rTI0RA+FpO8zUGIFYMjXP5PgHrCTYQAHgSBNhalRfqsbI0luqlmn/uhonH8IddpqqbcadZIHxNazgCAdCTtW8D/WMlw37BkLY2lK19gda8kGvUjVRZFMhRSTj+bTZxhbVmUqi6ULPdZXEizSXz/pO1Zw+616WB299d2oCRNd7qsYJgvBN0FTtlybAf7L8uLmicXtY9JWeqPmjT4+afumX5o8+aI6VftRc1WnPmpJ7pJx6UnA93Tal48RAeGR4SufvkXKisCRznj36D1hJsKEEwJFkJplzb94+ZWXpLZlLslHi2dXGyodwmF0mc/lmzkkemFzDCo5wHeRkzvtQz3jZsG8ghK0lmQM80JIPuknmZDadyqouIiXsGp2s46iO01mUi2lll+ikyupnfSdzhUsTJplLsJqA0fWfzDGCIHwTNJn7N5Okfd6SypHzNUZVKLgqbp2vMWIgnG4n+RojCku+FrvPkj9gJcFGCwBHIrKRcHZ8T1lRekvX1Cj3LL2x4iE8YqfZ2mYeSh6Yb8MKjnAc5GzN90zPeNGwrx8ErS1Za3+eJR90k6zldZGpWMwjpbW9303rqM4XmfltPK2qKsvSav6s72TNNzk6T7GqgOH1n60xgiB8EzRb+28mC3ve3Jj7yfKj1cycj5vk7Dfmjz+26Zu9cO3o6kfmq18tPzo+Mj/xz8u/Xf5y+Q/Lf1x+uErk/lU4Y+p9VmUouDJuna8xYiDcLjxfM8/s1y6Ub7CicOVryoXygBUFGzEAIIkqRrF0oZyyovSXsJlSPHHxvc7Lh/CKnWZs6SbCBwagsIIjXAc9Y/M91DNeNuwLCGFrS9naH2jJB71aXxN6EYtaR3EqVSRzmUXVQtRRIWeFFHkW16J+1nvK5nz+JmUTWFXA8PpP2RhBEM4JnLLZ/ufVB8vf2lvWvrIfHzWXrdmBd180CZmw1+I6n9p9VlgFh711SsaIgfCr8JQssITGiMKSktm5VjdBHrCCYOMBACPTibN1e8oK0ls6Fo8KJ97rvHgIh9dpNra5Iz8PzDxgBUd4DXI25numZ7xo2JcPgtaWjLU/z5IPus/50J5DnrbpGmBTu2zDzoemSrvrLf57nQ9N1Y+E6aeL+dBUERVKRIB424tRni8/N+++nRZ9fCRW/5Krf6kORkh/uPyn5c+W/7b8L0fL/2L+U582OfSvzPd8f/mxS0MnZA3tRga+ac9UCXfTRM5pz1QZd4PQLac9J7HnQqRTsoTDTXvO7Yzn3M54zu2M59zOeM7tjGdtZzxrO+NZ2xnP2k6F1nYqtFbrEap5c9G8d9ozWRfAkNnxtGeyuMCwiZz2nMvttOfce6H/G3SpgeGzi0Tbwtw5DWA8pGMAo9wtpj0b2V99ED6KR3QKhaQA25HV7N2tYDsCP6YLDIxL4GoF4KpK66pK66pK66pK66pK66pK66pK66pK66pK66pK66pKoKs6o+sBGP06nPZMFrX7ac9bF/Vm4N0+p0uMCdskI9tWjGH3VJIRmKc9b13T5gH4CJ7QCYDB+F2UW7IavbsVakfYpzRh97QJkvmmPa/nv4IhoXT990AYQRBLgtBC/5Y9EEZYBYeFl8QujBNWDMRqJrxuDfRAGFH67YEwgmCXYUEYOvWWwYwo+9AF4cRDuLwuirNtibYZSpIHhsywgiP8BriugD7TM1407OsHQWvrgrQ/z5IPel93EWe+yc95htUEjK7/bIwRBOGawNkY7yZiRmUouDJuna0xYiC8LjxbC2wiZkRhydYCm4gZUbABAwAislHhHm94yorSW74W2kTMyYfwip0mbJtRJXlg9AwrOMJ1kBO20CZiTjbsCwhha8vY2h9oyQe9r4f0M98A5zx8qbsrdwXR9Z+xMYIgfBM0Y2M9pM+oCgVXxa3zNUYMhNOF52uB1TVGFK58zUXygJUEGy0AHCIZrUfA3szWGEn6y9b8Z/Q58RAOsdNkbTOmJA+MnWEFR/gNerLmP6PPiYZ9+yBobbla+/Ms+aD39XbMzDfCOQ9f6e7QBIyu/1yNEQThmqC52nC3YzLqScH1dOtEjhED4ZA7SeQYUVgSOf/tmIwk2FAC4cgL96XBp6wkvSVyobsxOfkQ7rLTTG4zwiQPzKRhBUc4DnImF7obk5MN+/5B2NpSufYHWvJB7+sEwcw38jkvsJqA0fWfyjGCIHwTNJVjmSDIqQMF18Gt0zRGDIS3hadpbXNpOIFYkjXvBEFOEmywgHCkmTvtPGUl6S1ZCwwQZOVDOMROk7XNEJM8MJWGFRzhPsjJWmCAICsb9v2DsLUla+0PtOSD3tcBgh6fdS/T4SvdXWkriK73ZI0TBOGbbpGs3W6AICe/gvPfNlHjxEB42u4SNU4glkTNO0CQkwQbKCAchRpp5UI5ZUXpLVMLzA9k5UN4wy4zNb2ZUKIDI2dYwRH+g5ypBeYHsrJhX0AIW0umBnigJR90k6nF8zqvp4s0qqaJjmQ9m0d6LrJITKe1nM6U1vHa2nvM1Jzu12RqCVYTMLr+MzVGEIRvAmdq15f93LiSyfz26qfLL+wVQO05nEsb91m1oeDauHXexoiB8LvwvM3fB+VEYcrYPEtrnCTYgAHhkMJ9FP6UlaS3hM03oOJ1XjyET+w0X9sMKdGBoTOs4Ai/Qc7XfM/0jBcN+/ZB0NrStfbnWfJBN+laUhWzdJolkU6b1E6oqE4KHc2LPE5m9SxXcv6s73TNM+5Zp1hNwOj6T9cYQRCuCZ6ufd5sZHtuL2H8cvn86oOrv3RcwvhHq3s5UxXHVz9I0tXnSHmWce6zakHBtXDrNI0RA+Fu4Wma9zZKThKWLC0ZxcqF8oAVBRsoICBJPMpzJ8spK0tviZrvbrXXefEQ3rDTRG0zmkQHZs2wgiM8BzlRSzKVeR7rGS8d9hWE0LXlau2PtOSDXjVB6zzPilhHVT6fRXK+mEdVMo+jRE7jmair2SJZPOs7VytcmjC5msBqAkbXf67GCILwTtBc7R/tbeerXO3vTdL2g6v3rz4wOduvr94zadpz86uPm1U1FS+/8OZljMQKTnzrvIwRA+FdEXlZW9uTEajv9IwRBRsbICDB9IyRpbf0zHhyz3ECVjyEA+w0PdsMK9GB4TOs4AgHQk7PfM/0jBcN+/5B0Npys/bnWfJBN7nZfCGybJbVUZLYNbckm0bVdKqaMwhz82dzk9896zs38w1v1hKrChhe/8kZIwjCNxGSs+dX3zcZ2At7KW5zhOD51U+PvmbvxbULar+9+qnJ1D5bPv/d9mSNUQMKroFbJ2uMGAhf22GyxgjEkqzFI/c9ZQ9YUbDBAgCSZiPhzdUYUXrL1dLRGuNmrsaJh/CHneZqchPbA5NMWMER/oOcq/me6RkvGvb1g6C15Wrtz7Pkg16toyWzJJmpIqrVwl7ONo0jXchFZNK6JIvjtF7ItYvtM1dzbtMwuZrCqgKG13+uxgiC8E3QXO1nTQZmsrGouSj3xfLLJhfL7khnUn2flU/B+W6diTFiIDwpPBML7DpjRGHKwdyJywNWFGwQAIDkxSjxXXvLibIPORgnHsLPdZqDba6114ExBazgCM/BkYNxomFfPwhaWw7W/jxLPmjzzx8er0bl/odQjtXl0GbfAYAsxJjoXcaehjY7zfA1srS7XmPAoc3mj1/Y4QNHy5/ZBbCr967eb24/+3L56+Oj5d81Q5s/v/rJ1U/tz7u0cJ+sBQnTQhejmakiKpSIAPFeHc2crIYxEyY0S/OVn5tnbB/6581uwB82T/wzO1f7yHFEo/nD582Vdp/bSRLvmR95r7kL74urHx/d//ZbfxqdPrq2hnvvfOd7777z9nf/uPmS+cprb739x39WvTM7PmquWvmNneR99f0jK435e+wq6ftfP8rsFkPzcWSXR813/lVjh+YL5/feOCpi9+r3Cfnp7MYgvrHQVAl3k1LOsdBUGXfD3W3HQuex7+4QqoTDjYXW+Xpyqm4uo/cOeSaTAUMsfshzkaWjwrkV6Jt0aYFRFjnjWWfbGc/ae+f/G3SpgdG2i/zcwtw5DWA8pGMAw+UtZjwb2V99ED6KR3QKhaQA25HV7N2tYDsCP6YLDAwy4CIH4HdKoN85o1MBAxNyYrPIfXdfv0kXtfuJzVuH82bgTT2nS4yJqCST2ZaNYWdTkhGYJzZvHc3mAfgIntAJgJH1XZSTsRq9uxVqR9inNGFXMSqvEl3YFsksNoW6PdmfmN8WOk618QaiLtbu31ucB1YpaAW6b2KzznGQULr++x+MIIh1QWiV/4udwv7TV8q85WeOCn5V4i//prnx3B7Td+jhPqseFFwP8CLahXHCirGbBAQwuqg2GUlY2iSJ21c8YCXBLtNCOHQ+ynzFKyNKb10SHWcj7dtXzAmI8Idd1GHbamwzoEQHBs6wgiM8B7iEgD/VM1447CsIgQs+0TPIEy35oG2npEnYijW6Nx373nz67ltvf9ehCUI2plyYJhMLXseeFLuYvmaJX1ZMkrXpl7hXnV4jS7trZAHNQjOp5oKjHzZL5c1qtj0v//7Vj11ym/RIf/2ULPwNx+eX/nZ+b71eWRw/zAr3asFDOoTEQ8CLQiv5Iyv5I5/kj+iSK7zk8GLQCP7YCv7YJ/hjuuBwq6d71vVaU3Fc+gBKMsCNFYQWAJy9PLFSP/FJ/YQuNdyNIxcOjNBPrdBPfUI/pQn9kj+3/+qpf6+8iwNFiCFNvIqHiUqLR0ZoZ6X1GllcYEsBGpB+2ZT29qDJvzc92qaH+1lzictvrz4w9f7zo+VHttz/pOnHm29e39JnlwPsTzaDzX561CwHfNy0eD9bvljf/tKcYVl+dvVX5idfuNRwn6yG3bjQSQd/+aFd0YgM2ldHTZf5vaufGuE/MRowJHZDw+e252zXQI6Wv7bxu7mrsNnYsFLKi+Vv7E8vP2463B/ZL1wrZt0Qv/rBS6F/5FLLH5DVolBqAajEJd4JWTxgRwOzkGGfkkvIb5CFBDYoMGsU/s45UUbMOj9AQmfefEqWjqVrfnODrPcWGarYwKiFb4knmSn9Co/A36QLDIxd2K54cd0V9055eIMuNTCEoaoSqHU8pIsNDDmEOmTbnCruvKr4QBecSqGQFGC7sZq9uxXsZjlCFRgYM8hLWD5LOaOLDIwguBZ3qkSuxUj5mtxUYRma3MV1k9vrP87pEmOCX5cWUZJF5m5qF3deVXigqU0lAMZGZG1qbWUr1M2ylCKsXSc93qaaVuzeKlNnqXfPlN1BDOHVOUxUYmWauQvp18jiAsM6tDK1tdgXtvA0NZMpQ20RaevM35hfvt+UXu+vd5zb2uxj8/sfXn2w3l/u4rpP5gLGfVypqf5fTWVoBf758l+O7FWqjlJxZ5W4Ad7sgm6+0SL/80uV9/OABv6ArAGF0gCA3iXeCVk8YIaAqCo/W9ve583yhae+pIoLzA46qS+pMmJCLERCl3SnZOkGri/JYgNjD76+9Mn6TbqswOCDLC2LeFtaFt6xNG/QpQbGIKbSkiw2MMTcorQs4juvKt5fWpIpFJICbDdWs3e3gt0oLckCAwMHQ2lJFhkYPHClpcyTItZq5M7D36RL231tuXUgbwYcyDldYkzg69IkSrLIzLXl1nFsFO6vLckEwLiIrS2NrWyFulFbkoRt9uCs/jFf/5O3ZrP5d++b8uusqb4sQ1ZP07qu4mguFyqSOl5EWueLqJIiroSSyWxWrb5zW5HayxFewZ9/e761plc1sPovgiOXsxc8LpyPb+xuAVvsXVVAKZtnu+tjQXBwM7VEEzfRhIlo1wWDiOBma4Du3XMT3bvHgPRSBeU3Sf9mhE5MMomPzf88hulfBErjOI+dL6rL8kAMSMszgk98gk+ogu8aGEhwpIEZwe2Hz84oor+0ZDWcISVuG0r83t4C+Zc9ezEit9ATstC9GJBbaGtUBKn3wnbcec048Q/dskDpsLbjFnpCFroX23ELbY2KIPVLa7TD2Y7w2E4aBPKnxL3YjlvoCVnoXmzHLbQ1KoLUe+F3pMd2RBBIDms7bqEnZKF7sR230NaoCFLvhd9Rx+M0Px6L4ngszf+y5HhsTH2szZ8XuceuZBD2xmVe/dqVOp4YoIkBmhigiQGaGKCJAZp4gCZkoF5sTplE2xDdu2eQ7t2T9sNA3btnqEw9Z7/q4bL2SgBrlrHW1vhsp/mdAlf1V7jg1skuuovmW3a11QWTKKmkFv5sFrim/5LMcJtbL20l2WrHcjLyDvS6IMsv0fLDJT8HSH5JllxhJCd7MreTosq866TaZcZayxOAzidk+YEL/ASH5PExFEGtpFrLItNSRpWex5EsxDyqFsUiquaLJFHzKo7n02c70XHX/Xyn8p7avKULevXsZqKbB2UeWuCZfSvxnILxqQKqA+e71IpOfp/W6GWiW810zIa8uly9isV8Nl1EtZwVkYyVjooiF5Gu1GIRV3Eez4p9MZE0hphI6lnc8OsLpoOBTCSN202EDXk1K0kVqtJ2KnkVm+9NpoWxpDiJinmeV2k+l/NktjcmkoJMxFOH+vUF08FQJpICTIQLuTERMc3mKonjSKf2ewtZRLWez6NE1fNpUctC5WpvTESCTERi9QXTwVAmIgEmwoW88iJZPKtEIiKVymkkZSyjOrM/JWKVmH/y+satCcOZSAYyEWRaBtXBUCbSnjKP2ZDXl4wne1UOp+HMK92l7bMcTtszxwuy/BItP1zyc4Dkl2TJd1+b9tKsK2sZk2XuoRwG6HxClr/vcpgk6KGVwwJU64hw4n9DFVAdDBSCBKDWYUNuTKSqZot6nlVRVSc26U3rqJJ1FmVS1Vm9KIokl3tjIqBaR4QTf4e+YDoYykQAtQ4bcmMii+k0W+T1NNL51GQ0xTQxRXQ1jRZZlaZVXWud670xEVCtIyRWXzAdDGUigFqHDfngymEBqnVEOPF36Aumg6FMBFDrsCEfXDksQEvzApmWQXUwlIm0p8xjNmRrI8FH316RUdidz1WGEy7/VqMeqmDZnjBekOWXaPnhkp8DJL8kS777trRXZF1Zy5gscw9VMEDnE7L8fVfBJEEPLfJIUIkjw/n+DVVAdTBQ5JGAEocN+eDyVwkqcaTE6gumg6FMBFDisCEf3EKJBJU4MpzvO/QF08FQJgIocdiQD26hRIJKHBnO9x36gulgKBMBlDhsyJtLoNZP3DqLvWn8qXBu5d+t3EPJo9qT2Auy/BItP1zyc4Dkl2TJd9+e9vS7K2sZk2XuoeQB6HxClr/vkock6KHlswpU8qhw/u+Y9g7TwUCRSAFKHjbkxkRikcpsbmJVOsvTSKaFiVoii6NKZJnKYlWIem+qYgUqeZTE6gumg6FMBFDysCGvSp4kLYqZmkZVVulIqlxHOknmUVFNs3puftakN3tjIqCSR4Xzf4e+YDoYykQAJQ8b8sHtplegkkeF83+HvmA6GMpEACUPG/LB7abPQJuQMmRaBtXBQCaStafMYzbkfWr8ZeGEK9uF7LMKztoTxguy/BItP1zyc4Dkl2TJd9+W9oqsK2sZk2XuoQoG6HxClr/vKpgk6KElJxmoxMkkThVQHQwVeQAlDhvy4SUnoBInC+f7Dn3BdDCUiQBKHDbkxkRUqupKahUJmcwiWWd5VOWxsSmpYlGrOFvszyb6DFTiZOF836EvmA6GMhFAicOGfHBraTmoxMnD+b5DXzAdDGQiOaDEYUM+uBX5HLQinyPTMqgOhjKR9pR5zIa8T1VwHk648l3IPqvgvD1hvCDLL9HywyU/B0h+SZZ8921pr8i6spYxWeYeqmCAzidk+fuugkmCHlzkAZU4eTjfv6EKqA6GijyAEocN+fDyV1CJk4fzfYe+YDoYykQAJQ4b8sFVwRpU4uhwvu/QF0wHA5mIBpQ4bMgHt9yqQSWODuf7Dn3BdDCUiQBKHDbkg1tu1aAVeY1My6A6GMpE2lPmMRvyPlXBOpxw6V3IPqtg3Z4wXpDll2j54ZKfAyS/JEu++7a0V2RdWcuYLHMPVTBA5xOy/H1XwSRBraSwczx7EnlAJY4O5/s3VAHVwVCRB1DisCEf3PGtAlTi+OYJ+vUF08FAJlIAShw25IOrggtQiVOE832HvmA6GMpEACUOG/LBraUVoBKnkFh9wXQwlIkAShw25INbkS9AK/IFMi2D6mAoE2lPmcdsyPtUBRfhhKvYheyzCi7aE8YLsvwSLT9c8nOA5JdkyXfflvaKrCtrGZNl7qEKBuh8Qpa/7yqYJOihRR4jJiT0JHE447+hDKgWBoo9Rq5WSx3zQR9cDpvEoDrHfBtWYzAtDGYmgEqHD7oxkzSt1Xwhqyg2X4uSZK4jHc+KKI5VrDKtk0Kl+2MmoFrHfBtWYzAtDGYmgGqHD/rg+sJJDKp3zLdhNQbTwmBmAqh4+KAPrjecxKAlevNtWI3BtDCYmbRn0WM+6OYGreYf81eIXVvYVQdocC5JG6spx0ns4y/c/KsJuRo+JhREAK+EVrOMPWJP6GLvVj8gsaEF0GZisUds8xWS3FbwZHALSjwWlHiy+zVSOrAFucWe0MXux4LcYje2RZC7aQcNbkHp8TjV2fFYpMp8ZPp4LGXhs6okiAm/qRpEhbaq9HhiUSYWZWJRJj6UCR2lH0tL7Xh1w3LvnoUxn4bm3j0fTmObBJ798GHieJwIY4GJ9nozTxG6hpMD2504nliAiQ9gQgfox9qEsS1LYD49CI1NEhj2w8KkMa7EeLYk1T4LE0E4+IWUIBa0hUljXAZg4gOY0AH6sTBpbSuxPsyH0NghgcFCrB+CTej35kLcJFFumlURIwe9C8gI11qGXdAJJJoALvs5RPZLuuwKIzvZM3m8EFXoXS/ULjTWZJ5A1D6hE/TdAKNJakWVM5HqmZ5F06IoIllXWVTFlYiKqZrNqmxWL/SNlYXBVpmSHLTKlOQ4ZUC1MNQqU5K32uqYD/ov1ve0J+vMxz79PYpLntWONfag5xKMcK0P7oJOwByX2mW/pMu++xa1O8iuTGZMF7qXuNSu9gmdoP+4RJHUiqqLWZrFMo3MN84juUinUZHHcZTEaVEVCxWn6kYlNlhcShNQXEo9qxo+</t>
  </si>
  <si>
    <t>ZUC1MFRcSpNWWx3zQa+OsZhiLFOyiLJkqiIpdR7VappHizqfxbNEqywr9sdMBMxMPIWjX2MwLQxmJgJiJlzQjZlMVZJpkeSRqudpJOdFZUxKqyhZxIXKp1Va1dn+mImCmYnCagymhcHMpL0iG/NBr4qhZJHHeV1EeTLPI5nESaSzRRrl1SItZplaqMV8f8wEVgyl4brAoTGYFgYzE0gxxAa9LYbWj93mIPtTDKXBbEvFu9i9FkNpe2Z7QSeQaAK47OcQ2S/psu++Re1ZeVcmM6YL3UcxBFD7hE7QezFEkvTg4pKAFUMiWBfcVAZUC0PFJQEphtigGzOp6+m8WojCFE52wm+uF1GVxSY3Tmo9S+pqJuwAtX0xE1gxJIJ1gUtjMC0MZiaQYogNetXBnqapLuaLKMszEckqlZEWsyKaSZXleRLP4mx/iiEBK4aEwmoMpoXBzARSDLFBrzaWHq/W+l+xg11VgPrrJE2sNjuI/HicyMR+KPtRmA9lt9go+4XMfiGzX8jsF3L7hTz3aStza2vVjy/SXW31uynCgE4s6MSCTizoxIJOLOjEgk4s6MSCTizoxAc6oYP2snnCgJpPQ2o/VfNZ2E/VbNtRzVez5qtZ89Ws+WrefNWD3Gz3ITA3zvDZHtZxIrhjXPm38/VRx4n2Pe8XdAKJJoDLfg6R/ZIuu8LITvaMHu9GFbqPOg6g9gmdoPc6jiRpswxt8vU6k1lU57UJv4tCRPU0nkZTXdWzZFHNqupGxB0s85Kw48YyePL2pjKgWhgq85KQ48Zs0DbzOn62Z3ssZBqk9e/37SMcyfZzvxd0At5wBJD9ki777svT7he7MpkxXeg+whFA7RM6Qe/hiCRps6y4iONFPp1HelqoSMbTxN75JqM0llmm5jqb1rNnexOOYOfVpcQpA6qFwcIR5Lw6G/Sm3bV+6vtVJUlPzbemHnZLumw/QH5BJ2AOS+2yX9Jl332J2v1jVyYzpgvdS1hqV/uETtB/WKJI2oia1tMqnU+jvKjsBaRpHNXFIo7yRMX1YjqXebFHVRLs4gMZLhkdu7NhWhgsLLVX9GM+6L2sklS4Jhx0TpwRrvV5XdAJeMMRQPZLuuy7L0+7X+zKZMZ0ofsIRwC1T+gEvYcjkqRNlTStZrnQSTQXRRLJ2SyNioXJl6fVVKTZ1Hi5Yv049iAcqRQUjlS4ZHSMLIFpYahwpNor+jEf9KZKWoPvV5WkZJB60CtrjQytz+2CTsAcltplv6TLvvsStfvHrkxmTBe6l7DUrvYJnaD/sESR1IqaCHv8YZFEaS6LSKZxFdWVWJh8uUrqJNELne9PlaRgtwiqcMnouCkNpoXBwlJ7RT/mg/6LPbo4PVHBWjAbdmu6aq9mL+gEzGGoXfZLuuy7L027P+zKZMZ0oXsJQ+1qn9AJ+g9DFEkPLgxlsC0NWbBUvKkMqBaGCkNZeyU/5oPeqzCUBWvAzH+pZx9hKGuvYi/oBLxhCCD7JV323Zem3R92ZTJjutB9hCGA2id0gt7DEEnSwwtDsK0MmcQpA6qFwcJQe+U+5oPerzAUrPmy1PtG9hKG2qvWCzoBcxhql/2SLvvuS9PuD7symTFd6F7CULvaJ3SC/sMQRdLDC0OwrQtZuDS8oQyoFgYLQ+2V+5gPeq/CUB6u+YY9Z5S3V60XdALeMASQ/ZIu++5L0+4PuzKZMV3oPsIQQO0TOkHvYYgk6cGFoRy2ZSEPl4aOIzcwLQwVhvL2yn3MB71fYUgGKYc9X5S3V60XdALmMNQu+yVd9t2Xpt0fdmUyY7rQvYShdrVP6AT9hyGKpIcXhmBbFPJwaeg4agPTwmBhqL1yH/NBb3bOrd/K/do5l4drwGHPF+XtVewFnYA5LLXLfkmXffclavePXZnMmC50L2GpXe0TOkH/YYkiqRVVVnFRZHacZjVTkZymcaTnWR3NF2Km0ipJsj069qphWxZ0uFR0TX8AaWGosKTbK/kxH/T2/qvBh6rq9HicFHaqYRzbj8x8JPYjtR92zlwq7YeyH5n9yDOftkIz9ZIYvnIDYoa7p9X9VwZ0YkEnFnRiQScWdGJBJxZ0YkEnFnRiQSc+0AkddNeFgUChXmxz/5W2wxAt6b17FtV+2lF1FtZ8ps1nM7zO8ppP1XxmzacH2f6tFOYG+tkeZl46eP9hNuyZBd1+g+MFnYA38wLIfkmXXWFkJ3tGj3ejCt1H5gVQ+4RO0HvmRZK0WRCoxFykSkXKDpuSxTyP6nqqTZFYzE1ZmOqi2p8LajXs5lGtcMqAamGwzAty8ygbdGMmmZzl+XQuojrROpKZSiPz07X5qWqW1Fk102q6P2YCG8Ogc6zGYFoYzEwgYxjYoBsz0ZVQWSx1VOuF+d58Po/0LJXRNM+qWCVJLON6f8ykgJlJgdUYTAuDmUn7Df5jPuhVDWf+yRNZRTIRcSTFNIuKJDPuJ8vjOlULOU+yvTGTAnZ5fhG8R96lMZgWhjKTAnJ5Phv0XjVDi2BylQ97UK5oT2Qv6AQSTQCX/Rwi+yVd9t2Xpj0J78pkxnSh+6h9AGqf0Al6r31Ikh5eGILVPoXCKQOqhcHCEKT2YYM+vKS2gNU+RbAMcGkMpoXBzARS+7BBH95KSgGrfYpgGeDSGEwLg5kJpPZhg95srdhEFfuvvVnhT+NgLp+nu9h9ZrlGuNYHd0EnkGgCuOznENkv6bLvvkXt6VZXJjOmC91DlgtR+4RO0HeWS5PUiiqzaVznujKRSySRTFURaaVltNCzuJjWUzHP9iZ9SWPQCDrzbThlQLUwUFwyPK22OuaDbswkzuZ1OlMiygqT4MhUpJFeqHk0rep5rlShYr1HZgIqhsy3YTUG08JgZgIohvigt+mLXpHv1QaFNA4n94OeWDDCtT64CzoBc/rSLvslXfbdt6g9jnZlMmO60L2kL+1qn9AJ+k9fKJI2qy+x0kldxVG1MH5JJjKOirjQ0aKaKT1NClXH1bO9iUugstp8G04ZUC0MFpcAZTUfdGMmdTET82SaRFksTaoj9TwqhC6iYqpEbqKYrOXerL6kCailaL4NqzGYFoYyk6S9IhvzQa/2Vio1T+u5Ml+szffWyqQ6cmaMqxAySXUy1YXeHzOBFUNJuC5waAymhcHMBFIMsUGvvAlodve+mAmsGEoUVmMwLQxmJpBiiA16WwwVz/awGErC2dag5+SMcK0P7oJOINEEcNnPIbJf0mXffYvas/KuTGZMF7qPYgig9gmdoPdiiCRpE5fmeVbnizia6dQu6CUiquJaRTM5K+pY60Qv1tPT9yEuwYqhJFwXOI6MwbQwWFyCFENs0Ksl/zidVYt6HiV2t65U8Syq53IWZYmOpT1YJ4r9MZMUVgyl4brAdbIQpIWhzCSFFENs0IdXDKWwYigN1wWuAXcgLQxmJpBiiA16dfZjoeNsMYujRRovIjnNikjPiiKazucyzsSiimW+P2YCK4bso8RpDKaFwcwEUgyxQe/Tbu00DSdXgw59NMK1PqcLOoFEE8BlP4fIfkmXffelaU/CuzKZMV3oPmofgNondILeax+SpIcXhmC1TxouAxzzD2FaGCwMQWofNujDS2oFrPYR4TLAoTGYFoYyEwGpfdigD69EFrDaR4TLANc0VZAWBjMTSO3DBn14C24CVvsIhdUYTAuDmQmk9mGD3qvaR4STK71L2WvtI9oT2Qs6gUQTwGU/h8h+SZd996VpT8K7MpkxXeg+ah+A2id0gt5rH5KkhxeGYLWPCJcBN5QB1cJgYQhS+7BBN2Yyk2mu8jyJRDrVUZLM51GVxGk0S7IsqaZxXRc3rk8czEwkrPaR4TLAoTGYFoYyEwmpfdigD69ElrDaR4bLAIfGYFoYzEwgtQ8b9OEtuElY7SMVVmMwLQxmJpDahw16swkuXW+G3K9NcDKYbel4F7vXYki2Z7YXdAKJJoDLfg6R/ZIu++5b1J6Vd2UyY7rQfRRDALVP6AS9F0MkSa2ohSxklak40vk8j6RI06hKqzzKZpUw/1fnid6j9AVWDMlgXXBTGVAtDBaXIMUQG/Qqyy2quohjEalaCntbZR7purL5TpalOlZyls/3xkwUrBhSwbrApTGYFoYyEwUphtigD68YUrBiSAXrAqfGQFoYzEwgxRAb9OEVQwpWDCmF1RhMC4OZCaQYYoPeq0aQCidXyS5lr7WPak9kL+gEEk0Al/0cIvslXfbdl6Y9Ce/KZMZ0ofuofQBqn9AJeq99SJIeXhiC1T4qXAbcUAZUC4OFIUjtwwZ9eEltBqt9snAZ4NAYTAtDmUkGqX3YoA+vRM5gtU8WLgNcGgNpYTAzgdQ+bNCHt+CWwWqfTGE1BtPCYGYCqX3YoG0jyII/26f+TxZOstJd2l5roKw9ob2gE0g0AVz2c4jsl3TZd1+e9mS8K5MZ04XuowYCqH1CJ+i9BiJJakWti5mqpNBRWiVFJDO9iGplQ1cm9WyWzGap2qNwBKuBsnA5cEMZUC0MFo4gNRAbdGMmKivEbFEsojidme+t1NQkNyI15ZPOzPeJRZ3N98ZMclgNlIfLAYfGYFoYykxySA3EBn14pXIOq4HycDng0BhMC4OZCaQGYoM+vIW3HFYD5QqrMZgWBjMTSA3EBr1X/Z88nFz5B673Ufvk7YnsBZ1Aogngsp9DZL+ky7770rQn4V2ZzJgudB+1D0DtEzpB77UPSdLDC0Ow2icPlwE3lAHVwmBhCFL7sEEfXlKrYbWPDpcBDo3BtDCUmWhI7cMGfXglsobVPjpcBjg0BtPCYGYCqX3YoA9vwU3Dah+tsBqDaWEwM4HUPmzQzUGgVeTZNYRdXXxvPn33rbe/y6CK8unDrxnG/HicFtqngcytgTQ2/58kalcD3iQXhAHPc63sEyv7xCf7hC77bnoLkh2a4Taim5TWyG4+PcLbr1Okt+LfONjeu0V5jcmTxa+R4FdmgwjQxuS1I6rY/diR34IocjcWtD6eKJ/tU3tahyuAYe+p1O01zAWdQKIJ4LKfQ2S/pMuuMLKTXY/H4VCF7mOJBqD2CZ2g9yUakqTNEo2Q8aIoRKRjOYukyip7Ycc8EnUaF7KeiXxRPNuXbLmA1d5FuAx1XdkI0sJQ2XIBqb3ZoFeb6haJThZCRoXOZSTnJqmu43gezZScTee5XsSL/RkxVMBq7yJchjo0BtPCYGYCqb3ZoFe1t6gr891xJJJsHskk0VERz+toOk9NaTbVIs6z/TETWO1dKKzGYFoYzEwgtTcb9OH1BYocZibhJgn9nuChzKS9hzXmg14t0RzvwQpNURyPRSzsh/1Vonyq0G5VrOu9YlcV/ZbXhmJiKSaWYuKjmNApeqm2DcW9exbDfja/9oA0azsEkqbNsDa0Z3tUfos4Dr1oRex9Lj2U30a4VldxQSeQaAK47OcQ2S/psiuM7GRP5XRIdKF7KL8hap/QCfouv2mSWlGrRE6lmopIVFMVycLkTzqb6UhkMzlLFrWuxeLZnmRCIk4hmZD5NpwyoFoYKBMyPK22OuaD3txat+5Z7tWldSKWQerU+4b2EpZk63O7oBMwh6V22S/psu++RO3+sSuTGdOF7iUstat9QifoPyxRJD20Al3EGSwsZThlQLUwWFjKWm11zAe9yl5UqtN5Hkfzqq4iE7V0pOd6Ec1q8xNTVadVWu+PmWiYmXjqRr/GYFoYzEw0xEy4oPfpmIFIwln6oMcMjHCtz+mCTsCbrQBkv6TLvvvStIfNrkxmTBe6j2wFoPYJnaD3bIUk6cGFoQRWRCfhetKx+RGmhaHCUAIpotmgDy+pTSTMTCRWYzAtDGYm7QXYmA96s9ZSPNvDtZYknMr7N9T2kr20FyMXdALm7KVd9ku67LsvUXsY7cpkxnShe8le2tU+oRP0n71QJLWiTtNCpGlSR7NCTCMpUxnpNDYRLamLos6TLJ/vzRgskcCK6CRcT95QBlQLg4UlSBHNBr3KXuQsz6dzEdWJ1pG0w2ArMa/tZXizpM6qmVbTvTGTNAaZSRrO+B0ag2lhKDNJ2wuyMR/0wZ1+M7YPM5NwWeDQGEwLg5kJpBZig16VzFkaV7FYRPmisglxkkTVYjGPpJqli2oeT9Vif0rmFFYL2TQRpzGYFgYzE0gtxAZ9fUjyRvaxqwvQXi+SKpoteCLNjsdCCp8GlFsDq41e6bDn2qzsE5/sE7rsfWy3s7KbT4/w9usU6a34Qx+SFGluLErkPovypPJrLvjBJRAG2qJyY1Ee2Sd02fuxKHvs1id8Y3EE6RvxV9Lv14pNGi4I/Jtp+1ixSdtLmgs6gUQTwGU/h8h+SZddYWQneyKP66EK3ceKDUDtEzpB7ys2JEmbUhx0cG5PkmcBK8VFuCq9oQyoFoZKngWkFGeDPrgzk0LASnERrkodGoNpYTAzgZTibNAHd2ZSCFgpLiRWYzAtDGYmkFKcDXplJvV0Xi1EESkpp5E0NhRVWazMT9V6ltTVTKg98iawLZnCk+4HNAbSwmBm0t7SGvNBb7rXa29h/7U/tZAIJVtFPOiIRyNc63O7oBNINAFc9nOI7Jd02XdfovakvCuTGdOF7qMWAqh9QifovRYiSdosDqdK1tJkwNVUiUhWaRFVs1RERZ7W81zV01TuTyNBwmohGSoLHMqAamGosCQhtRAb9OFlLxJWC8lQWeDUGEwLg5kJpBZig96bGx+ElMdjI5P9sI2nzKsKz1U6q8VqU1BD4xMICB6iVm0CQzGxFBNLMfFRTOgUvTQMDIX5NBj2s2lHeUCaRhWBpIlha0N7tk8Js1TBF016n0sfCbNsv0Pogk4g0QRw2c8hsl/SZVcY2cmeyuOQqEL3kTAD1D6hE/SeMJMktaKqKjchr6ijfJbZcJjmUR0nSZRM53k9zZMsrvYoYQbdfSXs5nmMMqBaGCwTAtx9xQd9eIdVJGh0ivk2rMZgWhjMTNrvkB3zQe/V0VoVun20iIc9nKLa70+9oBPwZisA2S/psu++NO1hsyuTGdOF7iNbAah9QifoPVshSXpwYUiB7v0134ZTBlQLQ4UhBbj3lw/68JJaBbr313wbVmMwLQxmJu0F2JgPer+ylXDq7t923Uu20l58XNAJmLOVdtkv6bLvvjTtYbMrkxnThe4lW2lX+4RO0H+2QpH08MIQrGhW4frxhjKgWhgsDEGKZjbow0tqM9DME/NtWI3BtDCUmWTtBdiYD3qvspUsnLoPOnrLCNf6nC7oBLzZCkD2S7rsuy9Ne9jsymTGdKH7yFYAap/QCXrPVkiSHl4YghXNmcIpA6qFwcIQpGhmgz68pDaDNQyzcIbv0BhMC4OZSXsBNuaDvj6qL3cNYVcXoE06JFWs9k5ldkZObqfl5PaIdW5+K+PEfKTmz6T0DM8RWXBYi4D3AkB88JC12kqV2ZE5uR2ek9uz1wZqYqEmFmrig5rQoXZDGAgKGsU2O6uyZn5O3szSyZtj2bn9EwtmPlP75z40+9MUNgu3PvpvHdT+7LXKg3tfk9j7pPrIsPP23bsXdAKJJoDLfg6R/ZIuu8LITvZsbo9FFrqPDBug9gmdoPcMmySpFVVPEyGETKJMZ3kk57WIqvl8Fs3sjJWFrKbpHp3AzVNQ6pSnOGVAtTBU6pRDdp2zQe/VQk8ug5TDnpHL24/AXtAJmMNQu+yXdNl3X5p2f9iVyYzpQvcShtrVPqET9B+GKJI2OW9cy6mu02jenICZ5SLSVbqIpjOVLeJpNl2I/VnoyWFHt+3BdIwyoFoYLAxBjm6zQW+Obq+f+n5dY5UHz4Ymw45NydvP4V7QCZjDUrvsl3TZd1+idv/YlcmM6UL3Epba1T6hE/QfliiSrv3N2r73azVGh8u9YfeS6/bS+oJOwOtvALJf0mVXGNk79jdkofvwNwC1T+gEvfsbkqSNsxF6EYtaR3EqVSRzmUXVQtRRIWeFNLlVXIv62b6kwRq2GqPDCxOO/bIwLQyVBmvIagwbdGMmeV1kKhbzSGldRLLWOqrzRWZ+G0+rqsqytJrvj5nA7kPTEqsxmBYGM5P2yn7MB73yJtl0Kqu6iJSIs0jKOo7qOJ1FuZhWqZxNpcr2yJvAimodri9dLxZIC4OZCaSoZoNuzGQmimwqpIhkPDcFuIjnUZ2pJJou9FxXSbxIc7k/ZgKbrqPDGb9DYzAtDGYm7QXZmA96dQWIrOV8NjWeJ7YmlSVZVM/TRVTMZJ5bm4qLam/MpIBdY1UgEzWoFoYyk6I9jx7zQa+8yVxKncRx1AzQkOmijuoiFtGiSmaxlmou5B6ZCSyFLdDZHEwLg5kJJIVlg16ZSZ3nWRHrqMrns0jOF/OoSuZxlMhpPBN1NVski/0xE1gKW6CzOZgWBjMTSArLBt2YyXwhsmyW1VFib/6VSTaNqulUNaFqbv5srjdLWvtgJrAUtkBnczAtDGYmkBSWDXptJvZaxWoRLeramJRIU2NSdR7FU1HoaSrnzZXC+2ImsBS2QGdzMC0MZiaQFJYNehV0klmSzFQR1Wphi+dpHOlC2t3lcZLFcVov9uc4gYxBKaz5NqzGYFoYyEwMT7uZ8EHv02YnGYczsEHP4BvhWp/TBZ1Aogngsp9DZL+ky7770rS3G7oymTFd6AwtNNZknkDUPqET9N3loUl6eGEIVPuYb8MpA6qFwcIQoPbhg14ltVk8q0QiIpXajVHmvxbVWVzYBFiZ/DfJ66LYHzMB1T7m27Aag2lhMDMB1D580AdXIssYVPuYb0NrDKSFwcwEUPvwQR/cgptMYLVPEi4DXP4XpIWhzCSB1D5s0AfX5ZEJaPnefBtWYzAtDGYm7Xn0mA/64Lo8MoGlsAk+mwNpYTAzgaSwbNAHt7XAhE+YmaCzOZgWBjMTSArLBn1wG5VkAkthE3Q2B9PCYGYCSWHZoA9u26NMYSlsis7mYFoYykxSSArLBn1wm6hlCkthU3Q2B9PCYGYCSWHZoPeqy5OGM7BB7y40wrU+pws6gUQTwGU/h8h+SZd996Vpbzd0ZTJjutAZWmisyTyBqH1CJ+i9y0OS9PDCEKz2ScNlgON+NpgWBgtDkNqHDfoAk1pY7ZOGywCHxmBaGMxMILUPG/ThlcgCVvuIcBngerFAWhjKTASk9mGDPrwFNwGrfUS4DHBoDKaFwcwEUvuwQR9el0fAlu8FMlGDamEwM2nPo8d80IfX5RGwFFagszmYFgYzE0gKywa9uryrKmbpNEsinTbfK1RUJ4WO5kUeJ7N6lis53x8zgaWwAp3NwbQwmJlAUlg26MPbgSJhKaxEZ3MwLQxlJhKSwrJBH95+NglLYSU6m4NpYTAzgaSwbNCHt4lawlJYic7mYFoYzEwgKSwbtPnnD49XF7jtzc1tUoYzMb1L22u3R7bnkhd0AokmgMt+DpH9ki777svT3nboymTGdKEztNBYk3kCUfuETtB7t4ckaVMDibxKdGED1iw2PslWTon5baHjVGc6F3Wxtv99CEewGkiGy4EbyoBqYbBwBKmB2KD/ohlBZH785qmdXV2AptmQVNGMIJIq9sEXbvjVzBoJv5QWRAD3Ns2QIZ/YE7rYu/4FJDbUxazHCPnEtt6GIncj+Npwnu1TaqOCo0bTQWczGOFa3/0LOgFvagOQ/ZIuu8LITvY8bn9DFrqP1Aag9gmdoPfUhiTpamzeX6xKblNYzepqrqN6oW21tZhFRTKbRXGVx7kqcpHFN2YF7VrX/NvzrcV0amCb0CY8oU25VyMs5S45lNRpiSBAuDGuI5+basJGtWudICqogW4Do5vKfoUBy3JlbeYJSgBuY57yeKzi3Gejnjm5Jh9ICi3htzeAMNBGKI8nPtkndNn7ycHk8b17PuEbUyRI/1ImNqBFeQaGGuQgEnyTKIgAbUyekaB0sfuxI9+4T5rc+2FBmc+CVBAJvvAEIkBbkFvsCV3sfizILXZjWwS5reBycAvyBjTPctoaqRjYgryxjCp2Pxbkj2IUuffDB2mfBeUhJBUPbEFusSd0sfuxILfYjW0R5N4PH2TnqGfKfOR2mLqdrS61naiu7RcKZfPuxGdk/lHdlhq+DAGCRBuZHaZuyCaWbGLJJpZsYskmlmziI5vQyfqxw2acukEzn3kzVL0Zs27p7Gfz1UI1mbsbsLFlAmHTsVkb6rNh1lB/f9OMUUXrMtO3zDcFKQcdMAghuKATSDQBXPZziOyXdNkVRna6B9w0uAAwYzrMrrNrh8Ga0hMIwYROwLfm+vtWr3e3ojncFEVmK7Q2eVumpYwqPY8jWYh5VC2KRVTNF0mi5lUcz6fPdmLvYI3lDLZrMvNsIPQpA6oF5zvXCn/79y6D7Jpkg15th6tiMZ9NF1EtZ0UkY6WjomhG6arFIq7iPJ4V+2MmCcxMPB0Lv8ZgWhjMTNobSmM+6NXmWlWoSs/m5ov2OslkWhhripOomOd5leZzOU9m+2MmsM21mbtZENAYTAuDmQlkcy0b9Op82DSbK3v6Q6f2ewtZRLWez6NE1fNpUZukPFf7YyYCZibBJX6XxmBaGMxMBMRMuKBX3gR0Te2+mAlsD3YmsRqDaWEwM4HswWaDXu/BTgavsjPVqgbz7FVQDXJXDb1W2QCCCzqBRBPAZT+HyH5Jl333rWov625hSiUEZkyH6aPKBhBM6ASsVXam7m5Fu1llk2Q+vCobdtI5y3DKgGphsEjWftRgzAfdmElVzRb1PKuiqk5sDp3WUSXrLMqkqrN6URTJHl2vkeUwMwm3fBwag2lhMDPJIWbCBd2YyWI6zRZ5PY10PjXJUTFNTG1eTaNFVqVpVdda53p/zAR2GCQL91kcGoNpYTAzgRwGYYM+wCq7gJlJeJ3boTGYFgYzk/aGxJgP+vCq7BzWAcjDi+EOjcG0MJSZ5JAOABv0Xwxzn+22uM7bF7bNIw8tbBfpsMU1gOCCTiDRBHDZzyGyX9Jl332Z2qu5W5hSCYEZ02H6KK4BBBM6AWtxnSd3t6LdLK5JMh9eAIM1nfJQ/8WhDKgWBgtgkKYTG/ThpcM5rOmUh/ovTo3BtDCYmUCaTmzQh7cGk8OaTlZinMZgWhjMTCBNJzbow1uDyRXMTBRWYzAtDGYm7X2IMR/04S3857CF/zy0Bu7UGEwLg5kJZOGfDbo5A2/JV+A2tgzayc7b17eNCYTXt/2ncXspttsJLugEEk0Al/0cIvslXfbdl6u9uruFKZUQmDEdppdiu51gQifgLbbzu1vRHMU2RebDq6Jgvac83IZxzbIFaWGwgAbpPbFBN2YSi1Rmc5MZpbM8jWRamBxJZHFUiSxTWawKUe/Rmgys95QXWI3BtDCYmUB6T2zQq2I7SYtipqZRlVU6kirXkU6SeVRU06yem581CfXemImG9Z50uA3j0BhMC0OZiYb0ntigD+/0iYadPtHhgxiukccgLQxmJu19iTEf9OGdPtGwRoAOH8RwaAymhcHMBNIIYIMeupOt29e3zSMPr2+rXfpei2sAwQWdQKIJ4LKfQ2S/pMu++zK1V3O3MKUSAjOmw/RRXAMIJnQC1uJai7tb0W4W1ySZDy/PgfWetMQpA6qFwQIYpPfEBn2AeQ6s96QVVmMwLQxmJpDeExt0YyYqVXVl/huRkMksknWWR1UeG7uSKha1irPFHvWeNKz3pMNtGIfGYFoYzEwgvSc26MNbqtOwQyc6tLzt1BhMC4OZSXsfYswHfXgL/xq28K9Da+BOjcG0MJiZQBb+2aAHL67b17PNIy+C9MN2rgEEF3QCiSaAy34Okf2SLvvuy9Rezd3ClEoIzJgO00tx3U4woRPwFtf2prO1aI7imiLzwQWwAtZrKkJtF4cyoFoYKoAVkF4TG/ThpcMFrNdUhI9W0Ju4Q5kJpNfEBn14xXUB6zUV4fMXDo3BtDCYmUB6TWzQh7eiW8AOnRTh5W16E3coM2nvQ4z5oA9vRbeALfzbqZQ4jcG0MJiZQBb+2aCHLq6L9vVs88hVkN4/XKeP4hpAcEEnkGgCuOznENkv6bLvvkzt1dwtTKmEwIzpMH0U1wCCCZ2Atbgu7AVna9FuFtckma3QsKNz+xLAYL2mItx2uaEMqBYGC2CQXhMb9OGdmixgvaYi3HZxaAymhcHMBNJrYoM+wOIa1msqwm0Xh8ZgWhjMTCC9JjboA1yqgx0yKcLL2w6NwbQwmJm09yHGfNAHt/CvYtDCv4rDa+AOjcG0MJCZGJ52M+GDHri4VnH7erZ55OH1bP/c0R6KawjBBZ1Aogngsp9DZL+ky777MrVXc7cwpRICM6bD9FBcQwgmdALO4tpIdXcr2o3imibz4QUwUK/JfBtOGVAtDBbAAL0mPuiDS4dNMg8zk3DbxaExmBYGMxNAr4kPujGTNK3VfCGrKDZfi5JkriMdz4oojlWsMq2TQqX7YyagXpP5NqzGYFoYzEwAvSY+6IPrXBvpYWaisBqDaWEwM2nvQ4z5oA+uc61i0MK/+TasxmBaGMxMAAv/fNDNBWfNP+avELu2sKsO0CBwkjaaOe4qds+mN18IrWhrBW84ggjgZVEzpN0n9oQu9m4hBBIbXAutJrD7xLZfochtBU8Gt6DCZ0HhG5XgVTWIAG1BbrEndLH7sSC32I1tEeRuuktDW1ASH4+z2H6kifmQ0nxor18KrY1rVQxrVQZlYlEmFmViUSY+lAkdpRdLMyj37lkW82lgzKehMZ8enMY2CTx74cMSY3cqFeZDZh67S4I3OmXxwHZnrM0CTHwAEzpAP9ZmLcwSmE8PQmOTBIb9sLDUGFci7YcvXibBy6CyZGALS41xGYCJD2BCB+jHwlJrW4lsPr1RlMRgIdYPwSb0Q95XbDBbi5tvqSS08KqzGwOIe+2dAQgu6AQSTQCX/Rwi+yVddoWRne6xNnUyAGZMh9n1Wu0wWFN6AiGY0AlYe2dJencrmsNNUWS2QsuZSPVMz6JpURSRrKssquJKRMVUzWZVNqsX+saaxGDrUwmsKZKE+gMOZUC1MNT6VAJpirBB/8X6Av5knTPZpz9sRGtf/Dc2IIPqGPSSQAjBBZ2AOaK1y35Jl3337Wp3obcwpRICM6bD9BLR2gkmdALeiCbvbkVzRDSKzFZoXczSLJZppKSaR3KRTqMij+MoidOiKhYqTtWN6m+4iAZrzCUKpwyoFgaLaJDGHBv06kROkshMySLKkqmKpNR5VKtpHi3qfBbPEq0yO1Z4X8wE1phLMqzGYFoYzEwgjTk26MZMpubv1yLJI1XP00jOi8qYlFZRsogLlU+rtKqz/TET0Ikc821YjcG0MJiZAE7k8EGvyqhkkcd5XUR5Ms8jmcRJpLNFGuXVIi1mmVqoxXx/zAR0Isd8G1ZjMC0MZiaAEzl80Nsyav3YbQ4ybBnVfvLE2ECwhZMNemIdQnBBJ5BoArjs5xDZL+my775d7Xn7LUyphMCM6TC9lFHtBBM6AW8ZVdzdiuYooygyH1xES2GnwtJwu9BxQAqmhaEiWgo5FcYG3ZhJXU/n1UIUpuSyE8ZzvYiqLDZZdVLrWVJXM6Hi/TET0HVw5tuwGoNpYTAzaT8xNOaDXvXbp2mqi/kiyvJMRLJKZaTFrIhmUmV5nsSzONufMipNYWYS7rk4NAbTwmBm0t4cG/NBr7bBHq/6C6/Ywa4qQLsBSJpYbc1I7a6MNLMf2nyI2H7Y7RrCfkHYLwj7BWm/IO0XpPRpK9yUGXjLY2p3bxjQiQWdWNCJBZ1Y0IkFnVjQiQWdWNCJD3RCB+1lq0fabPIwpPZT208RN5/NFhDRfFU0XxXNV2XzVdl81YPcbE4iMDfO8Nl+VIBpe+/AeDkZosz928T6qAABBBd0AokmgMt+DpH9ki67wshO95jb2NEOM6bD9FEBAggmdALWCjC1jbS1aA43RZG5Wfo2mX6dySyq89oE7kUhonoaT6OprupZsqhmVXUjVg+Xs8Eaafa9wCgDqoXBcjZII40N2uZsx8+G3xGStveJzKPPglrw70btJZC1E1zQCZgDWbvsl3TZd1+qds95C1MqITBjOkwvgaydYEIn4A1k2d2taI5ARpG5WcpcxPEin84jPS1UJONpYi/Zk1EayyxTc51N69mzvQlksB5uGmxn3lQGVAuDBTJID5cNetOc25feXNreqjQmEGxV5sNu2gcQXNAJmANau+yXdNl3X652D3oLUyohMGM6TC8BrZ1gQifgDWj67lY0R0CjyNwEtGk1y4VOorkokkjOZmlULIxrm1ZTkWbTROpi/WD2IaCBLvY034ZTBlQLgwW09o7ymA96Xyoz0d6h/Jb5pqAWpPfd7SOQAQgu6AS8gQwg+yVd9t2Xqt1z3sKUSgjMmA7TRyADEEzoBKyBTMR3t6LdDGQkmQ8ukAnY7gERbKTfVAZUC0MFMgHZPcAGvanM1uCDV2aivUluTCDYJM8HHaILIbigEzAHtHbZL+my775c7R70FqZUQmDGdJheAlo7wYROwBvQ7HHqtWiOgEaR2QqdCHu0ZJFEaS6LSKZxFdWVWER1USV1kuiFzvenZyZgx6lFcJ/DTWVAtTBYQIMcp2aD/ouB79IX7X1u88hlgL5I/TdR9RLA2gku6ATMAaxd9ku67LsvU7vHvIUplRCYMR2mlwDWTjChE/AGMLvpYy2aI4BRZD68AAbb9CEUThlQLQwWwCCbPtigBw9g7f1t88izEL0YdtcigOCCTsAcwNplv6TLvvsytXvMW5hSCYEZ02F6CWDtBBM6AW8As5s91qI5AhhF5sMLYLDNHiK078GhDKgWBgtgkM0ebNCDB7D2frZ55MHJkGLY3YoAggs6AXMAa5f9ki777svU7jFvYUolBGZMh+klgLUTTOgEvAHMbu4Qvs0dJJkPL4DBNneIAqcMqBYGC2CQzR1s0EMHMNnex/6W+aYgfep9Z/sIYACCCzoBbwADyH5Jl333ZWr3mLcwpRICM6bD9BHAAAQTOgFrAJN2U4f0beogyXxwAUzCNnXI4GzSm8qAamGoACYhmzrYoAcPYO19a/PI0yD9sNvrAQQXdALmANYu+yVd9t2Xqd1j3sKUSgjMmA7TSwBrJ5jQCXgDmN3EsRbNEcAoMh9eAINt4pDBmbk3lQHVwmABDLKJgw16sytx/X4OvitRtvexjQnIgDZ07r+jpZeA1k5wQSdgDmjtsl/SZd99udo96C1MqYTAjOkwvQS0doIJnYA3oNlNHWvRHAGNIrMVWlZxUWR29Gw1U5GcpnGk51kdzRdiptIqSbI9OgAtYZs6pMIpA6qFwQIaZFMHG/T29rXBBxDL/HislL1VTdlfZfaStUyZj9z+Kre/0vZX2v6qsL8qlE9bWVBb8K1nIGa4o1rdvmZAJxZ0YkEnFnRiQScWdGJBJxZ0YkEnFnTiA53QQXedGQgU7M/Wt68ZUPOpmtvUVPPrrLlfzcCaz7z5dd78Wje/1s2vi+bXHmT7t1KYG+hne5KztTfBjZcLNcG1HrYNDCC4oBNINAFc9nOI7Jd02RVGdrrH3MaOdpgxHaaXnK2dYEIn4M3Z8rtb0RxuiiJzswhRiblIlYqUHcwmi3ke1fVUm8K0mJtSNNVFtT8XK0vYRAkZvPDgpjKgWhgsZ2vfvDDmg27MJJOzPJ/ORVQnWkcyU2lkfro2P1XNkjqrZlpN98dMYLsFZIHVGEwLg5kJZLcAG3RjJroSJuuSOqr1wnxvPp9HepbKaJpnVaySJJZxvTdmomC3+avgqXOXxmBaGMpMVHsnecwHvar+zD95IqtIJiKOpJhmUZFkxv1keVynaiHnSbY/ZgJr3arg0XSXxmBaGMxMIK1bNuihW7eqvVtlHnm48zPshTIAggs6gUQTwGU/h8h+SZd992VqT9NvYUolBGZMh+mjagIQTOgErFWTsq1b5WvdkmQ+vAAGa92qcBfTcbcKTAuDBTBI65YN+gDTYQkzE4nVGEwLg5lJextvzAd9eMW1gvXNlMJqDKaFwcwE0jdjgz68pToFGyWtMqzGYFoYzEzaD8qO+aA3+4U2yYf916DNJ9W+3m5sILx2PewOWADBBZ1Aogngsp9DZL+ky777drXn7bcwpRICM6bD9FJGtRNM6AS8ZZRtPilf84kksxVaZtO4znVlUiORRDJVRaSVltFCz+JiWk/FPNuj/BjWfFLhPozrrmWQFgaLaJDmExt0YyZxNq/TmRJRVpgMWqYijfRCzaNpVc9zpQoV6z0yE1jzSYX7MA6NwbQwmJlAmk9s0NvER6/IB991k7U3Wb5lvimoDrWrjl4THwDBBZ2AN/EByH5Jl3337WqPtLcwpRICM6bD9JH4AAgmdALWxCezZ1cz39lVkszNwmCsdFJXcVQtjEeTiYyjIi50tKhmSk+TQtVx9WxfIloGa4Bm4V7gDWVAtTBURMsgDVA26MZM6mIm5sk0ibJYmiRJ6nlUCF1ExVSJ3MQ/Wcv9WfHJUpiZhHouTo3BtDCYmbQ3x8Z80KutxkrN03quzBdr8721MkmSnBnjKoRMUp1MdaH3x0xg3agseDGyS2MwLQxmJpBuFBv0ypvU07lxOkWkpJxGMteLqMpiZXxQrWfGJc2E2iNvAutGZRKrMZgWBjMTSDeKDXpbRhXP9qSMau+6GBtQQXXku+rot4xqJ7igE0g0AVz2c4jsl3TZd9+u9rz9FqZUQmDGdJheyqh2ggmdgLeMUne3ojnKKIrMTUSb51mdL+JoplO7iJiIqIprFc3krKhjrRO9SJ7tTUSDdUSzDKcMqBYGi2iQjigb9KrNEKezalHPo8T216WKZ1E9l7MoS3Qs7QlVUeyRmcDu6s3CPReHxmBaGMxM2ptjYz7oAyyjYN2oLNyYcWgMpoXBzATSjWKDXu3WWug4W8ziaJHGi0hOsyLSs6KIpvO5jDOxqGKZ74+ZwLpRWbgx49AYTAuDmQmkG8UGPfThhbx9vf1b5psC9IUYtvkEILigE0g0AVz2c4jsl3TZd1+m9jT9FqZUQmDGdJg+qiYAwYROwFo15bb5lPuaTySZDy6A5bDmUx6+Q9SxJAbTwlABLIc0n9igDy8dzmHNpzzUh3FqDKaFwcwE0nxigz684jqHNZ/y8Kkgh8ZgWhjMTCDNJzbow1uqy2HNp1xiNQbTwmBmAmk+sUEPXjW1L6+bR66C9MOOXAcQXNAJJJoALvs5RPZLuuy7L1N7mn4LUyohMGM6TC9VUzvBhE7AWzXZXtNaNEfVRJH58AIYrNeUh9ouDmVAtTBYAIP0mtigDzAdhvWa8lDbxakxmBYGMxNIr4kN+gCLa1ivKQ+PonNoDKaFwcwE0mtigz7ApTpYrykPtV2cGoNpYTAzgfSa2KA3W/bS9dbNwbfs6fb19m+ZbwqoQ2v/TdJ9lFEAggs6gUQTwGU/h8h+SZd99+1qz9tvYUolBGZMh+mjjAIQTOgErGWUts0n7Ws+kWS2QheykFWm4kjn8zySIk2jKq3yKJtVwvxfnSd6fxIfDWs+6fAhoBvKgGphqIimIc0nNuhVflxUdRHHIlK1FPY2nDzSdWUzpSxLdazkLJ/vj5nAmk86fAjIoTGYFgYzE0jziQ368MooDWs+6fAhIJfGQFoYzEwgzSc26MMrozSs+aQlVmMwLQxmJpDmExv00M0n3b7ebh65CtAXYtiDTgCCCzqBRBPAZT+HyH5Jl333ZWpP029hSiUEZkyH6aVqaieY0Al4qybbfFqL5qiaKDIfXgCDNZ90uA9D337teuda4Tt47yDNJzboA0yHYc0nHe7D0A9zDGUmkOYTG/QBFtew5pMO92FcGgNpYTAzgTSf2KAPcKkO1nzS4T6MQ2MwLQxmJpDmExu0bT5Z8GcD95yK9mX2b5lvCmhBF/GuFnqtngAEF3QCiSaAy34Okf2SLvvuS9Wert/ClEoIzJgO00f1BCCY0AlYq6fC9pwKX8+JJLMVui5mqpJCR2mVFJHM9CKqlQ16mdSzWTKbpWp/AlkB6zkVwfbLTWVAtTBUICsgPSc26MZMVFaI2aJYRHE6M99bqalJi0RqCi+dme8Tizqb74+ZwHpORbD94tIYTAuDmQmk58QGfXhFdgHrORXB9otLYzAtDGYmkJ4TG/ThLdkVsJ5TIbEag2lhMDOB9JzYoIfuORXty+zmkasAfSH0Ln2/VVM7wQWdQKIJ4LKfQ2S/pMu++zK1p+m3MKUSAjOmw/RSNbUTTOgEvFWT7TmtRXNUTRSZDy+AwXpORbj9ckMZUC0MFsAgPSc26ANMh2E9pyLcfnFoDKaFwcwE0nNigz7A4hrWcyrC7ReHxmBaGMxMID0nNugDXKqD9ZyKcPvFoTGYFgYzE0jPiQ26OfC0ijy7hrCri+/Np+++9fZ3GVRRPn34tXEWJ8fmI3drIIvDy9XJrga86S4IA57xWtknVvaJT/YJXfbdRBckOzjXtaLfu2dlt59u4e1XKNJb8W+czO7dojyvk0EOIqUDG5OnYKKL3Y8ducVuLIwgd2NB62OY8tmwLXHD1uqkv2W+KYh5YxBxn4s7EIILOoFEE8BlP4fIfkmXXWFkp7ukdbyHwIzpMD0s7kAIJnQCzsUdI9XdrWgOP0WRuVncETJemDws0rGcRVJllb3SZB6JOo0LWc9Eviie7UmencWgJpb5NpwyoFoYKM82PK1WO+aDXm0BXCQ6WQgZFTqXkZybdLyO43k0U3I2ned6ES/2ZmRUFoOaWObbsBqDaWEwMwE0sfigV1W7qCvz3XEkkmweySTRURHP62g6T01RN9UizrP9MRMFMxOF1RhMC4OZSXuDY8wHfXAdhSwGdRTMt2E1BtPCYGYC6CjwQa8Wd473YW1HH4+zJLYfwn5kPlWEVs11Ab/7HgQET33Xhbk+nliKiaWY+CgmdIp+6nRt13sMhv0UzacbpFkVIpA0DYq1oT0bunBvX4Q3Xie0CK+LQU8CQwgu6AQSTQCX/Rwi+yVddoWRne7Btr68HWZMh+mlcG8nmNAJeAt3fXcrmsNNUWS2QleJnEo1FZGopiqShcm8dDbTkchmcpYsal2LxbO9yaFADTLzbThlQLUwWA4FaJDxQW9uBFz3SYe+ENDE7VZtfCtLwi2bQS8EhBBc0Al4AxpA9ku67LsvV7sHvYUplRCYMR2mj4AGIJjQCVgDWhLf3Yp2M6CRZD64RYEEdDjLfBtOGVAtDBXQEsDhLD7oVd6jUp3O8ziaV3UVmXinIz3Xi2hWm5+Yqjqt0np/zCSFmUm4e+PQGEwLg5lJe5ttzAc98HGKLGlv15hHHh6yNHCe005wQSdgznPaZb+ky777MrUH1luYUgmBGdNheslz2gkmdALePEfc3YrmyHMoMh9eAIO1UhOJUwZUC4MFMEgrlQ36ANNhWCs1UViNwbQwmJlAWqls0Jv1neLZnqzvtHcMjQlkIW3E/g3FveQ97QQXdALmvKdd9ku67LsvV3ugvYUplRCYMR2ml7ynnWBCJ+DNe7K7W9EceQ9FZiv0NC1EmiZ1NCvENJIylZFOYxMLk7oo6jzJ8vn6Hd+HgAY6H2i+DacMqBYGC2iA84F80Ku8R87yfDoXUZ1oHUk7Qa0S89peUThL6qyaaTXdHzMBnQ8034bVGEwLg5lJezd2zAd9cOcDswTW/kxCnUCnxmBaGMxMIO1PNuhVsZ2lcRWLRZQvKptKJ0lULRbzSKpZuqjm8VQt9qfYTmOQmaShDotTYzAtDGUmaXsrbMwHfX2M9Eb2sasL0J42kipWWw3T9HicicSngVBbpYjTXQ30u8HQyD7xyT6hy97LtkIju/n0CG+/TpHeij/4MdLUbllNtc+iQh2YIhYDW5TdqOqRfUKXvR+LajaneoRvLI4gfSP+SvrB13rS9mV9E6iCS+SxfzNxH2s9AIILOoFEE8BlP4fIfkmXXWFkp3uobfhvhxnTYfpY6wEQTOgErGs9qe1xpb4eF0nmpogHHS3cl7Qb1uOy7zRGGVAtDJZ2Q3pcbNCHd6o0hfW47KPEaQymhcHMBNLjYoM+vFOlKey4YBpeRndoDKaFwcykvd8x5oNemUk9nVcLUURKymkkjQ1FVRYr81O1niV1NRNqj7wJrMGQhtfaXRoDaWEwM4E0GNigNx3ztbew/xq2impfRzcmEF5HH/aIH4Dggk4g0QRw2c8hsl/SZd99udrT9luYUgmBGdNheqmi2gkmdALeKsoe8Ut9R/xIMjcL0qmStTS5czVVIpJVWkTVLBVRkaf1PFf1NJV71LyA9bjScLvHcdoNpoXBAhqkx8UGfXh5j4D1uES43ePQGEwLQ5mJgPS42KD35zYN0bS4lP2w92pIX7NLhFsu8BEBICB4sFq1JkTT7FL2w96r4aGY0Cl6aVKIVdtLNZ/NzRoekKY5RiBpYtja0J4NnGqL9iNJxusE2zJJ7H1efaTaAIILOoFEE8BlP4fIfkmXXWFkp3uwrS9vhxnTYfpItQEEEzoBa6ot7DWYa9EcbooisxVaVbkJlkUd5bPMBtI0j+o4SaJkOs/raZ5kcbU/qbaAXYMpgt2bm8qAamGwHKq9zTbmgz68QzkC1tcSEqsxmBYGMxNIX4sNeujDx6K9XWMeuQrRy4HznHaCCzoBc57TLvslXfbdl6k9sN7ClEoIzJgO00ue004woRPw5jnq7lY0R55DkfnwAhislSoynDKgWhgsgEFaqWzQB5gOw1qpIthVdGkMpoXBzATSSmWDHjzPae8WmUce7LzIYQ8bAwgu6ATMeU677Jd02XdfpvbAegtTKiEwYzpML3lOO8GETsCb59jWqfC1TkkyH14Ag7VORbCLeFMZUC0MFsAgrVM26MNLhyWsdSqDXUSXxmBaGMpMJKR1ygY9dJ4j229cNI882J2T6S59r3kOgOCCTsCb5wBkv6TLvvsytQfWW5hSCYEZ02H6yHMABBM6AWueI5O7W9Fu5jkkmQ8vgKWwABZs4t1UBlQLgwWw9m7rmA/68NJhCWtvymCnz6UxmBYGMxNIe5MN+voaBLlrCLu6AG1GIqlitUdM2u1hMrcfhflQdvZSZveN5dJ8aN8AJilDqkngFTqIDx68VlvGpN0tZqAmFmpioSYWamKhJj6oCR2qlx1kstk7ZqjsZ2E/VTObKWt2lhky8+lBsz9BYbNw62sVrIMadE+ZbG8vGTelgpT+iwp6yc3bCS7oBBJNAJf9HCL7JV12hZGd7vG2zr8dZkyH6SU3byeY0Al4c3Pba12L5nBTFJmt0HqaCCFkEhkfmEdyXouoms9n0czO6VnIapru0elmCeu1ygynDKgWBku6IL1WNujBF5faW4jmkYdbiAMHsHaCCzoBcwBrl/2SLvvuy9TuMW9hSiUEZkyH6SWAtRNM6AS8ASy/uxXNEcAoMjd5dlzLqa7TaN6cLprlItJVuoimM5Ut4mk2XYg9WlyCXcUqwx1Fhy+HaWGwANbe+h3zQW8O1K+f+lDXknkedbB1mAx7/Zhsb35e0AmYA1e77Jd02XdfonZP2ZXJjOlC9xKg2tU+oRPwBqji7lY0R4CiyLz2PGtLH3wtSLV3qb+VqWCXOhn2Kg8AwQWdgNcjAWS/pMuuMLKTPdI2pANgxnSYPjwVgGBCJ2D1VMoON1W+4aYkmRs3JfQiFrWO4lSqSOYyi6qFqKNCzkz+lWdxLfanAadgw01VsGl9UxlQLQyVSqv23QVjPujGTPK6MDYm5pHSuohkrXVU54vM/DaeVlWVZWk13x8zgbXzVbCz7dIYTAuDmQmknc8GvfIm2XQqq7qIlIizSMo6juo4nUW5mFapnE2lyvbIm8Da+Sp8cNf1YoG0MJiZQNr5bNCNmcxEkU2FFJGM56aIF/E8qo0Di6YLPddVEi/SXO6PmcBOKyuJ1RhMC4OZCeS0Mhv06ooWWcv5bGo8T2xNKkuyqJ6ni6iYyTy3NhUX1f6YCewWXqWwGoNpYTAzae+ujvmgV95kLqVO4jhqhqrIdFFHdRGLaFEls1hLNRdyj8wE1s5UGVZjMC0MZiaQdiYbdGMm8bzO6+kijappok0eM5tHei6ySEyntZzOTHYT78+YPwU7OqqCHRSXxmBaGMxM2ltdYz7olTep8zwrYh1V+XwWyfliHlXJPI4SOY1noq5mi2SxP2YC6y2pYJvF+WKBtDCYmUB6S2zQjZnMFyLLZlkdJfbqb5lkU2NcU9VkNHPzZ3Od7pE3gZ3jU+HlbofGYFoYzEza+xJjPui1mdjbUatFtKhrY1IiNT4oqfMonopCT1M5FyLbGzPJYOf4MuRaI1QLQ5lJ1r4oPOaDXgWdZJYkM1VEtVrYNZZpHOlC2sMTcZLFcVov9ui0TAZbhc3QC5IwLQxmJpBVWDbooXfkZe2Li+aRBxcXpdyl77WNCCC4oBNINAFc9nOI7Jd02Xdfpva+1S1MqYTAjOkwGRoGa0pPIAQTOgFrGzGz15SuRbvZRiTJfHgBDLbwn4WPtN1QBlQLgwUwyMI/G/QqHc7iWSUSEanU7t6TsYzqLC5s6qxM5pzkdVHsj5nAFv4zidUYTAuDmQlk4Z8N+vCK6wy28J8ptMZAWhjMTCAL/2zQh7dUl8EW/rPgGrjT/4K0MJiZQBb+2aAPb+E/gy38Z8E1cJfGYFoYzEwgC/9s0IfXbc5gC/9Z+HyFQ2MwLQxmJpCFfzbow+s2Z7CF/yy4Bu70vyAtDGYmkIV/NujD2+KUwxb+8/Bddi6NgbQwlJnkkIV/NujD2zCZwxb+8/CdYQ6NwbQwmJlAFv7ZoA9v+3WewswEudYI1cJgZtK+KDzmgz68wxw5bBU2Ry9IwrQwmJlAVmHZoIduI+bti4vmkcsg/bDnowEEF3QCiSaAy34Okf2SLvvuy9Tet7qFKZUQmDEdJkPDYE3pCYRgQidgbSPm8u5WtJttRJLMhxfAYAv/ucIpA6qFwQIYZOGfDfoA02HYwn8eXgN3aAymhcHMBLLwzwZ9gMU1bOE/D6+Bu14skBYGMxPIwj8b9AEu1cEW/vPwGrhDYzAtDGYmkIV/NujD6w/lsIX/PLwG7tAYTAuDmQlk4Z8N+vD6Qxq28K/Da+CuFwukhaHMREMW/tmgD29TgoYt/OvwGrhDYzAtDGYmkIV/NujGTJKqmKXTLIl02piUUFGdFDqaF3mczOpZruR8f8wEtvCvw2vgDo3BtDCYmUAW/tmgD28nnIYt/OvwGrjL/4K0MJiZQBb+2aAPb1+thm2/1hKrMZgWBjOT9kXhMR/04R3m0LBVWK2wGoNpYTAzgazCskGbf/7weHXH6aCXm+r2RUbz6IOLjIne1UKv7UQAwQWdQKIJ4LKfQ2S/pMu++1K1969uYUolBGZMh8nQMFhTegIhmNAJWNuJOru7Fe1mO5Ekc1M9ibxKdGFD3Sw23syW5on5baHjVGc6F3WxfkP2IZDBGgA6uBZ+UxlQLQwWyCANADbov2imC5ofv3nucFcXoEF1JFWspgtqO1OwiH0aCN9mU3jf213PA8KAO5/VEEFtRwd6ZJ/QZd/1OSDZwW5nPStQN/MBPcLbr1Okb8RfG9KzYZIkj/sILn6n/rmNvSRD7cv3F3QC5mSoXfZLuuwKIzvZE3lcD1XoXpKedrVP6AS8SY+dPbEWzeF2KDKvZ0+sFb9fU2+KYD8lHXZcW9HeEbqgE/B6HoDsl3TZFUb2jj0PWeg+PA9A7RM6AavnKewsicI3S4Ik82pK9+qf3zl+6W/9na//zjcS8yev/HWrHzp+6e/Z/Mn33v2fvz3/nmH/ncXb333X/nv69rfffsf+onrnj2v7t30j/YaSOjcVy+98t/qO/Q88ees78+8dPZr/T0fnb3+n+q75r33vrT83X0jS49/5s+/O5u98+63v2u/77tvmX+bHqm+/9cfftZZp/9o/efudt/7c/Leqb5vv+PZ88a758f/3/J1335o2fzI13zZ/x/zZ//RO9adP5v/J/My77/zZ3PwttUGcv9PIWr/97rtvf2f1K/uHpaXY/AePHQhx84+pP45/Z/ZW9cdvf9f+tyg/3QhM+sl33vrjPyH+6Ltv/ynlB81PLt76dgNq/20t1HzD997+tnn81hZm970/aw2jeufdm9+wsQVrDH/2nXr+zjfefseY2cqA7K/uvz2z/5UH8+/O3zFKNt/3p++8/e6qkLDf9e23p/9xbsxv88dzK8vqtTJ/+NZ3/8T4snet8P9/VCIBtw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</si>
  <si>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</si>
  <si>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</si>
  <si>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</si>
  <si>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</si>
  <si>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</si>
  <si>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</si>
  <si>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</si>
  <si>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</si>
  <si>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</si>
  <si>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</si>
  <si>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</si>
  <si>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</si>
  <si>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</si>
  <si>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</si>
  <si>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</si>
  <si>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</si>
  <si>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</si>
  <si>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</si>
  <si>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</si>
  <si>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</si>
  <si>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</si>
  <si>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</si>
  <si>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</si>
  <si>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</si>
  <si>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</si>
  <si>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</si>
  <si>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</si>
  <si>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</si>
  <si>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</si>
  <si>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</si>
  <si>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</si>
  <si>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</si>
  <si>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</si>
  <si>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</si>
  <si>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</si>
  <si>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</si>
  <si>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</si>
  <si>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</si>
  <si>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</si>
  <si>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</si>
  <si>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</si>
  <si>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</si>
  <si>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6.2.2.4.2.4.1.2</t>
  </si>
  <si>
    <t>Устройство перегородок на металлическом каркасе по системе Knauf / С-112 / А2-12, А2-5, А2-25</t>
  </si>
  <si>
    <t>Выгружается из БО по объектам BIM-КЦ</t>
  </si>
  <si>
    <t>1эт, 2эт, 3эт, 4эт, 5эт. Перегородки Тип-2. Перегородки С112 толщиной 125 мм, с двуслойной обшивкой влагоогнестойкими листами ГСП-DFH2 с двух сторон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</si>
  <si>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м2</t>
  </si>
  <si>
    <t>427deeed-3690-473f-b3f7-a7ed159357bd</t>
  </si>
  <si>
    <t>8f42627a-0af6-49ae-b8d1-a33d282c6df7</t>
  </si>
  <si>
    <t>0ed13e26-7903-4b3b-80e2-92ed86dbdc43</t>
  </si>
  <si>
    <t>1.1.1.1.1.1.1.1._</t>
  </si>
  <si>
    <t>1.1.1.1.1.1.1.1.1</t>
  </si>
  <si>
    <t>Прочие материалы для перегородок из ГКЛ (лента, шпатлевка, грунтовка, шуруп, дюбель и пр.) / одинарный каркас / 2 слоя облицовки</t>
  </si>
  <si>
    <t>комплект</t>
  </si>
  <si>
    <t>320320077.1521774</t>
  </si>
  <si>
    <t>26813808.1521774</t>
  </si>
  <si>
    <t>88496844-a8e0-493e-af9f-aef115ea00ec</t>
  </si>
  <si>
    <t>1.1.1.1.1.1.1.1.1._</t>
  </si>
  <si>
    <t>315454831.1521774</t>
  </si>
  <si>
    <t>1.1.1.1.1.1.1.1.2</t>
  </si>
  <si>
    <t>Профиль_/направляющий/75*40*0,60/3м</t>
  </si>
  <si>
    <t>пог. м</t>
  </si>
  <si>
    <t>320320077.54563</t>
  </si>
  <si>
    <t>26813808.54563</t>
  </si>
  <si>
    <t>da03edcf-b4d9-4058-9973-8a5ff0a070d9</t>
  </si>
  <si>
    <t>1.1.1.1.1.1.1.1.2._</t>
  </si>
  <si>
    <t>315454831.54563</t>
  </si>
  <si>
    <t>1.1.1.1.1.1.1.1.3</t>
  </si>
  <si>
    <t>Профиль_ / стоечный  / 75*50*0,6 / 2415</t>
  </si>
  <si>
    <t>320320077.720773</t>
  </si>
  <si>
    <t>26813808.720773</t>
  </si>
  <si>
    <t>e595a8de-8a09-41c9-ae01-9e77a27e4e1d</t>
  </si>
  <si>
    <t>1.1.1.1.1.1.1.1.3._</t>
  </si>
  <si>
    <t>315454831.720773</t>
  </si>
  <si>
    <t>1.1.1.1.1.1.1.1.4</t>
  </si>
  <si>
    <t>Плита звукоизоляционная / Техноакустик / 50 мм</t>
  </si>
  <si>
    <t>м3</t>
  </si>
  <si>
    <t>320320077.1721598</t>
  </si>
  <si>
    <t>26813808.1721598</t>
  </si>
  <si>
    <t>3c6e5100-8209-4949-b8ee-15bec9b49575</t>
  </si>
  <si>
    <t>1.1.1.1.1.1.1.1.4._</t>
  </si>
  <si>
    <t>315454831.1721598</t>
  </si>
  <si>
    <t>1.1.1.1.1.1.1.1.5</t>
  </si>
  <si>
    <t>Гипсовые строительные плиты_ / влагостойкий и огнестойкий / 12,5*1200*2500</t>
  </si>
  <si>
    <t>320320077.54552</t>
  </si>
  <si>
    <t>26813808.54552</t>
  </si>
  <si>
    <t>e60da313-524c-4404-b609-430511117b99</t>
  </si>
  <si>
    <t>1.1.1.1.1.1.1.1.5._</t>
  </si>
  <si>
    <t>315454831.54552</t>
  </si>
  <si>
    <t>1.1.1.1.1.1.1.2</t>
  </si>
  <si>
    <t>6.2.2.4.2.4.1.12</t>
  </si>
  <si>
    <t>Устройство перегородок на металлическом каркасе по системе Knauf / С-112 / А2-3, А2-4</t>
  </si>
  <si>
    <t>2эт, 3эт, 4эт, 5эт. Перегородки Тип-3. Перегородка типа С112 на металлическом каркасе, толщиной - 125 мм, с двуслойной обшивкой листами Кнауф-Файербор с двух сторон на одинарном металлическом каркасе из профилей ПН50x40 и ПС50х50, с внутренним заполнением минераловатной плитой толщиной 50 мм, типа ИЗОРОК Ультралайт, плотностью 35-45 кг/м³, с индексом звукопоглащения 0,80 - 0,85 αw</t>
  </si>
  <si>
    <t>49b979a4-a1b9-479a-8e71-6740e0386ea0</t>
  </si>
  <si>
    <t>26fb2242-302d-422c-a57b-be27d21da012</t>
  </si>
  <si>
    <t>1.1.1.1.1.1.1.2._</t>
  </si>
  <si>
    <t>1.1.1.1.1.1.1.2.1</t>
  </si>
  <si>
    <t>320320078.1521774</t>
  </si>
  <si>
    <t>26813813.1521774</t>
  </si>
  <si>
    <t>1.1.1.1.1.1.1.2.1._</t>
  </si>
  <si>
    <t>315454832.1521774</t>
  </si>
  <si>
    <t>1.1.1.1.1.1.1.2.2</t>
  </si>
  <si>
    <t>Профиль_/стоечный/50*50*0,60/3м</t>
  </si>
  <si>
    <t>320320078.54565</t>
  </si>
  <si>
    <t>26813813.54565</t>
  </si>
  <si>
    <t>aadfbe6a-ab19-412b-a4b6-645b6bf99174</t>
  </si>
  <si>
    <t>1.1.1.1.1.1.1.2.2._</t>
  </si>
  <si>
    <t>315454832.54565</t>
  </si>
  <si>
    <t>1.1.1.1.1.1.1.2.3</t>
  </si>
  <si>
    <t>Профиль_/направляющий/50*40*0,60/3м</t>
  </si>
  <si>
    <t>320320078.54570</t>
  </si>
  <si>
    <t>26813813.54570</t>
  </si>
  <si>
    <t>fcc6f7bc-87cc-49c1-b4ac-f6a22abb8878</t>
  </si>
  <si>
    <t>1.1.1.1.1.1.1.2.3._</t>
  </si>
  <si>
    <t>315454832.54570</t>
  </si>
  <si>
    <t>1.1.1.1.1.1.1.2.4</t>
  </si>
  <si>
    <t>320320078.1721598</t>
  </si>
  <si>
    <t>26813813.1721598</t>
  </si>
  <si>
    <t>1.1.1.1.1.1.1.2.4._</t>
  </si>
  <si>
    <t>315454832.1721598</t>
  </si>
  <si>
    <t>1.1.1.1.1.1.1.2.5</t>
  </si>
  <si>
    <t>Кнауф-Файербор с двух сторон</t>
  </si>
  <si>
    <t>320320078.54552</t>
  </si>
  <si>
    <t>26813813.54552</t>
  </si>
  <si>
    <t>1.1.1.1.1.1.1.2.5._</t>
  </si>
  <si>
    <t>315454832.54552</t>
  </si>
  <si>
    <t>1.1.1.1.1.1.1.3</t>
  </si>
  <si>
    <t>1эт, 5эт. Перегородки Тип-7. Перегородка типа С116 толщиной 200 мм,с двуслойной обшивкой листами ГКЛВО на двойном разнесенном стальном каркасе из профилей ПН50x40 и ПС50х50 , с внутренним заполнением минераловатной плитой толщиной 50 мм, плотностью 35-45 кг/м3, теплопроводностью 0,040 Вт/(м*°С).</t>
  </si>
  <si>
    <t>1.1.1.1.1.1.1.3._</t>
  </si>
  <si>
    <t>1.1.1.1.1.1.1.3.1</t>
  </si>
  <si>
    <t>320320146.54552</t>
  </si>
  <si>
    <t>26813811.54552</t>
  </si>
  <si>
    <t>1.1.1.1.1.1.1.3.1._</t>
  </si>
  <si>
    <t>315454833.54552</t>
  </si>
  <si>
    <t>1.1.1.1.1.1.1.3.2</t>
  </si>
  <si>
    <t>320320146.1721598</t>
  </si>
  <si>
    <t>26813811.1721598</t>
  </si>
  <si>
    <t>1.1.1.1.1.1.1.3.2._</t>
  </si>
  <si>
    <t>315454833.1721598</t>
  </si>
  <si>
    <t>1.1.1.1.1.1.1.3.3</t>
  </si>
  <si>
    <t>320320146.54565</t>
  </si>
  <si>
    <t>26813811.54565</t>
  </si>
  <si>
    <t>1.1.1.1.1.1.1.3.3._</t>
  </si>
  <si>
    <t>315454833.54565</t>
  </si>
  <si>
    <t>1.1.1.1.1.1.1.3.4</t>
  </si>
  <si>
    <t>320320146.54570</t>
  </si>
  <si>
    <t>26813811.54570</t>
  </si>
  <si>
    <t>1.1.1.1.1.1.1.3.4._</t>
  </si>
  <si>
    <t>315454833.54570</t>
  </si>
  <si>
    <t>1.1.1.1.1.1.1.4</t>
  </si>
  <si>
    <t>6.2.2.4.2.4.2.4</t>
  </si>
  <si>
    <t>Облицовка стен по системе Knauf / С-626 / в 2 слоя / А-10, А-27</t>
  </si>
  <si>
    <t xml:space="preserve">Подвал, 1эт, 2эт, 3эт, 4эт, 5эт. Перегородки Тип-4. Облицовка типа С626 на отнесенном металлическом каркасе толщиной 75 мм, с двуслойной обшивкой влагостойкими гипсокартнонными листами ГСП-H2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
</t>
  </si>
  <si>
    <t>b14f4e38-3585-4dc2-957c-30490faf4592</t>
  </si>
  <si>
    <t>efdd910f-d4d5-47d8-bf4c-279f25591fc4</t>
  </si>
  <si>
    <t>1.1.1.1.1.1.1.4._</t>
  </si>
  <si>
    <t>1.1.1.1.1.1.1.4.1</t>
  </si>
  <si>
    <t>320320080.1721598</t>
  </si>
  <si>
    <t>26813816.1721598</t>
  </si>
  <si>
    <t>1.1.1.1.1.1.1.4.1._</t>
  </si>
  <si>
    <t>315454835.1721598</t>
  </si>
  <si>
    <t>1.1.1.1.1.1.1.4.2</t>
  </si>
  <si>
    <t>Прочие материалы для облицовки стен из ГКЛ (лента, шпатлевка, грунтовка, шуруп, дюбель и пр.)_ / 2 слоя ГКЛ / профиль ПН/ПС 75 мм</t>
  </si>
  <si>
    <t>320320080.1571304</t>
  </si>
  <si>
    <t>26813816.1571304</t>
  </si>
  <si>
    <t>03246ec1-2d72-4291-b360-a366560593b9</t>
  </si>
  <si>
    <t>1.1.1.1.1.1.1.4.2._</t>
  </si>
  <si>
    <t>315454835.1571304</t>
  </si>
  <si>
    <t>1.1.1.1.1.1.1.4.3</t>
  </si>
  <si>
    <t>Лист гипсокартонный_ / ГСП-Н2 ПЛУК / 12,5 мм</t>
  </si>
  <si>
    <t>320320080.1521731</t>
  </si>
  <si>
    <t>26813816.1521731</t>
  </si>
  <si>
    <t>a1299d5c-a6a8-4578-811e-9ac6be42922a</t>
  </si>
  <si>
    <t>1.1.1.1.1.1.1.4.3._</t>
  </si>
  <si>
    <t>315454835.1521731</t>
  </si>
  <si>
    <t>1.1.1.1.1.1.1.4.4</t>
  </si>
  <si>
    <t>320320080.54563</t>
  </si>
  <si>
    <t>26813816.54563</t>
  </si>
  <si>
    <t>1.1.1.1.1.1.1.4.4._</t>
  </si>
  <si>
    <t>315454835.54563</t>
  </si>
  <si>
    <t>1.1.1.1.1.1.1.4.5</t>
  </si>
  <si>
    <t>320320080.720773</t>
  </si>
  <si>
    <t>26813816.720773</t>
  </si>
  <si>
    <t>1.1.1.1.1.1.1.4.5._</t>
  </si>
  <si>
    <t>315454835.720773</t>
  </si>
  <si>
    <t>1.1.1.1.1.1.1.5</t>
  </si>
  <si>
    <t xml:space="preserve">Подвал, 1эт, 2эт, 3эт, 4эт, 5эт. Перегородки Тип-5. Облицовка типа С626 на отнесенном металлическом каркасе толщиной 75 мм, с двуслойной обшивкой влагоогнестойкими гипсокартонными листами ГСП-DFН2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αw.
</t>
  </si>
  <si>
    <t>1.1.1.1.1.1.1.5._</t>
  </si>
  <si>
    <t>1.1.1.1.1.1.1.5.1</t>
  </si>
  <si>
    <t>320320147.54563</t>
  </si>
  <si>
    <t>26813817.54563</t>
  </si>
  <si>
    <t>1.1.1.1.1.1.1.5.1._</t>
  </si>
  <si>
    <t>315454836.54563</t>
  </si>
  <si>
    <t>1.1.1.1.1.1.1.5.2</t>
  </si>
  <si>
    <t>320320147.720773</t>
  </si>
  <si>
    <t>26813817.720773</t>
  </si>
  <si>
    <t>1.1.1.1.1.1.1.5.2._</t>
  </si>
  <si>
    <t>315454836.720773</t>
  </si>
  <si>
    <t>1.1.1.1.1.1.1.5.3</t>
  </si>
  <si>
    <t>Лист гипсокартонный_ / ГСП-DF ПЛУК / 12,5 мм</t>
  </si>
  <si>
    <t>320320147.1521733</t>
  </si>
  <si>
    <t>26813817.1521733</t>
  </si>
  <si>
    <t>525ba485-341d-4b67-a708-94503b506fec</t>
  </si>
  <si>
    <t>1.1.1.1.1.1.1.5.3._</t>
  </si>
  <si>
    <t>315454836.1521733</t>
  </si>
  <si>
    <t>1.1.1.1.1.1.1.5.4</t>
  </si>
  <si>
    <t>320320147.1571304</t>
  </si>
  <si>
    <t>26813817.1571304</t>
  </si>
  <si>
    <t>1.1.1.1.1.1.1.5.4._</t>
  </si>
  <si>
    <t>315454836.1571304</t>
  </si>
  <si>
    <t>1.1.1.1.1.1.1.5.5</t>
  </si>
  <si>
    <t>320320147.1721598</t>
  </si>
  <si>
    <t>26813817.1721598</t>
  </si>
  <si>
    <t>1.1.1.1.1.1.1.5.5._</t>
  </si>
  <si>
    <t>315454836.1721598</t>
  </si>
  <si>
    <t>1.1.1.1.1.1.1.6</t>
  </si>
  <si>
    <t>Подвал, 1эт, 2эт, 3эт, 4эт, 5эт. Перегородки Тип-5а. Облицовка типа С626 на отнесенном металлическом каркасе толщиной 87,5 мм, с двуслойной обшивкой влагоогнестойкими гипсокартонными листами ГСП-DFН2 с одной стороны и однослойной обшивкой влагоогнестойкими гипсокартонными листами ГСП-DFН2 с внутренней стороны ниши ЭОМ,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</si>
  <si>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1.1.1.1.1.1.1.6._</t>
  </si>
  <si>
    <t>1.1.1.1.1.1.1.6.1</t>
  </si>
  <si>
    <t>320320148.1721598</t>
  </si>
  <si>
    <t>26813818.1721598</t>
  </si>
  <si>
    <t>1.1.1.1.1.1.1.6.1._</t>
  </si>
  <si>
    <t>315454837.1721598</t>
  </si>
  <si>
    <t>1.1.1.1.1.1.1.6.2</t>
  </si>
  <si>
    <t>320320148.1571304</t>
  </si>
  <si>
    <t>26813818.1571304</t>
  </si>
  <si>
    <t>1.1.1.1.1.1.1.6.2._</t>
  </si>
  <si>
    <t>315454837.1571304</t>
  </si>
  <si>
    <t>1.1.1.1.1.1.1.6.3</t>
  </si>
  <si>
    <t>320320148.1521733</t>
  </si>
  <si>
    <t>26813818.1521733</t>
  </si>
  <si>
    <t>1.1.1.1.1.1.1.6.3._</t>
  </si>
  <si>
    <t>315454837.1521733</t>
  </si>
  <si>
    <t>1.1.1.1.1.1.1.6.4</t>
  </si>
  <si>
    <t>320320148.54563</t>
  </si>
  <si>
    <t>26813818.54563</t>
  </si>
  <si>
    <t>1.1.1.1.1.1.1.6.4._</t>
  </si>
  <si>
    <t>315454837.54563</t>
  </si>
  <si>
    <t>1.1.1.1.1.1.1.6.5</t>
  </si>
  <si>
    <t>320320148.720773</t>
  </si>
  <si>
    <t>26813818.720773</t>
  </si>
  <si>
    <t>1.1.1.1.1.1.1.6.5._</t>
  </si>
  <si>
    <t>315454837.720773</t>
  </si>
  <si>
    <t>1.1.1.1.1.1.1.7</t>
  </si>
  <si>
    <t>Подвал, 1эт, 2эт, 3эт, 4эт, 5эт. Перегородки Тип-6. Облицовка типа С626 на отнесенном металлическом каркасе, толщиной - 75 мм, с двуслойной обшивкой листами Кнауф-Файербор с одной стороны на одинарном металлическом каркасе из профилей ПН50x40 и ПС50х50, с внутренним заполнением минераловатной плитой толщиной 50 мм, типа ИЗОРОК Ультралайт, плотностью 35-45 кг/м³, с индексом звукопоглащения 0,80 - 0,85 αw</t>
  </si>
  <si>
    <t>1.1.1.1.1.1.1.7._</t>
  </si>
  <si>
    <t>1.1.1.1.1.1.1.7.1</t>
  </si>
  <si>
    <t>320320149.54565</t>
  </si>
  <si>
    <t>26813819.54565</t>
  </si>
  <si>
    <t>1.1.1.1.1.1.1.7.1._</t>
  </si>
  <si>
    <t>315454838.54565</t>
  </si>
  <si>
    <t>1.1.1.1.1.1.1.7.2</t>
  </si>
  <si>
    <t>320320149.54570</t>
  </si>
  <si>
    <t>26813819.54570</t>
  </si>
  <si>
    <t>1.1.1.1.1.1.1.7.2._</t>
  </si>
  <si>
    <t>315454838.54570</t>
  </si>
  <si>
    <t>1.1.1.1.1.1.1.7.3</t>
  </si>
  <si>
    <t>с двуслойной обшивкой листами Кнауф-Файерборд</t>
  </si>
  <si>
    <t>320320149.1521733</t>
  </si>
  <si>
    <t>26813819.1521733</t>
  </si>
  <si>
    <t>1.1.1.1.1.1.1.7.3._</t>
  </si>
  <si>
    <t>315454838.1521733</t>
  </si>
  <si>
    <t>1.1.1.1.1.1.1.7.4</t>
  </si>
  <si>
    <t>320320149.1571304</t>
  </si>
  <si>
    <t>26813819.1571304</t>
  </si>
  <si>
    <t>1.1.1.1.1.1.1.7.4._</t>
  </si>
  <si>
    <t>315454838.1571304</t>
  </si>
  <si>
    <t>1.1.1.1.1.1.1.7.5</t>
  </si>
  <si>
    <t>320320149.1721598</t>
  </si>
  <si>
    <t>26813819.1721598</t>
  </si>
  <si>
    <t>1.1.1.1.1.1.1.7.5._</t>
  </si>
  <si>
    <t>315454838.1721598</t>
  </si>
  <si>
    <t>1.1.1.1.1.1.1.8</t>
  </si>
  <si>
    <t>1эт, 2эт, 3эт, 4эт, 5эт. Перегородки Тип-8. Облицовка типа С626 на отнесенном металлическом каркасе, толщиной 100 мм, с двуслойной обшивкой листами Кнауф-сайлентборд с одной стороны на одинарном металлическом каркасе из профилей ПН75x40 и ПС75х50, с внутренним заполнением минераловатной плитой толщиной 75 мм, типа ИЗОРОК Ультралайт, плотностью 35-45 кг/м3, с индексом звукопоглащения 0,80 - 0,85 αw.</t>
  </si>
  <si>
    <t>1.1.1.1.1.1.1.8._</t>
  </si>
  <si>
    <t>1.1.1.1.1.1.1.8.1</t>
  </si>
  <si>
    <t>320320150.1721598</t>
  </si>
  <si>
    <t>26813809.1721598</t>
  </si>
  <si>
    <t>1.1.1.1.1.1.1.8.1._</t>
  </si>
  <si>
    <t>315454839.1721598</t>
  </si>
  <si>
    <t>1.1.1.1.1.1.1.8.2</t>
  </si>
  <si>
    <t>320320150.1571304</t>
  </si>
  <si>
    <t>26813809.1571304</t>
  </si>
  <si>
    <t>1.1.1.1.1.1.1.8.2._</t>
  </si>
  <si>
    <t>315454839.1571304</t>
  </si>
  <si>
    <t>1.1.1.1.1.1.1.8.3</t>
  </si>
  <si>
    <t>Лист гипсоволокнистый ГВЛ 12,5мм Г1</t>
  </si>
  <si>
    <t>320320150.7351</t>
  </si>
  <si>
    <t>26813809.7351</t>
  </si>
  <si>
    <t>22b5ef4a-0665-11e8-80d9-005056881952</t>
  </si>
  <si>
    <t>1.1.1.1.1.1.1.8.3._</t>
  </si>
  <si>
    <t>315454839.7351</t>
  </si>
  <si>
    <t>1.1.1.1.1.1.1.8.4</t>
  </si>
  <si>
    <t>320320150.54563</t>
  </si>
  <si>
    <t>26813809.54563</t>
  </si>
  <si>
    <t>1.1.1.1.1.1.1.8.4._</t>
  </si>
  <si>
    <t>315454839.54563</t>
  </si>
  <si>
    <t>1.1.1.1.1.1.1.8.5</t>
  </si>
  <si>
    <t>320320150.720773</t>
  </si>
  <si>
    <t>26813809.720773</t>
  </si>
  <si>
    <t>1.1.1.1.1.1.1.8.5._</t>
  </si>
  <si>
    <t>315454839.720773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</si>
  <si>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</si>
  <si>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</si>
  <si>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</si>
  <si>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</si>
  <si>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</si>
  <si>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</si>
  <si>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</si>
  <si>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</si>
  <si>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</si>
  <si>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</si>
  <si>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</si>
  <si>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</si>
  <si>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</si>
  <si>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</si>
  <si>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</si>
  <si>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</si>
  <si>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6.3.1.5.1.1.6.3</t>
  </si>
  <si>
    <t>Устройство разделительного слоя / из пленки полиэтиленовой / в 1 слой</t>
  </si>
  <si>
    <t>Применительно - пленка полиэтиленовая 120 мкр;</t>
  </si>
  <si>
    <t>672f52f6-b26d-4fee-8a2b-3f641d01bb01</t>
  </si>
  <si>
    <t>91058521-be9a-4628-9277-514b8aa56189</t>
  </si>
  <si>
    <t>8a7cac49-151b-40fd-a08b-5e72f8ff4034</t>
  </si>
  <si>
    <t>1.1.2.1.1.1.1.1._</t>
  </si>
  <si>
    <t>1.1.2.1.1.1.1.1.1</t>
  </si>
  <si>
    <t>Пленка полиэтиленовая_/150мкр</t>
  </si>
  <si>
    <t>320320087.55068</t>
  </si>
  <si>
    <t>26813857.55068</t>
  </si>
  <si>
    <t>4d328d8d-c999-4ba6-a0a3-9c5dda6dbf83</t>
  </si>
  <si>
    <t>1.1.2.1.1.1.1.1.1._</t>
  </si>
  <si>
    <t>315454846.55068</t>
  </si>
  <si>
    <t>1.1.2.1.1.1.1.2</t>
  </si>
  <si>
    <t>6.3.1.5.1.1.11.2</t>
  </si>
  <si>
    <t>Устройство стяжки СКБ / армированная сеткой от 21 мм до 40 мм</t>
  </si>
  <si>
    <t>Подвал, 1эт, 2эт, 3эт, 4эт, 5эт. Тип: 1-13, 15</t>
  </si>
  <si>
    <t>bc0e5f03-2992-4502-aa0b-a36daa7dc9b3</t>
  </si>
  <si>
    <t>21d23a99-5bd4-4d65-bcd9-e1e922edb18b</t>
  </si>
  <si>
    <t>1.1.2.1.1.1.1.2._</t>
  </si>
  <si>
    <t>1.1.2.1.1.1.1.2.1</t>
  </si>
  <si>
    <t>Фиксатор арматуры Звездочка_/15/4-16</t>
  </si>
  <si>
    <t>шт</t>
  </si>
  <si>
    <t>320320089.55160</t>
  </si>
  <si>
    <t>26813834.55160</t>
  </si>
  <si>
    <t>89d26042-545e-4f2c-9700-1029a9f50251</t>
  </si>
  <si>
    <t>1.1.2.1.1.1.1.2.1._</t>
  </si>
  <si>
    <t>315454848.55160</t>
  </si>
  <si>
    <t>1.1.2.1.1.1.1.2.2</t>
  </si>
  <si>
    <t>Смесь цементно-песчаная сухая_/М150</t>
  </si>
  <si>
    <t>кг</t>
  </si>
  <si>
    <t>320320089.54611</t>
  </si>
  <si>
    <t>26813834.54611</t>
  </si>
  <si>
    <t>a1146549-61c5-4487-b5c7-fb7d0d185669</t>
  </si>
  <si>
    <t>1.1.2.1.1.1.1.2.2._</t>
  </si>
  <si>
    <t>315454848.54611</t>
  </si>
  <si>
    <t>1.1.2.1.1.1.1.2.3</t>
  </si>
  <si>
    <t>Сетка эл/св_/100*100*4</t>
  </si>
  <si>
    <t>320320089.55155</t>
  </si>
  <si>
    <t>26813834.55155</t>
  </si>
  <si>
    <t>c5168317-5be2-4e9a-9785-1f0957ca2ab6</t>
  </si>
  <si>
    <t>1.1.2.1.1.1.1.2.3._</t>
  </si>
  <si>
    <t>315454848.55155</t>
  </si>
  <si>
    <t>1.1.2.1.1.1.1.2.4</t>
  </si>
  <si>
    <t>Лента кромочная демпферная_/8*100мм/20м</t>
  </si>
  <si>
    <t>320320089.55045</t>
  </si>
  <si>
    <t>26813834.55045</t>
  </si>
  <si>
    <t>41f707b9-71e7-4101-86f2-7af29d65f5fe</t>
  </si>
  <si>
    <t>1.1.2.1.1.1.1.2.4._</t>
  </si>
  <si>
    <t>315454848.55045</t>
  </si>
  <si>
    <t>1.1.2.1.1.1.1.3</t>
  </si>
  <si>
    <t>6.3.1.5.1.1.12.1</t>
  </si>
  <si>
    <t>Устройство наливных полов СКБ / толщ. до 10 мм</t>
  </si>
  <si>
    <t>Подвал, 1эт, 2эт, 3эт, 4эт, 5эт. Тип: 4, 5, 13 (Нивелирующая масса - 8 мм)</t>
  </si>
  <si>
    <t>b65fecf4-86b0-47e5-a873-50746e1e06fc</t>
  </si>
  <si>
    <t>1c1d8a34-6071-4900-a8e0-abeca2f16e8f</t>
  </si>
  <si>
    <t>1.1.2.1.1.1.1.3._</t>
  </si>
  <si>
    <t>1.1.2.1.1.1.1.3.1</t>
  </si>
  <si>
    <t>320320091.55045</t>
  </si>
  <si>
    <t>26813842.55045</t>
  </si>
  <si>
    <t>1.1.2.1.1.1.1.3.1._</t>
  </si>
  <si>
    <t>315454850.55045</t>
  </si>
  <si>
    <t>1.1.2.1.1.1.1.3.2</t>
  </si>
  <si>
    <t>Грунтовка универсальный ЛАСТИМИН_ / УНКОНТ ЛЮКС LP51 А</t>
  </si>
  <si>
    <t>320320091.1139608</t>
  </si>
  <si>
    <t>26813842.1139608</t>
  </si>
  <si>
    <t>bbceaf39-544c-478f-a605-41b8d1bad350</t>
  </si>
  <si>
    <t>1.1.2.1.1.1.1.3.2._</t>
  </si>
  <si>
    <t>315454850.1139608</t>
  </si>
  <si>
    <t>1.1.2.1.1.1.1.3.3</t>
  </si>
  <si>
    <t>Наливной пол_ / Унифицированный по ПИК-СТАНДАРТ</t>
  </si>
  <si>
    <t>320320091.1352734</t>
  </si>
  <si>
    <t>26813842.1352734</t>
  </si>
  <si>
    <t>1c2289ef-6763-4a24-83d9-d4567710d066</t>
  </si>
  <si>
    <t>1.1.2.1.1.1.1.3.3._</t>
  </si>
  <si>
    <t>315454850.1352734</t>
  </si>
  <si>
    <t>1.1.2.1.1.1.2</t>
  </si>
  <si>
    <t>6.3.1.5.1.2</t>
  </si>
  <si>
    <t>Гидроизоляция, тепло-звукоизоляция, утепление</t>
  </si>
  <si>
    <t>1.1.2.1.1.1.2.1</t>
  </si>
  <si>
    <t>6.3.1.5.1.2.1.1</t>
  </si>
  <si>
    <t>Устройство обмазочной гидроизоляции с проклеиванием швов армированной лентой из стекловолокна / в 1 слой</t>
  </si>
  <si>
    <t>Подвал, 3эт. Стены. Тип: 4. Гидроизоляция Кнауф-ФЛЭХЕНДИХТ</t>
  </si>
  <si>
    <t>c717a10b-7cb3-483c-8b4c-058f45a992bb</t>
  </si>
  <si>
    <t>b42a7e56-3640-4cb0-8542-f6514658a80d</t>
  </si>
  <si>
    <t>1.1.2.1.1.1.2.1._</t>
  </si>
  <si>
    <t>1.1.2.1.1.1.2.1.1</t>
  </si>
  <si>
    <t>Гидроизоляционная мастика_ / TAIKOR ELASTIC 300 / Технониколь</t>
  </si>
  <si>
    <t>320320094.644404</t>
  </si>
  <si>
    <t>26813854.644404</t>
  </si>
  <si>
    <t>c65fb646-b7b3-4f93-bc0c-c8abd1fadaa2</t>
  </si>
  <si>
    <t>1.1.2.1.1.1.2.1.1._</t>
  </si>
  <si>
    <t>315454853.644404</t>
  </si>
  <si>
    <t>1.1.2.1.1.1.2.2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</si>
  <si>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</si>
  <si>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</si>
  <si>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Подвал, 1эт, 2эт, 3эт, 4эт, 5эт. Тип: 6, 7, 8, 11.</t>
  </si>
  <si>
    <t>405b7847-8cb0-4821-ac01-f56e7770b070</t>
  </si>
  <si>
    <t>8a135a98-3599-429e-b287-6354f720abc7</t>
  </si>
  <si>
    <t>1.1.2.1.1.1.2.2._</t>
  </si>
  <si>
    <t>1.1.2.1.1.1.2.2.1</t>
  </si>
  <si>
    <t>Мастика битумная (1 слой) / 2мм</t>
  </si>
  <si>
    <t>320320095.741656</t>
  </si>
  <si>
    <t>26813846.741656</t>
  </si>
  <si>
    <t>4f00f7ce-8c95-40c1-87c4-204665e86cbd</t>
  </si>
  <si>
    <t>1.1.2.1.1.1.2.2.1._</t>
  </si>
  <si>
    <t>315454854.741656</t>
  </si>
  <si>
    <t>1.1.2.1.1.1.2.3</t>
  </si>
  <si>
    <t>6.3.1.5.1.2.2.1</t>
  </si>
  <si>
    <t>Устройство оклеечной гидроизоляции с подготовкой из битумного праймера / в 1 слой</t>
  </si>
  <si>
    <t>Подвал, 1эт, 2эт, 3эт, 4эт, 5эт. Тип: 7-13, 15 (с заводом на стену на 300 мм).</t>
  </si>
  <si>
    <t>b0e4a360-f0f4-4b32-848c-1316cdd739d6</t>
  </si>
  <si>
    <t>52b98750-a8fa-47b1-96e4-d689159ebbac</t>
  </si>
  <si>
    <t>1.1.2.1.1.1.2.3._</t>
  </si>
  <si>
    <t>1.1.2.1.1.1.2.3.1</t>
  </si>
  <si>
    <t>Гидроизоляция_ / Техноэласт Барьер Лайт</t>
  </si>
  <si>
    <t>320320097.49418</t>
  </si>
  <si>
    <t>26813848.49418</t>
  </si>
  <si>
    <t>22bca2ec-79ac-4920-b9f0-7150bfce4792</t>
  </si>
  <si>
    <t>1.1.2.1.1.1.2.3.1._</t>
  </si>
  <si>
    <t>315454856.49418</t>
  </si>
  <si>
    <t>1.1.2.1.1.1.2.4</t>
  </si>
  <si>
    <t>6.3.1.5.1.2.2.2</t>
  </si>
  <si>
    <t>Устройство оклеечной гидроизоляции с подготовкой из битумного праймера / в 2 слоя</t>
  </si>
  <si>
    <t>Подвал, 1эт, 2эт, 3эт, 4эт, 5эт. Тип: 7.</t>
  </si>
  <si>
    <t>ab19d7de-9095-4fac-ae75-1c25105ee675</t>
  </si>
  <si>
    <t>ad4405d8-675e-43c0-b835-1584bad7cf15</t>
  </si>
  <si>
    <t>1.1.2.1.1.1.2.4._</t>
  </si>
  <si>
    <t>1.1.2.1.1.1.2.4.1</t>
  </si>
  <si>
    <t>Рулонные материалы  / Техноэласт</t>
  </si>
  <si>
    <t>Мембрана водонепроницаемая</t>
  </si>
  <si>
    <t>320320098.643995</t>
  </si>
  <si>
    <t>26813849.643995</t>
  </si>
  <si>
    <t>4cad7381-e391-4dd2-9fc1-cac326c14896</t>
  </si>
  <si>
    <t>1.1.2.1.1.1.2.4.1._</t>
  </si>
  <si>
    <t>315454857.643995</t>
  </si>
  <si>
    <t>1.1.2.1.1.1.2.5</t>
  </si>
  <si>
    <t>6.3.1.5.1.2.5.1</t>
  </si>
  <si>
    <t>Утепление полов керамзитом</t>
  </si>
  <si>
    <t>Подвал, 1эт, 2эт, 3эт, 4эт, 5эт. Тип: 7 (67 мм).</t>
  </si>
  <si>
    <t>d1874649-5209-4eb5-a757-57b5fb147650</t>
  </si>
  <si>
    <t>62097f98-2dd6-4f79-887b-f40e5ac30e13</t>
  </si>
  <si>
    <t>1.1.2.1.1.1.2.5._</t>
  </si>
  <si>
    <t>1.1.2.1.1.1.2.5.1</t>
  </si>
  <si>
    <t>Керамзит_ / фр 10-20</t>
  </si>
  <si>
    <t>320320100.54646</t>
  </si>
  <si>
    <t>26813847.54646</t>
  </si>
  <si>
    <t>131465f1-2749-420a-ba3f-b9a1b118f872</t>
  </si>
  <si>
    <t>1.1.2.1.1.1.2.5.1._</t>
  </si>
  <si>
    <t>315454859.54646</t>
  </si>
  <si>
    <t>1.1.2.1.1.1.2.6</t>
  </si>
  <si>
    <t>Подвал, 1эт, 2эт, 3эт, 4эт, 5эт. Тип: 1,2,3,6 (89-90 мм).</t>
  </si>
  <si>
    <t>1.1.2.1.1.1.2.6._</t>
  </si>
  <si>
    <t>1.1.2.1.1.1.2.6.1</t>
  </si>
  <si>
    <t>320320151.54646</t>
  </si>
  <si>
    <t>26813833.54646</t>
  </si>
  <si>
    <t>1.1.2.1.1.1.2.6.1._</t>
  </si>
  <si>
    <t>315454860.54646</t>
  </si>
  <si>
    <t>1.1.2.1.1.1.2.7</t>
  </si>
  <si>
    <t>Подвал, 1эт, 2эт, 3эт, 4эт, 5эт. Тип: 4, 5 (100 мм).</t>
  </si>
  <si>
    <t>1.1.2.1.1.1.2.7._</t>
  </si>
  <si>
    <t>1.1.2.1.1.1.2.7.1</t>
  </si>
  <si>
    <t>320320152.54646</t>
  </si>
  <si>
    <t>26813841.54646</t>
  </si>
  <si>
    <t>1.1.2.1.1.1.2.7.1._</t>
  </si>
  <si>
    <t>315454861.54646</t>
  </si>
  <si>
    <t>1.1.2.1.1.1.2.8</t>
  </si>
  <si>
    <t>Подвал, 1эт, 2эт, 3эт, 4эт, 5эт. Тип: 10 (120 мм).</t>
  </si>
  <si>
    <t>1.1.2.1.1.1.2.8._</t>
  </si>
  <si>
    <t>1.1.2.1.1.1.2.8.1</t>
  </si>
  <si>
    <t>320320153.54646</t>
  </si>
  <si>
    <t>26813835.54646</t>
  </si>
  <si>
    <t>1.1.2.1.1.1.2.8.1._</t>
  </si>
  <si>
    <t>315454862.54646</t>
  </si>
  <si>
    <t>1.1.2.1.1.1.2.9</t>
  </si>
  <si>
    <t>Подвал, 1эт, 2эт, 3эт, 4эт, 5эт. Тип: 8, 9, 11, 12, 15 (139-140 мм).</t>
  </si>
  <si>
    <t>1.1.2.1.1.1.2.9._</t>
  </si>
  <si>
    <t>1.1.2.1.1.1.2.9.1</t>
  </si>
  <si>
    <t>320320154.54646</t>
  </si>
  <si>
    <t>26813850.54646</t>
  </si>
  <si>
    <t>1.1.2.1.1.1.2.9.1._</t>
  </si>
  <si>
    <t>315454863.54646</t>
  </si>
  <si>
    <t>1.1.2.1.1.1.2.10</t>
  </si>
  <si>
    <t>Подвал, 1эт, 2эт, 3эт, 4эт, 5эт. Тип: 13 (150 мм).</t>
  </si>
  <si>
    <t>1.1.2.1.1.1.2.10._</t>
  </si>
  <si>
    <t>1.1.2.1.1.1.2.10.1</t>
  </si>
  <si>
    <t>320320155.54646</t>
  </si>
  <si>
    <t>26813836.54646</t>
  </si>
  <si>
    <t>1.1.2.1.1.1.2.10.1._</t>
  </si>
  <si>
    <t>315454864.54646</t>
  </si>
  <si>
    <t>1.1.2.1.1.1.2.11</t>
  </si>
  <si>
    <t>6.3.1.5.1.2.6.1</t>
  </si>
  <si>
    <t>Проливка цементным молочком</t>
  </si>
  <si>
    <t>a1ccc2a2-0506-4d10-ba67-be520d007753</t>
  </si>
  <si>
    <t>ce6a2a40-0a2e-4d3e-b43f-ce57e8bb8ffe</t>
  </si>
  <si>
    <t>1.1.2.1.1.1.2.11._</t>
  </si>
  <si>
    <t>1.1.2.1.1.1.2.11.1</t>
  </si>
  <si>
    <t>Портландцемент_/М500</t>
  </si>
  <si>
    <t>320320102.54610</t>
  </si>
  <si>
    <t>26813794.54610</t>
  </si>
  <si>
    <t>4a099601-9ad5-4c20-8e6b-ef3d52a116bd</t>
  </si>
  <si>
    <t>1.1.2.1.1.1.2.11.1._</t>
  </si>
  <si>
    <t>315454866.54610</t>
  </si>
  <si>
    <t>1.1.2.1.1.1.3</t>
  </si>
  <si>
    <t>6.3.1.5.1.3</t>
  </si>
  <si>
    <t>Устройство покрытия полов</t>
  </si>
  <si>
    <t>1.1.2.1.1.1.3.1</t>
  </si>
  <si>
    <t>6.3.1.5.1.3.2.1</t>
  </si>
  <si>
    <t>Устройство покрытия пола из линолеума</t>
  </si>
  <si>
    <t>Включая защиту ДВП</t>
  </si>
  <si>
    <t>Подвал, 1эт, 2эт, 3эт, 4эт, 5эт. Тип: 5, 13.</t>
  </si>
  <si>
    <t>51b31787-2db2-4031-aade-329f900ef9b7</t>
  </si>
  <si>
    <t>b58ad002-5dea-4a06-b953-f640911ed5b2</t>
  </si>
  <si>
    <t>1.1.2.1.1.1.3.1._</t>
  </si>
  <si>
    <t>1.1.2.1.1.1.3.1.1</t>
  </si>
  <si>
    <t>Клей для линолеума</t>
  </si>
  <si>
    <t>FORBO 599 Eurosafe Super</t>
  </si>
  <si>
    <t>320320105.702694</t>
  </si>
  <si>
    <t>26813845.702694</t>
  </si>
  <si>
    <t>1a3e3255-5ba6-49e7-bbc8-279e1b1289a0</t>
  </si>
  <si>
    <t>1.1.2.1.1.1.3.1.1._</t>
  </si>
  <si>
    <t>315454869.702694</t>
  </si>
  <si>
    <t>1.1.2.1.1.1.3.1.2</t>
  </si>
  <si>
    <t>Грунтовка _ / универсальная водно-дисперсионная</t>
  </si>
  <si>
    <t>320320105.737422</t>
  </si>
  <si>
    <t>26813845.737422</t>
  </si>
  <si>
    <t>64d77ce3-b188-4652-a3eb-49ad1b6ad85c</t>
  </si>
  <si>
    <t>1.1.2.1.1.1.3.1.2._</t>
  </si>
  <si>
    <t>315454869.737422</t>
  </si>
  <si>
    <t>1.1.2.1.1.1.3.1.3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</si>
  <si>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</si>
  <si>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320320105.765921</t>
  </si>
  <si>
    <t>26813845.765921</t>
  </si>
  <si>
    <t>8a356048-b8f8-47ee-8d24-c76a0511040b</t>
  </si>
  <si>
    <t>1.1.2.1.1.1.3.1.3._</t>
  </si>
  <si>
    <t>315454869.765921</t>
  </si>
  <si>
    <t>1.1.2.1.1.1.3.1.4</t>
  </si>
  <si>
    <t>Линолеум (для объектов СКБ)_ / 2мм / 2635 /  Melodia  / Tarkett</t>
  </si>
  <si>
    <t>Гомогенный антистатический линолеум FORBO Sphera EC 450017 (2 мм)</t>
  </si>
  <si>
    <t>320320105.1516981</t>
  </si>
  <si>
    <t>26813845.1516981</t>
  </si>
  <si>
    <t>3333714a-4130-43c6-9167-b670b25f4e16</t>
  </si>
  <si>
    <t>1.1.2.1.1.1.3.1.4._</t>
  </si>
  <si>
    <t>315454869.1516981</t>
  </si>
  <si>
    <t>1.1.2.1.1.1.3.2</t>
  </si>
  <si>
    <t>3эт, 4эт. Тип: 4.</t>
  </si>
  <si>
    <t>1.1.2.1.1.1.3.2._</t>
  </si>
  <si>
    <t>1.1.2.1.1.1.3.2.1</t>
  </si>
  <si>
    <t>Гомогенный медицинский ПВХ линолеум FORBO Sphera Element 50003 (2 мм)</t>
  </si>
  <si>
    <t>320320156.1516981</t>
  </si>
  <si>
    <t>26813814.1516981</t>
  </si>
  <si>
    <t>1.1.2.1.1.1.3.2.1._</t>
  </si>
  <si>
    <t>315454870.1516981</t>
  </si>
  <si>
    <t>1.1.2.1.1.1.3.2.2</t>
  </si>
  <si>
    <t>320320156.765921</t>
  </si>
  <si>
    <t>26813814.765921</t>
  </si>
  <si>
    <t>1.1.2.1.1.1.3.2.2._</t>
  </si>
  <si>
    <t>315454870.765921</t>
  </si>
  <si>
    <t>1.1.2.1.1.1.3.2.3</t>
  </si>
  <si>
    <t>320320156.702694</t>
  </si>
  <si>
    <t>26813814.702694</t>
  </si>
  <si>
    <t>1.1.2.1.1.1.3.2.3._</t>
  </si>
  <si>
    <t>315454870.702694</t>
  </si>
  <si>
    <t>1.1.2.1.1.1.3.3</t>
  </si>
  <si>
    <t>6.3.1.5.1.3.16.6</t>
  </si>
  <si>
    <t>Установка напольного плинтуса / полимерного на клипсах</t>
  </si>
  <si>
    <t xml:space="preserve">Подвал, 1эт, 2эт, 3эт, 4эт, 5эт. Тип: 4, 5, 13. Плинтус коннелюрный двухсоставной h=100мм
</t>
  </si>
  <si>
    <t>698e74b3-9eaf-4cba-a5bf-f774649b1f9b</t>
  </si>
  <si>
    <t>21c16fa3-637d-446a-9841-324ac9fdd7b7</t>
  </si>
  <si>
    <t>1.1.2.1.1.1.3.3._</t>
  </si>
  <si>
    <t>1.1.2.1.1.1.3.3.1</t>
  </si>
  <si>
    <t>Плинтус напольный 65х15 L=2м Дюрополимер Белый матовый, кабель каналов-1</t>
  </si>
  <si>
    <t>320320107.3283955</t>
  </si>
  <si>
    <t>26813843.3283955</t>
  </si>
  <si>
    <t>46c0b78a-8d31-4259-8584-f8d09cbc3e6b</t>
  </si>
  <si>
    <t>1.1.2.1.1.1.3.3.1._</t>
  </si>
  <si>
    <t>315454872.3283955</t>
  </si>
  <si>
    <t>1.1.2.1.1.1.3.3.2</t>
  </si>
  <si>
    <t>Крепление / Клипса пластиковая Солид 7х60х40мм</t>
  </si>
  <si>
    <t>320320107.3285919</t>
  </si>
  <si>
    <t>26813843.3285919</t>
  </si>
  <si>
    <t>06eb2d53-6924-4232-8f5e-cabe7559508b</t>
  </si>
  <si>
    <t>1.1.2.1.1.1.3.3.2._</t>
  </si>
  <si>
    <t>315454872.3285919</t>
  </si>
  <si>
    <t>1.1.2.1.1.1.3.4</t>
  </si>
  <si>
    <t>6.3.1.5.1.3.18.1</t>
  </si>
  <si>
    <t>Облицовка ступеней СКБ керамогранитной плиткой с затиркой швов</t>
  </si>
  <si>
    <t>Подвал, 1эт, 2эт, 3эт, 4эт, 5эт. Тип:14.</t>
  </si>
  <si>
    <t>ee9b7492-3859-48da-970d-b4cb943f92b7</t>
  </si>
  <si>
    <t>fb6337dc-060b-41bd-b9cb-28c1f9d164ee</t>
  </si>
  <si>
    <t>1.1.2.1.1.1.3.4._</t>
  </si>
  <si>
    <t>1.1.2.1.1.1.3.4.1</t>
  </si>
  <si>
    <t>Ступени с насечками из керамического гранита "Викинг"_/SG605600R/ серый/300х600х11мм</t>
  </si>
  <si>
    <t>Ступень цельная из керамогранита под дерево Kerama Marrazzi, Клин Вуд (лестничные марши)</t>
  </si>
  <si>
    <t>320320109.54659</t>
  </si>
  <si>
    <t>26813851.54659</t>
  </si>
  <si>
    <t>80581ba0-af32-4140-9098-fad58c195b0a</t>
  </si>
  <si>
    <t>1.1.2.1.1.1.3.4.1._</t>
  </si>
  <si>
    <t>315454874.54659</t>
  </si>
  <si>
    <t>1.1.2.1.1.1.3.4.2</t>
  </si>
  <si>
    <t>Клей плиточный/Унифицированный по ПИК-СТАНДАРТ</t>
  </si>
  <si>
    <t>320320109.54630</t>
  </si>
  <si>
    <t>26813851.54630</t>
  </si>
  <si>
    <t>b9d3e1c1-6041-448e-9389-9c537e754b40</t>
  </si>
  <si>
    <t>1.1.2.1.1.1.3.4.2._</t>
  </si>
  <si>
    <t>315454874.54630</t>
  </si>
  <si>
    <t>1.1.2.1.1.1.3.4.3</t>
  </si>
  <si>
    <t>Затирка Цезерит СE33_/13 атрацит</t>
  </si>
  <si>
    <t>320320109.54635</t>
  </si>
  <si>
    <t>26813851.54635</t>
  </si>
  <si>
    <t>255e2be5-9cb1-4b52-84d2-49341281c898</t>
  </si>
  <si>
    <t>1.1.2.1.1.1.3.4.3._</t>
  </si>
  <si>
    <t>315454874.54635</t>
  </si>
  <si>
    <t>1.1.2.1.1.1.3.4.4</t>
  </si>
  <si>
    <t>320320109.1139608</t>
  </si>
  <si>
    <t>26813851.1139608</t>
  </si>
  <si>
    <t>1.1.2.1.1.1.3.4.4._</t>
  </si>
  <si>
    <t>315454874.1139608</t>
  </si>
  <si>
    <t>1.1.2.1.1.1.3.5</t>
  </si>
  <si>
    <t>6.3.1.5.1.3.19.1</t>
  </si>
  <si>
    <t>Устройство плинтуса из керамогранитной плитки СКБ</t>
  </si>
  <si>
    <t>Подвал, 1эт, 2эт, 3эт, 4эт, 5эт. Тип: 1, 6, 12.</t>
  </si>
  <si>
    <t>6c81bc23-a5ef-49af-8f1d-c7658256e887</t>
  </si>
  <si>
    <t>934f3c07-302a-412c-a8b5-2116f1199093</t>
  </si>
  <si>
    <t>1.1.2.1.1.1.3.5._</t>
  </si>
  <si>
    <t>1.1.2.1.1.1.3.5.1</t>
  </si>
  <si>
    <t>Плиточный клей_ / Унифицированный по ПИК-СТАНДАРТ</t>
  </si>
  <si>
    <t>320320111.1570753</t>
  </si>
  <si>
    <t>26813832.1570753</t>
  </si>
  <si>
    <t>be76b7f0-d821-4213-a0b5-d4d9b08818f1</t>
  </si>
  <si>
    <t>1.1.2.1.1.1.3.5.1._</t>
  </si>
  <si>
    <t>315454876.1570753</t>
  </si>
  <si>
    <t>1.1.2.1.1.1.3.5.2</t>
  </si>
  <si>
    <t>Плинтус из керамического гранита Дайсен_ / светло-серый / SG610300R / 100х600х11мм</t>
  </si>
  <si>
    <t>Плинтус керамогранитный в заводском исполнении типа Kerama Marazzi Клин Вуд h=100мм</t>
  </si>
  <si>
    <t>320320111.54668</t>
  </si>
  <si>
    <t>26813832.54668</t>
  </si>
  <si>
    <t>402dafbe-1652-450d-be4d-61804ef3d391</t>
  </si>
  <si>
    <t>1.1.2.1.1.1.3.5.2._</t>
  </si>
  <si>
    <t>315454876.54668</t>
  </si>
  <si>
    <t>1.1.2.1.1.1.3.5.3</t>
  </si>
  <si>
    <t>320320111.54635</t>
  </si>
  <si>
    <t>26813832.54635</t>
  </si>
  <si>
    <t>1.1.2.1.1.1.3.5.3._</t>
  </si>
  <si>
    <t>315454876.54635</t>
  </si>
  <si>
    <t>1.1.2.1.1.1.3.5.4</t>
  </si>
  <si>
    <t>Грунтовка универсальный ЛАСТИМИН_ / LP-51 А</t>
  </si>
  <si>
    <t>320320111.54634</t>
  </si>
  <si>
    <t>26813832.54634</t>
  </si>
  <si>
    <t>6f806fd0-f20f-4c69-8d99-cee4063fa047</t>
  </si>
  <si>
    <t>1.1.2.1.1.1.3.5.4._</t>
  </si>
  <si>
    <t>315454876.54634</t>
  </si>
  <si>
    <t>1.1.2.1.1.1.3.6</t>
  </si>
  <si>
    <t>Подвал, 1эт, 2эт, 3эт, 4эт, 5эт. Тип: 2, 8, 15.</t>
  </si>
  <si>
    <t>1.1.2.1.1.1.3.6._</t>
  </si>
  <si>
    <t>1.1.2.1.1.1.3.6.1</t>
  </si>
  <si>
    <t>320320157.54634</t>
  </si>
  <si>
    <t>26813838.54634</t>
  </si>
  <si>
    <t>1.1.2.1.1.1.3.6.1._</t>
  </si>
  <si>
    <t>315454877.54634</t>
  </si>
  <si>
    <t>1.1.2.1.1.1.3.6.2</t>
  </si>
  <si>
    <t>320320157.54635</t>
  </si>
  <si>
    <t>26813838.54635</t>
  </si>
  <si>
    <t>1.1.2.1.1.1.3.6.2._</t>
  </si>
  <si>
    <t>315454877.54635</t>
  </si>
  <si>
    <t>1.1.2.1.1.1.3.6.3</t>
  </si>
  <si>
    <t>Плинтус керамогранитный в заводском исполнении типа Kerama Marazzi Ясень Беж h=100мм</t>
  </si>
  <si>
    <t>320320157.54668</t>
  </si>
  <si>
    <t>26813838.54668</t>
  </si>
  <si>
    <t>1.1.2.1.1.1.3.6.3._</t>
  </si>
  <si>
    <t>315454877.54668</t>
  </si>
  <si>
    <t>1.1.2.1.1.1.3.6.4</t>
  </si>
  <si>
    <t>320320157.1570753</t>
  </si>
  <si>
    <t>26813838.1570753</t>
  </si>
  <si>
    <t>1.1.2.1.1.1.3.6.4._</t>
  </si>
  <si>
    <t>315454877.1570753</t>
  </si>
  <si>
    <t>1.1.2.1.1.1.3.7</t>
  </si>
  <si>
    <t>Подвал, 5эт. Тип: 3, 7, 9, 10, 11.</t>
  </si>
  <si>
    <t>1.1.2.1.1.1.3.7._</t>
  </si>
  <si>
    <t>1.1.2.1.1.1.3.7.1</t>
  </si>
  <si>
    <t>320320158.1570753</t>
  </si>
  <si>
    <t>26813855.1570753</t>
  </si>
  <si>
    <t>1.1.2.1.1.1.3.7.1._</t>
  </si>
  <si>
    <t>315454878.1570753</t>
  </si>
  <si>
    <t>1.1.2.1.1.1.3.7.2</t>
  </si>
  <si>
    <t>Плинтус керамогранитный Дайсен SG211200R/3BT 600х95мм светло-серый</t>
  </si>
  <si>
    <t>Плинтус керамогранитный в заводском исполнении типа Estima ST-17 h=70мм</t>
  </si>
  <si>
    <t>320320158.1747282</t>
  </si>
  <si>
    <t>26813855.1747282</t>
  </si>
  <si>
    <t>d4275771-32c8-11ee-a102-d1661ac0bb93</t>
  </si>
  <si>
    <t>1.1.2.1.1.1.3.7.2._</t>
  </si>
  <si>
    <t>315454878.1747282</t>
  </si>
  <si>
    <t>1.1.2.1.1.1.3.7.3</t>
  </si>
  <si>
    <t>320320158.54635</t>
  </si>
  <si>
    <t>26813855.54635</t>
  </si>
  <si>
    <t>1.1.2.1.1.1.3.7.3._</t>
  </si>
  <si>
    <t>315454878.54635</t>
  </si>
  <si>
    <t>1.1.2.1.1.1.3.7.4</t>
  </si>
  <si>
    <t>320320158.54634</t>
  </si>
  <si>
    <t>26813855.54634</t>
  </si>
  <si>
    <t>1.1.2.1.1.1.3.7.4._</t>
  </si>
  <si>
    <t>315454878.54634</t>
  </si>
  <si>
    <t>1.1.2.1.1.1.3.8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</si>
  <si>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</si>
  <si>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</si>
  <si>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</si>
  <si>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</si>
  <si>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1.1.2.1.1.1.3.8._</t>
  </si>
  <si>
    <t>1.1.2.1.1.1.3.8.1</t>
  </si>
  <si>
    <t>Плитка керамогранитная_ / 130х800х11 мм</t>
  </si>
  <si>
    <t>Плитка из керамогранита под дерево Kerama Marrazzi, Клин Вуд (200х800 мм)</t>
  </si>
  <si>
    <t>320320113.1137906</t>
  </si>
  <si>
    <t>26813831.1137906</t>
  </si>
  <si>
    <t>9494a650-87e7-4322-a2a7-6da3a3ab7188</t>
  </si>
  <si>
    <t>1.1.2.1.1.1.3.8.1._</t>
  </si>
  <si>
    <t>315454880.1137906</t>
  </si>
  <si>
    <t>1.1.2.1.1.1.3.8.2</t>
  </si>
  <si>
    <t>Клей плиточный/ Унифицированный по ПИК-СТАНДАРТ</t>
  </si>
  <si>
    <t>320320113.54632</t>
  </si>
  <si>
    <t>26813831.54632</t>
  </si>
  <si>
    <t>29ab9003-5b43-49a7-8ba2-846628054d7e</t>
  </si>
  <si>
    <t>1.1.2.1.1.1.3.8.2._</t>
  </si>
  <si>
    <t>315454880.54632</t>
  </si>
  <si>
    <t>1.1.2.1.1.1.3.8.3</t>
  </si>
  <si>
    <t>320320113.54635</t>
  </si>
  <si>
    <t>26813831.54635</t>
  </si>
  <si>
    <t>1.1.2.1.1.1.3.8.3._</t>
  </si>
  <si>
    <t>315454880.54635</t>
  </si>
  <si>
    <t>1.1.2.1.1.1.3.8.4</t>
  </si>
  <si>
    <t>320320113.54634</t>
  </si>
  <si>
    <t>26813831.54634</t>
  </si>
  <si>
    <t>1.1.2.1.1.1.3.8.4._</t>
  </si>
  <si>
    <t>315454880.54634</t>
  </si>
  <si>
    <t>1.1.2.1.1.1.3.9</t>
  </si>
  <si>
    <t xml:space="preserve">Подвал, 1эт, 2эт, 3эт, 4эт, 5эт. Плитка из керамогранита под дерево Kerama Marrazzi, Клин Вуд (лестничные площадки)
</t>
  </si>
  <si>
    <t>1.1.2.1.1.1.3.9._</t>
  </si>
  <si>
    <t>1.1.2.1.1.1.3.9.1</t>
  </si>
  <si>
    <t>320320159.54634</t>
  </si>
  <si>
    <t>26813820.54634</t>
  </si>
  <si>
    <t>1.1.2.1.1.1.3.9.1._</t>
  </si>
  <si>
    <t>315454881.54634</t>
  </si>
  <si>
    <t>1.1.2.1.1.1.3.9.2</t>
  </si>
  <si>
    <t>320320159.54635</t>
  </si>
  <si>
    <t>26813820.54635</t>
  </si>
  <si>
    <t>1.1.2.1.1.1.3.9.2._</t>
  </si>
  <si>
    <t>315454881.54635</t>
  </si>
  <si>
    <t>1.1.2.1.1.1.3.9.3</t>
  </si>
  <si>
    <t>320320159.54632</t>
  </si>
  <si>
    <t>26813820.54632</t>
  </si>
  <si>
    <t>1.1.2.1.1.1.3.9.3._</t>
  </si>
  <si>
    <t>315454881.54632</t>
  </si>
  <si>
    <t>1.1.2.1.1.1.3.9.4</t>
  </si>
  <si>
    <t>320320159.1137906</t>
  </si>
  <si>
    <t>26813820.1137906</t>
  </si>
  <si>
    <t>1.1.2.1.1.1.3.9.4._</t>
  </si>
  <si>
    <t>315454881.1137906</t>
  </si>
  <si>
    <t>1.1.2.1.1.1.3.10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</si>
  <si>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</si>
  <si>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</si>
  <si>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</si>
  <si>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</si>
  <si>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1.1.2.1.1.1.3.10._</t>
  </si>
  <si>
    <t>1.1.2.1.1.1.3.10.1</t>
  </si>
  <si>
    <t>Плиточный клей_ /  Унифицированный по ПИК-СТАНДАРТ</t>
  </si>
  <si>
    <t>320320114.739258</t>
  </si>
  <si>
    <t>26813839.739258</t>
  </si>
  <si>
    <t>b9d5a438-2a19-468f-b5a2-8648dd1dd258</t>
  </si>
  <si>
    <t>1.1.2.1.1.1.3.10.1._</t>
  </si>
  <si>
    <t>315454882.739258</t>
  </si>
  <si>
    <t>1.1.2.1.1.1.3.10.2</t>
  </si>
  <si>
    <t>Керамический гранит Estima YOUR COLOR_ / YC23 / 600*600*10мм</t>
  </si>
  <si>
    <t>Плитка из керамогранита под дерево Kerama Marrazzi Ясень Беж (200х1200 мм)</t>
  </si>
  <si>
    <t>320320114.720734</t>
  </si>
  <si>
    <t>26813839.720734</t>
  </si>
  <si>
    <t>5693df9f-02d9-4a5c-8432-f286d253fb6e</t>
  </si>
  <si>
    <t>1.1.2.1.1.1.3.10.2._</t>
  </si>
  <si>
    <t>315454882.720734</t>
  </si>
  <si>
    <t>1.1.2.1.1.1.3.10.3</t>
  </si>
  <si>
    <t>320320114.54635</t>
  </si>
  <si>
    <t>26813839.54635</t>
  </si>
  <si>
    <t>1.1.2.1.1.1.3.10.3._</t>
  </si>
  <si>
    <t>315454882.54635</t>
  </si>
  <si>
    <t>1.1.2.1.1.1.3.10.4</t>
  </si>
  <si>
    <t>320320114.54634</t>
  </si>
  <si>
    <t>26813839.54634</t>
  </si>
  <si>
    <t>1.1.2.1.1.1.3.10.4._</t>
  </si>
  <si>
    <t>315454882.54634</t>
  </si>
  <si>
    <t>1.1.2.1.1.1.3.11</t>
  </si>
  <si>
    <t>1.1.2.1.1.1.3.11._</t>
  </si>
  <si>
    <t>1.1.2.1.1.1.3.11.1</t>
  </si>
  <si>
    <t>320320160.54634</t>
  </si>
  <si>
    <t>26813856.54634</t>
  </si>
  <si>
    <t>1.1.2.1.1.1.3.11.1._</t>
  </si>
  <si>
    <t>315454883.54634</t>
  </si>
  <si>
    <t>1.1.2.1.1.1.3.11.2</t>
  </si>
  <si>
    <t>320320160.54635</t>
  </si>
  <si>
    <t>26813856.54635</t>
  </si>
  <si>
    <t>1.1.2.1.1.1.3.11.2._</t>
  </si>
  <si>
    <t>315454883.54635</t>
  </si>
  <si>
    <t>1.1.2.1.1.1.3.11.3</t>
  </si>
  <si>
    <t>Плитка из керамогранита неполированная матовая структурированная Estima ST-17 (600x600 мм)</t>
  </si>
  <si>
    <t>320320160.720734</t>
  </si>
  <si>
    <t>26813856.720734</t>
  </si>
  <si>
    <t>1.1.2.1.1.1.3.11.3._</t>
  </si>
  <si>
    <t>315454883.720734</t>
  </si>
  <si>
    <t>1.1.2.1.1.1.3.11.4</t>
  </si>
  <si>
    <t>320320160.739258</t>
  </si>
  <si>
    <t>26813856.739258</t>
  </si>
  <si>
    <t>1.1.2.1.1.1.3.11.4._</t>
  </si>
  <si>
    <t>315454883.739258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</si>
  <si>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</si>
  <si>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</si>
  <si>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</si>
  <si>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</si>
  <si>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</si>
  <si>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</si>
  <si>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</si>
  <si>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6.3.1.5.2.1.10.4</t>
  </si>
  <si>
    <t>Штукатурка стен цементным, цементно-песчаным раствором с предварительной огрунтовкой / толщ. до 20 мм / высотой от 4,01 до 8 метров</t>
  </si>
  <si>
    <t>Леса применяются отдельной расценкой.</t>
  </si>
  <si>
    <t>Высококачественная цементно-песчаная штукатурка по сетке (согласно АР3 листы 23-28) подвал, 1эт, 2эт, 3эт, 4эт, 5эт.</t>
  </si>
  <si>
    <t>56324057-bf2c-4551-8cad-64eee6a69934</t>
  </si>
  <si>
    <t>a8ad6d3b-7d53-43f4-a18f-4f0812fe8c74</t>
  </si>
  <si>
    <t>1.1.2.1.1.2.1.1._</t>
  </si>
  <si>
    <t>1.1.2.1.1.2.1.1.1</t>
  </si>
  <si>
    <t>Штукатурка цементная</t>
  </si>
  <si>
    <t>320320118.726518</t>
  </si>
  <si>
    <t>26813815.726518</t>
  </si>
  <si>
    <t>6340f993-804d-456a-a0be-3b2094bd37f9</t>
  </si>
  <si>
    <t>1.1.2.1.1.2.1.1.1._</t>
  </si>
  <si>
    <t>315454887.726518</t>
  </si>
  <si>
    <t>1.1.2.1.1.2.1.1.2</t>
  </si>
  <si>
    <t>Сетка штукатурная_/пластиковая/5*5</t>
  </si>
  <si>
    <t>320320118.55050</t>
  </si>
  <si>
    <t>26813815.55050</t>
  </si>
  <si>
    <t>9f181f34-9874-4ea2-b00e-d54dce78f0f0</t>
  </si>
  <si>
    <t>1.1.2.1.1.2.1.1.2._</t>
  </si>
  <si>
    <t>315454887.55050</t>
  </si>
  <si>
    <t>1.1.2.1.1.2.1.1.3</t>
  </si>
  <si>
    <t>Профиль маячковый_/ПМ6</t>
  </si>
  <si>
    <t>320320118.55029</t>
  </si>
  <si>
    <t>26813815.55029</t>
  </si>
  <si>
    <t>b3ba1810-316e-4118-90eb-ce29d5c83076</t>
  </si>
  <si>
    <t>1.1.2.1.1.2.1.1.3._</t>
  </si>
  <si>
    <t>315454887.55029</t>
  </si>
  <si>
    <t>1.1.2.1.1.2.1.1.4</t>
  </si>
  <si>
    <t>320320118.54634</t>
  </si>
  <si>
    <t>26813815.54634</t>
  </si>
  <si>
    <t>1.1.2.1.1.2.1.1.4._</t>
  </si>
  <si>
    <t>315454887.54634</t>
  </si>
  <si>
    <t>1.1.2.1.1.2.2</t>
  </si>
  <si>
    <t>6.3.1.5.2.2</t>
  </si>
  <si>
    <t>Чистовые работы по поверхности стен</t>
  </si>
  <si>
    <t>1.1.2.1.1.2.2.1</t>
  </si>
  <si>
    <t>6.3.1.5.2.2.5.2</t>
  </si>
  <si>
    <t>Монтаж стеновых панелей / ПВХ</t>
  </si>
  <si>
    <t>1эт, 2эт, 3эт, 4эт. Тип: 1, 2. HPL-панели Fundermax 0085 FH Weiss, цвет панели: RAL 9010</t>
  </si>
  <si>
    <t>ceaf9f3c-cc6f-438d-b04a-fee052df879a</t>
  </si>
  <si>
    <t>cc38b2b0-78ba-4425-95a0-d4c1d50bec1c</t>
  </si>
  <si>
    <t>1.1.2.1.1.2.2.1._</t>
  </si>
  <si>
    <t>1.1.2.1.1.2.2.1.1</t>
  </si>
  <si>
    <t xml:space="preserve">Панель ПВХ / 2700x375x5 </t>
  </si>
  <si>
    <t>320320121.1504881</t>
  </si>
  <si>
    <t>26813810.1504881</t>
  </si>
  <si>
    <t>a14c45c3-3ac5-4910-86d8-36d4d1fb8b3f</t>
  </si>
  <si>
    <t>1.1.2.1.1.2.2.1.1._</t>
  </si>
  <si>
    <t>315454890.1504881</t>
  </si>
  <si>
    <t>1.1.2.1.1.2.2.2</t>
  </si>
  <si>
    <t>6.3.1.5.2.2.8.1</t>
  </si>
  <si>
    <t>Лакокрасочные работы СКБ / окраска стен / в 2 слоя</t>
  </si>
  <si>
    <t xml:space="preserve">Подвал, 1эт, 2эт, 3эт, 4эт, 5эт. Тип: 2, 6. Подвал=1879,60; 1эт.=1200,80; 2эт.=2574,3+32,8; 3эт.=2128,30;  4эт.=2202+14;  5эт.=1818,6
</t>
  </si>
  <si>
    <t>4c24ca93-b856-4913-a3fe-bc768660074c</t>
  </si>
  <si>
    <t>923030ab-0b8a-4717-9906-e76b6d6d03d6</t>
  </si>
  <si>
    <t>1.1.2.1.1.2.2.2._</t>
  </si>
  <si>
    <t>1.1.2.1.1.2.2.2.1</t>
  </si>
  <si>
    <t>320320123.54634</t>
  </si>
  <si>
    <t>26813837.54634</t>
  </si>
  <si>
    <t>1.1.2.1.1.2.2.2.1._</t>
  </si>
  <si>
    <t>315454892.54634</t>
  </si>
  <si>
    <t>1.1.2.1.1.2.2.2.2</t>
  </si>
  <si>
    <t>Акрилатная краска / 6021</t>
  </si>
  <si>
    <t>Высококачественная акрилатная матовая моющаяся краска, цвет: RAL 9010 (класс пожароопасности - КМ1; влажное истирание - класс 1)</t>
  </si>
  <si>
    <t>320320123.1506605</t>
  </si>
  <si>
    <t>26813837.1506605</t>
  </si>
  <si>
    <t>a5282e70-eaba-4d18-8e8f-dbd99c5b2a2b</t>
  </si>
  <si>
    <t>1.1.2.1.1.2.2.2.2._</t>
  </si>
  <si>
    <t>315454892.1506605</t>
  </si>
  <si>
    <t>1.1.2.1.1.2.2.3</t>
  </si>
  <si>
    <t>Подвал, 1эт, 2эт, 3эт, 4эт, 5эт. Тип: 3. Подвал=354,2; 1эт.=13,2+1363,7; 2эт.=332,6; 3эт.=323,5;  4эт.=419,7;  5эт.=227,1</t>
  </si>
  <si>
    <t>1.1.2.1.1.2.2.3._</t>
  </si>
  <si>
    <t>1.1.2.1.1.2.2.3.1</t>
  </si>
  <si>
    <t>Высококачественная силикатная матовая моющаяся краска, цвет: RAL 9010 (класс пожароопасности - КМ0; влажное истирание - класс 1)</t>
  </si>
  <si>
    <t>320320161.1506605</t>
  </si>
  <si>
    <t>26813840.1506605</t>
  </si>
  <si>
    <t>1.1.2.1.1.2.2.3.1._</t>
  </si>
  <si>
    <t>315454893.1506605</t>
  </si>
  <si>
    <t>1.1.2.1.1.2.2.3.2</t>
  </si>
  <si>
    <t>320320161.54634</t>
  </si>
  <si>
    <t>26813840.54634</t>
  </si>
  <si>
    <t>1.1.2.1.1.2.2.3.2._</t>
  </si>
  <si>
    <t>315454893.54634</t>
  </si>
  <si>
    <t>1.1.2.1.1.2.2.4</t>
  </si>
  <si>
    <t>6.3.1.5.2.2.9.1</t>
  </si>
  <si>
    <t>Облицовка поверхности стен СКБ с затиркой швов / керамической, керамогранитной плиткой до 0,2м2/шт</t>
  </si>
  <si>
    <t>Подвал, 1эт, 2эт, 3эт, 4эт, 5эт. Тип: 4, 5.</t>
  </si>
  <si>
    <t>8d513ad3-1fbc-4730-be59-389995ce51d8</t>
  </si>
  <si>
    <t>a0ecae9b-7c0c-412d-a794-953bf76fc42d</t>
  </si>
  <si>
    <t>1.1.2.1.1.2.2.4._</t>
  </si>
  <si>
    <t>1.1.2.1.1.2.2.4.1</t>
  </si>
  <si>
    <t>Затирка Цезерит СE33_/04 серебристо-серый</t>
  </si>
  <si>
    <t>320320125.54637</t>
  </si>
  <si>
    <t>26813844.54637</t>
  </si>
  <si>
    <t>c293221b-d93c-4424-8200-e1b99b7167e3</t>
  </si>
  <si>
    <t>1.1.2.1.1.2.2.4.1._</t>
  </si>
  <si>
    <t>315454895.54637</t>
  </si>
  <si>
    <t>1.1.2.1.1.2.2.4.2</t>
  </si>
  <si>
    <t>320320125.737422</t>
  </si>
  <si>
    <t>26813844.737422</t>
  </si>
  <si>
    <t>1.1.2.1.1.2.2.4.2._</t>
  </si>
  <si>
    <t>315454895.737422</t>
  </si>
  <si>
    <t>1.1.2.1.1.2.2.4.3</t>
  </si>
  <si>
    <t>320320125.739258</t>
  </si>
  <si>
    <t>26813844.739258</t>
  </si>
  <si>
    <t>1.1.2.1.1.2.2.4.3._</t>
  </si>
  <si>
    <t>315454895.739258</t>
  </si>
  <si>
    <t>1.1.2.1.1.2.2.4.4</t>
  </si>
  <si>
    <t>Керамический гранит Kerama marazzi_ / Синий /  SG1547N /  200х200 мм</t>
  </si>
  <si>
    <t>Керамическая плитка Kerama Marazzi, 7071Т Городские цветы; цвет: белый, матовый; размер: 200х500</t>
  </si>
  <si>
    <t>320320125.1570533</t>
  </si>
  <si>
    <t>26813844.1570533</t>
  </si>
  <si>
    <t>a620a03f-7faf-4c11-affe-45d2fae0c5fb</t>
  </si>
  <si>
    <t>1.1.2.1.1.2.2.4.4._</t>
  </si>
  <si>
    <t>315454895.1570533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</si>
  <si>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</si>
  <si>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</si>
  <si>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</si>
  <si>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</si>
  <si>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</si>
  <si>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</si>
  <si>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</si>
  <si>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6.3.1.5.3.1.2.1</t>
  </si>
  <si>
    <t>Штукатурка потолка сухими смесями с установкой маяков с предварительной огрунтовкой поверхности / толщ. от 6,5 мм до 10 мм</t>
  </si>
  <si>
    <t>Подвал, 1эт, 2эт, 3эт, 4эт, 5эт. Тип потолка: 5, 6.</t>
  </si>
  <si>
    <t>e7dc8530-ab98-468a-abcd-e3dc1d41bff6</t>
  </si>
  <si>
    <t>bcd78b81-9422-406f-99c8-9674dfc13ff0</t>
  </si>
  <si>
    <t>1.1.2.1.1.3.1.1._</t>
  </si>
  <si>
    <t>1.1.2.1.1.3.1.1.1</t>
  </si>
  <si>
    <t>320320129.726518</t>
  </si>
  <si>
    <t>26813828.726518</t>
  </si>
  <si>
    <t>1.1.2.1.1.3.1.1.1._</t>
  </si>
  <si>
    <t>315454899.726518</t>
  </si>
  <si>
    <t>1.1.2.1.1.3.1.1.2</t>
  </si>
  <si>
    <t>320320129.55050</t>
  </si>
  <si>
    <t>26813828.55050</t>
  </si>
  <si>
    <t>1.1.2.1.1.3.1.1.2._</t>
  </si>
  <si>
    <t>315454899.55050</t>
  </si>
  <si>
    <t>1.1.2.1.1.3.1.1.3</t>
  </si>
  <si>
    <t>320320129.55029</t>
  </si>
  <si>
    <t>26813828.55029</t>
  </si>
  <si>
    <t>1.1.2.1.1.3.1.1.3._</t>
  </si>
  <si>
    <t>315454899.55029</t>
  </si>
  <si>
    <t>1.1.2.1.1.3.1.1.4</t>
  </si>
  <si>
    <t>320320129.1139608</t>
  </si>
  <si>
    <t>26813828.1139608</t>
  </si>
  <si>
    <t>1.1.2.1.1.3.1.1.4._</t>
  </si>
  <si>
    <t>315454899.1139608</t>
  </si>
  <si>
    <t>1.1.2.1.1.3.1.2</t>
  </si>
  <si>
    <t>6.3.1.5.3.1.6.6</t>
  </si>
  <si>
    <t>Подготовка поверхности СКБ / потолка / по штукатурке / 2мм</t>
  </si>
  <si>
    <t>42d08cea-07ba-4dbe-a8b0-b5e7c8673109</t>
  </si>
  <si>
    <t>7a2a024b-7aa6-4bee-9d60-f94b39f3d674</t>
  </si>
  <si>
    <t>1.1.2.1.1.3.1.2._</t>
  </si>
  <si>
    <t>1.1.2.1.1.3.1.2.1</t>
  </si>
  <si>
    <t>Шпатлевка гипсовая_ / белая / Унифицированная по ПИК-СТАНДАРТ, 30кг (BIM)</t>
  </si>
  <si>
    <t>320320131.1570750</t>
  </si>
  <si>
    <t>26813827.1570750</t>
  </si>
  <si>
    <t>3254b4be-ac53-4a29-ad23-972be75bc24b</t>
  </si>
  <si>
    <t>1.1.2.1.1.3.1.2.1._</t>
  </si>
  <si>
    <t>315454901.1570750</t>
  </si>
  <si>
    <t>1.1.2.1.1.3.1.2.2</t>
  </si>
  <si>
    <t>320320131.1139608</t>
  </si>
  <si>
    <t>26813827.1139608</t>
  </si>
  <si>
    <t>1.1.2.1.1.3.1.2.2._</t>
  </si>
  <si>
    <t>315454901.1139608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</si>
  <si>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</si>
  <si>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</si>
  <si>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</si>
  <si>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</si>
  <si>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</si>
  <si>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</si>
  <si>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Подвал, 1эт, 2эт, 3эт, 4эт, 5эт. Тип потолка: 1.</t>
  </si>
  <si>
    <t>55dcd11a-c570-4894-be4e-3c3874402761</t>
  </si>
  <si>
    <t>3997b616-bcf5-4c13-ae76-75afa96c846f</t>
  </si>
  <si>
    <t>1.1.2.1.1.3.2.1._</t>
  </si>
  <si>
    <t>1.1.2.1.1.3.2.1.1</t>
  </si>
  <si>
    <t>Краска акриловая  / Сeresit CN 52 / 2 слоя  / 0,4 кг на м2</t>
  </si>
  <si>
    <t>Окраска высококачественной акрилатной матовой краской, цвет: RAL 9010 (класс пожароопасности - КМ1; влажное истирание - класс 1) Стоимость ANTEGA Строитель НГ белая, 25 кг составляет 4580,00. 1кг стоит 4580/25=183,20 руб.</t>
  </si>
  <si>
    <t>320320134.1277544</t>
  </si>
  <si>
    <t>26813822.1277544</t>
  </si>
  <si>
    <t>5a7ad39b-7d6c-4727-b011-1ce7bc7160ab</t>
  </si>
  <si>
    <t>1.1.2.1.1.3.2.1.1._</t>
  </si>
  <si>
    <t>315454904.1277544</t>
  </si>
  <si>
    <t>1.1.2.1.1.3.2.1.2</t>
  </si>
  <si>
    <t>320320134.54634</t>
  </si>
  <si>
    <t>26813822.54634</t>
  </si>
  <si>
    <t>1.1.2.1.1.3.2.1.2._</t>
  </si>
  <si>
    <t>315454904.54634</t>
  </si>
  <si>
    <t>1.1.2.1.1.3.2.2</t>
  </si>
  <si>
    <t>Подвал, 1эт, 2эт, 3эт, 4эт, 5эт. Тип потолка: 2.</t>
  </si>
  <si>
    <t>1.1.2.1.1.3.2.2._</t>
  </si>
  <si>
    <t>1.1.2.1.1.3.2.2.1</t>
  </si>
  <si>
    <t>320320162.54634</t>
  </si>
  <si>
    <t>26813824.54634</t>
  </si>
  <si>
    <t>1.1.2.1.1.3.2.2.1._</t>
  </si>
  <si>
    <t>315454905.54634</t>
  </si>
  <si>
    <t>1.1.2.1.1.3.2.2.2</t>
  </si>
  <si>
    <t>Окраска высококачественной силикатной краской, цвет: RAL 9010 (класс пожароопасности - КМ0; влажное истирание - класс 1)</t>
  </si>
  <si>
    <t>320320162.1277544</t>
  </si>
  <si>
    <t>26813824.1277544</t>
  </si>
  <si>
    <t>1.1.2.1.1.3.2.2.2._</t>
  </si>
  <si>
    <t>315454905.1277544</t>
  </si>
  <si>
    <t>1.1.2.1.1.3.2.3</t>
  </si>
  <si>
    <t>Подвал, 1эт, 2эт, 3эт, 4эт, 5эт. Тип потолка: 5.</t>
  </si>
  <si>
    <t>1.1.2.1.1.3.2.3._</t>
  </si>
  <si>
    <t>1.1.2.1.1.3.2.3.1</t>
  </si>
  <si>
    <t>Высококачественная силикатая краска, цвет: RAL 9010 (класс пожароопасности - КМ0; влажное истирание - класс 1)</t>
  </si>
  <si>
    <t>320320163.1277544</t>
  </si>
  <si>
    <t>26813829.1277544</t>
  </si>
  <si>
    <t>1.1.2.1.1.3.2.3.1._</t>
  </si>
  <si>
    <t>315454906.1277544</t>
  </si>
  <si>
    <t>1.1.2.1.1.3.2.3.2</t>
  </si>
  <si>
    <t>320320163.54634</t>
  </si>
  <si>
    <t>26813829.54634</t>
  </si>
  <si>
    <t>1.1.2.1.1.3.2.3.2._</t>
  </si>
  <si>
    <t>315454906.54634</t>
  </si>
  <si>
    <t>1.1.2.1.1.3.2.4</t>
  </si>
  <si>
    <t>Подвал, 1эт, 2эт, 3эт, 4эт, 5эт. Тип потолка: 6.</t>
  </si>
  <si>
    <t>1.1.2.1.1.3.2.4._</t>
  </si>
  <si>
    <t>1.1.2.1.1.3.2.4.1</t>
  </si>
  <si>
    <t>320320164.54634</t>
  </si>
  <si>
    <t>26813830.54634</t>
  </si>
  <si>
    <t>1.1.2.1.1.3.2.4.1._</t>
  </si>
  <si>
    <t>315454907.54634</t>
  </si>
  <si>
    <t>1.1.2.1.1.3.2.4.2</t>
  </si>
  <si>
    <t>Высококачественная акрилатная краска, цвет: RAL 7016 (класс пожароопасности - КМ1; влажное истирание - класс 1)</t>
  </si>
  <si>
    <t>320320164.1277544</t>
  </si>
  <si>
    <t>26813830.1277544</t>
  </si>
  <si>
    <t>1.1.2.1.1.3.2.4.2._</t>
  </si>
  <si>
    <t>315454907.1277544</t>
  </si>
  <si>
    <t>1.1.2.1.1.4</t>
  </si>
  <si>
    <t>6.3.1.5.4</t>
  </si>
  <si>
    <t>Монтаж потолочных конструкций</t>
  </si>
  <si>
    <t>1.1.2.1.1.4.1</t>
  </si>
  <si>
    <t>6.3.1.5.4.1.2</t>
  </si>
  <si>
    <t>Монтаж подвесного потолка / типа Армстронг, Грильято</t>
  </si>
  <si>
    <t xml:space="preserve">Подвал, 1эт, 2эт, 3эт, 4эт, 5эт. Тип потолка: 3. Металлические потолочные панели системы Clip-IN типа Armstrong ClipIN Bioguard, размер кассет: 600х1200 мм, цвет: RAL 9010
</t>
  </si>
  <si>
    <t>2666ca34-b663-41c7-b8b7-caa2f71855b8</t>
  </si>
  <si>
    <t>fd6369e7-760a-4bf3-8c56-a6af236cf5cf</t>
  </si>
  <si>
    <t>1.1.2.1.1.4.1._</t>
  </si>
  <si>
    <t>1.1.2.1.1.4.1.1</t>
  </si>
  <si>
    <t>Подвесные акустические панели / Белый Frost / Ecophon Solo Baffle  / 1200х600х40 мм</t>
  </si>
  <si>
    <t>320320137.771980</t>
  </si>
  <si>
    <t>26813825.771980</t>
  </si>
  <si>
    <t>8c133341-6867-4eb3-aeed-d36d4f4ac2f0</t>
  </si>
  <si>
    <t>1.1.2.1.1.4.1.1._</t>
  </si>
  <si>
    <t>315454910.771980</t>
  </si>
  <si>
    <t>1.1.2.1.1.4.2</t>
  </si>
  <si>
    <t>Подвал, 2эт, 3эт, 4эт, 5эт. Тип потолка: 9. Панно из кубообразных потолочных реек из оцинкованной стали типа Tokay Cube Rechteck Rohr С30/50, цвет: имитация текстуры дерева, "медовый" типа Клин Вуд</t>
  </si>
  <si>
    <t>1.1.2.1.1.4.2._</t>
  </si>
  <si>
    <t>1.1.2.1.1.4.2.1</t>
  </si>
  <si>
    <t>Реечный потолок_ / Металлический</t>
  </si>
  <si>
    <t>320320165.715461</t>
  </si>
  <si>
    <t>26813853.715461</t>
  </si>
  <si>
    <t>10b4c8b2-e44c-4d73-8a2f-cd56f0c6cf37</t>
  </si>
  <si>
    <t>1.1.2.1.1.4.2.1._</t>
  </si>
  <si>
    <t>315454911.715461</t>
  </si>
  <si>
    <t>1.1.2.1.1.4.3</t>
  </si>
  <si>
    <t>6.3.1.5.4.2.1</t>
  </si>
  <si>
    <t>Надбавка за монтаж подвесного потолка при высоте более 3,2 м, включая использование лесов и подмостей</t>
  </si>
  <si>
    <t>Подвал, 1эт, 2эт, 3эт, 4эт, 5эт. Тип потолка: 1-4.</t>
  </si>
  <si>
    <t>11bf38a8-1e54-4d46-8d49-39254e318eaa</t>
  </si>
  <si>
    <t>9ed057e5-7f60-48cb-ae6a-bf5b2768c125</t>
  </si>
  <si>
    <t>1.1.2.1.1.4.3._</t>
  </si>
  <si>
    <t>1.1.2.1.1.4.4</t>
  </si>
  <si>
    <t>6.3.1.5.4.4.2</t>
  </si>
  <si>
    <t>Монтаж подвесного потолка СКБ / из ГКЛ в 1 слой с применением профиля ПП</t>
  </si>
  <si>
    <t>Подвал, 1эт, 2эт, 3эт, 4эт, 5эт. Тип потолка: 1. Подвесной потолок ГКЛ Кнауф-лист- 1 слой, толщина 12,5 мм на металлическом каркасе.</t>
  </si>
  <si>
    <t>2958f052-386d-4488-b826-0762b112545c</t>
  </si>
  <si>
    <t>3f978f2b-872c-42ab-be18-f6c72259b319</t>
  </si>
  <si>
    <t>1.1.2.1.1.4.4._</t>
  </si>
  <si>
    <t>1.1.2.1.1.4.4.1</t>
  </si>
  <si>
    <t>Шуруп со сверлом_/3,5*11</t>
  </si>
  <si>
    <t>320320141.54821</t>
  </si>
  <si>
    <t>26813823.54821</t>
  </si>
  <si>
    <t>438f03b8-0245-4746-af3b-94d943760b3b</t>
  </si>
  <si>
    <t>1.1.2.1.1.4.4.1._</t>
  </si>
  <si>
    <t>315454915.54821</t>
  </si>
  <si>
    <t>1.1.2.1.1.4.4.2</t>
  </si>
  <si>
    <t>Шпаклевка д/заделки швов, ШОВСИЛК_/Т33</t>
  </si>
  <si>
    <t>320320141.54624</t>
  </si>
  <si>
    <t>26813823.54624</t>
  </si>
  <si>
    <t>7b96503e-5889-4b88-b7f6-580caaa662ae</t>
  </si>
  <si>
    <t>1.1.2.1.1.4.4.2._</t>
  </si>
  <si>
    <t>315454915.54624</t>
  </si>
  <si>
    <t>1.1.2.1.1.4.4.3</t>
  </si>
  <si>
    <t>Удлинитель профилей_/потолочный/60*27</t>
  </si>
  <si>
    <t>320320141.54575</t>
  </si>
  <si>
    <t>26813823.54575</t>
  </si>
  <si>
    <t>46cc4ab9-5306-44b0-b02d-73ca24dc456b</t>
  </si>
  <si>
    <t>1.1.2.1.1.4.4.3._</t>
  </si>
  <si>
    <t>315454915.54575</t>
  </si>
  <si>
    <t>1.1.2.1.1.4.4.4</t>
  </si>
  <si>
    <t>Соединитель профилей одноуровневый_/потолочный/60*27</t>
  </si>
  <si>
    <t>320320141.54576</t>
  </si>
  <si>
    <t>26813823.54576</t>
  </si>
  <si>
    <t>d396c343-40ec-430e-b651-cf8e8a10f274</t>
  </si>
  <si>
    <t>1.1.2.1.1.4.4.4._</t>
  </si>
  <si>
    <t>315454915.54576</t>
  </si>
  <si>
    <t>1.1.2.1.1.4.4.5</t>
  </si>
  <si>
    <t>Профиль_/направляющий/28*27*0,40/3м</t>
  </si>
  <si>
    <t>320320141.54569</t>
  </si>
  <si>
    <t>26813823.54569</t>
  </si>
  <si>
    <t>34b4edce-5006-4616-be2f-9d47724dc09a</t>
  </si>
  <si>
    <t>1.1.2.1.1.4.4.5._</t>
  </si>
  <si>
    <t>315454915.54569</t>
  </si>
  <si>
    <t>1.1.2.1.1.4.4.6</t>
  </si>
  <si>
    <t>Профиль_/потолочный/60*27*0,40/3м</t>
  </si>
  <si>
    <t>320320141.54568</t>
  </si>
  <si>
    <t>26813823.54568</t>
  </si>
  <si>
    <t>de448100-a03f-42fb-b903-fa1d0845e34a</t>
  </si>
  <si>
    <t>1.1.2.1.1.4.4.6._</t>
  </si>
  <si>
    <t>315454915.54568</t>
  </si>
  <si>
    <t>1.1.2.1.1.4.4.7</t>
  </si>
  <si>
    <t>Лента Дихтунгсбанд_/50мм</t>
  </si>
  <si>
    <t>320320141.55042</t>
  </si>
  <si>
    <t>26813823.55042</t>
  </si>
  <si>
    <t>db776908-a7ed-4efe-a1e0-14c0d3badf1f</t>
  </si>
  <si>
    <t>1.1.2.1.1.4.4.7._</t>
  </si>
  <si>
    <t>315454915.55042</t>
  </si>
  <si>
    <t>1.1.2.1.1.4.4.8</t>
  </si>
  <si>
    <t>Лента армирующая ( серпянка)_/50мм</t>
  </si>
  <si>
    <t>320320141.55038</t>
  </si>
  <si>
    <t>26813823.55038</t>
  </si>
  <si>
    <t>ef366d6b-1118-416c-acc5-430ee111e823</t>
  </si>
  <si>
    <t>1.1.2.1.1.4.4.8._</t>
  </si>
  <si>
    <t>315454915.55038</t>
  </si>
  <si>
    <t>1.1.2.1.1.4.4.9</t>
  </si>
  <si>
    <t>Гипсовые строительные плиты_ / влагостойкий / 12,5*1200*2500</t>
  </si>
  <si>
    <t>320320141.54553</t>
  </si>
  <si>
    <t>26813823.54553</t>
  </si>
  <si>
    <t>efad23af-fbbd-4322-a1b7-0c398c24e336</t>
  </si>
  <si>
    <t>1.1.2.1.1.4.4.9._</t>
  </si>
  <si>
    <t>315454915.54553</t>
  </si>
  <si>
    <t>1.1.2.1.1.4.4.10</t>
  </si>
  <si>
    <t>Анкер-клин_/6*40</t>
  </si>
  <si>
    <t>320320141.54828</t>
  </si>
  <si>
    <t>26813823.54828</t>
  </si>
  <si>
    <t>d1d11d59-b5f9-4bc0-894f-4c016002bf47</t>
  </si>
  <si>
    <t>1.1.2.1.1.4.4.10._</t>
  </si>
  <si>
    <t>315454915.54828</t>
  </si>
  <si>
    <t>1.1.2.1.1.4.5</t>
  </si>
  <si>
    <t>1эт. Тип потолка: 2. Подвесной потолок ГКЛО Кнауф-лист - 1 слой, толщина 12,5 мм на металлическом каркасе.</t>
  </si>
  <si>
    <t>1.1.2.1.1.4.5._</t>
  </si>
  <si>
    <t>1.1.2.1.1.4.5.1</t>
  </si>
  <si>
    <t>320320166.54828</t>
  </si>
  <si>
    <t>26813812.54828</t>
  </si>
  <si>
    <t>1.1.2.1.1.4.5.1._</t>
  </si>
  <si>
    <t>315454916.54828</t>
  </si>
  <si>
    <t>1.1.2.1.1.4.5.2</t>
  </si>
  <si>
    <t>320320166.54552</t>
  </si>
  <si>
    <t>26813812.54552</t>
  </si>
  <si>
    <t>1.1.2.1.1.4.5.2._</t>
  </si>
  <si>
    <t>315454916.54552</t>
  </si>
  <si>
    <t>1.1.2.1.1.4.5.3</t>
  </si>
  <si>
    <t>320320166.55038</t>
  </si>
  <si>
    <t>26813812.55038</t>
  </si>
  <si>
    <t>1.1.2.1.1.4.5.3._</t>
  </si>
  <si>
    <t>315454916.55038</t>
  </si>
  <si>
    <t>1.1.2.1.1.4.5.4</t>
  </si>
  <si>
    <t>320320166.55042</t>
  </si>
  <si>
    <t>26813812.55042</t>
  </si>
  <si>
    <t>1.1.2.1.1.4.5.4._</t>
  </si>
  <si>
    <t>315454916.55042</t>
  </si>
  <si>
    <t>1.1.2.1.1.4.5.5</t>
  </si>
  <si>
    <t>320320166.54569</t>
  </si>
  <si>
    <t>26813812.54569</t>
  </si>
  <si>
    <t>1.1.2.1.1.4.5.5._</t>
  </si>
  <si>
    <t>315454916.54569</t>
  </si>
  <si>
    <t>1.1.2.1.1.4.5.6</t>
  </si>
  <si>
    <t>320320166.54568</t>
  </si>
  <si>
    <t>26813812.54568</t>
  </si>
  <si>
    <t>1.1.2.1.1.4.5.6._</t>
  </si>
  <si>
    <t>315454916.54568</t>
  </si>
  <si>
    <t>1.1.2.1.1.4.5.7</t>
  </si>
  <si>
    <t>320320166.54576</t>
  </si>
  <si>
    <t>26813812.54576</t>
  </si>
  <si>
    <t>1.1.2.1.1.4.5.7._</t>
  </si>
  <si>
    <t>315454916.54576</t>
  </si>
  <si>
    <t>1.1.2.1.1.4.5.8</t>
  </si>
  <si>
    <t>320320166.54575</t>
  </si>
  <si>
    <t>26813812.54575</t>
  </si>
  <si>
    <t>1.1.2.1.1.4.5.8._</t>
  </si>
  <si>
    <t>315454916.54575</t>
  </si>
  <si>
    <t>1.1.2.1.1.4.5.9</t>
  </si>
  <si>
    <t>320320166.54624</t>
  </si>
  <si>
    <t>26813812.54624</t>
  </si>
  <si>
    <t>1.1.2.1.1.4.5.9._</t>
  </si>
  <si>
    <t>315454916.54624</t>
  </si>
  <si>
    <t>1.1.2.1.1.4.5.10</t>
  </si>
  <si>
    <t>320320166.54821</t>
  </si>
  <si>
    <t>26813812.54821</t>
  </si>
  <si>
    <t>1.1.2.1.1.4.5.10._</t>
  </si>
  <si>
    <t>315454916.54821</t>
  </si>
  <si>
    <t>1.1.2.1.1.4.6</t>
  </si>
  <si>
    <t>Подвал, 2эт, 3эт, 4эт, 5эт. Тип потолка: 2. Подвесной потолок КНАУФ Файерборд.</t>
  </si>
  <si>
    <t>1.1.2.1.1.4.6._</t>
  </si>
  <si>
    <t>1.1.2.1.1.4.6.1</t>
  </si>
  <si>
    <t>320320167.54821</t>
  </si>
  <si>
    <t>26813852.54821</t>
  </si>
  <si>
    <t>1.1.2.1.1.4.6.1._</t>
  </si>
  <si>
    <t>315454917.54821</t>
  </si>
  <si>
    <t>1.1.2.1.1.4.6.2</t>
  </si>
  <si>
    <t>320320167.54624</t>
  </si>
  <si>
    <t>26813852.54624</t>
  </si>
  <si>
    <t>1.1.2.1.1.4.6.2._</t>
  </si>
  <si>
    <t>315454917.54624</t>
  </si>
  <si>
    <t>1.1.2.1.1.4.6.3</t>
  </si>
  <si>
    <t>320320167.54575</t>
  </si>
  <si>
    <t>26813852.54575</t>
  </si>
  <si>
    <t>1.1.2.1.1.4.6.3._</t>
  </si>
  <si>
    <t>315454917.54575</t>
  </si>
  <si>
    <t>1.1.2.1.1.4.6.4</t>
  </si>
  <si>
    <t>320320167.54576</t>
  </si>
  <si>
    <t>26813852.54576</t>
  </si>
  <si>
    <t>1.1.2.1.1.4.6.4._</t>
  </si>
  <si>
    <t>315454917.54576</t>
  </si>
  <si>
    <t>1.1.2.1.1.4.6.5</t>
  </si>
  <si>
    <t>320320167.54569</t>
  </si>
  <si>
    <t>26813852.54569</t>
  </si>
  <si>
    <t>1.1.2.1.1.4.6.5._</t>
  </si>
  <si>
    <t>315454917.54569</t>
  </si>
  <si>
    <t>1.1.2.1.1.4.6.6</t>
  </si>
  <si>
    <t>320320167.54568</t>
  </si>
  <si>
    <t>26813852.54568</t>
  </si>
  <si>
    <t>1.1.2.1.1.4.6.6._</t>
  </si>
  <si>
    <t>315454917.54568</t>
  </si>
  <si>
    <t>1.1.2.1.1.4.6.7</t>
  </si>
  <si>
    <t>Плита Кнауф Файерборд_ / 2500х1200х12.5 м</t>
  </si>
  <si>
    <t>320320167.1523192</t>
  </si>
  <si>
    <t>26813852.1523192</t>
  </si>
  <si>
    <t>1a9d2c61-823f-4235-b198-e9701dbd754e</t>
  </si>
  <si>
    <t>1.1.2.1.1.4.6.7._</t>
  </si>
  <si>
    <t>315454917.1523192</t>
  </si>
  <si>
    <t>1.1.2.1.1.4.6.8</t>
  </si>
  <si>
    <t>320320167.55042</t>
  </si>
  <si>
    <t>26813852.55042</t>
  </si>
  <si>
    <t>1.1.2.1.1.4.6.8._</t>
  </si>
  <si>
    <t>315454917.55042</t>
  </si>
  <si>
    <t>1.1.2.1.1.4.6.9</t>
  </si>
  <si>
    <t>320320167.55038</t>
  </si>
  <si>
    <t>26813852.55038</t>
  </si>
  <si>
    <t>1.1.2.1.1.4.6.9._</t>
  </si>
  <si>
    <t>315454917.55038</t>
  </si>
  <si>
    <t>1.1.2.1.1.4.6.10</t>
  </si>
  <si>
    <t>320320167.54828</t>
  </si>
  <si>
    <t>26813852.54828</t>
  </si>
  <si>
    <t>1.1.2.1.1.4.6.10._</t>
  </si>
  <si>
    <t>315454917.54828</t>
  </si>
  <si>
    <t>1.1.2.1.1.4.7</t>
  </si>
  <si>
    <t>6.3.1.5.4.4.4</t>
  </si>
  <si>
    <t>Монтаж подвесного потолка СКБ / типа Армстронг, Грильято</t>
  </si>
  <si>
    <t>Подвал, 1эт, 2эт, 3эт, 4эт, 5эт. Тип потолка: 4. Металлические потолочные панели системы Clip-IN типа Armstrong ClipIN Bioguard, размер кассет: 600х600 мм, цвет: RAL 9010</t>
  </si>
  <si>
    <t>86b87f1a-32b5-4855-8388-b5bf81a42325</t>
  </si>
  <si>
    <t>42e8bac0-98f1-4b1f-8603-9612c710de3f</t>
  </si>
  <si>
    <t>1.1.2.1.1.4.7._</t>
  </si>
  <si>
    <t>1.1.2.1.1.4.7.1</t>
  </si>
  <si>
    <t>Подвесной потолок Армстронг / Белый</t>
  </si>
  <si>
    <t>320320142.1353009</t>
  </si>
  <si>
    <t>26813826.1353009</t>
  </si>
  <si>
    <t>137a189c-acd0-4b00-a19c-980286873b94</t>
  </si>
  <si>
    <t>1.1.2.1.1.4.7.1._</t>
  </si>
  <si>
    <t>315454918.1353009</t>
  </si>
  <si>
    <t>1.1.2.1.1.5</t>
  </si>
  <si>
    <t>6.3.1.5.99</t>
  </si>
  <si>
    <t>Прочие работы</t>
  </si>
  <si>
    <t>1.1.2.1.1.5.1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</si>
  <si>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</si>
  <si>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</si>
  <si>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</si>
  <si>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мес</t>
  </si>
  <si>
    <t>dafdbed0-d8c9-4e31-9d18-28c002826b48</t>
  </si>
  <si>
    <t>41184805-ba59-4e97-b2d9-b62b4c18a3d9</t>
  </si>
  <si>
    <t>1.1.2.1.1.5.1._</t>
  </si>
  <si>
    <t>2. Объект ИДП без распределения на секции</t>
  </si>
  <si>
    <t>2bfdbae8-bf8f-4cfd-91dd-0a7075973600</t>
  </si>
  <si>
    <t>2.1</t>
  </si>
  <si>
    <t>2.1.1</t>
  </si>
  <si>
    <t>2.1.1.1</t>
  </si>
  <si>
    <t>2.1.1.1.1</t>
  </si>
  <si>
    <t>2.1.1.1.1.1</t>
  </si>
  <si>
    <t>2.1.1.1.1.1.1</t>
  </si>
  <si>
    <t>2.1.1.1.1.1.1.1</t>
  </si>
  <si>
    <t>2.1.1.1.1.1.1.1.1</t>
  </si>
  <si>
    <t>320319853.1521774</t>
  </si>
  <si>
    <t>28020219.1521774</t>
  </si>
  <si>
    <t>2.1.1.1.1.1.1.1.2</t>
  </si>
  <si>
    <t>320319853.54563</t>
  </si>
  <si>
    <t>28020219.54563</t>
  </si>
  <si>
    <t>2.1.1.1.1.1.1.1.3</t>
  </si>
  <si>
    <t>320319853.720773</t>
  </si>
  <si>
    <t>28020219.720773</t>
  </si>
  <si>
    <t>2.1.1.1.1.1.1.1.4</t>
  </si>
  <si>
    <t>320319853.1721598</t>
  </si>
  <si>
    <t>28020219.1721598</t>
  </si>
  <si>
    <t>2.1.1.1.1.1.1.1.5</t>
  </si>
  <si>
    <t>320319853.54552</t>
  </si>
  <si>
    <t>28020219.54552</t>
  </si>
  <si>
    <t>2.1.1.1.1.1.1.2</t>
  </si>
  <si>
    <t>2.1.1.1.1.1.1.2.1</t>
  </si>
  <si>
    <t>320319854.1521774</t>
  </si>
  <si>
    <t>28020222.1521774</t>
  </si>
  <si>
    <t>2.1.1.1.1.1.1.2.2</t>
  </si>
  <si>
    <t>320319854.54565</t>
  </si>
  <si>
    <t>28020222.54565</t>
  </si>
  <si>
    <t>2.1.1.1.1.1.1.2.3</t>
  </si>
  <si>
    <t>320319854.54570</t>
  </si>
  <si>
    <t>28020222.54570</t>
  </si>
  <si>
    <t>2.1.1.1.1.1.1.2.4</t>
  </si>
  <si>
    <t>320319854.1721598</t>
  </si>
  <si>
    <t>28020222.1721598</t>
  </si>
  <si>
    <t>2.1.1.1.1.1.1.2.5</t>
  </si>
  <si>
    <t>320319854.54552</t>
  </si>
  <si>
    <t>28020222.54552</t>
  </si>
  <si>
    <t>2.1.1.1.1.1.1.3</t>
  </si>
  <si>
    <t>2.1.1.1.1.1.1.3.1</t>
  </si>
  <si>
    <t>320319924.54552</t>
  </si>
  <si>
    <t>28020221.54552</t>
  </si>
  <si>
    <t>2.1.1.1.1.1.1.3.2</t>
  </si>
  <si>
    <t>320319924.1721598</t>
  </si>
  <si>
    <t>28020221.1721598</t>
  </si>
  <si>
    <t>2.1.1.1.1.1.1.3.3</t>
  </si>
  <si>
    <t>320319924.54565</t>
  </si>
  <si>
    <t>28020221.54565</t>
  </si>
  <si>
    <t>2.1.1.1.1.1.1.3.4</t>
  </si>
  <si>
    <t>320319924.54570</t>
  </si>
  <si>
    <t>28020221.54570</t>
  </si>
  <si>
    <t>2.1.1.1.1.1.1.3.5</t>
  </si>
  <si>
    <t>320319924.1521774</t>
  </si>
  <si>
    <t>28020221.1521774</t>
  </si>
  <si>
    <t>2.1.1.1.1.1.1.4</t>
  </si>
  <si>
    <t>Подвал, 1эт, 2эт, 3эт, 4эт, 5эт. Перегородки Тип-4. Облицовка типа С626 на отнесенном металлическом каркасе толщиной 75 мм, с двуслойной обшивкой влагостойкими гипсокартнонными листами ГСП-H2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</si>
  <si>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2.1.1.1.1.1.1.4.1</t>
  </si>
  <si>
    <t>320319856.1721598</t>
  </si>
  <si>
    <t>28020223.1721598</t>
  </si>
  <si>
    <t>2.1.1.1.1.1.1.4.2</t>
  </si>
  <si>
    <t>320319856.1571304</t>
  </si>
  <si>
    <t>28020223.1571304</t>
  </si>
  <si>
    <t>2.1.1.1.1.1.1.4.3</t>
  </si>
  <si>
    <t>320319856.1521731</t>
  </si>
  <si>
    <t>28020223.1521731</t>
  </si>
  <si>
    <t>2.1.1.1.1.1.1.4.4</t>
  </si>
  <si>
    <t>320319856.54563</t>
  </si>
  <si>
    <t>28020223.54563</t>
  </si>
  <si>
    <t>2.1.1.1.1.1.1.4.5</t>
  </si>
  <si>
    <t>320319856.720773</t>
  </si>
  <si>
    <t>28020223.720773</t>
  </si>
  <si>
    <t>2.1.1.1.1.1.1.5</t>
  </si>
  <si>
    <t>Подвал, 1эт, 2эт, 3эт, 4эт, 5эт. Перегородки Тип-5. Облицовка типа С626 на отнесенном металлическом каркасе толщиной 75 мм, с двуслойной обшивкой влагоогнестойкими гипсокартонными листами ГСП-DFН2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αw.</t>
  </si>
  <si>
    <t>2.1.1.1.1.1.1.5.1</t>
  </si>
  <si>
    <t>320319925.54563</t>
  </si>
  <si>
    <t>28020224.54563</t>
  </si>
  <si>
    <t>2.1.1.1.1.1.1.5.2</t>
  </si>
  <si>
    <t>320319925.720773</t>
  </si>
  <si>
    <t>28020224.720773</t>
  </si>
  <si>
    <t>2.1.1.1.1.1.1.5.3</t>
  </si>
  <si>
    <t>320319925.1521733</t>
  </si>
  <si>
    <t>28020224.1521733</t>
  </si>
  <si>
    <t>2.1.1.1.1.1.1.5.4</t>
  </si>
  <si>
    <t>320319925.1571304</t>
  </si>
  <si>
    <t>28020224.1571304</t>
  </si>
  <si>
    <t>2.1.1.1.1.1.1.5.5</t>
  </si>
  <si>
    <t>320319925.1721598</t>
  </si>
  <si>
    <t>28020224.1721598</t>
  </si>
  <si>
    <t>2.1.1.1.1.1.1.6</t>
  </si>
  <si>
    <t>2.1.1.1.1.1.1.6.1</t>
  </si>
  <si>
    <t>320319926.1721598</t>
  </si>
  <si>
    <t>28020225.1721598</t>
  </si>
  <si>
    <t>2.1.1.1.1.1.1.6.2</t>
  </si>
  <si>
    <t>320319926.1571304</t>
  </si>
  <si>
    <t>28020225.1571304</t>
  </si>
  <si>
    <t>2.1.1.1.1.1.1.6.3</t>
  </si>
  <si>
    <t>320319926.1521733</t>
  </si>
  <si>
    <t>28020225.1521733</t>
  </si>
  <si>
    <t>2.1.1.1.1.1.1.6.4</t>
  </si>
  <si>
    <t>320319926.54563</t>
  </si>
  <si>
    <t>28020225.54563</t>
  </si>
  <si>
    <t>2.1.1.1.1.1.1.6.5</t>
  </si>
  <si>
    <t>320319926.720773</t>
  </si>
  <si>
    <t>28020225.720773</t>
  </si>
  <si>
    <t>2.1.1.1.1.1.1.7</t>
  </si>
  <si>
    <t>2.1.1.1.1.1.1.7.1</t>
  </si>
  <si>
    <t>320319927.54565</t>
  </si>
  <si>
    <t>28020226.54565</t>
  </si>
  <si>
    <t>2.1.1.1.1.1.1.7.2</t>
  </si>
  <si>
    <t>320319927.54570</t>
  </si>
  <si>
    <t>28020226.54570</t>
  </si>
  <si>
    <t>2.1.1.1.1.1.1.7.3</t>
  </si>
  <si>
    <t>320319927.1521733</t>
  </si>
  <si>
    <t>28020226.1521733</t>
  </si>
  <si>
    <t>2.1.1.1.1.1.1.7.4</t>
  </si>
  <si>
    <t>320319927.1571304</t>
  </si>
  <si>
    <t>28020226.1571304</t>
  </si>
  <si>
    <t>2.1.1.1.1.1.1.7.5</t>
  </si>
  <si>
    <t>320319927.1721598</t>
  </si>
  <si>
    <t>28020226.1721598</t>
  </si>
  <si>
    <t>2.1.1.1.1.1.1.8</t>
  </si>
  <si>
    <t>2.1.1.1.1.1.1.8.1</t>
  </si>
  <si>
    <t>320319928.1721598</t>
  </si>
  <si>
    <t>28020220.1721598</t>
  </si>
  <si>
    <t>2.1.1.1.1.1.1.8.2</t>
  </si>
  <si>
    <t>320319928.1571304</t>
  </si>
  <si>
    <t>28020220.1571304</t>
  </si>
  <si>
    <t>2.1.1.1.1.1.1.8.3</t>
  </si>
  <si>
    <t>320319928.7351</t>
  </si>
  <si>
    <t>28020220.7351</t>
  </si>
  <si>
    <t>2.1.1.1.1.1.1.8.4</t>
  </si>
  <si>
    <t>320319928.54563</t>
  </si>
  <si>
    <t>28020220.54563</t>
  </si>
  <si>
    <t>2.1.1.1.1.1.1.8.5</t>
  </si>
  <si>
    <t>320319928.720773</t>
  </si>
  <si>
    <t>28020220.720773</t>
  </si>
  <si>
    <t>2.1.2</t>
  </si>
  <si>
    <t>2.1.2.1</t>
  </si>
  <si>
    <t>2.1.2.1.1</t>
  </si>
  <si>
    <t>2.1.2.1.1.1</t>
  </si>
  <si>
    <t>2.1.2.1.1.1.1</t>
  </si>
  <si>
    <t>2.1.2.1.1.1.1.1</t>
  </si>
  <si>
    <t>2.1.2.1.1.1.1.1.1</t>
  </si>
  <si>
    <t>Применительно - пленка полиэтиленовая 120 мкр</t>
  </si>
  <si>
    <t>320319863.55068</t>
  </si>
  <si>
    <t>28036992.55068</t>
  </si>
  <si>
    <t>2.1.2.1.1.1.1.2</t>
  </si>
  <si>
    <t>2.1.2.1.1.1.1.2.1</t>
  </si>
  <si>
    <t>320319865.55160</t>
  </si>
  <si>
    <t>28037489.55160</t>
  </si>
  <si>
    <t>2.1.2.1.1.1.1.2.2</t>
  </si>
  <si>
    <t>320319865.54611</t>
  </si>
  <si>
    <t>28037489.54611</t>
  </si>
  <si>
    <t>2.1.2.1.1.1.1.2.3</t>
  </si>
  <si>
    <t>320319865.55155</t>
  </si>
  <si>
    <t>28037489.55155</t>
  </si>
  <si>
    <t>2.1.2.1.1.1.1.2.4</t>
  </si>
  <si>
    <t>320319865.55045</t>
  </si>
  <si>
    <t>28037489.55045</t>
  </si>
  <si>
    <t>2.1.2.1.1.1.1.3</t>
  </si>
  <si>
    <t>Подвал, 1эт, 2эт, 3эт, 4эт, 5эт. Тип: 4, 5, 13</t>
  </si>
  <si>
    <t>2.1.2.1.1.1.1.3.1</t>
  </si>
  <si>
    <t>320319867.55045</t>
  </si>
  <si>
    <t>28037490.55045</t>
  </si>
  <si>
    <t>2.1.2.1.1.1.1.3.2</t>
  </si>
  <si>
    <t>320319867.1139608</t>
  </si>
  <si>
    <t>28037490.1139608</t>
  </si>
  <si>
    <t>2.1.2.1.1.1.1.3.3</t>
  </si>
  <si>
    <t>320319867.1352734</t>
  </si>
  <si>
    <t>28037490.1352734</t>
  </si>
  <si>
    <t>2.1.2.1.1.1.2</t>
  </si>
  <si>
    <t>2.1.2.1.1.1.2.1</t>
  </si>
  <si>
    <t>2.1.2.1.1.1.2.1.1</t>
  </si>
  <si>
    <t>320319870.644404</t>
  </si>
  <si>
    <t>28037659.644404</t>
  </si>
  <si>
    <t>2.1.2.1.1.1.2.2</t>
  </si>
  <si>
    <t>Подвал, 1эт, 2эт, 3эт, 4эт, 5эт. Тип: 6, 7, 8, 11</t>
  </si>
  <si>
    <t>2.1.2.1.1.1.2.2.1</t>
  </si>
  <si>
    <t>320319871.741656</t>
  </si>
  <si>
    <t>28037658.741656</t>
  </si>
  <si>
    <t>2.1.2.1.1.1.2.3</t>
  </si>
  <si>
    <t>Подвал, 1эт, 2эт, 3эт, 4эт, 5эт. Тип: 7-13, 15 (с заводом на стену на 300 мм)</t>
  </si>
  <si>
    <t>2.1.2.1.1.1.2.3.1</t>
  </si>
  <si>
    <t>320319873.643995</t>
  </si>
  <si>
    <t>28038746.643995</t>
  </si>
  <si>
    <t>2.1.2.1.1.1.2.4</t>
  </si>
  <si>
    <t>Подвал, 1эт, 2эт, 3эт, 4эт, 5эт. Тип: 7</t>
  </si>
  <si>
    <t>2.1.2.1.1.1.2.4.1</t>
  </si>
  <si>
    <t>320319874.643995</t>
  </si>
  <si>
    <t>28038744.643995</t>
  </si>
  <si>
    <t>2.1.2.1.1.1.2.5</t>
  </si>
  <si>
    <t>Подвал, 1эт, 2эт, 3эт, 4эт, 5эт. Тип: 7 (67 мм)</t>
  </si>
  <si>
    <t>2.1.2.1.1.1.2.5.1</t>
  </si>
  <si>
    <t>320319876.54646</t>
  </si>
  <si>
    <t>28038745.54646</t>
  </si>
  <si>
    <t>2.1.2.1.1.1.2.6</t>
  </si>
  <si>
    <t>Подвал, 1эт, 2эт, 3эт, 4эт, 5эт. Тип: 1,2,3,6 (89-90 мм)</t>
  </si>
  <si>
    <t>2.1.2.1.1.1.2.6.1</t>
  </si>
  <si>
    <t>320319929.54646</t>
  </si>
  <si>
    <t>28038740.54646</t>
  </si>
  <si>
    <t>2.1.2.1.1.1.2.7</t>
  </si>
  <si>
    <t>Подвал, 1эт, 2эт, 3эт, 4эт, 5эт. Тип: 4, 5 (100 мм)</t>
  </si>
  <si>
    <t>2.1.2.1.1.1.2.7.1</t>
  </si>
  <si>
    <t>320319930.54646</t>
  </si>
  <si>
    <t>28038743.54646</t>
  </si>
  <si>
    <t>2.1.2.1.1.1.2.8</t>
  </si>
  <si>
    <t>Подвал, 1эт, 2эт, 3эт, 4эт, 5эт. Тип: 10 (120 мм)</t>
  </si>
  <si>
    <t>2.1.2.1.1.1.2.8.1</t>
  </si>
  <si>
    <t>320319931.54646</t>
  </si>
  <si>
    <t>28038741.54646</t>
  </si>
  <si>
    <t>2.1.2.1.1.1.2.9</t>
  </si>
  <si>
    <t>Подвал, 1эт, 2эт, 3эт, 4эт, 5эт. Тип: 8, 9, 11, 12, 15 (139-140 мм)</t>
  </si>
  <si>
    <t>2.1.2.1.1.1.2.9.1</t>
  </si>
  <si>
    <t>320319932.54646</t>
  </si>
  <si>
    <t>28038747.54646</t>
  </si>
  <si>
    <t>2.1.2.1.1.1.2.10</t>
  </si>
  <si>
    <t>Подвал, 1эт, 2эт, 3эт, 4эт, 5эт. Тип: 13 (150 мм)</t>
  </si>
  <si>
    <t>2.1.2.1.1.1.2.10.1</t>
  </si>
  <si>
    <t>320319933.54646</t>
  </si>
  <si>
    <t>28038742.54646</t>
  </si>
  <si>
    <t>2.1.2.1.1.1.2.11</t>
  </si>
  <si>
    <t>2.1.2.1.1.1.2.11.1</t>
  </si>
  <si>
    <t>320319878.54610</t>
  </si>
  <si>
    <t>28038735.54610</t>
  </si>
  <si>
    <t>2.1.2.1.1.1.3</t>
  </si>
  <si>
    <t>2.1.2.1.1.1.3.1</t>
  </si>
  <si>
    <t>Подвал, 1эт, 2эт, 3эт, 4эт, 5эт. Тип: 5, 13</t>
  </si>
  <si>
    <t>2.1.2.1.1.1.3.1.1</t>
  </si>
  <si>
    <t>320319881.702694</t>
  </si>
  <si>
    <t>28039399.702694</t>
  </si>
  <si>
    <t>2.1.2.1.1.1.3.1.2</t>
  </si>
  <si>
    <t>320319881.737422</t>
  </si>
  <si>
    <t>28039399.737422</t>
  </si>
  <si>
    <t>2.1.2.1.1.1.3.1.3</t>
  </si>
  <si>
    <t>320319881.765921</t>
  </si>
  <si>
    <t>28039399.765921</t>
  </si>
  <si>
    <t>2.1.2.1.1.1.3.1.4</t>
  </si>
  <si>
    <t>320319881.1516981</t>
  </si>
  <si>
    <t>28039399.1516981</t>
  </si>
  <si>
    <t>2.1.2.1.1.1.3.2</t>
  </si>
  <si>
    <t>2.1.2.1.1.1.3.2.1</t>
  </si>
  <si>
    <t>320319934.1516981</t>
  </si>
  <si>
    <t>28039398.1516981</t>
  </si>
  <si>
    <t>2.1.2.1.1.1.3.2.2</t>
  </si>
  <si>
    <t>320319934.765921</t>
  </si>
  <si>
    <t>28039398.765921</t>
  </si>
  <si>
    <t>2.1.2.1.1.1.3.2.3</t>
  </si>
  <si>
    <t>320319934.737422</t>
  </si>
  <si>
    <t>28039398.737422</t>
  </si>
  <si>
    <t>2.1.2.1.1.1.3.2.4</t>
  </si>
  <si>
    <t>320319934.702694</t>
  </si>
  <si>
    <t>28039398.702694</t>
  </si>
  <si>
    <t>2.1.2.1.1.1.3.3</t>
  </si>
  <si>
    <t>Подвал, 1эт, 2эт, 3эт, 4эт, 5эт. Тип: 4, 5, 13. Плинтус коннелюрный двухсоставной h=100мм</t>
  </si>
  <si>
    <t>2.1.2.1.1.1.3.3.1</t>
  </si>
  <si>
    <t>320319883.3283955</t>
  </si>
  <si>
    <t>28040197.3283955</t>
  </si>
  <si>
    <t>2.1.2.1.1.1.3.3.2</t>
  </si>
  <si>
    <t>320319883.3285919</t>
  </si>
  <si>
    <t>28040197.3285919</t>
  </si>
  <si>
    <t>2.1.2.1.1.1.3.4</t>
  </si>
  <si>
    <t>Подвал, 1эт, 2эт, 3эт, 4эт, 5эт. Тип:14</t>
  </si>
  <si>
    <t>2.1.2.1.1.1.3.4.1</t>
  </si>
  <si>
    <t>320319885.54659</t>
  </si>
  <si>
    <t>28040432.54659</t>
  </si>
  <si>
    <t>2.1.2.1.1.1.3.4.2</t>
  </si>
  <si>
    <t>320319885.54630</t>
  </si>
  <si>
    <t>28040432.54630</t>
  </si>
  <si>
    <t>2.1.2.1.1.1.3.4.3</t>
  </si>
  <si>
    <t>320319885.54635</t>
  </si>
  <si>
    <t>28040432.54635</t>
  </si>
  <si>
    <t>2.1.2.1.1.1.3.4.4</t>
  </si>
  <si>
    <t>320319885.1139608</t>
  </si>
  <si>
    <t>28040432.1139608</t>
  </si>
  <si>
    <t>2.1.2.1.1.1.3.5</t>
  </si>
  <si>
    <t>Подвал, 1эт, 2эт, 3эт, 4эт, 5эт. Тип: 1, 6, 12</t>
  </si>
  <si>
    <t>2.1.2.1.1.1.3.5.1</t>
  </si>
  <si>
    <t>320319887.1570753</t>
  </si>
  <si>
    <t>28040615.1570753</t>
  </si>
  <si>
    <t>2.1.2.1.1.1.3.5.2</t>
  </si>
  <si>
    <t>320319887.54668</t>
  </si>
  <si>
    <t>28040615.54668</t>
  </si>
  <si>
    <t>2.1.2.1.1.1.3.5.3</t>
  </si>
  <si>
    <t>320319887.54635</t>
  </si>
  <si>
    <t>28040615.54635</t>
  </si>
  <si>
    <t>2.1.2.1.1.1.3.5.4</t>
  </si>
  <si>
    <t>320319887.54634</t>
  </si>
  <si>
    <t>28040615.54634</t>
  </si>
  <si>
    <t>2.1.2.1.1.1.3.6</t>
  </si>
  <si>
    <t>Подвал, 1эт, 2эт, 3эт, 4эт, 5эт. Тип: 2, 8, 15</t>
  </si>
  <si>
    <t>2.1.2.1.1.1.3.6.1</t>
  </si>
  <si>
    <t>320319935.54634</t>
  </si>
  <si>
    <t>28048960.54634</t>
  </si>
  <si>
    <t>2.1.2.1.1.1.3.6.2</t>
  </si>
  <si>
    <t>320319935.54635</t>
  </si>
  <si>
    <t>28048960.54635</t>
  </si>
  <si>
    <t>2.1.2.1.1.1.3.6.3</t>
  </si>
  <si>
    <t>320319935.54668</t>
  </si>
  <si>
    <t>28048960.54668</t>
  </si>
  <si>
    <t>2.1.2.1.1.1.3.6.4</t>
  </si>
  <si>
    <t>320319935.1570753</t>
  </si>
  <si>
    <t>28048960.1570753</t>
  </si>
  <si>
    <t>2.1.2.1.1.1.3.7</t>
  </si>
  <si>
    <t>Подвал, 5эт. Тип: 3, 7, 9, 10, 11</t>
  </si>
  <si>
    <t>2.1.2.1.1.1.3.7.1</t>
  </si>
  <si>
    <t>320319936.1570753</t>
  </si>
  <si>
    <t>28048962.1570753</t>
  </si>
  <si>
    <t>2.1.2.1.1.1.3.7.2</t>
  </si>
  <si>
    <t>320319936.54668</t>
  </si>
  <si>
    <t>28048962.54668</t>
  </si>
  <si>
    <t>2.1.2.1.1.1.3.7.3</t>
  </si>
  <si>
    <t>320319936.54635</t>
  </si>
  <si>
    <t>28048962.54635</t>
  </si>
  <si>
    <t>2.1.2.1.1.1.3.7.4</t>
  </si>
  <si>
    <t>320319936.54634</t>
  </si>
  <si>
    <t>28048962.54634</t>
  </si>
  <si>
    <t>2.1.2.1.1.1.3.8</t>
  </si>
  <si>
    <t>2.1.2.1.1.1.3.8.1</t>
  </si>
  <si>
    <t>320319889.1137906</t>
  </si>
  <si>
    <t>28048959.1137906</t>
  </si>
  <si>
    <t>2.1.2.1.1.1.3.8.2</t>
  </si>
  <si>
    <t>320319889.54632</t>
  </si>
  <si>
    <t>28048959.54632</t>
  </si>
  <si>
    <t>2.1.2.1.1.1.3.8.3</t>
  </si>
  <si>
    <t>320319889.54635</t>
  </si>
  <si>
    <t>28048959.54635</t>
  </si>
  <si>
    <t>2.1.2.1.1.1.3.8.4</t>
  </si>
  <si>
    <t>320319889.54634</t>
  </si>
  <si>
    <t>28048959.54634</t>
  </si>
  <si>
    <t>2.1.2.1.1.1.3.9</t>
  </si>
  <si>
    <t>Подвал, 1эт, 2эт, 3эт, 4эт, 5эт.</t>
  </si>
  <si>
    <t>2.1.2.1.1.1.3.9.1</t>
  </si>
  <si>
    <t>320319937.54634</t>
  </si>
  <si>
    <t>28048957.54634</t>
  </si>
  <si>
    <t>2.1.2.1.1.1.3.9.2</t>
  </si>
  <si>
    <t>320319937.54635</t>
  </si>
  <si>
    <t>28048957.54635</t>
  </si>
  <si>
    <t>2.1.2.1.1.1.3.9.3</t>
  </si>
  <si>
    <t>320319937.54632</t>
  </si>
  <si>
    <t>28048957.54632</t>
  </si>
  <si>
    <t>2.1.2.1.1.1.3.9.4</t>
  </si>
  <si>
    <t xml:space="preserve"> Плитка из керамогранита под дерево Kerama Marrazzi, Клин Вуд (лестничные площадки)</t>
  </si>
  <si>
    <t>320319937.1137906</t>
  </si>
  <si>
    <t>28048957.1137906</t>
  </si>
  <si>
    <t>2.1.2.1.1.1.3.10</t>
  </si>
  <si>
    <t>2.1.2.1.1.1.3.10.1</t>
  </si>
  <si>
    <t>320319890.739258</t>
  </si>
  <si>
    <t>28048961.739258</t>
  </si>
  <si>
    <t>2.1.2.1.1.1.3.10.2</t>
  </si>
  <si>
    <t>320319890.720734</t>
  </si>
  <si>
    <t>28048961.720734</t>
  </si>
  <si>
    <t>2.1.2.1.1.1.3.10.3</t>
  </si>
  <si>
    <t>320319890.54635</t>
  </si>
  <si>
    <t>28048961.54635</t>
  </si>
  <si>
    <t>2.1.2.1.1.1.3.10.4</t>
  </si>
  <si>
    <t>320319890.54634</t>
  </si>
  <si>
    <t>28048961.54634</t>
  </si>
  <si>
    <t>2.1.2.1.1.1.3.11</t>
  </si>
  <si>
    <t>2.1.2.1.1.1.3.11.1</t>
  </si>
  <si>
    <t>320319938.54634</t>
  </si>
  <si>
    <t>28048963.54634</t>
  </si>
  <si>
    <t>2.1.2.1.1.1.3.11.2</t>
  </si>
  <si>
    <t>320319938.54635</t>
  </si>
  <si>
    <t>28048963.54635</t>
  </si>
  <si>
    <t>2.1.2.1.1.1.3.11.3</t>
  </si>
  <si>
    <t>320319938.720734</t>
  </si>
  <si>
    <t>28048963.720734</t>
  </si>
  <si>
    <t>2.1.2.1.1.1.3.11.4</t>
  </si>
  <si>
    <t>320319938.739258</t>
  </si>
  <si>
    <t>28048963.739258</t>
  </si>
  <si>
    <t>2.1.2.1.1.2</t>
  </si>
  <si>
    <t>2.1.2.1.1.2.1</t>
  </si>
  <si>
    <t>2.1.2.1.1.2.1.1</t>
  </si>
  <si>
    <t>Высококачественная цементно-песчаная штукатурка по сетке (согласно АР3 листы 23-28) подвал, 1эт, 2эт, 3эт, 4эт, 5эт</t>
  </si>
  <si>
    <t>2.1.2.1.1.2.1.1.1</t>
  </si>
  <si>
    <t>320319894.726518</t>
  </si>
  <si>
    <t>28048977.726518</t>
  </si>
  <si>
    <t>2.1.2.1.1.2.1.1.2</t>
  </si>
  <si>
    <t>320319894.55050</t>
  </si>
  <si>
    <t>28048977.55050</t>
  </si>
  <si>
    <t>2.1.2.1.1.2.1.1.3</t>
  </si>
  <si>
    <t>320319894.55029</t>
  </si>
  <si>
    <t>28048977.55029</t>
  </si>
  <si>
    <t>2.1.2.1.1.2.1.1.4</t>
  </si>
  <si>
    <t>320319894.54634</t>
  </si>
  <si>
    <t>28048977.54634</t>
  </si>
  <si>
    <t>2.1.2.1.1.2.2</t>
  </si>
  <si>
    <t>2.1.2.1.1.2.2.1</t>
  </si>
  <si>
    <t>2.1.2.1.1.2.2.1.1</t>
  </si>
  <si>
    <t>Панель ПВХ / 2700x375x5</t>
  </si>
  <si>
    <t>320319897.1504881</t>
  </si>
  <si>
    <t>28049043.1504881</t>
  </si>
  <si>
    <t>2.1.2.1.1.2.2.2</t>
  </si>
  <si>
    <t>Подвал, 1эт, 2эт, 3эт, 4эт, 5эт. Тип: 2, 6. Подвал=1879,60; 1эт.=1200,80; 2эт.=2574,3+32,8; 3эт.=2128,30;  4эт.=2202+14;  5эт.=1818,6</t>
  </si>
  <si>
    <t>2.1.2.1.1.2.2.2.1</t>
  </si>
  <si>
    <t>320319899.54634</t>
  </si>
  <si>
    <t>28049044.54634</t>
  </si>
  <si>
    <t>2.1.2.1.1.2.2.2.2</t>
  </si>
  <si>
    <t>320319899.1506605</t>
  </si>
  <si>
    <t>28049044.1506605</t>
  </si>
  <si>
    <t>2.1.2.1.1.2.2.3</t>
  </si>
  <si>
    <t>2.1.2.1.1.2.2.3.1</t>
  </si>
  <si>
    <t>320319939.1506605</t>
  </si>
  <si>
    <t>28049045.1506605</t>
  </si>
  <si>
    <t>2.1.2.1.1.2.2.3.2</t>
  </si>
  <si>
    <t>320319939.54634</t>
  </si>
  <si>
    <t>28049045.54634</t>
  </si>
  <si>
    <t>2.1.2.1.1.2.2.4</t>
  </si>
  <si>
    <t>Подвал, 1эт, 2эт, 3эт, 4эт, 5эт. Тип: 4, 5</t>
  </si>
  <si>
    <t>2.1.2.1.1.2.2.4.1</t>
  </si>
  <si>
    <t>320319901.54637</t>
  </si>
  <si>
    <t>28049053.54637</t>
  </si>
  <si>
    <t>2.1.2.1.1.2.2.4.2</t>
  </si>
  <si>
    <t>320319901.737422</t>
  </si>
  <si>
    <t>28049053.737422</t>
  </si>
  <si>
    <t>2.1.2.1.1.2.2.4.3</t>
  </si>
  <si>
    <t>320319901.739258</t>
  </si>
  <si>
    <t>28049053.739258</t>
  </si>
  <si>
    <t>2.1.2.1.1.2.2.4.4</t>
  </si>
  <si>
    <t>320319901.1570533</t>
  </si>
  <si>
    <t>28049053.1570533</t>
  </si>
  <si>
    <t>2.1.2.1.1.3</t>
  </si>
  <si>
    <t>2.1.2.1.1.3.1</t>
  </si>
  <si>
    <t>2.1.2.1.1.3.1.1</t>
  </si>
  <si>
    <t>Подвал, 1эт, 2эт, 3эт, 4эт, 5эт. Тип потолка: 5, 6</t>
  </si>
  <si>
    <t>2.1.2.1.1.3.1.1.1</t>
  </si>
  <si>
    <t>320319905.726518</t>
  </si>
  <si>
    <t>28049281.726518</t>
  </si>
  <si>
    <t>2.1.2.1.1.3.1.1.2</t>
  </si>
  <si>
    <t>320319905.55050</t>
  </si>
  <si>
    <t>28049281.55050</t>
  </si>
  <si>
    <t>2.1.2.1.1.3.1.1.3</t>
  </si>
  <si>
    <t>320319905.55029</t>
  </si>
  <si>
    <t>28049281.55029</t>
  </si>
  <si>
    <t>2.1.2.1.1.3.1.1.4</t>
  </si>
  <si>
    <t>320319905.1139608</t>
  </si>
  <si>
    <t>28049281.1139608</t>
  </si>
  <si>
    <t>2.1.2.1.1.3.1.2</t>
  </si>
  <si>
    <t>2.1.2.1.1.3.1.2.1</t>
  </si>
  <si>
    <t>320319907.1570750</t>
  </si>
  <si>
    <t>28049379.1570750</t>
  </si>
  <si>
    <t>2.1.2.1.1.3.1.2.2</t>
  </si>
  <si>
    <t>320319907.1139608</t>
  </si>
  <si>
    <t>28049379.1139608</t>
  </si>
  <si>
    <t>2.1.2.1.1.3.2</t>
  </si>
  <si>
    <t>2.1.2.1.1.3.2.1</t>
  </si>
  <si>
    <t>Подвал, 1эт, 2эт, 3эт, 4эт, 5эт. Тип потолка: 1</t>
  </si>
  <si>
    <t>2.1.2.1.1.3.2.1.1</t>
  </si>
  <si>
    <t>320319910.1277544</t>
  </si>
  <si>
    <t>28049441.1277544</t>
  </si>
  <si>
    <t>2.1.2.1.1.3.2.1.2</t>
  </si>
  <si>
    <t>320319910.54634</t>
  </si>
  <si>
    <t>28049441.54634</t>
  </si>
  <si>
    <t>2.1.2.1.1.3.2.2</t>
  </si>
  <si>
    <t>Подвал, 1эт, 2эт, 3эт, 4эт, 5эт. Тип потолка: 2</t>
  </si>
  <si>
    <t>2.1.2.1.1.3.2.2.1</t>
  </si>
  <si>
    <t>320319940.54634</t>
  </si>
  <si>
    <t>28049442.54634</t>
  </si>
  <si>
    <t>2.1.2.1.1.3.2.2.2</t>
  </si>
  <si>
    <t>320319940.1277544</t>
  </si>
  <si>
    <t>28049442.1277544</t>
  </si>
  <si>
    <t>2.1.2.1.1.3.2.3</t>
  </si>
  <si>
    <t>Подвал, 1эт, 2эт, 3эт, 4эт, 5эт. Тип потолка: 5</t>
  </si>
  <si>
    <t>2.1.2.1.1.3.2.3.1</t>
  </si>
  <si>
    <t>320319941.1277544</t>
  </si>
  <si>
    <t>28049443.1277544</t>
  </si>
  <si>
    <t>2.1.2.1.1.3.2.3.2</t>
  </si>
  <si>
    <t>320319941.54634</t>
  </si>
  <si>
    <t>28049443.54634</t>
  </si>
  <si>
    <t>2.1.2.1.1.3.2.4</t>
  </si>
  <si>
    <t>Подвал, 1эт, 2эт, 3эт, 4эт, 5эт. Тип потолка: 6</t>
  </si>
  <si>
    <t>2.1.2.1.1.3.2.4.1</t>
  </si>
  <si>
    <t>320319942.54634</t>
  </si>
  <si>
    <t>28049444.54634</t>
  </si>
  <si>
    <t>2.1.2.1.1.3.2.4.2</t>
  </si>
  <si>
    <t>320319942.1277544</t>
  </si>
  <si>
    <t>28049444.1277544</t>
  </si>
  <si>
    <t>2.1.2.1.1.4</t>
  </si>
  <si>
    <t>2.1.2.1.1.4.1</t>
  </si>
  <si>
    <t>Подвал, 1эт, 2эт, 3эт, 4эт, 5эт. Тип потолка: 3. Металлические потолочные панели системы Clip-IN типа Armstrong ClipIN Bioguard, размер кассет: 600х1200 мм, цвет: RAL 9010</t>
  </si>
  <si>
    <t>2.1.2.1.1.4.1.1</t>
  </si>
  <si>
    <t>320319913.771980</t>
  </si>
  <si>
    <t>28049470.771980</t>
  </si>
  <si>
    <t>2.1.2.1.1.4.2</t>
  </si>
  <si>
    <t>2.1.2.1.1.4.2.1</t>
  </si>
  <si>
    <t>320319943.715461</t>
  </si>
  <si>
    <t>28049732.715461</t>
  </si>
  <si>
    <t>2.1.2.1.1.4.3</t>
  </si>
  <si>
    <t>Подвал, 1эт, 2эт, 3эт, 4эт, 5эт. Тип потолка: 1-4</t>
  </si>
  <si>
    <t>2.1.2.1.1.4.4</t>
  </si>
  <si>
    <t>Подвал, 1эт, 2эт, 3эт, 4эт, 5эт. Тип потолка: 1. Подвесной потолок ГКЛ Кнауф-лист- 1 слой, толщина 12,5 мм на металлическом каркасе</t>
  </si>
  <si>
    <t>2.1.2.1.1.4.4.1</t>
  </si>
  <si>
    <t>320319917.54821</t>
  </si>
  <si>
    <t>28049702.54821</t>
  </si>
  <si>
    <t>2.1.2.1.1.4.4.2</t>
  </si>
  <si>
    <t>320319917.54624</t>
  </si>
  <si>
    <t>28049702.54624</t>
  </si>
  <si>
    <t>2.1.2.1.1.4.4.3</t>
  </si>
  <si>
    <t>320319917.54575</t>
  </si>
  <si>
    <t>28049702.54575</t>
  </si>
  <si>
    <t>2.1.2.1.1.4.4.4</t>
  </si>
  <si>
    <t>320319917.54576</t>
  </si>
  <si>
    <t>28049702.54576</t>
  </si>
  <si>
    <t>2.1.2.1.1.4.4.5</t>
  </si>
  <si>
    <t>320319917.54569</t>
  </si>
  <si>
    <t>28049702.54569</t>
  </si>
  <si>
    <t>2.1.2.1.1.4.4.6</t>
  </si>
  <si>
    <t>320319917.54568</t>
  </si>
  <si>
    <t>28049702.54568</t>
  </si>
  <si>
    <t>2.1.2.1.1.4.4.7</t>
  </si>
  <si>
    <t>Подвес профиля прямой_/потолочный/60*27</t>
  </si>
  <si>
    <t>320319917.54573</t>
  </si>
  <si>
    <t>28049702.54573</t>
  </si>
  <si>
    <t>0eb7bcf2-ac18-4bde-8e36-3ccb4cd58803</t>
  </si>
  <si>
    <t>2.1.2.1.1.4.4.8</t>
  </si>
  <si>
    <t>320319917.55042</t>
  </si>
  <si>
    <t>28049702.55042</t>
  </si>
  <si>
    <t>2.1.2.1.1.4.4.9</t>
  </si>
  <si>
    <t>320319917.55038</t>
  </si>
  <si>
    <t>28049702.55038</t>
  </si>
  <si>
    <t>2.1.2.1.1.4.4.10</t>
  </si>
  <si>
    <t>320319917.54553</t>
  </si>
  <si>
    <t>28049702.54553</t>
  </si>
  <si>
    <t>2.1.2.1.1.4.4.11</t>
  </si>
  <si>
    <t>320319917.54828</t>
  </si>
  <si>
    <t>28049702.54828</t>
  </si>
  <si>
    <t>2.1.2.1.1.4.5</t>
  </si>
  <si>
    <t>1эт. Тип потолка: 2. Подвесной потолок ГКЛО Кнауф-лист - 1 слой, толщина 12,5 мм на металлическом каркасе</t>
  </si>
  <si>
    <t>2.1.2.1.1.4.5.1</t>
  </si>
  <si>
    <t>320319944.54828</t>
  </si>
  <si>
    <t>28049691.54828</t>
  </si>
  <si>
    <t>2.1.2.1.1.4.5.2</t>
  </si>
  <si>
    <t>320319944.54552</t>
  </si>
  <si>
    <t>28049691.54552</t>
  </si>
  <si>
    <t>2.1.2.1.1.4.5.3</t>
  </si>
  <si>
    <t>320319944.55038</t>
  </si>
  <si>
    <t>28049691.55038</t>
  </si>
  <si>
    <t>2.1.2.1.1.4.5.4</t>
  </si>
  <si>
    <t>320319944.55042</t>
  </si>
  <si>
    <t>28049691.55042</t>
  </si>
  <si>
    <t>2.1.2.1.1.4.5.5</t>
  </si>
  <si>
    <t>320319944.54573</t>
  </si>
  <si>
    <t>28049691.54573</t>
  </si>
  <si>
    <t>2.1.2.1.1.4.5.6</t>
  </si>
  <si>
    <t>320319944.54569</t>
  </si>
  <si>
    <t>28049691.54569</t>
  </si>
  <si>
    <t>2.1.2.1.1.4.5.7</t>
  </si>
  <si>
    <t>320319944.54568</t>
  </si>
  <si>
    <t>28049691.54568</t>
  </si>
  <si>
    <t>2.1.2.1.1.4.5.8</t>
  </si>
  <si>
    <t>320319944.54576</t>
  </si>
  <si>
    <t>28049691.54576</t>
  </si>
  <si>
    <t>2.1.2.1.1.4.5.9</t>
  </si>
  <si>
    <t>320319944.54575</t>
  </si>
  <si>
    <t>28049691.54575</t>
  </si>
  <si>
    <t>2.1.2.1.1.4.5.10</t>
  </si>
  <si>
    <t>320319944.54624</t>
  </si>
  <si>
    <t>28049691.54624</t>
  </si>
  <si>
    <t>2.1.2.1.1.4.5.11</t>
  </si>
  <si>
    <t>320319944.54821</t>
  </si>
  <si>
    <t>28049691.54821</t>
  </si>
  <si>
    <t>2.1.2.1.1.4.6</t>
  </si>
  <si>
    <t>Подвал, 2эт, 3эт, 4эт, 5эт. Тип потолка: 2. Подвесной потолок КНАУФ Файерборд</t>
  </si>
  <si>
    <t>2.1.2.1.1.4.6.1</t>
  </si>
  <si>
    <t>320319945.54821</t>
  </si>
  <si>
    <t>28049731.54821</t>
  </si>
  <si>
    <t>2.1.2.1.1.4.6.2</t>
  </si>
  <si>
    <t>320319945.54624</t>
  </si>
  <si>
    <t>28049731.54624</t>
  </si>
  <si>
    <t>2.1.2.1.1.4.6.3</t>
  </si>
  <si>
    <t>320319945.54575</t>
  </si>
  <si>
    <t>28049731.54575</t>
  </si>
  <si>
    <t>2.1.2.1.1.4.6.4</t>
  </si>
  <si>
    <t>320319945.54576</t>
  </si>
  <si>
    <t>28049731.54576</t>
  </si>
  <si>
    <t>2.1.2.1.1.4.6.5</t>
  </si>
  <si>
    <t>320319945.54569</t>
  </si>
  <si>
    <t>28049731.54569</t>
  </si>
  <si>
    <t>2.1.2.1.1.4.6.6</t>
  </si>
  <si>
    <t>320319945.54568</t>
  </si>
  <si>
    <t>28049731.54568</t>
  </si>
  <si>
    <t>2.1.2.1.1.4.6.7</t>
  </si>
  <si>
    <t>320319945.54573</t>
  </si>
  <si>
    <t>28049731.54573</t>
  </si>
  <si>
    <t>2.1.2.1.1.4.6.8</t>
  </si>
  <si>
    <t>320319945.1523192</t>
  </si>
  <si>
    <t>28049731.1523192</t>
  </si>
  <si>
    <t>2.1.2.1.1.4.6.9</t>
  </si>
  <si>
    <t>320319945.55042</t>
  </si>
  <si>
    <t>28049731.55042</t>
  </si>
  <si>
    <t>2.1.2.1.1.4.6.10</t>
  </si>
  <si>
    <t>320319945.55038</t>
  </si>
  <si>
    <t>28049731.55038</t>
  </si>
  <si>
    <t>2.1.2.1.1.4.6.11</t>
  </si>
  <si>
    <t>320319945.54828</t>
  </si>
  <si>
    <t>28049731.54828</t>
  </si>
  <si>
    <t>2.1.2.1.1.4.7</t>
  </si>
  <si>
    <t>2.1.2.1.1.4.7.1</t>
  </si>
  <si>
    <t>320319918.1353009</t>
  </si>
  <si>
    <t>28049705.1353009</t>
  </si>
  <si>
    <t>2.1.2.1.1.5</t>
  </si>
  <si>
    <t>2.1.2.1.1.5.1</t>
  </si>
  <si>
    <t>2.1.2.1.1.5.2</t>
  </si>
  <si>
    <t>6.3.1.5.99.6.1</t>
  </si>
  <si>
    <t>Компенсация затрат под сдачу СКБ</t>
  </si>
  <si>
    <t>5% от СМР на отделочные работы по разделу Отделка СКБ</t>
  </si>
  <si>
    <t>комплекс</t>
  </si>
  <si>
    <t>39042dce-c227-4fa3-8291-0a0e3e2255fb</t>
  </si>
  <si>
    <t>92c3eaa6-7426-4429-a59a-5dd844bf021c</t>
  </si>
  <si>
    <t>Общая стоимость работ, руб.с НДС 22%</t>
  </si>
  <si>
    <t>eF7s/WlzHEeW541+lbQ2GzOVgMgnNo+Fbf2ChCA0WAQSZAD32kyzrSwTmeiWTUmqK6me7pmxNhOlUi2jmlJt/XRd1aJiVc/yZp6HosgSd5n162tjkd/ountEJsCEu8c5J+M4UFNd3QJJLOT/5x5xzt+34//pz977D9+a/dmVP3tz/K0/2/yz/3P8zW/PDvVn3vr2N7+5+Wezvz+efbP5xJ+9u/gG+fv/dPvPjt9+882337r9Z1f+Sv5B/S3yt6ef3bx9+pfdbv+226d/nf7ed0+/Tf+5/n39pL5Xf1nfm38w/+Ggfq7/cF9+fF4/qh8O6hfz9+sv2j+q7/qu/PXR4BX1jYP68/qp/tIT63d+Tf97x2+//c70jbfG7zX/6NVIf3b27ntvvCk/d+vtv9udnhH81ntvvPcfdr79xuJz/7D5Mu1bJ2/8DY32P92+ffrPyn9T/umKiIosTPLNs1/6f83eefeNt99qvyOPUiGS6B9MKK+tgyIfABqHScnr6yh5942/IT5AJinb60hZ62n+Xf2P9X+tf13/ov60/k2gPtS/kv/3j/Vv6/8uP97Vn/nHQf2Z/MQ/1j+vfyn/+H/J36mf+Ef5VP9OfsNn5mc2vnIUXxTWF8OBpHgxvyPfNPlubg7mH9ZP5ed+Of+Rfgcf1c/11+7NP9kcyO+QX8tj+buv6hf6q0+a79G/u6df8oHIQv31+R35jP8f8qefGamTK0fJRVHfnX8g9T+qnymVKjxp7jZcSYjnilfiSg4Zeh7WDyTli/oP8neK9JFuCUk+/9H8e/L7H84/UN8rSR/Wn+ufU79VjfFQ/tTn84/kxwfqX5t/rD7dRMT39cePmyaTP/Fx26TP23/k4WD5iRcy+L0YyH/whRT8lfzUw/qJ/BfuDdRfInvphfyL7gzkk/bz+u4gjv+NsbnTK0fpRTX3Z20jPpRN9sO2cVW7v9wHTWO/0DH+vmoy/S33X+KUL9Jn8l2TL5nxVbourozERVH+qv7nQGr7nQwAv6n/vwP5Qf6fSeWBuHLrolSWeRjFUVxkuUlZJa4cXZQy+fyq5/vh/H35IKjIIT+aHmRx5Wp+URI/VY+lChVfKnsykKH9bv1bk8pr4sq1C1P5a/m2qPfqoY4dZxzXmchjEr0lrmxdmOhPde9r0fKtvydVPqof6xjoaObXxJXXLqFiGbren38iP36vyYsm6dviyvaFSf/H+oHM8SrQPhuaxL0urrx+YeJku87/y/w7Q/2g3mmzp7ENd8SVnYuUWT8NVKYa1D8xB/q/FFf+8sL0/UY6jx/Ih/Nh4xwaqSaVu+LK7oWp/G86Sinf+b4Mq58PO43M9ezK17OLUvsrFTpVipLvzj1pZj5Weer27beUzVOjVInw4GzINQJcWFvflfp/u6mGKL82h9OvX5g09GNwI7ty48LUmoYPQN172ZX9P+rHd+/iWr3r8d2/MGlNrDUPazZlA0OfjlF2ZXRhEOh38CC7cvOP+lk+uLC27nyWb16YNPRjcCu7cuvC1K4RiqvsyuEf9eNbXVyrdz2+hxcmra9QfJRdOVoH4r233xt/8xzD7T97a/zmrPlr6RxnJsTgj/traREy8Hzr3W+9c6i+tif/ynfeGH9z+//z7Te+9ab82wyUJyuUf1Ed7b2yV2zuxWlknNDbYxZdvfnOwVvvQJXuF5v7NqX7zEoP3nnj2PTgnBOqmmxjqWbVYPCofG+tB6AqNitbs1aMgnGdf1hsHtpUHjKqBHe8aqqNQ0vHH/Eo/Ns3ptPZW+u9//+22Py3tob9t+yycQ/Bvys2/51N679j1wp+FFSzbfw7y6Nw9ep6QtdKz59qS/O0fjT/TjM3qhfzX5yuuT1qpqv0lGr9RH5cfF5+6jt6J8Cz5ofmnxjh0iK6Ih/2C1sn/rFJ1bW0uLAV3l+37f29Zg3gXuMp53fkp94/dZjm1ty6QN0P6nuDV/7N1wZ6Kei5WmQ1KXzt4hSa5PyllKMev4vSVP/E8vglFyXoZ8ql6ufs+csLvY/0Hz6sv5K/0598csbWtsvfaqntvl46VkstT5ul8fmPLI/qhTGqR7XzMb0odZbHNFGP6UVpqn9qeUzTixJkfUz1w6eHYCpyto/q5+3etBd6q8eT+YfzHw3UDjX9AKvUJR/SwSvNY97sfFtE4EdnI/A9o4/YusBmkE/yKws6QOi9KJ2WZ1rtcbkwTfXPLM+0uChBd3WCfzJQofbl3UXKUC0ebrXl4gO1yeYD/bUHelLKuNy6dYEsSuWdoeUxvChVlsdQqMfwojTVP7c8hhc21fmzs3Gxfix//bh+rGa1mqdTDFRit+xIuUDZoKR+UeosT16mnryL0rRtefDWmUVdR0/9i/NDxoHaraH3pspO/cFiP+dAzbrP/7PeV6lCoUyB8hmVKXvR/4PFJ76mt36+aHYqykf449amqlD6pdo6O/+h3guk3MKzc/+SdZB1YU1k41QrEWrTTdfzf1HCLc9/rp7/i9JU/1+WF6C4KEE/lQ/3A/mMnl0u0BuImyG/Wjh4uNiV/MSwCVmaWPmMfyh/9MymNh2/n+mX5vyxDPkN8kuWp/zC2uG+aoczrRBoS27YIml5yi9KuOUpL9RTflGa6n+yPOXlRQkyD930rsGvtPVtDyCpSYQv9Pe9UHuM7w9aA6ymGZuzR/U/qT/I/7507dzcukBWSEy+KHGWp7VUT+tFaap/YX5aywubAF+Zjr2rTguYn7KL06inXnXkV/ub73VPBFyYVPMzV4bymbswTfWnlmfuwtYkfiP96sfzD86eF5Km4M5Ahs5P1SaOX8hfLLNVelZATXD9QH7qo8URncYoy1AanDk3paPsv2miqv4rOs5qbl1gi5zx++rZHpyzCOqz/8ZkiYwW/rWLQ7G8AWoR7MI01b+0vAEXtixy5g0493AuzILaeSW9rXrK9dOgnu+zR8/UTyyGdE+1c2iO1cRBMtDGogmbL78P7ahKP0JqL74YLA8OPlRPl/rXzg4+1b+pJOmX7csVOyK/aHuTLqxlV96kVc36c7pxLO/NRQm3vDdq9e7CNNW/srw3yUUJ+u/aQDcLb6fu+sw63T35KLepQZ961UdVdUhV/X/+Z00D0GaB/4F8LT4xRlzaXPXFNdqZ4zbq6Xefvnnt4oRaXgG1MnhhmupfW16B9KIE/byZzmtSxxftsvX7p8ljcSy7mUKwzH1cnPwHMvKqp1A6+TYWf2F5DC9KouUxVIt5F6bJPCaTj6G4MEHNvnCnE3H5kBdnfv4V7Txk9JUxWnr7r7XHbB/oZ1hP76mJ4A/nH+npvafNRnVdBuKFOuGqxg/f05G4DevqNVCS4jBK1UMmfxXtr1kryeZbLqw9targdJB7alS6PinbttlyLVv0Yf1lu+3aCPjaxQGqPghu335L9UH7ax5YXjW1YHlhQuvPLK/aRa1j1XflQ/9YvWaw0H5ROuUTeUev1ljmKV+7OGmW50wtT16YJkuhhrS8sPWin2kTqy1sUxhFL4zLMPxIew09HJy/P7gyqP95WP9iWP9meKYmTGOn5z/abMzw0+HmYBa8OX7jm5an9KIoLY+CWqm7ME31XcujcGGLKqqYwNktzy/UrIGahftu/aKf/r8oNEv/qzWsC9NU/87S/xe2TKEqJOn1SF1Qqi3X8mTQVA1rx7+ng97mUbF09EUxWDpaLf9gNf21/pums4Pxe38rPycVZpPjeDIZh8EsPRFBWoQnQVHkJ8E4TcJxItJoOh033/nO23/X/KZsflmyzb45W55KOQsHPpIXydfvp+3o78ViVkP10yPD54Mze5xXvl2VijNu075aXNmFvxLQRvkH+YNRAm6MHs7zleajfExoKR4Nd+Zn38yzz8Qj8Dzgc0EKZ2TGGTHhwF/DNQ8RmrEqHqw4xGHhnrhDM8shE0uEY0E9bUdmlCMGFMWS3X45CayivTs7fu8NQ4aTSeDbb05mph46nwYiE9FVc45L4lD+f5iHq1hN8pWtD1aoMuI3vqVTYqfIzCTxGlHi6ivsaERYJlX7bFZLYC4z5aPGz0pv25R/NM6ab5VXdok053KhHaeHXBiFm3tZbE6IVIDVjAcAwMWffal636J6n6pa4FWjIs1Iih5ZRI+oouGP/prZS4qvLOIrovhzOapDPO4ZOZSKDy2KD6mK4eGakImk4COL4COK4DPRmznfWDJOZN7htFAdWZsZLBKVcoaxSeU1qkr4qwfNOrpqjZ7VlYnmq/mHuobyYhJfLWbrCsXy6+aZ3ii8skuF8Zx0LMVUyOo9ZBxLVRWyZIGXjAonI4viEVkx/IFfN9dYSq1QlXMnGkvNFbJceJCmZBmz2iOSWp8pxpZkzJsIF7pjayuDZSKTjC3NEHXC3zpkmlH7aB/UX+oNTs/1wrma210sl7+chF4xZiHjg7QVRTINEWE9pyHLuIes3kMasgx6yJIFXjIq3owsikdkxfAXYt00ZBnuUJVzpyHLWIcsFx7IKWnIMtAhqVVy23fPQxqyJSLzrtyF8sTazmCh6EQ0TE1Kr1GVwt88aCr6af1cZpgP9HaC5+2yos5Aagnx40Gz9/1hu7NR7w6T2cc6/oll4iGieU48iSXxUNV7SDxmyftkyQIvGRVhRhbFI7Ji+OO/buIxK6+oyrkTj1nuIVkuPHRTEo9Z7RFJrd/xjz31JE7tqbWlwVIJqcc2DiJqhb990OTz++WSzuPFUo4p3byon5hAtqJEphsijOd0k1rSDVW9h3RjlrxPlizwklFxZWRRPCIrhj/w66Ybs/KKqpw73ZjlHpLlwgM2Jd2Y1R6R1Poe59gTTupUL6xtDRZLSji28Q5RLfwN7D/lDNozK/Pvy0HR/eby0ma7/7P5h3V7n6k+4vVYH5M3H2neilKZpIj4npOU2NyLI/lfvrmXxPK/YnMvTTf3RCj/yywJjErmIYGJzX2Jsy9x9iXOvsTZlzj7EmffgrNPxhF4HFQUG0makaQZSZqRpBlJmpGkGUmakYVmRKaBv3brJj6xWUmqSlJVkqqSVJWkqiRVZaGqqFTcSVFsHkqUQ4lyKFEOJcqhRDmUKIcWlEMyCjzlUBKm2DySJEeS5EiSHEmSI0lyJEmOLCRHJBL9rDUkKi39lSup/t3b7/x7Ax4to9pyqnBC5NbugGklJlQp1zKOI8pdTSq2pmXIqPom6/aIfv20LSLzsD03+mygM+r7+uOdZX3vO80eeb1K9nDw9bfG3z5pygfUd4Moitvf/zgOInXruPxVNL/EwtRqW9RWW01Y1k5+U0XAb7zxLuSprH86/7j+Qh8W/UOtrwmXqPoqgy/1laHtsduXak/Kdrq2u6ful/9vJsDXqIACBQiAi+b/RZUTjJtfkuaXtPlFqF+GqrKQYW5ZHWp5VH8VxPZvuKt6XhdDeaqKS7TLp1Es1OP1bFOXLnpQ39eLp+pi9sftd+imXBg6/Yn7utaEOsGrar+pw3bNZUqP1T/UVDF82j6B95o//kxdLx689vpfxmf+mY/aS5i0yOftk95c6v5cP9TPmycc/vDrZ6CpIqouwlCnuB/r+7Ry8fdpqN3pZ/XdXMw/koFZK7l/bi7/WVMhZuXe+EbHo9OThbUucNgeK3vc1N941LTC+UYWYdvG+ttenJ7xVmfNBokIUl3B5oumpkDSSHvUHktSt9K/aGTd1+fPX2hxX6hOOK2BOgg3i3AQqF/E4H99/nem53yb+pxnsOf8zdn43W+/A4qAz4zx+XWqwBwmcPb335q99a5J4FsrAqNhGBrvedmhSixgEv/Pt7/5bVASMYn7S6q4VfdqEaedEaD1jC23SxUXrbpQizo1TNC2DWKuz3V4FOXDzCj8Olk40JEthVv98zm1ZameUJPar5PVAj3ZUq1B5zl3LNtu49boaP+1V6QumdiMVvgGWTLQl6FG+uceZktD75FVA31R9ygeKnWfLFUgpYIfDNl6GwtZ5wbhVLXAPPUthiBxQBYNzF3f6itA3CQrBaawb0GfgYNlcLhpDw63yHIxSY3yNNjetoqq+Nx0i0sx+FGwyTwkywSmNeQ8inwYDs0B4YikVJuuIi2zIk2DcTELg7RMZsH4pDwJxrOTKBKzcRjOjhsY6yzKm+2TYQCkzqTY5lIyHCUUzzTf4qDCzLmYOK5xcqwmfFfvACdjPtPjxbZy9LN65QbpZQlF24KHGnLqpYzBK01ZRjVWlSO476sSR/L36nN6KUSO/pppi+fzprD6k+b75PhTffYr+fUH8x/pPctPVW2xR3ooO/xaO1vz0sC4qWlzZvTbfJMaXesB5idNabK21on+tyzbzxj7SsD7Cj5DYqLY5qRY9RQOCsT4d1EE62kzRWWiep2TatV0OKgQg2YTxg4nxqojcWCsObBmhFj1KQ6INQfgjBDnBukOirUG6kUxTIQJ7zorHiLxoEab53xQY4ibjxJJ2eJXd5tfTdR7rNSI4EceVFk79IAVDfvWQdCcnXnQ3ZkVG7F2w9NxmMymxyfBJJ2WQRqKIijLPAmKsTg5CcdhHk7bVvHqho1TwVcjcx07R1PA8Ly7YUYORFDCuWG9ejL/4TfaK0ru6UUVdcWqtMJNbfL6sfpaLl5Nw1fDzSxUf0rqZ6Ym2OJsAgFvgnVNJiMFIs4iTKZeJhoOzL3yOicPi70Mh4UJZIcTxJ/BZITApjpIX5ggdjkhvBnMLBnmiQnvOiseIpb3aTDz1pPkdoPJSY0IfGSDae3QA1Y07FsHQeswmJ2dWbERa4M5E6UYF9OZ/GIovzc6LqUPDaOgnOX5OM5n6Sya3vZvMI2dfzUyV8tzNAUMz7vBZORABCWawWxvtWn2D6k6vc3UZvNp6S6Fdpft7GZqXh7Y4mwBAW+Bdf0lIwUizPbnLxl5WPxlbF6X2eEE8ecvGSGwmQ7QFxZ/yQjhzV+WYhjmJrzrrHiIUN6nvyxaS1LY/SUnNSLwkf2ltUMPWNGwbx0ErcNfdnZmxUas/WVynM1EFIZBEavvLdMymBSzWRCJyey4nKSlyMVt//4yNTXFVdVBuKaA4Xn3l4wciKAE9pftRux7ZzdMq4tJX+jJS3X48IXe6q3uR2yW1n8nnedHeqv2PX0rr64mVj9pvtru3TY1zRZn0wh406xrPBkpEPEXYTyfGUd0r3OCsDjOcBgK4+rHDieKP8/JCIHNfpDeMEHsckJ485xpGGfDwrK7nRMQEeD7dJ1la1RKu+vkpEZEPbLrdHTpASsc9s2DwHX4zs7urNiIm3nNLJyOkygJRJweB2kapsEkUz+VhCJSm8InZdsqXn2nMDXF1dhdE9dkwUF4vn0nJwciLEF958/U+Ut9VE9dtv3QcPWGntt8uDwqOP+4nf08PU/50jnKx3oLqOmE5ePm56J4U7waybZ4NRbmLd5bnG0o4G24pkHlpECEaoxBNbq61zlBWAyqpR7aDieIN3vKCYFNkoC+MNtTTghv9jRKxFCY19xZ+RBpoEd3GoeNnWl+NVHvsVIjQh7Zndp79ICVDfveQdjc5rS7Nys2Yvm/v1bUypZ5LAVj3rAZu4tgF6uU3krBREa916h6V4PG/y61YJKmBkxqaqwtamOlsMa6+BIwVECBAgTA0Wu/JJZvuDfQ89lfqYdHF4HBPUeb5+uZBKSyMSs1YT7Vc/Afzr8T1P8sP/dYK/9cX85+ITViRHimRowIL6xGzGln/aL+p/o39W/lf58O6t/r2xs/aP9m2V7quQDVk/mXL9gKylDfmlULwlZQhioQeCgfPpKyF5ShSgSexl9zjEQUt+rDWArKUMX5KSgTJuWwNO5Yv04WDvR1/RaUIasFOjtcQZk4WhSUiSNrQRmyZKC5Q40GoQUZ9siqgS6rx4IyZKkCKRX8YMjW21jIWlE7IqsF5inyMDkrRDZsC4GeGydTRQNzV38FZchKgSkMXlBmGRxu2oPDLbJcTFKjPA3WgjJUxZ4LypBlAtMasqCMfBgOzQHhiKRUmy7QcVsFY52LcUxJUedjLAVl4hhHCcUzzdo4qDAzNyaOa5wciClg6IzOn3RBGc6+EvC+gs+3mCi2OSkQ0++I8S+koAwnFcvyo/k8BieGv8VHRgjsIgigJywDcEYIb4uP9oIyrHiIxIMabXasPcbtalVsX3vkpEYEP/Kgyl5QhhUN+9ZB0DqWHjs7s2Ij1m54PJ6eTGbZOBhPInV2I54E43SSBVkqJtnkRA4Z8/S2fzdsWZ9MsE0Bw/Puhhk5EEEJ54bPFpRZPe2rPifC9qivs5AMJ7qAo69rLhkpEPEVYS7dB305eVhsZTwMUxPJDieJP2fJCIHNcYDOsDhLRghvzjJLhyIz4V1nxUME8T6dZdKakcTuLDmpEZGP7CytHXrAioZ96yBoHc6yszMrNmLtLE+Oj7OTfHIcFPnxsXShx1EwScfHwUk2juPxZFIUeRtQvTrLxNQUV+MU2xQwPO/OkpEDEZToztJVqlDaS0CpQs4mEPAmWNdhMlIg4mx/DpORh8Vh2koVcoL4M5iMENhUB+kLE8QuJ4Q3gymiYWZMSddZ8RCxvE+DmbaeJLUbTE5qROAjG0xrhx6womHfOghah8Hs7MyKjfjylpKx3AV/tb2XFdEUMDzvBpORAxGUwAbTYykZzqYR8KZZ13gyUiDiL8J4WkrJcIIwOU5bKRlOFH+ekxECm/0gvWGC2OWE8OY5XaVkWAERAb5P1ylao2K9oHCPlRoR9ciu01VKhhUO++ZB4Dp8Z2d3VmzEl7eUTGwrJZNhmwKG5913MnIgwhLUd17OUjKMbSjgbQg3qJQDpibybU5yRHjHmFqjE3ydE4TF1FrLzzCC+LO0jBDYxAroC4ulZYTwZmld5Wc4+RCpo09H215DF9vvFGSlRoQ8sqONRBwOE8tMKicc9sWDwHU42s7urNiIlaV1OdV+y85YFt9dN9pEabYKd+FlZ4h6V4PFn0bZGWJjpbDGugRlZ4iAAgUIgIsQhWZyWKGZ7HyRExlumion5Kox+mRc/VPV2vqxfKCe3PbHnw301o8vm1FOW61Ff7r5C/TAyfjIYorCDC6kKgyo0kuiq8c8bL634dHN8+Clnwo3Q8X00/kH6qdeqZ+9+i/36rtfG5oe0G3qA7qa5fkqvBAFAk/JwwcrjgovRInA4/FrDkOI4ladDk+FF6I4LxVeSrVaL0y6r5N1Ax1UzwVeqGqBHgpZ4CVfFnix3mN4gywZaKNQ4y1ogYQ9smqgn+mzwAtVqkBKBT8YsvU2FrJW1I7IaoFpijwQtceIA7JmYObqsb4LVSkwgSHqu+TL+i7W2HCLLBeT0igPg72+C1Gx7/ouVJnArIat75JvHJrjwRFJ6aVdnkts9V0KHCUUz/vyHCMHYo4VOnVyOZfnGNtQwNsQPuFgotjmpEDMO/cwKmUE8bvUxgjib6mNEQI74w/oC8tYmBHiUiy1cfIh0gBq6Nex1NZemBrbb79lpUaEPPIIx3XTAycb9r2DsHWstHX2ZsVGfHnPLCS2cisltilgeN7NKSMHIipBzanXMwuMTSPgTbOu52SkQARgjOc0htvXOUFYPKfjzAIjij/XyQiBzX6Q3jBB7HJCeHOdzjMLnICIAN+n7WzvS43t19+yUiOiHtl2Os8scMJh3zwIXIfv7OzOio348pb5Syz7wZIQ2xQwPN++k5MDEZbAvrPHMn+c6AKOvqav5KRARFiEr3QXYeHkYbGX1jJ/nCTe3CUnBDbHATrD7C45Iby5S3uZP1Y8RBDv0Vsm7XWnif3yWlZqROQje0t7mT9WNOxbB0FzO8vuzqzYiC9vmb/EUoUlcV0aY2wKGJ53Z8nIgQhKdGe5fpk/ziYQ8CZY12EyUiDibH8Ok5GHxWHayvxxgvgzmIwQ2FQH6QsTxC4nhDeDaS/zx4qHiOV9Gsyo9STWC/z2WKkRgY9sMO1l/ljRsG8dBK3DYHZ2ZsVGLP/312eslfR0V/7KZST7PaxqsZCxAzYswlVYT4dVLXUHr1HlrkaONc+q/mbl5rl7g/Zo6XPAYdMszhabL89eZ9eePw2iUJ0/Dcz7iLeoDZDCGuDiz59SAQUKEAL3mT6neF+dkNwctKdR4+aXpPklRRxRTeU3GB6b0+Op6rFoTpA2hypfPjAKP+187sRmLtoTm/AjruZdwfq46xfLvcb6n21PjT7XM+r6G84dj71bfxb8Zaz/9fbgpzpXeqbGjbqCsgE/ewEkEtt+YjYXZ07M5kKdmL3cB2bvDPQPP9CvzJ0G9nTrjB6xqP6R/4YWKN+4cLMIB4H6RQz+1+d/d/v2W6Z3a5v6bgHPJCGGXZZNylSBwANI8HGU/egsVeLqKInl6CxV3KoPYzk6SxXn5ehsEYphKEy6r5N1A/0c4ehsHAvb0VmyWqCjwx2dTeLF0dnEeiXgDbJkoKtDjQWhZ8/2yKqBVqzHo7NkqQIpFfxgyNbbWMhaUTsiqwWmKfIg2R4jDsiagZkLeXTWHh9ukpUCExj86OwyNty0x4ZbZLmYlEZ5GKxHZ6mKPR+dJcsEZjXk0Vn5MBya48ERSake9IN2lCkY6xSMY0KKOg1jOTqbJDhKKJ5pssZBhZmwMXFc4+RAzP9CZ3J8nk7gbBoBbxr4FIiJYpuTAjHVjRlsGme2X+cEYVrcs51O4ETxt7zHCIFdaID0hglilxPC2/Ke63QCKyAiwKMGdR0LfO3doon9olhWakTUI49dXKcTWOGwbx4ErmOJr7M7KzZi7TvlX5Jms+MoiKd5HKRxGQWTJAuDcZJlIgtFmUzaVvHqO42p42qSYpsChufddzJyIMIS2HfqhYrvqeUFZRjVYoJaXHiki4J+rNZpnqqVtBcrK0aPziw06gUPXX108Ipe7niufOzmYP59taIkf68+p5eZNgftKt1zvTrRfm7+fWle1We/kl9/MP+R/Kd0rRi9VPLV/P3h19oiMWcWKdt/rzHCZxZb1E99Vv9ar2F8Vt9drDmZemqLs6cEvKfWtcGMFIiEgLDBetlML0LppVgT1eucVCye2DiY3uHE8OeHGSGwWRnQExY/zAjhzQ9HkcygwsR3nZUPkXf6tMPtTaiJ/VpbVmpE9CPbYXuPHrCyYd87CFuHG+7szYqNuDmrG8VlORXHwTgbF0Eq8iIoomgWlOPjbDKTPxvH49v+3bBxTuhqIrBNAcPz7oYZORBRCeqGf9nsGTLtLlrsLXq8qFjYbCiqfx0rx/nL+vf1p6clCR2mk7FBBLxB1jWdjBSIsIswnbaNPowgLD4ztlQj5ATx5zQZIbAZD9AXFqfJCOHPaYbpUBh3/l5n5UPE9D6dZnv3aWK/ypaVGhHy6E7T2qMHrGzY9w7C1uE0O3uzYiPWTnM6DpPZ9PgkmKTTMkhDUQRlmSdBMRYnJ+E4zMPpRcy7pqamuJpk2KaA4Xl3mowciKgEdZq4s7u5AJ3dZWwCAW+Cdb0lIwUi0CK8ZcfZXUYeFosZDgtjjYcdThJ/HpMRApvrIJ1hgtjlhPDmMbNkmBtnP66z4iGCeZ8Ws72MNLHfLctKjYh8ZItp7dADVjTsWwdB63CYnZ1ZsRE3l7GIUoyL6Ux+Ue0CiI7LYDwLo6Cc5fk4zmfpLJre9u8whakpriauK2eMTQHD8+4wGTkQQYnmMJu5ydXKg4Pm09JeNsUH23X21LwkscXZAgLeAusaTEYKRJjtz2Ay8rAYzNi89XyHE8Sfv2SEwGY6QF9Y/CUjhDd/WYphaJnC5MRDhPI+/WXeWhLr7X97rNSIwEf2l9YOPWBFw751ELQOf9nZmRUbsTKYLt/YbzEYYYK7mhQOuCjNV+EuuhgMUe5qpPjjLQZDbIAU1gCXoBgMEVCgACFw/RaDEX+UxWBq04WQlqIw3SVhXntd7eH416ow3qrCDK1lYYhv2ar34CsLQxQIPFwPH0E5ysIQJQJP1a85NiKKW3VgPGVhiOIuvCwMVTfQ2fVcFoaqFujtkGVhimVZGOvVhTfIkoH+DjUKhNZV2COrBpqyPsvCUKUKpFTwgyFbb2Mha0XtiKwWmKbIw2NXWRiqZmDm6rEsDFUpMIEhysIUy7Iw1thwiywXk9IoD4O9LAxRse+yMFSZwKyGLQtTbBya48ERSamSClvwUzDWyRjHVBR1QsZWFqbEUULxvC/iMXIgZn6hczos28QYm0DAmwA+6WGi2OakQExmIwaVHat4jDwsq3j2bWKMJP6W8RghsAsKkM4wQexyQnhbxnNsE+PEQwRz1ACuYxmvvdE0sV9Qy0qNiHzkcYpjmxgnGvatg6B1LON1dmbFRnx5t4kJSwGYNMQ2BQzPt8Pk5EAEJZrD7GWbGGcLCHgLrGkwOSkQYbY3g8nJw2IwbdvEOEG8+UtOCGymA/SF2V9yQnjzl/ZtYqx4iFDeo79M23tNU/sltazUiMBH9pf2bWKsaNi3DoLm9pfdnVmxEWt/KWIxGaeFCJI0mgbpJMuDcR5KQ5qKMJmIMDuZHd/27y+Ng4uraYRtChied3/JyIEISlB/iS+p8trrqIoqnO0h4O2xrttkpEAEXYTbtOyR4QRhsplGkB1OEH82kxECm/AAfWGxmYwQ3mymo6IKKx8ipPfpM9vrTVP7XbWs1IiQR/aZjooqrGzY9w7C1mE0O3uzYiO+vJWshaWiShpjmwKG591oMnIgohLUaP4JV7Lm7CkB76l1LTAjBSIfICwwpJI1JxWLH7ZMujJi+HPDjBDYrAzoCYsbZoTw54btlaxZ+RB5p083HLf+yXq/4B4rNSL60d2wvZI1Kxv2vYOwdbjhzt6s2Igv732CwnKWN02wTQHD8+6GGTkQUQnshj3eJ8jZNALeNOvaT0YKRABG2E/LfYKcICyO036fICeKP9fJCIHNfpDeMEHsckJ4c52u+wRZAREBvk/b2V5Al9rvE2SlRkQ9su103SfICod98yBwHb6zszsrNmK/VWGM5wqupqkTrliFu+CqMFS5q7Hij7YqDLUBUlgDXHxVGCqgQAFC4HquClPfu7C6MEW++UdVGebR8osXr3K1YsxDYyWbR0rVoP6fsoN/tfmvpW16LW1jChPb1DABrBeAGTBatuwQBQKLA8AHgvayNlSJwKoAaw7wiOJWLSRLWRuquIsua0PWDbSm/Za1IasFmlNcWZs0XZS1Sa23Ld4gSwYaVNRAFloXYo+sOkWqBj8W1rI2ZKkCKRX8YMjW21jIWlE7IqsFpinyCN9R1oasGZi5+itrQ1YKTGDwsjbL2HDTHhtukeViUhrlYbCWtaEq9lzWhiwTmNWQZW3kw3BojgdHJKWXdnUys5S1SQWOEornfXWSkQMxeQ2dlPK6OsnYNALeNPDZHBPFNicFYp4eM9i0rE4ygvhenWRE8bc6yQiBXSOB9IYJYpcT4nKsTnICIgI8alDXsTrZXtOa2i/dZaVGRD3y2MW5OskJh33zIHAdq5Od3VmxEV/eMyKZrdhNhm0KGJ5338nIgQhLYN/5J3xGhLGnBLyn1rXBjBSIhICwwaAzIoxULJ7YckaEEcOfH2aEwGZlQE9Y/DAjhDc/7DojwsmHyDt92uH2TtnUfkEwKzUi+pHtsOuMCCcb9r2DsHW44c7erNiIL29pnsxWmsd1mZ2xKWB43t0wIwciKkHdMH9pHsb2EPD2WNdzMlIgoi7Cc9r2+TCCsNhMa2keRhB/RpMRApvwAH1hMZqMEP6MpqM0DycfIqT3aTTby2VT+03BrNSIkEc3mo7SPJxs2PcOwtZhNDt7s2Ijvry32GS20jzuu3oMTQHD8240GTkQUQlqNDluseFsAgFvgnW9JSMFItAivGVHkXFGHhaLab3FhpPEn8dkhMDmOkhnmCB2OSG8eUz7LTaseIhg3qfFLFpTYr04cY+VGhH5yBbTfosNKxr2rYOgdTjMzs6s2Igv7y02ma3cTYltChied4fJyIEISjSH2c8tNowtIOAtsK7BZKRAhNn+DCYjD4vBtN5iwwjiz18yQmAzHaAvLP6SEcKbv3TcYsOJhwjlffrL9mK91H5LIis1IvCR/aXjFhtONOxbB0Hr8JednVmxEfsta2PszqvCfUVPuQp3wWVtqHJXI8UfbVkbagOksAa4+LI2VECBAoTA9VvWJvNU1GbzfCmSYLE1F1PVZqXay6f6ONyH8+8E9T/Lzz3WqJ8r0I4SNYwVXkR4psKLCC+swstpJ/6i/ifZyb+V/306qH+vRoNaxT1de+exelZA1WD+5Qu2cjDU12vVdLCVg6EKBB6qhw+d7OVgqBKBp+nXGxRRxa1aL5ZyMFRxXsrB5HE+bOcSV0cxZN1AS9dvORiyWqCpw5WDEeGiHIyw3hR5gywZaOxQwz9oPYU9smqgG+uxHAxZqkBKBT8YsvU2FrJW1I7IaoFpijwuToo0tm0iJ4sGpq7+6sGQlQIzGLwezDI43LQHh1tkuZicRnkarPVgqIo914MhywSmNWQ9GPkwHJoDwhFJqZI6Hk9PJrNsHIwnkZqKiSfBOJ1kQZaKSTY5Kcsob4OxdRrGMQlFnYqx1IMR7mvszlFC8Xwv33FyIOZ8obM55zeIrS7eqc+JsF25c24M40QXcHT4NIeJYpuTAjF9jRhNutftOHm8rttxgnhbt+OEwK4gAPrCMpRlhPC2bpelQ2HcgHidFQ8Rw1EDN/e6nWjvkRX2W4FZqRGBjzw+sXboASsa9q2DoLnX7bo7s2Ij1sby5Pg4O8knx0GRHx8HaXkcBZN0fBycZOM4Hk8mRZG3AdWrsTROql5tS4ghmgKG591YMnIgghLdWLpOHkh3CTh5wNkEAt4E6xpMRgpEnO3PYDLysBjMcGic6d7hBPFnMBkhsKkO0hcmiF1OCG8GU0TDLDHhXWfFQ8TyPg1mezWrsF+0y0qNCHxkg2nt0ANWNOxbB0HrMJidnVmxEV/eGiq5pYaKSLBNAcPzbjAZORBBCWow2WuocLaHgLcH3G0ybHCqH5iaZpuzaRCRHGFhbTtuGEFYvKutMAsniD/vygiBzaKAvrB4V0YIb97VUZiFlQ+RJ/o0r+39rsJ+XS8rNSLkkc1rJOJwmFjsKycc9sWDwHXY187urNiIL29B7NxSmUWk2KaA4Xm3r4wciLAEta9/wgWxOXtKwHsKbqxNFNucFIiEgPDAkILYnFQshtiyV4ARw58dZoTAZmVAT1jsMCOEPztsL4jNyofIO33a4bT1T9ZrCvdYqRHRj26H7QWxWdmw7x2ErcMNd/ZmxUZ8ea8lzC1VZITANgUMz7sbZuRARCWwG/Z4LSFn0wh406xrPxkpEAEYYT8t1xJygrA4Tvu1hJwo/lwnIwQ2+0F6wwSxywnhzXW6riVkBUQE+D5tZ3uPnbBfS8hKjYh6ZNvpupaQFQ775kHgOnxnZ3dWbMR+q8sYd5NdbfciW+BEuAp30dVliHJXY8Ufb3UZYgOksAa4BNVliIACBQiAW7ueTHFx9WRk7OmvnIz8SbXbYjF13+64uLiiMrk4U1QmF76LypxW6um7qEzSR02Zoemt2qa+VcDT+pjxlWWLC1Eg8GQ+fNzkKCpDlAg8kr/meIgobtVx8RSVIYrzUlQmirNyGBtH/dfJwoFWrueqMlS1QDOHrCqTLavKWC85vEGWDDR0qIEftCrDHlk10IX1WVWGKlUgpYIfDNl6GwtZK2pHZLXAPEUeETuCxAFZNDB39VhVhqoUmMIQVWWyZVUZa3C4RZaLSWqUp8FeVYao2HdVGapMYFrDVpXJNg7NAeGIpPTSLucVtqoyzhvYzlNC8bwv5zFyIGZ7obM4XpfzGJtGwJsGPv1hotjmpEBMbGOGm5blPEYQ38t5jCj+lvMYIbCLCpDeMEHsckJcjuU8TkBEgEeN6pzrPxKpXf+x33bLSo2IeuTBi3M5jxMO++ZB4JzdedDdnRUb8eU9VFHYis4U2KaA4Xn3nYwciLAE9p1/wocqGHtKwHtqXRvMSIFICAgbDDpUwUjF4okthyoYMfz5YUYIbFYG9ITFDzNCePPDrkMVnHyIvNOnHW4vcxX2m3lZqRHRj2yHXYcqONmw7x2ErcMNd/ZmxUas3XAcT8TsJB0HofxaEEWzIijCaRmEoQhFVhRRKVqf6NUNG+eErooS2xQwPO9umJEDEZWgbthQIee+3q+jKuU8b76or+eV/vOn0n+qcjjKX8o/Gw3AFie/gPOv6zEZKRBRFuExbTt7GEFYbKW1eA0jiD9jyQiBTXCAvrAYS0YIb8YyicSw3Vp+zlhy8iFCeJ/Gsr3FVdiv5GWlRoQ8srG09+gBKxv2vYOwdRjLzt6s2Ii1sZyOw2Q2PT4JJqn8jjQURVCWeRIUY3FyEo7DXP7gbf/GMjU1xdXMeTWOqSlgeL6NJScHIipBjSWutncuILW9OZtAwJtgTW/JSYEItAhv6a7tzcnDYjHDYWHc77TDSeLNY3JCYHMdpDNMELucEN48ZpYMc+Nkx3VWPEQw79FiZmFjSjLrPYV7rNSIyEe2mNYOPWBFw751EDS3w+zuzIqNWDvMmSjFuJjO5BfVon90XAbjWRgF5SzPx3E+S2fR9LZ/hylMTXE1c16kY2oKGJ53h8nIgQhKNIfZrIyvXkw4aD4t7WVzN2G7rJ6aVyC2OFtAwFtgXYPJSIEIs/0ZTEYeFoNpu52QE8Sfv2SEwGY6QF9Y/CUjhDd/WYphaK6/zYqHCOV9+sv2QrvMfjshKzUi8JH9pbVDD1jRsG8dBK3DX3Z2ZsVGLP/31/+g/7e5tCVWE/nu7Pi9N95+y9ASKA9pXNK6msUOxLCIVhFt1V/sIjGWMDMvzF+jqlx9qhxNCTR8v5HeTpVmeNruorzTVof4RBW4kG7v4UBPLqoSGR/MP97U5S5e2lr5oimfMf9Q/jW66ERTkcKEvZXFV3ap6OdCpJ19vQhZHe29spcllnBIVZ/i1VtPRRol71sk75MlC7xk+AlJqXhkUTwiK4a/HvSYq5RXFuUVVfm507IdynGPxqFF7iFZLjykIw/OSrVHFrVHJLX6ubjtJyFZzsK2d9fZdMfWVgbLRKYks85rVJ3wt46UlAa6zNEf9JTEx/OPdAUuXXSpLRhUPzbRbGWJzDVEIs+5JrXkGqp6D7nGLHmfLFngJaOCysiieERWDH/q1801ZuUVVTl3rjHLPSTLhUdrSq4xqz0iqT0zI+kh19iyTepUnljbGSwUnW3MU/zXqErhbx4x39ytP61/YpK8laUyqRBle04qYnMvEqn8kKvflcXmXpyUlkRDJfKQaMTmvsLYVxj7CmPfhrFPxhB4DFSUGUmKkaIYKYqRohjZKEZkCvhrsW5CEpuVoqkUTaVoKhtNRaXhTlJi81AhHCqEQ4VwaEM4JCPAQz8lcYnNI0VwpAiOFMGRjeCIROB34GRPZ8KpPbW2PlgqIZ3ZBlBErfA3F5rQPtNzeB+bVG5lQuYwolLPOSzb3Mtl4orCyJK4qBgeEle2uS+179u075O1C7x2VGgZSekjKX1kkz4iS4c/6OumqGyzkgiVDaGiInDnpWzzUOo+tOk+JOuGh25KMso2j6TsI5vsI5Js/xnIloMyp3phbXSwWFIOsmUholr4y4nJQg90JfllnY5BW7lc/rH57YOB3m2kTkV+X1ehe9h8/sn8/fnHuhTdw4EJcyvLZBojonpOY/nmXlbKVGab56NSeMhi+ea+lL5vkb5Pli7w0lEhaSSVj6TykUX5iKwc/pqsm8PyzUoSVBaCikrAncLyzUMp+9Ai+5AsGx76KRks3zySqo8sqo9IqpXsrFGtAs5fuRJZHzfjLLOYLY+56oSFRW5tephWYhIbWjdJEOWuBvc1b8b5vT6ur64Beax3R9xXt+GoPRFftnOGj3QJq6fzH+r89UVzWc7ZG3Caez+aolbNdSpNEnyk7lxpLwJ53hYJeLy8SCcaLC44MbXOFrV1VpNGL9fmmBS+RlUoUAoB6vSu5kd658rzl3trEJztmHv2jlH1cqNYV8OVzuTPTbzbVN4MxovY+mupW0AVuLqfl/FGEqpEYDn3NXfpEsWtWgaWG0mo4rzcSCKiYZqaZF8nywYmUPx9JKmtyPzXyVqBCRR3G0mWL24jyaylQW+QJQOTKGp4dO5Btt1GQlYNTG7dwyGo1H2yVIGUCn4wZOttLGSdG/VQ1QJzFHmXtjVAHJAlA7MW7i4Sa3C4SdYJTF3wm0iWgeGmPTDcIsvFJDPKk2C9iYSq2PNNJGSZwISGHNzKh+HQHAyOSEr1EGKaxMW0mAbHZVkG6WScBeNwnATlsZhOx9l0clK06cM63H1z3M9B0jNDXtug11UO0EAJxTMNjB1UmMGxieMaJ8dqsnf1DnDU/BlwVKWrmEQibAZWJvItTnIBJ4ePN00U25wUq9nZQdHDKJIRZDVnO0Awo01jZNjhBPF3cpQRYjXVOyDWHLsyQng7OZpmwzwz4V1nxUPEbtRg7ZyVePnkaFuHN7NXVWalRkQ88pjE2qEHrGjYtw6C5uzMg+7OrNiI9cnRzdP5HGWpPC6UGFPc1ax00partJ4WSiKL3mtUvcBJHqjnM66UqE99Uv+hWffQO6vbFQ51NfozaQrfXx4bba6lU3elyx9u73B/Mf9gEEeDpjzyA/kXpo4r6ajtkMLaoY81EaJCgVIIUNduzlAN/3RzEClrLl/+5pek+SVtfhHql6G6KPBR/dWVQRREifwBYcLbpuIBp5d6MK9EgcDJJIwptS6BECUC55HWtJtEcZhZI0DrWWwkUZyfJZBCBnHjQOQ6WTcwN+LXQIqssC6CUMUCkyNyEaRcLoJYC/feIEsG5keUr4ZOJO6RVQOzWZ+LIFSpAikV/GDI1ttYyFpROyKrBWYp8oDDHiIOyJqBiQu3CmIPDzfJQoHpC7EMUi6XQayh4RZZLiahUZ4F+zIIUbHvZRCqTGBOwy6DlBuH5nBwRFKqDVc5jbMwjQORilmQnsTHQZmHYRCFcTkuT0QYi67t646xPXVAa1kGyV2lRQ2UUDzTsNdBhRn6mjiucXIgptKgQ+J/VnepyxGtusDyxfz9xahX/lHfVvnxoP4nOQZ7qPcSqgs0n9T32hUR9TENIuME1BZnKwh4K8CHmyaKbU4KxAQhfFQ5/77loklOEpY1kcKEscOJ4W1FhBMCOzcL6AnzUJYTwtuKSDwURrrrrHSIKI4auLkXRPK2unduL9XOSo2Id+Txia0/D1jJsO8chMy9HtLdlxUbsXaW4yhKM5GWQRYdiyBNizyYiOM8OJnk03AaFSLL2lbx6izNiyV5hG0KGJ53Z8nIgYhJUGd5V9dAuzP/4WD+XWkgn7U3pj+vXwT1V/or39OLKs2SinSbHy2329S/iswv8hZnGwh4G6zrKxkpEHEW7iul7f/CRPI6JwmLr4yGFmfJCOLPWTJCYLMcoC8szpIRwpuzzIaRcU/rdVY6RBTv01m2db1ze5F2VmpExCM7S1t/HrCSYd85CFmHs+zsy4qNWDvLYxFlRRLlgZjM4iCdlWPpQgsRRCdhKfLjcTyetP3t1Vkmpqa4msfYpoDheXeWjByImAR3ls3+m3uD+X+pnyrDOL9T32+mJcPwVfVfauLc4uQUcM513SMjBSKWItyjZa8LJwiTeTSuXexwgvgzj4wQ2EQG6AuLeWSE8GYeozAalsYIdp2VDxGq+7SPcWs5Yrt95KRGhDyyfbT36AErG/a9g7B1GMjO3qzYiJuzf9FJHuaTMsijWR6ksuWDIjuJg3x8EpfTTJyIk9lt/wbS2PlX24tFEU0Bw/NuIBk5EFEJaiB/2c5F3huoM336tga1tt3MReqiOc/qr+bfkTbz/eaT2lsWylnqrd3yD3Fo2eLN2RQC3hTrekxGCkTARXhM922SnDw8VtOEscOJ4c9oMkJgEx6gJyxGkxHCo9EcppYFcE48RETv02cmrTNJ7D6TkxoR9tbwmZYOPWBFw751ELQOm9nZmRUb8fJEYOuwlH30eCLQMhWZumhL8LWSfZ8ItGz3vEbVuxo7GE4EKsunqkHIPzw/vdCrLQl85oBgexHlD4bNub/Ice6PSpvCaHs490dVKFAKAerI5/5S+Rn5A8nglfrXuvOa0pfvzz+c/2j+g8baq42td9Ru10EwKHR3GWPHNrU1VmM82zFBqkDgaQuET7UeE6RKBJ6zWNODEsWtZjqWY4JUcV6OCUZ5bl3bpuoGJkz8MUEhctsxQbJYYMbEHRPM08UxwTy1HhMkSwYmTZTZhh602SOrTpGqwU+F9ZggWapASgU/GLL1NhayVtSOyGqBWYo+CrGGiAOyZmDiwh0TtIeHm2ShwPQFPya4DA037aHhFlkuJqFRngXrMUGqYs/HBMkygTkNeUxQPgyH5nBwRFKqBxmgYa+CsY5wHQN+6ijXdkxQ4CiheKaxsIMKMx42cVzj5EDMr0HHyawrJoxNIeBNAR+imii2OSkQU4eIoWXHigkjj88VE0YMfysmjBDYuVtAT1hGtYwQl2HFhBMPEdFRg7iOFRPRTrIL+4oJJzUi7NHHKvYVE0407FsHQetYMenszIqNWNvMyeR4Nj5JykCk6XGQ5sVJMM5CIX9qUkyjyXiaiPYt9mozjfOrV9u6moimgOF5t5mMHIigBLWZP1PT9dpoLq5jVH9sZvPll+6oRQF1MdL8Y1V68Zf1j+u79e/qX9S/kv/9+htt3cbf17+uP61/Iz/+Tn3P/y3/cHdw40BEg/rHpkba4mwkAW+kdQ0oIwUiEiMMqPVQISMJi/UMh7EQJpQdThR/9pMRApsIIb1hgtjlhPBmP4tiWFjsJyceItL3aT+z1rFkdvvJSY0IemT7ae3QA1Y07FsHQeuwn52dWbERNxd1H8dxUc5OgizPkiAdx2lQJNMymKYiy/MonIZZ2+Fe7adlN4/z5htTU8DwvNtPRg5EUILaz1+fbvxpinvrjT+nvlJdzvkd+d93X64K3rjRr9TWoc+kEf000K70x/Kv+7n8+Nv6d6a22eJsGwFvm3VdJyMFIgD34ToZSVhcZzTMTCA7nCD+PCcjBDb7AfrC4jkZIbx5znJoHttcZ6VDRPc+LWfeuhTrvYR7rNSIiEe2nLb+PGAlw75zELIOx9nZlxUbsd4ifsZsWS3lu7Pj9954+y1DK5AcpWUy03k3ThmvYtr2htvFYozi6fZwo9prVLWrT5ijaYF28GfSCj7QRu9R/aXe6/2Jtn6fbA70He3qYvYXgfzS/fmH+jqY89/24fIb9dXu9UMT8lZeXNmlYp+LlHbu9QJldbT3yl5ebu4Vkfwvkf8J+V8u/5Ofk+/KXik/V8rPlfJzZWmJnlTKFE9p3fxjRNuXaPsSbV+i7Uu0fYm2L9H2Jdq+RNuXaPsSbd+Ctk9GE3g0+IYhSTaSZCNJNpJkI0k2kmQjSTaSZCNJNpJkI0k2spCNyGTwV5Ie8xVhJQkrSVhJwkoSVpKwkoSVJKwkYSUJK0lYWQgrKuG5zWgdhLhH8lBiHUqsQ4l1KLEOJdahxDqUWIcS61BiHUqsQwvWIRkLnqaQ+9ck1ZGkOpJUR5LqSFIdSaojSXUkqY4k1ZGkOpJURxaqIxKVfh5vL3Owt/Na1nL3pRMitXYNTCsxIQ8tFW6uUeWuJieO41ov6s/VwR6Ve/WWND1z84U5d9ePBvM7g/or/ZUnOi0/aqdxHqlNbIP599Vfqk56ma5/03/103YvnP6D/Nv1FXLyc0+aM2LtWbEnah9cO3N0fxCpW+PUpx+bmneL2ryrWZHxfBhRoUApBKh7+XxY0p4Bu6t74Pn84zPnweRvrQ5uUH+q9yl+OP9OUP9z/cv6f9b/tf5HPWP3C/k744zdNrUNVkd1fKfCiAKBm+sxU1PWU2FEicBt9WtOOhHFYTbRA1rPMplEFOflVFhZ5sPC+FBeJ+sGpmX8qbAoi62nwqhigXkZeSpseXlcbr88jiwZmJtRo0bouYo9smpgyuseBUKl7pOlCqRU8IMhW29jIevcYI2qFpil6POO1hBxQNYMTFy4U2H28HCTLBSYvhCnwpaXx9lDwy2yXExCozwL9lNhRMW+T4VRZQJzGnJULR+GQ3M4OCIpVVKPM3EyydIsmOSTJEhPyiSYHIfHwXExnkyjk/F0PO6a3H5z3O9+Cevw9Gq7hwZMCcUzjbgdVJhRt4njGicHYkUNOhy3DK/k7xZ3pbcVNz5Qt8zV99qdFIdXd78+ujXYvnG1OtzdGiRh2I6Tf1c/nH+kh9nP9Q+ov/GHpoba4mwoAW8o+LDVRLHNSYFYSkQMPG2bJzhJeDZPmDB2ODG8bZ3ghFg1Bg6I9Ua7nBD+tk7YR8WsfIhQjxrduTdPFO2tZIX9hjlWakTE4xjEsLJh3zsIm3v7RHdvVmzEavvEZuO8PC7UGLv1auG87qQUq5DeFmqMcq9R5QIng6DO8I92oSZuF2rmn5iad4vavCmseXtYqKEqFCiFAHXkQn7Z5iDfHBTyZ6KhCXGbigic4ULYYcs6DFUgcDoL4XKt6zBUicCJrDUdLFEcZtoK0HoWZ0oU52UdJo3DYW7cFn6drBuYdfHrMEmc2tZhyGKBaRe3DlNEi3WYwnov2g2yZGDqRTl16EzmHlk1MKP1uA5DliqQUsEPhmy9jYWsFbUjslpgliIPYewh4oCsGZi4cOsw9vBwkywUmL7g6zDL0HDTHhpukeViEhrlWbCuw1AVe16HIcsE5jTkOox8GA7N4eCIpFSPHE7C8CQ/ngXFcSmCNDyOgiI/ToM4TLNMzIrseDJtYKzDZMdkAXWobFuHiXGUUDzTgNpBhRlUmziucXIgJuego+1fnV1kGchR9iM5+P5QDoqbRZhXTncffq0Z6MbWSvWc5AJODh9mmii2OSkQ04yIkaR1YYWRhGVhJTUfad/hBPG3tMIIgZ3iBfSFZQDLCOFvaSUfFsKEd50VDxG8UeO1jpWV9lLFwn5FJis1IuSRhyXWDj1gRcO+dRC0joWVzs6s2IgXVxe1XkoZRY8LLMbEcLVInLD5KqynBRbbxUVUucBZHqjlsyywNCslD8HLK3qK/ov6xbLi3nKt5CUX+UJ9T7Mac69+LD+l6jyDT7dQmyyFNVkfiyZEhQKlEKCOvGiSB1Eif0AMXlH9+qX8+fv6b3pRP9MXWi3Wvp7PP2z+rHZd6QuQLGssxBYBzl4hnLFtjYUoEDhVBTe8jjUWokTgJNWaVpYoDjMlBWg9i0UlivOyxhKXMkcYdV8n6wYmXvwaiyhsk2dfJ4sFZl7kGkuyXGOx3ul4gywZmH1Rnh06S7lHVg1MgH2usVClCqRU8IMhW29jIWtF7YisFpilyIMZe4g4IGsGJi7cGos9PNwkCwWmL8QaS7JcY7GGhltkuZiERnkW7GssRMW+11ioMoE5DbvGkmwcmsPBEUmplhpPjsfx7DjIy/FxkJZxGEzKkzDIIxFOTo5naV62Oc86UnbMG1BHy7Y1lhRHCcUzjakdVJhxtYnjGifHarp39Q5wwG0tJfCN1cMr8/8ix8J6QWZQ/0TtTpz/UI2XVS16OXief2BqjS3O1hDw1oCPVE0U25wUiEnIHkaXjCAsyy6Wk3E7nCD+ll0YIbATwIC+sIxpGSG8LbvEmbD4hOusfIiAjhrDday7pO1UvfXizT1WakTIow9VrD16wMqGfe8gbB0LL529WbERX8yJltQEebVdZrNBFquQ3hZcjKn4GlUucMoH6v8u1YJL1ykVYpOlsCbrY8GFqFCgFALU0RdcLOsmRDDgjFQPzpYoEDj9hHGs1nUTokTgxNOaXpQoDjPNBGg9i8ckivOybpIV0TAVJt3XybqB+RO/blJkhXXdhCoWmECR6yZiuW5ivdnxBlkyMImiPDd05nGPrBqYx/pcN6FKFUip4AdDtt7GQtaK2hFZLTBLkQcj9hBxQNYMTFy4dRN7eLhJFgpMX4h1E7FcN7GGhltkuZiERnkW7OsmRMW+102oMoE5DbtuIjYOzeHgiKRUjxeOx9M8KaJglpRRkE6ncVCeHEfB8fg4ibPjKC3KNmJYB7yOYT910GtbN8lwlFA809DYQYUZHps4rnFyIKbZoOPm38oRrdoa2NyT9rCpCPaBHs8+0tf5fjywL6CYGmCLswEEvAEQY8xfqYoV9ed6MK/23i335j1Xl4PoyYLn+lq5e/ob75mH9duc4Iipxh7GoIwgLKsrls3AO5wg/lZXGCGws7yAvrCMfBkhvK2uqBPPtp2FnHyIsI8a6XWsrrRXwhb2+31ZqREhjzygsffoASsb9r2DsDl786C7Nys24sWxFnF76TE9rrIIE+zVwnW3XBSGq7CeVlmE7VgLUS5wggjqFn+/el9aewdvrSt9PWmWQaRF+lKtlajDDSaYLSpMCoPpY/2DqFCgFALU0dc/Bq9kufMECREROMeEcaGJSeDrVIHACSW4u3SshBAlAqeS1vSNRHGYiSNA61n8IFGcl5WQOAvDYWl8Kq+ThQOTHH4pJI5Ebl0LoaoFpjnkWki+XAuxXvp6gywZmOpQDhk6m7hHVg3MaX2uhVClCqRU8IMhW29jIWtF7YisFpinyEMHR5A4IIsG5i7cYogjQNwkKwWmMMRqSL5cDbEGh1tkuZikRnka7KshRMW+V0OoMoFpDbsakm8cmgPCEUlpkyCiNBMnURDnaRmkcTgOJuPkJJiU42gSRcVJkbdZzzowdQzTqYNT22qI6xJVAyUUzzSEdVBhhrEmjmucHIhpMej49tOXR7Dt2ZH5d+bvD6IwiI3vzhYno4AzwgeVJoptTgrEVF4P40ZGEJbVCzm+NK7D7HCS+Fu+YITATqMCOsMyXGWE8LZ8EQthy//XWQERgRo1OutYvyjaGe/Cvn7BSY0IevRBiL1LD1jhsG8eBK5jAaOzOys2Yvm/TZcv7HfBIjPBXS1KF5yIVuEuesGCKBc4iwM1dD0tWBBhUhhMHwsWRIUCpRCgjrxgEW3Gm8lmNnilKIPSXfuKyAqcEerBgRIFAmd/UM7StnJBlAic9lnTMhLFYSZ5AK1nsYJEcb5WLiKrxaMKB2a7nlcuqGqB+Q65crG86b2w3/ROlgzMeShvDJ352yOrBia3PlcuqFIFUir4wZCtt7GQtaJ2RFYLzFP0QYM9SByQRQNzV48rF1SlwBSGWLlY3vVuDw63yHIxSY3yNNhXLoiKfa9cUGUC0xp25aLcODQHhCOS0ku7cpFZVi7KEEcJxfO9csHJgZgQgw50SSsXnIwCzggfXZootjkpEJN4648bOUH8rlxwknhbueCEwM6fAjrDPFzlhLgUKxesgIhAjRqduVcuyvZu79J+UzsrNSLo0QchjpULVjjsmweBc69cdHdnxUbsd+XCuGPnaum6Wy8S8SrcBa9cUOUCZ3Gghq6flQsqTAqD6WHlgqpQoBQC1JFXLlL5mcErkfvCDiomcDKoB/NJFAic+EGZSsuiBVUicMZnTbdIFIeZ3wG0nsUFEsV5XLQwBuPrZOHARNfvogVZLTDV4RYtyuW16KX9WnSyZGC6Q9li6KTfHlk1MK/1uGhBliqQUsEPhmy9jYWsFbUjslpgnqKPF+xB4oAsGpi7+lu0ICsFpjD4osUyONy0B4dbZLmYpEZ5GqyLFlTFnhctyDKBaQ25aCEfhkNzQDgiKb20ixa5bdEixlFC8bwvWjByIObCoGNc2qIFI6OAM8IHliaKbU4KxPxdD+NGRhDPixaMJP4WLRghsFOngM6wDFcZIS7HogUnICJQo0ZnHYsW7b3Zpf0SdFZqRNCjD0JcixaccNg3DwLXsWjR2Z0VG7HfRYvCBHe1Pdlvg0tW4S560YIoFziLAzV0PS1aEGFSGEwfixZEhQKlEKCOvGgRhYNXoti9ZEGEBE4F9WA9iQKB0z4oS2lbsiBKBM73rOkVieIwszuA1rN4QKI4X0sW4bCwLFlQhQPTXM9LFlS1wESHXLJY3jJe2m8ZJ0sGJjuUKYZO+e2RVQOzWp9LFlSpAikV/GDI1ttYyFpROyKrBeYp+mjBHiQOyKKBuavHJQuqUmAKQyxZLO8ZtweHW2S5mKRGeRrsSxZExb6XLKgygWkNu2SRbByaA8IRSemlXbIobEsWKY4Siud9yYKRYzXhu3oHOMKlLVkwMgo4I3xYaaLY5qRAzN71MG5kBPG8ZMFI4m/JghECO3EK6AzLcJUR4nIsWXACIgI1anTWsWTR3jhd2u8PZ6VGBD36IMS1ZMEJh33zIHAdSxad3VmxEftdsjCeL75aCidcugp30UsWRLnAWRyooetpyYIIk8Jg+liyICoUKIUAdeQli2JzUMofiOR/sfxPnblIyiBK3YsYRGzg5FAPZpQoEDgRhDKZtkUMokTgDNCa7pEoDjPfA2g9iyskivO3iFEac8l1snBg4ut5EYOqFpj6kIsYyyu/S/uV32TJwPSHssnQScA9smpgnutzEYMqVSClgh8M2XobC1krakdktcA8RR8/2IPEAVk0MHf1uIhBVQpMYYhFjOWl3/bgcIssF5PUKE+DfRGDqNj3IgZVJjCtYRcxxMahOSAckZRe2kWM0raIkeEooXjeFzEYORBzY9AxL20Rg5FRwBnhA00TxTYnBWI+r4dxIyOI50UMRhJ/ixiMENipVEBnWIarjBCXYxGDExARqFGjs45FjPZi59J+TTcrNSLo0QchrkUMTjjsmweB61jE6OzOio3Y7yJGZOzPq6XzfjchVukuehWDKBc4jQN1dD2tYhBhUhhMH6sYRIUCpRCgjryKESWDVyLhXrMgQgLngnrwnkSBwHkflKe0rVkQJQInfNY0i0RxmOkdQOtZTCBRnL81iyI1Cb9OFg7Mcz2vWVDVAhMdcs1ieTV3ab+amywZmOxQrhg657dHVg3Man2uWVClCqRU8IMhW29jIWtF7YisFpin6MMFe5A4IIsG5q4e1yyoSoEpDLFmsbya2x4cbpHlYpIa5Wmwr1kQFftes6DKBKY17JpFvnFoDghHJKWXds0iCm2LFs5rJs9jQvm8L1owciDmwqBDXNqiBSOjgDPCx5Umim1OCsT8XQ8DR0YQz4sWjCT+Fi0YIbBTp4DOsIxXGSEux6IFJyAiUKOGZx2LFu1lzqX9bm5WakTQo49CXIsWnHDYNw8C17Fo0dmdFRux/N9fn8ljyhf+lcso9ryIYbGIpYs2jFdpPS1iWO5su0aVC5zXgTq8z6S/U2sWj+r79ZP63mD+3fqhtHsP6+fzD+R/H9fP1Ky5XtWYf09+h3UZg4iTwnD6WMYgKhQohUR121R1wHmdHmwkUSBwDgdlD23rD0SJwMmbNX0fURxmqgbQehY/RxTnZf0hyop8KCw+jSocmKLw6w9lJKzLD1SxwBSFXH5Y3q9d2u/XJksGpimUv4VO3+2RVQOzUZ/LD1SpAikV/GDI1ttYyFpROyKrBaYpsvF3xIgDsmhg6sItP9jjw02yUGACQ6w+LK/XtseGW2S5mJRGeRjsqw9Exb5XH6gygUkNu/pQbhya48ERSam2/eOwLLMwCsrxVATpcRwGxSybBLOTZCricRRlk2kDYx1UOobY5IGlZfUhajsKzAkFNI0/HVyYMagJ5BorCGJaCzw6laPO9+VA9Gl9r35ePzg7OP2GWoqofyXM79AWK6mAk645LGTFQMzIIcaPT+ovTCivs6KwLETEsTCR7LCSeFuIYKXAzocCesM8cmWl8LYUYR3f8uIhIjZqoOZeiJBMzdR1+xsT+B4vOCLykYck1vEILxr2zYOguVciIP1Z8UHrxYgz/sNqGN+dHb/3xttvGRqC5BeN06TSKjovbwvtNVvBajEu8HQlwij3Glnu6mPmaFyg1/v9/M78A70a8Vj9rr5fv2gOVDyRFvBj+YlH80/OnLAw4UjXF13ZJTOdi4d2qPXCYXW098qeeublh1x+iCL1IVUfSvkhVr+L1e8S9btE/S5Vv0tLW7CkEqd4Yuv41oi5rzD3Fea+wtxXmPsKc19h7ivMfYW5rzD3Fea+DXOfjinwmPDxsaQcKcqRohwpypGiHCnKkaIcKcqRohwpypGiHNkoR3RK+DtJj/yKtlK0laKtFG2laCtFWynaStFWirZStJWirWy0FZn23JxMBy3usT1UiIcK8VAhHirEQ4V4qBAPFeKhQjxUiIcK8dCGeEhHhGcw5JSOJDxShEeK8EgRHinCI0V4pAiPFOGRIjxShEeK8MhGeEQjPJP1vO4gSKyzPLGTwr7rFyaWmLeVbpPea2S9wLUZjsR9b1A/qr8c6A0Hz/VnHs4/rJ/V90yEW2TC1bTWy66C+qf1k/rp/Efz79X3FNGX8pcfqG2x8w8H9c/lVz8zQbxGhhAoCAgA9fykkN+dDE1022Q64IoQYuLpWWxS+DpZIXD5Bz6fZN+5QNYIXPlZd6aIqA6z0ANoP9sMEFGdn80LcT6MM5Pw63ThwOyI37wgRGbbvEBXC0yPuN0LUs5i+4IyMrb9C3TVwCSJGghCVwD36LKBma97NAfVuk/XKpBawU+Har+NpbDzAyyqYGDOIk8ZijTKhrkxWhzQVQPzGG4bgz1S3KQrBWYz+D6G0yhx0xElbtEVYzIc5YmwbmUgS/a8l4GuE5jkkCNf9UQsRZ0fx1LE6gdhnMySWIhATMZZkJazPJhMjosgzstZNIniohy37W4d4r457nc/gxpA2ga6CQ4TymcaDDuwMANiE8g1VhDE4hh0pPyprhX0eCAHYU/VCBI6CmakFHBK+EDz9dGta6OBKMvB9rffefvd8clsUH37W+0TfH4EyYiHWOhDjDTtWxwYUVi2OITmdaEdVhKPWxwYKbALrZDeMFHsslJ42+IQx9bDlryAiDiOGsx1bXJIFovi1otT93jBEbFvjRGLbTfzAS8c9u2DwHVtc+ju0YoPWtvMLJ3m+fEsCSZRUQRpJuJA/vRE/tR4Gk2y8bQQx7f920yjm5Y2M8W2BYzPv81kBEGEJ6jN/Nn8fWknn+uik82pzkXhjg91ocr7qqrH/I5aBpj/UH5Gr2bc12sD0o0G8pdH8qtftd/1SH7hefNdptbZYm0dAW8duD01YWyzYiBCcS82lBGFyYaqycDzKDusKB59KCMFNhNCusNEsctK4c2HZsUwtdlQTj5EnO/VhqYL02K/cJUXHBH7yDbU2qkHvGzYdw/C1uVCuzu04oPWLrQYJyIL0yKYFCfye/PZLCimcRoc59k4FJH818PJbf8uNDG1hXShAtsWMD7/LpQRBBGdoC70rtpoorYFzb+nC4k8Hsy/L3/z4fx9+/zn4JXFl17Un8//c/2wftK42IH86z6tf/K11sgejt/597P33mv+APiXtJ1tjpIp+6v+zS/ULqXzAuTf+Gfz72qL/IH+0mP1meXf831dAuXp/OPmny7TQiRqS5P8i/QfUlPXbbF2nYB33doWmREDkSYQFlntOvtiODAXrXmdFYjFKBsXdHZYOTy6ZEYKbKYG9IXNJTNSeHPJIrJP1nLyIfJQry5ZLEyV9YLIPV5wRPgju2Rrpx7wsmHfPQhbl0vu7tCKD7o5jib/l0fpOEijJAzS5DgLyijLg0mWh5NYnKSzRad7dclGhyJdcoZtCxiff5fMCIKITlCX/MuXHSjUAMfqKpv2t1kimt8N9mbffHv6xnjwkkk2NdMWazMJeDPBHWn9M1V7UBt3dd1S4/NVWQh9wECdO7inf/c92ZB3pEt/pL684u8HzcaE6lt/O3tnPNjeGqQiDKN88ErcXA1kaqpt1qZChH2E67XuhGck4bG75h1MO6wkHg0vIwU26QJ6w2Z4GSm8GV7H5gROPERG6dXvZgt7ZL/BkhccEfjIfjfNrXtODnjpsC8fhK7L8XZ3acUH7fMay8S638B9F0q2Snfh5zeJeleDxiU+v0kkTGGEns5vEiEECgIAcPaM5unhzNR2MJMoezUyMx7MJCoEHmjB2Ez7wUyiRuBRlnUNJFEd5tgKoP1sxpCozs/BzMh2C9x1unBg2uv5YCZVLTDvYQ9m5qcHM+33WtJVA7Mfyi5DRwN7dNnAlNbrwUyqVoHUCn46VPttLIWtCB7RBQNzFnkkIdIws5dzo6oG5rEeD2ZSlQKzGeZgZn56MNN+wSVdMSbDUZ4Ix8FMomTvBzOpOoFJDn0wM99YiloRe0QTe2lXYSwjQjmCdd/YdA4Tyud/FYYRBDFnBh0CX9gqDGMzCXgzwYeg5lUYVZJbHRr4rmrG09WXz+SY+r92LcJ8c6b+6YGQI7CkayGGsbUQ85F9jHwZSTwvxDCSeFyIYaTAzgUDesM23makuAwLMZx4iKSCGll2LcQUi1l7+62cvOCIwEcePrkXYjjpsC8fhK5rIaa7Sys+6Mu7QT+2LtuU2LaA8fk3vYwgiPgENb3d2+b/hDboM3adgHcd3IibMLZZMRCJAuGQuzboMwLxGGUTxw4rh0ebzEiBzdSAvrDZZEYKbzbZtUGfkw+Rh3r1yeXCVFnvI9zjBUeEP7JPdm3Q52TDvnsQti6X3N2hFR/05a3ZF9uOsUYhti1gfN5dMicIIjpBXTKxZh8npYBTwg0lrmYfJx4i0iKMprVYCicKi8W01uzjJPFnMjkpsIkO0hsmil1WCm8m01WzjxUQEcf7dJnR4iK7yHExISs4IvbRXaajZh8rHPbtg8B12ExAj1Z80PpqwjPdqn7xeM2RzUm6L2vKV3E9bZOPsmFmEnyNLBi4UxDqBH/fnDLU7q8pq6eq4jUb43UdvXbO8qvGI6p95arIXjsH2uyff6TWyufvn37zc/XXPNFf+Up99/wjUxtskdsghbUBbie9SeJrZIkCJREgj3zPUSo/o686UnsXznTiQE8qqyKID/UBgvcXGx/kPyK//pHsuBftw9HMXT8e/O1fRGGo9jLcvv2Wqbm2yc0F3OuIsMYdc7BUocDtjXDj69imT9UI3Ni4rqUlqsNsYgS0n82qEtV52abvMKBU2cCki9+kL/9Z6yZ9slpg1kVu0o+i5Sb9KLJv0ierBqZelHmHPhp7dNnAbNnnJn2yVoHUCn46VPttLIWtCB7RBQMTF3lck+by9RMm0Qd00cAkhtujbw8UN+lKgakMsUd/GSRuOoLELbpiTHqjPBD2PfpUyb736JN1AnMcdo++fCKWolbEHtHE6jFKdhxO8mIcFNMkCtJYlEEhijQ4KaZheTw5TmbZpOGxDpwdUwnUwbNtj77KyBhMKJ9piO3AwgyzTSDXWEEQE3jQ4ffKiOylobcejWVi/lEkBjf+Iq6fDeqf63Hai5fH3YP6J3oI1+5av9fsXVJ/3FRjvHv15/rLP2z+oP6Jp+obAuOjsMXaggLegvCRsQljmxUDMaHZ44iVEYhlSce6vZ6TxOOSDiMFdlIZ0Bu2cTIjhbclHcd4mhMPkQ9QY8KuBZ14Mf1vvfxzjxccEf/IA58kL6yHk1nhsO8eBK5rQae7Rys+aG1Xw2w2iaciCbIyTuX3JnFQnIhZcDyezHIhShEWF2FXY1NbSLuaYNsCxuffrjKCIMIT1K5+Kt3nQ70W9FBfuvSwXQf69HStp1kquqdXDh7pJYb7TWWiu61nfTDI5x9l4fyjtFlKMLTLFmu7CHi7rG1CGTEQQRhuQuffn39gQnmdFYXHfpo4dlg5PJpPRgpsAgT0hc18MlJcBvPJiYeI7r2az8V9kZHjBlBWcETcI5tPkQ5zm/fkZMO+ehC2Lu/Z3aEVH/RyM1EbOpWn9LiZKDXhSnuZOnHLVVxfm4kKW9FNqmDgiibUHv6m/lxZvPl3l5uJdBXOD9W1m3qfyeP2RKWailQ7hu41ZTf0756rqpXtRpNmu5H84xP9RzU1+mVbCv39xee+r2/3vG9qkC1yg6SwBullZxFRokBJBMij7iyKbEU6qWTAtVS4m7WWKqEqBC6cIkyqY/cPUSNwyXRdA0pUh1keBbSfzVgS1XnZ/ZOmaT5sM+p5z0hVDkyUhA1ASWSzuF+nywWmSuwOoPR0B5D1JskbdNXAfIky3NDxxB5ddoqUDX42HDuAqFoFUiv46VDtt7EUtiJ4RBcMzFrksYgjXBzQVQMzGXILkD1U3KRLBSY0zB6g9HQPkDVM3KIrxiQ5yiPh2ANElOx9DxBVJzDNofcApRtLUStij2hitRULRRFNxmEwPpHj3zRKw6AMyyI4GU9FcRyVYhKOGx7reNcxA0Ad</t>
  </si>
  <si>
    <t>81r3AAkcJpTPNDJ2YGFGxyaQa6wgiGk36Kj57pkh8qNBuw1ofkcOkL+nd+w8k59tLqg4HTSfXgnWHrk5O4Zu6gnVP9XrL+pg9xfqz99QSzXVThaKLAxv6XUb/Y+8r3YKqT8mYagWZuSHKHKszDA2roA3LmJ4e6Z95z8czL/b7IbSjfzJuYZ9sdKSelfOA3Uo5qFe+1L3iHx99s74zfFgb/zOO+P/+B/f2Fysfz0f1D+V/9KDwSv6IP0dPZ3xqC0P9bDZm/X+/Pv1I2O+2WZtWsSsKXx87VgtYkRhWS0yhv4dVg6Pq0WMFNgpa0Bf2Ab1jBTeVouiKAyHqW3BiJMQkblQ49euBaPFpbWR4xZiVnBE6CMP0hzdesBLh33/IHRdS0bdXVrxQWtnPSmnySw6joIsTKMgTYtZUCZFGZTHIslnuUgnaftGe3XWxulm6awzbFvA+Pw7a0YQRHyCOutlmaPFctKyVqfyu/XvtT37TlPjXe+rv6+dX3sO+ivlqz+rf1F/GtR369/VP65/Xf9cfvxt/TtT62yxto6Atw7cGpswtlkxELEYbkMdZZAYUVhsaGQOITusJB6NKCMFNhECesNmRBkp/BnRbFhmJr7rvHyIMN+rDV3cJBs5LgdmBUeEProNtXXqAS8b9t2DsHWZ0O4OrfigtQmNhZjFk5mQX5zI752IOCjSqbSuZZJGcREdF2UbWr2aUONSkTShztumTG0B4/NvQhlBENEJakL/6czGpXuD+r9JR/qlnkyUhnRQ391OEj0zGyUD9Y1q8lHbUePE2hYrvIDDr+0xGTEQgbYXj8mIwuIxw2EsTCg7rCgeTSYjBTbRQbrDRLHLSuHNZKb5ME1NfNd5+RBhvFeTmS88ifX2zz1ecETsI5tMa6ce8LJh3z0IW5fJ7O7Qig+6memcHM/GJ0kZiDQ9DtK8OAnGWSiCNJoU02gynibiImY6jQ+ANJkFti1gfP5NJiMIIjpBTebP5u/PP1R1RE533n+oT2je1yv8d9Te7mVNkfqX9Y/1jOYv6l/J/37dXm9U/77+df1p/Rv58Xfqe/5v+Ye7gxsHIhrUPza10hZrKwl4K63tRhkxEBG5FzfKiMLkRtuVovNulBHFoxtlpMBmREh3mCh2WSm8udGiGBa2lXdOPkS879WNLu5sjBzXcLKCI2If2Y1aO/WAlw377kHYutxod4dWfNDLo5otueejmsKEKw1n6cKNolVcX0c1S+tRTaLg1SCy5lFNXfddr3k/1hsV75uKvLs3R547qvmoPd1pAt8ig6cw8F6OZBIlCpREgDzqkcxBtDnI5A/EtpOZRMDVQL7+ycyuYndEocBjLXB76jqgSdS46j2ZDmgS1WHOrgDaz+Ynieq8HNAs0nRYCJPw63ThwOyIP5+Z5on9eCZVLTA9Yo9nlqfHM603JN6gqwbmSJTJhp5p2qPLBma4Xo9nUrUKpFbw06Hab2MpbEXwiC4YmLro4w9rsDigiwamMdzpTHuguElXCkxmmMOZ5enhTGuQuEVXjElwlAfCcTiTKNn74UyqTmCOQx/OLDeWolbEHtHEKrWTWZ5N8pMwmBaxqo4ZJcE4nIhgmk7LSVgUUXHS8lhHuI4xP3WUazucGYc4TCifaSzswMKMh00g11hBEBNt0HHyZ6s7x5uLzR7Wj09XTfrdRc7ZQALeQPDBqgljmxUDMa+IGJJa11Q4UZjWVHITyQ4rib8lFU4K7LQupDdMFLusFN6WVBy7yFn5EJEeNdrrWFKJFzevxo67dFnBEaGPPKRx7CJnZcO+exC2jiUVQIdWfNDNRUFhPB2fTGZBlIk4SEU4DSazdBpkURGms5NkmpQX4UON55CkD42wbQHj8+9DGUEQ0QnlQ08vCsKVA5GG855a51ElMFrbKv+gtgZ9oO4CCk7rgDRfrHayKEzC8FbzxwhUGISzQQW8QeG+9fx1uJZ1rsbI39c1SHXR0QdtUz+THSF/29zG9Lytif9ooCvffyXb/bRQiKoTcq5MyOl1uoYG3WZtUEQagTtoezkQThQWBx0Ni9SEssOK4tFCM1Jg0zigO2wWmpHCm4WWIoalMAFe5wVEZKlePXS0sFzW6zf3eMERwY/soe29esALh337IHBdJrq7Rys+6Mt7FFPYjmLGMbYtYHz+TTQjCCI8QU10v0cxOeEFHB5ueE0Y26wYiEgLt5mOiVpGFBabGQ5Dm81kRPFoMxkpsIkO0h0mil1WCn82034Uk5UPEcZ7dZmLKxVjxyWZrOCI2Ed3mfajmKxs2HcPwtZlMrs7tOKD1iYzOynC7GQaBidxeBKkx1kZFNOyDI5nszTMkpNxmLZZwqvJND4A0mQm2LaA8fk3mYwgiOgENZl9HMW8cRA4Tl1yNoiAN8jaxpMRAxF8ezGejChcxtN27JKTxaPzZKTAZj9If5godlkpvDlPx7FLVj5EbO/VeS4uVIwdN2SygiOCH9l5Oo5dsrJh3z0IW5fz7O7Qig9aWU+Xo+z3lKVx24f0kqmLTpy7//PCT1lSBa/GjD+6U5ZU8BQG3scpS6pEgZIIkEc+ZSlHoIX8AWE5ZUkFBB5VQRjWjlOWVKHA4ylwO+o4ZUnVCDyYsq7NJKrDHEIBtJ/NPhLVXfgpS7JwYHbs95QlWS0wPSJPWcanl2DGjkswyaqBORLlqaGHk/boslOkbPCjYT9lSdYqkFrBT4dqv42lsBXBI7pgYOqiDzccpyzJooFprL9TlmSlwGSGOGUZn16BaQ8St+iKMQmO8kDYT1lSJfs+ZUnWCcxx2FOWsboC0xwYjmhiL+2aSWY9ZSlwmFA+/2smjCCIeTXoONnDmgljgwh4g8AHpyaMbVYMxLQhYghqXzNhRPG+ZsLI4nHNhJECO28L6Q8TxS4rxaVYM+HkQ8R21Piua81kcaNg7LgkkhUcEfzogxjHmgknG/bdg7B1rZl0d2jFB315t4Rn1nOVGbYtYHz+nScjCCI6QZ1nz1vCGeEFHH5tl8mIgQi0vbhMRhQul5maUHZYUTyaTEYKbKKDdIeJYpeVwpvJdG0J5+RDhPFeTebixsDYcQUkKzgi9pFNpmtLOCcb9t2DsHWZzO4OrfigL2/xjsx67jDHtgWMz7/JZARBRCeoyfwjKN7B2KAC3qBw4+q/eMf/03TB/IeD+ifyN3/oLN/B2KSIRAI30Y7yHYwoLCbaUb6DEcWjiWakwCZyQHfYTDQjhT8T7SrfwQmIyFO9uujFlYix445LVnBE8KO7aFf5Dk447NsHgeuy0d09WvFBX95azJn1ZGWBbQsYn38bzQiCCE8oG+23FjNjAwl4A8FtsQljmxUDEY3hVtQxn8uIwmJF7bWYGUk8OlFGCmwuhPSGiWKXlcKbE3XVYubkQ0T6Xo3o4jbE2HG9JSs4IvSRjairFjMnG/bdg7B1+dDuDq34oP2eszTmBOksSyddsUp38ecsiYJXY8Yf3zlLIngKA+/lnCVRokBJBMh7+ZzlylnKZHMgh53l5iAK5X+R7UglkWU1RPMfqSQKXfWerEcqiRpXXSXTkUqiOsyJE0D72ZwiUZ2XI5VJLoZ5ahJ+nS4cmAh7PlJJVQvMhNgjlacXV8aOiyvJqoHpEGWfoSeR9uiygcms1yOVVK0CqRX8dKj221gKWxE8ogsGpi7yyMIeLA7oooFprMcjlVSlwGSGOVJ5enGlPUjcoivGJDjKA+E4UkmU7P1IJVUnMMehj1SqiyvNgeGIJvbSLpbktiOVSYjDhPJ5XyzhBEFMoUGHxP4XSzgbSMAbCD4uNWFss2IgZgwRQ1LrYgknit/FEk4Sf4slnBTYCVtIb5godlkpLsNiCSsfItKjRnsdiyXJ4p7DxHFxJSs4IvSRhzSOxRJWNuy7B2HrWCwBdGjFB6196DSNc5HnUZDEx0UQRbNZMI7COJhGWRaNj8PJpGyfdq8+NDa1hfShEbYtYHz+fSgjCCI6oXwoeJ/2mb3ug2onjqI4DG8pu5pcOxzoXeylUFuubVvgTU22xdpkAt5kcGeKbDXC7vZt3RaD6jCI8sHf/kXu2MjO2XqIrAA3xPaN7JwoLIbYvpGdE8WjI2akwGZlQHfYHDEjhT9HXGaWibXrvICIpNOrJV7cWpg47qFkBUcEP7oltvbqAS8c9u2DwHV54u4erfigL2/Rkdx2HjSJsW0B4/PviRlBEOEJ6on7LTrCCS/g8HB3a8LYZsVARFq4zXTMuzKisNhMe9ERThSPNpORApvoIN1hothlpfBmMx1FR1j5EGG8V5e5uLYwcdxDyQqOiH1kl+koOsLKhn33IGxdJrO7Qys+6MtbUzm3nZZMEmxbwPj8m0xGEER0gppM/prKnA0i4A2ytvFkxEAE316MJyMKl/G01VTmZPHoPBkpsNkP0h8mil1WCm/O01FTmZUPEdt7dZ6LawsTxz2UrOCI4Ed2no6ayqxs2HcPwtblPLs7tOKDlv/7a2252tdVOcq/clnMfg9MFiZcaS5TF26UrOJ6OjAZh7YDk1TBq0GE58Dki/qJWkfXk5OfDNrV43vtQciBWon+8szUpT4w+UjZyuVP1Q/VyvPP65/Wn7W7TNGHLh9IKeFmXD+L1V9gW8vdIrdkCmvJPk5gUiUKlESAPPJNl9HmIJM/EFuOZVIBgWdbEJb4WWxS+DpZIfAgC9zpOs5jUjUCj7Cs62CJ6jDHVQDtZ3OmRHVezmPGSZoPQ2Pquk5XDky0+AOZUSaE9UQmWS4w1SJPZCanl1wmjksuyaqB+RZl2KEHmfboslOkbPCzYT+RSdYqkFrBT4dqv42lsBXBI7pgYNYij2Uc4eKArhqYyXBHMh2h4iZdKjChIc5kJqfXXNrDxC26YkySozwS9jOZVMm+z2SSdQLTHPZMZqKuuTSHhiOaWG120jIdZyIMinyWB2kSx8E4HudBNh0n8v8meVT43/dTWM9kChwmlM80snZgYUbXJpBrrCCIaTvoqPuz5Tj3nmtMfG/+Sbv+EiXh/KOiKd4+sFdv52wGAW8G1Hj0TEs4pwjuNdMQD9TEgPqOh3qu4rQ4u67OvjmoP212zA/qn84/lN/9Shw2TaebzRj2t1nbDTH52ccwl5GEZeFHDodtRz0ZUTyu+zBSYOeeAd1hG10zUnhb94lDUQ5DYSK8zkuISCGogWTXys/i8sXEcZsmKzgi+NFHS/ZuPeClw75/ELqutZ/uLq34oJut7eV4UoZhEohJmgRpKb+tmIzVNqUsi4tQpNN8dtu/xTUmRGlxM2xbwPj8W1xGEER8glrcT5saI6drOsv6I0xFRxibR8CbB259TRjbrBiIYIxwovY9SIwoLFbU5kMZOTz6UEYKbB4E9IXNhzJSePOhrpIjnHyIKN+rC13czpg4rttkBUcEPrILdZUc4WTDvnsQti4P2t2hFR/05T1eWViPV+botgDx+fegjCCI6AT1oD0fr2SEF3D4tR0mIwYi0PbiMBlRWBxmOIyFCWWHFcWjyWSkwCY6SHeYKHZZKbyZTNfxSk4+RBjv1WQu7i5MHLdRsoIjYh/ZZLqOV3KyYd89CFuXyezu0IoP+vIeryysxysLbFvA+PybTEYQRHSCmkwPxysZG0TAG2Rt48mIgQi+vRhPRhQm42k9XcmI4tF4MlJgkx+kO0wUu6wU3oyn63QlJx8itPdqPBeXFSaO2ydZwRGxj2w8XacrOdmw7x6Erct4dndoxQft9/bJ0kQnrWTpohPlKt3FH6YkCl6NGf96mJLakimsJXs5TEmUKFASAfLwhyn5d7uqXRf62VN/TbPh4mHzKLyY/0D+7Q/U4/C127ffMrXtNrltV3MQ4zlOosJVW816jpOocdUvM53jJKrDHHEBtJ/NAxPVXYJznFTlwBzf9zlOqlxglsee4zy9WTNx3KxJVg1M9aihAfTw0x5dNjCv9nqOk6pVILWCnw7VfhtLYSuCR3TBwKxFHjW5z3FSVQMzWZ/nOKlSgQkNc47z9G5Ne5i4RVeMSXKUR8JxjpMo2fs5TqpOYJpDn+NUd2uaQ8MRTeylXfspbec40xCHCeXzvvbDCYKYIIQO+PnXfjgbRMAbBD4oNmFss2Ig5j8R40/r2g8niue1H04Uf2s/nBTY+WdId5godlkpLsPaDysfIrSjBngdaz/p4u7F1HGZJis4IvaRRzGOtR9WNuy7B2HrWPsBdGjFB315d7aXttOVqfsSJUNbwPj8G09GEER0ghrPfne2c8ILOPzaJpMRAxFoezGZjChMJtO2s50TxaPJZKTAJjpId5godlkpvJlMx852Vj5EGO/VZC4uM0wd11OygiNiH9lkOna2s7Jh3z0IW5fJ7O7Qig/68pbwKG3HJ9MY3RYgPv8mkxEEEZ2gJtN3CQ/O5hHw5lnbhjJiIEJxLzaUEYXFhuYmjh1WDo8elJECmwcBfWHzoIwU3jyoo4QHKx8iyvfqQRd3HaaOyytZwRGBj+xBHSU8WNmw7x6ErcuDdndoxQd9eSsll7bTlWmCbQsYn38PygiCiE5QD8pVKZmzGQS8Gdb2mowYiJCL8Jq2fd2cJCxW0164mBPFo9tkpMBmPEB32NwmI4U3t+ksXMxKiIjovfrNxQ2HqePKSlZwRPAj+01n4WJWOuz7B6HrcpzdXVrxQatLKzcbp+XxrsrIGJSkmUxdmFG6iunvfKUxOV8jC14NH//7nq98Mf8AdL6S2pIprCX7OF9JlShQEgHy8Ocr28sq5Zi2kD8ghibAbTIg8LhIH2aYqBB4NARlcm2HHKkaVx0szyFHqjrM+Q9A+9lcKVGdn0OOQsT2FXaqcmCmxR9yjPPCfsiRLBeYapGHHNPTyypTx2WVZNXAfIuy6tCTQXt02SlSNvjZsB9yJGsVSK3gp0O138ZS2IrgEV0wMGvRRzH2cHFAVw3MZLhDjo5QcZMuFZjQEIcc09PLKu1h4hZdMSbJUR4J+yFHqmTfhxzJOoFpDnvIMVWXVZpfsiOaWKV2Uk7FOE2KIB5HZZBmxUkwEWq5JkuL6TSaTmPhfwkmslT5kcNmgeOEApqG1g4uzPDaBHKNFQQxYwcddn+2uv1HDY311qB2zYVhKxBjCwl4C8HHqiaMbVYMxAwlYkRq3wrEiMK0PmMcXO+wknhcnmGkwE4PA3rDNhBmpPC2POPaDMTJhwj1qBFf1+LM4grC1HGrJCs4IvSRhzWuzUCcbNh3D8LWtTTT3aEVH7R2oiIrk+lJeRKE8VR+71gcB0WaxMFJXGTy+5KTSTa7fQFO1JhCpBPNsI0BA/TvRBlBEOEJ6kQ/Xa7IqOKGD+d31OKLMphnlmcG2xpm8G9HR7cGW6Mbo1utS/23W3HS/C4Lw1fVf1Ho2CDE2DIC3jJwB9p3cclB/f/I9n0oLfwPB/VP5G/+0N6lHsXuy9Q5Ww4R+RGm17oMw0ji2fMyknj0vIwU2LwL6A2b52Wk8OZ54zCOLEd+r/MSItJKr653celh6rjFkhUcEfvIrtfRrQe8dNj3D0LX5Xu7u7Tig7681T6k701MjSF9b45tDBigf9/LCIIIUFDf23O5D0Z4AYeHW1sTxjYrBiLWInymfXKVEYXFaDrKfTCieHSajBTYTAfpDhPFLiuFN6fpKvfByYcI4736zMW9h6njIktWcETsI/tMV7kPTjbsuwdh63KZ3R1a8UFf3mLG0mUanwDpMgtsY8AA/btMRhBEeIK6TA/VjBkbRMAbZG3nyYiBiL69OE9GFCbnaa1mzIji0XkyUmCzH6Q7TBS7rBTenKermjEnHyK09+o8Fxcfpo6bLFnBEbGP7Dxd1Yw52bDvHoSty3l2d2jFB+33JsvItme0dOFl4SrexR+1JApeDRr/etSS2pIprCV7OWpJlChQEgHyXj5quXKcMtkcyKFruTmIQvlfZDtVSWRZDfqMpyqJCld9LOupSqLGVYPKdKqSqA5z4ATQfjbTSVR3CU5VUpUDk2rfpyqpcoFZFXuq8vTqyNRxdSRZNTC1orw49CjSHl02MI/1eqqSqlUgtYKfDtV+G0thK4JHdMHArEUeprhPVVJVAzNZn6cqqVKBCQ1zqvL06kh7mLhFV4xJcpRHwnGqkijZ+6lKqk5gmkOfqlRXR5pDwxFN7OVdbYlspypFiOOEAnpfbeEEQUzJQUfY/KstnA0i4A0CH4WaMLZZMRAzjogBqHW1hRPF82oLJ4q/1RZOCuyML6Q7TBS7rBSXYbWFlQ8R2lEjvI7VFrG4alA47o5kBUfEPvIwxrHawsqGffcgbB2rLYAOrfigL/FucsuhJOk8nXccmRoDBujfeTKCIMIT1Hn2u5ucE17A4dd2mYwYiEjbi8tkRGFymbbd5JwoHl0mIwU200G6w0Sxy0rhzWU6dpOz8iHCeK8uc3HXoHBcHskKjoh9ZJfp2E3OyoZ99yBsXS6zu0MrPuhLXKsjsp1ZFDG2MWCA/l0mIwgiPEFdpsdaHZwtI+AtA7eguFodz6VBb3ZavVRaT116pOpw3GunkNUfm11besPVB/MPtaVf/Ym2yavDIMoHr8im/fvMXc+Ds3UR2QHhjG0bgDhJWIyxtZ4HJ4lHX8xIgc3NgN6w+WJGCm++2FnPg5UQkXp6dcaLGxCF40pLVnBE7CM7Y2c9D1Y67PsHoevyxt1dWvFBX+KKypHtpKVIsI0BA/TvjRlBEAEK6o0voKIyZwsJeAvBPbIJY5sVAxGQEWbUPk3LiOLZjTKSeHSjjBTYbAjoDZsbZaTw5kYdFZVZ+RChvlcvurgbUTiuu2QFR4Q+shd1VFRmZcO+exC2Lifa3aEVH7S67LLdEHDb7TXfnR2/98bbbxlagmA1jclBeszUhRmJVUzbCUy7Vox9XBzCNIq9Rha7+ow5GhZoEe9Ke6iK735sEirtXHpll6z2XJyzy10vzFVHe6/IyCU296IsssU1KkSKh7DuYTcq31fK923K9+nKBV45fFe7FD5Swkc24SO6cPhjTo+kCqBSAJUNoCIDnDvw0AGAe14OlepDm+pDump42EaegJCij5ToI5voI5po/bDc9pl7rKcbhFN+Zm1zsFpS9jHLvUaWC38xofnnv+v1KHX+/v784/rhQC9Jfa4O388/bqcfvtKTEuqwwkfqG3WdgEd6CUplLhOgzFtC5S0ipe+8ldlSFlW/j5RlFr1PFy3wolERaGTTPKJrhr8Paycqs/aKrJ09R5kFH9IFwyM7KT2Z9R7R9J6dxlBv41+5UlR/JWr0RxOGzFCZE6OwNjtMLDE9WcszXiMLXg3ea1ao+R9qh4PaQNHudNAn6NrcM5h/VxWa0QOoD/SU+bPNlc/VLwKZwB7Kn/iemldX36Jz3KLajZ5yf6ZL2nylr0jR1VGaTdLyT/poXlOcRu/XeOkon/q0nsbXn3k6/8FQ3bTyYhA3+yzawjcyr87vqITa/jXzDwbpZhg131qo73zYluC5b+qILXJHrGahXgrc1L/Ue3zuNc31qG3oT+Y/kgx31EYVBfrgpZZrm1t1y/Om1YYm0NfIoAIFCoH8adNnWq169PTGJv3APFxusHE+Z813fN/w7GpPpW7c0duCHg5e0f/QF6q+kvzdc2W4flz/NhnopaM72obFSRAXX2sv81kU74lU8Z7NQdz8kjS/pM0vTWEfUyNvkxt5deqQr34PVSGw6gFmIcRav4eqcXWZg6d+D1Xdqp3iqd9DVeenfk8hs3hhEn6dLhxoOPDle0qRWqv3kNUCHQeyeo/IltV7hPUelht01UDbgRownnugrdV7yLKBSbp7nAjVuk/XKpBawU+Har+NpbDzw0OqYGDOIi912YPFAV00MI3hivfYA8VNulJgMkPU7lkGiZuOIHGLrhiT4CgPhL12D1Wy79o9ZJ3AHIecGlBPxFLU+akBilhtZpM0PCnLJCjCdBqkIhsH43AyC5JJHJbpZJrkJ+2jYp00eHNs3x5GnDiwTh3kOEwon2l6wYGFmWIwgVxjBUHs6Vhr6uHlUZ8c5plQt1hRBRwVPuY1YWyzYqxmZwcGYlRp34fHiMK0Dy8xkeywknjch8dIgd0LBOgN22CWkcLbPrximNlK8nDiIUI2ath2zkasbMNb3NQkHFdvsYIjIh95bGLr0wNeNOybB0Fz9ucBpD8rPmjtJ8uTqIhOkjQoizwN0tk4DiZhOAumIp0ez/LiJDxp32WvftK2Va/AtgWMz7+fZARBBCeon7zbTvrfO78yoJ2kLsejL0Folqce6fUHfeJXfUW8KkzNsMXaDALeDGt7TUYMRMRFeE3rCgYjCZPVNA49d1hJPFpNRgpswgP0hs1qMlJ4s5pxZpl6us7LhwjnvXrNxd1MwnHZFis4IvKRvaa1Uw942bDvHoSty2x2d2jFB90cPk4mY/ndYZBE2SxI5d8XlOFsEhzP4nIqjoskzNtO92o2jZMV0myW2LaA8fk3m4wgiOgENZufqS1F6mCx2onT1I/5ZP69xlGqs8WN2fys/pVxbn2LFVfAcdc2lYwYiNCKMJVql88Xw4G5CNLrrEA83tLEscPK4dFZMlJgsxugL2zOkpHCm7OMxDA3xrLrvHyI2N2rsywXRsR6yc0eLzgi/JGdpbVTD3jZsO8ehK3LWXZ3aMUHfTmvtGk+pqa2uBq189uItoDxeXeWnCCI6AR1lvw32nA2iIA3yLrekxMDEXwR3tO6eM6JwuI67TfacKL4M56cFNjkB+kOE8UuK4U34+m40YaVDxHa+zSe2eIClMxxow0rOCL2kY2n40YbVjbsuwdh6zCegA6t+KCbKjabvovY2NbGM2dN9ahc5fRVSMAo9xpZ7upj1kchAX1cre9CAll0ZZdM6bmQQBarAjip+pDLD3loC45UnBSPgzs2vq8Y9hXDvmLYtzHs0xkEngG+XVyXGZAII4UwUggjG8KIjgB/eeghuqk6IFEqhVIplMqGUpFRuIsQSP2HSv+h0n9o039I1w9PEsiDB7omgZR/pOQfKflHNvlHNPlnBqMqeXirUGCtoZPFLoo4snYCTCwx79mLuFH1riaFNQsU/EpmNTUZcq/+wzKXNVlw/pHKeff0xQ666m9bEeCz+qf1fzUxbZGZVjNDL2f9TRJfI0sUKIkAefYT8MNB/bv6Uf3VlYG6PWc4+MuDG8GZnng0eP3bb01n77w5/vtBGBZi8PpfDv7fszfefVcXj1AO5YOzHffoyuDW1RuDMoyMA4JtcousjmP4jtRTFa5OzXAeqadqBJ5CXHe+hahu1SvwHKmnqvNypD6NCuueL7JwYIbEH6mP5GtuPVNPlgvMkcgz9Vm8PFOfWe9CuEFXDcyUqLET9CjqHl02MBl2j5GgWvfpWgVSK/jpUO23sRR2fvBDFQxMWuSJN3u0OKCLBuYx3Jl6R6S4SZcKTGeIQ/XLKHHTESVu0RVjUhzlibAfqqdK9n2onqwTmOWQY1v1RCxFnR/MUsQqteMoPU7FcRIk42MRpGUUBkU2LYIkm6bT6GRSTJKThsc6zn1z3O/uAUc9vizBYUL5TCNiBxZmVGwCucYKglhigg6XP1uMq9SuVD0SbkbFcR6Gf5/k4u/FwMS5xcop4Jzw8akJY5sVA7EwBh9UqrNqJpTXWVFYNgVYtqJycnjcEcBIgV2VBPSFbSTLSOFtR4BzxMsJiIjXqEFb15aAxT0omeNiG1ZwROTjGZlwwmHfPghc156A7h6t+KD1noDNZfBULtHj8ojRF0vDmDppk1VaT8sjhe2OAape4KQP1O/9Uvo9XUa3KQO8vAtxdYfA3frT+iftAsnpd79U7bmtpzyIVf3cp/IHLbWXqOQpjLyXRRSiRIGSCJAnLTiqqPByZSXeHGTDwdkf/4uoyMvNLPzz5q8Z/kUUh+FmIf8cN3+ORZ5uJhtJvFn8efOXy89FcbGZyO9pV27+Io7DeCNK5SdE+7cUUbGZ3b79lqklt8ktCZzHgvtk++ILUSFw0gphfx2LL0SNwNmqda0tUR1mZgrQfjbLSlTnZ/GlLIel8cG8ThcOzL/4xZc0tlmsr9PVAhMwdu0lPV17SR1rL1TVwDSMsvHQGcs9uuwUKRv8aDjWXqhaBVIr+OlQ7bexFLYieEQXDMxZ5BGOkGbS6CYP6JqBWQy39GKPEzfpSoG5DLPykp6uvFhjxC26Ykx+ozwPjpUXomTvKy9UncAUh155STeWolbEHtHEai8L2mqveKxDaMecAnUYbV15EThMKJ9psO3Awgy4TSDXWEEQM3nQkbiHc5uMDSLgDQIf/ZowtlkxEBOViKGn/dwmIwrLEo3j3CYjisdVGkYK7DwxpDtMFLusFN5WaVznNjn5EKEdNbrrWqQRiyl94Vik4QRHxD7yEMZ1bpOTDfvuQdi61mi6O7Tig262/Ii4iGd5GMzGk3GQTqMiKGbFSTCdyJ84FpN4HE9u+zeethWcDNsWMD7/xpMRBBGdoMbzx3o555Gua9xemjF4aYVHW8ssjI0Dhi1WXAHHhdtK0P2Ral3sfLM8039oqz6rP76Y/2j+A128785Ks52eVjk9oDJ4RX6lqR99pzlw+wd9m+kL+X9fLW6YbA/eBoP60/pX0Z8P5F/yVB1f0ueWHg7ag7yP9PqcGh88VN96+tear5DfZu0mROroxTYzojDZ5sREssNK4tE1M1JgMzekN0wUu6wU3lxzlMWxfXMTJyEiM/Xqm7OFzbLeSLfHC44IfmTfHKXlMLHN/XPCYV8/CFyXce7u0YoPWjlnlyHudzOTMS1IK5y76DL7iQSYWIzFhW1mIuoFrqJCnexFbGYikqcw8l42MxElCpREgDzyZqZkZSdTItLN+HQfU7IZb0RJlmzmy71MSRJvZstdTImMB+J0D1MalepbFzuY4jjfND7X2+SmA64EI7ywdfcSUSFw3RducV27l4gagSu+65pXojrM6i6g/WymlKju4ncvUYUDE27Pu5eoaoEZF7t7KT/dvWS9Ne0GXTUw76J8OnTVf48uG5g0e929RNUqkFrBT4dqv42lsBXBI7pgYM4iD2Fcu5eomoFZrMfdS1SlwFyG2b2Un+5essaIW3TFmPxGeR4cu5eIkr3vXqLqBKY49O6lfGMpakXsEU3spV1ESqy7l5x3O53HhPL5X0RiBEFM1UGH3msvIjHiCjguYjALWUSS36Ca5FFzleiFLSKF/S0iMXYTYh4VMXC2LyIxonheRGIk8biIxEiBncWG9IaJYpeV4pIsInESIjITanDatYi0uDYyc9wDygqOCH7kEZhzEYkTDvv6QeC6FpG6e7Tig7682/4T6+6rEtsWMD7/xpkRBBGeoMbZw7Z/xgYR8AaBW2sTxjYrBiL69mI9GVGYrKd12z8jikfvyUiBTX6Q7jBR7LJSePOerm3/nHyI0N6r81xcK5k57gllBUfEPrLzdG3752TDvnsQti7j2d2hFR/0ojRTC+65NFNqor0a5aGLNhartJ52M5W23UxUvcBVVagz/E39uZo7nH936Qw7rmhabGxS04Jf6jlGNb+n5icfD+bflz8of7jd2PRE/SXSWj6T36InLptv2zz7lRf1F4vpQT13qf4aqeCp/mPzt9YP6heDcDNW21Pk32urRblFbtIU1qR9bJOiShQoiQB55G1SqfzM0AS3TYYDLgojTLFtIxNVIXAJGO51HRuZqBqBi79rmliqOsxCL6D9LOaUqs7LRqYoC5NhWZiUX6crByZb/E6mOMlS61YmslxgukVuZcrD5Vam3HqB5Q26amDSRXl26BaAPbpsYGLrcysTWatAagU/Har9NpbCVgSP6IKBWYs8nHGEiwO6amAmw21mcoSKm3SpwISG2M20DBM3HWHiFl0xJslRHgn7biaqZN+7mcg6gWkOu5tJPhFLUStij2hildrjuEziOJoE0zI5DtI0ToMiDsNgFk3KcpJHWT5rM4p1zOyYRKCOm227mfIIhwnlM42uHViYEbYJ5BorCGLmDjr0/qczo2c57P5vcnT9pR4XP1J3D97dTpJvqPFumKodPurzD+vP9Vf1FctB80m1YmNqjS3W1hDw1oAPSU0Y26wYiFlJxODTuiLDicK0IhMLE8oOK4q/FRlOCuysMKQ7TBS7rBTeVmRS+awZNxVf5+VDxHXU6K5jRSaP2gn85jcm8D1ecETsIw9hrJ16wMuGffcgbB0rMoAOrfigm61A6TTPj2dJMImKIkgzEQfjZDYJ0nI8jSbZeFqI49v+XadlK1AeY9sCxuffdTKCIKIT1HWe3wrU7u8x7whqdo/f14sFz6XrlL9IA1p/1X7XI/mFdh+6qXW2WFtHwFtnbRfKiIGIxL24UEYUJhdq2xfEieLRhTJSYDMhpDtMFLusFN5caFYMUyPfdV4+RJzv1YXGC9NivRN4jxccEfvILtTaqQe8bNh3D8LW5UK7O7Tig9YudFJOxThNiiAeR6X83uIkmIhxHBRZWkyn0XQaiza0enWhiaktpAtNsG0B4/PvQhlBENEJ6kI/a3f4LIonPW7OBT6sH7dudFD/Xu8J+o7em/RInzy8r/cJtd/+Vf1C1ev5Rf1poDer/7j+df1z+fG39e9MLbTF2kIC3kJrO1FGDEQ07sWJMqKwONHIPJjdYSXxaEQZKbDJENAbNiPKSOHNiEbZsMxMfNd5+RChvlcjurhqNndcHswKjgh9ZCNq7dQDXjbsuwdh6zKi3R1a8UE3JUWyOByHyUmQn4zVZvYoCsYnJ7MgFdP4ZDwLj8XJ5LZ/I5qa2kIa0RTbFjA+/0aUEQQRnaBG9FPDHvVHyl+e2ZY++PrsnfGb48Gb43fG//E/vtE6VOk6H+kZ08etY612IpHm++2f4jCcfyQ/qNIbz0xNtcXaVALeVHBHamwtPUF8umP/3qK19prW2hzkYR7VvxvUP5NuX9n4B20jP1yWHZl//OdnSpDUn8txwFPl8jfPlDFRf/7zpsTql/KzUseVpo2Fea/RNmvzItIFwilbt60zkjAZ5dC47rfDiuLRKTNSYLM1oDtsTpmRwp9TTop0WAoT4XVeQkQ26tUrpwtrZb1OdI8XHBH86F7Z3q0HvHTY9w9C1+WWu7u04oPWxzn/4Yy/svrhd2fH773x9luGliDYYduMrHBiZquYtnOcdq0Yj7s4ymkUe40sdvUZczQs0Md+psrOS5/0VFkrk1hpN8WVXbLic9HOLnm9YFcd7b0i41e2uRcVwhbdqBApHsK66d2ofF8p37cp36crF3jl8G3wUvhICR/ZhI/owuGPOj2aKoBKAVQ2gIoMcO6ERAcA7nk5VKoPbaoP6arhoRt5ZEKKPlKij2yij2ii9cNy22f+sZ6HyJzyc2ubg9WSMpC1kABRLvzFhOag/65nB563o/XV+1D0gp25toD69DJ7yW8wgcr8lan8RaT1nb9ylb+s7pwK4SN/5Sp/mZXv05ULvHJUTBop4SOb8BFdOPw1WTt/5Sp/We0/EYA9f+Uqf5lVH9JVw0M/KX/lKn+ZRR/RRJ/JAB4L4qjcYEtjuZOitDY9TCwxhyndJr3XyHpXA/uaBXH+h8xWHzaltOcfLs7mnc1P+v6uD2X+eqSmwdXZvGe6KPcn7R8H8osqrd1rMuGiiI2ayP6kSW+6ds5X+kCfrsDSHPnTk94/XJTA0XVxXtqo3VbGMeXPZv+2Fjj/wXCgxA6yTaGXHpryOZFzHYLY8qvZiLNuDlGiQEkEyCPWzVl5hK4MxOYgG5pYt8msq9NyjGV0iAqBxQdQ6wzWMjpEjcCqA+suIBDVrboRpjI6RHV+yujkjqOCVOHADI2volOIxF5Eh6oWmKKxRXRO7wPLHfeBkVUDEzVq+HXugbYX0aHKBma57gEXVOs+XatAagU/Har9NpbCzo+uqIKBOYu+jGQNFgd00cA0hquhYw8UN+lKgckMU0Ln9EIwe5C4RVeMSXCUB8JRQoco2XsJHapOYI5DjqfVE7EUdX4oTRGrzWyShidlmQRFmE6DVGTjYBxOZkEyicMynUyT/KR9VKyj7DfHfe7e0yNt61i7wGFC+UzjcQcWZkxuArnGCoLYL7HOYH3+XTmSfqZK1S4uwzKhbrGiCjgqfOhpwthmxUBs9ECMKu3nQRhRVnO2AwUz/DTuC9hhJfG4y42RArvLBtAbtsEsI4W3XW7FMLOdS+bEQ4Rs1LCta4vb4l6l3HFTFis4IvKRxya2Pj3gRcO+eRC0rv1t3f1Z8UFrP1meREV0kqRBWeRpkM7GcTAJw1kwFen0eJYXJ+FJ+y579ZPGCVbpJ0tsW8D4/PtJRhBEcIL6ybvqBELjIr+/Yi21k9QFGfVhh3vN0kuzoKNNpvyKeFWYmmGLtRkEvBnW9pqMGIiIi/Ca1hUMRhImq2kceu6wkni0mowU2IQH6A2b1WSk8GY148x6KysrHyKc9+o1F1cp5Y67sVjBEZGP7DWtnXrAy4Z99yBsXWazu0MrPuimBk4yGcvvDoMkymZBGkVFUIazSXA8i8upOC6SMG873avZNE5WXI3aS9MQbQHj8242OUEQ0QlqNj9Tp2FVgRu176fdIDT/XuMo1WnXxmx+Vv8qM+FuseIKOO66ppITAxFaEaZSbcL6Yjgwb6d6nRWIyVuGwoSyw4riz1xyUmATHKA7LOaSk8KbuYzEMDeGs+u8fIjw3ae5LMLWixTW62b2eMEREZBsLq2desDLhn33IGwd5hLQoRUfdGMuJ8ez8UlSBiJNj4NUOs9gnIVC/tSkmEaT8TQRFzGTmZraQppLd8lzU1uA+PybS0YQRHSCmsvzZb7N9b2bYoq/rH+siyj+ov6V/O/Xiwo3v69/XX9a/0Z+/J36nv9b/uHu4MaBiAb1j02ttMXaSgLeSmt7UkYMRERGeFLrojonCosbtZf75kTx6EYZKbAZEdIdJopdVgpvbtR6Y/x1Xj5EvO/VjS7uKCkcl86wgiNiH9mNWjv1gJcN++5B2LrcaHeHVnzQum7M5jKhqV88nnq0rJwXsYs2iVZpPZ16zIbGAdI1st7VELLmqcfmVNsX7Rm1+8tTj6bD+nelDfxJ6xBfPhi5/Nz55fMn9cPmy7H9HCK1LVJYW/RxDpEqUaAkAuR5OIdIZV0N8nznEKkKgQc44J7VcQ6RqhF4dGNdM0pUt5rseM4hUtV5OYeYZMOoMOm+TtcNTJn4Y4gitS0Af52uFpgzkccQi3h5DLGw3mJyg64amDlRxht6emePLhuY5Po8hkjWKpBawU+Har+NpbAVwSO6YGDKIo9JrLHigK4ZmMRwpxDtceImXSkwlSFOIS5jxE1HjLhFV4xJb5TnwX4KkSrZ9ylEsk5gisOeQpRPxFLUitgjmlg9yopFOkkns2B8LJIgHcdlMJ7GSVDm8WSWi8lxnE4aHuuo1zENQB352k4hFgkOE8pnGh87sDBjZBPINVYQxNwbdPD8P+SgSlWpV/dXtUPnL9Rga35nsTl8saCiK9vrivmLBRbLHVeLqvrWO67kKC9Uk/6DV67t7hnD3xZrMwp4M8IHtSaMbVYMxIQkYrxqX4xhRGFZjImGRtuyw0ricS2GkQI7HwzoDdswmZHC21pMFA9z21oMJx8iH6CGhF1rMYsLkgrHjVes4IjQRx73WDv1gJcN++5B2LrWYro7tOKDvrw7g2LrSk2KbQsYn3+3ygiCiE5Qt3pRO4MYW0nAW2ltM8qIgYjIvZhRRhQWM+rYGcSI4tGNMlJgMyKkO0wUu6wU3tyoa2cQJx8i3vfqRhcXEBWOO6VYwRGxj+xGXTuDONmw7x6ErcuNdndoxQfd3Ci1ufRhVrvZ84UeNqcpnJzxKqdtT1DfF3oY5V4jy119zPq40OOR3vTDdKFHoS6kotJ6vtCj0BdSlfJDGasPtqupyDgpHgd3VcO+YthXDPuKYd/GsE9nEHgG+BKPvuSj0JdUlfKDRBjZEEZ0BPhLRA/VzXUfhb6uqpQfJEplQ6nIKNwXfxT64qpSfpD6D236D+n64ckCuViorwAp9BVWpfwg5R/Z5B/R5J8Zuqsk4m1brH1pMHNSpNZOgIkl5j9HDiTqXU0Ka26L/aXMdyqBPVGZTy3nzb+nJ0ZWU+HZLbGn333u6hB190fzTfcHsbo55Kn8oqU8KbUFVvMI52ZYokSBkgiQ19dm2Mi2E5YICtxWhJjMse6EJSoEbiKCz9G4dsISNQK3D607+UJUh9kqBGg/26QKUZ2XnbBRMkyMz+V1um5glsTvhE2z1L4TlqoWmCaxO2Gz052wmWMnLFU1MFmihk/QHWR7dNnADNc9TIJq3adrFUit4KdDtd/GUtj58Q9VMDBlkefg8mQYpibNB3TNwCSG2wlrjxM36UqBqQyzEzY73QlrjRG36Iox6Y3yPDh2whIle98JS9UJTHHIwa16Ipaizo9mKWK1Zx/n42lSToJ8mqmZ3zgPJmEUBdHxLJ8c51EWjicNj3Wg++a4370F+lcTphzuOq8dOY8J5TMNiR1YmGGxCeQaKwhirQk6Xv707Mj3nh4IP1KD3GYX7KAd/N6dvTN79433Blv7AxG3p0KXo+H2m8LNdKD3t6q9sAPLuGeLtX0EvH0QQ9XfvDw9cH/+sd4mrGcZ5Ke/p+8S/UDNqet9wPrWz9OWvKfvNFleKNrs4dB/PP1b5R831S0oalr+gyuDW1dvDMowCgevyK81havvNPP2f9BXj76Q//eV/tHT+ftgUH9a/yr6c6lP/Yj8TvWPPhy06wGP9OyH2jPyUH3r6V8bfU32rlalLkfVf9v8h4Or+4fbO1f1V/S/t7zsdFD/uv7ZmV3RMn+Jptf1XEtzi6pUMP9EoQxSUYSbYTgcRO33NP9S+xX12MTiL9T+qzgc6E0un9vG84xPzaqBcjw1iHG/fRMHIwrTJg6j/dthJfG4h4ORAruODOkNE8UuK4W3PRw2y3adFw+RVlEj63NWb2ULR75Y8bdey7fHC46IfOThY5SWw8Ro+g544bDvHgTO2aMHkB6t+KCbW/hOijA7mYbBSRyeBOlxVgbFtCyD49ksDbPkZBymbZLw6vqNZlC6fucNMqa2gPH5d/2MIIjwBHX9fewovnEQuDYPMzaIgDcI3OabMLZZMRDRtxffyYjC5Dutm4cZUTwaT0YKbPKDdIeJYpeVwpvxdG0e5uRDhPZenefidrfCcVsfKzgi9pGdp2vzMCcb9t2DsHUZz+4OrfiglfN0Gcp+90vZrGTposviVboL3y9F1AtcAoY6wYvcL0VsgRTWAr3slyJKFCiJAHl97ZeKbfOrRFDg4jPCv1r3SxEVApea4bbUtV+KqBG4yLyu3ySqwywoA9rP5iOJ6i58vxRVNzBL9rxfiqoWmCax+6XK0/1S1rvfbtBVA5MlyltDJ6336LKBGa7X/VJUrQKpFfx0qPbbWApbETyiCwamLPKww7VfiqoZmMR63C9FVQpMZZj9UuXpfilrjLhFV4xJb5TnwbFfiijZ+34pqk5gikPvlyo3lqJWxB7RxF7alRPr8aAyxGFC+byvnHCCIKbXoONl/pUTzgYR8AaBj01NGNusGIjZQ8TI07pywonieeWEE8XfygknBXb2FtIdJopdVorLsHLCyocI7ajRXcfKSbm4TbJ0XA/KCo6IfeQhjGPlhJUN++5B2DpWTgAdWvFBX96N+tZ1ltJ5OZWpLWB8/o0nIwgiOkGNp/eN+pztI+DtA/ehlI368htUKz7S37DcqM+wMz8k7Mw39cs2a78gkksvxpoRhclYpyaSHVYSj76akQKb2yG9YaLYZaXw5qvtW+FZ8RCJq1dbvbgWs3Tcc8oKjoh8ZFvt2grPCod99yBwXb66u0crPmi/O5ISE510yrGTLlmlu+gdSVS9wEVWqNG9wB1J1BZIYS3Qx44kqkSBkgiQ19eOJGHZkUQFBS7vIuyrbUcSVSFwMRfuSh07kqgagcu46/pNojrMki2g/Ww+kqjuonckkXUDs2S/O5LIaoFpErkjqTy9y7R03GVKVg1MlihzDR077NFlAzNcnzuSyFoFUiv46VDtt7EUtiJ4RBcMTFnkcYdjRxJZMzCJ9bcjiawUmMoQO5LK07tM7THiFl0xJr1Rngf7jiSqZN87ksg6gSkOuyOpVHeZmuPCEU3spV0YSqw7khIcJpTP/8IQIwhifg06Xva/MMTYPgLePoih6k87VoJUO62sBOnbXM9MKly6VSDGTkDMhSKG0fZVIEYUz6tAjCQeV4EYKbAz0ZDeMFHsslJchlUgTjxElkINVLtWgRYXcpaOG1ZZwRGRjzwac64CccJh3z0IXNcqUHePVnzQl3dbv/XiqzLFtgWMz7+JZgRBhCeoifawrZ+xQQS8QeCu2YSxzYqBiL69+E5GFCbfad3Wz4ji0XgyUmCTH6Q7TBS7rBTejKdrWz8nHyK09+o8F5dvlo7bVFnBEbGP7Dxd2/o52bDvHoSty3h2d2jFB+13+1FqopNWUjjp7LccwMRiLCJs+xFR72rI+CPefkRsgRTWAr1sPyJKFCiJAHl9bT/KbNuPiKDAtVyEf7VuPyIqBK7cwm2pa/sRUSNwzXZdv0lUh1mfBbSfzUcS1V349iOqbmCW7Hn7EVUtME1itx+J0+1HwrH9iKoamCxR3ho6ab1Hlw3McL1uP6JqFUit4KdDtd/GUtiK4BFdMDBlkYcdru1HVM3AJNbj9iOqUmAqw2w/Eqfbj6wx4hZdMSa9UZ4Hx/YjomTv24+oOoEpDr39SGwsRa2IPaKJvbQrJ6l1+1GGw4Ty+V85YQRBTK9Bx8seVk4YG0TAGwQ+NjVhbLNiIGYPESNP+8oJI4rvlRNGFI8rJ4wU2NlbSHeYKHZZKS7FygknHyK0o0Z3XSsn2WKi3XqX8R4vOCL2kYcwrpUTTjbsuwdh61o56e7Qig/68u57T61bdnJsW8D4/BtPRhBEdIIaT//73hnbR8DbB+5DQfvez11V3LXzPZes+J3vlJuJTd2wzdoNiFzSi49mRGHy0amJZIeVxKONZqTApnJIb5godlkpvNlox853TjxEnurVRS8uji0dVwGzgiMiH9lFO3e+c8Jh3z0IXJeN7u7Rig9a/u+vGy+d3nYb5Xdnx++98fZbhpYg+GRjcpAO2X3xnFjFtO1EsmvFmN/FZiSj2GtksavPmKNhgQb3V9ImqXlVaZnObltpNyTNPxpoX/dcuSg9B/tE+rRH9WMTljSvxZVdMtu5sGiHWy8qVkd7r8hAV27uST3qQ6I+pPJDJOSHOJMfktwWH6l0KZ7OuohkRNpXSPsKaV8h7SukfYW0r5D2bUj7dCSBR4KvN0mikSIaKaKRIhopopEiGimikY1oRCeCv1/0EK7IKkVWKbJKkVWKrFJklSKrbGQVmezc4mUHGe7RO1Q4hwrnUOEcKpxDhXOocA5tOId0HHiGQS5zSpojRXOkaI4UzZGiOVI0R4rmyEZzRKPRz11Do1LRX7nyaH9beu0rnKWTIbf2CEwqKYcq1Sa118hqgTuUqElU7xl92ExQ1F/UL1Y2hDYTQmpaQs1jDOofz9+vnzUZVv1F9RebA7XiqaZL5j+cf6J+0IS/RcZfzUWce3mJEgVKIkBeX3t5E/mVX6mJKvUXqVoOzYSX/KKaXDpvoZpPqsmnh+q7dQkIPSf1UPb5x4Otb77xrWB3//RpuPrOm+++987bb/2N/pL8yrU33v6bb4/fmW42e8O/rJ+pNe+Bnmu7I/82PWeWheH8oygOw4H88jNTHYnbt98y9dA2uYeAO7oQU1jWTchEhcD9W/CZKdcmZKJG4M6tdeeciOowu7QA7WebSyKq87IJOY/ibFjapomoyoGZHb8NuUhy+zZkqlpgcsduQz69l7V03MtKVg1M8qjBJHQGcY8uG5icu0eJUK37dK0CqRX8dKj221gKOz/AowoGJi3y7KMjWhzQVQMTGW4jsj1S3KQrBaYzzEbk05tZ7VHiFl0xJsVRngjHRmSiZO8bkak6gUkOOUJXT8RS1PkxOEWsNmLHUZIkaRRkRZYH6WySBOPZbBpMk2yanqTj4/ikbXfr8PzNcZ/7QdSw1zxIj9ueAkNC6UwDeQcUZjBvArnGCoJYZYOO8z87O7RvhnZqY8OH7R6DlYHg6Ziv2SXyE/Un+VOP/n/fHbz+ztvvvtd8fvv47W/97dtvDaq3v/n24Nr45OSbs3bLiBrPzT/SQ7u0GdiZWnGLtRUFvBXhY3ETxjYrBmLlcf0BKysJy5YLS6TZYSXxtuWClWLVPzgo1hsms1J423KRpXlp23XBS4jIB6ghoXvXhWRq1ujb35jA93jBEbGPPO5xdOsBLx32/YPQubddQLq04oP2V/fFthtZ6nexZeC9Fl4WichqgfNHUPN4QYtEZPwUht/DIhFZokBJBMh7eZGIsDpUyq98pp3/c9Wjj+ov1TbnD1VFH/l/n7crOO3OGtN2G/kdD+X/PWl/9oXebvO8qfGz+Hv1lbLtAtSj00fk8O1/P/4Pg61vT2aDW7Pjv31vdvzvB7fe/tt3BvXdJFRPkwjPLgzJn3omBy2qCrn8N1RxcrUm9UQ/Yh/O31flhx6olSb5yftqg7b8G/5MrT3Jz75Q197Wj9Vnzjyhn+rK5s8H9U8l8ANTT2+Texo4b9eHdycqBM7RYTy5bbGJrBE4O7eu2yaqw8zEAdrP5qKJ6rwsNkVxEQ5TmzumKgc6hF4Xm+hqgSYBt9gk/8nFYpP8rXWxia4aaBZQIwvoFO0eXTYwyfe42ETXKpBawU+Har+NpbAVwSO6YGDSIg+6HNHigK4amMh6W2yiKwWmM/hi02mUuOmIErfoijEpjvJEWBebyJI9LzbRdQKTHHKxST0RS1ErYo9oYhszMUmPi0kczNL0OEineRIU4/gkOJ6K7CQ8zo5PkvY1tA7zHfMctKG+dbEpxkFC6fwvNjGCICYXofMFv1UDwXYP4eOXBov1k7akjXUj4mNTC2yxtoCAtwB8PG7C2GbFQEyW9jHYZCTxvFDESOJxoYiRAjtRDegN2xCXkcLbQlEUWQslXuclRMRy1HCua6EoXqwqWK973eMFR8Q++pjF3q0HvHTY9w9C17VQ1N2lFR+0Pp+7uTRZykB6O12UmFill0xcrEm5yupl4cjifK+R1QLngqBG8NfS4D2oP5cfm9KH9Ze6gAxyOan+Si0WDdTMvb5w4AO1Selz/WXpMwfJZjxQB0f0v/F0/iNpJnWNlkfym9XfrsorfrlchNA7nJ7qf07dPaD+3kbCs7Yiy0OrBSW2aQpr015Wo4gSBUoiQF5fR5aiIB2aULfJqMCZrT4cMlEhcBYL43ztyzFEjcD5q3U9LVEdZq4K0H42r0pU52U5xlofhi4bmHTxazFRHNnXYqhqgXkXuxaTnK7FWK/svEFXDcy/KPMOfTT26LKBKa7XtRiqVoHUCn46VPttLIWtCB7RBQMzFnlcY2vjA7pkYArDLcTYw8RNulJgIsMsxCSnCzHWEHGLrhiT3Pp8HCqyZO8LMVSdwAyHXohJNpaiVsQe0cS2w+M27KpU5214nJow5PA4dWGkkbXNYVJpw2PLLtBrZLXA9AwdHmP3Vb50qZ7eZPcz+YlfqrvzorZoq95g146Y9Za35/q/R6pmQ/PpF/Pv6J2Xn6jtfp+Z2meL3D5AH9DLUJcoUaAkAuT1NtTV+y9ffgZWF8+WHf6pLkT74fw7gV4+uzP/IDjzCGwOmh+Z/0DvwLw3iOJNoU9hLUr4GhffXqivP9GFanWFjvqhbexNbHugk+lj7E1UCDQu/Yy9iRqBlmXdsTdRHcaeANrPNvYmqvMy9hZFOhTCJPw6XTgwpxNG34n1/MvX6XKBeR07/E5Ph9/Wi4tv0FUD8zvX8JsqO0XKBj8bjuE3VatAagU/Har9NpbCzg+/qYKBSYs8/LZHiwO6aGAeQw7A7ZHiJl0qMJ1hRuDp6QjcGiVu0RVjUhzliXCMwImSvY/AqTqBWQ49Ak83lqLOj8ApYvVoJylOwmRSBGGciiDN0ywYnySToEynZZrkWThJJg2PdWT+5rjfrZC24phxKHCQUDrTGN4BhRnHm0CusYKspn9X7wCH+P9DH0j7UI731IKz+qDv/dPjtGffUCP5ZFO8Ghl7bYsVVsBh4YNhE8Y2KwZi5w98XDn//vwDE8rrrCg82x6FCWSHFcTjrkdGCuyuK0Bn2EazjBTedj2GQ/MNu9d58RAxGzVs69ryKBb746xXTO/xgiMCH3lsYuvTA1407JsHQeva79jdnxUftLaT+aTMRJjMAlEUZZBOiiKY5CeZ/GN4PB6Psywez277tpPG+VVpJzNsS8Do/NtJRhBEaALbSV2c7Yne+dhuqXygTKTaWKlqHujFhEeD+fflV1/U9zcH8id+U/+0vlv/ov5l/ak2nPXvEuNa5BZrYwh4Y6xtNxkxEFEXbjetN+CxorDYzXCYCBPKDiuKR8PJSIFNe5DuMFHsslJ4M5xC2Pc4cvIhwnqvjjNbOBT7TdK84IjYR3ac1k494GXDvnsQti7L2d2hFR90M4OZHR+n40kZiCTMgjSdhMEkjKdBnhyP43R6nIrM/wym0ZxIy5ljWwJG599yMoIgYhPUcv5e+kpdHUtX3FJ1gH/40kYidWCm8ZXnL5BRdbb+jyx8Nc5NTbHF2hQC3hRrG05GDETQhRtOx/wmIwqX4TSR7LCSePSbjBTYnAfpDRPFLiuFP785zGx2kxMPEdJ7tZv5wp3Yr1zmBUdEPrrdtPTpAS8a9s2DoHW5ze7+rPigtducJmV2nKRJkIaz4yBNwlkwyUQUHJ8Us2IchSdxnt727TZTU0tIt+m8ENPUEjA6/26TEQQRmqBu8670j6pOq9tvDvQ+6efyUx/qmsL39TZ3XdmVbEUZ20nA22ltK8qIgQjIvVhRRhQWK5oMMxPJDiuJRyvKSIFNiIDesFlRRgpvVjQStnsdefkQAb9XL1osvEvh8KKc4IjQR/ai1k494GXDvnsQti4z2t2hFR+0NqNJOkln0+NZIEJlXLMoCyaz+CQop2meK+caluPbvs2oMLWENKMltiVgdP7NKCMIIjZBzehnZ45L/rAxls/re9qMqopGT+efzH+kz9hpcxkX0ly+Gm6m+saCxHrlGWMbCHgbrG00GTEQ0RZuNPUB2y+GA3O/vM4KxGI3LbfG7LCSeLSbjBTYlAfoDZvdZKTwZjfjeFgYn7XrvHyIkN6r3SwX7sR6a+8eLzgiAJLtprVTD3jZsO8ehK3LbnZ3aMUH3cx9ztK0iMIwGIfJSZDGJ5NgUoZJcDKOpmGRilmS+rebxumKq3EUYlsCRufdbnKCIGLTGnbTNY/ZbTU5+QWcf12ryYmBiLT9WU1OIBarmQ6Ns+Y7rCT+rCYnBTbdAXrDYjU5KbxZzSwbloWJ7zovHyKc92k1o8V9rJHjil1WcEQAJFtNa6ce8LJh3z0IW4fVBHRoxQfdWM1JnmdlWATjfDYN0tnJLBhHszCI0uNwmkzG05Po5LZvq2nMH9JqRuiWANH5t5qMIIjYBLWav1RV4VQJsEH98/rR/CN1caq6mXd+R1drf14/+EZz7aoqGmYi3mIlFnDitc0lIwYitvZoLhmBWMxlNGzPVZ53l4woHt0lIwU2wwG6w+YuGSm8ucvUuoWTFQ8RwHs1l9HCi1gvhNzjBUcEQLK5tPXpAS8a9s2DoHV5y+7+rPigtbecnSRZNs0mQRRFRZBG2XEwPj4Weq19Jj83K+L2YffoLY1DC+ktY2xLwOj8e0tGEERoInhLVUr2mfSX788/1Cvl6l6eV1QRJFUC6av5J9JoPqnvfa3bazK2gIC3wNpekxEDEWp79JqMQCxeMxzGwoSyw4ri0WsyUmAzHqQ7TBS7rBTevGY8LGxekxMPEdB79ZqL+wIjxxWQrOCIAEj2mrY+PeBFw755ELQur9ndnxUfdOs1x9M4GZ8EJ5OJ9KVJHEtfOsmD8Dgpi+M4nSVJ2+cevWZpagnpNRN8S0Do/HtNRhBEaIJ6zZ+pqxSaqxznH9cPB+omBH0iaHl2SC+aP1T3KKirDj6Yf7y4gPy+/MQ9dcuGvvXxRf24uX68+aq6MOHVKA7DV2NhrkexxdpUAt5Ua5tSRgxETEaYUtulD5wkLG7UMfPJiOLRjTJSYHMioDtsbpSRwpsbjRIxFIkJ8DovICLo9+pHk4V/sd7BtscLjoh9ZD9q79UDXjjs2weB63Kk3T1a8UE3K+vRNIqmogwm4kSVVjoOg6JMT4L0OIyyMIwnJ2mbJzw60sgYtqQlTbFNAcPzb0kZQRDRCWpJf6wnNR/O3w90nc5H9XM9vZm9mtp8JCOfgPOt7SMZMRCxFO4j7SfPOVFYjGQ4zIUJZYcVxaORZKTApjJId5godlkpvBlJx7QmJx4iUPdqI9OF6bBeJLTHC44IfWQb6ZjW5ETDvnkQtC4T2d2fFR+0cpEuc9jnPb3CxCZdoXCxZdkq28Xe00tVuxot/ne9p5faPimsffq4p5cqUaAkAuRFztt3Y/jtu/VvTPfvDnxewEtt1NVkwncBL1Xhqj3mvICXqnHV9/JcwEtVt5pVeS7gpaq78At4ycKByXopHHyNovMCXrJcYMJeyjUIPeelVOstL+CNrBfl3KCrBiZulMU/P1i2XcBLlg3Mp0vZ4GfDfgEvWatAagU/Har9NpbCVgSP6IKBSYs8+nFdwEsWDcxjPV7AS5YKTGeIC3iXUeKmI0rcoivGpDjKE2G/gJcq2fcFvGSdwCz3HioyqHbbWIpaEXtEE3tJ12OE7QJeFcYwkFA6/8sxjCCIWT7o2B2/HMPIJ+B88IGtCWObFQMxJwkfSjqWYxhRfC/HMKJ4XI5hpMBOCkO6w0Sxy0pxGZZjOPEQgRo1VutajllcmRU57kBjBUeEPvKAxLEcw4mGffMgaF3LMd39WfFBN7vMs3A6TqIkEHF6HKRpmAaTLCzVjnQRyf/lk7JtGI8e0jipKj1kjm0JGJ1/D8kIgghNUA/JsMu8fjTQa0fP1dQ/cf85YyMKeCOubVQZMRDRGm5U7WsejCQsPtWx/5wRxaNPZaTAZktAd9h8KiOFN5/q3H/OCYhIB7061cV1W5Hj+jRWcETsIztV5/5zTjjs2weB6/Kq3T1a8UFf1uobwnZdb+S8vcPYEiA6/16VEQQRnKBelaP6BmMLCHgLrG00GTEQwRZhNLuqbzACsfhNR/UNRhSPfpORApvxIN1hothlpfDmNx3zopx4iIDeq9tc3KcVOS5IYwVHBECy23TMi3KiYd88CFqX1+zuz4oP+rJWERa2y3pVF+FaAkbn32sygiBCE8FrkqsIMxILOPHa3pIRAxFae/SWjEAs3tIxl8mI4tFbMlJgMxygO2zekpHCm7d0VBHmxEME8F695eLyrMhxGxorOCIAkr2lo4owJxr2zYOgdXnL7v6s+KAv6927wnZgMg6xLQGj8+4tOUEQoQnqLVnu3uVsAwFvg3XdJicGItj25zY5gZjcpnEPwA4riT+zyUmBTXmA3rCYTU4Kb2bTcfcuKx8ipPfpNuPF/Vmx40I0VnBEACS7Tcfdu6xs2HcPwtZhNwEdWvFBX9a7d4Xt7t3YeX2H0XiD6PzbTUYQRGxaw26ud/cuJ7+A869tNRkxEJG2R6vJCMRiNa1373KSeLSajBTYdAfoDZvVZKTwZjUdd++y8iHCea9Wc3GdVuy4Ho0VHBEAyVbTcfcuKxv23YOwdVnN7g6t+KAbq5mU2XGSJkEazo71unowyUQUHJ8Us2IchSdxnt72bTWN+UNazRjdEiA6/1aTEQQRm6BW8640KA/rB7oy2PIA0Us13+SnHg90MbLn8lMf6qNG93WFOHX+6HG3PTW10xZrOwl4O61tSRkxEBEZbkntJ9s5UVjMaGIet+6wkng0o4wU2IQI6A2bGWWk8GZGIzEsLavsrHyIgN+rGV3ctxU77k9jBUeEPrIZtXbqAS8b9t2DsHWZ0e4OrfigtRlNs+PjdDwpA5GoOdJ0EgaTMJ4GeXI8VlOkqcgmt32bUeNYRJrRBNsSMDr/ZpQRBBGboGb099JkPu2womS/ydgUAt4Ua/tNRgxE0O3FbzKisPjN0Hy8cIeVxKPfZKTA5jxIb5godlkpvPlNYd3UyYqHCOm92s3FZVqx43o0VnBE5CPbTVufHvCiYd88CFqX2+zuz4oPWrvNfFJmIkxmgSgKVXSpKIJJfpLJP4bH4/E4y+Lx7LZvt1maWkK6zRTbEjA6/26TEQQRmqBu839IF3lP1+F8WN9vrsp4oM3ll/LTD5T9VEWQBvPvy6++qO9vDuRP/Kb+aX23/kX9y/rTxoj+LjF6gi3WxhDwxljbbzJiIKIu3G/KPvvChPI6KwqX3xQmlB1WFI+Gk5ECm/Yg3WGi2GWl8Gc4haV693VePkRY79VxLm7eih03qbGCI2If3XHaOvWAlw377kHYuixnd4dWfNDNBGdSnITJpAjCOBVBmqdZMD5JJkGZTss0ybNwkvif4LTdx9uWPkE0BQzPv+dkBEEEJ7DnVAvo8w/rr1Tloxfqw31dAEld1PVMO8pE1dqMTLBbrLACDru2p2TEQMRVuKd0zGEyorB4SvO1FzusIB4dJSMFNqsBOsPmKBkpvDnKcFgaH7XrvHiImN2roRQL/2G9YmiPFxwR+MiG0tanB7xo2DcPgtblJ7v7s+KD9nk1r+3oT+Zky1fZLvZqXqra1Wjxv+vVvNT2SWHt08fVvFSJAiURIG958+69+ql899VFvZuDpPklbX4RPdze+2n96/rH9e/rfx7U/yz/qcd6GPC5/J736wdDUxNtk5toNTXwXbRLVbhqdTkv2qVqXHWxPBftUtWt5kiei3ap6rxctJum8bCd4jnvOanCgam354t2yXKB6Rd50W6cLS/aja1349ygqwamYZRhP+9dbRftkmUDs2OfF+2StQqkVvDTodpvYylsRfCILhiYtMhjGSmgGArjkvwBXTUwkfV40y5ZKjCfIW7aXYaJm44wcYuuGJPjKI+E/aZdqmTfN+2SdQLT3Huo0KDabWMpakXsEU3sJV1pyWw37cbuOzjOQULp/C+0MIIgJu2gQ/E1F1oYYQUcFj5oNWFss2Ig5hvhA0vHQgsjit+FFkYQjwstjBTY6V5AZ9iGs4wUl2GhhRMPEbNR4zbnxLxiWkzMO64yYwVHBD7y4MSx0MKJhn3zIGjO/jyA9GfFB31Z94pntkt3Y/c1G4aWgNH5t5OMIIjQBLaTvHvFGRtDwBtjbbvJiIGIunC76dgrzojCYjcde8UZUTwaTkYKbNqDdIeJYpeVwpvhdO0V5+RDhPVeHefi+qvYcZ0ZKzgi9pEdp2uvOCcb9t2DsHVZzu4OrfigL2sxjMx2d25cYlsCRuffcjKCIGIT1HKyFsNgbAoBb4q1DScjBiLowg2nY36TEYXLcJpIdlhJPPpNRgpszoP0holil5XCn9+0F8PgxEOE9F7t5uJGrNhxwxkrOCLy0e2mvRgGJxr2zYOgdbnN7v6s+KAvax3gzHZ7bhJiWwJG591tcoIgQhPUbV5YHWDOdhLwdlrXinJiIAJyH1aUE4XFilrrAHOS+LOinBTYhAjoDYsV5aTwZkUddYBZ+RABv08vmiyuy0oc95+xgiNCH9mLOuoAs7Jh3z0IW4cZBXRoxQd9Wa/bzWzX7Sbu6zkMLQGj829GGUEQsQlqRlmu2+VsAwFvg7WNJiMGItrCjWbXHWicQCx203rdLieJR7vJSIFNeYDesNlNRgpvdtNx3S4rHyKk92o3F1dmJY470FjBEQGQbDcd1+2ysmHfPQhbl93s7tCKD/qyXreb2WpuJDG2JWB0/u0mIwgiNq1hN9e7bpeTX8D517aajBiISNuj1WQEYrGa1ut2OUk8Wk1GCmy6A/SGzWoyUnizmo7rdln5EOG8V6u5uBArcdxwxgqOCIBkq+m4bpeVDfvuQdi6rGZ3h1Z80NpqRuNyGh9nUVDE+nsTEUyisghmZR5G08k0F+nstm+racwf0mom2JaA0fm3mowgiNgEtppqS6eqEKcKgD2v780/nH/HUADsG01NuFgOcOYfRXHzcSgsxmaLtRUEvBXWNpyMGIh4izCctkJonCQsTjMahsKEssOK4tFqMlJg0x2gO2xWk5HCm9W0la+5zouHiOa9Os3FZViJ43IzVnBE5CM7zUjE4bClOO81OemwLx+ErstrdndpxQfdTGtO8jwrwyIY57NpkM5OZsE4moVBlB6H02Qynp5EJ7d9e03jUEN6zRTbEjA6/16TEQQRnaBe85eqUnDjNX8uTedH8w/mH0rP+cX8jrSZ9+TvHui5ThHWz6y+kpFYwInX9pWMGIjoivCVXROZjEC+7SUjikd7yUiBzXCA7rDZS0YKb/YytR4XYsVDBPBe7eXi4qvEcZMZKzgiAJLtpa1PD3jRsG8eBK3LW3b3Z8UHrb3l7CTJsmk2CaIoKoI0yo6D8fGx0Ps6Z/JzsyJuH3aP3rI0tYT0lgLbEjA6/96SEQQRmgje8t78fWkgH6lqm3pX5r35J4NXVMFNNZ/51fwTaTSf1Pe+1u01GVtAwFtgba/JiIEItT16TUYgFq8ZDtuLec57TUYUj16TkQKb8SDdYaLYZaXw5jXjYWHzmpx4iIDeq9dcXIqVOC45YwVHBECy17T16QEvGvbNg6B1ec3u/qz4oJt5zGgaRVNRBhNxooomHYdBUaYngbSlURaG8eQkbXOER69puzQ3ybBNAcPzbzYZQRCxCWo2f6wtpLSTga7A+ah+rs1k9mpq7KgtVj4B51vbSjJiICIp3Eo6zpQzojCZyFyYUHZYUTyaSEYKbCqDdIeJYpeV4jKYSE48RKDu1URmC9NhvSJojxccEfo4TCQnGvbNg6B1mcju/qz4oOX//nqzuaf0r1wmsc8bc21bKnMXYxqvMnq6MTc1qb1GVrsaNS7wxlz56UeqLPug/rGagpzfmX+gixI9r7/YHNQ/0zfmPp3/cP6J+nlTK2yRWyGFtUIf9+JSJQqURIC8l+/FjZqbcAnX46byK7+Sfaw6/aneDvs93eNP1KXGA8PJK/3Je7rS1FNVY/+O/JE7ukTVs/nHg61vvvGtYHf/9Gm4+s6b7773zttv/Y3+kvzKtTfe/ptvj9+Zbg50/YAv1TXK8/cHSo38e9Q89QdXBpnaYys/DNQEtfzO7+rnUH7h1tUbgzI0Dwm3yb2zmoP4ruSlKlx11ZxX8lI1rtplnit5qepWkzHPlbxUdV6u5C2EGBbGpbvrdOHA3I6/krfMEuuNvGS1wPSOvJE3yZc38ibWi3Nu0FUD0zxqYADdB7xHlw3My33eyEvWKpBawU+Har+NpbAVwSO6YGDOIo+Z7MHigC4amMZwF/LaA8VNulJgMkPcx7sMEjcdQeIWXTEmwVEeCPt9vFTJvu/jJesE5rj3UIFBtdvGUtSK2COa2CZb5OOoKNUyzzSUY3V1XDKSfyyLMC6yIk8mZRuYreNzx0QFbYxuu483cd7rcR4SSmcayTugMKN5E8g1VhDE1CB0oP/Zytj+8UsjvfqJYRDfjPLrn+haxKoAh6EdtljbQcDbAT6ONmFss2IgJjz7GHAykqxmcwcJZmBqjBU7rCQeV3oYKbDzzYDesA1zGSm8rfTkeTEMbVU2OAERAR01pOta61nctJU4rk5jBUeEPvK4xd6rB7xw2LcPAte12tPdoxUftFrt0Y6zbNGtfvLd2fF7b7z9lqElCHZSmDCllSydmMkqpm3Bx64V4xIXaz6lcQR9jax29SFztCzUCupya9/T0/16Rl4Vvfhg/rFJt/R35ZVdsvhzgc+ufr24Vx3tvbIXp6EtxlH1p3j91mGrUfS+TfQ+XbTAi4aPYaXmkU3ziK4Z/pjTQ6nSXtm0V2Tt5yY1OrTjHpBDm+BDumB4tEZOcEi9Rza9RzS9ZyK2+sXTLgNhm79otzzaGIS1zWFSaRlHijYOBq+R5QLXH6Ap566efVAHkv6gV5L1SvMTXWvpq/mH8ztqE8F9NSPxUO8akN/cXn2kZiz0/e7qVqRPBnrG4vS696ZIkz7rVD+Zf1f+5CNTM2yRm2E1/Peyz6D+VE26BOqm+oFeC78z/0SKfyhbQJKobRdP1cq4mqYZ1F+oDK1ro+rtF02jPKq/1PfcP9Dr8PfVF04bpl22n390</t>
  </si>
  <si>
    <t>JrkPTc3yGrlZBKpZAE1ikrdNlgdcKMHMtaheMol8nSwSuDCCmUaxru9TNQKXRNacIKGqwyx/ANrPMvFBVedlfd9eyoksG5hT8av7UVbKIaZ1gZ8sGJhZkQv8abhc4E+td/XcoKsGJljUqAj6dOzRZQMTYvdgCKp1n65VILWCnw7VfhtLYefGQGTBwLxFniiztfEBXTIwi+GW952R4iZdLDCdIVb4l1HipiNK3KIrxqS4Pp+IiizZ9wo/WScwzyEHwOqJWIo6NwAmidVzrvp/SvbkZDoZz4pgclKozfgn06CMptMgHOdhLso8ycK2A5aD5NVnaPbN2fLpeJkVOJqLh4P6N/Xn8/+sR10fDOpf1D+vPxvIkcbD+ks96JCDFzVQediOSJajt+dypNI1WJND7OiKtF2RsalUi6y2ErRVjHnX3hqo1GubkLQtunDhreZnAB5uOmrfxrTPxiTwTPAXtpnONCON2JDg7yQ4tNtmO22LRExo5+J/Bxru6Tu08Ryy8azmiQ4e1JN3ZMM5YsE5MzdinULtYeEuts6dxkYmlf6iskizVTDb3GlPC3YmkdfIIuELGMA0W/+TTKQf6HT6wfzjRfJst2ctr4hvZwBfmGC2JIxKpUQi34t3yeZeXGa2hEmFWM2IAAhcTNpXyvdtyvfpygVeOSr6jJTwkU34iC4c/iqsnd2SzcoGUJEB2Bf0ks1Dm+pDump4KCdlqmTzyCb6iCb6TGxnzkfWjJQ4ZZ87F82ckayreESZ8BcRmpPu1r+qf3tu6a4Z+b28OGcikQkpUQmJiOM7IaW2XETV7yMXmUXv00ULvGhUaBnZNI/omuEP/toZyKy9ImtnTz5mwYd0wfCQTco7Zr1HNL0+U4416aRO4YW1ocE6kUnHmnaIQuFvHzLtyCGQTDBfqsoD7SGW+fd0EYEP6kerSekVY1YyPksyLaUqLRFxfaclYUtLVP0+0pJZ9D5dtMCLRkWekU3ziK4Z/mKsnZbM2iuydva0ZBZ8SBcMD+uktGTWe0TTqwS3b6GHtGRNTMIpvbQ2NVgpOjHZyidRpcLfQGhq+mn9XGacD/Ry1/N2a2NbHue5mrZ7tNjW+FDVU9KTdw8c4yOhEhERznciss7VUfX7SETWaTqqaIEXjYo1I5vmEV0z/DVYOxFZJ+eI2tkTkXVejioYHshJicg6JUfR63d85EhFmUu8CK2NDdZKSEXWcRJRLPwthCaj3y8XiB4vFoZM6edF/cREItNPptIPEcd3+slt6Yeq30f6MYvep4sWeNGoCDOyaR7RNcMf/LXTj1l7RdbOnn7Mgg/pguHhm5R+zHqPaHp9j4McCchejEfJj6zNDVZLSkDW8RBRLvxN7D8F6bHRl/W9+ffloOl+c77pifzCs/qZvihVH3nSGwUfD+qf1Z/WvzSxy6SVq6RFbADfSavY3ItFKj9kofqQyQ95rD6oLxTqC6XtEDMZ0UdeKzb3Fde+4tpXXPuKa19x7SuufRvXPp1L4LlQ0W2ksEYKa6SwRgprpLBGCmuksEY2rBEdC/5Orp0di81K4VUKr1J4lcKrFF6l8CobXkXGY0+gxeahYjpUTIeK6VAxHSqmQ8V0aGM6pDPBcxQpxxabRwrpSCEdKaQjhXSkkI4U0pEN6YiGpB/DBknlM9Yz1y/lYms2tlc0URTgUh+9nLpepmJ1Wtyk9xpZ72oyWvPYNSYXq+2F+pzr+brgMiU31brfb2p2t2XCX6oELj/39bfG3z5pi8bdDaIobn//4ziI4k39q2h+Md8PuEVuttUE188x7Z/OP1bHr6UXUYfWZcOog9oDdfhaFcX7TdMGsnGWJyHkdz0bXNvdC6RX+W8mwtfIhAJFCKCD1I//zDRv3ZaVD2L7N9xVfd+UFpz/QF0XpZdqo1gsirvfGahahHqhVhUffLyoSKjacmEG9Sfuq6Pw6q/Xx+Kf67PyH+ifUNXqn6l/7Gn7DN5r/viz+m79WfDa638Zn/lnPmpm5BuRz9tnXclV2tRj/bx5xuGPv34I9GF8fTZfnXF5rNrj17n4+zTUzvaz+m4u5h/JkY5Wcv/cOsEz7X71rQtPdXV9vXjQ6HikYd/XWlQRhHtS17Js41O9/Vcvf682slgU0Nff9qL5KR0Ffjj/0SARQSoUyxfqzayfJY009cMP9CN8p4H9UrWaJtd3k+p6BD9YHuMJN4twEKhfxOB/ff53pgd9m/ygZ7AHHXN23xijXycrBB557OfgPlEj8KTjugf3iepWDe6aB/ezLArNNcJ2yRJZTu+fs3e7r2/fujW61VZ3a0eIpRohqsGhNGfygxociuRr6oVVOOqQ6abZ7F2n0wJNHeHQf1lG9iP/VLlAW4c98l+cHvm3Vte7QVcNNHfrTTMsSj+mxau7Dow9OgbQbBGmEhrtSvarL3eEjWKfTiGQFODnSLXsxlLY+VkBqmBgYgQXBwAEo0oFo0oFo0oFo0oFowoYjA7opMAEi6spEJdFNhS2igJUqcA8i6koUJxWFLC+vbfoijG5l/QYLSqVdgSgiozQT4WB7uCz6AAbwSGdAJhukXNF6tlZijo/EUQRq71kkZZZkabBuJiFQVoms2B8Up4E49lJFInZOAxnxw2PdY7ozbG1MC51nsg6U1TiMKF8ptkkBxZmRskEco0VZNWJuPoHONV0tqisHIGq8WpTy++eujxADcSfqskT20KQGk7rJZ7BK03BCDUOl6PT76sr5eTv1ef0EtHmoJ2Tea7Hvu3n5t+XY2v12a/k1x/Mf6T3fj+d/7DZfjd/f/i1di7qpUG/utTgpZH9mYKCavD8iZ6R0MPt77b/lm3bHmNnCXhnwad/TBjbrBir/sWBgRjcN+uFX+nn44nt8mtOLJ4bEUwcO6wcq07GwbHurAEjxaq7cVD0MrvAiOLtUoSiHBaJie86Lx8iCfUxJF4OjMu2gn7zGxP4Hi84IhKCR3PgTj3gZcO+gBA2Z4ceQDq04oPWFnk6DpPZ9PgkmKTTMkhDUQRlmSdBMRYnJ+E4zMNp2zBeLbJx4vtqLOxVyCxtAePzbpE5QRDRCWeRv9Pciv0NvQKjDjR+pZd57it/PP+RXsp5rL6Wi1fT8NVwMwvVn5L6makNtljbQMDbYF3nyYmBiLcI56lXxoYDc7+8zgrE4jnDoXHiYIeVxJ/r5KTAJj1Ab4i4KMx7PXdZUby5ziyzlq5m5UPE9T5dpwhbkyKsZWL3eMERUZDsOq2desDLhn0BIWwdrhPQoRUftHadM1GKcTGdyS+G8nuj41Ka0zAKylmej+N8ls6i6W3/rtM47JCu01zQ0NEWMD7/rpMRBBGdaK6zmeFsd1E9bG4KqR8Pmk9Lyym05WznQVO1Snq+CbZYm0DAm2Bt08mIgQi3PZpORiAW02kpFbrDSuLRdDJSYHMeoDeipCjiYWh86XdZYbzZzjIbZpmJ7zovHyKw92o7o4VLiRy2kxMcEQfJttPaqQe8bNhXEMLWZTu7O7Tig9a2MznOZiIKw6CI1feWaRlMitksiMRkdlxO0lLk4rZ/25ma2kLazhjbFjA+/7aTEQQRncC2s92lfu/sbnJ1b90LPdH5XX3L33O9Ev9Juzb/O2lIP9L72O/VT9ThAFXWrX7SfLXd2G5qmy3WthHwtlnbjzJiIOIwwo8+Mw72XmclYTGiobQ9xuWSHVYWj1aUkQKbBwH9kaTJME+NSX2XlcWbE03DMhmWxmfuOi8hItr36kXjhXWJHV6UExwRA8le1NGtB7x02LcQQtflRru7tOKDbiZBs3A6TqIkEHF6HKRpmAaTTP1UEopI/i+flBex9C5MbSHdaIJtCxiffzfKCIKIT1A3+jN1ZFWfbrw//7gt0Dh/6R4VPRH6cHm6cv5xO1V6egT1paOnj/XOUtOh1MfNz0Xxpng1isPw1ViY10S2WBtRwBtxbdvKiIEI2RjbaozPr7OSsNhWS0m6HVYSj6aVkQKbLgG9Eed5lppntHdZWbyZ1ijJh3lpArzOC4jICb161mRhcBKHZ+UERwRAsme19+oBLxz2HYTAdVnW7h6t+KDVZa4KXHk1j1V1jElCutHUiZmuYnqrqhMZBV8jC16NHv+7lNVJmnI6qam1tsitlcJa6xJU06ESChQhgI5eRiexfMO9gZ79/ko9PrqeDu5J2jxfGiYgVeBZKa/zqZ6x/3D+naD+Z/m5x1r550r3xZTbEeGZcjsivLByO6ed9Yv6n+rf1L+V/306qH+vr+j8oP2bZXup5wJUmudfvuCrzUN9bYAlCPoYiBEVAksHwAdYjto8VI3AmgHrDp2I6lYt2Zq1eaLMUrJ2l6zw4krzCKFq8aiSrSJXH3Qt17KthiEFu0rzkGmBzrDn0jxkuUBviCzNI9JlaZ6mnU2qb9BVAw1iH0NLBfPqrgNjj46RIjHw1TGk9pc7wl6ah0whkBTg50i17MZS2IrgEV0wMC+Cx+eAYFSpYFSpYFSpYFSpYFQBg9EBnRSYX3sszUOWCkyziNI8yyB00/H23qIrxqRe0mO0nANxB6CKjMBcmmcZfBYdYC/NQyYApltsaR757CxFrYg9oonVVhJ0RlnxWCeaHFNu1MkmW2keIXCYUD7TlJQDCzMtZQK5xgqCmOiGTlf9aZfm4ewsAe8s+FySCWObFQOxxoAY24NK83Bisay42s6rMHJ4XG9lpMCu9UD6wjG5wEjibbXVUZmHlQ+Rg/oYES/HxWKxNCccY2NOcEQgBA/mwJ16wMuGff8gbF1rrd0dWvFBa4c8Hk9PJrNsHIwnkTrYEk+CcTrJgiwVk2xyUpZRnt7275BtC7IZti1gfP4dMiMIIjrhHPLZyjyrJ6TV50TYHo/uqMjDyC7g7GsbTkYMRJxFGM6uw9GMQCxWMx6GRnezw4ri0W0yUmCzHaA7kkRG7jIzseyysnjzm1k2LHIT33VePkRE79VvZgt7kjn8Jic4Ig6S/aa1Uw942bBvIISty292d2jFB6395snxcXaST46DIj8+lt70OAom6fg4OMnGcTyeTIoibwOsV79pHHBIv+m+HNDQFjA+/36TEQQRneh+01UJUppOUCVIxjYQ8DZY23cyYiDibY++kxGIxXfaK0Eykni0nYwU2KQH6I0oLi3nSXdZUby5TpEMU5vr5ORDxPVeXWe+MCm5w3VygiOiINl1Wjv1gJcN+wJC2LpcZ3eHVnzQl7ckj2VtRrrOAtsWMD7/rpMRBBGdwK7Ta0kexrYR8LZZ240yYiDiMMKNWkvyMJIw2VB7SR5GFo9GlJECmwcB/VEM01SYSHZZSbz5UHdBHk5CRKzv1YkWC+PiuCaWFRwRAclO1F2Qh5MO+w5C6Lq8aHeXVnzQl7cgT2wtyFNi2wLG59+LMoIg4hPUi17SgjyMjSjgjQg3rZTzuCb0bVZ0RJjHGF1jTH+dlYTF6NqL+DCSeLS5jBTYFAvojUyVQDdOgO+yonjzuc4aPpyAiDTSq81d3A8oHBc+soIj4h/Z5jpr+HDCYV9BCFyXy+3u0YoPWtlcl3vtt3SPZeU+c90sVMbn6C68dA9V8GrQ+NMo3UNtrRTWWpegdA+VUKAIAXQRolhPDivWk50vFCPHHU2lGHLlHX0Er/6pam79YD5Qz277488GeufIl83Yp614oz/d/AV6OGV8aDGFdQYXUlkHVC0n0RV4Hjbf2/Do5nnw0k+Fm6Fi+un8A/VTr9TPXv2Xe/Xdrw1NT+g2+QldzfZ8VXKoCoGn+OEjGEeVHKrG1fEJT5UcqrpV07NmlRxRmrfc7JIFXlyRnCzalB9i9SFRH1L1QbR1KbLQWSSHTAv0YD0XySHLBbowZJGcLFwWycmsl1LeoKsGWrE+xm4K5tVdB8YeHQPokdYokiO1v9wR9iI5ZAqBpAA/R6plN5bCVgSP6IKBaRE8AAYEo0oFo0oFo0oFo0oFowoYjA7opMD02mORHLJUYJZFFMlZBqGbjrf3Fl0xJvOSHqPFJENHAKrICMxFcpbBZ9EB9iI5ZAJgusUWyZHPzlLUitgjmthLuyCZ2IrkZK67+wyYUD7vC5KcIIiZZOjE0OVckORsRAFvRPhsigljmxUDMbnex5CbkcTv4iInib/FRU4K7MoGoDdiIYN/ZkLZZUW5FIuLrICIlNDHAHU5TF3cx5s5LlhmBUfEP/DYCt6rB7xw2FcQAtexuAjo0YoP+vIe50hsRWuyGNsWMD7/jpURBBGeoI7V63EOzrYR8LZZ24gyYiACMcaIGjcAvM5KwmJEHcc5OFk8WlFGCmweBPRHMowsN9Vxgngzos7THKyEiFDfqxNd3MWbOa5XZgVHBECyE3We5mClw76CELouK9rdpRUf9OWtn5hYd8Ul2LaA8fm3oowgiPgEtqJ91k/kZBdw9rWtJiMGItIirGZHHRtOIBbHaa+fyIni0XAyUmCzHaA7ojgalrZKNpws3jyno34iKx8iovfqOBdX6WaOy5FZwRFxkOw4HfUTWdmwbyCErctvdndoxQd9eesnJrZKNlmKbQsYn3+/yQiCiE50v9lD/UTONhDwNljbdzJiIOJtj76TEYjFd1rrJ3KSeLSdjBTYpAfojTQfFsbwvctK4s10OsonsvIhwnqvpjNdeBTHBaqs4IggSDadjvKJrGzY9w/C1mU6uzu04oO+vNcoJraSNZnAtgWMz7/pZARBRCec6fxTvUaRs7MEvLPWdseMGIjEgHDHoGsUObFYPLLlGkVODo8OmZECm6EBfeE4fcoI4s0gO25RZOVDpKBeDfLi0r3McYsiKzgiDpINsuMWRVY27OsHYesyyN0dWvFBy//99RlnKH34lb9yGeF+q9+kJlppgTMHbSGyVVpP1W8sFc+vkfWuhpA1i9/8ZsXq3Ru0tWqeA6rXZHG2OO901j+2BW2CKFQFbYLYOGrdIrdACmuBy1DQhkgoUIQQus/0GOC+GpdsDtryNnHzS9L8kiJq3qTyGwwPzmm9G/VgNCVpmiotL1eggRdQOlcCJhdtCRh4zRzzUTxdP+eL5QE//c+2ZWie6zGS/oZz9Xbu1p8Ffxnrf72tJKMK1ZyppKlGfQ342TEXEttegicXZ0rw5EKV4LncFXjuDPQPP9DvzJ0G9nRrup7mV/0j/w0tUL5y4WYRDgL1ixj8r8//zvRmbZPfrFUfwliIh6gQWCkAMaxyFOIhagSWCFh3yERUt+rH1izEkxfJ0HY8j6jwAivx5Kr0TqE+lPJDHqoP0aL4ReauxEOlBfpBQiWeOBb2SjxUuUBHiK3Ek51W4rFeRXmDrhroC/sYViqYV3cdGHt0DKC5W6cST/bqyx3hqMRDpRBICvBzpFp2YylsRfCILhiYF8Fjc0AwqlQwqlQwqlQwqlQwqoDB6IBOCsyvuEo8UZHk9ko8VKnANIupxJOdVuKxvr236IoxqZf0GC0nQNwBqCIjcFfiyV59uQMclXioBMB0i67Ek20sRa2IPaKJ1dMZoIMnisc6veSYb6NOMVkr8biv7DuHCeUzTUQ5sDCTUSaQa6wgiElu6CyV33PNjG0j4G0Dn90xYWyzYqzaBQcGZihtnL1/nZWEZSXTda6ZkcXjaiYjBXY5BdAfaTjMzXundllRvK1nuk82cxIign0fQ8/lAHRxwW7muDGZFRwRAsGjJkS3HvDSYV9CCJ2zSw8gXVrxQWszGiZxms2OoyCe5nGQxmUUTJIsDMZJloksFGUyaRvGqxk1PgDSjBbYtoDx+TejjCCI+AQ2o7BNf+c20Z1ZWeXf+feN87v6mn+vccdn1pbUT31W/1ov2XxW310ssZm6aou1qwS8q9b2xowYiMSA8MawLX+MWCxG2bblj5HDo0lmpMDmZ0BfuNa5GEm8eeQoSoah8YG7zguISEG9WuTFvb+Z4ypnVnBEJCRbZHuvHvDCYd9ACFyXQ+7u0YoPuqn9E8VlORXHwTgbF0Eq8iIoomgWlOPjbDKTPxvH49v+HbJx4kg65BLbFjA+/w6ZEQQRnqAO+ZfNtinTBqvF9qrHi0rpzZ6q+texcqG/rH9ff3paCt1lRBlbRMBbZG0jyoiBCL8II2rd78RIwuI9Y2sVdEYSj+6TkQKb+wC9EeWxbaprl5XFn/8M82Fk3CJwnRcQEeB79Z+LG3kzxx3LrOCIAEj3n9ZePeCFw76DELgu/9ndoxUftPaf03GYzKbHJ8EknZZBGooiKMs8CYqxODkJx2EeTtuG8eo/U1NbXI1z1/1ExraA8Xn3n5wgiPAE9Z+4WkC5ANUC4mwDAW+DdR0nJwYi4CIcZ0ctIE4gFuMZDgvjPNsOK4o/58lJgc16gO7I8mRYlJaZT04Wb84zyyyb5K/z8iEie5/GMw9bm5I7roplBUfEQbLxtHbqAS8b9g2EsHX4TkCHVnzQzYWRohTjYjqTX1S7CKLjMhjPwigoZ3k+jvNZOoumt/37TmFqC+k7XVcRGdsCxuffdzKCIKITzXc285irVc8Hzael6WwKn7fr9Glk7Mst1iYQ8CZY23YyYiDCbY+2kxGIxXbG5k3tO6wkHl0nIwU25wF6I8pSMRQ218nI4s11ltnQfFrkOi8fIq736joXdwTmjlsfWcERYZDsOq2desDLhn0DIWxdrrO7Qys+aGU7XW6y35o6wkQnfWTsoCtjsUp30TV1qHpXQ8Yfb00daguksBa4BDV1qIQCRQih67emjvijrKlTmy6zt9TW6a6s89rrah/IvxbX8VZcZ2h6x7bJ79iqA+GrrkNVCDz9Dx9VOarrUDUCj/2vO14iqlt1YmtW14nTIhxajuZRJV5ceZ08UfV0UvVBqA+Z+pC3FS3y2Fleh0wLtIY9l9chywWaQ2R5nTxeltfJrTdj3qCrBlrEPkaUCubVXQfGHh0D6PPWKK8jtb/cEfbyOmQKgaQAP0eqZTeWwlYEj+iCgYkRPCwHBKNKBaNKBaNKBaNKBaMKGIwO6KTABNtjeR2yVGCeRZTXWQahm4639xZdMSb3kh6j5dyHOwBVZATm8jrL4LPoAHt5HTIBMN1iy+vIZ2cpakXsEU2sUgtb41Q81pkmx1QbdbbJVl4nT3CYUD7/65aMIIj5beiEFc9+OcY2EPA2gE/omDC2WTEQM/aIMXPXwiUjEMvCpWO/HCOKx5VLRgrsugmgO+IoSYZpaMxUu6ww3pYuXRvmOPkQob2PgeZyuLm44zd3XNrMCo4IhOAxErhTD3jZsK8ghK1r6bK7Qys+6Mu7YU7YSumoy6ZxbQHj8288GUEQ0YlmPHvaMMfYBALeBGv7TkYMRLjt0XcyArH4TvuGOUYSj7aTkQKb8wC9IeKwtFyAu8vK4s11ujbMcfIh4nqvrnNxyW/uuLWZFRwRBsmu07VhjpMN+wZC2LpcZ3eHVnzQ2nWKWEzGaSGCJI2mQTrJ8mCch9KmpiJMJiLMTi7g1mZhK0+jCk/i2gLG5991MoIgohPUdeLL07z2Oq46DWeDCHiDrO1BGTEQwRfhQa37hRhJmMynkWSHlcSj+WSkwKY+QG+IVORDkZpYdllZvJlPV3UaVkBEfO/VfS5u0M0dVyKzgiMCINl9uqrTsMJh30EIXJf97O7Rig/68tYPF9bqNBm2LWB8/u0nIwgiPEHt559y/XDOrhLwrlrbGDNiIPICwhiD6odzYrG4ZNsELSOHR4/MSIHNz4C+cO7kZ0TxZ5EdBcRZARE5qFeLnC0MleOiV1ZwRCikW2RHAXFWOOwrCIHrssjdPVrxQV/e+x6F9QC067ohY1vA+PxbZEYQRHgCW2Sf9z1yto2At83anpQRAxGIEZ7Udt8jJwmLDXXc98jJ4tGKMlJg8yCgP6K4GJbWko6MLN68qPPCR1ZCRLTv1YwubgfMHRc+soIjYiDZjDovfGSlw76FELouN9rdpRUftN8CO8ZYJP2l67KeMj5XPujCC+wQ9a4GjT/iAjvEFkhhLXAZCuwQCQWKEELXc4Gd+t6Fldgp8s0/qiI7j5ZfvHiVq8V3HhqLAj1Sqgb1/5Qd/KvNf60S1GuVIFOc2CbHiVUfxVgkiKgQWMMAPj50FQkiagQWL1h33EdUt+om1ywSFBXCdjUpVeEF1ggqN/fiIlQfIvUhVh+SRVmOwl0jiEoLdLd91wiiygX6W2yNoOK0RpD1Bs0bdNVAl9vHsFjBvLrrwNijYwCt6jo1gopXX+4IR40gKoVAUoCfI9WyG0thK4JHdMHAvAieWwAEo0oFo0oFo0oFo0oFowoYjA7opMD82meNIKpUYJrF1AgqTmsEWd/eW3TFmNRLeoyW0zfuAFSREbhrBBWvvtwBjhpBVAJgukXXCCo2lqJWxB7RxF7aJdnMWiOoxGFC+fwvyTKCICbpoXNufpdkGdtGwNsGPldlwthmxUAsR2CG0rYlWUYS70uyjCwel2QZKbCLQYD+KIeZMEb0XVaSS7Igy0mIiPV9jDyX48/FZcC543pnVnBEBAQPmhDdesBLh30HIXRdC7LdXVrxQV/eEzSZrWxQ4bpz0NgWMD7vXpQTBBGfwF70T/gEDWdXCXhXrWuNOTEQiQFhjUEnaDixWHyy5QQNJ4c/j8xJgc3PkL6wL3NxknjzyK4DNKyAiBTUp0UuFvcWF46LqFnBEZGQbJFdB2hY4bBvIASuwyEDerTig768JY4yW4mjwnU/orEtYHz+HTIjCCI8QR0yf4kjzgYR8AZZ24cyYiCiL8KH2nY7cZKwWE9riSNOEo/mk5ECm/oAvZGGxTAxdsguK4o/9+mocMQKiAjvvbrPxf3FheNCalZwRPyju09HhSNWOOwrCIHrcp/dPVrxQV/e+4QyW4WjIsa2BYzPv/tkBEGEJ6j7ZLlPiLMNBLwN1jacjBiIgIswnB113TmBWHyn/T4hThSPxpORApv1AN0RiXKYRbZ5T0YWb87TcZ0QKx8isvdqPOOFTXHcYMsKjoiDZOPpuE6IlQ37BkLYunxnd4dWfNCX9zqhzFY2qEiwbQHj8+87GUEQ0YnmO/u5ToizCQS8Cda2nYwYiHDbo+1kBGKxndbrhDhJPLpORgpszgP0RlKUw9xmOhlRvJlOx21CrHyIsN6r6VxceVg47rBkBUdEQbLpdNwmxMqGfQEhbF2ms7tDKz5ov9WBjLVmpI1MnXT5Kt1FVwei6l0NGX+81YGoLZDCWuASVAeiEgoUIYSu3+pAmafaQJvnK7oEiw2/mOJAK0VzPtUH7z6cfyeo/1l+7rFG/VyBdlT6YSyUI8IzhXJEeGGFck478Rf1P8lO/q3879NB/Xs1SNQq7ukSRo/VswIqqvMvX/BV1aG+X6vug6+qDlUh8NQ/fEDlqKpD1Qg87r/uUImobtWFrVtVJy7ME1i7ZIUXV1WnEKqMTqY+5OpDoT6UbSGLInVW1SHTAl1hz1V1yHKBvhBZVadIl1V1CuvFnzfoqoHusI/BpIJ5ddeBsUfHSJEY+MIWUvvLHWGvqkOmEEgK8HOkWnZjKWxF8IguGJgXwSNyQDCqVDCqVDCqVDCqVDCqgMHogE4KzK89VtUhSwWmWURVnWUQuul4e2/RFWNSL+kxWk57uANQRUZgrqqzDD6LDrBX1SETANMttqqOfHaWolbEHtHEKrXj8fRkMsvGwXgSqYmmeBKM00kWZKmYZJOTsozyNiVYJ5kcs2zUiSZbVZ1C4DChfP5XLBlBEFPb0Lmq8zvlVtcr1edE2C5WduyQY2QXcHb4HI4JY5sVAzFJjxgqdy1VMgJ5XqpkJPG4VMlIgV0pgfRGVg5byecH6owo3pYqs2xYGCfUr/PyIeJ5H6PL5RhzcVFx4bh6mhUcEQXBAyNwpx7wsmFfQAhb11Jld4dWfNDabZ4cH2cn+eQ4KPLj4yAtj6Ngko6Pg5NsHMfjyaQo8ja+enWbxilk6TYzbFvA+Py7TUYQRHSiu03XuQxpOUHnMhjbQMDbYG3XyYiBiLc9uk5GIBbXGQ6NlW13WEk8uk5GCmzSA/RGFMbm/thlJfFmOkUyTG2mk5MPEdZ7NZ2Lq38Lx2XOrOCIIEg2ndZOPeBlw75/ELYu09ndoRUf9OUtRZNbS9G4bxI0tAWMz7/pZARBRCeo6fRQioaxQQS8QeAOlGGbV/3A1DbbrG2DiOgIW2vdd8RIwuJn7fVtGEk8+llGCmw+hfRGEZv3We+yknjzs87yNpyAiJTRq6Fd3B5cOC6EZgVHhD+yoY0y4ThnzEmHfQUhdF2WtrtLKz7oy1t/PLfWtymwbQHj829pGUEQ8Qlqaf+k648zdpWAdxXcbJswtlkxEIkB4Yth9ccZsVhMsm2jASOHR4vMSIHNz5C+cBwIYCTxZ5Fd9cc5AREpqFeLXCz8lOOaWFZwRCSkW2RX/XFOOOwbCIHrcsjdPVrxQV/e2yJzayWeEtsWMD7/DpkRBBGewA7Z522RnG0j4G2ztiVlxEAEYoQltd0WyUnC4kIdt0Vysnh0oowU2DwI6I9smBXG/thlJfHmRJ23RbISImJ9r1Z0cbVg4bgtkhUcEQHJVtR5WyQrHfYdhNB1edHuLq34oP0W6DFuhLoal+6bfopVuosu0EPVuxo0/ngL9FBbIIW1wCUo0EMlFChCAN3aJXmKiyvJI+NPfxV55E+qrRqLSf52u8bF1eXJxZm6PLnwXZfntNhR33V5kj7K8gxNr9U2+bVatR18dXmoCoF1A+CDKUddHqrG1YEST10eqrpV87VmXZ5S2DZeUwVeXFmeMtqUH2L1IVEfUvVBtJUwytBZlodMC/SCPZflIcsFukFkWZ4yXJblKa2XVd6gqwZ6wj4GkQrm1V0Hxh4dA2js1ijLI7W/3BH2sjxkCoGkAD9HqmU3lsJWBI/ogoFpETwSBwSjSgWjSgWjSgWjSgWjChiMDuikwPTaY1keslRglkWU5VkGoZuOt/cWXTEm85Ieo8VkR0cAqsgIzGV5lsFn0QH2sjxkAmC6xZblkc/OUtSK2COa2Eu7fFnYyvKU7sv8zmFC+bwvX3KCIKa0oTNUXpcvOdtGwNsGPrNjwthmxUBM3mNG0pblS04S38uXnCz+li85KbBLJ4D+SIelbfmSk+RyLF+yEiJifR8jz+X4c3Hzbum4S5kVHBEBwYMmRLce8NJh30EIXcfyJaBLKz7oy3vYpLAV7WkfDERbwPj8e1FGEER8AnvRP+HDJpxdJeBdtbY1ZsRAJAaENQYdNuHEYvHJlsMmnBwePTIjBTY/A/rCscrFCOLNIrvOmrACIjJQrw55cUdw6bj0mRUcEQjJDtl11oQVDvsCQuC6DHJ3j1Z80Nogx/FEzE7ScRDKrwVRNCuCIpyWQRiKUGRFEZWidY5eDbJx2kga5ATbFjA+/waZEQQRnqAG2VBg6L7esKQKDT1vvqhvfpaW9KfSkqpqQspyyj8bX+Ut1gYQ8AZY23YyYiCiLcJ2Wvc2MZKwOE1r7R9OEo9ek5ECm+ogvRGF1sueOVG8uc0kllnJmJau8wIiwnmvbnNxOXDpuO2ZFRwR/8hu096rB7xw2FcQAtflNrt7tOKD1m5zOg6T2fT4JJik8jvSUBRBWeZJUIzFyUk4DnP5g7f9u83U1BbSbabYtoDx+XebjCCI8AR1m7ga6rkA1VDnbAMBb4O1DScjBiLgIgxnRw11TiAW3xkOC6PP2WFF8Wg8GSmwWQ/QHUU8TArbNCcjijfjmdmqE17n5UME9l59Z7pwKY4rYlnBEWGQ7DutnXrAy4Z9ASFsXbazu0MrPmhtO2eiFONiOpNfVDsGouMyGM/CKChneT6O81k6i6a3/dtOYWoLaTsFti1gfP5tJyMIIjrRbGezrL56VeSg+bT0nM1tke2afBoZ+3KLtQkEvAnWdp2MGIhw26PrZARicZ3W+yI5STyaTkYKbM6D9EYoI7jNdDKieDOdZTbMjKOc67x8iLDeq+lcXC9YOu6LZAVHREGy6bR26gEvG/YFhLB1mc7uDq34oOX//vof9P82l07F6izfnR2/98bbbxkaA2UsjYth0kxmDsZCnKsOZKufY1eJ8YmZeWH/Glnm6qPlaEygC/yNNHyqtMXTdl/mnba6xieqQIi0gA8HehpSlRj5YP7xpi4X8tJmzRdN+ZH5h/Kv0UU7mooeJm7pD7Mru2T4c9HSTr9esGwLDeS2wEjVn+L1w89nKtH7NtH7dNECLxp+JFNqHtk0j+ia4a8JPQC3B8DN2iuy9nOndzu04x6QQ5vgQ7pgeIBHnteVeo9seo9oevXTcdtPgrKewHVdN1KIc2mYPUWZhV4jC4W/faQkNdBlo/6g5y0+nn+kS5rpIlZtAab6sQlH5p5c5R4ik+/cU9hyD1W/j9xjFr1PFy3wolHhZWTTPKJrhj/9a+ces/aKrJ0995gFH9IFw2M3KfeY9R7R9J6Zw/SQe6zZx1XKvxCltanBStHZx7wwcI0sFf4GEvPP3frT+icmzTLJFCrJEIX7TjLl5l5SyA9pFMoPSSI/5NZBD5XJR+IpN/cVyL4C2Vcg+zaQfTqIwIOg4s1IcYwUx0hxjBTHyMYxonPAX4+1E1S5WSmeSvFUiqey8VRkHvakVW4eKohDBXGoIA5tEId0CHgiICWycvNIMRwphiPFcGRjOKIx+B1YOdJb6RKfhdYOAGslpDfrAIsoFv4GQxPcZ3rO72OTTJnTSpXTiFr95rQklJksiWL5IRG2TEYl4c9kSv6+kr9vk79Ply/w8lFhZqTUj5T6kU39iK4e/syvmbUURaUoKhtFRaZgzlVK+qGSfmiTfkiXDo/mhAyllB8p5Uc25Uc05f7zkiUzJaGrvmCRRdaGB6slZSZLbiLLhb+nmNz0QNfzX9YPGbT14+Ufm98+GOiNTOpo5vd1xbyHzeefzN+ff6zL5j0cmDi3JOeVXTKs7+QWybwWJuqDZX6QTuIjuUUyr0n5+zb5+3T5Ai8fFaFGSv1IqR/Z1I/o6uEvzdrJLZJ5TVJUNoqKTMGe3CKZ16T0Q5v0Q7p0eEogJbdI5jWp/Mim/IimXEnPGuUqEP2VK8n1cXvRmQ29JgqZ4yInRWJtf5hYYoIb2rZhkPWuhv01by/6va4noC5qeaz3X9xXNxapXRdftrOOj3TZrafzH+rc9kVzodHZW4qam1maQlzNhTdNgnykbsVpr2p53lYxeLy87CgaLK6gMTXPFrl5VnNJL1cbmSS+RpYoUBKJ8rbJ8jKYPMQGYUsdBLJCYBF6+I5f+x0vZI3A6vPr7eUlq1tN+mve8RLHw8wkcJcs8MLueEnCuLlCQWVOx30udDJgdsTf55KGtttc6GKB2RF3m4uUs7jNpW1lk+obdNXAHLneuKjd0CxVvrrrwNijYwBzGWFQ1F6ooLS/3BHW21zoFAJJAX6OVMtuLIWdHxFRBQMTIHhvOCDsVMCwc0CnAiZN3M0tIh+qp/S80Jt0ocDMCb+35TTc3HS8p7foijHZlPTAtFvtu0JNRUbgvbflNMwsOsB6bwudAJhWkWNo9ewsRZ0fOVPE6lHKNImLaTENjsuyDNLJOAvG4TgJymMxnY6z6eSkaHOYdVD95rifU7IvnZQ1YcqhdYzDhPKZht8OLMwQ3ARyjRVk1XO4+gc4Nv9sOai+Zx9U35t/ouu2RCKsn6lJZxP6Fiu6gKPDB7X6jPAjfeTj+cuTEIPg7HyDu2kGUawvq7G0yzZru6waCUe79DGaZiRhOWdriTc7rCTeztmyUqw6DgcFeAyfWort7LKSeDtmm+ZDYbSq13n5EHmhj/HoclTa1jtuf2MC3+MFR0Q/8FAK3KkHvGzY9w/C5uzQA0iHVnzQ+pjt5unslbJtHtd8jClPGtPEiStWcT2t+UQWwdfIgoETWlBjaVz0UZ/6pP5Ds4Sjt5m3izX35Hc+k/bq/eUZ2+amwPmd+qH84Sd6XUdtkRjE0aApRf1A/oWp45ZAckOksIboZXmHKFGgJALktbtQVNM/3RxEyubKCND8kjS/pM0vQv0yVLc3Pqq/ujKIgiiRPyBMfNtkPuD0WB+OlqgQONWFcar29SGiRuAs17oelKgOM6MFaL88LwrL/ShkiRe4QpSqXVBCfcjUh3wxc5u4F4yooMDUil8wKrLCcv/H1+lqgbkVu2KUnK4YWUsq36CrBibYPhy6gnl114GxR8cApsd1VoySV1/uCMeKEZVCICnAz5Fq2Y2lsBXBI7pgYEoED3MAYahSYahSYahSYagChqEDOiQwq+IWkKJYrVobY9BNulRgcsUsISWnS0jWF/cWXTEm4ZKeoOUw0h17KjIC9xJS8urLHeBYQqISABMtegkp2ViKWhF7RBOrDWQ5jbMwjQORilmQnsTHQZmHYRCFcTkuT0QYi5bHOkZ3zFpQx+nWJaQUhwnlM43mHViYEb0J5BoryKoJcfUPcKT/z3Ik+EQO1NW1qC/m7y8G8/KP+g7Ujwf1P8mB5UO921Ndy/qkvteuJqmPaRAZp4S3WJtBwJsBPog2YWyzYiDmP+Fj5fn3LdeXsqKwLP8Yx4M7rBweF38YKbCTz4C+yOIkCs13s+yysnhb/ontqz+ceIiQ3sfYcjnCTBeLBfbK/rzgiOgHHhZB+/SAFw37/kHQuhZ/uvuz4oPWfnMcRWkm0jLIomMRpGmRBxNxnAcnk3waTqNCZFnbMF79pm1lSGDbAsbn328ygiCCE9Rv3tXV8O7MfziYf1faSr17R1rP5/WLoP5Kf+V7egWpWT+SHvSj5Qam+leRME6yb7E2goA3wtpukxEDEW/hblMOB74wobzOisLiNiPz+sMOK4lHv8lIgc13gN4QWZiXifXQECOMN8OZDePchHedFw8R03s1nGJhUOxV/XnBEQGQbDhtfXrAi4Z9ASFoXYazuz8rPmhtOI9FlBVJlAdiMouDdFaOpTktRBCdhKXIj8fxeNL2uVfDaZzHlYYzw7YFjM+/4WQEQQQnuOFs9iDdG8z/S/1U+cj5nfp+M4cZhq+q/1IT6BYrqICDrm0qGTEQMRVhKq3bfRhJmDylbQM7I4lHT8lIgU1pgN6QySMfZrZdRows3ixlFErLbIxm13kBEXG7V1OZLUxI5jCVnOCIAEg2lfZePeCFw76DELguW9ndo9X/n71//5Ekue480X8lsMAFqMz0WHc3M39Q0A9dpWRtFrsqs9OrOjNiaiC4x2NEjPgASQFzBxDA7hYfuuQMKUoXKzRJtZqa2Z1f7m6x2SVWP/kP7A+R/9E183hklYeZ+Tkn4rhH3rvdqKh8RGadzzHzc75mxx580Mutl9E8DdMqD9JolgYyCqMgS+ZxkJbzOJ8maq7ms2fdy0prB9Cy0nvau80XML7uZSUjCCI8QWXlr1YTl88HZutgfcmHKY8vJy7rk5E+X/zx5m+1+PzB8ou14syM3qwXvetP4tC5+J3RFwrui52VJyMGIvAilKf/plJWIB4BauN4wMrRofxkpMCmPkBbJEpaY/gZK0iH2nOorNr6IS8fIrbvVXqma6GSeqQnJzgiAu4gPR2NesHLhn38IGxtyrO9QQs+6M32yZXmMoqyw+2TrjlL720LCfjC0n1vn3SsIr1HNrgZRBi2TxoVaA6h0J98cXs13OqY6Fd2U66uOP274XKTZOTdJEnElTDcvWySJJqoUCYCzCNvkpT6K/oHrI/IKZmvGb0ZN0kSLQRu50CIUc8mSaKNwH0cuwpNonWYPRsA/6lMDK3VxTOyhT3ukTT3e0X1hSjRel9S5t8eSWUEpk789kilUveBmlRrgbkTuz0yu90emXm2R1KtBibQfShwA3N05sF4RMcAJsZdtkdmR683hGd7JJVCISnA/ch49nhjWMPgc7rBwGQIHsYAIlBhIlBhIlABjEAXdD5gKsXtjExzNUxdGyOplgITKmZjZHa7MdL5yF7SLcYkWVLf2QwQ/VGnICNwb4zMjl5vAM/GSCoBMMWiN0ZmxxujGsY+pRlbj35AQ3LD4xx9e+YjqCNw58bIHIcJ5bON0z1YmLG6DeQeKwhiEhA6huct8DD6QsF9AR892zBOWTEQ05uIQXJbgYcRqNMCDyNHhwUeRgrsDDOgLfLEsUzjjJXkICo8nHyI4L6P8eVmlJmvCwK5Z6TJCY4IgeChEbhRL3jZsM8fhK2twtPeoAUfdC09q2oyK+ciD5SUk0Cm2Twok1Dpn6qyaVSVU6FWT3On0tM6c/yGiPz3vll8AePrXHpygiCiE1R6/sPND27eq8Xn+kpR82ldOtJq0xzWsTzp/Oan5lzNXy1+sfhw8dvFPy1+rf/85i9Wh3L+6+I3i/cX/6xff2ve83/oTz4cvHmhosHiFzYv3Wf1koJ7aVdRyomBiMgIUercRMmJwiJHw2GslI3lAStLd5KUkwKbEgHtEclsmLmWHXGydCZKc93lHKKUlQ8R9vcpSqNwpWGWH9jAH/GCI0IgWZQ6G/WClw37BELYWkQpoEELPujlFfSTOM7y2TxI0kQEsoxlkIlpHkylStI0Cqdhsmr0TkWpY01SFGF9AePrXpQygiCiE1SU/uZ2+dLyPPd6+dKt2jR38Pyt/vOj1w+CX2rUP5oFUB9oefp+UGvVX+hf94/69V8Wv7U55z6rcxTcOTtrUUYMRCDeixZlRGHRopH99IgHrCQdKlFGCmweBLRGLkRun2c4Y0XpTogOYyveQ148RKTfqw6N1rLFc68tKzgi/NF1qKNNL3jRsI8fBK1Nhra3Z8EHXa9+f0WAOXXm92aT73/j29+yOIIkM13znrGXM2tyupa9u63FqMfble9Wc++RzW12M49zgRrxH7Q+/LhWfy8Xf6iXsf+81oM/PxnU9zOaSxm/DPS3Prp5r74WaPtt723eWF/ruHhhY9b6MP7qGRl8K2i6yXeLmculrpEwq1zNdSBRal7Mytc4Mi/mG7H5Rmy+EZtvCPMNIVwRlUos8cTwlUYG87HBfGwwHxvMxwbzscF8bDAfG8zHBvOxwXxsMB+7MB/TMRUeE74cSVOeG8pzQ3luKM8N5bmhPDeU54by3FCeG8pzQ3nuojynU8IfXHp6WK6R1LSFoS0MbWFoC0NbGNrC0BaGtjC0haEtXLQFmXZrdVwLLa7bPjGITwziE4P4xCA+MYhPDOITg/jEID4xiE8M4hMX4hM6IjzNIVfQacKnhvCpIXxqCJ8awqeG8KkhfGoInxrCp4bwqSF86iJ8SiOs++yzTT7vbFub866B1V4eB0UaOtsJZiwxuQ8dpwXdI9vbTHMcu9q+XPzOXBdg8ni9Oq6eGvq9XQcsXg5u3hks/lh/59M6xb9czRO9NOvpBjc/Mb/UbIizXSlY/+rPVsvy6k/0b6+vJdRf+3S5lW61pe5TsyRvNTX10SAyNxGaL39i8+99sn+bSZVxGx3VRIUyEWDe69voxGqr3Id1G3xx89NXts3pD516cLB4v140+d7N3waL/7b41eL/s/jvi/93PSn4T/oj66TgKdkJzaEi3147qoXADQKYyS/nXjuqjcCtAbtOaxGta2qiHffaRUnmuu2AamF/e+0iudrfEvkvICSTAbM4foddlMTOHXZka4FpHLnDLrq9gDDyXEBIthqYzHcbsG6m98wlYG6MR3QMYM4kjELX+12i2wsIo5YLCMkUCkkB7kfGs8cbw7aHjFSDgSkQPFMKiDsFMO5c0KmAaRO3ry4W0VBa/f8W3VJg8kTsq4tuLxx0P6iXdIsxCZXUYzZTz/5YU5ARmPfVRbcXDvrjzBM6ATCxImcFTN/ZGLU9xqcYa6ydJGpeJTIJqrQSgZznIqgm4SSYZGU1jebltCzb5ve/We53HYlzUP2GiCQOE8pnmyjwYGEmC2wg91hBmqLD1z7AWQTHmFB/9MV6c525ftCM6l/Wtw0uh/FP3jj7+vnl4PTNN4onZ/cHIgxXw/vfLl7c/LCeHfii/gHzG39m89R9Vk8puKfgg20bxikrBqKqihguuxeVMKLwLCqxcTxg5ehwSQkjBbamDWkLzxidkaSzFSVRGMmhffH2Q15CRNjfx3hzM+pcX2IXeS4lZAVHhD/wUAnRrBe8dNhnEELXtq6kvUkLPmizruRkKcc6rDpZ54a14FReyqhJ2VnVyWrvPbK9wIkqqF68s1WneFV1uvm5zb/3yf6VMP/upepENFGhTASYRz68MTkZpCeDTP+MVbmdkhGBE2oIkeysKREtBE6OIbSvp6ZEtBE4LbarriVah5kCA/hPydx1oSHVwh5rSsl6blf5a0pUMmCOxteURCzdNSWqtcAkja0pqduakvOavTfpVgNT9T40voE5OvNgPKJjADPiLjUldfR6Q3hqSlQKhaQA9yPj2eONYQ2Dz+kGA1MgeKAEiDsFMO5c0KmAaRNXU5JJPMyssf8tuqXA5ImpKanbmpLzQb2kW4xJqKQesxl2+mNNQUbgrimpo9cbwFNTohIAEyu6pqSON0Y1jH1KM7Ye7MzDcJ5OZkE2yVUgw0kUZOlEBnEok0TNsmRSTZc8zsG9Z5aDOsB31pQSHCaUzzYN4MHCTAXYQO6xgiAmF6FzBL9+tWA0WPxOD+HfvXlPD+WXBaWv3C4A/ZPl8Dx236nAia7g6PCxsQ3jlBUDMUuKGP+6i0SMKCxFImk/u+ABK0mHZSJGCuwUNaA1YpEIx3EiZ6wsnRWK8nwoXWfgcPIhIvk+hpCbgeT6jtDIc+srKzgiAIJHP+BGveBlwz6BELa2IlF7gxZ80Ourt1YCq+MtStZMoZWk96KxVDRpOyoWOS/eotoLnIGCCkFHsWhZ9XkBLhXVxYbfL77cnMC4qfu8pi2/NO9ZVpaeLz7RXzJngSO2HRF9JmE+20sBiGiiQpkIMI9cAEoDszgzUoOvmJb9g/75j+rf9OXi8/pKtnUl74ub95afm5VlZnRgDUOnZI8AJ8sQetlZLyJaCJz4gstgX72IaCNwymtXgUu0DjO9BfGfFKFzgRPRxB4LRtl64jb1F4yoZMA8jS8YqSx0F4yo1gITNbZglN4WjJzXmL5JtxqYrveh9g3M0ZkH4xEdA5hBdykYpUevN4SnYESlUEgKcD8ynj3eGNYw+JxuMDAHgodMgLhTAOPOBZ0KmDdxBaMszobK6v+36JYCsyemYJTeFoycD+ol3WJMRiX1mM0Q1B9rCjICd8EoPXq9ATwFIyoBMLGiC0bp8caohrFPacbWg6NJOU1FFgUzkUeBnE7jIJ/rkf+knIg4mUQyy1dhyDnA98x4UAf5zoKR9w6zbUwon20qwIOFmQ6wgdxjBUFMM0LnCf5Fj+A/W245uvnp4sVyy9G79fj9ZX27wk8Hze1FN/9F/0RdZrJ54D6rBxTcA/AhtQ3jlBUDMW26j3EwIwlL2cixVfEBK0mHZSNGCuykNaQ1VCoc2zTOWFk6KxuJOB/m1i73kBcQEdD3MZLcjCezdZnBc3U0KzgiAIIHQfBWveCFwz6DELi2wlF7ixZ80P3sLrJGJK0kcy+lbFJ2VjCyZud7ZHuBM1BQIXhQBaPWHUNEn0mYz/ZSMCKaqFAmAsyjF4xsYKdkMOCc1z70LtFC4PwVRse66z5EG4EzV7sqVKJ1mFkqgP/iOBwqm4VnZAv7K/vE4Xr6NfeXfahkwGyLL/tkSTYMrULq63RrgekWW/bJb8s+zrtN36RbDUy6+xDrBubozIPxiI4BzIO7lH3yo9cbwlP2oVIoJAW4HxnPHm8Maxh8TjcYmALBIx5A3CmAceeCTgVMm7iyTxTL0BF03qKbCsyemLpPflv3cT6pl3SLMRmV1GU2I0h/sCnICNx1n/zo9Qbw1H2oBMDMiq775McboxrGPqUZW49xQGN2w+Mcp3smLKhjdVfdJ/Ze6LiNCeWzjeg9WJhRvQ3kHisIYpoQOtxnqPtwekDBPYAYGf/anHqy+F09CWFWPG5WRH5hbt6pJzm+qC9yfF6/8bl9OuKUlRwxU7qHoTMnCUupyLEO+wErSXelIk6KprTwUEAH7DIRw1DZUM5YUQ6iUsQKiEgB+xh8roeg8fpS5thzyzYrOCL+gcdN8Fa94IXDPoIQuJZKEaBFCz7o9RYj9WwjPDusGFkjk9agkZc2adJ2VDFSri1GVHuBk1dQCfmvzQsKVzdhL+oT5D5dlnS0bPqDqfuYbSY2mvtkGgmj2Ucth2qiQpkIMI9eyxl8JUl9u3moiMApLYw0FTYLv0a2EDg9BZecnqoO1UbgvNSuYpJoHWYOCuI/OUyttcUzsoU9VnXi1exqHHmrOmQyYEbEV3XiSKXO3Txkc4E5EVnWiaNNWSd2Xsv8Jt1qYGbch7I2MEdnHoxHdAxgStyhrKNtf70h3GUdMoVCUoD7kfHs8cawhsHndIOBORA8PAEEngIYeC7oVMC8iSvriDBz3ylENhWYPhFlnU3AecvzpF7SLcakVFKX2Qz3/MGmICMwl3U2gWbdAO6yDpkAmFqxZR3ddzZGNYx9SjN2maMimah5FMSpzAMZh2VQlWIeVHkZVVGUzbN0lXudg2nP7AJ1QO0s68Q4TCifbdjtwcIMvW0g91hBEHN60DH5+6+PuldXBt387c0PBlEYxFa1d58VUsEh4eNgG8YpKwZiGnIfY11GEpYyjB4TWytKD1hROqzDMFJgJ4EhzaGGYaJsKGesKJ3VYWKV6+xjDWcPeQkRQXsfw8XNoDFeT9vHnoEjJzgiAoJHOohmveClwz6EELq2Skx7kxZ80Pq/E59Y3G/lJbHRaZkoPHR5nDfpeq+8EO0Fzi9BVd6+Ki9EGgmj2UvlhWiiQpkIMI9ceYlO4hNxkgy+kuVB7j1QjcoKnH7ahywlWgicSkLJTWcJhmgjcA5pVx1JtA4zXwTwn4rDYWqNyWdkE3uswaxvV499t6s/pJMBc+O+azBUc4HZEVuDEbc1GOcd5W/SrQbmyH2IagNzdObBeETHACbHXWow4uj1hvDUYKgUCkkB7kfGs8cbwxoGn9MNBiZB8MgEEHgKYOC5oFMBE+c+azBUU4H5E1ODEbc1GOeTekm3GJNTSV1mM9DzB5uCjMBdgxFHrzeApwZDJQCmVnQNRhxvjGoY+5Rm7MHWYBJnDUbiMKF83ddgGEGaqsPXPsDRObEGwwip4JDwEbEN45QVAzEDuY/BLiNJ1zUYRpQOazCMFNjpX0BzKKHjc6psLGesLAdShOEkRETtfYwXN6NGuZ6xl56RIyc4IgSChzqIZr3gpcM+hRC6tiJMe5MWfNDdFmGsi661TlQ+OhE26XovwhDtBU4wQWXevoowRBoJo9lLEYZookKZCDCPXITRz7YafCXyX2hDxQROPe1DkhItBE4joaSms/5CtBE4f7SrhiRah5krAvhPiWGe2yw8I1vYY/llfRF57LuI/CGdDJgV911+oZoLzIvY8ou6Lb84r/N+k241MDvuQ04bmKMzD8YjOgYwLe5SflFHrzeEp/xCpVBICnA/Mp493hjWMPicbjAwB4LHJIDAUwADzwWdCpg391l+oZoKTJ+Y8ou6Lb84n9RLusWYlErqMpshnj/YFGQE7vKLOnq9ATzlFyoBMLWiyy/qeGNUw9inNGMPtvySOssvCQ4Tytd9+YURBDGRBx2XE8svjJAKDgkfC9swTlkxEHOP+xjrMpJ0XX5hROmw/MJIgZ34BTSHUsPQdcoEI8mBFF84CRExex+jxc2YMVnP1CeecSMnOCIAggc6iGa94KXDPoMQurbiS3uTFnzQ3RZfMhudVom+6x1zETXpei++EO0FTi9BRd6+ii9EGgmj2UvxhWiiQpkIMI9cfInCwVei2F96IUICp532IUeJFgKnkFAy01l6IdoInDvaVT8SrcPMEwH8p0fs1tB2Rjawx8rL+kbv2Hej90M6GTAl7rvyQjUXmBSxlZf0tvLivBf7TbrVwNS4Dy1tYI7OPBiP6BjAnLhL5SU9er0hPJUXKoVCUoD7kfHs8cawhsHndIOBKRA8IAEEngIYeC7oVMC0uc/KC9VUYPbEVF7S28qL80m9pFuMyaikLrMZ3/mDTUFG4K68pEevN4Cn8kIlAKZWdOUlPd4Y1TD2Kc3Yg628ZM7Ki++eWwsmlK/7ygsjCGIWDzooJ1ZeGCEVHBI+ELZhnLJiICYe9zHUZSTpuvLCiNJh5YWRAjvrC2gOPcJOpI3kjJXkQCovnISImL2P0eJmzLi+XD52Xi7/iBccEQDBAx1Es17w0mGfQQhdW+WlvUkLPuhuKy/WhdZaJeZeurhJ13vlhWgvcHoJKvL2VXkh0kgYzV4qL0QTFcpEgHnkyot+tnP9A5H+E+s/ZguMyINI+msxRGzgRNQ+BCrRQuCkEkp4OmsxRBuBs0m7KkqidZiZI4j/VD5UVul+Rjaxv2qMWF+0Hfsu2n5IJwOmyX1XY6jmAhMlthqT31ZjnLdVv0m3Gpgu96GvDczRmQfjER0DmCd3qcbkR683hKcaQ6VQSApwPzKePd4Y1jD4nG4wMAmCBymAwFMAA88FnQqYOPdZjaGaCsyfmGpMfluNcT6pl3SLMTmV1GU2Yz5/sCnICNzVmPzo9QbwVGOoBMDUiq7G5McboxrGPqUZe7DVmNxVjREhDhPK13k1hhMEMbMHHajTqjGckAoOCR8c2zBOWTEQk5F7GOxyknRcjeFE6a4aw0nR1AIeCvAYO3GveOREOYxyDCshImjvY7i4HjSK9Q3uwnmD+yNecEQEBI90EM16wUuHfQghdC3lGECTFnzQ3ZZjImubap3ouxkxF6KJ13c9hmovcIIJKvP2VI+h0kgYzT7qMVQTFcpEgHnkekwkBl+JlLf6QoUETjztQ5ASLQROIqGEpqv6QrUROHu0q4IkWoeZKQL4Lxkq6zrRM7KBPdZe4tUUqPDdhv2QTgbMiXuuvZDNBSZFZO1FRJvai3BeKf0m3WpgatyHmDYwR2cejEd0DGBO3KH2IqKj1xvCXXshUygkBbgfGc8ebwxrGHxONxiYAsEjEkDgKYCB54JOBUybe6y9kE0FZk9E7WUTcN7yPKmXdIsxGZXUZTYDPH+wKcgIzLWXTaBZN4C79kImAKZWbO1F952NUQ1jn9KMPdjaSxQ6iy8xjhMK2H3xhREEMY8HHZUTiy+MkAoOCR8J2zBOWTEQU4/7GOsyknRdfGFE6bD4wkiBnfcFNEcyTENX7YWR5EBqL5yEiJi9j+HiZtC4vrNdOO9sf8QLjgiA4JEOolkveOmwzyCErq320t6kBR+0/u/fv5LXjFb8dz7xuOdajEs2Cg9ulmZN3I5qMY6rDu+R7QVOOEFV3wda85nSy8vFR4tPF88HNz9avNAS8MXii5t39Z+fLj43U/91cebmx/od7moMkUfCePZSjSGaqFAmEs07JZsHnETah7YkWgicEEJpRmcdhWgjcCZoVzFItA4z6wPwX6qyobCq7jOyiT1WUtZ3WgvfndYP6WTAjIavpOSRchdSqNYCMxq2kCJuCynOe6HfpFsNzGv7UMYG5ujMg/GIjgFMZ7sUUsTR6w3hKaRQKRSSAtyPjGePN4Y1DD6nGwzMgeDhBSDuFMC4c0GnAuZNXCElEmE6NP1029S36KYC0yemkCJuCynOJ/WSbjEmpZK6zGa05g82BRmBu5Aijl5vAE8hhUoAzKzoQoo43hjVMPYpzdh6qFKGeZ6EUZCXUxXISRwG2SypgtlcTFVcRlFSTZc8zrGwZ3KAPB52FlIkjhMKaBs1e7gwI2cbyD1WkKbs8DUQdEith8o/0KPnzxbPF18sPn51RP0XJl8sfq3smu8+K6mCk+48kmXEQEwmIka8ny5+b0P5GisKSzkltt9h9YCVpMNqCiMFdiYX0BpRGiaxa6DNiNJZOSUdJtY0+5AXDxG29zFi3Iwb11evC+fV6494wRHhDzzYgbbpBS8a9vGDoLUVUtrbs+CDrgspr4gQp2r83mzy/W98+1sWR5BEo7VxtV5UXs68yemqoLitxUjB2yKK1dx7ZHOb3czjXKDg+9ebd27ereson5iPFh8tvlzuaPlU68Cf6i+8vPn5K1tcbDha+qmvnpGZtuKhG2q3cLiacE1OHgkZmZf6o1y/KGlezEeJ+SgxH6Xmo9R8lElXsKQSSzwxfAhsMB8bzMcG87HBfGwwHxvMxwbzscF8bDAfG8zHBvOxC/MxHVPhMeHjZE15bijPDeW5oTw3lOeG8txQnhvKc0N5bijPDeW5i/KcTgl/JumRfzVnl5wUhrYwtIWhLQxtYWgLQ1sY2sLQFoa2cNEWZNqtaZsWWly3fWIQnxjEJwbxiUF8YhCfGMQnBvGJQXxiEJ8YxCcuxCd0RHgGQ07taMKnhvCpIXxqCJ8awqeG8KkhfGoInxrCp4bwqSF86iJ8SiN8Jet1uvpBOKd6Eh9F5j7SH2YsMW8bu2323iPbCywScSTu54PFy8UfBvVSiS/qr7y4eW/x+eK5jfA+mbCZ1vayHGLxy8Wni89u/uvNjxfPDdEf9F9/Zxb53rw3WPyj/u4HNog/J0MoFAQEgLp9Vel3W/XjKRkOWGpCTD59bp0g+BrZQmDZCD6n5FtuQbQRWC/adbaIaB2mNgTwn4zToXBtXCWa2ONyi1QLepGZFyPt5fooP5H4V19QQYEZFb/6QqnEvfqCai0wpWJXXyS3qy+cF8++SbcamFh3GzxuZtGSozMPxiM6BjB7EkaEm6JocvR6Q3hWX1ApFJIC3I+MZ483hm0P36gGA1MieEISEIYKE4YKE4YKE4YKYBi6oEMCsypuMUaay6H9sMW36JYCcytmLUZyuxbD+dxe0i3G5FtSB9pM+PpDT0FG4F6LkRy93gCetRhUAmCeRQ7YTd/ZGLU9/KYYW3eZUsxErFSgqjIJZD5Lg6qaZEGc5rOoiuIsL1ct4hyZf7Pc71oMM+51jc99t9hZMKF8tjG8BwszjreB3GMFQdT0oAP89+szpj4Z6LHjZ2bgCx28M1IqOCV8fPy188t75wOV54PTv/7ut79XzmeD4q+/s+rB2yNfRrymFPDgIUbI7uUZjCgsyzNCeznrAStJh8szGCmw9WFAa+hfP4ztO8rOWFk6W58Rx2KYWJPvQ15ARDTfx6hyM7ZM1xV9z4XhrOCICAgeEG3NXEjXvpELXjjsMwiB87boBaRFCz7oWmwmcpqmk5kIqijLApmoONA/XemfKqdRlZTTTE2edS82rdPGWmz67sCz+gLG173YZARBhCeo2PyHmx9oUflFfWTpcjPt+gyV9+pjTj8yB6zcvGNqGDc/01+pSzEf1YUNrUkD/ddL/d0/rt71Un/ji+W7bN65z+odBfcOXKTaME5ZMRCheC9ilBGFSYyaucZtlAesKB2qUUYKbCYENEcih1Fo1WpnrCididEkHypp43vIy4cI9nvVousba4XnEmJWcEQAJGtRZ6Ne8LJhH0AIW5sUbW/Qgg+6lqJZKVQSyiyosrl+bzqbBdk0lsEkTcpQRVEow+pZ91LUOqmhpWiO9QWMr3spygiCiE5QKfqhWSpjFjbd/Lg+xOWTwc1P9Afv3fzAPRU6+Mr6W18ufnfz/1q8WHy6lLID/eveX/z9n6zU7JPyu/9x9v3vLz8B/Eu1pl3uiDMa2PybvzfrrLYN0L/xf7r5Ua2T362/9Yn5yub3/KQ+fuazm58u/+lcZkqYRVn6F9WfWIPQfdamU/Cm21knM2Ig0gRCJ5t1c78fDuwHBn2NFYhFLVunCR+wcnQolRkpsJka0BbeFVWMKJ1JZRUNM2Xje8jLh0hGe5XK+VpZeW4WZgVHxECyVHY26gUvG/YBhLC1SeX2Bi34oJe76vR/aSTLQEYiDKSYJEEeJWlQJWlYxWouZ+tG71QqW2XKG0KGWF/A+DqXypwgiOgElcq/el2GQlVwbC5EWn2YCLX8aPBo9lffnn6jHLymlG1uus/qJgV3E1yWLv7BHP5Yq3dzbddS7JsjLup9Emb7xPP6ox9rR76jpfpL8+2GyB8sFyoU3/nL2XfLwen9gVRhGKWDr8S+C6Y4XYUI+wjp61rRz0nCo3ntK5oesJJ0p3o5KbBJF9AaMg2HUeiQvZwsncne0FHWfsiLh8gr+1S9cn2HpvRci8oKjgh/ZNUr09jVrBe8dNhHEELXonsBTVrwQXd5LapwrT+Q/otqZJOu782oVHubQeNwN6NSCSWMsJvNqFQIhYIAALy64fR2p6kc2sw+JZvdjMx820ypFgI3xGDEpnObKdVG4FaYXWUk0TrMtheI/5SOd47FrFQT+9tmKmOzuVSYF3OMjFSr/V3Sf10qGRSYK/e7zZRsLTBZIreZytvbUqXntlSy1cCUuQ+NbWCOzjwYj+gYwLy4wzZTeXtbqmy5LZVMoZAU4H5kPHu8Maxh8DndYGBKBA9UAGGoMGGoMGGoMGGoAIahCzokMKvub5sp2VJgbkVsM5W3d6e6n9tLusWYfEvqQJtRoD/0FGQE5m2m8vbuVH/YeUInAOZZ7DZTae5OtYecpzRjD7aG5BjJ6pF3jMOE8nVfQ2IEQcz1QYfuvdWQGN2k4G6CD53tNSRzOLrZ/PAj48bb2tEHi18u/ntbCemvZuafHig9chRtZSRGbyHmUfcxYmck6biMxEjSYRmJkQI7hw1pjTQa5vZUecbKcghlJE48RGrZxxB3M9BdXwcqPTe8soIjwh94dIYrI3HSYR9BCF1bGam9SQs+6MPdaRA7i04C6wsYX/fSlxEEEZ+g0rd9/f///+w04Gw6BW86uBy3YZyyYiASBUInt+w04ATikcs2jgesHB2KZUYKbKaGtIWvqMaI0plW9uw0YOVDJKO9imWxVlae619ZwRExkCyWPTsNWNmwDyCErU0qtzdowQd9uOfDxK5NuVJifQHj614qM4IgohNUKnd8PgyndxTcOzurUUYMRCRGqFHn+TCcKCw61H0+DCdKh1KUkQKbCQHNEYuhlK7V/4wonUlRz/kwrHyIYL9XKbq+fVB6bpNkBUcEQLIU9ZwPw8qGfQAhbG1StL1BCz7owz0XO3ZuelVYX8D4upeijCCI6ASVosRzsTkpFZwSLilx52Jz4iEi7V6kJiMKk9S0jlYfsJJ0qDQZKbCJDtAaMhlmubVBzlhROlOavmOxWQERwXyvUlOtlYnySE1OcEQAJEtNd6te8MJhH0EIXJvWbG/Rgg+6vrr8lWY1f3V4Dao1NGk5mXhws0w0cTvaeRolQ2unvEc2uBlF9rH11BzlsZmZNBOLy72m9VTkqpD+x6VQNFs1zTzlqjC/3JL60izjvPnB7Zu/ML/m0/o7fzTvvvmhzQf3yT6QMB/gNqfaTPxzsokKZSLAPPI9qHo8Wl+FOjTLal9pxEG90sHMI7+o9+T+YL0mV/8j+vs/1A335apzLBdUfDL4yz+LwtAss7X56pTsq2Z+2H2/a9uqAKKhwA06cOnr2/ZKtBG4NWdXUUu0DrMNB+A/JeVQ2Sw8I1vY465Xc7mqzNabzPxXqpLxgNkZv9c1DiP3XleqtcD0jN3renulqvRcqUq2Gpij96HyDczRmQfjER0DmGZ32et6e6WqbLlSlUyhkBTgfmQ8e7wxrGHwOd1gYDoED5UAwacwwacABp8LOhowgeJ2uMZZOjR9ddvSt+iWAtMoZofr7UWq7qf1km4xJrWSus1m+OkPOAUZgXuH6+1Fqv5g84ROAMyu6B2u5iJVe6B5SjO2HkYlk7BKszLIpiIKZKzyIFOZDObZNMwn1UTMkmrJ4xzbe2Y7qON75w5X/z1fW5hQPtssgAcLMxNgA7nHCoKYY4TOEDQGja/NDtQDxkTd/DBSgzf/LF58Plj8Yz2U/PL1qYHB4u/rUeZqz+fz5UIo8+mJGYY+X/yu/vbPlp+Yf+Iz84bA2hXus3pQwT0IH7zbME5ZMZoiwoOxx3E1IxBL6cm9OZWRpMPSEyMFdt4b0Boqz4a5sqGcsaJ0Vnry7E3lxEMkhX0MSTcD0/XtndJzHysrOCIIgkdTzTYVaTZUrq2pnHDYBxAC523RC0iLFnzQtWYNk1kVT5UIkjyW+r0iDrK5mgWTspqlSuUqzPrQrLHNF1qz+i8Es/gCxte9ZmUEQYQnqGZ9X0vQF3XN6kW9vv7Fql71/m1NalnSel5XOF7WpZCPlsvuP1wJ148H6c0Pk/Dmh9JZ8rjP6hcF98vOSpQRAxGE4Ur05ic379pQvsaKwqNBbRwPWDk6VKCMFNgECGmLRCgbyBkryCHoT048RIDfq/5cX9kpPXewsoIjQh9Zfyo5TF3yk5MN+/RB2NrkZ3uDFnzQm3VPq+hpZGWH656kDVcrzNyLq5q4Xa17ypxH7hMNBtZUoQrxnxe/Myrv5kebdU/1GfzvmU2W9ZKYT1YnkpgpSbO46fny8Lr6oy/MmfWrNTHLlVH600/rT80U6R9W1yH9YP21n9R7OT+yOeQ+2SES5pC9LIIimqhQJgLMoy6CspcHT8lgwBItXM+6z/sjWgistCJkqmepEtFGYI11VwlKtA5TTwX4L06Tob2Cd0Y2sb+1Sio80S+ReTFn9SuxXjiQ+1ctUUGBuZWwaklELlX8dbq5wOyKXbaU3y5bcl6t+SbdamCK3YdGNzBHZx6MR3QMYGLcZdlSfvR6Q3iWLVEpFJIC3I+MZ483hjUMPqcbDMyJ4IEOIA4VJg4VJg4VJg4VwDh0QYcEplXcAiYhQlcMeotuKjC7YlYw5bcrmJwP7iXdYkzGJfWgzUDSH3sKMgL3Cqb86PUG8KxgohIAMy16BVN+vDGqYexTmrG1ggxVFlVlGJRzPWqXkQyDPMyzYF5OVTaJclWF5ZLHOUr3zFtQR+quFUyrMiEYE8pnG897sDBjehvIPVYQxGQhdKz/4SsD+5eD1SKmm3f0sP7H9Xqjz/VXl5fq3Q71by8zXu1penXkvzxFdPHLunBkts//3nz+Fyb1FA+SUCVheLk83umd+simn9aHjP7POsybipJ+iSJ3SYnTuQruXMSg/BX/3vxscPOj5Vqu9TFWDcd+2fBkvaboY7Pr6EVdtDN3H3599t3ym+XgUfnd75b/+T9/42RduPtisPil/pc+HnylPq7gnXoS5uXqUNgXy5VlP7j5yeKlNSiesroWMdcLnxZwl7k4UVjKXNLG8YCVo7syFydFUxV5KKBzEVEUqmFmbZEzVpbOKl1RFGXD1Er4kJcQkb/2MZBeD6fV+vJh5blPmhUcEQDBY0BEs17w0mGfQghdS7kL0KQFH3Str6t8KmbRJAqSUEaBlNksyEWWB/lEiXSWKlnJ1RPdqb62zpVrfR1hfQHj615fM4Ig4hNUX2+OlFqXwjbn9BvVu/jXWqT97fKWp3pvwEe1/lttN/+jUdcfLP5p8X6w+HDx28UvFr9Z/KN+/ZfFb23euc/qHQX3Dlwg2zBOWTEQsRguRt1HTnGisIjRyB5CHrCSdChHGSmwiRDQGkJEw1RZW+SMlaU7OZoMRWbje8jLhwj2exWj0Vq5eK5gZgVHBEC6GHU16gUvG/YJhLC1SdH2Bi34oGspGis1i6uZ0t+s9HsrFQeZnGoBmwsZxVk0yfJVgO1UigqbL7QUjbG+gPF1L0UZQRDRCSpF/9dXll49Hyz+N61L/1BPLGpZOlh8eCpEPUsbiYF5o5mIrEWpdZLtPiu8gsPvrDQZMRCBdi9KkxGFRWmGw1jZUB6wonQoNRkpsIkO0BxJPozsFxucsaJ0pjRlNoytOekhLx8ilu9Vaa4vy1Se+09ZwREBkKw0nY16wcuGfQAhbG1Ks71BCz7o5aRnNZmVc5EHSspJINNsHpRJqAIZVdk0qsppPenaudKUNl9opSmwvoDxda80GUEQ0QmqNLevdLLf5bSc5PzV4hf15OY/LX6t//xmdfvT4l8Xv1m8v/hn/fpb857/Q3/y4eDNCxUNFr+week+q5cU3Es7S1JGDERE3oskZURhkqSuq504UTqUpIwU2IwIaA4ZDWViXRh3xorSmSTN9RjINfnJyYcI+nuVpOtLKZXnllFWcEQAJEtSZ6Ne8LJhH0AIW5skbW/Qgg96s+10RW6kZofbTpUNV6tO6cVNm7hdbTvNXdtOqQY3g8iO207r4/brGvgn9fLFj2xn6/uXTG5tO3252qlqA79PBpcw8H1sL6WaqFAmAsyjbi8dRCeDRP+AtYR5SuYD7qhBiNiW8/uohgJ3xcAlqmezKdVG4HaYXbUn0TrM1heA/4SIHRvwz8gm9rjZ</t>
  </si>
  <si>
    <t>VJktpol5MUfkq/Up1Up6N5uSQYEZFb/ZVKbxMLdK/a/TrQWmVOReUyU3e02V80bLN+lWA/PqPoS5gTk682A8omNIJAZ+z5e2/fWGcO81JVMoJAW4HxnPHm8Maxh8TjcYmBnBoxtAGCpMGCpMGCpMGCqAYeiCDgnMqri9pkmqHOcFvUW3FJhbEVtNN+HnLc9ze0m3GJNvSR1oM3j0h56CjMC81XQTdtYN4N5qSiYA5lnsVlPddzZGNYx9SjPWWFvN0qRK52EwzWJzSGkkgjKsVDCV07wKsyzK5ise58jcM1dBHZ07t5oqHCaUzzaG92BhxvE2kHusIIgJQuj4/oPmCvjlPXgvFp/clnz2vBqe0UEK7iD4INuGccqKgZgPRYyl3QUhRhSmglBqI3nAStJhPYiRAjsdDWiNWMT5MLG2yBkrS2cFId9qeE4+RLzfx7hzM/pcX9erPBcws4IjAiB4yARu1AteNuwTCGFrKwi1N2jBB728uimMp+W8mgVRouJAqnAaVDM5DZIoC+VsLqYi70ONWifAtRpNsL6A8XWvRhlBENEJpUZvr27CHXGiZedzU6Uyx3qsxKv+xKxuetfczhTcnm2y/GbxIIlCEYaXy08j2GEnjA5VcIfC1ev2HcqOKt1Szn9UnwZbH//68crVn+uG0B8u78f6YnVBwctBfQ3BH7Xfbw8/MWefbB190nIHM6dDEWkErqM9R5wworDo6MhxpsYDVpQOhTQjBTaNA5ojiWIxTENrk5yxwnSmpKXKHIfKPuQFRCSrvUrpZK28PPcds4IjYiBZSrtb9YIXDvsQQuDatHR7ixZ80Ie7s1Q5d5b6r9ey+ALG172WZgRBhCeolt7zzlJGeAWHh+teG8YpKwYi0sLVpmfWlhGFRW2GQ7u0ecCK0qHaZKTAJjpAc0RCDKPYJTYZWboTm56tpZx8iGC+V625vuxSea4vZQVHREC61vRsLeVkwz6BELY2qdneoAUfdC01k3kWJvNpGMzjcB7ISZIH2TTPg8lsJsNEzMtQrnJFp1LTGrW01MywvoDxdS81GUEQ0QkqNfextfTNi8C3i5TRIQrukJ3lJyMGIvjuRX4yonDJT+c2UkaWDvUnIwU2+wHaQ+bDPLbW385YUTqTn75tpJx8iAC/V/m5vuxSeW4vZQVHRECy/PRtI+Vkwz6AELY2+dneoAUftNGfPlm5312j1slrLShzD10utjbJ9r9rlGhwM2bcvV2jRHAJA9/LrlGiiQplIsA88q7R+GSgQ4FdRZ2S+Zphm3/XKNHQpixl3TVKtLEpN5l2jRKtw+xiAfgvFrHj7qozson97RpNzBWlibmiNDFXlCbrqwGV/4pSMigwo+551yjVWmBKxe4avb2hVHluKCVbDcyr+9DhBubozIPxiI4BzJK77Bq9vaFUtdxQSqZQSApwPzKePd4Y1jD4nG4wMDOCBzOAMFSYMFSYMFSYMFQAw9AFHRKYVfe4a5RqKTC3YnaN3l5Q6n5uL+kWY/ItqQNtxor+0FOQEbh3jd5eUOoPO0/oBMA8i941ai4otYecpzRjD7bgk7h2jSYhDhPK13nBhxMEMR8IHd/zF3w4HaLgDoEPqm0Yp6wYiOlOxNjZWfDhROm64MPJ0l3Bh5OiqRw8FNDRupDDLHEUfDhRDqHgw8qHCPD7GGiuh5vJ+rrHxHODJys4IgKCx0jgRr3gZcM+gBC2loIPoEELPujDXdqeuLaJJhHWFzC+7uUnIwgiOkHl536XtnPCKzj8zlKTEQMRaPciNRlRuKSmtKE8YEXpUGkyUmATHaA58niYJ9YGOWNF6Uxpela2s/IhYvleleb6NsfEcz0nKzgiAJKVpmdlOysb9gGEsLUpzfYGLfigD/dAksS1iXI1bkb4AsbXvdJkBEFEJ6jSPPwDSTgdquAOhavX7g8k+T+XTXDzs8Hi7/UH/9Z2JAmnSxGJBK6k3UeScKKwKGn3kSScKB0qaUYKbCIHNIeMU52TpEtLM8J0p6U9R5KwAiLS1V7F9PrCysRzAykrOCIG0sW050gSVjjsQwiBa1PT7S1a8EEf7mHTiWufaCKwvoDxda+mGUEQ4Qmlpjs9bJrTQQruILg6tmGcsmIgojFckXrmdhlRWBSp87BpTpIOBSkjBTYXAlojSuJkmFlb5IyVpTM96jlsmpUPEe/3KkfXl1UmnttHWcERAZAsRz2HTbOyYZ9ACFubGm1v0IIPuttto9Y4pPWl9NIlTbret41SDW7GjDu3bZQKLmHg+9g2SjVRoUwEmPf6ttHG1lD9rKcng/xkEIX6j7WbnZJRgPtgEPK0ZYco1VDgXha4+PTsEKXaCNzFsqusJFqH2bEC8F+Wx64NolQLe9wgaq4VTcy1oom5VjRZ3+eX+K8VJYMCc+d+N4iSrQUmT+QG0eT2WtHEc60o2WpgBt2H4jYwR2cejEd0DInEwO/USm6vFU1arhUlUygkBbgfGc8ebwxrGHxONxiYGMHDFkAYKkwYKkwYKkwYKoBh6IIOCUyq+9sgSrYUmFoRG0ST22tF3c/tJd1iTLoldaDNqNAfegoyAvMG0eT2WlF/2HlCJwDmWewG0cRcK2oPOU9pxh5spSd1bhBVOEwoX/eVHkYQxMwfdCTfQ6WH0UEK7iD4cNqGccqKgZjoRAyl3ZUeRpSOKz2MJB1WehgpsPPMgNZIYjmUrkIPI8pBFHo4+RDhfh/Dzs3gc30JZeK5VZQVHBH/wCMmcKNe8LJhH0AIW1uhp71BCz7ow13Enzq3iyZYX8D4uhejjCCI6IQSo4e9iJ/RoQruULh45V/Ef1r7YlA8CaJ08Jd/lvrW6zN6D5Ez4JrZs16fEYVFM3vW6zOidCiaGSmwORvSHImMhtK595URpjPZ7F2vzwmIyEx71c3rCycTzxWirOCIGEjWzd71+pxw2IcQAtcmnNtbtOCDPtxzVlLn7tcU6wsYX/fCmREEEZ6gwnnP56wwwis4PFzk2jBOWTEQkRauNj0ztIwoLGrTc84KI0qHapORApvoAM0h1DCxy/8zVpTutKbnnBVOPkQs36vUXF84mXhuEGUFRwRAutT0nLPCyYZ9ACFsbUqzvUELPujDPVA6de4MzbC+gPF1rzQZQRDRCao0OzhQmtEhCu6QndUnIwYi+O5FfTKicKlP54HSjCwdyk9GCmz2A7RHJIYis9bazlhROpOfvgOlOfkQAX6v8nN94WTiuUGUFRwRAcny03egNCcb9gGEsLXJz/YGLfig9X//vtZdq8fVyMp/59OZ+90bam1jrTBzD26W5U3cjvaGxqFzbyjR4GYQ4dkb+uXiU1N9r6cpfz5YlZOfr/Z8Dkxp+g+vTGLWe0NfGm25+anFC1OK/sfFLxcfrFamoveXfqxNCU/ixeex+QWu4u59siclzJN72WxKNFGhTASYR76jNDoZJPoHrLLglMzXTAy770D93Grh18gWNhUv69ZToo1NJcu09ZRoHWYvDMB/WprKobAG1TOyjf1tPk3N7aSpuZ00NbeTputrARP/7aRkUGByxm8+jRKlhvae/XW6ucD0jN19ens9aeK5npRsNTBH70PkG5ijMw/GIzoGMEHusvv09nrSpOV6UjKFQlKA+5Hx7PHGsIbB53SDgUkRPFICxKHCxKHCxKHCxKECGIcu6JDAvIrbfRqLRA5ja3u8RTcVmF4x209v7yd1P7iXdIsxKZfUgzYjUX/sKcgI3NtPb+8n9cedJ3QCYKZFbz8195PaY85TmrG1SJO5LBMVBlk6SwMp4jgo4zINkmkp9P9VGmWrx8A5zPdMfFCH+q7tp6nvsiwLJpTPNiHgwcJMCthA7rGCIGYboZMFH2yG5899Q/nnNz9f1Y4iEd78MFsu0x+41+lzukHB3YAaRr/iCe/MxvPl7MnHZj7DvONFPcVye5Z+fZj+yWDx/nLl/2Dxy5v39Lu/EodL19Vus8amU1a/IeZs9zA85yRhKVrpYXxqQ3nAitJdzYqToilPPBTQWQEZ5vEwtE9PnbHCdFa1isNcDIW10z3kJURkkn0MadcD23R9b2bquQiVFRwRA8GjMUSzXvDSYR9DCF1L5QrQpAUf9HKJfl5WeRiKQFVSBDLXb8uq0qy0SpI4C5WcprNn3Stda+TSSjfC+gLG173SZQRBxCeo0n1/earKbUVqc+IKzzErnO5RcPfAFbAN45QVAxGMEYLUuYyKE4VFkbrkKCNHh3KUkQKbBwFtESdpGg4ja5OcscJ0Jkc9x6yw8iGC/V7F6PpqzdRzVyorOCL+kcWo55gVVjbsIwhha5Oi7Q1a8EEf7m7RzLVbNI3RvgDxdS9FGUEQ0QkqRfe7W5QTXsHhdxaajBiIQLsXocmIwiI0w2GsbCgPWFE61JqMFNhEB2iOXCXDMLVm7TNWls6kpme7KCsfIpjvVWqu751MPTeJsoIjIiBZanq2i7KyYZ9ACFub1Gxv0IIP+nC3i2au7aKpwPoCxte91GQEQUQnqNTk3y7K6RAFd8jO8pMRAxF89yI/GVGY5KdrtygnSofyk5ECm/wAzaFSMUxcB0pzsnQmPz3bRVn5EAF+r/JzfdFk6rk5lBUcEQHJ8tOzXZSVDfsEQtja5Gd7gxZ80N3eHGpdF6sFpfTQ5SJt0vW+O5RqcDNm/N+7Q6melDBP7mN3KNVEhTIRYB52d6gN55SMA9z3ghC9ztWmRAuBm1bgWtazGZRqY1Oo8mwGpVqH2ZkC8F/muBTgjGxgjztBzTWkqbmGNDXXkKbr+/9S/zWkZFBgIt7zTlCyucBUjNwJmt7eQ5p67iElWw3Mx/vQ7wbm6MyD8YiOIZEY+B1Z6e09pGnLPaRkCoWkAPcj49njjWENg8/pBgMzIngQBIhDhYlDhYlDhYlDBTAOXdAhgUl1jztByaYCcytiJ2h6exGp+8G9pFuMybekHrQZZPpjT0FGYN4Jmt5eROqPO0/oBMBMi90JmpqLSO0x5ynN2IOtFOXOnaAKhwnl675SxAiCmEiETgx0UClidIiCOwQ+eLZhnLJiIOZJEYNmd6WIEaXrShEjSoeVIkYK7Dw1oDkiMQxdy5QYSQ6iTsTJhwjv+xhnbkab63sqU8/Fo6zgiPgHHiKBG/WClw37/EHY2upE7Q1a8EEf7or43Lk5M8H6AsbXvfhkBEFEJ6j43POKeEZ4BYffWWgyYiAC7V6EJiMKk9B0rohnROlQaDJSYBMdoDniyH5K9BkrSGc607ccnpMPEcn3qjPX1zqmnos6WcER4Y+sM33L4TnZsI8fhK1NZ7Y3aMEHfbiHgOTOnZcp2hcgvu51JiMIIjpBdWbnh4AwukfB3bOzEmXEQITivShRRhQWJZraOB6wcnQoQxkpsHkQ0BZJFNo3OJ2xknSmQ30ngHDyISL9XnXo+tLH1HOLJys4IviRdajvBBBONuzzB2Fr06HtDVrwQR/uscu5c1tmhvUFjK97HcoIgohOUB3KduwyoxsU3A1wvTno4Nxlo/nrvQ7m1yzl/ovlCODLm7/Tv/1js/3AGixOWR2KCP4I5etcIc9IwiJ8PecxM6J0qH0ZKbC5F9Ac5kzb0CV+GVE6E7/+05g5CREJZq/yd33pZOq5RZQVHBEByfLXfxozJx32IYTQtQng9iYt+KDNPaInS+HX4fWhkXVfita2uQczy8MmZnc7RK0Z+h7Z4Gb4+P/dHaJf3rwL2yFK9KSEeXIvO0SJJiqUiQDzsDtEN/eHxicDHWTs6zFPyXzNlMC4ZZRoYVPssm4ZJdrYVLFMW0aJ1mG2sAD8F8dxNkwSm41nZBv72zWamftDM3N/aGbuD83W9/al/vtDyaDA7IzfNRqnmWfXKNVcYHrG7hq9vT809dwfSrYamKP3Ie8NzNGZB+MRHQOYIHfZNXp7f2jacn8omUIhKcD9yHj2eGNYw+BzusHApAgeIwHiUGHiUGHiUGHiUAGMQxd0SGBexe0aFXmaDZV19PcW3VRgesXsGr29P9T94F7SLcakXFIP2oxA/bGnICNw7xq9vT/UH3ee0AmAmRa9a9TcH2qPOU9pxhprq3yqSimyIC6jPJBJNg8qZYpeicym02g6jVX3hazIcbzSGzpa4TihgLYZAQ8XZlbABnKPFQQx0QidLfiguZDKjOjrRVarytX+F1VxekjBPQQfYtswTlkxEBOriJG0c1EVJwpTbck6KfCAlaS70hInRVNJeCigA/hIiDQa5o4RPCdMZ8Ulz8oqVj5ExN/H2HM9As3Wt0Jmnos+WcERERA8bAI36gUvG/YRhLC1FJYADVrwQdeCVCW5mM7zeRDGU/3eUk2CTIo4mMdZot8n5lUye9aDILVmEi1IvRdN2ZwBA+xekDKCIMITVJC+v6knmcU+L27eMaUjozNfKS4NTmuYwej86eXg/vmb55crsTq6H4vlR0kYHpk/UehebcXpGQX3DFyI7nux1WDxf2r/vtBK/meDxd/rD/5tdct9FPuvuef0HCLyI7Svq4rESdKx9GUk6VD6MlJg8y6gNeIklUORW5vkjBWmM+kbh0oOc2kjfMhLiMguexW/63soM8/FoqzgiBBIFr+eZr3gpcM+hhC6Nvnb3qQFH/ThHqSi5a+wOUPL3xjrDBhg9/KXEQQRoKDyd78nqXDCKzg8XOHaME5ZMRCxFiE33VOtjCgsetN9kgonSoeCk5ECm+kAzaFUOowSa4ucsbJ0pjc9h6mw8iGC+V7V5voqysxztygrOCICktWm5zAVVjbsEwhha9Oa7Q1a8EEf7onRrr33WmsKrDNggN1rTUYQRHiCak3+I6M5HaLgDtlZfzJiIKLvXvQnIwqT/nQdGc2J0qH+ZKTAZj9AcwhhbvGwLlY7Y2XpTH96Do1m5UME+L3qz/VdlJnnclFWcEQEJOtPz6HRrGzYJxDC1qY/2xu04IPu9nLRyLWaVHrwcpE18XrfO0o1uBk0/u+9o1RPSpgn97F3lGqiQpkIMO/1vaON/aE6eqQng/xkEIX6j/VBOyWjAHfEIBSvs8BPtBC4nQUuZD3bRKk2NlUqzzZRqnWYPSsQ/0UqdkwinZFt7HGbqLlcNDOXi2bmctFsfalf5r9clAwKTMR73iZKNheYiZHbRLPby0Uzz+WiZKuB6Xgf+t3AHJ15MB7RMSQSA79dK7u9XDRruVyUTKGQFOB+ZDx7vDGsYfA53WBgUgQPggBxqDBxqDBxqDBxqADGoQs6JDCv7nGbKNlUYHpFbBPNbi8XdT+4l3SLMSmX1IM2g0x/7CnICMzbRLPby0X9cecJnQCYabHbRDNzuag95jylGXu4paLIuU1U4TihgN2XihhBEDOJ0ImBDkpFjA5RcIfAB882jFNWDMREKWLg7C4VMaJ0XSpiROmwVMRIgZ2oBjRHlMbDTFhb5IyV5SBKRZx8iAC/j6HmZsC5vo4y89wvygqOiIDgURK4US942bBPIIStrVTU3qAFH/QBL4t3bLLS+jPBOgMG2L3+ZARBhCeo/tzzsnhGeAWH31lrMmIgIu1etCYjCpPWdC6LZ0TpUGsyUmAzHaA54iwbhsqats9YWTrTmr5l8Zx8iGC+V625vpIy89wxygqOiIBkrelbFs/Jhn0CIWxtWrO9QQs+6AM+gSRybsFMsc6AAXavNRlBEOEJqjW7PIGE0TMK7hm4EMWdQPKFlunLxWKvnRto7sUyp4s8X00nm0+XC8/qNWPv3rxXC/vmT6xcXjwJonTwFe3a/5S0nFLC6F1EdkDoY+ciJkYSFnnsPqWEkaRDdcxIgc3NkNYQWTxMVhd4b8tjRpjO5LH/lBJOQkQG2qtAXt+VmXkuP2UFR4RAskD2n1LCSYd9DCF0bRK5vUkLPugDPjU6cu4czbDOgAF2L5EZQRABCiqR+zg1mtFDCu4huFS2YZyyYiACMkKTuudsGVE6FqWMJB2KUkYKbDYEtEaSR8Jx/u4ZK0tnmtR3aDQnHyLg71WRri+vzDz3kbKCIwIgWZH6Do3mZMM+gRC2Nj3a3qAFH7S5jXS1RuCZX3F+bzb5/je+/S2LJwiC01X4zz2YWR41MV07St22YkTkelOp1dh7ZGObfczjWKBQ/FCLRHO+8E9thmpRl3/1jGztVpxzm7tbmFtu2MrNvX554oprVAiJh4AvezeWPzaWP3ZZ/phuucJbDl/urg0/N4afuww/pxsO7+b0SLrcXJObO9gcAAUZYGuPRAsArr88MVY/cVn9hG41PGwjt0Zoo58ao5+6jH5KM7ruLM+6zD2ubQ+5/2aG2OlzsLWk7GM39x7ZXPiDCc0//3tdnDLnCXx089PFi0Fdn/qdOUzg5qerSYg/1lMTZhfDD80b63MPXtb1KJO5bID3NaDOW1TKrvNW5EhZZPu7SFl2ox/TjVZ4o1ER6Nxl8zndZvjzsHOisttekG1nz1F2g5/QDYZHdlJ6stv7lGbvq9MY5mn8d74Utb8jd+pXG4bOUP7D06XT7TBjienJeejkPbLBzeC944k7/8MsdzCrKVbLHuqtdavcM7j5kTk4px5AvVtPnH9+0vja4stAJ7AX+id+bGbXzVvqHLc+vaeeeP+8PqLnj/UtMPVpL8t10/qzes/e8rCdevHGa3v8zJfryfz6K5/d/N3QXCbz5SBeLrpYHeSj8+rNOyahrn7NzbsDeRJGy7dm5p0vVkcKfWRriPvkhmhmob0c2LP4Vb3g5/nSXS9Xjv75zX/VDO+YVSsG9OPXPLdyt2mWL5ZeG9pA/5wMqlCgEMhfLtusttZ0vXqVU91hXmxW23j72fIdP7H03VpTmUuF6jVCLwZfqf+h35vzovRHXxjB9YvFv4hBXUB6p5ZhsQji7E9W9xWtDyOKzGFEJ4N4+ZdY/iWXf9UHFdl8fEr2cXPmkO88IqqFzYoI53lEVBubtQ6e84io1jXV1I7nEaWJyoe5zcQzson9HUekhYZ+EeZFmhe1OgYkj7zHEZFBgSIFfxxRrqTzNCKytUCVgjyNKI82pxHlzntp3qRbDZQquw0y19WfPDo682A8omMAEz1hrLk+FUTb/npDuE8jIlMoJAW4HxnPHm8M2x58Ug0GpkRwIQ0QhgoThgoThgoThgpgGLqgQwKzKu40okgk8TCzrrZ8i24qMLkiTiPaxJ+3PA/uJd1iTMIl9aB1obIl9hRkBObTiDZxZ90A7tOIyATARIuc0zB9Z2PU9pwGxdhahgsZzvNcBFkop4FUSRmUYTULRBWHuaymIp2vOpVztuObpXt1G3HGwznnEeMwoXy2eREPFmZuxAZyjxUEsRhlpzmT14erenxqQ73PiqrgqPDBug3jlBUDsYoGMR52LiPkRGFaRihsJA9YSbpbRshJ0VQEHgroMDzK80il9lneM1aYztYRZsNU2fAe8uIhIvc+hpCbgeT6/qzccyEaKzgiAIJHP1vTFI5JigteNOwDCEFrWUUIaM+CD7qWlfk8yqK5kEGepTKQszIOqjCcBVMlp5NZms3D+epZ7lRWWmeItawUWF/A+LqXlYwgiOAElZUfrooWz7crG7WgrE8Yqi+lWJbXXtb1k3r7svmOOrIG6fusblBwN+wsORkxEBEXITmdJRhGEibFaR2BPmAl6VBxMlJgEx6gNTIZq2HmqvwwsnQmOONkKKWN7yEvHyKo71Vxrm/Myj1XoLGCI+IfWXE6G/WClw37BELY2iRne4MWfNDLjdSiKvW7w0BEySyQUZQFeTirgskszqdqkokwXTV6p5LTOnOhJafE+gLG173kZARBRCeo5PzALIwym6TNeqLlkTg/v/nxUleafdJLyfnB4tfWYtJ9VlwFx91ZWjJiIEIrQlqatUq/Hw7s5zp9jRWIR2HaOB6wcnSoLxkpsNkN0BbehUWMKJ3JyygZhtah2UNePkQA36u8lGs14rmrixUcEQPJ8tLZqBe8bNgHEMLWJi/bG7Tggz7Ma3uWr9LmCy0vFdYXML7u5SUjCCI6QeUl/609nA5RcIfsLEAZMRDBFyFA3eV0RhQW6em+tYcTpUP1yUiBTX6A5ogimQ3zzNokZ6wwnelPz7U9rHyICL9X/bm+5SX3XNvDCo4IgWT96bm2h5UN+whC2Nr0Z3uDFnzQy3N5Tro+lsdZLU+8nKrJ2dXRCFZz75HNbXazfRyNUG/A2/vRCIk5GoFI2fXRCObm9Tw/eSTD2LwoV3Ck4kg8DnwV+eqkhNQc7pOfPDYMj10Mj+kMCs8AX0e+PDghNcf85CfnBuHchXBOR4A/PPQQvdq/Yu7Q1iiFQSlcKAUZhf1YhdQc/ZOfPDH2P3HZ/4RuPzxJIHckLE9ZSM0hQPnJU2P+U5f5T2nmvzImNcmjszMX3KcC+Y6CzrQvgKlvr2cuxO5j6aj2NpPCjkcu/FpnNTMn8nzxb5tctsyCNz80Oe95fW9FfZrx6oyDDxa/XPx3G9N9MlMzM+zl9AKbiX9ONlGhTASY597TPxwsfrt4ufjjVwdmG9Rw8L9cvBm80hIvB1/7629NZ9/9ZvmfBmGYqcHX/pfB1ewb3/tefRyGUSjvvtpwL786uHzjzUEeRtYltqdkjzTHMYynBBAtBO5nhM/O+E4JINoI3Mi467QL0bqmVtjxlIBYpMK+6uKMbGKPpwRk6/24qf9YACoZMI/ijwWIdDBwnwtANReYSbHnAqS35wI4b4J4k241MJ/uNsLazD6lR2cejEd0DGAKJYysNvtz06PXG8JzLgCVQiEpwP3IePZ4Y9j2YIpqMDAJgifyAIGnAAaeCzoVMHEiDwKQ0nMQANVUYP7EHASQ3h4E4HxSL+kWY3IqqctsZkb9waYgI3AfBJAevd4AnoMAqATA1Iocdpu+szFqe5xNMdZYW0ZyItVEBKKcqEDmURhkyTQLRDKV02heZZWYL3mcQ/Bvlvtd3+A7/NB3Br4FE8pnG6x7sDADdhvIPVYQRPULOpL/YD3kM4tn60H6csAep2H4n0Sq/pOyYd5nxVRwTPjI2YZxyorRzPIeDPhw1+yrs6F8jRWlmdo9KIhxsY3jAStHh0sWGCmw9VJAW3jH2IwonS1YkLEc5lYZ+ZAXEBGz9zFa3IwZ1xfP5J6bhFjBEeEPPNCBt+oFLxz2EYTAeVv0AtKiBR90vWThZBNBjVLssHrjWriQe2nzJm1H1ZvMeakD0V7gbBNU8/1Ka7763OLlucubKyibCxg+XLy/+PtV/eb23a8dr706wHoQmwOLP9M/6DozikguYeR7qfEQTVQoEwHmaRmOOcX5tvATnwyS4eDVH/+zKEvzkyT80+WvGf5ZFIfhSaY/j5efxyqVJ+JYxCfZny5/uf5aFGcnQr9nVVj6szgO4+NI6i+o1W/JouzEGnZPyW4EzonBlbK7MES0EDi/hRDAnsIQ0UbgxNau4pZoHWYSC+K/KFOOywnOyDb2VhmS+snUL9F6ljb3l4eoeMBEjS8PyThzV4eo1gIzNbY6lN9Wh3JPdYhqNTBf70PvG5ijMw/GIzoGMPnuUh3Kj15vCE91iEqhkBTgfmQ8e7wxrGHwOd1gYCYED5oAwacwwacABp8LOhowheJKRIm53N46d/EW3VJgIsVUiPLbCpHzab2kW4xJrqRusxmI+gNOQUbgrhDlR683gKdCRCUAZld0hSg/3hjVMPYpzdhacoN2Kxge5zDfM+9BHeo7KkRypS3AmFA+24SABwszKWADuccKgphthM4WsO+AZXWIgjsEPkK3YZyyYiAmUxEjZNcOWFYUllqScwcsK0pn5SRWiqZw8FCAR+Zpmg6VdYbojJWls3qSewMsLx8iwO9jeLkaZJrhQV18WH1gA3/EC46IgOCREbhRL3jZsE8ghM1fTYI0aMEHvVygpOIsnqVhMCurMpDTKAuyWTYPppX+iYmq4jKunnUvP+21Jj02xvoCxte9/GQEQUQnqPz8RV14elkfGb26lmTwWi2qFphJGFuHDfdZcRUcFy4uQVeLmgretls+rz9ZHahtPv3y5r/e/F19IuI7Dbfdbvu53ekz+Ir+zvJo7neWO5f/rb7o9kv9/x/Xl4+udjAHg8X7i19HfzrQv+Qzsw+s3gD2YrDaEf2yriSaUcIL89bbX2u/w/mUtZkQqWMv4pkRhUk8W2fPHrCSdKidGSmwmRvQGkIpNYysWeiMlaUz7RwlMh+G0kb4kJcQkZ/2qp6jtdhyX+7JC44IgWT1HOlWFdYsfMELh30IIXBt8rm9RQs+aKOffbJ4v4uvrMlBC+LYQ5cL9xw5zFiM0IUsviLbCyzmQvVs94uvyOQSRr6HxVdkExXKRIB55MVXorHySih5Et+uuxIn8XEkEnGSbtZeCRGfJJtVVyIWJ+p2zZWMcvPW9YqrOE5PrP36lOw6YJkZoYgdC67IFgKrxXCh615wRbYRWCfeVcISrcPUhAH+E6GwqrYzsoE9rrYSZrWVXC54MGfdeFZb0fGAmXmvq63o1gJTM261lTZnvdpq5Wab1W/SrQYm6H0IegNzdObBeETHAGZb+morY/vrDeFcbUWnUEgKcD8ynj3eGNYw+JxuMDANgkdFgOBTmOBTAIPPBR0NmD/3ttqKbikwi8JXW90Gnbc8T+sl3WJMZiV1m81I0x9wCjIC72qr22CzbgDnais6ATC7Ildbmb6zMaph7FOasQdb7hLO1VYChwnl677cxQiCmE6ETg/sXO5ixFVwXMSAG1Lu0m8wLnm5vE+2t3JXuL9yF2MzIeZ6EYN7d7mLEaXjchcjSYflLkYK7Ew7oDXyKLQvuThjJTmQYhcnISI77WNsvBkhi3VpxH0VLC84IgCCh3WoYhcnHPYRhMC1FbvaW7Tggz7crQrCuVZMYn0B4+tePDOCIMITVDx3sFWB0SEK7hC4vLZhnLJiIKLvXuQnIwqT/HRuVWBE6VB/MlJgkx+gOaRZbWUjOWMl6Ux/+jYqcPIhwvte1adcaxX3TbG84Ij4R1afvo0KnGzY5w/C1iY+2xu04INeH3u1AjeassNjr6SNVstL5aMNoyZtRyuvcufKK6K9zRCy48qrf178zswh3vxoow5bbudaL8Iy04N/qOcazTyfmaf8ZHDzE/2D+odXi7A+Nb9Ey8vP9VvqCczl205e/c6Xi9+vpwnrOUzza7QFn9WfLn/r4uPFl4PwJDZLafTvdR32eZ/sUglz6V6WdBFNVCgTAeaRl3TpgKNsbKdkNmCxGaGLnWuuiBYCa8Zwuetbc0W0EVgt3lXHEq3DVIYB/pNhmA+tuf6MbGKPq64Ss+oqNS+ZecnXSyCUf/0VFRSYn/Hrr2KRiKH9RI6v080FZmjsAix1uwDLed3pm3SrgXl6HzLfwBydeTAe0TGAuXGXBVjq6PWG8CzAolIoJAW4HxnPHm8Maxh8TjcYmBPBYyVAHCpMHCpMHCpMHCqAceiCDglMq7ilWEKk6TCyFjPfopsKzK6YtVjqdi2W88G9pFuMybikHrQZi/pjT0FG4F6LpY5ebwDPWiwqATDTotdiqeONUQ1jn9KMNdZO4lzEcVQF01xMAiljGWRxGAazqMrzKo2SdLZKas6Rvmfqgzrad67FSnCYUD7bnIAHCzMvYAO5xwqCmG+EThj8r6+M+Z8PFv/b4sXiD/Vo/qW5LPPDUyH+wmSNUJr1SebrLxa/q79b3wkeLL9oak02b9xn9YaCewM+kLZhnLJiIOZSEWNmdy2JEYWplhQrG8oDVpQOa0mMFNi5bEBzRGGow7i1Rc5YWTqrJslwmEsb30NePkR038cwczPYTNbFh8Qz4OQER0RA8AgJ3KgXvGzYJxDC1lZNam/Qgg96uZRJTtN0MhNBFWVZIBMVB6WYVYHMy2lUJeU0U5Nn3WtP11KmFOsLGF/32pMRBBGdoNpzeynTan2SfUXTcgX8R3Wh4wutPfVfWoYu/rh610v9jdVaept37rN6R8G9s7MWZcRAROK9aFFGFCYt6lzXxIjSoRZlpMBmQkBzJGE0lKkN5YwVpTMpmuRD5ZKinHyIYL9XKZqulYv7InhecEQAJEtRZ6Ne8LJhH0AIW5sUbW/Qgg+6lqJVPlWlFFkQl1Gu35vNg0qVcZAlMptOo+k0Vqv42qkUFTZfaCnqu9vQ6gsYX/dSlBEEEZ2gUvSD1RKl9UlVnyw3OL5YfLKSpIPFv9aLmv62Xlz1st5C+VG90Gn19j8uvjSHI/3T4v2gXnH/i8VvFv+oX/9l8Vubh+6zekjBPbSzHGXEQETjvchRRhQWORrZR7QPWEk6VKOMFNhkCGiNWIYqcy5jYmTpTI5GyVC41tlz8iEC/l7laLZWL+77pXnBEQGQLEedjXrBy4Z9AiFsbXK0vUELPujlCSlJHJahmAfpvDRr8qMoKOfzWSDVNJ6Xs3Ci5tWz7uWotPlCy9Ec6wsYX/dylBEEEZ2gcvR9y1L7l0ZlvrK6fvD12XfLb5aDb5bfLf/zf/7GSqdq7fmynjz9ZKVbiweRkunj1WdxGN78UL+Yk0Q+t7nqPqurFNxVcF1q9VY9V3y78eD52luPlt46GaRhGi1+O1j8g9b8Rsx/vHLyi80pKjc//dNXTlRZ/E6PBj4zWv/klVNZzOd/ujzV9g/6q9qOry59rOwLwk9Z3YtIFwi97Fx+z0jCJJdD62ThA1aUDvUyIwU2WwOaQ8Z5OJRZYoM5Y4XpTjBrNeE+GIWTEJGU9iqZ87XCcl/WzAuOiIF0yexu1gteOuxjCKFrE83tTVrwQdebU//mFZnllMXfm02+/41vf8viCYIqdkzPRr7LwvIwbmK6dqW6bcVI3fXGVKux98jGNvuYx7FAOfuBOfBfy6XPjMKyGXtfG/vVM7LFW9HObfJuwW65wSuKTh7J2L5/4hEdQuIh4MvkjeWPjeWPXZY/pluu8JbDl8drw8+N4ecuw8/phsO7Oj2aLjfjaIDCBVCQAbb2VLQA4PrLE2P1E5fVT+hWw0M3ciuFNvqpMfqpy+inNKPrzvKsy/zj2icR+e7byUPh9DnYWlIGch2LQDUX/mBCc9D/Xk8SfLEatDdvoqmrd/aTEsyXN9lLv8EGqvNXZPIXkbbr/BXr/BWlrvxFhegif8U6fzksf0y3XOEtR8Wkc2P4ucvwc7rh8Mdk5/wV6/zlACjIAOz5K9b5y2H1E7rV8NBPyl+xzl8Oo5/SjH4lA3R4vI/JDa40FnsplNP1MGOJOczYbbP3HtneZmDf8Xif/6Gz1XvLA8Jv3lvv2Xs1P9U3p72n89dLMxtu9ux9Xh81/vPVpwP9TZPWni8z4fpIHjOf/fNleqtPAvpjvdGvPk9muRWwnvv+2fpAn/qUn9eWbq/O+bHlz+WK7trAm78bDoyxg+RE1RWI5WFAka8cQfV8MxsxngJENVGhTASYRzwFqNGFvjpQJwPrrOwpGbU5K8d3KBDVQuDpBahqg+tQIKqNzVICz6FAVOuaYmTHQ4EiFYZDx+Juqon9HQoUmavYImlelHlJVodxRP5L2cigwKyOPxQoU8J5KRvZWmBaR54JFN1eyhZ5LmUjWw1M7rsN2daVlcjckeTGeETHAGZKwqBtfTZHdHspW9RyKRuZQiEpwP3IePZ4Y9j22I1qMDAlgotUgDBUmDBUmDBUmDBUAMPQBR0SmFVxZwJFcZQNlTU1vEU3FZhcEWcCRbf3s7kf3Eu6xZiES+pB6xJgS+wpyAjMZwJFt/ez+ePOEzoBMNEiJwJM39kYtT0HQDG2luFChvM8F0EWymkgVVIGZVjNAlHFYS6rqUjnq07lnB74ZrnP1Yf1FIFzkkDgMKF8tokEDxZmMsEGco8VBLHQY5dZhpsfLV6YuYR6zO/ZZM2JquCo8DGzDeOUFQOxQgUxHnbuauFEYVqmZ13Q8ICVpLtVepwUTUXgoQAPw3MVOk49P2Nl6WyRXjZMlQ3vIS8eInDvYwS5GUeuL7qKPFeXsYIj4h948NNs09wxR3HBi4Z9/iBoLcvzAO1Z8EHXqjKfR1k0FzLIs1QGclbGQRWGs2Cq5HQyS7N5OF89y52qSqt41qpSYn0B4+teVTKCIIITVFV+aPZRLLXkTxoCs9aT9TmT9ZaN58vK0bIeVUtN/R11ZA3S91ndoOBu2FlxMmIgIi5CcTorMIwkTILTKm8esJJ0KDgZKbAJD9IaiQqHqavww8jSmeCMk6GUNr6HvHyIoL5Xxbm+3SryXFfGCo6If2TF6WzUC1427BMIYWuTnO0NWvBBL0/1EVWp3x0GIkpmgYyiLMjDWRVMZnE+VZNMhOmq0TuVnNaJCy05FdYXML7uJScjCCI6QSXnB2ZnrzmyxyxeWq1yuvnxUleanbtLyfnB4tfW1S73WXEVHHdnacmIgQitCGlpVpL9fjiwrwn7GisQk8K0X+/wgBWlQ4nJSIFNcJDmUKkapsLaJGesMJ1pzCgZhtbx2UNePkQU36vGVGtJ4rk1ixUcEQjJGtPZqBe8bNhHEMLWpjHbG7Tgg15qzGoyK+ciD5SUk0BqARqUSaj0T1XZNKrKqVB9TGtKmy+0xkzQvgDxda8xGUEQ0QmqMbcPMbefXr48JfJXi1/Up0P+0+LX+s9v1of2/OviN4v3F/+sX39r3vN/6E8+HLx5oaLB4hc2L91n9ZKCe2lnacqIgYjICGnqrrMzorCIUvdh5pwoHYpSRgpsRgQ0RxyrYWQfJpyxsnSmSfNwGDuOj2TlQ0T9vWrS9T0skediHVZwRAQka1Jno17wsmGfQAhbmyZtb9CCD7o+Cedkk9bMXx3u43QV0/1nt6dN2o72cSbDxGbvPbK9zRCy4z7O5T6936923X202cdpO37gQy0G/36lE1/f6rn52nZF/dPFi+W3Y8/OSqIvJMwXe9lZSTRRoUwEmNfBzkoiajPGM+6sJFoI3AMCF66+nZVEG4GbP3ZVpETrMBs9IP7z7awkmtjjzsrM7KdcX24epf79lFQ8YHbF76dUMnHvp6RaC0yv2P2U6e1+Sud9Lm/SrQYm2X1odANzdObBeETHAObHXfZTpkevN4RnPyWVQiEpwP3IePZ4Y1jD4HO6wcBECB7oAIJPYYJPAQw+F3Q0YAbF7aJMs9AReN6iWwrMo5hNlOntJkrn03pJtxiTW0ndZjN69AecgozAvYkyPXq9ATybKKkEwOyK3kSZHm+Mahj7lGZsPRaMlaxkNQvKiRKBLOM8KKexCPI0rmapqiaxrJY8zrG5Z7KCOj53bqL0X2exhQnls43iPViYkbwN5B4rCGKGEDrE/x966GcuCTCXiK0G+L83Q8Kbd9ar2tfFn/pigfrCgnUxyHHR2PpSA+dFY3osGpoCxeAr984eWZ/R+6xuVHA3wofeNoxTVgzEtCliWO0uHDGisBSOIvslVw9YSTqsGzFSYGetAa0Rp6EO/9ZZpTNWls7qRlHs4HvIy4fICvsYk25GputbqiLPtWOs4IgACB5OgRv1gpcN+wRC2NrqRu0NWvBBH+5apthZVcqxvoDxda9ZGUEQ0QmqWftay8ToJQX30s6SlBEDEZH3IkkZUVgkqWctEyNKh5qUkQKbEQHN4V/LxMjSmSb1rWXi5ENE/b1q0vUlUJHnXi9WcEQEJGtS31omTjbsEwhha9Ok7Q1a8EEvb/U62agxp+jc86UqDr0Zh17OrMnpWsW070tVrObeI5vb7Gb7uFTlZb1MielSldhcCkal7fhSlbi+FMwc8Byn+kW4rgcj40g8DrzYs7xeJa6vB5PmJdUvDobHdAaFZ4CXe+qLVuL6ojBpXlL94kA4pyPAHyJ6qF7WluP6yjBzVq9GKVwoBRmF+/KVuL48TJqXVL847H9Ctx+eLJCFw/oalri+Rkyal1S/OMx/SjP/lQG8SSKdLeR1lglj77UyUehsBJixxPznyYFEe4FrjKAJ8Fc635kE9qnJfKa0d/PjenqkmQpfXcR7++6t61vM/SvLN300iM3tLZ/pbzpOWqV6oJlHGJfvUk1UKBMB5u1r+a714TklcwKXLCFmdFxrd6kWAlcewSdqPGt3qTYC1xztOANDtQ6zvgjgv1jEif2YmTOyif2t3Y3NTYSxWC2f0xnXt3aXjAdMqPi1uzKRzrW7ZGuBGRW5djeONmt3l262Wf0m3WpgXt1tpLWejYqjozMPxiM6BjA5EkZY6+V02vbXG8K9dpdMoZAU4H5kPHu8MWx7UEU1GJgIwRN7gOBTmOBTAIPPBR0NmEFxa3eTJB5m1ur5W3RLgXkUsXZ3E3Te8jytl3SLMbmV1G3Ws6UtAacgIzCv3d0Em3UDuNfukgmA2RU5BDd9Z2PU9pibYmw9sijTciryKkiniZmfjtOgCqMoiCaztJqkURKW1ZLHORz/ZrnfdRD13zZMPSiPcZhQPtvA3YOFGbzbQO6xgiAqYtBR/fuvjs+f18P1l2Yovly3O1gN0T+cfXf2vW98f3D/8UDFq922mzH76k3hiRzUK3LN6t2BY3h2n9U/Cu4fxID6n1+fxPjo5qf1wuZ6LkR/+cf1rbPvmpn/euVyfT/srSef15fIbK6eXa43qT+9/a360xNz7YwpHrz71cHlG28O8jAKB1/R31ueEf7Osrrwb/UltV/q//9Y/+htlSEYLN5f/Dr6U22f+RH9TvOPvhisqhYv6zkas77lhXnr7a+N/kS3bm2VuUa3/m03Pxu88fjJ6YM36u/U/97mWtzB4jeLf3hlHbcOsmrZ6vWM0PK+XW3Bzc8NykCqLDwJw+EgWr1n+S+tvmO6Taz+LMrESRwO6gU5vxvaes0pa69BlFsR0xPOBSecKEwLTqSN5AErSXfrTTgpsNVuQGvkIhwqa2w9Y0XpbLmJa6veQ148RG7dx8h+M76PV4sTYs99p6zgiPAHHpRuTYXKfCisyu+CFw77AELgWpabAFq04INe3n04z8JkPg2DeRzOAzlJ8iCb5nkwmc1kmIh5GcpVpuhU+lujlpb+AusLGF/30p8RBBGeoNJ/H0ug37wIPKudOR2i4A6Ba30bxikrBiL67kV8MqIwiU/XamdOlA7VJyMFNvkBmkPIbJhLa4ucsbJ0Jj89q51Z+RABfq/6c32nXuy5I5EVHBEByfrTs9qZlQ37BELY2uRne4MWfNBGf/pk5X4XeLkEpfTRyS263hd4Ee1thow7vMCL6AEJ88BeFngRTVQoEwHm7WuBl7UznpI5gXVthIh1LvAiWggsT8O1qW+BF9FGYGF6V9FJtA5ThAb4T6l8mNssPCNb2OP6LmXWdyXrJRbSv76LigfMp3te30W1FphQseu75O36LuetfG/SrQam1X2ocANzdObBeETHkEgMwpILefR6Q3jWd1EpFJIC3I+MZ483hjUMPqcbDMyD4KEMIPgUJvgUwOBzQUcDJtA9ru+iWgpMo5j1XfJ2fZfzab2kW4xJraRusxkf+gNOQUbgXt8lj15vAM/6LioBMLui13fJ441RDWOf0ow92CKPe9OVwmFC+bov8jCCIOYAoYP6Doo8jA5RcIfAB9A2jFNWDMQUJ2J87C7yMKJ0XeRhROmwyMNIgZ1iBjRHJoZ5Zm2QM1aUg6jxcPIh4vs+RpebMeb6gtHYc2MsKzgiAIIHRuBGveBlwz6AELa2Gk97gxZ80Ie7u8BdEUqwvoDxda8+GUEQ0QmqPrvfXcDoHwX3D1yMUnYX6DcYL76s37DZXcCwnSAkbCewtcspa7sgkste1DUjCpO6ljaSB6wkHYprRgpsbge0RhxrdW2d7zxjRelMXHvW73PiIbLXXrX1+qLU2HPzLSs4IvyRtbV3/T4nHPYBhMC1iev2Fi34oLtdQCVsdFoup166qEnX+wIqor3ASi9U7fa5gIroAQnzwF4WUBFNVCgTAebtawGVsnGekjmBhWOEhHUuoCJaCKz/wpWpbwEV0UZg5XdXzUm0DlPlBfhPJdnQ2gvPyBb2uIDKXG4br++XjP2X25LxgPl0zwuoqNYCEyp2AdXt5bax53JbstXAtLoPGW5gjs48GI/oGMDcuMsCqtvLbeOWy23JFApJAe5HxrPHG8MaBp/TDQbmQfBYBhB8ChN8CmDwuaCjARPoHhdQUS0FplHMAqrby23dT+sl3WJMaiV1m8340B9wCjIC9wKq28tt/cHmCZ0AmF3RC6jM5bb2QPOUZuzBlrCEcwGV99K0bUwoX/clLEYQxCQgdFDffQmL0T8K7h/EePqXLTUr46dGzaq+3veVmY+Dq1cxNgJiwhYx2HfXqxhROq5XMZJ0WK9ipMBOlwNaI45Te3ucsZIcQrmKEw+RqfYxTt6Mltf3s8aeC3dZwRHRDzzEQ5WrOOGwzx8Erq1c1d6iBR/04e5EcN+AlmN9AePrXkgzgiDCE1RId7ATgdEhCu4QuHK2YZyyYiCi7160JyMKk/Z07kRgROlQfDJSYJMfoDkyNYxTa4OcsaJ0pj59OxE4+RDxfa/yc30Va+y5W5cVHBEAyfLTtxOBkw37AELY2tRne4MWfNDdLpaSNro3pPBeiijjJl3fi6Wo9gKrulA52ONiKaoHJMwD+1gsRTVRoUwEmLevxVLWAuUpmRNYJEZoWNdiKaqFwFovXJp6FktRbQRWeXfUnFTrMBVdgP9y4dgedka2sL/FUsJcwS3i1XoFEXoXS5HxgPl0v4ulyNYCEypysZQIN4ullm62Wf0m3WpgWt2HCjcwR2cejEd0DGBu3GGxlLb99YZwL5YiUygkBbgfGc8ebwxrGHxONxiYB8FDGUDwKUzwKYDB54KOBkyg+1ssRbYUmEYRi6U2Qectz9N6SbcYk1pJ3WY9PmwJOAUZgXmx1CbYrBvAvViKTADMrtjFUrrvbIxqGPuUZuzB1nika7GU8F6auI0J5eu8xsMJgpgDhA7q+Ws8nA5RcIfAB9A2jFNWDMQUJ2J87KzxcKJ0XOPhROmuxsNJgZ1iBjRHJPJhJmwoZ6woh1DjYeVDxPd9jC43Y8xoVRIQnlvrWcERARA8MAI36gUvG/YBhLC11HgADVrwQR/uUn3pWmEkYqwvYHzdq09GEER0gqrPzpfqc/pHwf0DF6Ogpfpbl1e3LdZPwyjBL9an3FVta4ZT1mZA5JK9iGlGFCYxLW0kD1hJOtTSjBTYVA5oDZHGw8wqS85YUTrT0u7V+qx4iGS1Vym9vkpYeC6HZgVHhD+ylPat1meFwz6AELg2Ld3eogUftP7v3y8FtXzmV8vfm02+/41vf8viCYJYtmYILZOFDzNy7zIG24pRwOu1U1Zj75GNbfYxj2OBKvfXWiuZGVatm15dZbNaP3Xzw0Et7r4wUqqejf1Ui7WXi09sWFrBiq+ekdm2wqIbbreouFrzIM2ah8S8mKNiRK5flFkHkQj9kipXfKTSSTwdvNBkkB4bpMcG6bFBemyQHhukxwbpsQvpMR1J4ZHglSdNdG6Izg3RuSE6N0TnhujcEJ27iM7pRPDnix7CV1VvaareiXkxh4VossKQFYascJEVZLKtAmcLGa7rPTE4TwzOE4PzxOA8MThPDM4TF84TOg48wyALnprmqaF5amieGpqnhuapoXlqaJ66aJ7SaOp+t6Qxqejf+fLo/lYgu2ud0ssgnC0CM5WUQ43VNmvvka1tppodVx83k2i9xPXFcpZi8fvFl431q8tZITM3YSYzBotf3Pxg8fkyw5pftPj9ycDUPs2cyc3Pbn5uftCGf5+M38xFnEuPiSYqlIkA8/a19Fjo7/zazFaZX2TOoFjOeulvmhmmbQm1/KKZgXph3l0fXVFPTL3Qbf7Twf2/+sZ3grPHt73hje9+83vf/+63v/Uf6m/p79z7xrf/w1+X352eLJey/2Hxual+D+oJt3f0b6snzpIwvPlhFIfhQH/7c9v5F7bmOSU3D3ClGGISy7limmghcMEXfG7Kt2KaaCNwqdeus05E6zDLuiD+C4V0nS9JNbHHJdNqvWDRfzcvmQyY+/GrpTORDkNr9v863Vpg+seulr69m1d47uYlWw2UAbsNNzfTb+aqTDfGIzqGRGLAxf1mAePt3byi5W5eMoVCUoD7kfHs8caw7cEi1WBgDgTPZALiTgGMOxd0KmDexC2UjqJcDVNr0HmLbiowfWJWSt/ey+t+Ui/pFmNSKqnLbGaG/cGmICNwr5S+vZfXH2ie0AmAmRU5cWD6zsao7akBirG1RJxEQggZBUmWpIGcVSIoZ7NpMBXJVM5lOYnnqxZxzhp8s9znWhUzGnfNHSgcJJTONr/ggcLMMdhA7rGCIIp/0OmHD16dcViOOM2ii/dW6x8a49PboehyBcvfm8/0T738v340+Np3v/297y+/fjr59nf+8tvfGhTf/qtvD+6V8/lfzVbLWcww8+aH9YhTLsebNi/eZ/WignsRPkVgwzhlxUAURPcxlGYkYVkO4og0D1hJOlwOwkiBrUZDWiPSI8dc2VjOWFk6Ww+SqCwZ5rmN8CEvISIr7GM0uhmTrq9+FZ67fFnBEREQPJBCNOsFLx32KYTQta0JaW/Sgg+6uzN03OulEx+bdI8LYKZi1CWkgkW0Fjh1BZWQvVWwiPgShr+XChbRRIUyEWDe6xUsQukq19/5oNb/X5gWfbn4g1mI/Z45HUn//7tVeWm17Me2Fki/44X+/9PVz35ZrwX6Ynle0vr31jcKr6pjL2+7yJNv/8fy/zm4/9fVbHA5m/zl92eT/zi4/PZffnew+FCEpjep8NWqlf6pz/XQxRztrv8Nc+K7KZh9Wnex925+YI5y+tiUwfQXPzJLyPVv+J9MYUx/9Utz6/HiE/OVV3ro+/Vx8V8MFr/UwB/bWvqU3NLAicB9KHiihcBJPYwydxfDiDYCZ/N21dxE6zAzdxD/ZaHz+CCihT3WwtL1nHTir4VRyYAqYs+1MKq1QCGBrYUlt7Uw51Wyb9KtBgqKfYw+DMzRmQfjER0DKAx2qYUlR683hKcWRqVQSApwPzKePd4Y1jD4nG4wMAWCh3CAuFMA484FnQqYNvdZC6OaCsyemFpYclsLcz6pl3SLMRmV1GU2I2J/sCnICNy1sOTo9Qbw1MKoBMDMiq6FJccboxrGPqUZu1Q4lZxkVRzMpJwEcpqKICvjeTCZqmQeTpLJXHR7apA0f9sg35DGEgwklK77WhgjCGLWEzqR8S9mhLpaefnJa6PYxaerI4Gcyzc/sXngPqsHFNwD8IkCG8YpK0Yz/Xsw9jEKZiTpuI7FSNJhHYuRAjuDDmmNPBvGrsE3I0pnZawoysRQunY2cxIiAvo+BpKb4WS6rnl4bu5mBUcEQPAYCNGsF7x02IcQQudt0gtIkxZ80PXW5pON0jIqsrONWcLGqgWl99K1SDVZOylrOeTvPbK1wFkoqBr8jVZ5Hy9+p1+X50cu/lAfwIMsdi3+aEpZA1NXqK+WeNcspPpd/W0tNgfiJB6YPTf1v/HZzX/VirI+4+alfrP57eaMyj9sSiT1KqzP6n/O3DJhfu/ShM9XJ9q8cOpQok8lzKd7qZURTVQoEwHm7Wu3VxRIG+kpmRQ4UbYPlUy0EDjphVG/7loR0UbgbNeuupZoHWZmC+A/GaeRc+MU0USWYhHieB2q2cDEi68ERXHkvkOCai0w92IrQdltJch5S+ubdKuBORgl4KFd4xHdbGCa26Xykx297nhP5YdKoZAU4H5jPHu8Maxh8DndYGBCI496XD3lgm4yMMMhyzrmsDRls/QtuqXAPIep6mS3VR1n8LikW4zJffvsDgXZZO4qTnb0usM9VRwqATAroqs42fHGqIaxT2nGrobVq1Bt0mNnw2ppw9DD6tyLkTp9DjOVNqx2rG29R7YWmNKhw2rsatHXrl2slw7+g/7Cr8ztitHqsNx62eBqpF0v5Pui/vPSHJOx/PKXN39bryf9uVnE+IHNP/fJ/gFqh70MkYkmKpSJAPP2NkSuV5W+3gealbdNg79fHwD83s3fBnXt7Z2bd4NXusDJYPkjN39Xryt9PojiE1XvMFsfnWyt3H1pvv9pfUBwfSjK4oXN9adk1wMlzj7G7EQLgYpmP2N2oo1ALbPrmJ1oHUa3APwXizixz+SekU1kGbMDFlo9kjI80S/mcEQZmxdzQqI05ydKZV7MIYoyNS/mJEVZn6QYrpdm5f4loVRfAKUCYSJApLl7JoBqLlAuYGcC8tuZAOeN2W/SrQbKBtRMgEMoG5ijMw/GIzoGMLvvMjOQH73eEJ6ZASqFQlKA+5Hx7PHGsO2ZAarBwLQJnhkAhKrChKrChKrChKrChKrChKrChKrChKrChKrChKrChKoCGKou6H4AJmfkdEOeuobCb9FNBeZozHxDfjvf4Hy2L+kWY/I2qZNtCtL+8FSQEbjnH/Kj1xvAM/9AJQAmY/T8Q368MWp7/oFibD3WE9k8FFUWhLFUgUxlEpRzUQW5nOZSpElYiWrJ45yX+Ga531WkztNYV6s9wJBQOtsMhgcKM4thA7nHCoJYdASd4Pgf9SbD9/Ro15TpzUt95WQ9Sv38L0y6ECfqKLK22n1WWAWHhU8F2DBOWTEQ66Xgw+qbn9y8a0P5GisKz4pRZQN5wArS3YJRToqmIPBQQAfzQma58+hSTpbOVoyGw9y6WeMhLx4icu9jjLkeacpwtbZQOq8Sf8QLjgh/4OERtE0veNGwzx8ErWWtKKA9Cz7oWlSmVZ6oUMwClWV5IKssC6p0nuhPw0lZlkkSl7NnXYtK6ySzFpUR1hMwuu5FJSMIIjSBRWV9+N6n9arR1XLUj42UNItSzWkWdUHl5eDmJ/q7Xy4+Ohnon/jnxS8XHy7+afGrxfu17Fz8Vlhnle+zOkPBnbGz6GTEQERduOh0377IicIiOsPh6lyobdnJiNKh7GSkwKY9QHNkkQ7hobVFzlhZOpOdSg1z6xj6IS8fIrjvVXeur76WnrvMWcEREZCsO52NesHLhn0CIWxtwrO9QQs+6OVsZjKZyLLKAyXCJJCyCoMqjKdBKiZlLKcTqZLuZzOtEkULzxjrCRhd98KTEQQRm6DC81+1uqxPP6tPVDOnPf/stSVVZsvRUl1u315kzlH7n5PwKE5trrjP6goFd8XOspMRAxF04bLTM9fJiMIlO20kD1hJOlSdjBTYnAdojSRPh5m15nbGitKd6Bymjl1JrHiIuL5Xzbm+Ilp6Lv1mBUeEP7rmdLTpBS8a9vGDoLVJzvb2LPiga8k5FXkyEVIEMpxNAinCWVAlKgom82yWlVE4j1P5rGvJKW2e0JJTYD0Bo+tecjKCIEITVHJ+qEWkOYzXLzoH9bLxL/SX3qsPjv6oXvVfH99L1qOMflJwP+2sRxkxEAF5L3qUEYVFj4qhtW72gJWkQz3KSIFNiIDWyEQqh4l1E9oZK0tngjRKhpE1mj3k5UOE/b0qUrFWMMKjSDnBEQGQrEidjXrBy4Z9AiFsbZK0vUELPuhakgpZydl0MgtUaORrEiVBNYvnQT6VaWr0a5iXz7qWpMrmCS1JJdYTMLruJSkjCCI2QSXpB6/sIf3ZUl5+sXheS1JzPNRnNz+/+a/1xsNaYsaZlphH4YmsL6cQrjvuOH2g4D7YWW4yYiCiLVxu1ruOfz8c2Nvla6xALKLTcUHQA1aSDkUnIwU25QFaI07zaKisw4AzVpbORGcshrFrGpSTDxHY9yo65VqjeC5gZwVHhEGy6HQ26gUvG/YJhLC1ic72Bi34oJfzoDMpsygMgzIU80DG8yqo8lAE8zKahplUMyG7F53WmKVFp8J6AkbXvehkBEHEph1Ep29OEyA4GfkVnH9nwcmIgYi0exScjEAsglMOrdMTD1hJOhScjBTYdAdojSjMhRgm1nVzZ6wwnSnOJBtGLsXJyYeI6ntVnOt7eKXnamVWcEQcJCtOZ6Ne8LJhH0EIW5vibG/Qgg+6VpzhrEqryTwOykmUBbKazoJsJpJATCaVnExVloWr3t6h4rSmEa04E6wnYHTdK05GEERsAivO26PYts7N05/e/Lw+/p5eX2f0hoJ7Y2f9yYiBiLtw/emprzOiMClP11QnI0mHypORApv2AK2Rp2k4lK6pTkaWzoSncutOTjxEbN+r7kzWMsVzvS4rOCL+kXWnq00veNGwzx8ErU12trdnwQe9nOis0jTJwywo09k0kLP5LCijWRhEchJORVVO59H8Wdey07oiSMtO75VQVgEOoutedjKCIEITVHb+yhzXbM7mHSz+cfHy5oc37968t/hi8fubd+rrl75YfFwrThWa03xtxPdZiRWceGdpyYiBCK1wadk6tckIxCIwo6F91/QDVpQOFSYjBTbDAZojljIeJvYTrc5YYTqTmHKYuFZwcuIh4vheJeb6bkbpuW6TFRwRB8kS09WmF7xo2AcQgtYmMdvbs+CDriXmbC6SZJpUQRQZORolEy1MJ6pe9jnTX5tlcfczm9ZdkFpi+m8+sXgCRte9xGQEQYQmgsQ0Vz18rmXmD27eqxdtmvs2v2KO6TSHdP7x5udab366eP4n7ZKT0QMK7oGdJScjBiLU7lFyMgKxSM5wGCsbygNWlA4lJyMFNuMBmkNl0VCl1hY5Y2XpTHHGw0za8B7y4iHC+l4VZ7ZWKM476x7xgiPCIFlxutr0ghcN+/xB0NoUZ3t7FnzQK8VZTmNRzoN5VWl1KuJYq9MqDcKJyLNJLGdCrNq8Q8Vpn9TWkjPHuwKC173kZARBxCao5PwHc+PZ8qb2m58uXgzMhWX1TvXNnva6aP7CXHdmbiR79+anf7G65u4j/YXn5jK8+lL3LxefmMM9F58sv2vuNTuK4jA8ipX9Eo/7rK5ScFftrE0ZMRBBGaFNXZezcZKwiFLPPCgjSoeilJECmxQBzdEyD8oI05kqjUQ6TK3TJg95ARGxf6+6NF/rGM+9ZazgiBBI1qXuVr3ghcM+hBC4NmXa3qIFH/Sy3B5No2iq8qBSc3P85yQMslzOAzkJoyQM42ouV+miS2VqXZr+hlToY/VheJ0rU04QRHSCKtNf1FOcL25+ENQnyr9cfFFPdiZH0iEnOfkUnG9XOcmJgYilcDnpXrjJicKiJ8OhfUrtAStKd3qSkwKbygDNEaVSDlP7vPMZK0xnetI9y8mKh4jX+1STan2PjfLcS8QKjoiAZDXpnuVkRcM+gBC0Fi0JaM+CD9qISZ9GdFzSSdKH1hikxWHkY5Oyyba5UBRmKkb0JUOhLVXue5Huka1tRguXY4HK7teLL5dl7sW/Deo66Wo3jzkn08wnDl7ZtVNfIvTh4v3F369mHV8u/jBY/IP+wq8Gi48GkSmJmzsrPxmsdwO9XHxuyuj1n5f69fOtTUIfLD6w+ec+2T8S5p+VMvyLb3wP0vtsJv452USFMhFgXnTzX27eHQ4WvzUTyI0W++ogHg5e3adVt+wnr77ry8Wnq2Zc/PNA//XF4vnNezd/G9STzO/cvDsIXmnbk8Hyp+rDq/Q769nlgVn0MKg/NS1e96fP6h//cf1PfmpuMh0Yc3Trm9d3Fi9sPj0l+7SZSxw+hStp58Qs1cKmSHZYCBfI0TC0z+Y/INvYVL8OG3dVvkTrmknVd/EzwH9SOQ5yPiNbuCVVXVeaY2TqVt7fvoleC7X4RL8I8yLNizIviXlJzUtmXnL9koTmJTIv8eomelVfJ+O4if4h3RdACbDxBfw2epHmjtvov043FygDNuZCWsp4b3Uj/ddXfrZZ/SbdaqAc2MfAwcAcnXkwHtExgFl7g4G/mV7b/npDuCge0ykUkgLcj4xnjzeGNQw+pxsMzJrg0RcgVBUmVBUmVBUmVBUmVBUmVBUmVBUmVBUmVBUmVBUmVBXAUHVB9wMwN38HF6byNHSEqbfopgJT9HegXeviNkS95Xm2L+kWY9I2qZNtRsD+8FSQEWJgWv/+jqFp3QAugid0AmAy/j4qLBmPHm+Mahj7lGbsgdak1NBVkopxkFC67ktSjCCIKU7oxAW+JMXIp+B88FG9DeOUFQMxIQsfSHtKUowoXZekGFE6LEkxUmBnxAHNIWRo35h/xkpyCPUoTjxEsN7HsHIzuFzfNaY8d8exgiPCH3hEBG3TC1407NMHQWurR7W3Z8EHvVx1n4TTUkQiULGcBFKGMqiSMDcr9FWk/0urfOWYDnWkdVpZ60iB9QSMrnsdyQiCCE1QHcmw6H7xclAXz74wtQ/acnxOJyq4E3cWq4wYiGgNF6vuqg8jCYtWdS/H50TpUKsyUmCzJaA5ZJoOI2vfOmNF6Uys+hbjswIicsJe5er6HjLluViOFRwRAMly1bcYnxUO+whC4NoEa3uLFnzQh3owiRoKmye0YJVoT4DouhesjCCI4AQVrAwHk3B6QME9sLPaZMRABFuE2mw5mIQTiEV0ug8m4UTpUHQyUmAzHqA5oshxu/QZK0lnmtMzQcqJhwjqe1Wc60vIlOdWOVZwRBAkK07PBCknGvbpg6C16c329iz4oA/1rGVlX5Op9abCegJG173eZARBhCaC3qSetcxJrODEO+tLRgxEaN2jvmQEYtGXnklNRpQO9SUjBTbDAZrDO6nJiNKZwHSftMyKh4jiexWY6zvHlOcSOVZwRBQkC0z3ScusaNjHD4LWJjDb27Pggz7UO+SUc/9ogvUEjK57gckIgghNUIHJfIccpzcU3Bs7i09GDETYhYtPz7pPRhQW2em8Q46TpEPVyUiBTXuA1oh07hlK18JPRpbOZKf7DjlWPERs36vsXN85pjx3yLGCI+IfWXa675BjRcM+fxC0NtnZ3p4FH3QtO4Ws5Gw6mQUqDJNAJlESVLN4HuRTPWSN5XQS5uWzrmVnYvOElp0p1hMwuu5lJyMIIjSBZecrSvNnS3H5xeJ5LUCfm6WdNz+va+ovlwIzzrTAPApPZGg+E86ZTkYfKLgPdhabjBiIYAsXm60znYxALJIzckpORpIOJScjBTblAVpDSTWMXYqTEaUzxRmLYeySnJx8iLi+V8m5voNMee6UYwVHREGy5HQ26gUvG/YBhLC1ac72Bi34oJe19JmUWRSGQRmKeSDjeRVUeSiCeRlNw0yqmZDda07rnJjWnN7LTqyTviC67jUnIwgiNu2gOX0TmgC9yciv4Pw7601GDESk3aPeZARi0ZvSHioesJJ0qDcZKbDpDtAacSTUMHEJTkaWzgRnkrnnODn5EEF9r4JzfQWZ8lwpxwqOCINkwels1AteNuwTCGFrE5ztDVrwQS8Fp8iTiZAikOFsUi/vDKpERcFkns2yMgrncSqfdS04rTFLC84c7QkQXfeCkxEEEZuggvNDLVNeLD6uj+rdbGh/rcquv/TJoK7Af6G/9F699f2j+shmsx+eXnVn9JOC+2lnYcqIgYjIcGHqqbozorBIUsfelQesJB1KUkYKbEIEtEaUaElq35pxxsrSmSSNkmHkWu3JyYcI+3uVpOu7x5TnNjlWcEQAJEtSZ6Ne8LJhn0AIW5skbW/Qgg+6lqQymUxkWeWBEma+VFZhUIXxNEjFpDTTpVIl1bOuJWlu88QbMvFehWLzBIyuc0nKCYKITVBJ+q9aan7WIkipqpPTFQruil1VJycGIujuQ3VyorCoztB+3sUDVpLuVCcnBTbnAVojEslQWFdCnLGidCY61TB1TIOy4iHi+j41Z7K+oyzx3DnHCo4If2TN6WrTC1407OMHQWuRnID2LPiga8mZVnmiQjELVJaZ80CzLKjSeaI/DSdlWSZJXM6edS057bPgWnNGWFfA8LrXnIwgiNgE1Zz/Q2vJ5/U58S8WHy3vsfu4lph/0F/+2IhQc0Dn4OYn+rtfLj46Geif+OfFLxcfLv5p8avF+0s5+lthVQb3WZ2h4M7YWXUyYiDCLlx16jb7vQ3la6woXKpT2VAesKJ0KDsZKbB5D9AckcqHobShnLGidCc71TCPbHwPefkQsX2vujNa6xTP5WWs4IgASNedrka94GXDPoAQtjbh2d6gBR/0cq5TZPNQVFkQxlIFMpVJUM5FFeRymkuRJmElup/rjKztr4VnjHUFDK974ckIgghOYOFpKuo37y3+aE7l/NK8fFQfzmmu0v28lpXCHAZvbbX7rLAKDruzsGTEQMRVuLD0TGcyorAIS3Mn5TbIA1aQDmUlIwU2qwEaI8ki65KGM1aQzkRlOMyteA958RBhe6+acn2/TeK5r4gVHBH7yJrS1aYXvGjYhw+C1iYp29uz4IM2mtInFR33dZJkomMjeiK8bKrJtrlbFGYqRvslQ6EtVdpWx9Er98jWNqOFy7FAgfdrLeTq0zEX/zaoN4WsTjIyqynN1UCDV6rY9bzjh4v3F3+/ukDo5eIPg8U/6C/8arD4aBAZeWiE4SeD9UlILxefm9M36z8v9evnWwckfbD4wOaf+2T/SJh/VprwL77xPUjvs5n452QTFcpEgHmbI6ieLz7Tz/7Nf7l592Qgln/J5V/K/DUcLH5rrotqNOpXB/Fw8OoxVnXjf/Lqu75cfDrQ7fybxS8W/7r4b4PFf9P/1Cf1SOB3+j0/WHxs89Ap2UPNzODwEFwRO+9FolrYFLsOCxFCdxjaL9N6QLaxqWMdNu6qYYnWNVOk70ZniP9Cx8F4Z2QLt4Sn665yjOjcyuLbV8xr2SVP9IsyL4l5Sc1LZl5y/ZKG5iUyL7F5EeZFrq6YT+rLXxxXzD+k+wKY0De+gF8zL9Lccc381+nmApP6xlxISxnvra6a//rKzzar36RbDUzu+xgGGJijMw/GIzoGMAdvMPBXzmvbX28IF8VjOoVCUoD7kfHs8cawhsHndIOBWRM8lgKEqsKEqsKEqsKEqsKEqsKEqsKEqsKEqsKEqsKEqsKEqgIYqi7ofgDm5u/gwlSeho4w9RbdVGCK/g60a13chqi3PM/2Jd1iTNomdbLNeNYfngoyQgxM69/fMTStG8BF8IROAEzG30eFJePR441RDWOf0ow90EJTMnTVmSQOEkrXfZ2JEaSpUnytA5yG2LHOxAir4LDwAbsN45QVAzHXCh9Ve+pMjCjd1pkYQTqsMzFSYKe6QY2Rxc7BPCPKIVSaOPEQgXsfQ8zNQHN9UVjiufiNFRwR/cCjI2ibXvCiYR8/CFpbpam9PQs+6ENdNZ/YKz1aUyqsJ2B03WtKRhBEaAJrSt5F84zOUHBn7Kw5GTEQUReuOT2L5hlRWDSnZ9E8I0qHqpORApv2AM0hkmFuv/75jBWlM9XpWzTPyYeI7XuVnevrwxLPdXCs4IgASJadvkXznGzYBxDC1qY72xu04IM+1ANCEvuGf607E6wnYHTd605GEERsgupO1gNCGF2h4K7YWXUyYiCCLlx1emY6GVG4VKeN5AErSYeik5ECm/MArSGi4SpjbWtORpLuNKf7fBBOPERY36vkXF8dlniugmMFR0Q/uuR0nw/CiYZ9+iBobYqzvT0LPuhDPSU5GUqbJ7Ti9F9QYvEEjK57xckIgghNUMXZ2ynJnH5ScD/tLEcZMRABeS9ylBGFRY46T0nmJOlQjjJSYBMipDXS3H4E/hkrSWdy1HNGMisfIujvVY+urxVLPPfEsYIjwh9Zj3rOSGZlwz5/ELY2QdreoAUf9KHeTZzYFwtpQeq/wMTiCRhd94KUEQQRm6CClOVuYk4fKLgPdhabjBiIaAsXm213xXECsUhO593EnCQdSk5GCmzKg7RGnNiHAGesJJ1JTs/VxKx8iLC+V8m5vlgs8dwUxwqOCIJkyem5mpiVDfv8QdjaJGd7gxZ80Id6NbEjZmnJmWM9AaPrXnIygiBi0w6Sc7eriTn5FZx/Z7nJiIGItHuUm4xALHLTeTUxJ0mHcpORApvuIK2Rq2GmbChnrCid6U3PzcSsfIiYvle9ub41LPFcA8cKjoiCZL3puZmYlQ37AELY2vRme4MWfNC13gxnVVpN5nFQTqIskNV0FmQzkQRiMqnkZKqyLFz19g71pjWJvCFT/+0kFk/A6DrXm5wgiNgE1pu3x6VtHWqnP735+eJzc4hauxK1eeM+qzcU3Bu7qk9ODETchatPd2WdE4VJdzqmOTlJutOdnBTYtAdpDSnsh46csZJ0Jjtdl0Y95MVDRPZ9qs50fXFY6rkIjhUcEf3IqtPVphe8aNinD4LWIjoB7VnwQdeiMyrzaTxJoiCLa4EqVFBFeRbM8jSMptU0VXL2rGvRaV0LpEVnhPUEjK570ckIgghNcNH5Wb3A87k5jPeLxfOb927+1nIY718s</t>
  </si>
  <si>
    <t>z2eOVRje/DCKl69D5ZhSu8/qBQX3ws5ikxEDEW7hYtN5KjEnCYvWjIahsqE8YEXpUGwyUmDTHaQ5onCYptYWOWNl6Uxuus7ifMiLh4jpe5Wb6+vCUs/9b6zgiPhHlptRohJHs17w0mEfQQhdm+Jsb9KCD3pZVq/SNMnDLCjT2TSQs/ksKKNZGERyEk5FVU7n0fxZ14ozt3lCK84Y6wkYXfeKkxEEEZ2givNX5u6OpeL8Ry09f3jz7s17Wnn+/uYdLTaf648+rmc4Vbj43KkuGYkVnHhndcmIgYiuCHXZUkjnBOpaZDKidCgyGSmwGQ7SHF6RycjSmcjU+cixWYgVDxHG9yoy1xeIpZ4L4VjBEWGQLDJdbXrBi4Z9/iBobQqzvT0LPuhaYc7mIkmmSRVEkZn/jJJJUE4mqt5hNNNfm2mV+qxrhWmf09YSU2BdAcPrXmIygiBiE0FiPr/5gdaRL81R8PUGoec3Px98xZwGbyY3/3jzc603P108/5N2ycnoAQX3wM6SkxEDEWv3KDkZgVgkZzi0nwj5gBWlQ8nJSIFNeYDmiJOhcCpORpTOFGc8zKQN7yEvHiKq71VxirVC8dxCxgqOiIJkxelq0wteNOzjB0FrU5zt7VnwQS/nNKNpFE1VHlRqbg7znIRBlst5oMVplIRhXM3lKlF0qTitC3+04pRYV8DwulecjCCI2ARVnL+odaTWlEF9PPzLxRe1okyOpHVocJ+VT8H5dtaTjBiISArXk57VmIwoTErSLlwesKJ0qCQZKbCpDNAcaT6MXIe9c6IcgpLkxENE670qyfWVNKnniiFWcET841CSnGjYxw+C1qYk29uz4IPW//17/cP613/13/mUouPaTZJKdG3vUT7GKGsybq4IhZmKkX567K0tVdpWaT8A9B7Z2mbUcDkWqO9+vfhyOaO4+LdBPSW12qhjDr9c/H7x5eCVDTn1vUAfLt5f/P1y0aT+8ktzcdBg8QszGXnzzs279WmZXyx+fzJY/IP+uN5hfvNz8/M2L9wne0HCvLBSgX/xje9B+pjNxD8nm6hQJgLM2+yjer747GQQ3fyXm3f1A7/8Syz/ksu/lPlrOFj81rRPowW/OpD6O7/WbWwa/bN6leyP6xb/VL/7xcCyAav+4vP6CNTPzC1Q7+gfeac+O/Xzm58O7v/VN74TnD2+7Q1vfPeb3/v+d7/9rf9Qf0t/5943vv0f/rr87vRkUB9q9YfF52ZAMTDW6N9jZqzf/eogMUtv9cvATFXrd/6o7of6G5dvvDnIQ3sl4pTcOs0c5GgduP52L1AlWtiU1g4L4bI6Gob2FWMPyDY2NbPDxl31MtG6ZjL2Xf0M8V8auk5folq4JXFdl5pj5O2WXti+i14LvGR1s3xaXxDjuFn+IZ0MKAA2ZODb5fMkHubWpW9fp1sL1AAbayFuN85bXTD/9ZWbbVa/SbcaqAX2MXowMEdnHoxHdAxgMt9g4C+a17a/3hAuisd0CoWkAPcj49njjWENg8/pBgNTIHgIBog7BTDuXNCpgGnzO6iYE4nUdZPDW3RTgdnzO9COcnEbcN7yPKmXdIsxGZXUZTaDWn+wKcgIMTDjfn/HQLNuABfBEzoBMLN+HxVkjEePN0Y1jH1KM3aZo9IyynJThpqGgazMqSKR/jTPwjhLslRU+Sr8O6cOPHMotOkD++byN3RswkFC6WyTDB4ozESDDeQeKwhi1hI6B/FBY9rhk9cGoYtPLfMLywmIxd/X93eYI0IsfrjP6gcF9wN8iG/DOGXFQMzF7mMszEjCUoqK7LHiAStJh5UoRgrsVDikNbJ0mLiG4IwonVWisjAZZq519JyAiKi+j9HkZky5vjQs9VwCxwqOiH/ggRC8VS944bCPIASurRrV3qIFH7SpRtWyM1+hO0Xl92aT73/j29+yeIKgKZUNU+vJ1IuZNzFdBSm3rRipuK5J2efO7pGtbXYyj2eherA+Iu7HdTmirhiYszrevfmpzW4t8tKvnpGN3wp8but3i3urWdfsRL/krkBHhZB4CPjQ1lj+2Fj+2GX5Y7rlCm85fEirDT83hp+7DD+nGw7v9fTIupoxy04KF0BBBtiaB2kBwPWXJ8bqJy6rn9Cthodx5PSHNvqpMfqpy+inNKNfiefmr47WSCjnFIf38oE4cjoeZiotH2mjrePFe2RzgYURaEL6sJ6gMBur/q2ug9d18k/rA6T+ePPezTtmCcRHZtLiRb3mQb95dc6pmdQwP1lfNvrzQT2p8XFdRv908XJ18lS9Z2vx6c2P9E++tLnhPtkNzbywl1USi/fNvEyg0b4c1JX8d25+ro1/oT2gScyikc9MXd/M5AwWvzf5uz7ttV48snTKy8UfzE8vPq5XEXxkvnHrmNWig5sfvpL6hza3/DnZLQrlFoBLbOadks0D1mUw0zGmlWxGfo1sJLDMgplpca9OINoIrK/sOodCtA5TSwH4z6rqz8jWsaxM2F7o7TyZimo2MKfilx1EiR6Y5g6Dv043GJhZsSsPstuVB867iN6kWw1MsKgxE7R3PKKbDUyIhFHSpgCYHb3ueM9KAyqFQlKA+43x7PHGsO3BEtVgYEYjT7C5esoF3WRgfsMtI4iVSDMxVK6FBFRjgYkOs5Agu11I4Iwfl3SLMclvnz2iIJvMvXAgO3rd4Z6FA1QCYG5EjpxNX9kYtT1ophhrZnFPNkLYmN3ZuNk6ENXj5tyLIZw+h5lKHDcn9mH+PbK5wLQOHTebkeLnZlisR3R6kGyGuGYU/Af94bv1wPDd1Z4DM3L8WH/+45v3VjsMbFz3yVzAvI8bCKv/Rz1uNQb/evEvA3PItGUg25jDroHX6+DrNxrkf35lXuC5xwN/TvaAQnkAQG8z75RsHlAhIMa8n6763mf15Ipr9Es0F6gO9jP6JdoIFAW7jn6J1mEEAMR/NuvOyNb1Pfqlmg3MjPjRr8vWr9NtBaZG7MA3vx34Oi9Fe5NuNTBDcg18qWYDE+AuA9/86HXHewa+VAqFpAD3G+PZ441h2wNfqsHAtMYx8KWaDExtuIGvTKM8zNQwszr4Lbq1wCSHGfnmtyNfZwC5pFuMSXz77BIF2WTukW9+9LrDPSNfKgEwL6JHvvnxxqjtkS/F2Hr90vI//f2//MZ0OvvWfT04vKjHhoYhqSZxVZVhMJNzFcgsnAdZls6DUoqwFEpG02m5fOdmvGwO73gNf/ZXs01vet0Dy38RnLmsdfSRvYA+ss8EGOymK6CUdds2YywIDt5NDdHYTjRmImqGYBARvNtqoDfesBO98QYD0ivjO3eXdC/k2EuXjMKTUWIPKyP3cxqHYRpan1NbxwMhIDuetnvssHtMtbvZvUB2I7uXtvuNNxyG685HsPyV2bT+elFk70GrwwlcQO4Z2U66kN3oMdnoTvqP3WjTsQhWH0TfcUSfyH1vjQGK++07jtBDNrqTvuMKOySrX5k+7q/vCEffib1Abj3cSd+xGz0mG91J37EbbToVweqDiDvS0XeEF0j223fsRo/JRnfSd+xGm05FsPog4o46GcWR/pOejESs/2QnIylPRkqraZU4+pX0wm6dNNdtv1InYw001kBjDTTWQGMNNNZAYwfQmAzUSZ9TWmdrIv2S6hfNpF8y/aKp3nhDGRXu4DL9lQBWz2GteuOzRl0+Bk7pL3HBdRPHzNFFpJYrqKOh89KWt82UsYcxdTYecJ7/FRR4V1xNdwHsvyLbL9H2wy2/BFh+TbZcYSynB7jVoTQAlBEZpRnS2lGwnegJwP4x2X5gLYASvrRTj9eGbUcmisHG4iyTeZJJGZTZLAxkLmZBOc/nQTmbR5GalWE4mzxr5NRm0Ppm6dwku5/AtQ5fyw2yuvG8ASzBuQLqA+uj1oq+++OWtHbXERvy8taDMhSz6WQeVHKaBzJUWZDnqQiyUs3nYRmm4TQ/mC6SgrqIe1+aw18wH/TVRVJAF+FCXl7FpnJVZtOZ/mao3xtNct2TwijIZ2laxulMzqLpwXSRDNRF3KswHf6C+aCvLpIBuggXct1FxCSZqSgMgyw2781lHlTZbBZEqppN8krmKlUH00VyUBfxT8pb/AXzQV9dJAd0ES7kZRRJwmkpIhGoWE4CKUMZVIn5KRGqSP+XVluHVPTWReIQ0kVi/9y77ZEC+aCnLhKH7V2EDXl1bn7U9yA6jlqd8Hbsnzd3n1TYwSAaYP8V2X6Jth9u+SXA8muy5c2nqX3ktkMnKgAoIzJKB4NogP1jsv2cg+g4Ol4btjWIJhl81wbRcQxKXP7ijeW8KZgP+kpccWt3HbEh112kLKfzapaUQVlFRirHVVDKKgkSqaqkmud5lMqD6SIC1EX8NRqLv2A+6KuLCEAX4UKuu8h8MknmaTUJsnSidVA+ifTQu5wE86SM47KqsizNDqaLSFAXkVh/wXzQVxeRgC7ChXznBtGxAnURhfUXzAd9dZH24sKIDfnuDaJBE/qxf3bb4i+YD/rqIoAJfTZk00e8Td8+YNuB/SJun6l+O/bNVEcyabJ3OnZut/+KbL9E2w+3/BJg+TXZ8uZD1D5g26ETFQCUERmli7Fzu/1jsv2sY+f0eG3Y9tiZYvCdy1eg0lHsq6NYXAH1QV/5ClA6YkO+e6oXVDqKc6y/YD7oq4sASkdsyHduekWASkfCV0ex+gvmg566iACUjtiQ79z0iohAXcQ3X231F8wHfXWR9prCiA15fYLWqsVNsOizyCjaJ6zfFt4J68y9nbGDgRLA/iuy/RJtP9zyS4Dl12TLmw9VuzrfoRMVAJQRGaWDgRLA/jHZfs6BkoiP14ZtDZRIBt81FSxAFSThLadsuwLqg77yF6CCxIZcdxH9S2Qy0xkunqZxIONc5zqRhEEpkkQlocpFdTBjaQGqIAmJ9RfMB311EUAFiQ15OVCK4jyfqklQJmUWSJVmQRZFsyAvJ0k10z+rRdHBdBFQBUkorL9gPuiriwAqSGzId269vwBVkIS3nGLzF8wHfXURQAWJDfnOrfcXoC0hwrs/wuYvmA/66iLtNYYRG3LPRUbRPmH9tvBPWPe6yxVg/xXZfom2H275JcDya7LlzYeofcC2QycqACgjMkoXY+d2+8dk+1nHztnx2rDtsTPF4DsnaUAVJJHjXAH1QV/5ClBBYkO+c5JGgipI0l9Ooe/n66eLSEAFiQ257iIqVlUpMxUIGU0DWSVpUKah7lNShaJSYTI/nGX+ElRBkv5yisVfMB/01UUAFSQ25Ds3AydjUBfxzVdb/QXzQV9dpL2mMGJDvnPz+BI0jy99k9pWf8F80FcXAczjsyH3PHaW7RPUb0vpZe91cyvA/iuy/RJtP9zyS4Dl12TLmw9R+4Bth05UAFBGZJQOxs4A+8dk+znHzlIerw3bGjuTDL5z+QpUMZIK5wqoD/rKV4CKERvy3VO9oIqR9JVPrP6C+aCvLgKoGLEh372xM6hiJP07Hiz+gvmgry4CqBixId+5SVoJ2gki/fPVFn/BfNBXF2mvKYzYkO/eJC1oHl/mWH/BfNBXFwHM47Mh9zx2Vu0T1G8r/wR13mTvcuwMsP+KbL9E2w+3/BJg+TXZ8uZD1D5g26ETFQCUERmlg7EzwP4x2X7OsbMKj9eGbY2dSQYbi2H7kw4jXylQxUj5yydbroD6oKd8pQAVIzbkO7ctTYEqRspfPrH4C+aDvroIoGLEhnznxs4KVDFS/vKJxV8wH/TVRQAVIzbkOzcDp0A7P5TE+gvmg766SHtNYcSGfOfm8RVoHl8prL9gPuiriwDm8dmQ+x47t09Qv628E9Rqa716p2PndvuvyPZLtP1wyy8Bll+TLW8+RO0Dth06UQFAGZFRuhg7t9s/JtvPOnZOjteGbY+dKQbfuXwFqhgpb/lk2xVQH/SVrwAVIzbku6d6QRUj5S2f2PwF80FfXQRQMWJDrrtIHFdqNpdlEOrvBVE0y4IsnOZBGKpQJVkW5So+mC4Cqhgpb/nE5i+YD/rqIoCKERvynas7J6CdH4l3vtrmL5gPeuoiSXtNYcSGfOfqzgloHj/xTmrb/AXzQV9dBDCPz4Zcnx1W/6d/hWj2g6YzQJcak3xR30Cd2O9jHyW+Keowi5r0zoEPyH742Ke+Zdph9JhsdHO0AzIaPOBZ3iTtMFp/g2K1MTvqu+/Y72PXfcoLFPfbd+xGj8lGd9J37EabTkWwui4S9d131MkoUlK/pOajPDsZxSJ39CfphRT99id1MjYgYwMyNiBjF8iYDNJJHzM33RsS/ZrWH+fmnnsXjOmUBJqDiFvJySjVHS4KI0eHU14y2W+HS07G2vqxy/ox2fpOelmi+1RqOpbLftMTCQAH0bHSk1GS687lSoy+yc0wU/32q/RkrI0fO4wfk43vpFulukdp63XfcqZKiv0GYOV8o9T7POM3aZ8/fTvxzZ+GWa/nFAHsvyLbL9H2wy2/BFh+TbZcYSynx6f1wLcdZURGaUapdhRsJ3oCsH9Mtp+z5pWkx2vDtiMTxWBjsZyKOJtm02CS53kgqzIJyrAUQT5R02mZTKt5tjW/0Ns8E6igkXgvld92BdQHfc0zAQoabMh/szqjPlrJItPyvSaw9qn7txPf1H2Y9brhAWD/Fdl+3gTWbvk12fLmU9UeNXfoRAUAZURG6SKBtds/JtvPmsDy47Vh2wmMYrCxOMuncRLKOFBSzQI5jydBnoZhEIVxXuZzFcZqa0zXVwJLQbW01FdYsrgC6oOeElgKqKWxIS/3xESRTJTMgySaqEDKLA0qNUmDeZVOw2mUqcT0vgPpIqBaWuq9N97mL5gP+uoigFoaG3LdRSYqSjIRpYGqZnEgZ3mpu1Omgmge5iqdlHFZJQfTRWJQF/GXhCz+gvmgry4C2BPDhrwcKUXzNEyrPEijWRrIKIyCLJnHQVrO43yaqLmazw6mi4D2xKT+yo/FXzAf9NVFAHti2JA3I6VVkxvN0edIKW3f/fG22RLodkburnV3MFIC2H9Ftl+i7Ydbfgmw/JpsefOpapfnO3SiAoAyIqN0MFIC2D8m2885Ukrl8dqwrZESyeA7l8BA27HMumyMK6A+6CuBAbZjsSHXXaSqJrNyLnI9qjJ3JKfZPCiTUIvnqMqmUVVOhTmY4EC6COhYtTTB+gvmg766SPuGnREb8rJAPonjLJ/NgyRNRCDLWAaZmObBVKokTaNwGiaHM1ICbZJJvbUTm79gPuiri7TXt0ZsyMuFqSfLSsFrfaDpCFAJn+SHeh1Fmp+Mskj/EfqP0n9S/Ud/TbONcv21XH8t11/LHQvGUm9JJY+bHup0nYWGG2u4sYYba7ixhhtruLGGG2u4sYYba7ixA25MhutiHUZqlmBoOv0izItZR5aZtRmZ+UZuvpGbb+TmG7n5hgPTLBIicNZB7tlhDOLaZ/rfTr0T57l7qVYXg7h2+6/I9ku0/XDLLwGWX5MtVxjL6XFwnQ/aUUZklC4Gce32j8n2sw7i8uO1YduRiWJwPVGtBXuVyCSo0krn4XkugmoSToJJVlbTaF5Oy3Ir9fYlvzJQuSvz1n62XQH1QU/yKwOUu9iQjfw6edb7Mo2svZ7zduat5+TutaAd5C2A/Vdk+1nzFsDya7LlzYepPVju0IkKAMqIjNJB3gLYPybbz5m3suh4bdhW3iIZXE8+zsNwnk5mQTbJVSDDSWTOoZNBHMokUbMsmVTTZ4eSt0AF1sxbbdx2BdQHfeUtQIGVDXldPTuQ4lnWXkl8O/NWEvNe18kD7L8i28+bv9otvyZb3nyo2oPmDp2oAKCMyChd5K92+8dk+1nzlzheG7advygG1xbH1aSMZ5MgzUtzemocBlU+D4M0UmE1n8xkmh/OuAt03GUmca6A+qCv/NVe6x2xIR/KuKu9gPh2prw+6PUuPYD9V2T7efNWu+XXZMubD1N7sNyhExUAlBEZpYu81W7/mGw/a95Sx2vDtvMWxeB63DUpp6nIomAm8iiQ02kc5HOtwiflRMTJJJJZvmqTA8hboIp+luBcAfVBX3kLUNFnQ16Pu1bYvY+72kvXb2e+0nUUbp2p1Gn+arf/imw/b/5qt/yabHnzoWoPmjt0ogKAMiKjdJG/2u0fk+1nzV/p8dqw7fxFMdhYHAmziWMeBXEq80DGYRlUpZhrFV5GVRRl8yw9nHEXaH9y5j19dNsVUB/0lb8A+5PZkP+m3zPks/bS9NuZr9IbqV4X2QPsvyLbz5uv2i2/JlvefIjag+QOnagAoIzIKF3kq3b7x2T7WfNVfrw2bDtfUQy+a/kqB63PyP3n3NrWioJ80FO+ygHrM9iQe85XeXtJ+u3cf2Zt7HxUO8hXAPuvyPaz5iuA5ddky5sPUXuQ3KETFQCUERmlg3wFsH9Mtp8zX+XR8dqwrXxFMvjO5asYlK9inCugPugrXwHWZbAh952v2kvQb+feWw6V+0DcLvJVu/1XZPt581W75ddky5sPUXuQ3KETFQCUERmli3zVbv+YbD9rvhLHa8O28xXF4DuXr0DrMHKJcwXUB33lK8A6DDbkvvNVe+n57Vx52XvdrwWw/4psP2++arf8mmx58yFqD5I7dKICgDIio3SRr9rtH5PtZ81X6nht2Ha+ohh85/IVaP2FWTiAcQXUB33lK8D6CzbkvvNVe6n57dxbuVW97tMC2H9Ftp83X7Vbfk22vPkQtQfJHTpRAUAZkVG6yFft9o/J9rPmq/R4bdh2vqIYfOfyFWi9Re6/7dWyaQnmg77yFWC9BRvyer3g6rHse71g3l56fjv3VnLD2PnodpG/2u2/ItvPm7/aLb8mW958qNqD5g6dqACgjMgoXeSvdvvHZPtZ81d+vDZsO39RDDYWyzLM88TcmFpOVSAncRhks6QKZnMxVXEZRcnh7DM2K98ACUy/DecMqBd6ymCap7XHjvigN0eUbd1r03QF6HQrkifqI8oMhH5J9UsUmRdzlWWU65fYfBSbj4T5SJiPpPlIOk4ri0Jv/TeEFzBAzPAYVR9XZkDHBnRsQMcGdGxAxwZ0bEDHBnRsQMcGdOwCHdNBm5EMBAoOZsujywyoeTWHkhlU81pfhhmZo8sMrXmtPxb1x6L+WNYfO5DrWw4JzDX0s4OQadotrQ+8jnLeInbY60QDhOCKTsAq1SC2X9NtVxjb6RFzkzvaYUZ0mA7kGoRgTCfgFGzaquONaZYwRbG5nnMoxUzESgXK3EMm81kaVNUk02PRfKZHn3GWlwdz6rAJtyDN5i1wbzsD6oXeNFv7KoQRH3TdTRI5TdPJTARVlGWBTFQc6J+u9E+V06hKymmmJofTTUC1f/02rMdgXuitmwCq/3zQdTfJSqGSUGZBlc31e9PZLMimsQwmaVKGKtL/elgdTjcBnXOv34b1GMwLvXWT9hrxiA96OfrT/6WRLAMZiTCQYpIEeZTo8JOkYRWruZxFyeF0E1BlVr8N6zGYF3rrJoDaLB90z8VZPYxspddN7i/0JE36bkdN7QRXdAKJJoDbfgmx/Zpue/NhapfpO3SlAgIzosN0MmpqJxjTCXhHTenxxjTLqIli891LYKBSrX4bzhlQL/SWwADFWj7oOyiHc1g38VaHbB6DeaG3btJewhvxQd+9OZgIVjeL/Nt4LR6DeaGvbhJB6mZs0Ou1H+usYv7qtaoQtW/k1H3AXzvp9ZheCMEVnUCiCeC2X0Jsv6bb3ny62gXZDl2pgMCM6DBd6GMAwZhOwKqPo+h4Y9q2PibZbIyWySSs0qzUOU9EgYxVHmQqk8E8m4b5pJqIWXI4wieKYRnNX2KxHGAL80JvGa29Fjbig667SZjMqniqRJDkWhrJWMRBNlezYFJWs1SpXIXZAXUTWPEp8tdhLB6DeaG3bgIpPrFBb4RPtiTvfTlF1F5k0X1Aet2xddN5t8KnneCKTsAsfNptv6bb3ny62jPtDl2pgMCM6DCdCJ92gjGdgFf4yOONaRbhQ7G5nvEJVRZVZRiUcx3RZCTDIA/zLJiXU5VNolxVYfnsYDIarAAaKZwzoF7oLaNBCqBs0HU3qfKpmEWTKEhCqUWSzGZBLrI8yCdKpDr/yUoe0IwPrABq5iZwHoN5obduAimAskEv15AqNYurmdLfrPR7K6VFkpzqzpULGcVZNMny7HC6CejCb/02rMdgXuitm7QXx0Z80MtoArpC/lC6CawaFfmPLbY9WCAv9NZNINUoNujNMCp/diDDqPaqi+4D3qpL1OvxzRCCKzqBRBPAbb+E2H5Nt735dLXr9h26UgGBGdFhOhlGtROM6QS8w6j8eGOaZRhFsbnOaLM0qdJ5GEyz2EwiRiIow0oFUznNqzDLomwePTuUjBbDKqKxtzi47QyoF/rKaDGkIsoGvSwzhPG0nFezIDKrkqUKp0E1k9MgibJQmq2HIj+gbhLBuom35mLzGMwLvXWT9uLYiA/67g2jYlg1KvYWZmweg3mht24CqUaxQS/3uMyzMJlPw2Aeh/NATpI8yKZ5HkxmMxkmYl6GMj2cbgKrRsXewozNYzAv9NZNINUoNui+V6XH7fPtusmlj171u+oGQHBFJ5BoArjtlxDbr+m2Nx+mdpm+Q1cqIDAjOkwXoyYAwZhOwDpqik3xaWXa9qiJZPPdS2Cw4pN5LjDOgHqhtwQGKT6xQd9BOQwrPsXeOozNYzAv9NZNIMUnNug7OLiGFZ9ibx3G5jGYF3rrJpDiExv0HZyqgxWfYv+uIIvHYF7orZtAik9s0L2Pmtqn13WTe6eqlftW+k5GTe0EV3QCiSaA234Jsf2abnvzYWqX6Tt0pQICM6LDdDJqaicY0wl4R02m1rQyzTJqoth85xKYgNWahH8j2pYzoF7oK4EJSK2JDbruJlMZpypNo0DEkyyIotksKKMwDqZRkkTlJKyqfOtQy/66CazWJLxlF5vHYF7orZtAak1s0HdvcC1gtSbhLbvYPAbzQm/dBFJrYoO+e1N1AlZrEv575Sweg3mht24CqTWxQa+X7MWrpZu9L9kT7fPtug9InzuiXm8EhRBc0QkkmgBu+yXE9mu67c2nq12379CVCgjMiA7TxTAKQDCmE7AOo4QpPq1M2x5GkWw2Rucyl2WiwiBLZ2kgRRwHZVymQTIthf6/SqPsgIQPrPgkFM4ZUC/0ltEgxSc26KU+zssqD0MRqEoKc4ZoGmRVaZRSksRZqOQ0nR1ON4EVn4S3DmPzGMwLvXUTSPGJDfoODqNgxSfhrcNYPQbyQm/dBFJ8YoO+g8MoWPFJeOswNo/BvNBbN4EUn9ig+y4+ifb5dt3k/rnrfs+LABBc0QkkmgBu+yXE9mu67c2HqV2m79CVCgjMiA7TyaipnWBMJ+AdNZni08o0y6iJYvOdS2ASVnyS/jqMZRcrzAt9JTAJKT6xQd89OSxhxSfpr8PQ98T31U0gxSc26Ls3uJaw4pP012FsHgN5obduAik+sUHfvak6CSs+SX8dxuIxmBd66yaQ4hMbtCk+GfBnPdecZPs0u2566fNCJJte6HT0BCC4ohNINAHc9kuI7dd025sPVbtc36ErFRCYER2mi9ETgGBMJ2AdPUlTc1qZtj16ItlsjK7yqSqlyIK4jPJAJtk8qJRJeonMptNoOo3VASUyWM1JKpwzoF7oLZFBak5s0HU3UUkupvN8HoTxVL+3VBMti0SsB15Zot8n5lUyO5xuAqs5SX/5xeIxmBd66yaQmhMb9B0cZMNqTtJffrF4DOaF3roJpObEBn0Hp+xgNSfpL79YPAbzQm/dBFJzYoPuu+Yk26fZdZN7p6yTsEnf7aipneCKTiDRBHDbLyG2X9Ntbz5M7TJ9h65UQGBGdJhORk3tBGM6Ae+oydScVqZZRk0Um+9cAlOwmpPyll+2nQH1Ql8JTEFqTmzQd08OK1jNSXnLLzaPwbzQWzeB1JzYoO/e4FrBak7KW36xeQzmhd66CaTmxAZ996bqFKzmpLzlF5vHYF7orZtAak5s0PWGp2XmaXaEpi++N5t8/xvf/haDK4qnj76iGdXJKEoilwekzwPR1qX3TrkLwoArXmP72Ng+dtk+ptveFLog28Fa15iuJa22Xb86jDffp1hvzN/awN95j0pcnUl5keAXv4MI0J3JbvaYbnY3/chudt3DCHbXPWi1DVP3wH5L4qp9olxnJv9Eeb+n2QAIrugEEk0At/0SYvs13XaFsZ0ekjb5vh1mRIfpYnIHQDCmE7BO7qjkeGOaJU5RbK4nd4QM53kugiyU00CqpDRHmswCUcVhLqupSOf5s4PR2bAilvLXc2x77EFe6E1nQ4pYbNDLJYDzKIvmQgZ5lspAzrQcr8JwFkyVnE5maTYP54dzZZSCFbGUv55j8RjMC711E0gRiw16OWoXVanfHQYiSmaB1L8vyMNZFUxmsR7UTTIRpsnhdJMc1k288+Y2j8G80Fs3aS9wjPig715FIYFVFBL/zTX0g1166iYJpKLABr2c3Dk5gLmdJDZzO9K8pPolDV2u8F9JA99IBwKCS9/lwFxTjA3F2FCMXRRjOkUn43RNYV5l/ZqaVwdIPStEIKkLFKuO9qzngXvSPgmvo453Ej7u98pDAMEVnUCiCeC2X0Jsv6bbrjC20yPYJpa3w4zoMF0M3AEEYzoB68A9iY83plnCFMVmY3QZyYlUExGIcqICmWvllSXTLBDJVE6jeZVVYv7sYDQUrECWeGtF286AeqE3DQUpkLFBr08EXNVJez8QMGnfj6K7gPR6o98DAQEEV3QC5oTWbvs13fbmw9UeQXfoSgUEZkSH6SShtROM6QS8Cc1szlqZZkloFJvv3qQAbHNWonDOgHqht4QG2ZzFBr3UPSrO4lkaBrOyKgOd77Igm2XzYFrpn5ioKi7j6nC6CWxzVpJgPQbzQm/dpL3MNuKD7ns7RdJertFN7i3XJD0P3NsJrugEzDqn3fZruu3Nh6k9se7QlQoIzIgO04nOaScY0wl4dU56vDHNonMoNt+9BAYrpSbequK2M6Be6C2BQUqpbNB3UA7DSqmJt6po8xjMC711E0gplQ16Pb+TPzuM+Z20vWL4tn6Tzxuxe0FxF7oHQHBFJ+DVPQDbr+m2Nx+u9kS7Q1cqIDAjOkwXugdAMKYTsOqeNDzemLate0g2G6MncS7iOKqCaS4mgZSxDLI41LkwqvK8SrWgmh3OhWgpbH9g6i0ybzsD6oW+EloK2R/IBr3UPXKappOZCKooywJpLhQuxawyRxROoyopp5maHE43iWHdxF/ks3gM5oXeukl7NXbEB3339gemsPJn6q8EWjwG80Jv3QRS/mSDXg62kzgsQzEP0nlppHQUBeV8PgukmsbzchZO1PxwBtuphHUTifUYzAu9dZP2UtiID/p2G+mW+mj6ArSmjeSK5VLDNDkZRZlyeUB5PdDzzj9t+9hl+5hueyfLCrXt+tVhvPk+xXpjfu/bSFOzZDVzPlP+Ckzac48yC1Udto/ptnfTo+rFqQ7j6x5HsL42f2l9/3M97dP6OlF5p8jjfq+pARBc0QkkmgBu+yXE9mu67QpjOz1CbdJ/O8yIDtPJXE87wZhOwDvXY2pcqavGRbK5HsSDthYeiuyG1bhSb7ln2xlQL/QmuyE1Ljbou7erNIXVuFJvucfmMZgXeusmkBoXG/Td21WawbYLZv5pdIvHYF7oq5tk7fWOER/0sptUk1k5F3mgpJwEUvehoExCpX+qyqZRVU6FOpxoksEKDJl/rt3mMZAXeusmkAIDG/S6Yr6KFuavXkdRWfs8uu4C3nl00e9KQQDBFZ1Aogngtl9CbL+m2958uNpl+w5dqYDAjOgwXYyiAARjOgHrKCozW/xWpm2Pokg21xPSsZKV1Nq5nCgRyDLOg3IaiyBP42qWqmoSy8MpXmSwGlfmLfdsOwPqhd4SGqTGxQZ9B3UPrMaVSazHYF7orZtAalxs0IdzmkZWl7hy/ZKbczVyV7ErU15XxE1XdFuayOpiV65fcnOuhoNiTKfopEiRLcteuXnN65M1HCB1cYxAUuewVUd71rfUbt+SpKNO4qXs92ZIAMEVnUCiCeC2X0Jsv6bbrjC20yPYJpa3w4zoMJ1I7XaCMZ2AV2qbYzBXplnCFMVmY7QqU50s8ypIp4lJpHEaVGEUBdFkllaTNErC8oCkNuwYzMxbvdl2BtQLvWmo9jLbiA/67m3KyWB1rcxb4rF5DOaF3roJpK7FBt335uOsvVyjm9xbrkniJn23Oqed4IpOwKxz2m2/ptvefJjaE+sOXamAwIzoMJ3onHaCMZ2AV+eYu9xWpll0DsXmO5fAclgpNfdfa7blDKgX+kpgOaSUygZ99+RwDiul5v5rzSweg3mht24CKaWyQfetc/L2apFucm/lJen3MDkAwRWdgFfnAGy/ptvefJjaE+sOXamAwIzoMF3oHADBmE7AqnNyUzpdmbatc0g2370EBiud5v6b9CwHZsG80FsCg5RO2aDvoByGlU5zifUYzAu9dRNI6ZQNuned037iom5y5aXvt24FILiiEzDrnHbbr+m2Nx+m9sS6Q1cqIDAjOkwnOqedYEwn4NU56nhjmkXnUGy+ewkMdhpqnuCcAfVCbwmsvdo64oO+g3IYVt7MvZU+m8dgXuitm0DKm2zQt8cgyGZHaPoCtBiJ5IrlGrE8PxlpGPMizIvUL5HSL3GiX0Tqco2/pAc/DgzEB09eyyVjGmpsoMYGamygxgZqbKDGLqgxHaqZzEBQ4Hy2WkGWm7Vjhsq8ivrV3M1kwPRrbNaXudDMT1PYDNzqWAUToHpdU5a3l5d0mPKWaoT7oIJOtHk7wRWdQKIJ4LZfQmy/ptuuMLbTI94m+LfDjOgwnWjzdoIxnYBXm5ta68o0S5ii2GyMziaREEJGQZIlaSBnlQjK2WwaTM09PXNZTuLD2d0ch6Baq34bzhlQL/QkujRPa68d8UH3PLmkjW+l103uLyH2emIvhOCKTsCawCC2X9Ntbz5M7RFzh65UQGBGdJgOEhiEYEwn4Exg+l8+3pi2lcBoNtc6O6zkJKviYFbvLpqmIsjKeB5MpiqZh5NkMhcHM7kUhzEsgfkripZzBGFe6C2BtZd+R3zQ6w31q1bv61gyR1P7d132evyYtqG13a7oBMyJq932a7rtzYeoPVLuq8uM6EZ3kqDa3T6mE/AmKHG8Mc2SoCg2ryLPqqf3PRcUh+1Vah2RpA9U9nqUB4Tgik7AHJHabb+m264wtpMj0m1Kb4cZ0WE6iVTtBGM6AW+kkscb0yyRimJzHaZENg9FlQVhLFUgU5kE5VxUQS6nuRRpElbiYApwcQi63FS/DecMqBd6k9LtqwtGfNB1N0mrPFGhmAUqy/JAVlkWVOk80Z+Gk7IskyQuZ4fTTUDlfP02rMdgXuitmwDK+XzQy2iSTCayrPJAiTAJpKzCoArjaZCKSRnL6USq5ICiCaicr9+G9RjMC711E0A5nw+67iZTkScTIUUgw5kexItwFlSJioLJPJtlZRTOY3OrwqF0E9BuZf02rMdgXuitmwB2K/NBL49okZWcTSc68oSmSyVRElSzeB7kU5mmpk+FeXk43QR0Cq9+G9ZjMC/01k3aq6sjPuhlNJlJmUVhGNSXqsh4XgVVHopgXkbTMJNqJuThdJMIVs6MvJU964MF8kJf3SSClDPZoJfdpErTJA+zoExn00DO5rOgjGZhEMlJOBVVOZ1H88PpJqCto/ptaI+BvNBbN2kvdY34oOtuMpuLJJkmVRCZM51llEyCcjJRdaqa6a/NsvWk1yF0E1htKfKWWWweg3mht24CqS2xQa+6iTn2spwH86rSXUrEse5SVRqEE5Fnk1jOhEgOp5uA9vHpt+E9BvFCb92kvS4x4oNeJp1oGkVTlQeVmpvB8yQMslyaVfFhlIRhXM0PZxtEHIH28em3YT0G80Jv3aR9UnjEB933UquofXJRN7ny0Sfua/K6qA8BCK7oBBJNALf9EmL7Nd325sPUXpDYoSsVEJgRHSZBw2C70hMIwZhOwFofitTxxrTt+hDJ5ruXwGAT/5F3DnzbGVAv9JbAIBP/bNBLOZyE01JEIlCxWZYlQxlUSZgb6ay0co7SyqxWP5RuApv4j7xz4DaPwbzQWzeBTPyzQd/BwTVs4j/yzoFbPQbyQm/dBDLxzwZ9B6fqYBP/kXcO3Bp/QV7orZtAJv7ZoO9efSiGTfzH/uMTLR6DeaGvbhJDJv7ZoO9efSiGTfzH/q0TtgcL5IXeuglk4p8N+u4tSohhE/+xdw7c6jGQF3rrJpCJfzbou7fEKYZN/Mf+s+wsHoN5obduApn4Z4O+ewsmY9jEv5kLxXkM5oXeuglk4p8N+u4tv45hy69NU+I8BvNCb92kfVJ4xAfdd30obp9c1E3un1zs9SwZCMEVnUCiCeC2X0Jsv6bb3nyY2gsSO3SlAgIzosMkaBhsV3oCIRjTCVjrQ3FyvDFtuz5EsvnuJTDYxH/snwO3HKsC80JvCQwy8c8GfQflMGziP/bPgVs8BvNCb90EMvHPBn0HB9ewif/YPwdue7BAXuitm0Am/tmg795UnYBN/Av/HLjFYzAv9NVNBGTinw367tWHBGziX/jnwC0eg3mht24Cmfhng7579SEBm/gX/jlw24MF8kJv3QQy8c8GvTx0rMyn8SSJgiyu3ytUUEV5FszyNIym1TRVcnY43QQ28S/8c+AWj8G80Fs3gUz8s0HfvbUrAjbxLyTWYzAv9NZNIBP/bNB3byWcgE38C4X1GMwLvXUTyMQ/G/TdW34tYMuvBXKuEeqF3rpJ+6TwiA9a//fvT5bHzfV6zpxon2TUTe+dZJRx0wud1okABFd0AokmgNt+CbH9mm5786FqL0zs0JUKCMyIDpOgYbBd6QmEYEwnYK0TifR4Y9p2nYhkcz16EmkZZblJddNQRzMz5or0p3kWxlmSpaLKV0/IISQyWAFA+E+/2XIG1Au9JTJIAYAN+m/qi570j2/vFGr6AnRnEMkV9UVPsQxd8N5pbQm/bBlEAI879VVOLrPHdLObkQZkNjjYLC9rcpltog3F7trwVcd51o8osocL6T/ept/7KmT7dP0VnYBX/ABsv6bbrjC2kyOPPd6Qje5C5ADcPqYTsIocGR5vTNsOOySbl9cU/s1y2K4HZ9OqnGVBNc/MiG0+DfJoOg3CMg1TlaciCbduWGr2s9lfzTZ9Z69dbZ3kXBle2qsthrJJDiW19kkQILxbrnKgsyMyUTX7KYgK3FXXKdJOZb7DgGW4krbuCZICu3RPc8Vmnrj6qLvUE+WZhJ8iAcJAd0Jzk6bD9jHd9m7UWH1dpsP4uisSrH9Fk/XYo6SrM7kLQgYJvuQURIDuTHazx3Szu+lHdrPrHkaw+zB6kHL1IOlFynruQXazx3Szu+lBdrPrvkWw2xgue+9BzoSmvEjwC35ABOge5MxlVLO76UHuLEax+zBikOOacQ3rQ1Jhzz3IcZE43exuepDrknCa3YcRgzKtrJW5vD4JzYu5vD6NzYv5Rma+kbsmQKV7/t9Qw2/3AUGiO1mmdbcyN9hrsrEhGxuysSEbG7Kxi2xMJ+umH2ZGlav6EnvNZl7rS+w1nXmtv5vV33UA1n2ZQFjXblYd9Vk/s6mbErNsr0+8rd/kpXTPdXcyy9pOcEUnkGgCuO2XENuv6bYrjO30CLgudQFgRnSYZrBrh8F2pScQgjGdgHf2NTvemGYJUxSbjdGZ1m1JJmVQZrMwkLmYBeU8nwflbB5FalaG4WzyrJF7eysxS9jmIemugFmdAfWC9Zlrhd/DcwfZPMQGvVxSV4ZiNp3Mg0pO80CGKgvyvL5GWM3nYRmm4TQ/mG6iYJuHlLti4fAYzAt9dRPVXloa8UEvF+iqXJXZdKa/aQ6zjCa57k1hFOSzNC3jdCZn0fRwugls85By76NxeAzmhd66CWTzEBv0co/ZJJkps4Mki817c5kHVTabBZGqZpO8krlK1eF0E9jmIeWd4rd5DOaF3roJZPMQG/QymoAOyT2UbgLbPKS88/jWBwvkhd66CWTzEBv0ah131PsoW7VvjtFtL71ukE03dDrKBhBc0QkkmgBu+yXE9mu67c2nqn1Yt0NXKiAwIzpMF6NsAMGYTsA6ylbmwvCVadujbJLNd26UrWAb15TCOQPqhd4yGWTjGht03U3KcjqvZkkZlFVkNHRcBaWskiCRqkqqeZ5HB3REh4JtXFP+ko/FYzAv9NZNIBvX2KDrbjKfTJJ5Wk2CLJ1ocZRPIj02LyfBPCnjuKyqLEuzw+kmsOPDlL/OYvEYzAu9dZP2zUwjPug7OMqG7R5S/nlui8dgXuitm7QXJEZ80HdwlA2rACj/ZLjFYzAv9NZNIBUANui/6fk03aR9Yvtt/SYPfR73O7gGEFzRCSSaAG77JcT2a7rtzYepfTS3Q1cqIDAjOkwXg2sAwZhOwDq4TswGosS1gYhk851LYAms6JT46i8WZ0C90FcCSyBFJzbouyeHE1jRKfHVX6weg3mht24CKTqxQd+9OZgEVnRKfPUXq8dgXuitm0CKTmzQd28OJoGdWJdIrMdgXuitm7TXIUZ80Hdv4j+BTfwnCusxmBd66yaQiX826HoPvCFfgpvc0mslO2mf39ZdwD+/7d6N28lgu53gik4g0QRw2y8htl/TbW8+XO2jux26UgGBGdFhOhlstxOM6QS8g21zdc3KNMtgm2Lz3RtFwWpPib8MY7tJF+SF3hIapPbEBl13k1DEMplpZRRP0ziQca41kkjCoBRJopJQ5aI6oDkZWO0p8ZdhLB6DeaG3bgKpPbFBLwfbUZznUzUJyqTMAqnSLMiiaBbk5SSpZvpntaA+nG4Cqz0lOdZjMC/01k0gtSc26Lu3+ySF7T5J/RsxbBcug7zQVzdJ2+sSIz7ou7f7JIUVAlL/RgyLx2Be6K2bQAoBbNB9V7LT9vlt3eT++e1+j7wEEFzRCSSaAG77JcT2a7rtzYepfTS3Q1cqIDAjOkwXg2sAwZhOwDq4TuPjjWnbg2uSzXdP58BqT6m/DLPlDKgXektgkNoTG/Qd1Dmw2pOprOE8BvNCb90EUntig667iYpVVcpMBUJG00BWSRqUaaj7lVShqFSYzA+o9pTCak9mhgnnMZgXeusmkNoTG/Tdm6pLYZtOUt/0ttVjMC/01k3a6xAjPui7N/Gfwib+U98cuNVjMC/01k0gE/9s0L0Prtvns3WT++az87jfyjWA4IpOINEEcNsvIbZf021vPkzto7kdulIBgRnRYToZXLcTjOkEvINrc9JZ6jrpjGTz3UtgsFpTmuOcAfVCbwkMUmtig757cjiD1Zoy/9YKehG3p26SQWpNbNB3b3CdwWpNmX//hcVjMC/01k0gtSY26Ls3o5vFsG7in96mF3H76ibtdYgRH/Tdm9HNYBP/mX8OnF7E7aubQCb+2aD7Hlxn7fPZusmll959uU4Xg2sAwRWdQKIJ4LZfQmy/ptvefJjaR3M7dKUCAjOiw3QxuAYQjOkErIPrzBxwtjJte3BNstkYDds6dygJDFZryhTOGVAv9JbAILUmNui7t2syg9WaMn/ZxeIxmBd66yaQWhMb9B0cXMNqTZm/7GLxGMwLvXUTSK2JDfoOTtXBNplk/ulti8dgXuitm7TXIUZ80Hdv4j+DTfxn/jlwi8dgXuitm0Am/tmg+x5c5+3z2W/rN3np3feOdjG4BhBc0QkkmgBu+yXE9mu67c2HqX00t0NXKiAwIzpMF4NrAMGYTsA6uM7NAWe564Azks13LoHlsFpT7i+7bDkD6oW+ElgOqTWxQd89OZzDak25v+xi8RjMC711E0itiQ267iZxXKnZXJZBqL8XRNEsC7JwmgdhqEKVZFmUq/hwugms1pT7yy4Wj8G80Fs3gdSa2KDvXuU6h20yySXWYzAv9NZN2usQIz7ou1e5zmET/7nCegzmhd66CWTinw26PuCs/k//CtHsC013gC4CJ3ljeY97br+bXn/DN6OdKXjBEUQAHxYtL2l3mD2mm90cCIHMBo+FVjewO8w236HYbQyPeu9BmasH+Sa7MwUfVYMI0D3IbvaYbnY3Pchudt23CHbX1aXee1B+MhKZfpFRqF+E0C+pMy75D2DKe+5V+cnYoIwNytigjF0oYzpKNz0tP3njDcPyxhsGRr9qGv3qwKn7JoHnEGKYCHW/E1GsX4Ry9TvfZHuWhL32OwMwNgBjF8CYDtBFbzMA+lUT6FcHQt0nCQyH0cMi3blCYV4c+VK7wAsX9dzDIt25NMDYBTCmA3TTwyLTt0JRv7qyKI3BQKwawQj6Ps8r1pitg5u39Zu8lFsXEHdZO4MQXNEJJJoAbvslxPZruu0KYzs9Yq3GyRCYER2mGbXaYbBd6QmEYEwn4KydaauON6ZZwhTFZmO0nIo4m2bTYJLneSCrMgnKsBRBPlHTaZlMq3m2NSfR1/yUCEFFEf02nDOgXuhpfkrztPbaER/036wO4I9Wmsm0fr8ZrX3yX/cB3+R/lvR6SCCE4IpOwJzR2m2/ptvefLraQ+gOXamAwIzoMJ1ktHaCMZ2AN6OJ441ploxGsdkYneXTOAllHCipZoGcx5MgT8MwiMI4L/O5CmO1NfrrL6OBCnP6bThnQL3QW0YDFOb4oJc7cqJIJkrmQRJNVCBllgaVmqTBvEqn4TTKVGLO7D6UbgIqzOm3YT0G80Jv3QRQmOODrrvJREVJJqI0UNUsDuQsL3WXylQQzcNcpZMyLqvkcLoJaEeOfhvWYzAv9NZNADty+KCXw6honoZplQdpNEsDGYVRkCXzOEjLeZxPEzVX89nhdBPQjhz9NqzHYF7orZsAduTwQW+GUatmNxqk32FU+84T3Qe8JZyk1x3rEIIrOoFEE8Btv4TYfk23vfl0tev2HbpSAYEZ0WE6GUa1E4zpBLzDqOx4Y5plGEWx+e5lNNCuMP02nDOgXugtowF2hfFB192kqiazci5yPeQyN4yn2Twok1Cr6qjKplFVToUKD6abRKDj4PTbsB6DeaGvbhK17xga8UEv6+2TOM7y2TxI0kQEsoxlkIlpHkylStI0CqdhcjjDqAi0RUdE/pqLxWMwL/TWTdqLYyM+6OUy2JNlfeG1ftB0BWg1AMkTy6UZkVmVESnzkpoXsxotNss1YvON2HwjNt+IzTeE+YYQLm/5izL9Lnk0oGMDOjagYwM6NqBjAzo2oGMDOjagYwM6doGO6aCdLPWI6kUemtS8pvVrvZgtrpeAxPV34/q7cf3duP6uqL/rQK4XJxGY62D47DBGgFF77UBHOe88fOpeJtbFCBBAcEUnkGgCuO2XENuv6bYrjO30iLnJHe0wIzpMFyNAAMGYTsA6AoxMIS1yFdJINtdT31rpV4lMgiqtdOKe5yKoJuEkmGRlNY3m5bQst3J1f5oNVkiLJM4ZUC/0ptkghTQ2aKPZTp71vyIkaq8T6aZXXi+4V6N2ksjaCa7oBMyJrN32a7rtzYeqPXLu0JUKCMyIDtNJImsnGNMJeBOZOt6YZklkFJvrqcx5GM7TySzIJrkKZDiJzCF7MohDmSRqliWTavrsYBIZrIYbJThnQL3QWyKD1HDZoNfFuUOpzUXtpUrdBbylyrTfRfsAgis6AXNCa7f9mm578+Fqj6A7dKUCAjOiw3SS0NoJxnQC3oSWHm9MsyQ0is11QpuU01RkUTATeRTI6TQO8rkObZNyIuJkEsksXzXMISQ00MGe+m04Z0C90FtCa68oj/igD2Zk1l6h1E3vrVCm0vnsdpLI2gmu6ATMiazd9mu67c2Hqj1y7tCVCgjMiA7TSSJrJxjTCXgTWX68Mc2SyCg237lEFsNWD8TeQvq2M6Be6CuRxZDVA2zQ65HZCrz3kVncXiTXXcBbJE97vUQXQnBFJ+BNaADbr+m2Nx+u9gi6Q1cqIDAjOkwXCQ1AMKYTsCa02Gynjl3bqUk2G6MjYbaWzKMgTmUeyDgsg6oU86DKy6iKomyepYdTM4tjWELzrnPYdgbUC70lNMh2ajbov+n3LH0Rt9e5dZP7j051n0TVSQJrJ7iiEzAnsHbbr+m2Nx+m9oi5Q1cqIDAjOkwnCaydYEwn4E1gZtFH7Fr0QbL57iUw2KIP80xjnAH1Qm8JDLLogw269wTWXt/WTa589KLfVYsAgis6AXMCa7f9mm5782Fqj5g7dKUCAjOiw3SSwNoJxnQC3gRmFnusTLMkMIrNdy+BwRZ7mK6EcQbUC70lMMhiDzbo3hNYez1bN7mvNpyLflcrAgiu6ATMCazd9mu67c2HqT1i7tCVCgjMiA7TSQJrJxjTCXgTmFncEbsWd5BsvnsJDLa4I/ZeYLrtDKgXektgkMUdbNC9J7D2OrZucl9NOBex85ntJIG1E1zRCZgTWLvt13Tbmw9Te8TcoSsVEJgRHaaTBNZOMKYT8CYws6hjZZolgVFsvnMJTMAWdQjv3aTbzoB6oa8EJiCLOtig+05gor1urZvcexmp6Hd5PYDgik7Am8AAtl/TbW8+TO0Rc4euVEBgRnSYLhIYgGBMJ2BNYMIs4hCuRRwkm+9eAothCSzGOQPqhd4SGGQRBxv0elXi6vnsfVWiaK9j6y7gPwjAfUZLJwmtneCKTsCc0Nptv6bb3ny42iPoDl2pgMCM6DCdJLR2gjGdgDehmUUdwrWog2SzMVqWYZ4n5urZcqoCOYnDIJslVTCbi6mKyyhKDmgDtIAt6hAS5wyoF3pLaJBFHWzQm9PXRLMfNF0BOqCL5Inl6WsiORkJaU5Vk/VH5pA1Jc2L+SgxHyXmo9R8lNY3hUqXt5TXW/ClZyBmeKBanr6mQccGdGxAxwZ0bEDHBnRsQMcGdGxAxwZ07AId00GbwQwECo5nq9PXNKh+lfVpanL5cX2+moY1r/XHSf1xUn+c1h+ny+tG7cjmt1KYa+hnB6LZ2ovgOsolPsqs3zIwgOCKTiDRBHDbLyG2X9NtVxjb6RFzkzvaYUZ0mE40WzvBmE7Aq9mS441pljBFsbmehCjFTMRKBcpczCbzWRpU1STTA9N8poeicZaXh3OwsoDdKCF8NXGLM6Be6E2ztS9eGPFB190kkdM0ncxEUEVZFshExYH+6Ur/VDmNqqScZmpyON0EtlpAeE9FsHkM5oXeuglktQAbdN1NslKoJJRZUGVz/d50NguyaSyDSZqUoYqiUIbV4XQT2Gn+wlegtHoM5oXeukl7JXnEB70c/en/0kiWgYxEGEgxSYI8SnT4SdKwitVczqLkYLqJhJVupXdrus1jMC/01U0kpHTLBt136Va2V6t0k/srP/0eKAMguKITSDQB3PZLiO3XdNubD1O7TN+hKxUQmBEdpotRE4BgTCdgHTVJU7qVrtItyea7l8BgpVvpr2JazlaBeaG3BAYp3bJB3z05LAWsm3i3/No8BvNCb92kvYw34oO+e4NrCaubSYn1GMwLvXUTSN2MDfruTdVJ2FXSUmE9BvNCb92kfaPsiA96vV5oLT7MX70Wn2T7fLvuA4nHHVnW7wpYAMEVnUCiCeC2X0Jsv6bb3ny62nX7Dl2pgMCM6DCdDKPaCcZ0At5hlCk+rUyzDKMoNhujZTIJqzQrtTQSUSBjlQeZymQwz6ZhPqkmYpYckD6GFZ+kvw5jO2sZ5IXeMhqk+MQGXXeTMJlV8VSJIMm1gpaxiINsrmbBpKxmqVK5CrMD6iaw4pP012EsHoN5obduAik+sUFvhE+2JO991Y1sL7LoPuAvsqimO7oVPu0EV3QCZuHTbvs13fbm09WeaXfoSgUEZkSH6UT4tBOM6QS8wsfsXV2ZZhE+FJvricFQZVFVhkE51xFNRjIM8jDPgnk5VdkkylUVls8OJaMpWAFU+WuBW86AeqGvjKYgBVA26LqbVPlUzKJJFCSh1CJJZrMgF1ke5BMlUp3/ZCUPZ8ZHwa4zV94zj20eg3mht27SXhwb8UEvlxorNYurmdLfrPR7K6VFkpzqzpULGcVZNMny7HC6CawapXyFGavHYF7orZtAqlFs0MtoUk1mOujkgZJyEsg0mwdlEiodg6psqkPStI5mh9JNYNUo5d2rZH2wQF7orZtAqlFs0JthVP7sMIZRqr3qovuA9Lojbbqj02EUgOCKTiDRBHDbLyG2X9Ntbz5d7bp9h65UQGBGdJguhlEAgjGdgHUYpeTxxrTtYRTJ5jqjzdKkSudhMM1iM4kYiaAMKxVM5TSvwiyLsnn07GAyGqwiqhTOGVAv9JbRIBVRNuhlmSGMp+W8mgWRqa9LFU6DaianQRJloTQ7VEV+QN0Edlav8tdcLB6DeaG3btJeHBvxQd/BYRSsGqX8hRmLx2Be6K2bQKpRbNDL1VrzLEzm0zCYx+E8kJMkD7JpngeT2UyGiZiXoUwPp5vAqlHKX5ixeAzmhd66CaQaxQbd9+YF1T7frpvcN3edi36LTwCCKzqBRBPAbb+E2H5Nt735MLXL9B26UgGBGdFhOhk1tROM6QS8oyZTfFqZZhk1UWy+cwksgRWfEv8ZopYpMZgX+kpgCaT4xAZ99+RwAis+Jf4NP/QJ9r66CaT4xAZ99wbXCaz4lPjqMFaPwbzQWzeBFJ/YoO/eVF0CKz4l/l1BtjoMyAu9dRNI8YkNuu9RU9I+va6bXHrp+71yHUBwRSeQaAK47ZcQ26/ptjcfpnaZvkNXKiAwIzpMF6MmAMGYTsA6akpMrWll2vaoiWTz3UtgsFpTonDOgHqhtwQGqTWxQd9BOQyrNSW+sovVYzAv9NZNILUmNug7OLiG1ZoSX9nF6jGYF3rrJpBaExv0HZyqg9WaEv99dRaPwbzQWzeB1JrYoNdL9uLV0s3el+wl7fPtug/45q6zzH2SdCfDqHaCKzqBRBPAbb+E2H5Nt735dLXr9h26UgGBGdFhOhlGtROM6QS8wyhTfFqZZhlGUWw2Rucyl2WiwiBLZ2kgRRwHZVymQTIthf6/SqPscIRPCis+pf5NQFvOgHqhr4yWQopPbNBLfZyXVR6GIlCVFOY0nDTIqtIopSSJs1DJaTo7nG4CKz6l/k1AFo/BvNBbN4EUn9ig794wKoUVn1L/JiCbx0Be6K2bQIpPbNB3bxiVwopPqX8TkMVjMC/01k0gxSc26L6LT2n7fLtucumhz0W/G50ABFd0AokmgNt+CbH9mm5782Fql+k7dKUCAjOiw3QxagIQjOkErKOm1BSfVqZtj5pINt+9BAYrPqUK5wyoF3pLYJDiExv0HZTDsOJT6q/D0Ddz9NVNIMUnNug7OLiGFZ9Sfx3G5jGQF3rrJpDiExv0HZyqgxWfUn8dxuIxmBd66yaQ4hMbtCk+GfBnPdec0vZpdt303inrPGx6odvRUzvBFZ1Aogngtl9CbL+m2958qNrl+g5dqYDAjOgwnYye2gnGdALe0ZOpOa1Ms4yeKDYbo6t8qkopsiAuozyQSTYPKmWSXiKz6TSaTmN1OIksg9WcMm/5ZdsZUC/0lcgySM2JDbruJirJxXSez4Mwnur3lmqiZZGI9cArS/T7xLxKZofTTWA1p8xbfrF5DOaF3roJpObEBn33BtkZrOaUecsvNo/BvNBbN4HUnNig796UXQarOWXe8ovNYzAv9NZNIDUnNui+a05Z+zS7bnLpoc9F1qTvdNQEILiiE0g0Adz2S4jt13Tbmw9Tu0zfoSsVEJgRHaaLUROAYEwnYB01ZabmtDJte9REsvnuJTBYzSlTOGdAvdBbAoPUnNig76AchtWcMn/5xeIxmBd66yaQmhMb9B0cXMNqTpm//GLxGMwLvXUTSM2JDfoOTtXBak6Zv/xi8RjMC711E0jNiQ263vC0zDzNjtD0xfdmk+9/49vfYnBF8fTRV0ZCj/30S+LygH+6Omp6wCl3QRhwxWtsHxvbxy7bx3Tbm0IXZDtY6xrTtaTVtptXu/FG8lKsN+Zv7czuvEdFjs6U+2e+4547k93sMd3sbvqR3ey6hxHsrnvQahumfNZzSTxvnyh/u96P7sHcuoi408kdAMEVnUCiCeC2X0Jsv6bbrjC200PSOt8DYEZ0mC4mdwAEYzoB6+ROHh1vTLPEKYrN9eSOkOFc67AgC+U0kCopzZEms0BUcZjLairSef7sUHR2Diti5f56juVadZgX+tLZOaSIxQa9XAI4j7JoLmSQZ6kM5EzL8SoMZ8FUyelklmbzcH44V0blsCJW7q/nWDwG80Jv3QRSxGKDXo7aRVXqd4eBiJJZIKMoC/JwVgWTWawHdZNMhGlyON1EwrqJxHoM5oXeukl7gWPEB333Kgo5rKKQK6zHYF7orZtAKgps0MvJnZNDmNtJzdxOfjKSYWxelMsVvlnzLIeffQ8Cgkvf1cA8NbM8+cnYUIxdFGM6RTfj9LSe78n1q+Ewr3aQelaIQFIXKFYd7VnfA/f2SXgddXyT8Fne705gAMEVnUCiCeC2X0Jsv6bbrjC20yPYJpa3w4zoMJ0M3NsJxnQC3oF7erwxzRKmKDYbo8tITqSaiECUExXIXCuvLJlmgUimchrNq6wS82cHo6FgBbLcVyuyOAPqhd40FKRAxga9PhFwVSft/UDAvH0/iu4C/pJNvwcCAgiu6ATMCa3d9mu67c2Hqz2C7tCVCgjMiA7TSUJrJxjTCXgTmtmctTLNktAoNt+1SQEZgjZn6bfhnAH1Qk8JTfO09toRH/RS96g4i2dpGMzKqgx0vsuCbJbNg2mlf2KiqriMq8PpJqDNWfptWI/BvNBbN2kvs434oHveTiHD9nKNbnJfuSYXveocCMEVnYBV50Bsv6bb3nyY2hPrDl2pgMCM6DAd6BwIwZhOwKlztFXHG9O2dA7N5ruXwEClVP02nDOgXugtgQFKqXzQd1AOg0qp+m1Yj8G80Fs3AZRS+aDX8zv5s4OY35Fhe8VQdwHl80boXlDcie5pJ7iiEzDrnnbbr+m2Nx+u9kS7Q1cqIDAjOkwnuqedYEwn4NU96nhjmkX3UGw2Rk/iXMRxVAXTXEwCKWMZZHGoc2FU5XmVRkk6Wz3jh5DQQPsD9dtwzoB6obeEBtgfyAe91D1ymqaTmQiqKMsCaW5QK8WsMkcUTqMqKaeZmhxONwHtD9Rvw3oM5oXeukl7NXbEB33n9gfKEFT+1G/Degzmhd66CaD8yQe9HGwncViGYh6k89JI6SgKyvl8Fkg1jeflLJyo+QENtnNYN/FVWKweg3mht27SXgob8UHfbiPdUh9NX4DWtJFcUS81lFF0MpJx6PBA5Cur5GHc9ECnCwyN7WOX7WO67U2hC7IdrHWXywqN7frVYbz5PsV6Y37f20hlZJasRqmrR/kqMHkoeu5RZqGqw/Yx3fZuelS9ONVhfN3jCNbX5i+t732uJ2qf1n9bv8lL6V5M3MVcD4Dgik4g0QRw2y8htl/TbVcY2+kRap3+ATAjOkwXcz0AgjGdgHWuJzI1rshV4yLZXA/iQVsLD0R2R7AaV+Qt92w7A+qFvmR3BKlxsUHfuV2lMoLVuCKJ9RjMC711E0iNiw36zu0qlRFou6B+G9ZjMC/01k3a6x0jPuhlN6kms3Iu8kBJOQmk7kNBmYRK/1SVTaOqnAp1QNEEVmCI/HPtNo+BvNBbN4EUGNig1xXzVbQwf/U7imqfR9ddwD+P3usWPwjBFZ1Aogngtl9CbL+m2958uNpl+w5dqYDAjOgwnYyi2gnGdALeUVR6vDHNMoqi2FxPSMdKVlJr53KiRCDLOA/KaSyCPI2rWaqqSSwPp3gRwWpckb/cY9ntBvNCbwkNUuNig76DugdW44r85R6Lx2Be6K2bQGpcbNAHc5qGjOsSlzQvqX4RrmJX7C+5wK8IAAHBk9WyNBHXxS5pXlL94qAY0yk6KVLEy7KXrF/NyRoukLo4RiCpc9iqoz3rWWrH7VuS3tZv8lFGobO9upDaAIIrOoFEE8Btv4TYfk23XWFsp0ewdSwHwIzoMF1IbQDBmE7AKrXj6HhjmiVMUWw2Rqsy1ckyr4J0mphEGqdBFUZREE1maTVJoyQsD0dqxzFIQ8Xe6s22M6Be6EtDxe1lthEf9N3blBPD6lqxt8Rj8xjMC711E0hdiw26783HcXu5Rje59NHLnnVOO8EVnYBZ57Tbfk23vfkwtSfWHbpSAYEZ0WE60TntBGM6Aa/Okccb0yw6h2Lz3UtgsFKqeS4wzoB6obcEBimlskHfQTkMK6WaiIPzGMwLvXUTSCmVDbp3ndNeLdJN7q28yH43GwMIrugEzDqn3fZruu3Nh6k9se7QlQoIzIgO04nOaScY0wl4dY4pncau0inJ5ruXwGCl09hbRdx2BtQLvSUwSOmUDfoOymFY6TT2VhFtHoN5obduAimdskH3rXNE+4mLb+s3eenjJn2nOgdAcEUn4NU5ANuv6bY3H6b2xLpDVyogMCM6TBc6B0AwphOw6hwRHm9M29Y5JJvvXAITsNNQhbeIt+0MqBf6SmCivdo64oO+e3JYwMqbwlvps3kM5oXeugmkvMkGfXsMgmx2hKYvQIuRSK5YrhETZnmYSMxLZl7M3UvKrBtLhH5JHRcwSeEv6cFH6CA+ePJaLhkTZrWYhhobqLGBGhuosYEau6DGdKhmMgNBgfPZagWZqNeOaSrzmtWv9d1Mql5Zpsn0qwPNvJfCZuBWxyqYANXrmjLRXl7SYUp6Kd0HFXSizdsJrugEEk0At/0SYvs13XaFsZ0e8TbBvx1mRIfpRJu3E4zpBLza3NRaV6ZZwhTFZmN0NomEEDIKkixJAzmrRFDOZtNgau7pmctyEh/Q7mYBq7UKhXMG1Au9iS5IrZUNuvfJpfYSom7yxEcve05g7QRXdALmBNZu+zXd9ubD1B4xd+hKBQRmRIfpJIG1E4zpBLwJLDnemGZJYBSba50dVnKSVXEwq3cXTVMRZGU8DyZTlczDSTKZiwOaXIIdxSr8FUVLLId5obcE1l76HfFBrzfUr1q9r2PJHE3tLR1G/R4/JtqLn1d0AubE1W77Nd325kPUHin31WVGdKM7SVDtbh/TCXgTVHa8Mc2SoCg2ryLPqqf3PxfUXqXWEclbpY76PcoDQHBFJ2COSO22X9NtVxjbyRHpNqW3w4zoMJ1EqnaCMZ2AN1LlxxvTLJGKYnMdpkQ2D0WVBWEsVSBTmQTlXFRBLqdaf6VJWInDKcBJ2OWm0lu03nYG1At9SWnZvrpgxAddd5O0yhMVilmgsiwPZJVlQZXOE/1pOCnLMknicnY43QRWzpf+PbkWj8G80Fs3gZTz2aCX0SSZTGRZ5YESYRJIWYVBFcbTIBWTMpbTiVTJAUUTWDlfeivb1gcL5IXeugmknM8GXXeTqciTiZAikOFMD+JFOAuqREXBZJ7NsjIK53EqD6ebwHYrS3/R2OIxmBd66yaQ3cps0MsjWmQlZ9OJjjyh6VJJlATVLJ4H+VSmqelTYV4eTjeBncIrJdZjMC/01k3aq6sjPuhlNJlJmUVhGNSXqsh4XgVVHopgXkbTMJNqJuQBdRNYOVMqrMdgXuitm0DKmWzQdTcJZ1VaTeZxUE6iTOuY6SzIZiIJxGRSyclUq5vwcK75k7Cto9JbQbF5DOaF3rpJe6lrxAe9jCZVmiZ5mAVlOpsGcjafBWU0C4NITsKpqMrpPJofTjeB1Zakt8xifbBAXuitm0BqS2zQdTeZzUXy/63u2noctcHoX1nldYPEzTb0daXpWx9mIuWi9oFbZlATGBGm267U/14bMqvdBMyxp45DXpJhMHzncPgw5zOY5jR1PPHq79CjGRdXRroeTcGXFZF/R9kEe44vlNvdA4xhLFiTyXRdYmsO9Fkm4u2oyd7ZpymXVODzHOSlzHGzII4yPyyCgN6PTLDn+EJFrxFlwZpMpk3hrTnQ/UXHyz0vJ7GTkr3wWDLXieJQPDzhetR1/XR/R0/LEMyFJcqGJMaCLZkQxIU1Btr2iDwybS7yQy5/Vii8RH/TMiKAYK2PIFRGgMf+iMS+0Y/98mSarlt9QEpPCJitPhiqDEZVSisEwU4fgdEyIhGvKSVjrynVinl+FzDM+CdSD/yaDJQFaxcwxPg3BrrvDlM3TwIvcIgvRu+Fbuik1I1F15nwnrPH0ji+H5lgxj+ReuBDjGEsWJMJYvwbAz2/m2uCGf8kVGYMYsGaTBDj3xjo+Vl1BDP+CVFlDGPBmkwQ498Y6PkZ/wQz/glVZQxjwZpMEOPfGOj5VZsJZvwTqQc+xBjGgjWZIMa/MdDzqzYTzPgn8nfZDeVfiAVrMkGMf2Og5zfEiWDGP5F64IOMQSxYkwli/BsDPb8BkxQz/qn8nWEDjGEs2JIJRYx/Y6DnN/yaYsOvqaLXiLJgTSbTpvDWHOj5PcxBMReWKhuSGAvWZIK4sMZA2y4j0mlzkR9yublo9/loAMFaH0GojACP/RGJfaMf++XJNF23+oCUnhAwW30wVBmMqpRWCIKdPgKjZUQafP4e2nUZUSvm+V3AMOOfhmpkoCxYu4Ahxr8x0DPsDmPGPyWqjGEsWJMJYvwbAz3Dm2vM+KdyD3zoxIJYsCYTxPg3Bnp+Vh3FjH8q98AHGMNYsCYTxPg3Bnp+9SGKGf9U7oEPMIaxYE0miPFvDPT86kMUM/6p3AMfOrEgFqzJBDH+jYGe36AEhhn/TO6BDzCGsWBLJgwx/o2B7mTiJXHuZ9RzIr+TVECc1Isjp4iZ6+VpzkhY3I9MMOOfyT3wAcYwFqzJBDH+jYGe30g4hhn/TO6BD+VfiAVrMkGMf2Og5zeulmHDr5mi14iyYE0m06bw1hzo+T3MwTAXVtzHqTGGsWBNJogLaww0//yx7N9xavXlpmzaZOSHnshY8KJLFm5aTgQQrPURhMoI8Ngfkdg3+rFfnlTT9asPSOkJAbPVB0OVwahKaYUg2OkjMFpOZOTz99Cuy4laMXd3TwFLvCgWl7rc5dlM3Jp7/M84cv2IRixI4/MZcg8XMqwAwKRe+DUZKAvWLmRIAcAY6H+72QV58+vnDi+5gCaq06Kin12QiTkFWTzGgNTb9uLR8/Yy80Aw8OTTTyLIxNSBI7Hv9GO/zDlQ7HDaOc8VyLr5AUeCF//Rib4L/yyk3+10kkbSh9T89sfnbbxJZ2javl/rIzDcGZqOfaMfO1GJXTsTjaQe3aBv0umZpn2nj8Bsp0fMPcHG5p7Qivk898SZ+Pua9YZJ6ym+3ena2HRFaK2PwHDmmY59ox87UYn9/848ukHfJPNM077TR2A284i5JM6hDWQenZj7Wbr7z2L5w1YXvywePL7kp831jZY/bOd9yan951CcOPbFvq5a8Z3Vh7oRP5LmORVbe/AfSBgxfseyqJKj2MGqPBanT78VXz891sek4ns7ld/4Pzx/uXir8qI5lJVYr6r5F2+WHMrnSihTbPalbspvfF/Jga9xKPYtb/5X0bRl1i3J+GpFw5d9bZLXVfE3b9M2bwXfSsohFk0Xa1q3bX3sf4mFTwLF+w6XAxDc7sPvP5aLvEye60rsS6d1F7BWy6Z8ftFs2tavOg15y3156ICKb6FQvsKpPvDDL7SQfxltK4SRNO31Cu9aEGJ4O6ZF81A3XGa9gMSvL3Uu9vJrURUNJ5mv99rUbX8jIdY61NmfBZff++JCxNKfVnxhWb3wXNaK4P8Duj/VlA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</si>
  <si>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</si>
  <si>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</si>
  <si>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</si>
  <si>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</si>
  <si>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</si>
  <si>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</si>
  <si>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</si>
  <si>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</si>
  <si>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</si>
  <si>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</si>
  <si>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</si>
  <si>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</si>
  <si>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</si>
  <si>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</si>
  <si>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</si>
  <si>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</si>
  <si>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</si>
  <si>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</si>
  <si>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</si>
  <si>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</si>
  <si>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</si>
  <si>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</si>
  <si>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</si>
  <si>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</si>
  <si>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</si>
  <si>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</si>
  <si>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</si>
  <si>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</si>
  <si>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</si>
  <si>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</si>
  <si>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</si>
  <si>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</si>
  <si>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</si>
  <si>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</si>
  <si>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</si>
  <si>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</si>
  <si>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</si>
  <si>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</si>
  <si>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</si>
  <si>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</si>
  <si>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</si>
  <si>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</si>
  <si>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</si>
  <si>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</si>
  <si>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</si>
  <si>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</si>
  <si>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</si>
  <si>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</si>
  <si>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</si>
  <si>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</si>
  <si>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</si>
  <si>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</si>
  <si>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Материалы
оборудование</t>
  </si>
  <si>
    <t>ОСТАЛОСЬ ЗАКРЫТЬ</t>
  </si>
  <si>
    <t>ОБЩЕЕ КОЛ-ВО</t>
  </si>
  <si>
    <t>ВЫПОЛНЕННО С НАЧАЛА ГОДА</t>
  </si>
  <si>
    <t>КС2 № 1</t>
  </si>
  <si>
    <t>28.02.2026 г.</t>
  </si>
  <si>
    <t>КС2 № 2</t>
  </si>
  <si>
    <t>СУММА ВЫПОЛНЕНИЯ</t>
  </si>
  <si>
    <t>30.07.2026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</si>
</sst>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9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b/>
      <sz val="14"/>
      <color rgb="FF000000"/>
      <name val="Times New Roman"/>
    </font>
    <font>
      <i/>
      <sz val="14"/>
      <color rgb="FF000000"/>
      <name val="Times New Roman"/>
    </font>
    <font>
      <b/>
      <sz val="14"/>
      <color rgb="FF800000"/>
      <name val="Times New Roman"/>
    </font>
    <font>
      <sz val="14"/>
      <color rgb="FF800000"/>
      <name val="Times New Roman"/>
    </font>
    <font>
      <b/>
      <sz val="20"/>
      <color rgb="FFFF0000"/>
      <name val="Times New Roman"/>
      <family val="1"/>
      <charset val="204"/>
    </font>
    <font>
      <b/>
      <sz val="20"/>
      <color rgb="FFFF0000"/>
      <name val="Calibri"/>
      <family val="2"/>
      <charset val="204"/>
    </font>
    <font>
      <b/>
      <sz val="18"/>
      <color rgb="FFFF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20"/>
      <color rgb="FF800000"/>
      <name val="Times New Roman"/>
      <family val="1"/>
      <charset val="204"/>
    </font>
    <font>
      <b/>
      <sz val="22"/>
      <color rgb="FF00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b/>
      <sz val="28"/>
      <color theme="2" tint="-0.749992370372631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000000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0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0" fontId="11" fillId="6" borderId="7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4" fontId="9" fillId="6" borderId="7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11" fillId="7" borderId="7" xfId="0" applyFont="1" applyFill="1" applyBorder="1" applyAlignment="1">
      <alignment horizontal="right" vertical="center" wrapText="1"/>
    </xf>
    <xf numFmtId="164" fontId="12" fillId="5" borderId="7" xfId="0" applyNumberFormat="1" applyFont="1" applyFill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6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4" fontId="7" fillId="8" borderId="7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3" xfId="0" applyFill="1" applyBorder="1"/>
    <xf numFmtId="164" fontId="13" fillId="8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0" fillId="3" borderId="7" xfId="0" applyFont="1" applyFill="1" applyBorder="1" applyAlignment="1">
      <alignment horizontal="right" vertical="center"/>
    </xf>
    <xf numFmtId="4" fontId="10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5" fillId="9" borderId="2" xfId="0" applyFont="1" applyFill="1" applyBorder="1"/>
    <xf numFmtId="4" fontId="14" fillId="9" borderId="7" xfId="0" applyNumberFormat="1" applyFont="1" applyFill="1" applyBorder="1" applyAlignment="1">
      <alignment horizontal="center" vertical="center" wrapText="1"/>
    </xf>
    <xf numFmtId="4" fontId="14" fillId="9" borderId="7" xfId="0" applyNumberFormat="1" applyFont="1" applyFill="1" applyBorder="1" applyAlignment="1" applyProtection="1">
      <alignment horizontal="center" vertical="center" wrapText="1"/>
      <protection locked="0"/>
    </xf>
    <xf numFmtId="4" fontId="7" fillId="4" borderId="3" xfId="0" applyNumberFormat="1" applyFont="1" applyFill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/>
    </xf>
    <xf numFmtId="0" fontId="14" fillId="10" borderId="17" xfId="0" applyFont="1" applyFill="1" applyBorder="1" applyAlignment="1">
      <alignment horizontal="center" vertical="center" wrapText="1"/>
    </xf>
    <xf numFmtId="0" fontId="15" fillId="9" borderId="15" xfId="0" applyFont="1" applyFill="1" applyBorder="1"/>
    <xf numFmtId="0" fontId="15" fillId="9" borderId="19" xfId="0" applyFont="1" applyFill="1" applyBorder="1"/>
    <xf numFmtId="0" fontId="15" fillId="10" borderId="20" xfId="0" applyFont="1" applyFill="1" applyBorder="1"/>
    <xf numFmtId="0" fontId="15" fillId="10" borderId="0" xfId="0" applyFont="1" applyFill="1"/>
    <xf numFmtId="0" fontId="15" fillId="10" borderId="21" xfId="0" applyFont="1" applyFill="1" applyBorder="1"/>
    <xf numFmtId="4" fontId="14" fillId="10" borderId="17" xfId="0" applyNumberFormat="1" applyFont="1" applyFill="1" applyBorder="1" applyAlignment="1">
      <alignment horizontal="center" vertical="center" wrapText="1"/>
    </xf>
    <xf numFmtId="4" fontId="14" fillId="10" borderId="22" xfId="0" applyNumberFormat="1" applyFont="1" applyFill="1" applyBorder="1" applyAlignment="1">
      <alignment horizontal="center" vertical="center" wrapText="1"/>
    </xf>
    <xf numFmtId="4" fontId="14" fillId="9" borderId="17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1" borderId="0" xfId="0" applyFill="1"/>
    <xf numFmtId="16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7" fillId="13" borderId="28" xfId="0" applyNumberFormat="1" applyFont="1" applyFill="1" applyBorder="1" applyAlignment="1">
      <alignment horizontal="center" vertical="center" wrapText="1"/>
    </xf>
    <xf numFmtId="164" fontId="17" fillId="13" borderId="29" xfId="0" applyNumberFormat="1" applyFont="1" applyFill="1" applyBorder="1" applyAlignment="1">
      <alignment horizontal="center" vertical="center"/>
    </xf>
    <xf numFmtId="164" fontId="17" fillId="13" borderId="29" xfId="0" applyNumberFormat="1" applyFont="1" applyFill="1" applyBorder="1" applyAlignment="1">
      <alignment horizontal="center" vertical="center" wrapText="1"/>
    </xf>
    <xf numFmtId="164" fontId="18" fillId="13" borderId="29" xfId="0" applyNumberFormat="1" applyFont="1" applyFill="1" applyBorder="1" applyAlignment="1">
      <alignment horizontal="center" vertical="center"/>
    </xf>
    <xf numFmtId="164" fontId="18" fillId="13" borderId="30" xfId="0" applyNumberFormat="1" applyFont="1" applyFill="1" applyBorder="1" applyAlignment="1">
      <alignment horizontal="center" vertical="center"/>
    </xf>
    <xf numFmtId="164" fontId="17" fillId="13" borderId="7" xfId="0" applyNumberFormat="1" applyFont="1" applyFill="1" applyBorder="1" applyAlignment="1">
      <alignment horizontal="center" vertical="center" wrapText="1"/>
    </xf>
    <xf numFmtId="164" fontId="17" fillId="13" borderId="7" xfId="0" applyNumberFormat="1" applyFont="1" applyFill="1" applyBorder="1" applyAlignment="1">
      <alignment horizontal="center" vertical="center"/>
    </xf>
    <xf numFmtId="164" fontId="18" fillId="13" borderId="7" xfId="0" applyNumberFormat="1" applyFont="1" applyFill="1" applyBorder="1" applyAlignment="1">
      <alignment horizontal="center" vertical="center"/>
    </xf>
    <xf numFmtId="0" fontId="0" fillId="11" borderId="11" xfId="0" applyFill="1" applyBorder="1"/>
    <xf numFmtId="4" fontId="7" fillId="11" borderId="29" xfId="0" applyNumberFormat="1" applyFont="1" applyFill="1" applyBorder="1" applyAlignment="1">
      <alignment horizontal="center" vertical="center"/>
    </xf>
    <xf numFmtId="4" fontId="7" fillId="12" borderId="29" xfId="0" applyNumberFormat="1" applyFont="1" applyFill="1" applyBorder="1" applyAlignment="1">
      <alignment horizontal="center" vertical="center"/>
    </xf>
    <xf numFmtId="4" fontId="9" fillId="12" borderId="29" xfId="0" applyNumberFormat="1" applyFont="1" applyFill="1" applyBorder="1" applyAlignment="1">
      <alignment horizontal="center" vertical="center" wrapText="1"/>
    </xf>
    <xf numFmtId="4" fontId="9" fillId="12" borderId="29" xfId="0" applyNumberFormat="1" applyFont="1" applyFill="1" applyBorder="1" applyAlignment="1">
      <alignment horizontal="center" vertical="center"/>
    </xf>
    <xf numFmtId="4" fontId="14" fillId="12" borderId="29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right" vertical="center"/>
    </xf>
    <xf numFmtId="4" fontId="10" fillId="11" borderId="34" xfId="0" applyNumberFormat="1" applyFont="1" applyFill="1" applyBorder="1" applyAlignment="1">
      <alignment horizontal="center" vertical="center"/>
    </xf>
    <xf numFmtId="0" fontId="15" fillId="9" borderId="0" xfId="0" applyFont="1" applyFill="1"/>
    <xf numFmtId="0" fontId="15" fillId="9" borderId="21" xfId="0" applyFont="1" applyFill="1" applyBorder="1"/>
    <xf numFmtId="4" fontId="10" fillId="3" borderId="26" xfId="0" applyNumberFormat="1" applyFont="1" applyFill="1" applyBorder="1" applyAlignment="1">
      <alignment horizontal="center" vertical="center"/>
    </xf>
    <xf numFmtId="4" fontId="10" fillId="3" borderId="4" xfId="0" applyNumberFormat="1" applyFont="1" applyFill="1" applyBorder="1" applyAlignment="1">
      <alignment horizontal="center" vertical="center"/>
    </xf>
    <xf numFmtId="0" fontId="0" fillId="0" borderId="10" xfId="0" applyBorder="1"/>
    <xf numFmtId="0" fontId="4" fillId="0" borderId="6" xfId="0" applyFont="1" applyBorder="1" applyAlignment="1">
      <alignment horizontal="left" vertical="center" wrapText="1"/>
    </xf>
    <xf numFmtId="0" fontId="0" fillId="0" borderId="11" xfId="0" applyBorder="1"/>
    <xf numFmtId="0" fontId="8" fillId="4" borderId="31" xfId="0" applyFont="1" applyFill="1" applyBorder="1" applyAlignment="1">
      <alignment vertical="center"/>
    </xf>
    <xf numFmtId="0" fontId="8" fillId="4" borderId="35" xfId="0" applyFont="1" applyFill="1" applyBorder="1" applyAlignment="1">
      <alignment vertical="center"/>
    </xf>
    <xf numFmtId="4" fontId="9" fillId="12" borderId="2" xfId="0" applyNumberFormat="1" applyFont="1" applyFill="1" applyBorder="1" applyAlignment="1">
      <alignment horizontal="center" vertical="center" wrapText="1"/>
    </xf>
    <xf numFmtId="4" fontId="14" fillId="10" borderId="3" xfId="0" applyNumberFormat="1" applyFont="1" applyFill="1" applyBorder="1" applyAlignment="1">
      <alignment horizontal="center" vertical="center" wrapText="1"/>
    </xf>
    <xf numFmtId="4" fontId="14" fillId="9" borderId="3" xfId="0" applyNumberFormat="1" applyFont="1" applyFill="1" applyBorder="1" applyAlignment="1" applyProtection="1">
      <alignment horizontal="center" vertical="center"/>
      <protection locked="0"/>
    </xf>
    <xf numFmtId="0" fontId="14" fillId="11" borderId="8" xfId="0" applyFont="1" applyFill="1" applyBorder="1" applyAlignment="1">
      <alignment horizontal="center" vertical="center" wrapText="1"/>
    </xf>
    <xf numFmtId="0" fontId="8" fillId="4" borderId="40" xfId="0" applyFont="1" applyFill="1" applyBorder="1" applyAlignment="1">
      <alignment vertical="center"/>
    </xf>
    <xf numFmtId="0" fontId="8" fillId="4" borderId="41" xfId="0" applyFont="1" applyFill="1" applyBorder="1" applyAlignment="1">
      <alignment vertical="center"/>
    </xf>
    <xf numFmtId="0" fontId="8" fillId="4" borderId="42" xfId="0" applyFont="1" applyFill="1" applyBorder="1" applyAlignment="1">
      <alignment vertical="center"/>
    </xf>
    <xf numFmtId="4" fontId="14" fillId="4" borderId="45" xfId="0" applyNumberFormat="1" applyFont="1" applyFill="1" applyBorder="1" applyAlignment="1">
      <alignment horizontal="center" vertical="center"/>
    </xf>
    <xf numFmtId="4" fontId="17" fillId="12" borderId="29" xfId="0" applyNumberFormat="1" applyFont="1" applyFill="1" applyBorder="1" applyAlignment="1">
      <alignment horizontal="center" vertical="center" wrapText="1"/>
    </xf>
    <xf numFmtId="4" fontId="17" fillId="12" borderId="2" xfId="0" applyNumberFormat="1" applyFont="1" applyFill="1" applyBorder="1" applyAlignment="1">
      <alignment horizontal="center" vertical="center" wrapText="1"/>
    </xf>
    <xf numFmtId="4" fontId="7" fillId="11" borderId="36" xfId="0" applyNumberFormat="1" applyFont="1" applyFill="1" applyBorder="1" applyAlignment="1">
      <alignment horizontal="center" vertical="center"/>
    </xf>
    <xf numFmtId="0" fontId="14" fillId="11" borderId="47" xfId="0" applyFont="1" applyFill="1" applyBorder="1" applyAlignment="1">
      <alignment horizontal="center" vertical="center"/>
    </xf>
    <xf numFmtId="4" fontId="9" fillId="12" borderId="33" xfId="0" applyNumberFormat="1" applyFont="1" applyFill="1" applyBorder="1" applyAlignment="1">
      <alignment horizontal="center" vertical="center" wrapText="1"/>
    </xf>
    <xf numFmtId="0" fontId="0" fillId="11" borderId="47" xfId="0" applyFill="1" applyBorder="1"/>
    <xf numFmtId="0" fontId="0" fillId="14" borderId="48" xfId="0" applyFill="1" applyBorder="1"/>
    <xf numFmtId="0" fontId="0" fillId="15" borderId="20" xfId="0" applyFill="1" applyBorder="1"/>
    <xf numFmtId="0" fontId="0" fillId="15" borderId="0" xfId="0" applyFill="1"/>
    <xf numFmtId="0" fontId="0" fillId="14" borderId="0" xfId="0" applyFill="1"/>
    <xf numFmtId="4" fontId="20" fillId="4" borderId="8" xfId="0" applyNumberFormat="1" applyFont="1" applyFill="1" applyBorder="1" applyAlignment="1">
      <alignment horizontal="center" vertical="center"/>
    </xf>
    <xf numFmtId="4" fontId="9" fillId="15" borderId="15" xfId="0" applyNumberFormat="1" applyFont="1" applyFill="1" applyBorder="1" applyAlignment="1">
      <alignment horizontal="center" vertical="center" wrapText="1"/>
    </xf>
    <xf numFmtId="4" fontId="9" fillId="14" borderId="15" xfId="0" applyNumberFormat="1" applyFont="1" applyFill="1" applyBorder="1" applyAlignment="1">
      <alignment horizontal="center" vertical="center"/>
    </xf>
    <xf numFmtId="4" fontId="9" fillId="15" borderId="50" xfId="0" applyNumberFormat="1" applyFont="1" applyFill="1" applyBorder="1" applyAlignment="1">
      <alignment horizontal="center" vertical="center" wrapText="1"/>
    </xf>
    <xf numFmtId="0" fontId="0" fillId="14" borderId="51" xfId="0" applyFill="1" applyBorder="1"/>
    <xf numFmtId="4" fontId="14" fillId="15" borderId="2" xfId="0" applyNumberFormat="1" applyFont="1" applyFill="1" applyBorder="1" applyAlignment="1">
      <alignment horizontal="center" vertical="center" wrapText="1"/>
    </xf>
    <xf numFmtId="4" fontId="9" fillId="14" borderId="2" xfId="0" applyNumberFormat="1" applyFont="1" applyFill="1" applyBorder="1" applyAlignment="1">
      <alignment horizontal="center" vertical="center"/>
    </xf>
    <xf numFmtId="4" fontId="9" fillId="15" borderId="2" xfId="0" applyNumberFormat="1" applyFont="1" applyFill="1" applyBorder="1" applyAlignment="1">
      <alignment horizontal="center" vertical="center" wrapText="1"/>
    </xf>
    <xf numFmtId="4" fontId="9" fillId="15" borderId="1" xfId="0" applyNumberFormat="1" applyFont="1" applyFill="1" applyBorder="1" applyAlignment="1">
      <alignment horizontal="center" vertical="center" wrapText="1"/>
    </xf>
    <xf numFmtId="4" fontId="9" fillId="14" borderId="1" xfId="0" applyNumberFormat="1" applyFont="1" applyFill="1" applyBorder="1" applyAlignment="1">
      <alignment horizontal="center" vertical="center"/>
    </xf>
    <xf numFmtId="0" fontId="0" fillId="16" borderId="36" xfId="0" applyFill="1" applyBorder="1"/>
    <xf numFmtId="0" fontId="0" fillId="17" borderId="39" xfId="0" applyFill="1" applyBorder="1"/>
    <xf numFmtId="4" fontId="9" fillId="16" borderId="29" xfId="0" applyNumberFormat="1" applyFont="1" applyFill="1" applyBorder="1" applyAlignment="1">
      <alignment horizontal="center" vertical="center" wrapText="1"/>
    </xf>
    <xf numFmtId="4" fontId="9" fillId="16" borderId="34" xfId="0" applyNumberFormat="1" applyFont="1" applyFill="1" applyBorder="1" applyAlignment="1">
      <alignment horizontal="center" vertical="center" wrapText="1"/>
    </xf>
    <xf numFmtId="0" fontId="0" fillId="16" borderId="8" xfId="0" applyFill="1" applyBorder="1"/>
    <xf numFmtId="4" fontId="14" fillId="16" borderId="29" xfId="0" applyNumberFormat="1" applyFont="1" applyFill="1" applyBorder="1" applyAlignment="1">
      <alignment horizontal="center" vertical="center" wrapText="1"/>
    </xf>
    <xf numFmtId="0" fontId="0" fillId="16" borderId="54" xfId="0" applyFill="1" applyBorder="1"/>
    <xf numFmtId="0" fontId="8" fillId="16" borderId="41" xfId="0" applyFont="1" applyFill="1" applyBorder="1" applyAlignment="1">
      <alignment vertical="center"/>
    </xf>
    <xf numFmtId="4" fontId="21" fillId="4" borderId="44" xfId="0" applyNumberFormat="1" applyFont="1" applyFill="1" applyBorder="1" applyAlignment="1">
      <alignment horizontal="center" vertical="center"/>
    </xf>
    <xf numFmtId="0" fontId="14" fillId="17" borderId="43" xfId="0" applyFont="1" applyFill="1" applyBorder="1" applyAlignment="1">
      <alignment horizontal="center" vertical="center" wrapText="1"/>
    </xf>
    <xf numFmtId="0" fontId="14" fillId="16" borderId="8" xfId="0" applyFont="1" applyFill="1" applyBorder="1" applyAlignment="1">
      <alignment horizontal="center" vertical="center" wrapText="1"/>
    </xf>
    <xf numFmtId="4" fontId="7" fillId="16" borderId="27" xfId="0" applyNumberFormat="1" applyFont="1" applyFill="1" applyBorder="1" applyAlignment="1">
      <alignment horizontal="center" vertical="center"/>
    </xf>
    <xf numFmtId="4" fontId="7" fillId="16" borderId="10" xfId="0" applyNumberFormat="1" applyFont="1" applyFill="1" applyBorder="1" applyAlignment="1">
      <alignment horizontal="center" vertical="center"/>
    </xf>
    <xf numFmtId="4" fontId="7" fillId="17" borderId="3" xfId="0" applyNumberFormat="1" applyFont="1" applyFill="1" applyBorder="1" applyAlignment="1">
      <alignment horizontal="center" vertical="center"/>
    </xf>
    <xf numFmtId="4" fontId="7" fillId="17" borderId="1" xfId="0" applyNumberFormat="1" applyFont="1" applyFill="1" applyBorder="1" applyAlignment="1">
      <alignment horizontal="center" vertical="center"/>
    </xf>
    <xf numFmtId="4" fontId="9" fillId="17" borderId="3" xfId="0" applyNumberFormat="1" applyFont="1" applyFill="1" applyBorder="1" applyAlignment="1">
      <alignment horizontal="center" vertical="center" wrapText="1"/>
    </xf>
    <xf numFmtId="4" fontId="9" fillId="17" borderId="1" xfId="0" applyNumberFormat="1" applyFont="1" applyFill="1" applyBorder="1" applyAlignment="1">
      <alignment horizontal="center" vertical="center" wrapText="1"/>
    </xf>
    <xf numFmtId="0" fontId="0" fillId="17" borderId="0" xfId="0" applyFill="1"/>
    <xf numFmtId="4" fontId="9" fillId="17" borderId="9" xfId="0" applyNumberFormat="1" applyFont="1" applyFill="1" applyBorder="1" applyAlignment="1">
      <alignment horizontal="center" vertical="center" wrapText="1"/>
    </xf>
    <xf numFmtId="4" fontId="7" fillId="16" borderId="2" xfId="0" applyNumberFormat="1" applyFont="1" applyFill="1" applyBorder="1" applyAlignment="1">
      <alignment horizontal="center" vertical="center"/>
    </xf>
    <xf numFmtId="4" fontId="7" fillId="16" borderId="28" xfId="0" applyNumberFormat="1" applyFont="1" applyFill="1" applyBorder="1" applyAlignment="1">
      <alignment horizontal="center" vertical="center"/>
    </xf>
    <xf numFmtId="4" fontId="7" fillId="17" borderId="2" xfId="0" applyNumberFormat="1" applyFont="1" applyFill="1" applyBorder="1" applyAlignment="1">
      <alignment horizontal="center" vertical="center"/>
    </xf>
    <xf numFmtId="4" fontId="7" fillId="17" borderId="29" xfId="0" applyNumberFormat="1" applyFont="1" applyFill="1" applyBorder="1" applyAlignment="1">
      <alignment horizontal="center" vertical="center"/>
    </xf>
    <xf numFmtId="4" fontId="14" fillId="17" borderId="29" xfId="0" applyNumberFormat="1" applyFont="1" applyFill="1" applyBorder="1" applyAlignment="1">
      <alignment horizontal="center" vertical="center" wrapText="1"/>
    </xf>
    <xf numFmtId="4" fontId="17" fillId="17" borderId="2" xfId="0" applyNumberFormat="1" applyFont="1" applyFill="1" applyBorder="1" applyAlignment="1">
      <alignment horizontal="center" vertical="center" wrapText="1"/>
    </xf>
    <xf numFmtId="4" fontId="9" fillId="17" borderId="2" xfId="0" applyNumberFormat="1" applyFont="1" applyFill="1" applyBorder="1" applyAlignment="1">
      <alignment horizontal="center" vertical="center" wrapText="1"/>
    </xf>
    <xf numFmtId="4" fontId="9" fillId="17" borderId="29" xfId="0" applyNumberFormat="1" applyFont="1" applyFill="1" applyBorder="1" applyAlignment="1">
      <alignment horizontal="center" vertical="center" wrapText="1"/>
    </xf>
    <xf numFmtId="4" fontId="10" fillId="16" borderId="33" xfId="0" applyNumberFormat="1" applyFont="1" applyFill="1" applyBorder="1" applyAlignment="1">
      <alignment horizontal="center" vertical="center"/>
    </xf>
    <xf numFmtId="4" fontId="10" fillId="16" borderId="34" xfId="0" applyNumberFormat="1" applyFont="1" applyFill="1" applyBorder="1" applyAlignment="1">
      <alignment horizontal="center" vertical="center"/>
    </xf>
    <xf numFmtId="0" fontId="16" fillId="16" borderId="43" xfId="0" applyFont="1" applyFill="1" applyBorder="1" applyAlignment="1">
      <alignment vertical="center"/>
    </xf>
    <xf numFmtId="0" fontId="22" fillId="18" borderId="7" xfId="0" applyFont="1" applyFill="1" applyBorder="1" applyAlignment="1">
      <alignment horizontal="left" vertical="center"/>
    </xf>
    <xf numFmtId="0" fontId="22" fillId="18" borderId="7" xfId="0" applyFont="1" applyFill="1" applyBorder="1" applyAlignment="1">
      <alignment horizontal="left" vertical="center" wrapText="1"/>
    </xf>
    <xf numFmtId="0" fontId="22" fillId="18" borderId="7" xfId="0" applyFont="1" applyFill="1" applyBorder="1" applyAlignment="1">
      <alignment horizontal="center" vertical="center" wrapText="1"/>
    </xf>
    <xf numFmtId="164" fontId="22" fillId="18" borderId="7" xfId="0" applyNumberFormat="1" applyFont="1" applyFill="1" applyBorder="1" applyAlignment="1">
      <alignment horizontal="center" vertical="center" wrapText="1"/>
    </xf>
    <xf numFmtId="164" fontId="22" fillId="18" borderId="1" xfId="0" applyNumberFormat="1" applyFont="1" applyFill="1" applyBorder="1" applyAlignment="1">
      <alignment horizontal="center" vertical="center" wrapText="1"/>
    </xf>
    <xf numFmtId="164" fontId="22" fillId="18" borderId="28" xfId="0" applyNumberFormat="1" applyFont="1" applyFill="1" applyBorder="1" applyAlignment="1">
      <alignment horizontal="center" vertical="center" wrapText="1"/>
    </xf>
    <xf numFmtId="4" fontId="16" fillId="18" borderId="2" xfId="0" applyNumberFormat="1" applyFont="1" applyFill="1" applyBorder="1" applyAlignment="1">
      <alignment horizontal="center" vertical="center" wrapText="1"/>
    </xf>
    <xf numFmtId="4" fontId="16" fillId="19" borderId="29" xfId="0" applyNumberFormat="1" applyFont="1" applyFill="1" applyBorder="1" applyAlignment="1">
      <alignment horizontal="center" vertical="center" wrapText="1"/>
    </xf>
    <xf numFmtId="4" fontId="23" fillId="18" borderId="2" xfId="0" applyNumberFormat="1" applyFont="1" applyFill="1" applyBorder="1" applyAlignment="1">
      <alignment horizontal="center" vertical="center" wrapText="1"/>
    </xf>
    <xf numFmtId="4" fontId="16" fillId="18" borderId="29" xfId="0" applyNumberFormat="1" applyFont="1" applyFill="1" applyBorder="1" applyAlignment="1">
      <alignment horizontal="center" vertical="center" wrapText="1"/>
    </xf>
    <xf numFmtId="4" fontId="16" fillId="18" borderId="3" xfId="0" applyNumberFormat="1" applyFont="1" applyFill="1" applyBorder="1" applyAlignment="1">
      <alignment horizontal="center" vertical="center" wrapText="1"/>
    </xf>
    <xf numFmtId="4" fontId="16" fillId="19" borderId="7" xfId="0" applyNumberFormat="1" applyFont="1" applyFill="1" applyBorder="1" applyAlignment="1" applyProtection="1">
      <alignment horizontal="center" vertical="center" wrapText="1"/>
      <protection locked="0"/>
    </xf>
    <xf numFmtId="4" fontId="16" fillId="18" borderId="22" xfId="0" applyNumberFormat="1" applyFont="1" applyFill="1" applyBorder="1" applyAlignment="1">
      <alignment horizontal="center" vertical="center" wrapText="1"/>
    </xf>
    <xf numFmtId="164" fontId="22" fillId="18" borderId="29" xfId="0" applyNumberFormat="1" applyFont="1" applyFill="1" applyBorder="1" applyAlignment="1">
      <alignment horizontal="center" vertical="center" wrapText="1"/>
    </xf>
    <xf numFmtId="0" fontId="24" fillId="18" borderId="7" xfId="0" applyFont="1" applyFill="1" applyBorder="1" applyAlignment="1">
      <alignment horizontal="left" vertical="center"/>
    </xf>
    <xf numFmtId="0" fontId="24" fillId="18" borderId="7" xfId="0" applyFont="1" applyFill="1" applyBorder="1" applyAlignment="1">
      <alignment horizontal="left" vertical="center" wrapText="1"/>
    </xf>
    <xf numFmtId="0" fontId="24" fillId="18" borderId="7" xfId="0" applyFont="1" applyFill="1" applyBorder="1" applyAlignment="1">
      <alignment horizontal="center" vertical="center" wrapText="1"/>
    </xf>
    <xf numFmtId="164" fontId="24" fillId="18" borderId="7" xfId="0" applyNumberFormat="1" applyFont="1" applyFill="1" applyBorder="1" applyAlignment="1">
      <alignment horizontal="center" vertical="center" wrapText="1"/>
    </xf>
    <xf numFmtId="164" fontId="24" fillId="18" borderId="1" xfId="0" applyNumberFormat="1" applyFont="1" applyFill="1" applyBorder="1" applyAlignment="1">
      <alignment horizontal="center" vertical="center" wrapText="1"/>
    </xf>
    <xf numFmtId="164" fontId="24" fillId="18" borderId="29" xfId="0" applyNumberFormat="1" applyFont="1" applyFill="1" applyBorder="1" applyAlignment="1">
      <alignment horizontal="center" vertical="center" wrapText="1"/>
    </xf>
    <xf numFmtId="4" fontId="25" fillId="18" borderId="2" xfId="0" applyNumberFormat="1" applyFont="1" applyFill="1" applyBorder="1" applyAlignment="1">
      <alignment horizontal="center" vertical="center" wrapText="1"/>
    </xf>
    <xf numFmtId="4" fontId="25" fillId="19" borderId="29" xfId="0" applyNumberFormat="1" applyFont="1" applyFill="1" applyBorder="1" applyAlignment="1">
      <alignment horizontal="center" vertical="center" wrapText="1"/>
    </xf>
    <xf numFmtId="4" fontId="24" fillId="18" borderId="2" xfId="0" applyNumberFormat="1" applyFont="1" applyFill="1" applyBorder="1" applyAlignment="1">
      <alignment horizontal="center" vertical="center" wrapText="1"/>
    </xf>
    <xf numFmtId="4" fontId="25" fillId="18" borderId="29" xfId="0" applyNumberFormat="1" applyFont="1" applyFill="1" applyBorder="1" applyAlignment="1">
      <alignment horizontal="center" vertical="center" wrapText="1"/>
    </xf>
    <xf numFmtId="4" fontId="25" fillId="18" borderId="3" xfId="0" applyNumberFormat="1" applyFont="1" applyFill="1" applyBorder="1" applyAlignment="1">
      <alignment horizontal="center" vertical="center" wrapText="1"/>
    </xf>
    <xf numFmtId="4" fontId="25" fillId="19" borderId="7" xfId="0" applyNumberFormat="1" applyFont="1" applyFill="1" applyBorder="1" applyAlignment="1" applyProtection="1">
      <alignment horizontal="center" vertical="center" wrapText="1"/>
      <protection locked="0"/>
    </xf>
    <xf numFmtId="4" fontId="25" fillId="18" borderId="22" xfId="0" applyNumberFormat="1" applyFont="1" applyFill="1" applyBorder="1" applyAlignment="1">
      <alignment horizontal="center" vertical="center" wrapText="1"/>
    </xf>
    <xf numFmtId="4" fontId="22" fillId="18" borderId="2" xfId="0" applyNumberFormat="1" applyFont="1" applyFill="1" applyBorder="1" applyAlignment="1">
      <alignment horizontal="center" vertical="center" wrapText="1"/>
    </xf>
    <xf numFmtId="4" fontId="14" fillId="18" borderId="3" xfId="0" applyNumberFormat="1" applyFont="1" applyFill="1" applyBorder="1" applyAlignment="1">
      <alignment horizontal="center" vertical="center" wrapText="1"/>
    </xf>
    <xf numFmtId="4" fontId="14" fillId="19" borderId="7" xfId="0" applyNumberFormat="1" applyFont="1" applyFill="1" applyBorder="1" applyAlignment="1" applyProtection="1">
      <alignment horizontal="center" vertical="center" wrapText="1"/>
      <protection locked="0"/>
    </xf>
    <xf numFmtId="4" fontId="14" fillId="18" borderId="22" xfId="0" applyNumberFormat="1" applyFont="1" applyFill="1" applyBorder="1" applyAlignment="1">
      <alignment horizontal="center" vertical="center" wrapText="1"/>
    </xf>
    <xf numFmtId="4" fontId="24" fillId="18" borderId="1" xfId="0" applyNumberFormat="1" applyFont="1" applyFill="1" applyBorder="1" applyAlignment="1">
      <alignment horizontal="center" vertical="center" wrapText="1"/>
    </xf>
    <xf numFmtId="4" fontId="24" fillId="19" borderId="29" xfId="0" applyNumberFormat="1" applyFont="1" applyFill="1" applyBorder="1" applyAlignment="1">
      <alignment horizontal="center" vertical="center" wrapText="1"/>
    </xf>
    <xf numFmtId="4" fontId="24" fillId="18" borderId="29" xfId="0" applyNumberFormat="1" applyFont="1" applyFill="1" applyBorder="1" applyAlignment="1">
      <alignment horizontal="center" vertical="center" wrapText="1"/>
    </xf>
    <xf numFmtId="4" fontId="22" fillId="19" borderId="29" xfId="0" applyNumberFormat="1" applyFont="1" applyFill="1" applyBorder="1" applyAlignment="1">
      <alignment horizontal="center" vertical="center" wrapText="1"/>
    </xf>
    <xf numFmtId="4" fontId="22" fillId="18" borderId="29" xfId="0" applyNumberFormat="1" applyFont="1" applyFill="1" applyBorder="1" applyAlignment="1">
      <alignment horizontal="center" vertical="center" wrapText="1"/>
    </xf>
    <xf numFmtId="4" fontId="22" fillId="18" borderId="1" xfId="0" applyNumberFormat="1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left" vertical="center"/>
    </xf>
    <xf numFmtId="0" fontId="27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164" fontId="27" fillId="0" borderId="7" xfId="0" applyNumberFormat="1" applyFont="1" applyBorder="1" applyAlignment="1">
      <alignment horizontal="center" vertical="center" wrapText="1"/>
    </xf>
    <xf numFmtId="164" fontId="27" fillId="0" borderId="1" xfId="0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center" vertical="center" wrapText="1"/>
    </xf>
    <xf numFmtId="0" fontId="14" fillId="13" borderId="32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 applyProtection="1">
      <alignment horizontal="center" vertical="center"/>
      <protection locked="0"/>
    </xf>
    <xf numFmtId="0" fontId="14" fillId="9" borderId="13" xfId="0" applyFont="1" applyFill="1" applyBorder="1" applyAlignment="1" applyProtection="1">
      <alignment horizontal="center" vertical="center"/>
      <protection locked="0"/>
    </xf>
    <xf numFmtId="0" fontId="14" fillId="9" borderId="14" xfId="0" applyFont="1" applyFill="1" applyBorder="1" applyAlignment="1" applyProtection="1">
      <alignment horizontal="center" vertical="center"/>
      <protection locked="0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4" borderId="37" xfId="0" applyFont="1" applyFill="1" applyBorder="1" applyAlignment="1">
      <alignment horizontal="center" vertical="center" wrapText="1"/>
    </xf>
    <xf numFmtId="0" fontId="14" fillId="14" borderId="20" xfId="0" applyFont="1" applyFill="1" applyBorder="1" applyAlignment="1">
      <alignment horizontal="center" vertical="center" wrapText="1"/>
    </xf>
    <xf numFmtId="0" fontId="14" fillId="14" borderId="49" xfId="0" applyFont="1" applyFill="1" applyBorder="1" applyAlignment="1">
      <alignment horizontal="center" vertical="center" wrapText="1"/>
    </xf>
    <xf numFmtId="0" fontId="14" fillId="16" borderId="52" xfId="0" applyFont="1" applyFill="1" applyBorder="1" applyAlignment="1">
      <alignment horizontal="center" vertical="center" wrapText="1"/>
    </xf>
    <xf numFmtId="0" fontId="14" fillId="16" borderId="39" xfId="0" applyFont="1" applyFill="1" applyBorder="1" applyAlignment="1">
      <alignment horizontal="center" vertical="center" wrapText="1"/>
    </xf>
    <xf numFmtId="0" fontId="14" fillId="16" borderId="53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9" fillId="16" borderId="46" xfId="0" applyFont="1" applyFill="1" applyBorder="1" applyAlignment="1">
      <alignment horizontal="center" vertical="center"/>
    </xf>
    <xf numFmtId="0" fontId="19" fillId="16" borderId="38" xfId="0" applyFont="1" applyFill="1" applyBorder="1" applyAlignment="1">
      <alignment horizontal="center" vertical="center"/>
    </xf>
    <xf numFmtId="0" fontId="19" fillId="16" borderId="24" xfId="0" applyFont="1" applyFill="1" applyBorder="1" applyAlignment="1">
      <alignment horizontal="center" vertical="center"/>
    </xf>
    <xf numFmtId="0" fontId="19" fillId="16" borderId="25" xfId="0" applyFont="1" applyFill="1" applyBorder="1" applyAlignment="1">
      <alignment horizontal="center" vertical="center"/>
    </xf>
    <xf numFmtId="0" fontId="19" fillId="16" borderId="37" xfId="0" applyFont="1" applyFill="1" applyBorder="1" applyAlignment="1">
      <alignment horizontal="center" vertical="center"/>
    </xf>
    <xf numFmtId="0" fontId="19" fillId="16" borderId="2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colors>
    <mruColors>
      <color rgb="FFCCFF99"/>
      <color rgb="FFCCFFCC"/>
      <color rgb="FFCCFF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91"/>
  <sheetViews>
    <sheetView zoomScale="85" workbookViewId="0">
      <pane xSplit="9" ySplit="7" topLeftCell="J65" activePane="bottomRight" state="frozen"/>
      <selection pane="topRight"/>
      <selection pane="bottomLeft"/>
      <selection pane="bottomRight" activeCell="AA691" sqref="AA691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220" t="s">
        <v>4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</row>
    <row r="3" spans="1:35" ht="15" customHeight="1" x14ac:dyDescent="0.3">
      <c r="A3" s="221" t="s">
        <v>5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</row>
    <row r="4" spans="1:35" ht="15" customHeight="1" x14ac:dyDescent="0.3">
      <c r="A4" s="222" t="s">
        <v>6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</row>
    <row r="5" spans="1:35" ht="40.799999999999997" customHeight="1" x14ac:dyDescent="0.3">
      <c r="A5" s="229" t="s">
        <v>22</v>
      </c>
      <c r="B5" s="229" t="s">
        <v>23</v>
      </c>
      <c r="C5" s="229" t="s">
        <v>24</v>
      </c>
      <c r="D5" s="229" t="s">
        <v>25</v>
      </c>
      <c r="E5" s="229" t="s">
        <v>26</v>
      </c>
      <c r="F5" s="229" t="s">
        <v>27</v>
      </c>
      <c r="G5" s="229" t="s">
        <v>28</v>
      </c>
      <c r="H5" s="229" t="s">
        <v>29</v>
      </c>
      <c r="I5" s="229" t="s">
        <v>30</v>
      </c>
      <c r="J5" s="223" t="s">
        <v>7</v>
      </c>
      <c r="K5" s="224"/>
      <c r="L5" s="224"/>
      <c r="M5" s="224"/>
      <c r="N5" s="224"/>
      <c r="O5" s="225"/>
      <c r="P5" s="226" t="s">
        <v>8</v>
      </c>
      <c r="Q5" s="227"/>
      <c r="R5" s="228"/>
      <c r="S5" s="226" t="s">
        <v>9</v>
      </c>
      <c r="T5" s="227"/>
      <c r="U5" s="228"/>
    </row>
    <row r="6" spans="1:35" ht="15.75" customHeight="1" x14ac:dyDescent="0.3">
      <c r="A6" s="230"/>
      <c r="B6" s="230"/>
      <c r="C6" s="230"/>
      <c r="D6" s="230"/>
      <c r="E6" s="230"/>
      <c r="F6" s="230"/>
      <c r="G6" s="230"/>
      <c r="H6" s="230"/>
      <c r="I6" s="230"/>
      <c r="J6" s="232" t="s">
        <v>31</v>
      </c>
      <c r="K6" s="233"/>
      <c r="L6" s="229" t="s">
        <v>31</v>
      </c>
      <c r="M6" s="232" t="s">
        <v>34</v>
      </c>
      <c r="N6" s="233"/>
      <c r="O6" s="229" t="s">
        <v>35</v>
      </c>
      <c r="P6" s="232" t="s">
        <v>31</v>
      </c>
      <c r="Q6" s="233"/>
      <c r="R6" s="229" t="s">
        <v>31</v>
      </c>
      <c r="S6" s="232" t="s">
        <v>34</v>
      </c>
      <c r="T6" s="233"/>
      <c r="U6" s="229" t="s">
        <v>35</v>
      </c>
    </row>
    <row r="7" spans="1:35" ht="31.2" customHeight="1" x14ac:dyDescent="0.3">
      <c r="A7" s="231"/>
      <c r="B7" s="231"/>
      <c r="C7" s="231"/>
      <c r="D7" s="231"/>
      <c r="E7" s="231"/>
      <c r="F7" s="231"/>
      <c r="G7" s="231"/>
      <c r="H7" s="231"/>
      <c r="I7" s="231"/>
      <c r="J7" s="5" t="s">
        <v>32</v>
      </c>
      <c r="K7" s="5" t="s">
        <v>33</v>
      </c>
      <c r="L7" s="231"/>
      <c r="M7" s="5" t="s">
        <v>32</v>
      </c>
      <c r="N7" s="5" t="s">
        <v>33</v>
      </c>
      <c r="O7" s="231"/>
      <c r="P7" s="5" t="s">
        <v>32</v>
      </c>
      <c r="Q7" s="5" t="s">
        <v>33</v>
      </c>
      <c r="R7" s="231"/>
      <c r="S7" s="5" t="s">
        <v>32</v>
      </c>
      <c r="T7" s="5" t="s">
        <v>33</v>
      </c>
      <c r="U7" s="231"/>
    </row>
    <row r="8" spans="1:35" ht="30" customHeight="1" x14ac:dyDescent="0.3">
      <c r="A8" s="234" t="s">
        <v>36</v>
      </c>
      <c r="B8" s="235"/>
      <c r="C8" s="235"/>
      <c r="D8" s="235"/>
      <c r="E8" s="235"/>
      <c r="F8" s="235"/>
      <c r="G8" s="235"/>
      <c r="H8" s="235"/>
      <c r="I8" s="236"/>
      <c r="J8" s="7"/>
      <c r="K8" s="7"/>
      <c r="L8" s="7"/>
      <c r="M8" s="8">
        <f>SUM(M9)</f>
        <v>0</v>
      </c>
      <c r="N8" s="8">
        <f>SUM(N9)</f>
        <v>0</v>
      </c>
      <c r="O8" s="8">
        <f>SUM(O9)</f>
        <v>0</v>
      </c>
      <c r="P8" s="7"/>
      <c r="Q8" s="7"/>
      <c r="R8" s="7"/>
      <c r="S8" s="8">
        <f>SUM(S9)</f>
        <v>0</v>
      </c>
      <c r="T8" s="8">
        <f>SUM(T9)</f>
        <v>0</v>
      </c>
      <c r="U8" s="8">
        <f>SUM(U9)</f>
        <v>0</v>
      </c>
      <c r="Y8" s="9">
        <f>SUM(Y9)</f>
        <v>0</v>
      </c>
      <c r="Z8" s="9">
        <f>SUM(Z9)</f>
        <v>0</v>
      </c>
      <c r="AA8" s="9">
        <f>SUM(AA9)</f>
        <v>0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237" t="s">
        <v>40</v>
      </c>
      <c r="D9" s="238"/>
      <c r="E9" s="238"/>
      <c r="F9" s="238"/>
      <c r="G9" s="238"/>
      <c r="H9" s="238"/>
      <c r="I9" s="239"/>
      <c r="M9" s="6">
        <f>SUM(M10,M109)</f>
        <v>0</v>
      </c>
      <c r="N9" s="6">
        <f>SUM(N10,N109)</f>
        <v>0</v>
      </c>
      <c r="O9" s="6">
        <f>SUM(O10,O109)</f>
        <v>0</v>
      </c>
      <c r="S9" s="6">
        <f>SUM(S10,S109)</f>
        <v>0</v>
      </c>
      <c r="T9" s="6">
        <f>SUM(T10,T109)</f>
        <v>0</v>
      </c>
      <c r="U9" s="6">
        <f>SUM(U10,U109)</f>
        <v>0</v>
      </c>
      <c r="Y9" s="9">
        <f>SUM(Y10,Y109)</f>
        <v>0</v>
      </c>
      <c r="Z9" s="9">
        <f>SUM(Z10,Z109)</f>
        <v>0</v>
      </c>
      <c r="AA9" s="9">
        <f>SUM(AA10,AA109)</f>
        <v>0</v>
      </c>
      <c r="AD9" s="4">
        <v>320320070</v>
      </c>
      <c r="AE9" s="4">
        <v>26813767</v>
      </c>
    </row>
    <row r="10" spans="1:35" ht="16.95" customHeight="1" x14ac:dyDescent="0.3">
      <c r="A10" s="10" t="s">
        <v>41</v>
      </c>
      <c r="B10" s="10" t="s">
        <v>42</v>
      </c>
      <c r="C10" s="237" t="s">
        <v>43</v>
      </c>
      <c r="D10" s="238"/>
      <c r="E10" s="238"/>
      <c r="F10" s="238"/>
      <c r="G10" s="238"/>
      <c r="H10" s="238"/>
      <c r="I10" s="239"/>
      <c r="M10" s="6">
        <f t="shared" ref="M10:O13" si="0">SUM(M11)</f>
        <v>0</v>
      </c>
      <c r="N10" s="6">
        <f t="shared" si="0"/>
        <v>0</v>
      </c>
      <c r="O10" s="6">
        <f t="shared" si="0"/>
        <v>0</v>
      </c>
      <c r="S10" s="6">
        <f t="shared" ref="S10:U13" si="1">SUM(S11)</f>
        <v>0</v>
      </c>
      <c r="T10" s="6">
        <f t="shared" si="1"/>
        <v>0</v>
      </c>
      <c r="U10" s="6">
        <f t="shared" si="1"/>
        <v>0</v>
      </c>
      <c r="Y10" s="9">
        <f t="shared" ref="Y10:AA13" si="2">SUM(Y11)</f>
        <v>0</v>
      </c>
      <c r="Z10" s="9">
        <f t="shared" si="2"/>
        <v>0</v>
      </c>
      <c r="AA10" s="9">
        <f t="shared" si="2"/>
        <v>0</v>
      </c>
      <c r="AD10" s="4">
        <v>320320071</v>
      </c>
      <c r="AE10" s="4">
        <v>26813805</v>
      </c>
    </row>
    <row r="11" spans="1:35" ht="16.95" customHeight="1" x14ac:dyDescent="0.3">
      <c r="A11" s="10" t="s">
        <v>44</v>
      </c>
      <c r="B11" s="10" t="s">
        <v>45</v>
      </c>
      <c r="C11" s="237" t="s">
        <v>46</v>
      </c>
      <c r="D11" s="238"/>
      <c r="E11" s="238"/>
      <c r="F11" s="238"/>
      <c r="G11" s="238"/>
      <c r="H11" s="238"/>
      <c r="I11" s="239"/>
      <c r="M11" s="6">
        <f t="shared" si="0"/>
        <v>0</v>
      </c>
      <c r="N11" s="6">
        <f t="shared" si="0"/>
        <v>0</v>
      </c>
      <c r="O11" s="6">
        <f t="shared" si="0"/>
        <v>0</v>
      </c>
      <c r="S11" s="6">
        <f t="shared" si="1"/>
        <v>0</v>
      </c>
      <c r="T11" s="6">
        <f t="shared" si="1"/>
        <v>0</v>
      </c>
      <c r="U11" s="6">
        <f t="shared" si="1"/>
        <v>0</v>
      </c>
      <c r="Y11" s="9">
        <f t="shared" si="2"/>
        <v>0</v>
      </c>
      <c r="Z11" s="9">
        <f t="shared" si="2"/>
        <v>0</v>
      </c>
      <c r="AA11" s="9">
        <f t="shared" si="2"/>
        <v>0</v>
      </c>
      <c r="AD11" s="4">
        <v>320320072</v>
      </c>
      <c r="AE11" s="4">
        <v>26813778</v>
      </c>
    </row>
    <row r="12" spans="1:35" ht="16.95" customHeight="1" x14ac:dyDescent="0.3">
      <c r="A12" s="10" t="s">
        <v>47</v>
      </c>
      <c r="B12" s="10" t="s">
        <v>48</v>
      </c>
      <c r="C12" s="237" t="s">
        <v>49</v>
      </c>
      <c r="D12" s="238"/>
      <c r="E12" s="238"/>
      <c r="F12" s="238"/>
      <c r="G12" s="238"/>
      <c r="H12" s="238"/>
      <c r="I12" s="239"/>
      <c r="M12" s="6">
        <f t="shared" si="0"/>
        <v>0</v>
      </c>
      <c r="N12" s="6">
        <f t="shared" si="0"/>
        <v>0</v>
      </c>
      <c r="O12" s="6">
        <f t="shared" si="0"/>
        <v>0</v>
      </c>
      <c r="S12" s="6">
        <f t="shared" si="1"/>
        <v>0</v>
      </c>
      <c r="T12" s="6">
        <f t="shared" si="1"/>
        <v>0</v>
      </c>
      <c r="U12" s="6">
        <f t="shared" si="1"/>
        <v>0</v>
      </c>
      <c r="Y12" s="9">
        <f t="shared" si="2"/>
        <v>0</v>
      </c>
      <c r="Z12" s="9">
        <f t="shared" si="2"/>
        <v>0</v>
      </c>
      <c r="AA12" s="9">
        <f t="shared" si="2"/>
        <v>0</v>
      </c>
      <c r="AD12" s="4">
        <v>320320073</v>
      </c>
      <c r="AE12" s="4">
        <v>26813768</v>
      </c>
    </row>
    <row r="13" spans="1:35" ht="16.95" customHeight="1" x14ac:dyDescent="0.3">
      <c r="A13" s="10" t="s">
        <v>50</v>
      </c>
      <c r="B13" s="10" t="s">
        <v>51</v>
      </c>
      <c r="C13" s="237" t="s">
        <v>52</v>
      </c>
      <c r="D13" s="238"/>
      <c r="E13" s="238"/>
      <c r="F13" s="238"/>
      <c r="G13" s="238"/>
      <c r="H13" s="238"/>
      <c r="I13" s="239"/>
      <c r="M13" s="6">
        <f t="shared" si="0"/>
        <v>0</v>
      </c>
      <c r="N13" s="6">
        <f t="shared" si="0"/>
        <v>0</v>
      </c>
      <c r="O13" s="6">
        <f t="shared" si="0"/>
        <v>0</v>
      </c>
      <c r="S13" s="6">
        <f t="shared" si="1"/>
        <v>0</v>
      </c>
      <c r="T13" s="6">
        <f t="shared" si="1"/>
        <v>0</v>
      </c>
      <c r="U13" s="6">
        <f t="shared" si="1"/>
        <v>0</v>
      </c>
      <c r="Y13" s="9">
        <f t="shared" si="2"/>
        <v>0</v>
      </c>
      <c r="Z13" s="9">
        <f t="shared" si="2"/>
        <v>0</v>
      </c>
      <c r="AA13" s="9">
        <f t="shared" si="2"/>
        <v>0</v>
      </c>
      <c r="AD13" s="4">
        <v>320320074</v>
      </c>
      <c r="AE13" s="4">
        <v>26813780</v>
      </c>
    </row>
    <row r="14" spans="1:35" ht="16.95" customHeight="1" x14ac:dyDescent="0.3">
      <c r="A14" s="10" t="s">
        <v>53</v>
      </c>
      <c r="B14" s="10" t="s">
        <v>54</v>
      </c>
      <c r="C14" s="237" t="s">
        <v>55</v>
      </c>
      <c r="D14" s="238"/>
      <c r="E14" s="238"/>
      <c r="F14" s="238"/>
      <c r="G14" s="238"/>
      <c r="H14" s="238"/>
      <c r="I14" s="239"/>
      <c r="M14" s="6">
        <f>SUM(M15,M27,M39,M49,M61,M73,M85,M97)</f>
        <v>0</v>
      </c>
      <c r="N14" s="6">
        <f>SUM(N15,N27,N39,N49,N61,N73,N85,N97)</f>
        <v>0</v>
      </c>
      <c r="O14" s="6">
        <f>SUM(O15,O27,O39,O49,O61,O73,O85,O97)</f>
        <v>0</v>
      </c>
      <c r="S14" s="6">
        <f>SUM(S15,S27,S39,S49,S61,S73,S85,S97)</f>
        <v>0</v>
      </c>
      <c r="T14" s="6">
        <f>SUM(T15,T27,T39,T49,T61,T73,T85,T97)</f>
        <v>0</v>
      </c>
      <c r="U14" s="6">
        <f>SUM(U15,U27,U39,U49,U61,U73,U85,U97)</f>
        <v>0</v>
      </c>
      <c r="Y14" s="9">
        <f>SUM(Y15,Y27,Y39,Y49,Y61,Y73,Y85,Y97)</f>
        <v>0</v>
      </c>
      <c r="Z14" s="9">
        <f>SUM(Z15,Z27,Z39,Z49,Z61,Z73,Z85,Z97)</f>
        <v>0</v>
      </c>
      <c r="AA14" s="9">
        <f>SUM(AA15,AA27,AA39,AA49,AA61,AA73,AA85,AA97)</f>
        <v>0</v>
      </c>
      <c r="AD14" s="4">
        <v>320320075</v>
      </c>
      <c r="AE14" s="4">
        <v>26813769</v>
      </c>
    </row>
    <row r="15" spans="1:35" ht="252" x14ac:dyDescent="0.3">
      <c r="A15" s="17" t="s">
        <v>56</v>
      </c>
      <c r="B15" s="17" t="s">
        <v>57</v>
      </c>
      <c r="C15" s="18" t="s">
        <v>58</v>
      </c>
      <c r="D15" s="19" t="s">
        <v>59</v>
      </c>
      <c r="E15" s="19" t="s">
        <v>60</v>
      </c>
      <c r="F15" s="19" t="s">
        <v>61</v>
      </c>
      <c r="G15" s="20">
        <v>1</v>
      </c>
      <c r="H15" s="19"/>
      <c r="I15" s="21">
        <v>0</v>
      </c>
      <c r="J15" s="22">
        <v>1117.5999999999999</v>
      </c>
      <c r="K15" s="22">
        <v>1991</v>
      </c>
      <c r="L15" s="22">
        <f>J15+ROUND(K15, 2)</f>
        <v>3108.6</v>
      </c>
      <c r="M15" s="22">
        <v>0</v>
      </c>
      <c r="N15" s="22">
        <v>0</v>
      </c>
      <c r="O15" s="22">
        <f>M15+N15</f>
        <v>0</v>
      </c>
      <c r="P15" s="22">
        <v>1117.5999999999999</v>
      </c>
      <c r="Q15" s="22">
        <v>1991</v>
      </c>
      <c r="R15" s="22">
        <f>P15+ROUND(Q15, 2)</f>
        <v>3108.6</v>
      </c>
      <c r="S15" s="22">
        <v>0</v>
      </c>
      <c r="T15" s="22">
        <v>0</v>
      </c>
      <c r="U15" s="22">
        <f>S15+T15</f>
        <v>0</v>
      </c>
      <c r="V15" s="9">
        <f>ROUND(P15 / 1.2, 2)</f>
        <v>931.33</v>
      </c>
      <c r="W15" s="9">
        <f>ROUND(Q15 / 1.2, 2)</f>
        <v>1659.17</v>
      </c>
      <c r="X15" s="9">
        <f>ROUND(R15 / 1.2, 2)</f>
        <v>2590.5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320320077</v>
      </c>
      <c r="AE15" s="4">
        <v>26813808</v>
      </c>
      <c r="AG15" s="4" t="s">
        <v>62</v>
      </c>
      <c r="AH15" s="4" t="s">
        <v>63</v>
      </c>
      <c r="AI15" s="4" t="s">
        <v>64</v>
      </c>
    </row>
    <row r="16" spans="1:35" ht="252" x14ac:dyDescent="0.3">
      <c r="A16" s="23" t="s">
        <v>65</v>
      </c>
      <c r="B16" s="23" t="s">
        <v>57</v>
      </c>
      <c r="C16" s="24" t="s">
        <v>58</v>
      </c>
      <c r="D16" s="25" t="s">
        <v>59</v>
      </c>
      <c r="E16" s="25" t="s">
        <v>60</v>
      </c>
      <c r="F16" s="25" t="s">
        <v>61</v>
      </c>
      <c r="G16" s="26">
        <v>1</v>
      </c>
      <c r="H16" s="25"/>
      <c r="I16" s="26">
        <v>6610.5</v>
      </c>
      <c r="J16" s="27">
        <v>1117.5999999999999</v>
      </c>
      <c r="K16" s="27">
        <v>1991</v>
      </c>
      <c r="L16" s="27">
        <v>1991</v>
      </c>
      <c r="M16" s="27">
        <v>7387894.7999999998</v>
      </c>
      <c r="N16" s="27">
        <v>13161505.5</v>
      </c>
      <c r="O16" s="27"/>
      <c r="P16" s="27">
        <v>1117.5999999999999</v>
      </c>
      <c r="Q16" s="27">
        <v>1991</v>
      </c>
      <c r="R16" s="27">
        <v>1991</v>
      </c>
      <c r="S16" s="27">
        <v>7387894.7999999998</v>
      </c>
      <c r="T16" s="27">
        <v>13161505.5</v>
      </c>
      <c r="U16" s="27"/>
      <c r="V16" s="9"/>
      <c r="W16" s="9">
        <f>ROUND(Q16 / 1.2, 2)</f>
        <v>1659.17</v>
      </c>
      <c r="X16" s="9">
        <f>ROUND(R16 / 1.2, 2)</f>
        <v>1659.17</v>
      </c>
      <c r="Y16" s="9"/>
      <c r="Z16" s="9">
        <f>ROUND(T16 / 1.2, 2)</f>
        <v>10967921.25</v>
      </c>
      <c r="AA16" s="9"/>
      <c r="AD16" s="4">
        <v>315454831</v>
      </c>
      <c r="AE16" s="4">
        <v>26813808</v>
      </c>
      <c r="AG16" s="4" t="s">
        <v>62</v>
      </c>
      <c r="AH16" s="4" t="s">
        <v>63</v>
      </c>
      <c r="AI16" s="4"/>
    </row>
    <row r="17" spans="1:35" ht="54" x14ac:dyDescent="0.3">
      <c r="A17" s="17" t="s">
        <v>66</v>
      </c>
      <c r="B17" s="17"/>
      <c r="C17" s="34" t="s">
        <v>67</v>
      </c>
      <c r="D17" s="19"/>
      <c r="E17" s="19"/>
      <c r="F17" s="35" t="s">
        <v>68</v>
      </c>
      <c r="G17" s="36">
        <v>1</v>
      </c>
      <c r="H17" s="19"/>
      <c r="I17" s="37">
        <v>0</v>
      </c>
      <c r="J17" s="38">
        <v>88.35</v>
      </c>
      <c r="K17" s="39"/>
      <c r="L17" s="39"/>
      <c r="M17" s="38">
        <f t="shared" ref="M17:M26" si="3">ROUND(ROUND(J17, 2)*I17, 2)</f>
        <v>0</v>
      </c>
      <c r="N17" s="39"/>
      <c r="O17" s="39"/>
      <c r="P17" s="38">
        <v>88.35</v>
      </c>
      <c r="Q17" s="39"/>
      <c r="R17" s="39"/>
      <c r="S17" s="38">
        <f t="shared" ref="S17:S26" si="4">ROUND(ROUND(P17, 2)*I17, 2)</f>
        <v>0</v>
      </c>
      <c r="T17" s="39"/>
      <c r="U17" s="40"/>
      <c r="V17" s="9">
        <f t="shared" ref="V17:V26" si="5">ROUND(ROUND(P17, 2)/1.2, 2)</f>
        <v>73.63</v>
      </c>
      <c r="Y17" s="9">
        <f t="shared" ref="Y17:Y27" si="6">ROUND(S17 / 1.2, 2)</f>
        <v>0</v>
      </c>
      <c r="AD17" s="4" t="s">
        <v>69</v>
      </c>
      <c r="AE17" s="4" t="s">
        <v>70</v>
      </c>
      <c r="AF17" s="4" t="s">
        <v>71</v>
      </c>
    </row>
    <row r="18" spans="1:35" ht="54" x14ac:dyDescent="0.3">
      <c r="A18" s="23" t="s">
        <v>72</v>
      </c>
      <c r="B18" s="23"/>
      <c r="C18" s="41" t="s">
        <v>67</v>
      </c>
      <c r="D18" s="25"/>
      <c r="E18" s="25"/>
      <c r="F18" s="42" t="s">
        <v>68</v>
      </c>
      <c r="G18" s="43">
        <v>1</v>
      </c>
      <c r="H18" s="25"/>
      <c r="I18" s="43">
        <v>6610.5</v>
      </c>
      <c r="J18" s="44">
        <v>88.35</v>
      </c>
      <c r="K18" s="45"/>
      <c r="L18" s="45"/>
      <c r="M18" s="44">
        <f t="shared" si="3"/>
        <v>584037.68000000005</v>
      </c>
      <c r="N18" s="45"/>
      <c r="O18" s="45"/>
      <c r="P18" s="44">
        <v>88.35</v>
      </c>
      <c r="Q18" s="45"/>
      <c r="R18" s="45"/>
      <c r="S18" s="44">
        <f t="shared" si="4"/>
        <v>584037.68000000005</v>
      </c>
      <c r="T18" s="45"/>
      <c r="U18" s="46"/>
      <c r="V18" s="9">
        <f t="shared" si="5"/>
        <v>73.63</v>
      </c>
      <c r="Y18" s="9">
        <f t="shared" si="6"/>
        <v>486698.07</v>
      </c>
      <c r="AD18" s="4" t="s">
        <v>73</v>
      </c>
      <c r="AE18" s="4" t="s">
        <v>70</v>
      </c>
      <c r="AF18" s="4" t="s">
        <v>71</v>
      </c>
    </row>
    <row r="19" spans="1:35" ht="18" x14ac:dyDescent="0.3">
      <c r="A19" s="17" t="s">
        <v>74</v>
      </c>
      <c r="B19" s="17"/>
      <c r="C19" s="34" t="s">
        <v>75</v>
      </c>
      <c r="D19" s="19"/>
      <c r="E19" s="19"/>
      <c r="F19" s="35" t="s">
        <v>76</v>
      </c>
      <c r="G19" s="36">
        <v>0.8</v>
      </c>
      <c r="H19" s="19"/>
      <c r="I19" s="48">
        <v>0</v>
      </c>
      <c r="J19" s="38">
        <v>63.73</v>
      </c>
      <c r="K19" s="39"/>
      <c r="L19" s="39"/>
      <c r="M19" s="38">
        <f t="shared" si="3"/>
        <v>0</v>
      </c>
      <c r="N19" s="39"/>
      <c r="O19" s="39"/>
      <c r="P19" s="38">
        <v>63.73</v>
      </c>
      <c r="Q19" s="39"/>
      <c r="R19" s="39"/>
      <c r="S19" s="38">
        <f t="shared" si="4"/>
        <v>0</v>
      </c>
      <c r="T19" s="39"/>
      <c r="U19" s="40"/>
      <c r="V19" s="9">
        <f t="shared" si="5"/>
        <v>53.11</v>
      </c>
      <c r="Y19" s="9">
        <f t="shared" si="6"/>
        <v>0</v>
      </c>
      <c r="AD19" s="4" t="s">
        <v>77</v>
      </c>
      <c r="AE19" s="4" t="s">
        <v>78</v>
      </c>
      <c r="AF19" s="4" t="s">
        <v>79</v>
      </c>
    </row>
    <row r="20" spans="1:35" ht="18" x14ac:dyDescent="0.3">
      <c r="A20" s="23" t="s">
        <v>80</v>
      </c>
      <c r="B20" s="23"/>
      <c r="C20" s="41" t="s">
        <v>75</v>
      </c>
      <c r="D20" s="25"/>
      <c r="E20" s="25"/>
      <c r="F20" s="42" t="s">
        <v>76</v>
      </c>
      <c r="G20" s="43">
        <v>0.8</v>
      </c>
      <c r="H20" s="25"/>
      <c r="I20" s="50">
        <v>5288.4</v>
      </c>
      <c r="J20" s="44">
        <v>63.73</v>
      </c>
      <c r="K20" s="45"/>
      <c r="L20" s="45"/>
      <c r="M20" s="44">
        <f t="shared" si="3"/>
        <v>337029.73</v>
      </c>
      <c r="N20" s="45"/>
      <c r="O20" s="45"/>
      <c r="P20" s="44">
        <v>63.73</v>
      </c>
      <c r="Q20" s="45"/>
      <c r="R20" s="45"/>
      <c r="S20" s="44">
        <f t="shared" si="4"/>
        <v>337029.73</v>
      </c>
      <c r="T20" s="45"/>
      <c r="U20" s="46"/>
      <c r="V20" s="9">
        <f t="shared" si="5"/>
        <v>53.11</v>
      </c>
      <c r="Y20" s="9">
        <f t="shared" si="6"/>
        <v>280858.11</v>
      </c>
      <c r="AD20" s="4" t="s">
        <v>81</v>
      </c>
      <c r="AE20" s="4" t="s">
        <v>78</v>
      </c>
      <c r="AF20" s="4" t="s">
        <v>79</v>
      </c>
    </row>
    <row r="21" spans="1:35" ht="18" x14ac:dyDescent="0.3">
      <c r="A21" s="17" t="s">
        <v>82</v>
      </c>
      <c r="B21" s="17"/>
      <c r="C21" s="34" t="s">
        <v>83</v>
      </c>
      <c r="D21" s="19"/>
      <c r="E21" s="19"/>
      <c r="F21" s="35" t="s">
        <v>76</v>
      </c>
      <c r="G21" s="36">
        <v>2.1</v>
      </c>
      <c r="H21" s="19"/>
      <c r="I21" s="48">
        <v>0</v>
      </c>
      <c r="J21" s="38">
        <v>95.07</v>
      </c>
      <c r="K21" s="39"/>
      <c r="L21" s="39"/>
      <c r="M21" s="38">
        <f t="shared" si="3"/>
        <v>0</v>
      </c>
      <c r="N21" s="39"/>
      <c r="O21" s="39"/>
      <c r="P21" s="38">
        <v>95.07</v>
      </c>
      <c r="Q21" s="39"/>
      <c r="R21" s="39"/>
      <c r="S21" s="38">
        <f t="shared" si="4"/>
        <v>0</v>
      </c>
      <c r="T21" s="39"/>
      <c r="U21" s="40"/>
      <c r="V21" s="9">
        <f t="shared" si="5"/>
        <v>79.23</v>
      </c>
      <c r="Y21" s="9">
        <f t="shared" si="6"/>
        <v>0</v>
      </c>
      <c r="AD21" s="4" t="s">
        <v>84</v>
      </c>
      <c r="AE21" s="4" t="s">
        <v>85</v>
      </c>
      <c r="AF21" s="4" t="s">
        <v>86</v>
      </c>
    </row>
    <row r="22" spans="1:35" ht="18" x14ac:dyDescent="0.3">
      <c r="A22" s="23" t="s">
        <v>87</v>
      </c>
      <c r="B22" s="23"/>
      <c r="C22" s="41" t="s">
        <v>83</v>
      </c>
      <c r="D22" s="25"/>
      <c r="E22" s="25"/>
      <c r="F22" s="42" t="s">
        <v>76</v>
      </c>
      <c r="G22" s="43">
        <v>2.1</v>
      </c>
      <c r="H22" s="25"/>
      <c r="I22" s="50">
        <v>13882.05</v>
      </c>
      <c r="J22" s="44">
        <v>95.07</v>
      </c>
      <c r="K22" s="45"/>
      <c r="L22" s="45"/>
      <c r="M22" s="44">
        <f t="shared" si="3"/>
        <v>1319766.49</v>
      </c>
      <c r="N22" s="45"/>
      <c r="O22" s="45"/>
      <c r="P22" s="44">
        <v>95.07</v>
      </c>
      <c r="Q22" s="45"/>
      <c r="R22" s="45"/>
      <c r="S22" s="44">
        <f t="shared" si="4"/>
        <v>1319766.49</v>
      </c>
      <c r="T22" s="45"/>
      <c r="U22" s="46"/>
      <c r="V22" s="9">
        <f t="shared" si="5"/>
        <v>79.23</v>
      </c>
      <c r="Y22" s="9">
        <f t="shared" si="6"/>
        <v>1099805.4099999999</v>
      </c>
      <c r="AD22" s="4" t="s">
        <v>88</v>
      </c>
      <c r="AE22" s="4" t="s">
        <v>85</v>
      </c>
      <c r="AF22" s="4" t="s">
        <v>86</v>
      </c>
    </row>
    <row r="23" spans="1:35" ht="36" x14ac:dyDescent="0.3">
      <c r="A23" s="17" t="s">
        <v>89</v>
      </c>
      <c r="B23" s="17"/>
      <c r="C23" s="34" t="s">
        <v>90</v>
      </c>
      <c r="D23" s="19"/>
      <c r="E23" s="19"/>
      <c r="F23" s="35" t="s">
        <v>91</v>
      </c>
      <c r="G23" s="36">
        <v>5.1999999999999998E-2</v>
      </c>
      <c r="H23" s="19"/>
      <c r="I23" s="37">
        <v>0</v>
      </c>
      <c r="J23" s="38">
        <v>4026.8</v>
      </c>
      <c r="K23" s="39"/>
      <c r="L23" s="39"/>
      <c r="M23" s="38">
        <f t="shared" si="3"/>
        <v>0</v>
      </c>
      <c r="N23" s="39"/>
      <c r="O23" s="39"/>
      <c r="P23" s="38">
        <v>4026.8</v>
      </c>
      <c r="Q23" s="39"/>
      <c r="R23" s="39"/>
      <c r="S23" s="38">
        <f t="shared" si="4"/>
        <v>0</v>
      </c>
      <c r="T23" s="39"/>
      <c r="U23" s="40"/>
      <c r="V23" s="9">
        <f t="shared" si="5"/>
        <v>3355.67</v>
      </c>
      <c r="Y23" s="9">
        <f t="shared" si="6"/>
        <v>0</v>
      </c>
      <c r="AD23" s="4" t="s">
        <v>92</v>
      </c>
      <c r="AE23" s="4" t="s">
        <v>93</v>
      </c>
      <c r="AF23" s="4" t="s">
        <v>94</v>
      </c>
    </row>
    <row r="24" spans="1:35" ht="36" x14ac:dyDescent="0.3">
      <c r="A24" s="23" t="s">
        <v>95</v>
      </c>
      <c r="B24" s="23"/>
      <c r="C24" s="41" t="s">
        <v>90</v>
      </c>
      <c r="D24" s="25"/>
      <c r="E24" s="25"/>
      <c r="F24" s="42" t="s">
        <v>91</v>
      </c>
      <c r="G24" s="43">
        <v>5.1999999999999998E-2</v>
      </c>
      <c r="H24" s="25"/>
      <c r="I24" s="43">
        <v>343.74599999999998</v>
      </c>
      <c r="J24" s="44">
        <v>4026.8</v>
      </c>
      <c r="K24" s="45"/>
      <c r="L24" s="45"/>
      <c r="M24" s="44">
        <f t="shared" si="3"/>
        <v>1384196.39</v>
      </c>
      <c r="N24" s="45"/>
      <c r="O24" s="45"/>
      <c r="P24" s="44">
        <v>4026.8</v>
      </c>
      <c r="Q24" s="45"/>
      <c r="R24" s="45"/>
      <c r="S24" s="44">
        <f t="shared" si="4"/>
        <v>1384196.39</v>
      </c>
      <c r="T24" s="45"/>
      <c r="U24" s="46"/>
      <c r="V24" s="9">
        <f t="shared" si="5"/>
        <v>3355.67</v>
      </c>
      <c r="Y24" s="9">
        <f t="shared" si="6"/>
        <v>1153496.99</v>
      </c>
      <c r="AD24" s="4" t="s">
        <v>96</v>
      </c>
      <c r="AE24" s="4" t="s">
        <v>93</v>
      </c>
      <c r="AF24" s="4" t="s">
        <v>94</v>
      </c>
    </row>
    <row r="25" spans="1:35" ht="36" x14ac:dyDescent="0.3">
      <c r="A25" s="17" t="s">
        <v>97</v>
      </c>
      <c r="B25" s="17"/>
      <c r="C25" s="34" t="s">
        <v>98</v>
      </c>
      <c r="D25" s="19"/>
      <c r="E25" s="19"/>
      <c r="F25" s="35" t="s">
        <v>61</v>
      </c>
      <c r="G25" s="36">
        <v>4.2</v>
      </c>
      <c r="H25" s="19"/>
      <c r="I25" s="37">
        <v>0</v>
      </c>
      <c r="J25" s="38">
        <v>135.53</v>
      </c>
      <c r="K25" s="39"/>
      <c r="L25" s="39"/>
      <c r="M25" s="38">
        <f t="shared" si="3"/>
        <v>0</v>
      </c>
      <c r="N25" s="39"/>
      <c r="O25" s="39"/>
      <c r="P25" s="38">
        <v>135.53</v>
      </c>
      <c r="Q25" s="39"/>
      <c r="R25" s="39"/>
      <c r="S25" s="38">
        <f t="shared" si="4"/>
        <v>0</v>
      </c>
      <c r="T25" s="39"/>
      <c r="U25" s="40"/>
      <c r="V25" s="9">
        <f t="shared" si="5"/>
        <v>112.94</v>
      </c>
      <c r="Y25" s="9">
        <f t="shared" si="6"/>
        <v>0</v>
      </c>
      <c r="AD25" s="4" t="s">
        <v>99</v>
      </c>
      <c r="AE25" s="4" t="s">
        <v>100</v>
      </c>
      <c r="AF25" s="4" t="s">
        <v>101</v>
      </c>
    </row>
    <row r="26" spans="1:35" ht="36" x14ac:dyDescent="0.3">
      <c r="A26" s="23" t="s">
        <v>102</v>
      </c>
      <c r="B26" s="23"/>
      <c r="C26" s="41" t="s">
        <v>98</v>
      </c>
      <c r="D26" s="25"/>
      <c r="E26" s="25"/>
      <c r="F26" s="42" t="s">
        <v>61</v>
      </c>
      <c r="G26" s="43">
        <v>4.2</v>
      </c>
      <c r="H26" s="25"/>
      <c r="I26" s="43">
        <v>27764.1</v>
      </c>
      <c r="J26" s="44">
        <v>135.53</v>
      </c>
      <c r="K26" s="45"/>
      <c r="L26" s="45"/>
      <c r="M26" s="44">
        <f t="shared" si="3"/>
        <v>3762868.47</v>
      </c>
      <c r="N26" s="45"/>
      <c r="O26" s="45"/>
      <c r="P26" s="44">
        <v>135.53</v>
      </c>
      <c r="Q26" s="45"/>
      <c r="R26" s="45"/>
      <c r="S26" s="44">
        <f t="shared" si="4"/>
        <v>3762868.47</v>
      </c>
      <c r="T26" s="45"/>
      <c r="U26" s="46"/>
      <c r="V26" s="9">
        <f t="shared" si="5"/>
        <v>112.94</v>
      </c>
      <c r="Y26" s="9">
        <f t="shared" si="6"/>
        <v>3135723.73</v>
      </c>
      <c r="AD26" s="4" t="s">
        <v>103</v>
      </c>
      <c r="AE26" s="4" t="s">
        <v>100</v>
      </c>
      <c r="AF26" s="4" t="s">
        <v>101</v>
      </c>
    </row>
    <row r="27" spans="1:35" ht="270" x14ac:dyDescent="0.3">
      <c r="A27" s="17" t="s">
        <v>104</v>
      </c>
      <c r="B27" s="17" t="s">
        <v>105</v>
      </c>
      <c r="C27" s="18" t="s">
        <v>106</v>
      </c>
      <c r="D27" s="19" t="s">
        <v>59</v>
      </c>
      <c r="E27" s="19" t="s">
        <v>107</v>
      </c>
      <c r="F27" s="19" t="s">
        <v>61</v>
      </c>
      <c r="G27" s="20">
        <v>1</v>
      </c>
      <c r="H27" s="19"/>
      <c r="I27" s="21">
        <v>0</v>
      </c>
      <c r="J27" s="22">
        <v>1039.98</v>
      </c>
      <c r="K27" s="22">
        <v>1991</v>
      </c>
      <c r="L27" s="22">
        <f>J27+ROUND(K27, 2)</f>
        <v>3030.98</v>
      </c>
      <c r="M27" s="22">
        <v>0</v>
      </c>
      <c r="N27" s="22">
        <v>0</v>
      </c>
      <c r="O27" s="22">
        <f>M27+N27</f>
        <v>0</v>
      </c>
      <c r="P27" s="22">
        <v>6856.14</v>
      </c>
      <c r="Q27" s="22">
        <v>1991</v>
      </c>
      <c r="R27" s="22">
        <f>P27+ROUND(Q27, 2)</f>
        <v>8847.14</v>
      </c>
      <c r="S27" s="22">
        <v>0</v>
      </c>
      <c r="T27" s="22">
        <v>0</v>
      </c>
      <c r="U27" s="22">
        <f>S27+T27</f>
        <v>0</v>
      </c>
      <c r="V27" s="9">
        <f>ROUND(P27 / 1.2, 2)</f>
        <v>5713.45</v>
      </c>
      <c r="W27" s="9">
        <f>ROUND(Q27 / 1.2, 2)</f>
        <v>1659.17</v>
      </c>
      <c r="X27" s="9">
        <f>ROUND(R27 / 1.2, 2)</f>
        <v>7372.62</v>
      </c>
      <c r="Y27" s="9">
        <f t="shared" si="6"/>
        <v>0</v>
      </c>
      <c r="Z27" s="9">
        <f>ROUND(T27 / 1.2, 2)</f>
        <v>0</v>
      </c>
      <c r="AA27" s="9">
        <f>Y27+Z27</f>
        <v>0</v>
      </c>
      <c r="AD27" s="4">
        <v>320320078</v>
      </c>
      <c r="AE27" s="4">
        <v>26813813</v>
      </c>
      <c r="AG27" s="4" t="s">
        <v>108</v>
      </c>
      <c r="AH27" s="4" t="s">
        <v>109</v>
      </c>
      <c r="AI27" s="4" t="s">
        <v>64</v>
      </c>
    </row>
    <row r="28" spans="1:35" ht="270" x14ac:dyDescent="0.3">
      <c r="A28" s="23" t="s">
        <v>110</v>
      </c>
      <c r="B28" s="23" t="s">
        <v>105</v>
      </c>
      <c r="C28" s="24" t="s">
        <v>106</v>
      </c>
      <c r="D28" s="25" t="s">
        <v>59</v>
      </c>
      <c r="E28" s="25" t="s">
        <v>107</v>
      </c>
      <c r="F28" s="25" t="s">
        <v>61</v>
      </c>
      <c r="G28" s="26">
        <v>1</v>
      </c>
      <c r="H28" s="25"/>
      <c r="I28" s="26">
        <v>162.4</v>
      </c>
      <c r="J28" s="27">
        <v>1039.98</v>
      </c>
      <c r="K28" s="27">
        <v>1991</v>
      </c>
      <c r="L28" s="27">
        <v>1991</v>
      </c>
      <c r="M28" s="27">
        <v>168892.75</v>
      </c>
      <c r="N28" s="27">
        <v>323338.40000000002</v>
      </c>
      <c r="O28" s="27"/>
      <c r="P28" s="27">
        <v>6856.14</v>
      </c>
      <c r="Q28" s="27">
        <v>1991</v>
      </c>
      <c r="R28" s="27">
        <v>1991</v>
      </c>
      <c r="S28" s="27">
        <v>1113437.1399999999</v>
      </c>
      <c r="T28" s="27">
        <v>323338.40000000002</v>
      </c>
      <c r="U28" s="27"/>
      <c r="V28" s="9"/>
      <c r="W28" s="9">
        <f>ROUND(Q28 / 1.2, 2)</f>
        <v>1659.17</v>
      </c>
      <c r="X28" s="9">
        <f>ROUND(R28 / 1.2, 2)</f>
        <v>1659.17</v>
      </c>
      <c r="Y28" s="9"/>
      <c r="Z28" s="9">
        <f>ROUND(T28 / 1.2, 2)</f>
        <v>269448.67</v>
      </c>
      <c r="AA28" s="9"/>
      <c r="AD28" s="4">
        <v>315454832</v>
      </c>
      <c r="AE28" s="4">
        <v>26813813</v>
      </c>
      <c r="AG28" s="4" t="s">
        <v>108</v>
      </c>
      <c r="AH28" s="4" t="s">
        <v>109</v>
      </c>
      <c r="AI28" s="4"/>
    </row>
    <row r="29" spans="1:35" ht="54" x14ac:dyDescent="0.3">
      <c r="A29" s="17" t="s">
        <v>111</v>
      </c>
      <c r="B29" s="17"/>
      <c r="C29" s="34" t="s">
        <v>67</v>
      </c>
      <c r="D29" s="19"/>
      <c r="E29" s="19"/>
      <c r="F29" s="35" t="s">
        <v>68</v>
      </c>
      <c r="G29" s="36">
        <v>1</v>
      </c>
      <c r="H29" s="19"/>
      <c r="I29" s="37">
        <v>0</v>
      </c>
      <c r="J29" s="38">
        <v>88.35</v>
      </c>
      <c r="K29" s="39"/>
      <c r="L29" s="39"/>
      <c r="M29" s="38">
        <f t="shared" ref="M29:M38" si="7">ROUND(ROUND(J29, 2)*I29, 2)</f>
        <v>0</v>
      </c>
      <c r="N29" s="39"/>
      <c r="O29" s="39"/>
      <c r="P29" s="38">
        <v>88.35</v>
      </c>
      <c r="Q29" s="39"/>
      <c r="R29" s="39"/>
      <c r="S29" s="38">
        <f t="shared" ref="S29:S38" si="8">ROUND(ROUND(P29, 2)*I29, 2)</f>
        <v>0</v>
      </c>
      <c r="T29" s="39"/>
      <c r="U29" s="40"/>
      <c r="V29" s="9">
        <f t="shared" ref="V29:V38" si="9">ROUND(ROUND(P29, 2)/1.2, 2)</f>
        <v>73.63</v>
      </c>
      <c r="Y29" s="9">
        <f t="shared" ref="Y29:Y39" si="10">ROUND(S29 / 1.2, 2)</f>
        <v>0</v>
      </c>
      <c r="AD29" s="4" t="s">
        <v>112</v>
      </c>
      <c r="AE29" s="4" t="s">
        <v>113</v>
      </c>
      <c r="AF29" s="4" t="s">
        <v>71</v>
      </c>
    </row>
    <row r="30" spans="1:35" ht="54" x14ac:dyDescent="0.3">
      <c r="A30" s="23" t="s">
        <v>114</v>
      </c>
      <c r="B30" s="23"/>
      <c r="C30" s="41" t="s">
        <v>67</v>
      </c>
      <c r="D30" s="25"/>
      <c r="E30" s="25"/>
      <c r="F30" s="42" t="s">
        <v>68</v>
      </c>
      <c r="G30" s="43">
        <v>1</v>
      </c>
      <c r="H30" s="25"/>
      <c r="I30" s="43">
        <v>162.4</v>
      </c>
      <c r="J30" s="44">
        <v>88.35</v>
      </c>
      <c r="K30" s="45"/>
      <c r="L30" s="45"/>
      <c r="M30" s="44">
        <f t="shared" si="7"/>
        <v>14348.04</v>
      </c>
      <c r="N30" s="45"/>
      <c r="O30" s="45"/>
      <c r="P30" s="44">
        <v>88.35</v>
      </c>
      <c r="Q30" s="45"/>
      <c r="R30" s="45"/>
      <c r="S30" s="44">
        <f t="shared" si="8"/>
        <v>14348.04</v>
      </c>
      <c r="T30" s="45"/>
      <c r="U30" s="46"/>
      <c r="V30" s="9">
        <f t="shared" si="9"/>
        <v>73.63</v>
      </c>
      <c r="Y30" s="9">
        <f t="shared" si="10"/>
        <v>11956.7</v>
      </c>
      <c r="AD30" s="4" t="s">
        <v>115</v>
      </c>
      <c r="AE30" s="4" t="s">
        <v>113</v>
      </c>
      <c r="AF30" s="4" t="s">
        <v>71</v>
      </c>
    </row>
    <row r="31" spans="1:35" ht="18" x14ac:dyDescent="0.3">
      <c r="A31" s="17" t="s">
        <v>116</v>
      </c>
      <c r="B31" s="17"/>
      <c r="C31" s="34" t="s">
        <v>117</v>
      </c>
      <c r="D31" s="19"/>
      <c r="E31" s="19"/>
      <c r="F31" s="35" t="s">
        <v>76</v>
      </c>
      <c r="G31" s="36">
        <v>2.04</v>
      </c>
      <c r="H31" s="19"/>
      <c r="I31" s="48">
        <v>0</v>
      </c>
      <c r="J31" s="38">
        <v>64.56</v>
      </c>
      <c r="K31" s="39"/>
      <c r="L31" s="39"/>
      <c r="M31" s="38">
        <f t="shared" si="7"/>
        <v>0</v>
      </c>
      <c r="N31" s="39"/>
      <c r="O31" s="39"/>
      <c r="P31" s="38">
        <v>64.56</v>
      </c>
      <c r="Q31" s="39"/>
      <c r="R31" s="39"/>
      <c r="S31" s="38">
        <f t="shared" si="8"/>
        <v>0</v>
      </c>
      <c r="T31" s="39"/>
      <c r="U31" s="40"/>
      <c r="V31" s="9">
        <f t="shared" si="9"/>
        <v>53.8</v>
      </c>
      <c r="Y31" s="9">
        <f t="shared" si="10"/>
        <v>0</v>
      </c>
      <c r="AD31" s="4" t="s">
        <v>118</v>
      </c>
      <c r="AE31" s="4" t="s">
        <v>119</v>
      </c>
      <c r="AF31" s="4" t="s">
        <v>120</v>
      </c>
    </row>
    <row r="32" spans="1:35" ht="18" x14ac:dyDescent="0.3">
      <c r="A32" s="23" t="s">
        <v>121</v>
      </c>
      <c r="B32" s="23"/>
      <c r="C32" s="41" t="s">
        <v>117</v>
      </c>
      <c r="D32" s="25"/>
      <c r="E32" s="25"/>
      <c r="F32" s="42" t="s">
        <v>76</v>
      </c>
      <c r="G32" s="43">
        <v>2.04</v>
      </c>
      <c r="H32" s="25"/>
      <c r="I32" s="50">
        <v>331.29599999999999</v>
      </c>
      <c r="J32" s="44">
        <v>64.56</v>
      </c>
      <c r="K32" s="45"/>
      <c r="L32" s="45"/>
      <c r="M32" s="44">
        <f t="shared" si="7"/>
        <v>21388.47</v>
      </c>
      <c r="N32" s="45"/>
      <c r="O32" s="45"/>
      <c r="P32" s="44">
        <v>64.56</v>
      </c>
      <c r="Q32" s="45"/>
      <c r="R32" s="45"/>
      <c r="S32" s="44">
        <f t="shared" si="8"/>
        <v>21388.47</v>
      </c>
      <c r="T32" s="45"/>
      <c r="U32" s="46"/>
      <c r="V32" s="9">
        <f t="shared" si="9"/>
        <v>53.8</v>
      </c>
      <c r="Y32" s="9">
        <f t="shared" si="10"/>
        <v>17823.73</v>
      </c>
      <c r="AD32" s="4" t="s">
        <v>122</v>
      </c>
      <c r="AE32" s="4" t="s">
        <v>119</v>
      </c>
      <c r="AF32" s="4" t="s">
        <v>120</v>
      </c>
    </row>
    <row r="33" spans="1:35" ht="18" x14ac:dyDescent="0.3">
      <c r="A33" s="17" t="s">
        <v>123</v>
      </c>
      <c r="B33" s="17"/>
      <c r="C33" s="34" t="s">
        <v>124</v>
      </c>
      <c r="D33" s="19"/>
      <c r="E33" s="19"/>
      <c r="F33" s="35" t="s">
        <v>76</v>
      </c>
      <c r="G33" s="36">
        <v>0.8</v>
      </c>
      <c r="H33" s="19"/>
      <c r="I33" s="48">
        <v>0</v>
      </c>
      <c r="J33" s="38">
        <v>51.63</v>
      </c>
      <c r="K33" s="39"/>
      <c r="L33" s="39"/>
      <c r="M33" s="38">
        <f t="shared" si="7"/>
        <v>0</v>
      </c>
      <c r="N33" s="39"/>
      <c r="O33" s="39"/>
      <c r="P33" s="38">
        <v>51.63</v>
      </c>
      <c r="Q33" s="39"/>
      <c r="R33" s="39"/>
      <c r="S33" s="38">
        <f t="shared" si="8"/>
        <v>0</v>
      </c>
      <c r="T33" s="39"/>
      <c r="U33" s="40"/>
      <c r="V33" s="9">
        <f t="shared" si="9"/>
        <v>43.03</v>
      </c>
      <c r="Y33" s="9">
        <f t="shared" si="10"/>
        <v>0</v>
      </c>
      <c r="AD33" s="4" t="s">
        <v>125</v>
      </c>
      <c r="AE33" s="4" t="s">
        <v>126</v>
      </c>
      <c r="AF33" s="4" t="s">
        <v>127</v>
      </c>
    </row>
    <row r="34" spans="1:35" ht="18" x14ac:dyDescent="0.3">
      <c r="A34" s="23" t="s">
        <v>128</v>
      </c>
      <c r="B34" s="23"/>
      <c r="C34" s="41" t="s">
        <v>124</v>
      </c>
      <c r="D34" s="25"/>
      <c r="E34" s="25"/>
      <c r="F34" s="42" t="s">
        <v>76</v>
      </c>
      <c r="G34" s="43">
        <v>0.8</v>
      </c>
      <c r="H34" s="25"/>
      <c r="I34" s="50">
        <v>129.91999999999999</v>
      </c>
      <c r="J34" s="44">
        <v>51.63</v>
      </c>
      <c r="K34" s="45"/>
      <c r="L34" s="45"/>
      <c r="M34" s="44">
        <f t="shared" si="7"/>
        <v>6707.77</v>
      </c>
      <c r="N34" s="45"/>
      <c r="O34" s="45"/>
      <c r="P34" s="44">
        <v>51.63</v>
      </c>
      <c r="Q34" s="45"/>
      <c r="R34" s="45"/>
      <c r="S34" s="44">
        <f t="shared" si="8"/>
        <v>6707.77</v>
      </c>
      <c r="T34" s="45"/>
      <c r="U34" s="46"/>
      <c r="V34" s="9">
        <f t="shared" si="9"/>
        <v>43.03</v>
      </c>
      <c r="Y34" s="9">
        <f t="shared" si="10"/>
        <v>5589.81</v>
      </c>
      <c r="AD34" s="4" t="s">
        <v>129</v>
      </c>
      <c r="AE34" s="4" t="s">
        <v>126</v>
      </c>
      <c r="AF34" s="4" t="s">
        <v>127</v>
      </c>
    </row>
    <row r="35" spans="1:35" ht="36" x14ac:dyDescent="0.3">
      <c r="A35" s="17" t="s">
        <v>130</v>
      </c>
      <c r="B35" s="17"/>
      <c r="C35" s="34" t="s">
        <v>90</v>
      </c>
      <c r="D35" s="19"/>
      <c r="E35" s="19"/>
      <c r="F35" s="35" t="s">
        <v>91</v>
      </c>
      <c r="G35" s="36">
        <v>5.1999999999999998E-2</v>
      </c>
      <c r="H35" s="19"/>
      <c r="I35" s="37">
        <v>0</v>
      </c>
      <c r="J35" s="38">
        <v>4026.8</v>
      </c>
      <c r="K35" s="39"/>
      <c r="L35" s="39"/>
      <c r="M35" s="38">
        <f t="shared" si="7"/>
        <v>0</v>
      </c>
      <c r="N35" s="39"/>
      <c r="O35" s="39"/>
      <c r="P35" s="38">
        <v>4026.8</v>
      </c>
      <c r="Q35" s="39"/>
      <c r="R35" s="39"/>
      <c r="S35" s="38">
        <f t="shared" si="8"/>
        <v>0</v>
      </c>
      <c r="T35" s="39"/>
      <c r="U35" s="40"/>
      <c r="V35" s="9">
        <f t="shared" si="9"/>
        <v>3355.67</v>
      </c>
      <c r="Y35" s="9">
        <f t="shared" si="10"/>
        <v>0</v>
      </c>
      <c r="AD35" s="4" t="s">
        <v>131</v>
      </c>
      <c r="AE35" s="4" t="s">
        <v>132</v>
      </c>
      <c r="AF35" s="4" t="s">
        <v>94</v>
      </c>
    </row>
    <row r="36" spans="1:35" ht="36" x14ac:dyDescent="0.3">
      <c r="A36" s="23" t="s">
        <v>133</v>
      </c>
      <c r="B36" s="23"/>
      <c r="C36" s="41" t="s">
        <v>90</v>
      </c>
      <c r="D36" s="25"/>
      <c r="E36" s="25"/>
      <c r="F36" s="42" t="s">
        <v>91</v>
      </c>
      <c r="G36" s="43">
        <v>5.1999999999999998E-2</v>
      </c>
      <c r="H36" s="25"/>
      <c r="I36" s="43">
        <v>8.4450000000000003</v>
      </c>
      <c r="J36" s="44">
        <v>4026.8</v>
      </c>
      <c r="K36" s="45"/>
      <c r="L36" s="45"/>
      <c r="M36" s="44">
        <f t="shared" si="7"/>
        <v>34006.33</v>
      </c>
      <c r="N36" s="45"/>
      <c r="O36" s="45"/>
      <c r="P36" s="44">
        <v>4026.8</v>
      </c>
      <c r="Q36" s="45"/>
      <c r="R36" s="45"/>
      <c r="S36" s="44">
        <f t="shared" si="8"/>
        <v>34006.33</v>
      </c>
      <c r="T36" s="45"/>
      <c r="U36" s="46"/>
      <c r="V36" s="9">
        <f t="shared" si="9"/>
        <v>3355.67</v>
      </c>
      <c r="Y36" s="9">
        <f t="shared" si="10"/>
        <v>28338.61</v>
      </c>
      <c r="AD36" s="4" t="s">
        <v>134</v>
      </c>
      <c r="AE36" s="4" t="s">
        <v>132</v>
      </c>
      <c r="AF36" s="4" t="s">
        <v>94</v>
      </c>
    </row>
    <row r="37" spans="1:35" ht="36" x14ac:dyDescent="0.3">
      <c r="A37" s="17" t="s">
        <v>135</v>
      </c>
      <c r="B37" s="17"/>
      <c r="C37" s="34" t="s">
        <v>98</v>
      </c>
      <c r="D37" s="19"/>
      <c r="E37" s="19" t="s">
        <v>136</v>
      </c>
      <c r="F37" s="35" t="s">
        <v>61</v>
      </c>
      <c r="G37" s="36">
        <v>4.2</v>
      </c>
      <c r="H37" s="19"/>
      <c r="I37" s="37">
        <v>0</v>
      </c>
      <c r="J37" s="38">
        <v>135.53</v>
      </c>
      <c r="K37" s="39"/>
      <c r="L37" s="39"/>
      <c r="M37" s="38">
        <f t="shared" si="7"/>
        <v>0</v>
      </c>
      <c r="N37" s="39"/>
      <c r="O37" s="39"/>
      <c r="P37" s="38">
        <v>1520.33</v>
      </c>
      <c r="Q37" s="39"/>
      <c r="R37" s="39"/>
      <c r="S37" s="38">
        <f t="shared" si="8"/>
        <v>0</v>
      </c>
      <c r="T37" s="39"/>
      <c r="U37" s="40"/>
      <c r="V37" s="9">
        <f t="shared" si="9"/>
        <v>1266.94</v>
      </c>
      <c r="Y37" s="9">
        <f t="shared" si="10"/>
        <v>0</v>
      </c>
      <c r="AD37" s="4" t="s">
        <v>137</v>
      </c>
      <c r="AE37" s="4" t="s">
        <v>138</v>
      </c>
      <c r="AF37" s="4" t="s">
        <v>101</v>
      </c>
    </row>
    <row r="38" spans="1:35" ht="36" x14ac:dyDescent="0.3">
      <c r="A38" s="23" t="s">
        <v>139</v>
      </c>
      <c r="B38" s="23"/>
      <c r="C38" s="41" t="s">
        <v>98</v>
      </c>
      <c r="D38" s="25"/>
      <c r="E38" s="25" t="s">
        <v>136</v>
      </c>
      <c r="F38" s="42" t="s">
        <v>61</v>
      </c>
      <c r="G38" s="43">
        <v>4.2</v>
      </c>
      <c r="H38" s="25"/>
      <c r="I38" s="43">
        <v>682.08</v>
      </c>
      <c r="J38" s="44">
        <v>135.53</v>
      </c>
      <c r="K38" s="45"/>
      <c r="L38" s="45"/>
      <c r="M38" s="44">
        <f t="shared" si="7"/>
        <v>92442.3</v>
      </c>
      <c r="N38" s="45"/>
      <c r="O38" s="45"/>
      <c r="P38" s="44">
        <v>1520.33</v>
      </c>
      <c r="Q38" s="45"/>
      <c r="R38" s="45"/>
      <c r="S38" s="44">
        <f t="shared" si="8"/>
        <v>1036986.69</v>
      </c>
      <c r="T38" s="45"/>
      <c r="U38" s="46"/>
      <c r="V38" s="9">
        <f t="shared" si="9"/>
        <v>1266.94</v>
      </c>
      <c r="Y38" s="9">
        <f t="shared" si="10"/>
        <v>864155.58</v>
      </c>
      <c r="AD38" s="4" t="s">
        <v>140</v>
      </c>
      <c r="AE38" s="4" t="s">
        <v>138</v>
      </c>
      <c r="AF38" s="4" t="s">
        <v>101</v>
      </c>
    </row>
    <row r="39" spans="1:35" ht="216" x14ac:dyDescent="0.3">
      <c r="A39" s="17" t="s">
        <v>141</v>
      </c>
      <c r="B39" s="17" t="s">
        <v>105</v>
      </c>
      <c r="C39" s="18" t="s">
        <v>106</v>
      </c>
      <c r="D39" s="19" t="s">
        <v>59</v>
      </c>
      <c r="E39" s="19" t="s">
        <v>142</v>
      </c>
      <c r="F39" s="19" t="s">
        <v>61</v>
      </c>
      <c r="G39" s="20">
        <v>1</v>
      </c>
      <c r="H39" s="19"/>
      <c r="I39" s="21">
        <v>0</v>
      </c>
      <c r="J39" s="22">
        <v>951.65</v>
      </c>
      <c r="K39" s="22">
        <v>1991</v>
      </c>
      <c r="L39" s="22">
        <f>J39+ROUND(K39, 2)</f>
        <v>2942.65</v>
      </c>
      <c r="M39" s="22">
        <v>0</v>
      </c>
      <c r="N39" s="22">
        <v>0</v>
      </c>
      <c r="O39" s="22">
        <f>M39+N39</f>
        <v>0</v>
      </c>
      <c r="P39" s="22">
        <v>951.65</v>
      </c>
      <c r="Q39" s="22">
        <v>1991</v>
      </c>
      <c r="R39" s="22">
        <f>P39+ROUND(Q39, 2)</f>
        <v>2942.65</v>
      </c>
      <c r="S39" s="22">
        <v>0</v>
      </c>
      <c r="T39" s="22">
        <v>0</v>
      </c>
      <c r="U39" s="22">
        <f>S39+T39</f>
        <v>0</v>
      </c>
      <c r="V39" s="9">
        <f>ROUND(P39 / 1.2, 2)</f>
        <v>793.04</v>
      </c>
      <c r="W39" s="9">
        <f>ROUND(Q39 / 1.2, 2)</f>
        <v>1659.17</v>
      </c>
      <c r="X39" s="9">
        <f>ROUND(R39 / 1.2, 2)</f>
        <v>2452.21</v>
      </c>
      <c r="Y39" s="9">
        <f t="shared" si="10"/>
        <v>0</v>
      </c>
      <c r="Z39" s="9">
        <f>ROUND(T39 / 1.2, 2)</f>
        <v>0</v>
      </c>
      <c r="AA39" s="9">
        <f>Y39+Z39</f>
        <v>0</v>
      </c>
      <c r="AD39" s="4">
        <v>320320146</v>
      </c>
      <c r="AE39" s="4">
        <v>26813811</v>
      </c>
      <c r="AG39" s="4" t="s">
        <v>108</v>
      </c>
      <c r="AH39" s="4" t="s">
        <v>109</v>
      </c>
      <c r="AI39" s="4" t="s">
        <v>64</v>
      </c>
    </row>
    <row r="40" spans="1:35" ht="216" x14ac:dyDescent="0.3">
      <c r="A40" s="23" t="s">
        <v>143</v>
      </c>
      <c r="B40" s="23" t="s">
        <v>105</v>
      </c>
      <c r="C40" s="24" t="s">
        <v>106</v>
      </c>
      <c r="D40" s="25" t="s">
        <v>59</v>
      </c>
      <c r="E40" s="25" t="s">
        <v>142</v>
      </c>
      <c r="F40" s="25" t="s">
        <v>61</v>
      </c>
      <c r="G40" s="26">
        <v>1</v>
      </c>
      <c r="H40" s="25"/>
      <c r="I40" s="26">
        <v>59.8</v>
      </c>
      <c r="J40" s="27">
        <v>951.65</v>
      </c>
      <c r="K40" s="27">
        <v>1991</v>
      </c>
      <c r="L40" s="27">
        <v>1991</v>
      </c>
      <c r="M40" s="27">
        <v>56908.67</v>
      </c>
      <c r="N40" s="27">
        <v>119061.8</v>
      </c>
      <c r="O40" s="27"/>
      <c r="P40" s="27">
        <v>951.65</v>
      </c>
      <c r="Q40" s="27">
        <v>1991</v>
      </c>
      <c r="R40" s="27">
        <v>1991</v>
      </c>
      <c r="S40" s="27">
        <v>56908.67</v>
      </c>
      <c r="T40" s="27">
        <v>119061.8</v>
      </c>
      <c r="U40" s="27"/>
      <c r="V40" s="9"/>
      <c r="W40" s="9">
        <f>ROUND(Q40 / 1.2, 2)</f>
        <v>1659.17</v>
      </c>
      <c r="X40" s="9">
        <f>ROUND(R40 / 1.2, 2)</f>
        <v>1659.17</v>
      </c>
      <c r="Y40" s="9"/>
      <c r="Z40" s="9">
        <f>ROUND(T40 / 1.2, 2)</f>
        <v>99218.17</v>
      </c>
      <c r="AA40" s="9"/>
      <c r="AD40" s="4">
        <v>315454833</v>
      </c>
      <c r="AE40" s="4">
        <v>26813811</v>
      </c>
      <c r="AG40" s="4" t="s">
        <v>108</v>
      </c>
      <c r="AH40" s="4" t="s">
        <v>109</v>
      </c>
      <c r="AI40" s="4"/>
    </row>
    <row r="41" spans="1:35" ht="36" x14ac:dyDescent="0.3">
      <c r="A41" s="17" t="s">
        <v>144</v>
      </c>
      <c r="B41" s="17"/>
      <c r="C41" s="34" t="s">
        <v>98</v>
      </c>
      <c r="D41" s="19"/>
      <c r="E41" s="19"/>
      <c r="F41" s="35" t="s">
        <v>61</v>
      </c>
      <c r="G41" s="36">
        <v>4.2</v>
      </c>
      <c r="H41" s="19"/>
      <c r="I41" s="37">
        <v>0</v>
      </c>
      <c r="J41" s="38">
        <v>135.53</v>
      </c>
      <c r="K41" s="39"/>
      <c r="L41" s="39"/>
      <c r="M41" s="38">
        <f t="shared" ref="M41:M48" si="11">ROUND(ROUND(J41, 2)*I41, 2)</f>
        <v>0</v>
      </c>
      <c r="N41" s="39"/>
      <c r="O41" s="39"/>
      <c r="P41" s="38">
        <v>135.53</v>
      </c>
      <c r="Q41" s="39"/>
      <c r="R41" s="39"/>
      <c r="S41" s="38">
        <f t="shared" ref="S41:S48" si="12">ROUND(ROUND(P41, 2)*I41, 2)</f>
        <v>0</v>
      </c>
      <c r="T41" s="39"/>
      <c r="U41" s="40"/>
      <c r="V41" s="9">
        <f t="shared" ref="V41:V48" si="13">ROUND(ROUND(P41, 2)/1.2, 2)</f>
        <v>112.94</v>
      </c>
      <c r="Y41" s="9">
        <f t="shared" ref="Y41:Y49" si="14">ROUND(S41 / 1.2, 2)</f>
        <v>0</v>
      </c>
      <c r="AD41" s="4" t="s">
        <v>145</v>
      </c>
      <c r="AE41" s="4" t="s">
        <v>146</v>
      </c>
      <c r="AF41" s="4" t="s">
        <v>101</v>
      </c>
    </row>
    <row r="42" spans="1:35" ht="36" x14ac:dyDescent="0.3">
      <c r="A42" s="23" t="s">
        <v>147</v>
      </c>
      <c r="B42" s="23"/>
      <c r="C42" s="41" t="s">
        <v>98</v>
      </c>
      <c r="D42" s="25"/>
      <c r="E42" s="25"/>
      <c r="F42" s="42" t="s">
        <v>61</v>
      </c>
      <c r="G42" s="43">
        <v>4.2</v>
      </c>
      <c r="H42" s="25"/>
      <c r="I42" s="43">
        <v>251.16</v>
      </c>
      <c r="J42" s="44">
        <v>135.53</v>
      </c>
      <c r="K42" s="45"/>
      <c r="L42" s="45"/>
      <c r="M42" s="44">
        <f t="shared" si="11"/>
        <v>34039.71</v>
      </c>
      <c r="N42" s="45"/>
      <c r="O42" s="45"/>
      <c r="P42" s="44">
        <v>135.53</v>
      </c>
      <c r="Q42" s="45"/>
      <c r="R42" s="45"/>
      <c r="S42" s="44">
        <f t="shared" si="12"/>
        <v>34039.71</v>
      </c>
      <c r="T42" s="45"/>
      <c r="U42" s="46"/>
      <c r="V42" s="9">
        <f t="shared" si="13"/>
        <v>112.94</v>
      </c>
      <c r="Y42" s="9">
        <f t="shared" si="14"/>
        <v>28366.43</v>
      </c>
      <c r="AD42" s="4" t="s">
        <v>148</v>
      </c>
      <c r="AE42" s="4" t="s">
        <v>146</v>
      </c>
      <c r="AF42" s="4" t="s">
        <v>101</v>
      </c>
    </row>
    <row r="43" spans="1:35" ht="36" x14ac:dyDescent="0.3">
      <c r="A43" s="17" t="s">
        <v>149</v>
      </c>
      <c r="B43" s="17"/>
      <c r="C43" s="34" t="s">
        <v>90</v>
      </c>
      <c r="D43" s="19"/>
      <c r="E43" s="19"/>
      <c r="F43" s="35" t="s">
        <v>91</v>
      </c>
      <c r="G43" s="36">
        <v>5.1999999999999998E-2</v>
      </c>
      <c r="H43" s="19"/>
      <c r="I43" s="37">
        <v>0</v>
      </c>
      <c r="J43" s="38">
        <v>4026.8</v>
      </c>
      <c r="K43" s="39"/>
      <c r="L43" s="39"/>
      <c r="M43" s="38">
        <f t="shared" si="11"/>
        <v>0</v>
      </c>
      <c r="N43" s="39"/>
      <c r="O43" s="39"/>
      <c r="P43" s="38">
        <v>4026.8</v>
      </c>
      <c r="Q43" s="39"/>
      <c r="R43" s="39"/>
      <c r="S43" s="38">
        <f t="shared" si="12"/>
        <v>0</v>
      </c>
      <c r="T43" s="39"/>
      <c r="U43" s="40"/>
      <c r="V43" s="9">
        <f t="shared" si="13"/>
        <v>3355.67</v>
      </c>
      <c r="Y43" s="9">
        <f t="shared" si="14"/>
        <v>0</v>
      </c>
      <c r="AD43" s="4" t="s">
        <v>150</v>
      </c>
      <c r="AE43" s="4" t="s">
        <v>151</v>
      </c>
      <c r="AF43" s="4" t="s">
        <v>94</v>
      </c>
    </row>
    <row r="44" spans="1:35" ht="36" x14ac:dyDescent="0.3">
      <c r="A44" s="23" t="s">
        <v>152</v>
      </c>
      <c r="B44" s="23"/>
      <c r="C44" s="41" t="s">
        <v>90</v>
      </c>
      <c r="D44" s="25"/>
      <c r="E44" s="25"/>
      <c r="F44" s="42" t="s">
        <v>91</v>
      </c>
      <c r="G44" s="43">
        <v>5.1999999999999998E-2</v>
      </c>
      <c r="H44" s="25"/>
      <c r="I44" s="43">
        <v>3.11</v>
      </c>
      <c r="J44" s="44">
        <v>4026.8</v>
      </c>
      <c r="K44" s="45"/>
      <c r="L44" s="45"/>
      <c r="M44" s="44">
        <f t="shared" si="11"/>
        <v>12523.35</v>
      </c>
      <c r="N44" s="45"/>
      <c r="O44" s="45"/>
      <c r="P44" s="44">
        <v>4026.8</v>
      </c>
      <c r="Q44" s="45"/>
      <c r="R44" s="45"/>
      <c r="S44" s="44">
        <f t="shared" si="12"/>
        <v>12523.35</v>
      </c>
      <c r="T44" s="45"/>
      <c r="U44" s="46"/>
      <c r="V44" s="9">
        <f t="shared" si="13"/>
        <v>3355.67</v>
      </c>
      <c r="Y44" s="9">
        <f t="shared" si="14"/>
        <v>10436.129999999999</v>
      </c>
      <c r="AD44" s="4" t="s">
        <v>153</v>
      </c>
      <c r="AE44" s="4" t="s">
        <v>151</v>
      </c>
      <c r="AF44" s="4" t="s">
        <v>94</v>
      </c>
    </row>
    <row r="45" spans="1:35" ht="18" x14ac:dyDescent="0.3">
      <c r="A45" s="17" t="s">
        <v>154</v>
      </c>
      <c r="B45" s="17"/>
      <c r="C45" s="34" t="s">
        <v>117</v>
      </c>
      <c r="D45" s="19"/>
      <c r="E45" s="19"/>
      <c r="F45" s="35" t="s">
        <v>76</v>
      </c>
      <c r="G45" s="36">
        <v>2.04</v>
      </c>
      <c r="H45" s="19"/>
      <c r="I45" s="48">
        <v>0</v>
      </c>
      <c r="J45" s="38">
        <v>64.56</v>
      </c>
      <c r="K45" s="39"/>
      <c r="L45" s="39"/>
      <c r="M45" s="38">
        <f t="shared" si="11"/>
        <v>0</v>
      </c>
      <c r="N45" s="39"/>
      <c r="O45" s="39"/>
      <c r="P45" s="38">
        <v>64.56</v>
      </c>
      <c r="Q45" s="39"/>
      <c r="R45" s="39"/>
      <c r="S45" s="38">
        <f t="shared" si="12"/>
        <v>0</v>
      </c>
      <c r="T45" s="39"/>
      <c r="U45" s="40"/>
      <c r="V45" s="9">
        <f t="shared" si="13"/>
        <v>53.8</v>
      </c>
      <c r="Y45" s="9">
        <f t="shared" si="14"/>
        <v>0</v>
      </c>
      <c r="AD45" s="4" t="s">
        <v>155</v>
      </c>
      <c r="AE45" s="4" t="s">
        <v>156</v>
      </c>
      <c r="AF45" s="4" t="s">
        <v>120</v>
      </c>
    </row>
    <row r="46" spans="1:35" ht="18" x14ac:dyDescent="0.3">
      <c r="A46" s="23" t="s">
        <v>157</v>
      </c>
      <c r="B46" s="23"/>
      <c r="C46" s="41" t="s">
        <v>117</v>
      </c>
      <c r="D46" s="25"/>
      <c r="E46" s="25"/>
      <c r="F46" s="42" t="s">
        <v>76</v>
      </c>
      <c r="G46" s="43">
        <v>2.04</v>
      </c>
      <c r="H46" s="25"/>
      <c r="I46" s="50">
        <v>121.992</v>
      </c>
      <c r="J46" s="44">
        <v>64.56</v>
      </c>
      <c r="K46" s="45"/>
      <c r="L46" s="45"/>
      <c r="M46" s="44">
        <f t="shared" si="11"/>
        <v>7875.8</v>
      </c>
      <c r="N46" s="45"/>
      <c r="O46" s="45"/>
      <c r="P46" s="44">
        <v>64.56</v>
      </c>
      <c r="Q46" s="45"/>
      <c r="R46" s="45"/>
      <c r="S46" s="44">
        <f t="shared" si="12"/>
        <v>7875.8</v>
      </c>
      <c r="T46" s="45"/>
      <c r="U46" s="46"/>
      <c r="V46" s="9">
        <f t="shared" si="13"/>
        <v>53.8</v>
      </c>
      <c r="Y46" s="9">
        <f t="shared" si="14"/>
        <v>6563.17</v>
      </c>
      <c r="AD46" s="4" t="s">
        <v>158</v>
      </c>
      <c r="AE46" s="4" t="s">
        <v>156</v>
      </c>
      <c r="AF46" s="4" t="s">
        <v>120</v>
      </c>
    </row>
    <row r="47" spans="1:35" ht="18" x14ac:dyDescent="0.3">
      <c r="A47" s="17" t="s">
        <v>159</v>
      </c>
      <c r="B47" s="17"/>
      <c r="C47" s="34" t="s">
        <v>124</v>
      </c>
      <c r="D47" s="19"/>
      <c r="E47" s="19"/>
      <c r="F47" s="35" t="s">
        <v>76</v>
      </c>
      <c r="G47" s="36">
        <v>0.8</v>
      </c>
      <c r="H47" s="19"/>
      <c r="I47" s="48">
        <v>0</v>
      </c>
      <c r="J47" s="38">
        <v>51.63</v>
      </c>
      <c r="K47" s="39"/>
      <c r="L47" s="39"/>
      <c r="M47" s="38">
        <f t="shared" si="11"/>
        <v>0</v>
      </c>
      <c r="N47" s="39"/>
      <c r="O47" s="39"/>
      <c r="P47" s="38">
        <v>51.63</v>
      </c>
      <c r="Q47" s="39"/>
      <c r="R47" s="39"/>
      <c r="S47" s="38">
        <f t="shared" si="12"/>
        <v>0</v>
      </c>
      <c r="T47" s="39"/>
      <c r="U47" s="40"/>
      <c r="V47" s="9">
        <f t="shared" si="13"/>
        <v>43.03</v>
      </c>
      <c r="Y47" s="9">
        <f t="shared" si="14"/>
        <v>0</v>
      </c>
      <c r="AD47" s="4" t="s">
        <v>160</v>
      </c>
      <c r="AE47" s="4" t="s">
        <v>161</v>
      </c>
      <c r="AF47" s="4" t="s">
        <v>127</v>
      </c>
    </row>
    <row r="48" spans="1:35" ht="18" x14ac:dyDescent="0.3">
      <c r="A48" s="23" t="s">
        <v>162</v>
      </c>
      <c r="B48" s="23"/>
      <c r="C48" s="41" t="s">
        <v>124</v>
      </c>
      <c r="D48" s="25"/>
      <c r="E48" s="25"/>
      <c r="F48" s="42" t="s">
        <v>76</v>
      </c>
      <c r="G48" s="43">
        <v>0.8</v>
      </c>
      <c r="H48" s="25"/>
      <c r="I48" s="50">
        <v>47.84</v>
      </c>
      <c r="J48" s="44">
        <v>51.63</v>
      </c>
      <c r="K48" s="45"/>
      <c r="L48" s="45"/>
      <c r="M48" s="44">
        <f t="shared" si="11"/>
        <v>2469.98</v>
      </c>
      <c r="N48" s="45"/>
      <c r="O48" s="45"/>
      <c r="P48" s="44">
        <v>51.63</v>
      </c>
      <c r="Q48" s="45"/>
      <c r="R48" s="45"/>
      <c r="S48" s="44">
        <f t="shared" si="12"/>
        <v>2469.98</v>
      </c>
      <c r="T48" s="45"/>
      <c r="U48" s="46"/>
      <c r="V48" s="9">
        <f t="shared" si="13"/>
        <v>43.03</v>
      </c>
      <c r="Y48" s="9">
        <f t="shared" si="14"/>
        <v>2058.3200000000002</v>
      </c>
      <c r="AD48" s="4" t="s">
        <v>163</v>
      </c>
      <c r="AE48" s="4" t="s">
        <v>161</v>
      </c>
      <c r="AF48" s="4" t="s">
        <v>127</v>
      </c>
    </row>
    <row r="49" spans="1:35" ht="306" x14ac:dyDescent="0.3">
      <c r="A49" s="17" t="s">
        <v>164</v>
      </c>
      <c r="B49" s="17" t="s">
        <v>165</v>
      </c>
      <c r="C49" s="18" t="s">
        <v>166</v>
      </c>
      <c r="D49" s="19" t="s">
        <v>59</v>
      </c>
      <c r="E49" s="19" t="s">
        <v>167</v>
      </c>
      <c r="F49" s="19" t="s">
        <v>61</v>
      </c>
      <c r="G49" s="20">
        <v>1</v>
      </c>
      <c r="H49" s="19"/>
      <c r="I49" s="21">
        <v>0</v>
      </c>
      <c r="J49" s="22">
        <v>805.05</v>
      </c>
      <c r="K49" s="22">
        <v>1225</v>
      </c>
      <c r="L49" s="22">
        <f>J49+ROUND(K49, 2)</f>
        <v>2030.05</v>
      </c>
      <c r="M49" s="22">
        <v>0</v>
      </c>
      <c r="N49" s="22">
        <v>0</v>
      </c>
      <c r="O49" s="22">
        <f>M49+N49</f>
        <v>0</v>
      </c>
      <c r="P49" s="22">
        <v>805.05</v>
      </c>
      <c r="Q49" s="22">
        <v>1225</v>
      </c>
      <c r="R49" s="22">
        <f>P49+ROUND(Q49, 2)</f>
        <v>2030.05</v>
      </c>
      <c r="S49" s="22">
        <v>0</v>
      </c>
      <c r="T49" s="22">
        <v>0</v>
      </c>
      <c r="U49" s="22">
        <f>S49+T49</f>
        <v>0</v>
      </c>
      <c r="V49" s="9">
        <f>ROUND(P49 / 1.2, 2)</f>
        <v>670.88</v>
      </c>
      <c r="W49" s="9">
        <f>ROUND(Q49 / 1.2, 2)</f>
        <v>1020.83</v>
      </c>
      <c r="X49" s="9">
        <f>ROUND(R49 / 1.2, 2)</f>
        <v>1691.71</v>
      </c>
      <c r="Y49" s="9">
        <f t="shared" si="14"/>
        <v>0</v>
      </c>
      <c r="Z49" s="9">
        <f>ROUND(T49 / 1.2, 2)</f>
        <v>0</v>
      </c>
      <c r="AA49" s="9">
        <f>Y49+Z49</f>
        <v>0</v>
      </c>
      <c r="AD49" s="4">
        <v>320320080</v>
      </c>
      <c r="AE49" s="4">
        <v>26813816</v>
      </c>
      <c r="AG49" s="4" t="s">
        <v>168</v>
      </c>
      <c r="AH49" s="4" t="s">
        <v>169</v>
      </c>
      <c r="AI49" s="4" t="s">
        <v>64</v>
      </c>
    </row>
    <row r="50" spans="1:35" ht="306" x14ac:dyDescent="0.3">
      <c r="A50" s="23" t="s">
        <v>170</v>
      </c>
      <c r="B50" s="23" t="s">
        <v>165</v>
      </c>
      <c r="C50" s="24" t="s">
        <v>166</v>
      </c>
      <c r="D50" s="25" t="s">
        <v>59</v>
      </c>
      <c r="E50" s="25" t="s">
        <v>167</v>
      </c>
      <c r="F50" s="25" t="s">
        <v>61</v>
      </c>
      <c r="G50" s="26">
        <v>1</v>
      </c>
      <c r="H50" s="25"/>
      <c r="I50" s="26">
        <v>783.6</v>
      </c>
      <c r="J50" s="27">
        <v>805.05</v>
      </c>
      <c r="K50" s="27">
        <v>1225</v>
      </c>
      <c r="L50" s="27">
        <v>1225</v>
      </c>
      <c r="M50" s="27">
        <v>630837.18000000005</v>
      </c>
      <c r="N50" s="27">
        <v>959910</v>
      </c>
      <c r="O50" s="27"/>
      <c r="P50" s="27">
        <v>805.05</v>
      </c>
      <c r="Q50" s="27">
        <v>1225</v>
      </c>
      <c r="R50" s="27">
        <v>1225</v>
      </c>
      <c r="S50" s="27">
        <v>630837.18000000005</v>
      </c>
      <c r="T50" s="27">
        <v>959910</v>
      </c>
      <c r="U50" s="27"/>
      <c r="V50" s="9"/>
      <c r="W50" s="9">
        <f>ROUND(Q50 / 1.2, 2)</f>
        <v>1020.83</v>
      </c>
      <c r="X50" s="9">
        <f>ROUND(R50 / 1.2, 2)</f>
        <v>1020.83</v>
      </c>
      <c r="Y50" s="9"/>
      <c r="Z50" s="9">
        <f>ROUND(T50 / 1.2, 2)</f>
        <v>799925</v>
      </c>
      <c r="AA50" s="9"/>
      <c r="AD50" s="4">
        <v>315454835</v>
      </c>
      <c r="AE50" s="4">
        <v>26813816</v>
      </c>
      <c r="AG50" s="4" t="s">
        <v>168</v>
      </c>
      <c r="AH50" s="4" t="s">
        <v>169</v>
      </c>
      <c r="AI50" s="4"/>
    </row>
    <row r="51" spans="1:35" ht="36" x14ac:dyDescent="0.3">
      <c r="A51" s="17" t="s">
        <v>171</v>
      </c>
      <c r="B51" s="17"/>
      <c r="C51" s="34" t="s">
        <v>90</v>
      </c>
      <c r="D51" s="19"/>
      <c r="E51" s="19"/>
      <c r="F51" s="35" t="s">
        <v>91</v>
      </c>
      <c r="G51" s="36">
        <v>5.1999999999999998E-2</v>
      </c>
      <c r="H51" s="19"/>
      <c r="I51" s="37">
        <v>0</v>
      </c>
      <c r="J51" s="38">
        <v>4026.8</v>
      </c>
      <c r="K51" s="39"/>
      <c r="L51" s="39"/>
      <c r="M51" s="38">
        <f t="shared" ref="M51:M60" si="15">ROUND(ROUND(J51, 2)*I51, 2)</f>
        <v>0</v>
      </c>
      <c r="N51" s="39"/>
      <c r="O51" s="39"/>
      <c r="P51" s="38">
        <v>4026.8</v>
      </c>
      <c r="Q51" s="39"/>
      <c r="R51" s="39"/>
      <c r="S51" s="38">
        <f t="shared" ref="S51:S60" si="16">ROUND(ROUND(P51, 2)*I51, 2)</f>
        <v>0</v>
      </c>
      <c r="T51" s="39"/>
      <c r="U51" s="40"/>
      <c r="V51" s="9">
        <f t="shared" ref="V51:V60" si="17">ROUND(ROUND(P51, 2)/1.2, 2)</f>
        <v>3355.67</v>
      </c>
      <c r="Y51" s="9">
        <f t="shared" ref="Y51:Y61" si="18">ROUND(S51 / 1.2, 2)</f>
        <v>0</v>
      </c>
      <c r="AD51" s="4" t="s">
        <v>172</v>
      </c>
      <c r="AE51" s="4" t="s">
        <v>173</v>
      </c>
      <c r="AF51" s="4" t="s">
        <v>94</v>
      </c>
    </row>
    <row r="52" spans="1:35" ht="36" x14ac:dyDescent="0.3">
      <c r="A52" s="23" t="s">
        <v>174</v>
      </c>
      <c r="B52" s="23"/>
      <c r="C52" s="41" t="s">
        <v>90</v>
      </c>
      <c r="D52" s="25"/>
      <c r="E52" s="25"/>
      <c r="F52" s="42" t="s">
        <v>91</v>
      </c>
      <c r="G52" s="43">
        <v>5.1999999999999998E-2</v>
      </c>
      <c r="H52" s="25"/>
      <c r="I52" s="43">
        <v>40.747</v>
      </c>
      <c r="J52" s="44">
        <v>4026.8</v>
      </c>
      <c r="K52" s="45"/>
      <c r="L52" s="45"/>
      <c r="M52" s="44">
        <f t="shared" si="15"/>
        <v>164080.01999999999</v>
      </c>
      <c r="N52" s="45"/>
      <c r="O52" s="45"/>
      <c r="P52" s="44">
        <v>4026.8</v>
      </c>
      <c r="Q52" s="45"/>
      <c r="R52" s="45"/>
      <c r="S52" s="44">
        <f t="shared" si="16"/>
        <v>164080.01999999999</v>
      </c>
      <c r="T52" s="45"/>
      <c r="U52" s="46"/>
      <c r="V52" s="9">
        <f t="shared" si="17"/>
        <v>3355.67</v>
      </c>
      <c r="Y52" s="9">
        <f t="shared" si="18"/>
        <v>136733.35</v>
      </c>
      <c r="AD52" s="4" t="s">
        <v>175</v>
      </c>
      <c r="AE52" s="4" t="s">
        <v>173</v>
      </c>
      <c r="AF52" s="4" t="s">
        <v>94</v>
      </c>
    </row>
    <row r="53" spans="1:35" ht="54" x14ac:dyDescent="0.3">
      <c r="A53" s="17" t="s">
        <v>176</v>
      </c>
      <c r="B53" s="17"/>
      <c r="C53" s="34" t="s">
        <v>177</v>
      </c>
      <c r="D53" s="19"/>
      <c r="E53" s="19"/>
      <c r="F53" s="35" t="s">
        <v>68</v>
      </c>
      <c r="G53" s="36">
        <v>1</v>
      </c>
      <c r="H53" s="19"/>
      <c r="I53" s="37">
        <v>0</v>
      </c>
      <c r="J53" s="38">
        <v>111.15</v>
      </c>
      <c r="K53" s="39"/>
      <c r="L53" s="39"/>
      <c r="M53" s="38">
        <f t="shared" si="15"/>
        <v>0</v>
      </c>
      <c r="N53" s="39"/>
      <c r="O53" s="39"/>
      <c r="P53" s="38">
        <v>111.15</v>
      </c>
      <c r="Q53" s="39"/>
      <c r="R53" s="39"/>
      <c r="S53" s="38">
        <f t="shared" si="16"/>
        <v>0</v>
      </c>
      <c r="T53" s="39"/>
      <c r="U53" s="40"/>
      <c r="V53" s="9">
        <f t="shared" si="17"/>
        <v>92.63</v>
      </c>
      <c r="Y53" s="9">
        <f t="shared" si="18"/>
        <v>0</v>
      </c>
      <c r="AD53" s="4" t="s">
        <v>178</v>
      </c>
      <c r="AE53" s="4" t="s">
        <v>179</v>
      </c>
      <c r="AF53" s="4" t="s">
        <v>180</v>
      </c>
    </row>
    <row r="54" spans="1:35" ht="54" x14ac:dyDescent="0.3">
      <c r="A54" s="23" t="s">
        <v>181</v>
      </c>
      <c r="B54" s="23"/>
      <c r="C54" s="41" t="s">
        <v>177</v>
      </c>
      <c r="D54" s="25"/>
      <c r="E54" s="25"/>
      <c r="F54" s="42" t="s">
        <v>68</v>
      </c>
      <c r="G54" s="43">
        <v>1</v>
      </c>
      <c r="H54" s="25"/>
      <c r="I54" s="43">
        <v>783.6</v>
      </c>
      <c r="J54" s="44">
        <v>111.15</v>
      </c>
      <c r="K54" s="45"/>
      <c r="L54" s="45"/>
      <c r="M54" s="44">
        <f t="shared" si="15"/>
        <v>87097.14</v>
      </c>
      <c r="N54" s="45"/>
      <c r="O54" s="45"/>
      <c r="P54" s="44">
        <v>111.15</v>
      </c>
      <c r="Q54" s="45"/>
      <c r="R54" s="45"/>
      <c r="S54" s="44">
        <f t="shared" si="16"/>
        <v>87097.14</v>
      </c>
      <c r="T54" s="45"/>
      <c r="U54" s="46"/>
      <c r="V54" s="9">
        <f t="shared" si="17"/>
        <v>92.63</v>
      </c>
      <c r="Y54" s="9">
        <f t="shared" si="18"/>
        <v>72580.95</v>
      </c>
      <c r="AD54" s="4" t="s">
        <v>182</v>
      </c>
      <c r="AE54" s="4" t="s">
        <v>179</v>
      </c>
      <c r="AF54" s="4" t="s">
        <v>180</v>
      </c>
    </row>
    <row r="55" spans="1:35" ht="36" x14ac:dyDescent="0.3">
      <c r="A55" s="17" t="s">
        <v>183</v>
      </c>
      <c r="B55" s="17"/>
      <c r="C55" s="34" t="s">
        <v>184</v>
      </c>
      <c r="D55" s="19"/>
      <c r="E55" s="19"/>
      <c r="F55" s="35" t="s">
        <v>61</v>
      </c>
      <c r="G55" s="36">
        <v>2.2000000000000002</v>
      </c>
      <c r="H55" s="19"/>
      <c r="I55" s="37">
        <v>0</v>
      </c>
      <c r="J55" s="38">
        <v>104.57</v>
      </c>
      <c r="K55" s="39"/>
      <c r="L55" s="39"/>
      <c r="M55" s="38">
        <f t="shared" si="15"/>
        <v>0</v>
      </c>
      <c r="N55" s="39"/>
      <c r="O55" s="39"/>
      <c r="P55" s="38">
        <v>104.57</v>
      </c>
      <c r="Q55" s="39"/>
      <c r="R55" s="39"/>
      <c r="S55" s="38">
        <f t="shared" si="16"/>
        <v>0</v>
      </c>
      <c r="T55" s="39"/>
      <c r="U55" s="40"/>
      <c r="V55" s="9">
        <f t="shared" si="17"/>
        <v>87.14</v>
      </c>
      <c r="Y55" s="9">
        <f t="shared" si="18"/>
        <v>0</v>
      </c>
      <c r="AD55" s="4" t="s">
        <v>185</v>
      </c>
      <c r="AE55" s="4" t="s">
        <v>186</v>
      </c>
      <c r="AF55" s="4" t="s">
        <v>187</v>
      </c>
    </row>
    <row r="56" spans="1:35" ht="36" x14ac:dyDescent="0.3">
      <c r="A56" s="23" t="s">
        <v>188</v>
      </c>
      <c r="B56" s="23"/>
      <c r="C56" s="41" t="s">
        <v>184</v>
      </c>
      <c r="D56" s="25"/>
      <c r="E56" s="25"/>
      <c r="F56" s="42" t="s">
        <v>61</v>
      </c>
      <c r="G56" s="43">
        <v>2.2000000000000002</v>
      </c>
      <c r="H56" s="25"/>
      <c r="I56" s="43">
        <v>1723.92</v>
      </c>
      <c r="J56" s="44">
        <v>104.57</v>
      </c>
      <c r="K56" s="45"/>
      <c r="L56" s="45"/>
      <c r="M56" s="44">
        <f t="shared" si="15"/>
        <v>180270.31</v>
      </c>
      <c r="N56" s="45"/>
      <c r="O56" s="45"/>
      <c r="P56" s="44">
        <v>104.57</v>
      </c>
      <c r="Q56" s="45"/>
      <c r="R56" s="45"/>
      <c r="S56" s="44">
        <f t="shared" si="16"/>
        <v>180270.31</v>
      </c>
      <c r="T56" s="45"/>
      <c r="U56" s="46"/>
      <c r="V56" s="9">
        <f t="shared" si="17"/>
        <v>87.14</v>
      </c>
      <c r="Y56" s="9">
        <f t="shared" si="18"/>
        <v>150225.26</v>
      </c>
      <c r="AD56" s="4" t="s">
        <v>189</v>
      </c>
      <c r="AE56" s="4" t="s">
        <v>186</v>
      </c>
      <c r="AF56" s="4" t="s">
        <v>187</v>
      </c>
    </row>
    <row r="57" spans="1:35" ht="18" x14ac:dyDescent="0.3">
      <c r="A57" s="17" t="s">
        <v>190</v>
      </c>
      <c r="B57" s="17"/>
      <c r="C57" s="34" t="s">
        <v>75</v>
      </c>
      <c r="D57" s="19"/>
      <c r="E57" s="19"/>
      <c r="F57" s="35" t="s">
        <v>76</v>
      </c>
      <c r="G57" s="36">
        <v>0.86</v>
      </c>
      <c r="H57" s="19"/>
      <c r="I57" s="48">
        <v>0</v>
      </c>
      <c r="J57" s="38">
        <v>63.73</v>
      </c>
      <c r="K57" s="39"/>
      <c r="L57" s="39"/>
      <c r="M57" s="38">
        <f t="shared" si="15"/>
        <v>0</v>
      </c>
      <c r="N57" s="39"/>
      <c r="O57" s="39"/>
      <c r="P57" s="38">
        <v>63.73</v>
      </c>
      <c r="Q57" s="39"/>
      <c r="R57" s="39"/>
      <c r="S57" s="38">
        <f t="shared" si="16"/>
        <v>0</v>
      </c>
      <c r="T57" s="39"/>
      <c r="U57" s="40"/>
      <c r="V57" s="9">
        <f t="shared" si="17"/>
        <v>53.11</v>
      </c>
      <c r="Y57" s="9">
        <f t="shared" si="18"/>
        <v>0</v>
      </c>
      <c r="AD57" s="4" t="s">
        <v>191</v>
      </c>
      <c r="AE57" s="4" t="s">
        <v>192</v>
      </c>
      <c r="AF57" s="4" t="s">
        <v>79</v>
      </c>
    </row>
    <row r="58" spans="1:35" ht="18" x14ac:dyDescent="0.3">
      <c r="A58" s="23" t="s">
        <v>193</v>
      </c>
      <c r="B58" s="23"/>
      <c r="C58" s="41" t="s">
        <v>75</v>
      </c>
      <c r="D58" s="25"/>
      <c r="E58" s="25"/>
      <c r="F58" s="42" t="s">
        <v>76</v>
      </c>
      <c r="G58" s="43">
        <v>0.86</v>
      </c>
      <c r="H58" s="25"/>
      <c r="I58" s="50">
        <v>673.89599999999996</v>
      </c>
      <c r="J58" s="44">
        <v>63.73</v>
      </c>
      <c r="K58" s="45"/>
      <c r="L58" s="45"/>
      <c r="M58" s="44">
        <f t="shared" si="15"/>
        <v>42947.39</v>
      </c>
      <c r="N58" s="45"/>
      <c r="O58" s="45"/>
      <c r="P58" s="44">
        <v>63.73</v>
      </c>
      <c r="Q58" s="45"/>
      <c r="R58" s="45"/>
      <c r="S58" s="44">
        <f t="shared" si="16"/>
        <v>42947.39</v>
      </c>
      <c r="T58" s="45"/>
      <c r="U58" s="46"/>
      <c r="V58" s="9">
        <f t="shared" si="17"/>
        <v>53.11</v>
      </c>
      <c r="Y58" s="9">
        <f t="shared" si="18"/>
        <v>35789.49</v>
      </c>
      <c r="AD58" s="4" t="s">
        <v>194</v>
      </c>
      <c r="AE58" s="4" t="s">
        <v>192</v>
      </c>
      <c r="AF58" s="4" t="s">
        <v>79</v>
      </c>
    </row>
    <row r="59" spans="1:35" ht="18" x14ac:dyDescent="0.3">
      <c r="A59" s="17" t="s">
        <v>195</v>
      </c>
      <c r="B59" s="17"/>
      <c r="C59" s="34" t="s">
        <v>83</v>
      </c>
      <c r="D59" s="19"/>
      <c r="E59" s="19"/>
      <c r="F59" s="35" t="s">
        <v>76</v>
      </c>
      <c r="G59" s="36">
        <v>2.1</v>
      </c>
      <c r="H59" s="19"/>
      <c r="I59" s="48">
        <v>0</v>
      </c>
      <c r="J59" s="38">
        <v>95.07</v>
      </c>
      <c r="K59" s="39"/>
      <c r="L59" s="39"/>
      <c r="M59" s="38">
        <f t="shared" si="15"/>
        <v>0</v>
      </c>
      <c r="N59" s="39"/>
      <c r="O59" s="39"/>
      <c r="P59" s="38">
        <v>95.07</v>
      </c>
      <c r="Q59" s="39"/>
      <c r="R59" s="39"/>
      <c r="S59" s="38">
        <f t="shared" si="16"/>
        <v>0</v>
      </c>
      <c r="T59" s="39"/>
      <c r="U59" s="40"/>
      <c r="V59" s="9">
        <f t="shared" si="17"/>
        <v>79.23</v>
      </c>
      <c r="Y59" s="9">
        <f t="shared" si="18"/>
        <v>0</v>
      </c>
      <c r="AD59" s="4" t="s">
        <v>196</v>
      </c>
      <c r="AE59" s="4" t="s">
        <v>197</v>
      </c>
      <c r="AF59" s="4" t="s">
        <v>86</v>
      </c>
    </row>
    <row r="60" spans="1:35" ht="18" x14ac:dyDescent="0.3">
      <c r="A60" s="23" t="s">
        <v>198</v>
      </c>
      <c r="B60" s="23"/>
      <c r="C60" s="41" t="s">
        <v>83</v>
      </c>
      <c r="D60" s="25"/>
      <c r="E60" s="25"/>
      <c r="F60" s="42" t="s">
        <v>76</v>
      </c>
      <c r="G60" s="43">
        <v>2.1</v>
      </c>
      <c r="H60" s="25"/>
      <c r="I60" s="50">
        <v>1645.56</v>
      </c>
      <c r="J60" s="44">
        <v>95.07</v>
      </c>
      <c r="K60" s="45"/>
      <c r="L60" s="45"/>
      <c r="M60" s="44">
        <f t="shared" si="15"/>
        <v>156443.39000000001</v>
      </c>
      <c r="N60" s="45"/>
      <c r="O60" s="45"/>
      <c r="P60" s="44">
        <v>95.07</v>
      </c>
      <c r="Q60" s="45"/>
      <c r="R60" s="45"/>
      <c r="S60" s="44">
        <f t="shared" si="16"/>
        <v>156443.39000000001</v>
      </c>
      <c r="T60" s="45"/>
      <c r="U60" s="46"/>
      <c r="V60" s="9">
        <f t="shared" si="17"/>
        <v>79.23</v>
      </c>
      <c r="Y60" s="9">
        <f t="shared" si="18"/>
        <v>130369.49</v>
      </c>
      <c r="AD60" s="4" t="s">
        <v>199</v>
      </c>
      <c r="AE60" s="4" t="s">
        <v>197</v>
      </c>
      <c r="AF60" s="4" t="s">
        <v>86</v>
      </c>
    </row>
    <row r="61" spans="1:35" ht="306" x14ac:dyDescent="0.3">
      <c r="A61" s="17" t="s">
        <v>200</v>
      </c>
      <c r="B61" s="17" t="s">
        <v>165</v>
      </c>
      <c r="C61" s="18" t="s">
        <v>166</v>
      </c>
      <c r="D61" s="19" t="s">
        <v>59</v>
      </c>
      <c r="E61" s="19" t="s">
        <v>201</v>
      </c>
      <c r="F61" s="19" t="s">
        <v>61</v>
      </c>
      <c r="G61" s="20">
        <v>1</v>
      </c>
      <c r="H61" s="19"/>
      <c r="I61" s="21">
        <v>0</v>
      </c>
      <c r="J61" s="22">
        <v>805.05</v>
      </c>
      <c r="K61" s="22">
        <v>1225</v>
      </c>
      <c r="L61" s="22">
        <f>J61+ROUND(K61, 2)</f>
        <v>2030.05</v>
      </c>
      <c r="M61" s="22">
        <v>0</v>
      </c>
      <c r="N61" s="22">
        <v>0</v>
      </c>
      <c r="O61" s="22">
        <f>M61+N61</f>
        <v>0</v>
      </c>
      <c r="P61" s="22">
        <v>805.05</v>
      </c>
      <c r="Q61" s="22">
        <v>1225</v>
      </c>
      <c r="R61" s="22">
        <f>P61+ROUND(Q61, 2)</f>
        <v>2030.05</v>
      </c>
      <c r="S61" s="22">
        <v>0</v>
      </c>
      <c r="T61" s="22">
        <v>0</v>
      </c>
      <c r="U61" s="22">
        <f>S61+T61</f>
        <v>0</v>
      </c>
      <c r="V61" s="9">
        <f>ROUND(P61 / 1.2, 2)</f>
        <v>670.88</v>
      </c>
      <c r="W61" s="9">
        <f>ROUND(Q61 / 1.2, 2)</f>
        <v>1020.83</v>
      </c>
      <c r="X61" s="9">
        <f>ROUND(R61 / 1.2, 2)</f>
        <v>1691.71</v>
      </c>
      <c r="Y61" s="9">
        <f t="shared" si="18"/>
        <v>0</v>
      </c>
      <c r="Z61" s="9">
        <f>ROUND(T61 / 1.2, 2)</f>
        <v>0</v>
      </c>
      <c r="AA61" s="9">
        <f>Y61+Z61</f>
        <v>0</v>
      </c>
      <c r="AD61" s="4">
        <v>320320147</v>
      </c>
      <c r="AE61" s="4">
        <v>26813817</v>
      </c>
      <c r="AG61" s="4" t="s">
        <v>168</v>
      </c>
      <c r="AH61" s="4" t="s">
        <v>169</v>
      </c>
      <c r="AI61" s="4" t="s">
        <v>64</v>
      </c>
    </row>
    <row r="62" spans="1:35" ht="306" x14ac:dyDescent="0.3">
      <c r="A62" s="23" t="s">
        <v>202</v>
      </c>
      <c r="B62" s="23" t="s">
        <v>165</v>
      </c>
      <c r="C62" s="24" t="s">
        <v>166</v>
      </c>
      <c r="D62" s="25" t="s">
        <v>59</v>
      </c>
      <c r="E62" s="25" t="s">
        <v>201</v>
      </c>
      <c r="F62" s="25" t="s">
        <v>61</v>
      </c>
      <c r="G62" s="26">
        <v>1</v>
      </c>
      <c r="H62" s="25"/>
      <c r="I62" s="26">
        <v>2480.6999999999998</v>
      </c>
      <c r="J62" s="27">
        <v>805.05</v>
      </c>
      <c r="K62" s="27">
        <v>1225</v>
      </c>
      <c r="L62" s="27">
        <v>1225</v>
      </c>
      <c r="M62" s="27">
        <v>1997087.54</v>
      </c>
      <c r="N62" s="27">
        <v>3038857.5</v>
      </c>
      <c r="O62" s="27"/>
      <c r="P62" s="27">
        <v>805.05</v>
      </c>
      <c r="Q62" s="27">
        <v>1225</v>
      </c>
      <c r="R62" s="27">
        <v>1225</v>
      </c>
      <c r="S62" s="27">
        <v>1997087.54</v>
      </c>
      <c r="T62" s="27">
        <v>3038857.5</v>
      </c>
      <c r="U62" s="27"/>
      <c r="V62" s="9"/>
      <c r="W62" s="9">
        <f>ROUND(Q62 / 1.2, 2)</f>
        <v>1020.83</v>
      </c>
      <c r="X62" s="9">
        <f>ROUND(R62 / 1.2, 2)</f>
        <v>1020.83</v>
      </c>
      <c r="Y62" s="9"/>
      <c r="Z62" s="9">
        <f>ROUND(T62 / 1.2, 2)</f>
        <v>2532381.25</v>
      </c>
      <c r="AA62" s="9"/>
      <c r="AD62" s="4">
        <v>315454836</v>
      </c>
      <c r="AE62" s="4">
        <v>26813817</v>
      </c>
      <c r="AG62" s="4" t="s">
        <v>168</v>
      </c>
      <c r="AH62" s="4" t="s">
        <v>169</v>
      </c>
      <c r="AI62" s="4"/>
    </row>
    <row r="63" spans="1:35" ht="18" x14ac:dyDescent="0.3">
      <c r="A63" s="17" t="s">
        <v>203</v>
      </c>
      <c r="B63" s="17"/>
      <c r="C63" s="34" t="s">
        <v>75</v>
      </c>
      <c r="D63" s="19"/>
      <c r="E63" s="19"/>
      <c r="F63" s="35" t="s">
        <v>76</v>
      </c>
      <c r="G63" s="36">
        <v>0.86</v>
      </c>
      <c r="H63" s="19"/>
      <c r="I63" s="48">
        <v>0</v>
      </c>
      <c r="J63" s="38">
        <v>63.73</v>
      </c>
      <c r="K63" s="39"/>
      <c r="L63" s="39"/>
      <c r="M63" s="38">
        <f t="shared" ref="M63:M72" si="19">ROUND(ROUND(J63, 2)*I63, 2)</f>
        <v>0</v>
      </c>
      <c r="N63" s="39"/>
      <c r="O63" s="39"/>
      <c r="P63" s="38">
        <v>63.73</v>
      </c>
      <c r="Q63" s="39"/>
      <c r="R63" s="39"/>
      <c r="S63" s="38">
        <f t="shared" ref="S63:S72" si="20">ROUND(ROUND(P63, 2)*I63, 2)</f>
        <v>0</v>
      </c>
      <c r="T63" s="39"/>
      <c r="U63" s="40"/>
      <c r="V63" s="9">
        <f t="shared" ref="V63:V72" si="21">ROUND(ROUND(P63, 2)/1.2, 2)</f>
        <v>53.11</v>
      </c>
      <c r="Y63" s="9">
        <f t="shared" ref="Y63:Y73" si="22">ROUND(S63 / 1.2, 2)</f>
        <v>0</v>
      </c>
      <c r="AD63" s="4" t="s">
        <v>204</v>
      </c>
      <c r="AE63" s="4" t="s">
        <v>205</v>
      </c>
      <c r="AF63" s="4" t="s">
        <v>79</v>
      </c>
    </row>
    <row r="64" spans="1:35" ht="18" x14ac:dyDescent="0.3">
      <c r="A64" s="23" t="s">
        <v>206</v>
      </c>
      <c r="B64" s="23"/>
      <c r="C64" s="41" t="s">
        <v>75</v>
      </c>
      <c r="D64" s="25"/>
      <c r="E64" s="25"/>
      <c r="F64" s="42" t="s">
        <v>76</v>
      </c>
      <c r="G64" s="43">
        <v>0.86</v>
      </c>
      <c r="H64" s="25"/>
      <c r="I64" s="50">
        <v>2133.402</v>
      </c>
      <c r="J64" s="44">
        <v>63.73</v>
      </c>
      <c r="K64" s="45"/>
      <c r="L64" s="45"/>
      <c r="M64" s="44">
        <f t="shared" si="19"/>
        <v>135961.71</v>
      </c>
      <c r="N64" s="45"/>
      <c r="O64" s="45"/>
      <c r="P64" s="44">
        <v>63.73</v>
      </c>
      <c r="Q64" s="45"/>
      <c r="R64" s="45"/>
      <c r="S64" s="44">
        <f t="shared" si="20"/>
        <v>135961.71</v>
      </c>
      <c r="T64" s="45"/>
      <c r="U64" s="46"/>
      <c r="V64" s="9">
        <f t="shared" si="21"/>
        <v>53.11</v>
      </c>
      <c r="Y64" s="9">
        <f t="shared" si="22"/>
        <v>113301.43</v>
      </c>
      <c r="AD64" s="4" t="s">
        <v>207</v>
      </c>
      <c r="AE64" s="4" t="s">
        <v>205</v>
      </c>
      <c r="AF64" s="4" t="s">
        <v>79</v>
      </c>
    </row>
    <row r="65" spans="1:35" ht="18" x14ac:dyDescent="0.3">
      <c r="A65" s="17" t="s">
        <v>208</v>
      </c>
      <c r="B65" s="17"/>
      <c r="C65" s="34" t="s">
        <v>83</v>
      </c>
      <c r="D65" s="19"/>
      <c r="E65" s="19"/>
      <c r="F65" s="35" t="s">
        <v>76</v>
      </c>
      <c r="G65" s="36">
        <v>2.1</v>
      </c>
      <c r="H65" s="19"/>
      <c r="I65" s="48">
        <v>0</v>
      </c>
      <c r="J65" s="38">
        <v>95.07</v>
      </c>
      <c r="K65" s="39"/>
      <c r="L65" s="39"/>
      <c r="M65" s="38">
        <f t="shared" si="19"/>
        <v>0</v>
      </c>
      <c r="N65" s="39"/>
      <c r="O65" s="39"/>
      <c r="P65" s="38">
        <v>95.07</v>
      </c>
      <c r="Q65" s="39"/>
      <c r="R65" s="39"/>
      <c r="S65" s="38">
        <f t="shared" si="20"/>
        <v>0</v>
      </c>
      <c r="T65" s="39"/>
      <c r="U65" s="40"/>
      <c r="V65" s="9">
        <f t="shared" si="21"/>
        <v>79.23</v>
      </c>
      <c r="Y65" s="9">
        <f t="shared" si="22"/>
        <v>0</v>
      </c>
      <c r="AD65" s="4" t="s">
        <v>209</v>
      </c>
      <c r="AE65" s="4" t="s">
        <v>210</v>
      </c>
      <c r="AF65" s="4" t="s">
        <v>86</v>
      </c>
    </row>
    <row r="66" spans="1:35" ht="18" x14ac:dyDescent="0.3">
      <c r="A66" s="23" t="s">
        <v>211</v>
      </c>
      <c r="B66" s="23"/>
      <c r="C66" s="41" t="s">
        <v>83</v>
      </c>
      <c r="D66" s="25"/>
      <c r="E66" s="25"/>
      <c r="F66" s="42" t="s">
        <v>76</v>
      </c>
      <c r="G66" s="43">
        <v>2.1</v>
      </c>
      <c r="H66" s="25"/>
      <c r="I66" s="50">
        <v>5209.47</v>
      </c>
      <c r="J66" s="44">
        <v>95.07</v>
      </c>
      <c r="K66" s="45"/>
      <c r="L66" s="45"/>
      <c r="M66" s="44">
        <f t="shared" si="19"/>
        <v>495264.31</v>
      </c>
      <c r="N66" s="45"/>
      <c r="O66" s="45"/>
      <c r="P66" s="44">
        <v>95.07</v>
      </c>
      <c r="Q66" s="45"/>
      <c r="R66" s="45"/>
      <c r="S66" s="44">
        <f t="shared" si="20"/>
        <v>495264.31</v>
      </c>
      <c r="T66" s="45"/>
      <c r="U66" s="46"/>
      <c r="V66" s="9">
        <f t="shared" si="21"/>
        <v>79.23</v>
      </c>
      <c r="Y66" s="9">
        <f t="shared" si="22"/>
        <v>412720.26</v>
      </c>
      <c r="AD66" s="4" t="s">
        <v>212</v>
      </c>
      <c r="AE66" s="4" t="s">
        <v>210</v>
      </c>
      <c r="AF66" s="4" t="s">
        <v>86</v>
      </c>
    </row>
    <row r="67" spans="1:35" ht="36" x14ac:dyDescent="0.3">
      <c r="A67" s="17" t="s">
        <v>213</v>
      </c>
      <c r="B67" s="17"/>
      <c r="C67" s="34" t="s">
        <v>214</v>
      </c>
      <c r="D67" s="19"/>
      <c r="E67" s="19"/>
      <c r="F67" s="35" t="s">
        <v>61</v>
      </c>
      <c r="G67" s="36">
        <v>2.2000000000000002</v>
      </c>
      <c r="H67" s="19"/>
      <c r="I67" s="37">
        <v>0</v>
      </c>
      <c r="J67" s="38">
        <v>104.57</v>
      </c>
      <c r="K67" s="39"/>
      <c r="L67" s="39"/>
      <c r="M67" s="38">
        <f t="shared" si="19"/>
        <v>0</v>
      </c>
      <c r="N67" s="39"/>
      <c r="O67" s="39"/>
      <c r="P67" s="38">
        <v>104.57</v>
      </c>
      <c r="Q67" s="39"/>
      <c r="R67" s="39"/>
      <c r="S67" s="38">
        <f t="shared" si="20"/>
        <v>0</v>
      </c>
      <c r="T67" s="39"/>
      <c r="U67" s="40"/>
      <c r="V67" s="9">
        <f t="shared" si="21"/>
        <v>87.14</v>
      </c>
      <c r="Y67" s="9">
        <f t="shared" si="22"/>
        <v>0</v>
      </c>
      <c r="AD67" s="4" t="s">
        <v>215</v>
      </c>
      <c r="AE67" s="4" t="s">
        <v>216</v>
      </c>
      <c r="AF67" s="4" t="s">
        <v>217</v>
      </c>
    </row>
    <row r="68" spans="1:35" ht="36" x14ac:dyDescent="0.3">
      <c r="A68" s="23" t="s">
        <v>218</v>
      </c>
      <c r="B68" s="23"/>
      <c r="C68" s="41" t="s">
        <v>214</v>
      </c>
      <c r="D68" s="25"/>
      <c r="E68" s="25"/>
      <c r="F68" s="42" t="s">
        <v>61</v>
      </c>
      <c r="G68" s="43">
        <v>2.2000000000000002</v>
      </c>
      <c r="H68" s="25"/>
      <c r="I68" s="43">
        <v>5457.54</v>
      </c>
      <c r="J68" s="44">
        <v>104.57</v>
      </c>
      <c r="K68" s="45"/>
      <c r="L68" s="45"/>
      <c r="M68" s="44">
        <f t="shared" si="19"/>
        <v>570694.96</v>
      </c>
      <c r="N68" s="45"/>
      <c r="O68" s="45"/>
      <c r="P68" s="44">
        <v>104.57</v>
      </c>
      <c r="Q68" s="45"/>
      <c r="R68" s="45"/>
      <c r="S68" s="44">
        <f t="shared" si="20"/>
        <v>570694.96</v>
      </c>
      <c r="T68" s="45"/>
      <c r="U68" s="46"/>
      <c r="V68" s="9">
        <f t="shared" si="21"/>
        <v>87.14</v>
      </c>
      <c r="Y68" s="9">
        <f t="shared" si="22"/>
        <v>475579.13</v>
      </c>
      <c r="AD68" s="4" t="s">
        <v>219</v>
      </c>
      <c r="AE68" s="4" t="s">
        <v>216</v>
      </c>
      <c r="AF68" s="4" t="s">
        <v>217</v>
      </c>
    </row>
    <row r="69" spans="1:35" ht="54" x14ac:dyDescent="0.3">
      <c r="A69" s="17" t="s">
        <v>220</v>
      </c>
      <c r="B69" s="17"/>
      <c r="C69" s="34" t="s">
        <v>177</v>
      </c>
      <c r="D69" s="19"/>
      <c r="E69" s="19"/>
      <c r="F69" s="35" t="s">
        <v>68</v>
      </c>
      <c r="G69" s="36">
        <v>1</v>
      </c>
      <c r="H69" s="19"/>
      <c r="I69" s="37">
        <v>0</v>
      </c>
      <c r="J69" s="38">
        <v>111.15</v>
      </c>
      <c r="K69" s="39"/>
      <c r="L69" s="39"/>
      <c r="M69" s="38">
        <f t="shared" si="19"/>
        <v>0</v>
      </c>
      <c r="N69" s="39"/>
      <c r="O69" s="39"/>
      <c r="P69" s="38">
        <v>111.15</v>
      </c>
      <c r="Q69" s="39"/>
      <c r="R69" s="39"/>
      <c r="S69" s="38">
        <f t="shared" si="20"/>
        <v>0</v>
      </c>
      <c r="T69" s="39"/>
      <c r="U69" s="40"/>
      <c r="V69" s="9">
        <f t="shared" si="21"/>
        <v>92.63</v>
      </c>
      <c r="Y69" s="9">
        <f t="shared" si="22"/>
        <v>0</v>
      </c>
      <c r="AD69" s="4" t="s">
        <v>221</v>
      </c>
      <c r="AE69" s="4" t="s">
        <v>222</v>
      </c>
      <c r="AF69" s="4" t="s">
        <v>180</v>
      </c>
    </row>
    <row r="70" spans="1:35" ht="54" x14ac:dyDescent="0.3">
      <c r="A70" s="23" t="s">
        <v>223</v>
      </c>
      <c r="B70" s="23"/>
      <c r="C70" s="41" t="s">
        <v>177</v>
      </c>
      <c r="D70" s="25"/>
      <c r="E70" s="25"/>
      <c r="F70" s="42" t="s">
        <v>68</v>
      </c>
      <c r="G70" s="43">
        <v>1</v>
      </c>
      <c r="H70" s="25"/>
      <c r="I70" s="43">
        <v>2480.6999999999998</v>
      </c>
      <c r="J70" s="44">
        <v>111.15</v>
      </c>
      <c r="K70" s="45"/>
      <c r="L70" s="45"/>
      <c r="M70" s="44">
        <f t="shared" si="19"/>
        <v>275729.81</v>
      </c>
      <c r="N70" s="45"/>
      <c r="O70" s="45"/>
      <c r="P70" s="44">
        <v>111.15</v>
      </c>
      <c r="Q70" s="45"/>
      <c r="R70" s="45"/>
      <c r="S70" s="44">
        <f t="shared" si="20"/>
        <v>275729.81</v>
      </c>
      <c r="T70" s="45"/>
      <c r="U70" s="46"/>
      <c r="V70" s="9">
        <f t="shared" si="21"/>
        <v>92.63</v>
      </c>
      <c r="Y70" s="9">
        <f t="shared" si="22"/>
        <v>229774.84</v>
      </c>
      <c r="AD70" s="4" t="s">
        <v>224</v>
      </c>
      <c r="AE70" s="4" t="s">
        <v>222</v>
      </c>
      <c r="AF70" s="4" t="s">
        <v>180</v>
      </c>
    </row>
    <row r="71" spans="1:35" ht="36" x14ac:dyDescent="0.3">
      <c r="A71" s="17" t="s">
        <v>225</v>
      </c>
      <c r="B71" s="17"/>
      <c r="C71" s="34" t="s">
        <v>90</v>
      </c>
      <c r="D71" s="19"/>
      <c r="E71" s="19"/>
      <c r="F71" s="35" t="s">
        <v>91</v>
      </c>
      <c r="G71" s="36">
        <v>5.1999999999999998E-2</v>
      </c>
      <c r="H71" s="19"/>
      <c r="I71" s="37">
        <v>0</v>
      </c>
      <c r="J71" s="38">
        <v>4026.8</v>
      </c>
      <c r="K71" s="39"/>
      <c r="L71" s="39"/>
      <c r="M71" s="38">
        <f t="shared" si="19"/>
        <v>0</v>
      </c>
      <c r="N71" s="39"/>
      <c r="O71" s="39"/>
      <c r="P71" s="38">
        <v>4026.8</v>
      </c>
      <c r="Q71" s="39"/>
      <c r="R71" s="39"/>
      <c r="S71" s="38">
        <f t="shared" si="20"/>
        <v>0</v>
      </c>
      <c r="T71" s="39"/>
      <c r="U71" s="40"/>
      <c r="V71" s="9">
        <f t="shared" si="21"/>
        <v>3355.67</v>
      </c>
      <c r="Y71" s="9">
        <f t="shared" si="22"/>
        <v>0</v>
      </c>
      <c r="AD71" s="4" t="s">
        <v>226</v>
      </c>
      <c r="AE71" s="4" t="s">
        <v>227</v>
      </c>
      <c r="AF71" s="4" t="s">
        <v>94</v>
      </c>
    </row>
    <row r="72" spans="1:35" ht="36" x14ac:dyDescent="0.3">
      <c r="A72" s="23" t="s">
        <v>228</v>
      </c>
      <c r="B72" s="23"/>
      <c r="C72" s="41" t="s">
        <v>90</v>
      </c>
      <c r="D72" s="25"/>
      <c r="E72" s="25"/>
      <c r="F72" s="42" t="s">
        <v>91</v>
      </c>
      <c r="G72" s="43">
        <v>5.1999999999999998E-2</v>
      </c>
      <c r="H72" s="25"/>
      <c r="I72" s="43">
        <v>128.99600000000001</v>
      </c>
      <c r="J72" s="44">
        <v>4026.8</v>
      </c>
      <c r="K72" s="45"/>
      <c r="L72" s="45"/>
      <c r="M72" s="44">
        <f t="shared" si="19"/>
        <v>519441.09</v>
      </c>
      <c r="N72" s="45"/>
      <c r="O72" s="45"/>
      <c r="P72" s="44">
        <v>4026.8</v>
      </c>
      <c r="Q72" s="45"/>
      <c r="R72" s="45"/>
      <c r="S72" s="44">
        <f t="shared" si="20"/>
        <v>519441.09</v>
      </c>
      <c r="T72" s="45"/>
      <c r="U72" s="46"/>
      <c r="V72" s="9">
        <f t="shared" si="21"/>
        <v>3355.67</v>
      </c>
      <c r="Y72" s="9">
        <f t="shared" si="22"/>
        <v>432867.58</v>
      </c>
      <c r="AD72" s="4" t="s">
        <v>229</v>
      </c>
      <c r="AE72" s="4" t="s">
        <v>227</v>
      </c>
      <c r="AF72" s="4" t="s">
        <v>94</v>
      </c>
    </row>
    <row r="73" spans="1:35" ht="360" x14ac:dyDescent="0.3">
      <c r="A73" s="17" t="s">
        <v>230</v>
      </c>
      <c r="B73" s="17" t="s">
        <v>165</v>
      </c>
      <c r="C73" s="18" t="s">
        <v>166</v>
      </c>
      <c r="D73" s="19" t="s">
        <v>59</v>
      </c>
      <c r="E73" s="19" t="s">
        <v>231</v>
      </c>
      <c r="F73" s="19" t="s">
        <v>61</v>
      </c>
      <c r="G73" s="20">
        <v>1</v>
      </c>
      <c r="H73" s="19"/>
      <c r="I73" s="21">
        <v>0</v>
      </c>
      <c r="J73" s="22">
        <v>805.05</v>
      </c>
      <c r="K73" s="22">
        <v>1225</v>
      </c>
      <c r="L73" s="22">
        <f>J73+ROUND(K73, 2)</f>
        <v>2030.05</v>
      </c>
      <c r="M73" s="22">
        <v>0</v>
      </c>
      <c r="N73" s="22">
        <v>0</v>
      </c>
      <c r="O73" s="22">
        <f>M73+N73</f>
        <v>0</v>
      </c>
      <c r="P73" s="22">
        <v>805.05</v>
      </c>
      <c r="Q73" s="22">
        <v>1225</v>
      </c>
      <c r="R73" s="22">
        <f>P73+ROUND(Q73, 2)</f>
        <v>2030.05</v>
      </c>
      <c r="S73" s="22">
        <v>0</v>
      </c>
      <c r="T73" s="22">
        <v>0</v>
      </c>
      <c r="U73" s="22">
        <f>S73+T73</f>
        <v>0</v>
      </c>
      <c r="V73" s="9">
        <f>ROUND(P73 / 1.2, 2)</f>
        <v>670.88</v>
      </c>
      <c r="W73" s="9">
        <f>ROUND(Q73 / 1.2, 2)</f>
        <v>1020.83</v>
      </c>
      <c r="X73" s="9">
        <f>ROUND(R73 / 1.2, 2)</f>
        <v>1691.71</v>
      </c>
      <c r="Y73" s="9">
        <f t="shared" si="22"/>
        <v>0</v>
      </c>
      <c r="Z73" s="9">
        <f>ROUND(T73 / 1.2, 2)</f>
        <v>0</v>
      </c>
      <c r="AA73" s="9">
        <f>Y73+Z73</f>
        <v>0</v>
      </c>
      <c r="AD73" s="4">
        <v>320320148</v>
      </c>
      <c r="AE73" s="4">
        <v>26813818</v>
      </c>
      <c r="AG73" s="4" t="s">
        <v>168</v>
      </c>
      <c r="AH73" s="4" t="s">
        <v>169</v>
      </c>
      <c r="AI73" s="4" t="s">
        <v>64</v>
      </c>
    </row>
    <row r="74" spans="1:35" ht="378" x14ac:dyDescent="0.3">
      <c r="A74" s="23" t="s">
        <v>232</v>
      </c>
      <c r="B74" s="23" t="s">
        <v>165</v>
      </c>
      <c r="C74" s="24" t="s">
        <v>166</v>
      </c>
      <c r="D74" s="25" t="s">
        <v>59</v>
      </c>
      <c r="E74" s="25" t="s">
        <v>231</v>
      </c>
      <c r="F74" s="25" t="s">
        <v>61</v>
      </c>
      <c r="G74" s="26">
        <v>1</v>
      </c>
      <c r="H74" s="25"/>
      <c r="I74" s="26">
        <v>185.6</v>
      </c>
      <c r="J74" s="27">
        <v>805.05</v>
      </c>
      <c r="K74" s="27">
        <v>1225</v>
      </c>
      <c r="L74" s="27">
        <v>1225</v>
      </c>
      <c r="M74" s="27">
        <v>149417.28</v>
      </c>
      <c r="N74" s="27">
        <v>227360</v>
      </c>
      <c r="O74" s="27"/>
      <c r="P74" s="27">
        <v>805.05</v>
      </c>
      <c r="Q74" s="27">
        <v>1225</v>
      </c>
      <c r="R74" s="27">
        <v>1225</v>
      </c>
      <c r="S74" s="27">
        <v>149417.28</v>
      </c>
      <c r="T74" s="27">
        <v>227360</v>
      </c>
      <c r="U74" s="27"/>
      <c r="V74" s="9"/>
      <c r="W74" s="9">
        <f>ROUND(Q74 / 1.2, 2)</f>
        <v>1020.83</v>
      </c>
      <c r="X74" s="9">
        <f>ROUND(R74 / 1.2, 2)</f>
        <v>1020.83</v>
      </c>
      <c r="Y74" s="9"/>
      <c r="Z74" s="9">
        <f>ROUND(T74 / 1.2, 2)</f>
        <v>189466.67</v>
      </c>
      <c r="AA74" s="9"/>
      <c r="AD74" s="4">
        <v>315454837</v>
      </c>
      <c r="AE74" s="4">
        <v>26813818</v>
      </c>
      <c r="AG74" s="4" t="s">
        <v>168</v>
      </c>
      <c r="AH74" s="4" t="s">
        <v>169</v>
      </c>
      <c r="AI74" s="4"/>
    </row>
    <row r="75" spans="1:35" ht="36" x14ac:dyDescent="0.3">
      <c r="A75" s="17" t="s">
        <v>233</v>
      </c>
      <c r="B75" s="17"/>
      <c r="C75" s="34" t="s">
        <v>90</v>
      </c>
      <c r="D75" s="19"/>
      <c r="E75" s="19"/>
      <c r="F75" s="35" t="s">
        <v>91</v>
      </c>
      <c r="G75" s="36">
        <v>5.1999999999999998E-2</v>
      </c>
      <c r="H75" s="19"/>
      <c r="I75" s="37">
        <v>0</v>
      </c>
      <c r="J75" s="38">
        <v>4026.8</v>
      </c>
      <c r="K75" s="39"/>
      <c r="L75" s="39"/>
      <c r="M75" s="38">
        <f t="shared" ref="M75:M84" si="23">ROUND(ROUND(J75, 2)*I75, 2)</f>
        <v>0</v>
      </c>
      <c r="N75" s="39"/>
      <c r="O75" s="39"/>
      <c r="P75" s="38">
        <v>4026.8</v>
      </c>
      <c r="Q75" s="39"/>
      <c r="R75" s="39"/>
      <c r="S75" s="38">
        <f t="shared" ref="S75:S84" si="24">ROUND(ROUND(P75, 2)*I75, 2)</f>
        <v>0</v>
      </c>
      <c r="T75" s="39"/>
      <c r="U75" s="40"/>
      <c r="V75" s="9">
        <f t="shared" ref="V75:V84" si="25">ROUND(ROUND(P75, 2)/1.2, 2)</f>
        <v>3355.67</v>
      </c>
      <c r="Y75" s="9">
        <f t="shared" ref="Y75:Y85" si="26">ROUND(S75 / 1.2, 2)</f>
        <v>0</v>
      </c>
      <c r="AD75" s="4" t="s">
        <v>234</v>
      </c>
      <c r="AE75" s="4" t="s">
        <v>235</v>
      </c>
      <c r="AF75" s="4" t="s">
        <v>94</v>
      </c>
    </row>
    <row r="76" spans="1:35" ht="36" x14ac:dyDescent="0.3">
      <c r="A76" s="23" t="s">
        <v>236</v>
      </c>
      <c r="B76" s="23"/>
      <c r="C76" s="41" t="s">
        <v>90</v>
      </c>
      <c r="D76" s="25"/>
      <c r="E76" s="25"/>
      <c r="F76" s="42" t="s">
        <v>91</v>
      </c>
      <c r="G76" s="43">
        <v>5.1999999999999998E-2</v>
      </c>
      <c r="H76" s="25"/>
      <c r="I76" s="43">
        <v>9.6509999999999998</v>
      </c>
      <c r="J76" s="44">
        <v>4026.8</v>
      </c>
      <c r="K76" s="45"/>
      <c r="L76" s="45"/>
      <c r="M76" s="44">
        <f t="shared" si="23"/>
        <v>38862.65</v>
      </c>
      <c r="N76" s="45"/>
      <c r="O76" s="45"/>
      <c r="P76" s="44">
        <v>4026.8</v>
      </c>
      <c r="Q76" s="45"/>
      <c r="R76" s="45"/>
      <c r="S76" s="44">
        <f t="shared" si="24"/>
        <v>38862.65</v>
      </c>
      <c r="T76" s="45"/>
      <c r="U76" s="46"/>
      <c r="V76" s="9">
        <f t="shared" si="25"/>
        <v>3355.67</v>
      </c>
      <c r="Y76" s="9">
        <f t="shared" si="26"/>
        <v>32385.54</v>
      </c>
      <c r="AD76" s="4" t="s">
        <v>237</v>
      </c>
      <c r="AE76" s="4" t="s">
        <v>235</v>
      </c>
      <c r="AF76" s="4" t="s">
        <v>94</v>
      </c>
    </row>
    <row r="77" spans="1:35" ht="72" x14ac:dyDescent="0.3">
      <c r="A77" s="17" t="s">
        <v>238</v>
      </c>
      <c r="B77" s="17"/>
      <c r="C77" s="34" t="s">
        <v>177</v>
      </c>
      <c r="D77" s="19"/>
      <c r="E77" s="19"/>
      <c r="F77" s="35" t="s">
        <v>68</v>
      </c>
      <c r="G77" s="36">
        <v>1</v>
      </c>
      <c r="H77" s="19"/>
      <c r="I77" s="37">
        <v>0</v>
      </c>
      <c r="J77" s="38">
        <v>111.15</v>
      </c>
      <c r="K77" s="39"/>
      <c r="L77" s="39"/>
      <c r="M77" s="38">
        <f t="shared" si="23"/>
        <v>0</v>
      </c>
      <c r="N77" s="39"/>
      <c r="O77" s="39"/>
      <c r="P77" s="38">
        <v>111.15</v>
      </c>
      <c r="Q77" s="39"/>
      <c r="R77" s="39"/>
      <c r="S77" s="38">
        <f t="shared" si="24"/>
        <v>0</v>
      </c>
      <c r="T77" s="39"/>
      <c r="U77" s="40"/>
      <c r="V77" s="9">
        <f t="shared" si="25"/>
        <v>92.63</v>
      </c>
      <c r="Y77" s="9">
        <f t="shared" si="26"/>
        <v>0</v>
      </c>
      <c r="AD77" s="4" t="s">
        <v>239</v>
      </c>
      <c r="AE77" s="4" t="s">
        <v>240</v>
      </c>
      <c r="AF77" s="4" t="s">
        <v>180</v>
      </c>
    </row>
    <row r="78" spans="1:35" ht="72" x14ac:dyDescent="0.3">
      <c r="A78" s="23" t="s">
        <v>241</v>
      </c>
      <c r="B78" s="23"/>
      <c r="C78" s="41" t="s">
        <v>177</v>
      </c>
      <c r="D78" s="25"/>
      <c r="E78" s="25"/>
      <c r="F78" s="42" t="s">
        <v>68</v>
      </c>
      <c r="G78" s="43">
        <v>1</v>
      </c>
      <c r="H78" s="25"/>
      <c r="I78" s="43">
        <v>185.6</v>
      </c>
      <c r="J78" s="44">
        <v>111.15</v>
      </c>
      <c r="K78" s="45"/>
      <c r="L78" s="45"/>
      <c r="M78" s="44">
        <f t="shared" si="23"/>
        <v>20629.439999999999</v>
      </c>
      <c r="N78" s="45"/>
      <c r="O78" s="45"/>
      <c r="P78" s="44">
        <v>111.15</v>
      </c>
      <c r="Q78" s="45"/>
      <c r="R78" s="45"/>
      <c r="S78" s="44">
        <f t="shared" si="24"/>
        <v>20629.439999999999</v>
      </c>
      <c r="T78" s="45"/>
      <c r="U78" s="46"/>
      <c r="V78" s="9">
        <f t="shared" si="25"/>
        <v>92.63</v>
      </c>
      <c r="Y78" s="9">
        <f t="shared" si="26"/>
        <v>17191.2</v>
      </c>
      <c r="AD78" s="4" t="s">
        <v>242</v>
      </c>
      <c r="AE78" s="4" t="s">
        <v>240</v>
      </c>
      <c r="AF78" s="4" t="s">
        <v>180</v>
      </c>
    </row>
    <row r="79" spans="1:35" ht="36" x14ac:dyDescent="0.3">
      <c r="A79" s="17" t="s">
        <v>243</v>
      </c>
      <c r="B79" s="17"/>
      <c r="C79" s="34" t="s">
        <v>214</v>
      </c>
      <c r="D79" s="19"/>
      <c r="E79" s="19"/>
      <c r="F79" s="35" t="s">
        <v>61</v>
      </c>
      <c r="G79" s="36">
        <v>2.2000000000000002</v>
      </c>
      <c r="H79" s="19"/>
      <c r="I79" s="37">
        <v>0</v>
      </c>
      <c r="J79" s="38">
        <v>104.57</v>
      </c>
      <c r="K79" s="39"/>
      <c r="L79" s="39"/>
      <c r="M79" s="38">
        <f t="shared" si="23"/>
        <v>0</v>
      </c>
      <c r="N79" s="39"/>
      <c r="O79" s="39"/>
      <c r="P79" s="38">
        <v>104.57</v>
      </c>
      <c r="Q79" s="39"/>
      <c r="R79" s="39"/>
      <c r="S79" s="38">
        <f t="shared" si="24"/>
        <v>0</v>
      </c>
      <c r="T79" s="39"/>
      <c r="U79" s="40"/>
      <c r="V79" s="9">
        <f t="shared" si="25"/>
        <v>87.14</v>
      </c>
      <c r="Y79" s="9">
        <f t="shared" si="26"/>
        <v>0</v>
      </c>
      <c r="AD79" s="4" t="s">
        <v>244</v>
      </c>
      <c r="AE79" s="4" t="s">
        <v>245</v>
      </c>
      <c r="AF79" s="4" t="s">
        <v>217</v>
      </c>
    </row>
    <row r="80" spans="1:35" ht="36" x14ac:dyDescent="0.3">
      <c r="A80" s="23" t="s">
        <v>246</v>
      </c>
      <c r="B80" s="23"/>
      <c r="C80" s="41" t="s">
        <v>214</v>
      </c>
      <c r="D80" s="25"/>
      <c r="E80" s="25"/>
      <c r="F80" s="42" t="s">
        <v>61</v>
      </c>
      <c r="G80" s="43">
        <v>2.2000000000000002</v>
      </c>
      <c r="H80" s="25"/>
      <c r="I80" s="43">
        <v>408.32</v>
      </c>
      <c r="J80" s="44">
        <v>104.57</v>
      </c>
      <c r="K80" s="45"/>
      <c r="L80" s="45"/>
      <c r="M80" s="44">
        <f t="shared" si="23"/>
        <v>42698.02</v>
      </c>
      <c r="N80" s="45"/>
      <c r="O80" s="45"/>
      <c r="P80" s="44">
        <v>104.57</v>
      </c>
      <c r="Q80" s="45"/>
      <c r="R80" s="45"/>
      <c r="S80" s="44">
        <f t="shared" si="24"/>
        <v>42698.02</v>
      </c>
      <c r="T80" s="45"/>
      <c r="U80" s="46"/>
      <c r="V80" s="9">
        <f t="shared" si="25"/>
        <v>87.14</v>
      </c>
      <c r="Y80" s="9">
        <f t="shared" si="26"/>
        <v>35581.68</v>
      </c>
      <c r="AD80" s="4" t="s">
        <v>247</v>
      </c>
      <c r="AE80" s="4" t="s">
        <v>245</v>
      </c>
      <c r="AF80" s="4" t="s">
        <v>217</v>
      </c>
    </row>
    <row r="81" spans="1:35" ht="18" x14ac:dyDescent="0.3">
      <c r="A81" s="17" t="s">
        <v>248</v>
      </c>
      <c r="B81" s="17"/>
      <c r="C81" s="34" t="s">
        <v>75</v>
      </c>
      <c r="D81" s="19"/>
      <c r="E81" s="19"/>
      <c r="F81" s="35" t="s">
        <v>76</v>
      </c>
      <c r="G81" s="36">
        <v>0.86</v>
      </c>
      <c r="H81" s="19"/>
      <c r="I81" s="48">
        <v>0</v>
      </c>
      <c r="J81" s="38">
        <v>63.73</v>
      </c>
      <c r="K81" s="39"/>
      <c r="L81" s="39"/>
      <c r="M81" s="38">
        <f t="shared" si="23"/>
        <v>0</v>
      </c>
      <c r="N81" s="39"/>
      <c r="O81" s="39"/>
      <c r="P81" s="38">
        <v>63.73</v>
      </c>
      <c r="Q81" s="39"/>
      <c r="R81" s="39"/>
      <c r="S81" s="38">
        <f t="shared" si="24"/>
        <v>0</v>
      </c>
      <c r="T81" s="39"/>
      <c r="U81" s="40"/>
      <c r="V81" s="9">
        <f t="shared" si="25"/>
        <v>53.11</v>
      </c>
      <c r="Y81" s="9">
        <f t="shared" si="26"/>
        <v>0</v>
      </c>
      <c r="AD81" s="4" t="s">
        <v>249</v>
      </c>
      <c r="AE81" s="4" t="s">
        <v>250</v>
      </c>
      <c r="AF81" s="4" t="s">
        <v>79</v>
      </c>
    </row>
    <row r="82" spans="1:35" ht="18" x14ac:dyDescent="0.3">
      <c r="A82" s="23" t="s">
        <v>251</v>
      </c>
      <c r="B82" s="23"/>
      <c r="C82" s="41" t="s">
        <v>75</v>
      </c>
      <c r="D82" s="25"/>
      <c r="E82" s="25"/>
      <c r="F82" s="42" t="s">
        <v>76</v>
      </c>
      <c r="G82" s="43">
        <v>0.86</v>
      </c>
      <c r="H82" s="25"/>
      <c r="I82" s="50">
        <v>159.61600000000001</v>
      </c>
      <c r="J82" s="44">
        <v>63.73</v>
      </c>
      <c r="K82" s="45"/>
      <c r="L82" s="45"/>
      <c r="M82" s="44">
        <f t="shared" si="23"/>
        <v>10172.33</v>
      </c>
      <c r="N82" s="45"/>
      <c r="O82" s="45"/>
      <c r="P82" s="44">
        <v>63.73</v>
      </c>
      <c r="Q82" s="45"/>
      <c r="R82" s="45"/>
      <c r="S82" s="44">
        <f t="shared" si="24"/>
        <v>10172.33</v>
      </c>
      <c r="T82" s="45"/>
      <c r="U82" s="46"/>
      <c r="V82" s="9">
        <f t="shared" si="25"/>
        <v>53.11</v>
      </c>
      <c r="Y82" s="9">
        <f t="shared" si="26"/>
        <v>8476.94</v>
      </c>
      <c r="AD82" s="4" t="s">
        <v>252</v>
      </c>
      <c r="AE82" s="4" t="s">
        <v>250</v>
      </c>
      <c r="AF82" s="4" t="s">
        <v>79</v>
      </c>
    </row>
    <row r="83" spans="1:35" ht="18" x14ac:dyDescent="0.3">
      <c r="A83" s="17" t="s">
        <v>253</v>
      </c>
      <c r="B83" s="17"/>
      <c r="C83" s="34" t="s">
        <v>83</v>
      </c>
      <c r="D83" s="19"/>
      <c r="E83" s="19"/>
      <c r="F83" s="35" t="s">
        <v>76</v>
      </c>
      <c r="G83" s="36">
        <v>2.1</v>
      </c>
      <c r="H83" s="19"/>
      <c r="I83" s="48">
        <v>0</v>
      </c>
      <c r="J83" s="38">
        <v>95.07</v>
      </c>
      <c r="K83" s="39"/>
      <c r="L83" s="39"/>
      <c r="M83" s="38">
        <f t="shared" si="23"/>
        <v>0</v>
      </c>
      <c r="N83" s="39"/>
      <c r="O83" s="39"/>
      <c r="P83" s="38">
        <v>95.07</v>
      </c>
      <c r="Q83" s="39"/>
      <c r="R83" s="39"/>
      <c r="S83" s="38">
        <f t="shared" si="24"/>
        <v>0</v>
      </c>
      <c r="T83" s="39"/>
      <c r="U83" s="40"/>
      <c r="V83" s="9">
        <f t="shared" si="25"/>
        <v>79.23</v>
      </c>
      <c r="Y83" s="9">
        <f t="shared" si="26"/>
        <v>0</v>
      </c>
      <c r="AD83" s="4" t="s">
        <v>254</v>
      </c>
      <c r="AE83" s="4" t="s">
        <v>255</v>
      </c>
      <c r="AF83" s="4" t="s">
        <v>86</v>
      </c>
    </row>
    <row r="84" spans="1:35" ht="18" x14ac:dyDescent="0.3">
      <c r="A84" s="23" t="s">
        <v>256</v>
      </c>
      <c r="B84" s="23"/>
      <c r="C84" s="41" t="s">
        <v>83</v>
      </c>
      <c r="D84" s="25"/>
      <c r="E84" s="25"/>
      <c r="F84" s="42" t="s">
        <v>76</v>
      </c>
      <c r="G84" s="43">
        <v>2.1</v>
      </c>
      <c r="H84" s="25"/>
      <c r="I84" s="50">
        <v>389.76</v>
      </c>
      <c r="J84" s="44">
        <v>95.07</v>
      </c>
      <c r="K84" s="45"/>
      <c r="L84" s="45"/>
      <c r="M84" s="44">
        <f t="shared" si="23"/>
        <v>37054.480000000003</v>
      </c>
      <c r="N84" s="45"/>
      <c r="O84" s="45"/>
      <c r="P84" s="44">
        <v>95.07</v>
      </c>
      <c r="Q84" s="45"/>
      <c r="R84" s="45"/>
      <c r="S84" s="44">
        <f t="shared" si="24"/>
        <v>37054.480000000003</v>
      </c>
      <c r="T84" s="45"/>
      <c r="U84" s="46"/>
      <c r="V84" s="9">
        <f t="shared" si="25"/>
        <v>79.23</v>
      </c>
      <c r="Y84" s="9">
        <f t="shared" si="26"/>
        <v>30878.73</v>
      </c>
      <c r="AD84" s="4" t="s">
        <v>257</v>
      </c>
      <c r="AE84" s="4" t="s">
        <v>255</v>
      </c>
      <c r="AF84" s="4" t="s">
        <v>86</v>
      </c>
    </row>
    <row r="85" spans="1:35" ht="288" x14ac:dyDescent="0.3">
      <c r="A85" s="17" t="s">
        <v>258</v>
      </c>
      <c r="B85" s="17" t="s">
        <v>165</v>
      </c>
      <c r="C85" s="18" t="s">
        <v>166</v>
      </c>
      <c r="D85" s="19" t="s">
        <v>59</v>
      </c>
      <c r="E85" s="19" t="s">
        <v>259</v>
      </c>
      <c r="F85" s="19" t="s">
        <v>61</v>
      </c>
      <c r="G85" s="20">
        <v>1</v>
      </c>
      <c r="H85" s="19"/>
      <c r="I85" s="21">
        <v>0</v>
      </c>
      <c r="J85" s="22">
        <v>727.48</v>
      </c>
      <c r="K85" s="22">
        <v>1225</v>
      </c>
      <c r="L85" s="22">
        <f>J85+ROUND(K85, 2)</f>
        <v>1952.48</v>
      </c>
      <c r="M85" s="22">
        <v>0</v>
      </c>
      <c r="N85" s="22">
        <v>0</v>
      </c>
      <c r="O85" s="22">
        <f>M85+N85</f>
        <v>0</v>
      </c>
      <c r="P85" s="22">
        <v>3842.15</v>
      </c>
      <c r="Q85" s="22">
        <v>1225</v>
      </c>
      <c r="R85" s="22">
        <f>P85+ROUND(Q85, 2)</f>
        <v>5067.1499999999996</v>
      </c>
      <c r="S85" s="22">
        <v>0</v>
      </c>
      <c r="T85" s="22">
        <v>0</v>
      </c>
      <c r="U85" s="22">
        <f>S85+T85</f>
        <v>0</v>
      </c>
      <c r="V85" s="9">
        <f>ROUND(P85 / 1.2, 2)</f>
        <v>3201.79</v>
      </c>
      <c r="W85" s="9">
        <f>ROUND(Q85 / 1.2, 2)</f>
        <v>1020.83</v>
      </c>
      <c r="X85" s="9">
        <f>ROUND(R85 / 1.2, 2)</f>
        <v>4222.63</v>
      </c>
      <c r="Y85" s="9">
        <f t="shared" si="26"/>
        <v>0</v>
      </c>
      <c r="Z85" s="9">
        <f>ROUND(T85 / 1.2, 2)</f>
        <v>0</v>
      </c>
      <c r="AA85" s="9">
        <f>Y85+Z85</f>
        <v>0</v>
      </c>
      <c r="AD85" s="4">
        <v>320320149</v>
      </c>
      <c r="AE85" s="4">
        <v>26813819</v>
      </c>
      <c r="AG85" s="4" t="s">
        <v>168</v>
      </c>
      <c r="AH85" s="4" t="s">
        <v>169</v>
      </c>
      <c r="AI85" s="4" t="s">
        <v>64</v>
      </c>
    </row>
    <row r="86" spans="1:35" ht="288" x14ac:dyDescent="0.3">
      <c r="A86" s="23" t="s">
        <v>260</v>
      </c>
      <c r="B86" s="23" t="s">
        <v>165</v>
      </c>
      <c r="C86" s="24" t="s">
        <v>166</v>
      </c>
      <c r="D86" s="25" t="s">
        <v>59</v>
      </c>
      <c r="E86" s="25" t="s">
        <v>259</v>
      </c>
      <c r="F86" s="25" t="s">
        <v>61</v>
      </c>
      <c r="G86" s="26">
        <v>1</v>
      </c>
      <c r="H86" s="25"/>
      <c r="I86" s="26">
        <v>128.5</v>
      </c>
      <c r="J86" s="27">
        <v>727.48</v>
      </c>
      <c r="K86" s="27">
        <v>1225</v>
      </c>
      <c r="L86" s="27">
        <v>1225</v>
      </c>
      <c r="M86" s="27">
        <v>93481.18</v>
      </c>
      <c r="N86" s="27">
        <v>157412.5</v>
      </c>
      <c r="O86" s="27"/>
      <c r="P86" s="27">
        <v>3842.15</v>
      </c>
      <c r="Q86" s="27">
        <v>1225</v>
      </c>
      <c r="R86" s="27">
        <v>1225</v>
      </c>
      <c r="S86" s="27">
        <v>493716.28</v>
      </c>
      <c r="T86" s="27">
        <v>157412.5</v>
      </c>
      <c r="U86" s="27"/>
      <c r="V86" s="9"/>
      <c r="W86" s="9">
        <f>ROUND(Q86 / 1.2, 2)</f>
        <v>1020.83</v>
      </c>
      <c r="X86" s="9">
        <f>ROUND(R86 / 1.2, 2)</f>
        <v>1020.83</v>
      </c>
      <c r="Y86" s="9"/>
      <c r="Z86" s="9">
        <f>ROUND(T86 / 1.2, 2)</f>
        <v>131177.07999999999</v>
      </c>
      <c r="AA86" s="9"/>
      <c r="AD86" s="4">
        <v>315454838</v>
      </c>
      <c r="AE86" s="4">
        <v>26813819</v>
      </c>
      <c r="AG86" s="4" t="s">
        <v>168</v>
      </c>
      <c r="AH86" s="4" t="s">
        <v>169</v>
      </c>
      <c r="AI86" s="4"/>
    </row>
    <row r="87" spans="1:35" ht="18" x14ac:dyDescent="0.3">
      <c r="A87" s="17" t="s">
        <v>261</v>
      </c>
      <c r="B87" s="17"/>
      <c r="C87" s="34" t="s">
        <v>117</v>
      </c>
      <c r="D87" s="19"/>
      <c r="E87" s="19"/>
      <c r="F87" s="35" t="s">
        <v>76</v>
      </c>
      <c r="G87" s="36">
        <v>2.1</v>
      </c>
      <c r="H87" s="19"/>
      <c r="I87" s="37">
        <v>0</v>
      </c>
      <c r="J87" s="38">
        <v>64.56</v>
      </c>
      <c r="K87" s="39"/>
      <c r="L87" s="39"/>
      <c r="M87" s="38">
        <f t="shared" ref="M87:M96" si="27">ROUND(ROUND(J87, 2)*I87, 2)</f>
        <v>0</v>
      </c>
      <c r="N87" s="39"/>
      <c r="O87" s="39"/>
      <c r="P87" s="38">
        <v>64.56</v>
      </c>
      <c r="Q87" s="39"/>
      <c r="R87" s="39"/>
      <c r="S87" s="38">
        <f t="shared" ref="S87:S96" si="28">ROUND(ROUND(P87, 2)*I87, 2)</f>
        <v>0</v>
      </c>
      <c r="T87" s="39"/>
      <c r="U87" s="40"/>
      <c r="V87" s="9">
        <f t="shared" ref="V87:V96" si="29">ROUND(ROUND(P87, 2)/1.2, 2)</f>
        <v>53.8</v>
      </c>
      <c r="Y87" s="9">
        <f t="shared" ref="Y87:Y97" si="30">ROUND(S87 / 1.2, 2)</f>
        <v>0</v>
      </c>
      <c r="AD87" s="4" t="s">
        <v>262</v>
      </c>
      <c r="AE87" s="4" t="s">
        <v>263</v>
      </c>
      <c r="AF87" s="4" t="s">
        <v>120</v>
      </c>
    </row>
    <row r="88" spans="1:35" ht="18" x14ac:dyDescent="0.3">
      <c r="A88" s="23" t="s">
        <v>264</v>
      </c>
      <c r="B88" s="23"/>
      <c r="C88" s="41" t="s">
        <v>117</v>
      </c>
      <c r="D88" s="25"/>
      <c r="E88" s="25"/>
      <c r="F88" s="42" t="s">
        <v>76</v>
      </c>
      <c r="G88" s="43">
        <v>2.1</v>
      </c>
      <c r="H88" s="25"/>
      <c r="I88" s="43">
        <v>269.85000000000002</v>
      </c>
      <c r="J88" s="44">
        <v>64.56</v>
      </c>
      <c r="K88" s="45"/>
      <c r="L88" s="45"/>
      <c r="M88" s="44">
        <f t="shared" si="27"/>
        <v>17421.52</v>
      </c>
      <c r="N88" s="45"/>
      <c r="O88" s="45"/>
      <c r="P88" s="44">
        <v>64.56</v>
      </c>
      <c r="Q88" s="45"/>
      <c r="R88" s="45"/>
      <c r="S88" s="44">
        <f t="shared" si="28"/>
        <v>17421.52</v>
      </c>
      <c r="T88" s="45"/>
      <c r="U88" s="46"/>
      <c r="V88" s="9">
        <f t="shared" si="29"/>
        <v>53.8</v>
      </c>
      <c r="Y88" s="9">
        <f t="shared" si="30"/>
        <v>14517.93</v>
      </c>
      <c r="AD88" s="4" t="s">
        <v>265</v>
      </c>
      <c r="AE88" s="4" t="s">
        <v>263</v>
      </c>
      <c r="AF88" s="4" t="s">
        <v>120</v>
      </c>
    </row>
    <row r="89" spans="1:35" ht="18" x14ac:dyDescent="0.3">
      <c r="A89" s="17" t="s">
        <v>266</v>
      </c>
      <c r="B89" s="17"/>
      <c r="C89" s="34" t="s">
        <v>124</v>
      </c>
      <c r="D89" s="19"/>
      <c r="E89" s="19"/>
      <c r="F89" s="35" t="s">
        <v>76</v>
      </c>
      <c r="G89" s="36">
        <v>0.8</v>
      </c>
      <c r="H89" s="19"/>
      <c r="I89" s="37">
        <v>0</v>
      </c>
      <c r="J89" s="38">
        <v>51.63</v>
      </c>
      <c r="K89" s="39"/>
      <c r="L89" s="39"/>
      <c r="M89" s="38">
        <f t="shared" si="27"/>
        <v>0</v>
      </c>
      <c r="N89" s="39"/>
      <c r="O89" s="39"/>
      <c r="P89" s="38">
        <v>51.63</v>
      </c>
      <c r="Q89" s="39"/>
      <c r="R89" s="39"/>
      <c r="S89" s="38">
        <f t="shared" si="28"/>
        <v>0</v>
      </c>
      <c r="T89" s="39"/>
      <c r="U89" s="40"/>
      <c r="V89" s="9">
        <f t="shared" si="29"/>
        <v>43.03</v>
      </c>
      <c r="Y89" s="9">
        <f t="shared" si="30"/>
        <v>0</v>
      </c>
      <c r="AD89" s="4" t="s">
        <v>267</v>
      </c>
      <c r="AE89" s="4" t="s">
        <v>268</v>
      </c>
      <c r="AF89" s="4" t="s">
        <v>127</v>
      </c>
    </row>
    <row r="90" spans="1:35" ht="18" x14ac:dyDescent="0.3">
      <c r="A90" s="23" t="s">
        <v>269</v>
      </c>
      <c r="B90" s="23"/>
      <c r="C90" s="41" t="s">
        <v>124</v>
      </c>
      <c r="D90" s="25"/>
      <c r="E90" s="25"/>
      <c r="F90" s="42" t="s">
        <v>76</v>
      </c>
      <c r="G90" s="43">
        <v>0.8</v>
      </c>
      <c r="H90" s="25"/>
      <c r="I90" s="43">
        <v>102.8</v>
      </c>
      <c r="J90" s="44">
        <v>51.63</v>
      </c>
      <c r="K90" s="45"/>
      <c r="L90" s="45"/>
      <c r="M90" s="44">
        <f t="shared" si="27"/>
        <v>5307.56</v>
      </c>
      <c r="N90" s="45"/>
      <c r="O90" s="45"/>
      <c r="P90" s="44">
        <v>51.63</v>
      </c>
      <c r="Q90" s="45"/>
      <c r="R90" s="45"/>
      <c r="S90" s="44">
        <f t="shared" si="28"/>
        <v>5307.56</v>
      </c>
      <c r="T90" s="45"/>
      <c r="U90" s="46"/>
      <c r="V90" s="9">
        <f t="shared" si="29"/>
        <v>43.03</v>
      </c>
      <c r="Y90" s="9">
        <f t="shared" si="30"/>
        <v>4422.97</v>
      </c>
      <c r="AD90" s="4" t="s">
        <v>270</v>
      </c>
      <c r="AE90" s="4" t="s">
        <v>268</v>
      </c>
      <c r="AF90" s="4" t="s">
        <v>127</v>
      </c>
    </row>
    <row r="91" spans="1:35" ht="36" x14ac:dyDescent="0.3">
      <c r="A91" s="17" t="s">
        <v>271</v>
      </c>
      <c r="B91" s="17"/>
      <c r="C91" s="34" t="s">
        <v>214</v>
      </c>
      <c r="D91" s="19"/>
      <c r="E91" s="19" t="s">
        <v>272</v>
      </c>
      <c r="F91" s="35" t="s">
        <v>61</v>
      </c>
      <c r="G91" s="36">
        <v>2.2000000000000002</v>
      </c>
      <c r="H91" s="19"/>
      <c r="I91" s="37">
        <v>0</v>
      </c>
      <c r="J91" s="38">
        <v>104.57</v>
      </c>
      <c r="K91" s="39"/>
      <c r="L91" s="39"/>
      <c r="M91" s="38">
        <f t="shared" si="27"/>
        <v>0</v>
      </c>
      <c r="N91" s="39"/>
      <c r="O91" s="39"/>
      <c r="P91" s="38">
        <v>1520.33</v>
      </c>
      <c r="Q91" s="39"/>
      <c r="R91" s="39"/>
      <c r="S91" s="38">
        <f t="shared" si="28"/>
        <v>0</v>
      </c>
      <c r="T91" s="39"/>
      <c r="U91" s="40"/>
      <c r="V91" s="9">
        <f t="shared" si="29"/>
        <v>1266.94</v>
      </c>
      <c r="Y91" s="9">
        <f t="shared" si="30"/>
        <v>0</v>
      </c>
      <c r="AD91" s="4" t="s">
        <v>273</v>
      </c>
      <c r="AE91" s="4" t="s">
        <v>274</v>
      </c>
      <c r="AF91" s="4" t="s">
        <v>217</v>
      </c>
    </row>
    <row r="92" spans="1:35" ht="36" x14ac:dyDescent="0.3">
      <c r="A92" s="23" t="s">
        <v>275</v>
      </c>
      <c r="B92" s="23"/>
      <c r="C92" s="41" t="s">
        <v>214</v>
      </c>
      <c r="D92" s="25"/>
      <c r="E92" s="25" t="s">
        <v>272</v>
      </c>
      <c r="F92" s="42" t="s">
        <v>61</v>
      </c>
      <c r="G92" s="43">
        <v>2.2000000000000002</v>
      </c>
      <c r="H92" s="25"/>
      <c r="I92" s="43">
        <v>282.7</v>
      </c>
      <c r="J92" s="44">
        <v>104.57</v>
      </c>
      <c r="K92" s="45"/>
      <c r="L92" s="45"/>
      <c r="M92" s="44">
        <f t="shared" si="27"/>
        <v>29561.94</v>
      </c>
      <c r="N92" s="45"/>
      <c r="O92" s="45"/>
      <c r="P92" s="44">
        <v>1520.33</v>
      </c>
      <c r="Q92" s="45"/>
      <c r="R92" s="45"/>
      <c r="S92" s="44">
        <f t="shared" si="28"/>
        <v>429797.29</v>
      </c>
      <c r="T92" s="45"/>
      <c r="U92" s="46"/>
      <c r="V92" s="9">
        <f t="shared" si="29"/>
        <v>1266.94</v>
      </c>
      <c r="Y92" s="9">
        <f t="shared" si="30"/>
        <v>358164.41</v>
      </c>
      <c r="AD92" s="4" t="s">
        <v>276</v>
      </c>
      <c r="AE92" s="4" t="s">
        <v>274</v>
      </c>
      <c r="AF92" s="4" t="s">
        <v>217</v>
      </c>
    </row>
    <row r="93" spans="1:35" ht="72" x14ac:dyDescent="0.3">
      <c r="A93" s="17" t="s">
        <v>277</v>
      </c>
      <c r="B93" s="17"/>
      <c r="C93" s="34" t="s">
        <v>177</v>
      </c>
      <c r="D93" s="19"/>
      <c r="E93" s="19"/>
      <c r="F93" s="35" t="s">
        <v>68</v>
      </c>
      <c r="G93" s="36">
        <v>1</v>
      </c>
      <c r="H93" s="19"/>
      <c r="I93" s="37">
        <v>0</v>
      </c>
      <c r="J93" s="38">
        <v>111.15</v>
      </c>
      <c r="K93" s="39"/>
      <c r="L93" s="39"/>
      <c r="M93" s="38">
        <f t="shared" si="27"/>
        <v>0</v>
      </c>
      <c r="N93" s="39"/>
      <c r="O93" s="39"/>
      <c r="P93" s="38">
        <v>111.15</v>
      </c>
      <c r="Q93" s="39"/>
      <c r="R93" s="39"/>
      <c r="S93" s="38">
        <f t="shared" si="28"/>
        <v>0</v>
      </c>
      <c r="T93" s="39"/>
      <c r="U93" s="40"/>
      <c r="V93" s="9">
        <f t="shared" si="29"/>
        <v>92.63</v>
      </c>
      <c r="Y93" s="9">
        <f t="shared" si="30"/>
        <v>0</v>
      </c>
      <c r="AD93" s="4" t="s">
        <v>278</v>
      </c>
      <c r="AE93" s="4" t="s">
        <v>279</v>
      </c>
      <c r="AF93" s="4" t="s">
        <v>180</v>
      </c>
    </row>
    <row r="94" spans="1:35" ht="72" x14ac:dyDescent="0.3">
      <c r="A94" s="23" t="s">
        <v>280</v>
      </c>
      <c r="B94" s="23"/>
      <c r="C94" s="41" t="s">
        <v>177</v>
      </c>
      <c r="D94" s="25"/>
      <c r="E94" s="25"/>
      <c r="F94" s="42" t="s">
        <v>68</v>
      </c>
      <c r="G94" s="43">
        <v>1</v>
      </c>
      <c r="H94" s="25"/>
      <c r="I94" s="43">
        <v>128.5</v>
      </c>
      <c r="J94" s="44">
        <v>111.15</v>
      </c>
      <c r="K94" s="45"/>
      <c r="L94" s="45"/>
      <c r="M94" s="44">
        <f t="shared" si="27"/>
        <v>14282.78</v>
      </c>
      <c r="N94" s="45"/>
      <c r="O94" s="45"/>
      <c r="P94" s="44">
        <v>111.15</v>
      </c>
      <c r="Q94" s="45"/>
      <c r="R94" s="45"/>
      <c r="S94" s="44">
        <f t="shared" si="28"/>
        <v>14282.78</v>
      </c>
      <c r="T94" s="45"/>
      <c r="U94" s="46"/>
      <c r="V94" s="9">
        <f t="shared" si="29"/>
        <v>92.63</v>
      </c>
      <c r="Y94" s="9">
        <f t="shared" si="30"/>
        <v>11902.32</v>
      </c>
      <c r="AD94" s="4" t="s">
        <v>281</v>
      </c>
      <c r="AE94" s="4" t="s">
        <v>279</v>
      </c>
      <c r="AF94" s="4" t="s">
        <v>180</v>
      </c>
    </row>
    <row r="95" spans="1:35" ht="36" x14ac:dyDescent="0.3">
      <c r="A95" s="17" t="s">
        <v>282</v>
      </c>
      <c r="B95" s="17"/>
      <c r="C95" s="34" t="s">
        <v>90</v>
      </c>
      <c r="D95" s="19"/>
      <c r="E95" s="19"/>
      <c r="F95" s="35" t="s">
        <v>91</v>
      </c>
      <c r="G95" s="36">
        <v>5.1999999999999998E-2</v>
      </c>
      <c r="H95" s="19"/>
      <c r="I95" s="37">
        <v>0</v>
      </c>
      <c r="J95" s="38">
        <v>4026.8</v>
      </c>
      <c r="K95" s="39"/>
      <c r="L95" s="39"/>
      <c r="M95" s="38">
        <f t="shared" si="27"/>
        <v>0</v>
      </c>
      <c r="N95" s="39"/>
      <c r="O95" s="39"/>
      <c r="P95" s="38">
        <v>4026.8</v>
      </c>
      <c r="Q95" s="39"/>
      <c r="R95" s="39"/>
      <c r="S95" s="38">
        <f t="shared" si="28"/>
        <v>0</v>
      </c>
      <c r="T95" s="39"/>
      <c r="U95" s="40"/>
      <c r="V95" s="9">
        <f t="shared" si="29"/>
        <v>3355.67</v>
      </c>
      <c r="Y95" s="9">
        <f t="shared" si="30"/>
        <v>0</v>
      </c>
      <c r="AD95" s="4" t="s">
        <v>283</v>
      </c>
      <c r="AE95" s="4" t="s">
        <v>284</v>
      </c>
      <c r="AF95" s="4" t="s">
        <v>94</v>
      </c>
    </row>
    <row r="96" spans="1:35" ht="36" x14ac:dyDescent="0.3">
      <c r="A96" s="23" t="s">
        <v>285</v>
      </c>
      <c r="B96" s="23"/>
      <c r="C96" s="41" t="s">
        <v>90</v>
      </c>
      <c r="D96" s="25"/>
      <c r="E96" s="25"/>
      <c r="F96" s="42" t="s">
        <v>91</v>
      </c>
      <c r="G96" s="43">
        <v>5.1999999999999998E-2</v>
      </c>
      <c r="H96" s="25"/>
      <c r="I96" s="43">
        <v>6.6820000000000004</v>
      </c>
      <c r="J96" s="44">
        <v>4026.8</v>
      </c>
      <c r="K96" s="45"/>
      <c r="L96" s="45"/>
      <c r="M96" s="44">
        <f t="shared" si="27"/>
        <v>26907.08</v>
      </c>
      <c r="N96" s="45"/>
      <c r="O96" s="45"/>
      <c r="P96" s="44">
        <v>4026.8</v>
      </c>
      <c r="Q96" s="45"/>
      <c r="R96" s="45"/>
      <c r="S96" s="44">
        <f t="shared" si="28"/>
        <v>26907.08</v>
      </c>
      <c r="T96" s="45"/>
      <c r="U96" s="46"/>
      <c r="V96" s="9">
        <f t="shared" si="29"/>
        <v>3355.67</v>
      </c>
      <c r="Y96" s="9">
        <f t="shared" si="30"/>
        <v>22422.57</v>
      </c>
      <c r="AD96" s="4" t="s">
        <v>286</v>
      </c>
      <c r="AE96" s="4" t="s">
        <v>284</v>
      </c>
      <c r="AF96" s="4" t="s">
        <v>94</v>
      </c>
    </row>
    <row r="97" spans="1:35" ht="288" x14ac:dyDescent="0.3">
      <c r="A97" s="17" t="s">
        <v>287</v>
      </c>
      <c r="B97" s="17" t="s">
        <v>165</v>
      </c>
      <c r="C97" s="18" t="s">
        <v>166</v>
      </c>
      <c r="D97" s="19" t="s">
        <v>59</v>
      </c>
      <c r="E97" s="19" t="s">
        <v>288</v>
      </c>
      <c r="F97" s="19" t="s">
        <v>61</v>
      </c>
      <c r="G97" s="20">
        <v>1</v>
      </c>
      <c r="H97" s="19"/>
      <c r="I97" s="21">
        <v>0</v>
      </c>
      <c r="J97" s="22">
        <v>1269.23</v>
      </c>
      <c r="K97" s="22">
        <v>1225</v>
      </c>
      <c r="L97" s="22">
        <f>J97+ROUND(K97, 2)</f>
        <v>2494.23</v>
      </c>
      <c r="M97" s="22">
        <v>0</v>
      </c>
      <c r="N97" s="22">
        <v>0</v>
      </c>
      <c r="O97" s="22">
        <f>M97+N97</f>
        <v>0</v>
      </c>
      <c r="P97" s="22">
        <v>1269.23</v>
      </c>
      <c r="Q97" s="22">
        <v>1225</v>
      </c>
      <c r="R97" s="22">
        <f>P97+ROUND(Q97, 2)</f>
        <v>2494.23</v>
      </c>
      <c r="S97" s="22">
        <v>0</v>
      </c>
      <c r="T97" s="22">
        <v>0</v>
      </c>
      <c r="U97" s="22">
        <f>S97+T97</f>
        <v>0</v>
      </c>
      <c r="V97" s="9">
        <f>ROUND(P97 / 1.2, 2)</f>
        <v>1057.69</v>
      </c>
      <c r="W97" s="9">
        <f>ROUND(Q97 / 1.2, 2)</f>
        <v>1020.83</v>
      </c>
      <c r="X97" s="9">
        <f>ROUND(R97 / 1.2, 2)</f>
        <v>2078.5300000000002</v>
      </c>
      <c r="Y97" s="9">
        <f t="shared" si="30"/>
        <v>0</v>
      </c>
      <c r="Z97" s="9">
        <f>ROUND(T97 / 1.2, 2)</f>
        <v>0</v>
      </c>
      <c r="AA97" s="9">
        <f>Y97+Z97</f>
        <v>0</v>
      </c>
      <c r="AD97" s="4">
        <v>320320150</v>
      </c>
      <c r="AE97" s="4">
        <v>26813809</v>
      </c>
      <c r="AG97" s="4" t="s">
        <v>168</v>
      </c>
      <c r="AH97" s="4" t="s">
        <v>169</v>
      </c>
      <c r="AI97" s="4" t="s">
        <v>64</v>
      </c>
    </row>
    <row r="98" spans="1:35" ht="288" x14ac:dyDescent="0.3">
      <c r="A98" s="23" t="s">
        <v>289</v>
      </c>
      <c r="B98" s="23" t="s">
        <v>165</v>
      </c>
      <c r="C98" s="24" t="s">
        <v>166</v>
      </c>
      <c r="D98" s="25" t="s">
        <v>59</v>
      </c>
      <c r="E98" s="25" t="s">
        <v>288</v>
      </c>
      <c r="F98" s="25" t="s">
        <v>61</v>
      </c>
      <c r="G98" s="26">
        <v>1</v>
      </c>
      <c r="H98" s="25"/>
      <c r="I98" s="26">
        <v>95.8</v>
      </c>
      <c r="J98" s="27">
        <v>1269.23</v>
      </c>
      <c r="K98" s="27">
        <v>1225</v>
      </c>
      <c r="L98" s="27">
        <v>1225</v>
      </c>
      <c r="M98" s="27">
        <v>121592.23</v>
      </c>
      <c r="N98" s="27">
        <v>117355</v>
      </c>
      <c r="O98" s="27"/>
      <c r="P98" s="27">
        <v>1269.23</v>
      </c>
      <c r="Q98" s="27">
        <v>1225</v>
      </c>
      <c r="R98" s="27">
        <v>1225</v>
      </c>
      <c r="S98" s="27">
        <v>121592.23</v>
      </c>
      <c r="T98" s="27">
        <v>117355</v>
      </c>
      <c r="U98" s="27"/>
      <c r="V98" s="9"/>
      <c r="W98" s="9">
        <f>ROUND(Q98 / 1.2, 2)</f>
        <v>1020.83</v>
      </c>
      <c r="X98" s="9">
        <f>ROUND(R98 / 1.2, 2)</f>
        <v>1020.83</v>
      </c>
      <c r="Y98" s="9"/>
      <c r="Z98" s="9">
        <f>ROUND(T98 / 1.2, 2)</f>
        <v>97795.83</v>
      </c>
      <c r="AA98" s="9"/>
      <c r="AD98" s="4">
        <v>315454839</v>
      </c>
      <c r="AE98" s="4">
        <v>26813809</v>
      </c>
      <c r="AG98" s="4" t="s">
        <v>168</v>
      </c>
      <c r="AH98" s="4" t="s">
        <v>169</v>
      </c>
      <c r="AI98" s="4"/>
    </row>
    <row r="99" spans="1:35" ht="36" x14ac:dyDescent="0.3">
      <c r="A99" s="17" t="s">
        <v>290</v>
      </c>
      <c r="B99" s="17"/>
      <c r="C99" s="34" t="s">
        <v>90</v>
      </c>
      <c r="D99" s="19"/>
      <c r="E99" s="19"/>
      <c r="F99" s="35" t="s">
        <v>91</v>
      </c>
      <c r="G99" s="36">
        <v>5.1999999999999998E-2</v>
      </c>
      <c r="H99" s="19"/>
      <c r="I99" s="37">
        <v>0</v>
      </c>
      <c r="J99" s="38">
        <v>4026.8</v>
      </c>
      <c r="K99" s="39"/>
      <c r="L99" s="39"/>
      <c r="M99" s="38">
        <f t="shared" ref="M99:M108" si="31">ROUND(ROUND(J99, 2)*I99, 2)</f>
        <v>0</v>
      </c>
      <c r="N99" s="39"/>
      <c r="O99" s="39"/>
      <c r="P99" s="38">
        <v>4026.8</v>
      </c>
      <c r="Q99" s="39"/>
      <c r="R99" s="39"/>
      <c r="S99" s="38">
        <f t="shared" ref="S99:S108" si="32">ROUND(ROUND(P99, 2)*I99, 2)</f>
        <v>0</v>
      </c>
      <c r="T99" s="39"/>
      <c r="U99" s="40"/>
      <c r="V99" s="9">
        <f t="shared" ref="V99:V108" si="33">ROUND(ROUND(P99, 2)/1.2, 2)</f>
        <v>3355.67</v>
      </c>
      <c r="Y99" s="9">
        <f t="shared" ref="Y99:Y108" si="34">ROUND(S99 / 1.2, 2)</f>
        <v>0</v>
      </c>
      <c r="AD99" s="4" t="s">
        <v>291</v>
      </c>
      <c r="AE99" s="4" t="s">
        <v>292</v>
      </c>
      <c r="AF99" s="4" t="s">
        <v>94</v>
      </c>
    </row>
    <row r="100" spans="1:35" ht="36" x14ac:dyDescent="0.3">
      <c r="A100" s="23" t="s">
        <v>293</v>
      </c>
      <c r="B100" s="23"/>
      <c r="C100" s="41" t="s">
        <v>90</v>
      </c>
      <c r="D100" s="25"/>
      <c r="E100" s="25"/>
      <c r="F100" s="42" t="s">
        <v>91</v>
      </c>
      <c r="G100" s="43">
        <v>5.1999999999999998E-2</v>
      </c>
      <c r="H100" s="25"/>
      <c r="I100" s="43">
        <v>4.9820000000000002</v>
      </c>
      <c r="J100" s="44">
        <v>4026.8</v>
      </c>
      <c r="K100" s="45"/>
      <c r="L100" s="45"/>
      <c r="M100" s="44">
        <f t="shared" si="31"/>
        <v>20061.52</v>
      </c>
      <c r="N100" s="45"/>
      <c r="O100" s="45"/>
      <c r="P100" s="44">
        <v>4026.8</v>
      </c>
      <c r="Q100" s="45"/>
      <c r="R100" s="45"/>
      <c r="S100" s="44">
        <f t="shared" si="32"/>
        <v>20061.52</v>
      </c>
      <c r="T100" s="45"/>
      <c r="U100" s="46"/>
      <c r="V100" s="9">
        <f t="shared" si="33"/>
        <v>3355.67</v>
      </c>
      <c r="Y100" s="9">
        <f t="shared" si="34"/>
        <v>16717.93</v>
      </c>
      <c r="AD100" s="4" t="s">
        <v>294</v>
      </c>
      <c r="AE100" s="4" t="s">
        <v>292</v>
      </c>
      <c r="AF100" s="4" t="s">
        <v>94</v>
      </c>
    </row>
    <row r="101" spans="1:35" ht="72" x14ac:dyDescent="0.3">
      <c r="A101" s="17" t="s">
        <v>295</v>
      </c>
      <c r="B101" s="17"/>
      <c r="C101" s="34" t="s">
        <v>177</v>
      </c>
      <c r="D101" s="19"/>
      <c r="E101" s="19"/>
      <c r="F101" s="35" t="s">
        <v>68</v>
      </c>
      <c r="G101" s="36">
        <v>1</v>
      </c>
      <c r="H101" s="19"/>
      <c r="I101" s="37">
        <v>0</v>
      </c>
      <c r="J101" s="38">
        <v>111.15</v>
      </c>
      <c r="K101" s="39"/>
      <c r="L101" s="39"/>
      <c r="M101" s="38">
        <f t="shared" si="31"/>
        <v>0</v>
      </c>
      <c r="N101" s="39"/>
      <c r="O101" s="39"/>
      <c r="P101" s="38">
        <v>111.15</v>
      </c>
      <c r="Q101" s="39"/>
      <c r="R101" s="39"/>
      <c r="S101" s="38">
        <f t="shared" si="32"/>
        <v>0</v>
      </c>
      <c r="T101" s="39"/>
      <c r="U101" s="40"/>
      <c r="V101" s="9">
        <f t="shared" si="33"/>
        <v>92.63</v>
      </c>
      <c r="Y101" s="9">
        <f t="shared" si="34"/>
        <v>0</v>
      </c>
      <c r="AD101" s="4" t="s">
        <v>296</v>
      </c>
      <c r="AE101" s="4" t="s">
        <v>297</v>
      </c>
      <c r="AF101" s="4" t="s">
        <v>180</v>
      </c>
    </row>
    <row r="102" spans="1:35" ht="72" x14ac:dyDescent="0.3">
      <c r="A102" s="23" t="s">
        <v>298</v>
      </c>
      <c r="B102" s="23"/>
      <c r="C102" s="41" t="s">
        <v>177</v>
      </c>
      <c r="D102" s="25"/>
      <c r="E102" s="25"/>
      <c r="F102" s="42" t="s">
        <v>68</v>
      </c>
      <c r="G102" s="43">
        <v>1</v>
      </c>
      <c r="H102" s="25"/>
      <c r="I102" s="43">
        <v>95.8</v>
      </c>
      <c r="J102" s="44">
        <v>111.15</v>
      </c>
      <c r="K102" s="45"/>
      <c r="L102" s="45"/>
      <c r="M102" s="44">
        <f t="shared" si="31"/>
        <v>10648.17</v>
      </c>
      <c r="N102" s="45"/>
      <c r="O102" s="45"/>
      <c r="P102" s="44">
        <v>111.15</v>
      </c>
      <c r="Q102" s="45"/>
      <c r="R102" s="45"/>
      <c r="S102" s="44">
        <f t="shared" si="32"/>
        <v>10648.17</v>
      </c>
      <c r="T102" s="45"/>
      <c r="U102" s="46"/>
      <c r="V102" s="9">
        <f t="shared" si="33"/>
        <v>92.63</v>
      </c>
      <c r="Y102" s="9">
        <f t="shared" si="34"/>
        <v>8873.48</v>
      </c>
      <c r="AD102" s="4" t="s">
        <v>299</v>
      </c>
      <c r="AE102" s="4" t="s">
        <v>297</v>
      </c>
      <c r="AF102" s="4" t="s">
        <v>180</v>
      </c>
    </row>
    <row r="103" spans="1:35" ht="18" x14ac:dyDescent="0.3">
      <c r="A103" s="17" t="s">
        <v>300</v>
      </c>
      <c r="B103" s="17"/>
      <c r="C103" s="34" t="s">
        <v>301</v>
      </c>
      <c r="D103" s="19"/>
      <c r="E103" s="19"/>
      <c r="F103" s="35" t="s">
        <v>61</v>
      </c>
      <c r="G103" s="36">
        <v>2.2000000000000002</v>
      </c>
      <c r="H103" s="19"/>
      <c r="I103" s="37">
        <v>0</v>
      </c>
      <c r="J103" s="38">
        <v>315.55</v>
      </c>
      <c r="K103" s="39"/>
      <c r="L103" s="39"/>
      <c r="M103" s="38">
        <f t="shared" si="31"/>
        <v>0</v>
      </c>
      <c r="N103" s="39"/>
      <c r="O103" s="39"/>
      <c r="P103" s="38">
        <v>315.55</v>
      </c>
      <c r="Q103" s="39"/>
      <c r="R103" s="39"/>
      <c r="S103" s="38">
        <f t="shared" si="32"/>
        <v>0</v>
      </c>
      <c r="T103" s="39"/>
      <c r="U103" s="40"/>
      <c r="V103" s="9">
        <f t="shared" si="33"/>
        <v>262.95999999999998</v>
      </c>
      <c r="Y103" s="9">
        <f t="shared" si="34"/>
        <v>0</v>
      </c>
      <c r="AD103" s="4" t="s">
        <v>302</v>
      </c>
      <c r="AE103" s="4" t="s">
        <v>303</v>
      </c>
      <c r="AF103" s="4" t="s">
        <v>304</v>
      </c>
    </row>
    <row r="104" spans="1:35" ht="18" x14ac:dyDescent="0.3">
      <c r="A104" s="23" t="s">
        <v>305</v>
      </c>
      <c r="B104" s="23"/>
      <c r="C104" s="41" t="s">
        <v>301</v>
      </c>
      <c r="D104" s="25"/>
      <c r="E104" s="25"/>
      <c r="F104" s="42" t="s">
        <v>61</v>
      </c>
      <c r="G104" s="43">
        <v>2.2000000000000002</v>
      </c>
      <c r="H104" s="25"/>
      <c r="I104" s="43">
        <v>210.76</v>
      </c>
      <c r="J104" s="44">
        <v>315.55</v>
      </c>
      <c r="K104" s="45"/>
      <c r="L104" s="45"/>
      <c r="M104" s="44">
        <f t="shared" si="31"/>
        <v>66505.320000000007</v>
      </c>
      <c r="N104" s="45"/>
      <c r="O104" s="45"/>
      <c r="P104" s="44">
        <v>315.55</v>
      </c>
      <c r="Q104" s="45"/>
      <c r="R104" s="45"/>
      <c r="S104" s="44">
        <f t="shared" si="32"/>
        <v>66505.320000000007</v>
      </c>
      <c r="T104" s="45"/>
      <c r="U104" s="46"/>
      <c r="V104" s="9">
        <f t="shared" si="33"/>
        <v>262.95999999999998</v>
      </c>
      <c r="Y104" s="9">
        <f t="shared" si="34"/>
        <v>55421.1</v>
      </c>
      <c r="AD104" s="4" t="s">
        <v>306</v>
      </c>
      <c r="AE104" s="4" t="s">
        <v>303</v>
      </c>
      <c r="AF104" s="4" t="s">
        <v>304</v>
      </c>
    </row>
    <row r="105" spans="1:35" ht="18" x14ac:dyDescent="0.3">
      <c r="A105" s="17" t="s">
        <v>307</v>
      </c>
      <c r="B105" s="17"/>
      <c r="C105" s="34" t="s">
        <v>75</v>
      </c>
      <c r="D105" s="19"/>
      <c r="E105" s="19"/>
      <c r="F105" s="35" t="s">
        <v>76</v>
      </c>
      <c r="G105" s="36">
        <v>0.86</v>
      </c>
      <c r="H105" s="19"/>
      <c r="I105" s="48">
        <v>0</v>
      </c>
      <c r="J105" s="38">
        <v>63.73</v>
      </c>
      <c r="K105" s="39"/>
      <c r="L105" s="39"/>
      <c r="M105" s="38">
        <f t="shared" si="31"/>
        <v>0</v>
      </c>
      <c r="N105" s="39"/>
      <c r="O105" s="39"/>
      <c r="P105" s="38">
        <v>63.73</v>
      </c>
      <c r="Q105" s="39"/>
      <c r="R105" s="39"/>
      <c r="S105" s="38">
        <f t="shared" si="32"/>
        <v>0</v>
      </c>
      <c r="T105" s="39"/>
      <c r="U105" s="40"/>
      <c r="V105" s="9">
        <f t="shared" si="33"/>
        <v>53.11</v>
      </c>
      <c r="Y105" s="9">
        <f t="shared" si="34"/>
        <v>0</v>
      </c>
      <c r="AD105" s="4" t="s">
        <v>308</v>
      </c>
      <c r="AE105" s="4" t="s">
        <v>309</v>
      </c>
      <c r="AF105" s="4" t="s">
        <v>79</v>
      </c>
    </row>
    <row r="106" spans="1:35" ht="18" x14ac:dyDescent="0.3">
      <c r="A106" s="23" t="s">
        <v>310</v>
      </c>
      <c r="B106" s="23"/>
      <c r="C106" s="41" t="s">
        <v>75</v>
      </c>
      <c r="D106" s="25"/>
      <c r="E106" s="25"/>
      <c r="F106" s="42" t="s">
        <v>76</v>
      </c>
      <c r="G106" s="43">
        <v>0.86</v>
      </c>
      <c r="H106" s="25"/>
      <c r="I106" s="50">
        <v>82.388000000000005</v>
      </c>
      <c r="J106" s="44">
        <v>63.73</v>
      </c>
      <c r="K106" s="45"/>
      <c r="L106" s="45"/>
      <c r="M106" s="44">
        <f t="shared" si="31"/>
        <v>5250.59</v>
      </c>
      <c r="N106" s="45"/>
      <c r="O106" s="45"/>
      <c r="P106" s="44">
        <v>63.73</v>
      </c>
      <c r="Q106" s="45"/>
      <c r="R106" s="45"/>
      <c r="S106" s="44">
        <f t="shared" si="32"/>
        <v>5250.59</v>
      </c>
      <c r="T106" s="45"/>
      <c r="U106" s="46"/>
      <c r="V106" s="9">
        <f t="shared" si="33"/>
        <v>53.11</v>
      </c>
      <c r="Y106" s="9">
        <f t="shared" si="34"/>
        <v>4375.49</v>
      </c>
      <c r="AD106" s="4" t="s">
        <v>311</v>
      </c>
      <c r="AE106" s="4" t="s">
        <v>309</v>
      </c>
      <c r="AF106" s="4" t="s">
        <v>79</v>
      </c>
    </row>
    <row r="107" spans="1:35" ht="18" x14ac:dyDescent="0.3">
      <c r="A107" s="17" t="s">
        <v>312</v>
      </c>
      <c r="B107" s="17"/>
      <c r="C107" s="34" t="s">
        <v>83</v>
      </c>
      <c r="D107" s="19"/>
      <c r="E107" s="19"/>
      <c r="F107" s="35" t="s">
        <v>76</v>
      </c>
      <c r="G107" s="36">
        <v>2.1</v>
      </c>
      <c r="H107" s="19"/>
      <c r="I107" s="48">
        <v>0</v>
      </c>
      <c r="J107" s="38">
        <v>95.07</v>
      </c>
      <c r="K107" s="39"/>
      <c r="L107" s="39"/>
      <c r="M107" s="38">
        <f t="shared" si="31"/>
        <v>0</v>
      </c>
      <c r="N107" s="39"/>
      <c r="O107" s="39"/>
      <c r="P107" s="38">
        <v>95.07</v>
      </c>
      <c r="Q107" s="39"/>
      <c r="R107" s="39"/>
      <c r="S107" s="38">
        <f t="shared" si="32"/>
        <v>0</v>
      </c>
      <c r="T107" s="39"/>
      <c r="U107" s="40"/>
      <c r="V107" s="9">
        <f t="shared" si="33"/>
        <v>79.23</v>
      </c>
      <c r="Y107" s="9">
        <f t="shared" si="34"/>
        <v>0</v>
      </c>
      <c r="AD107" s="4" t="s">
        <v>313</v>
      </c>
      <c r="AE107" s="4" t="s">
        <v>314</v>
      </c>
      <c r="AF107" s="4" t="s">
        <v>86</v>
      </c>
    </row>
    <row r="108" spans="1:35" ht="18" x14ac:dyDescent="0.3">
      <c r="A108" s="23" t="s">
        <v>315</v>
      </c>
      <c r="B108" s="23"/>
      <c r="C108" s="41" t="s">
        <v>83</v>
      </c>
      <c r="D108" s="25"/>
      <c r="E108" s="25"/>
      <c r="F108" s="42" t="s">
        <v>76</v>
      </c>
      <c r="G108" s="43">
        <v>2.1</v>
      </c>
      <c r="H108" s="25"/>
      <c r="I108" s="50">
        <v>201.18</v>
      </c>
      <c r="J108" s="44">
        <v>95.07</v>
      </c>
      <c r="K108" s="45"/>
      <c r="L108" s="45"/>
      <c r="M108" s="44">
        <f t="shared" si="31"/>
        <v>19126.18</v>
      </c>
      <c r="N108" s="45"/>
      <c r="O108" s="45"/>
      <c r="P108" s="44">
        <v>95.07</v>
      </c>
      <c r="Q108" s="45"/>
      <c r="R108" s="45"/>
      <c r="S108" s="44">
        <f t="shared" si="32"/>
        <v>19126.18</v>
      </c>
      <c r="T108" s="45"/>
      <c r="U108" s="46"/>
      <c r="V108" s="9">
        <f t="shared" si="33"/>
        <v>79.23</v>
      </c>
      <c r="Y108" s="9">
        <f t="shared" si="34"/>
        <v>15938.48</v>
      </c>
      <c r="AD108" s="4" t="s">
        <v>316</v>
      </c>
      <c r="AE108" s="4" t="s">
        <v>314</v>
      </c>
      <c r="AF108" s="4" t="s">
        <v>86</v>
      </c>
    </row>
    <row r="109" spans="1:35" ht="16.95" customHeight="1" x14ac:dyDescent="0.3">
      <c r="A109" s="10" t="s">
        <v>317</v>
      </c>
      <c r="B109" s="10" t="s">
        <v>318</v>
      </c>
      <c r="C109" s="237" t="s">
        <v>319</v>
      </c>
      <c r="D109" s="238"/>
      <c r="E109" s="238"/>
      <c r="F109" s="238"/>
      <c r="G109" s="238"/>
      <c r="H109" s="238"/>
      <c r="I109" s="239"/>
      <c r="M109" s="6">
        <f t="shared" ref="M109:O110" si="35">SUM(M110)</f>
        <v>0</v>
      </c>
      <c r="N109" s="6">
        <f t="shared" si="35"/>
        <v>0</v>
      </c>
      <c r="O109" s="6">
        <f t="shared" si="35"/>
        <v>0</v>
      </c>
      <c r="S109" s="6">
        <f t="shared" ref="S109:U110" si="36">SUM(S110)</f>
        <v>0</v>
      </c>
      <c r="T109" s="6">
        <f t="shared" si="36"/>
        <v>0</v>
      </c>
      <c r="U109" s="6">
        <f t="shared" si="36"/>
        <v>0</v>
      </c>
      <c r="Y109" s="9">
        <f t="shared" ref="Y109:AA110" si="37">SUM(Y110)</f>
        <v>0</v>
      </c>
      <c r="Z109" s="9">
        <f t="shared" si="37"/>
        <v>0</v>
      </c>
      <c r="AA109" s="9">
        <f t="shared" si="37"/>
        <v>0</v>
      </c>
      <c r="AD109" s="4">
        <v>320320081</v>
      </c>
      <c r="AE109" s="4">
        <v>26813776</v>
      </c>
    </row>
    <row r="110" spans="1:35" ht="16.95" customHeight="1" x14ac:dyDescent="0.3">
      <c r="A110" s="10" t="s">
        <v>320</v>
      </c>
      <c r="B110" s="10" t="s">
        <v>321</v>
      </c>
      <c r="C110" s="237" t="s">
        <v>322</v>
      </c>
      <c r="D110" s="238"/>
      <c r="E110" s="238"/>
      <c r="F110" s="238"/>
      <c r="G110" s="238"/>
      <c r="H110" s="238"/>
      <c r="I110" s="239"/>
      <c r="M110" s="6">
        <f t="shared" si="35"/>
        <v>0</v>
      </c>
      <c r="N110" s="6">
        <f t="shared" si="35"/>
        <v>0</v>
      </c>
      <c r="O110" s="6">
        <f t="shared" si="35"/>
        <v>0</v>
      </c>
      <c r="S110" s="6">
        <f t="shared" si="36"/>
        <v>0</v>
      </c>
      <c r="T110" s="6">
        <f t="shared" si="36"/>
        <v>0</v>
      </c>
      <c r="U110" s="6">
        <f t="shared" si="36"/>
        <v>0</v>
      </c>
      <c r="Y110" s="9">
        <f t="shared" si="37"/>
        <v>0</v>
      </c>
      <c r="Z110" s="9">
        <f t="shared" si="37"/>
        <v>0</v>
      </c>
      <c r="AA110" s="9">
        <f t="shared" si="37"/>
        <v>0</v>
      </c>
      <c r="AD110" s="4">
        <v>320320082</v>
      </c>
      <c r="AE110" s="4">
        <v>26813781</v>
      </c>
    </row>
    <row r="111" spans="1:35" ht="16.95" customHeight="1" x14ac:dyDescent="0.3">
      <c r="A111" s="10" t="s">
        <v>323</v>
      </c>
      <c r="B111" s="10" t="s">
        <v>324</v>
      </c>
      <c r="C111" s="237" t="s">
        <v>325</v>
      </c>
      <c r="D111" s="238"/>
      <c r="E111" s="238"/>
      <c r="F111" s="238"/>
      <c r="G111" s="238"/>
      <c r="H111" s="238"/>
      <c r="I111" s="239"/>
      <c r="M111" s="6">
        <f>SUM(M112,M286,M325,M368,M449)</f>
        <v>0</v>
      </c>
      <c r="N111" s="6">
        <f>SUM(N112,N286,N325,N368,N449)</f>
        <v>0</v>
      </c>
      <c r="O111" s="6">
        <f>SUM(O112,O286,O325,O368,O449)</f>
        <v>0</v>
      </c>
      <c r="S111" s="6">
        <f>SUM(S112,S286,S325,S368,S449)</f>
        <v>0</v>
      </c>
      <c r="T111" s="6">
        <f>SUM(T112,T286,T325,T368,T449)</f>
        <v>0</v>
      </c>
      <c r="U111" s="6">
        <f>SUM(U112,U286,U325,U368,U449)</f>
        <v>0</v>
      </c>
      <c r="Y111" s="9">
        <f>SUM(Y112,Y286,Y325,Y368,Y449)</f>
        <v>0</v>
      </c>
      <c r="Z111" s="9">
        <f>SUM(Z112,Z286,Z325,Z368,Z449)</f>
        <v>0</v>
      </c>
      <c r="AA111" s="9">
        <f>SUM(AA112,AA286,AA325,AA368,AA449)</f>
        <v>0</v>
      </c>
      <c r="AD111" s="4">
        <v>320320083</v>
      </c>
      <c r="AE111" s="4">
        <v>26813800</v>
      </c>
    </row>
    <row r="112" spans="1:35" ht="16.95" customHeight="1" x14ac:dyDescent="0.3">
      <c r="A112" s="10" t="s">
        <v>326</v>
      </c>
      <c r="B112" s="10" t="s">
        <v>327</v>
      </c>
      <c r="C112" s="237" t="s">
        <v>328</v>
      </c>
      <c r="D112" s="238"/>
      <c r="E112" s="238"/>
      <c r="F112" s="238"/>
      <c r="G112" s="238"/>
      <c r="H112" s="238"/>
      <c r="I112" s="239"/>
      <c r="M112" s="6">
        <f>SUM(M113,M136,M181)</f>
        <v>0</v>
      </c>
      <c r="N112" s="6">
        <f>SUM(N113,N136,N181)</f>
        <v>0</v>
      </c>
      <c r="O112" s="6">
        <f>SUM(O113,O136,O181)</f>
        <v>0</v>
      </c>
      <c r="S112" s="6">
        <f>SUM(S113,S136,S181)</f>
        <v>0</v>
      </c>
      <c r="T112" s="6">
        <f>SUM(T113,T136,T181)</f>
        <v>0</v>
      </c>
      <c r="U112" s="6">
        <f>SUM(U113,U136,U181)</f>
        <v>0</v>
      </c>
      <c r="Y112" s="9">
        <f>SUM(Y113,Y136,Y181)</f>
        <v>0</v>
      </c>
      <c r="Z112" s="9">
        <f>SUM(Z113,Z136,Z181)</f>
        <v>0</v>
      </c>
      <c r="AA112" s="9">
        <f>SUM(AA113,AA136,AA181)</f>
        <v>0</v>
      </c>
      <c r="AD112" s="4">
        <v>320320084</v>
      </c>
      <c r="AE112" s="4">
        <v>26813804</v>
      </c>
    </row>
    <row r="113" spans="1:35" ht="16.95" customHeight="1" x14ac:dyDescent="0.3">
      <c r="A113" s="10" t="s">
        <v>329</v>
      </c>
      <c r="B113" s="10" t="s">
        <v>330</v>
      </c>
      <c r="C113" s="237" t="s">
        <v>331</v>
      </c>
      <c r="D113" s="238"/>
      <c r="E113" s="238"/>
      <c r="F113" s="238"/>
      <c r="G113" s="238"/>
      <c r="H113" s="238"/>
      <c r="I113" s="239"/>
      <c r="M113" s="6">
        <f>SUM(M114,M118,M128)</f>
        <v>0</v>
      </c>
      <c r="N113" s="6">
        <f>SUM(N114,N118,N128)</f>
        <v>0</v>
      </c>
      <c r="O113" s="6">
        <f>SUM(O114,O118,O128)</f>
        <v>0</v>
      </c>
      <c r="S113" s="6">
        <f>SUM(S114,S118,S128)</f>
        <v>0</v>
      </c>
      <c r="T113" s="6">
        <f>SUM(T114,T118,T128)</f>
        <v>0</v>
      </c>
      <c r="U113" s="6">
        <f>SUM(U114,U118,U128)</f>
        <v>0</v>
      </c>
      <c r="Y113" s="9">
        <f>SUM(Y114,Y118,Y128)</f>
        <v>0</v>
      </c>
      <c r="Z113" s="9">
        <f>SUM(Z114,Z118,Z128)</f>
        <v>0</v>
      </c>
      <c r="AA113" s="9">
        <f>SUM(AA114,AA118,AA128)</f>
        <v>0</v>
      </c>
      <c r="AD113" s="4">
        <v>320320085</v>
      </c>
      <c r="AE113" s="4">
        <v>26813796</v>
      </c>
    </row>
    <row r="114" spans="1:35" ht="36" x14ac:dyDescent="0.3">
      <c r="A114" s="17" t="s">
        <v>332</v>
      </c>
      <c r="B114" s="17" t="s">
        <v>333</v>
      </c>
      <c r="C114" s="18" t="s">
        <v>334</v>
      </c>
      <c r="D114" s="19"/>
      <c r="E114" s="19" t="s">
        <v>335</v>
      </c>
      <c r="F114" s="19" t="s">
        <v>61</v>
      </c>
      <c r="G114" s="20">
        <v>1</v>
      </c>
      <c r="H114" s="19"/>
      <c r="I114" s="21">
        <v>0</v>
      </c>
      <c r="J114" s="22">
        <v>51.44</v>
      </c>
      <c r="K114" s="22">
        <v>40</v>
      </c>
      <c r="L114" s="22">
        <f>J114+ROUND(K114, 2)</f>
        <v>91.44</v>
      </c>
      <c r="M114" s="22">
        <v>0</v>
      </c>
      <c r="N114" s="22">
        <v>0</v>
      </c>
      <c r="O114" s="22">
        <f>M114+N114</f>
        <v>0</v>
      </c>
      <c r="P114" s="22">
        <v>51.44</v>
      </c>
      <c r="Q114" s="22">
        <v>40</v>
      </c>
      <c r="R114" s="22">
        <f>P114+ROUND(Q114, 2)</f>
        <v>91.44</v>
      </c>
      <c r="S114" s="22">
        <v>0</v>
      </c>
      <c r="T114" s="22">
        <v>0</v>
      </c>
      <c r="U114" s="22">
        <f>S114+T114</f>
        <v>0</v>
      </c>
      <c r="V114" s="9">
        <f>ROUND(P114 / 1.2, 2)</f>
        <v>42.87</v>
      </c>
      <c r="W114" s="9">
        <f>ROUND(Q114 / 1.2, 2)</f>
        <v>33.33</v>
      </c>
      <c r="X114" s="9">
        <f>ROUND(R114 / 1.2, 2)</f>
        <v>76.2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320320087</v>
      </c>
      <c r="AE114" s="4">
        <v>26813857</v>
      </c>
      <c r="AG114" s="4" t="s">
        <v>336</v>
      </c>
      <c r="AH114" s="4" t="s">
        <v>337</v>
      </c>
      <c r="AI114" s="4" t="s">
        <v>338</v>
      </c>
    </row>
    <row r="115" spans="1:35" ht="36" x14ac:dyDescent="0.3">
      <c r="A115" s="23" t="s">
        <v>339</v>
      </c>
      <c r="B115" s="23" t="s">
        <v>333</v>
      </c>
      <c r="C115" s="24" t="s">
        <v>334</v>
      </c>
      <c r="D115" s="25"/>
      <c r="E115" s="25" t="s">
        <v>335</v>
      </c>
      <c r="F115" s="25" t="s">
        <v>61</v>
      </c>
      <c r="G115" s="26">
        <v>1</v>
      </c>
      <c r="H115" s="25"/>
      <c r="I115" s="26">
        <v>22.6</v>
      </c>
      <c r="J115" s="27">
        <v>51.44</v>
      </c>
      <c r="K115" s="27">
        <v>40</v>
      </c>
      <c r="L115" s="27">
        <v>40</v>
      </c>
      <c r="M115" s="27">
        <v>1162.54</v>
      </c>
      <c r="N115" s="27">
        <v>904</v>
      </c>
      <c r="O115" s="27"/>
      <c r="P115" s="27">
        <v>51.44</v>
      </c>
      <c r="Q115" s="27">
        <v>40</v>
      </c>
      <c r="R115" s="27">
        <v>40</v>
      </c>
      <c r="S115" s="27">
        <v>1162.54</v>
      </c>
      <c r="T115" s="27">
        <v>904</v>
      </c>
      <c r="U115" s="27"/>
      <c r="V115" s="9"/>
      <c r="W115" s="9">
        <f>ROUND(Q115 / 1.2, 2)</f>
        <v>33.33</v>
      </c>
      <c r="X115" s="9">
        <f>ROUND(R115 / 1.2, 2)</f>
        <v>33.33</v>
      </c>
      <c r="Y115" s="9"/>
      <c r="Z115" s="9">
        <f>ROUND(T115 / 1.2, 2)</f>
        <v>753.33</v>
      </c>
      <c r="AA115" s="9"/>
      <c r="AD115" s="4">
        <v>315454846</v>
      </c>
      <c r="AE115" s="4">
        <v>26813857</v>
      </c>
      <c r="AG115" s="4" t="s">
        <v>336</v>
      </c>
      <c r="AH115" s="4" t="s">
        <v>337</v>
      </c>
      <c r="AI115" s="4"/>
    </row>
    <row r="116" spans="1:35" ht="18" x14ac:dyDescent="0.3">
      <c r="A116" s="17" t="s">
        <v>340</v>
      </c>
      <c r="B116" s="17"/>
      <c r="C116" s="34" t="s">
        <v>341</v>
      </c>
      <c r="D116" s="19"/>
      <c r="E116" s="19"/>
      <c r="F116" s="35" t="s">
        <v>61</v>
      </c>
      <c r="G116" s="36">
        <v>1.1000000000000001</v>
      </c>
      <c r="H116" s="19"/>
      <c r="I116" s="37">
        <v>0</v>
      </c>
      <c r="J116" s="38">
        <v>46.76</v>
      </c>
      <c r="K116" s="39"/>
      <c r="L116" s="39"/>
      <c r="M116" s="38">
        <f>ROUND(ROUND(J116, 2)*I116, 2)</f>
        <v>0</v>
      </c>
      <c r="N116" s="39"/>
      <c r="O116" s="39"/>
      <c r="P116" s="38">
        <v>46.76</v>
      </c>
      <c r="Q116" s="39"/>
      <c r="R116" s="39"/>
      <c r="S116" s="38">
        <f>ROUND(ROUND(P116, 2)*I116, 2)</f>
        <v>0</v>
      </c>
      <c r="T116" s="39"/>
      <c r="U116" s="40"/>
      <c r="V116" s="9">
        <f>ROUND(ROUND(P116, 2)/1.2, 2)</f>
        <v>38.97</v>
      </c>
      <c r="Y116" s="9">
        <f>ROUND(S116 / 1.2, 2)</f>
        <v>0</v>
      </c>
      <c r="AD116" s="4" t="s">
        <v>342</v>
      </c>
      <c r="AE116" s="4" t="s">
        <v>343</v>
      </c>
      <c r="AF116" s="4" t="s">
        <v>344</v>
      </c>
    </row>
    <row r="117" spans="1:35" ht="18" x14ac:dyDescent="0.3">
      <c r="A117" s="23" t="s">
        <v>345</v>
      </c>
      <c r="B117" s="23"/>
      <c r="C117" s="41" t="s">
        <v>341</v>
      </c>
      <c r="D117" s="25"/>
      <c r="E117" s="25"/>
      <c r="F117" s="42" t="s">
        <v>61</v>
      </c>
      <c r="G117" s="43">
        <v>1.1000000000000001</v>
      </c>
      <c r="H117" s="25"/>
      <c r="I117" s="43">
        <v>24.86</v>
      </c>
      <c r="J117" s="44">
        <v>46.76</v>
      </c>
      <c r="K117" s="45"/>
      <c r="L117" s="45"/>
      <c r="M117" s="44">
        <f>ROUND(ROUND(J117, 2)*I117, 2)</f>
        <v>1162.45</v>
      </c>
      <c r="N117" s="45"/>
      <c r="O117" s="45"/>
      <c r="P117" s="44">
        <v>46.76</v>
      </c>
      <c r="Q117" s="45"/>
      <c r="R117" s="45"/>
      <c r="S117" s="44">
        <f>ROUND(ROUND(P117, 2)*I117, 2)</f>
        <v>1162.45</v>
      </c>
      <c r="T117" s="45"/>
      <c r="U117" s="46"/>
      <c r="V117" s="9">
        <f>ROUND(ROUND(P117, 2)/1.2, 2)</f>
        <v>38.97</v>
      </c>
      <c r="Y117" s="9">
        <f>ROUND(S117 / 1.2, 2)</f>
        <v>968.71</v>
      </c>
      <c r="AD117" s="4" t="s">
        <v>346</v>
      </c>
      <c r="AE117" s="4" t="s">
        <v>343</v>
      </c>
      <c r="AF117" s="4" t="s">
        <v>344</v>
      </c>
    </row>
    <row r="118" spans="1:35" ht="36" x14ac:dyDescent="0.3">
      <c r="A118" s="17" t="s">
        <v>347</v>
      </c>
      <c r="B118" s="17" t="s">
        <v>348</v>
      </c>
      <c r="C118" s="18" t="s">
        <v>349</v>
      </c>
      <c r="D118" s="19"/>
      <c r="E118" s="19" t="s">
        <v>350</v>
      </c>
      <c r="F118" s="19" t="s">
        <v>61</v>
      </c>
      <c r="G118" s="20">
        <v>1</v>
      </c>
      <c r="H118" s="19"/>
      <c r="I118" s="21">
        <v>0</v>
      </c>
      <c r="J118" s="22">
        <v>585.11</v>
      </c>
      <c r="K118" s="22">
        <v>868</v>
      </c>
      <c r="L118" s="22">
        <f>J118+ROUND(K118, 2)</f>
        <v>1453.1100000000001</v>
      </c>
      <c r="M118" s="22">
        <v>0</v>
      </c>
      <c r="N118" s="22">
        <v>0</v>
      </c>
      <c r="O118" s="22">
        <f>M118+N118</f>
        <v>0</v>
      </c>
      <c r="P118" s="22">
        <v>585.11</v>
      </c>
      <c r="Q118" s="22">
        <v>868</v>
      </c>
      <c r="R118" s="22">
        <f>P118+ROUND(Q118, 2)</f>
        <v>1453.1100000000001</v>
      </c>
      <c r="S118" s="22">
        <v>0</v>
      </c>
      <c r="T118" s="22">
        <v>0</v>
      </c>
      <c r="U118" s="22">
        <f>S118+T118</f>
        <v>0</v>
      </c>
      <c r="V118" s="9">
        <f>ROUND(P118 / 1.2, 2)</f>
        <v>487.59</v>
      </c>
      <c r="W118" s="9">
        <f>ROUND(Q118 / 1.2, 2)</f>
        <v>723.33</v>
      </c>
      <c r="X118" s="9">
        <f>ROUND(R118 / 1.2, 2)</f>
        <v>1210.93</v>
      </c>
      <c r="Y118" s="9">
        <f>ROUND(S118 / 1.2, 2)</f>
        <v>0</v>
      </c>
      <c r="Z118" s="9">
        <f>ROUND(T118 / 1.2, 2)</f>
        <v>0</v>
      </c>
      <c r="AA118" s="9">
        <f>Y118+Z118</f>
        <v>0</v>
      </c>
      <c r="AD118" s="4">
        <v>320320089</v>
      </c>
      <c r="AE118" s="4">
        <v>26813834</v>
      </c>
      <c r="AG118" s="4" t="s">
        <v>351</v>
      </c>
      <c r="AH118" s="4" t="s">
        <v>352</v>
      </c>
      <c r="AI118" s="4" t="s">
        <v>338</v>
      </c>
    </row>
    <row r="119" spans="1:35" ht="36" x14ac:dyDescent="0.3">
      <c r="A119" s="23" t="s">
        <v>353</v>
      </c>
      <c r="B119" s="23" t="s">
        <v>348</v>
      </c>
      <c r="C119" s="24" t="s">
        <v>349</v>
      </c>
      <c r="D119" s="25"/>
      <c r="E119" s="25" t="s">
        <v>350</v>
      </c>
      <c r="F119" s="25" t="s">
        <v>61</v>
      </c>
      <c r="G119" s="26">
        <v>1</v>
      </c>
      <c r="H119" s="25"/>
      <c r="I119" s="26">
        <v>7788.8</v>
      </c>
      <c r="J119" s="27">
        <v>585.11</v>
      </c>
      <c r="K119" s="27">
        <v>868</v>
      </c>
      <c r="L119" s="27">
        <v>868</v>
      </c>
      <c r="M119" s="27">
        <v>4557304.7699999996</v>
      </c>
      <c r="N119" s="27">
        <v>6760678.4000000004</v>
      </c>
      <c r="O119" s="27"/>
      <c r="P119" s="27">
        <v>585.11</v>
      </c>
      <c r="Q119" s="27">
        <v>868</v>
      </c>
      <c r="R119" s="27">
        <v>868</v>
      </c>
      <c r="S119" s="27">
        <v>4557304.7699999996</v>
      </c>
      <c r="T119" s="27">
        <v>6760678.4000000004</v>
      </c>
      <c r="U119" s="27"/>
      <c r="V119" s="9"/>
      <c r="W119" s="9">
        <f>ROUND(Q119 / 1.2, 2)</f>
        <v>723.33</v>
      </c>
      <c r="X119" s="9">
        <f>ROUND(R119 / 1.2, 2)</f>
        <v>723.33</v>
      </c>
      <c r="Y119" s="9"/>
      <c r="Z119" s="9">
        <f>ROUND(T119 / 1.2, 2)</f>
        <v>5633898.6699999999</v>
      </c>
      <c r="AA119" s="9"/>
      <c r="AD119" s="4">
        <v>315454848</v>
      </c>
      <c r="AE119" s="4">
        <v>26813834</v>
      </c>
      <c r="AG119" s="4" t="s">
        <v>351</v>
      </c>
      <c r="AH119" s="4" t="s">
        <v>352</v>
      </c>
      <c r="AI119" s="4"/>
    </row>
    <row r="120" spans="1:35" ht="18" x14ac:dyDescent="0.3">
      <c r="A120" s="17" t="s">
        <v>354</v>
      </c>
      <c r="B120" s="17"/>
      <c r="C120" s="34" t="s">
        <v>355</v>
      </c>
      <c r="D120" s="19"/>
      <c r="E120" s="19"/>
      <c r="F120" s="35" t="s">
        <v>356</v>
      </c>
      <c r="G120" s="36">
        <v>8</v>
      </c>
      <c r="H120" s="19"/>
      <c r="I120" s="48">
        <v>0</v>
      </c>
      <c r="J120" s="38">
        <v>2.5</v>
      </c>
      <c r="K120" s="39"/>
      <c r="L120" s="39"/>
      <c r="M120" s="38">
        <f t="shared" ref="M120:M127" si="38">ROUND(ROUND(J120, 2)*I120, 2)</f>
        <v>0</v>
      </c>
      <c r="N120" s="39"/>
      <c r="O120" s="39"/>
      <c r="P120" s="38">
        <v>2.5</v>
      </c>
      <c r="Q120" s="39"/>
      <c r="R120" s="39"/>
      <c r="S120" s="38">
        <f t="shared" ref="S120:S127" si="39">ROUND(ROUND(P120, 2)*I120, 2)</f>
        <v>0</v>
      </c>
      <c r="T120" s="39"/>
      <c r="U120" s="40"/>
      <c r="V120" s="9">
        <f t="shared" ref="V120:V127" si="40">ROUND(ROUND(P120, 2)/1.2, 2)</f>
        <v>2.08</v>
      </c>
      <c r="Y120" s="9">
        <f t="shared" ref="Y120:Y128" si="41">ROUND(S120 / 1.2, 2)</f>
        <v>0</v>
      </c>
      <c r="AD120" s="4" t="s">
        <v>357</v>
      </c>
      <c r="AE120" s="4" t="s">
        <v>358</v>
      </c>
      <c r="AF120" s="4" t="s">
        <v>359</v>
      </c>
    </row>
    <row r="121" spans="1:35" ht="18" x14ac:dyDescent="0.3">
      <c r="A121" s="23" t="s">
        <v>360</v>
      </c>
      <c r="B121" s="23"/>
      <c r="C121" s="41" t="s">
        <v>355</v>
      </c>
      <c r="D121" s="25"/>
      <c r="E121" s="25"/>
      <c r="F121" s="42" t="s">
        <v>356</v>
      </c>
      <c r="G121" s="43">
        <v>8</v>
      </c>
      <c r="H121" s="25"/>
      <c r="I121" s="50">
        <v>62310.400000000001</v>
      </c>
      <c r="J121" s="44">
        <v>2.5</v>
      </c>
      <c r="K121" s="45"/>
      <c r="L121" s="45"/>
      <c r="M121" s="44">
        <f t="shared" si="38"/>
        <v>155776</v>
      </c>
      <c r="N121" s="45"/>
      <c r="O121" s="45"/>
      <c r="P121" s="44">
        <v>2.5</v>
      </c>
      <c r="Q121" s="45"/>
      <c r="R121" s="45"/>
      <c r="S121" s="44">
        <f t="shared" si="39"/>
        <v>155776</v>
      </c>
      <c r="T121" s="45"/>
      <c r="U121" s="46"/>
      <c r="V121" s="9">
        <f t="shared" si="40"/>
        <v>2.08</v>
      </c>
      <c r="Y121" s="9">
        <f t="shared" si="41"/>
        <v>129813.33</v>
      </c>
      <c r="AD121" s="4" t="s">
        <v>361</v>
      </c>
      <c r="AE121" s="4" t="s">
        <v>358</v>
      </c>
      <c r="AF121" s="4" t="s">
        <v>359</v>
      </c>
    </row>
    <row r="122" spans="1:35" ht="18" x14ac:dyDescent="0.3">
      <c r="A122" s="17" t="s">
        <v>362</v>
      </c>
      <c r="B122" s="17"/>
      <c r="C122" s="34" t="s">
        <v>363</v>
      </c>
      <c r="D122" s="19"/>
      <c r="E122" s="19"/>
      <c r="F122" s="35" t="s">
        <v>364</v>
      </c>
      <c r="G122" s="36">
        <v>1.8</v>
      </c>
      <c r="H122" s="19"/>
      <c r="I122" s="48">
        <v>0</v>
      </c>
      <c r="J122" s="38">
        <v>6.17</v>
      </c>
      <c r="K122" s="39"/>
      <c r="L122" s="39"/>
      <c r="M122" s="38">
        <f t="shared" si="38"/>
        <v>0</v>
      </c>
      <c r="N122" s="39"/>
      <c r="O122" s="39"/>
      <c r="P122" s="38">
        <v>6.17</v>
      </c>
      <c r="Q122" s="39"/>
      <c r="R122" s="39"/>
      <c r="S122" s="38">
        <f t="shared" si="39"/>
        <v>0</v>
      </c>
      <c r="T122" s="39"/>
      <c r="U122" s="40"/>
      <c r="V122" s="9">
        <f t="shared" si="40"/>
        <v>5.14</v>
      </c>
      <c r="Y122" s="9">
        <f t="shared" si="41"/>
        <v>0</v>
      </c>
      <c r="AD122" s="4" t="s">
        <v>365</v>
      </c>
      <c r="AE122" s="4" t="s">
        <v>366</v>
      </c>
      <c r="AF122" s="4" t="s">
        <v>367</v>
      </c>
    </row>
    <row r="123" spans="1:35" ht="18" x14ac:dyDescent="0.3">
      <c r="A123" s="23" t="s">
        <v>368</v>
      </c>
      <c r="B123" s="23"/>
      <c r="C123" s="41" t="s">
        <v>363</v>
      </c>
      <c r="D123" s="25"/>
      <c r="E123" s="25"/>
      <c r="F123" s="42" t="s">
        <v>364</v>
      </c>
      <c r="G123" s="43">
        <v>1.8</v>
      </c>
      <c r="H123" s="25"/>
      <c r="I123" s="50">
        <v>560793.59999999998</v>
      </c>
      <c r="J123" s="44">
        <v>6.17</v>
      </c>
      <c r="K123" s="45"/>
      <c r="L123" s="45"/>
      <c r="M123" s="44">
        <f t="shared" si="38"/>
        <v>3460096.51</v>
      </c>
      <c r="N123" s="45"/>
      <c r="O123" s="45"/>
      <c r="P123" s="44">
        <v>6.17</v>
      </c>
      <c r="Q123" s="45"/>
      <c r="R123" s="45"/>
      <c r="S123" s="44">
        <f t="shared" si="39"/>
        <v>3460096.51</v>
      </c>
      <c r="T123" s="45"/>
      <c r="U123" s="46"/>
      <c r="V123" s="9">
        <f t="shared" si="40"/>
        <v>5.14</v>
      </c>
      <c r="Y123" s="9">
        <f t="shared" si="41"/>
        <v>2883413.76</v>
      </c>
      <c r="AD123" s="4" t="s">
        <v>369</v>
      </c>
      <c r="AE123" s="4" t="s">
        <v>366</v>
      </c>
      <c r="AF123" s="4" t="s">
        <v>367</v>
      </c>
    </row>
    <row r="124" spans="1:35" ht="18" x14ac:dyDescent="0.3">
      <c r="A124" s="17" t="s">
        <v>370</v>
      </c>
      <c r="B124" s="17"/>
      <c r="C124" s="34" t="s">
        <v>371</v>
      </c>
      <c r="D124" s="19"/>
      <c r="E124" s="19"/>
      <c r="F124" s="35" t="s">
        <v>61</v>
      </c>
      <c r="G124" s="36">
        <v>1.1000000000000001</v>
      </c>
      <c r="H124" s="19"/>
      <c r="I124" s="48">
        <v>0</v>
      </c>
      <c r="J124" s="38">
        <v>101.94</v>
      </c>
      <c r="K124" s="39"/>
      <c r="L124" s="39"/>
      <c r="M124" s="38">
        <f t="shared" si="38"/>
        <v>0</v>
      </c>
      <c r="N124" s="39"/>
      <c r="O124" s="39"/>
      <c r="P124" s="38">
        <v>101.94</v>
      </c>
      <c r="Q124" s="39"/>
      <c r="R124" s="39"/>
      <c r="S124" s="38">
        <f t="shared" si="39"/>
        <v>0</v>
      </c>
      <c r="T124" s="39"/>
      <c r="U124" s="40"/>
      <c r="V124" s="9">
        <f t="shared" si="40"/>
        <v>84.95</v>
      </c>
      <c r="Y124" s="9">
        <f t="shared" si="41"/>
        <v>0</v>
      </c>
      <c r="AD124" s="4" t="s">
        <v>372</v>
      </c>
      <c r="AE124" s="4" t="s">
        <v>373</v>
      </c>
      <c r="AF124" s="4" t="s">
        <v>374</v>
      </c>
    </row>
    <row r="125" spans="1:35" ht="18" x14ac:dyDescent="0.3">
      <c r="A125" s="23" t="s">
        <v>375</v>
      </c>
      <c r="B125" s="23"/>
      <c r="C125" s="41" t="s">
        <v>371</v>
      </c>
      <c r="D125" s="25"/>
      <c r="E125" s="25"/>
      <c r="F125" s="42" t="s">
        <v>61</v>
      </c>
      <c r="G125" s="43">
        <v>1.1000000000000001</v>
      </c>
      <c r="H125" s="25"/>
      <c r="I125" s="50">
        <v>8567.68</v>
      </c>
      <c r="J125" s="44">
        <v>101.94</v>
      </c>
      <c r="K125" s="45"/>
      <c r="L125" s="45"/>
      <c r="M125" s="44">
        <f t="shared" si="38"/>
        <v>873389.3</v>
      </c>
      <c r="N125" s="45"/>
      <c r="O125" s="45"/>
      <c r="P125" s="44">
        <v>101.94</v>
      </c>
      <c r="Q125" s="45"/>
      <c r="R125" s="45"/>
      <c r="S125" s="44">
        <f t="shared" si="39"/>
        <v>873389.3</v>
      </c>
      <c r="T125" s="45"/>
      <c r="U125" s="46"/>
      <c r="V125" s="9">
        <f t="shared" si="40"/>
        <v>84.95</v>
      </c>
      <c r="Y125" s="9">
        <f t="shared" si="41"/>
        <v>727824.42</v>
      </c>
      <c r="AD125" s="4" t="s">
        <v>376</v>
      </c>
      <c r="AE125" s="4" t="s">
        <v>373</v>
      </c>
      <c r="AF125" s="4" t="s">
        <v>374</v>
      </c>
    </row>
    <row r="126" spans="1:35" ht="18" x14ac:dyDescent="0.3">
      <c r="A126" s="17" t="s">
        <v>377</v>
      </c>
      <c r="B126" s="17"/>
      <c r="C126" s="34" t="s">
        <v>378</v>
      </c>
      <c r="D126" s="19"/>
      <c r="E126" s="19"/>
      <c r="F126" s="35" t="s">
        <v>76</v>
      </c>
      <c r="G126" s="36">
        <v>1</v>
      </c>
      <c r="H126" s="19"/>
      <c r="I126" s="48">
        <v>0</v>
      </c>
      <c r="J126" s="38">
        <v>10.4</v>
      </c>
      <c r="K126" s="39"/>
      <c r="L126" s="39"/>
      <c r="M126" s="38">
        <f t="shared" si="38"/>
        <v>0</v>
      </c>
      <c r="N126" s="39"/>
      <c r="O126" s="39"/>
      <c r="P126" s="38">
        <v>10.4</v>
      </c>
      <c r="Q126" s="39"/>
      <c r="R126" s="39"/>
      <c r="S126" s="38">
        <f t="shared" si="39"/>
        <v>0</v>
      </c>
      <c r="T126" s="39"/>
      <c r="U126" s="40"/>
      <c r="V126" s="9">
        <f t="shared" si="40"/>
        <v>8.67</v>
      </c>
      <c r="Y126" s="9">
        <f t="shared" si="41"/>
        <v>0</v>
      </c>
      <c r="AD126" s="4" t="s">
        <v>379</v>
      </c>
      <c r="AE126" s="4" t="s">
        <v>380</v>
      </c>
      <c r="AF126" s="4" t="s">
        <v>381</v>
      </c>
    </row>
    <row r="127" spans="1:35" ht="18" x14ac:dyDescent="0.3">
      <c r="A127" s="23" t="s">
        <v>382</v>
      </c>
      <c r="B127" s="23"/>
      <c r="C127" s="41" t="s">
        <v>378</v>
      </c>
      <c r="D127" s="25"/>
      <c r="E127" s="25"/>
      <c r="F127" s="42" t="s">
        <v>76</v>
      </c>
      <c r="G127" s="43">
        <v>1</v>
      </c>
      <c r="H127" s="25"/>
      <c r="I127" s="50">
        <v>6544</v>
      </c>
      <c r="J127" s="44">
        <v>10.4</v>
      </c>
      <c r="K127" s="45"/>
      <c r="L127" s="45"/>
      <c r="M127" s="44">
        <f t="shared" si="38"/>
        <v>68057.600000000006</v>
      </c>
      <c r="N127" s="45"/>
      <c r="O127" s="45"/>
      <c r="P127" s="44">
        <v>10.4</v>
      </c>
      <c r="Q127" s="45"/>
      <c r="R127" s="45"/>
      <c r="S127" s="44">
        <f t="shared" si="39"/>
        <v>68057.600000000006</v>
      </c>
      <c r="T127" s="45"/>
      <c r="U127" s="46"/>
      <c r="V127" s="9">
        <f t="shared" si="40"/>
        <v>8.67</v>
      </c>
      <c r="Y127" s="9">
        <f t="shared" si="41"/>
        <v>56714.67</v>
      </c>
      <c r="AD127" s="4" t="s">
        <v>383</v>
      </c>
      <c r="AE127" s="4" t="s">
        <v>380</v>
      </c>
      <c r="AF127" s="4" t="s">
        <v>381</v>
      </c>
    </row>
    <row r="128" spans="1:35" ht="54" x14ac:dyDescent="0.3">
      <c r="A128" s="17" t="s">
        <v>384</v>
      </c>
      <c r="B128" s="17" t="s">
        <v>385</v>
      </c>
      <c r="C128" s="18" t="s">
        <v>386</v>
      </c>
      <c r="D128" s="19"/>
      <c r="E128" s="19" t="s">
        <v>387</v>
      </c>
      <c r="F128" s="19" t="s">
        <v>61</v>
      </c>
      <c r="G128" s="20">
        <v>1</v>
      </c>
      <c r="H128" s="19"/>
      <c r="I128" s="21">
        <v>0</v>
      </c>
      <c r="J128" s="22">
        <v>177.17</v>
      </c>
      <c r="K128" s="22">
        <v>557</v>
      </c>
      <c r="L128" s="22">
        <f>J128+ROUND(K128, 2)</f>
        <v>734.17</v>
      </c>
      <c r="M128" s="22">
        <v>0</v>
      </c>
      <c r="N128" s="22">
        <v>0</v>
      </c>
      <c r="O128" s="22">
        <f>M128+N128</f>
        <v>0</v>
      </c>
      <c r="P128" s="22">
        <v>177.17</v>
      </c>
      <c r="Q128" s="22">
        <v>557</v>
      </c>
      <c r="R128" s="22">
        <f>P128+ROUND(Q128, 2)</f>
        <v>734.17</v>
      </c>
      <c r="S128" s="22">
        <v>0</v>
      </c>
      <c r="T128" s="22">
        <v>0</v>
      </c>
      <c r="U128" s="22">
        <f>S128+T128</f>
        <v>0</v>
      </c>
      <c r="V128" s="9">
        <f>ROUND(P128 / 1.2, 2)</f>
        <v>147.63999999999999</v>
      </c>
      <c r="W128" s="9">
        <f>ROUND(Q128 / 1.2, 2)</f>
        <v>464.17</v>
      </c>
      <c r="X128" s="9">
        <f>ROUND(R128 / 1.2, 2)</f>
        <v>611.80999999999995</v>
      </c>
      <c r="Y128" s="9">
        <f t="shared" si="41"/>
        <v>0</v>
      </c>
      <c r="Z128" s="9">
        <f>ROUND(T128 / 1.2, 2)</f>
        <v>0</v>
      </c>
      <c r="AA128" s="9">
        <f>Y128+Z128</f>
        <v>0</v>
      </c>
      <c r="AD128" s="4">
        <v>320320091</v>
      </c>
      <c r="AE128" s="4">
        <v>26813842</v>
      </c>
      <c r="AG128" s="4" t="s">
        <v>388</v>
      </c>
      <c r="AH128" s="4" t="s">
        <v>389</v>
      </c>
      <c r="AI128" s="4" t="s">
        <v>338</v>
      </c>
    </row>
    <row r="129" spans="1:35" ht="54" x14ac:dyDescent="0.3">
      <c r="A129" s="23" t="s">
        <v>390</v>
      </c>
      <c r="B129" s="23" t="s">
        <v>385</v>
      </c>
      <c r="C129" s="24" t="s">
        <v>386</v>
      </c>
      <c r="D129" s="25"/>
      <c r="E129" s="25" t="s">
        <v>387</v>
      </c>
      <c r="F129" s="25" t="s">
        <v>61</v>
      </c>
      <c r="G129" s="26">
        <v>1</v>
      </c>
      <c r="H129" s="25"/>
      <c r="I129" s="26">
        <v>583.70000000000005</v>
      </c>
      <c r="J129" s="27">
        <v>177.17</v>
      </c>
      <c r="K129" s="27">
        <v>557</v>
      </c>
      <c r="L129" s="27">
        <v>557</v>
      </c>
      <c r="M129" s="27">
        <v>103414.13</v>
      </c>
      <c r="N129" s="27">
        <v>325120.90000000002</v>
      </c>
      <c r="O129" s="27"/>
      <c r="P129" s="27">
        <v>177.17</v>
      </c>
      <c r="Q129" s="27">
        <v>557</v>
      </c>
      <c r="R129" s="27">
        <v>557</v>
      </c>
      <c r="S129" s="27">
        <v>103414.13</v>
      </c>
      <c r="T129" s="27">
        <v>325120.90000000002</v>
      </c>
      <c r="U129" s="27"/>
      <c r="V129" s="9"/>
      <c r="W129" s="9">
        <f>ROUND(Q129 / 1.2, 2)</f>
        <v>464.17</v>
      </c>
      <c r="X129" s="9">
        <f>ROUND(R129 / 1.2, 2)</f>
        <v>464.17</v>
      </c>
      <c r="Y129" s="9"/>
      <c r="Z129" s="9">
        <f>ROUND(T129 / 1.2, 2)</f>
        <v>270934.08</v>
      </c>
      <c r="AA129" s="9"/>
      <c r="AD129" s="4">
        <v>315454850</v>
      </c>
      <c r="AE129" s="4">
        <v>26813842</v>
      </c>
      <c r="AG129" s="4" t="s">
        <v>388</v>
      </c>
      <c r="AH129" s="4" t="s">
        <v>389</v>
      </c>
      <c r="AI129" s="4"/>
    </row>
    <row r="130" spans="1:35" ht="18" x14ac:dyDescent="0.3">
      <c r="A130" s="17" t="s">
        <v>391</v>
      </c>
      <c r="B130" s="17"/>
      <c r="C130" s="34" t="s">
        <v>378</v>
      </c>
      <c r="D130" s="19"/>
      <c r="E130" s="19"/>
      <c r="F130" s="35" t="s">
        <v>76</v>
      </c>
      <c r="G130" s="36">
        <v>1</v>
      </c>
      <c r="H130" s="19"/>
      <c r="I130" s="48">
        <v>0</v>
      </c>
      <c r="J130" s="38">
        <v>10.4</v>
      </c>
      <c r="K130" s="39"/>
      <c r="L130" s="39"/>
      <c r="M130" s="38">
        <f t="shared" ref="M130:M135" si="42">ROUND(ROUND(J130, 2)*I130, 2)</f>
        <v>0</v>
      </c>
      <c r="N130" s="39"/>
      <c r="O130" s="39"/>
      <c r="P130" s="38">
        <v>10.4</v>
      </c>
      <c r="Q130" s="39"/>
      <c r="R130" s="39"/>
      <c r="S130" s="38">
        <f t="shared" ref="S130:S135" si="43">ROUND(ROUND(P130, 2)*I130, 2)</f>
        <v>0</v>
      </c>
      <c r="T130" s="39"/>
      <c r="U130" s="40"/>
      <c r="V130" s="9">
        <f t="shared" ref="V130:V135" si="44">ROUND(ROUND(P130, 2)/1.2, 2)</f>
        <v>8.67</v>
      </c>
      <c r="Y130" s="9">
        <f t="shared" ref="Y130:Y135" si="45">ROUND(S130 / 1.2, 2)</f>
        <v>0</v>
      </c>
      <c r="AD130" s="4" t="s">
        <v>392</v>
      </c>
      <c r="AE130" s="4" t="s">
        <v>393</v>
      </c>
      <c r="AF130" s="4" t="s">
        <v>381</v>
      </c>
    </row>
    <row r="131" spans="1:35" ht="18" x14ac:dyDescent="0.3">
      <c r="A131" s="23" t="s">
        <v>394</v>
      </c>
      <c r="B131" s="23"/>
      <c r="C131" s="41" t="s">
        <v>378</v>
      </c>
      <c r="D131" s="25"/>
      <c r="E131" s="25"/>
      <c r="F131" s="42" t="s">
        <v>76</v>
      </c>
      <c r="G131" s="43">
        <v>1</v>
      </c>
      <c r="H131" s="25"/>
      <c r="I131" s="50">
        <v>96.64</v>
      </c>
      <c r="J131" s="44">
        <v>10.4</v>
      </c>
      <c r="K131" s="45"/>
      <c r="L131" s="45"/>
      <c r="M131" s="44">
        <f t="shared" si="42"/>
        <v>1005.06</v>
      </c>
      <c r="N131" s="45"/>
      <c r="O131" s="45"/>
      <c r="P131" s="44">
        <v>10.4</v>
      </c>
      <c r="Q131" s="45"/>
      <c r="R131" s="45"/>
      <c r="S131" s="44">
        <f t="shared" si="43"/>
        <v>1005.06</v>
      </c>
      <c r="T131" s="45"/>
      <c r="U131" s="46"/>
      <c r="V131" s="9">
        <f t="shared" si="44"/>
        <v>8.67</v>
      </c>
      <c r="Y131" s="9">
        <f t="shared" si="45"/>
        <v>837.55</v>
      </c>
      <c r="AD131" s="4" t="s">
        <v>395</v>
      </c>
      <c r="AE131" s="4" t="s">
        <v>393</v>
      </c>
      <c r="AF131" s="4" t="s">
        <v>381</v>
      </c>
    </row>
    <row r="132" spans="1:35" ht="36" x14ac:dyDescent="0.3">
      <c r="A132" s="17" t="s">
        <v>396</v>
      </c>
      <c r="B132" s="17"/>
      <c r="C132" s="34" t="s">
        <v>397</v>
      </c>
      <c r="D132" s="19"/>
      <c r="E132" s="19"/>
      <c r="F132" s="35" t="s">
        <v>364</v>
      </c>
      <c r="G132" s="36">
        <v>0.255</v>
      </c>
      <c r="H132" s="19"/>
      <c r="I132" s="37">
        <v>0</v>
      </c>
      <c r="J132" s="38">
        <v>88.8</v>
      </c>
      <c r="K132" s="39"/>
      <c r="L132" s="39"/>
      <c r="M132" s="38">
        <f t="shared" si="42"/>
        <v>0</v>
      </c>
      <c r="N132" s="39"/>
      <c r="O132" s="39"/>
      <c r="P132" s="38">
        <v>88.8</v>
      </c>
      <c r="Q132" s="39"/>
      <c r="R132" s="39"/>
      <c r="S132" s="38">
        <f t="shared" si="43"/>
        <v>0</v>
      </c>
      <c r="T132" s="39"/>
      <c r="U132" s="40"/>
      <c r="V132" s="9">
        <f t="shared" si="44"/>
        <v>74</v>
      </c>
      <c r="Y132" s="9">
        <f t="shared" si="45"/>
        <v>0</v>
      </c>
      <c r="AD132" s="4" t="s">
        <v>398</v>
      </c>
      <c r="AE132" s="4" t="s">
        <v>399</v>
      </c>
      <c r="AF132" s="4" t="s">
        <v>400</v>
      </c>
    </row>
    <row r="133" spans="1:35" ht="36" x14ac:dyDescent="0.3">
      <c r="A133" s="23" t="s">
        <v>401</v>
      </c>
      <c r="B133" s="23"/>
      <c r="C133" s="41" t="s">
        <v>397</v>
      </c>
      <c r="D133" s="25"/>
      <c r="E133" s="25"/>
      <c r="F133" s="42" t="s">
        <v>364</v>
      </c>
      <c r="G133" s="43">
        <v>0.255</v>
      </c>
      <c r="H133" s="25"/>
      <c r="I133" s="43">
        <v>148.84399999999999</v>
      </c>
      <c r="J133" s="44">
        <v>88.8</v>
      </c>
      <c r="K133" s="45"/>
      <c r="L133" s="45"/>
      <c r="M133" s="44">
        <f t="shared" si="42"/>
        <v>13217.35</v>
      </c>
      <c r="N133" s="45"/>
      <c r="O133" s="45"/>
      <c r="P133" s="44">
        <v>88.8</v>
      </c>
      <c r="Q133" s="45"/>
      <c r="R133" s="45"/>
      <c r="S133" s="44">
        <f t="shared" si="43"/>
        <v>13217.35</v>
      </c>
      <c r="T133" s="45"/>
      <c r="U133" s="46"/>
      <c r="V133" s="9">
        <f t="shared" si="44"/>
        <v>74</v>
      </c>
      <c r="Y133" s="9">
        <f t="shared" si="45"/>
        <v>11014.46</v>
      </c>
      <c r="AD133" s="4" t="s">
        <v>402</v>
      </c>
      <c r="AE133" s="4" t="s">
        <v>399</v>
      </c>
      <c r="AF133" s="4" t="s">
        <v>400</v>
      </c>
    </row>
    <row r="134" spans="1:35" ht="36" x14ac:dyDescent="0.3">
      <c r="A134" s="17" t="s">
        <v>403</v>
      </c>
      <c r="B134" s="17"/>
      <c r="C134" s="34" t="s">
        <v>404</v>
      </c>
      <c r="D134" s="19"/>
      <c r="E134" s="19"/>
      <c r="F134" s="35" t="s">
        <v>364</v>
      </c>
      <c r="G134" s="36">
        <v>1.6</v>
      </c>
      <c r="H134" s="19"/>
      <c r="I134" s="48">
        <v>0</v>
      </c>
      <c r="J134" s="38">
        <v>9.5500000000000007</v>
      </c>
      <c r="K134" s="39"/>
      <c r="L134" s="39"/>
      <c r="M134" s="38">
        <f t="shared" si="42"/>
        <v>0</v>
      </c>
      <c r="N134" s="39"/>
      <c r="O134" s="39"/>
      <c r="P134" s="38">
        <v>9.5500000000000007</v>
      </c>
      <c r="Q134" s="39"/>
      <c r="R134" s="39"/>
      <c r="S134" s="38">
        <f t="shared" si="43"/>
        <v>0</v>
      </c>
      <c r="T134" s="39"/>
      <c r="U134" s="40"/>
      <c r="V134" s="9">
        <f t="shared" si="44"/>
        <v>7.96</v>
      </c>
      <c r="Y134" s="9">
        <f t="shared" si="45"/>
        <v>0</v>
      </c>
      <c r="AD134" s="4" t="s">
        <v>405</v>
      </c>
      <c r="AE134" s="4" t="s">
        <v>406</v>
      </c>
      <c r="AF134" s="4" t="s">
        <v>407</v>
      </c>
    </row>
    <row r="135" spans="1:35" ht="36" x14ac:dyDescent="0.3">
      <c r="A135" s="23" t="s">
        <v>408</v>
      </c>
      <c r="B135" s="23"/>
      <c r="C135" s="41" t="s">
        <v>404</v>
      </c>
      <c r="D135" s="25"/>
      <c r="E135" s="25"/>
      <c r="F135" s="42" t="s">
        <v>364</v>
      </c>
      <c r="G135" s="43">
        <v>1.6</v>
      </c>
      <c r="H135" s="25"/>
      <c r="I135" s="50">
        <v>9339.2000000000007</v>
      </c>
      <c r="J135" s="44">
        <v>9.5500000000000007</v>
      </c>
      <c r="K135" s="45"/>
      <c r="L135" s="45"/>
      <c r="M135" s="44">
        <f t="shared" si="42"/>
        <v>89189.36</v>
      </c>
      <c r="N135" s="45"/>
      <c r="O135" s="45"/>
      <c r="P135" s="44">
        <v>9.5500000000000007</v>
      </c>
      <c r="Q135" s="45"/>
      <c r="R135" s="45"/>
      <c r="S135" s="44">
        <f t="shared" si="43"/>
        <v>89189.36</v>
      </c>
      <c r="T135" s="45"/>
      <c r="U135" s="46"/>
      <c r="V135" s="9">
        <f t="shared" si="44"/>
        <v>7.96</v>
      </c>
      <c r="Y135" s="9">
        <f t="shared" si="45"/>
        <v>74324.47</v>
      </c>
      <c r="AD135" s="4" t="s">
        <v>409</v>
      </c>
      <c r="AE135" s="4" t="s">
        <v>406</v>
      </c>
      <c r="AF135" s="4" t="s">
        <v>407</v>
      </c>
    </row>
    <row r="136" spans="1:35" ht="16.95" customHeight="1" x14ac:dyDescent="0.3">
      <c r="A136" s="10" t="s">
        <v>410</v>
      </c>
      <c r="B136" s="10" t="s">
        <v>411</v>
      </c>
      <c r="C136" s="237" t="s">
        <v>412</v>
      </c>
      <c r="D136" s="238"/>
      <c r="E136" s="238"/>
      <c r="F136" s="238"/>
      <c r="G136" s="238"/>
      <c r="H136" s="238"/>
      <c r="I136" s="239"/>
      <c r="M136" s="6">
        <f>SUM(M137,M141,M145,M149,M153,M157,M161,M165,M169,M173,M177)</f>
        <v>0</v>
      </c>
      <c r="N136" s="6">
        <f>SUM(N137,N141,N145,N149,N153,N157,N161,N165,N169,N173,N177)</f>
        <v>0</v>
      </c>
      <c r="O136" s="6">
        <f>SUM(O137,O141,O145,O149,O153,O157,O161,O165,O169,O173,O177)</f>
        <v>0</v>
      </c>
      <c r="S136" s="6">
        <f>SUM(S137,S141,S145,S149,S153,S157,S161,S165,S169,S173,S177)</f>
        <v>0</v>
      </c>
      <c r="T136" s="6">
        <f>SUM(T137,T141,T145,T149,T153,T157,T161,T165,T169,T173,T177)</f>
        <v>0</v>
      </c>
      <c r="U136" s="6">
        <f>SUM(U137,U141,U145,U149,U153,U157,U161,U165,U169,U173,U177)</f>
        <v>0</v>
      </c>
      <c r="Y136" s="9">
        <f>SUM(Y137,Y141,Y145,Y149,Y153,Y157,Y161,Y165,Y169,Y173,Y177)</f>
        <v>0</v>
      </c>
      <c r="Z136" s="9">
        <f>SUM(Z137,Z141,Z145,Z149,Z153,Z157,Z161,Z165,Z169,Z173,Z177)</f>
        <v>0</v>
      </c>
      <c r="AA136" s="9">
        <f>SUM(AA137,AA141,AA145,AA149,AA153,AA157,AA161,AA165,AA169,AA173,AA177)</f>
        <v>0</v>
      </c>
      <c r="AD136" s="4">
        <v>320320092</v>
      </c>
      <c r="AE136" s="4">
        <v>26813790</v>
      </c>
    </row>
    <row r="137" spans="1:35" ht="54" x14ac:dyDescent="0.3">
      <c r="A137" s="17" t="s">
        <v>413</v>
      </c>
      <c r="B137" s="17" t="s">
        <v>414</v>
      </c>
      <c r="C137" s="18" t="s">
        <v>415</v>
      </c>
      <c r="D137" s="19"/>
      <c r="E137" s="19" t="s">
        <v>416</v>
      </c>
      <c r="F137" s="19" t="s">
        <v>61</v>
      </c>
      <c r="G137" s="20">
        <v>1</v>
      </c>
      <c r="H137" s="19"/>
      <c r="I137" s="21">
        <v>0</v>
      </c>
      <c r="J137" s="22">
        <v>997.82</v>
      </c>
      <c r="K137" s="22">
        <v>162</v>
      </c>
      <c r="L137" s="22">
        <f>J137+ROUND(K137, 2)</f>
        <v>1159.8200000000002</v>
      </c>
      <c r="M137" s="22">
        <v>0</v>
      </c>
      <c r="N137" s="22">
        <v>0</v>
      </c>
      <c r="O137" s="22">
        <f>M137+N137</f>
        <v>0</v>
      </c>
      <c r="P137" s="22">
        <v>997.82</v>
      </c>
      <c r="Q137" s="22">
        <v>162</v>
      </c>
      <c r="R137" s="22">
        <f>P137+ROUND(Q137, 2)</f>
        <v>1159.8200000000002</v>
      </c>
      <c r="S137" s="22">
        <v>0</v>
      </c>
      <c r="T137" s="22">
        <v>0</v>
      </c>
      <c r="U137" s="22">
        <f>S137+T137</f>
        <v>0</v>
      </c>
      <c r="V137" s="9">
        <f>ROUND(P137 / 1.2, 2)</f>
        <v>831.52</v>
      </c>
      <c r="W137" s="9">
        <f>ROUND(Q137 / 1.2, 2)</f>
        <v>135</v>
      </c>
      <c r="X137" s="9">
        <f>ROUND(R137 / 1.2, 2)</f>
        <v>966.52</v>
      </c>
      <c r="Y137" s="9">
        <f>ROUND(S137 / 1.2, 2)</f>
        <v>0</v>
      </c>
      <c r="Z137" s="9">
        <f>ROUND(T137 / 1.2, 2)</f>
        <v>0</v>
      </c>
      <c r="AA137" s="9">
        <f>Y137+Z137</f>
        <v>0</v>
      </c>
      <c r="AD137" s="4">
        <v>320320094</v>
      </c>
      <c r="AE137" s="4">
        <v>26813854</v>
      </c>
      <c r="AG137" s="4" t="s">
        <v>417</v>
      </c>
      <c r="AH137" s="4" t="s">
        <v>418</v>
      </c>
      <c r="AI137" s="4" t="s">
        <v>338</v>
      </c>
    </row>
    <row r="138" spans="1:35" ht="54" x14ac:dyDescent="0.3">
      <c r="A138" s="23" t="s">
        <v>419</v>
      </c>
      <c r="B138" s="23" t="s">
        <v>414</v>
      </c>
      <c r="C138" s="24" t="s">
        <v>415</v>
      </c>
      <c r="D138" s="25"/>
      <c r="E138" s="25" t="s">
        <v>416</v>
      </c>
      <c r="F138" s="25" t="s">
        <v>61</v>
      </c>
      <c r="G138" s="26">
        <v>1</v>
      </c>
      <c r="H138" s="25"/>
      <c r="I138" s="26">
        <v>168.4</v>
      </c>
      <c r="J138" s="27">
        <v>997.82</v>
      </c>
      <c r="K138" s="27">
        <v>162</v>
      </c>
      <c r="L138" s="27">
        <v>162</v>
      </c>
      <c r="M138" s="27">
        <v>168032.89</v>
      </c>
      <c r="N138" s="27">
        <v>27280.799999999999</v>
      </c>
      <c r="O138" s="27"/>
      <c r="P138" s="27">
        <v>997.82</v>
      </c>
      <c r="Q138" s="27">
        <v>162</v>
      </c>
      <c r="R138" s="27">
        <v>162</v>
      </c>
      <c r="S138" s="27">
        <v>168032.89</v>
      </c>
      <c r="T138" s="27">
        <v>27280.799999999999</v>
      </c>
      <c r="U138" s="27"/>
      <c r="V138" s="9"/>
      <c r="W138" s="9">
        <f>ROUND(Q138 / 1.2, 2)</f>
        <v>135</v>
      </c>
      <c r="X138" s="9">
        <f>ROUND(R138 / 1.2, 2)</f>
        <v>135</v>
      </c>
      <c r="Y138" s="9"/>
      <c r="Z138" s="9">
        <f>ROUND(T138 / 1.2, 2)</f>
        <v>22734</v>
      </c>
      <c r="AA138" s="9"/>
      <c r="AD138" s="4">
        <v>315454853</v>
      </c>
      <c r="AE138" s="4">
        <v>26813854</v>
      </c>
      <c r="AG138" s="4" t="s">
        <v>417</v>
      </c>
      <c r="AH138" s="4" t="s">
        <v>418</v>
      </c>
      <c r="AI138" s="4"/>
    </row>
    <row r="139" spans="1:35" ht="36" x14ac:dyDescent="0.3">
      <c r="A139" s="17" t="s">
        <v>420</v>
      </c>
      <c r="B139" s="17"/>
      <c r="C139" s="34" t="s">
        <v>421</v>
      </c>
      <c r="D139" s="19"/>
      <c r="E139" s="19"/>
      <c r="F139" s="35" t="s">
        <v>364</v>
      </c>
      <c r="G139" s="36">
        <v>1</v>
      </c>
      <c r="H139" s="19"/>
      <c r="I139" s="37">
        <v>0</v>
      </c>
      <c r="J139" s="38">
        <v>997.82</v>
      </c>
      <c r="K139" s="39"/>
      <c r="L139" s="39"/>
      <c r="M139" s="38">
        <f>ROUND(ROUND(J139, 2)*I139, 2)</f>
        <v>0</v>
      </c>
      <c r="N139" s="39"/>
      <c r="O139" s="39"/>
      <c r="P139" s="38">
        <v>997.82</v>
      </c>
      <c r="Q139" s="39"/>
      <c r="R139" s="39"/>
      <c r="S139" s="38">
        <f>ROUND(ROUND(P139, 2)*I139, 2)</f>
        <v>0</v>
      </c>
      <c r="T139" s="39"/>
      <c r="U139" s="40"/>
      <c r="V139" s="9">
        <f>ROUND(ROUND(P139, 2)/1.2, 2)</f>
        <v>831.52</v>
      </c>
      <c r="Y139" s="9">
        <f>ROUND(S139 / 1.2, 2)</f>
        <v>0</v>
      </c>
      <c r="AD139" s="4" t="s">
        <v>422</v>
      </c>
      <c r="AE139" s="4" t="s">
        <v>423</v>
      </c>
      <c r="AF139" s="4" t="s">
        <v>424</v>
      </c>
    </row>
    <row r="140" spans="1:35" ht="36" x14ac:dyDescent="0.3">
      <c r="A140" s="23" t="s">
        <v>425</v>
      </c>
      <c r="B140" s="23"/>
      <c r="C140" s="41" t="s">
        <v>421</v>
      </c>
      <c r="D140" s="25"/>
      <c r="E140" s="25"/>
      <c r="F140" s="42" t="s">
        <v>364</v>
      </c>
      <c r="G140" s="43">
        <v>1</v>
      </c>
      <c r="H140" s="25"/>
      <c r="I140" s="43">
        <v>168.4</v>
      </c>
      <c r="J140" s="44">
        <v>997.82</v>
      </c>
      <c r="K140" s="45"/>
      <c r="L140" s="45"/>
      <c r="M140" s="44">
        <f>ROUND(ROUND(J140, 2)*I140, 2)</f>
        <v>168032.89</v>
      </c>
      <c r="N140" s="45"/>
      <c r="O140" s="45"/>
      <c r="P140" s="44">
        <v>997.82</v>
      </c>
      <c r="Q140" s="45"/>
      <c r="R140" s="45"/>
      <c r="S140" s="44">
        <f>ROUND(ROUND(P140, 2)*I140, 2)</f>
        <v>168032.89</v>
      </c>
      <c r="T140" s="45"/>
      <c r="U140" s="46"/>
      <c r="V140" s="9">
        <f>ROUND(ROUND(P140, 2)/1.2, 2)</f>
        <v>831.52</v>
      </c>
      <c r="Y140" s="9">
        <f>ROUND(S140 / 1.2, 2)</f>
        <v>140027.41</v>
      </c>
      <c r="AD140" s="4" t="s">
        <v>426</v>
      </c>
      <c r="AE140" s="4" t="s">
        <v>423</v>
      </c>
      <c r="AF140" s="4" t="s">
        <v>424</v>
      </c>
    </row>
    <row r="141" spans="1:35" ht="54" x14ac:dyDescent="0.3">
      <c r="A141" s="17" t="s">
        <v>427</v>
      </c>
      <c r="B141" s="17" t="s">
        <v>428</v>
      </c>
      <c r="C141" s="18" t="s">
        <v>429</v>
      </c>
      <c r="D141" s="19"/>
      <c r="E141" s="19" t="s">
        <v>430</v>
      </c>
      <c r="F141" s="19" t="s">
        <v>61</v>
      </c>
      <c r="G141" s="20">
        <v>1</v>
      </c>
      <c r="H141" s="19"/>
      <c r="I141" s="21">
        <v>0</v>
      </c>
      <c r="J141" s="22">
        <v>420.76</v>
      </c>
      <c r="K141" s="22">
        <v>324</v>
      </c>
      <c r="L141" s="22">
        <f>J141+ROUND(K141, 2)</f>
        <v>744.76</v>
      </c>
      <c r="M141" s="22">
        <v>0</v>
      </c>
      <c r="N141" s="22">
        <v>0</v>
      </c>
      <c r="O141" s="22">
        <f>M141+N141</f>
        <v>0</v>
      </c>
      <c r="P141" s="22">
        <v>420.76</v>
      </c>
      <c r="Q141" s="22">
        <v>324</v>
      </c>
      <c r="R141" s="22">
        <f>P141+ROUND(Q141, 2)</f>
        <v>744.76</v>
      </c>
      <c r="S141" s="22">
        <v>0</v>
      </c>
      <c r="T141" s="22">
        <v>0</v>
      </c>
      <c r="U141" s="22">
        <f>S141+T141</f>
        <v>0</v>
      </c>
      <c r="V141" s="9">
        <f>ROUND(P141 / 1.2, 2)</f>
        <v>350.63</v>
      </c>
      <c r="W141" s="9">
        <f>ROUND(Q141 / 1.2, 2)</f>
        <v>270</v>
      </c>
      <c r="X141" s="9">
        <f>ROUND(R141 / 1.2, 2)</f>
        <v>620.63</v>
      </c>
      <c r="Y141" s="9">
        <f>ROUND(S141 / 1.2, 2)</f>
        <v>0</v>
      </c>
      <c r="Z141" s="9">
        <f>ROUND(T141 / 1.2, 2)</f>
        <v>0</v>
      </c>
      <c r="AA141" s="9">
        <f>Y141+Z141</f>
        <v>0</v>
      </c>
      <c r="AD141" s="4">
        <v>320320095</v>
      </c>
      <c r="AE141" s="4">
        <v>26813846</v>
      </c>
      <c r="AG141" s="4" t="s">
        <v>431</v>
      </c>
      <c r="AH141" s="4" t="s">
        <v>432</v>
      </c>
      <c r="AI141" s="4" t="s">
        <v>338</v>
      </c>
    </row>
    <row r="142" spans="1:35" ht="54" x14ac:dyDescent="0.3">
      <c r="A142" s="23" t="s">
        <v>433</v>
      </c>
      <c r="B142" s="23" t="s">
        <v>428</v>
      </c>
      <c r="C142" s="24" t="s">
        <v>429</v>
      </c>
      <c r="D142" s="25"/>
      <c r="E142" s="25" t="s">
        <v>430</v>
      </c>
      <c r="F142" s="25" t="s">
        <v>61</v>
      </c>
      <c r="G142" s="26">
        <v>1</v>
      </c>
      <c r="H142" s="25"/>
      <c r="I142" s="26">
        <v>549.6</v>
      </c>
      <c r="J142" s="27">
        <v>420.76</v>
      </c>
      <c r="K142" s="27">
        <v>324</v>
      </c>
      <c r="L142" s="27">
        <v>324</v>
      </c>
      <c r="M142" s="27">
        <v>231249.7</v>
      </c>
      <c r="N142" s="27">
        <v>178070.39999999999</v>
      </c>
      <c r="O142" s="27"/>
      <c r="P142" s="27">
        <v>420.76</v>
      </c>
      <c r="Q142" s="27">
        <v>324</v>
      </c>
      <c r="R142" s="27">
        <v>324</v>
      </c>
      <c r="S142" s="27">
        <v>231249.7</v>
      </c>
      <c r="T142" s="27">
        <v>178070.39999999999</v>
      </c>
      <c r="U142" s="27"/>
      <c r="V142" s="9"/>
      <c r="W142" s="9">
        <f>ROUND(Q142 / 1.2, 2)</f>
        <v>270</v>
      </c>
      <c r="X142" s="9">
        <f>ROUND(R142 / 1.2, 2)</f>
        <v>270</v>
      </c>
      <c r="Y142" s="9"/>
      <c r="Z142" s="9">
        <f>ROUND(T142 / 1.2, 2)</f>
        <v>148392</v>
      </c>
      <c r="AA142" s="9"/>
      <c r="AD142" s="4">
        <v>315454854</v>
      </c>
      <c r="AE142" s="4">
        <v>26813846</v>
      </c>
      <c r="AG142" s="4" t="s">
        <v>431</v>
      </c>
      <c r="AH142" s="4" t="s">
        <v>432</v>
      </c>
      <c r="AI142" s="4"/>
    </row>
    <row r="143" spans="1:35" ht="18" x14ac:dyDescent="0.3">
      <c r="A143" s="17" t="s">
        <v>434</v>
      </c>
      <c r="B143" s="17"/>
      <c r="C143" s="34" t="s">
        <v>435</v>
      </c>
      <c r="D143" s="19"/>
      <c r="E143" s="19"/>
      <c r="F143" s="35" t="s">
        <v>364</v>
      </c>
      <c r="G143" s="36">
        <v>4.3</v>
      </c>
      <c r="H143" s="19"/>
      <c r="I143" s="37">
        <v>0</v>
      </c>
      <c r="J143" s="38">
        <v>97.85</v>
      </c>
      <c r="K143" s="39"/>
      <c r="L143" s="39"/>
      <c r="M143" s="38">
        <f>ROUND(ROUND(J143, 2)*I143, 2)</f>
        <v>0</v>
      </c>
      <c r="N143" s="39"/>
      <c r="O143" s="39"/>
      <c r="P143" s="38">
        <v>97.85</v>
      </c>
      <c r="Q143" s="39"/>
      <c r="R143" s="39"/>
      <c r="S143" s="38">
        <f>ROUND(ROUND(P143, 2)*I143, 2)</f>
        <v>0</v>
      </c>
      <c r="T143" s="39"/>
      <c r="U143" s="40"/>
      <c r="V143" s="9">
        <f>ROUND(ROUND(P143, 2)/1.2, 2)</f>
        <v>81.540000000000006</v>
      </c>
      <c r="Y143" s="9">
        <f>ROUND(S143 / 1.2, 2)</f>
        <v>0</v>
      </c>
      <c r="AD143" s="4" t="s">
        <v>436</v>
      </c>
      <c r="AE143" s="4" t="s">
        <v>437</v>
      </c>
      <c r="AF143" s="4" t="s">
        <v>438</v>
      </c>
    </row>
    <row r="144" spans="1:35" ht="18" x14ac:dyDescent="0.3">
      <c r="A144" s="23" t="s">
        <v>439</v>
      </c>
      <c r="B144" s="23"/>
      <c r="C144" s="41" t="s">
        <v>435</v>
      </c>
      <c r="D144" s="25"/>
      <c r="E144" s="25"/>
      <c r="F144" s="42" t="s">
        <v>364</v>
      </c>
      <c r="G144" s="43">
        <v>4.3</v>
      </c>
      <c r="H144" s="25"/>
      <c r="I144" s="43">
        <v>2363.2800000000002</v>
      </c>
      <c r="J144" s="44">
        <v>97.85</v>
      </c>
      <c r="K144" s="45"/>
      <c r="L144" s="45"/>
      <c r="M144" s="44">
        <f>ROUND(ROUND(J144, 2)*I144, 2)</f>
        <v>231246.95</v>
      </c>
      <c r="N144" s="45"/>
      <c r="O144" s="45"/>
      <c r="P144" s="44">
        <v>97.85</v>
      </c>
      <c r="Q144" s="45"/>
      <c r="R144" s="45"/>
      <c r="S144" s="44">
        <f>ROUND(ROUND(P144, 2)*I144, 2)</f>
        <v>231246.95</v>
      </c>
      <c r="T144" s="45"/>
      <c r="U144" s="46"/>
      <c r="V144" s="9">
        <f>ROUND(ROUND(P144, 2)/1.2, 2)</f>
        <v>81.540000000000006</v>
      </c>
      <c r="Y144" s="9">
        <f>ROUND(S144 / 1.2, 2)</f>
        <v>192705.79</v>
      </c>
      <c r="AD144" s="4" t="s">
        <v>440</v>
      </c>
      <c r="AE144" s="4" t="s">
        <v>437</v>
      </c>
      <c r="AF144" s="4" t="s">
        <v>438</v>
      </c>
    </row>
    <row r="145" spans="1:35" ht="54" x14ac:dyDescent="0.3">
      <c r="A145" s="17" t="s">
        <v>441</v>
      </c>
      <c r="B145" s="17" t="s">
        <v>442</v>
      </c>
      <c r="C145" s="18" t="s">
        <v>443</v>
      </c>
      <c r="D145" s="19"/>
      <c r="E145" s="19" t="s">
        <v>444</v>
      </c>
      <c r="F145" s="19" t="s">
        <v>61</v>
      </c>
      <c r="G145" s="20">
        <v>1</v>
      </c>
      <c r="H145" s="19"/>
      <c r="I145" s="21">
        <v>0</v>
      </c>
      <c r="J145" s="22">
        <v>291.5</v>
      </c>
      <c r="K145" s="22">
        <v>580</v>
      </c>
      <c r="L145" s="22">
        <f>J145+ROUND(K145, 2)</f>
        <v>871.5</v>
      </c>
      <c r="M145" s="22">
        <v>0</v>
      </c>
      <c r="N145" s="22">
        <v>0</v>
      </c>
      <c r="O145" s="22">
        <f>M145+N145</f>
        <v>0</v>
      </c>
      <c r="P145" s="22">
        <v>291.5</v>
      </c>
      <c r="Q145" s="22">
        <v>580</v>
      </c>
      <c r="R145" s="22">
        <f>P145+ROUND(Q145, 2)</f>
        <v>871.5</v>
      </c>
      <c r="S145" s="22">
        <v>0</v>
      </c>
      <c r="T145" s="22">
        <v>0</v>
      </c>
      <c r="U145" s="22">
        <f>S145+T145</f>
        <v>0</v>
      </c>
      <c r="V145" s="9">
        <f>ROUND(P145 / 1.2, 2)</f>
        <v>242.92</v>
      </c>
      <c r="W145" s="9">
        <f>ROUND(Q145 / 1.2, 2)</f>
        <v>483.33</v>
      </c>
      <c r="X145" s="9">
        <f>ROUND(R145 / 1.2, 2)</f>
        <v>726.25</v>
      </c>
      <c r="Y145" s="9">
        <f>ROUND(S145 / 1.2, 2)</f>
        <v>0</v>
      </c>
      <c r="Z145" s="9">
        <f>ROUND(T145 / 1.2, 2)</f>
        <v>0</v>
      </c>
      <c r="AA145" s="9">
        <f>Y145+Z145</f>
        <v>0</v>
      </c>
      <c r="AD145" s="4">
        <v>320320097</v>
      </c>
      <c r="AE145" s="4">
        <v>26813848</v>
      </c>
      <c r="AG145" s="4" t="s">
        <v>445</v>
      </c>
      <c r="AH145" s="4" t="s">
        <v>446</v>
      </c>
      <c r="AI145" s="4" t="s">
        <v>338</v>
      </c>
    </row>
    <row r="146" spans="1:35" ht="54" x14ac:dyDescent="0.3">
      <c r="A146" s="23" t="s">
        <v>447</v>
      </c>
      <c r="B146" s="23" t="s">
        <v>442</v>
      </c>
      <c r="C146" s="24" t="s">
        <v>443</v>
      </c>
      <c r="D146" s="25"/>
      <c r="E146" s="25" t="s">
        <v>444</v>
      </c>
      <c r="F146" s="25" t="s">
        <v>61</v>
      </c>
      <c r="G146" s="26">
        <v>1</v>
      </c>
      <c r="H146" s="25"/>
      <c r="I146" s="26">
        <v>1430.4</v>
      </c>
      <c r="J146" s="27">
        <v>291.5</v>
      </c>
      <c r="K146" s="27">
        <v>580</v>
      </c>
      <c r="L146" s="27">
        <v>580</v>
      </c>
      <c r="M146" s="27">
        <v>416961.6</v>
      </c>
      <c r="N146" s="27">
        <v>829632</v>
      </c>
      <c r="O146" s="27"/>
      <c r="P146" s="27">
        <v>291.5</v>
      </c>
      <c r="Q146" s="27">
        <v>580</v>
      </c>
      <c r="R146" s="27">
        <v>580</v>
      </c>
      <c r="S146" s="27">
        <v>416961.6</v>
      </c>
      <c r="T146" s="27">
        <v>829632</v>
      </c>
      <c r="U146" s="27"/>
      <c r="V146" s="9"/>
      <c r="W146" s="9">
        <f>ROUND(Q146 / 1.2, 2)</f>
        <v>483.33</v>
      </c>
      <c r="X146" s="9">
        <f>ROUND(R146 / 1.2, 2)</f>
        <v>483.33</v>
      </c>
      <c r="Y146" s="9"/>
      <c r="Z146" s="9">
        <f>ROUND(T146 / 1.2, 2)</f>
        <v>691360</v>
      </c>
      <c r="AA146" s="9"/>
      <c r="AD146" s="4">
        <v>315454856</v>
      </c>
      <c r="AE146" s="4">
        <v>26813848</v>
      </c>
      <c r="AG146" s="4" t="s">
        <v>445</v>
      </c>
      <c r="AH146" s="4" t="s">
        <v>446</v>
      </c>
      <c r="AI146" s="4"/>
    </row>
    <row r="147" spans="1:35" ht="18" x14ac:dyDescent="0.3">
      <c r="A147" s="17" t="s">
        <v>448</v>
      </c>
      <c r="B147" s="17"/>
      <c r="C147" s="34" t="s">
        <v>449</v>
      </c>
      <c r="D147" s="19"/>
      <c r="E147" s="19"/>
      <c r="F147" s="35" t="s">
        <v>61</v>
      </c>
      <c r="G147" s="36">
        <v>1.1000000000000001</v>
      </c>
      <c r="H147" s="19"/>
      <c r="I147" s="48">
        <v>0</v>
      </c>
      <c r="J147" s="38">
        <v>265</v>
      </c>
      <c r="K147" s="39"/>
      <c r="L147" s="39"/>
      <c r="M147" s="38">
        <f>ROUND(ROUND(J147, 2)*I147, 2)</f>
        <v>0</v>
      </c>
      <c r="N147" s="39"/>
      <c r="O147" s="39"/>
      <c r="P147" s="38">
        <v>265</v>
      </c>
      <c r="Q147" s="39"/>
      <c r="R147" s="39"/>
      <c r="S147" s="38">
        <f>ROUND(ROUND(P147, 2)*I147, 2)</f>
        <v>0</v>
      </c>
      <c r="T147" s="39"/>
      <c r="U147" s="40"/>
      <c r="V147" s="9">
        <f>ROUND(ROUND(P147, 2)/1.2, 2)</f>
        <v>220.83</v>
      </c>
      <c r="Y147" s="9">
        <f>ROUND(S147 / 1.2, 2)</f>
        <v>0</v>
      </c>
      <c r="AD147" s="4" t="s">
        <v>450</v>
      </c>
      <c r="AE147" s="4" t="s">
        <v>451</v>
      </c>
      <c r="AF147" s="4" t="s">
        <v>452</v>
      </c>
    </row>
    <row r="148" spans="1:35" ht="18" x14ac:dyDescent="0.3">
      <c r="A148" s="23" t="s">
        <v>453</v>
      </c>
      <c r="B148" s="23"/>
      <c r="C148" s="41" t="s">
        <v>449</v>
      </c>
      <c r="D148" s="25"/>
      <c r="E148" s="25"/>
      <c r="F148" s="42" t="s">
        <v>61</v>
      </c>
      <c r="G148" s="43">
        <v>1.1000000000000001</v>
      </c>
      <c r="H148" s="25"/>
      <c r="I148" s="50">
        <v>1573.44</v>
      </c>
      <c r="J148" s="44">
        <v>265</v>
      </c>
      <c r="K148" s="45"/>
      <c r="L148" s="45"/>
      <c r="M148" s="44">
        <f>ROUND(ROUND(J148, 2)*I148, 2)</f>
        <v>416961.6</v>
      </c>
      <c r="N148" s="45"/>
      <c r="O148" s="45"/>
      <c r="P148" s="44">
        <v>265</v>
      </c>
      <c r="Q148" s="45"/>
      <c r="R148" s="45"/>
      <c r="S148" s="44">
        <f>ROUND(ROUND(P148, 2)*I148, 2)</f>
        <v>416961.6</v>
      </c>
      <c r="T148" s="45"/>
      <c r="U148" s="46"/>
      <c r="V148" s="9">
        <f>ROUND(ROUND(P148, 2)/1.2, 2)</f>
        <v>220.83</v>
      </c>
      <c r="Y148" s="9">
        <f>ROUND(S148 / 1.2, 2)</f>
        <v>347468</v>
      </c>
      <c r="AD148" s="4" t="s">
        <v>454</v>
      </c>
      <c r="AE148" s="4" t="s">
        <v>451</v>
      </c>
      <c r="AF148" s="4" t="s">
        <v>452</v>
      </c>
    </row>
    <row r="149" spans="1:35" ht="36" x14ac:dyDescent="0.3">
      <c r="A149" s="17" t="s">
        <v>455</v>
      </c>
      <c r="B149" s="17" t="s">
        <v>456</v>
      </c>
      <c r="C149" s="18" t="s">
        <v>457</v>
      </c>
      <c r="D149" s="19"/>
      <c r="E149" s="19" t="s">
        <v>458</v>
      </c>
      <c r="F149" s="19" t="s">
        <v>61</v>
      </c>
      <c r="G149" s="20">
        <v>1</v>
      </c>
      <c r="H149" s="19"/>
      <c r="I149" s="21">
        <v>0</v>
      </c>
      <c r="J149" s="22">
        <v>681.45</v>
      </c>
      <c r="K149" s="22">
        <v>868</v>
      </c>
      <c r="L149" s="22">
        <f>J149+ROUND(K149, 2)</f>
        <v>1549.45</v>
      </c>
      <c r="M149" s="22">
        <v>0</v>
      </c>
      <c r="N149" s="22">
        <v>0</v>
      </c>
      <c r="O149" s="22">
        <f>M149+N149</f>
        <v>0</v>
      </c>
      <c r="P149" s="22">
        <v>681.45</v>
      </c>
      <c r="Q149" s="22">
        <v>868</v>
      </c>
      <c r="R149" s="22">
        <f>P149+ROUND(Q149, 2)</f>
        <v>1549.45</v>
      </c>
      <c r="S149" s="22">
        <v>0</v>
      </c>
      <c r="T149" s="22">
        <v>0</v>
      </c>
      <c r="U149" s="22">
        <f>S149+T149</f>
        <v>0</v>
      </c>
      <c r="V149" s="9">
        <f>ROUND(P149 / 1.2, 2)</f>
        <v>567.88</v>
      </c>
      <c r="W149" s="9">
        <f>ROUND(Q149 / 1.2, 2)</f>
        <v>723.33</v>
      </c>
      <c r="X149" s="9">
        <f>ROUND(R149 / 1.2, 2)</f>
        <v>1291.21</v>
      </c>
      <c r="Y149" s="9">
        <f>ROUND(S149 / 1.2, 2)</f>
        <v>0</v>
      </c>
      <c r="Z149" s="9">
        <f>ROUND(T149 / 1.2, 2)</f>
        <v>0</v>
      </c>
      <c r="AA149" s="9">
        <f>Y149+Z149</f>
        <v>0</v>
      </c>
      <c r="AD149" s="4">
        <v>320320098</v>
      </c>
      <c r="AE149" s="4">
        <v>26813849</v>
      </c>
      <c r="AG149" s="4" t="s">
        <v>459</v>
      </c>
      <c r="AH149" s="4" t="s">
        <v>460</v>
      </c>
      <c r="AI149" s="4" t="s">
        <v>338</v>
      </c>
    </row>
    <row r="150" spans="1:35" ht="36" x14ac:dyDescent="0.3">
      <c r="A150" s="23" t="s">
        <v>461</v>
      </c>
      <c r="B150" s="23" t="s">
        <v>456</v>
      </c>
      <c r="C150" s="24" t="s">
        <v>457</v>
      </c>
      <c r="D150" s="25"/>
      <c r="E150" s="25" t="s">
        <v>458</v>
      </c>
      <c r="F150" s="25" t="s">
        <v>61</v>
      </c>
      <c r="G150" s="26">
        <v>1</v>
      </c>
      <c r="H150" s="25"/>
      <c r="I150" s="26">
        <v>220.5</v>
      </c>
      <c r="J150" s="27">
        <v>681.45</v>
      </c>
      <c r="K150" s="27">
        <v>868</v>
      </c>
      <c r="L150" s="27">
        <v>868</v>
      </c>
      <c r="M150" s="27">
        <v>150259.73000000001</v>
      </c>
      <c r="N150" s="27">
        <v>191394</v>
      </c>
      <c r="O150" s="27"/>
      <c r="P150" s="27">
        <v>681.45</v>
      </c>
      <c r="Q150" s="27">
        <v>868</v>
      </c>
      <c r="R150" s="27">
        <v>868</v>
      </c>
      <c r="S150" s="27">
        <v>150259.73000000001</v>
      </c>
      <c r="T150" s="27">
        <v>191394</v>
      </c>
      <c r="U150" s="27"/>
      <c r="V150" s="9"/>
      <c r="W150" s="9">
        <f>ROUND(Q150 / 1.2, 2)</f>
        <v>723.33</v>
      </c>
      <c r="X150" s="9">
        <f>ROUND(R150 / 1.2, 2)</f>
        <v>723.33</v>
      </c>
      <c r="Y150" s="9"/>
      <c r="Z150" s="9">
        <f>ROUND(T150 / 1.2, 2)</f>
        <v>159495</v>
      </c>
      <c r="AA150" s="9"/>
      <c r="AD150" s="4">
        <v>315454857</v>
      </c>
      <c r="AE150" s="4">
        <v>26813849</v>
      </c>
      <c r="AG150" s="4" t="s">
        <v>459</v>
      </c>
      <c r="AH150" s="4" t="s">
        <v>460</v>
      </c>
      <c r="AI150" s="4"/>
    </row>
    <row r="151" spans="1:35" ht="18" x14ac:dyDescent="0.3">
      <c r="A151" s="17" t="s">
        <v>462</v>
      </c>
      <c r="B151" s="17"/>
      <c r="C151" s="34" t="s">
        <v>463</v>
      </c>
      <c r="D151" s="19"/>
      <c r="E151" s="19" t="s">
        <v>464</v>
      </c>
      <c r="F151" s="35" t="s">
        <v>61</v>
      </c>
      <c r="G151" s="36">
        <v>2.1</v>
      </c>
      <c r="H151" s="19"/>
      <c r="I151" s="48">
        <v>0</v>
      </c>
      <c r="J151" s="38">
        <v>324.5</v>
      </c>
      <c r="K151" s="39"/>
      <c r="L151" s="39"/>
      <c r="M151" s="38">
        <f>ROUND(ROUND(J151, 2)*I151, 2)</f>
        <v>0</v>
      </c>
      <c r="N151" s="39"/>
      <c r="O151" s="39"/>
      <c r="P151" s="38">
        <v>324.5</v>
      </c>
      <c r="Q151" s="39"/>
      <c r="R151" s="39"/>
      <c r="S151" s="38">
        <f>ROUND(ROUND(P151, 2)*I151, 2)</f>
        <v>0</v>
      </c>
      <c r="T151" s="39"/>
      <c r="U151" s="40"/>
      <c r="V151" s="9">
        <f>ROUND(ROUND(P151, 2)/1.2, 2)</f>
        <v>270.42</v>
      </c>
      <c r="Y151" s="9">
        <f>ROUND(S151 / 1.2, 2)</f>
        <v>0</v>
      </c>
      <c r="AD151" s="4" t="s">
        <v>465</v>
      </c>
      <c r="AE151" s="4" t="s">
        <v>466</v>
      </c>
      <c r="AF151" s="4" t="s">
        <v>467</v>
      </c>
    </row>
    <row r="152" spans="1:35" ht="18" x14ac:dyDescent="0.3">
      <c r="A152" s="23" t="s">
        <v>468</v>
      </c>
      <c r="B152" s="23"/>
      <c r="C152" s="41" t="s">
        <v>463</v>
      </c>
      <c r="D152" s="25"/>
      <c r="E152" s="25" t="s">
        <v>464</v>
      </c>
      <c r="F152" s="42" t="s">
        <v>61</v>
      </c>
      <c r="G152" s="43">
        <v>2.1</v>
      </c>
      <c r="H152" s="25"/>
      <c r="I152" s="50">
        <v>463.05</v>
      </c>
      <c r="J152" s="44">
        <v>324.5</v>
      </c>
      <c r="K152" s="45"/>
      <c r="L152" s="45"/>
      <c r="M152" s="44">
        <f>ROUND(ROUND(J152, 2)*I152, 2)</f>
        <v>150259.73000000001</v>
      </c>
      <c r="N152" s="45"/>
      <c r="O152" s="45"/>
      <c r="P152" s="44">
        <v>324.5</v>
      </c>
      <c r="Q152" s="45"/>
      <c r="R152" s="45"/>
      <c r="S152" s="44">
        <f>ROUND(ROUND(P152, 2)*I152, 2)</f>
        <v>150259.73000000001</v>
      </c>
      <c r="T152" s="45"/>
      <c r="U152" s="46"/>
      <c r="V152" s="9">
        <f>ROUND(ROUND(P152, 2)/1.2, 2)</f>
        <v>270.42</v>
      </c>
      <c r="Y152" s="9">
        <f>ROUND(S152 / 1.2, 2)</f>
        <v>125216.44</v>
      </c>
      <c r="AD152" s="4" t="s">
        <v>469</v>
      </c>
      <c r="AE152" s="4" t="s">
        <v>466</v>
      </c>
      <c r="AF152" s="4" t="s">
        <v>467</v>
      </c>
    </row>
    <row r="153" spans="1:35" ht="36" x14ac:dyDescent="0.3">
      <c r="A153" s="17" t="s">
        <v>470</v>
      </c>
      <c r="B153" s="17" t="s">
        <v>471</v>
      </c>
      <c r="C153" s="18" t="s">
        <v>472</v>
      </c>
      <c r="D153" s="19"/>
      <c r="E153" s="19" t="s">
        <v>473</v>
      </c>
      <c r="F153" s="19" t="s">
        <v>91</v>
      </c>
      <c r="G153" s="20">
        <v>1</v>
      </c>
      <c r="H153" s="19"/>
      <c r="I153" s="21">
        <v>0</v>
      </c>
      <c r="J153" s="22">
        <v>2600.9299999999998</v>
      </c>
      <c r="K153" s="22">
        <v>2157</v>
      </c>
      <c r="L153" s="22">
        <f>J153+ROUND(K153, 2)</f>
        <v>4757.93</v>
      </c>
      <c r="M153" s="22">
        <v>0</v>
      </c>
      <c r="N153" s="22">
        <v>0</v>
      </c>
      <c r="O153" s="22">
        <f>M153+N153</f>
        <v>0</v>
      </c>
      <c r="P153" s="22">
        <v>2600.9299999999998</v>
      </c>
      <c r="Q153" s="22">
        <v>2157</v>
      </c>
      <c r="R153" s="22">
        <f>P153+ROUND(Q153, 2)</f>
        <v>4757.93</v>
      </c>
      <c r="S153" s="22">
        <v>0</v>
      </c>
      <c r="T153" s="22">
        <v>0</v>
      </c>
      <c r="U153" s="22">
        <f>S153+T153</f>
        <v>0</v>
      </c>
      <c r="V153" s="9">
        <f>ROUND(P153 / 1.2, 2)</f>
        <v>2167.44</v>
      </c>
      <c r="W153" s="9">
        <f>ROUND(Q153 / 1.2, 2)</f>
        <v>1797.5</v>
      </c>
      <c r="X153" s="9">
        <f>ROUND(R153 / 1.2, 2)</f>
        <v>3964.94</v>
      </c>
      <c r="Y153" s="9">
        <f>ROUND(S153 / 1.2, 2)</f>
        <v>0</v>
      </c>
      <c r="Z153" s="9">
        <f>ROUND(T153 / 1.2, 2)</f>
        <v>0</v>
      </c>
      <c r="AA153" s="9">
        <f>Y153+Z153</f>
        <v>0</v>
      </c>
      <c r="AD153" s="4">
        <v>320320100</v>
      </c>
      <c r="AE153" s="4">
        <v>26813847</v>
      </c>
      <c r="AG153" s="4" t="s">
        <v>474</v>
      </c>
      <c r="AH153" s="4" t="s">
        <v>475</v>
      </c>
      <c r="AI153" s="4" t="s">
        <v>338</v>
      </c>
    </row>
    <row r="154" spans="1:35" ht="36" x14ac:dyDescent="0.3">
      <c r="A154" s="23" t="s">
        <v>476</v>
      </c>
      <c r="B154" s="23" t="s">
        <v>471</v>
      </c>
      <c r="C154" s="24" t="s">
        <v>472</v>
      </c>
      <c r="D154" s="25"/>
      <c r="E154" s="25" t="s">
        <v>473</v>
      </c>
      <c r="F154" s="25" t="s">
        <v>91</v>
      </c>
      <c r="G154" s="26">
        <v>1</v>
      </c>
      <c r="H154" s="25"/>
      <c r="I154" s="26">
        <v>14.77</v>
      </c>
      <c r="J154" s="27">
        <v>2600.9299999999998</v>
      </c>
      <c r="K154" s="27">
        <v>2157</v>
      </c>
      <c r="L154" s="27">
        <v>2157</v>
      </c>
      <c r="M154" s="27">
        <v>38415.74</v>
      </c>
      <c r="N154" s="27">
        <v>31858.89</v>
      </c>
      <c r="O154" s="27"/>
      <c r="P154" s="27">
        <v>2600.9299999999998</v>
      </c>
      <c r="Q154" s="27">
        <v>2157</v>
      </c>
      <c r="R154" s="27">
        <v>2157</v>
      </c>
      <c r="S154" s="27">
        <v>38415.74</v>
      </c>
      <c r="T154" s="27">
        <v>31858.89</v>
      </c>
      <c r="U154" s="27"/>
      <c r="V154" s="9"/>
      <c r="W154" s="9">
        <f>ROUND(Q154 / 1.2, 2)</f>
        <v>1797.5</v>
      </c>
      <c r="X154" s="9">
        <f>ROUND(R154 / 1.2, 2)</f>
        <v>1797.5</v>
      </c>
      <c r="Y154" s="9"/>
      <c r="Z154" s="9">
        <f>ROUND(T154 / 1.2, 2)</f>
        <v>26549.08</v>
      </c>
      <c r="AA154" s="9"/>
      <c r="AD154" s="4">
        <v>315454859</v>
      </c>
      <c r="AE154" s="4">
        <v>26813847</v>
      </c>
      <c r="AG154" s="4" t="s">
        <v>474</v>
      </c>
      <c r="AH154" s="4" t="s">
        <v>475</v>
      </c>
      <c r="AI154" s="4"/>
    </row>
    <row r="155" spans="1:35" ht="18" x14ac:dyDescent="0.3">
      <c r="A155" s="17" t="s">
        <v>477</v>
      </c>
      <c r="B155" s="17"/>
      <c r="C155" s="34" t="s">
        <v>478</v>
      </c>
      <c r="D155" s="19"/>
      <c r="E155" s="19"/>
      <c r="F155" s="35" t="s">
        <v>91</v>
      </c>
      <c r="G155" s="36">
        <v>1.02</v>
      </c>
      <c r="H155" s="19"/>
      <c r="I155" s="37">
        <v>0</v>
      </c>
      <c r="J155" s="38">
        <v>2550</v>
      </c>
      <c r="K155" s="39"/>
      <c r="L155" s="39"/>
      <c r="M155" s="38">
        <f>ROUND(ROUND(J155, 2)*I155, 2)</f>
        <v>0</v>
      </c>
      <c r="N155" s="39"/>
      <c r="O155" s="39"/>
      <c r="P155" s="38">
        <v>2550</v>
      </c>
      <c r="Q155" s="39"/>
      <c r="R155" s="39"/>
      <c r="S155" s="38">
        <f>ROUND(ROUND(P155, 2)*I155, 2)</f>
        <v>0</v>
      </c>
      <c r="T155" s="39"/>
      <c r="U155" s="40"/>
      <c r="V155" s="9">
        <f>ROUND(ROUND(P155, 2)/1.2, 2)</f>
        <v>2125</v>
      </c>
      <c r="Y155" s="9">
        <f>ROUND(S155 / 1.2, 2)</f>
        <v>0</v>
      </c>
      <c r="AD155" s="4" t="s">
        <v>479</v>
      </c>
      <c r="AE155" s="4" t="s">
        <v>480</v>
      </c>
      <c r="AF155" s="4" t="s">
        <v>481</v>
      </c>
    </row>
    <row r="156" spans="1:35" ht="18" x14ac:dyDescent="0.3">
      <c r="A156" s="23" t="s">
        <v>482</v>
      </c>
      <c r="B156" s="23"/>
      <c r="C156" s="41" t="s">
        <v>478</v>
      </c>
      <c r="D156" s="25"/>
      <c r="E156" s="25"/>
      <c r="F156" s="42" t="s">
        <v>91</v>
      </c>
      <c r="G156" s="43">
        <v>1.02</v>
      </c>
      <c r="H156" s="25"/>
      <c r="I156" s="43">
        <v>15.065</v>
      </c>
      <c r="J156" s="44">
        <v>2550</v>
      </c>
      <c r="K156" s="45"/>
      <c r="L156" s="45"/>
      <c r="M156" s="44">
        <f>ROUND(ROUND(J156, 2)*I156, 2)</f>
        <v>38415.75</v>
      </c>
      <c r="N156" s="45"/>
      <c r="O156" s="45"/>
      <c r="P156" s="44">
        <v>2550</v>
      </c>
      <c r="Q156" s="45"/>
      <c r="R156" s="45"/>
      <c r="S156" s="44">
        <f>ROUND(ROUND(P156, 2)*I156, 2)</f>
        <v>38415.75</v>
      </c>
      <c r="T156" s="45"/>
      <c r="U156" s="46"/>
      <c r="V156" s="9">
        <f>ROUND(ROUND(P156, 2)/1.2, 2)</f>
        <v>2125</v>
      </c>
      <c r="Y156" s="9">
        <f>ROUND(S156 / 1.2, 2)</f>
        <v>32013.13</v>
      </c>
      <c r="AD156" s="4" t="s">
        <v>483</v>
      </c>
      <c r="AE156" s="4" t="s">
        <v>480</v>
      </c>
      <c r="AF156" s="4" t="s">
        <v>481</v>
      </c>
    </row>
    <row r="157" spans="1:35" ht="36" x14ac:dyDescent="0.3">
      <c r="A157" s="17" t="s">
        <v>484</v>
      </c>
      <c r="B157" s="17" t="s">
        <v>471</v>
      </c>
      <c r="C157" s="18" t="s">
        <v>472</v>
      </c>
      <c r="D157" s="19"/>
      <c r="E157" s="19" t="s">
        <v>485</v>
      </c>
      <c r="F157" s="19" t="s">
        <v>91</v>
      </c>
      <c r="G157" s="20">
        <v>1</v>
      </c>
      <c r="H157" s="19"/>
      <c r="I157" s="21">
        <v>0</v>
      </c>
      <c r="J157" s="22">
        <v>2601</v>
      </c>
      <c r="K157" s="22">
        <v>2157</v>
      </c>
      <c r="L157" s="22">
        <f>J157+ROUND(K157, 2)</f>
        <v>4758</v>
      </c>
      <c r="M157" s="22">
        <v>0</v>
      </c>
      <c r="N157" s="22">
        <v>0</v>
      </c>
      <c r="O157" s="22">
        <f>M157+N157</f>
        <v>0</v>
      </c>
      <c r="P157" s="22">
        <v>2601</v>
      </c>
      <c r="Q157" s="22">
        <v>2157</v>
      </c>
      <c r="R157" s="22">
        <f>P157+ROUND(Q157, 2)</f>
        <v>4758</v>
      </c>
      <c r="S157" s="22">
        <v>0</v>
      </c>
      <c r="T157" s="22">
        <v>0</v>
      </c>
      <c r="U157" s="22">
        <f>S157+T157</f>
        <v>0</v>
      </c>
      <c r="V157" s="9">
        <f>ROUND(P157 / 1.2, 2)</f>
        <v>2167.5</v>
      </c>
      <c r="W157" s="9">
        <f>ROUND(Q157 / 1.2, 2)</f>
        <v>1797.5</v>
      </c>
      <c r="X157" s="9">
        <f>ROUND(R157 / 1.2, 2)</f>
        <v>3965</v>
      </c>
      <c r="Y157" s="9">
        <f>ROUND(S157 / 1.2, 2)</f>
        <v>0</v>
      </c>
      <c r="Z157" s="9">
        <f>ROUND(T157 / 1.2, 2)</f>
        <v>0</v>
      </c>
      <c r="AA157" s="9">
        <f>Y157+Z157</f>
        <v>0</v>
      </c>
      <c r="AD157" s="4">
        <v>320320151</v>
      </c>
      <c r="AE157" s="4">
        <v>26813833</v>
      </c>
      <c r="AG157" s="4" t="s">
        <v>474</v>
      </c>
      <c r="AH157" s="4" t="s">
        <v>475</v>
      </c>
      <c r="AI157" s="4" t="s">
        <v>338</v>
      </c>
    </row>
    <row r="158" spans="1:35" ht="36" x14ac:dyDescent="0.3">
      <c r="A158" s="23" t="s">
        <v>486</v>
      </c>
      <c r="B158" s="23" t="s">
        <v>471</v>
      </c>
      <c r="C158" s="24" t="s">
        <v>472</v>
      </c>
      <c r="D158" s="25"/>
      <c r="E158" s="25" t="s">
        <v>485</v>
      </c>
      <c r="F158" s="25" t="s">
        <v>91</v>
      </c>
      <c r="G158" s="26">
        <v>1</v>
      </c>
      <c r="H158" s="25"/>
      <c r="I158" s="26">
        <v>520.76</v>
      </c>
      <c r="J158" s="27">
        <v>2601</v>
      </c>
      <c r="K158" s="27">
        <v>2157</v>
      </c>
      <c r="L158" s="27">
        <v>2157</v>
      </c>
      <c r="M158" s="27">
        <v>1354496.76</v>
      </c>
      <c r="N158" s="27">
        <v>1123279.32</v>
      </c>
      <c r="O158" s="27"/>
      <c r="P158" s="27">
        <v>2601</v>
      </c>
      <c r="Q158" s="27">
        <v>2157</v>
      </c>
      <c r="R158" s="27">
        <v>2157</v>
      </c>
      <c r="S158" s="27">
        <v>1354496.76</v>
      </c>
      <c r="T158" s="27">
        <v>1123279.32</v>
      </c>
      <c r="U158" s="27"/>
      <c r="V158" s="9"/>
      <c r="W158" s="9">
        <f>ROUND(Q158 / 1.2, 2)</f>
        <v>1797.5</v>
      </c>
      <c r="X158" s="9">
        <f>ROUND(R158 / 1.2, 2)</f>
        <v>1797.5</v>
      </c>
      <c r="Y158" s="9"/>
      <c r="Z158" s="9">
        <f>ROUND(T158 / 1.2, 2)</f>
        <v>936066.1</v>
      </c>
      <c r="AA158" s="9"/>
      <c r="AD158" s="4">
        <v>315454860</v>
      </c>
      <c r="AE158" s="4">
        <v>26813833</v>
      </c>
      <c r="AG158" s="4" t="s">
        <v>474</v>
      </c>
      <c r="AH158" s="4" t="s">
        <v>475</v>
      </c>
      <c r="AI158" s="4"/>
    </row>
    <row r="159" spans="1:35" ht="18" x14ac:dyDescent="0.3">
      <c r="A159" s="17" t="s">
        <v>487</v>
      </c>
      <c r="B159" s="17"/>
      <c r="C159" s="34" t="s">
        <v>478</v>
      </c>
      <c r="D159" s="19"/>
      <c r="E159" s="19"/>
      <c r="F159" s="35" t="s">
        <v>91</v>
      </c>
      <c r="G159" s="36">
        <v>1.02</v>
      </c>
      <c r="H159" s="19"/>
      <c r="I159" s="37">
        <v>0</v>
      </c>
      <c r="J159" s="38">
        <v>2550</v>
      </c>
      <c r="K159" s="39"/>
      <c r="L159" s="39"/>
      <c r="M159" s="38">
        <f>ROUND(ROUND(J159, 2)*I159, 2)</f>
        <v>0</v>
      </c>
      <c r="N159" s="39"/>
      <c r="O159" s="39"/>
      <c r="P159" s="38">
        <v>2550</v>
      </c>
      <c r="Q159" s="39"/>
      <c r="R159" s="39"/>
      <c r="S159" s="38">
        <f>ROUND(ROUND(P159, 2)*I159, 2)</f>
        <v>0</v>
      </c>
      <c r="T159" s="39"/>
      <c r="U159" s="40"/>
      <c r="V159" s="9">
        <f>ROUND(ROUND(P159, 2)/1.2, 2)</f>
        <v>2125</v>
      </c>
      <c r="Y159" s="9">
        <f>ROUND(S159 / 1.2, 2)</f>
        <v>0</v>
      </c>
      <c r="AD159" s="4" t="s">
        <v>488</v>
      </c>
      <c r="AE159" s="4" t="s">
        <v>489</v>
      </c>
      <c r="AF159" s="4" t="s">
        <v>481</v>
      </c>
    </row>
    <row r="160" spans="1:35" ht="18" x14ac:dyDescent="0.3">
      <c r="A160" s="23" t="s">
        <v>490</v>
      </c>
      <c r="B160" s="23"/>
      <c r="C160" s="41" t="s">
        <v>478</v>
      </c>
      <c r="D160" s="25"/>
      <c r="E160" s="25"/>
      <c r="F160" s="42" t="s">
        <v>91</v>
      </c>
      <c r="G160" s="43">
        <v>1.02</v>
      </c>
      <c r="H160" s="25"/>
      <c r="I160" s="43">
        <v>531.17499999999995</v>
      </c>
      <c r="J160" s="44">
        <v>2550</v>
      </c>
      <c r="K160" s="45"/>
      <c r="L160" s="45"/>
      <c r="M160" s="44">
        <f>ROUND(ROUND(J160, 2)*I160, 2)</f>
        <v>1354496.25</v>
      </c>
      <c r="N160" s="45"/>
      <c r="O160" s="45"/>
      <c r="P160" s="44">
        <v>2550</v>
      </c>
      <c r="Q160" s="45"/>
      <c r="R160" s="45"/>
      <c r="S160" s="44">
        <f>ROUND(ROUND(P160, 2)*I160, 2)</f>
        <v>1354496.25</v>
      </c>
      <c r="T160" s="45"/>
      <c r="U160" s="46"/>
      <c r="V160" s="9">
        <f>ROUND(ROUND(P160, 2)/1.2, 2)</f>
        <v>2125</v>
      </c>
      <c r="Y160" s="9">
        <f>ROUND(S160 / 1.2, 2)</f>
        <v>1128746.8799999999</v>
      </c>
      <c r="AD160" s="4" t="s">
        <v>491</v>
      </c>
      <c r="AE160" s="4" t="s">
        <v>489</v>
      </c>
      <c r="AF160" s="4" t="s">
        <v>481</v>
      </c>
    </row>
    <row r="161" spans="1:35" ht="36" x14ac:dyDescent="0.3">
      <c r="A161" s="17" t="s">
        <v>492</v>
      </c>
      <c r="B161" s="17" t="s">
        <v>471</v>
      </c>
      <c r="C161" s="18" t="s">
        <v>472</v>
      </c>
      <c r="D161" s="19"/>
      <c r="E161" s="19" t="s">
        <v>493</v>
      </c>
      <c r="F161" s="19" t="s">
        <v>91</v>
      </c>
      <c r="G161" s="20">
        <v>1</v>
      </c>
      <c r="H161" s="19"/>
      <c r="I161" s="21">
        <v>0</v>
      </c>
      <c r="J161" s="22">
        <v>2601.0100000000002</v>
      </c>
      <c r="K161" s="22">
        <v>2157</v>
      </c>
      <c r="L161" s="22">
        <f>J161+ROUND(K161, 2)</f>
        <v>4758.01</v>
      </c>
      <c r="M161" s="22">
        <v>0</v>
      </c>
      <c r="N161" s="22">
        <v>0</v>
      </c>
      <c r="O161" s="22">
        <f>M161+N161</f>
        <v>0</v>
      </c>
      <c r="P161" s="22">
        <v>2601.0100000000002</v>
      </c>
      <c r="Q161" s="22">
        <v>2157</v>
      </c>
      <c r="R161" s="22">
        <f>P161+ROUND(Q161, 2)</f>
        <v>4758.01</v>
      </c>
      <c r="S161" s="22">
        <v>0</v>
      </c>
      <c r="T161" s="22">
        <v>0</v>
      </c>
      <c r="U161" s="22">
        <f>S161+T161</f>
        <v>0</v>
      </c>
      <c r="V161" s="9">
        <f>ROUND(P161 / 1.2, 2)</f>
        <v>2167.5100000000002</v>
      </c>
      <c r="W161" s="9">
        <f>ROUND(Q161 / 1.2, 2)</f>
        <v>1797.5</v>
      </c>
      <c r="X161" s="9">
        <f>ROUND(R161 / 1.2, 2)</f>
        <v>3965.01</v>
      </c>
      <c r="Y161" s="9">
        <f>ROUND(S161 / 1.2, 2)</f>
        <v>0</v>
      </c>
      <c r="Z161" s="9">
        <f>ROUND(T161 / 1.2, 2)</f>
        <v>0</v>
      </c>
      <c r="AA161" s="9">
        <f>Y161+Z161</f>
        <v>0</v>
      </c>
      <c r="AD161" s="4">
        <v>320320152</v>
      </c>
      <c r="AE161" s="4">
        <v>26813841</v>
      </c>
      <c r="AG161" s="4" t="s">
        <v>474</v>
      </c>
      <c r="AH161" s="4" t="s">
        <v>475</v>
      </c>
      <c r="AI161" s="4" t="s">
        <v>338</v>
      </c>
    </row>
    <row r="162" spans="1:35" ht="36" x14ac:dyDescent="0.3">
      <c r="A162" s="23" t="s">
        <v>494</v>
      </c>
      <c r="B162" s="23" t="s">
        <v>471</v>
      </c>
      <c r="C162" s="24" t="s">
        <v>472</v>
      </c>
      <c r="D162" s="25"/>
      <c r="E162" s="25" t="s">
        <v>493</v>
      </c>
      <c r="F162" s="25" t="s">
        <v>91</v>
      </c>
      <c r="G162" s="26">
        <v>1</v>
      </c>
      <c r="H162" s="25"/>
      <c r="I162" s="26">
        <v>53.99</v>
      </c>
      <c r="J162" s="27">
        <v>2601.0100000000002</v>
      </c>
      <c r="K162" s="27">
        <v>2157</v>
      </c>
      <c r="L162" s="27">
        <v>2157</v>
      </c>
      <c r="M162" s="27">
        <v>140428.53</v>
      </c>
      <c r="N162" s="27">
        <v>116456.43</v>
      </c>
      <c r="O162" s="27"/>
      <c r="P162" s="27">
        <v>2601.0100000000002</v>
      </c>
      <c r="Q162" s="27">
        <v>2157</v>
      </c>
      <c r="R162" s="27">
        <v>2157</v>
      </c>
      <c r="S162" s="27">
        <v>140428.53</v>
      </c>
      <c r="T162" s="27">
        <v>116456.43</v>
      </c>
      <c r="U162" s="27"/>
      <c r="V162" s="9"/>
      <c r="W162" s="9">
        <f>ROUND(Q162 / 1.2, 2)</f>
        <v>1797.5</v>
      </c>
      <c r="X162" s="9">
        <f>ROUND(R162 / 1.2, 2)</f>
        <v>1797.5</v>
      </c>
      <c r="Y162" s="9"/>
      <c r="Z162" s="9">
        <f>ROUND(T162 / 1.2, 2)</f>
        <v>97047.03</v>
      </c>
      <c r="AA162" s="9"/>
      <c r="AD162" s="4">
        <v>315454861</v>
      </c>
      <c r="AE162" s="4">
        <v>26813841</v>
      </c>
      <c r="AG162" s="4" t="s">
        <v>474</v>
      </c>
      <c r="AH162" s="4" t="s">
        <v>475</v>
      </c>
      <c r="AI162" s="4"/>
    </row>
    <row r="163" spans="1:35" ht="18" x14ac:dyDescent="0.3">
      <c r="A163" s="17" t="s">
        <v>495</v>
      </c>
      <c r="B163" s="17"/>
      <c r="C163" s="34" t="s">
        <v>478</v>
      </c>
      <c r="D163" s="19"/>
      <c r="E163" s="19"/>
      <c r="F163" s="35" t="s">
        <v>91</v>
      </c>
      <c r="G163" s="36">
        <v>1.02</v>
      </c>
      <c r="H163" s="19"/>
      <c r="I163" s="37">
        <v>0</v>
      </c>
      <c r="J163" s="38">
        <v>2550</v>
      </c>
      <c r="K163" s="39"/>
      <c r="L163" s="39"/>
      <c r="M163" s="38">
        <f>ROUND(ROUND(J163, 2)*I163, 2)</f>
        <v>0</v>
      </c>
      <c r="N163" s="39"/>
      <c r="O163" s="39"/>
      <c r="P163" s="38">
        <v>2550</v>
      </c>
      <c r="Q163" s="39"/>
      <c r="R163" s="39"/>
      <c r="S163" s="38">
        <f>ROUND(ROUND(P163, 2)*I163, 2)</f>
        <v>0</v>
      </c>
      <c r="T163" s="39"/>
      <c r="U163" s="40"/>
      <c r="V163" s="9">
        <f>ROUND(ROUND(P163, 2)/1.2, 2)</f>
        <v>2125</v>
      </c>
      <c r="Y163" s="9">
        <f>ROUND(S163 / 1.2, 2)</f>
        <v>0</v>
      </c>
      <c r="AD163" s="4" t="s">
        <v>496</v>
      </c>
      <c r="AE163" s="4" t="s">
        <v>497</v>
      </c>
      <c r="AF163" s="4" t="s">
        <v>481</v>
      </c>
    </row>
    <row r="164" spans="1:35" ht="18" x14ac:dyDescent="0.3">
      <c r="A164" s="23" t="s">
        <v>498</v>
      </c>
      <c r="B164" s="23"/>
      <c r="C164" s="41" t="s">
        <v>478</v>
      </c>
      <c r="D164" s="25"/>
      <c r="E164" s="25"/>
      <c r="F164" s="42" t="s">
        <v>91</v>
      </c>
      <c r="G164" s="43">
        <v>1.02</v>
      </c>
      <c r="H164" s="25"/>
      <c r="I164" s="43">
        <v>55.07</v>
      </c>
      <c r="J164" s="44">
        <v>2550</v>
      </c>
      <c r="K164" s="45"/>
      <c r="L164" s="45"/>
      <c r="M164" s="44">
        <f>ROUND(ROUND(J164, 2)*I164, 2)</f>
        <v>140428.5</v>
      </c>
      <c r="N164" s="45"/>
      <c r="O164" s="45"/>
      <c r="P164" s="44">
        <v>2550</v>
      </c>
      <c r="Q164" s="45"/>
      <c r="R164" s="45"/>
      <c r="S164" s="44">
        <f>ROUND(ROUND(P164, 2)*I164, 2)</f>
        <v>140428.5</v>
      </c>
      <c r="T164" s="45"/>
      <c r="U164" s="46"/>
      <c r="V164" s="9">
        <f>ROUND(ROUND(P164, 2)/1.2, 2)</f>
        <v>2125</v>
      </c>
      <c r="Y164" s="9">
        <f>ROUND(S164 / 1.2, 2)</f>
        <v>117023.75</v>
      </c>
      <c r="AD164" s="4" t="s">
        <v>499</v>
      </c>
      <c r="AE164" s="4" t="s">
        <v>497</v>
      </c>
      <c r="AF164" s="4" t="s">
        <v>481</v>
      </c>
    </row>
    <row r="165" spans="1:35" ht="36" x14ac:dyDescent="0.3">
      <c r="A165" s="17" t="s">
        <v>500</v>
      </c>
      <c r="B165" s="17" t="s">
        <v>471</v>
      </c>
      <c r="C165" s="18" t="s">
        <v>472</v>
      </c>
      <c r="D165" s="19"/>
      <c r="E165" s="19" t="s">
        <v>501</v>
      </c>
      <c r="F165" s="19" t="s">
        <v>91</v>
      </c>
      <c r="G165" s="20">
        <v>1</v>
      </c>
      <c r="H165" s="19"/>
      <c r="I165" s="21">
        <v>0</v>
      </c>
      <c r="J165" s="22">
        <v>2600.81</v>
      </c>
      <c r="K165" s="22">
        <v>2157</v>
      </c>
      <c r="L165" s="22">
        <f>J165+ROUND(K165, 2)</f>
        <v>4757.8099999999995</v>
      </c>
      <c r="M165" s="22">
        <v>0</v>
      </c>
      <c r="N165" s="22">
        <v>0</v>
      </c>
      <c r="O165" s="22">
        <f>M165+N165</f>
        <v>0</v>
      </c>
      <c r="P165" s="22">
        <v>2600.81</v>
      </c>
      <c r="Q165" s="22">
        <v>2157</v>
      </c>
      <c r="R165" s="22">
        <f>P165+ROUND(Q165, 2)</f>
        <v>4757.8099999999995</v>
      </c>
      <c r="S165" s="22">
        <v>0</v>
      </c>
      <c r="T165" s="22">
        <v>0</v>
      </c>
      <c r="U165" s="22">
        <f>S165+T165</f>
        <v>0</v>
      </c>
      <c r="V165" s="9">
        <f>ROUND(P165 / 1.2, 2)</f>
        <v>2167.34</v>
      </c>
      <c r="W165" s="9">
        <f>ROUND(Q165 / 1.2, 2)</f>
        <v>1797.5</v>
      </c>
      <c r="X165" s="9">
        <f>ROUND(R165 / 1.2, 2)</f>
        <v>3964.84</v>
      </c>
      <c r="Y165" s="9">
        <f>ROUND(S165 / 1.2, 2)</f>
        <v>0</v>
      </c>
      <c r="Z165" s="9">
        <f>ROUND(T165 / 1.2, 2)</f>
        <v>0</v>
      </c>
      <c r="AA165" s="9">
        <f>Y165+Z165</f>
        <v>0</v>
      </c>
      <c r="AD165" s="4">
        <v>320320153</v>
      </c>
      <c r="AE165" s="4">
        <v>26813835</v>
      </c>
      <c r="AG165" s="4" t="s">
        <v>474</v>
      </c>
      <c r="AH165" s="4" t="s">
        <v>475</v>
      </c>
      <c r="AI165" s="4" t="s">
        <v>338</v>
      </c>
    </row>
    <row r="166" spans="1:35" ht="36" x14ac:dyDescent="0.3">
      <c r="A166" s="23" t="s">
        <v>502</v>
      </c>
      <c r="B166" s="23" t="s">
        <v>471</v>
      </c>
      <c r="C166" s="24" t="s">
        <v>472</v>
      </c>
      <c r="D166" s="25"/>
      <c r="E166" s="25" t="s">
        <v>501</v>
      </c>
      <c r="F166" s="25" t="s">
        <v>91</v>
      </c>
      <c r="G166" s="26">
        <v>1</v>
      </c>
      <c r="H166" s="25"/>
      <c r="I166" s="26">
        <v>2.71</v>
      </c>
      <c r="J166" s="27">
        <v>2600.81</v>
      </c>
      <c r="K166" s="27">
        <v>2157</v>
      </c>
      <c r="L166" s="27">
        <v>2157</v>
      </c>
      <c r="M166" s="27">
        <v>7048.2</v>
      </c>
      <c r="N166" s="27">
        <v>5845.47</v>
      </c>
      <c r="O166" s="27"/>
      <c r="P166" s="27">
        <v>2600.81</v>
      </c>
      <c r="Q166" s="27">
        <v>2157</v>
      </c>
      <c r="R166" s="27">
        <v>2157</v>
      </c>
      <c r="S166" s="27">
        <v>7048.2</v>
      </c>
      <c r="T166" s="27">
        <v>5845.47</v>
      </c>
      <c r="U166" s="27"/>
      <c r="V166" s="9"/>
      <c r="W166" s="9">
        <f>ROUND(Q166 / 1.2, 2)</f>
        <v>1797.5</v>
      </c>
      <c r="X166" s="9">
        <f>ROUND(R166 / 1.2, 2)</f>
        <v>1797.5</v>
      </c>
      <c r="Y166" s="9"/>
      <c r="Z166" s="9">
        <f>ROUND(T166 / 1.2, 2)</f>
        <v>4871.2299999999996</v>
      </c>
      <c r="AA166" s="9"/>
      <c r="AD166" s="4">
        <v>315454862</v>
      </c>
      <c r="AE166" s="4">
        <v>26813835</v>
      </c>
      <c r="AG166" s="4" t="s">
        <v>474</v>
      </c>
      <c r="AH166" s="4" t="s">
        <v>475</v>
      </c>
      <c r="AI166" s="4"/>
    </row>
    <row r="167" spans="1:35" ht="18" x14ac:dyDescent="0.3">
      <c r="A167" s="17" t="s">
        <v>503</v>
      </c>
      <c r="B167" s="17"/>
      <c r="C167" s="34" t="s">
        <v>478</v>
      </c>
      <c r="D167" s="19"/>
      <c r="E167" s="19"/>
      <c r="F167" s="35" t="s">
        <v>91</v>
      </c>
      <c r="G167" s="36">
        <v>1.02</v>
      </c>
      <c r="H167" s="19"/>
      <c r="I167" s="37">
        <v>0</v>
      </c>
      <c r="J167" s="38">
        <v>2550</v>
      </c>
      <c r="K167" s="39"/>
      <c r="L167" s="39"/>
      <c r="M167" s="38">
        <f>ROUND(ROUND(J167, 2)*I167, 2)</f>
        <v>0</v>
      </c>
      <c r="N167" s="39"/>
      <c r="O167" s="39"/>
      <c r="P167" s="38">
        <v>2550</v>
      </c>
      <c r="Q167" s="39"/>
      <c r="R167" s="39"/>
      <c r="S167" s="38">
        <f>ROUND(ROUND(P167, 2)*I167, 2)</f>
        <v>0</v>
      </c>
      <c r="T167" s="39"/>
      <c r="U167" s="40"/>
      <c r="V167" s="9">
        <f>ROUND(ROUND(P167, 2)/1.2, 2)</f>
        <v>2125</v>
      </c>
      <c r="Y167" s="9">
        <f>ROUND(S167 / 1.2, 2)</f>
        <v>0</v>
      </c>
      <c r="AD167" s="4" t="s">
        <v>504</v>
      </c>
      <c r="AE167" s="4" t="s">
        <v>505</v>
      </c>
      <c r="AF167" s="4" t="s">
        <v>481</v>
      </c>
    </row>
    <row r="168" spans="1:35" ht="18" x14ac:dyDescent="0.3">
      <c r="A168" s="23" t="s">
        <v>506</v>
      </c>
      <c r="B168" s="23"/>
      <c r="C168" s="41" t="s">
        <v>478</v>
      </c>
      <c r="D168" s="25"/>
      <c r="E168" s="25"/>
      <c r="F168" s="42" t="s">
        <v>91</v>
      </c>
      <c r="G168" s="43">
        <v>1.02</v>
      </c>
      <c r="H168" s="25"/>
      <c r="I168" s="43">
        <v>2.7639999999999998</v>
      </c>
      <c r="J168" s="44">
        <v>2550</v>
      </c>
      <c r="K168" s="45"/>
      <c r="L168" s="45"/>
      <c r="M168" s="44">
        <f>ROUND(ROUND(J168, 2)*I168, 2)</f>
        <v>7048.2</v>
      </c>
      <c r="N168" s="45"/>
      <c r="O168" s="45"/>
      <c r="P168" s="44">
        <v>2550</v>
      </c>
      <c r="Q168" s="45"/>
      <c r="R168" s="45"/>
      <c r="S168" s="44">
        <f>ROUND(ROUND(P168, 2)*I168, 2)</f>
        <v>7048.2</v>
      </c>
      <c r="T168" s="45"/>
      <c r="U168" s="46"/>
      <c r="V168" s="9">
        <f>ROUND(ROUND(P168, 2)/1.2, 2)</f>
        <v>2125</v>
      </c>
      <c r="Y168" s="9">
        <f>ROUND(S168 / 1.2, 2)</f>
        <v>5873.5</v>
      </c>
      <c r="AD168" s="4" t="s">
        <v>507</v>
      </c>
      <c r="AE168" s="4" t="s">
        <v>505</v>
      </c>
      <c r="AF168" s="4" t="s">
        <v>481</v>
      </c>
    </row>
    <row r="169" spans="1:35" ht="54" x14ac:dyDescent="0.3">
      <c r="A169" s="17" t="s">
        <v>508</v>
      </c>
      <c r="B169" s="17" t="s">
        <v>471</v>
      </c>
      <c r="C169" s="18" t="s">
        <v>472</v>
      </c>
      <c r="D169" s="19"/>
      <c r="E169" s="19" t="s">
        <v>509</v>
      </c>
      <c r="F169" s="19" t="s">
        <v>91</v>
      </c>
      <c r="G169" s="20">
        <v>1</v>
      </c>
      <c r="H169" s="19"/>
      <c r="I169" s="21">
        <v>0</v>
      </c>
      <c r="J169" s="22">
        <v>2600.9899999999998</v>
      </c>
      <c r="K169" s="22">
        <v>2157</v>
      </c>
      <c r="L169" s="22">
        <f>J169+ROUND(K169, 2)</f>
        <v>4757.99</v>
      </c>
      <c r="M169" s="22">
        <v>0</v>
      </c>
      <c r="N169" s="22">
        <v>0</v>
      </c>
      <c r="O169" s="22">
        <f>M169+N169</f>
        <v>0</v>
      </c>
      <c r="P169" s="22">
        <v>2600.9899999999998</v>
      </c>
      <c r="Q169" s="22">
        <v>2157</v>
      </c>
      <c r="R169" s="22">
        <f>P169+ROUND(Q169, 2)</f>
        <v>4757.99</v>
      </c>
      <c r="S169" s="22">
        <v>0</v>
      </c>
      <c r="T169" s="22">
        <v>0</v>
      </c>
      <c r="U169" s="22">
        <f>S169+T169</f>
        <v>0</v>
      </c>
      <c r="V169" s="9">
        <f>ROUND(P169 / 1.2, 2)</f>
        <v>2167.4899999999998</v>
      </c>
      <c r="W169" s="9">
        <f>ROUND(Q169 / 1.2, 2)</f>
        <v>1797.5</v>
      </c>
      <c r="X169" s="9">
        <f>ROUND(R169 / 1.2, 2)</f>
        <v>3964.99</v>
      </c>
      <c r="Y169" s="9">
        <f>ROUND(S169 / 1.2, 2)</f>
        <v>0</v>
      </c>
      <c r="Z169" s="9">
        <f>ROUND(T169 / 1.2, 2)</f>
        <v>0</v>
      </c>
      <c r="AA169" s="9">
        <f>Y169+Z169</f>
        <v>0</v>
      </c>
      <c r="AD169" s="4">
        <v>320320154</v>
      </c>
      <c r="AE169" s="4">
        <v>26813850</v>
      </c>
      <c r="AG169" s="4" t="s">
        <v>474</v>
      </c>
      <c r="AH169" s="4" t="s">
        <v>475</v>
      </c>
      <c r="AI169" s="4" t="s">
        <v>338</v>
      </c>
    </row>
    <row r="170" spans="1:35" ht="54" x14ac:dyDescent="0.3">
      <c r="A170" s="23" t="s">
        <v>510</v>
      </c>
      <c r="B170" s="23" t="s">
        <v>471</v>
      </c>
      <c r="C170" s="24" t="s">
        <v>472</v>
      </c>
      <c r="D170" s="25"/>
      <c r="E170" s="25" t="s">
        <v>509</v>
      </c>
      <c r="F170" s="25" t="s">
        <v>91</v>
      </c>
      <c r="G170" s="26">
        <v>1</v>
      </c>
      <c r="H170" s="25"/>
      <c r="I170" s="26">
        <v>159.52000000000001</v>
      </c>
      <c r="J170" s="27">
        <v>2600.9899999999998</v>
      </c>
      <c r="K170" s="27">
        <v>2157</v>
      </c>
      <c r="L170" s="27">
        <v>2157</v>
      </c>
      <c r="M170" s="27">
        <v>414909.92</v>
      </c>
      <c r="N170" s="27">
        <v>344084.64</v>
      </c>
      <c r="O170" s="27"/>
      <c r="P170" s="27">
        <v>2600.9899999999998</v>
      </c>
      <c r="Q170" s="27">
        <v>2157</v>
      </c>
      <c r="R170" s="27">
        <v>2157</v>
      </c>
      <c r="S170" s="27">
        <v>414909.92</v>
      </c>
      <c r="T170" s="27">
        <v>344084.64</v>
      </c>
      <c r="U170" s="27"/>
      <c r="V170" s="9"/>
      <c r="W170" s="9">
        <f>ROUND(Q170 / 1.2, 2)</f>
        <v>1797.5</v>
      </c>
      <c r="X170" s="9">
        <f>ROUND(R170 / 1.2, 2)</f>
        <v>1797.5</v>
      </c>
      <c r="Y170" s="9"/>
      <c r="Z170" s="9">
        <f>ROUND(T170 / 1.2, 2)</f>
        <v>286737.2</v>
      </c>
      <c r="AA170" s="9"/>
      <c r="AD170" s="4">
        <v>315454863</v>
      </c>
      <c r="AE170" s="4">
        <v>26813850</v>
      </c>
      <c r="AG170" s="4" t="s">
        <v>474</v>
      </c>
      <c r="AH170" s="4" t="s">
        <v>475</v>
      </c>
      <c r="AI170" s="4"/>
    </row>
    <row r="171" spans="1:35" ht="18" x14ac:dyDescent="0.3">
      <c r="A171" s="17" t="s">
        <v>511</v>
      </c>
      <c r="B171" s="17"/>
      <c r="C171" s="34" t="s">
        <v>478</v>
      </c>
      <c r="D171" s="19"/>
      <c r="E171" s="19"/>
      <c r="F171" s="35" t="s">
        <v>91</v>
      </c>
      <c r="G171" s="36">
        <v>1.02</v>
      </c>
      <c r="H171" s="19"/>
      <c r="I171" s="37">
        <v>0</v>
      </c>
      <c r="J171" s="38">
        <v>2550</v>
      </c>
      <c r="K171" s="39"/>
      <c r="L171" s="39"/>
      <c r="M171" s="38">
        <f>ROUND(ROUND(J171, 2)*I171, 2)</f>
        <v>0</v>
      </c>
      <c r="N171" s="39"/>
      <c r="O171" s="39"/>
      <c r="P171" s="38">
        <v>2550</v>
      </c>
      <c r="Q171" s="39"/>
      <c r="R171" s="39"/>
      <c r="S171" s="38">
        <f>ROUND(ROUND(P171, 2)*I171, 2)</f>
        <v>0</v>
      </c>
      <c r="T171" s="39"/>
      <c r="U171" s="40"/>
      <c r="V171" s="9">
        <f>ROUND(ROUND(P171, 2)/1.2, 2)</f>
        <v>2125</v>
      </c>
      <c r="Y171" s="9">
        <f>ROUND(S171 / 1.2, 2)</f>
        <v>0</v>
      </c>
      <c r="AD171" s="4" t="s">
        <v>512</v>
      </c>
      <c r="AE171" s="4" t="s">
        <v>513</v>
      </c>
      <c r="AF171" s="4" t="s">
        <v>481</v>
      </c>
    </row>
    <row r="172" spans="1:35" ht="18" x14ac:dyDescent="0.3">
      <c r="A172" s="23" t="s">
        <v>514</v>
      </c>
      <c r="B172" s="23"/>
      <c r="C172" s="41" t="s">
        <v>478</v>
      </c>
      <c r="D172" s="25"/>
      <c r="E172" s="25"/>
      <c r="F172" s="42" t="s">
        <v>91</v>
      </c>
      <c r="G172" s="43">
        <v>1.02</v>
      </c>
      <c r="H172" s="25"/>
      <c r="I172" s="43">
        <v>162.71</v>
      </c>
      <c r="J172" s="44">
        <v>2550</v>
      </c>
      <c r="K172" s="45"/>
      <c r="L172" s="45"/>
      <c r="M172" s="44">
        <f>ROUND(ROUND(J172, 2)*I172, 2)</f>
        <v>414910.5</v>
      </c>
      <c r="N172" s="45"/>
      <c r="O172" s="45"/>
      <c r="P172" s="44">
        <v>2550</v>
      </c>
      <c r="Q172" s="45"/>
      <c r="R172" s="45"/>
      <c r="S172" s="44">
        <f>ROUND(ROUND(P172, 2)*I172, 2)</f>
        <v>414910.5</v>
      </c>
      <c r="T172" s="45"/>
      <c r="U172" s="46"/>
      <c r="V172" s="9">
        <f>ROUND(ROUND(P172, 2)/1.2, 2)</f>
        <v>2125</v>
      </c>
      <c r="Y172" s="9">
        <f>ROUND(S172 / 1.2, 2)</f>
        <v>345758.75</v>
      </c>
      <c r="AD172" s="4" t="s">
        <v>515</v>
      </c>
      <c r="AE172" s="4" t="s">
        <v>513</v>
      </c>
      <c r="AF172" s="4" t="s">
        <v>481</v>
      </c>
    </row>
    <row r="173" spans="1:35" ht="36" x14ac:dyDescent="0.3">
      <c r="A173" s="17" t="s">
        <v>516</v>
      </c>
      <c r="B173" s="17" t="s">
        <v>471</v>
      </c>
      <c r="C173" s="18" t="s">
        <v>472</v>
      </c>
      <c r="D173" s="19"/>
      <c r="E173" s="19" t="s">
        <v>517</v>
      </c>
      <c r="F173" s="19" t="s">
        <v>91</v>
      </c>
      <c r="G173" s="20">
        <v>1</v>
      </c>
      <c r="H173" s="19"/>
      <c r="I173" s="21">
        <v>0</v>
      </c>
      <c r="J173" s="22">
        <v>2600.84</v>
      </c>
      <c r="K173" s="22">
        <v>2157</v>
      </c>
      <c r="L173" s="22">
        <f>J173+ROUND(K173, 2)</f>
        <v>4757.84</v>
      </c>
      <c r="M173" s="22">
        <v>0</v>
      </c>
      <c r="N173" s="22">
        <v>0</v>
      </c>
      <c r="O173" s="22">
        <f>M173+N173</f>
        <v>0</v>
      </c>
      <c r="P173" s="22">
        <v>2600.84</v>
      </c>
      <c r="Q173" s="22">
        <v>2157</v>
      </c>
      <c r="R173" s="22">
        <f>P173+ROUND(Q173, 2)</f>
        <v>4757.84</v>
      </c>
      <c r="S173" s="22">
        <v>0</v>
      </c>
      <c r="T173" s="22">
        <v>0</v>
      </c>
      <c r="U173" s="22">
        <f>S173+T173</f>
        <v>0</v>
      </c>
      <c r="V173" s="9">
        <f>ROUND(P173 / 1.2, 2)</f>
        <v>2167.37</v>
      </c>
      <c r="W173" s="9">
        <f>ROUND(Q173 / 1.2, 2)</f>
        <v>1797.5</v>
      </c>
      <c r="X173" s="9">
        <f>ROUND(R173 / 1.2, 2)</f>
        <v>3964.87</v>
      </c>
      <c r="Y173" s="9">
        <f>ROUND(S173 / 1.2, 2)</f>
        <v>0</v>
      </c>
      <c r="Z173" s="9">
        <f>ROUND(T173 / 1.2, 2)</f>
        <v>0</v>
      </c>
      <c r="AA173" s="9">
        <f>Y173+Z173</f>
        <v>0</v>
      </c>
      <c r="AD173" s="4">
        <v>320320155</v>
      </c>
      <c r="AE173" s="4">
        <v>26813836</v>
      </c>
      <c r="AG173" s="4" t="s">
        <v>474</v>
      </c>
      <c r="AH173" s="4" t="s">
        <v>475</v>
      </c>
      <c r="AI173" s="4" t="s">
        <v>338</v>
      </c>
    </row>
    <row r="174" spans="1:35" ht="36" x14ac:dyDescent="0.3">
      <c r="A174" s="23" t="s">
        <v>518</v>
      </c>
      <c r="B174" s="23" t="s">
        <v>471</v>
      </c>
      <c r="C174" s="24" t="s">
        <v>472</v>
      </c>
      <c r="D174" s="25"/>
      <c r="E174" s="25" t="s">
        <v>517</v>
      </c>
      <c r="F174" s="25" t="s">
        <v>91</v>
      </c>
      <c r="G174" s="26">
        <v>1</v>
      </c>
      <c r="H174" s="25"/>
      <c r="I174" s="26">
        <v>6.57</v>
      </c>
      <c r="J174" s="27">
        <v>2600.84</v>
      </c>
      <c r="K174" s="27">
        <v>2157</v>
      </c>
      <c r="L174" s="27">
        <v>2157</v>
      </c>
      <c r="M174" s="27">
        <v>17087.52</v>
      </c>
      <c r="N174" s="27">
        <v>14171.49</v>
      </c>
      <c r="O174" s="27"/>
      <c r="P174" s="27">
        <v>2600.84</v>
      </c>
      <c r="Q174" s="27">
        <v>2157</v>
      </c>
      <c r="R174" s="27">
        <v>2157</v>
      </c>
      <c r="S174" s="27">
        <v>17087.52</v>
      </c>
      <c r="T174" s="27">
        <v>14171.49</v>
      </c>
      <c r="U174" s="27"/>
      <c r="V174" s="9"/>
      <c r="W174" s="9">
        <f>ROUND(Q174 / 1.2, 2)</f>
        <v>1797.5</v>
      </c>
      <c r="X174" s="9">
        <f>ROUND(R174 / 1.2, 2)</f>
        <v>1797.5</v>
      </c>
      <c r="Y174" s="9"/>
      <c r="Z174" s="9">
        <f>ROUND(T174 / 1.2, 2)</f>
        <v>11809.58</v>
      </c>
      <c r="AA174" s="9"/>
      <c r="AD174" s="4">
        <v>315454864</v>
      </c>
      <c r="AE174" s="4">
        <v>26813836</v>
      </c>
      <c r="AG174" s="4" t="s">
        <v>474</v>
      </c>
      <c r="AH174" s="4" t="s">
        <v>475</v>
      </c>
      <c r="AI174" s="4"/>
    </row>
    <row r="175" spans="1:35" ht="18" x14ac:dyDescent="0.3">
      <c r="A175" s="17" t="s">
        <v>519</v>
      </c>
      <c r="B175" s="17"/>
      <c r="C175" s="34" t="s">
        <v>478</v>
      </c>
      <c r="D175" s="19"/>
      <c r="E175" s="19"/>
      <c r="F175" s="35" t="s">
        <v>91</v>
      </c>
      <c r="G175" s="36">
        <v>1.02</v>
      </c>
      <c r="H175" s="19"/>
      <c r="I175" s="37">
        <v>0</v>
      </c>
      <c r="J175" s="38">
        <v>2550</v>
      </c>
      <c r="K175" s="39"/>
      <c r="L175" s="39"/>
      <c r="M175" s="38">
        <f>ROUND(ROUND(J175, 2)*I175, 2)</f>
        <v>0</v>
      </c>
      <c r="N175" s="39"/>
      <c r="O175" s="39"/>
      <c r="P175" s="38">
        <v>2550</v>
      </c>
      <c r="Q175" s="39"/>
      <c r="R175" s="39"/>
      <c r="S175" s="38">
        <f>ROUND(ROUND(P175, 2)*I175, 2)</f>
        <v>0</v>
      </c>
      <c r="T175" s="39"/>
      <c r="U175" s="40"/>
      <c r="V175" s="9">
        <f>ROUND(ROUND(P175, 2)/1.2, 2)</f>
        <v>2125</v>
      </c>
      <c r="Y175" s="9">
        <f>ROUND(S175 / 1.2, 2)</f>
        <v>0</v>
      </c>
      <c r="AD175" s="4" t="s">
        <v>520</v>
      </c>
      <c r="AE175" s="4" t="s">
        <v>521</v>
      </c>
      <c r="AF175" s="4" t="s">
        <v>481</v>
      </c>
    </row>
    <row r="176" spans="1:35" ht="18" x14ac:dyDescent="0.3">
      <c r="A176" s="23" t="s">
        <v>522</v>
      </c>
      <c r="B176" s="23"/>
      <c r="C176" s="41" t="s">
        <v>478</v>
      </c>
      <c r="D176" s="25"/>
      <c r="E176" s="25"/>
      <c r="F176" s="42" t="s">
        <v>91</v>
      </c>
      <c r="G176" s="43">
        <v>1.02</v>
      </c>
      <c r="H176" s="25"/>
      <c r="I176" s="43">
        <v>6.7009999999999996</v>
      </c>
      <c r="J176" s="44">
        <v>2550</v>
      </c>
      <c r="K176" s="45"/>
      <c r="L176" s="45"/>
      <c r="M176" s="44">
        <f>ROUND(ROUND(J176, 2)*I176, 2)</f>
        <v>17087.55</v>
      </c>
      <c r="N176" s="45"/>
      <c r="O176" s="45"/>
      <c r="P176" s="44">
        <v>2550</v>
      </c>
      <c r="Q176" s="45"/>
      <c r="R176" s="45"/>
      <c r="S176" s="44">
        <f>ROUND(ROUND(P176, 2)*I176, 2)</f>
        <v>17087.55</v>
      </c>
      <c r="T176" s="45"/>
      <c r="U176" s="46"/>
      <c r="V176" s="9">
        <f>ROUND(ROUND(P176, 2)/1.2, 2)</f>
        <v>2125</v>
      </c>
      <c r="Y176" s="9">
        <f>ROUND(S176 / 1.2, 2)</f>
        <v>14239.63</v>
      </c>
      <c r="AD176" s="4" t="s">
        <v>523</v>
      </c>
      <c r="AE176" s="4" t="s">
        <v>521</v>
      </c>
      <c r="AF176" s="4" t="s">
        <v>481</v>
      </c>
    </row>
    <row r="177" spans="1:35" ht="18" x14ac:dyDescent="0.3">
      <c r="A177" s="17" t="s">
        <v>524</v>
      </c>
      <c r="B177" s="17" t="s">
        <v>525</v>
      </c>
      <c r="C177" s="18" t="s">
        <v>526</v>
      </c>
      <c r="D177" s="19"/>
      <c r="E177" s="19"/>
      <c r="F177" s="19" t="s">
        <v>91</v>
      </c>
      <c r="G177" s="20">
        <v>1</v>
      </c>
      <c r="H177" s="19"/>
      <c r="I177" s="21">
        <v>0</v>
      </c>
      <c r="J177" s="22">
        <v>1687.5</v>
      </c>
      <c r="K177" s="22">
        <v>915</v>
      </c>
      <c r="L177" s="22">
        <f>J177+ROUND(K177, 2)</f>
        <v>2602.5</v>
      </c>
      <c r="M177" s="22">
        <v>0</v>
      </c>
      <c r="N177" s="22">
        <v>0</v>
      </c>
      <c r="O177" s="22">
        <f>M177+N177</f>
        <v>0</v>
      </c>
      <c r="P177" s="22">
        <v>1687.5</v>
      </c>
      <c r="Q177" s="22">
        <v>915</v>
      </c>
      <c r="R177" s="22">
        <f>P177+ROUND(Q177, 2)</f>
        <v>2602.5</v>
      </c>
      <c r="S177" s="22">
        <v>0</v>
      </c>
      <c r="T177" s="22">
        <v>0</v>
      </c>
      <c r="U177" s="22">
        <f>S177+T177</f>
        <v>0</v>
      </c>
      <c r="V177" s="9">
        <f>ROUND(P177 / 1.2, 2)</f>
        <v>1406.25</v>
      </c>
      <c r="W177" s="9">
        <f>ROUND(Q177 / 1.2, 2)</f>
        <v>762.5</v>
      </c>
      <c r="X177" s="9">
        <f>ROUND(R177 / 1.2, 2)</f>
        <v>2168.75</v>
      </c>
      <c r="Y177" s="9">
        <f>ROUND(S177 / 1.2, 2)</f>
        <v>0</v>
      </c>
      <c r="Z177" s="9">
        <f>ROUND(T177 / 1.2, 2)</f>
        <v>0</v>
      </c>
      <c r="AA177" s="9">
        <f>Y177+Z177</f>
        <v>0</v>
      </c>
      <c r="AD177" s="4">
        <v>320320102</v>
      </c>
      <c r="AE177" s="4">
        <v>26813794</v>
      </c>
      <c r="AG177" s="4" t="s">
        <v>527</v>
      </c>
      <c r="AH177" s="4" t="s">
        <v>528</v>
      </c>
      <c r="AI177" s="4" t="s">
        <v>338</v>
      </c>
    </row>
    <row r="178" spans="1:35" ht="18" x14ac:dyDescent="0.3">
      <c r="A178" s="23" t="s">
        <v>529</v>
      </c>
      <c r="B178" s="23" t="s">
        <v>525</v>
      </c>
      <c r="C178" s="24" t="s">
        <v>526</v>
      </c>
      <c r="D178" s="25"/>
      <c r="E178" s="25"/>
      <c r="F178" s="25" t="s">
        <v>91</v>
      </c>
      <c r="G178" s="26">
        <v>1</v>
      </c>
      <c r="H178" s="25"/>
      <c r="I178" s="26">
        <v>758.32</v>
      </c>
      <c r="J178" s="27">
        <v>1687.5</v>
      </c>
      <c r="K178" s="27">
        <v>915</v>
      </c>
      <c r="L178" s="27">
        <v>915</v>
      </c>
      <c r="M178" s="27">
        <v>1279665</v>
      </c>
      <c r="N178" s="27">
        <v>693862.8</v>
      </c>
      <c r="O178" s="27"/>
      <c r="P178" s="27">
        <v>1687.5</v>
      </c>
      <c r="Q178" s="27">
        <v>915</v>
      </c>
      <c r="R178" s="27">
        <v>915</v>
      </c>
      <c r="S178" s="27">
        <v>1279665</v>
      </c>
      <c r="T178" s="27">
        <v>693862.8</v>
      </c>
      <c r="U178" s="27"/>
      <c r="V178" s="9"/>
      <c r="W178" s="9">
        <f>ROUND(Q178 / 1.2, 2)</f>
        <v>762.5</v>
      </c>
      <c r="X178" s="9">
        <f>ROUND(R178 / 1.2, 2)</f>
        <v>762.5</v>
      </c>
      <c r="Y178" s="9"/>
      <c r="Z178" s="9">
        <f>ROUND(T178 / 1.2, 2)</f>
        <v>578219</v>
      </c>
      <c r="AA178" s="9"/>
      <c r="AD178" s="4">
        <v>315454866</v>
      </c>
      <c r="AE178" s="4">
        <v>26813794</v>
      </c>
      <c r="AG178" s="4" t="s">
        <v>527</v>
      </c>
      <c r="AH178" s="4" t="s">
        <v>528</v>
      </c>
      <c r="AI178" s="4"/>
    </row>
    <row r="179" spans="1:35" ht="18" x14ac:dyDescent="0.3">
      <c r="A179" s="17" t="s">
        <v>530</v>
      </c>
      <c r="B179" s="17"/>
      <c r="C179" s="34" t="s">
        <v>531</v>
      </c>
      <c r="D179" s="19"/>
      <c r="E179" s="19"/>
      <c r="F179" s="35" t="s">
        <v>364</v>
      </c>
      <c r="G179" s="36">
        <v>225</v>
      </c>
      <c r="H179" s="19"/>
      <c r="I179" s="37">
        <v>0</v>
      </c>
      <c r="J179" s="38">
        <v>7.5</v>
      </c>
      <c r="K179" s="39"/>
      <c r="L179" s="39"/>
      <c r="M179" s="38">
        <f>ROUND(ROUND(J179, 2)*I179, 2)</f>
        <v>0</v>
      </c>
      <c r="N179" s="39"/>
      <c r="O179" s="39"/>
      <c r="P179" s="38">
        <v>7.5</v>
      </c>
      <c r="Q179" s="39"/>
      <c r="R179" s="39"/>
      <c r="S179" s="38">
        <f>ROUND(ROUND(P179, 2)*I179, 2)</f>
        <v>0</v>
      </c>
      <c r="T179" s="39"/>
      <c r="U179" s="40"/>
      <c r="V179" s="9">
        <f>ROUND(ROUND(P179, 2)/1.2, 2)</f>
        <v>6.25</v>
      </c>
      <c r="Y179" s="9">
        <f>ROUND(S179 / 1.2, 2)</f>
        <v>0</v>
      </c>
      <c r="AD179" s="4" t="s">
        <v>532</v>
      </c>
      <c r="AE179" s="4" t="s">
        <v>533</v>
      </c>
      <c r="AF179" s="4" t="s">
        <v>534</v>
      </c>
    </row>
    <row r="180" spans="1:35" ht="18" x14ac:dyDescent="0.3">
      <c r="A180" s="23" t="s">
        <v>535</v>
      </c>
      <c r="B180" s="23"/>
      <c r="C180" s="41" t="s">
        <v>531</v>
      </c>
      <c r="D180" s="25"/>
      <c r="E180" s="25"/>
      <c r="F180" s="42" t="s">
        <v>364</v>
      </c>
      <c r="G180" s="43">
        <v>225</v>
      </c>
      <c r="H180" s="25"/>
      <c r="I180" s="43">
        <v>170622</v>
      </c>
      <c r="J180" s="44">
        <v>7.5</v>
      </c>
      <c r="K180" s="45"/>
      <c r="L180" s="45"/>
      <c r="M180" s="44">
        <f>ROUND(ROUND(J180, 2)*I180, 2)</f>
        <v>1279665</v>
      </c>
      <c r="N180" s="45"/>
      <c r="O180" s="45"/>
      <c r="P180" s="44">
        <v>7.5</v>
      </c>
      <c r="Q180" s="45"/>
      <c r="R180" s="45"/>
      <c r="S180" s="44">
        <f>ROUND(ROUND(P180, 2)*I180, 2)</f>
        <v>1279665</v>
      </c>
      <c r="T180" s="45"/>
      <c r="U180" s="46"/>
      <c r="V180" s="9">
        <f>ROUND(ROUND(P180, 2)/1.2, 2)</f>
        <v>6.25</v>
      </c>
      <c r="Y180" s="9">
        <f>ROUND(S180 / 1.2, 2)</f>
        <v>1066387.5</v>
      </c>
      <c r="AD180" s="4" t="s">
        <v>536</v>
      </c>
      <c r="AE180" s="4" t="s">
        <v>533</v>
      </c>
      <c r="AF180" s="4" t="s">
        <v>534</v>
      </c>
    </row>
    <row r="181" spans="1:35" ht="16.95" customHeight="1" x14ac:dyDescent="0.3">
      <c r="A181" s="10" t="s">
        <v>537</v>
      </c>
      <c r="B181" s="10" t="s">
        <v>538</v>
      </c>
      <c r="C181" s="237" t="s">
        <v>539</v>
      </c>
      <c r="D181" s="238"/>
      <c r="E181" s="238"/>
      <c r="F181" s="238"/>
      <c r="G181" s="238"/>
      <c r="H181" s="238"/>
      <c r="I181" s="239"/>
      <c r="M181" s="6">
        <f>SUM(M182,M192,M200,M206,M216,M226,M236,M246,M256,M266,M276)</f>
        <v>0</v>
      </c>
      <c r="N181" s="6">
        <f>SUM(N182,N192,N200,N206,N216,N226,N236,N246,N256,N266,N276)</f>
        <v>0</v>
      </c>
      <c r="O181" s="6">
        <f>SUM(O182,O192,O200,O206,O216,O226,O236,O246,O256,O266,O276)</f>
        <v>0</v>
      </c>
      <c r="S181" s="6">
        <f>SUM(S182,S192,S200,S206,S216,S226,S236,S246,S256,S266,S276)</f>
        <v>0</v>
      </c>
      <c r="T181" s="6">
        <f>SUM(T182,T192,T200,T206,T216,T226,T236,T246,T256,T266,T276)</f>
        <v>0</v>
      </c>
      <c r="U181" s="6">
        <f>SUM(U182,U192,U200,U206,U216,U226,U236,U246,U256,U266,U276)</f>
        <v>0</v>
      </c>
      <c r="Y181" s="9">
        <f>SUM(Y182,Y192,Y200,Y206,Y216,Y226,Y236,Y246,Y256,Y266,Y276)</f>
        <v>0</v>
      </c>
      <c r="Z181" s="9">
        <f>SUM(Z182,Z192,Z200,Z206,Z216,Z226,Z236,Z246,Z256,Z266,Z276)</f>
        <v>0</v>
      </c>
      <c r="AA181" s="9">
        <f>SUM(AA182,AA192,AA200,AA206,AA216,AA226,AA236,AA246,AA256,AA266,AA276)</f>
        <v>0</v>
      </c>
      <c r="AD181" s="4">
        <v>320320103</v>
      </c>
      <c r="AE181" s="4">
        <v>26813766</v>
      </c>
    </row>
    <row r="182" spans="1:35" ht="36" x14ac:dyDescent="0.3">
      <c r="A182" s="17" t="s">
        <v>540</v>
      </c>
      <c r="B182" s="17" t="s">
        <v>541</v>
      </c>
      <c r="C182" s="18" t="s">
        <v>542</v>
      </c>
      <c r="D182" s="19" t="s">
        <v>543</v>
      </c>
      <c r="E182" s="19" t="s">
        <v>544</v>
      </c>
      <c r="F182" s="19" t="s">
        <v>61</v>
      </c>
      <c r="G182" s="20">
        <v>1</v>
      </c>
      <c r="H182" s="19"/>
      <c r="I182" s="21">
        <v>0</v>
      </c>
      <c r="J182" s="22">
        <v>127.26</v>
      </c>
      <c r="K182" s="22">
        <v>556</v>
      </c>
      <c r="L182" s="22">
        <f>J182+ROUND(K182, 2)</f>
        <v>683.26</v>
      </c>
      <c r="M182" s="22">
        <v>0</v>
      </c>
      <c r="N182" s="22">
        <v>0</v>
      </c>
      <c r="O182" s="22">
        <f>M182+N182</f>
        <v>0</v>
      </c>
      <c r="P182" s="22">
        <v>5416.76</v>
      </c>
      <c r="Q182" s="22">
        <v>556</v>
      </c>
      <c r="R182" s="22">
        <f>P182+ROUND(Q182, 2)</f>
        <v>5972.76</v>
      </c>
      <c r="S182" s="22">
        <v>0</v>
      </c>
      <c r="T182" s="22">
        <v>0</v>
      </c>
      <c r="U182" s="22">
        <f>S182+T182</f>
        <v>0</v>
      </c>
      <c r="V182" s="9">
        <f>ROUND(P182 / 1.2, 2)</f>
        <v>4513.97</v>
      </c>
      <c r="W182" s="9">
        <f>ROUND(Q182 / 1.2, 2)</f>
        <v>463.33</v>
      </c>
      <c r="X182" s="9">
        <f>ROUND(R182 / 1.2, 2)</f>
        <v>4977.3</v>
      </c>
      <c r="Y182" s="9">
        <f>ROUND(S182 / 1.2, 2)</f>
        <v>0</v>
      </c>
      <c r="Z182" s="9">
        <f>ROUND(T182 / 1.2, 2)</f>
        <v>0</v>
      </c>
      <c r="AA182" s="9">
        <f>Y182+Z182</f>
        <v>0</v>
      </c>
      <c r="AD182" s="4">
        <v>320320105</v>
      </c>
      <c r="AE182" s="4">
        <v>26813845</v>
      </c>
      <c r="AG182" s="4" t="s">
        <v>545</v>
      </c>
      <c r="AH182" s="4" t="s">
        <v>546</v>
      </c>
      <c r="AI182" s="4" t="s">
        <v>338</v>
      </c>
    </row>
    <row r="183" spans="1:35" ht="36" x14ac:dyDescent="0.3">
      <c r="A183" s="23" t="s">
        <v>547</v>
      </c>
      <c r="B183" s="23" t="s">
        <v>541</v>
      </c>
      <c r="C183" s="24" t="s">
        <v>542</v>
      </c>
      <c r="D183" s="25" t="s">
        <v>543</v>
      </c>
      <c r="E183" s="25" t="s">
        <v>544</v>
      </c>
      <c r="F183" s="25" t="s">
        <v>61</v>
      </c>
      <c r="G183" s="26">
        <v>1</v>
      </c>
      <c r="H183" s="25"/>
      <c r="I183" s="26">
        <v>427.37</v>
      </c>
      <c r="J183" s="27">
        <v>127.26</v>
      </c>
      <c r="K183" s="27">
        <v>556</v>
      </c>
      <c r="L183" s="27">
        <v>556</v>
      </c>
      <c r="M183" s="27">
        <v>54387.11</v>
      </c>
      <c r="N183" s="27">
        <v>237617.72</v>
      </c>
      <c r="O183" s="27"/>
      <c r="P183" s="27">
        <v>5416.76</v>
      </c>
      <c r="Q183" s="27">
        <v>556</v>
      </c>
      <c r="R183" s="27">
        <v>556</v>
      </c>
      <c r="S183" s="27">
        <v>2314960.7200000002</v>
      </c>
      <c r="T183" s="27">
        <v>237617.72</v>
      </c>
      <c r="U183" s="27"/>
      <c r="V183" s="9"/>
      <c r="W183" s="9">
        <f>ROUND(Q183 / 1.2, 2)</f>
        <v>463.33</v>
      </c>
      <c r="X183" s="9">
        <f>ROUND(R183 / 1.2, 2)</f>
        <v>463.33</v>
      </c>
      <c r="Y183" s="9"/>
      <c r="Z183" s="9">
        <f>ROUND(T183 / 1.2, 2)</f>
        <v>198014.77</v>
      </c>
      <c r="AA183" s="9"/>
      <c r="AD183" s="4">
        <v>315454869</v>
      </c>
      <c r="AE183" s="4">
        <v>26813845</v>
      </c>
      <c r="AG183" s="4" t="s">
        <v>545</v>
      </c>
      <c r="AH183" s="4" t="s">
        <v>546</v>
      </c>
      <c r="AI183" s="4"/>
    </row>
    <row r="184" spans="1:35" ht="18" x14ac:dyDescent="0.3">
      <c r="A184" s="17" t="s">
        <v>548</v>
      </c>
      <c r="B184" s="17"/>
      <c r="C184" s="34" t="s">
        <v>549</v>
      </c>
      <c r="D184" s="19"/>
      <c r="E184" s="19" t="s">
        <v>550</v>
      </c>
      <c r="F184" s="35" t="s">
        <v>364</v>
      </c>
      <c r="G184" s="36">
        <v>0.3</v>
      </c>
      <c r="H184" s="19"/>
      <c r="I184" s="37">
        <v>0</v>
      </c>
      <c r="J184" s="38">
        <v>220</v>
      </c>
      <c r="K184" s="39"/>
      <c r="L184" s="39"/>
      <c r="M184" s="38">
        <f t="shared" ref="M184:M191" si="46">ROUND(ROUND(J184, 2)*I184, 2)</f>
        <v>0</v>
      </c>
      <c r="N184" s="39"/>
      <c r="O184" s="39"/>
      <c r="P184" s="38">
        <v>545</v>
      </c>
      <c r="Q184" s="39"/>
      <c r="R184" s="39"/>
      <c r="S184" s="38">
        <f t="shared" ref="S184:S191" si="47">ROUND(ROUND(P184, 2)*I184, 2)</f>
        <v>0</v>
      </c>
      <c r="T184" s="39"/>
      <c r="U184" s="40"/>
      <c r="V184" s="9">
        <f t="shared" ref="V184:V191" si="48">ROUND(ROUND(P184, 2)/1.2, 2)</f>
        <v>454.17</v>
      </c>
      <c r="Y184" s="9">
        <f t="shared" ref="Y184:Y192" si="49">ROUND(S184 / 1.2, 2)</f>
        <v>0</v>
      </c>
      <c r="AD184" s="4" t="s">
        <v>551</v>
      </c>
      <c r="AE184" s="4" t="s">
        <v>552</v>
      </c>
      <c r="AF184" s="4" t="s">
        <v>553</v>
      </c>
    </row>
    <row r="185" spans="1:35" ht="18" x14ac:dyDescent="0.3">
      <c r="A185" s="23" t="s">
        <v>554</v>
      </c>
      <c r="B185" s="23"/>
      <c r="C185" s="41" t="s">
        <v>549</v>
      </c>
      <c r="D185" s="25"/>
      <c r="E185" s="25" t="s">
        <v>550</v>
      </c>
      <c r="F185" s="42" t="s">
        <v>364</v>
      </c>
      <c r="G185" s="43">
        <v>0.3</v>
      </c>
      <c r="H185" s="25"/>
      <c r="I185" s="43">
        <v>128.21100000000001</v>
      </c>
      <c r="J185" s="44">
        <v>220</v>
      </c>
      <c r="K185" s="45"/>
      <c r="L185" s="45"/>
      <c r="M185" s="44">
        <f t="shared" si="46"/>
        <v>28206.42</v>
      </c>
      <c r="N185" s="45"/>
      <c r="O185" s="45"/>
      <c r="P185" s="44">
        <v>545</v>
      </c>
      <c r="Q185" s="45"/>
      <c r="R185" s="45"/>
      <c r="S185" s="44">
        <f t="shared" si="47"/>
        <v>69875</v>
      </c>
      <c r="T185" s="45"/>
      <c r="U185" s="46"/>
      <c r="V185" s="9">
        <f t="shared" si="48"/>
        <v>454.17</v>
      </c>
      <c r="Y185" s="9">
        <f t="shared" si="49"/>
        <v>58229.17</v>
      </c>
      <c r="AD185" s="4" t="s">
        <v>555</v>
      </c>
      <c r="AE185" s="4" t="s">
        <v>552</v>
      </c>
      <c r="AF185" s="4" t="s">
        <v>553</v>
      </c>
    </row>
    <row r="186" spans="1:35" ht="36" x14ac:dyDescent="0.3">
      <c r="A186" s="17" t="s">
        <v>556</v>
      </c>
      <c r="B186" s="17"/>
      <c r="C186" s="34" t="s">
        <v>557</v>
      </c>
      <c r="D186" s="19"/>
      <c r="E186" s="19"/>
      <c r="F186" s="35" t="s">
        <v>364</v>
      </c>
      <c r="G186" s="36">
        <v>0.15</v>
      </c>
      <c r="H186" s="19"/>
      <c r="I186" s="37">
        <v>0</v>
      </c>
      <c r="J186" s="38">
        <v>68.400000000000006</v>
      </c>
      <c r="K186" s="39"/>
      <c r="L186" s="39"/>
      <c r="M186" s="38">
        <f t="shared" si="46"/>
        <v>0</v>
      </c>
      <c r="N186" s="39"/>
      <c r="O186" s="39"/>
      <c r="P186" s="38">
        <v>68.400000000000006</v>
      </c>
      <c r="Q186" s="39"/>
      <c r="R186" s="39"/>
      <c r="S186" s="38">
        <f t="shared" si="47"/>
        <v>0</v>
      </c>
      <c r="T186" s="39"/>
      <c r="U186" s="40"/>
      <c r="V186" s="9">
        <f t="shared" si="48"/>
        <v>57</v>
      </c>
      <c r="Y186" s="9">
        <f t="shared" si="49"/>
        <v>0</v>
      </c>
      <c r="AD186" s="4" t="s">
        <v>558</v>
      </c>
      <c r="AE186" s="4" t="s">
        <v>559</v>
      </c>
      <c r="AF186" s="4" t="s">
        <v>560</v>
      </c>
    </row>
    <row r="187" spans="1:35" ht="36" x14ac:dyDescent="0.3">
      <c r="A187" s="23" t="s">
        <v>561</v>
      </c>
      <c r="B187" s="23"/>
      <c r="C187" s="41" t="s">
        <v>557</v>
      </c>
      <c r="D187" s="25"/>
      <c r="E187" s="25"/>
      <c r="F187" s="42" t="s">
        <v>364</v>
      </c>
      <c r="G187" s="43">
        <v>0.15</v>
      </c>
      <c r="H187" s="25"/>
      <c r="I187" s="43">
        <v>64.105999999999995</v>
      </c>
      <c r="J187" s="44">
        <v>68.400000000000006</v>
      </c>
      <c r="K187" s="45"/>
      <c r="L187" s="45"/>
      <c r="M187" s="44">
        <f t="shared" si="46"/>
        <v>4384.8500000000004</v>
      </c>
      <c r="N187" s="45"/>
      <c r="O187" s="45"/>
      <c r="P187" s="44">
        <v>68.400000000000006</v>
      </c>
      <c r="Q187" s="45"/>
      <c r="R187" s="45"/>
      <c r="S187" s="44">
        <f t="shared" si="47"/>
        <v>4384.8500000000004</v>
      </c>
      <c r="T187" s="45"/>
      <c r="U187" s="46"/>
      <c r="V187" s="9">
        <f t="shared" si="48"/>
        <v>57</v>
      </c>
      <c r="Y187" s="9">
        <f t="shared" si="49"/>
        <v>3654.04</v>
      </c>
      <c r="AD187" s="4" t="s">
        <v>562</v>
      </c>
      <c r="AE187" s="4" t="s">
        <v>559</v>
      </c>
      <c r="AF187" s="4" t="s">
        <v>560</v>
      </c>
    </row>
    <row r="188" spans="1:35" ht="72" x14ac:dyDescent="0.3">
      <c r="A188" s="17" t="s">
        <v>563</v>
      </c>
      <c r="B188" s="17"/>
      <c r="C188" s="34" t="s">
        <v>564</v>
      </c>
      <c r="D188" s="19"/>
      <c r="E188" s="19"/>
      <c r="F188" s="35" t="s">
        <v>76</v>
      </c>
      <c r="G188" s="36">
        <v>1</v>
      </c>
      <c r="H188" s="19"/>
      <c r="I188" s="48">
        <v>0</v>
      </c>
      <c r="J188" s="38">
        <v>51</v>
      </c>
      <c r="K188" s="39"/>
      <c r="L188" s="39"/>
      <c r="M188" s="38">
        <f t="shared" si="46"/>
        <v>0</v>
      </c>
      <c r="N188" s="39"/>
      <c r="O188" s="39"/>
      <c r="P188" s="38">
        <v>51</v>
      </c>
      <c r="Q188" s="39"/>
      <c r="R188" s="39"/>
      <c r="S188" s="38">
        <f t="shared" si="47"/>
        <v>0</v>
      </c>
      <c r="T188" s="39"/>
      <c r="U188" s="40"/>
      <c r="V188" s="9">
        <f t="shared" si="48"/>
        <v>42.5</v>
      </c>
      <c r="Y188" s="9">
        <f t="shared" si="49"/>
        <v>0</v>
      </c>
      <c r="AD188" s="4" t="s">
        <v>565</v>
      </c>
      <c r="AE188" s="4" t="s">
        <v>566</v>
      </c>
      <c r="AF188" s="4" t="s">
        <v>567</v>
      </c>
    </row>
    <row r="189" spans="1:35" ht="72" x14ac:dyDescent="0.3">
      <c r="A189" s="23" t="s">
        <v>568</v>
      </c>
      <c r="B189" s="23"/>
      <c r="C189" s="41" t="s">
        <v>564</v>
      </c>
      <c r="D189" s="25"/>
      <c r="E189" s="25"/>
      <c r="F189" s="42" t="s">
        <v>76</v>
      </c>
      <c r="G189" s="43">
        <v>1</v>
      </c>
      <c r="H189" s="25"/>
      <c r="I189" s="50">
        <v>427.37</v>
      </c>
      <c r="J189" s="44">
        <v>51</v>
      </c>
      <c r="K189" s="45"/>
      <c r="L189" s="45"/>
      <c r="M189" s="44">
        <f t="shared" si="46"/>
        <v>21795.87</v>
      </c>
      <c r="N189" s="45"/>
      <c r="O189" s="45"/>
      <c r="P189" s="44">
        <v>51</v>
      </c>
      <c r="Q189" s="45"/>
      <c r="R189" s="45"/>
      <c r="S189" s="44">
        <f t="shared" si="47"/>
        <v>21795.87</v>
      </c>
      <c r="T189" s="45"/>
      <c r="U189" s="46"/>
      <c r="V189" s="9">
        <f t="shared" si="48"/>
        <v>42.5</v>
      </c>
      <c r="Y189" s="9">
        <f t="shared" si="49"/>
        <v>18163.23</v>
      </c>
      <c r="AD189" s="4" t="s">
        <v>569</v>
      </c>
      <c r="AE189" s="4" t="s">
        <v>566</v>
      </c>
      <c r="AF189" s="4" t="s">
        <v>567</v>
      </c>
    </row>
    <row r="190" spans="1:35" ht="54" x14ac:dyDescent="0.3">
      <c r="A190" s="17" t="s">
        <v>570</v>
      </c>
      <c r="B190" s="17"/>
      <c r="C190" s="34" t="s">
        <v>571</v>
      </c>
      <c r="D190" s="19"/>
      <c r="E190" s="19" t="s">
        <v>572</v>
      </c>
      <c r="F190" s="35" t="s">
        <v>61</v>
      </c>
      <c r="G190" s="36">
        <v>1.1000000000000001</v>
      </c>
      <c r="H190" s="19"/>
      <c r="I190" s="48">
        <v>0</v>
      </c>
      <c r="J190" s="38">
        <v>0</v>
      </c>
      <c r="K190" s="39"/>
      <c r="L190" s="39"/>
      <c r="M190" s="38">
        <f t="shared" si="46"/>
        <v>0</v>
      </c>
      <c r="N190" s="39"/>
      <c r="O190" s="39"/>
      <c r="P190" s="38">
        <v>4720</v>
      </c>
      <c r="Q190" s="39"/>
      <c r="R190" s="39"/>
      <c r="S190" s="38">
        <f t="shared" si="47"/>
        <v>0</v>
      </c>
      <c r="T190" s="39"/>
      <c r="U190" s="40"/>
      <c r="V190" s="9">
        <f t="shared" si="48"/>
        <v>3933.33</v>
      </c>
      <c r="Y190" s="9">
        <f t="shared" si="49"/>
        <v>0</v>
      </c>
      <c r="AD190" s="4" t="s">
        <v>573</v>
      </c>
      <c r="AE190" s="4" t="s">
        <v>574</v>
      </c>
      <c r="AF190" s="4" t="s">
        <v>575</v>
      </c>
    </row>
    <row r="191" spans="1:35" ht="54" x14ac:dyDescent="0.3">
      <c r="A191" s="23" t="s">
        <v>576</v>
      </c>
      <c r="B191" s="23"/>
      <c r="C191" s="41" t="s">
        <v>571</v>
      </c>
      <c r="D191" s="25"/>
      <c r="E191" s="25" t="s">
        <v>572</v>
      </c>
      <c r="F191" s="42" t="s">
        <v>61</v>
      </c>
      <c r="G191" s="43">
        <v>1.1000000000000001</v>
      </c>
      <c r="H191" s="25"/>
      <c r="I191" s="50">
        <v>470.10700000000003</v>
      </c>
      <c r="J191" s="44">
        <v>0</v>
      </c>
      <c r="K191" s="45"/>
      <c r="L191" s="45"/>
      <c r="M191" s="44">
        <f t="shared" si="46"/>
        <v>0</v>
      </c>
      <c r="N191" s="45"/>
      <c r="O191" s="45"/>
      <c r="P191" s="44">
        <v>4720</v>
      </c>
      <c r="Q191" s="45"/>
      <c r="R191" s="45"/>
      <c r="S191" s="44">
        <f t="shared" si="47"/>
        <v>2218905.04</v>
      </c>
      <c r="T191" s="45"/>
      <c r="U191" s="46"/>
      <c r="V191" s="9">
        <f t="shared" si="48"/>
        <v>3933.33</v>
      </c>
      <c r="Y191" s="9">
        <f t="shared" si="49"/>
        <v>1849087.53</v>
      </c>
      <c r="AD191" s="4" t="s">
        <v>577</v>
      </c>
      <c r="AE191" s="4" t="s">
        <v>574</v>
      </c>
      <c r="AF191" s="4" t="s">
        <v>575</v>
      </c>
    </row>
    <row r="192" spans="1:35" ht="18" x14ac:dyDescent="0.3">
      <c r="A192" s="17" t="s">
        <v>578</v>
      </c>
      <c r="B192" s="17" t="s">
        <v>541</v>
      </c>
      <c r="C192" s="18" t="s">
        <v>542</v>
      </c>
      <c r="D192" s="19" t="s">
        <v>543</v>
      </c>
      <c r="E192" s="19" t="s">
        <v>579</v>
      </c>
      <c r="F192" s="19" t="s">
        <v>61</v>
      </c>
      <c r="G192" s="20">
        <v>1</v>
      </c>
      <c r="H192" s="19"/>
      <c r="I192" s="21">
        <v>0</v>
      </c>
      <c r="J192" s="22">
        <v>117</v>
      </c>
      <c r="K192" s="22">
        <v>556</v>
      </c>
      <c r="L192" s="22">
        <f>J192+ROUND(K192, 2)</f>
        <v>673</v>
      </c>
      <c r="M192" s="22">
        <v>0</v>
      </c>
      <c r="N192" s="22">
        <v>0</v>
      </c>
      <c r="O192" s="22">
        <f>M192+N192</f>
        <v>0</v>
      </c>
      <c r="P192" s="22">
        <v>5406.5</v>
      </c>
      <c r="Q192" s="22">
        <v>556</v>
      </c>
      <c r="R192" s="22">
        <f>P192+ROUND(Q192, 2)</f>
        <v>5962.5</v>
      </c>
      <c r="S192" s="22">
        <v>0</v>
      </c>
      <c r="T192" s="22">
        <v>0</v>
      </c>
      <c r="U192" s="22">
        <f>S192+T192</f>
        <v>0</v>
      </c>
      <c r="V192" s="9">
        <f>ROUND(P192 / 1.2, 2)</f>
        <v>4505.42</v>
      </c>
      <c r="W192" s="9">
        <f>ROUND(Q192 / 1.2, 2)</f>
        <v>463.33</v>
      </c>
      <c r="X192" s="9">
        <f>ROUND(R192 / 1.2, 2)</f>
        <v>4968.75</v>
      </c>
      <c r="Y192" s="9">
        <f t="shared" si="49"/>
        <v>0</v>
      </c>
      <c r="Z192" s="9">
        <f>ROUND(T192 / 1.2, 2)</f>
        <v>0</v>
      </c>
      <c r="AA192" s="9">
        <f>Y192+Z192</f>
        <v>0</v>
      </c>
      <c r="AD192" s="4">
        <v>320320156</v>
      </c>
      <c r="AE192" s="4">
        <v>26813814</v>
      </c>
      <c r="AG192" s="4" t="s">
        <v>545</v>
      </c>
      <c r="AH192" s="4" t="s">
        <v>546</v>
      </c>
      <c r="AI192" s="4" t="s">
        <v>338</v>
      </c>
    </row>
    <row r="193" spans="1:35" ht="18" x14ac:dyDescent="0.3">
      <c r="A193" s="23" t="s">
        <v>580</v>
      </c>
      <c r="B193" s="23" t="s">
        <v>541</v>
      </c>
      <c r="C193" s="24" t="s">
        <v>542</v>
      </c>
      <c r="D193" s="25" t="s">
        <v>543</v>
      </c>
      <c r="E193" s="25" t="s">
        <v>579</v>
      </c>
      <c r="F193" s="25" t="s">
        <v>61</v>
      </c>
      <c r="G193" s="26">
        <v>1</v>
      </c>
      <c r="H193" s="25"/>
      <c r="I193" s="26">
        <v>156.31</v>
      </c>
      <c r="J193" s="27">
        <v>117</v>
      </c>
      <c r="K193" s="27">
        <v>556</v>
      </c>
      <c r="L193" s="27">
        <v>556</v>
      </c>
      <c r="M193" s="27">
        <v>18288.27</v>
      </c>
      <c r="N193" s="27">
        <v>86908.36</v>
      </c>
      <c r="O193" s="27"/>
      <c r="P193" s="27">
        <v>5406.5</v>
      </c>
      <c r="Q193" s="27">
        <v>556</v>
      </c>
      <c r="R193" s="27">
        <v>556</v>
      </c>
      <c r="S193" s="27">
        <v>845090.02</v>
      </c>
      <c r="T193" s="27">
        <v>86908.36</v>
      </c>
      <c r="U193" s="27"/>
      <c r="V193" s="9"/>
      <c r="W193" s="9">
        <f>ROUND(Q193 / 1.2, 2)</f>
        <v>463.33</v>
      </c>
      <c r="X193" s="9">
        <f>ROUND(R193 / 1.2, 2)</f>
        <v>463.33</v>
      </c>
      <c r="Y193" s="9"/>
      <c r="Z193" s="9">
        <f>ROUND(T193 / 1.2, 2)</f>
        <v>72423.63</v>
      </c>
      <c r="AA193" s="9"/>
      <c r="AD193" s="4">
        <v>315454870</v>
      </c>
      <c r="AE193" s="4">
        <v>26813814</v>
      </c>
      <c r="AG193" s="4" t="s">
        <v>545</v>
      </c>
      <c r="AH193" s="4" t="s">
        <v>546</v>
      </c>
      <c r="AI193" s="4"/>
    </row>
    <row r="194" spans="1:35" ht="54" x14ac:dyDescent="0.3">
      <c r="A194" s="17" t="s">
        <v>581</v>
      </c>
      <c r="B194" s="17"/>
      <c r="C194" s="34" t="s">
        <v>571</v>
      </c>
      <c r="D194" s="19"/>
      <c r="E194" s="19" t="s">
        <v>582</v>
      </c>
      <c r="F194" s="35" t="s">
        <v>61</v>
      </c>
      <c r="G194" s="36">
        <v>1.1000000000000001</v>
      </c>
      <c r="H194" s="19"/>
      <c r="I194" s="48">
        <v>0</v>
      </c>
      <c r="J194" s="38">
        <v>0</v>
      </c>
      <c r="K194" s="39"/>
      <c r="L194" s="39"/>
      <c r="M194" s="38">
        <f t="shared" ref="M194:M199" si="50">ROUND(ROUND(J194, 2)*I194, 2)</f>
        <v>0</v>
      </c>
      <c r="N194" s="39"/>
      <c r="O194" s="39"/>
      <c r="P194" s="38">
        <v>4720</v>
      </c>
      <c r="Q194" s="39"/>
      <c r="R194" s="39"/>
      <c r="S194" s="38">
        <f t="shared" ref="S194:S199" si="51">ROUND(ROUND(P194, 2)*I194, 2)</f>
        <v>0</v>
      </c>
      <c r="T194" s="39"/>
      <c r="U194" s="40"/>
      <c r="V194" s="9">
        <f t="shared" ref="V194:V199" si="52">ROUND(ROUND(P194, 2)/1.2, 2)</f>
        <v>3933.33</v>
      </c>
      <c r="Y194" s="9">
        <f t="shared" ref="Y194:Y200" si="53">ROUND(S194 / 1.2, 2)</f>
        <v>0</v>
      </c>
      <c r="AD194" s="4" t="s">
        <v>583</v>
      </c>
      <c r="AE194" s="4" t="s">
        <v>584</v>
      </c>
      <c r="AF194" s="4" t="s">
        <v>575</v>
      </c>
    </row>
    <row r="195" spans="1:35" ht="54" x14ac:dyDescent="0.3">
      <c r="A195" s="23" t="s">
        <v>585</v>
      </c>
      <c r="B195" s="23"/>
      <c r="C195" s="41" t="s">
        <v>571</v>
      </c>
      <c r="D195" s="25"/>
      <c r="E195" s="25" t="s">
        <v>582</v>
      </c>
      <c r="F195" s="42" t="s">
        <v>61</v>
      </c>
      <c r="G195" s="43">
        <v>1.1000000000000001</v>
      </c>
      <c r="H195" s="25"/>
      <c r="I195" s="50">
        <v>171.941</v>
      </c>
      <c r="J195" s="44">
        <v>0</v>
      </c>
      <c r="K195" s="45"/>
      <c r="L195" s="45"/>
      <c r="M195" s="44">
        <f t="shared" si="50"/>
        <v>0</v>
      </c>
      <c r="N195" s="45"/>
      <c r="O195" s="45"/>
      <c r="P195" s="44">
        <v>4720</v>
      </c>
      <c r="Q195" s="45"/>
      <c r="R195" s="45"/>
      <c r="S195" s="44">
        <f t="shared" si="51"/>
        <v>811561.52</v>
      </c>
      <c r="T195" s="45"/>
      <c r="U195" s="46"/>
      <c r="V195" s="9">
        <f t="shared" si="52"/>
        <v>3933.33</v>
      </c>
      <c r="Y195" s="9">
        <f t="shared" si="53"/>
        <v>676301.27</v>
      </c>
      <c r="AD195" s="4" t="s">
        <v>586</v>
      </c>
      <c r="AE195" s="4" t="s">
        <v>584</v>
      </c>
      <c r="AF195" s="4" t="s">
        <v>575</v>
      </c>
    </row>
    <row r="196" spans="1:35" ht="72" x14ac:dyDescent="0.3">
      <c r="A196" s="17" t="s">
        <v>587</v>
      </c>
      <c r="B196" s="17"/>
      <c r="C196" s="34" t="s">
        <v>564</v>
      </c>
      <c r="D196" s="19"/>
      <c r="E196" s="19"/>
      <c r="F196" s="35" t="s">
        <v>76</v>
      </c>
      <c r="G196" s="36">
        <v>1</v>
      </c>
      <c r="H196" s="19"/>
      <c r="I196" s="48">
        <v>0</v>
      </c>
      <c r="J196" s="38">
        <v>51</v>
      </c>
      <c r="K196" s="39"/>
      <c r="L196" s="39"/>
      <c r="M196" s="38">
        <f t="shared" si="50"/>
        <v>0</v>
      </c>
      <c r="N196" s="39"/>
      <c r="O196" s="39"/>
      <c r="P196" s="38">
        <v>51</v>
      </c>
      <c r="Q196" s="39"/>
      <c r="R196" s="39"/>
      <c r="S196" s="38">
        <f t="shared" si="51"/>
        <v>0</v>
      </c>
      <c r="T196" s="39"/>
      <c r="U196" s="40"/>
      <c r="V196" s="9">
        <f t="shared" si="52"/>
        <v>42.5</v>
      </c>
      <c r="Y196" s="9">
        <f t="shared" si="53"/>
        <v>0</v>
      </c>
      <c r="AD196" s="4" t="s">
        <v>588</v>
      </c>
      <c r="AE196" s="4" t="s">
        <v>589</v>
      </c>
      <c r="AF196" s="4" t="s">
        <v>567</v>
      </c>
    </row>
    <row r="197" spans="1:35" ht="72" x14ac:dyDescent="0.3">
      <c r="A197" s="23" t="s">
        <v>590</v>
      </c>
      <c r="B197" s="23"/>
      <c r="C197" s="41" t="s">
        <v>564</v>
      </c>
      <c r="D197" s="25"/>
      <c r="E197" s="25"/>
      <c r="F197" s="42" t="s">
        <v>76</v>
      </c>
      <c r="G197" s="43">
        <v>1</v>
      </c>
      <c r="H197" s="25"/>
      <c r="I197" s="50">
        <v>156.31</v>
      </c>
      <c r="J197" s="44">
        <v>51</v>
      </c>
      <c r="K197" s="45"/>
      <c r="L197" s="45"/>
      <c r="M197" s="44">
        <f t="shared" si="50"/>
        <v>7971.81</v>
      </c>
      <c r="N197" s="45"/>
      <c r="O197" s="45"/>
      <c r="P197" s="44">
        <v>51</v>
      </c>
      <c r="Q197" s="45"/>
      <c r="R197" s="45"/>
      <c r="S197" s="44">
        <f t="shared" si="51"/>
        <v>7971.81</v>
      </c>
      <c r="T197" s="45"/>
      <c r="U197" s="46"/>
      <c r="V197" s="9">
        <f t="shared" si="52"/>
        <v>42.5</v>
      </c>
      <c r="Y197" s="9">
        <f t="shared" si="53"/>
        <v>6643.18</v>
      </c>
      <c r="AD197" s="4" t="s">
        <v>591</v>
      </c>
      <c r="AE197" s="4" t="s">
        <v>589</v>
      </c>
      <c r="AF197" s="4" t="s">
        <v>567</v>
      </c>
    </row>
    <row r="198" spans="1:35" ht="18" x14ac:dyDescent="0.3">
      <c r="A198" s="17" t="s">
        <v>592</v>
      </c>
      <c r="B198" s="17"/>
      <c r="C198" s="34" t="s">
        <v>549</v>
      </c>
      <c r="D198" s="19"/>
      <c r="E198" s="19" t="s">
        <v>550</v>
      </c>
      <c r="F198" s="35" t="s">
        <v>364</v>
      </c>
      <c r="G198" s="36">
        <v>0.3</v>
      </c>
      <c r="H198" s="19"/>
      <c r="I198" s="37">
        <v>0</v>
      </c>
      <c r="J198" s="38">
        <v>220</v>
      </c>
      <c r="K198" s="39"/>
      <c r="L198" s="39"/>
      <c r="M198" s="38">
        <f t="shared" si="50"/>
        <v>0</v>
      </c>
      <c r="N198" s="39"/>
      <c r="O198" s="39"/>
      <c r="P198" s="38">
        <v>545</v>
      </c>
      <c r="Q198" s="39"/>
      <c r="R198" s="39"/>
      <c r="S198" s="38">
        <f t="shared" si="51"/>
        <v>0</v>
      </c>
      <c r="T198" s="39"/>
      <c r="U198" s="40"/>
      <c r="V198" s="9">
        <f t="shared" si="52"/>
        <v>454.17</v>
      </c>
      <c r="Y198" s="9">
        <f t="shared" si="53"/>
        <v>0</v>
      </c>
      <c r="AD198" s="4" t="s">
        <v>593</v>
      </c>
      <c r="AE198" s="4" t="s">
        <v>594</v>
      </c>
      <c r="AF198" s="4" t="s">
        <v>553</v>
      </c>
    </row>
    <row r="199" spans="1:35" ht="18" x14ac:dyDescent="0.3">
      <c r="A199" s="23" t="s">
        <v>595</v>
      </c>
      <c r="B199" s="23"/>
      <c r="C199" s="41" t="s">
        <v>549</v>
      </c>
      <c r="D199" s="25"/>
      <c r="E199" s="25" t="s">
        <v>550</v>
      </c>
      <c r="F199" s="42" t="s">
        <v>364</v>
      </c>
      <c r="G199" s="43">
        <v>0.3</v>
      </c>
      <c r="H199" s="25"/>
      <c r="I199" s="43">
        <v>46.893000000000001</v>
      </c>
      <c r="J199" s="44">
        <v>220</v>
      </c>
      <c r="K199" s="45"/>
      <c r="L199" s="45"/>
      <c r="M199" s="44">
        <f t="shared" si="50"/>
        <v>10316.459999999999</v>
      </c>
      <c r="N199" s="45"/>
      <c r="O199" s="45"/>
      <c r="P199" s="44">
        <v>545</v>
      </c>
      <c r="Q199" s="45"/>
      <c r="R199" s="45"/>
      <c r="S199" s="44">
        <f t="shared" si="51"/>
        <v>25556.69</v>
      </c>
      <c r="T199" s="45"/>
      <c r="U199" s="46"/>
      <c r="V199" s="9">
        <f t="shared" si="52"/>
        <v>454.17</v>
      </c>
      <c r="Y199" s="9">
        <f t="shared" si="53"/>
        <v>21297.24</v>
      </c>
      <c r="AD199" s="4" t="s">
        <v>596</v>
      </c>
      <c r="AE199" s="4" t="s">
        <v>594</v>
      </c>
      <c r="AF199" s="4" t="s">
        <v>553</v>
      </c>
    </row>
    <row r="200" spans="1:35" ht="90" x14ac:dyDescent="0.3">
      <c r="A200" s="17" t="s">
        <v>597</v>
      </c>
      <c r="B200" s="17" t="s">
        <v>598</v>
      </c>
      <c r="C200" s="18" t="s">
        <v>599</v>
      </c>
      <c r="D200" s="19"/>
      <c r="E200" s="19" t="s">
        <v>600</v>
      </c>
      <c r="F200" s="19" t="s">
        <v>76</v>
      </c>
      <c r="G200" s="20">
        <v>1</v>
      </c>
      <c r="H200" s="19"/>
      <c r="I200" s="21">
        <v>0</v>
      </c>
      <c r="J200" s="22">
        <v>0</v>
      </c>
      <c r="K200" s="22">
        <v>201</v>
      </c>
      <c r="L200" s="22">
        <f>J200+ROUND(K200, 2)</f>
        <v>201</v>
      </c>
      <c r="M200" s="22">
        <v>0</v>
      </c>
      <c r="N200" s="22">
        <v>0</v>
      </c>
      <c r="O200" s="22">
        <f>M200+N200</f>
        <v>0</v>
      </c>
      <c r="P200" s="22">
        <v>471.05</v>
      </c>
      <c r="Q200" s="22">
        <v>201</v>
      </c>
      <c r="R200" s="22">
        <f>P200+ROUND(Q200, 2)</f>
        <v>672.05</v>
      </c>
      <c r="S200" s="22">
        <v>0</v>
      </c>
      <c r="T200" s="22">
        <v>0</v>
      </c>
      <c r="U200" s="22">
        <f>S200+T200</f>
        <v>0</v>
      </c>
      <c r="V200" s="9">
        <f>ROUND(P200 / 1.2, 2)</f>
        <v>392.54</v>
      </c>
      <c r="W200" s="9">
        <f>ROUND(Q200 / 1.2, 2)</f>
        <v>167.5</v>
      </c>
      <c r="X200" s="9">
        <f>ROUND(R200 / 1.2, 2)</f>
        <v>560.04</v>
      </c>
      <c r="Y200" s="9">
        <f t="shared" si="53"/>
        <v>0</v>
      </c>
      <c r="Z200" s="9">
        <f>ROUND(T200 / 1.2, 2)</f>
        <v>0</v>
      </c>
      <c r="AA200" s="9">
        <f>Y200+Z200</f>
        <v>0</v>
      </c>
      <c r="AD200" s="4">
        <v>320320107</v>
      </c>
      <c r="AE200" s="4">
        <v>26813843</v>
      </c>
      <c r="AG200" s="4" t="s">
        <v>601</v>
      </c>
      <c r="AH200" s="4" t="s">
        <v>602</v>
      </c>
      <c r="AI200" s="4" t="s">
        <v>338</v>
      </c>
    </row>
    <row r="201" spans="1:35" ht="90" x14ac:dyDescent="0.3">
      <c r="A201" s="23" t="s">
        <v>603</v>
      </c>
      <c r="B201" s="23" t="s">
        <v>598</v>
      </c>
      <c r="C201" s="24" t="s">
        <v>599</v>
      </c>
      <c r="D201" s="25"/>
      <c r="E201" s="25" t="s">
        <v>600</v>
      </c>
      <c r="F201" s="25" t="s">
        <v>76</v>
      </c>
      <c r="G201" s="26">
        <v>1</v>
      </c>
      <c r="H201" s="25"/>
      <c r="I201" s="26">
        <v>544.5</v>
      </c>
      <c r="J201" s="27">
        <v>0</v>
      </c>
      <c r="K201" s="27">
        <v>201</v>
      </c>
      <c r="L201" s="27">
        <v>201</v>
      </c>
      <c r="M201" s="27">
        <v>0</v>
      </c>
      <c r="N201" s="27">
        <v>109444.5</v>
      </c>
      <c r="O201" s="27"/>
      <c r="P201" s="27">
        <v>471.05</v>
      </c>
      <c r="Q201" s="27">
        <v>201</v>
      </c>
      <c r="R201" s="27">
        <v>201</v>
      </c>
      <c r="S201" s="27">
        <v>256486.73</v>
      </c>
      <c r="T201" s="27">
        <v>109444.5</v>
      </c>
      <c r="U201" s="27"/>
      <c r="V201" s="9"/>
      <c r="W201" s="9">
        <f>ROUND(Q201 / 1.2, 2)</f>
        <v>167.5</v>
      </c>
      <c r="X201" s="9">
        <f>ROUND(R201 / 1.2, 2)</f>
        <v>167.5</v>
      </c>
      <c r="Y201" s="9"/>
      <c r="Z201" s="9">
        <f>ROUND(T201 / 1.2, 2)</f>
        <v>91203.75</v>
      </c>
      <c r="AA201" s="9"/>
      <c r="AD201" s="4">
        <v>315454872</v>
      </c>
      <c r="AE201" s="4">
        <v>26813843</v>
      </c>
      <c r="AG201" s="4" t="s">
        <v>601</v>
      </c>
      <c r="AH201" s="4" t="s">
        <v>602</v>
      </c>
      <c r="AI201" s="4"/>
    </row>
    <row r="202" spans="1:35" ht="54" x14ac:dyDescent="0.3">
      <c r="A202" s="17" t="s">
        <v>604</v>
      </c>
      <c r="B202" s="17"/>
      <c r="C202" s="34" t="s">
        <v>605</v>
      </c>
      <c r="D202" s="19"/>
      <c r="E202" s="19"/>
      <c r="F202" s="35" t="s">
        <v>76</v>
      </c>
      <c r="G202" s="36">
        <v>1.1000000000000001</v>
      </c>
      <c r="H202" s="19"/>
      <c r="I202" s="37">
        <v>0</v>
      </c>
      <c r="J202" s="38">
        <v>0</v>
      </c>
      <c r="K202" s="39"/>
      <c r="L202" s="39"/>
      <c r="M202" s="38">
        <f>ROUND(ROUND(J202, 2)*I202, 2)</f>
        <v>0</v>
      </c>
      <c r="N202" s="39"/>
      <c r="O202" s="39"/>
      <c r="P202" s="38">
        <v>378.5</v>
      </c>
      <c r="Q202" s="39"/>
      <c r="R202" s="39"/>
      <c r="S202" s="38">
        <f>ROUND(ROUND(P202, 2)*I202, 2)</f>
        <v>0</v>
      </c>
      <c r="T202" s="39"/>
      <c r="U202" s="40"/>
      <c r="V202" s="9">
        <f>ROUND(ROUND(P202, 2)/1.2, 2)</f>
        <v>315.42</v>
      </c>
      <c r="Y202" s="9">
        <f>ROUND(S202 / 1.2, 2)</f>
        <v>0</v>
      </c>
      <c r="AD202" s="4" t="s">
        <v>606</v>
      </c>
      <c r="AE202" s="4" t="s">
        <v>607</v>
      </c>
      <c r="AF202" s="4" t="s">
        <v>608</v>
      </c>
    </row>
    <row r="203" spans="1:35" ht="54" x14ac:dyDescent="0.3">
      <c r="A203" s="23" t="s">
        <v>609</v>
      </c>
      <c r="B203" s="23"/>
      <c r="C203" s="41" t="s">
        <v>605</v>
      </c>
      <c r="D203" s="25"/>
      <c r="E203" s="25"/>
      <c r="F203" s="42" t="s">
        <v>76</v>
      </c>
      <c r="G203" s="43">
        <v>1.1000000000000001</v>
      </c>
      <c r="H203" s="25"/>
      <c r="I203" s="43">
        <v>598.95000000000005</v>
      </c>
      <c r="J203" s="44">
        <v>0</v>
      </c>
      <c r="K203" s="45"/>
      <c r="L203" s="45"/>
      <c r="M203" s="44">
        <f>ROUND(ROUND(J203, 2)*I203, 2)</f>
        <v>0</v>
      </c>
      <c r="N203" s="45"/>
      <c r="O203" s="45"/>
      <c r="P203" s="44">
        <v>378.5</v>
      </c>
      <c r="Q203" s="45"/>
      <c r="R203" s="45"/>
      <c r="S203" s="44">
        <f>ROUND(ROUND(P203, 2)*I203, 2)</f>
        <v>226702.58</v>
      </c>
      <c r="T203" s="45"/>
      <c r="U203" s="46"/>
      <c r="V203" s="9">
        <f>ROUND(ROUND(P203, 2)/1.2, 2)</f>
        <v>315.42</v>
      </c>
      <c r="Y203" s="9">
        <f>ROUND(S203 / 1.2, 2)</f>
        <v>188918.82</v>
      </c>
      <c r="AD203" s="4" t="s">
        <v>610</v>
      </c>
      <c r="AE203" s="4" t="s">
        <v>607</v>
      </c>
      <c r="AF203" s="4" t="s">
        <v>608</v>
      </c>
    </row>
    <row r="204" spans="1:35" ht="36" x14ac:dyDescent="0.3">
      <c r="A204" s="17" t="s">
        <v>611</v>
      </c>
      <c r="B204" s="17"/>
      <c r="C204" s="34" t="s">
        <v>612</v>
      </c>
      <c r="D204" s="19"/>
      <c r="E204" s="19"/>
      <c r="F204" s="35" t="s">
        <v>356</v>
      </c>
      <c r="G204" s="36">
        <v>1</v>
      </c>
      <c r="H204" s="19"/>
      <c r="I204" s="48">
        <v>0</v>
      </c>
      <c r="J204" s="38">
        <v>0</v>
      </c>
      <c r="K204" s="39"/>
      <c r="L204" s="39"/>
      <c r="M204" s="38">
        <f>ROUND(ROUND(J204, 2)*I204, 2)</f>
        <v>0</v>
      </c>
      <c r="N204" s="39"/>
      <c r="O204" s="39"/>
      <c r="P204" s="38">
        <v>54.7</v>
      </c>
      <c r="Q204" s="39"/>
      <c r="R204" s="39"/>
      <c r="S204" s="38">
        <f>ROUND(ROUND(P204, 2)*I204, 2)</f>
        <v>0</v>
      </c>
      <c r="T204" s="39"/>
      <c r="U204" s="40"/>
      <c r="V204" s="9">
        <f>ROUND(ROUND(P204, 2)/1.2, 2)</f>
        <v>45.58</v>
      </c>
      <c r="Y204" s="9">
        <f>ROUND(S204 / 1.2, 2)</f>
        <v>0</v>
      </c>
      <c r="AD204" s="4" t="s">
        <v>613</v>
      </c>
      <c r="AE204" s="4" t="s">
        <v>614</v>
      </c>
      <c r="AF204" s="4" t="s">
        <v>615</v>
      </c>
    </row>
    <row r="205" spans="1:35" ht="36" x14ac:dyDescent="0.3">
      <c r="A205" s="23" t="s">
        <v>616</v>
      </c>
      <c r="B205" s="23"/>
      <c r="C205" s="41" t="s">
        <v>612</v>
      </c>
      <c r="D205" s="25"/>
      <c r="E205" s="25"/>
      <c r="F205" s="42" t="s">
        <v>356</v>
      </c>
      <c r="G205" s="43">
        <v>1</v>
      </c>
      <c r="H205" s="25"/>
      <c r="I205" s="50">
        <v>544.5</v>
      </c>
      <c r="J205" s="44">
        <v>0</v>
      </c>
      <c r="K205" s="45"/>
      <c r="L205" s="45"/>
      <c r="M205" s="44">
        <f>ROUND(ROUND(J205, 2)*I205, 2)</f>
        <v>0</v>
      </c>
      <c r="N205" s="45"/>
      <c r="O205" s="45"/>
      <c r="P205" s="44">
        <v>54.7</v>
      </c>
      <c r="Q205" s="45"/>
      <c r="R205" s="45"/>
      <c r="S205" s="44">
        <f>ROUND(ROUND(P205, 2)*I205, 2)</f>
        <v>29784.15</v>
      </c>
      <c r="T205" s="45"/>
      <c r="U205" s="46"/>
      <c r="V205" s="9">
        <f>ROUND(ROUND(P205, 2)/1.2, 2)</f>
        <v>45.58</v>
      </c>
      <c r="Y205" s="9">
        <f>ROUND(S205 / 1.2, 2)</f>
        <v>24820.13</v>
      </c>
      <c r="AD205" s="4" t="s">
        <v>617</v>
      </c>
      <c r="AE205" s="4" t="s">
        <v>614</v>
      </c>
      <c r="AF205" s="4" t="s">
        <v>615</v>
      </c>
    </row>
    <row r="206" spans="1:35" ht="36" x14ac:dyDescent="0.3">
      <c r="A206" s="17" t="s">
        <v>618</v>
      </c>
      <c r="B206" s="17" t="s">
        <v>619</v>
      </c>
      <c r="C206" s="18" t="s">
        <v>620</v>
      </c>
      <c r="D206" s="19"/>
      <c r="E206" s="19" t="s">
        <v>621</v>
      </c>
      <c r="F206" s="19" t="s">
        <v>61</v>
      </c>
      <c r="G206" s="20">
        <v>1</v>
      </c>
      <c r="H206" s="19"/>
      <c r="I206" s="21">
        <v>0</v>
      </c>
      <c r="J206" s="22">
        <v>4447.13</v>
      </c>
      <c r="K206" s="22">
        <v>2310</v>
      </c>
      <c r="L206" s="22">
        <f>J206+ROUND(K206, 2)</f>
        <v>6757.13</v>
      </c>
      <c r="M206" s="22">
        <v>0</v>
      </c>
      <c r="N206" s="22">
        <v>0</v>
      </c>
      <c r="O206" s="22">
        <f>M206+N206</f>
        <v>0</v>
      </c>
      <c r="P206" s="22">
        <v>4447.13</v>
      </c>
      <c r="Q206" s="22">
        <v>2310</v>
      </c>
      <c r="R206" s="22">
        <f>P206+ROUND(Q206, 2)</f>
        <v>6757.13</v>
      </c>
      <c r="S206" s="22">
        <v>0</v>
      </c>
      <c r="T206" s="22">
        <v>0</v>
      </c>
      <c r="U206" s="22">
        <f>S206+T206</f>
        <v>0</v>
      </c>
      <c r="V206" s="9">
        <f>ROUND(P206 / 1.2, 2)</f>
        <v>3705.94</v>
      </c>
      <c r="W206" s="9">
        <f>ROUND(Q206 / 1.2, 2)</f>
        <v>1925</v>
      </c>
      <c r="X206" s="9">
        <f>ROUND(R206 / 1.2, 2)</f>
        <v>5630.94</v>
      </c>
      <c r="Y206" s="9">
        <f>ROUND(S206 / 1.2, 2)</f>
        <v>0</v>
      </c>
      <c r="Z206" s="9">
        <f>ROUND(T206 / 1.2, 2)</f>
        <v>0</v>
      </c>
      <c r="AA206" s="9">
        <f>Y206+Z206</f>
        <v>0</v>
      </c>
      <c r="AD206" s="4">
        <v>320320109</v>
      </c>
      <c r="AE206" s="4">
        <v>26813851</v>
      </c>
      <c r="AG206" s="4" t="s">
        <v>622</v>
      </c>
      <c r="AH206" s="4" t="s">
        <v>623</v>
      </c>
      <c r="AI206" s="4" t="s">
        <v>338</v>
      </c>
    </row>
    <row r="207" spans="1:35" ht="36" x14ac:dyDescent="0.3">
      <c r="A207" s="23" t="s">
        <v>624</v>
      </c>
      <c r="B207" s="23" t="s">
        <v>619</v>
      </c>
      <c r="C207" s="24" t="s">
        <v>620</v>
      </c>
      <c r="D207" s="25"/>
      <c r="E207" s="25" t="s">
        <v>621</v>
      </c>
      <c r="F207" s="25" t="s">
        <v>61</v>
      </c>
      <c r="G207" s="26">
        <v>1</v>
      </c>
      <c r="H207" s="25"/>
      <c r="I207" s="26">
        <v>276.45999999999998</v>
      </c>
      <c r="J207" s="27">
        <v>4447.13</v>
      </c>
      <c r="K207" s="27">
        <v>2310</v>
      </c>
      <c r="L207" s="27">
        <v>2310</v>
      </c>
      <c r="M207" s="27">
        <v>1229453.56</v>
      </c>
      <c r="N207" s="27">
        <v>638622.6</v>
      </c>
      <c r="O207" s="27"/>
      <c r="P207" s="27">
        <v>4447.13</v>
      </c>
      <c r="Q207" s="27">
        <v>2310</v>
      </c>
      <c r="R207" s="27">
        <v>2310</v>
      </c>
      <c r="S207" s="27">
        <v>1229453.56</v>
      </c>
      <c r="T207" s="27">
        <v>638622.6</v>
      </c>
      <c r="U207" s="27"/>
      <c r="V207" s="9"/>
      <c r="W207" s="9">
        <f>ROUND(Q207 / 1.2, 2)</f>
        <v>1925</v>
      </c>
      <c r="X207" s="9">
        <f>ROUND(R207 / 1.2, 2)</f>
        <v>1925</v>
      </c>
      <c r="Y207" s="9"/>
      <c r="Z207" s="9">
        <f>ROUND(T207 / 1.2, 2)</f>
        <v>532185.5</v>
      </c>
      <c r="AA207" s="9"/>
      <c r="AD207" s="4">
        <v>315454874</v>
      </c>
      <c r="AE207" s="4">
        <v>26813851</v>
      </c>
      <c r="AG207" s="4" t="s">
        <v>622</v>
      </c>
      <c r="AH207" s="4" t="s">
        <v>623</v>
      </c>
      <c r="AI207" s="4"/>
    </row>
    <row r="208" spans="1:35" ht="72" x14ac:dyDescent="0.3">
      <c r="A208" s="17" t="s">
        <v>625</v>
      </c>
      <c r="B208" s="17"/>
      <c r="C208" s="34" t="s">
        <v>626</v>
      </c>
      <c r="D208" s="19"/>
      <c r="E208" s="19" t="s">
        <v>627</v>
      </c>
      <c r="F208" s="35" t="s">
        <v>356</v>
      </c>
      <c r="G208" s="36">
        <v>4</v>
      </c>
      <c r="H208" s="19"/>
      <c r="I208" s="37">
        <v>0</v>
      </c>
      <c r="J208" s="38">
        <v>1100.4000000000001</v>
      </c>
      <c r="K208" s="39"/>
      <c r="L208" s="39"/>
      <c r="M208" s="38">
        <f t="shared" ref="M208:M215" si="54">ROUND(ROUND(J208, 2)*I208, 2)</f>
        <v>0</v>
      </c>
      <c r="N208" s="39"/>
      <c r="O208" s="39"/>
      <c r="P208" s="38">
        <v>1100.4000000000001</v>
      </c>
      <c r="Q208" s="39"/>
      <c r="R208" s="39"/>
      <c r="S208" s="38">
        <f t="shared" ref="S208:S215" si="55">ROUND(ROUND(P208, 2)*I208, 2)</f>
        <v>0</v>
      </c>
      <c r="T208" s="39"/>
      <c r="U208" s="40"/>
      <c r="V208" s="9">
        <f t="shared" ref="V208:V215" si="56">ROUND(ROUND(P208, 2)/1.2, 2)</f>
        <v>917</v>
      </c>
      <c r="Y208" s="9">
        <f t="shared" ref="Y208:Y216" si="57">ROUND(S208 / 1.2, 2)</f>
        <v>0</v>
      </c>
      <c r="AD208" s="4" t="s">
        <v>628</v>
      </c>
      <c r="AE208" s="4" t="s">
        <v>629</v>
      </c>
      <c r="AF208" s="4" t="s">
        <v>630</v>
      </c>
    </row>
    <row r="209" spans="1:35" ht="72" x14ac:dyDescent="0.3">
      <c r="A209" s="23" t="s">
        <v>631</v>
      </c>
      <c r="B209" s="23"/>
      <c r="C209" s="41" t="s">
        <v>626</v>
      </c>
      <c r="D209" s="25"/>
      <c r="E209" s="25" t="s">
        <v>627</v>
      </c>
      <c r="F209" s="42" t="s">
        <v>356</v>
      </c>
      <c r="G209" s="43">
        <v>4</v>
      </c>
      <c r="H209" s="25"/>
      <c r="I209" s="43">
        <v>1105.8399999999999</v>
      </c>
      <c r="J209" s="44">
        <v>1100.4000000000001</v>
      </c>
      <c r="K209" s="45"/>
      <c r="L209" s="45"/>
      <c r="M209" s="44">
        <f t="shared" si="54"/>
        <v>1216866.3400000001</v>
      </c>
      <c r="N209" s="45"/>
      <c r="O209" s="45"/>
      <c r="P209" s="44">
        <v>1100.4000000000001</v>
      </c>
      <c r="Q209" s="45"/>
      <c r="R209" s="45"/>
      <c r="S209" s="44">
        <f t="shared" si="55"/>
        <v>1216866.3400000001</v>
      </c>
      <c r="T209" s="45"/>
      <c r="U209" s="46"/>
      <c r="V209" s="9">
        <f t="shared" si="56"/>
        <v>917</v>
      </c>
      <c r="Y209" s="9">
        <f t="shared" si="57"/>
        <v>1014055.28</v>
      </c>
      <c r="AD209" s="4" t="s">
        <v>632</v>
      </c>
      <c r="AE209" s="4" t="s">
        <v>629</v>
      </c>
      <c r="AF209" s="4" t="s">
        <v>630</v>
      </c>
    </row>
    <row r="210" spans="1:35" ht="36" x14ac:dyDescent="0.3">
      <c r="A210" s="17" t="s">
        <v>633</v>
      </c>
      <c r="B210" s="17"/>
      <c r="C210" s="34" t="s">
        <v>634</v>
      </c>
      <c r="D210" s="19"/>
      <c r="E210" s="19"/>
      <c r="F210" s="35" t="s">
        <v>364</v>
      </c>
      <c r="G210" s="36">
        <v>1.2</v>
      </c>
      <c r="H210" s="19"/>
      <c r="I210" s="48">
        <v>0</v>
      </c>
      <c r="J210" s="38">
        <v>16.96</v>
      </c>
      <c r="K210" s="39"/>
      <c r="L210" s="39"/>
      <c r="M210" s="38">
        <f t="shared" si="54"/>
        <v>0</v>
      </c>
      <c r="N210" s="39"/>
      <c r="O210" s="39"/>
      <c r="P210" s="38">
        <v>16.96</v>
      </c>
      <c r="Q210" s="39"/>
      <c r="R210" s="39"/>
      <c r="S210" s="38">
        <f t="shared" si="55"/>
        <v>0</v>
      </c>
      <c r="T210" s="39"/>
      <c r="U210" s="40"/>
      <c r="V210" s="9">
        <f t="shared" si="56"/>
        <v>14.13</v>
      </c>
      <c r="Y210" s="9">
        <f t="shared" si="57"/>
        <v>0</v>
      </c>
      <c r="AD210" s="4" t="s">
        <v>635</v>
      </c>
      <c r="AE210" s="4" t="s">
        <v>636</v>
      </c>
      <c r="AF210" s="4" t="s">
        <v>637</v>
      </c>
    </row>
    <row r="211" spans="1:35" ht="36" x14ac:dyDescent="0.3">
      <c r="A211" s="23" t="s">
        <v>638</v>
      </c>
      <c r="B211" s="23"/>
      <c r="C211" s="41" t="s">
        <v>634</v>
      </c>
      <c r="D211" s="25"/>
      <c r="E211" s="25"/>
      <c r="F211" s="42" t="s">
        <v>364</v>
      </c>
      <c r="G211" s="43">
        <v>1.2</v>
      </c>
      <c r="H211" s="25"/>
      <c r="I211" s="50">
        <v>331.75200000000001</v>
      </c>
      <c r="J211" s="44">
        <v>16.96</v>
      </c>
      <c r="K211" s="45"/>
      <c r="L211" s="45"/>
      <c r="M211" s="44">
        <f t="shared" si="54"/>
        <v>5626.51</v>
      </c>
      <c r="N211" s="45"/>
      <c r="O211" s="45"/>
      <c r="P211" s="44">
        <v>16.96</v>
      </c>
      <c r="Q211" s="45"/>
      <c r="R211" s="45"/>
      <c r="S211" s="44">
        <f t="shared" si="55"/>
        <v>5626.51</v>
      </c>
      <c r="T211" s="45"/>
      <c r="U211" s="46"/>
      <c r="V211" s="9">
        <f t="shared" si="56"/>
        <v>14.13</v>
      </c>
      <c r="Y211" s="9">
        <f t="shared" si="57"/>
        <v>4688.76</v>
      </c>
      <c r="AD211" s="4" t="s">
        <v>639</v>
      </c>
      <c r="AE211" s="4" t="s">
        <v>636</v>
      </c>
      <c r="AF211" s="4" t="s">
        <v>637</v>
      </c>
    </row>
    <row r="212" spans="1:35" ht="18" x14ac:dyDescent="0.3">
      <c r="A212" s="17" t="s">
        <v>640</v>
      </c>
      <c r="B212" s="17"/>
      <c r="C212" s="34" t="s">
        <v>641</v>
      </c>
      <c r="D212" s="19"/>
      <c r="E212" s="19"/>
      <c r="F212" s="35" t="s">
        <v>364</v>
      </c>
      <c r="G212" s="36">
        <v>0.25</v>
      </c>
      <c r="H212" s="19"/>
      <c r="I212" s="37">
        <v>0</v>
      </c>
      <c r="J212" s="38">
        <v>47.44</v>
      </c>
      <c r="K212" s="39"/>
      <c r="L212" s="39"/>
      <c r="M212" s="38">
        <f t="shared" si="54"/>
        <v>0</v>
      </c>
      <c r="N212" s="39"/>
      <c r="O212" s="39"/>
      <c r="P212" s="38">
        <v>47.44</v>
      </c>
      <c r="Q212" s="39"/>
      <c r="R212" s="39"/>
      <c r="S212" s="38">
        <f t="shared" si="55"/>
        <v>0</v>
      </c>
      <c r="T212" s="39"/>
      <c r="U212" s="40"/>
      <c r="V212" s="9">
        <f t="shared" si="56"/>
        <v>39.53</v>
      </c>
      <c r="Y212" s="9">
        <f t="shared" si="57"/>
        <v>0</v>
      </c>
      <c r="AD212" s="4" t="s">
        <v>642</v>
      </c>
      <c r="AE212" s="4" t="s">
        <v>643</v>
      </c>
      <c r="AF212" s="4" t="s">
        <v>644</v>
      </c>
    </row>
    <row r="213" spans="1:35" ht="18" x14ac:dyDescent="0.3">
      <c r="A213" s="23" t="s">
        <v>645</v>
      </c>
      <c r="B213" s="23"/>
      <c r="C213" s="41" t="s">
        <v>641</v>
      </c>
      <c r="D213" s="25"/>
      <c r="E213" s="25"/>
      <c r="F213" s="42" t="s">
        <v>364</v>
      </c>
      <c r="G213" s="43">
        <v>0.25</v>
      </c>
      <c r="H213" s="25"/>
      <c r="I213" s="43">
        <v>69.114999999999995</v>
      </c>
      <c r="J213" s="44">
        <v>47.44</v>
      </c>
      <c r="K213" s="45"/>
      <c r="L213" s="45"/>
      <c r="M213" s="44">
        <f t="shared" si="54"/>
        <v>3278.82</v>
      </c>
      <c r="N213" s="45"/>
      <c r="O213" s="45"/>
      <c r="P213" s="44">
        <v>47.44</v>
      </c>
      <c r="Q213" s="45"/>
      <c r="R213" s="45"/>
      <c r="S213" s="44">
        <f t="shared" si="55"/>
        <v>3278.82</v>
      </c>
      <c r="T213" s="45"/>
      <c r="U213" s="46"/>
      <c r="V213" s="9">
        <f t="shared" si="56"/>
        <v>39.53</v>
      </c>
      <c r="Y213" s="9">
        <f t="shared" si="57"/>
        <v>2732.35</v>
      </c>
      <c r="AD213" s="4" t="s">
        <v>646</v>
      </c>
      <c r="AE213" s="4" t="s">
        <v>643</v>
      </c>
      <c r="AF213" s="4" t="s">
        <v>644</v>
      </c>
    </row>
    <row r="214" spans="1:35" ht="36" x14ac:dyDescent="0.3">
      <c r="A214" s="17" t="s">
        <v>647</v>
      </c>
      <c r="B214" s="17"/>
      <c r="C214" s="34" t="s">
        <v>397</v>
      </c>
      <c r="D214" s="19"/>
      <c r="E214" s="19"/>
      <c r="F214" s="35" t="s">
        <v>364</v>
      </c>
      <c r="G214" s="36">
        <v>0.15</v>
      </c>
      <c r="H214" s="19"/>
      <c r="I214" s="37">
        <v>0</v>
      </c>
      <c r="J214" s="38">
        <v>88.8</v>
      </c>
      <c r="K214" s="39"/>
      <c r="L214" s="39"/>
      <c r="M214" s="38">
        <f t="shared" si="54"/>
        <v>0</v>
      </c>
      <c r="N214" s="39"/>
      <c r="O214" s="39"/>
      <c r="P214" s="38">
        <v>88.8</v>
      </c>
      <c r="Q214" s="39"/>
      <c r="R214" s="39"/>
      <c r="S214" s="38">
        <f t="shared" si="55"/>
        <v>0</v>
      </c>
      <c r="T214" s="39"/>
      <c r="U214" s="40"/>
      <c r="V214" s="9">
        <f t="shared" si="56"/>
        <v>74</v>
      </c>
      <c r="Y214" s="9">
        <f t="shared" si="57"/>
        <v>0</v>
      </c>
      <c r="AD214" s="4" t="s">
        <v>648</v>
      </c>
      <c r="AE214" s="4" t="s">
        <v>649</v>
      </c>
      <c r="AF214" s="4" t="s">
        <v>400</v>
      </c>
    </row>
    <row r="215" spans="1:35" ht="36" x14ac:dyDescent="0.3">
      <c r="A215" s="23" t="s">
        <v>650</v>
      </c>
      <c r="B215" s="23"/>
      <c r="C215" s="41" t="s">
        <v>397</v>
      </c>
      <c r="D215" s="25"/>
      <c r="E215" s="25"/>
      <c r="F215" s="42" t="s">
        <v>364</v>
      </c>
      <c r="G215" s="43">
        <v>0.15</v>
      </c>
      <c r="H215" s="25"/>
      <c r="I215" s="43">
        <v>41.469000000000001</v>
      </c>
      <c r="J215" s="44">
        <v>88.8</v>
      </c>
      <c r="K215" s="45"/>
      <c r="L215" s="45"/>
      <c r="M215" s="44">
        <f t="shared" si="54"/>
        <v>3682.45</v>
      </c>
      <c r="N215" s="45"/>
      <c r="O215" s="45"/>
      <c r="P215" s="44">
        <v>88.8</v>
      </c>
      <c r="Q215" s="45"/>
      <c r="R215" s="45"/>
      <c r="S215" s="44">
        <f t="shared" si="55"/>
        <v>3682.45</v>
      </c>
      <c r="T215" s="45"/>
      <c r="U215" s="46"/>
      <c r="V215" s="9">
        <f t="shared" si="56"/>
        <v>74</v>
      </c>
      <c r="Y215" s="9">
        <f t="shared" si="57"/>
        <v>3068.71</v>
      </c>
      <c r="AD215" s="4" t="s">
        <v>651</v>
      </c>
      <c r="AE215" s="4" t="s">
        <v>649</v>
      </c>
      <c r="AF215" s="4" t="s">
        <v>400</v>
      </c>
    </row>
    <row r="216" spans="1:35" ht="36" x14ac:dyDescent="0.3">
      <c r="A216" s="17" t="s">
        <v>652</v>
      </c>
      <c r="B216" s="17" t="s">
        <v>653</v>
      </c>
      <c r="C216" s="18" t="s">
        <v>654</v>
      </c>
      <c r="D216" s="19"/>
      <c r="E216" s="19" t="s">
        <v>655</v>
      </c>
      <c r="F216" s="19" t="s">
        <v>76</v>
      </c>
      <c r="G216" s="20">
        <v>1</v>
      </c>
      <c r="H216" s="19"/>
      <c r="I216" s="21">
        <v>0</v>
      </c>
      <c r="J216" s="22">
        <v>844.85</v>
      </c>
      <c r="K216" s="22">
        <v>473</v>
      </c>
      <c r="L216" s="22">
        <f>J216+ROUND(K216, 2)</f>
        <v>1317.85</v>
      </c>
      <c r="M216" s="22">
        <v>0</v>
      </c>
      <c r="N216" s="22">
        <v>0</v>
      </c>
      <c r="O216" s="22">
        <f>M216+N216</f>
        <v>0</v>
      </c>
      <c r="P216" s="22">
        <v>844.85</v>
      </c>
      <c r="Q216" s="22">
        <v>473</v>
      </c>
      <c r="R216" s="22">
        <f>P216+ROUND(Q216, 2)</f>
        <v>1317.85</v>
      </c>
      <c r="S216" s="22">
        <v>0</v>
      </c>
      <c r="T216" s="22">
        <v>0</v>
      </c>
      <c r="U216" s="22">
        <f>S216+T216</f>
        <v>0</v>
      </c>
      <c r="V216" s="9">
        <f>ROUND(P216 / 1.2, 2)</f>
        <v>704.04</v>
      </c>
      <c r="W216" s="9">
        <f>ROUND(Q216 / 1.2, 2)</f>
        <v>394.17</v>
      </c>
      <c r="X216" s="9">
        <f>ROUND(R216 / 1.2, 2)</f>
        <v>1098.21</v>
      </c>
      <c r="Y216" s="9">
        <f t="shared" si="57"/>
        <v>0</v>
      </c>
      <c r="Z216" s="9">
        <f>ROUND(T216 / 1.2, 2)</f>
        <v>0</v>
      </c>
      <c r="AA216" s="9">
        <f>Y216+Z216</f>
        <v>0</v>
      </c>
      <c r="AD216" s="4">
        <v>320320111</v>
      </c>
      <c r="AE216" s="4">
        <v>26813832</v>
      </c>
      <c r="AG216" s="4" t="s">
        <v>656</v>
      </c>
      <c r="AH216" s="4" t="s">
        <v>657</v>
      </c>
      <c r="AI216" s="4" t="s">
        <v>338</v>
      </c>
    </row>
    <row r="217" spans="1:35" ht="36" x14ac:dyDescent="0.3">
      <c r="A217" s="23" t="s">
        <v>658</v>
      </c>
      <c r="B217" s="23" t="s">
        <v>653</v>
      </c>
      <c r="C217" s="24" t="s">
        <v>654</v>
      </c>
      <c r="D217" s="25"/>
      <c r="E217" s="25" t="s">
        <v>655</v>
      </c>
      <c r="F217" s="25" t="s">
        <v>76</v>
      </c>
      <c r="G217" s="26">
        <v>1</v>
      </c>
      <c r="H217" s="25"/>
      <c r="I217" s="26">
        <v>3328.1</v>
      </c>
      <c r="J217" s="27">
        <v>844.85</v>
      </c>
      <c r="K217" s="27">
        <v>473</v>
      </c>
      <c r="L217" s="27">
        <v>473</v>
      </c>
      <c r="M217" s="27">
        <v>2811745.29</v>
      </c>
      <c r="N217" s="27">
        <v>1574191.3</v>
      </c>
      <c r="O217" s="27"/>
      <c r="P217" s="27">
        <v>844.85</v>
      </c>
      <c r="Q217" s="27">
        <v>473</v>
      </c>
      <c r="R217" s="27">
        <v>473</v>
      </c>
      <c r="S217" s="27">
        <v>2811745.29</v>
      </c>
      <c r="T217" s="27">
        <v>1574191.3</v>
      </c>
      <c r="U217" s="27"/>
      <c r="V217" s="9"/>
      <c r="W217" s="9">
        <f>ROUND(Q217 / 1.2, 2)</f>
        <v>394.17</v>
      </c>
      <c r="X217" s="9">
        <f>ROUND(R217 / 1.2, 2)</f>
        <v>394.17</v>
      </c>
      <c r="Y217" s="9"/>
      <c r="Z217" s="9">
        <f>ROUND(T217 / 1.2, 2)</f>
        <v>1311826.08</v>
      </c>
      <c r="AA217" s="9"/>
      <c r="AD217" s="4">
        <v>315454876</v>
      </c>
      <c r="AE217" s="4">
        <v>26813832</v>
      </c>
      <c r="AG217" s="4" t="s">
        <v>656</v>
      </c>
      <c r="AH217" s="4" t="s">
        <v>657</v>
      </c>
      <c r="AI217" s="4"/>
    </row>
    <row r="218" spans="1:35" ht="36" x14ac:dyDescent="0.3">
      <c r="A218" s="17" t="s">
        <v>659</v>
      </c>
      <c r="B218" s="17"/>
      <c r="C218" s="34" t="s">
        <v>660</v>
      </c>
      <c r="D218" s="19"/>
      <c r="E218" s="19"/>
      <c r="F218" s="35" t="s">
        <v>364</v>
      </c>
      <c r="G218" s="36">
        <v>0.7</v>
      </c>
      <c r="H218" s="19"/>
      <c r="I218" s="48">
        <v>0</v>
      </c>
      <c r="J218" s="38">
        <v>16.96</v>
      </c>
      <c r="K218" s="39"/>
      <c r="L218" s="39"/>
      <c r="M218" s="38">
        <f t="shared" ref="M218:M225" si="58">ROUND(ROUND(J218, 2)*I218, 2)</f>
        <v>0</v>
      </c>
      <c r="N218" s="39"/>
      <c r="O218" s="39"/>
      <c r="P218" s="38">
        <v>16.96</v>
      </c>
      <c r="Q218" s="39"/>
      <c r="R218" s="39"/>
      <c r="S218" s="38">
        <f t="shared" ref="S218:S225" si="59">ROUND(ROUND(P218, 2)*I218, 2)</f>
        <v>0</v>
      </c>
      <c r="T218" s="39"/>
      <c r="U218" s="40"/>
      <c r="V218" s="9">
        <f t="shared" ref="V218:V225" si="60">ROUND(ROUND(P218, 2)/1.2, 2)</f>
        <v>14.13</v>
      </c>
      <c r="Y218" s="9">
        <f t="shared" ref="Y218:Y226" si="61">ROUND(S218 / 1.2, 2)</f>
        <v>0</v>
      </c>
      <c r="AD218" s="4" t="s">
        <v>661</v>
      </c>
      <c r="AE218" s="4" t="s">
        <v>662</v>
      </c>
      <c r="AF218" s="4" t="s">
        <v>663</v>
      </c>
    </row>
    <row r="219" spans="1:35" ht="36" x14ac:dyDescent="0.3">
      <c r="A219" s="23" t="s">
        <v>664</v>
      </c>
      <c r="B219" s="23"/>
      <c r="C219" s="41" t="s">
        <v>660</v>
      </c>
      <c r="D219" s="25"/>
      <c r="E219" s="25"/>
      <c r="F219" s="42" t="s">
        <v>364</v>
      </c>
      <c r="G219" s="43">
        <v>0.7</v>
      </c>
      <c r="H219" s="25"/>
      <c r="I219" s="50">
        <v>2329.67</v>
      </c>
      <c r="J219" s="44">
        <v>16.96</v>
      </c>
      <c r="K219" s="45"/>
      <c r="L219" s="45"/>
      <c r="M219" s="44">
        <f t="shared" si="58"/>
        <v>39511.199999999997</v>
      </c>
      <c r="N219" s="45"/>
      <c r="O219" s="45"/>
      <c r="P219" s="44">
        <v>16.96</v>
      </c>
      <c r="Q219" s="45"/>
      <c r="R219" s="45"/>
      <c r="S219" s="44">
        <f t="shared" si="59"/>
        <v>39511.199999999997</v>
      </c>
      <c r="T219" s="45"/>
      <c r="U219" s="46"/>
      <c r="V219" s="9">
        <f t="shared" si="60"/>
        <v>14.13</v>
      </c>
      <c r="Y219" s="9">
        <f t="shared" si="61"/>
        <v>32926</v>
      </c>
      <c r="AD219" s="4" t="s">
        <v>665</v>
      </c>
      <c r="AE219" s="4" t="s">
        <v>662</v>
      </c>
      <c r="AF219" s="4" t="s">
        <v>663</v>
      </c>
    </row>
    <row r="220" spans="1:35" ht="72" x14ac:dyDescent="0.3">
      <c r="A220" s="17" t="s">
        <v>666</v>
      </c>
      <c r="B220" s="17"/>
      <c r="C220" s="34" t="s">
        <v>667</v>
      </c>
      <c r="D220" s="19"/>
      <c r="E220" s="19" t="s">
        <v>668</v>
      </c>
      <c r="F220" s="35" t="s">
        <v>356</v>
      </c>
      <c r="G220" s="36">
        <v>1.84</v>
      </c>
      <c r="H220" s="19"/>
      <c r="I220" s="48">
        <v>0</v>
      </c>
      <c r="J220" s="38">
        <v>450.95</v>
      </c>
      <c r="K220" s="39"/>
      <c r="L220" s="39"/>
      <c r="M220" s="38">
        <f t="shared" si="58"/>
        <v>0</v>
      </c>
      <c r="N220" s="39"/>
      <c r="O220" s="39"/>
      <c r="P220" s="38">
        <v>450.95</v>
      </c>
      <c r="Q220" s="39"/>
      <c r="R220" s="39"/>
      <c r="S220" s="38">
        <f t="shared" si="59"/>
        <v>0</v>
      </c>
      <c r="T220" s="39"/>
      <c r="U220" s="40"/>
      <c r="V220" s="9">
        <f t="shared" si="60"/>
        <v>375.79</v>
      </c>
      <c r="Y220" s="9">
        <f t="shared" si="61"/>
        <v>0</v>
      </c>
      <c r="AD220" s="4" t="s">
        <v>669</v>
      </c>
      <c r="AE220" s="4" t="s">
        <v>670</v>
      </c>
      <c r="AF220" s="4" t="s">
        <v>671</v>
      </c>
    </row>
    <row r="221" spans="1:35" ht="72" x14ac:dyDescent="0.3">
      <c r="A221" s="23" t="s">
        <v>672</v>
      </c>
      <c r="B221" s="23"/>
      <c r="C221" s="41" t="s">
        <v>667</v>
      </c>
      <c r="D221" s="25"/>
      <c r="E221" s="25" t="s">
        <v>668</v>
      </c>
      <c r="F221" s="42" t="s">
        <v>356</v>
      </c>
      <c r="G221" s="43">
        <v>1.84</v>
      </c>
      <c r="H221" s="25"/>
      <c r="I221" s="50">
        <v>6123.7039999999997</v>
      </c>
      <c r="J221" s="44">
        <v>450.95</v>
      </c>
      <c r="K221" s="45"/>
      <c r="L221" s="45"/>
      <c r="M221" s="44">
        <f t="shared" si="58"/>
        <v>2761484.32</v>
      </c>
      <c r="N221" s="45"/>
      <c r="O221" s="45"/>
      <c r="P221" s="44">
        <v>450.95</v>
      </c>
      <c r="Q221" s="45"/>
      <c r="R221" s="45"/>
      <c r="S221" s="44">
        <f t="shared" si="59"/>
        <v>2761484.32</v>
      </c>
      <c r="T221" s="45"/>
      <c r="U221" s="46"/>
      <c r="V221" s="9">
        <f t="shared" si="60"/>
        <v>375.79</v>
      </c>
      <c r="Y221" s="9">
        <f t="shared" si="61"/>
        <v>2301236.9300000002</v>
      </c>
      <c r="AD221" s="4" t="s">
        <v>673</v>
      </c>
      <c r="AE221" s="4" t="s">
        <v>670</v>
      </c>
      <c r="AF221" s="4" t="s">
        <v>671</v>
      </c>
    </row>
    <row r="222" spans="1:35" ht="18" x14ac:dyDescent="0.3">
      <c r="A222" s="17" t="s">
        <v>674</v>
      </c>
      <c r="B222" s="17"/>
      <c r="C222" s="34" t="s">
        <v>641</v>
      </c>
      <c r="D222" s="19"/>
      <c r="E222" s="19"/>
      <c r="F222" s="35" t="s">
        <v>364</v>
      </c>
      <c r="G222" s="36">
        <v>0.04</v>
      </c>
      <c r="H222" s="19"/>
      <c r="I222" s="37">
        <v>0</v>
      </c>
      <c r="J222" s="38">
        <v>47.44</v>
      </c>
      <c r="K222" s="39"/>
      <c r="L222" s="39"/>
      <c r="M222" s="38">
        <f t="shared" si="58"/>
        <v>0</v>
      </c>
      <c r="N222" s="39"/>
      <c r="O222" s="39"/>
      <c r="P222" s="38">
        <v>47.44</v>
      </c>
      <c r="Q222" s="39"/>
      <c r="R222" s="39"/>
      <c r="S222" s="38">
        <f t="shared" si="59"/>
        <v>0</v>
      </c>
      <c r="T222" s="39"/>
      <c r="U222" s="40"/>
      <c r="V222" s="9">
        <f t="shared" si="60"/>
        <v>39.53</v>
      </c>
      <c r="Y222" s="9">
        <f t="shared" si="61"/>
        <v>0</v>
      </c>
      <c r="AD222" s="4" t="s">
        <v>675</v>
      </c>
      <c r="AE222" s="4" t="s">
        <v>676</v>
      </c>
      <c r="AF222" s="4" t="s">
        <v>644</v>
      </c>
    </row>
    <row r="223" spans="1:35" ht="18" x14ac:dyDescent="0.3">
      <c r="A223" s="23" t="s">
        <v>677</v>
      </c>
      <c r="B223" s="23"/>
      <c r="C223" s="41" t="s">
        <v>641</v>
      </c>
      <c r="D223" s="25"/>
      <c r="E223" s="25"/>
      <c r="F223" s="42" t="s">
        <v>364</v>
      </c>
      <c r="G223" s="43">
        <v>0.04</v>
      </c>
      <c r="H223" s="25"/>
      <c r="I223" s="43">
        <v>133.124</v>
      </c>
      <c r="J223" s="44">
        <v>47.44</v>
      </c>
      <c r="K223" s="45"/>
      <c r="L223" s="45"/>
      <c r="M223" s="44">
        <f t="shared" si="58"/>
        <v>6315.4</v>
      </c>
      <c r="N223" s="45"/>
      <c r="O223" s="45"/>
      <c r="P223" s="44">
        <v>47.44</v>
      </c>
      <c r="Q223" s="45"/>
      <c r="R223" s="45"/>
      <c r="S223" s="44">
        <f t="shared" si="59"/>
        <v>6315.4</v>
      </c>
      <c r="T223" s="45"/>
      <c r="U223" s="46"/>
      <c r="V223" s="9">
        <f t="shared" si="60"/>
        <v>39.53</v>
      </c>
      <c r="Y223" s="9">
        <f t="shared" si="61"/>
        <v>5262.83</v>
      </c>
      <c r="AD223" s="4" t="s">
        <v>678</v>
      </c>
      <c r="AE223" s="4" t="s">
        <v>676</v>
      </c>
      <c r="AF223" s="4" t="s">
        <v>644</v>
      </c>
    </row>
    <row r="224" spans="1:35" ht="36" x14ac:dyDescent="0.3">
      <c r="A224" s="17" t="s">
        <v>679</v>
      </c>
      <c r="B224" s="17"/>
      <c r="C224" s="34" t="s">
        <v>680</v>
      </c>
      <c r="D224" s="19"/>
      <c r="E224" s="19"/>
      <c r="F224" s="35" t="s">
        <v>364</v>
      </c>
      <c r="G224" s="36">
        <v>1.4999999999999999E-2</v>
      </c>
      <c r="H224" s="19"/>
      <c r="I224" s="37">
        <v>0</v>
      </c>
      <c r="J224" s="38">
        <v>88.8</v>
      </c>
      <c r="K224" s="39"/>
      <c r="L224" s="39"/>
      <c r="M224" s="38">
        <f t="shared" si="58"/>
        <v>0</v>
      </c>
      <c r="N224" s="39"/>
      <c r="O224" s="39"/>
      <c r="P224" s="38">
        <v>88.8</v>
      </c>
      <c r="Q224" s="39"/>
      <c r="R224" s="39"/>
      <c r="S224" s="38">
        <f t="shared" si="59"/>
        <v>0</v>
      </c>
      <c r="T224" s="39"/>
      <c r="U224" s="40"/>
      <c r="V224" s="9">
        <f t="shared" si="60"/>
        <v>74</v>
      </c>
      <c r="Y224" s="9">
        <f t="shared" si="61"/>
        <v>0</v>
      </c>
      <c r="AD224" s="4" t="s">
        <v>681</v>
      </c>
      <c r="AE224" s="4" t="s">
        <v>682</v>
      </c>
      <c r="AF224" s="4" t="s">
        <v>683</v>
      </c>
    </row>
    <row r="225" spans="1:35" ht="36" x14ac:dyDescent="0.3">
      <c r="A225" s="23" t="s">
        <v>684</v>
      </c>
      <c r="B225" s="23"/>
      <c r="C225" s="41" t="s">
        <v>680</v>
      </c>
      <c r="D225" s="25"/>
      <c r="E225" s="25"/>
      <c r="F225" s="42" t="s">
        <v>364</v>
      </c>
      <c r="G225" s="43">
        <v>1.4999999999999999E-2</v>
      </c>
      <c r="H225" s="25"/>
      <c r="I225" s="43">
        <v>49.921999999999997</v>
      </c>
      <c r="J225" s="44">
        <v>88.8</v>
      </c>
      <c r="K225" s="45"/>
      <c r="L225" s="45"/>
      <c r="M225" s="44">
        <f t="shared" si="58"/>
        <v>4433.07</v>
      </c>
      <c r="N225" s="45"/>
      <c r="O225" s="45"/>
      <c r="P225" s="44">
        <v>88.8</v>
      </c>
      <c r="Q225" s="45"/>
      <c r="R225" s="45"/>
      <c r="S225" s="44">
        <f t="shared" si="59"/>
        <v>4433.07</v>
      </c>
      <c r="T225" s="45"/>
      <c r="U225" s="46"/>
      <c r="V225" s="9">
        <f t="shared" si="60"/>
        <v>74</v>
      </c>
      <c r="Y225" s="9">
        <f t="shared" si="61"/>
        <v>3694.23</v>
      </c>
      <c r="AD225" s="4" t="s">
        <v>685</v>
      </c>
      <c r="AE225" s="4" t="s">
        <v>682</v>
      </c>
      <c r="AF225" s="4" t="s">
        <v>683</v>
      </c>
    </row>
    <row r="226" spans="1:35" ht="36" x14ac:dyDescent="0.3">
      <c r="A226" s="17" t="s">
        <v>686</v>
      </c>
      <c r="B226" s="17" t="s">
        <v>653</v>
      </c>
      <c r="C226" s="18" t="s">
        <v>654</v>
      </c>
      <c r="D226" s="19"/>
      <c r="E226" s="19" t="s">
        <v>687</v>
      </c>
      <c r="F226" s="19" t="s">
        <v>76</v>
      </c>
      <c r="G226" s="20">
        <v>1</v>
      </c>
      <c r="H226" s="19"/>
      <c r="I226" s="21">
        <v>0</v>
      </c>
      <c r="J226" s="22">
        <v>844.85</v>
      </c>
      <c r="K226" s="22">
        <v>473</v>
      </c>
      <c r="L226" s="22">
        <f>J226+ROUND(K226, 2)</f>
        <v>1317.85</v>
      </c>
      <c r="M226" s="22">
        <v>0</v>
      </c>
      <c r="N226" s="22">
        <v>0</v>
      </c>
      <c r="O226" s="22">
        <f>M226+N226</f>
        <v>0</v>
      </c>
      <c r="P226" s="22">
        <v>844.85</v>
      </c>
      <c r="Q226" s="22">
        <v>473</v>
      </c>
      <c r="R226" s="22">
        <f>P226+ROUND(Q226, 2)</f>
        <v>1317.85</v>
      </c>
      <c r="S226" s="22">
        <v>0</v>
      </c>
      <c r="T226" s="22">
        <v>0</v>
      </c>
      <c r="U226" s="22">
        <f>S226+T226</f>
        <v>0</v>
      </c>
      <c r="V226" s="9">
        <f>ROUND(P226 / 1.2, 2)</f>
        <v>704.04</v>
      </c>
      <c r="W226" s="9">
        <f>ROUND(Q226 / 1.2, 2)</f>
        <v>394.17</v>
      </c>
      <c r="X226" s="9">
        <f>ROUND(R226 / 1.2, 2)</f>
        <v>1098.21</v>
      </c>
      <c r="Y226" s="9">
        <f t="shared" si="61"/>
        <v>0</v>
      </c>
      <c r="Z226" s="9">
        <f>ROUND(T226 / 1.2, 2)</f>
        <v>0</v>
      </c>
      <c r="AA226" s="9">
        <f>Y226+Z226</f>
        <v>0</v>
      </c>
      <c r="AD226" s="4">
        <v>320320157</v>
      </c>
      <c r="AE226" s="4">
        <v>26813838</v>
      </c>
      <c r="AG226" s="4" t="s">
        <v>656</v>
      </c>
      <c r="AH226" s="4" t="s">
        <v>657</v>
      </c>
      <c r="AI226" s="4" t="s">
        <v>338</v>
      </c>
    </row>
    <row r="227" spans="1:35" ht="36" x14ac:dyDescent="0.3">
      <c r="A227" s="23" t="s">
        <v>688</v>
      </c>
      <c r="B227" s="23" t="s">
        <v>653</v>
      </c>
      <c r="C227" s="24" t="s">
        <v>654</v>
      </c>
      <c r="D227" s="25"/>
      <c r="E227" s="25" t="s">
        <v>687</v>
      </c>
      <c r="F227" s="25" t="s">
        <v>76</v>
      </c>
      <c r="G227" s="26">
        <v>1</v>
      </c>
      <c r="H227" s="25"/>
      <c r="I227" s="26">
        <v>2324.1</v>
      </c>
      <c r="J227" s="27">
        <v>844.85</v>
      </c>
      <c r="K227" s="27">
        <v>473</v>
      </c>
      <c r="L227" s="27">
        <v>473</v>
      </c>
      <c r="M227" s="27">
        <v>1963515.89</v>
      </c>
      <c r="N227" s="27">
        <v>1099299.3</v>
      </c>
      <c r="O227" s="27"/>
      <c r="P227" s="27">
        <v>844.85</v>
      </c>
      <c r="Q227" s="27">
        <v>473</v>
      </c>
      <c r="R227" s="27">
        <v>473</v>
      </c>
      <c r="S227" s="27">
        <v>1963515.89</v>
      </c>
      <c r="T227" s="27">
        <v>1099299.3</v>
      </c>
      <c r="U227" s="27"/>
      <c r="V227" s="9"/>
      <c r="W227" s="9">
        <f>ROUND(Q227 / 1.2, 2)</f>
        <v>394.17</v>
      </c>
      <c r="X227" s="9">
        <f>ROUND(R227 / 1.2, 2)</f>
        <v>394.17</v>
      </c>
      <c r="Y227" s="9"/>
      <c r="Z227" s="9">
        <f>ROUND(T227 / 1.2, 2)</f>
        <v>916082.75</v>
      </c>
      <c r="AA227" s="9"/>
      <c r="AD227" s="4">
        <v>315454877</v>
      </c>
      <c r="AE227" s="4">
        <v>26813838</v>
      </c>
      <c r="AG227" s="4" t="s">
        <v>656</v>
      </c>
      <c r="AH227" s="4" t="s">
        <v>657</v>
      </c>
      <c r="AI227" s="4"/>
    </row>
    <row r="228" spans="1:35" ht="36" x14ac:dyDescent="0.3">
      <c r="A228" s="17" t="s">
        <v>689</v>
      </c>
      <c r="B228" s="17"/>
      <c r="C228" s="34" t="s">
        <v>680</v>
      </c>
      <c r="D228" s="19"/>
      <c r="E228" s="19"/>
      <c r="F228" s="35" t="s">
        <v>364</v>
      </c>
      <c r="G228" s="36">
        <v>1.4999999999999999E-2</v>
      </c>
      <c r="H228" s="19"/>
      <c r="I228" s="37">
        <v>0</v>
      </c>
      <c r="J228" s="38">
        <v>88.8</v>
      </c>
      <c r="K228" s="39"/>
      <c r="L228" s="39"/>
      <c r="M228" s="38">
        <f t="shared" ref="M228:M235" si="62">ROUND(ROUND(J228, 2)*I228, 2)</f>
        <v>0</v>
      </c>
      <c r="N228" s="39"/>
      <c r="O228" s="39"/>
      <c r="P228" s="38">
        <v>88.8</v>
      </c>
      <c r="Q228" s="39"/>
      <c r="R228" s="39"/>
      <c r="S228" s="38">
        <f t="shared" ref="S228:S235" si="63">ROUND(ROUND(P228, 2)*I228, 2)</f>
        <v>0</v>
      </c>
      <c r="T228" s="39"/>
      <c r="U228" s="40"/>
      <c r="V228" s="9">
        <f t="shared" ref="V228:V235" si="64">ROUND(ROUND(P228, 2)/1.2, 2)</f>
        <v>74</v>
      </c>
      <c r="Y228" s="9">
        <f t="shared" ref="Y228:Y236" si="65">ROUND(S228 / 1.2, 2)</f>
        <v>0</v>
      </c>
      <c r="AD228" s="4" t="s">
        <v>690</v>
      </c>
      <c r="AE228" s="4" t="s">
        <v>691</v>
      </c>
      <c r="AF228" s="4" t="s">
        <v>683</v>
      </c>
    </row>
    <row r="229" spans="1:35" ht="36" x14ac:dyDescent="0.3">
      <c r="A229" s="23" t="s">
        <v>692</v>
      </c>
      <c r="B229" s="23"/>
      <c r="C229" s="41" t="s">
        <v>680</v>
      </c>
      <c r="D229" s="25"/>
      <c r="E229" s="25"/>
      <c r="F229" s="42" t="s">
        <v>364</v>
      </c>
      <c r="G229" s="43">
        <v>1.4999999999999999E-2</v>
      </c>
      <c r="H229" s="25"/>
      <c r="I229" s="43">
        <v>34.862000000000002</v>
      </c>
      <c r="J229" s="44">
        <v>88.8</v>
      </c>
      <c r="K229" s="45"/>
      <c r="L229" s="45"/>
      <c r="M229" s="44">
        <f t="shared" si="62"/>
        <v>3095.75</v>
      </c>
      <c r="N229" s="45"/>
      <c r="O229" s="45"/>
      <c r="P229" s="44">
        <v>88.8</v>
      </c>
      <c r="Q229" s="45"/>
      <c r="R229" s="45"/>
      <c r="S229" s="44">
        <f t="shared" si="63"/>
        <v>3095.75</v>
      </c>
      <c r="T229" s="45"/>
      <c r="U229" s="46"/>
      <c r="V229" s="9">
        <f t="shared" si="64"/>
        <v>74</v>
      </c>
      <c r="Y229" s="9">
        <f t="shared" si="65"/>
        <v>2579.79</v>
      </c>
      <c r="AD229" s="4" t="s">
        <v>693</v>
      </c>
      <c r="AE229" s="4" t="s">
        <v>691</v>
      </c>
      <c r="AF229" s="4" t="s">
        <v>683</v>
      </c>
    </row>
    <row r="230" spans="1:35" ht="18" x14ac:dyDescent="0.3">
      <c r="A230" s="17" t="s">
        <v>694</v>
      </c>
      <c r="B230" s="17"/>
      <c r="C230" s="34" t="s">
        <v>641</v>
      </c>
      <c r="D230" s="19"/>
      <c r="E230" s="19"/>
      <c r="F230" s="35" t="s">
        <v>364</v>
      </c>
      <c r="G230" s="36">
        <v>0.04</v>
      </c>
      <c r="H230" s="19"/>
      <c r="I230" s="37">
        <v>0</v>
      </c>
      <c r="J230" s="38">
        <v>47.44</v>
      </c>
      <c r="K230" s="39"/>
      <c r="L230" s="39"/>
      <c r="M230" s="38">
        <f t="shared" si="62"/>
        <v>0</v>
      </c>
      <c r="N230" s="39"/>
      <c r="O230" s="39"/>
      <c r="P230" s="38">
        <v>47.44</v>
      </c>
      <c r="Q230" s="39"/>
      <c r="R230" s="39"/>
      <c r="S230" s="38">
        <f t="shared" si="63"/>
        <v>0</v>
      </c>
      <c r="T230" s="39"/>
      <c r="U230" s="40"/>
      <c r="V230" s="9">
        <f t="shared" si="64"/>
        <v>39.53</v>
      </c>
      <c r="Y230" s="9">
        <f t="shared" si="65"/>
        <v>0</v>
      </c>
      <c r="AD230" s="4" t="s">
        <v>695</v>
      </c>
      <c r="AE230" s="4" t="s">
        <v>696</v>
      </c>
      <c r="AF230" s="4" t="s">
        <v>644</v>
      </c>
    </row>
    <row r="231" spans="1:35" ht="18" x14ac:dyDescent="0.3">
      <c r="A231" s="23" t="s">
        <v>697</v>
      </c>
      <c r="B231" s="23"/>
      <c r="C231" s="41" t="s">
        <v>641</v>
      </c>
      <c r="D231" s="25"/>
      <c r="E231" s="25"/>
      <c r="F231" s="42" t="s">
        <v>364</v>
      </c>
      <c r="G231" s="43">
        <v>0.04</v>
      </c>
      <c r="H231" s="25"/>
      <c r="I231" s="43">
        <v>92.963999999999999</v>
      </c>
      <c r="J231" s="44">
        <v>47.44</v>
      </c>
      <c r="K231" s="45"/>
      <c r="L231" s="45"/>
      <c r="M231" s="44">
        <f t="shared" si="62"/>
        <v>4410.21</v>
      </c>
      <c r="N231" s="45"/>
      <c r="O231" s="45"/>
      <c r="P231" s="44">
        <v>47.44</v>
      </c>
      <c r="Q231" s="45"/>
      <c r="R231" s="45"/>
      <c r="S231" s="44">
        <f t="shared" si="63"/>
        <v>4410.21</v>
      </c>
      <c r="T231" s="45"/>
      <c r="U231" s="46"/>
      <c r="V231" s="9">
        <f t="shared" si="64"/>
        <v>39.53</v>
      </c>
      <c r="Y231" s="9">
        <f t="shared" si="65"/>
        <v>3675.18</v>
      </c>
      <c r="AD231" s="4" t="s">
        <v>698</v>
      </c>
      <c r="AE231" s="4" t="s">
        <v>696</v>
      </c>
      <c r="AF231" s="4" t="s">
        <v>644</v>
      </c>
    </row>
    <row r="232" spans="1:35" ht="72" x14ac:dyDescent="0.3">
      <c r="A232" s="17" t="s">
        <v>699</v>
      </c>
      <c r="B232" s="17"/>
      <c r="C232" s="34" t="s">
        <v>667</v>
      </c>
      <c r="D232" s="19"/>
      <c r="E232" s="19" t="s">
        <v>700</v>
      </c>
      <c r="F232" s="35" t="s">
        <v>356</v>
      </c>
      <c r="G232" s="36">
        <v>1.84</v>
      </c>
      <c r="H232" s="19"/>
      <c r="I232" s="48">
        <v>0</v>
      </c>
      <c r="J232" s="38">
        <v>450.95</v>
      </c>
      <c r="K232" s="39"/>
      <c r="L232" s="39"/>
      <c r="M232" s="38">
        <f t="shared" si="62"/>
        <v>0</v>
      </c>
      <c r="N232" s="39"/>
      <c r="O232" s="39"/>
      <c r="P232" s="38">
        <v>450.95</v>
      </c>
      <c r="Q232" s="39"/>
      <c r="R232" s="39"/>
      <c r="S232" s="38">
        <f t="shared" si="63"/>
        <v>0</v>
      </c>
      <c r="T232" s="39"/>
      <c r="U232" s="40"/>
      <c r="V232" s="9">
        <f t="shared" si="64"/>
        <v>375.79</v>
      </c>
      <c r="Y232" s="9">
        <f t="shared" si="65"/>
        <v>0</v>
      </c>
      <c r="AD232" s="4" t="s">
        <v>701</v>
      </c>
      <c r="AE232" s="4" t="s">
        <v>702</v>
      </c>
      <c r="AF232" s="4" t="s">
        <v>671</v>
      </c>
    </row>
    <row r="233" spans="1:35" ht="72" x14ac:dyDescent="0.3">
      <c r="A233" s="23" t="s">
        <v>703</v>
      </c>
      <c r="B233" s="23"/>
      <c r="C233" s="41" t="s">
        <v>667</v>
      </c>
      <c r="D233" s="25"/>
      <c r="E233" s="25" t="s">
        <v>700</v>
      </c>
      <c r="F233" s="42" t="s">
        <v>356</v>
      </c>
      <c r="G233" s="43">
        <v>1.84</v>
      </c>
      <c r="H233" s="25"/>
      <c r="I233" s="50">
        <v>4276.3440000000001</v>
      </c>
      <c r="J233" s="44">
        <v>450.95</v>
      </c>
      <c r="K233" s="45"/>
      <c r="L233" s="45"/>
      <c r="M233" s="44">
        <f t="shared" si="62"/>
        <v>1928417.33</v>
      </c>
      <c r="N233" s="45"/>
      <c r="O233" s="45"/>
      <c r="P233" s="44">
        <v>450.95</v>
      </c>
      <c r="Q233" s="45"/>
      <c r="R233" s="45"/>
      <c r="S233" s="44">
        <f t="shared" si="63"/>
        <v>1928417.33</v>
      </c>
      <c r="T233" s="45"/>
      <c r="U233" s="46"/>
      <c r="V233" s="9">
        <f t="shared" si="64"/>
        <v>375.79</v>
      </c>
      <c r="Y233" s="9">
        <f t="shared" si="65"/>
        <v>1607014.44</v>
      </c>
      <c r="AD233" s="4" t="s">
        <v>704</v>
      </c>
      <c r="AE233" s="4" t="s">
        <v>702</v>
      </c>
      <c r="AF233" s="4" t="s">
        <v>671</v>
      </c>
    </row>
    <row r="234" spans="1:35" ht="36" x14ac:dyDescent="0.3">
      <c r="A234" s="17" t="s">
        <v>705</v>
      </c>
      <c r="B234" s="17"/>
      <c r="C234" s="34" t="s">
        <v>660</v>
      </c>
      <c r="D234" s="19"/>
      <c r="E234" s="19"/>
      <c r="F234" s="35" t="s">
        <v>364</v>
      </c>
      <c r="G234" s="36">
        <v>0.7</v>
      </c>
      <c r="H234" s="19"/>
      <c r="I234" s="48">
        <v>0</v>
      </c>
      <c r="J234" s="38">
        <v>16.96</v>
      </c>
      <c r="K234" s="39"/>
      <c r="L234" s="39"/>
      <c r="M234" s="38">
        <f t="shared" si="62"/>
        <v>0</v>
      </c>
      <c r="N234" s="39"/>
      <c r="O234" s="39"/>
      <c r="P234" s="38">
        <v>16.96</v>
      </c>
      <c r="Q234" s="39"/>
      <c r="R234" s="39"/>
      <c r="S234" s="38">
        <f t="shared" si="63"/>
        <v>0</v>
      </c>
      <c r="T234" s="39"/>
      <c r="U234" s="40"/>
      <c r="V234" s="9">
        <f t="shared" si="64"/>
        <v>14.13</v>
      </c>
      <c r="Y234" s="9">
        <f t="shared" si="65"/>
        <v>0</v>
      </c>
      <c r="AD234" s="4" t="s">
        <v>706</v>
      </c>
      <c r="AE234" s="4" t="s">
        <v>707</v>
      </c>
      <c r="AF234" s="4" t="s">
        <v>663</v>
      </c>
    </row>
    <row r="235" spans="1:35" ht="36" x14ac:dyDescent="0.3">
      <c r="A235" s="23" t="s">
        <v>708</v>
      </c>
      <c r="B235" s="23"/>
      <c r="C235" s="41" t="s">
        <v>660</v>
      </c>
      <c r="D235" s="25"/>
      <c r="E235" s="25"/>
      <c r="F235" s="42" t="s">
        <v>364</v>
      </c>
      <c r="G235" s="43">
        <v>0.7</v>
      </c>
      <c r="H235" s="25"/>
      <c r="I235" s="50">
        <v>1626.87</v>
      </c>
      <c r="J235" s="44">
        <v>16.96</v>
      </c>
      <c r="K235" s="45"/>
      <c r="L235" s="45"/>
      <c r="M235" s="44">
        <f t="shared" si="62"/>
        <v>27591.72</v>
      </c>
      <c r="N235" s="45"/>
      <c r="O235" s="45"/>
      <c r="P235" s="44">
        <v>16.96</v>
      </c>
      <c r="Q235" s="45"/>
      <c r="R235" s="45"/>
      <c r="S235" s="44">
        <f t="shared" si="63"/>
        <v>27591.72</v>
      </c>
      <c r="T235" s="45"/>
      <c r="U235" s="46"/>
      <c r="V235" s="9">
        <f t="shared" si="64"/>
        <v>14.13</v>
      </c>
      <c r="Y235" s="9">
        <f t="shared" si="65"/>
        <v>22993.1</v>
      </c>
      <c r="AD235" s="4" t="s">
        <v>709</v>
      </c>
      <c r="AE235" s="4" t="s">
        <v>707</v>
      </c>
      <c r="AF235" s="4" t="s">
        <v>663</v>
      </c>
    </row>
    <row r="236" spans="1:35" ht="36" x14ac:dyDescent="0.3">
      <c r="A236" s="17" t="s">
        <v>710</v>
      </c>
      <c r="B236" s="17" t="s">
        <v>653</v>
      </c>
      <c r="C236" s="18" t="s">
        <v>654</v>
      </c>
      <c r="D236" s="19"/>
      <c r="E236" s="19" t="s">
        <v>711</v>
      </c>
      <c r="F236" s="19" t="s">
        <v>76</v>
      </c>
      <c r="G236" s="20">
        <v>1</v>
      </c>
      <c r="H236" s="19"/>
      <c r="I236" s="21">
        <v>0</v>
      </c>
      <c r="J236" s="22">
        <v>375.74</v>
      </c>
      <c r="K236" s="22">
        <v>473</v>
      </c>
      <c r="L236" s="22">
        <f>J236+ROUND(K236, 2)</f>
        <v>848.74</v>
      </c>
      <c r="M236" s="22">
        <v>0</v>
      </c>
      <c r="N236" s="22">
        <v>0</v>
      </c>
      <c r="O236" s="22">
        <f>M236+N236</f>
        <v>0</v>
      </c>
      <c r="P236" s="22">
        <v>375.74</v>
      </c>
      <c r="Q236" s="22">
        <v>473</v>
      </c>
      <c r="R236" s="22">
        <f>P236+ROUND(Q236, 2)</f>
        <v>848.74</v>
      </c>
      <c r="S236" s="22">
        <v>0</v>
      </c>
      <c r="T236" s="22">
        <v>0</v>
      </c>
      <c r="U236" s="22">
        <f>S236+T236</f>
        <v>0</v>
      </c>
      <c r="V236" s="9">
        <f>ROUND(P236 / 1.2, 2)</f>
        <v>313.12</v>
      </c>
      <c r="W236" s="9">
        <f>ROUND(Q236 / 1.2, 2)</f>
        <v>394.17</v>
      </c>
      <c r="X236" s="9">
        <f>ROUND(R236 / 1.2, 2)</f>
        <v>707.28</v>
      </c>
      <c r="Y236" s="9">
        <f t="shared" si="65"/>
        <v>0</v>
      </c>
      <c r="Z236" s="9">
        <f>ROUND(T236 / 1.2, 2)</f>
        <v>0</v>
      </c>
      <c r="AA236" s="9">
        <f>Y236+Z236</f>
        <v>0</v>
      </c>
      <c r="AD236" s="4">
        <v>320320158</v>
      </c>
      <c r="AE236" s="4">
        <v>26813855</v>
      </c>
      <c r="AG236" s="4" t="s">
        <v>656</v>
      </c>
      <c r="AH236" s="4" t="s">
        <v>657</v>
      </c>
      <c r="AI236" s="4" t="s">
        <v>338</v>
      </c>
    </row>
    <row r="237" spans="1:35" ht="36" x14ac:dyDescent="0.3">
      <c r="A237" s="23" t="s">
        <v>712</v>
      </c>
      <c r="B237" s="23" t="s">
        <v>653</v>
      </c>
      <c r="C237" s="24" t="s">
        <v>654</v>
      </c>
      <c r="D237" s="25"/>
      <c r="E237" s="25" t="s">
        <v>711</v>
      </c>
      <c r="F237" s="25" t="s">
        <v>76</v>
      </c>
      <c r="G237" s="26">
        <v>1</v>
      </c>
      <c r="H237" s="25"/>
      <c r="I237" s="26">
        <v>892.1</v>
      </c>
      <c r="J237" s="27">
        <v>375.74</v>
      </c>
      <c r="K237" s="27">
        <v>473</v>
      </c>
      <c r="L237" s="27">
        <v>473</v>
      </c>
      <c r="M237" s="27">
        <v>335197.65000000002</v>
      </c>
      <c r="N237" s="27">
        <v>421963.3</v>
      </c>
      <c r="O237" s="27"/>
      <c r="P237" s="27">
        <v>375.74</v>
      </c>
      <c r="Q237" s="27">
        <v>473</v>
      </c>
      <c r="R237" s="27">
        <v>473</v>
      </c>
      <c r="S237" s="27">
        <v>335197.65000000002</v>
      </c>
      <c r="T237" s="27">
        <v>421963.3</v>
      </c>
      <c r="U237" s="27"/>
      <c r="V237" s="9"/>
      <c r="W237" s="9">
        <f>ROUND(Q237 / 1.2, 2)</f>
        <v>394.17</v>
      </c>
      <c r="X237" s="9">
        <f>ROUND(R237 / 1.2, 2)</f>
        <v>394.17</v>
      </c>
      <c r="Y237" s="9"/>
      <c r="Z237" s="9">
        <f>ROUND(T237 / 1.2, 2)</f>
        <v>351636.08</v>
      </c>
      <c r="AA237" s="9"/>
      <c r="AD237" s="4">
        <v>315454878</v>
      </c>
      <c r="AE237" s="4">
        <v>26813855</v>
      </c>
      <c r="AG237" s="4" t="s">
        <v>656</v>
      </c>
      <c r="AH237" s="4" t="s">
        <v>657</v>
      </c>
      <c r="AI237" s="4"/>
    </row>
    <row r="238" spans="1:35" ht="36" x14ac:dyDescent="0.3">
      <c r="A238" s="17" t="s">
        <v>713</v>
      </c>
      <c r="B238" s="17"/>
      <c r="C238" s="34" t="s">
        <v>660</v>
      </c>
      <c r="D238" s="19"/>
      <c r="E238" s="19"/>
      <c r="F238" s="35" t="s">
        <v>364</v>
      </c>
      <c r="G238" s="36">
        <v>0.7</v>
      </c>
      <c r="H238" s="19"/>
      <c r="I238" s="48">
        <v>0</v>
      </c>
      <c r="J238" s="38">
        <v>16.96</v>
      </c>
      <c r="K238" s="39"/>
      <c r="L238" s="39"/>
      <c r="M238" s="38">
        <f t="shared" ref="M238:M245" si="66">ROUND(ROUND(J238, 2)*I238, 2)</f>
        <v>0</v>
      </c>
      <c r="N238" s="39"/>
      <c r="O238" s="39"/>
      <c r="P238" s="38">
        <v>16.96</v>
      </c>
      <c r="Q238" s="39"/>
      <c r="R238" s="39"/>
      <c r="S238" s="38">
        <f t="shared" ref="S238:S245" si="67">ROUND(ROUND(P238, 2)*I238, 2)</f>
        <v>0</v>
      </c>
      <c r="T238" s="39"/>
      <c r="U238" s="40"/>
      <c r="V238" s="9">
        <f t="shared" ref="V238:V245" si="68">ROUND(ROUND(P238, 2)/1.2, 2)</f>
        <v>14.13</v>
      </c>
      <c r="Y238" s="9">
        <f t="shared" ref="Y238:Y246" si="69">ROUND(S238 / 1.2, 2)</f>
        <v>0</v>
      </c>
      <c r="AD238" s="4" t="s">
        <v>714</v>
      </c>
      <c r="AE238" s="4" t="s">
        <v>715</v>
      </c>
      <c r="AF238" s="4" t="s">
        <v>663</v>
      </c>
    </row>
    <row r="239" spans="1:35" ht="36" x14ac:dyDescent="0.3">
      <c r="A239" s="23" t="s">
        <v>716</v>
      </c>
      <c r="B239" s="23"/>
      <c r="C239" s="41" t="s">
        <v>660</v>
      </c>
      <c r="D239" s="25"/>
      <c r="E239" s="25"/>
      <c r="F239" s="42" t="s">
        <v>364</v>
      </c>
      <c r="G239" s="43">
        <v>0.7</v>
      </c>
      <c r="H239" s="25"/>
      <c r="I239" s="50">
        <v>624.47</v>
      </c>
      <c r="J239" s="44">
        <v>16.96</v>
      </c>
      <c r="K239" s="45"/>
      <c r="L239" s="45"/>
      <c r="M239" s="44">
        <f t="shared" si="66"/>
        <v>10591.01</v>
      </c>
      <c r="N239" s="45"/>
      <c r="O239" s="45"/>
      <c r="P239" s="44">
        <v>16.96</v>
      </c>
      <c r="Q239" s="45"/>
      <c r="R239" s="45"/>
      <c r="S239" s="44">
        <f t="shared" si="67"/>
        <v>10591.01</v>
      </c>
      <c r="T239" s="45"/>
      <c r="U239" s="46"/>
      <c r="V239" s="9">
        <f t="shared" si="68"/>
        <v>14.13</v>
      </c>
      <c r="Y239" s="9">
        <f t="shared" si="69"/>
        <v>8825.84</v>
      </c>
      <c r="AD239" s="4" t="s">
        <v>717</v>
      </c>
      <c r="AE239" s="4" t="s">
        <v>715</v>
      </c>
      <c r="AF239" s="4" t="s">
        <v>663</v>
      </c>
    </row>
    <row r="240" spans="1:35" ht="54" x14ac:dyDescent="0.3">
      <c r="A240" s="17" t="s">
        <v>718</v>
      </c>
      <c r="B240" s="17"/>
      <c r="C240" s="34" t="s">
        <v>719</v>
      </c>
      <c r="D240" s="19"/>
      <c r="E240" s="19" t="s">
        <v>720</v>
      </c>
      <c r="F240" s="35" t="s">
        <v>356</v>
      </c>
      <c r="G240" s="36">
        <v>1.84</v>
      </c>
      <c r="H240" s="19"/>
      <c r="I240" s="48">
        <v>0</v>
      </c>
      <c r="J240" s="38">
        <v>196</v>
      </c>
      <c r="K240" s="39"/>
      <c r="L240" s="39"/>
      <c r="M240" s="38">
        <f t="shared" si="66"/>
        <v>0</v>
      </c>
      <c r="N240" s="39"/>
      <c r="O240" s="39"/>
      <c r="P240" s="38">
        <v>196</v>
      </c>
      <c r="Q240" s="39"/>
      <c r="R240" s="39"/>
      <c r="S240" s="38">
        <f t="shared" si="67"/>
        <v>0</v>
      </c>
      <c r="T240" s="39"/>
      <c r="U240" s="40"/>
      <c r="V240" s="9">
        <f t="shared" si="68"/>
        <v>163.33000000000001</v>
      </c>
      <c r="Y240" s="9">
        <f t="shared" si="69"/>
        <v>0</v>
      </c>
      <c r="AD240" s="4" t="s">
        <v>721</v>
      </c>
      <c r="AE240" s="4" t="s">
        <v>722</v>
      </c>
      <c r="AF240" s="4" t="s">
        <v>723</v>
      </c>
    </row>
    <row r="241" spans="1:35" ht="54" x14ac:dyDescent="0.3">
      <c r="A241" s="23" t="s">
        <v>724</v>
      </c>
      <c r="B241" s="23"/>
      <c r="C241" s="41" t="s">
        <v>719</v>
      </c>
      <c r="D241" s="25"/>
      <c r="E241" s="25" t="s">
        <v>720</v>
      </c>
      <c r="F241" s="42" t="s">
        <v>356</v>
      </c>
      <c r="G241" s="43">
        <v>1.84</v>
      </c>
      <c r="H241" s="25"/>
      <c r="I241" s="50">
        <v>1641.4639999999999</v>
      </c>
      <c r="J241" s="44">
        <v>196</v>
      </c>
      <c r="K241" s="45"/>
      <c r="L241" s="45"/>
      <c r="M241" s="44">
        <f t="shared" si="66"/>
        <v>321726.94</v>
      </c>
      <c r="N241" s="45"/>
      <c r="O241" s="45"/>
      <c r="P241" s="44">
        <v>196</v>
      </c>
      <c r="Q241" s="45"/>
      <c r="R241" s="45"/>
      <c r="S241" s="44">
        <f t="shared" si="67"/>
        <v>321726.94</v>
      </c>
      <c r="T241" s="45"/>
      <c r="U241" s="46"/>
      <c r="V241" s="9">
        <f t="shared" si="68"/>
        <v>163.33000000000001</v>
      </c>
      <c r="Y241" s="9">
        <f t="shared" si="69"/>
        <v>268105.78000000003</v>
      </c>
      <c r="AD241" s="4" t="s">
        <v>725</v>
      </c>
      <c r="AE241" s="4" t="s">
        <v>722</v>
      </c>
      <c r="AF241" s="4" t="s">
        <v>723</v>
      </c>
    </row>
    <row r="242" spans="1:35" ht="18" x14ac:dyDescent="0.3">
      <c r="A242" s="17" t="s">
        <v>726</v>
      </c>
      <c r="B242" s="17"/>
      <c r="C242" s="34" t="s">
        <v>641</v>
      </c>
      <c r="D242" s="19"/>
      <c r="E242" s="19"/>
      <c r="F242" s="35" t="s">
        <v>364</v>
      </c>
      <c r="G242" s="36">
        <v>0.04</v>
      </c>
      <c r="H242" s="19"/>
      <c r="I242" s="37">
        <v>0</v>
      </c>
      <c r="J242" s="38">
        <v>47.44</v>
      </c>
      <c r="K242" s="39"/>
      <c r="L242" s="39"/>
      <c r="M242" s="38">
        <f t="shared" si="66"/>
        <v>0</v>
      </c>
      <c r="N242" s="39"/>
      <c r="O242" s="39"/>
      <c r="P242" s="38">
        <v>47.44</v>
      </c>
      <c r="Q242" s="39"/>
      <c r="R242" s="39"/>
      <c r="S242" s="38">
        <f t="shared" si="67"/>
        <v>0</v>
      </c>
      <c r="T242" s="39"/>
      <c r="U242" s="40"/>
      <c r="V242" s="9">
        <f t="shared" si="68"/>
        <v>39.53</v>
      </c>
      <c r="Y242" s="9">
        <f t="shared" si="69"/>
        <v>0</v>
      </c>
      <c r="AD242" s="4" t="s">
        <v>727</v>
      </c>
      <c r="AE242" s="4" t="s">
        <v>728</v>
      </c>
      <c r="AF242" s="4" t="s">
        <v>644</v>
      </c>
    </row>
    <row r="243" spans="1:35" ht="18" x14ac:dyDescent="0.3">
      <c r="A243" s="23" t="s">
        <v>729</v>
      </c>
      <c r="B243" s="23"/>
      <c r="C243" s="41" t="s">
        <v>641</v>
      </c>
      <c r="D243" s="25"/>
      <c r="E243" s="25"/>
      <c r="F243" s="42" t="s">
        <v>364</v>
      </c>
      <c r="G243" s="43">
        <v>0.04</v>
      </c>
      <c r="H243" s="25"/>
      <c r="I243" s="43">
        <v>35.683999999999997</v>
      </c>
      <c r="J243" s="44">
        <v>47.44</v>
      </c>
      <c r="K243" s="45"/>
      <c r="L243" s="45"/>
      <c r="M243" s="44">
        <f t="shared" si="66"/>
        <v>1692.85</v>
      </c>
      <c r="N243" s="45"/>
      <c r="O243" s="45"/>
      <c r="P243" s="44">
        <v>47.44</v>
      </c>
      <c r="Q243" s="45"/>
      <c r="R243" s="45"/>
      <c r="S243" s="44">
        <f t="shared" si="67"/>
        <v>1692.85</v>
      </c>
      <c r="T243" s="45"/>
      <c r="U243" s="46"/>
      <c r="V243" s="9">
        <f t="shared" si="68"/>
        <v>39.53</v>
      </c>
      <c r="Y243" s="9">
        <f t="shared" si="69"/>
        <v>1410.71</v>
      </c>
      <c r="AD243" s="4" t="s">
        <v>730</v>
      </c>
      <c r="AE243" s="4" t="s">
        <v>728</v>
      </c>
      <c r="AF243" s="4" t="s">
        <v>644</v>
      </c>
    </row>
    <row r="244" spans="1:35" ht="36" x14ac:dyDescent="0.3">
      <c r="A244" s="17" t="s">
        <v>731</v>
      </c>
      <c r="B244" s="17"/>
      <c r="C244" s="34" t="s">
        <v>680</v>
      </c>
      <c r="D244" s="19"/>
      <c r="E244" s="19"/>
      <c r="F244" s="35" t="s">
        <v>364</v>
      </c>
      <c r="G244" s="36">
        <v>1.4999999999999999E-2</v>
      </c>
      <c r="H244" s="19"/>
      <c r="I244" s="37">
        <v>0</v>
      </c>
      <c r="J244" s="38">
        <v>88.8</v>
      </c>
      <c r="K244" s="39"/>
      <c r="L244" s="39"/>
      <c r="M244" s="38">
        <f t="shared" si="66"/>
        <v>0</v>
      </c>
      <c r="N244" s="39"/>
      <c r="O244" s="39"/>
      <c r="P244" s="38">
        <v>88.8</v>
      </c>
      <c r="Q244" s="39"/>
      <c r="R244" s="39"/>
      <c r="S244" s="38">
        <f t="shared" si="67"/>
        <v>0</v>
      </c>
      <c r="T244" s="39"/>
      <c r="U244" s="40"/>
      <c r="V244" s="9">
        <f t="shared" si="68"/>
        <v>74</v>
      </c>
      <c r="Y244" s="9">
        <f t="shared" si="69"/>
        <v>0</v>
      </c>
      <c r="AD244" s="4" t="s">
        <v>732</v>
      </c>
      <c r="AE244" s="4" t="s">
        <v>733</v>
      </c>
      <c r="AF244" s="4" t="s">
        <v>683</v>
      </c>
    </row>
    <row r="245" spans="1:35" ht="36" x14ac:dyDescent="0.3">
      <c r="A245" s="23" t="s">
        <v>734</v>
      </c>
      <c r="B245" s="23"/>
      <c r="C245" s="41" t="s">
        <v>680</v>
      </c>
      <c r="D245" s="25"/>
      <c r="E245" s="25"/>
      <c r="F245" s="42" t="s">
        <v>364</v>
      </c>
      <c r="G245" s="43">
        <v>1.4999999999999999E-2</v>
      </c>
      <c r="H245" s="25"/>
      <c r="I245" s="43">
        <v>13.382</v>
      </c>
      <c r="J245" s="44">
        <v>88.8</v>
      </c>
      <c r="K245" s="45"/>
      <c r="L245" s="45"/>
      <c r="M245" s="44">
        <f t="shared" si="66"/>
        <v>1188.32</v>
      </c>
      <c r="N245" s="45"/>
      <c r="O245" s="45"/>
      <c r="P245" s="44">
        <v>88.8</v>
      </c>
      <c r="Q245" s="45"/>
      <c r="R245" s="45"/>
      <c r="S245" s="44">
        <f t="shared" si="67"/>
        <v>1188.32</v>
      </c>
      <c r="T245" s="45"/>
      <c r="U245" s="46"/>
      <c r="V245" s="9">
        <f t="shared" si="68"/>
        <v>74</v>
      </c>
      <c r="Y245" s="9">
        <f t="shared" si="69"/>
        <v>990.27</v>
      </c>
      <c r="AD245" s="4" t="s">
        <v>735</v>
      </c>
      <c r="AE245" s="4" t="s">
        <v>733</v>
      </c>
      <c r="AF245" s="4" t="s">
        <v>683</v>
      </c>
    </row>
    <row r="246" spans="1:35" ht="54" x14ac:dyDescent="0.3">
      <c r="A246" s="17" t="s">
        <v>736</v>
      </c>
      <c r="B246" s="17" t="s">
        <v>737</v>
      </c>
      <c r="C246" s="18" t="s">
        <v>738</v>
      </c>
      <c r="D246" s="19"/>
      <c r="E246" s="19" t="s">
        <v>655</v>
      </c>
      <c r="F246" s="19" t="s">
        <v>61</v>
      </c>
      <c r="G246" s="20">
        <v>1</v>
      </c>
      <c r="H246" s="19"/>
      <c r="I246" s="21">
        <v>0</v>
      </c>
      <c r="J246" s="22">
        <v>2347.08</v>
      </c>
      <c r="K246" s="22">
        <v>1655</v>
      </c>
      <c r="L246" s="22">
        <f>J246+ROUND(K246, 2)</f>
        <v>4002.08</v>
      </c>
      <c r="M246" s="22">
        <v>0</v>
      </c>
      <c r="N246" s="22">
        <v>0</v>
      </c>
      <c r="O246" s="22">
        <f>M246+N246</f>
        <v>0</v>
      </c>
      <c r="P246" s="22">
        <v>2347.08</v>
      </c>
      <c r="Q246" s="22">
        <v>1655</v>
      </c>
      <c r="R246" s="22">
        <f>P246+ROUND(Q246, 2)</f>
        <v>4002.08</v>
      </c>
      <c r="S246" s="22">
        <v>0</v>
      </c>
      <c r="T246" s="22">
        <v>0</v>
      </c>
      <c r="U246" s="22">
        <f>S246+T246</f>
        <v>0</v>
      </c>
      <c r="V246" s="9">
        <f>ROUND(P246 / 1.2, 2)</f>
        <v>1955.9</v>
      </c>
      <c r="W246" s="9">
        <f>ROUND(Q246 / 1.2, 2)</f>
        <v>1379.17</v>
      </c>
      <c r="X246" s="9">
        <f>ROUND(R246 / 1.2, 2)</f>
        <v>3335.07</v>
      </c>
      <c r="Y246" s="9">
        <f t="shared" si="69"/>
        <v>0</v>
      </c>
      <c r="Z246" s="9">
        <f>ROUND(T246 / 1.2, 2)</f>
        <v>0</v>
      </c>
      <c r="AA246" s="9">
        <f>Y246+Z246</f>
        <v>0</v>
      </c>
      <c r="AD246" s="4">
        <v>320320113</v>
      </c>
      <c r="AE246" s="4">
        <v>26813831</v>
      </c>
      <c r="AG246" s="4" t="s">
        <v>739</v>
      </c>
      <c r="AH246" s="4" t="s">
        <v>740</v>
      </c>
      <c r="AI246" s="4" t="s">
        <v>338</v>
      </c>
    </row>
    <row r="247" spans="1:35" ht="54" x14ac:dyDescent="0.3">
      <c r="A247" s="23" t="s">
        <v>741</v>
      </c>
      <c r="B247" s="23" t="s">
        <v>737</v>
      </c>
      <c r="C247" s="24" t="s">
        <v>738</v>
      </c>
      <c r="D247" s="25"/>
      <c r="E247" s="25" t="s">
        <v>655</v>
      </c>
      <c r="F247" s="25" t="s">
        <v>61</v>
      </c>
      <c r="G247" s="26">
        <v>1</v>
      </c>
      <c r="H247" s="25"/>
      <c r="I247" s="26">
        <v>3824.31</v>
      </c>
      <c r="J247" s="27">
        <v>2347.08</v>
      </c>
      <c r="K247" s="27">
        <v>1655</v>
      </c>
      <c r="L247" s="27">
        <v>1655</v>
      </c>
      <c r="M247" s="27">
        <v>8975961.5099999998</v>
      </c>
      <c r="N247" s="27">
        <v>6329233.0499999998</v>
      </c>
      <c r="O247" s="27"/>
      <c r="P247" s="27">
        <v>2347.08</v>
      </c>
      <c r="Q247" s="27">
        <v>1655</v>
      </c>
      <c r="R247" s="27">
        <v>1655</v>
      </c>
      <c r="S247" s="27">
        <v>8975961.5099999998</v>
      </c>
      <c r="T247" s="27">
        <v>6329233.0499999998</v>
      </c>
      <c r="U247" s="27"/>
      <c r="V247" s="9"/>
      <c r="W247" s="9">
        <f>ROUND(Q247 / 1.2, 2)</f>
        <v>1379.17</v>
      </c>
      <c r="X247" s="9">
        <f>ROUND(R247 / 1.2, 2)</f>
        <v>1379.17</v>
      </c>
      <c r="Y247" s="9"/>
      <c r="Z247" s="9">
        <f>ROUND(T247 / 1.2, 2)</f>
        <v>5274360.88</v>
      </c>
      <c r="AA247" s="9"/>
      <c r="AD247" s="4">
        <v>315454880</v>
      </c>
      <c r="AE247" s="4">
        <v>26813831</v>
      </c>
      <c r="AG247" s="4" t="s">
        <v>739</v>
      </c>
      <c r="AH247" s="4" t="s">
        <v>740</v>
      </c>
      <c r="AI247" s="4"/>
    </row>
    <row r="248" spans="1:35" ht="54" x14ac:dyDescent="0.3">
      <c r="A248" s="17" t="s">
        <v>742</v>
      </c>
      <c r="B248" s="17"/>
      <c r="C248" s="34" t="s">
        <v>743</v>
      </c>
      <c r="D248" s="19"/>
      <c r="E248" s="19" t="s">
        <v>744</v>
      </c>
      <c r="F248" s="35" t="s">
        <v>61</v>
      </c>
      <c r="G248" s="36">
        <v>1.07</v>
      </c>
      <c r="H248" s="19"/>
      <c r="I248" s="48">
        <v>0</v>
      </c>
      <c r="J248" s="38">
        <v>2059.0500000000002</v>
      </c>
      <c r="K248" s="39"/>
      <c r="L248" s="39"/>
      <c r="M248" s="38">
        <f t="shared" ref="M248:M255" si="70">ROUND(ROUND(J248, 2)*I248, 2)</f>
        <v>0</v>
      </c>
      <c r="N248" s="39"/>
      <c r="O248" s="39"/>
      <c r="P248" s="38">
        <v>2059.0500000000002</v>
      </c>
      <c r="Q248" s="39"/>
      <c r="R248" s="39"/>
      <c r="S248" s="38">
        <f t="shared" ref="S248:S255" si="71">ROUND(ROUND(P248, 2)*I248, 2)</f>
        <v>0</v>
      </c>
      <c r="T248" s="39"/>
      <c r="U248" s="40"/>
      <c r="V248" s="9">
        <f t="shared" ref="V248:V255" si="72">ROUND(ROUND(P248, 2)/1.2, 2)</f>
        <v>1715.88</v>
      </c>
      <c r="Y248" s="9">
        <f t="shared" ref="Y248:Y256" si="73">ROUND(S248 / 1.2, 2)</f>
        <v>0</v>
      </c>
      <c r="AD248" s="4" t="s">
        <v>745</v>
      </c>
      <c r="AE248" s="4" t="s">
        <v>746</v>
      </c>
      <c r="AF248" s="4" t="s">
        <v>747</v>
      </c>
    </row>
    <row r="249" spans="1:35" ht="54" x14ac:dyDescent="0.3">
      <c r="A249" s="23" t="s">
        <v>748</v>
      </c>
      <c r="B249" s="23"/>
      <c r="C249" s="41" t="s">
        <v>743</v>
      </c>
      <c r="D249" s="25"/>
      <c r="E249" s="25" t="s">
        <v>744</v>
      </c>
      <c r="F249" s="42" t="s">
        <v>61</v>
      </c>
      <c r="G249" s="43">
        <v>1.07</v>
      </c>
      <c r="H249" s="25"/>
      <c r="I249" s="50">
        <v>4092.0120000000002</v>
      </c>
      <c r="J249" s="44">
        <v>2059.0500000000002</v>
      </c>
      <c r="K249" s="45"/>
      <c r="L249" s="45"/>
      <c r="M249" s="44">
        <f t="shared" si="70"/>
        <v>8425657.3100000005</v>
      </c>
      <c r="N249" s="45"/>
      <c r="O249" s="45"/>
      <c r="P249" s="44">
        <v>2059.0500000000002</v>
      </c>
      <c r="Q249" s="45"/>
      <c r="R249" s="45"/>
      <c r="S249" s="44">
        <f t="shared" si="71"/>
        <v>8425657.3100000005</v>
      </c>
      <c r="T249" s="45"/>
      <c r="U249" s="46"/>
      <c r="V249" s="9">
        <f t="shared" si="72"/>
        <v>1715.88</v>
      </c>
      <c r="Y249" s="9">
        <f t="shared" si="73"/>
        <v>7021381.0899999999</v>
      </c>
      <c r="AD249" s="4" t="s">
        <v>749</v>
      </c>
      <c r="AE249" s="4" t="s">
        <v>746</v>
      </c>
      <c r="AF249" s="4" t="s">
        <v>747</v>
      </c>
    </row>
    <row r="250" spans="1:35" ht="36" x14ac:dyDescent="0.3">
      <c r="A250" s="17" t="s">
        <v>750</v>
      </c>
      <c r="B250" s="17"/>
      <c r="C250" s="34" t="s">
        <v>751</v>
      </c>
      <c r="D250" s="19"/>
      <c r="E250" s="19"/>
      <c r="F250" s="35" t="s">
        <v>364</v>
      </c>
      <c r="G250" s="36">
        <v>7</v>
      </c>
      <c r="H250" s="19"/>
      <c r="I250" s="37">
        <v>0</v>
      </c>
      <c r="J250" s="38">
        <v>16.96</v>
      </c>
      <c r="K250" s="39"/>
      <c r="L250" s="39"/>
      <c r="M250" s="38">
        <f t="shared" si="70"/>
        <v>0</v>
      </c>
      <c r="N250" s="39"/>
      <c r="O250" s="39"/>
      <c r="P250" s="38">
        <v>16.96</v>
      </c>
      <c r="Q250" s="39"/>
      <c r="R250" s="39"/>
      <c r="S250" s="38">
        <f t="shared" si="71"/>
        <v>0</v>
      </c>
      <c r="T250" s="39"/>
      <c r="U250" s="40"/>
      <c r="V250" s="9">
        <f t="shared" si="72"/>
        <v>14.13</v>
      </c>
      <c r="Y250" s="9">
        <f t="shared" si="73"/>
        <v>0</v>
      </c>
      <c r="AD250" s="4" t="s">
        <v>752</v>
      </c>
      <c r="AE250" s="4" t="s">
        <v>753</v>
      </c>
      <c r="AF250" s="4" t="s">
        <v>754</v>
      </c>
    </row>
    <row r="251" spans="1:35" ht="36" x14ac:dyDescent="0.3">
      <c r="A251" s="23" t="s">
        <v>755</v>
      </c>
      <c r="B251" s="23"/>
      <c r="C251" s="41" t="s">
        <v>751</v>
      </c>
      <c r="D251" s="25"/>
      <c r="E251" s="25"/>
      <c r="F251" s="42" t="s">
        <v>364</v>
      </c>
      <c r="G251" s="43">
        <v>7</v>
      </c>
      <c r="H251" s="25"/>
      <c r="I251" s="43">
        <v>26770.17</v>
      </c>
      <c r="J251" s="44">
        <v>16.96</v>
      </c>
      <c r="K251" s="45"/>
      <c r="L251" s="45"/>
      <c r="M251" s="44">
        <f t="shared" si="70"/>
        <v>454022.08</v>
      </c>
      <c r="N251" s="45"/>
      <c r="O251" s="45"/>
      <c r="P251" s="44">
        <v>16.96</v>
      </c>
      <c r="Q251" s="45"/>
      <c r="R251" s="45"/>
      <c r="S251" s="44">
        <f t="shared" si="71"/>
        <v>454022.08</v>
      </c>
      <c r="T251" s="45"/>
      <c r="U251" s="46"/>
      <c r="V251" s="9">
        <f t="shared" si="72"/>
        <v>14.13</v>
      </c>
      <c r="Y251" s="9">
        <f t="shared" si="73"/>
        <v>378351.73</v>
      </c>
      <c r="AD251" s="4" t="s">
        <v>756</v>
      </c>
      <c r="AE251" s="4" t="s">
        <v>753</v>
      </c>
      <c r="AF251" s="4" t="s">
        <v>754</v>
      </c>
    </row>
    <row r="252" spans="1:35" ht="18" x14ac:dyDescent="0.3">
      <c r="A252" s="17" t="s">
        <v>757</v>
      </c>
      <c r="B252" s="17"/>
      <c r="C252" s="34" t="s">
        <v>641</v>
      </c>
      <c r="D252" s="19"/>
      <c r="E252" s="19"/>
      <c r="F252" s="35" t="s">
        <v>364</v>
      </c>
      <c r="G252" s="36">
        <v>0.25</v>
      </c>
      <c r="H252" s="19"/>
      <c r="I252" s="48">
        <v>0</v>
      </c>
      <c r="J252" s="38">
        <v>47.44</v>
      </c>
      <c r="K252" s="39"/>
      <c r="L252" s="39"/>
      <c r="M252" s="38">
        <f t="shared" si="70"/>
        <v>0</v>
      </c>
      <c r="N252" s="39"/>
      <c r="O252" s="39"/>
      <c r="P252" s="38">
        <v>47.44</v>
      </c>
      <c r="Q252" s="39"/>
      <c r="R252" s="39"/>
      <c r="S252" s="38">
        <f t="shared" si="71"/>
        <v>0</v>
      </c>
      <c r="T252" s="39"/>
      <c r="U252" s="40"/>
      <c r="V252" s="9">
        <f t="shared" si="72"/>
        <v>39.53</v>
      </c>
      <c r="Y252" s="9">
        <f t="shared" si="73"/>
        <v>0</v>
      </c>
      <c r="AD252" s="4" t="s">
        <v>758</v>
      </c>
      <c r="AE252" s="4" t="s">
        <v>759</v>
      </c>
      <c r="AF252" s="4" t="s">
        <v>644</v>
      </c>
    </row>
    <row r="253" spans="1:35" ht="18" x14ac:dyDescent="0.3">
      <c r="A253" s="23" t="s">
        <v>760</v>
      </c>
      <c r="B253" s="23"/>
      <c r="C253" s="41" t="s">
        <v>641</v>
      </c>
      <c r="D253" s="25"/>
      <c r="E253" s="25"/>
      <c r="F253" s="42" t="s">
        <v>364</v>
      </c>
      <c r="G253" s="43">
        <v>0.25</v>
      </c>
      <c r="H253" s="25"/>
      <c r="I253" s="50">
        <v>956.07799999999997</v>
      </c>
      <c r="J253" s="44">
        <v>47.44</v>
      </c>
      <c r="K253" s="45"/>
      <c r="L253" s="45"/>
      <c r="M253" s="44">
        <f t="shared" si="70"/>
        <v>45356.34</v>
      </c>
      <c r="N253" s="45"/>
      <c r="O253" s="45"/>
      <c r="P253" s="44">
        <v>47.44</v>
      </c>
      <c r="Q253" s="45"/>
      <c r="R253" s="45"/>
      <c r="S253" s="44">
        <f t="shared" si="71"/>
        <v>45356.34</v>
      </c>
      <c r="T253" s="45"/>
      <c r="U253" s="46"/>
      <c r="V253" s="9">
        <f t="shared" si="72"/>
        <v>39.53</v>
      </c>
      <c r="Y253" s="9">
        <f t="shared" si="73"/>
        <v>37796.949999999997</v>
      </c>
      <c r="AD253" s="4" t="s">
        <v>761</v>
      </c>
      <c r="AE253" s="4" t="s">
        <v>759</v>
      </c>
      <c r="AF253" s="4" t="s">
        <v>644</v>
      </c>
    </row>
    <row r="254" spans="1:35" ht="36" x14ac:dyDescent="0.3">
      <c r="A254" s="17" t="s">
        <v>762</v>
      </c>
      <c r="B254" s="17"/>
      <c r="C254" s="34" t="s">
        <v>680</v>
      </c>
      <c r="D254" s="19"/>
      <c r="E254" s="19"/>
      <c r="F254" s="35" t="s">
        <v>364</v>
      </c>
      <c r="G254" s="36">
        <v>0.15</v>
      </c>
      <c r="H254" s="19"/>
      <c r="I254" s="37">
        <v>0</v>
      </c>
      <c r="J254" s="38">
        <v>88.8</v>
      </c>
      <c r="K254" s="39"/>
      <c r="L254" s="39"/>
      <c r="M254" s="38">
        <f t="shared" si="70"/>
        <v>0</v>
      </c>
      <c r="N254" s="39"/>
      <c r="O254" s="39"/>
      <c r="P254" s="38">
        <v>88.8</v>
      </c>
      <c r="Q254" s="39"/>
      <c r="R254" s="39"/>
      <c r="S254" s="38">
        <f t="shared" si="71"/>
        <v>0</v>
      </c>
      <c r="T254" s="39"/>
      <c r="U254" s="40"/>
      <c r="V254" s="9">
        <f t="shared" si="72"/>
        <v>74</v>
      </c>
      <c r="Y254" s="9">
        <f t="shared" si="73"/>
        <v>0</v>
      </c>
      <c r="AD254" s="4" t="s">
        <v>763</v>
      </c>
      <c r="AE254" s="4" t="s">
        <v>764</v>
      </c>
      <c r="AF254" s="4" t="s">
        <v>683</v>
      </c>
    </row>
    <row r="255" spans="1:35" ht="36" x14ac:dyDescent="0.3">
      <c r="A255" s="23" t="s">
        <v>765</v>
      </c>
      <c r="B255" s="23"/>
      <c r="C255" s="41" t="s">
        <v>680</v>
      </c>
      <c r="D255" s="25"/>
      <c r="E255" s="25"/>
      <c r="F255" s="42" t="s">
        <v>364</v>
      </c>
      <c r="G255" s="43">
        <v>0.15</v>
      </c>
      <c r="H255" s="25"/>
      <c r="I255" s="43">
        <v>573.64700000000005</v>
      </c>
      <c r="J255" s="44">
        <v>88.8</v>
      </c>
      <c r="K255" s="45"/>
      <c r="L255" s="45"/>
      <c r="M255" s="44">
        <f t="shared" si="70"/>
        <v>50939.85</v>
      </c>
      <c r="N255" s="45"/>
      <c r="O255" s="45"/>
      <c r="P255" s="44">
        <v>88.8</v>
      </c>
      <c r="Q255" s="45"/>
      <c r="R255" s="45"/>
      <c r="S255" s="44">
        <f t="shared" si="71"/>
        <v>50939.85</v>
      </c>
      <c r="T255" s="45"/>
      <c r="U255" s="46"/>
      <c r="V255" s="9">
        <f t="shared" si="72"/>
        <v>74</v>
      </c>
      <c r="Y255" s="9">
        <f t="shared" si="73"/>
        <v>42449.88</v>
      </c>
      <c r="AD255" s="4" t="s">
        <v>766</v>
      </c>
      <c r="AE255" s="4" t="s">
        <v>764</v>
      </c>
      <c r="AF255" s="4" t="s">
        <v>683</v>
      </c>
    </row>
    <row r="256" spans="1:35" ht="90" x14ac:dyDescent="0.3">
      <c r="A256" s="17" t="s">
        <v>767</v>
      </c>
      <c r="B256" s="17" t="s">
        <v>737</v>
      </c>
      <c r="C256" s="18" t="s">
        <v>738</v>
      </c>
      <c r="D256" s="19"/>
      <c r="E256" s="19" t="s">
        <v>768</v>
      </c>
      <c r="F256" s="19" t="s">
        <v>61</v>
      </c>
      <c r="G256" s="20">
        <v>1</v>
      </c>
      <c r="H256" s="19"/>
      <c r="I256" s="21">
        <v>0</v>
      </c>
      <c r="J256" s="22">
        <v>2347.08</v>
      </c>
      <c r="K256" s="22">
        <v>1655</v>
      </c>
      <c r="L256" s="22">
        <f>J256+ROUND(K256, 2)</f>
        <v>4002.08</v>
      </c>
      <c r="M256" s="22">
        <v>0</v>
      </c>
      <c r="N256" s="22">
        <v>0</v>
      </c>
      <c r="O256" s="22">
        <f>M256+N256</f>
        <v>0</v>
      </c>
      <c r="P256" s="22">
        <v>2347.08</v>
      </c>
      <c r="Q256" s="22">
        <v>1655</v>
      </c>
      <c r="R256" s="22">
        <f>P256+ROUND(Q256, 2)</f>
        <v>4002.08</v>
      </c>
      <c r="S256" s="22">
        <v>0</v>
      </c>
      <c r="T256" s="22">
        <v>0</v>
      </c>
      <c r="U256" s="22">
        <f>S256+T256</f>
        <v>0</v>
      </c>
      <c r="V256" s="9">
        <f>ROUND(P256 / 1.2, 2)</f>
        <v>1955.9</v>
      </c>
      <c r="W256" s="9">
        <f>ROUND(Q256 / 1.2, 2)</f>
        <v>1379.17</v>
      </c>
      <c r="X256" s="9">
        <f>ROUND(R256 / 1.2, 2)</f>
        <v>3335.07</v>
      </c>
      <c r="Y256" s="9">
        <f t="shared" si="73"/>
        <v>0</v>
      </c>
      <c r="Z256" s="9">
        <f>ROUND(T256 / 1.2, 2)</f>
        <v>0</v>
      </c>
      <c r="AA256" s="9">
        <f>Y256+Z256</f>
        <v>0</v>
      </c>
      <c r="AD256" s="4">
        <v>320320159</v>
      </c>
      <c r="AE256" s="4">
        <v>26813820</v>
      </c>
      <c r="AG256" s="4" t="s">
        <v>739</v>
      </c>
      <c r="AH256" s="4" t="s">
        <v>740</v>
      </c>
      <c r="AI256" s="4" t="s">
        <v>338</v>
      </c>
    </row>
    <row r="257" spans="1:35" ht="90" x14ac:dyDescent="0.3">
      <c r="A257" s="23" t="s">
        <v>769</v>
      </c>
      <c r="B257" s="23" t="s">
        <v>737</v>
      </c>
      <c r="C257" s="24" t="s">
        <v>738</v>
      </c>
      <c r="D257" s="25"/>
      <c r="E257" s="25" t="s">
        <v>768</v>
      </c>
      <c r="F257" s="25" t="s">
        <v>61</v>
      </c>
      <c r="G257" s="26">
        <v>1</v>
      </c>
      <c r="H257" s="25"/>
      <c r="I257" s="26">
        <v>87.2</v>
      </c>
      <c r="J257" s="27">
        <v>2347.08</v>
      </c>
      <c r="K257" s="27">
        <v>1655</v>
      </c>
      <c r="L257" s="27">
        <v>1655</v>
      </c>
      <c r="M257" s="27">
        <v>204665.38</v>
      </c>
      <c r="N257" s="27">
        <v>144316</v>
      </c>
      <c r="O257" s="27"/>
      <c r="P257" s="27">
        <v>2347.08</v>
      </c>
      <c r="Q257" s="27">
        <v>1655</v>
      </c>
      <c r="R257" s="27">
        <v>1655</v>
      </c>
      <c r="S257" s="27">
        <v>204665.38</v>
      </c>
      <c r="T257" s="27">
        <v>144316</v>
      </c>
      <c r="U257" s="27"/>
      <c r="V257" s="9"/>
      <c r="W257" s="9">
        <f>ROUND(Q257 / 1.2, 2)</f>
        <v>1379.17</v>
      </c>
      <c r="X257" s="9">
        <f>ROUND(R257 / 1.2, 2)</f>
        <v>1379.17</v>
      </c>
      <c r="Y257" s="9"/>
      <c r="Z257" s="9">
        <f>ROUND(T257 / 1.2, 2)</f>
        <v>120263.33</v>
      </c>
      <c r="AA257" s="9"/>
      <c r="AD257" s="4">
        <v>315454881</v>
      </c>
      <c r="AE257" s="4">
        <v>26813820</v>
      </c>
      <c r="AG257" s="4" t="s">
        <v>739</v>
      </c>
      <c r="AH257" s="4" t="s">
        <v>740</v>
      </c>
      <c r="AI257" s="4"/>
    </row>
    <row r="258" spans="1:35" ht="36" x14ac:dyDescent="0.3">
      <c r="A258" s="17" t="s">
        <v>770</v>
      </c>
      <c r="B258" s="17"/>
      <c r="C258" s="34" t="s">
        <v>680</v>
      </c>
      <c r="D258" s="19"/>
      <c r="E258" s="19"/>
      <c r="F258" s="35" t="s">
        <v>364</v>
      </c>
      <c r="G258" s="36">
        <v>0.15</v>
      </c>
      <c r="H258" s="19"/>
      <c r="I258" s="37">
        <v>0</v>
      </c>
      <c r="J258" s="38">
        <v>88.8</v>
      </c>
      <c r="K258" s="39"/>
      <c r="L258" s="39"/>
      <c r="M258" s="38">
        <f t="shared" ref="M258:M265" si="74">ROUND(ROUND(J258, 2)*I258, 2)</f>
        <v>0</v>
      </c>
      <c r="N258" s="39"/>
      <c r="O258" s="39"/>
      <c r="P258" s="38">
        <v>88.8</v>
      </c>
      <c r="Q258" s="39"/>
      <c r="R258" s="39"/>
      <c r="S258" s="38">
        <f t="shared" ref="S258:S265" si="75">ROUND(ROUND(P258, 2)*I258, 2)</f>
        <v>0</v>
      </c>
      <c r="T258" s="39"/>
      <c r="U258" s="40"/>
      <c r="V258" s="9">
        <f t="shared" ref="V258:V265" si="76">ROUND(ROUND(P258, 2)/1.2, 2)</f>
        <v>74</v>
      </c>
      <c r="Y258" s="9">
        <f t="shared" ref="Y258:Y266" si="77">ROUND(S258 / 1.2, 2)</f>
        <v>0</v>
      </c>
      <c r="AD258" s="4" t="s">
        <v>771</v>
      </c>
      <c r="AE258" s="4" t="s">
        <v>772</v>
      </c>
      <c r="AF258" s="4" t="s">
        <v>683</v>
      </c>
    </row>
    <row r="259" spans="1:35" ht="36" x14ac:dyDescent="0.3">
      <c r="A259" s="23" t="s">
        <v>773</v>
      </c>
      <c r="B259" s="23"/>
      <c r="C259" s="41" t="s">
        <v>680</v>
      </c>
      <c r="D259" s="25"/>
      <c r="E259" s="25"/>
      <c r="F259" s="42" t="s">
        <v>364</v>
      </c>
      <c r="G259" s="43">
        <v>0.15</v>
      </c>
      <c r="H259" s="25"/>
      <c r="I259" s="43">
        <v>13.08</v>
      </c>
      <c r="J259" s="44">
        <v>88.8</v>
      </c>
      <c r="K259" s="45"/>
      <c r="L259" s="45"/>
      <c r="M259" s="44">
        <f t="shared" si="74"/>
        <v>1161.5</v>
      </c>
      <c r="N259" s="45"/>
      <c r="O259" s="45"/>
      <c r="P259" s="44">
        <v>88.8</v>
      </c>
      <c r="Q259" s="45"/>
      <c r="R259" s="45"/>
      <c r="S259" s="44">
        <f t="shared" si="75"/>
        <v>1161.5</v>
      </c>
      <c r="T259" s="45"/>
      <c r="U259" s="46"/>
      <c r="V259" s="9">
        <f t="shared" si="76"/>
        <v>74</v>
      </c>
      <c r="Y259" s="9">
        <f t="shared" si="77"/>
        <v>967.92</v>
      </c>
      <c r="AD259" s="4" t="s">
        <v>774</v>
      </c>
      <c r="AE259" s="4" t="s">
        <v>772</v>
      </c>
      <c r="AF259" s="4" t="s">
        <v>683</v>
      </c>
    </row>
    <row r="260" spans="1:35" ht="18" x14ac:dyDescent="0.3">
      <c r="A260" s="17" t="s">
        <v>775</v>
      </c>
      <c r="B260" s="17"/>
      <c r="C260" s="34" t="s">
        <v>641</v>
      </c>
      <c r="D260" s="19"/>
      <c r="E260" s="19"/>
      <c r="F260" s="35" t="s">
        <v>364</v>
      </c>
      <c r="G260" s="36">
        <v>0.25</v>
      </c>
      <c r="H260" s="19"/>
      <c r="I260" s="48">
        <v>0</v>
      </c>
      <c r="J260" s="38">
        <v>47.44</v>
      </c>
      <c r="K260" s="39"/>
      <c r="L260" s="39"/>
      <c r="M260" s="38">
        <f t="shared" si="74"/>
        <v>0</v>
      </c>
      <c r="N260" s="39"/>
      <c r="O260" s="39"/>
      <c r="P260" s="38">
        <v>47.44</v>
      </c>
      <c r="Q260" s="39"/>
      <c r="R260" s="39"/>
      <c r="S260" s="38">
        <f t="shared" si="75"/>
        <v>0</v>
      </c>
      <c r="T260" s="39"/>
      <c r="U260" s="40"/>
      <c r="V260" s="9">
        <f t="shared" si="76"/>
        <v>39.53</v>
      </c>
      <c r="Y260" s="9">
        <f t="shared" si="77"/>
        <v>0</v>
      </c>
      <c r="AD260" s="4" t="s">
        <v>776</v>
      </c>
      <c r="AE260" s="4" t="s">
        <v>777</v>
      </c>
      <c r="AF260" s="4" t="s">
        <v>644</v>
      </c>
    </row>
    <row r="261" spans="1:35" ht="18" x14ac:dyDescent="0.3">
      <c r="A261" s="23" t="s">
        <v>778</v>
      </c>
      <c r="B261" s="23"/>
      <c r="C261" s="41" t="s">
        <v>641</v>
      </c>
      <c r="D261" s="25"/>
      <c r="E261" s="25"/>
      <c r="F261" s="42" t="s">
        <v>364</v>
      </c>
      <c r="G261" s="43">
        <v>0.25</v>
      </c>
      <c r="H261" s="25"/>
      <c r="I261" s="50">
        <v>21.8</v>
      </c>
      <c r="J261" s="44">
        <v>47.44</v>
      </c>
      <c r="K261" s="45"/>
      <c r="L261" s="45"/>
      <c r="M261" s="44">
        <f t="shared" si="74"/>
        <v>1034.19</v>
      </c>
      <c r="N261" s="45"/>
      <c r="O261" s="45"/>
      <c r="P261" s="44">
        <v>47.44</v>
      </c>
      <c r="Q261" s="45"/>
      <c r="R261" s="45"/>
      <c r="S261" s="44">
        <f t="shared" si="75"/>
        <v>1034.19</v>
      </c>
      <c r="T261" s="45"/>
      <c r="U261" s="46"/>
      <c r="V261" s="9">
        <f t="shared" si="76"/>
        <v>39.53</v>
      </c>
      <c r="Y261" s="9">
        <f t="shared" si="77"/>
        <v>861.83</v>
      </c>
      <c r="AD261" s="4" t="s">
        <v>779</v>
      </c>
      <c r="AE261" s="4" t="s">
        <v>777</v>
      </c>
      <c r="AF261" s="4" t="s">
        <v>644</v>
      </c>
    </row>
    <row r="262" spans="1:35" ht="36" x14ac:dyDescent="0.3">
      <c r="A262" s="17" t="s">
        <v>780</v>
      </c>
      <c r="B262" s="17"/>
      <c r="C262" s="34" t="s">
        <v>751</v>
      </c>
      <c r="D262" s="19"/>
      <c r="E262" s="19"/>
      <c r="F262" s="35" t="s">
        <v>364</v>
      </c>
      <c r="G262" s="36">
        <v>7</v>
      </c>
      <c r="H262" s="19"/>
      <c r="I262" s="37">
        <v>0</v>
      </c>
      <c r="J262" s="38">
        <v>16.96</v>
      </c>
      <c r="K262" s="39"/>
      <c r="L262" s="39"/>
      <c r="M262" s="38">
        <f t="shared" si="74"/>
        <v>0</v>
      </c>
      <c r="N262" s="39"/>
      <c r="O262" s="39"/>
      <c r="P262" s="38">
        <v>16.96</v>
      </c>
      <c r="Q262" s="39"/>
      <c r="R262" s="39"/>
      <c r="S262" s="38">
        <f t="shared" si="75"/>
        <v>0</v>
      </c>
      <c r="T262" s="39"/>
      <c r="U262" s="40"/>
      <c r="V262" s="9">
        <f t="shared" si="76"/>
        <v>14.13</v>
      </c>
      <c r="Y262" s="9">
        <f t="shared" si="77"/>
        <v>0</v>
      </c>
      <c r="AD262" s="4" t="s">
        <v>781</v>
      </c>
      <c r="AE262" s="4" t="s">
        <v>782</v>
      </c>
      <c r="AF262" s="4" t="s">
        <v>754</v>
      </c>
    </row>
    <row r="263" spans="1:35" ht="36" x14ac:dyDescent="0.3">
      <c r="A263" s="23" t="s">
        <v>783</v>
      </c>
      <c r="B263" s="23"/>
      <c r="C263" s="41" t="s">
        <v>751</v>
      </c>
      <c r="D263" s="25"/>
      <c r="E263" s="25"/>
      <c r="F263" s="42" t="s">
        <v>364</v>
      </c>
      <c r="G263" s="43">
        <v>7</v>
      </c>
      <c r="H263" s="25"/>
      <c r="I263" s="43">
        <v>610.4</v>
      </c>
      <c r="J263" s="44">
        <v>16.96</v>
      </c>
      <c r="K263" s="45"/>
      <c r="L263" s="45"/>
      <c r="M263" s="44">
        <f t="shared" si="74"/>
        <v>10352.379999999999</v>
      </c>
      <c r="N263" s="45"/>
      <c r="O263" s="45"/>
      <c r="P263" s="44">
        <v>16.96</v>
      </c>
      <c r="Q263" s="45"/>
      <c r="R263" s="45"/>
      <c r="S263" s="44">
        <f t="shared" si="75"/>
        <v>10352.379999999999</v>
      </c>
      <c r="T263" s="45"/>
      <c r="U263" s="46"/>
      <c r="V263" s="9">
        <f t="shared" si="76"/>
        <v>14.13</v>
      </c>
      <c r="Y263" s="9">
        <f t="shared" si="77"/>
        <v>8626.98</v>
      </c>
      <c r="AD263" s="4" t="s">
        <v>784</v>
      </c>
      <c r="AE263" s="4" t="s">
        <v>782</v>
      </c>
      <c r="AF263" s="4" t="s">
        <v>754</v>
      </c>
    </row>
    <row r="264" spans="1:35" ht="18" x14ac:dyDescent="0.3">
      <c r="A264" s="17" t="s">
        <v>785</v>
      </c>
      <c r="B264" s="17"/>
      <c r="C264" s="34" t="s">
        <v>743</v>
      </c>
      <c r="D264" s="19"/>
      <c r="E264" s="19"/>
      <c r="F264" s="35" t="s">
        <v>61</v>
      </c>
      <c r="G264" s="36">
        <v>1.07</v>
      </c>
      <c r="H264" s="19"/>
      <c r="I264" s="48">
        <v>0</v>
      </c>
      <c r="J264" s="38">
        <v>2059.0500000000002</v>
      </c>
      <c r="K264" s="39"/>
      <c r="L264" s="39"/>
      <c r="M264" s="38">
        <f t="shared" si="74"/>
        <v>0</v>
      </c>
      <c r="N264" s="39"/>
      <c r="O264" s="39"/>
      <c r="P264" s="38">
        <v>2059.0500000000002</v>
      </c>
      <c r="Q264" s="39"/>
      <c r="R264" s="39"/>
      <c r="S264" s="38">
        <f t="shared" si="75"/>
        <v>0</v>
      </c>
      <c r="T264" s="39"/>
      <c r="U264" s="40"/>
      <c r="V264" s="9">
        <f t="shared" si="76"/>
        <v>1715.88</v>
      </c>
      <c r="Y264" s="9">
        <f t="shared" si="77"/>
        <v>0</v>
      </c>
      <c r="AD264" s="4" t="s">
        <v>786</v>
      </c>
      <c r="AE264" s="4" t="s">
        <v>787</v>
      </c>
      <c r="AF264" s="4" t="s">
        <v>747</v>
      </c>
    </row>
    <row r="265" spans="1:35" ht="18" x14ac:dyDescent="0.3">
      <c r="A265" s="23" t="s">
        <v>788</v>
      </c>
      <c r="B265" s="23"/>
      <c r="C265" s="41" t="s">
        <v>743</v>
      </c>
      <c r="D265" s="25"/>
      <c r="E265" s="25"/>
      <c r="F265" s="42" t="s">
        <v>61</v>
      </c>
      <c r="G265" s="43">
        <v>1.07</v>
      </c>
      <c r="H265" s="25"/>
      <c r="I265" s="50">
        <v>93.304000000000002</v>
      </c>
      <c r="J265" s="44">
        <v>2059.0500000000002</v>
      </c>
      <c r="K265" s="45"/>
      <c r="L265" s="45"/>
      <c r="M265" s="44">
        <f t="shared" si="74"/>
        <v>192117.6</v>
      </c>
      <c r="N265" s="45"/>
      <c r="O265" s="45"/>
      <c r="P265" s="44">
        <v>2059.0500000000002</v>
      </c>
      <c r="Q265" s="45"/>
      <c r="R265" s="45"/>
      <c r="S265" s="44">
        <f t="shared" si="75"/>
        <v>192117.6</v>
      </c>
      <c r="T265" s="45"/>
      <c r="U265" s="46"/>
      <c r="V265" s="9">
        <f t="shared" si="76"/>
        <v>1715.88</v>
      </c>
      <c r="Y265" s="9">
        <f t="shared" si="77"/>
        <v>160098</v>
      </c>
      <c r="AD265" s="4" t="s">
        <v>789</v>
      </c>
      <c r="AE265" s="4" t="s">
        <v>787</v>
      </c>
      <c r="AF265" s="4" t="s">
        <v>747</v>
      </c>
    </row>
    <row r="266" spans="1:35" ht="54" x14ac:dyDescent="0.3">
      <c r="A266" s="17" t="s">
        <v>790</v>
      </c>
      <c r="B266" s="17" t="s">
        <v>791</v>
      </c>
      <c r="C266" s="18" t="s">
        <v>792</v>
      </c>
      <c r="D266" s="19"/>
      <c r="E266" s="19" t="s">
        <v>687</v>
      </c>
      <c r="F266" s="19" t="s">
        <v>61</v>
      </c>
      <c r="G266" s="20">
        <v>1</v>
      </c>
      <c r="H266" s="19"/>
      <c r="I266" s="21">
        <v>0</v>
      </c>
      <c r="J266" s="22">
        <v>2552.44</v>
      </c>
      <c r="K266" s="22">
        <v>2785</v>
      </c>
      <c r="L266" s="22">
        <f>J266+ROUND(K266, 2)</f>
        <v>5337.4400000000005</v>
      </c>
      <c r="M266" s="22">
        <v>0</v>
      </c>
      <c r="N266" s="22">
        <v>0</v>
      </c>
      <c r="O266" s="22">
        <f>M266+N266</f>
        <v>0</v>
      </c>
      <c r="P266" s="22">
        <v>2552.44</v>
      </c>
      <c r="Q266" s="22">
        <v>2785</v>
      </c>
      <c r="R266" s="22">
        <f>P266+ROUND(Q266, 2)</f>
        <v>5337.4400000000005</v>
      </c>
      <c r="S266" s="22">
        <v>0</v>
      </c>
      <c r="T266" s="22">
        <v>0</v>
      </c>
      <c r="U266" s="22">
        <f>S266+T266</f>
        <v>0</v>
      </c>
      <c r="V266" s="9">
        <f>ROUND(P266 / 1.2, 2)</f>
        <v>2127.0300000000002</v>
      </c>
      <c r="W266" s="9">
        <f>ROUND(Q266 / 1.2, 2)</f>
        <v>2320.83</v>
      </c>
      <c r="X266" s="9">
        <f>ROUND(R266 / 1.2, 2)</f>
        <v>4447.87</v>
      </c>
      <c r="Y266" s="9">
        <f t="shared" si="77"/>
        <v>0</v>
      </c>
      <c r="Z266" s="9">
        <f>ROUND(T266 / 1.2, 2)</f>
        <v>0</v>
      </c>
      <c r="AA266" s="9">
        <f>Y266+Z266</f>
        <v>0</v>
      </c>
      <c r="AD266" s="4">
        <v>320320114</v>
      </c>
      <c r="AE266" s="4">
        <v>26813839</v>
      </c>
      <c r="AG266" s="4" t="s">
        <v>793</v>
      </c>
      <c r="AH266" s="4" t="s">
        <v>794</v>
      </c>
      <c r="AI266" s="4" t="s">
        <v>338</v>
      </c>
    </row>
    <row r="267" spans="1:35" ht="54" x14ac:dyDescent="0.3">
      <c r="A267" s="23" t="s">
        <v>795</v>
      </c>
      <c r="B267" s="23" t="s">
        <v>791</v>
      </c>
      <c r="C267" s="24" t="s">
        <v>792</v>
      </c>
      <c r="D267" s="25"/>
      <c r="E267" s="25" t="s">
        <v>687</v>
      </c>
      <c r="F267" s="25" t="s">
        <v>61</v>
      </c>
      <c r="G267" s="26">
        <v>1</v>
      </c>
      <c r="H267" s="25"/>
      <c r="I267" s="26">
        <v>2228.66</v>
      </c>
      <c r="J267" s="27">
        <v>2552.44</v>
      </c>
      <c r="K267" s="27">
        <v>2785</v>
      </c>
      <c r="L267" s="27">
        <v>2785</v>
      </c>
      <c r="M267" s="27">
        <v>5688520.9299999997</v>
      </c>
      <c r="N267" s="27">
        <v>6206818.0999999996</v>
      </c>
      <c r="O267" s="27"/>
      <c r="P267" s="27">
        <v>2552.44</v>
      </c>
      <c r="Q267" s="27">
        <v>2785</v>
      </c>
      <c r="R267" s="27">
        <v>2785</v>
      </c>
      <c r="S267" s="27">
        <v>5688520.9299999997</v>
      </c>
      <c r="T267" s="27">
        <v>6206818.0999999996</v>
      </c>
      <c r="U267" s="27"/>
      <c r="V267" s="9"/>
      <c r="W267" s="9">
        <f>ROUND(Q267 / 1.2, 2)</f>
        <v>2320.83</v>
      </c>
      <c r="X267" s="9">
        <f>ROUND(R267 / 1.2, 2)</f>
        <v>2320.83</v>
      </c>
      <c r="Y267" s="9"/>
      <c r="Z267" s="9">
        <f>ROUND(T267 / 1.2, 2)</f>
        <v>5172348.42</v>
      </c>
      <c r="AA267" s="9"/>
      <c r="AD267" s="4">
        <v>315454882</v>
      </c>
      <c r="AE267" s="4">
        <v>26813839</v>
      </c>
      <c r="AG267" s="4" t="s">
        <v>793</v>
      </c>
      <c r="AH267" s="4" t="s">
        <v>794</v>
      </c>
      <c r="AI267" s="4"/>
    </row>
    <row r="268" spans="1:35" ht="36" x14ac:dyDescent="0.3">
      <c r="A268" s="17" t="s">
        <v>796</v>
      </c>
      <c r="B268" s="17"/>
      <c r="C268" s="34" t="s">
        <v>797</v>
      </c>
      <c r="D268" s="19"/>
      <c r="E268" s="19"/>
      <c r="F268" s="35" t="s">
        <v>364</v>
      </c>
      <c r="G268" s="36">
        <v>1.2</v>
      </c>
      <c r="H268" s="19"/>
      <c r="I268" s="48">
        <v>0</v>
      </c>
      <c r="J268" s="38">
        <v>16.96</v>
      </c>
      <c r="K268" s="39"/>
      <c r="L268" s="39"/>
      <c r="M268" s="38">
        <f t="shared" ref="M268:M275" si="78">ROUND(ROUND(J268, 2)*I268, 2)</f>
        <v>0</v>
      </c>
      <c r="N268" s="39"/>
      <c r="O268" s="39"/>
      <c r="P268" s="38">
        <v>16.96</v>
      </c>
      <c r="Q268" s="39"/>
      <c r="R268" s="39"/>
      <c r="S268" s="38">
        <f t="shared" ref="S268:S275" si="79">ROUND(ROUND(P268, 2)*I268, 2)</f>
        <v>0</v>
      </c>
      <c r="T268" s="39"/>
      <c r="U268" s="40"/>
      <c r="V268" s="9">
        <f t="shared" ref="V268:V275" si="80">ROUND(ROUND(P268, 2)/1.2, 2)</f>
        <v>14.13</v>
      </c>
      <c r="Y268" s="9">
        <f t="shared" ref="Y268:Y276" si="81">ROUND(S268 / 1.2, 2)</f>
        <v>0</v>
      </c>
      <c r="AD268" s="4" t="s">
        <v>798</v>
      </c>
      <c r="AE268" s="4" t="s">
        <v>799</v>
      </c>
      <c r="AF268" s="4" t="s">
        <v>800</v>
      </c>
    </row>
    <row r="269" spans="1:35" ht="36" x14ac:dyDescent="0.3">
      <c r="A269" s="23" t="s">
        <v>801</v>
      </c>
      <c r="B269" s="23"/>
      <c r="C269" s="41" t="s">
        <v>797</v>
      </c>
      <c r="D269" s="25"/>
      <c r="E269" s="25"/>
      <c r="F269" s="42" t="s">
        <v>364</v>
      </c>
      <c r="G269" s="43">
        <v>1.2</v>
      </c>
      <c r="H269" s="25"/>
      <c r="I269" s="50">
        <v>13371.96</v>
      </c>
      <c r="J269" s="44">
        <v>16.96</v>
      </c>
      <c r="K269" s="45"/>
      <c r="L269" s="45"/>
      <c r="M269" s="44">
        <f t="shared" si="78"/>
        <v>226788.44</v>
      </c>
      <c r="N269" s="45"/>
      <c r="O269" s="45"/>
      <c r="P269" s="44">
        <v>16.96</v>
      </c>
      <c r="Q269" s="45"/>
      <c r="R269" s="45"/>
      <c r="S269" s="44">
        <f t="shared" si="79"/>
        <v>226788.44</v>
      </c>
      <c r="T269" s="45"/>
      <c r="U269" s="46"/>
      <c r="V269" s="9">
        <f t="shared" si="80"/>
        <v>14.13</v>
      </c>
      <c r="Y269" s="9">
        <f t="shared" si="81"/>
        <v>188990.37</v>
      </c>
      <c r="AD269" s="4" t="s">
        <v>802</v>
      </c>
      <c r="AE269" s="4" t="s">
        <v>799</v>
      </c>
      <c r="AF269" s="4" t="s">
        <v>800</v>
      </c>
    </row>
    <row r="270" spans="1:35" ht="54" x14ac:dyDescent="0.3">
      <c r="A270" s="17" t="s">
        <v>803</v>
      </c>
      <c r="B270" s="17"/>
      <c r="C270" s="34" t="s">
        <v>804</v>
      </c>
      <c r="D270" s="19"/>
      <c r="E270" s="19" t="s">
        <v>805</v>
      </c>
      <c r="F270" s="35" t="s">
        <v>61</v>
      </c>
      <c r="G270" s="36">
        <v>1.2</v>
      </c>
      <c r="H270" s="19"/>
      <c r="I270" s="48">
        <v>0</v>
      </c>
      <c r="J270" s="38">
        <v>2021.25</v>
      </c>
      <c r="K270" s="39"/>
      <c r="L270" s="39"/>
      <c r="M270" s="38">
        <f t="shared" si="78"/>
        <v>0</v>
      </c>
      <c r="N270" s="39"/>
      <c r="O270" s="39"/>
      <c r="P270" s="38">
        <v>2021.25</v>
      </c>
      <c r="Q270" s="39"/>
      <c r="R270" s="39"/>
      <c r="S270" s="38">
        <f t="shared" si="79"/>
        <v>0</v>
      </c>
      <c r="T270" s="39"/>
      <c r="U270" s="40"/>
      <c r="V270" s="9">
        <f t="shared" si="80"/>
        <v>1684.38</v>
      </c>
      <c r="Y270" s="9">
        <f t="shared" si="81"/>
        <v>0</v>
      </c>
      <c r="AD270" s="4" t="s">
        <v>806</v>
      </c>
      <c r="AE270" s="4" t="s">
        <v>807</v>
      </c>
      <c r="AF270" s="4" t="s">
        <v>808</v>
      </c>
    </row>
    <row r="271" spans="1:35" ht="54" x14ac:dyDescent="0.3">
      <c r="A271" s="23" t="s">
        <v>809</v>
      </c>
      <c r="B271" s="23"/>
      <c r="C271" s="41" t="s">
        <v>804</v>
      </c>
      <c r="D271" s="25"/>
      <c r="E271" s="25" t="s">
        <v>805</v>
      </c>
      <c r="F271" s="42" t="s">
        <v>61</v>
      </c>
      <c r="G271" s="43">
        <v>1.2</v>
      </c>
      <c r="H271" s="25"/>
      <c r="I271" s="50">
        <v>2674.3919999999998</v>
      </c>
      <c r="J271" s="44">
        <v>2021.25</v>
      </c>
      <c r="K271" s="45"/>
      <c r="L271" s="45"/>
      <c r="M271" s="44">
        <f t="shared" si="78"/>
        <v>5405614.8300000001</v>
      </c>
      <c r="N271" s="45"/>
      <c r="O271" s="45"/>
      <c r="P271" s="44">
        <v>2021.25</v>
      </c>
      <c r="Q271" s="45"/>
      <c r="R271" s="45"/>
      <c r="S271" s="44">
        <f t="shared" si="79"/>
        <v>5405614.8300000001</v>
      </c>
      <c r="T271" s="45"/>
      <c r="U271" s="46"/>
      <c r="V271" s="9">
        <f t="shared" si="80"/>
        <v>1684.38</v>
      </c>
      <c r="Y271" s="9">
        <f t="shared" si="81"/>
        <v>4504679.03</v>
      </c>
      <c r="AD271" s="4" t="s">
        <v>810</v>
      </c>
      <c r="AE271" s="4" t="s">
        <v>807</v>
      </c>
      <c r="AF271" s="4" t="s">
        <v>808</v>
      </c>
    </row>
    <row r="272" spans="1:35" ht="18" x14ac:dyDescent="0.3">
      <c r="A272" s="17" t="s">
        <v>811</v>
      </c>
      <c r="B272" s="17"/>
      <c r="C272" s="34" t="s">
        <v>641</v>
      </c>
      <c r="D272" s="19"/>
      <c r="E272" s="19"/>
      <c r="F272" s="35" t="s">
        <v>364</v>
      </c>
      <c r="G272" s="36">
        <v>0.25</v>
      </c>
      <c r="H272" s="19"/>
      <c r="I272" s="48">
        <v>0</v>
      </c>
      <c r="J272" s="38">
        <v>47.44</v>
      </c>
      <c r="K272" s="39"/>
      <c r="L272" s="39"/>
      <c r="M272" s="38">
        <f t="shared" si="78"/>
        <v>0</v>
      </c>
      <c r="N272" s="39"/>
      <c r="O272" s="39"/>
      <c r="P272" s="38">
        <v>47.44</v>
      </c>
      <c r="Q272" s="39"/>
      <c r="R272" s="39"/>
      <c r="S272" s="38">
        <f t="shared" si="79"/>
        <v>0</v>
      </c>
      <c r="T272" s="39"/>
      <c r="U272" s="40"/>
      <c r="V272" s="9">
        <f t="shared" si="80"/>
        <v>39.53</v>
      </c>
      <c r="Y272" s="9">
        <f t="shared" si="81"/>
        <v>0</v>
      </c>
      <c r="AD272" s="4" t="s">
        <v>812</v>
      </c>
      <c r="AE272" s="4" t="s">
        <v>813</v>
      </c>
      <c r="AF272" s="4" t="s">
        <v>644</v>
      </c>
    </row>
    <row r="273" spans="1:35" ht="18" x14ac:dyDescent="0.3">
      <c r="A273" s="23" t="s">
        <v>814</v>
      </c>
      <c r="B273" s="23"/>
      <c r="C273" s="41" t="s">
        <v>641</v>
      </c>
      <c r="D273" s="25"/>
      <c r="E273" s="25"/>
      <c r="F273" s="42" t="s">
        <v>364</v>
      </c>
      <c r="G273" s="43">
        <v>0.25</v>
      </c>
      <c r="H273" s="25"/>
      <c r="I273" s="50">
        <v>557.16499999999996</v>
      </c>
      <c r="J273" s="44">
        <v>47.44</v>
      </c>
      <c r="K273" s="45"/>
      <c r="L273" s="45"/>
      <c r="M273" s="44">
        <f t="shared" si="78"/>
        <v>26431.91</v>
      </c>
      <c r="N273" s="45"/>
      <c r="O273" s="45"/>
      <c r="P273" s="44">
        <v>47.44</v>
      </c>
      <c r="Q273" s="45"/>
      <c r="R273" s="45"/>
      <c r="S273" s="44">
        <f t="shared" si="79"/>
        <v>26431.91</v>
      </c>
      <c r="T273" s="45"/>
      <c r="U273" s="46"/>
      <c r="V273" s="9">
        <f t="shared" si="80"/>
        <v>39.53</v>
      </c>
      <c r="Y273" s="9">
        <f t="shared" si="81"/>
        <v>22026.59</v>
      </c>
      <c r="AD273" s="4" t="s">
        <v>815</v>
      </c>
      <c r="AE273" s="4" t="s">
        <v>813</v>
      </c>
      <c r="AF273" s="4" t="s">
        <v>644</v>
      </c>
    </row>
    <row r="274" spans="1:35" ht="36" x14ac:dyDescent="0.3">
      <c r="A274" s="17" t="s">
        <v>816</v>
      </c>
      <c r="B274" s="17"/>
      <c r="C274" s="34" t="s">
        <v>680</v>
      </c>
      <c r="D274" s="19"/>
      <c r="E274" s="19"/>
      <c r="F274" s="35" t="s">
        <v>364</v>
      </c>
      <c r="G274" s="36">
        <v>0.15</v>
      </c>
      <c r="H274" s="19"/>
      <c r="I274" s="37">
        <v>0</v>
      </c>
      <c r="J274" s="38">
        <v>88.8</v>
      </c>
      <c r="K274" s="39"/>
      <c r="L274" s="39"/>
      <c r="M274" s="38">
        <f t="shared" si="78"/>
        <v>0</v>
      </c>
      <c r="N274" s="39"/>
      <c r="O274" s="39"/>
      <c r="P274" s="38">
        <v>88.8</v>
      </c>
      <c r="Q274" s="39"/>
      <c r="R274" s="39"/>
      <c r="S274" s="38">
        <f t="shared" si="79"/>
        <v>0</v>
      </c>
      <c r="T274" s="39"/>
      <c r="U274" s="40"/>
      <c r="V274" s="9">
        <f t="shared" si="80"/>
        <v>74</v>
      </c>
      <c r="Y274" s="9">
        <f t="shared" si="81"/>
        <v>0</v>
      </c>
      <c r="AD274" s="4" t="s">
        <v>817</v>
      </c>
      <c r="AE274" s="4" t="s">
        <v>818</v>
      </c>
      <c r="AF274" s="4" t="s">
        <v>683</v>
      </c>
    </row>
    <row r="275" spans="1:35" ht="36" x14ac:dyDescent="0.3">
      <c r="A275" s="23" t="s">
        <v>819</v>
      </c>
      <c r="B275" s="23"/>
      <c r="C275" s="41" t="s">
        <v>680</v>
      </c>
      <c r="D275" s="25"/>
      <c r="E275" s="25"/>
      <c r="F275" s="42" t="s">
        <v>364</v>
      </c>
      <c r="G275" s="43">
        <v>0.15</v>
      </c>
      <c r="H275" s="25"/>
      <c r="I275" s="43">
        <v>334.29899999999998</v>
      </c>
      <c r="J275" s="44">
        <v>88.8</v>
      </c>
      <c r="K275" s="45"/>
      <c r="L275" s="45"/>
      <c r="M275" s="44">
        <f t="shared" si="78"/>
        <v>29685.75</v>
      </c>
      <c r="N275" s="45"/>
      <c r="O275" s="45"/>
      <c r="P275" s="44">
        <v>88.8</v>
      </c>
      <c r="Q275" s="45"/>
      <c r="R275" s="45"/>
      <c r="S275" s="44">
        <f t="shared" si="79"/>
        <v>29685.75</v>
      </c>
      <c r="T275" s="45"/>
      <c r="U275" s="46"/>
      <c r="V275" s="9">
        <f t="shared" si="80"/>
        <v>74</v>
      </c>
      <c r="Y275" s="9">
        <f t="shared" si="81"/>
        <v>24738.13</v>
      </c>
      <c r="AD275" s="4" t="s">
        <v>820</v>
      </c>
      <c r="AE275" s="4" t="s">
        <v>818</v>
      </c>
      <c r="AF275" s="4" t="s">
        <v>683</v>
      </c>
    </row>
    <row r="276" spans="1:35" ht="54" x14ac:dyDescent="0.3">
      <c r="A276" s="17" t="s">
        <v>821</v>
      </c>
      <c r="B276" s="17" t="s">
        <v>791</v>
      </c>
      <c r="C276" s="18" t="s">
        <v>792</v>
      </c>
      <c r="D276" s="19"/>
      <c r="E276" s="19" t="s">
        <v>711</v>
      </c>
      <c r="F276" s="19" t="s">
        <v>61</v>
      </c>
      <c r="G276" s="20">
        <v>1</v>
      </c>
      <c r="H276" s="19"/>
      <c r="I276" s="21">
        <v>0</v>
      </c>
      <c r="J276" s="22">
        <v>2552.44</v>
      </c>
      <c r="K276" s="22">
        <v>2785</v>
      </c>
      <c r="L276" s="22">
        <f>J276+ROUND(K276, 2)</f>
        <v>5337.4400000000005</v>
      </c>
      <c r="M276" s="22">
        <v>0</v>
      </c>
      <c r="N276" s="22">
        <v>0</v>
      </c>
      <c r="O276" s="22">
        <f>M276+N276</f>
        <v>0</v>
      </c>
      <c r="P276" s="22">
        <v>2552.44</v>
      </c>
      <c r="Q276" s="22">
        <v>2785</v>
      </c>
      <c r="R276" s="22">
        <f>P276+ROUND(Q276, 2)</f>
        <v>5337.4400000000005</v>
      </c>
      <c r="S276" s="22">
        <v>0</v>
      </c>
      <c r="T276" s="22">
        <v>0</v>
      </c>
      <c r="U276" s="22">
        <f>S276+T276</f>
        <v>0</v>
      </c>
      <c r="V276" s="9">
        <f>ROUND(P276 / 1.2, 2)</f>
        <v>2127.0300000000002</v>
      </c>
      <c r="W276" s="9">
        <f>ROUND(Q276 / 1.2, 2)</f>
        <v>2320.83</v>
      </c>
      <c r="X276" s="9">
        <f>ROUND(R276 / 1.2, 2)</f>
        <v>4447.87</v>
      </c>
      <c r="Y276" s="9">
        <f t="shared" si="81"/>
        <v>0</v>
      </c>
      <c r="Z276" s="9">
        <f>ROUND(T276 / 1.2, 2)</f>
        <v>0</v>
      </c>
      <c r="AA276" s="9">
        <f>Y276+Z276</f>
        <v>0</v>
      </c>
      <c r="AD276" s="4">
        <v>320320160</v>
      </c>
      <c r="AE276" s="4">
        <v>26813856</v>
      </c>
      <c r="AG276" s="4" t="s">
        <v>793</v>
      </c>
      <c r="AH276" s="4" t="s">
        <v>794</v>
      </c>
      <c r="AI276" s="4" t="s">
        <v>338</v>
      </c>
    </row>
    <row r="277" spans="1:35" ht="54" x14ac:dyDescent="0.3">
      <c r="A277" s="23" t="s">
        <v>822</v>
      </c>
      <c r="B277" s="23" t="s">
        <v>791</v>
      </c>
      <c r="C277" s="24" t="s">
        <v>792</v>
      </c>
      <c r="D277" s="25"/>
      <c r="E277" s="25" t="s">
        <v>711</v>
      </c>
      <c r="F277" s="25" t="s">
        <v>61</v>
      </c>
      <c r="G277" s="26">
        <v>1</v>
      </c>
      <c r="H277" s="25"/>
      <c r="I277" s="26">
        <v>1152.23</v>
      </c>
      <c r="J277" s="27">
        <v>2552.44</v>
      </c>
      <c r="K277" s="27">
        <v>2785</v>
      </c>
      <c r="L277" s="27">
        <v>2785</v>
      </c>
      <c r="M277" s="27">
        <v>2940997.94</v>
      </c>
      <c r="N277" s="27">
        <v>3208960.55</v>
      </c>
      <c r="O277" s="27"/>
      <c r="P277" s="27">
        <v>2552.44</v>
      </c>
      <c r="Q277" s="27">
        <v>2785</v>
      </c>
      <c r="R277" s="27">
        <v>2785</v>
      </c>
      <c r="S277" s="27">
        <v>2940997.94</v>
      </c>
      <c r="T277" s="27">
        <v>3208960.55</v>
      </c>
      <c r="U277" s="27"/>
      <c r="V277" s="9"/>
      <c r="W277" s="9">
        <f>ROUND(Q277 / 1.2, 2)</f>
        <v>2320.83</v>
      </c>
      <c r="X277" s="9">
        <f>ROUND(R277 / 1.2, 2)</f>
        <v>2320.83</v>
      </c>
      <c r="Y277" s="9"/>
      <c r="Z277" s="9">
        <f>ROUND(T277 / 1.2, 2)</f>
        <v>2674133.79</v>
      </c>
      <c r="AA277" s="9"/>
      <c r="AD277" s="4">
        <v>315454883</v>
      </c>
      <c r="AE277" s="4">
        <v>26813856</v>
      </c>
      <c r="AG277" s="4" t="s">
        <v>793</v>
      </c>
      <c r="AH277" s="4" t="s">
        <v>794</v>
      </c>
      <c r="AI277" s="4"/>
    </row>
    <row r="278" spans="1:35" ht="36" x14ac:dyDescent="0.3">
      <c r="A278" s="17" t="s">
        <v>823</v>
      </c>
      <c r="B278" s="17"/>
      <c r="C278" s="34" t="s">
        <v>680</v>
      </c>
      <c r="D278" s="19"/>
      <c r="E278" s="19"/>
      <c r="F278" s="35" t="s">
        <v>364</v>
      </c>
      <c r="G278" s="36">
        <v>0.15</v>
      </c>
      <c r="H278" s="19"/>
      <c r="I278" s="37">
        <v>0</v>
      </c>
      <c r="J278" s="38">
        <v>88.8</v>
      </c>
      <c r="K278" s="39"/>
      <c r="L278" s="39"/>
      <c r="M278" s="38">
        <f t="shared" ref="M278:M285" si="82">ROUND(ROUND(J278, 2)*I278, 2)</f>
        <v>0</v>
      </c>
      <c r="N278" s="39"/>
      <c r="O278" s="39"/>
      <c r="P278" s="38">
        <v>88.8</v>
      </c>
      <c r="Q278" s="39"/>
      <c r="R278" s="39"/>
      <c r="S278" s="38">
        <f t="shared" ref="S278:S285" si="83">ROUND(ROUND(P278, 2)*I278, 2)</f>
        <v>0</v>
      </c>
      <c r="T278" s="39"/>
      <c r="U278" s="40"/>
      <c r="V278" s="9">
        <f t="shared" ref="V278:V285" si="84">ROUND(ROUND(P278, 2)/1.2, 2)</f>
        <v>74</v>
      </c>
      <c r="Y278" s="9">
        <f t="shared" ref="Y278:Y285" si="85">ROUND(S278 / 1.2, 2)</f>
        <v>0</v>
      </c>
      <c r="AD278" s="4" t="s">
        <v>824</v>
      </c>
      <c r="AE278" s="4" t="s">
        <v>825</v>
      </c>
      <c r="AF278" s="4" t="s">
        <v>683</v>
      </c>
    </row>
    <row r="279" spans="1:35" ht="36" x14ac:dyDescent="0.3">
      <c r="A279" s="23" t="s">
        <v>826</v>
      </c>
      <c r="B279" s="23"/>
      <c r="C279" s="41" t="s">
        <v>680</v>
      </c>
      <c r="D279" s="25"/>
      <c r="E279" s="25"/>
      <c r="F279" s="42" t="s">
        <v>364</v>
      </c>
      <c r="G279" s="43">
        <v>0.15</v>
      </c>
      <c r="H279" s="25"/>
      <c r="I279" s="43">
        <v>172.83500000000001</v>
      </c>
      <c r="J279" s="44">
        <v>88.8</v>
      </c>
      <c r="K279" s="45"/>
      <c r="L279" s="45"/>
      <c r="M279" s="44">
        <f t="shared" si="82"/>
        <v>15347.75</v>
      </c>
      <c r="N279" s="45"/>
      <c r="O279" s="45"/>
      <c r="P279" s="44">
        <v>88.8</v>
      </c>
      <c r="Q279" s="45"/>
      <c r="R279" s="45"/>
      <c r="S279" s="44">
        <f t="shared" si="83"/>
        <v>15347.75</v>
      </c>
      <c r="T279" s="45"/>
      <c r="U279" s="46"/>
      <c r="V279" s="9">
        <f t="shared" si="84"/>
        <v>74</v>
      </c>
      <c r="Y279" s="9">
        <f t="shared" si="85"/>
        <v>12789.79</v>
      </c>
      <c r="AD279" s="4" t="s">
        <v>827</v>
      </c>
      <c r="AE279" s="4" t="s">
        <v>825</v>
      </c>
      <c r="AF279" s="4" t="s">
        <v>683</v>
      </c>
    </row>
    <row r="280" spans="1:35" ht="18" x14ac:dyDescent="0.3">
      <c r="A280" s="17" t="s">
        <v>828</v>
      </c>
      <c r="B280" s="17"/>
      <c r="C280" s="34" t="s">
        <v>641</v>
      </c>
      <c r="D280" s="19"/>
      <c r="E280" s="19"/>
      <c r="F280" s="35" t="s">
        <v>364</v>
      </c>
      <c r="G280" s="36">
        <v>0.25</v>
      </c>
      <c r="H280" s="19"/>
      <c r="I280" s="48">
        <v>0</v>
      </c>
      <c r="J280" s="38">
        <v>47.44</v>
      </c>
      <c r="K280" s="39"/>
      <c r="L280" s="39"/>
      <c r="M280" s="38">
        <f t="shared" si="82"/>
        <v>0</v>
      </c>
      <c r="N280" s="39"/>
      <c r="O280" s="39"/>
      <c r="P280" s="38">
        <v>47.44</v>
      </c>
      <c r="Q280" s="39"/>
      <c r="R280" s="39"/>
      <c r="S280" s="38">
        <f t="shared" si="83"/>
        <v>0</v>
      </c>
      <c r="T280" s="39"/>
      <c r="U280" s="40"/>
      <c r="V280" s="9">
        <f t="shared" si="84"/>
        <v>39.53</v>
      </c>
      <c r="Y280" s="9">
        <f t="shared" si="85"/>
        <v>0</v>
      </c>
      <c r="AD280" s="4" t="s">
        <v>829</v>
      </c>
      <c r="AE280" s="4" t="s">
        <v>830</v>
      </c>
      <c r="AF280" s="4" t="s">
        <v>644</v>
      </c>
    </row>
    <row r="281" spans="1:35" ht="18" x14ac:dyDescent="0.3">
      <c r="A281" s="23" t="s">
        <v>831</v>
      </c>
      <c r="B281" s="23"/>
      <c r="C281" s="41" t="s">
        <v>641</v>
      </c>
      <c r="D281" s="25"/>
      <c r="E281" s="25"/>
      <c r="F281" s="42" t="s">
        <v>364</v>
      </c>
      <c r="G281" s="43">
        <v>0.25</v>
      </c>
      <c r="H281" s="25"/>
      <c r="I281" s="50">
        <v>288.05799999999999</v>
      </c>
      <c r="J281" s="44">
        <v>47.44</v>
      </c>
      <c r="K281" s="45"/>
      <c r="L281" s="45"/>
      <c r="M281" s="44">
        <f t="shared" si="82"/>
        <v>13665.47</v>
      </c>
      <c r="N281" s="45"/>
      <c r="O281" s="45"/>
      <c r="P281" s="44">
        <v>47.44</v>
      </c>
      <c r="Q281" s="45"/>
      <c r="R281" s="45"/>
      <c r="S281" s="44">
        <f t="shared" si="83"/>
        <v>13665.47</v>
      </c>
      <c r="T281" s="45"/>
      <c r="U281" s="46"/>
      <c r="V281" s="9">
        <f t="shared" si="84"/>
        <v>39.53</v>
      </c>
      <c r="Y281" s="9">
        <f t="shared" si="85"/>
        <v>11387.89</v>
      </c>
      <c r="AD281" s="4" t="s">
        <v>832</v>
      </c>
      <c r="AE281" s="4" t="s">
        <v>830</v>
      </c>
      <c r="AF281" s="4" t="s">
        <v>644</v>
      </c>
    </row>
    <row r="282" spans="1:35" ht="72" x14ac:dyDescent="0.3">
      <c r="A282" s="17" t="s">
        <v>833</v>
      </c>
      <c r="B282" s="17"/>
      <c r="C282" s="34" t="s">
        <v>804</v>
      </c>
      <c r="D282" s="19"/>
      <c r="E282" s="19" t="s">
        <v>834</v>
      </c>
      <c r="F282" s="35" t="s">
        <v>61</v>
      </c>
      <c r="G282" s="36">
        <v>1.2</v>
      </c>
      <c r="H282" s="19"/>
      <c r="I282" s="48">
        <v>0</v>
      </c>
      <c r="J282" s="38">
        <v>2021.25</v>
      </c>
      <c r="K282" s="39"/>
      <c r="L282" s="39"/>
      <c r="M282" s="38">
        <f t="shared" si="82"/>
        <v>0</v>
      </c>
      <c r="N282" s="39"/>
      <c r="O282" s="39"/>
      <c r="P282" s="38">
        <v>2021.25</v>
      </c>
      <c r="Q282" s="39"/>
      <c r="R282" s="39"/>
      <c r="S282" s="38">
        <f t="shared" si="83"/>
        <v>0</v>
      </c>
      <c r="T282" s="39"/>
      <c r="U282" s="40"/>
      <c r="V282" s="9">
        <f t="shared" si="84"/>
        <v>1684.38</v>
      </c>
      <c r="Y282" s="9">
        <f t="shared" si="85"/>
        <v>0</v>
      </c>
      <c r="AD282" s="4" t="s">
        <v>835</v>
      </c>
      <c r="AE282" s="4" t="s">
        <v>836</v>
      </c>
      <c r="AF282" s="4" t="s">
        <v>808</v>
      </c>
    </row>
    <row r="283" spans="1:35" ht="72" x14ac:dyDescent="0.3">
      <c r="A283" s="23" t="s">
        <v>837</v>
      </c>
      <c r="B283" s="23"/>
      <c r="C283" s="41" t="s">
        <v>804</v>
      </c>
      <c r="D283" s="25"/>
      <c r="E283" s="25" t="s">
        <v>834</v>
      </c>
      <c r="F283" s="42" t="s">
        <v>61</v>
      </c>
      <c r="G283" s="43">
        <v>1.2</v>
      </c>
      <c r="H283" s="25"/>
      <c r="I283" s="50">
        <v>1382.6759999999999</v>
      </c>
      <c r="J283" s="44">
        <v>2021.25</v>
      </c>
      <c r="K283" s="45"/>
      <c r="L283" s="45"/>
      <c r="M283" s="44">
        <f t="shared" si="82"/>
        <v>2794733.87</v>
      </c>
      <c r="N283" s="45"/>
      <c r="O283" s="45"/>
      <c r="P283" s="44">
        <v>2021.25</v>
      </c>
      <c r="Q283" s="45"/>
      <c r="R283" s="45"/>
      <c r="S283" s="44">
        <f t="shared" si="83"/>
        <v>2794733.87</v>
      </c>
      <c r="T283" s="45"/>
      <c r="U283" s="46"/>
      <c r="V283" s="9">
        <f t="shared" si="84"/>
        <v>1684.38</v>
      </c>
      <c r="Y283" s="9">
        <f t="shared" si="85"/>
        <v>2328944.89</v>
      </c>
      <c r="AD283" s="4" t="s">
        <v>838</v>
      </c>
      <c r="AE283" s="4" t="s">
        <v>836</v>
      </c>
      <c r="AF283" s="4" t="s">
        <v>808</v>
      </c>
    </row>
    <row r="284" spans="1:35" ht="36" x14ac:dyDescent="0.3">
      <c r="A284" s="17" t="s">
        <v>839</v>
      </c>
      <c r="B284" s="17"/>
      <c r="C284" s="34" t="s">
        <v>797</v>
      </c>
      <c r="D284" s="19"/>
      <c r="E284" s="19"/>
      <c r="F284" s="35" t="s">
        <v>364</v>
      </c>
      <c r="G284" s="36">
        <v>1.2</v>
      </c>
      <c r="H284" s="19"/>
      <c r="I284" s="48">
        <v>0</v>
      </c>
      <c r="J284" s="38">
        <v>16.96</v>
      </c>
      <c r="K284" s="39"/>
      <c r="L284" s="39"/>
      <c r="M284" s="38">
        <f t="shared" si="82"/>
        <v>0</v>
      </c>
      <c r="N284" s="39"/>
      <c r="O284" s="39"/>
      <c r="P284" s="38">
        <v>16.96</v>
      </c>
      <c r="Q284" s="39"/>
      <c r="R284" s="39"/>
      <c r="S284" s="38">
        <f t="shared" si="83"/>
        <v>0</v>
      </c>
      <c r="T284" s="39"/>
      <c r="U284" s="40"/>
      <c r="V284" s="9">
        <f t="shared" si="84"/>
        <v>14.13</v>
      </c>
      <c r="Y284" s="9">
        <f t="shared" si="85"/>
        <v>0</v>
      </c>
      <c r="AD284" s="4" t="s">
        <v>840</v>
      </c>
      <c r="AE284" s="4" t="s">
        <v>841</v>
      </c>
      <c r="AF284" s="4" t="s">
        <v>800</v>
      </c>
    </row>
    <row r="285" spans="1:35" ht="36" x14ac:dyDescent="0.3">
      <c r="A285" s="23" t="s">
        <v>842</v>
      </c>
      <c r="B285" s="23"/>
      <c r="C285" s="41" t="s">
        <v>797</v>
      </c>
      <c r="D285" s="25"/>
      <c r="E285" s="25"/>
      <c r="F285" s="42" t="s">
        <v>364</v>
      </c>
      <c r="G285" s="43">
        <v>1.2</v>
      </c>
      <c r="H285" s="25"/>
      <c r="I285" s="50">
        <v>6913.38</v>
      </c>
      <c r="J285" s="44">
        <v>16.96</v>
      </c>
      <c r="K285" s="45"/>
      <c r="L285" s="45"/>
      <c r="M285" s="44">
        <f t="shared" si="82"/>
        <v>117250.92</v>
      </c>
      <c r="N285" s="45"/>
      <c r="O285" s="45"/>
      <c r="P285" s="44">
        <v>16.96</v>
      </c>
      <c r="Q285" s="45"/>
      <c r="R285" s="45"/>
      <c r="S285" s="44">
        <f t="shared" si="83"/>
        <v>117250.92</v>
      </c>
      <c r="T285" s="45"/>
      <c r="U285" s="46"/>
      <c r="V285" s="9">
        <f t="shared" si="84"/>
        <v>14.13</v>
      </c>
      <c r="Y285" s="9">
        <f t="shared" si="85"/>
        <v>97709.1</v>
      </c>
      <c r="AD285" s="4" t="s">
        <v>843</v>
      </c>
      <c r="AE285" s="4" t="s">
        <v>841</v>
      </c>
      <c r="AF285" s="4" t="s">
        <v>800</v>
      </c>
    </row>
    <row r="286" spans="1:35" ht="16.95" customHeight="1" x14ac:dyDescent="0.3">
      <c r="A286" s="10" t="s">
        <v>844</v>
      </c>
      <c r="B286" s="10" t="s">
        <v>845</v>
      </c>
      <c r="C286" s="237" t="s">
        <v>846</v>
      </c>
      <c r="D286" s="238"/>
      <c r="E286" s="238"/>
      <c r="F286" s="238"/>
      <c r="G286" s="238"/>
      <c r="H286" s="238"/>
      <c r="I286" s="239"/>
      <c r="M286" s="6">
        <f>SUM(M287,M298)</f>
        <v>0</v>
      </c>
      <c r="N286" s="6">
        <f>SUM(N287,N298)</f>
        <v>0</v>
      </c>
      <c r="O286" s="6">
        <f>SUM(O287,O298)</f>
        <v>0</v>
      </c>
      <c r="S286" s="6">
        <f>SUM(S287,S298)</f>
        <v>0</v>
      </c>
      <c r="T286" s="6">
        <f>SUM(T287,T298)</f>
        <v>0</v>
      </c>
      <c r="U286" s="6">
        <f>SUM(U287,U298)</f>
        <v>0</v>
      </c>
      <c r="Y286" s="9">
        <f>SUM(Y287,Y298)</f>
        <v>0</v>
      </c>
      <c r="Z286" s="9">
        <f>SUM(Z287,Z298)</f>
        <v>0</v>
      </c>
      <c r="AA286" s="9">
        <f>SUM(AA287,AA298)</f>
        <v>0</v>
      </c>
      <c r="AD286" s="4">
        <v>320320115</v>
      </c>
      <c r="AE286" s="4">
        <v>26813763</v>
      </c>
    </row>
    <row r="287" spans="1:35" ht="16.95" customHeight="1" x14ac:dyDescent="0.3">
      <c r="A287" s="10" t="s">
        <v>847</v>
      </c>
      <c r="B287" s="10" t="s">
        <v>848</v>
      </c>
      <c r="C287" s="237" t="s">
        <v>849</v>
      </c>
      <c r="D287" s="238"/>
      <c r="E287" s="238"/>
      <c r="F287" s="238"/>
      <c r="G287" s="238"/>
      <c r="H287" s="238"/>
      <c r="I287" s="239"/>
      <c r="M287" s="6">
        <f>SUM(M288)</f>
        <v>0</v>
      </c>
      <c r="N287" s="6">
        <f>SUM(N288)</f>
        <v>0</v>
      </c>
      <c r="O287" s="6">
        <f>SUM(O288)</f>
        <v>0</v>
      </c>
      <c r="S287" s="6">
        <f>SUM(S288)</f>
        <v>0</v>
      </c>
      <c r="T287" s="6">
        <f>SUM(T288)</f>
        <v>0</v>
      </c>
      <c r="U287" s="6">
        <f>SUM(U288)</f>
        <v>0</v>
      </c>
      <c r="Y287" s="9">
        <f>SUM(Y288)</f>
        <v>0</v>
      </c>
      <c r="Z287" s="9">
        <f>SUM(Z288)</f>
        <v>0</v>
      </c>
      <c r="AA287" s="9">
        <f>SUM(AA288)</f>
        <v>0</v>
      </c>
      <c r="AD287" s="4">
        <v>320320116</v>
      </c>
      <c r="AE287" s="4">
        <v>26813779</v>
      </c>
    </row>
    <row r="288" spans="1:35" ht="72" x14ac:dyDescent="0.3">
      <c r="A288" s="17" t="s">
        <v>850</v>
      </c>
      <c r="B288" s="17" t="s">
        <v>851</v>
      </c>
      <c r="C288" s="18" t="s">
        <v>852</v>
      </c>
      <c r="D288" s="19" t="s">
        <v>853</v>
      </c>
      <c r="E288" s="19" t="s">
        <v>854</v>
      </c>
      <c r="F288" s="19" t="s">
        <v>61</v>
      </c>
      <c r="G288" s="20">
        <v>1</v>
      </c>
      <c r="H288" s="19"/>
      <c r="I288" s="21">
        <v>0</v>
      </c>
      <c r="J288" s="22">
        <v>281.27999999999997</v>
      </c>
      <c r="K288" s="22">
        <v>954</v>
      </c>
      <c r="L288" s="22">
        <f>J288+ROUND(K288, 2)</f>
        <v>1235.28</v>
      </c>
      <c r="M288" s="22">
        <v>0</v>
      </c>
      <c r="N288" s="22">
        <v>0</v>
      </c>
      <c r="O288" s="22">
        <f>M288+N288</f>
        <v>0</v>
      </c>
      <c r="P288" s="22">
        <v>281.27999999999997</v>
      </c>
      <c r="Q288" s="22">
        <v>954</v>
      </c>
      <c r="R288" s="22">
        <f>P288+ROUND(Q288, 2)</f>
        <v>1235.28</v>
      </c>
      <c r="S288" s="22">
        <v>0</v>
      </c>
      <c r="T288" s="22">
        <v>0</v>
      </c>
      <c r="U288" s="22">
        <f>S288+T288</f>
        <v>0</v>
      </c>
      <c r="V288" s="9">
        <f>ROUND(P288 / 1.2, 2)</f>
        <v>234.4</v>
      </c>
      <c r="W288" s="9">
        <f>ROUND(Q288 / 1.2, 2)</f>
        <v>795</v>
      </c>
      <c r="X288" s="9">
        <f>ROUND(R288 / 1.2, 2)</f>
        <v>1029.4000000000001</v>
      </c>
      <c r="Y288" s="9">
        <f>ROUND(S288 / 1.2, 2)</f>
        <v>0</v>
      </c>
      <c r="Z288" s="9">
        <f>ROUND(T288 / 1.2, 2)</f>
        <v>0</v>
      </c>
      <c r="AA288" s="9">
        <f>Y288+Z288</f>
        <v>0</v>
      </c>
      <c r="AD288" s="4">
        <v>320320118</v>
      </c>
      <c r="AE288" s="4">
        <v>26813815</v>
      </c>
      <c r="AG288" s="4" t="s">
        <v>855</v>
      </c>
      <c r="AH288" s="4" t="s">
        <v>856</v>
      </c>
      <c r="AI288" s="4" t="s">
        <v>338</v>
      </c>
    </row>
    <row r="289" spans="1:35" ht="72" x14ac:dyDescent="0.3">
      <c r="A289" s="23" t="s">
        <v>857</v>
      </c>
      <c r="B289" s="23" t="s">
        <v>851</v>
      </c>
      <c r="C289" s="24" t="s">
        <v>852</v>
      </c>
      <c r="D289" s="25" t="s">
        <v>853</v>
      </c>
      <c r="E289" s="25" t="s">
        <v>854</v>
      </c>
      <c r="F289" s="25" t="s">
        <v>61</v>
      </c>
      <c r="G289" s="26">
        <v>1</v>
      </c>
      <c r="H289" s="25"/>
      <c r="I289" s="26">
        <v>7659.9</v>
      </c>
      <c r="J289" s="27">
        <v>281.27999999999997</v>
      </c>
      <c r="K289" s="27">
        <v>954</v>
      </c>
      <c r="L289" s="27">
        <v>954</v>
      </c>
      <c r="M289" s="27">
        <v>2154576.67</v>
      </c>
      <c r="N289" s="27">
        <v>7307544.5999999996</v>
      </c>
      <c r="O289" s="27"/>
      <c r="P289" s="27">
        <v>281.27999999999997</v>
      </c>
      <c r="Q289" s="27">
        <v>954</v>
      </c>
      <c r="R289" s="27">
        <v>954</v>
      </c>
      <c r="S289" s="27">
        <v>2154576.67</v>
      </c>
      <c r="T289" s="27">
        <v>7307544.5999999996</v>
      </c>
      <c r="U289" s="27"/>
      <c r="V289" s="9"/>
      <c r="W289" s="9">
        <f>ROUND(Q289 / 1.2, 2)</f>
        <v>795</v>
      </c>
      <c r="X289" s="9">
        <f>ROUND(R289 / 1.2, 2)</f>
        <v>795</v>
      </c>
      <c r="Y289" s="9"/>
      <c r="Z289" s="9">
        <f>ROUND(T289 / 1.2, 2)</f>
        <v>6089620.5</v>
      </c>
      <c r="AA289" s="9"/>
      <c r="AD289" s="4">
        <v>315454887</v>
      </c>
      <c r="AE289" s="4">
        <v>26813815</v>
      </c>
      <c r="AG289" s="4" t="s">
        <v>855</v>
      </c>
      <c r="AH289" s="4" t="s">
        <v>856</v>
      </c>
      <c r="AI289" s="4"/>
    </row>
    <row r="290" spans="1:35" ht="18" x14ac:dyDescent="0.3">
      <c r="A290" s="17" t="s">
        <v>858</v>
      </c>
      <c r="B290" s="17"/>
      <c r="C290" s="34" t="s">
        <v>859</v>
      </c>
      <c r="D290" s="19"/>
      <c r="E290" s="19"/>
      <c r="F290" s="35" t="s">
        <v>364</v>
      </c>
      <c r="G290" s="36">
        <v>1.3</v>
      </c>
      <c r="H290" s="19"/>
      <c r="I290" s="48">
        <v>0</v>
      </c>
      <c r="J290" s="38">
        <v>8.6</v>
      </c>
      <c r="K290" s="39"/>
      <c r="L290" s="39"/>
      <c r="M290" s="38">
        <f t="shared" ref="M290:M297" si="86">ROUND(ROUND(J290, 2)*I290, 2)</f>
        <v>0</v>
      </c>
      <c r="N290" s="39"/>
      <c r="O290" s="39"/>
      <c r="P290" s="38">
        <v>8.6</v>
      </c>
      <c r="Q290" s="39"/>
      <c r="R290" s="39"/>
      <c r="S290" s="38">
        <f t="shared" ref="S290:S297" si="87">ROUND(ROUND(P290, 2)*I290, 2)</f>
        <v>0</v>
      </c>
      <c r="T290" s="39"/>
      <c r="U290" s="40"/>
      <c r="V290" s="9">
        <f t="shared" ref="V290:V297" si="88">ROUND(ROUND(P290, 2)/1.2, 2)</f>
        <v>7.17</v>
      </c>
      <c r="Y290" s="9">
        <f t="shared" ref="Y290:Y297" si="89">ROUND(S290 / 1.2, 2)</f>
        <v>0</v>
      </c>
      <c r="AD290" s="4" t="s">
        <v>860</v>
      </c>
      <c r="AE290" s="4" t="s">
        <v>861</v>
      </c>
      <c r="AF290" s="4" t="s">
        <v>862</v>
      </c>
    </row>
    <row r="291" spans="1:35" ht="18" x14ac:dyDescent="0.3">
      <c r="A291" s="23" t="s">
        <v>863</v>
      </c>
      <c r="B291" s="23"/>
      <c r="C291" s="41" t="s">
        <v>859</v>
      </c>
      <c r="D291" s="25"/>
      <c r="E291" s="25"/>
      <c r="F291" s="42" t="s">
        <v>364</v>
      </c>
      <c r="G291" s="43">
        <v>1.3</v>
      </c>
      <c r="H291" s="25"/>
      <c r="I291" s="50">
        <v>199157.4</v>
      </c>
      <c r="J291" s="44">
        <v>8.6</v>
      </c>
      <c r="K291" s="45"/>
      <c r="L291" s="45"/>
      <c r="M291" s="44">
        <f t="shared" si="86"/>
        <v>1712753.64</v>
      </c>
      <c r="N291" s="45"/>
      <c r="O291" s="45"/>
      <c r="P291" s="44">
        <v>8.6</v>
      </c>
      <c r="Q291" s="45"/>
      <c r="R291" s="45"/>
      <c r="S291" s="44">
        <f t="shared" si="87"/>
        <v>1712753.64</v>
      </c>
      <c r="T291" s="45"/>
      <c r="U291" s="46"/>
      <c r="V291" s="9">
        <f t="shared" si="88"/>
        <v>7.17</v>
      </c>
      <c r="Y291" s="9">
        <f t="shared" si="89"/>
        <v>1427294.7</v>
      </c>
      <c r="AD291" s="4" t="s">
        <v>864</v>
      </c>
      <c r="AE291" s="4" t="s">
        <v>861</v>
      </c>
      <c r="AF291" s="4" t="s">
        <v>862</v>
      </c>
    </row>
    <row r="292" spans="1:35" ht="18" x14ac:dyDescent="0.3">
      <c r="A292" s="17" t="s">
        <v>865</v>
      </c>
      <c r="B292" s="17"/>
      <c r="C292" s="34" t="s">
        <v>866</v>
      </c>
      <c r="D292" s="19"/>
      <c r="E292" s="19"/>
      <c r="F292" s="35" t="s">
        <v>61</v>
      </c>
      <c r="G292" s="36">
        <v>1.1000000000000001</v>
      </c>
      <c r="H292" s="19"/>
      <c r="I292" s="37">
        <v>0</v>
      </c>
      <c r="J292" s="38">
        <v>26</v>
      </c>
      <c r="K292" s="39"/>
      <c r="L292" s="39"/>
      <c r="M292" s="38">
        <f t="shared" si="86"/>
        <v>0</v>
      </c>
      <c r="N292" s="39"/>
      <c r="O292" s="39"/>
      <c r="P292" s="38">
        <v>26</v>
      </c>
      <c r="Q292" s="39"/>
      <c r="R292" s="39"/>
      <c r="S292" s="38">
        <f t="shared" si="87"/>
        <v>0</v>
      </c>
      <c r="T292" s="39"/>
      <c r="U292" s="40"/>
      <c r="V292" s="9">
        <f t="shared" si="88"/>
        <v>21.67</v>
      </c>
      <c r="Y292" s="9">
        <f t="shared" si="89"/>
        <v>0</v>
      </c>
      <c r="AD292" s="4" t="s">
        <v>867</v>
      </c>
      <c r="AE292" s="4" t="s">
        <v>868</v>
      </c>
      <c r="AF292" s="4" t="s">
        <v>869</v>
      </c>
    </row>
    <row r="293" spans="1:35" ht="18" x14ac:dyDescent="0.3">
      <c r="A293" s="23" t="s">
        <v>870</v>
      </c>
      <c r="B293" s="23"/>
      <c r="C293" s="41" t="s">
        <v>866</v>
      </c>
      <c r="D293" s="25"/>
      <c r="E293" s="25"/>
      <c r="F293" s="42" t="s">
        <v>61</v>
      </c>
      <c r="G293" s="43">
        <v>1.1000000000000001</v>
      </c>
      <c r="H293" s="25"/>
      <c r="I293" s="43">
        <v>8425.89</v>
      </c>
      <c r="J293" s="44">
        <v>26</v>
      </c>
      <c r="K293" s="45"/>
      <c r="L293" s="45"/>
      <c r="M293" s="44">
        <f t="shared" si="86"/>
        <v>219073.14</v>
      </c>
      <c r="N293" s="45"/>
      <c r="O293" s="45"/>
      <c r="P293" s="44">
        <v>26</v>
      </c>
      <c r="Q293" s="45"/>
      <c r="R293" s="45"/>
      <c r="S293" s="44">
        <f t="shared" si="87"/>
        <v>219073.14</v>
      </c>
      <c r="T293" s="45"/>
      <c r="U293" s="46"/>
      <c r="V293" s="9">
        <f t="shared" si="88"/>
        <v>21.67</v>
      </c>
      <c r="Y293" s="9">
        <f t="shared" si="89"/>
        <v>182560.95</v>
      </c>
      <c r="AD293" s="4" t="s">
        <v>871</v>
      </c>
      <c r="AE293" s="4" t="s">
        <v>868</v>
      </c>
      <c r="AF293" s="4" t="s">
        <v>869</v>
      </c>
    </row>
    <row r="294" spans="1:35" ht="18" x14ac:dyDescent="0.3">
      <c r="A294" s="17" t="s">
        <v>872</v>
      </c>
      <c r="B294" s="17"/>
      <c r="C294" s="34" t="s">
        <v>873</v>
      </c>
      <c r="D294" s="19"/>
      <c r="E294" s="19"/>
      <c r="F294" s="35" t="s">
        <v>76</v>
      </c>
      <c r="G294" s="36">
        <v>1</v>
      </c>
      <c r="H294" s="19"/>
      <c r="I294" s="48">
        <v>0</v>
      </c>
      <c r="J294" s="38">
        <v>15.76</v>
      </c>
      <c r="K294" s="39"/>
      <c r="L294" s="39"/>
      <c r="M294" s="38">
        <f t="shared" si="86"/>
        <v>0</v>
      </c>
      <c r="N294" s="39"/>
      <c r="O294" s="39"/>
      <c r="P294" s="38">
        <v>15.76</v>
      </c>
      <c r="Q294" s="39"/>
      <c r="R294" s="39"/>
      <c r="S294" s="38">
        <f t="shared" si="87"/>
        <v>0</v>
      </c>
      <c r="T294" s="39"/>
      <c r="U294" s="40"/>
      <c r="V294" s="9">
        <f t="shared" si="88"/>
        <v>13.13</v>
      </c>
      <c r="Y294" s="9">
        <f t="shared" si="89"/>
        <v>0</v>
      </c>
      <c r="AD294" s="4" t="s">
        <v>874</v>
      </c>
      <c r="AE294" s="4" t="s">
        <v>875</v>
      </c>
      <c r="AF294" s="4" t="s">
        <v>876</v>
      </c>
    </row>
    <row r="295" spans="1:35" ht="18" x14ac:dyDescent="0.3">
      <c r="A295" s="23" t="s">
        <v>877</v>
      </c>
      <c r="B295" s="23"/>
      <c r="C295" s="41" t="s">
        <v>873</v>
      </c>
      <c r="D295" s="25"/>
      <c r="E295" s="25"/>
      <c r="F295" s="42" t="s">
        <v>76</v>
      </c>
      <c r="G295" s="43">
        <v>1</v>
      </c>
      <c r="H295" s="25"/>
      <c r="I295" s="50">
        <v>7659.9</v>
      </c>
      <c r="J295" s="44">
        <v>15.76</v>
      </c>
      <c r="K295" s="45"/>
      <c r="L295" s="45"/>
      <c r="M295" s="44">
        <f t="shared" si="86"/>
        <v>120720.02</v>
      </c>
      <c r="N295" s="45"/>
      <c r="O295" s="45"/>
      <c r="P295" s="44">
        <v>15.76</v>
      </c>
      <c r="Q295" s="45"/>
      <c r="R295" s="45"/>
      <c r="S295" s="44">
        <f t="shared" si="87"/>
        <v>120720.02</v>
      </c>
      <c r="T295" s="45"/>
      <c r="U295" s="46"/>
      <c r="V295" s="9">
        <f t="shared" si="88"/>
        <v>13.13</v>
      </c>
      <c r="Y295" s="9">
        <f t="shared" si="89"/>
        <v>100600.02</v>
      </c>
      <c r="AD295" s="4" t="s">
        <v>878</v>
      </c>
      <c r="AE295" s="4" t="s">
        <v>875</v>
      </c>
      <c r="AF295" s="4" t="s">
        <v>876</v>
      </c>
    </row>
    <row r="296" spans="1:35" ht="36" x14ac:dyDescent="0.3">
      <c r="A296" s="17" t="s">
        <v>879</v>
      </c>
      <c r="B296" s="17"/>
      <c r="C296" s="34" t="s">
        <v>680</v>
      </c>
      <c r="D296" s="19"/>
      <c r="E296" s="19"/>
      <c r="F296" s="35" t="s">
        <v>364</v>
      </c>
      <c r="G296" s="36">
        <v>0.15</v>
      </c>
      <c r="H296" s="19"/>
      <c r="I296" s="37">
        <v>0</v>
      </c>
      <c r="J296" s="38">
        <v>88.8</v>
      </c>
      <c r="K296" s="39"/>
      <c r="L296" s="39"/>
      <c r="M296" s="38">
        <f t="shared" si="86"/>
        <v>0</v>
      </c>
      <c r="N296" s="39"/>
      <c r="O296" s="39"/>
      <c r="P296" s="38">
        <v>88.8</v>
      </c>
      <c r="Q296" s="39"/>
      <c r="R296" s="39"/>
      <c r="S296" s="38">
        <f t="shared" si="87"/>
        <v>0</v>
      </c>
      <c r="T296" s="39"/>
      <c r="U296" s="40"/>
      <c r="V296" s="9">
        <f t="shared" si="88"/>
        <v>74</v>
      </c>
      <c r="Y296" s="9">
        <f t="shared" si="89"/>
        <v>0</v>
      </c>
      <c r="AD296" s="4" t="s">
        <v>880</v>
      </c>
      <c r="AE296" s="4" t="s">
        <v>881</v>
      </c>
      <c r="AF296" s="4" t="s">
        <v>683</v>
      </c>
    </row>
    <row r="297" spans="1:35" ht="36" x14ac:dyDescent="0.3">
      <c r="A297" s="23" t="s">
        <v>882</v>
      </c>
      <c r="B297" s="23"/>
      <c r="C297" s="41" t="s">
        <v>680</v>
      </c>
      <c r="D297" s="25"/>
      <c r="E297" s="25"/>
      <c r="F297" s="42" t="s">
        <v>364</v>
      </c>
      <c r="G297" s="43">
        <v>0.15</v>
      </c>
      <c r="H297" s="25"/>
      <c r="I297" s="43">
        <v>1148.9849999999999</v>
      </c>
      <c r="J297" s="44">
        <v>88.8</v>
      </c>
      <c r="K297" s="45"/>
      <c r="L297" s="45"/>
      <c r="M297" s="44">
        <f t="shared" si="86"/>
        <v>102029.87</v>
      </c>
      <c r="N297" s="45"/>
      <c r="O297" s="45"/>
      <c r="P297" s="44">
        <v>88.8</v>
      </c>
      <c r="Q297" s="45"/>
      <c r="R297" s="45"/>
      <c r="S297" s="44">
        <f t="shared" si="87"/>
        <v>102029.87</v>
      </c>
      <c r="T297" s="45"/>
      <c r="U297" s="46"/>
      <c r="V297" s="9">
        <f t="shared" si="88"/>
        <v>74</v>
      </c>
      <c r="Y297" s="9">
        <f t="shared" si="89"/>
        <v>85024.89</v>
      </c>
      <c r="AD297" s="4" t="s">
        <v>883</v>
      </c>
      <c r="AE297" s="4" t="s">
        <v>881</v>
      </c>
      <c r="AF297" s="4" t="s">
        <v>683</v>
      </c>
    </row>
    <row r="298" spans="1:35" ht="16.95" customHeight="1" x14ac:dyDescent="0.3">
      <c r="A298" s="10" t="s">
        <v>884</v>
      </c>
      <c r="B298" s="10" t="s">
        <v>885</v>
      </c>
      <c r="C298" s="237" t="s">
        <v>886</v>
      </c>
      <c r="D298" s="238"/>
      <c r="E298" s="238"/>
      <c r="F298" s="238"/>
      <c r="G298" s="238"/>
      <c r="H298" s="238"/>
      <c r="I298" s="239"/>
      <c r="M298" s="6">
        <f>SUM(M299,M303,M309,M315)</f>
        <v>0</v>
      </c>
      <c r="N298" s="6">
        <f>SUM(N299,N303,N309,N315)</f>
        <v>0</v>
      </c>
      <c r="O298" s="6">
        <f>SUM(O299,O303,O309,O315)</f>
        <v>0</v>
      </c>
      <c r="S298" s="6">
        <f>SUM(S299,S303,S309,S315)</f>
        <v>0</v>
      </c>
      <c r="T298" s="6">
        <f>SUM(T299,T303,T309,T315)</f>
        <v>0</v>
      </c>
      <c r="U298" s="6">
        <f>SUM(U299,U303,U309,U315)</f>
        <v>0</v>
      </c>
      <c r="Y298" s="9">
        <f>SUM(Y299,Y303,Y309,Y315)</f>
        <v>0</v>
      </c>
      <c r="Z298" s="9">
        <f>SUM(Z299,Z303,Z309,Z315)</f>
        <v>0</v>
      </c>
      <c r="AA298" s="9">
        <f>SUM(AA299,AA303,AA309,AA315)</f>
        <v>0</v>
      </c>
      <c r="AD298" s="4">
        <v>320320119</v>
      </c>
      <c r="AE298" s="4">
        <v>26813802</v>
      </c>
    </row>
    <row r="299" spans="1:35" ht="54" x14ac:dyDescent="0.3">
      <c r="A299" s="17" t="s">
        <v>887</v>
      </c>
      <c r="B299" s="17" t="s">
        <v>888</v>
      </c>
      <c r="C299" s="18" t="s">
        <v>889</v>
      </c>
      <c r="D299" s="19"/>
      <c r="E299" s="19" t="s">
        <v>890</v>
      </c>
      <c r="F299" s="19" t="s">
        <v>61</v>
      </c>
      <c r="G299" s="20">
        <v>1</v>
      </c>
      <c r="H299" s="19"/>
      <c r="I299" s="21">
        <v>0</v>
      </c>
      <c r="J299" s="22">
        <v>418</v>
      </c>
      <c r="K299" s="22">
        <v>1010</v>
      </c>
      <c r="L299" s="22">
        <f>J299+ROUND(K299, 2)</f>
        <v>1428</v>
      </c>
      <c r="M299" s="22">
        <v>0</v>
      </c>
      <c r="N299" s="22">
        <v>0</v>
      </c>
      <c r="O299" s="22">
        <f>M299+N299</f>
        <v>0</v>
      </c>
      <c r="P299" s="22">
        <v>418</v>
      </c>
      <c r="Q299" s="22">
        <v>1010</v>
      </c>
      <c r="R299" s="22">
        <f>P299+ROUND(Q299, 2)</f>
        <v>1428</v>
      </c>
      <c r="S299" s="22">
        <v>0</v>
      </c>
      <c r="T299" s="22">
        <v>0</v>
      </c>
      <c r="U299" s="22">
        <f>S299+T299</f>
        <v>0</v>
      </c>
      <c r="V299" s="9">
        <f>ROUND(P299 / 1.2, 2)</f>
        <v>348.33</v>
      </c>
      <c r="W299" s="9">
        <f>ROUND(Q299 / 1.2, 2)</f>
        <v>841.67</v>
      </c>
      <c r="X299" s="9">
        <f>ROUND(R299 / 1.2, 2)</f>
        <v>1190</v>
      </c>
      <c r="Y299" s="9">
        <f>ROUND(S299 / 1.2, 2)</f>
        <v>0</v>
      </c>
      <c r="Z299" s="9">
        <f>ROUND(T299 / 1.2, 2)</f>
        <v>0</v>
      </c>
      <c r="AA299" s="9">
        <f>Y299+Z299</f>
        <v>0</v>
      </c>
      <c r="AD299" s="4">
        <v>320320121</v>
      </c>
      <c r="AE299" s="4">
        <v>26813810</v>
      </c>
      <c r="AG299" s="4" t="s">
        <v>891</v>
      </c>
      <c r="AH299" s="4" t="s">
        <v>892</v>
      </c>
      <c r="AI299" s="4" t="s">
        <v>338</v>
      </c>
    </row>
    <row r="300" spans="1:35" ht="54" x14ac:dyDescent="0.3">
      <c r="A300" s="23" t="s">
        <v>893</v>
      </c>
      <c r="B300" s="23" t="s">
        <v>888</v>
      </c>
      <c r="C300" s="24" t="s">
        <v>889</v>
      </c>
      <c r="D300" s="25"/>
      <c r="E300" s="25" t="s">
        <v>890</v>
      </c>
      <c r="F300" s="25" t="s">
        <v>61</v>
      </c>
      <c r="G300" s="26">
        <v>1</v>
      </c>
      <c r="H300" s="25"/>
      <c r="I300" s="26">
        <v>2373.3000000000002</v>
      </c>
      <c r="J300" s="27">
        <v>418</v>
      </c>
      <c r="K300" s="27">
        <v>1010</v>
      </c>
      <c r="L300" s="27">
        <v>1010</v>
      </c>
      <c r="M300" s="27">
        <v>992039.4</v>
      </c>
      <c r="N300" s="27">
        <v>2397033</v>
      </c>
      <c r="O300" s="27"/>
      <c r="P300" s="27">
        <v>418</v>
      </c>
      <c r="Q300" s="27">
        <v>1010</v>
      </c>
      <c r="R300" s="27">
        <v>1010</v>
      </c>
      <c r="S300" s="27">
        <v>992039.4</v>
      </c>
      <c r="T300" s="27">
        <v>2397033</v>
      </c>
      <c r="U300" s="27"/>
      <c r="V300" s="9"/>
      <c r="W300" s="9">
        <f>ROUND(Q300 / 1.2, 2)</f>
        <v>841.67</v>
      </c>
      <c r="X300" s="9">
        <f>ROUND(R300 / 1.2, 2)</f>
        <v>841.67</v>
      </c>
      <c r="Y300" s="9"/>
      <c r="Z300" s="9">
        <f>ROUND(T300 / 1.2, 2)</f>
        <v>1997527.5</v>
      </c>
      <c r="AA300" s="9"/>
      <c r="AD300" s="4">
        <v>315454890</v>
      </c>
      <c r="AE300" s="4">
        <v>26813810</v>
      </c>
      <c r="AG300" s="4" t="s">
        <v>891</v>
      </c>
      <c r="AH300" s="4" t="s">
        <v>892</v>
      </c>
      <c r="AI300" s="4"/>
    </row>
    <row r="301" spans="1:35" ht="18" x14ac:dyDescent="0.3">
      <c r="A301" s="17" t="s">
        <v>894</v>
      </c>
      <c r="B301" s="17"/>
      <c r="C301" s="34" t="s">
        <v>895</v>
      </c>
      <c r="D301" s="19"/>
      <c r="E301" s="19"/>
      <c r="F301" s="35" t="s">
        <v>356</v>
      </c>
      <c r="G301" s="36">
        <v>1</v>
      </c>
      <c r="H301" s="19"/>
      <c r="I301" s="37">
        <v>0</v>
      </c>
      <c r="J301" s="38">
        <v>418</v>
      </c>
      <c r="K301" s="39"/>
      <c r="L301" s="39"/>
      <c r="M301" s="38">
        <f>ROUND(ROUND(J301, 2)*I301, 2)</f>
        <v>0</v>
      </c>
      <c r="N301" s="39"/>
      <c r="O301" s="39"/>
      <c r="P301" s="38">
        <v>418</v>
      </c>
      <c r="Q301" s="39"/>
      <c r="R301" s="39"/>
      <c r="S301" s="38">
        <f>ROUND(ROUND(P301, 2)*I301, 2)</f>
        <v>0</v>
      </c>
      <c r="T301" s="39"/>
      <c r="U301" s="40"/>
      <c r="V301" s="9">
        <f>ROUND(ROUND(P301, 2)/1.2, 2)</f>
        <v>348.33</v>
      </c>
      <c r="Y301" s="9">
        <f>ROUND(S301 / 1.2, 2)</f>
        <v>0</v>
      </c>
      <c r="AD301" s="4" t="s">
        <v>896</v>
      </c>
      <c r="AE301" s="4" t="s">
        <v>897</v>
      </c>
      <c r="AF301" s="4" t="s">
        <v>898</v>
      </c>
    </row>
    <row r="302" spans="1:35" ht="18" x14ac:dyDescent="0.3">
      <c r="A302" s="23" t="s">
        <v>899</v>
      </c>
      <c r="B302" s="23"/>
      <c r="C302" s="41" t="s">
        <v>895</v>
      </c>
      <c r="D302" s="25"/>
      <c r="E302" s="25"/>
      <c r="F302" s="42" t="s">
        <v>356</v>
      </c>
      <c r="G302" s="43">
        <v>1</v>
      </c>
      <c r="H302" s="25"/>
      <c r="I302" s="43">
        <v>2373.3000000000002</v>
      </c>
      <c r="J302" s="44">
        <v>418</v>
      </c>
      <c r="K302" s="45"/>
      <c r="L302" s="45"/>
      <c r="M302" s="44">
        <f>ROUND(ROUND(J302, 2)*I302, 2)</f>
        <v>992039.4</v>
      </c>
      <c r="N302" s="45"/>
      <c r="O302" s="45"/>
      <c r="P302" s="44">
        <v>418</v>
      </c>
      <c r="Q302" s="45"/>
      <c r="R302" s="45"/>
      <c r="S302" s="44">
        <f>ROUND(ROUND(P302, 2)*I302, 2)</f>
        <v>992039.4</v>
      </c>
      <c r="T302" s="45"/>
      <c r="U302" s="46"/>
      <c r="V302" s="9">
        <f>ROUND(ROUND(P302, 2)/1.2, 2)</f>
        <v>348.33</v>
      </c>
      <c r="Y302" s="9">
        <f>ROUND(S302 / 1.2, 2)</f>
        <v>826699.5</v>
      </c>
      <c r="AD302" s="4" t="s">
        <v>900</v>
      </c>
      <c r="AE302" s="4" t="s">
        <v>897</v>
      </c>
      <c r="AF302" s="4" t="s">
        <v>898</v>
      </c>
    </row>
    <row r="303" spans="1:35" ht="108" x14ac:dyDescent="0.3">
      <c r="A303" s="17" t="s">
        <v>901</v>
      </c>
      <c r="B303" s="17" t="s">
        <v>902</v>
      </c>
      <c r="C303" s="18" t="s">
        <v>903</v>
      </c>
      <c r="D303" s="19"/>
      <c r="E303" s="19" t="s">
        <v>904</v>
      </c>
      <c r="F303" s="19" t="s">
        <v>61</v>
      </c>
      <c r="G303" s="20">
        <v>1</v>
      </c>
      <c r="H303" s="19"/>
      <c r="I303" s="21">
        <v>0</v>
      </c>
      <c r="J303" s="22">
        <v>499.92</v>
      </c>
      <c r="K303" s="22">
        <v>428</v>
      </c>
      <c r="L303" s="22">
        <f>J303+ROUND(K303, 2)</f>
        <v>927.92000000000007</v>
      </c>
      <c r="M303" s="22">
        <v>0</v>
      </c>
      <c r="N303" s="22">
        <v>0</v>
      </c>
      <c r="O303" s="22">
        <f>M303+N303</f>
        <v>0</v>
      </c>
      <c r="P303" s="22">
        <v>58.11</v>
      </c>
      <c r="Q303" s="22">
        <v>428</v>
      </c>
      <c r="R303" s="22">
        <f>P303+ROUND(Q303, 2)</f>
        <v>486.11</v>
      </c>
      <c r="S303" s="22">
        <v>0</v>
      </c>
      <c r="T303" s="22">
        <v>0</v>
      </c>
      <c r="U303" s="22">
        <f>S303+T303</f>
        <v>0</v>
      </c>
      <c r="V303" s="9">
        <f>ROUND(P303 / 1.2, 2)</f>
        <v>48.43</v>
      </c>
      <c r="W303" s="9">
        <f>ROUND(Q303 / 1.2, 2)</f>
        <v>356.67</v>
      </c>
      <c r="X303" s="9">
        <f>ROUND(R303 / 1.2, 2)</f>
        <v>405.09</v>
      </c>
      <c r="Y303" s="9">
        <f>ROUND(S303 / 1.2, 2)</f>
        <v>0</v>
      </c>
      <c r="Z303" s="9">
        <f>ROUND(T303 / 1.2, 2)</f>
        <v>0</v>
      </c>
      <c r="AA303" s="9">
        <f>Y303+Z303</f>
        <v>0</v>
      </c>
      <c r="AD303" s="4">
        <v>320320123</v>
      </c>
      <c r="AE303" s="4">
        <v>26813837</v>
      </c>
      <c r="AG303" s="4" t="s">
        <v>905</v>
      </c>
      <c r="AH303" s="4" t="s">
        <v>906</v>
      </c>
      <c r="AI303" s="4" t="s">
        <v>338</v>
      </c>
    </row>
    <row r="304" spans="1:35" ht="108" x14ac:dyDescent="0.3">
      <c r="A304" s="23" t="s">
        <v>907</v>
      </c>
      <c r="B304" s="23" t="s">
        <v>902</v>
      </c>
      <c r="C304" s="24" t="s">
        <v>903</v>
      </c>
      <c r="D304" s="25"/>
      <c r="E304" s="25" t="s">
        <v>904</v>
      </c>
      <c r="F304" s="25" t="s">
        <v>61</v>
      </c>
      <c r="G304" s="26">
        <v>1</v>
      </c>
      <c r="H304" s="25"/>
      <c r="I304" s="26">
        <v>11850.4</v>
      </c>
      <c r="J304" s="27">
        <v>499.92</v>
      </c>
      <c r="K304" s="27">
        <v>428</v>
      </c>
      <c r="L304" s="27">
        <v>428</v>
      </c>
      <c r="M304" s="27">
        <v>5924251.9699999997</v>
      </c>
      <c r="N304" s="27">
        <v>5071971.2</v>
      </c>
      <c r="O304" s="27"/>
      <c r="P304" s="27">
        <v>58.11</v>
      </c>
      <c r="Q304" s="27">
        <v>428</v>
      </c>
      <c r="R304" s="27">
        <v>428</v>
      </c>
      <c r="S304" s="27">
        <v>688626.74</v>
      </c>
      <c r="T304" s="27">
        <v>5071971.2</v>
      </c>
      <c r="U304" s="27"/>
      <c r="V304" s="9"/>
      <c r="W304" s="9">
        <f>ROUND(Q304 / 1.2, 2)</f>
        <v>356.67</v>
      </c>
      <c r="X304" s="9">
        <f>ROUND(R304 / 1.2, 2)</f>
        <v>356.67</v>
      </c>
      <c r="Y304" s="9"/>
      <c r="Z304" s="9">
        <f>ROUND(T304 / 1.2, 2)</f>
        <v>4226642.67</v>
      </c>
      <c r="AA304" s="9"/>
      <c r="AD304" s="4">
        <v>315454892</v>
      </c>
      <c r="AE304" s="4">
        <v>26813837</v>
      </c>
      <c r="AG304" s="4" t="s">
        <v>905</v>
      </c>
      <c r="AH304" s="4" t="s">
        <v>906</v>
      </c>
      <c r="AI304" s="4"/>
    </row>
    <row r="305" spans="1:35" ht="36" x14ac:dyDescent="0.3">
      <c r="A305" s="17" t="s">
        <v>908</v>
      </c>
      <c r="B305" s="17"/>
      <c r="C305" s="34" t="s">
        <v>680</v>
      </c>
      <c r="D305" s="19"/>
      <c r="E305" s="19"/>
      <c r="F305" s="35" t="s">
        <v>364</v>
      </c>
      <c r="G305" s="36">
        <v>0.15</v>
      </c>
      <c r="H305" s="19"/>
      <c r="I305" s="37">
        <v>0</v>
      </c>
      <c r="J305" s="38">
        <v>88.8</v>
      </c>
      <c r="K305" s="39"/>
      <c r="L305" s="39"/>
      <c r="M305" s="38">
        <f>ROUND(ROUND(J305, 2)*I305, 2)</f>
        <v>0</v>
      </c>
      <c r="N305" s="39"/>
      <c r="O305" s="39"/>
      <c r="P305" s="38">
        <v>88.8</v>
      </c>
      <c r="Q305" s="39"/>
      <c r="R305" s="39"/>
      <c r="S305" s="38">
        <f>ROUND(ROUND(P305, 2)*I305, 2)</f>
        <v>0</v>
      </c>
      <c r="T305" s="39"/>
      <c r="U305" s="40"/>
      <c r="V305" s="9">
        <f>ROUND(ROUND(P305, 2)/1.2, 2)</f>
        <v>74</v>
      </c>
      <c r="Y305" s="9">
        <f>ROUND(S305 / 1.2, 2)</f>
        <v>0</v>
      </c>
      <c r="AD305" s="4" t="s">
        <v>909</v>
      </c>
      <c r="AE305" s="4" t="s">
        <v>910</v>
      </c>
      <c r="AF305" s="4" t="s">
        <v>683</v>
      </c>
    </row>
    <row r="306" spans="1:35" ht="36" x14ac:dyDescent="0.3">
      <c r="A306" s="23" t="s">
        <v>911</v>
      </c>
      <c r="B306" s="23"/>
      <c r="C306" s="41" t="s">
        <v>680</v>
      </c>
      <c r="D306" s="25"/>
      <c r="E306" s="25"/>
      <c r="F306" s="42" t="s">
        <v>364</v>
      </c>
      <c r="G306" s="43">
        <v>0.15</v>
      </c>
      <c r="H306" s="25"/>
      <c r="I306" s="43">
        <v>1777.56</v>
      </c>
      <c r="J306" s="44">
        <v>88.8</v>
      </c>
      <c r="K306" s="45"/>
      <c r="L306" s="45"/>
      <c r="M306" s="44">
        <f>ROUND(ROUND(J306, 2)*I306, 2)</f>
        <v>157847.32999999999</v>
      </c>
      <c r="N306" s="45"/>
      <c r="O306" s="45"/>
      <c r="P306" s="44">
        <v>88.8</v>
      </c>
      <c r="Q306" s="45"/>
      <c r="R306" s="45"/>
      <c r="S306" s="44">
        <f>ROUND(ROUND(P306, 2)*I306, 2)</f>
        <v>157847.32999999999</v>
      </c>
      <c r="T306" s="45"/>
      <c r="U306" s="46"/>
      <c r="V306" s="9">
        <f>ROUND(ROUND(P306, 2)/1.2, 2)</f>
        <v>74</v>
      </c>
      <c r="Y306" s="9">
        <f>ROUND(S306 / 1.2, 2)</f>
        <v>131539.44</v>
      </c>
      <c r="AD306" s="4" t="s">
        <v>912</v>
      </c>
      <c r="AE306" s="4" t="s">
        <v>910</v>
      </c>
      <c r="AF306" s="4" t="s">
        <v>683</v>
      </c>
    </row>
    <row r="307" spans="1:35" ht="90" x14ac:dyDescent="0.3">
      <c r="A307" s="17" t="s">
        <v>913</v>
      </c>
      <c r="B307" s="17"/>
      <c r="C307" s="34" t="s">
        <v>914</v>
      </c>
      <c r="D307" s="19"/>
      <c r="E307" s="19" t="s">
        <v>915</v>
      </c>
      <c r="F307" s="35" t="s">
        <v>364</v>
      </c>
      <c r="G307" s="36">
        <v>0.3</v>
      </c>
      <c r="H307" s="19"/>
      <c r="I307" s="37">
        <v>0</v>
      </c>
      <c r="J307" s="38">
        <v>1622</v>
      </c>
      <c r="K307" s="39"/>
      <c r="L307" s="39"/>
      <c r="M307" s="38">
        <f>ROUND(ROUND(J307, 2)*I307, 2)</f>
        <v>0</v>
      </c>
      <c r="N307" s="39"/>
      <c r="O307" s="39"/>
      <c r="P307" s="38">
        <v>149.31</v>
      </c>
      <c r="Q307" s="39"/>
      <c r="R307" s="39"/>
      <c r="S307" s="38">
        <f>ROUND(ROUND(P307, 2)*I307, 2)</f>
        <v>0</v>
      </c>
      <c r="T307" s="39"/>
      <c r="U307" s="40"/>
      <c r="V307" s="9">
        <f>ROUND(ROUND(P307, 2)/1.2, 2)</f>
        <v>124.43</v>
      </c>
      <c r="Y307" s="9">
        <f>ROUND(S307 / 1.2, 2)</f>
        <v>0</v>
      </c>
      <c r="AD307" s="4" t="s">
        <v>916</v>
      </c>
      <c r="AE307" s="4" t="s">
        <v>917</v>
      </c>
      <c r="AF307" s="4" t="s">
        <v>918</v>
      </c>
    </row>
    <row r="308" spans="1:35" ht="90" x14ac:dyDescent="0.3">
      <c r="A308" s="23" t="s">
        <v>919</v>
      </c>
      <c r="B308" s="23"/>
      <c r="C308" s="41" t="s">
        <v>914</v>
      </c>
      <c r="D308" s="25"/>
      <c r="E308" s="25" t="s">
        <v>915</v>
      </c>
      <c r="F308" s="42" t="s">
        <v>364</v>
      </c>
      <c r="G308" s="43">
        <v>0.3</v>
      </c>
      <c r="H308" s="25"/>
      <c r="I308" s="43">
        <v>3555.12</v>
      </c>
      <c r="J308" s="44">
        <v>1622</v>
      </c>
      <c r="K308" s="45"/>
      <c r="L308" s="45"/>
      <c r="M308" s="44">
        <f>ROUND(ROUND(J308, 2)*I308, 2)</f>
        <v>5766404.6399999997</v>
      </c>
      <c r="N308" s="45"/>
      <c r="O308" s="45"/>
      <c r="P308" s="44">
        <v>149.31</v>
      </c>
      <c r="Q308" s="45"/>
      <c r="R308" s="45"/>
      <c r="S308" s="44">
        <f>ROUND(ROUND(P308, 2)*I308, 2)</f>
        <v>530814.97</v>
      </c>
      <c r="T308" s="45"/>
      <c r="U308" s="46"/>
      <c r="V308" s="9">
        <f>ROUND(ROUND(P308, 2)/1.2, 2)</f>
        <v>124.43</v>
      </c>
      <c r="Y308" s="9">
        <f>ROUND(S308 / 1.2, 2)</f>
        <v>442345.81</v>
      </c>
      <c r="AD308" s="4" t="s">
        <v>920</v>
      </c>
      <c r="AE308" s="4" t="s">
        <v>917</v>
      </c>
      <c r="AF308" s="4" t="s">
        <v>918</v>
      </c>
    </row>
    <row r="309" spans="1:35" ht="90" x14ac:dyDescent="0.3">
      <c r="A309" s="17" t="s">
        <v>921</v>
      </c>
      <c r="B309" s="17" t="s">
        <v>902</v>
      </c>
      <c r="C309" s="18" t="s">
        <v>903</v>
      </c>
      <c r="D309" s="19"/>
      <c r="E309" s="19" t="s">
        <v>922</v>
      </c>
      <c r="F309" s="19" t="s">
        <v>61</v>
      </c>
      <c r="G309" s="20">
        <v>1</v>
      </c>
      <c r="H309" s="19"/>
      <c r="I309" s="21">
        <v>0</v>
      </c>
      <c r="J309" s="22">
        <v>499.92</v>
      </c>
      <c r="K309" s="22">
        <v>428</v>
      </c>
      <c r="L309" s="22">
        <f>J309+ROUND(K309, 2)</f>
        <v>927.92000000000007</v>
      </c>
      <c r="M309" s="22">
        <v>0</v>
      </c>
      <c r="N309" s="22">
        <v>0</v>
      </c>
      <c r="O309" s="22">
        <f>M309+N309</f>
        <v>0</v>
      </c>
      <c r="P309" s="22">
        <v>58.11</v>
      </c>
      <c r="Q309" s="22">
        <v>428</v>
      </c>
      <c r="R309" s="22">
        <f>P309+ROUND(Q309, 2)</f>
        <v>486.11</v>
      </c>
      <c r="S309" s="22">
        <v>0</v>
      </c>
      <c r="T309" s="22">
        <v>0</v>
      </c>
      <c r="U309" s="22">
        <f>S309+T309</f>
        <v>0</v>
      </c>
      <c r="V309" s="9">
        <f>ROUND(P309 / 1.2, 2)</f>
        <v>48.43</v>
      </c>
      <c r="W309" s="9">
        <f>ROUND(Q309 / 1.2, 2)</f>
        <v>356.67</v>
      </c>
      <c r="X309" s="9">
        <f>ROUND(R309 / 1.2, 2)</f>
        <v>405.09</v>
      </c>
      <c r="Y309" s="9">
        <f>ROUND(S309 / 1.2, 2)</f>
        <v>0</v>
      </c>
      <c r="Z309" s="9">
        <f>ROUND(T309 / 1.2, 2)</f>
        <v>0</v>
      </c>
      <c r="AA309" s="9">
        <f>Y309+Z309</f>
        <v>0</v>
      </c>
      <c r="AD309" s="4">
        <v>320320161</v>
      </c>
      <c r="AE309" s="4">
        <v>26813840</v>
      </c>
      <c r="AG309" s="4" t="s">
        <v>905</v>
      </c>
      <c r="AH309" s="4" t="s">
        <v>906</v>
      </c>
      <c r="AI309" s="4" t="s">
        <v>338</v>
      </c>
    </row>
    <row r="310" spans="1:35" ht="90" x14ac:dyDescent="0.3">
      <c r="A310" s="23" t="s">
        <v>923</v>
      </c>
      <c r="B310" s="23" t="s">
        <v>902</v>
      </c>
      <c r="C310" s="24" t="s">
        <v>903</v>
      </c>
      <c r="D310" s="25"/>
      <c r="E310" s="25" t="s">
        <v>922</v>
      </c>
      <c r="F310" s="25" t="s">
        <v>61</v>
      </c>
      <c r="G310" s="26">
        <v>1</v>
      </c>
      <c r="H310" s="25"/>
      <c r="I310" s="26">
        <v>3034</v>
      </c>
      <c r="J310" s="27">
        <v>499.92</v>
      </c>
      <c r="K310" s="27">
        <v>428</v>
      </c>
      <c r="L310" s="27">
        <v>428</v>
      </c>
      <c r="M310" s="27">
        <v>1516757.28</v>
      </c>
      <c r="N310" s="27">
        <v>1298552</v>
      </c>
      <c r="O310" s="27"/>
      <c r="P310" s="27">
        <v>58.11</v>
      </c>
      <c r="Q310" s="27">
        <v>428</v>
      </c>
      <c r="R310" s="27">
        <v>428</v>
      </c>
      <c r="S310" s="27">
        <v>176305.74</v>
      </c>
      <c r="T310" s="27">
        <v>1298552</v>
      </c>
      <c r="U310" s="27"/>
      <c r="V310" s="9"/>
      <c r="W310" s="9">
        <f>ROUND(Q310 / 1.2, 2)</f>
        <v>356.67</v>
      </c>
      <c r="X310" s="9">
        <f>ROUND(R310 / 1.2, 2)</f>
        <v>356.67</v>
      </c>
      <c r="Y310" s="9"/>
      <c r="Z310" s="9">
        <f>ROUND(T310 / 1.2, 2)</f>
        <v>1082126.67</v>
      </c>
      <c r="AA310" s="9"/>
      <c r="AD310" s="4">
        <v>315454893</v>
      </c>
      <c r="AE310" s="4">
        <v>26813840</v>
      </c>
      <c r="AG310" s="4" t="s">
        <v>905</v>
      </c>
      <c r="AH310" s="4" t="s">
        <v>906</v>
      </c>
      <c r="AI310" s="4"/>
    </row>
    <row r="311" spans="1:35" ht="90" x14ac:dyDescent="0.3">
      <c r="A311" s="17" t="s">
        <v>924</v>
      </c>
      <c r="B311" s="17"/>
      <c r="C311" s="34" t="s">
        <v>914</v>
      </c>
      <c r="D311" s="19"/>
      <c r="E311" s="19" t="s">
        <v>925</v>
      </c>
      <c r="F311" s="35" t="s">
        <v>364</v>
      </c>
      <c r="G311" s="36">
        <v>0.3</v>
      </c>
      <c r="H311" s="19"/>
      <c r="I311" s="37">
        <v>0</v>
      </c>
      <c r="J311" s="38">
        <v>1622</v>
      </c>
      <c r="K311" s="39"/>
      <c r="L311" s="39"/>
      <c r="M311" s="38">
        <f>ROUND(ROUND(J311, 2)*I311, 2)</f>
        <v>0</v>
      </c>
      <c r="N311" s="39"/>
      <c r="O311" s="39"/>
      <c r="P311" s="38">
        <v>149.31</v>
      </c>
      <c r="Q311" s="39"/>
      <c r="R311" s="39"/>
      <c r="S311" s="38">
        <f>ROUND(ROUND(P311, 2)*I311, 2)</f>
        <v>0</v>
      </c>
      <c r="T311" s="39"/>
      <c r="U311" s="40"/>
      <c r="V311" s="9">
        <f>ROUND(ROUND(P311, 2)/1.2, 2)</f>
        <v>124.43</v>
      </c>
      <c r="Y311" s="9">
        <f>ROUND(S311 / 1.2, 2)</f>
        <v>0</v>
      </c>
      <c r="AD311" s="4" t="s">
        <v>926</v>
      </c>
      <c r="AE311" s="4" t="s">
        <v>927</v>
      </c>
      <c r="AF311" s="4" t="s">
        <v>918</v>
      </c>
    </row>
    <row r="312" spans="1:35" ht="90" x14ac:dyDescent="0.3">
      <c r="A312" s="23" t="s">
        <v>928</v>
      </c>
      <c r="B312" s="23"/>
      <c r="C312" s="41" t="s">
        <v>914</v>
      </c>
      <c r="D312" s="25"/>
      <c r="E312" s="25" t="s">
        <v>925</v>
      </c>
      <c r="F312" s="42" t="s">
        <v>364</v>
      </c>
      <c r="G312" s="43">
        <v>0.3</v>
      </c>
      <c r="H312" s="25"/>
      <c r="I312" s="43">
        <v>910.2</v>
      </c>
      <c r="J312" s="44">
        <v>1622</v>
      </c>
      <c r="K312" s="45"/>
      <c r="L312" s="45"/>
      <c r="M312" s="44">
        <f>ROUND(ROUND(J312, 2)*I312, 2)</f>
        <v>1476344.4</v>
      </c>
      <c r="N312" s="45"/>
      <c r="O312" s="45"/>
      <c r="P312" s="44">
        <v>149.31</v>
      </c>
      <c r="Q312" s="45"/>
      <c r="R312" s="45"/>
      <c r="S312" s="44">
        <f>ROUND(ROUND(P312, 2)*I312, 2)</f>
        <v>135901.96</v>
      </c>
      <c r="T312" s="45"/>
      <c r="U312" s="46"/>
      <c r="V312" s="9">
        <f>ROUND(ROUND(P312, 2)/1.2, 2)</f>
        <v>124.43</v>
      </c>
      <c r="Y312" s="9">
        <f>ROUND(S312 / 1.2, 2)</f>
        <v>113251.63</v>
      </c>
      <c r="AD312" s="4" t="s">
        <v>929</v>
      </c>
      <c r="AE312" s="4" t="s">
        <v>927</v>
      </c>
      <c r="AF312" s="4" t="s">
        <v>918</v>
      </c>
    </row>
    <row r="313" spans="1:35" ht="36" x14ac:dyDescent="0.3">
      <c r="A313" s="17" t="s">
        <v>930</v>
      </c>
      <c r="B313" s="17"/>
      <c r="C313" s="34" t="s">
        <v>680</v>
      </c>
      <c r="D313" s="19"/>
      <c r="E313" s="19"/>
      <c r="F313" s="35" t="s">
        <v>364</v>
      </c>
      <c r="G313" s="36">
        <v>0.15</v>
      </c>
      <c r="H313" s="19"/>
      <c r="I313" s="37">
        <v>0</v>
      </c>
      <c r="J313" s="38">
        <v>88.8</v>
      </c>
      <c r="K313" s="39"/>
      <c r="L313" s="39"/>
      <c r="M313" s="38">
        <f>ROUND(ROUND(J313, 2)*I313, 2)</f>
        <v>0</v>
      </c>
      <c r="N313" s="39"/>
      <c r="O313" s="39"/>
      <c r="P313" s="38">
        <v>88.8</v>
      </c>
      <c r="Q313" s="39"/>
      <c r="R313" s="39"/>
      <c r="S313" s="38">
        <f>ROUND(ROUND(P313, 2)*I313, 2)</f>
        <v>0</v>
      </c>
      <c r="T313" s="39"/>
      <c r="U313" s="40"/>
      <c r="V313" s="9">
        <f>ROUND(ROUND(P313, 2)/1.2, 2)</f>
        <v>74</v>
      </c>
      <c r="Y313" s="9">
        <f>ROUND(S313 / 1.2, 2)</f>
        <v>0</v>
      </c>
      <c r="AD313" s="4" t="s">
        <v>931</v>
      </c>
      <c r="AE313" s="4" t="s">
        <v>932</v>
      </c>
      <c r="AF313" s="4" t="s">
        <v>683</v>
      </c>
    </row>
    <row r="314" spans="1:35" ht="36" x14ac:dyDescent="0.3">
      <c r="A314" s="23" t="s">
        <v>933</v>
      </c>
      <c r="B314" s="23"/>
      <c r="C314" s="41" t="s">
        <v>680</v>
      </c>
      <c r="D314" s="25"/>
      <c r="E314" s="25"/>
      <c r="F314" s="42" t="s">
        <v>364</v>
      </c>
      <c r="G314" s="43">
        <v>0.15</v>
      </c>
      <c r="H314" s="25"/>
      <c r="I314" s="43">
        <v>455.1</v>
      </c>
      <c r="J314" s="44">
        <v>88.8</v>
      </c>
      <c r="K314" s="45"/>
      <c r="L314" s="45"/>
      <c r="M314" s="44">
        <f>ROUND(ROUND(J314, 2)*I314, 2)</f>
        <v>40412.879999999997</v>
      </c>
      <c r="N314" s="45"/>
      <c r="O314" s="45"/>
      <c r="P314" s="44">
        <v>88.8</v>
      </c>
      <c r="Q314" s="45"/>
      <c r="R314" s="45"/>
      <c r="S314" s="44">
        <f>ROUND(ROUND(P314, 2)*I314, 2)</f>
        <v>40412.879999999997</v>
      </c>
      <c r="T314" s="45"/>
      <c r="U314" s="46"/>
      <c r="V314" s="9">
        <f>ROUND(ROUND(P314, 2)/1.2, 2)</f>
        <v>74</v>
      </c>
      <c r="Y314" s="9">
        <f>ROUND(S314 / 1.2, 2)</f>
        <v>33677.4</v>
      </c>
      <c r="AD314" s="4" t="s">
        <v>934</v>
      </c>
      <c r="AE314" s="4" t="s">
        <v>932</v>
      </c>
      <c r="AF314" s="4" t="s">
        <v>683</v>
      </c>
    </row>
    <row r="315" spans="1:35" ht="54" x14ac:dyDescent="0.3">
      <c r="A315" s="17" t="s">
        <v>935</v>
      </c>
      <c r="B315" s="17" t="s">
        <v>936</v>
      </c>
      <c r="C315" s="18" t="s">
        <v>937</v>
      </c>
      <c r="D315" s="19"/>
      <c r="E315" s="19" t="s">
        <v>938</v>
      </c>
      <c r="F315" s="19" t="s">
        <v>61</v>
      </c>
      <c r="G315" s="20">
        <v>1</v>
      </c>
      <c r="H315" s="19"/>
      <c r="I315" s="21">
        <v>0</v>
      </c>
      <c r="J315" s="22">
        <v>1603.98</v>
      </c>
      <c r="K315" s="22">
        <v>2364</v>
      </c>
      <c r="L315" s="22">
        <f>J315+ROUND(K315, 2)</f>
        <v>3967.98</v>
      </c>
      <c r="M315" s="22">
        <v>0</v>
      </c>
      <c r="N315" s="22">
        <v>0</v>
      </c>
      <c r="O315" s="22">
        <f>M315+N315</f>
        <v>0</v>
      </c>
      <c r="P315" s="22">
        <v>1603.98</v>
      </c>
      <c r="Q315" s="22">
        <v>2364</v>
      </c>
      <c r="R315" s="22">
        <f>P315+ROUND(Q315, 2)</f>
        <v>3967.98</v>
      </c>
      <c r="S315" s="22">
        <v>0</v>
      </c>
      <c r="T315" s="22">
        <v>0</v>
      </c>
      <c r="U315" s="22">
        <f>S315+T315</f>
        <v>0</v>
      </c>
      <c r="V315" s="9">
        <f>ROUND(P315 / 1.2, 2)</f>
        <v>1336.65</v>
      </c>
      <c r="W315" s="9">
        <f>ROUND(Q315 / 1.2, 2)</f>
        <v>1970</v>
      </c>
      <c r="X315" s="9">
        <f>ROUND(R315 / 1.2, 2)</f>
        <v>3306.65</v>
      </c>
      <c r="Y315" s="9">
        <f>ROUND(S315 / 1.2, 2)</f>
        <v>0</v>
      </c>
      <c r="Z315" s="9">
        <f>ROUND(T315 / 1.2, 2)</f>
        <v>0</v>
      </c>
      <c r="AA315" s="9">
        <f>Y315+Z315</f>
        <v>0</v>
      </c>
      <c r="AD315" s="4">
        <v>320320125</v>
      </c>
      <c r="AE315" s="4">
        <v>26813844</v>
      </c>
      <c r="AG315" s="4" t="s">
        <v>939</v>
      </c>
      <c r="AH315" s="4" t="s">
        <v>940</v>
      </c>
      <c r="AI315" s="4" t="s">
        <v>338</v>
      </c>
    </row>
    <row r="316" spans="1:35" ht="54" x14ac:dyDescent="0.3">
      <c r="A316" s="23" t="s">
        <v>941</v>
      </c>
      <c r="B316" s="23" t="s">
        <v>936</v>
      </c>
      <c r="C316" s="24" t="s">
        <v>937</v>
      </c>
      <c r="D316" s="25"/>
      <c r="E316" s="25" t="s">
        <v>938</v>
      </c>
      <c r="F316" s="25" t="s">
        <v>61</v>
      </c>
      <c r="G316" s="26">
        <v>1</v>
      </c>
      <c r="H316" s="25"/>
      <c r="I316" s="26">
        <v>4009.8</v>
      </c>
      <c r="J316" s="27">
        <v>1603.98</v>
      </c>
      <c r="K316" s="27">
        <v>2364</v>
      </c>
      <c r="L316" s="27">
        <v>2364</v>
      </c>
      <c r="M316" s="27">
        <v>6431639</v>
      </c>
      <c r="N316" s="27">
        <v>9479167.1999999993</v>
      </c>
      <c r="O316" s="27"/>
      <c r="P316" s="27">
        <v>1603.98</v>
      </c>
      <c r="Q316" s="27">
        <v>2364</v>
      </c>
      <c r="R316" s="27">
        <v>2364</v>
      </c>
      <c r="S316" s="27">
        <v>6431639</v>
      </c>
      <c r="T316" s="27">
        <v>9479167.1999999993</v>
      </c>
      <c r="U316" s="27"/>
      <c r="V316" s="9"/>
      <c r="W316" s="9">
        <f>ROUND(Q316 / 1.2, 2)</f>
        <v>1970</v>
      </c>
      <c r="X316" s="9">
        <f>ROUND(R316 / 1.2, 2)</f>
        <v>1970</v>
      </c>
      <c r="Y316" s="9"/>
      <c r="Z316" s="9">
        <f>ROUND(T316 / 1.2, 2)</f>
        <v>7899306</v>
      </c>
      <c r="AA316" s="9"/>
      <c r="AD316" s="4">
        <v>315454895</v>
      </c>
      <c r="AE316" s="4">
        <v>26813844</v>
      </c>
      <c r="AG316" s="4" t="s">
        <v>939</v>
      </c>
      <c r="AH316" s="4" t="s">
        <v>940</v>
      </c>
      <c r="AI316" s="4"/>
    </row>
    <row r="317" spans="1:35" ht="36" x14ac:dyDescent="0.3">
      <c r="A317" s="17" t="s">
        <v>942</v>
      </c>
      <c r="B317" s="17"/>
      <c r="C317" s="34" t="s">
        <v>943</v>
      </c>
      <c r="D317" s="19"/>
      <c r="E317" s="19"/>
      <c r="F317" s="35" t="s">
        <v>364</v>
      </c>
      <c r="G317" s="36">
        <v>0.25</v>
      </c>
      <c r="H317" s="19"/>
      <c r="I317" s="48">
        <v>0</v>
      </c>
      <c r="J317" s="38">
        <v>40.270000000000003</v>
      </c>
      <c r="K317" s="39"/>
      <c r="L317" s="39"/>
      <c r="M317" s="38">
        <f t="shared" ref="M317:M324" si="90">ROUND(ROUND(J317, 2)*I317, 2)</f>
        <v>0</v>
      </c>
      <c r="N317" s="39"/>
      <c r="O317" s="39"/>
      <c r="P317" s="38">
        <v>40.270000000000003</v>
      </c>
      <c r="Q317" s="39"/>
      <c r="R317" s="39"/>
      <c r="S317" s="38">
        <f t="shared" ref="S317:S324" si="91">ROUND(ROUND(P317, 2)*I317, 2)</f>
        <v>0</v>
      </c>
      <c r="T317" s="39"/>
      <c r="U317" s="40"/>
      <c r="V317" s="9">
        <f t="shared" ref="V317:V324" si="92">ROUND(ROUND(P317, 2)/1.2, 2)</f>
        <v>33.56</v>
      </c>
      <c r="Y317" s="9">
        <f t="shared" ref="Y317:Y324" si="93">ROUND(S317 / 1.2, 2)</f>
        <v>0</v>
      </c>
      <c r="AD317" s="4" t="s">
        <v>944</v>
      </c>
      <c r="AE317" s="4" t="s">
        <v>945</v>
      </c>
      <c r="AF317" s="4" t="s">
        <v>946</v>
      </c>
    </row>
    <row r="318" spans="1:35" ht="36" x14ac:dyDescent="0.3">
      <c r="A318" s="23" t="s">
        <v>947</v>
      </c>
      <c r="B318" s="23"/>
      <c r="C318" s="41" t="s">
        <v>943</v>
      </c>
      <c r="D318" s="25"/>
      <c r="E318" s="25"/>
      <c r="F318" s="42" t="s">
        <v>364</v>
      </c>
      <c r="G318" s="43">
        <v>0.25</v>
      </c>
      <c r="H318" s="25"/>
      <c r="I318" s="50">
        <v>1002.45</v>
      </c>
      <c r="J318" s="44">
        <v>40.270000000000003</v>
      </c>
      <c r="K318" s="45"/>
      <c r="L318" s="45"/>
      <c r="M318" s="44">
        <f t="shared" si="90"/>
        <v>40368.660000000003</v>
      </c>
      <c r="N318" s="45"/>
      <c r="O318" s="45"/>
      <c r="P318" s="44">
        <v>40.270000000000003</v>
      </c>
      <c r="Q318" s="45"/>
      <c r="R318" s="45"/>
      <c r="S318" s="44">
        <f t="shared" si="91"/>
        <v>40368.660000000003</v>
      </c>
      <c r="T318" s="45"/>
      <c r="U318" s="46"/>
      <c r="V318" s="9">
        <f t="shared" si="92"/>
        <v>33.56</v>
      </c>
      <c r="Y318" s="9">
        <f t="shared" si="93"/>
        <v>33640.550000000003</v>
      </c>
      <c r="AD318" s="4" t="s">
        <v>948</v>
      </c>
      <c r="AE318" s="4" t="s">
        <v>945</v>
      </c>
      <c r="AF318" s="4" t="s">
        <v>946</v>
      </c>
    </row>
    <row r="319" spans="1:35" ht="36" x14ac:dyDescent="0.3">
      <c r="A319" s="17" t="s">
        <v>949</v>
      </c>
      <c r="B319" s="17"/>
      <c r="C319" s="34" t="s">
        <v>557</v>
      </c>
      <c r="D319" s="19"/>
      <c r="E319" s="19"/>
      <c r="F319" s="35" t="s">
        <v>364</v>
      </c>
      <c r="G319" s="36">
        <v>0.15</v>
      </c>
      <c r="H319" s="19"/>
      <c r="I319" s="37">
        <v>0</v>
      </c>
      <c r="J319" s="38">
        <v>68.400000000000006</v>
      </c>
      <c r="K319" s="39"/>
      <c r="L319" s="39"/>
      <c r="M319" s="38">
        <f t="shared" si="90"/>
        <v>0</v>
      </c>
      <c r="N319" s="39"/>
      <c r="O319" s="39"/>
      <c r="P319" s="38">
        <v>68.400000000000006</v>
      </c>
      <c r="Q319" s="39"/>
      <c r="R319" s="39"/>
      <c r="S319" s="38">
        <f t="shared" si="91"/>
        <v>0</v>
      </c>
      <c r="T319" s="39"/>
      <c r="U319" s="40"/>
      <c r="V319" s="9">
        <f t="shared" si="92"/>
        <v>57</v>
      </c>
      <c r="Y319" s="9">
        <f t="shared" si="93"/>
        <v>0</v>
      </c>
      <c r="AD319" s="4" t="s">
        <v>950</v>
      </c>
      <c r="AE319" s="4" t="s">
        <v>951</v>
      </c>
      <c r="AF319" s="4" t="s">
        <v>560</v>
      </c>
    </row>
    <row r="320" spans="1:35" ht="36" x14ac:dyDescent="0.3">
      <c r="A320" s="23" t="s">
        <v>952</v>
      </c>
      <c r="B320" s="23"/>
      <c r="C320" s="41" t="s">
        <v>557</v>
      </c>
      <c r="D320" s="25"/>
      <c r="E320" s="25"/>
      <c r="F320" s="42" t="s">
        <v>364</v>
      </c>
      <c r="G320" s="43">
        <v>0.15</v>
      </c>
      <c r="H320" s="25"/>
      <c r="I320" s="43">
        <v>601.47</v>
      </c>
      <c r="J320" s="44">
        <v>68.400000000000006</v>
      </c>
      <c r="K320" s="45"/>
      <c r="L320" s="45"/>
      <c r="M320" s="44">
        <f t="shared" si="90"/>
        <v>41140.550000000003</v>
      </c>
      <c r="N320" s="45"/>
      <c r="O320" s="45"/>
      <c r="P320" s="44">
        <v>68.400000000000006</v>
      </c>
      <c r="Q320" s="45"/>
      <c r="R320" s="45"/>
      <c r="S320" s="44">
        <f t="shared" si="91"/>
        <v>41140.550000000003</v>
      </c>
      <c r="T320" s="45"/>
      <c r="U320" s="46"/>
      <c r="V320" s="9">
        <f t="shared" si="92"/>
        <v>57</v>
      </c>
      <c r="Y320" s="9">
        <f t="shared" si="93"/>
        <v>34283.79</v>
      </c>
      <c r="AD320" s="4" t="s">
        <v>953</v>
      </c>
      <c r="AE320" s="4" t="s">
        <v>951</v>
      </c>
      <c r="AF320" s="4" t="s">
        <v>560</v>
      </c>
    </row>
    <row r="321" spans="1:35" ht="36" x14ac:dyDescent="0.3">
      <c r="A321" s="17" t="s">
        <v>954</v>
      </c>
      <c r="B321" s="17"/>
      <c r="C321" s="34" t="s">
        <v>797</v>
      </c>
      <c r="D321" s="19"/>
      <c r="E321" s="19"/>
      <c r="F321" s="35" t="s">
        <v>364</v>
      </c>
      <c r="G321" s="36">
        <v>1.2</v>
      </c>
      <c r="H321" s="19"/>
      <c r="I321" s="48">
        <v>0</v>
      </c>
      <c r="J321" s="38">
        <v>16.96</v>
      </c>
      <c r="K321" s="39"/>
      <c r="L321" s="39"/>
      <c r="M321" s="38">
        <f t="shared" si="90"/>
        <v>0</v>
      </c>
      <c r="N321" s="39"/>
      <c r="O321" s="39"/>
      <c r="P321" s="38">
        <v>16.96</v>
      </c>
      <c r="Q321" s="39"/>
      <c r="R321" s="39"/>
      <c r="S321" s="38">
        <f t="shared" si="91"/>
        <v>0</v>
      </c>
      <c r="T321" s="39"/>
      <c r="U321" s="40"/>
      <c r="V321" s="9">
        <f t="shared" si="92"/>
        <v>14.13</v>
      </c>
      <c r="Y321" s="9">
        <f t="shared" si="93"/>
        <v>0</v>
      </c>
      <c r="AD321" s="4" t="s">
        <v>955</v>
      </c>
      <c r="AE321" s="4" t="s">
        <v>956</v>
      </c>
      <c r="AF321" s="4" t="s">
        <v>800</v>
      </c>
    </row>
    <row r="322" spans="1:35" ht="36" x14ac:dyDescent="0.3">
      <c r="A322" s="23" t="s">
        <v>957</v>
      </c>
      <c r="B322" s="23"/>
      <c r="C322" s="41" t="s">
        <v>797</v>
      </c>
      <c r="D322" s="25"/>
      <c r="E322" s="25"/>
      <c r="F322" s="42" t="s">
        <v>364</v>
      </c>
      <c r="G322" s="43">
        <v>1.2</v>
      </c>
      <c r="H322" s="25"/>
      <c r="I322" s="50">
        <v>24058.799999999999</v>
      </c>
      <c r="J322" s="44">
        <v>16.96</v>
      </c>
      <c r="K322" s="45"/>
      <c r="L322" s="45"/>
      <c r="M322" s="44">
        <f t="shared" si="90"/>
        <v>408037.25</v>
      </c>
      <c r="N322" s="45"/>
      <c r="O322" s="45"/>
      <c r="P322" s="44">
        <v>16.96</v>
      </c>
      <c r="Q322" s="45"/>
      <c r="R322" s="45"/>
      <c r="S322" s="44">
        <f t="shared" si="91"/>
        <v>408037.25</v>
      </c>
      <c r="T322" s="45"/>
      <c r="U322" s="46"/>
      <c r="V322" s="9">
        <f t="shared" si="92"/>
        <v>14.13</v>
      </c>
      <c r="Y322" s="9">
        <f t="shared" si="93"/>
        <v>340031.04</v>
      </c>
      <c r="AD322" s="4" t="s">
        <v>958</v>
      </c>
      <c r="AE322" s="4" t="s">
        <v>956</v>
      </c>
      <c r="AF322" s="4" t="s">
        <v>800</v>
      </c>
    </row>
    <row r="323" spans="1:35" ht="72" x14ac:dyDescent="0.3">
      <c r="A323" s="17" t="s">
        <v>959</v>
      </c>
      <c r="B323" s="17"/>
      <c r="C323" s="34" t="s">
        <v>960</v>
      </c>
      <c r="D323" s="19"/>
      <c r="E323" s="19" t="s">
        <v>961</v>
      </c>
      <c r="F323" s="35" t="s">
        <v>61</v>
      </c>
      <c r="G323" s="36">
        <v>1.07</v>
      </c>
      <c r="H323" s="19"/>
      <c r="I323" s="48">
        <v>0</v>
      </c>
      <c r="J323" s="38">
        <v>1384.95</v>
      </c>
      <c r="K323" s="39"/>
      <c r="L323" s="39"/>
      <c r="M323" s="38">
        <f t="shared" si="90"/>
        <v>0</v>
      </c>
      <c r="N323" s="39"/>
      <c r="O323" s="39"/>
      <c r="P323" s="38">
        <v>1384.95</v>
      </c>
      <c r="Q323" s="39"/>
      <c r="R323" s="39"/>
      <c r="S323" s="38">
        <f t="shared" si="91"/>
        <v>0</v>
      </c>
      <c r="T323" s="39"/>
      <c r="U323" s="40"/>
      <c r="V323" s="9">
        <f t="shared" si="92"/>
        <v>1154.1300000000001</v>
      </c>
      <c r="Y323" s="9">
        <f t="shared" si="93"/>
        <v>0</v>
      </c>
      <c r="AD323" s="4" t="s">
        <v>962</v>
      </c>
      <c r="AE323" s="4" t="s">
        <v>963</v>
      </c>
      <c r="AF323" s="4" t="s">
        <v>964</v>
      </c>
    </row>
    <row r="324" spans="1:35" ht="72" x14ac:dyDescent="0.3">
      <c r="A324" s="23" t="s">
        <v>965</v>
      </c>
      <c r="B324" s="23"/>
      <c r="C324" s="41" t="s">
        <v>960</v>
      </c>
      <c r="D324" s="25"/>
      <c r="E324" s="25" t="s">
        <v>961</v>
      </c>
      <c r="F324" s="42" t="s">
        <v>61</v>
      </c>
      <c r="G324" s="43">
        <v>1.07</v>
      </c>
      <c r="H324" s="25"/>
      <c r="I324" s="50">
        <v>4290.4859999999999</v>
      </c>
      <c r="J324" s="44">
        <v>1384.95</v>
      </c>
      <c r="K324" s="45"/>
      <c r="L324" s="45"/>
      <c r="M324" s="44">
        <f t="shared" si="90"/>
        <v>5942108.5899999999</v>
      </c>
      <c r="N324" s="45"/>
      <c r="O324" s="45"/>
      <c r="P324" s="44">
        <v>1384.95</v>
      </c>
      <c r="Q324" s="45"/>
      <c r="R324" s="45"/>
      <c r="S324" s="44">
        <f t="shared" si="91"/>
        <v>5942108.5899999999</v>
      </c>
      <c r="T324" s="45"/>
      <c r="U324" s="46"/>
      <c r="V324" s="9">
        <f t="shared" si="92"/>
        <v>1154.1300000000001</v>
      </c>
      <c r="Y324" s="9">
        <f t="shared" si="93"/>
        <v>4951757.16</v>
      </c>
      <c r="AD324" s="4" t="s">
        <v>966</v>
      </c>
      <c r="AE324" s="4" t="s">
        <v>963</v>
      </c>
      <c r="AF324" s="4" t="s">
        <v>964</v>
      </c>
    </row>
    <row r="325" spans="1:35" ht="16.95" customHeight="1" x14ac:dyDescent="0.3">
      <c r="A325" s="10" t="s">
        <v>967</v>
      </c>
      <c r="B325" s="10" t="s">
        <v>968</v>
      </c>
      <c r="C325" s="237" t="s">
        <v>969</v>
      </c>
      <c r="D325" s="238"/>
      <c r="E325" s="238"/>
      <c r="F325" s="238"/>
      <c r="G325" s="238"/>
      <c r="H325" s="238"/>
      <c r="I325" s="239"/>
      <c r="M325" s="6">
        <f>SUM(M326,M343)</f>
        <v>0</v>
      </c>
      <c r="N325" s="6">
        <f>SUM(N326,N343)</f>
        <v>0</v>
      </c>
      <c r="O325" s="6">
        <f>SUM(O326,O343)</f>
        <v>0</v>
      </c>
      <c r="S325" s="6">
        <f>SUM(S326,S343)</f>
        <v>0</v>
      </c>
      <c r="T325" s="6">
        <f>SUM(T326,T343)</f>
        <v>0</v>
      </c>
      <c r="U325" s="6">
        <f>SUM(U326,U343)</f>
        <v>0</v>
      </c>
      <c r="Y325" s="9">
        <f>SUM(Y326,Y343)</f>
        <v>0</v>
      </c>
      <c r="Z325" s="9">
        <f>SUM(Z326,Z343)</f>
        <v>0</v>
      </c>
      <c r="AA325" s="9">
        <f>SUM(AA326,AA343)</f>
        <v>0</v>
      </c>
      <c r="AD325" s="4">
        <v>320320126</v>
      </c>
      <c r="AE325" s="4">
        <v>26813774</v>
      </c>
    </row>
    <row r="326" spans="1:35" ht="16.95" customHeight="1" x14ac:dyDescent="0.3">
      <c r="A326" s="10" t="s">
        <v>970</v>
      </c>
      <c r="B326" s="10" t="s">
        <v>971</v>
      </c>
      <c r="C326" s="237" t="s">
        <v>972</v>
      </c>
      <c r="D326" s="238"/>
      <c r="E326" s="238"/>
      <c r="F326" s="238"/>
      <c r="G326" s="238"/>
      <c r="H326" s="238"/>
      <c r="I326" s="239"/>
      <c r="M326" s="6">
        <f>SUM(M327,M337)</f>
        <v>0</v>
      </c>
      <c r="N326" s="6">
        <f>SUM(N327,N337)</f>
        <v>0</v>
      </c>
      <c r="O326" s="6">
        <f>SUM(O327,O337)</f>
        <v>0</v>
      </c>
      <c r="S326" s="6">
        <f>SUM(S327,S337)</f>
        <v>0</v>
      </c>
      <c r="T326" s="6">
        <f>SUM(T327,T337)</f>
        <v>0</v>
      </c>
      <c r="U326" s="6">
        <f>SUM(U327,U337)</f>
        <v>0</v>
      </c>
      <c r="Y326" s="9">
        <f>SUM(Y327,Y337)</f>
        <v>0</v>
      </c>
      <c r="Z326" s="9">
        <f>SUM(Z327,Z337)</f>
        <v>0</v>
      </c>
      <c r="AA326" s="9">
        <f>SUM(AA327,AA337)</f>
        <v>0</v>
      </c>
      <c r="AD326" s="4">
        <v>320320127</v>
      </c>
      <c r="AE326" s="4">
        <v>26813793</v>
      </c>
    </row>
    <row r="327" spans="1:35" ht="72" x14ac:dyDescent="0.3">
      <c r="A327" s="17" t="s">
        <v>973</v>
      </c>
      <c r="B327" s="17" t="s">
        <v>974</v>
      </c>
      <c r="C327" s="18" t="s">
        <v>975</v>
      </c>
      <c r="D327" s="19"/>
      <c r="E327" s="19" t="s">
        <v>976</v>
      </c>
      <c r="F327" s="19" t="s">
        <v>61</v>
      </c>
      <c r="G327" s="20">
        <v>1</v>
      </c>
      <c r="H327" s="19"/>
      <c r="I327" s="21">
        <v>0</v>
      </c>
      <c r="J327" s="22">
        <v>170.27</v>
      </c>
      <c r="K327" s="22">
        <v>853</v>
      </c>
      <c r="L327" s="22">
        <f>J327+ROUND(K327, 2)</f>
        <v>1023.27</v>
      </c>
      <c r="M327" s="22">
        <v>0</v>
      </c>
      <c r="N327" s="22">
        <v>0</v>
      </c>
      <c r="O327" s="22">
        <f>M327+N327</f>
        <v>0</v>
      </c>
      <c r="P327" s="22">
        <v>170.27</v>
      </c>
      <c r="Q327" s="22">
        <v>853</v>
      </c>
      <c r="R327" s="22">
        <f>P327+ROUND(Q327, 2)</f>
        <v>1023.27</v>
      </c>
      <c r="S327" s="22">
        <v>0</v>
      </c>
      <c r="T327" s="22">
        <v>0</v>
      </c>
      <c r="U327" s="22">
        <f>S327+T327</f>
        <v>0</v>
      </c>
      <c r="V327" s="9">
        <f>ROUND(P327 / 1.2, 2)</f>
        <v>141.88999999999999</v>
      </c>
      <c r="W327" s="9">
        <f>ROUND(Q327 / 1.2, 2)</f>
        <v>710.83</v>
      </c>
      <c r="X327" s="9">
        <f>ROUND(R327 / 1.2, 2)</f>
        <v>852.73</v>
      </c>
      <c r="Y327" s="9">
        <f>ROUND(S327 / 1.2, 2)</f>
        <v>0</v>
      </c>
      <c r="Z327" s="9">
        <f>ROUND(T327 / 1.2, 2)</f>
        <v>0</v>
      </c>
      <c r="AA327" s="9">
        <f>Y327+Z327</f>
        <v>0</v>
      </c>
      <c r="AD327" s="4">
        <v>320320129</v>
      </c>
      <c r="AE327" s="4">
        <v>26813828</v>
      </c>
      <c r="AG327" s="4" t="s">
        <v>977</v>
      </c>
      <c r="AH327" s="4" t="s">
        <v>978</v>
      </c>
      <c r="AI327" s="4" t="s">
        <v>338</v>
      </c>
    </row>
    <row r="328" spans="1:35" ht="72" x14ac:dyDescent="0.3">
      <c r="A328" s="23" t="s">
        <v>979</v>
      </c>
      <c r="B328" s="23" t="s">
        <v>974</v>
      </c>
      <c r="C328" s="24" t="s">
        <v>975</v>
      </c>
      <c r="D328" s="25"/>
      <c r="E328" s="25" t="s">
        <v>976</v>
      </c>
      <c r="F328" s="25" t="s">
        <v>61</v>
      </c>
      <c r="G328" s="26">
        <v>1</v>
      </c>
      <c r="H328" s="25"/>
      <c r="I328" s="26">
        <v>1500.7</v>
      </c>
      <c r="J328" s="27">
        <v>170.27</v>
      </c>
      <c r="K328" s="27">
        <v>853</v>
      </c>
      <c r="L328" s="27">
        <v>853</v>
      </c>
      <c r="M328" s="27">
        <v>255524.19</v>
      </c>
      <c r="N328" s="27">
        <v>1280097.1000000001</v>
      </c>
      <c r="O328" s="27"/>
      <c r="P328" s="27">
        <v>170.27</v>
      </c>
      <c r="Q328" s="27">
        <v>853</v>
      </c>
      <c r="R328" s="27">
        <v>853</v>
      </c>
      <c r="S328" s="27">
        <v>255524.19</v>
      </c>
      <c r="T328" s="27">
        <v>1280097.1000000001</v>
      </c>
      <c r="U328" s="27"/>
      <c r="V328" s="9"/>
      <c r="W328" s="9">
        <f>ROUND(Q328 / 1.2, 2)</f>
        <v>710.83</v>
      </c>
      <c r="X328" s="9">
        <f>ROUND(R328 / 1.2, 2)</f>
        <v>710.83</v>
      </c>
      <c r="Y328" s="9"/>
      <c r="Z328" s="9">
        <f>ROUND(T328 / 1.2, 2)</f>
        <v>1066747.58</v>
      </c>
      <c r="AA328" s="9"/>
      <c r="AD328" s="4">
        <v>315454899</v>
      </c>
      <c r="AE328" s="4">
        <v>26813828</v>
      </c>
      <c r="AG328" s="4" t="s">
        <v>977</v>
      </c>
      <c r="AH328" s="4" t="s">
        <v>978</v>
      </c>
      <c r="AI328" s="4"/>
    </row>
    <row r="329" spans="1:35" ht="18" x14ac:dyDescent="0.3">
      <c r="A329" s="17" t="s">
        <v>980</v>
      </c>
      <c r="B329" s="17"/>
      <c r="C329" s="34" t="s">
        <v>859</v>
      </c>
      <c r="D329" s="19"/>
      <c r="E329" s="19"/>
      <c r="F329" s="35" t="s">
        <v>364</v>
      </c>
      <c r="G329" s="36">
        <v>1.3</v>
      </c>
      <c r="H329" s="19"/>
      <c r="I329" s="48">
        <v>0</v>
      </c>
      <c r="J329" s="38">
        <v>8.6</v>
      </c>
      <c r="K329" s="39"/>
      <c r="L329" s="39"/>
      <c r="M329" s="38">
        <f t="shared" ref="M329:M336" si="94">ROUND(ROUND(J329, 2)*I329, 2)</f>
        <v>0</v>
      </c>
      <c r="N329" s="39"/>
      <c r="O329" s="39"/>
      <c r="P329" s="38">
        <v>8.6</v>
      </c>
      <c r="Q329" s="39"/>
      <c r="R329" s="39"/>
      <c r="S329" s="38">
        <f t="shared" ref="S329:S336" si="95">ROUND(ROUND(P329, 2)*I329, 2)</f>
        <v>0</v>
      </c>
      <c r="T329" s="39"/>
      <c r="U329" s="40"/>
      <c r="V329" s="9">
        <f t="shared" ref="V329:V336" si="96">ROUND(ROUND(P329, 2)/1.2, 2)</f>
        <v>7.17</v>
      </c>
      <c r="Y329" s="9">
        <f t="shared" ref="Y329:Y337" si="97">ROUND(S329 / 1.2, 2)</f>
        <v>0</v>
      </c>
      <c r="AD329" s="4" t="s">
        <v>981</v>
      </c>
      <c r="AE329" s="4" t="s">
        <v>982</v>
      </c>
      <c r="AF329" s="4" t="s">
        <v>862</v>
      </c>
    </row>
    <row r="330" spans="1:35" ht="18" x14ac:dyDescent="0.3">
      <c r="A330" s="23" t="s">
        <v>983</v>
      </c>
      <c r="B330" s="23"/>
      <c r="C330" s="41" t="s">
        <v>859</v>
      </c>
      <c r="D330" s="25"/>
      <c r="E330" s="25"/>
      <c r="F330" s="42" t="s">
        <v>364</v>
      </c>
      <c r="G330" s="43">
        <v>1.3</v>
      </c>
      <c r="H330" s="25"/>
      <c r="I330" s="50">
        <v>19509.099999999999</v>
      </c>
      <c r="J330" s="44">
        <v>8.6</v>
      </c>
      <c r="K330" s="45"/>
      <c r="L330" s="45"/>
      <c r="M330" s="44">
        <f t="shared" si="94"/>
        <v>167778.26</v>
      </c>
      <c r="N330" s="45"/>
      <c r="O330" s="45"/>
      <c r="P330" s="44">
        <v>8.6</v>
      </c>
      <c r="Q330" s="45"/>
      <c r="R330" s="45"/>
      <c r="S330" s="44">
        <f t="shared" si="95"/>
        <v>167778.26</v>
      </c>
      <c r="T330" s="45"/>
      <c r="U330" s="46"/>
      <c r="V330" s="9">
        <f t="shared" si="96"/>
        <v>7.17</v>
      </c>
      <c r="Y330" s="9">
        <f t="shared" si="97"/>
        <v>139815.22</v>
      </c>
      <c r="AD330" s="4" t="s">
        <v>984</v>
      </c>
      <c r="AE330" s="4" t="s">
        <v>982</v>
      </c>
      <c r="AF330" s="4" t="s">
        <v>862</v>
      </c>
    </row>
    <row r="331" spans="1:35" ht="18" x14ac:dyDescent="0.3">
      <c r="A331" s="17" t="s">
        <v>985</v>
      </c>
      <c r="B331" s="17"/>
      <c r="C331" s="34" t="s">
        <v>866</v>
      </c>
      <c r="D331" s="19"/>
      <c r="E331" s="19"/>
      <c r="F331" s="35" t="s">
        <v>61</v>
      </c>
      <c r="G331" s="36">
        <v>1.1000000000000001</v>
      </c>
      <c r="H331" s="19"/>
      <c r="I331" s="48">
        <v>0</v>
      </c>
      <c r="J331" s="38">
        <v>26</v>
      </c>
      <c r="K331" s="39"/>
      <c r="L331" s="39"/>
      <c r="M331" s="38">
        <f t="shared" si="94"/>
        <v>0</v>
      </c>
      <c r="N331" s="39"/>
      <c r="O331" s="39"/>
      <c r="P331" s="38">
        <v>26</v>
      </c>
      <c r="Q331" s="39"/>
      <c r="R331" s="39"/>
      <c r="S331" s="38">
        <f t="shared" si="95"/>
        <v>0</v>
      </c>
      <c r="T331" s="39"/>
      <c r="U331" s="40"/>
      <c r="V331" s="9">
        <f t="shared" si="96"/>
        <v>21.67</v>
      </c>
      <c r="Y331" s="9">
        <f t="shared" si="97"/>
        <v>0</v>
      </c>
      <c r="AD331" s="4" t="s">
        <v>986</v>
      </c>
      <c r="AE331" s="4" t="s">
        <v>987</v>
      </c>
      <c r="AF331" s="4" t="s">
        <v>869</v>
      </c>
    </row>
    <row r="332" spans="1:35" ht="18" x14ac:dyDescent="0.3">
      <c r="A332" s="23" t="s">
        <v>988</v>
      </c>
      <c r="B332" s="23"/>
      <c r="C332" s="41" t="s">
        <v>866</v>
      </c>
      <c r="D332" s="25"/>
      <c r="E332" s="25"/>
      <c r="F332" s="42" t="s">
        <v>61</v>
      </c>
      <c r="G332" s="43">
        <v>1.1000000000000001</v>
      </c>
      <c r="H332" s="25"/>
      <c r="I332" s="50">
        <v>1650.77</v>
      </c>
      <c r="J332" s="44">
        <v>26</v>
      </c>
      <c r="K332" s="45"/>
      <c r="L332" s="45"/>
      <c r="M332" s="44">
        <f t="shared" si="94"/>
        <v>42920.02</v>
      </c>
      <c r="N332" s="45"/>
      <c r="O332" s="45"/>
      <c r="P332" s="44">
        <v>26</v>
      </c>
      <c r="Q332" s="45"/>
      <c r="R332" s="45"/>
      <c r="S332" s="44">
        <f t="shared" si="95"/>
        <v>42920.02</v>
      </c>
      <c r="T332" s="45"/>
      <c r="U332" s="46"/>
      <c r="V332" s="9">
        <f t="shared" si="96"/>
        <v>21.67</v>
      </c>
      <c r="Y332" s="9">
        <f t="shared" si="97"/>
        <v>35766.68</v>
      </c>
      <c r="AD332" s="4" t="s">
        <v>989</v>
      </c>
      <c r="AE332" s="4" t="s">
        <v>987</v>
      </c>
      <c r="AF332" s="4" t="s">
        <v>869</v>
      </c>
    </row>
    <row r="333" spans="1:35" ht="18" x14ac:dyDescent="0.3">
      <c r="A333" s="17" t="s">
        <v>990</v>
      </c>
      <c r="B333" s="17"/>
      <c r="C333" s="34" t="s">
        <v>873</v>
      </c>
      <c r="D333" s="19"/>
      <c r="E333" s="19"/>
      <c r="F333" s="35" t="s">
        <v>76</v>
      </c>
      <c r="G333" s="36">
        <v>1.05</v>
      </c>
      <c r="H333" s="19"/>
      <c r="I333" s="48">
        <v>0</v>
      </c>
      <c r="J333" s="38">
        <v>15.76</v>
      </c>
      <c r="K333" s="39"/>
      <c r="L333" s="39"/>
      <c r="M333" s="38">
        <f t="shared" si="94"/>
        <v>0</v>
      </c>
      <c r="N333" s="39"/>
      <c r="O333" s="39"/>
      <c r="P333" s="38">
        <v>15.76</v>
      </c>
      <c r="Q333" s="39"/>
      <c r="R333" s="39"/>
      <c r="S333" s="38">
        <f t="shared" si="95"/>
        <v>0</v>
      </c>
      <c r="T333" s="39"/>
      <c r="U333" s="40"/>
      <c r="V333" s="9">
        <f t="shared" si="96"/>
        <v>13.13</v>
      </c>
      <c r="Y333" s="9">
        <f t="shared" si="97"/>
        <v>0</v>
      </c>
      <c r="AD333" s="4" t="s">
        <v>991</v>
      </c>
      <c r="AE333" s="4" t="s">
        <v>992</v>
      </c>
      <c r="AF333" s="4" t="s">
        <v>876</v>
      </c>
    </row>
    <row r="334" spans="1:35" ht="18" x14ac:dyDescent="0.3">
      <c r="A334" s="23" t="s">
        <v>993</v>
      </c>
      <c r="B334" s="23"/>
      <c r="C334" s="41" t="s">
        <v>873</v>
      </c>
      <c r="D334" s="25"/>
      <c r="E334" s="25"/>
      <c r="F334" s="42" t="s">
        <v>76</v>
      </c>
      <c r="G334" s="43">
        <v>1.05</v>
      </c>
      <c r="H334" s="25"/>
      <c r="I334" s="50">
        <v>1575.7349999999999</v>
      </c>
      <c r="J334" s="44">
        <v>15.76</v>
      </c>
      <c r="K334" s="45"/>
      <c r="L334" s="45"/>
      <c r="M334" s="44">
        <f t="shared" si="94"/>
        <v>24833.58</v>
      </c>
      <c r="N334" s="45"/>
      <c r="O334" s="45"/>
      <c r="P334" s="44">
        <v>15.76</v>
      </c>
      <c r="Q334" s="45"/>
      <c r="R334" s="45"/>
      <c r="S334" s="44">
        <f t="shared" si="95"/>
        <v>24833.58</v>
      </c>
      <c r="T334" s="45"/>
      <c r="U334" s="46"/>
      <c r="V334" s="9">
        <f t="shared" si="96"/>
        <v>13.13</v>
      </c>
      <c r="Y334" s="9">
        <f t="shared" si="97"/>
        <v>20694.650000000001</v>
      </c>
      <c r="AD334" s="4" t="s">
        <v>994</v>
      </c>
      <c r="AE334" s="4" t="s">
        <v>992</v>
      </c>
      <c r="AF334" s="4" t="s">
        <v>876</v>
      </c>
    </row>
    <row r="335" spans="1:35" ht="36" x14ac:dyDescent="0.3">
      <c r="A335" s="17" t="s">
        <v>995</v>
      </c>
      <c r="B335" s="17"/>
      <c r="C335" s="34" t="s">
        <v>397</v>
      </c>
      <c r="D335" s="19"/>
      <c r="E335" s="19"/>
      <c r="F335" s="35" t="s">
        <v>364</v>
      </c>
      <c r="G335" s="36">
        <v>0.15</v>
      </c>
      <c r="H335" s="19"/>
      <c r="I335" s="37">
        <v>0</v>
      </c>
      <c r="J335" s="38">
        <v>88.8</v>
      </c>
      <c r="K335" s="39"/>
      <c r="L335" s="39"/>
      <c r="M335" s="38">
        <f t="shared" si="94"/>
        <v>0</v>
      </c>
      <c r="N335" s="39"/>
      <c r="O335" s="39"/>
      <c r="P335" s="38">
        <v>88.8</v>
      </c>
      <c r="Q335" s="39"/>
      <c r="R335" s="39"/>
      <c r="S335" s="38">
        <f t="shared" si="95"/>
        <v>0</v>
      </c>
      <c r="T335" s="39"/>
      <c r="U335" s="40"/>
      <c r="V335" s="9">
        <f t="shared" si="96"/>
        <v>74</v>
      </c>
      <c r="Y335" s="9">
        <f t="shared" si="97"/>
        <v>0</v>
      </c>
      <c r="AD335" s="4" t="s">
        <v>996</v>
      </c>
      <c r="AE335" s="4" t="s">
        <v>997</v>
      </c>
      <c r="AF335" s="4" t="s">
        <v>400</v>
      </c>
    </row>
    <row r="336" spans="1:35" ht="36" x14ac:dyDescent="0.3">
      <c r="A336" s="23" t="s">
        <v>998</v>
      </c>
      <c r="B336" s="23"/>
      <c r="C336" s="41" t="s">
        <v>397</v>
      </c>
      <c r="D336" s="25"/>
      <c r="E336" s="25"/>
      <c r="F336" s="42" t="s">
        <v>364</v>
      </c>
      <c r="G336" s="43">
        <v>0.15</v>
      </c>
      <c r="H336" s="25"/>
      <c r="I336" s="43">
        <v>225.10499999999999</v>
      </c>
      <c r="J336" s="44">
        <v>88.8</v>
      </c>
      <c r="K336" s="45"/>
      <c r="L336" s="45"/>
      <c r="M336" s="44">
        <f t="shared" si="94"/>
        <v>19989.32</v>
      </c>
      <c r="N336" s="45"/>
      <c r="O336" s="45"/>
      <c r="P336" s="44">
        <v>88.8</v>
      </c>
      <c r="Q336" s="45"/>
      <c r="R336" s="45"/>
      <c r="S336" s="44">
        <f t="shared" si="95"/>
        <v>19989.32</v>
      </c>
      <c r="T336" s="45"/>
      <c r="U336" s="46"/>
      <c r="V336" s="9">
        <f t="shared" si="96"/>
        <v>74</v>
      </c>
      <c r="Y336" s="9">
        <f t="shared" si="97"/>
        <v>16657.77</v>
      </c>
      <c r="AD336" s="4" t="s">
        <v>999</v>
      </c>
      <c r="AE336" s="4" t="s">
        <v>997</v>
      </c>
      <c r="AF336" s="4" t="s">
        <v>400</v>
      </c>
    </row>
    <row r="337" spans="1:35" ht="36" x14ac:dyDescent="0.3">
      <c r="A337" s="17" t="s">
        <v>1000</v>
      </c>
      <c r="B337" s="17" t="s">
        <v>1001</v>
      </c>
      <c r="C337" s="18" t="s">
        <v>1002</v>
      </c>
      <c r="D337" s="19"/>
      <c r="E337" s="19" t="s">
        <v>976</v>
      </c>
      <c r="F337" s="19" t="s">
        <v>61</v>
      </c>
      <c r="G337" s="20">
        <v>1</v>
      </c>
      <c r="H337" s="19"/>
      <c r="I337" s="21">
        <v>0</v>
      </c>
      <c r="J337" s="22">
        <v>36.18</v>
      </c>
      <c r="K337" s="22">
        <v>546</v>
      </c>
      <c r="L337" s="22">
        <f>J337+ROUND(K337, 2)</f>
        <v>582.17999999999995</v>
      </c>
      <c r="M337" s="22">
        <v>0</v>
      </c>
      <c r="N337" s="22">
        <v>0</v>
      </c>
      <c r="O337" s="22">
        <f>M337+N337</f>
        <v>0</v>
      </c>
      <c r="P337" s="22">
        <v>36.18</v>
      </c>
      <c r="Q337" s="22">
        <v>546</v>
      </c>
      <c r="R337" s="22">
        <f>P337+ROUND(Q337, 2)</f>
        <v>582.17999999999995</v>
      </c>
      <c r="S337" s="22">
        <v>0</v>
      </c>
      <c r="T337" s="22">
        <v>0</v>
      </c>
      <c r="U337" s="22">
        <f>S337+T337</f>
        <v>0</v>
      </c>
      <c r="V337" s="9">
        <f>ROUND(P337 / 1.2, 2)</f>
        <v>30.15</v>
      </c>
      <c r="W337" s="9">
        <f>ROUND(Q337 / 1.2, 2)</f>
        <v>455</v>
      </c>
      <c r="X337" s="9">
        <f>ROUND(R337 / 1.2, 2)</f>
        <v>485.15</v>
      </c>
      <c r="Y337" s="9">
        <f t="shared" si="97"/>
        <v>0</v>
      </c>
      <c r="Z337" s="9">
        <f>ROUND(T337 / 1.2, 2)</f>
        <v>0</v>
      </c>
      <c r="AA337" s="9">
        <f>Y337+Z337</f>
        <v>0</v>
      </c>
      <c r="AD337" s="4">
        <v>320320131</v>
      </c>
      <c r="AE337" s="4">
        <v>26813827</v>
      </c>
      <c r="AG337" s="4" t="s">
        <v>1003</v>
      </c>
      <c r="AH337" s="4" t="s">
        <v>1004</v>
      </c>
      <c r="AI337" s="4" t="s">
        <v>338</v>
      </c>
    </row>
    <row r="338" spans="1:35" ht="36" x14ac:dyDescent="0.3">
      <c r="A338" s="23" t="s">
        <v>1005</v>
      </c>
      <c r="B338" s="23" t="s">
        <v>1001</v>
      </c>
      <c r="C338" s="24" t="s">
        <v>1002</v>
      </c>
      <c r="D338" s="25"/>
      <c r="E338" s="25" t="s">
        <v>976</v>
      </c>
      <c r="F338" s="25" t="s">
        <v>61</v>
      </c>
      <c r="G338" s="26">
        <v>1</v>
      </c>
      <c r="H338" s="25"/>
      <c r="I338" s="26">
        <v>1500.7</v>
      </c>
      <c r="J338" s="27">
        <v>36.18</v>
      </c>
      <c r="K338" s="27">
        <v>546</v>
      </c>
      <c r="L338" s="27">
        <v>546</v>
      </c>
      <c r="M338" s="27">
        <v>54295.33</v>
      </c>
      <c r="N338" s="27">
        <v>819382.2</v>
      </c>
      <c r="O338" s="27"/>
      <c r="P338" s="27">
        <v>36.18</v>
      </c>
      <c r="Q338" s="27">
        <v>546</v>
      </c>
      <c r="R338" s="27">
        <v>546</v>
      </c>
      <c r="S338" s="27">
        <v>54295.33</v>
      </c>
      <c r="T338" s="27">
        <v>819382.2</v>
      </c>
      <c r="U338" s="27"/>
      <c r="V338" s="9"/>
      <c r="W338" s="9">
        <f>ROUND(Q338 / 1.2, 2)</f>
        <v>455</v>
      </c>
      <c r="X338" s="9">
        <f>ROUND(R338 / 1.2, 2)</f>
        <v>455</v>
      </c>
      <c r="Y338" s="9"/>
      <c r="Z338" s="9">
        <f>ROUND(T338 / 1.2, 2)</f>
        <v>682818.5</v>
      </c>
      <c r="AA338" s="9"/>
      <c r="AD338" s="4">
        <v>315454901</v>
      </c>
      <c r="AE338" s="4">
        <v>26813827</v>
      </c>
      <c r="AG338" s="4" t="s">
        <v>1003</v>
      </c>
      <c r="AH338" s="4" t="s">
        <v>1004</v>
      </c>
      <c r="AI338" s="4"/>
    </row>
    <row r="339" spans="1:35" ht="54" x14ac:dyDescent="0.3">
      <c r="A339" s="17" t="s">
        <v>1006</v>
      </c>
      <c r="B339" s="17"/>
      <c r="C339" s="34" t="s">
        <v>1007</v>
      </c>
      <c r="D339" s="19"/>
      <c r="E339" s="19"/>
      <c r="F339" s="35" t="s">
        <v>364</v>
      </c>
      <c r="G339" s="36">
        <v>1.8</v>
      </c>
      <c r="H339" s="19"/>
      <c r="I339" s="37">
        <v>0</v>
      </c>
      <c r="J339" s="38">
        <v>12.7</v>
      </c>
      <c r="K339" s="39"/>
      <c r="L339" s="39"/>
      <c r="M339" s="38">
        <f>ROUND(ROUND(J339, 2)*I339, 2)</f>
        <v>0</v>
      </c>
      <c r="N339" s="39"/>
      <c r="O339" s="39"/>
      <c r="P339" s="38">
        <v>12.7</v>
      </c>
      <c r="Q339" s="39"/>
      <c r="R339" s="39"/>
      <c r="S339" s="38">
        <f>ROUND(ROUND(P339, 2)*I339, 2)</f>
        <v>0</v>
      </c>
      <c r="T339" s="39"/>
      <c r="U339" s="40"/>
      <c r="V339" s="9">
        <f>ROUND(ROUND(P339, 2)/1.2, 2)</f>
        <v>10.58</v>
      </c>
      <c r="Y339" s="9">
        <f>ROUND(S339 / 1.2, 2)</f>
        <v>0</v>
      </c>
      <c r="AD339" s="4" t="s">
        <v>1008</v>
      </c>
      <c r="AE339" s="4" t="s">
        <v>1009</v>
      </c>
      <c r="AF339" s="4" t="s">
        <v>1010</v>
      </c>
    </row>
    <row r="340" spans="1:35" ht="54" x14ac:dyDescent="0.3">
      <c r="A340" s="23" t="s">
        <v>1011</v>
      </c>
      <c r="B340" s="23"/>
      <c r="C340" s="41" t="s">
        <v>1007</v>
      </c>
      <c r="D340" s="25"/>
      <c r="E340" s="25"/>
      <c r="F340" s="42" t="s">
        <v>364</v>
      </c>
      <c r="G340" s="43">
        <v>1.8</v>
      </c>
      <c r="H340" s="25"/>
      <c r="I340" s="43">
        <v>2701.26</v>
      </c>
      <c r="J340" s="44">
        <v>12.7</v>
      </c>
      <c r="K340" s="45"/>
      <c r="L340" s="45"/>
      <c r="M340" s="44">
        <f>ROUND(ROUND(J340, 2)*I340, 2)</f>
        <v>34306</v>
      </c>
      <c r="N340" s="45"/>
      <c r="O340" s="45"/>
      <c r="P340" s="44">
        <v>12.7</v>
      </c>
      <c r="Q340" s="45"/>
      <c r="R340" s="45"/>
      <c r="S340" s="44">
        <f>ROUND(ROUND(P340, 2)*I340, 2)</f>
        <v>34306</v>
      </c>
      <c r="T340" s="45"/>
      <c r="U340" s="46"/>
      <c r="V340" s="9">
        <f>ROUND(ROUND(P340, 2)/1.2, 2)</f>
        <v>10.58</v>
      </c>
      <c r="Y340" s="9">
        <f>ROUND(S340 / 1.2, 2)</f>
        <v>28588.33</v>
      </c>
      <c r="AD340" s="4" t="s">
        <v>1012</v>
      </c>
      <c r="AE340" s="4" t="s">
        <v>1009</v>
      </c>
      <c r="AF340" s="4" t="s">
        <v>1010</v>
      </c>
    </row>
    <row r="341" spans="1:35" ht="36" x14ac:dyDescent="0.3">
      <c r="A341" s="17" t="s">
        <v>1013</v>
      </c>
      <c r="B341" s="17"/>
      <c r="C341" s="34" t="s">
        <v>397</v>
      </c>
      <c r="D341" s="19"/>
      <c r="E341" s="19"/>
      <c r="F341" s="35" t="s">
        <v>364</v>
      </c>
      <c r="G341" s="36">
        <v>0.15</v>
      </c>
      <c r="H341" s="19"/>
      <c r="I341" s="37">
        <v>0</v>
      </c>
      <c r="J341" s="38">
        <v>88.8</v>
      </c>
      <c r="K341" s="39"/>
      <c r="L341" s="39"/>
      <c r="M341" s="38">
        <f>ROUND(ROUND(J341, 2)*I341, 2)</f>
        <v>0</v>
      </c>
      <c r="N341" s="39"/>
      <c r="O341" s="39"/>
      <c r="P341" s="38">
        <v>88.8</v>
      </c>
      <c r="Q341" s="39"/>
      <c r="R341" s="39"/>
      <c r="S341" s="38">
        <f>ROUND(ROUND(P341, 2)*I341, 2)</f>
        <v>0</v>
      </c>
      <c r="T341" s="39"/>
      <c r="U341" s="40"/>
      <c r="V341" s="9">
        <f>ROUND(ROUND(P341, 2)/1.2, 2)</f>
        <v>74</v>
      </c>
      <c r="Y341" s="9">
        <f>ROUND(S341 / 1.2, 2)</f>
        <v>0</v>
      </c>
      <c r="AD341" s="4" t="s">
        <v>1014</v>
      </c>
      <c r="AE341" s="4" t="s">
        <v>1015</v>
      </c>
      <c r="AF341" s="4" t="s">
        <v>400</v>
      </c>
    </row>
    <row r="342" spans="1:35" ht="36" x14ac:dyDescent="0.3">
      <c r="A342" s="23" t="s">
        <v>1016</v>
      </c>
      <c r="B342" s="23"/>
      <c r="C342" s="41" t="s">
        <v>397</v>
      </c>
      <c r="D342" s="25"/>
      <c r="E342" s="25"/>
      <c r="F342" s="42" t="s">
        <v>364</v>
      </c>
      <c r="G342" s="43">
        <v>0.15</v>
      </c>
      <c r="H342" s="25"/>
      <c r="I342" s="43">
        <v>225.10499999999999</v>
      </c>
      <c r="J342" s="44">
        <v>88.8</v>
      </c>
      <c r="K342" s="45"/>
      <c r="L342" s="45"/>
      <c r="M342" s="44">
        <f>ROUND(ROUND(J342, 2)*I342, 2)</f>
        <v>19989.32</v>
      </c>
      <c r="N342" s="45"/>
      <c r="O342" s="45"/>
      <c r="P342" s="44">
        <v>88.8</v>
      </c>
      <c r="Q342" s="45"/>
      <c r="R342" s="45"/>
      <c r="S342" s="44">
        <f>ROUND(ROUND(P342, 2)*I342, 2)</f>
        <v>19989.32</v>
      </c>
      <c r="T342" s="45"/>
      <c r="U342" s="46"/>
      <c r="V342" s="9">
        <f>ROUND(ROUND(P342, 2)/1.2, 2)</f>
        <v>74</v>
      </c>
      <c r="Y342" s="9">
        <f>ROUND(S342 / 1.2, 2)</f>
        <v>16657.77</v>
      </c>
      <c r="AD342" s="4" t="s">
        <v>1017</v>
      </c>
      <c r="AE342" s="4" t="s">
        <v>1015</v>
      </c>
      <c r="AF342" s="4" t="s">
        <v>400</v>
      </c>
    </row>
    <row r="343" spans="1:35" ht="16.95" customHeight="1" x14ac:dyDescent="0.3">
      <c r="A343" s="10" t="s">
        <v>1018</v>
      </c>
      <c r="B343" s="10" t="s">
        <v>1019</v>
      </c>
      <c r="C343" s="237" t="s">
        <v>1020</v>
      </c>
      <c r="D343" s="238"/>
      <c r="E343" s="238"/>
      <c r="F343" s="238"/>
      <c r="G343" s="238"/>
      <c r="H343" s="238"/>
      <c r="I343" s="239"/>
      <c r="M343" s="6">
        <f>SUM(M344,M350,M356,M362)</f>
        <v>0</v>
      </c>
      <c r="N343" s="6">
        <f>SUM(N344,N350,N356,N362)</f>
        <v>0</v>
      </c>
      <c r="O343" s="6">
        <f>SUM(O344,O350,O356,O362)</f>
        <v>0</v>
      </c>
      <c r="S343" s="6">
        <f>SUM(S344,S350,S356,S362)</f>
        <v>0</v>
      </c>
      <c r="T343" s="6">
        <f>SUM(T344,T350,T356,T362)</f>
        <v>0</v>
      </c>
      <c r="U343" s="6">
        <f>SUM(U344,U350,U356,U362)</f>
        <v>0</v>
      </c>
      <c r="Y343" s="9">
        <f>SUM(Y344,Y350,Y356,Y362)</f>
        <v>0</v>
      </c>
      <c r="Z343" s="9">
        <f>SUM(Z344,Z350,Z356,Z362)</f>
        <v>0</v>
      </c>
      <c r="AA343" s="9">
        <f>SUM(AA344,AA350,AA356,AA362)</f>
        <v>0</v>
      </c>
      <c r="AD343" s="4">
        <v>320320132</v>
      </c>
      <c r="AE343" s="4">
        <v>26813797</v>
      </c>
    </row>
    <row r="344" spans="1:35" ht="36" x14ac:dyDescent="0.3">
      <c r="A344" s="17" t="s">
        <v>1021</v>
      </c>
      <c r="B344" s="17" t="s">
        <v>1022</v>
      </c>
      <c r="C344" s="18" t="s">
        <v>1023</v>
      </c>
      <c r="D344" s="19"/>
      <c r="E344" s="19" t="s">
        <v>1024</v>
      </c>
      <c r="F344" s="19" t="s">
        <v>61</v>
      </c>
      <c r="G344" s="20">
        <v>1</v>
      </c>
      <c r="H344" s="19"/>
      <c r="I344" s="21">
        <v>0</v>
      </c>
      <c r="J344" s="22">
        <v>13.32</v>
      </c>
      <c r="K344" s="22">
        <v>464</v>
      </c>
      <c r="L344" s="22">
        <f>J344+ROUND(K344, 2)</f>
        <v>477.32</v>
      </c>
      <c r="M344" s="22">
        <v>0</v>
      </c>
      <c r="N344" s="22">
        <v>0</v>
      </c>
      <c r="O344" s="22">
        <f>M344+N344</f>
        <v>0</v>
      </c>
      <c r="P344" s="22">
        <v>73.040000000000006</v>
      </c>
      <c r="Q344" s="22">
        <v>464</v>
      </c>
      <c r="R344" s="22">
        <f>P344+ROUND(Q344, 2)</f>
        <v>537.04</v>
      </c>
      <c r="S344" s="22">
        <v>0</v>
      </c>
      <c r="T344" s="22">
        <v>0</v>
      </c>
      <c r="U344" s="22">
        <f>S344+T344</f>
        <v>0</v>
      </c>
      <c r="V344" s="9">
        <f>ROUND(P344 / 1.2, 2)</f>
        <v>60.87</v>
      </c>
      <c r="W344" s="9">
        <f>ROUND(Q344 / 1.2, 2)</f>
        <v>386.67</v>
      </c>
      <c r="X344" s="9">
        <f>ROUND(R344 / 1.2, 2)</f>
        <v>447.53</v>
      </c>
      <c r="Y344" s="9">
        <f>ROUND(S344 / 1.2, 2)</f>
        <v>0</v>
      </c>
      <c r="Z344" s="9">
        <f>ROUND(T344 / 1.2, 2)</f>
        <v>0</v>
      </c>
      <c r="AA344" s="9">
        <f>Y344+Z344</f>
        <v>0</v>
      </c>
      <c r="AD344" s="4">
        <v>320320134</v>
      </c>
      <c r="AE344" s="4">
        <v>26813822</v>
      </c>
      <c r="AG344" s="4" t="s">
        <v>1025</v>
      </c>
      <c r="AH344" s="4" t="s">
        <v>1026</v>
      </c>
      <c r="AI344" s="4" t="s">
        <v>338</v>
      </c>
    </row>
    <row r="345" spans="1:35" ht="36" x14ac:dyDescent="0.3">
      <c r="A345" s="23" t="s">
        <v>1027</v>
      </c>
      <c r="B345" s="23" t="s">
        <v>1022</v>
      </c>
      <c r="C345" s="24" t="s">
        <v>1023</v>
      </c>
      <c r="D345" s="25"/>
      <c r="E345" s="25" t="s">
        <v>1024</v>
      </c>
      <c r="F345" s="25" t="s">
        <v>61</v>
      </c>
      <c r="G345" s="26">
        <v>1</v>
      </c>
      <c r="H345" s="25"/>
      <c r="I345" s="26">
        <v>2326.3000000000002</v>
      </c>
      <c r="J345" s="27">
        <v>13.32</v>
      </c>
      <c r="K345" s="27">
        <v>464</v>
      </c>
      <c r="L345" s="27">
        <v>464</v>
      </c>
      <c r="M345" s="27">
        <v>30986.32</v>
      </c>
      <c r="N345" s="27">
        <v>1079403.2</v>
      </c>
      <c r="O345" s="27"/>
      <c r="P345" s="27">
        <v>73.040000000000006</v>
      </c>
      <c r="Q345" s="27">
        <v>464</v>
      </c>
      <c r="R345" s="27">
        <v>464</v>
      </c>
      <c r="S345" s="27">
        <v>169912.95</v>
      </c>
      <c r="T345" s="27">
        <v>1079403.2</v>
      </c>
      <c r="U345" s="27"/>
      <c r="V345" s="9"/>
      <c r="W345" s="9">
        <f>ROUND(Q345 / 1.2, 2)</f>
        <v>386.67</v>
      </c>
      <c r="X345" s="9">
        <f>ROUND(R345 / 1.2, 2)</f>
        <v>386.67</v>
      </c>
      <c r="Y345" s="9"/>
      <c r="Z345" s="9">
        <f>ROUND(T345 / 1.2, 2)</f>
        <v>899502.67</v>
      </c>
      <c r="AA345" s="9"/>
      <c r="AD345" s="4">
        <v>315454904</v>
      </c>
      <c r="AE345" s="4">
        <v>26813822</v>
      </c>
      <c r="AG345" s="4" t="s">
        <v>1025</v>
      </c>
      <c r="AH345" s="4" t="s">
        <v>1026</v>
      </c>
      <c r="AI345" s="4"/>
    </row>
    <row r="346" spans="1:35" ht="162" x14ac:dyDescent="0.3">
      <c r="A346" s="17" t="s">
        <v>1028</v>
      </c>
      <c r="B346" s="17"/>
      <c r="C346" s="34" t="s">
        <v>1029</v>
      </c>
      <c r="D346" s="19"/>
      <c r="E346" s="19" t="s">
        <v>1030</v>
      </c>
      <c r="F346" s="35" t="s">
        <v>364</v>
      </c>
      <c r="G346" s="36">
        <v>0.4</v>
      </c>
      <c r="H346" s="19"/>
      <c r="I346" s="37">
        <v>0</v>
      </c>
      <c r="J346" s="38">
        <v>0</v>
      </c>
      <c r="K346" s="39"/>
      <c r="L346" s="39"/>
      <c r="M346" s="38">
        <f>ROUND(ROUND(J346, 2)*I346, 2)</f>
        <v>0</v>
      </c>
      <c r="N346" s="39"/>
      <c r="O346" s="39"/>
      <c r="P346" s="38">
        <v>149.31</v>
      </c>
      <c r="Q346" s="39"/>
      <c r="R346" s="39"/>
      <c r="S346" s="38">
        <f>ROUND(ROUND(P346, 2)*I346, 2)</f>
        <v>0</v>
      </c>
      <c r="T346" s="39"/>
      <c r="U346" s="40"/>
      <c r="V346" s="9">
        <f>ROUND(ROUND(P346, 2)/1.2, 2)</f>
        <v>124.43</v>
      </c>
      <c r="Y346" s="9">
        <f>ROUND(S346 / 1.2, 2)</f>
        <v>0</v>
      </c>
      <c r="AD346" s="4" t="s">
        <v>1031</v>
      </c>
      <c r="AE346" s="4" t="s">
        <v>1032</v>
      </c>
      <c r="AF346" s="4" t="s">
        <v>1033</v>
      </c>
    </row>
    <row r="347" spans="1:35" ht="162" x14ac:dyDescent="0.3">
      <c r="A347" s="23" t="s">
        <v>1034</v>
      </c>
      <c r="B347" s="23"/>
      <c r="C347" s="41" t="s">
        <v>1029</v>
      </c>
      <c r="D347" s="25"/>
      <c r="E347" s="25" t="s">
        <v>1030</v>
      </c>
      <c r="F347" s="42" t="s">
        <v>364</v>
      </c>
      <c r="G347" s="43">
        <v>0.4</v>
      </c>
      <c r="H347" s="25"/>
      <c r="I347" s="43">
        <v>930.52</v>
      </c>
      <c r="J347" s="44">
        <v>0</v>
      </c>
      <c r="K347" s="45"/>
      <c r="L347" s="45"/>
      <c r="M347" s="44">
        <f>ROUND(ROUND(J347, 2)*I347, 2)</f>
        <v>0</v>
      </c>
      <c r="N347" s="45"/>
      <c r="O347" s="45"/>
      <c r="P347" s="44">
        <v>149.31</v>
      </c>
      <c r="Q347" s="45"/>
      <c r="R347" s="45"/>
      <c r="S347" s="44">
        <f>ROUND(ROUND(P347, 2)*I347, 2)</f>
        <v>138935.94</v>
      </c>
      <c r="T347" s="45"/>
      <c r="U347" s="46"/>
      <c r="V347" s="9">
        <f>ROUND(ROUND(P347, 2)/1.2, 2)</f>
        <v>124.43</v>
      </c>
      <c r="Y347" s="9">
        <f>ROUND(S347 / 1.2, 2)</f>
        <v>115779.95</v>
      </c>
      <c r="AD347" s="4" t="s">
        <v>1035</v>
      </c>
      <c r="AE347" s="4" t="s">
        <v>1032</v>
      </c>
      <c r="AF347" s="4" t="s">
        <v>1033</v>
      </c>
    </row>
    <row r="348" spans="1:35" ht="36" x14ac:dyDescent="0.3">
      <c r="A348" s="17" t="s">
        <v>1036</v>
      </c>
      <c r="B348" s="17"/>
      <c r="C348" s="34" t="s">
        <v>680</v>
      </c>
      <c r="D348" s="19"/>
      <c r="E348" s="19"/>
      <c r="F348" s="35" t="s">
        <v>364</v>
      </c>
      <c r="G348" s="36">
        <v>0.15</v>
      </c>
      <c r="H348" s="19"/>
      <c r="I348" s="37">
        <v>0</v>
      </c>
      <c r="J348" s="38">
        <v>88.8</v>
      </c>
      <c r="K348" s="39"/>
      <c r="L348" s="39"/>
      <c r="M348" s="38">
        <f>ROUND(ROUND(J348, 2)*I348, 2)</f>
        <v>0</v>
      </c>
      <c r="N348" s="39"/>
      <c r="O348" s="39"/>
      <c r="P348" s="38">
        <v>88.8</v>
      </c>
      <c r="Q348" s="39"/>
      <c r="R348" s="39"/>
      <c r="S348" s="38">
        <f>ROUND(ROUND(P348, 2)*I348, 2)</f>
        <v>0</v>
      </c>
      <c r="T348" s="39"/>
      <c r="U348" s="40"/>
      <c r="V348" s="9">
        <f>ROUND(ROUND(P348, 2)/1.2, 2)</f>
        <v>74</v>
      </c>
      <c r="Y348" s="9">
        <f>ROUND(S348 / 1.2, 2)</f>
        <v>0</v>
      </c>
      <c r="AD348" s="4" t="s">
        <v>1037</v>
      </c>
      <c r="AE348" s="4" t="s">
        <v>1038</v>
      </c>
      <c r="AF348" s="4" t="s">
        <v>683</v>
      </c>
    </row>
    <row r="349" spans="1:35" ht="36" x14ac:dyDescent="0.3">
      <c r="A349" s="23" t="s">
        <v>1039</v>
      </c>
      <c r="B349" s="23"/>
      <c r="C349" s="41" t="s">
        <v>680</v>
      </c>
      <c r="D349" s="25"/>
      <c r="E349" s="25"/>
      <c r="F349" s="42" t="s">
        <v>364</v>
      </c>
      <c r="G349" s="43">
        <v>0.15</v>
      </c>
      <c r="H349" s="25"/>
      <c r="I349" s="43">
        <v>348.94499999999999</v>
      </c>
      <c r="J349" s="44">
        <v>88.8</v>
      </c>
      <c r="K349" s="45"/>
      <c r="L349" s="45"/>
      <c r="M349" s="44">
        <f>ROUND(ROUND(J349, 2)*I349, 2)</f>
        <v>30986.32</v>
      </c>
      <c r="N349" s="45"/>
      <c r="O349" s="45"/>
      <c r="P349" s="44">
        <v>88.8</v>
      </c>
      <c r="Q349" s="45"/>
      <c r="R349" s="45"/>
      <c r="S349" s="44">
        <f>ROUND(ROUND(P349, 2)*I349, 2)</f>
        <v>30986.32</v>
      </c>
      <c r="T349" s="45"/>
      <c r="U349" s="46"/>
      <c r="V349" s="9">
        <f>ROUND(ROUND(P349, 2)/1.2, 2)</f>
        <v>74</v>
      </c>
      <c r="Y349" s="9">
        <f>ROUND(S349 / 1.2, 2)</f>
        <v>25821.93</v>
      </c>
      <c r="AD349" s="4" t="s">
        <v>1040</v>
      </c>
      <c r="AE349" s="4" t="s">
        <v>1038</v>
      </c>
      <c r="AF349" s="4" t="s">
        <v>683</v>
      </c>
    </row>
    <row r="350" spans="1:35" ht="36" x14ac:dyDescent="0.3">
      <c r="A350" s="17" t="s">
        <v>1041</v>
      </c>
      <c r="B350" s="17" t="s">
        <v>1022</v>
      </c>
      <c r="C350" s="18" t="s">
        <v>1023</v>
      </c>
      <c r="D350" s="19"/>
      <c r="E350" s="19" t="s">
        <v>1042</v>
      </c>
      <c r="F350" s="19" t="s">
        <v>61</v>
      </c>
      <c r="G350" s="20">
        <v>1</v>
      </c>
      <c r="H350" s="19"/>
      <c r="I350" s="21">
        <v>0</v>
      </c>
      <c r="J350" s="22">
        <v>13.32</v>
      </c>
      <c r="K350" s="22">
        <v>464</v>
      </c>
      <c r="L350" s="22">
        <f>J350+ROUND(K350, 2)</f>
        <v>477.32</v>
      </c>
      <c r="M350" s="22">
        <v>0</v>
      </c>
      <c r="N350" s="22">
        <v>0</v>
      </c>
      <c r="O350" s="22">
        <f>M350+N350</f>
        <v>0</v>
      </c>
      <c r="P350" s="22">
        <v>73.040000000000006</v>
      </c>
      <c r="Q350" s="22">
        <v>464</v>
      </c>
      <c r="R350" s="22">
        <f>P350+ROUND(Q350, 2)</f>
        <v>537.04</v>
      </c>
      <c r="S350" s="22">
        <v>0</v>
      </c>
      <c r="T350" s="22">
        <v>0</v>
      </c>
      <c r="U350" s="22">
        <f>S350+T350</f>
        <v>0</v>
      </c>
      <c r="V350" s="9">
        <f>ROUND(P350 / 1.2, 2)</f>
        <v>60.87</v>
      </c>
      <c r="W350" s="9">
        <f>ROUND(Q350 / 1.2, 2)</f>
        <v>386.67</v>
      </c>
      <c r="X350" s="9">
        <f>ROUND(R350 / 1.2, 2)</f>
        <v>447.53</v>
      </c>
      <c r="Y350" s="9">
        <f>ROUND(S350 / 1.2, 2)</f>
        <v>0</v>
      </c>
      <c r="Z350" s="9">
        <f>ROUND(T350 / 1.2, 2)</f>
        <v>0</v>
      </c>
      <c r="AA350" s="9">
        <f>Y350+Z350</f>
        <v>0</v>
      </c>
      <c r="AD350" s="4">
        <v>320320162</v>
      </c>
      <c r="AE350" s="4">
        <v>26813824</v>
      </c>
      <c r="AG350" s="4" t="s">
        <v>1025</v>
      </c>
      <c r="AH350" s="4" t="s">
        <v>1026</v>
      </c>
      <c r="AI350" s="4" t="s">
        <v>338</v>
      </c>
    </row>
    <row r="351" spans="1:35" ht="36" x14ac:dyDescent="0.3">
      <c r="A351" s="23" t="s">
        <v>1043</v>
      </c>
      <c r="B351" s="23" t="s">
        <v>1022</v>
      </c>
      <c r="C351" s="24" t="s">
        <v>1023</v>
      </c>
      <c r="D351" s="25"/>
      <c r="E351" s="25" t="s">
        <v>1042</v>
      </c>
      <c r="F351" s="25" t="s">
        <v>61</v>
      </c>
      <c r="G351" s="26">
        <v>1</v>
      </c>
      <c r="H351" s="25"/>
      <c r="I351" s="26">
        <v>559.9</v>
      </c>
      <c r="J351" s="27">
        <v>13.32</v>
      </c>
      <c r="K351" s="27">
        <v>464</v>
      </c>
      <c r="L351" s="27">
        <v>464</v>
      </c>
      <c r="M351" s="27">
        <v>7457.87</v>
      </c>
      <c r="N351" s="27">
        <v>259793.6</v>
      </c>
      <c r="O351" s="27"/>
      <c r="P351" s="27">
        <v>73.040000000000006</v>
      </c>
      <c r="Q351" s="27">
        <v>464</v>
      </c>
      <c r="R351" s="27">
        <v>464</v>
      </c>
      <c r="S351" s="27">
        <v>40895.1</v>
      </c>
      <c r="T351" s="27">
        <v>259793.6</v>
      </c>
      <c r="U351" s="27"/>
      <c r="V351" s="9"/>
      <c r="W351" s="9">
        <f>ROUND(Q351 / 1.2, 2)</f>
        <v>386.67</v>
      </c>
      <c r="X351" s="9">
        <f>ROUND(R351 / 1.2, 2)</f>
        <v>386.67</v>
      </c>
      <c r="Y351" s="9"/>
      <c r="Z351" s="9">
        <f>ROUND(T351 / 1.2, 2)</f>
        <v>216494.67</v>
      </c>
      <c r="AA351" s="9"/>
      <c r="AD351" s="4">
        <v>315454905</v>
      </c>
      <c r="AE351" s="4">
        <v>26813824</v>
      </c>
      <c r="AG351" s="4" t="s">
        <v>1025</v>
      </c>
      <c r="AH351" s="4" t="s">
        <v>1026</v>
      </c>
      <c r="AI351" s="4"/>
    </row>
    <row r="352" spans="1:35" ht="36" x14ac:dyDescent="0.3">
      <c r="A352" s="17" t="s">
        <v>1044</v>
      </c>
      <c r="B352" s="17"/>
      <c r="C352" s="34" t="s">
        <v>680</v>
      </c>
      <c r="D352" s="19"/>
      <c r="E352" s="19"/>
      <c r="F352" s="35" t="s">
        <v>364</v>
      </c>
      <c r="G352" s="36">
        <v>0.15</v>
      </c>
      <c r="H352" s="19"/>
      <c r="I352" s="37">
        <v>0</v>
      </c>
      <c r="J352" s="38">
        <v>88.8</v>
      </c>
      <c r="K352" s="39"/>
      <c r="L352" s="39"/>
      <c r="M352" s="38">
        <f>ROUND(ROUND(J352, 2)*I352, 2)</f>
        <v>0</v>
      </c>
      <c r="N352" s="39"/>
      <c r="O352" s="39"/>
      <c r="P352" s="38">
        <v>88.8</v>
      </c>
      <c r="Q352" s="39"/>
      <c r="R352" s="39"/>
      <c r="S352" s="38">
        <f>ROUND(ROUND(P352, 2)*I352, 2)</f>
        <v>0</v>
      </c>
      <c r="T352" s="39"/>
      <c r="U352" s="40"/>
      <c r="V352" s="9">
        <f>ROUND(ROUND(P352, 2)/1.2, 2)</f>
        <v>74</v>
      </c>
      <c r="Y352" s="9">
        <f>ROUND(S352 / 1.2, 2)</f>
        <v>0</v>
      </c>
      <c r="AD352" s="4" t="s">
        <v>1045</v>
      </c>
      <c r="AE352" s="4" t="s">
        <v>1046</v>
      </c>
      <c r="AF352" s="4" t="s">
        <v>683</v>
      </c>
    </row>
    <row r="353" spans="1:35" ht="36" x14ac:dyDescent="0.3">
      <c r="A353" s="23" t="s">
        <v>1047</v>
      </c>
      <c r="B353" s="23"/>
      <c r="C353" s="41" t="s">
        <v>680</v>
      </c>
      <c r="D353" s="25"/>
      <c r="E353" s="25"/>
      <c r="F353" s="42" t="s">
        <v>364</v>
      </c>
      <c r="G353" s="43">
        <v>0.15</v>
      </c>
      <c r="H353" s="25"/>
      <c r="I353" s="43">
        <v>83.984999999999999</v>
      </c>
      <c r="J353" s="44">
        <v>88.8</v>
      </c>
      <c r="K353" s="45"/>
      <c r="L353" s="45"/>
      <c r="M353" s="44">
        <f>ROUND(ROUND(J353, 2)*I353, 2)</f>
        <v>7457.87</v>
      </c>
      <c r="N353" s="45"/>
      <c r="O353" s="45"/>
      <c r="P353" s="44">
        <v>88.8</v>
      </c>
      <c r="Q353" s="45"/>
      <c r="R353" s="45"/>
      <c r="S353" s="44">
        <f>ROUND(ROUND(P353, 2)*I353, 2)</f>
        <v>7457.87</v>
      </c>
      <c r="T353" s="45"/>
      <c r="U353" s="46"/>
      <c r="V353" s="9">
        <f>ROUND(ROUND(P353, 2)/1.2, 2)</f>
        <v>74</v>
      </c>
      <c r="Y353" s="9">
        <f>ROUND(S353 / 1.2, 2)</f>
        <v>6214.89</v>
      </c>
      <c r="AD353" s="4" t="s">
        <v>1048</v>
      </c>
      <c r="AE353" s="4" t="s">
        <v>1046</v>
      </c>
      <c r="AF353" s="4" t="s">
        <v>683</v>
      </c>
    </row>
    <row r="354" spans="1:35" ht="90" x14ac:dyDescent="0.3">
      <c r="A354" s="17" t="s">
        <v>1049</v>
      </c>
      <c r="B354" s="17"/>
      <c r="C354" s="34" t="s">
        <v>1029</v>
      </c>
      <c r="D354" s="19"/>
      <c r="E354" s="19" t="s">
        <v>1050</v>
      </c>
      <c r="F354" s="35" t="s">
        <v>364</v>
      </c>
      <c r="G354" s="36">
        <v>0.4</v>
      </c>
      <c r="H354" s="19"/>
      <c r="I354" s="37">
        <v>0</v>
      </c>
      <c r="J354" s="38">
        <v>0</v>
      </c>
      <c r="K354" s="39"/>
      <c r="L354" s="39"/>
      <c r="M354" s="38">
        <f>ROUND(ROUND(J354, 2)*I354, 2)</f>
        <v>0</v>
      </c>
      <c r="N354" s="39"/>
      <c r="O354" s="39"/>
      <c r="P354" s="38">
        <v>149.31</v>
      </c>
      <c r="Q354" s="39"/>
      <c r="R354" s="39"/>
      <c r="S354" s="38">
        <f>ROUND(ROUND(P354, 2)*I354, 2)</f>
        <v>0</v>
      </c>
      <c r="T354" s="39"/>
      <c r="U354" s="40"/>
      <c r="V354" s="9">
        <f>ROUND(ROUND(P354, 2)/1.2, 2)</f>
        <v>124.43</v>
      </c>
      <c r="Y354" s="9">
        <f>ROUND(S354 / 1.2, 2)</f>
        <v>0</v>
      </c>
      <c r="AD354" s="4" t="s">
        <v>1051</v>
      </c>
      <c r="AE354" s="4" t="s">
        <v>1052</v>
      </c>
      <c r="AF354" s="4" t="s">
        <v>1033</v>
      </c>
    </row>
    <row r="355" spans="1:35" ht="90" x14ac:dyDescent="0.3">
      <c r="A355" s="23" t="s">
        <v>1053</v>
      </c>
      <c r="B355" s="23"/>
      <c r="C355" s="41" t="s">
        <v>1029</v>
      </c>
      <c r="D355" s="25"/>
      <c r="E355" s="25" t="s">
        <v>1050</v>
      </c>
      <c r="F355" s="42" t="s">
        <v>364</v>
      </c>
      <c r="G355" s="43">
        <v>0.4</v>
      </c>
      <c r="H355" s="25"/>
      <c r="I355" s="43">
        <v>223.96</v>
      </c>
      <c r="J355" s="44">
        <v>0</v>
      </c>
      <c r="K355" s="45"/>
      <c r="L355" s="45"/>
      <c r="M355" s="44">
        <f>ROUND(ROUND(J355, 2)*I355, 2)</f>
        <v>0</v>
      </c>
      <c r="N355" s="45"/>
      <c r="O355" s="45"/>
      <c r="P355" s="44">
        <v>149.31</v>
      </c>
      <c r="Q355" s="45"/>
      <c r="R355" s="45"/>
      <c r="S355" s="44">
        <f>ROUND(ROUND(P355, 2)*I355, 2)</f>
        <v>33439.47</v>
      </c>
      <c r="T355" s="45"/>
      <c r="U355" s="46"/>
      <c r="V355" s="9">
        <f>ROUND(ROUND(P355, 2)/1.2, 2)</f>
        <v>124.43</v>
      </c>
      <c r="Y355" s="9">
        <f>ROUND(S355 / 1.2, 2)</f>
        <v>27866.23</v>
      </c>
      <c r="AD355" s="4" t="s">
        <v>1054</v>
      </c>
      <c r="AE355" s="4" t="s">
        <v>1052</v>
      </c>
      <c r="AF355" s="4" t="s">
        <v>1033</v>
      </c>
    </row>
    <row r="356" spans="1:35" ht="36" x14ac:dyDescent="0.3">
      <c r="A356" s="17" t="s">
        <v>1055</v>
      </c>
      <c r="B356" s="17" t="s">
        <v>1022</v>
      </c>
      <c r="C356" s="18" t="s">
        <v>1023</v>
      </c>
      <c r="D356" s="19"/>
      <c r="E356" s="19" t="s">
        <v>1056</v>
      </c>
      <c r="F356" s="19" t="s">
        <v>61</v>
      </c>
      <c r="G356" s="20">
        <v>1</v>
      </c>
      <c r="H356" s="19"/>
      <c r="I356" s="21">
        <v>0</v>
      </c>
      <c r="J356" s="22">
        <v>13.32</v>
      </c>
      <c r="K356" s="22">
        <v>464</v>
      </c>
      <c r="L356" s="22">
        <f>J356+ROUND(K356, 2)</f>
        <v>477.32</v>
      </c>
      <c r="M356" s="22">
        <v>0</v>
      </c>
      <c r="N356" s="22">
        <v>0</v>
      </c>
      <c r="O356" s="22">
        <f>M356+N356</f>
        <v>0</v>
      </c>
      <c r="P356" s="22">
        <v>73.040000000000006</v>
      </c>
      <c r="Q356" s="22">
        <v>464</v>
      </c>
      <c r="R356" s="22">
        <f>P356+ROUND(Q356, 2)</f>
        <v>537.04</v>
      </c>
      <c r="S356" s="22">
        <v>0</v>
      </c>
      <c r="T356" s="22">
        <v>0</v>
      </c>
      <c r="U356" s="22">
        <f>S356+T356</f>
        <v>0</v>
      </c>
      <c r="V356" s="9">
        <f>ROUND(P356 / 1.2, 2)</f>
        <v>60.87</v>
      </c>
      <c r="W356" s="9">
        <f>ROUND(Q356 / 1.2, 2)</f>
        <v>386.67</v>
      </c>
      <c r="X356" s="9">
        <f>ROUND(R356 / 1.2, 2)</f>
        <v>447.53</v>
      </c>
      <c r="Y356" s="9">
        <f>ROUND(S356 / 1.2, 2)</f>
        <v>0</v>
      </c>
      <c r="Z356" s="9">
        <f>ROUND(T356 / 1.2, 2)</f>
        <v>0</v>
      </c>
      <c r="AA356" s="9">
        <f>Y356+Z356</f>
        <v>0</v>
      </c>
      <c r="AD356" s="4">
        <v>320320163</v>
      </c>
      <c r="AE356" s="4">
        <v>26813829</v>
      </c>
      <c r="AG356" s="4" t="s">
        <v>1025</v>
      </c>
      <c r="AH356" s="4" t="s">
        <v>1026</v>
      </c>
      <c r="AI356" s="4" t="s">
        <v>338</v>
      </c>
    </row>
    <row r="357" spans="1:35" ht="36" x14ac:dyDescent="0.3">
      <c r="A357" s="23" t="s">
        <v>1057</v>
      </c>
      <c r="B357" s="23" t="s">
        <v>1022</v>
      </c>
      <c r="C357" s="24" t="s">
        <v>1023</v>
      </c>
      <c r="D357" s="25"/>
      <c r="E357" s="25" t="s">
        <v>1056</v>
      </c>
      <c r="F357" s="25" t="s">
        <v>61</v>
      </c>
      <c r="G357" s="26">
        <v>1</v>
      </c>
      <c r="H357" s="25"/>
      <c r="I357" s="26">
        <v>568.5</v>
      </c>
      <c r="J357" s="27">
        <v>13.32</v>
      </c>
      <c r="K357" s="27">
        <v>464</v>
      </c>
      <c r="L357" s="27">
        <v>464</v>
      </c>
      <c r="M357" s="27">
        <v>7572.42</v>
      </c>
      <c r="N357" s="27">
        <v>263784</v>
      </c>
      <c r="O357" s="27"/>
      <c r="P357" s="27">
        <v>73.040000000000006</v>
      </c>
      <c r="Q357" s="27">
        <v>464</v>
      </c>
      <c r="R357" s="27">
        <v>464</v>
      </c>
      <c r="S357" s="27">
        <v>41523.24</v>
      </c>
      <c r="T357" s="27">
        <v>263784</v>
      </c>
      <c r="U357" s="27"/>
      <c r="V357" s="9"/>
      <c r="W357" s="9">
        <f>ROUND(Q357 / 1.2, 2)</f>
        <v>386.67</v>
      </c>
      <c r="X357" s="9">
        <f>ROUND(R357 / 1.2, 2)</f>
        <v>386.67</v>
      </c>
      <c r="Y357" s="9"/>
      <c r="Z357" s="9">
        <f>ROUND(T357 / 1.2, 2)</f>
        <v>219820</v>
      </c>
      <c r="AA357" s="9"/>
      <c r="AD357" s="4">
        <v>315454906</v>
      </c>
      <c r="AE357" s="4">
        <v>26813829</v>
      </c>
      <c r="AG357" s="4" t="s">
        <v>1025</v>
      </c>
      <c r="AH357" s="4" t="s">
        <v>1026</v>
      </c>
      <c r="AI357" s="4"/>
    </row>
    <row r="358" spans="1:35" ht="72" x14ac:dyDescent="0.3">
      <c r="A358" s="17" t="s">
        <v>1058</v>
      </c>
      <c r="B358" s="17"/>
      <c r="C358" s="34" t="s">
        <v>1029</v>
      </c>
      <c r="D358" s="19"/>
      <c r="E358" s="19" t="s">
        <v>1059</v>
      </c>
      <c r="F358" s="35" t="s">
        <v>364</v>
      </c>
      <c r="G358" s="36">
        <v>0.4</v>
      </c>
      <c r="H358" s="19"/>
      <c r="I358" s="37">
        <v>0</v>
      </c>
      <c r="J358" s="38">
        <v>0</v>
      </c>
      <c r="K358" s="39"/>
      <c r="L358" s="39"/>
      <c r="M358" s="38">
        <f>ROUND(ROUND(J358, 2)*I358, 2)</f>
        <v>0</v>
      </c>
      <c r="N358" s="39"/>
      <c r="O358" s="39"/>
      <c r="P358" s="38">
        <v>149.31</v>
      </c>
      <c r="Q358" s="39"/>
      <c r="R358" s="39"/>
      <c r="S358" s="38">
        <f>ROUND(ROUND(P358, 2)*I358, 2)</f>
        <v>0</v>
      </c>
      <c r="T358" s="39"/>
      <c r="U358" s="40"/>
      <c r="V358" s="9">
        <f>ROUND(ROUND(P358, 2)/1.2, 2)</f>
        <v>124.43</v>
      </c>
      <c r="Y358" s="9">
        <f>ROUND(S358 / 1.2, 2)</f>
        <v>0</v>
      </c>
      <c r="AD358" s="4" t="s">
        <v>1060</v>
      </c>
      <c r="AE358" s="4" t="s">
        <v>1061</v>
      </c>
      <c r="AF358" s="4" t="s">
        <v>1033</v>
      </c>
    </row>
    <row r="359" spans="1:35" ht="72" x14ac:dyDescent="0.3">
      <c r="A359" s="23" t="s">
        <v>1062</v>
      </c>
      <c r="B359" s="23"/>
      <c r="C359" s="41" t="s">
        <v>1029</v>
      </c>
      <c r="D359" s="25"/>
      <c r="E359" s="25" t="s">
        <v>1059</v>
      </c>
      <c r="F359" s="42" t="s">
        <v>364</v>
      </c>
      <c r="G359" s="43">
        <v>0.4</v>
      </c>
      <c r="H359" s="25"/>
      <c r="I359" s="43">
        <v>227.4</v>
      </c>
      <c r="J359" s="44">
        <v>0</v>
      </c>
      <c r="K359" s="45"/>
      <c r="L359" s="45"/>
      <c r="M359" s="44">
        <f>ROUND(ROUND(J359, 2)*I359, 2)</f>
        <v>0</v>
      </c>
      <c r="N359" s="45"/>
      <c r="O359" s="45"/>
      <c r="P359" s="44">
        <v>149.31</v>
      </c>
      <c r="Q359" s="45"/>
      <c r="R359" s="45"/>
      <c r="S359" s="44">
        <f>ROUND(ROUND(P359, 2)*I359, 2)</f>
        <v>33953.089999999997</v>
      </c>
      <c r="T359" s="45"/>
      <c r="U359" s="46"/>
      <c r="V359" s="9">
        <f>ROUND(ROUND(P359, 2)/1.2, 2)</f>
        <v>124.43</v>
      </c>
      <c r="Y359" s="9">
        <f>ROUND(S359 / 1.2, 2)</f>
        <v>28294.240000000002</v>
      </c>
      <c r="AD359" s="4" t="s">
        <v>1063</v>
      </c>
      <c r="AE359" s="4" t="s">
        <v>1061</v>
      </c>
      <c r="AF359" s="4" t="s">
        <v>1033</v>
      </c>
    </row>
    <row r="360" spans="1:35" ht="36" x14ac:dyDescent="0.3">
      <c r="A360" s="17" t="s">
        <v>1064</v>
      </c>
      <c r="B360" s="17"/>
      <c r="C360" s="34" t="s">
        <v>680</v>
      </c>
      <c r="D360" s="19"/>
      <c r="E360" s="19"/>
      <c r="F360" s="35" t="s">
        <v>364</v>
      </c>
      <c r="G360" s="36">
        <v>0.15</v>
      </c>
      <c r="H360" s="19"/>
      <c r="I360" s="37">
        <v>0</v>
      </c>
      <c r="J360" s="38">
        <v>88.8</v>
      </c>
      <c r="K360" s="39"/>
      <c r="L360" s="39"/>
      <c r="M360" s="38">
        <f>ROUND(ROUND(J360, 2)*I360, 2)</f>
        <v>0</v>
      </c>
      <c r="N360" s="39"/>
      <c r="O360" s="39"/>
      <c r="P360" s="38">
        <v>88.8</v>
      </c>
      <c r="Q360" s="39"/>
      <c r="R360" s="39"/>
      <c r="S360" s="38">
        <f>ROUND(ROUND(P360, 2)*I360, 2)</f>
        <v>0</v>
      </c>
      <c r="T360" s="39"/>
      <c r="U360" s="40"/>
      <c r="V360" s="9">
        <f>ROUND(ROUND(P360, 2)/1.2, 2)</f>
        <v>74</v>
      </c>
      <c r="Y360" s="9">
        <f>ROUND(S360 / 1.2, 2)</f>
        <v>0</v>
      </c>
      <c r="AD360" s="4" t="s">
        <v>1065</v>
      </c>
      <c r="AE360" s="4" t="s">
        <v>1066</v>
      </c>
      <c r="AF360" s="4" t="s">
        <v>683</v>
      </c>
    </row>
    <row r="361" spans="1:35" ht="36" x14ac:dyDescent="0.3">
      <c r="A361" s="23" t="s">
        <v>1067</v>
      </c>
      <c r="B361" s="23"/>
      <c r="C361" s="41" t="s">
        <v>680</v>
      </c>
      <c r="D361" s="25"/>
      <c r="E361" s="25"/>
      <c r="F361" s="42" t="s">
        <v>364</v>
      </c>
      <c r="G361" s="43">
        <v>0.15</v>
      </c>
      <c r="H361" s="25"/>
      <c r="I361" s="43">
        <v>85.275000000000006</v>
      </c>
      <c r="J361" s="44">
        <v>88.8</v>
      </c>
      <c r="K361" s="45"/>
      <c r="L361" s="45"/>
      <c r="M361" s="44">
        <f>ROUND(ROUND(J361, 2)*I361, 2)</f>
        <v>7572.42</v>
      </c>
      <c r="N361" s="45"/>
      <c r="O361" s="45"/>
      <c r="P361" s="44">
        <v>88.8</v>
      </c>
      <c r="Q361" s="45"/>
      <c r="R361" s="45"/>
      <c r="S361" s="44">
        <f>ROUND(ROUND(P361, 2)*I361, 2)</f>
        <v>7572.42</v>
      </c>
      <c r="T361" s="45"/>
      <c r="U361" s="46"/>
      <c r="V361" s="9">
        <f>ROUND(ROUND(P361, 2)/1.2, 2)</f>
        <v>74</v>
      </c>
      <c r="Y361" s="9">
        <f>ROUND(S361 / 1.2, 2)</f>
        <v>6310.35</v>
      </c>
      <c r="AD361" s="4" t="s">
        <v>1068</v>
      </c>
      <c r="AE361" s="4" t="s">
        <v>1066</v>
      </c>
      <c r="AF361" s="4" t="s">
        <v>683</v>
      </c>
    </row>
    <row r="362" spans="1:35" ht="36" x14ac:dyDescent="0.3">
      <c r="A362" s="17" t="s">
        <v>1069</v>
      </c>
      <c r="B362" s="17" t="s">
        <v>1022</v>
      </c>
      <c r="C362" s="18" t="s">
        <v>1023</v>
      </c>
      <c r="D362" s="19"/>
      <c r="E362" s="19" t="s">
        <v>1070</v>
      </c>
      <c r="F362" s="19" t="s">
        <v>61</v>
      </c>
      <c r="G362" s="20">
        <v>1</v>
      </c>
      <c r="H362" s="19"/>
      <c r="I362" s="21">
        <v>0</v>
      </c>
      <c r="J362" s="22">
        <v>13.32</v>
      </c>
      <c r="K362" s="22">
        <v>464</v>
      </c>
      <c r="L362" s="22">
        <f>J362+ROUND(K362, 2)</f>
        <v>477.32</v>
      </c>
      <c r="M362" s="22">
        <v>0</v>
      </c>
      <c r="N362" s="22">
        <v>0</v>
      </c>
      <c r="O362" s="22">
        <f>M362+N362</f>
        <v>0</v>
      </c>
      <c r="P362" s="22">
        <v>73.040000000000006</v>
      </c>
      <c r="Q362" s="22">
        <v>464</v>
      </c>
      <c r="R362" s="22">
        <f>P362+ROUND(Q362, 2)</f>
        <v>537.04</v>
      </c>
      <c r="S362" s="22">
        <v>0</v>
      </c>
      <c r="T362" s="22">
        <v>0</v>
      </c>
      <c r="U362" s="22">
        <f>S362+T362</f>
        <v>0</v>
      </c>
      <c r="V362" s="9">
        <f>ROUND(P362 / 1.2, 2)</f>
        <v>60.87</v>
      </c>
      <c r="W362" s="9">
        <f>ROUND(Q362 / 1.2, 2)</f>
        <v>386.67</v>
      </c>
      <c r="X362" s="9">
        <f>ROUND(R362 / 1.2, 2)</f>
        <v>447.53</v>
      </c>
      <c r="Y362" s="9">
        <f>ROUND(S362 / 1.2, 2)</f>
        <v>0</v>
      </c>
      <c r="Z362" s="9">
        <f>ROUND(T362 / 1.2, 2)</f>
        <v>0</v>
      </c>
      <c r="AA362" s="9">
        <f>Y362+Z362</f>
        <v>0</v>
      </c>
      <c r="AD362" s="4">
        <v>320320164</v>
      </c>
      <c r="AE362" s="4">
        <v>26813830</v>
      </c>
      <c r="AG362" s="4" t="s">
        <v>1025</v>
      </c>
      <c r="AH362" s="4" t="s">
        <v>1026</v>
      </c>
      <c r="AI362" s="4" t="s">
        <v>338</v>
      </c>
    </row>
    <row r="363" spans="1:35" ht="36" x14ac:dyDescent="0.3">
      <c r="A363" s="23" t="s">
        <v>1071</v>
      </c>
      <c r="B363" s="23" t="s">
        <v>1022</v>
      </c>
      <c r="C363" s="24" t="s">
        <v>1023</v>
      </c>
      <c r="D363" s="25"/>
      <c r="E363" s="25" t="s">
        <v>1070</v>
      </c>
      <c r="F363" s="25" t="s">
        <v>61</v>
      </c>
      <c r="G363" s="26">
        <v>1</v>
      </c>
      <c r="H363" s="25"/>
      <c r="I363" s="26">
        <v>932.2</v>
      </c>
      <c r="J363" s="27">
        <v>13.32</v>
      </c>
      <c r="K363" s="27">
        <v>464</v>
      </c>
      <c r="L363" s="27">
        <v>464</v>
      </c>
      <c r="M363" s="27">
        <v>12416.9</v>
      </c>
      <c r="N363" s="27">
        <v>432540.8</v>
      </c>
      <c r="O363" s="27"/>
      <c r="P363" s="27">
        <v>73.040000000000006</v>
      </c>
      <c r="Q363" s="27">
        <v>464</v>
      </c>
      <c r="R363" s="27">
        <v>464</v>
      </c>
      <c r="S363" s="27">
        <v>68087.89</v>
      </c>
      <c r="T363" s="27">
        <v>432540.8</v>
      </c>
      <c r="U363" s="27"/>
      <c r="V363" s="9"/>
      <c r="W363" s="9">
        <f>ROUND(Q363 / 1.2, 2)</f>
        <v>386.67</v>
      </c>
      <c r="X363" s="9">
        <f>ROUND(R363 / 1.2, 2)</f>
        <v>386.67</v>
      </c>
      <c r="Y363" s="9"/>
      <c r="Z363" s="9">
        <f>ROUND(T363 / 1.2, 2)</f>
        <v>360450.67</v>
      </c>
      <c r="AA363" s="9"/>
      <c r="AD363" s="4">
        <v>315454907</v>
      </c>
      <c r="AE363" s="4">
        <v>26813830</v>
      </c>
      <c r="AG363" s="4" t="s">
        <v>1025</v>
      </c>
      <c r="AH363" s="4" t="s">
        <v>1026</v>
      </c>
      <c r="AI363" s="4"/>
    </row>
    <row r="364" spans="1:35" ht="36" x14ac:dyDescent="0.3">
      <c r="A364" s="17" t="s">
        <v>1072</v>
      </c>
      <c r="B364" s="17"/>
      <c r="C364" s="34" t="s">
        <v>680</v>
      </c>
      <c r="D364" s="19"/>
      <c r="E364" s="19"/>
      <c r="F364" s="35" t="s">
        <v>364</v>
      </c>
      <c r="G364" s="36">
        <v>0.15</v>
      </c>
      <c r="H364" s="19"/>
      <c r="I364" s="37">
        <v>0</v>
      </c>
      <c r="J364" s="38">
        <v>88.8</v>
      </c>
      <c r="K364" s="39"/>
      <c r="L364" s="39"/>
      <c r="M364" s="38">
        <f>ROUND(ROUND(J364, 2)*I364, 2)</f>
        <v>0</v>
      </c>
      <c r="N364" s="39"/>
      <c r="O364" s="39"/>
      <c r="P364" s="38">
        <v>88.8</v>
      </c>
      <c r="Q364" s="39"/>
      <c r="R364" s="39"/>
      <c r="S364" s="38">
        <f>ROUND(ROUND(P364, 2)*I364, 2)</f>
        <v>0</v>
      </c>
      <c r="T364" s="39"/>
      <c r="U364" s="40"/>
      <c r="V364" s="9">
        <f>ROUND(ROUND(P364, 2)/1.2, 2)</f>
        <v>74</v>
      </c>
      <c r="Y364" s="9">
        <f>ROUND(S364 / 1.2, 2)</f>
        <v>0</v>
      </c>
      <c r="AD364" s="4" t="s">
        <v>1073</v>
      </c>
      <c r="AE364" s="4" t="s">
        <v>1074</v>
      </c>
      <c r="AF364" s="4" t="s">
        <v>683</v>
      </c>
    </row>
    <row r="365" spans="1:35" ht="36" x14ac:dyDescent="0.3">
      <c r="A365" s="23" t="s">
        <v>1075</v>
      </c>
      <c r="B365" s="23"/>
      <c r="C365" s="41" t="s">
        <v>680</v>
      </c>
      <c r="D365" s="25"/>
      <c r="E365" s="25"/>
      <c r="F365" s="42" t="s">
        <v>364</v>
      </c>
      <c r="G365" s="43">
        <v>0.15</v>
      </c>
      <c r="H365" s="25"/>
      <c r="I365" s="43">
        <v>139.83000000000001</v>
      </c>
      <c r="J365" s="44">
        <v>88.8</v>
      </c>
      <c r="K365" s="45"/>
      <c r="L365" s="45"/>
      <c r="M365" s="44">
        <f>ROUND(ROUND(J365, 2)*I365, 2)</f>
        <v>12416.9</v>
      </c>
      <c r="N365" s="45"/>
      <c r="O365" s="45"/>
      <c r="P365" s="44">
        <v>88.8</v>
      </c>
      <c r="Q365" s="45"/>
      <c r="R365" s="45"/>
      <c r="S365" s="44">
        <f>ROUND(ROUND(P365, 2)*I365, 2)</f>
        <v>12416.9</v>
      </c>
      <c r="T365" s="45"/>
      <c r="U365" s="46"/>
      <c r="V365" s="9">
        <f>ROUND(ROUND(P365, 2)/1.2, 2)</f>
        <v>74</v>
      </c>
      <c r="Y365" s="9">
        <f>ROUND(S365 / 1.2, 2)</f>
        <v>10347.42</v>
      </c>
      <c r="AD365" s="4" t="s">
        <v>1076</v>
      </c>
      <c r="AE365" s="4" t="s">
        <v>1074</v>
      </c>
      <c r="AF365" s="4" t="s">
        <v>683</v>
      </c>
    </row>
    <row r="366" spans="1:35" ht="90" x14ac:dyDescent="0.3">
      <c r="A366" s="17" t="s">
        <v>1077</v>
      </c>
      <c r="B366" s="17"/>
      <c r="C366" s="34" t="s">
        <v>1029</v>
      </c>
      <c r="D366" s="19"/>
      <c r="E366" s="19" t="s">
        <v>1078</v>
      </c>
      <c r="F366" s="35" t="s">
        <v>364</v>
      </c>
      <c r="G366" s="36">
        <v>0.4</v>
      </c>
      <c r="H366" s="19"/>
      <c r="I366" s="37">
        <v>0</v>
      </c>
      <c r="J366" s="38">
        <v>0</v>
      </c>
      <c r="K366" s="39"/>
      <c r="L366" s="39"/>
      <c r="M366" s="38">
        <f>ROUND(ROUND(J366, 2)*I366, 2)</f>
        <v>0</v>
      </c>
      <c r="N366" s="39"/>
      <c r="O366" s="39"/>
      <c r="P366" s="38">
        <v>149.31</v>
      </c>
      <c r="Q366" s="39"/>
      <c r="R366" s="39"/>
      <c r="S366" s="38">
        <f>ROUND(ROUND(P366, 2)*I366, 2)</f>
        <v>0</v>
      </c>
      <c r="T366" s="39"/>
      <c r="U366" s="40"/>
      <c r="V366" s="9">
        <f>ROUND(ROUND(P366, 2)/1.2, 2)</f>
        <v>124.43</v>
      </c>
      <c r="Y366" s="9">
        <f>ROUND(S366 / 1.2, 2)</f>
        <v>0</v>
      </c>
      <c r="AD366" s="4" t="s">
        <v>1079</v>
      </c>
      <c r="AE366" s="4" t="s">
        <v>1080</v>
      </c>
      <c r="AF366" s="4" t="s">
        <v>1033</v>
      </c>
    </row>
    <row r="367" spans="1:35" ht="90" x14ac:dyDescent="0.3">
      <c r="A367" s="23" t="s">
        <v>1081</v>
      </c>
      <c r="B367" s="23"/>
      <c r="C367" s="41" t="s">
        <v>1029</v>
      </c>
      <c r="D367" s="25"/>
      <c r="E367" s="25" t="s">
        <v>1078</v>
      </c>
      <c r="F367" s="42" t="s">
        <v>364</v>
      </c>
      <c r="G367" s="43">
        <v>0.4</v>
      </c>
      <c r="H367" s="25"/>
      <c r="I367" s="43">
        <v>372.88</v>
      </c>
      <c r="J367" s="44">
        <v>0</v>
      </c>
      <c r="K367" s="45"/>
      <c r="L367" s="45"/>
      <c r="M367" s="44">
        <f>ROUND(ROUND(J367, 2)*I367, 2)</f>
        <v>0</v>
      </c>
      <c r="N367" s="45"/>
      <c r="O367" s="45"/>
      <c r="P367" s="44">
        <v>149.31</v>
      </c>
      <c r="Q367" s="45"/>
      <c r="R367" s="45"/>
      <c r="S367" s="44">
        <f>ROUND(ROUND(P367, 2)*I367, 2)</f>
        <v>55674.71</v>
      </c>
      <c r="T367" s="45"/>
      <c r="U367" s="46"/>
      <c r="V367" s="9">
        <f>ROUND(ROUND(P367, 2)/1.2, 2)</f>
        <v>124.43</v>
      </c>
      <c r="Y367" s="9">
        <f>ROUND(S367 / 1.2, 2)</f>
        <v>46395.59</v>
      </c>
      <c r="AD367" s="4" t="s">
        <v>1082</v>
      </c>
      <c r="AE367" s="4" t="s">
        <v>1080</v>
      </c>
      <c r="AF367" s="4" t="s">
        <v>1033</v>
      </c>
    </row>
    <row r="368" spans="1:35" ht="16.95" customHeight="1" x14ac:dyDescent="0.3">
      <c r="A368" s="10" t="s">
        <v>1083</v>
      </c>
      <c r="B368" s="10" t="s">
        <v>1084</v>
      </c>
      <c r="C368" s="237" t="s">
        <v>1085</v>
      </c>
      <c r="D368" s="238"/>
      <c r="E368" s="238"/>
      <c r="F368" s="238"/>
      <c r="G368" s="238"/>
      <c r="H368" s="238"/>
      <c r="I368" s="239"/>
      <c r="M368" s="6">
        <f>SUM(M369,M373,M377,M379,M401,M423,M445)</f>
        <v>0</v>
      </c>
      <c r="N368" s="6">
        <f>SUM(N369,N373,N377,N379,N401,N423,N445)</f>
        <v>0</v>
      </c>
      <c r="O368" s="6">
        <f>SUM(O369,O373,O377,O379,O401,O423,O445)</f>
        <v>0</v>
      </c>
      <c r="S368" s="6">
        <f>SUM(S369,S373,S377,S379,S401,S423,S445)</f>
        <v>0</v>
      </c>
      <c r="T368" s="6">
        <f>SUM(T369,T373,T377,T379,T401,T423,T445)</f>
        <v>0</v>
      </c>
      <c r="U368" s="6">
        <f>SUM(U369,U373,U377,U379,U401,U423,U445)</f>
        <v>0</v>
      </c>
      <c r="Y368" s="9">
        <f>SUM(Y369,Y373,Y377,Y379,Y401,Y423,Y445)</f>
        <v>0</v>
      </c>
      <c r="Z368" s="9">
        <f>SUM(Z369,Z373,Z377,Z379,Z401,Z423,Z445)</f>
        <v>0</v>
      </c>
      <c r="AA368" s="9">
        <f>SUM(AA369,AA373,AA377,AA379,AA401,AA423,AA445)</f>
        <v>0</v>
      </c>
      <c r="AD368" s="4">
        <v>320320135</v>
      </c>
      <c r="AE368" s="4">
        <v>26813799</v>
      </c>
    </row>
    <row r="369" spans="1:35" ht="126" x14ac:dyDescent="0.3">
      <c r="A369" s="17" t="s">
        <v>1086</v>
      </c>
      <c r="B369" s="17" t="s">
        <v>1087</v>
      </c>
      <c r="C369" s="18" t="s">
        <v>1088</v>
      </c>
      <c r="D369" s="19"/>
      <c r="E369" s="19" t="s">
        <v>1089</v>
      </c>
      <c r="F369" s="19" t="s">
        <v>61</v>
      </c>
      <c r="G369" s="20">
        <v>1</v>
      </c>
      <c r="H369" s="19"/>
      <c r="I369" s="21">
        <v>0</v>
      </c>
      <c r="J369" s="22">
        <v>7126.9</v>
      </c>
      <c r="K369" s="22">
        <v>837</v>
      </c>
      <c r="L369" s="22">
        <f>J369+ROUND(K369, 2)</f>
        <v>7963.9</v>
      </c>
      <c r="M369" s="22">
        <v>0</v>
      </c>
      <c r="N369" s="22">
        <v>0</v>
      </c>
      <c r="O369" s="22">
        <f>M369+N369</f>
        <v>0</v>
      </c>
      <c r="P369" s="22">
        <v>7126.9</v>
      </c>
      <c r="Q369" s="22">
        <v>837</v>
      </c>
      <c r="R369" s="22">
        <f>P369+ROUND(Q369, 2)</f>
        <v>7963.9</v>
      </c>
      <c r="S369" s="22">
        <v>0</v>
      </c>
      <c r="T369" s="22">
        <v>0</v>
      </c>
      <c r="U369" s="22">
        <f>S369+T369</f>
        <v>0</v>
      </c>
      <c r="V369" s="9">
        <f>ROUND(P369 / 1.2, 2)</f>
        <v>5939.08</v>
      </c>
      <c r="W369" s="9">
        <f>ROUND(Q369 / 1.2, 2)</f>
        <v>697.5</v>
      </c>
      <c r="X369" s="9">
        <f>ROUND(R369 / 1.2, 2)</f>
        <v>6636.58</v>
      </c>
      <c r="Y369" s="9">
        <f>ROUND(S369 / 1.2, 2)</f>
        <v>0</v>
      </c>
      <c r="Z369" s="9">
        <f>ROUND(T369 / 1.2, 2)</f>
        <v>0</v>
      </c>
      <c r="AA369" s="9">
        <f>Y369+Z369</f>
        <v>0</v>
      </c>
      <c r="AD369" s="4">
        <v>320320137</v>
      </c>
      <c r="AE369" s="4">
        <v>26813825</v>
      </c>
      <c r="AG369" s="4" t="s">
        <v>1090</v>
      </c>
      <c r="AH369" s="4" t="s">
        <v>1091</v>
      </c>
      <c r="AI369" s="4" t="s">
        <v>338</v>
      </c>
    </row>
    <row r="370" spans="1:35" ht="126" x14ac:dyDescent="0.3">
      <c r="A370" s="23" t="s">
        <v>1092</v>
      </c>
      <c r="B370" s="23" t="s">
        <v>1087</v>
      </c>
      <c r="C370" s="24" t="s">
        <v>1088</v>
      </c>
      <c r="D370" s="25"/>
      <c r="E370" s="25" t="s">
        <v>1089</v>
      </c>
      <c r="F370" s="25" t="s">
        <v>61</v>
      </c>
      <c r="G370" s="26">
        <v>1</v>
      </c>
      <c r="H370" s="25"/>
      <c r="I370" s="26">
        <v>1034.5</v>
      </c>
      <c r="J370" s="27">
        <v>7126.9</v>
      </c>
      <c r="K370" s="27">
        <v>837</v>
      </c>
      <c r="L370" s="27">
        <v>837</v>
      </c>
      <c r="M370" s="27">
        <v>7372778.0499999998</v>
      </c>
      <c r="N370" s="27">
        <v>865876.5</v>
      </c>
      <c r="O370" s="27"/>
      <c r="P370" s="27">
        <v>7126.9</v>
      </c>
      <c r="Q370" s="27">
        <v>837</v>
      </c>
      <c r="R370" s="27">
        <v>837</v>
      </c>
      <c r="S370" s="27">
        <v>7372778.0499999998</v>
      </c>
      <c r="T370" s="27">
        <v>865876.5</v>
      </c>
      <c r="U370" s="27"/>
      <c r="V370" s="9"/>
      <c r="W370" s="9">
        <f>ROUND(Q370 / 1.2, 2)</f>
        <v>697.5</v>
      </c>
      <c r="X370" s="9">
        <f>ROUND(R370 / 1.2, 2)</f>
        <v>697.5</v>
      </c>
      <c r="Y370" s="9"/>
      <c r="Z370" s="9">
        <f>ROUND(T370 / 1.2, 2)</f>
        <v>721563.75</v>
      </c>
      <c r="AA370" s="9"/>
      <c r="AD370" s="4">
        <v>315454910</v>
      </c>
      <c r="AE370" s="4">
        <v>26813825</v>
      </c>
      <c r="AG370" s="4" t="s">
        <v>1090</v>
      </c>
      <c r="AH370" s="4" t="s">
        <v>1091</v>
      </c>
      <c r="AI370" s="4"/>
    </row>
    <row r="371" spans="1:35" ht="36" x14ac:dyDescent="0.3">
      <c r="A371" s="17" t="s">
        <v>1093</v>
      </c>
      <c r="B371" s="17"/>
      <c r="C371" s="34" t="s">
        <v>1094</v>
      </c>
      <c r="D371" s="19"/>
      <c r="E371" s="19"/>
      <c r="F371" s="35" t="s">
        <v>61</v>
      </c>
      <c r="G371" s="36">
        <v>1.1000000000000001</v>
      </c>
      <c r="H371" s="19"/>
      <c r="I371" s="48">
        <v>0</v>
      </c>
      <c r="J371" s="38">
        <v>6479</v>
      </c>
      <c r="K371" s="39"/>
      <c r="L371" s="39"/>
      <c r="M371" s="38">
        <f>ROUND(ROUND(J371, 2)*I371, 2)</f>
        <v>0</v>
      </c>
      <c r="N371" s="39"/>
      <c r="O371" s="39"/>
      <c r="P371" s="38">
        <v>6479</v>
      </c>
      <c r="Q371" s="39"/>
      <c r="R371" s="39"/>
      <c r="S371" s="38">
        <f>ROUND(ROUND(P371, 2)*I371, 2)</f>
        <v>0</v>
      </c>
      <c r="T371" s="39"/>
      <c r="U371" s="40"/>
      <c r="V371" s="9">
        <f>ROUND(ROUND(P371, 2)/1.2, 2)</f>
        <v>5399.17</v>
      </c>
      <c r="Y371" s="9">
        <f>ROUND(S371 / 1.2, 2)</f>
        <v>0</v>
      </c>
      <c r="AD371" s="4" t="s">
        <v>1095</v>
      </c>
      <c r="AE371" s="4" t="s">
        <v>1096</v>
      </c>
      <c r="AF371" s="4" t="s">
        <v>1097</v>
      </c>
    </row>
    <row r="372" spans="1:35" ht="36" x14ac:dyDescent="0.3">
      <c r="A372" s="23" t="s">
        <v>1098</v>
      </c>
      <c r="B372" s="23"/>
      <c r="C372" s="41" t="s">
        <v>1094</v>
      </c>
      <c r="D372" s="25"/>
      <c r="E372" s="25"/>
      <c r="F372" s="42" t="s">
        <v>61</v>
      </c>
      <c r="G372" s="43">
        <v>1.1000000000000001</v>
      </c>
      <c r="H372" s="25"/>
      <c r="I372" s="50">
        <v>1137.95</v>
      </c>
      <c r="J372" s="44">
        <v>6479</v>
      </c>
      <c r="K372" s="45"/>
      <c r="L372" s="45"/>
      <c r="M372" s="44">
        <f>ROUND(ROUND(J372, 2)*I372, 2)</f>
        <v>7372778.0499999998</v>
      </c>
      <c r="N372" s="45"/>
      <c r="O372" s="45"/>
      <c r="P372" s="44">
        <v>6479</v>
      </c>
      <c r="Q372" s="45"/>
      <c r="R372" s="45"/>
      <c r="S372" s="44">
        <f>ROUND(ROUND(P372, 2)*I372, 2)</f>
        <v>7372778.0499999998</v>
      </c>
      <c r="T372" s="45"/>
      <c r="U372" s="46"/>
      <c r="V372" s="9">
        <f>ROUND(ROUND(P372, 2)/1.2, 2)</f>
        <v>5399.17</v>
      </c>
      <c r="Y372" s="9">
        <f>ROUND(S372 / 1.2, 2)</f>
        <v>6143981.71</v>
      </c>
      <c r="AD372" s="4" t="s">
        <v>1099</v>
      </c>
      <c r="AE372" s="4" t="s">
        <v>1096</v>
      </c>
      <c r="AF372" s="4" t="s">
        <v>1097</v>
      </c>
    </row>
    <row r="373" spans="1:35" ht="144" x14ac:dyDescent="0.3">
      <c r="A373" s="17" t="s">
        <v>1100</v>
      </c>
      <c r="B373" s="17" t="s">
        <v>1087</v>
      </c>
      <c r="C373" s="18" t="s">
        <v>1088</v>
      </c>
      <c r="D373" s="19"/>
      <c r="E373" s="19" t="s">
        <v>1101</v>
      </c>
      <c r="F373" s="19" t="s">
        <v>61</v>
      </c>
      <c r="G373" s="20">
        <v>1</v>
      </c>
      <c r="H373" s="19"/>
      <c r="I373" s="21">
        <v>0</v>
      </c>
      <c r="J373" s="22">
        <v>1280.4000000000001</v>
      </c>
      <c r="K373" s="22">
        <v>837</v>
      </c>
      <c r="L373" s="22">
        <f>J373+ROUND(K373, 2)</f>
        <v>2117.4</v>
      </c>
      <c r="M373" s="22">
        <v>0</v>
      </c>
      <c r="N373" s="22">
        <v>0</v>
      </c>
      <c r="O373" s="22">
        <f>M373+N373</f>
        <v>0</v>
      </c>
      <c r="P373" s="22">
        <v>1280.4000000000001</v>
      </c>
      <c r="Q373" s="22">
        <v>837</v>
      </c>
      <c r="R373" s="22">
        <f>P373+ROUND(Q373, 2)</f>
        <v>2117.4</v>
      </c>
      <c r="S373" s="22">
        <v>0</v>
      </c>
      <c r="T373" s="22">
        <v>0</v>
      </c>
      <c r="U373" s="22">
        <f>S373+T373</f>
        <v>0</v>
      </c>
      <c r="V373" s="9">
        <f>ROUND(P373 / 1.2, 2)</f>
        <v>1067</v>
      </c>
      <c r="W373" s="9">
        <f>ROUND(Q373 / 1.2, 2)</f>
        <v>697.5</v>
      </c>
      <c r="X373" s="9">
        <f>ROUND(R373 / 1.2, 2)</f>
        <v>1764.5</v>
      </c>
      <c r="Y373" s="9">
        <f>ROUND(S373 / 1.2, 2)</f>
        <v>0</v>
      </c>
      <c r="Z373" s="9">
        <f>ROUND(T373 / 1.2, 2)</f>
        <v>0</v>
      </c>
      <c r="AA373" s="9">
        <f>Y373+Z373</f>
        <v>0</v>
      </c>
      <c r="AD373" s="4">
        <v>320320165</v>
      </c>
      <c r="AE373" s="4">
        <v>26813853</v>
      </c>
      <c r="AG373" s="4" t="s">
        <v>1090</v>
      </c>
      <c r="AH373" s="4" t="s">
        <v>1091</v>
      </c>
      <c r="AI373" s="4" t="s">
        <v>338</v>
      </c>
    </row>
    <row r="374" spans="1:35" ht="144" x14ac:dyDescent="0.3">
      <c r="A374" s="23" t="s">
        <v>1102</v>
      </c>
      <c r="B374" s="23" t="s">
        <v>1087</v>
      </c>
      <c r="C374" s="24" t="s">
        <v>1088</v>
      </c>
      <c r="D374" s="25"/>
      <c r="E374" s="25" t="s">
        <v>1101</v>
      </c>
      <c r="F374" s="25" t="s">
        <v>61</v>
      </c>
      <c r="G374" s="26">
        <v>1</v>
      </c>
      <c r="H374" s="25"/>
      <c r="I374" s="26">
        <v>180.2</v>
      </c>
      <c r="J374" s="27">
        <v>1280.4000000000001</v>
      </c>
      <c r="K374" s="27">
        <v>837</v>
      </c>
      <c r="L374" s="27">
        <v>837</v>
      </c>
      <c r="M374" s="27">
        <v>230728.08</v>
      </c>
      <c r="N374" s="27">
        <v>150827.4</v>
      </c>
      <c r="O374" s="27"/>
      <c r="P374" s="27">
        <v>1280.4000000000001</v>
      </c>
      <c r="Q374" s="27">
        <v>837</v>
      </c>
      <c r="R374" s="27">
        <v>837</v>
      </c>
      <c r="S374" s="27">
        <v>230728.08</v>
      </c>
      <c r="T374" s="27">
        <v>150827.4</v>
      </c>
      <c r="U374" s="27"/>
      <c r="V374" s="9"/>
      <c r="W374" s="9">
        <f>ROUND(Q374 / 1.2, 2)</f>
        <v>697.5</v>
      </c>
      <c r="X374" s="9">
        <f>ROUND(R374 / 1.2, 2)</f>
        <v>697.5</v>
      </c>
      <c r="Y374" s="9"/>
      <c r="Z374" s="9">
        <f>ROUND(T374 / 1.2, 2)</f>
        <v>125689.5</v>
      </c>
      <c r="AA374" s="9"/>
      <c r="AD374" s="4">
        <v>315454911</v>
      </c>
      <c r="AE374" s="4">
        <v>26813853</v>
      </c>
      <c r="AG374" s="4" t="s">
        <v>1090</v>
      </c>
      <c r="AH374" s="4" t="s">
        <v>1091</v>
      </c>
      <c r="AI374" s="4"/>
    </row>
    <row r="375" spans="1:35" ht="18" x14ac:dyDescent="0.3">
      <c r="A375" s="17" t="s">
        <v>1103</v>
      </c>
      <c r="B375" s="17"/>
      <c r="C375" s="34" t="s">
        <v>1104</v>
      </c>
      <c r="D375" s="19"/>
      <c r="E375" s="19"/>
      <c r="F375" s="35" t="s">
        <v>61</v>
      </c>
      <c r="G375" s="36">
        <v>1.1000000000000001</v>
      </c>
      <c r="H375" s="19"/>
      <c r="I375" s="48">
        <v>0</v>
      </c>
      <c r="J375" s="38">
        <v>1164</v>
      </c>
      <c r="K375" s="39"/>
      <c r="L375" s="39"/>
      <c r="M375" s="38">
        <f>ROUND(ROUND(J375, 2)*I375, 2)</f>
        <v>0</v>
      </c>
      <c r="N375" s="39"/>
      <c r="O375" s="39"/>
      <c r="P375" s="38">
        <v>1164</v>
      </c>
      <c r="Q375" s="39"/>
      <c r="R375" s="39"/>
      <c r="S375" s="38">
        <f>ROUND(ROUND(P375, 2)*I375, 2)</f>
        <v>0</v>
      </c>
      <c r="T375" s="39"/>
      <c r="U375" s="40"/>
      <c r="V375" s="9">
        <f>ROUND(ROUND(P375, 2)/1.2, 2)</f>
        <v>970</v>
      </c>
      <c r="Y375" s="9">
        <f>ROUND(S375 / 1.2, 2)</f>
        <v>0</v>
      </c>
      <c r="AD375" s="4" t="s">
        <v>1105</v>
      </c>
      <c r="AE375" s="4" t="s">
        <v>1106</v>
      </c>
      <c r="AF375" s="4" t="s">
        <v>1107</v>
      </c>
    </row>
    <row r="376" spans="1:35" ht="18" x14ac:dyDescent="0.3">
      <c r="A376" s="23" t="s">
        <v>1108</v>
      </c>
      <c r="B376" s="23"/>
      <c r="C376" s="41" t="s">
        <v>1104</v>
      </c>
      <c r="D376" s="25"/>
      <c r="E376" s="25"/>
      <c r="F376" s="42" t="s">
        <v>61</v>
      </c>
      <c r="G376" s="43">
        <v>1.1000000000000001</v>
      </c>
      <c r="H376" s="25"/>
      <c r="I376" s="50">
        <v>198.22</v>
      </c>
      <c r="J376" s="44">
        <v>1164</v>
      </c>
      <c r="K376" s="45"/>
      <c r="L376" s="45"/>
      <c r="M376" s="44">
        <f>ROUND(ROUND(J376, 2)*I376, 2)</f>
        <v>230728.08</v>
      </c>
      <c r="N376" s="45"/>
      <c r="O376" s="45"/>
      <c r="P376" s="44">
        <v>1164</v>
      </c>
      <c r="Q376" s="45"/>
      <c r="R376" s="45"/>
      <c r="S376" s="44">
        <f>ROUND(ROUND(P376, 2)*I376, 2)</f>
        <v>230728.08</v>
      </c>
      <c r="T376" s="45"/>
      <c r="U376" s="46"/>
      <c r="V376" s="9">
        <f>ROUND(ROUND(P376, 2)/1.2, 2)</f>
        <v>970</v>
      </c>
      <c r="Y376" s="9">
        <f>ROUND(S376 / 1.2, 2)</f>
        <v>192273.4</v>
      </c>
      <c r="AD376" s="4" t="s">
        <v>1109</v>
      </c>
      <c r="AE376" s="4" t="s">
        <v>1106</v>
      </c>
      <c r="AF376" s="4" t="s">
        <v>1107</v>
      </c>
    </row>
    <row r="377" spans="1:35" ht="54" x14ac:dyDescent="0.3">
      <c r="A377" s="17" t="s">
        <v>1110</v>
      </c>
      <c r="B377" s="17" t="s">
        <v>1111</v>
      </c>
      <c r="C377" s="18" t="s">
        <v>1112</v>
      </c>
      <c r="D377" s="19"/>
      <c r="E377" s="19" t="s">
        <v>1113</v>
      </c>
      <c r="F377" s="19" t="s">
        <v>61</v>
      </c>
      <c r="G377" s="20">
        <v>1</v>
      </c>
      <c r="H377" s="19"/>
      <c r="I377" s="21">
        <v>0</v>
      </c>
      <c r="J377" s="22">
        <v>0</v>
      </c>
      <c r="K377" s="22">
        <v>121</v>
      </c>
      <c r="L377" s="22">
        <f>J377+ROUND(K377, 2)</f>
        <v>121</v>
      </c>
      <c r="M377" s="22">
        <v>0</v>
      </c>
      <c r="N377" s="22">
        <v>0</v>
      </c>
      <c r="O377" s="22">
        <f>M377+N377</f>
        <v>0</v>
      </c>
      <c r="P377" s="22">
        <v>0</v>
      </c>
      <c r="Q377" s="22">
        <v>121</v>
      </c>
      <c r="R377" s="22">
        <f>P377+ROUND(Q377, 2)</f>
        <v>121</v>
      </c>
      <c r="S377" s="22">
        <v>0</v>
      </c>
      <c r="T377" s="22">
        <v>0</v>
      </c>
      <c r="U377" s="22">
        <f>S377+T377</f>
        <v>0</v>
      </c>
      <c r="V377" s="9"/>
      <c r="W377" s="9">
        <f t="shared" ref="W377:X380" si="98">ROUND(Q377 / 1.2, 2)</f>
        <v>100.83</v>
      </c>
      <c r="X377" s="9">
        <f t="shared" si="98"/>
        <v>100.83</v>
      </c>
      <c r="Y377" s="9"/>
      <c r="Z377" s="9">
        <f>ROUND(T377 / 1.2, 2)</f>
        <v>0</v>
      </c>
      <c r="AA377" s="9">
        <f>Y377+Z377</f>
        <v>0</v>
      </c>
      <c r="AD377" s="4">
        <v>320320139</v>
      </c>
      <c r="AE377" s="4">
        <v>26813821</v>
      </c>
      <c r="AG377" s="4" t="s">
        <v>1114</v>
      </c>
      <c r="AH377" s="4" t="s">
        <v>1115</v>
      </c>
      <c r="AI377" s="4" t="s">
        <v>338</v>
      </c>
    </row>
    <row r="378" spans="1:35" ht="54" x14ac:dyDescent="0.3">
      <c r="A378" s="23" t="s">
        <v>1116</v>
      </c>
      <c r="B378" s="23" t="s">
        <v>1111</v>
      </c>
      <c r="C378" s="24" t="s">
        <v>1112</v>
      </c>
      <c r="D378" s="25"/>
      <c r="E378" s="25" t="s">
        <v>1113</v>
      </c>
      <c r="F378" s="25" t="s">
        <v>61</v>
      </c>
      <c r="G378" s="26">
        <v>1</v>
      </c>
      <c r="H378" s="25"/>
      <c r="I378" s="26">
        <v>4271.5</v>
      </c>
      <c r="J378" s="27">
        <v>0</v>
      </c>
      <c r="K378" s="27">
        <v>121</v>
      </c>
      <c r="L378" s="27">
        <v>121</v>
      </c>
      <c r="M378" s="27">
        <v>0</v>
      </c>
      <c r="N378" s="27">
        <v>516851.5</v>
      </c>
      <c r="O378" s="27"/>
      <c r="P378" s="27">
        <v>0</v>
      </c>
      <c r="Q378" s="27">
        <v>121</v>
      </c>
      <c r="R378" s="27">
        <v>121</v>
      </c>
      <c r="S378" s="27">
        <v>0</v>
      </c>
      <c r="T378" s="27">
        <v>516851.5</v>
      </c>
      <c r="U378" s="27"/>
      <c r="V378" s="9"/>
      <c r="W378" s="9">
        <f t="shared" si="98"/>
        <v>100.83</v>
      </c>
      <c r="X378" s="9">
        <f t="shared" si="98"/>
        <v>100.83</v>
      </c>
      <c r="Y378" s="9"/>
      <c r="Z378" s="9">
        <f>ROUND(T378 / 1.2, 2)</f>
        <v>430709.58</v>
      </c>
      <c r="AA378" s="9"/>
      <c r="AD378" s="4">
        <v>315454913</v>
      </c>
      <c r="AE378" s="4">
        <v>26813821</v>
      </c>
      <c r="AG378" s="4" t="s">
        <v>1114</v>
      </c>
      <c r="AH378" s="4" t="s">
        <v>1115</v>
      </c>
      <c r="AI378" s="4"/>
    </row>
    <row r="379" spans="1:35" ht="90" x14ac:dyDescent="0.3">
      <c r="A379" s="17" t="s">
        <v>1117</v>
      </c>
      <c r="B379" s="17" t="s">
        <v>1118</v>
      </c>
      <c r="C379" s="18" t="s">
        <v>1119</v>
      </c>
      <c r="D379" s="19"/>
      <c r="E379" s="19" t="s">
        <v>1120</v>
      </c>
      <c r="F379" s="19" t="s">
        <v>61</v>
      </c>
      <c r="G379" s="20">
        <v>1</v>
      </c>
      <c r="H379" s="19"/>
      <c r="I379" s="21">
        <v>0</v>
      </c>
      <c r="J379" s="22">
        <v>584.54999999999995</v>
      </c>
      <c r="K379" s="22">
        <v>1379</v>
      </c>
      <c r="L379" s="22">
        <f>J379+ROUND(K379, 2)</f>
        <v>1963.55</v>
      </c>
      <c r="M379" s="22">
        <v>0</v>
      </c>
      <c r="N379" s="22">
        <v>0</v>
      </c>
      <c r="O379" s="22">
        <f>M379+N379</f>
        <v>0</v>
      </c>
      <c r="P379" s="22">
        <v>584.54999999999995</v>
      </c>
      <c r="Q379" s="22">
        <v>1379</v>
      </c>
      <c r="R379" s="22">
        <f>P379+ROUND(Q379, 2)</f>
        <v>1963.55</v>
      </c>
      <c r="S379" s="22">
        <v>0</v>
      </c>
      <c r="T379" s="22">
        <v>0</v>
      </c>
      <c r="U379" s="22">
        <f>S379+T379</f>
        <v>0</v>
      </c>
      <c r="V379" s="9">
        <f>ROUND(P379 / 1.2, 2)</f>
        <v>487.13</v>
      </c>
      <c r="W379" s="9">
        <f t="shared" si="98"/>
        <v>1149.17</v>
      </c>
      <c r="X379" s="9">
        <f t="shared" si="98"/>
        <v>1636.29</v>
      </c>
      <c r="Y379" s="9">
        <f>ROUND(S379 / 1.2, 2)</f>
        <v>0</v>
      </c>
      <c r="Z379" s="9">
        <f>ROUND(T379 / 1.2, 2)</f>
        <v>0</v>
      </c>
      <c r="AA379" s="9">
        <f>Y379+Z379</f>
        <v>0</v>
      </c>
      <c r="AD379" s="4">
        <v>320320141</v>
      </c>
      <c r="AE379" s="4">
        <v>26813823</v>
      </c>
      <c r="AG379" s="4" t="s">
        <v>1121</v>
      </c>
      <c r="AH379" s="4" t="s">
        <v>1122</v>
      </c>
      <c r="AI379" s="4" t="s">
        <v>338</v>
      </c>
    </row>
    <row r="380" spans="1:35" ht="90" x14ac:dyDescent="0.3">
      <c r="A380" s="23" t="s">
        <v>1123</v>
      </c>
      <c r="B380" s="23" t="s">
        <v>1118</v>
      </c>
      <c r="C380" s="24" t="s">
        <v>1119</v>
      </c>
      <c r="D380" s="25"/>
      <c r="E380" s="25" t="s">
        <v>1120</v>
      </c>
      <c r="F380" s="25" t="s">
        <v>61</v>
      </c>
      <c r="G380" s="26">
        <v>1</v>
      </c>
      <c r="H380" s="25"/>
      <c r="I380" s="26">
        <v>2326.3000000000002</v>
      </c>
      <c r="J380" s="27">
        <v>584.54999999999995</v>
      </c>
      <c r="K380" s="27">
        <v>1379</v>
      </c>
      <c r="L380" s="27">
        <v>1379</v>
      </c>
      <c r="M380" s="27">
        <v>1359838.67</v>
      </c>
      <c r="N380" s="27">
        <v>3207967.7</v>
      </c>
      <c r="O380" s="27"/>
      <c r="P380" s="27">
        <v>584.54999999999995</v>
      </c>
      <c r="Q380" s="27">
        <v>1379</v>
      </c>
      <c r="R380" s="27">
        <v>1379</v>
      </c>
      <c r="S380" s="27">
        <v>1359838.67</v>
      </c>
      <c r="T380" s="27">
        <v>3207967.7</v>
      </c>
      <c r="U380" s="27"/>
      <c r="V380" s="9"/>
      <c r="W380" s="9">
        <f t="shared" si="98"/>
        <v>1149.17</v>
      </c>
      <c r="X380" s="9">
        <f t="shared" si="98"/>
        <v>1149.17</v>
      </c>
      <c r="Y380" s="9"/>
      <c r="Z380" s="9">
        <f>ROUND(T380 / 1.2, 2)</f>
        <v>2673306.42</v>
      </c>
      <c r="AA380" s="9"/>
      <c r="AD380" s="4">
        <v>315454915</v>
      </c>
      <c r="AE380" s="4">
        <v>26813823</v>
      </c>
      <c r="AG380" s="4" t="s">
        <v>1121</v>
      </c>
      <c r="AH380" s="4" t="s">
        <v>1122</v>
      </c>
      <c r="AI380" s="4"/>
    </row>
    <row r="381" spans="1:35" ht="18" x14ac:dyDescent="0.3">
      <c r="A381" s="17" t="s">
        <v>1124</v>
      </c>
      <c r="B381" s="17"/>
      <c r="C381" s="34" t="s">
        <v>1125</v>
      </c>
      <c r="D381" s="19"/>
      <c r="E381" s="19"/>
      <c r="F381" s="35" t="s">
        <v>356</v>
      </c>
      <c r="G381" s="36">
        <v>15</v>
      </c>
      <c r="H381" s="19"/>
      <c r="I381" s="37">
        <v>0</v>
      </c>
      <c r="J381" s="38">
        <v>0.95</v>
      </c>
      <c r="K381" s="39"/>
      <c r="L381" s="39"/>
      <c r="M381" s="38">
        <f t="shared" ref="M381:M400" si="99">ROUND(ROUND(J381, 2)*I381, 2)</f>
        <v>0</v>
      </c>
      <c r="N381" s="39"/>
      <c r="O381" s="39"/>
      <c r="P381" s="38">
        <v>0.95</v>
      </c>
      <c r="Q381" s="39"/>
      <c r="R381" s="39"/>
      <c r="S381" s="38">
        <f t="shared" ref="S381:S400" si="100">ROUND(ROUND(P381, 2)*I381, 2)</f>
        <v>0</v>
      </c>
      <c r="T381" s="39"/>
      <c r="U381" s="40"/>
      <c r="V381" s="9">
        <f t="shared" ref="V381:V400" si="101">ROUND(ROUND(P381, 2)/1.2, 2)</f>
        <v>0.79</v>
      </c>
      <c r="Y381" s="9">
        <f t="shared" ref="Y381:Y401" si="102">ROUND(S381 / 1.2, 2)</f>
        <v>0</v>
      </c>
      <c r="AD381" s="4" t="s">
        <v>1126</v>
      </c>
      <c r="AE381" s="4" t="s">
        <v>1127</v>
      </c>
      <c r="AF381" s="4" t="s">
        <v>1128</v>
      </c>
    </row>
    <row r="382" spans="1:35" ht="18" x14ac:dyDescent="0.3">
      <c r="A382" s="23" t="s">
        <v>1129</v>
      </c>
      <c r="B382" s="23"/>
      <c r="C382" s="41" t="s">
        <v>1125</v>
      </c>
      <c r="D382" s="25"/>
      <c r="E382" s="25"/>
      <c r="F382" s="42" t="s">
        <v>356</v>
      </c>
      <c r="G382" s="43">
        <v>15</v>
      </c>
      <c r="H382" s="25"/>
      <c r="I382" s="43">
        <v>34894.5</v>
      </c>
      <c r="J382" s="44">
        <v>0.95</v>
      </c>
      <c r="K382" s="45"/>
      <c r="L382" s="45"/>
      <c r="M382" s="44">
        <f t="shared" si="99"/>
        <v>33149.78</v>
      </c>
      <c r="N382" s="45"/>
      <c r="O382" s="45"/>
      <c r="P382" s="44">
        <v>0.95</v>
      </c>
      <c r="Q382" s="45"/>
      <c r="R382" s="45"/>
      <c r="S382" s="44">
        <f t="shared" si="100"/>
        <v>33149.78</v>
      </c>
      <c r="T382" s="45"/>
      <c r="U382" s="46"/>
      <c r="V382" s="9">
        <f t="shared" si="101"/>
        <v>0.79</v>
      </c>
      <c r="Y382" s="9">
        <f t="shared" si="102"/>
        <v>27624.82</v>
      </c>
      <c r="AD382" s="4" t="s">
        <v>1130</v>
      </c>
      <c r="AE382" s="4" t="s">
        <v>1127</v>
      </c>
      <c r="AF382" s="4" t="s">
        <v>1128</v>
      </c>
    </row>
    <row r="383" spans="1:35" ht="18" x14ac:dyDescent="0.3">
      <c r="A383" s="17" t="s">
        <v>1131</v>
      </c>
      <c r="B383" s="17"/>
      <c r="C383" s="34" t="s">
        <v>1132</v>
      </c>
      <c r="D383" s="19"/>
      <c r="E383" s="19"/>
      <c r="F383" s="35" t="s">
        <v>364</v>
      </c>
      <c r="G383" s="36">
        <v>0.35</v>
      </c>
      <c r="H383" s="19"/>
      <c r="I383" s="37">
        <v>0</v>
      </c>
      <c r="J383" s="38">
        <v>55</v>
      </c>
      <c r="K383" s="39"/>
      <c r="L383" s="39"/>
      <c r="M383" s="38">
        <f t="shared" si="99"/>
        <v>0</v>
      </c>
      <c r="N383" s="39"/>
      <c r="O383" s="39"/>
      <c r="P383" s="38">
        <v>55</v>
      </c>
      <c r="Q383" s="39"/>
      <c r="R383" s="39"/>
      <c r="S383" s="38">
        <f t="shared" si="100"/>
        <v>0</v>
      </c>
      <c r="T383" s="39"/>
      <c r="U383" s="40"/>
      <c r="V383" s="9">
        <f t="shared" si="101"/>
        <v>45.83</v>
      </c>
      <c r="Y383" s="9">
        <f t="shared" si="102"/>
        <v>0</v>
      </c>
      <c r="AD383" s="4" t="s">
        <v>1133</v>
      </c>
      <c r="AE383" s="4" t="s">
        <v>1134</v>
      </c>
      <c r="AF383" s="4" t="s">
        <v>1135</v>
      </c>
    </row>
    <row r="384" spans="1:35" ht="18" x14ac:dyDescent="0.3">
      <c r="A384" s="23" t="s">
        <v>1136</v>
      </c>
      <c r="B384" s="23"/>
      <c r="C384" s="41" t="s">
        <v>1132</v>
      </c>
      <c r="D384" s="25"/>
      <c r="E384" s="25"/>
      <c r="F384" s="42" t="s">
        <v>364</v>
      </c>
      <c r="G384" s="43">
        <v>0.35</v>
      </c>
      <c r="H384" s="25"/>
      <c r="I384" s="43">
        <v>814.20500000000004</v>
      </c>
      <c r="J384" s="44">
        <v>55</v>
      </c>
      <c r="K384" s="45"/>
      <c r="L384" s="45"/>
      <c r="M384" s="44">
        <f t="shared" si="99"/>
        <v>44781.279999999999</v>
      </c>
      <c r="N384" s="45"/>
      <c r="O384" s="45"/>
      <c r="P384" s="44">
        <v>55</v>
      </c>
      <c r="Q384" s="45"/>
      <c r="R384" s="45"/>
      <c r="S384" s="44">
        <f t="shared" si="100"/>
        <v>44781.279999999999</v>
      </c>
      <c r="T384" s="45"/>
      <c r="U384" s="46"/>
      <c r="V384" s="9">
        <f t="shared" si="101"/>
        <v>45.83</v>
      </c>
      <c r="Y384" s="9">
        <f t="shared" si="102"/>
        <v>37317.730000000003</v>
      </c>
      <c r="AD384" s="4" t="s">
        <v>1137</v>
      </c>
      <c r="AE384" s="4" t="s">
        <v>1134</v>
      </c>
      <c r="AF384" s="4" t="s">
        <v>1135</v>
      </c>
    </row>
    <row r="385" spans="1:32" ht="18" x14ac:dyDescent="0.3">
      <c r="A385" s="17" t="s">
        <v>1138</v>
      </c>
      <c r="B385" s="17"/>
      <c r="C385" s="34" t="s">
        <v>1139</v>
      </c>
      <c r="D385" s="19"/>
      <c r="E385" s="19"/>
      <c r="F385" s="35" t="s">
        <v>356</v>
      </c>
      <c r="G385" s="36">
        <v>0.3</v>
      </c>
      <c r="H385" s="19"/>
      <c r="I385" s="37">
        <v>0</v>
      </c>
      <c r="J385" s="38">
        <v>5.6</v>
      </c>
      <c r="K385" s="39"/>
      <c r="L385" s="39"/>
      <c r="M385" s="38">
        <f t="shared" si="99"/>
        <v>0</v>
      </c>
      <c r="N385" s="39"/>
      <c r="O385" s="39"/>
      <c r="P385" s="38">
        <v>5.6</v>
      </c>
      <c r="Q385" s="39"/>
      <c r="R385" s="39"/>
      <c r="S385" s="38">
        <f t="shared" si="100"/>
        <v>0</v>
      </c>
      <c r="T385" s="39"/>
      <c r="U385" s="40"/>
      <c r="V385" s="9">
        <f t="shared" si="101"/>
        <v>4.67</v>
      </c>
      <c r="Y385" s="9">
        <f t="shared" si="102"/>
        <v>0</v>
      </c>
      <c r="AD385" s="4" t="s">
        <v>1140</v>
      </c>
      <c r="AE385" s="4" t="s">
        <v>1141</v>
      </c>
      <c r="AF385" s="4" t="s">
        <v>1142</v>
      </c>
    </row>
    <row r="386" spans="1:32" ht="18" x14ac:dyDescent="0.3">
      <c r="A386" s="23" t="s">
        <v>1143</v>
      </c>
      <c r="B386" s="23"/>
      <c r="C386" s="41" t="s">
        <v>1139</v>
      </c>
      <c r="D386" s="25"/>
      <c r="E386" s="25"/>
      <c r="F386" s="42" t="s">
        <v>356</v>
      </c>
      <c r="G386" s="43">
        <v>0.3</v>
      </c>
      <c r="H386" s="25"/>
      <c r="I386" s="43">
        <v>697.89</v>
      </c>
      <c r="J386" s="44">
        <v>5.6</v>
      </c>
      <c r="K386" s="45"/>
      <c r="L386" s="45"/>
      <c r="M386" s="44">
        <f t="shared" si="99"/>
        <v>3908.18</v>
      </c>
      <c r="N386" s="45"/>
      <c r="O386" s="45"/>
      <c r="P386" s="44">
        <v>5.6</v>
      </c>
      <c r="Q386" s="45"/>
      <c r="R386" s="45"/>
      <c r="S386" s="44">
        <f t="shared" si="100"/>
        <v>3908.18</v>
      </c>
      <c r="T386" s="45"/>
      <c r="U386" s="46"/>
      <c r="V386" s="9">
        <f t="shared" si="101"/>
        <v>4.67</v>
      </c>
      <c r="Y386" s="9">
        <f t="shared" si="102"/>
        <v>3256.82</v>
      </c>
      <c r="AD386" s="4" t="s">
        <v>1144</v>
      </c>
      <c r="AE386" s="4" t="s">
        <v>1141</v>
      </c>
      <c r="AF386" s="4" t="s">
        <v>1142</v>
      </c>
    </row>
    <row r="387" spans="1:32" ht="36" x14ac:dyDescent="0.3">
      <c r="A387" s="17" t="s">
        <v>1145</v>
      </c>
      <c r="B387" s="17"/>
      <c r="C387" s="34" t="s">
        <v>1146</v>
      </c>
      <c r="D387" s="19"/>
      <c r="E387" s="19"/>
      <c r="F387" s="35" t="s">
        <v>356</v>
      </c>
      <c r="G387" s="36">
        <v>3.6</v>
      </c>
      <c r="H387" s="19"/>
      <c r="I387" s="37">
        <v>0</v>
      </c>
      <c r="J387" s="38">
        <v>15.9</v>
      </c>
      <c r="K387" s="39"/>
      <c r="L387" s="39"/>
      <c r="M387" s="38">
        <f t="shared" si="99"/>
        <v>0</v>
      </c>
      <c r="N387" s="39"/>
      <c r="O387" s="39"/>
      <c r="P387" s="38">
        <v>15.9</v>
      </c>
      <c r="Q387" s="39"/>
      <c r="R387" s="39"/>
      <c r="S387" s="38">
        <f t="shared" si="100"/>
        <v>0</v>
      </c>
      <c r="T387" s="39"/>
      <c r="U387" s="40"/>
      <c r="V387" s="9">
        <f t="shared" si="101"/>
        <v>13.25</v>
      </c>
      <c r="Y387" s="9">
        <f t="shared" si="102"/>
        <v>0</v>
      </c>
      <c r="AD387" s="4" t="s">
        <v>1147</v>
      </c>
      <c r="AE387" s="4" t="s">
        <v>1148</v>
      </c>
      <c r="AF387" s="4" t="s">
        <v>1149</v>
      </c>
    </row>
    <row r="388" spans="1:32" ht="36" x14ac:dyDescent="0.3">
      <c r="A388" s="23" t="s">
        <v>1150</v>
      </c>
      <c r="B388" s="23"/>
      <c r="C388" s="41" t="s">
        <v>1146</v>
      </c>
      <c r="D388" s="25"/>
      <c r="E388" s="25"/>
      <c r="F388" s="42" t="s">
        <v>356</v>
      </c>
      <c r="G388" s="43">
        <v>3.6</v>
      </c>
      <c r="H388" s="25"/>
      <c r="I388" s="43">
        <v>8374.68</v>
      </c>
      <c r="J388" s="44">
        <v>15.9</v>
      </c>
      <c r="K388" s="45"/>
      <c r="L388" s="45"/>
      <c r="M388" s="44">
        <f t="shared" si="99"/>
        <v>133157.41</v>
      </c>
      <c r="N388" s="45"/>
      <c r="O388" s="45"/>
      <c r="P388" s="44">
        <v>15.9</v>
      </c>
      <c r="Q388" s="45"/>
      <c r="R388" s="45"/>
      <c r="S388" s="44">
        <f t="shared" si="100"/>
        <v>133157.41</v>
      </c>
      <c r="T388" s="45"/>
      <c r="U388" s="46"/>
      <c r="V388" s="9">
        <f t="shared" si="101"/>
        <v>13.25</v>
      </c>
      <c r="Y388" s="9">
        <f t="shared" si="102"/>
        <v>110964.51</v>
      </c>
      <c r="AD388" s="4" t="s">
        <v>1151</v>
      </c>
      <c r="AE388" s="4" t="s">
        <v>1148</v>
      </c>
      <c r="AF388" s="4" t="s">
        <v>1149</v>
      </c>
    </row>
    <row r="389" spans="1:32" ht="18" x14ac:dyDescent="0.3">
      <c r="A389" s="17" t="s">
        <v>1152</v>
      </c>
      <c r="B389" s="17"/>
      <c r="C389" s="34" t="s">
        <v>1153</v>
      </c>
      <c r="D389" s="19"/>
      <c r="E389" s="19"/>
      <c r="F389" s="35" t="s">
        <v>76</v>
      </c>
      <c r="G389" s="36">
        <v>1.2</v>
      </c>
      <c r="H389" s="19"/>
      <c r="I389" s="37">
        <v>0</v>
      </c>
      <c r="J389" s="38">
        <v>22.82</v>
      </c>
      <c r="K389" s="39"/>
      <c r="L389" s="39"/>
      <c r="M389" s="38">
        <f t="shared" si="99"/>
        <v>0</v>
      </c>
      <c r="N389" s="39"/>
      <c r="O389" s="39"/>
      <c r="P389" s="38">
        <v>22.82</v>
      </c>
      <c r="Q389" s="39"/>
      <c r="R389" s="39"/>
      <c r="S389" s="38">
        <f t="shared" si="100"/>
        <v>0</v>
      </c>
      <c r="T389" s="39"/>
      <c r="U389" s="40"/>
      <c r="V389" s="9">
        <f t="shared" si="101"/>
        <v>19.02</v>
      </c>
      <c r="Y389" s="9">
        <f t="shared" si="102"/>
        <v>0</v>
      </c>
      <c r="AD389" s="4" t="s">
        <v>1154</v>
      </c>
      <c r="AE389" s="4" t="s">
        <v>1155</v>
      </c>
      <c r="AF389" s="4" t="s">
        <v>1156</v>
      </c>
    </row>
    <row r="390" spans="1:32" ht="18" x14ac:dyDescent="0.3">
      <c r="A390" s="23" t="s">
        <v>1157</v>
      </c>
      <c r="B390" s="23"/>
      <c r="C390" s="41" t="s">
        <v>1153</v>
      </c>
      <c r="D390" s="25"/>
      <c r="E390" s="25"/>
      <c r="F390" s="42" t="s">
        <v>76</v>
      </c>
      <c r="G390" s="43">
        <v>1.2</v>
      </c>
      <c r="H390" s="25"/>
      <c r="I390" s="43">
        <v>2791.56</v>
      </c>
      <c r="J390" s="44">
        <v>22.82</v>
      </c>
      <c r="K390" s="45"/>
      <c r="L390" s="45"/>
      <c r="M390" s="44">
        <f t="shared" si="99"/>
        <v>63703.4</v>
      </c>
      <c r="N390" s="45"/>
      <c r="O390" s="45"/>
      <c r="P390" s="44">
        <v>22.82</v>
      </c>
      <c r="Q390" s="45"/>
      <c r="R390" s="45"/>
      <c r="S390" s="44">
        <f t="shared" si="100"/>
        <v>63703.4</v>
      </c>
      <c r="T390" s="45"/>
      <c r="U390" s="46"/>
      <c r="V390" s="9">
        <f t="shared" si="101"/>
        <v>19.02</v>
      </c>
      <c r="Y390" s="9">
        <f t="shared" si="102"/>
        <v>53086.17</v>
      </c>
      <c r="AD390" s="4" t="s">
        <v>1158</v>
      </c>
      <c r="AE390" s="4" t="s">
        <v>1155</v>
      </c>
      <c r="AF390" s="4" t="s">
        <v>1156</v>
      </c>
    </row>
    <row r="391" spans="1:32" ht="18" x14ac:dyDescent="0.3">
      <c r="A391" s="17" t="s">
        <v>1159</v>
      </c>
      <c r="B391" s="17"/>
      <c r="C391" s="34" t="s">
        <v>1160</v>
      </c>
      <c r="D391" s="19"/>
      <c r="E391" s="19"/>
      <c r="F391" s="35" t="s">
        <v>76</v>
      </c>
      <c r="G391" s="36">
        <v>4.7</v>
      </c>
      <c r="H391" s="19"/>
      <c r="I391" s="37">
        <v>0</v>
      </c>
      <c r="J391" s="38">
        <v>66.98</v>
      </c>
      <c r="K391" s="39"/>
      <c r="L391" s="39"/>
      <c r="M391" s="38">
        <f t="shared" si="99"/>
        <v>0</v>
      </c>
      <c r="N391" s="39"/>
      <c r="O391" s="39"/>
      <c r="P391" s="38">
        <v>66.98</v>
      </c>
      <c r="Q391" s="39"/>
      <c r="R391" s="39"/>
      <c r="S391" s="38">
        <f t="shared" si="100"/>
        <v>0</v>
      </c>
      <c r="T391" s="39"/>
      <c r="U391" s="40"/>
      <c r="V391" s="9">
        <f t="shared" si="101"/>
        <v>55.82</v>
      </c>
      <c r="Y391" s="9">
        <f t="shared" si="102"/>
        <v>0</v>
      </c>
      <c r="AD391" s="4" t="s">
        <v>1161</v>
      </c>
      <c r="AE391" s="4" t="s">
        <v>1162</v>
      </c>
      <c r="AF391" s="4" t="s">
        <v>1163</v>
      </c>
    </row>
    <row r="392" spans="1:32" ht="18" x14ac:dyDescent="0.3">
      <c r="A392" s="23" t="s">
        <v>1164</v>
      </c>
      <c r="B392" s="23"/>
      <c r="C392" s="41" t="s">
        <v>1160</v>
      </c>
      <c r="D392" s="25"/>
      <c r="E392" s="25"/>
      <c r="F392" s="42" t="s">
        <v>76</v>
      </c>
      <c r="G392" s="43">
        <v>4.7</v>
      </c>
      <c r="H392" s="25"/>
      <c r="I392" s="43">
        <v>10933.61</v>
      </c>
      <c r="J392" s="44">
        <v>66.98</v>
      </c>
      <c r="K392" s="45"/>
      <c r="L392" s="45"/>
      <c r="M392" s="44">
        <f t="shared" si="99"/>
        <v>732333.2</v>
      </c>
      <c r="N392" s="45"/>
      <c r="O392" s="45"/>
      <c r="P392" s="44">
        <v>66.98</v>
      </c>
      <c r="Q392" s="45"/>
      <c r="R392" s="45"/>
      <c r="S392" s="44">
        <f t="shared" si="100"/>
        <v>732333.2</v>
      </c>
      <c r="T392" s="45"/>
      <c r="U392" s="46"/>
      <c r="V392" s="9">
        <f t="shared" si="101"/>
        <v>55.82</v>
      </c>
      <c r="Y392" s="9">
        <f t="shared" si="102"/>
        <v>610277.67000000004</v>
      </c>
      <c r="AD392" s="4" t="s">
        <v>1165</v>
      </c>
      <c r="AE392" s="4" t="s">
        <v>1162</v>
      </c>
      <c r="AF392" s="4" t="s">
        <v>1163</v>
      </c>
    </row>
    <row r="393" spans="1:32" ht="18" x14ac:dyDescent="0.3">
      <c r="A393" s="17" t="s">
        <v>1166</v>
      </c>
      <c r="B393" s="17"/>
      <c r="C393" s="34" t="s">
        <v>1167</v>
      </c>
      <c r="D393" s="19"/>
      <c r="E393" s="19"/>
      <c r="F393" s="35" t="s">
        <v>76</v>
      </c>
      <c r="G393" s="36">
        <v>1.05</v>
      </c>
      <c r="H393" s="19"/>
      <c r="I393" s="37">
        <v>0</v>
      </c>
      <c r="J393" s="38">
        <v>4.5999999999999996</v>
      </c>
      <c r="K393" s="39"/>
      <c r="L393" s="39"/>
      <c r="M393" s="38">
        <f t="shared" si="99"/>
        <v>0</v>
      </c>
      <c r="N393" s="39"/>
      <c r="O393" s="39"/>
      <c r="P393" s="38">
        <v>4.5999999999999996</v>
      </c>
      <c r="Q393" s="39"/>
      <c r="R393" s="39"/>
      <c r="S393" s="38">
        <f t="shared" si="100"/>
        <v>0</v>
      </c>
      <c r="T393" s="39"/>
      <c r="U393" s="40"/>
      <c r="V393" s="9">
        <f t="shared" si="101"/>
        <v>3.83</v>
      </c>
      <c r="Y393" s="9">
        <f t="shared" si="102"/>
        <v>0</v>
      </c>
      <c r="AD393" s="4" t="s">
        <v>1168</v>
      </c>
      <c r="AE393" s="4" t="s">
        <v>1169</v>
      </c>
      <c r="AF393" s="4" t="s">
        <v>1170</v>
      </c>
    </row>
    <row r="394" spans="1:32" ht="18" x14ac:dyDescent="0.3">
      <c r="A394" s="23" t="s">
        <v>1171</v>
      </c>
      <c r="B394" s="23"/>
      <c r="C394" s="41" t="s">
        <v>1167</v>
      </c>
      <c r="D394" s="25"/>
      <c r="E394" s="25"/>
      <c r="F394" s="42" t="s">
        <v>76</v>
      </c>
      <c r="G394" s="43">
        <v>1.05</v>
      </c>
      <c r="H394" s="25"/>
      <c r="I394" s="43">
        <v>2442.6149999999998</v>
      </c>
      <c r="J394" s="44">
        <v>4.5999999999999996</v>
      </c>
      <c r="K394" s="45"/>
      <c r="L394" s="45"/>
      <c r="M394" s="44">
        <f t="shared" si="99"/>
        <v>11236.03</v>
      </c>
      <c r="N394" s="45"/>
      <c r="O394" s="45"/>
      <c r="P394" s="44">
        <v>4.5999999999999996</v>
      </c>
      <c r="Q394" s="45"/>
      <c r="R394" s="45"/>
      <c r="S394" s="44">
        <f t="shared" si="100"/>
        <v>11236.03</v>
      </c>
      <c r="T394" s="45"/>
      <c r="U394" s="46"/>
      <c r="V394" s="9">
        <f t="shared" si="101"/>
        <v>3.83</v>
      </c>
      <c r="Y394" s="9">
        <f t="shared" si="102"/>
        <v>9363.36</v>
      </c>
      <c r="AD394" s="4" t="s">
        <v>1172</v>
      </c>
      <c r="AE394" s="4" t="s">
        <v>1169</v>
      </c>
      <c r="AF394" s="4" t="s">
        <v>1170</v>
      </c>
    </row>
    <row r="395" spans="1:32" ht="18" x14ac:dyDescent="0.3">
      <c r="A395" s="17" t="s">
        <v>1173</v>
      </c>
      <c r="B395" s="17"/>
      <c r="C395" s="34" t="s">
        <v>1174</v>
      </c>
      <c r="D395" s="19"/>
      <c r="E395" s="19"/>
      <c r="F395" s="35" t="s">
        <v>76</v>
      </c>
      <c r="G395" s="36">
        <v>0.25</v>
      </c>
      <c r="H395" s="19"/>
      <c r="I395" s="37">
        <v>0</v>
      </c>
      <c r="J395" s="38">
        <v>2.8</v>
      </c>
      <c r="K395" s="39"/>
      <c r="L395" s="39"/>
      <c r="M395" s="38">
        <f t="shared" si="99"/>
        <v>0</v>
      </c>
      <c r="N395" s="39"/>
      <c r="O395" s="39"/>
      <c r="P395" s="38">
        <v>2.8</v>
      </c>
      <c r="Q395" s="39"/>
      <c r="R395" s="39"/>
      <c r="S395" s="38">
        <f t="shared" si="100"/>
        <v>0</v>
      </c>
      <c r="T395" s="39"/>
      <c r="U395" s="40"/>
      <c r="V395" s="9">
        <f t="shared" si="101"/>
        <v>2.33</v>
      </c>
      <c r="Y395" s="9">
        <f t="shared" si="102"/>
        <v>0</v>
      </c>
      <c r="AD395" s="4" t="s">
        <v>1175</v>
      </c>
      <c r="AE395" s="4" t="s">
        <v>1176</v>
      </c>
      <c r="AF395" s="4" t="s">
        <v>1177</v>
      </c>
    </row>
    <row r="396" spans="1:32" ht="18" x14ac:dyDescent="0.3">
      <c r="A396" s="23" t="s">
        <v>1178</v>
      </c>
      <c r="B396" s="23"/>
      <c r="C396" s="41" t="s">
        <v>1174</v>
      </c>
      <c r="D396" s="25"/>
      <c r="E396" s="25"/>
      <c r="F396" s="42" t="s">
        <v>76</v>
      </c>
      <c r="G396" s="43">
        <v>0.25</v>
      </c>
      <c r="H396" s="25"/>
      <c r="I396" s="43">
        <v>581.57500000000005</v>
      </c>
      <c r="J396" s="44">
        <v>2.8</v>
      </c>
      <c r="K396" s="45"/>
      <c r="L396" s="45"/>
      <c r="M396" s="44">
        <f t="shared" si="99"/>
        <v>1628.41</v>
      </c>
      <c r="N396" s="45"/>
      <c r="O396" s="45"/>
      <c r="P396" s="44">
        <v>2.8</v>
      </c>
      <c r="Q396" s="45"/>
      <c r="R396" s="45"/>
      <c r="S396" s="44">
        <f t="shared" si="100"/>
        <v>1628.41</v>
      </c>
      <c r="T396" s="45"/>
      <c r="U396" s="46"/>
      <c r="V396" s="9">
        <f t="shared" si="101"/>
        <v>2.33</v>
      </c>
      <c r="Y396" s="9">
        <f t="shared" si="102"/>
        <v>1357.01</v>
      </c>
      <c r="AD396" s="4" t="s">
        <v>1179</v>
      </c>
      <c r="AE396" s="4" t="s">
        <v>1176</v>
      </c>
      <c r="AF396" s="4" t="s">
        <v>1177</v>
      </c>
    </row>
    <row r="397" spans="1:32" ht="36" x14ac:dyDescent="0.3">
      <c r="A397" s="17" t="s">
        <v>1180</v>
      </c>
      <c r="B397" s="17"/>
      <c r="C397" s="34" t="s">
        <v>1181</v>
      </c>
      <c r="D397" s="19"/>
      <c r="E397" s="19"/>
      <c r="F397" s="35" t="s">
        <v>61</v>
      </c>
      <c r="G397" s="36">
        <v>1.05</v>
      </c>
      <c r="H397" s="19"/>
      <c r="I397" s="37">
        <v>0</v>
      </c>
      <c r="J397" s="38">
        <v>135.53</v>
      </c>
      <c r="K397" s="39"/>
      <c r="L397" s="39"/>
      <c r="M397" s="38">
        <f t="shared" si="99"/>
        <v>0</v>
      </c>
      <c r="N397" s="39"/>
      <c r="O397" s="39"/>
      <c r="P397" s="38">
        <v>135.53</v>
      </c>
      <c r="Q397" s="39"/>
      <c r="R397" s="39"/>
      <c r="S397" s="38">
        <f t="shared" si="100"/>
        <v>0</v>
      </c>
      <c r="T397" s="39"/>
      <c r="U397" s="40"/>
      <c r="V397" s="9">
        <f t="shared" si="101"/>
        <v>112.94</v>
      </c>
      <c r="Y397" s="9">
        <f t="shared" si="102"/>
        <v>0</v>
      </c>
      <c r="AD397" s="4" t="s">
        <v>1182</v>
      </c>
      <c r="AE397" s="4" t="s">
        <v>1183</v>
      </c>
      <c r="AF397" s="4" t="s">
        <v>1184</v>
      </c>
    </row>
    <row r="398" spans="1:32" ht="36" x14ac:dyDescent="0.3">
      <c r="A398" s="23" t="s">
        <v>1185</v>
      </c>
      <c r="B398" s="23"/>
      <c r="C398" s="41" t="s">
        <v>1181</v>
      </c>
      <c r="D398" s="25"/>
      <c r="E398" s="25"/>
      <c r="F398" s="42" t="s">
        <v>61</v>
      </c>
      <c r="G398" s="43">
        <v>1.05</v>
      </c>
      <c r="H398" s="25"/>
      <c r="I398" s="43">
        <v>2442.6149999999998</v>
      </c>
      <c r="J398" s="44">
        <v>135.53</v>
      </c>
      <c r="K398" s="45"/>
      <c r="L398" s="45"/>
      <c r="M398" s="44">
        <f t="shared" si="99"/>
        <v>331047.61</v>
      </c>
      <c r="N398" s="45"/>
      <c r="O398" s="45"/>
      <c r="P398" s="44">
        <v>135.53</v>
      </c>
      <c r="Q398" s="45"/>
      <c r="R398" s="45"/>
      <c r="S398" s="44">
        <f t="shared" si="100"/>
        <v>331047.61</v>
      </c>
      <c r="T398" s="45"/>
      <c r="U398" s="46"/>
      <c r="V398" s="9">
        <f t="shared" si="101"/>
        <v>112.94</v>
      </c>
      <c r="Y398" s="9">
        <f t="shared" si="102"/>
        <v>275873.01</v>
      </c>
      <c r="AD398" s="4" t="s">
        <v>1186</v>
      </c>
      <c r="AE398" s="4" t="s">
        <v>1183</v>
      </c>
      <c r="AF398" s="4" t="s">
        <v>1184</v>
      </c>
    </row>
    <row r="399" spans="1:32" ht="18" x14ac:dyDescent="0.3">
      <c r="A399" s="17" t="s">
        <v>1187</v>
      </c>
      <c r="B399" s="17"/>
      <c r="C399" s="34" t="s">
        <v>1188</v>
      </c>
      <c r="D399" s="19"/>
      <c r="E399" s="19"/>
      <c r="F399" s="35" t="s">
        <v>356</v>
      </c>
      <c r="G399" s="36">
        <v>0.75</v>
      </c>
      <c r="H399" s="19"/>
      <c r="I399" s="37">
        <v>0</v>
      </c>
      <c r="J399" s="38">
        <v>2.8</v>
      </c>
      <c r="K399" s="39"/>
      <c r="L399" s="39"/>
      <c r="M399" s="38">
        <f t="shared" si="99"/>
        <v>0</v>
      </c>
      <c r="N399" s="39"/>
      <c r="O399" s="39"/>
      <c r="P399" s="38">
        <v>2.8</v>
      </c>
      <c r="Q399" s="39"/>
      <c r="R399" s="39"/>
      <c r="S399" s="38">
        <f t="shared" si="100"/>
        <v>0</v>
      </c>
      <c r="T399" s="39"/>
      <c r="U399" s="40"/>
      <c r="V399" s="9">
        <f t="shared" si="101"/>
        <v>2.33</v>
      </c>
      <c r="Y399" s="9">
        <f t="shared" si="102"/>
        <v>0</v>
      </c>
      <c r="AD399" s="4" t="s">
        <v>1189</v>
      </c>
      <c r="AE399" s="4" t="s">
        <v>1190</v>
      </c>
      <c r="AF399" s="4" t="s">
        <v>1191</v>
      </c>
    </row>
    <row r="400" spans="1:32" ht="18" x14ac:dyDescent="0.3">
      <c r="A400" s="23" t="s">
        <v>1192</v>
      </c>
      <c r="B400" s="23"/>
      <c r="C400" s="41" t="s">
        <v>1188</v>
      </c>
      <c r="D400" s="25"/>
      <c r="E400" s="25"/>
      <c r="F400" s="42" t="s">
        <v>356</v>
      </c>
      <c r="G400" s="43">
        <v>0.75</v>
      </c>
      <c r="H400" s="25"/>
      <c r="I400" s="43">
        <v>1744.7249999999999</v>
      </c>
      <c r="J400" s="44">
        <v>2.8</v>
      </c>
      <c r="K400" s="45"/>
      <c r="L400" s="45"/>
      <c r="M400" s="44">
        <f t="shared" si="99"/>
        <v>4885.2299999999996</v>
      </c>
      <c r="N400" s="45"/>
      <c r="O400" s="45"/>
      <c r="P400" s="44">
        <v>2.8</v>
      </c>
      <c r="Q400" s="45"/>
      <c r="R400" s="45"/>
      <c r="S400" s="44">
        <f t="shared" si="100"/>
        <v>4885.2299999999996</v>
      </c>
      <c r="T400" s="45"/>
      <c r="U400" s="46"/>
      <c r="V400" s="9">
        <f t="shared" si="101"/>
        <v>2.33</v>
      </c>
      <c r="Y400" s="9">
        <f t="shared" si="102"/>
        <v>4071.03</v>
      </c>
      <c r="AD400" s="4" t="s">
        <v>1193</v>
      </c>
      <c r="AE400" s="4" t="s">
        <v>1190</v>
      </c>
      <c r="AF400" s="4" t="s">
        <v>1191</v>
      </c>
    </row>
    <row r="401" spans="1:35" ht="72" x14ac:dyDescent="0.3">
      <c r="A401" s="17" t="s">
        <v>1194</v>
      </c>
      <c r="B401" s="17" t="s">
        <v>1118</v>
      </c>
      <c r="C401" s="18" t="s">
        <v>1119</v>
      </c>
      <c r="D401" s="19"/>
      <c r="E401" s="19" t="s">
        <v>1195</v>
      </c>
      <c r="F401" s="19" t="s">
        <v>61</v>
      </c>
      <c r="G401" s="20">
        <v>1</v>
      </c>
      <c r="H401" s="19"/>
      <c r="I401" s="21">
        <v>0</v>
      </c>
      <c r="J401" s="22">
        <v>584.54999999999995</v>
      </c>
      <c r="K401" s="22">
        <v>1379</v>
      </c>
      <c r="L401" s="22">
        <f>J401+ROUND(K401, 2)</f>
        <v>1963.55</v>
      </c>
      <c r="M401" s="22">
        <v>0</v>
      </c>
      <c r="N401" s="22">
        <v>0</v>
      </c>
      <c r="O401" s="22">
        <f>M401+N401</f>
        <v>0</v>
      </c>
      <c r="P401" s="22">
        <v>584.54999999999995</v>
      </c>
      <c r="Q401" s="22">
        <v>1379</v>
      </c>
      <c r="R401" s="22">
        <f>P401+ROUND(Q401, 2)</f>
        <v>1963.55</v>
      </c>
      <c r="S401" s="22">
        <v>0</v>
      </c>
      <c r="T401" s="22">
        <v>0</v>
      </c>
      <c r="U401" s="22">
        <f>S401+T401</f>
        <v>0</v>
      </c>
      <c r="V401" s="9">
        <f>ROUND(P401 / 1.2, 2)</f>
        <v>487.13</v>
      </c>
      <c r="W401" s="9">
        <f>ROUND(Q401 / 1.2, 2)</f>
        <v>1149.17</v>
      </c>
      <c r="X401" s="9">
        <f>ROUND(R401 / 1.2, 2)</f>
        <v>1636.29</v>
      </c>
      <c r="Y401" s="9">
        <f t="shared" si="102"/>
        <v>0</v>
      </c>
      <c r="Z401" s="9">
        <f>ROUND(T401 / 1.2, 2)</f>
        <v>0</v>
      </c>
      <c r="AA401" s="9">
        <f>Y401+Z401</f>
        <v>0</v>
      </c>
      <c r="AD401" s="4">
        <v>320320166</v>
      </c>
      <c r="AE401" s="4">
        <v>26813812</v>
      </c>
      <c r="AG401" s="4" t="s">
        <v>1121</v>
      </c>
      <c r="AH401" s="4" t="s">
        <v>1122</v>
      </c>
      <c r="AI401" s="4" t="s">
        <v>338</v>
      </c>
    </row>
    <row r="402" spans="1:35" ht="72" x14ac:dyDescent="0.3">
      <c r="A402" s="23" t="s">
        <v>1196</v>
      </c>
      <c r="B402" s="23" t="s">
        <v>1118</v>
      </c>
      <c r="C402" s="24" t="s">
        <v>1119</v>
      </c>
      <c r="D402" s="25"/>
      <c r="E402" s="25" t="s">
        <v>1195</v>
      </c>
      <c r="F402" s="25" t="s">
        <v>61</v>
      </c>
      <c r="G402" s="26">
        <v>1</v>
      </c>
      <c r="H402" s="25"/>
      <c r="I402" s="26">
        <v>454.4</v>
      </c>
      <c r="J402" s="27">
        <v>584.54999999999995</v>
      </c>
      <c r="K402" s="27">
        <v>1379</v>
      </c>
      <c r="L402" s="27">
        <v>1379</v>
      </c>
      <c r="M402" s="27">
        <v>265619.52</v>
      </c>
      <c r="N402" s="27">
        <v>626617.59999999998</v>
      </c>
      <c r="O402" s="27"/>
      <c r="P402" s="27">
        <v>584.54999999999995</v>
      </c>
      <c r="Q402" s="27">
        <v>1379</v>
      </c>
      <c r="R402" s="27">
        <v>1379</v>
      </c>
      <c r="S402" s="27">
        <v>265619.52</v>
      </c>
      <c r="T402" s="27">
        <v>626617.59999999998</v>
      </c>
      <c r="U402" s="27"/>
      <c r="V402" s="9"/>
      <c r="W402" s="9">
        <f>ROUND(Q402 / 1.2, 2)</f>
        <v>1149.17</v>
      </c>
      <c r="X402" s="9">
        <f>ROUND(R402 / 1.2, 2)</f>
        <v>1149.17</v>
      </c>
      <c r="Y402" s="9"/>
      <c r="Z402" s="9">
        <f>ROUND(T402 / 1.2, 2)</f>
        <v>522181.33</v>
      </c>
      <c r="AA402" s="9"/>
      <c r="AD402" s="4">
        <v>315454916</v>
      </c>
      <c r="AE402" s="4">
        <v>26813812</v>
      </c>
      <c r="AG402" s="4" t="s">
        <v>1121</v>
      </c>
      <c r="AH402" s="4" t="s">
        <v>1122</v>
      </c>
      <c r="AI402" s="4"/>
    </row>
    <row r="403" spans="1:35" ht="18" x14ac:dyDescent="0.3">
      <c r="A403" s="17" t="s">
        <v>1197</v>
      </c>
      <c r="B403" s="17"/>
      <c r="C403" s="34" t="s">
        <v>1188</v>
      </c>
      <c r="D403" s="19"/>
      <c r="E403" s="19"/>
      <c r="F403" s="35" t="s">
        <v>356</v>
      </c>
      <c r="G403" s="36">
        <v>0.75</v>
      </c>
      <c r="H403" s="19"/>
      <c r="I403" s="37">
        <v>0</v>
      </c>
      <c r="J403" s="38">
        <v>2.8</v>
      </c>
      <c r="K403" s="39"/>
      <c r="L403" s="39"/>
      <c r="M403" s="38">
        <f t="shared" ref="M403:M422" si="103">ROUND(ROUND(J403, 2)*I403, 2)</f>
        <v>0</v>
      </c>
      <c r="N403" s="39"/>
      <c r="O403" s="39"/>
      <c r="P403" s="38">
        <v>2.8</v>
      </c>
      <c r="Q403" s="39"/>
      <c r="R403" s="39"/>
      <c r="S403" s="38">
        <f t="shared" ref="S403:S422" si="104">ROUND(ROUND(P403, 2)*I403, 2)</f>
        <v>0</v>
      </c>
      <c r="T403" s="39"/>
      <c r="U403" s="40"/>
      <c r="V403" s="9">
        <f t="shared" ref="V403:V422" si="105">ROUND(ROUND(P403, 2)/1.2, 2)</f>
        <v>2.33</v>
      </c>
      <c r="Y403" s="9">
        <f t="shared" ref="Y403:Y423" si="106">ROUND(S403 / 1.2, 2)</f>
        <v>0</v>
      </c>
      <c r="AD403" s="4" t="s">
        <v>1198</v>
      </c>
      <c r="AE403" s="4" t="s">
        <v>1199</v>
      </c>
      <c r="AF403" s="4" t="s">
        <v>1191</v>
      </c>
    </row>
    <row r="404" spans="1:35" ht="18" x14ac:dyDescent="0.3">
      <c r="A404" s="23" t="s">
        <v>1200</v>
      </c>
      <c r="B404" s="23"/>
      <c r="C404" s="41" t="s">
        <v>1188</v>
      </c>
      <c r="D404" s="25"/>
      <c r="E404" s="25"/>
      <c r="F404" s="42" t="s">
        <v>356</v>
      </c>
      <c r="G404" s="43">
        <v>0.75</v>
      </c>
      <c r="H404" s="25"/>
      <c r="I404" s="43">
        <v>340.8</v>
      </c>
      <c r="J404" s="44">
        <v>2.8</v>
      </c>
      <c r="K404" s="45"/>
      <c r="L404" s="45"/>
      <c r="M404" s="44">
        <f t="shared" si="103"/>
        <v>954.24</v>
      </c>
      <c r="N404" s="45"/>
      <c r="O404" s="45"/>
      <c r="P404" s="44">
        <v>2.8</v>
      </c>
      <c r="Q404" s="45"/>
      <c r="R404" s="45"/>
      <c r="S404" s="44">
        <f t="shared" si="104"/>
        <v>954.24</v>
      </c>
      <c r="T404" s="45"/>
      <c r="U404" s="46"/>
      <c r="V404" s="9">
        <f t="shared" si="105"/>
        <v>2.33</v>
      </c>
      <c r="Y404" s="9">
        <f t="shared" si="106"/>
        <v>795.2</v>
      </c>
      <c r="AD404" s="4" t="s">
        <v>1201</v>
      </c>
      <c r="AE404" s="4" t="s">
        <v>1199</v>
      </c>
      <c r="AF404" s="4" t="s">
        <v>1191</v>
      </c>
    </row>
    <row r="405" spans="1:35" ht="54" x14ac:dyDescent="0.3">
      <c r="A405" s="17" t="s">
        <v>1202</v>
      </c>
      <c r="B405" s="17"/>
      <c r="C405" s="34" t="s">
        <v>98</v>
      </c>
      <c r="D405" s="19"/>
      <c r="E405" s="19"/>
      <c r="F405" s="35" t="s">
        <v>61</v>
      </c>
      <c r="G405" s="36">
        <v>1.05</v>
      </c>
      <c r="H405" s="19"/>
      <c r="I405" s="37">
        <v>0</v>
      </c>
      <c r="J405" s="38">
        <v>135.53</v>
      </c>
      <c r="K405" s="39"/>
      <c r="L405" s="39"/>
      <c r="M405" s="38">
        <f t="shared" si="103"/>
        <v>0</v>
      </c>
      <c r="N405" s="39"/>
      <c r="O405" s="39"/>
      <c r="P405" s="38">
        <v>135.53</v>
      </c>
      <c r="Q405" s="39"/>
      <c r="R405" s="39"/>
      <c r="S405" s="38">
        <f t="shared" si="104"/>
        <v>0</v>
      </c>
      <c r="T405" s="39"/>
      <c r="U405" s="40"/>
      <c r="V405" s="9">
        <f t="shared" si="105"/>
        <v>112.94</v>
      </c>
      <c r="Y405" s="9">
        <f t="shared" si="106"/>
        <v>0</v>
      </c>
      <c r="AD405" s="4" t="s">
        <v>1203</v>
      </c>
      <c r="AE405" s="4" t="s">
        <v>1204</v>
      </c>
      <c r="AF405" s="4" t="s">
        <v>101</v>
      </c>
    </row>
    <row r="406" spans="1:35" ht="54" x14ac:dyDescent="0.3">
      <c r="A406" s="23" t="s">
        <v>1205</v>
      </c>
      <c r="B406" s="23"/>
      <c r="C406" s="41" t="s">
        <v>98</v>
      </c>
      <c r="D406" s="25"/>
      <c r="E406" s="25"/>
      <c r="F406" s="42" t="s">
        <v>61</v>
      </c>
      <c r="G406" s="43">
        <v>1.05</v>
      </c>
      <c r="H406" s="25"/>
      <c r="I406" s="43">
        <v>477.12</v>
      </c>
      <c r="J406" s="44">
        <v>135.53</v>
      </c>
      <c r="K406" s="45"/>
      <c r="L406" s="45"/>
      <c r="M406" s="44">
        <f t="shared" si="103"/>
        <v>64664.07</v>
      </c>
      <c r="N406" s="45"/>
      <c r="O406" s="45"/>
      <c r="P406" s="44">
        <v>135.53</v>
      </c>
      <c r="Q406" s="45"/>
      <c r="R406" s="45"/>
      <c r="S406" s="44">
        <f t="shared" si="104"/>
        <v>64664.07</v>
      </c>
      <c r="T406" s="45"/>
      <c r="U406" s="46"/>
      <c r="V406" s="9">
        <f t="shared" si="105"/>
        <v>112.94</v>
      </c>
      <c r="Y406" s="9">
        <f t="shared" si="106"/>
        <v>53886.73</v>
      </c>
      <c r="AD406" s="4" t="s">
        <v>1206</v>
      </c>
      <c r="AE406" s="4" t="s">
        <v>1204</v>
      </c>
      <c r="AF406" s="4" t="s">
        <v>101</v>
      </c>
    </row>
    <row r="407" spans="1:35" ht="18" x14ac:dyDescent="0.3">
      <c r="A407" s="17" t="s">
        <v>1207</v>
      </c>
      <c r="B407" s="17"/>
      <c r="C407" s="34" t="s">
        <v>1174</v>
      </c>
      <c r="D407" s="19"/>
      <c r="E407" s="19"/>
      <c r="F407" s="35" t="s">
        <v>76</v>
      </c>
      <c r="G407" s="36">
        <v>0.25</v>
      </c>
      <c r="H407" s="19"/>
      <c r="I407" s="37">
        <v>0</v>
      </c>
      <c r="J407" s="38">
        <v>2.8</v>
      </c>
      <c r="K407" s="39"/>
      <c r="L407" s="39"/>
      <c r="M407" s="38">
        <f t="shared" si="103"/>
        <v>0</v>
      </c>
      <c r="N407" s="39"/>
      <c r="O407" s="39"/>
      <c r="P407" s="38">
        <v>2.8</v>
      </c>
      <c r="Q407" s="39"/>
      <c r="R407" s="39"/>
      <c r="S407" s="38">
        <f t="shared" si="104"/>
        <v>0</v>
      </c>
      <c r="T407" s="39"/>
      <c r="U407" s="40"/>
      <c r="V407" s="9">
        <f t="shared" si="105"/>
        <v>2.33</v>
      </c>
      <c r="Y407" s="9">
        <f t="shared" si="106"/>
        <v>0</v>
      </c>
      <c r="AD407" s="4" t="s">
        <v>1208</v>
      </c>
      <c r="AE407" s="4" t="s">
        <v>1209</v>
      </c>
      <c r="AF407" s="4" t="s">
        <v>1177</v>
      </c>
    </row>
    <row r="408" spans="1:35" ht="18" x14ac:dyDescent="0.3">
      <c r="A408" s="23" t="s">
        <v>1210</v>
      </c>
      <c r="B408" s="23"/>
      <c r="C408" s="41" t="s">
        <v>1174</v>
      </c>
      <c r="D408" s="25"/>
      <c r="E408" s="25"/>
      <c r="F408" s="42" t="s">
        <v>76</v>
      </c>
      <c r="G408" s="43">
        <v>0.25</v>
      </c>
      <c r="H408" s="25"/>
      <c r="I408" s="43">
        <v>113.6</v>
      </c>
      <c r="J408" s="44">
        <v>2.8</v>
      </c>
      <c r="K408" s="45"/>
      <c r="L408" s="45"/>
      <c r="M408" s="44">
        <f t="shared" si="103"/>
        <v>318.08</v>
      </c>
      <c r="N408" s="45"/>
      <c r="O408" s="45"/>
      <c r="P408" s="44">
        <v>2.8</v>
      </c>
      <c r="Q408" s="45"/>
      <c r="R408" s="45"/>
      <c r="S408" s="44">
        <f t="shared" si="104"/>
        <v>318.08</v>
      </c>
      <c r="T408" s="45"/>
      <c r="U408" s="46"/>
      <c r="V408" s="9">
        <f t="shared" si="105"/>
        <v>2.33</v>
      </c>
      <c r="Y408" s="9">
        <f t="shared" si="106"/>
        <v>265.07</v>
      </c>
      <c r="AD408" s="4" t="s">
        <v>1211</v>
      </c>
      <c r="AE408" s="4" t="s">
        <v>1209</v>
      </c>
      <c r="AF408" s="4" t="s">
        <v>1177</v>
      </c>
    </row>
    <row r="409" spans="1:35" ht="18" x14ac:dyDescent="0.3">
      <c r="A409" s="17" t="s">
        <v>1212</v>
      </c>
      <c r="B409" s="17"/>
      <c r="C409" s="34" t="s">
        <v>1167</v>
      </c>
      <c r="D409" s="19"/>
      <c r="E409" s="19"/>
      <c r="F409" s="35" t="s">
        <v>76</v>
      </c>
      <c r="G409" s="36">
        <v>1.05</v>
      </c>
      <c r="H409" s="19"/>
      <c r="I409" s="37">
        <v>0</v>
      </c>
      <c r="J409" s="38">
        <v>4.5999999999999996</v>
      </c>
      <c r="K409" s="39"/>
      <c r="L409" s="39"/>
      <c r="M409" s="38">
        <f t="shared" si="103"/>
        <v>0</v>
      </c>
      <c r="N409" s="39"/>
      <c r="O409" s="39"/>
      <c r="P409" s="38">
        <v>4.5999999999999996</v>
      </c>
      <c r="Q409" s="39"/>
      <c r="R409" s="39"/>
      <c r="S409" s="38">
        <f t="shared" si="104"/>
        <v>0</v>
      </c>
      <c r="T409" s="39"/>
      <c r="U409" s="40"/>
      <c r="V409" s="9">
        <f t="shared" si="105"/>
        <v>3.83</v>
      </c>
      <c r="Y409" s="9">
        <f t="shared" si="106"/>
        <v>0</v>
      </c>
      <c r="AD409" s="4" t="s">
        <v>1213</v>
      </c>
      <c r="AE409" s="4" t="s">
        <v>1214</v>
      </c>
      <c r="AF409" s="4" t="s">
        <v>1170</v>
      </c>
    </row>
    <row r="410" spans="1:35" ht="18" x14ac:dyDescent="0.3">
      <c r="A410" s="23" t="s">
        <v>1215</v>
      </c>
      <c r="B410" s="23"/>
      <c r="C410" s="41" t="s">
        <v>1167</v>
      </c>
      <c r="D410" s="25"/>
      <c r="E410" s="25"/>
      <c r="F410" s="42" t="s">
        <v>76</v>
      </c>
      <c r="G410" s="43">
        <v>1.05</v>
      </c>
      <c r="H410" s="25"/>
      <c r="I410" s="43">
        <v>477.12</v>
      </c>
      <c r="J410" s="44">
        <v>4.5999999999999996</v>
      </c>
      <c r="K410" s="45"/>
      <c r="L410" s="45"/>
      <c r="M410" s="44">
        <f t="shared" si="103"/>
        <v>2194.75</v>
      </c>
      <c r="N410" s="45"/>
      <c r="O410" s="45"/>
      <c r="P410" s="44">
        <v>4.5999999999999996</v>
      </c>
      <c r="Q410" s="45"/>
      <c r="R410" s="45"/>
      <c r="S410" s="44">
        <f t="shared" si="104"/>
        <v>2194.75</v>
      </c>
      <c r="T410" s="45"/>
      <c r="U410" s="46"/>
      <c r="V410" s="9">
        <f t="shared" si="105"/>
        <v>3.83</v>
      </c>
      <c r="Y410" s="9">
        <f t="shared" si="106"/>
        <v>1828.96</v>
      </c>
      <c r="AD410" s="4" t="s">
        <v>1216</v>
      </c>
      <c r="AE410" s="4" t="s">
        <v>1214</v>
      </c>
      <c r="AF410" s="4" t="s">
        <v>1170</v>
      </c>
    </row>
    <row r="411" spans="1:35" ht="18" x14ac:dyDescent="0.3">
      <c r="A411" s="17" t="s">
        <v>1217</v>
      </c>
      <c r="B411" s="17"/>
      <c r="C411" s="34" t="s">
        <v>1153</v>
      </c>
      <c r="D411" s="19"/>
      <c r="E411" s="19"/>
      <c r="F411" s="35" t="s">
        <v>76</v>
      </c>
      <c r="G411" s="36">
        <v>1.2</v>
      </c>
      <c r="H411" s="19"/>
      <c r="I411" s="37">
        <v>0</v>
      </c>
      <c r="J411" s="38">
        <v>22.82</v>
      </c>
      <c r="K411" s="39"/>
      <c r="L411" s="39"/>
      <c r="M411" s="38">
        <f t="shared" si="103"/>
        <v>0</v>
      </c>
      <c r="N411" s="39"/>
      <c r="O411" s="39"/>
      <c r="P411" s="38">
        <v>22.82</v>
      </c>
      <c r="Q411" s="39"/>
      <c r="R411" s="39"/>
      <c r="S411" s="38">
        <f t="shared" si="104"/>
        <v>0</v>
      </c>
      <c r="T411" s="39"/>
      <c r="U411" s="40"/>
      <c r="V411" s="9">
        <f t="shared" si="105"/>
        <v>19.02</v>
      </c>
      <c r="Y411" s="9">
        <f t="shared" si="106"/>
        <v>0</v>
      </c>
      <c r="AD411" s="4" t="s">
        <v>1218</v>
      </c>
      <c r="AE411" s="4" t="s">
        <v>1219</v>
      </c>
      <c r="AF411" s="4" t="s">
        <v>1156</v>
      </c>
    </row>
    <row r="412" spans="1:35" ht="18" x14ac:dyDescent="0.3">
      <c r="A412" s="23" t="s">
        <v>1220</v>
      </c>
      <c r="B412" s="23"/>
      <c r="C412" s="41" t="s">
        <v>1153</v>
      </c>
      <c r="D412" s="25"/>
      <c r="E412" s="25"/>
      <c r="F412" s="42" t="s">
        <v>76</v>
      </c>
      <c r="G412" s="43">
        <v>1.2</v>
      </c>
      <c r="H412" s="25"/>
      <c r="I412" s="43">
        <v>545.28</v>
      </c>
      <c r="J412" s="44">
        <v>22.82</v>
      </c>
      <c r="K412" s="45"/>
      <c r="L412" s="45"/>
      <c r="M412" s="44">
        <f t="shared" si="103"/>
        <v>12443.29</v>
      </c>
      <c r="N412" s="45"/>
      <c r="O412" s="45"/>
      <c r="P412" s="44">
        <v>22.82</v>
      </c>
      <c r="Q412" s="45"/>
      <c r="R412" s="45"/>
      <c r="S412" s="44">
        <f t="shared" si="104"/>
        <v>12443.29</v>
      </c>
      <c r="T412" s="45"/>
      <c r="U412" s="46"/>
      <c r="V412" s="9">
        <f t="shared" si="105"/>
        <v>19.02</v>
      </c>
      <c r="Y412" s="9">
        <f t="shared" si="106"/>
        <v>10369.41</v>
      </c>
      <c r="AD412" s="4" t="s">
        <v>1221</v>
      </c>
      <c r="AE412" s="4" t="s">
        <v>1219</v>
      </c>
      <c r="AF412" s="4" t="s">
        <v>1156</v>
      </c>
    </row>
    <row r="413" spans="1:35" ht="18" x14ac:dyDescent="0.3">
      <c r="A413" s="17" t="s">
        <v>1222</v>
      </c>
      <c r="B413" s="17"/>
      <c r="C413" s="34" t="s">
        <v>1160</v>
      </c>
      <c r="D413" s="19"/>
      <c r="E413" s="19"/>
      <c r="F413" s="35" t="s">
        <v>76</v>
      </c>
      <c r="G413" s="36">
        <v>4.7</v>
      </c>
      <c r="H413" s="19"/>
      <c r="I413" s="37">
        <v>0</v>
      </c>
      <c r="J413" s="38">
        <v>66.98</v>
      </c>
      <c r="K413" s="39"/>
      <c r="L413" s="39"/>
      <c r="M413" s="38">
        <f t="shared" si="103"/>
        <v>0</v>
      </c>
      <c r="N413" s="39"/>
      <c r="O413" s="39"/>
      <c r="P413" s="38">
        <v>66.98</v>
      </c>
      <c r="Q413" s="39"/>
      <c r="R413" s="39"/>
      <c r="S413" s="38">
        <f t="shared" si="104"/>
        <v>0</v>
      </c>
      <c r="T413" s="39"/>
      <c r="U413" s="40"/>
      <c r="V413" s="9">
        <f t="shared" si="105"/>
        <v>55.82</v>
      </c>
      <c r="Y413" s="9">
        <f t="shared" si="106"/>
        <v>0</v>
      </c>
      <c r="AD413" s="4" t="s">
        <v>1223</v>
      </c>
      <c r="AE413" s="4" t="s">
        <v>1224</v>
      </c>
      <c r="AF413" s="4" t="s">
        <v>1163</v>
      </c>
    </row>
    <row r="414" spans="1:35" ht="18" x14ac:dyDescent="0.3">
      <c r="A414" s="23" t="s">
        <v>1225</v>
      </c>
      <c r="B414" s="23"/>
      <c r="C414" s="41" t="s">
        <v>1160</v>
      </c>
      <c r="D414" s="25"/>
      <c r="E414" s="25"/>
      <c r="F414" s="42" t="s">
        <v>76</v>
      </c>
      <c r="G414" s="43">
        <v>4.7</v>
      </c>
      <c r="H414" s="25"/>
      <c r="I414" s="43">
        <v>2135.6799999999998</v>
      </c>
      <c r="J414" s="44">
        <v>66.98</v>
      </c>
      <c r="K414" s="45"/>
      <c r="L414" s="45"/>
      <c r="M414" s="44">
        <f t="shared" si="103"/>
        <v>143047.85</v>
      </c>
      <c r="N414" s="45"/>
      <c r="O414" s="45"/>
      <c r="P414" s="44">
        <v>66.98</v>
      </c>
      <c r="Q414" s="45"/>
      <c r="R414" s="45"/>
      <c r="S414" s="44">
        <f t="shared" si="104"/>
        <v>143047.85</v>
      </c>
      <c r="T414" s="45"/>
      <c r="U414" s="46"/>
      <c r="V414" s="9">
        <f t="shared" si="105"/>
        <v>55.82</v>
      </c>
      <c r="Y414" s="9">
        <f t="shared" si="106"/>
        <v>119206.54</v>
      </c>
      <c r="AD414" s="4" t="s">
        <v>1226</v>
      </c>
      <c r="AE414" s="4" t="s">
        <v>1224</v>
      </c>
      <c r="AF414" s="4" t="s">
        <v>1163</v>
      </c>
    </row>
    <row r="415" spans="1:35" ht="36" x14ac:dyDescent="0.3">
      <c r="A415" s="17" t="s">
        <v>1227</v>
      </c>
      <c r="B415" s="17"/>
      <c r="C415" s="34" t="s">
        <v>1146</v>
      </c>
      <c r="D415" s="19"/>
      <c r="E415" s="19"/>
      <c r="F415" s="35" t="s">
        <v>356</v>
      </c>
      <c r="G415" s="36">
        <v>3.6</v>
      </c>
      <c r="H415" s="19"/>
      <c r="I415" s="37">
        <v>0</v>
      </c>
      <c r="J415" s="38">
        <v>15.9</v>
      </c>
      <c r="K415" s="39"/>
      <c r="L415" s="39"/>
      <c r="M415" s="38">
        <f t="shared" si="103"/>
        <v>0</v>
      </c>
      <c r="N415" s="39"/>
      <c r="O415" s="39"/>
      <c r="P415" s="38">
        <v>15.9</v>
      </c>
      <c r="Q415" s="39"/>
      <c r="R415" s="39"/>
      <c r="S415" s="38">
        <f t="shared" si="104"/>
        <v>0</v>
      </c>
      <c r="T415" s="39"/>
      <c r="U415" s="40"/>
      <c r="V415" s="9">
        <f t="shared" si="105"/>
        <v>13.25</v>
      </c>
      <c r="Y415" s="9">
        <f t="shared" si="106"/>
        <v>0</v>
      </c>
      <c r="AD415" s="4" t="s">
        <v>1228</v>
      </c>
      <c r="AE415" s="4" t="s">
        <v>1229</v>
      </c>
      <c r="AF415" s="4" t="s">
        <v>1149</v>
      </c>
    </row>
    <row r="416" spans="1:35" ht="36" x14ac:dyDescent="0.3">
      <c r="A416" s="23" t="s">
        <v>1230</v>
      </c>
      <c r="B416" s="23"/>
      <c r="C416" s="41" t="s">
        <v>1146</v>
      </c>
      <c r="D416" s="25"/>
      <c r="E416" s="25"/>
      <c r="F416" s="42" t="s">
        <v>356</v>
      </c>
      <c r="G416" s="43">
        <v>3.6</v>
      </c>
      <c r="H416" s="25"/>
      <c r="I416" s="43">
        <v>1635.84</v>
      </c>
      <c r="J416" s="44">
        <v>15.9</v>
      </c>
      <c r="K416" s="45"/>
      <c r="L416" s="45"/>
      <c r="M416" s="44">
        <f t="shared" si="103"/>
        <v>26009.86</v>
      </c>
      <c r="N416" s="45"/>
      <c r="O416" s="45"/>
      <c r="P416" s="44">
        <v>15.9</v>
      </c>
      <c r="Q416" s="45"/>
      <c r="R416" s="45"/>
      <c r="S416" s="44">
        <f t="shared" si="104"/>
        <v>26009.86</v>
      </c>
      <c r="T416" s="45"/>
      <c r="U416" s="46"/>
      <c r="V416" s="9">
        <f t="shared" si="105"/>
        <v>13.25</v>
      </c>
      <c r="Y416" s="9">
        <f t="shared" si="106"/>
        <v>21674.880000000001</v>
      </c>
      <c r="AD416" s="4" t="s">
        <v>1231</v>
      </c>
      <c r="AE416" s="4" t="s">
        <v>1229</v>
      </c>
      <c r="AF416" s="4" t="s">
        <v>1149</v>
      </c>
    </row>
    <row r="417" spans="1:35" ht="18" x14ac:dyDescent="0.3">
      <c r="A417" s="17" t="s">
        <v>1232</v>
      </c>
      <c r="B417" s="17"/>
      <c r="C417" s="34" t="s">
        <v>1139</v>
      </c>
      <c r="D417" s="19"/>
      <c r="E417" s="19"/>
      <c r="F417" s="35" t="s">
        <v>356</v>
      </c>
      <c r="G417" s="36">
        <v>0.3</v>
      </c>
      <c r="H417" s="19"/>
      <c r="I417" s="37">
        <v>0</v>
      </c>
      <c r="J417" s="38">
        <v>5.6</v>
      </c>
      <c r="K417" s="39"/>
      <c r="L417" s="39"/>
      <c r="M417" s="38">
        <f t="shared" si="103"/>
        <v>0</v>
      </c>
      <c r="N417" s="39"/>
      <c r="O417" s="39"/>
      <c r="P417" s="38">
        <v>5.6</v>
      </c>
      <c r="Q417" s="39"/>
      <c r="R417" s="39"/>
      <c r="S417" s="38">
        <f t="shared" si="104"/>
        <v>0</v>
      </c>
      <c r="T417" s="39"/>
      <c r="U417" s="40"/>
      <c r="V417" s="9">
        <f t="shared" si="105"/>
        <v>4.67</v>
      </c>
      <c r="Y417" s="9">
        <f t="shared" si="106"/>
        <v>0</v>
      </c>
      <c r="AD417" s="4" t="s">
        <v>1233</v>
      </c>
      <c r="AE417" s="4" t="s">
        <v>1234</v>
      </c>
      <c r="AF417" s="4" t="s">
        <v>1142</v>
      </c>
    </row>
    <row r="418" spans="1:35" ht="18" x14ac:dyDescent="0.3">
      <c r="A418" s="23" t="s">
        <v>1235</v>
      </c>
      <c r="B418" s="23"/>
      <c r="C418" s="41" t="s">
        <v>1139</v>
      </c>
      <c r="D418" s="25"/>
      <c r="E418" s="25"/>
      <c r="F418" s="42" t="s">
        <v>356</v>
      </c>
      <c r="G418" s="43">
        <v>0.3</v>
      </c>
      <c r="H418" s="25"/>
      <c r="I418" s="43">
        <v>136.32</v>
      </c>
      <c r="J418" s="44">
        <v>5.6</v>
      </c>
      <c r="K418" s="45"/>
      <c r="L418" s="45"/>
      <c r="M418" s="44">
        <f t="shared" si="103"/>
        <v>763.39</v>
      </c>
      <c r="N418" s="45"/>
      <c r="O418" s="45"/>
      <c r="P418" s="44">
        <v>5.6</v>
      </c>
      <c r="Q418" s="45"/>
      <c r="R418" s="45"/>
      <c r="S418" s="44">
        <f t="shared" si="104"/>
        <v>763.39</v>
      </c>
      <c r="T418" s="45"/>
      <c r="U418" s="46"/>
      <c r="V418" s="9">
        <f t="shared" si="105"/>
        <v>4.67</v>
      </c>
      <c r="Y418" s="9">
        <f t="shared" si="106"/>
        <v>636.16</v>
      </c>
      <c r="AD418" s="4" t="s">
        <v>1236</v>
      </c>
      <c r="AE418" s="4" t="s">
        <v>1234</v>
      </c>
      <c r="AF418" s="4" t="s">
        <v>1142</v>
      </c>
    </row>
    <row r="419" spans="1:35" ht="18" x14ac:dyDescent="0.3">
      <c r="A419" s="17" t="s">
        <v>1237</v>
      </c>
      <c r="B419" s="17"/>
      <c r="C419" s="34" t="s">
        <v>1132</v>
      </c>
      <c r="D419" s="19"/>
      <c r="E419" s="19"/>
      <c r="F419" s="35" t="s">
        <v>364</v>
      </c>
      <c r="G419" s="36">
        <v>0.35</v>
      </c>
      <c r="H419" s="19"/>
      <c r="I419" s="37">
        <v>0</v>
      </c>
      <c r="J419" s="38">
        <v>55</v>
      </c>
      <c r="K419" s="39"/>
      <c r="L419" s="39"/>
      <c r="M419" s="38">
        <f t="shared" si="103"/>
        <v>0</v>
      </c>
      <c r="N419" s="39"/>
      <c r="O419" s="39"/>
      <c r="P419" s="38">
        <v>55</v>
      </c>
      <c r="Q419" s="39"/>
      <c r="R419" s="39"/>
      <c r="S419" s="38">
        <f t="shared" si="104"/>
        <v>0</v>
      </c>
      <c r="T419" s="39"/>
      <c r="U419" s="40"/>
      <c r="V419" s="9">
        <f t="shared" si="105"/>
        <v>45.83</v>
      </c>
      <c r="Y419" s="9">
        <f t="shared" si="106"/>
        <v>0</v>
      </c>
      <c r="AD419" s="4" t="s">
        <v>1238</v>
      </c>
      <c r="AE419" s="4" t="s">
        <v>1239</v>
      </c>
      <c r="AF419" s="4" t="s">
        <v>1135</v>
      </c>
    </row>
    <row r="420" spans="1:35" ht="18" x14ac:dyDescent="0.3">
      <c r="A420" s="23" t="s">
        <v>1240</v>
      </c>
      <c r="B420" s="23"/>
      <c r="C420" s="41" t="s">
        <v>1132</v>
      </c>
      <c r="D420" s="25"/>
      <c r="E420" s="25"/>
      <c r="F420" s="42" t="s">
        <v>364</v>
      </c>
      <c r="G420" s="43">
        <v>0.35</v>
      </c>
      <c r="H420" s="25"/>
      <c r="I420" s="43">
        <v>159.04</v>
      </c>
      <c r="J420" s="44">
        <v>55</v>
      </c>
      <c r="K420" s="45"/>
      <c r="L420" s="45"/>
      <c r="M420" s="44">
        <f t="shared" si="103"/>
        <v>8747.2000000000007</v>
      </c>
      <c r="N420" s="45"/>
      <c r="O420" s="45"/>
      <c r="P420" s="44">
        <v>55</v>
      </c>
      <c r="Q420" s="45"/>
      <c r="R420" s="45"/>
      <c r="S420" s="44">
        <f t="shared" si="104"/>
        <v>8747.2000000000007</v>
      </c>
      <c r="T420" s="45"/>
      <c r="U420" s="46"/>
      <c r="V420" s="9">
        <f t="shared" si="105"/>
        <v>45.83</v>
      </c>
      <c r="Y420" s="9">
        <f t="shared" si="106"/>
        <v>7289.33</v>
      </c>
      <c r="AD420" s="4" t="s">
        <v>1241</v>
      </c>
      <c r="AE420" s="4" t="s">
        <v>1239</v>
      </c>
      <c r="AF420" s="4" t="s">
        <v>1135</v>
      </c>
    </row>
    <row r="421" spans="1:35" ht="18" x14ac:dyDescent="0.3">
      <c r="A421" s="17" t="s">
        <v>1242</v>
      </c>
      <c r="B421" s="17"/>
      <c r="C421" s="34" t="s">
        <v>1125</v>
      </c>
      <c r="D421" s="19"/>
      <c r="E421" s="19"/>
      <c r="F421" s="35" t="s">
        <v>356</v>
      </c>
      <c r="G421" s="36">
        <v>15</v>
      </c>
      <c r="H421" s="19"/>
      <c r="I421" s="37">
        <v>0</v>
      </c>
      <c r="J421" s="38">
        <v>0.95</v>
      </c>
      <c r="K421" s="39"/>
      <c r="L421" s="39"/>
      <c r="M421" s="38">
        <f t="shared" si="103"/>
        <v>0</v>
      </c>
      <c r="N421" s="39"/>
      <c r="O421" s="39"/>
      <c r="P421" s="38">
        <v>0.95</v>
      </c>
      <c r="Q421" s="39"/>
      <c r="R421" s="39"/>
      <c r="S421" s="38">
        <f t="shared" si="104"/>
        <v>0</v>
      </c>
      <c r="T421" s="39"/>
      <c r="U421" s="40"/>
      <c r="V421" s="9">
        <f t="shared" si="105"/>
        <v>0.79</v>
      </c>
      <c r="Y421" s="9">
        <f t="shared" si="106"/>
        <v>0</v>
      </c>
      <c r="AD421" s="4" t="s">
        <v>1243</v>
      </c>
      <c r="AE421" s="4" t="s">
        <v>1244</v>
      </c>
      <c r="AF421" s="4" t="s">
        <v>1128</v>
      </c>
    </row>
    <row r="422" spans="1:35" ht="18" x14ac:dyDescent="0.3">
      <c r="A422" s="23" t="s">
        <v>1245</v>
      </c>
      <c r="B422" s="23"/>
      <c r="C422" s="41" t="s">
        <v>1125</v>
      </c>
      <c r="D422" s="25"/>
      <c r="E422" s="25"/>
      <c r="F422" s="42" t="s">
        <v>356</v>
      </c>
      <c r="G422" s="43">
        <v>15</v>
      </c>
      <c r="H422" s="25"/>
      <c r="I422" s="43">
        <v>6816</v>
      </c>
      <c r="J422" s="44">
        <v>0.95</v>
      </c>
      <c r="K422" s="45"/>
      <c r="L422" s="45"/>
      <c r="M422" s="44">
        <f t="shared" si="103"/>
        <v>6475.2</v>
      </c>
      <c r="N422" s="45"/>
      <c r="O422" s="45"/>
      <c r="P422" s="44">
        <v>0.95</v>
      </c>
      <c r="Q422" s="45"/>
      <c r="R422" s="45"/>
      <c r="S422" s="44">
        <f t="shared" si="104"/>
        <v>6475.2</v>
      </c>
      <c r="T422" s="45"/>
      <c r="U422" s="46"/>
      <c r="V422" s="9">
        <f t="shared" si="105"/>
        <v>0.79</v>
      </c>
      <c r="Y422" s="9">
        <f t="shared" si="106"/>
        <v>5396</v>
      </c>
      <c r="AD422" s="4" t="s">
        <v>1246</v>
      </c>
      <c r="AE422" s="4" t="s">
        <v>1244</v>
      </c>
      <c r="AF422" s="4" t="s">
        <v>1128</v>
      </c>
    </row>
    <row r="423" spans="1:35" ht="54" x14ac:dyDescent="0.3">
      <c r="A423" s="17" t="s">
        <v>1247</v>
      </c>
      <c r="B423" s="17" t="s">
        <v>1118</v>
      </c>
      <c r="C423" s="18" t="s">
        <v>1119</v>
      </c>
      <c r="D423" s="19"/>
      <c r="E423" s="19" t="s">
        <v>1248</v>
      </c>
      <c r="F423" s="19" t="s">
        <v>61</v>
      </c>
      <c r="G423" s="20">
        <v>1</v>
      </c>
      <c r="H423" s="19"/>
      <c r="I423" s="21">
        <v>0</v>
      </c>
      <c r="J423" s="22">
        <v>442.24</v>
      </c>
      <c r="K423" s="22">
        <v>1379</v>
      </c>
      <c r="L423" s="22">
        <f>J423+ROUND(K423, 2)</f>
        <v>1821.24</v>
      </c>
      <c r="M423" s="22">
        <v>0</v>
      </c>
      <c r="N423" s="22">
        <v>0</v>
      </c>
      <c r="O423" s="22">
        <f>M423+N423</f>
        <v>0</v>
      </c>
      <c r="P423" s="22">
        <v>2038.59</v>
      </c>
      <c r="Q423" s="22">
        <v>1379</v>
      </c>
      <c r="R423" s="22">
        <f>P423+ROUND(Q423, 2)</f>
        <v>3417.59</v>
      </c>
      <c r="S423" s="22">
        <v>0</v>
      </c>
      <c r="T423" s="22">
        <v>0</v>
      </c>
      <c r="U423" s="22">
        <f>S423+T423</f>
        <v>0</v>
      </c>
      <c r="V423" s="9">
        <f>ROUND(P423 / 1.2, 2)</f>
        <v>1698.83</v>
      </c>
      <c r="W423" s="9">
        <f>ROUND(Q423 / 1.2, 2)</f>
        <v>1149.17</v>
      </c>
      <c r="X423" s="9">
        <f>ROUND(R423 / 1.2, 2)</f>
        <v>2847.99</v>
      </c>
      <c r="Y423" s="9">
        <f t="shared" si="106"/>
        <v>0</v>
      </c>
      <c r="Z423" s="9">
        <f>ROUND(T423 / 1.2, 2)</f>
        <v>0</v>
      </c>
      <c r="AA423" s="9">
        <f>Y423+Z423</f>
        <v>0</v>
      </c>
      <c r="AD423" s="4">
        <v>320320167</v>
      </c>
      <c r="AE423" s="4">
        <v>26813852</v>
      </c>
      <c r="AG423" s="4" t="s">
        <v>1121</v>
      </c>
      <c r="AH423" s="4" t="s">
        <v>1122</v>
      </c>
      <c r="AI423" s="4" t="s">
        <v>338</v>
      </c>
    </row>
    <row r="424" spans="1:35" ht="54" x14ac:dyDescent="0.3">
      <c r="A424" s="23" t="s">
        <v>1249</v>
      </c>
      <c r="B424" s="23" t="s">
        <v>1118</v>
      </c>
      <c r="C424" s="24" t="s">
        <v>1119</v>
      </c>
      <c r="D424" s="25"/>
      <c r="E424" s="25" t="s">
        <v>1248</v>
      </c>
      <c r="F424" s="25" t="s">
        <v>61</v>
      </c>
      <c r="G424" s="26">
        <v>1</v>
      </c>
      <c r="H424" s="25"/>
      <c r="I424" s="26">
        <v>105.5</v>
      </c>
      <c r="J424" s="27">
        <v>442.24</v>
      </c>
      <c r="K424" s="27">
        <v>1379</v>
      </c>
      <c r="L424" s="27">
        <v>1379</v>
      </c>
      <c r="M424" s="27">
        <v>46656.32</v>
      </c>
      <c r="N424" s="27">
        <v>145484.5</v>
      </c>
      <c r="O424" s="27"/>
      <c r="P424" s="27">
        <v>2038.59</v>
      </c>
      <c r="Q424" s="27">
        <v>1379</v>
      </c>
      <c r="R424" s="27">
        <v>1379</v>
      </c>
      <c r="S424" s="27">
        <v>215071.25</v>
      </c>
      <c r="T424" s="27">
        <v>145484.5</v>
      </c>
      <c r="U424" s="27"/>
      <c r="V424" s="9"/>
      <c r="W424" s="9">
        <f>ROUND(Q424 / 1.2, 2)</f>
        <v>1149.17</v>
      </c>
      <c r="X424" s="9">
        <f>ROUND(R424 / 1.2, 2)</f>
        <v>1149.17</v>
      </c>
      <c r="Y424" s="9"/>
      <c r="Z424" s="9">
        <f>ROUND(T424 / 1.2, 2)</f>
        <v>121237.08</v>
      </c>
      <c r="AA424" s="9"/>
      <c r="AD424" s="4">
        <v>315454917</v>
      </c>
      <c r="AE424" s="4">
        <v>26813852</v>
      </c>
      <c r="AG424" s="4" t="s">
        <v>1121</v>
      </c>
      <c r="AH424" s="4" t="s">
        <v>1122</v>
      </c>
      <c r="AI424" s="4"/>
    </row>
    <row r="425" spans="1:35" ht="18" x14ac:dyDescent="0.3">
      <c r="A425" s="17" t="s">
        <v>1250</v>
      </c>
      <c r="B425" s="17"/>
      <c r="C425" s="34" t="s">
        <v>1125</v>
      </c>
      <c r="D425" s="19"/>
      <c r="E425" s="19"/>
      <c r="F425" s="35" t="s">
        <v>356</v>
      </c>
      <c r="G425" s="36">
        <v>15</v>
      </c>
      <c r="H425" s="19"/>
      <c r="I425" s="37">
        <v>0</v>
      </c>
      <c r="J425" s="38">
        <v>0.95</v>
      </c>
      <c r="K425" s="39"/>
      <c r="L425" s="39"/>
      <c r="M425" s="38">
        <f t="shared" ref="M425:M444" si="107">ROUND(ROUND(J425, 2)*I425, 2)</f>
        <v>0</v>
      </c>
      <c r="N425" s="39"/>
      <c r="O425" s="39"/>
      <c r="P425" s="38">
        <v>0.95</v>
      </c>
      <c r="Q425" s="39"/>
      <c r="R425" s="39"/>
      <c r="S425" s="38">
        <f t="shared" ref="S425:S444" si="108">ROUND(ROUND(P425, 2)*I425, 2)</f>
        <v>0</v>
      </c>
      <c r="T425" s="39"/>
      <c r="U425" s="40"/>
      <c r="V425" s="9">
        <f t="shared" ref="V425:V444" si="109">ROUND(ROUND(P425, 2)/1.2, 2)</f>
        <v>0.79</v>
      </c>
      <c r="Y425" s="9">
        <f t="shared" ref="Y425:Y445" si="110">ROUND(S425 / 1.2, 2)</f>
        <v>0</v>
      </c>
      <c r="AD425" s="4" t="s">
        <v>1251</v>
      </c>
      <c r="AE425" s="4" t="s">
        <v>1252</v>
      </c>
      <c r="AF425" s="4" t="s">
        <v>1128</v>
      </c>
    </row>
    <row r="426" spans="1:35" ht="18" x14ac:dyDescent="0.3">
      <c r="A426" s="23" t="s">
        <v>1253</v>
      </c>
      <c r="B426" s="23"/>
      <c r="C426" s="41" t="s">
        <v>1125</v>
      </c>
      <c r="D426" s="25"/>
      <c r="E426" s="25"/>
      <c r="F426" s="42" t="s">
        <v>356</v>
      </c>
      <c r="G426" s="43">
        <v>15</v>
      </c>
      <c r="H426" s="25"/>
      <c r="I426" s="43">
        <v>1582.5</v>
      </c>
      <c r="J426" s="44">
        <v>0.95</v>
      </c>
      <c r="K426" s="45"/>
      <c r="L426" s="45"/>
      <c r="M426" s="44">
        <f t="shared" si="107"/>
        <v>1503.38</v>
      </c>
      <c r="N426" s="45"/>
      <c r="O426" s="45"/>
      <c r="P426" s="44">
        <v>0.95</v>
      </c>
      <c r="Q426" s="45"/>
      <c r="R426" s="45"/>
      <c r="S426" s="44">
        <f t="shared" si="108"/>
        <v>1503.38</v>
      </c>
      <c r="T426" s="45"/>
      <c r="U426" s="46"/>
      <c r="V426" s="9">
        <f t="shared" si="109"/>
        <v>0.79</v>
      </c>
      <c r="Y426" s="9">
        <f t="shared" si="110"/>
        <v>1252.82</v>
      </c>
      <c r="AD426" s="4" t="s">
        <v>1254</v>
      </c>
      <c r="AE426" s="4" t="s">
        <v>1252</v>
      </c>
      <c r="AF426" s="4" t="s">
        <v>1128</v>
      </c>
    </row>
    <row r="427" spans="1:35" ht="18" x14ac:dyDescent="0.3">
      <c r="A427" s="17" t="s">
        <v>1255</v>
      </c>
      <c r="B427" s="17"/>
      <c r="C427" s="34" t="s">
        <v>1132</v>
      </c>
      <c r="D427" s="19"/>
      <c r="E427" s="19"/>
      <c r="F427" s="35" t="s">
        <v>364</v>
      </c>
      <c r="G427" s="36">
        <v>0.35</v>
      </c>
      <c r="H427" s="19"/>
      <c r="I427" s="37">
        <v>0</v>
      </c>
      <c r="J427" s="38">
        <v>55</v>
      </c>
      <c r="K427" s="39"/>
      <c r="L427" s="39"/>
      <c r="M427" s="38">
        <f t="shared" si="107"/>
        <v>0</v>
      </c>
      <c r="N427" s="39"/>
      <c r="O427" s="39"/>
      <c r="P427" s="38">
        <v>55</v>
      </c>
      <c r="Q427" s="39"/>
      <c r="R427" s="39"/>
      <c r="S427" s="38">
        <f t="shared" si="108"/>
        <v>0</v>
      </c>
      <c r="T427" s="39"/>
      <c r="U427" s="40"/>
      <c r="V427" s="9">
        <f t="shared" si="109"/>
        <v>45.83</v>
      </c>
      <c r="Y427" s="9">
        <f t="shared" si="110"/>
        <v>0</v>
      </c>
      <c r="AD427" s="4" t="s">
        <v>1256</v>
      </c>
      <c r="AE427" s="4" t="s">
        <v>1257</v>
      </c>
      <c r="AF427" s="4" t="s">
        <v>1135</v>
      </c>
    </row>
    <row r="428" spans="1:35" ht="18" x14ac:dyDescent="0.3">
      <c r="A428" s="23" t="s">
        <v>1258</v>
      </c>
      <c r="B428" s="23"/>
      <c r="C428" s="41" t="s">
        <v>1132</v>
      </c>
      <c r="D428" s="25"/>
      <c r="E428" s="25"/>
      <c r="F428" s="42" t="s">
        <v>364</v>
      </c>
      <c r="G428" s="43">
        <v>0.35</v>
      </c>
      <c r="H428" s="25"/>
      <c r="I428" s="43">
        <v>36.924999999999997</v>
      </c>
      <c r="J428" s="44">
        <v>55</v>
      </c>
      <c r="K428" s="45"/>
      <c r="L428" s="45"/>
      <c r="M428" s="44">
        <f t="shared" si="107"/>
        <v>2030.88</v>
      </c>
      <c r="N428" s="45"/>
      <c r="O428" s="45"/>
      <c r="P428" s="44">
        <v>55</v>
      </c>
      <c r="Q428" s="45"/>
      <c r="R428" s="45"/>
      <c r="S428" s="44">
        <f t="shared" si="108"/>
        <v>2030.88</v>
      </c>
      <c r="T428" s="45"/>
      <c r="U428" s="46"/>
      <c r="V428" s="9">
        <f t="shared" si="109"/>
        <v>45.83</v>
      </c>
      <c r="Y428" s="9">
        <f t="shared" si="110"/>
        <v>1692.4</v>
      </c>
      <c r="AD428" s="4" t="s">
        <v>1259</v>
      </c>
      <c r="AE428" s="4" t="s">
        <v>1257</v>
      </c>
      <c r="AF428" s="4" t="s">
        <v>1135</v>
      </c>
    </row>
    <row r="429" spans="1:35" ht="18" x14ac:dyDescent="0.3">
      <c r="A429" s="17" t="s">
        <v>1260</v>
      </c>
      <c r="B429" s="17"/>
      <c r="C429" s="34" t="s">
        <v>1139</v>
      </c>
      <c r="D429" s="19"/>
      <c r="E429" s="19"/>
      <c r="F429" s="35" t="s">
        <v>356</v>
      </c>
      <c r="G429" s="36">
        <v>0.3</v>
      </c>
      <c r="H429" s="19"/>
      <c r="I429" s="37">
        <v>0</v>
      </c>
      <c r="J429" s="38">
        <v>5.6</v>
      </c>
      <c r="K429" s="39"/>
      <c r="L429" s="39"/>
      <c r="M429" s="38">
        <f t="shared" si="107"/>
        <v>0</v>
      </c>
      <c r="N429" s="39"/>
      <c r="O429" s="39"/>
      <c r="P429" s="38">
        <v>5.6</v>
      </c>
      <c r="Q429" s="39"/>
      <c r="R429" s="39"/>
      <c r="S429" s="38">
        <f t="shared" si="108"/>
        <v>0</v>
      </c>
      <c r="T429" s="39"/>
      <c r="U429" s="40"/>
      <c r="V429" s="9">
        <f t="shared" si="109"/>
        <v>4.67</v>
      </c>
      <c r="Y429" s="9">
        <f t="shared" si="110"/>
        <v>0</v>
      </c>
      <c r="AD429" s="4" t="s">
        <v>1261</v>
      </c>
      <c r="AE429" s="4" t="s">
        <v>1262</v>
      </c>
      <c r="AF429" s="4" t="s">
        <v>1142</v>
      </c>
    </row>
    <row r="430" spans="1:35" ht="18" x14ac:dyDescent="0.3">
      <c r="A430" s="23" t="s">
        <v>1263</v>
      </c>
      <c r="B430" s="23"/>
      <c r="C430" s="41" t="s">
        <v>1139</v>
      </c>
      <c r="D430" s="25"/>
      <c r="E430" s="25"/>
      <c r="F430" s="42" t="s">
        <v>356</v>
      </c>
      <c r="G430" s="43">
        <v>0.3</v>
      </c>
      <c r="H430" s="25"/>
      <c r="I430" s="43">
        <v>31.65</v>
      </c>
      <c r="J430" s="44">
        <v>5.6</v>
      </c>
      <c r="K430" s="45"/>
      <c r="L430" s="45"/>
      <c r="M430" s="44">
        <f t="shared" si="107"/>
        <v>177.24</v>
      </c>
      <c r="N430" s="45"/>
      <c r="O430" s="45"/>
      <c r="P430" s="44">
        <v>5.6</v>
      </c>
      <c r="Q430" s="45"/>
      <c r="R430" s="45"/>
      <c r="S430" s="44">
        <f t="shared" si="108"/>
        <v>177.24</v>
      </c>
      <c r="T430" s="45"/>
      <c r="U430" s="46"/>
      <c r="V430" s="9">
        <f t="shared" si="109"/>
        <v>4.67</v>
      </c>
      <c r="Y430" s="9">
        <f t="shared" si="110"/>
        <v>147.69999999999999</v>
      </c>
      <c r="AD430" s="4" t="s">
        <v>1264</v>
      </c>
      <c r="AE430" s="4" t="s">
        <v>1262</v>
      </c>
      <c r="AF430" s="4" t="s">
        <v>1142</v>
      </c>
    </row>
    <row r="431" spans="1:35" ht="36" x14ac:dyDescent="0.3">
      <c r="A431" s="17" t="s">
        <v>1265</v>
      </c>
      <c r="B431" s="17"/>
      <c r="C431" s="34" t="s">
        <v>1146</v>
      </c>
      <c r="D431" s="19"/>
      <c r="E431" s="19"/>
      <c r="F431" s="35" t="s">
        <v>356</v>
      </c>
      <c r="G431" s="36">
        <v>3.6</v>
      </c>
      <c r="H431" s="19"/>
      <c r="I431" s="37">
        <v>0</v>
      </c>
      <c r="J431" s="38">
        <v>15.9</v>
      </c>
      <c r="K431" s="39"/>
      <c r="L431" s="39"/>
      <c r="M431" s="38">
        <f t="shared" si="107"/>
        <v>0</v>
      </c>
      <c r="N431" s="39"/>
      <c r="O431" s="39"/>
      <c r="P431" s="38">
        <v>15.9</v>
      </c>
      <c r="Q431" s="39"/>
      <c r="R431" s="39"/>
      <c r="S431" s="38">
        <f t="shared" si="108"/>
        <v>0</v>
      </c>
      <c r="T431" s="39"/>
      <c r="U431" s="40"/>
      <c r="V431" s="9">
        <f t="shared" si="109"/>
        <v>13.25</v>
      </c>
      <c r="Y431" s="9">
        <f t="shared" si="110"/>
        <v>0</v>
      </c>
      <c r="AD431" s="4" t="s">
        <v>1266</v>
      </c>
      <c r="AE431" s="4" t="s">
        <v>1267</v>
      </c>
      <c r="AF431" s="4" t="s">
        <v>1149</v>
      </c>
    </row>
    <row r="432" spans="1:35" ht="36" x14ac:dyDescent="0.3">
      <c r="A432" s="23" t="s">
        <v>1268</v>
      </c>
      <c r="B432" s="23"/>
      <c r="C432" s="41" t="s">
        <v>1146</v>
      </c>
      <c r="D432" s="25"/>
      <c r="E432" s="25"/>
      <c r="F432" s="42" t="s">
        <v>356</v>
      </c>
      <c r="G432" s="43">
        <v>3.6</v>
      </c>
      <c r="H432" s="25"/>
      <c r="I432" s="43">
        <v>379.8</v>
      </c>
      <c r="J432" s="44">
        <v>15.9</v>
      </c>
      <c r="K432" s="45"/>
      <c r="L432" s="45"/>
      <c r="M432" s="44">
        <f t="shared" si="107"/>
        <v>6038.82</v>
      </c>
      <c r="N432" s="45"/>
      <c r="O432" s="45"/>
      <c r="P432" s="44">
        <v>15.9</v>
      </c>
      <c r="Q432" s="45"/>
      <c r="R432" s="45"/>
      <c r="S432" s="44">
        <f t="shared" si="108"/>
        <v>6038.82</v>
      </c>
      <c r="T432" s="45"/>
      <c r="U432" s="46"/>
      <c r="V432" s="9">
        <f t="shared" si="109"/>
        <v>13.25</v>
      </c>
      <c r="Y432" s="9">
        <f t="shared" si="110"/>
        <v>5032.3500000000004</v>
      </c>
      <c r="AD432" s="4" t="s">
        <v>1269</v>
      </c>
      <c r="AE432" s="4" t="s">
        <v>1267</v>
      </c>
      <c r="AF432" s="4" t="s">
        <v>1149</v>
      </c>
    </row>
    <row r="433" spans="1:35" ht="18" x14ac:dyDescent="0.3">
      <c r="A433" s="17" t="s">
        <v>1270</v>
      </c>
      <c r="B433" s="17"/>
      <c r="C433" s="34" t="s">
        <v>1153</v>
      </c>
      <c r="D433" s="19"/>
      <c r="E433" s="19"/>
      <c r="F433" s="35" t="s">
        <v>76</v>
      </c>
      <c r="G433" s="36">
        <v>1.2</v>
      </c>
      <c r="H433" s="19"/>
      <c r="I433" s="37">
        <v>0</v>
      </c>
      <c r="J433" s="38">
        <v>22.82</v>
      </c>
      <c r="K433" s="39"/>
      <c r="L433" s="39"/>
      <c r="M433" s="38">
        <f t="shared" si="107"/>
        <v>0</v>
      </c>
      <c r="N433" s="39"/>
      <c r="O433" s="39"/>
      <c r="P433" s="38">
        <v>22.82</v>
      </c>
      <c r="Q433" s="39"/>
      <c r="R433" s="39"/>
      <c r="S433" s="38">
        <f t="shared" si="108"/>
        <v>0</v>
      </c>
      <c r="T433" s="39"/>
      <c r="U433" s="40"/>
      <c r="V433" s="9">
        <f t="shared" si="109"/>
        <v>19.02</v>
      </c>
      <c r="Y433" s="9">
        <f t="shared" si="110"/>
        <v>0</v>
      </c>
      <c r="AD433" s="4" t="s">
        <v>1271</v>
      </c>
      <c r="AE433" s="4" t="s">
        <v>1272</v>
      </c>
      <c r="AF433" s="4" t="s">
        <v>1156</v>
      </c>
    </row>
    <row r="434" spans="1:35" ht="18" x14ac:dyDescent="0.3">
      <c r="A434" s="23" t="s">
        <v>1273</v>
      </c>
      <c r="B434" s="23"/>
      <c r="C434" s="41" t="s">
        <v>1153</v>
      </c>
      <c r="D434" s="25"/>
      <c r="E434" s="25"/>
      <c r="F434" s="42" t="s">
        <v>76</v>
      </c>
      <c r="G434" s="43">
        <v>1.2</v>
      </c>
      <c r="H434" s="25"/>
      <c r="I434" s="43">
        <v>126.6</v>
      </c>
      <c r="J434" s="44">
        <v>22.82</v>
      </c>
      <c r="K434" s="45"/>
      <c r="L434" s="45"/>
      <c r="M434" s="44">
        <f t="shared" si="107"/>
        <v>2889.01</v>
      </c>
      <c r="N434" s="45"/>
      <c r="O434" s="45"/>
      <c r="P434" s="44">
        <v>22.82</v>
      </c>
      <c r="Q434" s="45"/>
      <c r="R434" s="45"/>
      <c r="S434" s="44">
        <f t="shared" si="108"/>
        <v>2889.01</v>
      </c>
      <c r="T434" s="45"/>
      <c r="U434" s="46"/>
      <c r="V434" s="9">
        <f t="shared" si="109"/>
        <v>19.02</v>
      </c>
      <c r="Y434" s="9">
        <f t="shared" si="110"/>
        <v>2407.5100000000002</v>
      </c>
      <c r="AD434" s="4" t="s">
        <v>1274</v>
      </c>
      <c r="AE434" s="4" t="s">
        <v>1272</v>
      </c>
      <c r="AF434" s="4" t="s">
        <v>1156</v>
      </c>
    </row>
    <row r="435" spans="1:35" ht="18" x14ac:dyDescent="0.3">
      <c r="A435" s="17" t="s">
        <v>1275</v>
      </c>
      <c r="B435" s="17"/>
      <c r="C435" s="34" t="s">
        <v>1160</v>
      </c>
      <c r="D435" s="19"/>
      <c r="E435" s="19"/>
      <c r="F435" s="35" t="s">
        <v>76</v>
      </c>
      <c r="G435" s="36">
        <v>4.7</v>
      </c>
      <c r="H435" s="19"/>
      <c r="I435" s="37">
        <v>0</v>
      </c>
      <c r="J435" s="38">
        <v>66.98</v>
      </c>
      <c r="K435" s="39"/>
      <c r="L435" s="39"/>
      <c r="M435" s="38">
        <f t="shared" si="107"/>
        <v>0</v>
      </c>
      <c r="N435" s="39"/>
      <c r="O435" s="39"/>
      <c r="P435" s="38">
        <v>66.98</v>
      </c>
      <c r="Q435" s="39"/>
      <c r="R435" s="39"/>
      <c r="S435" s="38">
        <f t="shared" si="108"/>
        <v>0</v>
      </c>
      <c r="T435" s="39"/>
      <c r="U435" s="40"/>
      <c r="V435" s="9">
        <f t="shared" si="109"/>
        <v>55.82</v>
      </c>
      <c r="Y435" s="9">
        <f t="shared" si="110"/>
        <v>0</v>
      </c>
      <c r="AD435" s="4" t="s">
        <v>1276</v>
      </c>
      <c r="AE435" s="4" t="s">
        <v>1277</v>
      </c>
      <c r="AF435" s="4" t="s">
        <v>1163</v>
      </c>
    </row>
    <row r="436" spans="1:35" ht="18" x14ac:dyDescent="0.3">
      <c r="A436" s="23" t="s">
        <v>1278</v>
      </c>
      <c r="B436" s="23"/>
      <c r="C436" s="41" t="s">
        <v>1160</v>
      </c>
      <c r="D436" s="25"/>
      <c r="E436" s="25"/>
      <c r="F436" s="42" t="s">
        <v>76</v>
      </c>
      <c r="G436" s="43">
        <v>4.7</v>
      </c>
      <c r="H436" s="25"/>
      <c r="I436" s="43">
        <v>495.85</v>
      </c>
      <c r="J436" s="44">
        <v>66.98</v>
      </c>
      <c r="K436" s="45"/>
      <c r="L436" s="45"/>
      <c r="M436" s="44">
        <f t="shared" si="107"/>
        <v>33212.03</v>
      </c>
      <c r="N436" s="45"/>
      <c r="O436" s="45"/>
      <c r="P436" s="44">
        <v>66.98</v>
      </c>
      <c r="Q436" s="45"/>
      <c r="R436" s="45"/>
      <c r="S436" s="44">
        <f t="shared" si="108"/>
        <v>33212.03</v>
      </c>
      <c r="T436" s="45"/>
      <c r="U436" s="46"/>
      <c r="V436" s="9">
        <f t="shared" si="109"/>
        <v>55.82</v>
      </c>
      <c r="Y436" s="9">
        <f t="shared" si="110"/>
        <v>27676.69</v>
      </c>
      <c r="AD436" s="4" t="s">
        <v>1279</v>
      </c>
      <c r="AE436" s="4" t="s">
        <v>1277</v>
      </c>
      <c r="AF436" s="4" t="s">
        <v>1163</v>
      </c>
    </row>
    <row r="437" spans="1:35" ht="18" x14ac:dyDescent="0.3">
      <c r="A437" s="17" t="s">
        <v>1280</v>
      </c>
      <c r="B437" s="17"/>
      <c r="C437" s="34" t="s">
        <v>1281</v>
      </c>
      <c r="D437" s="19"/>
      <c r="E437" s="19"/>
      <c r="F437" s="35" t="s">
        <v>61</v>
      </c>
      <c r="G437" s="36">
        <v>1.05</v>
      </c>
      <c r="H437" s="19"/>
      <c r="I437" s="37">
        <v>0</v>
      </c>
      <c r="J437" s="38">
        <v>0</v>
      </c>
      <c r="K437" s="39"/>
      <c r="L437" s="39"/>
      <c r="M437" s="38">
        <f t="shared" si="107"/>
        <v>0</v>
      </c>
      <c r="N437" s="39"/>
      <c r="O437" s="39"/>
      <c r="P437" s="38">
        <v>1520.33</v>
      </c>
      <c r="Q437" s="39"/>
      <c r="R437" s="39"/>
      <c r="S437" s="38">
        <f t="shared" si="108"/>
        <v>0</v>
      </c>
      <c r="T437" s="39"/>
      <c r="U437" s="40"/>
      <c r="V437" s="9">
        <f t="shared" si="109"/>
        <v>1266.94</v>
      </c>
      <c r="Y437" s="9">
        <f t="shared" si="110"/>
        <v>0</v>
      </c>
      <c r="AD437" s="4" t="s">
        <v>1282</v>
      </c>
      <c r="AE437" s="4" t="s">
        <v>1283</v>
      </c>
      <c r="AF437" s="4" t="s">
        <v>1284</v>
      </c>
    </row>
    <row r="438" spans="1:35" ht="18" x14ac:dyDescent="0.3">
      <c r="A438" s="23" t="s">
        <v>1285</v>
      </c>
      <c r="B438" s="23"/>
      <c r="C438" s="41" t="s">
        <v>1281</v>
      </c>
      <c r="D438" s="25"/>
      <c r="E438" s="25"/>
      <c r="F438" s="42" t="s">
        <v>61</v>
      </c>
      <c r="G438" s="43">
        <v>1.05</v>
      </c>
      <c r="H438" s="25"/>
      <c r="I438" s="43">
        <v>110.77500000000001</v>
      </c>
      <c r="J438" s="44">
        <v>0</v>
      </c>
      <c r="K438" s="45"/>
      <c r="L438" s="45"/>
      <c r="M438" s="44">
        <f t="shared" si="107"/>
        <v>0</v>
      </c>
      <c r="N438" s="45"/>
      <c r="O438" s="45"/>
      <c r="P438" s="44">
        <v>1520.33</v>
      </c>
      <c r="Q438" s="45"/>
      <c r="R438" s="45"/>
      <c r="S438" s="44">
        <f t="shared" si="108"/>
        <v>168414.56</v>
      </c>
      <c r="T438" s="45"/>
      <c r="U438" s="46"/>
      <c r="V438" s="9">
        <f t="shared" si="109"/>
        <v>1266.94</v>
      </c>
      <c r="Y438" s="9">
        <f t="shared" si="110"/>
        <v>140345.47</v>
      </c>
      <c r="AD438" s="4" t="s">
        <v>1286</v>
      </c>
      <c r="AE438" s="4" t="s">
        <v>1283</v>
      </c>
      <c r="AF438" s="4" t="s">
        <v>1284</v>
      </c>
    </row>
    <row r="439" spans="1:35" ht="18" x14ac:dyDescent="0.3">
      <c r="A439" s="17" t="s">
        <v>1287</v>
      </c>
      <c r="B439" s="17"/>
      <c r="C439" s="34" t="s">
        <v>1167</v>
      </c>
      <c r="D439" s="19"/>
      <c r="E439" s="19"/>
      <c r="F439" s="35" t="s">
        <v>76</v>
      </c>
      <c r="G439" s="36">
        <v>1.05</v>
      </c>
      <c r="H439" s="19"/>
      <c r="I439" s="37">
        <v>0</v>
      </c>
      <c r="J439" s="38">
        <v>4.5999999999999996</v>
      </c>
      <c r="K439" s="39"/>
      <c r="L439" s="39"/>
      <c r="M439" s="38">
        <f t="shared" si="107"/>
        <v>0</v>
      </c>
      <c r="N439" s="39"/>
      <c r="O439" s="39"/>
      <c r="P439" s="38">
        <v>4.5999999999999996</v>
      </c>
      <c r="Q439" s="39"/>
      <c r="R439" s="39"/>
      <c r="S439" s="38">
        <f t="shared" si="108"/>
        <v>0</v>
      </c>
      <c r="T439" s="39"/>
      <c r="U439" s="40"/>
      <c r="V439" s="9">
        <f t="shared" si="109"/>
        <v>3.83</v>
      </c>
      <c r="Y439" s="9">
        <f t="shared" si="110"/>
        <v>0</v>
      </c>
      <c r="AD439" s="4" t="s">
        <v>1288</v>
      </c>
      <c r="AE439" s="4" t="s">
        <v>1289</v>
      </c>
      <c r="AF439" s="4" t="s">
        <v>1170</v>
      </c>
    </row>
    <row r="440" spans="1:35" ht="18" x14ac:dyDescent="0.3">
      <c r="A440" s="23" t="s">
        <v>1290</v>
      </c>
      <c r="B440" s="23"/>
      <c r="C440" s="41" t="s">
        <v>1167</v>
      </c>
      <c r="D440" s="25"/>
      <c r="E440" s="25"/>
      <c r="F440" s="42" t="s">
        <v>76</v>
      </c>
      <c r="G440" s="43">
        <v>1.05</v>
      </c>
      <c r="H440" s="25"/>
      <c r="I440" s="43">
        <v>110.77500000000001</v>
      </c>
      <c r="J440" s="44">
        <v>4.5999999999999996</v>
      </c>
      <c r="K440" s="45"/>
      <c r="L440" s="45"/>
      <c r="M440" s="44">
        <f t="shared" si="107"/>
        <v>509.57</v>
      </c>
      <c r="N440" s="45"/>
      <c r="O440" s="45"/>
      <c r="P440" s="44">
        <v>4.5999999999999996</v>
      </c>
      <c r="Q440" s="45"/>
      <c r="R440" s="45"/>
      <c r="S440" s="44">
        <f t="shared" si="108"/>
        <v>509.57</v>
      </c>
      <c r="T440" s="45"/>
      <c r="U440" s="46"/>
      <c r="V440" s="9">
        <f t="shared" si="109"/>
        <v>3.83</v>
      </c>
      <c r="Y440" s="9">
        <f t="shared" si="110"/>
        <v>424.64</v>
      </c>
      <c r="AD440" s="4" t="s">
        <v>1291</v>
      </c>
      <c r="AE440" s="4" t="s">
        <v>1289</v>
      </c>
      <c r="AF440" s="4" t="s">
        <v>1170</v>
      </c>
    </row>
    <row r="441" spans="1:35" ht="18" x14ac:dyDescent="0.3">
      <c r="A441" s="17" t="s">
        <v>1292</v>
      </c>
      <c r="B441" s="17"/>
      <c r="C441" s="34" t="s">
        <v>1174</v>
      </c>
      <c r="D441" s="19"/>
      <c r="E441" s="19"/>
      <c r="F441" s="35" t="s">
        <v>76</v>
      </c>
      <c r="G441" s="36">
        <v>0.25</v>
      </c>
      <c r="H441" s="19"/>
      <c r="I441" s="37">
        <v>0</v>
      </c>
      <c r="J441" s="38">
        <v>2.8</v>
      </c>
      <c r="K441" s="39"/>
      <c r="L441" s="39"/>
      <c r="M441" s="38">
        <f t="shared" si="107"/>
        <v>0</v>
      </c>
      <c r="N441" s="39"/>
      <c r="O441" s="39"/>
      <c r="P441" s="38">
        <v>2.8</v>
      </c>
      <c r="Q441" s="39"/>
      <c r="R441" s="39"/>
      <c r="S441" s="38">
        <f t="shared" si="108"/>
        <v>0</v>
      </c>
      <c r="T441" s="39"/>
      <c r="U441" s="40"/>
      <c r="V441" s="9">
        <f t="shared" si="109"/>
        <v>2.33</v>
      </c>
      <c r="Y441" s="9">
        <f t="shared" si="110"/>
        <v>0</v>
      </c>
      <c r="AD441" s="4" t="s">
        <v>1293</v>
      </c>
      <c r="AE441" s="4" t="s">
        <v>1294</v>
      </c>
      <c r="AF441" s="4" t="s">
        <v>1177</v>
      </c>
    </row>
    <row r="442" spans="1:35" ht="18" x14ac:dyDescent="0.3">
      <c r="A442" s="23" t="s">
        <v>1295</v>
      </c>
      <c r="B442" s="23"/>
      <c r="C442" s="41" t="s">
        <v>1174</v>
      </c>
      <c r="D442" s="25"/>
      <c r="E442" s="25"/>
      <c r="F442" s="42" t="s">
        <v>76</v>
      </c>
      <c r="G442" s="43">
        <v>0.25</v>
      </c>
      <c r="H442" s="25"/>
      <c r="I442" s="43">
        <v>26.375</v>
      </c>
      <c r="J442" s="44">
        <v>2.8</v>
      </c>
      <c r="K442" s="45"/>
      <c r="L442" s="45"/>
      <c r="M442" s="44">
        <f t="shared" si="107"/>
        <v>73.849999999999994</v>
      </c>
      <c r="N442" s="45"/>
      <c r="O442" s="45"/>
      <c r="P442" s="44">
        <v>2.8</v>
      </c>
      <c r="Q442" s="45"/>
      <c r="R442" s="45"/>
      <c r="S442" s="44">
        <f t="shared" si="108"/>
        <v>73.849999999999994</v>
      </c>
      <c r="T442" s="45"/>
      <c r="U442" s="46"/>
      <c r="V442" s="9">
        <f t="shared" si="109"/>
        <v>2.33</v>
      </c>
      <c r="Y442" s="9">
        <f t="shared" si="110"/>
        <v>61.54</v>
      </c>
      <c r="AD442" s="4" t="s">
        <v>1296</v>
      </c>
      <c r="AE442" s="4" t="s">
        <v>1294</v>
      </c>
      <c r="AF442" s="4" t="s">
        <v>1177</v>
      </c>
    </row>
    <row r="443" spans="1:35" ht="18" x14ac:dyDescent="0.3">
      <c r="A443" s="17" t="s">
        <v>1297</v>
      </c>
      <c r="B443" s="17"/>
      <c r="C443" s="34" t="s">
        <v>1188</v>
      </c>
      <c r="D443" s="19"/>
      <c r="E443" s="19"/>
      <c r="F443" s="35" t="s">
        <v>356</v>
      </c>
      <c r="G443" s="36">
        <v>0.75</v>
      </c>
      <c r="H443" s="19"/>
      <c r="I443" s="37">
        <v>0</v>
      </c>
      <c r="J443" s="38">
        <v>2.8</v>
      </c>
      <c r="K443" s="39"/>
      <c r="L443" s="39"/>
      <c r="M443" s="38">
        <f t="shared" si="107"/>
        <v>0</v>
      </c>
      <c r="N443" s="39"/>
      <c r="O443" s="39"/>
      <c r="P443" s="38">
        <v>2.8</v>
      </c>
      <c r="Q443" s="39"/>
      <c r="R443" s="39"/>
      <c r="S443" s="38">
        <f t="shared" si="108"/>
        <v>0</v>
      </c>
      <c r="T443" s="39"/>
      <c r="U443" s="40"/>
      <c r="V443" s="9">
        <f t="shared" si="109"/>
        <v>2.33</v>
      </c>
      <c r="Y443" s="9">
        <f t="shared" si="110"/>
        <v>0</v>
      </c>
      <c r="AD443" s="4" t="s">
        <v>1298</v>
      </c>
      <c r="AE443" s="4" t="s">
        <v>1299</v>
      </c>
      <c r="AF443" s="4" t="s">
        <v>1191</v>
      </c>
    </row>
    <row r="444" spans="1:35" ht="18" x14ac:dyDescent="0.3">
      <c r="A444" s="23" t="s">
        <v>1300</v>
      </c>
      <c r="B444" s="23"/>
      <c r="C444" s="41" t="s">
        <v>1188</v>
      </c>
      <c r="D444" s="25"/>
      <c r="E444" s="25"/>
      <c r="F444" s="42" t="s">
        <v>356</v>
      </c>
      <c r="G444" s="43">
        <v>0.75</v>
      </c>
      <c r="H444" s="25"/>
      <c r="I444" s="43">
        <v>79.125</v>
      </c>
      <c r="J444" s="44">
        <v>2.8</v>
      </c>
      <c r="K444" s="45"/>
      <c r="L444" s="45"/>
      <c r="M444" s="44">
        <f t="shared" si="107"/>
        <v>221.55</v>
      </c>
      <c r="N444" s="45"/>
      <c r="O444" s="45"/>
      <c r="P444" s="44">
        <v>2.8</v>
      </c>
      <c r="Q444" s="45"/>
      <c r="R444" s="45"/>
      <c r="S444" s="44">
        <f t="shared" si="108"/>
        <v>221.55</v>
      </c>
      <c r="T444" s="45"/>
      <c r="U444" s="46"/>
      <c r="V444" s="9">
        <f t="shared" si="109"/>
        <v>2.33</v>
      </c>
      <c r="Y444" s="9">
        <f t="shared" si="110"/>
        <v>184.63</v>
      </c>
      <c r="AD444" s="4" t="s">
        <v>1301</v>
      </c>
      <c r="AE444" s="4" t="s">
        <v>1299</v>
      </c>
      <c r="AF444" s="4" t="s">
        <v>1191</v>
      </c>
    </row>
    <row r="445" spans="1:35" ht="108" x14ac:dyDescent="0.3">
      <c r="A445" s="17" t="s">
        <v>1302</v>
      </c>
      <c r="B445" s="17" t="s">
        <v>1303</v>
      </c>
      <c r="C445" s="18" t="s">
        <v>1304</v>
      </c>
      <c r="D445" s="19"/>
      <c r="E445" s="19" t="s">
        <v>1305</v>
      </c>
      <c r="F445" s="19" t="s">
        <v>61</v>
      </c>
      <c r="G445" s="20">
        <v>1</v>
      </c>
      <c r="H445" s="19"/>
      <c r="I445" s="21">
        <v>0</v>
      </c>
      <c r="J445" s="22">
        <v>855.89</v>
      </c>
      <c r="K445" s="22">
        <v>963</v>
      </c>
      <c r="L445" s="22">
        <f>J445+ROUND(K445, 2)</f>
        <v>1818.8899999999999</v>
      </c>
      <c r="M445" s="22">
        <v>0</v>
      </c>
      <c r="N445" s="22">
        <v>0</v>
      </c>
      <c r="O445" s="22">
        <f>M445+N445</f>
        <v>0</v>
      </c>
      <c r="P445" s="22">
        <v>855.89</v>
      </c>
      <c r="Q445" s="22">
        <v>963</v>
      </c>
      <c r="R445" s="22">
        <f>P445+ROUND(Q445, 2)</f>
        <v>1818.8899999999999</v>
      </c>
      <c r="S445" s="22">
        <v>0</v>
      </c>
      <c r="T445" s="22">
        <v>0</v>
      </c>
      <c r="U445" s="22">
        <f>S445+T445</f>
        <v>0</v>
      </c>
      <c r="V445" s="9">
        <f>ROUND(P445 / 1.2, 2)</f>
        <v>713.24</v>
      </c>
      <c r="W445" s="9">
        <f>ROUND(Q445 / 1.2, 2)</f>
        <v>802.5</v>
      </c>
      <c r="X445" s="9">
        <f>ROUND(R445 / 1.2, 2)</f>
        <v>1515.74</v>
      </c>
      <c r="Y445" s="9">
        <f t="shared" si="110"/>
        <v>0</v>
      </c>
      <c r="Z445" s="9">
        <f>ROUND(T445 / 1.2, 2)</f>
        <v>0</v>
      </c>
      <c r="AA445" s="9">
        <f>Y445+Z445</f>
        <v>0</v>
      </c>
      <c r="AD445" s="4">
        <v>320320142</v>
      </c>
      <c r="AE445" s="4">
        <v>26813826</v>
      </c>
      <c r="AG445" s="4" t="s">
        <v>1306</v>
      </c>
      <c r="AH445" s="4" t="s">
        <v>1307</v>
      </c>
      <c r="AI445" s="4" t="s">
        <v>338</v>
      </c>
    </row>
    <row r="446" spans="1:35" ht="108" x14ac:dyDescent="0.3">
      <c r="A446" s="23" t="s">
        <v>1308</v>
      </c>
      <c r="B446" s="23" t="s">
        <v>1303</v>
      </c>
      <c r="C446" s="24" t="s">
        <v>1304</v>
      </c>
      <c r="D446" s="25"/>
      <c r="E446" s="25" t="s">
        <v>1305</v>
      </c>
      <c r="F446" s="25" t="s">
        <v>61</v>
      </c>
      <c r="G446" s="26">
        <v>1</v>
      </c>
      <c r="H446" s="25"/>
      <c r="I446" s="26">
        <v>170.6</v>
      </c>
      <c r="J446" s="27">
        <v>855.89</v>
      </c>
      <c r="K446" s="27">
        <v>963</v>
      </c>
      <c r="L446" s="27">
        <v>963</v>
      </c>
      <c r="M446" s="27">
        <v>146014.82999999999</v>
      </c>
      <c r="N446" s="27">
        <v>164287.79999999999</v>
      </c>
      <c r="O446" s="27"/>
      <c r="P446" s="27">
        <v>855.89</v>
      </c>
      <c r="Q446" s="27">
        <v>963</v>
      </c>
      <c r="R446" s="27">
        <v>963</v>
      </c>
      <c r="S446" s="27">
        <v>146014.82999999999</v>
      </c>
      <c r="T446" s="27">
        <v>164287.79999999999</v>
      </c>
      <c r="U446" s="27"/>
      <c r="V446" s="9"/>
      <c r="W446" s="9">
        <f>ROUND(Q446 / 1.2, 2)</f>
        <v>802.5</v>
      </c>
      <c r="X446" s="9">
        <f>ROUND(R446 / 1.2, 2)</f>
        <v>802.5</v>
      </c>
      <c r="Y446" s="9"/>
      <c r="Z446" s="9">
        <f>ROUND(T446 / 1.2, 2)</f>
        <v>136906.5</v>
      </c>
      <c r="AA446" s="9"/>
      <c r="AD446" s="4">
        <v>315454918</v>
      </c>
      <c r="AE446" s="4">
        <v>26813826</v>
      </c>
      <c r="AG446" s="4" t="s">
        <v>1306</v>
      </c>
      <c r="AH446" s="4" t="s">
        <v>1307</v>
      </c>
      <c r="AI446" s="4"/>
    </row>
    <row r="447" spans="1:35" ht="18" x14ac:dyDescent="0.3">
      <c r="A447" s="17" t="s">
        <v>1309</v>
      </c>
      <c r="B447" s="17"/>
      <c r="C447" s="34" t="s">
        <v>1310</v>
      </c>
      <c r="D447" s="19"/>
      <c r="E447" s="19"/>
      <c r="F447" s="35" t="s">
        <v>61</v>
      </c>
      <c r="G447" s="36">
        <v>1.1000000000000001</v>
      </c>
      <c r="H447" s="19"/>
      <c r="I447" s="48">
        <v>0</v>
      </c>
      <c r="J447" s="38">
        <v>778.08</v>
      </c>
      <c r="K447" s="39"/>
      <c r="L447" s="39"/>
      <c r="M447" s="38">
        <f>ROUND(ROUND(J447, 2)*I447, 2)</f>
        <v>0</v>
      </c>
      <c r="N447" s="39"/>
      <c r="O447" s="39"/>
      <c r="P447" s="38">
        <v>778.08</v>
      </c>
      <c r="Q447" s="39"/>
      <c r="R447" s="39"/>
      <c r="S447" s="38">
        <f>ROUND(ROUND(P447, 2)*I447, 2)</f>
        <v>0</v>
      </c>
      <c r="T447" s="39"/>
      <c r="U447" s="40"/>
      <c r="V447" s="9">
        <f>ROUND(ROUND(P447, 2)/1.2, 2)</f>
        <v>648.4</v>
      </c>
      <c r="Y447" s="9">
        <f>ROUND(S447 / 1.2, 2)</f>
        <v>0</v>
      </c>
      <c r="AD447" s="4" t="s">
        <v>1311</v>
      </c>
      <c r="AE447" s="4" t="s">
        <v>1312</v>
      </c>
      <c r="AF447" s="4" t="s">
        <v>1313</v>
      </c>
    </row>
    <row r="448" spans="1:35" ht="18" x14ac:dyDescent="0.3">
      <c r="A448" s="23" t="s">
        <v>1314</v>
      </c>
      <c r="B448" s="23"/>
      <c r="C448" s="41" t="s">
        <v>1310</v>
      </c>
      <c r="D448" s="25"/>
      <c r="E448" s="25"/>
      <c r="F448" s="42" t="s">
        <v>61</v>
      </c>
      <c r="G448" s="43">
        <v>1.1000000000000001</v>
      </c>
      <c r="H448" s="25"/>
      <c r="I448" s="50">
        <v>187.66</v>
      </c>
      <c r="J448" s="44">
        <v>778.08</v>
      </c>
      <c r="K448" s="45"/>
      <c r="L448" s="45"/>
      <c r="M448" s="44">
        <f>ROUND(ROUND(J448, 2)*I448, 2)</f>
        <v>146014.49</v>
      </c>
      <c r="N448" s="45"/>
      <c r="O448" s="45"/>
      <c r="P448" s="44">
        <v>778.08</v>
      </c>
      <c r="Q448" s="45"/>
      <c r="R448" s="45"/>
      <c r="S448" s="44">
        <f>ROUND(ROUND(P448, 2)*I448, 2)</f>
        <v>146014.49</v>
      </c>
      <c r="T448" s="45"/>
      <c r="U448" s="46"/>
      <c r="V448" s="9">
        <f>ROUND(ROUND(P448, 2)/1.2, 2)</f>
        <v>648.4</v>
      </c>
      <c r="Y448" s="9">
        <f>ROUND(S448 / 1.2, 2)</f>
        <v>121678.74</v>
      </c>
      <c r="AD448" s="4" t="s">
        <v>1315</v>
      </c>
      <c r="AE448" s="4" t="s">
        <v>1312</v>
      </c>
      <c r="AF448" s="4" t="s">
        <v>1313</v>
      </c>
    </row>
    <row r="449" spans="1:35" ht="16.95" customHeight="1" x14ac:dyDescent="0.3">
      <c r="A449" s="10" t="s">
        <v>1316</v>
      </c>
      <c r="B449" s="10" t="s">
        <v>1317</v>
      </c>
      <c r="C449" s="237" t="s">
        <v>1318</v>
      </c>
      <c r="D449" s="238"/>
      <c r="E449" s="238"/>
      <c r="F449" s="238"/>
      <c r="G449" s="238"/>
      <c r="H449" s="238"/>
      <c r="I449" s="239"/>
      <c r="M449" s="6">
        <f>SUM(M450)</f>
        <v>0</v>
      </c>
      <c r="N449" s="6">
        <f>SUM(N450)</f>
        <v>0</v>
      </c>
      <c r="O449" s="6">
        <f>SUM(O450)</f>
        <v>0</v>
      </c>
      <c r="S449" s="6">
        <f>SUM(S450)</f>
        <v>0</v>
      </c>
      <c r="T449" s="6">
        <f>SUM(T450)</f>
        <v>0</v>
      </c>
      <c r="U449" s="6">
        <f>SUM(U450)</f>
        <v>0</v>
      </c>
      <c r="Y449" s="9">
        <f>SUM(Y450)</f>
        <v>0</v>
      </c>
      <c r="Z449" s="9">
        <f>SUM(Z450)</f>
        <v>0</v>
      </c>
      <c r="AA449" s="9">
        <f>SUM(AA450)</f>
        <v>0</v>
      </c>
      <c r="AD449" s="4">
        <v>320320143</v>
      </c>
      <c r="AE449" s="4">
        <v>26813761</v>
      </c>
    </row>
    <row r="450" spans="1:35" ht="54" x14ac:dyDescent="0.3">
      <c r="A450" s="17" t="s">
        <v>1319</v>
      </c>
      <c r="B450" s="17" t="s">
        <v>1320</v>
      </c>
      <c r="C450" s="18" t="s">
        <v>1321</v>
      </c>
      <c r="D450" s="19" t="s">
        <v>1322</v>
      </c>
      <c r="E450" s="19"/>
      <c r="F450" s="19" t="s">
        <v>1323</v>
      </c>
      <c r="G450" s="20">
        <v>1</v>
      </c>
      <c r="H450" s="19"/>
      <c r="I450" s="21">
        <v>0</v>
      </c>
      <c r="J450" s="22">
        <v>0</v>
      </c>
      <c r="K450" s="22">
        <v>169189</v>
      </c>
      <c r="L450" s="22">
        <f>J450+ROUND(K450, 2)</f>
        <v>169189</v>
      </c>
      <c r="M450" s="22">
        <v>0</v>
      </c>
      <c r="N450" s="22">
        <v>0</v>
      </c>
      <c r="O450" s="22">
        <f>M450+N450</f>
        <v>0</v>
      </c>
      <c r="P450" s="22">
        <v>0</v>
      </c>
      <c r="Q450" s="22">
        <v>169189</v>
      </c>
      <c r="R450" s="22">
        <f>P450+ROUND(Q450, 2)</f>
        <v>169189</v>
      </c>
      <c r="S450" s="22">
        <v>0</v>
      </c>
      <c r="T450" s="22">
        <v>0</v>
      </c>
      <c r="U450" s="22">
        <f>S450+T450</f>
        <v>0</v>
      </c>
      <c r="V450" s="9"/>
      <c r="W450" s="9">
        <f>ROUND(Q450 / 1.2, 2)</f>
        <v>140990.82999999999</v>
      </c>
      <c r="X450" s="9">
        <f>ROUND(R450 / 1.2, 2)</f>
        <v>140990.82999999999</v>
      </c>
      <c r="Y450" s="9"/>
      <c r="Z450" s="9">
        <f>ROUND(T450 / 1.2, 2)</f>
        <v>0</v>
      </c>
      <c r="AA450" s="9">
        <f>Y450+Z450</f>
        <v>0</v>
      </c>
      <c r="AD450" s="4">
        <v>320320145</v>
      </c>
      <c r="AE450" s="4">
        <v>26813770</v>
      </c>
      <c r="AG450" s="4" t="s">
        <v>1324</v>
      </c>
      <c r="AH450" s="4" t="s">
        <v>1325</v>
      </c>
      <c r="AI450" s="4" t="s">
        <v>338</v>
      </c>
    </row>
    <row r="451" spans="1:35" ht="54" x14ac:dyDescent="0.3">
      <c r="A451" s="23" t="s">
        <v>1326</v>
      </c>
      <c r="B451" s="23" t="s">
        <v>1320</v>
      </c>
      <c r="C451" s="24" t="s">
        <v>1321</v>
      </c>
      <c r="D451" s="25" t="s">
        <v>1322</v>
      </c>
      <c r="E451" s="25"/>
      <c r="F451" s="25" t="s">
        <v>1323</v>
      </c>
      <c r="G451" s="26">
        <v>1</v>
      </c>
      <c r="H451" s="25"/>
      <c r="I451" s="26">
        <v>9</v>
      </c>
      <c r="J451" s="27">
        <v>0</v>
      </c>
      <c r="K451" s="27">
        <v>169189</v>
      </c>
      <c r="L451" s="27">
        <v>169189</v>
      </c>
      <c r="M451" s="27">
        <v>0</v>
      </c>
      <c r="N451" s="27">
        <v>1522701</v>
      </c>
      <c r="O451" s="27"/>
      <c r="P451" s="27">
        <v>0</v>
      </c>
      <c r="Q451" s="27">
        <v>169189</v>
      </c>
      <c r="R451" s="27">
        <v>169189</v>
      </c>
      <c r="S451" s="27">
        <v>0</v>
      </c>
      <c r="T451" s="27">
        <v>1522701</v>
      </c>
      <c r="U451" s="27"/>
      <c r="V451" s="9"/>
      <c r="W451" s="9">
        <f>ROUND(Q451 / 1.2, 2)</f>
        <v>140990.82999999999</v>
      </c>
      <c r="X451" s="9">
        <f>ROUND(R451 / 1.2, 2)</f>
        <v>140990.82999999999</v>
      </c>
      <c r="Y451" s="9"/>
      <c r="Z451" s="9">
        <f>ROUND(T451 / 1.2, 2)</f>
        <v>1268917.5</v>
      </c>
      <c r="AA451" s="9"/>
      <c r="AD451" s="4">
        <v>315454921</v>
      </c>
      <c r="AE451" s="4">
        <v>26813770</v>
      </c>
      <c r="AG451" s="4" t="s">
        <v>1324</v>
      </c>
      <c r="AH451" s="4" t="s">
        <v>1325</v>
      </c>
      <c r="AI451" s="4"/>
    </row>
    <row r="452" spans="1:35" ht="30" customHeight="1" x14ac:dyDescent="0.3">
      <c r="A452" s="240" t="s">
        <v>1327</v>
      </c>
      <c r="B452" s="241"/>
      <c r="C452" s="241"/>
      <c r="D452" s="241"/>
      <c r="E452" s="241"/>
      <c r="F452" s="241"/>
      <c r="G452" s="241"/>
      <c r="H452" s="241"/>
      <c r="I452" s="242"/>
      <c r="J452" s="51"/>
      <c r="K452" s="51"/>
      <c r="L452" s="51"/>
      <c r="M452" s="52">
        <f>SUM(M453)</f>
        <v>72233560.359999999</v>
      </c>
      <c r="N452" s="52">
        <f>SUM(N453)</f>
        <v>85694682.920000002</v>
      </c>
      <c r="O452" s="52">
        <f>SUM(O453)</f>
        <v>157928243.28</v>
      </c>
      <c r="P452" s="51"/>
      <c r="Q452" s="51"/>
      <c r="R452" s="51"/>
      <c r="S452" s="52">
        <f>SUM(S453)</f>
        <v>69862735.280000001</v>
      </c>
      <c r="T452" s="52">
        <f>SUM(T453)</f>
        <v>128542013.56</v>
      </c>
      <c r="U452" s="52">
        <f>SUM(U453)</f>
        <v>198404748.83999997</v>
      </c>
      <c r="Y452" s="9">
        <f>SUM(Y453)</f>
        <v>58218946.080000013</v>
      </c>
      <c r="Z452" s="9">
        <f>SUM(Z453)</f>
        <v>107118344.67</v>
      </c>
      <c r="AA452" s="9">
        <f>SUM(AA453)</f>
        <v>165337290.75</v>
      </c>
      <c r="AC452" s="4" t="s">
        <v>1328</v>
      </c>
    </row>
    <row r="453" spans="1:35" ht="16.95" customHeight="1" x14ac:dyDescent="0.3">
      <c r="A453" s="53" t="s">
        <v>1329</v>
      </c>
      <c r="B453" s="53" t="s">
        <v>39</v>
      </c>
      <c r="C453" s="243" t="s">
        <v>40</v>
      </c>
      <c r="D453" s="244"/>
      <c r="E453" s="244"/>
      <c r="F453" s="244"/>
      <c r="G453" s="244"/>
      <c r="H453" s="244"/>
      <c r="I453" s="245"/>
      <c r="J453" s="51"/>
      <c r="K453" s="51"/>
      <c r="L453" s="51"/>
      <c r="M453" s="52">
        <f>SUM(M454,M507)</f>
        <v>72233560.359999999</v>
      </c>
      <c r="N453" s="52">
        <f>SUM(N454,N507)</f>
        <v>85694682.920000002</v>
      </c>
      <c r="O453" s="52">
        <f>SUM(O454,O507)</f>
        <v>157928243.28</v>
      </c>
      <c r="P453" s="51"/>
      <c r="Q453" s="51"/>
      <c r="R453" s="51"/>
      <c r="S453" s="52">
        <f>SUM(S454,S507)</f>
        <v>69862735.280000001</v>
      </c>
      <c r="T453" s="52">
        <f>SUM(T454,T507)</f>
        <v>128542013.56</v>
      </c>
      <c r="U453" s="52">
        <f>SUM(U454,U507)</f>
        <v>198404748.83999997</v>
      </c>
      <c r="Y453" s="9">
        <f>SUM(Y454,Y507)</f>
        <v>58218946.080000013</v>
      </c>
      <c r="Z453" s="9">
        <f>SUM(Z454,Z507)</f>
        <v>107118344.67</v>
      </c>
      <c r="AA453" s="9">
        <f>SUM(AA454,AA507)</f>
        <v>165337290.75</v>
      </c>
      <c r="AD453" s="4">
        <v>320319846</v>
      </c>
      <c r="AE453" s="4">
        <v>28020211</v>
      </c>
    </row>
    <row r="454" spans="1:35" ht="16.95" customHeight="1" x14ac:dyDescent="0.3">
      <c r="A454" s="53" t="s">
        <v>1330</v>
      </c>
      <c r="B454" s="53" t="s">
        <v>42</v>
      </c>
      <c r="C454" s="243" t="s">
        <v>43</v>
      </c>
      <c r="D454" s="244"/>
      <c r="E454" s="244"/>
      <c r="F454" s="244"/>
      <c r="G454" s="244"/>
      <c r="H454" s="244"/>
      <c r="I454" s="245"/>
      <c r="J454" s="51"/>
      <c r="K454" s="51"/>
      <c r="L454" s="51"/>
      <c r="M454" s="52">
        <f t="shared" ref="M454:O457" si="111">SUM(M455)</f>
        <v>10807531.869999999</v>
      </c>
      <c r="N454" s="52">
        <f t="shared" si="111"/>
        <v>18104800.700000003</v>
      </c>
      <c r="O454" s="52">
        <f t="shared" si="111"/>
        <v>28912332.57</v>
      </c>
      <c r="P454" s="51"/>
      <c r="Q454" s="51"/>
      <c r="R454" s="51"/>
      <c r="S454" s="52">
        <f t="shared" ref="S454:U457" si="112">SUM(S455)</f>
        <v>11245405.9</v>
      </c>
      <c r="T454" s="52">
        <f t="shared" si="112"/>
        <v>27157201.050000001</v>
      </c>
      <c r="U454" s="52">
        <f t="shared" si="112"/>
        <v>38402606.949999996</v>
      </c>
      <c r="Y454" s="9">
        <f t="shared" ref="Y454:AA457" si="113">SUM(Y455)</f>
        <v>9371171.5900000017</v>
      </c>
      <c r="Z454" s="9">
        <f t="shared" si="113"/>
        <v>22631000.890000001</v>
      </c>
      <c r="AA454" s="9">
        <f t="shared" si="113"/>
        <v>32002172.480000004</v>
      </c>
      <c r="AD454" s="4">
        <v>320319847</v>
      </c>
      <c r="AE454" s="4">
        <v>28020218</v>
      </c>
    </row>
    <row r="455" spans="1:35" ht="16.95" customHeight="1" x14ac:dyDescent="0.3">
      <c r="A455" s="53" t="s">
        <v>1331</v>
      </c>
      <c r="B455" s="53" t="s">
        <v>45</v>
      </c>
      <c r="C455" s="243" t="s">
        <v>46</v>
      </c>
      <c r="D455" s="244"/>
      <c r="E455" s="244"/>
      <c r="F455" s="244"/>
      <c r="G455" s="244"/>
      <c r="H455" s="244"/>
      <c r="I455" s="245"/>
      <c r="J455" s="51"/>
      <c r="K455" s="51"/>
      <c r="L455" s="51"/>
      <c r="M455" s="52">
        <f t="shared" si="111"/>
        <v>10807531.869999999</v>
      </c>
      <c r="N455" s="52">
        <f t="shared" si="111"/>
        <v>18104800.700000003</v>
      </c>
      <c r="O455" s="52">
        <f t="shared" si="111"/>
        <v>28912332.57</v>
      </c>
      <c r="P455" s="51"/>
      <c r="Q455" s="51"/>
      <c r="R455" s="51"/>
      <c r="S455" s="52">
        <f t="shared" si="112"/>
        <v>11245405.9</v>
      </c>
      <c r="T455" s="52">
        <f t="shared" si="112"/>
        <v>27157201.050000001</v>
      </c>
      <c r="U455" s="52">
        <f t="shared" si="112"/>
        <v>38402606.949999996</v>
      </c>
      <c r="Y455" s="9">
        <f t="shared" si="113"/>
        <v>9371171.5900000017</v>
      </c>
      <c r="Z455" s="9">
        <f t="shared" si="113"/>
        <v>22631000.890000001</v>
      </c>
      <c r="AA455" s="9">
        <f t="shared" si="113"/>
        <v>32002172.480000004</v>
      </c>
      <c r="AD455" s="4">
        <v>320319848</v>
      </c>
      <c r="AE455" s="4">
        <v>28020215</v>
      </c>
    </row>
    <row r="456" spans="1:35" ht="16.95" customHeight="1" x14ac:dyDescent="0.3">
      <c r="A456" s="53" t="s">
        <v>1332</v>
      </c>
      <c r="B456" s="53" t="s">
        <v>48</v>
      </c>
      <c r="C456" s="243" t="s">
        <v>49</v>
      </c>
      <c r="D456" s="244"/>
      <c r="E456" s="244"/>
      <c r="F456" s="244"/>
      <c r="G456" s="244"/>
      <c r="H456" s="244"/>
      <c r="I456" s="245"/>
      <c r="J456" s="51"/>
      <c r="K456" s="51"/>
      <c r="L456" s="51"/>
      <c r="M456" s="52">
        <f t="shared" si="111"/>
        <v>10807531.869999999</v>
      </c>
      <c r="N456" s="52">
        <f t="shared" si="111"/>
        <v>18104800.700000003</v>
      </c>
      <c r="O456" s="52">
        <f t="shared" si="111"/>
        <v>28912332.57</v>
      </c>
      <c r="P456" s="51"/>
      <c r="Q456" s="51"/>
      <c r="R456" s="51"/>
      <c r="S456" s="52">
        <f t="shared" si="112"/>
        <v>11245405.9</v>
      </c>
      <c r="T456" s="52">
        <f t="shared" si="112"/>
        <v>27157201.050000001</v>
      </c>
      <c r="U456" s="52">
        <f t="shared" si="112"/>
        <v>38402606.949999996</v>
      </c>
      <c r="Y456" s="9">
        <f t="shared" si="113"/>
        <v>9371171.5900000017</v>
      </c>
      <c r="Z456" s="9">
        <f t="shared" si="113"/>
        <v>22631000.890000001</v>
      </c>
      <c r="AA456" s="9">
        <f t="shared" si="113"/>
        <v>32002172.480000004</v>
      </c>
      <c r="AD456" s="4">
        <v>320319849</v>
      </c>
      <c r="AE456" s="4">
        <v>28020212</v>
      </c>
    </row>
    <row r="457" spans="1:35" ht="16.95" customHeight="1" x14ac:dyDescent="0.3">
      <c r="A457" s="53" t="s">
        <v>1333</v>
      </c>
      <c r="B457" s="53" t="s">
        <v>51</v>
      </c>
      <c r="C457" s="243" t="s">
        <v>52</v>
      </c>
      <c r="D457" s="244"/>
      <c r="E457" s="244"/>
      <c r="F457" s="244"/>
      <c r="G457" s="244"/>
      <c r="H457" s="244"/>
      <c r="I457" s="245"/>
      <c r="J457" s="51"/>
      <c r="K457" s="51"/>
      <c r="L457" s="51"/>
      <c r="M457" s="52">
        <f t="shared" si="111"/>
        <v>10807531.869999999</v>
      </c>
      <c r="N457" s="52">
        <f t="shared" si="111"/>
        <v>18104800.700000003</v>
      </c>
      <c r="O457" s="52">
        <f t="shared" si="111"/>
        <v>28912332.57</v>
      </c>
      <c r="P457" s="51"/>
      <c r="Q457" s="51"/>
      <c r="R457" s="51"/>
      <c r="S457" s="52">
        <f t="shared" si="112"/>
        <v>11245405.9</v>
      </c>
      <c r="T457" s="52">
        <f t="shared" si="112"/>
        <v>27157201.050000001</v>
      </c>
      <c r="U457" s="52">
        <f t="shared" si="112"/>
        <v>38402606.949999996</v>
      </c>
      <c r="Y457" s="9">
        <f t="shared" si="113"/>
        <v>9371171.5900000017</v>
      </c>
      <c r="Z457" s="9">
        <f t="shared" si="113"/>
        <v>22631000.890000001</v>
      </c>
      <c r="AA457" s="9">
        <f t="shared" si="113"/>
        <v>32002172.480000004</v>
      </c>
      <c r="AD457" s="4">
        <v>320319850</v>
      </c>
      <c r="AE457" s="4">
        <v>28020216</v>
      </c>
    </row>
    <row r="458" spans="1:35" ht="16.95" customHeight="1" x14ac:dyDescent="0.3">
      <c r="A458" s="53" t="s">
        <v>1334</v>
      </c>
      <c r="B458" s="53" t="s">
        <v>54</v>
      </c>
      <c r="C458" s="243" t="s">
        <v>55</v>
      </c>
      <c r="D458" s="244"/>
      <c r="E458" s="244"/>
      <c r="F458" s="244"/>
      <c r="G458" s="244"/>
      <c r="H458" s="244"/>
      <c r="I458" s="245"/>
      <c r="J458" s="51"/>
      <c r="K458" s="51"/>
      <c r="L458" s="51"/>
      <c r="M458" s="52">
        <f>SUM(M459,M465,M471,M477,M483,M489,M495,M501)</f>
        <v>10807531.869999999</v>
      </c>
      <c r="N458" s="52">
        <f>SUM(N459,N465,N471,N477,N483,N489,N495,N501)</f>
        <v>18104800.700000003</v>
      </c>
      <c r="O458" s="52">
        <f>SUM(O459,O465,O471,O477,O483,O489,O495,O501)</f>
        <v>28912332.57</v>
      </c>
      <c r="P458" s="51"/>
      <c r="Q458" s="51"/>
      <c r="R458" s="51"/>
      <c r="S458" s="52">
        <f>SUM(S459,S465,S471,S477,S483,S489,S495,S501)</f>
        <v>11245405.9</v>
      </c>
      <c r="T458" s="52">
        <f>SUM(T459,T465,T471,T477,T483,T489,T495,T501)</f>
        <v>27157201.050000001</v>
      </c>
      <c r="U458" s="52">
        <f>SUM(U459,U465,U471,U477,U483,U489,U495,U501)</f>
        <v>38402606.949999996</v>
      </c>
      <c r="Y458" s="9">
        <f>SUM(Y459,Y465,Y471,Y477,Y483,Y489,Y495,Y501)</f>
        <v>9371171.5900000017</v>
      </c>
      <c r="Z458" s="9">
        <f>SUM(Z459,Z465,Z471,Z477,Z483,Z489,Z495,Z501)</f>
        <v>22631000.890000001</v>
      </c>
      <c r="AA458" s="9">
        <f>SUM(AA459,AA465,AA471,AA477,AA483,AA489,AA495,AA501)</f>
        <v>32002172.480000004</v>
      </c>
      <c r="AD458" s="4">
        <v>320319851</v>
      </c>
      <c r="AE458" s="4">
        <v>28020213</v>
      </c>
    </row>
    <row r="459" spans="1:35" ht="252" x14ac:dyDescent="0.3">
      <c r="A459" s="53" t="s">
        <v>1335</v>
      </c>
      <c r="B459" s="53" t="s">
        <v>57</v>
      </c>
      <c r="C459" s="54" t="s">
        <v>58</v>
      </c>
      <c r="D459" s="55" t="s">
        <v>59</v>
      </c>
      <c r="E459" s="55" t="s">
        <v>60</v>
      </c>
      <c r="F459" s="55" t="s">
        <v>61</v>
      </c>
      <c r="G459" s="56">
        <v>1</v>
      </c>
      <c r="H459" s="55"/>
      <c r="I459" s="56">
        <v>6610.5</v>
      </c>
      <c r="J459" s="57">
        <f>IFERROR(ROUND(SUM(M460,M461,M462,M463,M464)/I459, 2),0)</f>
        <v>1137.22</v>
      </c>
      <c r="K459" s="57">
        <v>1991</v>
      </c>
      <c r="L459" s="57">
        <f>J459+ROUND(K459, 2)</f>
        <v>3128.2200000000003</v>
      </c>
      <c r="M459" s="57">
        <f>ROUND(J459*I459, 2)</f>
        <v>7517592.8099999996</v>
      </c>
      <c r="N459" s="57">
        <f>ROUND(I459*ROUND(K459, 2), 2)</f>
        <v>13161505.5</v>
      </c>
      <c r="O459" s="57">
        <f>M459+N459</f>
        <v>20679098.309999999</v>
      </c>
      <c r="P459" s="57">
        <f>IFERROR(ROUND(SUM(S460,S461,S462,S463,S464)/I459, 2),0)</f>
        <v>1137.22</v>
      </c>
      <c r="Q459" s="57">
        <v>2986.5</v>
      </c>
      <c r="R459" s="57">
        <f>P459+ROUND(Q459, 2)</f>
        <v>4123.72</v>
      </c>
      <c r="S459" s="57">
        <f>ROUND(P459*I459, 2)</f>
        <v>7517592.8099999996</v>
      </c>
      <c r="T459" s="57">
        <f>ROUND(I459*ROUND(Q459, 2), 2)</f>
        <v>19742258.25</v>
      </c>
      <c r="U459" s="57">
        <f>S459+T459</f>
        <v>27259851.059999999</v>
      </c>
      <c r="V459" s="9">
        <f>ROUND(P459 / 1.2, 2)</f>
        <v>947.68</v>
      </c>
      <c r="W459" s="9">
        <f>ROUND(Q459 / 1.2, 2)</f>
        <v>2488.75</v>
      </c>
      <c r="X459" s="9">
        <f>ROUND(R459 / 1.2, 2)</f>
        <v>3436.43</v>
      </c>
      <c r="Y459" s="9">
        <f>ROUND(S459 / 1.2, 2)</f>
        <v>6264660.6799999997</v>
      </c>
      <c r="Z459" s="9">
        <f>ROUND(T459 / 1.2, 2)</f>
        <v>16451881.880000001</v>
      </c>
      <c r="AA459" s="9">
        <f>Y459+Z459</f>
        <v>22716542.560000002</v>
      </c>
      <c r="AD459" s="4">
        <v>320319853</v>
      </c>
      <c r="AE459" s="4">
        <v>28020219</v>
      </c>
      <c r="AG459" s="4" t="s">
        <v>62</v>
      </c>
      <c r="AH459" s="4" t="s">
        <v>63</v>
      </c>
      <c r="AI459" s="4" t="s">
        <v>64</v>
      </c>
    </row>
    <row r="460" spans="1:35" ht="72" x14ac:dyDescent="0.3">
      <c r="A460" s="53" t="s">
        <v>1336</v>
      </c>
      <c r="B460" s="53"/>
      <c r="C460" s="58" t="s">
        <v>67</v>
      </c>
      <c r="D460" s="55"/>
      <c r="E460" s="55"/>
      <c r="F460" s="59" t="s">
        <v>68</v>
      </c>
      <c r="G460" s="60">
        <v>1</v>
      </c>
      <c r="H460" s="55"/>
      <c r="I460" s="60">
        <v>6610.5</v>
      </c>
      <c r="J460" s="61">
        <v>89.83</v>
      </c>
      <c r="K460" s="51"/>
      <c r="L460" s="51"/>
      <c r="M460" s="61">
        <f>ROUND(ROUND(J460, 2)*I460, 2)</f>
        <v>593821.22</v>
      </c>
      <c r="N460" s="51"/>
      <c r="O460" s="51"/>
      <c r="P460" s="61">
        <v>89.83</v>
      </c>
      <c r="Q460" s="51"/>
      <c r="R460" s="51"/>
      <c r="S460" s="61">
        <f>ROUND(ROUND(P460, 2)*I460, 2)</f>
        <v>593821.22</v>
      </c>
      <c r="T460" s="51"/>
      <c r="U460" s="62"/>
      <c r="V460" s="9">
        <f>ROUND(ROUND(P460, 2)/1.2, 2)</f>
        <v>74.86</v>
      </c>
      <c r="Y460" s="9">
        <f t="shared" ref="Y460:Y506" si="114">ROUND(S460 / 1.2, 2)</f>
        <v>494851.02</v>
      </c>
      <c r="AD460" s="4" t="s">
        <v>1337</v>
      </c>
      <c r="AE460" s="4" t="s">
        <v>1338</v>
      </c>
      <c r="AF460" s="4" t="s">
        <v>71</v>
      </c>
    </row>
    <row r="461" spans="1:35" ht="18" x14ac:dyDescent="0.3">
      <c r="A461" s="53" t="s">
        <v>1339</v>
      </c>
      <c r="B461" s="53"/>
      <c r="C461" s="47" t="s">
        <v>75</v>
      </c>
      <c r="D461" s="55"/>
      <c r="E461" s="55"/>
      <c r="F461" s="59" t="s">
        <v>76</v>
      </c>
      <c r="G461" s="60">
        <v>0.8</v>
      </c>
      <c r="H461" s="55"/>
      <c r="I461" s="63">
        <v>5288.4</v>
      </c>
      <c r="J461" s="61">
        <v>66</v>
      </c>
      <c r="K461" s="51"/>
      <c r="L461" s="51"/>
      <c r="M461" s="61">
        <f>ROUND(ROUND(J461, 2)*I461, 2)</f>
        <v>349034.4</v>
      </c>
      <c r="N461" s="51"/>
      <c r="O461" s="51"/>
      <c r="P461" s="61">
        <v>66</v>
      </c>
      <c r="Q461" s="51"/>
      <c r="R461" s="51"/>
      <c r="S461" s="61">
        <f>ROUND(ROUND(P461, 2)*I461, 2)</f>
        <v>349034.4</v>
      </c>
      <c r="T461" s="51"/>
      <c r="U461" s="62"/>
      <c r="V461" s="9">
        <f>ROUND(ROUND(P461, 2)/1.2, 2)</f>
        <v>55</v>
      </c>
      <c r="Y461" s="9">
        <f t="shared" si="114"/>
        <v>290862</v>
      </c>
      <c r="AD461" s="4" t="s">
        <v>1340</v>
      </c>
      <c r="AE461" s="4" t="s">
        <v>1341</v>
      </c>
      <c r="AF461" s="4" t="s">
        <v>79</v>
      </c>
    </row>
    <row r="462" spans="1:35" ht="18" x14ac:dyDescent="0.3">
      <c r="A462" s="53" t="s">
        <v>1342</v>
      </c>
      <c r="B462" s="53"/>
      <c r="C462" s="47" t="s">
        <v>83</v>
      </c>
      <c r="D462" s="55"/>
      <c r="E462" s="55"/>
      <c r="F462" s="59" t="s">
        <v>76</v>
      </c>
      <c r="G462" s="60">
        <v>2.1</v>
      </c>
      <c r="H462" s="55"/>
      <c r="I462" s="63">
        <v>13882.05</v>
      </c>
      <c r="J462" s="61">
        <v>96.66</v>
      </c>
      <c r="K462" s="51"/>
      <c r="L462" s="51"/>
      <c r="M462" s="61">
        <f>ROUND(ROUND(J462, 2)*I462, 2)</f>
        <v>1341838.95</v>
      </c>
      <c r="N462" s="51"/>
      <c r="O462" s="51"/>
      <c r="P462" s="61">
        <v>96.66</v>
      </c>
      <c r="Q462" s="51"/>
      <c r="R462" s="51"/>
      <c r="S462" s="61">
        <f>ROUND(ROUND(P462, 2)*I462, 2)</f>
        <v>1341838.95</v>
      </c>
      <c r="T462" s="51"/>
      <c r="U462" s="62"/>
      <c r="V462" s="9">
        <f>ROUND(ROUND(P462, 2)/1.2, 2)</f>
        <v>80.55</v>
      </c>
      <c r="Y462" s="9">
        <f t="shared" si="114"/>
        <v>1118199.1299999999</v>
      </c>
      <c r="AD462" s="4" t="s">
        <v>1343</v>
      </c>
      <c r="AE462" s="4" t="s">
        <v>1344</v>
      </c>
      <c r="AF462" s="4" t="s">
        <v>86</v>
      </c>
    </row>
    <row r="463" spans="1:35" ht="36" x14ac:dyDescent="0.3">
      <c r="A463" s="53" t="s">
        <v>1345</v>
      </c>
      <c r="B463" s="53"/>
      <c r="C463" s="47" t="s">
        <v>90</v>
      </c>
      <c r="D463" s="55"/>
      <c r="E463" s="55"/>
      <c r="F463" s="59" t="s">
        <v>91</v>
      </c>
      <c r="G463" s="60">
        <v>5.1999999999999998E-2</v>
      </c>
      <c r="H463" s="55"/>
      <c r="I463" s="60">
        <v>343.74599999999998</v>
      </c>
      <c r="J463" s="61">
        <v>4093.92</v>
      </c>
      <c r="K463" s="51"/>
      <c r="L463" s="51"/>
      <c r="M463" s="61">
        <f>ROUND(ROUND(J463, 2)*I463, 2)</f>
        <v>1407268.62</v>
      </c>
      <c r="N463" s="51"/>
      <c r="O463" s="51"/>
      <c r="P463" s="61">
        <v>4093.92</v>
      </c>
      <c r="Q463" s="51"/>
      <c r="R463" s="51"/>
      <c r="S463" s="61">
        <f>ROUND(ROUND(P463, 2)*I463, 2)</f>
        <v>1407268.62</v>
      </c>
      <c r="T463" s="51"/>
      <c r="U463" s="62"/>
      <c r="V463" s="9">
        <f>ROUND(ROUND(P463, 2)/1.2, 2)</f>
        <v>3411.6</v>
      </c>
      <c r="Y463" s="9">
        <f t="shared" si="114"/>
        <v>1172723.8500000001</v>
      </c>
      <c r="AD463" s="4" t="s">
        <v>1346</v>
      </c>
      <c r="AE463" s="4" t="s">
        <v>1347</v>
      </c>
      <c r="AF463" s="4" t="s">
        <v>94</v>
      </c>
    </row>
    <row r="464" spans="1:35" ht="54" x14ac:dyDescent="0.3">
      <c r="A464" s="53" t="s">
        <v>1348</v>
      </c>
      <c r="B464" s="53"/>
      <c r="C464" s="58" t="s">
        <v>98</v>
      </c>
      <c r="D464" s="55"/>
      <c r="E464" s="55"/>
      <c r="F464" s="59" t="s">
        <v>61</v>
      </c>
      <c r="G464" s="60">
        <v>4.2</v>
      </c>
      <c r="H464" s="55"/>
      <c r="I464" s="60">
        <v>27764.1</v>
      </c>
      <c r="J464" s="61">
        <v>137.79</v>
      </c>
      <c r="K464" s="51"/>
      <c r="L464" s="51"/>
      <c r="M464" s="61">
        <f>ROUND(ROUND(J464, 2)*I464, 2)</f>
        <v>3825615.34</v>
      </c>
      <c r="N464" s="51"/>
      <c r="O464" s="51"/>
      <c r="P464" s="61">
        <v>137.79</v>
      </c>
      <c r="Q464" s="51"/>
      <c r="R464" s="51"/>
      <c r="S464" s="61">
        <f>ROUND(ROUND(P464, 2)*I464, 2)</f>
        <v>3825615.34</v>
      </c>
      <c r="T464" s="51"/>
      <c r="U464" s="62"/>
      <c r="V464" s="9">
        <f>ROUND(ROUND(P464, 2)/1.2, 2)</f>
        <v>114.83</v>
      </c>
      <c r="Y464" s="9">
        <f t="shared" si="114"/>
        <v>3188012.78</v>
      </c>
      <c r="AD464" s="4" t="s">
        <v>1349</v>
      </c>
      <c r="AE464" s="4" t="s">
        <v>1350</v>
      </c>
      <c r="AF464" s="4" t="s">
        <v>101</v>
      </c>
    </row>
    <row r="465" spans="1:35" ht="270" x14ac:dyDescent="0.3">
      <c r="A465" s="53" t="s">
        <v>1351</v>
      </c>
      <c r="B465" s="53" t="s">
        <v>105</v>
      </c>
      <c r="C465" s="54" t="s">
        <v>106</v>
      </c>
      <c r="D465" s="55" t="s">
        <v>59</v>
      </c>
      <c r="E465" s="55" t="s">
        <v>107</v>
      </c>
      <c r="F465" s="55" t="s">
        <v>61</v>
      </c>
      <c r="G465" s="56">
        <v>1</v>
      </c>
      <c r="H465" s="55"/>
      <c r="I465" s="56">
        <v>162.4</v>
      </c>
      <c r="J465" s="57">
        <f>IFERROR(ROUND(SUM(M466,M467,M468,M469,M470)/I465, 2),0)</f>
        <v>1060.6300000000001</v>
      </c>
      <c r="K465" s="57">
        <v>1991</v>
      </c>
      <c r="L465" s="57">
        <f>J465+ROUND(K465, 2)</f>
        <v>3051.63</v>
      </c>
      <c r="M465" s="57">
        <f>ROUND(J465*I465, 2)</f>
        <v>172246.31</v>
      </c>
      <c r="N465" s="57">
        <f>ROUND(I465*ROUND(K465, 2), 2)</f>
        <v>323338.40000000002</v>
      </c>
      <c r="O465" s="57">
        <f>M465+N465</f>
        <v>495584.71</v>
      </c>
      <c r="P465" s="57">
        <f>IFERROR(ROUND(SUM(S466,S467,S468,S469,S470)/I465, 2),0)</f>
        <v>1060.6300000000001</v>
      </c>
      <c r="Q465" s="57">
        <v>2986.5</v>
      </c>
      <c r="R465" s="57">
        <f>P465+ROUND(Q465, 2)</f>
        <v>4047.13</v>
      </c>
      <c r="S465" s="57">
        <f>ROUND(P465*I465, 2)</f>
        <v>172246.31</v>
      </c>
      <c r="T465" s="57">
        <f>ROUND(I465*ROUND(Q465, 2), 2)</f>
        <v>485007.6</v>
      </c>
      <c r="U465" s="57">
        <f>S465+T465</f>
        <v>657253.90999999992</v>
      </c>
      <c r="V465" s="9">
        <f>ROUND(P465 / 1.2, 2)</f>
        <v>883.86</v>
      </c>
      <c r="W465" s="9">
        <f>ROUND(Q465 / 1.2, 2)</f>
        <v>2488.75</v>
      </c>
      <c r="X465" s="9">
        <f>ROUND(R465 / 1.2, 2)</f>
        <v>3372.61</v>
      </c>
      <c r="Y465" s="9">
        <f t="shared" si="114"/>
        <v>143538.59</v>
      </c>
      <c r="Z465" s="9">
        <f>ROUND(T465 / 1.2, 2)</f>
        <v>404173</v>
      </c>
      <c r="AA465" s="9">
        <f>Y465+Z465</f>
        <v>547711.59</v>
      </c>
      <c r="AD465" s="4">
        <v>320319854</v>
      </c>
      <c r="AE465" s="4">
        <v>28020222</v>
      </c>
      <c r="AG465" s="4" t="s">
        <v>108</v>
      </c>
      <c r="AH465" s="4" t="s">
        <v>109</v>
      </c>
      <c r="AI465" s="4" t="s">
        <v>64</v>
      </c>
    </row>
    <row r="466" spans="1:35" ht="72" x14ac:dyDescent="0.3">
      <c r="A466" s="53" t="s">
        <v>1352</v>
      </c>
      <c r="B466" s="53"/>
      <c r="C466" s="58" t="s">
        <v>67</v>
      </c>
      <c r="D466" s="55"/>
      <c r="E466" s="55"/>
      <c r="F466" s="59" t="s">
        <v>68</v>
      </c>
      <c r="G466" s="60">
        <v>1</v>
      </c>
      <c r="H466" s="55"/>
      <c r="I466" s="60">
        <v>162.4</v>
      </c>
      <c r="J466" s="61">
        <v>89.83</v>
      </c>
      <c r="K466" s="51"/>
      <c r="L466" s="51"/>
      <c r="M466" s="61">
        <f>ROUND(ROUND(J466, 2)*I466, 2)</f>
        <v>14588.39</v>
      </c>
      <c r="N466" s="51"/>
      <c r="O466" s="51"/>
      <c r="P466" s="61">
        <v>89.83</v>
      </c>
      <c r="Q466" s="51"/>
      <c r="R466" s="51"/>
      <c r="S466" s="61">
        <f>ROUND(ROUND(P466, 2)*I466, 2)</f>
        <v>14588.39</v>
      </c>
      <c r="T466" s="51"/>
      <c r="U466" s="62"/>
      <c r="V466" s="9">
        <f>ROUND(ROUND(P466, 2)/1.2, 2)</f>
        <v>74.86</v>
      </c>
      <c r="Y466" s="9">
        <f t="shared" si="114"/>
        <v>12156.99</v>
      </c>
      <c r="AD466" s="4" t="s">
        <v>1353</v>
      </c>
      <c r="AE466" s="4" t="s">
        <v>1354</v>
      </c>
      <c r="AF466" s="4" t="s">
        <v>71</v>
      </c>
    </row>
    <row r="467" spans="1:35" ht="18" x14ac:dyDescent="0.3">
      <c r="A467" s="53" t="s">
        <v>1355</v>
      </c>
      <c r="B467" s="53"/>
      <c r="C467" s="47" t="s">
        <v>117</v>
      </c>
      <c r="D467" s="55"/>
      <c r="E467" s="55"/>
      <c r="F467" s="59" t="s">
        <v>76</v>
      </c>
      <c r="G467" s="60">
        <v>2.04</v>
      </c>
      <c r="H467" s="55"/>
      <c r="I467" s="63">
        <v>331.29599999999999</v>
      </c>
      <c r="J467" s="61">
        <v>66.87</v>
      </c>
      <c r="K467" s="51"/>
      <c r="L467" s="51"/>
      <c r="M467" s="61">
        <f>ROUND(ROUND(J467, 2)*I467, 2)</f>
        <v>22153.759999999998</v>
      </c>
      <c r="N467" s="51"/>
      <c r="O467" s="51"/>
      <c r="P467" s="61">
        <v>66.87</v>
      </c>
      <c r="Q467" s="51"/>
      <c r="R467" s="51"/>
      <c r="S467" s="61">
        <f>ROUND(ROUND(P467, 2)*I467, 2)</f>
        <v>22153.759999999998</v>
      </c>
      <c r="T467" s="51"/>
      <c r="U467" s="62"/>
      <c r="V467" s="9">
        <f>ROUND(ROUND(P467, 2)/1.2, 2)</f>
        <v>55.73</v>
      </c>
      <c r="Y467" s="9">
        <f t="shared" si="114"/>
        <v>18461.47</v>
      </c>
      <c r="AD467" s="4" t="s">
        <v>1356</v>
      </c>
      <c r="AE467" s="4" t="s">
        <v>1357</v>
      </c>
      <c r="AF467" s="4" t="s">
        <v>120</v>
      </c>
    </row>
    <row r="468" spans="1:35" ht="18" x14ac:dyDescent="0.3">
      <c r="A468" s="53" t="s">
        <v>1358</v>
      </c>
      <c r="B468" s="53"/>
      <c r="C468" s="47" t="s">
        <v>124</v>
      </c>
      <c r="D468" s="55"/>
      <c r="E468" s="55"/>
      <c r="F468" s="59" t="s">
        <v>76</v>
      </c>
      <c r="G468" s="60">
        <v>0.8</v>
      </c>
      <c r="H468" s="55"/>
      <c r="I468" s="63">
        <v>129.91999999999999</v>
      </c>
      <c r="J468" s="61">
        <v>53.47</v>
      </c>
      <c r="K468" s="51"/>
      <c r="L468" s="51"/>
      <c r="M468" s="61">
        <f>ROUND(ROUND(J468, 2)*I468, 2)</f>
        <v>6946.82</v>
      </c>
      <c r="N468" s="51"/>
      <c r="O468" s="51"/>
      <c r="P468" s="61">
        <v>53.47</v>
      </c>
      <c r="Q468" s="51"/>
      <c r="R468" s="51"/>
      <c r="S468" s="61">
        <f>ROUND(ROUND(P468, 2)*I468, 2)</f>
        <v>6946.82</v>
      </c>
      <c r="T468" s="51"/>
      <c r="U468" s="62"/>
      <c r="V468" s="9">
        <f>ROUND(ROUND(P468, 2)/1.2, 2)</f>
        <v>44.56</v>
      </c>
      <c r="Y468" s="9">
        <f t="shared" si="114"/>
        <v>5789.02</v>
      </c>
      <c r="AD468" s="4" t="s">
        <v>1359</v>
      </c>
      <c r="AE468" s="4" t="s">
        <v>1360</v>
      </c>
      <c r="AF468" s="4" t="s">
        <v>127</v>
      </c>
    </row>
    <row r="469" spans="1:35" ht="36" x14ac:dyDescent="0.3">
      <c r="A469" s="53" t="s">
        <v>1361</v>
      </c>
      <c r="B469" s="53"/>
      <c r="C469" s="47" t="s">
        <v>90</v>
      </c>
      <c r="D469" s="55"/>
      <c r="E469" s="55"/>
      <c r="F469" s="59" t="s">
        <v>91</v>
      </c>
      <c r="G469" s="60">
        <v>5.1999999999999998E-2</v>
      </c>
      <c r="H469" s="55"/>
      <c r="I469" s="60">
        <v>8.4450000000000003</v>
      </c>
      <c r="J469" s="61">
        <v>4093.92</v>
      </c>
      <c r="K469" s="51"/>
      <c r="L469" s="51"/>
      <c r="M469" s="61">
        <f>ROUND(ROUND(J469, 2)*I469, 2)</f>
        <v>34573.15</v>
      </c>
      <c r="N469" s="51"/>
      <c r="O469" s="51"/>
      <c r="P469" s="61">
        <v>4093.92</v>
      </c>
      <c r="Q469" s="51"/>
      <c r="R469" s="51"/>
      <c r="S469" s="61">
        <f>ROUND(ROUND(P469, 2)*I469, 2)</f>
        <v>34573.15</v>
      </c>
      <c r="T469" s="51"/>
      <c r="U469" s="62"/>
      <c r="V469" s="9">
        <f>ROUND(ROUND(P469, 2)/1.2, 2)</f>
        <v>3411.6</v>
      </c>
      <c r="Y469" s="9">
        <f t="shared" si="114"/>
        <v>28810.959999999999</v>
      </c>
      <c r="AD469" s="4" t="s">
        <v>1362</v>
      </c>
      <c r="AE469" s="4" t="s">
        <v>1363</v>
      </c>
      <c r="AF469" s="4" t="s">
        <v>94</v>
      </c>
    </row>
    <row r="470" spans="1:35" ht="54" x14ac:dyDescent="0.3">
      <c r="A470" s="53" t="s">
        <v>1364</v>
      </c>
      <c r="B470" s="53"/>
      <c r="C470" s="58" t="s">
        <v>98</v>
      </c>
      <c r="D470" s="55"/>
      <c r="E470" s="55" t="s">
        <v>136</v>
      </c>
      <c r="F470" s="59" t="s">
        <v>61</v>
      </c>
      <c r="G470" s="60">
        <v>4.2</v>
      </c>
      <c r="H470" s="55"/>
      <c r="I470" s="60">
        <v>682.08</v>
      </c>
      <c r="J470" s="61">
        <v>137.79</v>
      </c>
      <c r="K470" s="51"/>
      <c r="L470" s="51"/>
      <c r="M470" s="61">
        <f>ROUND(ROUND(J470, 2)*I470, 2)</f>
        <v>93983.8</v>
      </c>
      <c r="N470" s="51"/>
      <c r="O470" s="51"/>
      <c r="P470" s="61">
        <v>137.79</v>
      </c>
      <c r="Q470" s="51"/>
      <c r="R470" s="51"/>
      <c r="S470" s="61">
        <f>ROUND(ROUND(P470, 2)*I470, 2)</f>
        <v>93983.8</v>
      </c>
      <c r="T470" s="51"/>
      <c r="U470" s="62"/>
      <c r="V470" s="9">
        <f>ROUND(ROUND(P470, 2)/1.2, 2)</f>
        <v>114.83</v>
      </c>
      <c r="Y470" s="9">
        <f t="shared" si="114"/>
        <v>78319.83</v>
      </c>
      <c r="AD470" s="4" t="s">
        <v>1365</v>
      </c>
      <c r="AE470" s="4" t="s">
        <v>1366</v>
      </c>
      <c r="AF470" s="4" t="s">
        <v>101</v>
      </c>
    </row>
    <row r="471" spans="1:35" ht="216" x14ac:dyDescent="0.3">
      <c r="A471" s="53" t="s">
        <v>1367</v>
      </c>
      <c r="B471" s="53" t="s">
        <v>105</v>
      </c>
      <c r="C471" s="54" t="s">
        <v>106</v>
      </c>
      <c r="D471" s="55" t="s">
        <v>59</v>
      </c>
      <c r="E471" s="55" t="s">
        <v>142</v>
      </c>
      <c r="F471" s="55" t="s">
        <v>61</v>
      </c>
      <c r="G471" s="56">
        <v>1</v>
      </c>
      <c r="H471" s="55"/>
      <c r="I471" s="56">
        <v>59.8</v>
      </c>
      <c r="J471" s="57">
        <f>IFERROR(ROUND(SUM(M472,M473,M474,M475,M476)/I471, 2),0)</f>
        <v>1060.6500000000001</v>
      </c>
      <c r="K471" s="57">
        <v>1991</v>
      </c>
      <c r="L471" s="57">
        <f>J471+ROUND(K471, 2)</f>
        <v>3051.65</v>
      </c>
      <c r="M471" s="57">
        <f>ROUND(J471*I471, 2)</f>
        <v>63426.87</v>
      </c>
      <c r="N471" s="57">
        <f>ROUND(I471*ROUND(K471, 2), 2)</f>
        <v>119061.8</v>
      </c>
      <c r="O471" s="57">
        <f>M471+N471</f>
        <v>182488.67</v>
      </c>
      <c r="P471" s="57">
        <f>IFERROR(ROUND(SUM(S472,S473,S474,S475,S476)/I471, 2),0)</f>
        <v>1060.6500000000001</v>
      </c>
      <c r="Q471" s="57">
        <v>2986.5</v>
      </c>
      <c r="R471" s="57">
        <f>P471+ROUND(Q471, 2)</f>
        <v>4047.15</v>
      </c>
      <c r="S471" s="57">
        <f>ROUND(P471*I471, 2)</f>
        <v>63426.87</v>
      </c>
      <c r="T471" s="57">
        <f>ROUND(I471*ROUND(Q471, 2), 2)</f>
        <v>178592.7</v>
      </c>
      <c r="U471" s="57">
        <f>S471+T471</f>
        <v>242019.57</v>
      </c>
      <c r="V471" s="9">
        <f>ROUND(P471 / 1.2, 2)</f>
        <v>883.88</v>
      </c>
      <c r="W471" s="9">
        <f>ROUND(Q471 / 1.2, 2)</f>
        <v>2488.75</v>
      </c>
      <c r="X471" s="9">
        <f>ROUND(R471 / 1.2, 2)</f>
        <v>3372.63</v>
      </c>
      <c r="Y471" s="9">
        <f t="shared" si="114"/>
        <v>52855.73</v>
      </c>
      <c r="Z471" s="9">
        <f>ROUND(T471 / 1.2, 2)</f>
        <v>148827.25</v>
      </c>
      <c r="AA471" s="9">
        <f>Y471+Z471</f>
        <v>201682.98</v>
      </c>
      <c r="AD471" s="4">
        <v>320319924</v>
      </c>
      <c r="AE471" s="4">
        <v>28020221</v>
      </c>
      <c r="AG471" s="4" t="s">
        <v>108</v>
      </c>
      <c r="AH471" s="4" t="s">
        <v>109</v>
      </c>
      <c r="AI471" s="4" t="s">
        <v>64</v>
      </c>
    </row>
    <row r="472" spans="1:35" ht="54" x14ac:dyDescent="0.3">
      <c r="A472" s="53" t="s">
        <v>1368</v>
      </c>
      <c r="B472" s="53"/>
      <c r="C472" s="58" t="s">
        <v>98</v>
      </c>
      <c r="D472" s="55"/>
      <c r="E472" s="55"/>
      <c r="F472" s="59" t="s">
        <v>61</v>
      </c>
      <c r="G472" s="60">
        <v>4.2</v>
      </c>
      <c r="H472" s="55"/>
      <c r="I472" s="60">
        <v>251.16</v>
      </c>
      <c r="J472" s="61">
        <v>137.79</v>
      </c>
      <c r="K472" s="51"/>
      <c r="L472" s="51"/>
      <c r="M472" s="61">
        <f>ROUND(ROUND(J472, 2)*I472, 2)</f>
        <v>34607.339999999997</v>
      </c>
      <c r="N472" s="51"/>
      <c r="O472" s="51"/>
      <c r="P472" s="61">
        <v>137.79</v>
      </c>
      <c r="Q472" s="51"/>
      <c r="R472" s="51"/>
      <c r="S472" s="61">
        <f>ROUND(ROUND(P472, 2)*I472, 2)</f>
        <v>34607.339999999997</v>
      </c>
      <c r="T472" s="51"/>
      <c r="U472" s="62"/>
      <c r="V472" s="9">
        <f>ROUND(ROUND(P472, 2)/1.2, 2)</f>
        <v>114.83</v>
      </c>
      <c r="Y472" s="9">
        <f t="shared" si="114"/>
        <v>28839.45</v>
      </c>
      <c r="AD472" s="4" t="s">
        <v>1369</v>
      </c>
      <c r="AE472" s="4" t="s">
        <v>1370</v>
      </c>
      <c r="AF472" s="4" t="s">
        <v>101</v>
      </c>
    </row>
    <row r="473" spans="1:35" ht="36" x14ac:dyDescent="0.3">
      <c r="A473" s="53" t="s">
        <v>1371</v>
      </c>
      <c r="B473" s="53"/>
      <c r="C473" s="47" t="s">
        <v>90</v>
      </c>
      <c r="D473" s="55"/>
      <c r="E473" s="55"/>
      <c r="F473" s="59" t="s">
        <v>91</v>
      </c>
      <c r="G473" s="60">
        <v>5.1999999999999998E-2</v>
      </c>
      <c r="H473" s="55"/>
      <c r="I473" s="60">
        <v>3.11</v>
      </c>
      <c r="J473" s="61">
        <v>4093.92</v>
      </c>
      <c r="K473" s="51"/>
      <c r="L473" s="51"/>
      <c r="M473" s="61">
        <f>ROUND(ROUND(J473, 2)*I473, 2)</f>
        <v>12732.09</v>
      </c>
      <c r="N473" s="51"/>
      <c r="O473" s="51"/>
      <c r="P473" s="61">
        <v>4093.92</v>
      </c>
      <c r="Q473" s="51"/>
      <c r="R473" s="51"/>
      <c r="S473" s="61">
        <f>ROUND(ROUND(P473, 2)*I473, 2)</f>
        <v>12732.09</v>
      </c>
      <c r="T473" s="51"/>
      <c r="U473" s="62"/>
      <c r="V473" s="9">
        <f>ROUND(ROUND(P473, 2)/1.2, 2)</f>
        <v>3411.6</v>
      </c>
      <c r="Y473" s="9">
        <f t="shared" si="114"/>
        <v>10610.08</v>
      </c>
      <c r="AD473" s="4" t="s">
        <v>1372</v>
      </c>
      <c r="AE473" s="4" t="s">
        <v>1373</v>
      </c>
      <c r="AF473" s="4" t="s">
        <v>94</v>
      </c>
    </row>
    <row r="474" spans="1:35" ht="18" x14ac:dyDescent="0.3">
      <c r="A474" s="53" t="s">
        <v>1374</v>
      </c>
      <c r="B474" s="53"/>
      <c r="C474" s="47" t="s">
        <v>117</v>
      </c>
      <c r="D474" s="55"/>
      <c r="E474" s="55"/>
      <c r="F474" s="59" t="s">
        <v>76</v>
      </c>
      <c r="G474" s="60">
        <v>2.04</v>
      </c>
      <c r="H474" s="55"/>
      <c r="I474" s="63">
        <v>121.992</v>
      </c>
      <c r="J474" s="61">
        <v>66.87</v>
      </c>
      <c r="K474" s="51"/>
      <c r="L474" s="51"/>
      <c r="M474" s="61">
        <f>ROUND(ROUND(J474, 2)*I474, 2)</f>
        <v>8157.61</v>
      </c>
      <c r="N474" s="51"/>
      <c r="O474" s="51"/>
      <c r="P474" s="61">
        <v>66.87</v>
      </c>
      <c r="Q474" s="51"/>
      <c r="R474" s="51"/>
      <c r="S474" s="61">
        <f>ROUND(ROUND(P474, 2)*I474, 2)</f>
        <v>8157.61</v>
      </c>
      <c r="T474" s="51"/>
      <c r="U474" s="62"/>
      <c r="V474" s="9">
        <f>ROUND(ROUND(P474, 2)/1.2, 2)</f>
        <v>55.73</v>
      </c>
      <c r="Y474" s="9">
        <f t="shared" si="114"/>
        <v>6798.01</v>
      </c>
      <c r="AD474" s="4" t="s">
        <v>1375</v>
      </c>
      <c r="AE474" s="4" t="s">
        <v>1376</v>
      </c>
      <c r="AF474" s="4" t="s">
        <v>120</v>
      </c>
    </row>
    <row r="475" spans="1:35" ht="18" x14ac:dyDescent="0.3">
      <c r="A475" s="53" t="s">
        <v>1377</v>
      </c>
      <c r="B475" s="53"/>
      <c r="C475" s="47" t="s">
        <v>124</v>
      </c>
      <c r="D475" s="55"/>
      <c r="E475" s="55"/>
      <c r="F475" s="59" t="s">
        <v>76</v>
      </c>
      <c r="G475" s="60">
        <v>0.8</v>
      </c>
      <c r="H475" s="55"/>
      <c r="I475" s="63">
        <v>47.84</v>
      </c>
      <c r="J475" s="61">
        <v>53.47</v>
      </c>
      <c r="K475" s="51"/>
      <c r="L475" s="51"/>
      <c r="M475" s="61">
        <f>ROUND(ROUND(J475, 2)*I475, 2)</f>
        <v>2558</v>
      </c>
      <c r="N475" s="51"/>
      <c r="O475" s="51"/>
      <c r="P475" s="61">
        <v>53.47</v>
      </c>
      <c r="Q475" s="51"/>
      <c r="R475" s="51"/>
      <c r="S475" s="61">
        <f>ROUND(ROUND(P475, 2)*I475, 2)</f>
        <v>2558</v>
      </c>
      <c r="T475" s="51"/>
      <c r="U475" s="62"/>
      <c r="V475" s="9">
        <f>ROUND(ROUND(P475, 2)/1.2, 2)</f>
        <v>44.56</v>
      </c>
      <c r="Y475" s="9">
        <f t="shared" si="114"/>
        <v>2131.67</v>
      </c>
      <c r="AD475" s="4" t="s">
        <v>1378</v>
      </c>
      <c r="AE475" s="4" t="s">
        <v>1379</v>
      </c>
      <c r="AF475" s="4" t="s">
        <v>127</v>
      </c>
    </row>
    <row r="476" spans="1:35" ht="72" x14ac:dyDescent="0.3">
      <c r="A476" s="53" t="s">
        <v>1380</v>
      </c>
      <c r="B476" s="53"/>
      <c r="C476" s="58" t="s">
        <v>67</v>
      </c>
      <c r="D476" s="55"/>
      <c r="E476" s="55"/>
      <c r="F476" s="59" t="s">
        <v>68</v>
      </c>
      <c r="G476" s="60">
        <v>1</v>
      </c>
      <c r="H476" s="55"/>
      <c r="I476" s="60">
        <v>59.8</v>
      </c>
      <c r="J476" s="61">
        <v>89.83</v>
      </c>
      <c r="K476" s="51"/>
      <c r="L476" s="51"/>
      <c r="M476" s="61">
        <f>ROUND(ROUND(J476, 2)*I476, 2)</f>
        <v>5371.83</v>
      </c>
      <c r="N476" s="51"/>
      <c r="O476" s="51"/>
      <c r="P476" s="61">
        <v>89.83</v>
      </c>
      <c r="Q476" s="51"/>
      <c r="R476" s="51"/>
      <c r="S476" s="61">
        <f>ROUND(ROUND(P476, 2)*I476, 2)</f>
        <v>5371.83</v>
      </c>
      <c r="T476" s="51"/>
      <c r="U476" s="62"/>
      <c r="V476" s="9">
        <f>ROUND(ROUND(P476, 2)/1.2, 2)</f>
        <v>74.86</v>
      </c>
      <c r="Y476" s="9">
        <f t="shared" si="114"/>
        <v>4476.53</v>
      </c>
      <c r="AD476" s="4" t="s">
        <v>1381</v>
      </c>
      <c r="AE476" s="4" t="s">
        <v>1382</v>
      </c>
      <c r="AF476" s="4" t="s">
        <v>71</v>
      </c>
    </row>
    <row r="477" spans="1:35" ht="288" x14ac:dyDescent="0.3">
      <c r="A477" s="53" t="s">
        <v>1383</v>
      </c>
      <c r="B477" s="53" t="s">
        <v>165</v>
      </c>
      <c r="C477" s="54" t="s">
        <v>166</v>
      </c>
      <c r="D477" s="55" t="s">
        <v>59</v>
      </c>
      <c r="E477" s="55" t="s">
        <v>1384</v>
      </c>
      <c r="F477" s="55" t="s">
        <v>61</v>
      </c>
      <c r="G477" s="56">
        <v>1</v>
      </c>
      <c r="H477" s="55"/>
      <c r="I477" s="56">
        <v>783.6</v>
      </c>
      <c r="J477" s="57">
        <f>IFERROR(ROUND(SUM(M478,M479,M480,M481,M482)/I477, 2),0)</f>
        <v>821.26</v>
      </c>
      <c r="K477" s="57">
        <v>1225</v>
      </c>
      <c r="L477" s="57">
        <f>J477+ROUND(K477, 2)</f>
        <v>2046.26</v>
      </c>
      <c r="M477" s="57">
        <f>ROUND(J477*I477, 2)</f>
        <v>643539.34</v>
      </c>
      <c r="N477" s="57">
        <f>ROUND(I477*ROUND(K477, 2), 2)</f>
        <v>959910</v>
      </c>
      <c r="O477" s="57">
        <f>M477+N477</f>
        <v>1603449.3399999999</v>
      </c>
      <c r="P477" s="57">
        <f>IFERROR(ROUND(SUM(S478,S479,S480,S481,S482)/I477, 2),0)</f>
        <v>821.26</v>
      </c>
      <c r="Q477" s="57">
        <v>1837.5</v>
      </c>
      <c r="R477" s="57">
        <f>P477+ROUND(Q477, 2)</f>
        <v>2658.76</v>
      </c>
      <c r="S477" s="57">
        <f>ROUND(P477*I477, 2)</f>
        <v>643539.34</v>
      </c>
      <c r="T477" s="57">
        <f>ROUND(I477*ROUND(Q477, 2), 2)</f>
        <v>1439865</v>
      </c>
      <c r="U477" s="57">
        <f>S477+T477</f>
        <v>2083404.3399999999</v>
      </c>
      <c r="V477" s="9">
        <f>ROUND(P477 / 1.2, 2)</f>
        <v>684.38</v>
      </c>
      <c r="W477" s="9">
        <f>ROUND(Q477 / 1.2, 2)</f>
        <v>1531.25</v>
      </c>
      <c r="X477" s="9">
        <f>ROUND(R477 / 1.2, 2)</f>
        <v>2215.63</v>
      </c>
      <c r="Y477" s="9">
        <f t="shared" si="114"/>
        <v>536282.78</v>
      </c>
      <c r="Z477" s="9">
        <f>ROUND(T477 / 1.2, 2)</f>
        <v>1199887.5</v>
      </c>
      <c r="AA477" s="9">
        <f>Y477+Z477</f>
        <v>1736170.28</v>
      </c>
      <c r="AD477" s="4">
        <v>320319856</v>
      </c>
      <c r="AE477" s="4">
        <v>28020223</v>
      </c>
      <c r="AG477" s="4" t="s">
        <v>168</v>
      </c>
      <c r="AH477" s="4" t="s">
        <v>169</v>
      </c>
      <c r="AI477" s="4" t="s">
        <v>64</v>
      </c>
    </row>
    <row r="478" spans="1:35" ht="36" x14ac:dyDescent="0.3">
      <c r="A478" s="53" t="s">
        <v>1385</v>
      </c>
      <c r="B478" s="53"/>
      <c r="C478" s="47" t="s">
        <v>90</v>
      </c>
      <c r="D478" s="55"/>
      <c r="E478" s="55"/>
      <c r="F478" s="59" t="s">
        <v>91</v>
      </c>
      <c r="G478" s="60">
        <v>5.1999999999999998E-2</v>
      </c>
      <c r="H478" s="55"/>
      <c r="I478" s="60">
        <v>40.747</v>
      </c>
      <c r="J478" s="61">
        <v>4093.92</v>
      </c>
      <c r="K478" s="51"/>
      <c r="L478" s="51"/>
      <c r="M478" s="61">
        <f>ROUND(ROUND(J478, 2)*I478, 2)</f>
        <v>166814.96</v>
      </c>
      <c r="N478" s="51"/>
      <c r="O478" s="51"/>
      <c r="P478" s="61">
        <v>4093.92</v>
      </c>
      <c r="Q478" s="51"/>
      <c r="R478" s="51"/>
      <c r="S478" s="61">
        <f>ROUND(ROUND(P478, 2)*I478, 2)</f>
        <v>166814.96</v>
      </c>
      <c r="T478" s="51"/>
      <c r="U478" s="62"/>
      <c r="V478" s="9">
        <f>ROUND(ROUND(P478, 2)/1.2, 2)</f>
        <v>3411.6</v>
      </c>
      <c r="Y478" s="9">
        <f t="shared" si="114"/>
        <v>139012.47</v>
      </c>
      <c r="AD478" s="4" t="s">
        <v>1386</v>
      </c>
      <c r="AE478" s="4" t="s">
        <v>1387</v>
      </c>
      <c r="AF478" s="4" t="s">
        <v>94</v>
      </c>
    </row>
    <row r="479" spans="1:35" ht="72" x14ac:dyDescent="0.3">
      <c r="A479" s="53" t="s">
        <v>1388</v>
      </c>
      <c r="B479" s="53"/>
      <c r="C479" s="58" t="s">
        <v>177</v>
      </c>
      <c r="D479" s="55"/>
      <c r="E479" s="55"/>
      <c r="F479" s="59" t="s">
        <v>68</v>
      </c>
      <c r="G479" s="60">
        <v>1</v>
      </c>
      <c r="H479" s="55"/>
      <c r="I479" s="60">
        <v>783.6</v>
      </c>
      <c r="J479" s="61">
        <v>113.01</v>
      </c>
      <c r="K479" s="51"/>
      <c r="L479" s="51"/>
      <c r="M479" s="61">
        <f>ROUND(ROUND(J479, 2)*I479, 2)</f>
        <v>88554.64</v>
      </c>
      <c r="N479" s="51"/>
      <c r="O479" s="51"/>
      <c r="P479" s="61">
        <v>113.01</v>
      </c>
      <c r="Q479" s="51"/>
      <c r="R479" s="51"/>
      <c r="S479" s="61">
        <f>ROUND(ROUND(P479, 2)*I479, 2)</f>
        <v>88554.64</v>
      </c>
      <c r="T479" s="51"/>
      <c r="U479" s="62"/>
      <c r="V479" s="9">
        <f>ROUND(ROUND(P479, 2)/1.2, 2)</f>
        <v>94.18</v>
      </c>
      <c r="Y479" s="9">
        <f t="shared" si="114"/>
        <v>73795.53</v>
      </c>
      <c r="AD479" s="4" t="s">
        <v>1389</v>
      </c>
      <c r="AE479" s="4" t="s">
        <v>1390</v>
      </c>
      <c r="AF479" s="4" t="s">
        <v>180</v>
      </c>
    </row>
    <row r="480" spans="1:35" ht="36" x14ac:dyDescent="0.3">
      <c r="A480" s="53" t="s">
        <v>1391</v>
      </c>
      <c r="B480" s="53"/>
      <c r="C480" s="47" t="s">
        <v>184</v>
      </c>
      <c r="D480" s="55"/>
      <c r="E480" s="55"/>
      <c r="F480" s="59" t="s">
        <v>61</v>
      </c>
      <c r="G480" s="60">
        <v>2.2000000000000002</v>
      </c>
      <c r="H480" s="55"/>
      <c r="I480" s="60">
        <v>1723.92</v>
      </c>
      <c r="J480" s="61">
        <v>107.1</v>
      </c>
      <c r="K480" s="51"/>
      <c r="L480" s="51"/>
      <c r="M480" s="61">
        <f>ROUND(ROUND(J480, 2)*I480, 2)</f>
        <v>184631.83</v>
      </c>
      <c r="N480" s="51"/>
      <c r="O480" s="51"/>
      <c r="P480" s="61">
        <v>107.1</v>
      </c>
      <c r="Q480" s="51"/>
      <c r="R480" s="51"/>
      <c r="S480" s="61">
        <f>ROUND(ROUND(P480, 2)*I480, 2)</f>
        <v>184631.83</v>
      </c>
      <c r="T480" s="51"/>
      <c r="U480" s="62"/>
      <c r="V480" s="9">
        <f>ROUND(ROUND(P480, 2)/1.2, 2)</f>
        <v>89.25</v>
      </c>
      <c r="Y480" s="9">
        <f t="shared" si="114"/>
        <v>153859.85999999999</v>
      </c>
      <c r="AD480" s="4" t="s">
        <v>1392</v>
      </c>
      <c r="AE480" s="4" t="s">
        <v>1393</v>
      </c>
      <c r="AF480" s="4" t="s">
        <v>187</v>
      </c>
    </row>
    <row r="481" spans="1:35" ht="18" x14ac:dyDescent="0.3">
      <c r="A481" s="53" t="s">
        <v>1394</v>
      </c>
      <c r="B481" s="53"/>
      <c r="C481" s="47" t="s">
        <v>75</v>
      </c>
      <c r="D481" s="55"/>
      <c r="E481" s="55"/>
      <c r="F481" s="59" t="s">
        <v>76</v>
      </c>
      <c r="G481" s="60">
        <v>0.86</v>
      </c>
      <c r="H481" s="55"/>
      <c r="I481" s="63">
        <v>673.89599999999996</v>
      </c>
      <c r="J481" s="61">
        <v>66</v>
      </c>
      <c r="K481" s="51"/>
      <c r="L481" s="51"/>
      <c r="M481" s="61">
        <f>ROUND(ROUND(J481, 2)*I481, 2)</f>
        <v>44477.14</v>
      </c>
      <c r="N481" s="51"/>
      <c r="O481" s="51"/>
      <c r="P481" s="61">
        <v>66</v>
      </c>
      <c r="Q481" s="51"/>
      <c r="R481" s="51"/>
      <c r="S481" s="61">
        <f>ROUND(ROUND(P481, 2)*I481, 2)</f>
        <v>44477.14</v>
      </c>
      <c r="T481" s="51"/>
      <c r="U481" s="62"/>
      <c r="V481" s="9">
        <f>ROUND(ROUND(P481, 2)/1.2, 2)</f>
        <v>55</v>
      </c>
      <c r="Y481" s="9">
        <f t="shared" si="114"/>
        <v>37064.28</v>
      </c>
      <c r="AD481" s="4" t="s">
        <v>1395</v>
      </c>
      <c r="AE481" s="4" t="s">
        <v>1396</v>
      </c>
      <c r="AF481" s="4" t="s">
        <v>79</v>
      </c>
    </row>
    <row r="482" spans="1:35" ht="18" x14ac:dyDescent="0.3">
      <c r="A482" s="53" t="s">
        <v>1397</v>
      </c>
      <c r="B482" s="53"/>
      <c r="C482" s="47" t="s">
        <v>83</v>
      </c>
      <c r="D482" s="55"/>
      <c r="E482" s="55"/>
      <c r="F482" s="59" t="s">
        <v>76</v>
      </c>
      <c r="G482" s="60">
        <v>2.1</v>
      </c>
      <c r="H482" s="55"/>
      <c r="I482" s="63">
        <v>1645.56</v>
      </c>
      <c r="J482" s="61">
        <v>96.66</v>
      </c>
      <c r="K482" s="51"/>
      <c r="L482" s="51"/>
      <c r="M482" s="61">
        <f>ROUND(ROUND(J482, 2)*I482, 2)</f>
        <v>159059.82999999999</v>
      </c>
      <c r="N482" s="51"/>
      <c r="O482" s="51"/>
      <c r="P482" s="61">
        <v>96.66</v>
      </c>
      <c r="Q482" s="51"/>
      <c r="R482" s="51"/>
      <c r="S482" s="61">
        <f>ROUND(ROUND(P482, 2)*I482, 2)</f>
        <v>159059.82999999999</v>
      </c>
      <c r="T482" s="51"/>
      <c r="U482" s="62"/>
      <c r="V482" s="9">
        <f>ROUND(ROUND(P482, 2)/1.2, 2)</f>
        <v>80.55</v>
      </c>
      <c r="Y482" s="9">
        <f t="shared" si="114"/>
        <v>132549.85999999999</v>
      </c>
      <c r="AD482" s="4" t="s">
        <v>1398</v>
      </c>
      <c r="AE482" s="4" t="s">
        <v>1399</v>
      </c>
      <c r="AF482" s="4" t="s">
        <v>86</v>
      </c>
    </row>
    <row r="483" spans="1:35" ht="288" x14ac:dyDescent="0.3">
      <c r="A483" s="53" t="s">
        <v>1400</v>
      </c>
      <c r="B483" s="53" t="s">
        <v>165</v>
      </c>
      <c r="C483" s="54" t="s">
        <v>166</v>
      </c>
      <c r="D483" s="55" t="s">
        <v>59</v>
      </c>
      <c r="E483" s="55" t="s">
        <v>1401</v>
      </c>
      <c r="F483" s="55" t="s">
        <v>61</v>
      </c>
      <c r="G483" s="56">
        <v>1</v>
      </c>
      <c r="H483" s="55"/>
      <c r="I483" s="56">
        <v>2480.6999999999998</v>
      </c>
      <c r="J483" s="57">
        <f>IFERROR(ROUND(SUM(M484,M485,M486,M487,M488)/I483, 2),0)</f>
        <v>821.26</v>
      </c>
      <c r="K483" s="57">
        <v>1225</v>
      </c>
      <c r="L483" s="57">
        <f>J483+ROUND(K483, 2)</f>
        <v>2046.26</v>
      </c>
      <c r="M483" s="57">
        <f>ROUND(J483*I483, 2)</f>
        <v>2037299.68</v>
      </c>
      <c r="N483" s="57">
        <f>ROUND(I483*ROUND(K483, 2), 2)</f>
        <v>3038857.5</v>
      </c>
      <c r="O483" s="57">
        <f>M483+N483</f>
        <v>5076157.18</v>
      </c>
      <c r="P483" s="57">
        <f>IFERROR(ROUND(SUM(S484,S485,S486,S487,S488)/I483, 2),0)</f>
        <v>821.26</v>
      </c>
      <c r="Q483" s="57">
        <v>1837.5</v>
      </c>
      <c r="R483" s="57">
        <f>P483+ROUND(Q483, 2)</f>
        <v>2658.76</v>
      </c>
      <c r="S483" s="57">
        <f>ROUND(P483*I483, 2)</f>
        <v>2037299.68</v>
      </c>
      <c r="T483" s="57">
        <f>ROUND(I483*ROUND(Q483, 2), 2)</f>
        <v>4558286.25</v>
      </c>
      <c r="U483" s="57">
        <f>S483+T483</f>
        <v>6595585.9299999997</v>
      </c>
      <c r="V483" s="9">
        <f>ROUND(P483 / 1.2, 2)</f>
        <v>684.38</v>
      </c>
      <c r="W483" s="9">
        <f>ROUND(Q483 / 1.2, 2)</f>
        <v>1531.25</v>
      </c>
      <c r="X483" s="9">
        <f>ROUND(R483 / 1.2, 2)</f>
        <v>2215.63</v>
      </c>
      <c r="Y483" s="9">
        <f t="shared" si="114"/>
        <v>1697749.73</v>
      </c>
      <c r="Z483" s="9">
        <f>ROUND(T483 / 1.2, 2)</f>
        <v>3798571.88</v>
      </c>
      <c r="AA483" s="9">
        <f>Y483+Z483</f>
        <v>5496321.6099999994</v>
      </c>
      <c r="AD483" s="4">
        <v>320319925</v>
      </c>
      <c r="AE483" s="4">
        <v>28020224</v>
      </c>
      <c r="AG483" s="4" t="s">
        <v>168</v>
      </c>
      <c r="AH483" s="4" t="s">
        <v>169</v>
      </c>
      <c r="AI483" s="4" t="s">
        <v>64</v>
      </c>
    </row>
    <row r="484" spans="1:35" ht="18" x14ac:dyDescent="0.3">
      <c r="A484" s="53" t="s">
        <v>1402</v>
      </c>
      <c r="B484" s="53"/>
      <c r="C484" s="47" t="s">
        <v>75</v>
      </c>
      <c r="D484" s="55"/>
      <c r="E484" s="55"/>
      <c r="F484" s="59" t="s">
        <v>76</v>
      </c>
      <c r="G484" s="60">
        <v>0.86</v>
      </c>
      <c r="H484" s="55"/>
      <c r="I484" s="63">
        <v>2133.402</v>
      </c>
      <c r="J484" s="61">
        <v>66</v>
      </c>
      <c r="K484" s="51"/>
      <c r="L484" s="51"/>
      <c r="M484" s="61">
        <f>ROUND(ROUND(J484, 2)*I484, 2)</f>
        <v>140804.53</v>
      </c>
      <c r="N484" s="51"/>
      <c r="O484" s="51"/>
      <c r="P484" s="61">
        <v>66</v>
      </c>
      <c r="Q484" s="51"/>
      <c r="R484" s="51"/>
      <c r="S484" s="61">
        <f>ROUND(ROUND(P484, 2)*I484, 2)</f>
        <v>140804.53</v>
      </c>
      <c r="T484" s="51"/>
      <c r="U484" s="62"/>
      <c r="V484" s="9">
        <f>ROUND(ROUND(P484, 2)/1.2, 2)</f>
        <v>55</v>
      </c>
      <c r="Y484" s="9">
        <f t="shared" si="114"/>
        <v>117337.11</v>
      </c>
      <c r="AD484" s="4" t="s">
        <v>1403</v>
      </c>
      <c r="AE484" s="4" t="s">
        <v>1404</v>
      </c>
      <c r="AF484" s="4" t="s">
        <v>79</v>
      </c>
    </row>
    <row r="485" spans="1:35" ht="18" x14ac:dyDescent="0.3">
      <c r="A485" s="53" t="s">
        <v>1405</v>
      </c>
      <c r="B485" s="53"/>
      <c r="C485" s="47" t="s">
        <v>83</v>
      </c>
      <c r="D485" s="55"/>
      <c r="E485" s="55"/>
      <c r="F485" s="59" t="s">
        <v>76</v>
      </c>
      <c r="G485" s="60">
        <v>2.1</v>
      </c>
      <c r="H485" s="55"/>
      <c r="I485" s="63">
        <v>5209.47</v>
      </c>
      <c r="J485" s="61">
        <v>96.66</v>
      </c>
      <c r="K485" s="51"/>
      <c r="L485" s="51"/>
      <c r="M485" s="61">
        <f>ROUND(ROUND(J485, 2)*I485, 2)</f>
        <v>503547.37</v>
      </c>
      <c r="N485" s="51"/>
      <c r="O485" s="51"/>
      <c r="P485" s="61">
        <v>96.66</v>
      </c>
      <c r="Q485" s="51"/>
      <c r="R485" s="51"/>
      <c r="S485" s="61">
        <f>ROUND(ROUND(P485, 2)*I485, 2)</f>
        <v>503547.37</v>
      </c>
      <c r="T485" s="51"/>
      <c r="U485" s="62"/>
      <c r="V485" s="9">
        <f>ROUND(ROUND(P485, 2)/1.2, 2)</f>
        <v>80.55</v>
      </c>
      <c r="Y485" s="9">
        <f t="shared" si="114"/>
        <v>419622.81</v>
      </c>
      <c r="AD485" s="4" t="s">
        <v>1406</v>
      </c>
      <c r="AE485" s="4" t="s">
        <v>1407</v>
      </c>
      <c r="AF485" s="4" t="s">
        <v>86</v>
      </c>
    </row>
    <row r="486" spans="1:35" ht="36" x14ac:dyDescent="0.3">
      <c r="A486" s="53" t="s">
        <v>1408</v>
      </c>
      <c r="B486" s="53"/>
      <c r="C486" s="47" t="s">
        <v>214</v>
      </c>
      <c r="D486" s="55"/>
      <c r="E486" s="55"/>
      <c r="F486" s="59" t="s">
        <v>61</v>
      </c>
      <c r="G486" s="60">
        <v>2.2000000000000002</v>
      </c>
      <c r="H486" s="55"/>
      <c r="I486" s="60">
        <v>5457.54</v>
      </c>
      <c r="J486" s="61">
        <v>107.1</v>
      </c>
      <c r="K486" s="51"/>
      <c r="L486" s="51"/>
      <c r="M486" s="61">
        <f>ROUND(ROUND(J486, 2)*I486, 2)</f>
        <v>584502.53</v>
      </c>
      <c r="N486" s="51"/>
      <c r="O486" s="51"/>
      <c r="P486" s="61">
        <v>107.1</v>
      </c>
      <c r="Q486" s="51"/>
      <c r="R486" s="51"/>
      <c r="S486" s="61">
        <f>ROUND(ROUND(P486, 2)*I486, 2)</f>
        <v>584502.53</v>
      </c>
      <c r="T486" s="51"/>
      <c r="U486" s="62"/>
      <c r="V486" s="9">
        <f>ROUND(ROUND(P486, 2)/1.2, 2)</f>
        <v>89.25</v>
      </c>
      <c r="Y486" s="9">
        <f t="shared" si="114"/>
        <v>487085.44</v>
      </c>
      <c r="AD486" s="4" t="s">
        <v>1409</v>
      </c>
      <c r="AE486" s="4" t="s">
        <v>1410</v>
      </c>
      <c r="AF486" s="4" t="s">
        <v>217</v>
      </c>
    </row>
    <row r="487" spans="1:35" ht="72" x14ac:dyDescent="0.3">
      <c r="A487" s="53" t="s">
        <v>1411</v>
      </c>
      <c r="B487" s="53"/>
      <c r="C487" s="58" t="s">
        <v>177</v>
      </c>
      <c r="D487" s="55"/>
      <c r="E487" s="55"/>
      <c r="F487" s="59" t="s">
        <v>68</v>
      </c>
      <c r="G487" s="60">
        <v>1</v>
      </c>
      <c r="H487" s="55"/>
      <c r="I487" s="60">
        <v>2480.6999999999998</v>
      </c>
      <c r="J487" s="61">
        <v>113.01</v>
      </c>
      <c r="K487" s="51"/>
      <c r="L487" s="51"/>
      <c r="M487" s="61">
        <f>ROUND(ROUND(J487, 2)*I487, 2)</f>
        <v>280343.90999999997</v>
      </c>
      <c r="N487" s="51"/>
      <c r="O487" s="51"/>
      <c r="P487" s="61">
        <v>113.01</v>
      </c>
      <c r="Q487" s="51"/>
      <c r="R487" s="51"/>
      <c r="S487" s="61">
        <f>ROUND(ROUND(P487, 2)*I487, 2)</f>
        <v>280343.90999999997</v>
      </c>
      <c r="T487" s="51"/>
      <c r="U487" s="62"/>
      <c r="V487" s="9">
        <f>ROUND(ROUND(P487, 2)/1.2, 2)</f>
        <v>94.18</v>
      </c>
      <c r="Y487" s="9">
        <f t="shared" si="114"/>
        <v>233619.93</v>
      </c>
      <c r="AD487" s="4" t="s">
        <v>1412</v>
      </c>
      <c r="AE487" s="4" t="s">
        <v>1413</v>
      </c>
      <c r="AF487" s="4" t="s">
        <v>180</v>
      </c>
    </row>
    <row r="488" spans="1:35" ht="36" x14ac:dyDescent="0.3">
      <c r="A488" s="53" t="s">
        <v>1414</v>
      </c>
      <c r="B488" s="53"/>
      <c r="C488" s="47" t="s">
        <v>90</v>
      </c>
      <c r="D488" s="55"/>
      <c r="E488" s="55"/>
      <c r="F488" s="59" t="s">
        <v>91</v>
      </c>
      <c r="G488" s="60">
        <v>5.1999999999999998E-2</v>
      </c>
      <c r="H488" s="55"/>
      <c r="I488" s="60">
        <v>128.99600000000001</v>
      </c>
      <c r="J488" s="61">
        <v>4093.92</v>
      </c>
      <c r="K488" s="51"/>
      <c r="L488" s="51"/>
      <c r="M488" s="61">
        <f>ROUND(ROUND(J488, 2)*I488, 2)</f>
        <v>528099.30000000005</v>
      </c>
      <c r="N488" s="51"/>
      <c r="O488" s="51"/>
      <c r="P488" s="61">
        <v>4093.92</v>
      </c>
      <c r="Q488" s="51"/>
      <c r="R488" s="51"/>
      <c r="S488" s="61">
        <f>ROUND(ROUND(P488, 2)*I488, 2)</f>
        <v>528099.30000000005</v>
      </c>
      <c r="T488" s="51"/>
      <c r="U488" s="62"/>
      <c r="V488" s="9">
        <f>ROUND(ROUND(P488, 2)/1.2, 2)</f>
        <v>3411.6</v>
      </c>
      <c r="Y488" s="9">
        <f t="shared" si="114"/>
        <v>440082.75</v>
      </c>
      <c r="AD488" s="4" t="s">
        <v>1415</v>
      </c>
      <c r="AE488" s="4" t="s">
        <v>1416</v>
      </c>
      <c r="AF488" s="4" t="s">
        <v>94</v>
      </c>
    </row>
    <row r="489" spans="1:35" ht="378" x14ac:dyDescent="0.3">
      <c r="A489" s="53" t="s">
        <v>1417</v>
      </c>
      <c r="B489" s="53" t="s">
        <v>165</v>
      </c>
      <c r="C489" s="54" t="s">
        <v>166</v>
      </c>
      <c r="D489" s="55" t="s">
        <v>59</v>
      </c>
      <c r="E489" s="55" t="s">
        <v>231</v>
      </c>
      <c r="F489" s="55" t="s">
        <v>61</v>
      </c>
      <c r="G489" s="56">
        <v>1</v>
      </c>
      <c r="H489" s="55"/>
      <c r="I489" s="56">
        <v>185.6</v>
      </c>
      <c r="J489" s="57">
        <f>IFERROR(ROUND(SUM(M490,M491,M492,M493,M494)/I489, 2),0)</f>
        <v>821.26</v>
      </c>
      <c r="K489" s="57">
        <v>1225</v>
      </c>
      <c r="L489" s="57">
        <f>J489+ROUND(K489, 2)</f>
        <v>2046.26</v>
      </c>
      <c r="M489" s="57">
        <f>ROUND(J489*I489, 2)</f>
        <v>152425.85999999999</v>
      </c>
      <c r="N489" s="57">
        <f>ROUND(I489*ROUND(K489, 2), 2)</f>
        <v>227360</v>
      </c>
      <c r="O489" s="57">
        <f>M489+N489</f>
        <v>379785.86</v>
      </c>
      <c r="P489" s="57">
        <f>IFERROR(ROUND(SUM(S490,S491,S492,S493,S494)/I489, 2),0)</f>
        <v>821.26</v>
      </c>
      <c r="Q489" s="57">
        <v>1837.5</v>
      </c>
      <c r="R489" s="57">
        <f>P489+ROUND(Q489, 2)</f>
        <v>2658.76</v>
      </c>
      <c r="S489" s="57">
        <f>ROUND(P489*I489, 2)</f>
        <v>152425.85999999999</v>
      </c>
      <c r="T489" s="57">
        <f>ROUND(I489*ROUND(Q489, 2), 2)</f>
        <v>341040</v>
      </c>
      <c r="U489" s="57">
        <f>S489+T489</f>
        <v>493465.86</v>
      </c>
      <c r="V489" s="9">
        <f>ROUND(P489 / 1.2, 2)</f>
        <v>684.38</v>
      </c>
      <c r="W489" s="9">
        <f>ROUND(Q489 / 1.2, 2)</f>
        <v>1531.25</v>
      </c>
      <c r="X489" s="9">
        <f>ROUND(R489 / 1.2, 2)</f>
        <v>2215.63</v>
      </c>
      <c r="Y489" s="9">
        <f t="shared" si="114"/>
        <v>127021.55</v>
      </c>
      <c r="Z489" s="9">
        <f>ROUND(T489 / 1.2, 2)</f>
        <v>284200</v>
      </c>
      <c r="AA489" s="9">
        <f>Y489+Z489</f>
        <v>411221.55</v>
      </c>
      <c r="AD489" s="4">
        <v>320319926</v>
      </c>
      <c r="AE489" s="4">
        <v>28020225</v>
      </c>
      <c r="AG489" s="4" t="s">
        <v>168</v>
      </c>
      <c r="AH489" s="4" t="s">
        <v>169</v>
      </c>
      <c r="AI489" s="4" t="s">
        <v>64</v>
      </c>
    </row>
    <row r="490" spans="1:35" ht="36" x14ac:dyDescent="0.3">
      <c r="A490" s="53" t="s">
        <v>1418</v>
      </c>
      <c r="B490" s="53"/>
      <c r="C490" s="47" t="s">
        <v>90</v>
      </c>
      <c r="D490" s="55"/>
      <c r="E490" s="55"/>
      <c r="F490" s="59" t="s">
        <v>91</v>
      </c>
      <c r="G490" s="60">
        <v>5.1999999999999998E-2</v>
      </c>
      <c r="H490" s="55"/>
      <c r="I490" s="60">
        <v>9.6509999999999998</v>
      </c>
      <c r="J490" s="61">
        <v>4093.92</v>
      </c>
      <c r="K490" s="51"/>
      <c r="L490" s="51"/>
      <c r="M490" s="61">
        <f>ROUND(ROUND(J490, 2)*I490, 2)</f>
        <v>39510.42</v>
      </c>
      <c r="N490" s="51"/>
      <c r="O490" s="51"/>
      <c r="P490" s="61">
        <v>4093.92</v>
      </c>
      <c r="Q490" s="51"/>
      <c r="R490" s="51"/>
      <c r="S490" s="61">
        <f>ROUND(ROUND(P490, 2)*I490, 2)</f>
        <v>39510.42</v>
      </c>
      <c r="T490" s="51"/>
      <c r="U490" s="62"/>
      <c r="V490" s="9">
        <f>ROUND(ROUND(P490, 2)/1.2, 2)</f>
        <v>3411.6</v>
      </c>
      <c r="Y490" s="9">
        <f t="shared" si="114"/>
        <v>32925.35</v>
      </c>
      <c r="AD490" s="4" t="s">
        <v>1419</v>
      </c>
      <c r="AE490" s="4" t="s">
        <v>1420</v>
      </c>
      <c r="AF490" s="4" t="s">
        <v>94</v>
      </c>
    </row>
    <row r="491" spans="1:35" ht="72" x14ac:dyDescent="0.3">
      <c r="A491" s="53" t="s">
        <v>1421</v>
      </c>
      <c r="B491" s="53"/>
      <c r="C491" s="58" t="s">
        <v>177</v>
      </c>
      <c r="D491" s="55"/>
      <c r="E491" s="55"/>
      <c r="F491" s="59" t="s">
        <v>68</v>
      </c>
      <c r="G491" s="60">
        <v>1</v>
      </c>
      <c r="H491" s="55"/>
      <c r="I491" s="60">
        <v>185.6</v>
      </c>
      <c r="J491" s="61">
        <v>113.01</v>
      </c>
      <c r="K491" s="51"/>
      <c r="L491" s="51"/>
      <c r="M491" s="61">
        <f>ROUND(ROUND(J491, 2)*I491, 2)</f>
        <v>20974.66</v>
      </c>
      <c r="N491" s="51"/>
      <c r="O491" s="51"/>
      <c r="P491" s="61">
        <v>113.01</v>
      </c>
      <c r="Q491" s="51"/>
      <c r="R491" s="51"/>
      <c r="S491" s="61">
        <f>ROUND(ROUND(P491, 2)*I491, 2)</f>
        <v>20974.66</v>
      </c>
      <c r="T491" s="51"/>
      <c r="U491" s="62"/>
      <c r="V491" s="9">
        <f>ROUND(ROUND(P491, 2)/1.2, 2)</f>
        <v>94.18</v>
      </c>
      <c r="Y491" s="9">
        <f t="shared" si="114"/>
        <v>17478.88</v>
      </c>
      <c r="AD491" s="4" t="s">
        <v>1422</v>
      </c>
      <c r="AE491" s="4" t="s">
        <v>1423</v>
      </c>
      <c r="AF491" s="4" t="s">
        <v>180</v>
      </c>
    </row>
    <row r="492" spans="1:35" ht="36" x14ac:dyDescent="0.3">
      <c r="A492" s="53" t="s">
        <v>1424</v>
      </c>
      <c r="B492" s="53"/>
      <c r="C492" s="47" t="s">
        <v>214</v>
      </c>
      <c r="D492" s="55"/>
      <c r="E492" s="55"/>
      <c r="F492" s="59" t="s">
        <v>61</v>
      </c>
      <c r="G492" s="60">
        <v>2.2000000000000002</v>
      </c>
      <c r="H492" s="55"/>
      <c r="I492" s="60">
        <v>408.32</v>
      </c>
      <c r="J492" s="61">
        <v>107.1</v>
      </c>
      <c r="K492" s="51"/>
      <c r="L492" s="51"/>
      <c r="M492" s="61">
        <f>ROUND(ROUND(J492, 2)*I492, 2)</f>
        <v>43731.07</v>
      </c>
      <c r="N492" s="51"/>
      <c r="O492" s="51"/>
      <c r="P492" s="61">
        <v>107.1</v>
      </c>
      <c r="Q492" s="51"/>
      <c r="R492" s="51"/>
      <c r="S492" s="61">
        <f>ROUND(ROUND(P492, 2)*I492, 2)</f>
        <v>43731.07</v>
      </c>
      <c r="T492" s="51"/>
      <c r="U492" s="62"/>
      <c r="V492" s="9">
        <f>ROUND(ROUND(P492, 2)/1.2, 2)</f>
        <v>89.25</v>
      </c>
      <c r="Y492" s="9">
        <f t="shared" si="114"/>
        <v>36442.559999999998</v>
      </c>
      <c r="AD492" s="4" t="s">
        <v>1425</v>
      </c>
      <c r="AE492" s="4" t="s">
        <v>1426</v>
      </c>
      <c r="AF492" s="4" t="s">
        <v>217</v>
      </c>
    </row>
    <row r="493" spans="1:35" ht="18" x14ac:dyDescent="0.3">
      <c r="A493" s="53" t="s">
        <v>1427</v>
      </c>
      <c r="B493" s="53"/>
      <c r="C493" s="47" t="s">
        <v>75</v>
      </c>
      <c r="D493" s="55"/>
      <c r="E493" s="55"/>
      <c r="F493" s="59" t="s">
        <v>76</v>
      </c>
      <c r="G493" s="60">
        <v>0.86</v>
      </c>
      <c r="H493" s="55"/>
      <c r="I493" s="63">
        <v>159.61600000000001</v>
      </c>
      <c r="J493" s="61">
        <v>66</v>
      </c>
      <c r="K493" s="51"/>
      <c r="L493" s="51"/>
      <c r="M493" s="61">
        <f>ROUND(ROUND(J493, 2)*I493, 2)</f>
        <v>10534.66</v>
      </c>
      <c r="N493" s="51"/>
      <c r="O493" s="51"/>
      <c r="P493" s="61">
        <v>66</v>
      </c>
      <c r="Q493" s="51"/>
      <c r="R493" s="51"/>
      <c r="S493" s="61">
        <f>ROUND(ROUND(P493, 2)*I493, 2)</f>
        <v>10534.66</v>
      </c>
      <c r="T493" s="51"/>
      <c r="U493" s="62"/>
      <c r="V493" s="9">
        <f>ROUND(ROUND(P493, 2)/1.2, 2)</f>
        <v>55</v>
      </c>
      <c r="Y493" s="9">
        <f t="shared" si="114"/>
        <v>8778.8799999999992</v>
      </c>
      <c r="AD493" s="4" t="s">
        <v>1428</v>
      </c>
      <c r="AE493" s="4" t="s">
        <v>1429</v>
      </c>
      <c r="AF493" s="4" t="s">
        <v>79</v>
      </c>
    </row>
    <row r="494" spans="1:35" ht="18" x14ac:dyDescent="0.3">
      <c r="A494" s="53" t="s">
        <v>1430</v>
      </c>
      <c r="B494" s="53"/>
      <c r="C494" s="47" t="s">
        <v>83</v>
      </c>
      <c r="D494" s="55"/>
      <c r="E494" s="55"/>
      <c r="F494" s="59" t="s">
        <v>76</v>
      </c>
      <c r="G494" s="60">
        <v>2.1</v>
      </c>
      <c r="H494" s="55"/>
      <c r="I494" s="63">
        <v>389.76</v>
      </c>
      <c r="J494" s="61">
        <v>96.66</v>
      </c>
      <c r="K494" s="51"/>
      <c r="L494" s="51"/>
      <c r="M494" s="61">
        <f>ROUND(ROUND(J494, 2)*I494, 2)</f>
        <v>37674.199999999997</v>
      </c>
      <c r="N494" s="51"/>
      <c r="O494" s="51"/>
      <c r="P494" s="61">
        <v>96.66</v>
      </c>
      <c r="Q494" s="51"/>
      <c r="R494" s="51"/>
      <c r="S494" s="61">
        <f>ROUND(ROUND(P494, 2)*I494, 2)</f>
        <v>37674.199999999997</v>
      </c>
      <c r="T494" s="51"/>
      <c r="U494" s="62"/>
      <c r="V494" s="9">
        <f>ROUND(ROUND(P494, 2)/1.2, 2)</f>
        <v>80.55</v>
      </c>
      <c r="Y494" s="9">
        <f t="shared" si="114"/>
        <v>31395.17</v>
      </c>
      <c r="AD494" s="4" t="s">
        <v>1431</v>
      </c>
      <c r="AE494" s="4" t="s">
        <v>1432</v>
      </c>
      <c r="AF494" s="4" t="s">
        <v>86</v>
      </c>
    </row>
    <row r="495" spans="1:35" ht="288" x14ac:dyDescent="0.3">
      <c r="A495" s="53" t="s">
        <v>1433</v>
      </c>
      <c r="B495" s="53" t="s">
        <v>165</v>
      </c>
      <c r="C495" s="54" t="s">
        <v>166</v>
      </c>
      <c r="D495" s="55" t="s">
        <v>59</v>
      </c>
      <c r="E495" s="55" t="s">
        <v>259</v>
      </c>
      <c r="F495" s="55" t="s">
        <v>61</v>
      </c>
      <c r="G495" s="56">
        <v>1</v>
      </c>
      <c r="H495" s="55"/>
      <c r="I495" s="56">
        <v>128.5</v>
      </c>
      <c r="J495" s="57">
        <f>IFERROR(ROUND(SUM(M496,M497,M498,M499,M500)/I495, 2),0)</f>
        <v>744.72</v>
      </c>
      <c r="K495" s="57">
        <v>1225</v>
      </c>
      <c r="L495" s="57">
        <f>J495+ROUND(K495, 2)</f>
        <v>1969.72</v>
      </c>
      <c r="M495" s="57">
        <f>ROUND(J495*I495, 2)</f>
        <v>95696.52</v>
      </c>
      <c r="N495" s="57">
        <f>ROUND(I495*ROUND(K495, 2), 2)</f>
        <v>157412.5</v>
      </c>
      <c r="O495" s="57">
        <f>M495+N495</f>
        <v>253109.02000000002</v>
      </c>
      <c r="P495" s="57">
        <f>IFERROR(ROUND(SUM(S496,S497,S498,S499,S500)/I495, 2),0)</f>
        <v>4152.3</v>
      </c>
      <c r="Q495" s="57">
        <v>1837.5</v>
      </c>
      <c r="R495" s="57">
        <f>P495+ROUND(Q495, 2)</f>
        <v>5989.8</v>
      </c>
      <c r="S495" s="57">
        <f>ROUND(P495*I495, 2)</f>
        <v>533570.55000000005</v>
      </c>
      <c r="T495" s="57">
        <f>ROUND(I495*ROUND(Q495, 2), 2)</f>
        <v>236118.75</v>
      </c>
      <c r="U495" s="57">
        <f>S495+T495</f>
        <v>769689.3</v>
      </c>
      <c r="V495" s="9">
        <f>ROUND(P495 / 1.2, 2)</f>
        <v>3460.25</v>
      </c>
      <c r="W495" s="9">
        <f>ROUND(Q495 / 1.2, 2)</f>
        <v>1531.25</v>
      </c>
      <c r="X495" s="9">
        <f>ROUND(R495 / 1.2, 2)</f>
        <v>4991.5</v>
      </c>
      <c r="Y495" s="9">
        <f t="shared" si="114"/>
        <v>444642.13</v>
      </c>
      <c r="Z495" s="9">
        <f>ROUND(T495 / 1.2, 2)</f>
        <v>196765.63</v>
      </c>
      <c r="AA495" s="9">
        <f>Y495+Z495</f>
        <v>641407.76</v>
      </c>
      <c r="AD495" s="4">
        <v>320319927</v>
      </c>
      <c r="AE495" s="4">
        <v>28020226</v>
      </c>
      <c r="AG495" s="4" t="s">
        <v>168</v>
      </c>
      <c r="AH495" s="4" t="s">
        <v>169</v>
      </c>
      <c r="AI495" s="4" t="s">
        <v>64</v>
      </c>
    </row>
    <row r="496" spans="1:35" ht="18" x14ac:dyDescent="0.3">
      <c r="A496" s="53" t="s">
        <v>1434</v>
      </c>
      <c r="B496" s="53"/>
      <c r="C496" s="47" t="s">
        <v>117</v>
      </c>
      <c r="D496" s="55"/>
      <c r="E496" s="55"/>
      <c r="F496" s="59" t="s">
        <v>76</v>
      </c>
      <c r="G496" s="60">
        <v>2.1</v>
      </c>
      <c r="H496" s="55"/>
      <c r="I496" s="60">
        <v>269.85000000000002</v>
      </c>
      <c r="J496" s="61">
        <v>66.87</v>
      </c>
      <c r="K496" s="51"/>
      <c r="L496" s="51"/>
      <c r="M496" s="61">
        <f>ROUND(ROUND(J496, 2)*I496, 2)</f>
        <v>18044.87</v>
      </c>
      <c r="N496" s="51"/>
      <c r="O496" s="51"/>
      <c r="P496" s="61">
        <v>66.87</v>
      </c>
      <c r="Q496" s="51"/>
      <c r="R496" s="51"/>
      <c r="S496" s="61">
        <f>ROUND(ROUND(P496, 2)*I496, 2)</f>
        <v>18044.87</v>
      </c>
      <c r="T496" s="51"/>
      <c r="U496" s="62"/>
      <c r="V496" s="9">
        <f>ROUND(ROUND(P496, 2)/1.2, 2)</f>
        <v>55.73</v>
      </c>
      <c r="Y496" s="9">
        <f t="shared" si="114"/>
        <v>15037.39</v>
      </c>
      <c r="AD496" s="4" t="s">
        <v>1435</v>
      </c>
      <c r="AE496" s="4" t="s">
        <v>1436</v>
      </c>
      <c r="AF496" s="4" t="s">
        <v>120</v>
      </c>
    </row>
    <row r="497" spans="1:35" ht="18" x14ac:dyDescent="0.3">
      <c r="A497" s="53" t="s">
        <v>1437</v>
      </c>
      <c r="B497" s="53"/>
      <c r="C497" s="47" t="s">
        <v>124</v>
      </c>
      <c r="D497" s="55"/>
      <c r="E497" s="55"/>
      <c r="F497" s="59" t="s">
        <v>76</v>
      </c>
      <c r="G497" s="60">
        <v>0.8</v>
      </c>
      <c r="H497" s="55"/>
      <c r="I497" s="60">
        <v>102.8</v>
      </c>
      <c r="J497" s="61">
        <v>53.47</v>
      </c>
      <c r="K497" s="51"/>
      <c r="L497" s="51"/>
      <c r="M497" s="61">
        <f>ROUND(ROUND(J497, 2)*I497, 2)</f>
        <v>5496.72</v>
      </c>
      <c r="N497" s="51"/>
      <c r="O497" s="51"/>
      <c r="P497" s="61">
        <v>53.47</v>
      </c>
      <c r="Q497" s="51"/>
      <c r="R497" s="51"/>
      <c r="S497" s="61">
        <f>ROUND(ROUND(P497, 2)*I497, 2)</f>
        <v>5496.72</v>
      </c>
      <c r="T497" s="51"/>
      <c r="U497" s="62"/>
      <c r="V497" s="9">
        <f>ROUND(ROUND(P497, 2)/1.2, 2)</f>
        <v>44.56</v>
      </c>
      <c r="Y497" s="9">
        <f t="shared" si="114"/>
        <v>4580.6000000000004</v>
      </c>
      <c r="AD497" s="4" t="s">
        <v>1438</v>
      </c>
      <c r="AE497" s="4" t="s">
        <v>1439</v>
      </c>
      <c r="AF497" s="4" t="s">
        <v>127</v>
      </c>
    </row>
    <row r="498" spans="1:35" ht="36" x14ac:dyDescent="0.3">
      <c r="A498" s="53" t="s">
        <v>1440</v>
      </c>
      <c r="B498" s="53"/>
      <c r="C498" s="47" t="s">
        <v>214</v>
      </c>
      <c r="D498" s="55"/>
      <c r="E498" s="55" t="s">
        <v>272</v>
      </c>
      <c r="F498" s="59" t="s">
        <v>61</v>
      </c>
      <c r="G498" s="60">
        <v>2.2000000000000002</v>
      </c>
      <c r="H498" s="55"/>
      <c r="I498" s="60">
        <v>282.7</v>
      </c>
      <c r="J498" s="61">
        <v>107.1</v>
      </c>
      <c r="K498" s="51"/>
      <c r="L498" s="51"/>
      <c r="M498" s="61">
        <f>ROUND(ROUND(J498, 2)*I498, 2)</f>
        <v>30277.17</v>
      </c>
      <c r="N498" s="51"/>
      <c r="O498" s="51"/>
      <c r="P498" s="61">
        <v>1656</v>
      </c>
      <c r="Q498" s="51"/>
      <c r="R498" s="51"/>
      <c r="S498" s="61">
        <f>ROUND(ROUND(P498, 2)*I498, 2)</f>
        <v>468151.2</v>
      </c>
      <c r="T498" s="51"/>
      <c r="U498" s="62"/>
      <c r="V498" s="9">
        <f>ROUND(ROUND(P498, 2)/1.2, 2)</f>
        <v>1380</v>
      </c>
      <c r="Y498" s="9">
        <f t="shared" si="114"/>
        <v>390126</v>
      </c>
      <c r="AD498" s="4" t="s">
        <v>1441</v>
      </c>
      <c r="AE498" s="4" t="s">
        <v>1442</v>
      </c>
      <c r="AF498" s="4" t="s">
        <v>217</v>
      </c>
    </row>
    <row r="499" spans="1:35" ht="72" x14ac:dyDescent="0.3">
      <c r="A499" s="53" t="s">
        <v>1443</v>
      </c>
      <c r="B499" s="53"/>
      <c r="C499" s="58" t="s">
        <v>177</v>
      </c>
      <c r="D499" s="55"/>
      <c r="E499" s="55"/>
      <c r="F499" s="59" t="s">
        <v>68</v>
      </c>
      <c r="G499" s="60">
        <v>1</v>
      </c>
      <c r="H499" s="55"/>
      <c r="I499" s="60">
        <v>128.5</v>
      </c>
      <c r="J499" s="61">
        <v>113.01</v>
      </c>
      <c r="K499" s="51"/>
      <c r="L499" s="51"/>
      <c r="M499" s="61">
        <f>ROUND(ROUND(J499, 2)*I499, 2)</f>
        <v>14521.79</v>
      </c>
      <c r="N499" s="51"/>
      <c r="O499" s="51"/>
      <c r="P499" s="61">
        <v>113.01</v>
      </c>
      <c r="Q499" s="51"/>
      <c r="R499" s="51"/>
      <c r="S499" s="61">
        <f>ROUND(ROUND(P499, 2)*I499, 2)</f>
        <v>14521.79</v>
      </c>
      <c r="T499" s="51"/>
      <c r="U499" s="62"/>
      <c r="V499" s="9">
        <f>ROUND(ROUND(P499, 2)/1.2, 2)</f>
        <v>94.18</v>
      </c>
      <c r="Y499" s="9">
        <f t="shared" si="114"/>
        <v>12101.49</v>
      </c>
      <c r="AD499" s="4" t="s">
        <v>1444</v>
      </c>
      <c r="AE499" s="4" t="s">
        <v>1445</v>
      </c>
      <c r="AF499" s="4" t="s">
        <v>180</v>
      </c>
    </row>
    <row r="500" spans="1:35" ht="36" x14ac:dyDescent="0.3">
      <c r="A500" s="53" t="s">
        <v>1446</v>
      </c>
      <c r="B500" s="53"/>
      <c r="C500" s="47" t="s">
        <v>90</v>
      </c>
      <c r="D500" s="55"/>
      <c r="E500" s="55"/>
      <c r="F500" s="59" t="s">
        <v>91</v>
      </c>
      <c r="G500" s="60">
        <v>5.1999999999999998E-2</v>
      </c>
      <c r="H500" s="55"/>
      <c r="I500" s="60">
        <v>6.6820000000000004</v>
      </c>
      <c r="J500" s="61">
        <v>4093.92</v>
      </c>
      <c r="K500" s="51"/>
      <c r="L500" s="51"/>
      <c r="M500" s="61">
        <f>ROUND(ROUND(J500, 2)*I500, 2)</f>
        <v>27355.57</v>
      </c>
      <c r="N500" s="51"/>
      <c r="O500" s="51"/>
      <c r="P500" s="61">
        <v>4093.92</v>
      </c>
      <c r="Q500" s="51"/>
      <c r="R500" s="51"/>
      <c r="S500" s="61">
        <f>ROUND(ROUND(P500, 2)*I500, 2)</f>
        <v>27355.57</v>
      </c>
      <c r="T500" s="51"/>
      <c r="U500" s="62"/>
      <c r="V500" s="9">
        <f>ROUND(ROUND(P500, 2)/1.2, 2)</f>
        <v>3411.6</v>
      </c>
      <c r="Y500" s="9">
        <f t="shared" si="114"/>
        <v>22796.31</v>
      </c>
      <c r="AD500" s="4" t="s">
        <v>1447</v>
      </c>
      <c r="AE500" s="4" t="s">
        <v>1448</v>
      </c>
      <c r="AF500" s="4" t="s">
        <v>94</v>
      </c>
    </row>
    <row r="501" spans="1:35" ht="288" x14ac:dyDescent="0.3">
      <c r="A501" s="53" t="s">
        <v>1449</v>
      </c>
      <c r="B501" s="53" t="s">
        <v>165</v>
      </c>
      <c r="C501" s="54" t="s">
        <v>166</v>
      </c>
      <c r="D501" s="55" t="s">
        <v>59</v>
      </c>
      <c r="E501" s="55" t="s">
        <v>288</v>
      </c>
      <c r="F501" s="55" t="s">
        <v>61</v>
      </c>
      <c r="G501" s="56">
        <v>1</v>
      </c>
      <c r="H501" s="55"/>
      <c r="I501" s="56">
        <v>95.8</v>
      </c>
      <c r="J501" s="57">
        <f>IFERROR(ROUND(SUM(M502,M503,M504,M505,M506)/I501, 2),0)</f>
        <v>1307.98</v>
      </c>
      <c r="K501" s="57">
        <v>1225</v>
      </c>
      <c r="L501" s="57">
        <f>J501+ROUND(K501, 2)</f>
        <v>2532.98</v>
      </c>
      <c r="M501" s="57">
        <f>ROUND(J501*I501, 2)</f>
        <v>125304.48</v>
      </c>
      <c r="N501" s="57">
        <f>ROUND(I501*ROUND(K501, 2), 2)</f>
        <v>117355</v>
      </c>
      <c r="O501" s="57">
        <f>M501+N501</f>
        <v>242659.47999999998</v>
      </c>
      <c r="P501" s="57">
        <f>IFERROR(ROUND(SUM(S502,S503,S504,S505,S506)/I501, 2),0)</f>
        <v>1307.98</v>
      </c>
      <c r="Q501" s="57">
        <v>1837.5</v>
      </c>
      <c r="R501" s="57">
        <f>P501+ROUND(Q501, 2)</f>
        <v>3145.48</v>
      </c>
      <c r="S501" s="57">
        <f>ROUND(P501*I501, 2)</f>
        <v>125304.48</v>
      </c>
      <c r="T501" s="57">
        <f>ROUND(I501*ROUND(Q501, 2), 2)</f>
        <v>176032.5</v>
      </c>
      <c r="U501" s="57">
        <f>S501+T501</f>
        <v>301336.98</v>
      </c>
      <c r="V501" s="9">
        <f>ROUND(P501 / 1.2, 2)</f>
        <v>1089.98</v>
      </c>
      <c r="W501" s="9">
        <f>ROUND(Q501 / 1.2, 2)</f>
        <v>1531.25</v>
      </c>
      <c r="X501" s="9">
        <f>ROUND(R501 / 1.2, 2)</f>
        <v>2621.23</v>
      </c>
      <c r="Y501" s="9">
        <f t="shared" si="114"/>
        <v>104420.4</v>
      </c>
      <c r="Z501" s="9">
        <f>ROUND(T501 / 1.2, 2)</f>
        <v>146693.75</v>
      </c>
      <c r="AA501" s="9">
        <f>Y501+Z501</f>
        <v>251114.15</v>
      </c>
      <c r="AD501" s="4">
        <v>320319928</v>
      </c>
      <c r="AE501" s="4">
        <v>28020220</v>
      </c>
      <c r="AG501" s="4" t="s">
        <v>168</v>
      </c>
      <c r="AH501" s="4" t="s">
        <v>169</v>
      </c>
      <c r="AI501" s="4" t="s">
        <v>64</v>
      </c>
    </row>
    <row r="502" spans="1:35" ht="36" x14ac:dyDescent="0.3">
      <c r="A502" s="53" t="s">
        <v>1450</v>
      </c>
      <c r="B502" s="53"/>
      <c r="C502" s="47" t="s">
        <v>90</v>
      </c>
      <c r="D502" s="55"/>
      <c r="E502" s="55"/>
      <c r="F502" s="59" t="s">
        <v>91</v>
      </c>
      <c r="G502" s="60">
        <v>5.1999999999999998E-2</v>
      </c>
      <c r="H502" s="55"/>
      <c r="I502" s="60">
        <v>4.9820000000000002</v>
      </c>
      <c r="J502" s="61">
        <v>4093.92</v>
      </c>
      <c r="K502" s="51"/>
      <c r="L502" s="51"/>
      <c r="M502" s="61">
        <f>ROUND(ROUND(J502, 2)*I502, 2)</f>
        <v>20395.91</v>
      </c>
      <c r="N502" s="51"/>
      <c r="O502" s="51"/>
      <c r="P502" s="61">
        <v>4093.92</v>
      </c>
      <c r="Q502" s="51"/>
      <c r="R502" s="51"/>
      <c r="S502" s="61">
        <f>ROUND(ROUND(P502, 2)*I502, 2)</f>
        <v>20395.91</v>
      </c>
      <c r="T502" s="51"/>
      <c r="U502" s="62"/>
      <c r="V502" s="9">
        <f>ROUND(ROUND(P502, 2)/1.2, 2)</f>
        <v>3411.6</v>
      </c>
      <c r="Y502" s="9">
        <f t="shared" si="114"/>
        <v>16996.59</v>
      </c>
      <c r="AD502" s="4" t="s">
        <v>1451</v>
      </c>
      <c r="AE502" s="4" t="s">
        <v>1452</v>
      </c>
      <c r="AF502" s="4" t="s">
        <v>94</v>
      </c>
    </row>
    <row r="503" spans="1:35" ht="72" x14ac:dyDescent="0.3">
      <c r="A503" s="53" t="s">
        <v>1453</v>
      </c>
      <c r="B503" s="53"/>
      <c r="C503" s="58" t="s">
        <v>177</v>
      </c>
      <c r="D503" s="55"/>
      <c r="E503" s="55"/>
      <c r="F503" s="59" t="s">
        <v>68</v>
      </c>
      <c r="G503" s="60">
        <v>1</v>
      </c>
      <c r="H503" s="55"/>
      <c r="I503" s="60">
        <v>95.8</v>
      </c>
      <c r="J503" s="61">
        <v>113.01</v>
      </c>
      <c r="K503" s="51"/>
      <c r="L503" s="51"/>
      <c r="M503" s="61">
        <f>ROUND(ROUND(J503, 2)*I503, 2)</f>
        <v>10826.36</v>
      </c>
      <c r="N503" s="51"/>
      <c r="O503" s="51"/>
      <c r="P503" s="61">
        <v>113.01</v>
      </c>
      <c r="Q503" s="51"/>
      <c r="R503" s="51"/>
      <c r="S503" s="61">
        <f>ROUND(ROUND(P503, 2)*I503, 2)</f>
        <v>10826.36</v>
      </c>
      <c r="T503" s="51"/>
      <c r="U503" s="62"/>
      <c r="V503" s="9">
        <f>ROUND(ROUND(P503, 2)/1.2, 2)</f>
        <v>94.18</v>
      </c>
      <c r="Y503" s="9">
        <f t="shared" si="114"/>
        <v>9021.9699999999993</v>
      </c>
      <c r="AD503" s="4" t="s">
        <v>1454</v>
      </c>
      <c r="AE503" s="4" t="s">
        <v>1455</v>
      </c>
      <c r="AF503" s="4" t="s">
        <v>180</v>
      </c>
    </row>
    <row r="504" spans="1:35" ht="18" x14ac:dyDescent="0.3">
      <c r="A504" s="53" t="s">
        <v>1456</v>
      </c>
      <c r="B504" s="53"/>
      <c r="C504" s="47" t="s">
        <v>301</v>
      </c>
      <c r="D504" s="55"/>
      <c r="E504" s="55"/>
      <c r="F504" s="59" t="s">
        <v>61</v>
      </c>
      <c r="G504" s="60">
        <v>2.2000000000000002</v>
      </c>
      <c r="H504" s="55"/>
      <c r="I504" s="60">
        <v>210.76</v>
      </c>
      <c r="J504" s="61">
        <v>328.33</v>
      </c>
      <c r="K504" s="51"/>
      <c r="L504" s="51"/>
      <c r="M504" s="61">
        <f>ROUND(ROUND(J504, 2)*I504, 2)</f>
        <v>69198.83</v>
      </c>
      <c r="N504" s="51"/>
      <c r="O504" s="51"/>
      <c r="P504" s="61">
        <v>328.33</v>
      </c>
      <c r="Q504" s="51"/>
      <c r="R504" s="51"/>
      <c r="S504" s="61">
        <f>ROUND(ROUND(P504, 2)*I504, 2)</f>
        <v>69198.83</v>
      </c>
      <c r="T504" s="51"/>
      <c r="U504" s="62"/>
      <c r="V504" s="9">
        <f>ROUND(ROUND(P504, 2)/1.2, 2)</f>
        <v>273.61</v>
      </c>
      <c r="Y504" s="9">
        <f t="shared" si="114"/>
        <v>57665.69</v>
      </c>
      <c r="AD504" s="4" t="s">
        <v>1457</v>
      </c>
      <c r="AE504" s="4" t="s">
        <v>1458</v>
      </c>
      <c r="AF504" s="4" t="s">
        <v>304</v>
      </c>
    </row>
    <row r="505" spans="1:35" ht="18" x14ac:dyDescent="0.3">
      <c r="A505" s="53" t="s">
        <v>1459</v>
      </c>
      <c r="B505" s="53"/>
      <c r="C505" s="47" t="s">
        <v>75</v>
      </c>
      <c r="D505" s="55"/>
      <c r="E505" s="55"/>
      <c r="F505" s="59" t="s">
        <v>76</v>
      </c>
      <c r="G505" s="60">
        <v>0.86</v>
      </c>
      <c r="H505" s="55"/>
      <c r="I505" s="63">
        <v>82.388000000000005</v>
      </c>
      <c r="J505" s="61">
        <v>66</v>
      </c>
      <c r="K505" s="51"/>
      <c r="L505" s="51"/>
      <c r="M505" s="61">
        <f>ROUND(ROUND(J505, 2)*I505, 2)</f>
        <v>5437.61</v>
      </c>
      <c r="N505" s="51"/>
      <c r="O505" s="51"/>
      <c r="P505" s="61">
        <v>66</v>
      </c>
      <c r="Q505" s="51"/>
      <c r="R505" s="51"/>
      <c r="S505" s="61">
        <f>ROUND(ROUND(P505, 2)*I505, 2)</f>
        <v>5437.61</v>
      </c>
      <c r="T505" s="51"/>
      <c r="U505" s="62"/>
      <c r="V505" s="9">
        <f>ROUND(ROUND(P505, 2)/1.2, 2)</f>
        <v>55</v>
      </c>
      <c r="Y505" s="9">
        <f t="shared" si="114"/>
        <v>4531.34</v>
      </c>
      <c r="AD505" s="4" t="s">
        <v>1460</v>
      </c>
      <c r="AE505" s="4" t="s">
        <v>1461</v>
      </c>
      <c r="AF505" s="4" t="s">
        <v>79</v>
      </c>
    </row>
    <row r="506" spans="1:35" ht="18" x14ac:dyDescent="0.3">
      <c r="A506" s="53" t="s">
        <v>1462</v>
      </c>
      <c r="B506" s="53"/>
      <c r="C506" s="47" t="s">
        <v>83</v>
      </c>
      <c r="D506" s="55"/>
      <c r="E506" s="55"/>
      <c r="F506" s="59" t="s">
        <v>76</v>
      </c>
      <c r="G506" s="60">
        <v>2.1</v>
      </c>
      <c r="H506" s="55"/>
      <c r="I506" s="63">
        <v>201.18</v>
      </c>
      <c r="J506" s="61">
        <v>96.66</v>
      </c>
      <c r="K506" s="51"/>
      <c r="L506" s="51"/>
      <c r="M506" s="61">
        <f>ROUND(ROUND(J506, 2)*I506, 2)</f>
        <v>19446.060000000001</v>
      </c>
      <c r="N506" s="51"/>
      <c r="O506" s="51"/>
      <c r="P506" s="61">
        <v>96.66</v>
      </c>
      <c r="Q506" s="51"/>
      <c r="R506" s="51"/>
      <c r="S506" s="61">
        <f>ROUND(ROUND(P506, 2)*I506, 2)</f>
        <v>19446.060000000001</v>
      </c>
      <c r="T506" s="51"/>
      <c r="U506" s="62"/>
      <c r="V506" s="9">
        <f>ROUND(ROUND(P506, 2)/1.2, 2)</f>
        <v>80.55</v>
      </c>
      <c r="Y506" s="9">
        <f t="shared" si="114"/>
        <v>16205.05</v>
      </c>
      <c r="AD506" s="4" t="s">
        <v>1463</v>
      </c>
      <c r="AE506" s="4" t="s">
        <v>1464</v>
      </c>
      <c r="AF506" s="4" t="s">
        <v>86</v>
      </c>
    </row>
    <row r="507" spans="1:35" ht="16.95" customHeight="1" x14ac:dyDescent="0.3">
      <c r="A507" s="53" t="s">
        <v>1465</v>
      </c>
      <c r="B507" s="53" t="s">
        <v>318</v>
      </c>
      <c r="C507" s="243" t="s">
        <v>319</v>
      </c>
      <c r="D507" s="244"/>
      <c r="E507" s="244"/>
      <c r="F507" s="244"/>
      <c r="G507" s="244"/>
      <c r="H507" s="244"/>
      <c r="I507" s="245"/>
      <c r="J507" s="51"/>
      <c r="K507" s="51"/>
      <c r="L507" s="51"/>
      <c r="M507" s="52">
        <f t="shared" ref="M507:O508" si="115">SUM(M508)</f>
        <v>61426028.489999995</v>
      </c>
      <c r="N507" s="52">
        <f t="shared" si="115"/>
        <v>67589882.219999999</v>
      </c>
      <c r="O507" s="52">
        <f t="shared" si="115"/>
        <v>129015910.71000001</v>
      </c>
      <c r="P507" s="51"/>
      <c r="Q507" s="51"/>
      <c r="R507" s="51"/>
      <c r="S507" s="52">
        <f t="shared" ref="S507:U508" si="116">SUM(S508)</f>
        <v>58617329.380000003</v>
      </c>
      <c r="T507" s="52">
        <f t="shared" si="116"/>
        <v>101384812.51000001</v>
      </c>
      <c r="U507" s="52">
        <f t="shared" si="116"/>
        <v>160002141.88999999</v>
      </c>
      <c r="Y507" s="9">
        <f t="shared" ref="Y507:AA508" si="117">SUM(Y508)</f>
        <v>48847774.49000001</v>
      </c>
      <c r="Z507" s="9">
        <f t="shared" si="117"/>
        <v>84487343.780000001</v>
      </c>
      <c r="AA507" s="9">
        <f t="shared" si="117"/>
        <v>133335118.27</v>
      </c>
      <c r="AD507" s="4">
        <v>320319857</v>
      </c>
      <c r="AE507" s="4">
        <v>28036989</v>
      </c>
    </row>
    <row r="508" spans="1:35" ht="16.95" customHeight="1" x14ac:dyDescent="0.3">
      <c r="A508" s="53" t="s">
        <v>1466</v>
      </c>
      <c r="B508" s="53" t="s">
        <v>321</v>
      </c>
      <c r="C508" s="243" t="s">
        <v>322</v>
      </c>
      <c r="D508" s="244"/>
      <c r="E508" s="244"/>
      <c r="F508" s="244"/>
      <c r="G508" s="244"/>
      <c r="H508" s="244"/>
      <c r="I508" s="245"/>
      <c r="J508" s="51"/>
      <c r="K508" s="51"/>
      <c r="L508" s="51"/>
      <c r="M508" s="52">
        <f t="shared" si="115"/>
        <v>61426028.489999995</v>
      </c>
      <c r="N508" s="52">
        <f t="shared" si="115"/>
        <v>67589882.219999999</v>
      </c>
      <c r="O508" s="52">
        <f t="shared" si="115"/>
        <v>129015910.71000001</v>
      </c>
      <c r="P508" s="51"/>
      <c r="Q508" s="51"/>
      <c r="R508" s="51"/>
      <c r="S508" s="52">
        <f t="shared" si="116"/>
        <v>58617329.380000003</v>
      </c>
      <c r="T508" s="52">
        <f t="shared" si="116"/>
        <v>101384812.51000001</v>
      </c>
      <c r="U508" s="52">
        <f t="shared" si="116"/>
        <v>160002141.88999999</v>
      </c>
      <c r="Y508" s="9">
        <f t="shared" si="117"/>
        <v>48847774.49000001</v>
      </c>
      <c r="Z508" s="9">
        <f t="shared" si="117"/>
        <v>84487343.780000001</v>
      </c>
      <c r="AA508" s="9">
        <f t="shared" si="117"/>
        <v>133335118.27</v>
      </c>
      <c r="AD508" s="4">
        <v>320319858</v>
      </c>
      <c r="AE508" s="4">
        <v>28036990</v>
      </c>
    </row>
    <row r="509" spans="1:35" ht="16.95" customHeight="1" x14ac:dyDescent="0.3">
      <c r="A509" s="53" t="s">
        <v>1467</v>
      </c>
      <c r="B509" s="53" t="s">
        <v>324</v>
      </c>
      <c r="C509" s="243" t="s">
        <v>325</v>
      </c>
      <c r="D509" s="244"/>
      <c r="E509" s="244"/>
      <c r="F509" s="244"/>
      <c r="G509" s="244"/>
      <c r="H509" s="244"/>
      <c r="I509" s="245"/>
      <c r="J509" s="51"/>
      <c r="K509" s="51"/>
      <c r="L509" s="51"/>
      <c r="M509" s="52">
        <f>SUM(M510,M600,M621,M644,M688)</f>
        <v>61426028.489999995</v>
      </c>
      <c r="N509" s="52">
        <f>SUM(N510,N600,N621,N644,N688)</f>
        <v>67589882.219999999</v>
      </c>
      <c r="O509" s="52">
        <f>SUM(O510,O600,O621,O644,O688)</f>
        <v>129015910.71000001</v>
      </c>
      <c r="P509" s="51"/>
      <c r="Q509" s="51"/>
      <c r="R509" s="51"/>
      <c r="S509" s="52">
        <f>SUM(S510,S600,S621,S644,S688)</f>
        <v>58617329.380000003</v>
      </c>
      <c r="T509" s="52">
        <f>SUM(T510,T600,T621,T644,T688)</f>
        <v>101384812.51000001</v>
      </c>
      <c r="U509" s="52">
        <f>SUM(U510,U600,U621,U644,U688)</f>
        <v>160002141.88999999</v>
      </c>
      <c r="Y509" s="9">
        <f>SUM(Y510,Y600,Y621,Y644,Y688)</f>
        <v>48847774.49000001</v>
      </c>
      <c r="Z509" s="9">
        <f>SUM(Z510,Z600,Z621,Z644,Z688)</f>
        <v>84487343.780000001</v>
      </c>
      <c r="AA509" s="9">
        <f>SUM(AA510,AA600,AA621,AA644,AA688)</f>
        <v>133335118.27</v>
      </c>
      <c r="AD509" s="4">
        <v>320319859</v>
      </c>
      <c r="AE509" s="4">
        <v>28036994</v>
      </c>
    </row>
    <row r="510" spans="1:35" ht="16.95" customHeight="1" x14ac:dyDescent="0.3">
      <c r="A510" s="53" t="s">
        <v>1468</v>
      </c>
      <c r="B510" s="53" t="s">
        <v>327</v>
      </c>
      <c r="C510" s="243" t="s">
        <v>328</v>
      </c>
      <c r="D510" s="244"/>
      <c r="E510" s="244"/>
      <c r="F510" s="244"/>
      <c r="G510" s="244"/>
      <c r="H510" s="244"/>
      <c r="I510" s="245"/>
      <c r="J510" s="51"/>
      <c r="K510" s="51"/>
      <c r="L510" s="51"/>
      <c r="M510" s="52">
        <f>SUM(M511,M523,M546)</f>
        <v>34126450.009999998</v>
      </c>
      <c r="N510" s="52">
        <f>SUM(N511,N523,N546)</f>
        <v>30700028.98</v>
      </c>
      <c r="O510" s="52">
        <f>SUM(O511,O523,O546)</f>
        <v>64826478.99000001</v>
      </c>
      <c r="P510" s="51"/>
      <c r="Q510" s="51"/>
      <c r="R510" s="51"/>
      <c r="S510" s="52">
        <f>SUM(S511,S523,S546)</f>
        <v>37514251.740000002</v>
      </c>
      <c r="T510" s="52">
        <f>SUM(T511,T523,T546)</f>
        <v>43857158.939999998</v>
      </c>
      <c r="U510" s="52">
        <f>SUM(U511,U523,U546)</f>
        <v>81371410.680000007</v>
      </c>
      <c r="Y510" s="9">
        <f>SUM(Y511,Y523,Y546)</f>
        <v>31261876.440000001</v>
      </c>
      <c r="Z510" s="9">
        <f>SUM(Z511,Z523,Z546)</f>
        <v>36547632.469999999</v>
      </c>
      <c r="AA510" s="9">
        <f>SUM(AA511,AA523,AA546)</f>
        <v>67809508.909999996</v>
      </c>
      <c r="AD510" s="4">
        <v>320319860</v>
      </c>
      <c r="AE510" s="4">
        <v>28036995</v>
      </c>
    </row>
    <row r="511" spans="1:35" ht="16.95" customHeight="1" x14ac:dyDescent="0.3">
      <c r="A511" s="53" t="s">
        <v>1469</v>
      </c>
      <c r="B511" s="53" t="s">
        <v>330</v>
      </c>
      <c r="C511" s="243" t="s">
        <v>331</v>
      </c>
      <c r="D511" s="244"/>
      <c r="E511" s="244"/>
      <c r="F511" s="244"/>
      <c r="G511" s="244"/>
      <c r="H511" s="244"/>
      <c r="I511" s="245"/>
      <c r="J511" s="51"/>
      <c r="K511" s="51"/>
      <c r="L511" s="51"/>
      <c r="M511" s="52">
        <f>SUM(M512,M514,M519)</f>
        <v>4733357.34</v>
      </c>
      <c r="N511" s="52">
        <f>SUM(N512,N514,N519)</f>
        <v>7086781.1900000004</v>
      </c>
      <c r="O511" s="52">
        <f>SUM(O512,O514,O519)</f>
        <v>11820138.530000001</v>
      </c>
      <c r="P511" s="51"/>
      <c r="Q511" s="51"/>
      <c r="R511" s="51"/>
      <c r="S511" s="52">
        <f>SUM(S512,S514,S519)</f>
        <v>4733357.34</v>
      </c>
      <c r="T511" s="52">
        <f>SUM(T512,T514,T519)</f>
        <v>10123937.18</v>
      </c>
      <c r="U511" s="52">
        <f>SUM(U512,U514,U519)</f>
        <v>14857294.52</v>
      </c>
      <c r="Y511" s="9">
        <f>SUM(Y512,Y514,Y519)</f>
        <v>3944464.45</v>
      </c>
      <c r="Z511" s="9">
        <f>SUM(Z512,Z514,Z519)</f>
        <v>8436614.3200000003</v>
      </c>
      <c r="AA511" s="9">
        <f>SUM(AA512,AA514,AA519)</f>
        <v>12381078.77</v>
      </c>
      <c r="AD511" s="4">
        <v>320319861</v>
      </c>
      <c r="AE511" s="4">
        <v>28036993</v>
      </c>
    </row>
    <row r="512" spans="1:35" ht="36" x14ac:dyDescent="0.3">
      <c r="A512" s="53" t="s">
        <v>1470</v>
      </c>
      <c r="B512" s="53" t="s">
        <v>333</v>
      </c>
      <c r="C512" s="54" t="s">
        <v>334</v>
      </c>
      <c r="D512" s="55"/>
      <c r="E512" s="55"/>
      <c r="F512" s="55" t="s">
        <v>61</v>
      </c>
      <c r="G512" s="56">
        <v>1</v>
      </c>
      <c r="H512" s="55"/>
      <c r="I512" s="56">
        <v>22.6</v>
      </c>
      <c r="J512" s="57">
        <f>IFERROR(ROUND(SUM(M513)/I512, 2),0)</f>
        <v>52.29</v>
      </c>
      <c r="K512" s="57">
        <v>40</v>
      </c>
      <c r="L512" s="57">
        <f>J512+ROUND(K512, 2)</f>
        <v>92.289999999999992</v>
      </c>
      <c r="M512" s="57">
        <f>ROUND(J512*I512, 2)</f>
        <v>1181.75</v>
      </c>
      <c r="N512" s="57">
        <f>ROUND(I512*ROUND(K512, 2), 2)</f>
        <v>904</v>
      </c>
      <c r="O512" s="57">
        <f>M512+N512</f>
        <v>2085.75</v>
      </c>
      <c r="P512" s="57">
        <f>IFERROR(ROUND(SUM(S513)/I512, 2),0)</f>
        <v>52.29</v>
      </c>
      <c r="Q512" s="57">
        <v>57.14</v>
      </c>
      <c r="R512" s="57">
        <f>P512+ROUND(Q512, 2)</f>
        <v>109.43</v>
      </c>
      <c r="S512" s="57">
        <f>ROUND(P512*I512, 2)</f>
        <v>1181.75</v>
      </c>
      <c r="T512" s="57">
        <f>ROUND(I512*ROUND(Q512, 2), 2)</f>
        <v>1291.3599999999999</v>
      </c>
      <c r="U512" s="57">
        <f>S512+T512</f>
        <v>2473.1099999999997</v>
      </c>
      <c r="V512" s="9">
        <f>ROUND(P512 / 1.2, 2)</f>
        <v>43.58</v>
      </c>
      <c r="W512" s="9">
        <f>ROUND(Q512 / 1.2, 2)</f>
        <v>47.62</v>
      </c>
      <c r="X512" s="9">
        <f>ROUND(R512 / 1.2, 2)</f>
        <v>91.19</v>
      </c>
      <c r="Y512" s="9">
        <f>ROUND(S512 / 1.2, 2)</f>
        <v>984.79</v>
      </c>
      <c r="Z512" s="9">
        <f>ROUND(T512 / 1.2, 2)</f>
        <v>1076.1300000000001</v>
      </c>
      <c r="AA512" s="9">
        <f>Y512+Z512</f>
        <v>2060.92</v>
      </c>
      <c r="AD512" s="4">
        <v>320319863</v>
      </c>
      <c r="AE512" s="4">
        <v>28036992</v>
      </c>
      <c r="AG512" s="4" t="s">
        <v>336</v>
      </c>
      <c r="AH512" s="4" t="s">
        <v>337</v>
      </c>
      <c r="AI512" s="4" t="s">
        <v>338</v>
      </c>
    </row>
    <row r="513" spans="1:35" ht="36" x14ac:dyDescent="0.3">
      <c r="A513" s="53" t="s">
        <v>1471</v>
      </c>
      <c r="B513" s="53"/>
      <c r="C513" s="58" t="s">
        <v>341</v>
      </c>
      <c r="D513" s="55"/>
      <c r="E513" s="55" t="s">
        <v>1472</v>
      </c>
      <c r="F513" s="59" t="s">
        <v>61</v>
      </c>
      <c r="G513" s="60">
        <v>1.1000000000000001</v>
      </c>
      <c r="H513" s="55"/>
      <c r="I513" s="60">
        <v>24.86</v>
      </c>
      <c r="J513" s="61">
        <v>47.54</v>
      </c>
      <c r="K513" s="51"/>
      <c r="L513" s="51"/>
      <c r="M513" s="61">
        <f>ROUND(ROUND(J513, 2)*I513, 2)</f>
        <v>1181.8399999999999</v>
      </c>
      <c r="N513" s="51"/>
      <c r="O513" s="51"/>
      <c r="P513" s="61">
        <v>47.54</v>
      </c>
      <c r="Q513" s="51"/>
      <c r="R513" s="51"/>
      <c r="S513" s="61">
        <f>ROUND(ROUND(P513, 2)*I513, 2)</f>
        <v>1181.8399999999999</v>
      </c>
      <c r="T513" s="51"/>
      <c r="U513" s="62"/>
      <c r="V513" s="9">
        <f>ROUND(ROUND(P513, 2)/1.2, 2)</f>
        <v>39.619999999999997</v>
      </c>
      <c r="Y513" s="9">
        <f t="shared" ref="Y513:Y522" si="118">ROUND(S513 / 1.2, 2)</f>
        <v>984.87</v>
      </c>
      <c r="AD513" s="4" t="s">
        <v>1473</v>
      </c>
      <c r="AE513" s="4" t="s">
        <v>1474</v>
      </c>
      <c r="AF513" s="4" t="s">
        <v>344</v>
      </c>
    </row>
    <row r="514" spans="1:35" ht="36" x14ac:dyDescent="0.3">
      <c r="A514" s="53" t="s">
        <v>1475</v>
      </c>
      <c r="B514" s="53" t="s">
        <v>348</v>
      </c>
      <c r="C514" s="54" t="s">
        <v>349</v>
      </c>
      <c r="D514" s="55"/>
      <c r="E514" s="55" t="s">
        <v>350</v>
      </c>
      <c r="F514" s="55" t="s">
        <v>61</v>
      </c>
      <c r="G514" s="56">
        <v>1</v>
      </c>
      <c r="H514" s="55"/>
      <c r="I514" s="56">
        <v>7788.8</v>
      </c>
      <c r="J514" s="57">
        <f>IFERROR(ROUND(SUM(M515,M516,M517,M518)/I514, 2),0)</f>
        <v>594.65</v>
      </c>
      <c r="K514" s="57">
        <v>868.01</v>
      </c>
      <c r="L514" s="57">
        <f>J514+ROUND(K514, 2)</f>
        <v>1462.6599999999999</v>
      </c>
      <c r="M514" s="57">
        <f>ROUND(J514*I514, 2)</f>
        <v>4631609.92</v>
      </c>
      <c r="N514" s="57">
        <f>ROUND(I514*ROUND(K514, 2), 2)</f>
        <v>6760756.29</v>
      </c>
      <c r="O514" s="57">
        <f>M514+N514</f>
        <v>11392366.210000001</v>
      </c>
      <c r="P514" s="57">
        <f>IFERROR(ROUND(SUM(S515,S516,S517,S518)/I514, 2),0)</f>
        <v>594.65</v>
      </c>
      <c r="Q514" s="57">
        <v>1240.01</v>
      </c>
      <c r="R514" s="57">
        <f>P514+ROUND(Q514, 2)</f>
        <v>1834.6599999999999</v>
      </c>
      <c r="S514" s="57">
        <f>ROUND(P514*I514, 2)</f>
        <v>4631609.92</v>
      </c>
      <c r="T514" s="57">
        <f>ROUND(I514*ROUND(Q514, 2), 2)</f>
        <v>9658189.8900000006</v>
      </c>
      <c r="U514" s="57">
        <f>S514+T514</f>
        <v>14289799.810000001</v>
      </c>
      <c r="V514" s="9">
        <f>ROUND(P514 / 1.2, 2)</f>
        <v>495.54</v>
      </c>
      <c r="W514" s="9">
        <f>ROUND(Q514 / 1.2, 2)</f>
        <v>1033.3399999999999</v>
      </c>
      <c r="X514" s="9">
        <f>ROUND(R514 / 1.2, 2)</f>
        <v>1528.88</v>
      </c>
      <c r="Y514" s="9">
        <f t="shared" si="118"/>
        <v>3859674.93</v>
      </c>
      <c r="Z514" s="9">
        <f>ROUND(T514 / 1.2, 2)</f>
        <v>8048491.5800000001</v>
      </c>
      <c r="AA514" s="9">
        <f>Y514+Z514</f>
        <v>11908166.51</v>
      </c>
      <c r="AD514" s="4">
        <v>320319865</v>
      </c>
      <c r="AE514" s="4">
        <v>28037489</v>
      </c>
      <c r="AG514" s="4" t="s">
        <v>351</v>
      </c>
      <c r="AH514" s="4" t="s">
        <v>352</v>
      </c>
      <c r="AI514" s="4" t="s">
        <v>338</v>
      </c>
    </row>
    <row r="515" spans="1:35" ht="18" x14ac:dyDescent="0.3">
      <c r="A515" s="53" t="s">
        <v>1476</v>
      </c>
      <c r="B515" s="53"/>
      <c r="C515" s="58" t="s">
        <v>355</v>
      </c>
      <c r="D515" s="55"/>
      <c r="E515" s="55"/>
      <c r="F515" s="59" t="s">
        <v>356</v>
      </c>
      <c r="G515" s="60">
        <v>8</v>
      </c>
      <c r="H515" s="55"/>
      <c r="I515" s="63">
        <v>62310.400000000001</v>
      </c>
      <c r="J515" s="61">
        <v>2.54</v>
      </c>
      <c r="K515" s="51"/>
      <c r="L515" s="51"/>
      <c r="M515" s="61">
        <f>ROUND(ROUND(J515, 2)*I515, 2)</f>
        <v>158268.42000000001</v>
      </c>
      <c r="N515" s="51"/>
      <c r="O515" s="51"/>
      <c r="P515" s="61">
        <v>2.54</v>
      </c>
      <c r="Q515" s="51"/>
      <c r="R515" s="51"/>
      <c r="S515" s="61">
        <f>ROUND(ROUND(P515, 2)*I515, 2)</f>
        <v>158268.42000000001</v>
      </c>
      <c r="T515" s="51"/>
      <c r="U515" s="62"/>
      <c r="V515" s="9">
        <f>ROUND(ROUND(P515, 2)/1.2, 2)</f>
        <v>2.12</v>
      </c>
      <c r="Y515" s="9">
        <f t="shared" si="118"/>
        <v>131890.35</v>
      </c>
      <c r="AD515" s="4" t="s">
        <v>1477</v>
      </c>
      <c r="AE515" s="4" t="s">
        <v>1478</v>
      </c>
      <c r="AF515" s="4" t="s">
        <v>359</v>
      </c>
    </row>
    <row r="516" spans="1:35" ht="18" x14ac:dyDescent="0.3">
      <c r="A516" s="53" t="s">
        <v>1479</v>
      </c>
      <c r="B516" s="53"/>
      <c r="C516" s="58" t="s">
        <v>363</v>
      </c>
      <c r="D516" s="55"/>
      <c r="E516" s="55"/>
      <c r="F516" s="59" t="s">
        <v>364</v>
      </c>
      <c r="G516" s="60">
        <v>1.8</v>
      </c>
      <c r="H516" s="55"/>
      <c r="I516" s="63">
        <v>560793.59999999998</v>
      </c>
      <c r="J516" s="61">
        <v>6.27</v>
      </c>
      <c r="K516" s="51"/>
      <c r="L516" s="51"/>
      <c r="M516" s="61">
        <f>ROUND(ROUND(J516, 2)*I516, 2)</f>
        <v>3516175.87</v>
      </c>
      <c r="N516" s="51"/>
      <c r="O516" s="51"/>
      <c r="P516" s="61">
        <v>6.27</v>
      </c>
      <c r="Q516" s="51"/>
      <c r="R516" s="51"/>
      <c r="S516" s="61">
        <f>ROUND(ROUND(P516, 2)*I516, 2)</f>
        <v>3516175.87</v>
      </c>
      <c r="T516" s="51"/>
      <c r="U516" s="62"/>
      <c r="V516" s="9">
        <f>ROUND(ROUND(P516, 2)/1.2, 2)</f>
        <v>5.23</v>
      </c>
      <c r="Y516" s="9">
        <f t="shared" si="118"/>
        <v>2930146.56</v>
      </c>
      <c r="AD516" s="4" t="s">
        <v>1480</v>
      </c>
      <c r="AE516" s="4" t="s">
        <v>1481</v>
      </c>
      <c r="AF516" s="4" t="s">
        <v>367</v>
      </c>
    </row>
    <row r="517" spans="1:35" ht="18" x14ac:dyDescent="0.3">
      <c r="A517" s="53" t="s">
        <v>1482</v>
      </c>
      <c r="B517" s="53"/>
      <c r="C517" s="58" t="s">
        <v>371</v>
      </c>
      <c r="D517" s="55"/>
      <c r="E517" s="55"/>
      <c r="F517" s="59" t="s">
        <v>61</v>
      </c>
      <c r="G517" s="60">
        <v>1.1000000000000001</v>
      </c>
      <c r="H517" s="55"/>
      <c r="I517" s="63">
        <v>8567.68</v>
      </c>
      <c r="J517" s="61">
        <v>103.64</v>
      </c>
      <c r="K517" s="51"/>
      <c r="L517" s="51"/>
      <c r="M517" s="61">
        <f>ROUND(ROUND(J517, 2)*I517, 2)</f>
        <v>887954.36</v>
      </c>
      <c r="N517" s="51"/>
      <c r="O517" s="51"/>
      <c r="P517" s="61">
        <v>103.64</v>
      </c>
      <c r="Q517" s="51"/>
      <c r="R517" s="51"/>
      <c r="S517" s="61">
        <f>ROUND(ROUND(P517, 2)*I517, 2)</f>
        <v>887954.36</v>
      </c>
      <c r="T517" s="51"/>
      <c r="U517" s="62"/>
      <c r="V517" s="9">
        <f>ROUND(ROUND(P517, 2)/1.2, 2)</f>
        <v>86.37</v>
      </c>
      <c r="Y517" s="9">
        <f t="shared" si="118"/>
        <v>739961.97</v>
      </c>
      <c r="AD517" s="4" t="s">
        <v>1483</v>
      </c>
      <c r="AE517" s="4" t="s">
        <v>1484</v>
      </c>
      <c r="AF517" s="4" t="s">
        <v>374</v>
      </c>
    </row>
    <row r="518" spans="1:35" ht="18" x14ac:dyDescent="0.3">
      <c r="A518" s="53" t="s">
        <v>1485</v>
      </c>
      <c r="B518" s="53"/>
      <c r="C518" s="58" t="s">
        <v>378</v>
      </c>
      <c r="D518" s="55"/>
      <c r="E518" s="55"/>
      <c r="F518" s="59" t="s">
        <v>76</v>
      </c>
      <c r="G518" s="60">
        <v>1</v>
      </c>
      <c r="H518" s="55"/>
      <c r="I518" s="63">
        <v>6544</v>
      </c>
      <c r="J518" s="61">
        <v>10.58</v>
      </c>
      <c r="K518" s="51"/>
      <c r="L518" s="51"/>
      <c r="M518" s="61">
        <f>ROUND(ROUND(J518, 2)*I518, 2)</f>
        <v>69235.520000000004</v>
      </c>
      <c r="N518" s="51"/>
      <c r="O518" s="51"/>
      <c r="P518" s="61">
        <v>10.58</v>
      </c>
      <c r="Q518" s="51"/>
      <c r="R518" s="51"/>
      <c r="S518" s="61">
        <f>ROUND(ROUND(P518, 2)*I518, 2)</f>
        <v>69235.520000000004</v>
      </c>
      <c r="T518" s="51"/>
      <c r="U518" s="62"/>
      <c r="V518" s="9">
        <f>ROUND(ROUND(P518, 2)/1.2, 2)</f>
        <v>8.82</v>
      </c>
      <c r="Y518" s="9">
        <f t="shared" si="118"/>
        <v>57696.27</v>
      </c>
      <c r="AD518" s="4" t="s">
        <v>1486</v>
      </c>
      <c r="AE518" s="4" t="s">
        <v>1487</v>
      </c>
      <c r="AF518" s="4" t="s">
        <v>381</v>
      </c>
    </row>
    <row r="519" spans="1:35" ht="36" x14ac:dyDescent="0.3">
      <c r="A519" s="53" t="s">
        <v>1488</v>
      </c>
      <c r="B519" s="53" t="s">
        <v>385</v>
      </c>
      <c r="C519" s="54" t="s">
        <v>386</v>
      </c>
      <c r="D519" s="55"/>
      <c r="E519" s="55" t="s">
        <v>1489</v>
      </c>
      <c r="F519" s="55" t="s">
        <v>61</v>
      </c>
      <c r="G519" s="56">
        <v>1</v>
      </c>
      <c r="H519" s="55"/>
      <c r="I519" s="56">
        <v>583.70000000000005</v>
      </c>
      <c r="J519" s="57">
        <f>IFERROR(ROUND(SUM(M520,M521,M522)/I519, 2),0)</f>
        <v>172.29</v>
      </c>
      <c r="K519" s="57">
        <v>557</v>
      </c>
      <c r="L519" s="57">
        <f>J519+ROUND(K519, 2)</f>
        <v>729.29</v>
      </c>
      <c r="M519" s="57">
        <f>ROUND(J519*I519, 2)</f>
        <v>100565.67</v>
      </c>
      <c r="N519" s="57">
        <f>ROUND(I519*ROUND(K519, 2), 2)</f>
        <v>325120.90000000002</v>
      </c>
      <c r="O519" s="57">
        <f>M519+N519</f>
        <v>425686.57</v>
      </c>
      <c r="P519" s="57">
        <f>IFERROR(ROUND(SUM(S520,S521,S522)/I519, 2),0)</f>
        <v>172.29</v>
      </c>
      <c r="Q519" s="57">
        <v>795.71</v>
      </c>
      <c r="R519" s="57">
        <f>P519+ROUND(Q519, 2)</f>
        <v>968</v>
      </c>
      <c r="S519" s="57">
        <f>ROUND(P519*I519, 2)</f>
        <v>100565.67</v>
      </c>
      <c r="T519" s="57">
        <f>ROUND(I519*ROUND(Q519, 2), 2)</f>
        <v>464455.93</v>
      </c>
      <c r="U519" s="57">
        <f>S519+T519</f>
        <v>565021.6</v>
      </c>
      <c r="V519" s="9">
        <f>ROUND(P519 / 1.2, 2)</f>
        <v>143.58000000000001</v>
      </c>
      <c r="W519" s="9">
        <f>ROUND(Q519 / 1.2, 2)</f>
        <v>663.09</v>
      </c>
      <c r="X519" s="9">
        <f>ROUND(R519 / 1.2, 2)</f>
        <v>806.67</v>
      </c>
      <c r="Y519" s="9">
        <f t="shared" si="118"/>
        <v>83804.73</v>
      </c>
      <c r="Z519" s="9">
        <f>ROUND(T519 / 1.2, 2)</f>
        <v>387046.61</v>
      </c>
      <c r="AA519" s="9">
        <f>Y519+Z519</f>
        <v>470851.33999999997</v>
      </c>
      <c r="AD519" s="4">
        <v>320319867</v>
      </c>
      <c r="AE519" s="4">
        <v>28037490</v>
      </c>
      <c r="AG519" s="4" t="s">
        <v>388</v>
      </c>
      <c r="AH519" s="4" t="s">
        <v>389</v>
      </c>
      <c r="AI519" s="4" t="s">
        <v>338</v>
      </c>
    </row>
    <row r="520" spans="1:35" ht="18" x14ac:dyDescent="0.3">
      <c r="A520" s="53" t="s">
        <v>1490</v>
      </c>
      <c r="B520" s="53"/>
      <c r="C520" s="58" t="s">
        <v>378</v>
      </c>
      <c r="D520" s="55"/>
      <c r="E520" s="55"/>
      <c r="F520" s="59" t="s">
        <v>76</v>
      </c>
      <c r="G520" s="60">
        <v>1</v>
      </c>
      <c r="H520" s="55"/>
      <c r="I520" s="63">
        <v>96.64</v>
      </c>
      <c r="J520" s="61">
        <v>10.58</v>
      </c>
      <c r="K520" s="51"/>
      <c r="L520" s="51"/>
      <c r="M520" s="61">
        <f>ROUND(ROUND(J520, 2)*I520, 2)</f>
        <v>1022.45</v>
      </c>
      <c r="N520" s="51"/>
      <c r="O520" s="51"/>
      <c r="P520" s="61">
        <v>10.58</v>
      </c>
      <c r="Q520" s="51"/>
      <c r="R520" s="51"/>
      <c r="S520" s="61">
        <f>ROUND(ROUND(P520, 2)*I520, 2)</f>
        <v>1022.45</v>
      </c>
      <c r="T520" s="51"/>
      <c r="U520" s="62"/>
      <c r="V520" s="9">
        <f>ROUND(ROUND(P520, 2)/1.2, 2)</f>
        <v>8.82</v>
      </c>
      <c r="Y520" s="9">
        <f t="shared" si="118"/>
        <v>852.04</v>
      </c>
      <c r="AD520" s="4" t="s">
        <v>1491</v>
      </c>
      <c r="AE520" s="4" t="s">
        <v>1492</v>
      </c>
      <c r="AF520" s="4" t="s">
        <v>381</v>
      </c>
    </row>
    <row r="521" spans="1:35" ht="36" x14ac:dyDescent="0.3">
      <c r="A521" s="53" t="s">
        <v>1493</v>
      </c>
      <c r="B521" s="53"/>
      <c r="C521" s="58" t="s">
        <v>397</v>
      </c>
      <c r="D521" s="55"/>
      <c r="E521" s="55"/>
      <c r="F521" s="59" t="s">
        <v>364</v>
      </c>
      <c r="G521" s="60">
        <v>0.255</v>
      </c>
      <c r="H521" s="55"/>
      <c r="I521" s="60">
        <v>148.84399999999999</v>
      </c>
      <c r="J521" s="61">
        <v>90.28</v>
      </c>
      <c r="K521" s="51"/>
      <c r="L521" s="51"/>
      <c r="M521" s="61">
        <f>ROUND(ROUND(J521, 2)*I521, 2)</f>
        <v>13437.64</v>
      </c>
      <c r="N521" s="51"/>
      <c r="O521" s="51"/>
      <c r="P521" s="61">
        <v>90.28</v>
      </c>
      <c r="Q521" s="51"/>
      <c r="R521" s="51"/>
      <c r="S521" s="61">
        <f>ROUND(ROUND(P521, 2)*I521, 2)</f>
        <v>13437.64</v>
      </c>
      <c r="T521" s="51"/>
      <c r="U521" s="62"/>
      <c r="V521" s="9">
        <f>ROUND(ROUND(P521, 2)/1.2, 2)</f>
        <v>75.23</v>
      </c>
      <c r="Y521" s="9">
        <f t="shared" si="118"/>
        <v>11198.03</v>
      </c>
      <c r="AD521" s="4" t="s">
        <v>1494</v>
      </c>
      <c r="AE521" s="4" t="s">
        <v>1495</v>
      </c>
      <c r="AF521" s="4" t="s">
        <v>400</v>
      </c>
    </row>
    <row r="522" spans="1:35" ht="36" x14ac:dyDescent="0.3">
      <c r="A522" s="53" t="s">
        <v>1496</v>
      </c>
      <c r="B522" s="53"/>
      <c r="C522" s="47" t="s">
        <v>404</v>
      </c>
      <c r="D522" s="55"/>
      <c r="E522" s="55"/>
      <c r="F522" s="59" t="s">
        <v>364</v>
      </c>
      <c r="G522" s="60">
        <v>1.6</v>
      </c>
      <c r="H522" s="55"/>
      <c r="I522" s="63">
        <v>9339.2000000000007</v>
      </c>
      <c r="J522" s="61">
        <v>9.2200000000000006</v>
      </c>
      <c r="K522" s="51"/>
      <c r="L522" s="51"/>
      <c r="M522" s="61">
        <f>ROUND(ROUND(J522, 2)*I522, 2)</f>
        <v>86107.42</v>
      </c>
      <c r="N522" s="51"/>
      <c r="O522" s="51"/>
      <c r="P522" s="61">
        <v>9.2200000000000006</v>
      </c>
      <c r="Q522" s="51"/>
      <c r="R522" s="51"/>
      <c r="S522" s="61">
        <f>ROUND(ROUND(P522, 2)*I522, 2)</f>
        <v>86107.42</v>
      </c>
      <c r="T522" s="51"/>
      <c r="U522" s="62"/>
      <c r="V522" s="9">
        <f>ROUND(ROUND(P522, 2)/1.2, 2)</f>
        <v>7.68</v>
      </c>
      <c r="Y522" s="9">
        <f t="shared" si="118"/>
        <v>71756.179999999993</v>
      </c>
      <c r="AD522" s="4" t="s">
        <v>1497</v>
      </c>
      <c r="AE522" s="4" t="s">
        <v>1498</v>
      </c>
      <c r="AF522" s="4" t="s">
        <v>407</v>
      </c>
    </row>
    <row r="523" spans="1:35" ht="16.95" customHeight="1" x14ac:dyDescent="0.3">
      <c r="A523" s="53" t="s">
        <v>1499</v>
      </c>
      <c r="B523" s="53" t="s">
        <v>411</v>
      </c>
      <c r="C523" s="243" t="s">
        <v>412</v>
      </c>
      <c r="D523" s="244"/>
      <c r="E523" s="244"/>
      <c r="F523" s="244"/>
      <c r="G523" s="244"/>
      <c r="H523" s="244"/>
      <c r="I523" s="245"/>
      <c r="J523" s="51"/>
      <c r="K523" s="51"/>
      <c r="L523" s="51"/>
      <c r="M523" s="52">
        <f>SUM(M524,M526,M528,M530,M532,M534,M536,M538,M540,M542,M544)</f>
        <v>4384891.08</v>
      </c>
      <c r="N523" s="52">
        <f>SUM(N524,N526,N528,N530,N532,N534,N536,N538,N540,N542,N544)</f>
        <v>3555938.4500000011</v>
      </c>
      <c r="O523" s="52">
        <f>SUM(O524,O526,O528,O530,O532,O534,O536,O538,O540,O542,O544)</f>
        <v>7940829.5300000003</v>
      </c>
      <c r="P523" s="51"/>
      <c r="Q523" s="51"/>
      <c r="R523" s="51"/>
      <c r="S523" s="52">
        <f>SUM(S524,S526,S528,S530,S532,S534,S536,S538,S540,S542,S544)</f>
        <v>4384891.08</v>
      </c>
      <c r="T523" s="52">
        <f>SUM(T524,T526,T528,T530,T532,T534,T536,T538,T540,T542,T544)</f>
        <v>5079909.82</v>
      </c>
      <c r="U523" s="52">
        <f>SUM(U524,U526,U528,U530,U532,U534,U536,U538,U540,U542,U544)</f>
        <v>9464800.9000000004</v>
      </c>
      <c r="Y523" s="9">
        <f>SUM(Y524,Y526,Y528,Y530,Y532,Y534,Y536,Y538,Y540,Y542,Y544)</f>
        <v>3654075.8900000006</v>
      </c>
      <c r="Z523" s="9">
        <f>SUM(Z524,Z526,Z528,Z530,Z532,Z534,Z536,Z538,Z540,Z542,Z544)</f>
        <v>4233258.18</v>
      </c>
      <c r="AA523" s="9">
        <f>SUM(AA524,AA526,AA528,AA530,AA532,AA534,AA536,AA538,AA540,AA542,AA544)</f>
        <v>7887334.0699999994</v>
      </c>
      <c r="AD523" s="4">
        <v>320319868</v>
      </c>
      <c r="AE523" s="4">
        <v>28037655</v>
      </c>
    </row>
    <row r="524" spans="1:35" ht="54" x14ac:dyDescent="0.3">
      <c r="A524" s="53" t="s">
        <v>1500</v>
      </c>
      <c r="B524" s="53" t="s">
        <v>414</v>
      </c>
      <c r="C524" s="54" t="s">
        <v>415</v>
      </c>
      <c r="D524" s="55"/>
      <c r="E524" s="55" t="s">
        <v>416</v>
      </c>
      <c r="F524" s="55" t="s">
        <v>61</v>
      </c>
      <c r="G524" s="56">
        <v>1</v>
      </c>
      <c r="H524" s="55"/>
      <c r="I524" s="56">
        <v>168.4</v>
      </c>
      <c r="J524" s="57">
        <f>IFERROR(ROUND(SUM(M525)/I524, 2),0)</f>
        <v>1014.44</v>
      </c>
      <c r="K524" s="57">
        <v>162</v>
      </c>
      <c r="L524" s="57">
        <f>J524+ROUND(K524, 2)</f>
        <v>1176.44</v>
      </c>
      <c r="M524" s="57">
        <f>ROUND(J524*I524, 2)</f>
        <v>170831.7</v>
      </c>
      <c r="N524" s="57">
        <f>ROUND(I524*ROUND(K524, 2), 2)</f>
        <v>27280.799999999999</v>
      </c>
      <c r="O524" s="57">
        <f>M524+N524</f>
        <v>198112.5</v>
      </c>
      <c r="P524" s="57">
        <f>IFERROR(ROUND(SUM(S525)/I524, 2),0)</f>
        <v>1014.44</v>
      </c>
      <c r="Q524" s="57">
        <v>231.43</v>
      </c>
      <c r="R524" s="57">
        <f>P524+ROUND(Q524, 2)</f>
        <v>1245.8700000000001</v>
      </c>
      <c r="S524" s="57">
        <f>ROUND(P524*I524, 2)</f>
        <v>170831.7</v>
      </c>
      <c r="T524" s="57">
        <f>ROUND(I524*ROUND(Q524, 2), 2)</f>
        <v>38972.81</v>
      </c>
      <c r="U524" s="57">
        <f>S524+T524</f>
        <v>209804.51</v>
      </c>
      <c r="V524" s="9">
        <f>ROUND(P524 / 1.2, 2)</f>
        <v>845.37</v>
      </c>
      <c r="W524" s="9">
        <f>ROUND(Q524 / 1.2, 2)</f>
        <v>192.86</v>
      </c>
      <c r="X524" s="9">
        <f>ROUND(R524 / 1.2, 2)</f>
        <v>1038.23</v>
      </c>
      <c r="Y524" s="9">
        <f>ROUND(S524 / 1.2, 2)</f>
        <v>142359.75</v>
      </c>
      <c r="Z524" s="9">
        <f>ROUND(T524 / 1.2, 2)</f>
        <v>32477.34</v>
      </c>
      <c r="AA524" s="9">
        <f>Y524+Z524</f>
        <v>174837.09</v>
      </c>
      <c r="AD524" s="4">
        <v>320319870</v>
      </c>
      <c r="AE524" s="4">
        <v>28037659</v>
      </c>
      <c r="AG524" s="4" t="s">
        <v>417</v>
      </c>
      <c r="AH524" s="4" t="s">
        <v>418</v>
      </c>
      <c r="AI524" s="4" t="s">
        <v>338</v>
      </c>
    </row>
    <row r="525" spans="1:35" ht="36" x14ac:dyDescent="0.3">
      <c r="A525" s="53" t="s">
        <v>1501</v>
      </c>
      <c r="B525" s="53"/>
      <c r="C525" s="58" t="s">
        <v>421</v>
      </c>
      <c r="D525" s="55"/>
      <c r="E525" s="55"/>
      <c r="F525" s="59" t="s">
        <v>364</v>
      </c>
      <c r="G525" s="60">
        <v>1</v>
      </c>
      <c r="H525" s="55"/>
      <c r="I525" s="60">
        <v>168.4</v>
      </c>
      <c r="J525" s="61">
        <v>1014.44</v>
      </c>
      <c r="K525" s="51"/>
      <c r="L525" s="51"/>
      <c r="M525" s="61">
        <f>ROUND(ROUND(J525, 2)*I525, 2)</f>
        <v>170831.7</v>
      </c>
      <c r="N525" s="51"/>
      <c r="O525" s="51"/>
      <c r="P525" s="61">
        <v>1014.44</v>
      </c>
      <c r="Q525" s="51"/>
      <c r="R525" s="51"/>
      <c r="S525" s="61">
        <f>ROUND(ROUND(P525, 2)*I525, 2)</f>
        <v>170831.7</v>
      </c>
      <c r="T525" s="51"/>
      <c r="U525" s="62"/>
      <c r="V525" s="9">
        <f>ROUND(ROUND(P525, 2)/1.2, 2)</f>
        <v>845.37</v>
      </c>
      <c r="Y525" s="9">
        <f t="shared" ref="Y525:Y545" si="119">ROUND(S525 / 1.2, 2)</f>
        <v>142359.75</v>
      </c>
      <c r="AD525" s="4" t="s">
        <v>1502</v>
      </c>
      <c r="AE525" s="4" t="s">
        <v>1503</v>
      </c>
      <c r="AF525" s="4" t="s">
        <v>424</v>
      </c>
    </row>
    <row r="526" spans="1:35" ht="54" x14ac:dyDescent="0.3">
      <c r="A526" s="53" t="s">
        <v>1504</v>
      </c>
      <c r="B526" s="53" t="s">
        <v>428</v>
      </c>
      <c r="C526" s="54" t="s">
        <v>429</v>
      </c>
      <c r="D526" s="55"/>
      <c r="E526" s="55" t="s">
        <v>1505</v>
      </c>
      <c r="F526" s="55" t="s">
        <v>61</v>
      </c>
      <c r="G526" s="56">
        <v>1</v>
      </c>
      <c r="H526" s="55"/>
      <c r="I526" s="56">
        <v>549.6</v>
      </c>
      <c r="J526" s="57">
        <f>IFERROR(ROUND(SUM(M527)/I526, 2),0)</f>
        <v>427.76</v>
      </c>
      <c r="K526" s="57">
        <v>324</v>
      </c>
      <c r="L526" s="57">
        <f>J526+ROUND(K526, 2)</f>
        <v>751.76</v>
      </c>
      <c r="M526" s="57">
        <f>ROUND(J526*I526, 2)</f>
        <v>235096.9</v>
      </c>
      <c r="N526" s="57">
        <f>ROUND(I526*ROUND(K526, 2), 2)</f>
        <v>178070.39999999999</v>
      </c>
      <c r="O526" s="57">
        <f>M526+N526</f>
        <v>413167.3</v>
      </c>
      <c r="P526" s="57">
        <f>IFERROR(ROUND(SUM(S527)/I526, 2),0)</f>
        <v>427.76</v>
      </c>
      <c r="Q526" s="57">
        <v>462.86</v>
      </c>
      <c r="R526" s="57">
        <f>P526+ROUND(Q526, 2)</f>
        <v>890.62</v>
      </c>
      <c r="S526" s="57">
        <f>ROUND(P526*I526, 2)</f>
        <v>235096.9</v>
      </c>
      <c r="T526" s="57">
        <f>ROUND(I526*ROUND(Q526, 2), 2)</f>
        <v>254387.86</v>
      </c>
      <c r="U526" s="57">
        <f>S526+T526</f>
        <v>489484.76</v>
      </c>
      <c r="V526" s="9">
        <f>ROUND(P526 / 1.2, 2)</f>
        <v>356.47</v>
      </c>
      <c r="W526" s="9">
        <f>ROUND(Q526 / 1.2, 2)</f>
        <v>385.72</v>
      </c>
      <c r="X526" s="9">
        <f>ROUND(R526 / 1.2, 2)</f>
        <v>742.18</v>
      </c>
      <c r="Y526" s="9">
        <f t="shared" si="119"/>
        <v>195914.08</v>
      </c>
      <c r="Z526" s="9">
        <f>ROUND(T526 / 1.2, 2)</f>
        <v>211989.88</v>
      </c>
      <c r="AA526" s="9">
        <f>Y526+Z526</f>
        <v>407903.95999999996</v>
      </c>
      <c r="AD526" s="4">
        <v>320319871</v>
      </c>
      <c r="AE526" s="4">
        <v>28037658</v>
      </c>
      <c r="AG526" s="4" t="s">
        <v>431</v>
      </c>
      <c r="AH526" s="4" t="s">
        <v>432</v>
      </c>
      <c r="AI526" s="4" t="s">
        <v>338</v>
      </c>
    </row>
    <row r="527" spans="1:35" ht="18" x14ac:dyDescent="0.3">
      <c r="A527" s="53" t="s">
        <v>1506</v>
      </c>
      <c r="B527" s="53"/>
      <c r="C527" s="58" t="s">
        <v>435</v>
      </c>
      <c r="D527" s="55"/>
      <c r="E527" s="55"/>
      <c r="F527" s="59" t="s">
        <v>364</v>
      </c>
      <c r="G527" s="60">
        <v>4.3</v>
      </c>
      <c r="H527" s="55"/>
      <c r="I527" s="60">
        <v>2363.2800000000002</v>
      </c>
      <c r="J527" s="61">
        <v>99.48</v>
      </c>
      <c r="K527" s="51"/>
      <c r="L527" s="51"/>
      <c r="M527" s="61">
        <f>ROUND(ROUND(J527, 2)*I527, 2)</f>
        <v>235099.09</v>
      </c>
      <c r="N527" s="51"/>
      <c r="O527" s="51"/>
      <c r="P527" s="61">
        <v>99.48</v>
      </c>
      <c r="Q527" s="51"/>
      <c r="R527" s="51"/>
      <c r="S527" s="61">
        <f>ROUND(ROUND(P527, 2)*I527, 2)</f>
        <v>235099.09</v>
      </c>
      <c r="T527" s="51"/>
      <c r="U527" s="62"/>
      <c r="V527" s="9">
        <f>ROUND(ROUND(P527, 2)/1.2, 2)</f>
        <v>82.9</v>
      </c>
      <c r="Y527" s="9">
        <f t="shared" si="119"/>
        <v>195915.91</v>
      </c>
      <c r="AD527" s="4" t="s">
        <v>1507</v>
      </c>
      <c r="AE527" s="4" t="s">
        <v>1508</v>
      </c>
      <c r="AF527" s="4" t="s">
        <v>438</v>
      </c>
    </row>
    <row r="528" spans="1:35" ht="54" x14ac:dyDescent="0.3">
      <c r="A528" s="53" t="s">
        <v>1509</v>
      </c>
      <c r="B528" s="53" t="s">
        <v>442</v>
      </c>
      <c r="C528" s="54" t="s">
        <v>443</v>
      </c>
      <c r="D528" s="55"/>
      <c r="E528" s="55" t="s">
        <v>1510</v>
      </c>
      <c r="F528" s="55" t="s">
        <v>61</v>
      </c>
      <c r="G528" s="56">
        <v>1</v>
      </c>
      <c r="H528" s="55"/>
      <c r="I528" s="56">
        <v>1430.4</v>
      </c>
      <c r="J528" s="57">
        <f>IFERROR(ROUND(SUM(M529)/I528, 2),0)</f>
        <v>362.9</v>
      </c>
      <c r="K528" s="57">
        <v>580</v>
      </c>
      <c r="L528" s="57">
        <f>J528+ROUND(K528, 2)</f>
        <v>942.9</v>
      </c>
      <c r="M528" s="57">
        <f>ROUND(J528*I528, 2)</f>
        <v>519092.16</v>
      </c>
      <c r="N528" s="57">
        <f>ROUND(I528*ROUND(K528, 2), 2)</f>
        <v>829632</v>
      </c>
      <c r="O528" s="57">
        <f>M528+N528</f>
        <v>1348724.16</v>
      </c>
      <c r="P528" s="57">
        <f>IFERROR(ROUND(SUM(S529)/I528, 2),0)</f>
        <v>362.9</v>
      </c>
      <c r="Q528" s="57">
        <v>828.57</v>
      </c>
      <c r="R528" s="57">
        <f>P528+ROUND(Q528, 2)</f>
        <v>1191.47</v>
      </c>
      <c r="S528" s="57">
        <f>ROUND(P528*I528, 2)</f>
        <v>519092.16</v>
      </c>
      <c r="T528" s="57">
        <f>ROUND(I528*ROUND(Q528, 2), 2)</f>
        <v>1185186.53</v>
      </c>
      <c r="U528" s="57">
        <f>S528+T528</f>
        <v>1704278.69</v>
      </c>
      <c r="V528" s="9">
        <f>ROUND(P528 / 1.2, 2)</f>
        <v>302.42</v>
      </c>
      <c r="W528" s="9">
        <f>ROUND(Q528 / 1.2, 2)</f>
        <v>690.48</v>
      </c>
      <c r="X528" s="9">
        <f>ROUND(R528 / 1.2, 2)</f>
        <v>992.89</v>
      </c>
      <c r="Y528" s="9">
        <f t="shared" si="119"/>
        <v>432576.8</v>
      </c>
      <c r="Z528" s="9">
        <f>ROUND(T528 / 1.2, 2)</f>
        <v>987655.44</v>
      </c>
      <c r="AA528" s="9">
        <f>Y528+Z528</f>
        <v>1420232.24</v>
      </c>
      <c r="AD528" s="4">
        <v>320319873</v>
      </c>
      <c r="AE528" s="4">
        <v>28038746</v>
      </c>
      <c r="AG528" s="4" t="s">
        <v>445</v>
      </c>
      <c r="AH528" s="4" t="s">
        <v>446</v>
      </c>
      <c r="AI528" s="4" t="s">
        <v>338</v>
      </c>
    </row>
    <row r="529" spans="1:35" ht="18" x14ac:dyDescent="0.3">
      <c r="A529" s="53" t="s">
        <v>1511</v>
      </c>
      <c r="B529" s="53"/>
      <c r="C529" s="47" t="s">
        <v>463</v>
      </c>
      <c r="D529" s="55"/>
      <c r="E529" s="55"/>
      <c r="F529" s="59" t="s">
        <v>61</v>
      </c>
      <c r="G529" s="60">
        <v>1.1000000000000001</v>
      </c>
      <c r="H529" s="55"/>
      <c r="I529" s="63">
        <v>1573.44</v>
      </c>
      <c r="J529" s="61">
        <v>329.91</v>
      </c>
      <c r="K529" s="51"/>
      <c r="L529" s="51"/>
      <c r="M529" s="61">
        <f>ROUND(ROUND(J529, 2)*I529, 2)</f>
        <v>519093.59</v>
      </c>
      <c r="N529" s="51"/>
      <c r="O529" s="51"/>
      <c r="P529" s="61">
        <v>329.91</v>
      </c>
      <c r="Q529" s="51"/>
      <c r="R529" s="51"/>
      <c r="S529" s="61">
        <f>ROUND(ROUND(P529, 2)*I529, 2)</f>
        <v>519093.59</v>
      </c>
      <c r="T529" s="51"/>
      <c r="U529" s="62"/>
      <c r="V529" s="9">
        <f>ROUND(ROUND(P529, 2)/1.2, 2)</f>
        <v>274.93</v>
      </c>
      <c r="Y529" s="9">
        <f t="shared" si="119"/>
        <v>432577.99</v>
      </c>
      <c r="AD529" s="4" t="s">
        <v>1512</v>
      </c>
      <c r="AE529" s="4" t="s">
        <v>1513</v>
      </c>
      <c r="AF529" s="4" t="s">
        <v>467</v>
      </c>
    </row>
    <row r="530" spans="1:35" ht="36" x14ac:dyDescent="0.3">
      <c r="A530" s="53" t="s">
        <v>1514</v>
      </c>
      <c r="B530" s="53" t="s">
        <v>456</v>
      </c>
      <c r="C530" s="54" t="s">
        <v>457</v>
      </c>
      <c r="D530" s="55"/>
      <c r="E530" s="55" t="s">
        <v>1515</v>
      </c>
      <c r="F530" s="55" t="s">
        <v>61</v>
      </c>
      <c r="G530" s="56">
        <v>1</v>
      </c>
      <c r="H530" s="55"/>
      <c r="I530" s="56">
        <v>220.5</v>
      </c>
      <c r="J530" s="57">
        <f>IFERROR(ROUND(SUM(M531)/I530, 2),0)</f>
        <v>692.81</v>
      </c>
      <c r="K530" s="57">
        <v>868.01</v>
      </c>
      <c r="L530" s="57">
        <f>J530+ROUND(K530, 2)</f>
        <v>1560.82</v>
      </c>
      <c r="M530" s="57">
        <f>ROUND(J530*I530, 2)</f>
        <v>152764.60999999999</v>
      </c>
      <c r="N530" s="57">
        <f>ROUND(I530*ROUND(K530, 2), 2)</f>
        <v>191396.21</v>
      </c>
      <c r="O530" s="57">
        <f>M530+N530</f>
        <v>344160.81999999995</v>
      </c>
      <c r="P530" s="57">
        <f>IFERROR(ROUND(SUM(S531)/I530, 2),0)</f>
        <v>692.81</v>
      </c>
      <c r="Q530" s="57">
        <v>1240.01</v>
      </c>
      <c r="R530" s="57">
        <f>P530+ROUND(Q530, 2)</f>
        <v>1932.82</v>
      </c>
      <c r="S530" s="57">
        <f>ROUND(P530*I530, 2)</f>
        <v>152764.60999999999</v>
      </c>
      <c r="T530" s="57">
        <f>ROUND(I530*ROUND(Q530, 2), 2)</f>
        <v>273422.21000000002</v>
      </c>
      <c r="U530" s="57">
        <f>S530+T530</f>
        <v>426186.82</v>
      </c>
      <c r="V530" s="9">
        <f>ROUND(P530 / 1.2, 2)</f>
        <v>577.34</v>
      </c>
      <c r="W530" s="9">
        <f>ROUND(Q530 / 1.2, 2)</f>
        <v>1033.3399999999999</v>
      </c>
      <c r="X530" s="9">
        <f>ROUND(R530 / 1.2, 2)</f>
        <v>1610.68</v>
      </c>
      <c r="Y530" s="9">
        <f t="shared" si="119"/>
        <v>127303.84</v>
      </c>
      <c r="Z530" s="9">
        <f>ROUND(T530 / 1.2, 2)</f>
        <v>227851.84</v>
      </c>
      <c r="AA530" s="9">
        <f>Y530+Z530</f>
        <v>355155.68</v>
      </c>
      <c r="AD530" s="4">
        <v>320319874</v>
      </c>
      <c r="AE530" s="4">
        <v>28038744</v>
      </c>
      <c r="AG530" s="4" t="s">
        <v>459</v>
      </c>
      <c r="AH530" s="4" t="s">
        <v>460</v>
      </c>
      <c r="AI530" s="4" t="s">
        <v>338</v>
      </c>
    </row>
    <row r="531" spans="1:35" ht="18" x14ac:dyDescent="0.3">
      <c r="A531" s="53" t="s">
        <v>1516</v>
      </c>
      <c r="B531" s="53"/>
      <c r="C531" s="47" t="s">
        <v>463</v>
      </c>
      <c r="D531" s="55"/>
      <c r="E531" s="55" t="s">
        <v>464</v>
      </c>
      <c r="F531" s="59" t="s">
        <v>61</v>
      </c>
      <c r="G531" s="60">
        <v>2.1</v>
      </c>
      <c r="H531" s="55"/>
      <c r="I531" s="63">
        <v>463.05</v>
      </c>
      <c r="J531" s="61">
        <v>329.91</v>
      </c>
      <c r="K531" s="51"/>
      <c r="L531" s="51"/>
      <c r="M531" s="61">
        <f>ROUND(ROUND(J531, 2)*I531, 2)</f>
        <v>152764.82999999999</v>
      </c>
      <c r="N531" s="51"/>
      <c r="O531" s="51"/>
      <c r="P531" s="61">
        <v>329.91</v>
      </c>
      <c r="Q531" s="51"/>
      <c r="R531" s="51"/>
      <c r="S531" s="61">
        <f>ROUND(ROUND(P531, 2)*I531, 2)</f>
        <v>152764.82999999999</v>
      </c>
      <c r="T531" s="51"/>
      <c r="U531" s="62"/>
      <c r="V531" s="9">
        <f>ROUND(ROUND(P531, 2)/1.2, 2)</f>
        <v>274.93</v>
      </c>
      <c r="Y531" s="9">
        <f t="shared" si="119"/>
        <v>127304.03</v>
      </c>
      <c r="AD531" s="4" t="s">
        <v>1517</v>
      </c>
      <c r="AE531" s="4" t="s">
        <v>1518</v>
      </c>
      <c r="AF531" s="4" t="s">
        <v>467</v>
      </c>
    </row>
    <row r="532" spans="1:35" ht="36" x14ac:dyDescent="0.3">
      <c r="A532" s="53" t="s">
        <v>1519</v>
      </c>
      <c r="B532" s="53" t="s">
        <v>471</v>
      </c>
      <c r="C532" s="54" t="s">
        <v>472</v>
      </c>
      <c r="D532" s="55"/>
      <c r="E532" s="55" t="s">
        <v>1520</v>
      </c>
      <c r="F532" s="55" t="s">
        <v>91</v>
      </c>
      <c r="G532" s="56">
        <v>1</v>
      </c>
      <c r="H532" s="55"/>
      <c r="I532" s="56">
        <v>14.77</v>
      </c>
      <c r="J532" s="57">
        <f>IFERROR(ROUND(SUM(M533)/I532, 2),0)</f>
        <v>2644.28</v>
      </c>
      <c r="K532" s="57">
        <v>2157</v>
      </c>
      <c r="L532" s="57">
        <f>J532+ROUND(K532, 2)</f>
        <v>4801.2800000000007</v>
      </c>
      <c r="M532" s="57">
        <f>ROUND(J532*I532, 2)</f>
        <v>39056.019999999997</v>
      </c>
      <c r="N532" s="57">
        <f>ROUND(I532*ROUND(K532, 2), 2)</f>
        <v>31858.89</v>
      </c>
      <c r="O532" s="57">
        <f>M532+N532</f>
        <v>70914.91</v>
      </c>
      <c r="P532" s="57">
        <f>IFERROR(ROUND(SUM(S533)/I532, 2),0)</f>
        <v>2644.28</v>
      </c>
      <c r="Q532" s="57">
        <v>3081.43</v>
      </c>
      <c r="R532" s="57">
        <f>P532+ROUND(Q532, 2)</f>
        <v>5725.71</v>
      </c>
      <c r="S532" s="57">
        <f>ROUND(P532*I532, 2)</f>
        <v>39056.019999999997</v>
      </c>
      <c r="T532" s="57">
        <f>ROUND(I532*ROUND(Q532, 2), 2)</f>
        <v>45512.72</v>
      </c>
      <c r="U532" s="57">
        <f>S532+T532</f>
        <v>84568.739999999991</v>
      </c>
      <c r="V532" s="9">
        <f>ROUND(P532 / 1.2, 2)</f>
        <v>2203.5700000000002</v>
      </c>
      <c r="W532" s="9">
        <f>ROUND(Q532 / 1.2, 2)</f>
        <v>2567.86</v>
      </c>
      <c r="X532" s="9">
        <f>ROUND(R532 / 1.2, 2)</f>
        <v>4771.43</v>
      </c>
      <c r="Y532" s="9">
        <f t="shared" si="119"/>
        <v>32546.68</v>
      </c>
      <c r="Z532" s="9">
        <f>ROUND(T532 / 1.2, 2)</f>
        <v>37927.269999999997</v>
      </c>
      <c r="AA532" s="9">
        <f>Y532+Z532</f>
        <v>70473.95</v>
      </c>
      <c r="AD532" s="4">
        <v>320319876</v>
      </c>
      <c r="AE532" s="4">
        <v>28038745</v>
      </c>
      <c r="AG532" s="4" t="s">
        <v>474</v>
      </c>
      <c r="AH532" s="4" t="s">
        <v>475</v>
      </c>
      <c r="AI532" s="4" t="s">
        <v>338</v>
      </c>
    </row>
    <row r="533" spans="1:35" ht="18" x14ac:dyDescent="0.3">
      <c r="A533" s="53" t="s">
        <v>1521</v>
      </c>
      <c r="B533" s="53"/>
      <c r="C533" s="58" t="s">
        <v>478</v>
      </c>
      <c r="D533" s="55"/>
      <c r="E533" s="55"/>
      <c r="F533" s="59" t="s">
        <v>91</v>
      </c>
      <c r="G533" s="60">
        <v>1.02</v>
      </c>
      <c r="H533" s="55"/>
      <c r="I533" s="60">
        <v>15.065</v>
      </c>
      <c r="J533" s="61">
        <v>2592.5</v>
      </c>
      <c r="K533" s="51"/>
      <c r="L533" s="51"/>
      <c r="M533" s="61">
        <f>ROUND(ROUND(J533, 2)*I533, 2)</f>
        <v>39056.01</v>
      </c>
      <c r="N533" s="51"/>
      <c r="O533" s="51"/>
      <c r="P533" s="61">
        <v>2592.5</v>
      </c>
      <c r="Q533" s="51"/>
      <c r="R533" s="51"/>
      <c r="S533" s="61">
        <f>ROUND(ROUND(P533, 2)*I533, 2)</f>
        <v>39056.01</v>
      </c>
      <c r="T533" s="51"/>
      <c r="U533" s="62"/>
      <c r="V533" s="9">
        <f>ROUND(ROUND(P533, 2)/1.2, 2)</f>
        <v>2160.42</v>
      </c>
      <c r="Y533" s="9">
        <f t="shared" si="119"/>
        <v>32546.68</v>
      </c>
      <c r="AD533" s="4" t="s">
        <v>1522</v>
      </c>
      <c r="AE533" s="4" t="s">
        <v>1523</v>
      </c>
      <c r="AF533" s="4" t="s">
        <v>481</v>
      </c>
    </row>
    <row r="534" spans="1:35" ht="36" x14ac:dyDescent="0.3">
      <c r="A534" s="53" t="s">
        <v>1524</v>
      </c>
      <c r="B534" s="53" t="s">
        <v>471</v>
      </c>
      <c r="C534" s="54" t="s">
        <v>472</v>
      </c>
      <c r="D534" s="55"/>
      <c r="E534" s="55" t="s">
        <v>1525</v>
      </c>
      <c r="F534" s="55" t="s">
        <v>91</v>
      </c>
      <c r="G534" s="56">
        <v>1</v>
      </c>
      <c r="H534" s="55"/>
      <c r="I534" s="56">
        <v>520.76</v>
      </c>
      <c r="J534" s="57">
        <f>IFERROR(ROUND(SUM(M535)/I534, 2),0)</f>
        <v>2644.35</v>
      </c>
      <c r="K534" s="57">
        <v>2157</v>
      </c>
      <c r="L534" s="57">
        <f>J534+ROUND(K534, 2)</f>
        <v>4801.3500000000004</v>
      </c>
      <c r="M534" s="57">
        <f>ROUND(J534*I534, 2)</f>
        <v>1377071.71</v>
      </c>
      <c r="N534" s="57">
        <f>ROUND(I534*ROUND(K534, 2), 2)</f>
        <v>1123279.32</v>
      </c>
      <c r="O534" s="57">
        <f>M534+N534</f>
        <v>2500351.0300000003</v>
      </c>
      <c r="P534" s="57">
        <f>IFERROR(ROUND(SUM(S535)/I534, 2),0)</f>
        <v>2644.35</v>
      </c>
      <c r="Q534" s="57">
        <v>3081.43</v>
      </c>
      <c r="R534" s="57">
        <f>P534+ROUND(Q534, 2)</f>
        <v>5725.78</v>
      </c>
      <c r="S534" s="57">
        <f>ROUND(P534*I534, 2)</f>
        <v>1377071.71</v>
      </c>
      <c r="T534" s="57">
        <f>ROUND(I534*ROUND(Q534, 2), 2)</f>
        <v>1604685.49</v>
      </c>
      <c r="U534" s="57">
        <f>S534+T534</f>
        <v>2981757.2</v>
      </c>
      <c r="V534" s="9">
        <f>ROUND(P534 / 1.2, 2)</f>
        <v>2203.63</v>
      </c>
      <c r="W534" s="9">
        <f>ROUND(Q534 / 1.2, 2)</f>
        <v>2567.86</v>
      </c>
      <c r="X534" s="9">
        <f>ROUND(R534 / 1.2, 2)</f>
        <v>4771.4799999999996</v>
      </c>
      <c r="Y534" s="9">
        <f t="shared" si="119"/>
        <v>1147559.76</v>
      </c>
      <c r="Z534" s="9">
        <f>ROUND(T534 / 1.2, 2)</f>
        <v>1337237.9099999999</v>
      </c>
      <c r="AA534" s="9">
        <f>Y534+Z534</f>
        <v>2484797.67</v>
      </c>
      <c r="AD534" s="4">
        <v>320319929</v>
      </c>
      <c r="AE534" s="4">
        <v>28038740</v>
      </c>
      <c r="AG534" s="4" t="s">
        <v>474</v>
      </c>
      <c r="AH534" s="4" t="s">
        <v>475</v>
      </c>
      <c r="AI534" s="4" t="s">
        <v>338</v>
      </c>
    </row>
    <row r="535" spans="1:35" ht="18" x14ac:dyDescent="0.3">
      <c r="A535" s="53" t="s">
        <v>1526</v>
      </c>
      <c r="B535" s="53"/>
      <c r="C535" s="58" t="s">
        <v>478</v>
      </c>
      <c r="D535" s="55"/>
      <c r="E535" s="55"/>
      <c r="F535" s="59" t="s">
        <v>91</v>
      </c>
      <c r="G535" s="60">
        <v>1.02</v>
      </c>
      <c r="H535" s="55"/>
      <c r="I535" s="60">
        <v>531.17499999999995</v>
      </c>
      <c r="J535" s="61">
        <v>2592.5</v>
      </c>
      <c r="K535" s="51"/>
      <c r="L535" s="51"/>
      <c r="M535" s="61">
        <f>ROUND(ROUND(J535, 2)*I535, 2)</f>
        <v>1377071.19</v>
      </c>
      <c r="N535" s="51"/>
      <c r="O535" s="51"/>
      <c r="P535" s="61">
        <v>2592.5</v>
      </c>
      <c r="Q535" s="51"/>
      <c r="R535" s="51"/>
      <c r="S535" s="61">
        <f>ROUND(ROUND(P535, 2)*I535, 2)</f>
        <v>1377071.19</v>
      </c>
      <c r="T535" s="51"/>
      <c r="U535" s="62"/>
      <c r="V535" s="9">
        <f>ROUND(ROUND(P535, 2)/1.2, 2)</f>
        <v>2160.42</v>
      </c>
      <c r="Y535" s="9">
        <f t="shared" si="119"/>
        <v>1147559.33</v>
      </c>
      <c r="AD535" s="4" t="s">
        <v>1527</v>
      </c>
      <c r="AE535" s="4" t="s">
        <v>1528</v>
      </c>
      <c r="AF535" s="4" t="s">
        <v>481</v>
      </c>
    </row>
    <row r="536" spans="1:35" ht="36" x14ac:dyDescent="0.3">
      <c r="A536" s="53" t="s">
        <v>1529</v>
      </c>
      <c r="B536" s="53" t="s">
        <v>471</v>
      </c>
      <c r="C536" s="54" t="s">
        <v>472</v>
      </c>
      <c r="D536" s="55"/>
      <c r="E536" s="55" t="s">
        <v>1530</v>
      </c>
      <c r="F536" s="55" t="s">
        <v>91</v>
      </c>
      <c r="G536" s="56">
        <v>1</v>
      </c>
      <c r="H536" s="55"/>
      <c r="I536" s="56">
        <v>53.99</v>
      </c>
      <c r="J536" s="57">
        <f>IFERROR(ROUND(SUM(M537)/I536, 2),0)</f>
        <v>2644.36</v>
      </c>
      <c r="K536" s="57">
        <v>2157</v>
      </c>
      <c r="L536" s="57">
        <f>J536+ROUND(K536, 2)</f>
        <v>4801.3600000000006</v>
      </c>
      <c r="M536" s="57">
        <f>ROUND(J536*I536, 2)</f>
        <v>142769</v>
      </c>
      <c r="N536" s="57">
        <f>ROUND(I536*ROUND(K536, 2), 2)</f>
        <v>116456.43</v>
      </c>
      <c r="O536" s="57">
        <f>M536+N536</f>
        <v>259225.43</v>
      </c>
      <c r="P536" s="57">
        <f>IFERROR(ROUND(SUM(S537)/I536, 2),0)</f>
        <v>2644.36</v>
      </c>
      <c r="Q536" s="57">
        <v>3081.43</v>
      </c>
      <c r="R536" s="57">
        <f>P536+ROUND(Q536, 2)</f>
        <v>5725.79</v>
      </c>
      <c r="S536" s="57">
        <f>ROUND(P536*I536, 2)</f>
        <v>142769</v>
      </c>
      <c r="T536" s="57">
        <f>ROUND(I536*ROUND(Q536, 2), 2)</f>
        <v>166366.41</v>
      </c>
      <c r="U536" s="57">
        <f>S536+T536</f>
        <v>309135.41000000003</v>
      </c>
      <c r="V536" s="9">
        <f>ROUND(P536 / 1.2, 2)</f>
        <v>2203.63</v>
      </c>
      <c r="W536" s="9">
        <f>ROUND(Q536 / 1.2, 2)</f>
        <v>2567.86</v>
      </c>
      <c r="X536" s="9">
        <f>ROUND(R536 / 1.2, 2)</f>
        <v>4771.49</v>
      </c>
      <c r="Y536" s="9">
        <f t="shared" si="119"/>
        <v>118974.17</v>
      </c>
      <c r="Z536" s="9">
        <f>ROUND(T536 / 1.2, 2)</f>
        <v>138638.68</v>
      </c>
      <c r="AA536" s="9">
        <f>Y536+Z536</f>
        <v>257612.84999999998</v>
      </c>
      <c r="AD536" s="4">
        <v>320319930</v>
      </c>
      <c r="AE536" s="4">
        <v>28038743</v>
      </c>
      <c r="AG536" s="4" t="s">
        <v>474</v>
      </c>
      <c r="AH536" s="4" t="s">
        <v>475</v>
      </c>
      <c r="AI536" s="4" t="s">
        <v>338</v>
      </c>
    </row>
    <row r="537" spans="1:35" ht="18" x14ac:dyDescent="0.3">
      <c r="A537" s="53" t="s">
        <v>1531</v>
      </c>
      <c r="B537" s="53"/>
      <c r="C537" s="58" t="s">
        <v>478</v>
      </c>
      <c r="D537" s="55"/>
      <c r="E537" s="55"/>
      <c r="F537" s="59" t="s">
        <v>91</v>
      </c>
      <c r="G537" s="60">
        <v>1.02</v>
      </c>
      <c r="H537" s="55"/>
      <c r="I537" s="60">
        <v>55.07</v>
      </c>
      <c r="J537" s="61">
        <v>2592.5</v>
      </c>
      <c r="K537" s="51"/>
      <c r="L537" s="51"/>
      <c r="M537" s="61">
        <f>ROUND(ROUND(J537, 2)*I537, 2)</f>
        <v>142768.98000000001</v>
      </c>
      <c r="N537" s="51"/>
      <c r="O537" s="51"/>
      <c r="P537" s="61">
        <v>2592.5</v>
      </c>
      <c r="Q537" s="51"/>
      <c r="R537" s="51"/>
      <c r="S537" s="61">
        <f>ROUND(ROUND(P537, 2)*I537, 2)</f>
        <v>142768.98000000001</v>
      </c>
      <c r="T537" s="51"/>
      <c r="U537" s="62"/>
      <c r="V537" s="9">
        <f>ROUND(ROUND(P537, 2)/1.2, 2)</f>
        <v>2160.42</v>
      </c>
      <c r="Y537" s="9">
        <f t="shared" si="119"/>
        <v>118974.15</v>
      </c>
      <c r="AD537" s="4" t="s">
        <v>1532</v>
      </c>
      <c r="AE537" s="4" t="s">
        <v>1533</v>
      </c>
      <c r="AF537" s="4" t="s">
        <v>481</v>
      </c>
    </row>
    <row r="538" spans="1:35" ht="36" x14ac:dyDescent="0.3">
      <c r="A538" s="53" t="s">
        <v>1534</v>
      </c>
      <c r="B538" s="53" t="s">
        <v>471</v>
      </c>
      <c r="C538" s="54" t="s">
        <v>472</v>
      </c>
      <c r="D538" s="55"/>
      <c r="E538" s="55" t="s">
        <v>1535</v>
      </c>
      <c r="F538" s="55" t="s">
        <v>91</v>
      </c>
      <c r="G538" s="56">
        <v>1</v>
      </c>
      <c r="H538" s="55"/>
      <c r="I538" s="56">
        <v>2.71</v>
      </c>
      <c r="J538" s="57">
        <f>IFERROR(ROUND(SUM(M539)/I538, 2),0)</f>
        <v>2644.16</v>
      </c>
      <c r="K538" s="57">
        <v>2157</v>
      </c>
      <c r="L538" s="57">
        <f>J538+ROUND(K538, 2)</f>
        <v>4801.16</v>
      </c>
      <c r="M538" s="57">
        <f>ROUND(J538*I538, 2)</f>
        <v>7165.67</v>
      </c>
      <c r="N538" s="57">
        <f>ROUND(I538*ROUND(K538, 2), 2)</f>
        <v>5845.47</v>
      </c>
      <c r="O538" s="57">
        <f>M538+N538</f>
        <v>13011.14</v>
      </c>
      <c r="P538" s="57">
        <f>IFERROR(ROUND(SUM(S539)/I538, 2),0)</f>
        <v>2644.16</v>
      </c>
      <c r="Q538" s="57">
        <v>3081.43</v>
      </c>
      <c r="R538" s="57">
        <f>P538+ROUND(Q538, 2)</f>
        <v>5725.59</v>
      </c>
      <c r="S538" s="57">
        <f>ROUND(P538*I538, 2)</f>
        <v>7165.67</v>
      </c>
      <c r="T538" s="57">
        <f>ROUND(I538*ROUND(Q538, 2), 2)</f>
        <v>8350.68</v>
      </c>
      <c r="U538" s="57">
        <f>S538+T538</f>
        <v>15516.35</v>
      </c>
      <c r="V538" s="9">
        <f>ROUND(P538 / 1.2, 2)</f>
        <v>2203.4699999999998</v>
      </c>
      <c r="W538" s="9">
        <f>ROUND(Q538 / 1.2, 2)</f>
        <v>2567.86</v>
      </c>
      <c r="X538" s="9">
        <f>ROUND(R538 / 1.2, 2)</f>
        <v>4771.33</v>
      </c>
      <c r="Y538" s="9">
        <f t="shared" si="119"/>
        <v>5971.39</v>
      </c>
      <c r="Z538" s="9">
        <f>ROUND(T538 / 1.2, 2)</f>
        <v>6958.9</v>
      </c>
      <c r="AA538" s="9">
        <f>Y538+Z538</f>
        <v>12930.29</v>
      </c>
      <c r="AD538" s="4">
        <v>320319931</v>
      </c>
      <c r="AE538" s="4">
        <v>28038741</v>
      </c>
      <c r="AG538" s="4" t="s">
        <v>474</v>
      </c>
      <c r="AH538" s="4" t="s">
        <v>475</v>
      </c>
      <c r="AI538" s="4" t="s">
        <v>338</v>
      </c>
    </row>
    <row r="539" spans="1:35" ht="18" x14ac:dyDescent="0.3">
      <c r="A539" s="53" t="s">
        <v>1536</v>
      </c>
      <c r="B539" s="53"/>
      <c r="C539" s="58" t="s">
        <v>478</v>
      </c>
      <c r="D539" s="55"/>
      <c r="E539" s="55"/>
      <c r="F539" s="59" t="s">
        <v>91</v>
      </c>
      <c r="G539" s="60">
        <v>1.02</v>
      </c>
      <c r="H539" s="55"/>
      <c r="I539" s="60">
        <v>2.7639999999999998</v>
      </c>
      <c r="J539" s="61">
        <v>2592.5</v>
      </c>
      <c r="K539" s="51"/>
      <c r="L539" s="51"/>
      <c r="M539" s="61">
        <f>ROUND(ROUND(J539, 2)*I539, 2)</f>
        <v>7165.67</v>
      </c>
      <c r="N539" s="51"/>
      <c r="O539" s="51"/>
      <c r="P539" s="61">
        <v>2592.5</v>
      </c>
      <c r="Q539" s="51"/>
      <c r="R539" s="51"/>
      <c r="S539" s="61">
        <f>ROUND(ROUND(P539, 2)*I539, 2)</f>
        <v>7165.67</v>
      </c>
      <c r="T539" s="51"/>
      <c r="U539" s="62"/>
      <c r="V539" s="9">
        <f>ROUND(ROUND(P539, 2)/1.2, 2)</f>
        <v>2160.42</v>
      </c>
      <c r="Y539" s="9">
        <f t="shared" si="119"/>
        <v>5971.39</v>
      </c>
      <c r="AD539" s="4" t="s">
        <v>1537</v>
      </c>
      <c r="AE539" s="4" t="s">
        <v>1538</v>
      </c>
      <c r="AF539" s="4" t="s">
        <v>481</v>
      </c>
    </row>
    <row r="540" spans="1:35" ht="36" x14ac:dyDescent="0.3">
      <c r="A540" s="53" t="s">
        <v>1539</v>
      </c>
      <c r="B540" s="53" t="s">
        <v>471</v>
      </c>
      <c r="C540" s="54" t="s">
        <v>472</v>
      </c>
      <c r="D540" s="55"/>
      <c r="E540" s="55" t="s">
        <v>1540</v>
      </c>
      <c r="F540" s="55" t="s">
        <v>91</v>
      </c>
      <c r="G540" s="56">
        <v>1</v>
      </c>
      <c r="H540" s="55"/>
      <c r="I540" s="56">
        <v>159.52000000000001</v>
      </c>
      <c r="J540" s="57">
        <f>IFERROR(ROUND(SUM(M541)/I540, 2),0)</f>
        <v>2644.34</v>
      </c>
      <c r="K540" s="57">
        <v>2157</v>
      </c>
      <c r="L540" s="57">
        <f>J540+ROUND(K540, 2)</f>
        <v>4801.34</v>
      </c>
      <c r="M540" s="57">
        <f>ROUND(J540*I540, 2)</f>
        <v>421825.12</v>
      </c>
      <c r="N540" s="57">
        <f>ROUND(I540*ROUND(K540, 2), 2)</f>
        <v>344084.64</v>
      </c>
      <c r="O540" s="57">
        <f>M540+N540</f>
        <v>765909.76</v>
      </c>
      <c r="P540" s="57">
        <f>IFERROR(ROUND(SUM(S541)/I540, 2),0)</f>
        <v>2644.34</v>
      </c>
      <c r="Q540" s="57">
        <v>3081.43</v>
      </c>
      <c r="R540" s="57">
        <f>P540+ROUND(Q540, 2)</f>
        <v>5725.77</v>
      </c>
      <c r="S540" s="57">
        <f>ROUND(P540*I540, 2)</f>
        <v>421825.12</v>
      </c>
      <c r="T540" s="57">
        <f>ROUND(I540*ROUND(Q540, 2), 2)</f>
        <v>491549.71</v>
      </c>
      <c r="U540" s="57">
        <f>S540+T540</f>
        <v>913374.83000000007</v>
      </c>
      <c r="V540" s="9">
        <f>ROUND(P540 / 1.2, 2)</f>
        <v>2203.62</v>
      </c>
      <c r="W540" s="9">
        <f>ROUND(Q540 / 1.2, 2)</f>
        <v>2567.86</v>
      </c>
      <c r="X540" s="9">
        <f>ROUND(R540 / 1.2, 2)</f>
        <v>4771.4799999999996</v>
      </c>
      <c r="Y540" s="9">
        <f t="shared" si="119"/>
        <v>351520.93</v>
      </c>
      <c r="Z540" s="9">
        <f>ROUND(T540 / 1.2, 2)</f>
        <v>409624.76</v>
      </c>
      <c r="AA540" s="9">
        <f>Y540+Z540</f>
        <v>761145.69</v>
      </c>
      <c r="AD540" s="4">
        <v>320319932</v>
      </c>
      <c r="AE540" s="4">
        <v>28038747</v>
      </c>
      <c r="AG540" s="4" t="s">
        <v>474</v>
      </c>
      <c r="AH540" s="4" t="s">
        <v>475</v>
      </c>
      <c r="AI540" s="4" t="s">
        <v>338</v>
      </c>
    </row>
    <row r="541" spans="1:35" ht="18" x14ac:dyDescent="0.3">
      <c r="A541" s="53" t="s">
        <v>1541</v>
      </c>
      <c r="B541" s="53"/>
      <c r="C541" s="58" t="s">
        <v>478</v>
      </c>
      <c r="D541" s="55"/>
      <c r="E541" s="55"/>
      <c r="F541" s="59" t="s">
        <v>91</v>
      </c>
      <c r="G541" s="60">
        <v>1.02</v>
      </c>
      <c r="H541" s="55"/>
      <c r="I541" s="60">
        <v>162.71</v>
      </c>
      <c r="J541" s="61">
        <v>2592.5</v>
      </c>
      <c r="K541" s="51"/>
      <c r="L541" s="51"/>
      <c r="M541" s="61">
        <f>ROUND(ROUND(J541, 2)*I541, 2)</f>
        <v>421825.68</v>
      </c>
      <c r="N541" s="51"/>
      <c r="O541" s="51"/>
      <c r="P541" s="61">
        <v>2592.5</v>
      </c>
      <c r="Q541" s="51"/>
      <c r="R541" s="51"/>
      <c r="S541" s="61">
        <f>ROUND(ROUND(P541, 2)*I541, 2)</f>
        <v>421825.68</v>
      </c>
      <c r="T541" s="51"/>
      <c r="U541" s="62"/>
      <c r="V541" s="9">
        <f>ROUND(ROUND(P541, 2)/1.2, 2)</f>
        <v>2160.42</v>
      </c>
      <c r="Y541" s="9">
        <f t="shared" si="119"/>
        <v>351521.4</v>
      </c>
      <c r="AD541" s="4" t="s">
        <v>1542</v>
      </c>
      <c r="AE541" s="4" t="s">
        <v>1543</v>
      </c>
      <c r="AF541" s="4" t="s">
        <v>481</v>
      </c>
    </row>
    <row r="542" spans="1:35" ht="36" x14ac:dyDescent="0.3">
      <c r="A542" s="53" t="s">
        <v>1544</v>
      </c>
      <c r="B542" s="53" t="s">
        <v>471</v>
      </c>
      <c r="C542" s="54" t="s">
        <v>472</v>
      </c>
      <c r="D542" s="55"/>
      <c r="E542" s="55" t="s">
        <v>1545</v>
      </c>
      <c r="F542" s="55" t="s">
        <v>91</v>
      </c>
      <c r="G542" s="56">
        <v>1</v>
      </c>
      <c r="H542" s="55"/>
      <c r="I542" s="56">
        <v>6.57</v>
      </c>
      <c r="J542" s="57">
        <f>IFERROR(ROUND(SUM(M543)/I542, 2),0)</f>
        <v>2644.19</v>
      </c>
      <c r="K542" s="57">
        <v>2157</v>
      </c>
      <c r="L542" s="57">
        <f>J542+ROUND(K542, 2)</f>
        <v>4801.1900000000005</v>
      </c>
      <c r="M542" s="57">
        <f>ROUND(J542*I542, 2)</f>
        <v>17372.330000000002</v>
      </c>
      <c r="N542" s="57">
        <f>ROUND(I542*ROUND(K542, 2), 2)</f>
        <v>14171.49</v>
      </c>
      <c r="O542" s="57">
        <f>M542+N542</f>
        <v>31543.82</v>
      </c>
      <c r="P542" s="57">
        <f>IFERROR(ROUND(SUM(S543)/I542, 2),0)</f>
        <v>2644.19</v>
      </c>
      <c r="Q542" s="57">
        <v>3081.43</v>
      </c>
      <c r="R542" s="57">
        <f>P542+ROUND(Q542, 2)</f>
        <v>5725.62</v>
      </c>
      <c r="S542" s="57">
        <f>ROUND(P542*I542, 2)</f>
        <v>17372.330000000002</v>
      </c>
      <c r="T542" s="57">
        <f>ROUND(I542*ROUND(Q542, 2), 2)</f>
        <v>20245</v>
      </c>
      <c r="U542" s="57">
        <f>S542+T542</f>
        <v>37617.33</v>
      </c>
      <c r="V542" s="9">
        <f>ROUND(P542 / 1.2, 2)</f>
        <v>2203.4899999999998</v>
      </c>
      <c r="W542" s="9">
        <f>ROUND(Q542 / 1.2, 2)</f>
        <v>2567.86</v>
      </c>
      <c r="X542" s="9">
        <f>ROUND(R542 / 1.2, 2)</f>
        <v>4771.3500000000004</v>
      </c>
      <c r="Y542" s="9">
        <f t="shared" si="119"/>
        <v>14476.94</v>
      </c>
      <c r="Z542" s="9">
        <f>ROUND(T542 / 1.2, 2)</f>
        <v>16870.830000000002</v>
      </c>
      <c r="AA542" s="9">
        <f>Y542+Z542</f>
        <v>31347.770000000004</v>
      </c>
      <c r="AD542" s="4">
        <v>320319933</v>
      </c>
      <c r="AE542" s="4">
        <v>28038742</v>
      </c>
      <c r="AG542" s="4" t="s">
        <v>474</v>
      </c>
      <c r="AH542" s="4" t="s">
        <v>475</v>
      </c>
      <c r="AI542" s="4" t="s">
        <v>338</v>
      </c>
    </row>
    <row r="543" spans="1:35" ht="18" x14ac:dyDescent="0.3">
      <c r="A543" s="53" t="s">
        <v>1546</v>
      </c>
      <c r="B543" s="53"/>
      <c r="C543" s="58" t="s">
        <v>478</v>
      </c>
      <c r="D543" s="55"/>
      <c r="E543" s="55"/>
      <c r="F543" s="59" t="s">
        <v>91</v>
      </c>
      <c r="G543" s="60">
        <v>1.02</v>
      </c>
      <c r="H543" s="55"/>
      <c r="I543" s="60">
        <v>6.7009999999999996</v>
      </c>
      <c r="J543" s="61">
        <v>2592.5</v>
      </c>
      <c r="K543" s="51"/>
      <c r="L543" s="51"/>
      <c r="M543" s="61">
        <f>ROUND(ROUND(J543, 2)*I543, 2)</f>
        <v>17372.34</v>
      </c>
      <c r="N543" s="51"/>
      <c r="O543" s="51"/>
      <c r="P543" s="61">
        <v>2592.5</v>
      </c>
      <c r="Q543" s="51"/>
      <c r="R543" s="51"/>
      <c r="S543" s="61">
        <f>ROUND(ROUND(P543, 2)*I543, 2)</f>
        <v>17372.34</v>
      </c>
      <c r="T543" s="51"/>
      <c r="U543" s="62"/>
      <c r="V543" s="9">
        <f>ROUND(ROUND(P543, 2)/1.2, 2)</f>
        <v>2160.42</v>
      </c>
      <c r="Y543" s="9">
        <f t="shared" si="119"/>
        <v>14476.95</v>
      </c>
      <c r="AD543" s="4" t="s">
        <v>1547</v>
      </c>
      <c r="AE543" s="4" t="s">
        <v>1548</v>
      </c>
      <c r="AF543" s="4" t="s">
        <v>481</v>
      </c>
    </row>
    <row r="544" spans="1:35" ht="18" x14ac:dyDescent="0.3">
      <c r="A544" s="53" t="s">
        <v>1549</v>
      </c>
      <c r="B544" s="53" t="s">
        <v>525</v>
      </c>
      <c r="C544" s="54" t="s">
        <v>526</v>
      </c>
      <c r="D544" s="55"/>
      <c r="E544" s="55"/>
      <c r="F544" s="55" t="s">
        <v>91</v>
      </c>
      <c r="G544" s="56">
        <v>1</v>
      </c>
      <c r="H544" s="55"/>
      <c r="I544" s="56">
        <v>758.32</v>
      </c>
      <c r="J544" s="57">
        <f>IFERROR(ROUND(SUM(M545)/I544, 2),0)</f>
        <v>1716.75</v>
      </c>
      <c r="K544" s="57">
        <v>915</v>
      </c>
      <c r="L544" s="57">
        <f>J544+ROUND(K544, 2)</f>
        <v>2631.75</v>
      </c>
      <c r="M544" s="57">
        <f>ROUND(J544*I544, 2)</f>
        <v>1301845.8600000001</v>
      </c>
      <c r="N544" s="57">
        <f>ROUND(I544*ROUND(K544, 2), 2)</f>
        <v>693862.8</v>
      </c>
      <c r="O544" s="57">
        <f>M544+N544</f>
        <v>1995708.6600000001</v>
      </c>
      <c r="P544" s="57">
        <f>IFERROR(ROUND(SUM(S545)/I544, 2),0)</f>
        <v>1716.75</v>
      </c>
      <c r="Q544" s="57">
        <v>1307.1400000000001</v>
      </c>
      <c r="R544" s="57">
        <f>P544+ROUND(Q544, 2)</f>
        <v>3023.8900000000003</v>
      </c>
      <c r="S544" s="57">
        <f>ROUND(P544*I544, 2)</f>
        <v>1301845.8600000001</v>
      </c>
      <c r="T544" s="57">
        <f>ROUND(I544*ROUND(Q544, 2), 2)</f>
        <v>991230.4</v>
      </c>
      <c r="U544" s="57">
        <f>S544+T544</f>
        <v>2293076.2600000002</v>
      </c>
      <c r="V544" s="9">
        <f>ROUND(P544 / 1.2, 2)</f>
        <v>1430.63</v>
      </c>
      <c r="W544" s="9">
        <f>ROUND(Q544 / 1.2, 2)</f>
        <v>1089.28</v>
      </c>
      <c r="X544" s="9">
        <f>ROUND(R544 / 1.2, 2)</f>
        <v>2519.91</v>
      </c>
      <c r="Y544" s="9">
        <f t="shared" si="119"/>
        <v>1084871.55</v>
      </c>
      <c r="Z544" s="9">
        <f>ROUND(T544 / 1.2, 2)</f>
        <v>826025.33</v>
      </c>
      <c r="AA544" s="9">
        <f>Y544+Z544</f>
        <v>1910896.88</v>
      </c>
      <c r="AD544" s="4">
        <v>320319878</v>
      </c>
      <c r="AE544" s="4">
        <v>28038735</v>
      </c>
      <c r="AG544" s="4" t="s">
        <v>527</v>
      </c>
      <c r="AH544" s="4" t="s">
        <v>528</v>
      </c>
      <c r="AI544" s="4" t="s">
        <v>338</v>
      </c>
    </row>
    <row r="545" spans="1:35" ht="18" x14ac:dyDescent="0.3">
      <c r="A545" s="53" t="s">
        <v>1550</v>
      </c>
      <c r="B545" s="53"/>
      <c r="C545" s="58" t="s">
        <v>531</v>
      </c>
      <c r="D545" s="55"/>
      <c r="E545" s="55"/>
      <c r="F545" s="59" t="s">
        <v>364</v>
      </c>
      <c r="G545" s="60">
        <v>225</v>
      </c>
      <c r="H545" s="55"/>
      <c r="I545" s="60">
        <v>170622</v>
      </c>
      <c r="J545" s="61">
        <v>7.63</v>
      </c>
      <c r="K545" s="51"/>
      <c r="L545" s="51"/>
      <c r="M545" s="61">
        <f>ROUND(ROUND(J545, 2)*I545, 2)</f>
        <v>1301845.8600000001</v>
      </c>
      <c r="N545" s="51"/>
      <c r="O545" s="51"/>
      <c r="P545" s="61">
        <v>7.63</v>
      </c>
      <c r="Q545" s="51"/>
      <c r="R545" s="51"/>
      <c r="S545" s="61">
        <f>ROUND(ROUND(P545, 2)*I545, 2)</f>
        <v>1301845.8600000001</v>
      </c>
      <c r="T545" s="51"/>
      <c r="U545" s="62"/>
      <c r="V545" s="9">
        <f>ROUND(ROUND(P545, 2)/1.2, 2)</f>
        <v>6.36</v>
      </c>
      <c r="Y545" s="9">
        <f t="shared" si="119"/>
        <v>1084871.55</v>
      </c>
      <c r="AD545" s="4" t="s">
        <v>1551</v>
      </c>
      <c r="AE545" s="4" t="s">
        <v>1552</v>
      </c>
      <c r="AF545" s="4" t="s">
        <v>534</v>
      </c>
    </row>
    <row r="546" spans="1:35" ht="16.95" customHeight="1" x14ac:dyDescent="0.3">
      <c r="A546" s="53" t="s">
        <v>1553</v>
      </c>
      <c r="B546" s="53" t="s">
        <v>538</v>
      </c>
      <c r="C546" s="243" t="s">
        <v>539</v>
      </c>
      <c r="D546" s="244"/>
      <c r="E546" s="244"/>
      <c r="F546" s="244"/>
      <c r="G546" s="244"/>
      <c r="H546" s="244"/>
      <c r="I546" s="245"/>
      <c r="J546" s="51"/>
      <c r="K546" s="51"/>
      <c r="L546" s="51"/>
      <c r="M546" s="52">
        <f>SUM(M547,M552,M557,M560,M565,M570,M575,M580,M585,M590,M595)</f>
        <v>25008201.59</v>
      </c>
      <c r="N546" s="52">
        <f>SUM(N547,N552,N557,N560,N565,N570,N575,N580,N585,N590,N595)</f>
        <v>20057309.34</v>
      </c>
      <c r="O546" s="52">
        <f>SUM(O547,O552,O557,O560,O565,O570,O575,O580,O585,O590,O595)</f>
        <v>45065510.930000007</v>
      </c>
      <c r="P546" s="51"/>
      <c r="Q546" s="51"/>
      <c r="R546" s="51"/>
      <c r="S546" s="52">
        <f>SUM(S547,S552,S557,S560,S565,S570,S575,S580,S585,S590,S595)</f>
        <v>28396003.32</v>
      </c>
      <c r="T546" s="52">
        <f>SUM(T547,T552,T557,T560,T565,T570,T575,T580,T585,T590,T595)</f>
        <v>28653311.940000001</v>
      </c>
      <c r="U546" s="52">
        <f>SUM(U547,U552,U557,U560,U565,U570,U575,U580,U585,U590,U595)</f>
        <v>57049315.259999998</v>
      </c>
      <c r="Y546" s="9">
        <f>SUM(Y547,Y552,Y557,Y560,Y565,Y570,Y575,Y580,Y585,Y590,Y595)</f>
        <v>23663336.100000001</v>
      </c>
      <c r="Z546" s="9">
        <f>SUM(Z547,Z552,Z557,Z560,Z565,Z570,Z575,Z580,Z585,Z590,Z595)</f>
        <v>23877759.969999999</v>
      </c>
      <c r="AA546" s="9">
        <f>SUM(AA547,AA552,AA557,AA560,AA565,AA570,AA575,AA580,AA585,AA590,AA595)</f>
        <v>47541096.07</v>
      </c>
      <c r="AD546" s="4">
        <v>320319879</v>
      </c>
      <c r="AE546" s="4">
        <v>28039392</v>
      </c>
    </row>
    <row r="547" spans="1:35" ht="36" x14ac:dyDescent="0.3">
      <c r="A547" s="53" t="s">
        <v>1554</v>
      </c>
      <c r="B547" s="53" t="s">
        <v>541</v>
      </c>
      <c r="C547" s="54" t="s">
        <v>542</v>
      </c>
      <c r="D547" s="55" t="s">
        <v>543</v>
      </c>
      <c r="E547" s="55" t="s">
        <v>1555</v>
      </c>
      <c r="F547" s="55" t="s">
        <v>61</v>
      </c>
      <c r="G547" s="56">
        <v>1</v>
      </c>
      <c r="H547" s="55"/>
      <c r="I547" s="56">
        <v>427.37</v>
      </c>
      <c r="J547" s="57">
        <f>IFERROR(ROUND(SUM(M548,M549,M550,M551)/I547, 2),0)</f>
        <v>129.38</v>
      </c>
      <c r="K547" s="57">
        <v>556</v>
      </c>
      <c r="L547" s="57">
        <f>J547+ROUND(K547, 2)</f>
        <v>685.38</v>
      </c>
      <c r="M547" s="57">
        <f>ROUND(J547*I547, 2)</f>
        <v>55293.13</v>
      </c>
      <c r="N547" s="57">
        <f>ROUND(I547*ROUND(K547, 2), 2)</f>
        <v>237617.72</v>
      </c>
      <c r="O547" s="57">
        <f>M547+N547</f>
        <v>292910.84999999998</v>
      </c>
      <c r="P547" s="57">
        <f>IFERROR(ROUND(SUM(S548,S549,S550,S551)/I547, 2),0)</f>
        <v>5417.78</v>
      </c>
      <c r="Q547" s="57">
        <v>794.29</v>
      </c>
      <c r="R547" s="57">
        <f>P547+ROUND(Q547, 2)</f>
        <v>6212.07</v>
      </c>
      <c r="S547" s="57">
        <f>ROUND(P547*I547, 2)</f>
        <v>2315396.64</v>
      </c>
      <c r="T547" s="57">
        <f>ROUND(I547*ROUND(Q547, 2), 2)</f>
        <v>339455.72</v>
      </c>
      <c r="U547" s="57">
        <f>S547+T547</f>
        <v>2654852.3600000003</v>
      </c>
      <c r="V547" s="9">
        <f>ROUND(P547 / 1.2, 2)</f>
        <v>4514.82</v>
      </c>
      <c r="W547" s="9">
        <f>ROUND(Q547 / 1.2, 2)</f>
        <v>661.91</v>
      </c>
      <c r="X547" s="9">
        <f>ROUND(R547 / 1.2, 2)</f>
        <v>5176.7299999999996</v>
      </c>
      <c r="Y547" s="9">
        <f>ROUND(S547 / 1.2, 2)</f>
        <v>1929497.2</v>
      </c>
      <c r="Z547" s="9">
        <f>ROUND(T547 / 1.2, 2)</f>
        <v>282879.77</v>
      </c>
      <c r="AA547" s="9">
        <f>Y547+Z547</f>
        <v>2212376.9699999997</v>
      </c>
      <c r="AD547" s="4">
        <v>320319881</v>
      </c>
      <c r="AE547" s="4">
        <v>28039399</v>
      </c>
      <c r="AG547" s="4" t="s">
        <v>545</v>
      </c>
      <c r="AH547" s="4" t="s">
        <v>546</v>
      </c>
      <c r="AI547" s="4" t="s">
        <v>338</v>
      </c>
    </row>
    <row r="548" spans="1:35" ht="18" x14ac:dyDescent="0.3">
      <c r="A548" s="53" t="s">
        <v>1556</v>
      </c>
      <c r="B548" s="53"/>
      <c r="C548" s="58" t="s">
        <v>549</v>
      </c>
      <c r="D548" s="55"/>
      <c r="E548" s="55" t="s">
        <v>550</v>
      </c>
      <c r="F548" s="59" t="s">
        <v>364</v>
      </c>
      <c r="G548" s="60">
        <v>0.3</v>
      </c>
      <c r="H548" s="55"/>
      <c r="I548" s="60">
        <v>128.21100000000001</v>
      </c>
      <c r="J548" s="61">
        <v>223.66</v>
      </c>
      <c r="K548" s="51"/>
      <c r="L548" s="51"/>
      <c r="M548" s="61">
        <f>ROUND(ROUND(J548, 2)*I548, 2)</f>
        <v>28675.67</v>
      </c>
      <c r="N548" s="51"/>
      <c r="O548" s="51"/>
      <c r="P548" s="61">
        <v>545</v>
      </c>
      <c r="Q548" s="51"/>
      <c r="R548" s="51"/>
      <c r="S548" s="61">
        <f>ROUND(ROUND(P548, 2)*I548, 2)</f>
        <v>69875</v>
      </c>
      <c r="T548" s="51"/>
      <c r="U548" s="62"/>
      <c r="V548" s="9">
        <f>ROUND(ROUND(P548, 2)/1.2, 2)</f>
        <v>454.17</v>
      </c>
      <c r="Y548" s="9">
        <f t="shared" ref="Y548:Y579" si="120">ROUND(S548 / 1.2, 2)</f>
        <v>58229.17</v>
      </c>
      <c r="AD548" s="4" t="s">
        <v>1557</v>
      </c>
      <c r="AE548" s="4" t="s">
        <v>1558</v>
      </c>
      <c r="AF548" s="4" t="s">
        <v>553</v>
      </c>
    </row>
    <row r="549" spans="1:35" ht="36" x14ac:dyDescent="0.3">
      <c r="A549" s="53" t="s">
        <v>1559</v>
      </c>
      <c r="B549" s="53"/>
      <c r="C549" s="58" t="s">
        <v>557</v>
      </c>
      <c r="D549" s="55"/>
      <c r="E549" s="55"/>
      <c r="F549" s="59" t="s">
        <v>364</v>
      </c>
      <c r="G549" s="60">
        <v>0.15</v>
      </c>
      <c r="H549" s="55"/>
      <c r="I549" s="60">
        <v>64.105999999999995</v>
      </c>
      <c r="J549" s="61">
        <v>69.540000000000006</v>
      </c>
      <c r="K549" s="51"/>
      <c r="L549" s="51"/>
      <c r="M549" s="61">
        <f>ROUND(ROUND(J549, 2)*I549, 2)</f>
        <v>4457.93</v>
      </c>
      <c r="N549" s="51"/>
      <c r="O549" s="51"/>
      <c r="P549" s="61">
        <v>69.540000000000006</v>
      </c>
      <c r="Q549" s="51"/>
      <c r="R549" s="51"/>
      <c r="S549" s="61">
        <f>ROUND(ROUND(P549, 2)*I549, 2)</f>
        <v>4457.93</v>
      </c>
      <c r="T549" s="51"/>
      <c r="U549" s="62"/>
      <c r="V549" s="9">
        <f>ROUND(ROUND(P549, 2)/1.2, 2)</f>
        <v>57.95</v>
      </c>
      <c r="Y549" s="9">
        <f t="shared" si="120"/>
        <v>3714.94</v>
      </c>
      <c r="AD549" s="4" t="s">
        <v>1560</v>
      </c>
      <c r="AE549" s="4" t="s">
        <v>1561</v>
      </c>
      <c r="AF549" s="4" t="s">
        <v>560</v>
      </c>
    </row>
    <row r="550" spans="1:35" ht="72" x14ac:dyDescent="0.3">
      <c r="A550" s="53" t="s">
        <v>1562</v>
      </c>
      <c r="B550" s="53"/>
      <c r="C550" s="47" t="s">
        <v>564</v>
      </c>
      <c r="D550" s="55"/>
      <c r="E550" s="55"/>
      <c r="F550" s="59" t="s">
        <v>76</v>
      </c>
      <c r="G550" s="60">
        <v>1</v>
      </c>
      <c r="H550" s="55"/>
      <c r="I550" s="63">
        <v>427.37</v>
      </c>
      <c r="J550" s="61">
        <v>51.85</v>
      </c>
      <c r="K550" s="51"/>
      <c r="L550" s="51"/>
      <c r="M550" s="61">
        <f>ROUND(ROUND(J550, 2)*I550, 2)</f>
        <v>22159.13</v>
      </c>
      <c r="N550" s="51"/>
      <c r="O550" s="51"/>
      <c r="P550" s="61">
        <v>51.85</v>
      </c>
      <c r="Q550" s="51"/>
      <c r="R550" s="51"/>
      <c r="S550" s="61">
        <f>ROUND(ROUND(P550, 2)*I550, 2)</f>
        <v>22159.13</v>
      </c>
      <c r="T550" s="51"/>
      <c r="U550" s="62"/>
      <c r="V550" s="9">
        <f>ROUND(ROUND(P550, 2)/1.2, 2)</f>
        <v>43.21</v>
      </c>
      <c r="Y550" s="9">
        <f t="shared" si="120"/>
        <v>18465.939999999999</v>
      </c>
      <c r="AD550" s="4" t="s">
        <v>1563</v>
      </c>
      <c r="AE550" s="4" t="s">
        <v>1564</v>
      </c>
      <c r="AF550" s="4" t="s">
        <v>567</v>
      </c>
    </row>
    <row r="551" spans="1:35" ht="54" x14ac:dyDescent="0.3">
      <c r="A551" s="53" t="s">
        <v>1565</v>
      </c>
      <c r="B551" s="53"/>
      <c r="C551" s="58" t="s">
        <v>571</v>
      </c>
      <c r="D551" s="55"/>
      <c r="E551" s="55" t="s">
        <v>572</v>
      </c>
      <c r="F551" s="59" t="s">
        <v>61</v>
      </c>
      <c r="G551" s="60">
        <v>1.1000000000000001</v>
      </c>
      <c r="H551" s="55"/>
      <c r="I551" s="63">
        <v>470.10700000000003</v>
      </c>
      <c r="J551" s="61">
        <v>0</v>
      </c>
      <c r="K551" s="51"/>
      <c r="L551" s="51"/>
      <c r="M551" s="61">
        <f>ROUND(ROUND(J551, 2)*I551, 2)</f>
        <v>0</v>
      </c>
      <c r="N551" s="51"/>
      <c r="O551" s="51"/>
      <c r="P551" s="61">
        <v>4720</v>
      </c>
      <c r="Q551" s="51"/>
      <c r="R551" s="51"/>
      <c r="S551" s="61">
        <f>ROUND(ROUND(P551, 2)*I551, 2)</f>
        <v>2218905.04</v>
      </c>
      <c r="T551" s="51"/>
      <c r="U551" s="62"/>
      <c r="V551" s="9">
        <f>ROUND(ROUND(P551, 2)/1.2, 2)</f>
        <v>3933.33</v>
      </c>
      <c r="Y551" s="9">
        <f t="shared" si="120"/>
        <v>1849087.53</v>
      </c>
      <c r="AD551" s="4" t="s">
        <v>1566</v>
      </c>
      <c r="AE551" s="4" t="s">
        <v>1567</v>
      </c>
      <c r="AF551" s="4" t="s">
        <v>575</v>
      </c>
    </row>
    <row r="552" spans="1:35" ht="18" x14ac:dyDescent="0.3">
      <c r="A552" s="53" t="s">
        <v>1568</v>
      </c>
      <c r="B552" s="53" t="s">
        <v>541</v>
      </c>
      <c r="C552" s="54" t="s">
        <v>542</v>
      </c>
      <c r="D552" s="55" t="s">
        <v>543</v>
      </c>
      <c r="E552" s="55" t="s">
        <v>579</v>
      </c>
      <c r="F552" s="55" t="s">
        <v>61</v>
      </c>
      <c r="G552" s="56">
        <v>1</v>
      </c>
      <c r="H552" s="55"/>
      <c r="I552" s="56">
        <v>156.31</v>
      </c>
      <c r="J552" s="57">
        <f>IFERROR(ROUND(SUM(M553,M554,M555,M556)/I552, 2),0)</f>
        <v>129.38</v>
      </c>
      <c r="K552" s="57">
        <v>556</v>
      </c>
      <c r="L552" s="57">
        <f>J552+ROUND(K552, 2)</f>
        <v>685.38</v>
      </c>
      <c r="M552" s="57">
        <f>ROUND(J552*I552, 2)</f>
        <v>20223.39</v>
      </c>
      <c r="N552" s="57">
        <f>ROUND(I552*ROUND(K552, 2), 2)</f>
        <v>86908.36</v>
      </c>
      <c r="O552" s="57">
        <f>M552+N552</f>
        <v>107131.75</v>
      </c>
      <c r="P552" s="57">
        <f>IFERROR(ROUND(SUM(S553,S554,S555,S556)/I552, 2),0)</f>
        <v>5321.38</v>
      </c>
      <c r="Q552" s="57">
        <v>794.29</v>
      </c>
      <c r="R552" s="57">
        <f>P552+ROUND(Q552, 2)</f>
        <v>6115.67</v>
      </c>
      <c r="S552" s="57">
        <f>ROUND(P552*I552, 2)</f>
        <v>831784.91</v>
      </c>
      <c r="T552" s="57">
        <f>ROUND(I552*ROUND(Q552, 2), 2)</f>
        <v>124155.47</v>
      </c>
      <c r="U552" s="57">
        <f>S552+T552</f>
        <v>955940.38</v>
      </c>
      <c r="V552" s="9">
        <f>ROUND(P552 / 1.2, 2)</f>
        <v>4434.4799999999996</v>
      </c>
      <c r="W552" s="9">
        <f>ROUND(Q552 / 1.2, 2)</f>
        <v>661.91</v>
      </c>
      <c r="X552" s="9">
        <f>ROUND(R552 / 1.2, 2)</f>
        <v>5096.3900000000003</v>
      </c>
      <c r="Y552" s="9">
        <f t="shared" si="120"/>
        <v>693154.09</v>
      </c>
      <c r="Z552" s="9">
        <f>ROUND(T552 / 1.2, 2)</f>
        <v>103462.89</v>
      </c>
      <c r="AA552" s="9">
        <f>Y552+Z552</f>
        <v>796616.98</v>
      </c>
      <c r="AD552" s="4">
        <v>320319934</v>
      </c>
      <c r="AE552" s="4">
        <v>28039398</v>
      </c>
      <c r="AG552" s="4" t="s">
        <v>545</v>
      </c>
      <c r="AH552" s="4" t="s">
        <v>546</v>
      </c>
      <c r="AI552" s="4" t="s">
        <v>338</v>
      </c>
    </row>
    <row r="553" spans="1:35" ht="54" x14ac:dyDescent="0.3">
      <c r="A553" s="53" t="s">
        <v>1569</v>
      </c>
      <c r="B553" s="53"/>
      <c r="C553" s="58" t="s">
        <v>571</v>
      </c>
      <c r="D553" s="55"/>
      <c r="E553" s="55" t="s">
        <v>582</v>
      </c>
      <c r="F553" s="59" t="s">
        <v>61</v>
      </c>
      <c r="G553" s="60">
        <v>1.1000000000000001</v>
      </c>
      <c r="H553" s="55"/>
      <c r="I553" s="63">
        <v>171.941</v>
      </c>
      <c r="J553" s="61">
        <v>0</v>
      </c>
      <c r="K553" s="51"/>
      <c r="L553" s="51"/>
      <c r="M553" s="61">
        <f>ROUND(ROUND(J553, 2)*I553, 2)</f>
        <v>0</v>
      </c>
      <c r="N553" s="51"/>
      <c r="O553" s="51"/>
      <c r="P553" s="61">
        <v>4720</v>
      </c>
      <c r="Q553" s="51"/>
      <c r="R553" s="51"/>
      <c r="S553" s="61">
        <f>ROUND(ROUND(P553, 2)*I553, 2)</f>
        <v>811561.52</v>
      </c>
      <c r="T553" s="51"/>
      <c r="U553" s="62"/>
      <c r="V553" s="9">
        <f>ROUND(ROUND(P553, 2)/1.2, 2)</f>
        <v>3933.33</v>
      </c>
      <c r="Y553" s="9">
        <f t="shared" si="120"/>
        <v>676301.27</v>
      </c>
      <c r="AD553" s="4" t="s">
        <v>1570</v>
      </c>
      <c r="AE553" s="4" t="s">
        <v>1571</v>
      </c>
      <c r="AF553" s="4" t="s">
        <v>575</v>
      </c>
    </row>
    <row r="554" spans="1:35" ht="72" x14ac:dyDescent="0.3">
      <c r="A554" s="53" t="s">
        <v>1572</v>
      </c>
      <c r="B554" s="53"/>
      <c r="C554" s="47" t="s">
        <v>564</v>
      </c>
      <c r="D554" s="55"/>
      <c r="E554" s="55"/>
      <c r="F554" s="59" t="s">
        <v>76</v>
      </c>
      <c r="G554" s="60">
        <v>1</v>
      </c>
      <c r="H554" s="55"/>
      <c r="I554" s="63">
        <v>156.31</v>
      </c>
      <c r="J554" s="61">
        <v>51.85</v>
      </c>
      <c r="K554" s="51"/>
      <c r="L554" s="51"/>
      <c r="M554" s="61">
        <f>ROUND(ROUND(J554, 2)*I554, 2)</f>
        <v>8104.67</v>
      </c>
      <c r="N554" s="51"/>
      <c r="O554" s="51"/>
      <c r="P554" s="61">
        <v>51.85</v>
      </c>
      <c r="Q554" s="51"/>
      <c r="R554" s="51"/>
      <c r="S554" s="61">
        <f>ROUND(ROUND(P554, 2)*I554, 2)</f>
        <v>8104.67</v>
      </c>
      <c r="T554" s="51"/>
      <c r="U554" s="62"/>
      <c r="V554" s="9">
        <f>ROUND(ROUND(P554, 2)/1.2, 2)</f>
        <v>43.21</v>
      </c>
      <c r="Y554" s="9">
        <f t="shared" si="120"/>
        <v>6753.89</v>
      </c>
      <c r="AD554" s="4" t="s">
        <v>1573</v>
      </c>
      <c r="AE554" s="4" t="s">
        <v>1574</v>
      </c>
      <c r="AF554" s="4" t="s">
        <v>567</v>
      </c>
    </row>
    <row r="555" spans="1:35" ht="36" x14ac:dyDescent="0.3">
      <c r="A555" s="53" t="s">
        <v>1575</v>
      </c>
      <c r="B555" s="53"/>
      <c r="C555" s="58" t="s">
        <v>557</v>
      </c>
      <c r="D555" s="55"/>
      <c r="E555" s="55"/>
      <c r="F555" s="59" t="s">
        <v>364</v>
      </c>
      <c r="G555" s="60">
        <v>0.15</v>
      </c>
      <c r="H555" s="55"/>
      <c r="I555" s="60">
        <v>23.446999999999999</v>
      </c>
      <c r="J555" s="61">
        <v>69.540000000000006</v>
      </c>
      <c r="K555" s="51"/>
      <c r="L555" s="51"/>
      <c r="M555" s="61">
        <f>ROUND(ROUND(J555, 2)*I555, 2)</f>
        <v>1630.5</v>
      </c>
      <c r="N555" s="51"/>
      <c r="O555" s="51"/>
      <c r="P555" s="61">
        <v>69.540000000000006</v>
      </c>
      <c r="Q555" s="51"/>
      <c r="R555" s="51"/>
      <c r="S555" s="61">
        <f>ROUND(ROUND(P555, 2)*I555, 2)</f>
        <v>1630.5</v>
      </c>
      <c r="T555" s="51"/>
      <c r="U555" s="62"/>
      <c r="V555" s="9">
        <f>ROUND(ROUND(P555, 2)/1.2, 2)</f>
        <v>57.95</v>
      </c>
      <c r="Y555" s="9">
        <f t="shared" si="120"/>
        <v>1358.75</v>
      </c>
      <c r="AD555" s="4" t="s">
        <v>1576</v>
      </c>
      <c r="AE555" s="4" t="s">
        <v>1577</v>
      </c>
      <c r="AF555" s="4" t="s">
        <v>560</v>
      </c>
    </row>
    <row r="556" spans="1:35" ht="18" x14ac:dyDescent="0.3">
      <c r="A556" s="53" t="s">
        <v>1578</v>
      </c>
      <c r="B556" s="53"/>
      <c r="C556" s="58" t="s">
        <v>549</v>
      </c>
      <c r="D556" s="55"/>
      <c r="E556" s="55" t="s">
        <v>550</v>
      </c>
      <c r="F556" s="59" t="s">
        <v>364</v>
      </c>
      <c r="G556" s="60">
        <v>0.3</v>
      </c>
      <c r="H556" s="55"/>
      <c r="I556" s="60">
        <v>46.893000000000001</v>
      </c>
      <c r="J556" s="61">
        <v>223.66</v>
      </c>
      <c r="K556" s="51"/>
      <c r="L556" s="51"/>
      <c r="M556" s="61">
        <f>ROUND(ROUND(J556, 2)*I556, 2)</f>
        <v>10488.09</v>
      </c>
      <c r="N556" s="51"/>
      <c r="O556" s="51"/>
      <c r="P556" s="61">
        <v>223.66</v>
      </c>
      <c r="Q556" s="51"/>
      <c r="R556" s="51"/>
      <c r="S556" s="61">
        <f>ROUND(ROUND(P556, 2)*I556, 2)</f>
        <v>10488.09</v>
      </c>
      <c r="T556" s="51"/>
      <c r="U556" s="62"/>
      <c r="V556" s="9">
        <f>ROUND(ROUND(P556, 2)/1.2, 2)</f>
        <v>186.38</v>
      </c>
      <c r="Y556" s="9">
        <f t="shared" si="120"/>
        <v>8740.08</v>
      </c>
      <c r="AD556" s="4" t="s">
        <v>1579</v>
      </c>
      <c r="AE556" s="4" t="s">
        <v>1580</v>
      </c>
      <c r="AF556" s="4" t="s">
        <v>553</v>
      </c>
    </row>
    <row r="557" spans="1:35" ht="72" x14ac:dyDescent="0.3">
      <c r="A557" s="53" t="s">
        <v>1581</v>
      </c>
      <c r="B557" s="53" t="s">
        <v>598</v>
      </c>
      <c r="C557" s="54" t="s">
        <v>599</v>
      </c>
      <c r="D557" s="55"/>
      <c r="E557" s="55" t="s">
        <v>1582</v>
      </c>
      <c r="F557" s="55" t="s">
        <v>76</v>
      </c>
      <c r="G557" s="56">
        <v>1</v>
      </c>
      <c r="H557" s="55"/>
      <c r="I557" s="56">
        <v>544.5</v>
      </c>
      <c r="J557" s="57">
        <f>IFERROR(ROUND(SUM(M558,M559)/I557, 2),0)</f>
        <v>0</v>
      </c>
      <c r="K557" s="57">
        <v>201</v>
      </c>
      <c r="L557" s="57">
        <f>J557+ROUND(K557, 2)</f>
        <v>201</v>
      </c>
      <c r="M557" s="57">
        <f>ROUND(J557*I557, 2)</f>
        <v>0</v>
      </c>
      <c r="N557" s="57">
        <f>ROUND(I557*ROUND(K557, 2), 2)</f>
        <v>109444.5</v>
      </c>
      <c r="O557" s="57">
        <f>M557+N557</f>
        <v>109444.5</v>
      </c>
      <c r="P557" s="57">
        <f>IFERROR(ROUND(SUM(S558,S559)/I557, 2),0)</f>
        <v>580.6</v>
      </c>
      <c r="Q557" s="57">
        <v>287.14</v>
      </c>
      <c r="R557" s="57">
        <f>P557+ROUND(Q557, 2)</f>
        <v>867.74</v>
      </c>
      <c r="S557" s="57">
        <f>ROUND(P557*I557, 2)</f>
        <v>316136.7</v>
      </c>
      <c r="T557" s="57">
        <f>ROUND(I557*ROUND(Q557, 2), 2)</f>
        <v>156347.73000000001</v>
      </c>
      <c r="U557" s="57">
        <f>S557+T557</f>
        <v>472484.43000000005</v>
      </c>
      <c r="V557" s="9">
        <f>ROUND(P557 / 1.2, 2)</f>
        <v>483.83</v>
      </c>
      <c r="W557" s="9">
        <f>ROUND(Q557 / 1.2, 2)</f>
        <v>239.28</v>
      </c>
      <c r="X557" s="9">
        <f>ROUND(R557 / 1.2, 2)</f>
        <v>723.12</v>
      </c>
      <c r="Y557" s="9">
        <f t="shared" si="120"/>
        <v>263447.25</v>
      </c>
      <c r="Z557" s="9">
        <f>ROUND(T557 / 1.2, 2)</f>
        <v>130289.78</v>
      </c>
      <c r="AA557" s="9">
        <f>Y557+Z557</f>
        <v>393737.03</v>
      </c>
      <c r="AD557" s="4">
        <v>320319883</v>
      </c>
      <c r="AE557" s="4">
        <v>28040197</v>
      </c>
      <c r="AG557" s="4" t="s">
        <v>601</v>
      </c>
      <c r="AH557" s="4" t="s">
        <v>602</v>
      </c>
      <c r="AI557" s="4" t="s">
        <v>338</v>
      </c>
    </row>
    <row r="558" spans="1:35" ht="54" x14ac:dyDescent="0.3">
      <c r="A558" s="53" t="s">
        <v>1583</v>
      </c>
      <c r="B558" s="53"/>
      <c r="C558" s="58" t="s">
        <v>605</v>
      </c>
      <c r="D558" s="55"/>
      <c r="E558" s="55"/>
      <c r="F558" s="59" t="s">
        <v>76</v>
      </c>
      <c r="G558" s="60">
        <v>1.1000000000000001</v>
      </c>
      <c r="H558" s="55"/>
      <c r="I558" s="60">
        <v>598.95000000000005</v>
      </c>
      <c r="J558" s="61">
        <v>0</v>
      </c>
      <c r="K558" s="51"/>
      <c r="L558" s="51"/>
      <c r="M558" s="61">
        <f>ROUND(ROUND(J558, 2)*I558, 2)</f>
        <v>0</v>
      </c>
      <c r="N558" s="51"/>
      <c r="O558" s="51"/>
      <c r="P558" s="61">
        <v>378.5</v>
      </c>
      <c r="Q558" s="51"/>
      <c r="R558" s="51"/>
      <c r="S558" s="61">
        <f>ROUND(ROUND(P558, 2)*I558, 2)</f>
        <v>226702.58</v>
      </c>
      <c r="T558" s="51"/>
      <c r="U558" s="62"/>
      <c r="V558" s="9">
        <f>ROUND(ROUND(P558, 2)/1.2, 2)</f>
        <v>315.42</v>
      </c>
      <c r="Y558" s="9">
        <f t="shared" si="120"/>
        <v>188918.82</v>
      </c>
      <c r="AD558" s="4" t="s">
        <v>1584</v>
      </c>
      <c r="AE558" s="4" t="s">
        <v>1585</v>
      </c>
      <c r="AF558" s="4" t="s">
        <v>608</v>
      </c>
    </row>
    <row r="559" spans="1:35" ht="36" x14ac:dyDescent="0.3">
      <c r="A559" s="53" t="s">
        <v>1586</v>
      </c>
      <c r="B559" s="53"/>
      <c r="C559" s="58" t="s">
        <v>612</v>
      </c>
      <c r="D559" s="55"/>
      <c r="E559" s="55"/>
      <c r="F559" s="59" t="s">
        <v>356</v>
      </c>
      <c r="G559" s="60">
        <v>1</v>
      </c>
      <c r="H559" s="55"/>
      <c r="I559" s="63">
        <v>1635</v>
      </c>
      <c r="J559" s="61">
        <v>0</v>
      </c>
      <c r="K559" s="51"/>
      <c r="L559" s="51"/>
      <c r="M559" s="61">
        <f>ROUND(ROUND(J559, 2)*I559, 2)</f>
        <v>0</v>
      </c>
      <c r="N559" s="51"/>
      <c r="O559" s="51"/>
      <c r="P559" s="61">
        <v>54.7</v>
      </c>
      <c r="Q559" s="51"/>
      <c r="R559" s="51"/>
      <c r="S559" s="61">
        <f>ROUND(ROUND(P559, 2)*I559, 2)</f>
        <v>89434.5</v>
      </c>
      <c r="T559" s="51"/>
      <c r="U559" s="62"/>
      <c r="V559" s="9">
        <f>ROUND(ROUND(P559, 2)/1.2, 2)</f>
        <v>45.58</v>
      </c>
      <c r="Y559" s="9">
        <f t="shared" si="120"/>
        <v>74528.75</v>
      </c>
      <c r="AD559" s="4" t="s">
        <v>1587</v>
      </c>
      <c r="AE559" s="4" t="s">
        <v>1588</v>
      </c>
      <c r="AF559" s="4" t="s">
        <v>615</v>
      </c>
    </row>
    <row r="560" spans="1:35" ht="36" x14ac:dyDescent="0.3">
      <c r="A560" s="53" t="s">
        <v>1589</v>
      </c>
      <c r="B560" s="53" t="s">
        <v>619</v>
      </c>
      <c r="C560" s="54" t="s">
        <v>620</v>
      </c>
      <c r="D560" s="55"/>
      <c r="E560" s="55" t="s">
        <v>1590</v>
      </c>
      <c r="F560" s="55" t="s">
        <v>61</v>
      </c>
      <c r="G560" s="56">
        <v>1</v>
      </c>
      <c r="H560" s="55"/>
      <c r="I560" s="56">
        <v>276.45999999999998</v>
      </c>
      <c r="J560" s="57">
        <f>IFERROR(ROUND(SUM(M561,M562,M563,M564)/I560, 2),0)</f>
        <v>4520.22</v>
      </c>
      <c r="K560" s="57">
        <v>2310</v>
      </c>
      <c r="L560" s="57">
        <f>J560+ROUND(K560, 2)</f>
        <v>6830.22</v>
      </c>
      <c r="M560" s="57">
        <f>ROUND(J560*I560, 2)</f>
        <v>1249660.02</v>
      </c>
      <c r="N560" s="57">
        <f>ROUND(I560*ROUND(K560, 2), 2)</f>
        <v>638622.6</v>
      </c>
      <c r="O560" s="57">
        <f>M560+N560</f>
        <v>1888282.62</v>
      </c>
      <c r="P560" s="57">
        <f>IFERROR(ROUND(SUM(S561,S562,S563,S564)/I560, 2),0)</f>
        <v>4520.22</v>
      </c>
      <c r="Q560" s="57">
        <v>3300</v>
      </c>
      <c r="R560" s="57">
        <f>P560+ROUND(Q560, 2)</f>
        <v>7820.22</v>
      </c>
      <c r="S560" s="57">
        <f>ROUND(P560*I560, 2)</f>
        <v>1249660.02</v>
      </c>
      <c r="T560" s="57">
        <f>ROUND(I560*ROUND(Q560, 2), 2)</f>
        <v>912318</v>
      </c>
      <c r="U560" s="57">
        <f>S560+T560</f>
        <v>2161978.02</v>
      </c>
      <c r="V560" s="9">
        <f>ROUND(P560 / 1.2, 2)</f>
        <v>3766.85</v>
      </c>
      <c r="W560" s="9">
        <f>ROUND(Q560 / 1.2, 2)</f>
        <v>2750</v>
      </c>
      <c r="X560" s="9">
        <f>ROUND(R560 / 1.2, 2)</f>
        <v>6516.85</v>
      </c>
      <c r="Y560" s="9">
        <f t="shared" si="120"/>
        <v>1041383.35</v>
      </c>
      <c r="Z560" s="9">
        <f>ROUND(T560 / 1.2, 2)</f>
        <v>760265</v>
      </c>
      <c r="AA560" s="9">
        <f>Y560+Z560</f>
        <v>1801648.35</v>
      </c>
      <c r="AD560" s="4">
        <v>320319885</v>
      </c>
      <c r="AE560" s="4">
        <v>28040432</v>
      </c>
      <c r="AG560" s="4" t="s">
        <v>622</v>
      </c>
      <c r="AH560" s="4" t="s">
        <v>623</v>
      </c>
      <c r="AI560" s="4" t="s">
        <v>338</v>
      </c>
    </row>
    <row r="561" spans="1:35" ht="72" x14ac:dyDescent="0.3">
      <c r="A561" s="53" t="s">
        <v>1591</v>
      </c>
      <c r="B561" s="53"/>
      <c r="C561" s="47" t="s">
        <v>626</v>
      </c>
      <c r="D561" s="55"/>
      <c r="E561" s="55" t="s">
        <v>627</v>
      </c>
      <c r="F561" s="59" t="s">
        <v>356</v>
      </c>
      <c r="G561" s="60">
        <v>4</v>
      </c>
      <c r="H561" s="55"/>
      <c r="I561" s="60">
        <v>1105.8399999999999</v>
      </c>
      <c r="J561" s="61">
        <v>1118.74</v>
      </c>
      <c r="K561" s="51"/>
      <c r="L561" s="51"/>
      <c r="M561" s="61">
        <f>ROUND(ROUND(J561, 2)*I561, 2)</f>
        <v>1237147.44</v>
      </c>
      <c r="N561" s="51"/>
      <c r="O561" s="51"/>
      <c r="P561" s="61">
        <v>1118.74</v>
      </c>
      <c r="Q561" s="51"/>
      <c r="R561" s="51"/>
      <c r="S561" s="61">
        <f>ROUND(ROUND(P561, 2)*I561, 2)</f>
        <v>1237147.44</v>
      </c>
      <c r="T561" s="51"/>
      <c r="U561" s="62"/>
      <c r="V561" s="9">
        <f>ROUND(ROUND(P561, 2)/1.2, 2)</f>
        <v>932.28</v>
      </c>
      <c r="Y561" s="9">
        <f t="shared" si="120"/>
        <v>1030956.2</v>
      </c>
      <c r="AD561" s="4" t="s">
        <v>1592</v>
      </c>
      <c r="AE561" s="4" t="s">
        <v>1593</v>
      </c>
      <c r="AF561" s="4" t="s">
        <v>630</v>
      </c>
    </row>
    <row r="562" spans="1:35" ht="36" x14ac:dyDescent="0.3">
      <c r="A562" s="53" t="s">
        <v>1594</v>
      </c>
      <c r="B562" s="53"/>
      <c r="C562" s="47" t="s">
        <v>634</v>
      </c>
      <c r="D562" s="55"/>
      <c r="E562" s="55"/>
      <c r="F562" s="59" t="s">
        <v>364</v>
      </c>
      <c r="G562" s="60">
        <v>1.2</v>
      </c>
      <c r="H562" s="55"/>
      <c r="I562" s="63">
        <v>331.75200000000001</v>
      </c>
      <c r="J562" s="61">
        <v>16.38</v>
      </c>
      <c r="K562" s="51"/>
      <c r="L562" s="51"/>
      <c r="M562" s="61">
        <f>ROUND(ROUND(J562, 2)*I562, 2)</f>
        <v>5434.1</v>
      </c>
      <c r="N562" s="51"/>
      <c r="O562" s="51"/>
      <c r="P562" s="61">
        <v>16.38</v>
      </c>
      <c r="Q562" s="51"/>
      <c r="R562" s="51"/>
      <c r="S562" s="61">
        <f>ROUND(ROUND(P562, 2)*I562, 2)</f>
        <v>5434.1</v>
      </c>
      <c r="T562" s="51"/>
      <c r="U562" s="62"/>
      <c r="V562" s="9">
        <f>ROUND(ROUND(P562, 2)/1.2, 2)</f>
        <v>13.65</v>
      </c>
      <c r="Y562" s="9">
        <f t="shared" si="120"/>
        <v>4528.42</v>
      </c>
      <c r="AD562" s="4" t="s">
        <v>1595</v>
      </c>
      <c r="AE562" s="4" t="s">
        <v>1596</v>
      </c>
      <c r="AF562" s="4" t="s">
        <v>637</v>
      </c>
    </row>
    <row r="563" spans="1:35" ht="18" x14ac:dyDescent="0.3">
      <c r="A563" s="53" t="s">
        <v>1597</v>
      </c>
      <c r="B563" s="53"/>
      <c r="C563" s="58" t="s">
        <v>641</v>
      </c>
      <c r="D563" s="55"/>
      <c r="E563" s="55"/>
      <c r="F563" s="59" t="s">
        <v>364</v>
      </c>
      <c r="G563" s="60">
        <v>0.25</v>
      </c>
      <c r="H563" s="55"/>
      <c r="I563" s="60">
        <v>69.114999999999995</v>
      </c>
      <c r="J563" s="61">
        <v>48.23</v>
      </c>
      <c r="K563" s="51"/>
      <c r="L563" s="51"/>
      <c r="M563" s="61">
        <f>ROUND(ROUND(J563, 2)*I563, 2)</f>
        <v>3333.42</v>
      </c>
      <c r="N563" s="51"/>
      <c r="O563" s="51"/>
      <c r="P563" s="61">
        <v>48.23</v>
      </c>
      <c r="Q563" s="51"/>
      <c r="R563" s="51"/>
      <c r="S563" s="61">
        <f>ROUND(ROUND(P563, 2)*I563, 2)</f>
        <v>3333.42</v>
      </c>
      <c r="T563" s="51"/>
      <c r="U563" s="62"/>
      <c r="V563" s="9">
        <f>ROUND(ROUND(P563, 2)/1.2, 2)</f>
        <v>40.19</v>
      </c>
      <c r="Y563" s="9">
        <f t="shared" si="120"/>
        <v>2777.85</v>
      </c>
      <c r="AD563" s="4" t="s">
        <v>1598</v>
      </c>
      <c r="AE563" s="4" t="s">
        <v>1599</v>
      </c>
      <c r="AF563" s="4" t="s">
        <v>644</v>
      </c>
    </row>
    <row r="564" spans="1:35" ht="36" x14ac:dyDescent="0.3">
      <c r="A564" s="53" t="s">
        <v>1600</v>
      </c>
      <c r="B564" s="53"/>
      <c r="C564" s="58" t="s">
        <v>397</v>
      </c>
      <c r="D564" s="55"/>
      <c r="E564" s="55"/>
      <c r="F564" s="59" t="s">
        <v>364</v>
      </c>
      <c r="G564" s="60">
        <v>0.15</v>
      </c>
      <c r="H564" s="55"/>
      <c r="I564" s="60">
        <v>41.469000000000001</v>
      </c>
      <c r="J564" s="61">
        <v>90.28</v>
      </c>
      <c r="K564" s="51"/>
      <c r="L564" s="51"/>
      <c r="M564" s="61">
        <f>ROUND(ROUND(J564, 2)*I564, 2)</f>
        <v>3743.82</v>
      </c>
      <c r="N564" s="51"/>
      <c r="O564" s="51"/>
      <c r="P564" s="61">
        <v>90.28</v>
      </c>
      <c r="Q564" s="51"/>
      <c r="R564" s="51"/>
      <c r="S564" s="61">
        <f>ROUND(ROUND(P564, 2)*I564, 2)</f>
        <v>3743.82</v>
      </c>
      <c r="T564" s="51"/>
      <c r="U564" s="62"/>
      <c r="V564" s="9">
        <f>ROUND(ROUND(P564, 2)/1.2, 2)</f>
        <v>75.23</v>
      </c>
      <c r="Y564" s="9">
        <f t="shared" si="120"/>
        <v>3119.85</v>
      </c>
      <c r="AD564" s="4" t="s">
        <v>1601</v>
      </c>
      <c r="AE564" s="4" t="s">
        <v>1602</v>
      </c>
      <c r="AF564" s="4" t="s">
        <v>400</v>
      </c>
    </row>
    <row r="565" spans="1:35" ht="36" x14ac:dyDescent="0.3">
      <c r="A565" s="53" t="s">
        <v>1603</v>
      </c>
      <c r="B565" s="53" t="s">
        <v>653</v>
      </c>
      <c r="C565" s="54" t="s">
        <v>654</v>
      </c>
      <c r="D565" s="55"/>
      <c r="E565" s="55" t="s">
        <v>1604</v>
      </c>
      <c r="F565" s="55" t="s">
        <v>76</v>
      </c>
      <c r="G565" s="56">
        <v>1</v>
      </c>
      <c r="H565" s="55"/>
      <c r="I565" s="56">
        <v>3328.1</v>
      </c>
      <c r="J565" s="57">
        <f>IFERROR(ROUND(SUM(M566,M567,M568,M569)/I565, 2),0)</f>
        <v>858.32</v>
      </c>
      <c r="K565" s="57">
        <v>472.99</v>
      </c>
      <c r="L565" s="57">
        <f>J565+ROUND(K565, 2)</f>
        <v>1331.31</v>
      </c>
      <c r="M565" s="57">
        <f>ROUND(J565*I565, 2)</f>
        <v>2856574.79</v>
      </c>
      <c r="N565" s="57">
        <f>ROUND(I565*ROUND(K565, 2), 2)</f>
        <v>1574158.02</v>
      </c>
      <c r="O565" s="57">
        <f>M565+N565</f>
        <v>4430732.8100000005</v>
      </c>
      <c r="P565" s="57">
        <f>IFERROR(ROUND(SUM(S566,S567,S568,S569)/I565, 2),0)</f>
        <v>858.32</v>
      </c>
      <c r="Q565" s="57">
        <v>675.7</v>
      </c>
      <c r="R565" s="57">
        <f>P565+ROUND(Q565, 2)</f>
        <v>1534.02</v>
      </c>
      <c r="S565" s="57">
        <f>ROUND(P565*I565, 2)</f>
        <v>2856574.79</v>
      </c>
      <c r="T565" s="57">
        <f>ROUND(I565*ROUND(Q565, 2), 2)</f>
        <v>2248797.17</v>
      </c>
      <c r="U565" s="57">
        <f>S565+T565</f>
        <v>5105371.96</v>
      </c>
      <c r="V565" s="9">
        <f>ROUND(P565 / 1.2, 2)</f>
        <v>715.27</v>
      </c>
      <c r="W565" s="9">
        <f>ROUND(Q565 / 1.2, 2)</f>
        <v>563.08000000000004</v>
      </c>
      <c r="X565" s="9">
        <f>ROUND(R565 / 1.2, 2)</f>
        <v>1278.3499999999999</v>
      </c>
      <c r="Y565" s="9">
        <f t="shared" si="120"/>
        <v>2380478.9900000002</v>
      </c>
      <c r="Z565" s="9">
        <f>ROUND(T565 / 1.2, 2)</f>
        <v>1873997.64</v>
      </c>
      <c r="AA565" s="9">
        <f>Y565+Z565</f>
        <v>4254476.63</v>
      </c>
      <c r="AD565" s="4">
        <v>320319887</v>
      </c>
      <c r="AE565" s="4">
        <v>28040615</v>
      </c>
      <c r="AG565" s="4" t="s">
        <v>656</v>
      </c>
      <c r="AH565" s="4" t="s">
        <v>657</v>
      </c>
      <c r="AI565" s="4" t="s">
        <v>338</v>
      </c>
    </row>
    <row r="566" spans="1:35" ht="36" x14ac:dyDescent="0.3">
      <c r="A566" s="53" t="s">
        <v>1605</v>
      </c>
      <c r="B566" s="53"/>
      <c r="C566" s="47" t="s">
        <v>660</v>
      </c>
      <c r="D566" s="55"/>
      <c r="E566" s="55"/>
      <c r="F566" s="59" t="s">
        <v>364</v>
      </c>
      <c r="G566" s="60">
        <v>0.7</v>
      </c>
      <c r="H566" s="55"/>
      <c r="I566" s="63">
        <v>2329.67</v>
      </c>
      <c r="J566" s="61">
        <v>16.38</v>
      </c>
      <c r="K566" s="51"/>
      <c r="L566" s="51"/>
      <c r="M566" s="61">
        <f>ROUND(ROUND(J566, 2)*I566, 2)</f>
        <v>38159.99</v>
      </c>
      <c r="N566" s="51"/>
      <c r="O566" s="51"/>
      <c r="P566" s="61">
        <v>16.38</v>
      </c>
      <c r="Q566" s="51"/>
      <c r="R566" s="51"/>
      <c r="S566" s="61">
        <f>ROUND(ROUND(P566, 2)*I566, 2)</f>
        <v>38159.99</v>
      </c>
      <c r="T566" s="51"/>
      <c r="U566" s="62"/>
      <c r="V566" s="9">
        <f>ROUND(ROUND(P566, 2)/1.2, 2)</f>
        <v>13.65</v>
      </c>
      <c r="Y566" s="9">
        <f t="shared" si="120"/>
        <v>31799.99</v>
      </c>
      <c r="AD566" s="4" t="s">
        <v>1606</v>
      </c>
      <c r="AE566" s="4" t="s">
        <v>1607</v>
      </c>
      <c r="AF566" s="4" t="s">
        <v>663</v>
      </c>
    </row>
    <row r="567" spans="1:35" ht="72" x14ac:dyDescent="0.3">
      <c r="A567" s="53" t="s">
        <v>1608</v>
      </c>
      <c r="B567" s="53"/>
      <c r="C567" s="58" t="s">
        <v>667</v>
      </c>
      <c r="D567" s="55"/>
      <c r="E567" s="55" t="s">
        <v>668</v>
      </c>
      <c r="F567" s="59" t="s">
        <v>356</v>
      </c>
      <c r="G567" s="60">
        <v>1.84</v>
      </c>
      <c r="H567" s="55"/>
      <c r="I567" s="63">
        <v>6123.7039999999997</v>
      </c>
      <c r="J567" s="61">
        <v>458.46</v>
      </c>
      <c r="K567" s="51"/>
      <c r="L567" s="51"/>
      <c r="M567" s="61">
        <f>ROUND(ROUND(J567, 2)*I567, 2)</f>
        <v>2807473.34</v>
      </c>
      <c r="N567" s="51"/>
      <c r="O567" s="51"/>
      <c r="P567" s="61">
        <v>458.46</v>
      </c>
      <c r="Q567" s="51"/>
      <c r="R567" s="51"/>
      <c r="S567" s="61">
        <f>ROUND(ROUND(P567, 2)*I567, 2)</f>
        <v>2807473.34</v>
      </c>
      <c r="T567" s="51"/>
      <c r="U567" s="62"/>
      <c r="V567" s="9">
        <f>ROUND(ROUND(P567, 2)/1.2, 2)</f>
        <v>382.05</v>
      </c>
      <c r="Y567" s="9">
        <f t="shared" si="120"/>
        <v>2339561.12</v>
      </c>
      <c r="AD567" s="4" t="s">
        <v>1609</v>
      </c>
      <c r="AE567" s="4" t="s">
        <v>1610</v>
      </c>
      <c r="AF567" s="4" t="s">
        <v>671</v>
      </c>
    </row>
    <row r="568" spans="1:35" ht="18" x14ac:dyDescent="0.3">
      <c r="A568" s="53" t="s">
        <v>1611</v>
      </c>
      <c r="B568" s="53"/>
      <c r="C568" s="58" t="s">
        <v>641</v>
      </c>
      <c r="D568" s="55"/>
      <c r="E568" s="55"/>
      <c r="F568" s="59" t="s">
        <v>364</v>
      </c>
      <c r="G568" s="60">
        <v>0.04</v>
      </c>
      <c r="H568" s="55"/>
      <c r="I568" s="60">
        <v>133.124</v>
      </c>
      <c r="J568" s="61">
        <v>48.23</v>
      </c>
      <c r="K568" s="51"/>
      <c r="L568" s="51"/>
      <c r="M568" s="61">
        <f>ROUND(ROUND(J568, 2)*I568, 2)</f>
        <v>6420.57</v>
      </c>
      <c r="N568" s="51"/>
      <c r="O568" s="51"/>
      <c r="P568" s="61">
        <v>48.23</v>
      </c>
      <c r="Q568" s="51"/>
      <c r="R568" s="51"/>
      <c r="S568" s="61">
        <f>ROUND(ROUND(P568, 2)*I568, 2)</f>
        <v>6420.57</v>
      </c>
      <c r="T568" s="51"/>
      <c r="U568" s="62"/>
      <c r="V568" s="9">
        <f>ROUND(ROUND(P568, 2)/1.2, 2)</f>
        <v>40.19</v>
      </c>
      <c r="Y568" s="9">
        <f t="shared" si="120"/>
        <v>5350.48</v>
      </c>
      <c r="AD568" s="4" t="s">
        <v>1612</v>
      </c>
      <c r="AE568" s="4" t="s">
        <v>1613</v>
      </c>
      <c r="AF568" s="4" t="s">
        <v>644</v>
      </c>
    </row>
    <row r="569" spans="1:35" ht="36" x14ac:dyDescent="0.3">
      <c r="A569" s="53" t="s">
        <v>1614</v>
      </c>
      <c r="B569" s="53"/>
      <c r="C569" s="58" t="s">
        <v>680</v>
      </c>
      <c r="D569" s="55"/>
      <c r="E569" s="55"/>
      <c r="F569" s="59" t="s">
        <v>364</v>
      </c>
      <c r="G569" s="60">
        <v>1.4999999999999999E-2</v>
      </c>
      <c r="H569" s="55"/>
      <c r="I569" s="60">
        <v>49.921999999999997</v>
      </c>
      <c r="J569" s="61">
        <v>90.28</v>
      </c>
      <c r="K569" s="51"/>
      <c r="L569" s="51"/>
      <c r="M569" s="61">
        <f>ROUND(ROUND(J569, 2)*I569, 2)</f>
        <v>4506.96</v>
      </c>
      <c r="N569" s="51"/>
      <c r="O569" s="51"/>
      <c r="P569" s="61">
        <v>90.28</v>
      </c>
      <c r="Q569" s="51"/>
      <c r="R569" s="51"/>
      <c r="S569" s="61">
        <f>ROUND(ROUND(P569, 2)*I569, 2)</f>
        <v>4506.96</v>
      </c>
      <c r="T569" s="51"/>
      <c r="U569" s="62"/>
      <c r="V569" s="9">
        <f>ROUND(ROUND(P569, 2)/1.2, 2)</f>
        <v>75.23</v>
      </c>
      <c r="Y569" s="9">
        <f t="shared" si="120"/>
        <v>3755.8</v>
      </c>
      <c r="AD569" s="4" t="s">
        <v>1615</v>
      </c>
      <c r="AE569" s="4" t="s">
        <v>1616</v>
      </c>
      <c r="AF569" s="4" t="s">
        <v>683</v>
      </c>
    </row>
    <row r="570" spans="1:35" ht="36" x14ac:dyDescent="0.3">
      <c r="A570" s="53" t="s">
        <v>1617</v>
      </c>
      <c r="B570" s="53" t="s">
        <v>653</v>
      </c>
      <c r="C570" s="54" t="s">
        <v>654</v>
      </c>
      <c r="D570" s="55"/>
      <c r="E570" s="55" t="s">
        <v>1618</v>
      </c>
      <c r="F570" s="55" t="s">
        <v>76</v>
      </c>
      <c r="G570" s="56">
        <v>1</v>
      </c>
      <c r="H570" s="55"/>
      <c r="I570" s="56">
        <v>2324.1</v>
      </c>
      <c r="J570" s="57">
        <f>IFERROR(ROUND(SUM(M571,M572,M573,M574)/I570, 2),0)</f>
        <v>858.32</v>
      </c>
      <c r="K570" s="57">
        <v>472.99</v>
      </c>
      <c r="L570" s="57">
        <f>J570+ROUND(K570, 2)</f>
        <v>1331.31</v>
      </c>
      <c r="M570" s="57">
        <f>ROUND(J570*I570, 2)</f>
        <v>1994821.51</v>
      </c>
      <c r="N570" s="57">
        <f>ROUND(I570*ROUND(K570, 2), 2)</f>
        <v>1099276.06</v>
      </c>
      <c r="O570" s="57">
        <f>M570+N570</f>
        <v>3094097.5700000003</v>
      </c>
      <c r="P570" s="57">
        <f>IFERROR(ROUND(SUM(S571,S572,S573,S574)/I570, 2),0)</f>
        <v>858.32</v>
      </c>
      <c r="Q570" s="57">
        <v>675.7</v>
      </c>
      <c r="R570" s="57">
        <f>P570+ROUND(Q570, 2)</f>
        <v>1534.02</v>
      </c>
      <c r="S570" s="57">
        <f>ROUND(P570*I570, 2)</f>
        <v>1994821.51</v>
      </c>
      <c r="T570" s="57">
        <f>ROUND(I570*ROUND(Q570, 2), 2)</f>
        <v>1570394.37</v>
      </c>
      <c r="U570" s="57">
        <f>S570+T570</f>
        <v>3565215.88</v>
      </c>
      <c r="V570" s="9">
        <f>ROUND(P570 / 1.2, 2)</f>
        <v>715.27</v>
      </c>
      <c r="W570" s="9">
        <f>ROUND(Q570 / 1.2, 2)</f>
        <v>563.08000000000004</v>
      </c>
      <c r="X570" s="9">
        <f>ROUND(R570 / 1.2, 2)</f>
        <v>1278.3499999999999</v>
      </c>
      <c r="Y570" s="9">
        <f t="shared" si="120"/>
        <v>1662351.26</v>
      </c>
      <c r="Z570" s="9">
        <f>ROUND(T570 / 1.2, 2)</f>
        <v>1308661.98</v>
      </c>
      <c r="AA570" s="9">
        <f>Y570+Z570</f>
        <v>2971013.24</v>
      </c>
      <c r="AD570" s="4">
        <v>320319935</v>
      </c>
      <c r="AE570" s="4">
        <v>28048960</v>
      </c>
      <c r="AG570" s="4" t="s">
        <v>656</v>
      </c>
      <c r="AH570" s="4" t="s">
        <v>657</v>
      </c>
      <c r="AI570" s="4" t="s">
        <v>338</v>
      </c>
    </row>
    <row r="571" spans="1:35" ht="36" x14ac:dyDescent="0.3">
      <c r="A571" s="53" t="s">
        <v>1619</v>
      </c>
      <c r="B571" s="53"/>
      <c r="C571" s="58" t="s">
        <v>680</v>
      </c>
      <c r="D571" s="55"/>
      <c r="E571" s="55"/>
      <c r="F571" s="59" t="s">
        <v>364</v>
      </c>
      <c r="G571" s="60">
        <v>1.4999999999999999E-2</v>
      </c>
      <c r="H571" s="55"/>
      <c r="I571" s="60">
        <v>34.862000000000002</v>
      </c>
      <c r="J571" s="61">
        <v>90.28</v>
      </c>
      <c r="K571" s="51"/>
      <c r="L571" s="51"/>
      <c r="M571" s="61">
        <f>ROUND(ROUND(J571, 2)*I571, 2)</f>
        <v>3147.34</v>
      </c>
      <c r="N571" s="51"/>
      <c r="O571" s="51"/>
      <c r="P571" s="61">
        <v>90.28</v>
      </c>
      <c r="Q571" s="51"/>
      <c r="R571" s="51"/>
      <c r="S571" s="61">
        <f>ROUND(ROUND(P571, 2)*I571, 2)</f>
        <v>3147.34</v>
      </c>
      <c r="T571" s="51"/>
      <c r="U571" s="62"/>
      <c r="V571" s="9">
        <f>ROUND(ROUND(P571, 2)/1.2, 2)</f>
        <v>75.23</v>
      </c>
      <c r="Y571" s="9">
        <f t="shared" si="120"/>
        <v>2622.78</v>
      </c>
      <c r="AD571" s="4" t="s">
        <v>1620</v>
      </c>
      <c r="AE571" s="4" t="s">
        <v>1621</v>
      </c>
      <c r="AF571" s="4" t="s">
        <v>683</v>
      </c>
    </row>
    <row r="572" spans="1:35" ht="18" x14ac:dyDescent="0.3">
      <c r="A572" s="53" t="s">
        <v>1622</v>
      </c>
      <c r="B572" s="53"/>
      <c r="C572" s="58" t="s">
        <v>641</v>
      </c>
      <c r="D572" s="55"/>
      <c r="E572" s="55"/>
      <c r="F572" s="59" t="s">
        <v>364</v>
      </c>
      <c r="G572" s="60">
        <v>0.04</v>
      </c>
      <c r="H572" s="55"/>
      <c r="I572" s="60">
        <v>92.963999999999999</v>
      </c>
      <c r="J572" s="61">
        <v>48.23</v>
      </c>
      <c r="K572" s="51"/>
      <c r="L572" s="51"/>
      <c r="M572" s="61">
        <f>ROUND(ROUND(J572, 2)*I572, 2)</f>
        <v>4483.6499999999996</v>
      </c>
      <c r="N572" s="51"/>
      <c r="O572" s="51"/>
      <c r="P572" s="61">
        <v>48.23</v>
      </c>
      <c r="Q572" s="51"/>
      <c r="R572" s="51"/>
      <c r="S572" s="61">
        <f>ROUND(ROUND(P572, 2)*I572, 2)</f>
        <v>4483.6499999999996</v>
      </c>
      <c r="T572" s="51"/>
      <c r="U572" s="62"/>
      <c r="V572" s="9">
        <f>ROUND(ROUND(P572, 2)/1.2, 2)</f>
        <v>40.19</v>
      </c>
      <c r="Y572" s="9">
        <f t="shared" si="120"/>
        <v>3736.38</v>
      </c>
      <c r="AD572" s="4" t="s">
        <v>1623</v>
      </c>
      <c r="AE572" s="4" t="s">
        <v>1624</v>
      </c>
      <c r="AF572" s="4" t="s">
        <v>644</v>
      </c>
    </row>
    <row r="573" spans="1:35" ht="72" x14ac:dyDescent="0.3">
      <c r="A573" s="53" t="s">
        <v>1625</v>
      </c>
      <c r="B573" s="53"/>
      <c r="C573" s="58" t="s">
        <v>667</v>
      </c>
      <c r="D573" s="55"/>
      <c r="E573" s="55" t="s">
        <v>700</v>
      </c>
      <c r="F573" s="59" t="s">
        <v>356</v>
      </c>
      <c r="G573" s="60">
        <v>1.84</v>
      </c>
      <c r="H573" s="55"/>
      <c r="I573" s="63">
        <v>4276.3440000000001</v>
      </c>
      <c r="J573" s="61">
        <v>458.46</v>
      </c>
      <c r="K573" s="51"/>
      <c r="L573" s="51"/>
      <c r="M573" s="61">
        <f>ROUND(ROUND(J573, 2)*I573, 2)</f>
        <v>1960532.67</v>
      </c>
      <c r="N573" s="51"/>
      <c r="O573" s="51"/>
      <c r="P573" s="61">
        <v>458.46</v>
      </c>
      <c r="Q573" s="51"/>
      <c r="R573" s="51"/>
      <c r="S573" s="61">
        <f>ROUND(ROUND(P573, 2)*I573, 2)</f>
        <v>1960532.67</v>
      </c>
      <c r="T573" s="51"/>
      <c r="U573" s="62"/>
      <c r="V573" s="9">
        <f>ROUND(ROUND(P573, 2)/1.2, 2)</f>
        <v>382.05</v>
      </c>
      <c r="Y573" s="9">
        <f t="shared" si="120"/>
        <v>1633777.23</v>
      </c>
      <c r="AD573" s="4" t="s">
        <v>1626</v>
      </c>
      <c r="AE573" s="4" t="s">
        <v>1627</v>
      </c>
      <c r="AF573" s="4" t="s">
        <v>671</v>
      </c>
    </row>
    <row r="574" spans="1:35" ht="36" x14ac:dyDescent="0.3">
      <c r="A574" s="53" t="s">
        <v>1628</v>
      </c>
      <c r="B574" s="53"/>
      <c r="C574" s="47" t="s">
        <v>660</v>
      </c>
      <c r="D574" s="55"/>
      <c r="E574" s="55"/>
      <c r="F574" s="59" t="s">
        <v>364</v>
      </c>
      <c r="G574" s="60">
        <v>0.7</v>
      </c>
      <c r="H574" s="55"/>
      <c r="I574" s="63">
        <v>1626.87</v>
      </c>
      <c r="J574" s="61">
        <v>16.38</v>
      </c>
      <c r="K574" s="51"/>
      <c r="L574" s="51"/>
      <c r="M574" s="61">
        <f>ROUND(ROUND(J574, 2)*I574, 2)</f>
        <v>26648.13</v>
      </c>
      <c r="N574" s="51"/>
      <c r="O574" s="51"/>
      <c r="P574" s="61">
        <v>16.38</v>
      </c>
      <c r="Q574" s="51"/>
      <c r="R574" s="51"/>
      <c r="S574" s="61">
        <f>ROUND(ROUND(P574, 2)*I574, 2)</f>
        <v>26648.13</v>
      </c>
      <c r="T574" s="51"/>
      <c r="U574" s="62"/>
      <c r="V574" s="9">
        <f>ROUND(ROUND(P574, 2)/1.2, 2)</f>
        <v>13.65</v>
      </c>
      <c r="Y574" s="9">
        <f t="shared" si="120"/>
        <v>22206.78</v>
      </c>
      <c r="AD574" s="4" t="s">
        <v>1629</v>
      </c>
      <c r="AE574" s="4" t="s">
        <v>1630</v>
      </c>
      <c r="AF574" s="4" t="s">
        <v>663</v>
      </c>
    </row>
    <row r="575" spans="1:35" ht="36" x14ac:dyDescent="0.3">
      <c r="A575" s="53" t="s">
        <v>1631</v>
      </c>
      <c r="B575" s="53" t="s">
        <v>653</v>
      </c>
      <c r="C575" s="54" t="s">
        <v>654</v>
      </c>
      <c r="D575" s="55"/>
      <c r="E575" s="55" t="s">
        <v>1632</v>
      </c>
      <c r="F575" s="55" t="s">
        <v>76</v>
      </c>
      <c r="G575" s="56">
        <v>1</v>
      </c>
      <c r="H575" s="55"/>
      <c r="I575" s="56">
        <v>892.1</v>
      </c>
      <c r="J575" s="57">
        <f>IFERROR(ROUND(SUM(M576,M577,M578,M579)/I575, 2),0)</f>
        <v>858.32</v>
      </c>
      <c r="K575" s="57">
        <v>472.99</v>
      </c>
      <c r="L575" s="57">
        <f>J575+ROUND(K575, 2)</f>
        <v>1331.31</v>
      </c>
      <c r="M575" s="57">
        <f>ROUND(J575*I575, 2)</f>
        <v>765707.27</v>
      </c>
      <c r="N575" s="57">
        <f>ROUND(I575*ROUND(K575, 2), 2)</f>
        <v>421954.38</v>
      </c>
      <c r="O575" s="57">
        <f>M575+N575</f>
        <v>1187661.6499999999</v>
      </c>
      <c r="P575" s="57">
        <f>IFERROR(ROUND(SUM(S576,S577,S578,S579)/I575, 2),0)</f>
        <v>858.32</v>
      </c>
      <c r="Q575" s="57">
        <v>675.7</v>
      </c>
      <c r="R575" s="57">
        <f>P575+ROUND(Q575, 2)</f>
        <v>1534.02</v>
      </c>
      <c r="S575" s="57">
        <f>ROUND(P575*I575, 2)</f>
        <v>765707.27</v>
      </c>
      <c r="T575" s="57">
        <f>ROUND(I575*ROUND(Q575, 2), 2)</f>
        <v>602791.97</v>
      </c>
      <c r="U575" s="57">
        <f>S575+T575</f>
        <v>1368499.24</v>
      </c>
      <c r="V575" s="9">
        <f>ROUND(P575 / 1.2, 2)</f>
        <v>715.27</v>
      </c>
      <c r="W575" s="9">
        <f>ROUND(Q575 / 1.2, 2)</f>
        <v>563.08000000000004</v>
      </c>
      <c r="X575" s="9">
        <f>ROUND(R575 / 1.2, 2)</f>
        <v>1278.3499999999999</v>
      </c>
      <c r="Y575" s="9">
        <f t="shared" si="120"/>
        <v>638089.39</v>
      </c>
      <c r="Z575" s="9">
        <f>ROUND(T575 / 1.2, 2)</f>
        <v>502326.64</v>
      </c>
      <c r="AA575" s="9">
        <f>Y575+Z575</f>
        <v>1140416.03</v>
      </c>
      <c r="AD575" s="4">
        <v>320319936</v>
      </c>
      <c r="AE575" s="4">
        <v>28048962</v>
      </c>
      <c r="AG575" s="4" t="s">
        <v>656</v>
      </c>
      <c r="AH575" s="4" t="s">
        <v>657</v>
      </c>
      <c r="AI575" s="4" t="s">
        <v>338</v>
      </c>
    </row>
    <row r="576" spans="1:35" ht="36" x14ac:dyDescent="0.3">
      <c r="A576" s="53" t="s">
        <v>1633</v>
      </c>
      <c r="B576" s="53"/>
      <c r="C576" s="47" t="s">
        <v>660</v>
      </c>
      <c r="D576" s="55"/>
      <c r="E576" s="55"/>
      <c r="F576" s="59" t="s">
        <v>364</v>
      </c>
      <c r="G576" s="60">
        <v>0.7</v>
      </c>
      <c r="H576" s="55"/>
      <c r="I576" s="63">
        <v>624.47</v>
      </c>
      <c r="J576" s="61">
        <v>16.38</v>
      </c>
      <c r="K576" s="51"/>
      <c r="L576" s="51"/>
      <c r="M576" s="61">
        <f>ROUND(ROUND(J576, 2)*I576, 2)</f>
        <v>10228.82</v>
      </c>
      <c r="N576" s="51"/>
      <c r="O576" s="51"/>
      <c r="P576" s="61">
        <v>16.38</v>
      </c>
      <c r="Q576" s="51"/>
      <c r="R576" s="51"/>
      <c r="S576" s="61">
        <f>ROUND(ROUND(P576, 2)*I576, 2)</f>
        <v>10228.82</v>
      </c>
      <c r="T576" s="51"/>
      <c r="U576" s="62"/>
      <c r="V576" s="9">
        <f>ROUND(ROUND(P576, 2)/1.2, 2)</f>
        <v>13.65</v>
      </c>
      <c r="Y576" s="9">
        <f t="shared" si="120"/>
        <v>8524.02</v>
      </c>
      <c r="AD576" s="4" t="s">
        <v>1634</v>
      </c>
      <c r="AE576" s="4" t="s">
        <v>1635</v>
      </c>
      <c r="AF576" s="4" t="s">
        <v>663</v>
      </c>
    </row>
    <row r="577" spans="1:35" ht="54" x14ac:dyDescent="0.3">
      <c r="A577" s="53" t="s">
        <v>1636</v>
      </c>
      <c r="B577" s="53"/>
      <c r="C577" s="58" t="s">
        <v>667</v>
      </c>
      <c r="D577" s="55"/>
      <c r="E577" s="55" t="s">
        <v>720</v>
      </c>
      <c r="F577" s="59" t="s">
        <v>356</v>
      </c>
      <c r="G577" s="60">
        <v>1.84</v>
      </c>
      <c r="H577" s="55"/>
      <c r="I577" s="63">
        <v>1641.4639999999999</v>
      </c>
      <c r="J577" s="61">
        <v>458.46</v>
      </c>
      <c r="K577" s="51"/>
      <c r="L577" s="51"/>
      <c r="M577" s="61">
        <f>ROUND(ROUND(J577, 2)*I577, 2)</f>
        <v>752545.59</v>
      </c>
      <c r="N577" s="51"/>
      <c r="O577" s="51"/>
      <c r="P577" s="61">
        <v>458.46</v>
      </c>
      <c r="Q577" s="51"/>
      <c r="R577" s="51"/>
      <c r="S577" s="61">
        <f>ROUND(ROUND(P577, 2)*I577, 2)</f>
        <v>752545.59</v>
      </c>
      <c r="T577" s="51"/>
      <c r="U577" s="62"/>
      <c r="V577" s="9">
        <f>ROUND(ROUND(P577, 2)/1.2, 2)</f>
        <v>382.05</v>
      </c>
      <c r="Y577" s="9">
        <f t="shared" si="120"/>
        <v>627121.32999999996</v>
      </c>
      <c r="AD577" s="4" t="s">
        <v>1637</v>
      </c>
      <c r="AE577" s="4" t="s">
        <v>1638</v>
      </c>
      <c r="AF577" s="4" t="s">
        <v>671</v>
      </c>
    </row>
    <row r="578" spans="1:35" ht="18" x14ac:dyDescent="0.3">
      <c r="A578" s="53" t="s">
        <v>1639</v>
      </c>
      <c r="B578" s="53"/>
      <c r="C578" s="58" t="s">
        <v>641</v>
      </c>
      <c r="D578" s="55"/>
      <c r="E578" s="55"/>
      <c r="F578" s="59" t="s">
        <v>364</v>
      </c>
      <c r="G578" s="60">
        <v>0.04</v>
      </c>
      <c r="H578" s="55"/>
      <c r="I578" s="60">
        <v>35.683999999999997</v>
      </c>
      <c r="J578" s="61">
        <v>48.23</v>
      </c>
      <c r="K578" s="51"/>
      <c r="L578" s="51"/>
      <c r="M578" s="61">
        <f>ROUND(ROUND(J578, 2)*I578, 2)</f>
        <v>1721.04</v>
      </c>
      <c r="N578" s="51"/>
      <c r="O578" s="51"/>
      <c r="P578" s="61">
        <v>48.23</v>
      </c>
      <c r="Q578" s="51"/>
      <c r="R578" s="51"/>
      <c r="S578" s="61">
        <f>ROUND(ROUND(P578, 2)*I578, 2)</f>
        <v>1721.04</v>
      </c>
      <c r="T578" s="51"/>
      <c r="U578" s="62"/>
      <c r="V578" s="9">
        <f>ROUND(ROUND(P578, 2)/1.2, 2)</f>
        <v>40.19</v>
      </c>
      <c r="Y578" s="9">
        <f t="shared" si="120"/>
        <v>1434.2</v>
      </c>
      <c r="AD578" s="4" t="s">
        <v>1640</v>
      </c>
      <c r="AE578" s="4" t="s">
        <v>1641</v>
      </c>
      <c r="AF578" s="4" t="s">
        <v>644</v>
      </c>
    </row>
    <row r="579" spans="1:35" ht="36" x14ac:dyDescent="0.3">
      <c r="A579" s="53" t="s">
        <v>1642</v>
      </c>
      <c r="B579" s="53"/>
      <c r="C579" s="58" t="s">
        <v>680</v>
      </c>
      <c r="D579" s="55"/>
      <c r="E579" s="55"/>
      <c r="F579" s="59" t="s">
        <v>364</v>
      </c>
      <c r="G579" s="60">
        <v>1.4999999999999999E-2</v>
      </c>
      <c r="H579" s="55"/>
      <c r="I579" s="60">
        <v>13.382</v>
      </c>
      <c r="J579" s="61">
        <v>90.28</v>
      </c>
      <c r="K579" s="51"/>
      <c r="L579" s="51"/>
      <c r="M579" s="61">
        <f>ROUND(ROUND(J579, 2)*I579, 2)</f>
        <v>1208.1300000000001</v>
      </c>
      <c r="N579" s="51"/>
      <c r="O579" s="51"/>
      <c r="P579" s="61">
        <v>90.28</v>
      </c>
      <c r="Q579" s="51"/>
      <c r="R579" s="51"/>
      <c r="S579" s="61">
        <f>ROUND(ROUND(P579, 2)*I579, 2)</f>
        <v>1208.1300000000001</v>
      </c>
      <c r="T579" s="51"/>
      <c r="U579" s="62"/>
      <c r="V579" s="9">
        <f>ROUND(ROUND(P579, 2)/1.2, 2)</f>
        <v>75.23</v>
      </c>
      <c r="Y579" s="9">
        <f t="shared" si="120"/>
        <v>1006.78</v>
      </c>
      <c r="AD579" s="4" t="s">
        <v>1643</v>
      </c>
      <c r="AE579" s="4" t="s">
        <v>1644</v>
      </c>
      <c r="AF579" s="4" t="s">
        <v>683</v>
      </c>
    </row>
    <row r="580" spans="1:35" ht="54" x14ac:dyDescent="0.3">
      <c r="A580" s="53" t="s">
        <v>1645</v>
      </c>
      <c r="B580" s="53" t="s">
        <v>737</v>
      </c>
      <c r="C580" s="54" t="s">
        <v>738</v>
      </c>
      <c r="D580" s="55"/>
      <c r="E580" s="55" t="s">
        <v>1604</v>
      </c>
      <c r="F580" s="55" t="s">
        <v>61</v>
      </c>
      <c r="G580" s="56">
        <v>1</v>
      </c>
      <c r="H580" s="55"/>
      <c r="I580" s="56">
        <v>3824.31</v>
      </c>
      <c r="J580" s="57">
        <f>IFERROR(ROUND(SUM(M581,M582,M583,M584)/I580, 2),0)</f>
        <v>2380.17</v>
      </c>
      <c r="K580" s="57">
        <v>1655</v>
      </c>
      <c r="L580" s="57">
        <f>J580+ROUND(K580, 2)</f>
        <v>4035.17</v>
      </c>
      <c r="M580" s="57">
        <f>ROUND(J580*I580, 2)</f>
        <v>9102507.9299999997</v>
      </c>
      <c r="N580" s="57">
        <f>ROUND(I580*ROUND(K580, 2), 2)</f>
        <v>6329233.0499999998</v>
      </c>
      <c r="O580" s="57">
        <f>M580+N580</f>
        <v>15431740.98</v>
      </c>
      <c r="P580" s="57">
        <f>IFERROR(ROUND(SUM(S581,S582,S583,S584)/I580, 2),0)</f>
        <v>2380.17</v>
      </c>
      <c r="Q580" s="57">
        <v>2364.29</v>
      </c>
      <c r="R580" s="57">
        <f>P580+ROUND(Q580, 2)</f>
        <v>4744.46</v>
      </c>
      <c r="S580" s="57">
        <f>ROUND(P580*I580, 2)</f>
        <v>9102507.9299999997</v>
      </c>
      <c r="T580" s="57">
        <f>ROUND(I580*ROUND(Q580, 2), 2)</f>
        <v>9041777.8900000006</v>
      </c>
      <c r="U580" s="57">
        <f>S580+T580</f>
        <v>18144285.82</v>
      </c>
      <c r="V580" s="9">
        <f>ROUND(P580 / 1.2, 2)</f>
        <v>1983.48</v>
      </c>
      <c r="W580" s="9">
        <f>ROUND(Q580 / 1.2, 2)</f>
        <v>1970.24</v>
      </c>
      <c r="X580" s="9">
        <f>ROUND(R580 / 1.2, 2)</f>
        <v>3953.72</v>
      </c>
      <c r="Y580" s="9">
        <f t="shared" ref="Y580:Y599" si="121">ROUND(S580 / 1.2, 2)</f>
        <v>7585423.2800000003</v>
      </c>
      <c r="Z580" s="9">
        <f>ROUND(T580 / 1.2, 2)</f>
        <v>7534814.9100000001</v>
      </c>
      <c r="AA580" s="9">
        <f>Y580+Z580</f>
        <v>15120238.190000001</v>
      </c>
      <c r="AD580" s="4">
        <v>320319889</v>
      </c>
      <c r="AE580" s="4">
        <v>28048959</v>
      </c>
      <c r="AG580" s="4" t="s">
        <v>739</v>
      </c>
      <c r="AH580" s="4" t="s">
        <v>740</v>
      </c>
      <c r="AI580" s="4" t="s">
        <v>338</v>
      </c>
    </row>
    <row r="581" spans="1:35" ht="54" x14ac:dyDescent="0.3">
      <c r="A581" s="53" t="s">
        <v>1646</v>
      </c>
      <c r="B581" s="53"/>
      <c r="C581" s="58" t="s">
        <v>743</v>
      </c>
      <c r="D581" s="55"/>
      <c r="E581" s="55" t="s">
        <v>744</v>
      </c>
      <c r="F581" s="59" t="s">
        <v>61</v>
      </c>
      <c r="G581" s="60">
        <v>1.07</v>
      </c>
      <c r="H581" s="55"/>
      <c r="I581" s="63">
        <v>4092.0120000000002</v>
      </c>
      <c r="J581" s="61">
        <v>2093.37</v>
      </c>
      <c r="K581" s="51"/>
      <c r="L581" s="51"/>
      <c r="M581" s="61">
        <f>ROUND(ROUND(J581, 2)*I581, 2)</f>
        <v>8566095.1600000001</v>
      </c>
      <c r="N581" s="51"/>
      <c r="O581" s="51"/>
      <c r="P581" s="61">
        <v>2093.37</v>
      </c>
      <c r="Q581" s="51"/>
      <c r="R581" s="51"/>
      <c r="S581" s="61">
        <f>ROUND(ROUND(P581, 2)*I581, 2)</f>
        <v>8566095.1600000001</v>
      </c>
      <c r="T581" s="51"/>
      <c r="U581" s="62"/>
      <c r="V581" s="9">
        <f>ROUND(ROUND(P581, 2)/1.2, 2)</f>
        <v>1744.48</v>
      </c>
      <c r="Y581" s="9">
        <f t="shared" si="121"/>
        <v>7138412.6299999999</v>
      </c>
      <c r="AD581" s="4" t="s">
        <v>1647</v>
      </c>
      <c r="AE581" s="4" t="s">
        <v>1648</v>
      </c>
      <c r="AF581" s="4" t="s">
        <v>747</v>
      </c>
    </row>
    <row r="582" spans="1:35" ht="36" x14ac:dyDescent="0.3">
      <c r="A582" s="53" t="s">
        <v>1649</v>
      </c>
      <c r="B582" s="53"/>
      <c r="C582" s="47" t="s">
        <v>751</v>
      </c>
      <c r="D582" s="55"/>
      <c r="E582" s="55"/>
      <c r="F582" s="59" t="s">
        <v>364</v>
      </c>
      <c r="G582" s="60">
        <v>7</v>
      </c>
      <c r="H582" s="55"/>
      <c r="I582" s="60">
        <v>26770.17</v>
      </c>
      <c r="J582" s="61">
        <v>16.38</v>
      </c>
      <c r="K582" s="51"/>
      <c r="L582" s="51"/>
      <c r="M582" s="61">
        <f>ROUND(ROUND(J582, 2)*I582, 2)</f>
        <v>438495.38</v>
      </c>
      <c r="N582" s="51"/>
      <c r="O582" s="51"/>
      <c r="P582" s="61">
        <v>16.38</v>
      </c>
      <c r="Q582" s="51"/>
      <c r="R582" s="51"/>
      <c r="S582" s="61">
        <f>ROUND(ROUND(P582, 2)*I582, 2)</f>
        <v>438495.38</v>
      </c>
      <c r="T582" s="51"/>
      <c r="U582" s="62"/>
      <c r="V582" s="9">
        <f>ROUND(ROUND(P582, 2)/1.2, 2)</f>
        <v>13.65</v>
      </c>
      <c r="Y582" s="9">
        <f t="shared" si="121"/>
        <v>365412.82</v>
      </c>
      <c r="AD582" s="4" t="s">
        <v>1650</v>
      </c>
      <c r="AE582" s="4" t="s">
        <v>1651</v>
      </c>
      <c r="AF582" s="4" t="s">
        <v>754</v>
      </c>
    </row>
    <row r="583" spans="1:35" ht="18" x14ac:dyDescent="0.3">
      <c r="A583" s="53" t="s">
        <v>1652</v>
      </c>
      <c r="B583" s="53"/>
      <c r="C583" s="58" t="s">
        <v>641</v>
      </c>
      <c r="D583" s="55"/>
      <c r="E583" s="55"/>
      <c r="F583" s="59" t="s">
        <v>364</v>
      </c>
      <c r="G583" s="60">
        <v>0.25</v>
      </c>
      <c r="H583" s="55"/>
      <c r="I583" s="63">
        <v>956.07799999999997</v>
      </c>
      <c r="J583" s="61">
        <v>48.23</v>
      </c>
      <c r="K583" s="51"/>
      <c r="L583" s="51"/>
      <c r="M583" s="61">
        <f>ROUND(ROUND(J583, 2)*I583, 2)</f>
        <v>46111.64</v>
      </c>
      <c r="N583" s="51"/>
      <c r="O583" s="51"/>
      <c r="P583" s="61">
        <v>48.23</v>
      </c>
      <c r="Q583" s="51"/>
      <c r="R583" s="51"/>
      <c r="S583" s="61">
        <f>ROUND(ROUND(P583, 2)*I583, 2)</f>
        <v>46111.64</v>
      </c>
      <c r="T583" s="51"/>
      <c r="U583" s="62"/>
      <c r="V583" s="9">
        <f>ROUND(ROUND(P583, 2)/1.2, 2)</f>
        <v>40.19</v>
      </c>
      <c r="Y583" s="9">
        <f t="shared" si="121"/>
        <v>38426.370000000003</v>
      </c>
      <c r="AD583" s="4" t="s">
        <v>1653</v>
      </c>
      <c r="AE583" s="4" t="s">
        <v>1654</v>
      </c>
      <c r="AF583" s="4" t="s">
        <v>644</v>
      </c>
    </row>
    <row r="584" spans="1:35" ht="36" x14ac:dyDescent="0.3">
      <c r="A584" s="53" t="s">
        <v>1655</v>
      </c>
      <c r="B584" s="53"/>
      <c r="C584" s="58" t="s">
        <v>680</v>
      </c>
      <c r="D584" s="55"/>
      <c r="E584" s="55"/>
      <c r="F584" s="59" t="s">
        <v>364</v>
      </c>
      <c r="G584" s="60">
        <v>0.15</v>
      </c>
      <c r="H584" s="55"/>
      <c r="I584" s="60">
        <v>573.64700000000005</v>
      </c>
      <c r="J584" s="61">
        <v>90.28</v>
      </c>
      <c r="K584" s="51"/>
      <c r="L584" s="51"/>
      <c r="M584" s="61">
        <f>ROUND(ROUND(J584, 2)*I584, 2)</f>
        <v>51788.85</v>
      </c>
      <c r="N584" s="51"/>
      <c r="O584" s="51"/>
      <c r="P584" s="61">
        <v>90.28</v>
      </c>
      <c r="Q584" s="51"/>
      <c r="R584" s="51"/>
      <c r="S584" s="61">
        <f>ROUND(ROUND(P584, 2)*I584, 2)</f>
        <v>51788.85</v>
      </c>
      <c r="T584" s="51"/>
      <c r="U584" s="62"/>
      <c r="V584" s="9">
        <f>ROUND(ROUND(P584, 2)/1.2, 2)</f>
        <v>75.23</v>
      </c>
      <c r="Y584" s="9">
        <f t="shared" si="121"/>
        <v>43157.38</v>
      </c>
      <c r="AD584" s="4" t="s">
        <v>1656</v>
      </c>
      <c r="AE584" s="4" t="s">
        <v>1657</v>
      </c>
      <c r="AF584" s="4" t="s">
        <v>683</v>
      </c>
    </row>
    <row r="585" spans="1:35" ht="54" x14ac:dyDescent="0.3">
      <c r="A585" s="53" t="s">
        <v>1658</v>
      </c>
      <c r="B585" s="53" t="s">
        <v>737</v>
      </c>
      <c r="C585" s="54" t="s">
        <v>738</v>
      </c>
      <c r="D585" s="55"/>
      <c r="E585" s="55" t="s">
        <v>1659</v>
      </c>
      <c r="F585" s="55" t="s">
        <v>61</v>
      </c>
      <c r="G585" s="56">
        <v>1</v>
      </c>
      <c r="H585" s="55"/>
      <c r="I585" s="56">
        <v>87.2</v>
      </c>
      <c r="J585" s="57">
        <f>IFERROR(ROUND(SUM(M586,M587,M588,M589)/I585, 2),0)</f>
        <v>2380.17</v>
      </c>
      <c r="K585" s="57">
        <v>1655</v>
      </c>
      <c r="L585" s="57">
        <f>J585+ROUND(K585, 2)</f>
        <v>4035.17</v>
      </c>
      <c r="M585" s="57">
        <f>ROUND(J585*I585, 2)</f>
        <v>207550.82</v>
      </c>
      <c r="N585" s="57">
        <f>ROUND(I585*ROUND(K585, 2), 2)</f>
        <v>144316</v>
      </c>
      <c r="O585" s="57">
        <f>M585+N585</f>
        <v>351866.82</v>
      </c>
      <c r="P585" s="57">
        <f>IFERROR(ROUND(SUM(S586,S587,S588,S589)/I585, 2),0)</f>
        <v>2380.17</v>
      </c>
      <c r="Q585" s="57">
        <v>2364.29</v>
      </c>
      <c r="R585" s="57">
        <f>P585+ROUND(Q585, 2)</f>
        <v>4744.46</v>
      </c>
      <c r="S585" s="57">
        <f>ROUND(P585*I585, 2)</f>
        <v>207550.82</v>
      </c>
      <c r="T585" s="57">
        <f>ROUND(I585*ROUND(Q585, 2), 2)</f>
        <v>206166.09</v>
      </c>
      <c r="U585" s="57">
        <f>S585+T585</f>
        <v>413716.91000000003</v>
      </c>
      <c r="V585" s="9">
        <f>ROUND(P585 / 1.2, 2)</f>
        <v>1983.48</v>
      </c>
      <c r="W585" s="9">
        <f>ROUND(Q585 / 1.2, 2)</f>
        <v>1970.24</v>
      </c>
      <c r="X585" s="9">
        <f>ROUND(R585 / 1.2, 2)</f>
        <v>3953.72</v>
      </c>
      <c r="Y585" s="9">
        <f t="shared" si="121"/>
        <v>172959.02</v>
      </c>
      <c r="Z585" s="9">
        <f>ROUND(T585 / 1.2, 2)</f>
        <v>171805.08</v>
      </c>
      <c r="AA585" s="9">
        <f>Y585+Z585</f>
        <v>344764.1</v>
      </c>
      <c r="AD585" s="4">
        <v>320319937</v>
      </c>
      <c r="AE585" s="4">
        <v>28048957</v>
      </c>
      <c r="AG585" s="4" t="s">
        <v>739</v>
      </c>
      <c r="AH585" s="4" t="s">
        <v>740</v>
      </c>
      <c r="AI585" s="4" t="s">
        <v>338</v>
      </c>
    </row>
    <row r="586" spans="1:35" ht="36" x14ac:dyDescent="0.3">
      <c r="A586" s="53" t="s">
        <v>1660</v>
      </c>
      <c r="B586" s="53"/>
      <c r="C586" s="58" t="s">
        <v>680</v>
      </c>
      <c r="D586" s="55"/>
      <c r="E586" s="55"/>
      <c r="F586" s="59" t="s">
        <v>364</v>
      </c>
      <c r="G586" s="60">
        <v>0.15</v>
      </c>
      <c r="H586" s="55"/>
      <c r="I586" s="60">
        <v>13.08</v>
      </c>
      <c r="J586" s="61">
        <v>90.28</v>
      </c>
      <c r="K586" s="51"/>
      <c r="L586" s="51"/>
      <c r="M586" s="61">
        <f>ROUND(ROUND(J586, 2)*I586, 2)</f>
        <v>1180.8599999999999</v>
      </c>
      <c r="N586" s="51"/>
      <c r="O586" s="51"/>
      <c r="P586" s="61">
        <v>90.28</v>
      </c>
      <c r="Q586" s="51"/>
      <c r="R586" s="51"/>
      <c r="S586" s="61">
        <f>ROUND(ROUND(P586, 2)*I586, 2)</f>
        <v>1180.8599999999999</v>
      </c>
      <c r="T586" s="51"/>
      <c r="U586" s="62"/>
      <c r="V586" s="9">
        <f>ROUND(ROUND(P586, 2)/1.2, 2)</f>
        <v>75.23</v>
      </c>
      <c r="Y586" s="9">
        <f t="shared" si="121"/>
        <v>984.05</v>
      </c>
      <c r="AD586" s="4" t="s">
        <v>1661</v>
      </c>
      <c r="AE586" s="4" t="s">
        <v>1662</v>
      </c>
      <c r="AF586" s="4" t="s">
        <v>683</v>
      </c>
    </row>
    <row r="587" spans="1:35" ht="18" x14ac:dyDescent="0.3">
      <c r="A587" s="53" t="s">
        <v>1663</v>
      </c>
      <c r="B587" s="53"/>
      <c r="C587" s="58" t="s">
        <v>641</v>
      </c>
      <c r="D587" s="55"/>
      <c r="E587" s="55"/>
      <c r="F587" s="59" t="s">
        <v>364</v>
      </c>
      <c r="G587" s="60">
        <v>0.25</v>
      </c>
      <c r="H587" s="55"/>
      <c r="I587" s="63">
        <v>21.8</v>
      </c>
      <c r="J587" s="61">
        <v>48.23</v>
      </c>
      <c r="K587" s="51"/>
      <c r="L587" s="51"/>
      <c r="M587" s="61">
        <f>ROUND(ROUND(J587, 2)*I587, 2)</f>
        <v>1051.4100000000001</v>
      </c>
      <c r="N587" s="51"/>
      <c r="O587" s="51"/>
      <c r="P587" s="61">
        <v>48.23</v>
      </c>
      <c r="Q587" s="51"/>
      <c r="R587" s="51"/>
      <c r="S587" s="61">
        <f>ROUND(ROUND(P587, 2)*I587, 2)</f>
        <v>1051.4100000000001</v>
      </c>
      <c r="T587" s="51"/>
      <c r="U587" s="62"/>
      <c r="V587" s="9">
        <f>ROUND(ROUND(P587, 2)/1.2, 2)</f>
        <v>40.19</v>
      </c>
      <c r="Y587" s="9">
        <f t="shared" si="121"/>
        <v>876.18</v>
      </c>
      <c r="AD587" s="4" t="s">
        <v>1664</v>
      </c>
      <c r="AE587" s="4" t="s">
        <v>1665</v>
      </c>
      <c r="AF587" s="4" t="s">
        <v>644</v>
      </c>
    </row>
    <row r="588" spans="1:35" ht="36" x14ac:dyDescent="0.3">
      <c r="A588" s="53" t="s">
        <v>1666</v>
      </c>
      <c r="B588" s="53"/>
      <c r="C588" s="47" t="s">
        <v>751</v>
      </c>
      <c r="D588" s="55"/>
      <c r="E588" s="55"/>
      <c r="F588" s="59" t="s">
        <v>364</v>
      </c>
      <c r="G588" s="60">
        <v>7</v>
      </c>
      <c r="H588" s="55"/>
      <c r="I588" s="60">
        <v>610.4</v>
      </c>
      <c r="J588" s="61">
        <v>16.38</v>
      </c>
      <c r="K588" s="51"/>
      <c r="L588" s="51"/>
      <c r="M588" s="61">
        <f>ROUND(ROUND(J588, 2)*I588, 2)</f>
        <v>9998.35</v>
      </c>
      <c r="N588" s="51"/>
      <c r="O588" s="51"/>
      <c r="P588" s="61">
        <v>16.38</v>
      </c>
      <c r="Q588" s="51"/>
      <c r="R588" s="51"/>
      <c r="S588" s="61">
        <f>ROUND(ROUND(P588, 2)*I588, 2)</f>
        <v>9998.35</v>
      </c>
      <c r="T588" s="51"/>
      <c r="U588" s="62"/>
      <c r="V588" s="9">
        <f>ROUND(ROUND(P588, 2)/1.2, 2)</f>
        <v>13.65</v>
      </c>
      <c r="Y588" s="9">
        <f t="shared" si="121"/>
        <v>8331.9599999999991</v>
      </c>
      <c r="AD588" s="4" t="s">
        <v>1667</v>
      </c>
      <c r="AE588" s="4" t="s">
        <v>1668</v>
      </c>
      <c r="AF588" s="4" t="s">
        <v>754</v>
      </c>
    </row>
    <row r="589" spans="1:35" ht="54" x14ac:dyDescent="0.3">
      <c r="A589" s="53" t="s">
        <v>1669</v>
      </c>
      <c r="B589" s="53"/>
      <c r="C589" s="58" t="s">
        <v>743</v>
      </c>
      <c r="D589" s="55"/>
      <c r="E589" s="55" t="s">
        <v>1670</v>
      </c>
      <c r="F589" s="59" t="s">
        <v>61</v>
      </c>
      <c r="G589" s="60">
        <v>1.07</v>
      </c>
      <c r="H589" s="55"/>
      <c r="I589" s="63">
        <v>93.304000000000002</v>
      </c>
      <c r="J589" s="61">
        <v>2093.37</v>
      </c>
      <c r="K589" s="51"/>
      <c r="L589" s="51"/>
      <c r="M589" s="61">
        <f>ROUND(ROUND(J589, 2)*I589, 2)</f>
        <v>195319.79</v>
      </c>
      <c r="N589" s="51"/>
      <c r="O589" s="51"/>
      <c r="P589" s="61">
        <v>2093.37</v>
      </c>
      <c r="Q589" s="51"/>
      <c r="R589" s="51"/>
      <c r="S589" s="61">
        <f>ROUND(ROUND(P589, 2)*I589, 2)</f>
        <v>195319.79</v>
      </c>
      <c r="T589" s="51"/>
      <c r="U589" s="62"/>
      <c r="V589" s="9">
        <f>ROUND(ROUND(P589, 2)/1.2, 2)</f>
        <v>1744.48</v>
      </c>
      <c r="Y589" s="9">
        <f t="shared" si="121"/>
        <v>162766.49</v>
      </c>
      <c r="AD589" s="4" t="s">
        <v>1671</v>
      </c>
      <c r="AE589" s="4" t="s">
        <v>1672</v>
      </c>
      <c r="AF589" s="4" t="s">
        <v>747</v>
      </c>
    </row>
    <row r="590" spans="1:35" ht="54" x14ac:dyDescent="0.3">
      <c r="A590" s="53" t="s">
        <v>1673</v>
      </c>
      <c r="B590" s="53" t="s">
        <v>791</v>
      </c>
      <c r="C590" s="54" t="s">
        <v>792</v>
      </c>
      <c r="D590" s="55"/>
      <c r="E590" s="55" t="s">
        <v>1618</v>
      </c>
      <c r="F590" s="55" t="s">
        <v>61</v>
      </c>
      <c r="G590" s="56">
        <v>1</v>
      </c>
      <c r="H590" s="55"/>
      <c r="I590" s="56">
        <v>2228.66</v>
      </c>
      <c r="J590" s="57">
        <f>IFERROR(ROUND(SUM(M591,M592,M593,M594)/I590, 2),0)</f>
        <v>2589.81</v>
      </c>
      <c r="K590" s="57">
        <v>2785</v>
      </c>
      <c r="L590" s="57">
        <f>J590+ROUND(K590, 2)</f>
        <v>5374.8099999999995</v>
      </c>
      <c r="M590" s="57">
        <f>ROUND(J590*I590, 2)</f>
        <v>5771805.9500000002</v>
      </c>
      <c r="N590" s="57">
        <f>ROUND(I590*ROUND(K590, 2), 2)</f>
        <v>6206818.0999999996</v>
      </c>
      <c r="O590" s="57">
        <f>M590+N590</f>
        <v>11978624.050000001</v>
      </c>
      <c r="P590" s="57">
        <f>IFERROR(ROUND(SUM(S591,S592,S593,S594)/I590, 2),0)</f>
        <v>2589.81</v>
      </c>
      <c r="Q590" s="57">
        <v>3978.57</v>
      </c>
      <c r="R590" s="57">
        <f>P590+ROUND(Q590, 2)</f>
        <v>6568.38</v>
      </c>
      <c r="S590" s="57">
        <f>ROUND(P590*I590, 2)</f>
        <v>5771805.9500000002</v>
      </c>
      <c r="T590" s="57">
        <f>ROUND(I590*ROUND(Q590, 2), 2)</f>
        <v>8866879.8200000003</v>
      </c>
      <c r="U590" s="57">
        <f>S590+T590</f>
        <v>14638685.77</v>
      </c>
      <c r="V590" s="9">
        <f>ROUND(P590 / 1.2, 2)</f>
        <v>2158.1799999999998</v>
      </c>
      <c r="W590" s="9">
        <f>ROUND(Q590 / 1.2, 2)</f>
        <v>3315.48</v>
      </c>
      <c r="X590" s="9">
        <f>ROUND(R590 / 1.2, 2)</f>
        <v>5473.65</v>
      </c>
      <c r="Y590" s="9">
        <f t="shared" si="121"/>
        <v>4809838.29</v>
      </c>
      <c r="Z590" s="9">
        <f>ROUND(T590 / 1.2, 2)</f>
        <v>7389066.5199999996</v>
      </c>
      <c r="AA590" s="9">
        <f>Y590+Z590</f>
        <v>12198904.809999999</v>
      </c>
      <c r="AD590" s="4">
        <v>320319890</v>
      </c>
      <c r="AE590" s="4">
        <v>28048961</v>
      </c>
      <c r="AG590" s="4" t="s">
        <v>793</v>
      </c>
      <c r="AH590" s="4" t="s">
        <v>794</v>
      </c>
      <c r="AI590" s="4" t="s">
        <v>338</v>
      </c>
    </row>
    <row r="591" spans="1:35" ht="36" x14ac:dyDescent="0.3">
      <c r="A591" s="53" t="s">
        <v>1674</v>
      </c>
      <c r="B591" s="53"/>
      <c r="C591" s="47" t="s">
        <v>797</v>
      </c>
      <c r="D591" s="55"/>
      <c r="E591" s="55"/>
      <c r="F591" s="59" t="s">
        <v>364</v>
      </c>
      <c r="G591" s="60">
        <v>1.2</v>
      </c>
      <c r="H591" s="55"/>
      <c r="I591" s="63">
        <v>13371.96</v>
      </c>
      <c r="J591" s="61">
        <v>16.38</v>
      </c>
      <c r="K591" s="51"/>
      <c r="L591" s="51"/>
      <c r="M591" s="61">
        <f>ROUND(ROUND(J591, 2)*I591, 2)</f>
        <v>219032.7</v>
      </c>
      <c r="N591" s="51"/>
      <c r="O591" s="51"/>
      <c r="P591" s="61">
        <v>16.38</v>
      </c>
      <c r="Q591" s="51"/>
      <c r="R591" s="51"/>
      <c r="S591" s="61">
        <f>ROUND(ROUND(P591, 2)*I591, 2)</f>
        <v>219032.7</v>
      </c>
      <c r="T591" s="51"/>
      <c r="U591" s="62"/>
      <c r="V591" s="9">
        <f>ROUND(ROUND(P591, 2)/1.2, 2)</f>
        <v>13.65</v>
      </c>
      <c r="Y591" s="9">
        <f t="shared" si="121"/>
        <v>182527.25</v>
      </c>
      <c r="AD591" s="4" t="s">
        <v>1675</v>
      </c>
      <c r="AE591" s="4" t="s">
        <v>1676</v>
      </c>
      <c r="AF591" s="4" t="s">
        <v>800</v>
      </c>
    </row>
    <row r="592" spans="1:35" ht="54" x14ac:dyDescent="0.3">
      <c r="A592" s="53" t="s">
        <v>1677</v>
      </c>
      <c r="B592" s="53"/>
      <c r="C592" s="58" t="s">
        <v>804</v>
      </c>
      <c r="D592" s="55"/>
      <c r="E592" s="55" t="s">
        <v>805</v>
      </c>
      <c r="F592" s="59" t="s">
        <v>61</v>
      </c>
      <c r="G592" s="60">
        <v>1.2</v>
      </c>
      <c r="H592" s="55"/>
      <c r="I592" s="63">
        <v>2674.3919999999998</v>
      </c>
      <c r="J592" s="61">
        <v>2054.94</v>
      </c>
      <c r="K592" s="51"/>
      <c r="L592" s="51"/>
      <c r="M592" s="61">
        <f>ROUND(ROUND(J592, 2)*I592, 2)</f>
        <v>5495715.0999999996</v>
      </c>
      <c r="N592" s="51"/>
      <c r="O592" s="51"/>
      <c r="P592" s="61">
        <v>2054.94</v>
      </c>
      <c r="Q592" s="51"/>
      <c r="R592" s="51"/>
      <c r="S592" s="61">
        <f>ROUND(ROUND(P592, 2)*I592, 2)</f>
        <v>5495715.0999999996</v>
      </c>
      <c r="T592" s="51"/>
      <c r="U592" s="62"/>
      <c r="V592" s="9">
        <f>ROUND(ROUND(P592, 2)/1.2, 2)</f>
        <v>1712.45</v>
      </c>
      <c r="Y592" s="9">
        <f t="shared" si="121"/>
        <v>4579762.58</v>
      </c>
      <c r="AD592" s="4" t="s">
        <v>1678</v>
      </c>
      <c r="AE592" s="4" t="s">
        <v>1679</v>
      </c>
      <c r="AF592" s="4" t="s">
        <v>808</v>
      </c>
    </row>
    <row r="593" spans="1:35" ht="18" x14ac:dyDescent="0.3">
      <c r="A593" s="53" t="s">
        <v>1680</v>
      </c>
      <c r="B593" s="53"/>
      <c r="C593" s="58" t="s">
        <v>641</v>
      </c>
      <c r="D593" s="55"/>
      <c r="E593" s="55"/>
      <c r="F593" s="59" t="s">
        <v>364</v>
      </c>
      <c r="G593" s="60">
        <v>0.25</v>
      </c>
      <c r="H593" s="55"/>
      <c r="I593" s="63">
        <v>557.16499999999996</v>
      </c>
      <c r="J593" s="61">
        <v>48.23</v>
      </c>
      <c r="K593" s="51"/>
      <c r="L593" s="51"/>
      <c r="M593" s="61">
        <f>ROUND(ROUND(J593, 2)*I593, 2)</f>
        <v>26872.07</v>
      </c>
      <c r="N593" s="51"/>
      <c r="O593" s="51"/>
      <c r="P593" s="61">
        <v>48.23</v>
      </c>
      <c r="Q593" s="51"/>
      <c r="R593" s="51"/>
      <c r="S593" s="61">
        <f>ROUND(ROUND(P593, 2)*I593, 2)</f>
        <v>26872.07</v>
      </c>
      <c r="T593" s="51"/>
      <c r="U593" s="62"/>
      <c r="V593" s="9">
        <f>ROUND(ROUND(P593, 2)/1.2, 2)</f>
        <v>40.19</v>
      </c>
      <c r="Y593" s="9">
        <f t="shared" si="121"/>
        <v>22393.39</v>
      </c>
      <c r="AD593" s="4" t="s">
        <v>1681</v>
      </c>
      <c r="AE593" s="4" t="s">
        <v>1682</v>
      </c>
      <c r="AF593" s="4" t="s">
        <v>644</v>
      </c>
    </row>
    <row r="594" spans="1:35" ht="36" x14ac:dyDescent="0.3">
      <c r="A594" s="53" t="s">
        <v>1683</v>
      </c>
      <c r="B594" s="53"/>
      <c r="C594" s="58" t="s">
        <v>680</v>
      </c>
      <c r="D594" s="55"/>
      <c r="E594" s="55"/>
      <c r="F594" s="59" t="s">
        <v>364</v>
      </c>
      <c r="G594" s="60">
        <v>0.15</v>
      </c>
      <c r="H594" s="55"/>
      <c r="I594" s="60">
        <v>334.29899999999998</v>
      </c>
      <c r="J594" s="61">
        <v>90.28</v>
      </c>
      <c r="K594" s="51"/>
      <c r="L594" s="51"/>
      <c r="M594" s="61">
        <f>ROUND(ROUND(J594, 2)*I594, 2)</f>
        <v>30180.51</v>
      </c>
      <c r="N594" s="51"/>
      <c r="O594" s="51"/>
      <c r="P594" s="61">
        <v>90.28</v>
      </c>
      <c r="Q594" s="51"/>
      <c r="R594" s="51"/>
      <c r="S594" s="61">
        <f>ROUND(ROUND(P594, 2)*I594, 2)</f>
        <v>30180.51</v>
      </c>
      <c r="T594" s="51"/>
      <c r="U594" s="62"/>
      <c r="V594" s="9">
        <f>ROUND(ROUND(P594, 2)/1.2, 2)</f>
        <v>75.23</v>
      </c>
      <c r="Y594" s="9">
        <f t="shared" si="121"/>
        <v>25150.43</v>
      </c>
      <c r="AD594" s="4" t="s">
        <v>1684</v>
      </c>
      <c r="AE594" s="4" t="s">
        <v>1685</v>
      </c>
      <c r="AF594" s="4" t="s">
        <v>683</v>
      </c>
    </row>
    <row r="595" spans="1:35" ht="54" x14ac:dyDescent="0.3">
      <c r="A595" s="53" t="s">
        <v>1686</v>
      </c>
      <c r="B595" s="53" t="s">
        <v>791</v>
      </c>
      <c r="C595" s="54" t="s">
        <v>792</v>
      </c>
      <c r="D595" s="55"/>
      <c r="E595" s="55" t="s">
        <v>1632</v>
      </c>
      <c r="F595" s="55" t="s">
        <v>61</v>
      </c>
      <c r="G595" s="56">
        <v>1</v>
      </c>
      <c r="H595" s="55"/>
      <c r="I595" s="56">
        <v>1152.23</v>
      </c>
      <c r="J595" s="57">
        <f>IFERROR(ROUND(SUM(M596,M597,M598,M599)/I595, 2),0)</f>
        <v>2589.81</v>
      </c>
      <c r="K595" s="57">
        <v>2785</v>
      </c>
      <c r="L595" s="57">
        <f>J595+ROUND(K595, 2)</f>
        <v>5374.8099999999995</v>
      </c>
      <c r="M595" s="57">
        <f>ROUND(J595*I595, 2)</f>
        <v>2984056.78</v>
      </c>
      <c r="N595" s="57">
        <f>ROUND(I595*ROUND(K595, 2), 2)</f>
        <v>3208960.55</v>
      </c>
      <c r="O595" s="57">
        <f>M595+N595</f>
        <v>6193017.3300000001</v>
      </c>
      <c r="P595" s="57">
        <f>IFERROR(ROUND(SUM(S596,S597,S598,S599)/I595, 2),0)</f>
        <v>2589.81</v>
      </c>
      <c r="Q595" s="57">
        <v>3978.57</v>
      </c>
      <c r="R595" s="57">
        <f>P595+ROUND(Q595, 2)</f>
        <v>6568.38</v>
      </c>
      <c r="S595" s="57">
        <f>ROUND(P595*I595, 2)</f>
        <v>2984056.78</v>
      </c>
      <c r="T595" s="57">
        <f>ROUND(I595*ROUND(Q595, 2), 2)</f>
        <v>4584227.71</v>
      </c>
      <c r="U595" s="57">
        <f>S595+T595</f>
        <v>7568284.4900000002</v>
      </c>
      <c r="V595" s="9">
        <f>ROUND(P595 / 1.2, 2)</f>
        <v>2158.1799999999998</v>
      </c>
      <c r="W595" s="9">
        <f>ROUND(Q595 / 1.2, 2)</f>
        <v>3315.48</v>
      </c>
      <c r="X595" s="9">
        <f>ROUND(R595 / 1.2, 2)</f>
        <v>5473.65</v>
      </c>
      <c r="Y595" s="9">
        <f t="shared" si="121"/>
        <v>2486713.98</v>
      </c>
      <c r="Z595" s="9">
        <f>ROUND(T595 / 1.2, 2)</f>
        <v>3820189.76</v>
      </c>
      <c r="AA595" s="9">
        <f>Y595+Z595</f>
        <v>6306903.7400000002</v>
      </c>
      <c r="AD595" s="4">
        <v>320319938</v>
      </c>
      <c r="AE595" s="4">
        <v>28048963</v>
      </c>
      <c r="AG595" s="4" t="s">
        <v>793</v>
      </c>
      <c r="AH595" s="4" t="s">
        <v>794</v>
      </c>
      <c r="AI595" s="4" t="s">
        <v>338</v>
      </c>
    </row>
    <row r="596" spans="1:35" ht="36" x14ac:dyDescent="0.3">
      <c r="A596" s="53" t="s">
        <v>1687</v>
      </c>
      <c r="B596" s="53"/>
      <c r="C596" s="58" t="s">
        <v>680</v>
      </c>
      <c r="D596" s="55"/>
      <c r="E596" s="55"/>
      <c r="F596" s="59" t="s">
        <v>364</v>
      </c>
      <c r="G596" s="60">
        <v>0.15</v>
      </c>
      <c r="H596" s="55"/>
      <c r="I596" s="60">
        <v>172.83500000000001</v>
      </c>
      <c r="J596" s="61">
        <v>90.28</v>
      </c>
      <c r="K596" s="51"/>
      <c r="L596" s="51"/>
      <c r="M596" s="61">
        <f>ROUND(ROUND(J596, 2)*I596, 2)</f>
        <v>15603.54</v>
      </c>
      <c r="N596" s="51"/>
      <c r="O596" s="51"/>
      <c r="P596" s="61">
        <v>90.28</v>
      </c>
      <c r="Q596" s="51"/>
      <c r="R596" s="51"/>
      <c r="S596" s="61">
        <f>ROUND(ROUND(P596, 2)*I596, 2)</f>
        <v>15603.54</v>
      </c>
      <c r="T596" s="51"/>
      <c r="U596" s="62"/>
      <c r="V596" s="9">
        <f>ROUND(ROUND(P596, 2)/1.2, 2)</f>
        <v>75.23</v>
      </c>
      <c r="Y596" s="9">
        <f t="shared" si="121"/>
        <v>13002.95</v>
      </c>
      <c r="AD596" s="4" t="s">
        <v>1688</v>
      </c>
      <c r="AE596" s="4" t="s">
        <v>1689</v>
      </c>
      <c r="AF596" s="4" t="s">
        <v>683</v>
      </c>
    </row>
    <row r="597" spans="1:35" ht="18" x14ac:dyDescent="0.3">
      <c r="A597" s="53" t="s">
        <v>1690</v>
      </c>
      <c r="B597" s="53"/>
      <c r="C597" s="58" t="s">
        <v>641</v>
      </c>
      <c r="D597" s="55"/>
      <c r="E597" s="55"/>
      <c r="F597" s="59" t="s">
        <v>364</v>
      </c>
      <c r="G597" s="60">
        <v>0.25</v>
      </c>
      <c r="H597" s="55"/>
      <c r="I597" s="63">
        <v>288.05799999999999</v>
      </c>
      <c r="J597" s="61">
        <v>48.23</v>
      </c>
      <c r="K597" s="51"/>
      <c r="L597" s="51"/>
      <c r="M597" s="61">
        <f>ROUND(ROUND(J597, 2)*I597, 2)</f>
        <v>13893.04</v>
      </c>
      <c r="N597" s="51"/>
      <c r="O597" s="51"/>
      <c r="P597" s="61">
        <v>48.23</v>
      </c>
      <c r="Q597" s="51"/>
      <c r="R597" s="51"/>
      <c r="S597" s="61">
        <f>ROUND(ROUND(P597, 2)*I597, 2)</f>
        <v>13893.04</v>
      </c>
      <c r="T597" s="51"/>
      <c r="U597" s="62"/>
      <c r="V597" s="9">
        <f>ROUND(ROUND(P597, 2)/1.2, 2)</f>
        <v>40.19</v>
      </c>
      <c r="Y597" s="9">
        <f t="shared" si="121"/>
        <v>11577.53</v>
      </c>
      <c r="AD597" s="4" t="s">
        <v>1691</v>
      </c>
      <c r="AE597" s="4" t="s">
        <v>1692</v>
      </c>
      <c r="AF597" s="4" t="s">
        <v>644</v>
      </c>
    </row>
    <row r="598" spans="1:35" ht="72" x14ac:dyDescent="0.3">
      <c r="A598" s="53" t="s">
        <v>1693</v>
      </c>
      <c r="B598" s="53"/>
      <c r="C598" s="58" t="s">
        <v>804</v>
      </c>
      <c r="D598" s="55"/>
      <c r="E598" s="55" t="s">
        <v>834</v>
      </c>
      <c r="F598" s="59" t="s">
        <v>61</v>
      </c>
      <c r="G598" s="60">
        <v>1.2</v>
      </c>
      <c r="H598" s="55"/>
      <c r="I598" s="63">
        <v>1382.6759999999999</v>
      </c>
      <c r="J598" s="61">
        <v>2054.94</v>
      </c>
      <c r="K598" s="51"/>
      <c r="L598" s="51"/>
      <c r="M598" s="61">
        <f>ROUND(ROUND(J598, 2)*I598, 2)</f>
        <v>2841316.22</v>
      </c>
      <c r="N598" s="51"/>
      <c r="O598" s="51"/>
      <c r="P598" s="61">
        <v>2054.94</v>
      </c>
      <c r="Q598" s="51"/>
      <c r="R598" s="51"/>
      <c r="S598" s="61">
        <f>ROUND(ROUND(P598, 2)*I598, 2)</f>
        <v>2841316.22</v>
      </c>
      <c r="T598" s="51"/>
      <c r="U598" s="62"/>
      <c r="V598" s="9">
        <f>ROUND(ROUND(P598, 2)/1.2, 2)</f>
        <v>1712.45</v>
      </c>
      <c r="Y598" s="9">
        <f t="shared" si="121"/>
        <v>2367763.52</v>
      </c>
      <c r="AD598" s="4" t="s">
        <v>1694</v>
      </c>
      <c r="AE598" s="4" t="s">
        <v>1695</v>
      </c>
      <c r="AF598" s="4" t="s">
        <v>808</v>
      </c>
    </row>
    <row r="599" spans="1:35" ht="36" x14ac:dyDescent="0.3">
      <c r="A599" s="53" t="s">
        <v>1696</v>
      </c>
      <c r="B599" s="53"/>
      <c r="C599" s="47" t="s">
        <v>797</v>
      </c>
      <c r="D599" s="55"/>
      <c r="E599" s="55"/>
      <c r="F599" s="59" t="s">
        <v>364</v>
      </c>
      <c r="G599" s="60">
        <v>1.2</v>
      </c>
      <c r="H599" s="55"/>
      <c r="I599" s="63">
        <v>6913.38</v>
      </c>
      <c r="J599" s="61">
        <v>16.38</v>
      </c>
      <c r="K599" s="51"/>
      <c r="L599" s="51"/>
      <c r="M599" s="61">
        <f>ROUND(ROUND(J599, 2)*I599, 2)</f>
        <v>113241.16</v>
      </c>
      <c r="N599" s="51"/>
      <c r="O599" s="51"/>
      <c r="P599" s="61">
        <v>16.38</v>
      </c>
      <c r="Q599" s="51"/>
      <c r="R599" s="51"/>
      <c r="S599" s="61">
        <f>ROUND(ROUND(P599, 2)*I599, 2)</f>
        <v>113241.16</v>
      </c>
      <c r="T599" s="51"/>
      <c r="U599" s="62"/>
      <c r="V599" s="9">
        <f>ROUND(ROUND(P599, 2)/1.2, 2)</f>
        <v>13.65</v>
      </c>
      <c r="Y599" s="9">
        <f t="shared" si="121"/>
        <v>94367.63</v>
      </c>
      <c r="AD599" s="4" t="s">
        <v>1697</v>
      </c>
      <c r="AE599" s="4" t="s">
        <v>1698</v>
      </c>
      <c r="AF599" s="4" t="s">
        <v>800</v>
      </c>
    </row>
    <row r="600" spans="1:35" ht="16.95" customHeight="1" x14ac:dyDescent="0.3">
      <c r="A600" s="53" t="s">
        <v>1699</v>
      </c>
      <c r="B600" s="53" t="s">
        <v>845</v>
      </c>
      <c r="C600" s="243" t="s">
        <v>846</v>
      </c>
      <c r="D600" s="244"/>
      <c r="E600" s="244"/>
      <c r="F600" s="244"/>
      <c r="G600" s="244"/>
      <c r="H600" s="244"/>
      <c r="I600" s="245"/>
      <c r="J600" s="51"/>
      <c r="K600" s="51"/>
      <c r="L600" s="51"/>
      <c r="M600" s="52">
        <f>SUM(M601,M607)</f>
        <v>17283564.650000002</v>
      </c>
      <c r="N600" s="52">
        <f>SUM(N601,N607)</f>
        <v>25554227.899999999</v>
      </c>
      <c r="O600" s="52">
        <f>SUM(O601,O607)</f>
        <v>42837792.549999997</v>
      </c>
      <c r="P600" s="51"/>
      <c r="Q600" s="51"/>
      <c r="R600" s="51"/>
      <c r="S600" s="52">
        <f>SUM(S601,S607)</f>
        <v>10636713.6</v>
      </c>
      <c r="T600" s="52">
        <f>SUM(T601,T607)</f>
        <v>36506095.510000005</v>
      </c>
      <c r="U600" s="52">
        <f>SUM(U601,U607)</f>
        <v>47142809.109999999</v>
      </c>
      <c r="Y600" s="9">
        <f>SUM(Y601,Y607)</f>
        <v>8863928.0099999998</v>
      </c>
      <c r="Z600" s="9">
        <f>SUM(Z601,Z607)</f>
        <v>30421746.260000002</v>
      </c>
      <c r="AA600" s="9">
        <f>SUM(AA601,AA607)</f>
        <v>39285674.270000003</v>
      </c>
      <c r="AD600" s="4">
        <v>320319891</v>
      </c>
      <c r="AE600" s="4">
        <v>28048970</v>
      </c>
    </row>
    <row r="601" spans="1:35" ht="16.95" customHeight="1" x14ac:dyDescent="0.3">
      <c r="A601" s="53" t="s">
        <v>1700</v>
      </c>
      <c r="B601" s="53" t="s">
        <v>848</v>
      </c>
      <c r="C601" s="243" t="s">
        <v>849</v>
      </c>
      <c r="D601" s="244"/>
      <c r="E601" s="244"/>
      <c r="F601" s="244"/>
      <c r="G601" s="244"/>
      <c r="H601" s="244"/>
      <c r="I601" s="245"/>
      <c r="J601" s="51"/>
      <c r="K601" s="51"/>
      <c r="L601" s="51"/>
      <c r="M601" s="52">
        <f>SUM(M602)</f>
        <v>2191880.39</v>
      </c>
      <c r="N601" s="52">
        <f>SUM(N602)</f>
        <v>7307544.5999999996</v>
      </c>
      <c r="O601" s="52">
        <f>SUM(O602)</f>
        <v>9499424.9900000002</v>
      </c>
      <c r="P601" s="51"/>
      <c r="Q601" s="51"/>
      <c r="R601" s="51"/>
      <c r="S601" s="52">
        <f>SUM(S602)</f>
        <v>2241669.7400000002</v>
      </c>
      <c r="T601" s="52">
        <f>SUM(T602)</f>
        <v>10439371.310000001</v>
      </c>
      <c r="U601" s="52">
        <f>SUM(U602)</f>
        <v>12681041.050000001</v>
      </c>
      <c r="Y601" s="9">
        <f>SUM(Y602)</f>
        <v>1868058.12</v>
      </c>
      <c r="Z601" s="9">
        <f>SUM(Z602)</f>
        <v>8699476.0899999999</v>
      </c>
      <c r="AA601" s="9">
        <f>SUM(AA602)</f>
        <v>10567534.210000001</v>
      </c>
      <c r="AD601" s="4">
        <v>320319892</v>
      </c>
      <c r="AE601" s="4">
        <v>28048973</v>
      </c>
    </row>
    <row r="602" spans="1:35" ht="72" x14ac:dyDescent="0.3">
      <c r="A602" s="53" t="s">
        <v>1701</v>
      </c>
      <c r="B602" s="53" t="s">
        <v>851</v>
      </c>
      <c r="C602" s="54" t="s">
        <v>852</v>
      </c>
      <c r="D602" s="55" t="s">
        <v>853</v>
      </c>
      <c r="E602" s="55" t="s">
        <v>1702</v>
      </c>
      <c r="F602" s="55" t="s">
        <v>61</v>
      </c>
      <c r="G602" s="56">
        <v>1</v>
      </c>
      <c r="H602" s="55"/>
      <c r="I602" s="56">
        <v>7659.9</v>
      </c>
      <c r="J602" s="57">
        <f>IFERROR(ROUND(SUM(M603,M604,M605,M606)/I602, 2),0)</f>
        <v>286.14999999999998</v>
      </c>
      <c r="K602" s="57">
        <v>954</v>
      </c>
      <c r="L602" s="57">
        <f>J602+ROUND(K602, 2)</f>
        <v>1240.1500000000001</v>
      </c>
      <c r="M602" s="57">
        <f>ROUND(J602*I602, 2)</f>
        <v>2191880.39</v>
      </c>
      <c r="N602" s="57">
        <f>ROUND(I602*ROUND(K602, 2), 2)</f>
        <v>7307544.5999999996</v>
      </c>
      <c r="O602" s="57">
        <f>M602+N602</f>
        <v>9499424.9900000002</v>
      </c>
      <c r="P602" s="57">
        <f>IFERROR(ROUND(SUM(S603,S604,S605,S606)/I602, 2),0)</f>
        <v>292.64999999999998</v>
      </c>
      <c r="Q602" s="57">
        <v>1362.86</v>
      </c>
      <c r="R602" s="57">
        <f>P602+ROUND(Q602, 2)</f>
        <v>1655.5099999999998</v>
      </c>
      <c r="S602" s="57">
        <f>ROUND(P602*I602, 2)</f>
        <v>2241669.7400000002</v>
      </c>
      <c r="T602" s="57">
        <f>ROUND(I602*ROUND(Q602, 2), 2)</f>
        <v>10439371.310000001</v>
      </c>
      <c r="U602" s="57">
        <f>S602+T602</f>
        <v>12681041.050000001</v>
      </c>
      <c r="V602" s="9">
        <f>ROUND(P602 / 1.2, 2)</f>
        <v>243.88</v>
      </c>
      <c r="W602" s="9">
        <f>ROUND(Q602 / 1.2, 2)</f>
        <v>1135.72</v>
      </c>
      <c r="X602" s="9">
        <f>ROUND(R602 / 1.2, 2)</f>
        <v>1379.59</v>
      </c>
      <c r="Y602" s="9">
        <f>ROUND(S602 / 1.2, 2)</f>
        <v>1868058.12</v>
      </c>
      <c r="Z602" s="9">
        <f>ROUND(T602 / 1.2, 2)</f>
        <v>8699476.0899999999</v>
      </c>
      <c r="AA602" s="9">
        <f>Y602+Z602</f>
        <v>10567534.210000001</v>
      </c>
      <c r="AD602" s="4">
        <v>320319894</v>
      </c>
      <c r="AE602" s="4">
        <v>28048977</v>
      </c>
      <c r="AG602" s="4" t="s">
        <v>855</v>
      </c>
      <c r="AH602" s="4" t="s">
        <v>856</v>
      </c>
      <c r="AI602" s="4" t="s">
        <v>338</v>
      </c>
    </row>
    <row r="603" spans="1:35" ht="18" x14ac:dyDescent="0.3">
      <c r="A603" s="53" t="s">
        <v>1703</v>
      </c>
      <c r="B603" s="53"/>
      <c r="C603" s="58" t="s">
        <v>859</v>
      </c>
      <c r="D603" s="55"/>
      <c r="E603" s="55"/>
      <c r="F603" s="59" t="s">
        <v>364</v>
      </c>
      <c r="G603" s="60">
        <v>1.3</v>
      </c>
      <c r="H603" s="55"/>
      <c r="I603" s="63">
        <v>199157.4</v>
      </c>
      <c r="J603" s="61">
        <v>8.75</v>
      </c>
      <c r="K603" s="51"/>
      <c r="L603" s="51"/>
      <c r="M603" s="61">
        <f>ROUND(ROUND(J603, 2)*I603, 2)</f>
        <v>1742627.25</v>
      </c>
      <c r="N603" s="51"/>
      <c r="O603" s="51"/>
      <c r="P603" s="61">
        <v>9</v>
      </c>
      <c r="Q603" s="51"/>
      <c r="R603" s="51"/>
      <c r="S603" s="61">
        <f>ROUND(ROUND(P603, 2)*I603, 2)</f>
        <v>1792416.6</v>
      </c>
      <c r="T603" s="51"/>
      <c r="U603" s="62"/>
      <c r="V603" s="9">
        <f>ROUND(ROUND(P603, 2)/1.2, 2)</f>
        <v>7.5</v>
      </c>
      <c r="Y603" s="9">
        <f>ROUND(S603 / 1.2, 2)</f>
        <v>1493680.5</v>
      </c>
      <c r="AD603" s="4" t="s">
        <v>1704</v>
      </c>
      <c r="AE603" s="4" t="s">
        <v>1705</v>
      </c>
      <c r="AF603" s="4" t="s">
        <v>862</v>
      </c>
    </row>
    <row r="604" spans="1:35" ht="18" x14ac:dyDescent="0.3">
      <c r="A604" s="53" t="s">
        <v>1706</v>
      </c>
      <c r="B604" s="53"/>
      <c r="C604" s="58" t="s">
        <v>866</v>
      </c>
      <c r="D604" s="55"/>
      <c r="E604" s="55"/>
      <c r="F604" s="59" t="s">
        <v>61</v>
      </c>
      <c r="G604" s="60">
        <v>1.1000000000000001</v>
      </c>
      <c r="H604" s="55"/>
      <c r="I604" s="60">
        <v>8425.89</v>
      </c>
      <c r="J604" s="61">
        <v>26.44</v>
      </c>
      <c r="K604" s="51"/>
      <c r="L604" s="51"/>
      <c r="M604" s="61">
        <f>ROUND(ROUND(J604, 2)*I604, 2)</f>
        <v>222780.53</v>
      </c>
      <c r="N604" s="51"/>
      <c r="O604" s="51"/>
      <c r="P604" s="61">
        <v>26.44</v>
      </c>
      <c r="Q604" s="51"/>
      <c r="R604" s="51"/>
      <c r="S604" s="61">
        <f>ROUND(ROUND(P604, 2)*I604, 2)</f>
        <v>222780.53</v>
      </c>
      <c r="T604" s="51"/>
      <c r="U604" s="62"/>
      <c r="V604" s="9">
        <f>ROUND(ROUND(P604, 2)/1.2, 2)</f>
        <v>22.03</v>
      </c>
      <c r="Y604" s="9">
        <f>ROUND(S604 / 1.2, 2)</f>
        <v>185650.44</v>
      </c>
      <c r="AD604" s="4" t="s">
        <v>1707</v>
      </c>
      <c r="AE604" s="4" t="s">
        <v>1708</v>
      </c>
      <c r="AF604" s="4" t="s">
        <v>869</v>
      </c>
    </row>
    <row r="605" spans="1:35" ht="18" x14ac:dyDescent="0.3">
      <c r="A605" s="53" t="s">
        <v>1709</v>
      </c>
      <c r="B605" s="53"/>
      <c r="C605" s="58" t="s">
        <v>873</v>
      </c>
      <c r="D605" s="55"/>
      <c r="E605" s="55"/>
      <c r="F605" s="59" t="s">
        <v>76</v>
      </c>
      <c r="G605" s="60">
        <v>1</v>
      </c>
      <c r="H605" s="55"/>
      <c r="I605" s="63">
        <v>7659.9</v>
      </c>
      <c r="J605" s="61">
        <v>16.02</v>
      </c>
      <c r="K605" s="51"/>
      <c r="L605" s="51"/>
      <c r="M605" s="61">
        <f>ROUND(ROUND(J605, 2)*I605, 2)</f>
        <v>122711.6</v>
      </c>
      <c r="N605" s="51"/>
      <c r="O605" s="51"/>
      <c r="P605" s="61">
        <v>16.02</v>
      </c>
      <c r="Q605" s="51"/>
      <c r="R605" s="51"/>
      <c r="S605" s="61">
        <f>ROUND(ROUND(P605, 2)*I605, 2)</f>
        <v>122711.6</v>
      </c>
      <c r="T605" s="51"/>
      <c r="U605" s="62"/>
      <c r="V605" s="9">
        <f>ROUND(ROUND(P605, 2)/1.2, 2)</f>
        <v>13.35</v>
      </c>
      <c r="Y605" s="9">
        <f>ROUND(S605 / 1.2, 2)</f>
        <v>102259.67</v>
      </c>
      <c r="AD605" s="4" t="s">
        <v>1710</v>
      </c>
      <c r="AE605" s="4" t="s">
        <v>1711</v>
      </c>
      <c r="AF605" s="4" t="s">
        <v>876</v>
      </c>
    </row>
    <row r="606" spans="1:35" ht="36" x14ac:dyDescent="0.3">
      <c r="A606" s="53" t="s">
        <v>1712</v>
      </c>
      <c r="B606" s="53"/>
      <c r="C606" s="58" t="s">
        <v>680</v>
      </c>
      <c r="D606" s="55"/>
      <c r="E606" s="55"/>
      <c r="F606" s="59" t="s">
        <v>364</v>
      </c>
      <c r="G606" s="60">
        <v>0.15</v>
      </c>
      <c r="H606" s="55"/>
      <c r="I606" s="60">
        <v>1148.9849999999999</v>
      </c>
      <c r="J606" s="61">
        <v>90.28</v>
      </c>
      <c r="K606" s="51"/>
      <c r="L606" s="51"/>
      <c r="M606" s="61">
        <f>ROUND(ROUND(J606, 2)*I606, 2)</f>
        <v>103730.37</v>
      </c>
      <c r="N606" s="51"/>
      <c r="O606" s="51"/>
      <c r="P606" s="61">
        <v>90.28</v>
      </c>
      <c r="Q606" s="51"/>
      <c r="R606" s="51"/>
      <c r="S606" s="61">
        <f>ROUND(ROUND(P606, 2)*I606, 2)</f>
        <v>103730.37</v>
      </c>
      <c r="T606" s="51"/>
      <c r="U606" s="62"/>
      <c r="V606" s="9">
        <f>ROUND(ROUND(P606, 2)/1.2, 2)</f>
        <v>75.23</v>
      </c>
      <c r="Y606" s="9">
        <f>ROUND(S606 / 1.2, 2)</f>
        <v>86441.98</v>
      </c>
      <c r="AD606" s="4" t="s">
        <v>1713</v>
      </c>
      <c r="AE606" s="4" t="s">
        <v>1714</v>
      </c>
      <c r="AF606" s="4" t="s">
        <v>683</v>
      </c>
    </row>
    <row r="607" spans="1:35" ht="16.95" customHeight="1" x14ac:dyDescent="0.3">
      <c r="A607" s="53" t="s">
        <v>1715</v>
      </c>
      <c r="B607" s="53" t="s">
        <v>885</v>
      </c>
      <c r="C607" s="243" t="s">
        <v>886</v>
      </c>
      <c r="D607" s="244"/>
      <c r="E607" s="244"/>
      <c r="F607" s="244"/>
      <c r="G607" s="244"/>
      <c r="H607" s="244"/>
      <c r="I607" s="245"/>
      <c r="J607" s="51"/>
      <c r="K607" s="51"/>
      <c r="L607" s="51"/>
      <c r="M607" s="52">
        <f>SUM(M608,M610,M613,M616)</f>
        <v>15091684.260000002</v>
      </c>
      <c r="N607" s="52">
        <f>SUM(N608,N610,N613,N616)</f>
        <v>18246683.299999997</v>
      </c>
      <c r="O607" s="52">
        <f>SUM(O608,O610,O613,O616)</f>
        <v>33338367.559999999</v>
      </c>
      <c r="P607" s="51"/>
      <c r="Q607" s="51"/>
      <c r="R607" s="51"/>
      <c r="S607" s="52">
        <f>SUM(S608,S610,S613,S616)</f>
        <v>8395043.8599999994</v>
      </c>
      <c r="T607" s="52">
        <f>SUM(T608,T610,T613,T616)</f>
        <v>26066724.200000003</v>
      </c>
      <c r="U607" s="52">
        <f>SUM(U608,U610,U613,U616)</f>
        <v>34461768.060000002</v>
      </c>
      <c r="Y607" s="9">
        <f>SUM(Y608,Y610,Y613,Y616)</f>
        <v>6995869.8899999997</v>
      </c>
      <c r="Z607" s="9">
        <f>SUM(Z608,Z610,Z613,Z616)</f>
        <v>21722270.170000002</v>
      </c>
      <c r="AA607" s="9">
        <f>SUM(AA608,AA610,AA613,AA616)</f>
        <v>28718140.060000002</v>
      </c>
      <c r="AD607" s="4">
        <v>320319895</v>
      </c>
      <c r="AE607" s="4">
        <v>28049041</v>
      </c>
    </row>
    <row r="608" spans="1:35" ht="54" x14ac:dyDescent="0.3">
      <c r="A608" s="53" t="s">
        <v>1716</v>
      </c>
      <c r="B608" s="53" t="s">
        <v>888</v>
      </c>
      <c r="C608" s="54" t="s">
        <v>889</v>
      </c>
      <c r="D608" s="55"/>
      <c r="E608" s="55" t="s">
        <v>890</v>
      </c>
      <c r="F608" s="55" t="s">
        <v>61</v>
      </c>
      <c r="G608" s="56">
        <v>1</v>
      </c>
      <c r="H608" s="55"/>
      <c r="I608" s="56">
        <v>2373.3000000000002</v>
      </c>
      <c r="J608" s="57">
        <f>IFERROR(ROUND(SUM(M609)/I608, 2),0)</f>
        <v>424.96</v>
      </c>
      <c r="K608" s="57">
        <v>1010</v>
      </c>
      <c r="L608" s="57">
        <f>J608+ROUND(K608, 2)</f>
        <v>1434.96</v>
      </c>
      <c r="M608" s="57">
        <f>ROUND(J608*I608, 2)</f>
        <v>1008557.57</v>
      </c>
      <c r="N608" s="57">
        <f>ROUND(I608*ROUND(K608, 2), 2)</f>
        <v>2397033</v>
      </c>
      <c r="O608" s="57">
        <f>M608+N608</f>
        <v>3405590.57</v>
      </c>
      <c r="P608" s="57">
        <f>IFERROR(ROUND(SUM(S609)/I608, 2),0)</f>
        <v>424.96</v>
      </c>
      <c r="Q608" s="57">
        <v>1442.86</v>
      </c>
      <c r="R608" s="57">
        <f>P608+ROUND(Q608, 2)</f>
        <v>1867.82</v>
      </c>
      <c r="S608" s="57">
        <f>ROUND(P608*I608, 2)</f>
        <v>1008557.57</v>
      </c>
      <c r="T608" s="57">
        <f>ROUND(I608*ROUND(Q608, 2), 2)</f>
        <v>3424339.64</v>
      </c>
      <c r="U608" s="57">
        <f>S608+T608</f>
        <v>4432897.21</v>
      </c>
      <c r="V608" s="9">
        <f>ROUND(P608 / 1.2, 2)</f>
        <v>354.13</v>
      </c>
      <c r="W608" s="9">
        <f>ROUND(Q608 / 1.2, 2)</f>
        <v>1202.3800000000001</v>
      </c>
      <c r="X608" s="9">
        <f>ROUND(R608 / 1.2, 2)</f>
        <v>1556.52</v>
      </c>
      <c r="Y608" s="9">
        <f>ROUND(S608 / 1.2, 2)</f>
        <v>840464.64</v>
      </c>
      <c r="Z608" s="9">
        <f>ROUND(T608 / 1.2, 2)</f>
        <v>2853616.37</v>
      </c>
      <c r="AA608" s="9">
        <f>Y608+Z608</f>
        <v>3694081.0100000002</v>
      </c>
      <c r="AD608" s="4">
        <v>320319897</v>
      </c>
      <c r="AE608" s="4">
        <v>28049043</v>
      </c>
      <c r="AG608" s="4" t="s">
        <v>891</v>
      </c>
      <c r="AH608" s="4" t="s">
        <v>892</v>
      </c>
      <c r="AI608" s="4" t="s">
        <v>338</v>
      </c>
    </row>
    <row r="609" spans="1:35" ht="18" x14ac:dyDescent="0.3">
      <c r="A609" s="53" t="s">
        <v>1717</v>
      </c>
      <c r="B609" s="53"/>
      <c r="C609" s="58" t="s">
        <v>1718</v>
      </c>
      <c r="D609" s="55"/>
      <c r="E609" s="55"/>
      <c r="F609" s="59" t="s">
        <v>356</v>
      </c>
      <c r="G609" s="60">
        <v>1</v>
      </c>
      <c r="H609" s="55"/>
      <c r="I609" s="60">
        <v>2373.3000000000002</v>
      </c>
      <c r="J609" s="61">
        <v>424.96</v>
      </c>
      <c r="K609" s="51"/>
      <c r="L609" s="51"/>
      <c r="M609" s="61">
        <f>ROUND(ROUND(J609, 2)*I609, 2)</f>
        <v>1008557.57</v>
      </c>
      <c r="N609" s="51"/>
      <c r="O609" s="51"/>
      <c r="P609" s="61">
        <v>424.96</v>
      </c>
      <c r="Q609" s="51"/>
      <c r="R609" s="51"/>
      <c r="S609" s="61">
        <f>ROUND(ROUND(P609, 2)*I609, 2)</f>
        <v>1008557.57</v>
      </c>
      <c r="T609" s="51"/>
      <c r="U609" s="62"/>
      <c r="V609" s="9">
        <f>ROUND(ROUND(P609, 2)/1.2, 2)</f>
        <v>354.13</v>
      </c>
      <c r="Y609" s="9">
        <f t="shared" ref="Y609:Y620" si="122">ROUND(S609 / 1.2, 2)</f>
        <v>840464.64</v>
      </c>
      <c r="AD609" s="4" t="s">
        <v>1719</v>
      </c>
      <c r="AE609" s="4" t="s">
        <v>1720</v>
      </c>
      <c r="AF609" s="4" t="s">
        <v>898</v>
      </c>
    </row>
    <row r="610" spans="1:35" ht="90" x14ac:dyDescent="0.3">
      <c r="A610" s="53" t="s">
        <v>1721</v>
      </c>
      <c r="B610" s="53" t="s">
        <v>902</v>
      </c>
      <c r="C610" s="54" t="s">
        <v>903</v>
      </c>
      <c r="D610" s="55"/>
      <c r="E610" s="55" t="s">
        <v>1722</v>
      </c>
      <c r="F610" s="55" t="s">
        <v>61</v>
      </c>
      <c r="G610" s="56">
        <v>1</v>
      </c>
      <c r="H610" s="55"/>
      <c r="I610" s="56">
        <v>11850.4</v>
      </c>
      <c r="J610" s="57">
        <f>IFERROR(ROUND(SUM(M611,M612)/I610, 2),0)</f>
        <v>508.25</v>
      </c>
      <c r="K610" s="57">
        <v>428</v>
      </c>
      <c r="L610" s="57">
        <f>J610+ROUND(K610, 2)</f>
        <v>936.25</v>
      </c>
      <c r="M610" s="57">
        <f>ROUND(J610*I610, 2)</f>
        <v>6022965.7999999998</v>
      </c>
      <c r="N610" s="57">
        <f>ROUND(I610*ROUND(K610, 2), 2)</f>
        <v>5071971.2</v>
      </c>
      <c r="O610" s="57">
        <f>M610+N610</f>
        <v>11094937</v>
      </c>
      <c r="P610" s="57">
        <f>IFERROR(ROUND(SUM(S611,S612)/I610, 2),0)</f>
        <v>58.34</v>
      </c>
      <c r="Q610" s="57">
        <v>611.42999999999995</v>
      </c>
      <c r="R610" s="57">
        <f>P610+ROUND(Q610, 2)</f>
        <v>669.77</v>
      </c>
      <c r="S610" s="57">
        <f>ROUND(P610*I610, 2)</f>
        <v>691352.34</v>
      </c>
      <c r="T610" s="57">
        <f>ROUND(I610*ROUND(Q610, 2), 2)</f>
        <v>7245690.0700000003</v>
      </c>
      <c r="U610" s="57">
        <f>S610+T610</f>
        <v>7937042.4100000001</v>
      </c>
      <c r="V610" s="9">
        <f>ROUND(P610 / 1.2, 2)</f>
        <v>48.62</v>
      </c>
      <c r="W610" s="9">
        <f>ROUND(Q610 / 1.2, 2)</f>
        <v>509.53</v>
      </c>
      <c r="X610" s="9">
        <f>ROUND(R610 / 1.2, 2)</f>
        <v>558.14</v>
      </c>
      <c r="Y610" s="9">
        <f t="shared" si="122"/>
        <v>576126.94999999995</v>
      </c>
      <c r="Z610" s="9">
        <f>ROUND(T610 / 1.2, 2)</f>
        <v>6038075.0599999996</v>
      </c>
      <c r="AA610" s="9">
        <f>Y610+Z610</f>
        <v>6614202.0099999998</v>
      </c>
      <c r="AD610" s="4">
        <v>320319899</v>
      </c>
      <c r="AE610" s="4">
        <v>28049044</v>
      </c>
      <c r="AG610" s="4" t="s">
        <v>905</v>
      </c>
      <c r="AH610" s="4" t="s">
        <v>906</v>
      </c>
      <c r="AI610" s="4" t="s">
        <v>338</v>
      </c>
    </row>
    <row r="611" spans="1:35" ht="36" x14ac:dyDescent="0.3">
      <c r="A611" s="53" t="s">
        <v>1723</v>
      </c>
      <c r="B611" s="53"/>
      <c r="C611" s="58" t="s">
        <v>680</v>
      </c>
      <c r="D611" s="55"/>
      <c r="E611" s="55"/>
      <c r="F611" s="59" t="s">
        <v>364</v>
      </c>
      <c r="G611" s="60">
        <v>0.15</v>
      </c>
      <c r="H611" s="55"/>
      <c r="I611" s="60">
        <v>1777.56</v>
      </c>
      <c r="J611" s="61">
        <v>90.28</v>
      </c>
      <c r="K611" s="51"/>
      <c r="L611" s="51"/>
      <c r="M611" s="61">
        <f>ROUND(ROUND(J611, 2)*I611, 2)</f>
        <v>160478.12</v>
      </c>
      <c r="N611" s="51"/>
      <c r="O611" s="51"/>
      <c r="P611" s="61">
        <v>90.28</v>
      </c>
      <c r="Q611" s="51"/>
      <c r="R611" s="51"/>
      <c r="S611" s="61">
        <f>ROUND(ROUND(P611, 2)*I611, 2)</f>
        <v>160478.12</v>
      </c>
      <c r="T611" s="51"/>
      <c r="U611" s="62"/>
      <c r="V611" s="9">
        <f>ROUND(ROUND(P611, 2)/1.2, 2)</f>
        <v>75.23</v>
      </c>
      <c r="Y611" s="9">
        <f t="shared" si="122"/>
        <v>133731.76999999999</v>
      </c>
      <c r="AD611" s="4" t="s">
        <v>1724</v>
      </c>
      <c r="AE611" s="4" t="s">
        <v>1725</v>
      </c>
      <c r="AF611" s="4" t="s">
        <v>683</v>
      </c>
    </row>
    <row r="612" spans="1:35" ht="90" x14ac:dyDescent="0.3">
      <c r="A612" s="53" t="s">
        <v>1726</v>
      </c>
      <c r="B612" s="53"/>
      <c r="C612" s="58" t="s">
        <v>914</v>
      </c>
      <c r="D612" s="55"/>
      <c r="E612" s="55" t="s">
        <v>915</v>
      </c>
      <c r="F612" s="59" t="s">
        <v>364</v>
      </c>
      <c r="G612" s="60">
        <v>0.3</v>
      </c>
      <c r="H612" s="55"/>
      <c r="I612" s="60">
        <v>3555.12</v>
      </c>
      <c r="J612" s="61">
        <v>1649.04</v>
      </c>
      <c r="K612" s="51"/>
      <c r="L612" s="51"/>
      <c r="M612" s="61">
        <f>ROUND(ROUND(J612, 2)*I612, 2)</f>
        <v>5862535.0800000001</v>
      </c>
      <c r="N612" s="51"/>
      <c r="O612" s="51"/>
      <c r="P612" s="61">
        <v>149.31</v>
      </c>
      <c r="Q612" s="51"/>
      <c r="R612" s="51"/>
      <c r="S612" s="61">
        <f>ROUND(ROUND(P612, 2)*I612, 2)</f>
        <v>530814.97</v>
      </c>
      <c r="T612" s="51"/>
      <c r="U612" s="62"/>
      <c r="V612" s="9">
        <f>ROUND(ROUND(P612, 2)/1.2, 2)</f>
        <v>124.43</v>
      </c>
      <c r="Y612" s="9">
        <f t="shared" si="122"/>
        <v>442345.81</v>
      </c>
      <c r="AD612" s="4" t="s">
        <v>1727</v>
      </c>
      <c r="AE612" s="4" t="s">
        <v>1728</v>
      </c>
      <c r="AF612" s="4" t="s">
        <v>918</v>
      </c>
    </row>
    <row r="613" spans="1:35" ht="90" x14ac:dyDescent="0.3">
      <c r="A613" s="53" t="s">
        <v>1729</v>
      </c>
      <c r="B613" s="53" t="s">
        <v>902</v>
      </c>
      <c r="C613" s="54" t="s">
        <v>903</v>
      </c>
      <c r="D613" s="55"/>
      <c r="E613" s="55" t="s">
        <v>922</v>
      </c>
      <c r="F613" s="55" t="s">
        <v>61</v>
      </c>
      <c r="G613" s="56">
        <v>1</v>
      </c>
      <c r="H613" s="55"/>
      <c r="I613" s="56">
        <v>3034</v>
      </c>
      <c r="J613" s="57">
        <f>IFERROR(ROUND(SUM(M614,M615)/I613, 2),0)</f>
        <v>508.25</v>
      </c>
      <c r="K613" s="57">
        <v>428</v>
      </c>
      <c r="L613" s="57">
        <f>J613+ROUND(K613, 2)</f>
        <v>936.25</v>
      </c>
      <c r="M613" s="57">
        <f>ROUND(J613*I613, 2)</f>
        <v>1542030.5</v>
      </c>
      <c r="N613" s="57">
        <f>ROUND(I613*ROUND(K613, 2), 2)</f>
        <v>1298552</v>
      </c>
      <c r="O613" s="57">
        <f>M613+N613</f>
        <v>2840582.5</v>
      </c>
      <c r="P613" s="57">
        <f>IFERROR(ROUND(SUM(S614,S615)/I613, 2),0)</f>
        <v>58.34</v>
      </c>
      <c r="Q613" s="57">
        <v>611.42999999999995</v>
      </c>
      <c r="R613" s="57">
        <f>P613+ROUND(Q613, 2)</f>
        <v>669.77</v>
      </c>
      <c r="S613" s="57">
        <f>ROUND(P613*I613, 2)</f>
        <v>177003.56</v>
      </c>
      <c r="T613" s="57">
        <f>ROUND(I613*ROUND(Q613, 2), 2)</f>
        <v>1855078.62</v>
      </c>
      <c r="U613" s="57">
        <f>S613+T613</f>
        <v>2032082.1800000002</v>
      </c>
      <c r="V613" s="9">
        <f>ROUND(P613 / 1.2, 2)</f>
        <v>48.62</v>
      </c>
      <c r="W613" s="9">
        <f>ROUND(Q613 / 1.2, 2)</f>
        <v>509.53</v>
      </c>
      <c r="X613" s="9">
        <f>ROUND(R613 / 1.2, 2)</f>
        <v>558.14</v>
      </c>
      <c r="Y613" s="9">
        <f t="shared" si="122"/>
        <v>147502.97</v>
      </c>
      <c r="Z613" s="9">
        <f>ROUND(T613 / 1.2, 2)</f>
        <v>1545898.85</v>
      </c>
      <c r="AA613" s="9">
        <f>Y613+Z613</f>
        <v>1693401.82</v>
      </c>
      <c r="AD613" s="4">
        <v>320319939</v>
      </c>
      <c r="AE613" s="4">
        <v>28049045</v>
      </c>
      <c r="AG613" s="4" t="s">
        <v>905</v>
      </c>
      <c r="AH613" s="4" t="s">
        <v>906</v>
      </c>
      <c r="AI613" s="4" t="s">
        <v>338</v>
      </c>
    </row>
    <row r="614" spans="1:35" ht="90" x14ac:dyDescent="0.3">
      <c r="A614" s="53" t="s">
        <v>1730</v>
      </c>
      <c r="B614" s="53"/>
      <c r="C614" s="58" t="s">
        <v>914</v>
      </c>
      <c r="D614" s="55"/>
      <c r="E614" s="55" t="s">
        <v>925</v>
      </c>
      <c r="F614" s="59" t="s">
        <v>364</v>
      </c>
      <c r="G614" s="60">
        <v>0.3</v>
      </c>
      <c r="H614" s="55"/>
      <c r="I614" s="60">
        <v>910.2</v>
      </c>
      <c r="J614" s="61">
        <v>1649.04</v>
      </c>
      <c r="K614" s="51"/>
      <c r="L614" s="51"/>
      <c r="M614" s="61">
        <f>ROUND(ROUND(J614, 2)*I614, 2)</f>
        <v>1500956.21</v>
      </c>
      <c r="N614" s="51"/>
      <c r="O614" s="51"/>
      <c r="P614" s="61">
        <v>149.31</v>
      </c>
      <c r="Q614" s="51"/>
      <c r="R614" s="51"/>
      <c r="S614" s="61">
        <f>ROUND(ROUND(P614, 2)*I614, 2)</f>
        <v>135901.96</v>
      </c>
      <c r="T614" s="51"/>
      <c r="U614" s="62"/>
      <c r="V614" s="9">
        <f>ROUND(ROUND(P614, 2)/1.2, 2)</f>
        <v>124.43</v>
      </c>
      <c r="Y614" s="9">
        <f t="shared" si="122"/>
        <v>113251.63</v>
      </c>
      <c r="AD614" s="4" t="s">
        <v>1731</v>
      </c>
      <c r="AE614" s="4" t="s">
        <v>1732</v>
      </c>
      <c r="AF614" s="4" t="s">
        <v>918</v>
      </c>
    </row>
    <row r="615" spans="1:35" ht="36" x14ac:dyDescent="0.3">
      <c r="A615" s="53" t="s">
        <v>1733</v>
      </c>
      <c r="B615" s="53"/>
      <c r="C615" s="58" t="s">
        <v>680</v>
      </c>
      <c r="D615" s="55"/>
      <c r="E615" s="55"/>
      <c r="F615" s="59" t="s">
        <v>364</v>
      </c>
      <c r="G615" s="60">
        <v>0.15</v>
      </c>
      <c r="H615" s="55"/>
      <c r="I615" s="60">
        <v>455.1</v>
      </c>
      <c r="J615" s="61">
        <v>90.28</v>
      </c>
      <c r="K615" s="51"/>
      <c r="L615" s="51"/>
      <c r="M615" s="61">
        <f>ROUND(ROUND(J615, 2)*I615, 2)</f>
        <v>41086.43</v>
      </c>
      <c r="N615" s="51"/>
      <c r="O615" s="51"/>
      <c r="P615" s="61">
        <v>90.28</v>
      </c>
      <c r="Q615" s="51"/>
      <c r="R615" s="51"/>
      <c r="S615" s="61">
        <f>ROUND(ROUND(P615, 2)*I615, 2)</f>
        <v>41086.43</v>
      </c>
      <c r="T615" s="51"/>
      <c r="U615" s="62"/>
      <c r="V615" s="9">
        <f>ROUND(ROUND(P615, 2)/1.2, 2)</f>
        <v>75.23</v>
      </c>
      <c r="Y615" s="9">
        <f t="shared" si="122"/>
        <v>34238.69</v>
      </c>
      <c r="AD615" s="4" t="s">
        <v>1734</v>
      </c>
      <c r="AE615" s="4" t="s">
        <v>1735</v>
      </c>
      <c r="AF615" s="4" t="s">
        <v>683</v>
      </c>
    </row>
    <row r="616" spans="1:35" ht="54" x14ac:dyDescent="0.3">
      <c r="A616" s="53" t="s">
        <v>1736</v>
      </c>
      <c r="B616" s="53" t="s">
        <v>936</v>
      </c>
      <c r="C616" s="54" t="s">
        <v>937</v>
      </c>
      <c r="D616" s="55"/>
      <c r="E616" s="55" t="s">
        <v>1737</v>
      </c>
      <c r="F616" s="55" t="s">
        <v>61</v>
      </c>
      <c r="G616" s="56">
        <v>1</v>
      </c>
      <c r="H616" s="55"/>
      <c r="I616" s="56">
        <v>4009.8</v>
      </c>
      <c r="J616" s="57">
        <f>IFERROR(ROUND(SUM(M617,M618,M619,M620)/I616, 2),0)</f>
        <v>1625.55</v>
      </c>
      <c r="K616" s="57">
        <v>2363.9899999999998</v>
      </c>
      <c r="L616" s="57">
        <f>J616+ROUND(K616, 2)</f>
        <v>3989.54</v>
      </c>
      <c r="M616" s="57">
        <f>ROUND(J616*I616, 2)</f>
        <v>6518130.3899999997</v>
      </c>
      <c r="N616" s="57">
        <f>ROUND(I616*ROUND(K616, 2), 2)</f>
        <v>9479127.0999999996</v>
      </c>
      <c r="O616" s="57">
        <f>M616+N616</f>
        <v>15997257.489999998</v>
      </c>
      <c r="P616" s="57">
        <f>IFERROR(ROUND(SUM(S617,S618,S619,S620)/I616, 2),0)</f>
        <v>1625.55</v>
      </c>
      <c r="Q616" s="57">
        <v>3377.13</v>
      </c>
      <c r="R616" s="57">
        <f>P616+ROUND(Q616, 2)</f>
        <v>5002.68</v>
      </c>
      <c r="S616" s="57">
        <f>ROUND(P616*I616, 2)</f>
        <v>6518130.3899999997</v>
      </c>
      <c r="T616" s="57">
        <f>ROUND(I616*ROUND(Q616, 2), 2)</f>
        <v>13541615.869999999</v>
      </c>
      <c r="U616" s="57">
        <f>S616+T616</f>
        <v>20059746.259999998</v>
      </c>
      <c r="V616" s="9">
        <f>ROUND(P616 / 1.2, 2)</f>
        <v>1354.63</v>
      </c>
      <c r="W616" s="9">
        <f>ROUND(Q616 / 1.2, 2)</f>
        <v>2814.28</v>
      </c>
      <c r="X616" s="9">
        <f>ROUND(R616 / 1.2, 2)</f>
        <v>4168.8999999999996</v>
      </c>
      <c r="Y616" s="9">
        <f t="shared" si="122"/>
        <v>5431775.3300000001</v>
      </c>
      <c r="Z616" s="9">
        <f>ROUND(T616 / 1.2, 2)</f>
        <v>11284679.890000001</v>
      </c>
      <c r="AA616" s="9">
        <f>Y616+Z616</f>
        <v>16716455.220000001</v>
      </c>
      <c r="AD616" s="4">
        <v>320319901</v>
      </c>
      <c r="AE616" s="4">
        <v>28049053</v>
      </c>
      <c r="AG616" s="4" t="s">
        <v>939</v>
      </c>
      <c r="AH616" s="4" t="s">
        <v>940</v>
      </c>
      <c r="AI616" s="4" t="s">
        <v>338</v>
      </c>
    </row>
    <row r="617" spans="1:35" ht="36" x14ac:dyDescent="0.3">
      <c r="A617" s="53" t="s">
        <v>1738</v>
      </c>
      <c r="B617" s="53"/>
      <c r="C617" s="58" t="s">
        <v>943</v>
      </c>
      <c r="D617" s="55"/>
      <c r="E617" s="55"/>
      <c r="F617" s="59" t="s">
        <v>364</v>
      </c>
      <c r="G617" s="60">
        <v>0.25</v>
      </c>
      <c r="H617" s="55"/>
      <c r="I617" s="63">
        <v>1002.45</v>
      </c>
      <c r="J617" s="61">
        <v>40.94</v>
      </c>
      <c r="K617" s="51"/>
      <c r="L617" s="51"/>
      <c r="M617" s="61">
        <f>ROUND(ROUND(J617, 2)*I617, 2)</f>
        <v>41040.300000000003</v>
      </c>
      <c r="N617" s="51"/>
      <c r="O617" s="51"/>
      <c r="P617" s="61">
        <v>40.94</v>
      </c>
      <c r="Q617" s="51"/>
      <c r="R617" s="51"/>
      <c r="S617" s="61">
        <f>ROUND(ROUND(P617, 2)*I617, 2)</f>
        <v>41040.300000000003</v>
      </c>
      <c r="T617" s="51"/>
      <c r="U617" s="62"/>
      <c r="V617" s="9">
        <f>ROUND(ROUND(P617, 2)/1.2, 2)</f>
        <v>34.119999999999997</v>
      </c>
      <c r="Y617" s="9">
        <f t="shared" si="122"/>
        <v>34200.25</v>
      </c>
      <c r="AD617" s="4" t="s">
        <v>1739</v>
      </c>
      <c r="AE617" s="4" t="s">
        <v>1740</v>
      </c>
      <c r="AF617" s="4" t="s">
        <v>946</v>
      </c>
    </row>
    <row r="618" spans="1:35" ht="36" x14ac:dyDescent="0.3">
      <c r="A618" s="53" t="s">
        <v>1741</v>
      </c>
      <c r="B618" s="53"/>
      <c r="C618" s="58" t="s">
        <v>557</v>
      </c>
      <c r="D618" s="55"/>
      <c r="E618" s="55"/>
      <c r="F618" s="59" t="s">
        <v>364</v>
      </c>
      <c r="G618" s="60">
        <v>0.15</v>
      </c>
      <c r="H618" s="55"/>
      <c r="I618" s="60">
        <v>601.47</v>
      </c>
      <c r="J618" s="61">
        <v>69.540000000000006</v>
      </c>
      <c r="K618" s="51"/>
      <c r="L618" s="51"/>
      <c r="M618" s="61">
        <f>ROUND(ROUND(J618, 2)*I618, 2)</f>
        <v>41826.22</v>
      </c>
      <c r="N618" s="51"/>
      <c r="O618" s="51"/>
      <c r="P618" s="61">
        <v>69.540000000000006</v>
      </c>
      <c r="Q618" s="51"/>
      <c r="R618" s="51"/>
      <c r="S618" s="61">
        <f>ROUND(ROUND(P618, 2)*I618, 2)</f>
        <v>41826.22</v>
      </c>
      <c r="T618" s="51"/>
      <c r="U618" s="62"/>
      <c r="V618" s="9">
        <f>ROUND(ROUND(P618, 2)/1.2, 2)</f>
        <v>57.95</v>
      </c>
      <c r="Y618" s="9">
        <f t="shared" si="122"/>
        <v>34855.18</v>
      </c>
      <c r="AD618" s="4" t="s">
        <v>1742</v>
      </c>
      <c r="AE618" s="4" t="s">
        <v>1743</v>
      </c>
      <c r="AF618" s="4" t="s">
        <v>560</v>
      </c>
    </row>
    <row r="619" spans="1:35" ht="36" x14ac:dyDescent="0.3">
      <c r="A619" s="53" t="s">
        <v>1744</v>
      </c>
      <c r="B619" s="53"/>
      <c r="C619" s="47" t="s">
        <v>797</v>
      </c>
      <c r="D619" s="55"/>
      <c r="E619" s="55"/>
      <c r="F619" s="59" t="s">
        <v>364</v>
      </c>
      <c r="G619" s="60">
        <v>1.2</v>
      </c>
      <c r="H619" s="55"/>
      <c r="I619" s="63">
        <v>24058.799999999999</v>
      </c>
      <c r="J619" s="61">
        <v>16.38</v>
      </c>
      <c r="K619" s="51"/>
      <c r="L619" s="51"/>
      <c r="M619" s="61">
        <f>ROUND(ROUND(J619, 2)*I619, 2)</f>
        <v>394083.14</v>
      </c>
      <c r="N619" s="51"/>
      <c r="O619" s="51"/>
      <c r="P619" s="61">
        <v>16.38</v>
      </c>
      <c r="Q619" s="51"/>
      <c r="R619" s="51"/>
      <c r="S619" s="61">
        <f>ROUND(ROUND(P619, 2)*I619, 2)</f>
        <v>394083.14</v>
      </c>
      <c r="T619" s="51"/>
      <c r="U619" s="62"/>
      <c r="V619" s="9">
        <f>ROUND(ROUND(P619, 2)/1.2, 2)</f>
        <v>13.65</v>
      </c>
      <c r="Y619" s="9">
        <f t="shared" si="122"/>
        <v>328402.62</v>
      </c>
      <c r="AD619" s="4" t="s">
        <v>1745</v>
      </c>
      <c r="AE619" s="4" t="s">
        <v>1746</v>
      </c>
      <c r="AF619" s="4" t="s">
        <v>800</v>
      </c>
    </row>
    <row r="620" spans="1:35" ht="72" x14ac:dyDescent="0.3">
      <c r="A620" s="53" t="s">
        <v>1747</v>
      </c>
      <c r="B620" s="53"/>
      <c r="C620" s="47" t="s">
        <v>960</v>
      </c>
      <c r="D620" s="55"/>
      <c r="E620" s="55" t="s">
        <v>961</v>
      </c>
      <c r="F620" s="59" t="s">
        <v>61</v>
      </c>
      <c r="G620" s="60">
        <v>1.07</v>
      </c>
      <c r="H620" s="55"/>
      <c r="I620" s="63">
        <v>4290.4859999999999</v>
      </c>
      <c r="J620" s="61">
        <v>1408.04</v>
      </c>
      <c r="K620" s="51"/>
      <c r="L620" s="51"/>
      <c r="M620" s="61">
        <f>ROUND(ROUND(J620, 2)*I620, 2)</f>
        <v>6041175.9100000001</v>
      </c>
      <c r="N620" s="51"/>
      <c r="O620" s="51"/>
      <c r="P620" s="61">
        <v>1408.04</v>
      </c>
      <c r="Q620" s="51"/>
      <c r="R620" s="51"/>
      <c r="S620" s="61">
        <f>ROUND(ROUND(P620, 2)*I620, 2)</f>
        <v>6041175.9100000001</v>
      </c>
      <c r="T620" s="51"/>
      <c r="U620" s="62"/>
      <c r="V620" s="9">
        <f>ROUND(ROUND(P620, 2)/1.2, 2)</f>
        <v>1173.3699999999999</v>
      </c>
      <c r="Y620" s="9">
        <f t="shared" si="122"/>
        <v>5034313.26</v>
      </c>
      <c r="AD620" s="4" t="s">
        <v>1748</v>
      </c>
      <c r="AE620" s="4" t="s">
        <v>1749</v>
      </c>
      <c r="AF620" s="4" t="s">
        <v>964</v>
      </c>
    </row>
    <row r="621" spans="1:35" ht="16.95" customHeight="1" x14ac:dyDescent="0.3">
      <c r="A621" s="53" t="s">
        <v>1750</v>
      </c>
      <c r="B621" s="53" t="s">
        <v>968</v>
      </c>
      <c r="C621" s="243" t="s">
        <v>969</v>
      </c>
      <c r="D621" s="244"/>
      <c r="E621" s="244"/>
      <c r="F621" s="244"/>
      <c r="G621" s="244"/>
      <c r="H621" s="244"/>
      <c r="I621" s="245"/>
      <c r="J621" s="51"/>
      <c r="K621" s="51"/>
      <c r="L621" s="51"/>
      <c r="M621" s="52">
        <f>SUM(M622,M631)</f>
        <v>372759.8</v>
      </c>
      <c r="N621" s="52">
        <f>SUM(N622,N631)</f>
        <v>4135000.9</v>
      </c>
      <c r="O621" s="52">
        <f>SUM(O622,O631)</f>
        <v>4507760.7</v>
      </c>
      <c r="P621" s="51"/>
      <c r="Q621" s="51"/>
      <c r="R621" s="51"/>
      <c r="S621" s="52">
        <f>SUM(S622,S631)</f>
        <v>639666.61</v>
      </c>
      <c r="T621" s="52">
        <f>SUM(T622,T631)</f>
        <v>5907154.5299999993</v>
      </c>
      <c r="U621" s="52">
        <f>SUM(U622,U631)</f>
        <v>6546821.1400000006</v>
      </c>
      <c r="Y621" s="9">
        <f>SUM(Y622,Y631)</f>
        <v>533055.52</v>
      </c>
      <c r="Z621" s="9">
        <f>SUM(Z622,Z631)</f>
        <v>4922628.78</v>
      </c>
      <c r="AA621" s="9">
        <f>SUM(AA622,AA631)</f>
        <v>5455684.2999999998</v>
      </c>
      <c r="AD621" s="4">
        <v>320319902</v>
      </c>
      <c r="AE621" s="4">
        <v>28049275</v>
      </c>
    </row>
    <row r="622" spans="1:35" ht="16.95" customHeight="1" x14ac:dyDescent="0.3">
      <c r="A622" s="53" t="s">
        <v>1751</v>
      </c>
      <c r="B622" s="53" t="s">
        <v>971</v>
      </c>
      <c r="C622" s="243" t="s">
        <v>972</v>
      </c>
      <c r="D622" s="244"/>
      <c r="E622" s="244"/>
      <c r="F622" s="244"/>
      <c r="G622" s="244"/>
      <c r="H622" s="244"/>
      <c r="I622" s="245"/>
      <c r="J622" s="51"/>
      <c r="K622" s="51"/>
      <c r="L622" s="51"/>
      <c r="M622" s="52">
        <f>SUM(M623,M628)</f>
        <v>313361.17</v>
      </c>
      <c r="N622" s="52">
        <f>SUM(N623,N628)</f>
        <v>2099479.2999999998</v>
      </c>
      <c r="O622" s="52">
        <f>SUM(O623,O628)</f>
        <v>2412840.4700000002</v>
      </c>
      <c r="P622" s="51"/>
      <c r="Q622" s="51"/>
      <c r="R622" s="51"/>
      <c r="S622" s="52">
        <f>SUM(S623,S628)</f>
        <v>318238.45</v>
      </c>
      <c r="T622" s="52">
        <f>SUM(T623,T628)</f>
        <v>2999254</v>
      </c>
      <c r="U622" s="52">
        <f>SUM(U623,U628)</f>
        <v>3317492.45</v>
      </c>
      <c r="Y622" s="9">
        <f>SUM(Y623,Y628)</f>
        <v>265198.70999999996</v>
      </c>
      <c r="Z622" s="9">
        <f>SUM(Z623,Z628)</f>
        <v>2499378.33</v>
      </c>
      <c r="AA622" s="9">
        <f>SUM(AA623,AA628)</f>
        <v>2764577.04</v>
      </c>
      <c r="AD622" s="4">
        <v>320319903</v>
      </c>
      <c r="AE622" s="4">
        <v>28049279</v>
      </c>
    </row>
    <row r="623" spans="1:35" ht="72" x14ac:dyDescent="0.3">
      <c r="A623" s="53" t="s">
        <v>1752</v>
      </c>
      <c r="B623" s="53" t="s">
        <v>974</v>
      </c>
      <c r="C623" s="54" t="s">
        <v>975</v>
      </c>
      <c r="D623" s="55"/>
      <c r="E623" s="55" t="s">
        <v>1753</v>
      </c>
      <c r="F623" s="55" t="s">
        <v>61</v>
      </c>
      <c r="G623" s="56">
        <v>1</v>
      </c>
      <c r="H623" s="55"/>
      <c r="I623" s="56">
        <v>1500.7</v>
      </c>
      <c r="J623" s="57">
        <f>IFERROR(ROUND(SUM(M624,M625,M626,M627)/I623, 2),0)</f>
        <v>173.2</v>
      </c>
      <c r="K623" s="57">
        <v>853</v>
      </c>
      <c r="L623" s="57">
        <f>J623+ROUND(K623, 2)</f>
        <v>1026.2</v>
      </c>
      <c r="M623" s="57">
        <f>ROUND(J623*I623, 2)</f>
        <v>259921.24</v>
      </c>
      <c r="N623" s="57">
        <f>ROUND(I623*ROUND(K623, 2), 2)</f>
        <v>1280097.1000000001</v>
      </c>
      <c r="O623" s="57">
        <f>M623+N623</f>
        <v>1540018.34</v>
      </c>
      <c r="P623" s="57">
        <f>IFERROR(ROUND(SUM(S624,S625,S626,S627)/I623, 2),0)</f>
        <v>176.45</v>
      </c>
      <c r="Q623" s="57">
        <v>1218.57</v>
      </c>
      <c r="R623" s="57">
        <f>P623+ROUND(Q623, 2)</f>
        <v>1395.02</v>
      </c>
      <c r="S623" s="57">
        <f>ROUND(P623*I623, 2)</f>
        <v>264798.52</v>
      </c>
      <c r="T623" s="57">
        <f>ROUND(I623*ROUND(Q623, 2), 2)</f>
        <v>1828708</v>
      </c>
      <c r="U623" s="57">
        <f>S623+T623</f>
        <v>2093506.52</v>
      </c>
      <c r="V623" s="9">
        <f>ROUND(P623 / 1.2, 2)</f>
        <v>147.04</v>
      </c>
      <c r="W623" s="9">
        <f>ROUND(Q623 / 1.2, 2)</f>
        <v>1015.48</v>
      </c>
      <c r="X623" s="9">
        <f>ROUND(R623 / 1.2, 2)</f>
        <v>1162.52</v>
      </c>
      <c r="Y623" s="9">
        <f>ROUND(S623 / 1.2, 2)</f>
        <v>220665.43</v>
      </c>
      <c r="Z623" s="9">
        <f>ROUND(T623 / 1.2, 2)</f>
        <v>1523923.33</v>
      </c>
      <c r="AA623" s="9">
        <f>Y623+Z623</f>
        <v>1744588.76</v>
      </c>
      <c r="AD623" s="4">
        <v>320319905</v>
      </c>
      <c r="AE623" s="4">
        <v>28049281</v>
      </c>
      <c r="AG623" s="4" t="s">
        <v>977</v>
      </c>
      <c r="AH623" s="4" t="s">
        <v>978</v>
      </c>
      <c r="AI623" s="4" t="s">
        <v>338</v>
      </c>
    </row>
    <row r="624" spans="1:35" ht="18" x14ac:dyDescent="0.3">
      <c r="A624" s="53" t="s">
        <v>1754</v>
      </c>
      <c r="B624" s="53"/>
      <c r="C624" s="58" t="s">
        <v>859</v>
      </c>
      <c r="D624" s="55"/>
      <c r="E624" s="55"/>
      <c r="F624" s="59" t="s">
        <v>364</v>
      </c>
      <c r="G624" s="60">
        <v>1.3</v>
      </c>
      <c r="H624" s="55"/>
      <c r="I624" s="63">
        <v>19509.099999999999</v>
      </c>
      <c r="J624" s="61">
        <v>8.75</v>
      </c>
      <c r="K624" s="51"/>
      <c r="L624" s="51"/>
      <c r="M624" s="61">
        <f>ROUND(ROUND(J624, 2)*I624, 2)</f>
        <v>170704.63</v>
      </c>
      <c r="N624" s="51"/>
      <c r="O624" s="51"/>
      <c r="P624" s="61">
        <v>9</v>
      </c>
      <c r="Q624" s="51"/>
      <c r="R624" s="51"/>
      <c r="S624" s="61">
        <f>ROUND(ROUND(P624, 2)*I624, 2)</f>
        <v>175581.9</v>
      </c>
      <c r="T624" s="51"/>
      <c r="U624" s="62"/>
      <c r="V624" s="9">
        <f>ROUND(ROUND(P624, 2)/1.2, 2)</f>
        <v>7.5</v>
      </c>
      <c r="Y624" s="9">
        <f t="shared" ref="Y624:Y630" si="123">ROUND(S624 / 1.2, 2)</f>
        <v>146318.25</v>
      </c>
      <c r="AD624" s="4" t="s">
        <v>1755</v>
      </c>
      <c r="AE624" s="4" t="s">
        <v>1756</v>
      </c>
      <c r="AF624" s="4" t="s">
        <v>862</v>
      </c>
    </row>
    <row r="625" spans="1:35" ht="18" x14ac:dyDescent="0.3">
      <c r="A625" s="53" t="s">
        <v>1757</v>
      </c>
      <c r="B625" s="53"/>
      <c r="C625" s="58" t="s">
        <v>866</v>
      </c>
      <c r="D625" s="55"/>
      <c r="E625" s="55"/>
      <c r="F625" s="59" t="s">
        <v>61</v>
      </c>
      <c r="G625" s="60">
        <v>1.1000000000000001</v>
      </c>
      <c r="H625" s="55"/>
      <c r="I625" s="63">
        <v>1650.77</v>
      </c>
      <c r="J625" s="61">
        <v>26.44</v>
      </c>
      <c r="K625" s="51"/>
      <c r="L625" s="51"/>
      <c r="M625" s="61">
        <f>ROUND(ROUND(J625, 2)*I625, 2)</f>
        <v>43646.36</v>
      </c>
      <c r="N625" s="51"/>
      <c r="O625" s="51"/>
      <c r="P625" s="61">
        <v>26.44</v>
      </c>
      <c r="Q625" s="51"/>
      <c r="R625" s="51"/>
      <c r="S625" s="61">
        <f>ROUND(ROUND(P625, 2)*I625, 2)</f>
        <v>43646.36</v>
      </c>
      <c r="T625" s="51"/>
      <c r="U625" s="62"/>
      <c r="V625" s="9">
        <f>ROUND(ROUND(P625, 2)/1.2, 2)</f>
        <v>22.03</v>
      </c>
      <c r="Y625" s="9">
        <f t="shared" si="123"/>
        <v>36371.97</v>
      </c>
      <c r="AD625" s="4" t="s">
        <v>1758</v>
      </c>
      <c r="AE625" s="4" t="s">
        <v>1759</v>
      </c>
      <c r="AF625" s="4" t="s">
        <v>869</v>
      </c>
    </row>
    <row r="626" spans="1:35" ht="18" x14ac:dyDescent="0.3">
      <c r="A626" s="53" t="s">
        <v>1760</v>
      </c>
      <c r="B626" s="53"/>
      <c r="C626" s="58" t="s">
        <v>873</v>
      </c>
      <c r="D626" s="55"/>
      <c r="E626" s="55"/>
      <c r="F626" s="59" t="s">
        <v>76</v>
      </c>
      <c r="G626" s="60">
        <v>1.05</v>
      </c>
      <c r="H626" s="55"/>
      <c r="I626" s="63">
        <v>1575.7349999999999</v>
      </c>
      <c r="J626" s="61">
        <v>16.02</v>
      </c>
      <c r="K626" s="51"/>
      <c r="L626" s="51"/>
      <c r="M626" s="61">
        <f>ROUND(ROUND(J626, 2)*I626, 2)</f>
        <v>25243.27</v>
      </c>
      <c r="N626" s="51"/>
      <c r="O626" s="51"/>
      <c r="P626" s="61">
        <v>16.02</v>
      </c>
      <c r="Q626" s="51"/>
      <c r="R626" s="51"/>
      <c r="S626" s="61">
        <f>ROUND(ROUND(P626, 2)*I626, 2)</f>
        <v>25243.27</v>
      </c>
      <c r="T626" s="51"/>
      <c r="U626" s="62"/>
      <c r="V626" s="9">
        <f>ROUND(ROUND(P626, 2)/1.2, 2)</f>
        <v>13.35</v>
      </c>
      <c r="Y626" s="9">
        <f t="shared" si="123"/>
        <v>21036.06</v>
      </c>
      <c r="AD626" s="4" t="s">
        <v>1761</v>
      </c>
      <c r="AE626" s="4" t="s">
        <v>1762</v>
      </c>
      <c r="AF626" s="4" t="s">
        <v>876</v>
      </c>
    </row>
    <row r="627" spans="1:35" ht="36" x14ac:dyDescent="0.3">
      <c r="A627" s="53" t="s">
        <v>1763</v>
      </c>
      <c r="B627" s="53"/>
      <c r="C627" s="58" t="s">
        <v>397</v>
      </c>
      <c r="D627" s="55"/>
      <c r="E627" s="55"/>
      <c r="F627" s="59" t="s">
        <v>364</v>
      </c>
      <c r="G627" s="60">
        <v>0.15</v>
      </c>
      <c r="H627" s="55"/>
      <c r="I627" s="60">
        <v>225.10499999999999</v>
      </c>
      <c r="J627" s="61">
        <v>90.28</v>
      </c>
      <c r="K627" s="51"/>
      <c r="L627" s="51"/>
      <c r="M627" s="61">
        <f>ROUND(ROUND(J627, 2)*I627, 2)</f>
        <v>20322.48</v>
      </c>
      <c r="N627" s="51"/>
      <c r="O627" s="51"/>
      <c r="P627" s="61">
        <v>90.28</v>
      </c>
      <c r="Q627" s="51"/>
      <c r="R627" s="51"/>
      <c r="S627" s="61">
        <f>ROUND(ROUND(P627, 2)*I627, 2)</f>
        <v>20322.48</v>
      </c>
      <c r="T627" s="51"/>
      <c r="U627" s="62"/>
      <c r="V627" s="9">
        <f>ROUND(ROUND(P627, 2)/1.2, 2)</f>
        <v>75.23</v>
      </c>
      <c r="Y627" s="9">
        <f t="shared" si="123"/>
        <v>16935.400000000001</v>
      </c>
      <c r="AD627" s="4" t="s">
        <v>1764</v>
      </c>
      <c r="AE627" s="4" t="s">
        <v>1765</v>
      </c>
      <c r="AF627" s="4" t="s">
        <v>400</v>
      </c>
    </row>
    <row r="628" spans="1:35" ht="36" x14ac:dyDescent="0.3">
      <c r="A628" s="53" t="s">
        <v>1766</v>
      </c>
      <c r="B628" s="53" t="s">
        <v>1001</v>
      </c>
      <c r="C628" s="54" t="s">
        <v>1002</v>
      </c>
      <c r="D628" s="55"/>
      <c r="E628" s="55" t="s">
        <v>1753</v>
      </c>
      <c r="F628" s="55" t="s">
        <v>61</v>
      </c>
      <c r="G628" s="56">
        <v>1</v>
      </c>
      <c r="H628" s="55"/>
      <c r="I628" s="56">
        <v>1500.7</v>
      </c>
      <c r="J628" s="57">
        <f>IFERROR(ROUND(SUM(M629,M630)/I628, 2),0)</f>
        <v>35.61</v>
      </c>
      <c r="K628" s="57">
        <v>546</v>
      </c>
      <c r="L628" s="57">
        <f>J628+ROUND(K628, 2)</f>
        <v>581.61</v>
      </c>
      <c r="M628" s="57">
        <f>ROUND(J628*I628, 2)</f>
        <v>53439.93</v>
      </c>
      <c r="N628" s="57">
        <f>ROUND(I628*ROUND(K628, 2), 2)</f>
        <v>819382.2</v>
      </c>
      <c r="O628" s="57">
        <f>M628+N628</f>
        <v>872822.13</v>
      </c>
      <c r="P628" s="57">
        <f>IFERROR(ROUND(SUM(S629,S630)/I628, 2),0)</f>
        <v>35.61</v>
      </c>
      <c r="Q628" s="57">
        <v>780</v>
      </c>
      <c r="R628" s="57">
        <f>P628+ROUND(Q628, 2)</f>
        <v>815.61</v>
      </c>
      <c r="S628" s="57">
        <f>ROUND(P628*I628, 2)</f>
        <v>53439.93</v>
      </c>
      <c r="T628" s="57">
        <f>ROUND(I628*ROUND(Q628, 2), 2)</f>
        <v>1170546</v>
      </c>
      <c r="U628" s="57">
        <f>S628+T628</f>
        <v>1223985.93</v>
      </c>
      <c r="V628" s="9">
        <f>ROUND(P628 / 1.2, 2)</f>
        <v>29.68</v>
      </c>
      <c r="W628" s="9">
        <f>ROUND(Q628 / 1.2, 2)</f>
        <v>650</v>
      </c>
      <c r="X628" s="9">
        <f>ROUND(R628 / 1.2, 2)</f>
        <v>679.68</v>
      </c>
      <c r="Y628" s="9">
        <f t="shared" si="123"/>
        <v>44533.279999999999</v>
      </c>
      <c r="Z628" s="9">
        <f>ROUND(T628 / 1.2, 2)</f>
        <v>975455</v>
      </c>
      <c r="AA628" s="9">
        <f>Y628+Z628</f>
        <v>1019988.28</v>
      </c>
      <c r="AD628" s="4">
        <v>320319907</v>
      </c>
      <c r="AE628" s="4">
        <v>28049379</v>
      </c>
      <c r="AG628" s="4" t="s">
        <v>1003</v>
      </c>
      <c r="AH628" s="4" t="s">
        <v>1004</v>
      </c>
      <c r="AI628" s="4" t="s">
        <v>338</v>
      </c>
    </row>
    <row r="629" spans="1:35" ht="54" x14ac:dyDescent="0.3">
      <c r="A629" s="53" t="s">
        <v>1767</v>
      </c>
      <c r="B629" s="53"/>
      <c r="C629" s="47" t="s">
        <v>1007</v>
      </c>
      <c r="D629" s="55"/>
      <c r="E629" s="55"/>
      <c r="F629" s="59" t="s">
        <v>364</v>
      </c>
      <c r="G629" s="60">
        <v>1.8</v>
      </c>
      <c r="H629" s="55"/>
      <c r="I629" s="60">
        <v>2701.26</v>
      </c>
      <c r="J629" s="61">
        <v>12.26</v>
      </c>
      <c r="K629" s="51"/>
      <c r="L629" s="51"/>
      <c r="M629" s="61">
        <f>ROUND(ROUND(J629, 2)*I629, 2)</f>
        <v>33117.449999999997</v>
      </c>
      <c r="N629" s="51"/>
      <c r="O629" s="51"/>
      <c r="P629" s="61">
        <v>12.26</v>
      </c>
      <c r="Q629" s="51"/>
      <c r="R629" s="51"/>
      <c r="S629" s="61">
        <f>ROUND(ROUND(P629, 2)*I629, 2)</f>
        <v>33117.449999999997</v>
      </c>
      <c r="T629" s="51"/>
      <c r="U629" s="62"/>
      <c r="V629" s="9">
        <f>ROUND(ROUND(P629, 2)/1.2, 2)</f>
        <v>10.220000000000001</v>
      </c>
      <c r="Y629" s="9">
        <f t="shared" si="123"/>
        <v>27597.88</v>
      </c>
      <c r="AD629" s="4" t="s">
        <v>1768</v>
      </c>
      <c r="AE629" s="4" t="s">
        <v>1769</v>
      </c>
      <c r="AF629" s="4" t="s">
        <v>1010</v>
      </c>
    </row>
    <row r="630" spans="1:35" ht="36" x14ac:dyDescent="0.3">
      <c r="A630" s="53" t="s">
        <v>1770</v>
      </c>
      <c r="B630" s="53"/>
      <c r="C630" s="58" t="s">
        <v>397</v>
      </c>
      <c r="D630" s="55"/>
      <c r="E630" s="55"/>
      <c r="F630" s="59" t="s">
        <v>364</v>
      </c>
      <c r="G630" s="60">
        <v>0.15</v>
      </c>
      <c r="H630" s="55"/>
      <c r="I630" s="60">
        <v>225.10499999999999</v>
      </c>
      <c r="J630" s="61">
        <v>90.28</v>
      </c>
      <c r="K630" s="51"/>
      <c r="L630" s="51"/>
      <c r="M630" s="61">
        <f>ROUND(ROUND(J630, 2)*I630, 2)</f>
        <v>20322.48</v>
      </c>
      <c r="N630" s="51"/>
      <c r="O630" s="51"/>
      <c r="P630" s="61">
        <v>90.28</v>
      </c>
      <c r="Q630" s="51"/>
      <c r="R630" s="51"/>
      <c r="S630" s="61">
        <f>ROUND(ROUND(P630, 2)*I630, 2)</f>
        <v>20322.48</v>
      </c>
      <c r="T630" s="51"/>
      <c r="U630" s="62"/>
      <c r="V630" s="9">
        <f>ROUND(ROUND(P630, 2)/1.2, 2)</f>
        <v>75.23</v>
      </c>
      <c r="Y630" s="9">
        <f t="shared" si="123"/>
        <v>16935.400000000001</v>
      </c>
      <c r="AD630" s="4" t="s">
        <v>1771</v>
      </c>
      <c r="AE630" s="4" t="s">
        <v>1772</v>
      </c>
      <c r="AF630" s="4" t="s">
        <v>400</v>
      </c>
    </row>
    <row r="631" spans="1:35" ht="16.95" customHeight="1" x14ac:dyDescent="0.3">
      <c r="A631" s="53" t="s">
        <v>1773</v>
      </c>
      <c r="B631" s="53" t="s">
        <v>1019</v>
      </c>
      <c r="C631" s="243" t="s">
        <v>1020</v>
      </c>
      <c r="D631" s="244"/>
      <c r="E631" s="244"/>
      <c r="F631" s="244"/>
      <c r="G631" s="244"/>
      <c r="H631" s="244"/>
      <c r="I631" s="245"/>
      <c r="J631" s="51"/>
      <c r="K631" s="51"/>
      <c r="L631" s="51"/>
      <c r="M631" s="52">
        <f>SUM(M632,M635,M638,M641)</f>
        <v>59398.63</v>
      </c>
      <c r="N631" s="52">
        <f>SUM(N632,N635,N638,N641)</f>
        <v>2035521.6</v>
      </c>
      <c r="O631" s="52">
        <f>SUM(O632,O635,O638,O641)</f>
        <v>2094920.2300000002</v>
      </c>
      <c r="P631" s="51"/>
      <c r="Q631" s="51"/>
      <c r="R631" s="51"/>
      <c r="S631" s="52">
        <f>SUM(S632,S635,S638,S641)</f>
        <v>321428.15999999997</v>
      </c>
      <c r="T631" s="52">
        <f>SUM(T632,T635,T638,T641)</f>
        <v>2907900.53</v>
      </c>
      <c r="U631" s="52">
        <f>SUM(U632,U635,U638,U641)</f>
        <v>3229328.69</v>
      </c>
      <c r="Y631" s="9">
        <f>SUM(Y632,Y635,Y638,Y641)</f>
        <v>267856.81</v>
      </c>
      <c r="Z631" s="9">
        <f>SUM(Z632,Z635,Z638,Z641)</f>
        <v>2423250.4500000002</v>
      </c>
      <c r="AA631" s="9">
        <f>SUM(AA632,AA635,AA638,AA641)</f>
        <v>2691107.26</v>
      </c>
      <c r="AD631" s="4">
        <v>320319908</v>
      </c>
      <c r="AE631" s="4">
        <v>28049439</v>
      </c>
    </row>
    <row r="632" spans="1:35" ht="36" x14ac:dyDescent="0.3">
      <c r="A632" s="53" t="s">
        <v>1774</v>
      </c>
      <c r="B632" s="53" t="s">
        <v>1022</v>
      </c>
      <c r="C632" s="54" t="s">
        <v>1023</v>
      </c>
      <c r="D632" s="55"/>
      <c r="E632" s="55" t="s">
        <v>1775</v>
      </c>
      <c r="F632" s="55" t="s">
        <v>61</v>
      </c>
      <c r="G632" s="56">
        <v>1</v>
      </c>
      <c r="H632" s="55"/>
      <c r="I632" s="56">
        <v>2326.3000000000002</v>
      </c>
      <c r="J632" s="57">
        <f>IFERROR(ROUND(SUM(M633,M634)/I632, 2),0)</f>
        <v>13.54</v>
      </c>
      <c r="K632" s="57">
        <v>464</v>
      </c>
      <c r="L632" s="57">
        <f>J632+ROUND(K632, 2)</f>
        <v>477.54</v>
      </c>
      <c r="M632" s="57">
        <f>ROUND(J632*I632, 2)</f>
        <v>31498.1</v>
      </c>
      <c r="N632" s="57">
        <f>ROUND(I632*ROUND(K632, 2), 2)</f>
        <v>1079403.2</v>
      </c>
      <c r="O632" s="57">
        <f>M632+N632</f>
        <v>1110901.3</v>
      </c>
      <c r="P632" s="57">
        <f>IFERROR(ROUND(SUM(S633,S634)/I632, 2),0)</f>
        <v>73.27</v>
      </c>
      <c r="Q632" s="57">
        <v>662.86</v>
      </c>
      <c r="R632" s="57">
        <f>P632+ROUND(Q632, 2)</f>
        <v>736.13</v>
      </c>
      <c r="S632" s="57">
        <f>ROUND(P632*I632, 2)</f>
        <v>170448</v>
      </c>
      <c r="T632" s="57">
        <f>ROUND(I632*ROUND(Q632, 2), 2)</f>
        <v>1542011.22</v>
      </c>
      <c r="U632" s="57">
        <f>S632+T632</f>
        <v>1712459.22</v>
      </c>
      <c r="V632" s="9">
        <f>ROUND(P632 / 1.2, 2)</f>
        <v>61.06</v>
      </c>
      <c r="W632" s="9">
        <f>ROUND(Q632 / 1.2, 2)</f>
        <v>552.38</v>
      </c>
      <c r="X632" s="9">
        <f>ROUND(R632 / 1.2, 2)</f>
        <v>613.44000000000005</v>
      </c>
      <c r="Y632" s="9">
        <f>ROUND(S632 / 1.2, 2)</f>
        <v>142040</v>
      </c>
      <c r="Z632" s="9">
        <f>ROUND(T632 / 1.2, 2)</f>
        <v>1285009.3500000001</v>
      </c>
      <c r="AA632" s="9">
        <f>Y632+Z632</f>
        <v>1427049.35</v>
      </c>
      <c r="AD632" s="4">
        <v>320319910</v>
      </c>
      <c r="AE632" s="4">
        <v>28049441</v>
      </c>
      <c r="AG632" s="4" t="s">
        <v>1025</v>
      </c>
      <c r="AH632" s="4" t="s">
        <v>1026</v>
      </c>
      <c r="AI632" s="4" t="s">
        <v>338</v>
      </c>
    </row>
    <row r="633" spans="1:35" ht="162" x14ac:dyDescent="0.3">
      <c r="A633" s="53" t="s">
        <v>1776</v>
      </c>
      <c r="B633" s="53"/>
      <c r="C633" s="58" t="s">
        <v>1029</v>
      </c>
      <c r="D633" s="55"/>
      <c r="E633" s="55" t="s">
        <v>1030</v>
      </c>
      <c r="F633" s="59" t="s">
        <v>364</v>
      </c>
      <c r="G633" s="60">
        <v>0.4</v>
      </c>
      <c r="H633" s="55"/>
      <c r="I633" s="60">
        <v>930.52</v>
      </c>
      <c r="J633" s="61">
        <v>0</v>
      </c>
      <c r="K633" s="51"/>
      <c r="L633" s="51"/>
      <c r="M633" s="61">
        <f>ROUND(ROUND(J633, 2)*I633, 2)</f>
        <v>0</v>
      </c>
      <c r="N633" s="51"/>
      <c r="O633" s="51"/>
      <c r="P633" s="61">
        <v>149.31</v>
      </c>
      <c r="Q633" s="51"/>
      <c r="R633" s="51"/>
      <c r="S633" s="61">
        <f>ROUND(ROUND(P633, 2)*I633, 2)</f>
        <v>138935.94</v>
      </c>
      <c r="T633" s="51"/>
      <c r="U633" s="62"/>
      <c r="V633" s="9">
        <f>ROUND(ROUND(P633, 2)/1.2, 2)</f>
        <v>124.43</v>
      </c>
      <c r="Y633" s="9">
        <f t="shared" ref="Y633:Y643" si="124">ROUND(S633 / 1.2, 2)</f>
        <v>115779.95</v>
      </c>
      <c r="AD633" s="4" t="s">
        <v>1777</v>
      </c>
      <c r="AE633" s="4" t="s">
        <v>1778</v>
      </c>
      <c r="AF633" s="4" t="s">
        <v>1033</v>
      </c>
    </row>
    <row r="634" spans="1:35" ht="36" x14ac:dyDescent="0.3">
      <c r="A634" s="53" t="s">
        <v>1779</v>
      </c>
      <c r="B634" s="53"/>
      <c r="C634" s="58" t="s">
        <v>680</v>
      </c>
      <c r="D634" s="55"/>
      <c r="E634" s="55"/>
      <c r="F634" s="59" t="s">
        <v>364</v>
      </c>
      <c r="G634" s="60">
        <v>0.15</v>
      </c>
      <c r="H634" s="55"/>
      <c r="I634" s="60">
        <v>348.94499999999999</v>
      </c>
      <c r="J634" s="61">
        <v>90.28</v>
      </c>
      <c r="K634" s="51"/>
      <c r="L634" s="51"/>
      <c r="M634" s="61">
        <f>ROUND(ROUND(J634, 2)*I634, 2)</f>
        <v>31502.75</v>
      </c>
      <c r="N634" s="51"/>
      <c r="O634" s="51"/>
      <c r="P634" s="61">
        <v>90.28</v>
      </c>
      <c r="Q634" s="51"/>
      <c r="R634" s="51"/>
      <c r="S634" s="61">
        <f>ROUND(ROUND(P634, 2)*I634, 2)</f>
        <v>31502.75</v>
      </c>
      <c r="T634" s="51"/>
      <c r="U634" s="62"/>
      <c r="V634" s="9">
        <f>ROUND(ROUND(P634, 2)/1.2, 2)</f>
        <v>75.23</v>
      </c>
      <c r="Y634" s="9">
        <f t="shared" si="124"/>
        <v>26252.29</v>
      </c>
      <c r="AD634" s="4" t="s">
        <v>1780</v>
      </c>
      <c r="AE634" s="4" t="s">
        <v>1781</v>
      </c>
      <c r="AF634" s="4" t="s">
        <v>683</v>
      </c>
    </row>
    <row r="635" spans="1:35" ht="36" x14ac:dyDescent="0.3">
      <c r="A635" s="53" t="s">
        <v>1782</v>
      </c>
      <c r="B635" s="53" t="s">
        <v>1022</v>
      </c>
      <c r="C635" s="54" t="s">
        <v>1023</v>
      </c>
      <c r="D635" s="55"/>
      <c r="E635" s="55" t="s">
        <v>1783</v>
      </c>
      <c r="F635" s="55" t="s">
        <v>61</v>
      </c>
      <c r="G635" s="56">
        <v>1</v>
      </c>
      <c r="H635" s="55"/>
      <c r="I635" s="56">
        <v>559.9</v>
      </c>
      <c r="J635" s="57">
        <f>IFERROR(ROUND(SUM(M636,M637)/I635, 2),0)</f>
        <v>13.54</v>
      </c>
      <c r="K635" s="57">
        <v>464</v>
      </c>
      <c r="L635" s="57">
        <f>J635+ROUND(K635, 2)</f>
        <v>477.54</v>
      </c>
      <c r="M635" s="57">
        <f>ROUND(J635*I635, 2)</f>
        <v>7581.05</v>
      </c>
      <c r="N635" s="57">
        <f>ROUND(I635*ROUND(K635, 2), 2)</f>
        <v>259793.6</v>
      </c>
      <c r="O635" s="57">
        <f>M635+N635</f>
        <v>267374.65000000002</v>
      </c>
      <c r="P635" s="57">
        <f>IFERROR(ROUND(SUM(S636,S637)/I635, 2),0)</f>
        <v>73.27</v>
      </c>
      <c r="Q635" s="57">
        <v>662.86</v>
      </c>
      <c r="R635" s="57">
        <f>P635+ROUND(Q635, 2)</f>
        <v>736.13</v>
      </c>
      <c r="S635" s="57">
        <f>ROUND(P635*I635, 2)</f>
        <v>41023.870000000003</v>
      </c>
      <c r="T635" s="57">
        <f>ROUND(I635*ROUND(Q635, 2), 2)</f>
        <v>371135.31</v>
      </c>
      <c r="U635" s="57">
        <f>S635+T635</f>
        <v>412159.18</v>
      </c>
      <c r="V635" s="9">
        <f>ROUND(P635 / 1.2, 2)</f>
        <v>61.06</v>
      </c>
      <c r="W635" s="9">
        <f>ROUND(Q635 / 1.2, 2)</f>
        <v>552.38</v>
      </c>
      <c r="X635" s="9">
        <f>ROUND(R635 / 1.2, 2)</f>
        <v>613.44000000000005</v>
      </c>
      <c r="Y635" s="9">
        <f t="shared" si="124"/>
        <v>34186.559999999998</v>
      </c>
      <c r="Z635" s="9">
        <f>ROUND(T635 / 1.2, 2)</f>
        <v>309279.43</v>
      </c>
      <c r="AA635" s="9">
        <f>Y635+Z635</f>
        <v>343465.99</v>
      </c>
      <c r="AD635" s="4">
        <v>320319940</v>
      </c>
      <c r="AE635" s="4">
        <v>28049442</v>
      </c>
      <c r="AG635" s="4" t="s">
        <v>1025</v>
      </c>
      <c r="AH635" s="4" t="s">
        <v>1026</v>
      </c>
      <c r="AI635" s="4" t="s">
        <v>338</v>
      </c>
    </row>
    <row r="636" spans="1:35" ht="36" x14ac:dyDescent="0.3">
      <c r="A636" s="53" t="s">
        <v>1784</v>
      </c>
      <c r="B636" s="53"/>
      <c r="C636" s="58" t="s">
        <v>680</v>
      </c>
      <c r="D636" s="55"/>
      <c r="E636" s="55"/>
      <c r="F636" s="59" t="s">
        <v>364</v>
      </c>
      <c r="G636" s="60">
        <v>0.15</v>
      </c>
      <c r="H636" s="55"/>
      <c r="I636" s="60">
        <v>83.984999999999999</v>
      </c>
      <c r="J636" s="61">
        <v>90.28</v>
      </c>
      <c r="K636" s="51"/>
      <c r="L636" s="51"/>
      <c r="M636" s="61">
        <f>ROUND(ROUND(J636, 2)*I636, 2)</f>
        <v>7582.17</v>
      </c>
      <c r="N636" s="51"/>
      <c r="O636" s="51"/>
      <c r="P636" s="61">
        <v>90.28</v>
      </c>
      <c r="Q636" s="51"/>
      <c r="R636" s="51"/>
      <c r="S636" s="61">
        <f>ROUND(ROUND(P636, 2)*I636, 2)</f>
        <v>7582.17</v>
      </c>
      <c r="T636" s="51"/>
      <c r="U636" s="62"/>
      <c r="V636" s="9">
        <f>ROUND(ROUND(P636, 2)/1.2, 2)</f>
        <v>75.23</v>
      </c>
      <c r="Y636" s="9">
        <f t="shared" si="124"/>
        <v>6318.48</v>
      </c>
      <c r="AD636" s="4" t="s">
        <v>1785</v>
      </c>
      <c r="AE636" s="4" t="s">
        <v>1786</v>
      </c>
      <c r="AF636" s="4" t="s">
        <v>683</v>
      </c>
    </row>
    <row r="637" spans="1:35" ht="90" x14ac:dyDescent="0.3">
      <c r="A637" s="53" t="s">
        <v>1787</v>
      </c>
      <c r="B637" s="53"/>
      <c r="C637" s="58" t="s">
        <v>1029</v>
      </c>
      <c r="D637" s="55"/>
      <c r="E637" s="55" t="s">
        <v>1050</v>
      </c>
      <c r="F637" s="59" t="s">
        <v>364</v>
      </c>
      <c r="G637" s="60">
        <v>0.4</v>
      </c>
      <c r="H637" s="55"/>
      <c r="I637" s="60">
        <v>223.96</v>
      </c>
      <c r="J637" s="61">
        <v>0</v>
      </c>
      <c r="K637" s="51"/>
      <c r="L637" s="51"/>
      <c r="M637" s="61">
        <f>ROUND(ROUND(J637, 2)*I637, 2)</f>
        <v>0</v>
      </c>
      <c r="N637" s="51"/>
      <c r="O637" s="51"/>
      <c r="P637" s="61">
        <v>149.31</v>
      </c>
      <c r="Q637" s="51"/>
      <c r="R637" s="51"/>
      <c r="S637" s="61">
        <f>ROUND(ROUND(P637, 2)*I637, 2)</f>
        <v>33439.47</v>
      </c>
      <c r="T637" s="51"/>
      <c r="U637" s="62"/>
      <c r="V637" s="9">
        <f>ROUND(ROUND(P637, 2)/1.2, 2)</f>
        <v>124.43</v>
      </c>
      <c r="Y637" s="9">
        <f t="shared" si="124"/>
        <v>27866.23</v>
      </c>
      <c r="AD637" s="4" t="s">
        <v>1788</v>
      </c>
      <c r="AE637" s="4" t="s">
        <v>1789</v>
      </c>
      <c r="AF637" s="4" t="s">
        <v>1033</v>
      </c>
    </row>
    <row r="638" spans="1:35" ht="36" x14ac:dyDescent="0.3">
      <c r="A638" s="53" t="s">
        <v>1790</v>
      </c>
      <c r="B638" s="53" t="s">
        <v>1022</v>
      </c>
      <c r="C638" s="54" t="s">
        <v>1023</v>
      </c>
      <c r="D638" s="55"/>
      <c r="E638" s="55" t="s">
        <v>1791</v>
      </c>
      <c r="F638" s="55" t="s">
        <v>61</v>
      </c>
      <c r="G638" s="56">
        <v>1</v>
      </c>
      <c r="H638" s="55"/>
      <c r="I638" s="56">
        <v>568.5</v>
      </c>
      <c r="J638" s="57">
        <f>IFERROR(ROUND(SUM(M639,M640)/I638, 2),0)</f>
        <v>13.54</v>
      </c>
      <c r="K638" s="57">
        <v>464</v>
      </c>
      <c r="L638" s="57">
        <f>J638+ROUND(K638, 2)</f>
        <v>477.54</v>
      </c>
      <c r="M638" s="57">
        <f>ROUND(J638*I638, 2)</f>
        <v>7697.49</v>
      </c>
      <c r="N638" s="57">
        <f>ROUND(I638*ROUND(K638, 2), 2)</f>
        <v>263784</v>
      </c>
      <c r="O638" s="57">
        <f>M638+N638</f>
        <v>271481.49</v>
      </c>
      <c r="P638" s="57">
        <f>IFERROR(ROUND(SUM(S639,S640)/I638, 2),0)</f>
        <v>73.27</v>
      </c>
      <c r="Q638" s="57">
        <v>662.86</v>
      </c>
      <c r="R638" s="57">
        <f>P638+ROUND(Q638, 2)</f>
        <v>736.13</v>
      </c>
      <c r="S638" s="57">
        <f>ROUND(P638*I638, 2)</f>
        <v>41654</v>
      </c>
      <c r="T638" s="57">
        <f>ROUND(I638*ROUND(Q638, 2), 2)</f>
        <v>376835.91</v>
      </c>
      <c r="U638" s="57">
        <f>S638+T638</f>
        <v>418489.91</v>
      </c>
      <c r="V638" s="9">
        <f>ROUND(P638 / 1.2, 2)</f>
        <v>61.06</v>
      </c>
      <c r="W638" s="9">
        <f>ROUND(Q638 / 1.2, 2)</f>
        <v>552.38</v>
      </c>
      <c r="X638" s="9">
        <f>ROUND(R638 / 1.2, 2)</f>
        <v>613.44000000000005</v>
      </c>
      <c r="Y638" s="9">
        <f t="shared" si="124"/>
        <v>34711.67</v>
      </c>
      <c r="Z638" s="9">
        <f>ROUND(T638 / 1.2, 2)</f>
        <v>314029.93</v>
      </c>
      <c r="AA638" s="9">
        <f>Y638+Z638</f>
        <v>348741.6</v>
      </c>
      <c r="AD638" s="4">
        <v>320319941</v>
      </c>
      <c r="AE638" s="4">
        <v>28049443</v>
      </c>
      <c r="AG638" s="4" t="s">
        <v>1025</v>
      </c>
      <c r="AH638" s="4" t="s">
        <v>1026</v>
      </c>
      <c r="AI638" s="4" t="s">
        <v>338</v>
      </c>
    </row>
    <row r="639" spans="1:35" ht="72" x14ac:dyDescent="0.3">
      <c r="A639" s="53" t="s">
        <v>1792</v>
      </c>
      <c r="B639" s="53"/>
      <c r="C639" s="58" t="s">
        <v>1029</v>
      </c>
      <c r="D639" s="55"/>
      <c r="E639" s="55" t="s">
        <v>1059</v>
      </c>
      <c r="F639" s="59" t="s">
        <v>364</v>
      </c>
      <c r="G639" s="60">
        <v>0.4</v>
      </c>
      <c r="H639" s="55"/>
      <c r="I639" s="60">
        <v>227.4</v>
      </c>
      <c r="J639" s="61">
        <v>0</v>
      </c>
      <c r="K639" s="51"/>
      <c r="L639" s="51"/>
      <c r="M639" s="61">
        <f>ROUND(ROUND(J639, 2)*I639, 2)</f>
        <v>0</v>
      </c>
      <c r="N639" s="51"/>
      <c r="O639" s="51"/>
      <c r="P639" s="61">
        <v>149.31</v>
      </c>
      <c r="Q639" s="51"/>
      <c r="R639" s="51"/>
      <c r="S639" s="61">
        <f>ROUND(ROUND(P639, 2)*I639, 2)</f>
        <v>33953.089999999997</v>
      </c>
      <c r="T639" s="51"/>
      <c r="U639" s="62"/>
      <c r="V639" s="9">
        <f>ROUND(ROUND(P639, 2)/1.2, 2)</f>
        <v>124.43</v>
      </c>
      <c r="Y639" s="9">
        <f t="shared" si="124"/>
        <v>28294.240000000002</v>
      </c>
      <c r="AD639" s="4" t="s">
        <v>1793</v>
      </c>
      <c r="AE639" s="4" t="s">
        <v>1794</v>
      </c>
      <c r="AF639" s="4" t="s">
        <v>1033</v>
      </c>
    </row>
    <row r="640" spans="1:35" ht="36" x14ac:dyDescent="0.3">
      <c r="A640" s="53" t="s">
        <v>1795</v>
      </c>
      <c r="B640" s="53"/>
      <c r="C640" s="58" t="s">
        <v>680</v>
      </c>
      <c r="D640" s="55"/>
      <c r="E640" s="55"/>
      <c r="F640" s="59" t="s">
        <v>364</v>
      </c>
      <c r="G640" s="60">
        <v>0.15</v>
      </c>
      <c r="H640" s="55"/>
      <c r="I640" s="60">
        <v>85.275000000000006</v>
      </c>
      <c r="J640" s="61">
        <v>90.28</v>
      </c>
      <c r="K640" s="51"/>
      <c r="L640" s="51"/>
      <c r="M640" s="61">
        <f>ROUND(ROUND(J640, 2)*I640, 2)</f>
        <v>7698.63</v>
      </c>
      <c r="N640" s="51"/>
      <c r="O640" s="51"/>
      <c r="P640" s="61">
        <v>90.28</v>
      </c>
      <c r="Q640" s="51"/>
      <c r="R640" s="51"/>
      <c r="S640" s="61">
        <f>ROUND(ROUND(P640, 2)*I640, 2)</f>
        <v>7698.63</v>
      </c>
      <c r="T640" s="51"/>
      <c r="U640" s="62"/>
      <c r="V640" s="9">
        <f>ROUND(ROUND(P640, 2)/1.2, 2)</f>
        <v>75.23</v>
      </c>
      <c r="Y640" s="9">
        <f t="shared" si="124"/>
        <v>6415.53</v>
      </c>
      <c r="AD640" s="4" t="s">
        <v>1796</v>
      </c>
      <c r="AE640" s="4" t="s">
        <v>1797</v>
      </c>
      <c r="AF640" s="4" t="s">
        <v>683</v>
      </c>
    </row>
    <row r="641" spans="1:35" ht="36" x14ac:dyDescent="0.3">
      <c r="A641" s="53" t="s">
        <v>1798</v>
      </c>
      <c r="B641" s="53" t="s">
        <v>1022</v>
      </c>
      <c r="C641" s="54" t="s">
        <v>1023</v>
      </c>
      <c r="D641" s="55"/>
      <c r="E641" s="55" t="s">
        <v>1799</v>
      </c>
      <c r="F641" s="55" t="s">
        <v>61</v>
      </c>
      <c r="G641" s="56">
        <v>1</v>
      </c>
      <c r="H641" s="55"/>
      <c r="I641" s="56">
        <v>932.2</v>
      </c>
      <c r="J641" s="57">
        <f>IFERROR(ROUND(SUM(M642,M643)/I641, 2),0)</f>
        <v>13.54</v>
      </c>
      <c r="K641" s="57">
        <v>464</v>
      </c>
      <c r="L641" s="57">
        <f>J641+ROUND(K641, 2)</f>
        <v>477.54</v>
      </c>
      <c r="M641" s="57">
        <f>ROUND(J641*I641, 2)</f>
        <v>12621.99</v>
      </c>
      <c r="N641" s="57">
        <f>ROUND(I641*ROUND(K641, 2), 2)</f>
        <v>432540.8</v>
      </c>
      <c r="O641" s="57">
        <f>M641+N641</f>
        <v>445162.79</v>
      </c>
      <c r="P641" s="57">
        <f>IFERROR(ROUND(SUM(S642,S643)/I641, 2),0)</f>
        <v>73.27</v>
      </c>
      <c r="Q641" s="57">
        <v>662.86</v>
      </c>
      <c r="R641" s="57">
        <f>P641+ROUND(Q641, 2)</f>
        <v>736.13</v>
      </c>
      <c r="S641" s="57">
        <f>ROUND(P641*I641, 2)</f>
        <v>68302.289999999994</v>
      </c>
      <c r="T641" s="57">
        <f>ROUND(I641*ROUND(Q641, 2), 2)</f>
        <v>617918.09</v>
      </c>
      <c r="U641" s="57">
        <f>S641+T641</f>
        <v>686220.38</v>
      </c>
      <c r="V641" s="9">
        <f>ROUND(P641 / 1.2, 2)</f>
        <v>61.06</v>
      </c>
      <c r="W641" s="9">
        <f>ROUND(Q641 / 1.2, 2)</f>
        <v>552.38</v>
      </c>
      <c r="X641" s="9">
        <f>ROUND(R641 / 1.2, 2)</f>
        <v>613.44000000000005</v>
      </c>
      <c r="Y641" s="9">
        <f t="shared" si="124"/>
        <v>56918.58</v>
      </c>
      <c r="Z641" s="9">
        <f>ROUND(T641 / 1.2, 2)</f>
        <v>514931.74</v>
      </c>
      <c r="AA641" s="9">
        <f>Y641+Z641</f>
        <v>571850.31999999995</v>
      </c>
      <c r="AD641" s="4">
        <v>320319942</v>
      </c>
      <c r="AE641" s="4">
        <v>28049444</v>
      </c>
      <c r="AG641" s="4" t="s">
        <v>1025</v>
      </c>
      <c r="AH641" s="4" t="s">
        <v>1026</v>
      </c>
      <c r="AI641" s="4" t="s">
        <v>338</v>
      </c>
    </row>
    <row r="642" spans="1:35" ht="36" x14ac:dyDescent="0.3">
      <c r="A642" s="53" t="s">
        <v>1800</v>
      </c>
      <c r="B642" s="53"/>
      <c r="C642" s="58" t="s">
        <v>680</v>
      </c>
      <c r="D642" s="55"/>
      <c r="E642" s="55"/>
      <c r="F642" s="59" t="s">
        <v>364</v>
      </c>
      <c r="G642" s="60">
        <v>0.15</v>
      </c>
      <c r="H642" s="55"/>
      <c r="I642" s="60">
        <v>139.83000000000001</v>
      </c>
      <c r="J642" s="61">
        <v>90.28</v>
      </c>
      <c r="K642" s="51"/>
      <c r="L642" s="51"/>
      <c r="M642" s="61">
        <f>ROUND(ROUND(J642, 2)*I642, 2)</f>
        <v>12623.85</v>
      </c>
      <c r="N642" s="51"/>
      <c r="O642" s="51"/>
      <c r="P642" s="61">
        <v>90.28</v>
      </c>
      <c r="Q642" s="51"/>
      <c r="R642" s="51"/>
      <c r="S642" s="61">
        <f>ROUND(ROUND(P642, 2)*I642, 2)</f>
        <v>12623.85</v>
      </c>
      <c r="T642" s="51"/>
      <c r="U642" s="62"/>
      <c r="V642" s="9">
        <f>ROUND(ROUND(P642, 2)/1.2, 2)</f>
        <v>75.23</v>
      </c>
      <c r="Y642" s="9">
        <f t="shared" si="124"/>
        <v>10519.88</v>
      </c>
      <c r="AD642" s="4" t="s">
        <v>1801</v>
      </c>
      <c r="AE642" s="4" t="s">
        <v>1802</v>
      </c>
      <c r="AF642" s="4" t="s">
        <v>683</v>
      </c>
    </row>
    <row r="643" spans="1:35" ht="90" x14ac:dyDescent="0.3">
      <c r="A643" s="53" t="s">
        <v>1803</v>
      </c>
      <c r="B643" s="53"/>
      <c r="C643" s="58" t="s">
        <v>1029</v>
      </c>
      <c r="D643" s="55"/>
      <c r="E643" s="55" t="s">
        <v>1078</v>
      </c>
      <c r="F643" s="59" t="s">
        <v>364</v>
      </c>
      <c r="G643" s="60">
        <v>0.4</v>
      </c>
      <c r="H643" s="55"/>
      <c r="I643" s="60">
        <v>372.88</v>
      </c>
      <c r="J643" s="61">
        <v>0</v>
      </c>
      <c r="K643" s="51"/>
      <c r="L643" s="51"/>
      <c r="M643" s="61">
        <f>ROUND(ROUND(J643, 2)*I643, 2)</f>
        <v>0</v>
      </c>
      <c r="N643" s="51"/>
      <c r="O643" s="51"/>
      <c r="P643" s="61">
        <v>149.31</v>
      </c>
      <c r="Q643" s="51"/>
      <c r="R643" s="51"/>
      <c r="S643" s="61">
        <f>ROUND(ROUND(P643, 2)*I643, 2)</f>
        <v>55674.71</v>
      </c>
      <c r="T643" s="51"/>
      <c r="U643" s="62"/>
      <c r="V643" s="9">
        <f>ROUND(ROUND(P643, 2)/1.2, 2)</f>
        <v>124.43</v>
      </c>
      <c r="Y643" s="9">
        <f t="shared" si="124"/>
        <v>46395.59</v>
      </c>
      <c r="AD643" s="4" t="s">
        <v>1804</v>
      </c>
      <c r="AE643" s="4" t="s">
        <v>1805</v>
      </c>
      <c r="AF643" s="4" t="s">
        <v>1033</v>
      </c>
    </row>
    <row r="644" spans="1:35" ht="16.95" customHeight="1" x14ac:dyDescent="0.3">
      <c r="A644" s="53" t="s">
        <v>1806</v>
      </c>
      <c r="B644" s="53" t="s">
        <v>1084</v>
      </c>
      <c r="C644" s="243" t="s">
        <v>1085</v>
      </c>
      <c r="D644" s="244"/>
      <c r="E644" s="244"/>
      <c r="F644" s="244"/>
      <c r="G644" s="244"/>
      <c r="H644" s="244"/>
      <c r="I644" s="245"/>
      <c r="J644" s="51"/>
      <c r="K644" s="51"/>
      <c r="L644" s="51"/>
      <c r="M644" s="52">
        <f>SUM(M645,M647,M649,M650,M662,M674,M686)</f>
        <v>9643254.0299999993</v>
      </c>
      <c r="N644" s="52">
        <f>SUM(N645,N647,N649,N650,N662,N674,N686)</f>
        <v>5677923.4399999995</v>
      </c>
      <c r="O644" s="52">
        <f>SUM(O645,O647,O649,O650,O662,O674,O686)</f>
        <v>15321177.470000001</v>
      </c>
      <c r="P644" s="51"/>
      <c r="Q644" s="51"/>
      <c r="R644" s="51"/>
      <c r="S644" s="52">
        <f>SUM(S645,S647,S649,S650,S662,S674,S686)</f>
        <v>9826697.4299999997</v>
      </c>
      <c r="T644" s="52">
        <f>SUM(T645,T647,T649,T650,T662,T674,T686)</f>
        <v>8111266.1399999997</v>
      </c>
      <c r="U644" s="52">
        <f>SUM(U645,U647,U649,U650,U662,U674,U686)</f>
        <v>17937963.569999997</v>
      </c>
      <c r="Y644" s="9">
        <f>SUM(Y645,Y647,Y649,Y650,Y662,Y674,Y686)</f>
        <v>8188914.5200000005</v>
      </c>
      <c r="Z644" s="9">
        <f>SUM(Z645,Z647,Z649,Z650,Z662,Z674,Z686)</f>
        <v>6759388.4399999995</v>
      </c>
      <c r="AA644" s="9">
        <f>SUM(AA645,AA647,AA649,AA650,AA662,AA674,AA686)</f>
        <v>14948302.960000001</v>
      </c>
      <c r="AD644" s="4">
        <v>320319911</v>
      </c>
      <c r="AE644" s="4">
        <v>28049468</v>
      </c>
    </row>
    <row r="645" spans="1:35" ht="108" x14ac:dyDescent="0.3">
      <c r="A645" s="53" t="s">
        <v>1807</v>
      </c>
      <c r="B645" s="53" t="s">
        <v>1087</v>
      </c>
      <c r="C645" s="54" t="s">
        <v>1088</v>
      </c>
      <c r="D645" s="55"/>
      <c r="E645" s="55" t="s">
        <v>1808</v>
      </c>
      <c r="F645" s="55" t="s">
        <v>61</v>
      </c>
      <c r="G645" s="56">
        <v>1</v>
      </c>
      <c r="H645" s="55"/>
      <c r="I645" s="56">
        <v>1034.5</v>
      </c>
      <c r="J645" s="57">
        <f>IFERROR(ROUND(SUM(M646)/I645, 2),0)</f>
        <v>7245.69</v>
      </c>
      <c r="K645" s="57">
        <v>837.01</v>
      </c>
      <c r="L645" s="57">
        <f>J645+ROUND(K645, 2)</f>
        <v>8082.7</v>
      </c>
      <c r="M645" s="57">
        <f>ROUND(J645*I645, 2)</f>
        <v>7495666.3099999996</v>
      </c>
      <c r="N645" s="57">
        <f>ROUND(I645*ROUND(K645, 2), 2)</f>
        <v>865886.85</v>
      </c>
      <c r="O645" s="57">
        <f>M645+N645</f>
        <v>8361553.1599999992</v>
      </c>
      <c r="P645" s="57">
        <f>IFERROR(ROUND(SUM(S646)/I645, 2),0)</f>
        <v>7245.69</v>
      </c>
      <c r="Q645" s="57">
        <v>1195.71</v>
      </c>
      <c r="R645" s="57">
        <f>P645+ROUND(Q645, 2)</f>
        <v>8441.4</v>
      </c>
      <c r="S645" s="57">
        <f>ROUND(P645*I645, 2)</f>
        <v>7495666.3099999996</v>
      </c>
      <c r="T645" s="57">
        <f>ROUND(I645*ROUND(Q645, 2), 2)</f>
        <v>1236962</v>
      </c>
      <c r="U645" s="57">
        <f>S645+T645</f>
        <v>8732628.3099999987</v>
      </c>
      <c r="V645" s="9">
        <f>ROUND(P645 / 1.2, 2)</f>
        <v>6038.08</v>
      </c>
      <c r="W645" s="9">
        <f>ROUND(Q645 / 1.2, 2)</f>
        <v>996.43</v>
      </c>
      <c r="X645" s="9">
        <f>ROUND(R645 / 1.2, 2)</f>
        <v>7034.5</v>
      </c>
      <c r="Y645" s="9">
        <f>ROUND(S645 / 1.2, 2)</f>
        <v>6246388.5899999999</v>
      </c>
      <c r="Z645" s="9">
        <f>ROUND(T645 / 1.2, 2)</f>
        <v>1030801.67</v>
      </c>
      <c r="AA645" s="9">
        <f>Y645+Z645</f>
        <v>7277190.2599999998</v>
      </c>
      <c r="AD645" s="4">
        <v>320319913</v>
      </c>
      <c r="AE645" s="4">
        <v>28049470</v>
      </c>
      <c r="AG645" s="4" t="s">
        <v>1090</v>
      </c>
      <c r="AH645" s="4" t="s">
        <v>1091</v>
      </c>
      <c r="AI645" s="4" t="s">
        <v>338</v>
      </c>
    </row>
    <row r="646" spans="1:35" ht="36" x14ac:dyDescent="0.3">
      <c r="A646" s="53" t="s">
        <v>1809</v>
      </c>
      <c r="B646" s="53"/>
      <c r="C646" s="58" t="s">
        <v>1094</v>
      </c>
      <c r="D646" s="55"/>
      <c r="E646" s="55"/>
      <c r="F646" s="59" t="s">
        <v>61</v>
      </c>
      <c r="G646" s="60">
        <v>1.1000000000000001</v>
      </c>
      <c r="H646" s="55"/>
      <c r="I646" s="63">
        <v>1137.95</v>
      </c>
      <c r="J646" s="61">
        <v>6586.99</v>
      </c>
      <c r="K646" s="51"/>
      <c r="L646" s="51"/>
      <c r="M646" s="61">
        <f>ROUND(ROUND(J646, 2)*I646, 2)</f>
        <v>7495665.2699999996</v>
      </c>
      <c r="N646" s="51"/>
      <c r="O646" s="51"/>
      <c r="P646" s="61">
        <v>6586.99</v>
      </c>
      <c r="Q646" s="51"/>
      <c r="R646" s="51"/>
      <c r="S646" s="61">
        <f>ROUND(ROUND(P646, 2)*I646, 2)</f>
        <v>7495665.2699999996</v>
      </c>
      <c r="T646" s="51"/>
      <c r="U646" s="62"/>
      <c r="V646" s="9">
        <f>ROUND(ROUND(P646, 2)/1.2, 2)</f>
        <v>5489.16</v>
      </c>
      <c r="Y646" s="9">
        <f>ROUND(S646 / 1.2, 2)</f>
        <v>6246387.7300000004</v>
      </c>
      <c r="AD646" s="4" t="s">
        <v>1810</v>
      </c>
      <c r="AE646" s="4" t="s">
        <v>1811</v>
      </c>
      <c r="AF646" s="4" t="s">
        <v>1097</v>
      </c>
    </row>
    <row r="647" spans="1:35" ht="144" x14ac:dyDescent="0.3">
      <c r="A647" s="53" t="s">
        <v>1812</v>
      </c>
      <c r="B647" s="53" t="s">
        <v>1087</v>
      </c>
      <c r="C647" s="54" t="s">
        <v>1088</v>
      </c>
      <c r="D647" s="55"/>
      <c r="E647" s="55" t="s">
        <v>1101</v>
      </c>
      <c r="F647" s="55" t="s">
        <v>61</v>
      </c>
      <c r="G647" s="56">
        <v>1</v>
      </c>
      <c r="H647" s="55"/>
      <c r="I647" s="56">
        <v>180.2</v>
      </c>
      <c r="J647" s="57">
        <f>IFERROR(ROUND(SUM(M648)/I647, 2),0)</f>
        <v>1301.74</v>
      </c>
      <c r="K647" s="57">
        <v>837.01</v>
      </c>
      <c r="L647" s="57">
        <f>J647+ROUND(K647, 2)</f>
        <v>2138.75</v>
      </c>
      <c r="M647" s="57">
        <f>ROUND(J647*I647, 2)</f>
        <v>234573.55</v>
      </c>
      <c r="N647" s="57">
        <f>ROUND(I647*ROUND(K647, 2), 2)</f>
        <v>150829.20000000001</v>
      </c>
      <c r="O647" s="57">
        <f>M647+N647</f>
        <v>385402.75</v>
      </c>
      <c r="P647" s="57">
        <f>IFERROR(ROUND(SUM(S648)/I647, 2),0)</f>
        <v>1301.74</v>
      </c>
      <c r="Q647" s="57">
        <v>1195.71</v>
      </c>
      <c r="R647" s="57">
        <f>P647+ROUND(Q647, 2)</f>
        <v>2497.4499999999998</v>
      </c>
      <c r="S647" s="57">
        <f>ROUND(P647*I647, 2)</f>
        <v>234573.55</v>
      </c>
      <c r="T647" s="57">
        <f>ROUND(I647*ROUND(Q647, 2), 2)</f>
        <v>215466.94</v>
      </c>
      <c r="U647" s="57">
        <f>S647+T647</f>
        <v>450040.49</v>
      </c>
      <c r="V647" s="9">
        <f>ROUND(P647 / 1.2, 2)</f>
        <v>1084.78</v>
      </c>
      <c r="W647" s="9">
        <f>ROUND(Q647 / 1.2, 2)</f>
        <v>996.43</v>
      </c>
      <c r="X647" s="9">
        <f>ROUND(R647 / 1.2, 2)</f>
        <v>2081.21</v>
      </c>
      <c r="Y647" s="9">
        <f>ROUND(S647 / 1.2, 2)</f>
        <v>195477.96</v>
      </c>
      <c r="Z647" s="9">
        <f>ROUND(T647 / 1.2, 2)</f>
        <v>179555.78</v>
      </c>
      <c r="AA647" s="9">
        <f>Y647+Z647</f>
        <v>375033.74</v>
      </c>
      <c r="AD647" s="4">
        <v>320319943</v>
      </c>
      <c r="AE647" s="4">
        <v>28049732</v>
      </c>
      <c r="AG647" s="4" t="s">
        <v>1090</v>
      </c>
      <c r="AH647" s="4" t="s">
        <v>1091</v>
      </c>
      <c r="AI647" s="4" t="s">
        <v>338</v>
      </c>
    </row>
    <row r="648" spans="1:35" ht="18" x14ac:dyDescent="0.3">
      <c r="A648" s="53" t="s">
        <v>1813</v>
      </c>
      <c r="B648" s="53"/>
      <c r="C648" s="58" t="s">
        <v>1104</v>
      </c>
      <c r="D648" s="55"/>
      <c r="E648" s="55"/>
      <c r="F648" s="59" t="s">
        <v>61</v>
      </c>
      <c r="G648" s="60">
        <v>1.1000000000000001</v>
      </c>
      <c r="H648" s="55"/>
      <c r="I648" s="63">
        <v>198.22</v>
      </c>
      <c r="J648" s="61">
        <v>1183.4000000000001</v>
      </c>
      <c r="K648" s="51"/>
      <c r="L648" s="51"/>
      <c r="M648" s="61">
        <f>ROUND(ROUND(J648, 2)*I648, 2)</f>
        <v>234573.55</v>
      </c>
      <c r="N648" s="51"/>
      <c r="O648" s="51"/>
      <c r="P648" s="61">
        <v>1183.4000000000001</v>
      </c>
      <c r="Q648" s="51"/>
      <c r="R648" s="51"/>
      <c r="S648" s="61">
        <f>ROUND(ROUND(P648, 2)*I648, 2)</f>
        <v>234573.55</v>
      </c>
      <c r="T648" s="51"/>
      <c r="U648" s="62"/>
      <c r="V648" s="9">
        <f>ROUND(ROUND(P648, 2)/1.2, 2)</f>
        <v>986.17</v>
      </c>
      <c r="Y648" s="9">
        <f>ROUND(S648 / 1.2, 2)</f>
        <v>195477.96</v>
      </c>
      <c r="AD648" s="4" t="s">
        <v>1814</v>
      </c>
      <c r="AE648" s="4" t="s">
        <v>1815</v>
      </c>
      <c r="AF648" s="4" t="s">
        <v>1107</v>
      </c>
    </row>
    <row r="649" spans="1:35" ht="54" x14ac:dyDescent="0.3">
      <c r="A649" s="53" t="s">
        <v>1816</v>
      </c>
      <c r="B649" s="53" t="s">
        <v>1111</v>
      </c>
      <c r="C649" s="54" t="s">
        <v>1112</v>
      </c>
      <c r="D649" s="55"/>
      <c r="E649" s="55" t="s">
        <v>1817</v>
      </c>
      <c r="F649" s="55" t="s">
        <v>61</v>
      </c>
      <c r="G649" s="56">
        <v>1</v>
      </c>
      <c r="H649" s="55"/>
      <c r="I649" s="56">
        <v>4271.5</v>
      </c>
      <c r="J649" s="57">
        <v>0</v>
      </c>
      <c r="K649" s="57">
        <v>121</v>
      </c>
      <c r="L649" s="57">
        <f>J649+ROUND(K649, 2)</f>
        <v>121</v>
      </c>
      <c r="M649" s="57">
        <v>0</v>
      </c>
      <c r="N649" s="57">
        <f>ROUND(I649*ROUND(K649, 2), 2)</f>
        <v>516851.5</v>
      </c>
      <c r="O649" s="57">
        <f>M649+N649</f>
        <v>516851.5</v>
      </c>
      <c r="P649" s="57">
        <v>0</v>
      </c>
      <c r="Q649" s="57">
        <v>172.85</v>
      </c>
      <c r="R649" s="57">
        <f>P649+ROUND(Q649, 2)</f>
        <v>172.85</v>
      </c>
      <c r="S649" s="57">
        <v>0</v>
      </c>
      <c r="T649" s="57">
        <f>ROUND(I649*ROUND(Q649, 2), 2)</f>
        <v>738328.78</v>
      </c>
      <c r="U649" s="57">
        <f>S649+T649</f>
        <v>738328.78</v>
      </c>
      <c r="V649" s="9"/>
      <c r="W649" s="9">
        <f>ROUND(Q649 / 1.2, 2)</f>
        <v>144.04</v>
      </c>
      <c r="X649" s="9">
        <f>ROUND(R649 / 1.2, 2)</f>
        <v>144.04</v>
      </c>
      <c r="Y649" s="9"/>
      <c r="Z649" s="9">
        <f>ROUND(T649 / 1.2, 2)</f>
        <v>615273.98</v>
      </c>
      <c r="AA649" s="9">
        <f>Y649+Z649</f>
        <v>615273.98</v>
      </c>
      <c r="AD649" s="4">
        <v>320319915</v>
      </c>
      <c r="AE649" s="4">
        <v>28049701</v>
      </c>
      <c r="AG649" s="4" t="s">
        <v>1114</v>
      </c>
      <c r="AH649" s="4" t="s">
        <v>1115</v>
      </c>
      <c r="AI649" s="4" t="s">
        <v>338</v>
      </c>
    </row>
    <row r="650" spans="1:35" ht="90" x14ac:dyDescent="0.3">
      <c r="A650" s="53" t="s">
        <v>1818</v>
      </c>
      <c r="B650" s="53" t="s">
        <v>1118</v>
      </c>
      <c r="C650" s="54" t="s">
        <v>1119</v>
      </c>
      <c r="D650" s="55"/>
      <c r="E650" s="55" t="s">
        <v>1819</v>
      </c>
      <c r="F650" s="55" t="s">
        <v>61</v>
      </c>
      <c r="G650" s="56">
        <v>1</v>
      </c>
      <c r="H650" s="55"/>
      <c r="I650" s="56">
        <v>2326.3000000000002</v>
      </c>
      <c r="J650" s="57">
        <f>IFERROR(ROUND(SUM(M651,M652,M653,M654,M655,M656,M657,M658,M659,M660,M661)/I650, 2),0)</f>
        <v>615.64</v>
      </c>
      <c r="K650" s="57">
        <v>1379</v>
      </c>
      <c r="L650" s="57">
        <f>J650+ROUND(K650, 2)</f>
        <v>1994.6399999999999</v>
      </c>
      <c r="M650" s="57">
        <f>ROUND(J650*I650, 2)</f>
        <v>1432163.33</v>
      </c>
      <c r="N650" s="57">
        <f>ROUND(I650*ROUND(K650, 2), 2)</f>
        <v>3207967.7</v>
      </c>
      <c r="O650" s="57">
        <f>M650+N650</f>
        <v>4640131.03</v>
      </c>
      <c r="P650" s="57">
        <f>IFERROR(ROUND(SUM(S651,S652,S653,S654,S655,S656,S657,S658,S659,S660,S661)/I650, 2),0)</f>
        <v>615.64</v>
      </c>
      <c r="Q650" s="57">
        <v>1970</v>
      </c>
      <c r="R650" s="57">
        <f>P650+ROUND(Q650, 2)</f>
        <v>2585.64</v>
      </c>
      <c r="S650" s="57">
        <f>ROUND(P650*I650, 2)</f>
        <v>1432163.33</v>
      </c>
      <c r="T650" s="57">
        <f>ROUND(I650*ROUND(Q650, 2), 2)</f>
        <v>4582811</v>
      </c>
      <c r="U650" s="57">
        <f>S650+T650</f>
        <v>6014974.3300000001</v>
      </c>
      <c r="V650" s="9">
        <f>ROUND(P650 / 1.2, 2)</f>
        <v>513.03</v>
      </c>
      <c r="W650" s="9">
        <f>ROUND(Q650 / 1.2, 2)</f>
        <v>1641.67</v>
      </c>
      <c r="X650" s="9">
        <f>ROUND(R650 / 1.2, 2)</f>
        <v>2154.6999999999998</v>
      </c>
      <c r="Y650" s="9">
        <f t="shared" ref="Y650:Y687" si="125">ROUND(S650 / 1.2, 2)</f>
        <v>1193469.4399999999</v>
      </c>
      <c r="Z650" s="9">
        <f>ROUND(T650 / 1.2, 2)</f>
        <v>3819009.17</v>
      </c>
      <c r="AA650" s="9">
        <f>Y650+Z650</f>
        <v>5012478.6099999994</v>
      </c>
      <c r="AD650" s="4">
        <v>320319917</v>
      </c>
      <c r="AE650" s="4">
        <v>28049702</v>
      </c>
      <c r="AG650" s="4" t="s">
        <v>1121</v>
      </c>
      <c r="AH650" s="4" t="s">
        <v>1122</v>
      </c>
      <c r="AI650" s="4" t="s">
        <v>338</v>
      </c>
    </row>
    <row r="651" spans="1:35" ht="18" x14ac:dyDescent="0.3">
      <c r="A651" s="53" t="s">
        <v>1820</v>
      </c>
      <c r="B651" s="53"/>
      <c r="C651" s="58" t="s">
        <v>1125</v>
      </c>
      <c r="D651" s="55"/>
      <c r="E651" s="55"/>
      <c r="F651" s="59" t="s">
        <v>356</v>
      </c>
      <c r="G651" s="60">
        <v>15</v>
      </c>
      <c r="H651" s="55"/>
      <c r="I651" s="60">
        <v>34894.5</v>
      </c>
      <c r="J651" s="61">
        <v>0.96</v>
      </c>
      <c r="K651" s="51"/>
      <c r="L651" s="51"/>
      <c r="M651" s="61">
        <f t="shared" ref="M651:M661" si="126">ROUND(ROUND(J651, 2)*I651, 2)</f>
        <v>33498.720000000001</v>
      </c>
      <c r="N651" s="51"/>
      <c r="O651" s="51"/>
      <c r="P651" s="61">
        <v>0.96</v>
      </c>
      <c r="Q651" s="51"/>
      <c r="R651" s="51"/>
      <c r="S651" s="61">
        <f t="shared" ref="S651:S661" si="127">ROUND(ROUND(P651, 2)*I651, 2)</f>
        <v>33498.720000000001</v>
      </c>
      <c r="T651" s="51"/>
      <c r="U651" s="62"/>
      <c r="V651" s="9">
        <f t="shared" ref="V651:V661" si="128">ROUND(ROUND(P651, 2)/1.2, 2)</f>
        <v>0.8</v>
      </c>
      <c r="Y651" s="9">
        <f t="shared" si="125"/>
        <v>27915.599999999999</v>
      </c>
      <c r="AD651" s="4" t="s">
        <v>1821</v>
      </c>
      <c r="AE651" s="4" t="s">
        <v>1822</v>
      </c>
      <c r="AF651" s="4" t="s">
        <v>1128</v>
      </c>
    </row>
    <row r="652" spans="1:35" ht="18" x14ac:dyDescent="0.3">
      <c r="A652" s="53" t="s">
        <v>1823</v>
      </c>
      <c r="B652" s="53"/>
      <c r="C652" s="58" t="s">
        <v>1132</v>
      </c>
      <c r="D652" s="55"/>
      <c r="E652" s="55"/>
      <c r="F652" s="59" t="s">
        <v>364</v>
      </c>
      <c r="G652" s="60">
        <v>0.35</v>
      </c>
      <c r="H652" s="55"/>
      <c r="I652" s="60">
        <v>814.20500000000004</v>
      </c>
      <c r="J652" s="61">
        <v>55.91</v>
      </c>
      <c r="K652" s="51"/>
      <c r="L652" s="51"/>
      <c r="M652" s="61">
        <f t="shared" si="126"/>
        <v>45522.2</v>
      </c>
      <c r="N652" s="51"/>
      <c r="O652" s="51"/>
      <c r="P652" s="61">
        <v>55.91</v>
      </c>
      <c r="Q652" s="51"/>
      <c r="R652" s="51"/>
      <c r="S652" s="61">
        <f t="shared" si="127"/>
        <v>45522.2</v>
      </c>
      <c r="T652" s="51"/>
      <c r="U652" s="62"/>
      <c r="V652" s="9">
        <f t="shared" si="128"/>
        <v>46.59</v>
      </c>
      <c r="Y652" s="9">
        <f t="shared" si="125"/>
        <v>37935.17</v>
      </c>
      <c r="AD652" s="4" t="s">
        <v>1824</v>
      </c>
      <c r="AE652" s="4" t="s">
        <v>1825</v>
      </c>
      <c r="AF652" s="4" t="s">
        <v>1135</v>
      </c>
    </row>
    <row r="653" spans="1:35" ht="18" x14ac:dyDescent="0.3">
      <c r="A653" s="53" t="s">
        <v>1826</v>
      </c>
      <c r="B653" s="53"/>
      <c r="C653" s="58" t="s">
        <v>1139</v>
      </c>
      <c r="D653" s="55"/>
      <c r="E653" s="55"/>
      <c r="F653" s="59" t="s">
        <v>356</v>
      </c>
      <c r="G653" s="60">
        <v>0.3</v>
      </c>
      <c r="H653" s="55"/>
      <c r="I653" s="60">
        <v>697.89</v>
      </c>
      <c r="J653" s="61">
        <v>5.7</v>
      </c>
      <c r="K653" s="51"/>
      <c r="L653" s="51"/>
      <c r="M653" s="61">
        <f t="shared" si="126"/>
        <v>3977.97</v>
      </c>
      <c r="N653" s="51"/>
      <c r="O653" s="51"/>
      <c r="P653" s="61">
        <v>5.7</v>
      </c>
      <c r="Q653" s="51"/>
      <c r="R653" s="51"/>
      <c r="S653" s="61">
        <f t="shared" si="127"/>
        <v>3977.97</v>
      </c>
      <c r="T653" s="51"/>
      <c r="U653" s="62"/>
      <c r="V653" s="9">
        <f t="shared" si="128"/>
        <v>4.75</v>
      </c>
      <c r="Y653" s="9">
        <f t="shared" si="125"/>
        <v>3314.98</v>
      </c>
      <c r="AD653" s="4" t="s">
        <v>1827</v>
      </c>
      <c r="AE653" s="4" t="s">
        <v>1828</v>
      </c>
      <c r="AF653" s="4" t="s">
        <v>1142</v>
      </c>
    </row>
    <row r="654" spans="1:35" ht="36" x14ac:dyDescent="0.3">
      <c r="A654" s="53" t="s">
        <v>1829</v>
      </c>
      <c r="B654" s="53"/>
      <c r="C654" s="47" t="s">
        <v>1146</v>
      </c>
      <c r="D654" s="55"/>
      <c r="E654" s="55"/>
      <c r="F654" s="59" t="s">
        <v>356</v>
      </c>
      <c r="G654" s="60">
        <v>3.6</v>
      </c>
      <c r="H654" s="55"/>
      <c r="I654" s="60">
        <v>8374.68</v>
      </c>
      <c r="J654" s="61">
        <v>16.170000000000002</v>
      </c>
      <c r="K654" s="51"/>
      <c r="L654" s="51"/>
      <c r="M654" s="61">
        <f t="shared" si="126"/>
        <v>135418.57999999999</v>
      </c>
      <c r="N654" s="51"/>
      <c r="O654" s="51"/>
      <c r="P654" s="61">
        <v>16.170000000000002</v>
      </c>
      <c r="Q654" s="51"/>
      <c r="R654" s="51"/>
      <c r="S654" s="61">
        <f t="shared" si="127"/>
        <v>135418.57999999999</v>
      </c>
      <c r="T654" s="51"/>
      <c r="U654" s="62"/>
      <c r="V654" s="9">
        <f t="shared" si="128"/>
        <v>13.48</v>
      </c>
      <c r="Y654" s="9">
        <f t="shared" si="125"/>
        <v>112848.82</v>
      </c>
      <c r="AD654" s="4" t="s">
        <v>1830</v>
      </c>
      <c r="AE654" s="4" t="s">
        <v>1831</v>
      </c>
      <c r="AF654" s="4" t="s">
        <v>1149</v>
      </c>
    </row>
    <row r="655" spans="1:35" ht="18" x14ac:dyDescent="0.3">
      <c r="A655" s="53" t="s">
        <v>1832</v>
      </c>
      <c r="B655" s="53"/>
      <c r="C655" s="58" t="s">
        <v>1153</v>
      </c>
      <c r="D655" s="55"/>
      <c r="E655" s="55"/>
      <c r="F655" s="59" t="s">
        <v>76</v>
      </c>
      <c r="G655" s="60">
        <v>1.2</v>
      </c>
      <c r="H655" s="55"/>
      <c r="I655" s="60">
        <v>2791.56</v>
      </c>
      <c r="J655" s="61">
        <v>23.2</v>
      </c>
      <c r="K655" s="51"/>
      <c r="L655" s="51"/>
      <c r="M655" s="61">
        <f t="shared" si="126"/>
        <v>64764.19</v>
      </c>
      <c r="N655" s="51"/>
      <c r="O655" s="51"/>
      <c r="P655" s="61">
        <v>23.2</v>
      </c>
      <c r="Q655" s="51"/>
      <c r="R655" s="51"/>
      <c r="S655" s="61">
        <f t="shared" si="127"/>
        <v>64764.19</v>
      </c>
      <c r="T655" s="51"/>
      <c r="U655" s="62"/>
      <c r="V655" s="9">
        <f t="shared" si="128"/>
        <v>19.329999999999998</v>
      </c>
      <c r="Y655" s="9">
        <f t="shared" si="125"/>
        <v>53970.16</v>
      </c>
      <c r="AD655" s="4" t="s">
        <v>1833</v>
      </c>
      <c r="AE655" s="4" t="s">
        <v>1834</v>
      </c>
      <c r="AF655" s="4" t="s">
        <v>1156</v>
      </c>
    </row>
    <row r="656" spans="1:35" ht="18" x14ac:dyDescent="0.3">
      <c r="A656" s="53" t="s">
        <v>1835</v>
      </c>
      <c r="B656" s="53"/>
      <c r="C656" s="58" t="s">
        <v>1160</v>
      </c>
      <c r="D656" s="55"/>
      <c r="E656" s="55"/>
      <c r="F656" s="59" t="s">
        <v>76</v>
      </c>
      <c r="G656" s="60">
        <v>4.7</v>
      </c>
      <c r="H656" s="55"/>
      <c r="I656" s="60">
        <v>10933.61</v>
      </c>
      <c r="J656" s="61">
        <v>68.099999999999994</v>
      </c>
      <c r="K656" s="51"/>
      <c r="L656" s="51"/>
      <c r="M656" s="61">
        <f t="shared" si="126"/>
        <v>744578.84</v>
      </c>
      <c r="N656" s="51"/>
      <c r="O656" s="51"/>
      <c r="P656" s="61">
        <v>68.099999999999994</v>
      </c>
      <c r="Q656" s="51"/>
      <c r="R656" s="51"/>
      <c r="S656" s="61">
        <f t="shared" si="127"/>
        <v>744578.84</v>
      </c>
      <c r="T656" s="51"/>
      <c r="U656" s="62"/>
      <c r="V656" s="9">
        <f t="shared" si="128"/>
        <v>56.75</v>
      </c>
      <c r="Y656" s="9">
        <f t="shared" si="125"/>
        <v>620482.37</v>
      </c>
      <c r="AD656" s="4" t="s">
        <v>1836</v>
      </c>
      <c r="AE656" s="4" t="s">
        <v>1837</v>
      </c>
      <c r="AF656" s="4" t="s">
        <v>1163</v>
      </c>
    </row>
    <row r="657" spans="1:35" ht="18" x14ac:dyDescent="0.3">
      <c r="A657" s="53" t="s">
        <v>1838</v>
      </c>
      <c r="B657" s="53"/>
      <c r="C657" s="47" t="s">
        <v>1839</v>
      </c>
      <c r="D657" s="55"/>
      <c r="E657" s="55"/>
      <c r="F657" s="59" t="s">
        <v>356</v>
      </c>
      <c r="G657" s="60">
        <v>4.2</v>
      </c>
      <c r="H657" s="55"/>
      <c r="I657" s="60">
        <v>9770.4599999999991</v>
      </c>
      <c r="J657" s="61">
        <v>5.0999999999999996</v>
      </c>
      <c r="K657" s="51"/>
      <c r="L657" s="51"/>
      <c r="M657" s="61">
        <f t="shared" si="126"/>
        <v>49829.35</v>
      </c>
      <c r="N657" s="51"/>
      <c r="O657" s="51"/>
      <c r="P657" s="61">
        <v>5.0999999999999996</v>
      </c>
      <c r="Q657" s="51"/>
      <c r="R657" s="51"/>
      <c r="S657" s="61">
        <f t="shared" si="127"/>
        <v>49829.35</v>
      </c>
      <c r="T657" s="51"/>
      <c r="U657" s="62"/>
      <c r="V657" s="9">
        <f t="shared" si="128"/>
        <v>4.25</v>
      </c>
      <c r="Y657" s="9">
        <f t="shared" si="125"/>
        <v>41524.46</v>
      </c>
      <c r="AD657" s="4" t="s">
        <v>1840</v>
      </c>
      <c r="AE657" s="4" t="s">
        <v>1841</v>
      </c>
      <c r="AF657" s="4" t="s">
        <v>1842</v>
      </c>
    </row>
    <row r="658" spans="1:35" ht="18" x14ac:dyDescent="0.3">
      <c r="A658" s="53" t="s">
        <v>1843</v>
      </c>
      <c r="B658" s="53"/>
      <c r="C658" s="58" t="s">
        <v>1167</v>
      </c>
      <c r="D658" s="55"/>
      <c r="E658" s="55"/>
      <c r="F658" s="59" t="s">
        <v>76</v>
      </c>
      <c r="G658" s="60">
        <v>1.05</v>
      </c>
      <c r="H658" s="55"/>
      <c r="I658" s="60">
        <v>2442.6149999999998</v>
      </c>
      <c r="J658" s="61">
        <v>4.67</v>
      </c>
      <c r="K658" s="51"/>
      <c r="L658" s="51"/>
      <c r="M658" s="61">
        <f t="shared" si="126"/>
        <v>11407.01</v>
      </c>
      <c r="N658" s="51"/>
      <c r="O658" s="51"/>
      <c r="P658" s="61">
        <v>4.67</v>
      </c>
      <c r="Q658" s="51"/>
      <c r="R658" s="51"/>
      <c r="S658" s="61">
        <f t="shared" si="127"/>
        <v>11407.01</v>
      </c>
      <c r="T658" s="51"/>
      <c r="U658" s="62"/>
      <c r="V658" s="9">
        <f t="shared" si="128"/>
        <v>3.89</v>
      </c>
      <c r="Y658" s="9">
        <f t="shared" si="125"/>
        <v>9505.84</v>
      </c>
      <c r="AD658" s="4" t="s">
        <v>1844</v>
      </c>
      <c r="AE658" s="4" t="s">
        <v>1845</v>
      </c>
      <c r="AF658" s="4" t="s">
        <v>1170</v>
      </c>
    </row>
    <row r="659" spans="1:35" ht="18" x14ac:dyDescent="0.3">
      <c r="A659" s="53" t="s">
        <v>1846</v>
      </c>
      <c r="B659" s="53"/>
      <c r="C659" s="58" t="s">
        <v>1174</v>
      </c>
      <c r="D659" s="55"/>
      <c r="E659" s="55"/>
      <c r="F659" s="59" t="s">
        <v>76</v>
      </c>
      <c r="G659" s="60">
        <v>0.25</v>
      </c>
      <c r="H659" s="55"/>
      <c r="I659" s="60">
        <v>581.57500000000005</v>
      </c>
      <c r="J659" s="61">
        <v>2.84</v>
      </c>
      <c r="K659" s="51"/>
      <c r="L659" s="51"/>
      <c r="M659" s="61">
        <f t="shared" si="126"/>
        <v>1651.67</v>
      </c>
      <c r="N659" s="51"/>
      <c r="O659" s="51"/>
      <c r="P659" s="61">
        <v>2.84</v>
      </c>
      <c r="Q659" s="51"/>
      <c r="R659" s="51"/>
      <c r="S659" s="61">
        <f t="shared" si="127"/>
        <v>1651.67</v>
      </c>
      <c r="T659" s="51"/>
      <c r="U659" s="62"/>
      <c r="V659" s="9">
        <f t="shared" si="128"/>
        <v>2.37</v>
      </c>
      <c r="Y659" s="9">
        <f t="shared" si="125"/>
        <v>1376.39</v>
      </c>
      <c r="AD659" s="4" t="s">
        <v>1847</v>
      </c>
      <c r="AE659" s="4" t="s">
        <v>1848</v>
      </c>
      <c r="AF659" s="4" t="s">
        <v>1177</v>
      </c>
    </row>
    <row r="660" spans="1:35" ht="36" x14ac:dyDescent="0.3">
      <c r="A660" s="53" t="s">
        <v>1849</v>
      </c>
      <c r="B660" s="53"/>
      <c r="C660" s="58" t="s">
        <v>1181</v>
      </c>
      <c r="D660" s="55"/>
      <c r="E660" s="55"/>
      <c r="F660" s="59" t="s">
        <v>61</v>
      </c>
      <c r="G660" s="60">
        <v>1.05</v>
      </c>
      <c r="H660" s="55"/>
      <c r="I660" s="60">
        <v>2442.6149999999998</v>
      </c>
      <c r="J660" s="61">
        <v>137.79</v>
      </c>
      <c r="K660" s="51"/>
      <c r="L660" s="51"/>
      <c r="M660" s="61">
        <f t="shared" si="126"/>
        <v>336567.92</v>
      </c>
      <c r="N660" s="51"/>
      <c r="O660" s="51"/>
      <c r="P660" s="61">
        <v>137.79</v>
      </c>
      <c r="Q660" s="51"/>
      <c r="R660" s="51"/>
      <c r="S660" s="61">
        <f t="shared" si="127"/>
        <v>336567.92</v>
      </c>
      <c r="T660" s="51"/>
      <c r="U660" s="62"/>
      <c r="V660" s="9">
        <f t="shared" si="128"/>
        <v>114.83</v>
      </c>
      <c r="Y660" s="9">
        <f t="shared" si="125"/>
        <v>280473.27</v>
      </c>
      <c r="AD660" s="4" t="s">
        <v>1850</v>
      </c>
      <c r="AE660" s="4" t="s">
        <v>1851</v>
      </c>
      <c r="AF660" s="4" t="s">
        <v>1184</v>
      </c>
    </row>
    <row r="661" spans="1:35" ht="18" x14ac:dyDescent="0.3">
      <c r="A661" s="53" t="s">
        <v>1852</v>
      </c>
      <c r="B661" s="53"/>
      <c r="C661" s="58" t="s">
        <v>1188</v>
      </c>
      <c r="D661" s="55"/>
      <c r="E661" s="55"/>
      <c r="F661" s="59" t="s">
        <v>356</v>
      </c>
      <c r="G661" s="60">
        <v>0.75</v>
      </c>
      <c r="H661" s="55"/>
      <c r="I661" s="60">
        <v>1744.7249999999999</v>
      </c>
      <c r="J661" s="61">
        <v>2.84</v>
      </c>
      <c r="K661" s="51"/>
      <c r="L661" s="51"/>
      <c r="M661" s="61">
        <f t="shared" si="126"/>
        <v>4955.0200000000004</v>
      </c>
      <c r="N661" s="51"/>
      <c r="O661" s="51"/>
      <c r="P661" s="61">
        <v>2.84</v>
      </c>
      <c r="Q661" s="51"/>
      <c r="R661" s="51"/>
      <c r="S661" s="61">
        <f t="shared" si="127"/>
        <v>4955.0200000000004</v>
      </c>
      <c r="T661" s="51"/>
      <c r="U661" s="62"/>
      <c r="V661" s="9">
        <f t="shared" si="128"/>
        <v>2.37</v>
      </c>
      <c r="Y661" s="9">
        <f t="shared" si="125"/>
        <v>4129.18</v>
      </c>
      <c r="AD661" s="4" t="s">
        <v>1853</v>
      </c>
      <c r="AE661" s="4" t="s">
        <v>1854</v>
      </c>
      <c r="AF661" s="4" t="s">
        <v>1191</v>
      </c>
    </row>
    <row r="662" spans="1:35" ht="72" x14ac:dyDescent="0.3">
      <c r="A662" s="53" t="s">
        <v>1855</v>
      </c>
      <c r="B662" s="53" t="s">
        <v>1118</v>
      </c>
      <c r="C662" s="54" t="s">
        <v>1119</v>
      </c>
      <c r="D662" s="55"/>
      <c r="E662" s="55" t="s">
        <v>1856</v>
      </c>
      <c r="F662" s="55" t="s">
        <v>61</v>
      </c>
      <c r="G662" s="56">
        <v>1</v>
      </c>
      <c r="H662" s="55"/>
      <c r="I662" s="56">
        <v>454.4</v>
      </c>
      <c r="J662" s="57">
        <f>IFERROR(ROUND(SUM(M663,M664,M665,M666,M667,M668,M669,M670,M671,M672,M673)/I662, 2),0)</f>
        <v>615.64</v>
      </c>
      <c r="K662" s="57">
        <v>1379</v>
      </c>
      <c r="L662" s="57">
        <f>J662+ROUND(K662, 2)</f>
        <v>1994.6399999999999</v>
      </c>
      <c r="M662" s="57">
        <f>ROUND(J662*I662, 2)</f>
        <v>279746.82</v>
      </c>
      <c r="N662" s="57">
        <f>ROUND(I662*ROUND(K662, 2), 2)</f>
        <v>626617.59999999998</v>
      </c>
      <c r="O662" s="57">
        <f>M662+N662</f>
        <v>906364.41999999993</v>
      </c>
      <c r="P662" s="57">
        <f>IFERROR(ROUND(SUM(S663,S664,S665,S666,S667,S668,S669,S670,S671,S672,S673)/I662, 2),0)</f>
        <v>615.64</v>
      </c>
      <c r="Q662" s="57">
        <v>1970</v>
      </c>
      <c r="R662" s="57">
        <f>P662+ROUND(Q662, 2)</f>
        <v>2585.64</v>
      </c>
      <c r="S662" s="57">
        <f>ROUND(P662*I662, 2)</f>
        <v>279746.82</v>
      </c>
      <c r="T662" s="57">
        <f>ROUND(I662*ROUND(Q662, 2), 2)</f>
        <v>895168</v>
      </c>
      <c r="U662" s="57">
        <f>S662+T662</f>
        <v>1174914.82</v>
      </c>
      <c r="V662" s="9">
        <f>ROUND(P662 / 1.2, 2)</f>
        <v>513.03</v>
      </c>
      <c r="W662" s="9">
        <f>ROUND(Q662 / 1.2, 2)</f>
        <v>1641.67</v>
      </c>
      <c r="X662" s="9">
        <f>ROUND(R662 / 1.2, 2)</f>
        <v>2154.6999999999998</v>
      </c>
      <c r="Y662" s="9">
        <f t="shared" si="125"/>
        <v>233122.35</v>
      </c>
      <c r="Z662" s="9">
        <f>ROUND(T662 / 1.2, 2)</f>
        <v>745973.33</v>
      </c>
      <c r="AA662" s="9">
        <f>Y662+Z662</f>
        <v>979095.67999999993</v>
      </c>
      <c r="AD662" s="4">
        <v>320319944</v>
      </c>
      <c r="AE662" s="4">
        <v>28049691</v>
      </c>
      <c r="AG662" s="4" t="s">
        <v>1121</v>
      </c>
      <c r="AH662" s="4" t="s">
        <v>1122</v>
      </c>
      <c r="AI662" s="4" t="s">
        <v>338</v>
      </c>
    </row>
    <row r="663" spans="1:35" ht="18" x14ac:dyDescent="0.3">
      <c r="A663" s="53" t="s">
        <v>1857</v>
      </c>
      <c r="B663" s="53"/>
      <c r="C663" s="58" t="s">
        <v>1188</v>
      </c>
      <c r="D663" s="55"/>
      <c r="E663" s="55"/>
      <c r="F663" s="59" t="s">
        <v>356</v>
      </c>
      <c r="G663" s="60">
        <v>0.75</v>
      </c>
      <c r="H663" s="55"/>
      <c r="I663" s="60">
        <v>340.8</v>
      </c>
      <c r="J663" s="61">
        <v>2.84</v>
      </c>
      <c r="K663" s="51"/>
      <c r="L663" s="51"/>
      <c r="M663" s="61">
        <f t="shared" ref="M663:M673" si="129">ROUND(ROUND(J663, 2)*I663, 2)</f>
        <v>967.87</v>
      </c>
      <c r="N663" s="51"/>
      <c r="O663" s="51"/>
      <c r="P663" s="61">
        <v>2.84</v>
      </c>
      <c r="Q663" s="51"/>
      <c r="R663" s="51"/>
      <c r="S663" s="61">
        <f t="shared" ref="S663:S673" si="130">ROUND(ROUND(P663, 2)*I663, 2)</f>
        <v>967.87</v>
      </c>
      <c r="T663" s="51"/>
      <c r="U663" s="62"/>
      <c r="V663" s="9">
        <f t="shared" ref="V663:V673" si="131">ROUND(ROUND(P663, 2)/1.2, 2)</f>
        <v>2.37</v>
      </c>
      <c r="Y663" s="9">
        <f t="shared" si="125"/>
        <v>806.56</v>
      </c>
      <c r="AD663" s="4" t="s">
        <v>1858</v>
      </c>
      <c r="AE663" s="4" t="s">
        <v>1859</v>
      </c>
      <c r="AF663" s="4" t="s">
        <v>1191</v>
      </c>
    </row>
    <row r="664" spans="1:35" ht="54" x14ac:dyDescent="0.3">
      <c r="A664" s="53" t="s">
        <v>1860</v>
      </c>
      <c r="B664" s="53"/>
      <c r="C664" s="58" t="s">
        <v>98</v>
      </c>
      <c r="D664" s="55"/>
      <c r="E664" s="55"/>
      <c r="F664" s="59" t="s">
        <v>61</v>
      </c>
      <c r="G664" s="60">
        <v>1.05</v>
      </c>
      <c r="H664" s="55"/>
      <c r="I664" s="60">
        <v>477.12</v>
      </c>
      <c r="J664" s="61">
        <v>137.79</v>
      </c>
      <c r="K664" s="51"/>
      <c r="L664" s="51"/>
      <c r="M664" s="61">
        <f t="shared" si="129"/>
        <v>65742.36</v>
      </c>
      <c r="N664" s="51"/>
      <c r="O664" s="51"/>
      <c r="P664" s="61">
        <v>137.79</v>
      </c>
      <c r="Q664" s="51"/>
      <c r="R664" s="51"/>
      <c r="S664" s="61">
        <f t="shared" si="130"/>
        <v>65742.36</v>
      </c>
      <c r="T664" s="51"/>
      <c r="U664" s="62"/>
      <c r="V664" s="9">
        <f t="shared" si="131"/>
        <v>114.83</v>
      </c>
      <c r="Y664" s="9">
        <f t="shared" si="125"/>
        <v>54785.3</v>
      </c>
      <c r="AD664" s="4" t="s">
        <v>1861</v>
      </c>
      <c r="AE664" s="4" t="s">
        <v>1862</v>
      </c>
      <c r="AF664" s="4" t="s">
        <v>101</v>
      </c>
    </row>
    <row r="665" spans="1:35" ht="18" x14ac:dyDescent="0.3">
      <c r="A665" s="53" t="s">
        <v>1863</v>
      </c>
      <c r="B665" s="53"/>
      <c r="C665" s="58" t="s">
        <v>1174</v>
      </c>
      <c r="D665" s="55"/>
      <c r="E665" s="55"/>
      <c r="F665" s="59" t="s">
        <v>76</v>
      </c>
      <c r="G665" s="60">
        <v>0.25</v>
      </c>
      <c r="H665" s="55"/>
      <c r="I665" s="60">
        <v>113.6</v>
      </c>
      <c r="J665" s="61">
        <v>2.84</v>
      </c>
      <c r="K665" s="51"/>
      <c r="L665" s="51"/>
      <c r="M665" s="61">
        <f t="shared" si="129"/>
        <v>322.62</v>
      </c>
      <c r="N665" s="51"/>
      <c r="O665" s="51"/>
      <c r="P665" s="61">
        <v>2.84</v>
      </c>
      <c r="Q665" s="51"/>
      <c r="R665" s="51"/>
      <c r="S665" s="61">
        <f t="shared" si="130"/>
        <v>322.62</v>
      </c>
      <c r="T665" s="51"/>
      <c r="U665" s="62"/>
      <c r="V665" s="9">
        <f t="shared" si="131"/>
        <v>2.37</v>
      </c>
      <c r="Y665" s="9">
        <f t="shared" si="125"/>
        <v>268.85000000000002</v>
      </c>
      <c r="AD665" s="4" t="s">
        <v>1864</v>
      </c>
      <c r="AE665" s="4" t="s">
        <v>1865</v>
      </c>
      <c r="AF665" s="4" t="s">
        <v>1177</v>
      </c>
    </row>
    <row r="666" spans="1:35" ht="18" x14ac:dyDescent="0.3">
      <c r="A666" s="53" t="s">
        <v>1866</v>
      </c>
      <c r="B666" s="53"/>
      <c r="C666" s="58" t="s">
        <v>1167</v>
      </c>
      <c r="D666" s="55"/>
      <c r="E666" s="55"/>
      <c r="F666" s="59" t="s">
        <v>76</v>
      </c>
      <c r="G666" s="60">
        <v>1.05</v>
      </c>
      <c r="H666" s="55"/>
      <c r="I666" s="60">
        <v>477.12</v>
      </c>
      <c r="J666" s="61">
        <v>4.67</v>
      </c>
      <c r="K666" s="51"/>
      <c r="L666" s="51"/>
      <c r="M666" s="61">
        <f t="shared" si="129"/>
        <v>2228.15</v>
      </c>
      <c r="N666" s="51"/>
      <c r="O666" s="51"/>
      <c r="P666" s="61">
        <v>4.67</v>
      </c>
      <c r="Q666" s="51"/>
      <c r="R666" s="51"/>
      <c r="S666" s="61">
        <f t="shared" si="130"/>
        <v>2228.15</v>
      </c>
      <c r="T666" s="51"/>
      <c r="U666" s="62"/>
      <c r="V666" s="9">
        <f t="shared" si="131"/>
        <v>3.89</v>
      </c>
      <c r="Y666" s="9">
        <f t="shared" si="125"/>
        <v>1856.79</v>
      </c>
      <c r="AD666" s="4" t="s">
        <v>1867</v>
      </c>
      <c r="AE666" s="4" t="s">
        <v>1868</v>
      </c>
      <c r="AF666" s="4" t="s">
        <v>1170</v>
      </c>
    </row>
    <row r="667" spans="1:35" ht="18" x14ac:dyDescent="0.3">
      <c r="A667" s="53" t="s">
        <v>1869</v>
      </c>
      <c r="B667" s="53"/>
      <c r="C667" s="47" t="s">
        <v>1839</v>
      </c>
      <c r="D667" s="55"/>
      <c r="E667" s="55"/>
      <c r="F667" s="59" t="s">
        <v>356</v>
      </c>
      <c r="G667" s="60">
        <v>4.2</v>
      </c>
      <c r="H667" s="55"/>
      <c r="I667" s="60">
        <v>1908.48</v>
      </c>
      <c r="J667" s="61">
        <v>5.0999999999999996</v>
      </c>
      <c r="K667" s="51"/>
      <c r="L667" s="51"/>
      <c r="M667" s="61">
        <f t="shared" si="129"/>
        <v>9733.25</v>
      </c>
      <c r="N667" s="51"/>
      <c r="O667" s="51"/>
      <c r="P667" s="61">
        <v>5.0999999999999996</v>
      </c>
      <c r="Q667" s="51"/>
      <c r="R667" s="51"/>
      <c r="S667" s="61">
        <f t="shared" si="130"/>
        <v>9733.25</v>
      </c>
      <c r="T667" s="51"/>
      <c r="U667" s="62"/>
      <c r="V667" s="9">
        <f t="shared" si="131"/>
        <v>4.25</v>
      </c>
      <c r="Y667" s="9">
        <f t="shared" si="125"/>
        <v>8111.04</v>
      </c>
      <c r="AD667" s="4" t="s">
        <v>1870</v>
      </c>
      <c r="AE667" s="4" t="s">
        <v>1871</v>
      </c>
      <c r="AF667" s="4" t="s">
        <v>1842</v>
      </c>
    </row>
    <row r="668" spans="1:35" ht="18" x14ac:dyDescent="0.3">
      <c r="A668" s="53" t="s">
        <v>1872</v>
      </c>
      <c r="B668" s="53"/>
      <c r="C668" s="58" t="s">
        <v>1153</v>
      </c>
      <c r="D668" s="55"/>
      <c r="E668" s="55"/>
      <c r="F668" s="59" t="s">
        <v>76</v>
      </c>
      <c r="G668" s="60">
        <v>1.2</v>
      </c>
      <c r="H668" s="55"/>
      <c r="I668" s="60">
        <v>545.28</v>
      </c>
      <c r="J668" s="61">
        <v>23.2</v>
      </c>
      <c r="K668" s="51"/>
      <c r="L668" s="51"/>
      <c r="M668" s="61">
        <f t="shared" si="129"/>
        <v>12650.5</v>
      </c>
      <c r="N668" s="51"/>
      <c r="O668" s="51"/>
      <c r="P668" s="61">
        <v>23.2</v>
      </c>
      <c r="Q668" s="51"/>
      <c r="R668" s="51"/>
      <c r="S668" s="61">
        <f t="shared" si="130"/>
        <v>12650.5</v>
      </c>
      <c r="T668" s="51"/>
      <c r="U668" s="62"/>
      <c r="V668" s="9">
        <f t="shared" si="131"/>
        <v>19.329999999999998</v>
      </c>
      <c r="Y668" s="9">
        <f t="shared" si="125"/>
        <v>10542.08</v>
      </c>
      <c r="AD668" s="4" t="s">
        <v>1873</v>
      </c>
      <c r="AE668" s="4" t="s">
        <v>1874</v>
      </c>
      <c r="AF668" s="4" t="s">
        <v>1156</v>
      </c>
    </row>
    <row r="669" spans="1:35" ht="18" x14ac:dyDescent="0.3">
      <c r="A669" s="53" t="s">
        <v>1875</v>
      </c>
      <c r="B669" s="53"/>
      <c r="C669" s="58" t="s">
        <v>1160</v>
      </c>
      <c r="D669" s="55"/>
      <c r="E669" s="55"/>
      <c r="F669" s="59" t="s">
        <v>76</v>
      </c>
      <c r="G669" s="60">
        <v>4.7</v>
      </c>
      <c r="H669" s="55"/>
      <c r="I669" s="60">
        <v>2135.6799999999998</v>
      </c>
      <c r="J669" s="61">
        <v>68.099999999999994</v>
      </c>
      <c r="K669" s="51"/>
      <c r="L669" s="51"/>
      <c r="M669" s="61">
        <f t="shared" si="129"/>
        <v>145439.81</v>
      </c>
      <c r="N669" s="51"/>
      <c r="O669" s="51"/>
      <c r="P669" s="61">
        <v>68.099999999999994</v>
      </c>
      <c r="Q669" s="51"/>
      <c r="R669" s="51"/>
      <c r="S669" s="61">
        <f t="shared" si="130"/>
        <v>145439.81</v>
      </c>
      <c r="T669" s="51"/>
      <c r="U669" s="62"/>
      <c r="V669" s="9">
        <f t="shared" si="131"/>
        <v>56.75</v>
      </c>
      <c r="Y669" s="9">
        <f t="shared" si="125"/>
        <v>121199.84</v>
      </c>
      <c r="AD669" s="4" t="s">
        <v>1876</v>
      </c>
      <c r="AE669" s="4" t="s">
        <v>1877</v>
      </c>
      <c r="AF669" s="4" t="s">
        <v>1163</v>
      </c>
    </row>
    <row r="670" spans="1:35" ht="36" x14ac:dyDescent="0.3">
      <c r="A670" s="53" t="s">
        <v>1878</v>
      </c>
      <c r="B670" s="53"/>
      <c r="C670" s="47" t="s">
        <v>1146</v>
      </c>
      <c r="D670" s="55"/>
      <c r="E670" s="55"/>
      <c r="F670" s="59" t="s">
        <v>356</v>
      </c>
      <c r="G670" s="60">
        <v>3.6</v>
      </c>
      <c r="H670" s="55"/>
      <c r="I670" s="60">
        <v>1635.84</v>
      </c>
      <c r="J670" s="61">
        <v>16.170000000000002</v>
      </c>
      <c r="K670" s="51"/>
      <c r="L670" s="51"/>
      <c r="M670" s="61">
        <f t="shared" si="129"/>
        <v>26451.53</v>
      </c>
      <c r="N670" s="51"/>
      <c r="O670" s="51"/>
      <c r="P670" s="61">
        <v>16.170000000000002</v>
      </c>
      <c r="Q670" s="51"/>
      <c r="R670" s="51"/>
      <c r="S670" s="61">
        <f t="shared" si="130"/>
        <v>26451.53</v>
      </c>
      <c r="T670" s="51"/>
      <c r="U670" s="62"/>
      <c r="V670" s="9">
        <f t="shared" si="131"/>
        <v>13.48</v>
      </c>
      <c r="Y670" s="9">
        <f t="shared" si="125"/>
        <v>22042.94</v>
      </c>
      <c r="AD670" s="4" t="s">
        <v>1879</v>
      </c>
      <c r="AE670" s="4" t="s">
        <v>1880</v>
      </c>
      <c r="AF670" s="4" t="s">
        <v>1149</v>
      </c>
    </row>
    <row r="671" spans="1:35" ht="18" x14ac:dyDescent="0.3">
      <c r="A671" s="53" t="s">
        <v>1881</v>
      </c>
      <c r="B671" s="53"/>
      <c r="C671" s="58" t="s">
        <v>1139</v>
      </c>
      <c r="D671" s="55"/>
      <c r="E671" s="55"/>
      <c r="F671" s="59" t="s">
        <v>356</v>
      </c>
      <c r="G671" s="60">
        <v>0.3</v>
      </c>
      <c r="H671" s="55"/>
      <c r="I671" s="60">
        <v>136.32</v>
      </c>
      <c r="J671" s="61">
        <v>5.7</v>
      </c>
      <c r="K671" s="51"/>
      <c r="L671" s="51"/>
      <c r="M671" s="61">
        <f t="shared" si="129"/>
        <v>777.02</v>
      </c>
      <c r="N671" s="51"/>
      <c r="O671" s="51"/>
      <c r="P671" s="61">
        <v>5.7</v>
      </c>
      <c r="Q671" s="51"/>
      <c r="R671" s="51"/>
      <c r="S671" s="61">
        <f t="shared" si="130"/>
        <v>777.02</v>
      </c>
      <c r="T671" s="51"/>
      <c r="U671" s="62"/>
      <c r="V671" s="9">
        <f t="shared" si="131"/>
        <v>4.75</v>
      </c>
      <c r="Y671" s="9">
        <f t="shared" si="125"/>
        <v>647.52</v>
      </c>
      <c r="AD671" s="4" t="s">
        <v>1882</v>
      </c>
      <c r="AE671" s="4" t="s">
        <v>1883</v>
      </c>
      <c r="AF671" s="4" t="s">
        <v>1142</v>
      </c>
    </row>
    <row r="672" spans="1:35" ht="18" x14ac:dyDescent="0.3">
      <c r="A672" s="53" t="s">
        <v>1884</v>
      </c>
      <c r="B672" s="53"/>
      <c r="C672" s="58" t="s">
        <v>1132</v>
      </c>
      <c r="D672" s="55"/>
      <c r="E672" s="55"/>
      <c r="F672" s="59" t="s">
        <v>364</v>
      </c>
      <c r="G672" s="60">
        <v>0.35</v>
      </c>
      <c r="H672" s="55"/>
      <c r="I672" s="60">
        <v>159.04</v>
      </c>
      <c r="J672" s="61">
        <v>55.91</v>
      </c>
      <c r="K672" s="51"/>
      <c r="L672" s="51"/>
      <c r="M672" s="61">
        <f t="shared" si="129"/>
        <v>8891.93</v>
      </c>
      <c r="N672" s="51"/>
      <c r="O672" s="51"/>
      <c r="P672" s="61">
        <v>55.91</v>
      </c>
      <c r="Q672" s="51"/>
      <c r="R672" s="51"/>
      <c r="S672" s="61">
        <f t="shared" si="130"/>
        <v>8891.93</v>
      </c>
      <c r="T672" s="51"/>
      <c r="U672" s="62"/>
      <c r="V672" s="9">
        <f t="shared" si="131"/>
        <v>46.59</v>
      </c>
      <c r="Y672" s="9">
        <f t="shared" si="125"/>
        <v>7409.94</v>
      </c>
      <c r="AD672" s="4" t="s">
        <v>1885</v>
      </c>
      <c r="AE672" s="4" t="s">
        <v>1886</v>
      </c>
      <c r="AF672" s="4" t="s">
        <v>1135</v>
      </c>
    </row>
    <row r="673" spans="1:35" ht="18" x14ac:dyDescent="0.3">
      <c r="A673" s="53" t="s">
        <v>1887</v>
      </c>
      <c r="B673" s="53"/>
      <c r="C673" s="58" t="s">
        <v>1125</v>
      </c>
      <c r="D673" s="55"/>
      <c r="E673" s="55"/>
      <c r="F673" s="59" t="s">
        <v>356</v>
      </c>
      <c r="G673" s="60">
        <v>15</v>
      </c>
      <c r="H673" s="55"/>
      <c r="I673" s="60">
        <v>6816</v>
      </c>
      <c r="J673" s="61">
        <v>0.96</v>
      </c>
      <c r="K673" s="51"/>
      <c r="L673" s="51"/>
      <c r="M673" s="61">
        <f t="shared" si="129"/>
        <v>6543.36</v>
      </c>
      <c r="N673" s="51"/>
      <c r="O673" s="51"/>
      <c r="P673" s="61">
        <v>0.96</v>
      </c>
      <c r="Q673" s="51"/>
      <c r="R673" s="51"/>
      <c r="S673" s="61">
        <f t="shared" si="130"/>
        <v>6543.36</v>
      </c>
      <c r="T673" s="51"/>
      <c r="U673" s="62"/>
      <c r="V673" s="9">
        <f t="shared" si="131"/>
        <v>0.8</v>
      </c>
      <c r="Y673" s="9">
        <f t="shared" si="125"/>
        <v>5452.8</v>
      </c>
      <c r="AD673" s="4" t="s">
        <v>1888</v>
      </c>
      <c r="AE673" s="4" t="s">
        <v>1889</v>
      </c>
      <c r="AF673" s="4" t="s">
        <v>1128</v>
      </c>
    </row>
    <row r="674" spans="1:35" ht="54" x14ac:dyDescent="0.3">
      <c r="A674" s="53" t="s">
        <v>1890</v>
      </c>
      <c r="B674" s="53" t="s">
        <v>1118</v>
      </c>
      <c r="C674" s="54" t="s">
        <v>1119</v>
      </c>
      <c r="D674" s="55"/>
      <c r="E674" s="55" t="s">
        <v>1891</v>
      </c>
      <c r="F674" s="55" t="s">
        <v>61</v>
      </c>
      <c r="G674" s="56">
        <v>1</v>
      </c>
      <c r="H674" s="55"/>
      <c r="I674" s="56">
        <v>105.5</v>
      </c>
      <c r="J674" s="57">
        <f>IFERROR(ROUND(SUM(M675,M676,M677,M678,M679,M680,M681,M682,M683,M684,M685)/I674, 2),0)</f>
        <v>470.96</v>
      </c>
      <c r="K674" s="57">
        <v>1379</v>
      </c>
      <c r="L674" s="57">
        <f>J674+ROUND(K674, 2)</f>
        <v>1849.96</v>
      </c>
      <c r="M674" s="57">
        <f>ROUND(J674*I674, 2)</f>
        <v>49686.28</v>
      </c>
      <c r="N674" s="57">
        <f>ROUND(I674*ROUND(K674, 2), 2)</f>
        <v>145484.5</v>
      </c>
      <c r="O674" s="57">
        <f>M674+N674</f>
        <v>195170.78</v>
      </c>
      <c r="P674" s="57">
        <f>IFERROR(ROUND(SUM(S675,S676,S677,S678,S679,S680,S681,S682,S683,S684,S685)/I674, 2),0)</f>
        <v>2209.7600000000002</v>
      </c>
      <c r="Q674" s="57">
        <v>1970</v>
      </c>
      <c r="R674" s="57">
        <f>P674+ROUND(Q674, 2)</f>
        <v>4179.76</v>
      </c>
      <c r="S674" s="57">
        <f>ROUND(P674*I674, 2)</f>
        <v>233129.68</v>
      </c>
      <c r="T674" s="57">
        <f>ROUND(I674*ROUND(Q674, 2), 2)</f>
        <v>207835</v>
      </c>
      <c r="U674" s="57">
        <f>S674+T674</f>
        <v>440964.68</v>
      </c>
      <c r="V674" s="9">
        <f>ROUND(P674 / 1.2, 2)</f>
        <v>1841.47</v>
      </c>
      <c r="W674" s="9">
        <f>ROUND(Q674 / 1.2, 2)</f>
        <v>1641.67</v>
      </c>
      <c r="X674" s="9">
        <f>ROUND(R674 / 1.2, 2)</f>
        <v>3483.13</v>
      </c>
      <c r="Y674" s="9">
        <f t="shared" si="125"/>
        <v>194274.73</v>
      </c>
      <c r="Z674" s="9">
        <f>ROUND(T674 / 1.2, 2)</f>
        <v>173195.83</v>
      </c>
      <c r="AA674" s="9">
        <f>Y674+Z674</f>
        <v>367470.56</v>
      </c>
      <c r="AD674" s="4">
        <v>320319945</v>
      </c>
      <c r="AE674" s="4">
        <v>28049731</v>
      </c>
      <c r="AG674" s="4" t="s">
        <v>1121</v>
      </c>
      <c r="AH674" s="4" t="s">
        <v>1122</v>
      </c>
      <c r="AI674" s="4" t="s">
        <v>338</v>
      </c>
    </row>
    <row r="675" spans="1:35" ht="18" x14ac:dyDescent="0.3">
      <c r="A675" s="53" t="s">
        <v>1892</v>
      </c>
      <c r="B675" s="53"/>
      <c r="C675" s="58" t="s">
        <v>1125</v>
      </c>
      <c r="D675" s="55"/>
      <c r="E675" s="55"/>
      <c r="F675" s="59" t="s">
        <v>356</v>
      </c>
      <c r="G675" s="60">
        <v>15</v>
      </c>
      <c r="H675" s="55"/>
      <c r="I675" s="60">
        <v>1582.5</v>
      </c>
      <c r="J675" s="61">
        <v>0.96</v>
      </c>
      <c r="K675" s="51"/>
      <c r="L675" s="51"/>
      <c r="M675" s="61">
        <f t="shared" ref="M675:M685" si="132">ROUND(ROUND(J675, 2)*I675, 2)</f>
        <v>1519.2</v>
      </c>
      <c r="N675" s="51"/>
      <c r="O675" s="51"/>
      <c r="P675" s="61">
        <v>0.96</v>
      </c>
      <c r="Q675" s="51"/>
      <c r="R675" s="51"/>
      <c r="S675" s="61">
        <f t="shared" ref="S675:S685" si="133">ROUND(ROUND(P675, 2)*I675, 2)</f>
        <v>1519.2</v>
      </c>
      <c r="T675" s="51"/>
      <c r="U675" s="62"/>
      <c r="V675" s="9">
        <f t="shared" ref="V675:V685" si="134">ROUND(ROUND(P675, 2)/1.2, 2)</f>
        <v>0.8</v>
      </c>
      <c r="Y675" s="9">
        <f t="shared" si="125"/>
        <v>1266</v>
      </c>
      <c r="AD675" s="4" t="s">
        <v>1893</v>
      </c>
      <c r="AE675" s="4" t="s">
        <v>1894</v>
      </c>
      <c r="AF675" s="4" t="s">
        <v>1128</v>
      </c>
    </row>
    <row r="676" spans="1:35" ht="18" x14ac:dyDescent="0.3">
      <c r="A676" s="53" t="s">
        <v>1895</v>
      </c>
      <c r="B676" s="53"/>
      <c r="C676" s="58" t="s">
        <v>1132</v>
      </c>
      <c r="D676" s="55"/>
      <c r="E676" s="55"/>
      <c r="F676" s="59" t="s">
        <v>364</v>
      </c>
      <c r="G676" s="60">
        <v>0.35</v>
      </c>
      <c r="H676" s="55"/>
      <c r="I676" s="60">
        <v>36.924999999999997</v>
      </c>
      <c r="J676" s="61">
        <v>55.91</v>
      </c>
      <c r="K676" s="51"/>
      <c r="L676" s="51"/>
      <c r="M676" s="61">
        <f t="shared" si="132"/>
        <v>2064.48</v>
      </c>
      <c r="N676" s="51"/>
      <c r="O676" s="51"/>
      <c r="P676" s="61">
        <v>55.91</v>
      </c>
      <c r="Q676" s="51"/>
      <c r="R676" s="51"/>
      <c r="S676" s="61">
        <f t="shared" si="133"/>
        <v>2064.48</v>
      </c>
      <c r="T676" s="51"/>
      <c r="U676" s="62"/>
      <c r="V676" s="9">
        <f t="shared" si="134"/>
        <v>46.59</v>
      </c>
      <c r="Y676" s="9">
        <f t="shared" si="125"/>
        <v>1720.4</v>
      </c>
      <c r="AD676" s="4" t="s">
        <v>1896</v>
      </c>
      <c r="AE676" s="4" t="s">
        <v>1897</v>
      </c>
      <c r="AF676" s="4" t="s">
        <v>1135</v>
      </c>
    </row>
    <row r="677" spans="1:35" ht="18" x14ac:dyDescent="0.3">
      <c r="A677" s="53" t="s">
        <v>1898</v>
      </c>
      <c r="B677" s="53"/>
      <c r="C677" s="58" t="s">
        <v>1139</v>
      </c>
      <c r="D677" s="55"/>
      <c r="E677" s="55"/>
      <c r="F677" s="59" t="s">
        <v>356</v>
      </c>
      <c r="G677" s="60">
        <v>0.3</v>
      </c>
      <c r="H677" s="55"/>
      <c r="I677" s="60">
        <v>31.65</v>
      </c>
      <c r="J677" s="61">
        <v>5.7</v>
      </c>
      <c r="K677" s="51"/>
      <c r="L677" s="51"/>
      <c r="M677" s="61">
        <f t="shared" si="132"/>
        <v>180.41</v>
      </c>
      <c r="N677" s="51"/>
      <c r="O677" s="51"/>
      <c r="P677" s="61">
        <v>5.7</v>
      </c>
      <c r="Q677" s="51"/>
      <c r="R677" s="51"/>
      <c r="S677" s="61">
        <f t="shared" si="133"/>
        <v>180.41</v>
      </c>
      <c r="T677" s="51"/>
      <c r="U677" s="62"/>
      <c r="V677" s="9">
        <f t="shared" si="134"/>
        <v>4.75</v>
      </c>
      <c r="Y677" s="9">
        <f t="shared" si="125"/>
        <v>150.34</v>
      </c>
      <c r="AD677" s="4" t="s">
        <v>1899</v>
      </c>
      <c r="AE677" s="4" t="s">
        <v>1900</v>
      </c>
      <c r="AF677" s="4" t="s">
        <v>1142</v>
      </c>
    </row>
    <row r="678" spans="1:35" ht="36" x14ac:dyDescent="0.3">
      <c r="A678" s="53" t="s">
        <v>1901</v>
      </c>
      <c r="B678" s="53"/>
      <c r="C678" s="47" t="s">
        <v>1146</v>
      </c>
      <c r="D678" s="55"/>
      <c r="E678" s="55"/>
      <c r="F678" s="59" t="s">
        <v>356</v>
      </c>
      <c r="G678" s="60">
        <v>3.6</v>
      </c>
      <c r="H678" s="55"/>
      <c r="I678" s="60">
        <v>379.8</v>
      </c>
      <c r="J678" s="61">
        <v>16.170000000000002</v>
      </c>
      <c r="K678" s="51"/>
      <c r="L678" s="51"/>
      <c r="M678" s="61">
        <f t="shared" si="132"/>
        <v>6141.37</v>
      </c>
      <c r="N678" s="51"/>
      <c r="O678" s="51"/>
      <c r="P678" s="61">
        <v>16.170000000000002</v>
      </c>
      <c r="Q678" s="51"/>
      <c r="R678" s="51"/>
      <c r="S678" s="61">
        <f t="shared" si="133"/>
        <v>6141.37</v>
      </c>
      <c r="T678" s="51"/>
      <c r="U678" s="62"/>
      <c r="V678" s="9">
        <f t="shared" si="134"/>
        <v>13.48</v>
      </c>
      <c r="Y678" s="9">
        <f t="shared" si="125"/>
        <v>5117.8100000000004</v>
      </c>
      <c r="AD678" s="4" t="s">
        <v>1902</v>
      </c>
      <c r="AE678" s="4" t="s">
        <v>1903</v>
      </c>
      <c r="AF678" s="4" t="s">
        <v>1149</v>
      </c>
    </row>
    <row r="679" spans="1:35" ht="18" x14ac:dyDescent="0.3">
      <c r="A679" s="53" t="s">
        <v>1904</v>
      </c>
      <c r="B679" s="53"/>
      <c r="C679" s="58" t="s">
        <v>1153</v>
      </c>
      <c r="D679" s="55"/>
      <c r="E679" s="55"/>
      <c r="F679" s="59" t="s">
        <v>76</v>
      </c>
      <c r="G679" s="60">
        <v>1.2</v>
      </c>
      <c r="H679" s="55"/>
      <c r="I679" s="60">
        <v>126.6</v>
      </c>
      <c r="J679" s="61">
        <v>23.2</v>
      </c>
      <c r="K679" s="51"/>
      <c r="L679" s="51"/>
      <c r="M679" s="61">
        <f t="shared" si="132"/>
        <v>2937.12</v>
      </c>
      <c r="N679" s="51"/>
      <c r="O679" s="51"/>
      <c r="P679" s="61">
        <v>23.2</v>
      </c>
      <c r="Q679" s="51"/>
      <c r="R679" s="51"/>
      <c r="S679" s="61">
        <f t="shared" si="133"/>
        <v>2937.12</v>
      </c>
      <c r="T679" s="51"/>
      <c r="U679" s="62"/>
      <c r="V679" s="9">
        <f t="shared" si="134"/>
        <v>19.329999999999998</v>
      </c>
      <c r="Y679" s="9">
        <f t="shared" si="125"/>
        <v>2447.6</v>
      </c>
      <c r="AD679" s="4" t="s">
        <v>1905</v>
      </c>
      <c r="AE679" s="4" t="s">
        <v>1906</v>
      </c>
      <c r="AF679" s="4" t="s">
        <v>1156</v>
      </c>
    </row>
    <row r="680" spans="1:35" ht="18" x14ac:dyDescent="0.3">
      <c r="A680" s="53" t="s">
        <v>1907</v>
      </c>
      <c r="B680" s="53"/>
      <c r="C680" s="58" t="s">
        <v>1160</v>
      </c>
      <c r="D680" s="55"/>
      <c r="E680" s="55"/>
      <c r="F680" s="59" t="s">
        <v>76</v>
      </c>
      <c r="G680" s="60">
        <v>4.7</v>
      </c>
      <c r="H680" s="55"/>
      <c r="I680" s="60">
        <v>495.85</v>
      </c>
      <c r="J680" s="61">
        <v>68.099999999999994</v>
      </c>
      <c r="K680" s="51"/>
      <c r="L680" s="51"/>
      <c r="M680" s="61">
        <f t="shared" si="132"/>
        <v>33767.39</v>
      </c>
      <c r="N680" s="51"/>
      <c r="O680" s="51"/>
      <c r="P680" s="61">
        <v>68.099999999999994</v>
      </c>
      <c r="Q680" s="51"/>
      <c r="R680" s="51"/>
      <c r="S680" s="61">
        <f t="shared" si="133"/>
        <v>33767.39</v>
      </c>
      <c r="T680" s="51"/>
      <c r="U680" s="62"/>
      <c r="V680" s="9">
        <f t="shared" si="134"/>
        <v>56.75</v>
      </c>
      <c r="Y680" s="9">
        <f t="shared" si="125"/>
        <v>28139.49</v>
      </c>
      <c r="AD680" s="4" t="s">
        <v>1908</v>
      </c>
      <c r="AE680" s="4" t="s">
        <v>1909</v>
      </c>
      <c r="AF680" s="4" t="s">
        <v>1163</v>
      </c>
    </row>
    <row r="681" spans="1:35" ht="18" x14ac:dyDescent="0.3">
      <c r="A681" s="53" t="s">
        <v>1910</v>
      </c>
      <c r="B681" s="53"/>
      <c r="C681" s="47" t="s">
        <v>1839</v>
      </c>
      <c r="D681" s="55"/>
      <c r="E681" s="55"/>
      <c r="F681" s="59" t="s">
        <v>356</v>
      </c>
      <c r="G681" s="60">
        <v>4.2</v>
      </c>
      <c r="H681" s="55"/>
      <c r="I681" s="60">
        <v>443.1</v>
      </c>
      <c r="J681" s="61">
        <v>5.0999999999999996</v>
      </c>
      <c r="K681" s="51"/>
      <c r="L681" s="51"/>
      <c r="M681" s="61">
        <f t="shared" si="132"/>
        <v>2259.81</v>
      </c>
      <c r="N681" s="51"/>
      <c r="O681" s="51"/>
      <c r="P681" s="61">
        <v>5.0999999999999996</v>
      </c>
      <c r="Q681" s="51"/>
      <c r="R681" s="51"/>
      <c r="S681" s="61">
        <f t="shared" si="133"/>
        <v>2259.81</v>
      </c>
      <c r="T681" s="51"/>
      <c r="U681" s="62"/>
      <c r="V681" s="9">
        <f t="shared" si="134"/>
        <v>4.25</v>
      </c>
      <c r="Y681" s="9">
        <f t="shared" si="125"/>
        <v>1883.18</v>
      </c>
      <c r="AD681" s="4" t="s">
        <v>1911</v>
      </c>
      <c r="AE681" s="4" t="s">
        <v>1912</v>
      </c>
      <c r="AF681" s="4" t="s">
        <v>1842</v>
      </c>
    </row>
    <row r="682" spans="1:35" ht="18" x14ac:dyDescent="0.3">
      <c r="A682" s="53" t="s">
        <v>1913</v>
      </c>
      <c r="B682" s="53"/>
      <c r="C682" s="58" t="s">
        <v>1281</v>
      </c>
      <c r="D682" s="55"/>
      <c r="E682" s="55"/>
      <c r="F682" s="59" t="s">
        <v>61</v>
      </c>
      <c r="G682" s="60">
        <v>1.05</v>
      </c>
      <c r="H682" s="55"/>
      <c r="I682" s="60">
        <v>110.77500000000001</v>
      </c>
      <c r="J682" s="61">
        <v>0</v>
      </c>
      <c r="K682" s="51"/>
      <c r="L682" s="51"/>
      <c r="M682" s="61">
        <f t="shared" si="132"/>
        <v>0</v>
      </c>
      <c r="N682" s="51"/>
      <c r="O682" s="51"/>
      <c r="P682" s="61">
        <v>1656</v>
      </c>
      <c r="Q682" s="51"/>
      <c r="R682" s="51"/>
      <c r="S682" s="61">
        <f t="shared" si="133"/>
        <v>183443.4</v>
      </c>
      <c r="T682" s="51"/>
      <c r="U682" s="62"/>
      <c r="V682" s="9">
        <f t="shared" si="134"/>
        <v>1380</v>
      </c>
      <c r="Y682" s="9">
        <f t="shared" si="125"/>
        <v>152869.5</v>
      </c>
      <c r="AD682" s="4" t="s">
        <v>1914</v>
      </c>
      <c r="AE682" s="4" t="s">
        <v>1915</v>
      </c>
      <c r="AF682" s="4" t="s">
        <v>1284</v>
      </c>
    </row>
    <row r="683" spans="1:35" ht="18" x14ac:dyDescent="0.3">
      <c r="A683" s="53" t="s">
        <v>1916</v>
      </c>
      <c r="B683" s="53"/>
      <c r="C683" s="58" t="s">
        <v>1167</v>
      </c>
      <c r="D683" s="55"/>
      <c r="E683" s="55"/>
      <c r="F683" s="59" t="s">
        <v>76</v>
      </c>
      <c r="G683" s="60">
        <v>1.05</v>
      </c>
      <c r="H683" s="55"/>
      <c r="I683" s="60">
        <v>110.77500000000001</v>
      </c>
      <c r="J683" s="61">
        <v>4.67</v>
      </c>
      <c r="K683" s="51"/>
      <c r="L683" s="51"/>
      <c r="M683" s="61">
        <f t="shared" si="132"/>
        <v>517.32000000000005</v>
      </c>
      <c r="N683" s="51"/>
      <c r="O683" s="51"/>
      <c r="P683" s="61">
        <v>4.67</v>
      </c>
      <c r="Q683" s="51"/>
      <c r="R683" s="51"/>
      <c r="S683" s="61">
        <f t="shared" si="133"/>
        <v>517.32000000000005</v>
      </c>
      <c r="T683" s="51"/>
      <c r="U683" s="62"/>
      <c r="V683" s="9">
        <f t="shared" si="134"/>
        <v>3.89</v>
      </c>
      <c r="Y683" s="9">
        <f t="shared" si="125"/>
        <v>431.1</v>
      </c>
      <c r="AD683" s="4" t="s">
        <v>1917</v>
      </c>
      <c r="AE683" s="4" t="s">
        <v>1918</v>
      </c>
      <c r="AF683" s="4" t="s">
        <v>1170</v>
      </c>
    </row>
    <row r="684" spans="1:35" ht="18" x14ac:dyDescent="0.3">
      <c r="A684" s="53" t="s">
        <v>1919</v>
      </c>
      <c r="B684" s="53"/>
      <c r="C684" s="58" t="s">
        <v>1174</v>
      </c>
      <c r="D684" s="55"/>
      <c r="E684" s="55"/>
      <c r="F684" s="59" t="s">
        <v>76</v>
      </c>
      <c r="G684" s="60">
        <v>0.25</v>
      </c>
      <c r="H684" s="55"/>
      <c r="I684" s="60">
        <v>26.375</v>
      </c>
      <c r="J684" s="61">
        <v>2.84</v>
      </c>
      <c r="K684" s="51"/>
      <c r="L684" s="51"/>
      <c r="M684" s="61">
        <f t="shared" si="132"/>
        <v>74.91</v>
      </c>
      <c r="N684" s="51"/>
      <c r="O684" s="51"/>
      <c r="P684" s="61">
        <v>2.84</v>
      </c>
      <c r="Q684" s="51"/>
      <c r="R684" s="51"/>
      <c r="S684" s="61">
        <f t="shared" si="133"/>
        <v>74.91</v>
      </c>
      <c r="T684" s="51"/>
      <c r="U684" s="62"/>
      <c r="V684" s="9">
        <f t="shared" si="134"/>
        <v>2.37</v>
      </c>
      <c r="Y684" s="9">
        <f t="shared" si="125"/>
        <v>62.43</v>
      </c>
      <c r="AD684" s="4" t="s">
        <v>1920</v>
      </c>
      <c r="AE684" s="4" t="s">
        <v>1921</v>
      </c>
      <c r="AF684" s="4" t="s">
        <v>1177</v>
      </c>
    </row>
    <row r="685" spans="1:35" ht="18" x14ac:dyDescent="0.3">
      <c r="A685" s="53" t="s">
        <v>1922</v>
      </c>
      <c r="B685" s="53"/>
      <c r="C685" s="58" t="s">
        <v>1188</v>
      </c>
      <c r="D685" s="55"/>
      <c r="E685" s="55"/>
      <c r="F685" s="59" t="s">
        <v>356</v>
      </c>
      <c r="G685" s="60">
        <v>0.75</v>
      </c>
      <c r="H685" s="55"/>
      <c r="I685" s="60">
        <v>79.125</v>
      </c>
      <c r="J685" s="61">
        <v>2.84</v>
      </c>
      <c r="K685" s="51"/>
      <c r="L685" s="51"/>
      <c r="M685" s="61">
        <f t="shared" si="132"/>
        <v>224.72</v>
      </c>
      <c r="N685" s="51"/>
      <c r="O685" s="51"/>
      <c r="P685" s="61">
        <v>2.84</v>
      </c>
      <c r="Q685" s="51"/>
      <c r="R685" s="51"/>
      <c r="S685" s="61">
        <f t="shared" si="133"/>
        <v>224.72</v>
      </c>
      <c r="T685" s="51"/>
      <c r="U685" s="62"/>
      <c r="V685" s="9">
        <f t="shared" si="134"/>
        <v>2.37</v>
      </c>
      <c r="Y685" s="9">
        <f t="shared" si="125"/>
        <v>187.27</v>
      </c>
      <c r="AD685" s="4" t="s">
        <v>1923</v>
      </c>
      <c r="AE685" s="4" t="s">
        <v>1924</v>
      </c>
      <c r="AF685" s="4" t="s">
        <v>1191</v>
      </c>
    </row>
    <row r="686" spans="1:35" ht="108" x14ac:dyDescent="0.3">
      <c r="A686" s="53" t="s">
        <v>1925</v>
      </c>
      <c r="B686" s="53" t="s">
        <v>1303</v>
      </c>
      <c r="C686" s="54" t="s">
        <v>1304</v>
      </c>
      <c r="D686" s="55"/>
      <c r="E686" s="55" t="s">
        <v>1305</v>
      </c>
      <c r="F686" s="55" t="s">
        <v>61</v>
      </c>
      <c r="G686" s="56">
        <v>1</v>
      </c>
      <c r="H686" s="55"/>
      <c r="I686" s="56">
        <v>170.6</v>
      </c>
      <c r="J686" s="57">
        <f>IFERROR(ROUND(SUM(M687)/I686, 2),0)</f>
        <v>887.56</v>
      </c>
      <c r="K686" s="57">
        <v>962.99</v>
      </c>
      <c r="L686" s="57">
        <f>J686+ROUND(K686, 2)</f>
        <v>1850.55</v>
      </c>
      <c r="M686" s="57">
        <f>ROUND(J686*I686, 2)</f>
        <v>151417.74</v>
      </c>
      <c r="N686" s="57">
        <f>ROUND(I686*ROUND(K686, 2), 2)</f>
        <v>164286.09</v>
      </c>
      <c r="O686" s="57">
        <f>M686+N686</f>
        <v>315703.82999999996</v>
      </c>
      <c r="P686" s="57">
        <f>IFERROR(ROUND(SUM(S687)/I686, 2),0)</f>
        <v>887.56</v>
      </c>
      <c r="Q686" s="57">
        <v>1375.7</v>
      </c>
      <c r="R686" s="57">
        <f>P686+ROUND(Q686, 2)</f>
        <v>2263.2600000000002</v>
      </c>
      <c r="S686" s="57">
        <f>ROUND(P686*I686, 2)</f>
        <v>151417.74</v>
      </c>
      <c r="T686" s="57">
        <f>ROUND(I686*ROUND(Q686, 2), 2)</f>
        <v>234694.42</v>
      </c>
      <c r="U686" s="57">
        <f>S686+T686</f>
        <v>386112.16000000003</v>
      </c>
      <c r="V686" s="9">
        <f>ROUND(P686 / 1.2, 2)</f>
        <v>739.63</v>
      </c>
      <c r="W686" s="9">
        <f>ROUND(Q686 / 1.2, 2)</f>
        <v>1146.42</v>
      </c>
      <c r="X686" s="9">
        <f>ROUND(R686 / 1.2, 2)</f>
        <v>1886.05</v>
      </c>
      <c r="Y686" s="9">
        <f t="shared" si="125"/>
        <v>126181.45</v>
      </c>
      <c r="Z686" s="9">
        <f>ROUND(T686 / 1.2, 2)</f>
        <v>195578.68</v>
      </c>
      <c r="AA686" s="9">
        <f>Y686+Z686</f>
        <v>321760.13</v>
      </c>
      <c r="AD686" s="4">
        <v>320319918</v>
      </c>
      <c r="AE686" s="4">
        <v>28049705</v>
      </c>
      <c r="AG686" s="4" t="s">
        <v>1306</v>
      </c>
      <c r="AH686" s="4" t="s">
        <v>1307</v>
      </c>
      <c r="AI686" s="4" t="s">
        <v>338</v>
      </c>
    </row>
    <row r="687" spans="1:35" ht="18" x14ac:dyDescent="0.3">
      <c r="A687" s="53" t="s">
        <v>1926</v>
      </c>
      <c r="B687" s="53"/>
      <c r="C687" s="47" t="s">
        <v>1310</v>
      </c>
      <c r="D687" s="55"/>
      <c r="E687" s="55"/>
      <c r="F687" s="59" t="s">
        <v>61</v>
      </c>
      <c r="G687" s="60">
        <v>1.1000000000000001</v>
      </c>
      <c r="H687" s="55"/>
      <c r="I687" s="63">
        <v>187.66</v>
      </c>
      <c r="J687" s="61">
        <v>806.87</v>
      </c>
      <c r="K687" s="51"/>
      <c r="L687" s="51"/>
      <c r="M687" s="61">
        <f>ROUND(ROUND(J687, 2)*I687, 2)</f>
        <v>151417.22</v>
      </c>
      <c r="N687" s="51"/>
      <c r="O687" s="51"/>
      <c r="P687" s="61">
        <v>806.87</v>
      </c>
      <c r="Q687" s="51"/>
      <c r="R687" s="51"/>
      <c r="S687" s="61">
        <f>ROUND(ROUND(P687, 2)*I687, 2)</f>
        <v>151417.22</v>
      </c>
      <c r="T687" s="51"/>
      <c r="U687" s="62"/>
      <c r="V687" s="9">
        <f>ROUND(ROUND(P687, 2)/1.2, 2)</f>
        <v>672.39</v>
      </c>
      <c r="Y687" s="9">
        <f t="shared" si="125"/>
        <v>126181.02</v>
      </c>
      <c r="AD687" s="4" t="s">
        <v>1927</v>
      </c>
      <c r="AE687" s="4" t="s">
        <v>1928</v>
      </c>
      <c r="AF687" s="4" t="s">
        <v>1313</v>
      </c>
    </row>
    <row r="688" spans="1:35" ht="16.95" customHeight="1" x14ac:dyDescent="0.3">
      <c r="A688" s="53" t="s">
        <v>1929</v>
      </c>
      <c r="B688" s="53" t="s">
        <v>1317</v>
      </c>
      <c r="C688" s="243" t="s">
        <v>1318</v>
      </c>
      <c r="D688" s="244"/>
      <c r="E688" s="244"/>
      <c r="F688" s="244"/>
      <c r="G688" s="244"/>
      <c r="H688" s="244"/>
      <c r="I688" s="245"/>
      <c r="J688" s="51"/>
      <c r="K688" s="51"/>
      <c r="L688" s="51"/>
      <c r="M688" s="52">
        <f>SUM(M689,M690)</f>
        <v>0</v>
      </c>
      <c r="N688" s="52">
        <f>SUM(N689,N690)</f>
        <v>1522701</v>
      </c>
      <c r="O688" s="52">
        <f>SUM(O689,O690)</f>
        <v>1522701</v>
      </c>
      <c r="P688" s="51"/>
      <c r="Q688" s="51"/>
      <c r="R688" s="51"/>
      <c r="S688" s="52">
        <f>SUM(S689,S690)</f>
        <v>0</v>
      </c>
      <c r="T688" s="52">
        <f>SUM(T689,T690)</f>
        <v>7003137.3899999997</v>
      </c>
      <c r="U688" s="52">
        <f>SUM(U689,U690)</f>
        <v>7003137.3899999997</v>
      </c>
      <c r="Y688" s="9">
        <f>SUM(Y689,Y690)</f>
        <v>0</v>
      </c>
      <c r="Z688" s="9">
        <f>SUM(Z689,Z690)</f>
        <v>5835947.8300000001</v>
      </c>
      <c r="AA688" s="9">
        <f>SUM(AA689,AA690)</f>
        <v>5835947.8300000001</v>
      </c>
      <c r="AD688" s="4">
        <v>320319919</v>
      </c>
      <c r="AE688" s="4">
        <v>28049639</v>
      </c>
    </row>
    <row r="689" spans="1:35" ht="54" x14ac:dyDescent="0.3">
      <c r="A689" s="53" t="s">
        <v>1930</v>
      </c>
      <c r="B689" s="53" t="s">
        <v>1320</v>
      </c>
      <c r="C689" s="54" t="s">
        <v>1321</v>
      </c>
      <c r="D689" s="55" t="s">
        <v>1322</v>
      </c>
      <c r="E689" s="55"/>
      <c r="F689" s="55" t="s">
        <v>1323</v>
      </c>
      <c r="G689" s="56">
        <v>1</v>
      </c>
      <c r="H689" s="55"/>
      <c r="I689" s="56">
        <v>9</v>
      </c>
      <c r="J689" s="57">
        <v>0</v>
      </c>
      <c r="K689" s="57">
        <v>169189</v>
      </c>
      <c r="L689" s="57">
        <f>J689+ROUND(K689, 2)</f>
        <v>169189</v>
      </c>
      <c r="M689" s="57">
        <v>0</v>
      </c>
      <c r="N689" s="57">
        <f>ROUND(I689*ROUND(K689, 2), 2)</f>
        <v>1522701</v>
      </c>
      <c r="O689" s="57">
        <f>M689+N689</f>
        <v>1522701</v>
      </c>
      <c r="P689" s="57">
        <v>0</v>
      </c>
      <c r="Q689" s="57">
        <v>253783.5</v>
      </c>
      <c r="R689" s="57">
        <f>P689+ROUND(Q689, 2)</f>
        <v>253783.5</v>
      </c>
      <c r="S689" s="57">
        <v>0</v>
      </c>
      <c r="T689" s="57">
        <f>ROUND(I689*ROUND(Q689, 2), 2)</f>
        <v>2284051.5</v>
      </c>
      <c r="U689" s="57">
        <f>S689+T689</f>
        <v>2284051.5</v>
      </c>
      <c r="V689" s="9"/>
      <c r="W689" s="9">
        <f>ROUND(Q689 / 1.2, 2)</f>
        <v>211486.25</v>
      </c>
      <c r="X689" s="9">
        <f>ROUND(R689 / 1.2, 2)</f>
        <v>211486.25</v>
      </c>
      <c r="Y689" s="9"/>
      <c r="Z689" s="9">
        <f>ROUND(T689 / 1.2, 2)</f>
        <v>1903376.25</v>
      </c>
      <c r="AA689" s="9">
        <f>Y689+Z689</f>
        <v>1903376.25</v>
      </c>
      <c r="AD689" s="4">
        <v>320319921</v>
      </c>
      <c r="AE689" s="4">
        <v>28049648</v>
      </c>
      <c r="AG689" s="4" t="s">
        <v>1324</v>
      </c>
      <c r="AH689" s="4" t="s">
        <v>1325</v>
      </c>
      <c r="AI689" s="4" t="s">
        <v>338</v>
      </c>
    </row>
    <row r="690" spans="1:35" ht="36" x14ac:dyDescent="0.3">
      <c r="A690" s="53" t="s">
        <v>1931</v>
      </c>
      <c r="B690" s="53" t="s">
        <v>1932</v>
      </c>
      <c r="C690" s="54" t="s">
        <v>1933</v>
      </c>
      <c r="D690" s="55" t="s">
        <v>1934</v>
      </c>
      <c r="E690" s="55"/>
      <c r="F690" s="55" t="s">
        <v>1935</v>
      </c>
      <c r="G690" s="56">
        <v>1</v>
      </c>
      <c r="H690" s="55"/>
      <c r="I690" s="56">
        <v>1</v>
      </c>
      <c r="J690" s="57">
        <v>0</v>
      </c>
      <c r="K690" s="57">
        <v>0</v>
      </c>
      <c r="L690" s="57">
        <f>J690+ROUND(K690, 2)</f>
        <v>0</v>
      </c>
      <c r="M690" s="57">
        <v>0</v>
      </c>
      <c r="N690" s="57">
        <f>ROUND(I690*ROUND(K690, 2), 2)</f>
        <v>0</v>
      </c>
      <c r="O690" s="57">
        <f>M690+N690</f>
        <v>0</v>
      </c>
      <c r="P690" s="57">
        <v>0</v>
      </c>
      <c r="Q690" s="57">
        <v>4719085.8899999997</v>
      </c>
      <c r="R690" s="57">
        <f>P690+ROUND(Q690, 2)</f>
        <v>4719085.8899999997</v>
      </c>
      <c r="S690" s="57">
        <v>0</v>
      </c>
      <c r="T690" s="57">
        <f>ROUND(I690*ROUND(Q690, 2), 2)</f>
        <v>4719085.8899999997</v>
      </c>
      <c r="U690" s="57">
        <f>S690+T690</f>
        <v>4719085.8899999997</v>
      </c>
      <c r="V690" s="9"/>
      <c r="W690" s="9">
        <f>ROUND(Q690 / 1.2, 2)</f>
        <v>3932571.58</v>
      </c>
      <c r="X690" s="9">
        <f>ROUND(R690 / 1.2, 2)</f>
        <v>3932571.58</v>
      </c>
      <c r="Y690" s="9"/>
      <c r="Z690" s="9">
        <f>ROUND(T690 / 1.2, 2)</f>
        <v>3932571.58</v>
      </c>
      <c r="AA690" s="9">
        <f>Y690+Z690</f>
        <v>3932571.58</v>
      </c>
      <c r="AD690" s="4">
        <v>320319923</v>
      </c>
      <c r="AE690" s="4">
        <v>28050366</v>
      </c>
      <c r="AG690" s="4" t="s">
        <v>1936</v>
      </c>
      <c r="AH690" s="4" t="s">
        <v>1937</v>
      </c>
      <c r="AI690" s="4" t="s">
        <v>338</v>
      </c>
    </row>
    <row r="691" spans="1:35" ht="24" customHeight="1" x14ac:dyDescent="0.3">
      <c r="A691" s="64"/>
      <c r="B691" s="64"/>
      <c r="C691" s="64"/>
      <c r="D691" s="65" t="s">
        <v>1938</v>
      </c>
      <c r="E691" s="64"/>
      <c r="F691" s="64"/>
      <c r="G691" s="64"/>
      <c r="H691" s="64"/>
      <c r="I691" s="64"/>
      <c r="J691" s="64"/>
      <c r="K691" s="64"/>
      <c r="L691" s="64"/>
      <c r="M691" s="66">
        <f>SUM(M8,M452)</f>
        <v>72233560.359999999</v>
      </c>
      <c r="N691" s="66">
        <f>SUM(N8,N452)</f>
        <v>85694682.920000002</v>
      </c>
      <c r="O691" s="66">
        <f>M691+N691</f>
        <v>157928243.28</v>
      </c>
      <c r="P691" s="64"/>
      <c r="Q691" s="64"/>
      <c r="R691" s="64"/>
      <c r="S691" s="66">
        <f>SUM(S8,S452)</f>
        <v>69862735.280000001</v>
      </c>
      <c r="T691" s="66">
        <f>SUM(T8,T452)</f>
        <v>128542013.56</v>
      </c>
      <c r="U691" s="66">
        <f>S691+T691</f>
        <v>198404748.84</v>
      </c>
      <c r="Y691" s="9">
        <f>SUM(Y8,Y452)</f>
        <v>58218946.080000013</v>
      </c>
      <c r="Z691" s="9">
        <f>SUM(Z8,Z452)</f>
        <v>107118344.67</v>
      </c>
      <c r="AA691" s="9">
        <f>Y691+Z691</f>
        <v>165337290.75</v>
      </c>
    </row>
  </sheetData>
  <sheetProtection password="C644" sheet="1" formatColumns="0" autoFilter="0"/>
  <autoFilter ref="A7:U7"/>
  <mergeCells count="67">
    <mergeCell ref="C688:I688"/>
    <mergeCell ref="C607:I607"/>
    <mergeCell ref="C621:I621"/>
    <mergeCell ref="C622:I622"/>
    <mergeCell ref="C631:I631"/>
    <mergeCell ref="C644:I644"/>
    <mergeCell ref="C511:I511"/>
    <mergeCell ref="C523:I523"/>
    <mergeCell ref="C546:I546"/>
    <mergeCell ref="C600:I600"/>
    <mergeCell ref="C601:I601"/>
    <mergeCell ref="C458:I458"/>
    <mergeCell ref="C507:I507"/>
    <mergeCell ref="C508:I508"/>
    <mergeCell ref="C509:I509"/>
    <mergeCell ref="C510:I510"/>
    <mergeCell ref="C453:I453"/>
    <mergeCell ref="C454:I454"/>
    <mergeCell ref="C455:I455"/>
    <mergeCell ref="C456:I456"/>
    <mergeCell ref="C457:I457"/>
    <mergeCell ref="C326:I326"/>
    <mergeCell ref="C343:I343"/>
    <mergeCell ref="C368:I368"/>
    <mergeCell ref="C449:I449"/>
    <mergeCell ref="A452:I452"/>
    <mergeCell ref="C181:I181"/>
    <mergeCell ref="C286:I286"/>
    <mergeCell ref="C287:I287"/>
    <mergeCell ref="C298:I298"/>
    <mergeCell ref="C325:I325"/>
    <mergeCell ref="C110:I110"/>
    <mergeCell ref="C111:I111"/>
    <mergeCell ref="C112:I112"/>
    <mergeCell ref="C113:I113"/>
    <mergeCell ref="C136:I136"/>
    <mergeCell ref="C11:I11"/>
    <mergeCell ref="C12:I12"/>
    <mergeCell ref="C13:I13"/>
    <mergeCell ref="C14:I14"/>
    <mergeCell ref="C109:I109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9"/>
  <sheetViews>
    <sheetView zoomScale="42" zoomScaleNormal="42" workbookViewId="0">
      <pane xSplit="9" ySplit="7" topLeftCell="J59" activePane="bottomRight" state="frozen"/>
      <selection pane="topRight"/>
      <selection pane="bottomLeft"/>
      <selection pane="bottomRight" activeCell="I67" sqref="I67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1939</v>
      </c>
      <c r="H1" s="2" t="s">
        <v>1940</v>
      </c>
      <c r="I1" s="2" t="s">
        <v>1941</v>
      </c>
      <c r="J1" s="2" t="s">
        <v>1942</v>
      </c>
      <c r="K1" s="2" t="s">
        <v>1943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220" t="s">
        <v>4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</row>
    <row r="3" spans="1:35" ht="15" customHeight="1" x14ac:dyDescent="0.3">
      <c r="A3" s="221" t="s">
        <v>5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</row>
    <row r="4" spans="1:35" ht="15" customHeight="1" x14ac:dyDescent="0.3">
      <c r="A4" s="222" t="s">
        <v>6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</row>
    <row r="5" spans="1:35" ht="40.799999999999997" customHeight="1" x14ac:dyDescent="0.3">
      <c r="A5" s="229" t="s">
        <v>22</v>
      </c>
      <c r="B5" s="229" t="s">
        <v>23</v>
      </c>
      <c r="C5" s="229" t="s">
        <v>24</v>
      </c>
      <c r="D5" s="229" t="s">
        <v>25</v>
      </c>
      <c r="E5" s="229" t="s">
        <v>26</v>
      </c>
      <c r="F5" s="229" t="s">
        <v>27</v>
      </c>
      <c r="G5" s="229" t="s">
        <v>28</v>
      </c>
      <c r="H5" s="229" t="s">
        <v>29</v>
      </c>
      <c r="I5" s="229" t="s">
        <v>30</v>
      </c>
      <c r="J5" s="223" t="s">
        <v>7</v>
      </c>
      <c r="K5" s="224"/>
      <c r="L5" s="224"/>
      <c r="M5" s="224"/>
      <c r="N5" s="224"/>
      <c r="O5" s="225"/>
      <c r="P5" s="226" t="s">
        <v>8</v>
      </c>
      <c r="Q5" s="227"/>
      <c r="R5" s="228"/>
      <c r="S5" s="226" t="s">
        <v>9</v>
      </c>
      <c r="T5" s="227"/>
      <c r="U5" s="228"/>
    </row>
    <row r="6" spans="1:35" ht="15.75" customHeight="1" x14ac:dyDescent="0.3">
      <c r="A6" s="230"/>
      <c r="B6" s="230"/>
      <c r="C6" s="230"/>
      <c r="D6" s="230"/>
      <c r="E6" s="230"/>
      <c r="F6" s="230"/>
      <c r="G6" s="230"/>
      <c r="H6" s="230"/>
      <c r="I6" s="230"/>
      <c r="J6" s="232" t="s">
        <v>31</v>
      </c>
      <c r="K6" s="233"/>
      <c r="L6" s="229" t="s">
        <v>31</v>
      </c>
      <c r="M6" s="232" t="s">
        <v>34</v>
      </c>
      <c r="N6" s="233"/>
      <c r="O6" s="229" t="s">
        <v>35</v>
      </c>
      <c r="P6" s="232" t="s">
        <v>31</v>
      </c>
      <c r="Q6" s="233"/>
      <c r="R6" s="229" t="s">
        <v>31</v>
      </c>
      <c r="S6" s="232" t="s">
        <v>34</v>
      </c>
      <c r="T6" s="233"/>
      <c r="U6" s="229" t="s">
        <v>35</v>
      </c>
    </row>
    <row r="7" spans="1:35" ht="31.2" customHeight="1" x14ac:dyDescent="0.3">
      <c r="A7" s="231"/>
      <c r="B7" s="231"/>
      <c r="C7" s="231"/>
      <c r="D7" s="231"/>
      <c r="E7" s="231"/>
      <c r="F7" s="231"/>
      <c r="G7" s="231"/>
      <c r="H7" s="231"/>
      <c r="I7" s="231"/>
      <c r="J7" s="5" t="s">
        <v>32</v>
      </c>
      <c r="K7" s="5" t="s">
        <v>33</v>
      </c>
      <c r="L7" s="231"/>
      <c r="M7" s="5" t="s">
        <v>32</v>
      </c>
      <c r="N7" s="5" t="s">
        <v>33</v>
      </c>
      <c r="O7" s="231"/>
      <c r="P7" s="5" t="s">
        <v>32</v>
      </c>
      <c r="Q7" s="5" t="s">
        <v>33</v>
      </c>
      <c r="R7" s="231"/>
      <c r="S7" s="5" t="s">
        <v>32</v>
      </c>
      <c r="T7" s="5" t="s">
        <v>33</v>
      </c>
      <c r="U7" s="231"/>
    </row>
    <row r="8" spans="1:35" ht="30" customHeight="1" x14ac:dyDescent="0.3">
      <c r="A8" s="234" t="s">
        <v>36</v>
      </c>
      <c r="B8" s="235"/>
      <c r="C8" s="235"/>
      <c r="D8" s="235"/>
      <c r="E8" s="235"/>
      <c r="F8" s="235"/>
      <c r="G8" s="235"/>
      <c r="H8" s="235"/>
      <c r="I8" s="236"/>
      <c r="J8" s="7"/>
      <c r="K8" s="7"/>
      <c r="L8" s="7"/>
      <c r="M8" s="8">
        <f>SUM(M9)</f>
        <v>0</v>
      </c>
      <c r="N8" s="8">
        <f>SUM(N9)</f>
        <v>0</v>
      </c>
      <c r="O8" s="8">
        <f>SUM(O9)</f>
        <v>0</v>
      </c>
      <c r="P8" s="7"/>
      <c r="Q8" s="7"/>
      <c r="R8" s="7"/>
      <c r="S8" s="8">
        <f>SUM(S9)</f>
        <v>0</v>
      </c>
      <c r="T8" s="8">
        <f>SUM(T9)</f>
        <v>0</v>
      </c>
      <c r="U8" s="8">
        <f>SUM(U9)</f>
        <v>0</v>
      </c>
      <c r="Y8" s="9">
        <f>SUM(Y9)</f>
        <v>0</v>
      </c>
      <c r="Z8" s="9">
        <f>SUM(Z9)</f>
        <v>0</v>
      </c>
      <c r="AA8" s="9">
        <f>SUM(AA9)</f>
        <v>0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237" t="s">
        <v>40</v>
      </c>
      <c r="D9" s="238"/>
      <c r="E9" s="238"/>
      <c r="F9" s="238"/>
      <c r="G9" s="238"/>
      <c r="H9" s="238"/>
      <c r="I9" s="239"/>
      <c r="M9" s="6">
        <f>SUM(M10,M62)</f>
        <v>0</v>
      </c>
      <c r="N9" s="6">
        <f>SUM(N10,N62)</f>
        <v>0</v>
      </c>
      <c r="O9" s="6">
        <f>SUM(O10,O62)</f>
        <v>0</v>
      </c>
      <c r="S9" s="6">
        <f>SUM(S10,S62)</f>
        <v>0</v>
      </c>
      <c r="T9" s="6">
        <f>SUM(T10,T62)</f>
        <v>0</v>
      </c>
      <c r="U9" s="6">
        <f>SUM(U10,U62)</f>
        <v>0</v>
      </c>
      <c r="Y9" s="9">
        <f>SUM(Y10,Y62)</f>
        <v>0</v>
      </c>
      <c r="Z9" s="9">
        <f>SUM(Z10,Z62)</f>
        <v>0</v>
      </c>
      <c r="AA9" s="9">
        <f>SUM(AA10,AA62)</f>
        <v>0</v>
      </c>
      <c r="AD9" s="4">
        <v>320320070</v>
      </c>
      <c r="AE9" s="4">
        <v>26813767</v>
      </c>
    </row>
    <row r="10" spans="1:35" ht="16.95" customHeight="1" x14ac:dyDescent="0.3">
      <c r="A10" s="10" t="s">
        <v>41</v>
      </c>
      <c r="B10" s="10" t="s">
        <v>42</v>
      </c>
      <c r="C10" s="237" t="s">
        <v>43</v>
      </c>
      <c r="D10" s="238"/>
      <c r="E10" s="238"/>
      <c r="F10" s="238"/>
      <c r="G10" s="238"/>
      <c r="H10" s="238"/>
      <c r="I10" s="239"/>
      <c r="M10" s="6">
        <f t="shared" ref="M10:O13" si="0">SUM(M11)</f>
        <v>0</v>
      </c>
      <c r="N10" s="6">
        <f t="shared" si="0"/>
        <v>0</v>
      </c>
      <c r="O10" s="6">
        <f t="shared" si="0"/>
        <v>0</v>
      </c>
      <c r="S10" s="6">
        <f t="shared" ref="S10:U13" si="1">SUM(S11)</f>
        <v>0</v>
      </c>
      <c r="T10" s="6">
        <f t="shared" si="1"/>
        <v>0</v>
      </c>
      <c r="U10" s="6">
        <f t="shared" si="1"/>
        <v>0</v>
      </c>
      <c r="Y10" s="9">
        <f t="shared" ref="Y10:AA13" si="2">SUM(Y11)</f>
        <v>0</v>
      </c>
      <c r="Z10" s="9">
        <f t="shared" si="2"/>
        <v>0</v>
      </c>
      <c r="AA10" s="9">
        <f t="shared" si="2"/>
        <v>0</v>
      </c>
      <c r="AD10" s="4">
        <v>320320071</v>
      </c>
      <c r="AE10" s="4">
        <v>26813805</v>
      </c>
    </row>
    <row r="11" spans="1:35" ht="16.95" customHeight="1" x14ac:dyDescent="0.3">
      <c r="A11" s="10" t="s">
        <v>44</v>
      </c>
      <c r="B11" s="10" t="s">
        <v>45</v>
      </c>
      <c r="C11" s="237" t="s">
        <v>46</v>
      </c>
      <c r="D11" s="238"/>
      <c r="E11" s="238"/>
      <c r="F11" s="238"/>
      <c r="G11" s="238"/>
      <c r="H11" s="238"/>
      <c r="I11" s="239"/>
      <c r="M11" s="6">
        <f t="shared" si="0"/>
        <v>0</v>
      </c>
      <c r="N11" s="6">
        <f t="shared" si="0"/>
        <v>0</v>
      </c>
      <c r="O11" s="6">
        <f t="shared" si="0"/>
        <v>0</v>
      </c>
      <c r="S11" s="6">
        <f t="shared" si="1"/>
        <v>0</v>
      </c>
      <c r="T11" s="6">
        <f t="shared" si="1"/>
        <v>0</v>
      </c>
      <c r="U11" s="6">
        <f t="shared" si="1"/>
        <v>0</v>
      </c>
      <c r="Y11" s="9">
        <f t="shared" si="2"/>
        <v>0</v>
      </c>
      <c r="Z11" s="9">
        <f t="shared" si="2"/>
        <v>0</v>
      </c>
      <c r="AA11" s="9">
        <f t="shared" si="2"/>
        <v>0</v>
      </c>
      <c r="AD11" s="4">
        <v>320320072</v>
      </c>
      <c r="AE11" s="4">
        <v>26813778</v>
      </c>
    </row>
    <row r="12" spans="1:35" ht="16.95" customHeight="1" x14ac:dyDescent="0.3">
      <c r="A12" s="10" t="s">
        <v>47</v>
      </c>
      <c r="B12" s="10" t="s">
        <v>48</v>
      </c>
      <c r="C12" s="237" t="s">
        <v>49</v>
      </c>
      <c r="D12" s="238"/>
      <c r="E12" s="238"/>
      <c r="F12" s="238"/>
      <c r="G12" s="238"/>
      <c r="H12" s="238"/>
      <c r="I12" s="239"/>
      <c r="M12" s="6">
        <f t="shared" si="0"/>
        <v>0</v>
      </c>
      <c r="N12" s="6">
        <f t="shared" si="0"/>
        <v>0</v>
      </c>
      <c r="O12" s="6">
        <f t="shared" si="0"/>
        <v>0</v>
      </c>
      <c r="S12" s="6">
        <f t="shared" si="1"/>
        <v>0</v>
      </c>
      <c r="T12" s="6">
        <f t="shared" si="1"/>
        <v>0</v>
      </c>
      <c r="U12" s="6">
        <f t="shared" si="1"/>
        <v>0</v>
      </c>
      <c r="Y12" s="9">
        <f t="shared" si="2"/>
        <v>0</v>
      </c>
      <c r="Z12" s="9">
        <f t="shared" si="2"/>
        <v>0</v>
      </c>
      <c r="AA12" s="9">
        <f t="shared" si="2"/>
        <v>0</v>
      </c>
      <c r="AD12" s="4">
        <v>320320073</v>
      </c>
      <c r="AE12" s="4">
        <v>26813768</v>
      </c>
    </row>
    <row r="13" spans="1:35" ht="16.95" customHeight="1" x14ac:dyDescent="0.3">
      <c r="A13" s="10" t="s">
        <v>50</v>
      </c>
      <c r="B13" s="10" t="s">
        <v>51</v>
      </c>
      <c r="C13" s="237" t="s">
        <v>52</v>
      </c>
      <c r="D13" s="238"/>
      <c r="E13" s="238"/>
      <c r="F13" s="238"/>
      <c r="G13" s="238"/>
      <c r="H13" s="238"/>
      <c r="I13" s="239"/>
      <c r="M13" s="6">
        <f t="shared" si="0"/>
        <v>0</v>
      </c>
      <c r="N13" s="6">
        <f t="shared" si="0"/>
        <v>0</v>
      </c>
      <c r="O13" s="6">
        <f t="shared" si="0"/>
        <v>0</v>
      </c>
      <c r="S13" s="6">
        <f t="shared" si="1"/>
        <v>0</v>
      </c>
      <c r="T13" s="6">
        <f t="shared" si="1"/>
        <v>0</v>
      </c>
      <c r="U13" s="6">
        <f t="shared" si="1"/>
        <v>0</v>
      </c>
      <c r="Y13" s="9">
        <f t="shared" si="2"/>
        <v>0</v>
      </c>
      <c r="Z13" s="9">
        <f t="shared" si="2"/>
        <v>0</v>
      </c>
      <c r="AA13" s="9">
        <f t="shared" si="2"/>
        <v>0</v>
      </c>
      <c r="AD13" s="4">
        <v>320320074</v>
      </c>
      <c r="AE13" s="4">
        <v>26813780</v>
      </c>
    </row>
    <row r="14" spans="1:35" ht="16.95" customHeight="1" x14ac:dyDescent="0.3">
      <c r="A14" s="10" t="s">
        <v>53</v>
      </c>
      <c r="B14" s="10" t="s">
        <v>54</v>
      </c>
      <c r="C14" s="237" t="s">
        <v>55</v>
      </c>
      <c r="D14" s="238"/>
      <c r="E14" s="238"/>
      <c r="F14" s="238"/>
      <c r="G14" s="238"/>
      <c r="H14" s="238"/>
      <c r="I14" s="239"/>
      <c r="M14" s="6">
        <f>SUM(M15,M21,M27,M32,M38,M44,M50,M56)</f>
        <v>0</v>
      </c>
      <c r="N14" s="6">
        <f>SUM(N15,N21,N27,N32,N38,N44,N50,N56)</f>
        <v>0</v>
      </c>
      <c r="O14" s="6">
        <f>SUM(O15,O21,O27,O32,O38,O44,O50,O56)</f>
        <v>0</v>
      </c>
      <c r="S14" s="6">
        <f>SUM(S15,S21,S27,S32,S38,S44,S50,S56)</f>
        <v>0</v>
      </c>
      <c r="T14" s="6">
        <f>SUM(T15,T21,T27,T32,T38,T44,T50,T56)</f>
        <v>0</v>
      </c>
      <c r="U14" s="6">
        <f>SUM(U15,U21,U27,U32,U38,U44,U50,U56)</f>
        <v>0</v>
      </c>
      <c r="Y14" s="9">
        <f>SUM(Y15,Y21,Y27,Y32,Y38,Y44,Y50,Y56)</f>
        <v>0</v>
      </c>
      <c r="Z14" s="9">
        <f>SUM(Z15,Z21,Z27,Z32,Z38,Z44,Z50,Z56)</f>
        <v>0</v>
      </c>
      <c r="AA14" s="9">
        <f>SUM(AA15,AA21,AA27,AA32,AA38,AA44,AA50,AA56)</f>
        <v>0</v>
      </c>
      <c r="AD14" s="4">
        <v>320320075</v>
      </c>
      <c r="AE14" s="4">
        <v>26813769</v>
      </c>
    </row>
    <row r="15" spans="1:35" ht="252" x14ac:dyDescent="0.3">
      <c r="A15" s="10" t="s">
        <v>56</v>
      </c>
      <c r="B15" s="10" t="s">
        <v>57</v>
      </c>
      <c r="C15" s="11" t="s">
        <v>58</v>
      </c>
      <c r="D15" s="12" t="s">
        <v>59</v>
      </c>
      <c r="E15" s="12" t="s">
        <v>60</v>
      </c>
      <c r="F15" s="12" t="s">
        <v>61</v>
      </c>
      <c r="G15" s="13">
        <v>1</v>
      </c>
      <c r="H15" s="13"/>
      <c r="I15" s="13">
        <v>0</v>
      </c>
      <c r="J15" s="14">
        <v>1117.5999999999999</v>
      </c>
      <c r="K15" s="15">
        <v>1991</v>
      </c>
      <c r="L15" s="14">
        <f>J15+ROUND(K15, 2)</f>
        <v>3108.6</v>
      </c>
      <c r="M15" s="14">
        <v>0</v>
      </c>
      <c r="N15" s="14">
        <v>0</v>
      </c>
      <c r="O15" s="14">
        <f>M15+N15</f>
        <v>0</v>
      </c>
      <c r="P15" s="14">
        <v>1117.5999999999999</v>
      </c>
      <c r="Q15" s="15">
        <v>1991</v>
      </c>
      <c r="R15" s="14">
        <f>P15+ROUND(Q15, 2)</f>
        <v>3108.6</v>
      </c>
      <c r="S15" s="14">
        <v>0</v>
      </c>
      <c r="T15" s="14">
        <v>0</v>
      </c>
      <c r="U15" s="14">
        <f>S15+T15</f>
        <v>0</v>
      </c>
      <c r="V15" s="9">
        <f>ROUND(P15 / 1.2, 2)</f>
        <v>931.33</v>
      </c>
      <c r="W15" s="9">
        <f>ROUND(Q15 / 1.2, 2)</f>
        <v>1659.17</v>
      </c>
      <c r="X15" s="9">
        <f>ROUND(R15 / 1.2, 2)</f>
        <v>2590.5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320320077</v>
      </c>
      <c r="AE15" s="4">
        <v>26813808</v>
      </c>
      <c r="AG15" s="4" t="s">
        <v>62</v>
      </c>
      <c r="AH15" s="4" t="s">
        <v>63</v>
      </c>
      <c r="AI15" s="4" t="s">
        <v>64</v>
      </c>
    </row>
    <row r="16" spans="1:35" ht="72" x14ac:dyDescent="0.3">
      <c r="A16" s="10" t="s">
        <v>66</v>
      </c>
      <c r="B16" s="10"/>
      <c r="C16" s="28" t="s">
        <v>67</v>
      </c>
      <c r="D16" s="12"/>
      <c r="E16" s="12"/>
      <c r="F16" s="29" t="s">
        <v>68</v>
      </c>
      <c r="G16" s="30">
        <v>1</v>
      </c>
      <c r="H16" s="30"/>
      <c r="I16" s="30">
        <v>0</v>
      </c>
      <c r="J16" s="31">
        <v>88.35</v>
      </c>
      <c r="M16" s="32">
        <f>ROUND(ROUND(J16, 2)*I16, 2)</f>
        <v>0</v>
      </c>
      <c r="P16" s="31">
        <v>88.35</v>
      </c>
      <c r="S16" s="32">
        <f>ROUND(ROUND(P16, 2)*I16, 2)</f>
        <v>0</v>
      </c>
      <c r="V16" s="9">
        <f>ROUND(ROUND(P16, 2)/1.2, 2)</f>
        <v>73.63</v>
      </c>
      <c r="Y16" s="9">
        <f t="shared" ref="Y16:Y61" si="3">ROUND(S16 / 1.2, 2)</f>
        <v>0</v>
      </c>
      <c r="AD16" s="4" t="s">
        <v>69</v>
      </c>
      <c r="AE16" s="4" t="s">
        <v>70</v>
      </c>
      <c r="AF16" s="4" t="s">
        <v>71</v>
      </c>
    </row>
    <row r="17" spans="1:35" ht="18" x14ac:dyDescent="0.3">
      <c r="A17" s="10" t="s">
        <v>74</v>
      </c>
      <c r="B17" s="10"/>
      <c r="C17" s="47" t="s">
        <v>75</v>
      </c>
      <c r="D17" s="12"/>
      <c r="E17" s="12"/>
      <c r="F17" s="29" t="s">
        <v>76</v>
      </c>
      <c r="G17" s="30">
        <v>0.8</v>
      </c>
      <c r="H17" s="49"/>
      <c r="I17" s="49">
        <v>0</v>
      </c>
      <c r="J17" s="31">
        <v>63.73</v>
      </c>
      <c r="M17" s="32">
        <f>ROUND(ROUND(J17, 2)*I17, 2)</f>
        <v>0</v>
      </c>
      <c r="P17" s="31">
        <v>63.73</v>
      </c>
      <c r="S17" s="32">
        <f>ROUND(ROUND(P17, 2)*I17, 2)</f>
        <v>0</v>
      </c>
      <c r="V17" s="9">
        <f>ROUND(ROUND(P17, 2)/1.2, 2)</f>
        <v>53.11</v>
      </c>
      <c r="Y17" s="9">
        <f t="shared" si="3"/>
        <v>0</v>
      </c>
      <c r="AD17" s="4" t="s">
        <v>77</v>
      </c>
      <c r="AE17" s="4" t="s">
        <v>78</v>
      </c>
      <c r="AF17" s="4" t="s">
        <v>79</v>
      </c>
    </row>
    <row r="18" spans="1:35" ht="18" x14ac:dyDescent="0.3">
      <c r="A18" s="10" t="s">
        <v>82</v>
      </c>
      <c r="B18" s="10"/>
      <c r="C18" s="47" t="s">
        <v>83</v>
      </c>
      <c r="D18" s="12"/>
      <c r="E18" s="12"/>
      <c r="F18" s="29" t="s">
        <v>76</v>
      </c>
      <c r="G18" s="30">
        <v>2.1</v>
      </c>
      <c r="H18" s="49"/>
      <c r="I18" s="49">
        <v>0</v>
      </c>
      <c r="J18" s="31">
        <v>95.07</v>
      </c>
      <c r="M18" s="32">
        <f>ROUND(ROUND(J18, 2)*I18, 2)</f>
        <v>0</v>
      </c>
      <c r="P18" s="31">
        <v>95.07</v>
      </c>
      <c r="S18" s="32">
        <f>ROUND(ROUND(P18, 2)*I18, 2)</f>
        <v>0</v>
      </c>
      <c r="V18" s="9">
        <f>ROUND(ROUND(P18, 2)/1.2, 2)</f>
        <v>79.23</v>
      </c>
      <c r="Y18" s="9">
        <f t="shared" si="3"/>
        <v>0</v>
      </c>
      <c r="AD18" s="4" t="s">
        <v>84</v>
      </c>
      <c r="AE18" s="4" t="s">
        <v>85</v>
      </c>
      <c r="AF18" s="4" t="s">
        <v>86</v>
      </c>
    </row>
    <row r="19" spans="1:35" ht="36" x14ac:dyDescent="0.3">
      <c r="A19" s="10" t="s">
        <v>89</v>
      </c>
      <c r="B19" s="10"/>
      <c r="C19" s="47" t="s">
        <v>90</v>
      </c>
      <c r="D19" s="12"/>
      <c r="E19" s="12"/>
      <c r="F19" s="29" t="s">
        <v>91</v>
      </c>
      <c r="G19" s="30">
        <v>5.1999999999999998E-2</v>
      </c>
      <c r="H19" s="30"/>
      <c r="I19" s="30">
        <v>0</v>
      </c>
      <c r="J19" s="31">
        <v>4026.8</v>
      </c>
      <c r="M19" s="32">
        <f>ROUND(ROUND(J19, 2)*I19, 2)</f>
        <v>0</v>
      </c>
      <c r="P19" s="31">
        <v>4026.8</v>
      </c>
      <c r="S19" s="32">
        <f>ROUND(ROUND(P19, 2)*I19, 2)</f>
        <v>0</v>
      </c>
      <c r="V19" s="9">
        <f>ROUND(ROUND(P19, 2)/1.2, 2)</f>
        <v>3355.67</v>
      </c>
      <c r="Y19" s="9">
        <f t="shared" si="3"/>
        <v>0</v>
      </c>
      <c r="AD19" s="4" t="s">
        <v>92</v>
      </c>
      <c r="AE19" s="4" t="s">
        <v>93</v>
      </c>
      <c r="AF19" s="4" t="s">
        <v>94</v>
      </c>
    </row>
    <row r="20" spans="1:35" ht="54" x14ac:dyDescent="0.3">
      <c r="A20" s="10" t="s">
        <v>97</v>
      </c>
      <c r="B20" s="10"/>
      <c r="C20" s="28" t="s">
        <v>98</v>
      </c>
      <c r="D20" s="12"/>
      <c r="E20" s="12"/>
      <c r="F20" s="29" t="s">
        <v>61</v>
      </c>
      <c r="G20" s="30">
        <v>4.2</v>
      </c>
      <c r="H20" s="30"/>
      <c r="I20" s="30">
        <v>0</v>
      </c>
      <c r="J20" s="31">
        <v>135.53</v>
      </c>
      <c r="M20" s="32">
        <f>ROUND(ROUND(J20, 2)*I20, 2)</f>
        <v>0</v>
      </c>
      <c r="P20" s="31">
        <v>135.53</v>
      </c>
      <c r="S20" s="32">
        <f>ROUND(ROUND(P20, 2)*I20, 2)</f>
        <v>0</v>
      </c>
      <c r="V20" s="9">
        <f>ROUND(ROUND(P20, 2)/1.2, 2)</f>
        <v>112.94</v>
      </c>
      <c r="Y20" s="9">
        <f t="shared" si="3"/>
        <v>0</v>
      </c>
      <c r="AD20" s="4" t="s">
        <v>99</v>
      </c>
      <c r="AE20" s="4" t="s">
        <v>100</v>
      </c>
      <c r="AF20" s="4" t="s">
        <v>101</v>
      </c>
    </row>
    <row r="21" spans="1:35" ht="270" x14ac:dyDescent="0.3">
      <c r="A21" s="10" t="s">
        <v>104</v>
      </c>
      <c r="B21" s="10" t="s">
        <v>105</v>
      </c>
      <c r="C21" s="11" t="s">
        <v>106</v>
      </c>
      <c r="D21" s="12" t="s">
        <v>59</v>
      </c>
      <c r="E21" s="12" t="s">
        <v>107</v>
      </c>
      <c r="F21" s="12" t="s">
        <v>61</v>
      </c>
      <c r="G21" s="13">
        <v>1</v>
      </c>
      <c r="H21" s="13"/>
      <c r="I21" s="13">
        <v>0</v>
      </c>
      <c r="J21" s="14">
        <v>1039.98</v>
      </c>
      <c r="K21" s="15">
        <v>1991</v>
      </c>
      <c r="L21" s="14">
        <f>J21+ROUND(K21, 2)</f>
        <v>3030.98</v>
      </c>
      <c r="M21" s="14">
        <v>0</v>
      </c>
      <c r="N21" s="14">
        <v>0</v>
      </c>
      <c r="O21" s="14">
        <f>M21+N21</f>
        <v>0</v>
      </c>
      <c r="P21" s="14">
        <v>6856.14</v>
      </c>
      <c r="Q21" s="15">
        <v>1991</v>
      </c>
      <c r="R21" s="14">
        <f>P21+ROUND(Q21, 2)</f>
        <v>8847.14</v>
      </c>
      <c r="S21" s="14">
        <v>0</v>
      </c>
      <c r="T21" s="14">
        <v>0</v>
      </c>
      <c r="U21" s="14">
        <f>S21+T21</f>
        <v>0</v>
      </c>
      <c r="V21" s="9">
        <f>ROUND(P21 / 1.2, 2)</f>
        <v>5713.45</v>
      </c>
      <c r="W21" s="9">
        <f>ROUND(Q21 / 1.2, 2)</f>
        <v>1659.17</v>
      </c>
      <c r="X21" s="9">
        <f>ROUND(R21 / 1.2, 2)</f>
        <v>7372.62</v>
      </c>
      <c r="Y21" s="9">
        <f t="shared" si="3"/>
        <v>0</v>
      </c>
      <c r="Z21" s="9">
        <f>ROUND(T21 / 1.2, 2)</f>
        <v>0</v>
      </c>
      <c r="AA21" s="9">
        <f>Y21+Z21</f>
        <v>0</v>
      </c>
      <c r="AD21" s="4">
        <v>320320078</v>
      </c>
      <c r="AE21" s="4">
        <v>26813813</v>
      </c>
      <c r="AG21" s="4" t="s">
        <v>108</v>
      </c>
      <c r="AH21" s="4" t="s">
        <v>109</v>
      </c>
      <c r="AI21" s="4" t="s">
        <v>64</v>
      </c>
    </row>
    <row r="22" spans="1:35" ht="72" x14ac:dyDescent="0.3">
      <c r="A22" s="10" t="s">
        <v>111</v>
      </c>
      <c r="B22" s="10"/>
      <c r="C22" s="28" t="s">
        <v>67</v>
      </c>
      <c r="D22" s="12"/>
      <c r="E22" s="12"/>
      <c r="F22" s="29" t="s">
        <v>68</v>
      </c>
      <c r="G22" s="30">
        <v>1</v>
      </c>
      <c r="H22" s="30"/>
      <c r="I22" s="30">
        <v>0</v>
      </c>
      <c r="J22" s="31">
        <v>88.35</v>
      </c>
      <c r="M22" s="32">
        <f>ROUND(ROUND(J22, 2)*I22, 2)</f>
        <v>0</v>
      </c>
      <c r="P22" s="31">
        <v>88.35</v>
      </c>
      <c r="S22" s="32">
        <f>ROUND(ROUND(P22, 2)*I22, 2)</f>
        <v>0</v>
      </c>
      <c r="V22" s="9">
        <f>ROUND(ROUND(P22, 2)/1.2, 2)</f>
        <v>73.63</v>
      </c>
      <c r="Y22" s="9">
        <f t="shared" si="3"/>
        <v>0</v>
      </c>
      <c r="AD22" s="4" t="s">
        <v>112</v>
      </c>
      <c r="AE22" s="4" t="s">
        <v>113</v>
      </c>
      <c r="AF22" s="4" t="s">
        <v>71</v>
      </c>
    </row>
    <row r="23" spans="1:35" ht="18" x14ac:dyDescent="0.3">
      <c r="A23" s="10" t="s">
        <v>116</v>
      </c>
      <c r="B23" s="10"/>
      <c r="C23" s="47" t="s">
        <v>117</v>
      </c>
      <c r="D23" s="12"/>
      <c r="E23" s="12"/>
      <c r="F23" s="29" t="s">
        <v>76</v>
      </c>
      <c r="G23" s="30">
        <v>2.04</v>
      </c>
      <c r="H23" s="49"/>
      <c r="I23" s="49">
        <v>0</v>
      </c>
      <c r="J23" s="31">
        <v>64.56</v>
      </c>
      <c r="M23" s="32">
        <f>ROUND(ROUND(J23, 2)*I23, 2)</f>
        <v>0</v>
      </c>
      <c r="P23" s="31">
        <v>64.56</v>
      </c>
      <c r="S23" s="32">
        <f>ROUND(ROUND(P23, 2)*I23, 2)</f>
        <v>0</v>
      </c>
      <c r="V23" s="9">
        <f>ROUND(ROUND(P23, 2)/1.2, 2)</f>
        <v>53.8</v>
      </c>
      <c r="Y23" s="9">
        <f t="shared" si="3"/>
        <v>0</v>
      </c>
      <c r="AD23" s="4" t="s">
        <v>118</v>
      </c>
      <c r="AE23" s="4" t="s">
        <v>119</v>
      </c>
      <c r="AF23" s="4" t="s">
        <v>120</v>
      </c>
    </row>
    <row r="24" spans="1:35" ht="18" x14ac:dyDescent="0.3">
      <c r="A24" s="10" t="s">
        <v>123</v>
      </c>
      <c r="B24" s="10"/>
      <c r="C24" s="47" t="s">
        <v>124</v>
      </c>
      <c r="D24" s="12"/>
      <c r="E24" s="12"/>
      <c r="F24" s="29" t="s">
        <v>76</v>
      </c>
      <c r="G24" s="30">
        <v>0.8</v>
      </c>
      <c r="H24" s="49"/>
      <c r="I24" s="49">
        <v>0</v>
      </c>
      <c r="J24" s="31">
        <v>51.63</v>
      </c>
      <c r="M24" s="32">
        <f>ROUND(ROUND(J24, 2)*I24, 2)</f>
        <v>0</v>
      </c>
      <c r="P24" s="31">
        <v>51.63</v>
      </c>
      <c r="S24" s="32">
        <f>ROUND(ROUND(P24, 2)*I24, 2)</f>
        <v>0</v>
      </c>
      <c r="V24" s="9">
        <f>ROUND(ROUND(P24, 2)/1.2, 2)</f>
        <v>43.03</v>
      </c>
      <c r="Y24" s="9">
        <f t="shared" si="3"/>
        <v>0</v>
      </c>
      <c r="AD24" s="4" t="s">
        <v>125</v>
      </c>
      <c r="AE24" s="4" t="s">
        <v>126</v>
      </c>
      <c r="AF24" s="4" t="s">
        <v>127</v>
      </c>
    </row>
    <row r="25" spans="1:35" ht="36" x14ac:dyDescent="0.3">
      <c r="A25" s="10" t="s">
        <v>130</v>
      </c>
      <c r="B25" s="10"/>
      <c r="C25" s="47" t="s">
        <v>90</v>
      </c>
      <c r="D25" s="12"/>
      <c r="E25" s="12"/>
      <c r="F25" s="29" t="s">
        <v>91</v>
      </c>
      <c r="G25" s="30">
        <v>5.1999999999999998E-2</v>
      </c>
      <c r="H25" s="30"/>
      <c r="I25" s="30">
        <v>0</v>
      </c>
      <c r="J25" s="31">
        <v>4026.8</v>
      </c>
      <c r="M25" s="32">
        <f>ROUND(ROUND(J25, 2)*I25, 2)</f>
        <v>0</v>
      </c>
      <c r="P25" s="31">
        <v>4026.8</v>
      </c>
      <c r="S25" s="32">
        <f>ROUND(ROUND(P25, 2)*I25, 2)</f>
        <v>0</v>
      </c>
      <c r="V25" s="9">
        <f>ROUND(ROUND(P25, 2)/1.2, 2)</f>
        <v>3355.67</v>
      </c>
      <c r="Y25" s="9">
        <f t="shared" si="3"/>
        <v>0</v>
      </c>
      <c r="AD25" s="4" t="s">
        <v>131</v>
      </c>
      <c r="AE25" s="4" t="s">
        <v>132</v>
      </c>
      <c r="AF25" s="4" t="s">
        <v>94</v>
      </c>
    </row>
    <row r="26" spans="1:35" ht="54" x14ac:dyDescent="0.3">
      <c r="A26" s="10" t="s">
        <v>135</v>
      </c>
      <c r="B26" s="10"/>
      <c r="C26" s="28" t="s">
        <v>98</v>
      </c>
      <c r="D26" s="12"/>
      <c r="E26" s="12" t="s">
        <v>136</v>
      </c>
      <c r="F26" s="29" t="s">
        <v>61</v>
      </c>
      <c r="G26" s="30">
        <v>4.2</v>
      </c>
      <c r="H26" s="30"/>
      <c r="I26" s="30">
        <v>0</v>
      </c>
      <c r="J26" s="31">
        <v>135.53</v>
      </c>
      <c r="M26" s="32">
        <f>ROUND(ROUND(J26, 2)*I26, 2)</f>
        <v>0</v>
      </c>
      <c r="P26" s="31">
        <v>1520.33</v>
      </c>
      <c r="S26" s="32">
        <f>ROUND(ROUND(P26, 2)*I26, 2)</f>
        <v>0</v>
      </c>
      <c r="V26" s="9">
        <f>ROUND(ROUND(P26, 2)/1.2, 2)</f>
        <v>1266.94</v>
      </c>
      <c r="Y26" s="9">
        <f t="shared" si="3"/>
        <v>0</v>
      </c>
      <c r="AD26" s="4" t="s">
        <v>137</v>
      </c>
      <c r="AE26" s="4" t="s">
        <v>138</v>
      </c>
      <c r="AF26" s="4" t="s">
        <v>101</v>
      </c>
    </row>
    <row r="27" spans="1:35" ht="216" x14ac:dyDescent="0.3">
      <c r="A27" s="10" t="s">
        <v>141</v>
      </c>
      <c r="B27" s="10" t="s">
        <v>105</v>
      </c>
      <c r="C27" s="11" t="s">
        <v>106</v>
      </c>
      <c r="D27" s="12" t="s">
        <v>59</v>
      </c>
      <c r="E27" s="12" t="s">
        <v>142</v>
      </c>
      <c r="F27" s="12" t="s">
        <v>61</v>
      </c>
      <c r="G27" s="13">
        <v>1</v>
      </c>
      <c r="H27" s="13"/>
      <c r="I27" s="13">
        <v>0</v>
      </c>
      <c r="J27" s="14">
        <v>951.65</v>
      </c>
      <c r="K27" s="15">
        <v>1991</v>
      </c>
      <c r="L27" s="14">
        <f>J27+ROUND(K27, 2)</f>
        <v>2942.65</v>
      </c>
      <c r="M27" s="14">
        <v>0</v>
      </c>
      <c r="N27" s="14">
        <v>0</v>
      </c>
      <c r="O27" s="14">
        <f>M27+N27</f>
        <v>0</v>
      </c>
      <c r="P27" s="14">
        <v>951.65</v>
      </c>
      <c r="Q27" s="15">
        <v>1991</v>
      </c>
      <c r="R27" s="14">
        <f>P27+ROUND(Q27, 2)</f>
        <v>2942.65</v>
      </c>
      <c r="S27" s="14">
        <v>0</v>
      </c>
      <c r="T27" s="14">
        <v>0</v>
      </c>
      <c r="U27" s="14">
        <f>S27+T27</f>
        <v>0</v>
      </c>
      <c r="V27" s="9">
        <f>ROUND(P27 / 1.2, 2)</f>
        <v>793.04</v>
      </c>
      <c r="W27" s="9">
        <f>ROUND(Q27 / 1.2, 2)</f>
        <v>1659.17</v>
      </c>
      <c r="X27" s="9">
        <f>ROUND(R27 / 1.2, 2)</f>
        <v>2452.21</v>
      </c>
      <c r="Y27" s="9">
        <f t="shared" si="3"/>
        <v>0</v>
      </c>
      <c r="Z27" s="9">
        <f>ROUND(T27 / 1.2, 2)</f>
        <v>0</v>
      </c>
      <c r="AA27" s="9">
        <f>Y27+Z27</f>
        <v>0</v>
      </c>
      <c r="AD27" s="4">
        <v>320320146</v>
      </c>
      <c r="AE27" s="4">
        <v>26813811</v>
      </c>
      <c r="AG27" s="4" t="s">
        <v>108</v>
      </c>
      <c r="AH27" s="4" t="s">
        <v>109</v>
      </c>
      <c r="AI27" s="4" t="s">
        <v>64</v>
      </c>
    </row>
    <row r="28" spans="1:35" ht="54" x14ac:dyDescent="0.3">
      <c r="A28" s="10" t="s">
        <v>144</v>
      </c>
      <c r="B28" s="10"/>
      <c r="C28" s="28" t="s">
        <v>98</v>
      </c>
      <c r="D28" s="12"/>
      <c r="E28" s="12"/>
      <c r="F28" s="29" t="s">
        <v>61</v>
      </c>
      <c r="G28" s="30">
        <v>4.2</v>
      </c>
      <c r="H28" s="30"/>
      <c r="I28" s="30">
        <v>0</v>
      </c>
      <c r="J28" s="31">
        <v>135.53</v>
      </c>
      <c r="M28" s="32">
        <f>ROUND(ROUND(J28, 2)*I28, 2)</f>
        <v>0</v>
      </c>
      <c r="P28" s="31">
        <v>135.53</v>
      </c>
      <c r="S28" s="32">
        <f>ROUND(ROUND(P28, 2)*I28, 2)</f>
        <v>0</v>
      </c>
      <c r="V28" s="9">
        <f>ROUND(ROUND(P28, 2)/1.2, 2)</f>
        <v>112.94</v>
      </c>
      <c r="Y28" s="9">
        <f t="shared" si="3"/>
        <v>0</v>
      </c>
      <c r="AD28" s="4" t="s">
        <v>145</v>
      </c>
      <c r="AE28" s="4" t="s">
        <v>146</v>
      </c>
      <c r="AF28" s="4" t="s">
        <v>101</v>
      </c>
    </row>
    <row r="29" spans="1:35" ht="36" x14ac:dyDescent="0.3">
      <c r="A29" s="10" t="s">
        <v>149</v>
      </c>
      <c r="B29" s="10"/>
      <c r="C29" s="47" t="s">
        <v>90</v>
      </c>
      <c r="D29" s="12"/>
      <c r="E29" s="12"/>
      <c r="F29" s="29" t="s">
        <v>91</v>
      </c>
      <c r="G29" s="30">
        <v>5.1999999999999998E-2</v>
      </c>
      <c r="H29" s="30"/>
      <c r="I29" s="30">
        <v>0</v>
      </c>
      <c r="J29" s="31">
        <v>4026.8</v>
      </c>
      <c r="M29" s="32">
        <f>ROUND(ROUND(J29, 2)*I29, 2)</f>
        <v>0</v>
      </c>
      <c r="P29" s="31">
        <v>4026.8</v>
      </c>
      <c r="S29" s="32">
        <f>ROUND(ROUND(P29, 2)*I29, 2)</f>
        <v>0</v>
      </c>
      <c r="V29" s="9">
        <f>ROUND(ROUND(P29, 2)/1.2, 2)</f>
        <v>3355.67</v>
      </c>
      <c r="Y29" s="9">
        <f t="shared" si="3"/>
        <v>0</v>
      </c>
      <c r="AD29" s="4" t="s">
        <v>150</v>
      </c>
      <c r="AE29" s="4" t="s">
        <v>151</v>
      </c>
      <c r="AF29" s="4" t="s">
        <v>94</v>
      </c>
    </row>
    <row r="30" spans="1:35" ht="18" x14ac:dyDescent="0.3">
      <c r="A30" s="10" t="s">
        <v>154</v>
      </c>
      <c r="B30" s="10"/>
      <c r="C30" s="47" t="s">
        <v>117</v>
      </c>
      <c r="D30" s="12"/>
      <c r="E30" s="12"/>
      <c r="F30" s="29" t="s">
        <v>76</v>
      </c>
      <c r="G30" s="30">
        <v>2.04</v>
      </c>
      <c r="H30" s="49"/>
      <c r="I30" s="49">
        <v>0</v>
      </c>
      <c r="J30" s="31">
        <v>64.56</v>
      </c>
      <c r="M30" s="32">
        <f>ROUND(ROUND(J30, 2)*I30, 2)</f>
        <v>0</v>
      </c>
      <c r="P30" s="31">
        <v>64.56</v>
      </c>
      <c r="S30" s="32">
        <f>ROUND(ROUND(P30, 2)*I30, 2)</f>
        <v>0</v>
      </c>
      <c r="V30" s="9">
        <f>ROUND(ROUND(P30, 2)/1.2, 2)</f>
        <v>53.8</v>
      </c>
      <c r="Y30" s="9">
        <f t="shared" si="3"/>
        <v>0</v>
      </c>
      <c r="AD30" s="4" t="s">
        <v>155</v>
      </c>
      <c r="AE30" s="4" t="s">
        <v>156</v>
      </c>
      <c r="AF30" s="4" t="s">
        <v>120</v>
      </c>
    </row>
    <row r="31" spans="1:35" ht="18" x14ac:dyDescent="0.3">
      <c r="A31" s="10" t="s">
        <v>159</v>
      </c>
      <c r="B31" s="10"/>
      <c r="C31" s="47" t="s">
        <v>124</v>
      </c>
      <c r="D31" s="12"/>
      <c r="E31" s="12"/>
      <c r="F31" s="29" t="s">
        <v>76</v>
      </c>
      <c r="G31" s="30">
        <v>0.8</v>
      </c>
      <c r="H31" s="49"/>
      <c r="I31" s="49">
        <v>0</v>
      </c>
      <c r="J31" s="31">
        <v>51.63</v>
      </c>
      <c r="M31" s="32">
        <f>ROUND(ROUND(J31, 2)*I31, 2)</f>
        <v>0</v>
      </c>
      <c r="P31" s="31">
        <v>51.63</v>
      </c>
      <c r="S31" s="32">
        <f>ROUND(ROUND(P31, 2)*I31, 2)</f>
        <v>0</v>
      </c>
      <c r="V31" s="9">
        <f>ROUND(ROUND(P31, 2)/1.2, 2)</f>
        <v>43.03</v>
      </c>
      <c r="Y31" s="9">
        <f t="shared" si="3"/>
        <v>0</v>
      </c>
      <c r="AD31" s="4" t="s">
        <v>160</v>
      </c>
      <c r="AE31" s="4" t="s">
        <v>161</v>
      </c>
      <c r="AF31" s="4" t="s">
        <v>127</v>
      </c>
    </row>
    <row r="32" spans="1:35" ht="306" x14ac:dyDescent="0.3">
      <c r="A32" s="10" t="s">
        <v>164</v>
      </c>
      <c r="B32" s="10" t="s">
        <v>165</v>
      </c>
      <c r="C32" s="11" t="s">
        <v>166</v>
      </c>
      <c r="D32" s="12" t="s">
        <v>59</v>
      </c>
      <c r="E32" s="12" t="s">
        <v>167</v>
      </c>
      <c r="F32" s="12" t="s">
        <v>61</v>
      </c>
      <c r="G32" s="13">
        <v>1</v>
      </c>
      <c r="H32" s="13"/>
      <c r="I32" s="13">
        <v>0</v>
      </c>
      <c r="J32" s="14">
        <v>805.05</v>
      </c>
      <c r="K32" s="15">
        <v>1225</v>
      </c>
      <c r="L32" s="14">
        <f>J32+ROUND(K32, 2)</f>
        <v>2030.05</v>
      </c>
      <c r="M32" s="14">
        <v>0</v>
      </c>
      <c r="N32" s="14">
        <v>0</v>
      </c>
      <c r="O32" s="14">
        <f>M32+N32</f>
        <v>0</v>
      </c>
      <c r="P32" s="14">
        <v>805.05</v>
      </c>
      <c r="Q32" s="15">
        <v>1225</v>
      </c>
      <c r="R32" s="14">
        <f>P32+ROUND(Q32, 2)</f>
        <v>2030.05</v>
      </c>
      <c r="S32" s="14">
        <v>0</v>
      </c>
      <c r="T32" s="14">
        <v>0</v>
      </c>
      <c r="U32" s="14">
        <f>S32+T32</f>
        <v>0</v>
      </c>
      <c r="V32" s="9">
        <f>ROUND(P32 / 1.2, 2)</f>
        <v>670.88</v>
      </c>
      <c r="W32" s="9">
        <f>ROUND(Q32 / 1.2, 2)</f>
        <v>1020.83</v>
      </c>
      <c r="X32" s="9">
        <f>ROUND(R32 / 1.2, 2)</f>
        <v>1691.71</v>
      </c>
      <c r="Y32" s="9">
        <f t="shared" si="3"/>
        <v>0</v>
      </c>
      <c r="Z32" s="9">
        <f>ROUND(T32 / 1.2, 2)</f>
        <v>0</v>
      </c>
      <c r="AA32" s="9">
        <f>Y32+Z32</f>
        <v>0</v>
      </c>
      <c r="AD32" s="4">
        <v>320320080</v>
      </c>
      <c r="AE32" s="4">
        <v>26813816</v>
      </c>
      <c r="AG32" s="4" t="s">
        <v>168</v>
      </c>
      <c r="AH32" s="4" t="s">
        <v>169</v>
      </c>
      <c r="AI32" s="4" t="s">
        <v>64</v>
      </c>
    </row>
    <row r="33" spans="1:35" ht="36" x14ac:dyDescent="0.3">
      <c r="A33" s="10" t="s">
        <v>171</v>
      </c>
      <c r="B33" s="10"/>
      <c r="C33" s="47" t="s">
        <v>90</v>
      </c>
      <c r="D33" s="12"/>
      <c r="E33" s="12"/>
      <c r="F33" s="29" t="s">
        <v>91</v>
      </c>
      <c r="G33" s="30">
        <v>5.1999999999999998E-2</v>
      </c>
      <c r="H33" s="30"/>
      <c r="I33" s="30">
        <v>0</v>
      </c>
      <c r="J33" s="31">
        <v>4026.8</v>
      </c>
      <c r="M33" s="32">
        <f>ROUND(ROUND(J33, 2)*I33, 2)</f>
        <v>0</v>
      </c>
      <c r="P33" s="31">
        <v>4026.8</v>
      </c>
      <c r="S33" s="32">
        <f>ROUND(ROUND(P33, 2)*I33, 2)</f>
        <v>0</v>
      </c>
      <c r="V33" s="9">
        <f>ROUND(ROUND(P33, 2)/1.2, 2)</f>
        <v>3355.67</v>
      </c>
      <c r="Y33" s="9">
        <f t="shared" si="3"/>
        <v>0</v>
      </c>
      <c r="AD33" s="4" t="s">
        <v>172</v>
      </c>
      <c r="AE33" s="4" t="s">
        <v>173</v>
      </c>
      <c r="AF33" s="4" t="s">
        <v>94</v>
      </c>
    </row>
    <row r="34" spans="1:35" ht="72" x14ac:dyDescent="0.3">
      <c r="A34" s="10" t="s">
        <v>176</v>
      </c>
      <c r="B34" s="10"/>
      <c r="C34" s="28" t="s">
        <v>177</v>
      </c>
      <c r="D34" s="12"/>
      <c r="E34" s="12"/>
      <c r="F34" s="29" t="s">
        <v>68</v>
      </c>
      <c r="G34" s="30">
        <v>1</v>
      </c>
      <c r="H34" s="30"/>
      <c r="I34" s="30">
        <v>0</v>
      </c>
      <c r="J34" s="31">
        <v>111.15</v>
      </c>
      <c r="M34" s="32">
        <f>ROUND(ROUND(J34, 2)*I34, 2)</f>
        <v>0</v>
      </c>
      <c r="P34" s="31">
        <v>111.15</v>
      </c>
      <c r="S34" s="32">
        <f>ROUND(ROUND(P34, 2)*I34, 2)</f>
        <v>0</v>
      </c>
      <c r="V34" s="9">
        <f>ROUND(ROUND(P34, 2)/1.2, 2)</f>
        <v>92.63</v>
      </c>
      <c r="Y34" s="9">
        <f t="shared" si="3"/>
        <v>0</v>
      </c>
      <c r="AD34" s="4" t="s">
        <v>178</v>
      </c>
      <c r="AE34" s="4" t="s">
        <v>179</v>
      </c>
      <c r="AF34" s="4" t="s">
        <v>180</v>
      </c>
    </row>
    <row r="35" spans="1:35" ht="36" x14ac:dyDescent="0.3">
      <c r="A35" s="10" t="s">
        <v>183</v>
      </c>
      <c r="B35" s="10"/>
      <c r="C35" s="47" t="s">
        <v>184</v>
      </c>
      <c r="D35" s="12"/>
      <c r="E35" s="12"/>
      <c r="F35" s="29" t="s">
        <v>61</v>
      </c>
      <c r="G35" s="30">
        <v>2.2000000000000002</v>
      </c>
      <c r="H35" s="30"/>
      <c r="I35" s="30">
        <v>0</v>
      </c>
      <c r="J35" s="31">
        <v>104.57</v>
      </c>
      <c r="M35" s="32">
        <f>ROUND(ROUND(J35, 2)*I35, 2)</f>
        <v>0</v>
      </c>
      <c r="P35" s="31">
        <v>104.57</v>
      </c>
      <c r="S35" s="32">
        <f>ROUND(ROUND(P35, 2)*I35, 2)</f>
        <v>0</v>
      </c>
      <c r="V35" s="9">
        <f>ROUND(ROUND(P35, 2)/1.2, 2)</f>
        <v>87.14</v>
      </c>
      <c r="Y35" s="9">
        <f t="shared" si="3"/>
        <v>0</v>
      </c>
      <c r="AD35" s="4" t="s">
        <v>185</v>
      </c>
      <c r="AE35" s="4" t="s">
        <v>186</v>
      </c>
      <c r="AF35" s="4" t="s">
        <v>187</v>
      </c>
    </row>
    <row r="36" spans="1:35" ht="18" x14ac:dyDescent="0.3">
      <c r="A36" s="10" t="s">
        <v>190</v>
      </c>
      <c r="B36" s="10"/>
      <c r="C36" s="47" t="s">
        <v>75</v>
      </c>
      <c r="D36" s="12"/>
      <c r="E36" s="12"/>
      <c r="F36" s="29" t="s">
        <v>76</v>
      </c>
      <c r="G36" s="30">
        <v>0.86</v>
      </c>
      <c r="H36" s="49"/>
      <c r="I36" s="49">
        <v>0</v>
      </c>
      <c r="J36" s="31">
        <v>63.73</v>
      </c>
      <c r="M36" s="32">
        <f>ROUND(ROUND(J36, 2)*I36, 2)</f>
        <v>0</v>
      </c>
      <c r="P36" s="31">
        <v>63.73</v>
      </c>
      <c r="S36" s="32">
        <f>ROUND(ROUND(P36, 2)*I36, 2)</f>
        <v>0</v>
      </c>
      <c r="V36" s="9">
        <f>ROUND(ROUND(P36, 2)/1.2, 2)</f>
        <v>53.11</v>
      </c>
      <c r="Y36" s="9">
        <f t="shared" si="3"/>
        <v>0</v>
      </c>
      <c r="AD36" s="4" t="s">
        <v>191</v>
      </c>
      <c r="AE36" s="4" t="s">
        <v>192</v>
      </c>
      <c r="AF36" s="4" t="s">
        <v>79</v>
      </c>
    </row>
    <row r="37" spans="1:35" ht="18" x14ac:dyDescent="0.3">
      <c r="A37" s="10" t="s">
        <v>195</v>
      </c>
      <c r="B37" s="10"/>
      <c r="C37" s="47" t="s">
        <v>83</v>
      </c>
      <c r="D37" s="12"/>
      <c r="E37" s="12"/>
      <c r="F37" s="29" t="s">
        <v>76</v>
      </c>
      <c r="G37" s="30">
        <v>2.1</v>
      </c>
      <c r="H37" s="49"/>
      <c r="I37" s="49">
        <v>0</v>
      </c>
      <c r="J37" s="31">
        <v>95.07</v>
      </c>
      <c r="M37" s="32">
        <f>ROUND(ROUND(J37, 2)*I37, 2)</f>
        <v>0</v>
      </c>
      <c r="P37" s="31">
        <v>95.07</v>
      </c>
      <c r="S37" s="32">
        <f>ROUND(ROUND(P37, 2)*I37, 2)</f>
        <v>0</v>
      </c>
      <c r="V37" s="9">
        <f>ROUND(ROUND(P37, 2)/1.2, 2)</f>
        <v>79.23</v>
      </c>
      <c r="Y37" s="9">
        <f t="shared" si="3"/>
        <v>0</v>
      </c>
      <c r="AD37" s="4" t="s">
        <v>196</v>
      </c>
      <c r="AE37" s="4" t="s">
        <v>197</v>
      </c>
      <c r="AF37" s="4" t="s">
        <v>86</v>
      </c>
    </row>
    <row r="38" spans="1:35" ht="306" x14ac:dyDescent="0.3">
      <c r="A38" s="10" t="s">
        <v>200</v>
      </c>
      <c r="B38" s="10" t="s">
        <v>165</v>
      </c>
      <c r="C38" s="11" t="s">
        <v>166</v>
      </c>
      <c r="D38" s="12" t="s">
        <v>59</v>
      </c>
      <c r="E38" s="12" t="s">
        <v>201</v>
      </c>
      <c r="F38" s="12" t="s">
        <v>61</v>
      </c>
      <c r="G38" s="13">
        <v>1</v>
      </c>
      <c r="H38" s="13"/>
      <c r="I38" s="13">
        <v>0</v>
      </c>
      <c r="J38" s="14">
        <v>805.05</v>
      </c>
      <c r="K38" s="15">
        <v>1225</v>
      </c>
      <c r="L38" s="14">
        <f>J38+ROUND(K38, 2)</f>
        <v>2030.05</v>
      </c>
      <c r="M38" s="14">
        <v>0</v>
      </c>
      <c r="N38" s="14">
        <v>0</v>
      </c>
      <c r="O38" s="14">
        <f>M38+N38</f>
        <v>0</v>
      </c>
      <c r="P38" s="14">
        <v>805.05</v>
      </c>
      <c r="Q38" s="15">
        <v>1225</v>
      </c>
      <c r="R38" s="14">
        <f>P38+ROUND(Q38, 2)</f>
        <v>2030.05</v>
      </c>
      <c r="S38" s="14">
        <v>0</v>
      </c>
      <c r="T38" s="14">
        <v>0</v>
      </c>
      <c r="U38" s="14">
        <f>S38+T38</f>
        <v>0</v>
      </c>
      <c r="V38" s="9">
        <f>ROUND(P38 / 1.2, 2)</f>
        <v>670.88</v>
      </c>
      <c r="W38" s="9">
        <f>ROUND(Q38 / 1.2, 2)</f>
        <v>1020.83</v>
      </c>
      <c r="X38" s="9">
        <f>ROUND(R38 / 1.2, 2)</f>
        <v>1691.71</v>
      </c>
      <c r="Y38" s="9">
        <f t="shared" si="3"/>
        <v>0</v>
      </c>
      <c r="Z38" s="9">
        <f>ROUND(T38 / 1.2, 2)</f>
        <v>0</v>
      </c>
      <c r="AA38" s="9">
        <f>Y38+Z38</f>
        <v>0</v>
      </c>
      <c r="AD38" s="4">
        <v>320320147</v>
      </c>
      <c r="AE38" s="4">
        <v>26813817</v>
      </c>
      <c r="AG38" s="4" t="s">
        <v>168</v>
      </c>
      <c r="AH38" s="4" t="s">
        <v>169</v>
      </c>
      <c r="AI38" s="4" t="s">
        <v>64</v>
      </c>
    </row>
    <row r="39" spans="1:35" ht="18" x14ac:dyDescent="0.3">
      <c r="A39" s="10" t="s">
        <v>203</v>
      </c>
      <c r="B39" s="10"/>
      <c r="C39" s="47" t="s">
        <v>75</v>
      </c>
      <c r="D39" s="12"/>
      <c r="E39" s="12"/>
      <c r="F39" s="29" t="s">
        <v>76</v>
      </c>
      <c r="G39" s="30">
        <v>0.86</v>
      </c>
      <c r="H39" s="49"/>
      <c r="I39" s="49">
        <v>0</v>
      </c>
      <c r="J39" s="31">
        <v>63.73</v>
      </c>
      <c r="M39" s="32">
        <f>ROUND(ROUND(J39, 2)*I39, 2)</f>
        <v>0</v>
      </c>
      <c r="P39" s="31">
        <v>63.73</v>
      </c>
      <c r="S39" s="32">
        <f>ROUND(ROUND(P39, 2)*I39, 2)</f>
        <v>0</v>
      </c>
      <c r="V39" s="9">
        <f>ROUND(ROUND(P39, 2)/1.2, 2)</f>
        <v>53.11</v>
      </c>
      <c r="Y39" s="9">
        <f t="shared" si="3"/>
        <v>0</v>
      </c>
      <c r="AD39" s="4" t="s">
        <v>204</v>
      </c>
      <c r="AE39" s="4" t="s">
        <v>205</v>
      </c>
      <c r="AF39" s="4" t="s">
        <v>79</v>
      </c>
    </row>
    <row r="40" spans="1:35" ht="18" x14ac:dyDescent="0.3">
      <c r="A40" s="10" t="s">
        <v>208</v>
      </c>
      <c r="B40" s="10"/>
      <c r="C40" s="47" t="s">
        <v>83</v>
      </c>
      <c r="D40" s="12"/>
      <c r="E40" s="12"/>
      <c r="F40" s="29" t="s">
        <v>76</v>
      </c>
      <c r="G40" s="30">
        <v>2.1</v>
      </c>
      <c r="H40" s="49"/>
      <c r="I40" s="49">
        <v>0</v>
      </c>
      <c r="J40" s="31">
        <v>95.07</v>
      </c>
      <c r="M40" s="32">
        <f>ROUND(ROUND(J40, 2)*I40, 2)</f>
        <v>0</v>
      </c>
      <c r="P40" s="31">
        <v>95.07</v>
      </c>
      <c r="S40" s="32">
        <f>ROUND(ROUND(P40, 2)*I40, 2)</f>
        <v>0</v>
      </c>
      <c r="V40" s="9">
        <f>ROUND(ROUND(P40, 2)/1.2, 2)</f>
        <v>79.23</v>
      </c>
      <c r="Y40" s="9">
        <f t="shared" si="3"/>
        <v>0</v>
      </c>
      <c r="AD40" s="4" t="s">
        <v>209</v>
      </c>
      <c r="AE40" s="4" t="s">
        <v>210</v>
      </c>
      <c r="AF40" s="4" t="s">
        <v>86</v>
      </c>
    </row>
    <row r="41" spans="1:35" ht="36" x14ac:dyDescent="0.3">
      <c r="A41" s="10" t="s">
        <v>213</v>
      </c>
      <c r="B41" s="10"/>
      <c r="C41" s="47" t="s">
        <v>214</v>
      </c>
      <c r="D41" s="12"/>
      <c r="E41" s="12"/>
      <c r="F41" s="29" t="s">
        <v>61</v>
      </c>
      <c r="G41" s="30">
        <v>2.2000000000000002</v>
      </c>
      <c r="H41" s="30"/>
      <c r="I41" s="30">
        <v>0</v>
      </c>
      <c r="J41" s="31">
        <v>104.57</v>
      </c>
      <c r="M41" s="32">
        <f>ROUND(ROUND(J41, 2)*I41, 2)</f>
        <v>0</v>
      </c>
      <c r="P41" s="31">
        <v>104.57</v>
      </c>
      <c r="S41" s="32">
        <f>ROUND(ROUND(P41, 2)*I41, 2)</f>
        <v>0</v>
      </c>
      <c r="V41" s="9">
        <f>ROUND(ROUND(P41, 2)/1.2, 2)</f>
        <v>87.14</v>
      </c>
      <c r="Y41" s="9">
        <f t="shared" si="3"/>
        <v>0</v>
      </c>
      <c r="AD41" s="4" t="s">
        <v>215</v>
      </c>
      <c r="AE41" s="4" t="s">
        <v>216</v>
      </c>
      <c r="AF41" s="4" t="s">
        <v>217</v>
      </c>
    </row>
    <row r="42" spans="1:35" ht="72" x14ac:dyDescent="0.3">
      <c r="A42" s="10" t="s">
        <v>220</v>
      </c>
      <c r="B42" s="10"/>
      <c r="C42" s="28" t="s">
        <v>177</v>
      </c>
      <c r="D42" s="12"/>
      <c r="E42" s="12"/>
      <c r="F42" s="29" t="s">
        <v>68</v>
      </c>
      <c r="G42" s="30">
        <v>1</v>
      </c>
      <c r="H42" s="30"/>
      <c r="I42" s="30">
        <v>0</v>
      </c>
      <c r="J42" s="31">
        <v>111.15</v>
      </c>
      <c r="M42" s="32">
        <f>ROUND(ROUND(J42, 2)*I42, 2)</f>
        <v>0</v>
      </c>
      <c r="P42" s="31">
        <v>111.15</v>
      </c>
      <c r="S42" s="32">
        <f>ROUND(ROUND(P42, 2)*I42, 2)</f>
        <v>0</v>
      </c>
      <c r="V42" s="9">
        <f>ROUND(ROUND(P42, 2)/1.2, 2)</f>
        <v>92.63</v>
      </c>
      <c r="Y42" s="9">
        <f t="shared" si="3"/>
        <v>0</v>
      </c>
      <c r="AD42" s="4" t="s">
        <v>221</v>
      </c>
      <c r="AE42" s="4" t="s">
        <v>222</v>
      </c>
      <c r="AF42" s="4" t="s">
        <v>180</v>
      </c>
    </row>
    <row r="43" spans="1:35" ht="36" x14ac:dyDescent="0.3">
      <c r="A43" s="10" t="s">
        <v>225</v>
      </c>
      <c r="B43" s="10"/>
      <c r="C43" s="47" t="s">
        <v>90</v>
      </c>
      <c r="D43" s="12"/>
      <c r="E43" s="12"/>
      <c r="F43" s="29" t="s">
        <v>91</v>
      </c>
      <c r="G43" s="30">
        <v>5.1999999999999998E-2</v>
      </c>
      <c r="H43" s="30"/>
      <c r="I43" s="30">
        <v>0</v>
      </c>
      <c r="J43" s="31">
        <v>4026.8</v>
      </c>
      <c r="M43" s="32">
        <f>ROUND(ROUND(J43, 2)*I43, 2)</f>
        <v>0</v>
      </c>
      <c r="P43" s="31">
        <v>4026.8</v>
      </c>
      <c r="S43" s="32">
        <f>ROUND(ROUND(P43, 2)*I43, 2)</f>
        <v>0</v>
      </c>
      <c r="V43" s="9">
        <f>ROUND(ROUND(P43, 2)/1.2, 2)</f>
        <v>3355.67</v>
      </c>
      <c r="Y43" s="9">
        <f t="shared" si="3"/>
        <v>0</v>
      </c>
      <c r="AD43" s="4" t="s">
        <v>226</v>
      </c>
      <c r="AE43" s="4" t="s">
        <v>227</v>
      </c>
      <c r="AF43" s="4" t="s">
        <v>94</v>
      </c>
    </row>
    <row r="44" spans="1:35" ht="378" x14ac:dyDescent="0.3">
      <c r="A44" s="10" t="s">
        <v>230</v>
      </c>
      <c r="B44" s="10" t="s">
        <v>165</v>
      </c>
      <c r="C44" s="11" t="s">
        <v>166</v>
      </c>
      <c r="D44" s="12" t="s">
        <v>59</v>
      </c>
      <c r="E44" s="12" t="s">
        <v>231</v>
      </c>
      <c r="F44" s="12" t="s">
        <v>61</v>
      </c>
      <c r="G44" s="13">
        <v>1</v>
      </c>
      <c r="H44" s="13"/>
      <c r="I44" s="13">
        <v>0</v>
      </c>
      <c r="J44" s="14">
        <v>805.05</v>
      </c>
      <c r="K44" s="15">
        <v>1225</v>
      </c>
      <c r="L44" s="14">
        <f>J44+ROUND(K44, 2)</f>
        <v>2030.05</v>
      </c>
      <c r="M44" s="14">
        <v>0</v>
      </c>
      <c r="N44" s="14">
        <v>0</v>
      </c>
      <c r="O44" s="14">
        <f>M44+N44</f>
        <v>0</v>
      </c>
      <c r="P44" s="14">
        <v>805.05</v>
      </c>
      <c r="Q44" s="15">
        <v>1225</v>
      </c>
      <c r="R44" s="14">
        <f>P44+ROUND(Q44, 2)</f>
        <v>2030.05</v>
      </c>
      <c r="S44" s="14">
        <v>0</v>
      </c>
      <c r="T44" s="14">
        <v>0</v>
      </c>
      <c r="U44" s="14">
        <f>S44+T44</f>
        <v>0</v>
      </c>
      <c r="V44" s="9">
        <f>ROUND(P44 / 1.2, 2)</f>
        <v>670.88</v>
      </c>
      <c r="W44" s="9">
        <f>ROUND(Q44 / 1.2, 2)</f>
        <v>1020.83</v>
      </c>
      <c r="X44" s="9">
        <f>ROUND(R44 / 1.2, 2)</f>
        <v>1691.71</v>
      </c>
      <c r="Y44" s="9">
        <f t="shared" si="3"/>
        <v>0</v>
      </c>
      <c r="Z44" s="9">
        <f>ROUND(T44 / 1.2, 2)</f>
        <v>0</v>
      </c>
      <c r="AA44" s="9">
        <f>Y44+Z44</f>
        <v>0</v>
      </c>
      <c r="AD44" s="4">
        <v>320320148</v>
      </c>
      <c r="AE44" s="4">
        <v>26813818</v>
      </c>
      <c r="AG44" s="4" t="s">
        <v>168</v>
      </c>
      <c r="AH44" s="4" t="s">
        <v>169</v>
      </c>
      <c r="AI44" s="4" t="s">
        <v>64</v>
      </c>
    </row>
    <row r="45" spans="1:35" ht="36" x14ac:dyDescent="0.3">
      <c r="A45" s="10" t="s">
        <v>233</v>
      </c>
      <c r="B45" s="10"/>
      <c r="C45" s="47" t="s">
        <v>90</v>
      </c>
      <c r="D45" s="12"/>
      <c r="E45" s="12"/>
      <c r="F45" s="29" t="s">
        <v>91</v>
      </c>
      <c r="G45" s="30">
        <v>5.1999999999999998E-2</v>
      </c>
      <c r="H45" s="30"/>
      <c r="I45" s="30">
        <v>0</v>
      </c>
      <c r="J45" s="31">
        <v>4026.8</v>
      </c>
      <c r="M45" s="32">
        <f>ROUND(ROUND(J45, 2)*I45, 2)</f>
        <v>0</v>
      </c>
      <c r="P45" s="31">
        <v>4026.8</v>
      </c>
      <c r="S45" s="32">
        <f>ROUND(ROUND(P45, 2)*I45, 2)</f>
        <v>0</v>
      </c>
      <c r="V45" s="9">
        <f>ROUND(ROUND(P45, 2)/1.2, 2)</f>
        <v>3355.67</v>
      </c>
      <c r="Y45" s="9">
        <f t="shared" si="3"/>
        <v>0</v>
      </c>
      <c r="AD45" s="4" t="s">
        <v>234</v>
      </c>
      <c r="AE45" s="4" t="s">
        <v>235</v>
      </c>
      <c r="AF45" s="4" t="s">
        <v>94</v>
      </c>
    </row>
    <row r="46" spans="1:35" ht="72" x14ac:dyDescent="0.3">
      <c r="A46" s="10" t="s">
        <v>238</v>
      </c>
      <c r="B46" s="10"/>
      <c r="C46" s="28" t="s">
        <v>177</v>
      </c>
      <c r="D46" s="12"/>
      <c r="E46" s="12"/>
      <c r="F46" s="29" t="s">
        <v>68</v>
      </c>
      <c r="G46" s="30">
        <v>1</v>
      </c>
      <c r="H46" s="30"/>
      <c r="I46" s="30">
        <v>0</v>
      </c>
      <c r="J46" s="31">
        <v>111.15</v>
      </c>
      <c r="M46" s="32">
        <f>ROUND(ROUND(J46, 2)*I46, 2)</f>
        <v>0</v>
      </c>
      <c r="P46" s="31">
        <v>111.15</v>
      </c>
      <c r="S46" s="32">
        <f>ROUND(ROUND(P46, 2)*I46, 2)</f>
        <v>0</v>
      </c>
      <c r="V46" s="9">
        <f>ROUND(ROUND(P46, 2)/1.2, 2)</f>
        <v>92.63</v>
      </c>
      <c r="Y46" s="9">
        <f t="shared" si="3"/>
        <v>0</v>
      </c>
      <c r="AD46" s="4" t="s">
        <v>239</v>
      </c>
      <c r="AE46" s="4" t="s">
        <v>240</v>
      </c>
      <c r="AF46" s="4" t="s">
        <v>180</v>
      </c>
    </row>
    <row r="47" spans="1:35" ht="36" x14ac:dyDescent="0.3">
      <c r="A47" s="10" t="s">
        <v>243</v>
      </c>
      <c r="B47" s="10"/>
      <c r="C47" s="47" t="s">
        <v>214</v>
      </c>
      <c r="D47" s="12"/>
      <c r="E47" s="12"/>
      <c r="F47" s="29" t="s">
        <v>61</v>
      </c>
      <c r="G47" s="30">
        <v>2.2000000000000002</v>
      </c>
      <c r="H47" s="30"/>
      <c r="I47" s="30">
        <v>0</v>
      </c>
      <c r="J47" s="31">
        <v>104.57</v>
      </c>
      <c r="M47" s="32">
        <f>ROUND(ROUND(J47, 2)*I47, 2)</f>
        <v>0</v>
      </c>
      <c r="P47" s="31">
        <v>104.57</v>
      </c>
      <c r="S47" s="32">
        <f>ROUND(ROUND(P47, 2)*I47, 2)</f>
        <v>0</v>
      </c>
      <c r="V47" s="9">
        <f>ROUND(ROUND(P47, 2)/1.2, 2)</f>
        <v>87.14</v>
      </c>
      <c r="Y47" s="9">
        <f t="shared" si="3"/>
        <v>0</v>
      </c>
      <c r="AD47" s="4" t="s">
        <v>244</v>
      </c>
      <c r="AE47" s="4" t="s">
        <v>245</v>
      </c>
      <c r="AF47" s="4" t="s">
        <v>217</v>
      </c>
    </row>
    <row r="48" spans="1:35" ht="18" x14ac:dyDescent="0.3">
      <c r="A48" s="10" t="s">
        <v>248</v>
      </c>
      <c r="B48" s="10"/>
      <c r="C48" s="47" t="s">
        <v>75</v>
      </c>
      <c r="D48" s="12"/>
      <c r="E48" s="12"/>
      <c r="F48" s="29" t="s">
        <v>76</v>
      </c>
      <c r="G48" s="30">
        <v>0.86</v>
      </c>
      <c r="H48" s="49"/>
      <c r="I48" s="49">
        <v>0</v>
      </c>
      <c r="J48" s="31">
        <v>63.73</v>
      </c>
      <c r="M48" s="32">
        <f>ROUND(ROUND(J48, 2)*I48, 2)</f>
        <v>0</v>
      </c>
      <c r="P48" s="31">
        <v>63.73</v>
      </c>
      <c r="S48" s="32">
        <f>ROUND(ROUND(P48, 2)*I48, 2)</f>
        <v>0</v>
      </c>
      <c r="V48" s="9">
        <f>ROUND(ROUND(P48, 2)/1.2, 2)</f>
        <v>53.11</v>
      </c>
      <c r="Y48" s="9">
        <f t="shared" si="3"/>
        <v>0</v>
      </c>
      <c r="AD48" s="4" t="s">
        <v>249</v>
      </c>
      <c r="AE48" s="4" t="s">
        <v>250</v>
      </c>
      <c r="AF48" s="4" t="s">
        <v>79</v>
      </c>
    </row>
    <row r="49" spans="1:35" ht="18" x14ac:dyDescent="0.3">
      <c r="A49" s="10" t="s">
        <v>253</v>
      </c>
      <c r="B49" s="10"/>
      <c r="C49" s="47" t="s">
        <v>83</v>
      </c>
      <c r="D49" s="12"/>
      <c r="E49" s="12"/>
      <c r="F49" s="29" t="s">
        <v>76</v>
      </c>
      <c r="G49" s="30">
        <v>2.1</v>
      </c>
      <c r="H49" s="49"/>
      <c r="I49" s="49">
        <v>0</v>
      </c>
      <c r="J49" s="31">
        <v>95.07</v>
      </c>
      <c r="M49" s="32">
        <f>ROUND(ROUND(J49, 2)*I49, 2)</f>
        <v>0</v>
      </c>
      <c r="P49" s="31">
        <v>95.07</v>
      </c>
      <c r="S49" s="32">
        <f>ROUND(ROUND(P49, 2)*I49, 2)</f>
        <v>0</v>
      </c>
      <c r="V49" s="9">
        <f>ROUND(ROUND(P49, 2)/1.2, 2)</f>
        <v>79.23</v>
      </c>
      <c r="Y49" s="9">
        <f t="shared" si="3"/>
        <v>0</v>
      </c>
      <c r="AD49" s="4" t="s">
        <v>254</v>
      </c>
      <c r="AE49" s="4" t="s">
        <v>255</v>
      </c>
      <c r="AF49" s="4" t="s">
        <v>86</v>
      </c>
    </row>
    <row r="50" spans="1:35" ht="288" x14ac:dyDescent="0.3">
      <c r="A50" s="10" t="s">
        <v>258</v>
      </c>
      <c r="B50" s="10" t="s">
        <v>165</v>
      </c>
      <c r="C50" s="11" t="s">
        <v>166</v>
      </c>
      <c r="D50" s="12" t="s">
        <v>59</v>
      </c>
      <c r="E50" s="12" t="s">
        <v>259</v>
      </c>
      <c r="F50" s="12" t="s">
        <v>61</v>
      </c>
      <c r="G50" s="13">
        <v>1</v>
      </c>
      <c r="H50" s="13"/>
      <c r="I50" s="13">
        <v>0</v>
      </c>
      <c r="J50" s="14">
        <v>727.48</v>
      </c>
      <c r="K50" s="15">
        <v>1225</v>
      </c>
      <c r="L50" s="14">
        <f>J50+ROUND(K50, 2)</f>
        <v>1952.48</v>
      </c>
      <c r="M50" s="14">
        <v>0</v>
      </c>
      <c r="N50" s="14">
        <v>0</v>
      </c>
      <c r="O50" s="14">
        <f>M50+N50</f>
        <v>0</v>
      </c>
      <c r="P50" s="14">
        <v>3842.15</v>
      </c>
      <c r="Q50" s="15">
        <v>1225</v>
      </c>
      <c r="R50" s="14">
        <f>P50+ROUND(Q50, 2)</f>
        <v>5067.1499999999996</v>
      </c>
      <c r="S50" s="14">
        <v>0</v>
      </c>
      <c r="T50" s="14">
        <v>0</v>
      </c>
      <c r="U50" s="14">
        <f>S50+T50</f>
        <v>0</v>
      </c>
      <c r="V50" s="9">
        <f>ROUND(P50 / 1.2, 2)</f>
        <v>3201.79</v>
      </c>
      <c r="W50" s="9">
        <f>ROUND(Q50 / 1.2, 2)</f>
        <v>1020.83</v>
      </c>
      <c r="X50" s="9">
        <f>ROUND(R50 / 1.2, 2)</f>
        <v>4222.63</v>
      </c>
      <c r="Y50" s="9">
        <f t="shared" si="3"/>
        <v>0</v>
      </c>
      <c r="Z50" s="9">
        <f>ROUND(T50 / 1.2, 2)</f>
        <v>0</v>
      </c>
      <c r="AA50" s="9">
        <f>Y50+Z50</f>
        <v>0</v>
      </c>
      <c r="AD50" s="4">
        <v>320320149</v>
      </c>
      <c r="AE50" s="4">
        <v>26813819</v>
      </c>
      <c r="AG50" s="4" t="s">
        <v>168</v>
      </c>
      <c r="AH50" s="4" t="s">
        <v>169</v>
      </c>
      <c r="AI50" s="4" t="s">
        <v>64</v>
      </c>
    </row>
    <row r="51" spans="1:35" ht="18" x14ac:dyDescent="0.3">
      <c r="A51" s="10" t="s">
        <v>261</v>
      </c>
      <c r="B51" s="10"/>
      <c r="C51" s="47" t="s">
        <v>117</v>
      </c>
      <c r="D51" s="12"/>
      <c r="E51" s="12"/>
      <c r="F51" s="29" t="s">
        <v>76</v>
      </c>
      <c r="G51" s="30">
        <v>2.1</v>
      </c>
      <c r="H51" s="30"/>
      <c r="I51" s="30">
        <v>0</v>
      </c>
      <c r="J51" s="31">
        <v>64.56</v>
      </c>
      <c r="M51" s="32">
        <f>ROUND(ROUND(J51, 2)*I51, 2)</f>
        <v>0</v>
      </c>
      <c r="P51" s="31">
        <v>64.56</v>
      </c>
      <c r="S51" s="32">
        <f>ROUND(ROUND(P51, 2)*I51, 2)</f>
        <v>0</v>
      </c>
      <c r="V51" s="9">
        <f>ROUND(ROUND(P51, 2)/1.2, 2)</f>
        <v>53.8</v>
      </c>
      <c r="Y51" s="9">
        <f t="shared" si="3"/>
        <v>0</v>
      </c>
      <c r="AD51" s="4" t="s">
        <v>262</v>
      </c>
      <c r="AE51" s="4" t="s">
        <v>263</v>
      </c>
      <c r="AF51" s="4" t="s">
        <v>120</v>
      </c>
    </row>
    <row r="52" spans="1:35" ht="18" x14ac:dyDescent="0.3">
      <c r="A52" s="10" t="s">
        <v>266</v>
      </c>
      <c r="B52" s="10"/>
      <c r="C52" s="47" t="s">
        <v>124</v>
      </c>
      <c r="D52" s="12"/>
      <c r="E52" s="12"/>
      <c r="F52" s="29" t="s">
        <v>76</v>
      </c>
      <c r="G52" s="30">
        <v>0.8</v>
      </c>
      <c r="H52" s="30"/>
      <c r="I52" s="30">
        <v>0</v>
      </c>
      <c r="J52" s="31">
        <v>51.63</v>
      </c>
      <c r="M52" s="32">
        <f>ROUND(ROUND(J52, 2)*I52, 2)</f>
        <v>0</v>
      </c>
      <c r="P52" s="31">
        <v>51.63</v>
      </c>
      <c r="S52" s="32">
        <f>ROUND(ROUND(P52, 2)*I52, 2)</f>
        <v>0</v>
      </c>
      <c r="V52" s="9">
        <f>ROUND(ROUND(P52, 2)/1.2, 2)</f>
        <v>43.03</v>
      </c>
      <c r="Y52" s="9">
        <f t="shared" si="3"/>
        <v>0</v>
      </c>
      <c r="AD52" s="4" t="s">
        <v>267</v>
      </c>
      <c r="AE52" s="4" t="s">
        <v>268</v>
      </c>
      <c r="AF52" s="4" t="s">
        <v>127</v>
      </c>
    </row>
    <row r="53" spans="1:35" ht="36" x14ac:dyDescent="0.3">
      <c r="A53" s="10" t="s">
        <v>271</v>
      </c>
      <c r="B53" s="10"/>
      <c r="C53" s="47" t="s">
        <v>214</v>
      </c>
      <c r="D53" s="12"/>
      <c r="E53" s="12" t="s">
        <v>272</v>
      </c>
      <c r="F53" s="29" t="s">
        <v>61</v>
      </c>
      <c r="G53" s="30">
        <v>2.2000000000000002</v>
      </c>
      <c r="H53" s="30"/>
      <c r="I53" s="30">
        <v>0</v>
      </c>
      <c r="J53" s="31">
        <v>104.57</v>
      </c>
      <c r="M53" s="32">
        <f>ROUND(ROUND(J53, 2)*I53, 2)</f>
        <v>0</v>
      </c>
      <c r="P53" s="31">
        <v>1520.33</v>
      </c>
      <c r="S53" s="32">
        <f>ROUND(ROUND(P53, 2)*I53, 2)</f>
        <v>0</v>
      </c>
      <c r="V53" s="9">
        <f>ROUND(ROUND(P53, 2)/1.2, 2)</f>
        <v>1266.94</v>
      </c>
      <c r="Y53" s="9">
        <f t="shared" si="3"/>
        <v>0</v>
      </c>
      <c r="AD53" s="4" t="s">
        <v>273</v>
      </c>
      <c r="AE53" s="4" t="s">
        <v>274</v>
      </c>
      <c r="AF53" s="4" t="s">
        <v>217</v>
      </c>
    </row>
    <row r="54" spans="1:35" ht="72" x14ac:dyDescent="0.3">
      <c r="A54" s="10" t="s">
        <v>277</v>
      </c>
      <c r="B54" s="10"/>
      <c r="C54" s="28" t="s">
        <v>177</v>
      </c>
      <c r="D54" s="12"/>
      <c r="E54" s="12"/>
      <c r="F54" s="29" t="s">
        <v>68</v>
      </c>
      <c r="G54" s="30">
        <v>1</v>
      </c>
      <c r="H54" s="30"/>
      <c r="I54" s="30">
        <v>0</v>
      </c>
      <c r="J54" s="31">
        <v>111.15</v>
      </c>
      <c r="M54" s="32">
        <f>ROUND(ROUND(J54, 2)*I54, 2)</f>
        <v>0</v>
      </c>
      <c r="P54" s="31">
        <v>111.15</v>
      </c>
      <c r="S54" s="32">
        <f>ROUND(ROUND(P54, 2)*I54, 2)</f>
        <v>0</v>
      </c>
      <c r="V54" s="9">
        <f>ROUND(ROUND(P54, 2)/1.2, 2)</f>
        <v>92.63</v>
      </c>
      <c r="Y54" s="9">
        <f t="shared" si="3"/>
        <v>0</v>
      </c>
      <c r="AD54" s="4" t="s">
        <v>278</v>
      </c>
      <c r="AE54" s="4" t="s">
        <v>279</v>
      </c>
      <c r="AF54" s="4" t="s">
        <v>180</v>
      </c>
    </row>
    <row r="55" spans="1:35" ht="36" x14ac:dyDescent="0.3">
      <c r="A55" s="10" t="s">
        <v>282</v>
      </c>
      <c r="B55" s="10"/>
      <c r="C55" s="47" t="s">
        <v>90</v>
      </c>
      <c r="D55" s="12"/>
      <c r="E55" s="12"/>
      <c r="F55" s="29" t="s">
        <v>91</v>
      </c>
      <c r="G55" s="30">
        <v>5.1999999999999998E-2</v>
      </c>
      <c r="H55" s="30"/>
      <c r="I55" s="30">
        <v>0</v>
      </c>
      <c r="J55" s="31">
        <v>4026.8</v>
      </c>
      <c r="M55" s="32">
        <f>ROUND(ROUND(J55, 2)*I55, 2)</f>
        <v>0</v>
      </c>
      <c r="P55" s="31">
        <v>4026.8</v>
      </c>
      <c r="S55" s="32">
        <f>ROUND(ROUND(P55, 2)*I55, 2)</f>
        <v>0</v>
      </c>
      <c r="V55" s="9">
        <f>ROUND(ROUND(P55, 2)/1.2, 2)</f>
        <v>3355.67</v>
      </c>
      <c r="Y55" s="9">
        <f t="shared" si="3"/>
        <v>0</v>
      </c>
      <c r="AD55" s="4" t="s">
        <v>283</v>
      </c>
      <c r="AE55" s="4" t="s">
        <v>284</v>
      </c>
      <c r="AF55" s="4" t="s">
        <v>94</v>
      </c>
    </row>
    <row r="56" spans="1:35" ht="306" x14ac:dyDescent="0.3">
      <c r="A56" s="10" t="s">
        <v>287</v>
      </c>
      <c r="B56" s="10" t="s">
        <v>165</v>
      </c>
      <c r="C56" s="11" t="s">
        <v>166</v>
      </c>
      <c r="D56" s="12" t="s">
        <v>59</v>
      </c>
      <c r="E56" s="12" t="s">
        <v>288</v>
      </c>
      <c r="F56" s="12" t="s">
        <v>61</v>
      </c>
      <c r="G56" s="13">
        <v>1</v>
      </c>
      <c r="H56" s="13"/>
      <c r="I56" s="13">
        <v>0</v>
      </c>
      <c r="J56" s="14">
        <v>1269.23</v>
      </c>
      <c r="K56" s="15">
        <v>1225</v>
      </c>
      <c r="L56" s="14">
        <f>J56+ROUND(K56, 2)</f>
        <v>2494.23</v>
      </c>
      <c r="M56" s="14">
        <v>0</v>
      </c>
      <c r="N56" s="14">
        <v>0</v>
      </c>
      <c r="O56" s="14">
        <f>M56+N56</f>
        <v>0</v>
      </c>
      <c r="P56" s="14">
        <v>1269.23</v>
      </c>
      <c r="Q56" s="15">
        <v>1225</v>
      </c>
      <c r="R56" s="14">
        <f>P56+ROUND(Q56, 2)</f>
        <v>2494.23</v>
      </c>
      <c r="S56" s="14">
        <v>0</v>
      </c>
      <c r="T56" s="14">
        <v>0</v>
      </c>
      <c r="U56" s="14">
        <f>S56+T56</f>
        <v>0</v>
      </c>
      <c r="V56" s="9">
        <f>ROUND(P56 / 1.2, 2)</f>
        <v>1057.69</v>
      </c>
      <c r="W56" s="9">
        <f>ROUND(Q56 / 1.2, 2)</f>
        <v>1020.83</v>
      </c>
      <c r="X56" s="9">
        <f>ROUND(R56 / 1.2, 2)</f>
        <v>2078.5300000000002</v>
      </c>
      <c r="Y56" s="9">
        <f t="shared" si="3"/>
        <v>0</v>
      </c>
      <c r="Z56" s="9">
        <f>ROUND(T56 / 1.2, 2)</f>
        <v>0</v>
      </c>
      <c r="AA56" s="9">
        <f>Y56+Z56</f>
        <v>0</v>
      </c>
      <c r="AD56" s="4">
        <v>320320150</v>
      </c>
      <c r="AE56" s="4">
        <v>26813809</v>
      </c>
      <c r="AG56" s="4" t="s">
        <v>168</v>
      </c>
      <c r="AH56" s="4" t="s">
        <v>169</v>
      </c>
      <c r="AI56" s="4" t="s">
        <v>64</v>
      </c>
    </row>
    <row r="57" spans="1:35" ht="36" x14ac:dyDescent="0.3">
      <c r="A57" s="10" t="s">
        <v>290</v>
      </c>
      <c r="B57" s="10"/>
      <c r="C57" s="47" t="s">
        <v>90</v>
      </c>
      <c r="D57" s="12"/>
      <c r="E57" s="12"/>
      <c r="F57" s="29" t="s">
        <v>91</v>
      </c>
      <c r="G57" s="30">
        <v>5.1999999999999998E-2</v>
      </c>
      <c r="H57" s="30"/>
      <c r="I57" s="30">
        <v>0</v>
      </c>
      <c r="J57" s="31">
        <v>4026.8</v>
      </c>
      <c r="M57" s="32">
        <f>ROUND(ROUND(J57, 2)*I57, 2)</f>
        <v>0</v>
      </c>
      <c r="P57" s="31">
        <v>4026.8</v>
      </c>
      <c r="S57" s="32">
        <f>ROUND(ROUND(P57, 2)*I57, 2)</f>
        <v>0</v>
      </c>
      <c r="V57" s="9">
        <f>ROUND(ROUND(P57, 2)/1.2, 2)</f>
        <v>3355.67</v>
      </c>
      <c r="Y57" s="9">
        <f t="shared" si="3"/>
        <v>0</v>
      </c>
      <c r="AD57" s="4" t="s">
        <v>291</v>
      </c>
      <c r="AE57" s="4" t="s">
        <v>292</v>
      </c>
      <c r="AF57" s="4" t="s">
        <v>94</v>
      </c>
    </row>
    <row r="58" spans="1:35" ht="72" x14ac:dyDescent="0.3">
      <c r="A58" s="10" t="s">
        <v>295</v>
      </c>
      <c r="B58" s="10"/>
      <c r="C58" s="28" t="s">
        <v>177</v>
      </c>
      <c r="D58" s="12"/>
      <c r="E58" s="12"/>
      <c r="F58" s="29" t="s">
        <v>68</v>
      </c>
      <c r="G58" s="30">
        <v>1</v>
      </c>
      <c r="H58" s="30"/>
      <c r="I58" s="30">
        <v>0</v>
      </c>
      <c r="J58" s="31">
        <v>111.15</v>
      </c>
      <c r="M58" s="32">
        <f>ROUND(ROUND(J58, 2)*I58, 2)</f>
        <v>0</v>
      </c>
      <c r="P58" s="31">
        <v>111.15</v>
      </c>
      <c r="S58" s="32">
        <f>ROUND(ROUND(P58, 2)*I58, 2)</f>
        <v>0</v>
      </c>
      <c r="V58" s="9">
        <f>ROUND(ROUND(P58, 2)/1.2, 2)</f>
        <v>92.63</v>
      </c>
      <c r="Y58" s="9">
        <f t="shared" si="3"/>
        <v>0</v>
      </c>
      <c r="AD58" s="4" t="s">
        <v>296</v>
      </c>
      <c r="AE58" s="4" t="s">
        <v>297</v>
      </c>
      <c r="AF58" s="4" t="s">
        <v>180</v>
      </c>
    </row>
    <row r="59" spans="1:35" ht="18" x14ac:dyDescent="0.3">
      <c r="A59" s="10" t="s">
        <v>300</v>
      </c>
      <c r="B59" s="10"/>
      <c r="C59" s="47" t="s">
        <v>301</v>
      </c>
      <c r="D59" s="12"/>
      <c r="E59" s="12"/>
      <c r="F59" s="29" t="s">
        <v>61</v>
      </c>
      <c r="G59" s="30">
        <v>2.2000000000000002</v>
      </c>
      <c r="H59" s="30"/>
      <c r="I59" s="30">
        <v>0</v>
      </c>
      <c r="J59" s="31">
        <v>315.55</v>
      </c>
      <c r="M59" s="32">
        <f>ROUND(ROUND(J59, 2)*I59, 2)</f>
        <v>0</v>
      </c>
      <c r="P59" s="31">
        <v>315.55</v>
      </c>
      <c r="S59" s="32">
        <f>ROUND(ROUND(P59, 2)*I59, 2)</f>
        <v>0</v>
      </c>
      <c r="V59" s="9">
        <f>ROUND(ROUND(P59, 2)/1.2, 2)</f>
        <v>262.95999999999998</v>
      </c>
      <c r="Y59" s="9">
        <f t="shared" si="3"/>
        <v>0</v>
      </c>
      <c r="AD59" s="4" t="s">
        <v>302</v>
      </c>
      <c r="AE59" s="4" t="s">
        <v>303</v>
      </c>
      <c r="AF59" s="4" t="s">
        <v>304</v>
      </c>
    </row>
    <row r="60" spans="1:35" ht="18" x14ac:dyDescent="0.3">
      <c r="A60" s="10" t="s">
        <v>307</v>
      </c>
      <c r="B60" s="10"/>
      <c r="C60" s="47" t="s">
        <v>75</v>
      </c>
      <c r="D60" s="12"/>
      <c r="E60" s="12"/>
      <c r="F60" s="29" t="s">
        <v>76</v>
      </c>
      <c r="G60" s="30">
        <v>0.86</v>
      </c>
      <c r="H60" s="49"/>
      <c r="I60" s="49">
        <v>0</v>
      </c>
      <c r="J60" s="31">
        <v>63.73</v>
      </c>
      <c r="M60" s="32">
        <f>ROUND(ROUND(J60, 2)*I60, 2)</f>
        <v>0</v>
      </c>
      <c r="P60" s="31">
        <v>63.73</v>
      </c>
      <c r="S60" s="32">
        <f>ROUND(ROUND(P60, 2)*I60, 2)</f>
        <v>0</v>
      </c>
      <c r="V60" s="9">
        <f>ROUND(ROUND(P60, 2)/1.2, 2)</f>
        <v>53.11</v>
      </c>
      <c r="Y60" s="9">
        <f t="shared" si="3"/>
        <v>0</v>
      </c>
      <c r="AD60" s="4" t="s">
        <v>308</v>
      </c>
      <c r="AE60" s="4" t="s">
        <v>309</v>
      </c>
      <c r="AF60" s="4" t="s">
        <v>79</v>
      </c>
    </row>
    <row r="61" spans="1:35" ht="18" x14ac:dyDescent="0.3">
      <c r="A61" s="10" t="s">
        <v>312</v>
      </c>
      <c r="B61" s="10"/>
      <c r="C61" s="47" t="s">
        <v>83</v>
      </c>
      <c r="D61" s="12"/>
      <c r="E61" s="12"/>
      <c r="F61" s="29" t="s">
        <v>76</v>
      </c>
      <c r="G61" s="30">
        <v>2.1</v>
      </c>
      <c r="H61" s="49"/>
      <c r="I61" s="49">
        <v>0</v>
      </c>
      <c r="J61" s="31">
        <v>95.07</v>
      </c>
      <c r="M61" s="32">
        <f>ROUND(ROUND(J61, 2)*I61, 2)</f>
        <v>0</v>
      </c>
      <c r="P61" s="31">
        <v>95.07</v>
      </c>
      <c r="S61" s="32">
        <f>ROUND(ROUND(P61, 2)*I61, 2)</f>
        <v>0</v>
      </c>
      <c r="V61" s="9">
        <f>ROUND(ROUND(P61, 2)/1.2, 2)</f>
        <v>79.23</v>
      </c>
      <c r="Y61" s="9">
        <f t="shared" si="3"/>
        <v>0</v>
      </c>
      <c r="AD61" s="4" t="s">
        <v>313</v>
      </c>
      <c r="AE61" s="4" t="s">
        <v>314</v>
      </c>
      <c r="AF61" s="4" t="s">
        <v>86</v>
      </c>
    </row>
    <row r="62" spans="1:35" ht="16.95" customHeight="1" x14ac:dyDescent="0.3">
      <c r="A62" s="10" t="s">
        <v>317</v>
      </c>
      <c r="B62" s="10" t="s">
        <v>318</v>
      </c>
      <c r="C62" s="237" t="s">
        <v>319</v>
      </c>
      <c r="D62" s="238"/>
      <c r="E62" s="238"/>
      <c r="F62" s="238"/>
      <c r="G62" s="238"/>
      <c r="H62" s="238"/>
      <c r="I62" s="239"/>
      <c r="M62" s="6">
        <f t="shared" ref="M62:O63" si="4">SUM(M63)</f>
        <v>0</v>
      </c>
      <c r="N62" s="6">
        <f t="shared" si="4"/>
        <v>0</v>
      </c>
      <c r="O62" s="6">
        <f t="shared" si="4"/>
        <v>0</v>
      </c>
      <c r="S62" s="6">
        <f t="shared" ref="S62:U63" si="5">SUM(S63)</f>
        <v>0</v>
      </c>
      <c r="T62" s="6">
        <f t="shared" si="5"/>
        <v>0</v>
      </c>
      <c r="U62" s="6">
        <f t="shared" si="5"/>
        <v>0</v>
      </c>
      <c r="Y62" s="9">
        <f t="shared" ref="Y62:AA63" si="6">SUM(Y63)</f>
        <v>0</v>
      </c>
      <c r="Z62" s="9">
        <f t="shared" si="6"/>
        <v>0</v>
      </c>
      <c r="AA62" s="9">
        <f t="shared" si="6"/>
        <v>0</v>
      </c>
      <c r="AD62" s="4">
        <v>320320081</v>
      </c>
      <c r="AE62" s="4">
        <v>26813776</v>
      </c>
    </row>
    <row r="63" spans="1:35" ht="16.95" customHeight="1" x14ac:dyDescent="0.3">
      <c r="A63" s="10" t="s">
        <v>320</v>
      </c>
      <c r="B63" s="10" t="s">
        <v>321</v>
      </c>
      <c r="C63" s="237" t="s">
        <v>322</v>
      </c>
      <c r="D63" s="238"/>
      <c r="E63" s="238"/>
      <c r="F63" s="238"/>
      <c r="G63" s="238"/>
      <c r="H63" s="238"/>
      <c r="I63" s="239"/>
      <c r="M63" s="6">
        <f t="shared" si="4"/>
        <v>0</v>
      </c>
      <c r="N63" s="6">
        <f t="shared" si="4"/>
        <v>0</v>
      </c>
      <c r="O63" s="6">
        <f t="shared" si="4"/>
        <v>0</v>
      </c>
      <c r="S63" s="6">
        <f t="shared" si="5"/>
        <v>0</v>
      </c>
      <c r="T63" s="6">
        <f t="shared" si="5"/>
        <v>0</v>
      </c>
      <c r="U63" s="6">
        <f t="shared" si="5"/>
        <v>0</v>
      </c>
      <c r="Y63" s="9">
        <f t="shared" si="6"/>
        <v>0</v>
      </c>
      <c r="Z63" s="9">
        <f t="shared" si="6"/>
        <v>0</v>
      </c>
      <c r="AA63" s="9">
        <f t="shared" si="6"/>
        <v>0</v>
      </c>
      <c r="AD63" s="4">
        <v>320320082</v>
      </c>
      <c r="AE63" s="4">
        <v>26813781</v>
      </c>
    </row>
    <row r="64" spans="1:35" ht="16.95" customHeight="1" x14ac:dyDescent="0.3">
      <c r="A64" s="10" t="s">
        <v>323</v>
      </c>
      <c r="B64" s="10" t="s">
        <v>324</v>
      </c>
      <c r="C64" s="237" t="s">
        <v>325</v>
      </c>
      <c r="D64" s="238"/>
      <c r="E64" s="238"/>
      <c r="F64" s="238"/>
      <c r="G64" s="238"/>
      <c r="H64" s="238"/>
      <c r="I64" s="239"/>
      <c r="M64" s="6">
        <f>SUM(M65,M154,M175,M198,M239)</f>
        <v>0</v>
      </c>
      <c r="N64" s="6">
        <f>SUM(N65,N154,N175,N198,N239)</f>
        <v>0</v>
      </c>
      <c r="O64" s="6">
        <f>SUM(O65,O154,O175,O198,O239)</f>
        <v>0</v>
      </c>
      <c r="S64" s="6">
        <f>SUM(S65,S154,S175,S198,S239)</f>
        <v>0</v>
      </c>
      <c r="T64" s="6">
        <f>SUM(T65,T154,T175,T198,T239)</f>
        <v>0</v>
      </c>
      <c r="U64" s="6">
        <f>SUM(U65,U154,U175,U198,U239)</f>
        <v>0</v>
      </c>
      <c r="Y64" s="9">
        <f>SUM(Y65,Y154,Y175,Y198,Y239)</f>
        <v>0</v>
      </c>
      <c r="Z64" s="9">
        <f>SUM(Z65,Z154,Z175,Z198,Z239)</f>
        <v>0</v>
      </c>
      <c r="AA64" s="9">
        <f>SUM(AA65,AA154,AA175,AA198,AA239)</f>
        <v>0</v>
      </c>
      <c r="AD64" s="4">
        <v>320320083</v>
      </c>
      <c r="AE64" s="4">
        <v>26813800</v>
      </c>
    </row>
    <row r="65" spans="1:35" ht="16.95" customHeight="1" x14ac:dyDescent="0.3">
      <c r="A65" s="10" t="s">
        <v>326</v>
      </c>
      <c r="B65" s="10" t="s">
        <v>327</v>
      </c>
      <c r="C65" s="237" t="s">
        <v>328</v>
      </c>
      <c r="D65" s="238"/>
      <c r="E65" s="238"/>
      <c r="F65" s="238"/>
      <c r="G65" s="238"/>
      <c r="H65" s="238"/>
      <c r="I65" s="239"/>
      <c r="M65" s="6">
        <f>SUM(M66,M78,M101)</f>
        <v>0</v>
      </c>
      <c r="N65" s="6">
        <f>SUM(N66,N78,N101)</f>
        <v>0</v>
      </c>
      <c r="O65" s="6">
        <f>SUM(O66,O78,O101)</f>
        <v>0</v>
      </c>
      <c r="S65" s="6">
        <f>SUM(S66,S78,S101)</f>
        <v>0</v>
      </c>
      <c r="T65" s="6">
        <f>SUM(T66,T78,T101)</f>
        <v>0</v>
      </c>
      <c r="U65" s="6">
        <f>SUM(U66,U78,U101)</f>
        <v>0</v>
      </c>
      <c r="Y65" s="9">
        <f>SUM(Y66,Y78,Y101)</f>
        <v>0</v>
      </c>
      <c r="Z65" s="9">
        <f>SUM(Z66,Z78,Z101)</f>
        <v>0</v>
      </c>
      <c r="AA65" s="9">
        <f>SUM(AA66,AA78,AA101)</f>
        <v>0</v>
      </c>
      <c r="AD65" s="4">
        <v>320320084</v>
      </c>
      <c r="AE65" s="4">
        <v>26813804</v>
      </c>
    </row>
    <row r="66" spans="1:35" ht="16.95" customHeight="1" x14ac:dyDescent="0.3">
      <c r="A66" s="10" t="s">
        <v>329</v>
      </c>
      <c r="B66" s="10" t="s">
        <v>330</v>
      </c>
      <c r="C66" s="237" t="s">
        <v>331</v>
      </c>
      <c r="D66" s="238"/>
      <c r="E66" s="238"/>
      <c r="F66" s="238"/>
      <c r="G66" s="238"/>
      <c r="H66" s="238"/>
      <c r="I66" s="239"/>
      <c r="M66" s="6">
        <f>SUM(M67,M69,M74)</f>
        <v>0</v>
      </c>
      <c r="N66" s="6">
        <f>SUM(N67,N69,N74)</f>
        <v>0</v>
      </c>
      <c r="O66" s="6">
        <f>SUM(O67,O69,O74)</f>
        <v>0</v>
      </c>
      <c r="S66" s="6">
        <f>SUM(S67,S69,S74)</f>
        <v>0</v>
      </c>
      <c r="T66" s="6">
        <f>SUM(T67,T69,T74)</f>
        <v>0</v>
      </c>
      <c r="U66" s="6">
        <f>SUM(U67,U69,U74)</f>
        <v>0</v>
      </c>
      <c r="Y66" s="9">
        <f>SUM(Y67,Y69,Y74)</f>
        <v>0</v>
      </c>
      <c r="Z66" s="9">
        <f>SUM(Z67,Z69,Z74)</f>
        <v>0</v>
      </c>
      <c r="AA66" s="9">
        <f>SUM(AA67,AA69,AA74)</f>
        <v>0</v>
      </c>
      <c r="AD66" s="4">
        <v>320320085</v>
      </c>
      <c r="AE66" s="4">
        <v>26813796</v>
      </c>
    </row>
    <row r="67" spans="1:35" ht="36" x14ac:dyDescent="0.3">
      <c r="A67" s="10" t="s">
        <v>332</v>
      </c>
      <c r="B67" s="10" t="s">
        <v>333</v>
      </c>
      <c r="C67" s="11" t="s">
        <v>334</v>
      </c>
      <c r="D67" s="12"/>
      <c r="E67" s="12" t="s">
        <v>335</v>
      </c>
      <c r="F67" s="12" t="s">
        <v>61</v>
      </c>
      <c r="G67" s="13">
        <v>1</v>
      </c>
      <c r="H67" s="13"/>
      <c r="I67" s="13">
        <v>0</v>
      </c>
      <c r="J67" s="14">
        <v>51.44</v>
      </c>
      <c r="K67" s="15">
        <v>40</v>
      </c>
      <c r="L67" s="14">
        <f>J67+ROUND(K67, 2)</f>
        <v>91.44</v>
      </c>
      <c r="M67" s="14">
        <v>0</v>
      </c>
      <c r="N67" s="14">
        <v>0</v>
      </c>
      <c r="O67" s="14">
        <f>M67+N67</f>
        <v>0</v>
      </c>
      <c r="P67" s="14">
        <v>51.44</v>
      </c>
      <c r="Q67" s="15">
        <v>40</v>
      </c>
      <c r="R67" s="14">
        <f>P67+ROUND(Q67, 2)</f>
        <v>91.44</v>
      </c>
      <c r="S67" s="14">
        <v>0</v>
      </c>
      <c r="T67" s="14">
        <v>0</v>
      </c>
      <c r="U67" s="14">
        <f>S67+T67</f>
        <v>0</v>
      </c>
      <c r="V67" s="9">
        <f>ROUND(P67 / 1.2, 2)</f>
        <v>42.87</v>
      </c>
      <c r="W67" s="9">
        <f>ROUND(Q67 / 1.2, 2)</f>
        <v>33.33</v>
      </c>
      <c r="X67" s="9">
        <f>ROUND(R67 / 1.2, 2)</f>
        <v>76.2</v>
      </c>
      <c r="Y67" s="9">
        <f>ROUND(S67 / 1.2, 2)</f>
        <v>0</v>
      </c>
      <c r="Z67" s="9">
        <f>ROUND(T67 / 1.2, 2)</f>
        <v>0</v>
      </c>
      <c r="AA67" s="9">
        <f>Y67+Z67</f>
        <v>0</v>
      </c>
      <c r="AD67" s="4">
        <v>320320087</v>
      </c>
      <c r="AE67" s="4">
        <v>26813857</v>
      </c>
      <c r="AG67" s="4" t="s">
        <v>336</v>
      </c>
      <c r="AH67" s="4" t="s">
        <v>337</v>
      </c>
      <c r="AI67" s="4" t="s">
        <v>338</v>
      </c>
    </row>
    <row r="68" spans="1:35" ht="18" x14ac:dyDescent="0.3">
      <c r="A68" s="10" t="s">
        <v>340</v>
      </c>
      <c r="B68" s="10"/>
      <c r="C68" s="28" t="s">
        <v>341</v>
      </c>
      <c r="D68" s="12"/>
      <c r="E68" s="12"/>
      <c r="F68" s="29" t="s">
        <v>61</v>
      </c>
      <c r="G68" s="30">
        <v>1.1000000000000001</v>
      </c>
      <c r="H68" s="30"/>
      <c r="I68" s="30">
        <v>0</v>
      </c>
      <c r="J68" s="31">
        <v>46.76</v>
      </c>
      <c r="M68" s="32">
        <f>ROUND(ROUND(J68, 2)*I68, 2)</f>
        <v>0</v>
      </c>
      <c r="P68" s="31">
        <v>46.76</v>
      </c>
      <c r="S68" s="32">
        <f>ROUND(ROUND(P68, 2)*I68, 2)</f>
        <v>0</v>
      </c>
      <c r="V68" s="9">
        <f>ROUND(ROUND(P68, 2)/1.2, 2)</f>
        <v>38.97</v>
      </c>
      <c r="Y68" s="9">
        <f t="shared" ref="Y68:Y77" si="7">ROUND(S68 / 1.2, 2)</f>
        <v>0</v>
      </c>
      <c r="AD68" s="4" t="s">
        <v>342</v>
      </c>
      <c r="AE68" s="4" t="s">
        <v>343</v>
      </c>
      <c r="AF68" s="4" t="s">
        <v>344</v>
      </c>
    </row>
    <row r="69" spans="1:35" ht="36" x14ac:dyDescent="0.3">
      <c r="A69" s="10" t="s">
        <v>347</v>
      </c>
      <c r="B69" s="10" t="s">
        <v>348</v>
      </c>
      <c r="C69" s="11" t="s">
        <v>349</v>
      </c>
      <c r="D69" s="12"/>
      <c r="E69" s="12" t="s">
        <v>350</v>
      </c>
      <c r="F69" s="12" t="s">
        <v>61</v>
      </c>
      <c r="G69" s="13">
        <v>1</v>
      </c>
      <c r="H69" s="13"/>
      <c r="I69" s="13">
        <v>0</v>
      </c>
      <c r="J69" s="14">
        <v>585.11</v>
      </c>
      <c r="K69" s="15">
        <v>868</v>
      </c>
      <c r="L69" s="14">
        <f>J69+ROUND(K69, 2)</f>
        <v>1453.1100000000001</v>
      </c>
      <c r="M69" s="14">
        <v>0</v>
      </c>
      <c r="N69" s="14">
        <v>0</v>
      </c>
      <c r="O69" s="14">
        <f>M69+N69</f>
        <v>0</v>
      </c>
      <c r="P69" s="14">
        <v>585.11</v>
      </c>
      <c r="Q69" s="15">
        <v>868</v>
      </c>
      <c r="R69" s="14">
        <f>P69+ROUND(Q69, 2)</f>
        <v>1453.1100000000001</v>
      </c>
      <c r="S69" s="14">
        <v>0</v>
      </c>
      <c r="T69" s="14">
        <v>0</v>
      </c>
      <c r="U69" s="14">
        <f>S69+T69</f>
        <v>0</v>
      </c>
      <c r="V69" s="9">
        <f>ROUND(P69 / 1.2, 2)</f>
        <v>487.59</v>
      </c>
      <c r="W69" s="9">
        <f>ROUND(Q69 / 1.2, 2)</f>
        <v>723.33</v>
      </c>
      <c r="X69" s="9">
        <f>ROUND(R69 / 1.2, 2)</f>
        <v>1210.93</v>
      </c>
      <c r="Y69" s="9">
        <f t="shared" si="7"/>
        <v>0</v>
      </c>
      <c r="Z69" s="9">
        <f>ROUND(T69 / 1.2, 2)</f>
        <v>0</v>
      </c>
      <c r="AA69" s="9">
        <f>Y69+Z69</f>
        <v>0</v>
      </c>
      <c r="AD69" s="4">
        <v>320320089</v>
      </c>
      <c r="AE69" s="4">
        <v>26813834</v>
      </c>
      <c r="AG69" s="4" t="s">
        <v>351</v>
      </c>
      <c r="AH69" s="4" t="s">
        <v>352</v>
      </c>
      <c r="AI69" s="4" t="s">
        <v>338</v>
      </c>
    </row>
    <row r="70" spans="1:35" ht="18" x14ac:dyDescent="0.3">
      <c r="A70" s="10" t="s">
        <v>354</v>
      </c>
      <c r="B70" s="10"/>
      <c r="C70" s="28" t="s">
        <v>355</v>
      </c>
      <c r="D70" s="12"/>
      <c r="E70" s="12"/>
      <c r="F70" s="29" t="s">
        <v>356</v>
      </c>
      <c r="G70" s="30">
        <v>8</v>
      </c>
      <c r="H70" s="49"/>
      <c r="I70" s="49">
        <v>0</v>
      </c>
      <c r="J70" s="31">
        <v>2.5</v>
      </c>
      <c r="M70" s="32">
        <f>ROUND(ROUND(J70, 2)*I70, 2)</f>
        <v>0</v>
      </c>
      <c r="P70" s="31">
        <v>2.5</v>
      </c>
      <c r="S70" s="32">
        <f>ROUND(ROUND(P70, 2)*I70, 2)</f>
        <v>0</v>
      </c>
      <c r="V70" s="9">
        <f>ROUND(ROUND(P70, 2)/1.2, 2)</f>
        <v>2.08</v>
      </c>
      <c r="Y70" s="9">
        <f t="shared" si="7"/>
        <v>0</v>
      </c>
      <c r="AD70" s="4" t="s">
        <v>357</v>
      </c>
      <c r="AE70" s="4" t="s">
        <v>358</v>
      </c>
      <c r="AF70" s="4" t="s">
        <v>359</v>
      </c>
    </row>
    <row r="71" spans="1:35" ht="18" x14ac:dyDescent="0.3">
      <c r="A71" s="10" t="s">
        <v>362</v>
      </c>
      <c r="B71" s="10"/>
      <c r="C71" s="28" t="s">
        <v>363</v>
      </c>
      <c r="D71" s="12"/>
      <c r="E71" s="12"/>
      <c r="F71" s="29" t="s">
        <v>364</v>
      </c>
      <c r="G71" s="30">
        <v>1.8</v>
      </c>
      <c r="H71" s="49"/>
      <c r="I71" s="49">
        <v>0</v>
      </c>
      <c r="J71" s="31">
        <v>6.17</v>
      </c>
      <c r="M71" s="32">
        <f>ROUND(ROUND(J71, 2)*I71, 2)</f>
        <v>0</v>
      </c>
      <c r="P71" s="31">
        <v>6.17</v>
      </c>
      <c r="S71" s="32">
        <f>ROUND(ROUND(P71, 2)*I71, 2)</f>
        <v>0</v>
      </c>
      <c r="V71" s="9">
        <f>ROUND(ROUND(P71, 2)/1.2, 2)</f>
        <v>5.14</v>
      </c>
      <c r="Y71" s="9">
        <f t="shared" si="7"/>
        <v>0</v>
      </c>
      <c r="AD71" s="4" t="s">
        <v>365</v>
      </c>
      <c r="AE71" s="4" t="s">
        <v>366</v>
      </c>
      <c r="AF71" s="4" t="s">
        <v>367</v>
      </c>
    </row>
    <row r="72" spans="1:35" ht="18" x14ac:dyDescent="0.3">
      <c r="A72" s="10" t="s">
        <v>370</v>
      </c>
      <c r="B72" s="10"/>
      <c r="C72" s="28" t="s">
        <v>371</v>
      </c>
      <c r="D72" s="12"/>
      <c r="E72" s="12"/>
      <c r="F72" s="29" t="s">
        <v>61</v>
      </c>
      <c r="G72" s="30">
        <v>1.1000000000000001</v>
      </c>
      <c r="H72" s="49"/>
      <c r="I72" s="49">
        <v>0</v>
      </c>
      <c r="J72" s="31">
        <v>101.94</v>
      </c>
      <c r="M72" s="32">
        <f>ROUND(ROUND(J72, 2)*I72, 2)</f>
        <v>0</v>
      </c>
      <c r="P72" s="31">
        <v>101.94</v>
      </c>
      <c r="S72" s="32">
        <f>ROUND(ROUND(P72, 2)*I72, 2)</f>
        <v>0</v>
      </c>
      <c r="V72" s="9">
        <f>ROUND(ROUND(P72, 2)/1.2, 2)</f>
        <v>84.95</v>
      </c>
      <c r="Y72" s="9">
        <f t="shared" si="7"/>
        <v>0</v>
      </c>
      <c r="AD72" s="4" t="s">
        <v>372</v>
      </c>
      <c r="AE72" s="4" t="s">
        <v>373</v>
      </c>
      <c r="AF72" s="4" t="s">
        <v>374</v>
      </c>
    </row>
    <row r="73" spans="1:35" ht="18" x14ac:dyDescent="0.3">
      <c r="A73" s="10" t="s">
        <v>377</v>
      </c>
      <c r="B73" s="10"/>
      <c r="C73" s="28" t="s">
        <v>378</v>
      </c>
      <c r="D73" s="12"/>
      <c r="E73" s="12"/>
      <c r="F73" s="29" t="s">
        <v>76</v>
      </c>
      <c r="G73" s="30">
        <v>1</v>
      </c>
      <c r="H73" s="49"/>
      <c r="I73" s="49">
        <v>0</v>
      </c>
      <c r="J73" s="31">
        <v>10.4</v>
      </c>
      <c r="M73" s="32">
        <f>ROUND(ROUND(J73, 2)*I73, 2)</f>
        <v>0</v>
      </c>
      <c r="P73" s="31">
        <v>10.4</v>
      </c>
      <c r="S73" s="32">
        <f>ROUND(ROUND(P73, 2)*I73, 2)</f>
        <v>0</v>
      </c>
      <c r="V73" s="9">
        <f>ROUND(ROUND(P73, 2)/1.2, 2)</f>
        <v>8.67</v>
      </c>
      <c r="Y73" s="9">
        <f t="shared" si="7"/>
        <v>0</v>
      </c>
      <c r="AD73" s="4" t="s">
        <v>379</v>
      </c>
      <c r="AE73" s="4" t="s">
        <v>380</v>
      </c>
      <c r="AF73" s="4" t="s">
        <v>381</v>
      </c>
    </row>
    <row r="74" spans="1:35" ht="54" x14ac:dyDescent="0.3">
      <c r="A74" s="10" t="s">
        <v>384</v>
      </c>
      <c r="B74" s="10" t="s">
        <v>385</v>
      </c>
      <c r="C74" s="11" t="s">
        <v>386</v>
      </c>
      <c r="D74" s="12"/>
      <c r="E74" s="12" t="s">
        <v>387</v>
      </c>
      <c r="F74" s="12" t="s">
        <v>61</v>
      </c>
      <c r="G74" s="13">
        <v>1</v>
      </c>
      <c r="H74" s="13"/>
      <c r="I74" s="13">
        <v>0</v>
      </c>
      <c r="J74" s="14">
        <v>177.17</v>
      </c>
      <c r="K74" s="15">
        <v>557</v>
      </c>
      <c r="L74" s="14">
        <f>J74+ROUND(K74, 2)</f>
        <v>734.17</v>
      </c>
      <c r="M74" s="14">
        <v>0</v>
      </c>
      <c r="N74" s="14">
        <v>0</v>
      </c>
      <c r="O74" s="14">
        <f>M74+N74</f>
        <v>0</v>
      </c>
      <c r="P74" s="14">
        <v>177.17</v>
      </c>
      <c r="Q74" s="15">
        <v>557</v>
      </c>
      <c r="R74" s="14">
        <f>P74+ROUND(Q74, 2)</f>
        <v>734.17</v>
      </c>
      <c r="S74" s="14">
        <v>0</v>
      </c>
      <c r="T74" s="14">
        <v>0</v>
      </c>
      <c r="U74" s="14">
        <f>S74+T74</f>
        <v>0</v>
      </c>
      <c r="V74" s="9">
        <f>ROUND(P74 / 1.2, 2)</f>
        <v>147.63999999999999</v>
      </c>
      <c r="W74" s="9">
        <f>ROUND(Q74 / 1.2, 2)</f>
        <v>464.17</v>
      </c>
      <c r="X74" s="9">
        <f>ROUND(R74 / 1.2, 2)</f>
        <v>611.80999999999995</v>
      </c>
      <c r="Y74" s="9">
        <f t="shared" si="7"/>
        <v>0</v>
      </c>
      <c r="Z74" s="9">
        <f>ROUND(T74 / 1.2, 2)</f>
        <v>0</v>
      </c>
      <c r="AA74" s="9">
        <f>Y74+Z74</f>
        <v>0</v>
      </c>
      <c r="AD74" s="4">
        <v>320320091</v>
      </c>
      <c r="AE74" s="4">
        <v>26813842</v>
      </c>
      <c r="AG74" s="4" t="s">
        <v>388</v>
      </c>
      <c r="AH74" s="4" t="s">
        <v>389</v>
      </c>
      <c r="AI74" s="4" t="s">
        <v>338</v>
      </c>
    </row>
    <row r="75" spans="1:35" ht="18" x14ac:dyDescent="0.3">
      <c r="A75" s="10" t="s">
        <v>391</v>
      </c>
      <c r="B75" s="10"/>
      <c r="C75" s="28" t="s">
        <v>378</v>
      </c>
      <c r="D75" s="12"/>
      <c r="E75" s="12"/>
      <c r="F75" s="29" t="s">
        <v>76</v>
      </c>
      <c r="G75" s="30">
        <v>1</v>
      </c>
      <c r="H75" s="49"/>
      <c r="I75" s="49">
        <v>0</v>
      </c>
      <c r="J75" s="31">
        <v>10.4</v>
      </c>
      <c r="M75" s="32">
        <f>ROUND(ROUND(J75, 2)*I75, 2)</f>
        <v>0</v>
      </c>
      <c r="P75" s="31">
        <v>10.4</v>
      </c>
      <c r="S75" s="32">
        <f>ROUND(ROUND(P75, 2)*I75, 2)</f>
        <v>0</v>
      </c>
      <c r="V75" s="9">
        <f>ROUND(ROUND(P75, 2)/1.2, 2)</f>
        <v>8.67</v>
      </c>
      <c r="Y75" s="9">
        <f t="shared" si="7"/>
        <v>0</v>
      </c>
      <c r="AD75" s="4" t="s">
        <v>392</v>
      </c>
      <c r="AE75" s="4" t="s">
        <v>393</v>
      </c>
      <c r="AF75" s="4" t="s">
        <v>381</v>
      </c>
    </row>
    <row r="76" spans="1:35" ht="36" x14ac:dyDescent="0.3">
      <c r="A76" s="10" t="s">
        <v>396</v>
      </c>
      <c r="B76" s="10"/>
      <c r="C76" s="28" t="s">
        <v>397</v>
      </c>
      <c r="D76" s="12"/>
      <c r="E76" s="12"/>
      <c r="F76" s="29" t="s">
        <v>364</v>
      </c>
      <c r="G76" s="30">
        <v>0.255</v>
      </c>
      <c r="H76" s="30"/>
      <c r="I76" s="30">
        <v>0</v>
      </c>
      <c r="J76" s="31">
        <v>88.8</v>
      </c>
      <c r="M76" s="32">
        <f>ROUND(ROUND(J76, 2)*I76, 2)</f>
        <v>0</v>
      </c>
      <c r="P76" s="31">
        <v>88.8</v>
      </c>
      <c r="S76" s="32">
        <f>ROUND(ROUND(P76, 2)*I76, 2)</f>
        <v>0</v>
      </c>
      <c r="V76" s="9">
        <f>ROUND(ROUND(P76, 2)/1.2, 2)</f>
        <v>74</v>
      </c>
      <c r="Y76" s="9">
        <f t="shared" si="7"/>
        <v>0</v>
      </c>
      <c r="AD76" s="4" t="s">
        <v>398</v>
      </c>
      <c r="AE76" s="4" t="s">
        <v>399</v>
      </c>
      <c r="AF76" s="4" t="s">
        <v>400</v>
      </c>
    </row>
    <row r="77" spans="1:35" ht="36" x14ac:dyDescent="0.3">
      <c r="A77" s="10" t="s">
        <v>403</v>
      </c>
      <c r="B77" s="10"/>
      <c r="C77" s="47" t="s">
        <v>404</v>
      </c>
      <c r="D77" s="12"/>
      <c r="E77" s="12"/>
      <c r="F77" s="29" t="s">
        <v>364</v>
      </c>
      <c r="G77" s="30">
        <v>1.6</v>
      </c>
      <c r="H77" s="49"/>
      <c r="I77" s="49">
        <v>0</v>
      </c>
      <c r="J77" s="31">
        <v>9.5500000000000007</v>
      </c>
      <c r="M77" s="32">
        <f>ROUND(ROUND(J77, 2)*I77, 2)</f>
        <v>0</v>
      </c>
      <c r="P77" s="31">
        <v>9.5500000000000007</v>
      </c>
      <c r="S77" s="32">
        <f>ROUND(ROUND(P77, 2)*I77, 2)</f>
        <v>0</v>
      </c>
      <c r="V77" s="9">
        <f>ROUND(ROUND(P77, 2)/1.2, 2)</f>
        <v>7.96</v>
      </c>
      <c r="Y77" s="9">
        <f t="shared" si="7"/>
        <v>0</v>
      </c>
      <c r="AD77" s="4" t="s">
        <v>405</v>
      </c>
      <c r="AE77" s="4" t="s">
        <v>406</v>
      </c>
      <c r="AF77" s="4" t="s">
        <v>407</v>
      </c>
    </row>
    <row r="78" spans="1:35" ht="16.95" customHeight="1" x14ac:dyDescent="0.3">
      <c r="A78" s="10" t="s">
        <v>410</v>
      </c>
      <c r="B78" s="10" t="s">
        <v>411</v>
      </c>
      <c r="C78" s="237" t="s">
        <v>412</v>
      </c>
      <c r="D78" s="238"/>
      <c r="E78" s="238"/>
      <c r="F78" s="238"/>
      <c r="G78" s="238"/>
      <c r="H78" s="238"/>
      <c r="I78" s="239"/>
      <c r="M78" s="6">
        <f>SUM(M79,M81,M83,M85,M87,M89,M91,M93,M95,M97,M99)</f>
        <v>0</v>
      </c>
      <c r="N78" s="6">
        <f>SUM(N79,N81,N83,N85,N87,N89,N91,N93,N95,N97,N99)</f>
        <v>0</v>
      </c>
      <c r="O78" s="6">
        <f>SUM(O79,O81,O83,O85,O87,O89,O91,O93,O95,O97,O99)</f>
        <v>0</v>
      </c>
      <c r="S78" s="6">
        <f>SUM(S79,S81,S83,S85,S87,S89,S91,S93,S95,S97,S99)</f>
        <v>0</v>
      </c>
      <c r="T78" s="6">
        <f>SUM(T79,T81,T83,T85,T87,T89,T91,T93,T95,T97,T99)</f>
        <v>0</v>
      </c>
      <c r="U78" s="6">
        <f>SUM(U79,U81,U83,U85,U87,U89,U91,U93,U95,U97,U99)</f>
        <v>0</v>
      </c>
      <c r="Y78" s="9">
        <f>SUM(Y79,Y81,Y83,Y85,Y87,Y89,Y91,Y93,Y95,Y97,Y99)</f>
        <v>0</v>
      </c>
      <c r="Z78" s="9">
        <f>SUM(Z79,Z81,Z83,Z85,Z87,Z89,Z91,Z93,Z95,Z97,Z99)</f>
        <v>0</v>
      </c>
      <c r="AA78" s="9">
        <f>SUM(AA79,AA81,AA83,AA85,AA87,AA89,AA91,AA93,AA95,AA97,AA99)</f>
        <v>0</v>
      </c>
      <c r="AD78" s="4">
        <v>320320092</v>
      </c>
      <c r="AE78" s="4">
        <v>26813790</v>
      </c>
    </row>
    <row r="79" spans="1:35" ht="54" x14ac:dyDescent="0.3">
      <c r="A79" s="10" t="s">
        <v>413</v>
      </c>
      <c r="B79" s="10" t="s">
        <v>414</v>
      </c>
      <c r="C79" s="11" t="s">
        <v>415</v>
      </c>
      <c r="D79" s="12"/>
      <c r="E79" s="12" t="s">
        <v>416</v>
      </c>
      <c r="F79" s="12" t="s">
        <v>61</v>
      </c>
      <c r="G79" s="13">
        <v>1</v>
      </c>
      <c r="H79" s="13"/>
      <c r="I79" s="13">
        <v>0</v>
      </c>
      <c r="J79" s="14">
        <v>997.82</v>
      </c>
      <c r="K79" s="15">
        <v>162</v>
      </c>
      <c r="L79" s="14">
        <f>J79+ROUND(K79, 2)</f>
        <v>1159.8200000000002</v>
      </c>
      <c r="M79" s="14">
        <v>0</v>
      </c>
      <c r="N79" s="14">
        <v>0</v>
      </c>
      <c r="O79" s="14">
        <f>M79+N79</f>
        <v>0</v>
      </c>
      <c r="P79" s="14">
        <v>997.82</v>
      </c>
      <c r="Q79" s="15">
        <v>162</v>
      </c>
      <c r="R79" s="14">
        <f>P79+ROUND(Q79, 2)</f>
        <v>1159.8200000000002</v>
      </c>
      <c r="S79" s="14">
        <v>0</v>
      </c>
      <c r="T79" s="14">
        <v>0</v>
      </c>
      <c r="U79" s="14">
        <f>S79+T79</f>
        <v>0</v>
      </c>
      <c r="V79" s="9">
        <f>ROUND(P79 / 1.2, 2)</f>
        <v>831.52</v>
      </c>
      <c r="W79" s="9">
        <f>ROUND(Q79 / 1.2, 2)</f>
        <v>135</v>
      </c>
      <c r="X79" s="9">
        <f>ROUND(R79 / 1.2, 2)</f>
        <v>966.52</v>
      </c>
      <c r="Y79" s="9">
        <f>ROUND(S79 / 1.2, 2)</f>
        <v>0</v>
      </c>
      <c r="Z79" s="9">
        <f>ROUND(T79 / 1.2, 2)</f>
        <v>0</v>
      </c>
      <c r="AA79" s="9">
        <f>Y79+Z79</f>
        <v>0</v>
      </c>
      <c r="AD79" s="4">
        <v>320320094</v>
      </c>
      <c r="AE79" s="4">
        <v>26813854</v>
      </c>
      <c r="AG79" s="4" t="s">
        <v>417</v>
      </c>
      <c r="AH79" s="4" t="s">
        <v>418</v>
      </c>
      <c r="AI79" s="4" t="s">
        <v>338</v>
      </c>
    </row>
    <row r="80" spans="1:35" ht="36" x14ac:dyDescent="0.3">
      <c r="A80" s="10" t="s">
        <v>420</v>
      </c>
      <c r="B80" s="10"/>
      <c r="C80" s="28" t="s">
        <v>421</v>
      </c>
      <c r="D80" s="12"/>
      <c r="E80" s="12"/>
      <c r="F80" s="29" t="s">
        <v>364</v>
      </c>
      <c r="G80" s="30">
        <v>1</v>
      </c>
      <c r="H80" s="30"/>
      <c r="I80" s="30">
        <v>0</v>
      </c>
      <c r="J80" s="31">
        <v>997.82</v>
      </c>
      <c r="M80" s="32">
        <f>ROUND(ROUND(J80, 2)*I80, 2)</f>
        <v>0</v>
      </c>
      <c r="P80" s="31">
        <v>997.82</v>
      </c>
      <c r="S80" s="32">
        <f>ROUND(ROUND(P80, 2)*I80, 2)</f>
        <v>0</v>
      </c>
      <c r="V80" s="9">
        <f>ROUND(ROUND(P80, 2)/1.2, 2)</f>
        <v>831.52</v>
      </c>
      <c r="Y80" s="9">
        <f t="shared" ref="Y80:Y100" si="8">ROUND(S80 / 1.2, 2)</f>
        <v>0</v>
      </c>
      <c r="AD80" s="4" t="s">
        <v>422</v>
      </c>
      <c r="AE80" s="4" t="s">
        <v>423</v>
      </c>
      <c r="AF80" s="4" t="s">
        <v>424</v>
      </c>
    </row>
    <row r="81" spans="1:35" ht="54" x14ac:dyDescent="0.3">
      <c r="A81" s="10" t="s">
        <v>427</v>
      </c>
      <c r="B81" s="10" t="s">
        <v>428</v>
      </c>
      <c r="C81" s="11" t="s">
        <v>429</v>
      </c>
      <c r="D81" s="12"/>
      <c r="E81" s="12" t="s">
        <v>430</v>
      </c>
      <c r="F81" s="12" t="s">
        <v>61</v>
      </c>
      <c r="G81" s="13">
        <v>1</v>
      </c>
      <c r="H81" s="13"/>
      <c r="I81" s="13">
        <v>0</v>
      </c>
      <c r="J81" s="14">
        <v>420.76</v>
      </c>
      <c r="K81" s="15">
        <v>324</v>
      </c>
      <c r="L81" s="14">
        <f>J81+ROUND(K81, 2)</f>
        <v>744.76</v>
      </c>
      <c r="M81" s="14">
        <v>0</v>
      </c>
      <c r="N81" s="14">
        <v>0</v>
      </c>
      <c r="O81" s="14">
        <f>M81+N81</f>
        <v>0</v>
      </c>
      <c r="P81" s="14">
        <v>420.76</v>
      </c>
      <c r="Q81" s="15">
        <v>324</v>
      </c>
      <c r="R81" s="14">
        <f>P81+ROUND(Q81, 2)</f>
        <v>744.76</v>
      </c>
      <c r="S81" s="14">
        <v>0</v>
      </c>
      <c r="T81" s="14">
        <v>0</v>
      </c>
      <c r="U81" s="14">
        <f>S81+T81</f>
        <v>0</v>
      </c>
      <c r="V81" s="9">
        <f>ROUND(P81 / 1.2, 2)</f>
        <v>350.63</v>
      </c>
      <c r="W81" s="9">
        <f>ROUND(Q81 / 1.2, 2)</f>
        <v>270</v>
      </c>
      <c r="X81" s="9">
        <f>ROUND(R81 / 1.2, 2)</f>
        <v>620.63</v>
      </c>
      <c r="Y81" s="9">
        <f t="shared" si="8"/>
        <v>0</v>
      </c>
      <c r="Z81" s="9">
        <f>ROUND(T81 / 1.2, 2)</f>
        <v>0</v>
      </c>
      <c r="AA81" s="9">
        <f>Y81+Z81</f>
        <v>0</v>
      </c>
      <c r="AD81" s="4">
        <v>320320095</v>
      </c>
      <c r="AE81" s="4">
        <v>26813846</v>
      </c>
      <c r="AG81" s="4" t="s">
        <v>431</v>
      </c>
      <c r="AH81" s="4" t="s">
        <v>432</v>
      </c>
      <c r="AI81" s="4" t="s">
        <v>338</v>
      </c>
    </row>
    <row r="82" spans="1:35" ht="18" x14ac:dyDescent="0.3">
      <c r="A82" s="10" t="s">
        <v>434</v>
      </c>
      <c r="B82" s="10"/>
      <c r="C82" s="28" t="s">
        <v>435</v>
      </c>
      <c r="D82" s="12"/>
      <c r="E82" s="12"/>
      <c r="F82" s="29" t="s">
        <v>364</v>
      </c>
      <c r="G82" s="30">
        <v>4.3</v>
      </c>
      <c r="H82" s="30"/>
      <c r="I82" s="30">
        <v>0</v>
      </c>
      <c r="J82" s="31">
        <v>97.85</v>
      </c>
      <c r="M82" s="32">
        <f>ROUND(ROUND(J82, 2)*I82, 2)</f>
        <v>0</v>
      </c>
      <c r="P82" s="31">
        <v>97.85</v>
      </c>
      <c r="S82" s="32">
        <f>ROUND(ROUND(P82, 2)*I82, 2)</f>
        <v>0</v>
      </c>
      <c r="V82" s="9">
        <f>ROUND(ROUND(P82, 2)/1.2, 2)</f>
        <v>81.540000000000006</v>
      </c>
      <c r="Y82" s="9">
        <f t="shared" si="8"/>
        <v>0</v>
      </c>
      <c r="AD82" s="4" t="s">
        <v>436</v>
      </c>
      <c r="AE82" s="4" t="s">
        <v>437</v>
      </c>
      <c r="AF82" s="4" t="s">
        <v>438</v>
      </c>
    </row>
    <row r="83" spans="1:35" ht="54" x14ac:dyDescent="0.3">
      <c r="A83" s="10" t="s">
        <v>441</v>
      </c>
      <c r="B83" s="10" t="s">
        <v>442</v>
      </c>
      <c r="C83" s="11" t="s">
        <v>443</v>
      </c>
      <c r="D83" s="12"/>
      <c r="E83" s="12" t="s">
        <v>444</v>
      </c>
      <c r="F83" s="12" t="s">
        <v>61</v>
      </c>
      <c r="G83" s="13">
        <v>1</v>
      </c>
      <c r="H83" s="13"/>
      <c r="I83" s="13">
        <v>0</v>
      </c>
      <c r="J83" s="14">
        <v>291.5</v>
      </c>
      <c r="K83" s="15">
        <v>580</v>
      </c>
      <c r="L83" s="14">
        <f>J83+ROUND(K83, 2)</f>
        <v>871.5</v>
      </c>
      <c r="M83" s="14">
        <v>0</v>
      </c>
      <c r="N83" s="14">
        <v>0</v>
      </c>
      <c r="O83" s="14">
        <f>M83+N83</f>
        <v>0</v>
      </c>
      <c r="P83" s="14">
        <v>291.5</v>
      </c>
      <c r="Q83" s="15">
        <v>580</v>
      </c>
      <c r="R83" s="14">
        <f>P83+ROUND(Q83, 2)</f>
        <v>871.5</v>
      </c>
      <c r="S83" s="14">
        <v>0</v>
      </c>
      <c r="T83" s="14">
        <v>0</v>
      </c>
      <c r="U83" s="14">
        <f>S83+T83</f>
        <v>0</v>
      </c>
      <c r="V83" s="9">
        <f>ROUND(P83 / 1.2, 2)</f>
        <v>242.92</v>
      </c>
      <c r="W83" s="9">
        <f>ROUND(Q83 / 1.2, 2)</f>
        <v>483.33</v>
      </c>
      <c r="X83" s="9">
        <f>ROUND(R83 / 1.2, 2)</f>
        <v>726.25</v>
      </c>
      <c r="Y83" s="9">
        <f t="shared" si="8"/>
        <v>0</v>
      </c>
      <c r="Z83" s="9">
        <f>ROUND(T83 / 1.2, 2)</f>
        <v>0</v>
      </c>
      <c r="AA83" s="9">
        <f>Y83+Z83</f>
        <v>0</v>
      </c>
      <c r="AD83" s="4">
        <v>320320097</v>
      </c>
      <c r="AE83" s="4">
        <v>26813848</v>
      </c>
      <c r="AG83" s="4" t="s">
        <v>445</v>
      </c>
      <c r="AH83" s="4" t="s">
        <v>446</v>
      </c>
      <c r="AI83" s="4" t="s">
        <v>338</v>
      </c>
    </row>
    <row r="84" spans="1:35" ht="18" x14ac:dyDescent="0.3">
      <c r="A84" s="10" t="s">
        <v>448</v>
      </c>
      <c r="B84" s="10"/>
      <c r="C84" s="47" t="s">
        <v>449</v>
      </c>
      <c r="D84" s="12"/>
      <c r="E84" s="12"/>
      <c r="F84" s="29" t="s">
        <v>61</v>
      </c>
      <c r="G84" s="30">
        <v>1.1000000000000001</v>
      </c>
      <c r="H84" s="49"/>
      <c r="I84" s="49">
        <v>0</v>
      </c>
      <c r="J84" s="31">
        <v>265</v>
      </c>
      <c r="M84" s="32">
        <f>ROUND(ROUND(J84, 2)*I84, 2)</f>
        <v>0</v>
      </c>
      <c r="P84" s="31">
        <v>265</v>
      </c>
      <c r="S84" s="32">
        <f>ROUND(ROUND(P84, 2)*I84, 2)</f>
        <v>0</v>
      </c>
      <c r="V84" s="9">
        <f>ROUND(ROUND(P84, 2)/1.2, 2)</f>
        <v>220.83</v>
      </c>
      <c r="Y84" s="9">
        <f t="shared" si="8"/>
        <v>0</v>
      </c>
      <c r="AD84" s="4" t="s">
        <v>450</v>
      </c>
      <c r="AE84" s="4" t="s">
        <v>451</v>
      </c>
      <c r="AF84" s="4" t="s">
        <v>452</v>
      </c>
    </row>
    <row r="85" spans="1:35" ht="36" x14ac:dyDescent="0.3">
      <c r="A85" s="10" t="s">
        <v>455</v>
      </c>
      <c r="B85" s="10" t="s">
        <v>456</v>
      </c>
      <c r="C85" s="11" t="s">
        <v>457</v>
      </c>
      <c r="D85" s="12"/>
      <c r="E85" s="12" t="s">
        <v>458</v>
      </c>
      <c r="F85" s="12" t="s">
        <v>61</v>
      </c>
      <c r="G85" s="13">
        <v>1</v>
      </c>
      <c r="H85" s="13"/>
      <c r="I85" s="13">
        <v>0</v>
      </c>
      <c r="J85" s="14">
        <v>681.45</v>
      </c>
      <c r="K85" s="15">
        <v>868</v>
      </c>
      <c r="L85" s="14">
        <f>J85+ROUND(K85, 2)</f>
        <v>1549.45</v>
      </c>
      <c r="M85" s="14">
        <v>0</v>
      </c>
      <c r="N85" s="14">
        <v>0</v>
      </c>
      <c r="O85" s="14">
        <f>M85+N85</f>
        <v>0</v>
      </c>
      <c r="P85" s="14">
        <v>681.45</v>
      </c>
      <c r="Q85" s="15">
        <v>868</v>
      </c>
      <c r="R85" s="14">
        <f>P85+ROUND(Q85, 2)</f>
        <v>1549.45</v>
      </c>
      <c r="S85" s="14">
        <v>0</v>
      </c>
      <c r="T85" s="14">
        <v>0</v>
      </c>
      <c r="U85" s="14">
        <f>S85+T85</f>
        <v>0</v>
      </c>
      <c r="V85" s="9">
        <f>ROUND(P85 / 1.2, 2)</f>
        <v>567.88</v>
      </c>
      <c r="W85" s="9">
        <f>ROUND(Q85 / 1.2, 2)</f>
        <v>723.33</v>
      </c>
      <c r="X85" s="9">
        <f>ROUND(R85 / 1.2, 2)</f>
        <v>1291.21</v>
      </c>
      <c r="Y85" s="9">
        <f t="shared" si="8"/>
        <v>0</v>
      </c>
      <c r="Z85" s="9">
        <f>ROUND(T85 / 1.2, 2)</f>
        <v>0</v>
      </c>
      <c r="AA85" s="9">
        <f>Y85+Z85</f>
        <v>0</v>
      </c>
      <c r="AD85" s="4">
        <v>320320098</v>
      </c>
      <c r="AE85" s="4">
        <v>26813849</v>
      </c>
      <c r="AG85" s="4" t="s">
        <v>459</v>
      </c>
      <c r="AH85" s="4" t="s">
        <v>460</v>
      </c>
      <c r="AI85" s="4" t="s">
        <v>338</v>
      </c>
    </row>
    <row r="86" spans="1:35" ht="18" x14ac:dyDescent="0.3">
      <c r="A86" s="10" t="s">
        <v>462</v>
      </c>
      <c r="B86" s="10"/>
      <c r="C86" s="47" t="s">
        <v>463</v>
      </c>
      <c r="D86" s="12"/>
      <c r="E86" s="12" t="s">
        <v>464</v>
      </c>
      <c r="F86" s="29" t="s">
        <v>61</v>
      </c>
      <c r="G86" s="30">
        <v>2.1</v>
      </c>
      <c r="H86" s="49"/>
      <c r="I86" s="49">
        <v>0</v>
      </c>
      <c r="J86" s="31">
        <v>324.5</v>
      </c>
      <c r="M86" s="32">
        <f>ROUND(ROUND(J86, 2)*I86, 2)</f>
        <v>0</v>
      </c>
      <c r="P86" s="31">
        <v>324.5</v>
      </c>
      <c r="S86" s="32">
        <f>ROUND(ROUND(P86, 2)*I86, 2)</f>
        <v>0</v>
      </c>
      <c r="V86" s="9">
        <f>ROUND(ROUND(P86, 2)/1.2, 2)</f>
        <v>270.42</v>
      </c>
      <c r="Y86" s="9">
        <f t="shared" si="8"/>
        <v>0</v>
      </c>
      <c r="AD86" s="4" t="s">
        <v>465</v>
      </c>
      <c r="AE86" s="4" t="s">
        <v>466</v>
      </c>
      <c r="AF86" s="4" t="s">
        <v>467</v>
      </c>
    </row>
    <row r="87" spans="1:35" ht="36" x14ac:dyDescent="0.3">
      <c r="A87" s="10" t="s">
        <v>470</v>
      </c>
      <c r="B87" s="10" t="s">
        <v>471</v>
      </c>
      <c r="C87" s="11" t="s">
        <v>472</v>
      </c>
      <c r="D87" s="12"/>
      <c r="E87" s="12" t="s">
        <v>473</v>
      </c>
      <c r="F87" s="12" t="s">
        <v>91</v>
      </c>
      <c r="G87" s="13">
        <v>1</v>
      </c>
      <c r="H87" s="13"/>
      <c r="I87" s="13">
        <v>0</v>
      </c>
      <c r="J87" s="14">
        <v>2600.9299999999998</v>
      </c>
      <c r="K87" s="15">
        <v>2157</v>
      </c>
      <c r="L87" s="14">
        <f>J87+ROUND(K87, 2)</f>
        <v>4757.93</v>
      </c>
      <c r="M87" s="14">
        <v>0</v>
      </c>
      <c r="N87" s="14">
        <v>0</v>
      </c>
      <c r="O87" s="14">
        <f>M87+N87</f>
        <v>0</v>
      </c>
      <c r="P87" s="14">
        <v>2600.9299999999998</v>
      </c>
      <c r="Q87" s="15">
        <v>2157</v>
      </c>
      <c r="R87" s="14">
        <f>P87+ROUND(Q87, 2)</f>
        <v>4757.93</v>
      </c>
      <c r="S87" s="14">
        <v>0</v>
      </c>
      <c r="T87" s="14">
        <v>0</v>
      </c>
      <c r="U87" s="14">
        <f>S87+T87</f>
        <v>0</v>
      </c>
      <c r="V87" s="9">
        <f>ROUND(P87 / 1.2, 2)</f>
        <v>2167.44</v>
      </c>
      <c r="W87" s="9">
        <f>ROUND(Q87 / 1.2, 2)</f>
        <v>1797.5</v>
      </c>
      <c r="X87" s="9">
        <f>ROUND(R87 / 1.2, 2)</f>
        <v>3964.94</v>
      </c>
      <c r="Y87" s="9">
        <f t="shared" si="8"/>
        <v>0</v>
      </c>
      <c r="Z87" s="9">
        <f>ROUND(T87 / 1.2, 2)</f>
        <v>0</v>
      </c>
      <c r="AA87" s="9">
        <f>Y87+Z87</f>
        <v>0</v>
      </c>
      <c r="AD87" s="4">
        <v>320320100</v>
      </c>
      <c r="AE87" s="4">
        <v>26813847</v>
      </c>
      <c r="AG87" s="4" t="s">
        <v>474</v>
      </c>
      <c r="AH87" s="4" t="s">
        <v>475</v>
      </c>
      <c r="AI87" s="4" t="s">
        <v>338</v>
      </c>
    </row>
    <row r="88" spans="1:35" ht="18" x14ac:dyDescent="0.3">
      <c r="A88" s="10" t="s">
        <v>477</v>
      </c>
      <c r="B88" s="10"/>
      <c r="C88" s="28" t="s">
        <v>478</v>
      </c>
      <c r="D88" s="12"/>
      <c r="E88" s="12"/>
      <c r="F88" s="29" t="s">
        <v>91</v>
      </c>
      <c r="G88" s="30">
        <v>1.02</v>
      </c>
      <c r="H88" s="30"/>
      <c r="I88" s="30">
        <v>0</v>
      </c>
      <c r="J88" s="31">
        <v>2550</v>
      </c>
      <c r="M88" s="32">
        <f>ROUND(ROUND(J88, 2)*I88, 2)</f>
        <v>0</v>
      </c>
      <c r="P88" s="31">
        <v>2550</v>
      </c>
      <c r="S88" s="32">
        <f>ROUND(ROUND(P88, 2)*I88, 2)</f>
        <v>0</v>
      </c>
      <c r="V88" s="9">
        <f>ROUND(ROUND(P88, 2)/1.2, 2)</f>
        <v>2125</v>
      </c>
      <c r="Y88" s="9">
        <f t="shared" si="8"/>
        <v>0</v>
      </c>
      <c r="AD88" s="4" t="s">
        <v>479</v>
      </c>
      <c r="AE88" s="4" t="s">
        <v>480</v>
      </c>
      <c r="AF88" s="4" t="s">
        <v>481</v>
      </c>
    </row>
    <row r="89" spans="1:35" ht="36" x14ac:dyDescent="0.3">
      <c r="A89" s="10" t="s">
        <v>484</v>
      </c>
      <c r="B89" s="10" t="s">
        <v>471</v>
      </c>
      <c r="C89" s="11" t="s">
        <v>472</v>
      </c>
      <c r="D89" s="12"/>
      <c r="E89" s="12" t="s">
        <v>485</v>
      </c>
      <c r="F89" s="12" t="s">
        <v>91</v>
      </c>
      <c r="G89" s="13">
        <v>1</v>
      </c>
      <c r="H89" s="13"/>
      <c r="I89" s="13">
        <v>0</v>
      </c>
      <c r="J89" s="14">
        <v>2601</v>
      </c>
      <c r="K89" s="15">
        <v>2157</v>
      </c>
      <c r="L89" s="14">
        <f>J89+ROUND(K89, 2)</f>
        <v>4758</v>
      </c>
      <c r="M89" s="14">
        <v>0</v>
      </c>
      <c r="N89" s="14">
        <v>0</v>
      </c>
      <c r="O89" s="14">
        <f>M89+N89</f>
        <v>0</v>
      </c>
      <c r="P89" s="14">
        <v>2601</v>
      </c>
      <c r="Q89" s="15">
        <v>2157</v>
      </c>
      <c r="R89" s="14">
        <f>P89+ROUND(Q89, 2)</f>
        <v>4758</v>
      </c>
      <c r="S89" s="14">
        <v>0</v>
      </c>
      <c r="T89" s="14">
        <v>0</v>
      </c>
      <c r="U89" s="14">
        <f>S89+T89</f>
        <v>0</v>
      </c>
      <c r="V89" s="9">
        <f>ROUND(P89 / 1.2, 2)</f>
        <v>2167.5</v>
      </c>
      <c r="W89" s="9">
        <f>ROUND(Q89 / 1.2, 2)</f>
        <v>1797.5</v>
      </c>
      <c r="X89" s="9">
        <f>ROUND(R89 / 1.2, 2)</f>
        <v>3965</v>
      </c>
      <c r="Y89" s="9">
        <f t="shared" si="8"/>
        <v>0</v>
      </c>
      <c r="Z89" s="9">
        <f>ROUND(T89 / 1.2, 2)</f>
        <v>0</v>
      </c>
      <c r="AA89" s="9">
        <f>Y89+Z89</f>
        <v>0</v>
      </c>
      <c r="AD89" s="4">
        <v>320320151</v>
      </c>
      <c r="AE89" s="4">
        <v>26813833</v>
      </c>
      <c r="AG89" s="4" t="s">
        <v>474</v>
      </c>
      <c r="AH89" s="4" t="s">
        <v>475</v>
      </c>
      <c r="AI89" s="4" t="s">
        <v>338</v>
      </c>
    </row>
    <row r="90" spans="1:35" ht="18" x14ac:dyDescent="0.3">
      <c r="A90" s="10" t="s">
        <v>487</v>
      </c>
      <c r="B90" s="10"/>
      <c r="C90" s="28" t="s">
        <v>478</v>
      </c>
      <c r="D90" s="12"/>
      <c r="E90" s="12"/>
      <c r="F90" s="29" t="s">
        <v>91</v>
      </c>
      <c r="G90" s="30">
        <v>1.02</v>
      </c>
      <c r="H90" s="30"/>
      <c r="I90" s="30">
        <v>0</v>
      </c>
      <c r="J90" s="31">
        <v>2550</v>
      </c>
      <c r="M90" s="32">
        <f>ROUND(ROUND(J90, 2)*I90, 2)</f>
        <v>0</v>
      </c>
      <c r="P90" s="31">
        <v>2550</v>
      </c>
      <c r="S90" s="32">
        <f>ROUND(ROUND(P90, 2)*I90, 2)</f>
        <v>0</v>
      </c>
      <c r="V90" s="9">
        <f>ROUND(ROUND(P90, 2)/1.2, 2)</f>
        <v>2125</v>
      </c>
      <c r="Y90" s="9">
        <f t="shared" si="8"/>
        <v>0</v>
      </c>
      <c r="AD90" s="4" t="s">
        <v>488</v>
      </c>
      <c r="AE90" s="4" t="s">
        <v>489</v>
      </c>
      <c r="AF90" s="4" t="s">
        <v>481</v>
      </c>
    </row>
    <row r="91" spans="1:35" ht="36" x14ac:dyDescent="0.3">
      <c r="A91" s="10" t="s">
        <v>492</v>
      </c>
      <c r="B91" s="10" t="s">
        <v>471</v>
      </c>
      <c r="C91" s="11" t="s">
        <v>472</v>
      </c>
      <c r="D91" s="12"/>
      <c r="E91" s="12" t="s">
        <v>493</v>
      </c>
      <c r="F91" s="12" t="s">
        <v>91</v>
      </c>
      <c r="G91" s="13">
        <v>1</v>
      </c>
      <c r="H91" s="13"/>
      <c r="I91" s="13">
        <v>0</v>
      </c>
      <c r="J91" s="14">
        <v>2601.0100000000002</v>
      </c>
      <c r="K91" s="15">
        <v>2157</v>
      </c>
      <c r="L91" s="14">
        <f>J91+ROUND(K91, 2)</f>
        <v>4758.01</v>
      </c>
      <c r="M91" s="14">
        <v>0</v>
      </c>
      <c r="N91" s="14">
        <v>0</v>
      </c>
      <c r="O91" s="14">
        <f>M91+N91</f>
        <v>0</v>
      </c>
      <c r="P91" s="14">
        <v>2601.0100000000002</v>
      </c>
      <c r="Q91" s="15">
        <v>2157</v>
      </c>
      <c r="R91" s="14">
        <f>P91+ROUND(Q91, 2)</f>
        <v>4758.01</v>
      </c>
      <c r="S91" s="14">
        <v>0</v>
      </c>
      <c r="T91" s="14">
        <v>0</v>
      </c>
      <c r="U91" s="14">
        <f>S91+T91</f>
        <v>0</v>
      </c>
      <c r="V91" s="9">
        <f>ROUND(P91 / 1.2, 2)</f>
        <v>2167.5100000000002</v>
      </c>
      <c r="W91" s="9">
        <f>ROUND(Q91 / 1.2, 2)</f>
        <v>1797.5</v>
      </c>
      <c r="X91" s="9">
        <f>ROUND(R91 / 1.2, 2)</f>
        <v>3965.01</v>
      </c>
      <c r="Y91" s="9">
        <f t="shared" si="8"/>
        <v>0</v>
      </c>
      <c r="Z91" s="9">
        <f>ROUND(T91 / 1.2, 2)</f>
        <v>0</v>
      </c>
      <c r="AA91" s="9">
        <f>Y91+Z91</f>
        <v>0</v>
      </c>
      <c r="AD91" s="4">
        <v>320320152</v>
      </c>
      <c r="AE91" s="4">
        <v>26813841</v>
      </c>
      <c r="AG91" s="4" t="s">
        <v>474</v>
      </c>
      <c r="AH91" s="4" t="s">
        <v>475</v>
      </c>
      <c r="AI91" s="4" t="s">
        <v>338</v>
      </c>
    </row>
    <row r="92" spans="1:35" ht="18" x14ac:dyDescent="0.3">
      <c r="A92" s="10" t="s">
        <v>495</v>
      </c>
      <c r="B92" s="10"/>
      <c r="C92" s="28" t="s">
        <v>478</v>
      </c>
      <c r="D92" s="12"/>
      <c r="E92" s="12"/>
      <c r="F92" s="29" t="s">
        <v>91</v>
      </c>
      <c r="G92" s="30">
        <v>1.02</v>
      </c>
      <c r="H92" s="30"/>
      <c r="I92" s="30">
        <v>0</v>
      </c>
      <c r="J92" s="31">
        <v>2550</v>
      </c>
      <c r="M92" s="32">
        <f>ROUND(ROUND(J92, 2)*I92, 2)</f>
        <v>0</v>
      </c>
      <c r="P92" s="31">
        <v>2550</v>
      </c>
      <c r="S92" s="32">
        <f>ROUND(ROUND(P92, 2)*I92, 2)</f>
        <v>0</v>
      </c>
      <c r="V92" s="9">
        <f>ROUND(ROUND(P92, 2)/1.2, 2)</f>
        <v>2125</v>
      </c>
      <c r="Y92" s="9">
        <f t="shared" si="8"/>
        <v>0</v>
      </c>
      <c r="AD92" s="4" t="s">
        <v>496</v>
      </c>
      <c r="AE92" s="4" t="s">
        <v>497</v>
      </c>
      <c r="AF92" s="4" t="s">
        <v>481</v>
      </c>
    </row>
    <row r="93" spans="1:35" ht="36" x14ac:dyDescent="0.3">
      <c r="A93" s="10" t="s">
        <v>500</v>
      </c>
      <c r="B93" s="10" t="s">
        <v>471</v>
      </c>
      <c r="C93" s="11" t="s">
        <v>472</v>
      </c>
      <c r="D93" s="12"/>
      <c r="E93" s="12" t="s">
        <v>501</v>
      </c>
      <c r="F93" s="12" t="s">
        <v>91</v>
      </c>
      <c r="G93" s="13">
        <v>1</v>
      </c>
      <c r="H93" s="13"/>
      <c r="I93" s="13">
        <v>0</v>
      </c>
      <c r="J93" s="14">
        <v>2600.81</v>
      </c>
      <c r="K93" s="15">
        <v>2157</v>
      </c>
      <c r="L93" s="14">
        <f>J93+ROUND(K93, 2)</f>
        <v>4757.8099999999995</v>
      </c>
      <c r="M93" s="14">
        <v>0</v>
      </c>
      <c r="N93" s="14">
        <v>0</v>
      </c>
      <c r="O93" s="14">
        <f>M93+N93</f>
        <v>0</v>
      </c>
      <c r="P93" s="14">
        <v>2600.81</v>
      </c>
      <c r="Q93" s="15">
        <v>2157</v>
      </c>
      <c r="R93" s="14">
        <f>P93+ROUND(Q93, 2)</f>
        <v>4757.8099999999995</v>
      </c>
      <c r="S93" s="14">
        <v>0</v>
      </c>
      <c r="T93" s="14">
        <v>0</v>
      </c>
      <c r="U93" s="14">
        <f>S93+T93</f>
        <v>0</v>
      </c>
      <c r="V93" s="9">
        <f>ROUND(P93 / 1.2, 2)</f>
        <v>2167.34</v>
      </c>
      <c r="W93" s="9">
        <f>ROUND(Q93 / 1.2, 2)</f>
        <v>1797.5</v>
      </c>
      <c r="X93" s="9">
        <f>ROUND(R93 / 1.2, 2)</f>
        <v>3964.84</v>
      </c>
      <c r="Y93" s="9">
        <f t="shared" si="8"/>
        <v>0</v>
      </c>
      <c r="Z93" s="9">
        <f>ROUND(T93 / 1.2, 2)</f>
        <v>0</v>
      </c>
      <c r="AA93" s="9">
        <f>Y93+Z93</f>
        <v>0</v>
      </c>
      <c r="AD93" s="4">
        <v>320320153</v>
      </c>
      <c r="AE93" s="4">
        <v>26813835</v>
      </c>
      <c r="AG93" s="4" t="s">
        <v>474</v>
      </c>
      <c r="AH93" s="4" t="s">
        <v>475</v>
      </c>
      <c r="AI93" s="4" t="s">
        <v>338</v>
      </c>
    </row>
    <row r="94" spans="1:35" ht="18" x14ac:dyDescent="0.3">
      <c r="A94" s="10" t="s">
        <v>503</v>
      </c>
      <c r="B94" s="10"/>
      <c r="C94" s="28" t="s">
        <v>478</v>
      </c>
      <c r="D94" s="12"/>
      <c r="E94" s="12"/>
      <c r="F94" s="29" t="s">
        <v>91</v>
      </c>
      <c r="G94" s="30">
        <v>1.02</v>
      </c>
      <c r="H94" s="30"/>
      <c r="I94" s="30">
        <v>0</v>
      </c>
      <c r="J94" s="31">
        <v>2550</v>
      </c>
      <c r="M94" s="32">
        <f>ROUND(ROUND(J94, 2)*I94, 2)</f>
        <v>0</v>
      </c>
      <c r="P94" s="31">
        <v>2550</v>
      </c>
      <c r="S94" s="32">
        <f>ROUND(ROUND(P94, 2)*I94, 2)</f>
        <v>0</v>
      </c>
      <c r="V94" s="9">
        <f>ROUND(ROUND(P94, 2)/1.2, 2)</f>
        <v>2125</v>
      </c>
      <c r="Y94" s="9">
        <f t="shared" si="8"/>
        <v>0</v>
      </c>
      <c r="AD94" s="4" t="s">
        <v>504</v>
      </c>
      <c r="AE94" s="4" t="s">
        <v>505</v>
      </c>
      <c r="AF94" s="4" t="s">
        <v>481</v>
      </c>
    </row>
    <row r="95" spans="1:35" ht="54" x14ac:dyDescent="0.3">
      <c r="A95" s="10" t="s">
        <v>508</v>
      </c>
      <c r="B95" s="10" t="s">
        <v>471</v>
      </c>
      <c r="C95" s="11" t="s">
        <v>472</v>
      </c>
      <c r="D95" s="12"/>
      <c r="E95" s="12" t="s">
        <v>509</v>
      </c>
      <c r="F95" s="12" t="s">
        <v>91</v>
      </c>
      <c r="G95" s="13">
        <v>1</v>
      </c>
      <c r="H95" s="13"/>
      <c r="I95" s="13">
        <v>0</v>
      </c>
      <c r="J95" s="14">
        <v>2600.9899999999998</v>
      </c>
      <c r="K95" s="15">
        <v>2157</v>
      </c>
      <c r="L95" s="14">
        <f>J95+ROUND(K95, 2)</f>
        <v>4757.99</v>
      </c>
      <c r="M95" s="14">
        <v>0</v>
      </c>
      <c r="N95" s="14">
        <v>0</v>
      </c>
      <c r="O95" s="14">
        <f>M95+N95</f>
        <v>0</v>
      </c>
      <c r="P95" s="14">
        <v>2600.9899999999998</v>
      </c>
      <c r="Q95" s="15">
        <v>2157</v>
      </c>
      <c r="R95" s="14">
        <f>P95+ROUND(Q95, 2)</f>
        <v>4757.99</v>
      </c>
      <c r="S95" s="14">
        <v>0</v>
      </c>
      <c r="T95" s="14">
        <v>0</v>
      </c>
      <c r="U95" s="14">
        <f>S95+T95</f>
        <v>0</v>
      </c>
      <c r="V95" s="9">
        <f>ROUND(P95 / 1.2, 2)</f>
        <v>2167.4899999999998</v>
      </c>
      <c r="W95" s="9">
        <f>ROUND(Q95 / 1.2, 2)</f>
        <v>1797.5</v>
      </c>
      <c r="X95" s="9">
        <f>ROUND(R95 / 1.2, 2)</f>
        <v>3964.99</v>
      </c>
      <c r="Y95" s="9">
        <f t="shared" si="8"/>
        <v>0</v>
      </c>
      <c r="Z95" s="9">
        <f>ROUND(T95 / 1.2, 2)</f>
        <v>0</v>
      </c>
      <c r="AA95" s="9">
        <f>Y95+Z95</f>
        <v>0</v>
      </c>
      <c r="AD95" s="4">
        <v>320320154</v>
      </c>
      <c r="AE95" s="4">
        <v>26813850</v>
      </c>
      <c r="AG95" s="4" t="s">
        <v>474</v>
      </c>
      <c r="AH95" s="4" t="s">
        <v>475</v>
      </c>
      <c r="AI95" s="4" t="s">
        <v>338</v>
      </c>
    </row>
    <row r="96" spans="1:35" ht="18" x14ac:dyDescent="0.3">
      <c r="A96" s="10" t="s">
        <v>511</v>
      </c>
      <c r="B96" s="10"/>
      <c r="C96" s="28" t="s">
        <v>478</v>
      </c>
      <c r="D96" s="12"/>
      <c r="E96" s="12"/>
      <c r="F96" s="29" t="s">
        <v>91</v>
      </c>
      <c r="G96" s="30">
        <v>1.02</v>
      </c>
      <c r="H96" s="30"/>
      <c r="I96" s="30">
        <v>0</v>
      </c>
      <c r="J96" s="31">
        <v>2550</v>
      </c>
      <c r="M96" s="32">
        <f>ROUND(ROUND(J96, 2)*I96, 2)</f>
        <v>0</v>
      </c>
      <c r="P96" s="31">
        <v>2550</v>
      </c>
      <c r="S96" s="32">
        <f>ROUND(ROUND(P96, 2)*I96, 2)</f>
        <v>0</v>
      </c>
      <c r="V96" s="9">
        <f>ROUND(ROUND(P96, 2)/1.2, 2)</f>
        <v>2125</v>
      </c>
      <c r="Y96" s="9">
        <f t="shared" si="8"/>
        <v>0</v>
      </c>
      <c r="AD96" s="4" t="s">
        <v>512</v>
      </c>
      <c r="AE96" s="4" t="s">
        <v>513</v>
      </c>
      <c r="AF96" s="4" t="s">
        <v>481</v>
      </c>
    </row>
    <row r="97" spans="1:35" ht="36" x14ac:dyDescent="0.3">
      <c r="A97" s="10" t="s">
        <v>516</v>
      </c>
      <c r="B97" s="10" t="s">
        <v>471</v>
      </c>
      <c r="C97" s="11" t="s">
        <v>472</v>
      </c>
      <c r="D97" s="12"/>
      <c r="E97" s="12" t="s">
        <v>517</v>
      </c>
      <c r="F97" s="12" t="s">
        <v>91</v>
      </c>
      <c r="G97" s="13">
        <v>1</v>
      </c>
      <c r="H97" s="13"/>
      <c r="I97" s="13">
        <v>0</v>
      </c>
      <c r="J97" s="14">
        <v>2600.84</v>
      </c>
      <c r="K97" s="15">
        <v>2157</v>
      </c>
      <c r="L97" s="14">
        <f>J97+ROUND(K97, 2)</f>
        <v>4757.84</v>
      </c>
      <c r="M97" s="14">
        <v>0</v>
      </c>
      <c r="N97" s="14">
        <v>0</v>
      </c>
      <c r="O97" s="14">
        <f>M97+N97</f>
        <v>0</v>
      </c>
      <c r="P97" s="14">
        <v>2600.84</v>
      </c>
      <c r="Q97" s="15">
        <v>2157</v>
      </c>
      <c r="R97" s="14">
        <f>P97+ROUND(Q97, 2)</f>
        <v>4757.84</v>
      </c>
      <c r="S97" s="14">
        <v>0</v>
      </c>
      <c r="T97" s="14">
        <v>0</v>
      </c>
      <c r="U97" s="14">
        <f>S97+T97</f>
        <v>0</v>
      </c>
      <c r="V97" s="9">
        <f>ROUND(P97 / 1.2, 2)</f>
        <v>2167.37</v>
      </c>
      <c r="W97" s="9">
        <f>ROUND(Q97 / 1.2, 2)</f>
        <v>1797.5</v>
      </c>
      <c r="X97" s="9">
        <f>ROUND(R97 / 1.2, 2)</f>
        <v>3964.87</v>
      </c>
      <c r="Y97" s="9">
        <f t="shared" si="8"/>
        <v>0</v>
      </c>
      <c r="Z97" s="9">
        <f>ROUND(T97 / 1.2, 2)</f>
        <v>0</v>
      </c>
      <c r="AA97" s="9">
        <f>Y97+Z97</f>
        <v>0</v>
      </c>
      <c r="AD97" s="4">
        <v>320320155</v>
      </c>
      <c r="AE97" s="4">
        <v>26813836</v>
      </c>
      <c r="AG97" s="4" t="s">
        <v>474</v>
      </c>
      <c r="AH97" s="4" t="s">
        <v>475</v>
      </c>
      <c r="AI97" s="4" t="s">
        <v>338</v>
      </c>
    </row>
    <row r="98" spans="1:35" ht="18" x14ac:dyDescent="0.3">
      <c r="A98" s="10" t="s">
        <v>519</v>
      </c>
      <c r="B98" s="10"/>
      <c r="C98" s="28" t="s">
        <v>478</v>
      </c>
      <c r="D98" s="12"/>
      <c r="E98" s="12"/>
      <c r="F98" s="29" t="s">
        <v>91</v>
      </c>
      <c r="G98" s="30">
        <v>1.02</v>
      </c>
      <c r="H98" s="30"/>
      <c r="I98" s="30">
        <v>0</v>
      </c>
      <c r="J98" s="31">
        <v>2550</v>
      </c>
      <c r="M98" s="32">
        <f>ROUND(ROUND(J98, 2)*I98, 2)</f>
        <v>0</v>
      </c>
      <c r="P98" s="31">
        <v>2550</v>
      </c>
      <c r="S98" s="32">
        <f>ROUND(ROUND(P98, 2)*I98, 2)</f>
        <v>0</v>
      </c>
      <c r="V98" s="9">
        <f>ROUND(ROUND(P98, 2)/1.2, 2)</f>
        <v>2125</v>
      </c>
      <c r="Y98" s="9">
        <f t="shared" si="8"/>
        <v>0</v>
      </c>
      <c r="AD98" s="4" t="s">
        <v>520</v>
      </c>
      <c r="AE98" s="4" t="s">
        <v>521</v>
      </c>
      <c r="AF98" s="4" t="s">
        <v>481</v>
      </c>
    </row>
    <row r="99" spans="1:35" ht="18" x14ac:dyDescent="0.3">
      <c r="A99" s="10" t="s">
        <v>524</v>
      </c>
      <c r="B99" s="10" t="s">
        <v>525</v>
      </c>
      <c r="C99" s="11" t="s">
        <v>526</v>
      </c>
      <c r="D99" s="12"/>
      <c r="E99" s="12"/>
      <c r="F99" s="12" t="s">
        <v>91</v>
      </c>
      <c r="G99" s="13">
        <v>1</v>
      </c>
      <c r="H99" s="13"/>
      <c r="I99" s="13">
        <v>0</v>
      </c>
      <c r="J99" s="14">
        <v>1687.5</v>
      </c>
      <c r="K99" s="15">
        <v>915</v>
      </c>
      <c r="L99" s="14">
        <f>J99+ROUND(K99, 2)</f>
        <v>2602.5</v>
      </c>
      <c r="M99" s="14">
        <v>0</v>
      </c>
      <c r="N99" s="14">
        <v>0</v>
      </c>
      <c r="O99" s="14">
        <f>M99+N99</f>
        <v>0</v>
      </c>
      <c r="P99" s="14">
        <v>1687.5</v>
      </c>
      <c r="Q99" s="15">
        <v>915</v>
      </c>
      <c r="R99" s="14">
        <f>P99+ROUND(Q99, 2)</f>
        <v>2602.5</v>
      </c>
      <c r="S99" s="14">
        <v>0</v>
      </c>
      <c r="T99" s="14">
        <v>0</v>
      </c>
      <c r="U99" s="14">
        <f>S99+T99</f>
        <v>0</v>
      </c>
      <c r="V99" s="9">
        <f>ROUND(P99 / 1.2, 2)</f>
        <v>1406.25</v>
      </c>
      <c r="W99" s="9">
        <f>ROUND(Q99 / 1.2, 2)</f>
        <v>762.5</v>
      </c>
      <c r="X99" s="9">
        <f>ROUND(R99 / 1.2, 2)</f>
        <v>2168.75</v>
      </c>
      <c r="Y99" s="9">
        <f t="shared" si="8"/>
        <v>0</v>
      </c>
      <c r="Z99" s="9">
        <f>ROUND(T99 / 1.2, 2)</f>
        <v>0</v>
      </c>
      <c r="AA99" s="9">
        <f>Y99+Z99</f>
        <v>0</v>
      </c>
      <c r="AD99" s="4">
        <v>320320102</v>
      </c>
      <c r="AE99" s="4">
        <v>26813794</v>
      </c>
      <c r="AG99" s="4" t="s">
        <v>527</v>
      </c>
      <c r="AH99" s="4" t="s">
        <v>528</v>
      </c>
      <c r="AI99" s="4" t="s">
        <v>338</v>
      </c>
    </row>
    <row r="100" spans="1:35" ht="18" x14ac:dyDescent="0.3">
      <c r="A100" s="10" t="s">
        <v>530</v>
      </c>
      <c r="B100" s="10"/>
      <c r="C100" s="28" t="s">
        <v>531</v>
      </c>
      <c r="D100" s="12"/>
      <c r="E100" s="12"/>
      <c r="F100" s="29" t="s">
        <v>364</v>
      </c>
      <c r="G100" s="30">
        <v>225</v>
      </c>
      <c r="H100" s="30"/>
      <c r="I100" s="30">
        <v>0</v>
      </c>
      <c r="J100" s="31">
        <v>7.5</v>
      </c>
      <c r="M100" s="32">
        <f>ROUND(ROUND(J100, 2)*I100, 2)</f>
        <v>0</v>
      </c>
      <c r="P100" s="31">
        <v>7.5</v>
      </c>
      <c r="S100" s="32">
        <f>ROUND(ROUND(P100, 2)*I100, 2)</f>
        <v>0</v>
      </c>
      <c r="V100" s="9">
        <f>ROUND(ROUND(P100, 2)/1.2, 2)</f>
        <v>6.25</v>
      </c>
      <c r="Y100" s="9">
        <f t="shared" si="8"/>
        <v>0</v>
      </c>
      <c r="AD100" s="4" t="s">
        <v>532</v>
      </c>
      <c r="AE100" s="4" t="s">
        <v>533</v>
      </c>
      <c r="AF100" s="4" t="s">
        <v>534</v>
      </c>
    </row>
    <row r="101" spans="1:35" ht="16.95" customHeight="1" x14ac:dyDescent="0.3">
      <c r="A101" s="10" t="s">
        <v>537</v>
      </c>
      <c r="B101" s="10" t="s">
        <v>538</v>
      </c>
      <c r="C101" s="237" t="s">
        <v>539</v>
      </c>
      <c r="D101" s="238"/>
      <c r="E101" s="238"/>
      <c r="F101" s="238"/>
      <c r="G101" s="238"/>
      <c r="H101" s="238"/>
      <c r="I101" s="239"/>
      <c r="M101" s="6">
        <f>SUM(M102,M107,M111,M114,M119,M124,M129,M134,M139,M144,M149)</f>
        <v>0</v>
      </c>
      <c r="N101" s="6">
        <f>SUM(N102,N107,N111,N114,N119,N124,N129,N134,N139,N144,N149)</f>
        <v>0</v>
      </c>
      <c r="O101" s="6">
        <f>SUM(O102,O107,O111,O114,O119,O124,O129,O134,O139,O144,O149)</f>
        <v>0</v>
      </c>
      <c r="S101" s="6">
        <f>SUM(S102,S107,S111,S114,S119,S124,S129,S134,S139,S144,S149)</f>
        <v>0</v>
      </c>
      <c r="T101" s="6">
        <f>SUM(T102,T107,T111,T114,T119,T124,T129,T134,T139,T144,T149)</f>
        <v>0</v>
      </c>
      <c r="U101" s="6">
        <f>SUM(U102,U107,U111,U114,U119,U124,U129,U134,U139,U144,U149)</f>
        <v>0</v>
      </c>
      <c r="Y101" s="9">
        <f>SUM(Y102,Y107,Y111,Y114,Y119,Y124,Y129,Y134,Y139,Y144,Y149)</f>
        <v>0</v>
      </c>
      <c r="Z101" s="9">
        <f>SUM(Z102,Z107,Z111,Z114,Z119,Z124,Z129,Z134,Z139,Z144,Z149)</f>
        <v>0</v>
      </c>
      <c r="AA101" s="9">
        <f>SUM(AA102,AA107,AA111,AA114,AA119,AA124,AA129,AA134,AA139,AA144,AA149)</f>
        <v>0</v>
      </c>
      <c r="AD101" s="4">
        <v>320320103</v>
      </c>
      <c r="AE101" s="4">
        <v>26813766</v>
      </c>
    </row>
    <row r="102" spans="1:35" ht="36" x14ac:dyDescent="0.3">
      <c r="A102" s="10" t="s">
        <v>540</v>
      </c>
      <c r="B102" s="10" t="s">
        <v>541</v>
      </c>
      <c r="C102" s="11" t="s">
        <v>542</v>
      </c>
      <c r="D102" s="12" t="s">
        <v>543</v>
      </c>
      <c r="E102" s="12" t="s">
        <v>544</v>
      </c>
      <c r="F102" s="12" t="s">
        <v>61</v>
      </c>
      <c r="G102" s="13">
        <v>1</v>
      </c>
      <c r="H102" s="13"/>
      <c r="I102" s="13">
        <v>0</v>
      </c>
      <c r="J102" s="14">
        <v>127.26</v>
      </c>
      <c r="K102" s="15">
        <v>556</v>
      </c>
      <c r="L102" s="14">
        <f>J102+ROUND(K102, 2)</f>
        <v>683.26</v>
      </c>
      <c r="M102" s="14">
        <v>0</v>
      </c>
      <c r="N102" s="14">
        <v>0</v>
      </c>
      <c r="O102" s="14">
        <f>M102+N102</f>
        <v>0</v>
      </c>
      <c r="P102" s="14">
        <v>5416.76</v>
      </c>
      <c r="Q102" s="15">
        <v>556</v>
      </c>
      <c r="R102" s="14">
        <f>P102+ROUND(Q102, 2)</f>
        <v>5972.76</v>
      </c>
      <c r="S102" s="14">
        <v>0</v>
      </c>
      <c r="T102" s="14">
        <v>0</v>
      </c>
      <c r="U102" s="14">
        <f>S102+T102</f>
        <v>0</v>
      </c>
      <c r="V102" s="9">
        <f>ROUND(P102 / 1.2, 2)</f>
        <v>4513.97</v>
      </c>
      <c r="W102" s="9">
        <f>ROUND(Q102 / 1.2, 2)</f>
        <v>463.33</v>
      </c>
      <c r="X102" s="9">
        <f>ROUND(R102 / 1.2, 2)</f>
        <v>4977.3</v>
      </c>
      <c r="Y102" s="9">
        <f>ROUND(S102 / 1.2, 2)</f>
        <v>0</v>
      </c>
      <c r="Z102" s="9">
        <f>ROUND(T102 / 1.2, 2)</f>
        <v>0</v>
      </c>
      <c r="AA102" s="9">
        <f>Y102+Z102</f>
        <v>0</v>
      </c>
      <c r="AD102" s="4">
        <v>320320105</v>
      </c>
      <c r="AE102" s="4">
        <v>26813845</v>
      </c>
      <c r="AG102" s="4" t="s">
        <v>545</v>
      </c>
      <c r="AH102" s="4" t="s">
        <v>546</v>
      </c>
      <c r="AI102" s="4" t="s">
        <v>338</v>
      </c>
    </row>
    <row r="103" spans="1:35" ht="18" x14ac:dyDescent="0.3">
      <c r="A103" s="10" t="s">
        <v>548</v>
      </c>
      <c r="B103" s="10"/>
      <c r="C103" s="28" t="s">
        <v>549</v>
      </c>
      <c r="D103" s="12"/>
      <c r="E103" s="12" t="s">
        <v>550</v>
      </c>
      <c r="F103" s="29" t="s">
        <v>364</v>
      </c>
      <c r="G103" s="30">
        <v>0.3</v>
      </c>
      <c r="H103" s="30"/>
      <c r="I103" s="30">
        <v>0</v>
      </c>
      <c r="J103" s="31">
        <v>220</v>
      </c>
      <c r="M103" s="32">
        <f>ROUND(ROUND(J103, 2)*I103, 2)</f>
        <v>0</v>
      </c>
      <c r="P103" s="31">
        <v>545</v>
      </c>
      <c r="S103" s="32">
        <f>ROUND(ROUND(P103, 2)*I103, 2)</f>
        <v>0</v>
      </c>
      <c r="V103" s="9">
        <f>ROUND(ROUND(P103, 2)/1.2, 2)</f>
        <v>454.17</v>
      </c>
      <c r="Y103" s="9">
        <f t="shared" ref="Y103:Y134" si="9">ROUND(S103 / 1.2, 2)</f>
        <v>0</v>
      </c>
      <c r="AD103" s="4" t="s">
        <v>551</v>
      </c>
      <c r="AE103" s="4" t="s">
        <v>552</v>
      </c>
      <c r="AF103" s="4" t="s">
        <v>553</v>
      </c>
    </row>
    <row r="104" spans="1:35" ht="36" x14ac:dyDescent="0.3">
      <c r="A104" s="10" t="s">
        <v>556</v>
      </c>
      <c r="B104" s="10"/>
      <c r="C104" s="28" t="s">
        <v>557</v>
      </c>
      <c r="D104" s="12"/>
      <c r="E104" s="12"/>
      <c r="F104" s="29" t="s">
        <v>364</v>
      </c>
      <c r="G104" s="30">
        <v>0.15</v>
      </c>
      <c r="H104" s="30"/>
      <c r="I104" s="30">
        <v>0</v>
      </c>
      <c r="J104" s="31">
        <v>68.400000000000006</v>
      </c>
      <c r="M104" s="32">
        <f>ROUND(ROUND(J104, 2)*I104, 2)</f>
        <v>0</v>
      </c>
      <c r="P104" s="31">
        <v>68.400000000000006</v>
      </c>
      <c r="S104" s="32">
        <f>ROUND(ROUND(P104, 2)*I104, 2)</f>
        <v>0</v>
      </c>
      <c r="V104" s="9">
        <f>ROUND(ROUND(P104, 2)/1.2, 2)</f>
        <v>57</v>
      </c>
      <c r="Y104" s="9">
        <f t="shared" si="9"/>
        <v>0</v>
      </c>
      <c r="AD104" s="4" t="s">
        <v>558</v>
      </c>
      <c r="AE104" s="4" t="s">
        <v>559</v>
      </c>
      <c r="AF104" s="4" t="s">
        <v>560</v>
      </c>
    </row>
    <row r="105" spans="1:35" ht="72" x14ac:dyDescent="0.3">
      <c r="A105" s="10" t="s">
        <v>563</v>
      </c>
      <c r="B105" s="10"/>
      <c r="C105" s="47" t="s">
        <v>564</v>
      </c>
      <c r="D105" s="12"/>
      <c r="E105" s="12"/>
      <c r="F105" s="29" t="s">
        <v>76</v>
      </c>
      <c r="G105" s="30">
        <v>1</v>
      </c>
      <c r="H105" s="49"/>
      <c r="I105" s="49">
        <v>0</v>
      </c>
      <c r="J105" s="31">
        <v>51</v>
      </c>
      <c r="M105" s="32">
        <f>ROUND(ROUND(J105, 2)*I105, 2)</f>
        <v>0</v>
      </c>
      <c r="P105" s="31">
        <v>51</v>
      </c>
      <c r="S105" s="32">
        <f>ROUND(ROUND(P105, 2)*I105, 2)</f>
        <v>0</v>
      </c>
      <c r="V105" s="9">
        <f>ROUND(ROUND(P105, 2)/1.2, 2)</f>
        <v>42.5</v>
      </c>
      <c r="Y105" s="9">
        <f t="shared" si="9"/>
        <v>0</v>
      </c>
      <c r="AD105" s="4" t="s">
        <v>565</v>
      </c>
      <c r="AE105" s="4" t="s">
        <v>566</v>
      </c>
      <c r="AF105" s="4" t="s">
        <v>567</v>
      </c>
    </row>
    <row r="106" spans="1:35" ht="54" x14ac:dyDescent="0.3">
      <c r="A106" s="10" t="s">
        <v>570</v>
      </c>
      <c r="B106" s="10"/>
      <c r="C106" s="28" t="s">
        <v>571</v>
      </c>
      <c r="D106" s="12"/>
      <c r="E106" s="12" t="s">
        <v>572</v>
      </c>
      <c r="F106" s="29" t="s">
        <v>61</v>
      </c>
      <c r="G106" s="30">
        <v>1.1000000000000001</v>
      </c>
      <c r="H106" s="49"/>
      <c r="I106" s="49">
        <v>0</v>
      </c>
      <c r="J106" s="31">
        <v>0</v>
      </c>
      <c r="M106" s="32">
        <f>ROUND(ROUND(J106, 2)*I106, 2)</f>
        <v>0</v>
      </c>
      <c r="P106" s="31">
        <v>4720</v>
      </c>
      <c r="S106" s="32">
        <f>ROUND(ROUND(P106, 2)*I106, 2)</f>
        <v>0</v>
      </c>
      <c r="V106" s="9">
        <f>ROUND(ROUND(P106, 2)/1.2, 2)</f>
        <v>3933.33</v>
      </c>
      <c r="Y106" s="9">
        <f t="shared" si="9"/>
        <v>0</v>
      </c>
      <c r="AD106" s="4" t="s">
        <v>573</v>
      </c>
      <c r="AE106" s="4" t="s">
        <v>574</v>
      </c>
      <c r="AF106" s="4" t="s">
        <v>575</v>
      </c>
    </row>
    <row r="107" spans="1:35" ht="18" x14ac:dyDescent="0.3">
      <c r="A107" s="10" t="s">
        <v>578</v>
      </c>
      <c r="B107" s="10" t="s">
        <v>541</v>
      </c>
      <c r="C107" s="11" t="s">
        <v>542</v>
      </c>
      <c r="D107" s="12" t="s">
        <v>543</v>
      </c>
      <c r="E107" s="12" t="s">
        <v>579</v>
      </c>
      <c r="F107" s="12" t="s">
        <v>61</v>
      </c>
      <c r="G107" s="13">
        <v>1</v>
      </c>
      <c r="H107" s="13"/>
      <c r="I107" s="13">
        <v>0</v>
      </c>
      <c r="J107" s="14">
        <v>117</v>
      </c>
      <c r="K107" s="15">
        <v>556</v>
      </c>
      <c r="L107" s="14">
        <f>J107+ROUND(K107, 2)</f>
        <v>673</v>
      </c>
      <c r="M107" s="14">
        <v>0</v>
      </c>
      <c r="N107" s="14">
        <v>0</v>
      </c>
      <c r="O107" s="14">
        <f>M107+N107</f>
        <v>0</v>
      </c>
      <c r="P107" s="14">
        <v>5406.5</v>
      </c>
      <c r="Q107" s="15">
        <v>556</v>
      </c>
      <c r="R107" s="14">
        <f>P107+ROUND(Q107, 2)</f>
        <v>5962.5</v>
      </c>
      <c r="S107" s="14">
        <v>0</v>
      </c>
      <c r="T107" s="14">
        <v>0</v>
      </c>
      <c r="U107" s="14">
        <f>S107+T107</f>
        <v>0</v>
      </c>
      <c r="V107" s="9">
        <f>ROUND(P107 / 1.2, 2)</f>
        <v>4505.42</v>
      </c>
      <c r="W107" s="9">
        <f>ROUND(Q107 / 1.2, 2)</f>
        <v>463.33</v>
      </c>
      <c r="X107" s="9">
        <f>ROUND(R107 / 1.2, 2)</f>
        <v>4968.75</v>
      </c>
      <c r="Y107" s="9">
        <f t="shared" si="9"/>
        <v>0</v>
      </c>
      <c r="Z107" s="9">
        <f>ROUND(T107 / 1.2, 2)</f>
        <v>0</v>
      </c>
      <c r="AA107" s="9">
        <f>Y107+Z107</f>
        <v>0</v>
      </c>
      <c r="AD107" s="4">
        <v>320320156</v>
      </c>
      <c r="AE107" s="4">
        <v>26813814</v>
      </c>
      <c r="AG107" s="4" t="s">
        <v>545</v>
      </c>
      <c r="AH107" s="4" t="s">
        <v>546</v>
      </c>
      <c r="AI107" s="4" t="s">
        <v>338</v>
      </c>
    </row>
    <row r="108" spans="1:35" ht="54" x14ac:dyDescent="0.3">
      <c r="A108" s="10" t="s">
        <v>581</v>
      </c>
      <c r="B108" s="10"/>
      <c r="C108" s="28" t="s">
        <v>571</v>
      </c>
      <c r="D108" s="12"/>
      <c r="E108" s="12" t="s">
        <v>582</v>
      </c>
      <c r="F108" s="29" t="s">
        <v>61</v>
      </c>
      <c r="G108" s="30">
        <v>1.1000000000000001</v>
      </c>
      <c r="H108" s="49"/>
      <c r="I108" s="49">
        <v>0</v>
      </c>
      <c r="J108" s="31">
        <v>0</v>
      </c>
      <c r="M108" s="32">
        <f>ROUND(ROUND(J108, 2)*I108, 2)</f>
        <v>0</v>
      </c>
      <c r="P108" s="31">
        <v>4720</v>
      </c>
      <c r="S108" s="32">
        <f>ROUND(ROUND(P108, 2)*I108, 2)</f>
        <v>0</v>
      </c>
      <c r="V108" s="9">
        <f>ROUND(ROUND(P108, 2)/1.2, 2)</f>
        <v>3933.33</v>
      </c>
      <c r="Y108" s="9">
        <f t="shared" si="9"/>
        <v>0</v>
      </c>
      <c r="AD108" s="4" t="s">
        <v>583</v>
      </c>
      <c r="AE108" s="4" t="s">
        <v>584</v>
      </c>
      <c r="AF108" s="4" t="s">
        <v>575</v>
      </c>
    </row>
    <row r="109" spans="1:35" ht="72" x14ac:dyDescent="0.3">
      <c r="A109" s="10" t="s">
        <v>587</v>
      </c>
      <c r="B109" s="10"/>
      <c r="C109" s="47" t="s">
        <v>564</v>
      </c>
      <c r="D109" s="12"/>
      <c r="E109" s="12"/>
      <c r="F109" s="29" t="s">
        <v>76</v>
      </c>
      <c r="G109" s="30">
        <v>1</v>
      </c>
      <c r="H109" s="49"/>
      <c r="I109" s="49">
        <v>0</v>
      </c>
      <c r="J109" s="31">
        <v>51</v>
      </c>
      <c r="M109" s="32">
        <f>ROUND(ROUND(J109, 2)*I109, 2)</f>
        <v>0</v>
      </c>
      <c r="P109" s="31">
        <v>51</v>
      </c>
      <c r="S109" s="32">
        <f>ROUND(ROUND(P109, 2)*I109, 2)</f>
        <v>0</v>
      </c>
      <c r="V109" s="9">
        <f>ROUND(ROUND(P109, 2)/1.2, 2)</f>
        <v>42.5</v>
      </c>
      <c r="Y109" s="9">
        <f t="shared" si="9"/>
        <v>0</v>
      </c>
      <c r="AD109" s="4" t="s">
        <v>588</v>
      </c>
      <c r="AE109" s="4" t="s">
        <v>589</v>
      </c>
      <c r="AF109" s="4" t="s">
        <v>567</v>
      </c>
    </row>
    <row r="110" spans="1:35" ht="18" x14ac:dyDescent="0.3">
      <c r="A110" s="10" t="s">
        <v>592</v>
      </c>
      <c r="B110" s="10"/>
      <c r="C110" s="28" t="s">
        <v>549</v>
      </c>
      <c r="D110" s="12"/>
      <c r="E110" s="12" t="s">
        <v>550</v>
      </c>
      <c r="F110" s="29" t="s">
        <v>364</v>
      </c>
      <c r="G110" s="30">
        <v>0.3</v>
      </c>
      <c r="H110" s="30"/>
      <c r="I110" s="30">
        <v>0</v>
      </c>
      <c r="J110" s="31">
        <v>220</v>
      </c>
      <c r="M110" s="32">
        <f>ROUND(ROUND(J110, 2)*I110, 2)</f>
        <v>0</v>
      </c>
      <c r="P110" s="31">
        <v>545</v>
      </c>
      <c r="S110" s="32">
        <f>ROUND(ROUND(P110, 2)*I110, 2)</f>
        <v>0</v>
      </c>
      <c r="V110" s="9">
        <f>ROUND(ROUND(P110, 2)/1.2, 2)</f>
        <v>454.17</v>
      </c>
      <c r="Y110" s="9">
        <f t="shared" si="9"/>
        <v>0</v>
      </c>
      <c r="AD110" s="4" t="s">
        <v>593</v>
      </c>
      <c r="AE110" s="4" t="s">
        <v>594</v>
      </c>
      <c r="AF110" s="4" t="s">
        <v>553</v>
      </c>
    </row>
    <row r="111" spans="1:35" ht="90" x14ac:dyDescent="0.3">
      <c r="A111" s="10" t="s">
        <v>597</v>
      </c>
      <c r="B111" s="10" t="s">
        <v>598</v>
      </c>
      <c r="C111" s="11" t="s">
        <v>599</v>
      </c>
      <c r="D111" s="12"/>
      <c r="E111" s="12" t="s">
        <v>600</v>
      </c>
      <c r="F111" s="12" t="s">
        <v>76</v>
      </c>
      <c r="G111" s="13">
        <v>1</v>
      </c>
      <c r="H111" s="13"/>
      <c r="I111" s="13">
        <v>0</v>
      </c>
      <c r="J111" s="14">
        <v>0</v>
      </c>
      <c r="K111" s="15">
        <v>201</v>
      </c>
      <c r="L111" s="14">
        <f>J111+ROUND(K111, 2)</f>
        <v>201</v>
      </c>
      <c r="M111" s="14">
        <v>0</v>
      </c>
      <c r="N111" s="14">
        <v>0</v>
      </c>
      <c r="O111" s="14">
        <f>M111+N111</f>
        <v>0</v>
      </c>
      <c r="P111" s="14">
        <v>471.05</v>
      </c>
      <c r="Q111" s="15">
        <v>201</v>
      </c>
      <c r="R111" s="14">
        <f>P111+ROUND(Q111, 2)</f>
        <v>672.05</v>
      </c>
      <c r="S111" s="14">
        <v>0</v>
      </c>
      <c r="T111" s="14">
        <v>0</v>
      </c>
      <c r="U111" s="14">
        <f>S111+T111</f>
        <v>0</v>
      </c>
      <c r="V111" s="9">
        <f>ROUND(P111 / 1.2, 2)</f>
        <v>392.54</v>
      </c>
      <c r="W111" s="9">
        <f>ROUND(Q111 / 1.2, 2)</f>
        <v>167.5</v>
      </c>
      <c r="X111" s="9">
        <f>ROUND(R111 / 1.2, 2)</f>
        <v>560.04</v>
      </c>
      <c r="Y111" s="9">
        <f t="shared" si="9"/>
        <v>0</v>
      </c>
      <c r="Z111" s="9">
        <f>ROUND(T111 / 1.2, 2)</f>
        <v>0</v>
      </c>
      <c r="AA111" s="9">
        <f>Y111+Z111</f>
        <v>0</v>
      </c>
      <c r="AD111" s="4">
        <v>320320107</v>
      </c>
      <c r="AE111" s="4">
        <v>26813843</v>
      </c>
      <c r="AG111" s="4" t="s">
        <v>601</v>
      </c>
      <c r="AH111" s="4" t="s">
        <v>602</v>
      </c>
      <c r="AI111" s="4" t="s">
        <v>338</v>
      </c>
    </row>
    <row r="112" spans="1:35" ht="54" x14ac:dyDescent="0.3">
      <c r="A112" s="10" t="s">
        <v>604</v>
      </c>
      <c r="B112" s="10"/>
      <c r="C112" s="28" t="s">
        <v>605</v>
      </c>
      <c r="D112" s="12"/>
      <c r="E112" s="12"/>
      <c r="F112" s="29" t="s">
        <v>76</v>
      </c>
      <c r="G112" s="30">
        <v>1.1000000000000001</v>
      </c>
      <c r="H112" s="30"/>
      <c r="I112" s="30">
        <v>0</v>
      </c>
      <c r="J112" s="31">
        <v>0</v>
      </c>
      <c r="M112" s="32">
        <f>ROUND(ROUND(J112, 2)*I112, 2)</f>
        <v>0</v>
      </c>
      <c r="P112" s="31">
        <v>378.5</v>
      </c>
      <c r="S112" s="32">
        <f>ROUND(ROUND(P112, 2)*I112, 2)</f>
        <v>0</v>
      </c>
      <c r="V112" s="9">
        <f>ROUND(ROUND(P112, 2)/1.2, 2)</f>
        <v>315.42</v>
      </c>
      <c r="Y112" s="9">
        <f t="shared" si="9"/>
        <v>0</v>
      </c>
      <c r="AD112" s="4" t="s">
        <v>606</v>
      </c>
      <c r="AE112" s="4" t="s">
        <v>607</v>
      </c>
      <c r="AF112" s="4" t="s">
        <v>608</v>
      </c>
    </row>
    <row r="113" spans="1:35" ht="36" x14ac:dyDescent="0.3">
      <c r="A113" s="10" t="s">
        <v>611</v>
      </c>
      <c r="B113" s="10"/>
      <c r="C113" s="28" t="s">
        <v>612</v>
      </c>
      <c r="D113" s="12"/>
      <c r="E113" s="12"/>
      <c r="F113" s="29" t="s">
        <v>356</v>
      </c>
      <c r="G113" s="30">
        <v>1</v>
      </c>
      <c r="H113" s="49"/>
      <c r="I113" s="49">
        <v>0</v>
      </c>
      <c r="J113" s="31">
        <v>0</v>
      </c>
      <c r="M113" s="32">
        <f>ROUND(ROUND(J113, 2)*I113, 2)</f>
        <v>0</v>
      </c>
      <c r="P113" s="31">
        <v>54.7</v>
      </c>
      <c r="S113" s="32">
        <f>ROUND(ROUND(P113, 2)*I113, 2)</f>
        <v>0</v>
      </c>
      <c r="V113" s="9">
        <f>ROUND(ROUND(P113, 2)/1.2, 2)</f>
        <v>45.58</v>
      </c>
      <c r="Y113" s="9">
        <f t="shared" si="9"/>
        <v>0</v>
      </c>
      <c r="AD113" s="4" t="s">
        <v>613</v>
      </c>
      <c r="AE113" s="4" t="s">
        <v>614</v>
      </c>
      <c r="AF113" s="4" t="s">
        <v>615</v>
      </c>
    </row>
    <row r="114" spans="1:35" ht="36" x14ac:dyDescent="0.3">
      <c r="A114" s="10" t="s">
        <v>618</v>
      </c>
      <c r="B114" s="10" t="s">
        <v>619</v>
      </c>
      <c r="C114" s="11" t="s">
        <v>620</v>
      </c>
      <c r="D114" s="12"/>
      <c r="E114" s="12" t="s">
        <v>621</v>
      </c>
      <c r="F114" s="12" t="s">
        <v>61</v>
      </c>
      <c r="G114" s="13">
        <v>1</v>
      </c>
      <c r="H114" s="13"/>
      <c r="I114" s="13">
        <v>0</v>
      </c>
      <c r="J114" s="14">
        <v>4447.13</v>
      </c>
      <c r="K114" s="15">
        <v>2310</v>
      </c>
      <c r="L114" s="14">
        <f>J114+ROUND(K114, 2)</f>
        <v>6757.13</v>
      </c>
      <c r="M114" s="14">
        <v>0</v>
      </c>
      <c r="N114" s="14">
        <v>0</v>
      </c>
      <c r="O114" s="14">
        <f>M114+N114</f>
        <v>0</v>
      </c>
      <c r="P114" s="14">
        <v>4447.13</v>
      </c>
      <c r="Q114" s="15">
        <v>2310</v>
      </c>
      <c r="R114" s="14">
        <f>P114+ROUND(Q114, 2)</f>
        <v>6757.13</v>
      </c>
      <c r="S114" s="14">
        <v>0</v>
      </c>
      <c r="T114" s="14">
        <v>0</v>
      </c>
      <c r="U114" s="14">
        <f>S114+T114</f>
        <v>0</v>
      </c>
      <c r="V114" s="9">
        <f>ROUND(P114 / 1.2, 2)</f>
        <v>3705.94</v>
      </c>
      <c r="W114" s="9">
        <f>ROUND(Q114 / 1.2, 2)</f>
        <v>1925</v>
      </c>
      <c r="X114" s="9">
        <f>ROUND(R114 / 1.2, 2)</f>
        <v>5630.94</v>
      </c>
      <c r="Y114" s="9">
        <f t="shared" si="9"/>
        <v>0</v>
      </c>
      <c r="Z114" s="9">
        <f>ROUND(T114 / 1.2, 2)</f>
        <v>0</v>
      </c>
      <c r="AA114" s="9">
        <f>Y114+Z114</f>
        <v>0</v>
      </c>
      <c r="AD114" s="4">
        <v>320320109</v>
      </c>
      <c r="AE114" s="4">
        <v>26813851</v>
      </c>
      <c r="AG114" s="4" t="s">
        <v>622</v>
      </c>
      <c r="AH114" s="4" t="s">
        <v>623</v>
      </c>
      <c r="AI114" s="4" t="s">
        <v>338</v>
      </c>
    </row>
    <row r="115" spans="1:35" ht="72" x14ac:dyDescent="0.3">
      <c r="A115" s="10" t="s">
        <v>625</v>
      </c>
      <c r="B115" s="10"/>
      <c r="C115" s="47" t="s">
        <v>626</v>
      </c>
      <c r="D115" s="12"/>
      <c r="E115" s="12" t="s">
        <v>627</v>
      </c>
      <c r="F115" s="29" t="s">
        <v>356</v>
      </c>
      <c r="G115" s="30">
        <v>4</v>
      </c>
      <c r="H115" s="30"/>
      <c r="I115" s="30">
        <v>0</v>
      </c>
      <c r="J115" s="31">
        <v>1100.4000000000001</v>
      </c>
      <c r="M115" s="32">
        <f>ROUND(ROUND(J115, 2)*I115, 2)</f>
        <v>0</v>
      </c>
      <c r="P115" s="31">
        <v>1100.4000000000001</v>
      </c>
      <c r="S115" s="32">
        <f>ROUND(ROUND(P115, 2)*I115, 2)</f>
        <v>0</v>
      </c>
      <c r="V115" s="9">
        <f>ROUND(ROUND(P115, 2)/1.2, 2)</f>
        <v>917</v>
      </c>
      <c r="Y115" s="9">
        <f t="shared" si="9"/>
        <v>0</v>
      </c>
      <c r="AD115" s="4" t="s">
        <v>628</v>
      </c>
      <c r="AE115" s="4" t="s">
        <v>629</v>
      </c>
      <c r="AF115" s="4" t="s">
        <v>630</v>
      </c>
    </row>
    <row r="116" spans="1:35" ht="36" x14ac:dyDescent="0.3">
      <c r="A116" s="10" t="s">
        <v>633</v>
      </c>
      <c r="B116" s="10"/>
      <c r="C116" s="47" t="s">
        <v>634</v>
      </c>
      <c r="D116" s="12"/>
      <c r="E116" s="12"/>
      <c r="F116" s="29" t="s">
        <v>364</v>
      </c>
      <c r="G116" s="30">
        <v>1.2</v>
      </c>
      <c r="H116" s="49"/>
      <c r="I116" s="49">
        <v>0</v>
      </c>
      <c r="J116" s="31">
        <v>16.96</v>
      </c>
      <c r="M116" s="32">
        <f>ROUND(ROUND(J116, 2)*I116, 2)</f>
        <v>0</v>
      </c>
      <c r="P116" s="31">
        <v>16.96</v>
      </c>
      <c r="S116" s="32">
        <f>ROUND(ROUND(P116, 2)*I116, 2)</f>
        <v>0</v>
      </c>
      <c r="V116" s="9">
        <f>ROUND(ROUND(P116, 2)/1.2, 2)</f>
        <v>14.13</v>
      </c>
      <c r="Y116" s="9">
        <f t="shared" si="9"/>
        <v>0</v>
      </c>
      <c r="AD116" s="4" t="s">
        <v>635</v>
      </c>
      <c r="AE116" s="4" t="s">
        <v>636</v>
      </c>
      <c r="AF116" s="4" t="s">
        <v>637</v>
      </c>
    </row>
    <row r="117" spans="1:35" ht="18" x14ac:dyDescent="0.3">
      <c r="A117" s="10" t="s">
        <v>640</v>
      </c>
      <c r="B117" s="10"/>
      <c r="C117" s="28" t="s">
        <v>641</v>
      </c>
      <c r="D117" s="12"/>
      <c r="E117" s="12"/>
      <c r="F117" s="29" t="s">
        <v>364</v>
      </c>
      <c r="G117" s="30">
        <v>0.25</v>
      </c>
      <c r="H117" s="30"/>
      <c r="I117" s="30">
        <v>0</v>
      </c>
      <c r="J117" s="31">
        <v>47.44</v>
      </c>
      <c r="M117" s="32">
        <f>ROUND(ROUND(J117, 2)*I117, 2)</f>
        <v>0</v>
      </c>
      <c r="P117" s="31">
        <v>47.44</v>
      </c>
      <c r="S117" s="32">
        <f>ROUND(ROUND(P117, 2)*I117, 2)</f>
        <v>0</v>
      </c>
      <c r="V117" s="9">
        <f>ROUND(ROUND(P117, 2)/1.2, 2)</f>
        <v>39.53</v>
      </c>
      <c r="Y117" s="9">
        <f t="shared" si="9"/>
        <v>0</v>
      </c>
      <c r="AD117" s="4" t="s">
        <v>642</v>
      </c>
      <c r="AE117" s="4" t="s">
        <v>643</v>
      </c>
      <c r="AF117" s="4" t="s">
        <v>644</v>
      </c>
    </row>
    <row r="118" spans="1:35" ht="36" x14ac:dyDescent="0.3">
      <c r="A118" s="10" t="s">
        <v>647</v>
      </c>
      <c r="B118" s="10"/>
      <c r="C118" s="28" t="s">
        <v>397</v>
      </c>
      <c r="D118" s="12"/>
      <c r="E118" s="12"/>
      <c r="F118" s="29" t="s">
        <v>364</v>
      </c>
      <c r="G118" s="30">
        <v>0.15</v>
      </c>
      <c r="H118" s="30"/>
      <c r="I118" s="30">
        <v>0</v>
      </c>
      <c r="J118" s="31">
        <v>88.8</v>
      </c>
      <c r="M118" s="32">
        <f>ROUND(ROUND(J118, 2)*I118, 2)</f>
        <v>0</v>
      </c>
      <c r="P118" s="31">
        <v>88.8</v>
      </c>
      <c r="S118" s="32">
        <f>ROUND(ROUND(P118, 2)*I118, 2)</f>
        <v>0</v>
      </c>
      <c r="V118" s="9">
        <f>ROUND(ROUND(P118, 2)/1.2, 2)</f>
        <v>74</v>
      </c>
      <c r="Y118" s="9">
        <f t="shared" si="9"/>
        <v>0</v>
      </c>
      <c r="AD118" s="4" t="s">
        <v>648</v>
      </c>
      <c r="AE118" s="4" t="s">
        <v>649</v>
      </c>
      <c r="AF118" s="4" t="s">
        <v>400</v>
      </c>
    </row>
    <row r="119" spans="1:35" ht="36" x14ac:dyDescent="0.3">
      <c r="A119" s="10" t="s">
        <v>652</v>
      </c>
      <c r="B119" s="10" t="s">
        <v>653</v>
      </c>
      <c r="C119" s="11" t="s">
        <v>654</v>
      </c>
      <c r="D119" s="12"/>
      <c r="E119" s="12" t="s">
        <v>655</v>
      </c>
      <c r="F119" s="12" t="s">
        <v>76</v>
      </c>
      <c r="G119" s="13">
        <v>1</v>
      </c>
      <c r="H119" s="13"/>
      <c r="I119" s="13">
        <v>0</v>
      </c>
      <c r="J119" s="14">
        <v>844.85</v>
      </c>
      <c r="K119" s="15">
        <v>473</v>
      </c>
      <c r="L119" s="14">
        <f>J119+ROUND(K119, 2)</f>
        <v>1317.85</v>
      </c>
      <c r="M119" s="14">
        <v>0</v>
      </c>
      <c r="N119" s="14">
        <v>0</v>
      </c>
      <c r="O119" s="14">
        <f>M119+N119</f>
        <v>0</v>
      </c>
      <c r="P119" s="14">
        <v>844.85</v>
      </c>
      <c r="Q119" s="15">
        <v>473</v>
      </c>
      <c r="R119" s="14">
        <f>P119+ROUND(Q119, 2)</f>
        <v>1317.85</v>
      </c>
      <c r="S119" s="14">
        <v>0</v>
      </c>
      <c r="T119" s="14">
        <v>0</v>
      </c>
      <c r="U119" s="14">
        <f>S119+T119</f>
        <v>0</v>
      </c>
      <c r="V119" s="9">
        <f>ROUND(P119 / 1.2, 2)</f>
        <v>704.04</v>
      </c>
      <c r="W119" s="9">
        <f>ROUND(Q119 / 1.2, 2)</f>
        <v>394.17</v>
      </c>
      <c r="X119" s="9">
        <f>ROUND(R119 / 1.2, 2)</f>
        <v>1098.21</v>
      </c>
      <c r="Y119" s="9">
        <f t="shared" si="9"/>
        <v>0</v>
      </c>
      <c r="Z119" s="9">
        <f>ROUND(T119 / 1.2, 2)</f>
        <v>0</v>
      </c>
      <c r="AA119" s="9">
        <f>Y119+Z119</f>
        <v>0</v>
      </c>
      <c r="AD119" s="4">
        <v>320320111</v>
      </c>
      <c r="AE119" s="4">
        <v>26813832</v>
      </c>
      <c r="AG119" s="4" t="s">
        <v>656</v>
      </c>
      <c r="AH119" s="4" t="s">
        <v>657</v>
      </c>
      <c r="AI119" s="4" t="s">
        <v>338</v>
      </c>
    </row>
    <row r="120" spans="1:35" ht="36" x14ac:dyDescent="0.3">
      <c r="A120" s="10" t="s">
        <v>659</v>
      </c>
      <c r="B120" s="10"/>
      <c r="C120" s="47" t="s">
        <v>660</v>
      </c>
      <c r="D120" s="12"/>
      <c r="E120" s="12"/>
      <c r="F120" s="29" t="s">
        <v>364</v>
      </c>
      <c r="G120" s="30">
        <v>0.7</v>
      </c>
      <c r="H120" s="49"/>
      <c r="I120" s="49">
        <v>0</v>
      </c>
      <c r="J120" s="31">
        <v>16.96</v>
      </c>
      <c r="M120" s="32">
        <f>ROUND(ROUND(J120, 2)*I120, 2)</f>
        <v>0</v>
      </c>
      <c r="P120" s="31">
        <v>16.96</v>
      </c>
      <c r="S120" s="32">
        <f>ROUND(ROUND(P120, 2)*I120, 2)</f>
        <v>0</v>
      </c>
      <c r="V120" s="9">
        <f>ROUND(ROUND(P120, 2)/1.2, 2)</f>
        <v>14.13</v>
      </c>
      <c r="Y120" s="9">
        <f t="shared" si="9"/>
        <v>0</v>
      </c>
      <c r="AD120" s="4" t="s">
        <v>661</v>
      </c>
      <c r="AE120" s="4" t="s">
        <v>662</v>
      </c>
      <c r="AF120" s="4" t="s">
        <v>663</v>
      </c>
    </row>
    <row r="121" spans="1:35" ht="72" x14ac:dyDescent="0.3">
      <c r="A121" s="10" t="s">
        <v>666</v>
      </c>
      <c r="B121" s="10"/>
      <c r="C121" s="28" t="s">
        <v>667</v>
      </c>
      <c r="D121" s="12"/>
      <c r="E121" s="12" t="s">
        <v>668</v>
      </c>
      <c r="F121" s="29" t="s">
        <v>356</v>
      </c>
      <c r="G121" s="30">
        <v>1.84</v>
      </c>
      <c r="H121" s="49"/>
      <c r="I121" s="49">
        <v>0</v>
      </c>
      <c r="J121" s="31">
        <v>450.95</v>
      </c>
      <c r="M121" s="32">
        <f>ROUND(ROUND(J121, 2)*I121, 2)</f>
        <v>0</v>
      </c>
      <c r="P121" s="31">
        <v>450.95</v>
      </c>
      <c r="S121" s="32">
        <f>ROUND(ROUND(P121, 2)*I121, 2)</f>
        <v>0</v>
      </c>
      <c r="V121" s="9">
        <f>ROUND(ROUND(P121, 2)/1.2, 2)</f>
        <v>375.79</v>
      </c>
      <c r="Y121" s="9">
        <f t="shared" si="9"/>
        <v>0</v>
      </c>
      <c r="AD121" s="4" t="s">
        <v>669</v>
      </c>
      <c r="AE121" s="4" t="s">
        <v>670</v>
      </c>
      <c r="AF121" s="4" t="s">
        <v>671</v>
      </c>
    </row>
    <row r="122" spans="1:35" ht="18" x14ac:dyDescent="0.3">
      <c r="A122" s="10" t="s">
        <v>674</v>
      </c>
      <c r="B122" s="10"/>
      <c r="C122" s="28" t="s">
        <v>641</v>
      </c>
      <c r="D122" s="12"/>
      <c r="E122" s="12"/>
      <c r="F122" s="29" t="s">
        <v>364</v>
      </c>
      <c r="G122" s="30">
        <v>0.04</v>
      </c>
      <c r="H122" s="30"/>
      <c r="I122" s="30">
        <v>0</v>
      </c>
      <c r="J122" s="31">
        <v>47.44</v>
      </c>
      <c r="M122" s="32">
        <f>ROUND(ROUND(J122, 2)*I122, 2)</f>
        <v>0</v>
      </c>
      <c r="P122" s="31">
        <v>47.44</v>
      </c>
      <c r="S122" s="32">
        <f>ROUND(ROUND(P122, 2)*I122, 2)</f>
        <v>0</v>
      </c>
      <c r="V122" s="9">
        <f>ROUND(ROUND(P122, 2)/1.2, 2)</f>
        <v>39.53</v>
      </c>
      <c r="Y122" s="9">
        <f t="shared" si="9"/>
        <v>0</v>
      </c>
      <c r="AD122" s="4" t="s">
        <v>675</v>
      </c>
      <c r="AE122" s="4" t="s">
        <v>676</v>
      </c>
      <c r="AF122" s="4" t="s">
        <v>644</v>
      </c>
    </row>
    <row r="123" spans="1:35" ht="36" x14ac:dyDescent="0.3">
      <c r="A123" s="10" t="s">
        <v>679</v>
      </c>
      <c r="B123" s="10"/>
      <c r="C123" s="28" t="s">
        <v>680</v>
      </c>
      <c r="D123" s="12"/>
      <c r="E123" s="12"/>
      <c r="F123" s="29" t="s">
        <v>364</v>
      </c>
      <c r="G123" s="30">
        <v>1.4999999999999999E-2</v>
      </c>
      <c r="H123" s="30"/>
      <c r="I123" s="30">
        <v>0</v>
      </c>
      <c r="J123" s="31">
        <v>88.8</v>
      </c>
      <c r="M123" s="32">
        <f>ROUND(ROUND(J123, 2)*I123, 2)</f>
        <v>0</v>
      </c>
      <c r="P123" s="31">
        <v>88.8</v>
      </c>
      <c r="S123" s="32">
        <f>ROUND(ROUND(P123, 2)*I123, 2)</f>
        <v>0</v>
      </c>
      <c r="V123" s="9">
        <f>ROUND(ROUND(P123, 2)/1.2, 2)</f>
        <v>74</v>
      </c>
      <c r="Y123" s="9">
        <f t="shared" si="9"/>
        <v>0</v>
      </c>
      <c r="AD123" s="4" t="s">
        <v>681</v>
      </c>
      <c r="AE123" s="4" t="s">
        <v>682</v>
      </c>
      <c r="AF123" s="4" t="s">
        <v>683</v>
      </c>
    </row>
    <row r="124" spans="1:35" ht="36" x14ac:dyDescent="0.3">
      <c r="A124" s="10" t="s">
        <v>686</v>
      </c>
      <c r="B124" s="10" t="s">
        <v>653</v>
      </c>
      <c r="C124" s="11" t="s">
        <v>654</v>
      </c>
      <c r="D124" s="12"/>
      <c r="E124" s="12" t="s">
        <v>687</v>
      </c>
      <c r="F124" s="12" t="s">
        <v>76</v>
      </c>
      <c r="G124" s="13">
        <v>1</v>
      </c>
      <c r="H124" s="13"/>
      <c r="I124" s="13">
        <v>0</v>
      </c>
      <c r="J124" s="14">
        <v>844.85</v>
      </c>
      <c r="K124" s="15">
        <v>473</v>
      </c>
      <c r="L124" s="14">
        <f>J124+ROUND(K124, 2)</f>
        <v>1317.85</v>
      </c>
      <c r="M124" s="14">
        <v>0</v>
      </c>
      <c r="N124" s="14">
        <v>0</v>
      </c>
      <c r="O124" s="14">
        <f>M124+N124</f>
        <v>0</v>
      </c>
      <c r="P124" s="14">
        <v>844.85</v>
      </c>
      <c r="Q124" s="15">
        <v>473</v>
      </c>
      <c r="R124" s="14">
        <f>P124+ROUND(Q124, 2)</f>
        <v>1317.85</v>
      </c>
      <c r="S124" s="14">
        <v>0</v>
      </c>
      <c r="T124" s="14">
        <v>0</v>
      </c>
      <c r="U124" s="14">
        <f>S124+T124</f>
        <v>0</v>
      </c>
      <c r="V124" s="9">
        <f>ROUND(P124 / 1.2, 2)</f>
        <v>704.04</v>
      </c>
      <c r="W124" s="9">
        <f>ROUND(Q124 / 1.2, 2)</f>
        <v>394.17</v>
      </c>
      <c r="X124" s="9">
        <f>ROUND(R124 / 1.2, 2)</f>
        <v>1098.21</v>
      </c>
      <c r="Y124" s="9">
        <f t="shared" si="9"/>
        <v>0</v>
      </c>
      <c r="Z124" s="9">
        <f>ROUND(T124 / 1.2, 2)</f>
        <v>0</v>
      </c>
      <c r="AA124" s="9">
        <f>Y124+Z124</f>
        <v>0</v>
      </c>
      <c r="AD124" s="4">
        <v>320320157</v>
      </c>
      <c r="AE124" s="4">
        <v>26813838</v>
      </c>
      <c r="AG124" s="4" t="s">
        <v>656</v>
      </c>
      <c r="AH124" s="4" t="s">
        <v>657</v>
      </c>
      <c r="AI124" s="4" t="s">
        <v>338</v>
      </c>
    </row>
    <row r="125" spans="1:35" ht="36" x14ac:dyDescent="0.3">
      <c r="A125" s="10" t="s">
        <v>689</v>
      </c>
      <c r="B125" s="10"/>
      <c r="C125" s="28" t="s">
        <v>680</v>
      </c>
      <c r="D125" s="12"/>
      <c r="E125" s="12"/>
      <c r="F125" s="29" t="s">
        <v>364</v>
      </c>
      <c r="G125" s="30">
        <v>1.4999999999999999E-2</v>
      </c>
      <c r="H125" s="30"/>
      <c r="I125" s="30">
        <v>0</v>
      </c>
      <c r="J125" s="31">
        <v>88.8</v>
      </c>
      <c r="M125" s="32">
        <f>ROUND(ROUND(J125, 2)*I125, 2)</f>
        <v>0</v>
      </c>
      <c r="P125" s="31">
        <v>88.8</v>
      </c>
      <c r="S125" s="32">
        <f>ROUND(ROUND(P125, 2)*I125, 2)</f>
        <v>0</v>
      </c>
      <c r="V125" s="9">
        <f>ROUND(ROUND(P125, 2)/1.2, 2)</f>
        <v>74</v>
      </c>
      <c r="Y125" s="9">
        <f t="shared" si="9"/>
        <v>0</v>
      </c>
      <c r="AD125" s="4" t="s">
        <v>690</v>
      </c>
      <c r="AE125" s="4" t="s">
        <v>691</v>
      </c>
      <c r="AF125" s="4" t="s">
        <v>683</v>
      </c>
    </row>
    <row r="126" spans="1:35" ht="18" x14ac:dyDescent="0.3">
      <c r="A126" s="10" t="s">
        <v>694</v>
      </c>
      <c r="B126" s="10"/>
      <c r="C126" s="28" t="s">
        <v>641</v>
      </c>
      <c r="D126" s="12"/>
      <c r="E126" s="12"/>
      <c r="F126" s="29" t="s">
        <v>364</v>
      </c>
      <c r="G126" s="30">
        <v>0.04</v>
      </c>
      <c r="H126" s="30"/>
      <c r="I126" s="30">
        <v>0</v>
      </c>
      <c r="J126" s="31">
        <v>47.44</v>
      </c>
      <c r="M126" s="32">
        <f>ROUND(ROUND(J126, 2)*I126, 2)</f>
        <v>0</v>
      </c>
      <c r="P126" s="31">
        <v>47.44</v>
      </c>
      <c r="S126" s="32">
        <f>ROUND(ROUND(P126, 2)*I126, 2)</f>
        <v>0</v>
      </c>
      <c r="V126" s="9">
        <f>ROUND(ROUND(P126, 2)/1.2, 2)</f>
        <v>39.53</v>
      </c>
      <c r="Y126" s="9">
        <f t="shared" si="9"/>
        <v>0</v>
      </c>
      <c r="AD126" s="4" t="s">
        <v>695</v>
      </c>
      <c r="AE126" s="4" t="s">
        <v>696</v>
      </c>
      <c r="AF126" s="4" t="s">
        <v>644</v>
      </c>
    </row>
    <row r="127" spans="1:35" ht="72" x14ac:dyDescent="0.3">
      <c r="A127" s="10" t="s">
        <v>699</v>
      </c>
      <c r="B127" s="10"/>
      <c r="C127" s="28" t="s">
        <v>667</v>
      </c>
      <c r="D127" s="12"/>
      <c r="E127" s="12" t="s">
        <v>700</v>
      </c>
      <c r="F127" s="29" t="s">
        <v>356</v>
      </c>
      <c r="G127" s="30">
        <v>1.84</v>
      </c>
      <c r="H127" s="49"/>
      <c r="I127" s="49">
        <v>0</v>
      </c>
      <c r="J127" s="31">
        <v>450.95</v>
      </c>
      <c r="M127" s="32">
        <f>ROUND(ROUND(J127, 2)*I127, 2)</f>
        <v>0</v>
      </c>
      <c r="P127" s="31">
        <v>450.95</v>
      </c>
      <c r="S127" s="32">
        <f>ROUND(ROUND(P127, 2)*I127, 2)</f>
        <v>0</v>
      </c>
      <c r="V127" s="9">
        <f>ROUND(ROUND(P127, 2)/1.2, 2)</f>
        <v>375.79</v>
      </c>
      <c r="Y127" s="9">
        <f t="shared" si="9"/>
        <v>0</v>
      </c>
      <c r="AD127" s="4" t="s">
        <v>701</v>
      </c>
      <c r="AE127" s="4" t="s">
        <v>702</v>
      </c>
      <c r="AF127" s="4" t="s">
        <v>671</v>
      </c>
    </row>
    <row r="128" spans="1:35" ht="36" x14ac:dyDescent="0.3">
      <c r="A128" s="10" t="s">
        <v>705</v>
      </c>
      <c r="B128" s="10"/>
      <c r="C128" s="47" t="s">
        <v>660</v>
      </c>
      <c r="D128" s="12"/>
      <c r="E128" s="12"/>
      <c r="F128" s="29" t="s">
        <v>364</v>
      </c>
      <c r="G128" s="30">
        <v>0.7</v>
      </c>
      <c r="H128" s="49"/>
      <c r="I128" s="49">
        <v>0</v>
      </c>
      <c r="J128" s="31">
        <v>16.96</v>
      </c>
      <c r="M128" s="32">
        <f>ROUND(ROUND(J128, 2)*I128, 2)</f>
        <v>0</v>
      </c>
      <c r="P128" s="31">
        <v>16.96</v>
      </c>
      <c r="S128" s="32">
        <f>ROUND(ROUND(P128, 2)*I128, 2)</f>
        <v>0</v>
      </c>
      <c r="V128" s="9">
        <f>ROUND(ROUND(P128, 2)/1.2, 2)</f>
        <v>14.13</v>
      </c>
      <c r="Y128" s="9">
        <f t="shared" si="9"/>
        <v>0</v>
      </c>
      <c r="AD128" s="4" t="s">
        <v>706</v>
      </c>
      <c r="AE128" s="4" t="s">
        <v>707</v>
      </c>
      <c r="AF128" s="4" t="s">
        <v>663</v>
      </c>
    </row>
    <row r="129" spans="1:35" ht="36" x14ac:dyDescent="0.3">
      <c r="A129" s="10" t="s">
        <v>710</v>
      </c>
      <c r="B129" s="10" t="s">
        <v>653</v>
      </c>
      <c r="C129" s="11" t="s">
        <v>654</v>
      </c>
      <c r="D129" s="12"/>
      <c r="E129" s="12" t="s">
        <v>711</v>
      </c>
      <c r="F129" s="12" t="s">
        <v>76</v>
      </c>
      <c r="G129" s="13">
        <v>1</v>
      </c>
      <c r="H129" s="13"/>
      <c r="I129" s="13">
        <v>0</v>
      </c>
      <c r="J129" s="14">
        <v>375.74</v>
      </c>
      <c r="K129" s="15">
        <v>473</v>
      </c>
      <c r="L129" s="14">
        <f>J129+ROUND(K129, 2)</f>
        <v>848.74</v>
      </c>
      <c r="M129" s="14">
        <v>0</v>
      </c>
      <c r="N129" s="14">
        <v>0</v>
      </c>
      <c r="O129" s="14">
        <f>M129+N129</f>
        <v>0</v>
      </c>
      <c r="P129" s="14">
        <v>375.74</v>
      </c>
      <c r="Q129" s="15">
        <v>473</v>
      </c>
      <c r="R129" s="14">
        <f>P129+ROUND(Q129, 2)</f>
        <v>848.74</v>
      </c>
      <c r="S129" s="14">
        <v>0</v>
      </c>
      <c r="T129" s="14">
        <v>0</v>
      </c>
      <c r="U129" s="14">
        <f>S129+T129</f>
        <v>0</v>
      </c>
      <c r="V129" s="9">
        <f>ROUND(P129 / 1.2, 2)</f>
        <v>313.12</v>
      </c>
      <c r="W129" s="9">
        <f>ROUND(Q129 / 1.2, 2)</f>
        <v>394.17</v>
      </c>
      <c r="X129" s="9">
        <f>ROUND(R129 / 1.2, 2)</f>
        <v>707.28</v>
      </c>
      <c r="Y129" s="9">
        <f t="shared" si="9"/>
        <v>0</v>
      </c>
      <c r="Z129" s="9">
        <f>ROUND(T129 / 1.2, 2)</f>
        <v>0</v>
      </c>
      <c r="AA129" s="9">
        <f>Y129+Z129</f>
        <v>0</v>
      </c>
      <c r="AD129" s="4">
        <v>320320158</v>
      </c>
      <c r="AE129" s="4">
        <v>26813855</v>
      </c>
      <c r="AG129" s="4" t="s">
        <v>656</v>
      </c>
      <c r="AH129" s="4" t="s">
        <v>657</v>
      </c>
      <c r="AI129" s="4" t="s">
        <v>338</v>
      </c>
    </row>
    <row r="130" spans="1:35" ht="36" x14ac:dyDescent="0.3">
      <c r="A130" s="10" t="s">
        <v>713</v>
      </c>
      <c r="B130" s="10"/>
      <c r="C130" s="47" t="s">
        <v>660</v>
      </c>
      <c r="D130" s="12"/>
      <c r="E130" s="12"/>
      <c r="F130" s="29" t="s">
        <v>364</v>
      </c>
      <c r="G130" s="30">
        <v>0.7</v>
      </c>
      <c r="H130" s="49"/>
      <c r="I130" s="49">
        <v>0</v>
      </c>
      <c r="J130" s="31">
        <v>16.96</v>
      </c>
      <c r="M130" s="32">
        <f>ROUND(ROUND(J130, 2)*I130, 2)</f>
        <v>0</v>
      </c>
      <c r="P130" s="31">
        <v>16.96</v>
      </c>
      <c r="S130" s="32">
        <f>ROUND(ROUND(P130, 2)*I130, 2)</f>
        <v>0</v>
      </c>
      <c r="V130" s="9">
        <f>ROUND(ROUND(P130, 2)/1.2, 2)</f>
        <v>14.13</v>
      </c>
      <c r="Y130" s="9">
        <f t="shared" si="9"/>
        <v>0</v>
      </c>
      <c r="AD130" s="4" t="s">
        <v>714</v>
      </c>
      <c r="AE130" s="4" t="s">
        <v>715</v>
      </c>
      <c r="AF130" s="4" t="s">
        <v>663</v>
      </c>
    </row>
    <row r="131" spans="1:35" ht="54" x14ac:dyDescent="0.3">
      <c r="A131" s="10" t="s">
        <v>718</v>
      </c>
      <c r="B131" s="10"/>
      <c r="C131" s="28" t="s">
        <v>719</v>
      </c>
      <c r="D131" s="12"/>
      <c r="E131" s="12" t="s">
        <v>720</v>
      </c>
      <c r="F131" s="29" t="s">
        <v>356</v>
      </c>
      <c r="G131" s="30">
        <v>1.84</v>
      </c>
      <c r="H131" s="49"/>
      <c r="I131" s="49">
        <v>0</v>
      </c>
      <c r="J131" s="31">
        <v>196</v>
      </c>
      <c r="M131" s="32">
        <f>ROUND(ROUND(J131, 2)*I131, 2)</f>
        <v>0</v>
      </c>
      <c r="P131" s="31">
        <v>196</v>
      </c>
      <c r="S131" s="32">
        <f>ROUND(ROUND(P131, 2)*I131, 2)</f>
        <v>0</v>
      </c>
      <c r="V131" s="9">
        <f>ROUND(ROUND(P131, 2)/1.2, 2)</f>
        <v>163.33000000000001</v>
      </c>
      <c r="Y131" s="9">
        <f t="shared" si="9"/>
        <v>0</v>
      </c>
      <c r="AD131" s="4" t="s">
        <v>721</v>
      </c>
      <c r="AE131" s="4" t="s">
        <v>722</v>
      </c>
      <c r="AF131" s="4" t="s">
        <v>723</v>
      </c>
    </row>
    <row r="132" spans="1:35" ht="18" x14ac:dyDescent="0.3">
      <c r="A132" s="10" t="s">
        <v>726</v>
      </c>
      <c r="B132" s="10"/>
      <c r="C132" s="28" t="s">
        <v>641</v>
      </c>
      <c r="D132" s="12"/>
      <c r="E132" s="12"/>
      <c r="F132" s="29" t="s">
        <v>364</v>
      </c>
      <c r="G132" s="30">
        <v>0.04</v>
      </c>
      <c r="H132" s="30"/>
      <c r="I132" s="30">
        <v>0</v>
      </c>
      <c r="J132" s="31">
        <v>47.44</v>
      </c>
      <c r="M132" s="32">
        <f>ROUND(ROUND(J132, 2)*I132, 2)</f>
        <v>0</v>
      </c>
      <c r="P132" s="31">
        <v>47.44</v>
      </c>
      <c r="S132" s="32">
        <f>ROUND(ROUND(P132, 2)*I132, 2)</f>
        <v>0</v>
      </c>
      <c r="V132" s="9">
        <f>ROUND(ROUND(P132, 2)/1.2, 2)</f>
        <v>39.53</v>
      </c>
      <c r="Y132" s="9">
        <f t="shared" si="9"/>
        <v>0</v>
      </c>
      <c r="AD132" s="4" t="s">
        <v>727</v>
      </c>
      <c r="AE132" s="4" t="s">
        <v>728</v>
      </c>
      <c r="AF132" s="4" t="s">
        <v>644</v>
      </c>
    </row>
    <row r="133" spans="1:35" ht="36" x14ac:dyDescent="0.3">
      <c r="A133" s="10" t="s">
        <v>731</v>
      </c>
      <c r="B133" s="10"/>
      <c r="C133" s="28" t="s">
        <v>680</v>
      </c>
      <c r="D133" s="12"/>
      <c r="E133" s="12"/>
      <c r="F133" s="29" t="s">
        <v>364</v>
      </c>
      <c r="G133" s="30">
        <v>1.4999999999999999E-2</v>
      </c>
      <c r="H133" s="30"/>
      <c r="I133" s="30">
        <v>0</v>
      </c>
      <c r="J133" s="31">
        <v>88.8</v>
      </c>
      <c r="M133" s="32">
        <f>ROUND(ROUND(J133, 2)*I133, 2)</f>
        <v>0</v>
      </c>
      <c r="P133" s="31">
        <v>88.8</v>
      </c>
      <c r="S133" s="32">
        <f>ROUND(ROUND(P133, 2)*I133, 2)</f>
        <v>0</v>
      </c>
      <c r="V133" s="9">
        <f>ROUND(ROUND(P133, 2)/1.2, 2)</f>
        <v>74</v>
      </c>
      <c r="Y133" s="9">
        <f t="shared" si="9"/>
        <v>0</v>
      </c>
      <c r="AD133" s="4" t="s">
        <v>732</v>
      </c>
      <c r="AE133" s="4" t="s">
        <v>733</v>
      </c>
      <c r="AF133" s="4" t="s">
        <v>683</v>
      </c>
    </row>
    <row r="134" spans="1:35" ht="54" x14ac:dyDescent="0.3">
      <c r="A134" s="10" t="s">
        <v>736</v>
      </c>
      <c r="B134" s="10" t="s">
        <v>737</v>
      </c>
      <c r="C134" s="11" t="s">
        <v>738</v>
      </c>
      <c r="D134" s="12"/>
      <c r="E134" s="12" t="s">
        <v>655</v>
      </c>
      <c r="F134" s="12" t="s">
        <v>61</v>
      </c>
      <c r="G134" s="13">
        <v>1</v>
      </c>
      <c r="H134" s="13"/>
      <c r="I134" s="13">
        <v>0</v>
      </c>
      <c r="J134" s="14">
        <v>2347.08</v>
      </c>
      <c r="K134" s="15">
        <v>1655</v>
      </c>
      <c r="L134" s="14">
        <f>J134+ROUND(K134, 2)</f>
        <v>4002.08</v>
      </c>
      <c r="M134" s="14">
        <v>0</v>
      </c>
      <c r="N134" s="14">
        <v>0</v>
      </c>
      <c r="O134" s="14">
        <f>M134+N134</f>
        <v>0</v>
      </c>
      <c r="P134" s="14">
        <v>2347.08</v>
      </c>
      <c r="Q134" s="15">
        <v>1655</v>
      </c>
      <c r="R134" s="14">
        <f>P134+ROUND(Q134, 2)</f>
        <v>4002.08</v>
      </c>
      <c r="S134" s="14">
        <v>0</v>
      </c>
      <c r="T134" s="14">
        <v>0</v>
      </c>
      <c r="U134" s="14">
        <f>S134+T134</f>
        <v>0</v>
      </c>
      <c r="V134" s="9">
        <f>ROUND(P134 / 1.2, 2)</f>
        <v>1955.9</v>
      </c>
      <c r="W134" s="9">
        <f>ROUND(Q134 / 1.2, 2)</f>
        <v>1379.17</v>
      </c>
      <c r="X134" s="9">
        <f>ROUND(R134 / 1.2, 2)</f>
        <v>3335.07</v>
      </c>
      <c r="Y134" s="9">
        <f t="shared" si="9"/>
        <v>0</v>
      </c>
      <c r="Z134" s="9">
        <f>ROUND(T134 / 1.2, 2)</f>
        <v>0</v>
      </c>
      <c r="AA134" s="9">
        <f>Y134+Z134</f>
        <v>0</v>
      </c>
      <c r="AD134" s="4">
        <v>320320113</v>
      </c>
      <c r="AE134" s="4">
        <v>26813831</v>
      </c>
      <c r="AG134" s="4" t="s">
        <v>739</v>
      </c>
      <c r="AH134" s="4" t="s">
        <v>740</v>
      </c>
      <c r="AI134" s="4" t="s">
        <v>338</v>
      </c>
    </row>
    <row r="135" spans="1:35" ht="54" x14ac:dyDescent="0.3">
      <c r="A135" s="10" t="s">
        <v>742</v>
      </c>
      <c r="B135" s="10"/>
      <c r="C135" s="28" t="s">
        <v>743</v>
      </c>
      <c r="D135" s="12"/>
      <c r="E135" s="12" t="s">
        <v>744</v>
      </c>
      <c r="F135" s="29" t="s">
        <v>61</v>
      </c>
      <c r="G135" s="30">
        <v>1.07</v>
      </c>
      <c r="H135" s="49"/>
      <c r="I135" s="49">
        <v>0</v>
      </c>
      <c r="J135" s="31">
        <v>2059.0500000000002</v>
      </c>
      <c r="M135" s="32">
        <f>ROUND(ROUND(J135, 2)*I135, 2)</f>
        <v>0</v>
      </c>
      <c r="P135" s="31">
        <v>2059.0500000000002</v>
      </c>
      <c r="S135" s="32">
        <f>ROUND(ROUND(P135, 2)*I135, 2)</f>
        <v>0</v>
      </c>
      <c r="V135" s="9">
        <f>ROUND(ROUND(P135, 2)/1.2, 2)</f>
        <v>1715.88</v>
      </c>
      <c r="Y135" s="9">
        <f t="shared" ref="Y135:Y153" si="10">ROUND(S135 / 1.2, 2)</f>
        <v>0</v>
      </c>
      <c r="AD135" s="4" t="s">
        <v>745</v>
      </c>
      <c r="AE135" s="4" t="s">
        <v>746</v>
      </c>
      <c r="AF135" s="4" t="s">
        <v>747</v>
      </c>
    </row>
    <row r="136" spans="1:35" ht="36" x14ac:dyDescent="0.3">
      <c r="A136" s="10" t="s">
        <v>750</v>
      </c>
      <c r="B136" s="10"/>
      <c r="C136" s="47" t="s">
        <v>751</v>
      </c>
      <c r="D136" s="12"/>
      <c r="E136" s="12"/>
      <c r="F136" s="29" t="s">
        <v>364</v>
      </c>
      <c r="G136" s="30">
        <v>7</v>
      </c>
      <c r="H136" s="30"/>
      <c r="I136" s="30">
        <v>0</v>
      </c>
      <c r="J136" s="31">
        <v>16.96</v>
      </c>
      <c r="M136" s="32">
        <f>ROUND(ROUND(J136, 2)*I136, 2)</f>
        <v>0</v>
      </c>
      <c r="P136" s="31">
        <v>16.96</v>
      </c>
      <c r="S136" s="32">
        <f>ROUND(ROUND(P136, 2)*I136, 2)</f>
        <v>0</v>
      </c>
      <c r="V136" s="9">
        <f>ROUND(ROUND(P136, 2)/1.2, 2)</f>
        <v>14.13</v>
      </c>
      <c r="Y136" s="9">
        <f t="shared" si="10"/>
        <v>0</v>
      </c>
      <c r="AD136" s="4" t="s">
        <v>752</v>
      </c>
      <c r="AE136" s="4" t="s">
        <v>753</v>
      </c>
      <c r="AF136" s="4" t="s">
        <v>754</v>
      </c>
    </row>
    <row r="137" spans="1:35" ht="18" x14ac:dyDescent="0.3">
      <c r="A137" s="10" t="s">
        <v>757</v>
      </c>
      <c r="B137" s="10"/>
      <c r="C137" s="28" t="s">
        <v>641</v>
      </c>
      <c r="D137" s="12"/>
      <c r="E137" s="12"/>
      <c r="F137" s="29" t="s">
        <v>364</v>
      </c>
      <c r="G137" s="30">
        <v>0.25</v>
      </c>
      <c r="H137" s="49"/>
      <c r="I137" s="49">
        <v>0</v>
      </c>
      <c r="J137" s="31">
        <v>47.44</v>
      </c>
      <c r="M137" s="32">
        <f>ROUND(ROUND(J137, 2)*I137, 2)</f>
        <v>0</v>
      </c>
      <c r="P137" s="31">
        <v>47.44</v>
      </c>
      <c r="S137" s="32">
        <f>ROUND(ROUND(P137, 2)*I137, 2)</f>
        <v>0</v>
      </c>
      <c r="V137" s="9">
        <f>ROUND(ROUND(P137, 2)/1.2, 2)</f>
        <v>39.53</v>
      </c>
      <c r="Y137" s="9">
        <f t="shared" si="10"/>
        <v>0</v>
      </c>
      <c r="AD137" s="4" t="s">
        <v>758</v>
      </c>
      <c r="AE137" s="4" t="s">
        <v>759</v>
      </c>
      <c r="AF137" s="4" t="s">
        <v>644</v>
      </c>
    </row>
    <row r="138" spans="1:35" ht="36" x14ac:dyDescent="0.3">
      <c r="A138" s="10" t="s">
        <v>762</v>
      </c>
      <c r="B138" s="10"/>
      <c r="C138" s="28" t="s">
        <v>680</v>
      </c>
      <c r="D138" s="12"/>
      <c r="E138" s="12"/>
      <c r="F138" s="29" t="s">
        <v>364</v>
      </c>
      <c r="G138" s="30">
        <v>0.15</v>
      </c>
      <c r="H138" s="30"/>
      <c r="I138" s="30">
        <v>0</v>
      </c>
      <c r="J138" s="31">
        <v>88.8</v>
      </c>
      <c r="M138" s="32">
        <f>ROUND(ROUND(J138, 2)*I138, 2)</f>
        <v>0</v>
      </c>
      <c r="P138" s="31">
        <v>88.8</v>
      </c>
      <c r="S138" s="32">
        <f>ROUND(ROUND(P138, 2)*I138, 2)</f>
        <v>0</v>
      </c>
      <c r="V138" s="9">
        <f>ROUND(ROUND(P138, 2)/1.2, 2)</f>
        <v>74</v>
      </c>
      <c r="Y138" s="9">
        <f t="shared" si="10"/>
        <v>0</v>
      </c>
      <c r="AD138" s="4" t="s">
        <v>763</v>
      </c>
      <c r="AE138" s="4" t="s">
        <v>764</v>
      </c>
      <c r="AF138" s="4" t="s">
        <v>683</v>
      </c>
    </row>
    <row r="139" spans="1:35" ht="90" x14ac:dyDescent="0.3">
      <c r="A139" s="10" t="s">
        <v>767</v>
      </c>
      <c r="B139" s="10" t="s">
        <v>737</v>
      </c>
      <c r="C139" s="11" t="s">
        <v>738</v>
      </c>
      <c r="D139" s="12"/>
      <c r="E139" s="12" t="s">
        <v>768</v>
      </c>
      <c r="F139" s="12" t="s">
        <v>61</v>
      </c>
      <c r="G139" s="13">
        <v>1</v>
      </c>
      <c r="H139" s="13"/>
      <c r="I139" s="13">
        <v>0</v>
      </c>
      <c r="J139" s="14">
        <v>2347.08</v>
      </c>
      <c r="K139" s="15">
        <v>1655</v>
      </c>
      <c r="L139" s="14">
        <f>J139+ROUND(K139, 2)</f>
        <v>4002.08</v>
      </c>
      <c r="M139" s="14">
        <v>0</v>
      </c>
      <c r="N139" s="14">
        <v>0</v>
      </c>
      <c r="O139" s="14">
        <f>M139+N139</f>
        <v>0</v>
      </c>
      <c r="P139" s="14">
        <v>2347.08</v>
      </c>
      <c r="Q139" s="15">
        <v>1655</v>
      </c>
      <c r="R139" s="14">
        <f>P139+ROUND(Q139, 2)</f>
        <v>4002.08</v>
      </c>
      <c r="S139" s="14">
        <v>0</v>
      </c>
      <c r="T139" s="14">
        <v>0</v>
      </c>
      <c r="U139" s="14">
        <f>S139+T139</f>
        <v>0</v>
      </c>
      <c r="V139" s="9">
        <f>ROUND(P139 / 1.2, 2)</f>
        <v>1955.9</v>
      </c>
      <c r="W139" s="9">
        <f>ROUND(Q139 / 1.2, 2)</f>
        <v>1379.17</v>
      </c>
      <c r="X139" s="9">
        <f>ROUND(R139 / 1.2, 2)</f>
        <v>3335.07</v>
      </c>
      <c r="Y139" s="9">
        <f t="shared" si="10"/>
        <v>0</v>
      </c>
      <c r="Z139" s="9">
        <f>ROUND(T139 / 1.2, 2)</f>
        <v>0</v>
      </c>
      <c r="AA139" s="9">
        <f>Y139+Z139</f>
        <v>0</v>
      </c>
      <c r="AD139" s="4">
        <v>320320159</v>
      </c>
      <c r="AE139" s="4">
        <v>26813820</v>
      </c>
      <c r="AG139" s="4" t="s">
        <v>739</v>
      </c>
      <c r="AH139" s="4" t="s">
        <v>740</v>
      </c>
      <c r="AI139" s="4" t="s">
        <v>338</v>
      </c>
    </row>
    <row r="140" spans="1:35" ht="36" x14ac:dyDescent="0.3">
      <c r="A140" s="10" t="s">
        <v>770</v>
      </c>
      <c r="B140" s="10"/>
      <c r="C140" s="28" t="s">
        <v>680</v>
      </c>
      <c r="D140" s="12"/>
      <c r="E140" s="12"/>
      <c r="F140" s="29" t="s">
        <v>364</v>
      </c>
      <c r="G140" s="30">
        <v>0.15</v>
      </c>
      <c r="H140" s="30"/>
      <c r="I140" s="30">
        <v>0</v>
      </c>
      <c r="J140" s="31">
        <v>88.8</v>
      </c>
      <c r="M140" s="32">
        <f>ROUND(ROUND(J140, 2)*I140, 2)</f>
        <v>0</v>
      </c>
      <c r="P140" s="31">
        <v>88.8</v>
      </c>
      <c r="S140" s="32">
        <f>ROUND(ROUND(P140, 2)*I140, 2)</f>
        <v>0</v>
      </c>
      <c r="V140" s="9">
        <f>ROUND(ROUND(P140, 2)/1.2, 2)</f>
        <v>74</v>
      </c>
      <c r="Y140" s="9">
        <f t="shared" si="10"/>
        <v>0</v>
      </c>
      <c r="AD140" s="4" t="s">
        <v>771</v>
      </c>
      <c r="AE140" s="4" t="s">
        <v>772</v>
      </c>
      <c r="AF140" s="4" t="s">
        <v>683</v>
      </c>
    </row>
    <row r="141" spans="1:35" ht="18" x14ac:dyDescent="0.3">
      <c r="A141" s="10" t="s">
        <v>775</v>
      </c>
      <c r="B141" s="10"/>
      <c r="C141" s="28" t="s">
        <v>641</v>
      </c>
      <c r="D141" s="12"/>
      <c r="E141" s="12"/>
      <c r="F141" s="29" t="s">
        <v>364</v>
      </c>
      <c r="G141" s="30">
        <v>0.25</v>
      </c>
      <c r="H141" s="49"/>
      <c r="I141" s="49">
        <v>0</v>
      </c>
      <c r="J141" s="31">
        <v>47.44</v>
      </c>
      <c r="M141" s="32">
        <f>ROUND(ROUND(J141, 2)*I141, 2)</f>
        <v>0</v>
      </c>
      <c r="P141" s="31">
        <v>47.44</v>
      </c>
      <c r="S141" s="32">
        <f>ROUND(ROUND(P141, 2)*I141, 2)</f>
        <v>0</v>
      </c>
      <c r="V141" s="9">
        <f>ROUND(ROUND(P141, 2)/1.2, 2)</f>
        <v>39.53</v>
      </c>
      <c r="Y141" s="9">
        <f t="shared" si="10"/>
        <v>0</v>
      </c>
      <c r="AD141" s="4" t="s">
        <v>776</v>
      </c>
      <c r="AE141" s="4" t="s">
        <v>777</v>
      </c>
      <c r="AF141" s="4" t="s">
        <v>644</v>
      </c>
    </row>
    <row r="142" spans="1:35" ht="36" x14ac:dyDescent="0.3">
      <c r="A142" s="10" t="s">
        <v>780</v>
      </c>
      <c r="B142" s="10"/>
      <c r="C142" s="47" t="s">
        <v>751</v>
      </c>
      <c r="D142" s="12"/>
      <c r="E142" s="12"/>
      <c r="F142" s="29" t="s">
        <v>364</v>
      </c>
      <c r="G142" s="30">
        <v>7</v>
      </c>
      <c r="H142" s="30"/>
      <c r="I142" s="30">
        <v>0</v>
      </c>
      <c r="J142" s="31">
        <v>16.96</v>
      </c>
      <c r="M142" s="32">
        <f>ROUND(ROUND(J142, 2)*I142, 2)</f>
        <v>0</v>
      </c>
      <c r="P142" s="31">
        <v>16.96</v>
      </c>
      <c r="S142" s="32">
        <f>ROUND(ROUND(P142, 2)*I142, 2)</f>
        <v>0</v>
      </c>
      <c r="V142" s="9">
        <f>ROUND(ROUND(P142, 2)/1.2, 2)</f>
        <v>14.13</v>
      </c>
      <c r="Y142" s="9">
        <f t="shared" si="10"/>
        <v>0</v>
      </c>
      <c r="AD142" s="4" t="s">
        <v>781</v>
      </c>
      <c r="AE142" s="4" t="s">
        <v>782</v>
      </c>
      <c r="AF142" s="4" t="s">
        <v>754</v>
      </c>
    </row>
    <row r="143" spans="1:35" ht="18" x14ac:dyDescent="0.3">
      <c r="A143" s="10" t="s">
        <v>785</v>
      </c>
      <c r="B143" s="10"/>
      <c r="C143" s="28" t="s">
        <v>743</v>
      </c>
      <c r="D143" s="12"/>
      <c r="E143" s="12"/>
      <c r="F143" s="29" t="s">
        <v>61</v>
      </c>
      <c r="G143" s="30">
        <v>1.07</v>
      </c>
      <c r="H143" s="49"/>
      <c r="I143" s="49">
        <v>0</v>
      </c>
      <c r="J143" s="31">
        <v>2059.0500000000002</v>
      </c>
      <c r="M143" s="32">
        <f>ROUND(ROUND(J143, 2)*I143, 2)</f>
        <v>0</v>
      </c>
      <c r="P143" s="31">
        <v>2059.0500000000002</v>
      </c>
      <c r="S143" s="32">
        <f>ROUND(ROUND(P143, 2)*I143, 2)</f>
        <v>0</v>
      </c>
      <c r="V143" s="9">
        <f>ROUND(ROUND(P143, 2)/1.2, 2)</f>
        <v>1715.88</v>
      </c>
      <c r="Y143" s="9">
        <f t="shared" si="10"/>
        <v>0</v>
      </c>
      <c r="AD143" s="4" t="s">
        <v>786</v>
      </c>
      <c r="AE143" s="4" t="s">
        <v>787</v>
      </c>
      <c r="AF143" s="4" t="s">
        <v>747</v>
      </c>
    </row>
    <row r="144" spans="1:35" ht="54" x14ac:dyDescent="0.3">
      <c r="A144" s="10" t="s">
        <v>790</v>
      </c>
      <c r="B144" s="10" t="s">
        <v>791</v>
      </c>
      <c r="C144" s="11" t="s">
        <v>792</v>
      </c>
      <c r="D144" s="12"/>
      <c r="E144" s="12" t="s">
        <v>687</v>
      </c>
      <c r="F144" s="12" t="s">
        <v>61</v>
      </c>
      <c r="G144" s="13">
        <v>1</v>
      </c>
      <c r="H144" s="13"/>
      <c r="I144" s="13">
        <v>0</v>
      </c>
      <c r="J144" s="14">
        <v>2552.44</v>
      </c>
      <c r="K144" s="15">
        <v>2785</v>
      </c>
      <c r="L144" s="14">
        <f>J144+ROUND(K144, 2)</f>
        <v>5337.4400000000005</v>
      </c>
      <c r="M144" s="14">
        <v>0</v>
      </c>
      <c r="N144" s="14">
        <v>0</v>
      </c>
      <c r="O144" s="14">
        <f>M144+N144</f>
        <v>0</v>
      </c>
      <c r="P144" s="14">
        <v>2552.44</v>
      </c>
      <c r="Q144" s="15">
        <v>2785</v>
      </c>
      <c r="R144" s="14">
        <f>P144+ROUND(Q144, 2)</f>
        <v>5337.4400000000005</v>
      </c>
      <c r="S144" s="14">
        <v>0</v>
      </c>
      <c r="T144" s="14">
        <v>0</v>
      </c>
      <c r="U144" s="14">
        <f>S144+T144</f>
        <v>0</v>
      </c>
      <c r="V144" s="9">
        <f>ROUND(P144 / 1.2, 2)</f>
        <v>2127.0300000000002</v>
      </c>
      <c r="W144" s="9">
        <f>ROUND(Q144 / 1.2, 2)</f>
        <v>2320.83</v>
      </c>
      <c r="X144" s="9">
        <f>ROUND(R144 / 1.2, 2)</f>
        <v>4447.87</v>
      </c>
      <c r="Y144" s="9">
        <f t="shared" si="10"/>
        <v>0</v>
      </c>
      <c r="Z144" s="9">
        <f>ROUND(T144 / 1.2, 2)</f>
        <v>0</v>
      </c>
      <c r="AA144" s="9">
        <f>Y144+Z144</f>
        <v>0</v>
      </c>
      <c r="AD144" s="4">
        <v>320320114</v>
      </c>
      <c r="AE144" s="4">
        <v>26813839</v>
      </c>
      <c r="AG144" s="4" t="s">
        <v>793</v>
      </c>
      <c r="AH144" s="4" t="s">
        <v>794</v>
      </c>
      <c r="AI144" s="4" t="s">
        <v>338</v>
      </c>
    </row>
    <row r="145" spans="1:35" ht="36" x14ac:dyDescent="0.3">
      <c r="A145" s="10" t="s">
        <v>796</v>
      </c>
      <c r="B145" s="10"/>
      <c r="C145" s="47" t="s">
        <v>797</v>
      </c>
      <c r="D145" s="12"/>
      <c r="E145" s="12"/>
      <c r="F145" s="29" t="s">
        <v>364</v>
      </c>
      <c r="G145" s="30">
        <v>1.2</v>
      </c>
      <c r="H145" s="49"/>
      <c r="I145" s="49">
        <v>0</v>
      </c>
      <c r="J145" s="31">
        <v>16.96</v>
      </c>
      <c r="M145" s="32">
        <f>ROUND(ROUND(J145, 2)*I145, 2)</f>
        <v>0</v>
      </c>
      <c r="P145" s="31">
        <v>16.96</v>
      </c>
      <c r="S145" s="32">
        <f>ROUND(ROUND(P145, 2)*I145, 2)</f>
        <v>0</v>
      </c>
      <c r="V145" s="9">
        <f>ROUND(ROUND(P145, 2)/1.2, 2)</f>
        <v>14.13</v>
      </c>
      <c r="Y145" s="9">
        <f t="shared" si="10"/>
        <v>0</v>
      </c>
      <c r="AD145" s="4" t="s">
        <v>798</v>
      </c>
      <c r="AE145" s="4" t="s">
        <v>799</v>
      </c>
      <c r="AF145" s="4" t="s">
        <v>800</v>
      </c>
    </row>
    <row r="146" spans="1:35" ht="54" x14ac:dyDescent="0.3">
      <c r="A146" s="10" t="s">
        <v>803</v>
      </c>
      <c r="B146" s="10"/>
      <c r="C146" s="28" t="s">
        <v>804</v>
      </c>
      <c r="D146" s="12"/>
      <c r="E146" s="12" t="s">
        <v>805</v>
      </c>
      <c r="F146" s="29" t="s">
        <v>61</v>
      </c>
      <c r="G146" s="30">
        <v>1.2</v>
      </c>
      <c r="H146" s="49"/>
      <c r="I146" s="49">
        <v>0</v>
      </c>
      <c r="J146" s="31">
        <v>2021.25</v>
      </c>
      <c r="M146" s="32">
        <f>ROUND(ROUND(J146, 2)*I146, 2)</f>
        <v>0</v>
      </c>
      <c r="P146" s="31">
        <v>2021.25</v>
      </c>
      <c r="S146" s="32">
        <f>ROUND(ROUND(P146, 2)*I146, 2)</f>
        <v>0</v>
      </c>
      <c r="V146" s="9">
        <f>ROUND(ROUND(P146, 2)/1.2, 2)</f>
        <v>1684.38</v>
      </c>
      <c r="Y146" s="9">
        <f t="shared" si="10"/>
        <v>0</v>
      </c>
      <c r="AD146" s="4" t="s">
        <v>806</v>
      </c>
      <c r="AE146" s="4" t="s">
        <v>807</v>
      </c>
      <c r="AF146" s="4" t="s">
        <v>808</v>
      </c>
    </row>
    <row r="147" spans="1:35" ht="18" x14ac:dyDescent="0.3">
      <c r="A147" s="10" t="s">
        <v>811</v>
      </c>
      <c r="B147" s="10"/>
      <c r="C147" s="28" t="s">
        <v>641</v>
      </c>
      <c r="D147" s="12"/>
      <c r="E147" s="12"/>
      <c r="F147" s="29" t="s">
        <v>364</v>
      </c>
      <c r="G147" s="30">
        <v>0.25</v>
      </c>
      <c r="H147" s="49"/>
      <c r="I147" s="49">
        <v>0</v>
      </c>
      <c r="J147" s="31">
        <v>47.44</v>
      </c>
      <c r="M147" s="32">
        <f>ROUND(ROUND(J147, 2)*I147, 2)</f>
        <v>0</v>
      </c>
      <c r="P147" s="31">
        <v>47.44</v>
      </c>
      <c r="S147" s="32">
        <f>ROUND(ROUND(P147, 2)*I147, 2)</f>
        <v>0</v>
      </c>
      <c r="V147" s="9">
        <f>ROUND(ROUND(P147, 2)/1.2, 2)</f>
        <v>39.53</v>
      </c>
      <c r="Y147" s="9">
        <f t="shared" si="10"/>
        <v>0</v>
      </c>
      <c r="AD147" s="4" t="s">
        <v>812</v>
      </c>
      <c r="AE147" s="4" t="s">
        <v>813</v>
      </c>
      <c r="AF147" s="4" t="s">
        <v>644</v>
      </c>
    </row>
    <row r="148" spans="1:35" ht="36" x14ac:dyDescent="0.3">
      <c r="A148" s="10" t="s">
        <v>816</v>
      </c>
      <c r="B148" s="10"/>
      <c r="C148" s="28" t="s">
        <v>680</v>
      </c>
      <c r="D148" s="12"/>
      <c r="E148" s="12"/>
      <c r="F148" s="29" t="s">
        <v>364</v>
      </c>
      <c r="G148" s="30">
        <v>0.15</v>
      </c>
      <c r="H148" s="30"/>
      <c r="I148" s="30">
        <v>0</v>
      </c>
      <c r="J148" s="31">
        <v>88.8</v>
      </c>
      <c r="M148" s="32">
        <f>ROUND(ROUND(J148, 2)*I148, 2)</f>
        <v>0</v>
      </c>
      <c r="P148" s="31">
        <v>88.8</v>
      </c>
      <c r="S148" s="32">
        <f>ROUND(ROUND(P148, 2)*I148, 2)</f>
        <v>0</v>
      </c>
      <c r="V148" s="9">
        <f>ROUND(ROUND(P148, 2)/1.2, 2)</f>
        <v>74</v>
      </c>
      <c r="Y148" s="9">
        <f t="shared" si="10"/>
        <v>0</v>
      </c>
      <c r="AD148" s="4" t="s">
        <v>817</v>
      </c>
      <c r="AE148" s="4" t="s">
        <v>818</v>
      </c>
      <c r="AF148" s="4" t="s">
        <v>683</v>
      </c>
    </row>
    <row r="149" spans="1:35" ht="54" x14ac:dyDescent="0.3">
      <c r="A149" s="10" t="s">
        <v>821</v>
      </c>
      <c r="B149" s="10" t="s">
        <v>791</v>
      </c>
      <c r="C149" s="11" t="s">
        <v>792</v>
      </c>
      <c r="D149" s="12"/>
      <c r="E149" s="12" t="s">
        <v>711</v>
      </c>
      <c r="F149" s="12" t="s">
        <v>61</v>
      </c>
      <c r="G149" s="13">
        <v>1</v>
      </c>
      <c r="H149" s="13"/>
      <c r="I149" s="13">
        <v>0</v>
      </c>
      <c r="J149" s="14">
        <v>2552.44</v>
      </c>
      <c r="K149" s="15">
        <v>2785</v>
      </c>
      <c r="L149" s="14">
        <f>J149+ROUND(K149, 2)</f>
        <v>5337.4400000000005</v>
      </c>
      <c r="M149" s="14">
        <v>0</v>
      </c>
      <c r="N149" s="14">
        <v>0</v>
      </c>
      <c r="O149" s="14">
        <f>M149+N149</f>
        <v>0</v>
      </c>
      <c r="P149" s="14">
        <v>2552.44</v>
      </c>
      <c r="Q149" s="15">
        <v>2785</v>
      </c>
      <c r="R149" s="14">
        <f>P149+ROUND(Q149, 2)</f>
        <v>5337.4400000000005</v>
      </c>
      <c r="S149" s="14">
        <v>0</v>
      </c>
      <c r="T149" s="14">
        <v>0</v>
      </c>
      <c r="U149" s="14">
        <f>S149+T149</f>
        <v>0</v>
      </c>
      <c r="V149" s="9">
        <f>ROUND(P149 / 1.2, 2)</f>
        <v>2127.0300000000002</v>
      </c>
      <c r="W149" s="9">
        <f>ROUND(Q149 / 1.2, 2)</f>
        <v>2320.83</v>
      </c>
      <c r="X149" s="9">
        <f>ROUND(R149 / 1.2, 2)</f>
        <v>4447.87</v>
      </c>
      <c r="Y149" s="9">
        <f t="shared" si="10"/>
        <v>0</v>
      </c>
      <c r="Z149" s="9">
        <f>ROUND(T149 / 1.2, 2)</f>
        <v>0</v>
      </c>
      <c r="AA149" s="9">
        <f>Y149+Z149</f>
        <v>0</v>
      </c>
      <c r="AD149" s="4">
        <v>320320160</v>
      </c>
      <c r="AE149" s="4">
        <v>26813856</v>
      </c>
      <c r="AG149" s="4" t="s">
        <v>793</v>
      </c>
      <c r="AH149" s="4" t="s">
        <v>794</v>
      </c>
      <c r="AI149" s="4" t="s">
        <v>338</v>
      </c>
    </row>
    <row r="150" spans="1:35" ht="36" x14ac:dyDescent="0.3">
      <c r="A150" s="10" t="s">
        <v>823</v>
      </c>
      <c r="B150" s="10"/>
      <c r="C150" s="28" t="s">
        <v>680</v>
      </c>
      <c r="D150" s="12"/>
      <c r="E150" s="12"/>
      <c r="F150" s="29" t="s">
        <v>364</v>
      </c>
      <c r="G150" s="30">
        <v>0.15</v>
      </c>
      <c r="H150" s="30"/>
      <c r="I150" s="30">
        <v>0</v>
      </c>
      <c r="J150" s="31">
        <v>88.8</v>
      </c>
      <c r="M150" s="32">
        <f>ROUND(ROUND(J150, 2)*I150, 2)</f>
        <v>0</v>
      </c>
      <c r="P150" s="31">
        <v>88.8</v>
      </c>
      <c r="S150" s="32">
        <f>ROUND(ROUND(P150, 2)*I150, 2)</f>
        <v>0</v>
      </c>
      <c r="V150" s="9">
        <f>ROUND(ROUND(P150, 2)/1.2, 2)</f>
        <v>74</v>
      </c>
      <c r="Y150" s="9">
        <f t="shared" si="10"/>
        <v>0</v>
      </c>
      <c r="AD150" s="4" t="s">
        <v>824</v>
      </c>
      <c r="AE150" s="4" t="s">
        <v>825</v>
      </c>
      <c r="AF150" s="4" t="s">
        <v>683</v>
      </c>
    </row>
    <row r="151" spans="1:35" ht="18" x14ac:dyDescent="0.3">
      <c r="A151" s="10" t="s">
        <v>828</v>
      </c>
      <c r="B151" s="10"/>
      <c r="C151" s="28" t="s">
        <v>641</v>
      </c>
      <c r="D151" s="12"/>
      <c r="E151" s="12"/>
      <c r="F151" s="29" t="s">
        <v>364</v>
      </c>
      <c r="G151" s="30">
        <v>0.25</v>
      </c>
      <c r="H151" s="49"/>
      <c r="I151" s="49">
        <v>0</v>
      </c>
      <c r="J151" s="31">
        <v>47.44</v>
      </c>
      <c r="M151" s="32">
        <f>ROUND(ROUND(J151, 2)*I151, 2)</f>
        <v>0</v>
      </c>
      <c r="P151" s="31">
        <v>47.44</v>
      </c>
      <c r="S151" s="32">
        <f>ROUND(ROUND(P151, 2)*I151, 2)</f>
        <v>0</v>
      </c>
      <c r="V151" s="9">
        <f>ROUND(ROUND(P151, 2)/1.2, 2)</f>
        <v>39.53</v>
      </c>
      <c r="Y151" s="9">
        <f t="shared" si="10"/>
        <v>0</v>
      </c>
      <c r="AD151" s="4" t="s">
        <v>829</v>
      </c>
      <c r="AE151" s="4" t="s">
        <v>830</v>
      </c>
      <c r="AF151" s="4" t="s">
        <v>644</v>
      </c>
    </row>
    <row r="152" spans="1:35" ht="72" x14ac:dyDescent="0.3">
      <c r="A152" s="10" t="s">
        <v>833</v>
      </c>
      <c r="B152" s="10"/>
      <c r="C152" s="28" t="s">
        <v>804</v>
      </c>
      <c r="D152" s="12"/>
      <c r="E152" s="12" t="s">
        <v>834</v>
      </c>
      <c r="F152" s="29" t="s">
        <v>61</v>
      </c>
      <c r="G152" s="30">
        <v>1.2</v>
      </c>
      <c r="H152" s="49"/>
      <c r="I152" s="49">
        <v>0</v>
      </c>
      <c r="J152" s="31">
        <v>2021.25</v>
      </c>
      <c r="M152" s="32">
        <f>ROUND(ROUND(J152, 2)*I152, 2)</f>
        <v>0</v>
      </c>
      <c r="P152" s="31">
        <v>2021.25</v>
      </c>
      <c r="S152" s="32">
        <f>ROUND(ROUND(P152, 2)*I152, 2)</f>
        <v>0</v>
      </c>
      <c r="V152" s="9">
        <f>ROUND(ROUND(P152, 2)/1.2, 2)</f>
        <v>1684.38</v>
      </c>
      <c r="Y152" s="9">
        <f t="shared" si="10"/>
        <v>0</v>
      </c>
      <c r="AD152" s="4" t="s">
        <v>835</v>
      </c>
      <c r="AE152" s="4" t="s">
        <v>836</v>
      </c>
      <c r="AF152" s="4" t="s">
        <v>808</v>
      </c>
    </row>
    <row r="153" spans="1:35" ht="36" x14ac:dyDescent="0.3">
      <c r="A153" s="10" t="s">
        <v>839</v>
      </c>
      <c r="B153" s="10"/>
      <c r="C153" s="47" t="s">
        <v>797</v>
      </c>
      <c r="D153" s="12"/>
      <c r="E153" s="12"/>
      <c r="F153" s="29" t="s">
        <v>364</v>
      </c>
      <c r="G153" s="30">
        <v>1.2</v>
      </c>
      <c r="H153" s="49"/>
      <c r="I153" s="49">
        <v>0</v>
      </c>
      <c r="J153" s="31">
        <v>16.96</v>
      </c>
      <c r="M153" s="32">
        <f>ROUND(ROUND(J153, 2)*I153, 2)</f>
        <v>0</v>
      </c>
      <c r="P153" s="31">
        <v>16.96</v>
      </c>
      <c r="S153" s="32">
        <f>ROUND(ROUND(P153, 2)*I153, 2)</f>
        <v>0</v>
      </c>
      <c r="V153" s="9">
        <f>ROUND(ROUND(P153, 2)/1.2, 2)</f>
        <v>14.13</v>
      </c>
      <c r="Y153" s="9">
        <f t="shared" si="10"/>
        <v>0</v>
      </c>
      <c r="AD153" s="4" t="s">
        <v>840</v>
      </c>
      <c r="AE153" s="4" t="s">
        <v>841</v>
      </c>
      <c r="AF153" s="4" t="s">
        <v>800</v>
      </c>
    </row>
    <row r="154" spans="1:35" ht="16.95" customHeight="1" x14ac:dyDescent="0.3">
      <c r="A154" s="10" t="s">
        <v>844</v>
      </c>
      <c r="B154" s="10" t="s">
        <v>845</v>
      </c>
      <c r="C154" s="237" t="s">
        <v>846</v>
      </c>
      <c r="D154" s="238"/>
      <c r="E154" s="238"/>
      <c r="F154" s="238"/>
      <c r="G154" s="238"/>
      <c r="H154" s="238"/>
      <c r="I154" s="239"/>
      <c r="M154" s="6">
        <f>SUM(M155,M161)</f>
        <v>0</v>
      </c>
      <c r="N154" s="6">
        <f>SUM(N155,N161)</f>
        <v>0</v>
      </c>
      <c r="O154" s="6">
        <f>SUM(O155,O161)</f>
        <v>0</v>
      </c>
      <c r="S154" s="6">
        <f>SUM(S155,S161)</f>
        <v>0</v>
      </c>
      <c r="T154" s="6">
        <f>SUM(T155,T161)</f>
        <v>0</v>
      </c>
      <c r="U154" s="6">
        <f>SUM(U155,U161)</f>
        <v>0</v>
      </c>
      <c r="Y154" s="9">
        <f>SUM(Y155,Y161)</f>
        <v>0</v>
      </c>
      <c r="Z154" s="9">
        <f>SUM(Z155,Z161)</f>
        <v>0</v>
      </c>
      <c r="AA154" s="9">
        <f>SUM(AA155,AA161)</f>
        <v>0</v>
      </c>
      <c r="AD154" s="4">
        <v>320320115</v>
      </c>
      <c r="AE154" s="4">
        <v>26813763</v>
      </c>
    </row>
    <row r="155" spans="1:35" ht="16.95" customHeight="1" x14ac:dyDescent="0.3">
      <c r="A155" s="10" t="s">
        <v>847</v>
      </c>
      <c r="B155" s="10" t="s">
        <v>848</v>
      </c>
      <c r="C155" s="237" t="s">
        <v>849</v>
      </c>
      <c r="D155" s="238"/>
      <c r="E155" s="238"/>
      <c r="F155" s="238"/>
      <c r="G155" s="238"/>
      <c r="H155" s="238"/>
      <c r="I155" s="239"/>
      <c r="M155" s="6">
        <f>SUM(M156)</f>
        <v>0</v>
      </c>
      <c r="N155" s="6">
        <f>SUM(N156)</f>
        <v>0</v>
      </c>
      <c r="O155" s="6">
        <f>SUM(O156)</f>
        <v>0</v>
      </c>
      <c r="S155" s="6">
        <f>SUM(S156)</f>
        <v>0</v>
      </c>
      <c r="T155" s="6">
        <f>SUM(T156)</f>
        <v>0</v>
      </c>
      <c r="U155" s="6">
        <f>SUM(U156)</f>
        <v>0</v>
      </c>
      <c r="Y155" s="9">
        <f>SUM(Y156)</f>
        <v>0</v>
      </c>
      <c r="Z155" s="9">
        <f>SUM(Z156)</f>
        <v>0</v>
      </c>
      <c r="AA155" s="9">
        <f>SUM(AA156)</f>
        <v>0</v>
      </c>
      <c r="AD155" s="4">
        <v>320320116</v>
      </c>
      <c r="AE155" s="4">
        <v>26813779</v>
      </c>
    </row>
    <row r="156" spans="1:35" ht="72" x14ac:dyDescent="0.3">
      <c r="A156" s="10" t="s">
        <v>850</v>
      </c>
      <c r="B156" s="10" t="s">
        <v>851</v>
      </c>
      <c r="C156" s="11" t="s">
        <v>852</v>
      </c>
      <c r="D156" s="12" t="s">
        <v>853</v>
      </c>
      <c r="E156" s="12" t="s">
        <v>854</v>
      </c>
      <c r="F156" s="12" t="s">
        <v>61</v>
      </c>
      <c r="G156" s="13">
        <v>1</v>
      </c>
      <c r="H156" s="13"/>
      <c r="I156" s="13">
        <v>0</v>
      </c>
      <c r="J156" s="14">
        <v>281.27999999999997</v>
      </c>
      <c r="K156" s="15">
        <v>954</v>
      </c>
      <c r="L156" s="14">
        <f>J156+ROUND(K156, 2)</f>
        <v>1235.28</v>
      </c>
      <c r="M156" s="14">
        <v>0</v>
      </c>
      <c r="N156" s="14">
        <v>0</v>
      </c>
      <c r="O156" s="14">
        <f>M156+N156</f>
        <v>0</v>
      </c>
      <c r="P156" s="14">
        <v>281.27999999999997</v>
      </c>
      <c r="Q156" s="15">
        <v>954</v>
      </c>
      <c r="R156" s="14">
        <f>P156+ROUND(Q156, 2)</f>
        <v>1235.28</v>
      </c>
      <c r="S156" s="14">
        <v>0</v>
      </c>
      <c r="T156" s="14">
        <v>0</v>
      </c>
      <c r="U156" s="14">
        <f>S156+T156</f>
        <v>0</v>
      </c>
      <c r="V156" s="9">
        <f>ROUND(P156 / 1.2, 2)</f>
        <v>234.4</v>
      </c>
      <c r="W156" s="9">
        <f>ROUND(Q156 / 1.2, 2)</f>
        <v>795</v>
      </c>
      <c r="X156" s="9">
        <f>ROUND(R156 / 1.2, 2)</f>
        <v>1029.4000000000001</v>
      </c>
      <c r="Y156" s="9">
        <f>ROUND(S156 / 1.2, 2)</f>
        <v>0</v>
      </c>
      <c r="Z156" s="9">
        <f>ROUND(T156 / 1.2, 2)</f>
        <v>0</v>
      </c>
      <c r="AA156" s="9">
        <f>Y156+Z156</f>
        <v>0</v>
      </c>
      <c r="AD156" s="4">
        <v>320320118</v>
      </c>
      <c r="AE156" s="4">
        <v>26813815</v>
      </c>
      <c r="AG156" s="4" t="s">
        <v>855</v>
      </c>
      <c r="AH156" s="4" t="s">
        <v>856</v>
      </c>
      <c r="AI156" s="4" t="s">
        <v>338</v>
      </c>
    </row>
    <row r="157" spans="1:35" ht="18" x14ac:dyDescent="0.3">
      <c r="A157" s="10" t="s">
        <v>858</v>
      </c>
      <c r="B157" s="10"/>
      <c r="C157" s="28" t="s">
        <v>859</v>
      </c>
      <c r="D157" s="12"/>
      <c r="E157" s="12"/>
      <c r="F157" s="29" t="s">
        <v>364</v>
      </c>
      <c r="G157" s="30">
        <v>1.3</v>
      </c>
      <c r="H157" s="49"/>
      <c r="I157" s="49">
        <v>0</v>
      </c>
      <c r="J157" s="31">
        <v>8.6</v>
      </c>
      <c r="M157" s="32">
        <f>ROUND(ROUND(J157, 2)*I157, 2)</f>
        <v>0</v>
      </c>
      <c r="P157" s="31">
        <v>8.6</v>
      </c>
      <c r="S157" s="32">
        <f>ROUND(ROUND(P157, 2)*I157, 2)</f>
        <v>0</v>
      </c>
      <c r="V157" s="9">
        <f>ROUND(ROUND(P157, 2)/1.2, 2)</f>
        <v>7.17</v>
      </c>
      <c r="Y157" s="9">
        <f>ROUND(S157 / 1.2, 2)</f>
        <v>0</v>
      </c>
      <c r="AD157" s="4" t="s">
        <v>860</v>
      </c>
      <c r="AE157" s="4" t="s">
        <v>861</v>
      </c>
      <c r="AF157" s="4" t="s">
        <v>862</v>
      </c>
    </row>
    <row r="158" spans="1:35" ht="18" x14ac:dyDescent="0.3">
      <c r="A158" s="10" t="s">
        <v>865</v>
      </c>
      <c r="B158" s="10"/>
      <c r="C158" s="28" t="s">
        <v>866</v>
      </c>
      <c r="D158" s="12"/>
      <c r="E158" s="12"/>
      <c r="F158" s="29" t="s">
        <v>61</v>
      </c>
      <c r="G158" s="30">
        <v>1.1000000000000001</v>
      </c>
      <c r="H158" s="30"/>
      <c r="I158" s="30">
        <v>0</v>
      </c>
      <c r="J158" s="31">
        <v>26</v>
      </c>
      <c r="M158" s="32">
        <f>ROUND(ROUND(J158, 2)*I158, 2)</f>
        <v>0</v>
      </c>
      <c r="P158" s="31">
        <v>26</v>
      </c>
      <c r="S158" s="32">
        <f>ROUND(ROUND(P158, 2)*I158, 2)</f>
        <v>0</v>
      </c>
      <c r="V158" s="9">
        <f>ROUND(ROUND(P158, 2)/1.2, 2)</f>
        <v>21.67</v>
      </c>
      <c r="Y158" s="9">
        <f>ROUND(S158 / 1.2, 2)</f>
        <v>0</v>
      </c>
      <c r="AD158" s="4" t="s">
        <v>867</v>
      </c>
      <c r="AE158" s="4" t="s">
        <v>868</v>
      </c>
      <c r="AF158" s="4" t="s">
        <v>869</v>
      </c>
    </row>
    <row r="159" spans="1:35" ht="18" x14ac:dyDescent="0.3">
      <c r="A159" s="10" t="s">
        <v>872</v>
      </c>
      <c r="B159" s="10"/>
      <c r="C159" s="28" t="s">
        <v>873</v>
      </c>
      <c r="D159" s="12"/>
      <c r="E159" s="12"/>
      <c r="F159" s="29" t="s">
        <v>76</v>
      </c>
      <c r="G159" s="30">
        <v>1</v>
      </c>
      <c r="H159" s="49"/>
      <c r="I159" s="49">
        <v>0</v>
      </c>
      <c r="J159" s="31">
        <v>15.76</v>
      </c>
      <c r="M159" s="32">
        <f>ROUND(ROUND(J159, 2)*I159, 2)</f>
        <v>0</v>
      </c>
      <c r="P159" s="31">
        <v>15.76</v>
      </c>
      <c r="S159" s="32">
        <f>ROUND(ROUND(P159, 2)*I159, 2)</f>
        <v>0</v>
      </c>
      <c r="V159" s="9">
        <f>ROUND(ROUND(P159, 2)/1.2, 2)</f>
        <v>13.13</v>
      </c>
      <c r="Y159" s="9">
        <f>ROUND(S159 / 1.2, 2)</f>
        <v>0</v>
      </c>
      <c r="AD159" s="4" t="s">
        <v>874</v>
      </c>
      <c r="AE159" s="4" t="s">
        <v>875</v>
      </c>
      <c r="AF159" s="4" t="s">
        <v>876</v>
      </c>
    </row>
    <row r="160" spans="1:35" ht="36" x14ac:dyDescent="0.3">
      <c r="A160" s="10" t="s">
        <v>879</v>
      </c>
      <c r="B160" s="10"/>
      <c r="C160" s="28" t="s">
        <v>680</v>
      </c>
      <c r="D160" s="12"/>
      <c r="E160" s="12"/>
      <c r="F160" s="29" t="s">
        <v>364</v>
      </c>
      <c r="G160" s="30">
        <v>0.15</v>
      </c>
      <c r="H160" s="30"/>
      <c r="I160" s="30">
        <v>0</v>
      </c>
      <c r="J160" s="31">
        <v>88.8</v>
      </c>
      <c r="M160" s="32">
        <f>ROUND(ROUND(J160, 2)*I160, 2)</f>
        <v>0</v>
      </c>
      <c r="P160" s="31">
        <v>88.8</v>
      </c>
      <c r="S160" s="32">
        <f>ROUND(ROUND(P160, 2)*I160, 2)</f>
        <v>0</v>
      </c>
      <c r="V160" s="9">
        <f>ROUND(ROUND(P160, 2)/1.2, 2)</f>
        <v>74</v>
      </c>
      <c r="Y160" s="9">
        <f>ROUND(S160 / 1.2, 2)</f>
        <v>0</v>
      </c>
      <c r="AD160" s="4" t="s">
        <v>880</v>
      </c>
      <c r="AE160" s="4" t="s">
        <v>881</v>
      </c>
      <c r="AF160" s="4" t="s">
        <v>683</v>
      </c>
    </row>
    <row r="161" spans="1:35" ht="16.95" customHeight="1" x14ac:dyDescent="0.3">
      <c r="A161" s="10" t="s">
        <v>884</v>
      </c>
      <c r="B161" s="10" t="s">
        <v>885</v>
      </c>
      <c r="C161" s="237" t="s">
        <v>886</v>
      </c>
      <c r="D161" s="238"/>
      <c r="E161" s="238"/>
      <c r="F161" s="238"/>
      <c r="G161" s="238"/>
      <c r="H161" s="238"/>
      <c r="I161" s="239"/>
      <c r="M161" s="6">
        <f>SUM(M162,M164,M167,M170)</f>
        <v>0</v>
      </c>
      <c r="N161" s="6">
        <f>SUM(N162,N164,N167,N170)</f>
        <v>0</v>
      </c>
      <c r="O161" s="6">
        <f>SUM(O162,O164,O167,O170)</f>
        <v>0</v>
      </c>
      <c r="S161" s="6">
        <f>SUM(S162,S164,S167,S170)</f>
        <v>0</v>
      </c>
      <c r="T161" s="6">
        <f>SUM(T162,T164,T167,T170)</f>
        <v>0</v>
      </c>
      <c r="U161" s="6">
        <f>SUM(U162,U164,U167,U170)</f>
        <v>0</v>
      </c>
      <c r="Y161" s="9">
        <f>SUM(Y162,Y164,Y167,Y170)</f>
        <v>0</v>
      </c>
      <c r="Z161" s="9">
        <f>SUM(Z162,Z164,Z167,Z170)</f>
        <v>0</v>
      </c>
      <c r="AA161" s="9">
        <f>SUM(AA162,AA164,AA167,AA170)</f>
        <v>0</v>
      </c>
      <c r="AD161" s="4">
        <v>320320119</v>
      </c>
      <c r="AE161" s="4">
        <v>26813802</v>
      </c>
    </row>
    <row r="162" spans="1:35" ht="54" x14ac:dyDescent="0.3">
      <c r="A162" s="10" t="s">
        <v>887</v>
      </c>
      <c r="B162" s="10" t="s">
        <v>888</v>
      </c>
      <c r="C162" s="11" t="s">
        <v>889</v>
      </c>
      <c r="D162" s="12"/>
      <c r="E162" s="12" t="s">
        <v>890</v>
      </c>
      <c r="F162" s="12" t="s">
        <v>61</v>
      </c>
      <c r="G162" s="13">
        <v>1</v>
      </c>
      <c r="H162" s="13"/>
      <c r="I162" s="13">
        <v>0</v>
      </c>
      <c r="J162" s="14">
        <v>418</v>
      </c>
      <c r="K162" s="15">
        <v>1010</v>
      </c>
      <c r="L162" s="14">
        <f>J162+ROUND(K162, 2)</f>
        <v>1428</v>
      </c>
      <c r="M162" s="14">
        <v>0</v>
      </c>
      <c r="N162" s="14">
        <v>0</v>
      </c>
      <c r="O162" s="14">
        <f>M162+N162</f>
        <v>0</v>
      </c>
      <c r="P162" s="14">
        <v>418</v>
      </c>
      <c r="Q162" s="15">
        <v>1010</v>
      </c>
      <c r="R162" s="14">
        <f>P162+ROUND(Q162, 2)</f>
        <v>1428</v>
      </c>
      <c r="S162" s="14">
        <v>0</v>
      </c>
      <c r="T162" s="14">
        <v>0</v>
      </c>
      <c r="U162" s="14">
        <f>S162+T162</f>
        <v>0</v>
      </c>
      <c r="V162" s="9">
        <f>ROUND(P162 / 1.2, 2)</f>
        <v>348.33</v>
      </c>
      <c r="W162" s="9">
        <f>ROUND(Q162 / 1.2, 2)</f>
        <v>841.67</v>
      </c>
      <c r="X162" s="9">
        <f>ROUND(R162 / 1.2, 2)</f>
        <v>1190</v>
      </c>
      <c r="Y162" s="9">
        <f>ROUND(S162 / 1.2, 2)</f>
        <v>0</v>
      </c>
      <c r="Z162" s="9">
        <f>ROUND(T162 / 1.2, 2)</f>
        <v>0</v>
      </c>
      <c r="AA162" s="9">
        <f>Y162+Z162</f>
        <v>0</v>
      </c>
      <c r="AD162" s="4">
        <v>320320121</v>
      </c>
      <c r="AE162" s="4">
        <v>26813810</v>
      </c>
      <c r="AG162" s="4" t="s">
        <v>891</v>
      </c>
      <c r="AH162" s="4" t="s">
        <v>892</v>
      </c>
      <c r="AI162" s="4" t="s">
        <v>338</v>
      </c>
    </row>
    <row r="163" spans="1:35" ht="18" x14ac:dyDescent="0.3">
      <c r="A163" s="10" t="s">
        <v>894</v>
      </c>
      <c r="B163" s="10"/>
      <c r="C163" s="28" t="s">
        <v>895</v>
      </c>
      <c r="D163" s="12"/>
      <c r="E163" s="12"/>
      <c r="F163" s="29" t="s">
        <v>356</v>
      </c>
      <c r="G163" s="30">
        <v>1</v>
      </c>
      <c r="H163" s="30"/>
      <c r="I163" s="30">
        <v>0</v>
      </c>
      <c r="J163" s="31">
        <v>418</v>
      </c>
      <c r="M163" s="32">
        <f>ROUND(ROUND(J163, 2)*I163, 2)</f>
        <v>0</v>
      </c>
      <c r="P163" s="31">
        <v>418</v>
      </c>
      <c r="S163" s="32">
        <f>ROUND(ROUND(P163, 2)*I163, 2)</f>
        <v>0</v>
      </c>
      <c r="V163" s="9">
        <f>ROUND(ROUND(P163, 2)/1.2, 2)</f>
        <v>348.33</v>
      </c>
      <c r="Y163" s="9">
        <f t="shared" ref="Y163:Y174" si="11">ROUND(S163 / 1.2, 2)</f>
        <v>0</v>
      </c>
      <c r="AD163" s="4" t="s">
        <v>896</v>
      </c>
      <c r="AE163" s="4" t="s">
        <v>897</v>
      </c>
      <c r="AF163" s="4" t="s">
        <v>898</v>
      </c>
    </row>
    <row r="164" spans="1:35" ht="108" x14ac:dyDescent="0.3">
      <c r="A164" s="10" t="s">
        <v>901</v>
      </c>
      <c r="B164" s="10" t="s">
        <v>902</v>
      </c>
      <c r="C164" s="11" t="s">
        <v>903</v>
      </c>
      <c r="D164" s="12"/>
      <c r="E164" s="12" t="s">
        <v>904</v>
      </c>
      <c r="F164" s="12" t="s">
        <v>61</v>
      </c>
      <c r="G164" s="13">
        <v>1</v>
      </c>
      <c r="H164" s="13"/>
      <c r="I164" s="13">
        <v>0</v>
      </c>
      <c r="J164" s="14">
        <v>499.92</v>
      </c>
      <c r="K164" s="15">
        <v>428</v>
      </c>
      <c r="L164" s="14">
        <f>J164+ROUND(K164, 2)</f>
        <v>927.92000000000007</v>
      </c>
      <c r="M164" s="14">
        <v>0</v>
      </c>
      <c r="N164" s="14">
        <v>0</v>
      </c>
      <c r="O164" s="14">
        <f>M164+N164</f>
        <v>0</v>
      </c>
      <c r="P164" s="14">
        <v>58.11</v>
      </c>
      <c r="Q164" s="15">
        <v>428</v>
      </c>
      <c r="R164" s="14">
        <f>P164+ROUND(Q164, 2)</f>
        <v>486.11</v>
      </c>
      <c r="S164" s="14">
        <v>0</v>
      </c>
      <c r="T164" s="14">
        <v>0</v>
      </c>
      <c r="U164" s="14">
        <f>S164+T164</f>
        <v>0</v>
      </c>
      <c r="V164" s="9">
        <f>ROUND(P164 / 1.2, 2)</f>
        <v>48.43</v>
      </c>
      <c r="W164" s="9">
        <f>ROUND(Q164 / 1.2, 2)</f>
        <v>356.67</v>
      </c>
      <c r="X164" s="9">
        <f>ROUND(R164 / 1.2, 2)</f>
        <v>405.09</v>
      </c>
      <c r="Y164" s="9">
        <f t="shared" si="11"/>
        <v>0</v>
      </c>
      <c r="Z164" s="9">
        <f>ROUND(T164 / 1.2, 2)</f>
        <v>0</v>
      </c>
      <c r="AA164" s="9">
        <f>Y164+Z164</f>
        <v>0</v>
      </c>
      <c r="AD164" s="4">
        <v>320320123</v>
      </c>
      <c r="AE164" s="4">
        <v>26813837</v>
      </c>
      <c r="AG164" s="4" t="s">
        <v>905</v>
      </c>
      <c r="AH164" s="4" t="s">
        <v>906</v>
      </c>
      <c r="AI164" s="4" t="s">
        <v>338</v>
      </c>
    </row>
    <row r="165" spans="1:35" ht="36" x14ac:dyDescent="0.3">
      <c r="A165" s="10" t="s">
        <v>908</v>
      </c>
      <c r="B165" s="10"/>
      <c r="C165" s="28" t="s">
        <v>680</v>
      </c>
      <c r="D165" s="12"/>
      <c r="E165" s="12"/>
      <c r="F165" s="29" t="s">
        <v>364</v>
      </c>
      <c r="G165" s="30">
        <v>0.15</v>
      </c>
      <c r="H165" s="30"/>
      <c r="I165" s="30">
        <v>0</v>
      </c>
      <c r="J165" s="31">
        <v>88.8</v>
      </c>
      <c r="M165" s="32">
        <f>ROUND(ROUND(J165, 2)*I165, 2)</f>
        <v>0</v>
      </c>
      <c r="P165" s="31">
        <v>88.8</v>
      </c>
      <c r="S165" s="32">
        <f>ROUND(ROUND(P165, 2)*I165, 2)</f>
        <v>0</v>
      </c>
      <c r="V165" s="9">
        <f>ROUND(ROUND(P165, 2)/1.2, 2)</f>
        <v>74</v>
      </c>
      <c r="Y165" s="9">
        <f t="shared" si="11"/>
        <v>0</v>
      </c>
      <c r="AD165" s="4" t="s">
        <v>909</v>
      </c>
      <c r="AE165" s="4" t="s">
        <v>910</v>
      </c>
      <c r="AF165" s="4" t="s">
        <v>683</v>
      </c>
    </row>
    <row r="166" spans="1:35" ht="90" x14ac:dyDescent="0.3">
      <c r="A166" s="10" t="s">
        <v>913</v>
      </c>
      <c r="B166" s="10"/>
      <c r="C166" s="28" t="s">
        <v>914</v>
      </c>
      <c r="D166" s="12"/>
      <c r="E166" s="12" t="s">
        <v>915</v>
      </c>
      <c r="F166" s="29" t="s">
        <v>364</v>
      </c>
      <c r="G166" s="30">
        <v>0.3</v>
      </c>
      <c r="H166" s="30"/>
      <c r="I166" s="30">
        <v>0</v>
      </c>
      <c r="J166" s="31">
        <v>1622</v>
      </c>
      <c r="M166" s="32">
        <f>ROUND(ROUND(J166, 2)*I166, 2)</f>
        <v>0</v>
      </c>
      <c r="P166" s="31">
        <v>149.31</v>
      </c>
      <c r="S166" s="32">
        <f>ROUND(ROUND(P166, 2)*I166, 2)</f>
        <v>0</v>
      </c>
      <c r="V166" s="9">
        <f>ROUND(ROUND(P166, 2)/1.2, 2)</f>
        <v>124.43</v>
      </c>
      <c r="Y166" s="9">
        <f t="shared" si="11"/>
        <v>0</v>
      </c>
      <c r="AD166" s="4" t="s">
        <v>916</v>
      </c>
      <c r="AE166" s="4" t="s">
        <v>917</v>
      </c>
      <c r="AF166" s="4" t="s">
        <v>918</v>
      </c>
    </row>
    <row r="167" spans="1:35" ht="90" x14ac:dyDescent="0.3">
      <c r="A167" s="10" t="s">
        <v>921</v>
      </c>
      <c r="B167" s="10" t="s">
        <v>902</v>
      </c>
      <c r="C167" s="11" t="s">
        <v>903</v>
      </c>
      <c r="D167" s="12"/>
      <c r="E167" s="12" t="s">
        <v>922</v>
      </c>
      <c r="F167" s="12" t="s">
        <v>61</v>
      </c>
      <c r="G167" s="13">
        <v>1</v>
      </c>
      <c r="H167" s="13"/>
      <c r="I167" s="13">
        <v>0</v>
      </c>
      <c r="J167" s="14">
        <v>499.92</v>
      </c>
      <c r="K167" s="15">
        <v>428</v>
      </c>
      <c r="L167" s="14">
        <f>J167+ROUND(K167, 2)</f>
        <v>927.92000000000007</v>
      </c>
      <c r="M167" s="14">
        <v>0</v>
      </c>
      <c r="N167" s="14">
        <v>0</v>
      </c>
      <c r="O167" s="14">
        <f>M167+N167</f>
        <v>0</v>
      </c>
      <c r="P167" s="14">
        <v>58.11</v>
      </c>
      <c r="Q167" s="15">
        <v>428</v>
      </c>
      <c r="R167" s="14">
        <f>P167+ROUND(Q167, 2)</f>
        <v>486.11</v>
      </c>
      <c r="S167" s="14">
        <v>0</v>
      </c>
      <c r="T167" s="14">
        <v>0</v>
      </c>
      <c r="U167" s="14">
        <f>S167+T167</f>
        <v>0</v>
      </c>
      <c r="V167" s="9">
        <f>ROUND(P167 / 1.2, 2)</f>
        <v>48.43</v>
      </c>
      <c r="W167" s="9">
        <f>ROUND(Q167 / 1.2, 2)</f>
        <v>356.67</v>
      </c>
      <c r="X167" s="9">
        <f>ROUND(R167 / 1.2, 2)</f>
        <v>405.09</v>
      </c>
      <c r="Y167" s="9">
        <f t="shared" si="11"/>
        <v>0</v>
      </c>
      <c r="Z167" s="9">
        <f>ROUND(T167 / 1.2, 2)</f>
        <v>0</v>
      </c>
      <c r="AA167" s="9">
        <f>Y167+Z167</f>
        <v>0</v>
      </c>
      <c r="AD167" s="4">
        <v>320320161</v>
      </c>
      <c r="AE167" s="4">
        <v>26813840</v>
      </c>
      <c r="AG167" s="4" t="s">
        <v>905</v>
      </c>
      <c r="AH167" s="4" t="s">
        <v>906</v>
      </c>
      <c r="AI167" s="4" t="s">
        <v>338</v>
      </c>
    </row>
    <row r="168" spans="1:35" ht="90" x14ac:dyDescent="0.3">
      <c r="A168" s="10" t="s">
        <v>924</v>
      </c>
      <c r="B168" s="10"/>
      <c r="C168" s="28" t="s">
        <v>914</v>
      </c>
      <c r="D168" s="12"/>
      <c r="E168" s="12" t="s">
        <v>925</v>
      </c>
      <c r="F168" s="29" t="s">
        <v>364</v>
      </c>
      <c r="G168" s="30">
        <v>0.3</v>
      </c>
      <c r="H168" s="30"/>
      <c r="I168" s="30">
        <v>0</v>
      </c>
      <c r="J168" s="31">
        <v>1622</v>
      </c>
      <c r="M168" s="32">
        <f>ROUND(ROUND(J168, 2)*I168, 2)</f>
        <v>0</v>
      </c>
      <c r="P168" s="31">
        <v>149.31</v>
      </c>
      <c r="S168" s="32">
        <f>ROUND(ROUND(P168, 2)*I168, 2)</f>
        <v>0</v>
      </c>
      <c r="V168" s="9">
        <f>ROUND(ROUND(P168, 2)/1.2, 2)</f>
        <v>124.43</v>
      </c>
      <c r="Y168" s="9">
        <f t="shared" si="11"/>
        <v>0</v>
      </c>
      <c r="AD168" s="4" t="s">
        <v>926</v>
      </c>
      <c r="AE168" s="4" t="s">
        <v>927</v>
      </c>
      <c r="AF168" s="4" t="s">
        <v>918</v>
      </c>
    </row>
    <row r="169" spans="1:35" ht="36" x14ac:dyDescent="0.3">
      <c r="A169" s="10" t="s">
        <v>930</v>
      </c>
      <c r="B169" s="10"/>
      <c r="C169" s="28" t="s">
        <v>680</v>
      </c>
      <c r="D169" s="12"/>
      <c r="E169" s="12"/>
      <c r="F169" s="29" t="s">
        <v>364</v>
      </c>
      <c r="G169" s="30">
        <v>0.15</v>
      </c>
      <c r="H169" s="30"/>
      <c r="I169" s="30">
        <v>0</v>
      </c>
      <c r="J169" s="31">
        <v>88.8</v>
      </c>
      <c r="M169" s="32">
        <f>ROUND(ROUND(J169, 2)*I169, 2)</f>
        <v>0</v>
      </c>
      <c r="P169" s="31">
        <v>88.8</v>
      </c>
      <c r="S169" s="32">
        <f>ROUND(ROUND(P169, 2)*I169, 2)</f>
        <v>0</v>
      </c>
      <c r="V169" s="9">
        <f>ROUND(ROUND(P169, 2)/1.2, 2)</f>
        <v>74</v>
      </c>
      <c r="Y169" s="9">
        <f t="shared" si="11"/>
        <v>0</v>
      </c>
      <c r="AD169" s="4" t="s">
        <v>931</v>
      </c>
      <c r="AE169" s="4" t="s">
        <v>932</v>
      </c>
      <c r="AF169" s="4" t="s">
        <v>683</v>
      </c>
    </row>
    <row r="170" spans="1:35" ht="54" x14ac:dyDescent="0.3">
      <c r="A170" s="10" t="s">
        <v>935</v>
      </c>
      <c r="B170" s="10" t="s">
        <v>936</v>
      </c>
      <c r="C170" s="11" t="s">
        <v>937</v>
      </c>
      <c r="D170" s="12"/>
      <c r="E170" s="12" t="s">
        <v>938</v>
      </c>
      <c r="F170" s="12" t="s">
        <v>61</v>
      </c>
      <c r="G170" s="13">
        <v>1</v>
      </c>
      <c r="H170" s="13"/>
      <c r="I170" s="13">
        <v>0</v>
      </c>
      <c r="J170" s="14">
        <v>1603.98</v>
      </c>
      <c r="K170" s="15">
        <v>2364</v>
      </c>
      <c r="L170" s="14">
        <f>J170+ROUND(K170, 2)</f>
        <v>3967.98</v>
      </c>
      <c r="M170" s="14">
        <v>0</v>
      </c>
      <c r="N170" s="14">
        <v>0</v>
      </c>
      <c r="O170" s="14">
        <f>M170+N170</f>
        <v>0</v>
      </c>
      <c r="P170" s="14">
        <v>1603.98</v>
      </c>
      <c r="Q170" s="15">
        <v>2364</v>
      </c>
      <c r="R170" s="14">
        <f>P170+ROUND(Q170, 2)</f>
        <v>3967.98</v>
      </c>
      <c r="S170" s="14">
        <v>0</v>
      </c>
      <c r="T170" s="14">
        <v>0</v>
      </c>
      <c r="U170" s="14">
        <f>S170+T170</f>
        <v>0</v>
      </c>
      <c r="V170" s="9">
        <f>ROUND(P170 / 1.2, 2)</f>
        <v>1336.65</v>
      </c>
      <c r="W170" s="9">
        <f>ROUND(Q170 / 1.2, 2)</f>
        <v>1970</v>
      </c>
      <c r="X170" s="9">
        <f>ROUND(R170 / 1.2, 2)</f>
        <v>3306.65</v>
      </c>
      <c r="Y170" s="9">
        <f t="shared" si="11"/>
        <v>0</v>
      </c>
      <c r="Z170" s="9">
        <f>ROUND(T170 / 1.2, 2)</f>
        <v>0</v>
      </c>
      <c r="AA170" s="9">
        <f>Y170+Z170</f>
        <v>0</v>
      </c>
      <c r="AD170" s="4">
        <v>320320125</v>
      </c>
      <c r="AE170" s="4">
        <v>26813844</v>
      </c>
      <c r="AG170" s="4" t="s">
        <v>939</v>
      </c>
      <c r="AH170" s="4" t="s">
        <v>940</v>
      </c>
      <c r="AI170" s="4" t="s">
        <v>338</v>
      </c>
    </row>
    <row r="171" spans="1:35" ht="36" x14ac:dyDescent="0.3">
      <c r="A171" s="10" t="s">
        <v>942</v>
      </c>
      <c r="B171" s="10"/>
      <c r="C171" s="28" t="s">
        <v>943</v>
      </c>
      <c r="D171" s="12"/>
      <c r="E171" s="12"/>
      <c r="F171" s="29" t="s">
        <v>364</v>
      </c>
      <c r="G171" s="30">
        <v>0.25</v>
      </c>
      <c r="H171" s="49"/>
      <c r="I171" s="49">
        <v>0</v>
      </c>
      <c r="J171" s="31">
        <v>40.270000000000003</v>
      </c>
      <c r="M171" s="32">
        <f>ROUND(ROUND(J171, 2)*I171, 2)</f>
        <v>0</v>
      </c>
      <c r="P171" s="31">
        <v>40.270000000000003</v>
      </c>
      <c r="S171" s="32">
        <f>ROUND(ROUND(P171, 2)*I171, 2)</f>
        <v>0</v>
      </c>
      <c r="V171" s="9">
        <f>ROUND(ROUND(P171, 2)/1.2, 2)</f>
        <v>33.56</v>
      </c>
      <c r="Y171" s="9">
        <f t="shared" si="11"/>
        <v>0</v>
      </c>
      <c r="AD171" s="4" t="s">
        <v>944</v>
      </c>
      <c r="AE171" s="4" t="s">
        <v>945</v>
      </c>
      <c r="AF171" s="4" t="s">
        <v>946</v>
      </c>
    </row>
    <row r="172" spans="1:35" ht="36" x14ac:dyDescent="0.3">
      <c r="A172" s="10" t="s">
        <v>949</v>
      </c>
      <c r="B172" s="10"/>
      <c r="C172" s="28" t="s">
        <v>557</v>
      </c>
      <c r="D172" s="12"/>
      <c r="E172" s="12"/>
      <c r="F172" s="29" t="s">
        <v>364</v>
      </c>
      <c r="G172" s="30">
        <v>0.15</v>
      </c>
      <c r="H172" s="30"/>
      <c r="I172" s="30">
        <v>0</v>
      </c>
      <c r="J172" s="31">
        <v>68.400000000000006</v>
      </c>
      <c r="M172" s="32">
        <f>ROUND(ROUND(J172, 2)*I172, 2)</f>
        <v>0</v>
      </c>
      <c r="P172" s="31">
        <v>68.400000000000006</v>
      </c>
      <c r="S172" s="32">
        <f>ROUND(ROUND(P172, 2)*I172, 2)</f>
        <v>0</v>
      </c>
      <c r="V172" s="9">
        <f>ROUND(ROUND(P172, 2)/1.2, 2)</f>
        <v>57</v>
      </c>
      <c r="Y172" s="9">
        <f t="shared" si="11"/>
        <v>0</v>
      </c>
      <c r="AD172" s="4" t="s">
        <v>950</v>
      </c>
      <c r="AE172" s="4" t="s">
        <v>951</v>
      </c>
      <c r="AF172" s="4" t="s">
        <v>560</v>
      </c>
    </row>
    <row r="173" spans="1:35" ht="36" x14ac:dyDescent="0.3">
      <c r="A173" s="10" t="s">
        <v>954</v>
      </c>
      <c r="B173" s="10"/>
      <c r="C173" s="47" t="s">
        <v>797</v>
      </c>
      <c r="D173" s="12"/>
      <c r="E173" s="12"/>
      <c r="F173" s="29" t="s">
        <v>364</v>
      </c>
      <c r="G173" s="30">
        <v>1.2</v>
      </c>
      <c r="H173" s="49"/>
      <c r="I173" s="49">
        <v>0</v>
      </c>
      <c r="J173" s="31">
        <v>16.96</v>
      </c>
      <c r="M173" s="32">
        <f>ROUND(ROUND(J173, 2)*I173, 2)</f>
        <v>0</v>
      </c>
      <c r="P173" s="31">
        <v>16.96</v>
      </c>
      <c r="S173" s="32">
        <f>ROUND(ROUND(P173, 2)*I173, 2)</f>
        <v>0</v>
      </c>
      <c r="V173" s="9">
        <f>ROUND(ROUND(P173, 2)/1.2, 2)</f>
        <v>14.13</v>
      </c>
      <c r="Y173" s="9">
        <f t="shared" si="11"/>
        <v>0</v>
      </c>
      <c r="AD173" s="4" t="s">
        <v>955</v>
      </c>
      <c r="AE173" s="4" t="s">
        <v>956</v>
      </c>
      <c r="AF173" s="4" t="s">
        <v>800</v>
      </c>
    </row>
    <row r="174" spans="1:35" ht="72" x14ac:dyDescent="0.3">
      <c r="A174" s="10" t="s">
        <v>959</v>
      </c>
      <c r="B174" s="10"/>
      <c r="C174" s="47" t="s">
        <v>960</v>
      </c>
      <c r="D174" s="12"/>
      <c r="E174" s="12" t="s">
        <v>961</v>
      </c>
      <c r="F174" s="29" t="s">
        <v>61</v>
      </c>
      <c r="G174" s="30">
        <v>1.07</v>
      </c>
      <c r="H174" s="49"/>
      <c r="I174" s="49">
        <v>0</v>
      </c>
      <c r="J174" s="31">
        <v>1384.95</v>
      </c>
      <c r="M174" s="32">
        <f>ROUND(ROUND(J174, 2)*I174, 2)</f>
        <v>0</v>
      </c>
      <c r="P174" s="31">
        <v>1384.95</v>
      </c>
      <c r="S174" s="32">
        <f>ROUND(ROUND(P174, 2)*I174, 2)</f>
        <v>0</v>
      </c>
      <c r="V174" s="9">
        <f>ROUND(ROUND(P174, 2)/1.2, 2)</f>
        <v>1154.1300000000001</v>
      </c>
      <c r="Y174" s="9">
        <f t="shared" si="11"/>
        <v>0</v>
      </c>
      <c r="AD174" s="4" t="s">
        <v>962</v>
      </c>
      <c r="AE174" s="4" t="s">
        <v>963</v>
      </c>
      <c r="AF174" s="4" t="s">
        <v>964</v>
      </c>
    </row>
    <row r="175" spans="1:35" ht="16.95" customHeight="1" x14ac:dyDescent="0.3">
      <c r="A175" s="10" t="s">
        <v>967</v>
      </c>
      <c r="B175" s="10" t="s">
        <v>968</v>
      </c>
      <c r="C175" s="237" t="s">
        <v>969</v>
      </c>
      <c r="D175" s="238"/>
      <c r="E175" s="238"/>
      <c r="F175" s="238"/>
      <c r="G175" s="238"/>
      <c r="H175" s="238"/>
      <c r="I175" s="239"/>
      <c r="M175" s="6">
        <f>SUM(M176,M185)</f>
        <v>0</v>
      </c>
      <c r="N175" s="6">
        <f>SUM(N176,N185)</f>
        <v>0</v>
      </c>
      <c r="O175" s="6">
        <f>SUM(O176,O185)</f>
        <v>0</v>
      </c>
      <c r="S175" s="6">
        <f>SUM(S176,S185)</f>
        <v>0</v>
      </c>
      <c r="T175" s="6">
        <f>SUM(T176,T185)</f>
        <v>0</v>
      </c>
      <c r="U175" s="6">
        <f>SUM(U176,U185)</f>
        <v>0</v>
      </c>
      <c r="Y175" s="9">
        <f>SUM(Y176,Y185)</f>
        <v>0</v>
      </c>
      <c r="Z175" s="9">
        <f>SUM(Z176,Z185)</f>
        <v>0</v>
      </c>
      <c r="AA175" s="9">
        <f>SUM(AA176,AA185)</f>
        <v>0</v>
      </c>
      <c r="AD175" s="4">
        <v>320320126</v>
      </c>
      <c r="AE175" s="4">
        <v>26813774</v>
      </c>
    </row>
    <row r="176" spans="1:35" ht="16.95" customHeight="1" x14ac:dyDescent="0.3">
      <c r="A176" s="10" t="s">
        <v>970</v>
      </c>
      <c r="B176" s="10" t="s">
        <v>971</v>
      </c>
      <c r="C176" s="237" t="s">
        <v>972</v>
      </c>
      <c r="D176" s="238"/>
      <c r="E176" s="238"/>
      <c r="F176" s="238"/>
      <c r="G176" s="238"/>
      <c r="H176" s="238"/>
      <c r="I176" s="239"/>
      <c r="M176" s="6">
        <f>SUM(M177,M182)</f>
        <v>0</v>
      </c>
      <c r="N176" s="6">
        <f>SUM(N177,N182)</f>
        <v>0</v>
      </c>
      <c r="O176" s="6">
        <f>SUM(O177,O182)</f>
        <v>0</v>
      </c>
      <c r="S176" s="6">
        <f>SUM(S177,S182)</f>
        <v>0</v>
      </c>
      <c r="T176" s="6">
        <f>SUM(T177,T182)</f>
        <v>0</v>
      </c>
      <c r="U176" s="6">
        <f>SUM(U177,U182)</f>
        <v>0</v>
      </c>
      <c r="Y176" s="9">
        <f>SUM(Y177,Y182)</f>
        <v>0</v>
      </c>
      <c r="Z176" s="9">
        <f>SUM(Z177,Z182)</f>
        <v>0</v>
      </c>
      <c r="AA176" s="9">
        <f>SUM(AA177,AA182)</f>
        <v>0</v>
      </c>
      <c r="AD176" s="4">
        <v>320320127</v>
      </c>
      <c r="AE176" s="4">
        <v>26813793</v>
      </c>
    </row>
    <row r="177" spans="1:35" ht="72" x14ac:dyDescent="0.3">
      <c r="A177" s="10" t="s">
        <v>973</v>
      </c>
      <c r="B177" s="10" t="s">
        <v>974</v>
      </c>
      <c r="C177" s="11" t="s">
        <v>975</v>
      </c>
      <c r="D177" s="12"/>
      <c r="E177" s="12" t="s">
        <v>976</v>
      </c>
      <c r="F177" s="12" t="s">
        <v>61</v>
      </c>
      <c r="G177" s="13">
        <v>1</v>
      </c>
      <c r="H177" s="13"/>
      <c r="I177" s="13">
        <v>0</v>
      </c>
      <c r="J177" s="14">
        <v>170.27</v>
      </c>
      <c r="K177" s="15">
        <v>853</v>
      </c>
      <c r="L177" s="14">
        <f>J177+ROUND(K177, 2)</f>
        <v>1023.27</v>
      </c>
      <c r="M177" s="14">
        <v>0</v>
      </c>
      <c r="N177" s="14">
        <v>0</v>
      </c>
      <c r="O177" s="14">
        <f>M177+N177</f>
        <v>0</v>
      </c>
      <c r="P177" s="14">
        <v>170.27</v>
      </c>
      <c r="Q177" s="15">
        <v>853</v>
      </c>
      <c r="R177" s="14">
        <f>P177+ROUND(Q177, 2)</f>
        <v>1023.27</v>
      </c>
      <c r="S177" s="14">
        <v>0</v>
      </c>
      <c r="T177" s="14">
        <v>0</v>
      </c>
      <c r="U177" s="14">
        <f>S177+T177</f>
        <v>0</v>
      </c>
      <c r="V177" s="9">
        <f>ROUND(P177 / 1.2, 2)</f>
        <v>141.88999999999999</v>
      </c>
      <c r="W177" s="9">
        <f>ROUND(Q177 / 1.2, 2)</f>
        <v>710.83</v>
      </c>
      <c r="X177" s="9">
        <f>ROUND(R177 / 1.2, 2)</f>
        <v>852.73</v>
      </c>
      <c r="Y177" s="9">
        <f>ROUND(S177 / 1.2, 2)</f>
        <v>0</v>
      </c>
      <c r="Z177" s="9">
        <f>ROUND(T177 / 1.2, 2)</f>
        <v>0</v>
      </c>
      <c r="AA177" s="9">
        <f>Y177+Z177</f>
        <v>0</v>
      </c>
      <c r="AD177" s="4">
        <v>320320129</v>
      </c>
      <c r="AE177" s="4">
        <v>26813828</v>
      </c>
      <c r="AG177" s="4" t="s">
        <v>977</v>
      </c>
      <c r="AH177" s="4" t="s">
        <v>978</v>
      </c>
      <c r="AI177" s="4" t="s">
        <v>338</v>
      </c>
    </row>
    <row r="178" spans="1:35" ht="18" x14ac:dyDescent="0.3">
      <c r="A178" s="10" t="s">
        <v>980</v>
      </c>
      <c r="B178" s="10"/>
      <c r="C178" s="28" t="s">
        <v>859</v>
      </c>
      <c r="D178" s="12"/>
      <c r="E178" s="12"/>
      <c r="F178" s="29" t="s">
        <v>364</v>
      </c>
      <c r="G178" s="30">
        <v>1.3</v>
      </c>
      <c r="H178" s="49"/>
      <c r="I178" s="49">
        <v>0</v>
      </c>
      <c r="J178" s="31">
        <v>8.6</v>
      </c>
      <c r="M178" s="32">
        <f>ROUND(ROUND(J178, 2)*I178, 2)</f>
        <v>0</v>
      </c>
      <c r="P178" s="31">
        <v>8.6</v>
      </c>
      <c r="S178" s="32">
        <f>ROUND(ROUND(P178, 2)*I178, 2)</f>
        <v>0</v>
      </c>
      <c r="V178" s="9">
        <f>ROUND(ROUND(P178, 2)/1.2, 2)</f>
        <v>7.17</v>
      </c>
      <c r="Y178" s="9">
        <f t="shared" ref="Y178:Y184" si="12">ROUND(S178 / 1.2, 2)</f>
        <v>0</v>
      </c>
      <c r="AD178" s="4" t="s">
        <v>981</v>
      </c>
      <c r="AE178" s="4" t="s">
        <v>982</v>
      </c>
      <c r="AF178" s="4" t="s">
        <v>862</v>
      </c>
    </row>
    <row r="179" spans="1:35" ht="18" x14ac:dyDescent="0.3">
      <c r="A179" s="10" t="s">
        <v>985</v>
      </c>
      <c r="B179" s="10"/>
      <c r="C179" s="28" t="s">
        <v>866</v>
      </c>
      <c r="D179" s="12"/>
      <c r="E179" s="12"/>
      <c r="F179" s="29" t="s">
        <v>61</v>
      </c>
      <c r="G179" s="30">
        <v>1.1000000000000001</v>
      </c>
      <c r="H179" s="49"/>
      <c r="I179" s="49">
        <v>0</v>
      </c>
      <c r="J179" s="31">
        <v>26</v>
      </c>
      <c r="M179" s="32">
        <f>ROUND(ROUND(J179, 2)*I179, 2)</f>
        <v>0</v>
      </c>
      <c r="P179" s="31">
        <v>26</v>
      </c>
      <c r="S179" s="32">
        <f>ROUND(ROUND(P179, 2)*I179, 2)</f>
        <v>0</v>
      </c>
      <c r="V179" s="9">
        <f>ROUND(ROUND(P179, 2)/1.2, 2)</f>
        <v>21.67</v>
      </c>
      <c r="Y179" s="9">
        <f t="shared" si="12"/>
        <v>0</v>
      </c>
      <c r="AD179" s="4" t="s">
        <v>986</v>
      </c>
      <c r="AE179" s="4" t="s">
        <v>987</v>
      </c>
      <c r="AF179" s="4" t="s">
        <v>869</v>
      </c>
    </row>
    <row r="180" spans="1:35" ht="18" x14ac:dyDescent="0.3">
      <c r="A180" s="10" t="s">
        <v>990</v>
      </c>
      <c r="B180" s="10"/>
      <c r="C180" s="28" t="s">
        <v>873</v>
      </c>
      <c r="D180" s="12"/>
      <c r="E180" s="12"/>
      <c r="F180" s="29" t="s">
        <v>76</v>
      </c>
      <c r="G180" s="30">
        <v>1.05</v>
      </c>
      <c r="H180" s="49"/>
      <c r="I180" s="49">
        <v>0</v>
      </c>
      <c r="J180" s="31">
        <v>15.76</v>
      </c>
      <c r="M180" s="32">
        <f>ROUND(ROUND(J180, 2)*I180, 2)</f>
        <v>0</v>
      </c>
      <c r="P180" s="31">
        <v>15.76</v>
      </c>
      <c r="S180" s="32">
        <f>ROUND(ROUND(P180, 2)*I180, 2)</f>
        <v>0</v>
      </c>
      <c r="V180" s="9">
        <f>ROUND(ROUND(P180, 2)/1.2, 2)</f>
        <v>13.13</v>
      </c>
      <c r="Y180" s="9">
        <f t="shared" si="12"/>
        <v>0</v>
      </c>
      <c r="AD180" s="4" t="s">
        <v>991</v>
      </c>
      <c r="AE180" s="4" t="s">
        <v>992</v>
      </c>
      <c r="AF180" s="4" t="s">
        <v>876</v>
      </c>
    </row>
    <row r="181" spans="1:35" ht="36" x14ac:dyDescent="0.3">
      <c r="A181" s="10" t="s">
        <v>995</v>
      </c>
      <c r="B181" s="10"/>
      <c r="C181" s="28" t="s">
        <v>397</v>
      </c>
      <c r="D181" s="12"/>
      <c r="E181" s="12"/>
      <c r="F181" s="29" t="s">
        <v>364</v>
      </c>
      <c r="G181" s="30">
        <v>0.15</v>
      </c>
      <c r="H181" s="30"/>
      <c r="I181" s="30">
        <v>0</v>
      </c>
      <c r="J181" s="31">
        <v>88.8</v>
      </c>
      <c r="M181" s="32">
        <f>ROUND(ROUND(J181, 2)*I181, 2)</f>
        <v>0</v>
      </c>
      <c r="P181" s="31">
        <v>88.8</v>
      </c>
      <c r="S181" s="32">
        <f>ROUND(ROUND(P181, 2)*I181, 2)</f>
        <v>0</v>
      </c>
      <c r="V181" s="9">
        <f>ROUND(ROUND(P181, 2)/1.2, 2)</f>
        <v>74</v>
      </c>
      <c r="Y181" s="9">
        <f t="shared" si="12"/>
        <v>0</v>
      </c>
      <c r="AD181" s="4" t="s">
        <v>996</v>
      </c>
      <c r="AE181" s="4" t="s">
        <v>997</v>
      </c>
      <c r="AF181" s="4" t="s">
        <v>400</v>
      </c>
    </row>
    <row r="182" spans="1:35" ht="36" x14ac:dyDescent="0.3">
      <c r="A182" s="10" t="s">
        <v>1000</v>
      </c>
      <c r="B182" s="10" t="s">
        <v>1001</v>
      </c>
      <c r="C182" s="11" t="s">
        <v>1002</v>
      </c>
      <c r="D182" s="12"/>
      <c r="E182" s="12" t="s">
        <v>976</v>
      </c>
      <c r="F182" s="12" t="s">
        <v>61</v>
      </c>
      <c r="G182" s="13">
        <v>1</v>
      </c>
      <c r="H182" s="13"/>
      <c r="I182" s="13">
        <v>0</v>
      </c>
      <c r="J182" s="14">
        <v>36.18</v>
      </c>
      <c r="K182" s="15">
        <v>546</v>
      </c>
      <c r="L182" s="14">
        <f>J182+ROUND(K182, 2)</f>
        <v>582.17999999999995</v>
      </c>
      <c r="M182" s="14">
        <v>0</v>
      </c>
      <c r="N182" s="14">
        <v>0</v>
      </c>
      <c r="O182" s="14">
        <f>M182+N182</f>
        <v>0</v>
      </c>
      <c r="P182" s="14">
        <v>36.18</v>
      </c>
      <c r="Q182" s="15">
        <v>546</v>
      </c>
      <c r="R182" s="14">
        <f>P182+ROUND(Q182, 2)</f>
        <v>582.17999999999995</v>
      </c>
      <c r="S182" s="14">
        <v>0</v>
      </c>
      <c r="T182" s="14">
        <v>0</v>
      </c>
      <c r="U182" s="14">
        <f>S182+T182</f>
        <v>0</v>
      </c>
      <c r="V182" s="9">
        <f>ROUND(P182 / 1.2, 2)</f>
        <v>30.15</v>
      </c>
      <c r="W182" s="9">
        <f>ROUND(Q182 / 1.2, 2)</f>
        <v>455</v>
      </c>
      <c r="X182" s="9">
        <f>ROUND(R182 / 1.2, 2)</f>
        <v>485.15</v>
      </c>
      <c r="Y182" s="9">
        <f t="shared" si="12"/>
        <v>0</v>
      </c>
      <c r="Z182" s="9">
        <f>ROUND(T182 / 1.2, 2)</f>
        <v>0</v>
      </c>
      <c r="AA182" s="9">
        <f>Y182+Z182</f>
        <v>0</v>
      </c>
      <c r="AD182" s="4">
        <v>320320131</v>
      </c>
      <c r="AE182" s="4">
        <v>26813827</v>
      </c>
      <c r="AG182" s="4" t="s">
        <v>1003</v>
      </c>
      <c r="AH182" s="4" t="s">
        <v>1004</v>
      </c>
      <c r="AI182" s="4" t="s">
        <v>338</v>
      </c>
    </row>
    <row r="183" spans="1:35" ht="54" x14ac:dyDescent="0.3">
      <c r="A183" s="10" t="s">
        <v>1006</v>
      </c>
      <c r="B183" s="10"/>
      <c r="C183" s="47" t="s">
        <v>1007</v>
      </c>
      <c r="D183" s="12"/>
      <c r="E183" s="12"/>
      <c r="F183" s="29" t="s">
        <v>364</v>
      </c>
      <c r="G183" s="30">
        <v>1.8</v>
      </c>
      <c r="H183" s="30"/>
      <c r="I183" s="30">
        <v>0</v>
      </c>
      <c r="J183" s="31">
        <v>12.7</v>
      </c>
      <c r="M183" s="32">
        <f>ROUND(ROUND(J183, 2)*I183, 2)</f>
        <v>0</v>
      </c>
      <c r="P183" s="31">
        <v>12.7</v>
      </c>
      <c r="S183" s="32">
        <f>ROUND(ROUND(P183, 2)*I183, 2)</f>
        <v>0</v>
      </c>
      <c r="V183" s="9">
        <f>ROUND(ROUND(P183, 2)/1.2, 2)</f>
        <v>10.58</v>
      </c>
      <c r="Y183" s="9">
        <f t="shared" si="12"/>
        <v>0</v>
      </c>
      <c r="AD183" s="4" t="s">
        <v>1008</v>
      </c>
      <c r="AE183" s="4" t="s">
        <v>1009</v>
      </c>
      <c r="AF183" s="4" t="s">
        <v>1010</v>
      </c>
    </row>
    <row r="184" spans="1:35" ht="36" x14ac:dyDescent="0.3">
      <c r="A184" s="10" t="s">
        <v>1013</v>
      </c>
      <c r="B184" s="10"/>
      <c r="C184" s="28" t="s">
        <v>397</v>
      </c>
      <c r="D184" s="12"/>
      <c r="E184" s="12"/>
      <c r="F184" s="29" t="s">
        <v>364</v>
      </c>
      <c r="G184" s="30">
        <v>0.15</v>
      </c>
      <c r="H184" s="30"/>
      <c r="I184" s="30">
        <v>0</v>
      </c>
      <c r="J184" s="31">
        <v>88.8</v>
      </c>
      <c r="M184" s="32">
        <f>ROUND(ROUND(J184, 2)*I184, 2)</f>
        <v>0</v>
      </c>
      <c r="P184" s="31">
        <v>88.8</v>
      </c>
      <c r="S184" s="32">
        <f>ROUND(ROUND(P184, 2)*I184, 2)</f>
        <v>0</v>
      </c>
      <c r="V184" s="9">
        <f>ROUND(ROUND(P184, 2)/1.2, 2)</f>
        <v>74</v>
      </c>
      <c r="Y184" s="9">
        <f t="shared" si="12"/>
        <v>0</v>
      </c>
      <c r="AD184" s="4" t="s">
        <v>1014</v>
      </c>
      <c r="AE184" s="4" t="s">
        <v>1015</v>
      </c>
      <c r="AF184" s="4" t="s">
        <v>400</v>
      </c>
    </row>
    <row r="185" spans="1:35" ht="16.95" customHeight="1" x14ac:dyDescent="0.3">
      <c r="A185" s="10" t="s">
        <v>1018</v>
      </c>
      <c r="B185" s="10" t="s">
        <v>1019</v>
      </c>
      <c r="C185" s="237" t="s">
        <v>1020</v>
      </c>
      <c r="D185" s="238"/>
      <c r="E185" s="238"/>
      <c r="F185" s="238"/>
      <c r="G185" s="238"/>
      <c r="H185" s="238"/>
      <c r="I185" s="239"/>
      <c r="M185" s="6">
        <f>SUM(M186,M189,M192,M195)</f>
        <v>0</v>
      </c>
      <c r="N185" s="6">
        <f>SUM(N186,N189,N192,N195)</f>
        <v>0</v>
      </c>
      <c r="O185" s="6">
        <f>SUM(O186,O189,O192,O195)</f>
        <v>0</v>
      </c>
      <c r="S185" s="6">
        <f>SUM(S186,S189,S192,S195)</f>
        <v>0</v>
      </c>
      <c r="T185" s="6">
        <f>SUM(T186,T189,T192,T195)</f>
        <v>0</v>
      </c>
      <c r="U185" s="6">
        <f>SUM(U186,U189,U192,U195)</f>
        <v>0</v>
      </c>
      <c r="Y185" s="9">
        <f>SUM(Y186,Y189,Y192,Y195)</f>
        <v>0</v>
      </c>
      <c r="Z185" s="9">
        <f>SUM(Z186,Z189,Z192,Z195)</f>
        <v>0</v>
      </c>
      <c r="AA185" s="9">
        <f>SUM(AA186,AA189,AA192,AA195)</f>
        <v>0</v>
      </c>
      <c r="AD185" s="4">
        <v>320320132</v>
      </c>
      <c r="AE185" s="4">
        <v>26813797</v>
      </c>
    </row>
    <row r="186" spans="1:35" ht="36" x14ac:dyDescent="0.3">
      <c r="A186" s="10" t="s">
        <v>1021</v>
      </c>
      <c r="B186" s="10" t="s">
        <v>1022</v>
      </c>
      <c r="C186" s="11" t="s">
        <v>1023</v>
      </c>
      <c r="D186" s="12"/>
      <c r="E186" s="12" t="s">
        <v>1024</v>
      </c>
      <c r="F186" s="12" t="s">
        <v>61</v>
      </c>
      <c r="G186" s="13">
        <v>1</v>
      </c>
      <c r="H186" s="13"/>
      <c r="I186" s="13">
        <v>0</v>
      </c>
      <c r="J186" s="14">
        <v>13.32</v>
      </c>
      <c r="K186" s="15">
        <v>464</v>
      </c>
      <c r="L186" s="14">
        <f>J186+ROUND(K186, 2)</f>
        <v>477.32</v>
      </c>
      <c r="M186" s="14">
        <v>0</v>
      </c>
      <c r="N186" s="14">
        <v>0</v>
      </c>
      <c r="O186" s="14">
        <f>M186+N186</f>
        <v>0</v>
      </c>
      <c r="P186" s="14">
        <v>73.040000000000006</v>
      </c>
      <c r="Q186" s="15">
        <v>464</v>
      </c>
      <c r="R186" s="14">
        <f>P186+ROUND(Q186, 2)</f>
        <v>537.04</v>
      </c>
      <c r="S186" s="14">
        <v>0</v>
      </c>
      <c r="T186" s="14">
        <v>0</v>
      </c>
      <c r="U186" s="14">
        <f>S186+T186</f>
        <v>0</v>
      </c>
      <c r="V186" s="9">
        <f>ROUND(P186 / 1.2, 2)</f>
        <v>60.87</v>
      </c>
      <c r="W186" s="9">
        <f>ROUND(Q186 / 1.2, 2)</f>
        <v>386.67</v>
      </c>
      <c r="X186" s="9">
        <f>ROUND(R186 / 1.2, 2)</f>
        <v>447.53</v>
      </c>
      <c r="Y186" s="9">
        <f>ROUND(S186 / 1.2, 2)</f>
        <v>0</v>
      </c>
      <c r="Z186" s="9">
        <f>ROUND(T186 / 1.2, 2)</f>
        <v>0</v>
      </c>
      <c r="AA186" s="9">
        <f>Y186+Z186</f>
        <v>0</v>
      </c>
      <c r="AD186" s="4">
        <v>320320134</v>
      </c>
      <c r="AE186" s="4">
        <v>26813822</v>
      </c>
      <c r="AG186" s="4" t="s">
        <v>1025</v>
      </c>
      <c r="AH186" s="4" t="s">
        <v>1026</v>
      </c>
      <c r="AI186" s="4" t="s">
        <v>338</v>
      </c>
    </row>
    <row r="187" spans="1:35" ht="162" x14ac:dyDescent="0.3">
      <c r="A187" s="10" t="s">
        <v>1028</v>
      </c>
      <c r="B187" s="10"/>
      <c r="C187" s="28" t="s">
        <v>1029</v>
      </c>
      <c r="D187" s="12"/>
      <c r="E187" s="12" t="s">
        <v>1030</v>
      </c>
      <c r="F187" s="29" t="s">
        <v>364</v>
      </c>
      <c r="G187" s="30">
        <v>0.4</v>
      </c>
      <c r="H187" s="30"/>
      <c r="I187" s="30">
        <v>0</v>
      </c>
      <c r="J187" s="31">
        <v>0</v>
      </c>
      <c r="M187" s="32">
        <f>ROUND(ROUND(J187, 2)*I187, 2)</f>
        <v>0</v>
      </c>
      <c r="P187" s="31">
        <v>149.31</v>
      </c>
      <c r="S187" s="32">
        <f>ROUND(ROUND(P187, 2)*I187, 2)</f>
        <v>0</v>
      </c>
      <c r="V187" s="9">
        <f>ROUND(ROUND(P187, 2)/1.2, 2)</f>
        <v>124.43</v>
      </c>
      <c r="Y187" s="9">
        <f t="shared" ref="Y187:Y197" si="13">ROUND(S187 / 1.2, 2)</f>
        <v>0</v>
      </c>
      <c r="AD187" s="4" t="s">
        <v>1031</v>
      </c>
      <c r="AE187" s="4" t="s">
        <v>1032</v>
      </c>
      <c r="AF187" s="4" t="s">
        <v>1033</v>
      </c>
    </row>
    <row r="188" spans="1:35" ht="36" x14ac:dyDescent="0.3">
      <c r="A188" s="10" t="s">
        <v>1036</v>
      </c>
      <c r="B188" s="10"/>
      <c r="C188" s="28" t="s">
        <v>680</v>
      </c>
      <c r="D188" s="12"/>
      <c r="E188" s="12"/>
      <c r="F188" s="29" t="s">
        <v>364</v>
      </c>
      <c r="G188" s="30">
        <v>0.15</v>
      </c>
      <c r="H188" s="30"/>
      <c r="I188" s="30">
        <v>0</v>
      </c>
      <c r="J188" s="31">
        <v>88.8</v>
      </c>
      <c r="M188" s="32">
        <f>ROUND(ROUND(J188, 2)*I188, 2)</f>
        <v>0</v>
      </c>
      <c r="P188" s="31">
        <v>88.8</v>
      </c>
      <c r="S188" s="32">
        <f>ROUND(ROUND(P188, 2)*I188, 2)</f>
        <v>0</v>
      </c>
      <c r="V188" s="9">
        <f>ROUND(ROUND(P188, 2)/1.2, 2)</f>
        <v>74</v>
      </c>
      <c r="Y188" s="9">
        <f t="shared" si="13"/>
        <v>0</v>
      </c>
      <c r="AD188" s="4" t="s">
        <v>1037</v>
      </c>
      <c r="AE188" s="4" t="s">
        <v>1038</v>
      </c>
      <c r="AF188" s="4" t="s">
        <v>683</v>
      </c>
    </row>
    <row r="189" spans="1:35" ht="36" x14ac:dyDescent="0.3">
      <c r="A189" s="10" t="s">
        <v>1041</v>
      </c>
      <c r="B189" s="10" t="s">
        <v>1022</v>
      </c>
      <c r="C189" s="11" t="s">
        <v>1023</v>
      </c>
      <c r="D189" s="12"/>
      <c r="E189" s="12" t="s">
        <v>1042</v>
      </c>
      <c r="F189" s="12" t="s">
        <v>61</v>
      </c>
      <c r="G189" s="13">
        <v>1</v>
      </c>
      <c r="H189" s="13"/>
      <c r="I189" s="13">
        <v>0</v>
      </c>
      <c r="J189" s="14">
        <v>13.32</v>
      </c>
      <c r="K189" s="15">
        <v>464</v>
      </c>
      <c r="L189" s="14">
        <f>J189+ROUND(K189, 2)</f>
        <v>477.32</v>
      </c>
      <c r="M189" s="14">
        <v>0</v>
      </c>
      <c r="N189" s="14">
        <v>0</v>
      </c>
      <c r="O189" s="14">
        <f>M189+N189</f>
        <v>0</v>
      </c>
      <c r="P189" s="14">
        <v>73.040000000000006</v>
      </c>
      <c r="Q189" s="15">
        <v>464</v>
      </c>
      <c r="R189" s="14">
        <f>P189+ROUND(Q189, 2)</f>
        <v>537.04</v>
      </c>
      <c r="S189" s="14">
        <v>0</v>
      </c>
      <c r="T189" s="14">
        <v>0</v>
      </c>
      <c r="U189" s="14">
        <f>S189+T189</f>
        <v>0</v>
      </c>
      <c r="V189" s="9">
        <f>ROUND(P189 / 1.2, 2)</f>
        <v>60.87</v>
      </c>
      <c r="W189" s="9">
        <f>ROUND(Q189 / 1.2, 2)</f>
        <v>386.67</v>
      </c>
      <c r="X189" s="9">
        <f>ROUND(R189 / 1.2, 2)</f>
        <v>447.53</v>
      </c>
      <c r="Y189" s="9">
        <f t="shared" si="13"/>
        <v>0</v>
      </c>
      <c r="Z189" s="9">
        <f>ROUND(T189 / 1.2, 2)</f>
        <v>0</v>
      </c>
      <c r="AA189" s="9">
        <f>Y189+Z189</f>
        <v>0</v>
      </c>
      <c r="AD189" s="4">
        <v>320320162</v>
      </c>
      <c r="AE189" s="4">
        <v>26813824</v>
      </c>
      <c r="AG189" s="4" t="s">
        <v>1025</v>
      </c>
      <c r="AH189" s="4" t="s">
        <v>1026</v>
      </c>
      <c r="AI189" s="4" t="s">
        <v>338</v>
      </c>
    </row>
    <row r="190" spans="1:35" ht="36" x14ac:dyDescent="0.3">
      <c r="A190" s="10" t="s">
        <v>1044</v>
      </c>
      <c r="B190" s="10"/>
      <c r="C190" s="28" t="s">
        <v>680</v>
      </c>
      <c r="D190" s="12"/>
      <c r="E190" s="12"/>
      <c r="F190" s="29" t="s">
        <v>364</v>
      </c>
      <c r="G190" s="30">
        <v>0.15</v>
      </c>
      <c r="H190" s="30"/>
      <c r="I190" s="30">
        <v>0</v>
      </c>
      <c r="J190" s="31">
        <v>88.8</v>
      </c>
      <c r="M190" s="32">
        <f>ROUND(ROUND(J190, 2)*I190, 2)</f>
        <v>0</v>
      </c>
      <c r="P190" s="31">
        <v>88.8</v>
      </c>
      <c r="S190" s="32">
        <f>ROUND(ROUND(P190, 2)*I190, 2)</f>
        <v>0</v>
      </c>
      <c r="V190" s="9">
        <f>ROUND(ROUND(P190, 2)/1.2, 2)</f>
        <v>74</v>
      </c>
      <c r="Y190" s="9">
        <f t="shared" si="13"/>
        <v>0</v>
      </c>
      <c r="AD190" s="4" t="s">
        <v>1045</v>
      </c>
      <c r="AE190" s="4" t="s">
        <v>1046</v>
      </c>
      <c r="AF190" s="4" t="s">
        <v>683</v>
      </c>
    </row>
    <row r="191" spans="1:35" ht="90" x14ac:dyDescent="0.3">
      <c r="A191" s="10" t="s">
        <v>1049</v>
      </c>
      <c r="B191" s="10"/>
      <c r="C191" s="28" t="s">
        <v>1029</v>
      </c>
      <c r="D191" s="12"/>
      <c r="E191" s="12" t="s">
        <v>1050</v>
      </c>
      <c r="F191" s="29" t="s">
        <v>364</v>
      </c>
      <c r="G191" s="30">
        <v>0.4</v>
      </c>
      <c r="H191" s="30"/>
      <c r="I191" s="30">
        <v>0</v>
      </c>
      <c r="J191" s="31">
        <v>0</v>
      </c>
      <c r="M191" s="32">
        <f>ROUND(ROUND(J191, 2)*I191, 2)</f>
        <v>0</v>
      </c>
      <c r="P191" s="31">
        <v>149.31</v>
      </c>
      <c r="S191" s="32">
        <f>ROUND(ROUND(P191, 2)*I191, 2)</f>
        <v>0</v>
      </c>
      <c r="V191" s="9">
        <f>ROUND(ROUND(P191, 2)/1.2, 2)</f>
        <v>124.43</v>
      </c>
      <c r="Y191" s="9">
        <f t="shared" si="13"/>
        <v>0</v>
      </c>
      <c r="AD191" s="4" t="s">
        <v>1051</v>
      </c>
      <c r="AE191" s="4" t="s">
        <v>1052</v>
      </c>
      <c r="AF191" s="4" t="s">
        <v>1033</v>
      </c>
    </row>
    <row r="192" spans="1:35" ht="36" x14ac:dyDescent="0.3">
      <c r="A192" s="10" t="s">
        <v>1055</v>
      </c>
      <c r="B192" s="10" t="s">
        <v>1022</v>
      </c>
      <c r="C192" s="11" t="s">
        <v>1023</v>
      </c>
      <c r="D192" s="12"/>
      <c r="E192" s="12" t="s">
        <v>1056</v>
      </c>
      <c r="F192" s="12" t="s">
        <v>61</v>
      </c>
      <c r="G192" s="13">
        <v>1</v>
      </c>
      <c r="H192" s="13"/>
      <c r="I192" s="13">
        <v>0</v>
      </c>
      <c r="J192" s="14">
        <v>13.32</v>
      </c>
      <c r="K192" s="15">
        <v>464</v>
      </c>
      <c r="L192" s="14">
        <f>J192+ROUND(K192, 2)</f>
        <v>477.32</v>
      </c>
      <c r="M192" s="14">
        <v>0</v>
      </c>
      <c r="N192" s="14">
        <v>0</v>
      </c>
      <c r="O192" s="14">
        <f>M192+N192</f>
        <v>0</v>
      </c>
      <c r="P192" s="14">
        <v>73.040000000000006</v>
      </c>
      <c r="Q192" s="15">
        <v>464</v>
      </c>
      <c r="R192" s="14">
        <f>P192+ROUND(Q192, 2)</f>
        <v>537.04</v>
      </c>
      <c r="S192" s="14">
        <v>0</v>
      </c>
      <c r="T192" s="14">
        <v>0</v>
      </c>
      <c r="U192" s="14">
        <f>S192+T192</f>
        <v>0</v>
      </c>
      <c r="V192" s="9">
        <f>ROUND(P192 / 1.2, 2)</f>
        <v>60.87</v>
      </c>
      <c r="W192" s="9">
        <f>ROUND(Q192 / 1.2, 2)</f>
        <v>386.67</v>
      </c>
      <c r="X192" s="9">
        <f>ROUND(R192 / 1.2, 2)</f>
        <v>447.53</v>
      </c>
      <c r="Y192" s="9">
        <f t="shared" si="13"/>
        <v>0</v>
      </c>
      <c r="Z192" s="9">
        <f>ROUND(T192 / 1.2, 2)</f>
        <v>0</v>
      </c>
      <c r="AA192" s="9">
        <f>Y192+Z192</f>
        <v>0</v>
      </c>
      <c r="AD192" s="4">
        <v>320320163</v>
      </c>
      <c r="AE192" s="4">
        <v>26813829</v>
      </c>
      <c r="AG192" s="4" t="s">
        <v>1025</v>
      </c>
      <c r="AH192" s="4" t="s">
        <v>1026</v>
      </c>
      <c r="AI192" s="4" t="s">
        <v>338</v>
      </c>
    </row>
    <row r="193" spans="1:35" ht="72" x14ac:dyDescent="0.3">
      <c r="A193" s="10" t="s">
        <v>1058</v>
      </c>
      <c r="B193" s="10"/>
      <c r="C193" s="28" t="s">
        <v>1029</v>
      </c>
      <c r="D193" s="12"/>
      <c r="E193" s="12" t="s">
        <v>1059</v>
      </c>
      <c r="F193" s="29" t="s">
        <v>364</v>
      </c>
      <c r="G193" s="30">
        <v>0.4</v>
      </c>
      <c r="H193" s="30"/>
      <c r="I193" s="30">
        <v>0</v>
      </c>
      <c r="J193" s="31">
        <v>0</v>
      </c>
      <c r="M193" s="32">
        <f>ROUND(ROUND(J193, 2)*I193, 2)</f>
        <v>0</v>
      </c>
      <c r="P193" s="31">
        <v>149.31</v>
      </c>
      <c r="S193" s="32">
        <f>ROUND(ROUND(P193, 2)*I193, 2)</f>
        <v>0</v>
      </c>
      <c r="V193" s="9">
        <f>ROUND(ROUND(P193, 2)/1.2, 2)</f>
        <v>124.43</v>
      </c>
      <c r="Y193" s="9">
        <f t="shared" si="13"/>
        <v>0</v>
      </c>
      <c r="AD193" s="4" t="s">
        <v>1060</v>
      </c>
      <c r="AE193" s="4" t="s">
        <v>1061</v>
      </c>
      <c r="AF193" s="4" t="s">
        <v>1033</v>
      </c>
    </row>
    <row r="194" spans="1:35" ht="36" x14ac:dyDescent="0.3">
      <c r="A194" s="10" t="s">
        <v>1064</v>
      </c>
      <c r="B194" s="10"/>
      <c r="C194" s="28" t="s">
        <v>680</v>
      </c>
      <c r="D194" s="12"/>
      <c r="E194" s="12"/>
      <c r="F194" s="29" t="s">
        <v>364</v>
      </c>
      <c r="G194" s="30">
        <v>0.15</v>
      </c>
      <c r="H194" s="30"/>
      <c r="I194" s="30">
        <v>0</v>
      </c>
      <c r="J194" s="31">
        <v>88.8</v>
      </c>
      <c r="M194" s="32">
        <f>ROUND(ROUND(J194, 2)*I194, 2)</f>
        <v>0</v>
      </c>
      <c r="P194" s="31">
        <v>88.8</v>
      </c>
      <c r="S194" s="32">
        <f>ROUND(ROUND(P194, 2)*I194, 2)</f>
        <v>0</v>
      </c>
      <c r="V194" s="9">
        <f>ROUND(ROUND(P194, 2)/1.2, 2)</f>
        <v>74</v>
      </c>
      <c r="Y194" s="9">
        <f t="shared" si="13"/>
        <v>0</v>
      </c>
      <c r="AD194" s="4" t="s">
        <v>1065</v>
      </c>
      <c r="AE194" s="4" t="s">
        <v>1066</v>
      </c>
      <c r="AF194" s="4" t="s">
        <v>683</v>
      </c>
    </row>
    <row r="195" spans="1:35" ht="36" x14ac:dyDescent="0.3">
      <c r="A195" s="10" t="s">
        <v>1069</v>
      </c>
      <c r="B195" s="10" t="s">
        <v>1022</v>
      </c>
      <c r="C195" s="11" t="s">
        <v>1023</v>
      </c>
      <c r="D195" s="12"/>
      <c r="E195" s="12" t="s">
        <v>1070</v>
      </c>
      <c r="F195" s="12" t="s">
        <v>61</v>
      </c>
      <c r="G195" s="13">
        <v>1</v>
      </c>
      <c r="H195" s="13"/>
      <c r="I195" s="13">
        <v>0</v>
      </c>
      <c r="J195" s="14">
        <v>13.32</v>
      </c>
      <c r="K195" s="15">
        <v>464</v>
      </c>
      <c r="L195" s="14">
        <f>J195+ROUND(K195, 2)</f>
        <v>477.32</v>
      </c>
      <c r="M195" s="14">
        <v>0</v>
      </c>
      <c r="N195" s="14">
        <v>0</v>
      </c>
      <c r="O195" s="14">
        <f>M195+N195</f>
        <v>0</v>
      </c>
      <c r="P195" s="14">
        <v>73.040000000000006</v>
      </c>
      <c r="Q195" s="15">
        <v>464</v>
      </c>
      <c r="R195" s="14">
        <f>P195+ROUND(Q195, 2)</f>
        <v>537.04</v>
      </c>
      <c r="S195" s="14">
        <v>0</v>
      </c>
      <c r="T195" s="14">
        <v>0</v>
      </c>
      <c r="U195" s="14">
        <f>S195+T195</f>
        <v>0</v>
      </c>
      <c r="V195" s="9">
        <f>ROUND(P195 / 1.2, 2)</f>
        <v>60.87</v>
      </c>
      <c r="W195" s="9">
        <f>ROUND(Q195 / 1.2, 2)</f>
        <v>386.67</v>
      </c>
      <c r="X195" s="9">
        <f>ROUND(R195 / 1.2, 2)</f>
        <v>447.53</v>
      </c>
      <c r="Y195" s="9">
        <f t="shared" si="13"/>
        <v>0</v>
      </c>
      <c r="Z195" s="9">
        <f>ROUND(T195 / 1.2, 2)</f>
        <v>0</v>
      </c>
      <c r="AA195" s="9">
        <f>Y195+Z195</f>
        <v>0</v>
      </c>
      <c r="AD195" s="4">
        <v>320320164</v>
      </c>
      <c r="AE195" s="4">
        <v>26813830</v>
      </c>
      <c r="AG195" s="4" t="s">
        <v>1025</v>
      </c>
      <c r="AH195" s="4" t="s">
        <v>1026</v>
      </c>
      <c r="AI195" s="4" t="s">
        <v>338</v>
      </c>
    </row>
    <row r="196" spans="1:35" ht="36" x14ac:dyDescent="0.3">
      <c r="A196" s="10" t="s">
        <v>1072</v>
      </c>
      <c r="B196" s="10"/>
      <c r="C196" s="28" t="s">
        <v>680</v>
      </c>
      <c r="D196" s="12"/>
      <c r="E196" s="12"/>
      <c r="F196" s="29" t="s">
        <v>364</v>
      </c>
      <c r="G196" s="30">
        <v>0.15</v>
      </c>
      <c r="H196" s="30"/>
      <c r="I196" s="30">
        <v>0</v>
      </c>
      <c r="J196" s="31">
        <v>88.8</v>
      </c>
      <c r="M196" s="32">
        <f>ROUND(ROUND(J196, 2)*I196, 2)</f>
        <v>0</v>
      </c>
      <c r="P196" s="31">
        <v>88.8</v>
      </c>
      <c r="S196" s="32">
        <f>ROUND(ROUND(P196, 2)*I196, 2)</f>
        <v>0</v>
      </c>
      <c r="V196" s="9">
        <f>ROUND(ROUND(P196, 2)/1.2, 2)</f>
        <v>74</v>
      </c>
      <c r="Y196" s="9">
        <f t="shared" si="13"/>
        <v>0</v>
      </c>
      <c r="AD196" s="4" t="s">
        <v>1073</v>
      </c>
      <c r="AE196" s="4" t="s">
        <v>1074</v>
      </c>
      <c r="AF196" s="4" t="s">
        <v>683</v>
      </c>
    </row>
    <row r="197" spans="1:35" ht="90" x14ac:dyDescent="0.3">
      <c r="A197" s="10" t="s">
        <v>1077</v>
      </c>
      <c r="B197" s="10"/>
      <c r="C197" s="28" t="s">
        <v>1029</v>
      </c>
      <c r="D197" s="12"/>
      <c r="E197" s="12" t="s">
        <v>1078</v>
      </c>
      <c r="F197" s="29" t="s">
        <v>364</v>
      </c>
      <c r="G197" s="30">
        <v>0.4</v>
      </c>
      <c r="H197" s="30"/>
      <c r="I197" s="30">
        <v>0</v>
      </c>
      <c r="J197" s="31">
        <v>0</v>
      </c>
      <c r="M197" s="32">
        <f>ROUND(ROUND(J197, 2)*I197, 2)</f>
        <v>0</v>
      </c>
      <c r="P197" s="31">
        <v>149.31</v>
      </c>
      <c r="S197" s="32">
        <f>ROUND(ROUND(P197, 2)*I197, 2)</f>
        <v>0</v>
      </c>
      <c r="V197" s="9">
        <f>ROUND(ROUND(P197, 2)/1.2, 2)</f>
        <v>124.43</v>
      </c>
      <c r="Y197" s="9">
        <f t="shared" si="13"/>
        <v>0</v>
      </c>
      <c r="AD197" s="4" t="s">
        <v>1079</v>
      </c>
      <c r="AE197" s="4" t="s">
        <v>1080</v>
      </c>
      <c r="AF197" s="4" t="s">
        <v>1033</v>
      </c>
    </row>
    <row r="198" spans="1:35" ht="16.95" customHeight="1" x14ac:dyDescent="0.3">
      <c r="A198" s="10" t="s">
        <v>1083</v>
      </c>
      <c r="B198" s="10" t="s">
        <v>1084</v>
      </c>
      <c r="C198" s="237" t="s">
        <v>1085</v>
      </c>
      <c r="D198" s="238"/>
      <c r="E198" s="238"/>
      <c r="F198" s="238"/>
      <c r="G198" s="238"/>
      <c r="H198" s="238"/>
      <c r="I198" s="239"/>
      <c r="M198" s="6">
        <f>SUM(M199,M201,M203,M204,M215,M226,M237)</f>
        <v>0</v>
      </c>
      <c r="N198" s="6">
        <f>SUM(N199,N201,N203,N204,N215,N226,N237)</f>
        <v>0</v>
      </c>
      <c r="O198" s="6">
        <f>SUM(O199,O201,O203,O204,O215,O226,O237)</f>
        <v>0</v>
      </c>
      <c r="S198" s="6">
        <f>SUM(S199,S201,S203,S204,S215,S226,S237)</f>
        <v>0</v>
      </c>
      <c r="T198" s="6">
        <f>SUM(T199,T201,T203,T204,T215,T226,T237)</f>
        <v>0</v>
      </c>
      <c r="U198" s="6">
        <f>SUM(U199,U201,U203,U204,U215,U226,U237)</f>
        <v>0</v>
      </c>
      <c r="Y198" s="9">
        <f>SUM(Y199,Y201,Y203,Y204,Y215,Y226,Y237)</f>
        <v>0</v>
      </c>
      <c r="Z198" s="9">
        <f>SUM(Z199,Z201,Z203,Z204,Z215,Z226,Z237)</f>
        <v>0</v>
      </c>
      <c r="AA198" s="9">
        <f>SUM(AA199,AA201,AA203,AA204,AA215,AA226,AA237)</f>
        <v>0</v>
      </c>
      <c r="AD198" s="4">
        <v>320320135</v>
      </c>
      <c r="AE198" s="4">
        <v>26813799</v>
      </c>
    </row>
    <row r="199" spans="1:35" ht="126" x14ac:dyDescent="0.3">
      <c r="A199" s="10" t="s">
        <v>1086</v>
      </c>
      <c r="B199" s="10" t="s">
        <v>1087</v>
      </c>
      <c r="C199" s="11" t="s">
        <v>1088</v>
      </c>
      <c r="D199" s="12"/>
      <c r="E199" s="12" t="s">
        <v>1089</v>
      </c>
      <c r="F199" s="12" t="s">
        <v>61</v>
      </c>
      <c r="G199" s="13">
        <v>1</v>
      </c>
      <c r="H199" s="13"/>
      <c r="I199" s="13">
        <v>0</v>
      </c>
      <c r="J199" s="14">
        <v>7126.9</v>
      </c>
      <c r="K199" s="15">
        <v>837</v>
      </c>
      <c r="L199" s="14">
        <f>J199+ROUND(K199, 2)</f>
        <v>7963.9</v>
      </c>
      <c r="M199" s="14">
        <v>0</v>
      </c>
      <c r="N199" s="14">
        <v>0</v>
      </c>
      <c r="O199" s="14">
        <f>M199+N199</f>
        <v>0</v>
      </c>
      <c r="P199" s="14">
        <v>7126.9</v>
      </c>
      <c r="Q199" s="15">
        <v>837</v>
      </c>
      <c r="R199" s="14">
        <f>P199+ROUND(Q199, 2)</f>
        <v>7963.9</v>
      </c>
      <c r="S199" s="14">
        <v>0</v>
      </c>
      <c r="T199" s="14">
        <v>0</v>
      </c>
      <c r="U199" s="14">
        <f>S199+T199</f>
        <v>0</v>
      </c>
      <c r="V199" s="9">
        <f>ROUND(P199 / 1.2, 2)</f>
        <v>5939.08</v>
      </c>
      <c r="W199" s="9">
        <f>ROUND(Q199 / 1.2, 2)</f>
        <v>697.5</v>
      </c>
      <c r="X199" s="9">
        <f>ROUND(R199 / 1.2, 2)</f>
        <v>6636.58</v>
      </c>
      <c r="Y199" s="9">
        <f>ROUND(S199 / 1.2, 2)</f>
        <v>0</v>
      </c>
      <c r="Z199" s="9">
        <f>ROUND(T199 / 1.2, 2)</f>
        <v>0</v>
      </c>
      <c r="AA199" s="9">
        <f>Y199+Z199</f>
        <v>0</v>
      </c>
      <c r="AD199" s="4">
        <v>320320137</v>
      </c>
      <c r="AE199" s="4">
        <v>26813825</v>
      </c>
      <c r="AG199" s="4" t="s">
        <v>1090</v>
      </c>
      <c r="AH199" s="4" t="s">
        <v>1091</v>
      </c>
      <c r="AI199" s="4" t="s">
        <v>338</v>
      </c>
    </row>
    <row r="200" spans="1:35" ht="36" x14ac:dyDescent="0.3">
      <c r="A200" s="10" t="s">
        <v>1093</v>
      </c>
      <c r="B200" s="10"/>
      <c r="C200" s="28" t="s">
        <v>1094</v>
      </c>
      <c r="D200" s="12"/>
      <c r="E200" s="12"/>
      <c r="F200" s="29" t="s">
        <v>61</v>
      </c>
      <c r="G200" s="30">
        <v>1.1000000000000001</v>
      </c>
      <c r="H200" s="49"/>
      <c r="I200" s="49">
        <v>0</v>
      </c>
      <c r="J200" s="31">
        <v>6479</v>
      </c>
      <c r="M200" s="32">
        <f>ROUND(ROUND(J200, 2)*I200, 2)</f>
        <v>0</v>
      </c>
      <c r="P200" s="31">
        <v>6479</v>
      </c>
      <c r="S200" s="32">
        <f>ROUND(ROUND(P200, 2)*I200, 2)</f>
        <v>0</v>
      </c>
      <c r="V200" s="9">
        <f>ROUND(ROUND(P200, 2)/1.2, 2)</f>
        <v>5399.17</v>
      </c>
      <c r="Y200" s="9">
        <f>ROUND(S200 / 1.2, 2)</f>
        <v>0</v>
      </c>
      <c r="AD200" s="4" t="s">
        <v>1095</v>
      </c>
      <c r="AE200" s="4" t="s">
        <v>1096</v>
      </c>
      <c r="AF200" s="4" t="s">
        <v>1097</v>
      </c>
    </row>
    <row r="201" spans="1:35" ht="144" x14ac:dyDescent="0.3">
      <c r="A201" s="10" t="s">
        <v>1100</v>
      </c>
      <c r="B201" s="10" t="s">
        <v>1087</v>
      </c>
      <c r="C201" s="11" t="s">
        <v>1088</v>
      </c>
      <c r="D201" s="12"/>
      <c r="E201" s="12" t="s">
        <v>1101</v>
      </c>
      <c r="F201" s="12" t="s">
        <v>61</v>
      </c>
      <c r="G201" s="13">
        <v>1</v>
      </c>
      <c r="H201" s="13"/>
      <c r="I201" s="13">
        <v>0</v>
      </c>
      <c r="J201" s="14">
        <v>1280.4000000000001</v>
      </c>
      <c r="K201" s="15">
        <v>837</v>
      </c>
      <c r="L201" s="14">
        <f>J201+ROUND(K201, 2)</f>
        <v>2117.4</v>
      </c>
      <c r="M201" s="14">
        <v>0</v>
      </c>
      <c r="N201" s="14">
        <v>0</v>
      </c>
      <c r="O201" s="14">
        <f>M201+N201</f>
        <v>0</v>
      </c>
      <c r="P201" s="14">
        <v>1280.4000000000001</v>
      </c>
      <c r="Q201" s="15">
        <v>837</v>
      </c>
      <c r="R201" s="14">
        <f>P201+ROUND(Q201, 2)</f>
        <v>2117.4</v>
      </c>
      <c r="S201" s="14">
        <v>0</v>
      </c>
      <c r="T201" s="14">
        <v>0</v>
      </c>
      <c r="U201" s="14">
        <f>S201+T201</f>
        <v>0</v>
      </c>
      <c r="V201" s="9">
        <f>ROUND(P201 / 1.2, 2)</f>
        <v>1067</v>
      </c>
      <c r="W201" s="9">
        <f>ROUND(Q201 / 1.2, 2)</f>
        <v>697.5</v>
      </c>
      <c r="X201" s="9">
        <f>ROUND(R201 / 1.2, 2)</f>
        <v>1764.5</v>
      </c>
      <c r="Y201" s="9">
        <f>ROUND(S201 / 1.2, 2)</f>
        <v>0</v>
      </c>
      <c r="Z201" s="9">
        <f>ROUND(T201 / 1.2, 2)</f>
        <v>0</v>
      </c>
      <c r="AA201" s="9">
        <f>Y201+Z201</f>
        <v>0</v>
      </c>
      <c r="AD201" s="4">
        <v>320320165</v>
      </c>
      <c r="AE201" s="4">
        <v>26813853</v>
      </c>
      <c r="AG201" s="4" t="s">
        <v>1090</v>
      </c>
      <c r="AH201" s="4" t="s">
        <v>1091</v>
      </c>
      <c r="AI201" s="4" t="s">
        <v>338</v>
      </c>
    </row>
    <row r="202" spans="1:35" ht="18" x14ac:dyDescent="0.3">
      <c r="A202" s="10" t="s">
        <v>1103</v>
      </c>
      <c r="B202" s="10"/>
      <c r="C202" s="28" t="s">
        <v>1104</v>
      </c>
      <c r="D202" s="12"/>
      <c r="E202" s="12"/>
      <c r="F202" s="29" t="s">
        <v>61</v>
      </c>
      <c r="G202" s="30">
        <v>1.1000000000000001</v>
      </c>
      <c r="H202" s="49"/>
      <c r="I202" s="49">
        <v>0</v>
      </c>
      <c r="J202" s="31">
        <v>1164</v>
      </c>
      <c r="M202" s="32">
        <f>ROUND(ROUND(J202, 2)*I202, 2)</f>
        <v>0</v>
      </c>
      <c r="P202" s="31">
        <v>1164</v>
      </c>
      <c r="S202" s="32">
        <f>ROUND(ROUND(P202, 2)*I202, 2)</f>
        <v>0</v>
      </c>
      <c r="V202" s="9">
        <f>ROUND(ROUND(P202, 2)/1.2, 2)</f>
        <v>970</v>
      </c>
      <c r="Y202" s="9">
        <f>ROUND(S202 / 1.2, 2)</f>
        <v>0</v>
      </c>
      <c r="AD202" s="4" t="s">
        <v>1105</v>
      </c>
      <c r="AE202" s="4" t="s">
        <v>1106</v>
      </c>
      <c r="AF202" s="4" t="s">
        <v>1107</v>
      </c>
    </row>
    <row r="203" spans="1:35" ht="54" x14ac:dyDescent="0.3">
      <c r="A203" s="10" t="s">
        <v>1110</v>
      </c>
      <c r="B203" s="10" t="s">
        <v>1111</v>
      </c>
      <c r="C203" s="11" t="s">
        <v>1112</v>
      </c>
      <c r="D203" s="12"/>
      <c r="E203" s="12" t="s">
        <v>1113</v>
      </c>
      <c r="F203" s="12" t="s">
        <v>61</v>
      </c>
      <c r="G203" s="13">
        <v>1</v>
      </c>
      <c r="H203" s="13"/>
      <c r="I203" s="13">
        <v>0</v>
      </c>
      <c r="J203" s="14">
        <v>0</v>
      </c>
      <c r="K203" s="15">
        <v>121</v>
      </c>
      <c r="L203" s="14">
        <f>J203+ROUND(K203, 2)</f>
        <v>121</v>
      </c>
      <c r="M203" s="14">
        <v>0</v>
      </c>
      <c r="N203" s="14">
        <v>0</v>
      </c>
      <c r="O203" s="14">
        <f>M203+N203</f>
        <v>0</v>
      </c>
      <c r="P203" s="14">
        <v>0</v>
      </c>
      <c r="Q203" s="15">
        <v>121</v>
      </c>
      <c r="R203" s="14">
        <f>P203+ROUND(Q203, 2)</f>
        <v>121</v>
      </c>
      <c r="S203" s="14">
        <v>0</v>
      </c>
      <c r="T203" s="14">
        <v>0</v>
      </c>
      <c r="U203" s="14">
        <f>S203+T203</f>
        <v>0</v>
      </c>
      <c r="V203" s="9"/>
      <c r="W203" s="9">
        <f>ROUND(Q203 / 1.2, 2)</f>
        <v>100.83</v>
      </c>
      <c r="X203" s="9">
        <f>ROUND(R203 / 1.2, 2)</f>
        <v>100.83</v>
      </c>
      <c r="Y203" s="9"/>
      <c r="Z203" s="9">
        <f>ROUND(T203 / 1.2, 2)</f>
        <v>0</v>
      </c>
      <c r="AA203" s="9">
        <f>Y203+Z203</f>
        <v>0</v>
      </c>
      <c r="AD203" s="4">
        <v>320320139</v>
      </c>
      <c r="AE203" s="4">
        <v>26813821</v>
      </c>
      <c r="AG203" s="4" t="s">
        <v>1114</v>
      </c>
      <c r="AH203" s="4" t="s">
        <v>1115</v>
      </c>
      <c r="AI203" s="4" t="s">
        <v>338</v>
      </c>
    </row>
    <row r="204" spans="1:35" ht="90" x14ac:dyDescent="0.3">
      <c r="A204" s="10" t="s">
        <v>1117</v>
      </c>
      <c r="B204" s="10" t="s">
        <v>1118</v>
      </c>
      <c r="C204" s="11" t="s">
        <v>1119</v>
      </c>
      <c r="D204" s="12"/>
      <c r="E204" s="12" t="s">
        <v>1120</v>
      </c>
      <c r="F204" s="12" t="s">
        <v>61</v>
      </c>
      <c r="G204" s="13">
        <v>1</v>
      </c>
      <c r="H204" s="13"/>
      <c r="I204" s="13">
        <v>0</v>
      </c>
      <c r="J204" s="14">
        <v>584.54999999999995</v>
      </c>
      <c r="K204" s="15">
        <v>1379</v>
      </c>
      <c r="L204" s="14">
        <f>J204+ROUND(K204, 2)</f>
        <v>1963.55</v>
      </c>
      <c r="M204" s="14">
        <v>0</v>
      </c>
      <c r="N204" s="14">
        <v>0</v>
      </c>
      <c r="O204" s="14">
        <f>M204+N204</f>
        <v>0</v>
      </c>
      <c r="P204" s="14">
        <v>584.54999999999995</v>
      </c>
      <c r="Q204" s="15">
        <v>1379</v>
      </c>
      <c r="R204" s="14">
        <f>P204+ROUND(Q204, 2)</f>
        <v>1963.55</v>
      </c>
      <c r="S204" s="14">
        <v>0</v>
      </c>
      <c r="T204" s="14">
        <v>0</v>
      </c>
      <c r="U204" s="14">
        <f>S204+T204</f>
        <v>0</v>
      </c>
      <c r="V204" s="9">
        <f>ROUND(P204 / 1.2, 2)</f>
        <v>487.13</v>
      </c>
      <c r="W204" s="9">
        <f>ROUND(Q204 / 1.2, 2)</f>
        <v>1149.17</v>
      </c>
      <c r="X204" s="9">
        <f>ROUND(R204 / 1.2, 2)</f>
        <v>1636.29</v>
      </c>
      <c r="Y204" s="9">
        <f t="shared" ref="Y204:Y238" si="14">ROUND(S204 / 1.2, 2)</f>
        <v>0</v>
      </c>
      <c r="Z204" s="9">
        <f>ROUND(T204 / 1.2, 2)</f>
        <v>0</v>
      </c>
      <c r="AA204" s="9">
        <f>Y204+Z204</f>
        <v>0</v>
      </c>
      <c r="AD204" s="4">
        <v>320320141</v>
      </c>
      <c r="AE204" s="4">
        <v>26813823</v>
      </c>
      <c r="AG204" s="4" t="s">
        <v>1121</v>
      </c>
      <c r="AH204" s="4" t="s">
        <v>1122</v>
      </c>
      <c r="AI204" s="4" t="s">
        <v>338</v>
      </c>
    </row>
    <row r="205" spans="1:35" ht="18" x14ac:dyDescent="0.3">
      <c r="A205" s="10" t="s">
        <v>1124</v>
      </c>
      <c r="B205" s="10"/>
      <c r="C205" s="28" t="s">
        <v>1125</v>
      </c>
      <c r="D205" s="12"/>
      <c r="E205" s="12"/>
      <c r="F205" s="29" t="s">
        <v>356</v>
      </c>
      <c r="G205" s="30">
        <v>15</v>
      </c>
      <c r="H205" s="30"/>
      <c r="I205" s="30">
        <v>0</v>
      </c>
      <c r="J205" s="31">
        <v>0.95</v>
      </c>
      <c r="M205" s="32">
        <f t="shared" ref="M205:M214" si="15">ROUND(ROUND(J205, 2)*I205, 2)</f>
        <v>0</v>
      </c>
      <c r="P205" s="31">
        <v>0.95</v>
      </c>
      <c r="S205" s="32">
        <f t="shared" ref="S205:S214" si="16">ROUND(ROUND(P205, 2)*I205, 2)</f>
        <v>0</v>
      </c>
      <c r="V205" s="9">
        <f t="shared" ref="V205:V214" si="17">ROUND(ROUND(P205, 2)/1.2, 2)</f>
        <v>0.79</v>
      </c>
      <c r="Y205" s="9">
        <f t="shared" si="14"/>
        <v>0</v>
      </c>
      <c r="AD205" s="4" t="s">
        <v>1126</v>
      </c>
      <c r="AE205" s="4" t="s">
        <v>1127</v>
      </c>
      <c r="AF205" s="4" t="s">
        <v>1128</v>
      </c>
    </row>
    <row r="206" spans="1:35" ht="18" x14ac:dyDescent="0.3">
      <c r="A206" s="10" t="s">
        <v>1131</v>
      </c>
      <c r="B206" s="10"/>
      <c r="C206" s="28" t="s">
        <v>1132</v>
      </c>
      <c r="D206" s="12"/>
      <c r="E206" s="12"/>
      <c r="F206" s="29" t="s">
        <v>364</v>
      </c>
      <c r="G206" s="30">
        <v>0.35</v>
      </c>
      <c r="H206" s="30"/>
      <c r="I206" s="30">
        <v>0</v>
      </c>
      <c r="J206" s="31">
        <v>55</v>
      </c>
      <c r="M206" s="32">
        <f t="shared" si="15"/>
        <v>0</v>
      </c>
      <c r="P206" s="31">
        <v>55</v>
      </c>
      <c r="S206" s="32">
        <f t="shared" si="16"/>
        <v>0</v>
      </c>
      <c r="V206" s="9">
        <f t="shared" si="17"/>
        <v>45.83</v>
      </c>
      <c r="Y206" s="9">
        <f t="shared" si="14"/>
        <v>0</v>
      </c>
      <c r="AD206" s="4" t="s">
        <v>1133</v>
      </c>
      <c r="AE206" s="4" t="s">
        <v>1134</v>
      </c>
      <c r="AF206" s="4" t="s">
        <v>1135</v>
      </c>
    </row>
    <row r="207" spans="1:35" ht="18" x14ac:dyDescent="0.3">
      <c r="A207" s="10" t="s">
        <v>1138</v>
      </c>
      <c r="B207" s="10"/>
      <c r="C207" s="28" t="s">
        <v>1139</v>
      </c>
      <c r="D207" s="12"/>
      <c r="E207" s="12"/>
      <c r="F207" s="29" t="s">
        <v>356</v>
      </c>
      <c r="G207" s="30">
        <v>0.3</v>
      </c>
      <c r="H207" s="30"/>
      <c r="I207" s="30">
        <v>0</v>
      </c>
      <c r="J207" s="31">
        <v>5.6</v>
      </c>
      <c r="M207" s="32">
        <f t="shared" si="15"/>
        <v>0</v>
      </c>
      <c r="P207" s="31">
        <v>5.6</v>
      </c>
      <c r="S207" s="32">
        <f t="shared" si="16"/>
        <v>0</v>
      </c>
      <c r="V207" s="9">
        <f t="shared" si="17"/>
        <v>4.67</v>
      </c>
      <c r="Y207" s="9">
        <f t="shared" si="14"/>
        <v>0</v>
      </c>
      <c r="AD207" s="4" t="s">
        <v>1140</v>
      </c>
      <c r="AE207" s="4" t="s">
        <v>1141</v>
      </c>
      <c r="AF207" s="4" t="s">
        <v>1142</v>
      </c>
    </row>
    <row r="208" spans="1:35" ht="36" x14ac:dyDescent="0.3">
      <c r="A208" s="10" t="s">
        <v>1145</v>
      </c>
      <c r="B208" s="10"/>
      <c r="C208" s="47" t="s">
        <v>1146</v>
      </c>
      <c r="D208" s="12"/>
      <c r="E208" s="12"/>
      <c r="F208" s="29" t="s">
        <v>356</v>
      </c>
      <c r="G208" s="30">
        <v>3.6</v>
      </c>
      <c r="H208" s="30"/>
      <c r="I208" s="30">
        <v>0</v>
      </c>
      <c r="J208" s="31">
        <v>15.9</v>
      </c>
      <c r="M208" s="32">
        <f t="shared" si="15"/>
        <v>0</v>
      </c>
      <c r="P208" s="31">
        <v>15.9</v>
      </c>
      <c r="S208" s="32">
        <f t="shared" si="16"/>
        <v>0</v>
      </c>
      <c r="V208" s="9">
        <f t="shared" si="17"/>
        <v>13.25</v>
      </c>
      <c r="Y208" s="9">
        <f t="shared" si="14"/>
        <v>0</v>
      </c>
      <c r="AD208" s="4" t="s">
        <v>1147</v>
      </c>
      <c r="AE208" s="4" t="s">
        <v>1148</v>
      </c>
      <c r="AF208" s="4" t="s">
        <v>1149</v>
      </c>
    </row>
    <row r="209" spans="1:35" ht="18" x14ac:dyDescent="0.3">
      <c r="A209" s="10" t="s">
        <v>1152</v>
      </c>
      <c r="B209" s="10"/>
      <c r="C209" s="28" t="s">
        <v>1153</v>
      </c>
      <c r="D209" s="12"/>
      <c r="E209" s="12"/>
      <c r="F209" s="29" t="s">
        <v>76</v>
      </c>
      <c r="G209" s="30">
        <v>1.2</v>
      </c>
      <c r="H209" s="30"/>
      <c r="I209" s="30">
        <v>0</v>
      </c>
      <c r="J209" s="31">
        <v>22.82</v>
      </c>
      <c r="M209" s="32">
        <f t="shared" si="15"/>
        <v>0</v>
      </c>
      <c r="P209" s="31">
        <v>22.82</v>
      </c>
      <c r="S209" s="32">
        <f t="shared" si="16"/>
        <v>0</v>
      </c>
      <c r="V209" s="9">
        <f t="shared" si="17"/>
        <v>19.02</v>
      </c>
      <c r="Y209" s="9">
        <f t="shared" si="14"/>
        <v>0</v>
      </c>
      <c r="AD209" s="4" t="s">
        <v>1154</v>
      </c>
      <c r="AE209" s="4" t="s">
        <v>1155</v>
      </c>
      <c r="AF209" s="4" t="s">
        <v>1156</v>
      </c>
    </row>
    <row r="210" spans="1:35" ht="18" x14ac:dyDescent="0.3">
      <c r="A210" s="10" t="s">
        <v>1159</v>
      </c>
      <c r="B210" s="10"/>
      <c r="C210" s="28" t="s">
        <v>1160</v>
      </c>
      <c r="D210" s="12"/>
      <c r="E210" s="12"/>
      <c r="F210" s="29" t="s">
        <v>76</v>
      </c>
      <c r="G210" s="30">
        <v>4.7</v>
      </c>
      <c r="H210" s="30"/>
      <c r="I210" s="30">
        <v>0</v>
      </c>
      <c r="J210" s="31">
        <v>66.98</v>
      </c>
      <c r="M210" s="32">
        <f t="shared" si="15"/>
        <v>0</v>
      </c>
      <c r="P210" s="31">
        <v>66.98</v>
      </c>
      <c r="S210" s="32">
        <f t="shared" si="16"/>
        <v>0</v>
      </c>
      <c r="V210" s="9">
        <f t="shared" si="17"/>
        <v>55.82</v>
      </c>
      <c r="Y210" s="9">
        <f t="shared" si="14"/>
        <v>0</v>
      </c>
      <c r="AD210" s="4" t="s">
        <v>1161</v>
      </c>
      <c r="AE210" s="4" t="s">
        <v>1162</v>
      </c>
      <c r="AF210" s="4" t="s">
        <v>1163</v>
      </c>
    </row>
    <row r="211" spans="1:35" ht="18" x14ac:dyDescent="0.3">
      <c r="A211" s="10" t="s">
        <v>1166</v>
      </c>
      <c r="B211" s="10"/>
      <c r="C211" s="28" t="s">
        <v>1167</v>
      </c>
      <c r="D211" s="12"/>
      <c r="E211" s="12"/>
      <c r="F211" s="29" t="s">
        <v>76</v>
      </c>
      <c r="G211" s="30">
        <v>1.05</v>
      </c>
      <c r="H211" s="30"/>
      <c r="I211" s="30">
        <v>0</v>
      </c>
      <c r="J211" s="31">
        <v>4.5999999999999996</v>
      </c>
      <c r="M211" s="32">
        <f t="shared" si="15"/>
        <v>0</v>
      </c>
      <c r="P211" s="31">
        <v>4.5999999999999996</v>
      </c>
      <c r="S211" s="32">
        <f t="shared" si="16"/>
        <v>0</v>
      </c>
      <c r="V211" s="9">
        <f t="shared" si="17"/>
        <v>3.83</v>
      </c>
      <c r="Y211" s="9">
        <f t="shared" si="14"/>
        <v>0</v>
      </c>
      <c r="AD211" s="4" t="s">
        <v>1168</v>
      </c>
      <c r="AE211" s="4" t="s">
        <v>1169</v>
      </c>
      <c r="AF211" s="4" t="s">
        <v>1170</v>
      </c>
    </row>
    <row r="212" spans="1:35" ht="18" x14ac:dyDescent="0.3">
      <c r="A212" s="10" t="s">
        <v>1173</v>
      </c>
      <c r="B212" s="10"/>
      <c r="C212" s="28" t="s">
        <v>1174</v>
      </c>
      <c r="D212" s="12"/>
      <c r="E212" s="12"/>
      <c r="F212" s="29" t="s">
        <v>76</v>
      </c>
      <c r="G212" s="30">
        <v>0.25</v>
      </c>
      <c r="H212" s="30"/>
      <c r="I212" s="30">
        <v>0</v>
      </c>
      <c r="J212" s="31">
        <v>2.8</v>
      </c>
      <c r="M212" s="32">
        <f t="shared" si="15"/>
        <v>0</v>
      </c>
      <c r="P212" s="31">
        <v>2.8</v>
      </c>
      <c r="S212" s="32">
        <f t="shared" si="16"/>
        <v>0</v>
      </c>
      <c r="V212" s="9">
        <f t="shared" si="17"/>
        <v>2.33</v>
      </c>
      <c r="Y212" s="9">
        <f t="shared" si="14"/>
        <v>0</v>
      </c>
      <c r="AD212" s="4" t="s">
        <v>1175</v>
      </c>
      <c r="AE212" s="4" t="s">
        <v>1176</v>
      </c>
      <c r="AF212" s="4" t="s">
        <v>1177</v>
      </c>
    </row>
    <row r="213" spans="1:35" ht="36" x14ac:dyDescent="0.3">
      <c r="A213" s="10" t="s">
        <v>1180</v>
      </c>
      <c r="B213" s="10"/>
      <c r="C213" s="28" t="s">
        <v>1181</v>
      </c>
      <c r="D213" s="12"/>
      <c r="E213" s="12"/>
      <c r="F213" s="29" t="s">
        <v>61</v>
      </c>
      <c r="G213" s="30">
        <v>1.05</v>
      </c>
      <c r="H213" s="30"/>
      <c r="I213" s="30">
        <v>0</v>
      </c>
      <c r="J213" s="31">
        <v>135.53</v>
      </c>
      <c r="M213" s="32">
        <f t="shared" si="15"/>
        <v>0</v>
      </c>
      <c r="P213" s="31">
        <v>135.53</v>
      </c>
      <c r="S213" s="32">
        <f t="shared" si="16"/>
        <v>0</v>
      </c>
      <c r="V213" s="9">
        <f t="shared" si="17"/>
        <v>112.94</v>
      </c>
      <c r="Y213" s="9">
        <f t="shared" si="14"/>
        <v>0</v>
      </c>
      <c r="AD213" s="4" t="s">
        <v>1182</v>
      </c>
      <c r="AE213" s="4" t="s">
        <v>1183</v>
      </c>
      <c r="AF213" s="4" t="s">
        <v>1184</v>
      </c>
    </row>
    <row r="214" spans="1:35" ht="18" x14ac:dyDescent="0.3">
      <c r="A214" s="10" t="s">
        <v>1187</v>
      </c>
      <c r="B214" s="10"/>
      <c r="C214" s="28" t="s">
        <v>1188</v>
      </c>
      <c r="D214" s="12"/>
      <c r="E214" s="12"/>
      <c r="F214" s="29" t="s">
        <v>356</v>
      </c>
      <c r="G214" s="30">
        <v>0.75</v>
      </c>
      <c r="H214" s="30"/>
      <c r="I214" s="30">
        <v>0</v>
      </c>
      <c r="J214" s="31">
        <v>2.8</v>
      </c>
      <c r="M214" s="32">
        <f t="shared" si="15"/>
        <v>0</v>
      </c>
      <c r="P214" s="31">
        <v>2.8</v>
      </c>
      <c r="S214" s="32">
        <f t="shared" si="16"/>
        <v>0</v>
      </c>
      <c r="V214" s="9">
        <f t="shared" si="17"/>
        <v>2.33</v>
      </c>
      <c r="Y214" s="9">
        <f t="shared" si="14"/>
        <v>0</v>
      </c>
      <c r="AD214" s="4" t="s">
        <v>1189</v>
      </c>
      <c r="AE214" s="4" t="s">
        <v>1190</v>
      </c>
      <c r="AF214" s="4" t="s">
        <v>1191</v>
      </c>
    </row>
    <row r="215" spans="1:35" ht="72" x14ac:dyDescent="0.3">
      <c r="A215" s="10" t="s">
        <v>1194</v>
      </c>
      <c r="B215" s="10" t="s">
        <v>1118</v>
      </c>
      <c r="C215" s="11" t="s">
        <v>1119</v>
      </c>
      <c r="D215" s="12"/>
      <c r="E215" s="12" t="s">
        <v>1195</v>
      </c>
      <c r="F215" s="12" t="s">
        <v>61</v>
      </c>
      <c r="G215" s="13">
        <v>1</v>
      </c>
      <c r="H215" s="13"/>
      <c r="I215" s="13">
        <v>0</v>
      </c>
      <c r="J215" s="14">
        <v>584.54999999999995</v>
      </c>
      <c r="K215" s="15">
        <v>1379</v>
      </c>
      <c r="L215" s="14">
        <f>J215+ROUND(K215, 2)</f>
        <v>1963.55</v>
      </c>
      <c r="M215" s="14">
        <v>0</v>
      </c>
      <c r="N215" s="14">
        <v>0</v>
      </c>
      <c r="O215" s="14">
        <f>M215+N215</f>
        <v>0</v>
      </c>
      <c r="P215" s="14">
        <v>584.54999999999995</v>
      </c>
      <c r="Q215" s="15">
        <v>1379</v>
      </c>
      <c r="R215" s="14">
        <f>P215+ROUND(Q215, 2)</f>
        <v>1963.55</v>
      </c>
      <c r="S215" s="14">
        <v>0</v>
      </c>
      <c r="T215" s="14">
        <v>0</v>
      </c>
      <c r="U215" s="14">
        <f>S215+T215</f>
        <v>0</v>
      </c>
      <c r="V215" s="9">
        <f>ROUND(P215 / 1.2, 2)</f>
        <v>487.13</v>
      </c>
      <c r="W215" s="9">
        <f>ROUND(Q215 / 1.2, 2)</f>
        <v>1149.17</v>
      </c>
      <c r="X215" s="9">
        <f>ROUND(R215 / 1.2, 2)</f>
        <v>1636.29</v>
      </c>
      <c r="Y215" s="9">
        <f t="shared" si="14"/>
        <v>0</v>
      </c>
      <c r="Z215" s="9">
        <f>ROUND(T215 / 1.2, 2)</f>
        <v>0</v>
      </c>
      <c r="AA215" s="9">
        <f>Y215+Z215</f>
        <v>0</v>
      </c>
      <c r="AD215" s="4">
        <v>320320166</v>
      </c>
      <c r="AE215" s="4">
        <v>26813812</v>
      </c>
      <c r="AG215" s="4" t="s">
        <v>1121</v>
      </c>
      <c r="AH215" s="4" t="s">
        <v>1122</v>
      </c>
      <c r="AI215" s="4" t="s">
        <v>338</v>
      </c>
    </row>
    <row r="216" spans="1:35" ht="18" x14ac:dyDescent="0.3">
      <c r="A216" s="10" t="s">
        <v>1197</v>
      </c>
      <c r="B216" s="10"/>
      <c r="C216" s="28" t="s">
        <v>1188</v>
      </c>
      <c r="D216" s="12"/>
      <c r="E216" s="12"/>
      <c r="F216" s="29" t="s">
        <v>356</v>
      </c>
      <c r="G216" s="30">
        <v>0.75</v>
      </c>
      <c r="H216" s="30"/>
      <c r="I216" s="30">
        <v>0</v>
      </c>
      <c r="J216" s="31">
        <v>2.8</v>
      </c>
      <c r="M216" s="32">
        <f t="shared" ref="M216:M225" si="18">ROUND(ROUND(J216, 2)*I216, 2)</f>
        <v>0</v>
      </c>
      <c r="P216" s="31">
        <v>2.8</v>
      </c>
      <c r="S216" s="32">
        <f t="shared" ref="S216:S225" si="19">ROUND(ROUND(P216, 2)*I216, 2)</f>
        <v>0</v>
      </c>
      <c r="V216" s="9">
        <f t="shared" ref="V216:V225" si="20">ROUND(ROUND(P216, 2)/1.2, 2)</f>
        <v>2.33</v>
      </c>
      <c r="Y216" s="9">
        <f t="shared" si="14"/>
        <v>0</v>
      </c>
      <c r="AD216" s="4" t="s">
        <v>1198</v>
      </c>
      <c r="AE216" s="4" t="s">
        <v>1199</v>
      </c>
      <c r="AF216" s="4" t="s">
        <v>1191</v>
      </c>
    </row>
    <row r="217" spans="1:35" ht="54" x14ac:dyDescent="0.3">
      <c r="A217" s="10" t="s">
        <v>1202</v>
      </c>
      <c r="B217" s="10"/>
      <c r="C217" s="28" t="s">
        <v>98</v>
      </c>
      <c r="D217" s="12"/>
      <c r="E217" s="12"/>
      <c r="F217" s="29" t="s">
        <v>61</v>
      </c>
      <c r="G217" s="30">
        <v>1.05</v>
      </c>
      <c r="H217" s="30"/>
      <c r="I217" s="30">
        <v>0</v>
      </c>
      <c r="J217" s="31">
        <v>135.53</v>
      </c>
      <c r="M217" s="32">
        <f t="shared" si="18"/>
        <v>0</v>
      </c>
      <c r="P217" s="31">
        <v>135.53</v>
      </c>
      <c r="S217" s="32">
        <f t="shared" si="19"/>
        <v>0</v>
      </c>
      <c r="V217" s="9">
        <f t="shared" si="20"/>
        <v>112.94</v>
      </c>
      <c r="Y217" s="9">
        <f t="shared" si="14"/>
        <v>0</v>
      </c>
      <c r="AD217" s="4" t="s">
        <v>1203</v>
      </c>
      <c r="AE217" s="4" t="s">
        <v>1204</v>
      </c>
      <c r="AF217" s="4" t="s">
        <v>101</v>
      </c>
    </row>
    <row r="218" spans="1:35" ht="18" x14ac:dyDescent="0.3">
      <c r="A218" s="10" t="s">
        <v>1207</v>
      </c>
      <c r="B218" s="10"/>
      <c r="C218" s="28" t="s">
        <v>1174</v>
      </c>
      <c r="D218" s="12"/>
      <c r="E218" s="12"/>
      <c r="F218" s="29" t="s">
        <v>76</v>
      </c>
      <c r="G218" s="30">
        <v>0.25</v>
      </c>
      <c r="H218" s="30"/>
      <c r="I218" s="30">
        <v>0</v>
      </c>
      <c r="J218" s="31">
        <v>2.8</v>
      </c>
      <c r="M218" s="32">
        <f t="shared" si="18"/>
        <v>0</v>
      </c>
      <c r="P218" s="31">
        <v>2.8</v>
      </c>
      <c r="S218" s="32">
        <f t="shared" si="19"/>
        <v>0</v>
      </c>
      <c r="V218" s="9">
        <f t="shared" si="20"/>
        <v>2.33</v>
      </c>
      <c r="Y218" s="9">
        <f t="shared" si="14"/>
        <v>0</v>
      </c>
      <c r="AD218" s="4" t="s">
        <v>1208</v>
      </c>
      <c r="AE218" s="4" t="s">
        <v>1209</v>
      </c>
      <c r="AF218" s="4" t="s">
        <v>1177</v>
      </c>
    </row>
    <row r="219" spans="1:35" ht="18" x14ac:dyDescent="0.3">
      <c r="A219" s="10" t="s">
        <v>1212</v>
      </c>
      <c r="B219" s="10"/>
      <c r="C219" s="28" t="s">
        <v>1167</v>
      </c>
      <c r="D219" s="12"/>
      <c r="E219" s="12"/>
      <c r="F219" s="29" t="s">
        <v>76</v>
      </c>
      <c r="G219" s="30">
        <v>1.05</v>
      </c>
      <c r="H219" s="30"/>
      <c r="I219" s="30">
        <v>0</v>
      </c>
      <c r="J219" s="31">
        <v>4.5999999999999996</v>
      </c>
      <c r="M219" s="32">
        <f t="shared" si="18"/>
        <v>0</v>
      </c>
      <c r="P219" s="31">
        <v>4.5999999999999996</v>
      </c>
      <c r="S219" s="32">
        <f t="shared" si="19"/>
        <v>0</v>
      </c>
      <c r="V219" s="9">
        <f t="shared" si="20"/>
        <v>3.83</v>
      </c>
      <c r="Y219" s="9">
        <f t="shared" si="14"/>
        <v>0</v>
      </c>
      <c r="AD219" s="4" t="s">
        <v>1213</v>
      </c>
      <c r="AE219" s="4" t="s">
        <v>1214</v>
      </c>
      <c r="AF219" s="4" t="s">
        <v>1170</v>
      </c>
    </row>
    <row r="220" spans="1:35" ht="18" x14ac:dyDescent="0.3">
      <c r="A220" s="10" t="s">
        <v>1217</v>
      </c>
      <c r="B220" s="10"/>
      <c r="C220" s="28" t="s">
        <v>1153</v>
      </c>
      <c r="D220" s="12"/>
      <c r="E220" s="12"/>
      <c r="F220" s="29" t="s">
        <v>76</v>
      </c>
      <c r="G220" s="30">
        <v>1.2</v>
      </c>
      <c r="H220" s="30"/>
      <c r="I220" s="30">
        <v>0</v>
      </c>
      <c r="J220" s="31">
        <v>22.82</v>
      </c>
      <c r="M220" s="32">
        <f t="shared" si="18"/>
        <v>0</v>
      </c>
      <c r="P220" s="31">
        <v>22.82</v>
      </c>
      <c r="S220" s="32">
        <f t="shared" si="19"/>
        <v>0</v>
      </c>
      <c r="V220" s="9">
        <f t="shared" si="20"/>
        <v>19.02</v>
      </c>
      <c r="Y220" s="9">
        <f t="shared" si="14"/>
        <v>0</v>
      </c>
      <c r="AD220" s="4" t="s">
        <v>1218</v>
      </c>
      <c r="AE220" s="4" t="s">
        <v>1219</v>
      </c>
      <c r="AF220" s="4" t="s">
        <v>1156</v>
      </c>
    </row>
    <row r="221" spans="1:35" ht="18" x14ac:dyDescent="0.3">
      <c r="A221" s="10" t="s">
        <v>1222</v>
      </c>
      <c r="B221" s="10"/>
      <c r="C221" s="28" t="s">
        <v>1160</v>
      </c>
      <c r="D221" s="12"/>
      <c r="E221" s="12"/>
      <c r="F221" s="29" t="s">
        <v>76</v>
      </c>
      <c r="G221" s="30">
        <v>4.7</v>
      </c>
      <c r="H221" s="30"/>
      <c r="I221" s="30">
        <v>0</v>
      </c>
      <c r="J221" s="31">
        <v>66.98</v>
      </c>
      <c r="M221" s="32">
        <f t="shared" si="18"/>
        <v>0</v>
      </c>
      <c r="P221" s="31">
        <v>66.98</v>
      </c>
      <c r="S221" s="32">
        <f t="shared" si="19"/>
        <v>0</v>
      </c>
      <c r="V221" s="9">
        <f t="shared" si="20"/>
        <v>55.82</v>
      </c>
      <c r="Y221" s="9">
        <f t="shared" si="14"/>
        <v>0</v>
      </c>
      <c r="AD221" s="4" t="s">
        <v>1223</v>
      </c>
      <c r="AE221" s="4" t="s">
        <v>1224</v>
      </c>
      <c r="AF221" s="4" t="s">
        <v>1163</v>
      </c>
    </row>
    <row r="222" spans="1:35" ht="36" x14ac:dyDescent="0.3">
      <c r="A222" s="10" t="s">
        <v>1227</v>
      </c>
      <c r="B222" s="10"/>
      <c r="C222" s="47" t="s">
        <v>1146</v>
      </c>
      <c r="D222" s="12"/>
      <c r="E222" s="12"/>
      <c r="F222" s="29" t="s">
        <v>356</v>
      </c>
      <c r="G222" s="30">
        <v>3.6</v>
      </c>
      <c r="H222" s="30"/>
      <c r="I222" s="30">
        <v>0</v>
      </c>
      <c r="J222" s="31">
        <v>15.9</v>
      </c>
      <c r="M222" s="32">
        <f t="shared" si="18"/>
        <v>0</v>
      </c>
      <c r="P222" s="31">
        <v>15.9</v>
      </c>
      <c r="S222" s="32">
        <f t="shared" si="19"/>
        <v>0</v>
      </c>
      <c r="V222" s="9">
        <f t="shared" si="20"/>
        <v>13.25</v>
      </c>
      <c r="Y222" s="9">
        <f t="shared" si="14"/>
        <v>0</v>
      </c>
      <c r="AD222" s="4" t="s">
        <v>1228</v>
      </c>
      <c r="AE222" s="4" t="s">
        <v>1229</v>
      </c>
      <c r="AF222" s="4" t="s">
        <v>1149</v>
      </c>
    </row>
    <row r="223" spans="1:35" ht="18" x14ac:dyDescent="0.3">
      <c r="A223" s="10" t="s">
        <v>1232</v>
      </c>
      <c r="B223" s="10"/>
      <c r="C223" s="28" t="s">
        <v>1139</v>
      </c>
      <c r="D223" s="12"/>
      <c r="E223" s="12"/>
      <c r="F223" s="29" t="s">
        <v>356</v>
      </c>
      <c r="G223" s="30">
        <v>0.3</v>
      </c>
      <c r="H223" s="30"/>
      <c r="I223" s="30">
        <v>0</v>
      </c>
      <c r="J223" s="31">
        <v>5.6</v>
      </c>
      <c r="M223" s="32">
        <f t="shared" si="18"/>
        <v>0</v>
      </c>
      <c r="P223" s="31">
        <v>5.6</v>
      </c>
      <c r="S223" s="32">
        <f t="shared" si="19"/>
        <v>0</v>
      </c>
      <c r="V223" s="9">
        <f t="shared" si="20"/>
        <v>4.67</v>
      </c>
      <c r="Y223" s="9">
        <f t="shared" si="14"/>
        <v>0</v>
      </c>
      <c r="AD223" s="4" t="s">
        <v>1233</v>
      </c>
      <c r="AE223" s="4" t="s">
        <v>1234</v>
      </c>
      <c r="AF223" s="4" t="s">
        <v>1142</v>
      </c>
    </row>
    <row r="224" spans="1:35" ht="18" x14ac:dyDescent="0.3">
      <c r="A224" s="10" t="s">
        <v>1237</v>
      </c>
      <c r="B224" s="10"/>
      <c r="C224" s="28" t="s">
        <v>1132</v>
      </c>
      <c r="D224" s="12"/>
      <c r="E224" s="12"/>
      <c r="F224" s="29" t="s">
        <v>364</v>
      </c>
      <c r="G224" s="30">
        <v>0.35</v>
      </c>
      <c r="H224" s="30"/>
      <c r="I224" s="30">
        <v>0</v>
      </c>
      <c r="J224" s="31">
        <v>55</v>
      </c>
      <c r="M224" s="32">
        <f t="shared" si="18"/>
        <v>0</v>
      </c>
      <c r="P224" s="31">
        <v>55</v>
      </c>
      <c r="S224" s="32">
        <f t="shared" si="19"/>
        <v>0</v>
      </c>
      <c r="V224" s="9">
        <f t="shared" si="20"/>
        <v>45.83</v>
      </c>
      <c r="Y224" s="9">
        <f t="shared" si="14"/>
        <v>0</v>
      </c>
      <c r="AD224" s="4" t="s">
        <v>1238</v>
      </c>
      <c r="AE224" s="4" t="s">
        <v>1239</v>
      </c>
      <c r="AF224" s="4" t="s">
        <v>1135</v>
      </c>
    </row>
    <row r="225" spans="1:35" ht="18" x14ac:dyDescent="0.3">
      <c r="A225" s="10" t="s">
        <v>1242</v>
      </c>
      <c r="B225" s="10"/>
      <c r="C225" s="28" t="s">
        <v>1125</v>
      </c>
      <c r="D225" s="12"/>
      <c r="E225" s="12"/>
      <c r="F225" s="29" t="s">
        <v>356</v>
      </c>
      <c r="G225" s="30">
        <v>15</v>
      </c>
      <c r="H225" s="30"/>
      <c r="I225" s="30">
        <v>0</v>
      </c>
      <c r="J225" s="31">
        <v>0.95</v>
      </c>
      <c r="M225" s="32">
        <f t="shared" si="18"/>
        <v>0</v>
      </c>
      <c r="P225" s="31">
        <v>0.95</v>
      </c>
      <c r="S225" s="32">
        <f t="shared" si="19"/>
        <v>0</v>
      </c>
      <c r="V225" s="9">
        <f t="shared" si="20"/>
        <v>0.79</v>
      </c>
      <c r="Y225" s="9">
        <f t="shared" si="14"/>
        <v>0</v>
      </c>
      <c r="AD225" s="4" t="s">
        <v>1243</v>
      </c>
      <c r="AE225" s="4" t="s">
        <v>1244</v>
      </c>
      <c r="AF225" s="4" t="s">
        <v>1128</v>
      </c>
    </row>
    <row r="226" spans="1:35" ht="54" x14ac:dyDescent="0.3">
      <c r="A226" s="10" t="s">
        <v>1247</v>
      </c>
      <c r="B226" s="10" t="s">
        <v>1118</v>
      </c>
      <c r="C226" s="11" t="s">
        <v>1119</v>
      </c>
      <c r="D226" s="12"/>
      <c r="E226" s="12" t="s">
        <v>1248</v>
      </c>
      <c r="F226" s="12" t="s">
        <v>61</v>
      </c>
      <c r="G226" s="13">
        <v>1</v>
      </c>
      <c r="H226" s="13"/>
      <c r="I226" s="13">
        <v>0</v>
      </c>
      <c r="J226" s="14">
        <v>442.24</v>
      </c>
      <c r="K226" s="15">
        <v>1379</v>
      </c>
      <c r="L226" s="14">
        <f>J226+ROUND(K226, 2)</f>
        <v>1821.24</v>
      </c>
      <c r="M226" s="14">
        <v>0</v>
      </c>
      <c r="N226" s="14">
        <v>0</v>
      </c>
      <c r="O226" s="14">
        <f>M226+N226</f>
        <v>0</v>
      </c>
      <c r="P226" s="14">
        <v>2038.59</v>
      </c>
      <c r="Q226" s="15">
        <v>1379</v>
      </c>
      <c r="R226" s="14">
        <f>P226+ROUND(Q226, 2)</f>
        <v>3417.59</v>
      </c>
      <c r="S226" s="14">
        <v>0</v>
      </c>
      <c r="T226" s="14">
        <v>0</v>
      </c>
      <c r="U226" s="14">
        <f>S226+T226</f>
        <v>0</v>
      </c>
      <c r="V226" s="9">
        <f>ROUND(P226 / 1.2, 2)</f>
        <v>1698.83</v>
      </c>
      <c r="W226" s="9">
        <f>ROUND(Q226 / 1.2, 2)</f>
        <v>1149.17</v>
      </c>
      <c r="X226" s="9">
        <f>ROUND(R226 / 1.2, 2)</f>
        <v>2847.99</v>
      </c>
      <c r="Y226" s="9">
        <f t="shared" si="14"/>
        <v>0</v>
      </c>
      <c r="Z226" s="9">
        <f>ROUND(T226 / 1.2, 2)</f>
        <v>0</v>
      </c>
      <c r="AA226" s="9">
        <f>Y226+Z226</f>
        <v>0</v>
      </c>
      <c r="AD226" s="4">
        <v>320320167</v>
      </c>
      <c r="AE226" s="4">
        <v>26813852</v>
      </c>
      <c r="AG226" s="4" t="s">
        <v>1121</v>
      </c>
      <c r="AH226" s="4" t="s">
        <v>1122</v>
      </c>
      <c r="AI226" s="4" t="s">
        <v>338</v>
      </c>
    </row>
    <row r="227" spans="1:35" ht="18" x14ac:dyDescent="0.3">
      <c r="A227" s="10" t="s">
        <v>1250</v>
      </c>
      <c r="B227" s="10"/>
      <c r="C227" s="28" t="s">
        <v>1125</v>
      </c>
      <c r="D227" s="12"/>
      <c r="E227" s="12"/>
      <c r="F227" s="29" t="s">
        <v>356</v>
      </c>
      <c r="G227" s="30">
        <v>15</v>
      </c>
      <c r="H227" s="30"/>
      <c r="I227" s="30">
        <v>0</v>
      </c>
      <c r="J227" s="31">
        <v>0.95</v>
      </c>
      <c r="M227" s="32">
        <f t="shared" ref="M227:M236" si="21">ROUND(ROUND(J227, 2)*I227, 2)</f>
        <v>0</v>
      </c>
      <c r="P227" s="31">
        <v>0.95</v>
      </c>
      <c r="S227" s="32">
        <f t="shared" ref="S227:S236" si="22">ROUND(ROUND(P227, 2)*I227, 2)</f>
        <v>0</v>
      </c>
      <c r="V227" s="9">
        <f t="shared" ref="V227:V236" si="23">ROUND(ROUND(P227, 2)/1.2, 2)</f>
        <v>0.79</v>
      </c>
      <c r="Y227" s="9">
        <f t="shared" si="14"/>
        <v>0</v>
      </c>
      <c r="AD227" s="4" t="s">
        <v>1251</v>
      </c>
      <c r="AE227" s="4" t="s">
        <v>1252</v>
      </c>
      <c r="AF227" s="4" t="s">
        <v>1128</v>
      </c>
    </row>
    <row r="228" spans="1:35" ht="18" x14ac:dyDescent="0.3">
      <c r="A228" s="10" t="s">
        <v>1255</v>
      </c>
      <c r="B228" s="10"/>
      <c r="C228" s="28" t="s">
        <v>1132</v>
      </c>
      <c r="D228" s="12"/>
      <c r="E228" s="12"/>
      <c r="F228" s="29" t="s">
        <v>364</v>
      </c>
      <c r="G228" s="30">
        <v>0.35</v>
      </c>
      <c r="H228" s="30"/>
      <c r="I228" s="30">
        <v>0</v>
      </c>
      <c r="J228" s="31">
        <v>55</v>
      </c>
      <c r="M228" s="32">
        <f t="shared" si="21"/>
        <v>0</v>
      </c>
      <c r="P228" s="31">
        <v>55</v>
      </c>
      <c r="S228" s="32">
        <f t="shared" si="22"/>
        <v>0</v>
      </c>
      <c r="V228" s="9">
        <f t="shared" si="23"/>
        <v>45.83</v>
      </c>
      <c r="Y228" s="9">
        <f t="shared" si="14"/>
        <v>0</v>
      </c>
      <c r="AD228" s="4" t="s">
        <v>1256</v>
      </c>
      <c r="AE228" s="4" t="s">
        <v>1257</v>
      </c>
      <c r="AF228" s="4" t="s">
        <v>1135</v>
      </c>
    </row>
    <row r="229" spans="1:35" ht="18" x14ac:dyDescent="0.3">
      <c r="A229" s="10" t="s">
        <v>1260</v>
      </c>
      <c r="B229" s="10"/>
      <c r="C229" s="28" t="s">
        <v>1139</v>
      </c>
      <c r="D229" s="12"/>
      <c r="E229" s="12"/>
      <c r="F229" s="29" t="s">
        <v>356</v>
      </c>
      <c r="G229" s="30">
        <v>0.3</v>
      </c>
      <c r="H229" s="30"/>
      <c r="I229" s="30">
        <v>0</v>
      </c>
      <c r="J229" s="31">
        <v>5.6</v>
      </c>
      <c r="M229" s="32">
        <f t="shared" si="21"/>
        <v>0</v>
      </c>
      <c r="P229" s="31">
        <v>5.6</v>
      </c>
      <c r="S229" s="32">
        <f t="shared" si="22"/>
        <v>0</v>
      </c>
      <c r="V229" s="9">
        <f t="shared" si="23"/>
        <v>4.67</v>
      </c>
      <c r="Y229" s="9">
        <f t="shared" si="14"/>
        <v>0</v>
      </c>
      <c r="AD229" s="4" t="s">
        <v>1261</v>
      </c>
      <c r="AE229" s="4" t="s">
        <v>1262</v>
      </c>
      <c r="AF229" s="4" t="s">
        <v>1142</v>
      </c>
    </row>
    <row r="230" spans="1:35" ht="36" x14ac:dyDescent="0.3">
      <c r="A230" s="10" t="s">
        <v>1265</v>
      </c>
      <c r="B230" s="10"/>
      <c r="C230" s="47" t="s">
        <v>1146</v>
      </c>
      <c r="D230" s="12"/>
      <c r="E230" s="12"/>
      <c r="F230" s="29" t="s">
        <v>356</v>
      </c>
      <c r="G230" s="30">
        <v>3.6</v>
      </c>
      <c r="H230" s="30"/>
      <c r="I230" s="30">
        <v>0</v>
      </c>
      <c r="J230" s="31">
        <v>15.9</v>
      </c>
      <c r="M230" s="32">
        <f t="shared" si="21"/>
        <v>0</v>
      </c>
      <c r="P230" s="31">
        <v>15.9</v>
      </c>
      <c r="S230" s="32">
        <f t="shared" si="22"/>
        <v>0</v>
      </c>
      <c r="V230" s="9">
        <f t="shared" si="23"/>
        <v>13.25</v>
      </c>
      <c r="Y230" s="9">
        <f t="shared" si="14"/>
        <v>0</v>
      </c>
      <c r="AD230" s="4" t="s">
        <v>1266</v>
      </c>
      <c r="AE230" s="4" t="s">
        <v>1267</v>
      </c>
      <c r="AF230" s="4" t="s">
        <v>1149</v>
      </c>
    </row>
    <row r="231" spans="1:35" ht="18" x14ac:dyDescent="0.3">
      <c r="A231" s="10" t="s">
        <v>1270</v>
      </c>
      <c r="B231" s="10"/>
      <c r="C231" s="28" t="s">
        <v>1153</v>
      </c>
      <c r="D231" s="12"/>
      <c r="E231" s="12"/>
      <c r="F231" s="29" t="s">
        <v>76</v>
      </c>
      <c r="G231" s="30">
        <v>1.2</v>
      </c>
      <c r="H231" s="30"/>
      <c r="I231" s="30">
        <v>0</v>
      </c>
      <c r="J231" s="31">
        <v>22.82</v>
      </c>
      <c r="M231" s="32">
        <f t="shared" si="21"/>
        <v>0</v>
      </c>
      <c r="P231" s="31">
        <v>22.82</v>
      </c>
      <c r="S231" s="32">
        <f t="shared" si="22"/>
        <v>0</v>
      </c>
      <c r="V231" s="9">
        <f t="shared" si="23"/>
        <v>19.02</v>
      </c>
      <c r="Y231" s="9">
        <f t="shared" si="14"/>
        <v>0</v>
      </c>
      <c r="AD231" s="4" t="s">
        <v>1271</v>
      </c>
      <c r="AE231" s="4" t="s">
        <v>1272</v>
      </c>
      <c r="AF231" s="4" t="s">
        <v>1156</v>
      </c>
    </row>
    <row r="232" spans="1:35" ht="18" x14ac:dyDescent="0.3">
      <c r="A232" s="10" t="s">
        <v>1275</v>
      </c>
      <c r="B232" s="10"/>
      <c r="C232" s="28" t="s">
        <v>1160</v>
      </c>
      <c r="D232" s="12"/>
      <c r="E232" s="12"/>
      <c r="F232" s="29" t="s">
        <v>76</v>
      </c>
      <c r="G232" s="30">
        <v>4.7</v>
      </c>
      <c r="H232" s="30"/>
      <c r="I232" s="30">
        <v>0</v>
      </c>
      <c r="J232" s="31">
        <v>66.98</v>
      </c>
      <c r="M232" s="32">
        <f t="shared" si="21"/>
        <v>0</v>
      </c>
      <c r="P232" s="31">
        <v>66.98</v>
      </c>
      <c r="S232" s="32">
        <f t="shared" si="22"/>
        <v>0</v>
      </c>
      <c r="V232" s="9">
        <f t="shared" si="23"/>
        <v>55.82</v>
      </c>
      <c r="Y232" s="9">
        <f t="shared" si="14"/>
        <v>0</v>
      </c>
      <c r="AD232" s="4" t="s">
        <v>1276</v>
      </c>
      <c r="AE232" s="4" t="s">
        <v>1277</v>
      </c>
      <c r="AF232" s="4" t="s">
        <v>1163</v>
      </c>
    </row>
    <row r="233" spans="1:35" ht="18" x14ac:dyDescent="0.3">
      <c r="A233" s="10" t="s">
        <v>1280</v>
      </c>
      <c r="B233" s="10"/>
      <c r="C233" s="28" t="s">
        <v>1281</v>
      </c>
      <c r="D233" s="12"/>
      <c r="E233" s="12"/>
      <c r="F233" s="29" t="s">
        <v>61</v>
      </c>
      <c r="G233" s="30">
        <v>1.05</v>
      </c>
      <c r="H233" s="30"/>
      <c r="I233" s="30">
        <v>0</v>
      </c>
      <c r="J233" s="31">
        <v>0</v>
      </c>
      <c r="M233" s="32">
        <f t="shared" si="21"/>
        <v>0</v>
      </c>
      <c r="P233" s="31">
        <v>1520.33</v>
      </c>
      <c r="S233" s="32">
        <f t="shared" si="22"/>
        <v>0</v>
      </c>
      <c r="V233" s="9">
        <f t="shared" si="23"/>
        <v>1266.94</v>
      </c>
      <c r="Y233" s="9">
        <f t="shared" si="14"/>
        <v>0</v>
      </c>
      <c r="AD233" s="4" t="s">
        <v>1282</v>
      </c>
      <c r="AE233" s="4" t="s">
        <v>1283</v>
      </c>
      <c r="AF233" s="4" t="s">
        <v>1284</v>
      </c>
    </row>
    <row r="234" spans="1:35" ht="18" x14ac:dyDescent="0.3">
      <c r="A234" s="10" t="s">
        <v>1287</v>
      </c>
      <c r="B234" s="10"/>
      <c r="C234" s="28" t="s">
        <v>1167</v>
      </c>
      <c r="D234" s="12"/>
      <c r="E234" s="12"/>
      <c r="F234" s="29" t="s">
        <v>76</v>
      </c>
      <c r="G234" s="30">
        <v>1.05</v>
      </c>
      <c r="H234" s="30"/>
      <c r="I234" s="30">
        <v>0</v>
      </c>
      <c r="J234" s="31">
        <v>4.5999999999999996</v>
      </c>
      <c r="M234" s="32">
        <f t="shared" si="21"/>
        <v>0</v>
      </c>
      <c r="P234" s="31">
        <v>4.5999999999999996</v>
      </c>
      <c r="S234" s="32">
        <f t="shared" si="22"/>
        <v>0</v>
      </c>
      <c r="V234" s="9">
        <f t="shared" si="23"/>
        <v>3.83</v>
      </c>
      <c r="Y234" s="9">
        <f t="shared" si="14"/>
        <v>0</v>
      </c>
      <c r="AD234" s="4" t="s">
        <v>1288</v>
      </c>
      <c r="AE234" s="4" t="s">
        <v>1289</v>
      </c>
      <c r="AF234" s="4" t="s">
        <v>1170</v>
      </c>
    </row>
    <row r="235" spans="1:35" ht="18" x14ac:dyDescent="0.3">
      <c r="A235" s="10" t="s">
        <v>1292</v>
      </c>
      <c r="B235" s="10"/>
      <c r="C235" s="28" t="s">
        <v>1174</v>
      </c>
      <c r="D235" s="12"/>
      <c r="E235" s="12"/>
      <c r="F235" s="29" t="s">
        <v>76</v>
      </c>
      <c r="G235" s="30">
        <v>0.25</v>
      </c>
      <c r="H235" s="30"/>
      <c r="I235" s="30">
        <v>0</v>
      </c>
      <c r="J235" s="31">
        <v>2.8</v>
      </c>
      <c r="M235" s="32">
        <f t="shared" si="21"/>
        <v>0</v>
      </c>
      <c r="P235" s="31">
        <v>2.8</v>
      </c>
      <c r="S235" s="32">
        <f t="shared" si="22"/>
        <v>0</v>
      </c>
      <c r="V235" s="9">
        <f t="shared" si="23"/>
        <v>2.33</v>
      </c>
      <c r="Y235" s="9">
        <f t="shared" si="14"/>
        <v>0</v>
      </c>
      <c r="AD235" s="4" t="s">
        <v>1293</v>
      </c>
      <c r="AE235" s="4" t="s">
        <v>1294</v>
      </c>
      <c r="AF235" s="4" t="s">
        <v>1177</v>
      </c>
    </row>
    <row r="236" spans="1:35" ht="18" x14ac:dyDescent="0.3">
      <c r="A236" s="10" t="s">
        <v>1297</v>
      </c>
      <c r="B236" s="10"/>
      <c r="C236" s="28" t="s">
        <v>1188</v>
      </c>
      <c r="D236" s="12"/>
      <c r="E236" s="12"/>
      <c r="F236" s="29" t="s">
        <v>356</v>
      </c>
      <c r="G236" s="30">
        <v>0.75</v>
      </c>
      <c r="H236" s="30"/>
      <c r="I236" s="30">
        <v>0</v>
      </c>
      <c r="J236" s="31">
        <v>2.8</v>
      </c>
      <c r="M236" s="32">
        <f t="shared" si="21"/>
        <v>0</v>
      </c>
      <c r="P236" s="31">
        <v>2.8</v>
      </c>
      <c r="S236" s="32">
        <f t="shared" si="22"/>
        <v>0</v>
      </c>
      <c r="V236" s="9">
        <f t="shared" si="23"/>
        <v>2.33</v>
      </c>
      <c r="Y236" s="9">
        <f t="shared" si="14"/>
        <v>0</v>
      </c>
      <c r="AD236" s="4" t="s">
        <v>1298</v>
      </c>
      <c r="AE236" s="4" t="s">
        <v>1299</v>
      </c>
      <c r="AF236" s="4" t="s">
        <v>1191</v>
      </c>
    </row>
    <row r="237" spans="1:35" ht="108" x14ac:dyDescent="0.3">
      <c r="A237" s="10" t="s">
        <v>1302</v>
      </c>
      <c r="B237" s="10" t="s">
        <v>1303</v>
      </c>
      <c r="C237" s="11" t="s">
        <v>1304</v>
      </c>
      <c r="D237" s="12"/>
      <c r="E237" s="12" t="s">
        <v>1305</v>
      </c>
      <c r="F237" s="12" t="s">
        <v>61</v>
      </c>
      <c r="G237" s="13">
        <v>1</v>
      </c>
      <c r="H237" s="13"/>
      <c r="I237" s="13">
        <v>0</v>
      </c>
      <c r="J237" s="14">
        <v>855.89</v>
      </c>
      <c r="K237" s="15">
        <v>963</v>
      </c>
      <c r="L237" s="14">
        <f>J237+ROUND(K237, 2)</f>
        <v>1818.8899999999999</v>
      </c>
      <c r="M237" s="14">
        <v>0</v>
      </c>
      <c r="N237" s="14">
        <v>0</v>
      </c>
      <c r="O237" s="14">
        <f>M237+N237</f>
        <v>0</v>
      </c>
      <c r="P237" s="14">
        <v>855.89</v>
      </c>
      <c r="Q237" s="15">
        <v>963</v>
      </c>
      <c r="R237" s="14">
        <f>P237+ROUND(Q237, 2)</f>
        <v>1818.8899999999999</v>
      </c>
      <c r="S237" s="14">
        <v>0</v>
      </c>
      <c r="T237" s="14">
        <v>0</v>
      </c>
      <c r="U237" s="14">
        <f>S237+T237</f>
        <v>0</v>
      </c>
      <c r="V237" s="9">
        <f>ROUND(P237 / 1.2, 2)</f>
        <v>713.24</v>
      </c>
      <c r="W237" s="9">
        <f>ROUND(Q237 / 1.2, 2)</f>
        <v>802.5</v>
      </c>
      <c r="X237" s="9">
        <f>ROUND(R237 / 1.2, 2)</f>
        <v>1515.74</v>
      </c>
      <c r="Y237" s="9">
        <f t="shared" si="14"/>
        <v>0</v>
      </c>
      <c r="Z237" s="9">
        <f>ROUND(T237 / 1.2, 2)</f>
        <v>0</v>
      </c>
      <c r="AA237" s="9">
        <f>Y237+Z237</f>
        <v>0</v>
      </c>
      <c r="AD237" s="4">
        <v>320320142</v>
      </c>
      <c r="AE237" s="4">
        <v>26813826</v>
      </c>
      <c r="AG237" s="4" t="s">
        <v>1306</v>
      </c>
      <c r="AH237" s="4" t="s">
        <v>1307</v>
      </c>
      <c r="AI237" s="4" t="s">
        <v>338</v>
      </c>
    </row>
    <row r="238" spans="1:35" ht="18" x14ac:dyDescent="0.3">
      <c r="A238" s="10" t="s">
        <v>1309</v>
      </c>
      <c r="B238" s="10"/>
      <c r="C238" s="47" t="s">
        <v>1310</v>
      </c>
      <c r="D238" s="12"/>
      <c r="E238" s="12"/>
      <c r="F238" s="29" t="s">
        <v>61</v>
      </c>
      <c r="G238" s="30">
        <v>1.1000000000000001</v>
      </c>
      <c r="H238" s="49"/>
      <c r="I238" s="49">
        <v>0</v>
      </c>
      <c r="J238" s="31">
        <v>778.08</v>
      </c>
      <c r="M238" s="32">
        <f>ROUND(ROUND(J238, 2)*I238, 2)</f>
        <v>0</v>
      </c>
      <c r="P238" s="31">
        <v>778.08</v>
      </c>
      <c r="S238" s="32">
        <f>ROUND(ROUND(P238, 2)*I238, 2)</f>
        <v>0</v>
      </c>
      <c r="V238" s="9">
        <f>ROUND(ROUND(P238, 2)/1.2, 2)</f>
        <v>648.4</v>
      </c>
      <c r="Y238" s="9">
        <f t="shared" si="14"/>
        <v>0</v>
      </c>
      <c r="AD238" s="4" t="s">
        <v>1311</v>
      </c>
      <c r="AE238" s="4" t="s">
        <v>1312</v>
      </c>
      <c r="AF238" s="4" t="s">
        <v>1313</v>
      </c>
    </row>
    <row r="239" spans="1:35" ht="16.95" customHeight="1" x14ac:dyDescent="0.3">
      <c r="A239" s="10" t="s">
        <v>1316</v>
      </c>
      <c r="B239" s="10" t="s">
        <v>1317</v>
      </c>
      <c r="C239" s="237" t="s">
        <v>1318</v>
      </c>
      <c r="D239" s="238"/>
      <c r="E239" s="238"/>
      <c r="F239" s="238"/>
      <c r="G239" s="238"/>
      <c r="H239" s="238"/>
      <c r="I239" s="239"/>
      <c r="M239" s="6">
        <f>SUM(M240)</f>
        <v>0</v>
      </c>
      <c r="N239" s="6">
        <f>SUM(N240)</f>
        <v>0</v>
      </c>
      <c r="O239" s="6">
        <f>SUM(O240)</f>
        <v>0</v>
      </c>
      <c r="S239" s="6">
        <f>SUM(S240)</f>
        <v>0</v>
      </c>
      <c r="T239" s="6">
        <f>SUM(T240)</f>
        <v>0</v>
      </c>
      <c r="U239" s="6">
        <f>SUM(U240)</f>
        <v>0</v>
      </c>
      <c r="Y239" s="9">
        <f>SUM(Y240)</f>
        <v>0</v>
      </c>
      <c r="Z239" s="9">
        <f>SUM(Z240)</f>
        <v>0</v>
      </c>
      <c r="AA239" s="9">
        <f>SUM(AA240)</f>
        <v>0</v>
      </c>
      <c r="AD239" s="4">
        <v>320320143</v>
      </c>
      <c r="AE239" s="4">
        <v>26813761</v>
      </c>
    </row>
    <row r="240" spans="1:35" ht="54" x14ac:dyDescent="0.3">
      <c r="A240" s="10" t="s">
        <v>1319</v>
      </c>
      <c r="B240" s="10" t="s">
        <v>1320</v>
      </c>
      <c r="C240" s="11" t="s">
        <v>1321</v>
      </c>
      <c r="D240" s="12" t="s">
        <v>1322</v>
      </c>
      <c r="E240" s="12"/>
      <c r="F240" s="12" t="s">
        <v>1323</v>
      </c>
      <c r="G240" s="13">
        <v>1</v>
      </c>
      <c r="H240" s="13"/>
      <c r="I240" s="13">
        <v>0</v>
      </c>
      <c r="J240" s="14">
        <v>0</v>
      </c>
      <c r="K240" s="15">
        <v>169189</v>
      </c>
      <c r="L240" s="14">
        <f>J240+ROUND(K240, 2)</f>
        <v>169189</v>
      </c>
      <c r="M240" s="14">
        <v>0</v>
      </c>
      <c r="N240" s="14">
        <v>0</v>
      </c>
      <c r="O240" s="14">
        <f>M240+N240</f>
        <v>0</v>
      </c>
      <c r="P240" s="14">
        <v>0</v>
      </c>
      <c r="Q240" s="15">
        <v>169189</v>
      </c>
      <c r="R240" s="14">
        <f>P240+ROUND(Q240, 2)</f>
        <v>169189</v>
      </c>
      <c r="S240" s="14">
        <v>0</v>
      </c>
      <c r="T240" s="14">
        <v>0</v>
      </c>
      <c r="U240" s="14">
        <f>S240+T240</f>
        <v>0</v>
      </c>
      <c r="V240" s="9"/>
      <c r="W240" s="9">
        <f>ROUND(Q240 / 1.2, 2)</f>
        <v>140990.82999999999</v>
      </c>
      <c r="X240" s="9">
        <f>ROUND(R240 / 1.2, 2)</f>
        <v>140990.82999999999</v>
      </c>
      <c r="Y240" s="9"/>
      <c r="Z240" s="9">
        <f>ROUND(T240 / 1.2, 2)</f>
        <v>0</v>
      </c>
      <c r="AA240" s="9">
        <f>Y240+Z240</f>
        <v>0</v>
      </c>
      <c r="AD240" s="4">
        <v>320320145</v>
      </c>
      <c r="AE240" s="4">
        <v>26813770</v>
      </c>
      <c r="AG240" s="4" t="s">
        <v>1324</v>
      </c>
      <c r="AH240" s="4" t="s">
        <v>1325</v>
      </c>
      <c r="AI240" s="4" t="s">
        <v>338</v>
      </c>
    </row>
    <row r="241" spans="1:35" ht="30" customHeight="1" x14ac:dyDescent="0.3">
      <c r="A241" s="234" t="s">
        <v>1327</v>
      </c>
      <c r="B241" s="235"/>
      <c r="C241" s="235"/>
      <c r="D241" s="235"/>
      <c r="E241" s="235"/>
      <c r="F241" s="235"/>
      <c r="G241" s="235"/>
      <c r="H241" s="235"/>
      <c r="I241" s="236"/>
      <c r="J241" s="7"/>
      <c r="K241" s="7"/>
      <c r="L241" s="7"/>
      <c r="M241" s="8">
        <f>SUM(M242)</f>
        <v>72233560.359999999</v>
      </c>
      <c r="N241" s="8">
        <f>SUM(N242)</f>
        <v>85694682.920000002</v>
      </c>
      <c r="O241" s="8">
        <f>SUM(O242)</f>
        <v>157928243.28</v>
      </c>
      <c r="P241" s="7"/>
      <c r="Q241" s="7"/>
      <c r="R241" s="7"/>
      <c r="S241" s="8">
        <f>SUM(S242)</f>
        <v>69862735.280000001</v>
      </c>
      <c r="T241" s="8">
        <f>SUM(T242)</f>
        <v>128542013.56</v>
      </c>
      <c r="U241" s="8">
        <f>SUM(U242)</f>
        <v>198404748.83999997</v>
      </c>
      <c r="Y241" s="9">
        <f>SUM(Y242)</f>
        <v>58218946.080000013</v>
      </c>
      <c r="Z241" s="9">
        <f>SUM(Z242)</f>
        <v>107118344.67</v>
      </c>
      <c r="AA241" s="9">
        <f>SUM(AA242)</f>
        <v>165337290.75</v>
      </c>
      <c r="AC241" s="4" t="s">
        <v>1328</v>
      </c>
    </row>
    <row r="242" spans="1:35" ht="16.95" customHeight="1" x14ac:dyDescent="0.3">
      <c r="A242" s="10" t="s">
        <v>1329</v>
      </c>
      <c r="B242" s="10" t="s">
        <v>39</v>
      </c>
      <c r="C242" s="237" t="s">
        <v>40</v>
      </c>
      <c r="D242" s="238"/>
      <c r="E242" s="238"/>
      <c r="F242" s="238"/>
      <c r="G242" s="238"/>
      <c r="H242" s="238"/>
      <c r="I242" s="239"/>
      <c r="M242" s="6">
        <f>SUM(M243,M296)</f>
        <v>72233560.359999999</v>
      </c>
      <c r="N242" s="6">
        <f>SUM(N243,N296)</f>
        <v>85694682.920000002</v>
      </c>
      <c r="O242" s="6">
        <f>SUM(O243,O296)</f>
        <v>157928243.28</v>
      </c>
      <c r="S242" s="6">
        <f>SUM(S243,S296)</f>
        <v>69862735.280000001</v>
      </c>
      <c r="T242" s="6">
        <f>SUM(T243,T296)</f>
        <v>128542013.56</v>
      </c>
      <c r="U242" s="6">
        <f>SUM(U243,U296)</f>
        <v>198404748.83999997</v>
      </c>
      <c r="Y242" s="9">
        <f>SUM(Y243,Y296)</f>
        <v>58218946.080000013</v>
      </c>
      <c r="Z242" s="9">
        <f>SUM(Z243,Z296)</f>
        <v>107118344.67</v>
      </c>
      <c r="AA242" s="9">
        <f>SUM(AA243,AA296)</f>
        <v>165337290.75</v>
      </c>
      <c r="AD242" s="4">
        <v>320319846</v>
      </c>
      <c r="AE242" s="4">
        <v>28020211</v>
      </c>
    </row>
    <row r="243" spans="1:35" ht="16.95" customHeight="1" x14ac:dyDescent="0.3">
      <c r="A243" s="10" t="s">
        <v>1330</v>
      </c>
      <c r="B243" s="10" t="s">
        <v>42</v>
      </c>
      <c r="C243" s="237" t="s">
        <v>43</v>
      </c>
      <c r="D243" s="238"/>
      <c r="E243" s="238"/>
      <c r="F243" s="238"/>
      <c r="G243" s="238"/>
      <c r="H243" s="238"/>
      <c r="I243" s="239"/>
      <c r="M243" s="6">
        <f t="shared" ref="M243:O246" si="24">SUM(M244)</f>
        <v>10807531.869999999</v>
      </c>
      <c r="N243" s="6">
        <f t="shared" si="24"/>
        <v>18104800.700000003</v>
      </c>
      <c r="O243" s="6">
        <f t="shared" si="24"/>
        <v>28912332.57</v>
      </c>
      <c r="S243" s="6">
        <f t="shared" ref="S243:U246" si="25">SUM(S244)</f>
        <v>11245405.9</v>
      </c>
      <c r="T243" s="6">
        <f t="shared" si="25"/>
        <v>27157201.050000001</v>
      </c>
      <c r="U243" s="6">
        <f t="shared" si="25"/>
        <v>38402606.949999996</v>
      </c>
      <c r="Y243" s="9">
        <f t="shared" ref="Y243:AA246" si="26">SUM(Y244)</f>
        <v>9371171.5900000017</v>
      </c>
      <c r="Z243" s="9">
        <f t="shared" si="26"/>
        <v>22631000.890000001</v>
      </c>
      <c r="AA243" s="9">
        <f t="shared" si="26"/>
        <v>32002172.480000004</v>
      </c>
      <c r="AD243" s="4">
        <v>320319847</v>
      </c>
      <c r="AE243" s="4">
        <v>28020218</v>
      </c>
    </row>
    <row r="244" spans="1:35" ht="16.95" customHeight="1" x14ac:dyDescent="0.3">
      <c r="A244" s="10" t="s">
        <v>1331</v>
      </c>
      <c r="B244" s="10" t="s">
        <v>45</v>
      </c>
      <c r="C244" s="237" t="s">
        <v>46</v>
      </c>
      <c r="D244" s="238"/>
      <c r="E244" s="238"/>
      <c r="F244" s="238"/>
      <c r="G244" s="238"/>
      <c r="H244" s="238"/>
      <c r="I244" s="239"/>
      <c r="M244" s="6">
        <f t="shared" si="24"/>
        <v>10807531.869999999</v>
      </c>
      <c r="N244" s="6">
        <f t="shared" si="24"/>
        <v>18104800.700000003</v>
      </c>
      <c r="O244" s="6">
        <f t="shared" si="24"/>
        <v>28912332.57</v>
      </c>
      <c r="S244" s="6">
        <f t="shared" si="25"/>
        <v>11245405.9</v>
      </c>
      <c r="T244" s="6">
        <f t="shared" si="25"/>
        <v>27157201.050000001</v>
      </c>
      <c r="U244" s="6">
        <f t="shared" si="25"/>
        <v>38402606.949999996</v>
      </c>
      <c r="Y244" s="9">
        <f t="shared" si="26"/>
        <v>9371171.5900000017</v>
      </c>
      <c r="Z244" s="9">
        <f t="shared" si="26"/>
        <v>22631000.890000001</v>
      </c>
      <c r="AA244" s="9">
        <f t="shared" si="26"/>
        <v>32002172.480000004</v>
      </c>
      <c r="AD244" s="4">
        <v>320319848</v>
      </c>
      <c r="AE244" s="4">
        <v>28020215</v>
      </c>
    </row>
    <row r="245" spans="1:35" ht="16.95" customHeight="1" x14ac:dyDescent="0.3">
      <c r="A245" s="10" t="s">
        <v>1332</v>
      </c>
      <c r="B245" s="10" t="s">
        <v>48</v>
      </c>
      <c r="C245" s="237" t="s">
        <v>49</v>
      </c>
      <c r="D245" s="238"/>
      <c r="E245" s="238"/>
      <c r="F245" s="238"/>
      <c r="G245" s="238"/>
      <c r="H245" s="238"/>
      <c r="I245" s="239"/>
      <c r="M245" s="6">
        <f t="shared" si="24"/>
        <v>10807531.869999999</v>
      </c>
      <c r="N245" s="6">
        <f t="shared" si="24"/>
        <v>18104800.700000003</v>
      </c>
      <c r="O245" s="6">
        <f t="shared" si="24"/>
        <v>28912332.57</v>
      </c>
      <c r="S245" s="6">
        <f t="shared" si="25"/>
        <v>11245405.9</v>
      </c>
      <c r="T245" s="6">
        <f t="shared" si="25"/>
        <v>27157201.050000001</v>
      </c>
      <c r="U245" s="6">
        <f t="shared" si="25"/>
        <v>38402606.949999996</v>
      </c>
      <c r="Y245" s="9">
        <f t="shared" si="26"/>
        <v>9371171.5900000017</v>
      </c>
      <c r="Z245" s="9">
        <f t="shared" si="26"/>
        <v>22631000.890000001</v>
      </c>
      <c r="AA245" s="9">
        <f t="shared" si="26"/>
        <v>32002172.480000004</v>
      </c>
      <c r="AD245" s="4">
        <v>320319849</v>
      </c>
      <c r="AE245" s="4">
        <v>28020212</v>
      </c>
    </row>
    <row r="246" spans="1:35" ht="16.95" customHeight="1" x14ac:dyDescent="0.3">
      <c r="A246" s="10" t="s">
        <v>1333</v>
      </c>
      <c r="B246" s="10" t="s">
        <v>51</v>
      </c>
      <c r="C246" s="237" t="s">
        <v>52</v>
      </c>
      <c r="D246" s="238"/>
      <c r="E246" s="238"/>
      <c r="F246" s="238"/>
      <c r="G246" s="238"/>
      <c r="H246" s="238"/>
      <c r="I246" s="239"/>
      <c r="M246" s="6">
        <f t="shared" si="24"/>
        <v>10807531.869999999</v>
      </c>
      <c r="N246" s="6">
        <f t="shared" si="24"/>
        <v>18104800.700000003</v>
      </c>
      <c r="O246" s="6">
        <f t="shared" si="24"/>
        <v>28912332.57</v>
      </c>
      <c r="S246" s="6">
        <f t="shared" si="25"/>
        <v>11245405.9</v>
      </c>
      <c r="T246" s="6">
        <f t="shared" si="25"/>
        <v>27157201.050000001</v>
      </c>
      <c r="U246" s="6">
        <f t="shared" si="25"/>
        <v>38402606.949999996</v>
      </c>
      <c r="Y246" s="9">
        <f t="shared" si="26"/>
        <v>9371171.5900000017</v>
      </c>
      <c r="Z246" s="9">
        <f t="shared" si="26"/>
        <v>22631000.890000001</v>
      </c>
      <c r="AA246" s="9">
        <f t="shared" si="26"/>
        <v>32002172.480000004</v>
      </c>
      <c r="AD246" s="4">
        <v>320319850</v>
      </c>
      <c r="AE246" s="4">
        <v>28020216</v>
      </c>
    </row>
    <row r="247" spans="1:35" ht="16.95" customHeight="1" x14ac:dyDescent="0.3">
      <c r="A247" s="10" t="s">
        <v>1334</v>
      </c>
      <c r="B247" s="10" t="s">
        <v>54</v>
      </c>
      <c r="C247" s="237" t="s">
        <v>55</v>
      </c>
      <c r="D247" s="238"/>
      <c r="E247" s="238"/>
      <c r="F247" s="238"/>
      <c r="G247" s="238"/>
      <c r="H247" s="238"/>
      <c r="I247" s="239"/>
      <c r="M247" s="6">
        <f>SUM(M248,M254,M260,M266,M272,M278,M284,M290)</f>
        <v>10807531.869999999</v>
      </c>
      <c r="N247" s="6">
        <f>SUM(N248,N254,N260,N266,N272,N278,N284,N290)</f>
        <v>18104800.700000003</v>
      </c>
      <c r="O247" s="6">
        <f>SUM(O248,O254,O260,O266,O272,O278,O284,O290)</f>
        <v>28912332.57</v>
      </c>
      <c r="S247" s="6">
        <f>SUM(S248,S254,S260,S266,S272,S278,S284,S290)</f>
        <v>11245405.9</v>
      </c>
      <c r="T247" s="6">
        <f>SUM(T248,T254,T260,T266,T272,T278,T284,T290)</f>
        <v>27157201.050000001</v>
      </c>
      <c r="U247" s="6">
        <f>SUM(U248,U254,U260,U266,U272,U278,U284,U290)</f>
        <v>38402606.949999996</v>
      </c>
      <c r="Y247" s="9">
        <f>SUM(Y248,Y254,Y260,Y266,Y272,Y278,Y284,Y290)</f>
        <v>9371171.5900000017</v>
      </c>
      <c r="Z247" s="9">
        <f>SUM(Z248,Z254,Z260,Z266,Z272,Z278,Z284,Z290)</f>
        <v>22631000.890000001</v>
      </c>
      <c r="AA247" s="9">
        <f>SUM(AA248,AA254,AA260,AA266,AA272,AA278,AA284,AA290)</f>
        <v>32002172.480000004</v>
      </c>
      <c r="AD247" s="4">
        <v>320319851</v>
      </c>
      <c r="AE247" s="4">
        <v>28020213</v>
      </c>
    </row>
    <row r="248" spans="1:35" ht="252" x14ac:dyDescent="0.3">
      <c r="A248" s="10" t="s">
        <v>1335</v>
      </c>
      <c r="B248" s="10" t="s">
        <v>57</v>
      </c>
      <c r="C248" s="11" t="s">
        <v>58</v>
      </c>
      <c r="D248" s="12" t="s">
        <v>59</v>
      </c>
      <c r="E248" s="12" t="s">
        <v>60</v>
      </c>
      <c r="F248" s="12" t="s">
        <v>61</v>
      </c>
      <c r="G248" s="13">
        <v>1</v>
      </c>
      <c r="H248" s="13"/>
      <c r="I248" s="13">
        <v>6610.5</v>
      </c>
      <c r="J248" s="14">
        <f>IFERROR(ROUND(SUM(M249,M250,M251,M252,M253)/I248, 2),0)</f>
        <v>1137.22</v>
      </c>
      <c r="K248" s="15">
        <v>1991</v>
      </c>
      <c r="L248" s="14">
        <f>J248+ROUND(K248, 2)</f>
        <v>3128.2200000000003</v>
      </c>
      <c r="M248" s="14">
        <f>ROUND(J248*I248, 2)</f>
        <v>7517592.8099999996</v>
      </c>
      <c r="N248" s="14">
        <f>ROUND(I248*ROUND(K248, 2), 2)</f>
        <v>13161505.5</v>
      </c>
      <c r="O248" s="14">
        <f>M248+N248</f>
        <v>20679098.309999999</v>
      </c>
      <c r="P248" s="14">
        <f>IFERROR(ROUND(SUM(S249,S250,S251,S252,S253)/I248, 2),0)</f>
        <v>1137.22</v>
      </c>
      <c r="Q248" s="16">
        <v>2986.5</v>
      </c>
      <c r="R248" s="14">
        <f>P248+ROUND(Q248, 2)</f>
        <v>4123.72</v>
      </c>
      <c r="S248" s="14">
        <f>ROUND(P248*I248, 2)</f>
        <v>7517592.8099999996</v>
      </c>
      <c r="T248" s="14">
        <f>ROUND(I248*ROUND(Q248, 2), 2)</f>
        <v>19742258.25</v>
      </c>
      <c r="U248" s="14">
        <f>S248+T248</f>
        <v>27259851.059999999</v>
      </c>
      <c r="V248" s="9">
        <f>ROUND(P248 / 1.2, 2)</f>
        <v>947.68</v>
      </c>
      <c r="W248" s="9">
        <f>ROUND(Q248 / 1.2, 2)</f>
        <v>2488.75</v>
      </c>
      <c r="X248" s="9">
        <f>ROUND(R248 / 1.2, 2)</f>
        <v>3436.43</v>
      </c>
      <c r="Y248" s="9">
        <f>ROUND(S248 / 1.2, 2)</f>
        <v>6264660.6799999997</v>
      </c>
      <c r="Z248" s="9">
        <f>ROUND(T248 / 1.2, 2)</f>
        <v>16451881.880000001</v>
      </c>
      <c r="AA248" s="9">
        <f>Y248+Z248</f>
        <v>22716542.560000002</v>
      </c>
      <c r="AD248" s="4">
        <v>320319853</v>
      </c>
      <c r="AE248" s="4">
        <v>28020219</v>
      </c>
      <c r="AG248" s="4" t="s">
        <v>62</v>
      </c>
      <c r="AH248" s="4" t="s">
        <v>63</v>
      </c>
      <c r="AI248" s="4" t="s">
        <v>64</v>
      </c>
    </row>
    <row r="249" spans="1:35" ht="72" x14ac:dyDescent="0.3">
      <c r="A249" s="10" t="s">
        <v>1336</v>
      </c>
      <c r="B249" s="10"/>
      <c r="C249" s="28" t="s">
        <v>67</v>
      </c>
      <c r="D249" s="12"/>
      <c r="E249" s="12"/>
      <c r="F249" s="29" t="s">
        <v>68</v>
      </c>
      <c r="G249" s="30">
        <v>1</v>
      </c>
      <c r="H249" s="30"/>
      <c r="I249" s="30">
        <v>6610.5</v>
      </c>
      <c r="J249" s="31">
        <v>89.83</v>
      </c>
      <c r="M249" s="32">
        <f>ROUND(ROUND(J249, 2)*I249, 2)</f>
        <v>593821.22</v>
      </c>
      <c r="P249" s="33">
        <v>89.83</v>
      </c>
      <c r="S249" s="32">
        <f>ROUND(ROUND(P249, 2)*I249, 2)</f>
        <v>593821.22</v>
      </c>
      <c r="V249" s="9">
        <f>ROUND(ROUND(P249, 2)/1.2, 2)</f>
        <v>74.86</v>
      </c>
      <c r="Y249" s="9">
        <f t="shared" ref="Y249:Y295" si="27">ROUND(S249 / 1.2, 2)</f>
        <v>494851.02</v>
      </c>
      <c r="AD249" s="4" t="s">
        <v>1337</v>
      </c>
      <c r="AE249" s="4" t="s">
        <v>1338</v>
      </c>
      <c r="AF249" s="4" t="s">
        <v>71</v>
      </c>
    </row>
    <row r="250" spans="1:35" ht="18" x14ac:dyDescent="0.3">
      <c r="A250" s="10" t="s">
        <v>1339</v>
      </c>
      <c r="B250" s="10"/>
      <c r="C250" s="47" t="s">
        <v>75</v>
      </c>
      <c r="D250" s="12"/>
      <c r="E250" s="12"/>
      <c r="F250" s="29" t="s">
        <v>76</v>
      </c>
      <c r="G250" s="30">
        <v>0.8</v>
      </c>
      <c r="H250" s="49"/>
      <c r="I250" s="49">
        <v>5288.4</v>
      </c>
      <c r="J250" s="31">
        <v>66</v>
      </c>
      <c r="M250" s="32">
        <f>ROUND(ROUND(J250, 2)*I250, 2)</f>
        <v>349034.4</v>
      </c>
      <c r="P250" s="33">
        <v>66</v>
      </c>
      <c r="S250" s="32">
        <f>ROUND(ROUND(P250, 2)*I250, 2)</f>
        <v>349034.4</v>
      </c>
      <c r="V250" s="9">
        <f>ROUND(ROUND(P250, 2)/1.2, 2)</f>
        <v>55</v>
      </c>
      <c r="Y250" s="9">
        <f t="shared" si="27"/>
        <v>290862</v>
      </c>
      <c r="AD250" s="4" t="s">
        <v>1340</v>
      </c>
      <c r="AE250" s="4" t="s">
        <v>1341</v>
      </c>
      <c r="AF250" s="4" t="s">
        <v>79</v>
      </c>
    </row>
    <row r="251" spans="1:35" ht="18" x14ac:dyDescent="0.3">
      <c r="A251" s="10" t="s">
        <v>1342</v>
      </c>
      <c r="B251" s="10"/>
      <c r="C251" s="47" t="s">
        <v>83</v>
      </c>
      <c r="D251" s="12"/>
      <c r="E251" s="12"/>
      <c r="F251" s="29" t="s">
        <v>76</v>
      </c>
      <c r="G251" s="30">
        <v>2.1</v>
      </c>
      <c r="H251" s="49"/>
      <c r="I251" s="49">
        <v>13882.05</v>
      </c>
      <c r="J251" s="31">
        <v>96.66</v>
      </c>
      <c r="M251" s="32">
        <f>ROUND(ROUND(J251, 2)*I251, 2)</f>
        <v>1341838.95</v>
      </c>
      <c r="P251" s="33">
        <v>96.66</v>
      </c>
      <c r="S251" s="32">
        <f>ROUND(ROUND(P251, 2)*I251, 2)</f>
        <v>1341838.95</v>
      </c>
      <c r="V251" s="9">
        <f>ROUND(ROUND(P251, 2)/1.2, 2)</f>
        <v>80.55</v>
      </c>
      <c r="Y251" s="9">
        <f t="shared" si="27"/>
        <v>1118199.1299999999</v>
      </c>
      <c r="AD251" s="4" t="s">
        <v>1343</v>
      </c>
      <c r="AE251" s="4" t="s">
        <v>1344</v>
      </c>
      <c r="AF251" s="4" t="s">
        <v>86</v>
      </c>
    </row>
    <row r="252" spans="1:35" ht="36" x14ac:dyDescent="0.3">
      <c r="A252" s="10" t="s">
        <v>1345</v>
      </c>
      <c r="B252" s="10"/>
      <c r="C252" s="47" t="s">
        <v>90</v>
      </c>
      <c r="D252" s="12"/>
      <c r="E252" s="12"/>
      <c r="F252" s="29" t="s">
        <v>91</v>
      </c>
      <c r="G252" s="30">
        <v>5.1999999999999998E-2</v>
      </c>
      <c r="H252" s="30"/>
      <c r="I252" s="30">
        <v>343.74599999999998</v>
      </c>
      <c r="J252" s="31">
        <v>4093.92</v>
      </c>
      <c r="M252" s="32">
        <f>ROUND(ROUND(J252, 2)*I252, 2)</f>
        <v>1407268.62</v>
      </c>
      <c r="P252" s="33">
        <v>4093.92</v>
      </c>
      <c r="S252" s="32">
        <f>ROUND(ROUND(P252, 2)*I252, 2)</f>
        <v>1407268.62</v>
      </c>
      <c r="V252" s="9">
        <f>ROUND(ROUND(P252, 2)/1.2, 2)</f>
        <v>3411.6</v>
      </c>
      <c r="Y252" s="9">
        <f t="shared" si="27"/>
        <v>1172723.8500000001</v>
      </c>
      <c r="AD252" s="4" t="s">
        <v>1346</v>
      </c>
      <c r="AE252" s="4" t="s">
        <v>1347</v>
      </c>
      <c r="AF252" s="4" t="s">
        <v>94</v>
      </c>
    </row>
    <row r="253" spans="1:35" ht="54" x14ac:dyDescent="0.3">
      <c r="A253" s="10" t="s">
        <v>1348</v>
      </c>
      <c r="B253" s="10"/>
      <c r="C253" s="28" t="s">
        <v>98</v>
      </c>
      <c r="D253" s="12"/>
      <c r="E253" s="12"/>
      <c r="F253" s="29" t="s">
        <v>61</v>
      </c>
      <c r="G253" s="30">
        <v>4.2</v>
      </c>
      <c r="H253" s="30"/>
      <c r="I253" s="30">
        <v>27764.1</v>
      </c>
      <c r="J253" s="31">
        <v>137.79</v>
      </c>
      <c r="M253" s="32">
        <f>ROUND(ROUND(J253, 2)*I253, 2)</f>
        <v>3825615.34</v>
      </c>
      <c r="P253" s="33">
        <v>137.79</v>
      </c>
      <c r="S253" s="32">
        <f>ROUND(ROUND(P253, 2)*I253, 2)</f>
        <v>3825615.34</v>
      </c>
      <c r="V253" s="9">
        <f>ROUND(ROUND(P253, 2)/1.2, 2)</f>
        <v>114.83</v>
      </c>
      <c r="Y253" s="9">
        <f t="shared" si="27"/>
        <v>3188012.78</v>
      </c>
      <c r="AD253" s="4" t="s">
        <v>1349</v>
      </c>
      <c r="AE253" s="4" t="s">
        <v>1350</v>
      </c>
      <c r="AF253" s="4" t="s">
        <v>101</v>
      </c>
    </row>
    <row r="254" spans="1:35" ht="270" x14ac:dyDescent="0.3">
      <c r="A254" s="10" t="s">
        <v>1351</v>
      </c>
      <c r="B254" s="10" t="s">
        <v>105</v>
      </c>
      <c r="C254" s="11" t="s">
        <v>106</v>
      </c>
      <c r="D254" s="12" t="s">
        <v>59</v>
      </c>
      <c r="E254" s="12" t="s">
        <v>107</v>
      </c>
      <c r="F254" s="12" t="s">
        <v>61</v>
      </c>
      <c r="G254" s="13">
        <v>1</v>
      </c>
      <c r="H254" s="13"/>
      <c r="I254" s="13">
        <v>162.4</v>
      </c>
      <c r="J254" s="14">
        <f>IFERROR(ROUND(SUM(M255,M256,M257,M258,M259)/I254, 2),0)</f>
        <v>1060.6300000000001</v>
      </c>
      <c r="K254" s="15">
        <v>1991</v>
      </c>
      <c r="L254" s="14">
        <f>J254+ROUND(K254, 2)</f>
        <v>3051.63</v>
      </c>
      <c r="M254" s="14">
        <f>ROUND(J254*I254, 2)</f>
        <v>172246.31</v>
      </c>
      <c r="N254" s="14">
        <f>ROUND(I254*ROUND(K254, 2), 2)</f>
        <v>323338.40000000002</v>
      </c>
      <c r="O254" s="14">
        <f>M254+N254</f>
        <v>495584.71</v>
      </c>
      <c r="P254" s="14">
        <f>IFERROR(ROUND(SUM(S255,S256,S257,S258,S259)/I254, 2),0)</f>
        <v>1060.6300000000001</v>
      </c>
      <c r="Q254" s="16">
        <v>2986.5</v>
      </c>
      <c r="R254" s="14">
        <f>P254+ROUND(Q254, 2)</f>
        <v>4047.13</v>
      </c>
      <c r="S254" s="14">
        <f>ROUND(P254*I254, 2)</f>
        <v>172246.31</v>
      </c>
      <c r="T254" s="14">
        <f>ROUND(I254*ROUND(Q254, 2), 2)</f>
        <v>485007.6</v>
      </c>
      <c r="U254" s="14">
        <f>S254+T254</f>
        <v>657253.90999999992</v>
      </c>
      <c r="V254" s="9">
        <f>ROUND(P254 / 1.2, 2)</f>
        <v>883.86</v>
      </c>
      <c r="W254" s="9">
        <f>ROUND(Q254 / 1.2, 2)</f>
        <v>2488.75</v>
      </c>
      <c r="X254" s="9">
        <f>ROUND(R254 / 1.2, 2)</f>
        <v>3372.61</v>
      </c>
      <c r="Y254" s="9">
        <f t="shared" si="27"/>
        <v>143538.59</v>
      </c>
      <c r="Z254" s="9">
        <f>ROUND(T254 / 1.2, 2)</f>
        <v>404173</v>
      </c>
      <c r="AA254" s="9">
        <f>Y254+Z254</f>
        <v>547711.59</v>
      </c>
      <c r="AD254" s="4">
        <v>320319854</v>
      </c>
      <c r="AE254" s="4">
        <v>28020222</v>
      </c>
      <c r="AG254" s="4" t="s">
        <v>108</v>
      </c>
      <c r="AH254" s="4" t="s">
        <v>109</v>
      </c>
      <c r="AI254" s="4" t="s">
        <v>64</v>
      </c>
    </row>
    <row r="255" spans="1:35" ht="72" x14ac:dyDescent="0.3">
      <c r="A255" s="10" t="s">
        <v>1352</v>
      </c>
      <c r="B255" s="10"/>
      <c r="C255" s="28" t="s">
        <v>67</v>
      </c>
      <c r="D255" s="12"/>
      <c r="E255" s="12"/>
      <c r="F255" s="29" t="s">
        <v>68</v>
      </c>
      <c r="G255" s="30">
        <v>1</v>
      </c>
      <c r="H255" s="30"/>
      <c r="I255" s="30">
        <v>162.4</v>
      </c>
      <c r="J255" s="31">
        <v>89.83</v>
      </c>
      <c r="M255" s="32">
        <f>ROUND(ROUND(J255, 2)*I255, 2)</f>
        <v>14588.39</v>
      </c>
      <c r="P255" s="33">
        <v>89.83</v>
      </c>
      <c r="S255" s="32">
        <f>ROUND(ROUND(P255, 2)*I255, 2)</f>
        <v>14588.39</v>
      </c>
      <c r="V255" s="9">
        <f>ROUND(ROUND(P255, 2)/1.2, 2)</f>
        <v>74.86</v>
      </c>
      <c r="Y255" s="9">
        <f t="shared" si="27"/>
        <v>12156.99</v>
      </c>
      <c r="AD255" s="4" t="s">
        <v>1353</v>
      </c>
      <c r="AE255" s="4" t="s">
        <v>1354</v>
      </c>
      <c r="AF255" s="4" t="s">
        <v>71</v>
      </c>
    </row>
    <row r="256" spans="1:35" ht="18" x14ac:dyDescent="0.3">
      <c r="A256" s="10" t="s">
        <v>1355</v>
      </c>
      <c r="B256" s="10"/>
      <c r="C256" s="47" t="s">
        <v>117</v>
      </c>
      <c r="D256" s="12"/>
      <c r="E256" s="12"/>
      <c r="F256" s="29" t="s">
        <v>76</v>
      </c>
      <c r="G256" s="30">
        <v>2.04</v>
      </c>
      <c r="H256" s="49"/>
      <c r="I256" s="49">
        <v>331.29599999999999</v>
      </c>
      <c r="J256" s="31">
        <v>66.87</v>
      </c>
      <c r="M256" s="32">
        <f>ROUND(ROUND(J256, 2)*I256, 2)</f>
        <v>22153.759999999998</v>
      </c>
      <c r="P256" s="33">
        <v>66.87</v>
      </c>
      <c r="S256" s="32">
        <f>ROUND(ROUND(P256, 2)*I256, 2)</f>
        <v>22153.759999999998</v>
      </c>
      <c r="V256" s="9">
        <f>ROUND(ROUND(P256, 2)/1.2, 2)</f>
        <v>55.73</v>
      </c>
      <c r="Y256" s="9">
        <f t="shared" si="27"/>
        <v>18461.47</v>
      </c>
      <c r="AD256" s="4" t="s">
        <v>1356</v>
      </c>
      <c r="AE256" s="4" t="s">
        <v>1357</v>
      </c>
      <c r="AF256" s="4" t="s">
        <v>120</v>
      </c>
    </row>
    <row r="257" spans="1:35" ht="18" x14ac:dyDescent="0.3">
      <c r="A257" s="10" t="s">
        <v>1358</v>
      </c>
      <c r="B257" s="10"/>
      <c r="C257" s="47" t="s">
        <v>124</v>
      </c>
      <c r="D257" s="12"/>
      <c r="E257" s="12"/>
      <c r="F257" s="29" t="s">
        <v>76</v>
      </c>
      <c r="G257" s="30">
        <v>0.8</v>
      </c>
      <c r="H257" s="49"/>
      <c r="I257" s="49">
        <v>129.91999999999999</v>
      </c>
      <c r="J257" s="31">
        <v>53.47</v>
      </c>
      <c r="M257" s="32">
        <f>ROUND(ROUND(J257, 2)*I257, 2)</f>
        <v>6946.82</v>
      </c>
      <c r="P257" s="33">
        <v>53.47</v>
      </c>
      <c r="S257" s="32">
        <f>ROUND(ROUND(P257, 2)*I257, 2)</f>
        <v>6946.82</v>
      </c>
      <c r="V257" s="9">
        <f>ROUND(ROUND(P257, 2)/1.2, 2)</f>
        <v>44.56</v>
      </c>
      <c r="Y257" s="9">
        <f t="shared" si="27"/>
        <v>5789.02</v>
      </c>
      <c r="AD257" s="4" t="s">
        <v>1359</v>
      </c>
      <c r="AE257" s="4" t="s">
        <v>1360</v>
      </c>
      <c r="AF257" s="4" t="s">
        <v>127</v>
      </c>
    </row>
    <row r="258" spans="1:35" ht="36" x14ac:dyDescent="0.3">
      <c r="A258" s="10" t="s">
        <v>1361</v>
      </c>
      <c r="B258" s="10"/>
      <c r="C258" s="47" t="s">
        <v>90</v>
      </c>
      <c r="D258" s="12"/>
      <c r="E258" s="12"/>
      <c r="F258" s="29" t="s">
        <v>91</v>
      </c>
      <c r="G258" s="30">
        <v>5.1999999999999998E-2</v>
      </c>
      <c r="H258" s="30"/>
      <c r="I258" s="30">
        <v>8.4450000000000003</v>
      </c>
      <c r="J258" s="31">
        <v>4093.92</v>
      </c>
      <c r="M258" s="32">
        <f>ROUND(ROUND(J258, 2)*I258, 2)</f>
        <v>34573.15</v>
      </c>
      <c r="P258" s="33">
        <v>4093.92</v>
      </c>
      <c r="S258" s="32">
        <f>ROUND(ROUND(P258, 2)*I258, 2)</f>
        <v>34573.15</v>
      </c>
      <c r="V258" s="9">
        <f>ROUND(ROUND(P258, 2)/1.2, 2)</f>
        <v>3411.6</v>
      </c>
      <c r="Y258" s="9">
        <f t="shared" si="27"/>
        <v>28810.959999999999</v>
      </c>
      <c r="AD258" s="4" t="s">
        <v>1362</v>
      </c>
      <c r="AE258" s="4" t="s">
        <v>1363</v>
      </c>
      <c r="AF258" s="4" t="s">
        <v>94</v>
      </c>
    </row>
    <row r="259" spans="1:35" ht="54" x14ac:dyDescent="0.3">
      <c r="A259" s="10" t="s">
        <v>1364</v>
      </c>
      <c r="B259" s="10"/>
      <c r="C259" s="28" t="s">
        <v>98</v>
      </c>
      <c r="D259" s="12"/>
      <c r="E259" s="12" t="s">
        <v>136</v>
      </c>
      <c r="F259" s="29" t="s">
        <v>61</v>
      </c>
      <c r="G259" s="30">
        <v>4.2</v>
      </c>
      <c r="H259" s="30"/>
      <c r="I259" s="30">
        <v>682.08</v>
      </c>
      <c r="J259" s="31">
        <v>137.79</v>
      </c>
      <c r="M259" s="32">
        <f>ROUND(ROUND(J259, 2)*I259, 2)</f>
        <v>93983.8</v>
      </c>
      <c r="P259" s="33">
        <v>137.79</v>
      </c>
      <c r="S259" s="32">
        <f>ROUND(ROUND(P259, 2)*I259, 2)</f>
        <v>93983.8</v>
      </c>
      <c r="V259" s="9">
        <f>ROUND(ROUND(P259, 2)/1.2, 2)</f>
        <v>114.83</v>
      </c>
      <c r="Y259" s="9">
        <f t="shared" si="27"/>
        <v>78319.83</v>
      </c>
      <c r="AD259" s="4" t="s">
        <v>1365</v>
      </c>
      <c r="AE259" s="4" t="s">
        <v>1366</v>
      </c>
      <c r="AF259" s="4" t="s">
        <v>101</v>
      </c>
    </row>
    <row r="260" spans="1:35" ht="216" x14ac:dyDescent="0.3">
      <c r="A260" s="10" t="s">
        <v>1367</v>
      </c>
      <c r="B260" s="10" t="s">
        <v>105</v>
      </c>
      <c r="C260" s="11" t="s">
        <v>106</v>
      </c>
      <c r="D260" s="12" t="s">
        <v>59</v>
      </c>
      <c r="E260" s="12" t="s">
        <v>142</v>
      </c>
      <c r="F260" s="12" t="s">
        <v>61</v>
      </c>
      <c r="G260" s="13">
        <v>1</v>
      </c>
      <c r="H260" s="13"/>
      <c r="I260" s="13">
        <v>59.8</v>
      </c>
      <c r="J260" s="14">
        <f>IFERROR(ROUND(SUM(M261,M262,M263,M264,M265)/I260, 2),0)</f>
        <v>1060.6500000000001</v>
      </c>
      <c r="K260" s="15">
        <v>1991</v>
      </c>
      <c r="L260" s="14">
        <f>J260+ROUND(K260, 2)</f>
        <v>3051.65</v>
      </c>
      <c r="M260" s="14">
        <f>ROUND(J260*I260, 2)</f>
        <v>63426.87</v>
      </c>
      <c r="N260" s="14">
        <f>ROUND(I260*ROUND(K260, 2), 2)</f>
        <v>119061.8</v>
      </c>
      <c r="O260" s="14">
        <f>M260+N260</f>
        <v>182488.67</v>
      </c>
      <c r="P260" s="14">
        <f>IFERROR(ROUND(SUM(S261,S262,S263,S264,S265)/I260, 2),0)</f>
        <v>1060.6500000000001</v>
      </c>
      <c r="Q260" s="16">
        <v>2986.5</v>
      </c>
      <c r="R260" s="14">
        <f>P260+ROUND(Q260, 2)</f>
        <v>4047.15</v>
      </c>
      <c r="S260" s="14">
        <f>ROUND(P260*I260, 2)</f>
        <v>63426.87</v>
      </c>
      <c r="T260" s="14">
        <f>ROUND(I260*ROUND(Q260, 2), 2)</f>
        <v>178592.7</v>
      </c>
      <c r="U260" s="14">
        <f>S260+T260</f>
        <v>242019.57</v>
      </c>
      <c r="V260" s="9">
        <f>ROUND(P260 / 1.2, 2)</f>
        <v>883.88</v>
      </c>
      <c r="W260" s="9">
        <f>ROUND(Q260 / 1.2, 2)</f>
        <v>2488.75</v>
      </c>
      <c r="X260" s="9">
        <f>ROUND(R260 / 1.2, 2)</f>
        <v>3372.63</v>
      </c>
      <c r="Y260" s="9">
        <f t="shared" si="27"/>
        <v>52855.73</v>
      </c>
      <c r="Z260" s="9">
        <f>ROUND(T260 / 1.2, 2)</f>
        <v>148827.25</v>
      </c>
      <c r="AA260" s="9">
        <f>Y260+Z260</f>
        <v>201682.98</v>
      </c>
      <c r="AD260" s="4">
        <v>320319924</v>
      </c>
      <c r="AE260" s="4">
        <v>28020221</v>
      </c>
      <c r="AG260" s="4" t="s">
        <v>108</v>
      </c>
      <c r="AH260" s="4" t="s">
        <v>109</v>
      </c>
      <c r="AI260" s="4" t="s">
        <v>64</v>
      </c>
    </row>
    <row r="261" spans="1:35" ht="54" x14ac:dyDescent="0.3">
      <c r="A261" s="10" t="s">
        <v>1368</v>
      </c>
      <c r="B261" s="10"/>
      <c r="C261" s="28" t="s">
        <v>98</v>
      </c>
      <c r="D261" s="12"/>
      <c r="E261" s="12"/>
      <c r="F261" s="29" t="s">
        <v>61</v>
      </c>
      <c r="G261" s="30">
        <v>4.2</v>
      </c>
      <c r="H261" s="30"/>
      <c r="I261" s="30">
        <v>251.16</v>
      </c>
      <c r="J261" s="31">
        <v>137.79</v>
      </c>
      <c r="M261" s="32">
        <f>ROUND(ROUND(J261, 2)*I261, 2)</f>
        <v>34607.339999999997</v>
      </c>
      <c r="P261" s="33">
        <v>137.79</v>
      </c>
      <c r="S261" s="32">
        <f>ROUND(ROUND(P261, 2)*I261, 2)</f>
        <v>34607.339999999997</v>
      </c>
      <c r="V261" s="9">
        <f>ROUND(ROUND(P261, 2)/1.2, 2)</f>
        <v>114.83</v>
      </c>
      <c r="Y261" s="9">
        <f t="shared" si="27"/>
        <v>28839.45</v>
      </c>
      <c r="AD261" s="4" t="s">
        <v>1369</v>
      </c>
      <c r="AE261" s="4" t="s">
        <v>1370</v>
      </c>
      <c r="AF261" s="4" t="s">
        <v>101</v>
      </c>
    </row>
    <row r="262" spans="1:35" ht="36" x14ac:dyDescent="0.3">
      <c r="A262" s="10" t="s">
        <v>1371</v>
      </c>
      <c r="B262" s="10"/>
      <c r="C262" s="47" t="s">
        <v>90</v>
      </c>
      <c r="D262" s="12"/>
      <c r="E262" s="12"/>
      <c r="F262" s="29" t="s">
        <v>91</v>
      </c>
      <c r="G262" s="30">
        <v>5.1999999999999998E-2</v>
      </c>
      <c r="H262" s="30"/>
      <c r="I262" s="30">
        <v>3.11</v>
      </c>
      <c r="J262" s="31">
        <v>4093.92</v>
      </c>
      <c r="M262" s="32">
        <f>ROUND(ROUND(J262, 2)*I262, 2)</f>
        <v>12732.09</v>
      </c>
      <c r="P262" s="33">
        <v>4093.92</v>
      </c>
      <c r="S262" s="32">
        <f>ROUND(ROUND(P262, 2)*I262, 2)</f>
        <v>12732.09</v>
      </c>
      <c r="V262" s="9">
        <f>ROUND(ROUND(P262, 2)/1.2, 2)</f>
        <v>3411.6</v>
      </c>
      <c r="Y262" s="9">
        <f t="shared" si="27"/>
        <v>10610.08</v>
      </c>
      <c r="AD262" s="4" t="s">
        <v>1372</v>
      </c>
      <c r="AE262" s="4" t="s">
        <v>1373</v>
      </c>
      <c r="AF262" s="4" t="s">
        <v>94</v>
      </c>
    </row>
    <row r="263" spans="1:35" ht="18" x14ac:dyDescent="0.3">
      <c r="A263" s="10" t="s">
        <v>1374</v>
      </c>
      <c r="B263" s="10"/>
      <c r="C263" s="47" t="s">
        <v>117</v>
      </c>
      <c r="D263" s="12"/>
      <c r="E263" s="12"/>
      <c r="F263" s="29" t="s">
        <v>76</v>
      </c>
      <c r="G263" s="30">
        <v>2.04</v>
      </c>
      <c r="H263" s="49"/>
      <c r="I263" s="49">
        <v>121.992</v>
      </c>
      <c r="J263" s="31">
        <v>66.87</v>
      </c>
      <c r="M263" s="32">
        <f>ROUND(ROUND(J263, 2)*I263, 2)</f>
        <v>8157.61</v>
      </c>
      <c r="P263" s="33">
        <v>66.87</v>
      </c>
      <c r="S263" s="32">
        <f>ROUND(ROUND(P263, 2)*I263, 2)</f>
        <v>8157.61</v>
      </c>
      <c r="V263" s="9">
        <f>ROUND(ROUND(P263, 2)/1.2, 2)</f>
        <v>55.73</v>
      </c>
      <c r="Y263" s="9">
        <f t="shared" si="27"/>
        <v>6798.01</v>
      </c>
      <c r="AD263" s="4" t="s">
        <v>1375</v>
      </c>
      <c r="AE263" s="4" t="s">
        <v>1376</v>
      </c>
      <c r="AF263" s="4" t="s">
        <v>120</v>
      </c>
    </row>
    <row r="264" spans="1:35" ht="18" x14ac:dyDescent="0.3">
      <c r="A264" s="10" t="s">
        <v>1377</v>
      </c>
      <c r="B264" s="10"/>
      <c r="C264" s="47" t="s">
        <v>124</v>
      </c>
      <c r="D264" s="12"/>
      <c r="E264" s="12"/>
      <c r="F264" s="29" t="s">
        <v>76</v>
      </c>
      <c r="G264" s="30">
        <v>0.8</v>
      </c>
      <c r="H264" s="49"/>
      <c r="I264" s="49">
        <v>47.84</v>
      </c>
      <c r="J264" s="31">
        <v>53.47</v>
      </c>
      <c r="M264" s="32">
        <f>ROUND(ROUND(J264, 2)*I264, 2)</f>
        <v>2558</v>
      </c>
      <c r="P264" s="33">
        <v>53.47</v>
      </c>
      <c r="S264" s="32">
        <f>ROUND(ROUND(P264, 2)*I264, 2)</f>
        <v>2558</v>
      </c>
      <c r="V264" s="9">
        <f>ROUND(ROUND(P264, 2)/1.2, 2)</f>
        <v>44.56</v>
      </c>
      <c r="Y264" s="9">
        <f t="shared" si="27"/>
        <v>2131.67</v>
      </c>
      <c r="AD264" s="4" t="s">
        <v>1378</v>
      </c>
      <c r="AE264" s="4" t="s">
        <v>1379</v>
      </c>
      <c r="AF264" s="4" t="s">
        <v>127</v>
      </c>
    </row>
    <row r="265" spans="1:35" ht="72" x14ac:dyDescent="0.3">
      <c r="A265" s="10" t="s">
        <v>1380</v>
      </c>
      <c r="B265" s="10"/>
      <c r="C265" s="28" t="s">
        <v>67</v>
      </c>
      <c r="D265" s="12"/>
      <c r="E265" s="12"/>
      <c r="F265" s="29" t="s">
        <v>68</v>
      </c>
      <c r="G265" s="30">
        <v>1</v>
      </c>
      <c r="H265" s="30"/>
      <c r="I265" s="30">
        <v>59.8</v>
      </c>
      <c r="J265" s="31">
        <v>89.83</v>
      </c>
      <c r="M265" s="32">
        <f>ROUND(ROUND(J265, 2)*I265, 2)</f>
        <v>5371.83</v>
      </c>
      <c r="P265" s="33">
        <v>89.83</v>
      </c>
      <c r="S265" s="32">
        <f>ROUND(ROUND(P265, 2)*I265, 2)</f>
        <v>5371.83</v>
      </c>
      <c r="V265" s="9">
        <f>ROUND(ROUND(P265, 2)/1.2, 2)</f>
        <v>74.86</v>
      </c>
      <c r="Y265" s="9">
        <f t="shared" si="27"/>
        <v>4476.53</v>
      </c>
      <c r="AD265" s="4" t="s">
        <v>1381</v>
      </c>
      <c r="AE265" s="4" t="s">
        <v>1382</v>
      </c>
      <c r="AF265" s="4" t="s">
        <v>71</v>
      </c>
    </row>
    <row r="266" spans="1:35" ht="288" x14ac:dyDescent="0.3">
      <c r="A266" s="10" t="s">
        <v>1383</v>
      </c>
      <c r="B266" s="10" t="s">
        <v>165</v>
      </c>
      <c r="C266" s="11" t="s">
        <v>166</v>
      </c>
      <c r="D266" s="12" t="s">
        <v>59</v>
      </c>
      <c r="E266" s="12" t="s">
        <v>1384</v>
      </c>
      <c r="F266" s="12" t="s">
        <v>61</v>
      </c>
      <c r="G266" s="13">
        <v>1</v>
      </c>
      <c r="H266" s="13"/>
      <c r="I266" s="13">
        <v>783.6</v>
      </c>
      <c r="J266" s="14">
        <f>IFERROR(ROUND(SUM(M267,M268,M269,M270,M271)/I266, 2),0)</f>
        <v>821.26</v>
      </c>
      <c r="K266" s="15">
        <v>1225</v>
      </c>
      <c r="L266" s="14">
        <f>J266+ROUND(K266, 2)</f>
        <v>2046.26</v>
      </c>
      <c r="M266" s="14">
        <f>ROUND(J266*I266, 2)</f>
        <v>643539.34</v>
      </c>
      <c r="N266" s="14">
        <f>ROUND(I266*ROUND(K266, 2), 2)</f>
        <v>959910</v>
      </c>
      <c r="O266" s="14">
        <f>M266+N266</f>
        <v>1603449.3399999999</v>
      </c>
      <c r="P266" s="14">
        <f>IFERROR(ROUND(SUM(S267,S268,S269,S270,S271)/I266, 2),0)</f>
        <v>821.26</v>
      </c>
      <c r="Q266" s="16">
        <v>1837.5</v>
      </c>
      <c r="R266" s="14">
        <f>P266+ROUND(Q266, 2)</f>
        <v>2658.76</v>
      </c>
      <c r="S266" s="14">
        <f>ROUND(P266*I266, 2)</f>
        <v>643539.34</v>
      </c>
      <c r="T266" s="14">
        <f>ROUND(I266*ROUND(Q266, 2), 2)</f>
        <v>1439865</v>
      </c>
      <c r="U266" s="14">
        <f>S266+T266</f>
        <v>2083404.3399999999</v>
      </c>
      <c r="V266" s="9">
        <f>ROUND(P266 / 1.2, 2)</f>
        <v>684.38</v>
      </c>
      <c r="W266" s="9">
        <f>ROUND(Q266 / 1.2, 2)</f>
        <v>1531.25</v>
      </c>
      <c r="X266" s="9">
        <f>ROUND(R266 / 1.2, 2)</f>
        <v>2215.63</v>
      </c>
      <c r="Y266" s="9">
        <f t="shared" si="27"/>
        <v>536282.78</v>
      </c>
      <c r="Z266" s="9">
        <f>ROUND(T266 / 1.2, 2)</f>
        <v>1199887.5</v>
      </c>
      <c r="AA266" s="9">
        <f>Y266+Z266</f>
        <v>1736170.28</v>
      </c>
      <c r="AD266" s="4">
        <v>320319856</v>
      </c>
      <c r="AE266" s="4">
        <v>28020223</v>
      </c>
      <c r="AG266" s="4" t="s">
        <v>168</v>
      </c>
      <c r="AH266" s="4" t="s">
        <v>169</v>
      </c>
      <c r="AI266" s="4" t="s">
        <v>64</v>
      </c>
    </row>
    <row r="267" spans="1:35" ht="36" x14ac:dyDescent="0.3">
      <c r="A267" s="10" t="s">
        <v>1385</v>
      </c>
      <c r="B267" s="10"/>
      <c r="C267" s="47" t="s">
        <v>90</v>
      </c>
      <c r="D267" s="12"/>
      <c r="E267" s="12"/>
      <c r="F267" s="29" t="s">
        <v>91</v>
      </c>
      <c r="G267" s="30">
        <v>5.1999999999999998E-2</v>
      </c>
      <c r="H267" s="30"/>
      <c r="I267" s="30">
        <v>40.747</v>
      </c>
      <c r="J267" s="31">
        <v>4093.92</v>
      </c>
      <c r="M267" s="32">
        <f>ROUND(ROUND(J267, 2)*I267, 2)</f>
        <v>166814.96</v>
      </c>
      <c r="P267" s="33">
        <v>4093.92</v>
      </c>
      <c r="S267" s="32">
        <f>ROUND(ROUND(P267, 2)*I267, 2)</f>
        <v>166814.96</v>
      </c>
      <c r="V267" s="9">
        <f>ROUND(ROUND(P267, 2)/1.2, 2)</f>
        <v>3411.6</v>
      </c>
      <c r="Y267" s="9">
        <f t="shared" si="27"/>
        <v>139012.47</v>
      </c>
      <c r="AD267" s="4" t="s">
        <v>1386</v>
      </c>
      <c r="AE267" s="4" t="s">
        <v>1387</v>
      </c>
      <c r="AF267" s="4" t="s">
        <v>94</v>
      </c>
    </row>
    <row r="268" spans="1:35" ht="72" x14ac:dyDescent="0.3">
      <c r="A268" s="10" t="s">
        <v>1388</v>
      </c>
      <c r="B268" s="10"/>
      <c r="C268" s="28" t="s">
        <v>177</v>
      </c>
      <c r="D268" s="12"/>
      <c r="E268" s="12"/>
      <c r="F268" s="29" t="s">
        <v>68</v>
      </c>
      <c r="G268" s="30">
        <v>1</v>
      </c>
      <c r="H268" s="30"/>
      <c r="I268" s="30">
        <v>783.6</v>
      </c>
      <c r="J268" s="31">
        <v>113.01</v>
      </c>
      <c r="M268" s="32">
        <f>ROUND(ROUND(J268, 2)*I268, 2)</f>
        <v>88554.64</v>
      </c>
      <c r="P268" s="33">
        <v>113.01</v>
      </c>
      <c r="S268" s="32">
        <f>ROUND(ROUND(P268, 2)*I268, 2)</f>
        <v>88554.64</v>
      </c>
      <c r="V268" s="9">
        <f>ROUND(ROUND(P268, 2)/1.2, 2)</f>
        <v>94.18</v>
      </c>
      <c r="Y268" s="9">
        <f t="shared" si="27"/>
        <v>73795.53</v>
      </c>
      <c r="AD268" s="4" t="s">
        <v>1389</v>
      </c>
      <c r="AE268" s="4" t="s">
        <v>1390</v>
      </c>
      <c r="AF268" s="4" t="s">
        <v>180</v>
      </c>
    </row>
    <row r="269" spans="1:35" ht="36" x14ac:dyDescent="0.3">
      <c r="A269" s="10" t="s">
        <v>1391</v>
      </c>
      <c r="B269" s="10"/>
      <c r="C269" s="47" t="s">
        <v>184</v>
      </c>
      <c r="D269" s="12"/>
      <c r="E269" s="12"/>
      <c r="F269" s="29" t="s">
        <v>61</v>
      </c>
      <c r="G269" s="30">
        <v>2.2000000000000002</v>
      </c>
      <c r="H269" s="30"/>
      <c r="I269" s="30">
        <v>1723.92</v>
      </c>
      <c r="J269" s="31">
        <v>107.1</v>
      </c>
      <c r="M269" s="32">
        <f>ROUND(ROUND(J269, 2)*I269, 2)</f>
        <v>184631.83</v>
      </c>
      <c r="P269" s="33">
        <v>107.1</v>
      </c>
      <c r="S269" s="32">
        <f>ROUND(ROUND(P269, 2)*I269, 2)</f>
        <v>184631.83</v>
      </c>
      <c r="V269" s="9">
        <f>ROUND(ROUND(P269, 2)/1.2, 2)</f>
        <v>89.25</v>
      </c>
      <c r="Y269" s="9">
        <f t="shared" si="27"/>
        <v>153859.85999999999</v>
      </c>
      <c r="AD269" s="4" t="s">
        <v>1392</v>
      </c>
      <c r="AE269" s="4" t="s">
        <v>1393</v>
      </c>
      <c r="AF269" s="4" t="s">
        <v>187</v>
      </c>
    </row>
    <row r="270" spans="1:35" ht="18" x14ac:dyDescent="0.3">
      <c r="A270" s="10" t="s">
        <v>1394</v>
      </c>
      <c r="B270" s="10"/>
      <c r="C270" s="47" t="s">
        <v>75</v>
      </c>
      <c r="D270" s="12"/>
      <c r="E270" s="12"/>
      <c r="F270" s="29" t="s">
        <v>76</v>
      </c>
      <c r="G270" s="30">
        <v>0.86</v>
      </c>
      <c r="H270" s="49"/>
      <c r="I270" s="49">
        <v>673.89599999999996</v>
      </c>
      <c r="J270" s="31">
        <v>66</v>
      </c>
      <c r="M270" s="32">
        <f>ROUND(ROUND(J270, 2)*I270, 2)</f>
        <v>44477.14</v>
      </c>
      <c r="P270" s="33">
        <v>66</v>
      </c>
      <c r="S270" s="32">
        <f>ROUND(ROUND(P270, 2)*I270, 2)</f>
        <v>44477.14</v>
      </c>
      <c r="V270" s="9">
        <f>ROUND(ROUND(P270, 2)/1.2, 2)</f>
        <v>55</v>
      </c>
      <c r="Y270" s="9">
        <f t="shared" si="27"/>
        <v>37064.28</v>
      </c>
      <c r="AD270" s="4" t="s">
        <v>1395</v>
      </c>
      <c r="AE270" s="4" t="s">
        <v>1396</v>
      </c>
      <c r="AF270" s="4" t="s">
        <v>79</v>
      </c>
    </row>
    <row r="271" spans="1:35" ht="18" x14ac:dyDescent="0.3">
      <c r="A271" s="10" t="s">
        <v>1397</v>
      </c>
      <c r="B271" s="10"/>
      <c r="C271" s="47" t="s">
        <v>83</v>
      </c>
      <c r="D271" s="12"/>
      <c r="E271" s="12"/>
      <c r="F271" s="29" t="s">
        <v>76</v>
      </c>
      <c r="G271" s="30">
        <v>2.1</v>
      </c>
      <c r="H271" s="49"/>
      <c r="I271" s="49">
        <v>1645.56</v>
      </c>
      <c r="J271" s="31">
        <v>96.66</v>
      </c>
      <c r="M271" s="32">
        <f>ROUND(ROUND(J271, 2)*I271, 2)</f>
        <v>159059.82999999999</v>
      </c>
      <c r="P271" s="33">
        <v>96.66</v>
      </c>
      <c r="S271" s="32">
        <f>ROUND(ROUND(P271, 2)*I271, 2)</f>
        <v>159059.82999999999</v>
      </c>
      <c r="V271" s="9">
        <f>ROUND(ROUND(P271, 2)/1.2, 2)</f>
        <v>80.55</v>
      </c>
      <c r="Y271" s="9">
        <f t="shared" si="27"/>
        <v>132549.85999999999</v>
      </c>
      <c r="AD271" s="4" t="s">
        <v>1398</v>
      </c>
      <c r="AE271" s="4" t="s">
        <v>1399</v>
      </c>
      <c r="AF271" s="4" t="s">
        <v>86</v>
      </c>
    </row>
    <row r="272" spans="1:35" ht="288" x14ac:dyDescent="0.3">
      <c r="A272" s="10" t="s">
        <v>1400</v>
      </c>
      <c r="B272" s="10" t="s">
        <v>165</v>
      </c>
      <c r="C272" s="11" t="s">
        <v>166</v>
      </c>
      <c r="D272" s="12" t="s">
        <v>59</v>
      </c>
      <c r="E272" s="12" t="s">
        <v>1401</v>
      </c>
      <c r="F272" s="12" t="s">
        <v>61</v>
      </c>
      <c r="G272" s="13">
        <v>1</v>
      </c>
      <c r="H272" s="13"/>
      <c r="I272" s="13">
        <v>2480.6999999999998</v>
      </c>
      <c r="J272" s="14">
        <f>IFERROR(ROUND(SUM(M273,M274,M275,M276,M277)/I272, 2),0)</f>
        <v>821.26</v>
      </c>
      <c r="K272" s="15">
        <v>1225</v>
      </c>
      <c r="L272" s="14">
        <f>J272+ROUND(K272, 2)</f>
        <v>2046.26</v>
      </c>
      <c r="M272" s="14">
        <f>ROUND(J272*I272, 2)</f>
        <v>2037299.68</v>
      </c>
      <c r="N272" s="14">
        <f>ROUND(I272*ROUND(K272, 2), 2)</f>
        <v>3038857.5</v>
      </c>
      <c r="O272" s="14">
        <f>M272+N272</f>
        <v>5076157.18</v>
      </c>
      <c r="P272" s="14">
        <f>IFERROR(ROUND(SUM(S273,S274,S275,S276,S277)/I272, 2),0)</f>
        <v>821.26</v>
      </c>
      <c r="Q272" s="16">
        <v>1837.5</v>
      </c>
      <c r="R272" s="14">
        <f>P272+ROUND(Q272, 2)</f>
        <v>2658.76</v>
      </c>
      <c r="S272" s="14">
        <f>ROUND(P272*I272, 2)</f>
        <v>2037299.68</v>
      </c>
      <c r="T272" s="14">
        <f>ROUND(I272*ROUND(Q272, 2), 2)</f>
        <v>4558286.25</v>
      </c>
      <c r="U272" s="14">
        <f>S272+T272</f>
        <v>6595585.9299999997</v>
      </c>
      <c r="V272" s="9">
        <f>ROUND(P272 / 1.2, 2)</f>
        <v>684.38</v>
      </c>
      <c r="W272" s="9">
        <f>ROUND(Q272 / 1.2, 2)</f>
        <v>1531.25</v>
      </c>
      <c r="X272" s="9">
        <f>ROUND(R272 / 1.2, 2)</f>
        <v>2215.63</v>
      </c>
      <c r="Y272" s="9">
        <f t="shared" si="27"/>
        <v>1697749.73</v>
      </c>
      <c r="Z272" s="9">
        <f>ROUND(T272 / 1.2, 2)</f>
        <v>3798571.88</v>
      </c>
      <c r="AA272" s="9">
        <f>Y272+Z272</f>
        <v>5496321.6099999994</v>
      </c>
      <c r="AD272" s="4">
        <v>320319925</v>
      </c>
      <c r="AE272" s="4">
        <v>28020224</v>
      </c>
      <c r="AG272" s="4" t="s">
        <v>168</v>
      </c>
      <c r="AH272" s="4" t="s">
        <v>169</v>
      </c>
      <c r="AI272" s="4" t="s">
        <v>64</v>
      </c>
    </row>
    <row r="273" spans="1:35" ht="18" x14ac:dyDescent="0.3">
      <c r="A273" s="10" t="s">
        <v>1402</v>
      </c>
      <c r="B273" s="10"/>
      <c r="C273" s="47" t="s">
        <v>75</v>
      </c>
      <c r="D273" s="12"/>
      <c r="E273" s="12"/>
      <c r="F273" s="29" t="s">
        <v>76</v>
      </c>
      <c r="G273" s="30">
        <v>0.86</v>
      </c>
      <c r="H273" s="49"/>
      <c r="I273" s="49">
        <v>2133.402</v>
      </c>
      <c r="J273" s="31">
        <v>66</v>
      </c>
      <c r="M273" s="32">
        <f>ROUND(ROUND(J273, 2)*I273, 2)</f>
        <v>140804.53</v>
      </c>
      <c r="P273" s="33">
        <v>66</v>
      </c>
      <c r="S273" s="32">
        <f>ROUND(ROUND(P273, 2)*I273, 2)</f>
        <v>140804.53</v>
      </c>
      <c r="V273" s="9">
        <f>ROUND(ROUND(P273, 2)/1.2, 2)</f>
        <v>55</v>
      </c>
      <c r="Y273" s="9">
        <f t="shared" si="27"/>
        <v>117337.11</v>
      </c>
      <c r="AD273" s="4" t="s">
        <v>1403</v>
      </c>
      <c r="AE273" s="4" t="s">
        <v>1404</v>
      </c>
      <c r="AF273" s="4" t="s">
        <v>79</v>
      </c>
    </row>
    <row r="274" spans="1:35" ht="18" x14ac:dyDescent="0.3">
      <c r="A274" s="10" t="s">
        <v>1405</v>
      </c>
      <c r="B274" s="10"/>
      <c r="C274" s="47" t="s">
        <v>83</v>
      </c>
      <c r="D274" s="12"/>
      <c r="E274" s="12"/>
      <c r="F274" s="29" t="s">
        <v>76</v>
      </c>
      <c r="G274" s="30">
        <v>2.1</v>
      </c>
      <c r="H274" s="49"/>
      <c r="I274" s="49">
        <v>5209.47</v>
      </c>
      <c r="J274" s="31">
        <v>96.66</v>
      </c>
      <c r="M274" s="32">
        <f>ROUND(ROUND(J274, 2)*I274, 2)</f>
        <v>503547.37</v>
      </c>
      <c r="P274" s="33">
        <v>96.66</v>
      </c>
      <c r="S274" s="32">
        <f>ROUND(ROUND(P274, 2)*I274, 2)</f>
        <v>503547.37</v>
      </c>
      <c r="V274" s="9">
        <f>ROUND(ROUND(P274, 2)/1.2, 2)</f>
        <v>80.55</v>
      </c>
      <c r="Y274" s="9">
        <f t="shared" si="27"/>
        <v>419622.81</v>
      </c>
      <c r="AD274" s="4" t="s">
        <v>1406</v>
      </c>
      <c r="AE274" s="4" t="s">
        <v>1407</v>
      </c>
      <c r="AF274" s="4" t="s">
        <v>86</v>
      </c>
    </row>
    <row r="275" spans="1:35" ht="36" x14ac:dyDescent="0.3">
      <c r="A275" s="10" t="s">
        <v>1408</v>
      </c>
      <c r="B275" s="10"/>
      <c r="C275" s="47" t="s">
        <v>214</v>
      </c>
      <c r="D275" s="12"/>
      <c r="E275" s="12"/>
      <c r="F275" s="29" t="s">
        <v>61</v>
      </c>
      <c r="G275" s="30">
        <v>2.2000000000000002</v>
      </c>
      <c r="H275" s="30"/>
      <c r="I275" s="30">
        <v>5457.54</v>
      </c>
      <c r="J275" s="31">
        <v>107.1</v>
      </c>
      <c r="M275" s="32">
        <f>ROUND(ROUND(J275, 2)*I275, 2)</f>
        <v>584502.53</v>
      </c>
      <c r="P275" s="33">
        <v>107.1</v>
      </c>
      <c r="S275" s="32">
        <f>ROUND(ROUND(P275, 2)*I275, 2)</f>
        <v>584502.53</v>
      </c>
      <c r="V275" s="9">
        <f>ROUND(ROUND(P275, 2)/1.2, 2)</f>
        <v>89.25</v>
      </c>
      <c r="Y275" s="9">
        <f t="shared" si="27"/>
        <v>487085.44</v>
      </c>
      <c r="AD275" s="4" t="s">
        <v>1409</v>
      </c>
      <c r="AE275" s="4" t="s">
        <v>1410</v>
      </c>
      <c r="AF275" s="4" t="s">
        <v>217</v>
      </c>
    </row>
    <row r="276" spans="1:35" ht="72" x14ac:dyDescent="0.3">
      <c r="A276" s="10" t="s">
        <v>1411</v>
      </c>
      <c r="B276" s="10"/>
      <c r="C276" s="28" t="s">
        <v>177</v>
      </c>
      <c r="D276" s="12"/>
      <c r="E276" s="12"/>
      <c r="F276" s="29" t="s">
        <v>68</v>
      </c>
      <c r="G276" s="30">
        <v>1</v>
      </c>
      <c r="H276" s="30"/>
      <c r="I276" s="30">
        <v>2480.6999999999998</v>
      </c>
      <c r="J276" s="31">
        <v>113.01</v>
      </c>
      <c r="M276" s="32">
        <f>ROUND(ROUND(J276, 2)*I276, 2)</f>
        <v>280343.90999999997</v>
      </c>
      <c r="P276" s="33">
        <v>113.01</v>
      </c>
      <c r="S276" s="32">
        <f>ROUND(ROUND(P276, 2)*I276, 2)</f>
        <v>280343.90999999997</v>
      </c>
      <c r="V276" s="9">
        <f>ROUND(ROUND(P276, 2)/1.2, 2)</f>
        <v>94.18</v>
      </c>
      <c r="Y276" s="9">
        <f t="shared" si="27"/>
        <v>233619.93</v>
      </c>
      <c r="AD276" s="4" t="s">
        <v>1412</v>
      </c>
      <c r="AE276" s="4" t="s">
        <v>1413</v>
      </c>
      <c r="AF276" s="4" t="s">
        <v>180</v>
      </c>
    </row>
    <row r="277" spans="1:35" ht="36" x14ac:dyDescent="0.3">
      <c r="A277" s="10" t="s">
        <v>1414</v>
      </c>
      <c r="B277" s="10"/>
      <c r="C277" s="47" t="s">
        <v>90</v>
      </c>
      <c r="D277" s="12"/>
      <c r="E277" s="12"/>
      <c r="F277" s="29" t="s">
        <v>91</v>
      </c>
      <c r="G277" s="30">
        <v>5.1999999999999998E-2</v>
      </c>
      <c r="H277" s="30"/>
      <c r="I277" s="30">
        <v>128.99600000000001</v>
      </c>
      <c r="J277" s="31">
        <v>4093.92</v>
      </c>
      <c r="M277" s="32">
        <f>ROUND(ROUND(J277, 2)*I277, 2)</f>
        <v>528099.30000000005</v>
      </c>
      <c r="P277" s="33">
        <v>4093.92</v>
      </c>
      <c r="S277" s="32">
        <f>ROUND(ROUND(P277, 2)*I277, 2)</f>
        <v>528099.30000000005</v>
      </c>
      <c r="V277" s="9">
        <f>ROUND(ROUND(P277, 2)/1.2, 2)</f>
        <v>3411.6</v>
      </c>
      <c r="Y277" s="9">
        <f t="shared" si="27"/>
        <v>440082.75</v>
      </c>
      <c r="AD277" s="4" t="s">
        <v>1415</v>
      </c>
      <c r="AE277" s="4" t="s">
        <v>1416</v>
      </c>
      <c r="AF277" s="4" t="s">
        <v>94</v>
      </c>
    </row>
    <row r="278" spans="1:35" ht="378" x14ac:dyDescent="0.3">
      <c r="A278" s="10" t="s">
        <v>1417</v>
      </c>
      <c r="B278" s="10" t="s">
        <v>165</v>
      </c>
      <c r="C278" s="11" t="s">
        <v>166</v>
      </c>
      <c r="D278" s="12" t="s">
        <v>59</v>
      </c>
      <c r="E278" s="12" t="s">
        <v>231</v>
      </c>
      <c r="F278" s="12" t="s">
        <v>61</v>
      </c>
      <c r="G278" s="13">
        <v>1</v>
      </c>
      <c r="H278" s="13"/>
      <c r="I278" s="13">
        <v>185.6</v>
      </c>
      <c r="J278" s="14">
        <f>IFERROR(ROUND(SUM(M279,M280,M281,M282,M283)/I278, 2),0)</f>
        <v>821.26</v>
      </c>
      <c r="K278" s="15">
        <v>1225</v>
      </c>
      <c r="L278" s="14">
        <f>J278+ROUND(K278, 2)</f>
        <v>2046.26</v>
      </c>
      <c r="M278" s="14">
        <f>ROUND(J278*I278, 2)</f>
        <v>152425.85999999999</v>
      </c>
      <c r="N278" s="14">
        <f>ROUND(I278*ROUND(K278, 2), 2)</f>
        <v>227360</v>
      </c>
      <c r="O278" s="14">
        <f>M278+N278</f>
        <v>379785.86</v>
      </c>
      <c r="P278" s="14">
        <f>IFERROR(ROUND(SUM(S279,S280,S281,S282,S283)/I278, 2),0)</f>
        <v>821.26</v>
      </c>
      <c r="Q278" s="16">
        <v>1837.5</v>
      </c>
      <c r="R278" s="14">
        <f>P278+ROUND(Q278, 2)</f>
        <v>2658.76</v>
      </c>
      <c r="S278" s="14">
        <f>ROUND(P278*I278, 2)</f>
        <v>152425.85999999999</v>
      </c>
      <c r="T278" s="14">
        <f>ROUND(I278*ROUND(Q278, 2), 2)</f>
        <v>341040</v>
      </c>
      <c r="U278" s="14">
        <f>S278+T278</f>
        <v>493465.86</v>
      </c>
      <c r="V278" s="9">
        <f>ROUND(P278 / 1.2, 2)</f>
        <v>684.38</v>
      </c>
      <c r="W278" s="9">
        <f>ROUND(Q278 / 1.2, 2)</f>
        <v>1531.25</v>
      </c>
      <c r="X278" s="9">
        <f>ROUND(R278 / 1.2, 2)</f>
        <v>2215.63</v>
      </c>
      <c r="Y278" s="9">
        <f t="shared" si="27"/>
        <v>127021.55</v>
      </c>
      <c r="Z278" s="9">
        <f>ROUND(T278 / 1.2, 2)</f>
        <v>284200</v>
      </c>
      <c r="AA278" s="9">
        <f>Y278+Z278</f>
        <v>411221.55</v>
      </c>
      <c r="AD278" s="4">
        <v>320319926</v>
      </c>
      <c r="AE278" s="4">
        <v>28020225</v>
      </c>
      <c r="AG278" s="4" t="s">
        <v>168</v>
      </c>
      <c r="AH278" s="4" t="s">
        <v>169</v>
      </c>
      <c r="AI278" s="4" t="s">
        <v>64</v>
      </c>
    </row>
    <row r="279" spans="1:35" ht="36" x14ac:dyDescent="0.3">
      <c r="A279" s="10" t="s">
        <v>1418</v>
      </c>
      <c r="B279" s="10"/>
      <c r="C279" s="47" t="s">
        <v>90</v>
      </c>
      <c r="D279" s="12"/>
      <c r="E279" s="12"/>
      <c r="F279" s="29" t="s">
        <v>91</v>
      </c>
      <c r="G279" s="30">
        <v>5.1999999999999998E-2</v>
      </c>
      <c r="H279" s="30"/>
      <c r="I279" s="30">
        <v>9.6509999999999998</v>
      </c>
      <c r="J279" s="31">
        <v>4093.92</v>
      </c>
      <c r="M279" s="32">
        <f>ROUND(ROUND(J279, 2)*I279, 2)</f>
        <v>39510.42</v>
      </c>
      <c r="P279" s="33">
        <v>4093.92</v>
      </c>
      <c r="S279" s="32">
        <f>ROUND(ROUND(P279, 2)*I279, 2)</f>
        <v>39510.42</v>
      </c>
      <c r="V279" s="9">
        <f>ROUND(ROUND(P279, 2)/1.2, 2)</f>
        <v>3411.6</v>
      </c>
      <c r="Y279" s="9">
        <f t="shared" si="27"/>
        <v>32925.35</v>
      </c>
      <c r="AD279" s="4" t="s">
        <v>1419</v>
      </c>
      <c r="AE279" s="4" t="s">
        <v>1420</v>
      </c>
      <c r="AF279" s="4" t="s">
        <v>94</v>
      </c>
    </row>
    <row r="280" spans="1:35" ht="72" x14ac:dyDescent="0.3">
      <c r="A280" s="10" t="s">
        <v>1421</v>
      </c>
      <c r="B280" s="10"/>
      <c r="C280" s="28" t="s">
        <v>177</v>
      </c>
      <c r="D280" s="12"/>
      <c r="E280" s="12"/>
      <c r="F280" s="29" t="s">
        <v>68</v>
      </c>
      <c r="G280" s="30">
        <v>1</v>
      </c>
      <c r="H280" s="30"/>
      <c r="I280" s="30">
        <v>185.6</v>
      </c>
      <c r="J280" s="31">
        <v>113.01</v>
      </c>
      <c r="M280" s="32">
        <f>ROUND(ROUND(J280, 2)*I280, 2)</f>
        <v>20974.66</v>
      </c>
      <c r="P280" s="33">
        <v>113.01</v>
      </c>
      <c r="S280" s="32">
        <f>ROUND(ROUND(P280, 2)*I280, 2)</f>
        <v>20974.66</v>
      </c>
      <c r="V280" s="9">
        <f>ROUND(ROUND(P280, 2)/1.2, 2)</f>
        <v>94.18</v>
      </c>
      <c r="Y280" s="9">
        <f t="shared" si="27"/>
        <v>17478.88</v>
      </c>
      <c r="AD280" s="4" t="s">
        <v>1422</v>
      </c>
      <c r="AE280" s="4" t="s">
        <v>1423</v>
      </c>
      <c r="AF280" s="4" t="s">
        <v>180</v>
      </c>
    </row>
    <row r="281" spans="1:35" ht="36" x14ac:dyDescent="0.3">
      <c r="A281" s="10" t="s">
        <v>1424</v>
      </c>
      <c r="B281" s="10"/>
      <c r="C281" s="47" t="s">
        <v>214</v>
      </c>
      <c r="D281" s="12"/>
      <c r="E281" s="12"/>
      <c r="F281" s="29" t="s">
        <v>61</v>
      </c>
      <c r="G281" s="30">
        <v>2.2000000000000002</v>
      </c>
      <c r="H281" s="30"/>
      <c r="I281" s="30">
        <v>408.32</v>
      </c>
      <c r="J281" s="31">
        <v>107.1</v>
      </c>
      <c r="M281" s="32">
        <f>ROUND(ROUND(J281, 2)*I281, 2)</f>
        <v>43731.07</v>
      </c>
      <c r="P281" s="33">
        <v>107.1</v>
      </c>
      <c r="S281" s="32">
        <f>ROUND(ROUND(P281, 2)*I281, 2)</f>
        <v>43731.07</v>
      </c>
      <c r="V281" s="9">
        <f>ROUND(ROUND(P281, 2)/1.2, 2)</f>
        <v>89.25</v>
      </c>
      <c r="Y281" s="9">
        <f t="shared" si="27"/>
        <v>36442.559999999998</v>
      </c>
      <c r="AD281" s="4" t="s">
        <v>1425</v>
      </c>
      <c r="AE281" s="4" t="s">
        <v>1426</v>
      </c>
      <c r="AF281" s="4" t="s">
        <v>217</v>
      </c>
    </row>
    <row r="282" spans="1:35" ht="18" x14ac:dyDescent="0.3">
      <c r="A282" s="10" t="s">
        <v>1427</v>
      </c>
      <c r="B282" s="10"/>
      <c r="C282" s="47" t="s">
        <v>75</v>
      </c>
      <c r="D282" s="12"/>
      <c r="E282" s="12"/>
      <c r="F282" s="29" t="s">
        <v>76</v>
      </c>
      <c r="G282" s="30">
        <v>0.86</v>
      </c>
      <c r="H282" s="49"/>
      <c r="I282" s="49">
        <v>159.61600000000001</v>
      </c>
      <c r="J282" s="31">
        <v>66</v>
      </c>
      <c r="M282" s="32">
        <f>ROUND(ROUND(J282, 2)*I282, 2)</f>
        <v>10534.66</v>
      </c>
      <c r="P282" s="33">
        <v>66</v>
      </c>
      <c r="S282" s="32">
        <f>ROUND(ROUND(P282, 2)*I282, 2)</f>
        <v>10534.66</v>
      </c>
      <c r="V282" s="9">
        <f>ROUND(ROUND(P282, 2)/1.2, 2)</f>
        <v>55</v>
      </c>
      <c r="Y282" s="9">
        <f t="shared" si="27"/>
        <v>8778.8799999999992</v>
      </c>
      <c r="AD282" s="4" t="s">
        <v>1428</v>
      </c>
      <c r="AE282" s="4" t="s">
        <v>1429</v>
      </c>
      <c r="AF282" s="4" t="s">
        <v>79</v>
      </c>
    </row>
    <row r="283" spans="1:35" ht="18" x14ac:dyDescent="0.3">
      <c r="A283" s="10" t="s">
        <v>1430</v>
      </c>
      <c r="B283" s="10"/>
      <c r="C283" s="47" t="s">
        <v>83</v>
      </c>
      <c r="D283" s="12"/>
      <c r="E283" s="12"/>
      <c r="F283" s="29" t="s">
        <v>76</v>
      </c>
      <c r="G283" s="30">
        <v>2.1</v>
      </c>
      <c r="H283" s="49"/>
      <c r="I283" s="49">
        <v>389.76</v>
      </c>
      <c r="J283" s="31">
        <v>96.66</v>
      </c>
      <c r="M283" s="32">
        <f>ROUND(ROUND(J283, 2)*I283, 2)</f>
        <v>37674.199999999997</v>
      </c>
      <c r="P283" s="33">
        <v>96.66</v>
      </c>
      <c r="S283" s="32">
        <f>ROUND(ROUND(P283, 2)*I283, 2)</f>
        <v>37674.199999999997</v>
      </c>
      <c r="V283" s="9">
        <f>ROUND(ROUND(P283, 2)/1.2, 2)</f>
        <v>80.55</v>
      </c>
      <c r="Y283" s="9">
        <f t="shared" si="27"/>
        <v>31395.17</v>
      </c>
      <c r="AD283" s="4" t="s">
        <v>1431</v>
      </c>
      <c r="AE283" s="4" t="s">
        <v>1432</v>
      </c>
      <c r="AF283" s="4" t="s">
        <v>86</v>
      </c>
    </row>
    <row r="284" spans="1:35" ht="288" x14ac:dyDescent="0.3">
      <c r="A284" s="10" t="s">
        <v>1433</v>
      </c>
      <c r="B284" s="10" t="s">
        <v>165</v>
      </c>
      <c r="C284" s="11" t="s">
        <v>166</v>
      </c>
      <c r="D284" s="12" t="s">
        <v>59</v>
      </c>
      <c r="E284" s="12" t="s">
        <v>259</v>
      </c>
      <c r="F284" s="12" t="s">
        <v>61</v>
      </c>
      <c r="G284" s="13">
        <v>1</v>
      </c>
      <c r="H284" s="13"/>
      <c r="I284" s="13">
        <v>128.5</v>
      </c>
      <c r="J284" s="14">
        <f>IFERROR(ROUND(SUM(M285,M286,M287,M288,M289)/I284, 2),0)</f>
        <v>744.72</v>
      </c>
      <c r="K284" s="15">
        <v>1225</v>
      </c>
      <c r="L284" s="14">
        <f>J284+ROUND(K284, 2)</f>
        <v>1969.72</v>
      </c>
      <c r="M284" s="14">
        <f>ROUND(J284*I284, 2)</f>
        <v>95696.52</v>
      </c>
      <c r="N284" s="14">
        <f>ROUND(I284*ROUND(K284, 2), 2)</f>
        <v>157412.5</v>
      </c>
      <c r="O284" s="14">
        <f>M284+N284</f>
        <v>253109.02000000002</v>
      </c>
      <c r="P284" s="14">
        <f>IFERROR(ROUND(SUM(S285,S286,S287,S288,S289)/I284, 2),0)</f>
        <v>4152.3</v>
      </c>
      <c r="Q284" s="16">
        <v>1837.5</v>
      </c>
      <c r="R284" s="14">
        <f>P284+ROUND(Q284, 2)</f>
        <v>5989.8</v>
      </c>
      <c r="S284" s="14">
        <f>ROUND(P284*I284, 2)</f>
        <v>533570.55000000005</v>
      </c>
      <c r="T284" s="14">
        <f>ROUND(I284*ROUND(Q284, 2), 2)</f>
        <v>236118.75</v>
      </c>
      <c r="U284" s="14">
        <f>S284+T284</f>
        <v>769689.3</v>
      </c>
      <c r="V284" s="9">
        <f>ROUND(P284 / 1.2, 2)</f>
        <v>3460.25</v>
      </c>
      <c r="W284" s="9">
        <f>ROUND(Q284 / 1.2, 2)</f>
        <v>1531.25</v>
      </c>
      <c r="X284" s="9">
        <f>ROUND(R284 / 1.2, 2)</f>
        <v>4991.5</v>
      </c>
      <c r="Y284" s="9">
        <f t="shared" si="27"/>
        <v>444642.13</v>
      </c>
      <c r="Z284" s="9">
        <f>ROUND(T284 / 1.2, 2)</f>
        <v>196765.63</v>
      </c>
      <c r="AA284" s="9">
        <f>Y284+Z284</f>
        <v>641407.76</v>
      </c>
      <c r="AD284" s="4">
        <v>320319927</v>
      </c>
      <c r="AE284" s="4">
        <v>28020226</v>
      </c>
      <c r="AG284" s="4" t="s">
        <v>168</v>
      </c>
      <c r="AH284" s="4" t="s">
        <v>169</v>
      </c>
      <c r="AI284" s="4" t="s">
        <v>64</v>
      </c>
    </row>
    <row r="285" spans="1:35" ht="18" x14ac:dyDescent="0.3">
      <c r="A285" s="10" t="s">
        <v>1434</v>
      </c>
      <c r="B285" s="10"/>
      <c r="C285" s="47" t="s">
        <v>117</v>
      </c>
      <c r="D285" s="12"/>
      <c r="E285" s="12"/>
      <c r="F285" s="29" t="s">
        <v>76</v>
      </c>
      <c r="G285" s="30">
        <v>2.1</v>
      </c>
      <c r="H285" s="30"/>
      <c r="I285" s="30">
        <v>269.85000000000002</v>
      </c>
      <c r="J285" s="31">
        <v>66.87</v>
      </c>
      <c r="M285" s="32">
        <f>ROUND(ROUND(J285, 2)*I285, 2)</f>
        <v>18044.87</v>
      </c>
      <c r="P285" s="33">
        <v>66.87</v>
      </c>
      <c r="S285" s="32">
        <f>ROUND(ROUND(P285, 2)*I285, 2)</f>
        <v>18044.87</v>
      </c>
      <c r="V285" s="9">
        <f>ROUND(ROUND(P285, 2)/1.2, 2)</f>
        <v>55.73</v>
      </c>
      <c r="Y285" s="9">
        <f t="shared" si="27"/>
        <v>15037.39</v>
      </c>
      <c r="AD285" s="4" t="s">
        <v>1435</v>
      </c>
      <c r="AE285" s="4" t="s">
        <v>1436</v>
      </c>
      <c r="AF285" s="4" t="s">
        <v>120</v>
      </c>
    </row>
    <row r="286" spans="1:35" ht="18" x14ac:dyDescent="0.3">
      <c r="A286" s="10" t="s">
        <v>1437</v>
      </c>
      <c r="B286" s="10"/>
      <c r="C286" s="47" t="s">
        <v>124</v>
      </c>
      <c r="D286" s="12"/>
      <c r="E286" s="12"/>
      <c r="F286" s="29" t="s">
        <v>76</v>
      </c>
      <c r="G286" s="30">
        <v>0.8</v>
      </c>
      <c r="H286" s="30"/>
      <c r="I286" s="30">
        <v>102.8</v>
      </c>
      <c r="J286" s="31">
        <v>53.47</v>
      </c>
      <c r="M286" s="32">
        <f>ROUND(ROUND(J286, 2)*I286, 2)</f>
        <v>5496.72</v>
      </c>
      <c r="P286" s="33">
        <v>53.47</v>
      </c>
      <c r="S286" s="32">
        <f>ROUND(ROUND(P286, 2)*I286, 2)</f>
        <v>5496.72</v>
      </c>
      <c r="V286" s="9">
        <f>ROUND(ROUND(P286, 2)/1.2, 2)</f>
        <v>44.56</v>
      </c>
      <c r="Y286" s="9">
        <f t="shared" si="27"/>
        <v>4580.6000000000004</v>
      </c>
      <c r="AD286" s="4" t="s">
        <v>1438</v>
      </c>
      <c r="AE286" s="4" t="s">
        <v>1439</v>
      </c>
      <c r="AF286" s="4" t="s">
        <v>127</v>
      </c>
    </row>
    <row r="287" spans="1:35" ht="36" x14ac:dyDescent="0.3">
      <c r="A287" s="10" t="s">
        <v>1440</v>
      </c>
      <c r="B287" s="10"/>
      <c r="C287" s="47" t="s">
        <v>214</v>
      </c>
      <c r="D287" s="12"/>
      <c r="E287" s="12" t="s">
        <v>272</v>
      </c>
      <c r="F287" s="29" t="s">
        <v>61</v>
      </c>
      <c r="G287" s="30">
        <v>2.2000000000000002</v>
      </c>
      <c r="H287" s="30"/>
      <c r="I287" s="30">
        <v>282.7</v>
      </c>
      <c r="J287" s="31">
        <v>107.1</v>
      </c>
      <c r="M287" s="32">
        <f>ROUND(ROUND(J287, 2)*I287, 2)</f>
        <v>30277.17</v>
      </c>
      <c r="P287" s="33">
        <v>1656</v>
      </c>
      <c r="S287" s="32">
        <f>ROUND(ROUND(P287, 2)*I287, 2)</f>
        <v>468151.2</v>
      </c>
      <c r="V287" s="9">
        <f>ROUND(ROUND(P287, 2)/1.2, 2)</f>
        <v>1380</v>
      </c>
      <c r="Y287" s="9">
        <f t="shared" si="27"/>
        <v>390126</v>
      </c>
      <c r="AD287" s="4" t="s">
        <v>1441</v>
      </c>
      <c r="AE287" s="4" t="s">
        <v>1442</v>
      </c>
      <c r="AF287" s="4" t="s">
        <v>217</v>
      </c>
    </row>
    <row r="288" spans="1:35" ht="72" x14ac:dyDescent="0.3">
      <c r="A288" s="10" t="s">
        <v>1443</v>
      </c>
      <c r="B288" s="10"/>
      <c r="C288" s="28" t="s">
        <v>177</v>
      </c>
      <c r="D288" s="12"/>
      <c r="E288" s="12"/>
      <c r="F288" s="29" t="s">
        <v>68</v>
      </c>
      <c r="G288" s="30">
        <v>1</v>
      </c>
      <c r="H288" s="30"/>
      <c r="I288" s="30">
        <v>128.5</v>
      </c>
      <c r="J288" s="31">
        <v>113.01</v>
      </c>
      <c r="M288" s="32">
        <f>ROUND(ROUND(J288, 2)*I288, 2)</f>
        <v>14521.79</v>
      </c>
      <c r="P288" s="33">
        <v>113.01</v>
      </c>
      <c r="S288" s="32">
        <f>ROUND(ROUND(P288, 2)*I288, 2)</f>
        <v>14521.79</v>
      </c>
      <c r="V288" s="9">
        <f>ROUND(ROUND(P288, 2)/1.2, 2)</f>
        <v>94.18</v>
      </c>
      <c r="Y288" s="9">
        <f t="shared" si="27"/>
        <v>12101.49</v>
      </c>
      <c r="AD288" s="4" t="s">
        <v>1444</v>
      </c>
      <c r="AE288" s="4" t="s">
        <v>1445</v>
      </c>
      <c r="AF288" s="4" t="s">
        <v>180</v>
      </c>
    </row>
    <row r="289" spans="1:35" ht="36" x14ac:dyDescent="0.3">
      <c r="A289" s="10" t="s">
        <v>1446</v>
      </c>
      <c r="B289" s="10"/>
      <c r="C289" s="47" t="s">
        <v>90</v>
      </c>
      <c r="D289" s="12"/>
      <c r="E289" s="12"/>
      <c r="F289" s="29" t="s">
        <v>91</v>
      </c>
      <c r="G289" s="30">
        <v>5.1999999999999998E-2</v>
      </c>
      <c r="H289" s="30"/>
      <c r="I289" s="30">
        <v>6.6820000000000004</v>
      </c>
      <c r="J289" s="31">
        <v>4093.92</v>
      </c>
      <c r="M289" s="32">
        <f>ROUND(ROUND(J289, 2)*I289, 2)</f>
        <v>27355.57</v>
      </c>
      <c r="P289" s="33">
        <v>4093.92</v>
      </c>
      <c r="S289" s="32">
        <f>ROUND(ROUND(P289, 2)*I289, 2)</f>
        <v>27355.57</v>
      </c>
      <c r="V289" s="9">
        <f>ROUND(ROUND(P289, 2)/1.2, 2)</f>
        <v>3411.6</v>
      </c>
      <c r="Y289" s="9">
        <f t="shared" si="27"/>
        <v>22796.31</v>
      </c>
      <c r="AD289" s="4" t="s">
        <v>1447</v>
      </c>
      <c r="AE289" s="4" t="s">
        <v>1448</v>
      </c>
      <c r="AF289" s="4" t="s">
        <v>94</v>
      </c>
    </row>
    <row r="290" spans="1:35" ht="288" x14ac:dyDescent="0.3">
      <c r="A290" s="10" t="s">
        <v>1449</v>
      </c>
      <c r="B290" s="10" t="s">
        <v>165</v>
      </c>
      <c r="C290" s="11" t="s">
        <v>166</v>
      </c>
      <c r="D290" s="12" t="s">
        <v>59</v>
      </c>
      <c r="E290" s="12" t="s">
        <v>288</v>
      </c>
      <c r="F290" s="12" t="s">
        <v>61</v>
      </c>
      <c r="G290" s="13">
        <v>1</v>
      </c>
      <c r="H290" s="13"/>
      <c r="I290" s="13">
        <v>95.8</v>
      </c>
      <c r="J290" s="14">
        <f>IFERROR(ROUND(SUM(M291,M292,M293,M294,M295)/I290, 2),0)</f>
        <v>1307.98</v>
      </c>
      <c r="K290" s="15">
        <v>1225</v>
      </c>
      <c r="L290" s="14">
        <f>J290+ROUND(K290, 2)</f>
        <v>2532.98</v>
      </c>
      <c r="M290" s="14">
        <f>ROUND(J290*I290, 2)</f>
        <v>125304.48</v>
      </c>
      <c r="N290" s="14">
        <f>ROUND(I290*ROUND(K290, 2), 2)</f>
        <v>117355</v>
      </c>
      <c r="O290" s="14">
        <f>M290+N290</f>
        <v>242659.47999999998</v>
      </c>
      <c r="P290" s="14">
        <f>IFERROR(ROUND(SUM(S291,S292,S293,S294,S295)/I290, 2),0)</f>
        <v>1307.98</v>
      </c>
      <c r="Q290" s="16">
        <v>1837.5</v>
      </c>
      <c r="R290" s="14">
        <f>P290+ROUND(Q290, 2)</f>
        <v>3145.48</v>
      </c>
      <c r="S290" s="14">
        <f>ROUND(P290*I290, 2)</f>
        <v>125304.48</v>
      </c>
      <c r="T290" s="14">
        <f>ROUND(I290*ROUND(Q290, 2), 2)</f>
        <v>176032.5</v>
      </c>
      <c r="U290" s="14">
        <f>S290+T290</f>
        <v>301336.98</v>
      </c>
      <c r="V290" s="9">
        <f>ROUND(P290 / 1.2, 2)</f>
        <v>1089.98</v>
      </c>
      <c r="W290" s="9">
        <f>ROUND(Q290 / 1.2, 2)</f>
        <v>1531.25</v>
      </c>
      <c r="X290" s="9">
        <f>ROUND(R290 / 1.2, 2)</f>
        <v>2621.23</v>
      </c>
      <c r="Y290" s="9">
        <f t="shared" si="27"/>
        <v>104420.4</v>
      </c>
      <c r="Z290" s="9">
        <f>ROUND(T290 / 1.2, 2)</f>
        <v>146693.75</v>
      </c>
      <c r="AA290" s="9">
        <f>Y290+Z290</f>
        <v>251114.15</v>
      </c>
      <c r="AD290" s="4">
        <v>320319928</v>
      </c>
      <c r="AE290" s="4">
        <v>28020220</v>
      </c>
      <c r="AG290" s="4" t="s">
        <v>168</v>
      </c>
      <c r="AH290" s="4" t="s">
        <v>169</v>
      </c>
      <c r="AI290" s="4" t="s">
        <v>64</v>
      </c>
    </row>
    <row r="291" spans="1:35" ht="36" x14ac:dyDescent="0.3">
      <c r="A291" s="10" t="s">
        <v>1450</v>
      </c>
      <c r="B291" s="10"/>
      <c r="C291" s="47" t="s">
        <v>90</v>
      </c>
      <c r="D291" s="12"/>
      <c r="E291" s="12"/>
      <c r="F291" s="29" t="s">
        <v>91</v>
      </c>
      <c r="G291" s="30">
        <v>5.1999999999999998E-2</v>
      </c>
      <c r="H291" s="30"/>
      <c r="I291" s="30">
        <v>4.9820000000000002</v>
      </c>
      <c r="J291" s="31">
        <v>4093.92</v>
      </c>
      <c r="M291" s="32">
        <f>ROUND(ROUND(J291, 2)*I291, 2)</f>
        <v>20395.91</v>
      </c>
      <c r="P291" s="33">
        <v>4093.92</v>
      </c>
      <c r="S291" s="32">
        <f>ROUND(ROUND(P291, 2)*I291, 2)</f>
        <v>20395.91</v>
      </c>
      <c r="V291" s="9">
        <f>ROUND(ROUND(P291, 2)/1.2, 2)</f>
        <v>3411.6</v>
      </c>
      <c r="Y291" s="9">
        <f t="shared" si="27"/>
        <v>16996.59</v>
      </c>
      <c r="AD291" s="4" t="s">
        <v>1451</v>
      </c>
      <c r="AE291" s="4" t="s">
        <v>1452</v>
      </c>
      <c r="AF291" s="4" t="s">
        <v>94</v>
      </c>
    </row>
    <row r="292" spans="1:35" ht="72" x14ac:dyDescent="0.3">
      <c r="A292" s="10" t="s">
        <v>1453</v>
      </c>
      <c r="B292" s="10"/>
      <c r="C292" s="28" t="s">
        <v>177</v>
      </c>
      <c r="D292" s="12"/>
      <c r="E292" s="12"/>
      <c r="F292" s="29" t="s">
        <v>68</v>
      </c>
      <c r="G292" s="30">
        <v>1</v>
      </c>
      <c r="H292" s="30"/>
      <c r="I292" s="30">
        <v>95.8</v>
      </c>
      <c r="J292" s="31">
        <v>113.01</v>
      </c>
      <c r="M292" s="32">
        <f>ROUND(ROUND(J292, 2)*I292, 2)</f>
        <v>10826.36</v>
      </c>
      <c r="P292" s="33">
        <v>113.01</v>
      </c>
      <c r="S292" s="32">
        <f>ROUND(ROUND(P292, 2)*I292, 2)</f>
        <v>10826.36</v>
      </c>
      <c r="V292" s="9">
        <f>ROUND(ROUND(P292, 2)/1.2, 2)</f>
        <v>94.18</v>
      </c>
      <c r="Y292" s="9">
        <f t="shared" si="27"/>
        <v>9021.9699999999993</v>
      </c>
      <c r="AD292" s="4" t="s">
        <v>1454</v>
      </c>
      <c r="AE292" s="4" t="s">
        <v>1455</v>
      </c>
      <c r="AF292" s="4" t="s">
        <v>180</v>
      </c>
    </row>
    <row r="293" spans="1:35" ht="18" x14ac:dyDescent="0.3">
      <c r="A293" s="10" t="s">
        <v>1456</v>
      </c>
      <c r="B293" s="10"/>
      <c r="C293" s="47" t="s">
        <v>301</v>
      </c>
      <c r="D293" s="12"/>
      <c r="E293" s="12"/>
      <c r="F293" s="29" t="s">
        <v>61</v>
      </c>
      <c r="G293" s="30">
        <v>2.2000000000000002</v>
      </c>
      <c r="H293" s="30"/>
      <c r="I293" s="30">
        <v>210.76</v>
      </c>
      <c r="J293" s="31">
        <v>328.33</v>
      </c>
      <c r="M293" s="32">
        <f>ROUND(ROUND(J293, 2)*I293, 2)</f>
        <v>69198.83</v>
      </c>
      <c r="P293" s="33">
        <v>328.33</v>
      </c>
      <c r="S293" s="32">
        <f>ROUND(ROUND(P293, 2)*I293, 2)</f>
        <v>69198.83</v>
      </c>
      <c r="V293" s="9">
        <f>ROUND(ROUND(P293, 2)/1.2, 2)</f>
        <v>273.61</v>
      </c>
      <c r="Y293" s="9">
        <f t="shared" si="27"/>
        <v>57665.69</v>
      </c>
      <c r="AD293" s="4" t="s">
        <v>1457</v>
      </c>
      <c r="AE293" s="4" t="s">
        <v>1458</v>
      </c>
      <c r="AF293" s="4" t="s">
        <v>304</v>
      </c>
    </row>
    <row r="294" spans="1:35" ht="18" x14ac:dyDescent="0.3">
      <c r="A294" s="10" t="s">
        <v>1459</v>
      </c>
      <c r="B294" s="10"/>
      <c r="C294" s="47" t="s">
        <v>75</v>
      </c>
      <c r="D294" s="12"/>
      <c r="E294" s="12"/>
      <c r="F294" s="29" t="s">
        <v>76</v>
      </c>
      <c r="G294" s="30">
        <v>0.86</v>
      </c>
      <c r="H294" s="49"/>
      <c r="I294" s="49">
        <v>82.388000000000005</v>
      </c>
      <c r="J294" s="31">
        <v>66</v>
      </c>
      <c r="M294" s="32">
        <f>ROUND(ROUND(J294, 2)*I294, 2)</f>
        <v>5437.61</v>
      </c>
      <c r="P294" s="33">
        <v>66</v>
      </c>
      <c r="S294" s="32">
        <f>ROUND(ROUND(P294, 2)*I294, 2)</f>
        <v>5437.61</v>
      </c>
      <c r="V294" s="9">
        <f>ROUND(ROUND(P294, 2)/1.2, 2)</f>
        <v>55</v>
      </c>
      <c r="Y294" s="9">
        <f t="shared" si="27"/>
        <v>4531.34</v>
      </c>
      <c r="AD294" s="4" t="s">
        <v>1460</v>
      </c>
      <c r="AE294" s="4" t="s">
        <v>1461</v>
      </c>
      <c r="AF294" s="4" t="s">
        <v>79</v>
      </c>
    </row>
    <row r="295" spans="1:35" ht="18" x14ac:dyDescent="0.3">
      <c r="A295" s="10" t="s">
        <v>1462</v>
      </c>
      <c r="B295" s="10"/>
      <c r="C295" s="47" t="s">
        <v>83</v>
      </c>
      <c r="D295" s="12"/>
      <c r="E295" s="12"/>
      <c r="F295" s="29" t="s">
        <v>76</v>
      </c>
      <c r="G295" s="30">
        <v>2.1</v>
      </c>
      <c r="H295" s="49"/>
      <c r="I295" s="49">
        <v>201.18</v>
      </c>
      <c r="J295" s="31">
        <v>96.66</v>
      </c>
      <c r="M295" s="32">
        <f>ROUND(ROUND(J295, 2)*I295, 2)</f>
        <v>19446.060000000001</v>
      </c>
      <c r="P295" s="33">
        <v>96.66</v>
      </c>
      <c r="S295" s="32">
        <f>ROUND(ROUND(P295, 2)*I295, 2)</f>
        <v>19446.060000000001</v>
      </c>
      <c r="V295" s="9">
        <f>ROUND(ROUND(P295, 2)/1.2, 2)</f>
        <v>80.55</v>
      </c>
      <c r="Y295" s="9">
        <f t="shared" si="27"/>
        <v>16205.05</v>
      </c>
      <c r="AD295" s="4" t="s">
        <v>1463</v>
      </c>
      <c r="AE295" s="4" t="s">
        <v>1464</v>
      </c>
      <c r="AF295" s="4" t="s">
        <v>86</v>
      </c>
    </row>
    <row r="296" spans="1:35" ht="16.95" customHeight="1" x14ac:dyDescent="0.3">
      <c r="A296" s="10" t="s">
        <v>1465</v>
      </c>
      <c r="B296" s="10" t="s">
        <v>318</v>
      </c>
      <c r="C296" s="237" t="s">
        <v>319</v>
      </c>
      <c r="D296" s="238"/>
      <c r="E296" s="238"/>
      <c r="F296" s="238"/>
      <c r="G296" s="238"/>
      <c r="H296" s="238"/>
      <c r="I296" s="239"/>
      <c r="M296" s="6">
        <f t="shared" ref="M296:O297" si="28">SUM(M297)</f>
        <v>61426028.489999995</v>
      </c>
      <c r="N296" s="6">
        <f t="shared" si="28"/>
        <v>67589882.219999999</v>
      </c>
      <c r="O296" s="6">
        <f t="shared" si="28"/>
        <v>129015910.71000001</v>
      </c>
      <c r="S296" s="6">
        <f t="shared" ref="S296:U297" si="29">SUM(S297)</f>
        <v>58617329.380000003</v>
      </c>
      <c r="T296" s="6">
        <f t="shared" si="29"/>
        <v>101384812.51000001</v>
      </c>
      <c r="U296" s="6">
        <f t="shared" si="29"/>
        <v>160002141.88999999</v>
      </c>
      <c r="Y296" s="9">
        <f t="shared" ref="Y296:AA297" si="30">SUM(Y297)</f>
        <v>48847774.49000001</v>
      </c>
      <c r="Z296" s="9">
        <f t="shared" si="30"/>
        <v>84487343.780000001</v>
      </c>
      <c r="AA296" s="9">
        <f t="shared" si="30"/>
        <v>133335118.27</v>
      </c>
      <c r="AD296" s="4">
        <v>320319857</v>
      </c>
      <c r="AE296" s="4">
        <v>28036989</v>
      </c>
    </row>
    <row r="297" spans="1:35" ht="16.95" customHeight="1" x14ac:dyDescent="0.3">
      <c r="A297" s="10" t="s">
        <v>1466</v>
      </c>
      <c r="B297" s="10" t="s">
        <v>321</v>
      </c>
      <c r="C297" s="237" t="s">
        <v>322</v>
      </c>
      <c r="D297" s="238"/>
      <c r="E297" s="238"/>
      <c r="F297" s="238"/>
      <c r="G297" s="238"/>
      <c r="H297" s="238"/>
      <c r="I297" s="239"/>
      <c r="M297" s="6">
        <f t="shared" si="28"/>
        <v>61426028.489999995</v>
      </c>
      <c r="N297" s="6">
        <f t="shared" si="28"/>
        <v>67589882.219999999</v>
      </c>
      <c r="O297" s="6">
        <f t="shared" si="28"/>
        <v>129015910.71000001</v>
      </c>
      <c r="S297" s="6">
        <f t="shared" si="29"/>
        <v>58617329.380000003</v>
      </c>
      <c r="T297" s="6">
        <f t="shared" si="29"/>
        <v>101384812.51000001</v>
      </c>
      <c r="U297" s="6">
        <f t="shared" si="29"/>
        <v>160002141.88999999</v>
      </c>
      <c r="Y297" s="9">
        <f t="shared" si="30"/>
        <v>48847774.49000001</v>
      </c>
      <c r="Z297" s="9">
        <f t="shared" si="30"/>
        <v>84487343.780000001</v>
      </c>
      <c r="AA297" s="9">
        <f t="shared" si="30"/>
        <v>133335118.27</v>
      </c>
      <c r="AD297" s="4">
        <v>320319858</v>
      </c>
      <c r="AE297" s="4">
        <v>28036990</v>
      </c>
    </row>
    <row r="298" spans="1:35" ht="16.95" customHeight="1" x14ac:dyDescent="0.3">
      <c r="A298" s="10" t="s">
        <v>1467</v>
      </c>
      <c r="B298" s="10" t="s">
        <v>324</v>
      </c>
      <c r="C298" s="237" t="s">
        <v>325</v>
      </c>
      <c r="D298" s="238"/>
      <c r="E298" s="238"/>
      <c r="F298" s="238"/>
      <c r="G298" s="238"/>
      <c r="H298" s="238"/>
      <c r="I298" s="239"/>
      <c r="M298" s="6">
        <f>SUM(M299,M389,M410,M433,M477)</f>
        <v>61426028.489999995</v>
      </c>
      <c r="N298" s="6">
        <f>SUM(N299,N389,N410,N433,N477)</f>
        <v>67589882.219999999</v>
      </c>
      <c r="O298" s="6">
        <f>SUM(O299,O389,O410,O433,O477)</f>
        <v>129015910.71000001</v>
      </c>
      <c r="S298" s="6">
        <f>SUM(S299,S389,S410,S433,S477)</f>
        <v>58617329.380000003</v>
      </c>
      <c r="T298" s="6">
        <f>SUM(T299,T389,T410,T433,T477)</f>
        <v>101384812.51000001</v>
      </c>
      <c r="U298" s="6">
        <f>SUM(U299,U389,U410,U433,U477)</f>
        <v>160002141.88999999</v>
      </c>
      <c r="Y298" s="9">
        <f>SUM(Y299,Y389,Y410,Y433,Y477)</f>
        <v>48847774.49000001</v>
      </c>
      <c r="Z298" s="9">
        <f>SUM(Z299,Z389,Z410,Z433,Z477)</f>
        <v>84487343.780000001</v>
      </c>
      <c r="AA298" s="9">
        <f>SUM(AA299,AA389,AA410,AA433,AA477)</f>
        <v>133335118.27</v>
      </c>
      <c r="AD298" s="4">
        <v>320319859</v>
      </c>
      <c r="AE298" s="4">
        <v>28036994</v>
      </c>
    </row>
    <row r="299" spans="1:35" ht="16.95" customHeight="1" x14ac:dyDescent="0.3">
      <c r="A299" s="10" t="s">
        <v>1468</v>
      </c>
      <c r="B299" s="10" t="s">
        <v>327</v>
      </c>
      <c r="C299" s="237" t="s">
        <v>328</v>
      </c>
      <c r="D299" s="238"/>
      <c r="E299" s="238"/>
      <c r="F299" s="238"/>
      <c r="G299" s="238"/>
      <c r="H299" s="238"/>
      <c r="I299" s="239"/>
      <c r="M299" s="6">
        <f>SUM(M300,M312,M335)</f>
        <v>34126450.009999998</v>
      </c>
      <c r="N299" s="6">
        <f>SUM(N300,N312,N335)</f>
        <v>30700028.98</v>
      </c>
      <c r="O299" s="6">
        <f>SUM(O300,O312,O335)</f>
        <v>64826478.99000001</v>
      </c>
      <c r="S299" s="6">
        <f>SUM(S300,S312,S335)</f>
        <v>37514251.740000002</v>
      </c>
      <c r="T299" s="6">
        <f>SUM(T300,T312,T335)</f>
        <v>43857158.939999998</v>
      </c>
      <c r="U299" s="6">
        <f>SUM(U300,U312,U335)</f>
        <v>81371410.680000007</v>
      </c>
      <c r="Y299" s="9">
        <f>SUM(Y300,Y312,Y335)</f>
        <v>31261876.440000001</v>
      </c>
      <c r="Z299" s="9">
        <f>SUM(Z300,Z312,Z335)</f>
        <v>36547632.469999999</v>
      </c>
      <c r="AA299" s="9">
        <f>SUM(AA300,AA312,AA335)</f>
        <v>67809508.909999996</v>
      </c>
      <c r="AD299" s="4">
        <v>320319860</v>
      </c>
      <c r="AE299" s="4">
        <v>28036995</v>
      </c>
    </row>
    <row r="300" spans="1:35" ht="16.95" customHeight="1" x14ac:dyDescent="0.3">
      <c r="A300" s="10" t="s">
        <v>1469</v>
      </c>
      <c r="B300" s="10" t="s">
        <v>330</v>
      </c>
      <c r="C300" s="237" t="s">
        <v>331</v>
      </c>
      <c r="D300" s="238"/>
      <c r="E300" s="238"/>
      <c r="F300" s="238"/>
      <c r="G300" s="238"/>
      <c r="H300" s="238"/>
      <c r="I300" s="239"/>
      <c r="M300" s="6">
        <f>SUM(M301,M303,M308)</f>
        <v>4733357.34</v>
      </c>
      <c r="N300" s="6">
        <f>SUM(N301,N303,N308)</f>
        <v>7086781.1900000004</v>
      </c>
      <c r="O300" s="6">
        <f>SUM(O301,O303,O308)</f>
        <v>11820138.530000001</v>
      </c>
      <c r="S300" s="6">
        <f>SUM(S301,S303,S308)</f>
        <v>4733357.34</v>
      </c>
      <c r="T300" s="6">
        <f>SUM(T301,T303,T308)</f>
        <v>10123937.18</v>
      </c>
      <c r="U300" s="6">
        <f>SUM(U301,U303,U308)</f>
        <v>14857294.52</v>
      </c>
      <c r="Y300" s="9">
        <f>SUM(Y301,Y303,Y308)</f>
        <v>3944464.45</v>
      </c>
      <c r="Z300" s="9">
        <f>SUM(Z301,Z303,Z308)</f>
        <v>8436614.3200000003</v>
      </c>
      <c r="AA300" s="9">
        <f>SUM(AA301,AA303,AA308)</f>
        <v>12381078.77</v>
      </c>
      <c r="AD300" s="4">
        <v>320319861</v>
      </c>
      <c r="AE300" s="4">
        <v>28036993</v>
      </c>
    </row>
    <row r="301" spans="1:35" ht="36" x14ac:dyDescent="0.3">
      <c r="A301" s="10" t="s">
        <v>1470</v>
      </c>
      <c r="B301" s="10" t="s">
        <v>333</v>
      </c>
      <c r="C301" s="11" t="s">
        <v>334</v>
      </c>
      <c r="D301" s="12"/>
      <c r="E301" s="12"/>
      <c r="F301" s="12" t="s">
        <v>61</v>
      </c>
      <c r="G301" s="13">
        <v>1</v>
      </c>
      <c r="H301" s="13"/>
      <c r="I301" s="13">
        <v>22.6</v>
      </c>
      <c r="J301" s="14">
        <f>IFERROR(ROUND(SUM(M302)/I301, 2),0)</f>
        <v>52.29</v>
      </c>
      <c r="K301" s="15">
        <v>40</v>
      </c>
      <c r="L301" s="14">
        <f>J301+ROUND(K301, 2)</f>
        <v>92.289999999999992</v>
      </c>
      <c r="M301" s="14">
        <f>ROUND(J301*I301, 2)</f>
        <v>1181.75</v>
      </c>
      <c r="N301" s="14">
        <f>ROUND(I301*ROUND(K301, 2), 2)</f>
        <v>904</v>
      </c>
      <c r="O301" s="14">
        <f>M301+N301</f>
        <v>2085.75</v>
      </c>
      <c r="P301" s="14">
        <f>IFERROR(ROUND(SUM(S302)/I301, 2),0)</f>
        <v>52.29</v>
      </c>
      <c r="Q301" s="16">
        <v>57.14</v>
      </c>
      <c r="R301" s="14">
        <f>P301+ROUND(Q301, 2)</f>
        <v>109.43</v>
      </c>
      <c r="S301" s="14">
        <f>ROUND(P301*I301, 2)</f>
        <v>1181.75</v>
      </c>
      <c r="T301" s="14">
        <f>ROUND(I301*ROUND(Q301, 2), 2)</f>
        <v>1291.3599999999999</v>
      </c>
      <c r="U301" s="14">
        <f>S301+T301</f>
        <v>2473.1099999999997</v>
      </c>
      <c r="V301" s="9">
        <f>ROUND(P301 / 1.2, 2)</f>
        <v>43.58</v>
      </c>
      <c r="W301" s="9">
        <f>ROUND(Q301 / 1.2, 2)</f>
        <v>47.62</v>
      </c>
      <c r="X301" s="9">
        <f>ROUND(R301 / 1.2, 2)</f>
        <v>91.19</v>
      </c>
      <c r="Y301" s="9">
        <f>ROUND(S301 / 1.2, 2)</f>
        <v>984.79</v>
      </c>
      <c r="Z301" s="9">
        <f>ROUND(T301 / 1.2, 2)</f>
        <v>1076.1300000000001</v>
      </c>
      <c r="AA301" s="9">
        <f>Y301+Z301</f>
        <v>2060.92</v>
      </c>
      <c r="AD301" s="4">
        <v>320319863</v>
      </c>
      <c r="AE301" s="4">
        <v>28036992</v>
      </c>
      <c r="AG301" s="4" t="s">
        <v>336</v>
      </c>
      <c r="AH301" s="4" t="s">
        <v>337</v>
      </c>
      <c r="AI301" s="4" t="s">
        <v>338</v>
      </c>
    </row>
    <row r="302" spans="1:35" ht="36" x14ac:dyDescent="0.3">
      <c r="A302" s="10" t="s">
        <v>1471</v>
      </c>
      <c r="B302" s="10"/>
      <c r="C302" s="28" t="s">
        <v>341</v>
      </c>
      <c r="D302" s="12"/>
      <c r="E302" s="12" t="s">
        <v>1472</v>
      </c>
      <c r="F302" s="29" t="s">
        <v>61</v>
      </c>
      <c r="G302" s="30">
        <v>1.1000000000000001</v>
      </c>
      <c r="H302" s="30"/>
      <c r="I302" s="30">
        <v>24.86</v>
      </c>
      <c r="J302" s="31">
        <v>47.54</v>
      </c>
      <c r="M302" s="32">
        <f>ROUND(ROUND(J302, 2)*I302, 2)</f>
        <v>1181.8399999999999</v>
      </c>
      <c r="P302" s="33">
        <v>47.54</v>
      </c>
      <c r="S302" s="32">
        <f>ROUND(ROUND(P302, 2)*I302, 2)</f>
        <v>1181.8399999999999</v>
      </c>
      <c r="V302" s="9">
        <f>ROUND(ROUND(P302, 2)/1.2, 2)</f>
        <v>39.619999999999997</v>
      </c>
      <c r="Y302" s="9">
        <f t="shared" ref="Y302:Y311" si="31">ROUND(S302 / 1.2, 2)</f>
        <v>984.87</v>
      </c>
      <c r="AD302" s="4" t="s">
        <v>1473</v>
      </c>
      <c r="AE302" s="4" t="s">
        <v>1474</v>
      </c>
      <c r="AF302" s="4" t="s">
        <v>344</v>
      </c>
    </row>
    <row r="303" spans="1:35" ht="36" x14ac:dyDescent="0.3">
      <c r="A303" s="10" t="s">
        <v>1475</v>
      </c>
      <c r="B303" s="10" t="s">
        <v>348</v>
      </c>
      <c r="C303" s="11" t="s">
        <v>349</v>
      </c>
      <c r="D303" s="12"/>
      <c r="E303" s="12" t="s">
        <v>350</v>
      </c>
      <c r="F303" s="12" t="s">
        <v>61</v>
      </c>
      <c r="G303" s="13">
        <v>1</v>
      </c>
      <c r="H303" s="13"/>
      <c r="I303" s="13">
        <v>7788.8</v>
      </c>
      <c r="J303" s="14">
        <f>IFERROR(ROUND(SUM(M304,M305,M306,M307)/I303, 2),0)</f>
        <v>594.65</v>
      </c>
      <c r="K303" s="15">
        <v>868.01</v>
      </c>
      <c r="L303" s="14">
        <f>J303+ROUND(K303, 2)</f>
        <v>1462.6599999999999</v>
      </c>
      <c r="M303" s="14">
        <f>ROUND(J303*I303, 2)</f>
        <v>4631609.92</v>
      </c>
      <c r="N303" s="14">
        <f>ROUND(I303*ROUND(K303, 2), 2)</f>
        <v>6760756.29</v>
      </c>
      <c r="O303" s="14">
        <f>M303+N303</f>
        <v>11392366.210000001</v>
      </c>
      <c r="P303" s="14">
        <f>IFERROR(ROUND(SUM(S304,S305,S306,S307)/I303, 2),0)</f>
        <v>594.65</v>
      </c>
      <c r="Q303" s="16">
        <v>1240.01</v>
      </c>
      <c r="R303" s="14">
        <f>P303+ROUND(Q303, 2)</f>
        <v>1834.6599999999999</v>
      </c>
      <c r="S303" s="14">
        <f>ROUND(P303*I303, 2)</f>
        <v>4631609.92</v>
      </c>
      <c r="T303" s="14">
        <f>ROUND(I303*ROUND(Q303, 2), 2)</f>
        <v>9658189.8900000006</v>
      </c>
      <c r="U303" s="14">
        <f>S303+T303</f>
        <v>14289799.810000001</v>
      </c>
      <c r="V303" s="9">
        <f>ROUND(P303 / 1.2, 2)</f>
        <v>495.54</v>
      </c>
      <c r="W303" s="9">
        <f>ROUND(Q303 / 1.2, 2)</f>
        <v>1033.3399999999999</v>
      </c>
      <c r="X303" s="9">
        <f>ROUND(R303 / 1.2, 2)</f>
        <v>1528.88</v>
      </c>
      <c r="Y303" s="9">
        <f t="shared" si="31"/>
        <v>3859674.93</v>
      </c>
      <c r="Z303" s="9">
        <f>ROUND(T303 / 1.2, 2)</f>
        <v>8048491.5800000001</v>
      </c>
      <c r="AA303" s="9">
        <f>Y303+Z303</f>
        <v>11908166.51</v>
      </c>
      <c r="AD303" s="4">
        <v>320319865</v>
      </c>
      <c r="AE303" s="4">
        <v>28037489</v>
      </c>
      <c r="AG303" s="4" t="s">
        <v>351</v>
      </c>
      <c r="AH303" s="4" t="s">
        <v>352</v>
      </c>
      <c r="AI303" s="4" t="s">
        <v>338</v>
      </c>
    </row>
    <row r="304" spans="1:35" ht="18" x14ac:dyDescent="0.3">
      <c r="A304" s="10" t="s">
        <v>1476</v>
      </c>
      <c r="B304" s="10"/>
      <c r="C304" s="28" t="s">
        <v>355</v>
      </c>
      <c r="D304" s="12"/>
      <c r="E304" s="12"/>
      <c r="F304" s="29" t="s">
        <v>356</v>
      </c>
      <c r="G304" s="30">
        <v>8</v>
      </c>
      <c r="H304" s="49"/>
      <c r="I304" s="49">
        <v>62310.400000000001</v>
      </c>
      <c r="J304" s="31">
        <v>2.54</v>
      </c>
      <c r="M304" s="32">
        <f>ROUND(ROUND(J304, 2)*I304, 2)</f>
        <v>158268.42000000001</v>
      </c>
      <c r="P304" s="33">
        <v>2.54</v>
      </c>
      <c r="S304" s="32">
        <f>ROUND(ROUND(P304, 2)*I304, 2)</f>
        <v>158268.42000000001</v>
      </c>
      <c r="V304" s="9">
        <f>ROUND(ROUND(P304, 2)/1.2, 2)</f>
        <v>2.12</v>
      </c>
      <c r="Y304" s="9">
        <f t="shared" si="31"/>
        <v>131890.35</v>
      </c>
      <c r="AD304" s="4" t="s">
        <v>1477</v>
      </c>
      <c r="AE304" s="4" t="s">
        <v>1478</v>
      </c>
      <c r="AF304" s="4" t="s">
        <v>359</v>
      </c>
    </row>
    <row r="305" spans="1:35" ht="18" x14ac:dyDescent="0.3">
      <c r="A305" s="10" t="s">
        <v>1479</v>
      </c>
      <c r="B305" s="10"/>
      <c r="C305" s="28" t="s">
        <v>363</v>
      </c>
      <c r="D305" s="12"/>
      <c r="E305" s="12"/>
      <c r="F305" s="29" t="s">
        <v>364</v>
      </c>
      <c r="G305" s="30">
        <v>1.8</v>
      </c>
      <c r="H305" s="49"/>
      <c r="I305" s="49">
        <v>560793.59999999998</v>
      </c>
      <c r="J305" s="31">
        <v>6.27</v>
      </c>
      <c r="M305" s="32">
        <f>ROUND(ROUND(J305, 2)*I305, 2)</f>
        <v>3516175.87</v>
      </c>
      <c r="P305" s="33">
        <v>6.27</v>
      </c>
      <c r="S305" s="32">
        <f>ROUND(ROUND(P305, 2)*I305, 2)</f>
        <v>3516175.87</v>
      </c>
      <c r="V305" s="9">
        <f>ROUND(ROUND(P305, 2)/1.2, 2)</f>
        <v>5.23</v>
      </c>
      <c r="Y305" s="9">
        <f t="shared" si="31"/>
        <v>2930146.56</v>
      </c>
      <c r="AD305" s="4" t="s">
        <v>1480</v>
      </c>
      <c r="AE305" s="4" t="s">
        <v>1481</v>
      </c>
      <c r="AF305" s="4" t="s">
        <v>367</v>
      </c>
    </row>
    <row r="306" spans="1:35" ht="18" x14ac:dyDescent="0.3">
      <c r="A306" s="10" t="s">
        <v>1482</v>
      </c>
      <c r="B306" s="10"/>
      <c r="C306" s="28" t="s">
        <v>371</v>
      </c>
      <c r="D306" s="12"/>
      <c r="E306" s="12"/>
      <c r="F306" s="29" t="s">
        <v>61</v>
      </c>
      <c r="G306" s="30">
        <v>1.1000000000000001</v>
      </c>
      <c r="H306" s="49"/>
      <c r="I306" s="49">
        <v>8567.68</v>
      </c>
      <c r="J306" s="31">
        <v>103.64</v>
      </c>
      <c r="M306" s="32">
        <f>ROUND(ROUND(J306, 2)*I306, 2)</f>
        <v>887954.36</v>
      </c>
      <c r="P306" s="33">
        <v>103.64</v>
      </c>
      <c r="S306" s="32">
        <f>ROUND(ROUND(P306, 2)*I306, 2)</f>
        <v>887954.36</v>
      </c>
      <c r="V306" s="9">
        <f>ROUND(ROUND(P306, 2)/1.2, 2)</f>
        <v>86.37</v>
      </c>
      <c r="Y306" s="9">
        <f t="shared" si="31"/>
        <v>739961.97</v>
      </c>
      <c r="AD306" s="4" t="s">
        <v>1483</v>
      </c>
      <c r="AE306" s="4" t="s">
        <v>1484</v>
      </c>
      <c r="AF306" s="4" t="s">
        <v>374</v>
      </c>
    </row>
    <row r="307" spans="1:35" ht="18" x14ac:dyDescent="0.3">
      <c r="A307" s="10" t="s">
        <v>1485</v>
      </c>
      <c r="B307" s="10"/>
      <c r="C307" s="28" t="s">
        <v>378</v>
      </c>
      <c r="D307" s="12"/>
      <c r="E307" s="12"/>
      <c r="F307" s="29" t="s">
        <v>76</v>
      </c>
      <c r="G307" s="30">
        <v>1</v>
      </c>
      <c r="H307" s="49"/>
      <c r="I307" s="49">
        <v>6544</v>
      </c>
      <c r="J307" s="31">
        <v>10.58</v>
      </c>
      <c r="M307" s="32">
        <f>ROUND(ROUND(J307, 2)*I307, 2)</f>
        <v>69235.520000000004</v>
      </c>
      <c r="P307" s="33">
        <v>10.58</v>
      </c>
      <c r="S307" s="32">
        <f>ROUND(ROUND(P307, 2)*I307, 2)</f>
        <v>69235.520000000004</v>
      </c>
      <c r="V307" s="9">
        <f>ROUND(ROUND(P307, 2)/1.2, 2)</f>
        <v>8.82</v>
      </c>
      <c r="Y307" s="9">
        <f t="shared" si="31"/>
        <v>57696.27</v>
      </c>
      <c r="AD307" s="4" t="s">
        <v>1486</v>
      </c>
      <c r="AE307" s="4" t="s">
        <v>1487</v>
      </c>
      <c r="AF307" s="4" t="s">
        <v>381</v>
      </c>
    </row>
    <row r="308" spans="1:35" ht="36" x14ac:dyDescent="0.3">
      <c r="A308" s="10" t="s">
        <v>1488</v>
      </c>
      <c r="B308" s="10" t="s">
        <v>385</v>
      </c>
      <c r="C308" s="11" t="s">
        <v>386</v>
      </c>
      <c r="D308" s="12"/>
      <c r="E308" s="12" t="s">
        <v>1489</v>
      </c>
      <c r="F308" s="12" t="s">
        <v>61</v>
      </c>
      <c r="G308" s="13">
        <v>1</v>
      </c>
      <c r="H308" s="13"/>
      <c r="I308" s="13">
        <v>583.70000000000005</v>
      </c>
      <c r="J308" s="14">
        <f>IFERROR(ROUND(SUM(M309,M310,M311)/I308, 2),0)</f>
        <v>172.29</v>
      </c>
      <c r="K308" s="15">
        <v>557</v>
      </c>
      <c r="L308" s="14">
        <f>J308+ROUND(K308, 2)</f>
        <v>729.29</v>
      </c>
      <c r="M308" s="14">
        <f>ROUND(J308*I308, 2)</f>
        <v>100565.67</v>
      </c>
      <c r="N308" s="14">
        <f>ROUND(I308*ROUND(K308, 2), 2)</f>
        <v>325120.90000000002</v>
      </c>
      <c r="O308" s="14">
        <f>M308+N308</f>
        <v>425686.57</v>
      </c>
      <c r="P308" s="14">
        <f>IFERROR(ROUND(SUM(S309,S310,S311)/I308, 2),0)</f>
        <v>172.29</v>
      </c>
      <c r="Q308" s="16">
        <v>795.71</v>
      </c>
      <c r="R308" s="14">
        <f>P308+ROUND(Q308, 2)</f>
        <v>968</v>
      </c>
      <c r="S308" s="14">
        <f>ROUND(P308*I308, 2)</f>
        <v>100565.67</v>
      </c>
      <c r="T308" s="14">
        <f>ROUND(I308*ROUND(Q308, 2), 2)</f>
        <v>464455.93</v>
      </c>
      <c r="U308" s="14">
        <f>S308+T308</f>
        <v>565021.6</v>
      </c>
      <c r="V308" s="9">
        <f>ROUND(P308 / 1.2, 2)</f>
        <v>143.58000000000001</v>
      </c>
      <c r="W308" s="9">
        <f>ROUND(Q308 / 1.2, 2)</f>
        <v>663.09</v>
      </c>
      <c r="X308" s="9">
        <f>ROUND(R308 / 1.2, 2)</f>
        <v>806.67</v>
      </c>
      <c r="Y308" s="9">
        <f t="shared" si="31"/>
        <v>83804.73</v>
      </c>
      <c r="Z308" s="9">
        <f>ROUND(T308 / 1.2, 2)</f>
        <v>387046.61</v>
      </c>
      <c r="AA308" s="9">
        <f>Y308+Z308</f>
        <v>470851.33999999997</v>
      </c>
      <c r="AD308" s="4">
        <v>320319867</v>
      </c>
      <c r="AE308" s="4">
        <v>28037490</v>
      </c>
      <c r="AG308" s="4" t="s">
        <v>388</v>
      </c>
      <c r="AH308" s="4" t="s">
        <v>389</v>
      </c>
      <c r="AI308" s="4" t="s">
        <v>338</v>
      </c>
    </row>
    <row r="309" spans="1:35" ht="18" x14ac:dyDescent="0.3">
      <c r="A309" s="10" t="s">
        <v>1490</v>
      </c>
      <c r="B309" s="10"/>
      <c r="C309" s="28" t="s">
        <v>378</v>
      </c>
      <c r="D309" s="12"/>
      <c r="E309" s="12"/>
      <c r="F309" s="29" t="s">
        <v>76</v>
      </c>
      <c r="G309" s="30">
        <v>1</v>
      </c>
      <c r="H309" s="49"/>
      <c r="I309" s="49">
        <v>96.64</v>
      </c>
      <c r="J309" s="31">
        <v>10.58</v>
      </c>
      <c r="M309" s="32">
        <f>ROUND(ROUND(J309, 2)*I309, 2)</f>
        <v>1022.45</v>
      </c>
      <c r="P309" s="33">
        <v>10.58</v>
      </c>
      <c r="S309" s="32">
        <f>ROUND(ROUND(P309, 2)*I309, 2)</f>
        <v>1022.45</v>
      </c>
      <c r="V309" s="9">
        <f>ROUND(ROUND(P309, 2)/1.2, 2)</f>
        <v>8.82</v>
      </c>
      <c r="Y309" s="9">
        <f t="shared" si="31"/>
        <v>852.04</v>
      </c>
      <c r="AD309" s="4" t="s">
        <v>1491</v>
      </c>
      <c r="AE309" s="4" t="s">
        <v>1492</v>
      </c>
      <c r="AF309" s="4" t="s">
        <v>381</v>
      </c>
    </row>
    <row r="310" spans="1:35" ht="36" x14ac:dyDescent="0.3">
      <c r="A310" s="10" t="s">
        <v>1493</v>
      </c>
      <c r="B310" s="10"/>
      <c r="C310" s="28" t="s">
        <v>397</v>
      </c>
      <c r="D310" s="12"/>
      <c r="E310" s="12"/>
      <c r="F310" s="29" t="s">
        <v>364</v>
      </c>
      <c r="G310" s="30">
        <v>0.255</v>
      </c>
      <c r="H310" s="30"/>
      <c r="I310" s="30">
        <v>148.84399999999999</v>
      </c>
      <c r="J310" s="31">
        <v>90.28</v>
      </c>
      <c r="M310" s="32">
        <f>ROUND(ROUND(J310, 2)*I310, 2)</f>
        <v>13437.64</v>
      </c>
      <c r="P310" s="33">
        <v>90.28</v>
      </c>
      <c r="S310" s="32">
        <f>ROUND(ROUND(P310, 2)*I310, 2)</f>
        <v>13437.64</v>
      </c>
      <c r="V310" s="9">
        <f>ROUND(ROUND(P310, 2)/1.2, 2)</f>
        <v>75.23</v>
      </c>
      <c r="Y310" s="9">
        <f t="shared" si="31"/>
        <v>11198.03</v>
      </c>
      <c r="AD310" s="4" t="s">
        <v>1494</v>
      </c>
      <c r="AE310" s="4" t="s">
        <v>1495</v>
      </c>
      <c r="AF310" s="4" t="s">
        <v>400</v>
      </c>
    </row>
    <row r="311" spans="1:35" ht="36" x14ac:dyDescent="0.3">
      <c r="A311" s="10" t="s">
        <v>1496</v>
      </c>
      <c r="B311" s="10"/>
      <c r="C311" s="47" t="s">
        <v>404</v>
      </c>
      <c r="D311" s="12"/>
      <c r="E311" s="12"/>
      <c r="F311" s="29" t="s">
        <v>364</v>
      </c>
      <c r="G311" s="30">
        <v>1.6</v>
      </c>
      <c r="H311" s="49"/>
      <c r="I311" s="49">
        <v>9339.2000000000007</v>
      </c>
      <c r="J311" s="31">
        <v>9.2200000000000006</v>
      </c>
      <c r="M311" s="32">
        <f>ROUND(ROUND(J311, 2)*I311, 2)</f>
        <v>86107.42</v>
      </c>
      <c r="P311" s="33">
        <v>9.2200000000000006</v>
      </c>
      <c r="S311" s="32">
        <f>ROUND(ROUND(P311, 2)*I311, 2)</f>
        <v>86107.42</v>
      </c>
      <c r="V311" s="9">
        <f>ROUND(ROUND(P311, 2)/1.2, 2)</f>
        <v>7.68</v>
      </c>
      <c r="Y311" s="9">
        <f t="shared" si="31"/>
        <v>71756.179999999993</v>
      </c>
      <c r="AD311" s="4" t="s">
        <v>1497</v>
      </c>
      <c r="AE311" s="4" t="s">
        <v>1498</v>
      </c>
      <c r="AF311" s="4" t="s">
        <v>407</v>
      </c>
    </row>
    <row r="312" spans="1:35" ht="16.95" customHeight="1" x14ac:dyDescent="0.3">
      <c r="A312" s="10" t="s">
        <v>1499</v>
      </c>
      <c r="B312" s="10" t="s">
        <v>411</v>
      </c>
      <c r="C312" s="237" t="s">
        <v>412</v>
      </c>
      <c r="D312" s="238"/>
      <c r="E312" s="238"/>
      <c r="F312" s="238"/>
      <c r="G312" s="238"/>
      <c r="H312" s="238"/>
      <c r="I312" s="239"/>
      <c r="M312" s="6">
        <f>SUM(M313,M315,M317,M319,M321,M323,M325,M327,M329,M331,M333)</f>
        <v>4384891.08</v>
      </c>
      <c r="N312" s="6">
        <f>SUM(N313,N315,N317,N319,N321,N323,N325,N327,N329,N331,N333)</f>
        <v>3555938.4500000011</v>
      </c>
      <c r="O312" s="6">
        <f>SUM(O313,O315,O317,O319,O321,O323,O325,O327,O329,O331,O333)</f>
        <v>7940829.5300000003</v>
      </c>
      <c r="S312" s="6">
        <f>SUM(S313,S315,S317,S319,S321,S323,S325,S327,S329,S331,S333)</f>
        <v>4384891.08</v>
      </c>
      <c r="T312" s="6">
        <f>SUM(T313,T315,T317,T319,T321,T323,T325,T327,T329,T331,T333)</f>
        <v>5079909.82</v>
      </c>
      <c r="U312" s="6">
        <f>SUM(U313,U315,U317,U319,U321,U323,U325,U327,U329,U331,U333)</f>
        <v>9464800.9000000004</v>
      </c>
      <c r="Y312" s="9">
        <f>SUM(Y313,Y315,Y317,Y319,Y321,Y323,Y325,Y327,Y329,Y331,Y333)</f>
        <v>3654075.8900000006</v>
      </c>
      <c r="Z312" s="9">
        <f>SUM(Z313,Z315,Z317,Z319,Z321,Z323,Z325,Z327,Z329,Z331,Z333)</f>
        <v>4233258.18</v>
      </c>
      <c r="AA312" s="9">
        <f>SUM(AA313,AA315,AA317,AA319,AA321,AA323,AA325,AA327,AA329,AA331,AA333)</f>
        <v>7887334.0699999994</v>
      </c>
      <c r="AD312" s="4">
        <v>320319868</v>
      </c>
      <c r="AE312" s="4">
        <v>28037655</v>
      </c>
    </row>
    <row r="313" spans="1:35" ht="54" x14ac:dyDescent="0.3">
      <c r="A313" s="10" t="s">
        <v>1500</v>
      </c>
      <c r="B313" s="10" t="s">
        <v>414</v>
      </c>
      <c r="C313" s="11" t="s">
        <v>415</v>
      </c>
      <c r="D313" s="12"/>
      <c r="E313" s="12" t="s">
        <v>416</v>
      </c>
      <c r="F313" s="12" t="s">
        <v>61</v>
      </c>
      <c r="G313" s="13">
        <v>1</v>
      </c>
      <c r="H313" s="13"/>
      <c r="I313" s="13">
        <v>168.4</v>
      </c>
      <c r="J313" s="14">
        <f>IFERROR(ROUND(SUM(M314)/I313, 2),0)</f>
        <v>1014.44</v>
      </c>
      <c r="K313" s="15">
        <v>162</v>
      </c>
      <c r="L313" s="14">
        <f>J313+ROUND(K313, 2)</f>
        <v>1176.44</v>
      </c>
      <c r="M313" s="14">
        <f>ROUND(J313*I313, 2)</f>
        <v>170831.7</v>
      </c>
      <c r="N313" s="14">
        <f>ROUND(I313*ROUND(K313, 2), 2)</f>
        <v>27280.799999999999</v>
      </c>
      <c r="O313" s="14">
        <f>M313+N313</f>
        <v>198112.5</v>
      </c>
      <c r="P313" s="14">
        <f>IFERROR(ROUND(SUM(S314)/I313, 2),0)</f>
        <v>1014.44</v>
      </c>
      <c r="Q313" s="16">
        <v>231.43</v>
      </c>
      <c r="R313" s="14">
        <f>P313+ROUND(Q313, 2)</f>
        <v>1245.8700000000001</v>
      </c>
      <c r="S313" s="14">
        <f>ROUND(P313*I313, 2)</f>
        <v>170831.7</v>
      </c>
      <c r="T313" s="14">
        <f>ROUND(I313*ROUND(Q313, 2), 2)</f>
        <v>38972.81</v>
      </c>
      <c r="U313" s="14">
        <f>S313+T313</f>
        <v>209804.51</v>
      </c>
      <c r="V313" s="9">
        <f>ROUND(P313 / 1.2, 2)</f>
        <v>845.37</v>
      </c>
      <c r="W313" s="9">
        <f>ROUND(Q313 / 1.2, 2)</f>
        <v>192.86</v>
      </c>
      <c r="X313" s="9">
        <f>ROUND(R313 / 1.2, 2)</f>
        <v>1038.23</v>
      </c>
      <c r="Y313" s="9">
        <f>ROUND(S313 / 1.2, 2)</f>
        <v>142359.75</v>
      </c>
      <c r="Z313" s="9">
        <f>ROUND(T313 / 1.2, 2)</f>
        <v>32477.34</v>
      </c>
      <c r="AA313" s="9">
        <f>Y313+Z313</f>
        <v>174837.09</v>
      </c>
      <c r="AD313" s="4">
        <v>320319870</v>
      </c>
      <c r="AE313" s="4">
        <v>28037659</v>
      </c>
      <c r="AG313" s="4" t="s">
        <v>417</v>
      </c>
      <c r="AH313" s="4" t="s">
        <v>418</v>
      </c>
      <c r="AI313" s="4" t="s">
        <v>338</v>
      </c>
    </row>
    <row r="314" spans="1:35" ht="36" x14ac:dyDescent="0.3">
      <c r="A314" s="10" t="s">
        <v>1501</v>
      </c>
      <c r="B314" s="10"/>
      <c r="C314" s="28" t="s">
        <v>421</v>
      </c>
      <c r="D314" s="12"/>
      <c r="E314" s="12"/>
      <c r="F314" s="29" t="s">
        <v>364</v>
      </c>
      <c r="G314" s="30">
        <v>1</v>
      </c>
      <c r="H314" s="30"/>
      <c r="I314" s="30">
        <v>168.4</v>
      </c>
      <c r="J314" s="31">
        <v>1014.44</v>
      </c>
      <c r="M314" s="32">
        <f>ROUND(ROUND(J314, 2)*I314, 2)</f>
        <v>170831.7</v>
      </c>
      <c r="P314" s="33">
        <v>1014.44</v>
      </c>
      <c r="S314" s="32">
        <f>ROUND(ROUND(P314, 2)*I314, 2)</f>
        <v>170831.7</v>
      </c>
      <c r="V314" s="9">
        <f>ROUND(ROUND(P314, 2)/1.2, 2)</f>
        <v>845.37</v>
      </c>
      <c r="Y314" s="9">
        <f t="shared" ref="Y314:Y334" si="32">ROUND(S314 / 1.2, 2)</f>
        <v>142359.75</v>
      </c>
      <c r="AD314" s="4" t="s">
        <v>1502</v>
      </c>
      <c r="AE314" s="4" t="s">
        <v>1503</v>
      </c>
      <c r="AF314" s="4" t="s">
        <v>424</v>
      </c>
    </row>
    <row r="315" spans="1:35" ht="54" x14ac:dyDescent="0.3">
      <c r="A315" s="10" t="s">
        <v>1504</v>
      </c>
      <c r="B315" s="10" t="s">
        <v>428</v>
      </c>
      <c r="C315" s="11" t="s">
        <v>429</v>
      </c>
      <c r="D315" s="12"/>
      <c r="E315" s="12" t="s">
        <v>1505</v>
      </c>
      <c r="F315" s="12" t="s">
        <v>61</v>
      </c>
      <c r="G315" s="13">
        <v>1</v>
      </c>
      <c r="H315" s="13"/>
      <c r="I315" s="13">
        <v>549.6</v>
      </c>
      <c r="J315" s="14">
        <f>IFERROR(ROUND(SUM(M316)/I315, 2),0)</f>
        <v>427.76</v>
      </c>
      <c r="K315" s="15">
        <v>324</v>
      </c>
      <c r="L315" s="14">
        <f>J315+ROUND(K315, 2)</f>
        <v>751.76</v>
      </c>
      <c r="M315" s="14">
        <f>ROUND(J315*I315, 2)</f>
        <v>235096.9</v>
      </c>
      <c r="N315" s="14">
        <f>ROUND(I315*ROUND(K315, 2), 2)</f>
        <v>178070.39999999999</v>
      </c>
      <c r="O315" s="14">
        <f>M315+N315</f>
        <v>413167.3</v>
      </c>
      <c r="P315" s="14">
        <f>IFERROR(ROUND(SUM(S316)/I315, 2),0)</f>
        <v>427.76</v>
      </c>
      <c r="Q315" s="16">
        <v>462.86</v>
      </c>
      <c r="R315" s="14">
        <f>P315+ROUND(Q315, 2)</f>
        <v>890.62</v>
      </c>
      <c r="S315" s="14">
        <f>ROUND(P315*I315, 2)</f>
        <v>235096.9</v>
      </c>
      <c r="T315" s="14">
        <f>ROUND(I315*ROUND(Q315, 2), 2)</f>
        <v>254387.86</v>
      </c>
      <c r="U315" s="14">
        <f>S315+T315</f>
        <v>489484.76</v>
      </c>
      <c r="V315" s="9">
        <f>ROUND(P315 / 1.2, 2)</f>
        <v>356.47</v>
      </c>
      <c r="W315" s="9">
        <f>ROUND(Q315 / 1.2, 2)</f>
        <v>385.72</v>
      </c>
      <c r="X315" s="9">
        <f>ROUND(R315 / 1.2, 2)</f>
        <v>742.18</v>
      </c>
      <c r="Y315" s="9">
        <f t="shared" si="32"/>
        <v>195914.08</v>
      </c>
      <c r="Z315" s="9">
        <f>ROUND(T315 / 1.2, 2)</f>
        <v>211989.88</v>
      </c>
      <c r="AA315" s="9">
        <f>Y315+Z315</f>
        <v>407903.95999999996</v>
      </c>
      <c r="AD315" s="4">
        <v>320319871</v>
      </c>
      <c r="AE315" s="4">
        <v>28037658</v>
      </c>
      <c r="AG315" s="4" t="s">
        <v>431</v>
      </c>
      <c r="AH315" s="4" t="s">
        <v>432</v>
      </c>
      <c r="AI315" s="4" t="s">
        <v>338</v>
      </c>
    </row>
    <row r="316" spans="1:35" ht="18" x14ac:dyDescent="0.3">
      <c r="A316" s="10" t="s">
        <v>1506</v>
      </c>
      <c r="B316" s="10"/>
      <c r="C316" s="28" t="s">
        <v>435</v>
      </c>
      <c r="D316" s="12"/>
      <c r="E316" s="12"/>
      <c r="F316" s="29" t="s">
        <v>364</v>
      </c>
      <c r="G316" s="30">
        <v>4.3</v>
      </c>
      <c r="H316" s="30"/>
      <c r="I316" s="30">
        <v>2363.2800000000002</v>
      </c>
      <c r="J316" s="31">
        <v>99.48</v>
      </c>
      <c r="M316" s="32">
        <f>ROUND(ROUND(J316, 2)*I316, 2)</f>
        <v>235099.09</v>
      </c>
      <c r="P316" s="33">
        <v>99.48</v>
      </c>
      <c r="S316" s="32">
        <f>ROUND(ROUND(P316, 2)*I316, 2)</f>
        <v>235099.09</v>
      </c>
      <c r="V316" s="9">
        <f>ROUND(ROUND(P316, 2)/1.2, 2)</f>
        <v>82.9</v>
      </c>
      <c r="Y316" s="9">
        <f t="shared" si="32"/>
        <v>195915.91</v>
      </c>
      <c r="AD316" s="4" t="s">
        <v>1507</v>
      </c>
      <c r="AE316" s="4" t="s">
        <v>1508</v>
      </c>
      <c r="AF316" s="4" t="s">
        <v>438</v>
      </c>
    </row>
    <row r="317" spans="1:35" ht="54" x14ac:dyDescent="0.3">
      <c r="A317" s="10" t="s">
        <v>1509</v>
      </c>
      <c r="B317" s="10" t="s">
        <v>442</v>
      </c>
      <c r="C317" s="11" t="s">
        <v>443</v>
      </c>
      <c r="D317" s="12"/>
      <c r="E317" s="12" t="s">
        <v>1510</v>
      </c>
      <c r="F317" s="12" t="s">
        <v>61</v>
      </c>
      <c r="G317" s="13">
        <v>1</v>
      </c>
      <c r="H317" s="13"/>
      <c r="I317" s="13">
        <v>1430.4</v>
      </c>
      <c r="J317" s="14">
        <f>IFERROR(ROUND(SUM(M318)/I317, 2),0)</f>
        <v>362.9</v>
      </c>
      <c r="K317" s="15">
        <v>580</v>
      </c>
      <c r="L317" s="14">
        <f>J317+ROUND(K317, 2)</f>
        <v>942.9</v>
      </c>
      <c r="M317" s="14">
        <f>ROUND(J317*I317, 2)</f>
        <v>519092.16</v>
      </c>
      <c r="N317" s="14">
        <f>ROUND(I317*ROUND(K317, 2), 2)</f>
        <v>829632</v>
      </c>
      <c r="O317" s="14">
        <f>M317+N317</f>
        <v>1348724.16</v>
      </c>
      <c r="P317" s="14">
        <f>IFERROR(ROUND(SUM(S318)/I317, 2),0)</f>
        <v>362.9</v>
      </c>
      <c r="Q317" s="16">
        <v>828.57</v>
      </c>
      <c r="R317" s="14">
        <f>P317+ROUND(Q317, 2)</f>
        <v>1191.47</v>
      </c>
      <c r="S317" s="14">
        <f>ROUND(P317*I317, 2)</f>
        <v>519092.16</v>
      </c>
      <c r="T317" s="14">
        <f>ROUND(I317*ROUND(Q317, 2), 2)</f>
        <v>1185186.53</v>
      </c>
      <c r="U317" s="14">
        <f>S317+T317</f>
        <v>1704278.69</v>
      </c>
      <c r="V317" s="9">
        <f>ROUND(P317 / 1.2, 2)</f>
        <v>302.42</v>
      </c>
      <c r="W317" s="9">
        <f>ROUND(Q317 / 1.2, 2)</f>
        <v>690.48</v>
      </c>
      <c r="X317" s="9">
        <f>ROUND(R317 / 1.2, 2)</f>
        <v>992.89</v>
      </c>
      <c r="Y317" s="9">
        <f t="shared" si="32"/>
        <v>432576.8</v>
      </c>
      <c r="Z317" s="9">
        <f>ROUND(T317 / 1.2, 2)</f>
        <v>987655.44</v>
      </c>
      <c r="AA317" s="9">
        <f>Y317+Z317</f>
        <v>1420232.24</v>
      </c>
      <c r="AD317" s="4">
        <v>320319873</v>
      </c>
      <c r="AE317" s="4">
        <v>28038746</v>
      </c>
      <c r="AG317" s="4" t="s">
        <v>445</v>
      </c>
      <c r="AH317" s="4" t="s">
        <v>446</v>
      </c>
      <c r="AI317" s="4" t="s">
        <v>338</v>
      </c>
    </row>
    <row r="318" spans="1:35" ht="18" x14ac:dyDescent="0.3">
      <c r="A318" s="10" t="s">
        <v>1511</v>
      </c>
      <c r="B318" s="10"/>
      <c r="C318" s="47" t="s">
        <v>463</v>
      </c>
      <c r="D318" s="12"/>
      <c r="E318" s="12"/>
      <c r="F318" s="29" t="s">
        <v>61</v>
      </c>
      <c r="G318" s="30">
        <v>1.1000000000000001</v>
      </c>
      <c r="H318" s="49"/>
      <c r="I318" s="49">
        <v>1573.44</v>
      </c>
      <c r="J318" s="31">
        <v>329.91</v>
      </c>
      <c r="M318" s="32">
        <f>ROUND(ROUND(J318, 2)*I318, 2)</f>
        <v>519093.59</v>
      </c>
      <c r="P318" s="33">
        <v>329.91</v>
      </c>
      <c r="S318" s="32">
        <f>ROUND(ROUND(P318, 2)*I318, 2)</f>
        <v>519093.59</v>
      </c>
      <c r="V318" s="9">
        <f>ROUND(ROUND(P318, 2)/1.2, 2)</f>
        <v>274.93</v>
      </c>
      <c r="Y318" s="9">
        <f t="shared" si="32"/>
        <v>432577.99</v>
      </c>
      <c r="AD318" s="4" t="s">
        <v>1512</v>
      </c>
      <c r="AE318" s="4" t="s">
        <v>1513</v>
      </c>
      <c r="AF318" s="4" t="s">
        <v>467</v>
      </c>
    </row>
    <row r="319" spans="1:35" ht="36" x14ac:dyDescent="0.3">
      <c r="A319" s="10" t="s">
        <v>1514</v>
      </c>
      <c r="B319" s="10" t="s">
        <v>456</v>
      </c>
      <c r="C319" s="11" t="s">
        <v>457</v>
      </c>
      <c r="D319" s="12"/>
      <c r="E319" s="12" t="s">
        <v>1515</v>
      </c>
      <c r="F319" s="12" t="s">
        <v>61</v>
      </c>
      <c r="G319" s="13">
        <v>1</v>
      </c>
      <c r="H319" s="13"/>
      <c r="I319" s="13">
        <v>220.5</v>
      </c>
      <c r="J319" s="14">
        <f>IFERROR(ROUND(SUM(M320)/I319, 2),0)</f>
        <v>692.81</v>
      </c>
      <c r="K319" s="15">
        <v>868.01</v>
      </c>
      <c r="L319" s="14">
        <f>J319+ROUND(K319, 2)</f>
        <v>1560.82</v>
      </c>
      <c r="M319" s="14">
        <f>ROUND(J319*I319, 2)</f>
        <v>152764.60999999999</v>
      </c>
      <c r="N319" s="14">
        <f>ROUND(I319*ROUND(K319, 2), 2)</f>
        <v>191396.21</v>
      </c>
      <c r="O319" s="14">
        <f>M319+N319</f>
        <v>344160.81999999995</v>
      </c>
      <c r="P319" s="14">
        <f>IFERROR(ROUND(SUM(S320)/I319, 2),0)</f>
        <v>692.81</v>
      </c>
      <c r="Q319" s="16">
        <v>1240.01</v>
      </c>
      <c r="R319" s="14">
        <f>P319+ROUND(Q319, 2)</f>
        <v>1932.82</v>
      </c>
      <c r="S319" s="14">
        <f>ROUND(P319*I319, 2)</f>
        <v>152764.60999999999</v>
      </c>
      <c r="T319" s="14">
        <f>ROUND(I319*ROUND(Q319, 2), 2)</f>
        <v>273422.21000000002</v>
      </c>
      <c r="U319" s="14">
        <f>S319+T319</f>
        <v>426186.82</v>
      </c>
      <c r="V319" s="9">
        <f>ROUND(P319 / 1.2, 2)</f>
        <v>577.34</v>
      </c>
      <c r="W319" s="9">
        <f>ROUND(Q319 / 1.2, 2)</f>
        <v>1033.3399999999999</v>
      </c>
      <c r="X319" s="9">
        <f>ROUND(R319 / 1.2, 2)</f>
        <v>1610.68</v>
      </c>
      <c r="Y319" s="9">
        <f t="shared" si="32"/>
        <v>127303.84</v>
      </c>
      <c r="Z319" s="9">
        <f>ROUND(T319 / 1.2, 2)</f>
        <v>227851.84</v>
      </c>
      <c r="AA319" s="9">
        <f>Y319+Z319</f>
        <v>355155.68</v>
      </c>
      <c r="AD319" s="4">
        <v>320319874</v>
      </c>
      <c r="AE319" s="4">
        <v>28038744</v>
      </c>
      <c r="AG319" s="4" t="s">
        <v>459</v>
      </c>
      <c r="AH319" s="4" t="s">
        <v>460</v>
      </c>
      <c r="AI319" s="4" t="s">
        <v>338</v>
      </c>
    </row>
    <row r="320" spans="1:35" ht="18" x14ac:dyDescent="0.3">
      <c r="A320" s="10" t="s">
        <v>1516</v>
      </c>
      <c r="B320" s="10"/>
      <c r="C320" s="47" t="s">
        <v>463</v>
      </c>
      <c r="D320" s="12"/>
      <c r="E320" s="12" t="s">
        <v>464</v>
      </c>
      <c r="F320" s="29" t="s">
        <v>61</v>
      </c>
      <c r="G320" s="30">
        <v>2.1</v>
      </c>
      <c r="H320" s="49"/>
      <c r="I320" s="49">
        <v>463.05</v>
      </c>
      <c r="J320" s="31">
        <v>329.91</v>
      </c>
      <c r="M320" s="32">
        <f>ROUND(ROUND(J320, 2)*I320, 2)</f>
        <v>152764.82999999999</v>
      </c>
      <c r="P320" s="33">
        <v>329.91</v>
      </c>
      <c r="S320" s="32">
        <f>ROUND(ROUND(P320, 2)*I320, 2)</f>
        <v>152764.82999999999</v>
      </c>
      <c r="V320" s="9">
        <f>ROUND(ROUND(P320, 2)/1.2, 2)</f>
        <v>274.93</v>
      </c>
      <c r="Y320" s="9">
        <f t="shared" si="32"/>
        <v>127304.03</v>
      </c>
      <c r="AD320" s="4" t="s">
        <v>1517</v>
      </c>
      <c r="AE320" s="4" t="s">
        <v>1518</v>
      </c>
      <c r="AF320" s="4" t="s">
        <v>467</v>
      </c>
    </row>
    <row r="321" spans="1:35" ht="36" x14ac:dyDescent="0.3">
      <c r="A321" s="10" t="s">
        <v>1519</v>
      </c>
      <c r="B321" s="10" t="s">
        <v>471</v>
      </c>
      <c r="C321" s="11" t="s">
        <v>472</v>
      </c>
      <c r="D321" s="12"/>
      <c r="E321" s="12" t="s">
        <v>1520</v>
      </c>
      <c r="F321" s="12" t="s">
        <v>91</v>
      </c>
      <c r="G321" s="13">
        <v>1</v>
      </c>
      <c r="H321" s="13"/>
      <c r="I321" s="13">
        <v>14.77</v>
      </c>
      <c r="J321" s="14">
        <f>IFERROR(ROUND(SUM(M322)/I321, 2),0)</f>
        <v>2644.28</v>
      </c>
      <c r="K321" s="15">
        <v>2157</v>
      </c>
      <c r="L321" s="14">
        <f>J321+ROUND(K321, 2)</f>
        <v>4801.2800000000007</v>
      </c>
      <c r="M321" s="14">
        <f>ROUND(J321*I321, 2)</f>
        <v>39056.019999999997</v>
      </c>
      <c r="N321" s="14">
        <f>ROUND(I321*ROUND(K321, 2), 2)</f>
        <v>31858.89</v>
      </c>
      <c r="O321" s="14">
        <f>M321+N321</f>
        <v>70914.91</v>
      </c>
      <c r="P321" s="14">
        <f>IFERROR(ROUND(SUM(S322)/I321, 2),0)</f>
        <v>2644.28</v>
      </c>
      <c r="Q321" s="16">
        <v>3081.43</v>
      </c>
      <c r="R321" s="14">
        <f>P321+ROUND(Q321, 2)</f>
        <v>5725.71</v>
      </c>
      <c r="S321" s="14">
        <f>ROUND(P321*I321, 2)</f>
        <v>39056.019999999997</v>
      </c>
      <c r="T321" s="14">
        <f>ROUND(I321*ROUND(Q321, 2), 2)</f>
        <v>45512.72</v>
      </c>
      <c r="U321" s="14">
        <f>S321+T321</f>
        <v>84568.739999999991</v>
      </c>
      <c r="V321" s="9">
        <f>ROUND(P321 / 1.2, 2)</f>
        <v>2203.5700000000002</v>
      </c>
      <c r="W321" s="9">
        <f>ROUND(Q321 / 1.2, 2)</f>
        <v>2567.86</v>
      </c>
      <c r="X321" s="9">
        <f>ROUND(R321 / 1.2, 2)</f>
        <v>4771.43</v>
      </c>
      <c r="Y321" s="9">
        <f t="shared" si="32"/>
        <v>32546.68</v>
      </c>
      <c r="Z321" s="9">
        <f>ROUND(T321 / 1.2, 2)</f>
        <v>37927.269999999997</v>
      </c>
      <c r="AA321" s="9">
        <f>Y321+Z321</f>
        <v>70473.95</v>
      </c>
      <c r="AD321" s="4">
        <v>320319876</v>
      </c>
      <c r="AE321" s="4">
        <v>28038745</v>
      </c>
      <c r="AG321" s="4" t="s">
        <v>474</v>
      </c>
      <c r="AH321" s="4" t="s">
        <v>475</v>
      </c>
      <c r="AI321" s="4" t="s">
        <v>338</v>
      </c>
    </row>
    <row r="322" spans="1:35" ht="18" x14ac:dyDescent="0.3">
      <c r="A322" s="10" t="s">
        <v>1521</v>
      </c>
      <c r="B322" s="10"/>
      <c r="C322" s="28" t="s">
        <v>478</v>
      </c>
      <c r="D322" s="12"/>
      <c r="E322" s="12"/>
      <c r="F322" s="29" t="s">
        <v>91</v>
      </c>
      <c r="G322" s="30">
        <v>1.02</v>
      </c>
      <c r="H322" s="30"/>
      <c r="I322" s="30">
        <v>15.065</v>
      </c>
      <c r="J322" s="31">
        <v>2592.5</v>
      </c>
      <c r="M322" s="32">
        <f>ROUND(ROUND(J322, 2)*I322, 2)</f>
        <v>39056.01</v>
      </c>
      <c r="P322" s="33">
        <v>2592.5</v>
      </c>
      <c r="S322" s="32">
        <f>ROUND(ROUND(P322, 2)*I322, 2)</f>
        <v>39056.01</v>
      </c>
      <c r="V322" s="9">
        <f>ROUND(ROUND(P322, 2)/1.2, 2)</f>
        <v>2160.42</v>
      </c>
      <c r="Y322" s="9">
        <f t="shared" si="32"/>
        <v>32546.68</v>
      </c>
      <c r="AD322" s="4" t="s">
        <v>1522</v>
      </c>
      <c r="AE322" s="4" t="s">
        <v>1523</v>
      </c>
      <c r="AF322" s="4" t="s">
        <v>481</v>
      </c>
    </row>
    <row r="323" spans="1:35" ht="36" x14ac:dyDescent="0.3">
      <c r="A323" s="10" t="s">
        <v>1524</v>
      </c>
      <c r="B323" s="10" t="s">
        <v>471</v>
      </c>
      <c r="C323" s="11" t="s">
        <v>472</v>
      </c>
      <c r="D323" s="12"/>
      <c r="E323" s="12" t="s">
        <v>1525</v>
      </c>
      <c r="F323" s="12" t="s">
        <v>91</v>
      </c>
      <c r="G323" s="13">
        <v>1</v>
      </c>
      <c r="H323" s="13"/>
      <c r="I323" s="13">
        <v>520.76</v>
      </c>
      <c r="J323" s="14">
        <f>IFERROR(ROUND(SUM(M324)/I323, 2),0)</f>
        <v>2644.35</v>
      </c>
      <c r="K323" s="15">
        <v>2157</v>
      </c>
      <c r="L323" s="14">
        <f>J323+ROUND(K323, 2)</f>
        <v>4801.3500000000004</v>
      </c>
      <c r="M323" s="14">
        <f>ROUND(J323*I323, 2)</f>
        <v>1377071.71</v>
      </c>
      <c r="N323" s="14">
        <f>ROUND(I323*ROUND(K323, 2), 2)</f>
        <v>1123279.32</v>
      </c>
      <c r="O323" s="14">
        <f>M323+N323</f>
        <v>2500351.0300000003</v>
      </c>
      <c r="P323" s="14">
        <f>IFERROR(ROUND(SUM(S324)/I323, 2),0)</f>
        <v>2644.35</v>
      </c>
      <c r="Q323" s="16">
        <v>3081.43</v>
      </c>
      <c r="R323" s="14">
        <f>P323+ROUND(Q323, 2)</f>
        <v>5725.78</v>
      </c>
      <c r="S323" s="14">
        <f>ROUND(P323*I323, 2)</f>
        <v>1377071.71</v>
      </c>
      <c r="T323" s="14">
        <f>ROUND(I323*ROUND(Q323, 2), 2)</f>
        <v>1604685.49</v>
      </c>
      <c r="U323" s="14">
        <f>S323+T323</f>
        <v>2981757.2</v>
      </c>
      <c r="V323" s="9">
        <f>ROUND(P323 / 1.2, 2)</f>
        <v>2203.63</v>
      </c>
      <c r="W323" s="9">
        <f>ROUND(Q323 / 1.2, 2)</f>
        <v>2567.86</v>
      </c>
      <c r="X323" s="9">
        <f>ROUND(R323 / 1.2, 2)</f>
        <v>4771.4799999999996</v>
      </c>
      <c r="Y323" s="9">
        <f t="shared" si="32"/>
        <v>1147559.76</v>
      </c>
      <c r="Z323" s="9">
        <f>ROUND(T323 / 1.2, 2)</f>
        <v>1337237.9099999999</v>
      </c>
      <c r="AA323" s="9">
        <f>Y323+Z323</f>
        <v>2484797.67</v>
      </c>
      <c r="AD323" s="4">
        <v>320319929</v>
      </c>
      <c r="AE323" s="4">
        <v>28038740</v>
      </c>
      <c r="AG323" s="4" t="s">
        <v>474</v>
      </c>
      <c r="AH323" s="4" t="s">
        <v>475</v>
      </c>
      <c r="AI323" s="4" t="s">
        <v>338</v>
      </c>
    </row>
    <row r="324" spans="1:35" ht="18" x14ac:dyDescent="0.3">
      <c r="A324" s="10" t="s">
        <v>1526</v>
      </c>
      <c r="B324" s="10"/>
      <c r="C324" s="28" t="s">
        <v>478</v>
      </c>
      <c r="D324" s="12"/>
      <c r="E324" s="12"/>
      <c r="F324" s="29" t="s">
        <v>91</v>
      </c>
      <c r="G324" s="30">
        <v>1.02</v>
      </c>
      <c r="H324" s="30"/>
      <c r="I324" s="30">
        <v>531.17499999999995</v>
      </c>
      <c r="J324" s="31">
        <v>2592.5</v>
      </c>
      <c r="M324" s="32">
        <f>ROUND(ROUND(J324, 2)*I324, 2)</f>
        <v>1377071.19</v>
      </c>
      <c r="P324" s="33">
        <v>2592.5</v>
      </c>
      <c r="S324" s="32">
        <f>ROUND(ROUND(P324, 2)*I324, 2)</f>
        <v>1377071.19</v>
      </c>
      <c r="V324" s="9">
        <f>ROUND(ROUND(P324, 2)/1.2, 2)</f>
        <v>2160.42</v>
      </c>
      <c r="Y324" s="9">
        <f t="shared" si="32"/>
        <v>1147559.33</v>
      </c>
      <c r="AD324" s="4" t="s">
        <v>1527</v>
      </c>
      <c r="AE324" s="4" t="s">
        <v>1528</v>
      </c>
      <c r="AF324" s="4" t="s">
        <v>481</v>
      </c>
    </row>
    <row r="325" spans="1:35" ht="36" x14ac:dyDescent="0.3">
      <c r="A325" s="10" t="s">
        <v>1529</v>
      </c>
      <c r="B325" s="10" t="s">
        <v>471</v>
      </c>
      <c r="C325" s="11" t="s">
        <v>472</v>
      </c>
      <c r="D325" s="12"/>
      <c r="E325" s="12" t="s">
        <v>1530</v>
      </c>
      <c r="F325" s="12" t="s">
        <v>91</v>
      </c>
      <c r="G325" s="13">
        <v>1</v>
      </c>
      <c r="H325" s="13"/>
      <c r="I325" s="13">
        <v>53.99</v>
      </c>
      <c r="J325" s="14">
        <f>IFERROR(ROUND(SUM(M326)/I325, 2),0)</f>
        <v>2644.36</v>
      </c>
      <c r="K325" s="15">
        <v>2157</v>
      </c>
      <c r="L325" s="14">
        <f>J325+ROUND(K325, 2)</f>
        <v>4801.3600000000006</v>
      </c>
      <c r="M325" s="14">
        <f>ROUND(J325*I325, 2)</f>
        <v>142769</v>
      </c>
      <c r="N325" s="14">
        <f>ROUND(I325*ROUND(K325, 2), 2)</f>
        <v>116456.43</v>
      </c>
      <c r="O325" s="14">
        <f>M325+N325</f>
        <v>259225.43</v>
      </c>
      <c r="P325" s="14">
        <f>IFERROR(ROUND(SUM(S326)/I325, 2),0)</f>
        <v>2644.36</v>
      </c>
      <c r="Q325" s="16">
        <v>3081.43</v>
      </c>
      <c r="R325" s="14">
        <f>P325+ROUND(Q325, 2)</f>
        <v>5725.79</v>
      </c>
      <c r="S325" s="14">
        <f>ROUND(P325*I325, 2)</f>
        <v>142769</v>
      </c>
      <c r="T325" s="14">
        <f>ROUND(I325*ROUND(Q325, 2), 2)</f>
        <v>166366.41</v>
      </c>
      <c r="U325" s="14">
        <f>S325+T325</f>
        <v>309135.41000000003</v>
      </c>
      <c r="V325" s="9">
        <f>ROUND(P325 / 1.2, 2)</f>
        <v>2203.63</v>
      </c>
      <c r="W325" s="9">
        <f>ROUND(Q325 / 1.2, 2)</f>
        <v>2567.86</v>
      </c>
      <c r="X325" s="9">
        <f>ROUND(R325 / 1.2, 2)</f>
        <v>4771.49</v>
      </c>
      <c r="Y325" s="9">
        <f t="shared" si="32"/>
        <v>118974.17</v>
      </c>
      <c r="Z325" s="9">
        <f>ROUND(T325 / 1.2, 2)</f>
        <v>138638.68</v>
      </c>
      <c r="AA325" s="9">
        <f>Y325+Z325</f>
        <v>257612.84999999998</v>
      </c>
      <c r="AD325" s="4">
        <v>320319930</v>
      </c>
      <c r="AE325" s="4">
        <v>28038743</v>
      </c>
      <c r="AG325" s="4" t="s">
        <v>474</v>
      </c>
      <c r="AH325" s="4" t="s">
        <v>475</v>
      </c>
      <c r="AI325" s="4" t="s">
        <v>338</v>
      </c>
    </row>
    <row r="326" spans="1:35" ht="18" x14ac:dyDescent="0.3">
      <c r="A326" s="10" t="s">
        <v>1531</v>
      </c>
      <c r="B326" s="10"/>
      <c r="C326" s="28" t="s">
        <v>478</v>
      </c>
      <c r="D326" s="12"/>
      <c r="E326" s="12"/>
      <c r="F326" s="29" t="s">
        <v>91</v>
      </c>
      <c r="G326" s="30">
        <v>1.02</v>
      </c>
      <c r="H326" s="30"/>
      <c r="I326" s="30">
        <v>55.07</v>
      </c>
      <c r="J326" s="31">
        <v>2592.5</v>
      </c>
      <c r="M326" s="32">
        <f>ROUND(ROUND(J326, 2)*I326, 2)</f>
        <v>142768.98000000001</v>
      </c>
      <c r="P326" s="33">
        <v>2592.5</v>
      </c>
      <c r="S326" s="32">
        <f>ROUND(ROUND(P326, 2)*I326, 2)</f>
        <v>142768.98000000001</v>
      </c>
      <c r="V326" s="9">
        <f>ROUND(ROUND(P326, 2)/1.2, 2)</f>
        <v>2160.42</v>
      </c>
      <c r="Y326" s="9">
        <f t="shared" si="32"/>
        <v>118974.15</v>
      </c>
      <c r="AD326" s="4" t="s">
        <v>1532</v>
      </c>
      <c r="AE326" s="4" t="s">
        <v>1533</v>
      </c>
      <c r="AF326" s="4" t="s">
        <v>481</v>
      </c>
    </row>
    <row r="327" spans="1:35" ht="36" x14ac:dyDescent="0.3">
      <c r="A327" s="10" t="s">
        <v>1534</v>
      </c>
      <c r="B327" s="10" t="s">
        <v>471</v>
      </c>
      <c r="C327" s="11" t="s">
        <v>472</v>
      </c>
      <c r="D327" s="12"/>
      <c r="E327" s="12" t="s">
        <v>1535</v>
      </c>
      <c r="F327" s="12" t="s">
        <v>91</v>
      </c>
      <c r="G327" s="13">
        <v>1</v>
      </c>
      <c r="H327" s="13"/>
      <c r="I327" s="13">
        <v>2.71</v>
      </c>
      <c r="J327" s="14">
        <f>IFERROR(ROUND(SUM(M328)/I327, 2),0)</f>
        <v>2644.16</v>
      </c>
      <c r="K327" s="15">
        <v>2157</v>
      </c>
      <c r="L327" s="14">
        <f>J327+ROUND(K327, 2)</f>
        <v>4801.16</v>
      </c>
      <c r="M327" s="14">
        <f>ROUND(J327*I327, 2)</f>
        <v>7165.67</v>
      </c>
      <c r="N327" s="14">
        <f>ROUND(I327*ROUND(K327, 2), 2)</f>
        <v>5845.47</v>
      </c>
      <c r="O327" s="14">
        <f>M327+N327</f>
        <v>13011.14</v>
      </c>
      <c r="P327" s="14">
        <f>IFERROR(ROUND(SUM(S328)/I327, 2),0)</f>
        <v>2644.16</v>
      </c>
      <c r="Q327" s="16">
        <v>3081.43</v>
      </c>
      <c r="R327" s="14">
        <f>P327+ROUND(Q327, 2)</f>
        <v>5725.59</v>
      </c>
      <c r="S327" s="14">
        <f>ROUND(P327*I327, 2)</f>
        <v>7165.67</v>
      </c>
      <c r="T327" s="14">
        <f>ROUND(I327*ROUND(Q327, 2), 2)</f>
        <v>8350.68</v>
      </c>
      <c r="U327" s="14">
        <f>S327+T327</f>
        <v>15516.35</v>
      </c>
      <c r="V327" s="9">
        <f>ROUND(P327 / 1.2, 2)</f>
        <v>2203.4699999999998</v>
      </c>
      <c r="W327" s="9">
        <f>ROUND(Q327 / 1.2, 2)</f>
        <v>2567.86</v>
      </c>
      <c r="X327" s="9">
        <f>ROUND(R327 / 1.2, 2)</f>
        <v>4771.33</v>
      </c>
      <c r="Y327" s="9">
        <f t="shared" si="32"/>
        <v>5971.39</v>
      </c>
      <c r="Z327" s="9">
        <f>ROUND(T327 / 1.2, 2)</f>
        <v>6958.9</v>
      </c>
      <c r="AA327" s="9">
        <f>Y327+Z327</f>
        <v>12930.29</v>
      </c>
      <c r="AD327" s="4">
        <v>320319931</v>
      </c>
      <c r="AE327" s="4">
        <v>28038741</v>
      </c>
      <c r="AG327" s="4" t="s">
        <v>474</v>
      </c>
      <c r="AH327" s="4" t="s">
        <v>475</v>
      </c>
      <c r="AI327" s="4" t="s">
        <v>338</v>
      </c>
    </row>
    <row r="328" spans="1:35" ht="18" x14ac:dyDescent="0.3">
      <c r="A328" s="10" t="s">
        <v>1536</v>
      </c>
      <c r="B328" s="10"/>
      <c r="C328" s="28" t="s">
        <v>478</v>
      </c>
      <c r="D328" s="12"/>
      <c r="E328" s="12"/>
      <c r="F328" s="29" t="s">
        <v>91</v>
      </c>
      <c r="G328" s="30">
        <v>1.02</v>
      </c>
      <c r="H328" s="30"/>
      <c r="I328" s="30">
        <v>2.7639999999999998</v>
      </c>
      <c r="J328" s="31">
        <v>2592.5</v>
      </c>
      <c r="M328" s="32">
        <f>ROUND(ROUND(J328, 2)*I328, 2)</f>
        <v>7165.67</v>
      </c>
      <c r="P328" s="33">
        <v>2592.5</v>
      </c>
      <c r="S328" s="32">
        <f>ROUND(ROUND(P328, 2)*I328, 2)</f>
        <v>7165.67</v>
      </c>
      <c r="V328" s="9">
        <f>ROUND(ROUND(P328, 2)/1.2, 2)</f>
        <v>2160.42</v>
      </c>
      <c r="Y328" s="9">
        <f t="shared" si="32"/>
        <v>5971.39</v>
      </c>
      <c r="AD328" s="4" t="s">
        <v>1537</v>
      </c>
      <c r="AE328" s="4" t="s">
        <v>1538</v>
      </c>
      <c r="AF328" s="4" t="s">
        <v>481</v>
      </c>
    </row>
    <row r="329" spans="1:35" ht="36" x14ac:dyDescent="0.3">
      <c r="A329" s="10" t="s">
        <v>1539</v>
      </c>
      <c r="B329" s="10" t="s">
        <v>471</v>
      </c>
      <c r="C329" s="11" t="s">
        <v>472</v>
      </c>
      <c r="D329" s="12"/>
      <c r="E329" s="12" t="s">
        <v>1540</v>
      </c>
      <c r="F329" s="12" t="s">
        <v>91</v>
      </c>
      <c r="G329" s="13">
        <v>1</v>
      </c>
      <c r="H329" s="13"/>
      <c r="I329" s="13">
        <v>159.52000000000001</v>
      </c>
      <c r="J329" s="14">
        <f>IFERROR(ROUND(SUM(M330)/I329, 2),0)</f>
        <v>2644.34</v>
      </c>
      <c r="K329" s="15">
        <v>2157</v>
      </c>
      <c r="L329" s="14">
        <f>J329+ROUND(K329, 2)</f>
        <v>4801.34</v>
      </c>
      <c r="M329" s="14">
        <f>ROUND(J329*I329, 2)</f>
        <v>421825.12</v>
      </c>
      <c r="N329" s="14">
        <f>ROUND(I329*ROUND(K329, 2), 2)</f>
        <v>344084.64</v>
      </c>
      <c r="O329" s="14">
        <f>M329+N329</f>
        <v>765909.76</v>
      </c>
      <c r="P329" s="14">
        <f>IFERROR(ROUND(SUM(S330)/I329, 2),0)</f>
        <v>2644.34</v>
      </c>
      <c r="Q329" s="16">
        <v>3081.43</v>
      </c>
      <c r="R329" s="14">
        <f>P329+ROUND(Q329, 2)</f>
        <v>5725.77</v>
      </c>
      <c r="S329" s="14">
        <f>ROUND(P329*I329, 2)</f>
        <v>421825.12</v>
      </c>
      <c r="T329" s="14">
        <f>ROUND(I329*ROUND(Q329, 2), 2)</f>
        <v>491549.71</v>
      </c>
      <c r="U329" s="14">
        <f>S329+T329</f>
        <v>913374.83000000007</v>
      </c>
      <c r="V329" s="9">
        <f>ROUND(P329 / 1.2, 2)</f>
        <v>2203.62</v>
      </c>
      <c r="W329" s="9">
        <f>ROUND(Q329 / 1.2, 2)</f>
        <v>2567.86</v>
      </c>
      <c r="X329" s="9">
        <f>ROUND(R329 / 1.2, 2)</f>
        <v>4771.4799999999996</v>
      </c>
      <c r="Y329" s="9">
        <f t="shared" si="32"/>
        <v>351520.93</v>
      </c>
      <c r="Z329" s="9">
        <f>ROUND(T329 / 1.2, 2)</f>
        <v>409624.76</v>
      </c>
      <c r="AA329" s="9">
        <f>Y329+Z329</f>
        <v>761145.69</v>
      </c>
      <c r="AD329" s="4">
        <v>320319932</v>
      </c>
      <c r="AE329" s="4">
        <v>28038747</v>
      </c>
      <c r="AG329" s="4" t="s">
        <v>474</v>
      </c>
      <c r="AH329" s="4" t="s">
        <v>475</v>
      </c>
      <c r="AI329" s="4" t="s">
        <v>338</v>
      </c>
    </row>
    <row r="330" spans="1:35" ht="18" x14ac:dyDescent="0.3">
      <c r="A330" s="10" t="s">
        <v>1541</v>
      </c>
      <c r="B330" s="10"/>
      <c r="C330" s="28" t="s">
        <v>478</v>
      </c>
      <c r="D330" s="12"/>
      <c r="E330" s="12"/>
      <c r="F330" s="29" t="s">
        <v>91</v>
      </c>
      <c r="G330" s="30">
        <v>1.02</v>
      </c>
      <c r="H330" s="30"/>
      <c r="I330" s="30">
        <v>162.71</v>
      </c>
      <c r="J330" s="31">
        <v>2592.5</v>
      </c>
      <c r="M330" s="32">
        <f>ROUND(ROUND(J330, 2)*I330, 2)</f>
        <v>421825.68</v>
      </c>
      <c r="P330" s="33">
        <v>2592.5</v>
      </c>
      <c r="S330" s="32">
        <f>ROUND(ROUND(P330, 2)*I330, 2)</f>
        <v>421825.68</v>
      </c>
      <c r="V330" s="9">
        <f>ROUND(ROUND(P330, 2)/1.2, 2)</f>
        <v>2160.42</v>
      </c>
      <c r="Y330" s="9">
        <f t="shared" si="32"/>
        <v>351521.4</v>
      </c>
      <c r="AD330" s="4" t="s">
        <v>1542</v>
      </c>
      <c r="AE330" s="4" t="s">
        <v>1543</v>
      </c>
      <c r="AF330" s="4" t="s">
        <v>481</v>
      </c>
    </row>
    <row r="331" spans="1:35" ht="36" x14ac:dyDescent="0.3">
      <c r="A331" s="10" t="s">
        <v>1544</v>
      </c>
      <c r="B331" s="10" t="s">
        <v>471</v>
      </c>
      <c r="C331" s="11" t="s">
        <v>472</v>
      </c>
      <c r="D331" s="12"/>
      <c r="E331" s="12" t="s">
        <v>1545</v>
      </c>
      <c r="F331" s="12" t="s">
        <v>91</v>
      </c>
      <c r="G331" s="13">
        <v>1</v>
      </c>
      <c r="H331" s="13"/>
      <c r="I331" s="13">
        <v>6.57</v>
      </c>
      <c r="J331" s="14">
        <f>IFERROR(ROUND(SUM(M332)/I331, 2),0)</f>
        <v>2644.19</v>
      </c>
      <c r="K331" s="15">
        <v>2157</v>
      </c>
      <c r="L331" s="14">
        <f>J331+ROUND(K331, 2)</f>
        <v>4801.1900000000005</v>
      </c>
      <c r="M331" s="14">
        <f>ROUND(J331*I331, 2)</f>
        <v>17372.330000000002</v>
      </c>
      <c r="N331" s="14">
        <f>ROUND(I331*ROUND(K331, 2), 2)</f>
        <v>14171.49</v>
      </c>
      <c r="O331" s="14">
        <f>M331+N331</f>
        <v>31543.82</v>
      </c>
      <c r="P331" s="14">
        <f>IFERROR(ROUND(SUM(S332)/I331, 2),0)</f>
        <v>2644.19</v>
      </c>
      <c r="Q331" s="16">
        <v>3081.43</v>
      </c>
      <c r="R331" s="14">
        <f>P331+ROUND(Q331, 2)</f>
        <v>5725.62</v>
      </c>
      <c r="S331" s="14">
        <f>ROUND(P331*I331, 2)</f>
        <v>17372.330000000002</v>
      </c>
      <c r="T331" s="14">
        <f>ROUND(I331*ROUND(Q331, 2), 2)</f>
        <v>20245</v>
      </c>
      <c r="U331" s="14">
        <f>S331+T331</f>
        <v>37617.33</v>
      </c>
      <c r="V331" s="9">
        <f>ROUND(P331 / 1.2, 2)</f>
        <v>2203.4899999999998</v>
      </c>
      <c r="W331" s="9">
        <f>ROUND(Q331 / 1.2, 2)</f>
        <v>2567.86</v>
      </c>
      <c r="X331" s="9">
        <f>ROUND(R331 / 1.2, 2)</f>
        <v>4771.3500000000004</v>
      </c>
      <c r="Y331" s="9">
        <f t="shared" si="32"/>
        <v>14476.94</v>
      </c>
      <c r="Z331" s="9">
        <f>ROUND(T331 / 1.2, 2)</f>
        <v>16870.830000000002</v>
      </c>
      <c r="AA331" s="9">
        <f>Y331+Z331</f>
        <v>31347.770000000004</v>
      </c>
      <c r="AD331" s="4">
        <v>320319933</v>
      </c>
      <c r="AE331" s="4">
        <v>28038742</v>
      </c>
      <c r="AG331" s="4" t="s">
        <v>474</v>
      </c>
      <c r="AH331" s="4" t="s">
        <v>475</v>
      </c>
      <c r="AI331" s="4" t="s">
        <v>338</v>
      </c>
    </row>
    <row r="332" spans="1:35" ht="18" x14ac:dyDescent="0.3">
      <c r="A332" s="10" t="s">
        <v>1546</v>
      </c>
      <c r="B332" s="10"/>
      <c r="C332" s="28" t="s">
        <v>478</v>
      </c>
      <c r="D332" s="12"/>
      <c r="E332" s="12"/>
      <c r="F332" s="29" t="s">
        <v>91</v>
      </c>
      <c r="G332" s="30">
        <v>1.02</v>
      </c>
      <c r="H332" s="30"/>
      <c r="I332" s="30">
        <v>6.7009999999999996</v>
      </c>
      <c r="J332" s="31">
        <v>2592.5</v>
      </c>
      <c r="M332" s="32">
        <f>ROUND(ROUND(J332, 2)*I332, 2)</f>
        <v>17372.34</v>
      </c>
      <c r="P332" s="33">
        <v>2592.5</v>
      </c>
      <c r="S332" s="32">
        <f>ROUND(ROUND(P332, 2)*I332, 2)</f>
        <v>17372.34</v>
      </c>
      <c r="V332" s="9">
        <f>ROUND(ROUND(P332, 2)/1.2, 2)</f>
        <v>2160.42</v>
      </c>
      <c r="Y332" s="9">
        <f t="shared" si="32"/>
        <v>14476.95</v>
      </c>
      <c r="AD332" s="4" t="s">
        <v>1547</v>
      </c>
      <c r="AE332" s="4" t="s">
        <v>1548</v>
      </c>
      <c r="AF332" s="4" t="s">
        <v>481</v>
      </c>
    </row>
    <row r="333" spans="1:35" ht="18" x14ac:dyDescent="0.3">
      <c r="A333" s="10" t="s">
        <v>1549</v>
      </c>
      <c r="B333" s="10" t="s">
        <v>525</v>
      </c>
      <c r="C333" s="11" t="s">
        <v>526</v>
      </c>
      <c r="D333" s="12"/>
      <c r="E333" s="12"/>
      <c r="F333" s="12" t="s">
        <v>91</v>
      </c>
      <c r="G333" s="13">
        <v>1</v>
      </c>
      <c r="H333" s="13"/>
      <c r="I333" s="13">
        <v>758.32</v>
      </c>
      <c r="J333" s="14">
        <f>IFERROR(ROUND(SUM(M334)/I333, 2),0)</f>
        <v>1716.75</v>
      </c>
      <c r="K333" s="15">
        <v>915</v>
      </c>
      <c r="L333" s="14">
        <f>J333+ROUND(K333, 2)</f>
        <v>2631.75</v>
      </c>
      <c r="M333" s="14">
        <f>ROUND(J333*I333, 2)</f>
        <v>1301845.8600000001</v>
      </c>
      <c r="N333" s="14">
        <f>ROUND(I333*ROUND(K333, 2), 2)</f>
        <v>693862.8</v>
      </c>
      <c r="O333" s="14">
        <f>M333+N333</f>
        <v>1995708.6600000001</v>
      </c>
      <c r="P333" s="14">
        <f>IFERROR(ROUND(SUM(S334)/I333, 2),0)</f>
        <v>1716.75</v>
      </c>
      <c r="Q333" s="16">
        <v>1307.1400000000001</v>
      </c>
      <c r="R333" s="14">
        <f>P333+ROUND(Q333, 2)</f>
        <v>3023.8900000000003</v>
      </c>
      <c r="S333" s="14">
        <f>ROUND(P333*I333, 2)</f>
        <v>1301845.8600000001</v>
      </c>
      <c r="T333" s="14">
        <f>ROUND(I333*ROUND(Q333, 2), 2)</f>
        <v>991230.4</v>
      </c>
      <c r="U333" s="14">
        <f>S333+T333</f>
        <v>2293076.2600000002</v>
      </c>
      <c r="V333" s="9">
        <f>ROUND(P333 / 1.2, 2)</f>
        <v>1430.63</v>
      </c>
      <c r="W333" s="9">
        <f>ROUND(Q333 / 1.2, 2)</f>
        <v>1089.28</v>
      </c>
      <c r="X333" s="9">
        <f>ROUND(R333 / 1.2, 2)</f>
        <v>2519.91</v>
      </c>
      <c r="Y333" s="9">
        <f t="shared" si="32"/>
        <v>1084871.55</v>
      </c>
      <c r="Z333" s="9">
        <f>ROUND(T333 / 1.2, 2)</f>
        <v>826025.33</v>
      </c>
      <c r="AA333" s="9">
        <f>Y333+Z333</f>
        <v>1910896.88</v>
      </c>
      <c r="AD333" s="4">
        <v>320319878</v>
      </c>
      <c r="AE333" s="4">
        <v>28038735</v>
      </c>
      <c r="AG333" s="4" t="s">
        <v>527</v>
      </c>
      <c r="AH333" s="4" t="s">
        <v>528</v>
      </c>
      <c r="AI333" s="4" t="s">
        <v>338</v>
      </c>
    </row>
    <row r="334" spans="1:35" ht="18" x14ac:dyDescent="0.3">
      <c r="A334" s="10" t="s">
        <v>1550</v>
      </c>
      <c r="B334" s="10"/>
      <c r="C334" s="28" t="s">
        <v>531</v>
      </c>
      <c r="D334" s="12"/>
      <c r="E334" s="12"/>
      <c r="F334" s="29" t="s">
        <v>364</v>
      </c>
      <c r="G334" s="30">
        <v>225</v>
      </c>
      <c r="H334" s="30"/>
      <c r="I334" s="30">
        <v>170622</v>
      </c>
      <c r="J334" s="31">
        <v>7.63</v>
      </c>
      <c r="M334" s="32">
        <f>ROUND(ROUND(J334, 2)*I334, 2)</f>
        <v>1301845.8600000001</v>
      </c>
      <c r="P334" s="33">
        <v>7.63</v>
      </c>
      <c r="S334" s="32">
        <f>ROUND(ROUND(P334, 2)*I334, 2)</f>
        <v>1301845.8600000001</v>
      </c>
      <c r="V334" s="9">
        <f>ROUND(ROUND(P334, 2)/1.2, 2)</f>
        <v>6.36</v>
      </c>
      <c r="Y334" s="9">
        <f t="shared" si="32"/>
        <v>1084871.55</v>
      </c>
      <c r="AD334" s="4" t="s">
        <v>1551</v>
      </c>
      <c r="AE334" s="4" t="s">
        <v>1552</v>
      </c>
      <c r="AF334" s="4" t="s">
        <v>534</v>
      </c>
    </row>
    <row r="335" spans="1:35" ht="16.95" customHeight="1" x14ac:dyDescent="0.3">
      <c r="A335" s="10" t="s">
        <v>1553</v>
      </c>
      <c r="B335" s="10" t="s">
        <v>538</v>
      </c>
      <c r="C335" s="237" t="s">
        <v>539</v>
      </c>
      <c r="D335" s="238"/>
      <c r="E335" s="238"/>
      <c r="F335" s="238"/>
      <c r="G335" s="238"/>
      <c r="H335" s="238"/>
      <c r="I335" s="239"/>
      <c r="M335" s="6">
        <f>SUM(M336,M341,M346,M349,M354,M359,M364,M369,M374,M379,M384)</f>
        <v>25008201.59</v>
      </c>
      <c r="N335" s="6">
        <f>SUM(N336,N341,N346,N349,N354,N359,N364,N369,N374,N379,N384)</f>
        <v>20057309.34</v>
      </c>
      <c r="O335" s="6">
        <f>SUM(O336,O341,O346,O349,O354,O359,O364,O369,O374,O379,O384)</f>
        <v>45065510.930000007</v>
      </c>
      <c r="S335" s="6">
        <f>SUM(S336,S341,S346,S349,S354,S359,S364,S369,S374,S379,S384)</f>
        <v>28396003.32</v>
      </c>
      <c r="T335" s="6">
        <f>SUM(T336,T341,T346,T349,T354,T359,T364,T369,T374,T379,T384)</f>
        <v>28653311.940000001</v>
      </c>
      <c r="U335" s="6">
        <f>SUM(U336,U341,U346,U349,U354,U359,U364,U369,U374,U379,U384)</f>
        <v>57049315.259999998</v>
      </c>
      <c r="Y335" s="9">
        <f>SUM(Y336,Y341,Y346,Y349,Y354,Y359,Y364,Y369,Y374,Y379,Y384)</f>
        <v>23663336.100000001</v>
      </c>
      <c r="Z335" s="9">
        <f>SUM(Z336,Z341,Z346,Z349,Z354,Z359,Z364,Z369,Z374,Z379,Z384)</f>
        <v>23877759.969999999</v>
      </c>
      <c r="AA335" s="9">
        <f>SUM(AA336,AA341,AA346,AA349,AA354,AA359,AA364,AA369,AA374,AA379,AA384)</f>
        <v>47541096.07</v>
      </c>
      <c r="AD335" s="4">
        <v>320319879</v>
      </c>
      <c r="AE335" s="4">
        <v>28039392</v>
      </c>
    </row>
    <row r="336" spans="1:35" ht="36" x14ac:dyDescent="0.3">
      <c r="A336" s="10" t="s">
        <v>1554</v>
      </c>
      <c r="B336" s="10" t="s">
        <v>541</v>
      </c>
      <c r="C336" s="11" t="s">
        <v>542</v>
      </c>
      <c r="D336" s="12" t="s">
        <v>543</v>
      </c>
      <c r="E336" s="12" t="s">
        <v>1555</v>
      </c>
      <c r="F336" s="12" t="s">
        <v>61</v>
      </c>
      <c r="G336" s="13">
        <v>1</v>
      </c>
      <c r="H336" s="13"/>
      <c r="I336" s="13">
        <v>427.37</v>
      </c>
      <c r="J336" s="14">
        <f>IFERROR(ROUND(SUM(M337,M338,M339,M340)/I336, 2),0)</f>
        <v>129.38</v>
      </c>
      <c r="K336" s="15">
        <v>556</v>
      </c>
      <c r="L336" s="14">
        <f>J336+ROUND(K336, 2)</f>
        <v>685.38</v>
      </c>
      <c r="M336" s="14">
        <f>ROUND(J336*I336, 2)</f>
        <v>55293.13</v>
      </c>
      <c r="N336" s="14">
        <f>ROUND(I336*ROUND(K336, 2), 2)</f>
        <v>237617.72</v>
      </c>
      <c r="O336" s="14">
        <f>M336+N336</f>
        <v>292910.84999999998</v>
      </c>
      <c r="P336" s="14">
        <f>IFERROR(ROUND(SUM(S337,S338,S339,S340)/I336, 2),0)</f>
        <v>5417.78</v>
      </c>
      <c r="Q336" s="16">
        <v>794.29</v>
      </c>
      <c r="R336" s="14">
        <f>P336+ROUND(Q336, 2)</f>
        <v>6212.07</v>
      </c>
      <c r="S336" s="14">
        <f>ROUND(P336*I336, 2)</f>
        <v>2315396.64</v>
      </c>
      <c r="T336" s="14">
        <f>ROUND(I336*ROUND(Q336, 2), 2)</f>
        <v>339455.72</v>
      </c>
      <c r="U336" s="14">
        <f>S336+T336</f>
        <v>2654852.3600000003</v>
      </c>
      <c r="V336" s="9">
        <f>ROUND(P336 / 1.2, 2)</f>
        <v>4514.82</v>
      </c>
      <c r="W336" s="9">
        <f>ROUND(Q336 / 1.2, 2)</f>
        <v>661.91</v>
      </c>
      <c r="X336" s="9">
        <f>ROUND(R336 / 1.2, 2)</f>
        <v>5176.7299999999996</v>
      </c>
      <c r="Y336" s="9">
        <f>ROUND(S336 / 1.2, 2)</f>
        <v>1929497.2</v>
      </c>
      <c r="Z336" s="9">
        <f>ROUND(T336 / 1.2, 2)</f>
        <v>282879.77</v>
      </c>
      <c r="AA336" s="9">
        <f>Y336+Z336</f>
        <v>2212376.9699999997</v>
      </c>
      <c r="AD336" s="4">
        <v>320319881</v>
      </c>
      <c r="AE336" s="4">
        <v>28039399</v>
      </c>
      <c r="AG336" s="4" t="s">
        <v>545</v>
      </c>
      <c r="AH336" s="4" t="s">
        <v>546</v>
      </c>
      <c r="AI336" s="4" t="s">
        <v>338</v>
      </c>
    </row>
    <row r="337" spans="1:35" ht="18" x14ac:dyDescent="0.3">
      <c r="A337" s="10" t="s">
        <v>1556</v>
      </c>
      <c r="B337" s="10"/>
      <c r="C337" s="28" t="s">
        <v>549</v>
      </c>
      <c r="D337" s="12"/>
      <c r="E337" s="12" t="s">
        <v>550</v>
      </c>
      <c r="F337" s="29" t="s">
        <v>364</v>
      </c>
      <c r="G337" s="30">
        <v>0.3</v>
      </c>
      <c r="H337" s="30"/>
      <c r="I337" s="30">
        <v>128.21100000000001</v>
      </c>
      <c r="J337" s="31">
        <v>223.66</v>
      </c>
      <c r="M337" s="32">
        <f>ROUND(ROUND(J337, 2)*I337, 2)</f>
        <v>28675.67</v>
      </c>
      <c r="P337" s="33">
        <v>545</v>
      </c>
      <c r="S337" s="32">
        <f>ROUND(ROUND(P337, 2)*I337, 2)</f>
        <v>69875</v>
      </c>
      <c r="V337" s="9">
        <f>ROUND(ROUND(P337, 2)/1.2, 2)</f>
        <v>454.17</v>
      </c>
      <c r="Y337" s="9">
        <f t="shared" ref="Y337:Y368" si="33">ROUND(S337 / 1.2, 2)</f>
        <v>58229.17</v>
      </c>
      <c r="AD337" s="4" t="s">
        <v>1557</v>
      </c>
      <c r="AE337" s="4" t="s">
        <v>1558</v>
      </c>
      <c r="AF337" s="4" t="s">
        <v>553</v>
      </c>
    </row>
    <row r="338" spans="1:35" ht="36" x14ac:dyDescent="0.3">
      <c r="A338" s="10" t="s">
        <v>1559</v>
      </c>
      <c r="B338" s="10"/>
      <c r="C338" s="28" t="s">
        <v>557</v>
      </c>
      <c r="D338" s="12"/>
      <c r="E338" s="12"/>
      <c r="F338" s="29" t="s">
        <v>364</v>
      </c>
      <c r="G338" s="30">
        <v>0.15</v>
      </c>
      <c r="H338" s="30"/>
      <c r="I338" s="30">
        <v>64.105999999999995</v>
      </c>
      <c r="J338" s="31">
        <v>69.540000000000006</v>
      </c>
      <c r="M338" s="32">
        <f>ROUND(ROUND(J338, 2)*I338, 2)</f>
        <v>4457.93</v>
      </c>
      <c r="P338" s="33">
        <v>69.540000000000006</v>
      </c>
      <c r="S338" s="32">
        <f>ROUND(ROUND(P338, 2)*I338, 2)</f>
        <v>4457.93</v>
      </c>
      <c r="V338" s="9">
        <f>ROUND(ROUND(P338, 2)/1.2, 2)</f>
        <v>57.95</v>
      </c>
      <c r="Y338" s="9">
        <f t="shared" si="33"/>
        <v>3714.94</v>
      </c>
      <c r="AD338" s="4" t="s">
        <v>1560</v>
      </c>
      <c r="AE338" s="4" t="s">
        <v>1561</v>
      </c>
      <c r="AF338" s="4" t="s">
        <v>560</v>
      </c>
    </row>
    <row r="339" spans="1:35" ht="72" x14ac:dyDescent="0.3">
      <c r="A339" s="10" t="s">
        <v>1562</v>
      </c>
      <c r="B339" s="10"/>
      <c r="C339" s="47" t="s">
        <v>564</v>
      </c>
      <c r="D339" s="12"/>
      <c r="E339" s="12"/>
      <c r="F339" s="29" t="s">
        <v>76</v>
      </c>
      <c r="G339" s="30">
        <v>1</v>
      </c>
      <c r="H339" s="49"/>
      <c r="I339" s="49">
        <v>427.37</v>
      </c>
      <c r="J339" s="31">
        <v>51.85</v>
      </c>
      <c r="M339" s="32">
        <f>ROUND(ROUND(J339, 2)*I339, 2)</f>
        <v>22159.13</v>
      </c>
      <c r="P339" s="33">
        <v>51.85</v>
      </c>
      <c r="S339" s="32">
        <f>ROUND(ROUND(P339, 2)*I339, 2)</f>
        <v>22159.13</v>
      </c>
      <c r="V339" s="9">
        <f>ROUND(ROUND(P339, 2)/1.2, 2)</f>
        <v>43.21</v>
      </c>
      <c r="Y339" s="9">
        <f t="shared" si="33"/>
        <v>18465.939999999999</v>
      </c>
      <c r="AD339" s="4" t="s">
        <v>1563</v>
      </c>
      <c r="AE339" s="4" t="s">
        <v>1564</v>
      </c>
      <c r="AF339" s="4" t="s">
        <v>567</v>
      </c>
    </row>
    <row r="340" spans="1:35" ht="54" x14ac:dyDescent="0.3">
      <c r="A340" s="10" t="s">
        <v>1565</v>
      </c>
      <c r="B340" s="10"/>
      <c r="C340" s="28" t="s">
        <v>571</v>
      </c>
      <c r="D340" s="12"/>
      <c r="E340" s="12" t="s">
        <v>572</v>
      </c>
      <c r="F340" s="29" t="s">
        <v>61</v>
      </c>
      <c r="G340" s="30">
        <v>1.1000000000000001</v>
      </c>
      <c r="H340" s="49"/>
      <c r="I340" s="49">
        <v>470.10700000000003</v>
      </c>
      <c r="J340" s="31">
        <v>0</v>
      </c>
      <c r="M340" s="32">
        <f>ROUND(ROUND(J340, 2)*I340, 2)</f>
        <v>0</v>
      </c>
      <c r="P340" s="33">
        <v>4720</v>
      </c>
      <c r="S340" s="32">
        <f>ROUND(ROUND(P340, 2)*I340, 2)</f>
        <v>2218905.04</v>
      </c>
      <c r="V340" s="9">
        <f>ROUND(ROUND(P340, 2)/1.2, 2)</f>
        <v>3933.33</v>
      </c>
      <c r="Y340" s="9">
        <f t="shared" si="33"/>
        <v>1849087.53</v>
      </c>
      <c r="AD340" s="4" t="s">
        <v>1566</v>
      </c>
      <c r="AE340" s="4" t="s">
        <v>1567</v>
      </c>
      <c r="AF340" s="4" t="s">
        <v>575</v>
      </c>
    </row>
    <row r="341" spans="1:35" ht="18" x14ac:dyDescent="0.3">
      <c r="A341" s="10" t="s">
        <v>1568</v>
      </c>
      <c r="B341" s="10" t="s">
        <v>541</v>
      </c>
      <c r="C341" s="11" t="s">
        <v>542</v>
      </c>
      <c r="D341" s="12" t="s">
        <v>543</v>
      </c>
      <c r="E341" s="12" t="s">
        <v>579</v>
      </c>
      <c r="F341" s="12" t="s">
        <v>61</v>
      </c>
      <c r="G341" s="13">
        <v>1</v>
      </c>
      <c r="H341" s="13"/>
      <c r="I341" s="13">
        <v>156.31</v>
      </c>
      <c r="J341" s="14">
        <f>IFERROR(ROUND(SUM(M342,M343,M344,M345)/I341, 2),0)</f>
        <v>129.38</v>
      </c>
      <c r="K341" s="15">
        <v>556</v>
      </c>
      <c r="L341" s="14">
        <f>J341+ROUND(K341, 2)</f>
        <v>685.38</v>
      </c>
      <c r="M341" s="14">
        <f>ROUND(J341*I341, 2)</f>
        <v>20223.39</v>
      </c>
      <c r="N341" s="14">
        <f>ROUND(I341*ROUND(K341, 2), 2)</f>
        <v>86908.36</v>
      </c>
      <c r="O341" s="14">
        <f>M341+N341</f>
        <v>107131.75</v>
      </c>
      <c r="P341" s="14">
        <f>IFERROR(ROUND(SUM(S342,S343,S344,S345)/I341, 2),0)</f>
        <v>5321.38</v>
      </c>
      <c r="Q341" s="16">
        <v>794.29</v>
      </c>
      <c r="R341" s="14">
        <f>P341+ROUND(Q341, 2)</f>
        <v>6115.67</v>
      </c>
      <c r="S341" s="14">
        <f>ROUND(P341*I341, 2)</f>
        <v>831784.91</v>
      </c>
      <c r="T341" s="14">
        <f>ROUND(I341*ROUND(Q341, 2), 2)</f>
        <v>124155.47</v>
      </c>
      <c r="U341" s="14">
        <f>S341+T341</f>
        <v>955940.38</v>
      </c>
      <c r="V341" s="9">
        <f>ROUND(P341 / 1.2, 2)</f>
        <v>4434.4799999999996</v>
      </c>
      <c r="W341" s="9">
        <f>ROUND(Q341 / 1.2, 2)</f>
        <v>661.91</v>
      </c>
      <c r="X341" s="9">
        <f>ROUND(R341 / 1.2, 2)</f>
        <v>5096.3900000000003</v>
      </c>
      <c r="Y341" s="9">
        <f t="shared" si="33"/>
        <v>693154.09</v>
      </c>
      <c r="Z341" s="9">
        <f>ROUND(T341 / 1.2, 2)</f>
        <v>103462.89</v>
      </c>
      <c r="AA341" s="9">
        <f>Y341+Z341</f>
        <v>796616.98</v>
      </c>
      <c r="AD341" s="4">
        <v>320319934</v>
      </c>
      <c r="AE341" s="4">
        <v>28039398</v>
      </c>
      <c r="AG341" s="4" t="s">
        <v>545</v>
      </c>
      <c r="AH341" s="4" t="s">
        <v>546</v>
      </c>
      <c r="AI341" s="4" t="s">
        <v>338</v>
      </c>
    </row>
    <row r="342" spans="1:35" ht="54" x14ac:dyDescent="0.3">
      <c r="A342" s="10" t="s">
        <v>1569</v>
      </c>
      <c r="B342" s="10"/>
      <c r="C342" s="28" t="s">
        <v>571</v>
      </c>
      <c r="D342" s="12"/>
      <c r="E342" s="12" t="s">
        <v>582</v>
      </c>
      <c r="F342" s="29" t="s">
        <v>61</v>
      </c>
      <c r="G342" s="30">
        <v>1.1000000000000001</v>
      </c>
      <c r="H342" s="49"/>
      <c r="I342" s="49">
        <v>171.941</v>
      </c>
      <c r="J342" s="31">
        <v>0</v>
      </c>
      <c r="M342" s="32">
        <f>ROUND(ROUND(J342, 2)*I342, 2)</f>
        <v>0</v>
      </c>
      <c r="P342" s="33">
        <v>4720</v>
      </c>
      <c r="S342" s="32">
        <f>ROUND(ROUND(P342, 2)*I342, 2)</f>
        <v>811561.52</v>
      </c>
      <c r="V342" s="9">
        <f>ROUND(ROUND(P342, 2)/1.2, 2)</f>
        <v>3933.33</v>
      </c>
      <c r="Y342" s="9">
        <f t="shared" si="33"/>
        <v>676301.27</v>
      </c>
      <c r="AD342" s="4" t="s">
        <v>1570</v>
      </c>
      <c r="AE342" s="4" t="s">
        <v>1571</v>
      </c>
      <c r="AF342" s="4" t="s">
        <v>575</v>
      </c>
    </row>
    <row r="343" spans="1:35" ht="72" x14ac:dyDescent="0.3">
      <c r="A343" s="10" t="s">
        <v>1572</v>
      </c>
      <c r="B343" s="10"/>
      <c r="C343" s="47" t="s">
        <v>564</v>
      </c>
      <c r="D343" s="12"/>
      <c r="E343" s="12"/>
      <c r="F343" s="29" t="s">
        <v>76</v>
      </c>
      <c r="G343" s="30">
        <v>1</v>
      </c>
      <c r="H343" s="49"/>
      <c r="I343" s="49">
        <v>156.31</v>
      </c>
      <c r="J343" s="31">
        <v>51.85</v>
      </c>
      <c r="M343" s="32">
        <f>ROUND(ROUND(J343, 2)*I343, 2)</f>
        <v>8104.67</v>
      </c>
      <c r="P343" s="33">
        <v>51.85</v>
      </c>
      <c r="S343" s="32">
        <f>ROUND(ROUND(P343, 2)*I343, 2)</f>
        <v>8104.67</v>
      </c>
      <c r="V343" s="9">
        <f>ROUND(ROUND(P343, 2)/1.2, 2)</f>
        <v>43.21</v>
      </c>
      <c r="Y343" s="9">
        <f t="shared" si="33"/>
        <v>6753.89</v>
      </c>
      <c r="AD343" s="4" t="s">
        <v>1573</v>
      </c>
      <c r="AE343" s="4" t="s">
        <v>1574</v>
      </c>
      <c r="AF343" s="4" t="s">
        <v>567</v>
      </c>
    </row>
    <row r="344" spans="1:35" ht="36" x14ac:dyDescent="0.3">
      <c r="A344" s="10" t="s">
        <v>1575</v>
      </c>
      <c r="B344" s="10"/>
      <c r="C344" s="28" t="s">
        <v>557</v>
      </c>
      <c r="D344" s="12"/>
      <c r="E344" s="12"/>
      <c r="F344" s="29" t="s">
        <v>364</v>
      </c>
      <c r="G344" s="30">
        <v>0.15</v>
      </c>
      <c r="H344" s="30"/>
      <c r="I344" s="30">
        <v>23.446999999999999</v>
      </c>
      <c r="J344" s="31">
        <v>69.540000000000006</v>
      </c>
      <c r="M344" s="32">
        <f>ROUND(ROUND(J344, 2)*I344, 2)</f>
        <v>1630.5</v>
      </c>
      <c r="P344" s="33">
        <v>69.540000000000006</v>
      </c>
      <c r="S344" s="32">
        <f>ROUND(ROUND(P344, 2)*I344, 2)</f>
        <v>1630.5</v>
      </c>
      <c r="V344" s="9">
        <f>ROUND(ROUND(P344, 2)/1.2, 2)</f>
        <v>57.95</v>
      </c>
      <c r="Y344" s="9">
        <f t="shared" si="33"/>
        <v>1358.75</v>
      </c>
      <c r="AD344" s="4" t="s">
        <v>1576</v>
      </c>
      <c r="AE344" s="4" t="s">
        <v>1577</v>
      </c>
      <c r="AF344" s="4" t="s">
        <v>560</v>
      </c>
    </row>
    <row r="345" spans="1:35" ht="18" x14ac:dyDescent="0.3">
      <c r="A345" s="10" t="s">
        <v>1578</v>
      </c>
      <c r="B345" s="10"/>
      <c r="C345" s="28" t="s">
        <v>549</v>
      </c>
      <c r="D345" s="12"/>
      <c r="E345" s="12" t="s">
        <v>550</v>
      </c>
      <c r="F345" s="29" t="s">
        <v>364</v>
      </c>
      <c r="G345" s="30">
        <v>0.3</v>
      </c>
      <c r="H345" s="30"/>
      <c r="I345" s="30">
        <v>46.893000000000001</v>
      </c>
      <c r="J345" s="31">
        <v>223.66</v>
      </c>
      <c r="M345" s="32">
        <f>ROUND(ROUND(J345, 2)*I345, 2)</f>
        <v>10488.09</v>
      </c>
      <c r="P345" s="33">
        <v>223.66</v>
      </c>
      <c r="S345" s="32">
        <f>ROUND(ROUND(P345, 2)*I345, 2)</f>
        <v>10488.09</v>
      </c>
      <c r="V345" s="9">
        <f>ROUND(ROUND(P345, 2)/1.2, 2)</f>
        <v>186.38</v>
      </c>
      <c r="Y345" s="9">
        <f t="shared" si="33"/>
        <v>8740.08</v>
      </c>
      <c r="AD345" s="4" t="s">
        <v>1579</v>
      </c>
      <c r="AE345" s="4" t="s">
        <v>1580</v>
      </c>
      <c r="AF345" s="4" t="s">
        <v>553</v>
      </c>
    </row>
    <row r="346" spans="1:35" ht="72" x14ac:dyDescent="0.3">
      <c r="A346" s="10" t="s">
        <v>1581</v>
      </c>
      <c r="B346" s="10" t="s">
        <v>598</v>
      </c>
      <c r="C346" s="11" t="s">
        <v>599</v>
      </c>
      <c r="D346" s="12"/>
      <c r="E346" s="12" t="s">
        <v>1582</v>
      </c>
      <c r="F346" s="12" t="s">
        <v>76</v>
      </c>
      <c r="G346" s="13">
        <v>1</v>
      </c>
      <c r="H346" s="13"/>
      <c r="I346" s="13">
        <v>544.5</v>
      </c>
      <c r="J346" s="14">
        <f>IFERROR(ROUND(SUM(M347,M348)/I346, 2),0)</f>
        <v>0</v>
      </c>
      <c r="K346" s="15">
        <v>201</v>
      </c>
      <c r="L346" s="14">
        <f>J346+ROUND(K346, 2)</f>
        <v>201</v>
      </c>
      <c r="M346" s="14">
        <f>ROUND(J346*I346, 2)</f>
        <v>0</v>
      </c>
      <c r="N346" s="14">
        <f>ROUND(I346*ROUND(K346, 2), 2)</f>
        <v>109444.5</v>
      </c>
      <c r="O346" s="14">
        <f>M346+N346</f>
        <v>109444.5</v>
      </c>
      <c r="P346" s="14">
        <f>IFERROR(ROUND(SUM(S347,S348)/I346, 2),0)</f>
        <v>580.6</v>
      </c>
      <c r="Q346" s="16">
        <v>287.14</v>
      </c>
      <c r="R346" s="14">
        <f>P346+ROUND(Q346, 2)</f>
        <v>867.74</v>
      </c>
      <c r="S346" s="14">
        <f>ROUND(P346*I346, 2)</f>
        <v>316136.7</v>
      </c>
      <c r="T346" s="14">
        <f>ROUND(I346*ROUND(Q346, 2), 2)</f>
        <v>156347.73000000001</v>
      </c>
      <c r="U346" s="14">
        <f>S346+T346</f>
        <v>472484.43000000005</v>
      </c>
      <c r="V346" s="9">
        <f>ROUND(P346 / 1.2, 2)</f>
        <v>483.83</v>
      </c>
      <c r="W346" s="9">
        <f>ROUND(Q346 / 1.2, 2)</f>
        <v>239.28</v>
      </c>
      <c r="X346" s="9">
        <f>ROUND(R346 / 1.2, 2)</f>
        <v>723.12</v>
      </c>
      <c r="Y346" s="9">
        <f t="shared" si="33"/>
        <v>263447.25</v>
      </c>
      <c r="Z346" s="9">
        <f>ROUND(T346 / 1.2, 2)</f>
        <v>130289.78</v>
      </c>
      <c r="AA346" s="9">
        <f>Y346+Z346</f>
        <v>393737.03</v>
      </c>
      <c r="AD346" s="4">
        <v>320319883</v>
      </c>
      <c r="AE346" s="4">
        <v>28040197</v>
      </c>
      <c r="AG346" s="4" t="s">
        <v>601</v>
      </c>
      <c r="AH346" s="4" t="s">
        <v>602</v>
      </c>
      <c r="AI346" s="4" t="s">
        <v>338</v>
      </c>
    </row>
    <row r="347" spans="1:35" ht="54" x14ac:dyDescent="0.3">
      <c r="A347" s="10" t="s">
        <v>1583</v>
      </c>
      <c r="B347" s="10"/>
      <c r="C347" s="28" t="s">
        <v>605</v>
      </c>
      <c r="D347" s="12"/>
      <c r="E347" s="12"/>
      <c r="F347" s="29" t="s">
        <v>76</v>
      </c>
      <c r="G347" s="30">
        <v>1.1000000000000001</v>
      </c>
      <c r="H347" s="30"/>
      <c r="I347" s="30">
        <v>598.95000000000005</v>
      </c>
      <c r="J347" s="31">
        <v>0</v>
      </c>
      <c r="M347" s="32">
        <f>ROUND(ROUND(J347, 2)*I347, 2)</f>
        <v>0</v>
      </c>
      <c r="P347" s="33">
        <v>378.5</v>
      </c>
      <c r="S347" s="32">
        <f>ROUND(ROUND(P347, 2)*I347, 2)</f>
        <v>226702.58</v>
      </c>
      <c r="V347" s="9">
        <f>ROUND(ROUND(P347, 2)/1.2, 2)</f>
        <v>315.42</v>
      </c>
      <c r="Y347" s="9">
        <f t="shared" si="33"/>
        <v>188918.82</v>
      </c>
      <c r="AD347" s="4" t="s">
        <v>1584</v>
      </c>
      <c r="AE347" s="4" t="s">
        <v>1585</v>
      </c>
      <c r="AF347" s="4" t="s">
        <v>608</v>
      </c>
    </row>
    <row r="348" spans="1:35" ht="36" x14ac:dyDescent="0.3">
      <c r="A348" s="10" t="s">
        <v>1586</v>
      </c>
      <c r="B348" s="10"/>
      <c r="C348" s="28" t="s">
        <v>612</v>
      </c>
      <c r="D348" s="12"/>
      <c r="E348" s="12"/>
      <c r="F348" s="29" t="s">
        <v>356</v>
      </c>
      <c r="G348" s="30">
        <v>1</v>
      </c>
      <c r="H348" s="49"/>
      <c r="I348" s="49">
        <v>1635</v>
      </c>
      <c r="J348" s="31">
        <v>0</v>
      </c>
      <c r="M348" s="32">
        <f>ROUND(ROUND(J348, 2)*I348, 2)</f>
        <v>0</v>
      </c>
      <c r="P348" s="33">
        <v>54.7</v>
      </c>
      <c r="S348" s="32">
        <f>ROUND(ROUND(P348, 2)*I348, 2)</f>
        <v>89434.5</v>
      </c>
      <c r="V348" s="9">
        <f>ROUND(ROUND(P348, 2)/1.2, 2)</f>
        <v>45.58</v>
      </c>
      <c r="Y348" s="9">
        <f t="shared" si="33"/>
        <v>74528.75</v>
      </c>
      <c r="AD348" s="4" t="s">
        <v>1587</v>
      </c>
      <c r="AE348" s="4" t="s">
        <v>1588</v>
      </c>
      <c r="AF348" s="4" t="s">
        <v>615</v>
      </c>
    </row>
    <row r="349" spans="1:35" ht="36" x14ac:dyDescent="0.3">
      <c r="A349" s="10" t="s">
        <v>1589</v>
      </c>
      <c r="B349" s="10" t="s">
        <v>619</v>
      </c>
      <c r="C349" s="11" t="s">
        <v>620</v>
      </c>
      <c r="D349" s="12"/>
      <c r="E349" s="12" t="s">
        <v>1590</v>
      </c>
      <c r="F349" s="12" t="s">
        <v>61</v>
      </c>
      <c r="G349" s="13">
        <v>1</v>
      </c>
      <c r="H349" s="13"/>
      <c r="I349" s="13">
        <v>276.45999999999998</v>
      </c>
      <c r="J349" s="14">
        <f>IFERROR(ROUND(SUM(M350,M351,M352,M353)/I349, 2),0)</f>
        <v>4520.22</v>
      </c>
      <c r="K349" s="15">
        <v>2310</v>
      </c>
      <c r="L349" s="14">
        <f>J349+ROUND(K349, 2)</f>
        <v>6830.22</v>
      </c>
      <c r="M349" s="14">
        <f>ROUND(J349*I349, 2)</f>
        <v>1249660.02</v>
      </c>
      <c r="N349" s="14">
        <f>ROUND(I349*ROUND(K349, 2), 2)</f>
        <v>638622.6</v>
      </c>
      <c r="O349" s="14">
        <f>M349+N349</f>
        <v>1888282.62</v>
      </c>
      <c r="P349" s="14">
        <f>IFERROR(ROUND(SUM(S350,S351,S352,S353)/I349, 2),0)</f>
        <v>4520.22</v>
      </c>
      <c r="Q349" s="16">
        <v>3300</v>
      </c>
      <c r="R349" s="14">
        <f>P349+ROUND(Q349, 2)</f>
        <v>7820.22</v>
      </c>
      <c r="S349" s="14">
        <f>ROUND(P349*I349, 2)</f>
        <v>1249660.02</v>
      </c>
      <c r="T349" s="14">
        <f>ROUND(I349*ROUND(Q349, 2), 2)</f>
        <v>912318</v>
      </c>
      <c r="U349" s="14">
        <f>S349+T349</f>
        <v>2161978.02</v>
      </c>
      <c r="V349" s="9">
        <f>ROUND(P349 / 1.2, 2)</f>
        <v>3766.85</v>
      </c>
      <c r="W349" s="9">
        <f>ROUND(Q349 / 1.2, 2)</f>
        <v>2750</v>
      </c>
      <c r="X349" s="9">
        <f>ROUND(R349 / 1.2, 2)</f>
        <v>6516.85</v>
      </c>
      <c r="Y349" s="9">
        <f t="shared" si="33"/>
        <v>1041383.35</v>
      </c>
      <c r="Z349" s="9">
        <f>ROUND(T349 / 1.2, 2)</f>
        <v>760265</v>
      </c>
      <c r="AA349" s="9">
        <f>Y349+Z349</f>
        <v>1801648.35</v>
      </c>
      <c r="AD349" s="4">
        <v>320319885</v>
      </c>
      <c r="AE349" s="4">
        <v>28040432</v>
      </c>
      <c r="AG349" s="4" t="s">
        <v>622</v>
      </c>
      <c r="AH349" s="4" t="s">
        <v>623</v>
      </c>
      <c r="AI349" s="4" t="s">
        <v>338</v>
      </c>
    </row>
    <row r="350" spans="1:35" ht="72" x14ac:dyDescent="0.3">
      <c r="A350" s="10" t="s">
        <v>1591</v>
      </c>
      <c r="B350" s="10"/>
      <c r="C350" s="47" t="s">
        <v>626</v>
      </c>
      <c r="D350" s="12"/>
      <c r="E350" s="12" t="s">
        <v>627</v>
      </c>
      <c r="F350" s="29" t="s">
        <v>356</v>
      </c>
      <c r="G350" s="30">
        <v>4</v>
      </c>
      <c r="H350" s="30"/>
      <c r="I350" s="30">
        <v>1105.8399999999999</v>
      </c>
      <c r="J350" s="31">
        <v>1118.74</v>
      </c>
      <c r="M350" s="32">
        <f>ROUND(ROUND(J350, 2)*I350, 2)</f>
        <v>1237147.44</v>
      </c>
      <c r="P350" s="33">
        <v>1118.74</v>
      </c>
      <c r="S350" s="32">
        <f>ROUND(ROUND(P350, 2)*I350, 2)</f>
        <v>1237147.44</v>
      </c>
      <c r="V350" s="9">
        <f>ROUND(ROUND(P350, 2)/1.2, 2)</f>
        <v>932.28</v>
      </c>
      <c r="Y350" s="9">
        <f t="shared" si="33"/>
        <v>1030956.2</v>
      </c>
      <c r="AD350" s="4" t="s">
        <v>1592</v>
      </c>
      <c r="AE350" s="4" t="s">
        <v>1593</v>
      </c>
      <c r="AF350" s="4" t="s">
        <v>630</v>
      </c>
    </row>
    <row r="351" spans="1:35" ht="36" x14ac:dyDescent="0.3">
      <c r="A351" s="10" t="s">
        <v>1594</v>
      </c>
      <c r="B351" s="10"/>
      <c r="C351" s="47" t="s">
        <v>634</v>
      </c>
      <c r="D351" s="12"/>
      <c r="E351" s="12"/>
      <c r="F351" s="29" t="s">
        <v>364</v>
      </c>
      <c r="G351" s="30">
        <v>1.2</v>
      </c>
      <c r="H351" s="49"/>
      <c r="I351" s="49">
        <v>331.75200000000001</v>
      </c>
      <c r="J351" s="31">
        <v>16.38</v>
      </c>
      <c r="M351" s="32">
        <f>ROUND(ROUND(J351, 2)*I351, 2)</f>
        <v>5434.1</v>
      </c>
      <c r="P351" s="33">
        <v>16.38</v>
      </c>
      <c r="S351" s="32">
        <f>ROUND(ROUND(P351, 2)*I351, 2)</f>
        <v>5434.1</v>
      </c>
      <c r="V351" s="9">
        <f>ROUND(ROUND(P351, 2)/1.2, 2)</f>
        <v>13.65</v>
      </c>
      <c r="Y351" s="9">
        <f t="shared" si="33"/>
        <v>4528.42</v>
      </c>
      <c r="AD351" s="4" t="s">
        <v>1595</v>
      </c>
      <c r="AE351" s="4" t="s">
        <v>1596</v>
      </c>
      <c r="AF351" s="4" t="s">
        <v>637</v>
      </c>
    </row>
    <row r="352" spans="1:35" ht="18" x14ac:dyDescent="0.3">
      <c r="A352" s="10" t="s">
        <v>1597</v>
      </c>
      <c r="B352" s="10"/>
      <c r="C352" s="28" t="s">
        <v>641</v>
      </c>
      <c r="D352" s="12"/>
      <c r="E352" s="12"/>
      <c r="F352" s="29" t="s">
        <v>364</v>
      </c>
      <c r="G352" s="30">
        <v>0.25</v>
      </c>
      <c r="H352" s="30"/>
      <c r="I352" s="30">
        <v>69.114999999999995</v>
      </c>
      <c r="J352" s="31">
        <v>48.23</v>
      </c>
      <c r="M352" s="32">
        <f>ROUND(ROUND(J352, 2)*I352, 2)</f>
        <v>3333.42</v>
      </c>
      <c r="P352" s="33">
        <v>48.23</v>
      </c>
      <c r="S352" s="32">
        <f>ROUND(ROUND(P352, 2)*I352, 2)</f>
        <v>3333.42</v>
      </c>
      <c r="V352" s="9">
        <f>ROUND(ROUND(P352, 2)/1.2, 2)</f>
        <v>40.19</v>
      </c>
      <c r="Y352" s="9">
        <f t="shared" si="33"/>
        <v>2777.85</v>
      </c>
      <c r="AD352" s="4" t="s">
        <v>1598</v>
      </c>
      <c r="AE352" s="4" t="s">
        <v>1599</v>
      </c>
      <c r="AF352" s="4" t="s">
        <v>644</v>
      </c>
    </row>
    <row r="353" spans="1:35" ht="36" x14ac:dyDescent="0.3">
      <c r="A353" s="10" t="s">
        <v>1600</v>
      </c>
      <c r="B353" s="10"/>
      <c r="C353" s="28" t="s">
        <v>397</v>
      </c>
      <c r="D353" s="12"/>
      <c r="E353" s="12"/>
      <c r="F353" s="29" t="s">
        <v>364</v>
      </c>
      <c r="G353" s="30">
        <v>0.15</v>
      </c>
      <c r="H353" s="30"/>
      <c r="I353" s="30">
        <v>41.469000000000001</v>
      </c>
      <c r="J353" s="31">
        <v>90.28</v>
      </c>
      <c r="M353" s="32">
        <f>ROUND(ROUND(J353, 2)*I353, 2)</f>
        <v>3743.82</v>
      </c>
      <c r="P353" s="33">
        <v>90.28</v>
      </c>
      <c r="S353" s="32">
        <f>ROUND(ROUND(P353, 2)*I353, 2)</f>
        <v>3743.82</v>
      </c>
      <c r="V353" s="9">
        <f>ROUND(ROUND(P353, 2)/1.2, 2)</f>
        <v>75.23</v>
      </c>
      <c r="Y353" s="9">
        <f t="shared" si="33"/>
        <v>3119.85</v>
      </c>
      <c r="AD353" s="4" t="s">
        <v>1601</v>
      </c>
      <c r="AE353" s="4" t="s">
        <v>1602</v>
      </c>
      <c r="AF353" s="4" t="s">
        <v>400</v>
      </c>
    </row>
    <row r="354" spans="1:35" ht="36" x14ac:dyDescent="0.3">
      <c r="A354" s="10" t="s">
        <v>1603</v>
      </c>
      <c r="B354" s="10" t="s">
        <v>653</v>
      </c>
      <c r="C354" s="11" t="s">
        <v>654</v>
      </c>
      <c r="D354" s="12"/>
      <c r="E354" s="12" t="s">
        <v>1604</v>
      </c>
      <c r="F354" s="12" t="s">
        <v>76</v>
      </c>
      <c r="G354" s="13">
        <v>1</v>
      </c>
      <c r="H354" s="13"/>
      <c r="I354" s="13">
        <v>3328.1</v>
      </c>
      <c r="J354" s="14">
        <f>IFERROR(ROUND(SUM(M355,M356,M357,M358)/I354, 2),0)</f>
        <v>858.32</v>
      </c>
      <c r="K354" s="15">
        <v>472.99</v>
      </c>
      <c r="L354" s="14">
        <f>J354+ROUND(K354, 2)</f>
        <v>1331.31</v>
      </c>
      <c r="M354" s="14">
        <f>ROUND(J354*I354, 2)</f>
        <v>2856574.79</v>
      </c>
      <c r="N354" s="14">
        <f>ROUND(I354*ROUND(K354, 2), 2)</f>
        <v>1574158.02</v>
      </c>
      <c r="O354" s="14">
        <f>M354+N354</f>
        <v>4430732.8100000005</v>
      </c>
      <c r="P354" s="14">
        <f>IFERROR(ROUND(SUM(S355,S356,S357,S358)/I354, 2),0)</f>
        <v>858.32</v>
      </c>
      <c r="Q354" s="16">
        <v>675.7</v>
      </c>
      <c r="R354" s="14">
        <f>P354+ROUND(Q354, 2)</f>
        <v>1534.02</v>
      </c>
      <c r="S354" s="14">
        <f>ROUND(P354*I354, 2)</f>
        <v>2856574.79</v>
      </c>
      <c r="T354" s="14">
        <f>ROUND(I354*ROUND(Q354, 2), 2)</f>
        <v>2248797.17</v>
      </c>
      <c r="U354" s="14">
        <f>S354+T354</f>
        <v>5105371.96</v>
      </c>
      <c r="V354" s="9">
        <f>ROUND(P354 / 1.2, 2)</f>
        <v>715.27</v>
      </c>
      <c r="W354" s="9">
        <f>ROUND(Q354 / 1.2, 2)</f>
        <v>563.08000000000004</v>
      </c>
      <c r="X354" s="9">
        <f>ROUND(R354 / 1.2, 2)</f>
        <v>1278.3499999999999</v>
      </c>
      <c r="Y354" s="9">
        <f t="shared" si="33"/>
        <v>2380478.9900000002</v>
      </c>
      <c r="Z354" s="9">
        <f>ROUND(T354 / 1.2, 2)</f>
        <v>1873997.64</v>
      </c>
      <c r="AA354" s="9">
        <f>Y354+Z354</f>
        <v>4254476.63</v>
      </c>
      <c r="AD354" s="4">
        <v>320319887</v>
      </c>
      <c r="AE354" s="4">
        <v>28040615</v>
      </c>
      <c r="AG354" s="4" t="s">
        <v>656</v>
      </c>
      <c r="AH354" s="4" t="s">
        <v>657</v>
      </c>
      <c r="AI354" s="4" t="s">
        <v>338</v>
      </c>
    </row>
    <row r="355" spans="1:35" ht="36" x14ac:dyDescent="0.3">
      <c r="A355" s="10" t="s">
        <v>1605</v>
      </c>
      <c r="B355" s="10"/>
      <c r="C355" s="47" t="s">
        <v>660</v>
      </c>
      <c r="D355" s="12"/>
      <c r="E355" s="12"/>
      <c r="F355" s="29" t="s">
        <v>364</v>
      </c>
      <c r="G355" s="30">
        <v>0.7</v>
      </c>
      <c r="H355" s="49"/>
      <c r="I355" s="49">
        <v>2329.67</v>
      </c>
      <c r="J355" s="31">
        <v>16.38</v>
      </c>
      <c r="M355" s="32">
        <f>ROUND(ROUND(J355, 2)*I355, 2)</f>
        <v>38159.99</v>
      </c>
      <c r="P355" s="33">
        <v>16.38</v>
      </c>
      <c r="S355" s="32">
        <f>ROUND(ROUND(P355, 2)*I355, 2)</f>
        <v>38159.99</v>
      </c>
      <c r="V355" s="9">
        <f>ROUND(ROUND(P355, 2)/1.2, 2)</f>
        <v>13.65</v>
      </c>
      <c r="Y355" s="9">
        <f t="shared" si="33"/>
        <v>31799.99</v>
      </c>
      <c r="AD355" s="4" t="s">
        <v>1606</v>
      </c>
      <c r="AE355" s="4" t="s">
        <v>1607</v>
      </c>
      <c r="AF355" s="4" t="s">
        <v>663</v>
      </c>
    </row>
    <row r="356" spans="1:35" ht="72" x14ac:dyDescent="0.3">
      <c r="A356" s="10" t="s">
        <v>1608</v>
      </c>
      <c r="B356" s="10"/>
      <c r="C356" s="28" t="s">
        <v>667</v>
      </c>
      <c r="D356" s="12"/>
      <c r="E356" s="12" t="s">
        <v>668</v>
      </c>
      <c r="F356" s="29" t="s">
        <v>356</v>
      </c>
      <c r="G356" s="30">
        <v>1.84</v>
      </c>
      <c r="H356" s="49"/>
      <c r="I356" s="49">
        <v>6123.7039999999997</v>
      </c>
      <c r="J356" s="31">
        <v>458.46</v>
      </c>
      <c r="M356" s="32">
        <f>ROUND(ROUND(J356, 2)*I356, 2)</f>
        <v>2807473.34</v>
      </c>
      <c r="P356" s="33">
        <v>458.46</v>
      </c>
      <c r="S356" s="32">
        <f>ROUND(ROUND(P356, 2)*I356, 2)</f>
        <v>2807473.34</v>
      </c>
      <c r="V356" s="9">
        <f>ROUND(ROUND(P356, 2)/1.2, 2)</f>
        <v>382.05</v>
      </c>
      <c r="Y356" s="9">
        <f t="shared" si="33"/>
        <v>2339561.12</v>
      </c>
      <c r="AD356" s="4" t="s">
        <v>1609</v>
      </c>
      <c r="AE356" s="4" t="s">
        <v>1610</v>
      </c>
      <c r="AF356" s="4" t="s">
        <v>671</v>
      </c>
    </row>
    <row r="357" spans="1:35" ht="18" x14ac:dyDescent="0.3">
      <c r="A357" s="10" t="s">
        <v>1611</v>
      </c>
      <c r="B357" s="10"/>
      <c r="C357" s="28" t="s">
        <v>641</v>
      </c>
      <c r="D357" s="12"/>
      <c r="E357" s="12"/>
      <c r="F357" s="29" t="s">
        <v>364</v>
      </c>
      <c r="G357" s="30">
        <v>0.04</v>
      </c>
      <c r="H357" s="30"/>
      <c r="I357" s="30">
        <v>133.124</v>
      </c>
      <c r="J357" s="31">
        <v>48.23</v>
      </c>
      <c r="M357" s="32">
        <f>ROUND(ROUND(J357, 2)*I357, 2)</f>
        <v>6420.57</v>
      </c>
      <c r="P357" s="33">
        <v>48.23</v>
      </c>
      <c r="S357" s="32">
        <f>ROUND(ROUND(P357, 2)*I357, 2)</f>
        <v>6420.57</v>
      </c>
      <c r="V357" s="9">
        <f>ROUND(ROUND(P357, 2)/1.2, 2)</f>
        <v>40.19</v>
      </c>
      <c r="Y357" s="9">
        <f t="shared" si="33"/>
        <v>5350.48</v>
      </c>
      <c r="AD357" s="4" t="s">
        <v>1612</v>
      </c>
      <c r="AE357" s="4" t="s">
        <v>1613</v>
      </c>
      <c r="AF357" s="4" t="s">
        <v>644</v>
      </c>
    </row>
    <row r="358" spans="1:35" ht="36" x14ac:dyDescent="0.3">
      <c r="A358" s="10" t="s">
        <v>1614</v>
      </c>
      <c r="B358" s="10"/>
      <c r="C358" s="28" t="s">
        <v>680</v>
      </c>
      <c r="D358" s="12"/>
      <c r="E358" s="12"/>
      <c r="F358" s="29" t="s">
        <v>364</v>
      </c>
      <c r="G358" s="30">
        <v>1.4999999999999999E-2</v>
      </c>
      <c r="H358" s="30"/>
      <c r="I358" s="30">
        <v>49.921999999999997</v>
      </c>
      <c r="J358" s="31">
        <v>90.28</v>
      </c>
      <c r="M358" s="32">
        <f>ROUND(ROUND(J358, 2)*I358, 2)</f>
        <v>4506.96</v>
      </c>
      <c r="P358" s="33">
        <v>90.28</v>
      </c>
      <c r="S358" s="32">
        <f>ROUND(ROUND(P358, 2)*I358, 2)</f>
        <v>4506.96</v>
      </c>
      <c r="V358" s="9">
        <f>ROUND(ROUND(P358, 2)/1.2, 2)</f>
        <v>75.23</v>
      </c>
      <c r="Y358" s="9">
        <f t="shared" si="33"/>
        <v>3755.8</v>
      </c>
      <c r="AD358" s="4" t="s">
        <v>1615</v>
      </c>
      <c r="AE358" s="4" t="s">
        <v>1616</v>
      </c>
      <c r="AF358" s="4" t="s">
        <v>683</v>
      </c>
    </row>
    <row r="359" spans="1:35" ht="36" x14ac:dyDescent="0.3">
      <c r="A359" s="10" t="s">
        <v>1617</v>
      </c>
      <c r="B359" s="10" t="s">
        <v>653</v>
      </c>
      <c r="C359" s="11" t="s">
        <v>654</v>
      </c>
      <c r="D359" s="12"/>
      <c r="E359" s="12" t="s">
        <v>1618</v>
      </c>
      <c r="F359" s="12" t="s">
        <v>76</v>
      </c>
      <c r="G359" s="13">
        <v>1</v>
      </c>
      <c r="H359" s="13"/>
      <c r="I359" s="13">
        <v>2324.1</v>
      </c>
      <c r="J359" s="14">
        <f>IFERROR(ROUND(SUM(M360,M361,M362,M363)/I359, 2),0)</f>
        <v>858.32</v>
      </c>
      <c r="K359" s="15">
        <v>472.99</v>
      </c>
      <c r="L359" s="14">
        <f>J359+ROUND(K359, 2)</f>
        <v>1331.31</v>
      </c>
      <c r="M359" s="14">
        <f>ROUND(J359*I359, 2)</f>
        <v>1994821.51</v>
      </c>
      <c r="N359" s="14">
        <f>ROUND(I359*ROUND(K359, 2), 2)</f>
        <v>1099276.06</v>
      </c>
      <c r="O359" s="14">
        <f>M359+N359</f>
        <v>3094097.5700000003</v>
      </c>
      <c r="P359" s="14">
        <f>IFERROR(ROUND(SUM(S360,S361,S362,S363)/I359, 2),0)</f>
        <v>858.32</v>
      </c>
      <c r="Q359" s="16">
        <v>675.7</v>
      </c>
      <c r="R359" s="14">
        <f>P359+ROUND(Q359, 2)</f>
        <v>1534.02</v>
      </c>
      <c r="S359" s="14">
        <f>ROUND(P359*I359, 2)</f>
        <v>1994821.51</v>
      </c>
      <c r="T359" s="14">
        <f>ROUND(I359*ROUND(Q359, 2), 2)</f>
        <v>1570394.37</v>
      </c>
      <c r="U359" s="14">
        <f>S359+T359</f>
        <v>3565215.88</v>
      </c>
      <c r="V359" s="9">
        <f>ROUND(P359 / 1.2, 2)</f>
        <v>715.27</v>
      </c>
      <c r="W359" s="9">
        <f>ROUND(Q359 / 1.2, 2)</f>
        <v>563.08000000000004</v>
      </c>
      <c r="X359" s="9">
        <f>ROUND(R359 / 1.2, 2)</f>
        <v>1278.3499999999999</v>
      </c>
      <c r="Y359" s="9">
        <f t="shared" si="33"/>
        <v>1662351.26</v>
      </c>
      <c r="Z359" s="9">
        <f>ROUND(T359 / 1.2, 2)</f>
        <v>1308661.98</v>
      </c>
      <c r="AA359" s="9">
        <f>Y359+Z359</f>
        <v>2971013.24</v>
      </c>
      <c r="AD359" s="4">
        <v>320319935</v>
      </c>
      <c r="AE359" s="4">
        <v>28048960</v>
      </c>
      <c r="AG359" s="4" t="s">
        <v>656</v>
      </c>
      <c r="AH359" s="4" t="s">
        <v>657</v>
      </c>
      <c r="AI359" s="4" t="s">
        <v>338</v>
      </c>
    </row>
    <row r="360" spans="1:35" ht="36" x14ac:dyDescent="0.3">
      <c r="A360" s="10" t="s">
        <v>1619</v>
      </c>
      <c r="B360" s="10"/>
      <c r="C360" s="28" t="s">
        <v>680</v>
      </c>
      <c r="D360" s="12"/>
      <c r="E360" s="12"/>
      <c r="F360" s="29" t="s">
        <v>364</v>
      </c>
      <c r="G360" s="30">
        <v>1.4999999999999999E-2</v>
      </c>
      <c r="H360" s="30"/>
      <c r="I360" s="30">
        <v>34.862000000000002</v>
      </c>
      <c r="J360" s="31">
        <v>90.28</v>
      </c>
      <c r="M360" s="32">
        <f>ROUND(ROUND(J360, 2)*I360, 2)</f>
        <v>3147.34</v>
      </c>
      <c r="P360" s="33">
        <v>90.28</v>
      </c>
      <c r="S360" s="32">
        <f>ROUND(ROUND(P360, 2)*I360, 2)</f>
        <v>3147.34</v>
      </c>
      <c r="V360" s="9">
        <f>ROUND(ROUND(P360, 2)/1.2, 2)</f>
        <v>75.23</v>
      </c>
      <c r="Y360" s="9">
        <f t="shared" si="33"/>
        <v>2622.78</v>
      </c>
      <c r="AD360" s="4" t="s">
        <v>1620</v>
      </c>
      <c r="AE360" s="4" t="s">
        <v>1621</v>
      </c>
      <c r="AF360" s="4" t="s">
        <v>683</v>
      </c>
    </row>
    <row r="361" spans="1:35" ht="18" x14ac:dyDescent="0.3">
      <c r="A361" s="10" t="s">
        <v>1622</v>
      </c>
      <c r="B361" s="10"/>
      <c r="C361" s="28" t="s">
        <v>641</v>
      </c>
      <c r="D361" s="12"/>
      <c r="E361" s="12"/>
      <c r="F361" s="29" t="s">
        <v>364</v>
      </c>
      <c r="G361" s="30">
        <v>0.04</v>
      </c>
      <c r="H361" s="30"/>
      <c r="I361" s="30">
        <v>92.963999999999999</v>
      </c>
      <c r="J361" s="31">
        <v>48.23</v>
      </c>
      <c r="M361" s="32">
        <f>ROUND(ROUND(J361, 2)*I361, 2)</f>
        <v>4483.6499999999996</v>
      </c>
      <c r="P361" s="33">
        <v>48.23</v>
      </c>
      <c r="S361" s="32">
        <f>ROUND(ROUND(P361, 2)*I361, 2)</f>
        <v>4483.6499999999996</v>
      </c>
      <c r="V361" s="9">
        <f>ROUND(ROUND(P361, 2)/1.2, 2)</f>
        <v>40.19</v>
      </c>
      <c r="Y361" s="9">
        <f t="shared" si="33"/>
        <v>3736.38</v>
      </c>
      <c r="AD361" s="4" t="s">
        <v>1623</v>
      </c>
      <c r="AE361" s="4" t="s">
        <v>1624</v>
      </c>
      <c r="AF361" s="4" t="s">
        <v>644</v>
      </c>
    </row>
    <row r="362" spans="1:35" ht="72" x14ac:dyDescent="0.3">
      <c r="A362" s="10" t="s">
        <v>1625</v>
      </c>
      <c r="B362" s="10"/>
      <c r="C362" s="28" t="s">
        <v>667</v>
      </c>
      <c r="D362" s="12"/>
      <c r="E362" s="12" t="s">
        <v>700</v>
      </c>
      <c r="F362" s="29" t="s">
        <v>356</v>
      </c>
      <c r="G362" s="30">
        <v>1.84</v>
      </c>
      <c r="H362" s="49"/>
      <c r="I362" s="49">
        <v>4276.3440000000001</v>
      </c>
      <c r="J362" s="31">
        <v>458.46</v>
      </c>
      <c r="M362" s="32">
        <f>ROUND(ROUND(J362, 2)*I362, 2)</f>
        <v>1960532.67</v>
      </c>
      <c r="P362" s="33">
        <v>458.46</v>
      </c>
      <c r="S362" s="32">
        <f>ROUND(ROUND(P362, 2)*I362, 2)</f>
        <v>1960532.67</v>
      </c>
      <c r="V362" s="9">
        <f>ROUND(ROUND(P362, 2)/1.2, 2)</f>
        <v>382.05</v>
      </c>
      <c r="Y362" s="9">
        <f t="shared" si="33"/>
        <v>1633777.23</v>
      </c>
      <c r="AD362" s="4" t="s">
        <v>1626</v>
      </c>
      <c r="AE362" s="4" t="s">
        <v>1627</v>
      </c>
      <c r="AF362" s="4" t="s">
        <v>671</v>
      </c>
    </row>
    <row r="363" spans="1:35" ht="36" x14ac:dyDescent="0.3">
      <c r="A363" s="10" t="s">
        <v>1628</v>
      </c>
      <c r="B363" s="10"/>
      <c r="C363" s="47" t="s">
        <v>660</v>
      </c>
      <c r="D363" s="12"/>
      <c r="E363" s="12"/>
      <c r="F363" s="29" t="s">
        <v>364</v>
      </c>
      <c r="G363" s="30">
        <v>0.7</v>
      </c>
      <c r="H363" s="49"/>
      <c r="I363" s="49">
        <v>1626.87</v>
      </c>
      <c r="J363" s="31">
        <v>16.38</v>
      </c>
      <c r="M363" s="32">
        <f>ROUND(ROUND(J363, 2)*I363, 2)</f>
        <v>26648.13</v>
      </c>
      <c r="P363" s="33">
        <v>16.38</v>
      </c>
      <c r="S363" s="32">
        <f>ROUND(ROUND(P363, 2)*I363, 2)</f>
        <v>26648.13</v>
      </c>
      <c r="V363" s="9">
        <f>ROUND(ROUND(P363, 2)/1.2, 2)</f>
        <v>13.65</v>
      </c>
      <c r="Y363" s="9">
        <f t="shared" si="33"/>
        <v>22206.78</v>
      </c>
      <c r="AD363" s="4" t="s">
        <v>1629</v>
      </c>
      <c r="AE363" s="4" t="s">
        <v>1630</v>
      </c>
      <c r="AF363" s="4" t="s">
        <v>663</v>
      </c>
    </row>
    <row r="364" spans="1:35" ht="36" x14ac:dyDescent="0.3">
      <c r="A364" s="10" t="s">
        <v>1631</v>
      </c>
      <c r="B364" s="10" t="s">
        <v>653</v>
      </c>
      <c r="C364" s="11" t="s">
        <v>654</v>
      </c>
      <c r="D364" s="12"/>
      <c r="E364" s="12" t="s">
        <v>1632</v>
      </c>
      <c r="F364" s="12" t="s">
        <v>76</v>
      </c>
      <c r="G364" s="13">
        <v>1</v>
      </c>
      <c r="H364" s="13"/>
      <c r="I364" s="13">
        <v>892.1</v>
      </c>
      <c r="J364" s="14">
        <f>IFERROR(ROUND(SUM(M365,M366,M367,M368)/I364, 2),0)</f>
        <v>858.32</v>
      </c>
      <c r="K364" s="15">
        <v>472.99</v>
      </c>
      <c r="L364" s="14">
        <f>J364+ROUND(K364, 2)</f>
        <v>1331.31</v>
      </c>
      <c r="M364" s="14">
        <f>ROUND(J364*I364, 2)</f>
        <v>765707.27</v>
      </c>
      <c r="N364" s="14">
        <f>ROUND(I364*ROUND(K364, 2), 2)</f>
        <v>421954.38</v>
      </c>
      <c r="O364" s="14">
        <f>M364+N364</f>
        <v>1187661.6499999999</v>
      </c>
      <c r="P364" s="14">
        <f>IFERROR(ROUND(SUM(S365,S366,S367,S368)/I364, 2),0)</f>
        <v>858.32</v>
      </c>
      <c r="Q364" s="16">
        <v>675.7</v>
      </c>
      <c r="R364" s="14">
        <f>P364+ROUND(Q364, 2)</f>
        <v>1534.02</v>
      </c>
      <c r="S364" s="14">
        <f>ROUND(P364*I364, 2)</f>
        <v>765707.27</v>
      </c>
      <c r="T364" s="14">
        <f>ROUND(I364*ROUND(Q364, 2), 2)</f>
        <v>602791.97</v>
      </c>
      <c r="U364" s="14">
        <f>S364+T364</f>
        <v>1368499.24</v>
      </c>
      <c r="V364" s="9">
        <f>ROUND(P364 / 1.2, 2)</f>
        <v>715.27</v>
      </c>
      <c r="W364" s="9">
        <f>ROUND(Q364 / 1.2, 2)</f>
        <v>563.08000000000004</v>
      </c>
      <c r="X364" s="9">
        <f>ROUND(R364 / 1.2, 2)</f>
        <v>1278.3499999999999</v>
      </c>
      <c r="Y364" s="9">
        <f t="shared" si="33"/>
        <v>638089.39</v>
      </c>
      <c r="Z364" s="9">
        <f>ROUND(T364 / 1.2, 2)</f>
        <v>502326.64</v>
      </c>
      <c r="AA364" s="9">
        <f>Y364+Z364</f>
        <v>1140416.03</v>
      </c>
      <c r="AD364" s="4">
        <v>320319936</v>
      </c>
      <c r="AE364" s="4">
        <v>28048962</v>
      </c>
      <c r="AG364" s="4" t="s">
        <v>656</v>
      </c>
      <c r="AH364" s="4" t="s">
        <v>657</v>
      </c>
      <c r="AI364" s="4" t="s">
        <v>338</v>
      </c>
    </row>
    <row r="365" spans="1:35" ht="36" x14ac:dyDescent="0.3">
      <c r="A365" s="10" t="s">
        <v>1633</v>
      </c>
      <c r="B365" s="10"/>
      <c r="C365" s="47" t="s">
        <v>660</v>
      </c>
      <c r="D365" s="12"/>
      <c r="E365" s="12"/>
      <c r="F365" s="29" t="s">
        <v>364</v>
      </c>
      <c r="G365" s="30">
        <v>0.7</v>
      </c>
      <c r="H365" s="49"/>
      <c r="I365" s="49">
        <v>624.47</v>
      </c>
      <c r="J365" s="31">
        <v>16.38</v>
      </c>
      <c r="M365" s="32">
        <f>ROUND(ROUND(J365, 2)*I365, 2)</f>
        <v>10228.82</v>
      </c>
      <c r="P365" s="33">
        <v>16.38</v>
      </c>
      <c r="S365" s="32">
        <f>ROUND(ROUND(P365, 2)*I365, 2)</f>
        <v>10228.82</v>
      </c>
      <c r="V365" s="9">
        <f>ROUND(ROUND(P365, 2)/1.2, 2)</f>
        <v>13.65</v>
      </c>
      <c r="Y365" s="9">
        <f t="shared" si="33"/>
        <v>8524.02</v>
      </c>
      <c r="AD365" s="4" t="s">
        <v>1634</v>
      </c>
      <c r="AE365" s="4" t="s">
        <v>1635</v>
      </c>
      <c r="AF365" s="4" t="s">
        <v>663</v>
      </c>
    </row>
    <row r="366" spans="1:35" ht="54" x14ac:dyDescent="0.3">
      <c r="A366" s="10" t="s">
        <v>1636</v>
      </c>
      <c r="B366" s="10"/>
      <c r="C366" s="28" t="s">
        <v>667</v>
      </c>
      <c r="D366" s="12"/>
      <c r="E366" s="12" t="s">
        <v>720</v>
      </c>
      <c r="F366" s="29" t="s">
        <v>356</v>
      </c>
      <c r="G366" s="30">
        <v>1.84</v>
      </c>
      <c r="H366" s="49"/>
      <c r="I366" s="49">
        <v>1641.4639999999999</v>
      </c>
      <c r="J366" s="31">
        <v>458.46</v>
      </c>
      <c r="M366" s="32">
        <f>ROUND(ROUND(J366, 2)*I366, 2)</f>
        <v>752545.59</v>
      </c>
      <c r="P366" s="33">
        <v>458.46</v>
      </c>
      <c r="S366" s="32">
        <f>ROUND(ROUND(P366, 2)*I366, 2)</f>
        <v>752545.59</v>
      </c>
      <c r="V366" s="9">
        <f>ROUND(ROUND(P366, 2)/1.2, 2)</f>
        <v>382.05</v>
      </c>
      <c r="Y366" s="9">
        <f t="shared" si="33"/>
        <v>627121.32999999996</v>
      </c>
      <c r="AD366" s="4" t="s">
        <v>1637</v>
      </c>
      <c r="AE366" s="4" t="s">
        <v>1638</v>
      </c>
      <c r="AF366" s="4" t="s">
        <v>671</v>
      </c>
    </row>
    <row r="367" spans="1:35" ht="18" x14ac:dyDescent="0.3">
      <c r="A367" s="10" t="s">
        <v>1639</v>
      </c>
      <c r="B367" s="10"/>
      <c r="C367" s="28" t="s">
        <v>641</v>
      </c>
      <c r="D367" s="12"/>
      <c r="E367" s="12"/>
      <c r="F367" s="29" t="s">
        <v>364</v>
      </c>
      <c r="G367" s="30">
        <v>0.04</v>
      </c>
      <c r="H367" s="30"/>
      <c r="I367" s="30">
        <v>35.683999999999997</v>
      </c>
      <c r="J367" s="31">
        <v>48.23</v>
      </c>
      <c r="M367" s="32">
        <f>ROUND(ROUND(J367, 2)*I367, 2)</f>
        <v>1721.04</v>
      </c>
      <c r="P367" s="33">
        <v>48.23</v>
      </c>
      <c r="S367" s="32">
        <f>ROUND(ROUND(P367, 2)*I367, 2)</f>
        <v>1721.04</v>
      </c>
      <c r="V367" s="9">
        <f>ROUND(ROUND(P367, 2)/1.2, 2)</f>
        <v>40.19</v>
      </c>
      <c r="Y367" s="9">
        <f t="shared" si="33"/>
        <v>1434.2</v>
      </c>
      <c r="AD367" s="4" t="s">
        <v>1640</v>
      </c>
      <c r="AE367" s="4" t="s">
        <v>1641</v>
      </c>
      <c r="AF367" s="4" t="s">
        <v>644</v>
      </c>
    </row>
    <row r="368" spans="1:35" ht="36" x14ac:dyDescent="0.3">
      <c r="A368" s="10" t="s">
        <v>1642</v>
      </c>
      <c r="B368" s="10"/>
      <c r="C368" s="28" t="s">
        <v>680</v>
      </c>
      <c r="D368" s="12"/>
      <c r="E368" s="12"/>
      <c r="F368" s="29" t="s">
        <v>364</v>
      </c>
      <c r="G368" s="30">
        <v>1.4999999999999999E-2</v>
      </c>
      <c r="H368" s="30"/>
      <c r="I368" s="30">
        <v>13.382</v>
      </c>
      <c r="J368" s="31">
        <v>90.28</v>
      </c>
      <c r="M368" s="32">
        <f>ROUND(ROUND(J368, 2)*I368, 2)</f>
        <v>1208.1300000000001</v>
      </c>
      <c r="P368" s="33">
        <v>90.28</v>
      </c>
      <c r="S368" s="32">
        <f>ROUND(ROUND(P368, 2)*I368, 2)</f>
        <v>1208.1300000000001</v>
      </c>
      <c r="V368" s="9">
        <f>ROUND(ROUND(P368, 2)/1.2, 2)</f>
        <v>75.23</v>
      </c>
      <c r="Y368" s="9">
        <f t="shared" si="33"/>
        <v>1006.78</v>
      </c>
      <c r="AD368" s="4" t="s">
        <v>1643</v>
      </c>
      <c r="AE368" s="4" t="s">
        <v>1644</v>
      </c>
      <c r="AF368" s="4" t="s">
        <v>683</v>
      </c>
    </row>
    <row r="369" spans="1:35" ht="54" x14ac:dyDescent="0.3">
      <c r="A369" s="10" t="s">
        <v>1645</v>
      </c>
      <c r="B369" s="10" t="s">
        <v>737</v>
      </c>
      <c r="C369" s="11" t="s">
        <v>738</v>
      </c>
      <c r="D369" s="12"/>
      <c r="E369" s="12" t="s">
        <v>1604</v>
      </c>
      <c r="F369" s="12" t="s">
        <v>61</v>
      </c>
      <c r="G369" s="13">
        <v>1</v>
      </c>
      <c r="H369" s="13"/>
      <c r="I369" s="13">
        <v>3824.31</v>
      </c>
      <c r="J369" s="14">
        <f>IFERROR(ROUND(SUM(M370,M371,M372,M373)/I369, 2),0)</f>
        <v>2380.17</v>
      </c>
      <c r="K369" s="15">
        <v>1655</v>
      </c>
      <c r="L369" s="14">
        <f>J369+ROUND(K369, 2)</f>
        <v>4035.17</v>
      </c>
      <c r="M369" s="14">
        <f>ROUND(J369*I369, 2)</f>
        <v>9102507.9299999997</v>
      </c>
      <c r="N369" s="14">
        <f>ROUND(I369*ROUND(K369, 2), 2)</f>
        <v>6329233.0499999998</v>
      </c>
      <c r="O369" s="14">
        <f>M369+N369</f>
        <v>15431740.98</v>
      </c>
      <c r="P369" s="14">
        <f>IFERROR(ROUND(SUM(S370,S371,S372,S373)/I369, 2),0)</f>
        <v>2380.17</v>
      </c>
      <c r="Q369" s="16">
        <v>2364.29</v>
      </c>
      <c r="R369" s="14">
        <f>P369+ROUND(Q369, 2)</f>
        <v>4744.46</v>
      </c>
      <c r="S369" s="14">
        <f>ROUND(P369*I369, 2)</f>
        <v>9102507.9299999997</v>
      </c>
      <c r="T369" s="14">
        <f>ROUND(I369*ROUND(Q369, 2), 2)</f>
        <v>9041777.8900000006</v>
      </c>
      <c r="U369" s="14">
        <f>S369+T369</f>
        <v>18144285.82</v>
      </c>
      <c r="V369" s="9">
        <f>ROUND(P369 / 1.2, 2)</f>
        <v>1983.48</v>
      </c>
      <c r="W369" s="9">
        <f>ROUND(Q369 / 1.2, 2)</f>
        <v>1970.24</v>
      </c>
      <c r="X369" s="9">
        <f>ROUND(R369 / 1.2, 2)</f>
        <v>3953.72</v>
      </c>
      <c r="Y369" s="9">
        <f t="shared" ref="Y369:Y388" si="34">ROUND(S369 / 1.2, 2)</f>
        <v>7585423.2800000003</v>
      </c>
      <c r="Z369" s="9">
        <f>ROUND(T369 / 1.2, 2)</f>
        <v>7534814.9100000001</v>
      </c>
      <c r="AA369" s="9">
        <f>Y369+Z369</f>
        <v>15120238.190000001</v>
      </c>
      <c r="AD369" s="4">
        <v>320319889</v>
      </c>
      <c r="AE369" s="4">
        <v>28048959</v>
      </c>
      <c r="AG369" s="4" t="s">
        <v>739</v>
      </c>
      <c r="AH369" s="4" t="s">
        <v>740</v>
      </c>
      <c r="AI369" s="4" t="s">
        <v>338</v>
      </c>
    </row>
    <row r="370" spans="1:35" ht="54" x14ac:dyDescent="0.3">
      <c r="A370" s="10" t="s">
        <v>1646</v>
      </c>
      <c r="B370" s="10"/>
      <c r="C370" s="28" t="s">
        <v>743</v>
      </c>
      <c r="D370" s="12"/>
      <c r="E370" s="12" t="s">
        <v>744</v>
      </c>
      <c r="F370" s="29" t="s">
        <v>61</v>
      </c>
      <c r="G370" s="30">
        <v>1.07</v>
      </c>
      <c r="H370" s="49"/>
      <c r="I370" s="49">
        <v>4092.0120000000002</v>
      </c>
      <c r="J370" s="31">
        <v>2093.37</v>
      </c>
      <c r="M370" s="32">
        <f>ROUND(ROUND(J370, 2)*I370, 2)</f>
        <v>8566095.1600000001</v>
      </c>
      <c r="P370" s="33">
        <v>2093.37</v>
      </c>
      <c r="S370" s="32">
        <f>ROUND(ROUND(P370, 2)*I370, 2)</f>
        <v>8566095.1600000001</v>
      </c>
      <c r="V370" s="9">
        <f>ROUND(ROUND(P370, 2)/1.2, 2)</f>
        <v>1744.48</v>
      </c>
      <c r="Y370" s="9">
        <f t="shared" si="34"/>
        <v>7138412.6299999999</v>
      </c>
      <c r="AD370" s="4" t="s">
        <v>1647</v>
      </c>
      <c r="AE370" s="4" t="s">
        <v>1648</v>
      </c>
      <c r="AF370" s="4" t="s">
        <v>747</v>
      </c>
    </row>
    <row r="371" spans="1:35" ht="36" x14ac:dyDescent="0.3">
      <c r="A371" s="10" t="s">
        <v>1649</v>
      </c>
      <c r="B371" s="10"/>
      <c r="C371" s="47" t="s">
        <v>751</v>
      </c>
      <c r="D371" s="12"/>
      <c r="E371" s="12"/>
      <c r="F371" s="29" t="s">
        <v>364</v>
      </c>
      <c r="G371" s="30">
        <v>7</v>
      </c>
      <c r="H371" s="30"/>
      <c r="I371" s="30">
        <v>26770.17</v>
      </c>
      <c r="J371" s="31">
        <v>16.38</v>
      </c>
      <c r="M371" s="32">
        <f>ROUND(ROUND(J371, 2)*I371, 2)</f>
        <v>438495.38</v>
      </c>
      <c r="P371" s="33">
        <v>16.38</v>
      </c>
      <c r="S371" s="32">
        <f>ROUND(ROUND(P371, 2)*I371, 2)</f>
        <v>438495.38</v>
      </c>
      <c r="V371" s="9">
        <f>ROUND(ROUND(P371, 2)/1.2, 2)</f>
        <v>13.65</v>
      </c>
      <c r="Y371" s="9">
        <f t="shared" si="34"/>
        <v>365412.82</v>
      </c>
      <c r="AD371" s="4" t="s">
        <v>1650</v>
      </c>
      <c r="AE371" s="4" t="s">
        <v>1651</v>
      </c>
      <c r="AF371" s="4" t="s">
        <v>754</v>
      </c>
    </row>
    <row r="372" spans="1:35" ht="18" x14ac:dyDescent="0.3">
      <c r="A372" s="10" t="s">
        <v>1652</v>
      </c>
      <c r="B372" s="10"/>
      <c r="C372" s="28" t="s">
        <v>641</v>
      </c>
      <c r="D372" s="12"/>
      <c r="E372" s="12"/>
      <c r="F372" s="29" t="s">
        <v>364</v>
      </c>
      <c r="G372" s="30">
        <v>0.25</v>
      </c>
      <c r="H372" s="49"/>
      <c r="I372" s="49">
        <v>956.07799999999997</v>
      </c>
      <c r="J372" s="31">
        <v>48.23</v>
      </c>
      <c r="M372" s="32">
        <f>ROUND(ROUND(J372, 2)*I372, 2)</f>
        <v>46111.64</v>
      </c>
      <c r="P372" s="33">
        <v>48.23</v>
      </c>
      <c r="S372" s="32">
        <f>ROUND(ROUND(P372, 2)*I372, 2)</f>
        <v>46111.64</v>
      </c>
      <c r="V372" s="9">
        <f>ROUND(ROUND(P372, 2)/1.2, 2)</f>
        <v>40.19</v>
      </c>
      <c r="Y372" s="9">
        <f t="shared" si="34"/>
        <v>38426.370000000003</v>
      </c>
      <c r="AD372" s="4" t="s">
        <v>1653</v>
      </c>
      <c r="AE372" s="4" t="s">
        <v>1654</v>
      </c>
      <c r="AF372" s="4" t="s">
        <v>644</v>
      </c>
    </row>
    <row r="373" spans="1:35" ht="36" x14ac:dyDescent="0.3">
      <c r="A373" s="10" t="s">
        <v>1655</v>
      </c>
      <c r="B373" s="10"/>
      <c r="C373" s="28" t="s">
        <v>680</v>
      </c>
      <c r="D373" s="12"/>
      <c r="E373" s="12"/>
      <c r="F373" s="29" t="s">
        <v>364</v>
      </c>
      <c r="G373" s="30">
        <v>0.15</v>
      </c>
      <c r="H373" s="30"/>
      <c r="I373" s="30">
        <v>573.64700000000005</v>
      </c>
      <c r="J373" s="31">
        <v>90.28</v>
      </c>
      <c r="M373" s="32">
        <f>ROUND(ROUND(J373, 2)*I373, 2)</f>
        <v>51788.85</v>
      </c>
      <c r="P373" s="33">
        <v>90.28</v>
      </c>
      <c r="S373" s="32">
        <f>ROUND(ROUND(P373, 2)*I373, 2)</f>
        <v>51788.85</v>
      </c>
      <c r="V373" s="9">
        <f>ROUND(ROUND(P373, 2)/1.2, 2)</f>
        <v>75.23</v>
      </c>
      <c r="Y373" s="9">
        <f t="shared" si="34"/>
        <v>43157.38</v>
      </c>
      <c r="AD373" s="4" t="s">
        <v>1656</v>
      </c>
      <c r="AE373" s="4" t="s">
        <v>1657</v>
      </c>
      <c r="AF373" s="4" t="s">
        <v>683</v>
      </c>
    </row>
    <row r="374" spans="1:35" ht="54" x14ac:dyDescent="0.3">
      <c r="A374" s="10" t="s">
        <v>1658</v>
      </c>
      <c r="B374" s="10" t="s">
        <v>737</v>
      </c>
      <c r="C374" s="11" t="s">
        <v>738</v>
      </c>
      <c r="D374" s="12"/>
      <c r="E374" s="12" t="s">
        <v>1659</v>
      </c>
      <c r="F374" s="12" t="s">
        <v>61</v>
      </c>
      <c r="G374" s="13">
        <v>1</v>
      </c>
      <c r="H374" s="13"/>
      <c r="I374" s="13">
        <v>87.2</v>
      </c>
      <c r="J374" s="14">
        <f>IFERROR(ROUND(SUM(M375,M376,M377,M378)/I374, 2),0)</f>
        <v>2380.17</v>
      </c>
      <c r="K374" s="15">
        <v>1655</v>
      </c>
      <c r="L374" s="14">
        <f>J374+ROUND(K374, 2)</f>
        <v>4035.17</v>
      </c>
      <c r="M374" s="14">
        <f>ROUND(J374*I374, 2)</f>
        <v>207550.82</v>
      </c>
      <c r="N374" s="14">
        <f>ROUND(I374*ROUND(K374, 2), 2)</f>
        <v>144316</v>
      </c>
      <c r="O374" s="14">
        <f>M374+N374</f>
        <v>351866.82</v>
      </c>
      <c r="P374" s="14">
        <f>IFERROR(ROUND(SUM(S375,S376,S377,S378)/I374, 2),0)</f>
        <v>2380.17</v>
      </c>
      <c r="Q374" s="16">
        <v>2364.29</v>
      </c>
      <c r="R374" s="14">
        <f>P374+ROUND(Q374, 2)</f>
        <v>4744.46</v>
      </c>
      <c r="S374" s="14">
        <f>ROUND(P374*I374, 2)</f>
        <v>207550.82</v>
      </c>
      <c r="T374" s="14">
        <f>ROUND(I374*ROUND(Q374, 2), 2)</f>
        <v>206166.09</v>
      </c>
      <c r="U374" s="14">
        <f>S374+T374</f>
        <v>413716.91000000003</v>
      </c>
      <c r="V374" s="9">
        <f>ROUND(P374 / 1.2, 2)</f>
        <v>1983.48</v>
      </c>
      <c r="W374" s="9">
        <f>ROUND(Q374 / 1.2, 2)</f>
        <v>1970.24</v>
      </c>
      <c r="X374" s="9">
        <f>ROUND(R374 / 1.2, 2)</f>
        <v>3953.72</v>
      </c>
      <c r="Y374" s="9">
        <f t="shared" si="34"/>
        <v>172959.02</v>
      </c>
      <c r="Z374" s="9">
        <f>ROUND(T374 / 1.2, 2)</f>
        <v>171805.08</v>
      </c>
      <c r="AA374" s="9">
        <f>Y374+Z374</f>
        <v>344764.1</v>
      </c>
      <c r="AD374" s="4">
        <v>320319937</v>
      </c>
      <c r="AE374" s="4">
        <v>28048957</v>
      </c>
      <c r="AG374" s="4" t="s">
        <v>739</v>
      </c>
      <c r="AH374" s="4" t="s">
        <v>740</v>
      </c>
      <c r="AI374" s="4" t="s">
        <v>338</v>
      </c>
    </row>
    <row r="375" spans="1:35" ht="36" x14ac:dyDescent="0.3">
      <c r="A375" s="10" t="s">
        <v>1660</v>
      </c>
      <c r="B375" s="10"/>
      <c r="C375" s="28" t="s">
        <v>680</v>
      </c>
      <c r="D375" s="12"/>
      <c r="E375" s="12"/>
      <c r="F375" s="29" t="s">
        <v>364</v>
      </c>
      <c r="G375" s="30">
        <v>0.15</v>
      </c>
      <c r="H375" s="30"/>
      <c r="I375" s="30">
        <v>13.08</v>
      </c>
      <c r="J375" s="31">
        <v>90.28</v>
      </c>
      <c r="M375" s="32">
        <f>ROUND(ROUND(J375, 2)*I375, 2)</f>
        <v>1180.8599999999999</v>
      </c>
      <c r="P375" s="33">
        <v>90.28</v>
      </c>
      <c r="S375" s="32">
        <f>ROUND(ROUND(P375, 2)*I375, 2)</f>
        <v>1180.8599999999999</v>
      </c>
      <c r="V375" s="9">
        <f>ROUND(ROUND(P375, 2)/1.2, 2)</f>
        <v>75.23</v>
      </c>
      <c r="Y375" s="9">
        <f t="shared" si="34"/>
        <v>984.05</v>
      </c>
      <c r="AD375" s="4" t="s">
        <v>1661</v>
      </c>
      <c r="AE375" s="4" t="s">
        <v>1662</v>
      </c>
      <c r="AF375" s="4" t="s">
        <v>683</v>
      </c>
    </row>
    <row r="376" spans="1:35" ht="18" x14ac:dyDescent="0.3">
      <c r="A376" s="10" t="s">
        <v>1663</v>
      </c>
      <c r="B376" s="10"/>
      <c r="C376" s="28" t="s">
        <v>641</v>
      </c>
      <c r="D376" s="12"/>
      <c r="E376" s="12"/>
      <c r="F376" s="29" t="s">
        <v>364</v>
      </c>
      <c r="G376" s="30">
        <v>0.25</v>
      </c>
      <c r="H376" s="49"/>
      <c r="I376" s="49">
        <v>21.8</v>
      </c>
      <c r="J376" s="31">
        <v>48.23</v>
      </c>
      <c r="M376" s="32">
        <f>ROUND(ROUND(J376, 2)*I376, 2)</f>
        <v>1051.4100000000001</v>
      </c>
      <c r="P376" s="33">
        <v>48.23</v>
      </c>
      <c r="S376" s="32">
        <f>ROUND(ROUND(P376, 2)*I376, 2)</f>
        <v>1051.4100000000001</v>
      </c>
      <c r="V376" s="9">
        <f>ROUND(ROUND(P376, 2)/1.2, 2)</f>
        <v>40.19</v>
      </c>
      <c r="Y376" s="9">
        <f t="shared" si="34"/>
        <v>876.18</v>
      </c>
      <c r="AD376" s="4" t="s">
        <v>1664</v>
      </c>
      <c r="AE376" s="4" t="s">
        <v>1665</v>
      </c>
      <c r="AF376" s="4" t="s">
        <v>644</v>
      </c>
    </row>
    <row r="377" spans="1:35" ht="36" x14ac:dyDescent="0.3">
      <c r="A377" s="10" t="s">
        <v>1666</v>
      </c>
      <c r="B377" s="10"/>
      <c r="C377" s="47" t="s">
        <v>751</v>
      </c>
      <c r="D377" s="12"/>
      <c r="E377" s="12"/>
      <c r="F377" s="29" t="s">
        <v>364</v>
      </c>
      <c r="G377" s="30">
        <v>7</v>
      </c>
      <c r="H377" s="30"/>
      <c r="I377" s="30">
        <v>610.4</v>
      </c>
      <c r="J377" s="31">
        <v>16.38</v>
      </c>
      <c r="M377" s="32">
        <f>ROUND(ROUND(J377, 2)*I377, 2)</f>
        <v>9998.35</v>
      </c>
      <c r="P377" s="33">
        <v>16.38</v>
      </c>
      <c r="S377" s="32">
        <f>ROUND(ROUND(P377, 2)*I377, 2)</f>
        <v>9998.35</v>
      </c>
      <c r="V377" s="9">
        <f>ROUND(ROUND(P377, 2)/1.2, 2)</f>
        <v>13.65</v>
      </c>
      <c r="Y377" s="9">
        <f t="shared" si="34"/>
        <v>8331.9599999999991</v>
      </c>
      <c r="AD377" s="4" t="s">
        <v>1667</v>
      </c>
      <c r="AE377" s="4" t="s">
        <v>1668</v>
      </c>
      <c r="AF377" s="4" t="s">
        <v>754</v>
      </c>
    </row>
    <row r="378" spans="1:35" ht="54" x14ac:dyDescent="0.3">
      <c r="A378" s="10" t="s">
        <v>1669</v>
      </c>
      <c r="B378" s="10"/>
      <c r="C378" s="28" t="s">
        <v>743</v>
      </c>
      <c r="D378" s="12"/>
      <c r="E378" s="12" t="s">
        <v>1670</v>
      </c>
      <c r="F378" s="29" t="s">
        <v>61</v>
      </c>
      <c r="G378" s="30">
        <v>1.07</v>
      </c>
      <c r="H378" s="49"/>
      <c r="I378" s="49">
        <v>93.304000000000002</v>
      </c>
      <c r="J378" s="31">
        <v>2093.37</v>
      </c>
      <c r="M378" s="32">
        <f>ROUND(ROUND(J378, 2)*I378, 2)</f>
        <v>195319.79</v>
      </c>
      <c r="P378" s="33">
        <v>2093.37</v>
      </c>
      <c r="S378" s="32">
        <f>ROUND(ROUND(P378, 2)*I378, 2)</f>
        <v>195319.79</v>
      </c>
      <c r="V378" s="9">
        <f>ROUND(ROUND(P378, 2)/1.2, 2)</f>
        <v>1744.48</v>
      </c>
      <c r="Y378" s="9">
        <f t="shared" si="34"/>
        <v>162766.49</v>
      </c>
      <c r="AD378" s="4" t="s">
        <v>1671</v>
      </c>
      <c r="AE378" s="4" t="s">
        <v>1672</v>
      </c>
      <c r="AF378" s="4" t="s">
        <v>747</v>
      </c>
    </row>
    <row r="379" spans="1:35" ht="54" x14ac:dyDescent="0.3">
      <c r="A379" s="10" t="s">
        <v>1673</v>
      </c>
      <c r="B379" s="10" t="s">
        <v>791</v>
      </c>
      <c r="C379" s="11" t="s">
        <v>792</v>
      </c>
      <c r="D379" s="12"/>
      <c r="E379" s="12" t="s">
        <v>1618</v>
      </c>
      <c r="F379" s="12" t="s">
        <v>61</v>
      </c>
      <c r="G379" s="13">
        <v>1</v>
      </c>
      <c r="H379" s="13"/>
      <c r="I379" s="13">
        <v>2228.66</v>
      </c>
      <c r="J379" s="14">
        <f>IFERROR(ROUND(SUM(M380,M381,M382,M383)/I379, 2),0)</f>
        <v>2589.81</v>
      </c>
      <c r="K379" s="15">
        <v>2785</v>
      </c>
      <c r="L379" s="14">
        <f>J379+ROUND(K379, 2)</f>
        <v>5374.8099999999995</v>
      </c>
      <c r="M379" s="14">
        <f>ROUND(J379*I379, 2)</f>
        <v>5771805.9500000002</v>
      </c>
      <c r="N379" s="14">
        <f>ROUND(I379*ROUND(K379, 2), 2)</f>
        <v>6206818.0999999996</v>
      </c>
      <c r="O379" s="14">
        <f>M379+N379</f>
        <v>11978624.050000001</v>
      </c>
      <c r="P379" s="14">
        <f>IFERROR(ROUND(SUM(S380,S381,S382,S383)/I379, 2),0)</f>
        <v>2589.81</v>
      </c>
      <c r="Q379" s="16">
        <v>3978.57</v>
      </c>
      <c r="R379" s="14">
        <f>P379+ROUND(Q379, 2)</f>
        <v>6568.38</v>
      </c>
      <c r="S379" s="14">
        <f>ROUND(P379*I379, 2)</f>
        <v>5771805.9500000002</v>
      </c>
      <c r="T379" s="14">
        <f>ROUND(I379*ROUND(Q379, 2), 2)</f>
        <v>8866879.8200000003</v>
      </c>
      <c r="U379" s="14">
        <f>S379+T379</f>
        <v>14638685.77</v>
      </c>
      <c r="V379" s="9">
        <f>ROUND(P379 / 1.2, 2)</f>
        <v>2158.1799999999998</v>
      </c>
      <c r="W379" s="9">
        <f>ROUND(Q379 / 1.2, 2)</f>
        <v>3315.48</v>
      </c>
      <c r="X379" s="9">
        <f>ROUND(R379 / 1.2, 2)</f>
        <v>5473.65</v>
      </c>
      <c r="Y379" s="9">
        <f t="shared" si="34"/>
        <v>4809838.29</v>
      </c>
      <c r="Z379" s="9">
        <f>ROUND(T379 / 1.2, 2)</f>
        <v>7389066.5199999996</v>
      </c>
      <c r="AA379" s="9">
        <f>Y379+Z379</f>
        <v>12198904.809999999</v>
      </c>
      <c r="AD379" s="4">
        <v>320319890</v>
      </c>
      <c r="AE379" s="4">
        <v>28048961</v>
      </c>
      <c r="AG379" s="4" t="s">
        <v>793</v>
      </c>
      <c r="AH379" s="4" t="s">
        <v>794</v>
      </c>
      <c r="AI379" s="4" t="s">
        <v>338</v>
      </c>
    </row>
    <row r="380" spans="1:35" ht="36" x14ac:dyDescent="0.3">
      <c r="A380" s="10" t="s">
        <v>1674</v>
      </c>
      <c r="B380" s="10"/>
      <c r="C380" s="47" t="s">
        <v>797</v>
      </c>
      <c r="D380" s="12"/>
      <c r="E380" s="12"/>
      <c r="F380" s="29" t="s">
        <v>364</v>
      </c>
      <c r="G380" s="30">
        <v>1.2</v>
      </c>
      <c r="H380" s="49"/>
      <c r="I380" s="49">
        <v>13371.96</v>
      </c>
      <c r="J380" s="31">
        <v>16.38</v>
      </c>
      <c r="M380" s="32">
        <f>ROUND(ROUND(J380, 2)*I380, 2)</f>
        <v>219032.7</v>
      </c>
      <c r="P380" s="33">
        <v>16.38</v>
      </c>
      <c r="S380" s="32">
        <f>ROUND(ROUND(P380, 2)*I380, 2)</f>
        <v>219032.7</v>
      </c>
      <c r="V380" s="9">
        <f>ROUND(ROUND(P380, 2)/1.2, 2)</f>
        <v>13.65</v>
      </c>
      <c r="Y380" s="9">
        <f t="shared" si="34"/>
        <v>182527.25</v>
      </c>
      <c r="AD380" s="4" t="s">
        <v>1675</v>
      </c>
      <c r="AE380" s="4" t="s">
        <v>1676</v>
      </c>
      <c r="AF380" s="4" t="s">
        <v>800</v>
      </c>
    </row>
    <row r="381" spans="1:35" ht="54" x14ac:dyDescent="0.3">
      <c r="A381" s="10" t="s">
        <v>1677</v>
      </c>
      <c r="B381" s="10"/>
      <c r="C381" s="28" t="s">
        <v>804</v>
      </c>
      <c r="D381" s="12"/>
      <c r="E381" s="12" t="s">
        <v>805</v>
      </c>
      <c r="F381" s="29" t="s">
        <v>61</v>
      </c>
      <c r="G381" s="30">
        <v>1.2</v>
      </c>
      <c r="H381" s="49"/>
      <c r="I381" s="49">
        <v>2674.3919999999998</v>
      </c>
      <c r="J381" s="31">
        <v>2054.94</v>
      </c>
      <c r="M381" s="32">
        <f>ROUND(ROUND(J381, 2)*I381, 2)</f>
        <v>5495715.0999999996</v>
      </c>
      <c r="P381" s="33">
        <v>2054.94</v>
      </c>
      <c r="S381" s="32">
        <f>ROUND(ROUND(P381, 2)*I381, 2)</f>
        <v>5495715.0999999996</v>
      </c>
      <c r="V381" s="9">
        <f>ROUND(ROUND(P381, 2)/1.2, 2)</f>
        <v>1712.45</v>
      </c>
      <c r="Y381" s="9">
        <f t="shared" si="34"/>
        <v>4579762.58</v>
      </c>
      <c r="AD381" s="4" t="s">
        <v>1678</v>
      </c>
      <c r="AE381" s="4" t="s">
        <v>1679</v>
      </c>
      <c r="AF381" s="4" t="s">
        <v>808</v>
      </c>
    </row>
    <row r="382" spans="1:35" ht="18" x14ac:dyDescent="0.3">
      <c r="A382" s="10" t="s">
        <v>1680</v>
      </c>
      <c r="B382" s="10"/>
      <c r="C382" s="28" t="s">
        <v>641</v>
      </c>
      <c r="D382" s="12"/>
      <c r="E382" s="12"/>
      <c r="F382" s="29" t="s">
        <v>364</v>
      </c>
      <c r="G382" s="30">
        <v>0.25</v>
      </c>
      <c r="H382" s="49"/>
      <c r="I382" s="49">
        <v>557.16499999999996</v>
      </c>
      <c r="J382" s="31">
        <v>48.23</v>
      </c>
      <c r="M382" s="32">
        <f>ROUND(ROUND(J382, 2)*I382, 2)</f>
        <v>26872.07</v>
      </c>
      <c r="P382" s="33">
        <v>48.23</v>
      </c>
      <c r="S382" s="32">
        <f>ROUND(ROUND(P382, 2)*I382, 2)</f>
        <v>26872.07</v>
      </c>
      <c r="V382" s="9">
        <f>ROUND(ROUND(P382, 2)/1.2, 2)</f>
        <v>40.19</v>
      </c>
      <c r="Y382" s="9">
        <f t="shared" si="34"/>
        <v>22393.39</v>
      </c>
      <c r="AD382" s="4" t="s">
        <v>1681</v>
      </c>
      <c r="AE382" s="4" t="s">
        <v>1682</v>
      </c>
      <c r="AF382" s="4" t="s">
        <v>644</v>
      </c>
    </row>
    <row r="383" spans="1:35" ht="36" x14ac:dyDescent="0.3">
      <c r="A383" s="10" t="s">
        <v>1683</v>
      </c>
      <c r="B383" s="10"/>
      <c r="C383" s="28" t="s">
        <v>680</v>
      </c>
      <c r="D383" s="12"/>
      <c r="E383" s="12"/>
      <c r="F383" s="29" t="s">
        <v>364</v>
      </c>
      <c r="G383" s="30">
        <v>0.15</v>
      </c>
      <c r="H383" s="30"/>
      <c r="I383" s="30">
        <v>334.29899999999998</v>
      </c>
      <c r="J383" s="31">
        <v>90.28</v>
      </c>
      <c r="M383" s="32">
        <f>ROUND(ROUND(J383, 2)*I383, 2)</f>
        <v>30180.51</v>
      </c>
      <c r="P383" s="33">
        <v>90.28</v>
      </c>
      <c r="S383" s="32">
        <f>ROUND(ROUND(P383, 2)*I383, 2)</f>
        <v>30180.51</v>
      </c>
      <c r="V383" s="9">
        <f>ROUND(ROUND(P383, 2)/1.2, 2)</f>
        <v>75.23</v>
      </c>
      <c r="Y383" s="9">
        <f t="shared" si="34"/>
        <v>25150.43</v>
      </c>
      <c r="AD383" s="4" t="s">
        <v>1684</v>
      </c>
      <c r="AE383" s="4" t="s">
        <v>1685</v>
      </c>
      <c r="AF383" s="4" t="s">
        <v>683</v>
      </c>
    </row>
    <row r="384" spans="1:35" ht="54" x14ac:dyDescent="0.3">
      <c r="A384" s="10" t="s">
        <v>1686</v>
      </c>
      <c r="B384" s="10" t="s">
        <v>791</v>
      </c>
      <c r="C384" s="11" t="s">
        <v>792</v>
      </c>
      <c r="D384" s="12"/>
      <c r="E384" s="12" t="s">
        <v>1632</v>
      </c>
      <c r="F384" s="12" t="s">
        <v>61</v>
      </c>
      <c r="G384" s="13">
        <v>1</v>
      </c>
      <c r="H384" s="13"/>
      <c r="I384" s="13">
        <v>1152.23</v>
      </c>
      <c r="J384" s="14">
        <f>IFERROR(ROUND(SUM(M385,M386,M387,M388)/I384, 2),0)</f>
        <v>2589.81</v>
      </c>
      <c r="K384" s="15">
        <v>2785</v>
      </c>
      <c r="L384" s="14">
        <f>J384+ROUND(K384, 2)</f>
        <v>5374.8099999999995</v>
      </c>
      <c r="M384" s="14">
        <f>ROUND(J384*I384, 2)</f>
        <v>2984056.78</v>
      </c>
      <c r="N384" s="14">
        <f>ROUND(I384*ROUND(K384, 2), 2)</f>
        <v>3208960.55</v>
      </c>
      <c r="O384" s="14">
        <f>M384+N384</f>
        <v>6193017.3300000001</v>
      </c>
      <c r="P384" s="14">
        <f>IFERROR(ROUND(SUM(S385,S386,S387,S388)/I384, 2),0)</f>
        <v>2589.81</v>
      </c>
      <c r="Q384" s="16">
        <v>3978.57</v>
      </c>
      <c r="R384" s="14">
        <f>P384+ROUND(Q384, 2)</f>
        <v>6568.38</v>
      </c>
      <c r="S384" s="14">
        <f>ROUND(P384*I384, 2)</f>
        <v>2984056.78</v>
      </c>
      <c r="T384" s="14">
        <f>ROUND(I384*ROUND(Q384, 2), 2)</f>
        <v>4584227.71</v>
      </c>
      <c r="U384" s="14">
        <f>S384+T384</f>
        <v>7568284.4900000002</v>
      </c>
      <c r="V384" s="9">
        <f>ROUND(P384 / 1.2, 2)</f>
        <v>2158.1799999999998</v>
      </c>
      <c r="W384" s="9">
        <f>ROUND(Q384 / 1.2, 2)</f>
        <v>3315.48</v>
      </c>
      <c r="X384" s="9">
        <f>ROUND(R384 / 1.2, 2)</f>
        <v>5473.65</v>
      </c>
      <c r="Y384" s="9">
        <f t="shared" si="34"/>
        <v>2486713.98</v>
      </c>
      <c r="Z384" s="9">
        <f>ROUND(T384 / 1.2, 2)</f>
        <v>3820189.76</v>
      </c>
      <c r="AA384" s="9">
        <f>Y384+Z384</f>
        <v>6306903.7400000002</v>
      </c>
      <c r="AD384" s="4">
        <v>320319938</v>
      </c>
      <c r="AE384" s="4">
        <v>28048963</v>
      </c>
      <c r="AG384" s="4" t="s">
        <v>793</v>
      </c>
      <c r="AH384" s="4" t="s">
        <v>794</v>
      </c>
      <c r="AI384" s="4" t="s">
        <v>338</v>
      </c>
    </row>
    <row r="385" spans="1:35" ht="36" x14ac:dyDescent="0.3">
      <c r="A385" s="10" t="s">
        <v>1687</v>
      </c>
      <c r="B385" s="10"/>
      <c r="C385" s="28" t="s">
        <v>680</v>
      </c>
      <c r="D385" s="12"/>
      <c r="E385" s="12"/>
      <c r="F385" s="29" t="s">
        <v>364</v>
      </c>
      <c r="G385" s="30">
        <v>0.15</v>
      </c>
      <c r="H385" s="30"/>
      <c r="I385" s="30">
        <v>172.83500000000001</v>
      </c>
      <c r="J385" s="31">
        <v>90.28</v>
      </c>
      <c r="M385" s="32">
        <f>ROUND(ROUND(J385, 2)*I385, 2)</f>
        <v>15603.54</v>
      </c>
      <c r="P385" s="33">
        <v>90.28</v>
      </c>
      <c r="S385" s="32">
        <f>ROUND(ROUND(P385, 2)*I385, 2)</f>
        <v>15603.54</v>
      </c>
      <c r="V385" s="9">
        <f>ROUND(ROUND(P385, 2)/1.2, 2)</f>
        <v>75.23</v>
      </c>
      <c r="Y385" s="9">
        <f t="shared" si="34"/>
        <v>13002.95</v>
      </c>
      <c r="AD385" s="4" t="s">
        <v>1688</v>
      </c>
      <c r="AE385" s="4" t="s">
        <v>1689</v>
      </c>
      <c r="AF385" s="4" t="s">
        <v>683</v>
      </c>
    </row>
    <row r="386" spans="1:35" ht="18" x14ac:dyDescent="0.3">
      <c r="A386" s="10" t="s">
        <v>1690</v>
      </c>
      <c r="B386" s="10"/>
      <c r="C386" s="28" t="s">
        <v>641</v>
      </c>
      <c r="D386" s="12"/>
      <c r="E386" s="12"/>
      <c r="F386" s="29" t="s">
        <v>364</v>
      </c>
      <c r="G386" s="30">
        <v>0.25</v>
      </c>
      <c r="H386" s="49"/>
      <c r="I386" s="49">
        <v>288.05799999999999</v>
      </c>
      <c r="J386" s="31">
        <v>48.23</v>
      </c>
      <c r="M386" s="32">
        <f>ROUND(ROUND(J386, 2)*I386, 2)</f>
        <v>13893.04</v>
      </c>
      <c r="P386" s="33">
        <v>48.23</v>
      </c>
      <c r="S386" s="32">
        <f>ROUND(ROUND(P386, 2)*I386, 2)</f>
        <v>13893.04</v>
      </c>
      <c r="V386" s="9">
        <f>ROUND(ROUND(P386, 2)/1.2, 2)</f>
        <v>40.19</v>
      </c>
      <c r="Y386" s="9">
        <f t="shared" si="34"/>
        <v>11577.53</v>
      </c>
      <c r="AD386" s="4" t="s">
        <v>1691</v>
      </c>
      <c r="AE386" s="4" t="s">
        <v>1692</v>
      </c>
      <c r="AF386" s="4" t="s">
        <v>644</v>
      </c>
    </row>
    <row r="387" spans="1:35" ht="72" x14ac:dyDescent="0.3">
      <c r="A387" s="10" t="s">
        <v>1693</v>
      </c>
      <c r="B387" s="10"/>
      <c r="C387" s="28" t="s">
        <v>804</v>
      </c>
      <c r="D387" s="12"/>
      <c r="E387" s="12" t="s">
        <v>834</v>
      </c>
      <c r="F387" s="29" t="s">
        <v>61</v>
      </c>
      <c r="G387" s="30">
        <v>1.2</v>
      </c>
      <c r="H387" s="49"/>
      <c r="I387" s="49">
        <v>1382.6759999999999</v>
      </c>
      <c r="J387" s="31">
        <v>2054.94</v>
      </c>
      <c r="M387" s="32">
        <f>ROUND(ROUND(J387, 2)*I387, 2)</f>
        <v>2841316.22</v>
      </c>
      <c r="P387" s="33">
        <v>2054.94</v>
      </c>
      <c r="S387" s="32">
        <f>ROUND(ROUND(P387, 2)*I387, 2)</f>
        <v>2841316.22</v>
      </c>
      <c r="V387" s="9">
        <f>ROUND(ROUND(P387, 2)/1.2, 2)</f>
        <v>1712.45</v>
      </c>
      <c r="Y387" s="9">
        <f t="shared" si="34"/>
        <v>2367763.52</v>
      </c>
      <c r="AD387" s="4" t="s">
        <v>1694</v>
      </c>
      <c r="AE387" s="4" t="s">
        <v>1695</v>
      </c>
      <c r="AF387" s="4" t="s">
        <v>808</v>
      </c>
    </row>
    <row r="388" spans="1:35" ht="36" x14ac:dyDescent="0.3">
      <c r="A388" s="10" t="s">
        <v>1696</v>
      </c>
      <c r="B388" s="10"/>
      <c r="C388" s="47" t="s">
        <v>797</v>
      </c>
      <c r="D388" s="12"/>
      <c r="E388" s="12"/>
      <c r="F388" s="29" t="s">
        <v>364</v>
      </c>
      <c r="G388" s="30">
        <v>1.2</v>
      </c>
      <c r="H388" s="49"/>
      <c r="I388" s="49">
        <v>6913.38</v>
      </c>
      <c r="J388" s="31">
        <v>16.38</v>
      </c>
      <c r="M388" s="32">
        <f>ROUND(ROUND(J388, 2)*I388, 2)</f>
        <v>113241.16</v>
      </c>
      <c r="P388" s="33">
        <v>16.38</v>
      </c>
      <c r="S388" s="32">
        <f>ROUND(ROUND(P388, 2)*I388, 2)</f>
        <v>113241.16</v>
      </c>
      <c r="V388" s="9">
        <f>ROUND(ROUND(P388, 2)/1.2, 2)</f>
        <v>13.65</v>
      </c>
      <c r="Y388" s="9">
        <f t="shared" si="34"/>
        <v>94367.63</v>
      </c>
      <c r="AD388" s="4" t="s">
        <v>1697</v>
      </c>
      <c r="AE388" s="4" t="s">
        <v>1698</v>
      </c>
      <c r="AF388" s="4" t="s">
        <v>800</v>
      </c>
    </row>
    <row r="389" spans="1:35" ht="16.95" customHeight="1" x14ac:dyDescent="0.3">
      <c r="A389" s="10" t="s">
        <v>1699</v>
      </c>
      <c r="B389" s="10" t="s">
        <v>845</v>
      </c>
      <c r="C389" s="237" t="s">
        <v>846</v>
      </c>
      <c r="D389" s="238"/>
      <c r="E389" s="238"/>
      <c r="F389" s="238"/>
      <c r="G389" s="238"/>
      <c r="H389" s="238"/>
      <c r="I389" s="239"/>
      <c r="M389" s="6">
        <f>SUM(M390,M396)</f>
        <v>17283564.650000002</v>
      </c>
      <c r="N389" s="6">
        <f>SUM(N390,N396)</f>
        <v>25554227.899999999</v>
      </c>
      <c r="O389" s="6">
        <f>SUM(O390,O396)</f>
        <v>42837792.549999997</v>
      </c>
      <c r="S389" s="6">
        <f>SUM(S390,S396)</f>
        <v>10636713.6</v>
      </c>
      <c r="T389" s="6">
        <f>SUM(T390,T396)</f>
        <v>36506095.510000005</v>
      </c>
      <c r="U389" s="6">
        <f>SUM(U390,U396)</f>
        <v>47142809.109999999</v>
      </c>
      <c r="Y389" s="9">
        <f>SUM(Y390,Y396)</f>
        <v>8863928.0099999998</v>
      </c>
      <c r="Z389" s="9">
        <f>SUM(Z390,Z396)</f>
        <v>30421746.260000002</v>
      </c>
      <c r="AA389" s="9">
        <f>SUM(AA390,AA396)</f>
        <v>39285674.270000003</v>
      </c>
      <c r="AD389" s="4">
        <v>320319891</v>
      </c>
      <c r="AE389" s="4">
        <v>28048970</v>
      </c>
    </row>
    <row r="390" spans="1:35" ht="16.95" customHeight="1" x14ac:dyDescent="0.3">
      <c r="A390" s="10" t="s">
        <v>1700</v>
      </c>
      <c r="B390" s="10" t="s">
        <v>848</v>
      </c>
      <c r="C390" s="237" t="s">
        <v>849</v>
      </c>
      <c r="D390" s="238"/>
      <c r="E390" s="238"/>
      <c r="F390" s="238"/>
      <c r="G390" s="238"/>
      <c r="H390" s="238"/>
      <c r="I390" s="239"/>
      <c r="M390" s="6">
        <f>SUM(M391)</f>
        <v>2191880.39</v>
      </c>
      <c r="N390" s="6">
        <f>SUM(N391)</f>
        <v>7307544.5999999996</v>
      </c>
      <c r="O390" s="6">
        <f>SUM(O391)</f>
        <v>9499424.9900000002</v>
      </c>
      <c r="S390" s="6">
        <f>SUM(S391)</f>
        <v>2241669.7400000002</v>
      </c>
      <c r="T390" s="6">
        <f>SUM(T391)</f>
        <v>10439371.310000001</v>
      </c>
      <c r="U390" s="6">
        <f>SUM(U391)</f>
        <v>12681041.050000001</v>
      </c>
      <c r="Y390" s="9">
        <f>SUM(Y391)</f>
        <v>1868058.12</v>
      </c>
      <c r="Z390" s="9">
        <f>SUM(Z391)</f>
        <v>8699476.0899999999</v>
      </c>
      <c r="AA390" s="9">
        <f>SUM(AA391)</f>
        <v>10567534.210000001</v>
      </c>
      <c r="AD390" s="4">
        <v>320319892</v>
      </c>
      <c r="AE390" s="4">
        <v>28048973</v>
      </c>
    </row>
    <row r="391" spans="1:35" ht="72" x14ac:dyDescent="0.3">
      <c r="A391" s="10" t="s">
        <v>1701</v>
      </c>
      <c r="B391" s="10" t="s">
        <v>851</v>
      </c>
      <c r="C391" s="11" t="s">
        <v>852</v>
      </c>
      <c r="D391" s="12" t="s">
        <v>853</v>
      </c>
      <c r="E391" s="12" t="s">
        <v>1702</v>
      </c>
      <c r="F391" s="12" t="s">
        <v>61</v>
      </c>
      <c r="G391" s="13">
        <v>1</v>
      </c>
      <c r="H391" s="13"/>
      <c r="I391" s="13">
        <v>7659.9</v>
      </c>
      <c r="J391" s="14">
        <f>IFERROR(ROUND(SUM(M392,M393,M394,M395)/I391, 2),0)</f>
        <v>286.14999999999998</v>
      </c>
      <c r="K391" s="15">
        <v>954</v>
      </c>
      <c r="L391" s="14">
        <f>J391+ROUND(K391, 2)</f>
        <v>1240.1500000000001</v>
      </c>
      <c r="M391" s="14">
        <f>ROUND(J391*I391, 2)</f>
        <v>2191880.39</v>
      </c>
      <c r="N391" s="14">
        <f>ROUND(I391*ROUND(K391, 2), 2)</f>
        <v>7307544.5999999996</v>
      </c>
      <c r="O391" s="14">
        <f>M391+N391</f>
        <v>9499424.9900000002</v>
      </c>
      <c r="P391" s="14">
        <f>IFERROR(ROUND(SUM(S392,S393,S394,S395)/I391, 2),0)</f>
        <v>292.64999999999998</v>
      </c>
      <c r="Q391" s="16">
        <v>1362.86</v>
      </c>
      <c r="R391" s="14">
        <f>P391+ROUND(Q391, 2)</f>
        <v>1655.5099999999998</v>
      </c>
      <c r="S391" s="14">
        <f>ROUND(P391*I391, 2)</f>
        <v>2241669.7400000002</v>
      </c>
      <c r="T391" s="14">
        <f>ROUND(I391*ROUND(Q391, 2), 2)</f>
        <v>10439371.310000001</v>
      </c>
      <c r="U391" s="14">
        <f>S391+T391</f>
        <v>12681041.050000001</v>
      </c>
      <c r="V391" s="9">
        <f>ROUND(P391 / 1.2, 2)</f>
        <v>243.88</v>
      </c>
      <c r="W391" s="9">
        <f>ROUND(Q391 / 1.2, 2)</f>
        <v>1135.72</v>
      </c>
      <c r="X391" s="9">
        <f>ROUND(R391 / 1.2, 2)</f>
        <v>1379.59</v>
      </c>
      <c r="Y391" s="9">
        <f>ROUND(S391 / 1.2, 2)</f>
        <v>1868058.12</v>
      </c>
      <c r="Z391" s="9">
        <f>ROUND(T391 / 1.2, 2)</f>
        <v>8699476.0899999999</v>
      </c>
      <c r="AA391" s="9">
        <f>Y391+Z391</f>
        <v>10567534.210000001</v>
      </c>
      <c r="AD391" s="4">
        <v>320319894</v>
      </c>
      <c r="AE391" s="4">
        <v>28048977</v>
      </c>
      <c r="AG391" s="4" t="s">
        <v>855</v>
      </c>
      <c r="AH391" s="4" t="s">
        <v>856</v>
      </c>
      <c r="AI391" s="4" t="s">
        <v>338</v>
      </c>
    </row>
    <row r="392" spans="1:35" ht="18" x14ac:dyDescent="0.3">
      <c r="A392" s="10" t="s">
        <v>1703</v>
      </c>
      <c r="B392" s="10"/>
      <c r="C392" s="28" t="s">
        <v>859</v>
      </c>
      <c r="D392" s="12"/>
      <c r="E392" s="12"/>
      <c r="F392" s="29" t="s">
        <v>364</v>
      </c>
      <c r="G392" s="30">
        <v>1.3</v>
      </c>
      <c r="H392" s="49"/>
      <c r="I392" s="49">
        <v>199157.4</v>
      </c>
      <c r="J392" s="31">
        <v>8.75</v>
      </c>
      <c r="M392" s="32">
        <f>ROUND(ROUND(J392, 2)*I392, 2)</f>
        <v>1742627.25</v>
      </c>
      <c r="P392" s="33">
        <v>9</v>
      </c>
      <c r="S392" s="32">
        <f>ROUND(ROUND(P392, 2)*I392, 2)</f>
        <v>1792416.6</v>
      </c>
      <c r="V392" s="9">
        <f>ROUND(ROUND(P392, 2)/1.2, 2)</f>
        <v>7.5</v>
      </c>
      <c r="Y392" s="9">
        <f>ROUND(S392 / 1.2, 2)</f>
        <v>1493680.5</v>
      </c>
      <c r="AD392" s="4" t="s">
        <v>1704</v>
      </c>
      <c r="AE392" s="4" t="s">
        <v>1705</v>
      </c>
      <c r="AF392" s="4" t="s">
        <v>862</v>
      </c>
    </row>
    <row r="393" spans="1:35" ht="18" x14ac:dyDescent="0.3">
      <c r="A393" s="10" t="s">
        <v>1706</v>
      </c>
      <c r="B393" s="10"/>
      <c r="C393" s="28" t="s">
        <v>866</v>
      </c>
      <c r="D393" s="12"/>
      <c r="E393" s="12"/>
      <c r="F393" s="29" t="s">
        <v>61</v>
      </c>
      <c r="G393" s="30">
        <v>1.1000000000000001</v>
      </c>
      <c r="H393" s="30"/>
      <c r="I393" s="30">
        <v>8425.89</v>
      </c>
      <c r="J393" s="31">
        <v>26.44</v>
      </c>
      <c r="M393" s="32">
        <f>ROUND(ROUND(J393, 2)*I393, 2)</f>
        <v>222780.53</v>
      </c>
      <c r="P393" s="33">
        <v>26.44</v>
      </c>
      <c r="S393" s="32">
        <f>ROUND(ROUND(P393, 2)*I393, 2)</f>
        <v>222780.53</v>
      </c>
      <c r="V393" s="9">
        <f>ROUND(ROUND(P393, 2)/1.2, 2)</f>
        <v>22.03</v>
      </c>
      <c r="Y393" s="9">
        <f>ROUND(S393 / 1.2, 2)</f>
        <v>185650.44</v>
      </c>
      <c r="AD393" s="4" t="s">
        <v>1707</v>
      </c>
      <c r="AE393" s="4" t="s">
        <v>1708</v>
      </c>
      <c r="AF393" s="4" t="s">
        <v>869</v>
      </c>
    </row>
    <row r="394" spans="1:35" ht="18" x14ac:dyDescent="0.3">
      <c r="A394" s="10" t="s">
        <v>1709</v>
      </c>
      <c r="B394" s="10"/>
      <c r="C394" s="28" t="s">
        <v>873</v>
      </c>
      <c r="D394" s="12"/>
      <c r="E394" s="12"/>
      <c r="F394" s="29" t="s">
        <v>76</v>
      </c>
      <c r="G394" s="30">
        <v>1</v>
      </c>
      <c r="H394" s="49"/>
      <c r="I394" s="49">
        <v>7659.9</v>
      </c>
      <c r="J394" s="31">
        <v>16.02</v>
      </c>
      <c r="M394" s="32">
        <f>ROUND(ROUND(J394, 2)*I394, 2)</f>
        <v>122711.6</v>
      </c>
      <c r="P394" s="33">
        <v>16.02</v>
      </c>
      <c r="S394" s="32">
        <f>ROUND(ROUND(P394, 2)*I394, 2)</f>
        <v>122711.6</v>
      </c>
      <c r="V394" s="9">
        <f>ROUND(ROUND(P394, 2)/1.2, 2)</f>
        <v>13.35</v>
      </c>
      <c r="Y394" s="9">
        <f>ROUND(S394 / 1.2, 2)</f>
        <v>102259.67</v>
      </c>
      <c r="AD394" s="4" t="s">
        <v>1710</v>
      </c>
      <c r="AE394" s="4" t="s">
        <v>1711</v>
      </c>
      <c r="AF394" s="4" t="s">
        <v>876</v>
      </c>
    </row>
    <row r="395" spans="1:35" ht="36" x14ac:dyDescent="0.3">
      <c r="A395" s="10" t="s">
        <v>1712</v>
      </c>
      <c r="B395" s="10"/>
      <c r="C395" s="28" t="s">
        <v>680</v>
      </c>
      <c r="D395" s="12"/>
      <c r="E395" s="12"/>
      <c r="F395" s="29" t="s">
        <v>364</v>
      </c>
      <c r="G395" s="30">
        <v>0.15</v>
      </c>
      <c r="H395" s="30"/>
      <c r="I395" s="30">
        <v>1148.9849999999999</v>
      </c>
      <c r="J395" s="31">
        <v>90.28</v>
      </c>
      <c r="M395" s="32">
        <f>ROUND(ROUND(J395, 2)*I395, 2)</f>
        <v>103730.37</v>
      </c>
      <c r="P395" s="33">
        <v>90.28</v>
      </c>
      <c r="S395" s="32">
        <f>ROUND(ROUND(P395, 2)*I395, 2)</f>
        <v>103730.37</v>
      </c>
      <c r="V395" s="9">
        <f>ROUND(ROUND(P395, 2)/1.2, 2)</f>
        <v>75.23</v>
      </c>
      <c r="Y395" s="9">
        <f>ROUND(S395 / 1.2, 2)</f>
        <v>86441.98</v>
      </c>
      <c r="AD395" s="4" t="s">
        <v>1713</v>
      </c>
      <c r="AE395" s="4" t="s">
        <v>1714</v>
      </c>
      <c r="AF395" s="4" t="s">
        <v>683</v>
      </c>
    </row>
    <row r="396" spans="1:35" ht="16.95" customHeight="1" x14ac:dyDescent="0.3">
      <c r="A396" s="10" t="s">
        <v>1715</v>
      </c>
      <c r="B396" s="10" t="s">
        <v>885</v>
      </c>
      <c r="C396" s="237" t="s">
        <v>886</v>
      </c>
      <c r="D396" s="238"/>
      <c r="E396" s="238"/>
      <c r="F396" s="238"/>
      <c r="G396" s="238"/>
      <c r="H396" s="238"/>
      <c r="I396" s="239"/>
      <c r="M396" s="6">
        <f>SUM(M397,M399,M402,M405)</f>
        <v>15091684.260000002</v>
      </c>
      <c r="N396" s="6">
        <f>SUM(N397,N399,N402,N405)</f>
        <v>18246683.299999997</v>
      </c>
      <c r="O396" s="6">
        <f>SUM(O397,O399,O402,O405)</f>
        <v>33338367.559999999</v>
      </c>
      <c r="S396" s="6">
        <f>SUM(S397,S399,S402,S405)</f>
        <v>8395043.8599999994</v>
      </c>
      <c r="T396" s="6">
        <f>SUM(T397,T399,T402,T405)</f>
        <v>26066724.200000003</v>
      </c>
      <c r="U396" s="6">
        <f>SUM(U397,U399,U402,U405)</f>
        <v>34461768.060000002</v>
      </c>
      <c r="Y396" s="9">
        <f>SUM(Y397,Y399,Y402,Y405)</f>
        <v>6995869.8899999997</v>
      </c>
      <c r="Z396" s="9">
        <f>SUM(Z397,Z399,Z402,Z405)</f>
        <v>21722270.170000002</v>
      </c>
      <c r="AA396" s="9">
        <f>SUM(AA397,AA399,AA402,AA405)</f>
        <v>28718140.060000002</v>
      </c>
      <c r="AD396" s="4">
        <v>320319895</v>
      </c>
      <c r="AE396" s="4">
        <v>28049041</v>
      </c>
    </row>
    <row r="397" spans="1:35" ht="54" x14ac:dyDescent="0.3">
      <c r="A397" s="10" t="s">
        <v>1716</v>
      </c>
      <c r="B397" s="10" t="s">
        <v>888</v>
      </c>
      <c r="C397" s="11" t="s">
        <v>889</v>
      </c>
      <c r="D397" s="12"/>
      <c r="E397" s="12" t="s">
        <v>890</v>
      </c>
      <c r="F397" s="12" t="s">
        <v>61</v>
      </c>
      <c r="G397" s="13">
        <v>1</v>
      </c>
      <c r="H397" s="13"/>
      <c r="I397" s="13">
        <v>2373.3000000000002</v>
      </c>
      <c r="J397" s="14">
        <f>IFERROR(ROUND(SUM(M398)/I397, 2),0)</f>
        <v>424.96</v>
      </c>
      <c r="K397" s="15">
        <v>1010</v>
      </c>
      <c r="L397" s="14">
        <f>J397+ROUND(K397, 2)</f>
        <v>1434.96</v>
      </c>
      <c r="M397" s="14">
        <f>ROUND(J397*I397, 2)</f>
        <v>1008557.57</v>
      </c>
      <c r="N397" s="14">
        <f>ROUND(I397*ROUND(K397, 2), 2)</f>
        <v>2397033</v>
      </c>
      <c r="O397" s="14">
        <f>M397+N397</f>
        <v>3405590.57</v>
      </c>
      <c r="P397" s="14">
        <f>IFERROR(ROUND(SUM(S398)/I397, 2),0)</f>
        <v>424.96</v>
      </c>
      <c r="Q397" s="16">
        <v>1442.86</v>
      </c>
      <c r="R397" s="14">
        <f>P397+ROUND(Q397, 2)</f>
        <v>1867.82</v>
      </c>
      <c r="S397" s="14">
        <f>ROUND(P397*I397, 2)</f>
        <v>1008557.57</v>
      </c>
      <c r="T397" s="14">
        <f>ROUND(I397*ROUND(Q397, 2), 2)</f>
        <v>3424339.64</v>
      </c>
      <c r="U397" s="14">
        <f>S397+T397</f>
        <v>4432897.21</v>
      </c>
      <c r="V397" s="9">
        <f>ROUND(P397 / 1.2, 2)</f>
        <v>354.13</v>
      </c>
      <c r="W397" s="9">
        <f>ROUND(Q397 / 1.2, 2)</f>
        <v>1202.3800000000001</v>
      </c>
      <c r="X397" s="9">
        <f>ROUND(R397 / 1.2, 2)</f>
        <v>1556.52</v>
      </c>
      <c r="Y397" s="9">
        <f>ROUND(S397 / 1.2, 2)</f>
        <v>840464.64</v>
      </c>
      <c r="Z397" s="9">
        <f>ROUND(T397 / 1.2, 2)</f>
        <v>2853616.37</v>
      </c>
      <c r="AA397" s="9">
        <f>Y397+Z397</f>
        <v>3694081.0100000002</v>
      </c>
      <c r="AD397" s="4">
        <v>320319897</v>
      </c>
      <c r="AE397" s="4">
        <v>28049043</v>
      </c>
      <c r="AG397" s="4" t="s">
        <v>891</v>
      </c>
      <c r="AH397" s="4" t="s">
        <v>892</v>
      </c>
      <c r="AI397" s="4" t="s">
        <v>338</v>
      </c>
    </row>
    <row r="398" spans="1:35" ht="18" x14ac:dyDescent="0.3">
      <c r="A398" s="10" t="s">
        <v>1717</v>
      </c>
      <c r="B398" s="10"/>
      <c r="C398" s="28" t="s">
        <v>1718</v>
      </c>
      <c r="D398" s="12"/>
      <c r="E398" s="12"/>
      <c r="F398" s="29" t="s">
        <v>356</v>
      </c>
      <c r="G398" s="30">
        <v>1</v>
      </c>
      <c r="H398" s="30"/>
      <c r="I398" s="30">
        <v>2373.3000000000002</v>
      </c>
      <c r="J398" s="31">
        <v>424.96</v>
      </c>
      <c r="M398" s="32">
        <f>ROUND(ROUND(J398, 2)*I398, 2)</f>
        <v>1008557.57</v>
      </c>
      <c r="P398" s="33">
        <v>424.96</v>
      </c>
      <c r="S398" s="32">
        <f>ROUND(ROUND(P398, 2)*I398, 2)</f>
        <v>1008557.57</v>
      </c>
      <c r="V398" s="9">
        <f>ROUND(ROUND(P398, 2)/1.2, 2)</f>
        <v>354.13</v>
      </c>
      <c r="Y398" s="9">
        <f t="shared" ref="Y398:Y409" si="35">ROUND(S398 / 1.2, 2)</f>
        <v>840464.64</v>
      </c>
      <c r="AD398" s="4" t="s">
        <v>1719</v>
      </c>
      <c r="AE398" s="4" t="s">
        <v>1720</v>
      </c>
      <c r="AF398" s="4" t="s">
        <v>898</v>
      </c>
    </row>
    <row r="399" spans="1:35" ht="90" x14ac:dyDescent="0.3">
      <c r="A399" s="10" t="s">
        <v>1721</v>
      </c>
      <c r="B399" s="10" t="s">
        <v>902</v>
      </c>
      <c r="C399" s="11" t="s">
        <v>903</v>
      </c>
      <c r="D399" s="12"/>
      <c r="E399" s="12" t="s">
        <v>1722</v>
      </c>
      <c r="F399" s="12" t="s">
        <v>61</v>
      </c>
      <c r="G399" s="13">
        <v>1</v>
      </c>
      <c r="H399" s="13"/>
      <c r="I399" s="13">
        <v>11850.4</v>
      </c>
      <c r="J399" s="14">
        <f>IFERROR(ROUND(SUM(M400,M401)/I399, 2),0)</f>
        <v>508.25</v>
      </c>
      <c r="K399" s="15">
        <v>428</v>
      </c>
      <c r="L399" s="14">
        <f>J399+ROUND(K399, 2)</f>
        <v>936.25</v>
      </c>
      <c r="M399" s="14">
        <f>ROUND(J399*I399, 2)</f>
        <v>6022965.7999999998</v>
      </c>
      <c r="N399" s="14">
        <f>ROUND(I399*ROUND(K399, 2), 2)</f>
        <v>5071971.2</v>
      </c>
      <c r="O399" s="14">
        <f>M399+N399</f>
        <v>11094937</v>
      </c>
      <c r="P399" s="14">
        <f>IFERROR(ROUND(SUM(S400,S401)/I399, 2),0)</f>
        <v>58.34</v>
      </c>
      <c r="Q399" s="16">
        <v>611.42999999999995</v>
      </c>
      <c r="R399" s="14">
        <f>P399+ROUND(Q399, 2)</f>
        <v>669.77</v>
      </c>
      <c r="S399" s="14">
        <f>ROUND(P399*I399, 2)</f>
        <v>691352.34</v>
      </c>
      <c r="T399" s="14">
        <f>ROUND(I399*ROUND(Q399, 2), 2)</f>
        <v>7245690.0700000003</v>
      </c>
      <c r="U399" s="14">
        <f>S399+T399</f>
        <v>7937042.4100000001</v>
      </c>
      <c r="V399" s="9">
        <f>ROUND(P399 / 1.2, 2)</f>
        <v>48.62</v>
      </c>
      <c r="W399" s="9">
        <f>ROUND(Q399 / 1.2, 2)</f>
        <v>509.53</v>
      </c>
      <c r="X399" s="9">
        <f>ROUND(R399 / 1.2, 2)</f>
        <v>558.14</v>
      </c>
      <c r="Y399" s="9">
        <f t="shared" si="35"/>
        <v>576126.94999999995</v>
      </c>
      <c r="Z399" s="9">
        <f>ROUND(T399 / 1.2, 2)</f>
        <v>6038075.0599999996</v>
      </c>
      <c r="AA399" s="9">
        <f>Y399+Z399</f>
        <v>6614202.0099999998</v>
      </c>
      <c r="AD399" s="4">
        <v>320319899</v>
      </c>
      <c r="AE399" s="4">
        <v>28049044</v>
      </c>
      <c r="AG399" s="4" t="s">
        <v>905</v>
      </c>
      <c r="AH399" s="4" t="s">
        <v>906</v>
      </c>
      <c r="AI399" s="4" t="s">
        <v>338</v>
      </c>
    </row>
    <row r="400" spans="1:35" ht="36" x14ac:dyDescent="0.3">
      <c r="A400" s="10" t="s">
        <v>1723</v>
      </c>
      <c r="B400" s="10"/>
      <c r="C400" s="28" t="s">
        <v>680</v>
      </c>
      <c r="D400" s="12"/>
      <c r="E400" s="12"/>
      <c r="F400" s="29" t="s">
        <v>364</v>
      </c>
      <c r="G400" s="30">
        <v>0.15</v>
      </c>
      <c r="H400" s="30"/>
      <c r="I400" s="30">
        <v>1777.56</v>
      </c>
      <c r="J400" s="31">
        <v>90.28</v>
      </c>
      <c r="M400" s="32">
        <f>ROUND(ROUND(J400, 2)*I400, 2)</f>
        <v>160478.12</v>
      </c>
      <c r="P400" s="33">
        <v>90.28</v>
      </c>
      <c r="S400" s="32">
        <f>ROUND(ROUND(P400, 2)*I400, 2)</f>
        <v>160478.12</v>
      </c>
      <c r="V400" s="9">
        <f>ROUND(ROUND(P400, 2)/1.2, 2)</f>
        <v>75.23</v>
      </c>
      <c r="Y400" s="9">
        <f t="shared" si="35"/>
        <v>133731.76999999999</v>
      </c>
      <c r="AD400" s="4" t="s">
        <v>1724</v>
      </c>
      <c r="AE400" s="4" t="s">
        <v>1725</v>
      </c>
      <c r="AF400" s="4" t="s">
        <v>683</v>
      </c>
    </row>
    <row r="401" spans="1:35" ht="90" x14ac:dyDescent="0.3">
      <c r="A401" s="10" t="s">
        <v>1726</v>
      </c>
      <c r="B401" s="10"/>
      <c r="C401" s="28" t="s">
        <v>914</v>
      </c>
      <c r="D401" s="12"/>
      <c r="E401" s="12" t="s">
        <v>915</v>
      </c>
      <c r="F401" s="29" t="s">
        <v>364</v>
      </c>
      <c r="G401" s="30">
        <v>0.3</v>
      </c>
      <c r="H401" s="30"/>
      <c r="I401" s="30">
        <v>3555.12</v>
      </c>
      <c r="J401" s="31">
        <v>1649.04</v>
      </c>
      <c r="M401" s="32">
        <f>ROUND(ROUND(J401, 2)*I401, 2)</f>
        <v>5862535.0800000001</v>
      </c>
      <c r="P401" s="33">
        <v>149.31</v>
      </c>
      <c r="S401" s="32">
        <f>ROUND(ROUND(P401, 2)*I401, 2)</f>
        <v>530814.97</v>
      </c>
      <c r="V401" s="9">
        <f>ROUND(ROUND(P401, 2)/1.2, 2)</f>
        <v>124.43</v>
      </c>
      <c r="Y401" s="9">
        <f t="shared" si="35"/>
        <v>442345.81</v>
      </c>
      <c r="AD401" s="4" t="s">
        <v>1727</v>
      </c>
      <c r="AE401" s="4" t="s">
        <v>1728</v>
      </c>
      <c r="AF401" s="4" t="s">
        <v>918</v>
      </c>
    </row>
    <row r="402" spans="1:35" ht="90" x14ac:dyDescent="0.3">
      <c r="A402" s="10" t="s">
        <v>1729</v>
      </c>
      <c r="B402" s="10" t="s">
        <v>902</v>
      </c>
      <c r="C402" s="11" t="s">
        <v>903</v>
      </c>
      <c r="D402" s="12"/>
      <c r="E402" s="12" t="s">
        <v>922</v>
      </c>
      <c r="F402" s="12" t="s">
        <v>61</v>
      </c>
      <c r="G402" s="13">
        <v>1</v>
      </c>
      <c r="H402" s="13"/>
      <c r="I402" s="13">
        <v>3034</v>
      </c>
      <c r="J402" s="14">
        <f>IFERROR(ROUND(SUM(M403,M404)/I402, 2),0)</f>
        <v>508.25</v>
      </c>
      <c r="K402" s="15">
        <v>428</v>
      </c>
      <c r="L402" s="14">
        <f>J402+ROUND(K402, 2)</f>
        <v>936.25</v>
      </c>
      <c r="M402" s="14">
        <f>ROUND(J402*I402, 2)</f>
        <v>1542030.5</v>
      </c>
      <c r="N402" s="14">
        <f>ROUND(I402*ROUND(K402, 2), 2)</f>
        <v>1298552</v>
      </c>
      <c r="O402" s="14">
        <f>M402+N402</f>
        <v>2840582.5</v>
      </c>
      <c r="P402" s="14">
        <f>IFERROR(ROUND(SUM(S403,S404)/I402, 2),0)</f>
        <v>58.34</v>
      </c>
      <c r="Q402" s="16">
        <v>611.42999999999995</v>
      </c>
      <c r="R402" s="14">
        <f>P402+ROUND(Q402, 2)</f>
        <v>669.77</v>
      </c>
      <c r="S402" s="14">
        <f>ROUND(P402*I402, 2)</f>
        <v>177003.56</v>
      </c>
      <c r="T402" s="14">
        <f>ROUND(I402*ROUND(Q402, 2), 2)</f>
        <v>1855078.62</v>
      </c>
      <c r="U402" s="14">
        <f>S402+T402</f>
        <v>2032082.1800000002</v>
      </c>
      <c r="V402" s="9">
        <f>ROUND(P402 / 1.2, 2)</f>
        <v>48.62</v>
      </c>
      <c r="W402" s="9">
        <f>ROUND(Q402 / 1.2, 2)</f>
        <v>509.53</v>
      </c>
      <c r="X402" s="9">
        <f>ROUND(R402 / 1.2, 2)</f>
        <v>558.14</v>
      </c>
      <c r="Y402" s="9">
        <f t="shared" si="35"/>
        <v>147502.97</v>
      </c>
      <c r="Z402" s="9">
        <f>ROUND(T402 / 1.2, 2)</f>
        <v>1545898.85</v>
      </c>
      <c r="AA402" s="9">
        <f>Y402+Z402</f>
        <v>1693401.82</v>
      </c>
      <c r="AD402" s="4">
        <v>320319939</v>
      </c>
      <c r="AE402" s="4">
        <v>28049045</v>
      </c>
      <c r="AG402" s="4" t="s">
        <v>905</v>
      </c>
      <c r="AH402" s="4" t="s">
        <v>906</v>
      </c>
      <c r="AI402" s="4" t="s">
        <v>338</v>
      </c>
    </row>
    <row r="403" spans="1:35" ht="90" x14ac:dyDescent="0.3">
      <c r="A403" s="10" t="s">
        <v>1730</v>
      </c>
      <c r="B403" s="10"/>
      <c r="C403" s="28" t="s">
        <v>914</v>
      </c>
      <c r="D403" s="12"/>
      <c r="E403" s="12" t="s">
        <v>925</v>
      </c>
      <c r="F403" s="29" t="s">
        <v>364</v>
      </c>
      <c r="G403" s="30">
        <v>0.3</v>
      </c>
      <c r="H403" s="30"/>
      <c r="I403" s="30">
        <v>910.2</v>
      </c>
      <c r="J403" s="31">
        <v>1649.04</v>
      </c>
      <c r="M403" s="32">
        <f>ROUND(ROUND(J403, 2)*I403, 2)</f>
        <v>1500956.21</v>
      </c>
      <c r="P403" s="33">
        <v>149.31</v>
      </c>
      <c r="S403" s="32">
        <f>ROUND(ROUND(P403, 2)*I403, 2)</f>
        <v>135901.96</v>
      </c>
      <c r="V403" s="9">
        <f>ROUND(ROUND(P403, 2)/1.2, 2)</f>
        <v>124.43</v>
      </c>
      <c r="Y403" s="9">
        <f t="shared" si="35"/>
        <v>113251.63</v>
      </c>
      <c r="AD403" s="4" t="s">
        <v>1731</v>
      </c>
      <c r="AE403" s="4" t="s">
        <v>1732</v>
      </c>
      <c r="AF403" s="4" t="s">
        <v>918</v>
      </c>
    </row>
    <row r="404" spans="1:35" ht="36" x14ac:dyDescent="0.3">
      <c r="A404" s="10" t="s">
        <v>1733</v>
      </c>
      <c r="B404" s="10"/>
      <c r="C404" s="28" t="s">
        <v>680</v>
      </c>
      <c r="D404" s="12"/>
      <c r="E404" s="12"/>
      <c r="F404" s="29" t="s">
        <v>364</v>
      </c>
      <c r="G404" s="30">
        <v>0.15</v>
      </c>
      <c r="H404" s="30"/>
      <c r="I404" s="30">
        <v>455.1</v>
      </c>
      <c r="J404" s="31">
        <v>90.28</v>
      </c>
      <c r="M404" s="32">
        <f>ROUND(ROUND(J404, 2)*I404, 2)</f>
        <v>41086.43</v>
      </c>
      <c r="P404" s="33">
        <v>90.28</v>
      </c>
      <c r="S404" s="32">
        <f>ROUND(ROUND(P404, 2)*I404, 2)</f>
        <v>41086.43</v>
      </c>
      <c r="V404" s="9">
        <f>ROUND(ROUND(P404, 2)/1.2, 2)</f>
        <v>75.23</v>
      </c>
      <c r="Y404" s="9">
        <f t="shared" si="35"/>
        <v>34238.69</v>
      </c>
      <c r="AD404" s="4" t="s">
        <v>1734</v>
      </c>
      <c r="AE404" s="4" t="s">
        <v>1735</v>
      </c>
      <c r="AF404" s="4" t="s">
        <v>683</v>
      </c>
    </row>
    <row r="405" spans="1:35" ht="54" x14ac:dyDescent="0.3">
      <c r="A405" s="10" t="s">
        <v>1736</v>
      </c>
      <c r="B405" s="10" t="s">
        <v>936</v>
      </c>
      <c r="C405" s="11" t="s">
        <v>937</v>
      </c>
      <c r="D405" s="12"/>
      <c r="E405" s="12" t="s">
        <v>1737</v>
      </c>
      <c r="F405" s="12" t="s">
        <v>61</v>
      </c>
      <c r="G405" s="13">
        <v>1</v>
      </c>
      <c r="H405" s="13"/>
      <c r="I405" s="13">
        <v>4009.8</v>
      </c>
      <c r="J405" s="14">
        <f>IFERROR(ROUND(SUM(M406,M407,M408,M409)/I405, 2),0)</f>
        <v>1625.55</v>
      </c>
      <c r="K405" s="15">
        <v>2363.9899999999998</v>
      </c>
      <c r="L405" s="14">
        <f>J405+ROUND(K405, 2)</f>
        <v>3989.54</v>
      </c>
      <c r="M405" s="14">
        <f>ROUND(J405*I405, 2)</f>
        <v>6518130.3899999997</v>
      </c>
      <c r="N405" s="14">
        <f>ROUND(I405*ROUND(K405, 2), 2)</f>
        <v>9479127.0999999996</v>
      </c>
      <c r="O405" s="14">
        <f>M405+N405</f>
        <v>15997257.489999998</v>
      </c>
      <c r="P405" s="14">
        <f>IFERROR(ROUND(SUM(S406,S407,S408,S409)/I405, 2),0)</f>
        <v>1625.55</v>
      </c>
      <c r="Q405" s="16">
        <v>3377.13</v>
      </c>
      <c r="R405" s="14">
        <f>P405+ROUND(Q405, 2)</f>
        <v>5002.68</v>
      </c>
      <c r="S405" s="14">
        <f>ROUND(P405*I405, 2)</f>
        <v>6518130.3899999997</v>
      </c>
      <c r="T405" s="14">
        <f>ROUND(I405*ROUND(Q405, 2), 2)</f>
        <v>13541615.869999999</v>
      </c>
      <c r="U405" s="14">
        <f>S405+T405</f>
        <v>20059746.259999998</v>
      </c>
      <c r="V405" s="9">
        <f>ROUND(P405 / 1.2, 2)</f>
        <v>1354.63</v>
      </c>
      <c r="W405" s="9">
        <f>ROUND(Q405 / 1.2, 2)</f>
        <v>2814.28</v>
      </c>
      <c r="X405" s="9">
        <f>ROUND(R405 / 1.2, 2)</f>
        <v>4168.8999999999996</v>
      </c>
      <c r="Y405" s="9">
        <f t="shared" si="35"/>
        <v>5431775.3300000001</v>
      </c>
      <c r="Z405" s="9">
        <f>ROUND(T405 / 1.2, 2)</f>
        <v>11284679.890000001</v>
      </c>
      <c r="AA405" s="9">
        <f>Y405+Z405</f>
        <v>16716455.220000001</v>
      </c>
      <c r="AD405" s="4">
        <v>320319901</v>
      </c>
      <c r="AE405" s="4">
        <v>28049053</v>
      </c>
      <c r="AG405" s="4" t="s">
        <v>939</v>
      </c>
      <c r="AH405" s="4" t="s">
        <v>940</v>
      </c>
      <c r="AI405" s="4" t="s">
        <v>338</v>
      </c>
    </row>
    <row r="406" spans="1:35" ht="36" x14ac:dyDescent="0.3">
      <c r="A406" s="10" t="s">
        <v>1738</v>
      </c>
      <c r="B406" s="10"/>
      <c r="C406" s="28" t="s">
        <v>943</v>
      </c>
      <c r="D406" s="12"/>
      <c r="E406" s="12"/>
      <c r="F406" s="29" t="s">
        <v>364</v>
      </c>
      <c r="G406" s="30">
        <v>0.25</v>
      </c>
      <c r="H406" s="49"/>
      <c r="I406" s="49">
        <v>1002.45</v>
      </c>
      <c r="J406" s="31">
        <v>40.94</v>
      </c>
      <c r="M406" s="32">
        <f>ROUND(ROUND(J406, 2)*I406, 2)</f>
        <v>41040.300000000003</v>
      </c>
      <c r="P406" s="33">
        <v>40.94</v>
      </c>
      <c r="S406" s="32">
        <f>ROUND(ROUND(P406, 2)*I406, 2)</f>
        <v>41040.300000000003</v>
      </c>
      <c r="V406" s="9">
        <f>ROUND(ROUND(P406, 2)/1.2, 2)</f>
        <v>34.119999999999997</v>
      </c>
      <c r="Y406" s="9">
        <f t="shared" si="35"/>
        <v>34200.25</v>
      </c>
      <c r="AD406" s="4" t="s">
        <v>1739</v>
      </c>
      <c r="AE406" s="4" t="s">
        <v>1740</v>
      </c>
      <c r="AF406" s="4" t="s">
        <v>946</v>
      </c>
    </row>
    <row r="407" spans="1:35" ht="36" x14ac:dyDescent="0.3">
      <c r="A407" s="10" t="s">
        <v>1741</v>
      </c>
      <c r="B407" s="10"/>
      <c r="C407" s="28" t="s">
        <v>557</v>
      </c>
      <c r="D407" s="12"/>
      <c r="E407" s="12"/>
      <c r="F407" s="29" t="s">
        <v>364</v>
      </c>
      <c r="G407" s="30">
        <v>0.15</v>
      </c>
      <c r="H407" s="30"/>
      <c r="I407" s="30">
        <v>601.47</v>
      </c>
      <c r="J407" s="31">
        <v>69.540000000000006</v>
      </c>
      <c r="M407" s="32">
        <f>ROUND(ROUND(J407, 2)*I407, 2)</f>
        <v>41826.22</v>
      </c>
      <c r="P407" s="33">
        <v>69.540000000000006</v>
      </c>
      <c r="S407" s="32">
        <f>ROUND(ROUND(P407, 2)*I407, 2)</f>
        <v>41826.22</v>
      </c>
      <c r="V407" s="9">
        <f>ROUND(ROUND(P407, 2)/1.2, 2)</f>
        <v>57.95</v>
      </c>
      <c r="Y407" s="9">
        <f t="shared" si="35"/>
        <v>34855.18</v>
      </c>
      <c r="AD407" s="4" t="s">
        <v>1742</v>
      </c>
      <c r="AE407" s="4" t="s">
        <v>1743</v>
      </c>
      <c r="AF407" s="4" t="s">
        <v>560</v>
      </c>
    </row>
    <row r="408" spans="1:35" ht="36" x14ac:dyDescent="0.3">
      <c r="A408" s="10" t="s">
        <v>1744</v>
      </c>
      <c r="B408" s="10"/>
      <c r="C408" s="47" t="s">
        <v>797</v>
      </c>
      <c r="D408" s="12"/>
      <c r="E408" s="12"/>
      <c r="F408" s="29" t="s">
        <v>364</v>
      </c>
      <c r="G408" s="30">
        <v>1.2</v>
      </c>
      <c r="H408" s="49"/>
      <c r="I408" s="49">
        <v>24058.799999999999</v>
      </c>
      <c r="J408" s="31">
        <v>16.38</v>
      </c>
      <c r="M408" s="32">
        <f>ROUND(ROUND(J408, 2)*I408, 2)</f>
        <v>394083.14</v>
      </c>
      <c r="P408" s="33">
        <v>16.38</v>
      </c>
      <c r="S408" s="32">
        <f>ROUND(ROUND(P408, 2)*I408, 2)</f>
        <v>394083.14</v>
      </c>
      <c r="V408" s="9">
        <f>ROUND(ROUND(P408, 2)/1.2, 2)</f>
        <v>13.65</v>
      </c>
      <c r="Y408" s="9">
        <f t="shared" si="35"/>
        <v>328402.62</v>
      </c>
      <c r="AD408" s="4" t="s">
        <v>1745</v>
      </c>
      <c r="AE408" s="4" t="s">
        <v>1746</v>
      </c>
      <c r="AF408" s="4" t="s">
        <v>800</v>
      </c>
    </row>
    <row r="409" spans="1:35" ht="72" x14ac:dyDescent="0.3">
      <c r="A409" s="10" t="s">
        <v>1747</v>
      </c>
      <c r="B409" s="10"/>
      <c r="C409" s="47" t="s">
        <v>960</v>
      </c>
      <c r="D409" s="12"/>
      <c r="E409" s="12" t="s">
        <v>961</v>
      </c>
      <c r="F409" s="29" t="s">
        <v>61</v>
      </c>
      <c r="G409" s="30">
        <v>1.07</v>
      </c>
      <c r="H409" s="49"/>
      <c r="I409" s="49">
        <v>4290.4859999999999</v>
      </c>
      <c r="J409" s="31">
        <v>1408.04</v>
      </c>
      <c r="M409" s="32">
        <f>ROUND(ROUND(J409, 2)*I409, 2)</f>
        <v>6041175.9100000001</v>
      </c>
      <c r="P409" s="33">
        <v>1408.04</v>
      </c>
      <c r="S409" s="32">
        <f>ROUND(ROUND(P409, 2)*I409, 2)</f>
        <v>6041175.9100000001</v>
      </c>
      <c r="V409" s="9">
        <f>ROUND(ROUND(P409, 2)/1.2, 2)</f>
        <v>1173.3699999999999</v>
      </c>
      <c r="Y409" s="9">
        <f t="shared" si="35"/>
        <v>5034313.26</v>
      </c>
      <c r="AD409" s="4" t="s">
        <v>1748</v>
      </c>
      <c r="AE409" s="4" t="s">
        <v>1749</v>
      </c>
      <c r="AF409" s="4" t="s">
        <v>964</v>
      </c>
    </row>
    <row r="410" spans="1:35" ht="16.95" customHeight="1" x14ac:dyDescent="0.3">
      <c r="A410" s="10" t="s">
        <v>1750</v>
      </c>
      <c r="B410" s="10" t="s">
        <v>968</v>
      </c>
      <c r="C410" s="237" t="s">
        <v>969</v>
      </c>
      <c r="D410" s="238"/>
      <c r="E410" s="238"/>
      <c r="F410" s="238"/>
      <c r="G410" s="238"/>
      <c r="H410" s="238"/>
      <c r="I410" s="239"/>
      <c r="M410" s="6">
        <f>SUM(M411,M420)</f>
        <v>372759.8</v>
      </c>
      <c r="N410" s="6">
        <f>SUM(N411,N420)</f>
        <v>4135000.9</v>
      </c>
      <c r="O410" s="6">
        <f>SUM(O411,O420)</f>
        <v>4507760.7</v>
      </c>
      <c r="S410" s="6">
        <f>SUM(S411,S420)</f>
        <v>639666.61</v>
      </c>
      <c r="T410" s="6">
        <f>SUM(T411,T420)</f>
        <v>5907154.5299999993</v>
      </c>
      <c r="U410" s="6">
        <f>SUM(U411,U420)</f>
        <v>6546821.1400000006</v>
      </c>
      <c r="Y410" s="9">
        <f>SUM(Y411,Y420)</f>
        <v>533055.52</v>
      </c>
      <c r="Z410" s="9">
        <f>SUM(Z411,Z420)</f>
        <v>4922628.78</v>
      </c>
      <c r="AA410" s="9">
        <f>SUM(AA411,AA420)</f>
        <v>5455684.2999999998</v>
      </c>
      <c r="AD410" s="4">
        <v>320319902</v>
      </c>
      <c r="AE410" s="4">
        <v>28049275</v>
      </c>
    </row>
    <row r="411" spans="1:35" ht="16.95" customHeight="1" x14ac:dyDescent="0.3">
      <c r="A411" s="10" t="s">
        <v>1751</v>
      </c>
      <c r="B411" s="10" t="s">
        <v>971</v>
      </c>
      <c r="C411" s="237" t="s">
        <v>972</v>
      </c>
      <c r="D411" s="238"/>
      <c r="E411" s="238"/>
      <c r="F411" s="238"/>
      <c r="G411" s="238"/>
      <c r="H411" s="238"/>
      <c r="I411" s="239"/>
      <c r="M411" s="6">
        <f>SUM(M412,M417)</f>
        <v>313361.17</v>
      </c>
      <c r="N411" s="6">
        <f>SUM(N412,N417)</f>
        <v>2099479.2999999998</v>
      </c>
      <c r="O411" s="6">
        <f>SUM(O412,O417)</f>
        <v>2412840.4700000002</v>
      </c>
      <c r="S411" s="6">
        <f>SUM(S412,S417)</f>
        <v>318238.45</v>
      </c>
      <c r="T411" s="6">
        <f>SUM(T412,T417)</f>
        <v>2999254</v>
      </c>
      <c r="U411" s="6">
        <f>SUM(U412,U417)</f>
        <v>3317492.45</v>
      </c>
      <c r="Y411" s="9">
        <f>SUM(Y412,Y417)</f>
        <v>265198.70999999996</v>
      </c>
      <c r="Z411" s="9">
        <f>SUM(Z412,Z417)</f>
        <v>2499378.33</v>
      </c>
      <c r="AA411" s="9">
        <f>SUM(AA412,AA417)</f>
        <v>2764577.04</v>
      </c>
      <c r="AD411" s="4">
        <v>320319903</v>
      </c>
      <c r="AE411" s="4">
        <v>28049279</v>
      </c>
    </row>
    <row r="412" spans="1:35" ht="72" x14ac:dyDescent="0.3">
      <c r="A412" s="10" t="s">
        <v>1752</v>
      </c>
      <c r="B412" s="10" t="s">
        <v>974</v>
      </c>
      <c r="C412" s="11" t="s">
        <v>975</v>
      </c>
      <c r="D412" s="12"/>
      <c r="E412" s="12" t="s">
        <v>1753</v>
      </c>
      <c r="F412" s="12" t="s">
        <v>61</v>
      </c>
      <c r="G412" s="13">
        <v>1</v>
      </c>
      <c r="H412" s="13"/>
      <c r="I412" s="13">
        <v>1500.7</v>
      </c>
      <c r="J412" s="14">
        <f>IFERROR(ROUND(SUM(M413,M414,M415,M416)/I412, 2),0)</f>
        <v>173.2</v>
      </c>
      <c r="K412" s="15">
        <v>853</v>
      </c>
      <c r="L412" s="14">
        <f>J412+ROUND(K412, 2)</f>
        <v>1026.2</v>
      </c>
      <c r="M412" s="14">
        <f>ROUND(J412*I412, 2)</f>
        <v>259921.24</v>
      </c>
      <c r="N412" s="14">
        <f>ROUND(I412*ROUND(K412, 2), 2)</f>
        <v>1280097.1000000001</v>
      </c>
      <c r="O412" s="14">
        <f>M412+N412</f>
        <v>1540018.34</v>
      </c>
      <c r="P412" s="14">
        <f>IFERROR(ROUND(SUM(S413,S414,S415,S416)/I412, 2),0)</f>
        <v>176.45</v>
      </c>
      <c r="Q412" s="16">
        <v>1218.57</v>
      </c>
      <c r="R412" s="14">
        <f>P412+ROUND(Q412, 2)</f>
        <v>1395.02</v>
      </c>
      <c r="S412" s="14">
        <f>ROUND(P412*I412, 2)</f>
        <v>264798.52</v>
      </c>
      <c r="T412" s="14">
        <f>ROUND(I412*ROUND(Q412, 2), 2)</f>
        <v>1828708</v>
      </c>
      <c r="U412" s="14">
        <f>S412+T412</f>
        <v>2093506.52</v>
      </c>
      <c r="V412" s="9">
        <f>ROUND(P412 / 1.2, 2)</f>
        <v>147.04</v>
      </c>
      <c r="W412" s="9">
        <f>ROUND(Q412 / 1.2, 2)</f>
        <v>1015.48</v>
      </c>
      <c r="X412" s="9">
        <f>ROUND(R412 / 1.2, 2)</f>
        <v>1162.52</v>
      </c>
      <c r="Y412" s="9">
        <f>ROUND(S412 / 1.2, 2)</f>
        <v>220665.43</v>
      </c>
      <c r="Z412" s="9">
        <f>ROUND(T412 / 1.2, 2)</f>
        <v>1523923.33</v>
      </c>
      <c r="AA412" s="9">
        <f>Y412+Z412</f>
        <v>1744588.76</v>
      </c>
      <c r="AD412" s="4">
        <v>320319905</v>
      </c>
      <c r="AE412" s="4">
        <v>28049281</v>
      </c>
      <c r="AG412" s="4" t="s">
        <v>977</v>
      </c>
      <c r="AH412" s="4" t="s">
        <v>978</v>
      </c>
      <c r="AI412" s="4" t="s">
        <v>338</v>
      </c>
    </row>
    <row r="413" spans="1:35" ht="18" x14ac:dyDescent="0.3">
      <c r="A413" s="10" t="s">
        <v>1754</v>
      </c>
      <c r="B413" s="10"/>
      <c r="C413" s="28" t="s">
        <v>859</v>
      </c>
      <c r="D413" s="12"/>
      <c r="E413" s="12"/>
      <c r="F413" s="29" t="s">
        <v>364</v>
      </c>
      <c r="G413" s="30">
        <v>1.3</v>
      </c>
      <c r="H413" s="49"/>
      <c r="I413" s="49">
        <v>19509.099999999999</v>
      </c>
      <c r="J413" s="31">
        <v>8.75</v>
      </c>
      <c r="M413" s="32">
        <f>ROUND(ROUND(J413, 2)*I413, 2)</f>
        <v>170704.63</v>
      </c>
      <c r="P413" s="33">
        <v>9</v>
      </c>
      <c r="S413" s="32">
        <f>ROUND(ROUND(P413, 2)*I413, 2)</f>
        <v>175581.9</v>
      </c>
      <c r="V413" s="9">
        <f>ROUND(ROUND(P413, 2)/1.2, 2)</f>
        <v>7.5</v>
      </c>
      <c r="Y413" s="9">
        <f t="shared" ref="Y413:Y419" si="36">ROUND(S413 / 1.2, 2)</f>
        <v>146318.25</v>
      </c>
      <c r="AD413" s="4" t="s">
        <v>1755</v>
      </c>
      <c r="AE413" s="4" t="s">
        <v>1756</v>
      </c>
      <c r="AF413" s="4" t="s">
        <v>862</v>
      </c>
    </row>
    <row r="414" spans="1:35" ht="18" x14ac:dyDescent="0.3">
      <c r="A414" s="10" t="s">
        <v>1757</v>
      </c>
      <c r="B414" s="10"/>
      <c r="C414" s="28" t="s">
        <v>866</v>
      </c>
      <c r="D414" s="12"/>
      <c r="E414" s="12"/>
      <c r="F414" s="29" t="s">
        <v>61</v>
      </c>
      <c r="G414" s="30">
        <v>1.1000000000000001</v>
      </c>
      <c r="H414" s="49"/>
      <c r="I414" s="49">
        <v>1650.77</v>
      </c>
      <c r="J414" s="31">
        <v>26.44</v>
      </c>
      <c r="M414" s="32">
        <f>ROUND(ROUND(J414, 2)*I414, 2)</f>
        <v>43646.36</v>
      </c>
      <c r="P414" s="33">
        <v>26.44</v>
      </c>
      <c r="S414" s="32">
        <f>ROUND(ROUND(P414, 2)*I414, 2)</f>
        <v>43646.36</v>
      </c>
      <c r="V414" s="9">
        <f>ROUND(ROUND(P414, 2)/1.2, 2)</f>
        <v>22.03</v>
      </c>
      <c r="Y414" s="9">
        <f t="shared" si="36"/>
        <v>36371.97</v>
      </c>
      <c r="AD414" s="4" t="s">
        <v>1758</v>
      </c>
      <c r="AE414" s="4" t="s">
        <v>1759</v>
      </c>
      <c r="AF414" s="4" t="s">
        <v>869</v>
      </c>
    </row>
    <row r="415" spans="1:35" ht="18" x14ac:dyDescent="0.3">
      <c r="A415" s="10" t="s">
        <v>1760</v>
      </c>
      <c r="B415" s="10"/>
      <c r="C415" s="28" t="s">
        <v>873</v>
      </c>
      <c r="D415" s="12"/>
      <c r="E415" s="12"/>
      <c r="F415" s="29" t="s">
        <v>76</v>
      </c>
      <c r="G415" s="30">
        <v>1.05</v>
      </c>
      <c r="H415" s="49"/>
      <c r="I415" s="49">
        <v>1575.7349999999999</v>
      </c>
      <c r="J415" s="31">
        <v>16.02</v>
      </c>
      <c r="M415" s="32">
        <f>ROUND(ROUND(J415, 2)*I415, 2)</f>
        <v>25243.27</v>
      </c>
      <c r="P415" s="33">
        <v>16.02</v>
      </c>
      <c r="S415" s="32">
        <f>ROUND(ROUND(P415, 2)*I415, 2)</f>
        <v>25243.27</v>
      </c>
      <c r="V415" s="9">
        <f>ROUND(ROUND(P415, 2)/1.2, 2)</f>
        <v>13.35</v>
      </c>
      <c r="Y415" s="9">
        <f t="shared" si="36"/>
        <v>21036.06</v>
      </c>
      <c r="AD415" s="4" t="s">
        <v>1761</v>
      </c>
      <c r="AE415" s="4" t="s">
        <v>1762</v>
      </c>
      <c r="AF415" s="4" t="s">
        <v>876</v>
      </c>
    </row>
    <row r="416" spans="1:35" ht="36" x14ac:dyDescent="0.3">
      <c r="A416" s="10" t="s">
        <v>1763</v>
      </c>
      <c r="B416" s="10"/>
      <c r="C416" s="28" t="s">
        <v>397</v>
      </c>
      <c r="D416" s="12"/>
      <c r="E416" s="12"/>
      <c r="F416" s="29" t="s">
        <v>364</v>
      </c>
      <c r="G416" s="30">
        <v>0.15</v>
      </c>
      <c r="H416" s="30"/>
      <c r="I416" s="30">
        <v>225.10499999999999</v>
      </c>
      <c r="J416" s="31">
        <v>90.28</v>
      </c>
      <c r="M416" s="32">
        <f>ROUND(ROUND(J416, 2)*I416, 2)</f>
        <v>20322.48</v>
      </c>
      <c r="P416" s="33">
        <v>90.28</v>
      </c>
      <c r="S416" s="32">
        <f>ROUND(ROUND(P416, 2)*I416, 2)</f>
        <v>20322.48</v>
      </c>
      <c r="V416" s="9">
        <f>ROUND(ROUND(P416, 2)/1.2, 2)</f>
        <v>75.23</v>
      </c>
      <c r="Y416" s="9">
        <f t="shared" si="36"/>
        <v>16935.400000000001</v>
      </c>
      <c r="AD416" s="4" t="s">
        <v>1764</v>
      </c>
      <c r="AE416" s="4" t="s">
        <v>1765</v>
      </c>
      <c r="AF416" s="4" t="s">
        <v>400</v>
      </c>
    </row>
    <row r="417" spans="1:35" ht="36" x14ac:dyDescent="0.3">
      <c r="A417" s="10" t="s">
        <v>1766</v>
      </c>
      <c r="B417" s="10" t="s">
        <v>1001</v>
      </c>
      <c r="C417" s="11" t="s">
        <v>1002</v>
      </c>
      <c r="D417" s="12"/>
      <c r="E417" s="12" t="s">
        <v>1753</v>
      </c>
      <c r="F417" s="12" t="s">
        <v>61</v>
      </c>
      <c r="G417" s="13">
        <v>1</v>
      </c>
      <c r="H417" s="13"/>
      <c r="I417" s="13">
        <v>1500.7</v>
      </c>
      <c r="J417" s="14">
        <f>IFERROR(ROUND(SUM(M418,M419)/I417, 2),0)</f>
        <v>35.61</v>
      </c>
      <c r="K417" s="15">
        <v>546</v>
      </c>
      <c r="L417" s="14">
        <f>J417+ROUND(K417, 2)</f>
        <v>581.61</v>
      </c>
      <c r="M417" s="14">
        <f>ROUND(J417*I417, 2)</f>
        <v>53439.93</v>
      </c>
      <c r="N417" s="14">
        <f>ROUND(I417*ROUND(K417, 2), 2)</f>
        <v>819382.2</v>
      </c>
      <c r="O417" s="14">
        <f>M417+N417</f>
        <v>872822.13</v>
      </c>
      <c r="P417" s="14">
        <f>IFERROR(ROUND(SUM(S418,S419)/I417, 2),0)</f>
        <v>35.61</v>
      </c>
      <c r="Q417" s="16">
        <v>780</v>
      </c>
      <c r="R417" s="14">
        <f>P417+ROUND(Q417, 2)</f>
        <v>815.61</v>
      </c>
      <c r="S417" s="14">
        <f>ROUND(P417*I417, 2)</f>
        <v>53439.93</v>
      </c>
      <c r="T417" s="14">
        <f>ROUND(I417*ROUND(Q417, 2), 2)</f>
        <v>1170546</v>
      </c>
      <c r="U417" s="14">
        <f>S417+T417</f>
        <v>1223985.93</v>
      </c>
      <c r="V417" s="9">
        <f>ROUND(P417 / 1.2, 2)</f>
        <v>29.68</v>
      </c>
      <c r="W417" s="9">
        <f>ROUND(Q417 / 1.2, 2)</f>
        <v>650</v>
      </c>
      <c r="X417" s="9">
        <f>ROUND(R417 / 1.2, 2)</f>
        <v>679.68</v>
      </c>
      <c r="Y417" s="9">
        <f t="shared" si="36"/>
        <v>44533.279999999999</v>
      </c>
      <c r="Z417" s="9">
        <f>ROUND(T417 / 1.2, 2)</f>
        <v>975455</v>
      </c>
      <c r="AA417" s="9">
        <f>Y417+Z417</f>
        <v>1019988.28</v>
      </c>
      <c r="AD417" s="4">
        <v>320319907</v>
      </c>
      <c r="AE417" s="4">
        <v>28049379</v>
      </c>
      <c r="AG417" s="4" t="s">
        <v>1003</v>
      </c>
      <c r="AH417" s="4" t="s">
        <v>1004</v>
      </c>
      <c r="AI417" s="4" t="s">
        <v>338</v>
      </c>
    </row>
    <row r="418" spans="1:35" ht="54" x14ac:dyDescent="0.3">
      <c r="A418" s="10" t="s">
        <v>1767</v>
      </c>
      <c r="B418" s="10"/>
      <c r="C418" s="47" t="s">
        <v>1007</v>
      </c>
      <c r="D418" s="12"/>
      <c r="E418" s="12"/>
      <c r="F418" s="29" t="s">
        <v>364</v>
      </c>
      <c r="G418" s="30">
        <v>1.8</v>
      </c>
      <c r="H418" s="30"/>
      <c r="I418" s="30">
        <v>2701.26</v>
      </c>
      <c r="J418" s="31">
        <v>12.26</v>
      </c>
      <c r="M418" s="32">
        <f>ROUND(ROUND(J418, 2)*I418, 2)</f>
        <v>33117.449999999997</v>
      </c>
      <c r="P418" s="33">
        <v>12.26</v>
      </c>
      <c r="S418" s="32">
        <f>ROUND(ROUND(P418, 2)*I418, 2)</f>
        <v>33117.449999999997</v>
      </c>
      <c r="V418" s="9">
        <f>ROUND(ROUND(P418, 2)/1.2, 2)</f>
        <v>10.220000000000001</v>
      </c>
      <c r="Y418" s="9">
        <f t="shared" si="36"/>
        <v>27597.88</v>
      </c>
      <c r="AD418" s="4" t="s">
        <v>1768</v>
      </c>
      <c r="AE418" s="4" t="s">
        <v>1769</v>
      </c>
      <c r="AF418" s="4" t="s">
        <v>1010</v>
      </c>
    </row>
    <row r="419" spans="1:35" ht="36" x14ac:dyDescent="0.3">
      <c r="A419" s="10" t="s">
        <v>1770</v>
      </c>
      <c r="B419" s="10"/>
      <c r="C419" s="28" t="s">
        <v>397</v>
      </c>
      <c r="D419" s="12"/>
      <c r="E419" s="12"/>
      <c r="F419" s="29" t="s">
        <v>364</v>
      </c>
      <c r="G419" s="30">
        <v>0.15</v>
      </c>
      <c r="H419" s="30"/>
      <c r="I419" s="30">
        <v>225.10499999999999</v>
      </c>
      <c r="J419" s="31">
        <v>90.28</v>
      </c>
      <c r="M419" s="32">
        <f>ROUND(ROUND(J419, 2)*I419, 2)</f>
        <v>20322.48</v>
      </c>
      <c r="P419" s="33">
        <v>90.28</v>
      </c>
      <c r="S419" s="32">
        <f>ROUND(ROUND(P419, 2)*I419, 2)</f>
        <v>20322.48</v>
      </c>
      <c r="V419" s="9">
        <f>ROUND(ROUND(P419, 2)/1.2, 2)</f>
        <v>75.23</v>
      </c>
      <c r="Y419" s="9">
        <f t="shared" si="36"/>
        <v>16935.400000000001</v>
      </c>
      <c r="AD419" s="4" t="s">
        <v>1771</v>
      </c>
      <c r="AE419" s="4" t="s">
        <v>1772</v>
      </c>
      <c r="AF419" s="4" t="s">
        <v>400</v>
      </c>
    </row>
    <row r="420" spans="1:35" ht="16.95" customHeight="1" x14ac:dyDescent="0.3">
      <c r="A420" s="10" t="s">
        <v>1773</v>
      </c>
      <c r="B420" s="10" t="s">
        <v>1019</v>
      </c>
      <c r="C420" s="237" t="s">
        <v>1020</v>
      </c>
      <c r="D420" s="238"/>
      <c r="E420" s="238"/>
      <c r="F420" s="238"/>
      <c r="G420" s="238"/>
      <c r="H420" s="238"/>
      <c r="I420" s="239"/>
      <c r="M420" s="6">
        <f>SUM(M421,M424,M427,M430)</f>
        <v>59398.63</v>
      </c>
      <c r="N420" s="6">
        <f>SUM(N421,N424,N427,N430)</f>
        <v>2035521.6</v>
      </c>
      <c r="O420" s="6">
        <f>SUM(O421,O424,O427,O430)</f>
        <v>2094920.2300000002</v>
      </c>
      <c r="S420" s="6">
        <f>SUM(S421,S424,S427,S430)</f>
        <v>321428.15999999997</v>
      </c>
      <c r="T420" s="6">
        <f>SUM(T421,T424,T427,T430)</f>
        <v>2907900.53</v>
      </c>
      <c r="U420" s="6">
        <f>SUM(U421,U424,U427,U430)</f>
        <v>3229328.69</v>
      </c>
      <c r="Y420" s="9">
        <f>SUM(Y421,Y424,Y427,Y430)</f>
        <v>267856.81</v>
      </c>
      <c r="Z420" s="9">
        <f>SUM(Z421,Z424,Z427,Z430)</f>
        <v>2423250.4500000002</v>
      </c>
      <c r="AA420" s="9">
        <f>SUM(AA421,AA424,AA427,AA430)</f>
        <v>2691107.26</v>
      </c>
      <c r="AD420" s="4">
        <v>320319908</v>
      </c>
      <c r="AE420" s="4">
        <v>28049439</v>
      </c>
    </row>
    <row r="421" spans="1:35" ht="36" x14ac:dyDescent="0.3">
      <c r="A421" s="10" t="s">
        <v>1774</v>
      </c>
      <c r="B421" s="10" t="s">
        <v>1022</v>
      </c>
      <c r="C421" s="11" t="s">
        <v>1023</v>
      </c>
      <c r="D421" s="12"/>
      <c r="E421" s="12" t="s">
        <v>1775</v>
      </c>
      <c r="F421" s="12" t="s">
        <v>61</v>
      </c>
      <c r="G421" s="13">
        <v>1</v>
      </c>
      <c r="H421" s="13"/>
      <c r="I421" s="13">
        <v>2326.3000000000002</v>
      </c>
      <c r="J421" s="14">
        <f>IFERROR(ROUND(SUM(M422,M423)/I421, 2),0)</f>
        <v>13.54</v>
      </c>
      <c r="K421" s="15">
        <v>464</v>
      </c>
      <c r="L421" s="14">
        <f>J421+ROUND(K421, 2)</f>
        <v>477.54</v>
      </c>
      <c r="M421" s="14">
        <f>ROUND(J421*I421, 2)</f>
        <v>31498.1</v>
      </c>
      <c r="N421" s="14">
        <f>ROUND(I421*ROUND(K421, 2), 2)</f>
        <v>1079403.2</v>
      </c>
      <c r="O421" s="14">
        <f>M421+N421</f>
        <v>1110901.3</v>
      </c>
      <c r="P421" s="14">
        <f>IFERROR(ROUND(SUM(S422,S423)/I421, 2),0)</f>
        <v>73.27</v>
      </c>
      <c r="Q421" s="16">
        <v>662.86</v>
      </c>
      <c r="R421" s="14">
        <f>P421+ROUND(Q421, 2)</f>
        <v>736.13</v>
      </c>
      <c r="S421" s="14">
        <f>ROUND(P421*I421, 2)</f>
        <v>170448</v>
      </c>
      <c r="T421" s="14">
        <f>ROUND(I421*ROUND(Q421, 2), 2)</f>
        <v>1542011.22</v>
      </c>
      <c r="U421" s="14">
        <f>S421+T421</f>
        <v>1712459.22</v>
      </c>
      <c r="V421" s="9">
        <f>ROUND(P421 / 1.2, 2)</f>
        <v>61.06</v>
      </c>
      <c r="W421" s="9">
        <f>ROUND(Q421 / 1.2, 2)</f>
        <v>552.38</v>
      </c>
      <c r="X421" s="9">
        <f>ROUND(R421 / 1.2, 2)</f>
        <v>613.44000000000005</v>
      </c>
      <c r="Y421" s="9">
        <f>ROUND(S421 / 1.2, 2)</f>
        <v>142040</v>
      </c>
      <c r="Z421" s="9">
        <f>ROUND(T421 / 1.2, 2)</f>
        <v>1285009.3500000001</v>
      </c>
      <c r="AA421" s="9">
        <f>Y421+Z421</f>
        <v>1427049.35</v>
      </c>
      <c r="AD421" s="4">
        <v>320319910</v>
      </c>
      <c r="AE421" s="4">
        <v>28049441</v>
      </c>
      <c r="AG421" s="4" t="s">
        <v>1025</v>
      </c>
      <c r="AH421" s="4" t="s">
        <v>1026</v>
      </c>
      <c r="AI421" s="4" t="s">
        <v>338</v>
      </c>
    </row>
    <row r="422" spans="1:35" ht="162" x14ac:dyDescent="0.3">
      <c r="A422" s="10" t="s">
        <v>1776</v>
      </c>
      <c r="B422" s="10"/>
      <c r="C422" s="28" t="s">
        <v>1029</v>
      </c>
      <c r="D422" s="12"/>
      <c r="E422" s="12" t="s">
        <v>1030</v>
      </c>
      <c r="F422" s="29" t="s">
        <v>364</v>
      </c>
      <c r="G422" s="30">
        <v>0.4</v>
      </c>
      <c r="H422" s="30"/>
      <c r="I422" s="30">
        <v>930.52</v>
      </c>
      <c r="J422" s="31">
        <v>0</v>
      </c>
      <c r="M422" s="32">
        <f>ROUND(ROUND(J422, 2)*I422, 2)</f>
        <v>0</v>
      </c>
      <c r="P422" s="33">
        <v>149.31</v>
      </c>
      <c r="S422" s="32">
        <f>ROUND(ROUND(P422, 2)*I422, 2)</f>
        <v>138935.94</v>
      </c>
      <c r="V422" s="9">
        <f>ROUND(ROUND(P422, 2)/1.2, 2)</f>
        <v>124.43</v>
      </c>
      <c r="Y422" s="9">
        <f t="shared" ref="Y422:Y432" si="37">ROUND(S422 / 1.2, 2)</f>
        <v>115779.95</v>
      </c>
      <c r="AD422" s="4" t="s">
        <v>1777</v>
      </c>
      <c r="AE422" s="4" t="s">
        <v>1778</v>
      </c>
      <c r="AF422" s="4" t="s">
        <v>1033</v>
      </c>
    </row>
    <row r="423" spans="1:35" ht="36" x14ac:dyDescent="0.3">
      <c r="A423" s="10" t="s">
        <v>1779</v>
      </c>
      <c r="B423" s="10"/>
      <c r="C423" s="28" t="s">
        <v>680</v>
      </c>
      <c r="D423" s="12"/>
      <c r="E423" s="12"/>
      <c r="F423" s="29" t="s">
        <v>364</v>
      </c>
      <c r="G423" s="30">
        <v>0.15</v>
      </c>
      <c r="H423" s="30"/>
      <c r="I423" s="30">
        <v>348.94499999999999</v>
      </c>
      <c r="J423" s="31">
        <v>90.28</v>
      </c>
      <c r="M423" s="32">
        <f>ROUND(ROUND(J423, 2)*I423, 2)</f>
        <v>31502.75</v>
      </c>
      <c r="P423" s="33">
        <v>90.28</v>
      </c>
      <c r="S423" s="32">
        <f>ROUND(ROUND(P423, 2)*I423, 2)</f>
        <v>31502.75</v>
      </c>
      <c r="V423" s="9">
        <f>ROUND(ROUND(P423, 2)/1.2, 2)</f>
        <v>75.23</v>
      </c>
      <c r="Y423" s="9">
        <f t="shared" si="37"/>
        <v>26252.29</v>
      </c>
      <c r="AD423" s="4" t="s">
        <v>1780</v>
      </c>
      <c r="AE423" s="4" t="s">
        <v>1781</v>
      </c>
      <c r="AF423" s="4" t="s">
        <v>683</v>
      </c>
    </row>
    <row r="424" spans="1:35" ht="36" x14ac:dyDescent="0.3">
      <c r="A424" s="10" t="s">
        <v>1782</v>
      </c>
      <c r="B424" s="10" t="s">
        <v>1022</v>
      </c>
      <c r="C424" s="11" t="s">
        <v>1023</v>
      </c>
      <c r="D424" s="12"/>
      <c r="E424" s="12" t="s">
        <v>1783</v>
      </c>
      <c r="F424" s="12" t="s">
        <v>61</v>
      </c>
      <c r="G424" s="13">
        <v>1</v>
      </c>
      <c r="H424" s="13"/>
      <c r="I424" s="13">
        <v>559.9</v>
      </c>
      <c r="J424" s="14">
        <f>IFERROR(ROUND(SUM(M425,M426)/I424, 2),0)</f>
        <v>13.54</v>
      </c>
      <c r="K424" s="15">
        <v>464</v>
      </c>
      <c r="L424" s="14">
        <f>J424+ROUND(K424, 2)</f>
        <v>477.54</v>
      </c>
      <c r="M424" s="14">
        <f>ROUND(J424*I424, 2)</f>
        <v>7581.05</v>
      </c>
      <c r="N424" s="14">
        <f>ROUND(I424*ROUND(K424, 2), 2)</f>
        <v>259793.6</v>
      </c>
      <c r="O424" s="14">
        <f>M424+N424</f>
        <v>267374.65000000002</v>
      </c>
      <c r="P424" s="14">
        <f>IFERROR(ROUND(SUM(S425,S426)/I424, 2),0)</f>
        <v>73.27</v>
      </c>
      <c r="Q424" s="16">
        <v>662.86</v>
      </c>
      <c r="R424" s="14">
        <f>P424+ROUND(Q424, 2)</f>
        <v>736.13</v>
      </c>
      <c r="S424" s="14">
        <f>ROUND(P424*I424, 2)</f>
        <v>41023.870000000003</v>
      </c>
      <c r="T424" s="14">
        <f>ROUND(I424*ROUND(Q424, 2), 2)</f>
        <v>371135.31</v>
      </c>
      <c r="U424" s="14">
        <f>S424+T424</f>
        <v>412159.18</v>
      </c>
      <c r="V424" s="9">
        <f>ROUND(P424 / 1.2, 2)</f>
        <v>61.06</v>
      </c>
      <c r="W424" s="9">
        <f>ROUND(Q424 / 1.2, 2)</f>
        <v>552.38</v>
      </c>
      <c r="X424" s="9">
        <f>ROUND(R424 / 1.2, 2)</f>
        <v>613.44000000000005</v>
      </c>
      <c r="Y424" s="9">
        <f t="shared" si="37"/>
        <v>34186.559999999998</v>
      </c>
      <c r="Z424" s="9">
        <f>ROUND(T424 / 1.2, 2)</f>
        <v>309279.43</v>
      </c>
      <c r="AA424" s="9">
        <f>Y424+Z424</f>
        <v>343465.99</v>
      </c>
      <c r="AD424" s="4">
        <v>320319940</v>
      </c>
      <c r="AE424" s="4">
        <v>28049442</v>
      </c>
      <c r="AG424" s="4" t="s">
        <v>1025</v>
      </c>
      <c r="AH424" s="4" t="s">
        <v>1026</v>
      </c>
      <c r="AI424" s="4" t="s">
        <v>338</v>
      </c>
    </row>
    <row r="425" spans="1:35" ht="36" x14ac:dyDescent="0.3">
      <c r="A425" s="10" t="s">
        <v>1784</v>
      </c>
      <c r="B425" s="10"/>
      <c r="C425" s="28" t="s">
        <v>680</v>
      </c>
      <c r="D425" s="12"/>
      <c r="E425" s="12"/>
      <c r="F425" s="29" t="s">
        <v>364</v>
      </c>
      <c r="G425" s="30">
        <v>0.15</v>
      </c>
      <c r="H425" s="30"/>
      <c r="I425" s="30">
        <v>83.984999999999999</v>
      </c>
      <c r="J425" s="31">
        <v>90.28</v>
      </c>
      <c r="M425" s="32">
        <f>ROUND(ROUND(J425, 2)*I425, 2)</f>
        <v>7582.17</v>
      </c>
      <c r="P425" s="33">
        <v>90.28</v>
      </c>
      <c r="S425" s="32">
        <f>ROUND(ROUND(P425, 2)*I425, 2)</f>
        <v>7582.17</v>
      </c>
      <c r="V425" s="9">
        <f>ROUND(ROUND(P425, 2)/1.2, 2)</f>
        <v>75.23</v>
      </c>
      <c r="Y425" s="9">
        <f t="shared" si="37"/>
        <v>6318.48</v>
      </c>
      <c r="AD425" s="4" t="s">
        <v>1785</v>
      </c>
      <c r="AE425" s="4" t="s">
        <v>1786</v>
      </c>
      <c r="AF425" s="4" t="s">
        <v>683</v>
      </c>
    </row>
    <row r="426" spans="1:35" ht="90" x14ac:dyDescent="0.3">
      <c r="A426" s="10" t="s">
        <v>1787</v>
      </c>
      <c r="B426" s="10"/>
      <c r="C426" s="28" t="s">
        <v>1029</v>
      </c>
      <c r="D426" s="12"/>
      <c r="E426" s="12" t="s">
        <v>1050</v>
      </c>
      <c r="F426" s="29" t="s">
        <v>364</v>
      </c>
      <c r="G426" s="30">
        <v>0.4</v>
      </c>
      <c r="H426" s="30"/>
      <c r="I426" s="30">
        <v>223.96</v>
      </c>
      <c r="J426" s="31">
        <v>0</v>
      </c>
      <c r="M426" s="32">
        <f>ROUND(ROUND(J426, 2)*I426, 2)</f>
        <v>0</v>
      </c>
      <c r="P426" s="33">
        <v>149.31</v>
      </c>
      <c r="S426" s="32">
        <f>ROUND(ROUND(P426, 2)*I426, 2)</f>
        <v>33439.47</v>
      </c>
      <c r="V426" s="9">
        <f>ROUND(ROUND(P426, 2)/1.2, 2)</f>
        <v>124.43</v>
      </c>
      <c r="Y426" s="9">
        <f t="shared" si="37"/>
        <v>27866.23</v>
      </c>
      <c r="AD426" s="4" t="s">
        <v>1788</v>
      </c>
      <c r="AE426" s="4" t="s">
        <v>1789</v>
      </c>
      <c r="AF426" s="4" t="s">
        <v>1033</v>
      </c>
    </row>
    <row r="427" spans="1:35" ht="36" x14ac:dyDescent="0.3">
      <c r="A427" s="10" t="s">
        <v>1790</v>
      </c>
      <c r="B427" s="10" t="s">
        <v>1022</v>
      </c>
      <c r="C427" s="11" t="s">
        <v>1023</v>
      </c>
      <c r="D427" s="12"/>
      <c r="E427" s="12" t="s">
        <v>1791</v>
      </c>
      <c r="F427" s="12" t="s">
        <v>61</v>
      </c>
      <c r="G427" s="13">
        <v>1</v>
      </c>
      <c r="H427" s="13"/>
      <c r="I427" s="13">
        <v>568.5</v>
      </c>
      <c r="J427" s="14">
        <f>IFERROR(ROUND(SUM(M428,M429)/I427, 2),0)</f>
        <v>13.54</v>
      </c>
      <c r="K427" s="15">
        <v>464</v>
      </c>
      <c r="L427" s="14">
        <f>J427+ROUND(K427, 2)</f>
        <v>477.54</v>
      </c>
      <c r="M427" s="14">
        <f>ROUND(J427*I427, 2)</f>
        <v>7697.49</v>
      </c>
      <c r="N427" s="14">
        <f>ROUND(I427*ROUND(K427, 2), 2)</f>
        <v>263784</v>
      </c>
      <c r="O427" s="14">
        <f>M427+N427</f>
        <v>271481.49</v>
      </c>
      <c r="P427" s="14">
        <f>IFERROR(ROUND(SUM(S428,S429)/I427, 2),0)</f>
        <v>73.27</v>
      </c>
      <c r="Q427" s="16">
        <v>662.86</v>
      </c>
      <c r="R427" s="14">
        <f>P427+ROUND(Q427, 2)</f>
        <v>736.13</v>
      </c>
      <c r="S427" s="14">
        <f>ROUND(P427*I427, 2)</f>
        <v>41654</v>
      </c>
      <c r="T427" s="14">
        <f>ROUND(I427*ROUND(Q427, 2), 2)</f>
        <v>376835.91</v>
      </c>
      <c r="U427" s="14">
        <f>S427+T427</f>
        <v>418489.91</v>
      </c>
      <c r="V427" s="9">
        <f>ROUND(P427 / 1.2, 2)</f>
        <v>61.06</v>
      </c>
      <c r="W427" s="9">
        <f>ROUND(Q427 / 1.2, 2)</f>
        <v>552.38</v>
      </c>
      <c r="X427" s="9">
        <f>ROUND(R427 / 1.2, 2)</f>
        <v>613.44000000000005</v>
      </c>
      <c r="Y427" s="9">
        <f t="shared" si="37"/>
        <v>34711.67</v>
      </c>
      <c r="Z427" s="9">
        <f>ROUND(T427 / 1.2, 2)</f>
        <v>314029.93</v>
      </c>
      <c r="AA427" s="9">
        <f>Y427+Z427</f>
        <v>348741.6</v>
      </c>
      <c r="AD427" s="4">
        <v>320319941</v>
      </c>
      <c r="AE427" s="4">
        <v>28049443</v>
      </c>
      <c r="AG427" s="4" t="s">
        <v>1025</v>
      </c>
      <c r="AH427" s="4" t="s">
        <v>1026</v>
      </c>
      <c r="AI427" s="4" t="s">
        <v>338</v>
      </c>
    </row>
    <row r="428" spans="1:35" ht="72" x14ac:dyDescent="0.3">
      <c r="A428" s="10" t="s">
        <v>1792</v>
      </c>
      <c r="B428" s="10"/>
      <c r="C428" s="28" t="s">
        <v>1029</v>
      </c>
      <c r="D428" s="12"/>
      <c r="E428" s="12" t="s">
        <v>1059</v>
      </c>
      <c r="F428" s="29" t="s">
        <v>364</v>
      </c>
      <c r="G428" s="30">
        <v>0.4</v>
      </c>
      <c r="H428" s="30"/>
      <c r="I428" s="30">
        <v>227.4</v>
      </c>
      <c r="J428" s="31">
        <v>0</v>
      </c>
      <c r="M428" s="32">
        <f>ROUND(ROUND(J428, 2)*I428, 2)</f>
        <v>0</v>
      </c>
      <c r="P428" s="33">
        <v>149.31</v>
      </c>
      <c r="S428" s="32">
        <f>ROUND(ROUND(P428, 2)*I428, 2)</f>
        <v>33953.089999999997</v>
      </c>
      <c r="V428" s="9">
        <f>ROUND(ROUND(P428, 2)/1.2, 2)</f>
        <v>124.43</v>
      </c>
      <c r="Y428" s="9">
        <f t="shared" si="37"/>
        <v>28294.240000000002</v>
      </c>
      <c r="AD428" s="4" t="s">
        <v>1793</v>
      </c>
      <c r="AE428" s="4" t="s">
        <v>1794</v>
      </c>
      <c r="AF428" s="4" t="s">
        <v>1033</v>
      </c>
    </row>
    <row r="429" spans="1:35" ht="36" x14ac:dyDescent="0.3">
      <c r="A429" s="10" t="s">
        <v>1795</v>
      </c>
      <c r="B429" s="10"/>
      <c r="C429" s="28" t="s">
        <v>680</v>
      </c>
      <c r="D429" s="12"/>
      <c r="E429" s="12"/>
      <c r="F429" s="29" t="s">
        <v>364</v>
      </c>
      <c r="G429" s="30">
        <v>0.15</v>
      </c>
      <c r="H429" s="30"/>
      <c r="I429" s="30">
        <v>85.275000000000006</v>
      </c>
      <c r="J429" s="31">
        <v>90.28</v>
      </c>
      <c r="M429" s="32">
        <f>ROUND(ROUND(J429, 2)*I429, 2)</f>
        <v>7698.63</v>
      </c>
      <c r="P429" s="33">
        <v>90.28</v>
      </c>
      <c r="S429" s="32">
        <f>ROUND(ROUND(P429, 2)*I429, 2)</f>
        <v>7698.63</v>
      </c>
      <c r="V429" s="9">
        <f>ROUND(ROUND(P429, 2)/1.2, 2)</f>
        <v>75.23</v>
      </c>
      <c r="Y429" s="9">
        <f t="shared" si="37"/>
        <v>6415.53</v>
      </c>
      <c r="AD429" s="4" t="s">
        <v>1796</v>
      </c>
      <c r="AE429" s="4" t="s">
        <v>1797</v>
      </c>
      <c r="AF429" s="4" t="s">
        <v>683</v>
      </c>
    </row>
    <row r="430" spans="1:35" ht="36" x14ac:dyDescent="0.3">
      <c r="A430" s="10" t="s">
        <v>1798</v>
      </c>
      <c r="B430" s="10" t="s">
        <v>1022</v>
      </c>
      <c r="C430" s="11" t="s">
        <v>1023</v>
      </c>
      <c r="D430" s="12"/>
      <c r="E430" s="12" t="s">
        <v>1799</v>
      </c>
      <c r="F430" s="12" t="s">
        <v>61</v>
      </c>
      <c r="G430" s="13">
        <v>1</v>
      </c>
      <c r="H430" s="13"/>
      <c r="I430" s="13">
        <v>932.2</v>
      </c>
      <c r="J430" s="14">
        <f>IFERROR(ROUND(SUM(M431,M432)/I430, 2),0)</f>
        <v>13.54</v>
      </c>
      <c r="K430" s="15">
        <v>464</v>
      </c>
      <c r="L430" s="14">
        <f>J430+ROUND(K430, 2)</f>
        <v>477.54</v>
      </c>
      <c r="M430" s="14">
        <f>ROUND(J430*I430, 2)</f>
        <v>12621.99</v>
      </c>
      <c r="N430" s="14">
        <f>ROUND(I430*ROUND(K430, 2), 2)</f>
        <v>432540.8</v>
      </c>
      <c r="O430" s="14">
        <f>M430+N430</f>
        <v>445162.79</v>
      </c>
      <c r="P430" s="14">
        <f>IFERROR(ROUND(SUM(S431,S432)/I430, 2),0)</f>
        <v>73.27</v>
      </c>
      <c r="Q430" s="16">
        <v>662.86</v>
      </c>
      <c r="R430" s="14">
        <f>P430+ROUND(Q430, 2)</f>
        <v>736.13</v>
      </c>
      <c r="S430" s="14">
        <f>ROUND(P430*I430, 2)</f>
        <v>68302.289999999994</v>
      </c>
      <c r="T430" s="14">
        <f>ROUND(I430*ROUND(Q430, 2), 2)</f>
        <v>617918.09</v>
      </c>
      <c r="U430" s="14">
        <f>S430+T430</f>
        <v>686220.38</v>
      </c>
      <c r="V430" s="9">
        <f>ROUND(P430 / 1.2, 2)</f>
        <v>61.06</v>
      </c>
      <c r="W430" s="9">
        <f>ROUND(Q430 / 1.2, 2)</f>
        <v>552.38</v>
      </c>
      <c r="X430" s="9">
        <f>ROUND(R430 / 1.2, 2)</f>
        <v>613.44000000000005</v>
      </c>
      <c r="Y430" s="9">
        <f t="shared" si="37"/>
        <v>56918.58</v>
      </c>
      <c r="Z430" s="9">
        <f>ROUND(T430 / 1.2, 2)</f>
        <v>514931.74</v>
      </c>
      <c r="AA430" s="9">
        <f>Y430+Z430</f>
        <v>571850.31999999995</v>
      </c>
      <c r="AD430" s="4">
        <v>320319942</v>
      </c>
      <c r="AE430" s="4">
        <v>28049444</v>
      </c>
      <c r="AG430" s="4" t="s">
        <v>1025</v>
      </c>
      <c r="AH430" s="4" t="s">
        <v>1026</v>
      </c>
      <c r="AI430" s="4" t="s">
        <v>338</v>
      </c>
    </row>
    <row r="431" spans="1:35" ht="36" x14ac:dyDescent="0.3">
      <c r="A431" s="10" t="s">
        <v>1800</v>
      </c>
      <c r="B431" s="10"/>
      <c r="C431" s="28" t="s">
        <v>680</v>
      </c>
      <c r="D431" s="12"/>
      <c r="E431" s="12"/>
      <c r="F431" s="29" t="s">
        <v>364</v>
      </c>
      <c r="G431" s="30">
        <v>0.15</v>
      </c>
      <c r="H431" s="30"/>
      <c r="I431" s="30">
        <v>139.83000000000001</v>
      </c>
      <c r="J431" s="31">
        <v>90.28</v>
      </c>
      <c r="M431" s="32">
        <f>ROUND(ROUND(J431, 2)*I431, 2)</f>
        <v>12623.85</v>
      </c>
      <c r="P431" s="33">
        <v>90.28</v>
      </c>
      <c r="S431" s="32">
        <f>ROUND(ROUND(P431, 2)*I431, 2)</f>
        <v>12623.85</v>
      </c>
      <c r="V431" s="9">
        <f>ROUND(ROUND(P431, 2)/1.2, 2)</f>
        <v>75.23</v>
      </c>
      <c r="Y431" s="9">
        <f t="shared" si="37"/>
        <v>10519.88</v>
      </c>
      <c r="AD431" s="4" t="s">
        <v>1801</v>
      </c>
      <c r="AE431" s="4" t="s">
        <v>1802</v>
      </c>
      <c r="AF431" s="4" t="s">
        <v>683</v>
      </c>
    </row>
    <row r="432" spans="1:35" ht="90" x14ac:dyDescent="0.3">
      <c r="A432" s="10" t="s">
        <v>1803</v>
      </c>
      <c r="B432" s="10"/>
      <c r="C432" s="28" t="s">
        <v>1029</v>
      </c>
      <c r="D432" s="12"/>
      <c r="E432" s="12" t="s">
        <v>1078</v>
      </c>
      <c r="F432" s="29" t="s">
        <v>364</v>
      </c>
      <c r="G432" s="30">
        <v>0.4</v>
      </c>
      <c r="H432" s="30"/>
      <c r="I432" s="30">
        <v>372.88</v>
      </c>
      <c r="J432" s="31">
        <v>0</v>
      </c>
      <c r="M432" s="32">
        <f>ROUND(ROUND(J432, 2)*I432, 2)</f>
        <v>0</v>
      </c>
      <c r="P432" s="33">
        <v>149.31</v>
      </c>
      <c r="S432" s="32">
        <f>ROUND(ROUND(P432, 2)*I432, 2)</f>
        <v>55674.71</v>
      </c>
      <c r="V432" s="9">
        <f>ROUND(ROUND(P432, 2)/1.2, 2)</f>
        <v>124.43</v>
      </c>
      <c r="Y432" s="9">
        <f t="shared" si="37"/>
        <v>46395.59</v>
      </c>
      <c r="AD432" s="4" t="s">
        <v>1804</v>
      </c>
      <c r="AE432" s="4" t="s">
        <v>1805</v>
      </c>
      <c r="AF432" s="4" t="s">
        <v>1033</v>
      </c>
    </row>
    <row r="433" spans="1:35" ht="16.95" customHeight="1" x14ac:dyDescent="0.3">
      <c r="A433" s="10" t="s">
        <v>1806</v>
      </c>
      <c r="B433" s="10" t="s">
        <v>1084</v>
      </c>
      <c r="C433" s="237" t="s">
        <v>1085</v>
      </c>
      <c r="D433" s="238"/>
      <c r="E433" s="238"/>
      <c r="F433" s="238"/>
      <c r="G433" s="238"/>
      <c r="H433" s="238"/>
      <c r="I433" s="239"/>
      <c r="M433" s="6">
        <f>SUM(M434,M436,M438,M439,M451,M463,M475)</f>
        <v>9643254.0299999993</v>
      </c>
      <c r="N433" s="6">
        <f>SUM(N434,N436,N438,N439,N451,N463,N475)</f>
        <v>5677923.4399999995</v>
      </c>
      <c r="O433" s="6">
        <f>SUM(O434,O436,O438,O439,O451,O463,O475)</f>
        <v>15321177.470000001</v>
      </c>
      <c r="S433" s="6">
        <f>SUM(S434,S436,S438,S439,S451,S463,S475)</f>
        <v>9826697.4299999997</v>
      </c>
      <c r="T433" s="6">
        <f>SUM(T434,T436,T438,T439,T451,T463,T475)</f>
        <v>8111266.1399999997</v>
      </c>
      <c r="U433" s="6">
        <f>SUM(U434,U436,U438,U439,U451,U463,U475)</f>
        <v>17937963.569999997</v>
      </c>
      <c r="Y433" s="9">
        <f>SUM(Y434,Y436,Y438,Y439,Y451,Y463,Y475)</f>
        <v>8188914.5200000005</v>
      </c>
      <c r="Z433" s="9">
        <f>SUM(Z434,Z436,Z438,Z439,Z451,Z463,Z475)</f>
        <v>6759388.4399999995</v>
      </c>
      <c r="AA433" s="9">
        <f>SUM(AA434,AA436,AA438,AA439,AA451,AA463,AA475)</f>
        <v>14948302.960000001</v>
      </c>
      <c r="AD433" s="4">
        <v>320319911</v>
      </c>
      <c r="AE433" s="4">
        <v>28049468</v>
      </c>
    </row>
    <row r="434" spans="1:35" ht="108" x14ac:dyDescent="0.3">
      <c r="A434" s="10" t="s">
        <v>1807</v>
      </c>
      <c r="B434" s="10" t="s">
        <v>1087</v>
      </c>
      <c r="C434" s="11" t="s">
        <v>1088</v>
      </c>
      <c r="D434" s="12"/>
      <c r="E434" s="12" t="s">
        <v>1808</v>
      </c>
      <c r="F434" s="12" t="s">
        <v>61</v>
      </c>
      <c r="G434" s="13">
        <v>1</v>
      </c>
      <c r="H434" s="13"/>
      <c r="I434" s="13">
        <v>1034.5</v>
      </c>
      <c r="J434" s="14">
        <f>IFERROR(ROUND(SUM(M435)/I434, 2),0)</f>
        <v>7245.69</v>
      </c>
      <c r="K434" s="15">
        <v>837.01</v>
      </c>
      <c r="L434" s="14">
        <f>J434+ROUND(K434, 2)</f>
        <v>8082.7</v>
      </c>
      <c r="M434" s="14">
        <f>ROUND(J434*I434, 2)</f>
        <v>7495666.3099999996</v>
      </c>
      <c r="N434" s="14">
        <f>ROUND(I434*ROUND(K434, 2), 2)</f>
        <v>865886.85</v>
      </c>
      <c r="O434" s="14">
        <f>M434+N434</f>
        <v>8361553.1599999992</v>
      </c>
      <c r="P434" s="14">
        <f>IFERROR(ROUND(SUM(S435)/I434, 2),0)</f>
        <v>7245.69</v>
      </c>
      <c r="Q434" s="16">
        <v>1195.71</v>
      </c>
      <c r="R434" s="14">
        <f>P434+ROUND(Q434, 2)</f>
        <v>8441.4</v>
      </c>
      <c r="S434" s="14">
        <f>ROUND(P434*I434, 2)</f>
        <v>7495666.3099999996</v>
      </c>
      <c r="T434" s="14">
        <f>ROUND(I434*ROUND(Q434, 2), 2)</f>
        <v>1236962</v>
      </c>
      <c r="U434" s="14">
        <f>S434+T434</f>
        <v>8732628.3099999987</v>
      </c>
      <c r="V434" s="9">
        <f>ROUND(P434 / 1.2, 2)</f>
        <v>6038.08</v>
      </c>
      <c r="W434" s="9">
        <f>ROUND(Q434 / 1.2, 2)</f>
        <v>996.43</v>
      </c>
      <c r="X434" s="9">
        <f>ROUND(R434 / 1.2, 2)</f>
        <v>7034.5</v>
      </c>
      <c r="Y434" s="9">
        <f>ROUND(S434 / 1.2, 2)</f>
        <v>6246388.5899999999</v>
      </c>
      <c r="Z434" s="9">
        <f>ROUND(T434 / 1.2, 2)</f>
        <v>1030801.67</v>
      </c>
      <c r="AA434" s="9">
        <f>Y434+Z434</f>
        <v>7277190.2599999998</v>
      </c>
      <c r="AD434" s="4">
        <v>320319913</v>
      </c>
      <c r="AE434" s="4">
        <v>28049470</v>
      </c>
      <c r="AG434" s="4" t="s">
        <v>1090</v>
      </c>
      <c r="AH434" s="4" t="s">
        <v>1091</v>
      </c>
      <c r="AI434" s="4" t="s">
        <v>338</v>
      </c>
    </row>
    <row r="435" spans="1:35" ht="36" x14ac:dyDescent="0.3">
      <c r="A435" s="10" t="s">
        <v>1809</v>
      </c>
      <c r="B435" s="10"/>
      <c r="C435" s="28" t="s">
        <v>1094</v>
      </c>
      <c r="D435" s="12"/>
      <c r="E435" s="12"/>
      <c r="F435" s="29" t="s">
        <v>61</v>
      </c>
      <c r="G435" s="30">
        <v>1.1000000000000001</v>
      </c>
      <c r="H435" s="49"/>
      <c r="I435" s="49">
        <v>1137.95</v>
      </c>
      <c r="J435" s="31">
        <v>6586.99</v>
      </c>
      <c r="M435" s="32">
        <f>ROUND(ROUND(J435, 2)*I435, 2)</f>
        <v>7495665.2699999996</v>
      </c>
      <c r="P435" s="33">
        <v>6586.99</v>
      </c>
      <c r="S435" s="32">
        <f>ROUND(ROUND(P435, 2)*I435, 2)</f>
        <v>7495665.2699999996</v>
      </c>
      <c r="V435" s="9">
        <f>ROUND(ROUND(P435, 2)/1.2, 2)</f>
        <v>5489.16</v>
      </c>
      <c r="Y435" s="9">
        <f>ROUND(S435 / 1.2, 2)</f>
        <v>6246387.7300000004</v>
      </c>
      <c r="AD435" s="4" t="s">
        <v>1810</v>
      </c>
      <c r="AE435" s="4" t="s">
        <v>1811</v>
      </c>
      <c r="AF435" s="4" t="s">
        <v>1097</v>
      </c>
    </row>
    <row r="436" spans="1:35" ht="144" x14ac:dyDescent="0.3">
      <c r="A436" s="10" t="s">
        <v>1812</v>
      </c>
      <c r="B436" s="10" t="s">
        <v>1087</v>
      </c>
      <c r="C436" s="11" t="s">
        <v>1088</v>
      </c>
      <c r="D436" s="12"/>
      <c r="E436" s="12" t="s">
        <v>1101</v>
      </c>
      <c r="F436" s="12" t="s">
        <v>61</v>
      </c>
      <c r="G436" s="13">
        <v>1</v>
      </c>
      <c r="H436" s="13"/>
      <c r="I436" s="13">
        <v>180.2</v>
      </c>
      <c r="J436" s="14">
        <f>IFERROR(ROUND(SUM(M437)/I436, 2),0)</f>
        <v>1301.74</v>
      </c>
      <c r="K436" s="15">
        <v>837.01</v>
      </c>
      <c r="L436" s="14">
        <f>J436+ROUND(K436, 2)</f>
        <v>2138.75</v>
      </c>
      <c r="M436" s="14">
        <f>ROUND(J436*I436, 2)</f>
        <v>234573.55</v>
      </c>
      <c r="N436" s="14">
        <f>ROUND(I436*ROUND(K436, 2), 2)</f>
        <v>150829.20000000001</v>
      </c>
      <c r="O436" s="14">
        <f>M436+N436</f>
        <v>385402.75</v>
      </c>
      <c r="P436" s="14">
        <f>IFERROR(ROUND(SUM(S437)/I436, 2),0)</f>
        <v>1301.74</v>
      </c>
      <c r="Q436" s="16">
        <v>1195.71</v>
      </c>
      <c r="R436" s="14">
        <f>P436+ROUND(Q436, 2)</f>
        <v>2497.4499999999998</v>
      </c>
      <c r="S436" s="14">
        <f>ROUND(P436*I436, 2)</f>
        <v>234573.55</v>
      </c>
      <c r="T436" s="14">
        <f>ROUND(I436*ROUND(Q436, 2), 2)</f>
        <v>215466.94</v>
      </c>
      <c r="U436" s="14">
        <f>S436+T436</f>
        <v>450040.49</v>
      </c>
      <c r="V436" s="9">
        <f>ROUND(P436 / 1.2, 2)</f>
        <v>1084.78</v>
      </c>
      <c r="W436" s="9">
        <f>ROUND(Q436 / 1.2, 2)</f>
        <v>996.43</v>
      </c>
      <c r="X436" s="9">
        <f>ROUND(R436 / 1.2, 2)</f>
        <v>2081.21</v>
      </c>
      <c r="Y436" s="9">
        <f>ROUND(S436 / 1.2, 2)</f>
        <v>195477.96</v>
      </c>
      <c r="Z436" s="9">
        <f>ROUND(T436 / 1.2, 2)</f>
        <v>179555.78</v>
      </c>
      <c r="AA436" s="9">
        <f>Y436+Z436</f>
        <v>375033.74</v>
      </c>
      <c r="AD436" s="4">
        <v>320319943</v>
      </c>
      <c r="AE436" s="4">
        <v>28049732</v>
      </c>
      <c r="AG436" s="4" t="s">
        <v>1090</v>
      </c>
      <c r="AH436" s="4" t="s">
        <v>1091</v>
      </c>
      <c r="AI436" s="4" t="s">
        <v>338</v>
      </c>
    </row>
    <row r="437" spans="1:35" ht="18" x14ac:dyDescent="0.3">
      <c r="A437" s="10" t="s">
        <v>1813</v>
      </c>
      <c r="B437" s="10"/>
      <c r="C437" s="28" t="s">
        <v>1104</v>
      </c>
      <c r="D437" s="12"/>
      <c r="E437" s="12"/>
      <c r="F437" s="29" t="s">
        <v>61</v>
      </c>
      <c r="G437" s="30">
        <v>1.1000000000000001</v>
      </c>
      <c r="H437" s="49"/>
      <c r="I437" s="49">
        <v>198.22</v>
      </c>
      <c r="J437" s="31">
        <v>1183.4000000000001</v>
      </c>
      <c r="M437" s="32">
        <f>ROUND(ROUND(J437, 2)*I437, 2)</f>
        <v>234573.55</v>
      </c>
      <c r="P437" s="33">
        <v>1183.4000000000001</v>
      </c>
      <c r="S437" s="32">
        <f>ROUND(ROUND(P437, 2)*I437, 2)</f>
        <v>234573.55</v>
      </c>
      <c r="V437" s="9">
        <f>ROUND(ROUND(P437, 2)/1.2, 2)</f>
        <v>986.17</v>
      </c>
      <c r="Y437" s="9">
        <f>ROUND(S437 / 1.2, 2)</f>
        <v>195477.96</v>
      </c>
      <c r="AD437" s="4" t="s">
        <v>1814</v>
      </c>
      <c r="AE437" s="4" t="s">
        <v>1815</v>
      </c>
      <c r="AF437" s="4" t="s">
        <v>1107</v>
      </c>
    </row>
    <row r="438" spans="1:35" ht="54" x14ac:dyDescent="0.3">
      <c r="A438" s="10" t="s">
        <v>1816</v>
      </c>
      <c r="B438" s="10" t="s">
        <v>1111</v>
      </c>
      <c r="C438" s="11" t="s">
        <v>1112</v>
      </c>
      <c r="D438" s="12"/>
      <c r="E438" s="12" t="s">
        <v>1817</v>
      </c>
      <c r="F438" s="12" t="s">
        <v>61</v>
      </c>
      <c r="G438" s="13">
        <v>1</v>
      </c>
      <c r="H438" s="13"/>
      <c r="I438" s="13">
        <v>4271.5</v>
      </c>
      <c r="J438" s="14">
        <v>0</v>
      </c>
      <c r="K438" s="15">
        <v>121</v>
      </c>
      <c r="L438" s="14">
        <f>J438+ROUND(K438, 2)</f>
        <v>121</v>
      </c>
      <c r="M438" s="14">
        <v>0</v>
      </c>
      <c r="N438" s="14">
        <f>ROUND(I438*ROUND(K438, 2), 2)</f>
        <v>516851.5</v>
      </c>
      <c r="O438" s="14">
        <f>M438+N438</f>
        <v>516851.5</v>
      </c>
      <c r="P438" s="14">
        <v>0</v>
      </c>
      <c r="Q438" s="16">
        <v>172.85</v>
      </c>
      <c r="R438" s="14">
        <f>P438+ROUND(Q438, 2)</f>
        <v>172.85</v>
      </c>
      <c r="S438" s="14">
        <v>0</v>
      </c>
      <c r="T438" s="14">
        <f>ROUND(I438*ROUND(Q438, 2), 2)</f>
        <v>738328.78</v>
      </c>
      <c r="U438" s="14">
        <f>S438+T438</f>
        <v>738328.78</v>
      </c>
      <c r="V438" s="9"/>
      <c r="W438" s="9">
        <f>ROUND(Q438 / 1.2, 2)</f>
        <v>144.04</v>
      </c>
      <c r="X438" s="9">
        <f>ROUND(R438 / 1.2, 2)</f>
        <v>144.04</v>
      </c>
      <c r="Y438" s="9"/>
      <c r="Z438" s="9">
        <f>ROUND(T438 / 1.2, 2)</f>
        <v>615273.98</v>
      </c>
      <c r="AA438" s="9">
        <f>Y438+Z438</f>
        <v>615273.98</v>
      </c>
      <c r="AD438" s="4">
        <v>320319915</v>
      </c>
      <c r="AE438" s="4">
        <v>28049701</v>
      </c>
      <c r="AG438" s="4" t="s">
        <v>1114</v>
      </c>
      <c r="AH438" s="4" t="s">
        <v>1115</v>
      </c>
      <c r="AI438" s="4" t="s">
        <v>338</v>
      </c>
    </row>
    <row r="439" spans="1:35" ht="90" x14ac:dyDescent="0.3">
      <c r="A439" s="10" t="s">
        <v>1818</v>
      </c>
      <c r="B439" s="10" t="s">
        <v>1118</v>
      </c>
      <c r="C439" s="11" t="s">
        <v>1119</v>
      </c>
      <c r="D439" s="12"/>
      <c r="E439" s="12" t="s">
        <v>1819</v>
      </c>
      <c r="F439" s="12" t="s">
        <v>61</v>
      </c>
      <c r="G439" s="13">
        <v>1</v>
      </c>
      <c r="H439" s="13"/>
      <c r="I439" s="13">
        <v>2326.3000000000002</v>
      </c>
      <c r="J439" s="14">
        <f>IFERROR(ROUND(SUM(M440,M441,M442,M443,M444,M445,M446,M447,M448,M449,M450)/I439, 2),0)</f>
        <v>615.64</v>
      </c>
      <c r="K439" s="15">
        <v>1379</v>
      </c>
      <c r="L439" s="14">
        <f>J439+ROUND(K439, 2)</f>
        <v>1994.6399999999999</v>
      </c>
      <c r="M439" s="14">
        <f>ROUND(J439*I439, 2)</f>
        <v>1432163.33</v>
      </c>
      <c r="N439" s="14">
        <f>ROUND(I439*ROUND(K439, 2), 2)</f>
        <v>3207967.7</v>
      </c>
      <c r="O439" s="14">
        <f>M439+N439</f>
        <v>4640131.03</v>
      </c>
      <c r="P439" s="14">
        <f>IFERROR(ROUND(SUM(S440,S441,S442,S443,S444,S445,S446,S447,S448,S449,S450)/I439, 2),0)</f>
        <v>615.64</v>
      </c>
      <c r="Q439" s="16">
        <v>1970</v>
      </c>
      <c r="R439" s="14">
        <f>P439+ROUND(Q439, 2)</f>
        <v>2585.64</v>
      </c>
      <c r="S439" s="14">
        <f>ROUND(P439*I439, 2)</f>
        <v>1432163.33</v>
      </c>
      <c r="T439" s="14">
        <f>ROUND(I439*ROUND(Q439, 2), 2)</f>
        <v>4582811</v>
      </c>
      <c r="U439" s="14">
        <f>S439+T439</f>
        <v>6014974.3300000001</v>
      </c>
      <c r="V439" s="9">
        <f>ROUND(P439 / 1.2, 2)</f>
        <v>513.03</v>
      </c>
      <c r="W439" s="9">
        <f>ROUND(Q439 / 1.2, 2)</f>
        <v>1641.67</v>
      </c>
      <c r="X439" s="9">
        <f>ROUND(R439 / 1.2, 2)</f>
        <v>2154.6999999999998</v>
      </c>
      <c r="Y439" s="9">
        <f t="shared" ref="Y439:Y476" si="38">ROUND(S439 / 1.2, 2)</f>
        <v>1193469.4399999999</v>
      </c>
      <c r="Z439" s="9">
        <f>ROUND(T439 / 1.2, 2)</f>
        <v>3819009.17</v>
      </c>
      <c r="AA439" s="9">
        <f>Y439+Z439</f>
        <v>5012478.6099999994</v>
      </c>
      <c r="AD439" s="4">
        <v>320319917</v>
      </c>
      <c r="AE439" s="4">
        <v>28049702</v>
      </c>
      <c r="AG439" s="4" t="s">
        <v>1121</v>
      </c>
      <c r="AH439" s="4" t="s">
        <v>1122</v>
      </c>
      <c r="AI439" s="4" t="s">
        <v>338</v>
      </c>
    </row>
    <row r="440" spans="1:35" ht="18" x14ac:dyDescent="0.3">
      <c r="A440" s="10" t="s">
        <v>1820</v>
      </c>
      <c r="B440" s="10"/>
      <c r="C440" s="28" t="s">
        <v>1125</v>
      </c>
      <c r="D440" s="12"/>
      <c r="E440" s="12"/>
      <c r="F440" s="29" t="s">
        <v>356</v>
      </c>
      <c r="G440" s="30">
        <v>15</v>
      </c>
      <c r="H440" s="30"/>
      <c r="I440" s="30">
        <v>34894.5</v>
      </c>
      <c r="J440" s="31">
        <v>0.96</v>
      </c>
      <c r="M440" s="32">
        <f t="shared" ref="M440:M450" si="39">ROUND(ROUND(J440, 2)*I440, 2)</f>
        <v>33498.720000000001</v>
      </c>
      <c r="P440" s="33">
        <v>0.96</v>
      </c>
      <c r="S440" s="32">
        <f t="shared" ref="S440:S450" si="40">ROUND(ROUND(P440, 2)*I440, 2)</f>
        <v>33498.720000000001</v>
      </c>
      <c r="V440" s="9">
        <f t="shared" ref="V440:V450" si="41">ROUND(ROUND(P440, 2)/1.2, 2)</f>
        <v>0.8</v>
      </c>
      <c r="Y440" s="9">
        <f t="shared" si="38"/>
        <v>27915.599999999999</v>
      </c>
      <c r="AD440" s="4" t="s">
        <v>1821</v>
      </c>
      <c r="AE440" s="4" t="s">
        <v>1822</v>
      </c>
      <c r="AF440" s="4" t="s">
        <v>1128</v>
      </c>
    </row>
    <row r="441" spans="1:35" ht="18" x14ac:dyDescent="0.3">
      <c r="A441" s="10" t="s">
        <v>1823</v>
      </c>
      <c r="B441" s="10"/>
      <c r="C441" s="28" t="s">
        <v>1132</v>
      </c>
      <c r="D441" s="12"/>
      <c r="E441" s="12"/>
      <c r="F441" s="29" t="s">
        <v>364</v>
      </c>
      <c r="G441" s="30">
        <v>0.35</v>
      </c>
      <c r="H441" s="30"/>
      <c r="I441" s="30">
        <v>814.20500000000004</v>
      </c>
      <c r="J441" s="31">
        <v>55.91</v>
      </c>
      <c r="M441" s="32">
        <f t="shared" si="39"/>
        <v>45522.2</v>
      </c>
      <c r="P441" s="33">
        <v>55.91</v>
      </c>
      <c r="S441" s="32">
        <f t="shared" si="40"/>
        <v>45522.2</v>
      </c>
      <c r="V441" s="9">
        <f t="shared" si="41"/>
        <v>46.59</v>
      </c>
      <c r="Y441" s="9">
        <f t="shared" si="38"/>
        <v>37935.17</v>
      </c>
      <c r="AD441" s="4" t="s">
        <v>1824</v>
      </c>
      <c r="AE441" s="4" t="s">
        <v>1825</v>
      </c>
      <c r="AF441" s="4" t="s">
        <v>1135</v>
      </c>
    </row>
    <row r="442" spans="1:35" ht="18" x14ac:dyDescent="0.3">
      <c r="A442" s="10" t="s">
        <v>1826</v>
      </c>
      <c r="B442" s="10"/>
      <c r="C442" s="28" t="s">
        <v>1139</v>
      </c>
      <c r="D442" s="12"/>
      <c r="E442" s="12"/>
      <c r="F442" s="29" t="s">
        <v>356</v>
      </c>
      <c r="G442" s="30">
        <v>0.3</v>
      </c>
      <c r="H442" s="30"/>
      <c r="I442" s="30">
        <v>697.89</v>
      </c>
      <c r="J442" s="31">
        <v>5.7</v>
      </c>
      <c r="M442" s="32">
        <f t="shared" si="39"/>
        <v>3977.97</v>
      </c>
      <c r="P442" s="33">
        <v>5.7</v>
      </c>
      <c r="S442" s="32">
        <f t="shared" si="40"/>
        <v>3977.97</v>
      </c>
      <c r="V442" s="9">
        <f t="shared" si="41"/>
        <v>4.75</v>
      </c>
      <c r="Y442" s="9">
        <f t="shared" si="38"/>
        <v>3314.98</v>
      </c>
      <c r="AD442" s="4" t="s">
        <v>1827</v>
      </c>
      <c r="AE442" s="4" t="s">
        <v>1828</v>
      </c>
      <c r="AF442" s="4" t="s">
        <v>1142</v>
      </c>
    </row>
    <row r="443" spans="1:35" ht="36" x14ac:dyDescent="0.3">
      <c r="A443" s="10" t="s">
        <v>1829</v>
      </c>
      <c r="B443" s="10"/>
      <c r="C443" s="47" t="s">
        <v>1146</v>
      </c>
      <c r="D443" s="12"/>
      <c r="E443" s="12"/>
      <c r="F443" s="29" t="s">
        <v>356</v>
      </c>
      <c r="G443" s="30">
        <v>3.6</v>
      </c>
      <c r="H443" s="30"/>
      <c r="I443" s="30">
        <v>8374.68</v>
      </c>
      <c r="J443" s="31">
        <v>16.170000000000002</v>
      </c>
      <c r="M443" s="32">
        <f t="shared" si="39"/>
        <v>135418.57999999999</v>
      </c>
      <c r="P443" s="33">
        <v>16.170000000000002</v>
      </c>
      <c r="S443" s="32">
        <f t="shared" si="40"/>
        <v>135418.57999999999</v>
      </c>
      <c r="V443" s="9">
        <f t="shared" si="41"/>
        <v>13.48</v>
      </c>
      <c r="Y443" s="9">
        <f t="shared" si="38"/>
        <v>112848.82</v>
      </c>
      <c r="AD443" s="4" t="s">
        <v>1830</v>
      </c>
      <c r="AE443" s="4" t="s">
        <v>1831</v>
      </c>
      <c r="AF443" s="4" t="s">
        <v>1149</v>
      </c>
    </row>
    <row r="444" spans="1:35" ht="18" x14ac:dyDescent="0.3">
      <c r="A444" s="10" t="s">
        <v>1832</v>
      </c>
      <c r="B444" s="10"/>
      <c r="C444" s="28" t="s">
        <v>1153</v>
      </c>
      <c r="D444" s="12"/>
      <c r="E444" s="12"/>
      <c r="F444" s="29" t="s">
        <v>76</v>
      </c>
      <c r="G444" s="30">
        <v>1.2</v>
      </c>
      <c r="H444" s="30"/>
      <c r="I444" s="30">
        <v>2791.56</v>
      </c>
      <c r="J444" s="31">
        <v>23.2</v>
      </c>
      <c r="M444" s="32">
        <f t="shared" si="39"/>
        <v>64764.19</v>
      </c>
      <c r="P444" s="33">
        <v>23.2</v>
      </c>
      <c r="S444" s="32">
        <f t="shared" si="40"/>
        <v>64764.19</v>
      </c>
      <c r="V444" s="9">
        <f t="shared" si="41"/>
        <v>19.329999999999998</v>
      </c>
      <c r="Y444" s="9">
        <f t="shared" si="38"/>
        <v>53970.16</v>
      </c>
      <c r="AD444" s="4" t="s">
        <v>1833</v>
      </c>
      <c r="AE444" s="4" t="s">
        <v>1834</v>
      </c>
      <c r="AF444" s="4" t="s">
        <v>1156</v>
      </c>
    </row>
    <row r="445" spans="1:35" ht="18" x14ac:dyDescent="0.3">
      <c r="A445" s="10" t="s">
        <v>1835</v>
      </c>
      <c r="B445" s="10"/>
      <c r="C445" s="28" t="s">
        <v>1160</v>
      </c>
      <c r="D445" s="12"/>
      <c r="E445" s="12"/>
      <c r="F445" s="29" t="s">
        <v>76</v>
      </c>
      <c r="G445" s="30">
        <v>4.7</v>
      </c>
      <c r="H445" s="30"/>
      <c r="I445" s="30">
        <v>10933.61</v>
      </c>
      <c r="J445" s="31">
        <v>68.099999999999994</v>
      </c>
      <c r="M445" s="32">
        <f t="shared" si="39"/>
        <v>744578.84</v>
      </c>
      <c r="P445" s="33">
        <v>68.099999999999994</v>
      </c>
      <c r="S445" s="32">
        <f t="shared" si="40"/>
        <v>744578.84</v>
      </c>
      <c r="V445" s="9">
        <f t="shared" si="41"/>
        <v>56.75</v>
      </c>
      <c r="Y445" s="9">
        <f t="shared" si="38"/>
        <v>620482.37</v>
      </c>
      <c r="AD445" s="4" t="s">
        <v>1836</v>
      </c>
      <c r="AE445" s="4" t="s">
        <v>1837</v>
      </c>
      <c r="AF445" s="4" t="s">
        <v>1163</v>
      </c>
    </row>
    <row r="446" spans="1:35" ht="18" x14ac:dyDescent="0.3">
      <c r="A446" s="10" t="s">
        <v>1838</v>
      </c>
      <c r="B446" s="10"/>
      <c r="C446" s="47" t="s">
        <v>1839</v>
      </c>
      <c r="D446" s="12"/>
      <c r="E446" s="12"/>
      <c r="F446" s="29" t="s">
        <v>356</v>
      </c>
      <c r="G446" s="30">
        <v>4.2</v>
      </c>
      <c r="H446" s="30"/>
      <c r="I446" s="30">
        <v>9770.4599999999991</v>
      </c>
      <c r="J446" s="31">
        <v>5.0999999999999996</v>
      </c>
      <c r="M446" s="32">
        <f t="shared" si="39"/>
        <v>49829.35</v>
      </c>
      <c r="P446" s="33">
        <v>5.0999999999999996</v>
      </c>
      <c r="S446" s="32">
        <f t="shared" si="40"/>
        <v>49829.35</v>
      </c>
      <c r="V446" s="9">
        <f t="shared" si="41"/>
        <v>4.25</v>
      </c>
      <c r="Y446" s="9">
        <f t="shared" si="38"/>
        <v>41524.46</v>
      </c>
      <c r="AD446" s="4" t="s">
        <v>1840</v>
      </c>
      <c r="AE446" s="4" t="s">
        <v>1841</v>
      </c>
      <c r="AF446" s="4" t="s">
        <v>1842</v>
      </c>
    </row>
    <row r="447" spans="1:35" ht="18" x14ac:dyDescent="0.3">
      <c r="A447" s="10" t="s">
        <v>1843</v>
      </c>
      <c r="B447" s="10"/>
      <c r="C447" s="28" t="s">
        <v>1167</v>
      </c>
      <c r="D447" s="12"/>
      <c r="E447" s="12"/>
      <c r="F447" s="29" t="s">
        <v>76</v>
      </c>
      <c r="G447" s="30">
        <v>1.05</v>
      </c>
      <c r="H447" s="30"/>
      <c r="I447" s="30">
        <v>2442.6149999999998</v>
      </c>
      <c r="J447" s="31">
        <v>4.67</v>
      </c>
      <c r="M447" s="32">
        <f t="shared" si="39"/>
        <v>11407.01</v>
      </c>
      <c r="P447" s="33">
        <v>4.67</v>
      </c>
      <c r="S447" s="32">
        <f t="shared" si="40"/>
        <v>11407.01</v>
      </c>
      <c r="V447" s="9">
        <f t="shared" si="41"/>
        <v>3.89</v>
      </c>
      <c r="Y447" s="9">
        <f t="shared" si="38"/>
        <v>9505.84</v>
      </c>
      <c r="AD447" s="4" t="s">
        <v>1844</v>
      </c>
      <c r="AE447" s="4" t="s">
        <v>1845</v>
      </c>
      <c r="AF447" s="4" t="s">
        <v>1170</v>
      </c>
    </row>
    <row r="448" spans="1:35" ht="18" x14ac:dyDescent="0.3">
      <c r="A448" s="10" t="s">
        <v>1846</v>
      </c>
      <c r="B448" s="10"/>
      <c r="C448" s="28" t="s">
        <v>1174</v>
      </c>
      <c r="D448" s="12"/>
      <c r="E448" s="12"/>
      <c r="F448" s="29" t="s">
        <v>76</v>
      </c>
      <c r="G448" s="30">
        <v>0.25</v>
      </c>
      <c r="H448" s="30"/>
      <c r="I448" s="30">
        <v>581.57500000000005</v>
      </c>
      <c r="J448" s="31">
        <v>2.84</v>
      </c>
      <c r="M448" s="32">
        <f t="shared" si="39"/>
        <v>1651.67</v>
      </c>
      <c r="P448" s="33">
        <v>2.84</v>
      </c>
      <c r="S448" s="32">
        <f t="shared" si="40"/>
        <v>1651.67</v>
      </c>
      <c r="V448" s="9">
        <f t="shared" si="41"/>
        <v>2.37</v>
      </c>
      <c r="Y448" s="9">
        <f t="shared" si="38"/>
        <v>1376.39</v>
      </c>
      <c r="AD448" s="4" t="s">
        <v>1847</v>
      </c>
      <c r="AE448" s="4" t="s">
        <v>1848</v>
      </c>
      <c r="AF448" s="4" t="s">
        <v>1177</v>
      </c>
    </row>
    <row r="449" spans="1:35" ht="36" x14ac:dyDescent="0.3">
      <c r="A449" s="10" t="s">
        <v>1849</v>
      </c>
      <c r="B449" s="10"/>
      <c r="C449" s="28" t="s">
        <v>1181</v>
      </c>
      <c r="D449" s="12"/>
      <c r="E449" s="12"/>
      <c r="F449" s="29" t="s">
        <v>61</v>
      </c>
      <c r="G449" s="30">
        <v>1.05</v>
      </c>
      <c r="H449" s="30"/>
      <c r="I449" s="30">
        <v>2442.6149999999998</v>
      </c>
      <c r="J449" s="31">
        <v>137.79</v>
      </c>
      <c r="M449" s="32">
        <f t="shared" si="39"/>
        <v>336567.92</v>
      </c>
      <c r="P449" s="33">
        <v>137.79</v>
      </c>
      <c r="S449" s="32">
        <f t="shared" si="40"/>
        <v>336567.92</v>
      </c>
      <c r="V449" s="9">
        <f t="shared" si="41"/>
        <v>114.83</v>
      </c>
      <c r="Y449" s="9">
        <f t="shared" si="38"/>
        <v>280473.27</v>
      </c>
      <c r="AD449" s="4" t="s">
        <v>1850</v>
      </c>
      <c r="AE449" s="4" t="s">
        <v>1851</v>
      </c>
      <c r="AF449" s="4" t="s">
        <v>1184</v>
      </c>
    </row>
    <row r="450" spans="1:35" ht="18" x14ac:dyDescent="0.3">
      <c r="A450" s="10" t="s">
        <v>1852</v>
      </c>
      <c r="B450" s="10"/>
      <c r="C450" s="28" t="s">
        <v>1188</v>
      </c>
      <c r="D450" s="12"/>
      <c r="E450" s="12"/>
      <c r="F450" s="29" t="s">
        <v>356</v>
      </c>
      <c r="G450" s="30">
        <v>0.75</v>
      </c>
      <c r="H450" s="30"/>
      <c r="I450" s="30">
        <v>1744.7249999999999</v>
      </c>
      <c r="J450" s="31">
        <v>2.84</v>
      </c>
      <c r="M450" s="32">
        <f t="shared" si="39"/>
        <v>4955.0200000000004</v>
      </c>
      <c r="P450" s="33">
        <v>2.84</v>
      </c>
      <c r="S450" s="32">
        <f t="shared" si="40"/>
        <v>4955.0200000000004</v>
      </c>
      <c r="V450" s="9">
        <f t="shared" si="41"/>
        <v>2.37</v>
      </c>
      <c r="Y450" s="9">
        <f t="shared" si="38"/>
        <v>4129.18</v>
      </c>
      <c r="AD450" s="4" t="s">
        <v>1853</v>
      </c>
      <c r="AE450" s="4" t="s">
        <v>1854</v>
      </c>
      <c r="AF450" s="4" t="s">
        <v>1191</v>
      </c>
    </row>
    <row r="451" spans="1:35" ht="72" x14ac:dyDescent="0.3">
      <c r="A451" s="10" t="s">
        <v>1855</v>
      </c>
      <c r="B451" s="10" t="s">
        <v>1118</v>
      </c>
      <c r="C451" s="11" t="s">
        <v>1119</v>
      </c>
      <c r="D451" s="12"/>
      <c r="E451" s="12" t="s">
        <v>1856</v>
      </c>
      <c r="F451" s="12" t="s">
        <v>61</v>
      </c>
      <c r="G451" s="13">
        <v>1</v>
      </c>
      <c r="H451" s="13"/>
      <c r="I451" s="13">
        <v>454.4</v>
      </c>
      <c r="J451" s="14">
        <f>IFERROR(ROUND(SUM(M452,M453,M454,M455,M456,M457,M458,M459,M460,M461,M462)/I451, 2),0)</f>
        <v>615.64</v>
      </c>
      <c r="K451" s="15">
        <v>1379</v>
      </c>
      <c r="L451" s="14">
        <f>J451+ROUND(K451, 2)</f>
        <v>1994.6399999999999</v>
      </c>
      <c r="M451" s="14">
        <f>ROUND(J451*I451, 2)</f>
        <v>279746.82</v>
      </c>
      <c r="N451" s="14">
        <f>ROUND(I451*ROUND(K451, 2), 2)</f>
        <v>626617.59999999998</v>
      </c>
      <c r="O451" s="14">
        <f>M451+N451</f>
        <v>906364.41999999993</v>
      </c>
      <c r="P451" s="14">
        <f>IFERROR(ROUND(SUM(S452,S453,S454,S455,S456,S457,S458,S459,S460,S461,S462)/I451, 2),0)</f>
        <v>615.64</v>
      </c>
      <c r="Q451" s="16">
        <v>1970</v>
      </c>
      <c r="R451" s="14">
        <f>P451+ROUND(Q451, 2)</f>
        <v>2585.64</v>
      </c>
      <c r="S451" s="14">
        <f>ROUND(P451*I451, 2)</f>
        <v>279746.82</v>
      </c>
      <c r="T451" s="14">
        <f>ROUND(I451*ROUND(Q451, 2), 2)</f>
        <v>895168</v>
      </c>
      <c r="U451" s="14">
        <f>S451+T451</f>
        <v>1174914.82</v>
      </c>
      <c r="V451" s="9">
        <f>ROUND(P451 / 1.2, 2)</f>
        <v>513.03</v>
      </c>
      <c r="W451" s="9">
        <f>ROUND(Q451 / 1.2, 2)</f>
        <v>1641.67</v>
      </c>
      <c r="X451" s="9">
        <f>ROUND(R451 / 1.2, 2)</f>
        <v>2154.6999999999998</v>
      </c>
      <c r="Y451" s="9">
        <f t="shared" si="38"/>
        <v>233122.35</v>
      </c>
      <c r="Z451" s="9">
        <f>ROUND(T451 / 1.2, 2)</f>
        <v>745973.33</v>
      </c>
      <c r="AA451" s="9">
        <f>Y451+Z451</f>
        <v>979095.67999999993</v>
      </c>
      <c r="AD451" s="4">
        <v>320319944</v>
      </c>
      <c r="AE451" s="4">
        <v>28049691</v>
      </c>
      <c r="AG451" s="4" t="s">
        <v>1121</v>
      </c>
      <c r="AH451" s="4" t="s">
        <v>1122</v>
      </c>
      <c r="AI451" s="4" t="s">
        <v>338</v>
      </c>
    </row>
    <row r="452" spans="1:35" ht="18" x14ac:dyDescent="0.3">
      <c r="A452" s="10" t="s">
        <v>1857</v>
      </c>
      <c r="B452" s="10"/>
      <c r="C452" s="28" t="s">
        <v>1188</v>
      </c>
      <c r="D452" s="12"/>
      <c r="E452" s="12"/>
      <c r="F452" s="29" t="s">
        <v>356</v>
      </c>
      <c r="G452" s="30">
        <v>0.75</v>
      </c>
      <c r="H452" s="30"/>
      <c r="I452" s="30">
        <v>340.8</v>
      </c>
      <c r="J452" s="31">
        <v>2.84</v>
      </c>
      <c r="M452" s="32">
        <f t="shared" ref="M452:M462" si="42">ROUND(ROUND(J452, 2)*I452, 2)</f>
        <v>967.87</v>
      </c>
      <c r="P452" s="33">
        <v>2.84</v>
      </c>
      <c r="S452" s="32">
        <f t="shared" ref="S452:S462" si="43">ROUND(ROUND(P452, 2)*I452, 2)</f>
        <v>967.87</v>
      </c>
      <c r="V452" s="9">
        <f t="shared" ref="V452:V462" si="44">ROUND(ROUND(P452, 2)/1.2, 2)</f>
        <v>2.37</v>
      </c>
      <c r="Y452" s="9">
        <f t="shared" si="38"/>
        <v>806.56</v>
      </c>
      <c r="AD452" s="4" t="s">
        <v>1858</v>
      </c>
      <c r="AE452" s="4" t="s">
        <v>1859</v>
      </c>
      <c r="AF452" s="4" t="s">
        <v>1191</v>
      </c>
    </row>
    <row r="453" spans="1:35" ht="54" x14ac:dyDescent="0.3">
      <c r="A453" s="10" t="s">
        <v>1860</v>
      </c>
      <c r="B453" s="10"/>
      <c r="C453" s="28" t="s">
        <v>98</v>
      </c>
      <c r="D453" s="12"/>
      <c r="E453" s="12"/>
      <c r="F453" s="29" t="s">
        <v>61</v>
      </c>
      <c r="G453" s="30">
        <v>1.05</v>
      </c>
      <c r="H453" s="30"/>
      <c r="I453" s="30">
        <v>477.12</v>
      </c>
      <c r="J453" s="31">
        <v>137.79</v>
      </c>
      <c r="M453" s="32">
        <f t="shared" si="42"/>
        <v>65742.36</v>
      </c>
      <c r="P453" s="33">
        <v>137.79</v>
      </c>
      <c r="S453" s="32">
        <f t="shared" si="43"/>
        <v>65742.36</v>
      </c>
      <c r="V453" s="9">
        <f t="shared" si="44"/>
        <v>114.83</v>
      </c>
      <c r="Y453" s="9">
        <f t="shared" si="38"/>
        <v>54785.3</v>
      </c>
      <c r="AD453" s="4" t="s">
        <v>1861</v>
      </c>
      <c r="AE453" s="4" t="s">
        <v>1862</v>
      </c>
      <c r="AF453" s="4" t="s">
        <v>101</v>
      </c>
    </row>
    <row r="454" spans="1:35" ht="18" x14ac:dyDescent="0.3">
      <c r="A454" s="10" t="s">
        <v>1863</v>
      </c>
      <c r="B454" s="10"/>
      <c r="C454" s="28" t="s">
        <v>1174</v>
      </c>
      <c r="D454" s="12"/>
      <c r="E454" s="12"/>
      <c r="F454" s="29" t="s">
        <v>76</v>
      </c>
      <c r="G454" s="30">
        <v>0.25</v>
      </c>
      <c r="H454" s="30"/>
      <c r="I454" s="30">
        <v>113.6</v>
      </c>
      <c r="J454" s="31">
        <v>2.84</v>
      </c>
      <c r="M454" s="32">
        <f t="shared" si="42"/>
        <v>322.62</v>
      </c>
      <c r="P454" s="33">
        <v>2.84</v>
      </c>
      <c r="S454" s="32">
        <f t="shared" si="43"/>
        <v>322.62</v>
      </c>
      <c r="V454" s="9">
        <f t="shared" si="44"/>
        <v>2.37</v>
      </c>
      <c r="Y454" s="9">
        <f t="shared" si="38"/>
        <v>268.85000000000002</v>
      </c>
      <c r="AD454" s="4" t="s">
        <v>1864</v>
      </c>
      <c r="AE454" s="4" t="s">
        <v>1865</v>
      </c>
      <c r="AF454" s="4" t="s">
        <v>1177</v>
      </c>
    </row>
    <row r="455" spans="1:35" ht="18" x14ac:dyDescent="0.3">
      <c r="A455" s="10" t="s">
        <v>1866</v>
      </c>
      <c r="B455" s="10"/>
      <c r="C455" s="28" t="s">
        <v>1167</v>
      </c>
      <c r="D455" s="12"/>
      <c r="E455" s="12"/>
      <c r="F455" s="29" t="s">
        <v>76</v>
      </c>
      <c r="G455" s="30">
        <v>1.05</v>
      </c>
      <c r="H455" s="30"/>
      <c r="I455" s="30">
        <v>477.12</v>
      </c>
      <c r="J455" s="31">
        <v>4.67</v>
      </c>
      <c r="M455" s="32">
        <f t="shared" si="42"/>
        <v>2228.15</v>
      </c>
      <c r="P455" s="33">
        <v>4.67</v>
      </c>
      <c r="S455" s="32">
        <f t="shared" si="43"/>
        <v>2228.15</v>
      </c>
      <c r="V455" s="9">
        <f t="shared" si="44"/>
        <v>3.89</v>
      </c>
      <c r="Y455" s="9">
        <f t="shared" si="38"/>
        <v>1856.79</v>
      </c>
      <c r="AD455" s="4" t="s">
        <v>1867</v>
      </c>
      <c r="AE455" s="4" t="s">
        <v>1868</v>
      </c>
      <c r="AF455" s="4" t="s">
        <v>1170</v>
      </c>
    </row>
    <row r="456" spans="1:35" ht="18" x14ac:dyDescent="0.3">
      <c r="A456" s="10" t="s">
        <v>1869</v>
      </c>
      <c r="B456" s="10"/>
      <c r="C456" s="47" t="s">
        <v>1839</v>
      </c>
      <c r="D456" s="12"/>
      <c r="E456" s="12"/>
      <c r="F456" s="29" t="s">
        <v>356</v>
      </c>
      <c r="G456" s="30">
        <v>4.2</v>
      </c>
      <c r="H456" s="30"/>
      <c r="I456" s="30">
        <v>1908.48</v>
      </c>
      <c r="J456" s="31">
        <v>5.0999999999999996</v>
      </c>
      <c r="M456" s="32">
        <f t="shared" si="42"/>
        <v>9733.25</v>
      </c>
      <c r="P456" s="33">
        <v>5.0999999999999996</v>
      </c>
      <c r="S456" s="32">
        <f t="shared" si="43"/>
        <v>9733.25</v>
      </c>
      <c r="V456" s="9">
        <f t="shared" si="44"/>
        <v>4.25</v>
      </c>
      <c r="Y456" s="9">
        <f t="shared" si="38"/>
        <v>8111.04</v>
      </c>
      <c r="AD456" s="4" t="s">
        <v>1870</v>
      </c>
      <c r="AE456" s="4" t="s">
        <v>1871</v>
      </c>
      <c r="AF456" s="4" t="s">
        <v>1842</v>
      </c>
    </row>
    <row r="457" spans="1:35" ht="18" x14ac:dyDescent="0.3">
      <c r="A457" s="10" t="s">
        <v>1872</v>
      </c>
      <c r="B457" s="10"/>
      <c r="C457" s="28" t="s">
        <v>1153</v>
      </c>
      <c r="D457" s="12"/>
      <c r="E457" s="12"/>
      <c r="F457" s="29" t="s">
        <v>76</v>
      </c>
      <c r="G457" s="30">
        <v>1.2</v>
      </c>
      <c r="H457" s="30"/>
      <c r="I457" s="30">
        <v>545.28</v>
      </c>
      <c r="J457" s="31">
        <v>23.2</v>
      </c>
      <c r="M457" s="32">
        <f t="shared" si="42"/>
        <v>12650.5</v>
      </c>
      <c r="P457" s="33">
        <v>23.2</v>
      </c>
      <c r="S457" s="32">
        <f t="shared" si="43"/>
        <v>12650.5</v>
      </c>
      <c r="V457" s="9">
        <f t="shared" si="44"/>
        <v>19.329999999999998</v>
      </c>
      <c r="Y457" s="9">
        <f t="shared" si="38"/>
        <v>10542.08</v>
      </c>
      <c r="AD457" s="4" t="s">
        <v>1873</v>
      </c>
      <c r="AE457" s="4" t="s">
        <v>1874</v>
      </c>
      <c r="AF457" s="4" t="s">
        <v>1156</v>
      </c>
    </row>
    <row r="458" spans="1:35" ht="18" x14ac:dyDescent="0.3">
      <c r="A458" s="10" t="s">
        <v>1875</v>
      </c>
      <c r="B458" s="10"/>
      <c r="C458" s="28" t="s">
        <v>1160</v>
      </c>
      <c r="D458" s="12"/>
      <c r="E458" s="12"/>
      <c r="F458" s="29" t="s">
        <v>76</v>
      </c>
      <c r="G458" s="30">
        <v>4.7</v>
      </c>
      <c r="H458" s="30"/>
      <c r="I458" s="30">
        <v>2135.6799999999998</v>
      </c>
      <c r="J458" s="31">
        <v>68.099999999999994</v>
      </c>
      <c r="M458" s="32">
        <f t="shared" si="42"/>
        <v>145439.81</v>
      </c>
      <c r="P458" s="33">
        <v>68.099999999999994</v>
      </c>
      <c r="S458" s="32">
        <f t="shared" si="43"/>
        <v>145439.81</v>
      </c>
      <c r="V458" s="9">
        <f t="shared" si="44"/>
        <v>56.75</v>
      </c>
      <c r="Y458" s="9">
        <f t="shared" si="38"/>
        <v>121199.84</v>
      </c>
      <c r="AD458" s="4" t="s">
        <v>1876</v>
      </c>
      <c r="AE458" s="4" t="s">
        <v>1877</v>
      </c>
      <c r="AF458" s="4" t="s">
        <v>1163</v>
      </c>
    </row>
    <row r="459" spans="1:35" ht="36" x14ac:dyDescent="0.3">
      <c r="A459" s="10" t="s">
        <v>1878</v>
      </c>
      <c r="B459" s="10"/>
      <c r="C459" s="47" t="s">
        <v>1146</v>
      </c>
      <c r="D459" s="12"/>
      <c r="E459" s="12"/>
      <c r="F459" s="29" t="s">
        <v>356</v>
      </c>
      <c r="G459" s="30">
        <v>3.6</v>
      </c>
      <c r="H459" s="30"/>
      <c r="I459" s="30">
        <v>1635.84</v>
      </c>
      <c r="J459" s="31">
        <v>16.170000000000002</v>
      </c>
      <c r="M459" s="32">
        <f t="shared" si="42"/>
        <v>26451.53</v>
      </c>
      <c r="P459" s="33">
        <v>16.170000000000002</v>
      </c>
      <c r="S459" s="32">
        <f t="shared" si="43"/>
        <v>26451.53</v>
      </c>
      <c r="V459" s="9">
        <f t="shared" si="44"/>
        <v>13.48</v>
      </c>
      <c r="Y459" s="9">
        <f t="shared" si="38"/>
        <v>22042.94</v>
      </c>
      <c r="AD459" s="4" t="s">
        <v>1879</v>
      </c>
      <c r="AE459" s="4" t="s">
        <v>1880</v>
      </c>
      <c r="AF459" s="4" t="s">
        <v>1149</v>
      </c>
    </row>
    <row r="460" spans="1:35" ht="18" x14ac:dyDescent="0.3">
      <c r="A460" s="10" t="s">
        <v>1881</v>
      </c>
      <c r="B460" s="10"/>
      <c r="C460" s="28" t="s">
        <v>1139</v>
      </c>
      <c r="D460" s="12"/>
      <c r="E460" s="12"/>
      <c r="F460" s="29" t="s">
        <v>356</v>
      </c>
      <c r="G460" s="30">
        <v>0.3</v>
      </c>
      <c r="H460" s="30"/>
      <c r="I460" s="30">
        <v>136.32</v>
      </c>
      <c r="J460" s="31">
        <v>5.7</v>
      </c>
      <c r="M460" s="32">
        <f t="shared" si="42"/>
        <v>777.02</v>
      </c>
      <c r="P460" s="33">
        <v>5.7</v>
      </c>
      <c r="S460" s="32">
        <f t="shared" si="43"/>
        <v>777.02</v>
      </c>
      <c r="V460" s="9">
        <f t="shared" si="44"/>
        <v>4.75</v>
      </c>
      <c r="Y460" s="9">
        <f t="shared" si="38"/>
        <v>647.52</v>
      </c>
      <c r="AD460" s="4" t="s">
        <v>1882</v>
      </c>
      <c r="AE460" s="4" t="s">
        <v>1883</v>
      </c>
      <c r="AF460" s="4" t="s">
        <v>1142</v>
      </c>
    </row>
    <row r="461" spans="1:35" ht="18" x14ac:dyDescent="0.3">
      <c r="A461" s="10" t="s">
        <v>1884</v>
      </c>
      <c r="B461" s="10"/>
      <c r="C461" s="28" t="s">
        <v>1132</v>
      </c>
      <c r="D461" s="12"/>
      <c r="E461" s="12"/>
      <c r="F461" s="29" t="s">
        <v>364</v>
      </c>
      <c r="G461" s="30">
        <v>0.35</v>
      </c>
      <c r="H461" s="30"/>
      <c r="I461" s="30">
        <v>159.04</v>
      </c>
      <c r="J461" s="31">
        <v>55.91</v>
      </c>
      <c r="M461" s="32">
        <f t="shared" si="42"/>
        <v>8891.93</v>
      </c>
      <c r="P461" s="33">
        <v>55.91</v>
      </c>
      <c r="S461" s="32">
        <f t="shared" si="43"/>
        <v>8891.93</v>
      </c>
      <c r="V461" s="9">
        <f t="shared" si="44"/>
        <v>46.59</v>
      </c>
      <c r="Y461" s="9">
        <f t="shared" si="38"/>
        <v>7409.94</v>
      </c>
      <c r="AD461" s="4" t="s">
        <v>1885</v>
      </c>
      <c r="AE461" s="4" t="s">
        <v>1886</v>
      </c>
      <c r="AF461" s="4" t="s">
        <v>1135</v>
      </c>
    </row>
    <row r="462" spans="1:35" ht="18" x14ac:dyDescent="0.3">
      <c r="A462" s="10" t="s">
        <v>1887</v>
      </c>
      <c r="B462" s="10"/>
      <c r="C462" s="28" t="s">
        <v>1125</v>
      </c>
      <c r="D462" s="12"/>
      <c r="E462" s="12"/>
      <c r="F462" s="29" t="s">
        <v>356</v>
      </c>
      <c r="G462" s="30">
        <v>15</v>
      </c>
      <c r="H462" s="30"/>
      <c r="I462" s="30">
        <v>6816</v>
      </c>
      <c r="J462" s="31">
        <v>0.96</v>
      </c>
      <c r="M462" s="32">
        <f t="shared" si="42"/>
        <v>6543.36</v>
      </c>
      <c r="P462" s="33">
        <v>0.96</v>
      </c>
      <c r="S462" s="32">
        <f t="shared" si="43"/>
        <v>6543.36</v>
      </c>
      <c r="V462" s="9">
        <f t="shared" si="44"/>
        <v>0.8</v>
      </c>
      <c r="Y462" s="9">
        <f t="shared" si="38"/>
        <v>5452.8</v>
      </c>
      <c r="AD462" s="4" t="s">
        <v>1888</v>
      </c>
      <c r="AE462" s="4" t="s">
        <v>1889</v>
      </c>
      <c r="AF462" s="4" t="s">
        <v>1128</v>
      </c>
    </row>
    <row r="463" spans="1:35" ht="54" x14ac:dyDescent="0.3">
      <c r="A463" s="10" t="s">
        <v>1890</v>
      </c>
      <c r="B463" s="10" t="s">
        <v>1118</v>
      </c>
      <c r="C463" s="11" t="s">
        <v>1119</v>
      </c>
      <c r="D463" s="12"/>
      <c r="E463" s="12" t="s">
        <v>1891</v>
      </c>
      <c r="F463" s="12" t="s">
        <v>61</v>
      </c>
      <c r="G463" s="13">
        <v>1</v>
      </c>
      <c r="H463" s="13"/>
      <c r="I463" s="13">
        <v>105.5</v>
      </c>
      <c r="J463" s="14">
        <f>IFERROR(ROUND(SUM(M464,M465,M466,M467,M468,M469,M470,M471,M472,M473,M474)/I463, 2),0)</f>
        <v>470.96</v>
      </c>
      <c r="K463" s="15">
        <v>1379</v>
      </c>
      <c r="L463" s="14">
        <f>J463+ROUND(K463, 2)</f>
        <v>1849.96</v>
      </c>
      <c r="M463" s="14">
        <f>ROUND(J463*I463, 2)</f>
        <v>49686.28</v>
      </c>
      <c r="N463" s="14">
        <f>ROUND(I463*ROUND(K463, 2), 2)</f>
        <v>145484.5</v>
      </c>
      <c r="O463" s="14">
        <f>M463+N463</f>
        <v>195170.78</v>
      </c>
      <c r="P463" s="14">
        <f>IFERROR(ROUND(SUM(S464,S465,S466,S467,S468,S469,S470,S471,S472,S473,S474)/I463, 2),0)</f>
        <v>2209.7600000000002</v>
      </c>
      <c r="Q463" s="16">
        <v>1970</v>
      </c>
      <c r="R463" s="14">
        <f>P463+ROUND(Q463, 2)</f>
        <v>4179.76</v>
      </c>
      <c r="S463" s="14">
        <f>ROUND(P463*I463, 2)</f>
        <v>233129.68</v>
      </c>
      <c r="T463" s="14">
        <f>ROUND(I463*ROUND(Q463, 2), 2)</f>
        <v>207835</v>
      </c>
      <c r="U463" s="14">
        <f>S463+T463</f>
        <v>440964.68</v>
      </c>
      <c r="V463" s="9">
        <f>ROUND(P463 / 1.2, 2)</f>
        <v>1841.47</v>
      </c>
      <c r="W463" s="9">
        <f>ROUND(Q463 / 1.2, 2)</f>
        <v>1641.67</v>
      </c>
      <c r="X463" s="9">
        <f>ROUND(R463 / 1.2, 2)</f>
        <v>3483.13</v>
      </c>
      <c r="Y463" s="9">
        <f t="shared" si="38"/>
        <v>194274.73</v>
      </c>
      <c r="Z463" s="9">
        <f>ROUND(T463 / 1.2, 2)</f>
        <v>173195.83</v>
      </c>
      <c r="AA463" s="9">
        <f>Y463+Z463</f>
        <v>367470.56</v>
      </c>
      <c r="AD463" s="4">
        <v>320319945</v>
      </c>
      <c r="AE463" s="4">
        <v>28049731</v>
      </c>
      <c r="AG463" s="4" t="s">
        <v>1121</v>
      </c>
      <c r="AH463" s="4" t="s">
        <v>1122</v>
      </c>
      <c r="AI463" s="4" t="s">
        <v>338</v>
      </c>
    </row>
    <row r="464" spans="1:35" ht="18" x14ac:dyDescent="0.3">
      <c r="A464" s="10" t="s">
        <v>1892</v>
      </c>
      <c r="B464" s="10"/>
      <c r="C464" s="28" t="s">
        <v>1125</v>
      </c>
      <c r="D464" s="12"/>
      <c r="E464" s="12"/>
      <c r="F464" s="29" t="s">
        <v>356</v>
      </c>
      <c r="G464" s="30">
        <v>15</v>
      </c>
      <c r="H464" s="30"/>
      <c r="I464" s="30">
        <v>1582.5</v>
      </c>
      <c r="J464" s="31">
        <v>0.96</v>
      </c>
      <c r="M464" s="32">
        <f t="shared" ref="M464:M474" si="45">ROUND(ROUND(J464, 2)*I464, 2)</f>
        <v>1519.2</v>
      </c>
      <c r="P464" s="33">
        <v>0.96</v>
      </c>
      <c r="S464" s="32">
        <f t="shared" ref="S464:S474" si="46">ROUND(ROUND(P464, 2)*I464, 2)</f>
        <v>1519.2</v>
      </c>
      <c r="V464" s="9">
        <f t="shared" ref="V464:V474" si="47">ROUND(ROUND(P464, 2)/1.2, 2)</f>
        <v>0.8</v>
      </c>
      <c r="Y464" s="9">
        <f t="shared" si="38"/>
        <v>1266</v>
      </c>
      <c r="AD464" s="4" t="s">
        <v>1893</v>
      </c>
      <c r="AE464" s="4" t="s">
        <v>1894</v>
      </c>
      <c r="AF464" s="4" t="s">
        <v>1128</v>
      </c>
    </row>
    <row r="465" spans="1:35" ht="18" x14ac:dyDescent="0.3">
      <c r="A465" s="10" t="s">
        <v>1895</v>
      </c>
      <c r="B465" s="10"/>
      <c r="C465" s="28" t="s">
        <v>1132</v>
      </c>
      <c r="D465" s="12"/>
      <c r="E465" s="12"/>
      <c r="F465" s="29" t="s">
        <v>364</v>
      </c>
      <c r="G465" s="30">
        <v>0.35</v>
      </c>
      <c r="H465" s="30"/>
      <c r="I465" s="30">
        <v>36.924999999999997</v>
      </c>
      <c r="J465" s="31">
        <v>55.91</v>
      </c>
      <c r="M465" s="32">
        <f t="shared" si="45"/>
        <v>2064.48</v>
      </c>
      <c r="P465" s="33">
        <v>55.91</v>
      </c>
      <c r="S465" s="32">
        <f t="shared" si="46"/>
        <v>2064.48</v>
      </c>
      <c r="V465" s="9">
        <f t="shared" si="47"/>
        <v>46.59</v>
      </c>
      <c r="Y465" s="9">
        <f t="shared" si="38"/>
        <v>1720.4</v>
      </c>
      <c r="AD465" s="4" t="s">
        <v>1896</v>
      </c>
      <c r="AE465" s="4" t="s">
        <v>1897</v>
      </c>
      <c r="AF465" s="4" t="s">
        <v>1135</v>
      </c>
    </row>
    <row r="466" spans="1:35" ht="18" x14ac:dyDescent="0.3">
      <c r="A466" s="10" t="s">
        <v>1898</v>
      </c>
      <c r="B466" s="10"/>
      <c r="C466" s="28" t="s">
        <v>1139</v>
      </c>
      <c r="D466" s="12"/>
      <c r="E466" s="12"/>
      <c r="F466" s="29" t="s">
        <v>356</v>
      </c>
      <c r="G466" s="30">
        <v>0.3</v>
      </c>
      <c r="H466" s="30"/>
      <c r="I466" s="30">
        <v>31.65</v>
      </c>
      <c r="J466" s="31">
        <v>5.7</v>
      </c>
      <c r="M466" s="32">
        <f t="shared" si="45"/>
        <v>180.41</v>
      </c>
      <c r="P466" s="33">
        <v>5.7</v>
      </c>
      <c r="S466" s="32">
        <f t="shared" si="46"/>
        <v>180.41</v>
      </c>
      <c r="V466" s="9">
        <f t="shared" si="47"/>
        <v>4.75</v>
      </c>
      <c r="Y466" s="9">
        <f t="shared" si="38"/>
        <v>150.34</v>
      </c>
      <c r="AD466" s="4" t="s">
        <v>1899</v>
      </c>
      <c r="AE466" s="4" t="s">
        <v>1900</v>
      </c>
      <c r="AF466" s="4" t="s">
        <v>1142</v>
      </c>
    </row>
    <row r="467" spans="1:35" ht="36" x14ac:dyDescent="0.3">
      <c r="A467" s="10" t="s">
        <v>1901</v>
      </c>
      <c r="B467" s="10"/>
      <c r="C467" s="47" t="s">
        <v>1146</v>
      </c>
      <c r="D467" s="12"/>
      <c r="E467" s="12"/>
      <c r="F467" s="29" t="s">
        <v>356</v>
      </c>
      <c r="G467" s="30">
        <v>3.6</v>
      </c>
      <c r="H467" s="30"/>
      <c r="I467" s="30">
        <v>379.8</v>
      </c>
      <c r="J467" s="31">
        <v>16.170000000000002</v>
      </c>
      <c r="M467" s="32">
        <f t="shared" si="45"/>
        <v>6141.37</v>
      </c>
      <c r="P467" s="33">
        <v>16.170000000000002</v>
      </c>
      <c r="S467" s="32">
        <f t="shared" si="46"/>
        <v>6141.37</v>
      </c>
      <c r="V467" s="9">
        <f t="shared" si="47"/>
        <v>13.48</v>
      </c>
      <c r="Y467" s="9">
        <f t="shared" si="38"/>
        <v>5117.8100000000004</v>
      </c>
      <c r="AD467" s="4" t="s">
        <v>1902</v>
      </c>
      <c r="AE467" s="4" t="s">
        <v>1903</v>
      </c>
      <c r="AF467" s="4" t="s">
        <v>1149</v>
      </c>
    </row>
    <row r="468" spans="1:35" ht="18" x14ac:dyDescent="0.3">
      <c r="A468" s="10" t="s">
        <v>1904</v>
      </c>
      <c r="B468" s="10"/>
      <c r="C468" s="28" t="s">
        <v>1153</v>
      </c>
      <c r="D468" s="12"/>
      <c r="E468" s="12"/>
      <c r="F468" s="29" t="s">
        <v>76</v>
      </c>
      <c r="G468" s="30">
        <v>1.2</v>
      </c>
      <c r="H468" s="30"/>
      <c r="I468" s="30">
        <v>126.6</v>
      </c>
      <c r="J468" s="31">
        <v>23.2</v>
      </c>
      <c r="M468" s="32">
        <f t="shared" si="45"/>
        <v>2937.12</v>
      </c>
      <c r="P468" s="33">
        <v>23.2</v>
      </c>
      <c r="S468" s="32">
        <f t="shared" si="46"/>
        <v>2937.12</v>
      </c>
      <c r="V468" s="9">
        <f t="shared" si="47"/>
        <v>19.329999999999998</v>
      </c>
      <c r="Y468" s="9">
        <f t="shared" si="38"/>
        <v>2447.6</v>
      </c>
      <c r="AD468" s="4" t="s">
        <v>1905</v>
      </c>
      <c r="AE468" s="4" t="s">
        <v>1906</v>
      </c>
      <c r="AF468" s="4" t="s">
        <v>1156</v>
      </c>
    </row>
    <row r="469" spans="1:35" ht="18" x14ac:dyDescent="0.3">
      <c r="A469" s="10" t="s">
        <v>1907</v>
      </c>
      <c r="B469" s="10"/>
      <c r="C469" s="28" t="s">
        <v>1160</v>
      </c>
      <c r="D469" s="12"/>
      <c r="E469" s="12"/>
      <c r="F469" s="29" t="s">
        <v>76</v>
      </c>
      <c r="G469" s="30">
        <v>4.7</v>
      </c>
      <c r="H469" s="30"/>
      <c r="I469" s="30">
        <v>495.85</v>
      </c>
      <c r="J469" s="31">
        <v>68.099999999999994</v>
      </c>
      <c r="M469" s="32">
        <f t="shared" si="45"/>
        <v>33767.39</v>
      </c>
      <c r="P469" s="33">
        <v>68.099999999999994</v>
      </c>
      <c r="S469" s="32">
        <f t="shared" si="46"/>
        <v>33767.39</v>
      </c>
      <c r="V469" s="9">
        <f t="shared" si="47"/>
        <v>56.75</v>
      </c>
      <c r="Y469" s="9">
        <f t="shared" si="38"/>
        <v>28139.49</v>
      </c>
      <c r="AD469" s="4" t="s">
        <v>1908</v>
      </c>
      <c r="AE469" s="4" t="s">
        <v>1909</v>
      </c>
      <c r="AF469" s="4" t="s">
        <v>1163</v>
      </c>
    </row>
    <row r="470" spans="1:35" ht="18" x14ac:dyDescent="0.3">
      <c r="A470" s="10" t="s">
        <v>1910</v>
      </c>
      <c r="B470" s="10"/>
      <c r="C470" s="47" t="s">
        <v>1839</v>
      </c>
      <c r="D470" s="12"/>
      <c r="E470" s="12"/>
      <c r="F470" s="29" t="s">
        <v>356</v>
      </c>
      <c r="G470" s="30">
        <v>4.2</v>
      </c>
      <c r="H470" s="30"/>
      <c r="I470" s="30">
        <v>443.1</v>
      </c>
      <c r="J470" s="31">
        <v>5.0999999999999996</v>
      </c>
      <c r="M470" s="32">
        <f t="shared" si="45"/>
        <v>2259.81</v>
      </c>
      <c r="P470" s="33">
        <v>5.0999999999999996</v>
      </c>
      <c r="S470" s="32">
        <f t="shared" si="46"/>
        <v>2259.81</v>
      </c>
      <c r="V470" s="9">
        <f t="shared" si="47"/>
        <v>4.25</v>
      </c>
      <c r="Y470" s="9">
        <f t="shared" si="38"/>
        <v>1883.18</v>
      </c>
      <c r="AD470" s="4" t="s">
        <v>1911</v>
      </c>
      <c r="AE470" s="4" t="s">
        <v>1912</v>
      </c>
      <c r="AF470" s="4" t="s">
        <v>1842</v>
      </c>
    </row>
    <row r="471" spans="1:35" ht="18" x14ac:dyDescent="0.3">
      <c r="A471" s="10" t="s">
        <v>1913</v>
      </c>
      <c r="B471" s="10"/>
      <c r="C471" s="28" t="s">
        <v>1281</v>
      </c>
      <c r="D471" s="12"/>
      <c r="E471" s="12"/>
      <c r="F471" s="29" t="s">
        <v>61</v>
      </c>
      <c r="G471" s="30">
        <v>1.05</v>
      </c>
      <c r="H471" s="30"/>
      <c r="I471" s="30">
        <v>110.77500000000001</v>
      </c>
      <c r="J471" s="31">
        <v>0</v>
      </c>
      <c r="M471" s="32">
        <f t="shared" si="45"/>
        <v>0</v>
      </c>
      <c r="P471" s="33">
        <v>1656</v>
      </c>
      <c r="S471" s="32">
        <f t="shared" si="46"/>
        <v>183443.4</v>
      </c>
      <c r="V471" s="9">
        <f t="shared" si="47"/>
        <v>1380</v>
      </c>
      <c r="Y471" s="9">
        <f t="shared" si="38"/>
        <v>152869.5</v>
      </c>
      <c r="AD471" s="4" t="s">
        <v>1914</v>
      </c>
      <c r="AE471" s="4" t="s">
        <v>1915</v>
      </c>
      <c r="AF471" s="4" t="s">
        <v>1284</v>
      </c>
    </row>
    <row r="472" spans="1:35" ht="18" x14ac:dyDescent="0.3">
      <c r="A472" s="10" t="s">
        <v>1916</v>
      </c>
      <c r="B472" s="10"/>
      <c r="C472" s="28" t="s">
        <v>1167</v>
      </c>
      <c r="D472" s="12"/>
      <c r="E472" s="12"/>
      <c r="F472" s="29" t="s">
        <v>76</v>
      </c>
      <c r="G472" s="30">
        <v>1.05</v>
      </c>
      <c r="H472" s="30"/>
      <c r="I472" s="30">
        <v>110.77500000000001</v>
      </c>
      <c r="J472" s="31">
        <v>4.67</v>
      </c>
      <c r="M472" s="32">
        <f t="shared" si="45"/>
        <v>517.32000000000005</v>
      </c>
      <c r="P472" s="33">
        <v>4.67</v>
      </c>
      <c r="S472" s="32">
        <f t="shared" si="46"/>
        <v>517.32000000000005</v>
      </c>
      <c r="V472" s="9">
        <f t="shared" si="47"/>
        <v>3.89</v>
      </c>
      <c r="Y472" s="9">
        <f t="shared" si="38"/>
        <v>431.1</v>
      </c>
      <c r="AD472" s="4" t="s">
        <v>1917</v>
      </c>
      <c r="AE472" s="4" t="s">
        <v>1918</v>
      </c>
      <c r="AF472" s="4" t="s">
        <v>1170</v>
      </c>
    </row>
    <row r="473" spans="1:35" ht="18" x14ac:dyDescent="0.3">
      <c r="A473" s="10" t="s">
        <v>1919</v>
      </c>
      <c r="B473" s="10"/>
      <c r="C473" s="28" t="s">
        <v>1174</v>
      </c>
      <c r="D473" s="12"/>
      <c r="E473" s="12"/>
      <c r="F473" s="29" t="s">
        <v>76</v>
      </c>
      <c r="G473" s="30">
        <v>0.25</v>
      </c>
      <c r="H473" s="30"/>
      <c r="I473" s="30">
        <v>26.375</v>
      </c>
      <c r="J473" s="31">
        <v>2.84</v>
      </c>
      <c r="M473" s="32">
        <f t="shared" si="45"/>
        <v>74.91</v>
      </c>
      <c r="P473" s="33">
        <v>2.84</v>
      </c>
      <c r="S473" s="32">
        <f t="shared" si="46"/>
        <v>74.91</v>
      </c>
      <c r="V473" s="9">
        <f t="shared" si="47"/>
        <v>2.37</v>
      </c>
      <c r="Y473" s="9">
        <f t="shared" si="38"/>
        <v>62.43</v>
      </c>
      <c r="AD473" s="4" t="s">
        <v>1920</v>
      </c>
      <c r="AE473" s="4" t="s">
        <v>1921</v>
      </c>
      <c r="AF473" s="4" t="s">
        <v>1177</v>
      </c>
    </row>
    <row r="474" spans="1:35" ht="18" x14ac:dyDescent="0.3">
      <c r="A474" s="10" t="s">
        <v>1922</v>
      </c>
      <c r="B474" s="10"/>
      <c r="C474" s="28" t="s">
        <v>1188</v>
      </c>
      <c r="D474" s="12"/>
      <c r="E474" s="12"/>
      <c r="F474" s="29" t="s">
        <v>356</v>
      </c>
      <c r="G474" s="30">
        <v>0.75</v>
      </c>
      <c r="H474" s="30"/>
      <c r="I474" s="30">
        <v>79.125</v>
      </c>
      <c r="J474" s="31">
        <v>2.84</v>
      </c>
      <c r="M474" s="32">
        <f t="shared" si="45"/>
        <v>224.72</v>
      </c>
      <c r="P474" s="33">
        <v>2.84</v>
      </c>
      <c r="S474" s="32">
        <f t="shared" si="46"/>
        <v>224.72</v>
      </c>
      <c r="V474" s="9">
        <f t="shared" si="47"/>
        <v>2.37</v>
      </c>
      <c r="Y474" s="9">
        <f t="shared" si="38"/>
        <v>187.27</v>
      </c>
      <c r="AD474" s="4" t="s">
        <v>1923</v>
      </c>
      <c r="AE474" s="4" t="s">
        <v>1924</v>
      </c>
      <c r="AF474" s="4" t="s">
        <v>1191</v>
      </c>
    </row>
    <row r="475" spans="1:35" ht="108" x14ac:dyDescent="0.3">
      <c r="A475" s="10" t="s">
        <v>1925</v>
      </c>
      <c r="B475" s="10" t="s">
        <v>1303</v>
      </c>
      <c r="C475" s="11" t="s">
        <v>1304</v>
      </c>
      <c r="D475" s="12"/>
      <c r="E475" s="12" t="s">
        <v>1305</v>
      </c>
      <c r="F475" s="12" t="s">
        <v>61</v>
      </c>
      <c r="G475" s="13">
        <v>1</v>
      </c>
      <c r="H475" s="13"/>
      <c r="I475" s="13">
        <v>170.6</v>
      </c>
      <c r="J475" s="14">
        <f>IFERROR(ROUND(SUM(M476)/I475, 2),0)</f>
        <v>887.56</v>
      </c>
      <c r="K475" s="15">
        <v>962.99</v>
      </c>
      <c r="L475" s="14">
        <f>J475+ROUND(K475, 2)</f>
        <v>1850.55</v>
      </c>
      <c r="M475" s="14">
        <f>ROUND(J475*I475, 2)</f>
        <v>151417.74</v>
      </c>
      <c r="N475" s="14">
        <f>ROUND(I475*ROUND(K475, 2), 2)</f>
        <v>164286.09</v>
      </c>
      <c r="O475" s="14">
        <f>M475+N475</f>
        <v>315703.82999999996</v>
      </c>
      <c r="P475" s="14">
        <f>IFERROR(ROUND(SUM(S476)/I475, 2),0)</f>
        <v>887.56</v>
      </c>
      <c r="Q475" s="16">
        <v>1375.7</v>
      </c>
      <c r="R475" s="14">
        <f>P475+ROUND(Q475, 2)</f>
        <v>2263.2600000000002</v>
      </c>
      <c r="S475" s="14">
        <f>ROUND(P475*I475, 2)</f>
        <v>151417.74</v>
      </c>
      <c r="T475" s="14">
        <f>ROUND(I475*ROUND(Q475, 2), 2)</f>
        <v>234694.42</v>
      </c>
      <c r="U475" s="14">
        <f>S475+T475</f>
        <v>386112.16000000003</v>
      </c>
      <c r="V475" s="9">
        <f>ROUND(P475 / 1.2, 2)</f>
        <v>739.63</v>
      </c>
      <c r="W475" s="9">
        <f>ROUND(Q475 / 1.2, 2)</f>
        <v>1146.42</v>
      </c>
      <c r="X475" s="9">
        <f>ROUND(R475 / 1.2, 2)</f>
        <v>1886.05</v>
      </c>
      <c r="Y475" s="9">
        <f t="shared" si="38"/>
        <v>126181.45</v>
      </c>
      <c r="Z475" s="9">
        <f>ROUND(T475 / 1.2, 2)</f>
        <v>195578.68</v>
      </c>
      <c r="AA475" s="9">
        <f>Y475+Z475</f>
        <v>321760.13</v>
      </c>
      <c r="AD475" s="4">
        <v>320319918</v>
      </c>
      <c r="AE475" s="4">
        <v>28049705</v>
      </c>
      <c r="AG475" s="4" t="s">
        <v>1306</v>
      </c>
      <c r="AH475" s="4" t="s">
        <v>1307</v>
      </c>
      <c r="AI475" s="4" t="s">
        <v>338</v>
      </c>
    </row>
    <row r="476" spans="1:35" ht="18" x14ac:dyDescent="0.3">
      <c r="A476" s="10" t="s">
        <v>1926</v>
      </c>
      <c r="B476" s="10"/>
      <c r="C476" s="47" t="s">
        <v>1310</v>
      </c>
      <c r="D476" s="12"/>
      <c r="E476" s="12"/>
      <c r="F476" s="29" t="s">
        <v>61</v>
      </c>
      <c r="G476" s="30">
        <v>1.1000000000000001</v>
      </c>
      <c r="H476" s="49"/>
      <c r="I476" s="49">
        <v>187.66</v>
      </c>
      <c r="J476" s="31">
        <v>806.87</v>
      </c>
      <c r="M476" s="32">
        <f>ROUND(ROUND(J476, 2)*I476, 2)</f>
        <v>151417.22</v>
      </c>
      <c r="P476" s="33">
        <v>806.87</v>
      </c>
      <c r="S476" s="32">
        <f>ROUND(ROUND(P476, 2)*I476, 2)</f>
        <v>151417.22</v>
      </c>
      <c r="V476" s="9">
        <f>ROUND(ROUND(P476, 2)/1.2, 2)</f>
        <v>672.39</v>
      </c>
      <c r="Y476" s="9">
        <f t="shared" si="38"/>
        <v>126181.02</v>
      </c>
      <c r="AD476" s="4" t="s">
        <v>1927</v>
      </c>
      <c r="AE476" s="4" t="s">
        <v>1928</v>
      </c>
      <c r="AF476" s="4" t="s">
        <v>1313</v>
      </c>
    </row>
    <row r="477" spans="1:35" ht="16.95" customHeight="1" x14ac:dyDescent="0.3">
      <c r="A477" s="10" t="s">
        <v>1929</v>
      </c>
      <c r="B477" s="10" t="s">
        <v>1317</v>
      </c>
      <c r="C477" s="237" t="s">
        <v>1318</v>
      </c>
      <c r="D477" s="238"/>
      <c r="E477" s="238"/>
      <c r="F477" s="238"/>
      <c r="G477" s="238"/>
      <c r="H477" s="238"/>
      <c r="I477" s="239"/>
      <c r="M477" s="6">
        <f>SUM(M478,M479)</f>
        <v>0</v>
      </c>
      <c r="N477" s="6">
        <f>SUM(N478,N479)</f>
        <v>1522701</v>
      </c>
      <c r="O477" s="6">
        <f>SUM(O478,O479)</f>
        <v>1522701</v>
      </c>
      <c r="S477" s="6">
        <f>SUM(S478,S479)</f>
        <v>0</v>
      </c>
      <c r="T477" s="6">
        <f>SUM(T478,T479)</f>
        <v>7003137.3899999997</v>
      </c>
      <c r="U477" s="6">
        <f>SUM(U478,U479)</f>
        <v>7003137.3899999997</v>
      </c>
      <c r="Y477" s="9">
        <f>SUM(Y478,Y479)</f>
        <v>0</v>
      </c>
      <c r="Z477" s="9">
        <f>SUM(Z478,Z479)</f>
        <v>5835947.8300000001</v>
      </c>
      <c r="AA477" s="9">
        <f>SUM(AA478,AA479)</f>
        <v>5835947.8300000001</v>
      </c>
      <c r="AD477" s="4">
        <v>320319919</v>
      </c>
      <c r="AE477" s="4">
        <v>28049639</v>
      </c>
    </row>
    <row r="478" spans="1:35" ht="54" x14ac:dyDescent="0.3">
      <c r="A478" s="10" t="s">
        <v>1930</v>
      </c>
      <c r="B478" s="10" t="s">
        <v>1320</v>
      </c>
      <c r="C478" s="11" t="s">
        <v>1321</v>
      </c>
      <c r="D478" s="12" t="s">
        <v>1322</v>
      </c>
      <c r="E478" s="12"/>
      <c r="F478" s="12" t="s">
        <v>1323</v>
      </c>
      <c r="G478" s="13">
        <v>1</v>
      </c>
      <c r="H478" s="13"/>
      <c r="I478" s="13">
        <v>9</v>
      </c>
      <c r="J478" s="14">
        <v>0</v>
      </c>
      <c r="K478" s="15">
        <v>169189</v>
      </c>
      <c r="L478" s="14">
        <f>J478+ROUND(K478, 2)</f>
        <v>169189</v>
      </c>
      <c r="M478" s="14">
        <v>0</v>
      </c>
      <c r="N478" s="14">
        <f>ROUND(I478*ROUND(K478, 2), 2)</f>
        <v>1522701</v>
      </c>
      <c r="O478" s="14">
        <f>M478+N478</f>
        <v>1522701</v>
      </c>
      <c r="P478" s="14">
        <v>0</v>
      </c>
      <c r="Q478" s="16">
        <v>253783.5</v>
      </c>
      <c r="R478" s="14">
        <f>P478+ROUND(Q478, 2)</f>
        <v>253783.5</v>
      </c>
      <c r="S478" s="14">
        <v>0</v>
      </c>
      <c r="T478" s="14">
        <f>ROUND(I478*ROUND(Q478, 2), 2)</f>
        <v>2284051.5</v>
      </c>
      <c r="U478" s="14">
        <f>S478+T478</f>
        <v>2284051.5</v>
      </c>
      <c r="V478" s="9"/>
      <c r="W478" s="9">
        <f>ROUND(Q478 / 1.2, 2)</f>
        <v>211486.25</v>
      </c>
      <c r="X478" s="9">
        <f>ROUND(R478 / 1.2, 2)</f>
        <v>211486.25</v>
      </c>
      <c r="Y478" s="9"/>
      <c r="Z478" s="9">
        <f>ROUND(T478 / 1.2, 2)</f>
        <v>1903376.25</v>
      </c>
      <c r="AA478" s="9">
        <f>Y478+Z478</f>
        <v>1903376.25</v>
      </c>
      <c r="AD478" s="4">
        <v>320319921</v>
      </c>
      <c r="AE478" s="4">
        <v>28049648</v>
      </c>
      <c r="AG478" s="4" t="s">
        <v>1324</v>
      </c>
      <c r="AH478" s="4" t="s">
        <v>1325</v>
      </c>
      <c r="AI478" s="4" t="s">
        <v>338</v>
      </c>
    </row>
    <row r="479" spans="1:35" ht="36" x14ac:dyDescent="0.3">
      <c r="A479" s="10" t="s">
        <v>1931</v>
      </c>
      <c r="B479" s="10" t="s">
        <v>1932</v>
      </c>
      <c r="C479" s="11" t="s">
        <v>1933</v>
      </c>
      <c r="D479" s="12" t="s">
        <v>1934</v>
      </c>
      <c r="E479" s="12"/>
      <c r="F479" s="12" t="s">
        <v>1935</v>
      </c>
      <c r="G479" s="13">
        <v>1</v>
      </c>
      <c r="H479" s="13"/>
      <c r="I479" s="13">
        <v>1</v>
      </c>
      <c r="J479" s="14">
        <v>0</v>
      </c>
      <c r="K479" s="15">
        <v>0</v>
      </c>
      <c r="L479" s="14">
        <f>J479+ROUND(K479, 2)</f>
        <v>0</v>
      </c>
      <c r="M479" s="14">
        <v>0</v>
      </c>
      <c r="N479" s="14">
        <f>ROUND(I479*ROUND(K479, 2), 2)</f>
        <v>0</v>
      </c>
      <c r="O479" s="14">
        <f>M479+N479</f>
        <v>0</v>
      </c>
      <c r="P479" s="14">
        <v>0</v>
      </c>
      <c r="Q479" s="16">
        <v>4719085.8899999997</v>
      </c>
      <c r="R479" s="14">
        <f>P479+ROUND(Q479, 2)</f>
        <v>4719085.8899999997</v>
      </c>
      <c r="S479" s="14">
        <v>0</v>
      </c>
      <c r="T479" s="14">
        <f>ROUND(I479*ROUND(Q479, 2), 2)</f>
        <v>4719085.8899999997</v>
      </c>
      <c r="U479" s="14">
        <f>S479+T479</f>
        <v>4719085.8899999997</v>
      </c>
      <c r="V479" s="9"/>
      <c r="W479" s="9">
        <f>ROUND(Q479 / 1.2, 2)</f>
        <v>3932571.58</v>
      </c>
      <c r="X479" s="9">
        <f>ROUND(R479 / 1.2, 2)</f>
        <v>3932571.58</v>
      </c>
      <c r="Y479" s="9"/>
      <c r="Z479" s="9">
        <f>ROUND(T479 / 1.2, 2)</f>
        <v>3932571.58</v>
      </c>
      <c r="AA479" s="9">
        <f>Y479+Z479</f>
        <v>3932571.58</v>
      </c>
      <c r="AD479" s="4">
        <v>320319923</v>
      </c>
      <c r="AE479" s="4">
        <v>28050366</v>
      </c>
      <c r="AG479" s="4" t="s">
        <v>1936</v>
      </c>
      <c r="AH479" s="4" t="s">
        <v>1937</v>
      </c>
      <c r="AI479" s="4" t="s">
        <v>338</v>
      </c>
    </row>
    <row r="480" spans="1:35" ht="24" customHeight="1" x14ac:dyDescent="0.3">
      <c r="A480" s="64"/>
      <c r="B480" s="64"/>
      <c r="C480" s="64"/>
      <c r="D480" s="65" t="s">
        <v>1938</v>
      </c>
      <c r="E480" s="64"/>
      <c r="F480" s="64"/>
      <c r="G480" s="64"/>
      <c r="H480" s="64"/>
      <c r="I480" s="64"/>
      <c r="J480" s="64"/>
      <c r="K480" s="64"/>
      <c r="L480" s="64"/>
      <c r="M480" s="66">
        <f>SUM(M8,M241)</f>
        <v>72233560.359999999</v>
      </c>
      <c r="N480" s="66">
        <f>SUM(N8,N241)</f>
        <v>85694682.920000002</v>
      </c>
      <c r="O480" s="66">
        <f>M480+N480</f>
        <v>157928243.28</v>
      </c>
      <c r="P480" s="64"/>
      <c r="Q480" s="64"/>
      <c r="R480" s="64"/>
      <c r="S480" s="66">
        <f>SUM(S8,S241)</f>
        <v>69862735.280000001</v>
      </c>
      <c r="T480" s="66">
        <f>SUM(T8,T241)</f>
        <v>128542013.56</v>
      </c>
      <c r="U480" s="66">
        <f>S480+T480</f>
        <v>198404748.84</v>
      </c>
      <c r="Y480" s="9">
        <f>SUM(Y8,Y241)</f>
        <v>58218946.080000013</v>
      </c>
      <c r="Z480" s="9">
        <f>SUM(Z8,Z241)</f>
        <v>107118344.67</v>
      </c>
      <c r="AA480" s="9">
        <f>Y480+Z480</f>
        <v>165337290.75</v>
      </c>
    </row>
    <row r="481" spans="1:21" ht="22.8" x14ac:dyDescent="0.3">
      <c r="A481" s="234" t="s">
        <v>1944</v>
      </c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6"/>
    </row>
    <row r="482" spans="1:21" ht="15.6" x14ac:dyDescent="0.3">
      <c r="A482" s="68"/>
      <c r="B482" s="5" t="s">
        <v>1945</v>
      </c>
      <c r="C482" s="67" t="s">
        <v>1946</v>
      </c>
      <c r="D482" s="67" t="s">
        <v>1947</v>
      </c>
      <c r="E482" s="69"/>
      <c r="F482" s="69"/>
      <c r="G482" s="69"/>
      <c r="H482" s="232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33"/>
    </row>
    <row r="483" spans="1:21" ht="15.6" x14ac:dyDescent="0.3">
      <c r="A483" s="68"/>
      <c r="B483" s="5" t="s">
        <v>1948</v>
      </c>
      <c r="C483" s="67" t="s">
        <v>1949</v>
      </c>
      <c r="D483" s="67" t="s">
        <v>1950</v>
      </c>
      <c r="E483" s="69"/>
      <c r="F483" s="69"/>
      <c r="G483" s="69"/>
      <c r="H483" s="232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33"/>
    </row>
    <row r="484" spans="1:21" ht="31.2" x14ac:dyDescent="0.3">
      <c r="A484" s="68"/>
      <c r="B484" s="5" t="s">
        <v>1951</v>
      </c>
      <c r="C484" s="67" t="s">
        <v>1952</v>
      </c>
      <c r="D484" s="67" t="s">
        <v>1953</v>
      </c>
      <c r="E484" s="69"/>
      <c r="F484" s="69"/>
      <c r="G484" s="69"/>
      <c r="H484" s="232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33"/>
    </row>
    <row r="485" spans="1:21" ht="15.6" x14ac:dyDescent="0.3">
      <c r="A485" s="68"/>
      <c r="B485" s="5" t="s">
        <v>1954</v>
      </c>
      <c r="C485" s="67" t="s">
        <v>1955</v>
      </c>
      <c r="D485" s="67" t="s">
        <v>1956</v>
      </c>
      <c r="E485" s="69"/>
      <c r="F485" s="69"/>
      <c r="G485" s="69"/>
      <c r="H485" s="232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33"/>
    </row>
    <row r="486" spans="1:21" ht="15.6" x14ac:dyDescent="0.3">
      <c r="A486" s="68"/>
      <c r="B486" s="5" t="s">
        <v>1957</v>
      </c>
      <c r="C486" s="67" t="s">
        <v>1958</v>
      </c>
      <c r="D486" s="67" t="s">
        <v>1950</v>
      </c>
      <c r="E486" s="69"/>
      <c r="F486" s="69"/>
      <c r="G486" s="69"/>
      <c r="H486" s="232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33"/>
    </row>
    <row r="487" spans="1:21" ht="31.2" x14ac:dyDescent="0.3">
      <c r="A487" s="68"/>
      <c r="B487" s="5" t="s">
        <v>1959</v>
      </c>
      <c r="C487" s="67" t="s">
        <v>1960</v>
      </c>
      <c r="D487" s="67" t="s">
        <v>1961</v>
      </c>
      <c r="E487" s="69"/>
      <c r="F487" s="69"/>
      <c r="G487" s="69"/>
      <c r="H487" s="232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33"/>
    </row>
    <row r="488" spans="1:21" ht="31.2" x14ac:dyDescent="0.3">
      <c r="A488" s="68"/>
      <c r="B488" s="5" t="s">
        <v>1962</v>
      </c>
      <c r="C488" s="67" t="s">
        <v>1963</v>
      </c>
      <c r="D488" s="67" t="s">
        <v>1964</v>
      </c>
      <c r="E488" s="69"/>
      <c r="F488" s="69"/>
      <c r="G488" s="69"/>
      <c r="H488" s="232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33"/>
    </row>
    <row r="489" spans="1:21" ht="15.6" x14ac:dyDescent="0.3">
      <c r="A489" s="68"/>
      <c r="B489" s="5" t="s">
        <v>1965</v>
      </c>
      <c r="C489" s="67" t="s">
        <v>1966</v>
      </c>
      <c r="D489" s="67" t="s">
        <v>1967</v>
      </c>
      <c r="E489" s="69"/>
      <c r="F489" s="69"/>
      <c r="G489" s="69"/>
      <c r="H489" s="232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33"/>
    </row>
    <row r="490" spans="1:21" ht="15.6" x14ac:dyDescent="0.3">
      <c r="A490" s="68"/>
      <c r="B490" s="5" t="s">
        <v>1968</v>
      </c>
      <c r="C490" s="67" t="s">
        <v>1969</v>
      </c>
      <c r="D490" s="67" t="s">
        <v>1970</v>
      </c>
      <c r="E490" s="69"/>
      <c r="F490" s="69"/>
      <c r="G490" s="69"/>
      <c r="H490" s="232"/>
      <c r="I490" s="246"/>
      <c r="J490" s="246"/>
      <c r="K490" s="246"/>
      <c r="L490" s="246"/>
      <c r="M490" s="246"/>
      <c r="N490" s="246"/>
      <c r="O490" s="246"/>
      <c r="P490" s="246"/>
      <c r="Q490" s="246"/>
      <c r="R490" s="246"/>
      <c r="S490" s="246"/>
      <c r="T490" s="246"/>
      <c r="U490" s="233"/>
    </row>
    <row r="491" spans="1:21" ht="31.2" x14ac:dyDescent="0.3">
      <c r="A491" s="68"/>
      <c r="B491" s="5" t="s">
        <v>1971</v>
      </c>
      <c r="C491" s="67" t="s">
        <v>1972</v>
      </c>
      <c r="D491" s="67" t="s">
        <v>1973</v>
      </c>
      <c r="E491" s="69"/>
      <c r="F491" s="69"/>
      <c r="G491" s="69"/>
      <c r="H491" s="232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33"/>
    </row>
    <row r="492" spans="1:21" ht="46.8" x14ac:dyDescent="0.3">
      <c r="A492" s="68"/>
      <c r="B492" s="5" t="s">
        <v>1974</v>
      </c>
      <c r="C492" s="67" t="s">
        <v>1975</v>
      </c>
      <c r="D492" s="67" t="s">
        <v>1976</v>
      </c>
      <c r="E492" s="69"/>
      <c r="F492" s="69"/>
      <c r="G492" s="69"/>
      <c r="H492" s="232"/>
      <c r="I492" s="246"/>
      <c r="J492" s="246"/>
      <c r="K492" s="246"/>
      <c r="L492" s="246"/>
      <c r="M492" s="246"/>
      <c r="N492" s="246"/>
      <c r="O492" s="246"/>
      <c r="P492" s="246"/>
      <c r="Q492" s="246"/>
      <c r="R492" s="246"/>
      <c r="S492" s="246"/>
      <c r="T492" s="246"/>
      <c r="U492" s="233"/>
    </row>
    <row r="493" spans="1:21" ht="31.2" x14ac:dyDescent="0.3">
      <c r="A493" s="68"/>
      <c r="B493" s="5" t="s">
        <v>1977</v>
      </c>
      <c r="C493" s="67" t="s">
        <v>1978</v>
      </c>
      <c r="D493" s="67" t="s">
        <v>1979</v>
      </c>
      <c r="E493" s="69"/>
      <c r="F493" s="69"/>
      <c r="G493" s="69"/>
      <c r="H493" s="232"/>
      <c r="I493" s="246"/>
      <c r="J493" s="246"/>
      <c r="K493" s="246"/>
      <c r="L493" s="246"/>
      <c r="M493" s="246"/>
      <c r="N493" s="246"/>
      <c r="O493" s="246"/>
      <c r="P493" s="246"/>
      <c r="Q493" s="246"/>
      <c r="R493" s="246"/>
      <c r="S493" s="246"/>
      <c r="T493" s="246"/>
      <c r="U493" s="233"/>
    </row>
    <row r="494" spans="1:21" ht="15.6" x14ac:dyDescent="0.3">
      <c r="A494" s="68"/>
      <c r="B494" s="5" t="s">
        <v>1980</v>
      </c>
      <c r="C494" s="67" t="s">
        <v>1981</v>
      </c>
      <c r="D494" s="67" t="s">
        <v>1982</v>
      </c>
      <c r="E494" s="69"/>
      <c r="F494" s="69"/>
      <c r="G494" s="69"/>
      <c r="H494" s="232"/>
      <c r="I494" s="246"/>
      <c r="J494" s="246"/>
      <c r="K494" s="246"/>
      <c r="L494" s="246"/>
      <c r="M494" s="246"/>
      <c r="N494" s="246"/>
      <c r="O494" s="246"/>
      <c r="P494" s="246"/>
      <c r="Q494" s="246"/>
      <c r="R494" s="246"/>
      <c r="S494" s="246"/>
      <c r="T494" s="246"/>
      <c r="U494" s="233"/>
    </row>
    <row r="495" spans="1:21" ht="48" customHeight="1" x14ac:dyDescent="0.3">
      <c r="A495" s="68"/>
      <c r="B495" s="5" t="s">
        <v>1983</v>
      </c>
      <c r="C495" s="67" t="s">
        <v>1984</v>
      </c>
      <c r="D495" s="67" t="s">
        <v>1985</v>
      </c>
      <c r="E495" s="69"/>
      <c r="F495" s="69"/>
      <c r="G495" s="69"/>
      <c r="H495" s="232" t="s">
        <v>1986</v>
      </c>
      <c r="I495" s="246"/>
      <c r="J495" s="246"/>
      <c r="K495" s="246"/>
      <c r="L495" s="246"/>
      <c r="M495" s="246"/>
      <c r="N495" s="246"/>
      <c r="O495" s="246"/>
      <c r="P495" s="246"/>
      <c r="Q495" s="246"/>
      <c r="R495" s="246"/>
      <c r="S495" s="246"/>
      <c r="T495" s="246"/>
      <c r="U495" s="233"/>
    </row>
    <row r="496" spans="1:21" ht="15.6" x14ac:dyDescent="0.3">
      <c r="A496" s="68"/>
      <c r="B496" s="5" t="s">
        <v>1987</v>
      </c>
      <c r="C496" s="67" t="s">
        <v>1988</v>
      </c>
      <c r="D496" s="67" t="s">
        <v>1989</v>
      </c>
      <c r="E496" s="69"/>
      <c r="F496" s="69"/>
      <c r="G496" s="69"/>
      <c r="H496" s="232"/>
      <c r="I496" s="246"/>
      <c r="J496" s="246"/>
      <c r="K496" s="246"/>
      <c r="L496" s="246"/>
      <c r="M496" s="246"/>
      <c r="N496" s="246"/>
      <c r="O496" s="246"/>
      <c r="P496" s="246"/>
      <c r="Q496" s="246"/>
      <c r="R496" s="246"/>
      <c r="S496" s="246"/>
      <c r="T496" s="246"/>
      <c r="U496" s="233"/>
    </row>
    <row r="497" spans="1:21" ht="31.2" x14ac:dyDescent="0.3">
      <c r="A497" s="68"/>
      <c r="B497" s="5" t="s">
        <v>1990</v>
      </c>
      <c r="C497" s="67" t="s">
        <v>1991</v>
      </c>
      <c r="D497" s="69"/>
      <c r="E497" s="69"/>
      <c r="F497" s="69"/>
      <c r="G497" s="69"/>
      <c r="H497" s="232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  <c r="S497" s="246"/>
      <c r="T497" s="246"/>
      <c r="U497" s="233"/>
    </row>
    <row r="498" spans="1:21" ht="15.6" x14ac:dyDescent="0.3">
      <c r="A498" s="68"/>
      <c r="B498" s="5" t="s">
        <v>1992</v>
      </c>
      <c r="C498" s="67" t="s">
        <v>1993</v>
      </c>
      <c r="D498" s="69"/>
      <c r="E498" s="69"/>
      <c r="F498" s="69"/>
      <c r="G498" s="69"/>
      <c r="H498" s="232"/>
      <c r="I498" s="246"/>
      <c r="J498" s="246"/>
      <c r="K498" s="246"/>
      <c r="L498" s="246"/>
      <c r="M498" s="246"/>
      <c r="N498" s="246"/>
      <c r="O498" s="246"/>
      <c r="P498" s="246"/>
      <c r="Q498" s="246"/>
      <c r="R498" s="246"/>
      <c r="S498" s="246"/>
      <c r="T498" s="246"/>
      <c r="U498" s="233"/>
    </row>
    <row r="499" spans="1:21" ht="15.6" x14ac:dyDescent="0.3">
      <c r="A499" s="68"/>
      <c r="B499" s="5" t="s">
        <v>1994</v>
      </c>
      <c r="C499" s="67" t="s">
        <v>1995</v>
      </c>
      <c r="D499" s="69"/>
      <c r="E499" s="69"/>
      <c r="F499" s="69"/>
      <c r="G499" s="69"/>
      <c r="H499" s="232"/>
      <c r="I499" s="246"/>
      <c r="J499" s="246"/>
      <c r="K499" s="246"/>
      <c r="L499" s="246"/>
      <c r="M499" s="246"/>
      <c r="N499" s="246"/>
      <c r="O499" s="246"/>
      <c r="P499" s="246"/>
      <c r="Q499" s="246"/>
      <c r="R499" s="246"/>
      <c r="S499" s="246"/>
      <c r="T499" s="246"/>
      <c r="U499" s="233"/>
    </row>
  </sheetData>
  <sheetProtection password="C644" sheet="1" formatColumns="0" autoFilter="0"/>
  <autoFilter ref="A7:U7"/>
  <mergeCells count="86">
    <mergeCell ref="H495:U495"/>
    <mergeCell ref="H496:U496"/>
    <mergeCell ref="H497:U497"/>
    <mergeCell ref="H498:U498"/>
    <mergeCell ref="H499:U499"/>
    <mergeCell ref="H490:U490"/>
    <mergeCell ref="H491:U491"/>
    <mergeCell ref="H492:U492"/>
    <mergeCell ref="H493:U493"/>
    <mergeCell ref="H494:U494"/>
    <mergeCell ref="H485:U485"/>
    <mergeCell ref="H486:U486"/>
    <mergeCell ref="H487:U487"/>
    <mergeCell ref="H488:U488"/>
    <mergeCell ref="H489:U489"/>
    <mergeCell ref="C477:I477"/>
    <mergeCell ref="A481:U481"/>
    <mergeCell ref="H482:U482"/>
    <mergeCell ref="H483:U483"/>
    <mergeCell ref="H484:U484"/>
    <mergeCell ref="C396:I396"/>
    <mergeCell ref="C410:I410"/>
    <mergeCell ref="C411:I411"/>
    <mergeCell ref="C420:I420"/>
    <mergeCell ref="C433:I433"/>
    <mergeCell ref="C300:I300"/>
    <mergeCell ref="C312:I312"/>
    <mergeCell ref="C335:I335"/>
    <mergeCell ref="C389:I389"/>
    <mergeCell ref="C390:I390"/>
    <mergeCell ref="C247:I247"/>
    <mergeCell ref="C296:I296"/>
    <mergeCell ref="C297:I297"/>
    <mergeCell ref="C298:I298"/>
    <mergeCell ref="C299:I299"/>
    <mergeCell ref="C242:I242"/>
    <mergeCell ref="C243:I243"/>
    <mergeCell ref="C244:I244"/>
    <mergeCell ref="C245:I245"/>
    <mergeCell ref="C246:I246"/>
    <mergeCell ref="C176:I176"/>
    <mergeCell ref="C185:I185"/>
    <mergeCell ref="C198:I198"/>
    <mergeCell ref="C239:I239"/>
    <mergeCell ref="A241:I241"/>
    <mergeCell ref="C101:I101"/>
    <mergeCell ref="C154:I154"/>
    <mergeCell ref="C155:I155"/>
    <mergeCell ref="C161:I161"/>
    <mergeCell ref="C175:I175"/>
    <mergeCell ref="C63:I63"/>
    <mergeCell ref="C64:I64"/>
    <mergeCell ref="C65:I65"/>
    <mergeCell ref="C66:I66"/>
    <mergeCell ref="C78:I78"/>
    <mergeCell ref="C11:I11"/>
    <mergeCell ref="C12:I12"/>
    <mergeCell ref="C13:I13"/>
    <mergeCell ref="C14:I14"/>
    <mergeCell ref="C62:I62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499"/>
  <sheetViews>
    <sheetView tabSelected="1" view="pageBreakPreview" topLeftCell="A295" zoomScale="55" zoomScaleNormal="57" zoomScaleSheetLayoutView="55" workbookViewId="0">
      <selection activeCell="C306" sqref="C306"/>
    </sheetView>
  </sheetViews>
  <sheetFormatPr defaultRowHeight="14.4" x14ac:dyDescent="0.3"/>
  <cols>
    <col min="1" max="1" width="25" customWidth="1"/>
    <col min="2" max="2" width="28.21875" customWidth="1"/>
    <col min="3" max="3" width="60.88671875" customWidth="1"/>
    <col min="4" max="4" width="38" hidden="1" customWidth="1"/>
    <col min="5" max="5" width="53.44140625" customWidth="1"/>
    <col min="6" max="6" width="16.44140625" customWidth="1"/>
    <col min="7" max="7" width="16" customWidth="1"/>
    <col min="8" max="8" width="16" hidden="1" customWidth="1"/>
    <col min="9" max="9" width="32.109375" customWidth="1"/>
    <col min="10" max="10" width="30.88671875" customWidth="1"/>
    <col min="11" max="11" width="29.5546875" customWidth="1"/>
    <col min="12" max="12" width="25.21875" customWidth="1"/>
    <col min="13" max="13" width="31.6640625" customWidth="1"/>
    <col min="14" max="14" width="35.6640625" customWidth="1"/>
    <col min="15" max="15" width="38.21875" customWidth="1"/>
    <col min="16" max="16" width="30.77734375" hidden="1" customWidth="1"/>
    <col min="17" max="17" width="22.21875" hidden="1" customWidth="1"/>
    <col min="18" max="18" width="31.6640625" customWidth="1"/>
    <col min="19" max="19" width="18" customWidth="1"/>
    <col min="20" max="20" width="18.77734375" customWidth="1"/>
    <col min="21" max="21" width="28.77734375" customWidth="1"/>
  </cols>
  <sheetData>
    <row r="1" spans="1:21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1939</v>
      </c>
      <c r="H1" s="2" t="s">
        <v>1940</v>
      </c>
      <c r="I1" s="2" t="s">
        <v>1941</v>
      </c>
      <c r="J1" s="2" t="s">
        <v>1942</v>
      </c>
      <c r="K1" s="2" t="s">
        <v>1943</v>
      </c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30.75" customHeight="1" x14ac:dyDescent="0.3">
      <c r="A2" s="220" t="s">
        <v>4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</row>
    <row r="3" spans="1:21" ht="15" customHeight="1" x14ac:dyDescent="0.3">
      <c r="A3" s="221" t="s">
        <v>5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</row>
    <row r="4" spans="1:21" ht="44.4" customHeight="1" thickBot="1" x14ac:dyDescent="0.35">
      <c r="A4" s="222" t="s">
        <v>6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</row>
    <row r="5" spans="1:21" ht="40.5" customHeight="1" x14ac:dyDescent="0.3">
      <c r="A5" s="229" t="s">
        <v>22</v>
      </c>
      <c r="B5" s="229" t="s">
        <v>23</v>
      </c>
      <c r="C5" s="229" t="s">
        <v>24</v>
      </c>
      <c r="D5" s="229" t="s">
        <v>25</v>
      </c>
      <c r="E5" s="229" t="s">
        <v>26</v>
      </c>
      <c r="F5" s="229" t="s">
        <v>27</v>
      </c>
      <c r="G5" s="229" t="s">
        <v>28</v>
      </c>
      <c r="H5" s="229" t="s">
        <v>29</v>
      </c>
      <c r="I5" s="252" t="s">
        <v>1998</v>
      </c>
      <c r="J5" s="260" t="s">
        <v>1997</v>
      </c>
      <c r="K5" s="263" t="s">
        <v>1999</v>
      </c>
      <c r="L5" s="268" t="s">
        <v>2000</v>
      </c>
      <c r="M5" s="269"/>
      <c r="N5" s="272" t="s">
        <v>2002</v>
      </c>
      <c r="O5" s="269"/>
      <c r="P5" s="255" t="s">
        <v>8</v>
      </c>
      <c r="Q5" s="256"/>
      <c r="R5" s="257"/>
      <c r="S5" s="227" t="s">
        <v>9</v>
      </c>
      <c r="T5" s="227"/>
      <c r="U5" s="228"/>
    </row>
    <row r="6" spans="1:21" ht="43.95" customHeight="1" thickBot="1" x14ac:dyDescent="0.35">
      <c r="A6" s="230"/>
      <c r="B6" s="230"/>
      <c r="C6" s="230"/>
      <c r="D6" s="230"/>
      <c r="E6" s="230"/>
      <c r="F6" s="230"/>
      <c r="G6" s="230"/>
      <c r="H6" s="230"/>
      <c r="I6" s="253"/>
      <c r="J6" s="261"/>
      <c r="K6" s="264"/>
      <c r="L6" s="270"/>
      <c r="M6" s="271"/>
      <c r="N6" s="273"/>
      <c r="O6" s="271"/>
      <c r="P6" s="266" t="s">
        <v>31</v>
      </c>
      <c r="Q6" s="267"/>
      <c r="R6" s="258" t="s">
        <v>31</v>
      </c>
      <c r="S6" s="246" t="s">
        <v>34</v>
      </c>
      <c r="T6" s="233"/>
      <c r="U6" s="229" t="s">
        <v>35</v>
      </c>
    </row>
    <row r="7" spans="1:21" ht="115.5" customHeight="1" thickBot="1" x14ac:dyDescent="0.35">
      <c r="A7" s="231"/>
      <c r="B7" s="231"/>
      <c r="C7" s="231"/>
      <c r="D7" s="231"/>
      <c r="E7" s="231"/>
      <c r="F7" s="231"/>
      <c r="G7" s="231"/>
      <c r="H7" s="231"/>
      <c r="I7" s="254"/>
      <c r="J7" s="262"/>
      <c r="K7" s="265"/>
      <c r="L7" s="130" t="s">
        <v>2001</v>
      </c>
      <c r="M7" s="122" t="s">
        <v>2003</v>
      </c>
      <c r="N7" s="156" t="s">
        <v>2004</v>
      </c>
      <c r="O7" s="157" t="s">
        <v>2003</v>
      </c>
      <c r="P7" s="80" t="s">
        <v>1996</v>
      </c>
      <c r="Q7" s="72" t="s">
        <v>33</v>
      </c>
      <c r="R7" s="259"/>
      <c r="S7" s="70" t="s">
        <v>32</v>
      </c>
      <c r="T7" s="5" t="s">
        <v>33</v>
      </c>
      <c r="U7" s="231"/>
    </row>
    <row r="8" spans="1:21" ht="30" hidden="1" customHeight="1" x14ac:dyDescent="0.5">
      <c r="A8" s="234" t="s">
        <v>36</v>
      </c>
      <c r="B8" s="235"/>
      <c r="C8" s="235"/>
      <c r="D8" s="235"/>
      <c r="E8" s="235"/>
      <c r="F8" s="235"/>
      <c r="G8" s="235"/>
      <c r="H8" s="235"/>
      <c r="I8" s="235"/>
      <c r="J8" s="133"/>
      <c r="K8" s="147"/>
      <c r="L8" s="102"/>
      <c r="M8" s="129"/>
      <c r="N8" s="158"/>
      <c r="O8" s="159"/>
      <c r="P8" s="81"/>
      <c r="Q8" s="73"/>
      <c r="R8" s="82"/>
      <c r="S8" s="76">
        <f>SUM(S9)</f>
        <v>0</v>
      </c>
      <c r="T8" s="8">
        <f>SUM(T9)</f>
        <v>0</v>
      </c>
      <c r="U8" s="8">
        <f>SUM(U9)</f>
        <v>0</v>
      </c>
    </row>
    <row r="9" spans="1:21" ht="16.95" hidden="1" customHeight="1" x14ac:dyDescent="0.5">
      <c r="A9" s="10" t="s">
        <v>38</v>
      </c>
      <c r="B9" s="10" t="s">
        <v>39</v>
      </c>
      <c r="C9" s="237" t="s">
        <v>40</v>
      </c>
      <c r="D9" s="238"/>
      <c r="E9" s="238"/>
      <c r="F9" s="238"/>
      <c r="G9" s="238"/>
      <c r="H9" s="238"/>
      <c r="I9" s="238"/>
      <c r="J9" s="134"/>
      <c r="K9" s="148"/>
      <c r="L9" s="89"/>
      <c r="M9" s="104"/>
      <c r="N9" s="160"/>
      <c r="O9" s="161"/>
      <c r="P9" s="83"/>
      <c r="Q9" s="84"/>
      <c r="R9" s="85"/>
      <c r="S9" s="77">
        <f>SUM(S10,S62)</f>
        <v>0</v>
      </c>
      <c r="T9" s="6">
        <f>SUM(T10,T62)</f>
        <v>0</v>
      </c>
      <c r="U9" s="6">
        <f>SUM(U10,U62)</f>
        <v>0</v>
      </c>
    </row>
    <row r="10" spans="1:21" ht="16.95" hidden="1" customHeight="1" x14ac:dyDescent="0.5">
      <c r="A10" s="10" t="s">
        <v>41</v>
      </c>
      <c r="B10" s="10" t="s">
        <v>42</v>
      </c>
      <c r="C10" s="237" t="s">
        <v>43</v>
      </c>
      <c r="D10" s="238"/>
      <c r="E10" s="238"/>
      <c r="F10" s="238"/>
      <c r="G10" s="238"/>
      <c r="H10" s="238"/>
      <c r="I10" s="238"/>
      <c r="J10" s="134"/>
      <c r="K10" s="148"/>
      <c r="L10" s="89"/>
      <c r="M10" s="104"/>
      <c r="N10" s="160"/>
      <c r="O10" s="161"/>
      <c r="P10" s="83"/>
      <c r="Q10" s="84"/>
      <c r="R10" s="85"/>
      <c r="S10" s="77">
        <f t="shared" ref="S10:U13" si="0">SUM(S11)</f>
        <v>0</v>
      </c>
      <c r="T10" s="6">
        <f t="shared" si="0"/>
        <v>0</v>
      </c>
      <c r="U10" s="6">
        <f t="shared" si="0"/>
        <v>0</v>
      </c>
    </row>
    <row r="11" spans="1:21" ht="16.95" hidden="1" customHeight="1" x14ac:dyDescent="0.5">
      <c r="A11" s="10" t="s">
        <v>44</v>
      </c>
      <c r="B11" s="10" t="s">
        <v>45</v>
      </c>
      <c r="C11" s="237" t="s">
        <v>46</v>
      </c>
      <c r="D11" s="238"/>
      <c r="E11" s="238"/>
      <c r="F11" s="238"/>
      <c r="G11" s="238"/>
      <c r="H11" s="238"/>
      <c r="I11" s="238"/>
      <c r="J11" s="134"/>
      <c r="K11" s="148"/>
      <c r="L11" s="89"/>
      <c r="M11" s="104"/>
      <c r="N11" s="160"/>
      <c r="O11" s="161"/>
      <c r="P11" s="83"/>
      <c r="Q11" s="84"/>
      <c r="R11" s="85"/>
      <c r="S11" s="77">
        <f t="shared" si="0"/>
        <v>0</v>
      </c>
      <c r="T11" s="6">
        <f t="shared" si="0"/>
        <v>0</v>
      </c>
      <c r="U11" s="6">
        <f t="shared" si="0"/>
        <v>0</v>
      </c>
    </row>
    <row r="12" spans="1:21" ht="16.95" hidden="1" customHeight="1" x14ac:dyDescent="0.5">
      <c r="A12" s="10" t="s">
        <v>47</v>
      </c>
      <c r="B12" s="10" t="s">
        <v>48</v>
      </c>
      <c r="C12" s="237" t="s">
        <v>49</v>
      </c>
      <c r="D12" s="238"/>
      <c r="E12" s="238"/>
      <c r="F12" s="238"/>
      <c r="G12" s="238"/>
      <c r="H12" s="238"/>
      <c r="I12" s="238"/>
      <c r="J12" s="134"/>
      <c r="K12" s="148"/>
      <c r="L12" s="89"/>
      <c r="M12" s="104"/>
      <c r="N12" s="160"/>
      <c r="O12" s="161"/>
      <c r="P12" s="83"/>
      <c r="Q12" s="84"/>
      <c r="R12" s="85"/>
      <c r="S12" s="77">
        <f t="shared" si="0"/>
        <v>0</v>
      </c>
      <c r="T12" s="6">
        <f t="shared" si="0"/>
        <v>0</v>
      </c>
      <c r="U12" s="6">
        <f t="shared" si="0"/>
        <v>0</v>
      </c>
    </row>
    <row r="13" spans="1:21" ht="16.95" hidden="1" customHeight="1" x14ac:dyDescent="0.5">
      <c r="A13" s="10" t="s">
        <v>50</v>
      </c>
      <c r="B13" s="10" t="s">
        <v>51</v>
      </c>
      <c r="C13" s="237" t="s">
        <v>52</v>
      </c>
      <c r="D13" s="238"/>
      <c r="E13" s="238"/>
      <c r="F13" s="238"/>
      <c r="G13" s="238"/>
      <c r="H13" s="238"/>
      <c r="I13" s="238"/>
      <c r="J13" s="134"/>
      <c r="K13" s="148"/>
      <c r="L13" s="89"/>
      <c r="M13" s="104"/>
      <c r="N13" s="160"/>
      <c r="O13" s="161"/>
      <c r="P13" s="83"/>
      <c r="Q13" s="84"/>
      <c r="R13" s="85"/>
      <c r="S13" s="77">
        <f t="shared" si="0"/>
        <v>0</v>
      </c>
      <c r="T13" s="6">
        <f t="shared" si="0"/>
        <v>0</v>
      </c>
      <c r="U13" s="6">
        <f t="shared" si="0"/>
        <v>0</v>
      </c>
    </row>
    <row r="14" spans="1:21" ht="1.05" hidden="1" customHeight="1" x14ac:dyDescent="0.5">
      <c r="A14" s="10" t="s">
        <v>53</v>
      </c>
      <c r="B14" s="10" t="s">
        <v>54</v>
      </c>
      <c r="C14" s="237" t="s">
        <v>55</v>
      </c>
      <c r="D14" s="238"/>
      <c r="E14" s="238"/>
      <c r="F14" s="238"/>
      <c r="G14" s="238"/>
      <c r="H14" s="238"/>
      <c r="I14" s="238"/>
      <c r="J14" s="134"/>
      <c r="K14" s="148"/>
      <c r="L14" s="89"/>
      <c r="M14" s="104"/>
      <c r="N14" s="160"/>
      <c r="O14" s="161"/>
      <c r="P14" s="83"/>
      <c r="Q14" s="84"/>
      <c r="R14" s="85"/>
      <c r="S14" s="77">
        <f>SUM(S15,S21,S27,S32,S38,S44,S50,S56)</f>
        <v>0</v>
      </c>
      <c r="T14" s="6">
        <f>SUM(T15,T21,T27,T32,T38,T44,T50,T56)</f>
        <v>0</v>
      </c>
      <c r="U14" s="6">
        <f>SUM(U15,U21,U27,U32,U38,U44,U50,U56)</f>
        <v>0</v>
      </c>
    </row>
    <row r="15" spans="1:21" ht="162.6" hidden="1" thickBot="1" x14ac:dyDescent="0.35">
      <c r="A15" s="10" t="s">
        <v>56</v>
      </c>
      <c r="B15" s="10" t="s">
        <v>57</v>
      </c>
      <c r="C15" s="11" t="s">
        <v>58</v>
      </c>
      <c r="D15" s="12" t="s">
        <v>59</v>
      </c>
      <c r="E15" s="12" t="s">
        <v>60</v>
      </c>
      <c r="F15" s="12" t="s">
        <v>61</v>
      </c>
      <c r="G15" s="13">
        <v>1</v>
      </c>
      <c r="H15" s="13"/>
      <c r="I15" s="91">
        <v>0</v>
      </c>
      <c r="J15" s="138"/>
      <c r="K15" s="149"/>
      <c r="L15" s="119"/>
      <c r="M15" s="105"/>
      <c r="N15" s="162"/>
      <c r="O15" s="163"/>
      <c r="P15" s="86">
        <v>1117.5999999999999</v>
      </c>
      <c r="Q15" s="74">
        <v>1991</v>
      </c>
      <c r="R15" s="87">
        <f>P15+ROUND(Q15, 2)</f>
        <v>3108.6</v>
      </c>
      <c r="S15" s="78">
        <v>0</v>
      </c>
      <c r="T15" s="14">
        <v>0</v>
      </c>
      <c r="U15" s="14">
        <f>S15+T15</f>
        <v>0</v>
      </c>
    </row>
    <row r="16" spans="1:21" ht="54.6" hidden="1" thickBot="1" x14ac:dyDescent="0.55000000000000004">
      <c r="A16" s="10" t="s">
        <v>66</v>
      </c>
      <c r="B16" s="10"/>
      <c r="C16" s="28" t="s">
        <v>67</v>
      </c>
      <c r="D16" s="12"/>
      <c r="E16" s="12"/>
      <c r="F16" s="29" t="s">
        <v>68</v>
      </c>
      <c r="G16" s="30">
        <v>1</v>
      </c>
      <c r="H16" s="30"/>
      <c r="I16" s="92">
        <v>0</v>
      </c>
      <c r="J16" s="139"/>
      <c r="K16" s="148"/>
      <c r="L16" s="89"/>
      <c r="M16" s="106"/>
      <c r="N16" s="164"/>
      <c r="O16" s="164"/>
      <c r="P16" s="88">
        <v>88.35</v>
      </c>
      <c r="Q16" s="84"/>
      <c r="R16" s="85"/>
      <c r="S16" s="79">
        <f>ROUND(ROUND(P16, 2)*I16, 2)</f>
        <v>0</v>
      </c>
    </row>
    <row r="17" spans="1:21" ht="26.4" hidden="1" thickBot="1" x14ac:dyDescent="0.55000000000000004">
      <c r="A17" s="10" t="s">
        <v>74</v>
      </c>
      <c r="B17" s="10"/>
      <c r="C17" s="47" t="s">
        <v>75</v>
      </c>
      <c r="D17" s="12"/>
      <c r="E17" s="12"/>
      <c r="F17" s="29" t="s">
        <v>76</v>
      </c>
      <c r="G17" s="30">
        <v>0.8</v>
      </c>
      <c r="H17" s="49"/>
      <c r="I17" s="93">
        <v>0</v>
      </c>
      <c r="J17" s="139"/>
      <c r="K17" s="148"/>
      <c r="L17" s="89"/>
      <c r="M17" s="106"/>
      <c r="N17" s="164"/>
      <c r="O17" s="164"/>
      <c r="P17" s="88">
        <v>63.73</v>
      </c>
      <c r="Q17" s="84"/>
      <c r="R17" s="85"/>
      <c r="S17" s="79">
        <f>ROUND(ROUND(P17, 2)*I17, 2)</f>
        <v>0</v>
      </c>
    </row>
    <row r="18" spans="1:21" ht="26.4" hidden="1" thickBot="1" x14ac:dyDescent="0.55000000000000004">
      <c r="A18" s="10" t="s">
        <v>82</v>
      </c>
      <c r="B18" s="10"/>
      <c r="C18" s="47" t="s">
        <v>83</v>
      </c>
      <c r="D18" s="12"/>
      <c r="E18" s="12"/>
      <c r="F18" s="29" t="s">
        <v>76</v>
      </c>
      <c r="G18" s="30">
        <v>2.1</v>
      </c>
      <c r="H18" s="49"/>
      <c r="I18" s="93">
        <v>0</v>
      </c>
      <c r="J18" s="139"/>
      <c r="K18" s="148"/>
      <c r="L18" s="89"/>
      <c r="M18" s="106"/>
      <c r="N18" s="164"/>
      <c r="O18" s="164"/>
      <c r="P18" s="88">
        <v>95.07</v>
      </c>
      <c r="Q18" s="84"/>
      <c r="R18" s="85"/>
      <c r="S18" s="79">
        <f>ROUND(ROUND(P18, 2)*I18, 2)</f>
        <v>0</v>
      </c>
    </row>
    <row r="19" spans="1:21" ht="26.4" hidden="1" thickBot="1" x14ac:dyDescent="0.55000000000000004">
      <c r="A19" s="10" t="s">
        <v>89</v>
      </c>
      <c r="B19" s="10"/>
      <c r="C19" s="47" t="s">
        <v>90</v>
      </c>
      <c r="D19" s="12"/>
      <c r="E19" s="12"/>
      <c r="F19" s="29" t="s">
        <v>91</v>
      </c>
      <c r="G19" s="30">
        <v>5.1999999999999998E-2</v>
      </c>
      <c r="H19" s="30"/>
      <c r="I19" s="92">
        <v>0</v>
      </c>
      <c r="J19" s="139"/>
      <c r="K19" s="148"/>
      <c r="L19" s="89"/>
      <c r="M19" s="106"/>
      <c r="N19" s="164"/>
      <c r="O19" s="164"/>
      <c r="P19" s="88">
        <v>4026.8</v>
      </c>
      <c r="Q19" s="84"/>
      <c r="R19" s="85"/>
      <c r="S19" s="79">
        <f>ROUND(ROUND(P19, 2)*I19, 2)</f>
        <v>0</v>
      </c>
    </row>
    <row r="20" spans="1:21" ht="36.6" hidden="1" thickBot="1" x14ac:dyDescent="0.55000000000000004">
      <c r="A20" s="10" t="s">
        <v>97</v>
      </c>
      <c r="B20" s="10"/>
      <c r="C20" s="28" t="s">
        <v>98</v>
      </c>
      <c r="D20" s="12"/>
      <c r="E20" s="12"/>
      <c r="F20" s="29" t="s">
        <v>61</v>
      </c>
      <c r="G20" s="30">
        <v>4.2</v>
      </c>
      <c r="H20" s="30"/>
      <c r="I20" s="92">
        <v>0</v>
      </c>
      <c r="J20" s="139"/>
      <c r="K20" s="148"/>
      <c r="L20" s="89"/>
      <c r="M20" s="106"/>
      <c r="N20" s="164"/>
      <c r="O20" s="164"/>
      <c r="P20" s="88">
        <v>135.53</v>
      </c>
      <c r="Q20" s="84"/>
      <c r="R20" s="85"/>
      <c r="S20" s="79">
        <f>ROUND(ROUND(P20, 2)*I20, 2)</f>
        <v>0</v>
      </c>
    </row>
    <row r="21" spans="1:21" ht="180.6" hidden="1" thickBot="1" x14ac:dyDescent="0.35">
      <c r="A21" s="10" t="s">
        <v>104</v>
      </c>
      <c r="B21" s="10" t="s">
        <v>105</v>
      </c>
      <c r="C21" s="11" t="s">
        <v>106</v>
      </c>
      <c r="D21" s="12" t="s">
        <v>59</v>
      </c>
      <c r="E21" s="12" t="s">
        <v>107</v>
      </c>
      <c r="F21" s="12" t="s">
        <v>61</v>
      </c>
      <c r="G21" s="13">
        <v>1</v>
      </c>
      <c r="H21" s="13"/>
      <c r="I21" s="91">
        <v>0</v>
      </c>
      <c r="J21" s="138"/>
      <c r="K21" s="149"/>
      <c r="L21" s="119"/>
      <c r="M21" s="105"/>
      <c r="N21" s="162"/>
      <c r="O21" s="163"/>
      <c r="P21" s="86">
        <v>6856.14</v>
      </c>
      <c r="Q21" s="74">
        <v>1991</v>
      </c>
      <c r="R21" s="87">
        <f>P21+ROUND(Q21, 2)</f>
        <v>8847.14</v>
      </c>
      <c r="S21" s="78">
        <v>0</v>
      </c>
      <c r="T21" s="14">
        <v>0</v>
      </c>
      <c r="U21" s="14">
        <f>S21+T21</f>
        <v>0</v>
      </c>
    </row>
    <row r="22" spans="1:21" ht="54.6" hidden="1" thickBot="1" x14ac:dyDescent="0.55000000000000004">
      <c r="A22" s="10" t="s">
        <v>111</v>
      </c>
      <c r="B22" s="10"/>
      <c r="C22" s="28" t="s">
        <v>67</v>
      </c>
      <c r="D22" s="12"/>
      <c r="E22" s="12"/>
      <c r="F22" s="29" t="s">
        <v>68</v>
      </c>
      <c r="G22" s="30">
        <v>1</v>
      </c>
      <c r="H22" s="30"/>
      <c r="I22" s="92">
        <v>0</v>
      </c>
      <c r="J22" s="139"/>
      <c r="K22" s="148"/>
      <c r="L22" s="89"/>
      <c r="M22" s="106"/>
      <c r="N22" s="164"/>
      <c r="O22" s="164"/>
      <c r="P22" s="88">
        <v>88.35</v>
      </c>
      <c r="Q22" s="84"/>
      <c r="R22" s="85"/>
      <c r="S22" s="79">
        <f>ROUND(ROUND(P22, 2)*I22, 2)</f>
        <v>0</v>
      </c>
    </row>
    <row r="23" spans="1:21" ht="26.4" hidden="1" thickBot="1" x14ac:dyDescent="0.55000000000000004">
      <c r="A23" s="10" t="s">
        <v>116</v>
      </c>
      <c r="B23" s="10"/>
      <c r="C23" s="47" t="s">
        <v>117</v>
      </c>
      <c r="D23" s="12"/>
      <c r="E23" s="12"/>
      <c r="F23" s="29" t="s">
        <v>76</v>
      </c>
      <c r="G23" s="30">
        <v>2.04</v>
      </c>
      <c r="H23" s="49"/>
      <c r="I23" s="93">
        <v>0</v>
      </c>
      <c r="J23" s="139"/>
      <c r="K23" s="148"/>
      <c r="L23" s="89"/>
      <c r="M23" s="106"/>
      <c r="N23" s="164"/>
      <c r="O23" s="164"/>
      <c r="P23" s="88">
        <v>64.56</v>
      </c>
      <c r="Q23" s="84"/>
      <c r="R23" s="85"/>
      <c r="S23" s="79">
        <f>ROUND(ROUND(P23, 2)*I23, 2)</f>
        <v>0</v>
      </c>
    </row>
    <row r="24" spans="1:21" ht="26.4" hidden="1" thickBot="1" x14ac:dyDescent="0.55000000000000004">
      <c r="A24" s="10" t="s">
        <v>123</v>
      </c>
      <c r="B24" s="10"/>
      <c r="C24" s="47" t="s">
        <v>124</v>
      </c>
      <c r="D24" s="12"/>
      <c r="E24" s="12"/>
      <c r="F24" s="29" t="s">
        <v>76</v>
      </c>
      <c r="G24" s="30">
        <v>0.8</v>
      </c>
      <c r="H24" s="49"/>
      <c r="I24" s="93">
        <v>0</v>
      </c>
      <c r="J24" s="139"/>
      <c r="K24" s="148"/>
      <c r="L24" s="89"/>
      <c r="M24" s="106"/>
      <c r="N24" s="164"/>
      <c r="O24" s="164"/>
      <c r="P24" s="88">
        <v>51.63</v>
      </c>
      <c r="Q24" s="84"/>
      <c r="R24" s="85"/>
      <c r="S24" s="79">
        <f>ROUND(ROUND(P24, 2)*I24, 2)</f>
        <v>0</v>
      </c>
    </row>
    <row r="25" spans="1:21" ht="26.4" hidden="1" thickBot="1" x14ac:dyDescent="0.55000000000000004">
      <c r="A25" s="10" t="s">
        <v>130</v>
      </c>
      <c r="B25" s="10"/>
      <c r="C25" s="47" t="s">
        <v>90</v>
      </c>
      <c r="D25" s="12"/>
      <c r="E25" s="12"/>
      <c r="F25" s="29" t="s">
        <v>91</v>
      </c>
      <c r="G25" s="30">
        <v>5.1999999999999998E-2</v>
      </c>
      <c r="H25" s="30"/>
      <c r="I25" s="92">
        <v>0</v>
      </c>
      <c r="J25" s="139"/>
      <c r="K25" s="148"/>
      <c r="L25" s="89"/>
      <c r="M25" s="106"/>
      <c r="N25" s="164"/>
      <c r="O25" s="164"/>
      <c r="P25" s="88">
        <v>4026.8</v>
      </c>
      <c r="Q25" s="84"/>
      <c r="R25" s="85"/>
      <c r="S25" s="79">
        <f>ROUND(ROUND(P25, 2)*I25, 2)</f>
        <v>0</v>
      </c>
    </row>
    <row r="26" spans="1:21" ht="36.6" hidden="1" thickBot="1" x14ac:dyDescent="0.55000000000000004">
      <c r="A26" s="10" t="s">
        <v>135</v>
      </c>
      <c r="B26" s="10"/>
      <c r="C26" s="28" t="s">
        <v>98</v>
      </c>
      <c r="D26" s="12"/>
      <c r="E26" s="12" t="s">
        <v>136</v>
      </c>
      <c r="F26" s="29" t="s">
        <v>61</v>
      </c>
      <c r="G26" s="30">
        <v>4.2</v>
      </c>
      <c r="H26" s="30"/>
      <c r="I26" s="92">
        <v>0</v>
      </c>
      <c r="J26" s="139"/>
      <c r="K26" s="148"/>
      <c r="L26" s="89"/>
      <c r="M26" s="106"/>
      <c r="N26" s="164"/>
      <c r="O26" s="164"/>
      <c r="P26" s="88">
        <v>1520.33</v>
      </c>
      <c r="Q26" s="84"/>
      <c r="R26" s="85"/>
      <c r="S26" s="79">
        <f>ROUND(ROUND(P26, 2)*I26, 2)</f>
        <v>0</v>
      </c>
    </row>
    <row r="27" spans="1:21" ht="0.45" hidden="1" customHeight="1" x14ac:dyDescent="0.3">
      <c r="A27" s="10" t="s">
        <v>141</v>
      </c>
      <c r="B27" s="10" t="s">
        <v>105</v>
      </c>
      <c r="C27" s="11" t="s">
        <v>106</v>
      </c>
      <c r="D27" s="12" t="s">
        <v>59</v>
      </c>
      <c r="E27" s="12" t="s">
        <v>142</v>
      </c>
      <c r="F27" s="12" t="s">
        <v>61</v>
      </c>
      <c r="G27" s="13">
        <v>1</v>
      </c>
      <c r="H27" s="13"/>
      <c r="I27" s="91">
        <v>0</v>
      </c>
      <c r="J27" s="138"/>
      <c r="K27" s="149"/>
      <c r="L27" s="119"/>
      <c r="M27" s="105"/>
      <c r="N27" s="162"/>
      <c r="O27" s="163"/>
      <c r="P27" s="86">
        <v>951.65</v>
      </c>
      <c r="Q27" s="74">
        <v>1991</v>
      </c>
      <c r="R27" s="87">
        <f>P27+ROUND(Q27, 2)</f>
        <v>2942.65</v>
      </c>
      <c r="S27" s="78">
        <v>0</v>
      </c>
      <c r="T27" s="14">
        <v>0</v>
      </c>
      <c r="U27" s="14">
        <f>S27+T27</f>
        <v>0</v>
      </c>
    </row>
    <row r="28" spans="1:21" ht="36.6" hidden="1" thickBot="1" x14ac:dyDescent="0.55000000000000004">
      <c r="A28" s="10" t="s">
        <v>144</v>
      </c>
      <c r="B28" s="10"/>
      <c r="C28" s="28" t="s">
        <v>98</v>
      </c>
      <c r="D28" s="12"/>
      <c r="E28" s="12"/>
      <c r="F28" s="29" t="s">
        <v>61</v>
      </c>
      <c r="G28" s="30">
        <v>4.2</v>
      </c>
      <c r="H28" s="30"/>
      <c r="I28" s="92">
        <v>0</v>
      </c>
      <c r="J28" s="139"/>
      <c r="K28" s="148"/>
      <c r="L28" s="89"/>
      <c r="M28" s="106"/>
      <c r="N28" s="164"/>
      <c r="O28" s="164"/>
      <c r="P28" s="88">
        <v>135.53</v>
      </c>
      <c r="Q28" s="84"/>
      <c r="R28" s="85"/>
      <c r="S28" s="79">
        <f>ROUND(ROUND(P28, 2)*I28, 2)</f>
        <v>0</v>
      </c>
    </row>
    <row r="29" spans="1:21" ht="26.4" hidden="1" thickBot="1" x14ac:dyDescent="0.55000000000000004">
      <c r="A29" s="10" t="s">
        <v>149</v>
      </c>
      <c r="B29" s="10"/>
      <c r="C29" s="47" t="s">
        <v>90</v>
      </c>
      <c r="D29" s="12"/>
      <c r="E29" s="12"/>
      <c r="F29" s="29" t="s">
        <v>91</v>
      </c>
      <c r="G29" s="30">
        <v>5.1999999999999998E-2</v>
      </c>
      <c r="H29" s="30"/>
      <c r="I29" s="92">
        <v>0</v>
      </c>
      <c r="J29" s="139"/>
      <c r="K29" s="148"/>
      <c r="L29" s="89"/>
      <c r="M29" s="106"/>
      <c r="N29" s="164"/>
      <c r="O29" s="164"/>
      <c r="P29" s="88">
        <v>4026.8</v>
      </c>
      <c r="Q29" s="84"/>
      <c r="R29" s="85"/>
      <c r="S29" s="79">
        <f>ROUND(ROUND(P29, 2)*I29, 2)</f>
        <v>0</v>
      </c>
    </row>
    <row r="30" spans="1:21" ht="1.05" hidden="1" customHeight="1" x14ac:dyDescent="0.5">
      <c r="A30" s="10" t="s">
        <v>154</v>
      </c>
      <c r="B30" s="10"/>
      <c r="C30" s="47" t="s">
        <v>117</v>
      </c>
      <c r="D30" s="12"/>
      <c r="E30" s="12"/>
      <c r="F30" s="29" t="s">
        <v>76</v>
      </c>
      <c r="G30" s="30">
        <v>2.04</v>
      </c>
      <c r="H30" s="49"/>
      <c r="I30" s="93">
        <v>0</v>
      </c>
      <c r="J30" s="139"/>
      <c r="K30" s="148"/>
      <c r="L30" s="89"/>
      <c r="M30" s="106"/>
      <c r="N30" s="164"/>
      <c r="O30" s="164"/>
      <c r="P30" s="88">
        <v>64.56</v>
      </c>
      <c r="Q30" s="84"/>
      <c r="R30" s="85"/>
      <c r="S30" s="79">
        <f>ROUND(ROUND(P30, 2)*I30, 2)</f>
        <v>0</v>
      </c>
    </row>
    <row r="31" spans="1:21" ht="26.4" hidden="1" thickBot="1" x14ac:dyDescent="0.55000000000000004">
      <c r="A31" s="10" t="s">
        <v>159</v>
      </c>
      <c r="B31" s="10"/>
      <c r="C31" s="47" t="s">
        <v>124</v>
      </c>
      <c r="D31" s="12"/>
      <c r="E31" s="12"/>
      <c r="F31" s="29" t="s">
        <v>76</v>
      </c>
      <c r="G31" s="30">
        <v>0.8</v>
      </c>
      <c r="H31" s="49"/>
      <c r="I31" s="93">
        <v>0</v>
      </c>
      <c r="J31" s="139"/>
      <c r="K31" s="148"/>
      <c r="L31" s="89"/>
      <c r="M31" s="106"/>
      <c r="N31" s="164"/>
      <c r="O31" s="164"/>
      <c r="P31" s="88">
        <v>51.63</v>
      </c>
      <c r="Q31" s="84"/>
      <c r="R31" s="85"/>
      <c r="S31" s="79">
        <f>ROUND(ROUND(P31, 2)*I31, 2)</f>
        <v>0</v>
      </c>
    </row>
    <row r="32" spans="1:21" ht="216.6" hidden="1" thickBot="1" x14ac:dyDescent="0.35">
      <c r="A32" s="10" t="s">
        <v>164</v>
      </c>
      <c r="B32" s="10" t="s">
        <v>165</v>
      </c>
      <c r="C32" s="11" t="s">
        <v>166</v>
      </c>
      <c r="D32" s="12" t="s">
        <v>59</v>
      </c>
      <c r="E32" s="12" t="s">
        <v>167</v>
      </c>
      <c r="F32" s="12" t="s">
        <v>61</v>
      </c>
      <c r="G32" s="13">
        <v>1</v>
      </c>
      <c r="H32" s="13"/>
      <c r="I32" s="91">
        <v>0</v>
      </c>
      <c r="J32" s="138"/>
      <c r="K32" s="149"/>
      <c r="L32" s="119"/>
      <c r="M32" s="105"/>
      <c r="N32" s="162"/>
      <c r="O32" s="163"/>
      <c r="P32" s="86">
        <v>805.05</v>
      </c>
      <c r="Q32" s="74">
        <v>1225</v>
      </c>
      <c r="R32" s="87">
        <f>P32+ROUND(Q32, 2)</f>
        <v>2030.05</v>
      </c>
      <c r="S32" s="78">
        <v>0</v>
      </c>
      <c r="T32" s="14">
        <v>0</v>
      </c>
      <c r="U32" s="14">
        <f>S32+T32</f>
        <v>0</v>
      </c>
    </row>
    <row r="33" spans="1:21" ht="26.4" hidden="1" thickBot="1" x14ac:dyDescent="0.55000000000000004">
      <c r="A33" s="10" t="s">
        <v>171</v>
      </c>
      <c r="B33" s="10"/>
      <c r="C33" s="47" t="s">
        <v>90</v>
      </c>
      <c r="D33" s="12"/>
      <c r="E33" s="12"/>
      <c r="F33" s="29" t="s">
        <v>91</v>
      </c>
      <c r="G33" s="30">
        <v>5.1999999999999998E-2</v>
      </c>
      <c r="H33" s="30"/>
      <c r="I33" s="92">
        <v>0</v>
      </c>
      <c r="J33" s="139"/>
      <c r="K33" s="148"/>
      <c r="L33" s="89"/>
      <c r="M33" s="106"/>
      <c r="N33" s="164"/>
      <c r="O33" s="164"/>
      <c r="P33" s="88">
        <v>4026.8</v>
      </c>
      <c r="Q33" s="84"/>
      <c r="R33" s="85"/>
      <c r="S33" s="79">
        <f>ROUND(ROUND(P33, 2)*I33, 2)</f>
        <v>0</v>
      </c>
    </row>
    <row r="34" spans="1:21" ht="54.6" hidden="1" thickBot="1" x14ac:dyDescent="0.55000000000000004">
      <c r="A34" s="10" t="s">
        <v>176</v>
      </c>
      <c r="B34" s="10"/>
      <c r="C34" s="28" t="s">
        <v>177</v>
      </c>
      <c r="D34" s="12"/>
      <c r="E34" s="12"/>
      <c r="F34" s="29" t="s">
        <v>68</v>
      </c>
      <c r="G34" s="30">
        <v>1</v>
      </c>
      <c r="H34" s="30"/>
      <c r="I34" s="92">
        <v>0</v>
      </c>
      <c r="J34" s="139"/>
      <c r="K34" s="148"/>
      <c r="L34" s="89"/>
      <c r="M34" s="106"/>
      <c r="N34" s="164"/>
      <c r="O34" s="164"/>
      <c r="P34" s="88">
        <v>111.15</v>
      </c>
      <c r="Q34" s="84"/>
      <c r="R34" s="85"/>
      <c r="S34" s="79">
        <f>ROUND(ROUND(P34, 2)*I34, 2)</f>
        <v>0</v>
      </c>
    </row>
    <row r="35" spans="1:21" ht="26.4" hidden="1" thickBot="1" x14ac:dyDescent="0.55000000000000004">
      <c r="A35" s="10" t="s">
        <v>183</v>
      </c>
      <c r="B35" s="10"/>
      <c r="C35" s="47" t="s">
        <v>184</v>
      </c>
      <c r="D35" s="12"/>
      <c r="E35" s="12"/>
      <c r="F35" s="29" t="s">
        <v>61</v>
      </c>
      <c r="G35" s="30">
        <v>2.2000000000000002</v>
      </c>
      <c r="H35" s="30"/>
      <c r="I35" s="92">
        <v>0</v>
      </c>
      <c r="J35" s="139"/>
      <c r="K35" s="148"/>
      <c r="L35" s="89"/>
      <c r="M35" s="106"/>
      <c r="N35" s="164"/>
      <c r="O35" s="164"/>
      <c r="P35" s="88">
        <v>104.57</v>
      </c>
      <c r="Q35" s="84"/>
      <c r="R35" s="85"/>
      <c r="S35" s="79">
        <f>ROUND(ROUND(P35, 2)*I35, 2)</f>
        <v>0</v>
      </c>
    </row>
    <row r="36" spans="1:21" ht="1.05" hidden="1" customHeight="1" x14ac:dyDescent="0.5">
      <c r="A36" s="10" t="s">
        <v>190</v>
      </c>
      <c r="B36" s="10"/>
      <c r="C36" s="47" t="s">
        <v>75</v>
      </c>
      <c r="D36" s="12"/>
      <c r="E36" s="12"/>
      <c r="F36" s="29" t="s">
        <v>76</v>
      </c>
      <c r="G36" s="30">
        <v>0.86</v>
      </c>
      <c r="H36" s="49"/>
      <c r="I36" s="93">
        <v>0</v>
      </c>
      <c r="J36" s="139"/>
      <c r="K36" s="148"/>
      <c r="L36" s="89"/>
      <c r="M36" s="106"/>
      <c r="N36" s="164"/>
      <c r="O36" s="164"/>
      <c r="P36" s="88">
        <v>63.73</v>
      </c>
      <c r="Q36" s="84"/>
      <c r="R36" s="85"/>
      <c r="S36" s="79">
        <f>ROUND(ROUND(P36, 2)*I36, 2)</f>
        <v>0</v>
      </c>
    </row>
    <row r="37" spans="1:21" ht="26.4" hidden="1" thickBot="1" x14ac:dyDescent="0.55000000000000004">
      <c r="A37" s="10" t="s">
        <v>195</v>
      </c>
      <c r="B37" s="10"/>
      <c r="C37" s="47" t="s">
        <v>83</v>
      </c>
      <c r="D37" s="12"/>
      <c r="E37" s="12"/>
      <c r="F37" s="29" t="s">
        <v>76</v>
      </c>
      <c r="G37" s="30">
        <v>2.1</v>
      </c>
      <c r="H37" s="49"/>
      <c r="I37" s="93">
        <v>0</v>
      </c>
      <c r="J37" s="139"/>
      <c r="K37" s="148"/>
      <c r="L37" s="89"/>
      <c r="M37" s="106"/>
      <c r="N37" s="164"/>
      <c r="O37" s="164"/>
      <c r="P37" s="88">
        <v>95.07</v>
      </c>
      <c r="Q37" s="84"/>
      <c r="R37" s="85"/>
      <c r="S37" s="79">
        <f>ROUND(ROUND(P37, 2)*I37, 2)</f>
        <v>0</v>
      </c>
    </row>
    <row r="38" spans="1:21" ht="216.6" hidden="1" thickBot="1" x14ac:dyDescent="0.35">
      <c r="A38" s="10" t="s">
        <v>200</v>
      </c>
      <c r="B38" s="10" t="s">
        <v>165</v>
      </c>
      <c r="C38" s="11" t="s">
        <v>166</v>
      </c>
      <c r="D38" s="12" t="s">
        <v>59</v>
      </c>
      <c r="E38" s="12" t="s">
        <v>201</v>
      </c>
      <c r="F38" s="12" t="s">
        <v>61</v>
      </c>
      <c r="G38" s="13">
        <v>1</v>
      </c>
      <c r="H38" s="13"/>
      <c r="I38" s="91">
        <v>0</v>
      </c>
      <c r="J38" s="138"/>
      <c r="K38" s="149"/>
      <c r="L38" s="119"/>
      <c r="M38" s="105"/>
      <c r="N38" s="162"/>
      <c r="O38" s="163"/>
      <c r="P38" s="86">
        <v>805.05</v>
      </c>
      <c r="Q38" s="74">
        <v>1225</v>
      </c>
      <c r="R38" s="87">
        <f>P38+ROUND(Q38, 2)</f>
        <v>2030.05</v>
      </c>
      <c r="S38" s="78">
        <v>0</v>
      </c>
      <c r="T38" s="14">
        <v>0</v>
      </c>
      <c r="U38" s="14">
        <f>S38+T38</f>
        <v>0</v>
      </c>
    </row>
    <row r="39" spans="1:21" ht="26.4" hidden="1" thickBot="1" x14ac:dyDescent="0.55000000000000004">
      <c r="A39" s="10" t="s">
        <v>203</v>
      </c>
      <c r="B39" s="10"/>
      <c r="C39" s="47" t="s">
        <v>75</v>
      </c>
      <c r="D39" s="12"/>
      <c r="E39" s="12"/>
      <c r="F39" s="29" t="s">
        <v>76</v>
      </c>
      <c r="G39" s="30">
        <v>0.86</v>
      </c>
      <c r="H39" s="49"/>
      <c r="I39" s="93">
        <v>0</v>
      </c>
      <c r="J39" s="139"/>
      <c r="K39" s="148"/>
      <c r="L39" s="89"/>
      <c r="M39" s="106"/>
      <c r="N39" s="164"/>
      <c r="O39" s="164"/>
      <c r="P39" s="88">
        <v>63.73</v>
      </c>
      <c r="Q39" s="84"/>
      <c r="R39" s="85"/>
      <c r="S39" s="79">
        <f>ROUND(ROUND(P39, 2)*I39, 2)</f>
        <v>0</v>
      </c>
    </row>
    <row r="40" spans="1:21" ht="26.4" hidden="1" thickBot="1" x14ac:dyDescent="0.55000000000000004">
      <c r="A40" s="10" t="s">
        <v>208</v>
      </c>
      <c r="B40" s="10"/>
      <c r="C40" s="47" t="s">
        <v>83</v>
      </c>
      <c r="D40" s="12"/>
      <c r="E40" s="12"/>
      <c r="F40" s="29" t="s">
        <v>76</v>
      </c>
      <c r="G40" s="30">
        <v>2.1</v>
      </c>
      <c r="H40" s="49"/>
      <c r="I40" s="93">
        <v>0</v>
      </c>
      <c r="J40" s="139"/>
      <c r="K40" s="148"/>
      <c r="L40" s="89"/>
      <c r="M40" s="106"/>
      <c r="N40" s="164"/>
      <c r="O40" s="164"/>
      <c r="P40" s="88">
        <v>95.07</v>
      </c>
      <c r="Q40" s="84"/>
      <c r="R40" s="85"/>
      <c r="S40" s="79">
        <f>ROUND(ROUND(P40, 2)*I40, 2)</f>
        <v>0</v>
      </c>
    </row>
    <row r="41" spans="1:21" ht="26.4" hidden="1" thickBot="1" x14ac:dyDescent="0.55000000000000004">
      <c r="A41" s="10" t="s">
        <v>213</v>
      </c>
      <c r="B41" s="10"/>
      <c r="C41" s="47" t="s">
        <v>214</v>
      </c>
      <c r="D41" s="12"/>
      <c r="E41" s="12"/>
      <c r="F41" s="29" t="s">
        <v>61</v>
      </c>
      <c r="G41" s="30">
        <v>2.2000000000000002</v>
      </c>
      <c r="H41" s="30"/>
      <c r="I41" s="92">
        <v>0</v>
      </c>
      <c r="J41" s="139"/>
      <c r="K41" s="148"/>
      <c r="L41" s="89"/>
      <c r="M41" s="106"/>
      <c r="N41" s="164"/>
      <c r="O41" s="164"/>
      <c r="P41" s="88">
        <v>104.57</v>
      </c>
      <c r="Q41" s="84"/>
      <c r="R41" s="85"/>
      <c r="S41" s="79">
        <f>ROUND(ROUND(P41, 2)*I41, 2)</f>
        <v>0</v>
      </c>
    </row>
    <row r="42" spans="1:21" ht="1.05" hidden="1" customHeight="1" x14ac:dyDescent="0.5">
      <c r="A42" s="10" t="s">
        <v>220</v>
      </c>
      <c r="B42" s="10"/>
      <c r="C42" s="28" t="s">
        <v>177</v>
      </c>
      <c r="D42" s="12"/>
      <c r="E42" s="12"/>
      <c r="F42" s="29" t="s">
        <v>68</v>
      </c>
      <c r="G42" s="30">
        <v>1</v>
      </c>
      <c r="H42" s="30"/>
      <c r="I42" s="92">
        <v>0</v>
      </c>
      <c r="J42" s="139"/>
      <c r="K42" s="148"/>
      <c r="L42" s="89"/>
      <c r="M42" s="106"/>
      <c r="N42" s="164"/>
      <c r="O42" s="164"/>
      <c r="P42" s="88">
        <v>111.15</v>
      </c>
      <c r="Q42" s="84"/>
      <c r="R42" s="85"/>
      <c r="S42" s="79">
        <f>ROUND(ROUND(P42, 2)*I42, 2)</f>
        <v>0</v>
      </c>
    </row>
    <row r="43" spans="1:21" ht="26.4" hidden="1" thickBot="1" x14ac:dyDescent="0.55000000000000004">
      <c r="A43" s="10" t="s">
        <v>225</v>
      </c>
      <c r="B43" s="10"/>
      <c r="C43" s="47" t="s">
        <v>90</v>
      </c>
      <c r="D43" s="12"/>
      <c r="E43" s="12"/>
      <c r="F43" s="29" t="s">
        <v>91</v>
      </c>
      <c r="G43" s="30">
        <v>5.1999999999999998E-2</v>
      </c>
      <c r="H43" s="30"/>
      <c r="I43" s="92">
        <v>0</v>
      </c>
      <c r="J43" s="139"/>
      <c r="K43" s="148"/>
      <c r="L43" s="89"/>
      <c r="M43" s="106"/>
      <c r="N43" s="164"/>
      <c r="O43" s="164"/>
      <c r="P43" s="88">
        <v>4026.8</v>
      </c>
      <c r="Q43" s="84"/>
      <c r="R43" s="85"/>
      <c r="S43" s="79">
        <f>ROUND(ROUND(P43, 2)*I43, 2)</f>
        <v>0</v>
      </c>
    </row>
    <row r="44" spans="1:21" ht="252.6" hidden="1" thickBot="1" x14ac:dyDescent="0.35">
      <c r="A44" s="10" t="s">
        <v>230</v>
      </c>
      <c r="B44" s="10" t="s">
        <v>165</v>
      </c>
      <c r="C44" s="11" t="s">
        <v>166</v>
      </c>
      <c r="D44" s="12" t="s">
        <v>59</v>
      </c>
      <c r="E44" s="12" t="s">
        <v>231</v>
      </c>
      <c r="F44" s="12" t="s">
        <v>61</v>
      </c>
      <c r="G44" s="13">
        <v>1</v>
      </c>
      <c r="H44" s="13"/>
      <c r="I44" s="91">
        <v>0</v>
      </c>
      <c r="J44" s="138"/>
      <c r="K44" s="149"/>
      <c r="L44" s="119"/>
      <c r="M44" s="105"/>
      <c r="N44" s="162"/>
      <c r="O44" s="163"/>
      <c r="P44" s="86">
        <v>805.05</v>
      </c>
      <c r="Q44" s="74">
        <v>1225</v>
      </c>
      <c r="R44" s="87">
        <f>P44+ROUND(Q44, 2)</f>
        <v>2030.05</v>
      </c>
      <c r="S44" s="78">
        <v>0</v>
      </c>
      <c r="T44" s="14">
        <v>0</v>
      </c>
      <c r="U44" s="14">
        <f>S44+T44</f>
        <v>0</v>
      </c>
    </row>
    <row r="45" spans="1:21" ht="0.45" hidden="1" customHeight="1" x14ac:dyDescent="0.5">
      <c r="A45" s="10" t="s">
        <v>233</v>
      </c>
      <c r="B45" s="10"/>
      <c r="C45" s="47" t="s">
        <v>90</v>
      </c>
      <c r="D45" s="12"/>
      <c r="E45" s="12"/>
      <c r="F45" s="29" t="s">
        <v>91</v>
      </c>
      <c r="G45" s="30">
        <v>5.1999999999999998E-2</v>
      </c>
      <c r="H45" s="30"/>
      <c r="I45" s="92">
        <v>0</v>
      </c>
      <c r="J45" s="139"/>
      <c r="K45" s="148"/>
      <c r="L45" s="89"/>
      <c r="M45" s="106"/>
      <c r="N45" s="164"/>
      <c r="O45" s="164"/>
      <c r="P45" s="88">
        <v>4026.8</v>
      </c>
      <c r="Q45" s="84"/>
      <c r="R45" s="85"/>
      <c r="S45" s="79">
        <f>ROUND(ROUND(P45, 2)*I45, 2)</f>
        <v>0</v>
      </c>
    </row>
    <row r="46" spans="1:21" ht="54.6" hidden="1" thickBot="1" x14ac:dyDescent="0.55000000000000004">
      <c r="A46" s="10" t="s">
        <v>238</v>
      </c>
      <c r="B46" s="10"/>
      <c r="C46" s="28" t="s">
        <v>177</v>
      </c>
      <c r="D46" s="12"/>
      <c r="E46" s="12"/>
      <c r="F46" s="29" t="s">
        <v>68</v>
      </c>
      <c r="G46" s="30">
        <v>1</v>
      </c>
      <c r="H46" s="30"/>
      <c r="I46" s="92">
        <v>0</v>
      </c>
      <c r="J46" s="139"/>
      <c r="K46" s="148"/>
      <c r="L46" s="89"/>
      <c r="M46" s="106"/>
      <c r="N46" s="164"/>
      <c r="O46" s="164"/>
      <c r="P46" s="88">
        <v>111.15</v>
      </c>
      <c r="Q46" s="84"/>
      <c r="R46" s="85"/>
      <c r="S46" s="79">
        <f>ROUND(ROUND(P46, 2)*I46, 2)</f>
        <v>0</v>
      </c>
    </row>
    <row r="47" spans="1:21" ht="26.4" hidden="1" thickBot="1" x14ac:dyDescent="0.55000000000000004">
      <c r="A47" s="10" t="s">
        <v>243</v>
      </c>
      <c r="B47" s="10"/>
      <c r="C47" s="47" t="s">
        <v>214</v>
      </c>
      <c r="D47" s="12"/>
      <c r="E47" s="12"/>
      <c r="F47" s="29" t="s">
        <v>61</v>
      </c>
      <c r="G47" s="30">
        <v>2.2000000000000002</v>
      </c>
      <c r="H47" s="30"/>
      <c r="I47" s="92">
        <v>0</v>
      </c>
      <c r="J47" s="139"/>
      <c r="K47" s="148"/>
      <c r="L47" s="89"/>
      <c r="M47" s="106"/>
      <c r="N47" s="164"/>
      <c r="O47" s="164"/>
      <c r="P47" s="88">
        <v>104.57</v>
      </c>
      <c r="Q47" s="84"/>
      <c r="R47" s="85"/>
      <c r="S47" s="79">
        <f>ROUND(ROUND(P47, 2)*I47, 2)</f>
        <v>0</v>
      </c>
    </row>
    <row r="48" spans="1:21" ht="26.4" hidden="1" thickBot="1" x14ac:dyDescent="0.55000000000000004">
      <c r="A48" s="10" t="s">
        <v>248</v>
      </c>
      <c r="B48" s="10"/>
      <c r="C48" s="47" t="s">
        <v>75</v>
      </c>
      <c r="D48" s="12"/>
      <c r="E48" s="12"/>
      <c r="F48" s="29" t="s">
        <v>76</v>
      </c>
      <c r="G48" s="30">
        <v>0.86</v>
      </c>
      <c r="H48" s="49"/>
      <c r="I48" s="93">
        <v>0</v>
      </c>
      <c r="J48" s="139"/>
      <c r="K48" s="148"/>
      <c r="L48" s="89"/>
      <c r="M48" s="106"/>
      <c r="N48" s="164"/>
      <c r="O48" s="164"/>
      <c r="P48" s="88">
        <v>63.73</v>
      </c>
      <c r="Q48" s="84"/>
      <c r="R48" s="85"/>
      <c r="S48" s="79">
        <f>ROUND(ROUND(P48, 2)*I48, 2)</f>
        <v>0</v>
      </c>
    </row>
    <row r="49" spans="1:21" ht="26.4" hidden="1" thickBot="1" x14ac:dyDescent="0.55000000000000004">
      <c r="A49" s="10" t="s">
        <v>253</v>
      </c>
      <c r="B49" s="10"/>
      <c r="C49" s="47" t="s">
        <v>83</v>
      </c>
      <c r="D49" s="12"/>
      <c r="E49" s="12"/>
      <c r="F49" s="29" t="s">
        <v>76</v>
      </c>
      <c r="G49" s="30">
        <v>2.1</v>
      </c>
      <c r="H49" s="49"/>
      <c r="I49" s="93">
        <v>0</v>
      </c>
      <c r="J49" s="139"/>
      <c r="K49" s="148"/>
      <c r="L49" s="89"/>
      <c r="M49" s="106"/>
      <c r="N49" s="164"/>
      <c r="O49" s="164"/>
      <c r="P49" s="88">
        <v>95.07</v>
      </c>
      <c r="Q49" s="84"/>
      <c r="R49" s="85"/>
      <c r="S49" s="79">
        <f>ROUND(ROUND(P49, 2)*I49, 2)</f>
        <v>0</v>
      </c>
    </row>
    <row r="50" spans="1:21" ht="198.6" hidden="1" thickBot="1" x14ac:dyDescent="0.35">
      <c r="A50" s="10" t="s">
        <v>258</v>
      </c>
      <c r="B50" s="10" t="s">
        <v>165</v>
      </c>
      <c r="C50" s="11" t="s">
        <v>166</v>
      </c>
      <c r="D50" s="12" t="s">
        <v>59</v>
      </c>
      <c r="E50" s="12" t="s">
        <v>259</v>
      </c>
      <c r="F50" s="12" t="s">
        <v>61</v>
      </c>
      <c r="G50" s="13">
        <v>1</v>
      </c>
      <c r="H50" s="13"/>
      <c r="I50" s="91">
        <v>0</v>
      </c>
      <c r="J50" s="138"/>
      <c r="K50" s="149"/>
      <c r="L50" s="119"/>
      <c r="M50" s="105"/>
      <c r="N50" s="162"/>
      <c r="O50" s="163"/>
      <c r="P50" s="86">
        <v>3842.15</v>
      </c>
      <c r="Q50" s="74">
        <v>1225</v>
      </c>
      <c r="R50" s="87">
        <f>P50+ROUND(Q50, 2)</f>
        <v>5067.1499999999996</v>
      </c>
      <c r="S50" s="78">
        <v>0</v>
      </c>
      <c r="T50" s="14">
        <v>0</v>
      </c>
      <c r="U50" s="14">
        <f>S50+T50</f>
        <v>0</v>
      </c>
    </row>
    <row r="51" spans="1:21" ht="26.4" hidden="1" thickBot="1" x14ac:dyDescent="0.55000000000000004">
      <c r="A51" s="10" t="s">
        <v>261</v>
      </c>
      <c r="B51" s="10"/>
      <c r="C51" s="47" t="s">
        <v>117</v>
      </c>
      <c r="D51" s="12"/>
      <c r="E51" s="12"/>
      <c r="F51" s="29" t="s">
        <v>76</v>
      </c>
      <c r="G51" s="30">
        <v>2.1</v>
      </c>
      <c r="H51" s="30"/>
      <c r="I51" s="92">
        <v>0</v>
      </c>
      <c r="J51" s="139"/>
      <c r="K51" s="148"/>
      <c r="L51" s="89"/>
      <c r="M51" s="106"/>
      <c r="N51" s="164"/>
      <c r="O51" s="164"/>
      <c r="P51" s="88">
        <v>64.56</v>
      </c>
      <c r="Q51" s="84"/>
      <c r="R51" s="85"/>
      <c r="S51" s="79">
        <f>ROUND(ROUND(P51, 2)*I51, 2)</f>
        <v>0</v>
      </c>
    </row>
    <row r="52" spans="1:21" ht="26.4" hidden="1" thickBot="1" x14ac:dyDescent="0.55000000000000004">
      <c r="A52" s="10" t="s">
        <v>266</v>
      </c>
      <c r="B52" s="10"/>
      <c r="C52" s="47" t="s">
        <v>124</v>
      </c>
      <c r="D52" s="12"/>
      <c r="E52" s="12"/>
      <c r="F52" s="29" t="s">
        <v>76</v>
      </c>
      <c r="G52" s="30">
        <v>0.8</v>
      </c>
      <c r="H52" s="30"/>
      <c r="I52" s="92">
        <v>0</v>
      </c>
      <c r="J52" s="139"/>
      <c r="K52" s="148"/>
      <c r="L52" s="89"/>
      <c r="M52" s="106"/>
      <c r="N52" s="164"/>
      <c r="O52" s="164"/>
      <c r="P52" s="88">
        <v>51.63</v>
      </c>
      <c r="Q52" s="84"/>
      <c r="R52" s="85"/>
      <c r="S52" s="79">
        <f>ROUND(ROUND(P52, 2)*I52, 2)</f>
        <v>0</v>
      </c>
    </row>
    <row r="53" spans="1:21" ht="36.6" hidden="1" thickBot="1" x14ac:dyDescent="0.55000000000000004">
      <c r="A53" s="10" t="s">
        <v>271</v>
      </c>
      <c r="B53" s="10"/>
      <c r="C53" s="47" t="s">
        <v>214</v>
      </c>
      <c r="D53" s="12"/>
      <c r="E53" s="12" t="s">
        <v>272</v>
      </c>
      <c r="F53" s="29" t="s">
        <v>61</v>
      </c>
      <c r="G53" s="30">
        <v>2.2000000000000002</v>
      </c>
      <c r="H53" s="30"/>
      <c r="I53" s="92">
        <v>0</v>
      </c>
      <c r="J53" s="139"/>
      <c r="K53" s="148"/>
      <c r="L53" s="89"/>
      <c r="M53" s="106"/>
      <c r="N53" s="164"/>
      <c r="O53" s="164"/>
      <c r="P53" s="88">
        <v>1520.33</v>
      </c>
      <c r="Q53" s="84"/>
      <c r="R53" s="85"/>
      <c r="S53" s="79">
        <f>ROUND(ROUND(P53, 2)*I53, 2)</f>
        <v>0</v>
      </c>
    </row>
    <row r="54" spans="1:21" ht="54.6" hidden="1" thickBot="1" x14ac:dyDescent="0.55000000000000004">
      <c r="A54" s="10" t="s">
        <v>277</v>
      </c>
      <c r="B54" s="10"/>
      <c r="C54" s="28" t="s">
        <v>177</v>
      </c>
      <c r="D54" s="12"/>
      <c r="E54" s="12"/>
      <c r="F54" s="29" t="s">
        <v>68</v>
      </c>
      <c r="G54" s="30">
        <v>1</v>
      </c>
      <c r="H54" s="30"/>
      <c r="I54" s="92">
        <v>0</v>
      </c>
      <c r="J54" s="139"/>
      <c r="K54" s="148"/>
      <c r="L54" s="89"/>
      <c r="M54" s="106"/>
      <c r="N54" s="164"/>
      <c r="O54" s="164"/>
      <c r="P54" s="88">
        <v>111.15</v>
      </c>
      <c r="Q54" s="84"/>
      <c r="R54" s="85"/>
      <c r="S54" s="79">
        <f>ROUND(ROUND(P54, 2)*I54, 2)</f>
        <v>0</v>
      </c>
    </row>
    <row r="55" spans="1:21" ht="22.5" hidden="1" customHeight="1" x14ac:dyDescent="0.5">
      <c r="A55" s="10" t="s">
        <v>282</v>
      </c>
      <c r="B55" s="10"/>
      <c r="C55" s="47" t="s">
        <v>90</v>
      </c>
      <c r="D55" s="12"/>
      <c r="E55" s="12"/>
      <c r="F55" s="29" t="s">
        <v>91</v>
      </c>
      <c r="G55" s="30">
        <v>5.1999999999999998E-2</v>
      </c>
      <c r="H55" s="30"/>
      <c r="I55" s="92">
        <v>0</v>
      </c>
      <c r="J55" s="139"/>
      <c r="K55" s="148"/>
      <c r="L55" s="89"/>
      <c r="M55" s="106"/>
      <c r="N55" s="164"/>
      <c r="O55" s="164"/>
      <c r="P55" s="88">
        <v>4026.8</v>
      </c>
      <c r="Q55" s="84"/>
      <c r="R55" s="85"/>
      <c r="S55" s="79">
        <f>ROUND(ROUND(P55, 2)*I55, 2)</f>
        <v>0</v>
      </c>
    </row>
    <row r="56" spans="1:21" ht="198.6" hidden="1" thickBot="1" x14ac:dyDescent="0.35">
      <c r="A56" s="10" t="s">
        <v>287</v>
      </c>
      <c r="B56" s="10" t="s">
        <v>165</v>
      </c>
      <c r="C56" s="11" t="s">
        <v>166</v>
      </c>
      <c r="D56" s="12" t="s">
        <v>59</v>
      </c>
      <c r="E56" s="12" t="s">
        <v>288</v>
      </c>
      <c r="F56" s="12" t="s">
        <v>61</v>
      </c>
      <c r="G56" s="13">
        <v>1</v>
      </c>
      <c r="H56" s="13"/>
      <c r="I56" s="91">
        <v>0</v>
      </c>
      <c r="J56" s="138"/>
      <c r="K56" s="149"/>
      <c r="L56" s="119"/>
      <c r="M56" s="105"/>
      <c r="N56" s="162"/>
      <c r="O56" s="163"/>
      <c r="P56" s="86">
        <v>1269.23</v>
      </c>
      <c r="Q56" s="74">
        <v>1225</v>
      </c>
      <c r="R56" s="87">
        <f>P56+ROUND(Q56, 2)</f>
        <v>2494.23</v>
      </c>
      <c r="S56" s="78">
        <v>0</v>
      </c>
      <c r="T56" s="14">
        <v>0</v>
      </c>
      <c r="U56" s="14">
        <f>S56+T56</f>
        <v>0</v>
      </c>
    </row>
    <row r="57" spans="1:21" ht="26.4" hidden="1" thickBot="1" x14ac:dyDescent="0.55000000000000004">
      <c r="A57" s="10" t="s">
        <v>290</v>
      </c>
      <c r="B57" s="10"/>
      <c r="C57" s="47" t="s">
        <v>90</v>
      </c>
      <c r="D57" s="12"/>
      <c r="E57" s="12"/>
      <c r="F57" s="29" t="s">
        <v>91</v>
      </c>
      <c r="G57" s="30">
        <v>5.1999999999999998E-2</v>
      </c>
      <c r="H57" s="30"/>
      <c r="I57" s="92">
        <v>0</v>
      </c>
      <c r="J57" s="139"/>
      <c r="K57" s="148"/>
      <c r="L57" s="89"/>
      <c r="M57" s="106"/>
      <c r="N57" s="164"/>
      <c r="O57" s="164"/>
      <c r="P57" s="88">
        <v>4026.8</v>
      </c>
      <c r="Q57" s="84"/>
      <c r="R57" s="85"/>
      <c r="S57" s="79">
        <f>ROUND(ROUND(P57, 2)*I57, 2)</f>
        <v>0</v>
      </c>
    </row>
    <row r="58" spans="1:21" ht="34.950000000000003" hidden="1" customHeight="1" x14ac:dyDescent="0.5">
      <c r="A58" s="10" t="s">
        <v>295</v>
      </c>
      <c r="B58" s="10"/>
      <c r="C58" s="28" t="s">
        <v>177</v>
      </c>
      <c r="D58" s="12"/>
      <c r="E58" s="12"/>
      <c r="F58" s="29" t="s">
        <v>68</v>
      </c>
      <c r="G58" s="30">
        <v>1</v>
      </c>
      <c r="H58" s="30"/>
      <c r="I58" s="92">
        <v>0</v>
      </c>
      <c r="J58" s="139"/>
      <c r="K58" s="148"/>
      <c r="L58" s="89"/>
      <c r="M58" s="106"/>
      <c r="N58" s="164"/>
      <c r="O58" s="164"/>
      <c r="P58" s="88">
        <v>111.15</v>
      </c>
      <c r="Q58" s="84"/>
      <c r="R58" s="85"/>
      <c r="S58" s="79">
        <f>ROUND(ROUND(P58, 2)*I58, 2)</f>
        <v>0</v>
      </c>
    </row>
    <row r="59" spans="1:21" ht="26.4" hidden="1" thickBot="1" x14ac:dyDescent="0.55000000000000004">
      <c r="A59" s="10" t="s">
        <v>300</v>
      </c>
      <c r="B59" s="10"/>
      <c r="C59" s="47" t="s">
        <v>301</v>
      </c>
      <c r="D59" s="12"/>
      <c r="E59" s="12"/>
      <c r="F59" s="29" t="s">
        <v>61</v>
      </c>
      <c r="G59" s="30">
        <v>2.2000000000000002</v>
      </c>
      <c r="H59" s="30"/>
      <c r="I59" s="92">
        <v>0</v>
      </c>
      <c r="J59" s="139"/>
      <c r="K59" s="148"/>
      <c r="L59" s="89"/>
      <c r="M59" s="106"/>
      <c r="N59" s="164"/>
      <c r="O59" s="164"/>
      <c r="P59" s="88">
        <v>315.55</v>
      </c>
      <c r="Q59" s="84"/>
      <c r="R59" s="85"/>
      <c r="S59" s="79">
        <f>ROUND(ROUND(P59, 2)*I59, 2)</f>
        <v>0</v>
      </c>
    </row>
    <row r="60" spans="1:21" ht="26.4" hidden="1" thickBot="1" x14ac:dyDescent="0.55000000000000004">
      <c r="A60" s="10" t="s">
        <v>307</v>
      </c>
      <c r="B60" s="10"/>
      <c r="C60" s="47" t="s">
        <v>75</v>
      </c>
      <c r="D60" s="12"/>
      <c r="E60" s="12"/>
      <c r="F60" s="29" t="s">
        <v>76</v>
      </c>
      <c r="G60" s="30">
        <v>0.86</v>
      </c>
      <c r="H60" s="49"/>
      <c r="I60" s="93">
        <v>0</v>
      </c>
      <c r="J60" s="139"/>
      <c r="K60" s="148"/>
      <c r="L60" s="89"/>
      <c r="M60" s="106"/>
      <c r="N60" s="164"/>
      <c r="O60" s="164"/>
      <c r="P60" s="88">
        <v>63.73</v>
      </c>
      <c r="Q60" s="84"/>
      <c r="R60" s="85"/>
      <c r="S60" s="79">
        <f>ROUND(ROUND(P60, 2)*I60, 2)</f>
        <v>0</v>
      </c>
    </row>
    <row r="61" spans="1:21" ht="26.4" hidden="1" thickBot="1" x14ac:dyDescent="0.55000000000000004">
      <c r="A61" s="10" t="s">
        <v>312</v>
      </c>
      <c r="B61" s="10"/>
      <c r="C61" s="47" t="s">
        <v>83</v>
      </c>
      <c r="D61" s="12"/>
      <c r="E61" s="12"/>
      <c r="F61" s="29" t="s">
        <v>76</v>
      </c>
      <c r="G61" s="30">
        <v>2.1</v>
      </c>
      <c r="H61" s="49"/>
      <c r="I61" s="93">
        <v>0</v>
      </c>
      <c r="J61" s="139"/>
      <c r="K61" s="148"/>
      <c r="L61" s="89"/>
      <c r="M61" s="106"/>
      <c r="N61" s="164"/>
      <c r="O61" s="164"/>
      <c r="P61" s="88">
        <v>95.07</v>
      </c>
      <c r="Q61" s="84"/>
      <c r="R61" s="85"/>
      <c r="S61" s="79">
        <f>ROUND(ROUND(P61, 2)*I61, 2)</f>
        <v>0</v>
      </c>
    </row>
    <row r="62" spans="1:21" ht="16.95" hidden="1" customHeight="1" x14ac:dyDescent="0.5">
      <c r="A62" s="10" t="s">
        <v>317</v>
      </c>
      <c r="B62" s="10" t="s">
        <v>318</v>
      </c>
      <c r="C62" s="237" t="s">
        <v>319</v>
      </c>
      <c r="D62" s="238"/>
      <c r="E62" s="238"/>
      <c r="F62" s="238"/>
      <c r="G62" s="238"/>
      <c r="H62" s="238"/>
      <c r="I62" s="238"/>
      <c r="J62" s="134"/>
      <c r="K62" s="148"/>
      <c r="L62" s="89"/>
      <c r="M62" s="104"/>
      <c r="N62" s="160"/>
      <c r="O62" s="161"/>
      <c r="P62" s="83"/>
      <c r="Q62" s="84"/>
      <c r="R62" s="85"/>
      <c r="S62" s="77">
        <f t="shared" ref="S62:U63" si="1">SUM(S63)</f>
        <v>0</v>
      </c>
      <c r="T62" s="6">
        <f t="shared" si="1"/>
        <v>0</v>
      </c>
      <c r="U62" s="6">
        <f t="shared" si="1"/>
        <v>0</v>
      </c>
    </row>
    <row r="63" spans="1:21" ht="16.95" hidden="1" customHeight="1" x14ac:dyDescent="0.5">
      <c r="A63" s="10" t="s">
        <v>320</v>
      </c>
      <c r="B63" s="10" t="s">
        <v>321</v>
      </c>
      <c r="C63" s="237" t="s">
        <v>322</v>
      </c>
      <c r="D63" s="238"/>
      <c r="E63" s="238"/>
      <c r="F63" s="238"/>
      <c r="G63" s="238"/>
      <c r="H63" s="238"/>
      <c r="I63" s="238"/>
      <c r="J63" s="134"/>
      <c r="K63" s="148"/>
      <c r="L63" s="89"/>
      <c r="M63" s="104"/>
      <c r="N63" s="160"/>
      <c r="O63" s="161"/>
      <c r="P63" s="83"/>
      <c r="Q63" s="84"/>
      <c r="R63" s="85"/>
      <c r="S63" s="77">
        <f t="shared" si="1"/>
        <v>0</v>
      </c>
      <c r="T63" s="6">
        <f t="shared" si="1"/>
        <v>0</v>
      </c>
      <c r="U63" s="6">
        <f t="shared" si="1"/>
        <v>0</v>
      </c>
    </row>
    <row r="64" spans="1:21" ht="16.95" hidden="1" customHeight="1" x14ac:dyDescent="0.5">
      <c r="A64" s="10" t="s">
        <v>323</v>
      </c>
      <c r="B64" s="10" t="s">
        <v>324</v>
      </c>
      <c r="C64" s="237" t="s">
        <v>325</v>
      </c>
      <c r="D64" s="238"/>
      <c r="E64" s="238"/>
      <c r="F64" s="238"/>
      <c r="G64" s="238"/>
      <c r="H64" s="238"/>
      <c r="I64" s="238"/>
      <c r="J64" s="134"/>
      <c r="K64" s="148"/>
      <c r="L64" s="89"/>
      <c r="M64" s="104"/>
      <c r="N64" s="160"/>
      <c r="O64" s="161"/>
      <c r="P64" s="83"/>
      <c r="Q64" s="84"/>
      <c r="R64" s="85"/>
      <c r="S64" s="77">
        <f>SUM(S65,S154,S175,S198,S239)</f>
        <v>0</v>
      </c>
      <c r="T64" s="6">
        <f>SUM(T65,T154,T175,T198,T239)</f>
        <v>0</v>
      </c>
      <c r="U64" s="6">
        <f>SUM(U65,U154,U175,U198,U239)</f>
        <v>0</v>
      </c>
    </row>
    <row r="65" spans="1:21" ht="16.95" hidden="1" customHeight="1" x14ac:dyDescent="0.5">
      <c r="A65" s="10" t="s">
        <v>326</v>
      </c>
      <c r="B65" s="10" t="s">
        <v>327</v>
      </c>
      <c r="C65" s="237" t="s">
        <v>328</v>
      </c>
      <c r="D65" s="238"/>
      <c r="E65" s="238"/>
      <c r="F65" s="238"/>
      <c r="G65" s="238"/>
      <c r="H65" s="238"/>
      <c r="I65" s="238"/>
      <c r="J65" s="134"/>
      <c r="K65" s="148"/>
      <c r="L65" s="89"/>
      <c r="M65" s="104"/>
      <c r="N65" s="160"/>
      <c r="O65" s="161"/>
      <c r="P65" s="83"/>
      <c r="Q65" s="84"/>
      <c r="R65" s="85"/>
      <c r="S65" s="77">
        <f>SUM(S66,S78,S101)</f>
        <v>0</v>
      </c>
      <c r="T65" s="6">
        <f>SUM(T66,T78,T101)</f>
        <v>0</v>
      </c>
      <c r="U65" s="6">
        <f>SUM(U66,U78,U101)</f>
        <v>0</v>
      </c>
    </row>
    <row r="66" spans="1:21" ht="16.95" hidden="1" customHeight="1" x14ac:dyDescent="0.5">
      <c r="A66" s="10" t="s">
        <v>329</v>
      </c>
      <c r="B66" s="10" t="s">
        <v>330</v>
      </c>
      <c r="C66" s="237" t="s">
        <v>331</v>
      </c>
      <c r="D66" s="238"/>
      <c r="E66" s="238"/>
      <c r="F66" s="238"/>
      <c r="G66" s="238"/>
      <c r="H66" s="238"/>
      <c r="I66" s="238"/>
      <c r="J66" s="134"/>
      <c r="K66" s="148"/>
      <c r="L66" s="89"/>
      <c r="M66" s="104"/>
      <c r="N66" s="160"/>
      <c r="O66" s="161"/>
      <c r="P66" s="83"/>
      <c r="Q66" s="84"/>
      <c r="R66" s="85"/>
      <c r="S66" s="77">
        <f>SUM(S67,S69,S74)</f>
        <v>0</v>
      </c>
      <c r="T66" s="6">
        <f>SUM(T67,T69,T74)</f>
        <v>0</v>
      </c>
      <c r="U66" s="6">
        <f>SUM(U67,U69,U74)</f>
        <v>0</v>
      </c>
    </row>
    <row r="67" spans="1:21" ht="36.6" hidden="1" thickBot="1" x14ac:dyDescent="0.35">
      <c r="A67" s="10" t="s">
        <v>332</v>
      </c>
      <c r="B67" s="10" t="s">
        <v>333</v>
      </c>
      <c r="C67" s="11" t="s">
        <v>334</v>
      </c>
      <c r="D67" s="12"/>
      <c r="E67" s="12" t="s">
        <v>335</v>
      </c>
      <c r="F67" s="12" t="s">
        <v>61</v>
      </c>
      <c r="G67" s="13">
        <v>1</v>
      </c>
      <c r="H67" s="13"/>
      <c r="I67" s="91">
        <v>0</v>
      </c>
      <c r="J67" s="138"/>
      <c r="K67" s="149"/>
      <c r="L67" s="119"/>
      <c r="M67" s="105"/>
      <c r="N67" s="162"/>
      <c r="O67" s="163"/>
      <c r="P67" s="86">
        <v>51.44</v>
      </c>
      <c r="Q67" s="74">
        <v>40</v>
      </c>
      <c r="R67" s="87">
        <f>P67+ROUND(Q67, 2)</f>
        <v>91.44</v>
      </c>
      <c r="S67" s="78">
        <v>0</v>
      </c>
      <c r="T67" s="14">
        <v>0</v>
      </c>
      <c r="U67" s="14">
        <f>S67+T67</f>
        <v>0</v>
      </c>
    </row>
    <row r="68" spans="1:21" ht="26.4" hidden="1" thickBot="1" x14ac:dyDescent="0.55000000000000004">
      <c r="A68" s="10" t="s">
        <v>340</v>
      </c>
      <c r="B68" s="10"/>
      <c r="C68" s="28" t="s">
        <v>341</v>
      </c>
      <c r="D68" s="12"/>
      <c r="E68" s="12"/>
      <c r="F68" s="29" t="s">
        <v>61</v>
      </c>
      <c r="G68" s="30">
        <v>1.1000000000000001</v>
      </c>
      <c r="H68" s="30"/>
      <c r="I68" s="92">
        <v>0</v>
      </c>
      <c r="J68" s="139"/>
      <c r="K68" s="148"/>
      <c r="L68" s="89"/>
      <c r="M68" s="106"/>
      <c r="N68" s="164"/>
      <c r="O68" s="164"/>
      <c r="P68" s="88">
        <v>46.76</v>
      </c>
      <c r="Q68" s="84"/>
      <c r="R68" s="85"/>
      <c r="S68" s="79">
        <f>ROUND(ROUND(P68, 2)*I68, 2)</f>
        <v>0</v>
      </c>
    </row>
    <row r="69" spans="1:21" ht="36.6" hidden="1" thickBot="1" x14ac:dyDescent="0.35">
      <c r="A69" s="10" t="s">
        <v>347</v>
      </c>
      <c r="B69" s="10" t="s">
        <v>348</v>
      </c>
      <c r="C69" s="11" t="s">
        <v>349</v>
      </c>
      <c r="D69" s="12"/>
      <c r="E69" s="12" t="s">
        <v>350</v>
      </c>
      <c r="F69" s="12" t="s">
        <v>61</v>
      </c>
      <c r="G69" s="13">
        <v>1</v>
      </c>
      <c r="H69" s="13"/>
      <c r="I69" s="91">
        <v>0</v>
      </c>
      <c r="J69" s="138"/>
      <c r="K69" s="149"/>
      <c r="L69" s="119"/>
      <c r="M69" s="105"/>
      <c r="N69" s="162"/>
      <c r="O69" s="163"/>
      <c r="P69" s="86">
        <v>585.11</v>
      </c>
      <c r="Q69" s="74">
        <v>868</v>
      </c>
      <c r="R69" s="87">
        <f>P69+ROUND(Q69, 2)</f>
        <v>1453.1100000000001</v>
      </c>
      <c r="S69" s="78">
        <v>0</v>
      </c>
      <c r="T69" s="14">
        <v>0</v>
      </c>
      <c r="U69" s="14">
        <f>S69+T69</f>
        <v>0</v>
      </c>
    </row>
    <row r="70" spans="1:21" ht="26.4" hidden="1" thickBot="1" x14ac:dyDescent="0.55000000000000004">
      <c r="A70" s="10" t="s">
        <v>354</v>
      </c>
      <c r="B70" s="10"/>
      <c r="C70" s="28" t="s">
        <v>355</v>
      </c>
      <c r="D70" s="12"/>
      <c r="E70" s="12"/>
      <c r="F70" s="29" t="s">
        <v>356</v>
      </c>
      <c r="G70" s="30">
        <v>8</v>
      </c>
      <c r="H70" s="49"/>
      <c r="I70" s="93">
        <v>0</v>
      </c>
      <c r="J70" s="139"/>
      <c r="K70" s="148"/>
      <c r="L70" s="89"/>
      <c r="M70" s="106"/>
      <c r="N70" s="164"/>
      <c r="O70" s="164"/>
      <c r="P70" s="88">
        <v>2.5</v>
      </c>
      <c r="Q70" s="84"/>
      <c r="R70" s="85"/>
      <c r="S70" s="79">
        <f>ROUND(ROUND(P70, 2)*I70, 2)</f>
        <v>0</v>
      </c>
    </row>
    <row r="71" spans="1:21" ht="0.45" hidden="1" customHeight="1" x14ac:dyDescent="0.5">
      <c r="A71" s="10" t="s">
        <v>362</v>
      </c>
      <c r="B71" s="10"/>
      <c r="C71" s="28" t="s">
        <v>363</v>
      </c>
      <c r="D71" s="12"/>
      <c r="E71" s="12"/>
      <c r="F71" s="29" t="s">
        <v>364</v>
      </c>
      <c r="G71" s="30">
        <v>1.8</v>
      </c>
      <c r="H71" s="49"/>
      <c r="I71" s="93">
        <v>0</v>
      </c>
      <c r="J71" s="139"/>
      <c r="K71" s="148"/>
      <c r="L71" s="89"/>
      <c r="M71" s="106"/>
      <c r="N71" s="164"/>
      <c r="O71" s="164"/>
      <c r="P71" s="88">
        <v>6.17</v>
      </c>
      <c r="Q71" s="84"/>
      <c r="R71" s="85"/>
      <c r="S71" s="79">
        <f>ROUND(ROUND(P71, 2)*I71, 2)</f>
        <v>0</v>
      </c>
    </row>
    <row r="72" spans="1:21" ht="26.4" hidden="1" thickBot="1" x14ac:dyDescent="0.55000000000000004">
      <c r="A72" s="10" t="s">
        <v>370</v>
      </c>
      <c r="B72" s="10"/>
      <c r="C72" s="28" t="s">
        <v>371</v>
      </c>
      <c r="D72" s="12"/>
      <c r="E72" s="12"/>
      <c r="F72" s="29" t="s">
        <v>61</v>
      </c>
      <c r="G72" s="30">
        <v>1.1000000000000001</v>
      </c>
      <c r="H72" s="49"/>
      <c r="I72" s="93">
        <v>0</v>
      </c>
      <c r="J72" s="139"/>
      <c r="K72" s="148"/>
      <c r="L72" s="89"/>
      <c r="M72" s="106"/>
      <c r="N72" s="164"/>
      <c r="O72" s="164"/>
      <c r="P72" s="88">
        <v>101.94</v>
      </c>
      <c r="Q72" s="84"/>
      <c r="R72" s="85"/>
      <c r="S72" s="79">
        <f>ROUND(ROUND(P72, 2)*I72, 2)</f>
        <v>0</v>
      </c>
    </row>
    <row r="73" spans="1:21" ht="26.4" hidden="1" thickBot="1" x14ac:dyDescent="0.55000000000000004">
      <c r="A73" s="10" t="s">
        <v>377</v>
      </c>
      <c r="B73" s="10"/>
      <c r="C73" s="28" t="s">
        <v>378</v>
      </c>
      <c r="D73" s="12"/>
      <c r="E73" s="12"/>
      <c r="F73" s="29" t="s">
        <v>76</v>
      </c>
      <c r="G73" s="30">
        <v>1</v>
      </c>
      <c r="H73" s="49"/>
      <c r="I73" s="93">
        <v>0</v>
      </c>
      <c r="J73" s="139"/>
      <c r="K73" s="148"/>
      <c r="L73" s="89"/>
      <c r="M73" s="106"/>
      <c r="N73" s="164"/>
      <c r="O73" s="164"/>
      <c r="P73" s="88">
        <v>10.4</v>
      </c>
      <c r="Q73" s="84"/>
      <c r="R73" s="85"/>
      <c r="S73" s="79">
        <f>ROUND(ROUND(P73, 2)*I73, 2)</f>
        <v>0</v>
      </c>
    </row>
    <row r="74" spans="1:21" ht="36.6" hidden="1" thickBot="1" x14ac:dyDescent="0.35">
      <c r="A74" s="10" t="s">
        <v>384</v>
      </c>
      <c r="B74" s="10" t="s">
        <v>385</v>
      </c>
      <c r="C74" s="11" t="s">
        <v>386</v>
      </c>
      <c r="D74" s="12"/>
      <c r="E74" s="12" t="s">
        <v>387</v>
      </c>
      <c r="F74" s="12" t="s">
        <v>61</v>
      </c>
      <c r="G74" s="13">
        <v>1</v>
      </c>
      <c r="H74" s="13"/>
      <c r="I74" s="91">
        <v>0</v>
      </c>
      <c r="J74" s="138"/>
      <c r="K74" s="149"/>
      <c r="L74" s="119"/>
      <c r="M74" s="105"/>
      <c r="N74" s="162"/>
      <c r="O74" s="163"/>
      <c r="P74" s="86">
        <v>177.17</v>
      </c>
      <c r="Q74" s="74">
        <v>557</v>
      </c>
      <c r="R74" s="87">
        <f>P74+ROUND(Q74, 2)</f>
        <v>734.17</v>
      </c>
      <c r="S74" s="78">
        <v>0</v>
      </c>
      <c r="T74" s="14">
        <v>0</v>
      </c>
      <c r="U74" s="14">
        <f>S74+T74</f>
        <v>0</v>
      </c>
    </row>
    <row r="75" spans="1:21" ht="26.4" hidden="1" thickBot="1" x14ac:dyDescent="0.55000000000000004">
      <c r="A75" s="10" t="s">
        <v>391</v>
      </c>
      <c r="B75" s="10"/>
      <c r="C75" s="28" t="s">
        <v>378</v>
      </c>
      <c r="D75" s="12"/>
      <c r="E75" s="12"/>
      <c r="F75" s="29" t="s">
        <v>76</v>
      </c>
      <c r="G75" s="30">
        <v>1</v>
      </c>
      <c r="H75" s="49"/>
      <c r="I75" s="93">
        <v>0</v>
      </c>
      <c r="J75" s="139"/>
      <c r="K75" s="148"/>
      <c r="L75" s="89"/>
      <c r="M75" s="106"/>
      <c r="N75" s="164"/>
      <c r="O75" s="164"/>
      <c r="P75" s="88">
        <v>10.4</v>
      </c>
      <c r="Q75" s="84"/>
      <c r="R75" s="85"/>
      <c r="S75" s="79">
        <f>ROUND(ROUND(P75, 2)*I75, 2)</f>
        <v>0</v>
      </c>
    </row>
    <row r="76" spans="1:21" ht="36.6" hidden="1" thickBot="1" x14ac:dyDescent="0.55000000000000004">
      <c r="A76" s="10" t="s">
        <v>396</v>
      </c>
      <c r="B76" s="10"/>
      <c r="C76" s="28" t="s">
        <v>397</v>
      </c>
      <c r="D76" s="12"/>
      <c r="E76" s="12"/>
      <c r="F76" s="29" t="s">
        <v>364</v>
      </c>
      <c r="G76" s="30">
        <v>0.255</v>
      </c>
      <c r="H76" s="30"/>
      <c r="I76" s="92">
        <v>0</v>
      </c>
      <c r="J76" s="139"/>
      <c r="K76" s="148"/>
      <c r="L76" s="89"/>
      <c r="M76" s="106"/>
      <c r="N76" s="164"/>
      <c r="O76" s="164"/>
      <c r="P76" s="88">
        <v>88.8</v>
      </c>
      <c r="Q76" s="84"/>
      <c r="R76" s="85"/>
      <c r="S76" s="79">
        <f>ROUND(ROUND(P76, 2)*I76, 2)</f>
        <v>0</v>
      </c>
    </row>
    <row r="77" spans="1:21" ht="36.6" hidden="1" thickBot="1" x14ac:dyDescent="0.55000000000000004">
      <c r="A77" s="10" t="s">
        <v>403</v>
      </c>
      <c r="B77" s="10"/>
      <c r="C77" s="47" t="s">
        <v>404</v>
      </c>
      <c r="D77" s="12"/>
      <c r="E77" s="12"/>
      <c r="F77" s="29" t="s">
        <v>364</v>
      </c>
      <c r="G77" s="30">
        <v>1.6</v>
      </c>
      <c r="H77" s="49"/>
      <c r="I77" s="93">
        <v>0</v>
      </c>
      <c r="J77" s="139"/>
      <c r="K77" s="148"/>
      <c r="L77" s="89"/>
      <c r="M77" s="106"/>
      <c r="N77" s="164"/>
      <c r="O77" s="164"/>
      <c r="P77" s="88">
        <v>9.5500000000000007</v>
      </c>
      <c r="Q77" s="84"/>
      <c r="R77" s="85"/>
      <c r="S77" s="79">
        <f>ROUND(ROUND(P77, 2)*I77, 2)</f>
        <v>0</v>
      </c>
    </row>
    <row r="78" spans="1:21" ht="16.95" hidden="1" customHeight="1" x14ac:dyDescent="0.5">
      <c r="A78" s="10" t="s">
        <v>410</v>
      </c>
      <c r="B78" s="10" t="s">
        <v>411</v>
      </c>
      <c r="C78" s="237" t="s">
        <v>412</v>
      </c>
      <c r="D78" s="238"/>
      <c r="E78" s="238"/>
      <c r="F78" s="238"/>
      <c r="G78" s="238"/>
      <c r="H78" s="238"/>
      <c r="I78" s="238"/>
      <c r="J78" s="134"/>
      <c r="K78" s="148"/>
      <c r="L78" s="89"/>
      <c r="M78" s="104"/>
      <c r="N78" s="160"/>
      <c r="O78" s="161"/>
      <c r="P78" s="83"/>
      <c r="Q78" s="84"/>
      <c r="R78" s="85"/>
      <c r="S78" s="77">
        <f>SUM(S79,S81,S83,S85,S87,S89,S91,S93,S95,S97,S99)</f>
        <v>0</v>
      </c>
      <c r="T78" s="6">
        <f>SUM(T79,T81,T83,T85,T87,T89,T91,T93,T95,T97,T99)</f>
        <v>0</v>
      </c>
      <c r="U78" s="6">
        <f>SUM(U79,U81,U83,U85,U87,U89,U91,U93,U95,U97,U99)</f>
        <v>0</v>
      </c>
    </row>
    <row r="79" spans="1:21" ht="54.6" hidden="1" thickBot="1" x14ac:dyDescent="0.35">
      <c r="A79" s="10" t="s">
        <v>413</v>
      </c>
      <c r="B79" s="10" t="s">
        <v>414</v>
      </c>
      <c r="C79" s="11" t="s">
        <v>415</v>
      </c>
      <c r="D79" s="12"/>
      <c r="E79" s="12" t="s">
        <v>416</v>
      </c>
      <c r="F79" s="12" t="s">
        <v>61</v>
      </c>
      <c r="G79" s="13">
        <v>1</v>
      </c>
      <c r="H79" s="13"/>
      <c r="I79" s="91">
        <v>0</v>
      </c>
      <c r="J79" s="138"/>
      <c r="K79" s="149"/>
      <c r="L79" s="119"/>
      <c r="M79" s="105"/>
      <c r="N79" s="162"/>
      <c r="O79" s="163"/>
      <c r="P79" s="86">
        <v>997.82</v>
      </c>
      <c r="Q79" s="74">
        <v>162</v>
      </c>
      <c r="R79" s="87">
        <f>P79+ROUND(Q79, 2)</f>
        <v>1159.8200000000002</v>
      </c>
      <c r="S79" s="78">
        <v>0</v>
      </c>
      <c r="T79" s="14">
        <v>0</v>
      </c>
      <c r="U79" s="14">
        <f>S79+T79</f>
        <v>0</v>
      </c>
    </row>
    <row r="80" spans="1:21" ht="36.6" hidden="1" thickBot="1" x14ac:dyDescent="0.55000000000000004">
      <c r="A80" s="10" t="s">
        <v>420</v>
      </c>
      <c r="B80" s="10"/>
      <c r="C80" s="28" t="s">
        <v>421</v>
      </c>
      <c r="D80" s="12"/>
      <c r="E80" s="12"/>
      <c r="F80" s="29" t="s">
        <v>364</v>
      </c>
      <c r="G80" s="30">
        <v>1</v>
      </c>
      <c r="H80" s="30"/>
      <c r="I80" s="92">
        <v>0</v>
      </c>
      <c r="J80" s="139"/>
      <c r="K80" s="148"/>
      <c r="L80" s="89"/>
      <c r="M80" s="106"/>
      <c r="N80" s="164"/>
      <c r="O80" s="164"/>
      <c r="P80" s="88">
        <v>997.82</v>
      </c>
      <c r="Q80" s="84"/>
      <c r="R80" s="85"/>
      <c r="S80" s="79">
        <f>ROUND(ROUND(P80, 2)*I80, 2)</f>
        <v>0</v>
      </c>
    </row>
    <row r="81" spans="1:21" ht="54.6" hidden="1" thickBot="1" x14ac:dyDescent="0.35">
      <c r="A81" s="10" t="s">
        <v>427</v>
      </c>
      <c r="B81" s="10" t="s">
        <v>428</v>
      </c>
      <c r="C81" s="11" t="s">
        <v>429</v>
      </c>
      <c r="D81" s="12"/>
      <c r="E81" s="12" t="s">
        <v>430</v>
      </c>
      <c r="F81" s="12" t="s">
        <v>61</v>
      </c>
      <c r="G81" s="13">
        <v>1</v>
      </c>
      <c r="H81" s="13"/>
      <c r="I81" s="91">
        <v>0</v>
      </c>
      <c r="J81" s="138"/>
      <c r="K81" s="149"/>
      <c r="L81" s="119"/>
      <c r="M81" s="105"/>
      <c r="N81" s="162"/>
      <c r="O81" s="163"/>
      <c r="P81" s="86">
        <v>420.76</v>
      </c>
      <c r="Q81" s="74">
        <v>324</v>
      </c>
      <c r="R81" s="87">
        <f>P81+ROUND(Q81, 2)</f>
        <v>744.76</v>
      </c>
      <c r="S81" s="78">
        <v>0</v>
      </c>
      <c r="T81" s="14">
        <v>0</v>
      </c>
      <c r="U81" s="14">
        <f>S81+T81</f>
        <v>0</v>
      </c>
    </row>
    <row r="82" spans="1:21" ht="23.55" hidden="1" customHeight="1" x14ac:dyDescent="0.5">
      <c r="A82" s="10" t="s">
        <v>434</v>
      </c>
      <c r="B82" s="10"/>
      <c r="C82" s="28" t="s">
        <v>435</v>
      </c>
      <c r="D82" s="12"/>
      <c r="E82" s="12"/>
      <c r="F82" s="29" t="s">
        <v>364</v>
      </c>
      <c r="G82" s="30">
        <v>4.3</v>
      </c>
      <c r="H82" s="30"/>
      <c r="I82" s="92">
        <v>0</v>
      </c>
      <c r="J82" s="139"/>
      <c r="K82" s="148"/>
      <c r="L82" s="89"/>
      <c r="M82" s="106"/>
      <c r="N82" s="164"/>
      <c r="O82" s="164"/>
      <c r="P82" s="88">
        <v>97.85</v>
      </c>
      <c r="Q82" s="84"/>
      <c r="R82" s="85"/>
      <c r="S82" s="79">
        <f>ROUND(ROUND(P82, 2)*I82, 2)</f>
        <v>0</v>
      </c>
    </row>
    <row r="83" spans="1:21" ht="36.6" hidden="1" thickBot="1" x14ac:dyDescent="0.35">
      <c r="A83" s="10" t="s">
        <v>441</v>
      </c>
      <c r="B83" s="10" t="s">
        <v>442</v>
      </c>
      <c r="C83" s="11" t="s">
        <v>443</v>
      </c>
      <c r="D83" s="12"/>
      <c r="E83" s="12" t="s">
        <v>444</v>
      </c>
      <c r="F83" s="12" t="s">
        <v>61</v>
      </c>
      <c r="G83" s="13">
        <v>1</v>
      </c>
      <c r="H83" s="13"/>
      <c r="I83" s="91">
        <v>0</v>
      </c>
      <c r="J83" s="138"/>
      <c r="K83" s="149"/>
      <c r="L83" s="119"/>
      <c r="M83" s="105"/>
      <c r="N83" s="162"/>
      <c r="O83" s="163"/>
      <c r="P83" s="86">
        <v>291.5</v>
      </c>
      <c r="Q83" s="74">
        <v>580</v>
      </c>
      <c r="R83" s="87">
        <f>P83+ROUND(Q83, 2)</f>
        <v>871.5</v>
      </c>
      <c r="S83" s="78">
        <v>0</v>
      </c>
      <c r="T83" s="14">
        <v>0</v>
      </c>
      <c r="U83" s="14">
        <f>S83+T83</f>
        <v>0</v>
      </c>
    </row>
    <row r="84" spans="1:21" ht="26.4" hidden="1" thickBot="1" x14ac:dyDescent="0.55000000000000004">
      <c r="A84" s="10" t="s">
        <v>448</v>
      </c>
      <c r="B84" s="10"/>
      <c r="C84" s="47" t="s">
        <v>449</v>
      </c>
      <c r="D84" s="12"/>
      <c r="E84" s="12"/>
      <c r="F84" s="29" t="s">
        <v>61</v>
      </c>
      <c r="G84" s="30">
        <v>1.1000000000000001</v>
      </c>
      <c r="H84" s="49"/>
      <c r="I84" s="93">
        <v>0</v>
      </c>
      <c r="J84" s="139"/>
      <c r="K84" s="148"/>
      <c r="L84" s="89"/>
      <c r="M84" s="106"/>
      <c r="N84" s="164"/>
      <c r="O84" s="164"/>
      <c r="P84" s="88">
        <v>265</v>
      </c>
      <c r="Q84" s="84"/>
      <c r="R84" s="85"/>
      <c r="S84" s="79">
        <f>ROUND(ROUND(P84, 2)*I84, 2)</f>
        <v>0</v>
      </c>
    </row>
    <row r="85" spans="1:21" ht="36.6" hidden="1" thickBot="1" x14ac:dyDescent="0.35">
      <c r="A85" s="10" t="s">
        <v>455</v>
      </c>
      <c r="B85" s="10" t="s">
        <v>456</v>
      </c>
      <c r="C85" s="11" t="s">
        <v>457</v>
      </c>
      <c r="D85" s="12"/>
      <c r="E85" s="12" t="s">
        <v>458</v>
      </c>
      <c r="F85" s="12" t="s">
        <v>61</v>
      </c>
      <c r="G85" s="13">
        <v>1</v>
      </c>
      <c r="H85" s="13"/>
      <c r="I85" s="91">
        <v>0</v>
      </c>
      <c r="J85" s="138"/>
      <c r="K85" s="149"/>
      <c r="L85" s="119"/>
      <c r="M85" s="105"/>
      <c r="N85" s="162"/>
      <c r="O85" s="163"/>
      <c r="P85" s="86">
        <v>681.45</v>
      </c>
      <c r="Q85" s="74">
        <v>868</v>
      </c>
      <c r="R85" s="87">
        <f>P85+ROUND(Q85, 2)</f>
        <v>1549.45</v>
      </c>
      <c r="S85" s="78">
        <v>0</v>
      </c>
      <c r="T85" s="14">
        <v>0</v>
      </c>
      <c r="U85" s="14">
        <f>S85+T85</f>
        <v>0</v>
      </c>
    </row>
    <row r="86" spans="1:21" ht="26.4" hidden="1" thickBot="1" x14ac:dyDescent="0.55000000000000004">
      <c r="A86" s="10" t="s">
        <v>462</v>
      </c>
      <c r="B86" s="10"/>
      <c r="C86" s="47" t="s">
        <v>463</v>
      </c>
      <c r="D86" s="12"/>
      <c r="E86" s="12" t="s">
        <v>464</v>
      </c>
      <c r="F86" s="29" t="s">
        <v>61</v>
      </c>
      <c r="G86" s="30">
        <v>2.1</v>
      </c>
      <c r="H86" s="49"/>
      <c r="I86" s="93">
        <v>0</v>
      </c>
      <c r="J86" s="139"/>
      <c r="K86" s="148"/>
      <c r="L86" s="89"/>
      <c r="M86" s="106"/>
      <c r="N86" s="164"/>
      <c r="O86" s="164"/>
      <c r="P86" s="88">
        <v>324.5</v>
      </c>
      <c r="Q86" s="84"/>
      <c r="R86" s="85"/>
      <c r="S86" s="79">
        <f>ROUND(ROUND(P86, 2)*I86, 2)</f>
        <v>0</v>
      </c>
    </row>
    <row r="87" spans="1:21" ht="25.2" hidden="1" thickBot="1" x14ac:dyDescent="0.35">
      <c r="A87" s="10" t="s">
        <v>470</v>
      </c>
      <c r="B87" s="10" t="s">
        <v>471</v>
      </c>
      <c r="C87" s="11" t="s">
        <v>472</v>
      </c>
      <c r="D87" s="12"/>
      <c r="E87" s="12" t="s">
        <v>473</v>
      </c>
      <c r="F87" s="12" t="s">
        <v>91</v>
      </c>
      <c r="G87" s="13">
        <v>1</v>
      </c>
      <c r="H87" s="13"/>
      <c r="I87" s="91">
        <v>0</v>
      </c>
      <c r="J87" s="138"/>
      <c r="K87" s="149"/>
      <c r="L87" s="119"/>
      <c r="M87" s="105"/>
      <c r="N87" s="162"/>
      <c r="O87" s="163"/>
      <c r="P87" s="86">
        <v>2600.9299999999998</v>
      </c>
      <c r="Q87" s="74">
        <v>2157</v>
      </c>
      <c r="R87" s="87">
        <f>P87+ROUND(Q87, 2)</f>
        <v>4757.93</v>
      </c>
      <c r="S87" s="78">
        <v>0</v>
      </c>
      <c r="T87" s="14">
        <v>0</v>
      </c>
      <c r="U87" s="14">
        <f>S87+T87</f>
        <v>0</v>
      </c>
    </row>
    <row r="88" spans="1:21" ht="26.4" hidden="1" thickBot="1" x14ac:dyDescent="0.55000000000000004">
      <c r="A88" s="10" t="s">
        <v>477</v>
      </c>
      <c r="B88" s="10"/>
      <c r="C88" s="28" t="s">
        <v>478</v>
      </c>
      <c r="D88" s="12"/>
      <c r="E88" s="12"/>
      <c r="F88" s="29" t="s">
        <v>91</v>
      </c>
      <c r="G88" s="30">
        <v>1.02</v>
      </c>
      <c r="H88" s="30"/>
      <c r="I88" s="92">
        <v>0</v>
      </c>
      <c r="J88" s="139"/>
      <c r="K88" s="148"/>
      <c r="L88" s="89"/>
      <c r="M88" s="106"/>
      <c r="N88" s="164"/>
      <c r="O88" s="164"/>
      <c r="P88" s="88">
        <v>2550</v>
      </c>
      <c r="Q88" s="84"/>
      <c r="R88" s="85"/>
      <c r="S88" s="79">
        <f>ROUND(ROUND(P88, 2)*I88, 2)</f>
        <v>0</v>
      </c>
    </row>
    <row r="89" spans="1:21" ht="36.6" hidden="1" thickBot="1" x14ac:dyDescent="0.35">
      <c r="A89" s="10" t="s">
        <v>484</v>
      </c>
      <c r="B89" s="10" t="s">
        <v>471</v>
      </c>
      <c r="C89" s="11" t="s">
        <v>472</v>
      </c>
      <c r="D89" s="12"/>
      <c r="E89" s="12" t="s">
        <v>485</v>
      </c>
      <c r="F89" s="12" t="s">
        <v>91</v>
      </c>
      <c r="G89" s="13">
        <v>1</v>
      </c>
      <c r="H89" s="13"/>
      <c r="I89" s="91">
        <v>0</v>
      </c>
      <c r="J89" s="138"/>
      <c r="K89" s="149"/>
      <c r="L89" s="119"/>
      <c r="M89" s="105"/>
      <c r="N89" s="162"/>
      <c r="O89" s="163"/>
      <c r="P89" s="86">
        <v>2601</v>
      </c>
      <c r="Q89" s="74">
        <v>2157</v>
      </c>
      <c r="R89" s="87">
        <f>P89+ROUND(Q89, 2)</f>
        <v>4758</v>
      </c>
      <c r="S89" s="78">
        <v>0</v>
      </c>
      <c r="T89" s="14">
        <v>0</v>
      </c>
      <c r="U89" s="14">
        <f>S89+T89</f>
        <v>0</v>
      </c>
    </row>
    <row r="90" spans="1:21" ht="26.4" hidden="1" thickBot="1" x14ac:dyDescent="0.55000000000000004">
      <c r="A90" s="10" t="s">
        <v>487</v>
      </c>
      <c r="B90" s="10"/>
      <c r="C90" s="28" t="s">
        <v>478</v>
      </c>
      <c r="D90" s="12"/>
      <c r="E90" s="12"/>
      <c r="F90" s="29" t="s">
        <v>91</v>
      </c>
      <c r="G90" s="30">
        <v>1.02</v>
      </c>
      <c r="H90" s="30"/>
      <c r="I90" s="92">
        <v>0</v>
      </c>
      <c r="J90" s="139"/>
      <c r="K90" s="148"/>
      <c r="L90" s="89"/>
      <c r="M90" s="106"/>
      <c r="N90" s="164"/>
      <c r="O90" s="164"/>
      <c r="P90" s="88">
        <v>2550</v>
      </c>
      <c r="Q90" s="84"/>
      <c r="R90" s="85"/>
      <c r="S90" s="79">
        <f>ROUND(ROUND(P90, 2)*I90, 2)</f>
        <v>0</v>
      </c>
    </row>
    <row r="91" spans="1:21" ht="36.6" hidden="1" thickBot="1" x14ac:dyDescent="0.35">
      <c r="A91" s="10" t="s">
        <v>492</v>
      </c>
      <c r="B91" s="10" t="s">
        <v>471</v>
      </c>
      <c r="C91" s="11" t="s">
        <v>472</v>
      </c>
      <c r="D91" s="12"/>
      <c r="E91" s="12" t="s">
        <v>493</v>
      </c>
      <c r="F91" s="12" t="s">
        <v>91</v>
      </c>
      <c r="G91" s="13">
        <v>1</v>
      </c>
      <c r="H91" s="13"/>
      <c r="I91" s="91">
        <v>0</v>
      </c>
      <c r="J91" s="138"/>
      <c r="K91" s="149"/>
      <c r="L91" s="119"/>
      <c r="M91" s="105"/>
      <c r="N91" s="162"/>
      <c r="O91" s="163"/>
      <c r="P91" s="86">
        <v>2601.0100000000002</v>
      </c>
      <c r="Q91" s="74">
        <v>2157</v>
      </c>
      <c r="R91" s="87">
        <f>P91+ROUND(Q91, 2)</f>
        <v>4758.01</v>
      </c>
      <c r="S91" s="78">
        <v>0</v>
      </c>
      <c r="T91" s="14">
        <v>0</v>
      </c>
      <c r="U91" s="14">
        <f>S91+T91</f>
        <v>0</v>
      </c>
    </row>
    <row r="92" spans="1:21" ht="26.4" hidden="1" thickBot="1" x14ac:dyDescent="0.55000000000000004">
      <c r="A92" s="10" t="s">
        <v>495</v>
      </c>
      <c r="B92" s="10"/>
      <c r="C92" s="28" t="s">
        <v>478</v>
      </c>
      <c r="D92" s="12"/>
      <c r="E92" s="12"/>
      <c r="F92" s="29" t="s">
        <v>91</v>
      </c>
      <c r="G92" s="30">
        <v>1.02</v>
      </c>
      <c r="H92" s="30"/>
      <c r="I92" s="92">
        <v>0</v>
      </c>
      <c r="J92" s="139"/>
      <c r="K92" s="148"/>
      <c r="L92" s="89"/>
      <c r="M92" s="106"/>
      <c r="N92" s="164"/>
      <c r="O92" s="164"/>
      <c r="P92" s="88">
        <v>2550</v>
      </c>
      <c r="Q92" s="84"/>
      <c r="R92" s="85"/>
      <c r="S92" s="79">
        <f>ROUND(ROUND(P92, 2)*I92, 2)</f>
        <v>0</v>
      </c>
    </row>
    <row r="93" spans="1:21" ht="28.05" hidden="1" customHeight="1" x14ac:dyDescent="0.3">
      <c r="A93" s="10" t="s">
        <v>500</v>
      </c>
      <c r="B93" s="10" t="s">
        <v>471</v>
      </c>
      <c r="C93" s="11" t="s">
        <v>472</v>
      </c>
      <c r="D93" s="12"/>
      <c r="E93" s="12" t="s">
        <v>501</v>
      </c>
      <c r="F93" s="12" t="s">
        <v>91</v>
      </c>
      <c r="G93" s="13">
        <v>1</v>
      </c>
      <c r="H93" s="13"/>
      <c r="I93" s="91">
        <v>0</v>
      </c>
      <c r="J93" s="138"/>
      <c r="K93" s="149"/>
      <c r="L93" s="119"/>
      <c r="M93" s="105"/>
      <c r="N93" s="162"/>
      <c r="O93" s="163"/>
      <c r="P93" s="86">
        <v>2600.81</v>
      </c>
      <c r="Q93" s="74">
        <v>2157</v>
      </c>
      <c r="R93" s="87">
        <f>P93+ROUND(Q93, 2)</f>
        <v>4757.8099999999995</v>
      </c>
      <c r="S93" s="78">
        <v>0</v>
      </c>
      <c r="T93" s="14">
        <v>0</v>
      </c>
      <c r="U93" s="14">
        <f>S93+T93</f>
        <v>0</v>
      </c>
    </row>
    <row r="94" spans="1:21" ht="26.4" hidden="1" thickBot="1" x14ac:dyDescent="0.55000000000000004">
      <c r="A94" s="10" t="s">
        <v>503</v>
      </c>
      <c r="B94" s="10"/>
      <c r="C94" s="28" t="s">
        <v>478</v>
      </c>
      <c r="D94" s="12"/>
      <c r="E94" s="12"/>
      <c r="F94" s="29" t="s">
        <v>91</v>
      </c>
      <c r="G94" s="30">
        <v>1.02</v>
      </c>
      <c r="H94" s="30"/>
      <c r="I94" s="92">
        <v>0</v>
      </c>
      <c r="J94" s="139"/>
      <c r="K94" s="148"/>
      <c r="L94" s="89"/>
      <c r="M94" s="106"/>
      <c r="N94" s="164"/>
      <c r="O94" s="164"/>
      <c r="P94" s="88">
        <v>2550</v>
      </c>
      <c r="Q94" s="84"/>
      <c r="R94" s="85"/>
      <c r="S94" s="79">
        <f>ROUND(ROUND(P94, 2)*I94, 2)</f>
        <v>0</v>
      </c>
    </row>
    <row r="95" spans="1:21" ht="36.6" hidden="1" thickBot="1" x14ac:dyDescent="0.35">
      <c r="A95" s="10" t="s">
        <v>508</v>
      </c>
      <c r="B95" s="10" t="s">
        <v>471</v>
      </c>
      <c r="C95" s="11" t="s">
        <v>472</v>
      </c>
      <c r="D95" s="12"/>
      <c r="E95" s="12" t="s">
        <v>509</v>
      </c>
      <c r="F95" s="12" t="s">
        <v>91</v>
      </c>
      <c r="G95" s="13">
        <v>1</v>
      </c>
      <c r="H95" s="13"/>
      <c r="I95" s="91">
        <v>0</v>
      </c>
      <c r="J95" s="138"/>
      <c r="K95" s="149"/>
      <c r="L95" s="119"/>
      <c r="M95" s="105"/>
      <c r="N95" s="162"/>
      <c r="O95" s="163"/>
      <c r="P95" s="86">
        <v>2600.9899999999998</v>
      </c>
      <c r="Q95" s="74">
        <v>2157</v>
      </c>
      <c r="R95" s="87">
        <f>P95+ROUND(Q95, 2)</f>
        <v>4757.99</v>
      </c>
      <c r="S95" s="78">
        <v>0</v>
      </c>
      <c r="T95" s="14">
        <v>0</v>
      </c>
      <c r="U95" s="14">
        <f>S95+T95</f>
        <v>0</v>
      </c>
    </row>
    <row r="96" spans="1:21" ht="26.4" hidden="1" thickBot="1" x14ac:dyDescent="0.55000000000000004">
      <c r="A96" s="10" t="s">
        <v>511</v>
      </c>
      <c r="B96" s="10"/>
      <c r="C96" s="28" t="s">
        <v>478</v>
      </c>
      <c r="D96" s="12"/>
      <c r="E96" s="12"/>
      <c r="F96" s="29" t="s">
        <v>91</v>
      </c>
      <c r="G96" s="30">
        <v>1.02</v>
      </c>
      <c r="H96" s="30"/>
      <c r="I96" s="92">
        <v>0</v>
      </c>
      <c r="J96" s="139"/>
      <c r="K96" s="148"/>
      <c r="L96" s="89"/>
      <c r="M96" s="106"/>
      <c r="N96" s="164"/>
      <c r="O96" s="164"/>
      <c r="P96" s="88">
        <v>2550</v>
      </c>
      <c r="Q96" s="84"/>
      <c r="R96" s="85"/>
      <c r="S96" s="79">
        <f>ROUND(ROUND(P96, 2)*I96, 2)</f>
        <v>0</v>
      </c>
    </row>
    <row r="97" spans="1:21" ht="36.6" hidden="1" thickBot="1" x14ac:dyDescent="0.35">
      <c r="A97" s="10" t="s">
        <v>516</v>
      </c>
      <c r="B97" s="10" t="s">
        <v>471</v>
      </c>
      <c r="C97" s="11" t="s">
        <v>472</v>
      </c>
      <c r="D97" s="12"/>
      <c r="E97" s="12" t="s">
        <v>517</v>
      </c>
      <c r="F97" s="12" t="s">
        <v>91</v>
      </c>
      <c r="G97" s="13">
        <v>1</v>
      </c>
      <c r="H97" s="13"/>
      <c r="I97" s="91">
        <v>0</v>
      </c>
      <c r="J97" s="138"/>
      <c r="K97" s="149"/>
      <c r="L97" s="119"/>
      <c r="M97" s="105"/>
      <c r="N97" s="162"/>
      <c r="O97" s="163"/>
      <c r="P97" s="86">
        <v>2600.84</v>
      </c>
      <c r="Q97" s="74">
        <v>2157</v>
      </c>
      <c r="R97" s="87">
        <f>P97+ROUND(Q97, 2)</f>
        <v>4757.84</v>
      </c>
      <c r="S97" s="78">
        <v>0</v>
      </c>
      <c r="T97" s="14">
        <v>0</v>
      </c>
      <c r="U97" s="14">
        <f>S97+T97</f>
        <v>0</v>
      </c>
    </row>
    <row r="98" spans="1:21" ht="26.4" hidden="1" thickBot="1" x14ac:dyDescent="0.55000000000000004">
      <c r="A98" s="10" t="s">
        <v>519</v>
      </c>
      <c r="B98" s="10"/>
      <c r="C98" s="28" t="s">
        <v>478</v>
      </c>
      <c r="D98" s="12"/>
      <c r="E98" s="12"/>
      <c r="F98" s="29" t="s">
        <v>91</v>
      </c>
      <c r="G98" s="30">
        <v>1.02</v>
      </c>
      <c r="H98" s="30"/>
      <c r="I98" s="92">
        <v>0</v>
      </c>
      <c r="J98" s="139"/>
      <c r="K98" s="148"/>
      <c r="L98" s="89"/>
      <c r="M98" s="106"/>
      <c r="N98" s="164"/>
      <c r="O98" s="164"/>
      <c r="P98" s="88">
        <v>2550</v>
      </c>
      <c r="Q98" s="84"/>
      <c r="R98" s="85"/>
      <c r="S98" s="79">
        <f>ROUND(ROUND(P98, 2)*I98, 2)</f>
        <v>0</v>
      </c>
    </row>
    <row r="99" spans="1:21" ht="25.2" hidden="1" thickBot="1" x14ac:dyDescent="0.35">
      <c r="A99" s="10" t="s">
        <v>524</v>
      </c>
      <c r="B99" s="10" t="s">
        <v>525</v>
      </c>
      <c r="C99" s="11" t="s">
        <v>526</v>
      </c>
      <c r="D99" s="12"/>
      <c r="E99" s="12"/>
      <c r="F99" s="12" t="s">
        <v>91</v>
      </c>
      <c r="G99" s="13">
        <v>1</v>
      </c>
      <c r="H99" s="13"/>
      <c r="I99" s="91">
        <v>0</v>
      </c>
      <c r="J99" s="138"/>
      <c r="K99" s="149"/>
      <c r="L99" s="119"/>
      <c r="M99" s="105"/>
      <c r="N99" s="162"/>
      <c r="O99" s="163"/>
      <c r="P99" s="86">
        <v>1687.5</v>
      </c>
      <c r="Q99" s="74">
        <v>915</v>
      </c>
      <c r="R99" s="87">
        <f>P99+ROUND(Q99, 2)</f>
        <v>2602.5</v>
      </c>
      <c r="S99" s="78">
        <v>0</v>
      </c>
      <c r="T99" s="14">
        <v>0</v>
      </c>
      <c r="U99" s="14">
        <f>S99+T99</f>
        <v>0</v>
      </c>
    </row>
    <row r="100" spans="1:21" ht="26.4" hidden="1" thickBot="1" x14ac:dyDescent="0.55000000000000004">
      <c r="A100" s="10" t="s">
        <v>530</v>
      </c>
      <c r="B100" s="10"/>
      <c r="C100" s="28" t="s">
        <v>531</v>
      </c>
      <c r="D100" s="12"/>
      <c r="E100" s="12"/>
      <c r="F100" s="29" t="s">
        <v>364</v>
      </c>
      <c r="G100" s="30">
        <v>225</v>
      </c>
      <c r="H100" s="30"/>
      <c r="I100" s="92">
        <v>0</v>
      </c>
      <c r="J100" s="139"/>
      <c r="K100" s="148"/>
      <c r="L100" s="89"/>
      <c r="M100" s="106"/>
      <c r="N100" s="164"/>
      <c r="O100" s="164"/>
      <c r="P100" s="88">
        <v>7.5</v>
      </c>
      <c r="Q100" s="84"/>
      <c r="R100" s="85"/>
      <c r="S100" s="79">
        <f>ROUND(ROUND(P100, 2)*I100, 2)</f>
        <v>0</v>
      </c>
    </row>
    <row r="101" spans="1:21" ht="16.95" hidden="1" customHeight="1" x14ac:dyDescent="0.5">
      <c r="A101" s="10" t="s">
        <v>537</v>
      </c>
      <c r="B101" s="10" t="s">
        <v>538</v>
      </c>
      <c r="C101" s="237" t="s">
        <v>539</v>
      </c>
      <c r="D101" s="238"/>
      <c r="E101" s="238"/>
      <c r="F101" s="238"/>
      <c r="G101" s="238"/>
      <c r="H101" s="238"/>
      <c r="I101" s="238"/>
      <c r="J101" s="134"/>
      <c r="K101" s="148"/>
      <c r="L101" s="89"/>
      <c r="M101" s="104"/>
      <c r="N101" s="160"/>
      <c r="O101" s="161"/>
      <c r="P101" s="83"/>
      <c r="Q101" s="84"/>
      <c r="R101" s="85"/>
      <c r="S101" s="77">
        <f>SUM(S102,S107,S111,S114,S119,S124,S129,S134,S139,S144,S149)</f>
        <v>0</v>
      </c>
      <c r="T101" s="6">
        <f>SUM(T102,T107,T111,T114,T119,T124,T129,T134,T139,T144,T149)</f>
        <v>0</v>
      </c>
      <c r="U101" s="6">
        <f>SUM(U102,U107,U111,U114,U119,U124,U129,U134,U139,U144,U149)</f>
        <v>0</v>
      </c>
    </row>
    <row r="102" spans="1:21" ht="25.2" hidden="1" thickBot="1" x14ac:dyDescent="0.35">
      <c r="A102" s="10" t="s">
        <v>540</v>
      </c>
      <c r="B102" s="10" t="s">
        <v>541</v>
      </c>
      <c r="C102" s="11" t="s">
        <v>542</v>
      </c>
      <c r="D102" s="12" t="s">
        <v>543</v>
      </c>
      <c r="E102" s="12" t="s">
        <v>544</v>
      </c>
      <c r="F102" s="12" t="s">
        <v>61</v>
      </c>
      <c r="G102" s="13">
        <v>1</v>
      </c>
      <c r="H102" s="13"/>
      <c r="I102" s="91">
        <v>0</v>
      </c>
      <c r="J102" s="138"/>
      <c r="K102" s="149"/>
      <c r="L102" s="119"/>
      <c r="M102" s="105"/>
      <c r="N102" s="162"/>
      <c r="O102" s="163"/>
      <c r="P102" s="86">
        <v>5416.76</v>
      </c>
      <c r="Q102" s="74">
        <v>556</v>
      </c>
      <c r="R102" s="87">
        <f>P102+ROUND(Q102, 2)</f>
        <v>5972.76</v>
      </c>
      <c r="S102" s="78">
        <v>0</v>
      </c>
      <c r="T102" s="14">
        <v>0</v>
      </c>
      <c r="U102" s="14">
        <f>S102+T102</f>
        <v>0</v>
      </c>
    </row>
    <row r="103" spans="1:21" ht="26.4" hidden="1" thickBot="1" x14ac:dyDescent="0.55000000000000004">
      <c r="A103" s="10" t="s">
        <v>548</v>
      </c>
      <c r="B103" s="10"/>
      <c r="C103" s="28" t="s">
        <v>549</v>
      </c>
      <c r="D103" s="12"/>
      <c r="E103" s="12" t="s">
        <v>550</v>
      </c>
      <c r="F103" s="29" t="s">
        <v>364</v>
      </c>
      <c r="G103" s="30">
        <v>0.3</v>
      </c>
      <c r="H103" s="30"/>
      <c r="I103" s="92">
        <v>0</v>
      </c>
      <c r="J103" s="139"/>
      <c r="K103" s="148"/>
      <c r="L103" s="89"/>
      <c r="M103" s="106"/>
      <c r="N103" s="164"/>
      <c r="O103" s="164"/>
      <c r="P103" s="88">
        <v>545</v>
      </c>
      <c r="Q103" s="84"/>
      <c r="R103" s="85"/>
      <c r="S103" s="79">
        <f>ROUND(ROUND(P103, 2)*I103, 2)</f>
        <v>0</v>
      </c>
    </row>
    <row r="104" spans="1:21" ht="1.5" hidden="1" customHeight="1" x14ac:dyDescent="0.5">
      <c r="A104" s="10" t="s">
        <v>556</v>
      </c>
      <c r="B104" s="10"/>
      <c r="C104" s="28" t="s">
        <v>557</v>
      </c>
      <c r="D104" s="12"/>
      <c r="E104" s="12"/>
      <c r="F104" s="29" t="s">
        <v>364</v>
      </c>
      <c r="G104" s="30">
        <v>0.15</v>
      </c>
      <c r="H104" s="30"/>
      <c r="I104" s="92">
        <v>0</v>
      </c>
      <c r="J104" s="139"/>
      <c r="K104" s="148"/>
      <c r="L104" s="89"/>
      <c r="M104" s="106"/>
      <c r="N104" s="164"/>
      <c r="O104" s="164"/>
      <c r="P104" s="88">
        <v>68.400000000000006</v>
      </c>
      <c r="Q104" s="84"/>
      <c r="R104" s="85"/>
      <c r="S104" s="79">
        <f>ROUND(ROUND(P104, 2)*I104, 2)</f>
        <v>0</v>
      </c>
    </row>
    <row r="105" spans="1:21" ht="54.6" hidden="1" thickBot="1" x14ac:dyDescent="0.55000000000000004">
      <c r="A105" s="10" t="s">
        <v>563</v>
      </c>
      <c r="B105" s="10"/>
      <c r="C105" s="47" t="s">
        <v>564</v>
      </c>
      <c r="D105" s="12"/>
      <c r="E105" s="12"/>
      <c r="F105" s="29" t="s">
        <v>76</v>
      </c>
      <c r="G105" s="30">
        <v>1</v>
      </c>
      <c r="H105" s="49"/>
      <c r="I105" s="93">
        <v>0</v>
      </c>
      <c r="J105" s="139"/>
      <c r="K105" s="148"/>
      <c r="L105" s="89"/>
      <c r="M105" s="106"/>
      <c r="N105" s="164"/>
      <c r="O105" s="164"/>
      <c r="P105" s="88">
        <v>51</v>
      </c>
      <c r="Q105" s="84"/>
      <c r="R105" s="85"/>
      <c r="S105" s="79">
        <f>ROUND(ROUND(P105, 2)*I105, 2)</f>
        <v>0</v>
      </c>
    </row>
    <row r="106" spans="1:21" ht="36.6" hidden="1" thickBot="1" x14ac:dyDescent="0.55000000000000004">
      <c r="A106" s="10" t="s">
        <v>570</v>
      </c>
      <c r="B106" s="10"/>
      <c r="C106" s="28" t="s">
        <v>571</v>
      </c>
      <c r="D106" s="12"/>
      <c r="E106" s="12" t="s">
        <v>572</v>
      </c>
      <c r="F106" s="29" t="s">
        <v>61</v>
      </c>
      <c r="G106" s="30">
        <v>1.1000000000000001</v>
      </c>
      <c r="H106" s="49"/>
      <c r="I106" s="93">
        <v>0</v>
      </c>
      <c r="J106" s="139"/>
      <c r="K106" s="148"/>
      <c r="L106" s="89"/>
      <c r="M106" s="106"/>
      <c r="N106" s="164"/>
      <c r="O106" s="164"/>
      <c r="P106" s="88">
        <v>4720</v>
      </c>
      <c r="Q106" s="84"/>
      <c r="R106" s="85"/>
      <c r="S106" s="79">
        <f>ROUND(ROUND(P106, 2)*I106, 2)</f>
        <v>0</v>
      </c>
    </row>
    <row r="107" spans="1:21" ht="25.2" hidden="1" thickBot="1" x14ac:dyDescent="0.35">
      <c r="A107" s="10" t="s">
        <v>578</v>
      </c>
      <c r="B107" s="10" t="s">
        <v>541</v>
      </c>
      <c r="C107" s="11" t="s">
        <v>542</v>
      </c>
      <c r="D107" s="12" t="s">
        <v>543</v>
      </c>
      <c r="E107" s="12" t="s">
        <v>579</v>
      </c>
      <c r="F107" s="12" t="s">
        <v>61</v>
      </c>
      <c r="G107" s="13">
        <v>1</v>
      </c>
      <c r="H107" s="13"/>
      <c r="I107" s="91">
        <v>0</v>
      </c>
      <c r="J107" s="138"/>
      <c r="K107" s="149"/>
      <c r="L107" s="119"/>
      <c r="M107" s="105"/>
      <c r="N107" s="162"/>
      <c r="O107" s="163"/>
      <c r="P107" s="86">
        <v>5406.5</v>
      </c>
      <c r="Q107" s="74">
        <v>556</v>
      </c>
      <c r="R107" s="87">
        <f>P107+ROUND(Q107, 2)</f>
        <v>5962.5</v>
      </c>
      <c r="S107" s="78">
        <v>0</v>
      </c>
      <c r="T107" s="14">
        <v>0</v>
      </c>
      <c r="U107" s="14">
        <f>S107+T107</f>
        <v>0</v>
      </c>
    </row>
    <row r="108" spans="1:21" ht="36.6" hidden="1" thickBot="1" x14ac:dyDescent="0.55000000000000004">
      <c r="A108" s="10" t="s">
        <v>581</v>
      </c>
      <c r="B108" s="10"/>
      <c r="C108" s="28" t="s">
        <v>571</v>
      </c>
      <c r="D108" s="12"/>
      <c r="E108" s="12" t="s">
        <v>582</v>
      </c>
      <c r="F108" s="29" t="s">
        <v>61</v>
      </c>
      <c r="G108" s="30">
        <v>1.1000000000000001</v>
      </c>
      <c r="H108" s="49"/>
      <c r="I108" s="93">
        <v>0</v>
      </c>
      <c r="J108" s="139"/>
      <c r="K108" s="148"/>
      <c r="L108" s="89"/>
      <c r="M108" s="106"/>
      <c r="N108" s="164"/>
      <c r="O108" s="164"/>
      <c r="P108" s="88">
        <v>4720</v>
      </c>
      <c r="Q108" s="84"/>
      <c r="R108" s="85"/>
      <c r="S108" s="79">
        <f>ROUND(ROUND(P108, 2)*I108, 2)</f>
        <v>0</v>
      </c>
    </row>
    <row r="109" spans="1:21" ht="54.6" hidden="1" thickBot="1" x14ac:dyDescent="0.55000000000000004">
      <c r="A109" s="10" t="s">
        <v>587</v>
      </c>
      <c r="B109" s="10"/>
      <c r="C109" s="47" t="s">
        <v>564</v>
      </c>
      <c r="D109" s="12"/>
      <c r="E109" s="12"/>
      <c r="F109" s="29" t="s">
        <v>76</v>
      </c>
      <c r="G109" s="30">
        <v>1</v>
      </c>
      <c r="H109" s="49"/>
      <c r="I109" s="93">
        <v>0</v>
      </c>
      <c r="J109" s="139"/>
      <c r="K109" s="148"/>
      <c r="L109" s="89"/>
      <c r="M109" s="106"/>
      <c r="N109" s="164"/>
      <c r="O109" s="164"/>
      <c r="P109" s="88">
        <v>51</v>
      </c>
      <c r="Q109" s="84"/>
      <c r="R109" s="85"/>
      <c r="S109" s="79">
        <f>ROUND(ROUND(P109, 2)*I109, 2)</f>
        <v>0</v>
      </c>
    </row>
    <row r="110" spans="1:21" ht="26.4" hidden="1" thickBot="1" x14ac:dyDescent="0.55000000000000004">
      <c r="A110" s="10" t="s">
        <v>592</v>
      </c>
      <c r="B110" s="10"/>
      <c r="C110" s="28" t="s">
        <v>549</v>
      </c>
      <c r="D110" s="12"/>
      <c r="E110" s="12" t="s">
        <v>550</v>
      </c>
      <c r="F110" s="29" t="s">
        <v>364</v>
      </c>
      <c r="G110" s="30">
        <v>0.3</v>
      </c>
      <c r="H110" s="30"/>
      <c r="I110" s="92">
        <v>0</v>
      </c>
      <c r="J110" s="139"/>
      <c r="K110" s="148"/>
      <c r="L110" s="89"/>
      <c r="M110" s="106"/>
      <c r="N110" s="164"/>
      <c r="O110" s="164"/>
      <c r="P110" s="88">
        <v>545</v>
      </c>
      <c r="Q110" s="84"/>
      <c r="R110" s="85"/>
      <c r="S110" s="79">
        <f>ROUND(ROUND(P110, 2)*I110, 2)</f>
        <v>0</v>
      </c>
    </row>
    <row r="111" spans="1:21" ht="72.599999999999994" hidden="1" thickBot="1" x14ac:dyDescent="0.35">
      <c r="A111" s="10" t="s">
        <v>597</v>
      </c>
      <c r="B111" s="10" t="s">
        <v>598</v>
      </c>
      <c r="C111" s="11" t="s">
        <v>599</v>
      </c>
      <c r="D111" s="12"/>
      <c r="E111" s="12" t="s">
        <v>600</v>
      </c>
      <c r="F111" s="12" t="s">
        <v>76</v>
      </c>
      <c r="G111" s="13">
        <v>1</v>
      </c>
      <c r="H111" s="13"/>
      <c r="I111" s="91">
        <v>0</v>
      </c>
      <c r="J111" s="138"/>
      <c r="K111" s="149"/>
      <c r="L111" s="119"/>
      <c r="M111" s="105"/>
      <c r="N111" s="162"/>
      <c r="O111" s="163"/>
      <c r="P111" s="86">
        <v>471.05</v>
      </c>
      <c r="Q111" s="74">
        <v>201</v>
      </c>
      <c r="R111" s="87">
        <f>P111+ROUND(Q111, 2)</f>
        <v>672.05</v>
      </c>
      <c r="S111" s="78">
        <v>0</v>
      </c>
      <c r="T111" s="14">
        <v>0</v>
      </c>
      <c r="U111" s="14">
        <f>S111+T111</f>
        <v>0</v>
      </c>
    </row>
    <row r="112" spans="1:21" ht="31.5" hidden="1" customHeight="1" x14ac:dyDescent="0.5">
      <c r="A112" s="10" t="s">
        <v>604</v>
      </c>
      <c r="B112" s="10"/>
      <c r="C112" s="28" t="s">
        <v>605</v>
      </c>
      <c r="D112" s="12"/>
      <c r="E112" s="12"/>
      <c r="F112" s="29" t="s">
        <v>76</v>
      </c>
      <c r="G112" s="30">
        <v>1.1000000000000001</v>
      </c>
      <c r="H112" s="30"/>
      <c r="I112" s="92">
        <v>0</v>
      </c>
      <c r="J112" s="139"/>
      <c r="K112" s="148"/>
      <c r="L112" s="89"/>
      <c r="M112" s="106"/>
      <c r="N112" s="164"/>
      <c r="O112" s="164"/>
      <c r="P112" s="88">
        <v>378.5</v>
      </c>
      <c r="Q112" s="84"/>
      <c r="R112" s="85"/>
      <c r="S112" s="79">
        <f>ROUND(ROUND(P112, 2)*I112, 2)</f>
        <v>0</v>
      </c>
    </row>
    <row r="113" spans="1:21" ht="26.4" hidden="1" thickBot="1" x14ac:dyDescent="0.55000000000000004">
      <c r="A113" s="10" t="s">
        <v>611</v>
      </c>
      <c r="B113" s="10"/>
      <c r="C113" s="28" t="s">
        <v>612</v>
      </c>
      <c r="D113" s="12"/>
      <c r="E113" s="12"/>
      <c r="F113" s="29" t="s">
        <v>356</v>
      </c>
      <c r="G113" s="30">
        <v>1</v>
      </c>
      <c r="H113" s="49"/>
      <c r="I113" s="93">
        <v>0</v>
      </c>
      <c r="J113" s="139"/>
      <c r="K113" s="148"/>
      <c r="L113" s="89"/>
      <c r="M113" s="106"/>
      <c r="N113" s="164"/>
      <c r="O113" s="164"/>
      <c r="P113" s="88">
        <v>54.7</v>
      </c>
      <c r="Q113" s="84"/>
      <c r="R113" s="85"/>
      <c r="S113" s="79">
        <f>ROUND(ROUND(P113, 2)*I113, 2)</f>
        <v>0</v>
      </c>
    </row>
    <row r="114" spans="1:21" ht="36.6" hidden="1" thickBot="1" x14ac:dyDescent="0.35">
      <c r="A114" s="10" t="s">
        <v>618</v>
      </c>
      <c r="B114" s="10" t="s">
        <v>619</v>
      </c>
      <c r="C114" s="11" t="s">
        <v>620</v>
      </c>
      <c r="D114" s="12"/>
      <c r="E114" s="12" t="s">
        <v>621</v>
      </c>
      <c r="F114" s="12" t="s">
        <v>61</v>
      </c>
      <c r="G114" s="13">
        <v>1</v>
      </c>
      <c r="H114" s="13"/>
      <c r="I114" s="91">
        <v>0</v>
      </c>
      <c r="J114" s="138"/>
      <c r="K114" s="149"/>
      <c r="L114" s="119"/>
      <c r="M114" s="105"/>
      <c r="N114" s="162"/>
      <c r="O114" s="163"/>
      <c r="P114" s="86">
        <v>4447.13</v>
      </c>
      <c r="Q114" s="74">
        <v>2310</v>
      </c>
      <c r="R114" s="87">
        <f>P114+ROUND(Q114, 2)</f>
        <v>6757.13</v>
      </c>
      <c r="S114" s="78">
        <v>0</v>
      </c>
      <c r="T114" s="14">
        <v>0</v>
      </c>
      <c r="U114" s="14">
        <f>S114+T114</f>
        <v>0</v>
      </c>
    </row>
    <row r="115" spans="1:21" ht="54.6" hidden="1" thickBot="1" x14ac:dyDescent="0.55000000000000004">
      <c r="A115" s="10" t="s">
        <v>625</v>
      </c>
      <c r="B115" s="10"/>
      <c r="C115" s="47" t="s">
        <v>626</v>
      </c>
      <c r="D115" s="12"/>
      <c r="E115" s="12" t="s">
        <v>627</v>
      </c>
      <c r="F115" s="29" t="s">
        <v>356</v>
      </c>
      <c r="G115" s="30">
        <v>4</v>
      </c>
      <c r="H115" s="30"/>
      <c r="I115" s="92">
        <v>0</v>
      </c>
      <c r="J115" s="139"/>
      <c r="K115" s="148"/>
      <c r="L115" s="89"/>
      <c r="M115" s="106"/>
      <c r="N115" s="164"/>
      <c r="O115" s="164"/>
      <c r="P115" s="88">
        <v>1100.4000000000001</v>
      </c>
      <c r="Q115" s="84"/>
      <c r="R115" s="85"/>
      <c r="S115" s="79">
        <f>ROUND(ROUND(P115, 2)*I115, 2)</f>
        <v>0</v>
      </c>
    </row>
    <row r="116" spans="1:21" ht="36.6" hidden="1" thickBot="1" x14ac:dyDescent="0.55000000000000004">
      <c r="A116" s="10" t="s">
        <v>633</v>
      </c>
      <c r="B116" s="10"/>
      <c r="C116" s="47" t="s">
        <v>634</v>
      </c>
      <c r="D116" s="12"/>
      <c r="E116" s="12"/>
      <c r="F116" s="29" t="s">
        <v>364</v>
      </c>
      <c r="G116" s="30">
        <v>1.2</v>
      </c>
      <c r="H116" s="49"/>
      <c r="I116" s="93">
        <v>0</v>
      </c>
      <c r="J116" s="139"/>
      <c r="K116" s="148"/>
      <c r="L116" s="89"/>
      <c r="M116" s="106"/>
      <c r="N116" s="164"/>
      <c r="O116" s="164"/>
      <c r="P116" s="88">
        <v>16.96</v>
      </c>
      <c r="Q116" s="84"/>
      <c r="R116" s="85"/>
      <c r="S116" s="79">
        <f>ROUND(ROUND(P116, 2)*I116, 2)</f>
        <v>0</v>
      </c>
    </row>
    <row r="117" spans="1:21" ht="26.4" hidden="1" thickBot="1" x14ac:dyDescent="0.55000000000000004">
      <c r="A117" s="10" t="s">
        <v>640</v>
      </c>
      <c r="B117" s="10"/>
      <c r="C117" s="28" t="s">
        <v>641</v>
      </c>
      <c r="D117" s="12"/>
      <c r="E117" s="12"/>
      <c r="F117" s="29" t="s">
        <v>364</v>
      </c>
      <c r="G117" s="30">
        <v>0.25</v>
      </c>
      <c r="H117" s="30"/>
      <c r="I117" s="92">
        <v>0</v>
      </c>
      <c r="J117" s="139"/>
      <c r="K117" s="148"/>
      <c r="L117" s="89"/>
      <c r="M117" s="106"/>
      <c r="N117" s="164"/>
      <c r="O117" s="164"/>
      <c r="P117" s="88">
        <v>47.44</v>
      </c>
      <c r="Q117" s="84"/>
      <c r="R117" s="85"/>
      <c r="S117" s="79">
        <f>ROUND(ROUND(P117, 2)*I117, 2)</f>
        <v>0</v>
      </c>
    </row>
    <row r="118" spans="1:21" ht="28.05" hidden="1" customHeight="1" x14ac:dyDescent="0.5">
      <c r="A118" s="10" t="s">
        <v>647</v>
      </c>
      <c r="B118" s="10"/>
      <c r="C118" s="28" t="s">
        <v>397</v>
      </c>
      <c r="D118" s="12"/>
      <c r="E118" s="12"/>
      <c r="F118" s="29" t="s">
        <v>364</v>
      </c>
      <c r="G118" s="30">
        <v>0.15</v>
      </c>
      <c r="H118" s="30"/>
      <c r="I118" s="92">
        <v>0</v>
      </c>
      <c r="J118" s="139"/>
      <c r="K118" s="148"/>
      <c r="L118" s="89"/>
      <c r="M118" s="106"/>
      <c r="N118" s="164"/>
      <c r="O118" s="164"/>
      <c r="P118" s="88">
        <v>88.8</v>
      </c>
      <c r="Q118" s="84"/>
      <c r="R118" s="85"/>
      <c r="S118" s="79">
        <f>ROUND(ROUND(P118, 2)*I118, 2)</f>
        <v>0</v>
      </c>
    </row>
    <row r="119" spans="1:21" ht="36.6" hidden="1" thickBot="1" x14ac:dyDescent="0.35">
      <c r="A119" s="10" t="s">
        <v>652</v>
      </c>
      <c r="B119" s="10" t="s">
        <v>653</v>
      </c>
      <c r="C119" s="11" t="s">
        <v>654</v>
      </c>
      <c r="D119" s="12"/>
      <c r="E119" s="12" t="s">
        <v>655</v>
      </c>
      <c r="F119" s="12" t="s">
        <v>76</v>
      </c>
      <c r="G119" s="13">
        <v>1</v>
      </c>
      <c r="H119" s="13"/>
      <c r="I119" s="91">
        <v>0</v>
      </c>
      <c r="J119" s="138"/>
      <c r="K119" s="149"/>
      <c r="L119" s="119"/>
      <c r="M119" s="105"/>
      <c r="N119" s="162"/>
      <c r="O119" s="163"/>
      <c r="P119" s="86">
        <v>844.85</v>
      </c>
      <c r="Q119" s="74">
        <v>473</v>
      </c>
      <c r="R119" s="87">
        <f>P119+ROUND(Q119, 2)</f>
        <v>1317.85</v>
      </c>
      <c r="S119" s="78">
        <v>0</v>
      </c>
      <c r="T119" s="14">
        <v>0</v>
      </c>
      <c r="U119" s="14">
        <f>S119+T119</f>
        <v>0</v>
      </c>
    </row>
    <row r="120" spans="1:21" ht="36.6" hidden="1" thickBot="1" x14ac:dyDescent="0.55000000000000004">
      <c r="A120" s="10" t="s">
        <v>659</v>
      </c>
      <c r="B120" s="10"/>
      <c r="C120" s="47" t="s">
        <v>660</v>
      </c>
      <c r="D120" s="12"/>
      <c r="E120" s="12"/>
      <c r="F120" s="29" t="s">
        <v>364</v>
      </c>
      <c r="G120" s="30">
        <v>0.7</v>
      </c>
      <c r="H120" s="49"/>
      <c r="I120" s="93">
        <v>0</v>
      </c>
      <c r="J120" s="139"/>
      <c r="K120" s="148"/>
      <c r="L120" s="89"/>
      <c r="M120" s="106"/>
      <c r="N120" s="164"/>
      <c r="O120" s="164"/>
      <c r="P120" s="88">
        <v>16.96</v>
      </c>
      <c r="Q120" s="84"/>
      <c r="R120" s="85"/>
      <c r="S120" s="79">
        <f>ROUND(ROUND(P120, 2)*I120, 2)</f>
        <v>0</v>
      </c>
    </row>
    <row r="121" spans="1:21" ht="54.6" hidden="1" thickBot="1" x14ac:dyDescent="0.55000000000000004">
      <c r="A121" s="10" t="s">
        <v>666</v>
      </c>
      <c r="B121" s="10"/>
      <c r="C121" s="28" t="s">
        <v>667</v>
      </c>
      <c r="D121" s="12"/>
      <c r="E121" s="12" t="s">
        <v>668</v>
      </c>
      <c r="F121" s="29" t="s">
        <v>356</v>
      </c>
      <c r="G121" s="30">
        <v>1.84</v>
      </c>
      <c r="H121" s="49"/>
      <c r="I121" s="93">
        <v>0</v>
      </c>
      <c r="J121" s="139"/>
      <c r="K121" s="148"/>
      <c r="L121" s="89"/>
      <c r="M121" s="106"/>
      <c r="N121" s="164"/>
      <c r="O121" s="164"/>
      <c r="P121" s="88">
        <v>450.95</v>
      </c>
      <c r="Q121" s="84"/>
      <c r="R121" s="85"/>
      <c r="S121" s="79">
        <f>ROUND(ROUND(P121, 2)*I121, 2)</f>
        <v>0</v>
      </c>
    </row>
    <row r="122" spans="1:21" ht="26.4" hidden="1" thickBot="1" x14ac:dyDescent="0.55000000000000004">
      <c r="A122" s="10" t="s">
        <v>674</v>
      </c>
      <c r="B122" s="10"/>
      <c r="C122" s="28" t="s">
        <v>641</v>
      </c>
      <c r="D122" s="12"/>
      <c r="E122" s="12"/>
      <c r="F122" s="29" t="s">
        <v>364</v>
      </c>
      <c r="G122" s="30">
        <v>0.04</v>
      </c>
      <c r="H122" s="30"/>
      <c r="I122" s="92">
        <v>0</v>
      </c>
      <c r="J122" s="139"/>
      <c r="K122" s="148"/>
      <c r="L122" s="89"/>
      <c r="M122" s="106"/>
      <c r="N122" s="164"/>
      <c r="O122" s="164"/>
      <c r="P122" s="88">
        <v>47.44</v>
      </c>
      <c r="Q122" s="84"/>
      <c r="R122" s="85"/>
      <c r="S122" s="79">
        <f>ROUND(ROUND(P122, 2)*I122, 2)</f>
        <v>0</v>
      </c>
    </row>
    <row r="123" spans="1:21" ht="26.4" hidden="1" thickBot="1" x14ac:dyDescent="0.55000000000000004">
      <c r="A123" s="10" t="s">
        <v>679</v>
      </c>
      <c r="B123" s="10"/>
      <c r="C123" s="28" t="s">
        <v>680</v>
      </c>
      <c r="D123" s="12"/>
      <c r="E123" s="12"/>
      <c r="F123" s="29" t="s">
        <v>364</v>
      </c>
      <c r="G123" s="30">
        <v>1.4999999999999999E-2</v>
      </c>
      <c r="H123" s="30"/>
      <c r="I123" s="92">
        <v>0</v>
      </c>
      <c r="J123" s="139"/>
      <c r="K123" s="148"/>
      <c r="L123" s="89"/>
      <c r="M123" s="106"/>
      <c r="N123" s="164"/>
      <c r="O123" s="164"/>
      <c r="P123" s="88">
        <v>88.8</v>
      </c>
      <c r="Q123" s="84"/>
      <c r="R123" s="85"/>
      <c r="S123" s="79">
        <f>ROUND(ROUND(P123, 2)*I123, 2)</f>
        <v>0</v>
      </c>
    </row>
    <row r="124" spans="1:21" ht="36.6" hidden="1" thickBot="1" x14ac:dyDescent="0.35">
      <c r="A124" s="10" t="s">
        <v>686</v>
      </c>
      <c r="B124" s="10" t="s">
        <v>653</v>
      </c>
      <c r="C124" s="11" t="s">
        <v>654</v>
      </c>
      <c r="D124" s="12"/>
      <c r="E124" s="12" t="s">
        <v>687</v>
      </c>
      <c r="F124" s="12" t="s">
        <v>76</v>
      </c>
      <c r="G124" s="13">
        <v>1</v>
      </c>
      <c r="H124" s="13"/>
      <c r="I124" s="91">
        <v>0</v>
      </c>
      <c r="J124" s="138"/>
      <c r="K124" s="149"/>
      <c r="L124" s="119"/>
      <c r="M124" s="105"/>
      <c r="N124" s="162"/>
      <c r="O124" s="163"/>
      <c r="P124" s="86">
        <v>844.85</v>
      </c>
      <c r="Q124" s="74">
        <v>473</v>
      </c>
      <c r="R124" s="87">
        <f>P124+ROUND(Q124, 2)</f>
        <v>1317.85</v>
      </c>
      <c r="S124" s="78">
        <v>0</v>
      </c>
      <c r="T124" s="14">
        <v>0</v>
      </c>
      <c r="U124" s="14">
        <f>S124+T124</f>
        <v>0</v>
      </c>
    </row>
    <row r="125" spans="1:21" ht="26.4" hidden="1" thickBot="1" x14ac:dyDescent="0.55000000000000004">
      <c r="A125" s="10" t="s">
        <v>689</v>
      </c>
      <c r="B125" s="10"/>
      <c r="C125" s="28" t="s">
        <v>680</v>
      </c>
      <c r="D125" s="12"/>
      <c r="E125" s="12"/>
      <c r="F125" s="29" t="s">
        <v>364</v>
      </c>
      <c r="G125" s="30">
        <v>1.4999999999999999E-2</v>
      </c>
      <c r="H125" s="30"/>
      <c r="I125" s="92">
        <v>0</v>
      </c>
      <c r="J125" s="139"/>
      <c r="K125" s="148"/>
      <c r="L125" s="89"/>
      <c r="M125" s="106"/>
      <c r="N125" s="164"/>
      <c r="O125" s="164"/>
      <c r="P125" s="88">
        <v>88.8</v>
      </c>
      <c r="Q125" s="84"/>
      <c r="R125" s="85"/>
      <c r="S125" s="79">
        <f>ROUND(ROUND(P125, 2)*I125, 2)</f>
        <v>0</v>
      </c>
    </row>
    <row r="126" spans="1:21" ht="26.4" hidden="1" thickBot="1" x14ac:dyDescent="0.55000000000000004">
      <c r="A126" s="10" t="s">
        <v>694</v>
      </c>
      <c r="B126" s="10"/>
      <c r="C126" s="28" t="s">
        <v>641</v>
      </c>
      <c r="D126" s="12"/>
      <c r="E126" s="12"/>
      <c r="F126" s="29" t="s">
        <v>364</v>
      </c>
      <c r="G126" s="30">
        <v>0.04</v>
      </c>
      <c r="H126" s="30"/>
      <c r="I126" s="92">
        <v>0</v>
      </c>
      <c r="J126" s="139"/>
      <c r="K126" s="148"/>
      <c r="L126" s="89"/>
      <c r="M126" s="106"/>
      <c r="N126" s="164"/>
      <c r="O126" s="164"/>
      <c r="P126" s="88">
        <v>47.44</v>
      </c>
      <c r="Q126" s="84"/>
      <c r="R126" s="85"/>
      <c r="S126" s="79">
        <f>ROUND(ROUND(P126, 2)*I126, 2)</f>
        <v>0</v>
      </c>
    </row>
    <row r="127" spans="1:21" ht="22.05" hidden="1" customHeight="1" x14ac:dyDescent="0.5">
      <c r="A127" s="10" t="s">
        <v>699</v>
      </c>
      <c r="B127" s="10"/>
      <c r="C127" s="28" t="s">
        <v>667</v>
      </c>
      <c r="D127" s="12"/>
      <c r="E127" s="12" t="s">
        <v>700</v>
      </c>
      <c r="F127" s="29" t="s">
        <v>356</v>
      </c>
      <c r="G127" s="30">
        <v>1.84</v>
      </c>
      <c r="H127" s="49"/>
      <c r="I127" s="93">
        <v>0</v>
      </c>
      <c r="J127" s="139"/>
      <c r="K127" s="148"/>
      <c r="L127" s="89"/>
      <c r="M127" s="106"/>
      <c r="N127" s="164"/>
      <c r="O127" s="164"/>
      <c r="P127" s="88">
        <v>450.95</v>
      </c>
      <c r="Q127" s="84"/>
      <c r="R127" s="85"/>
      <c r="S127" s="79">
        <f>ROUND(ROUND(P127, 2)*I127, 2)</f>
        <v>0</v>
      </c>
    </row>
    <row r="128" spans="1:21" ht="36.6" hidden="1" thickBot="1" x14ac:dyDescent="0.55000000000000004">
      <c r="A128" s="10" t="s">
        <v>705</v>
      </c>
      <c r="B128" s="10"/>
      <c r="C128" s="47" t="s">
        <v>660</v>
      </c>
      <c r="D128" s="12"/>
      <c r="E128" s="12"/>
      <c r="F128" s="29" t="s">
        <v>364</v>
      </c>
      <c r="G128" s="30">
        <v>0.7</v>
      </c>
      <c r="H128" s="49"/>
      <c r="I128" s="93">
        <v>0</v>
      </c>
      <c r="J128" s="139"/>
      <c r="K128" s="148"/>
      <c r="L128" s="89"/>
      <c r="M128" s="106"/>
      <c r="N128" s="164"/>
      <c r="O128" s="164"/>
      <c r="P128" s="88">
        <v>16.96</v>
      </c>
      <c r="Q128" s="84"/>
      <c r="R128" s="85"/>
      <c r="S128" s="79">
        <f>ROUND(ROUND(P128, 2)*I128, 2)</f>
        <v>0</v>
      </c>
    </row>
    <row r="129" spans="1:21" ht="36.6" hidden="1" thickBot="1" x14ac:dyDescent="0.35">
      <c r="A129" s="10" t="s">
        <v>710</v>
      </c>
      <c r="B129" s="10" t="s">
        <v>653</v>
      </c>
      <c r="C129" s="11" t="s">
        <v>654</v>
      </c>
      <c r="D129" s="12"/>
      <c r="E129" s="12" t="s">
        <v>711</v>
      </c>
      <c r="F129" s="12" t="s">
        <v>76</v>
      </c>
      <c r="G129" s="13">
        <v>1</v>
      </c>
      <c r="H129" s="13"/>
      <c r="I129" s="91">
        <v>0</v>
      </c>
      <c r="J129" s="138"/>
      <c r="K129" s="149"/>
      <c r="L129" s="119"/>
      <c r="M129" s="105"/>
      <c r="N129" s="162"/>
      <c r="O129" s="163"/>
      <c r="P129" s="86">
        <v>375.74</v>
      </c>
      <c r="Q129" s="74">
        <v>473</v>
      </c>
      <c r="R129" s="87">
        <f>P129+ROUND(Q129, 2)</f>
        <v>848.74</v>
      </c>
      <c r="S129" s="78">
        <v>0</v>
      </c>
      <c r="T129" s="14">
        <v>0</v>
      </c>
      <c r="U129" s="14">
        <f>S129+T129</f>
        <v>0</v>
      </c>
    </row>
    <row r="130" spans="1:21" ht="36.6" hidden="1" thickBot="1" x14ac:dyDescent="0.55000000000000004">
      <c r="A130" s="10" t="s">
        <v>713</v>
      </c>
      <c r="B130" s="10"/>
      <c r="C130" s="47" t="s">
        <v>660</v>
      </c>
      <c r="D130" s="12"/>
      <c r="E130" s="12"/>
      <c r="F130" s="29" t="s">
        <v>364</v>
      </c>
      <c r="G130" s="30">
        <v>0.7</v>
      </c>
      <c r="H130" s="49"/>
      <c r="I130" s="93">
        <v>0</v>
      </c>
      <c r="J130" s="139"/>
      <c r="K130" s="148"/>
      <c r="L130" s="89"/>
      <c r="M130" s="106"/>
      <c r="N130" s="164"/>
      <c r="O130" s="164"/>
      <c r="P130" s="88">
        <v>16.96</v>
      </c>
      <c r="Q130" s="84"/>
      <c r="R130" s="85"/>
      <c r="S130" s="79">
        <f>ROUND(ROUND(P130, 2)*I130, 2)</f>
        <v>0</v>
      </c>
    </row>
    <row r="131" spans="1:21" ht="36.6" hidden="1" thickBot="1" x14ac:dyDescent="0.55000000000000004">
      <c r="A131" s="10" t="s">
        <v>718</v>
      </c>
      <c r="B131" s="10"/>
      <c r="C131" s="28" t="s">
        <v>719</v>
      </c>
      <c r="D131" s="12"/>
      <c r="E131" s="12" t="s">
        <v>720</v>
      </c>
      <c r="F131" s="29" t="s">
        <v>356</v>
      </c>
      <c r="G131" s="30">
        <v>1.84</v>
      </c>
      <c r="H131" s="49"/>
      <c r="I131" s="93">
        <v>0</v>
      </c>
      <c r="J131" s="139"/>
      <c r="K131" s="148"/>
      <c r="L131" s="89"/>
      <c r="M131" s="106"/>
      <c r="N131" s="164"/>
      <c r="O131" s="164"/>
      <c r="P131" s="88">
        <v>196</v>
      </c>
      <c r="Q131" s="84"/>
      <c r="R131" s="85"/>
      <c r="S131" s="79">
        <f>ROUND(ROUND(P131, 2)*I131, 2)</f>
        <v>0</v>
      </c>
    </row>
    <row r="132" spans="1:21" ht="26.4" hidden="1" thickBot="1" x14ac:dyDescent="0.55000000000000004">
      <c r="A132" s="10" t="s">
        <v>726</v>
      </c>
      <c r="B132" s="10"/>
      <c r="C132" s="28" t="s">
        <v>641</v>
      </c>
      <c r="D132" s="12"/>
      <c r="E132" s="12"/>
      <c r="F132" s="29" t="s">
        <v>364</v>
      </c>
      <c r="G132" s="30">
        <v>0.04</v>
      </c>
      <c r="H132" s="30"/>
      <c r="I132" s="92">
        <v>0</v>
      </c>
      <c r="J132" s="139"/>
      <c r="K132" s="148"/>
      <c r="L132" s="89"/>
      <c r="M132" s="106"/>
      <c r="N132" s="164"/>
      <c r="O132" s="164"/>
      <c r="P132" s="88">
        <v>47.44</v>
      </c>
      <c r="Q132" s="84"/>
      <c r="R132" s="85"/>
      <c r="S132" s="79">
        <f>ROUND(ROUND(P132, 2)*I132, 2)</f>
        <v>0</v>
      </c>
    </row>
    <row r="133" spans="1:21" ht="26.4" hidden="1" thickBot="1" x14ac:dyDescent="0.55000000000000004">
      <c r="A133" s="10" t="s">
        <v>731</v>
      </c>
      <c r="B133" s="10"/>
      <c r="C133" s="28" t="s">
        <v>680</v>
      </c>
      <c r="D133" s="12"/>
      <c r="E133" s="12"/>
      <c r="F133" s="29" t="s">
        <v>364</v>
      </c>
      <c r="G133" s="30">
        <v>1.4999999999999999E-2</v>
      </c>
      <c r="H133" s="30"/>
      <c r="I133" s="92">
        <v>0</v>
      </c>
      <c r="J133" s="139"/>
      <c r="K133" s="148"/>
      <c r="L133" s="89"/>
      <c r="M133" s="106"/>
      <c r="N133" s="164"/>
      <c r="O133" s="164"/>
      <c r="P133" s="88">
        <v>88.8</v>
      </c>
      <c r="Q133" s="84"/>
      <c r="R133" s="85"/>
      <c r="S133" s="79">
        <f>ROUND(ROUND(P133, 2)*I133, 2)</f>
        <v>0</v>
      </c>
    </row>
    <row r="134" spans="1:21" ht="54.6" hidden="1" thickBot="1" x14ac:dyDescent="0.35">
      <c r="A134" s="10" t="s">
        <v>736</v>
      </c>
      <c r="B134" s="10" t="s">
        <v>737</v>
      </c>
      <c r="C134" s="11" t="s">
        <v>738</v>
      </c>
      <c r="D134" s="12"/>
      <c r="E134" s="12" t="s">
        <v>655</v>
      </c>
      <c r="F134" s="12" t="s">
        <v>61</v>
      </c>
      <c r="G134" s="13">
        <v>1</v>
      </c>
      <c r="H134" s="13"/>
      <c r="I134" s="91">
        <v>0</v>
      </c>
      <c r="J134" s="138"/>
      <c r="K134" s="149"/>
      <c r="L134" s="119"/>
      <c r="M134" s="105"/>
      <c r="N134" s="162"/>
      <c r="O134" s="163"/>
      <c r="P134" s="86">
        <v>2347.08</v>
      </c>
      <c r="Q134" s="74">
        <v>1655</v>
      </c>
      <c r="R134" s="87">
        <f>P134+ROUND(Q134, 2)</f>
        <v>4002.08</v>
      </c>
      <c r="S134" s="78">
        <v>0</v>
      </c>
      <c r="T134" s="14">
        <v>0</v>
      </c>
      <c r="U134" s="14">
        <f>S134+T134</f>
        <v>0</v>
      </c>
    </row>
    <row r="135" spans="1:21" ht="36.6" hidden="1" thickBot="1" x14ac:dyDescent="0.55000000000000004">
      <c r="A135" s="10" t="s">
        <v>742</v>
      </c>
      <c r="B135" s="10"/>
      <c r="C135" s="28" t="s">
        <v>743</v>
      </c>
      <c r="D135" s="12"/>
      <c r="E135" s="12" t="s">
        <v>744</v>
      </c>
      <c r="F135" s="29" t="s">
        <v>61</v>
      </c>
      <c r="G135" s="30">
        <v>1.07</v>
      </c>
      <c r="H135" s="49"/>
      <c r="I135" s="93">
        <v>0</v>
      </c>
      <c r="J135" s="139"/>
      <c r="K135" s="148"/>
      <c r="L135" s="89"/>
      <c r="M135" s="106"/>
      <c r="N135" s="164"/>
      <c r="O135" s="164"/>
      <c r="P135" s="88">
        <v>2059.0500000000002</v>
      </c>
      <c r="Q135" s="84"/>
      <c r="R135" s="85"/>
      <c r="S135" s="79">
        <f>ROUND(ROUND(P135, 2)*I135, 2)</f>
        <v>0</v>
      </c>
    </row>
    <row r="136" spans="1:21" ht="18" hidden="1" customHeight="1" x14ac:dyDescent="0.5">
      <c r="A136" s="10" t="s">
        <v>750</v>
      </c>
      <c r="B136" s="10"/>
      <c r="C136" s="47" t="s">
        <v>751</v>
      </c>
      <c r="D136" s="12"/>
      <c r="E136" s="12"/>
      <c r="F136" s="29" t="s">
        <v>364</v>
      </c>
      <c r="G136" s="30">
        <v>7</v>
      </c>
      <c r="H136" s="30"/>
      <c r="I136" s="92">
        <v>0</v>
      </c>
      <c r="J136" s="139"/>
      <c r="K136" s="148"/>
      <c r="L136" s="89"/>
      <c r="M136" s="106"/>
      <c r="N136" s="164"/>
      <c r="O136" s="164"/>
      <c r="P136" s="88">
        <v>16.96</v>
      </c>
      <c r="Q136" s="84"/>
      <c r="R136" s="85"/>
      <c r="S136" s="79">
        <f>ROUND(ROUND(P136, 2)*I136, 2)</f>
        <v>0</v>
      </c>
    </row>
    <row r="137" spans="1:21" ht="26.4" hidden="1" thickBot="1" x14ac:dyDescent="0.55000000000000004">
      <c r="A137" s="10" t="s">
        <v>757</v>
      </c>
      <c r="B137" s="10"/>
      <c r="C137" s="28" t="s">
        <v>641</v>
      </c>
      <c r="D137" s="12"/>
      <c r="E137" s="12"/>
      <c r="F137" s="29" t="s">
        <v>364</v>
      </c>
      <c r="G137" s="30">
        <v>0.25</v>
      </c>
      <c r="H137" s="49"/>
      <c r="I137" s="93">
        <v>0</v>
      </c>
      <c r="J137" s="139"/>
      <c r="K137" s="148"/>
      <c r="L137" s="89"/>
      <c r="M137" s="106"/>
      <c r="N137" s="164"/>
      <c r="O137" s="164"/>
      <c r="P137" s="88">
        <v>47.44</v>
      </c>
      <c r="Q137" s="84"/>
      <c r="R137" s="85"/>
      <c r="S137" s="79">
        <f>ROUND(ROUND(P137, 2)*I137, 2)</f>
        <v>0</v>
      </c>
    </row>
    <row r="138" spans="1:21" ht="26.4" hidden="1" thickBot="1" x14ac:dyDescent="0.55000000000000004">
      <c r="A138" s="10" t="s">
        <v>762</v>
      </c>
      <c r="B138" s="10"/>
      <c r="C138" s="28" t="s">
        <v>680</v>
      </c>
      <c r="D138" s="12"/>
      <c r="E138" s="12"/>
      <c r="F138" s="29" t="s">
        <v>364</v>
      </c>
      <c r="G138" s="30">
        <v>0.15</v>
      </c>
      <c r="H138" s="30"/>
      <c r="I138" s="92">
        <v>0</v>
      </c>
      <c r="J138" s="139"/>
      <c r="K138" s="148"/>
      <c r="L138" s="89"/>
      <c r="M138" s="106"/>
      <c r="N138" s="164"/>
      <c r="O138" s="164"/>
      <c r="P138" s="88">
        <v>88.8</v>
      </c>
      <c r="Q138" s="84"/>
      <c r="R138" s="85"/>
      <c r="S138" s="79">
        <f>ROUND(ROUND(P138, 2)*I138, 2)</f>
        <v>0</v>
      </c>
    </row>
    <row r="139" spans="1:21" ht="72.599999999999994" hidden="1" thickBot="1" x14ac:dyDescent="0.35">
      <c r="A139" s="10" t="s">
        <v>767</v>
      </c>
      <c r="B139" s="10" t="s">
        <v>737</v>
      </c>
      <c r="C139" s="11" t="s">
        <v>738</v>
      </c>
      <c r="D139" s="12"/>
      <c r="E139" s="12" t="s">
        <v>768</v>
      </c>
      <c r="F139" s="12" t="s">
        <v>61</v>
      </c>
      <c r="G139" s="13">
        <v>1</v>
      </c>
      <c r="H139" s="13"/>
      <c r="I139" s="91">
        <v>0</v>
      </c>
      <c r="J139" s="138"/>
      <c r="K139" s="149"/>
      <c r="L139" s="119"/>
      <c r="M139" s="105"/>
      <c r="N139" s="162"/>
      <c r="O139" s="163"/>
      <c r="P139" s="86">
        <v>2347.08</v>
      </c>
      <c r="Q139" s="74">
        <v>1655</v>
      </c>
      <c r="R139" s="87">
        <f>P139+ROUND(Q139, 2)</f>
        <v>4002.08</v>
      </c>
      <c r="S139" s="78">
        <v>0</v>
      </c>
      <c r="T139" s="14">
        <v>0</v>
      </c>
      <c r="U139" s="14">
        <f>S139+T139</f>
        <v>0</v>
      </c>
    </row>
    <row r="140" spans="1:21" ht="26.4" hidden="1" thickBot="1" x14ac:dyDescent="0.55000000000000004">
      <c r="A140" s="10" t="s">
        <v>770</v>
      </c>
      <c r="B140" s="10"/>
      <c r="C140" s="28" t="s">
        <v>680</v>
      </c>
      <c r="D140" s="12"/>
      <c r="E140" s="12"/>
      <c r="F140" s="29" t="s">
        <v>364</v>
      </c>
      <c r="G140" s="30">
        <v>0.15</v>
      </c>
      <c r="H140" s="30"/>
      <c r="I140" s="92">
        <v>0</v>
      </c>
      <c r="J140" s="139"/>
      <c r="K140" s="148"/>
      <c r="L140" s="89"/>
      <c r="M140" s="106"/>
      <c r="N140" s="164"/>
      <c r="O140" s="164"/>
      <c r="P140" s="88">
        <v>88.8</v>
      </c>
      <c r="Q140" s="84"/>
      <c r="R140" s="85"/>
      <c r="S140" s="79">
        <f>ROUND(ROUND(P140, 2)*I140, 2)</f>
        <v>0</v>
      </c>
    </row>
    <row r="141" spans="1:21" ht="26.4" hidden="1" thickBot="1" x14ac:dyDescent="0.55000000000000004">
      <c r="A141" s="10" t="s">
        <v>775</v>
      </c>
      <c r="B141" s="10"/>
      <c r="C141" s="28" t="s">
        <v>641</v>
      </c>
      <c r="D141" s="12"/>
      <c r="E141" s="12"/>
      <c r="F141" s="29" t="s">
        <v>364</v>
      </c>
      <c r="G141" s="30">
        <v>0.25</v>
      </c>
      <c r="H141" s="49"/>
      <c r="I141" s="93">
        <v>0</v>
      </c>
      <c r="J141" s="139"/>
      <c r="K141" s="148"/>
      <c r="L141" s="89"/>
      <c r="M141" s="106"/>
      <c r="N141" s="164"/>
      <c r="O141" s="164"/>
      <c r="P141" s="88">
        <v>47.44</v>
      </c>
      <c r="Q141" s="84"/>
      <c r="R141" s="85"/>
      <c r="S141" s="79">
        <f>ROUND(ROUND(P141, 2)*I141, 2)</f>
        <v>0</v>
      </c>
    </row>
    <row r="142" spans="1:21" ht="36.6" hidden="1" thickBot="1" x14ac:dyDescent="0.55000000000000004">
      <c r="A142" s="10" t="s">
        <v>780</v>
      </c>
      <c r="B142" s="10"/>
      <c r="C142" s="47" t="s">
        <v>751</v>
      </c>
      <c r="D142" s="12"/>
      <c r="E142" s="12"/>
      <c r="F142" s="29" t="s">
        <v>364</v>
      </c>
      <c r="G142" s="30">
        <v>7</v>
      </c>
      <c r="H142" s="30"/>
      <c r="I142" s="92">
        <v>0</v>
      </c>
      <c r="J142" s="139"/>
      <c r="K142" s="148"/>
      <c r="L142" s="89"/>
      <c r="M142" s="106"/>
      <c r="N142" s="164"/>
      <c r="O142" s="164"/>
      <c r="P142" s="88">
        <v>16.96</v>
      </c>
      <c r="Q142" s="84"/>
      <c r="R142" s="85"/>
      <c r="S142" s="79">
        <f>ROUND(ROUND(P142, 2)*I142, 2)</f>
        <v>0</v>
      </c>
    </row>
    <row r="143" spans="1:21" ht="26.4" hidden="1" thickBot="1" x14ac:dyDescent="0.55000000000000004">
      <c r="A143" s="10" t="s">
        <v>785</v>
      </c>
      <c r="B143" s="10"/>
      <c r="C143" s="28" t="s">
        <v>743</v>
      </c>
      <c r="D143" s="12"/>
      <c r="E143" s="12"/>
      <c r="F143" s="29" t="s">
        <v>61</v>
      </c>
      <c r="G143" s="30">
        <v>1.07</v>
      </c>
      <c r="H143" s="49"/>
      <c r="I143" s="93">
        <v>0</v>
      </c>
      <c r="J143" s="139"/>
      <c r="K143" s="148"/>
      <c r="L143" s="89"/>
      <c r="M143" s="106"/>
      <c r="N143" s="164"/>
      <c r="O143" s="164"/>
      <c r="P143" s="88">
        <v>2059.0500000000002</v>
      </c>
      <c r="Q143" s="84"/>
      <c r="R143" s="85"/>
      <c r="S143" s="79">
        <f>ROUND(ROUND(P143, 2)*I143, 2)</f>
        <v>0</v>
      </c>
    </row>
    <row r="144" spans="1:21" ht="54.6" hidden="1" thickBot="1" x14ac:dyDescent="0.35">
      <c r="A144" s="10" t="s">
        <v>790</v>
      </c>
      <c r="B144" s="10" t="s">
        <v>791</v>
      </c>
      <c r="C144" s="11" t="s">
        <v>792</v>
      </c>
      <c r="D144" s="12"/>
      <c r="E144" s="12" t="s">
        <v>687</v>
      </c>
      <c r="F144" s="12" t="s">
        <v>61</v>
      </c>
      <c r="G144" s="13">
        <v>1</v>
      </c>
      <c r="H144" s="13"/>
      <c r="I144" s="91">
        <v>0</v>
      </c>
      <c r="J144" s="138"/>
      <c r="K144" s="149"/>
      <c r="L144" s="119"/>
      <c r="M144" s="105"/>
      <c r="N144" s="162"/>
      <c r="O144" s="163"/>
      <c r="P144" s="86">
        <v>2552.44</v>
      </c>
      <c r="Q144" s="74">
        <v>2785</v>
      </c>
      <c r="R144" s="87">
        <f>P144+ROUND(Q144, 2)</f>
        <v>5337.4400000000005</v>
      </c>
      <c r="S144" s="78">
        <v>0</v>
      </c>
      <c r="T144" s="14">
        <v>0</v>
      </c>
      <c r="U144" s="14">
        <f>S144+T144</f>
        <v>0</v>
      </c>
    </row>
    <row r="145" spans="1:21" ht="28.05" hidden="1" customHeight="1" x14ac:dyDescent="0.5">
      <c r="A145" s="10" t="s">
        <v>796</v>
      </c>
      <c r="B145" s="10"/>
      <c r="C145" s="47" t="s">
        <v>797</v>
      </c>
      <c r="D145" s="12"/>
      <c r="E145" s="12"/>
      <c r="F145" s="29" t="s">
        <v>364</v>
      </c>
      <c r="G145" s="30">
        <v>1.2</v>
      </c>
      <c r="H145" s="49"/>
      <c r="I145" s="93">
        <v>0</v>
      </c>
      <c r="J145" s="139"/>
      <c r="K145" s="148"/>
      <c r="L145" s="89"/>
      <c r="M145" s="106"/>
      <c r="N145" s="164"/>
      <c r="O145" s="164"/>
      <c r="P145" s="88">
        <v>16.96</v>
      </c>
      <c r="Q145" s="84"/>
      <c r="R145" s="85"/>
      <c r="S145" s="79">
        <f>ROUND(ROUND(P145, 2)*I145, 2)</f>
        <v>0</v>
      </c>
    </row>
    <row r="146" spans="1:21" ht="36.6" hidden="1" thickBot="1" x14ac:dyDescent="0.55000000000000004">
      <c r="A146" s="10" t="s">
        <v>803</v>
      </c>
      <c r="B146" s="10"/>
      <c r="C146" s="28" t="s">
        <v>804</v>
      </c>
      <c r="D146" s="12"/>
      <c r="E146" s="12" t="s">
        <v>805</v>
      </c>
      <c r="F146" s="29" t="s">
        <v>61</v>
      </c>
      <c r="G146" s="30">
        <v>1.2</v>
      </c>
      <c r="H146" s="49"/>
      <c r="I146" s="93">
        <v>0</v>
      </c>
      <c r="J146" s="139"/>
      <c r="K146" s="148"/>
      <c r="L146" s="89"/>
      <c r="M146" s="106"/>
      <c r="N146" s="164"/>
      <c r="O146" s="164"/>
      <c r="P146" s="88">
        <v>2021.25</v>
      </c>
      <c r="Q146" s="84"/>
      <c r="R146" s="85"/>
      <c r="S146" s="79">
        <f>ROUND(ROUND(P146, 2)*I146, 2)</f>
        <v>0</v>
      </c>
    </row>
    <row r="147" spans="1:21" ht="26.4" hidden="1" thickBot="1" x14ac:dyDescent="0.55000000000000004">
      <c r="A147" s="10" t="s">
        <v>811</v>
      </c>
      <c r="B147" s="10"/>
      <c r="C147" s="28" t="s">
        <v>641</v>
      </c>
      <c r="D147" s="12"/>
      <c r="E147" s="12"/>
      <c r="F147" s="29" t="s">
        <v>364</v>
      </c>
      <c r="G147" s="30">
        <v>0.25</v>
      </c>
      <c r="H147" s="49"/>
      <c r="I147" s="93">
        <v>0</v>
      </c>
      <c r="J147" s="139"/>
      <c r="K147" s="148"/>
      <c r="L147" s="89"/>
      <c r="M147" s="106"/>
      <c r="N147" s="164"/>
      <c r="O147" s="164"/>
      <c r="P147" s="88">
        <v>47.44</v>
      </c>
      <c r="Q147" s="84"/>
      <c r="R147" s="85"/>
      <c r="S147" s="79">
        <f>ROUND(ROUND(P147, 2)*I147, 2)</f>
        <v>0</v>
      </c>
    </row>
    <row r="148" spans="1:21" ht="26.4" hidden="1" thickBot="1" x14ac:dyDescent="0.55000000000000004">
      <c r="A148" s="10" t="s">
        <v>816</v>
      </c>
      <c r="B148" s="10"/>
      <c r="C148" s="28" t="s">
        <v>680</v>
      </c>
      <c r="D148" s="12"/>
      <c r="E148" s="12"/>
      <c r="F148" s="29" t="s">
        <v>364</v>
      </c>
      <c r="G148" s="30">
        <v>0.15</v>
      </c>
      <c r="H148" s="30"/>
      <c r="I148" s="92">
        <v>0</v>
      </c>
      <c r="J148" s="139"/>
      <c r="K148" s="148"/>
      <c r="L148" s="89"/>
      <c r="M148" s="106"/>
      <c r="N148" s="164"/>
      <c r="O148" s="164"/>
      <c r="P148" s="88">
        <v>88.8</v>
      </c>
      <c r="Q148" s="84"/>
      <c r="R148" s="85"/>
      <c r="S148" s="79">
        <f>ROUND(ROUND(P148, 2)*I148, 2)</f>
        <v>0</v>
      </c>
    </row>
    <row r="149" spans="1:21" ht="54.6" hidden="1" thickBot="1" x14ac:dyDescent="0.35">
      <c r="A149" s="10" t="s">
        <v>821</v>
      </c>
      <c r="B149" s="10" t="s">
        <v>791</v>
      </c>
      <c r="C149" s="11" t="s">
        <v>792</v>
      </c>
      <c r="D149" s="12"/>
      <c r="E149" s="12" t="s">
        <v>711</v>
      </c>
      <c r="F149" s="12" t="s">
        <v>61</v>
      </c>
      <c r="G149" s="13">
        <v>1</v>
      </c>
      <c r="H149" s="13"/>
      <c r="I149" s="91">
        <v>0</v>
      </c>
      <c r="J149" s="138"/>
      <c r="K149" s="149"/>
      <c r="L149" s="119"/>
      <c r="M149" s="105"/>
      <c r="N149" s="162"/>
      <c r="O149" s="163"/>
      <c r="P149" s="86">
        <v>2552.44</v>
      </c>
      <c r="Q149" s="74">
        <v>2785</v>
      </c>
      <c r="R149" s="87">
        <f>P149+ROUND(Q149, 2)</f>
        <v>5337.4400000000005</v>
      </c>
      <c r="S149" s="78">
        <v>0</v>
      </c>
      <c r="T149" s="14">
        <v>0</v>
      </c>
      <c r="U149" s="14">
        <f>S149+T149</f>
        <v>0</v>
      </c>
    </row>
    <row r="150" spans="1:21" ht="26.4" hidden="1" thickBot="1" x14ac:dyDescent="0.55000000000000004">
      <c r="A150" s="10" t="s">
        <v>823</v>
      </c>
      <c r="B150" s="10"/>
      <c r="C150" s="28" t="s">
        <v>680</v>
      </c>
      <c r="D150" s="12"/>
      <c r="E150" s="12"/>
      <c r="F150" s="29" t="s">
        <v>364</v>
      </c>
      <c r="G150" s="30">
        <v>0.15</v>
      </c>
      <c r="H150" s="30"/>
      <c r="I150" s="92">
        <v>0</v>
      </c>
      <c r="J150" s="139"/>
      <c r="K150" s="148"/>
      <c r="L150" s="89"/>
      <c r="M150" s="106"/>
      <c r="N150" s="164"/>
      <c r="O150" s="164"/>
      <c r="P150" s="88">
        <v>88.8</v>
      </c>
      <c r="Q150" s="84"/>
      <c r="R150" s="85"/>
      <c r="S150" s="79">
        <f>ROUND(ROUND(P150, 2)*I150, 2)</f>
        <v>0</v>
      </c>
    </row>
    <row r="151" spans="1:21" ht="26.4" hidden="1" thickBot="1" x14ac:dyDescent="0.55000000000000004">
      <c r="A151" s="10" t="s">
        <v>828</v>
      </c>
      <c r="B151" s="10"/>
      <c r="C151" s="28" t="s">
        <v>641</v>
      </c>
      <c r="D151" s="12"/>
      <c r="E151" s="12"/>
      <c r="F151" s="29" t="s">
        <v>364</v>
      </c>
      <c r="G151" s="30">
        <v>0.25</v>
      </c>
      <c r="H151" s="49"/>
      <c r="I151" s="93">
        <v>0</v>
      </c>
      <c r="J151" s="139"/>
      <c r="K151" s="148"/>
      <c r="L151" s="89"/>
      <c r="M151" s="106"/>
      <c r="N151" s="164"/>
      <c r="O151" s="164"/>
      <c r="P151" s="88">
        <v>47.44</v>
      </c>
      <c r="Q151" s="84"/>
      <c r="R151" s="85"/>
      <c r="S151" s="79">
        <f>ROUND(ROUND(P151, 2)*I151, 2)</f>
        <v>0</v>
      </c>
    </row>
    <row r="152" spans="1:21" ht="54.6" hidden="1" thickBot="1" x14ac:dyDescent="0.55000000000000004">
      <c r="A152" s="10" t="s">
        <v>833</v>
      </c>
      <c r="B152" s="10"/>
      <c r="C152" s="28" t="s">
        <v>804</v>
      </c>
      <c r="D152" s="12"/>
      <c r="E152" s="12" t="s">
        <v>834</v>
      </c>
      <c r="F152" s="29" t="s">
        <v>61</v>
      </c>
      <c r="G152" s="30">
        <v>1.2</v>
      </c>
      <c r="H152" s="49"/>
      <c r="I152" s="93">
        <v>0</v>
      </c>
      <c r="J152" s="139"/>
      <c r="K152" s="148"/>
      <c r="L152" s="89"/>
      <c r="M152" s="106"/>
      <c r="N152" s="164"/>
      <c r="O152" s="164"/>
      <c r="P152" s="88">
        <v>2021.25</v>
      </c>
      <c r="Q152" s="84"/>
      <c r="R152" s="85"/>
      <c r="S152" s="79">
        <f>ROUND(ROUND(P152, 2)*I152, 2)</f>
        <v>0</v>
      </c>
    </row>
    <row r="153" spans="1:21" ht="36.6" hidden="1" thickBot="1" x14ac:dyDescent="0.55000000000000004">
      <c r="A153" s="10" t="s">
        <v>839</v>
      </c>
      <c r="B153" s="10"/>
      <c r="C153" s="47" t="s">
        <v>797</v>
      </c>
      <c r="D153" s="12"/>
      <c r="E153" s="12"/>
      <c r="F153" s="29" t="s">
        <v>364</v>
      </c>
      <c r="G153" s="30">
        <v>1.2</v>
      </c>
      <c r="H153" s="49"/>
      <c r="I153" s="93">
        <v>0</v>
      </c>
      <c r="J153" s="139"/>
      <c r="K153" s="148"/>
      <c r="L153" s="89"/>
      <c r="M153" s="106"/>
      <c r="N153" s="164"/>
      <c r="O153" s="164"/>
      <c r="P153" s="88">
        <v>16.96</v>
      </c>
      <c r="Q153" s="84"/>
      <c r="R153" s="85"/>
      <c r="S153" s="79">
        <f>ROUND(ROUND(P153, 2)*I153, 2)</f>
        <v>0</v>
      </c>
    </row>
    <row r="154" spans="1:21" ht="15.45" hidden="1" customHeight="1" x14ac:dyDescent="0.5">
      <c r="A154" s="10" t="s">
        <v>844</v>
      </c>
      <c r="B154" s="10" t="s">
        <v>845</v>
      </c>
      <c r="C154" s="237" t="s">
        <v>846</v>
      </c>
      <c r="D154" s="238"/>
      <c r="E154" s="238"/>
      <c r="F154" s="238"/>
      <c r="G154" s="238"/>
      <c r="H154" s="238"/>
      <c r="I154" s="238"/>
      <c r="J154" s="134"/>
      <c r="K154" s="148"/>
      <c r="L154" s="89"/>
      <c r="M154" s="104"/>
      <c r="N154" s="160"/>
      <c r="O154" s="161"/>
      <c r="P154" s="83"/>
      <c r="Q154" s="84"/>
      <c r="R154" s="85"/>
      <c r="S154" s="77">
        <f>SUM(S155,S161)</f>
        <v>0</v>
      </c>
      <c r="T154" s="6">
        <f>SUM(T155,T161)</f>
        <v>0</v>
      </c>
      <c r="U154" s="6">
        <f>SUM(U155,U161)</f>
        <v>0</v>
      </c>
    </row>
    <row r="155" spans="1:21" ht="16.95" hidden="1" customHeight="1" x14ac:dyDescent="0.5">
      <c r="A155" s="10" t="s">
        <v>847</v>
      </c>
      <c r="B155" s="10" t="s">
        <v>848</v>
      </c>
      <c r="C155" s="237" t="s">
        <v>849</v>
      </c>
      <c r="D155" s="238"/>
      <c r="E155" s="238"/>
      <c r="F155" s="238"/>
      <c r="G155" s="238"/>
      <c r="H155" s="238"/>
      <c r="I155" s="238"/>
      <c r="J155" s="134"/>
      <c r="K155" s="148"/>
      <c r="L155" s="89"/>
      <c r="M155" s="104"/>
      <c r="N155" s="160"/>
      <c r="O155" s="161"/>
      <c r="P155" s="83"/>
      <c r="Q155" s="84"/>
      <c r="R155" s="85"/>
      <c r="S155" s="77">
        <f>SUM(S156)</f>
        <v>0</v>
      </c>
      <c r="T155" s="6">
        <f>SUM(T156)</f>
        <v>0</v>
      </c>
      <c r="U155" s="6">
        <f>SUM(U156)</f>
        <v>0</v>
      </c>
    </row>
    <row r="156" spans="1:21" ht="54.6" hidden="1" thickBot="1" x14ac:dyDescent="0.35">
      <c r="A156" s="10" t="s">
        <v>850</v>
      </c>
      <c r="B156" s="10" t="s">
        <v>851</v>
      </c>
      <c r="C156" s="11" t="s">
        <v>852</v>
      </c>
      <c r="D156" s="12" t="s">
        <v>853</v>
      </c>
      <c r="E156" s="12" t="s">
        <v>854</v>
      </c>
      <c r="F156" s="12" t="s">
        <v>61</v>
      </c>
      <c r="G156" s="13">
        <v>1</v>
      </c>
      <c r="H156" s="13"/>
      <c r="I156" s="91">
        <v>0</v>
      </c>
      <c r="J156" s="138"/>
      <c r="K156" s="149"/>
      <c r="L156" s="119"/>
      <c r="M156" s="105"/>
      <c r="N156" s="162"/>
      <c r="O156" s="163"/>
      <c r="P156" s="86">
        <v>281.27999999999997</v>
      </c>
      <c r="Q156" s="74">
        <v>954</v>
      </c>
      <c r="R156" s="87">
        <f>P156+ROUND(Q156, 2)</f>
        <v>1235.28</v>
      </c>
      <c r="S156" s="78">
        <v>0</v>
      </c>
      <c r="T156" s="14">
        <v>0</v>
      </c>
      <c r="U156" s="14">
        <f>S156+T156</f>
        <v>0</v>
      </c>
    </row>
    <row r="157" spans="1:21" ht="26.4" hidden="1" thickBot="1" x14ac:dyDescent="0.55000000000000004">
      <c r="A157" s="10" t="s">
        <v>858</v>
      </c>
      <c r="B157" s="10"/>
      <c r="C157" s="28" t="s">
        <v>859</v>
      </c>
      <c r="D157" s="12"/>
      <c r="E157" s="12"/>
      <c r="F157" s="29" t="s">
        <v>364</v>
      </c>
      <c r="G157" s="30">
        <v>1.3</v>
      </c>
      <c r="H157" s="49"/>
      <c r="I157" s="93">
        <v>0</v>
      </c>
      <c r="J157" s="139"/>
      <c r="K157" s="148"/>
      <c r="L157" s="89"/>
      <c r="M157" s="106"/>
      <c r="N157" s="164"/>
      <c r="O157" s="164"/>
      <c r="P157" s="88">
        <v>8.6</v>
      </c>
      <c r="Q157" s="84"/>
      <c r="R157" s="85"/>
      <c r="S157" s="79">
        <f>ROUND(ROUND(P157, 2)*I157, 2)</f>
        <v>0</v>
      </c>
    </row>
    <row r="158" spans="1:21" ht="26.4" hidden="1" thickBot="1" x14ac:dyDescent="0.55000000000000004">
      <c r="A158" s="10" t="s">
        <v>865</v>
      </c>
      <c r="B158" s="10"/>
      <c r="C158" s="28" t="s">
        <v>866</v>
      </c>
      <c r="D158" s="12"/>
      <c r="E158" s="12"/>
      <c r="F158" s="29" t="s">
        <v>61</v>
      </c>
      <c r="G158" s="30">
        <v>1.1000000000000001</v>
      </c>
      <c r="H158" s="30"/>
      <c r="I158" s="92">
        <v>0</v>
      </c>
      <c r="J158" s="139"/>
      <c r="K158" s="148"/>
      <c r="L158" s="89"/>
      <c r="M158" s="106"/>
      <c r="N158" s="164"/>
      <c r="O158" s="164"/>
      <c r="P158" s="88">
        <v>26</v>
      </c>
      <c r="Q158" s="84"/>
      <c r="R158" s="85"/>
      <c r="S158" s="79">
        <f>ROUND(ROUND(P158, 2)*I158, 2)</f>
        <v>0</v>
      </c>
    </row>
    <row r="159" spans="1:21" ht="26.4" hidden="1" thickBot="1" x14ac:dyDescent="0.55000000000000004">
      <c r="A159" s="10" t="s">
        <v>872</v>
      </c>
      <c r="B159" s="10"/>
      <c r="C159" s="28" t="s">
        <v>873</v>
      </c>
      <c r="D159" s="12"/>
      <c r="E159" s="12"/>
      <c r="F159" s="29" t="s">
        <v>76</v>
      </c>
      <c r="G159" s="30">
        <v>1</v>
      </c>
      <c r="H159" s="49"/>
      <c r="I159" s="93">
        <v>0</v>
      </c>
      <c r="J159" s="139"/>
      <c r="K159" s="148"/>
      <c r="L159" s="89"/>
      <c r="M159" s="106"/>
      <c r="N159" s="164"/>
      <c r="O159" s="164"/>
      <c r="P159" s="88">
        <v>15.76</v>
      </c>
      <c r="Q159" s="84"/>
      <c r="R159" s="85"/>
      <c r="S159" s="79">
        <f>ROUND(ROUND(P159, 2)*I159, 2)</f>
        <v>0</v>
      </c>
    </row>
    <row r="160" spans="1:21" ht="22.5" hidden="1" customHeight="1" x14ac:dyDescent="0.5">
      <c r="A160" s="10" t="s">
        <v>879</v>
      </c>
      <c r="B160" s="10"/>
      <c r="C160" s="28" t="s">
        <v>680</v>
      </c>
      <c r="D160" s="12"/>
      <c r="E160" s="12"/>
      <c r="F160" s="29" t="s">
        <v>364</v>
      </c>
      <c r="G160" s="30">
        <v>0.15</v>
      </c>
      <c r="H160" s="30"/>
      <c r="I160" s="92">
        <v>0</v>
      </c>
      <c r="J160" s="139"/>
      <c r="K160" s="148"/>
      <c r="L160" s="89"/>
      <c r="M160" s="106"/>
      <c r="N160" s="164"/>
      <c r="O160" s="164"/>
      <c r="P160" s="88">
        <v>88.8</v>
      </c>
      <c r="Q160" s="84"/>
      <c r="R160" s="85"/>
      <c r="S160" s="79">
        <f>ROUND(ROUND(P160, 2)*I160, 2)</f>
        <v>0</v>
      </c>
    </row>
    <row r="161" spans="1:21" ht="16.95" hidden="1" customHeight="1" x14ac:dyDescent="0.5">
      <c r="A161" s="10" t="s">
        <v>884</v>
      </c>
      <c r="B161" s="10" t="s">
        <v>885</v>
      </c>
      <c r="C161" s="237" t="s">
        <v>886</v>
      </c>
      <c r="D161" s="238"/>
      <c r="E161" s="238"/>
      <c r="F161" s="238"/>
      <c r="G161" s="238"/>
      <c r="H161" s="238"/>
      <c r="I161" s="238"/>
      <c r="J161" s="134"/>
      <c r="K161" s="148"/>
      <c r="L161" s="89"/>
      <c r="M161" s="104"/>
      <c r="N161" s="160"/>
      <c r="O161" s="161"/>
      <c r="P161" s="83"/>
      <c r="Q161" s="84"/>
      <c r="R161" s="85"/>
      <c r="S161" s="77">
        <f>SUM(S162,S164,S167,S170)</f>
        <v>0</v>
      </c>
      <c r="T161" s="6">
        <f>SUM(T162,T164,T167,T170)</f>
        <v>0</v>
      </c>
      <c r="U161" s="6">
        <f>SUM(U162,U164,U167,U170)</f>
        <v>0</v>
      </c>
    </row>
    <row r="162" spans="1:21" ht="54.6" hidden="1" thickBot="1" x14ac:dyDescent="0.35">
      <c r="A162" s="10" t="s">
        <v>887</v>
      </c>
      <c r="B162" s="10" t="s">
        <v>888</v>
      </c>
      <c r="C162" s="11" t="s">
        <v>889</v>
      </c>
      <c r="D162" s="12"/>
      <c r="E162" s="12" t="s">
        <v>890</v>
      </c>
      <c r="F162" s="12" t="s">
        <v>61</v>
      </c>
      <c r="G162" s="13">
        <v>1</v>
      </c>
      <c r="H162" s="13"/>
      <c r="I162" s="91">
        <v>0</v>
      </c>
      <c r="J162" s="138"/>
      <c r="K162" s="149"/>
      <c r="L162" s="119"/>
      <c r="M162" s="105"/>
      <c r="N162" s="162"/>
      <c r="O162" s="163"/>
      <c r="P162" s="86">
        <v>418</v>
      </c>
      <c r="Q162" s="74">
        <v>1010</v>
      </c>
      <c r="R162" s="87">
        <f>P162+ROUND(Q162, 2)</f>
        <v>1428</v>
      </c>
      <c r="S162" s="78">
        <v>0</v>
      </c>
      <c r="T162" s="14">
        <v>0</v>
      </c>
      <c r="U162" s="14">
        <f>S162+T162</f>
        <v>0</v>
      </c>
    </row>
    <row r="163" spans="1:21" ht="26.4" hidden="1" thickBot="1" x14ac:dyDescent="0.55000000000000004">
      <c r="A163" s="10" t="s">
        <v>894</v>
      </c>
      <c r="B163" s="10"/>
      <c r="C163" s="28" t="s">
        <v>895</v>
      </c>
      <c r="D163" s="12"/>
      <c r="E163" s="12"/>
      <c r="F163" s="29" t="s">
        <v>356</v>
      </c>
      <c r="G163" s="30">
        <v>1</v>
      </c>
      <c r="H163" s="30"/>
      <c r="I163" s="92">
        <v>0</v>
      </c>
      <c r="J163" s="139"/>
      <c r="K163" s="148"/>
      <c r="L163" s="89"/>
      <c r="M163" s="106"/>
      <c r="N163" s="164"/>
      <c r="O163" s="164"/>
      <c r="P163" s="88">
        <v>418</v>
      </c>
      <c r="Q163" s="84"/>
      <c r="R163" s="85"/>
      <c r="S163" s="79">
        <f>ROUND(ROUND(P163, 2)*I163, 2)</f>
        <v>0</v>
      </c>
    </row>
    <row r="164" spans="1:21" ht="90.6" hidden="1" thickBot="1" x14ac:dyDescent="0.35">
      <c r="A164" s="10" t="s">
        <v>901</v>
      </c>
      <c r="B164" s="10" t="s">
        <v>902</v>
      </c>
      <c r="C164" s="11" t="s">
        <v>903</v>
      </c>
      <c r="D164" s="12"/>
      <c r="E164" s="12" t="s">
        <v>904</v>
      </c>
      <c r="F164" s="12" t="s">
        <v>61</v>
      </c>
      <c r="G164" s="13">
        <v>1</v>
      </c>
      <c r="H164" s="13"/>
      <c r="I164" s="91">
        <v>0</v>
      </c>
      <c r="J164" s="138"/>
      <c r="K164" s="149"/>
      <c r="L164" s="119"/>
      <c r="M164" s="105"/>
      <c r="N164" s="162"/>
      <c r="O164" s="163"/>
      <c r="P164" s="86">
        <v>58.11</v>
      </c>
      <c r="Q164" s="74">
        <v>428</v>
      </c>
      <c r="R164" s="87">
        <f>P164+ROUND(Q164, 2)</f>
        <v>486.11</v>
      </c>
      <c r="S164" s="78">
        <v>0</v>
      </c>
      <c r="T164" s="14">
        <v>0</v>
      </c>
      <c r="U164" s="14">
        <f>S164+T164</f>
        <v>0</v>
      </c>
    </row>
    <row r="165" spans="1:21" ht="26.4" hidden="1" thickBot="1" x14ac:dyDescent="0.55000000000000004">
      <c r="A165" s="10" t="s">
        <v>908</v>
      </c>
      <c r="B165" s="10"/>
      <c r="C165" s="28" t="s">
        <v>680</v>
      </c>
      <c r="D165" s="12"/>
      <c r="E165" s="12"/>
      <c r="F165" s="29" t="s">
        <v>364</v>
      </c>
      <c r="G165" s="30">
        <v>0.15</v>
      </c>
      <c r="H165" s="30"/>
      <c r="I165" s="92">
        <v>0</v>
      </c>
      <c r="J165" s="139"/>
      <c r="K165" s="148"/>
      <c r="L165" s="89"/>
      <c r="M165" s="106"/>
      <c r="N165" s="164"/>
      <c r="O165" s="164"/>
      <c r="P165" s="88">
        <v>88.8</v>
      </c>
      <c r="Q165" s="84"/>
      <c r="R165" s="85"/>
      <c r="S165" s="79">
        <f>ROUND(ROUND(P165, 2)*I165, 2)</f>
        <v>0</v>
      </c>
    </row>
    <row r="166" spans="1:21" ht="72.599999999999994" hidden="1" thickBot="1" x14ac:dyDescent="0.55000000000000004">
      <c r="A166" s="10" t="s">
        <v>913</v>
      </c>
      <c r="B166" s="10"/>
      <c r="C166" s="28" t="s">
        <v>914</v>
      </c>
      <c r="D166" s="12"/>
      <c r="E166" s="12" t="s">
        <v>915</v>
      </c>
      <c r="F166" s="29" t="s">
        <v>364</v>
      </c>
      <c r="G166" s="30">
        <v>0.3</v>
      </c>
      <c r="H166" s="30"/>
      <c r="I166" s="92">
        <v>0</v>
      </c>
      <c r="J166" s="139"/>
      <c r="K166" s="148"/>
      <c r="L166" s="89"/>
      <c r="M166" s="106"/>
      <c r="N166" s="164"/>
      <c r="O166" s="164"/>
      <c r="P166" s="88">
        <v>149.31</v>
      </c>
      <c r="Q166" s="84"/>
      <c r="R166" s="85"/>
      <c r="S166" s="79">
        <f>ROUND(ROUND(P166, 2)*I166, 2)</f>
        <v>0</v>
      </c>
    </row>
    <row r="167" spans="1:21" ht="54.6" hidden="1" thickBot="1" x14ac:dyDescent="0.35">
      <c r="A167" s="10" t="s">
        <v>921</v>
      </c>
      <c r="B167" s="10" t="s">
        <v>902</v>
      </c>
      <c r="C167" s="11" t="s">
        <v>903</v>
      </c>
      <c r="D167" s="12"/>
      <c r="E167" s="12" t="s">
        <v>922</v>
      </c>
      <c r="F167" s="12" t="s">
        <v>61</v>
      </c>
      <c r="G167" s="13">
        <v>1</v>
      </c>
      <c r="H167" s="13"/>
      <c r="I167" s="91">
        <v>0</v>
      </c>
      <c r="J167" s="138"/>
      <c r="K167" s="149"/>
      <c r="L167" s="119"/>
      <c r="M167" s="105"/>
      <c r="N167" s="162"/>
      <c r="O167" s="163"/>
      <c r="P167" s="86">
        <v>58.11</v>
      </c>
      <c r="Q167" s="74">
        <v>428</v>
      </c>
      <c r="R167" s="87">
        <f>P167+ROUND(Q167, 2)</f>
        <v>486.11</v>
      </c>
      <c r="S167" s="78">
        <v>0</v>
      </c>
      <c r="T167" s="14">
        <v>0</v>
      </c>
      <c r="U167" s="14">
        <f>S167+T167</f>
        <v>0</v>
      </c>
    </row>
    <row r="168" spans="1:21" ht="72.599999999999994" hidden="1" thickBot="1" x14ac:dyDescent="0.55000000000000004">
      <c r="A168" s="10" t="s">
        <v>924</v>
      </c>
      <c r="B168" s="10"/>
      <c r="C168" s="28" t="s">
        <v>914</v>
      </c>
      <c r="D168" s="12"/>
      <c r="E168" s="12" t="s">
        <v>925</v>
      </c>
      <c r="F168" s="29" t="s">
        <v>364</v>
      </c>
      <c r="G168" s="30">
        <v>0.3</v>
      </c>
      <c r="H168" s="30"/>
      <c r="I168" s="92">
        <v>0</v>
      </c>
      <c r="J168" s="139"/>
      <c r="K168" s="148"/>
      <c r="L168" s="89"/>
      <c r="M168" s="106"/>
      <c r="N168" s="164"/>
      <c r="O168" s="164"/>
      <c r="P168" s="88">
        <v>149.31</v>
      </c>
      <c r="Q168" s="84"/>
      <c r="R168" s="85"/>
      <c r="S168" s="79">
        <f>ROUND(ROUND(P168, 2)*I168, 2)</f>
        <v>0</v>
      </c>
    </row>
    <row r="169" spans="1:21" ht="9" hidden="1" customHeight="1" x14ac:dyDescent="0.5">
      <c r="A169" s="10" t="s">
        <v>930</v>
      </c>
      <c r="B169" s="10"/>
      <c r="C169" s="28" t="s">
        <v>680</v>
      </c>
      <c r="D169" s="12"/>
      <c r="E169" s="12"/>
      <c r="F169" s="29" t="s">
        <v>364</v>
      </c>
      <c r="G169" s="30">
        <v>0.15</v>
      </c>
      <c r="H169" s="30"/>
      <c r="I169" s="92">
        <v>0</v>
      </c>
      <c r="J169" s="139"/>
      <c r="K169" s="148"/>
      <c r="L169" s="89"/>
      <c r="M169" s="106"/>
      <c r="N169" s="164"/>
      <c r="O169" s="164"/>
      <c r="P169" s="88">
        <v>88.8</v>
      </c>
      <c r="Q169" s="84"/>
      <c r="R169" s="85"/>
      <c r="S169" s="79">
        <f>ROUND(ROUND(P169, 2)*I169, 2)</f>
        <v>0</v>
      </c>
    </row>
    <row r="170" spans="1:21" ht="54.6" hidden="1" thickBot="1" x14ac:dyDescent="0.35">
      <c r="A170" s="10" t="s">
        <v>935</v>
      </c>
      <c r="B170" s="10" t="s">
        <v>936</v>
      </c>
      <c r="C170" s="11" t="s">
        <v>937</v>
      </c>
      <c r="D170" s="12"/>
      <c r="E170" s="12" t="s">
        <v>938</v>
      </c>
      <c r="F170" s="12" t="s">
        <v>61</v>
      </c>
      <c r="G170" s="13">
        <v>1</v>
      </c>
      <c r="H170" s="13"/>
      <c r="I170" s="91">
        <v>0</v>
      </c>
      <c r="J170" s="138"/>
      <c r="K170" s="149"/>
      <c r="L170" s="119"/>
      <c r="M170" s="105"/>
      <c r="N170" s="162"/>
      <c r="O170" s="163"/>
      <c r="P170" s="86">
        <v>1603.98</v>
      </c>
      <c r="Q170" s="74">
        <v>2364</v>
      </c>
      <c r="R170" s="87">
        <f>P170+ROUND(Q170, 2)</f>
        <v>3967.98</v>
      </c>
      <c r="S170" s="78">
        <v>0</v>
      </c>
      <c r="T170" s="14">
        <v>0</v>
      </c>
      <c r="U170" s="14">
        <f>S170+T170</f>
        <v>0</v>
      </c>
    </row>
    <row r="171" spans="1:21" ht="26.4" hidden="1" thickBot="1" x14ac:dyDescent="0.55000000000000004">
      <c r="A171" s="10" t="s">
        <v>942</v>
      </c>
      <c r="B171" s="10"/>
      <c r="C171" s="28" t="s">
        <v>943</v>
      </c>
      <c r="D171" s="12"/>
      <c r="E171" s="12"/>
      <c r="F171" s="29" t="s">
        <v>364</v>
      </c>
      <c r="G171" s="30">
        <v>0.25</v>
      </c>
      <c r="H171" s="49"/>
      <c r="I171" s="93">
        <v>0</v>
      </c>
      <c r="J171" s="139"/>
      <c r="K171" s="148"/>
      <c r="L171" s="89"/>
      <c r="M171" s="106"/>
      <c r="N171" s="164"/>
      <c r="O171" s="164"/>
      <c r="P171" s="88">
        <v>40.270000000000003</v>
      </c>
      <c r="Q171" s="84"/>
      <c r="R171" s="85"/>
      <c r="S171" s="79">
        <f>ROUND(ROUND(P171, 2)*I171, 2)</f>
        <v>0</v>
      </c>
    </row>
    <row r="172" spans="1:21" ht="26.4" hidden="1" thickBot="1" x14ac:dyDescent="0.55000000000000004">
      <c r="A172" s="10" t="s">
        <v>949</v>
      </c>
      <c r="B172" s="10"/>
      <c r="C172" s="28" t="s">
        <v>557</v>
      </c>
      <c r="D172" s="12"/>
      <c r="E172" s="12"/>
      <c r="F172" s="29" t="s">
        <v>364</v>
      </c>
      <c r="G172" s="30">
        <v>0.15</v>
      </c>
      <c r="H172" s="30"/>
      <c r="I172" s="92">
        <v>0</v>
      </c>
      <c r="J172" s="139"/>
      <c r="K172" s="148"/>
      <c r="L172" s="89"/>
      <c r="M172" s="106"/>
      <c r="N172" s="164"/>
      <c r="O172" s="164"/>
      <c r="P172" s="88">
        <v>68.400000000000006</v>
      </c>
      <c r="Q172" s="84"/>
      <c r="R172" s="85"/>
      <c r="S172" s="79">
        <f>ROUND(ROUND(P172, 2)*I172, 2)</f>
        <v>0</v>
      </c>
    </row>
    <row r="173" spans="1:21" ht="36.6" hidden="1" thickBot="1" x14ac:dyDescent="0.55000000000000004">
      <c r="A173" s="10" t="s">
        <v>954</v>
      </c>
      <c r="B173" s="10"/>
      <c r="C173" s="47" t="s">
        <v>797</v>
      </c>
      <c r="D173" s="12"/>
      <c r="E173" s="12"/>
      <c r="F173" s="29" t="s">
        <v>364</v>
      </c>
      <c r="G173" s="30">
        <v>1.2</v>
      </c>
      <c r="H173" s="49"/>
      <c r="I173" s="93">
        <v>0</v>
      </c>
      <c r="J173" s="139"/>
      <c r="K173" s="148"/>
      <c r="L173" s="89"/>
      <c r="M173" s="106"/>
      <c r="N173" s="164"/>
      <c r="O173" s="164"/>
      <c r="P173" s="88">
        <v>16.96</v>
      </c>
      <c r="Q173" s="84"/>
      <c r="R173" s="85"/>
      <c r="S173" s="79">
        <f>ROUND(ROUND(P173, 2)*I173, 2)</f>
        <v>0</v>
      </c>
    </row>
    <row r="174" spans="1:21" ht="54.6" hidden="1" thickBot="1" x14ac:dyDescent="0.55000000000000004">
      <c r="A174" s="10" t="s">
        <v>959</v>
      </c>
      <c r="B174" s="10"/>
      <c r="C174" s="47" t="s">
        <v>960</v>
      </c>
      <c r="D174" s="12"/>
      <c r="E174" s="12" t="s">
        <v>961</v>
      </c>
      <c r="F174" s="29" t="s">
        <v>61</v>
      </c>
      <c r="G174" s="30">
        <v>1.07</v>
      </c>
      <c r="H174" s="49"/>
      <c r="I174" s="93">
        <v>0</v>
      </c>
      <c r="J174" s="139"/>
      <c r="K174" s="148"/>
      <c r="L174" s="89"/>
      <c r="M174" s="106"/>
      <c r="N174" s="164"/>
      <c r="O174" s="164"/>
      <c r="P174" s="88">
        <v>1384.95</v>
      </c>
      <c r="Q174" s="84"/>
      <c r="R174" s="85"/>
      <c r="S174" s="79">
        <f>ROUND(ROUND(P174, 2)*I174, 2)</f>
        <v>0</v>
      </c>
    </row>
    <row r="175" spans="1:21" ht="16.95" hidden="1" customHeight="1" x14ac:dyDescent="0.5">
      <c r="A175" s="10" t="s">
        <v>967</v>
      </c>
      <c r="B175" s="10" t="s">
        <v>968</v>
      </c>
      <c r="C175" s="237" t="s">
        <v>969</v>
      </c>
      <c r="D175" s="238"/>
      <c r="E175" s="238"/>
      <c r="F175" s="238"/>
      <c r="G175" s="238"/>
      <c r="H175" s="238"/>
      <c r="I175" s="238"/>
      <c r="J175" s="134"/>
      <c r="K175" s="148"/>
      <c r="L175" s="89"/>
      <c r="M175" s="104"/>
      <c r="N175" s="160"/>
      <c r="O175" s="161"/>
      <c r="P175" s="83"/>
      <c r="Q175" s="84"/>
      <c r="R175" s="85"/>
      <c r="S175" s="77">
        <f>SUM(S176,S185)</f>
        <v>0</v>
      </c>
      <c r="T175" s="6">
        <f>SUM(T176,T185)</f>
        <v>0</v>
      </c>
      <c r="U175" s="6">
        <f>SUM(U176,U185)</f>
        <v>0</v>
      </c>
    </row>
    <row r="176" spans="1:21" ht="16.95" hidden="1" customHeight="1" x14ac:dyDescent="0.5">
      <c r="A176" s="10" t="s">
        <v>970</v>
      </c>
      <c r="B176" s="10" t="s">
        <v>971</v>
      </c>
      <c r="C176" s="237" t="s">
        <v>972</v>
      </c>
      <c r="D176" s="238"/>
      <c r="E176" s="238"/>
      <c r="F176" s="238"/>
      <c r="G176" s="238"/>
      <c r="H176" s="238"/>
      <c r="I176" s="238"/>
      <c r="J176" s="134"/>
      <c r="K176" s="148"/>
      <c r="L176" s="89"/>
      <c r="M176" s="104"/>
      <c r="N176" s="160"/>
      <c r="O176" s="161"/>
      <c r="P176" s="83"/>
      <c r="Q176" s="84"/>
      <c r="R176" s="85"/>
      <c r="S176" s="77">
        <f>SUM(S177,S182)</f>
        <v>0</v>
      </c>
      <c r="T176" s="6">
        <f>SUM(T177,T182)</f>
        <v>0</v>
      </c>
      <c r="U176" s="6">
        <f>SUM(U177,U182)</f>
        <v>0</v>
      </c>
    </row>
    <row r="177" spans="1:21" ht="54.6" hidden="1" thickBot="1" x14ac:dyDescent="0.35">
      <c r="A177" s="10" t="s">
        <v>973</v>
      </c>
      <c r="B177" s="10" t="s">
        <v>974</v>
      </c>
      <c r="C177" s="11" t="s">
        <v>975</v>
      </c>
      <c r="D177" s="12"/>
      <c r="E177" s="12" t="s">
        <v>976</v>
      </c>
      <c r="F177" s="12" t="s">
        <v>61</v>
      </c>
      <c r="G177" s="13">
        <v>1</v>
      </c>
      <c r="H177" s="13"/>
      <c r="I177" s="91">
        <v>0</v>
      </c>
      <c r="J177" s="138"/>
      <c r="K177" s="149"/>
      <c r="L177" s="119"/>
      <c r="M177" s="105"/>
      <c r="N177" s="162"/>
      <c r="O177" s="163"/>
      <c r="P177" s="86">
        <v>170.27</v>
      </c>
      <c r="Q177" s="74">
        <v>853</v>
      </c>
      <c r="R177" s="87">
        <f>P177+ROUND(Q177, 2)</f>
        <v>1023.27</v>
      </c>
      <c r="S177" s="78">
        <v>0</v>
      </c>
      <c r="T177" s="14">
        <v>0</v>
      </c>
      <c r="U177" s="14">
        <f>S177+T177</f>
        <v>0</v>
      </c>
    </row>
    <row r="178" spans="1:21" ht="26.4" hidden="1" thickBot="1" x14ac:dyDescent="0.55000000000000004">
      <c r="A178" s="10" t="s">
        <v>980</v>
      </c>
      <c r="B178" s="10"/>
      <c r="C178" s="28" t="s">
        <v>859</v>
      </c>
      <c r="D178" s="12"/>
      <c r="E178" s="12"/>
      <c r="F178" s="29" t="s">
        <v>364</v>
      </c>
      <c r="G178" s="30">
        <v>1.3</v>
      </c>
      <c r="H178" s="49"/>
      <c r="I178" s="93">
        <v>0</v>
      </c>
      <c r="J178" s="139"/>
      <c r="K178" s="148"/>
      <c r="L178" s="89"/>
      <c r="M178" s="106"/>
      <c r="N178" s="164"/>
      <c r="O178" s="164"/>
      <c r="P178" s="88">
        <v>8.6</v>
      </c>
      <c r="Q178" s="84"/>
      <c r="R178" s="85"/>
      <c r="S178" s="79">
        <f>ROUND(ROUND(P178, 2)*I178, 2)</f>
        <v>0</v>
      </c>
    </row>
    <row r="179" spans="1:21" ht="26.4" hidden="1" thickBot="1" x14ac:dyDescent="0.55000000000000004">
      <c r="A179" s="10" t="s">
        <v>985</v>
      </c>
      <c r="B179" s="10"/>
      <c r="C179" s="28" t="s">
        <v>866</v>
      </c>
      <c r="D179" s="12"/>
      <c r="E179" s="12"/>
      <c r="F179" s="29" t="s">
        <v>61</v>
      </c>
      <c r="G179" s="30">
        <v>1.1000000000000001</v>
      </c>
      <c r="H179" s="49"/>
      <c r="I179" s="93">
        <v>0</v>
      </c>
      <c r="J179" s="139"/>
      <c r="K179" s="148"/>
      <c r="L179" s="89"/>
      <c r="M179" s="106"/>
      <c r="N179" s="164"/>
      <c r="O179" s="164"/>
      <c r="P179" s="88">
        <v>26</v>
      </c>
      <c r="Q179" s="84"/>
      <c r="R179" s="85"/>
      <c r="S179" s="79">
        <f>ROUND(ROUND(P179, 2)*I179, 2)</f>
        <v>0</v>
      </c>
    </row>
    <row r="180" spans="1:21" ht="26.4" hidden="1" thickBot="1" x14ac:dyDescent="0.55000000000000004">
      <c r="A180" s="10" t="s">
        <v>990</v>
      </c>
      <c r="B180" s="10"/>
      <c r="C180" s="28" t="s">
        <v>873</v>
      </c>
      <c r="D180" s="12"/>
      <c r="E180" s="12"/>
      <c r="F180" s="29" t="s">
        <v>76</v>
      </c>
      <c r="G180" s="30">
        <v>1.05</v>
      </c>
      <c r="H180" s="49"/>
      <c r="I180" s="93">
        <v>0</v>
      </c>
      <c r="J180" s="139"/>
      <c r="K180" s="148"/>
      <c r="L180" s="89"/>
      <c r="M180" s="106"/>
      <c r="N180" s="164"/>
      <c r="O180" s="164"/>
      <c r="P180" s="88">
        <v>15.76</v>
      </c>
      <c r="Q180" s="84"/>
      <c r="R180" s="85"/>
      <c r="S180" s="79">
        <f>ROUND(ROUND(P180, 2)*I180, 2)</f>
        <v>0</v>
      </c>
    </row>
    <row r="181" spans="1:21" ht="21.45" hidden="1" customHeight="1" x14ac:dyDescent="0.5">
      <c r="A181" s="10" t="s">
        <v>995</v>
      </c>
      <c r="B181" s="10"/>
      <c r="C181" s="28" t="s">
        <v>397</v>
      </c>
      <c r="D181" s="12"/>
      <c r="E181" s="12"/>
      <c r="F181" s="29" t="s">
        <v>364</v>
      </c>
      <c r="G181" s="30">
        <v>0.15</v>
      </c>
      <c r="H181" s="30"/>
      <c r="I181" s="92">
        <v>0</v>
      </c>
      <c r="J181" s="139"/>
      <c r="K181" s="148"/>
      <c r="L181" s="89"/>
      <c r="M181" s="106"/>
      <c r="N181" s="164"/>
      <c r="O181" s="164"/>
      <c r="P181" s="88">
        <v>88.8</v>
      </c>
      <c r="Q181" s="84"/>
      <c r="R181" s="85"/>
      <c r="S181" s="79">
        <f>ROUND(ROUND(P181, 2)*I181, 2)</f>
        <v>0</v>
      </c>
    </row>
    <row r="182" spans="1:21" ht="36.6" hidden="1" thickBot="1" x14ac:dyDescent="0.35">
      <c r="A182" s="10" t="s">
        <v>1000</v>
      </c>
      <c r="B182" s="10" t="s">
        <v>1001</v>
      </c>
      <c r="C182" s="11" t="s">
        <v>1002</v>
      </c>
      <c r="D182" s="12"/>
      <c r="E182" s="12" t="s">
        <v>976</v>
      </c>
      <c r="F182" s="12" t="s">
        <v>61</v>
      </c>
      <c r="G182" s="13">
        <v>1</v>
      </c>
      <c r="H182" s="13"/>
      <c r="I182" s="91">
        <v>0</v>
      </c>
      <c r="J182" s="138"/>
      <c r="K182" s="149"/>
      <c r="L182" s="119"/>
      <c r="M182" s="105"/>
      <c r="N182" s="162"/>
      <c r="O182" s="163"/>
      <c r="P182" s="86">
        <v>36.18</v>
      </c>
      <c r="Q182" s="74">
        <v>546</v>
      </c>
      <c r="R182" s="87">
        <f>P182+ROUND(Q182, 2)</f>
        <v>582.17999999999995</v>
      </c>
      <c r="S182" s="78">
        <v>0</v>
      </c>
      <c r="T182" s="14">
        <v>0</v>
      </c>
      <c r="U182" s="14">
        <f>S182+T182</f>
        <v>0</v>
      </c>
    </row>
    <row r="183" spans="1:21" ht="36.6" hidden="1" thickBot="1" x14ac:dyDescent="0.55000000000000004">
      <c r="A183" s="10" t="s">
        <v>1006</v>
      </c>
      <c r="B183" s="10"/>
      <c r="C183" s="47" t="s">
        <v>1007</v>
      </c>
      <c r="D183" s="12"/>
      <c r="E183" s="12"/>
      <c r="F183" s="29" t="s">
        <v>364</v>
      </c>
      <c r="G183" s="30">
        <v>1.8</v>
      </c>
      <c r="H183" s="30"/>
      <c r="I183" s="92">
        <v>0</v>
      </c>
      <c r="J183" s="139"/>
      <c r="K183" s="148"/>
      <c r="L183" s="89"/>
      <c r="M183" s="106"/>
      <c r="N183" s="164"/>
      <c r="O183" s="164"/>
      <c r="P183" s="88">
        <v>12.7</v>
      </c>
      <c r="Q183" s="84"/>
      <c r="R183" s="85"/>
      <c r="S183" s="79">
        <f>ROUND(ROUND(P183, 2)*I183, 2)</f>
        <v>0</v>
      </c>
    </row>
    <row r="184" spans="1:21" ht="36.6" hidden="1" thickBot="1" x14ac:dyDescent="0.55000000000000004">
      <c r="A184" s="10" t="s">
        <v>1013</v>
      </c>
      <c r="B184" s="10"/>
      <c r="C184" s="28" t="s">
        <v>397</v>
      </c>
      <c r="D184" s="12"/>
      <c r="E184" s="12"/>
      <c r="F184" s="29" t="s">
        <v>364</v>
      </c>
      <c r="G184" s="30">
        <v>0.15</v>
      </c>
      <c r="H184" s="30"/>
      <c r="I184" s="92">
        <v>0</v>
      </c>
      <c r="J184" s="139"/>
      <c r="K184" s="148"/>
      <c r="L184" s="89"/>
      <c r="M184" s="106"/>
      <c r="N184" s="164"/>
      <c r="O184" s="164"/>
      <c r="P184" s="88">
        <v>88.8</v>
      </c>
      <c r="Q184" s="84"/>
      <c r="R184" s="85"/>
      <c r="S184" s="79">
        <f>ROUND(ROUND(P184, 2)*I184, 2)</f>
        <v>0</v>
      </c>
    </row>
    <row r="185" spans="1:21" ht="16.95" hidden="1" customHeight="1" x14ac:dyDescent="0.5">
      <c r="A185" s="10" t="s">
        <v>1018</v>
      </c>
      <c r="B185" s="10" t="s">
        <v>1019</v>
      </c>
      <c r="C185" s="237" t="s">
        <v>1020</v>
      </c>
      <c r="D185" s="238"/>
      <c r="E185" s="238"/>
      <c r="F185" s="238"/>
      <c r="G185" s="238"/>
      <c r="H185" s="238"/>
      <c r="I185" s="238"/>
      <c r="J185" s="134"/>
      <c r="K185" s="148"/>
      <c r="L185" s="89"/>
      <c r="M185" s="104"/>
      <c r="N185" s="160"/>
      <c r="O185" s="161"/>
      <c r="P185" s="83"/>
      <c r="Q185" s="84"/>
      <c r="R185" s="85"/>
      <c r="S185" s="77">
        <f>SUM(S186,S189,S192,S195)</f>
        <v>0</v>
      </c>
      <c r="T185" s="6">
        <f>SUM(T186,T189,T192,T195)</f>
        <v>0</v>
      </c>
      <c r="U185" s="6">
        <f>SUM(U186,U189,U192,U195)</f>
        <v>0</v>
      </c>
    </row>
    <row r="186" spans="1:21" ht="36.6" hidden="1" thickBot="1" x14ac:dyDescent="0.35">
      <c r="A186" s="10" t="s">
        <v>1021</v>
      </c>
      <c r="B186" s="10" t="s">
        <v>1022</v>
      </c>
      <c r="C186" s="11" t="s">
        <v>1023</v>
      </c>
      <c r="D186" s="12"/>
      <c r="E186" s="12" t="s">
        <v>1024</v>
      </c>
      <c r="F186" s="12" t="s">
        <v>61</v>
      </c>
      <c r="G186" s="13">
        <v>1</v>
      </c>
      <c r="H186" s="13"/>
      <c r="I186" s="91">
        <v>0</v>
      </c>
      <c r="J186" s="138"/>
      <c r="K186" s="149"/>
      <c r="L186" s="119"/>
      <c r="M186" s="105"/>
      <c r="N186" s="162"/>
      <c r="O186" s="163"/>
      <c r="P186" s="86">
        <v>73.040000000000006</v>
      </c>
      <c r="Q186" s="74">
        <v>464</v>
      </c>
      <c r="R186" s="87">
        <f>P186+ROUND(Q186, 2)</f>
        <v>537.04</v>
      </c>
      <c r="S186" s="78">
        <v>0</v>
      </c>
      <c r="T186" s="14">
        <v>0</v>
      </c>
      <c r="U186" s="14">
        <f>S186+T186</f>
        <v>0</v>
      </c>
    </row>
    <row r="187" spans="1:21" ht="116.55" hidden="1" customHeight="1" x14ac:dyDescent="0.5">
      <c r="A187" s="10" t="s">
        <v>1028</v>
      </c>
      <c r="B187" s="10"/>
      <c r="C187" s="28" t="s">
        <v>1029</v>
      </c>
      <c r="D187" s="12"/>
      <c r="E187" s="12" t="s">
        <v>1030</v>
      </c>
      <c r="F187" s="29" t="s">
        <v>364</v>
      </c>
      <c r="G187" s="30">
        <v>0.4</v>
      </c>
      <c r="H187" s="30"/>
      <c r="I187" s="92">
        <v>0</v>
      </c>
      <c r="J187" s="139"/>
      <c r="K187" s="148"/>
      <c r="L187" s="89"/>
      <c r="M187" s="106"/>
      <c r="N187" s="164"/>
      <c r="O187" s="164"/>
      <c r="P187" s="88">
        <v>149.31</v>
      </c>
      <c r="Q187" s="84"/>
      <c r="R187" s="85"/>
      <c r="S187" s="79">
        <f>ROUND(ROUND(P187, 2)*I187, 2)</f>
        <v>0</v>
      </c>
    </row>
    <row r="188" spans="1:21" ht="26.4" hidden="1" thickBot="1" x14ac:dyDescent="0.55000000000000004">
      <c r="A188" s="10" t="s">
        <v>1036</v>
      </c>
      <c r="B188" s="10"/>
      <c r="C188" s="28" t="s">
        <v>680</v>
      </c>
      <c r="D188" s="12"/>
      <c r="E188" s="12"/>
      <c r="F188" s="29" t="s">
        <v>364</v>
      </c>
      <c r="G188" s="30">
        <v>0.15</v>
      </c>
      <c r="H188" s="30"/>
      <c r="I188" s="92">
        <v>0</v>
      </c>
      <c r="J188" s="139"/>
      <c r="K188" s="148"/>
      <c r="L188" s="89"/>
      <c r="M188" s="106"/>
      <c r="N188" s="164"/>
      <c r="O188" s="164"/>
      <c r="P188" s="88">
        <v>88.8</v>
      </c>
      <c r="Q188" s="84"/>
      <c r="R188" s="85"/>
      <c r="S188" s="79">
        <f>ROUND(ROUND(P188, 2)*I188, 2)</f>
        <v>0</v>
      </c>
    </row>
    <row r="189" spans="1:21" ht="36.6" hidden="1" thickBot="1" x14ac:dyDescent="0.35">
      <c r="A189" s="10" t="s">
        <v>1041</v>
      </c>
      <c r="B189" s="10" t="s">
        <v>1022</v>
      </c>
      <c r="C189" s="11" t="s">
        <v>1023</v>
      </c>
      <c r="D189" s="12"/>
      <c r="E189" s="12" t="s">
        <v>1042</v>
      </c>
      <c r="F189" s="12" t="s">
        <v>61</v>
      </c>
      <c r="G189" s="13">
        <v>1</v>
      </c>
      <c r="H189" s="13"/>
      <c r="I189" s="91">
        <v>0</v>
      </c>
      <c r="J189" s="138"/>
      <c r="K189" s="149"/>
      <c r="L189" s="119"/>
      <c r="M189" s="105"/>
      <c r="N189" s="162"/>
      <c r="O189" s="163"/>
      <c r="P189" s="86">
        <v>73.040000000000006</v>
      </c>
      <c r="Q189" s="74">
        <v>464</v>
      </c>
      <c r="R189" s="87">
        <f>P189+ROUND(Q189, 2)</f>
        <v>537.04</v>
      </c>
      <c r="S189" s="78">
        <v>0</v>
      </c>
      <c r="T189" s="14">
        <v>0</v>
      </c>
      <c r="U189" s="14">
        <f>S189+T189</f>
        <v>0</v>
      </c>
    </row>
    <row r="190" spans="1:21" ht="26.4" hidden="1" thickBot="1" x14ac:dyDescent="0.55000000000000004">
      <c r="A190" s="10" t="s">
        <v>1044</v>
      </c>
      <c r="B190" s="10"/>
      <c r="C190" s="28" t="s">
        <v>680</v>
      </c>
      <c r="D190" s="12"/>
      <c r="E190" s="12"/>
      <c r="F190" s="29" t="s">
        <v>364</v>
      </c>
      <c r="G190" s="30">
        <v>0.15</v>
      </c>
      <c r="H190" s="30"/>
      <c r="I190" s="92">
        <v>0</v>
      </c>
      <c r="J190" s="139"/>
      <c r="K190" s="148"/>
      <c r="L190" s="89"/>
      <c r="M190" s="106"/>
      <c r="N190" s="164"/>
      <c r="O190" s="164"/>
      <c r="P190" s="88">
        <v>88.8</v>
      </c>
      <c r="Q190" s="84"/>
      <c r="R190" s="85"/>
      <c r="S190" s="79">
        <f>ROUND(ROUND(P190, 2)*I190, 2)</f>
        <v>0</v>
      </c>
    </row>
    <row r="191" spans="1:21" ht="72.599999999999994" hidden="1" thickBot="1" x14ac:dyDescent="0.55000000000000004">
      <c r="A191" s="10" t="s">
        <v>1049</v>
      </c>
      <c r="B191" s="10"/>
      <c r="C191" s="28" t="s">
        <v>1029</v>
      </c>
      <c r="D191" s="12"/>
      <c r="E191" s="12" t="s">
        <v>1050</v>
      </c>
      <c r="F191" s="29" t="s">
        <v>364</v>
      </c>
      <c r="G191" s="30">
        <v>0.4</v>
      </c>
      <c r="H191" s="30"/>
      <c r="I191" s="92">
        <v>0</v>
      </c>
      <c r="J191" s="139"/>
      <c r="K191" s="148"/>
      <c r="L191" s="89"/>
      <c r="M191" s="106"/>
      <c r="N191" s="164"/>
      <c r="O191" s="164"/>
      <c r="P191" s="88">
        <v>149.31</v>
      </c>
      <c r="Q191" s="84"/>
      <c r="R191" s="85"/>
      <c r="S191" s="79">
        <f>ROUND(ROUND(P191, 2)*I191, 2)</f>
        <v>0</v>
      </c>
    </row>
    <row r="192" spans="1:21" ht="36.6" hidden="1" thickBot="1" x14ac:dyDescent="0.35">
      <c r="A192" s="10" t="s">
        <v>1055</v>
      </c>
      <c r="B192" s="10" t="s">
        <v>1022</v>
      </c>
      <c r="C192" s="11" t="s">
        <v>1023</v>
      </c>
      <c r="D192" s="12"/>
      <c r="E192" s="12" t="s">
        <v>1056</v>
      </c>
      <c r="F192" s="12" t="s">
        <v>61</v>
      </c>
      <c r="G192" s="13">
        <v>1</v>
      </c>
      <c r="H192" s="13"/>
      <c r="I192" s="91">
        <v>0</v>
      </c>
      <c r="J192" s="138"/>
      <c r="K192" s="149"/>
      <c r="L192" s="119"/>
      <c r="M192" s="105"/>
      <c r="N192" s="162"/>
      <c r="O192" s="163"/>
      <c r="P192" s="86">
        <v>73.040000000000006</v>
      </c>
      <c r="Q192" s="74">
        <v>464</v>
      </c>
      <c r="R192" s="87">
        <f>P192+ROUND(Q192, 2)</f>
        <v>537.04</v>
      </c>
      <c r="S192" s="78">
        <v>0</v>
      </c>
      <c r="T192" s="14">
        <v>0</v>
      </c>
      <c r="U192" s="14">
        <f>S192+T192</f>
        <v>0</v>
      </c>
    </row>
    <row r="193" spans="1:21" ht="60.45" hidden="1" customHeight="1" x14ac:dyDescent="0.5">
      <c r="A193" s="10" t="s">
        <v>1058</v>
      </c>
      <c r="B193" s="10"/>
      <c r="C193" s="28" t="s">
        <v>1029</v>
      </c>
      <c r="D193" s="12"/>
      <c r="E193" s="12" t="s">
        <v>1059</v>
      </c>
      <c r="F193" s="29" t="s">
        <v>364</v>
      </c>
      <c r="G193" s="30">
        <v>0.4</v>
      </c>
      <c r="H193" s="30"/>
      <c r="I193" s="92">
        <v>0</v>
      </c>
      <c r="J193" s="139"/>
      <c r="K193" s="148"/>
      <c r="L193" s="89"/>
      <c r="M193" s="106"/>
      <c r="N193" s="164"/>
      <c r="O193" s="164"/>
      <c r="P193" s="88">
        <v>149.31</v>
      </c>
      <c r="Q193" s="84"/>
      <c r="R193" s="85"/>
      <c r="S193" s="79">
        <f>ROUND(ROUND(P193, 2)*I193, 2)</f>
        <v>0</v>
      </c>
    </row>
    <row r="194" spans="1:21" ht="26.4" hidden="1" thickBot="1" x14ac:dyDescent="0.55000000000000004">
      <c r="A194" s="10" t="s">
        <v>1064</v>
      </c>
      <c r="B194" s="10"/>
      <c r="C194" s="28" t="s">
        <v>680</v>
      </c>
      <c r="D194" s="12"/>
      <c r="E194" s="12"/>
      <c r="F194" s="29" t="s">
        <v>364</v>
      </c>
      <c r="G194" s="30">
        <v>0.15</v>
      </c>
      <c r="H194" s="30"/>
      <c r="I194" s="92">
        <v>0</v>
      </c>
      <c r="J194" s="139"/>
      <c r="K194" s="148"/>
      <c r="L194" s="89"/>
      <c r="M194" s="106"/>
      <c r="N194" s="164"/>
      <c r="O194" s="164"/>
      <c r="P194" s="88">
        <v>88.8</v>
      </c>
      <c r="Q194" s="84"/>
      <c r="R194" s="85"/>
      <c r="S194" s="79">
        <f>ROUND(ROUND(P194, 2)*I194, 2)</f>
        <v>0</v>
      </c>
    </row>
    <row r="195" spans="1:21" ht="36.6" hidden="1" thickBot="1" x14ac:dyDescent="0.35">
      <c r="A195" s="10" t="s">
        <v>1069</v>
      </c>
      <c r="B195" s="10" t="s">
        <v>1022</v>
      </c>
      <c r="C195" s="11" t="s">
        <v>1023</v>
      </c>
      <c r="D195" s="12"/>
      <c r="E195" s="12" t="s">
        <v>1070</v>
      </c>
      <c r="F195" s="12" t="s">
        <v>61</v>
      </c>
      <c r="G195" s="13">
        <v>1</v>
      </c>
      <c r="H195" s="13"/>
      <c r="I195" s="91">
        <v>0</v>
      </c>
      <c r="J195" s="138"/>
      <c r="K195" s="149"/>
      <c r="L195" s="119"/>
      <c r="M195" s="105"/>
      <c r="N195" s="162"/>
      <c r="O195" s="163"/>
      <c r="P195" s="86">
        <v>73.040000000000006</v>
      </c>
      <c r="Q195" s="74">
        <v>464</v>
      </c>
      <c r="R195" s="87">
        <f>P195+ROUND(Q195, 2)</f>
        <v>537.04</v>
      </c>
      <c r="S195" s="78">
        <v>0</v>
      </c>
      <c r="T195" s="14">
        <v>0</v>
      </c>
      <c r="U195" s="14">
        <f>S195+T195</f>
        <v>0</v>
      </c>
    </row>
    <row r="196" spans="1:21" ht="22.95" hidden="1" customHeight="1" x14ac:dyDescent="0.5">
      <c r="A196" s="10" t="s">
        <v>1072</v>
      </c>
      <c r="B196" s="10"/>
      <c r="C196" s="28" t="s">
        <v>680</v>
      </c>
      <c r="D196" s="12"/>
      <c r="E196" s="12"/>
      <c r="F196" s="29" t="s">
        <v>364</v>
      </c>
      <c r="G196" s="30">
        <v>0.15</v>
      </c>
      <c r="H196" s="30"/>
      <c r="I196" s="92">
        <v>0</v>
      </c>
      <c r="J196" s="139"/>
      <c r="K196" s="148"/>
      <c r="L196" s="89"/>
      <c r="M196" s="106"/>
      <c r="N196" s="164"/>
      <c r="O196" s="164"/>
      <c r="P196" s="88">
        <v>88.8</v>
      </c>
      <c r="Q196" s="84"/>
      <c r="R196" s="85"/>
      <c r="S196" s="79">
        <f>ROUND(ROUND(P196, 2)*I196, 2)</f>
        <v>0</v>
      </c>
    </row>
    <row r="197" spans="1:21" ht="54.6" hidden="1" thickBot="1" x14ac:dyDescent="0.55000000000000004">
      <c r="A197" s="10" t="s">
        <v>1077</v>
      </c>
      <c r="B197" s="10"/>
      <c r="C197" s="28" t="s">
        <v>1029</v>
      </c>
      <c r="D197" s="12"/>
      <c r="E197" s="12" t="s">
        <v>1078</v>
      </c>
      <c r="F197" s="29" t="s">
        <v>364</v>
      </c>
      <c r="G197" s="30">
        <v>0.4</v>
      </c>
      <c r="H197" s="30"/>
      <c r="I197" s="92">
        <v>0</v>
      </c>
      <c r="J197" s="139"/>
      <c r="K197" s="148"/>
      <c r="L197" s="89"/>
      <c r="M197" s="106"/>
      <c r="N197" s="164"/>
      <c r="O197" s="164"/>
      <c r="P197" s="88">
        <v>149.31</v>
      </c>
      <c r="Q197" s="84"/>
      <c r="R197" s="85"/>
      <c r="S197" s="79">
        <f>ROUND(ROUND(P197, 2)*I197, 2)</f>
        <v>0</v>
      </c>
    </row>
    <row r="198" spans="1:21" ht="16.95" hidden="1" customHeight="1" x14ac:dyDescent="0.5">
      <c r="A198" s="10" t="s">
        <v>1083</v>
      </c>
      <c r="B198" s="10" t="s">
        <v>1084</v>
      </c>
      <c r="C198" s="237" t="s">
        <v>1085</v>
      </c>
      <c r="D198" s="238"/>
      <c r="E198" s="238"/>
      <c r="F198" s="238"/>
      <c r="G198" s="238"/>
      <c r="H198" s="238"/>
      <c r="I198" s="238"/>
      <c r="J198" s="134"/>
      <c r="K198" s="148"/>
      <c r="L198" s="89"/>
      <c r="M198" s="104"/>
      <c r="N198" s="160"/>
      <c r="O198" s="161"/>
      <c r="P198" s="83"/>
      <c r="Q198" s="84"/>
      <c r="R198" s="85"/>
      <c r="S198" s="77">
        <f>SUM(S199,S201,S203,S204,S215,S226,S237)</f>
        <v>0</v>
      </c>
      <c r="T198" s="6">
        <f>SUM(T199,T201,T203,T204,T215,T226,T237)</f>
        <v>0</v>
      </c>
      <c r="U198" s="6">
        <f>SUM(U199,U201,U203,U204,U215,U226,U237)</f>
        <v>0</v>
      </c>
    </row>
    <row r="199" spans="1:21" ht="90.6" hidden="1" thickBot="1" x14ac:dyDescent="0.35">
      <c r="A199" s="10" t="s">
        <v>1086</v>
      </c>
      <c r="B199" s="10" t="s">
        <v>1087</v>
      </c>
      <c r="C199" s="11" t="s">
        <v>1088</v>
      </c>
      <c r="D199" s="12"/>
      <c r="E199" s="12" t="s">
        <v>1089</v>
      </c>
      <c r="F199" s="12" t="s">
        <v>61</v>
      </c>
      <c r="G199" s="13">
        <v>1</v>
      </c>
      <c r="H199" s="13"/>
      <c r="I199" s="91">
        <v>0</v>
      </c>
      <c r="J199" s="138"/>
      <c r="K199" s="149"/>
      <c r="L199" s="119"/>
      <c r="M199" s="105"/>
      <c r="N199" s="162"/>
      <c r="O199" s="163"/>
      <c r="P199" s="86">
        <v>7126.9</v>
      </c>
      <c r="Q199" s="74">
        <v>837</v>
      </c>
      <c r="R199" s="87">
        <f>P199+ROUND(Q199, 2)</f>
        <v>7963.9</v>
      </c>
      <c r="S199" s="78">
        <v>0</v>
      </c>
      <c r="T199" s="14">
        <v>0</v>
      </c>
      <c r="U199" s="14">
        <f>S199+T199</f>
        <v>0</v>
      </c>
    </row>
    <row r="200" spans="1:21" ht="36.6" hidden="1" thickBot="1" x14ac:dyDescent="0.55000000000000004">
      <c r="A200" s="10" t="s">
        <v>1093</v>
      </c>
      <c r="B200" s="10"/>
      <c r="C200" s="28" t="s">
        <v>1094</v>
      </c>
      <c r="D200" s="12"/>
      <c r="E200" s="12"/>
      <c r="F200" s="29" t="s">
        <v>61</v>
      </c>
      <c r="G200" s="30">
        <v>1.1000000000000001</v>
      </c>
      <c r="H200" s="49"/>
      <c r="I200" s="93">
        <v>0</v>
      </c>
      <c r="J200" s="139"/>
      <c r="K200" s="148"/>
      <c r="L200" s="89"/>
      <c r="M200" s="106"/>
      <c r="N200" s="164"/>
      <c r="O200" s="164"/>
      <c r="P200" s="88">
        <v>6479</v>
      </c>
      <c r="Q200" s="84"/>
      <c r="R200" s="85"/>
      <c r="S200" s="79">
        <f>ROUND(ROUND(P200, 2)*I200, 2)</f>
        <v>0</v>
      </c>
    </row>
    <row r="201" spans="1:21" ht="90.6" hidden="1" thickBot="1" x14ac:dyDescent="0.35">
      <c r="A201" s="10" t="s">
        <v>1100</v>
      </c>
      <c r="B201" s="10" t="s">
        <v>1087</v>
      </c>
      <c r="C201" s="11" t="s">
        <v>1088</v>
      </c>
      <c r="D201" s="12"/>
      <c r="E201" s="12" t="s">
        <v>1101</v>
      </c>
      <c r="F201" s="12" t="s">
        <v>61</v>
      </c>
      <c r="G201" s="13">
        <v>1</v>
      </c>
      <c r="H201" s="13"/>
      <c r="I201" s="91">
        <v>0</v>
      </c>
      <c r="J201" s="138"/>
      <c r="K201" s="149"/>
      <c r="L201" s="119"/>
      <c r="M201" s="105"/>
      <c r="N201" s="162"/>
      <c r="O201" s="163"/>
      <c r="P201" s="86">
        <v>1280.4000000000001</v>
      </c>
      <c r="Q201" s="74">
        <v>837</v>
      </c>
      <c r="R201" s="87">
        <f>P201+ROUND(Q201, 2)</f>
        <v>2117.4</v>
      </c>
      <c r="S201" s="78">
        <v>0</v>
      </c>
      <c r="T201" s="14">
        <v>0</v>
      </c>
      <c r="U201" s="14">
        <f>S201+T201</f>
        <v>0</v>
      </c>
    </row>
    <row r="202" spans="1:21" ht="24.45" hidden="1" customHeight="1" x14ac:dyDescent="0.5">
      <c r="A202" s="10" t="s">
        <v>1103</v>
      </c>
      <c r="B202" s="10"/>
      <c r="C202" s="28" t="s">
        <v>1104</v>
      </c>
      <c r="D202" s="12"/>
      <c r="E202" s="12"/>
      <c r="F202" s="29" t="s">
        <v>61</v>
      </c>
      <c r="G202" s="30">
        <v>1.1000000000000001</v>
      </c>
      <c r="H202" s="49"/>
      <c r="I202" s="93">
        <v>0</v>
      </c>
      <c r="J202" s="139"/>
      <c r="K202" s="148"/>
      <c r="L202" s="89"/>
      <c r="M202" s="106"/>
      <c r="N202" s="164"/>
      <c r="O202" s="164"/>
      <c r="P202" s="88">
        <v>1164</v>
      </c>
      <c r="Q202" s="84"/>
      <c r="R202" s="85"/>
      <c r="S202" s="79">
        <f>ROUND(ROUND(P202, 2)*I202, 2)</f>
        <v>0</v>
      </c>
    </row>
    <row r="203" spans="1:21" ht="54.6" hidden="1" thickBot="1" x14ac:dyDescent="0.35">
      <c r="A203" s="10" t="s">
        <v>1110</v>
      </c>
      <c r="B203" s="10" t="s">
        <v>1111</v>
      </c>
      <c r="C203" s="11" t="s">
        <v>1112</v>
      </c>
      <c r="D203" s="12"/>
      <c r="E203" s="12" t="s">
        <v>1113</v>
      </c>
      <c r="F203" s="12" t="s">
        <v>61</v>
      </c>
      <c r="G203" s="13">
        <v>1</v>
      </c>
      <c r="H203" s="13"/>
      <c r="I203" s="91">
        <v>0</v>
      </c>
      <c r="J203" s="138"/>
      <c r="K203" s="149"/>
      <c r="L203" s="119"/>
      <c r="M203" s="105"/>
      <c r="N203" s="162"/>
      <c r="O203" s="163"/>
      <c r="P203" s="86">
        <v>0</v>
      </c>
      <c r="Q203" s="74">
        <v>121</v>
      </c>
      <c r="R203" s="87">
        <f>P203+ROUND(Q203, 2)</f>
        <v>121</v>
      </c>
      <c r="S203" s="78">
        <v>0</v>
      </c>
      <c r="T203" s="14">
        <v>0</v>
      </c>
      <c r="U203" s="14">
        <f>S203+T203</f>
        <v>0</v>
      </c>
    </row>
    <row r="204" spans="1:21" ht="72.599999999999994" hidden="1" thickBot="1" x14ac:dyDescent="0.35">
      <c r="A204" s="10" t="s">
        <v>1117</v>
      </c>
      <c r="B204" s="10" t="s">
        <v>1118</v>
      </c>
      <c r="C204" s="11" t="s">
        <v>1119</v>
      </c>
      <c r="D204" s="12"/>
      <c r="E204" s="12" t="s">
        <v>1120</v>
      </c>
      <c r="F204" s="12" t="s">
        <v>61</v>
      </c>
      <c r="G204" s="13">
        <v>1</v>
      </c>
      <c r="H204" s="13"/>
      <c r="I204" s="91">
        <v>0</v>
      </c>
      <c r="J204" s="138"/>
      <c r="K204" s="149"/>
      <c r="L204" s="119"/>
      <c r="M204" s="105"/>
      <c r="N204" s="162"/>
      <c r="O204" s="163"/>
      <c r="P204" s="86">
        <v>584.54999999999995</v>
      </c>
      <c r="Q204" s="74">
        <v>1379</v>
      </c>
      <c r="R204" s="87">
        <f>P204+ROUND(Q204, 2)</f>
        <v>1963.55</v>
      </c>
      <c r="S204" s="78">
        <v>0</v>
      </c>
      <c r="T204" s="14">
        <v>0</v>
      </c>
      <c r="U204" s="14">
        <f>S204+T204</f>
        <v>0</v>
      </c>
    </row>
    <row r="205" spans="1:21" ht="26.4" hidden="1" thickBot="1" x14ac:dyDescent="0.55000000000000004">
      <c r="A205" s="10" t="s">
        <v>1124</v>
      </c>
      <c r="B205" s="10"/>
      <c r="C205" s="28" t="s">
        <v>1125</v>
      </c>
      <c r="D205" s="12"/>
      <c r="E205" s="12"/>
      <c r="F205" s="29" t="s">
        <v>356</v>
      </c>
      <c r="G205" s="30">
        <v>15</v>
      </c>
      <c r="H205" s="30"/>
      <c r="I205" s="92">
        <v>0</v>
      </c>
      <c r="J205" s="139"/>
      <c r="K205" s="148"/>
      <c r="L205" s="89"/>
      <c r="M205" s="106"/>
      <c r="N205" s="164"/>
      <c r="O205" s="164"/>
      <c r="P205" s="88">
        <v>0.95</v>
      </c>
      <c r="Q205" s="84"/>
      <c r="R205" s="85"/>
      <c r="S205" s="79">
        <f t="shared" ref="S205:S214" si="2">ROUND(ROUND(P205, 2)*I205, 2)</f>
        <v>0</v>
      </c>
    </row>
    <row r="206" spans="1:21" ht="26.4" hidden="1" thickBot="1" x14ac:dyDescent="0.55000000000000004">
      <c r="A206" s="10" t="s">
        <v>1131</v>
      </c>
      <c r="B206" s="10"/>
      <c r="C206" s="28" t="s">
        <v>1132</v>
      </c>
      <c r="D206" s="12"/>
      <c r="E206" s="12"/>
      <c r="F206" s="29" t="s">
        <v>364</v>
      </c>
      <c r="G206" s="30">
        <v>0.35</v>
      </c>
      <c r="H206" s="30"/>
      <c r="I206" s="92">
        <v>0</v>
      </c>
      <c r="J206" s="139"/>
      <c r="K206" s="148"/>
      <c r="L206" s="89"/>
      <c r="M206" s="106"/>
      <c r="N206" s="164"/>
      <c r="O206" s="164"/>
      <c r="P206" s="88">
        <v>55</v>
      </c>
      <c r="Q206" s="84"/>
      <c r="R206" s="85"/>
      <c r="S206" s="79">
        <f t="shared" si="2"/>
        <v>0</v>
      </c>
    </row>
    <row r="207" spans="1:21" ht="26.4" hidden="1" thickBot="1" x14ac:dyDescent="0.55000000000000004">
      <c r="A207" s="10" t="s">
        <v>1138</v>
      </c>
      <c r="B207" s="10"/>
      <c r="C207" s="28" t="s">
        <v>1139</v>
      </c>
      <c r="D207" s="12"/>
      <c r="E207" s="12"/>
      <c r="F207" s="29" t="s">
        <v>356</v>
      </c>
      <c r="G207" s="30">
        <v>0.3</v>
      </c>
      <c r="H207" s="30"/>
      <c r="I207" s="92">
        <v>0</v>
      </c>
      <c r="J207" s="139"/>
      <c r="K207" s="148"/>
      <c r="L207" s="89"/>
      <c r="M207" s="106"/>
      <c r="N207" s="164"/>
      <c r="O207" s="164"/>
      <c r="P207" s="88">
        <v>5.6</v>
      </c>
      <c r="Q207" s="84"/>
      <c r="R207" s="85"/>
      <c r="S207" s="79">
        <f t="shared" si="2"/>
        <v>0</v>
      </c>
    </row>
    <row r="208" spans="1:21" ht="36.6" hidden="1" thickBot="1" x14ac:dyDescent="0.55000000000000004">
      <c r="A208" s="10" t="s">
        <v>1145</v>
      </c>
      <c r="B208" s="10"/>
      <c r="C208" s="47" t="s">
        <v>1146</v>
      </c>
      <c r="D208" s="12"/>
      <c r="E208" s="12"/>
      <c r="F208" s="29" t="s">
        <v>356</v>
      </c>
      <c r="G208" s="30">
        <v>3.6</v>
      </c>
      <c r="H208" s="30"/>
      <c r="I208" s="92">
        <v>0</v>
      </c>
      <c r="J208" s="139"/>
      <c r="K208" s="148"/>
      <c r="L208" s="89"/>
      <c r="M208" s="106"/>
      <c r="N208" s="164"/>
      <c r="O208" s="164"/>
      <c r="P208" s="88">
        <v>15.9</v>
      </c>
      <c r="Q208" s="84"/>
      <c r="R208" s="85"/>
      <c r="S208" s="79">
        <f t="shared" si="2"/>
        <v>0</v>
      </c>
    </row>
    <row r="209" spans="1:21" ht="26.4" hidden="1" thickBot="1" x14ac:dyDescent="0.55000000000000004">
      <c r="A209" s="10" t="s">
        <v>1152</v>
      </c>
      <c r="B209" s="10"/>
      <c r="C209" s="28" t="s">
        <v>1153</v>
      </c>
      <c r="D209" s="12"/>
      <c r="E209" s="12"/>
      <c r="F209" s="29" t="s">
        <v>76</v>
      </c>
      <c r="G209" s="30">
        <v>1.2</v>
      </c>
      <c r="H209" s="30"/>
      <c r="I209" s="92">
        <v>0</v>
      </c>
      <c r="J209" s="139"/>
      <c r="K209" s="148"/>
      <c r="L209" s="89"/>
      <c r="M209" s="106"/>
      <c r="N209" s="164"/>
      <c r="O209" s="164"/>
      <c r="P209" s="88">
        <v>22.82</v>
      </c>
      <c r="Q209" s="84"/>
      <c r="R209" s="85"/>
      <c r="S209" s="79">
        <f t="shared" si="2"/>
        <v>0</v>
      </c>
    </row>
    <row r="210" spans="1:21" ht="26.4" hidden="1" thickBot="1" x14ac:dyDescent="0.55000000000000004">
      <c r="A210" s="10" t="s">
        <v>1159</v>
      </c>
      <c r="B210" s="10"/>
      <c r="C210" s="28" t="s">
        <v>1160</v>
      </c>
      <c r="D210" s="12"/>
      <c r="E210" s="12"/>
      <c r="F210" s="29" t="s">
        <v>76</v>
      </c>
      <c r="G210" s="30">
        <v>4.7</v>
      </c>
      <c r="H210" s="30"/>
      <c r="I210" s="92">
        <v>0</v>
      </c>
      <c r="J210" s="139"/>
      <c r="K210" s="148"/>
      <c r="L210" s="89"/>
      <c r="M210" s="106"/>
      <c r="N210" s="164"/>
      <c r="O210" s="164"/>
      <c r="P210" s="88">
        <v>66.98</v>
      </c>
      <c r="Q210" s="84"/>
      <c r="R210" s="85"/>
      <c r="S210" s="79">
        <f t="shared" si="2"/>
        <v>0</v>
      </c>
    </row>
    <row r="211" spans="1:21" ht="24.45" hidden="1" customHeight="1" x14ac:dyDescent="0.5">
      <c r="A211" s="10" t="s">
        <v>1166</v>
      </c>
      <c r="B211" s="10"/>
      <c r="C211" s="28" t="s">
        <v>1167</v>
      </c>
      <c r="D211" s="12"/>
      <c r="E211" s="12"/>
      <c r="F211" s="29" t="s">
        <v>76</v>
      </c>
      <c r="G211" s="30">
        <v>1.05</v>
      </c>
      <c r="H211" s="30"/>
      <c r="I211" s="92">
        <v>0</v>
      </c>
      <c r="J211" s="139"/>
      <c r="K211" s="148"/>
      <c r="L211" s="89"/>
      <c r="M211" s="106"/>
      <c r="N211" s="164"/>
      <c r="O211" s="164"/>
      <c r="P211" s="88">
        <v>4.5999999999999996</v>
      </c>
      <c r="Q211" s="84"/>
      <c r="R211" s="85"/>
      <c r="S211" s="79">
        <f t="shared" si="2"/>
        <v>0</v>
      </c>
    </row>
    <row r="212" spans="1:21" ht="26.4" hidden="1" thickBot="1" x14ac:dyDescent="0.55000000000000004">
      <c r="A212" s="10" t="s">
        <v>1173</v>
      </c>
      <c r="B212" s="10"/>
      <c r="C212" s="28" t="s">
        <v>1174</v>
      </c>
      <c r="D212" s="12"/>
      <c r="E212" s="12"/>
      <c r="F212" s="29" t="s">
        <v>76</v>
      </c>
      <c r="G212" s="30">
        <v>0.25</v>
      </c>
      <c r="H212" s="30"/>
      <c r="I212" s="92">
        <v>0</v>
      </c>
      <c r="J212" s="139"/>
      <c r="K212" s="148"/>
      <c r="L212" s="89"/>
      <c r="M212" s="106"/>
      <c r="N212" s="164"/>
      <c r="O212" s="164"/>
      <c r="P212" s="88">
        <v>2.8</v>
      </c>
      <c r="Q212" s="84"/>
      <c r="R212" s="85"/>
      <c r="S212" s="79">
        <f t="shared" si="2"/>
        <v>0</v>
      </c>
    </row>
    <row r="213" spans="1:21" ht="36.6" hidden="1" thickBot="1" x14ac:dyDescent="0.55000000000000004">
      <c r="A213" s="10" t="s">
        <v>1180</v>
      </c>
      <c r="B213" s="10"/>
      <c r="C213" s="28" t="s">
        <v>1181</v>
      </c>
      <c r="D213" s="12"/>
      <c r="E213" s="12"/>
      <c r="F213" s="29" t="s">
        <v>61</v>
      </c>
      <c r="G213" s="30">
        <v>1.05</v>
      </c>
      <c r="H213" s="30"/>
      <c r="I213" s="92">
        <v>0</v>
      </c>
      <c r="J213" s="139"/>
      <c r="K213" s="148"/>
      <c r="L213" s="89"/>
      <c r="M213" s="106"/>
      <c r="N213" s="164"/>
      <c r="O213" s="164"/>
      <c r="P213" s="88">
        <v>135.53</v>
      </c>
      <c r="Q213" s="84"/>
      <c r="R213" s="85"/>
      <c r="S213" s="79">
        <f t="shared" si="2"/>
        <v>0</v>
      </c>
    </row>
    <row r="214" spans="1:21" ht="26.4" hidden="1" thickBot="1" x14ac:dyDescent="0.55000000000000004">
      <c r="A214" s="10" t="s">
        <v>1187</v>
      </c>
      <c r="B214" s="10"/>
      <c r="C214" s="28" t="s">
        <v>1188</v>
      </c>
      <c r="D214" s="12"/>
      <c r="E214" s="12"/>
      <c r="F214" s="29" t="s">
        <v>356</v>
      </c>
      <c r="G214" s="30">
        <v>0.75</v>
      </c>
      <c r="H214" s="30"/>
      <c r="I214" s="92">
        <v>0</v>
      </c>
      <c r="J214" s="139"/>
      <c r="K214" s="148"/>
      <c r="L214" s="89"/>
      <c r="M214" s="106"/>
      <c r="N214" s="164"/>
      <c r="O214" s="164"/>
      <c r="P214" s="88">
        <v>2.8</v>
      </c>
      <c r="Q214" s="84"/>
      <c r="R214" s="85"/>
      <c r="S214" s="79">
        <f t="shared" si="2"/>
        <v>0</v>
      </c>
    </row>
    <row r="215" spans="1:21" ht="54.6" hidden="1" thickBot="1" x14ac:dyDescent="0.35">
      <c r="A215" s="10" t="s">
        <v>1194</v>
      </c>
      <c r="B215" s="10" t="s">
        <v>1118</v>
      </c>
      <c r="C215" s="11" t="s">
        <v>1119</v>
      </c>
      <c r="D215" s="12"/>
      <c r="E215" s="12" t="s">
        <v>1195</v>
      </c>
      <c r="F215" s="12" t="s">
        <v>61</v>
      </c>
      <c r="G215" s="13">
        <v>1</v>
      </c>
      <c r="H215" s="13"/>
      <c r="I215" s="91">
        <v>0</v>
      </c>
      <c r="J215" s="138"/>
      <c r="K215" s="149"/>
      <c r="L215" s="119"/>
      <c r="M215" s="105"/>
      <c r="N215" s="162"/>
      <c r="O215" s="163"/>
      <c r="P215" s="86">
        <v>584.54999999999995</v>
      </c>
      <c r="Q215" s="74">
        <v>1379</v>
      </c>
      <c r="R215" s="87">
        <f>P215+ROUND(Q215, 2)</f>
        <v>1963.55</v>
      </c>
      <c r="S215" s="78">
        <v>0</v>
      </c>
      <c r="T215" s="14">
        <v>0</v>
      </c>
      <c r="U215" s="14">
        <f>S215+T215</f>
        <v>0</v>
      </c>
    </row>
    <row r="216" spans="1:21" ht="26.4" hidden="1" thickBot="1" x14ac:dyDescent="0.55000000000000004">
      <c r="A216" s="10" t="s">
        <v>1197</v>
      </c>
      <c r="B216" s="10"/>
      <c r="C216" s="28" t="s">
        <v>1188</v>
      </c>
      <c r="D216" s="12"/>
      <c r="E216" s="12"/>
      <c r="F216" s="29" t="s">
        <v>356</v>
      </c>
      <c r="G216" s="30">
        <v>0.75</v>
      </c>
      <c r="H216" s="30"/>
      <c r="I216" s="92">
        <v>0</v>
      </c>
      <c r="J216" s="139"/>
      <c r="K216" s="148"/>
      <c r="L216" s="89"/>
      <c r="M216" s="106"/>
      <c r="N216" s="164"/>
      <c r="O216" s="164"/>
      <c r="P216" s="88">
        <v>2.8</v>
      </c>
      <c r="Q216" s="84"/>
      <c r="R216" s="85"/>
      <c r="S216" s="79">
        <f t="shared" ref="S216:S225" si="3">ROUND(ROUND(P216, 2)*I216, 2)</f>
        <v>0</v>
      </c>
    </row>
    <row r="217" spans="1:21" ht="36.6" hidden="1" thickBot="1" x14ac:dyDescent="0.55000000000000004">
      <c r="A217" s="10" t="s">
        <v>1202</v>
      </c>
      <c r="B217" s="10"/>
      <c r="C217" s="28" t="s">
        <v>98</v>
      </c>
      <c r="D217" s="12"/>
      <c r="E217" s="12"/>
      <c r="F217" s="29" t="s">
        <v>61</v>
      </c>
      <c r="G217" s="30">
        <v>1.05</v>
      </c>
      <c r="H217" s="30"/>
      <c r="I217" s="92">
        <v>0</v>
      </c>
      <c r="J217" s="139"/>
      <c r="K217" s="148"/>
      <c r="L217" s="89"/>
      <c r="M217" s="106"/>
      <c r="N217" s="164"/>
      <c r="O217" s="164"/>
      <c r="P217" s="88">
        <v>135.53</v>
      </c>
      <c r="Q217" s="84"/>
      <c r="R217" s="85"/>
      <c r="S217" s="79">
        <f t="shared" si="3"/>
        <v>0</v>
      </c>
    </row>
    <row r="218" spans="1:21" ht="26.4" hidden="1" thickBot="1" x14ac:dyDescent="0.55000000000000004">
      <c r="A218" s="10" t="s">
        <v>1207</v>
      </c>
      <c r="B218" s="10"/>
      <c r="C218" s="28" t="s">
        <v>1174</v>
      </c>
      <c r="D218" s="12"/>
      <c r="E218" s="12"/>
      <c r="F218" s="29" t="s">
        <v>76</v>
      </c>
      <c r="G218" s="30">
        <v>0.25</v>
      </c>
      <c r="H218" s="30"/>
      <c r="I218" s="92">
        <v>0</v>
      </c>
      <c r="J218" s="139"/>
      <c r="K218" s="148"/>
      <c r="L218" s="89"/>
      <c r="M218" s="106"/>
      <c r="N218" s="164"/>
      <c r="O218" s="164"/>
      <c r="P218" s="88">
        <v>2.8</v>
      </c>
      <c r="Q218" s="84"/>
      <c r="R218" s="85"/>
      <c r="S218" s="79">
        <f t="shared" si="3"/>
        <v>0</v>
      </c>
    </row>
    <row r="219" spans="1:21" ht="26.4" hidden="1" thickBot="1" x14ac:dyDescent="0.55000000000000004">
      <c r="A219" s="10" t="s">
        <v>1212</v>
      </c>
      <c r="B219" s="10"/>
      <c r="C219" s="28" t="s">
        <v>1167</v>
      </c>
      <c r="D219" s="12"/>
      <c r="E219" s="12"/>
      <c r="F219" s="29" t="s">
        <v>76</v>
      </c>
      <c r="G219" s="30">
        <v>1.05</v>
      </c>
      <c r="H219" s="30"/>
      <c r="I219" s="92">
        <v>0</v>
      </c>
      <c r="J219" s="139"/>
      <c r="K219" s="148"/>
      <c r="L219" s="89"/>
      <c r="M219" s="106"/>
      <c r="N219" s="164"/>
      <c r="O219" s="164"/>
      <c r="P219" s="88">
        <v>4.5999999999999996</v>
      </c>
      <c r="Q219" s="84"/>
      <c r="R219" s="85"/>
      <c r="S219" s="79">
        <f t="shared" si="3"/>
        <v>0</v>
      </c>
    </row>
    <row r="220" spans="1:21" ht="22.05" hidden="1" customHeight="1" x14ac:dyDescent="0.5">
      <c r="A220" s="10" t="s">
        <v>1217</v>
      </c>
      <c r="B220" s="10"/>
      <c r="C220" s="28" t="s">
        <v>1153</v>
      </c>
      <c r="D220" s="12"/>
      <c r="E220" s="12"/>
      <c r="F220" s="29" t="s">
        <v>76</v>
      </c>
      <c r="G220" s="30">
        <v>1.2</v>
      </c>
      <c r="H220" s="30"/>
      <c r="I220" s="92">
        <v>0</v>
      </c>
      <c r="J220" s="139"/>
      <c r="K220" s="148"/>
      <c r="L220" s="89"/>
      <c r="M220" s="106"/>
      <c r="N220" s="164"/>
      <c r="O220" s="164"/>
      <c r="P220" s="88">
        <v>22.82</v>
      </c>
      <c r="Q220" s="84"/>
      <c r="R220" s="85"/>
      <c r="S220" s="79">
        <f t="shared" si="3"/>
        <v>0</v>
      </c>
    </row>
    <row r="221" spans="1:21" ht="26.4" hidden="1" thickBot="1" x14ac:dyDescent="0.55000000000000004">
      <c r="A221" s="10" t="s">
        <v>1222</v>
      </c>
      <c r="B221" s="10"/>
      <c r="C221" s="28" t="s">
        <v>1160</v>
      </c>
      <c r="D221" s="12"/>
      <c r="E221" s="12"/>
      <c r="F221" s="29" t="s">
        <v>76</v>
      </c>
      <c r="G221" s="30">
        <v>4.7</v>
      </c>
      <c r="H221" s="30"/>
      <c r="I221" s="92">
        <v>0</v>
      </c>
      <c r="J221" s="139"/>
      <c r="K221" s="148"/>
      <c r="L221" s="89"/>
      <c r="M221" s="106"/>
      <c r="N221" s="164"/>
      <c r="O221" s="164"/>
      <c r="P221" s="88">
        <v>66.98</v>
      </c>
      <c r="Q221" s="84"/>
      <c r="R221" s="85"/>
      <c r="S221" s="79">
        <f t="shared" si="3"/>
        <v>0</v>
      </c>
    </row>
    <row r="222" spans="1:21" ht="36.6" hidden="1" thickBot="1" x14ac:dyDescent="0.55000000000000004">
      <c r="A222" s="10" t="s">
        <v>1227</v>
      </c>
      <c r="B222" s="10"/>
      <c r="C222" s="47" t="s">
        <v>1146</v>
      </c>
      <c r="D222" s="12"/>
      <c r="E222" s="12"/>
      <c r="F222" s="29" t="s">
        <v>356</v>
      </c>
      <c r="G222" s="30">
        <v>3.6</v>
      </c>
      <c r="H222" s="30"/>
      <c r="I222" s="92">
        <v>0</v>
      </c>
      <c r="J222" s="139"/>
      <c r="K222" s="148"/>
      <c r="L222" s="89"/>
      <c r="M222" s="106"/>
      <c r="N222" s="164"/>
      <c r="O222" s="164"/>
      <c r="P222" s="88">
        <v>15.9</v>
      </c>
      <c r="Q222" s="84"/>
      <c r="R222" s="85"/>
      <c r="S222" s="79">
        <f t="shared" si="3"/>
        <v>0</v>
      </c>
    </row>
    <row r="223" spans="1:21" ht="26.4" hidden="1" thickBot="1" x14ac:dyDescent="0.55000000000000004">
      <c r="A223" s="10" t="s">
        <v>1232</v>
      </c>
      <c r="B223" s="10"/>
      <c r="C223" s="28" t="s">
        <v>1139</v>
      </c>
      <c r="D223" s="12"/>
      <c r="E223" s="12"/>
      <c r="F223" s="29" t="s">
        <v>356</v>
      </c>
      <c r="G223" s="30">
        <v>0.3</v>
      </c>
      <c r="H223" s="30"/>
      <c r="I223" s="92">
        <v>0</v>
      </c>
      <c r="J223" s="139"/>
      <c r="K223" s="148"/>
      <c r="L223" s="89"/>
      <c r="M223" s="106"/>
      <c r="N223" s="164"/>
      <c r="O223" s="164"/>
      <c r="P223" s="88">
        <v>5.6</v>
      </c>
      <c r="Q223" s="84"/>
      <c r="R223" s="85"/>
      <c r="S223" s="79">
        <f t="shared" si="3"/>
        <v>0</v>
      </c>
    </row>
    <row r="224" spans="1:21" ht="26.4" hidden="1" thickBot="1" x14ac:dyDescent="0.55000000000000004">
      <c r="A224" s="10" t="s">
        <v>1237</v>
      </c>
      <c r="B224" s="10"/>
      <c r="C224" s="28" t="s">
        <v>1132</v>
      </c>
      <c r="D224" s="12"/>
      <c r="E224" s="12"/>
      <c r="F224" s="29" t="s">
        <v>364</v>
      </c>
      <c r="G224" s="30">
        <v>0.35</v>
      </c>
      <c r="H224" s="30"/>
      <c r="I224" s="92">
        <v>0</v>
      </c>
      <c r="J224" s="139"/>
      <c r="K224" s="148"/>
      <c r="L224" s="89"/>
      <c r="M224" s="106"/>
      <c r="N224" s="164"/>
      <c r="O224" s="164"/>
      <c r="P224" s="88">
        <v>55</v>
      </c>
      <c r="Q224" s="84"/>
      <c r="R224" s="85"/>
      <c r="S224" s="79">
        <f t="shared" si="3"/>
        <v>0</v>
      </c>
    </row>
    <row r="225" spans="1:21" ht="26.4" hidden="1" thickBot="1" x14ac:dyDescent="0.55000000000000004">
      <c r="A225" s="10" t="s">
        <v>1242</v>
      </c>
      <c r="B225" s="10"/>
      <c r="C225" s="28" t="s">
        <v>1125</v>
      </c>
      <c r="D225" s="12"/>
      <c r="E225" s="12"/>
      <c r="F225" s="29" t="s">
        <v>356</v>
      </c>
      <c r="G225" s="30">
        <v>15</v>
      </c>
      <c r="H225" s="30"/>
      <c r="I225" s="92">
        <v>0</v>
      </c>
      <c r="J225" s="139"/>
      <c r="K225" s="148"/>
      <c r="L225" s="89"/>
      <c r="M225" s="106"/>
      <c r="N225" s="164"/>
      <c r="O225" s="164"/>
      <c r="P225" s="88">
        <v>0.95</v>
      </c>
      <c r="Q225" s="84"/>
      <c r="R225" s="85"/>
      <c r="S225" s="79">
        <f t="shared" si="3"/>
        <v>0</v>
      </c>
    </row>
    <row r="226" spans="1:21" ht="36.6" hidden="1" thickBot="1" x14ac:dyDescent="0.35">
      <c r="A226" s="10" t="s">
        <v>1247</v>
      </c>
      <c r="B226" s="10" t="s">
        <v>1118</v>
      </c>
      <c r="C226" s="11" t="s">
        <v>1119</v>
      </c>
      <c r="D226" s="12"/>
      <c r="E226" s="12" t="s">
        <v>1248</v>
      </c>
      <c r="F226" s="12" t="s">
        <v>61</v>
      </c>
      <c r="G226" s="13">
        <v>1</v>
      </c>
      <c r="H226" s="13"/>
      <c r="I226" s="91">
        <v>0</v>
      </c>
      <c r="J226" s="138"/>
      <c r="K226" s="149"/>
      <c r="L226" s="119"/>
      <c r="M226" s="105"/>
      <c r="N226" s="162"/>
      <c r="O226" s="163"/>
      <c r="P226" s="86">
        <v>2038.59</v>
      </c>
      <c r="Q226" s="74">
        <v>1379</v>
      </c>
      <c r="R226" s="87">
        <f>P226+ROUND(Q226, 2)</f>
        <v>3417.59</v>
      </c>
      <c r="S226" s="78">
        <v>0</v>
      </c>
      <c r="T226" s="14">
        <v>0</v>
      </c>
      <c r="U226" s="14">
        <f>S226+T226</f>
        <v>0</v>
      </c>
    </row>
    <row r="227" spans="1:21" ht="26.4" hidden="1" thickBot="1" x14ac:dyDescent="0.55000000000000004">
      <c r="A227" s="10" t="s">
        <v>1250</v>
      </c>
      <c r="B227" s="10"/>
      <c r="C227" s="28" t="s">
        <v>1125</v>
      </c>
      <c r="D227" s="12"/>
      <c r="E227" s="12"/>
      <c r="F227" s="29" t="s">
        <v>356</v>
      </c>
      <c r="G227" s="30">
        <v>15</v>
      </c>
      <c r="H227" s="30"/>
      <c r="I227" s="92">
        <v>0</v>
      </c>
      <c r="J227" s="139"/>
      <c r="K227" s="148"/>
      <c r="L227" s="89"/>
      <c r="M227" s="106"/>
      <c r="N227" s="164"/>
      <c r="O227" s="164"/>
      <c r="P227" s="88">
        <v>0.95</v>
      </c>
      <c r="Q227" s="84"/>
      <c r="R227" s="85"/>
      <c r="S227" s="79">
        <f t="shared" ref="S227:S236" si="4">ROUND(ROUND(P227, 2)*I227, 2)</f>
        <v>0</v>
      </c>
    </row>
    <row r="228" spans="1:21" ht="26.4" hidden="1" thickBot="1" x14ac:dyDescent="0.55000000000000004">
      <c r="A228" s="10" t="s">
        <v>1255</v>
      </c>
      <c r="B228" s="10"/>
      <c r="C228" s="28" t="s">
        <v>1132</v>
      </c>
      <c r="D228" s="12"/>
      <c r="E228" s="12"/>
      <c r="F228" s="29" t="s">
        <v>364</v>
      </c>
      <c r="G228" s="30">
        <v>0.35</v>
      </c>
      <c r="H228" s="30"/>
      <c r="I228" s="92">
        <v>0</v>
      </c>
      <c r="J228" s="139"/>
      <c r="K228" s="148"/>
      <c r="L228" s="89"/>
      <c r="M228" s="106"/>
      <c r="N228" s="164"/>
      <c r="O228" s="164"/>
      <c r="P228" s="88">
        <v>55</v>
      </c>
      <c r="Q228" s="84"/>
      <c r="R228" s="85"/>
      <c r="S228" s="79">
        <f t="shared" si="4"/>
        <v>0</v>
      </c>
    </row>
    <row r="229" spans="1:21" ht="26.4" hidden="1" thickBot="1" x14ac:dyDescent="0.55000000000000004">
      <c r="A229" s="10" t="s">
        <v>1260</v>
      </c>
      <c r="B229" s="10"/>
      <c r="C229" s="28" t="s">
        <v>1139</v>
      </c>
      <c r="D229" s="12"/>
      <c r="E229" s="12"/>
      <c r="F229" s="29" t="s">
        <v>356</v>
      </c>
      <c r="G229" s="30">
        <v>0.3</v>
      </c>
      <c r="H229" s="30"/>
      <c r="I229" s="92">
        <v>0</v>
      </c>
      <c r="J229" s="139"/>
      <c r="K229" s="148"/>
      <c r="L229" s="89"/>
      <c r="M229" s="106"/>
      <c r="N229" s="164"/>
      <c r="O229" s="164"/>
      <c r="P229" s="88">
        <v>5.6</v>
      </c>
      <c r="Q229" s="84"/>
      <c r="R229" s="85"/>
      <c r="S229" s="79">
        <f t="shared" si="4"/>
        <v>0</v>
      </c>
    </row>
    <row r="230" spans="1:21" ht="36.6" hidden="1" thickBot="1" x14ac:dyDescent="0.55000000000000004">
      <c r="A230" s="10" t="s">
        <v>1265</v>
      </c>
      <c r="B230" s="10"/>
      <c r="C230" s="47" t="s">
        <v>1146</v>
      </c>
      <c r="D230" s="12"/>
      <c r="E230" s="12"/>
      <c r="F230" s="29" t="s">
        <v>356</v>
      </c>
      <c r="G230" s="30">
        <v>3.6</v>
      </c>
      <c r="H230" s="30"/>
      <c r="I230" s="92">
        <v>0</v>
      </c>
      <c r="J230" s="139"/>
      <c r="K230" s="148"/>
      <c r="L230" s="89"/>
      <c r="M230" s="106"/>
      <c r="N230" s="164"/>
      <c r="O230" s="164"/>
      <c r="P230" s="88">
        <v>15.9</v>
      </c>
      <c r="Q230" s="84"/>
      <c r="R230" s="85"/>
      <c r="S230" s="79">
        <f t="shared" si="4"/>
        <v>0</v>
      </c>
    </row>
    <row r="231" spans="1:21" ht="26.4" hidden="1" thickBot="1" x14ac:dyDescent="0.55000000000000004">
      <c r="A231" s="10" t="s">
        <v>1270</v>
      </c>
      <c r="B231" s="10"/>
      <c r="C231" s="28" t="s">
        <v>1153</v>
      </c>
      <c r="D231" s="12"/>
      <c r="E231" s="12"/>
      <c r="F231" s="29" t="s">
        <v>76</v>
      </c>
      <c r="G231" s="30">
        <v>1.2</v>
      </c>
      <c r="H231" s="30"/>
      <c r="I231" s="92">
        <v>0</v>
      </c>
      <c r="J231" s="139"/>
      <c r="K231" s="148"/>
      <c r="L231" s="89"/>
      <c r="M231" s="106"/>
      <c r="N231" s="164"/>
      <c r="O231" s="164"/>
      <c r="P231" s="88">
        <v>22.82</v>
      </c>
      <c r="Q231" s="84"/>
      <c r="R231" s="85"/>
      <c r="S231" s="79">
        <f t="shared" si="4"/>
        <v>0</v>
      </c>
    </row>
    <row r="232" spans="1:21" ht="26.4" hidden="1" thickBot="1" x14ac:dyDescent="0.55000000000000004">
      <c r="A232" s="10" t="s">
        <v>1275</v>
      </c>
      <c r="B232" s="10"/>
      <c r="C232" s="28" t="s">
        <v>1160</v>
      </c>
      <c r="D232" s="12"/>
      <c r="E232" s="12"/>
      <c r="F232" s="29" t="s">
        <v>76</v>
      </c>
      <c r="G232" s="30">
        <v>4.7</v>
      </c>
      <c r="H232" s="30"/>
      <c r="I232" s="92">
        <v>0</v>
      </c>
      <c r="J232" s="139"/>
      <c r="K232" s="148"/>
      <c r="L232" s="89"/>
      <c r="M232" s="106"/>
      <c r="N232" s="164"/>
      <c r="O232" s="164"/>
      <c r="P232" s="88">
        <v>66.98</v>
      </c>
      <c r="Q232" s="84"/>
      <c r="R232" s="85"/>
      <c r="S232" s="79">
        <f t="shared" si="4"/>
        <v>0</v>
      </c>
    </row>
    <row r="233" spans="1:21" ht="22.5" hidden="1" customHeight="1" x14ac:dyDescent="0.5">
      <c r="A233" s="10" t="s">
        <v>1280</v>
      </c>
      <c r="B233" s="10"/>
      <c r="C233" s="28" t="s">
        <v>1281</v>
      </c>
      <c r="D233" s="12"/>
      <c r="E233" s="12"/>
      <c r="F233" s="29" t="s">
        <v>61</v>
      </c>
      <c r="G233" s="30">
        <v>1.05</v>
      </c>
      <c r="H233" s="30"/>
      <c r="I233" s="92">
        <v>0</v>
      </c>
      <c r="J233" s="139"/>
      <c r="K233" s="148"/>
      <c r="L233" s="89"/>
      <c r="M233" s="106"/>
      <c r="N233" s="164"/>
      <c r="O233" s="164"/>
      <c r="P233" s="88">
        <v>1520.33</v>
      </c>
      <c r="Q233" s="84"/>
      <c r="R233" s="85"/>
      <c r="S233" s="79">
        <f t="shared" si="4"/>
        <v>0</v>
      </c>
    </row>
    <row r="234" spans="1:21" ht="26.4" hidden="1" thickBot="1" x14ac:dyDescent="0.55000000000000004">
      <c r="A234" s="10" t="s">
        <v>1287</v>
      </c>
      <c r="B234" s="10"/>
      <c r="C234" s="28" t="s">
        <v>1167</v>
      </c>
      <c r="D234" s="12"/>
      <c r="E234" s="12"/>
      <c r="F234" s="29" t="s">
        <v>76</v>
      </c>
      <c r="G234" s="30">
        <v>1.05</v>
      </c>
      <c r="H234" s="30"/>
      <c r="I234" s="92">
        <v>0</v>
      </c>
      <c r="J234" s="139"/>
      <c r="K234" s="148"/>
      <c r="L234" s="89"/>
      <c r="M234" s="106"/>
      <c r="N234" s="164"/>
      <c r="O234" s="164"/>
      <c r="P234" s="88">
        <v>4.5999999999999996</v>
      </c>
      <c r="Q234" s="84"/>
      <c r="R234" s="85"/>
      <c r="S234" s="79">
        <f t="shared" si="4"/>
        <v>0</v>
      </c>
    </row>
    <row r="235" spans="1:21" ht="26.4" hidden="1" thickBot="1" x14ac:dyDescent="0.55000000000000004">
      <c r="A235" s="10" t="s">
        <v>1292</v>
      </c>
      <c r="B235" s="10"/>
      <c r="C235" s="28" t="s">
        <v>1174</v>
      </c>
      <c r="D235" s="12"/>
      <c r="E235" s="12"/>
      <c r="F235" s="29" t="s">
        <v>76</v>
      </c>
      <c r="G235" s="30">
        <v>0.25</v>
      </c>
      <c r="H235" s="30"/>
      <c r="I235" s="92">
        <v>0</v>
      </c>
      <c r="J235" s="139"/>
      <c r="K235" s="148"/>
      <c r="L235" s="89"/>
      <c r="M235" s="106"/>
      <c r="N235" s="164"/>
      <c r="O235" s="164"/>
      <c r="P235" s="88">
        <v>2.8</v>
      </c>
      <c r="Q235" s="84"/>
      <c r="R235" s="85"/>
      <c r="S235" s="79">
        <f t="shared" si="4"/>
        <v>0</v>
      </c>
    </row>
    <row r="236" spans="1:21" ht="26.4" hidden="1" thickBot="1" x14ac:dyDescent="0.55000000000000004">
      <c r="A236" s="10" t="s">
        <v>1297</v>
      </c>
      <c r="B236" s="10"/>
      <c r="C236" s="28" t="s">
        <v>1188</v>
      </c>
      <c r="D236" s="12"/>
      <c r="E236" s="12"/>
      <c r="F236" s="29" t="s">
        <v>356</v>
      </c>
      <c r="G236" s="30">
        <v>0.75</v>
      </c>
      <c r="H236" s="30"/>
      <c r="I236" s="92">
        <v>0</v>
      </c>
      <c r="J236" s="139"/>
      <c r="K236" s="148"/>
      <c r="L236" s="89"/>
      <c r="M236" s="106"/>
      <c r="N236" s="164"/>
      <c r="O236" s="164"/>
      <c r="P236" s="88">
        <v>2.8</v>
      </c>
      <c r="Q236" s="84"/>
      <c r="R236" s="85"/>
      <c r="S236" s="79">
        <f t="shared" si="4"/>
        <v>0</v>
      </c>
    </row>
    <row r="237" spans="1:21" ht="90.6" hidden="1" thickBot="1" x14ac:dyDescent="0.35">
      <c r="A237" s="10" t="s">
        <v>1302</v>
      </c>
      <c r="B237" s="10" t="s">
        <v>1303</v>
      </c>
      <c r="C237" s="11" t="s">
        <v>1304</v>
      </c>
      <c r="D237" s="12"/>
      <c r="E237" s="12" t="s">
        <v>1305</v>
      </c>
      <c r="F237" s="12" t="s">
        <v>61</v>
      </c>
      <c r="G237" s="13">
        <v>1</v>
      </c>
      <c r="H237" s="13"/>
      <c r="I237" s="91">
        <v>0</v>
      </c>
      <c r="J237" s="138"/>
      <c r="K237" s="149"/>
      <c r="L237" s="119"/>
      <c r="M237" s="105"/>
      <c r="N237" s="162"/>
      <c r="O237" s="163"/>
      <c r="P237" s="86">
        <v>855.89</v>
      </c>
      <c r="Q237" s="74">
        <v>963</v>
      </c>
      <c r="R237" s="87">
        <f>P237+ROUND(Q237, 2)</f>
        <v>1818.8899999999999</v>
      </c>
      <c r="S237" s="78">
        <v>0</v>
      </c>
      <c r="T237" s="14">
        <v>0</v>
      </c>
      <c r="U237" s="14">
        <f>S237+T237</f>
        <v>0</v>
      </c>
    </row>
    <row r="238" spans="1:21" ht="26.4" hidden="1" thickBot="1" x14ac:dyDescent="0.55000000000000004">
      <c r="A238" s="10" t="s">
        <v>1309</v>
      </c>
      <c r="B238" s="10"/>
      <c r="C238" s="47" t="s">
        <v>1310</v>
      </c>
      <c r="D238" s="12"/>
      <c r="E238" s="12"/>
      <c r="F238" s="29" t="s">
        <v>61</v>
      </c>
      <c r="G238" s="30">
        <v>1.1000000000000001</v>
      </c>
      <c r="H238" s="49"/>
      <c r="I238" s="93">
        <v>0</v>
      </c>
      <c r="J238" s="139"/>
      <c r="K238" s="148"/>
      <c r="L238" s="89"/>
      <c r="M238" s="106"/>
      <c r="N238" s="164"/>
      <c r="O238" s="164"/>
      <c r="P238" s="88">
        <v>778.08</v>
      </c>
      <c r="Q238" s="84"/>
      <c r="R238" s="85"/>
      <c r="S238" s="79">
        <f>ROUND(ROUND(P238, 2)*I238, 2)</f>
        <v>0</v>
      </c>
    </row>
    <row r="239" spans="1:21" ht="16.95" hidden="1" customHeight="1" x14ac:dyDescent="0.5">
      <c r="A239" s="10" t="s">
        <v>1316</v>
      </c>
      <c r="B239" s="10" t="s">
        <v>1317</v>
      </c>
      <c r="C239" s="237" t="s">
        <v>1318</v>
      </c>
      <c r="D239" s="238"/>
      <c r="E239" s="238"/>
      <c r="F239" s="238"/>
      <c r="G239" s="238"/>
      <c r="H239" s="238"/>
      <c r="I239" s="238"/>
      <c r="J239" s="134"/>
      <c r="K239" s="148"/>
      <c r="L239" s="89"/>
      <c r="M239" s="104"/>
      <c r="N239" s="160"/>
      <c r="O239" s="161"/>
      <c r="P239" s="83"/>
      <c r="Q239" s="84"/>
      <c r="R239" s="85"/>
      <c r="S239" s="77">
        <f>SUM(S240)</f>
        <v>0</v>
      </c>
      <c r="T239" s="6">
        <f>SUM(T240)</f>
        <v>0</v>
      </c>
      <c r="U239" s="6">
        <f>SUM(U240)</f>
        <v>0</v>
      </c>
    </row>
    <row r="240" spans="1:21" ht="54.6" hidden="1" thickBot="1" x14ac:dyDescent="0.35">
      <c r="A240" s="10" t="s">
        <v>1319</v>
      </c>
      <c r="B240" s="10" t="s">
        <v>1320</v>
      </c>
      <c r="C240" s="11" t="s">
        <v>1321</v>
      </c>
      <c r="D240" s="12" t="s">
        <v>1322</v>
      </c>
      <c r="E240" s="12"/>
      <c r="F240" s="12" t="s">
        <v>1323</v>
      </c>
      <c r="G240" s="13">
        <v>1</v>
      </c>
      <c r="H240" s="13"/>
      <c r="I240" s="91">
        <v>0</v>
      </c>
      <c r="J240" s="140"/>
      <c r="K240" s="150"/>
      <c r="L240" s="131"/>
      <c r="M240" s="105"/>
      <c r="N240" s="162"/>
      <c r="O240" s="165"/>
      <c r="P240" s="86">
        <v>0</v>
      </c>
      <c r="Q240" s="74">
        <v>169189</v>
      </c>
      <c r="R240" s="87">
        <f>P240+ROUND(Q240, 2)</f>
        <v>169189</v>
      </c>
      <c r="S240" s="78">
        <v>0</v>
      </c>
      <c r="T240" s="14">
        <v>0</v>
      </c>
      <c r="U240" s="14">
        <f>S240+T240</f>
        <v>0</v>
      </c>
    </row>
    <row r="241" spans="1:21" ht="30" customHeight="1" thickBot="1" x14ac:dyDescent="0.55000000000000004">
      <c r="A241" s="234" t="s">
        <v>1327</v>
      </c>
      <c r="B241" s="235"/>
      <c r="C241" s="235"/>
      <c r="D241" s="235"/>
      <c r="E241" s="235"/>
      <c r="F241" s="235"/>
      <c r="G241" s="235"/>
      <c r="H241" s="235"/>
      <c r="I241" s="235"/>
      <c r="J241" s="141"/>
      <c r="K241" s="151"/>
      <c r="L241" s="132"/>
      <c r="M241" s="103"/>
      <c r="N241" s="166"/>
      <c r="O241" s="167"/>
      <c r="P241" s="73"/>
      <c r="Q241" s="73"/>
      <c r="R241" s="82"/>
      <c r="S241" s="76">
        <f>SUM(S242)</f>
        <v>69862735.280000001</v>
      </c>
      <c r="T241" s="8">
        <f>SUM(T242)</f>
        <v>128542013.56</v>
      </c>
      <c r="U241" s="8">
        <f>SUM(U242)</f>
        <v>198404748.83999997</v>
      </c>
    </row>
    <row r="242" spans="1:21" ht="16.95" customHeight="1" x14ac:dyDescent="0.5">
      <c r="A242" s="10" t="s">
        <v>1329</v>
      </c>
      <c r="B242" s="10" t="s">
        <v>39</v>
      </c>
      <c r="C242" s="237" t="s">
        <v>40</v>
      </c>
      <c r="D242" s="238"/>
      <c r="E242" s="238"/>
      <c r="F242" s="238"/>
      <c r="G242" s="238"/>
      <c r="H242" s="238"/>
      <c r="I242" s="239"/>
      <c r="J242" s="135"/>
      <c r="K242" s="148"/>
      <c r="L242" s="89"/>
      <c r="M242" s="104"/>
      <c r="N242" s="168"/>
      <c r="O242" s="169"/>
      <c r="P242" s="84"/>
      <c r="Q242" s="84"/>
      <c r="R242" s="85"/>
      <c r="S242" s="77">
        <f>SUM(S243,S296)</f>
        <v>69862735.280000001</v>
      </c>
      <c r="T242" s="6">
        <f>SUM(T243,T296)</f>
        <v>128542013.56</v>
      </c>
      <c r="U242" s="6">
        <f>SUM(U243,U296)</f>
        <v>198404748.83999997</v>
      </c>
    </row>
    <row r="243" spans="1:21" ht="16.95" customHeight="1" x14ac:dyDescent="0.5">
      <c r="A243" s="10" t="s">
        <v>1330</v>
      </c>
      <c r="B243" s="10" t="s">
        <v>42</v>
      </c>
      <c r="C243" s="237" t="s">
        <v>43</v>
      </c>
      <c r="D243" s="238"/>
      <c r="E243" s="238"/>
      <c r="F243" s="238"/>
      <c r="G243" s="238"/>
      <c r="H243" s="238"/>
      <c r="I243" s="239"/>
      <c r="J243" s="135"/>
      <c r="K243" s="148"/>
      <c r="L243" s="89"/>
      <c r="M243" s="104"/>
      <c r="N243" s="168"/>
      <c r="O243" s="169"/>
      <c r="P243" s="84"/>
      <c r="Q243" s="84"/>
      <c r="R243" s="85"/>
      <c r="S243" s="77">
        <f t="shared" ref="S243:U246" si="5">SUM(S244)</f>
        <v>11245405.9</v>
      </c>
      <c r="T243" s="6">
        <f t="shared" si="5"/>
        <v>27157201.050000001</v>
      </c>
      <c r="U243" s="6">
        <f t="shared" si="5"/>
        <v>38402606.949999996</v>
      </c>
    </row>
    <row r="244" spans="1:21" ht="16.95" customHeight="1" x14ac:dyDescent="0.5">
      <c r="A244" s="10" t="s">
        <v>1331</v>
      </c>
      <c r="B244" s="10" t="s">
        <v>45</v>
      </c>
      <c r="C244" s="237" t="s">
        <v>46</v>
      </c>
      <c r="D244" s="238"/>
      <c r="E244" s="238"/>
      <c r="F244" s="238"/>
      <c r="G244" s="238"/>
      <c r="H244" s="238"/>
      <c r="I244" s="239"/>
      <c r="J244" s="135"/>
      <c r="K244" s="148"/>
      <c r="L244" s="89"/>
      <c r="M244" s="104"/>
      <c r="N244" s="168"/>
      <c r="O244" s="169"/>
      <c r="P244" s="84"/>
      <c r="Q244" s="84"/>
      <c r="R244" s="85"/>
      <c r="S244" s="77">
        <f t="shared" si="5"/>
        <v>11245405.9</v>
      </c>
      <c r="T244" s="6">
        <f t="shared" si="5"/>
        <v>27157201.050000001</v>
      </c>
      <c r="U244" s="6">
        <f t="shared" si="5"/>
        <v>38402606.949999996</v>
      </c>
    </row>
    <row r="245" spans="1:21" ht="16.95" customHeight="1" x14ac:dyDescent="0.5">
      <c r="A245" s="10" t="s">
        <v>1332</v>
      </c>
      <c r="B245" s="10" t="s">
        <v>48</v>
      </c>
      <c r="C245" s="237" t="s">
        <v>49</v>
      </c>
      <c r="D245" s="238"/>
      <c r="E245" s="238"/>
      <c r="F245" s="238"/>
      <c r="G245" s="238"/>
      <c r="H245" s="238"/>
      <c r="I245" s="239"/>
      <c r="J245" s="135"/>
      <c r="K245" s="148"/>
      <c r="L245" s="89"/>
      <c r="M245" s="104"/>
      <c r="N245" s="168"/>
      <c r="O245" s="169"/>
      <c r="P245" s="84"/>
      <c r="Q245" s="84"/>
      <c r="R245" s="85"/>
      <c r="S245" s="77">
        <f t="shared" si="5"/>
        <v>11245405.9</v>
      </c>
      <c r="T245" s="6">
        <f t="shared" si="5"/>
        <v>27157201.050000001</v>
      </c>
      <c r="U245" s="6">
        <f t="shared" si="5"/>
        <v>38402606.949999996</v>
      </c>
    </row>
    <row r="246" spans="1:21" ht="16.95" customHeight="1" x14ac:dyDescent="0.5">
      <c r="A246" s="10" t="s">
        <v>1333</v>
      </c>
      <c r="B246" s="10" t="s">
        <v>51</v>
      </c>
      <c r="C246" s="237" t="s">
        <v>52</v>
      </c>
      <c r="D246" s="238"/>
      <c r="E246" s="238"/>
      <c r="F246" s="238"/>
      <c r="G246" s="238"/>
      <c r="H246" s="238"/>
      <c r="I246" s="239"/>
      <c r="J246" s="135"/>
      <c r="K246" s="148"/>
      <c r="L246" s="89"/>
      <c r="M246" s="104"/>
      <c r="N246" s="168"/>
      <c r="O246" s="169"/>
      <c r="P246" s="84"/>
      <c r="Q246" s="84"/>
      <c r="R246" s="85"/>
      <c r="S246" s="77">
        <f t="shared" si="5"/>
        <v>11245405.9</v>
      </c>
      <c r="T246" s="6">
        <f t="shared" si="5"/>
        <v>27157201.050000001</v>
      </c>
      <c r="U246" s="6">
        <f t="shared" si="5"/>
        <v>38402606.949999996</v>
      </c>
    </row>
    <row r="247" spans="1:21" ht="36" customHeight="1" thickBot="1" x14ac:dyDescent="0.55000000000000004">
      <c r="A247" s="10" t="s">
        <v>1334</v>
      </c>
      <c r="B247" s="10" t="s">
        <v>54</v>
      </c>
      <c r="C247" s="237" t="s">
        <v>55</v>
      </c>
      <c r="D247" s="238"/>
      <c r="E247" s="238"/>
      <c r="F247" s="238"/>
      <c r="G247" s="238"/>
      <c r="H247" s="238"/>
      <c r="I247" s="250"/>
      <c r="J247" s="135"/>
      <c r="K247" s="148"/>
      <c r="L247" s="89"/>
      <c r="M247" s="104"/>
      <c r="N247" s="168"/>
      <c r="O247" s="169"/>
      <c r="P247" s="84"/>
      <c r="Q247" s="84"/>
      <c r="R247" s="85"/>
      <c r="S247" s="77">
        <f>SUM(S248,S254,S260,S266,S272,S278,S284,S290)</f>
        <v>11245405.9</v>
      </c>
      <c r="T247" s="6">
        <f>SUM(T248,T254,T260,T266,T272,T278,T284,T290)</f>
        <v>27157201.050000001</v>
      </c>
      <c r="U247" s="6">
        <f>SUM(U248,U254,U260,U266,U272,U278,U284,U290)</f>
        <v>38402606.949999996</v>
      </c>
    </row>
    <row r="248" spans="1:21" ht="172.95" customHeight="1" x14ac:dyDescent="0.3">
      <c r="A248" s="177" t="s">
        <v>1335</v>
      </c>
      <c r="B248" s="177" t="s">
        <v>57</v>
      </c>
      <c r="C248" s="178" t="s">
        <v>58</v>
      </c>
      <c r="D248" s="179" t="s">
        <v>59</v>
      </c>
      <c r="E248" s="179" t="s">
        <v>60</v>
      </c>
      <c r="F248" s="179" t="s">
        <v>61</v>
      </c>
      <c r="G248" s="180">
        <v>1</v>
      </c>
      <c r="H248" s="181"/>
      <c r="I248" s="182">
        <v>6610.5</v>
      </c>
      <c r="J248" s="183">
        <f>I248-K248</f>
        <v>1570.5</v>
      </c>
      <c r="K248" s="184">
        <f>L248+N248</f>
        <v>5040</v>
      </c>
      <c r="L248" s="185">
        <v>3040</v>
      </c>
      <c r="M248" s="186">
        <f>L248*R248</f>
        <v>12536108.800000001</v>
      </c>
      <c r="N248" s="185">
        <v>2000</v>
      </c>
      <c r="O248" s="186">
        <f>N248*R248</f>
        <v>8247440.0000000009</v>
      </c>
      <c r="P248" s="187">
        <f>IFERROR(ROUND(SUM(S249,S250,S251,S252,S253)/I248, 2),0)</f>
        <v>1137.22</v>
      </c>
      <c r="Q248" s="188">
        <v>2986.5</v>
      </c>
      <c r="R248" s="189">
        <f>P248+ROUND(Q248, 2)</f>
        <v>4123.72</v>
      </c>
      <c r="S248" s="78">
        <f>ROUND(P248*I248, 2)</f>
        <v>7517592.8099999996</v>
      </c>
      <c r="T248" s="14">
        <f>ROUND(I248*ROUND(Q248, 2), 2)</f>
        <v>19742258.25</v>
      </c>
      <c r="U248" s="14">
        <f>S248+T248</f>
        <v>27259851.059999999</v>
      </c>
    </row>
    <row r="249" spans="1:21" ht="54" x14ac:dyDescent="0.5">
      <c r="A249" s="10" t="s">
        <v>1336</v>
      </c>
      <c r="B249" s="10"/>
      <c r="C249" s="28" t="s">
        <v>67</v>
      </c>
      <c r="D249" s="12"/>
      <c r="E249" s="12"/>
      <c r="F249" s="29" t="s">
        <v>68</v>
      </c>
      <c r="G249" s="30">
        <v>1</v>
      </c>
      <c r="H249" s="92"/>
      <c r="I249" s="95">
        <v>6610.5</v>
      </c>
      <c r="J249" s="143"/>
      <c r="K249" s="148"/>
      <c r="L249" s="89"/>
      <c r="M249" s="106"/>
      <c r="N249" s="164"/>
      <c r="O249" s="148"/>
      <c r="P249" s="121">
        <v>89.83</v>
      </c>
      <c r="Q249" s="84"/>
      <c r="R249" s="85"/>
      <c r="S249" s="79">
        <f>ROUND(ROUND(P249, 2)*I249, 2)</f>
        <v>593821.22</v>
      </c>
    </row>
    <row r="250" spans="1:21" ht="25.8" x14ac:dyDescent="0.5">
      <c r="A250" s="10" t="s">
        <v>1339</v>
      </c>
      <c r="B250" s="10"/>
      <c r="C250" s="47" t="s">
        <v>75</v>
      </c>
      <c r="D250" s="12"/>
      <c r="E250" s="12"/>
      <c r="F250" s="29" t="s">
        <v>76</v>
      </c>
      <c r="G250" s="30">
        <v>0.8</v>
      </c>
      <c r="H250" s="93"/>
      <c r="I250" s="97">
        <v>5288.4</v>
      </c>
      <c r="J250" s="143"/>
      <c r="K250" s="148"/>
      <c r="L250" s="89"/>
      <c r="M250" s="106"/>
      <c r="N250" s="164"/>
      <c r="O250" s="148"/>
      <c r="P250" s="121">
        <v>66</v>
      </c>
      <c r="Q250" s="84"/>
      <c r="R250" s="85"/>
      <c r="S250" s="79">
        <f>ROUND(ROUND(P250, 2)*I250, 2)</f>
        <v>349034.4</v>
      </c>
    </row>
    <row r="251" spans="1:21" ht="25.8" x14ac:dyDescent="0.5">
      <c r="A251" s="10" t="s">
        <v>1342</v>
      </c>
      <c r="B251" s="10"/>
      <c r="C251" s="47" t="s">
        <v>83</v>
      </c>
      <c r="D251" s="12"/>
      <c r="E251" s="12"/>
      <c r="F251" s="29" t="s">
        <v>76</v>
      </c>
      <c r="G251" s="30">
        <v>2.1</v>
      </c>
      <c r="H251" s="93"/>
      <c r="I251" s="97">
        <v>13882.05</v>
      </c>
      <c r="J251" s="143"/>
      <c r="K251" s="148"/>
      <c r="L251" s="89"/>
      <c r="M251" s="106"/>
      <c r="N251" s="164"/>
      <c r="O251" s="148"/>
      <c r="P251" s="121">
        <v>96.66</v>
      </c>
      <c r="Q251" s="84"/>
      <c r="R251" s="85"/>
      <c r="S251" s="79">
        <f>ROUND(ROUND(P251, 2)*I251, 2)</f>
        <v>1341838.95</v>
      </c>
    </row>
    <row r="252" spans="1:21" ht="25.8" x14ac:dyDescent="0.5">
      <c r="A252" s="10" t="s">
        <v>1345</v>
      </c>
      <c r="B252" s="10"/>
      <c r="C252" s="47" t="s">
        <v>90</v>
      </c>
      <c r="D252" s="12"/>
      <c r="E252" s="12"/>
      <c r="F252" s="29" t="s">
        <v>91</v>
      </c>
      <c r="G252" s="30">
        <v>5.1999999999999998E-2</v>
      </c>
      <c r="H252" s="92"/>
      <c r="I252" s="95">
        <v>343.74599999999998</v>
      </c>
      <c r="J252" s="143"/>
      <c r="K252" s="148"/>
      <c r="L252" s="89"/>
      <c r="M252" s="106"/>
      <c r="N252" s="164"/>
      <c r="O252" s="148"/>
      <c r="P252" s="121">
        <v>4093.92</v>
      </c>
      <c r="Q252" s="84"/>
      <c r="R252" s="85"/>
      <c r="S252" s="79">
        <f>ROUND(ROUND(P252, 2)*I252, 2)</f>
        <v>1407268.62</v>
      </c>
    </row>
    <row r="253" spans="1:21" ht="36" x14ac:dyDescent="0.5">
      <c r="A253" s="10" t="s">
        <v>1348</v>
      </c>
      <c r="B253" s="10"/>
      <c r="C253" s="28" t="s">
        <v>98</v>
      </c>
      <c r="D253" s="12"/>
      <c r="E253" s="12"/>
      <c r="F253" s="29" t="s">
        <v>61</v>
      </c>
      <c r="G253" s="30">
        <v>4.2</v>
      </c>
      <c r="H253" s="92"/>
      <c r="I253" s="95">
        <v>27764.1</v>
      </c>
      <c r="J253" s="143"/>
      <c r="K253" s="148"/>
      <c r="L253" s="89"/>
      <c r="M253" s="106"/>
      <c r="N253" s="164"/>
      <c r="O253" s="148"/>
      <c r="P253" s="121">
        <v>137.79</v>
      </c>
      <c r="Q253" s="84"/>
      <c r="R253" s="85"/>
      <c r="S253" s="79">
        <f>ROUND(ROUND(P253, 2)*I253, 2)</f>
        <v>3825615.34</v>
      </c>
    </row>
    <row r="254" spans="1:21" ht="138" customHeight="1" x14ac:dyDescent="0.3">
      <c r="A254" s="177" t="s">
        <v>1351</v>
      </c>
      <c r="B254" s="177" t="s">
        <v>105</v>
      </c>
      <c r="C254" s="178" t="s">
        <v>106</v>
      </c>
      <c r="D254" s="179" t="s">
        <v>59</v>
      </c>
      <c r="E254" s="179" t="s">
        <v>107</v>
      </c>
      <c r="F254" s="179" t="s">
        <v>61</v>
      </c>
      <c r="G254" s="180">
        <v>1</v>
      </c>
      <c r="H254" s="181"/>
      <c r="I254" s="190">
        <v>162.4</v>
      </c>
      <c r="J254" s="183">
        <f>I254-K254</f>
        <v>62.400000000000006</v>
      </c>
      <c r="K254" s="184">
        <f>L254+N254</f>
        <v>100</v>
      </c>
      <c r="L254" s="185">
        <v>100</v>
      </c>
      <c r="M254" s="186">
        <f>L254*R254</f>
        <v>404713</v>
      </c>
      <c r="N254" s="185"/>
      <c r="O254" s="186">
        <f>N254*R254</f>
        <v>0</v>
      </c>
      <c r="P254" s="187">
        <f>IFERROR(ROUND(SUM(S255,S256,S257,S258,S259)/I254, 2),0)</f>
        <v>1060.6300000000001</v>
      </c>
      <c r="Q254" s="188">
        <v>2986.5</v>
      </c>
      <c r="R254" s="189">
        <f>P254+ROUND(Q254, 2)</f>
        <v>4047.13</v>
      </c>
      <c r="S254" s="78">
        <f>ROUND(P254*I254, 2)</f>
        <v>172246.31</v>
      </c>
      <c r="T254" s="14">
        <f>ROUND(I254*ROUND(Q254, 2), 2)</f>
        <v>485007.6</v>
      </c>
      <c r="U254" s="14">
        <f>S254+T254</f>
        <v>657253.90999999992</v>
      </c>
    </row>
    <row r="255" spans="1:21" ht="54" x14ac:dyDescent="0.5">
      <c r="A255" s="10" t="s">
        <v>1352</v>
      </c>
      <c r="B255" s="10"/>
      <c r="C255" s="28" t="s">
        <v>67</v>
      </c>
      <c r="D255" s="12"/>
      <c r="E255" s="12"/>
      <c r="F255" s="29" t="s">
        <v>68</v>
      </c>
      <c r="G255" s="30">
        <v>1</v>
      </c>
      <c r="H255" s="92"/>
      <c r="I255" s="95">
        <v>162.4</v>
      </c>
      <c r="J255" s="143"/>
      <c r="K255" s="148"/>
      <c r="L255" s="89"/>
      <c r="M255" s="106"/>
      <c r="N255" s="164"/>
      <c r="O255" s="148"/>
      <c r="P255" s="121">
        <v>89.83</v>
      </c>
      <c r="Q255" s="84"/>
      <c r="R255" s="85"/>
      <c r="S255" s="79">
        <f>ROUND(ROUND(P255, 2)*I255, 2)</f>
        <v>14588.39</v>
      </c>
    </row>
    <row r="256" spans="1:21" ht="25.8" x14ac:dyDescent="0.5">
      <c r="A256" s="10" t="s">
        <v>1355</v>
      </c>
      <c r="B256" s="10"/>
      <c r="C256" s="47" t="s">
        <v>117</v>
      </c>
      <c r="D256" s="12"/>
      <c r="E256" s="12"/>
      <c r="F256" s="29" t="s">
        <v>76</v>
      </c>
      <c r="G256" s="30">
        <v>2.04</v>
      </c>
      <c r="H256" s="93"/>
      <c r="I256" s="97">
        <v>331.29599999999999</v>
      </c>
      <c r="J256" s="143"/>
      <c r="K256" s="148"/>
      <c r="L256" s="89"/>
      <c r="M256" s="106"/>
      <c r="N256" s="164"/>
      <c r="O256" s="148"/>
      <c r="P256" s="121">
        <v>66.87</v>
      </c>
      <c r="Q256" s="84"/>
      <c r="R256" s="85"/>
      <c r="S256" s="79">
        <f>ROUND(ROUND(P256, 2)*I256, 2)</f>
        <v>22153.759999999998</v>
      </c>
    </row>
    <row r="257" spans="1:21" ht="25.8" x14ac:dyDescent="0.5">
      <c r="A257" s="10" t="s">
        <v>1358</v>
      </c>
      <c r="B257" s="10"/>
      <c r="C257" s="47" t="s">
        <v>124</v>
      </c>
      <c r="D257" s="12"/>
      <c r="E257" s="12"/>
      <c r="F257" s="29" t="s">
        <v>76</v>
      </c>
      <c r="G257" s="30">
        <v>0.8</v>
      </c>
      <c r="H257" s="93"/>
      <c r="I257" s="97">
        <v>129.91999999999999</v>
      </c>
      <c r="J257" s="143"/>
      <c r="K257" s="148"/>
      <c r="L257" s="89"/>
      <c r="M257" s="106"/>
      <c r="N257" s="164"/>
      <c r="O257" s="148"/>
      <c r="P257" s="121">
        <v>53.47</v>
      </c>
      <c r="Q257" s="84"/>
      <c r="R257" s="85"/>
      <c r="S257" s="79">
        <f>ROUND(ROUND(P257, 2)*I257, 2)</f>
        <v>6946.82</v>
      </c>
    </row>
    <row r="258" spans="1:21" ht="25.8" x14ac:dyDescent="0.5">
      <c r="A258" s="10" t="s">
        <v>1361</v>
      </c>
      <c r="B258" s="10"/>
      <c r="C258" s="47" t="s">
        <v>90</v>
      </c>
      <c r="D258" s="12"/>
      <c r="E258" s="12"/>
      <c r="F258" s="29" t="s">
        <v>91</v>
      </c>
      <c r="G258" s="30">
        <v>5.1999999999999998E-2</v>
      </c>
      <c r="H258" s="92"/>
      <c r="I258" s="95">
        <v>8.4450000000000003</v>
      </c>
      <c r="J258" s="143"/>
      <c r="K258" s="148"/>
      <c r="L258" s="89"/>
      <c r="M258" s="106"/>
      <c r="N258" s="164"/>
      <c r="O258" s="148"/>
      <c r="P258" s="121">
        <v>4093.92</v>
      </c>
      <c r="Q258" s="84"/>
      <c r="R258" s="85"/>
      <c r="S258" s="79">
        <f>ROUND(ROUND(P258, 2)*I258, 2)</f>
        <v>34573.15</v>
      </c>
    </row>
    <row r="259" spans="1:21" ht="36" x14ac:dyDescent="0.5">
      <c r="A259" s="10" t="s">
        <v>1364</v>
      </c>
      <c r="B259" s="10"/>
      <c r="C259" s="28" t="s">
        <v>98</v>
      </c>
      <c r="D259" s="12"/>
      <c r="E259" s="12" t="s">
        <v>136</v>
      </c>
      <c r="F259" s="29" t="s">
        <v>61</v>
      </c>
      <c r="G259" s="30">
        <v>4.2</v>
      </c>
      <c r="H259" s="92"/>
      <c r="I259" s="95">
        <v>682.08</v>
      </c>
      <c r="J259" s="143"/>
      <c r="K259" s="148"/>
      <c r="L259" s="89"/>
      <c r="M259" s="106"/>
      <c r="N259" s="164"/>
      <c r="O259" s="148"/>
      <c r="P259" s="121">
        <v>137.79</v>
      </c>
      <c r="Q259" s="84"/>
      <c r="R259" s="85"/>
      <c r="S259" s="79">
        <f>ROUND(ROUND(P259, 2)*I259, 2)</f>
        <v>93983.8</v>
      </c>
    </row>
    <row r="260" spans="1:21" ht="108" customHeight="1" x14ac:dyDescent="0.3">
      <c r="A260" s="10" t="s">
        <v>1367</v>
      </c>
      <c r="B260" s="10" t="s">
        <v>105</v>
      </c>
      <c r="C260" s="11" t="s">
        <v>106</v>
      </c>
      <c r="D260" s="12" t="s">
        <v>59</v>
      </c>
      <c r="E260" s="12" t="s">
        <v>142</v>
      </c>
      <c r="F260" s="12" t="s">
        <v>61</v>
      </c>
      <c r="G260" s="13">
        <v>1</v>
      </c>
      <c r="H260" s="91"/>
      <c r="I260" s="96">
        <v>59.8</v>
      </c>
      <c r="J260" s="142">
        <f>I260-K260</f>
        <v>59.8</v>
      </c>
      <c r="K260" s="152">
        <f>N260</f>
        <v>0</v>
      </c>
      <c r="L260" s="128"/>
      <c r="M260" s="107"/>
      <c r="N260" s="171"/>
      <c r="O260" s="170">
        <f>N260*R260</f>
        <v>0</v>
      </c>
      <c r="P260" s="120">
        <f>IFERROR(ROUND(SUM(S261,S262,S263,S264,S265)/I260, 2),0)</f>
        <v>1060.6500000000001</v>
      </c>
      <c r="Q260" s="75">
        <v>2986.5</v>
      </c>
      <c r="R260" s="87">
        <f>P260+ROUND(Q260, 2)</f>
        <v>4047.15</v>
      </c>
      <c r="S260" s="78">
        <f>ROUND(P260*I260, 2)</f>
        <v>63426.87</v>
      </c>
      <c r="T260" s="14">
        <f>ROUND(I260*ROUND(Q260, 2), 2)</f>
        <v>178592.7</v>
      </c>
      <c r="U260" s="14">
        <f>S260+T260</f>
        <v>242019.57</v>
      </c>
    </row>
    <row r="261" spans="1:21" ht="36" x14ac:dyDescent="0.5">
      <c r="A261" s="10" t="s">
        <v>1368</v>
      </c>
      <c r="B261" s="10"/>
      <c r="C261" s="28" t="s">
        <v>98</v>
      </c>
      <c r="D261" s="12"/>
      <c r="E261" s="12"/>
      <c r="F261" s="29" t="s">
        <v>61</v>
      </c>
      <c r="G261" s="30">
        <v>4.2</v>
      </c>
      <c r="H261" s="92"/>
      <c r="I261" s="95">
        <v>251.16</v>
      </c>
      <c r="J261" s="143"/>
      <c r="K261" s="148"/>
      <c r="L261" s="89"/>
      <c r="M261" s="106"/>
      <c r="N261" s="164"/>
      <c r="O261" s="148"/>
      <c r="P261" s="121">
        <v>137.79</v>
      </c>
      <c r="Q261" s="84"/>
      <c r="R261" s="85"/>
      <c r="S261" s="79">
        <f>ROUND(ROUND(P261, 2)*I261, 2)</f>
        <v>34607.339999999997</v>
      </c>
    </row>
    <row r="262" spans="1:21" ht="25.8" x14ac:dyDescent="0.5">
      <c r="A262" s="10" t="s">
        <v>1371</v>
      </c>
      <c r="B262" s="10"/>
      <c r="C262" s="47" t="s">
        <v>90</v>
      </c>
      <c r="D262" s="12"/>
      <c r="E262" s="12"/>
      <c r="F262" s="29" t="s">
        <v>91</v>
      </c>
      <c r="G262" s="30">
        <v>5.1999999999999998E-2</v>
      </c>
      <c r="H262" s="92"/>
      <c r="I262" s="95">
        <v>3.11</v>
      </c>
      <c r="J262" s="143"/>
      <c r="K262" s="148"/>
      <c r="L262" s="89"/>
      <c r="M262" s="106"/>
      <c r="N262" s="164"/>
      <c r="O262" s="148"/>
      <c r="P262" s="121">
        <v>4093.92</v>
      </c>
      <c r="Q262" s="84"/>
      <c r="R262" s="85"/>
      <c r="S262" s="79">
        <f>ROUND(ROUND(P262, 2)*I262, 2)</f>
        <v>12732.09</v>
      </c>
    </row>
    <row r="263" spans="1:21" ht="25.8" x14ac:dyDescent="0.5">
      <c r="A263" s="10" t="s">
        <v>1374</v>
      </c>
      <c r="B263" s="10"/>
      <c r="C263" s="47" t="s">
        <v>117</v>
      </c>
      <c r="D263" s="12"/>
      <c r="E263" s="12"/>
      <c r="F263" s="29" t="s">
        <v>76</v>
      </c>
      <c r="G263" s="30">
        <v>2.04</v>
      </c>
      <c r="H263" s="93"/>
      <c r="I263" s="97">
        <v>121.992</v>
      </c>
      <c r="J263" s="143"/>
      <c r="K263" s="148"/>
      <c r="L263" s="89"/>
      <c r="M263" s="106"/>
      <c r="N263" s="164"/>
      <c r="O263" s="148"/>
      <c r="P263" s="121">
        <v>66.87</v>
      </c>
      <c r="Q263" s="84"/>
      <c r="R263" s="85"/>
      <c r="S263" s="79">
        <f>ROUND(ROUND(P263, 2)*I263, 2)</f>
        <v>8157.61</v>
      </c>
    </row>
    <row r="264" spans="1:21" ht="25.8" x14ac:dyDescent="0.5">
      <c r="A264" s="10" t="s">
        <v>1377</v>
      </c>
      <c r="B264" s="10"/>
      <c r="C264" s="47" t="s">
        <v>124</v>
      </c>
      <c r="D264" s="12"/>
      <c r="E264" s="12"/>
      <c r="F264" s="29" t="s">
        <v>76</v>
      </c>
      <c r="G264" s="30">
        <v>0.8</v>
      </c>
      <c r="H264" s="93"/>
      <c r="I264" s="97">
        <v>47.84</v>
      </c>
      <c r="J264" s="143"/>
      <c r="K264" s="148"/>
      <c r="L264" s="89"/>
      <c r="M264" s="106"/>
      <c r="N264" s="164"/>
      <c r="O264" s="148"/>
      <c r="P264" s="121">
        <v>53.47</v>
      </c>
      <c r="Q264" s="84"/>
      <c r="R264" s="85"/>
      <c r="S264" s="79">
        <f>ROUND(ROUND(P264, 2)*I264, 2)</f>
        <v>2558</v>
      </c>
    </row>
    <row r="265" spans="1:21" ht="54" x14ac:dyDescent="0.5">
      <c r="A265" s="10" t="s">
        <v>1380</v>
      </c>
      <c r="B265" s="10"/>
      <c r="C265" s="28" t="s">
        <v>67</v>
      </c>
      <c r="D265" s="12"/>
      <c r="E265" s="12"/>
      <c r="F265" s="29" t="s">
        <v>68</v>
      </c>
      <c r="G265" s="30">
        <v>1</v>
      </c>
      <c r="H265" s="92"/>
      <c r="I265" s="95">
        <v>59.8</v>
      </c>
      <c r="J265" s="143"/>
      <c r="K265" s="148"/>
      <c r="L265" s="89"/>
      <c r="M265" s="106"/>
      <c r="N265" s="164"/>
      <c r="O265" s="148"/>
      <c r="P265" s="121">
        <v>89.83</v>
      </c>
      <c r="Q265" s="84"/>
      <c r="R265" s="85"/>
      <c r="S265" s="79">
        <f>ROUND(ROUND(P265, 2)*I265, 2)</f>
        <v>5371.83</v>
      </c>
    </row>
    <row r="266" spans="1:21" ht="109.95" customHeight="1" x14ac:dyDescent="0.3">
      <c r="A266" s="191" t="s">
        <v>1383</v>
      </c>
      <c r="B266" s="191" t="s">
        <v>165</v>
      </c>
      <c r="C266" s="192" t="s">
        <v>166</v>
      </c>
      <c r="D266" s="193" t="s">
        <v>59</v>
      </c>
      <c r="E266" s="193" t="s">
        <v>1384</v>
      </c>
      <c r="F266" s="193" t="s">
        <v>61</v>
      </c>
      <c r="G266" s="194">
        <v>1</v>
      </c>
      <c r="H266" s="195"/>
      <c r="I266" s="196">
        <v>783.6</v>
      </c>
      <c r="J266" s="197">
        <f>I266-K266</f>
        <v>461.17</v>
      </c>
      <c r="K266" s="198">
        <f>L266+N266</f>
        <v>322.43</v>
      </c>
      <c r="L266" s="199">
        <v>322.43</v>
      </c>
      <c r="M266" s="200">
        <f>L266*R266</f>
        <v>857263.98680000007</v>
      </c>
      <c r="N266" s="199"/>
      <c r="O266" s="200">
        <f>N266*R266</f>
        <v>0</v>
      </c>
      <c r="P266" s="201">
        <f>IFERROR(ROUND(SUM(S267,S268,S269,S270,S271)/I266, 2),0)</f>
        <v>821.26</v>
      </c>
      <c r="Q266" s="202">
        <v>1837.5</v>
      </c>
      <c r="R266" s="203">
        <f>P266+ROUND(Q266, 2)</f>
        <v>2658.76</v>
      </c>
      <c r="S266" s="78">
        <f>ROUND(P266*I266, 2)</f>
        <v>643539.34</v>
      </c>
      <c r="T266" s="14">
        <f>ROUND(I266*ROUND(Q266, 2), 2)</f>
        <v>1439865</v>
      </c>
      <c r="U266" s="14">
        <f>S266+T266</f>
        <v>2083404.3399999999</v>
      </c>
    </row>
    <row r="267" spans="1:21" ht="25.8" x14ac:dyDescent="0.5">
      <c r="A267" s="10" t="s">
        <v>1385</v>
      </c>
      <c r="B267" s="10"/>
      <c r="C267" s="47" t="s">
        <v>90</v>
      </c>
      <c r="D267" s="12"/>
      <c r="E267" s="12"/>
      <c r="F267" s="29" t="s">
        <v>91</v>
      </c>
      <c r="G267" s="30">
        <v>5.1999999999999998E-2</v>
      </c>
      <c r="H267" s="92"/>
      <c r="I267" s="95">
        <v>40.747</v>
      </c>
      <c r="J267" s="143"/>
      <c r="K267" s="148"/>
      <c r="L267" s="89"/>
      <c r="M267" s="106"/>
      <c r="N267" s="164"/>
      <c r="O267" s="148"/>
      <c r="P267" s="121">
        <v>4093.92</v>
      </c>
      <c r="Q267" s="84"/>
      <c r="R267" s="85"/>
      <c r="S267" s="79">
        <f>ROUND(ROUND(P267, 2)*I267, 2)</f>
        <v>166814.96</v>
      </c>
    </row>
    <row r="268" spans="1:21" ht="54" x14ac:dyDescent="0.5">
      <c r="A268" s="10" t="s">
        <v>1388</v>
      </c>
      <c r="B268" s="10"/>
      <c r="C268" s="28" t="s">
        <v>177</v>
      </c>
      <c r="D268" s="12"/>
      <c r="E268" s="12"/>
      <c r="F268" s="29" t="s">
        <v>68</v>
      </c>
      <c r="G268" s="30">
        <v>1</v>
      </c>
      <c r="H268" s="92"/>
      <c r="I268" s="95">
        <v>783.6</v>
      </c>
      <c r="J268" s="143"/>
      <c r="K268" s="148"/>
      <c r="L268" s="89"/>
      <c r="M268" s="106"/>
      <c r="N268" s="164"/>
      <c r="O268" s="148"/>
      <c r="P268" s="121">
        <v>113.01</v>
      </c>
      <c r="Q268" s="84"/>
      <c r="R268" s="85"/>
      <c r="S268" s="79">
        <f>ROUND(ROUND(P268, 2)*I268, 2)</f>
        <v>88554.64</v>
      </c>
    </row>
    <row r="269" spans="1:21" ht="25.8" x14ac:dyDescent="0.5">
      <c r="A269" s="10" t="s">
        <v>1391</v>
      </c>
      <c r="B269" s="10"/>
      <c r="C269" s="47" t="s">
        <v>184</v>
      </c>
      <c r="D269" s="12"/>
      <c r="E269" s="12"/>
      <c r="F269" s="29" t="s">
        <v>61</v>
      </c>
      <c r="G269" s="30">
        <v>2.2000000000000002</v>
      </c>
      <c r="H269" s="92"/>
      <c r="I269" s="95">
        <v>1723.92</v>
      </c>
      <c r="J269" s="143"/>
      <c r="K269" s="148"/>
      <c r="L269" s="89"/>
      <c r="M269" s="106"/>
      <c r="N269" s="164"/>
      <c r="O269" s="148"/>
      <c r="P269" s="121">
        <v>107.1</v>
      </c>
      <c r="Q269" s="84"/>
      <c r="R269" s="85"/>
      <c r="S269" s="79">
        <f>ROUND(ROUND(P269, 2)*I269, 2)</f>
        <v>184631.83</v>
      </c>
    </row>
    <row r="270" spans="1:21" ht="25.8" x14ac:dyDescent="0.5">
      <c r="A270" s="10" t="s">
        <v>1394</v>
      </c>
      <c r="B270" s="10"/>
      <c r="C270" s="47" t="s">
        <v>75</v>
      </c>
      <c r="D270" s="12"/>
      <c r="E270" s="12"/>
      <c r="F270" s="29" t="s">
        <v>76</v>
      </c>
      <c r="G270" s="30">
        <v>0.86</v>
      </c>
      <c r="H270" s="93"/>
      <c r="I270" s="97">
        <v>673.89599999999996</v>
      </c>
      <c r="J270" s="143"/>
      <c r="K270" s="148"/>
      <c r="L270" s="89"/>
      <c r="M270" s="106"/>
      <c r="N270" s="164"/>
      <c r="O270" s="148"/>
      <c r="P270" s="121">
        <v>66</v>
      </c>
      <c r="Q270" s="84"/>
      <c r="R270" s="85"/>
      <c r="S270" s="79">
        <f>ROUND(ROUND(P270, 2)*I270, 2)</f>
        <v>44477.14</v>
      </c>
    </row>
    <row r="271" spans="1:21" ht="25.8" x14ac:dyDescent="0.5">
      <c r="A271" s="10" t="s">
        <v>1397</v>
      </c>
      <c r="B271" s="10"/>
      <c r="C271" s="47" t="s">
        <v>83</v>
      </c>
      <c r="D271" s="12"/>
      <c r="E271" s="12"/>
      <c r="F271" s="29" t="s">
        <v>76</v>
      </c>
      <c r="G271" s="30">
        <v>2.1</v>
      </c>
      <c r="H271" s="93"/>
      <c r="I271" s="97">
        <v>1645.56</v>
      </c>
      <c r="J271" s="143"/>
      <c r="K271" s="148"/>
      <c r="L271" s="89"/>
      <c r="M271" s="106"/>
      <c r="N271" s="164"/>
      <c r="O271" s="148"/>
      <c r="P271" s="121">
        <v>96.66</v>
      </c>
      <c r="Q271" s="84"/>
      <c r="R271" s="85"/>
      <c r="S271" s="79">
        <f>ROUND(ROUND(P271, 2)*I271, 2)</f>
        <v>159059.82999999999</v>
      </c>
    </row>
    <row r="272" spans="1:21" ht="144.44999999999999" customHeight="1" x14ac:dyDescent="0.3">
      <c r="A272" s="177" t="s">
        <v>1400</v>
      </c>
      <c r="B272" s="177" t="s">
        <v>165</v>
      </c>
      <c r="C272" s="178" t="s">
        <v>166</v>
      </c>
      <c r="D272" s="179" t="s">
        <v>59</v>
      </c>
      <c r="E272" s="179" t="s">
        <v>1401</v>
      </c>
      <c r="F272" s="179" t="s">
        <v>61</v>
      </c>
      <c r="G272" s="180">
        <v>1</v>
      </c>
      <c r="H272" s="181"/>
      <c r="I272" s="190">
        <v>2480.6999999999998</v>
      </c>
      <c r="J272" s="183">
        <f>I272-K272</f>
        <v>480.69999999999982</v>
      </c>
      <c r="K272" s="184">
        <f>L272+N272</f>
        <v>2000</v>
      </c>
      <c r="L272" s="204">
        <v>1000</v>
      </c>
      <c r="M272" s="186">
        <f>L272*R272</f>
        <v>2658760</v>
      </c>
      <c r="N272" s="204">
        <v>1000</v>
      </c>
      <c r="O272" s="186">
        <f>N272*R272</f>
        <v>2658760</v>
      </c>
      <c r="P272" s="205">
        <f>IFERROR(ROUND(SUM(S273,S274,S275,S276,S277)/I272, 2),0)</f>
        <v>821.26</v>
      </c>
      <c r="Q272" s="206">
        <v>1837.5</v>
      </c>
      <c r="R272" s="207">
        <f>P272+ROUND(Q272, 2)</f>
        <v>2658.76</v>
      </c>
      <c r="S272" s="78">
        <f>ROUND(P272*I272, 2)</f>
        <v>2037299.68</v>
      </c>
      <c r="T272" s="14">
        <f>ROUND(I272*ROUND(Q272, 2), 2)</f>
        <v>4558286.25</v>
      </c>
      <c r="U272" s="14">
        <f>S272+T272</f>
        <v>6595585.9299999997</v>
      </c>
    </row>
    <row r="273" spans="1:21" ht="25.8" x14ac:dyDescent="0.5">
      <c r="A273" s="10" t="s">
        <v>1402</v>
      </c>
      <c r="B273" s="10"/>
      <c r="C273" s="47" t="s">
        <v>75</v>
      </c>
      <c r="D273" s="12"/>
      <c r="E273" s="12"/>
      <c r="F273" s="29" t="s">
        <v>76</v>
      </c>
      <c r="G273" s="30">
        <v>0.86</v>
      </c>
      <c r="H273" s="93"/>
      <c r="I273" s="97">
        <v>2133.402</v>
      </c>
      <c r="J273" s="143"/>
      <c r="K273" s="148"/>
      <c r="L273" s="89"/>
      <c r="M273" s="106"/>
      <c r="N273" s="164"/>
      <c r="O273" s="148"/>
      <c r="P273" s="121">
        <v>66</v>
      </c>
      <c r="Q273" s="84"/>
      <c r="R273" s="85"/>
      <c r="S273" s="79">
        <f>ROUND(ROUND(P273, 2)*I273, 2)</f>
        <v>140804.53</v>
      </c>
    </row>
    <row r="274" spans="1:21" ht="25.8" x14ac:dyDescent="0.5">
      <c r="A274" s="10" t="s">
        <v>1405</v>
      </c>
      <c r="B274" s="10"/>
      <c r="C274" s="47" t="s">
        <v>83</v>
      </c>
      <c r="D274" s="12"/>
      <c r="E274" s="12"/>
      <c r="F274" s="29" t="s">
        <v>76</v>
      </c>
      <c r="G274" s="30">
        <v>2.1</v>
      </c>
      <c r="H274" s="93"/>
      <c r="I274" s="97">
        <v>5209.47</v>
      </c>
      <c r="J274" s="143"/>
      <c r="K274" s="148"/>
      <c r="L274" s="89"/>
      <c r="M274" s="106"/>
      <c r="N274" s="164"/>
      <c r="O274" s="148"/>
      <c r="P274" s="121">
        <v>96.66</v>
      </c>
      <c r="Q274" s="84"/>
      <c r="R274" s="85"/>
      <c r="S274" s="79">
        <f>ROUND(ROUND(P274, 2)*I274, 2)</f>
        <v>503547.37</v>
      </c>
    </row>
    <row r="275" spans="1:21" ht="25.8" x14ac:dyDescent="0.5">
      <c r="A275" s="10" t="s">
        <v>1408</v>
      </c>
      <c r="B275" s="10"/>
      <c r="C275" s="47" t="s">
        <v>214</v>
      </c>
      <c r="D275" s="12"/>
      <c r="E275" s="12"/>
      <c r="F275" s="29" t="s">
        <v>61</v>
      </c>
      <c r="G275" s="30">
        <v>2.2000000000000002</v>
      </c>
      <c r="H275" s="92"/>
      <c r="I275" s="95">
        <v>5457.54</v>
      </c>
      <c r="J275" s="143"/>
      <c r="K275" s="148"/>
      <c r="L275" s="89"/>
      <c r="M275" s="106"/>
      <c r="N275" s="164"/>
      <c r="O275" s="148"/>
      <c r="P275" s="121">
        <v>107.1</v>
      </c>
      <c r="Q275" s="84"/>
      <c r="R275" s="85"/>
      <c r="S275" s="79">
        <f>ROUND(ROUND(P275, 2)*I275, 2)</f>
        <v>584502.53</v>
      </c>
    </row>
    <row r="276" spans="1:21" ht="54" x14ac:dyDescent="0.5">
      <c r="A276" s="10" t="s">
        <v>1411</v>
      </c>
      <c r="B276" s="10"/>
      <c r="C276" s="28" t="s">
        <v>177</v>
      </c>
      <c r="D276" s="12"/>
      <c r="E276" s="12"/>
      <c r="F276" s="29" t="s">
        <v>68</v>
      </c>
      <c r="G276" s="30">
        <v>1</v>
      </c>
      <c r="H276" s="92"/>
      <c r="I276" s="95">
        <v>2480.6999999999998</v>
      </c>
      <c r="J276" s="143"/>
      <c r="K276" s="148"/>
      <c r="L276" s="89"/>
      <c r="M276" s="106"/>
      <c r="N276" s="164"/>
      <c r="O276" s="148"/>
      <c r="P276" s="121">
        <v>113.01</v>
      </c>
      <c r="Q276" s="84"/>
      <c r="R276" s="85"/>
      <c r="S276" s="79">
        <f>ROUND(ROUND(P276, 2)*I276, 2)</f>
        <v>280343.90999999997</v>
      </c>
    </row>
    <row r="277" spans="1:21" ht="25.8" x14ac:dyDescent="0.5">
      <c r="A277" s="10" t="s">
        <v>1414</v>
      </c>
      <c r="B277" s="10"/>
      <c r="C277" s="47" t="s">
        <v>90</v>
      </c>
      <c r="D277" s="12"/>
      <c r="E277" s="12"/>
      <c r="F277" s="29" t="s">
        <v>91</v>
      </c>
      <c r="G277" s="30">
        <v>5.1999999999999998E-2</v>
      </c>
      <c r="H277" s="92"/>
      <c r="I277" s="95">
        <v>128.99600000000001</v>
      </c>
      <c r="J277" s="143"/>
      <c r="K277" s="148"/>
      <c r="L277" s="89"/>
      <c r="M277" s="106"/>
      <c r="N277" s="164"/>
      <c r="O277" s="148"/>
      <c r="P277" s="121">
        <v>4093.92</v>
      </c>
      <c r="Q277" s="84"/>
      <c r="R277" s="85"/>
      <c r="S277" s="79">
        <f>ROUND(ROUND(P277, 2)*I277, 2)</f>
        <v>528099.30000000005</v>
      </c>
    </row>
    <row r="278" spans="1:21" ht="113.55" customHeight="1" x14ac:dyDescent="0.3">
      <c r="A278" s="177" t="s">
        <v>1417</v>
      </c>
      <c r="B278" s="177" t="s">
        <v>165</v>
      </c>
      <c r="C278" s="178" t="s">
        <v>166</v>
      </c>
      <c r="D278" s="179" t="s">
        <v>59</v>
      </c>
      <c r="E278" s="179" t="s">
        <v>231</v>
      </c>
      <c r="F278" s="179" t="s">
        <v>61</v>
      </c>
      <c r="G278" s="180">
        <v>1</v>
      </c>
      <c r="H278" s="181"/>
      <c r="I278" s="190">
        <v>185.6</v>
      </c>
      <c r="J278" s="183">
        <f>I278-K278</f>
        <v>67.28</v>
      </c>
      <c r="K278" s="184">
        <f>L278+N278</f>
        <v>118.32</v>
      </c>
      <c r="L278" s="185">
        <v>118.32</v>
      </c>
      <c r="M278" s="186">
        <f>L278*R278</f>
        <v>314584.48320000002</v>
      </c>
      <c r="N278" s="204"/>
      <c r="O278" s="186">
        <f>N278*R278</f>
        <v>0</v>
      </c>
      <c r="P278" s="187">
        <f>IFERROR(ROUND(SUM(S279,S280,S281,S282,S283)/I278, 2),0)</f>
        <v>821.26</v>
      </c>
      <c r="Q278" s="188">
        <v>1837.5</v>
      </c>
      <c r="R278" s="189">
        <f>P278+ROUND(Q278, 2)</f>
        <v>2658.76</v>
      </c>
      <c r="S278" s="78">
        <f>ROUND(P278*I278, 2)</f>
        <v>152425.85999999999</v>
      </c>
      <c r="T278" s="14">
        <f>ROUND(I278*ROUND(Q278, 2), 2)</f>
        <v>341040</v>
      </c>
      <c r="U278" s="14">
        <f>S278+T278</f>
        <v>493465.86</v>
      </c>
    </row>
    <row r="279" spans="1:21" ht="25.8" x14ac:dyDescent="0.5">
      <c r="A279" s="10" t="s">
        <v>1418</v>
      </c>
      <c r="B279" s="10"/>
      <c r="C279" s="47" t="s">
        <v>90</v>
      </c>
      <c r="D279" s="12"/>
      <c r="E279" s="12"/>
      <c r="F279" s="29" t="s">
        <v>91</v>
      </c>
      <c r="G279" s="30">
        <v>5.1999999999999998E-2</v>
      </c>
      <c r="H279" s="92"/>
      <c r="I279" s="95">
        <v>9.6509999999999998</v>
      </c>
      <c r="J279" s="143"/>
      <c r="K279" s="148"/>
      <c r="L279" s="89"/>
      <c r="M279" s="106"/>
      <c r="N279" s="164"/>
      <c r="O279" s="148"/>
      <c r="P279" s="121">
        <v>4093.92</v>
      </c>
      <c r="Q279" s="84"/>
      <c r="R279" s="85"/>
      <c r="S279" s="79">
        <f>ROUND(ROUND(P279, 2)*I279, 2)</f>
        <v>39510.42</v>
      </c>
    </row>
    <row r="280" spans="1:21" ht="54" x14ac:dyDescent="0.5">
      <c r="A280" s="10" t="s">
        <v>1421</v>
      </c>
      <c r="B280" s="10"/>
      <c r="C280" s="28" t="s">
        <v>177</v>
      </c>
      <c r="D280" s="12"/>
      <c r="E280" s="12"/>
      <c r="F280" s="29" t="s">
        <v>68</v>
      </c>
      <c r="G280" s="30">
        <v>1</v>
      </c>
      <c r="H280" s="92"/>
      <c r="I280" s="95">
        <v>185.6</v>
      </c>
      <c r="J280" s="143"/>
      <c r="K280" s="148"/>
      <c r="L280" s="89"/>
      <c r="M280" s="106"/>
      <c r="N280" s="164"/>
      <c r="O280" s="148"/>
      <c r="P280" s="121">
        <v>113.01</v>
      </c>
      <c r="Q280" s="84"/>
      <c r="R280" s="85"/>
      <c r="S280" s="79">
        <f>ROUND(ROUND(P280, 2)*I280, 2)</f>
        <v>20974.66</v>
      </c>
    </row>
    <row r="281" spans="1:21" ht="25.8" x14ac:dyDescent="0.5">
      <c r="A281" s="10" t="s">
        <v>1424</v>
      </c>
      <c r="B281" s="10"/>
      <c r="C281" s="47" t="s">
        <v>214</v>
      </c>
      <c r="D281" s="12"/>
      <c r="E281" s="12"/>
      <c r="F281" s="29" t="s">
        <v>61</v>
      </c>
      <c r="G281" s="30">
        <v>2.2000000000000002</v>
      </c>
      <c r="H281" s="92"/>
      <c r="I281" s="95">
        <v>408.32</v>
      </c>
      <c r="J281" s="143"/>
      <c r="K281" s="148"/>
      <c r="L281" s="89"/>
      <c r="M281" s="106"/>
      <c r="N281" s="164"/>
      <c r="O281" s="148"/>
      <c r="P281" s="121">
        <v>107.1</v>
      </c>
      <c r="Q281" s="84"/>
      <c r="R281" s="85"/>
      <c r="S281" s="79">
        <f>ROUND(ROUND(P281, 2)*I281, 2)</f>
        <v>43731.07</v>
      </c>
    </row>
    <row r="282" spans="1:21" ht="25.8" x14ac:dyDescent="0.5">
      <c r="A282" s="10" t="s">
        <v>1427</v>
      </c>
      <c r="B282" s="10"/>
      <c r="C282" s="47" t="s">
        <v>75</v>
      </c>
      <c r="D282" s="12"/>
      <c r="E282" s="12"/>
      <c r="F282" s="29" t="s">
        <v>76</v>
      </c>
      <c r="G282" s="30">
        <v>0.86</v>
      </c>
      <c r="H282" s="93"/>
      <c r="I282" s="97">
        <v>159.61600000000001</v>
      </c>
      <c r="J282" s="143"/>
      <c r="K282" s="148"/>
      <c r="L282" s="89"/>
      <c r="M282" s="106"/>
      <c r="N282" s="164"/>
      <c r="O282" s="148"/>
      <c r="P282" s="121">
        <v>66</v>
      </c>
      <c r="Q282" s="84"/>
      <c r="R282" s="85"/>
      <c r="S282" s="79">
        <f>ROUND(ROUND(P282, 2)*I282, 2)</f>
        <v>10534.66</v>
      </c>
    </row>
    <row r="283" spans="1:21" ht="25.8" x14ac:dyDescent="0.5">
      <c r="A283" s="10" t="s">
        <v>1430</v>
      </c>
      <c r="B283" s="10"/>
      <c r="C283" s="47" t="s">
        <v>83</v>
      </c>
      <c r="D283" s="12"/>
      <c r="E283" s="12"/>
      <c r="F283" s="29" t="s">
        <v>76</v>
      </c>
      <c r="G283" s="30">
        <v>2.1</v>
      </c>
      <c r="H283" s="93"/>
      <c r="I283" s="97">
        <v>389.76</v>
      </c>
      <c r="J283" s="143"/>
      <c r="K283" s="148"/>
      <c r="L283" s="89"/>
      <c r="M283" s="106"/>
      <c r="N283" s="164"/>
      <c r="O283" s="148"/>
      <c r="P283" s="121">
        <v>96.66</v>
      </c>
      <c r="Q283" s="84"/>
      <c r="R283" s="85"/>
      <c r="S283" s="79">
        <f>ROUND(ROUND(P283, 2)*I283, 2)</f>
        <v>37674.199999999997</v>
      </c>
    </row>
    <row r="284" spans="1:21" ht="141" customHeight="1" x14ac:dyDescent="0.3">
      <c r="A284" s="10" t="s">
        <v>1433</v>
      </c>
      <c r="B284" s="10" t="s">
        <v>165</v>
      </c>
      <c r="C284" s="11" t="s">
        <v>166</v>
      </c>
      <c r="D284" s="12" t="s">
        <v>59</v>
      </c>
      <c r="E284" s="12" t="s">
        <v>259</v>
      </c>
      <c r="F284" s="12" t="s">
        <v>61</v>
      </c>
      <c r="G284" s="13">
        <v>1</v>
      </c>
      <c r="H284" s="91"/>
      <c r="I284" s="96">
        <v>128.5</v>
      </c>
      <c r="J284" s="142">
        <f>I284-K284</f>
        <v>128.5</v>
      </c>
      <c r="K284" s="152">
        <f>N284</f>
        <v>0</v>
      </c>
      <c r="L284" s="128"/>
      <c r="M284" s="127"/>
      <c r="N284" s="171"/>
      <c r="O284" s="170">
        <f>N284*R284</f>
        <v>0</v>
      </c>
      <c r="P284" s="120">
        <f>IFERROR(ROUND(SUM(S285,S286,S287,S288,S289)/I284, 2),0)</f>
        <v>4152.3</v>
      </c>
      <c r="Q284" s="75">
        <v>1837.5</v>
      </c>
      <c r="R284" s="87">
        <f>P284+ROUND(Q284, 2)</f>
        <v>5989.8</v>
      </c>
      <c r="S284" s="78">
        <f>ROUND(P284*I284, 2)</f>
        <v>533570.55000000005</v>
      </c>
      <c r="T284" s="14">
        <f>ROUND(I284*ROUND(Q284, 2), 2)</f>
        <v>236118.75</v>
      </c>
      <c r="U284" s="14">
        <f>S284+T284</f>
        <v>769689.3</v>
      </c>
    </row>
    <row r="285" spans="1:21" ht="25.8" x14ac:dyDescent="0.5">
      <c r="A285" s="10" t="s">
        <v>1434</v>
      </c>
      <c r="B285" s="10"/>
      <c r="C285" s="47" t="s">
        <v>117</v>
      </c>
      <c r="D285" s="12"/>
      <c r="E285" s="12"/>
      <c r="F285" s="29" t="s">
        <v>76</v>
      </c>
      <c r="G285" s="30">
        <v>2.1</v>
      </c>
      <c r="H285" s="92"/>
      <c r="I285" s="95">
        <v>269.85000000000002</v>
      </c>
      <c r="J285" s="143"/>
      <c r="K285" s="148"/>
      <c r="L285" s="89"/>
      <c r="M285" s="106"/>
      <c r="N285" s="164"/>
      <c r="O285" s="148"/>
      <c r="P285" s="121">
        <v>66.87</v>
      </c>
      <c r="Q285" s="84"/>
      <c r="R285" s="85"/>
      <c r="S285" s="79">
        <f>ROUND(ROUND(P285, 2)*I285, 2)</f>
        <v>18044.87</v>
      </c>
    </row>
    <row r="286" spans="1:21" ht="25.8" x14ac:dyDescent="0.5">
      <c r="A286" s="10" t="s">
        <v>1437</v>
      </c>
      <c r="B286" s="10"/>
      <c r="C286" s="47" t="s">
        <v>124</v>
      </c>
      <c r="D286" s="12"/>
      <c r="E286" s="12"/>
      <c r="F286" s="29" t="s">
        <v>76</v>
      </c>
      <c r="G286" s="30">
        <v>0.8</v>
      </c>
      <c r="H286" s="92"/>
      <c r="I286" s="95">
        <v>102.8</v>
      </c>
      <c r="J286" s="143"/>
      <c r="K286" s="148"/>
      <c r="L286" s="89"/>
      <c r="M286" s="106"/>
      <c r="N286" s="164"/>
      <c r="O286" s="148"/>
      <c r="P286" s="121">
        <v>53.47</v>
      </c>
      <c r="Q286" s="84"/>
      <c r="R286" s="85"/>
      <c r="S286" s="79">
        <f>ROUND(ROUND(P286, 2)*I286, 2)</f>
        <v>5496.72</v>
      </c>
    </row>
    <row r="287" spans="1:21" ht="36" x14ac:dyDescent="0.5">
      <c r="A287" s="10" t="s">
        <v>1440</v>
      </c>
      <c r="B287" s="10"/>
      <c r="C287" s="47" t="s">
        <v>214</v>
      </c>
      <c r="D287" s="12"/>
      <c r="E287" s="12" t="s">
        <v>272</v>
      </c>
      <c r="F287" s="29" t="s">
        <v>61</v>
      </c>
      <c r="G287" s="30">
        <v>2.2000000000000002</v>
      </c>
      <c r="H287" s="92"/>
      <c r="I287" s="95">
        <v>282.7</v>
      </c>
      <c r="J287" s="143"/>
      <c r="K287" s="148"/>
      <c r="L287" s="89"/>
      <c r="M287" s="106"/>
      <c r="N287" s="164"/>
      <c r="O287" s="148"/>
      <c r="P287" s="121">
        <v>1656</v>
      </c>
      <c r="Q287" s="84"/>
      <c r="R287" s="85"/>
      <c r="S287" s="79">
        <f>ROUND(ROUND(P287, 2)*I287, 2)</f>
        <v>468151.2</v>
      </c>
    </row>
    <row r="288" spans="1:21" ht="54" x14ac:dyDescent="0.5">
      <c r="A288" s="10" t="s">
        <v>1443</v>
      </c>
      <c r="B288" s="10"/>
      <c r="C288" s="28" t="s">
        <v>177</v>
      </c>
      <c r="D288" s="12"/>
      <c r="E288" s="12"/>
      <c r="F288" s="29" t="s">
        <v>68</v>
      </c>
      <c r="G288" s="30">
        <v>1</v>
      </c>
      <c r="H288" s="92"/>
      <c r="I288" s="95">
        <v>128.5</v>
      </c>
      <c r="J288" s="143"/>
      <c r="K288" s="148"/>
      <c r="L288" s="89"/>
      <c r="M288" s="106"/>
      <c r="N288" s="164"/>
      <c r="O288" s="148"/>
      <c r="P288" s="121">
        <v>113.01</v>
      </c>
      <c r="Q288" s="84"/>
      <c r="R288" s="85"/>
      <c r="S288" s="79">
        <f>ROUND(ROUND(P288, 2)*I288, 2)</f>
        <v>14521.79</v>
      </c>
    </row>
    <row r="289" spans="1:21" ht="25.8" x14ac:dyDescent="0.5">
      <c r="A289" s="10" t="s">
        <v>1446</v>
      </c>
      <c r="B289" s="10"/>
      <c r="C289" s="47" t="s">
        <v>90</v>
      </c>
      <c r="D289" s="12"/>
      <c r="E289" s="12"/>
      <c r="F289" s="29" t="s">
        <v>91</v>
      </c>
      <c r="G289" s="30">
        <v>5.1999999999999998E-2</v>
      </c>
      <c r="H289" s="92"/>
      <c r="I289" s="95">
        <v>6.6820000000000004</v>
      </c>
      <c r="J289" s="143"/>
      <c r="K289" s="148"/>
      <c r="L289" s="89"/>
      <c r="M289" s="106"/>
      <c r="N289" s="164"/>
      <c r="O289" s="148"/>
      <c r="P289" s="121">
        <v>4093.92</v>
      </c>
      <c r="Q289" s="84"/>
      <c r="R289" s="85"/>
      <c r="S289" s="79">
        <f>ROUND(ROUND(P289, 2)*I289, 2)</f>
        <v>27355.57</v>
      </c>
    </row>
    <row r="290" spans="1:21" ht="151.19999999999999" customHeight="1" x14ac:dyDescent="0.3">
      <c r="A290" s="10" t="s">
        <v>1449</v>
      </c>
      <c r="B290" s="10" t="s">
        <v>165</v>
      </c>
      <c r="C290" s="11" t="s">
        <v>166</v>
      </c>
      <c r="D290" s="12" t="s">
        <v>59</v>
      </c>
      <c r="E290" s="12" t="s">
        <v>288</v>
      </c>
      <c r="F290" s="12" t="s">
        <v>61</v>
      </c>
      <c r="G290" s="13">
        <v>1</v>
      </c>
      <c r="H290" s="91"/>
      <c r="I290" s="96">
        <v>95.8</v>
      </c>
      <c r="J290" s="142">
        <f>I290-K290</f>
        <v>95.8</v>
      </c>
      <c r="K290" s="152">
        <f>N290</f>
        <v>0</v>
      </c>
      <c r="L290" s="128"/>
      <c r="M290" s="127"/>
      <c r="N290" s="171"/>
      <c r="O290" s="170">
        <f>N290*R290</f>
        <v>0</v>
      </c>
      <c r="P290" s="120">
        <f>IFERROR(ROUND(SUM(S291,S292,S293,S294,S295)/I290, 2),0)</f>
        <v>1307.98</v>
      </c>
      <c r="Q290" s="75">
        <v>1837.5</v>
      </c>
      <c r="R290" s="87">
        <f>P290+ROUND(Q290, 2)</f>
        <v>3145.48</v>
      </c>
      <c r="S290" s="78">
        <f>ROUND(P290*I290, 2)</f>
        <v>125304.48</v>
      </c>
      <c r="T290" s="14">
        <f>ROUND(I290*ROUND(Q290, 2), 2)</f>
        <v>176032.5</v>
      </c>
      <c r="U290" s="14">
        <f>S290+T290</f>
        <v>301336.98</v>
      </c>
    </row>
    <row r="291" spans="1:21" ht="25.8" x14ac:dyDescent="0.5">
      <c r="A291" s="10" t="s">
        <v>1450</v>
      </c>
      <c r="B291" s="10"/>
      <c r="C291" s="47" t="s">
        <v>90</v>
      </c>
      <c r="D291" s="12"/>
      <c r="E291" s="12"/>
      <c r="F291" s="29" t="s">
        <v>91</v>
      </c>
      <c r="G291" s="30">
        <v>5.1999999999999998E-2</v>
      </c>
      <c r="H291" s="92"/>
      <c r="I291" s="95">
        <v>4.9820000000000002</v>
      </c>
      <c r="J291" s="143"/>
      <c r="K291" s="148"/>
      <c r="L291" s="89"/>
      <c r="M291" s="106"/>
      <c r="N291" s="164"/>
      <c r="O291" s="148"/>
      <c r="P291" s="121">
        <v>4093.92</v>
      </c>
      <c r="Q291" s="84"/>
      <c r="R291" s="85"/>
      <c r="S291" s="79">
        <f>ROUND(ROUND(P291, 2)*I291, 2)</f>
        <v>20395.91</v>
      </c>
    </row>
    <row r="292" spans="1:21" ht="54" x14ac:dyDescent="0.5">
      <c r="A292" s="10" t="s">
        <v>1453</v>
      </c>
      <c r="B292" s="10"/>
      <c r="C292" s="28" t="s">
        <v>177</v>
      </c>
      <c r="D292" s="12"/>
      <c r="E292" s="12"/>
      <c r="F292" s="29" t="s">
        <v>68</v>
      </c>
      <c r="G292" s="30">
        <v>1</v>
      </c>
      <c r="H292" s="92"/>
      <c r="I292" s="95">
        <v>95.8</v>
      </c>
      <c r="J292" s="143"/>
      <c r="K292" s="148"/>
      <c r="L292" s="89"/>
      <c r="M292" s="106"/>
      <c r="N292" s="164"/>
      <c r="O292" s="148"/>
      <c r="P292" s="121">
        <v>113.01</v>
      </c>
      <c r="Q292" s="84"/>
      <c r="R292" s="85"/>
      <c r="S292" s="79">
        <f>ROUND(ROUND(P292, 2)*I292, 2)</f>
        <v>10826.36</v>
      </c>
    </row>
    <row r="293" spans="1:21" ht="25.8" x14ac:dyDescent="0.5">
      <c r="A293" s="10" t="s">
        <v>1456</v>
      </c>
      <c r="B293" s="10"/>
      <c r="C293" s="47" t="s">
        <v>301</v>
      </c>
      <c r="D293" s="12"/>
      <c r="E293" s="12"/>
      <c r="F293" s="29" t="s">
        <v>61</v>
      </c>
      <c r="G293" s="30">
        <v>2.2000000000000002</v>
      </c>
      <c r="H293" s="92"/>
      <c r="I293" s="95">
        <v>210.76</v>
      </c>
      <c r="J293" s="143"/>
      <c r="K293" s="148"/>
      <c r="L293" s="89"/>
      <c r="M293" s="106"/>
      <c r="N293" s="164"/>
      <c r="O293" s="148"/>
      <c r="P293" s="121">
        <v>328.33</v>
      </c>
      <c r="Q293" s="84"/>
      <c r="R293" s="85"/>
      <c r="S293" s="79">
        <f>ROUND(ROUND(P293, 2)*I293, 2)</f>
        <v>69198.83</v>
      </c>
    </row>
    <row r="294" spans="1:21" ht="25.8" x14ac:dyDescent="0.5">
      <c r="A294" s="10" t="s">
        <v>1459</v>
      </c>
      <c r="B294" s="10"/>
      <c r="C294" s="47" t="s">
        <v>75</v>
      </c>
      <c r="D294" s="12"/>
      <c r="E294" s="12"/>
      <c r="F294" s="29" t="s">
        <v>76</v>
      </c>
      <c r="G294" s="30">
        <v>0.86</v>
      </c>
      <c r="H294" s="93"/>
      <c r="I294" s="97">
        <v>82.388000000000005</v>
      </c>
      <c r="J294" s="143"/>
      <c r="K294" s="148"/>
      <c r="L294" s="89"/>
      <c r="M294" s="106"/>
      <c r="N294" s="164"/>
      <c r="O294" s="148"/>
      <c r="P294" s="121">
        <v>66</v>
      </c>
      <c r="Q294" s="84"/>
      <c r="R294" s="85"/>
      <c r="S294" s="79">
        <f>ROUND(ROUND(P294, 2)*I294, 2)</f>
        <v>5437.61</v>
      </c>
    </row>
    <row r="295" spans="1:21" ht="26.4" thickBot="1" x14ac:dyDescent="0.55000000000000004">
      <c r="A295" s="10" t="s">
        <v>1462</v>
      </c>
      <c r="B295" s="10"/>
      <c r="C295" s="47" t="s">
        <v>83</v>
      </c>
      <c r="D295" s="12"/>
      <c r="E295" s="12"/>
      <c r="F295" s="29" t="s">
        <v>76</v>
      </c>
      <c r="G295" s="30">
        <v>2.1</v>
      </c>
      <c r="H295" s="93"/>
      <c r="I295" s="98">
        <v>201.18</v>
      </c>
      <c r="J295" s="143"/>
      <c r="K295" s="148"/>
      <c r="L295" s="89"/>
      <c r="M295" s="106"/>
      <c r="N295" s="164"/>
      <c r="O295" s="148"/>
      <c r="P295" s="121">
        <v>96.66</v>
      </c>
      <c r="Q295" s="84"/>
      <c r="R295" s="85"/>
      <c r="S295" s="79">
        <f>ROUND(ROUND(P295, 2)*I295, 2)</f>
        <v>19446.060000000001</v>
      </c>
    </row>
    <row r="296" spans="1:21" ht="16.95" customHeight="1" x14ac:dyDescent="0.5">
      <c r="A296" s="10" t="s">
        <v>1465</v>
      </c>
      <c r="B296" s="10" t="s">
        <v>318</v>
      </c>
      <c r="C296" s="237" t="s">
        <v>319</v>
      </c>
      <c r="D296" s="238"/>
      <c r="E296" s="238"/>
      <c r="F296" s="238"/>
      <c r="G296" s="238"/>
      <c r="H296" s="238"/>
      <c r="I296" s="251"/>
      <c r="J296" s="135"/>
      <c r="K296" s="148"/>
      <c r="L296" s="89"/>
      <c r="M296" s="104"/>
      <c r="N296" s="168"/>
      <c r="O296" s="169"/>
      <c r="P296" s="84"/>
      <c r="Q296" s="84"/>
      <c r="R296" s="85"/>
      <c r="S296" s="77">
        <f t="shared" ref="S296:U297" si="6">SUM(S297)</f>
        <v>58617329.380000003</v>
      </c>
      <c r="T296" s="6">
        <f t="shared" si="6"/>
        <v>101384812.51000001</v>
      </c>
      <c r="U296" s="6">
        <f t="shared" si="6"/>
        <v>160002141.88999999</v>
      </c>
    </row>
    <row r="297" spans="1:21" ht="16.95" customHeight="1" x14ac:dyDescent="0.5">
      <c r="A297" s="10" t="s">
        <v>1466</v>
      </c>
      <c r="B297" s="10" t="s">
        <v>321</v>
      </c>
      <c r="C297" s="237" t="s">
        <v>322</v>
      </c>
      <c r="D297" s="238"/>
      <c r="E297" s="238"/>
      <c r="F297" s="238"/>
      <c r="G297" s="238"/>
      <c r="H297" s="238"/>
      <c r="I297" s="239"/>
      <c r="J297" s="135"/>
      <c r="K297" s="148"/>
      <c r="L297" s="89"/>
      <c r="M297" s="104"/>
      <c r="N297" s="168"/>
      <c r="O297" s="169"/>
      <c r="P297" s="84"/>
      <c r="Q297" s="84"/>
      <c r="R297" s="85"/>
      <c r="S297" s="77">
        <f t="shared" si="6"/>
        <v>58617329.380000003</v>
      </c>
      <c r="T297" s="6">
        <f t="shared" si="6"/>
        <v>101384812.51000001</v>
      </c>
      <c r="U297" s="6">
        <f t="shared" si="6"/>
        <v>160002141.88999999</v>
      </c>
    </row>
    <row r="298" spans="1:21" ht="16.95" customHeight="1" x14ac:dyDescent="0.5">
      <c r="A298" s="10" t="s">
        <v>1467</v>
      </c>
      <c r="B298" s="10" t="s">
        <v>324</v>
      </c>
      <c r="C298" s="237" t="s">
        <v>325</v>
      </c>
      <c r="D298" s="238"/>
      <c r="E298" s="238"/>
      <c r="F298" s="238"/>
      <c r="G298" s="238"/>
      <c r="H298" s="238"/>
      <c r="I298" s="239"/>
      <c r="J298" s="135"/>
      <c r="K298" s="148"/>
      <c r="L298" s="89"/>
      <c r="M298" s="104"/>
      <c r="N298" s="168"/>
      <c r="O298" s="169"/>
      <c r="P298" s="84"/>
      <c r="Q298" s="84"/>
      <c r="R298" s="85"/>
      <c r="S298" s="77">
        <f>SUM(S299,S389,S410,S433,S477)</f>
        <v>58617329.380000003</v>
      </c>
      <c r="T298" s="6">
        <f>SUM(T299,T389,T410,T433,T477)</f>
        <v>101384812.51000001</v>
      </c>
      <c r="U298" s="6">
        <f>SUM(U299,U389,U410,U433,U477)</f>
        <v>160002141.88999999</v>
      </c>
    </row>
    <row r="299" spans="1:21" ht="16.95" customHeight="1" x14ac:dyDescent="0.5">
      <c r="A299" s="10" t="s">
        <v>1468</v>
      </c>
      <c r="B299" s="10" t="s">
        <v>327</v>
      </c>
      <c r="C299" s="237" t="s">
        <v>328</v>
      </c>
      <c r="D299" s="238"/>
      <c r="E299" s="238"/>
      <c r="F299" s="238"/>
      <c r="G299" s="238"/>
      <c r="H299" s="238"/>
      <c r="I299" s="239"/>
      <c r="J299" s="135"/>
      <c r="K299" s="148"/>
      <c r="L299" s="89"/>
      <c r="M299" s="104"/>
      <c r="N299" s="168"/>
      <c r="O299" s="169"/>
      <c r="P299" s="84"/>
      <c r="Q299" s="84"/>
      <c r="R299" s="85"/>
      <c r="S299" s="77">
        <f>SUM(S300,S312,S335)</f>
        <v>37514251.740000002</v>
      </c>
      <c r="T299" s="6">
        <f>SUM(T300,T312,T335)</f>
        <v>43857158.939999998</v>
      </c>
      <c r="U299" s="6">
        <f>SUM(U300,U312,U335)</f>
        <v>81371410.680000007</v>
      </c>
    </row>
    <row r="300" spans="1:21" ht="16.95" customHeight="1" thickBot="1" x14ac:dyDescent="0.55000000000000004">
      <c r="A300" s="10" t="s">
        <v>1469</v>
      </c>
      <c r="B300" s="10" t="s">
        <v>330</v>
      </c>
      <c r="C300" s="237" t="s">
        <v>331</v>
      </c>
      <c r="D300" s="238"/>
      <c r="E300" s="238"/>
      <c r="F300" s="238"/>
      <c r="G300" s="238"/>
      <c r="H300" s="238"/>
      <c r="I300" s="250"/>
      <c r="J300" s="135"/>
      <c r="K300" s="148"/>
      <c r="L300" s="89"/>
      <c r="M300" s="104"/>
      <c r="N300" s="168"/>
      <c r="O300" s="169"/>
      <c r="P300" s="84"/>
      <c r="Q300" s="84"/>
      <c r="R300" s="85"/>
      <c r="S300" s="77">
        <f>SUM(S301,S303,S308)</f>
        <v>4733357.34</v>
      </c>
      <c r="T300" s="6">
        <f>SUM(T301,T303,T308)</f>
        <v>10123937.18</v>
      </c>
      <c r="U300" s="6">
        <f>SUM(U301,U303,U308)</f>
        <v>14857294.52</v>
      </c>
    </row>
    <row r="301" spans="1:21" ht="106.8" customHeight="1" x14ac:dyDescent="0.3">
      <c r="A301" s="10" t="s">
        <v>1470</v>
      </c>
      <c r="B301" s="10" t="s">
        <v>333</v>
      </c>
      <c r="C301" s="11" t="s">
        <v>334</v>
      </c>
      <c r="D301" s="12"/>
      <c r="E301" s="12"/>
      <c r="F301" s="12" t="s">
        <v>61</v>
      </c>
      <c r="G301" s="13">
        <v>1</v>
      </c>
      <c r="H301" s="91"/>
      <c r="I301" s="94">
        <v>22.6</v>
      </c>
      <c r="J301" s="144"/>
      <c r="K301" s="149"/>
      <c r="L301" s="119"/>
      <c r="M301" s="105"/>
      <c r="N301" s="172"/>
      <c r="O301" s="173"/>
      <c r="P301" s="120">
        <f>IFERROR(ROUND(SUM(S302)/I301, 2),0)</f>
        <v>52.29</v>
      </c>
      <c r="Q301" s="75">
        <v>57.14</v>
      </c>
      <c r="R301" s="87">
        <f>P301+ROUND(Q301, 2)</f>
        <v>109.43</v>
      </c>
      <c r="S301" s="78">
        <f>ROUND(P301*I301, 2)</f>
        <v>1181.75</v>
      </c>
      <c r="T301" s="14">
        <f>ROUND(I301*ROUND(Q301, 2), 2)</f>
        <v>1291.3599999999999</v>
      </c>
      <c r="U301" s="14">
        <f>S301+T301</f>
        <v>2473.1099999999997</v>
      </c>
    </row>
    <row r="302" spans="1:21" ht="36" x14ac:dyDescent="0.5">
      <c r="A302" s="10" t="s">
        <v>1471</v>
      </c>
      <c r="B302" s="10"/>
      <c r="C302" s="28" t="s">
        <v>341</v>
      </c>
      <c r="D302" s="12"/>
      <c r="E302" s="12" t="s">
        <v>1472</v>
      </c>
      <c r="F302" s="29" t="s">
        <v>61</v>
      </c>
      <c r="G302" s="30">
        <v>1.1000000000000001</v>
      </c>
      <c r="H302" s="92"/>
      <c r="I302" s="95">
        <v>24.86</v>
      </c>
      <c r="J302" s="143"/>
      <c r="K302" s="148"/>
      <c r="L302" s="89"/>
      <c r="M302" s="106"/>
      <c r="N302" s="164"/>
      <c r="O302" s="148"/>
      <c r="P302" s="121">
        <v>47.54</v>
      </c>
      <c r="Q302" s="84"/>
      <c r="R302" s="85"/>
      <c r="S302" s="79">
        <f>ROUND(ROUND(P302, 2)*I302, 2)</f>
        <v>1181.8399999999999</v>
      </c>
    </row>
    <row r="303" spans="1:21" ht="82.8" customHeight="1" x14ac:dyDescent="0.3">
      <c r="A303" s="177" t="s">
        <v>1475</v>
      </c>
      <c r="B303" s="177" t="s">
        <v>348</v>
      </c>
      <c r="C303" s="178" t="s">
        <v>349</v>
      </c>
      <c r="D303" s="179"/>
      <c r="E303" s="179" t="s">
        <v>350</v>
      </c>
      <c r="F303" s="179" t="s">
        <v>61</v>
      </c>
      <c r="G303" s="180">
        <v>1</v>
      </c>
      <c r="H303" s="181"/>
      <c r="I303" s="190">
        <v>7788.8</v>
      </c>
      <c r="J303" s="204">
        <f>I303-K303</f>
        <v>6288.8</v>
      </c>
      <c r="K303" s="211">
        <f>N303</f>
        <v>1500</v>
      </c>
      <c r="L303" s="204"/>
      <c r="M303" s="212"/>
      <c r="N303" s="204">
        <v>1500</v>
      </c>
      <c r="O303" s="212">
        <f>N303*R303</f>
        <v>2751990</v>
      </c>
      <c r="P303" s="187">
        <f>IFERROR(ROUND(SUM(S304,S305,S306,S307)/I303, 2),0)</f>
        <v>594.65</v>
      </c>
      <c r="Q303" s="188">
        <v>1240.01</v>
      </c>
      <c r="R303" s="189">
        <f>P303+ROUND(Q303, 2)</f>
        <v>1834.6599999999999</v>
      </c>
      <c r="S303" s="78">
        <f>ROUND(P303*I303, 2)</f>
        <v>4631609.92</v>
      </c>
      <c r="T303" s="14">
        <f>ROUND(I303*ROUND(Q303, 2), 2)</f>
        <v>9658189.8900000006</v>
      </c>
      <c r="U303" s="14">
        <f>S303+T303</f>
        <v>14289799.810000001</v>
      </c>
    </row>
    <row r="304" spans="1:21" ht="25.8" x14ac:dyDescent="0.5">
      <c r="A304" s="10" t="s">
        <v>1476</v>
      </c>
      <c r="B304" s="10"/>
      <c r="C304" s="219" t="s">
        <v>355</v>
      </c>
      <c r="D304" s="12"/>
      <c r="E304" s="12"/>
      <c r="F304" s="29" t="s">
        <v>356</v>
      </c>
      <c r="G304" s="30">
        <v>8</v>
      </c>
      <c r="H304" s="93"/>
      <c r="I304" s="97">
        <v>62310.400000000001</v>
      </c>
      <c r="J304" s="143"/>
      <c r="K304" s="148"/>
      <c r="L304" s="89"/>
      <c r="M304" s="106"/>
      <c r="N304" s="164"/>
      <c r="O304" s="148"/>
      <c r="P304" s="121">
        <v>2.54</v>
      </c>
      <c r="Q304" s="84"/>
      <c r="R304" s="85"/>
      <c r="S304" s="79">
        <f>ROUND(ROUND(P304, 2)*I304, 2)</f>
        <v>158268.42000000001</v>
      </c>
    </row>
    <row r="305" spans="1:21" ht="25.8" x14ac:dyDescent="0.5">
      <c r="A305" s="10" t="s">
        <v>1479</v>
      </c>
      <c r="B305" s="10"/>
      <c r="C305" s="28" t="s">
        <v>363</v>
      </c>
      <c r="D305" s="12"/>
      <c r="E305" s="12"/>
      <c r="F305" s="29" t="s">
        <v>364</v>
      </c>
      <c r="G305" s="30">
        <v>1.8</v>
      </c>
      <c r="H305" s="93"/>
      <c r="I305" s="97">
        <v>560793.59999999998</v>
      </c>
      <c r="J305" s="143"/>
      <c r="K305" s="148"/>
      <c r="L305" s="89"/>
      <c r="M305" s="106"/>
      <c r="N305" s="164"/>
      <c r="O305" s="148"/>
      <c r="P305" s="121">
        <v>6.27</v>
      </c>
      <c r="Q305" s="84"/>
      <c r="R305" s="85"/>
      <c r="S305" s="79">
        <f>ROUND(ROUND(P305, 2)*I305, 2)</f>
        <v>3516175.87</v>
      </c>
    </row>
    <row r="306" spans="1:21" ht="25.8" x14ac:dyDescent="0.5">
      <c r="A306" s="10" t="s">
        <v>1482</v>
      </c>
      <c r="B306" s="10"/>
      <c r="C306" s="219" t="s">
        <v>371</v>
      </c>
      <c r="D306" s="12"/>
      <c r="E306" s="12"/>
      <c r="F306" s="29" t="s">
        <v>61</v>
      </c>
      <c r="G306" s="30">
        <v>1.1000000000000001</v>
      </c>
      <c r="H306" s="93"/>
      <c r="I306" s="97">
        <v>8567.68</v>
      </c>
      <c r="J306" s="143"/>
      <c r="K306" s="148"/>
      <c r="L306" s="89"/>
      <c r="M306" s="106"/>
      <c r="N306" s="164"/>
      <c r="O306" s="148"/>
      <c r="P306" s="121">
        <v>103.64</v>
      </c>
      <c r="Q306" s="84"/>
      <c r="R306" s="85"/>
      <c r="S306" s="79">
        <f>ROUND(ROUND(P306, 2)*I306, 2)</f>
        <v>887954.36</v>
      </c>
    </row>
    <row r="307" spans="1:21" ht="25.8" x14ac:dyDescent="0.5">
      <c r="A307" s="10" t="s">
        <v>1485</v>
      </c>
      <c r="B307" s="10"/>
      <c r="C307" s="28" t="s">
        <v>378</v>
      </c>
      <c r="D307" s="12"/>
      <c r="E307" s="12"/>
      <c r="F307" s="29" t="s">
        <v>76</v>
      </c>
      <c r="G307" s="30">
        <v>1</v>
      </c>
      <c r="H307" s="93"/>
      <c r="I307" s="97">
        <v>6544</v>
      </c>
      <c r="J307" s="143"/>
      <c r="K307" s="148"/>
      <c r="L307" s="89"/>
      <c r="M307" s="106"/>
      <c r="N307" s="164"/>
      <c r="O307" s="148"/>
      <c r="P307" s="121">
        <v>10.58</v>
      </c>
      <c r="Q307" s="84"/>
      <c r="R307" s="85"/>
      <c r="S307" s="79">
        <f>ROUND(ROUND(P307, 2)*I307, 2)</f>
        <v>69235.520000000004</v>
      </c>
    </row>
    <row r="308" spans="1:21" ht="34.799999999999997" x14ac:dyDescent="0.3">
      <c r="A308" s="214" t="s">
        <v>1488</v>
      </c>
      <c r="B308" s="214" t="s">
        <v>385</v>
      </c>
      <c r="C308" s="215" t="s">
        <v>386</v>
      </c>
      <c r="D308" s="216"/>
      <c r="E308" s="216" t="s">
        <v>1489</v>
      </c>
      <c r="F308" s="216" t="s">
        <v>61</v>
      </c>
      <c r="G308" s="217">
        <v>1</v>
      </c>
      <c r="H308" s="218"/>
      <c r="I308" s="96">
        <v>583.70000000000005</v>
      </c>
      <c r="J308" s="144"/>
      <c r="K308" s="149"/>
      <c r="L308" s="119"/>
      <c r="M308" s="105"/>
      <c r="N308" s="172"/>
      <c r="O308" s="173"/>
      <c r="P308" s="120">
        <f>IFERROR(ROUND(SUM(S309,S310,S311)/I308, 2),0)</f>
        <v>172.29</v>
      </c>
      <c r="Q308" s="75">
        <v>795.71</v>
      </c>
      <c r="R308" s="87">
        <f>P308+ROUND(Q308, 2)</f>
        <v>968</v>
      </c>
      <c r="S308" s="78">
        <f>ROUND(P308*I308, 2)</f>
        <v>100565.67</v>
      </c>
      <c r="T308" s="14">
        <f>ROUND(I308*ROUND(Q308, 2), 2)</f>
        <v>464455.93</v>
      </c>
      <c r="U308" s="14">
        <f>S308+T308</f>
        <v>565021.6</v>
      </c>
    </row>
    <row r="309" spans="1:21" ht="39" customHeight="1" x14ac:dyDescent="0.5">
      <c r="A309" s="10" t="s">
        <v>1490</v>
      </c>
      <c r="B309" s="10"/>
      <c r="C309" s="28" t="s">
        <v>378</v>
      </c>
      <c r="D309" s="12"/>
      <c r="E309" s="12"/>
      <c r="F309" s="29" t="s">
        <v>76</v>
      </c>
      <c r="G309" s="30">
        <v>1</v>
      </c>
      <c r="H309" s="93"/>
      <c r="I309" s="97">
        <v>96.64</v>
      </c>
      <c r="J309" s="143"/>
      <c r="K309" s="148"/>
      <c r="L309" s="89"/>
      <c r="M309" s="106"/>
      <c r="N309" s="164"/>
      <c r="O309" s="148"/>
      <c r="P309" s="121">
        <v>10.58</v>
      </c>
      <c r="Q309" s="84"/>
      <c r="R309" s="85"/>
      <c r="S309" s="79">
        <f>ROUND(ROUND(P309, 2)*I309, 2)</f>
        <v>1022.45</v>
      </c>
    </row>
    <row r="310" spans="1:21" ht="50.4" customHeight="1" x14ac:dyDescent="0.5">
      <c r="A310" s="10" t="s">
        <v>1493</v>
      </c>
      <c r="B310" s="10"/>
      <c r="C310" s="28" t="s">
        <v>397</v>
      </c>
      <c r="D310" s="12"/>
      <c r="E310" s="12"/>
      <c r="F310" s="29" t="s">
        <v>364</v>
      </c>
      <c r="G310" s="30">
        <v>0.255</v>
      </c>
      <c r="H310" s="92"/>
      <c r="I310" s="95">
        <v>148.84399999999999</v>
      </c>
      <c r="J310" s="143"/>
      <c r="K310" s="148"/>
      <c r="L310" s="89"/>
      <c r="M310" s="106"/>
      <c r="N310" s="164"/>
      <c r="O310" s="148"/>
      <c r="P310" s="121">
        <v>90.28</v>
      </c>
      <c r="Q310" s="84"/>
      <c r="R310" s="85"/>
      <c r="S310" s="79">
        <f>ROUND(ROUND(P310, 2)*I310, 2)</f>
        <v>13437.64</v>
      </c>
    </row>
    <row r="311" spans="1:21" ht="61.8" customHeight="1" thickBot="1" x14ac:dyDescent="0.55000000000000004">
      <c r="A311" s="10" t="s">
        <v>1496</v>
      </c>
      <c r="B311" s="10"/>
      <c r="C311" s="47" t="s">
        <v>404</v>
      </c>
      <c r="D311" s="12"/>
      <c r="E311" s="12"/>
      <c r="F311" s="29" t="s">
        <v>364</v>
      </c>
      <c r="G311" s="30">
        <v>1.6</v>
      </c>
      <c r="H311" s="93"/>
      <c r="I311" s="98">
        <v>9339.2000000000007</v>
      </c>
      <c r="J311" s="143"/>
      <c r="K311" s="148"/>
      <c r="L311" s="89"/>
      <c r="M311" s="106"/>
      <c r="N311" s="164"/>
      <c r="O311" s="148"/>
      <c r="P311" s="121">
        <v>9.2200000000000006</v>
      </c>
      <c r="Q311" s="84"/>
      <c r="R311" s="85"/>
      <c r="S311" s="79">
        <f>ROUND(ROUND(P311, 2)*I311, 2)</f>
        <v>86107.42</v>
      </c>
    </row>
    <row r="312" spans="1:21" ht="39.6" customHeight="1" x14ac:dyDescent="0.5">
      <c r="A312" s="10" t="s">
        <v>1499</v>
      </c>
      <c r="B312" s="10" t="s">
        <v>411</v>
      </c>
      <c r="C312" s="237" t="s">
        <v>412</v>
      </c>
      <c r="D312" s="238"/>
      <c r="E312" s="238"/>
      <c r="F312" s="238"/>
      <c r="G312" s="238"/>
      <c r="H312" s="238"/>
      <c r="I312" s="251"/>
      <c r="J312" s="135"/>
      <c r="K312" s="148"/>
      <c r="L312" s="89"/>
      <c r="M312" s="104"/>
      <c r="N312" s="168"/>
      <c r="O312" s="169"/>
      <c r="P312" s="84"/>
      <c r="Q312" s="84"/>
      <c r="R312" s="85"/>
      <c r="S312" s="77">
        <f>SUM(S313,S315,S317,S319,S321,S323,S325,S327,S329,S331,S333)</f>
        <v>4384891.08</v>
      </c>
      <c r="T312" s="6">
        <f>SUM(T313,T315,T317,T319,T321,T323,T325,T327,T329,T331,T333)</f>
        <v>5079909.82</v>
      </c>
      <c r="U312" s="6">
        <f>SUM(U313,U315,U317,U319,U321,U323,U325,U327,U329,U331,U333)</f>
        <v>9464800.9000000004</v>
      </c>
    </row>
    <row r="313" spans="1:21" ht="54" x14ac:dyDescent="0.3">
      <c r="A313" s="10" t="s">
        <v>1500</v>
      </c>
      <c r="B313" s="10" t="s">
        <v>414</v>
      </c>
      <c r="C313" s="11" t="s">
        <v>415</v>
      </c>
      <c r="D313" s="12"/>
      <c r="E313" s="12" t="s">
        <v>416</v>
      </c>
      <c r="F313" s="12" t="s">
        <v>61</v>
      </c>
      <c r="G313" s="13">
        <v>1</v>
      </c>
      <c r="H313" s="13"/>
      <c r="I313" s="99">
        <v>168.4</v>
      </c>
      <c r="J313" s="145"/>
      <c r="K313" s="149"/>
      <c r="L313" s="119"/>
      <c r="M313" s="105"/>
      <c r="N313" s="172"/>
      <c r="O313" s="173"/>
      <c r="P313" s="120">
        <f>IFERROR(ROUND(SUM(S314)/I313, 2),0)</f>
        <v>1014.44</v>
      </c>
      <c r="Q313" s="75">
        <v>231.43</v>
      </c>
      <c r="R313" s="87">
        <f>P313+ROUND(Q313, 2)</f>
        <v>1245.8700000000001</v>
      </c>
      <c r="S313" s="78">
        <f>ROUND(P313*I313, 2)</f>
        <v>170831.7</v>
      </c>
      <c r="T313" s="14">
        <f>ROUND(I313*ROUND(Q313, 2), 2)</f>
        <v>38972.81</v>
      </c>
      <c r="U313" s="14">
        <f>S313+T313</f>
        <v>209804.51</v>
      </c>
    </row>
    <row r="314" spans="1:21" ht="36" x14ac:dyDescent="0.5">
      <c r="A314" s="10" t="s">
        <v>1501</v>
      </c>
      <c r="B314" s="10"/>
      <c r="C314" s="28" t="s">
        <v>421</v>
      </c>
      <c r="D314" s="12"/>
      <c r="E314" s="12"/>
      <c r="F314" s="29" t="s">
        <v>364</v>
      </c>
      <c r="G314" s="30">
        <v>1</v>
      </c>
      <c r="H314" s="30"/>
      <c r="I314" s="100">
        <v>168.4</v>
      </c>
      <c r="J314" s="146"/>
      <c r="K314" s="148"/>
      <c r="L314" s="89"/>
      <c r="M314" s="106"/>
      <c r="N314" s="164"/>
      <c r="O314" s="148"/>
      <c r="P314" s="121">
        <v>1014.44</v>
      </c>
      <c r="Q314" s="84"/>
      <c r="R314" s="85"/>
      <c r="S314" s="79">
        <f>ROUND(ROUND(P314, 2)*I314, 2)</f>
        <v>170831.7</v>
      </c>
    </row>
    <row r="315" spans="1:21" ht="54" x14ac:dyDescent="0.3">
      <c r="A315" s="10" t="s">
        <v>1504</v>
      </c>
      <c r="B315" s="10" t="s">
        <v>428</v>
      </c>
      <c r="C315" s="11" t="s">
        <v>429</v>
      </c>
      <c r="D315" s="12"/>
      <c r="E315" s="12" t="s">
        <v>1505</v>
      </c>
      <c r="F315" s="12" t="s">
        <v>61</v>
      </c>
      <c r="G315" s="13">
        <v>1</v>
      </c>
      <c r="H315" s="13"/>
      <c r="I315" s="99">
        <v>549.6</v>
      </c>
      <c r="J315" s="145"/>
      <c r="K315" s="149"/>
      <c r="L315" s="119"/>
      <c r="M315" s="105"/>
      <c r="N315" s="172"/>
      <c r="O315" s="173"/>
      <c r="P315" s="120">
        <f>IFERROR(ROUND(SUM(S316)/I315, 2),0)</f>
        <v>427.76</v>
      </c>
      <c r="Q315" s="75">
        <v>462.86</v>
      </c>
      <c r="R315" s="87">
        <f>P315+ROUND(Q315, 2)</f>
        <v>890.62</v>
      </c>
      <c r="S315" s="78">
        <f>ROUND(P315*I315, 2)</f>
        <v>235096.9</v>
      </c>
      <c r="T315" s="14">
        <f>ROUND(I315*ROUND(Q315, 2), 2)</f>
        <v>254387.86</v>
      </c>
      <c r="U315" s="14">
        <f>S315+T315</f>
        <v>489484.76</v>
      </c>
    </row>
    <row r="316" spans="1:21" ht="25.8" x14ac:dyDescent="0.5">
      <c r="A316" s="10" t="s">
        <v>1506</v>
      </c>
      <c r="B316" s="10"/>
      <c r="C316" s="28" t="s">
        <v>435</v>
      </c>
      <c r="D316" s="12"/>
      <c r="E316" s="12"/>
      <c r="F316" s="29" t="s">
        <v>364</v>
      </c>
      <c r="G316" s="30">
        <v>4.3</v>
      </c>
      <c r="H316" s="30"/>
      <c r="I316" s="100">
        <v>2363.2800000000002</v>
      </c>
      <c r="J316" s="146"/>
      <c r="K316" s="148"/>
      <c r="L316" s="89"/>
      <c r="M316" s="106"/>
      <c r="N316" s="164"/>
      <c r="O316" s="148"/>
      <c r="P316" s="121">
        <v>99.48</v>
      </c>
      <c r="Q316" s="84"/>
      <c r="R316" s="85"/>
      <c r="S316" s="79">
        <f>ROUND(ROUND(P316, 2)*I316, 2)</f>
        <v>235099.09</v>
      </c>
    </row>
    <row r="317" spans="1:21" ht="36" x14ac:dyDescent="0.3">
      <c r="A317" s="10" t="s">
        <v>1509</v>
      </c>
      <c r="B317" s="10" t="s">
        <v>442</v>
      </c>
      <c r="C317" s="11" t="s">
        <v>443</v>
      </c>
      <c r="D317" s="12"/>
      <c r="E317" s="12" t="s">
        <v>1510</v>
      </c>
      <c r="F317" s="12" t="s">
        <v>61</v>
      </c>
      <c r="G317" s="13">
        <v>1</v>
      </c>
      <c r="H317" s="13"/>
      <c r="I317" s="99">
        <v>1430.4</v>
      </c>
      <c r="J317" s="145"/>
      <c r="K317" s="149"/>
      <c r="L317" s="119"/>
      <c r="M317" s="105"/>
      <c r="N317" s="172"/>
      <c r="O317" s="173"/>
      <c r="P317" s="120">
        <f>IFERROR(ROUND(SUM(S318)/I317, 2),0)</f>
        <v>362.9</v>
      </c>
      <c r="Q317" s="75">
        <v>828.57</v>
      </c>
      <c r="R317" s="87">
        <f>P317+ROUND(Q317, 2)</f>
        <v>1191.47</v>
      </c>
      <c r="S317" s="78">
        <f>ROUND(P317*I317, 2)</f>
        <v>519092.16</v>
      </c>
      <c r="T317" s="14">
        <f>ROUND(I317*ROUND(Q317, 2), 2)</f>
        <v>1185186.53</v>
      </c>
      <c r="U317" s="14">
        <f>S317+T317</f>
        <v>1704278.69</v>
      </c>
    </row>
    <row r="318" spans="1:21" ht="25.8" x14ac:dyDescent="0.5">
      <c r="A318" s="10" t="s">
        <v>1511</v>
      </c>
      <c r="B318" s="10"/>
      <c r="C318" s="47" t="s">
        <v>463</v>
      </c>
      <c r="D318" s="12"/>
      <c r="E318" s="12"/>
      <c r="F318" s="29" t="s">
        <v>61</v>
      </c>
      <c r="G318" s="30">
        <v>1.1000000000000001</v>
      </c>
      <c r="H318" s="49"/>
      <c r="I318" s="101">
        <v>1573.44</v>
      </c>
      <c r="J318" s="146"/>
      <c r="K318" s="148"/>
      <c r="L318" s="89"/>
      <c r="M318" s="106"/>
      <c r="N318" s="164"/>
      <c r="O318" s="148"/>
      <c r="P318" s="121">
        <v>329.91</v>
      </c>
      <c r="Q318" s="84"/>
      <c r="R318" s="85"/>
      <c r="S318" s="79">
        <f>ROUND(ROUND(P318, 2)*I318, 2)</f>
        <v>519093.59</v>
      </c>
    </row>
    <row r="319" spans="1:21" ht="57" customHeight="1" x14ac:dyDescent="0.3">
      <c r="A319" s="10" t="s">
        <v>1514</v>
      </c>
      <c r="B319" s="10" t="s">
        <v>456</v>
      </c>
      <c r="C319" s="11" t="s">
        <v>457</v>
      </c>
      <c r="D319" s="12"/>
      <c r="E319" s="12" t="s">
        <v>1515</v>
      </c>
      <c r="F319" s="12" t="s">
        <v>61</v>
      </c>
      <c r="G319" s="13">
        <v>1</v>
      </c>
      <c r="H319" s="13"/>
      <c r="I319" s="99">
        <v>220.5</v>
      </c>
      <c r="J319" s="145"/>
      <c r="K319" s="149"/>
      <c r="L319" s="119"/>
      <c r="M319" s="105"/>
      <c r="N319" s="172"/>
      <c r="O319" s="173"/>
      <c r="P319" s="120">
        <f>IFERROR(ROUND(SUM(S320)/I319, 2),0)</f>
        <v>692.81</v>
      </c>
      <c r="Q319" s="75">
        <v>1240.01</v>
      </c>
      <c r="R319" s="87">
        <f>P319+ROUND(Q319, 2)</f>
        <v>1932.82</v>
      </c>
      <c r="S319" s="78">
        <f>ROUND(P319*I319, 2)</f>
        <v>152764.60999999999</v>
      </c>
      <c r="T319" s="14">
        <f>ROUND(I319*ROUND(Q319, 2), 2)</f>
        <v>273422.21000000002</v>
      </c>
      <c r="U319" s="14">
        <f>S319+T319</f>
        <v>426186.82</v>
      </c>
    </row>
    <row r="320" spans="1:21" ht="39" customHeight="1" x14ac:dyDescent="0.5">
      <c r="A320" s="10" t="s">
        <v>1516</v>
      </c>
      <c r="B320" s="10"/>
      <c r="C320" s="47" t="s">
        <v>463</v>
      </c>
      <c r="D320" s="12"/>
      <c r="E320" s="12" t="s">
        <v>464</v>
      </c>
      <c r="F320" s="29" t="s">
        <v>61</v>
      </c>
      <c r="G320" s="30">
        <v>2.1</v>
      </c>
      <c r="H320" s="49"/>
      <c r="I320" s="101">
        <v>463.05</v>
      </c>
      <c r="J320" s="146"/>
      <c r="K320" s="148"/>
      <c r="L320" s="89"/>
      <c r="M320" s="106"/>
      <c r="N320" s="164"/>
      <c r="O320" s="148"/>
      <c r="P320" s="121">
        <v>329.91</v>
      </c>
      <c r="Q320" s="84"/>
      <c r="R320" s="85"/>
      <c r="S320" s="79">
        <f>ROUND(ROUND(P320, 2)*I320, 2)</f>
        <v>152764.82999999999</v>
      </c>
    </row>
    <row r="321" spans="1:21" ht="24.6" x14ac:dyDescent="0.3">
      <c r="A321" s="10" t="s">
        <v>1519</v>
      </c>
      <c r="B321" s="10" t="s">
        <v>471</v>
      </c>
      <c r="C321" s="11" t="s">
        <v>472</v>
      </c>
      <c r="D321" s="12"/>
      <c r="E321" s="12" t="s">
        <v>1520</v>
      </c>
      <c r="F321" s="12" t="s">
        <v>91</v>
      </c>
      <c r="G321" s="13">
        <v>1</v>
      </c>
      <c r="H321" s="13"/>
      <c r="I321" s="99">
        <v>14.77</v>
      </c>
      <c r="J321" s="145"/>
      <c r="K321" s="149"/>
      <c r="L321" s="119"/>
      <c r="M321" s="105"/>
      <c r="N321" s="172"/>
      <c r="O321" s="173"/>
      <c r="P321" s="120">
        <f>IFERROR(ROUND(SUM(S322)/I321, 2),0)</f>
        <v>2644.28</v>
      </c>
      <c r="Q321" s="75">
        <v>3081.43</v>
      </c>
      <c r="R321" s="87">
        <f>P321+ROUND(Q321, 2)</f>
        <v>5725.71</v>
      </c>
      <c r="S321" s="78">
        <f>ROUND(P321*I321, 2)</f>
        <v>39056.019999999997</v>
      </c>
      <c r="T321" s="14">
        <f>ROUND(I321*ROUND(Q321, 2), 2)</f>
        <v>45512.72</v>
      </c>
      <c r="U321" s="14">
        <f>S321+T321</f>
        <v>84568.739999999991</v>
      </c>
    </row>
    <row r="322" spans="1:21" ht="25.8" x14ac:dyDescent="0.5">
      <c r="A322" s="10" t="s">
        <v>1521</v>
      </c>
      <c r="B322" s="10"/>
      <c r="C322" s="28" t="s">
        <v>478</v>
      </c>
      <c r="D322" s="12"/>
      <c r="E322" s="12"/>
      <c r="F322" s="29" t="s">
        <v>91</v>
      </c>
      <c r="G322" s="30">
        <v>1.02</v>
      </c>
      <c r="H322" s="30"/>
      <c r="I322" s="100">
        <v>15.065</v>
      </c>
      <c r="J322" s="146"/>
      <c r="K322" s="148"/>
      <c r="L322" s="89"/>
      <c r="M322" s="106"/>
      <c r="N322" s="164"/>
      <c r="O322" s="148"/>
      <c r="P322" s="121">
        <v>2592.5</v>
      </c>
      <c r="Q322" s="84"/>
      <c r="R322" s="85"/>
      <c r="S322" s="79">
        <f>ROUND(ROUND(P322, 2)*I322, 2)</f>
        <v>39056.01</v>
      </c>
    </row>
    <row r="323" spans="1:21" ht="70.8" customHeight="1" x14ac:dyDescent="0.3">
      <c r="A323" s="177" t="s">
        <v>1524</v>
      </c>
      <c r="B323" s="177" t="s">
        <v>471</v>
      </c>
      <c r="C323" s="178" t="s">
        <v>472</v>
      </c>
      <c r="D323" s="179"/>
      <c r="E323" s="179" t="s">
        <v>1525</v>
      </c>
      <c r="F323" s="179" t="s">
        <v>91</v>
      </c>
      <c r="G323" s="180">
        <v>1</v>
      </c>
      <c r="H323" s="180"/>
      <c r="I323" s="180">
        <v>520.76</v>
      </c>
      <c r="J323" s="213">
        <f>I323-K323</f>
        <v>385.76</v>
      </c>
      <c r="K323" s="211">
        <f>N323</f>
        <v>135</v>
      </c>
      <c r="L323" s="204"/>
      <c r="M323" s="212"/>
      <c r="N323" s="204">
        <v>135</v>
      </c>
      <c r="O323" s="212">
        <f>N323*R323</f>
        <v>772980.29999999993</v>
      </c>
      <c r="P323" s="187">
        <f>IFERROR(ROUND(SUM(S324)/I323, 2),0)</f>
        <v>2644.35</v>
      </c>
      <c r="Q323" s="188">
        <v>3081.43</v>
      </c>
      <c r="R323" s="189">
        <f>P323+ROUND(Q323, 2)</f>
        <v>5725.78</v>
      </c>
      <c r="S323" s="78">
        <f>ROUND(P323*I323, 2)</f>
        <v>1377071.71</v>
      </c>
      <c r="T323" s="14">
        <f>ROUND(I323*ROUND(Q323, 2), 2)</f>
        <v>1604685.49</v>
      </c>
      <c r="U323" s="14">
        <f>S323+T323</f>
        <v>2981757.2</v>
      </c>
    </row>
    <row r="324" spans="1:21" ht="25.8" x14ac:dyDescent="0.5">
      <c r="A324" s="10" t="s">
        <v>1526</v>
      </c>
      <c r="B324" s="10"/>
      <c r="C324" s="28" t="s">
        <v>478</v>
      </c>
      <c r="D324" s="12"/>
      <c r="E324" s="12"/>
      <c r="F324" s="29" t="s">
        <v>91</v>
      </c>
      <c r="G324" s="30">
        <v>1.02</v>
      </c>
      <c r="H324" s="30"/>
      <c r="I324" s="100">
        <v>531.17499999999995</v>
      </c>
      <c r="J324" s="146"/>
      <c r="K324" s="148"/>
      <c r="L324" s="89"/>
      <c r="M324" s="106"/>
      <c r="N324" s="164"/>
      <c r="O324" s="148"/>
      <c r="P324" s="121">
        <v>2592.5</v>
      </c>
      <c r="Q324" s="84"/>
      <c r="R324" s="85"/>
      <c r="S324" s="79">
        <f>ROUND(ROUND(P324, 2)*I324, 2)</f>
        <v>1377071.19</v>
      </c>
    </row>
    <row r="325" spans="1:21" ht="36" x14ac:dyDescent="0.3">
      <c r="A325" s="10" t="s">
        <v>1529</v>
      </c>
      <c r="B325" s="10" t="s">
        <v>471</v>
      </c>
      <c r="C325" s="11" t="s">
        <v>472</v>
      </c>
      <c r="D325" s="12"/>
      <c r="E325" s="12" t="s">
        <v>1530</v>
      </c>
      <c r="F325" s="12" t="s">
        <v>91</v>
      </c>
      <c r="G325" s="13">
        <v>1</v>
      </c>
      <c r="H325" s="13"/>
      <c r="I325" s="99">
        <v>53.99</v>
      </c>
      <c r="J325" s="145"/>
      <c r="K325" s="149"/>
      <c r="L325" s="119"/>
      <c r="M325" s="105"/>
      <c r="N325" s="172"/>
      <c r="O325" s="173"/>
      <c r="P325" s="120">
        <f>IFERROR(ROUND(SUM(S326)/I325, 2),0)</f>
        <v>2644.36</v>
      </c>
      <c r="Q325" s="75">
        <v>3081.43</v>
      </c>
      <c r="R325" s="87">
        <f>P325+ROUND(Q325, 2)</f>
        <v>5725.79</v>
      </c>
      <c r="S325" s="78">
        <f>ROUND(P325*I325, 2)</f>
        <v>142769</v>
      </c>
      <c r="T325" s="14">
        <f>ROUND(I325*ROUND(Q325, 2), 2)</f>
        <v>166366.41</v>
      </c>
      <c r="U325" s="14">
        <f>S325+T325</f>
        <v>309135.41000000003</v>
      </c>
    </row>
    <row r="326" spans="1:21" ht="25.8" x14ac:dyDescent="0.5">
      <c r="A326" s="10" t="s">
        <v>1531</v>
      </c>
      <c r="B326" s="10"/>
      <c r="C326" s="28" t="s">
        <v>478</v>
      </c>
      <c r="D326" s="12"/>
      <c r="E326" s="12"/>
      <c r="F326" s="29" t="s">
        <v>91</v>
      </c>
      <c r="G326" s="30">
        <v>1.02</v>
      </c>
      <c r="H326" s="30"/>
      <c r="I326" s="100">
        <v>55.07</v>
      </c>
      <c r="J326" s="146"/>
      <c r="K326" s="148"/>
      <c r="L326" s="89"/>
      <c r="M326" s="106"/>
      <c r="N326" s="164"/>
      <c r="O326" s="148"/>
      <c r="P326" s="121">
        <v>2592.5</v>
      </c>
      <c r="Q326" s="84"/>
      <c r="R326" s="85"/>
      <c r="S326" s="79">
        <f>ROUND(ROUND(P326, 2)*I326, 2)</f>
        <v>142768.98000000001</v>
      </c>
    </row>
    <row r="327" spans="1:21" ht="36" x14ac:dyDescent="0.3">
      <c r="A327" s="10" t="s">
        <v>1534</v>
      </c>
      <c r="B327" s="10" t="s">
        <v>471</v>
      </c>
      <c r="C327" s="11" t="s">
        <v>472</v>
      </c>
      <c r="D327" s="12"/>
      <c r="E327" s="12" t="s">
        <v>1535</v>
      </c>
      <c r="F327" s="12" t="s">
        <v>91</v>
      </c>
      <c r="G327" s="13">
        <v>1</v>
      </c>
      <c r="H327" s="13"/>
      <c r="I327" s="99">
        <v>2.71</v>
      </c>
      <c r="J327" s="145"/>
      <c r="K327" s="149"/>
      <c r="L327" s="119"/>
      <c r="M327" s="105"/>
      <c r="N327" s="172"/>
      <c r="O327" s="173"/>
      <c r="P327" s="120">
        <f>IFERROR(ROUND(SUM(S328)/I327, 2),0)</f>
        <v>2644.16</v>
      </c>
      <c r="Q327" s="75">
        <v>3081.43</v>
      </c>
      <c r="R327" s="87">
        <f>P327+ROUND(Q327, 2)</f>
        <v>5725.59</v>
      </c>
      <c r="S327" s="78">
        <f>ROUND(P327*I327, 2)</f>
        <v>7165.67</v>
      </c>
      <c r="T327" s="14">
        <f>ROUND(I327*ROUND(Q327, 2), 2)</f>
        <v>8350.68</v>
      </c>
      <c r="U327" s="14">
        <f>S327+T327</f>
        <v>15516.35</v>
      </c>
    </row>
    <row r="328" spans="1:21" ht="25.8" x14ac:dyDescent="0.5">
      <c r="A328" s="10" t="s">
        <v>1536</v>
      </c>
      <c r="B328" s="10"/>
      <c r="C328" s="28" t="s">
        <v>478</v>
      </c>
      <c r="D328" s="12"/>
      <c r="E328" s="12"/>
      <c r="F328" s="29" t="s">
        <v>91</v>
      </c>
      <c r="G328" s="30">
        <v>1.02</v>
      </c>
      <c r="H328" s="30"/>
      <c r="I328" s="100">
        <v>2.7639999999999998</v>
      </c>
      <c r="J328" s="146"/>
      <c r="K328" s="148"/>
      <c r="L328" s="89"/>
      <c r="M328" s="106"/>
      <c r="N328" s="164"/>
      <c r="O328" s="148"/>
      <c r="P328" s="121">
        <v>2592.5</v>
      </c>
      <c r="Q328" s="84"/>
      <c r="R328" s="85"/>
      <c r="S328" s="79">
        <f>ROUND(ROUND(P328, 2)*I328, 2)</f>
        <v>7165.67</v>
      </c>
    </row>
    <row r="329" spans="1:21" ht="36" x14ac:dyDescent="0.3">
      <c r="A329" s="10" t="s">
        <v>1539</v>
      </c>
      <c r="B329" s="10" t="s">
        <v>471</v>
      </c>
      <c r="C329" s="11" t="s">
        <v>472</v>
      </c>
      <c r="D329" s="12"/>
      <c r="E329" s="12" t="s">
        <v>1540</v>
      </c>
      <c r="F329" s="12" t="s">
        <v>91</v>
      </c>
      <c r="G329" s="13">
        <v>1</v>
      </c>
      <c r="H329" s="13"/>
      <c r="I329" s="99">
        <v>159.52000000000001</v>
      </c>
      <c r="J329" s="145"/>
      <c r="K329" s="149"/>
      <c r="L329" s="119"/>
      <c r="M329" s="105"/>
      <c r="N329" s="172"/>
      <c r="O329" s="173"/>
      <c r="P329" s="120">
        <f>IFERROR(ROUND(SUM(S330)/I329, 2),0)</f>
        <v>2644.34</v>
      </c>
      <c r="Q329" s="75">
        <v>3081.43</v>
      </c>
      <c r="R329" s="87">
        <f>P329+ROUND(Q329, 2)</f>
        <v>5725.77</v>
      </c>
      <c r="S329" s="78">
        <f>ROUND(P329*I329, 2)</f>
        <v>421825.12</v>
      </c>
      <c r="T329" s="14">
        <f>ROUND(I329*ROUND(Q329, 2), 2)</f>
        <v>491549.71</v>
      </c>
      <c r="U329" s="14">
        <f>S329+T329</f>
        <v>913374.83000000007</v>
      </c>
    </row>
    <row r="330" spans="1:21" ht="25.8" x14ac:dyDescent="0.5">
      <c r="A330" s="10" t="s">
        <v>1541</v>
      </c>
      <c r="B330" s="10"/>
      <c r="C330" s="28" t="s">
        <v>478</v>
      </c>
      <c r="D330" s="12"/>
      <c r="E330" s="12"/>
      <c r="F330" s="29" t="s">
        <v>91</v>
      </c>
      <c r="G330" s="30">
        <v>1.02</v>
      </c>
      <c r="H330" s="30"/>
      <c r="I330" s="100">
        <v>162.71</v>
      </c>
      <c r="J330" s="146"/>
      <c r="K330" s="148"/>
      <c r="L330" s="89"/>
      <c r="M330" s="106"/>
      <c r="N330" s="164"/>
      <c r="O330" s="148"/>
      <c r="P330" s="121">
        <v>2592.5</v>
      </c>
      <c r="Q330" s="84"/>
      <c r="R330" s="85"/>
      <c r="S330" s="79">
        <f>ROUND(ROUND(P330, 2)*I330, 2)</f>
        <v>421825.68</v>
      </c>
    </row>
    <row r="331" spans="1:21" ht="36" x14ac:dyDescent="0.3">
      <c r="A331" s="10" t="s">
        <v>1544</v>
      </c>
      <c r="B331" s="10" t="s">
        <v>471</v>
      </c>
      <c r="C331" s="11" t="s">
        <v>472</v>
      </c>
      <c r="D331" s="12"/>
      <c r="E331" s="12" t="s">
        <v>1545</v>
      </c>
      <c r="F331" s="12" t="s">
        <v>91</v>
      </c>
      <c r="G331" s="13">
        <v>1</v>
      </c>
      <c r="H331" s="13"/>
      <c r="I331" s="99">
        <v>6.57</v>
      </c>
      <c r="J331" s="145"/>
      <c r="K331" s="149"/>
      <c r="L331" s="119"/>
      <c r="M331" s="105"/>
      <c r="N331" s="172"/>
      <c r="O331" s="173"/>
      <c r="P331" s="120">
        <f>IFERROR(ROUND(SUM(S332)/I331, 2),0)</f>
        <v>2644.19</v>
      </c>
      <c r="Q331" s="75">
        <v>3081.43</v>
      </c>
      <c r="R331" s="87">
        <f>P331+ROUND(Q331, 2)</f>
        <v>5725.62</v>
      </c>
      <c r="S331" s="78">
        <f>ROUND(P331*I331, 2)</f>
        <v>17372.330000000002</v>
      </c>
      <c r="T331" s="14">
        <f>ROUND(I331*ROUND(Q331, 2), 2)</f>
        <v>20245</v>
      </c>
      <c r="U331" s="14">
        <f>S331+T331</f>
        <v>37617.33</v>
      </c>
    </row>
    <row r="332" spans="1:21" ht="25.8" x14ac:dyDescent="0.5">
      <c r="A332" s="10" t="s">
        <v>1546</v>
      </c>
      <c r="B332" s="10"/>
      <c r="C332" s="28" t="s">
        <v>478</v>
      </c>
      <c r="D332" s="12"/>
      <c r="E332" s="12"/>
      <c r="F332" s="29" t="s">
        <v>91</v>
      </c>
      <c r="G332" s="30">
        <v>1.02</v>
      </c>
      <c r="H332" s="30"/>
      <c r="I332" s="100">
        <v>6.7009999999999996</v>
      </c>
      <c r="J332" s="146"/>
      <c r="K332" s="148"/>
      <c r="L332" s="89"/>
      <c r="M332" s="106"/>
      <c r="N332" s="164"/>
      <c r="O332" s="148"/>
      <c r="P332" s="121">
        <v>2592.5</v>
      </c>
      <c r="Q332" s="84"/>
      <c r="R332" s="85"/>
      <c r="S332" s="79">
        <f>ROUND(ROUND(P332, 2)*I332, 2)</f>
        <v>17372.34</v>
      </c>
    </row>
    <row r="333" spans="1:21" ht="24.6" x14ac:dyDescent="0.3">
      <c r="A333" s="10" t="s">
        <v>1549</v>
      </c>
      <c r="B333" s="10" t="s">
        <v>525</v>
      </c>
      <c r="C333" s="11" t="s">
        <v>526</v>
      </c>
      <c r="D333" s="12"/>
      <c r="E333" s="12"/>
      <c r="F333" s="12" t="s">
        <v>91</v>
      </c>
      <c r="G333" s="13">
        <v>1</v>
      </c>
      <c r="H333" s="13"/>
      <c r="I333" s="99">
        <v>758.32</v>
      </c>
      <c r="J333" s="145"/>
      <c r="K333" s="149"/>
      <c r="L333" s="119"/>
      <c r="M333" s="105"/>
      <c r="N333" s="172"/>
      <c r="O333" s="173"/>
      <c r="P333" s="120">
        <f>IFERROR(ROUND(SUM(S334)/I333, 2),0)</f>
        <v>1716.75</v>
      </c>
      <c r="Q333" s="75">
        <v>1307.1400000000001</v>
      </c>
      <c r="R333" s="87">
        <f>P333+ROUND(Q333, 2)</f>
        <v>3023.8900000000003</v>
      </c>
      <c r="S333" s="78">
        <f>ROUND(P333*I333, 2)</f>
        <v>1301845.8600000001</v>
      </c>
      <c r="T333" s="14">
        <f>ROUND(I333*ROUND(Q333, 2), 2)</f>
        <v>991230.4</v>
      </c>
      <c r="U333" s="14">
        <f>S333+T333</f>
        <v>2293076.2600000002</v>
      </c>
    </row>
    <row r="334" spans="1:21" ht="25.8" x14ac:dyDescent="0.5">
      <c r="A334" s="10" t="s">
        <v>1550</v>
      </c>
      <c r="B334" s="10"/>
      <c r="C334" s="28" t="s">
        <v>531</v>
      </c>
      <c r="D334" s="12"/>
      <c r="E334" s="12"/>
      <c r="F334" s="29" t="s">
        <v>364</v>
      </c>
      <c r="G334" s="30">
        <v>225</v>
      </c>
      <c r="H334" s="30"/>
      <c r="I334" s="100">
        <v>170622</v>
      </c>
      <c r="J334" s="146"/>
      <c r="K334" s="148"/>
      <c r="L334" s="89"/>
      <c r="M334" s="106"/>
      <c r="N334" s="164"/>
      <c r="O334" s="148"/>
      <c r="P334" s="121">
        <v>7.63</v>
      </c>
      <c r="Q334" s="84"/>
      <c r="R334" s="85"/>
      <c r="S334" s="79">
        <f>ROUND(ROUND(P334, 2)*I334, 2)</f>
        <v>1301845.8600000001</v>
      </c>
    </row>
    <row r="335" spans="1:21" ht="42.6" customHeight="1" x14ac:dyDescent="0.5">
      <c r="A335" s="10" t="s">
        <v>1553</v>
      </c>
      <c r="B335" s="10" t="s">
        <v>538</v>
      </c>
      <c r="C335" s="237" t="s">
        <v>539</v>
      </c>
      <c r="D335" s="238"/>
      <c r="E335" s="238"/>
      <c r="F335" s="238"/>
      <c r="G335" s="238"/>
      <c r="H335" s="238"/>
      <c r="I335" s="239"/>
      <c r="J335" s="135"/>
      <c r="K335" s="148"/>
      <c r="L335" s="89"/>
      <c r="M335" s="104"/>
      <c r="N335" s="168"/>
      <c r="O335" s="169"/>
      <c r="P335" s="84"/>
      <c r="Q335" s="84"/>
      <c r="R335" s="85"/>
      <c r="S335" s="77">
        <f>SUM(S336,S341,S346,S349,S354,S359,S364,S369,S374,S379,S384)</f>
        <v>28396003.32</v>
      </c>
      <c r="T335" s="6">
        <f>SUM(T336,T341,T346,T349,T354,T359,T364,T369,T374,T379,T384)</f>
        <v>28653311.940000001</v>
      </c>
      <c r="U335" s="6">
        <f>SUM(U336,U341,U346,U349,U354,U359,U364,U369,U374,U379,U384)</f>
        <v>57049315.259999998</v>
      </c>
    </row>
    <row r="336" spans="1:21" ht="57" customHeight="1" x14ac:dyDescent="0.3">
      <c r="A336" s="10" t="s">
        <v>1554</v>
      </c>
      <c r="B336" s="10" t="s">
        <v>541</v>
      </c>
      <c r="C336" s="11" t="s">
        <v>542</v>
      </c>
      <c r="D336" s="12" t="s">
        <v>543</v>
      </c>
      <c r="E336" s="12" t="s">
        <v>1555</v>
      </c>
      <c r="F336" s="12" t="s">
        <v>61</v>
      </c>
      <c r="G336" s="13">
        <v>1</v>
      </c>
      <c r="H336" s="13"/>
      <c r="I336" s="99">
        <v>427.37</v>
      </c>
      <c r="J336" s="145"/>
      <c r="K336" s="149"/>
      <c r="L336" s="119"/>
      <c r="M336" s="105"/>
      <c r="N336" s="172"/>
      <c r="O336" s="173"/>
      <c r="P336" s="120">
        <f>IFERROR(ROUND(SUM(S337,S338,S339,S340)/I336, 2),0)</f>
        <v>5417.78</v>
      </c>
      <c r="Q336" s="75">
        <v>794.29</v>
      </c>
      <c r="R336" s="87">
        <f>P336+ROUND(Q336, 2)</f>
        <v>6212.07</v>
      </c>
      <c r="S336" s="78">
        <f>ROUND(P336*I336, 2)</f>
        <v>2315396.64</v>
      </c>
      <c r="T336" s="14">
        <f>ROUND(I336*ROUND(Q336, 2), 2)</f>
        <v>339455.72</v>
      </c>
      <c r="U336" s="14">
        <f>S336+T336</f>
        <v>2654852.3600000003</v>
      </c>
    </row>
    <row r="337" spans="1:21" ht="25.8" x14ac:dyDescent="0.5">
      <c r="A337" s="10" t="s">
        <v>1556</v>
      </c>
      <c r="B337" s="10"/>
      <c r="C337" s="28" t="s">
        <v>549</v>
      </c>
      <c r="D337" s="12"/>
      <c r="E337" s="12" t="s">
        <v>550</v>
      </c>
      <c r="F337" s="29" t="s">
        <v>364</v>
      </c>
      <c r="G337" s="30">
        <v>0.3</v>
      </c>
      <c r="H337" s="30"/>
      <c r="I337" s="100">
        <v>128.21100000000001</v>
      </c>
      <c r="J337" s="146"/>
      <c r="K337" s="148"/>
      <c r="L337" s="89"/>
      <c r="M337" s="106"/>
      <c r="N337" s="164"/>
      <c r="O337" s="148"/>
      <c r="P337" s="121">
        <v>545</v>
      </c>
      <c r="Q337" s="84"/>
      <c r="R337" s="85"/>
      <c r="S337" s="79">
        <f>ROUND(ROUND(P337, 2)*I337, 2)</f>
        <v>69875</v>
      </c>
    </row>
    <row r="338" spans="1:21" ht="25.8" x14ac:dyDescent="0.5">
      <c r="A338" s="10" t="s">
        <v>1559</v>
      </c>
      <c r="B338" s="10"/>
      <c r="C338" s="28" t="s">
        <v>557</v>
      </c>
      <c r="D338" s="12"/>
      <c r="E338" s="12"/>
      <c r="F338" s="29" t="s">
        <v>364</v>
      </c>
      <c r="G338" s="30">
        <v>0.15</v>
      </c>
      <c r="H338" s="30"/>
      <c r="I338" s="100">
        <v>64.105999999999995</v>
      </c>
      <c r="J338" s="146"/>
      <c r="K338" s="148"/>
      <c r="L338" s="89"/>
      <c r="M338" s="106"/>
      <c r="N338" s="164"/>
      <c r="O338" s="148"/>
      <c r="P338" s="121">
        <v>69.540000000000006</v>
      </c>
      <c r="Q338" s="84"/>
      <c r="R338" s="85"/>
      <c r="S338" s="79">
        <f>ROUND(ROUND(P338, 2)*I338, 2)</f>
        <v>4457.93</v>
      </c>
    </row>
    <row r="339" spans="1:21" ht="72" x14ac:dyDescent="0.5">
      <c r="A339" s="10" t="s">
        <v>1562</v>
      </c>
      <c r="B339" s="10"/>
      <c r="C339" s="47" t="s">
        <v>564</v>
      </c>
      <c r="D339" s="12"/>
      <c r="E339" s="12"/>
      <c r="F339" s="29" t="s">
        <v>76</v>
      </c>
      <c r="G339" s="30">
        <v>1</v>
      </c>
      <c r="H339" s="49"/>
      <c r="I339" s="101">
        <v>427.37</v>
      </c>
      <c r="J339" s="146"/>
      <c r="K339" s="148"/>
      <c r="L339" s="89"/>
      <c r="M339" s="106"/>
      <c r="N339" s="164"/>
      <c r="O339" s="148"/>
      <c r="P339" s="121">
        <v>51.85</v>
      </c>
      <c r="Q339" s="84"/>
      <c r="R339" s="85"/>
      <c r="S339" s="79">
        <f>ROUND(ROUND(P339, 2)*I339, 2)</f>
        <v>22159.13</v>
      </c>
    </row>
    <row r="340" spans="1:21" ht="36" x14ac:dyDescent="0.5">
      <c r="A340" s="10" t="s">
        <v>1565</v>
      </c>
      <c r="B340" s="10"/>
      <c r="C340" s="28" t="s">
        <v>571</v>
      </c>
      <c r="D340" s="12"/>
      <c r="E340" s="12" t="s">
        <v>572</v>
      </c>
      <c r="F340" s="29" t="s">
        <v>61</v>
      </c>
      <c r="G340" s="30">
        <v>1.1000000000000001</v>
      </c>
      <c r="H340" s="49"/>
      <c r="I340" s="101">
        <v>470.10700000000003</v>
      </c>
      <c r="J340" s="146"/>
      <c r="K340" s="148"/>
      <c r="L340" s="89"/>
      <c r="M340" s="106"/>
      <c r="N340" s="164"/>
      <c r="O340" s="148"/>
      <c r="P340" s="121">
        <v>4720</v>
      </c>
      <c r="Q340" s="84"/>
      <c r="R340" s="85"/>
      <c r="S340" s="79">
        <f>ROUND(ROUND(P340, 2)*I340, 2)</f>
        <v>2218905.04</v>
      </c>
    </row>
    <row r="341" spans="1:21" ht="24.6" x14ac:dyDescent="0.3">
      <c r="A341" s="10" t="s">
        <v>1568</v>
      </c>
      <c r="B341" s="10" t="s">
        <v>541</v>
      </c>
      <c r="C341" s="11" t="s">
        <v>542</v>
      </c>
      <c r="D341" s="12" t="s">
        <v>543</v>
      </c>
      <c r="E341" s="12" t="s">
        <v>579</v>
      </c>
      <c r="F341" s="12" t="s">
        <v>61</v>
      </c>
      <c r="G341" s="13">
        <v>1</v>
      </c>
      <c r="H341" s="13"/>
      <c r="I341" s="99">
        <v>156.31</v>
      </c>
      <c r="J341" s="145"/>
      <c r="K341" s="149"/>
      <c r="L341" s="119"/>
      <c r="M341" s="105"/>
      <c r="N341" s="172"/>
      <c r="O341" s="173"/>
      <c r="P341" s="120">
        <f>IFERROR(ROUND(SUM(S342,S343,S344,S345)/I341, 2),0)</f>
        <v>5321.38</v>
      </c>
      <c r="Q341" s="75">
        <v>794.29</v>
      </c>
      <c r="R341" s="87">
        <f>P341+ROUND(Q341, 2)</f>
        <v>6115.67</v>
      </c>
      <c r="S341" s="78">
        <f>ROUND(P341*I341, 2)</f>
        <v>831784.91</v>
      </c>
      <c r="T341" s="14">
        <f>ROUND(I341*ROUND(Q341, 2), 2)</f>
        <v>124155.47</v>
      </c>
      <c r="U341" s="14">
        <f>S341+T341</f>
        <v>955940.38</v>
      </c>
    </row>
    <row r="342" spans="1:21" ht="36" x14ac:dyDescent="0.5">
      <c r="A342" s="10" t="s">
        <v>1569</v>
      </c>
      <c r="B342" s="10"/>
      <c r="C342" s="28" t="s">
        <v>571</v>
      </c>
      <c r="D342" s="12"/>
      <c r="E342" s="12" t="s">
        <v>582</v>
      </c>
      <c r="F342" s="29" t="s">
        <v>61</v>
      </c>
      <c r="G342" s="30">
        <v>1.1000000000000001</v>
      </c>
      <c r="H342" s="49"/>
      <c r="I342" s="101">
        <v>171.941</v>
      </c>
      <c r="J342" s="146"/>
      <c r="K342" s="148"/>
      <c r="L342" s="89"/>
      <c r="M342" s="106"/>
      <c r="N342" s="164"/>
      <c r="O342" s="148"/>
      <c r="P342" s="121">
        <v>4720</v>
      </c>
      <c r="Q342" s="84"/>
      <c r="R342" s="85"/>
      <c r="S342" s="79">
        <f>ROUND(ROUND(P342, 2)*I342, 2)</f>
        <v>811561.52</v>
      </c>
    </row>
    <row r="343" spans="1:21" ht="72" x14ac:dyDescent="0.5">
      <c r="A343" s="10" t="s">
        <v>1572</v>
      </c>
      <c r="B343" s="10"/>
      <c r="C343" s="47" t="s">
        <v>564</v>
      </c>
      <c r="D343" s="12"/>
      <c r="E343" s="12"/>
      <c r="F343" s="29" t="s">
        <v>76</v>
      </c>
      <c r="G343" s="30">
        <v>1</v>
      </c>
      <c r="H343" s="49"/>
      <c r="I343" s="101">
        <v>156.31</v>
      </c>
      <c r="J343" s="146"/>
      <c r="K343" s="148"/>
      <c r="L343" s="89"/>
      <c r="M343" s="106"/>
      <c r="N343" s="164"/>
      <c r="O343" s="148"/>
      <c r="P343" s="121">
        <v>51.85</v>
      </c>
      <c r="Q343" s="84"/>
      <c r="R343" s="85"/>
      <c r="S343" s="79">
        <f>ROUND(ROUND(P343, 2)*I343, 2)</f>
        <v>8104.67</v>
      </c>
    </row>
    <row r="344" spans="1:21" ht="25.8" x14ac:dyDescent="0.5">
      <c r="A344" s="10" t="s">
        <v>1575</v>
      </c>
      <c r="B344" s="10"/>
      <c r="C344" s="28" t="s">
        <v>557</v>
      </c>
      <c r="D344" s="12"/>
      <c r="E344" s="12"/>
      <c r="F344" s="29" t="s">
        <v>364</v>
      </c>
      <c r="G344" s="30">
        <v>0.15</v>
      </c>
      <c r="H344" s="30"/>
      <c r="I344" s="100">
        <v>23.446999999999999</v>
      </c>
      <c r="J344" s="146"/>
      <c r="K344" s="148"/>
      <c r="L344" s="89"/>
      <c r="M344" s="106"/>
      <c r="N344" s="164"/>
      <c r="O344" s="148"/>
      <c r="P344" s="121">
        <v>69.540000000000006</v>
      </c>
      <c r="Q344" s="84"/>
      <c r="R344" s="85"/>
      <c r="S344" s="79">
        <f>ROUND(ROUND(P344, 2)*I344, 2)</f>
        <v>1630.5</v>
      </c>
    </row>
    <row r="345" spans="1:21" ht="25.8" x14ac:dyDescent="0.5">
      <c r="A345" s="10" t="s">
        <v>1578</v>
      </c>
      <c r="B345" s="10"/>
      <c r="C345" s="28" t="s">
        <v>549</v>
      </c>
      <c r="D345" s="12"/>
      <c r="E345" s="12" t="s">
        <v>550</v>
      </c>
      <c r="F345" s="29" t="s">
        <v>364</v>
      </c>
      <c r="G345" s="30">
        <v>0.3</v>
      </c>
      <c r="H345" s="30"/>
      <c r="I345" s="100">
        <v>46.893000000000001</v>
      </c>
      <c r="J345" s="146"/>
      <c r="K345" s="148"/>
      <c r="L345" s="89"/>
      <c r="M345" s="106"/>
      <c r="N345" s="164"/>
      <c r="O345" s="148"/>
      <c r="P345" s="121">
        <v>223.66</v>
      </c>
      <c r="Q345" s="84"/>
      <c r="R345" s="85"/>
      <c r="S345" s="79">
        <f>ROUND(ROUND(P345, 2)*I345, 2)</f>
        <v>10488.09</v>
      </c>
    </row>
    <row r="346" spans="1:21" ht="54" x14ac:dyDescent="0.3">
      <c r="A346" s="10" t="s">
        <v>1581</v>
      </c>
      <c r="B346" s="10" t="s">
        <v>598</v>
      </c>
      <c r="C346" s="11" t="s">
        <v>599</v>
      </c>
      <c r="D346" s="12"/>
      <c r="E346" s="12" t="s">
        <v>1582</v>
      </c>
      <c r="F346" s="12" t="s">
        <v>76</v>
      </c>
      <c r="G346" s="13">
        <v>1</v>
      </c>
      <c r="H346" s="13"/>
      <c r="I346" s="99">
        <v>544.5</v>
      </c>
      <c r="J346" s="145"/>
      <c r="K346" s="149"/>
      <c r="L346" s="119"/>
      <c r="M346" s="105"/>
      <c r="N346" s="172"/>
      <c r="O346" s="173"/>
      <c r="P346" s="120">
        <f>IFERROR(ROUND(SUM(S347,S348)/I346, 2),0)</f>
        <v>580.6</v>
      </c>
      <c r="Q346" s="75">
        <v>287.14</v>
      </c>
      <c r="R346" s="87">
        <f>P346+ROUND(Q346, 2)</f>
        <v>867.74</v>
      </c>
      <c r="S346" s="78">
        <f>ROUND(P346*I346, 2)</f>
        <v>316136.7</v>
      </c>
      <c r="T346" s="14">
        <f>ROUND(I346*ROUND(Q346, 2), 2)</f>
        <v>156347.73000000001</v>
      </c>
      <c r="U346" s="14">
        <f>S346+T346</f>
        <v>472484.43000000005</v>
      </c>
    </row>
    <row r="347" spans="1:21" ht="36" x14ac:dyDescent="0.5">
      <c r="A347" s="10" t="s">
        <v>1583</v>
      </c>
      <c r="B347" s="10"/>
      <c r="C347" s="28" t="s">
        <v>605</v>
      </c>
      <c r="D347" s="12"/>
      <c r="E347" s="12"/>
      <c r="F347" s="29" t="s">
        <v>76</v>
      </c>
      <c r="G347" s="30">
        <v>1.1000000000000001</v>
      </c>
      <c r="H347" s="30"/>
      <c r="I347" s="100">
        <v>598.95000000000005</v>
      </c>
      <c r="J347" s="146"/>
      <c r="K347" s="148"/>
      <c r="L347" s="89"/>
      <c r="M347" s="106"/>
      <c r="N347" s="164"/>
      <c r="O347" s="148"/>
      <c r="P347" s="121">
        <v>378.5</v>
      </c>
      <c r="Q347" s="84"/>
      <c r="R347" s="85"/>
      <c r="S347" s="79">
        <f>ROUND(ROUND(P347, 2)*I347, 2)</f>
        <v>226702.58</v>
      </c>
    </row>
    <row r="348" spans="1:21" ht="25.8" x14ac:dyDescent="0.5">
      <c r="A348" s="10" t="s">
        <v>1586</v>
      </c>
      <c r="B348" s="10"/>
      <c r="C348" s="28" t="s">
        <v>612</v>
      </c>
      <c r="D348" s="12"/>
      <c r="E348" s="12"/>
      <c r="F348" s="29" t="s">
        <v>356</v>
      </c>
      <c r="G348" s="30">
        <v>1</v>
      </c>
      <c r="H348" s="49"/>
      <c r="I348" s="101">
        <v>1635</v>
      </c>
      <c r="J348" s="146"/>
      <c r="K348" s="148"/>
      <c r="L348" s="89"/>
      <c r="M348" s="106"/>
      <c r="N348" s="164"/>
      <c r="O348" s="148"/>
      <c r="P348" s="121">
        <v>54.7</v>
      </c>
      <c r="Q348" s="84"/>
      <c r="R348" s="85"/>
      <c r="S348" s="79">
        <f>ROUND(ROUND(P348, 2)*I348, 2)</f>
        <v>89434.5</v>
      </c>
    </row>
    <row r="349" spans="1:21" ht="36" x14ac:dyDescent="0.3">
      <c r="A349" s="10" t="s">
        <v>1589</v>
      </c>
      <c r="B349" s="10" t="s">
        <v>619</v>
      </c>
      <c r="C349" s="11" t="s">
        <v>620</v>
      </c>
      <c r="D349" s="12"/>
      <c r="E349" s="12" t="s">
        <v>1590</v>
      </c>
      <c r="F349" s="12" t="s">
        <v>61</v>
      </c>
      <c r="G349" s="13">
        <v>1</v>
      </c>
      <c r="H349" s="13"/>
      <c r="I349" s="99">
        <v>276.45999999999998</v>
      </c>
      <c r="J349" s="145"/>
      <c r="K349" s="149"/>
      <c r="L349" s="119"/>
      <c r="M349" s="105"/>
      <c r="N349" s="172"/>
      <c r="O349" s="173"/>
      <c r="P349" s="120">
        <f>IFERROR(ROUND(SUM(S350,S351,S352,S353)/I349, 2),0)</f>
        <v>4520.22</v>
      </c>
      <c r="Q349" s="75">
        <v>3300</v>
      </c>
      <c r="R349" s="87">
        <f>P349+ROUND(Q349, 2)</f>
        <v>7820.22</v>
      </c>
      <c r="S349" s="78">
        <f>ROUND(P349*I349, 2)</f>
        <v>1249660.02</v>
      </c>
      <c r="T349" s="14">
        <f>ROUND(I349*ROUND(Q349, 2), 2)</f>
        <v>912318</v>
      </c>
      <c r="U349" s="14">
        <f>S349+T349</f>
        <v>2161978.02</v>
      </c>
    </row>
    <row r="350" spans="1:21" ht="54" x14ac:dyDescent="0.5">
      <c r="A350" s="10" t="s">
        <v>1591</v>
      </c>
      <c r="B350" s="10"/>
      <c r="C350" s="47" t="s">
        <v>626</v>
      </c>
      <c r="D350" s="12"/>
      <c r="E350" s="12" t="s">
        <v>627</v>
      </c>
      <c r="F350" s="29" t="s">
        <v>356</v>
      </c>
      <c r="G350" s="30">
        <v>4</v>
      </c>
      <c r="H350" s="30"/>
      <c r="I350" s="100">
        <v>1105.8399999999999</v>
      </c>
      <c r="J350" s="146"/>
      <c r="K350" s="148"/>
      <c r="L350" s="89"/>
      <c r="M350" s="106"/>
      <c r="N350" s="164"/>
      <c r="O350" s="148"/>
      <c r="P350" s="121">
        <v>1118.74</v>
      </c>
      <c r="Q350" s="84"/>
      <c r="R350" s="85"/>
      <c r="S350" s="79">
        <f>ROUND(ROUND(P350, 2)*I350, 2)</f>
        <v>1237147.44</v>
      </c>
    </row>
    <row r="351" spans="1:21" ht="36" x14ac:dyDescent="0.5">
      <c r="A351" s="10" t="s">
        <v>1594</v>
      </c>
      <c r="B351" s="10"/>
      <c r="C351" s="47" t="s">
        <v>634</v>
      </c>
      <c r="D351" s="12"/>
      <c r="E351" s="12"/>
      <c r="F351" s="29" t="s">
        <v>364</v>
      </c>
      <c r="G351" s="30">
        <v>1.2</v>
      </c>
      <c r="H351" s="49"/>
      <c r="I351" s="101">
        <v>331.75200000000001</v>
      </c>
      <c r="J351" s="146"/>
      <c r="K351" s="148"/>
      <c r="L351" s="89"/>
      <c r="M351" s="106"/>
      <c r="N351" s="164"/>
      <c r="O351" s="148"/>
      <c r="P351" s="121">
        <v>16.38</v>
      </c>
      <c r="Q351" s="84"/>
      <c r="R351" s="85"/>
      <c r="S351" s="79">
        <f>ROUND(ROUND(P351, 2)*I351, 2)</f>
        <v>5434.1</v>
      </c>
    </row>
    <row r="352" spans="1:21" ht="25.8" x14ac:dyDescent="0.5">
      <c r="A352" s="10" t="s">
        <v>1597</v>
      </c>
      <c r="B352" s="10"/>
      <c r="C352" s="28" t="s">
        <v>641</v>
      </c>
      <c r="D352" s="12"/>
      <c r="E352" s="12"/>
      <c r="F352" s="29" t="s">
        <v>364</v>
      </c>
      <c r="G352" s="30">
        <v>0.25</v>
      </c>
      <c r="H352" s="30"/>
      <c r="I352" s="100">
        <v>69.114999999999995</v>
      </c>
      <c r="J352" s="146"/>
      <c r="K352" s="148"/>
      <c r="L352" s="89"/>
      <c r="M352" s="106"/>
      <c r="N352" s="164"/>
      <c r="O352" s="148"/>
      <c r="P352" s="121">
        <v>48.23</v>
      </c>
      <c r="Q352" s="84"/>
      <c r="R352" s="85"/>
      <c r="S352" s="79">
        <f>ROUND(ROUND(P352, 2)*I352, 2)</f>
        <v>3333.42</v>
      </c>
    </row>
    <row r="353" spans="1:21" ht="36" x14ac:dyDescent="0.5">
      <c r="A353" s="10" t="s">
        <v>1600</v>
      </c>
      <c r="B353" s="10"/>
      <c r="C353" s="28" t="s">
        <v>397</v>
      </c>
      <c r="D353" s="12"/>
      <c r="E353" s="12"/>
      <c r="F353" s="29" t="s">
        <v>364</v>
      </c>
      <c r="G353" s="30">
        <v>0.15</v>
      </c>
      <c r="H353" s="30"/>
      <c r="I353" s="100">
        <v>41.469000000000001</v>
      </c>
      <c r="J353" s="146"/>
      <c r="K353" s="148"/>
      <c r="L353" s="89"/>
      <c r="M353" s="106"/>
      <c r="N353" s="164"/>
      <c r="O353" s="148"/>
      <c r="P353" s="121">
        <v>90.28</v>
      </c>
      <c r="Q353" s="84"/>
      <c r="R353" s="85"/>
      <c r="S353" s="79">
        <f>ROUND(ROUND(P353, 2)*I353, 2)</f>
        <v>3743.82</v>
      </c>
    </row>
    <row r="354" spans="1:21" ht="36" x14ac:dyDescent="0.3">
      <c r="A354" s="10" t="s">
        <v>1603</v>
      </c>
      <c r="B354" s="10" t="s">
        <v>653</v>
      </c>
      <c r="C354" s="11" t="s">
        <v>654</v>
      </c>
      <c r="D354" s="12"/>
      <c r="E354" s="12" t="s">
        <v>1604</v>
      </c>
      <c r="F354" s="12" t="s">
        <v>76</v>
      </c>
      <c r="G354" s="13">
        <v>1</v>
      </c>
      <c r="H354" s="13"/>
      <c r="I354" s="99">
        <v>3328.1</v>
      </c>
      <c r="J354" s="145"/>
      <c r="K354" s="149"/>
      <c r="L354" s="119"/>
      <c r="M354" s="105"/>
      <c r="N354" s="172"/>
      <c r="O354" s="173"/>
      <c r="P354" s="120">
        <f>IFERROR(ROUND(SUM(S355,S356,S357,S358)/I354, 2),0)</f>
        <v>858.32</v>
      </c>
      <c r="Q354" s="75">
        <v>675.7</v>
      </c>
      <c r="R354" s="87">
        <f>P354+ROUND(Q354, 2)</f>
        <v>1534.02</v>
      </c>
      <c r="S354" s="78">
        <f>ROUND(P354*I354, 2)</f>
        <v>2856574.79</v>
      </c>
      <c r="T354" s="14">
        <f>ROUND(I354*ROUND(Q354, 2), 2)</f>
        <v>2248797.17</v>
      </c>
      <c r="U354" s="14">
        <f>S354+T354</f>
        <v>5105371.96</v>
      </c>
    </row>
    <row r="355" spans="1:21" ht="36" x14ac:dyDescent="0.5">
      <c r="A355" s="10" t="s">
        <v>1605</v>
      </c>
      <c r="B355" s="10"/>
      <c r="C355" s="47" t="s">
        <v>660</v>
      </c>
      <c r="D355" s="12"/>
      <c r="E355" s="12"/>
      <c r="F355" s="29" t="s">
        <v>364</v>
      </c>
      <c r="G355" s="30">
        <v>0.7</v>
      </c>
      <c r="H355" s="49"/>
      <c r="I355" s="101">
        <v>2329.67</v>
      </c>
      <c r="J355" s="146"/>
      <c r="K355" s="148"/>
      <c r="L355" s="89"/>
      <c r="M355" s="106"/>
      <c r="N355" s="164"/>
      <c r="O355" s="148"/>
      <c r="P355" s="121">
        <v>16.38</v>
      </c>
      <c r="Q355" s="84"/>
      <c r="R355" s="85"/>
      <c r="S355" s="79">
        <f>ROUND(ROUND(P355, 2)*I355, 2)</f>
        <v>38159.99</v>
      </c>
    </row>
    <row r="356" spans="1:21" ht="54" x14ac:dyDescent="0.5">
      <c r="A356" s="10" t="s">
        <v>1608</v>
      </c>
      <c r="B356" s="10"/>
      <c r="C356" s="28" t="s">
        <v>667</v>
      </c>
      <c r="D356" s="12"/>
      <c r="E356" s="12" t="s">
        <v>668</v>
      </c>
      <c r="F356" s="29" t="s">
        <v>356</v>
      </c>
      <c r="G356" s="30">
        <v>1.84</v>
      </c>
      <c r="H356" s="49"/>
      <c r="I356" s="101">
        <v>6123.7039999999997</v>
      </c>
      <c r="J356" s="146"/>
      <c r="K356" s="148"/>
      <c r="L356" s="89"/>
      <c r="M356" s="106"/>
      <c r="N356" s="164"/>
      <c r="O356" s="148"/>
      <c r="P356" s="121">
        <v>458.46</v>
      </c>
      <c r="Q356" s="84"/>
      <c r="R356" s="85"/>
      <c r="S356" s="79">
        <f>ROUND(ROUND(P356, 2)*I356, 2)</f>
        <v>2807473.34</v>
      </c>
    </row>
    <row r="357" spans="1:21" ht="25.8" x14ac:dyDescent="0.5">
      <c r="A357" s="10" t="s">
        <v>1611</v>
      </c>
      <c r="B357" s="10"/>
      <c r="C357" s="28" t="s">
        <v>641</v>
      </c>
      <c r="D357" s="12"/>
      <c r="E357" s="12"/>
      <c r="F357" s="29" t="s">
        <v>364</v>
      </c>
      <c r="G357" s="30">
        <v>0.04</v>
      </c>
      <c r="H357" s="30"/>
      <c r="I357" s="100">
        <v>133.124</v>
      </c>
      <c r="J357" s="146"/>
      <c r="K357" s="148"/>
      <c r="L357" s="89"/>
      <c r="M357" s="106"/>
      <c r="N357" s="164"/>
      <c r="O357" s="148"/>
      <c r="P357" s="121">
        <v>48.23</v>
      </c>
      <c r="Q357" s="84"/>
      <c r="R357" s="85"/>
      <c r="S357" s="79">
        <f>ROUND(ROUND(P357, 2)*I357, 2)</f>
        <v>6420.57</v>
      </c>
    </row>
    <row r="358" spans="1:21" ht="25.8" x14ac:dyDescent="0.5">
      <c r="A358" s="10" t="s">
        <v>1614</v>
      </c>
      <c r="B358" s="10"/>
      <c r="C358" s="28" t="s">
        <v>680</v>
      </c>
      <c r="D358" s="12"/>
      <c r="E358" s="12"/>
      <c r="F358" s="29" t="s">
        <v>364</v>
      </c>
      <c r="G358" s="30">
        <v>1.4999999999999999E-2</v>
      </c>
      <c r="H358" s="30"/>
      <c r="I358" s="100">
        <v>49.921999999999997</v>
      </c>
      <c r="J358" s="146"/>
      <c r="K358" s="148"/>
      <c r="L358" s="89"/>
      <c r="M358" s="106"/>
      <c r="N358" s="164"/>
      <c r="O358" s="148"/>
      <c r="P358" s="121">
        <v>90.28</v>
      </c>
      <c r="Q358" s="84"/>
      <c r="R358" s="85"/>
      <c r="S358" s="79">
        <f>ROUND(ROUND(P358, 2)*I358, 2)</f>
        <v>4506.96</v>
      </c>
    </row>
    <row r="359" spans="1:21" ht="36" x14ac:dyDescent="0.3">
      <c r="A359" s="10" t="s">
        <v>1617</v>
      </c>
      <c r="B359" s="10" t="s">
        <v>653</v>
      </c>
      <c r="C359" s="11" t="s">
        <v>654</v>
      </c>
      <c r="D359" s="12"/>
      <c r="E359" s="12" t="s">
        <v>1618</v>
      </c>
      <c r="F359" s="12" t="s">
        <v>76</v>
      </c>
      <c r="G359" s="13">
        <v>1</v>
      </c>
      <c r="H359" s="13"/>
      <c r="I359" s="99">
        <v>2324.1</v>
      </c>
      <c r="J359" s="145"/>
      <c r="K359" s="149"/>
      <c r="L359" s="119"/>
      <c r="M359" s="105"/>
      <c r="N359" s="172"/>
      <c r="O359" s="173"/>
      <c r="P359" s="120">
        <f>IFERROR(ROUND(SUM(S360,S361,S362,S363)/I359, 2),0)</f>
        <v>858.32</v>
      </c>
      <c r="Q359" s="75">
        <v>675.7</v>
      </c>
      <c r="R359" s="87">
        <f>P359+ROUND(Q359, 2)</f>
        <v>1534.02</v>
      </c>
      <c r="S359" s="78">
        <f>ROUND(P359*I359, 2)</f>
        <v>1994821.51</v>
      </c>
      <c r="T359" s="14">
        <f>ROUND(I359*ROUND(Q359, 2), 2)</f>
        <v>1570394.37</v>
      </c>
      <c r="U359" s="14">
        <f>S359+T359</f>
        <v>3565215.88</v>
      </c>
    </row>
    <row r="360" spans="1:21" ht="25.8" x14ac:dyDescent="0.5">
      <c r="A360" s="10" t="s">
        <v>1619</v>
      </c>
      <c r="B360" s="10"/>
      <c r="C360" s="28" t="s">
        <v>680</v>
      </c>
      <c r="D360" s="12"/>
      <c r="E360" s="12"/>
      <c r="F360" s="29" t="s">
        <v>364</v>
      </c>
      <c r="G360" s="30">
        <v>1.4999999999999999E-2</v>
      </c>
      <c r="H360" s="30"/>
      <c r="I360" s="100">
        <v>34.862000000000002</v>
      </c>
      <c r="J360" s="146"/>
      <c r="K360" s="148"/>
      <c r="L360" s="89"/>
      <c r="M360" s="106"/>
      <c r="N360" s="164"/>
      <c r="O360" s="148"/>
      <c r="P360" s="121">
        <v>90.28</v>
      </c>
      <c r="Q360" s="84"/>
      <c r="R360" s="85"/>
      <c r="S360" s="79">
        <f>ROUND(ROUND(P360, 2)*I360, 2)</f>
        <v>3147.34</v>
      </c>
    </row>
    <row r="361" spans="1:21" ht="25.8" x14ac:dyDescent="0.5">
      <c r="A361" s="10" t="s">
        <v>1622</v>
      </c>
      <c r="B361" s="10"/>
      <c r="C361" s="28" t="s">
        <v>641</v>
      </c>
      <c r="D361" s="12"/>
      <c r="E361" s="12"/>
      <c r="F361" s="29" t="s">
        <v>364</v>
      </c>
      <c r="G361" s="30">
        <v>0.04</v>
      </c>
      <c r="H361" s="30"/>
      <c r="I361" s="100">
        <v>92.963999999999999</v>
      </c>
      <c r="J361" s="146"/>
      <c r="K361" s="148"/>
      <c r="L361" s="89"/>
      <c r="M361" s="106"/>
      <c r="N361" s="164"/>
      <c r="O361" s="148"/>
      <c r="P361" s="121">
        <v>48.23</v>
      </c>
      <c r="Q361" s="84"/>
      <c r="R361" s="85"/>
      <c r="S361" s="79">
        <f>ROUND(ROUND(P361, 2)*I361, 2)</f>
        <v>4483.6499999999996</v>
      </c>
    </row>
    <row r="362" spans="1:21" ht="54" x14ac:dyDescent="0.5">
      <c r="A362" s="10" t="s">
        <v>1625</v>
      </c>
      <c r="B362" s="10"/>
      <c r="C362" s="28" t="s">
        <v>667</v>
      </c>
      <c r="D362" s="12"/>
      <c r="E362" s="12" t="s">
        <v>700</v>
      </c>
      <c r="F362" s="29" t="s">
        <v>356</v>
      </c>
      <c r="G362" s="30">
        <v>1.84</v>
      </c>
      <c r="H362" s="49"/>
      <c r="I362" s="101">
        <v>4276.3440000000001</v>
      </c>
      <c r="J362" s="146"/>
      <c r="K362" s="148"/>
      <c r="L362" s="89"/>
      <c r="M362" s="106"/>
      <c r="N362" s="164"/>
      <c r="O362" s="148"/>
      <c r="P362" s="121">
        <v>458.46</v>
      </c>
      <c r="Q362" s="84"/>
      <c r="R362" s="85"/>
      <c r="S362" s="79">
        <f>ROUND(ROUND(P362, 2)*I362, 2)</f>
        <v>1960532.67</v>
      </c>
    </row>
    <row r="363" spans="1:21" ht="36" x14ac:dyDescent="0.5">
      <c r="A363" s="10" t="s">
        <v>1628</v>
      </c>
      <c r="B363" s="10"/>
      <c r="C363" s="47" t="s">
        <v>660</v>
      </c>
      <c r="D363" s="12"/>
      <c r="E363" s="12"/>
      <c r="F363" s="29" t="s">
        <v>364</v>
      </c>
      <c r="G363" s="30">
        <v>0.7</v>
      </c>
      <c r="H363" s="49"/>
      <c r="I363" s="101">
        <v>1626.87</v>
      </c>
      <c r="J363" s="146"/>
      <c r="K363" s="148"/>
      <c r="L363" s="89"/>
      <c r="M363" s="106"/>
      <c r="N363" s="164"/>
      <c r="O363" s="148"/>
      <c r="P363" s="121">
        <v>16.38</v>
      </c>
      <c r="Q363" s="84"/>
      <c r="R363" s="85"/>
      <c r="S363" s="79">
        <f>ROUND(ROUND(P363, 2)*I363, 2)</f>
        <v>26648.13</v>
      </c>
    </row>
    <row r="364" spans="1:21" ht="36" x14ac:dyDescent="0.3">
      <c r="A364" s="10" t="s">
        <v>1631</v>
      </c>
      <c r="B364" s="10" t="s">
        <v>653</v>
      </c>
      <c r="C364" s="11" t="s">
        <v>654</v>
      </c>
      <c r="D364" s="12"/>
      <c r="E364" s="12" t="s">
        <v>1632</v>
      </c>
      <c r="F364" s="12" t="s">
        <v>76</v>
      </c>
      <c r="G364" s="13">
        <v>1</v>
      </c>
      <c r="H364" s="13"/>
      <c r="I364" s="99">
        <v>892.1</v>
      </c>
      <c r="J364" s="145"/>
      <c r="K364" s="149"/>
      <c r="L364" s="119"/>
      <c r="M364" s="105"/>
      <c r="N364" s="172"/>
      <c r="O364" s="173"/>
      <c r="P364" s="120">
        <f>IFERROR(ROUND(SUM(S365,S366,S367,S368)/I364, 2),0)</f>
        <v>858.32</v>
      </c>
      <c r="Q364" s="75">
        <v>675.7</v>
      </c>
      <c r="R364" s="87">
        <f>P364+ROUND(Q364, 2)</f>
        <v>1534.02</v>
      </c>
      <c r="S364" s="78">
        <f>ROUND(P364*I364, 2)</f>
        <v>765707.27</v>
      </c>
      <c r="T364" s="14">
        <f>ROUND(I364*ROUND(Q364, 2), 2)</f>
        <v>602791.97</v>
      </c>
      <c r="U364" s="14">
        <f>S364+T364</f>
        <v>1368499.24</v>
      </c>
    </row>
    <row r="365" spans="1:21" ht="36" x14ac:dyDescent="0.5">
      <c r="A365" s="10" t="s">
        <v>1633</v>
      </c>
      <c r="B365" s="10"/>
      <c r="C365" s="47" t="s">
        <v>660</v>
      </c>
      <c r="D365" s="12"/>
      <c r="E365" s="12"/>
      <c r="F365" s="29" t="s">
        <v>364</v>
      </c>
      <c r="G365" s="30">
        <v>0.7</v>
      </c>
      <c r="H365" s="49"/>
      <c r="I365" s="101">
        <v>624.47</v>
      </c>
      <c r="J365" s="146"/>
      <c r="K365" s="148"/>
      <c r="L365" s="89"/>
      <c r="M365" s="106"/>
      <c r="N365" s="164"/>
      <c r="O365" s="148"/>
      <c r="P365" s="121">
        <v>16.38</v>
      </c>
      <c r="Q365" s="84"/>
      <c r="R365" s="85"/>
      <c r="S365" s="79">
        <f>ROUND(ROUND(P365, 2)*I365, 2)</f>
        <v>10228.82</v>
      </c>
    </row>
    <row r="366" spans="1:21" ht="36" x14ac:dyDescent="0.5">
      <c r="A366" s="10" t="s">
        <v>1636</v>
      </c>
      <c r="B366" s="10"/>
      <c r="C366" s="28" t="s">
        <v>667</v>
      </c>
      <c r="D366" s="12"/>
      <c r="E366" s="12" t="s">
        <v>720</v>
      </c>
      <c r="F366" s="29" t="s">
        <v>356</v>
      </c>
      <c r="G366" s="30">
        <v>1.84</v>
      </c>
      <c r="H366" s="49"/>
      <c r="I366" s="101">
        <v>1641.4639999999999</v>
      </c>
      <c r="J366" s="146"/>
      <c r="K366" s="148"/>
      <c r="L366" s="89"/>
      <c r="M366" s="106"/>
      <c r="N366" s="164"/>
      <c r="O366" s="148"/>
      <c r="P366" s="121">
        <v>458.46</v>
      </c>
      <c r="Q366" s="84"/>
      <c r="R366" s="85"/>
      <c r="S366" s="79">
        <f>ROUND(ROUND(P366, 2)*I366, 2)</f>
        <v>752545.59</v>
      </c>
    </row>
    <row r="367" spans="1:21" ht="25.8" x14ac:dyDescent="0.5">
      <c r="A367" s="10" t="s">
        <v>1639</v>
      </c>
      <c r="B367" s="10"/>
      <c r="C367" s="28" t="s">
        <v>641</v>
      </c>
      <c r="D367" s="12"/>
      <c r="E367" s="12"/>
      <c r="F367" s="29" t="s">
        <v>364</v>
      </c>
      <c r="G367" s="30">
        <v>0.04</v>
      </c>
      <c r="H367" s="30"/>
      <c r="I367" s="100">
        <v>35.683999999999997</v>
      </c>
      <c r="J367" s="146"/>
      <c r="K367" s="148"/>
      <c r="L367" s="89"/>
      <c r="M367" s="106"/>
      <c r="N367" s="164"/>
      <c r="O367" s="148"/>
      <c r="P367" s="121">
        <v>48.23</v>
      </c>
      <c r="Q367" s="84"/>
      <c r="R367" s="85"/>
      <c r="S367" s="79">
        <f>ROUND(ROUND(P367, 2)*I367, 2)</f>
        <v>1721.04</v>
      </c>
    </row>
    <row r="368" spans="1:21" ht="25.8" x14ac:dyDescent="0.5">
      <c r="A368" s="10" t="s">
        <v>1642</v>
      </c>
      <c r="B368" s="10"/>
      <c r="C368" s="28" t="s">
        <v>680</v>
      </c>
      <c r="D368" s="12"/>
      <c r="E368" s="12"/>
      <c r="F368" s="29" t="s">
        <v>364</v>
      </c>
      <c r="G368" s="30">
        <v>1.4999999999999999E-2</v>
      </c>
      <c r="H368" s="30"/>
      <c r="I368" s="100">
        <v>13.382</v>
      </c>
      <c r="J368" s="146"/>
      <c r="K368" s="148"/>
      <c r="L368" s="89"/>
      <c r="M368" s="106"/>
      <c r="N368" s="164"/>
      <c r="O368" s="148"/>
      <c r="P368" s="121">
        <v>90.28</v>
      </c>
      <c r="Q368" s="84"/>
      <c r="R368" s="85"/>
      <c r="S368" s="79">
        <f>ROUND(ROUND(P368, 2)*I368, 2)</f>
        <v>1208.1300000000001</v>
      </c>
    </row>
    <row r="369" spans="1:21" ht="54" x14ac:dyDescent="0.3">
      <c r="A369" s="10" t="s">
        <v>1645</v>
      </c>
      <c r="B369" s="10" t="s">
        <v>737</v>
      </c>
      <c r="C369" s="11" t="s">
        <v>738</v>
      </c>
      <c r="D369" s="12"/>
      <c r="E369" s="12" t="s">
        <v>1604</v>
      </c>
      <c r="F369" s="12" t="s">
        <v>61</v>
      </c>
      <c r="G369" s="13">
        <v>1</v>
      </c>
      <c r="H369" s="13"/>
      <c r="I369" s="99">
        <v>3824.31</v>
      </c>
      <c r="J369" s="145"/>
      <c r="K369" s="149"/>
      <c r="L369" s="119"/>
      <c r="M369" s="105"/>
      <c r="N369" s="172"/>
      <c r="O369" s="173"/>
      <c r="P369" s="120">
        <f>IFERROR(ROUND(SUM(S370,S371,S372,S373)/I369, 2),0)</f>
        <v>2380.17</v>
      </c>
      <c r="Q369" s="75">
        <v>2364.29</v>
      </c>
      <c r="R369" s="87">
        <f>P369+ROUND(Q369, 2)</f>
        <v>4744.46</v>
      </c>
      <c r="S369" s="78">
        <f>ROUND(P369*I369, 2)</f>
        <v>9102507.9299999997</v>
      </c>
      <c r="T369" s="14">
        <f>ROUND(I369*ROUND(Q369, 2), 2)</f>
        <v>9041777.8900000006</v>
      </c>
      <c r="U369" s="14">
        <f>S369+T369</f>
        <v>18144285.82</v>
      </c>
    </row>
    <row r="370" spans="1:21" ht="36" x14ac:dyDescent="0.5">
      <c r="A370" s="10" t="s">
        <v>1646</v>
      </c>
      <c r="B370" s="10"/>
      <c r="C370" s="28" t="s">
        <v>743</v>
      </c>
      <c r="D370" s="12"/>
      <c r="E370" s="12" t="s">
        <v>744</v>
      </c>
      <c r="F370" s="29" t="s">
        <v>61</v>
      </c>
      <c r="G370" s="30">
        <v>1.07</v>
      </c>
      <c r="H370" s="49"/>
      <c r="I370" s="101">
        <v>4092.0120000000002</v>
      </c>
      <c r="J370" s="146"/>
      <c r="K370" s="148"/>
      <c r="L370" s="89"/>
      <c r="M370" s="106"/>
      <c r="N370" s="164"/>
      <c r="O370" s="148"/>
      <c r="P370" s="121">
        <v>2093.37</v>
      </c>
      <c r="Q370" s="84"/>
      <c r="R370" s="85"/>
      <c r="S370" s="79">
        <f>ROUND(ROUND(P370, 2)*I370, 2)</f>
        <v>8566095.1600000001</v>
      </c>
    </row>
    <row r="371" spans="1:21" ht="36" x14ac:dyDescent="0.5">
      <c r="A371" s="10" t="s">
        <v>1649</v>
      </c>
      <c r="B371" s="10"/>
      <c r="C371" s="47" t="s">
        <v>751</v>
      </c>
      <c r="D371" s="12"/>
      <c r="E371" s="12"/>
      <c r="F371" s="29" t="s">
        <v>364</v>
      </c>
      <c r="G371" s="30">
        <v>7</v>
      </c>
      <c r="H371" s="30"/>
      <c r="I371" s="100">
        <v>26770.17</v>
      </c>
      <c r="J371" s="146"/>
      <c r="K371" s="148"/>
      <c r="L371" s="89"/>
      <c r="M371" s="106"/>
      <c r="N371" s="164"/>
      <c r="O371" s="148"/>
      <c r="P371" s="121">
        <v>16.38</v>
      </c>
      <c r="Q371" s="84"/>
      <c r="R371" s="85"/>
      <c r="S371" s="79">
        <f>ROUND(ROUND(P371, 2)*I371, 2)</f>
        <v>438495.38</v>
      </c>
    </row>
    <row r="372" spans="1:21" ht="25.8" x14ac:dyDescent="0.5">
      <c r="A372" s="10" t="s">
        <v>1652</v>
      </c>
      <c r="B372" s="10"/>
      <c r="C372" s="28" t="s">
        <v>641</v>
      </c>
      <c r="D372" s="12"/>
      <c r="E372" s="12"/>
      <c r="F372" s="29" t="s">
        <v>364</v>
      </c>
      <c r="G372" s="30">
        <v>0.25</v>
      </c>
      <c r="H372" s="49"/>
      <c r="I372" s="101">
        <v>956.07799999999997</v>
      </c>
      <c r="J372" s="146"/>
      <c r="K372" s="148"/>
      <c r="L372" s="89"/>
      <c r="M372" s="106"/>
      <c r="N372" s="164"/>
      <c r="O372" s="148"/>
      <c r="P372" s="121">
        <v>48.23</v>
      </c>
      <c r="Q372" s="84"/>
      <c r="R372" s="85"/>
      <c r="S372" s="79">
        <f>ROUND(ROUND(P372, 2)*I372, 2)</f>
        <v>46111.64</v>
      </c>
    </row>
    <row r="373" spans="1:21" ht="25.8" x14ac:dyDescent="0.5">
      <c r="A373" s="10" t="s">
        <v>1655</v>
      </c>
      <c r="B373" s="10"/>
      <c r="C373" s="28" t="s">
        <v>680</v>
      </c>
      <c r="D373" s="12"/>
      <c r="E373" s="12"/>
      <c r="F373" s="29" t="s">
        <v>364</v>
      </c>
      <c r="G373" s="30">
        <v>0.15</v>
      </c>
      <c r="H373" s="30"/>
      <c r="I373" s="100">
        <v>573.64700000000005</v>
      </c>
      <c r="J373" s="146"/>
      <c r="K373" s="148"/>
      <c r="L373" s="89"/>
      <c r="M373" s="106"/>
      <c r="N373" s="164"/>
      <c r="O373" s="148"/>
      <c r="P373" s="121">
        <v>90.28</v>
      </c>
      <c r="Q373" s="84"/>
      <c r="R373" s="85"/>
      <c r="S373" s="79">
        <f>ROUND(ROUND(P373, 2)*I373, 2)</f>
        <v>51788.85</v>
      </c>
    </row>
    <row r="374" spans="1:21" ht="54" x14ac:dyDescent="0.3">
      <c r="A374" s="10" t="s">
        <v>1658</v>
      </c>
      <c r="B374" s="10" t="s">
        <v>737</v>
      </c>
      <c r="C374" s="11" t="s">
        <v>738</v>
      </c>
      <c r="D374" s="12"/>
      <c r="E374" s="12" t="s">
        <v>1659</v>
      </c>
      <c r="F374" s="12" t="s">
        <v>61</v>
      </c>
      <c r="G374" s="13">
        <v>1</v>
      </c>
      <c r="H374" s="13"/>
      <c r="I374" s="99">
        <v>87.2</v>
      </c>
      <c r="J374" s="145"/>
      <c r="K374" s="149"/>
      <c r="L374" s="119"/>
      <c r="M374" s="105"/>
      <c r="N374" s="172"/>
      <c r="O374" s="173"/>
      <c r="P374" s="120">
        <f>IFERROR(ROUND(SUM(S375,S376,S377,S378)/I374, 2),0)</f>
        <v>2380.17</v>
      </c>
      <c r="Q374" s="75">
        <v>2364.29</v>
      </c>
      <c r="R374" s="87">
        <f>P374+ROUND(Q374, 2)</f>
        <v>4744.46</v>
      </c>
      <c r="S374" s="78">
        <f>ROUND(P374*I374, 2)</f>
        <v>207550.82</v>
      </c>
      <c r="T374" s="14">
        <f>ROUND(I374*ROUND(Q374, 2), 2)</f>
        <v>206166.09</v>
      </c>
      <c r="U374" s="14">
        <f>S374+T374</f>
        <v>413716.91000000003</v>
      </c>
    </row>
    <row r="375" spans="1:21" ht="25.8" x14ac:dyDescent="0.5">
      <c r="A375" s="10" t="s">
        <v>1660</v>
      </c>
      <c r="B375" s="10"/>
      <c r="C375" s="28" t="s">
        <v>680</v>
      </c>
      <c r="D375" s="12"/>
      <c r="E375" s="12"/>
      <c r="F375" s="29" t="s">
        <v>364</v>
      </c>
      <c r="G375" s="30">
        <v>0.15</v>
      </c>
      <c r="H375" s="30"/>
      <c r="I375" s="100">
        <v>13.08</v>
      </c>
      <c r="J375" s="146"/>
      <c r="K375" s="148"/>
      <c r="L375" s="89"/>
      <c r="M375" s="106"/>
      <c r="N375" s="164"/>
      <c r="O375" s="148"/>
      <c r="P375" s="121">
        <v>90.28</v>
      </c>
      <c r="Q375" s="84"/>
      <c r="R375" s="85"/>
      <c r="S375" s="79">
        <f>ROUND(ROUND(P375, 2)*I375, 2)</f>
        <v>1180.8599999999999</v>
      </c>
    </row>
    <row r="376" spans="1:21" ht="25.8" x14ac:dyDescent="0.5">
      <c r="A376" s="10" t="s">
        <v>1663</v>
      </c>
      <c r="B376" s="10"/>
      <c r="C376" s="28" t="s">
        <v>641</v>
      </c>
      <c r="D376" s="12"/>
      <c r="E376" s="12"/>
      <c r="F376" s="29" t="s">
        <v>364</v>
      </c>
      <c r="G376" s="30">
        <v>0.25</v>
      </c>
      <c r="H376" s="49"/>
      <c r="I376" s="101">
        <v>21.8</v>
      </c>
      <c r="J376" s="146"/>
      <c r="K376" s="148"/>
      <c r="L376" s="89"/>
      <c r="M376" s="106"/>
      <c r="N376" s="164"/>
      <c r="O376" s="148"/>
      <c r="P376" s="121">
        <v>48.23</v>
      </c>
      <c r="Q376" s="84"/>
      <c r="R376" s="85"/>
      <c r="S376" s="79">
        <f>ROUND(ROUND(P376, 2)*I376, 2)</f>
        <v>1051.4100000000001</v>
      </c>
    </row>
    <row r="377" spans="1:21" ht="36" x14ac:dyDescent="0.5">
      <c r="A377" s="10" t="s">
        <v>1666</v>
      </c>
      <c r="B377" s="10"/>
      <c r="C377" s="47" t="s">
        <v>751</v>
      </c>
      <c r="D377" s="12"/>
      <c r="E377" s="12"/>
      <c r="F377" s="29" t="s">
        <v>364</v>
      </c>
      <c r="G377" s="30">
        <v>7</v>
      </c>
      <c r="H377" s="30"/>
      <c r="I377" s="100">
        <v>610.4</v>
      </c>
      <c r="J377" s="146"/>
      <c r="K377" s="148"/>
      <c r="L377" s="89"/>
      <c r="M377" s="106"/>
      <c r="N377" s="164"/>
      <c r="O377" s="148"/>
      <c r="P377" s="121">
        <v>16.38</v>
      </c>
      <c r="Q377" s="84"/>
      <c r="R377" s="85"/>
      <c r="S377" s="79">
        <f>ROUND(ROUND(P377, 2)*I377, 2)</f>
        <v>9998.35</v>
      </c>
    </row>
    <row r="378" spans="1:21" ht="36" x14ac:dyDescent="0.5">
      <c r="A378" s="10" t="s">
        <v>1669</v>
      </c>
      <c r="B378" s="10"/>
      <c r="C378" s="28" t="s">
        <v>743</v>
      </c>
      <c r="D378" s="12"/>
      <c r="E378" s="12" t="s">
        <v>1670</v>
      </c>
      <c r="F378" s="29" t="s">
        <v>61</v>
      </c>
      <c r="G378" s="30">
        <v>1.07</v>
      </c>
      <c r="H378" s="49"/>
      <c r="I378" s="101">
        <v>93.304000000000002</v>
      </c>
      <c r="J378" s="146"/>
      <c r="K378" s="148"/>
      <c r="L378" s="89"/>
      <c r="M378" s="106"/>
      <c r="N378" s="164"/>
      <c r="O378" s="148"/>
      <c r="P378" s="121">
        <v>2093.37</v>
      </c>
      <c r="Q378" s="84"/>
      <c r="R378" s="85"/>
      <c r="S378" s="79">
        <f>ROUND(ROUND(P378, 2)*I378, 2)</f>
        <v>195319.79</v>
      </c>
    </row>
    <row r="379" spans="1:21" ht="54" x14ac:dyDescent="0.3">
      <c r="A379" s="10" t="s">
        <v>1673</v>
      </c>
      <c r="B379" s="10" t="s">
        <v>791</v>
      </c>
      <c r="C379" s="11" t="s">
        <v>792</v>
      </c>
      <c r="D379" s="12"/>
      <c r="E379" s="12" t="s">
        <v>1618</v>
      </c>
      <c r="F379" s="12" t="s">
        <v>61</v>
      </c>
      <c r="G379" s="13">
        <v>1</v>
      </c>
      <c r="H379" s="13"/>
      <c r="I379" s="99">
        <v>2228.66</v>
      </c>
      <c r="J379" s="145"/>
      <c r="K379" s="149"/>
      <c r="L379" s="119"/>
      <c r="M379" s="105"/>
      <c r="N379" s="172"/>
      <c r="O379" s="173"/>
      <c r="P379" s="120">
        <f>IFERROR(ROUND(SUM(S380,S381,S382,S383)/I379, 2),0)</f>
        <v>2589.81</v>
      </c>
      <c r="Q379" s="75">
        <v>3978.57</v>
      </c>
      <c r="R379" s="87">
        <f>P379+ROUND(Q379, 2)</f>
        <v>6568.38</v>
      </c>
      <c r="S379" s="78">
        <f>ROUND(P379*I379, 2)</f>
        <v>5771805.9500000002</v>
      </c>
      <c r="T379" s="14">
        <f>ROUND(I379*ROUND(Q379, 2), 2)</f>
        <v>8866879.8200000003</v>
      </c>
      <c r="U379" s="14">
        <f>S379+T379</f>
        <v>14638685.77</v>
      </c>
    </row>
    <row r="380" spans="1:21" ht="36" x14ac:dyDescent="0.5">
      <c r="A380" s="10" t="s">
        <v>1674</v>
      </c>
      <c r="B380" s="10"/>
      <c r="C380" s="47" t="s">
        <v>797</v>
      </c>
      <c r="D380" s="12"/>
      <c r="E380" s="12"/>
      <c r="F380" s="29" t="s">
        <v>364</v>
      </c>
      <c r="G380" s="30">
        <v>1.2</v>
      </c>
      <c r="H380" s="49"/>
      <c r="I380" s="101">
        <v>13371.96</v>
      </c>
      <c r="J380" s="146"/>
      <c r="K380" s="148"/>
      <c r="L380" s="89"/>
      <c r="M380" s="106"/>
      <c r="N380" s="164"/>
      <c r="O380" s="148"/>
      <c r="P380" s="121">
        <v>16.38</v>
      </c>
      <c r="Q380" s="84"/>
      <c r="R380" s="85"/>
      <c r="S380" s="79">
        <f>ROUND(ROUND(P380, 2)*I380, 2)</f>
        <v>219032.7</v>
      </c>
    </row>
    <row r="381" spans="1:21" ht="36" x14ac:dyDescent="0.5">
      <c r="A381" s="10" t="s">
        <v>1677</v>
      </c>
      <c r="B381" s="10"/>
      <c r="C381" s="28" t="s">
        <v>804</v>
      </c>
      <c r="D381" s="12"/>
      <c r="E381" s="12" t="s">
        <v>805</v>
      </c>
      <c r="F381" s="29" t="s">
        <v>61</v>
      </c>
      <c r="G381" s="30">
        <v>1.2</v>
      </c>
      <c r="H381" s="49"/>
      <c r="I381" s="101">
        <v>2674.3919999999998</v>
      </c>
      <c r="J381" s="146"/>
      <c r="K381" s="148"/>
      <c r="L381" s="89"/>
      <c r="M381" s="106"/>
      <c r="N381" s="164"/>
      <c r="O381" s="148"/>
      <c r="P381" s="121">
        <v>2054.94</v>
      </c>
      <c r="Q381" s="84"/>
      <c r="R381" s="85"/>
      <c r="S381" s="79">
        <f>ROUND(ROUND(P381, 2)*I381, 2)</f>
        <v>5495715.0999999996</v>
      </c>
    </row>
    <row r="382" spans="1:21" ht="25.8" x14ac:dyDescent="0.5">
      <c r="A382" s="10" t="s">
        <v>1680</v>
      </c>
      <c r="B382" s="10"/>
      <c r="C382" s="28" t="s">
        <v>641</v>
      </c>
      <c r="D382" s="12"/>
      <c r="E382" s="12"/>
      <c r="F382" s="29" t="s">
        <v>364</v>
      </c>
      <c r="G382" s="30">
        <v>0.25</v>
      </c>
      <c r="H382" s="49"/>
      <c r="I382" s="101">
        <v>557.16499999999996</v>
      </c>
      <c r="J382" s="146"/>
      <c r="K382" s="148"/>
      <c r="L382" s="89"/>
      <c r="M382" s="106"/>
      <c r="N382" s="164"/>
      <c r="O382" s="148"/>
      <c r="P382" s="121">
        <v>48.23</v>
      </c>
      <c r="Q382" s="84"/>
      <c r="R382" s="85"/>
      <c r="S382" s="79">
        <f>ROUND(ROUND(P382, 2)*I382, 2)</f>
        <v>26872.07</v>
      </c>
    </row>
    <row r="383" spans="1:21" ht="25.8" x14ac:dyDescent="0.5">
      <c r="A383" s="10" t="s">
        <v>1683</v>
      </c>
      <c r="B383" s="10"/>
      <c r="C383" s="28" t="s">
        <v>680</v>
      </c>
      <c r="D383" s="12"/>
      <c r="E383" s="12"/>
      <c r="F383" s="29" t="s">
        <v>364</v>
      </c>
      <c r="G383" s="30">
        <v>0.15</v>
      </c>
      <c r="H383" s="30"/>
      <c r="I383" s="100">
        <v>334.29899999999998</v>
      </c>
      <c r="J383" s="146"/>
      <c r="K383" s="148"/>
      <c r="L383" s="89"/>
      <c r="M383" s="106"/>
      <c r="N383" s="164"/>
      <c r="O383" s="148"/>
      <c r="P383" s="121">
        <v>90.28</v>
      </c>
      <c r="Q383" s="84"/>
      <c r="R383" s="85"/>
      <c r="S383" s="79">
        <f>ROUND(ROUND(P383, 2)*I383, 2)</f>
        <v>30180.51</v>
      </c>
    </row>
    <row r="384" spans="1:21" ht="54" x14ac:dyDescent="0.3">
      <c r="A384" s="10" t="s">
        <v>1686</v>
      </c>
      <c r="B384" s="10" t="s">
        <v>791</v>
      </c>
      <c r="C384" s="11" t="s">
        <v>792</v>
      </c>
      <c r="D384" s="12"/>
      <c r="E384" s="12" t="s">
        <v>1632</v>
      </c>
      <c r="F384" s="12" t="s">
        <v>61</v>
      </c>
      <c r="G384" s="13">
        <v>1</v>
      </c>
      <c r="H384" s="13"/>
      <c r="I384" s="99">
        <v>1152.23</v>
      </c>
      <c r="J384" s="145"/>
      <c r="K384" s="149"/>
      <c r="L384" s="119"/>
      <c r="M384" s="105"/>
      <c r="N384" s="172"/>
      <c r="O384" s="173"/>
      <c r="P384" s="120">
        <f>IFERROR(ROUND(SUM(S385,S386,S387,S388)/I384, 2),0)</f>
        <v>2589.81</v>
      </c>
      <c r="Q384" s="75">
        <v>3978.57</v>
      </c>
      <c r="R384" s="87">
        <f>P384+ROUND(Q384, 2)</f>
        <v>6568.38</v>
      </c>
      <c r="S384" s="78">
        <f>ROUND(P384*I384, 2)</f>
        <v>2984056.78</v>
      </c>
      <c r="T384" s="14">
        <f>ROUND(I384*ROUND(Q384, 2), 2)</f>
        <v>4584227.71</v>
      </c>
      <c r="U384" s="14">
        <f>S384+T384</f>
        <v>7568284.4900000002</v>
      </c>
    </row>
    <row r="385" spans="1:21" ht="25.8" x14ac:dyDescent="0.5">
      <c r="A385" s="10" t="s">
        <v>1687</v>
      </c>
      <c r="B385" s="10"/>
      <c r="C385" s="28" t="s">
        <v>680</v>
      </c>
      <c r="D385" s="12"/>
      <c r="E385" s="12"/>
      <c r="F385" s="29" t="s">
        <v>364</v>
      </c>
      <c r="G385" s="30">
        <v>0.15</v>
      </c>
      <c r="H385" s="30"/>
      <c r="I385" s="100">
        <v>172.83500000000001</v>
      </c>
      <c r="J385" s="146"/>
      <c r="K385" s="148"/>
      <c r="L385" s="89"/>
      <c r="M385" s="106"/>
      <c r="N385" s="164"/>
      <c r="O385" s="148"/>
      <c r="P385" s="121">
        <v>90.28</v>
      </c>
      <c r="Q385" s="84"/>
      <c r="R385" s="85"/>
      <c r="S385" s="79">
        <f>ROUND(ROUND(P385, 2)*I385, 2)</f>
        <v>15603.54</v>
      </c>
    </row>
    <row r="386" spans="1:21" ht="25.8" x14ac:dyDescent="0.5">
      <c r="A386" s="10" t="s">
        <v>1690</v>
      </c>
      <c r="B386" s="10"/>
      <c r="C386" s="28" t="s">
        <v>641</v>
      </c>
      <c r="D386" s="12"/>
      <c r="E386" s="12"/>
      <c r="F386" s="29" t="s">
        <v>364</v>
      </c>
      <c r="G386" s="30">
        <v>0.25</v>
      </c>
      <c r="H386" s="49"/>
      <c r="I386" s="101">
        <v>288.05799999999999</v>
      </c>
      <c r="J386" s="146"/>
      <c r="K386" s="148"/>
      <c r="L386" s="89"/>
      <c r="M386" s="106"/>
      <c r="N386" s="164"/>
      <c r="O386" s="148"/>
      <c r="P386" s="121">
        <v>48.23</v>
      </c>
      <c r="Q386" s="84"/>
      <c r="R386" s="85"/>
      <c r="S386" s="79">
        <f>ROUND(ROUND(P386, 2)*I386, 2)</f>
        <v>13893.04</v>
      </c>
    </row>
    <row r="387" spans="1:21" ht="54" x14ac:dyDescent="0.5">
      <c r="A387" s="10" t="s">
        <v>1693</v>
      </c>
      <c r="B387" s="10"/>
      <c r="C387" s="28" t="s">
        <v>804</v>
      </c>
      <c r="D387" s="12"/>
      <c r="E387" s="12" t="s">
        <v>834</v>
      </c>
      <c r="F387" s="29" t="s">
        <v>61</v>
      </c>
      <c r="G387" s="30">
        <v>1.2</v>
      </c>
      <c r="H387" s="49"/>
      <c r="I387" s="101">
        <v>1382.6759999999999</v>
      </c>
      <c r="J387" s="146"/>
      <c r="K387" s="148"/>
      <c r="L387" s="89"/>
      <c r="M387" s="106"/>
      <c r="N387" s="164"/>
      <c r="O387" s="148"/>
      <c r="P387" s="121">
        <v>2054.94</v>
      </c>
      <c r="Q387" s="84"/>
      <c r="R387" s="85"/>
      <c r="S387" s="79">
        <f>ROUND(ROUND(P387, 2)*I387, 2)</f>
        <v>2841316.22</v>
      </c>
    </row>
    <row r="388" spans="1:21" ht="36" x14ac:dyDescent="0.5">
      <c r="A388" s="10" t="s">
        <v>1696</v>
      </c>
      <c r="B388" s="10"/>
      <c r="C388" s="47" t="s">
        <v>797</v>
      </c>
      <c r="D388" s="12"/>
      <c r="E388" s="12"/>
      <c r="F388" s="29" t="s">
        <v>364</v>
      </c>
      <c r="G388" s="30">
        <v>1.2</v>
      </c>
      <c r="H388" s="49"/>
      <c r="I388" s="101">
        <v>6913.38</v>
      </c>
      <c r="J388" s="146"/>
      <c r="K388" s="148"/>
      <c r="L388" s="89"/>
      <c r="M388" s="106"/>
      <c r="N388" s="164"/>
      <c r="O388" s="148"/>
      <c r="P388" s="121">
        <v>16.38</v>
      </c>
      <c r="Q388" s="84"/>
      <c r="R388" s="85"/>
      <c r="S388" s="79">
        <f>ROUND(ROUND(P388, 2)*I388, 2)</f>
        <v>113241.16</v>
      </c>
    </row>
    <row r="389" spans="1:21" ht="16.95" customHeight="1" x14ac:dyDescent="0.5">
      <c r="A389" s="10" t="s">
        <v>1699</v>
      </c>
      <c r="B389" s="10" t="s">
        <v>845</v>
      </c>
      <c r="C389" s="237" t="s">
        <v>846</v>
      </c>
      <c r="D389" s="238"/>
      <c r="E389" s="238"/>
      <c r="F389" s="238"/>
      <c r="G389" s="238"/>
      <c r="H389" s="238"/>
      <c r="I389" s="239"/>
      <c r="J389" s="135"/>
      <c r="K389" s="148"/>
      <c r="L389" s="89"/>
      <c r="M389" s="104"/>
      <c r="N389" s="168"/>
      <c r="O389" s="169"/>
      <c r="P389" s="84"/>
      <c r="Q389" s="84"/>
      <c r="R389" s="85"/>
      <c r="S389" s="77">
        <f>SUM(S390,S396)</f>
        <v>10636713.6</v>
      </c>
      <c r="T389" s="6">
        <f>SUM(T390,T396)</f>
        <v>36506095.510000005</v>
      </c>
      <c r="U389" s="6">
        <f>SUM(U390,U396)</f>
        <v>47142809.109999999</v>
      </c>
    </row>
    <row r="390" spans="1:21" ht="16.95" customHeight="1" x14ac:dyDescent="0.5">
      <c r="A390" s="10" t="s">
        <v>1700</v>
      </c>
      <c r="B390" s="10" t="s">
        <v>848</v>
      </c>
      <c r="C390" s="237" t="s">
        <v>849</v>
      </c>
      <c r="D390" s="238"/>
      <c r="E390" s="238"/>
      <c r="F390" s="238"/>
      <c r="G390" s="238"/>
      <c r="H390" s="238"/>
      <c r="I390" s="239"/>
      <c r="J390" s="135"/>
      <c r="K390" s="148"/>
      <c r="L390" s="89"/>
      <c r="M390" s="104"/>
      <c r="N390" s="168"/>
      <c r="O390" s="169"/>
      <c r="P390" s="84"/>
      <c r="Q390" s="84"/>
      <c r="R390" s="85"/>
      <c r="S390" s="77">
        <f>SUM(S391)</f>
        <v>2241669.7400000002</v>
      </c>
      <c r="T390" s="6">
        <f>SUM(T391)</f>
        <v>10439371.310000001</v>
      </c>
      <c r="U390" s="6">
        <f>SUM(U391)</f>
        <v>12681041.050000001</v>
      </c>
    </row>
    <row r="391" spans="1:21" ht="146.4" customHeight="1" x14ac:dyDescent="0.3">
      <c r="A391" s="191" t="s">
        <v>1701</v>
      </c>
      <c r="B391" s="191" t="s">
        <v>851</v>
      </c>
      <c r="C391" s="192" t="s">
        <v>852</v>
      </c>
      <c r="D391" s="193" t="s">
        <v>853</v>
      </c>
      <c r="E391" s="193" t="s">
        <v>1702</v>
      </c>
      <c r="F391" s="193" t="s">
        <v>61</v>
      </c>
      <c r="G391" s="194">
        <v>1</v>
      </c>
      <c r="H391" s="194"/>
      <c r="I391" s="194">
        <v>7659.9</v>
      </c>
      <c r="J391" s="208">
        <f>I391-K391</f>
        <v>5459.9</v>
      </c>
      <c r="K391" s="209">
        <f>N391</f>
        <v>2200</v>
      </c>
      <c r="L391" s="199"/>
      <c r="M391" s="210"/>
      <c r="N391" s="199">
        <v>2200</v>
      </c>
      <c r="O391" s="210">
        <f>N391*R391</f>
        <v>3642121.9999999995</v>
      </c>
      <c r="P391" s="201">
        <f>IFERROR(ROUND(SUM(S392,S393,S394,S395)/I391, 2),0)</f>
        <v>292.64999999999998</v>
      </c>
      <c r="Q391" s="202">
        <v>1362.86</v>
      </c>
      <c r="R391" s="203">
        <f>P391+ROUND(Q391, 2)</f>
        <v>1655.5099999999998</v>
      </c>
      <c r="S391" s="78">
        <f>ROUND(P391*I391, 2)</f>
        <v>2241669.7400000002</v>
      </c>
      <c r="T391" s="14">
        <f>ROUND(I391*ROUND(Q391, 2), 2)</f>
        <v>10439371.310000001</v>
      </c>
      <c r="U391" s="14">
        <f>S391+T391</f>
        <v>12681041.050000001</v>
      </c>
    </row>
    <row r="392" spans="1:21" ht="25.8" x14ac:dyDescent="0.5">
      <c r="A392" s="10" t="s">
        <v>1703</v>
      </c>
      <c r="B392" s="10"/>
      <c r="C392" s="28" t="s">
        <v>859</v>
      </c>
      <c r="D392" s="12"/>
      <c r="E392" s="12"/>
      <c r="F392" s="29" t="s">
        <v>364</v>
      </c>
      <c r="G392" s="30">
        <v>1.3</v>
      </c>
      <c r="H392" s="49"/>
      <c r="I392" s="101">
        <v>199157.4</v>
      </c>
      <c r="J392" s="146"/>
      <c r="K392" s="148"/>
      <c r="L392" s="89"/>
      <c r="M392" s="106"/>
      <c r="N392" s="164"/>
      <c r="O392" s="148"/>
      <c r="P392" s="121">
        <v>9</v>
      </c>
      <c r="Q392" s="84"/>
      <c r="R392" s="85"/>
      <c r="S392" s="79">
        <f>ROUND(ROUND(P392, 2)*I392, 2)</f>
        <v>1792416.6</v>
      </c>
    </row>
    <row r="393" spans="1:21" ht="25.8" x14ac:dyDescent="0.5">
      <c r="A393" s="10" t="s">
        <v>1706</v>
      </c>
      <c r="B393" s="10"/>
      <c r="C393" s="28" t="s">
        <v>866</v>
      </c>
      <c r="D393" s="12"/>
      <c r="E393" s="12"/>
      <c r="F393" s="29" t="s">
        <v>61</v>
      </c>
      <c r="G393" s="30">
        <v>1.1000000000000001</v>
      </c>
      <c r="H393" s="30"/>
      <c r="I393" s="100">
        <v>8425.89</v>
      </c>
      <c r="J393" s="146"/>
      <c r="K393" s="148"/>
      <c r="L393" s="89"/>
      <c r="M393" s="106"/>
      <c r="N393" s="164"/>
      <c r="O393" s="148"/>
      <c r="P393" s="121">
        <v>26.44</v>
      </c>
      <c r="Q393" s="84"/>
      <c r="R393" s="85"/>
      <c r="S393" s="79">
        <f>ROUND(ROUND(P393, 2)*I393, 2)</f>
        <v>222780.53</v>
      </c>
    </row>
    <row r="394" spans="1:21" ht="25.8" x14ac:dyDescent="0.5">
      <c r="A394" s="10" t="s">
        <v>1709</v>
      </c>
      <c r="B394" s="10"/>
      <c r="C394" s="28" t="s">
        <v>873</v>
      </c>
      <c r="D394" s="12"/>
      <c r="E394" s="12"/>
      <c r="F394" s="29" t="s">
        <v>76</v>
      </c>
      <c r="G394" s="30">
        <v>1</v>
      </c>
      <c r="H394" s="49"/>
      <c r="I394" s="101">
        <v>7659.9</v>
      </c>
      <c r="J394" s="146"/>
      <c r="K394" s="148"/>
      <c r="L394" s="89"/>
      <c r="M394" s="106"/>
      <c r="N394" s="164"/>
      <c r="O394" s="148"/>
      <c r="P394" s="121">
        <v>16.02</v>
      </c>
      <c r="Q394" s="84"/>
      <c r="R394" s="85"/>
      <c r="S394" s="79">
        <f>ROUND(ROUND(P394, 2)*I394, 2)</f>
        <v>122711.6</v>
      </c>
    </row>
    <row r="395" spans="1:21" ht="25.8" x14ac:dyDescent="0.5">
      <c r="A395" s="10" t="s">
        <v>1712</v>
      </c>
      <c r="B395" s="10"/>
      <c r="C395" s="28" t="s">
        <v>680</v>
      </c>
      <c r="D395" s="12"/>
      <c r="E395" s="12"/>
      <c r="F395" s="29" t="s">
        <v>364</v>
      </c>
      <c r="G395" s="30">
        <v>0.15</v>
      </c>
      <c r="H395" s="30"/>
      <c r="I395" s="100">
        <v>1148.9849999999999</v>
      </c>
      <c r="J395" s="146"/>
      <c r="K395" s="148"/>
      <c r="L395" s="89"/>
      <c r="M395" s="106"/>
      <c r="N395" s="164"/>
      <c r="O395" s="148"/>
      <c r="P395" s="121">
        <v>90.28</v>
      </c>
      <c r="Q395" s="84"/>
      <c r="R395" s="85"/>
      <c r="S395" s="79">
        <f>ROUND(ROUND(P395, 2)*I395, 2)</f>
        <v>103730.37</v>
      </c>
    </row>
    <row r="396" spans="1:21" ht="37.799999999999997" customHeight="1" x14ac:dyDescent="0.5">
      <c r="A396" s="10" t="s">
        <v>1715</v>
      </c>
      <c r="B396" s="10" t="s">
        <v>885</v>
      </c>
      <c r="C396" s="237" t="s">
        <v>886</v>
      </c>
      <c r="D396" s="238"/>
      <c r="E396" s="238"/>
      <c r="F396" s="238"/>
      <c r="G396" s="238"/>
      <c r="H396" s="238"/>
      <c r="I396" s="239"/>
      <c r="J396" s="135"/>
      <c r="K396" s="148"/>
      <c r="L396" s="89"/>
      <c r="M396" s="104"/>
      <c r="N396" s="168"/>
      <c r="O396" s="169"/>
      <c r="P396" s="84"/>
      <c r="Q396" s="84"/>
      <c r="R396" s="85"/>
      <c r="S396" s="77">
        <f>SUM(S397,S399,S402,S405)</f>
        <v>8395043.8599999994</v>
      </c>
      <c r="T396" s="6">
        <f>SUM(T397,T399,T402,T405)</f>
        <v>26066724.200000003</v>
      </c>
      <c r="U396" s="6">
        <f>SUM(U397,U399,U402,U405)</f>
        <v>34461768.060000002</v>
      </c>
    </row>
    <row r="397" spans="1:21" ht="54" x14ac:dyDescent="0.3">
      <c r="A397" s="10" t="s">
        <v>1716</v>
      </c>
      <c r="B397" s="10" t="s">
        <v>888</v>
      </c>
      <c r="C397" s="11" t="s">
        <v>889</v>
      </c>
      <c r="D397" s="12"/>
      <c r="E397" s="12" t="s">
        <v>890</v>
      </c>
      <c r="F397" s="12" t="s">
        <v>61</v>
      </c>
      <c r="G397" s="13">
        <v>1</v>
      </c>
      <c r="H397" s="13"/>
      <c r="I397" s="99">
        <v>2373.3000000000002</v>
      </c>
      <c r="J397" s="145"/>
      <c r="K397" s="149"/>
      <c r="L397" s="119"/>
      <c r="M397" s="105"/>
      <c r="N397" s="172"/>
      <c r="O397" s="173"/>
      <c r="P397" s="120">
        <f>IFERROR(ROUND(SUM(S398)/I397, 2),0)</f>
        <v>424.96</v>
      </c>
      <c r="Q397" s="75">
        <v>1442.86</v>
      </c>
      <c r="R397" s="87">
        <f>P397+ROUND(Q397, 2)</f>
        <v>1867.82</v>
      </c>
      <c r="S397" s="78">
        <f>ROUND(P397*I397, 2)</f>
        <v>1008557.57</v>
      </c>
      <c r="T397" s="14">
        <f>ROUND(I397*ROUND(Q397, 2), 2)</f>
        <v>3424339.64</v>
      </c>
      <c r="U397" s="14">
        <f>S397+T397</f>
        <v>4432897.21</v>
      </c>
    </row>
    <row r="398" spans="1:21" ht="25.8" x14ac:dyDescent="0.5">
      <c r="A398" s="10" t="s">
        <v>1717</v>
      </c>
      <c r="B398" s="10"/>
      <c r="C398" s="28" t="s">
        <v>1718</v>
      </c>
      <c r="D398" s="12"/>
      <c r="E398" s="12"/>
      <c r="F398" s="29" t="s">
        <v>356</v>
      </c>
      <c r="G398" s="30">
        <v>1</v>
      </c>
      <c r="H398" s="30"/>
      <c r="I398" s="100">
        <v>2373.3000000000002</v>
      </c>
      <c r="J398" s="146"/>
      <c r="K398" s="148"/>
      <c r="L398" s="89"/>
      <c r="M398" s="106"/>
      <c r="N398" s="164"/>
      <c r="O398" s="148"/>
      <c r="P398" s="121">
        <v>424.96</v>
      </c>
      <c r="Q398" s="84"/>
      <c r="R398" s="85"/>
      <c r="S398" s="79">
        <f>ROUND(ROUND(P398, 2)*I398, 2)</f>
        <v>1008557.57</v>
      </c>
    </row>
    <row r="399" spans="1:21" ht="72" x14ac:dyDescent="0.3">
      <c r="A399" s="10" t="s">
        <v>1721</v>
      </c>
      <c r="B399" s="10" t="s">
        <v>902</v>
      </c>
      <c r="C399" s="11" t="s">
        <v>903</v>
      </c>
      <c r="D399" s="12"/>
      <c r="E399" s="12" t="s">
        <v>1722</v>
      </c>
      <c r="F399" s="12" t="s">
        <v>61</v>
      </c>
      <c r="G399" s="13">
        <v>1</v>
      </c>
      <c r="H399" s="13"/>
      <c r="I399" s="99">
        <v>11850.4</v>
      </c>
      <c r="J399" s="145"/>
      <c r="K399" s="149"/>
      <c r="L399" s="119"/>
      <c r="M399" s="105"/>
      <c r="N399" s="172"/>
      <c r="O399" s="173"/>
      <c r="P399" s="120">
        <f>IFERROR(ROUND(SUM(S400,S401)/I399, 2),0)</f>
        <v>58.34</v>
      </c>
      <c r="Q399" s="75">
        <v>611.42999999999995</v>
      </c>
      <c r="R399" s="87">
        <f>P399+ROUND(Q399, 2)</f>
        <v>669.77</v>
      </c>
      <c r="S399" s="78">
        <f>ROUND(P399*I399, 2)</f>
        <v>691352.34</v>
      </c>
      <c r="T399" s="14">
        <f>ROUND(I399*ROUND(Q399, 2), 2)</f>
        <v>7245690.0700000003</v>
      </c>
      <c r="U399" s="14">
        <f>S399+T399</f>
        <v>7937042.4100000001</v>
      </c>
    </row>
    <row r="400" spans="1:21" ht="25.8" x14ac:dyDescent="0.5">
      <c r="A400" s="10" t="s">
        <v>1723</v>
      </c>
      <c r="B400" s="10"/>
      <c r="C400" s="28" t="s">
        <v>680</v>
      </c>
      <c r="D400" s="12"/>
      <c r="E400" s="12"/>
      <c r="F400" s="29" t="s">
        <v>364</v>
      </c>
      <c r="G400" s="30">
        <v>0.15</v>
      </c>
      <c r="H400" s="30"/>
      <c r="I400" s="100">
        <v>1777.56</v>
      </c>
      <c r="J400" s="146"/>
      <c r="K400" s="148"/>
      <c r="L400" s="89"/>
      <c r="M400" s="106"/>
      <c r="N400" s="164"/>
      <c r="O400" s="148"/>
      <c r="P400" s="121">
        <v>90.28</v>
      </c>
      <c r="Q400" s="84"/>
      <c r="R400" s="85"/>
      <c r="S400" s="79">
        <f>ROUND(ROUND(P400, 2)*I400, 2)</f>
        <v>160478.12</v>
      </c>
    </row>
    <row r="401" spans="1:21" ht="72" x14ac:dyDescent="0.5">
      <c r="A401" s="10" t="s">
        <v>1726</v>
      </c>
      <c r="B401" s="10"/>
      <c r="C401" s="28" t="s">
        <v>914</v>
      </c>
      <c r="D401" s="12"/>
      <c r="E401" s="12" t="s">
        <v>915</v>
      </c>
      <c r="F401" s="29" t="s">
        <v>364</v>
      </c>
      <c r="G401" s="30">
        <v>0.3</v>
      </c>
      <c r="H401" s="30"/>
      <c r="I401" s="100">
        <v>3555.12</v>
      </c>
      <c r="J401" s="146"/>
      <c r="K401" s="148"/>
      <c r="L401" s="89"/>
      <c r="M401" s="106"/>
      <c r="N401" s="164"/>
      <c r="O401" s="148"/>
      <c r="P401" s="121">
        <v>149.31</v>
      </c>
      <c r="Q401" s="84"/>
      <c r="R401" s="85"/>
      <c r="S401" s="79">
        <f>ROUND(ROUND(P401, 2)*I401, 2)</f>
        <v>530814.97</v>
      </c>
    </row>
    <row r="402" spans="1:21" ht="54" x14ac:dyDescent="0.3">
      <c r="A402" s="10" t="s">
        <v>1729</v>
      </c>
      <c r="B402" s="10" t="s">
        <v>902</v>
      </c>
      <c r="C402" s="11" t="s">
        <v>903</v>
      </c>
      <c r="D402" s="12"/>
      <c r="E402" s="12" t="s">
        <v>922</v>
      </c>
      <c r="F402" s="12" t="s">
        <v>61</v>
      </c>
      <c r="G402" s="13">
        <v>1</v>
      </c>
      <c r="H402" s="13"/>
      <c r="I402" s="99">
        <v>3034</v>
      </c>
      <c r="J402" s="145"/>
      <c r="K402" s="149"/>
      <c r="L402" s="119"/>
      <c r="M402" s="105"/>
      <c r="N402" s="172"/>
      <c r="O402" s="173"/>
      <c r="P402" s="120">
        <f>IFERROR(ROUND(SUM(S403,S404)/I402, 2),0)</f>
        <v>58.34</v>
      </c>
      <c r="Q402" s="75">
        <v>611.42999999999995</v>
      </c>
      <c r="R402" s="87">
        <f>P402+ROUND(Q402, 2)</f>
        <v>669.77</v>
      </c>
      <c r="S402" s="78">
        <f>ROUND(P402*I402, 2)</f>
        <v>177003.56</v>
      </c>
      <c r="T402" s="14">
        <f>ROUND(I402*ROUND(Q402, 2), 2)</f>
        <v>1855078.62</v>
      </c>
      <c r="U402" s="14">
        <f>S402+T402</f>
        <v>2032082.1800000002</v>
      </c>
    </row>
    <row r="403" spans="1:21" ht="72" x14ac:dyDescent="0.5">
      <c r="A403" s="10" t="s">
        <v>1730</v>
      </c>
      <c r="B403" s="10"/>
      <c r="C403" s="28" t="s">
        <v>914</v>
      </c>
      <c r="D403" s="12"/>
      <c r="E403" s="12" t="s">
        <v>925</v>
      </c>
      <c r="F403" s="29" t="s">
        <v>364</v>
      </c>
      <c r="G403" s="30">
        <v>0.3</v>
      </c>
      <c r="H403" s="30"/>
      <c r="I403" s="100">
        <v>910.2</v>
      </c>
      <c r="J403" s="146"/>
      <c r="K403" s="148"/>
      <c r="L403" s="89"/>
      <c r="M403" s="106"/>
      <c r="N403" s="164"/>
      <c r="O403" s="148"/>
      <c r="P403" s="121">
        <v>149.31</v>
      </c>
      <c r="Q403" s="84"/>
      <c r="R403" s="85"/>
      <c r="S403" s="79">
        <f>ROUND(ROUND(P403, 2)*I403, 2)</f>
        <v>135901.96</v>
      </c>
    </row>
    <row r="404" spans="1:21" ht="25.8" x14ac:dyDescent="0.5">
      <c r="A404" s="10" t="s">
        <v>1733</v>
      </c>
      <c r="B404" s="10"/>
      <c r="C404" s="28" t="s">
        <v>680</v>
      </c>
      <c r="D404" s="12"/>
      <c r="E404" s="12"/>
      <c r="F404" s="29" t="s">
        <v>364</v>
      </c>
      <c r="G404" s="30">
        <v>0.15</v>
      </c>
      <c r="H404" s="30"/>
      <c r="I404" s="100">
        <v>455.1</v>
      </c>
      <c r="J404" s="146"/>
      <c r="K404" s="148"/>
      <c r="L404" s="89"/>
      <c r="M404" s="106"/>
      <c r="N404" s="164"/>
      <c r="O404" s="148"/>
      <c r="P404" s="121">
        <v>90.28</v>
      </c>
      <c r="Q404" s="84"/>
      <c r="R404" s="85"/>
      <c r="S404" s="79">
        <f>ROUND(ROUND(P404, 2)*I404, 2)</f>
        <v>41086.43</v>
      </c>
    </row>
    <row r="405" spans="1:21" ht="54" x14ac:dyDescent="0.3">
      <c r="A405" s="10" t="s">
        <v>1736</v>
      </c>
      <c r="B405" s="10" t="s">
        <v>936</v>
      </c>
      <c r="C405" s="11" t="s">
        <v>937</v>
      </c>
      <c r="D405" s="12"/>
      <c r="E405" s="12" t="s">
        <v>1737</v>
      </c>
      <c r="F405" s="12" t="s">
        <v>61</v>
      </c>
      <c r="G405" s="13">
        <v>1</v>
      </c>
      <c r="H405" s="13"/>
      <c r="I405" s="99">
        <v>4009.8</v>
      </c>
      <c r="J405" s="145"/>
      <c r="K405" s="149"/>
      <c r="L405" s="119"/>
      <c r="M405" s="105"/>
      <c r="N405" s="172"/>
      <c r="O405" s="173"/>
      <c r="P405" s="120">
        <f>IFERROR(ROUND(SUM(S406,S407,S408,S409)/I405, 2),0)</f>
        <v>1625.55</v>
      </c>
      <c r="Q405" s="75">
        <v>3377.13</v>
      </c>
      <c r="R405" s="87">
        <f>P405+ROUND(Q405, 2)</f>
        <v>5002.68</v>
      </c>
      <c r="S405" s="78">
        <f>ROUND(P405*I405, 2)</f>
        <v>6518130.3899999997</v>
      </c>
      <c r="T405" s="14">
        <f>ROUND(I405*ROUND(Q405, 2), 2)</f>
        <v>13541615.869999999</v>
      </c>
      <c r="U405" s="14">
        <f>S405+T405</f>
        <v>20059746.259999998</v>
      </c>
    </row>
    <row r="406" spans="1:21" ht="25.8" x14ac:dyDescent="0.5">
      <c r="A406" s="10" t="s">
        <v>1738</v>
      </c>
      <c r="B406" s="10"/>
      <c r="C406" s="28" t="s">
        <v>943</v>
      </c>
      <c r="D406" s="12"/>
      <c r="E406" s="12"/>
      <c r="F406" s="29" t="s">
        <v>364</v>
      </c>
      <c r="G406" s="30">
        <v>0.25</v>
      </c>
      <c r="H406" s="49"/>
      <c r="I406" s="101">
        <v>1002.45</v>
      </c>
      <c r="J406" s="146"/>
      <c r="K406" s="148"/>
      <c r="L406" s="89"/>
      <c r="M406" s="106"/>
      <c r="N406" s="164"/>
      <c r="O406" s="148"/>
      <c r="P406" s="121">
        <v>40.94</v>
      </c>
      <c r="Q406" s="84"/>
      <c r="R406" s="85"/>
      <c r="S406" s="79">
        <f>ROUND(ROUND(P406, 2)*I406, 2)</f>
        <v>41040.300000000003</v>
      </c>
    </row>
    <row r="407" spans="1:21" ht="25.8" x14ac:dyDescent="0.5">
      <c r="A407" s="10" t="s">
        <v>1741</v>
      </c>
      <c r="B407" s="10"/>
      <c r="C407" s="28" t="s">
        <v>557</v>
      </c>
      <c r="D407" s="12"/>
      <c r="E407" s="12"/>
      <c r="F407" s="29" t="s">
        <v>364</v>
      </c>
      <c r="G407" s="30">
        <v>0.15</v>
      </c>
      <c r="H407" s="30"/>
      <c r="I407" s="100">
        <v>601.47</v>
      </c>
      <c r="J407" s="146"/>
      <c r="K407" s="148"/>
      <c r="L407" s="89"/>
      <c r="M407" s="106"/>
      <c r="N407" s="164"/>
      <c r="O407" s="148"/>
      <c r="P407" s="121">
        <v>69.540000000000006</v>
      </c>
      <c r="Q407" s="84"/>
      <c r="R407" s="85"/>
      <c r="S407" s="79">
        <f>ROUND(ROUND(P407, 2)*I407, 2)</f>
        <v>41826.22</v>
      </c>
    </row>
    <row r="408" spans="1:21" ht="36" x14ac:dyDescent="0.5">
      <c r="A408" s="10" t="s">
        <v>1744</v>
      </c>
      <c r="B408" s="10"/>
      <c r="C408" s="47" t="s">
        <v>797</v>
      </c>
      <c r="D408" s="12"/>
      <c r="E408" s="12"/>
      <c r="F408" s="29" t="s">
        <v>364</v>
      </c>
      <c r="G408" s="30">
        <v>1.2</v>
      </c>
      <c r="H408" s="49"/>
      <c r="I408" s="101">
        <v>24058.799999999999</v>
      </c>
      <c r="J408" s="146"/>
      <c r="K408" s="148"/>
      <c r="L408" s="89"/>
      <c r="M408" s="106"/>
      <c r="N408" s="164"/>
      <c r="O408" s="148"/>
      <c r="P408" s="121">
        <v>16.38</v>
      </c>
      <c r="Q408" s="84"/>
      <c r="R408" s="85"/>
      <c r="S408" s="79">
        <f>ROUND(ROUND(P408, 2)*I408, 2)</f>
        <v>394083.14</v>
      </c>
    </row>
    <row r="409" spans="1:21" ht="54" x14ac:dyDescent="0.5">
      <c r="A409" s="10" t="s">
        <v>1747</v>
      </c>
      <c r="B409" s="10"/>
      <c r="C409" s="47" t="s">
        <v>960</v>
      </c>
      <c r="D409" s="12"/>
      <c r="E409" s="12" t="s">
        <v>961</v>
      </c>
      <c r="F409" s="29" t="s">
        <v>61</v>
      </c>
      <c r="G409" s="30">
        <v>1.07</v>
      </c>
      <c r="H409" s="49"/>
      <c r="I409" s="101">
        <v>4290.4859999999999</v>
      </c>
      <c r="J409" s="146"/>
      <c r="K409" s="148"/>
      <c r="L409" s="89"/>
      <c r="M409" s="106"/>
      <c r="N409" s="164"/>
      <c r="O409" s="148"/>
      <c r="P409" s="121">
        <v>1408.04</v>
      </c>
      <c r="Q409" s="84"/>
      <c r="R409" s="85"/>
      <c r="S409" s="79">
        <f>ROUND(ROUND(P409, 2)*I409, 2)</f>
        <v>6041175.9100000001</v>
      </c>
    </row>
    <row r="410" spans="1:21" ht="16.95" customHeight="1" x14ac:dyDescent="0.5">
      <c r="A410" s="10" t="s">
        <v>1750</v>
      </c>
      <c r="B410" s="10" t="s">
        <v>968</v>
      </c>
      <c r="C410" s="237" t="s">
        <v>969</v>
      </c>
      <c r="D410" s="238"/>
      <c r="E410" s="238"/>
      <c r="F410" s="238"/>
      <c r="G410" s="238"/>
      <c r="H410" s="238"/>
      <c r="I410" s="239"/>
      <c r="J410" s="135"/>
      <c r="K410" s="148"/>
      <c r="L410" s="89"/>
      <c r="M410" s="104"/>
      <c r="N410" s="168"/>
      <c r="O410" s="169"/>
      <c r="P410" s="84"/>
      <c r="Q410" s="84"/>
      <c r="R410" s="85"/>
      <c r="S410" s="77">
        <f>SUM(S411,S420)</f>
        <v>639666.61</v>
      </c>
      <c r="T410" s="6">
        <f>SUM(T411,T420)</f>
        <v>5907154.5299999993</v>
      </c>
      <c r="U410" s="6">
        <f>SUM(U411,U420)</f>
        <v>6546821.1400000006</v>
      </c>
    </row>
    <row r="411" spans="1:21" ht="16.95" customHeight="1" x14ac:dyDescent="0.5">
      <c r="A411" s="10" t="s">
        <v>1751</v>
      </c>
      <c r="B411" s="10" t="s">
        <v>971</v>
      </c>
      <c r="C411" s="237" t="s">
        <v>972</v>
      </c>
      <c r="D411" s="238"/>
      <c r="E411" s="238"/>
      <c r="F411" s="238"/>
      <c r="G411" s="238"/>
      <c r="H411" s="238"/>
      <c r="I411" s="239"/>
      <c r="J411" s="135"/>
      <c r="K411" s="148"/>
      <c r="L411" s="89"/>
      <c r="M411" s="104"/>
      <c r="N411" s="168"/>
      <c r="O411" s="169"/>
      <c r="P411" s="84"/>
      <c r="Q411" s="84"/>
      <c r="R411" s="85"/>
      <c r="S411" s="77">
        <f>SUM(S412,S417)</f>
        <v>318238.45</v>
      </c>
      <c r="T411" s="6">
        <f>SUM(T412,T417)</f>
        <v>2999254</v>
      </c>
      <c r="U411" s="6">
        <f>SUM(U412,U417)</f>
        <v>3317492.45</v>
      </c>
    </row>
    <row r="412" spans="1:21" ht="54" x14ac:dyDescent="0.3">
      <c r="A412" s="10" t="s">
        <v>1752</v>
      </c>
      <c r="B412" s="10" t="s">
        <v>974</v>
      </c>
      <c r="C412" s="11" t="s">
        <v>975</v>
      </c>
      <c r="D412" s="12"/>
      <c r="E412" s="12" t="s">
        <v>1753</v>
      </c>
      <c r="F412" s="12" t="s">
        <v>61</v>
      </c>
      <c r="G412" s="13">
        <v>1</v>
      </c>
      <c r="H412" s="13"/>
      <c r="I412" s="99">
        <v>1500.7</v>
      </c>
      <c r="J412" s="145"/>
      <c r="K412" s="149"/>
      <c r="L412" s="119"/>
      <c r="M412" s="105"/>
      <c r="N412" s="172"/>
      <c r="O412" s="173"/>
      <c r="P412" s="120">
        <f>IFERROR(ROUND(SUM(S413,S414,S415,S416)/I412, 2),0)</f>
        <v>176.45</v>
      </c>
      <c r="Q412" s="75">
        <v>1218.57</v>
      </c>
      <c r="R412" s="87">
        <f>P412+ROUND(Q412, 2)</f>
        <v>1395.02</v>
      </c>
      <c r="S412" s="78">
        <f>ROUND(P412*I412, 2)</f>
        <v>264798.52</v>
      </c>
      <c r="T412" s="14">
        <f>ROUND(I412*ROUND(Q412, 2), 2)</f>
        <v>1828708</v>
      </c>
      <c r="U412" s="14">
        <f>S412+T412</f>
        <v>2093506.52</v>
      </c>
    </row>
    <row r="413" spans="1:21" ht="25.8" x14ac:dyDescent="0.5">
      <c r="A413" s="10" t="s">
        <v>1754</v>
      </c>
      <c r="B413" s="10"/>
      <c r="C413" s="28" t="s">
        <v>859</v>
      </c>
      <c r="D413" s="12"/>
      <c r="E413" s="12"/>
      <c r="F413" s="29" t="s">
        <v>364</v>
      </c>
      <c r="G413" s="30">
        <v>1.3</v>
      </c>
      <c r="H413" s="49"/>
      <c r="I413" s="101">
        <v>19509.099999999999</v>
      </c>
      <c r="J413" s="146"/>
      <c r="K413" s="148"/>
      <c r="L413" s="89"/>
      <c r="M413" s="106"/>
      <c r="N413" s="164"/>
      <c r="O413" s="148"/>
      <c r="P413" s="121">
        <v>9</v>
      </c>
      <c r="Q413" s="84"/>
      <c r="R413" s="85"/>
      <c r="S413" s="79">
        <f>ROUND(ROUND(P413, 2)*I413, 2)</f>
        <v>175581.9</v>
      </c>
    </row>
    <row r="414" spans="1:21" ht="25.8" x14ac:dyDescent="0.5">
      <c r="A414" s="10" t="s">
        <v>1757</v>
      </c>
      <c r="B414" s="10"/>
      <c r="C414" s="28" t="s">
        <v>866</v>
      </c>
      <c r="D414" s="12"/>
      <c r="E414" s="12"/>
      <c r="F414" s="29" t="s">
        <v>61</v>
      </c>
      <c r="G414" s="30">
        <v>1.1000000000000001</v>
      </c>
      <c r="H414" s="49"/>
      <c r="I414" s="101">
        <v>1650.77</v>
      </c>
      <c r="J414" s="146"/>
      <c r="K414" s="148"/>
      <c r="L414" s="89"/>
      <c r="M414" s="106"/>
      <c r="N414" s="164"/>
      <c r="O414" s="148"/>
      <c r="P414" s="121">
        <v>26.44</v>
      </c>
      <c r="Q414" s="84"/>
      <c r="R414" s="85"/>
      <c r="S414" s="79">
        <f>ROUND(ROUND(P414, 2)*I414, 2)</f>
        <v>43646.36</v>
      </c>
    </row>
    <row r="415" spans="1:21" ht="25.8" x14ac:dyDescent="0.5">
      <c r="A415" s="10" t="s">
        <v>1760</v>
      </c>
      <c r="B415" s="10"/>
      <c r="C415" s="28" t="s">
        <v>873</v>
      </c>
      <c r="D415" s="12"/>
      <c r="E415" s="12"/>
      <c r="F415" s="29" t="s">
        <v>76</v>
      </c>
      <c r="G415" s="30">
        <v>1.05</v>
      </c>
      <c r="H415" s="49"/>
      <c r="I415" s="101">
        <v>1575.7349999999999</v>
      </c>
      <c r="J415" s="146"/>
      <c r="K415" s="148"/>
      <c r="L415" s="89"/>
      <c r="M415" s="106"/>
      <c r="N415" s="164"/>
      <c r="O415" s="148"/>
      <c r="P415" s="121">
        <v>16.02</v>
      </c>
      <c r="Q415" s="84"/>
      <c r="R415" s="85"/>
      <c r="S415" s="79">
        <f>ROUND(ROUND(P415, 2)*I415, 2)</f>
        <v>25243.27</v>
      </c>
    </row>
    <row r="416" spans="1:21" ht="36" x14ac:dyDescent="0.5">
      <c r="A416" s="10" t="s">
        <v>1763</v>
      </c>
      <c r="B416" s="10"/>
      <c r="C416" s="28" t="s">
        <v>397</v>
      </c>
      <c r="D416" s="12"/>
      <c r="E416" s="12"/>
      <c r="F416" s="29" t="s">
        <v>364</v>
      </c>
      <c r="G416" s="30">
        <v>0.15</v>
      </c>
      <c r="H416" s="30"/>
      <c r="I416" s="100">
        <v>225.10499999999999</v>
      </c>
      <c r="J416" s="146"/>
      <c r="K416" s="148"/>
      <c r="L416" s="89"/>
      <c r="M416" s="106"/>
      <c r="N416" s="164"/>
      <c r="O416" s="148"/>
      <c r="P416" s="121">
        <v>90.28</v>
      </c>
      <c r="Q416" s="84"/>
      <c r="R416" s="85"/>
      <c r="S416" s="79">
        <f>ROUND(ROUND(P416, 2)*I416, 2)</f>
        <v>20322.48</v>
      </c>
    </row>
    <row r="417" spans="1:21" ht="73.8" customHeight="1" x14ac:dyDescent="0.3">
      <c r="A417" s="10" t="s">
        <v>1766</v>
      </c>
      <c r="B417" s="10" t="s">
        <v>1001</v>
      </c>
      <c r="C417" s="11" t="s">
        <v>1002</v>
      </c>
      <c r="D417" s="12"/>
      <c r="E417" s="12" t="s">
        <v>1753</v>
      </c>
      <c r="F417" s="12" t="s">
        <v>61</v>
      </c>
      <c r="G417" s="13">
        <v>1</v>
      </c>
      <c r="H417" s="13"/>
      <c r="I417" s="99">
        <v>1500.7</v>
      </c>
      <c r="J417" s="145"/>
      <c r="K417" s="149"/>
      <c r="L417" s="119"/>
      <c r="M417" s="105"/>
      <c r="N417" s="172"/>
      <c r="O417" s="173"/>
      <c r="P417" s="120">
        <f>IFERROR(ROUND(SUM(S418,S419)/I417, 2),0)</f>
        <v>35.61</v>
      </c>
      <c r="Q417" s="75">
        <v>780</v>
      </c>
      <c r="R417" s="87">
        <f>P417+ROUND(Q417, 2)</f>
        <v>815.61</v>
      </c>
      <c r="S417" s="78">
        <f>ROUND(P417*I417, 2)</f>
        <v>53439.93</v>
      </c>
      <c r="T417" s="14">
        <f>ROUND(I417*ROUND(Q417, 2), 2)</f>
        <v>1170546</v>
      </c>
      <c r="U417" s="14">
        <f>S417+T417</f>
        <v>1223985.93</v>
      </c>
    </row>
    <row r="418" spans="1:21" ht="36" x14ac:dyDescent="0.5">
      <c r="A418" s="10" t="s">
        <v>1767</v>
      </c>
      <c r="B418" s="10"/>
      <c r="C418" s="47" t="s">
        <v>1007</v>
      </c>
      <c r="D418" s="12"/>
      <c r="E418" s="12"/>
      <c r="F418" s="29" t="s">
        <v>364</v>
      </c>
      <c r="G418" s="30">
        <v>1.8</v>
      </c>
      <c r="H418" s="30"/>
      <c r="I418" s="100">
        <v>2701.26</v>
      </c>
      <c r="J418" s="146"/>
      <c r="K418" s="148"/>
      <c r="L418" s="89"/>
      <c r="M418" s="106"/>
      <c r="N418" s="164"/>
      <c r="O418" s="148"/>
      <c r="P418" s="121">
        <v>12.26</v>
      </c>
      <c r="Q418" s="84"/>
      <c r="R418" s="85"/>
      <c r="S418" s="79">
        <f>ROUND(ROUND(P418, 2)*I418, 2)</f>
        <v>33117.449999999997</v>
      </c>
    </row>
    <row r="419" spans="1:21" ht="36" x14ac:dyDescent="0.5">
      <c r="A419" s="10" t="s">
        <v>1770</v>
      </c>
      <c r="B419" s="10"/>
      <c r="C419" s="28" t="s">
        <v>397</v>
      </c>
      <c r="D419" s="12"/>
      <c r="E419" s="12"/>
      <c r="F419" s="29" t="s">
        <v>364</v>
      </c>
      <c r="G419" s="30">
        <v>0.15</v>
      </c>
      <c r="H419" s="30"/>
      <c r="I419" s="100">
        <v>225.10499999999999</v>
      </c>
      <c r="J419" s="146"/>
      <c r="K419" s="148"/>
      <c r="L419" s="89"/>
      <c r="M419" s="106"/>
      <c r="N419" s="164"/>
      <c r="O419" s="148"/>
      <c r="P419" s="121">
        <v>90.28</v>
      </c>
      <c r="Q419" s="84"/>
      <c r="R419" s="85"/>
      <c r="S419" s="79">
        <f>ROUND(ROUND(P419, 2)*I419, 2)</f>
        <v>20322.48</v>
      </c>
    </row>
    <row r="420" spans="1:21" ht="16.95" customHeight="1" x14ac:dyDescent="0.5">
      <c r="A420" s="10" t="s">
        <v>1773</v>
      </c>
      <c r="B420" s="10" t="s">
        <v>1019</v>
      </c>
      <c r="C420" s="237" t="s">
        <v>1020</v>
      </c>
      <c r="D420" s="238"/>
      <c r="E420" s="238"/>
      <c r="F420" s="238"/>
      <c r="G420" s="238"/>
      <c r="H420" s="238"/>
      <c r="I420" s="239"/>
      <c r="J420" s="135"/>
      <c r="K420" s="148"/>
      <c r="L420" s="89"/>
      <c r="M420" s="104"/>
      <c r="N420" s="168"/>
      <c r="O420" s="169"/>
      <c r="P420" s="84"/>
      <c r="Q420" s="84"/>
      <c r="R420" s="85"/>
      <c r="S420" s="77">
        <f>SUM(S421,S424,S427,S430)</f>
        <v>321428.15999999997</v>
      </c>
      <c r="T420" s="6">
        <f>SUM(T421,T424,T427,T430)</f>
        <v>2907900.53</v>
      </c>
      <c r="U420" s="6">
        <f>SUM(U421,U424,U427,U430)</f>
        <v>3229328.69</v>
      </c>
    </row>
    <row r="421" spans="1:21" ht="36" x14ac:dyDescent="0.3">
      <c r="A421" s="10" t="s">
        <v>1774</v>
      </c>
      <c r="B421" s="10" t="s">
        <v>1022</v>
      </c>
      <c r="C421" s="11" t="s">
        <v>1023</v>
      </c>
      <c r="D421" s="12"/>
      <c r="E421" s="12" t="s">
        <v>1775</v>
      </c>
      <c r="F421" s="12" t="s">
        <v>61</v>
      </c>
      <c r="G421" s="13">
        <v>1</v>
      </c>
      <c r="H421" s="13"/>
      <c r="I421" s="99">
        <v>2326.3000000000002</v>
      </c>
      <c r="J421" s="145"/>
      <c r="K421" s="149"/>
      <c r="L421" s="119"/>
      <c r="M421" s="105"/>
      <c r="N421" s="172"/>
      <c r="O421" s="173"/>
      <c r="P421" s="120">
        <f>IFERROR(ROUND(SUM(S422,S423)/I421, 2),0)</f>
        <v>73.27</v>
      </c>
      <c r="Q421" s="75">
        <v>662.86</v>
      </c>
      <c r="R421" s="87">
        <f>P421+ROUND(Q421, 2)</f>
        <v>736.13</v>
      </c>
      <c r="S421" s="78">
        <f>ROUND(P421*I421, 2)</f>
        <v>170448</v>
      </c>
      <c r="T421" s="14">
        <f>ROUND(I421*ROUND(Q421, 2), 2)</f>
        <v>1542011.22</v>
      </c>
      <c r="U421" s="14">
        <f>S421+T421</f>
        <v>1712459.22</v>
      </c>
    </row>
    <row r="422" spans="1:21" ht="108" x14ac:dyDescent="0.5">
      <c r="A422" s="10" t="s">
        <v>1776</v>
      </c>
      <c r="B422" s="10"/>
      <c r="C422" s="28" t="s">
        <v>1029</v>
      </c>
      <c r="D422" s="12"/>
      <c r="E422" s="12" t="s">
        <v>1030</v>
      </c>
      <c r="F422" s="29" t="s">
        <v>364</v>
      </c>
      <c r="G422" s="30">
        <v>0.4</v>
      </c>
      <c r="H422" s="30"/>
      <c r="I422" s="100">
        <v>930.52</v>
      </c>
      <c r="J422" s="146"/>
      <c r="K422" s="148"/>
      <c r="L422" s="89"/>
      <c r="M422" s="106"/>
      <c r="N422" s="164"/>
      <c r="O422" s="148"/>
      <c r="P422" s="121">
        <v>149.31</v>
      </c>
      <c r="Q422" s="84"/>
      <c r="R422" s="85"/>
      <c r="S422" s="79">
        <f>ROUND(ROUND(P422, 2)*I422, 2)</f>
        <v>138935.94</v>
      </c>
    </row>
    <row r="423" spans="1:21" ht="25.8" x14ac:dyDescent="0.5">
      <c r="A423" s="10" t="s">
        <v>1779</v>
      </c>
      <c r="B423" s="10"/>
      <c r="C423" s="28" t="s">
        <v>680</v>
      </c>
      <c r="D423" s="12"/>
      <c r="E423" s="12"/>
      <c r="F423" s="29" t="s">
        <v>364</v>
      </c>
      <c r="G423" s="30">
        <v>0.15</v>
      </c>
      <c r="H423" s="30"/>
      <c r="I423" s="100">
        <v>348.94499999999999</v>
      </c>
      <c r="J423" s="146"/>
      <c r="K423" s="148"/>
      <c r="L423" s="89"/>
      <c r="M423" s="106"/>
      <c r="N423" s="164"/>
      <c r="O423" s="148"/>
      <c r="P423" s="121">
        <v>90.28</v>
      </c>
      <c r="Q423" s="84"/>
      <c r="R423" s="85"/>
      <c r="S423" s="79">
        <f>ROUND(ROUND(P423, 2)*I423, 2)</f>
        <v>31502.75</v>
      </c>
    </row>
    <row r="424" spans="1:21" ht="36" x14ac:dyDescent="0.3">
      <c r="A424" s="10" t="s">
        <v>1782</v>
      </c>
      <c r="B424" s="10" t="s">
        <v>1022</v>
      </c>
      <c r="C424" s="11" t="s">
        <v>1023</v>
      </c>
      <c r="D424" s="12"/>
      <c r="E424" s="12" t="s">
        <v>1783</v>
      </c>
      <c r="F424" s="12" t="s">
        <v>61</v>
      </c>
      <c r="G424" s="13">
        <v>1</v>
      </c>
      <c r="H424" s="13"/>
      <c r="I424" s="99">
        <v>559.9</v>
      </c>
      <c r="J424" s="145"/>
      <c r="K424" s="149"/>
      <c r="L424" s="119"/>
      <c r="M424" s="105"/>
      <c r="N424" s="172"/>
      <c r="O424" s="173"/>
      <c r="P424" s="120">
        <f>IFERROR(ROUND(SUM(S425,S426)/I424, 2),0)</f>
        <v>73.27</v>
      </c>
      <c r="Q424" s="75">
        <v>662.86</v>
      </c>
      <c r="R424" s="87">
        <f>P424+ROUND(Q424, 2)</f>
        <v>736.13</v>
      </c>
      <c r="S424" s="78">
        <f>ROUND(P424*I424, 2)</f>
        <v>41023.870000000003</v>
      </c>
      <c r="T424" s="14">
        <f>ROUND(I424*ROUND(Q424, 2), 2)</f>
        <v>371135.31</v>
      </c>
      <c r="U424" s="14">
        <f>S424+T424</f>
        <v>412159.18</v>
      </c>
    </row>
    <row r="425" spans="1:21" ht="25.8" x14ac:dyDescent="0.5">
      <c r="A425" s="10" t="s">
        <v>1784</v>
      </c>
      <c r="B425" s="10"/>
      <c r="C425" s="28" t="s">
        <v>680</v>
      </c>
      <c r="D425" s="12"/>
      <c r="E425" s="12"/>
      <c r="F425" s="29" t="s">
        <v>364</v>
      </c>
      <c r="G425" s="30">
        <v>0.15</v>
      </c>
      <c r="H425" s="30"/>
      <c r="I425" s="100">
        <v>83.984999999999999</v>
      </c>
      <c r="J425" s="146"/>
      <c r="K425" s="148"/>
      <c r="L425" s="89"/>
      <c r="M425" s="106"/>
      <c r="N425" s="164"/>
      <c r="O425" s="148"/>
      <c r="P425" s="121">
        <v>90.28</v>
      </c>
      <c r="Q425" s="84"/>
      <c r="R425" s="85"/>
      <c r="S425" s="79">
        <f>ROUND(ROUND(P425, 2)*I425, 2)</f>
        <v>7582.17</v>
      </c>
    </row>
    <row r="426" spans="1:21" ht="72" x14ac:dyDescent="0.5">
      <c r="A426" s="10" t="s">
        <v>1787</v>
      </c>
      <c r="B426" s="10"/>
      <c r="C426" s="28" t="s">
        <v>1029</v>
      </c>
      <c r="D426" s="12"/>
      <c r="E426" s="12" t="s">
        <v>1050</v>
      </c>
      <c r="F426" s="29" t="s">
        <v>364</v>
      </c>
      <c r="G426" s="30">
        <v>0.4</v>
      </c>
      <c r="H426" s="30"/>
      <c r="I426" s="100">
        <v>223.96</v>
      </c>
      <c r="J426" s="146"/>
      <c r="K426" s="148"/>
      <c r="L426" s="89"/>
      <c r="M426" s="106"/>
      <c r="N426" s="164"/>
      <c r="O426" s="148"/>
      <c r="P426" s="121">
        <v>149.31</v>
      </c>
      <c r="Q426" s="84"/>
      <c r="R426" s="85"/>
      <c r="S426" s="79">
        <f>ROUND(ROUND(P426, 2)*I426, 2)</f>
        <v>33439.47</v>
      </c>
    </row>
    <row r="427" spans="1:21" ht="36" x14ac:dyDescent="0.3">
      <c r="A427" s="10" t="s">
        <v>1790</v>
      </c>
      <c r="B427" s="10" t="s">
        <v>1022</v>
      </c>
      <c r="C427" s="11" t="s">
        <v>1023</v>
      </c>
      <c r="D427" s="12"/>
      <c r="E427" s="12" t="s">
        <v>1791</v>
      </c>
      <c r="F427" s="12" t="s">
        <v>61</v>
      </c>
      <c r="G427" s="13">
        <v>1</v>
      </c>
      <c r="H427" s="13"/>
      <c r="I427" s="99">
        <v>568.5</v>
      </c>
      <c r="J427" s="145"/>
      <c r="K427" s="149"/>
      <c r="L427" s="119"/>
      <c r="M427" s="105"/>
      <c r="N427" s="172"/>
      <c r="O427" s="173"/>
      <c r="P427" s="120">
        <f>IFERROR(ROUND(SUM(S428,S429)/I427, 2),0)</f>
        <v>73.27</v>
      </c>
      <c r="Q427" s="75">
        <v>662.86</v>
      </c>
      <c r="R427" s="87">
        <f>P427+ROUND(Q427, 2)</f>
        <v>736.13</v>
      </c>
      <c r="S427" s="78">
        <f>ROUND(P427*I427, 2)</f>
        <v>41654</v>
      </c>
      <c r="T427" s="14">
        <f>ROUND(I427*ROUND(Q427, 2), 2)</f>
        <v>376835.91</v>
      </c>
      <c r="U427" s="14">
        <f>S427+T427</f>
        <v>418489.91</v>
      </c>
    </row>
    <row r="428" spans="1:21" ht="54" x14ac:dyDescent="0.5">
      <c r="A428" s="10" t="s">
        <v>1792</v>
      </c>
      <c r="B428" s="10"/>
      <c r="C428" s="28" t="s">
        <v>1029</v>
      </c>
      <c r="D428" s="12"/>
      <c r="E428" s="12" t="s">
        <v>1059</v>
      </c>
      <c r="F428" s="29" t="s">
        <v>364</v>
      </c>
      <c r="G428" s="30">
        <v>0.4</v>
      </c>
      <c r="H428" s="30"/>
      <c r="I428" s="100">
        <v>227.4</v>
      </c>
      <c r="J428" s="146"/>
      <c r="K428" s="148"/>
      <c r="L428" s="89"/>
      <c r="M428" s="106"/>
      <c r="N428" s="164"/>
      <c r="O428" s="148"/>
      <c r="P428" s="121">
        <v>149.31</v>
      </c>
      <c r="Q428" s="84"/>
      <c r="R428" s="85"/>
      <c r="S428" s="79">
        <f>ROUND(ROUND(P428, 2)*I428, 2)</f>
        <v>33953.089999999997</v>
      </c>
    </row>
    <row r="429" spans="1:21" ht="25.8" x14ac:dyDescent="0.5">
      <c r="A429" s="10" t="s">
        <v>1795</v>
      </c>
      <c r="B429" s="10"/>
      <c r="C429" s="28" t="s">
        <v>680</v>
      </c>
      <c r="D429" s="12"/>
      <c r="E429" s="12"/>
      <c r="F429" s="29" t="s">
        <v>364</v>
      </c>
      <c r="G429" s="30">
        <v>0.15</v>
      </c>
      <c r="H429" s="30"/>
      <c r="I429" s="100">
        <v>85.275000000000006</v>
      </c>
      <c r="J429" s="146"/>
      <c r="K429" s="148"/>
      <c r="L429" s="89"/>
      <c r="M429" s="106"/>
      <c r="N429" s="164"/>
      <c r="O429" s="148"/>
      <c r="P429" s="121">
        <v>90.28</v>
      </c>
      <c r="Q429" s="84"/>
      <c r="R429" s="85"/>
      <c r="S429" s="79">
        <f>ROUND(ROUND(P429, 2)*I429, 2)</f>
        <v>7698.63</v>
      </c>
    </row>
    <row r="430" spans="1:21" ht="36" x14ac:dyDescent="0.3">
      <c r="A430" s="10" t="s">
        <v>1798</v>
      </c>
      <c r="B430" s="10" t="s">
        <v>1022</v>
      </c>
      <c r="C430" s="11" t="s">
        <v>1023</v>
      </c>
      <c r="D430" s="12"/>
      <c r="E430" s="12" t="s">
        <v>1799</v>
      </c>
      <c r="F430" s="12" t="s">
        <v>61</v>
      </c>
      <c r="G430" s="13">
        <v>1</v>
      </c>
      <c r="H430" s="13"/>
      <c r="I430" s="99">
        <v>932.2</v>
      </c>
      <c r="J430" s="145"/>
      <c r="K430" s="149"/>
      <c r="L430" s="119"/>
      <c r="M430" s="105"/>
      <c r="N430" s="172"/>
      <c r="O430" s="173"/>
      <c r="P430" s="120">
        <f>IFERROR(ROUND(SUM(S431,S432)/I430, 2),0)</f>
        <v>73.27</v>
      </c>
      <c r="Q430" s="75">
        <v>662.86</v>
      </c>
      <c r="R430" s="87">
        <f>P430+ROUND(Q430, 2)</f>
        <v>736.13</v>
      </c>
      <c r="S430" s="78">
        <f>ROUND(P430*I430, 2)</f>
        <v>68302.289999999994</v>
      </c>
      <c r="T430" s="14">
        <f>ROUND(I430*ROUND(Q430, 2), 2)</f>
        <v>617918.09</v>
      </c>
      <c r="U430" s="14">
        <f>S430+T430</f>
        <v>686220.38</v>
      </c>
    </row>
    <row r="431" spans="1:21" ht="25.8" x14ac:dyDescent="0.5">
      <c r="A431" s="10" t="s">
        <v>1800</v>
      </c>
      <c r="B431" s="10"/>
      <c r="C431" s="28" t="s">
        <v>680</v>
      </c>
      <c r="D431" s="12"/>
      <c r="E431" s="12"/>
      <c r="F431" s="29" t="s">
        <v>364</v>
      </c>
      <c r="G431" s="30">
        <v>0.15</v>
      </c>
      <c r="H431" s="30"/>
      <c r="I431" s="100">
        <v>139.83000000000001</v>
      </c>
      <c r="J431" s="146"/>
      <c r="K431" s="148"/>
      <c r="L431" s="89"/>
      <c r="M431" s="106"/>
      <c r="N431" s="164"/>
      <c r="O431" s="148"/>
      <c r="P431" s="121">
        <v>90.28</v>
      </c>
      <c r="Q431" s="84"/>
      <c r="R431" s="85"/>
      <c r="S431" s="79">
        <f>ROUND(ROUND(P431, 2)*I431, 2)</f>
        <v>12623.85</v>
      </c>
    </row>
    <row r="432" spans="1:21" ht="54" x14ac:dyDescent="0.5">
      <c r="A432" s="10" t="s">
        <v>1803</v>
      </c>
      <c r="B432" s="10"/>
      <c r="C432" s="28" t="s">
        <v>1029</v>
      </c>
      <c r="D432" s="12"/>
      <c r="E432" s="12" t="s">
        <v>1078</v>
      </c>
      <c r="F432" s="29" t="s">
        <v>364</v>
      </c>
      <c r="G432" s="30">
        <v>0.4</v>
      </c>
      <c r="H432" s="30"/>
      <c r="I432" s="100">
        <v>372.88</v>
      </c>
      <c r="J432" s="146"/>
      <c r="K432" s="148"/>
      <c r="L432" s="89"/>
      <c r="M432" s="106"/>
      <c r="N432" s="164"/>
      <c r="O432" s="148"/>
      <c r="P432" s="121">
        <v>149.31</v>
      </c>
      <c r="Q432" s="84"/>
      <c r="R432" s="85"/>
      <c r="S432" s="79">
        <f>ROUND(ROUND(P432, 2)*I432, 2)</f>
        <v>55674.71</v>
      </c>
    </row>
    <row r="433" spans="1:21" ht="16.95" customHeight="1" x14ac:dyDescent="0.5">
      <c r="A433" s="10" t="s">
        <v>1806</v>
      </c>
      <c r="B433" s="10" t="s">
        <v>1084</v>
      </c>
      <c r="C433" s="237" t="s">
        <v>1085</v>
      </c>
      <c r="D433" s="238"/>
      <c r="E433" s="238"/>
      <c r="F433" s="238"/>
      <c r="G433" s="238"/>
      <c r="H433" s="238"/>
      <c r="I433" s="239"/>
      <c r="J433" s="135"/>
      <c r="K433" s="148"/>
      <c r="L433" s="89"/>
      <c r="M433" s="104"/>
      <c r="N433" s="168"/>
      <c r="O433" s="169"/>
      <c r="P433" s="84"/>
      <c r="Q433" s="84"/>
      <c r="R433" s="85"/>
      <c r="S433" s="77">
        <f>SUM(S434,S436,S438,S439,S451,S463,S475)</f>
        <v>9826697.4299999997</v>
      </c>
      <c r="T433" s="6">
        <f>SUM(T434,T436,T438,T439,T451,T463,T475)</f>
        <v>8111266.1399999997</v>
      </c>
      <c r="U433" s="6">
        <f>SUM(U434,U436,U438,U439,U451,U463,U475)</f>
        <v>17937963.569999997</v>
      </c>
    </row>
    <row r="434" spans="1:21" ht="90" x14ac:dyDescent="0.3">
      <c r="A434" s="10" t="s">
        <v>1807</v>
      </c>
      <c r="B434" s="10" t="s">
        <v>1087</v>
      </c>
      <c r="C434" s="11" t="s">
        <v>1088</v>
      </c>
      <c r="D434" s="12"/>
      <c r="E434" s="12" t="s">
        <v>1808</v>
      </c>
      <c r="F434" s="12" t="s">
        <v>61</v>
      </c>
      <c r="G434" s="13">
        <v>1</v>
      </c>
      <c r="H434" s="13"/>
      <c r="I434" s="99">
        <v>1034.5</v>
      </c>
      <c r="J434" s="145"/>
      <c r="K434" s="149"/>
      <c r="L434" s="119"/>
      <c r="M434" s="105"/>
      <c r="N434" s="172"/>
      <c r="O434" s="173"/>
      <c r="P434" s="120">
        <f>IFERROR(ROUND(SUM(S435)/I434, 2),0)</f>
        <v>7245.69</v>
      </c>
      <c r="Q434" s="75">
        <v>1195.71</v>
      </c>
      <c r="R434" s="87">
        <f>P434+ROUND(Q434, 2)</f>
        <v>8441.4</v>
      </c>
      <c r="S434" s="78">
        <f>ROUND(P434*I434, 2)</f>
        <v>7495666.3099999996</v>
      </c>
      <c r="T434" s="14">
        <f>ROUND(I434*ROUND(Q434, 2), 2)</f>
        <v>1236962</v>
      </c>
      <c r="U434" s="14">
        <f>S434+T434</f>
        <v>8732628.3099999987</v>
      </c>
    </row>
    <row r="435" spans="1:21" ht="36" x14ac:dyDescent="0.5">
      <c r="A435" s="10" t="s">
        <v>1809</v>
      </c>
      <c r="B435" s="10"/>
      <c r="C435" s="28" t="s">
        <v>1094</v>
      </c>
      <c r="D435" s="12"/>
      <c r="E435" s="12"/>
      <c r="F435" s="29" t="s">
        <v>61</v>
      </c>
      <c r="G435" s="30">
        <v>1.1000000000000001</v>
      </c>
      <c r="H435" s="49"/>
      <c r="I435" s="101">
        <v>1137.95</v>
      </c>
      <c r="J435" s="146"/>
      <c r="K435" s="148"/>
      <c r="L435" s="89"/>
      <c r="M435" s="106"/>
      <c r="N435" s="164"/>
      <c r="O435" s="148"/>
      <c r="P435" s="121">
        <v>6586.99</v>
      </c>
      <c r="Q435" s="84"/>
      <c r="R435" s="85"/>
      <c r="S435" s="79">
        <f>ROUND(ROUND(P435, 2)*I435, 2)</f>
        <v>7495665.2699999996</v>
      </c>
    </row>
    <row r="436" spans="1:21" ht="90" x14ac:dyDescent="0.3">
      <c r="A436" s="10" t="s">
        <v>1812</v>
      </c>
      <c r="B436" s="10" t="s">
        <v>1087</v>
      </c>
      <c r="C436" s="11" t="s">
        <v>1088</v>
      </c>
      <c r="D436" s="12"/>
      <c r="E436" s="12" t="s">
        <v>1101</v>
      </c>
      <c r="F436" s="12" t="s">
        <v>61</v>
      </c>
      <c r="G436" s="13">
        <v>1</v>
      </c>
      <c r="H436" s="13"/>
      <c r="I436" s="99">
        <v>180.2</v>
      </c>
      <c r="J436" s="145"/>
      <c r="K436" s="149"/>
      <c r="L436" s="119"/>
      <c r="M436" s="105"/>
      <c r="N436" s="172"/>
      <c r="O436" s="173"/>
      <c r="P436" s="120">
        <f>IFERROR(ROUND(SUM(S437)/I436, 2),0)</f>
        <v>1301.74</v>
      </c>
      <c r="Q436" s="75">
        <v>1195.71</v>
      </c>
      <c r="R436" s="87">
        <f>P436+ROUND(Q436, 2)</f>
        <v>2497.4499999999998</v>
      </c>
      <c r="S436" s="78">
        <f>ROUND(P436*I436, 2)</f>
        <v>234573.55</v>
      </c>
      <c r="T436" s="14">
        <f>ROUND(I436*ROUND(Q436, 2), 2)</f>
        <v>215466.94</v>
      </c>
      <c r="U436" s="14">
        <f>S436+T436</f>
        <v>450040.49</v>
      </c>
    </row>
    <row r="437" spans="1:21" ht="25.8" x14ac:dyDescent="0.5">
      <c r="A437" s="10" t="s">
        <v>1813</v>
      </c>
      <c r="B437" s="10"/>
      <c r="C437" s="28" t="s">
        <v>1104</v>
      </c>
      <c r="D437" s="12"/>
      <c r="E437" s="12"/>
      <c r="F437" s="29" t="s">
        <v>61</v>
      </c>
      <c r="G437" s="30">
        <v>1.1000000000000001</v>
      </c>
      <c r="H437" s="49"/>
      <c r="I437" s="101">
        <v>198.22</v>
      </c>
      <c r="J437" s="146"/>
      <c r="K437" s="148"/>
      <c r="L437" s="89"/>
      <c r="M437" s="106"/>
      <c r="N437" s="164"/>
      <c r="O437" s="148"/>
      <c r="P437" s="121">
        <v>1183.4000000000001</v>
      </c>
      <c r="Q437" s="84"/>
      <c r="R437" s="85"/>
      <c r="S437" s="79">
        <f>ROUND(ROUND(P437, 2)*I437, 2)</f>
        <v>234573.55</v>
      </c>
    </row>
    <row r="438" spans="1:21" ht="54" x14ac:dyDescent="0.3">
      <c r="A438" s="10" t="s">
        <v>1816</v>
      </c>
      <c r="B438" s="10" t="s">
        <v>1111</v>
      </c>
      <c r="C438" s="11" t="s">
        <v>1112</v>
      </c>
      <c r="D438" s="12"/>
      <c r="E438" s="12" t="s">
        <v>1817</v>
      </c>
      <c r="F438" s="12" t="s">
        <v>61</v>
      </c>
      <c r="G438" s="13">
        <v>1</v>
      </c>
      <c r="H438" s="13"/>
      <c r="I438" s="99">
        <v>4271.5</v>
      </c>
      <c r="J438" s="145"/>
      <c r="K438" s="149"/>
      <c r="L438" s="119"/>
      <c r="M438" s="105"/>
      <c r="N438" s="172"/>
      <c r="O438" s="173"/>
      <c r="P438" s="120">
        <v>0</v>
      </c>
      <c r="Q438" s="75">
        <v>172.85</v>
      </c>
      <c r="R438" s="87">
        <f>P438+ROUND(Q438, 2)</f>
        <v>172.85</v>
      </c>
      <c r="S438" s="78">
        <v>0</v>
      </c>
      <c r="T438" s="14">
        <f>ROUND(I438*ROUND(Q438, 2), 2)</f>
        <v>738328.78</v>
      </c>
      <c r="U438" s="14">
        <f>S438+T438</f>
        <v>738328.78</v>
      </c>
    </row>
    <row r="439" spans="1:21" ht="72" x14ac:dyDescent="0.3">
      <c r="A439" s="10" t="s">
        <v>1818</v>
      </c>
      <c r="B439" s="10" t="s">
        <v>1118</v>
      </c>
      <c r="C439" s="11" t="s">
        <v>1119</v>
      </c>
      <c r="D439" s="12"/>
      <c r="E439" s="12" t="s">
        <v>1819</v>
      </c>
      <c r="F439" s="12" t="s">
        <v>61</v>
      </c>
      <c r="G439" s="13">
        <v>1</v>
      </c>
      <c r="H439" s="13"/>
      <c r="I439" s="99">
        <v>2326.3000000000002</v>
      </c>
      <c r="J439" s="145"/>
      <c r="K439" s="149"/>
      <c r="L439" s="119"/>
      <c r="M439" s="105"/>
      <c r="N439" s="172"/>
      <c r="O439" s="173"/>
      <c r="P439" s="120">
        <f>IFERROR(ROUND(SUM(S440,S441,S442,S443,S444,S445,S446,S447,S448,S449,S450)/I439, 2),0)</f>
        <v>615.64</v>
      </c>
      <c r="Q439" s="75">
        <v>1970</v>
      </c>
      <c r="R439" s="87">
        <f>P439+ROUND(Q439, 2)</f>
        <v>2585.64</v>
      </c>
      <c r="S439" s="78">
        <f>ROUND(P439*I439, 2)</f>
        <v>1432163.33</v>
      </c>
      <c r="T439" s="14">
        <f>ROUND(I439*ROUND(Q439, 2), 2)</f>
        <v>4582811</v>
      </c>
      <c r="U439" s="14">
        <f>S439+T439</f>
        <v>6014974.3300000001</v>
      </c>
    </row>
    <row r="440" spans="1:21" ht="25.8" x14ac:dyDescent="0.5">
      <c r="A440" s="10" t="s">
        <v>1820</v>
      </c>
      <c r="B440" s="10"/>
      <c r="C440" s="28" t="s">
        <v>1125</v>
      </c>
      <c r="D440" s="12"/>
      <c r="E440" s="12"/>
      <c r="F440" s="29" t="s">
        <v>356</v>
      </c>
      <c r="G440" s="30">
        <v>15</v>
      </c>
      <c r="H440" s="30"/>
      <c r="I440" s="100">
        <v>34894.5</v>
      </c>
      <c r="J440" s="146"/>
      <c r="K440" s="148"/>
      <c r="L440" s="89"/>
      <c r="M440" s="106"/>
      <c r="N440" s="164"/>
      <c r="O440" s="148"/>
      <c r="P440" s="121">
        <v>0.96</v>
      </c>
      <c r="Q440" s="84"/>
      <c r="R440" s="85"/>
      <c r="S440" s="79">
        <f t="shared" ref="S440:S450" si="7">ROUND(ROUND(P440, 2)*I440, 2)</f>
        <v>33498.720000000001</v>
      </c>
    </row>
    <row r="441" spans="1:21" ht="25.8" x14ac:dyDescent="0.5">
      <c r="A441" s="10" t="s">
        <v>1823</v>
      </c>
      <c r="B441" s="10"/>
      <c r="C441" s="28" t="s">
        <v>1132</v>
      </c>
      <c r="D441" s="12"/>
      <c r="E441" s="12"/>
      <c r="F441" s="29" t="s">
        <v>364</v>
      </c>
      <c r="G441" s="30">
        <v>0.35</v>
      </c>
      <c r="H441" s="30"/>
      <c r="I441" s="100">
        <v>814.20500000000004</v>
      </c>
      <c r="J441" s="146"/>
      <c r="K441" s="148"/>
      <c r="L441" s="89"/>
      <c r="M441" s="106"/>
      <c r="N441" s="164"/>
      <c r="O441" s="148"/>
      <c r="P441" s="121">
        <v>55.91</v>
      </c>
      <c r="Q441" s="84"/>
      <c r="R441" s="85"/>
      <c r="S441" s="79">
        <f t="shared" si="7"/>
        <v>45522.2</v>
      </c>
    </row>
    <row r="442" spans="1:21" ht="25.8" x14ac:dyDescent="0.5">
      <c r="A442" s="10" t="s">
        <v>1826</v>
      </c>
      <c r="B442" s="10"/>
      <c r="C442" s="28" t="s">
        <v>1139</v>
      </c>
      <c r="D442" s="12"/>
      <c r="E442" s="12"/>
      <c r="F442" s="29" t="s">
        <v>356</v>
      </c>
      <c r="G442" s="30">
        <v>0.3</v>
      </c>
      <c r="H442" s="30"/>
      <c r="I442" s="100">
        <v>697.89</v>
      </c>
      <c r="J442" s="146"/>
      <c r="K442" s="148"/>
      <c r="L442" s="89"/>
      <c r="M442" s="106"/>
      <c r="N442" s="164"/>
      <c r="O442" s="148"/>
      <c r="P442" s="121">
        <v>5.7</v>
      </c>
      <c r="Q442" s="84"/>
      <c r="R442" s="85"/>
      <c r="S442" s="79">
        <f t="shared" si="7"/>
        <v>3977.97</v>
      </c>
    </row>
    <row r="443" spans="1:21" ht="36" x14ac:dyDescent="0.5">
      <c r="A443" s="10" t="s">
        <v>1829</v>
      </c>
      <c r="B443" s="10"/>
      <c r="C443" s="47" t="s">
        <v>1146</v>
      </c>
      <c r="D443" s="12"/>
      <c r="E443" s="12"/>
      <c r="F443" s="29" t="s">
        <v>356</v>
      </c>
      <c r="G443" s="30">
        <v>3.6</v>
      </c>
      <c r="H443" s="30"/>
      <c r="I443" s="100">
        <v>8374.68</v>
      </c>
      <c r="J443" s="146"/>
      <c r="K443" s="148"/>
      <c r="L443" s="89"/>
      <c r="M443" s="106"/>
      <c r="N443" s="164"/>
      <c r="O443" s="148"/>
      <c r="P443" s="121">
        <v>16.170000000000002</v>
      </c>
      <c r="Q443" s="84"/>
      <c r="R443" s="85"/>
      <c r="S443" s="79">
        <f t="shared" si="7"/>
        <v>135418.57999999999</v>
      </c>
    </row>
    <row r="444" spans="1:21" ht="25.8" x14ac:dyDescent="0.5">
      <c r="A444" s="10" t="s">
        <v>1832</v>
      </c>
      <c r="B444" s="10"/>
      <c r="C444" s="28" t="s">
        <v>1153</v>
      </c>
      <c r="D444" s="12"/>
      <c r="E444" s="12"/>
      <c r="F444" s="29" t="s">
        <v>76</v>
      </c>
      <c r="G444" s="30">
        <v>1.2</v>
      </c>
      <c r="H444" s="30"/>
      <c r="I444" s="100">
        <v>2791.56</v>
      </c>
      <c r="J444" s="146"/>
      <c r="K444" s="148"/>
      <c r="L444" s="89"/>
      <c r="M444" s="106"/>
      <c r="N444" s="164"/>
      <c r="O444" s="148"/>
      <c r="P444" s="121">
        <v>23.2</v>
      </c>
      <c r="Q444" s="84"/>
      <c r="R444" s="85"/>
      <c r="S444" s="79">
        <f t="shared" si="7"/>
        <v>64764.19</v>
      </c>
    </row>
    <row r="445" spans="1:21" ht="25.8" x14ac:dyDescent="0.5">
      <c r="A445" s="10" t="s">
        <v>1835</v>
      </c>
      <c r="B445" s="10"/>
      <c r="C445" s="28" t="s">
        <v>1160</v>
      </c>
      <c r="D445" s="12"/>
      <c r="E445" s="12"/>
      <c r="F445" s="29" t="s">
        <v>76</v>
      </c>
      <c r="G445" s="30">
        <v>4.7</v>
      </c>
      <c r="H445" s="30"/>
      <c r="I445" s="100">
        <v>10933.61</v>
      </c>
      <c r="J445" s="146"/>
      <c r="K445" s="148"/>
      <c r="L445" s="89"/>
      <c r="M445" s="106"/>
      <c r="N445" s="164"/>
      <c r="O445" s="148"/>
      <c r="P445" s="121">
        <v>68.099999999999994</v>
      </c>
      <c r="Q445" s="84"/>
      <c r="R445" s="85"/>
      <c r="S445" s="79">
        <f t="shared" si="7"/>
        <v>744578.84</v>
      </c>
    </row>
    <row r="446" spans="1:21" ht="25.8" x14ac:dyDescent="0.5">
      <c r="A446" s="10" t="s">
        <v>1838</v>
      </c>
      <c r="B446" s="10"/>
      <c r="C446" s="47" t="s">
        <v>1839</v>
      </c>
      <c r="D446" s="12"/>
      <c r="E446" s="12"/>
      <c r="F446" s="29" t="s">
        <v>356</v>
      </c>
      <c r="G446" s="30">
        <v>4.2</v>
      </c>
      <c r="H446" s="30"/>
      <c r="I446" s="100">
        <v>9770.4599999999991</v>
      </c>
      <c r="J446" s="146"/>
      <c r="K446" s="148"/>
      <c r="L446" s="89"/>
      <c r="M446" s="106"/>
      <c r="N446" s="164"/>
      <c r="O446" s="148"/>
      <c r="P446" s="121">
        <v>5.0999999999999996</v>
      </c>
      <c r="Q446" s="84"/>
      <c r="R446" s="85"/>
      <c r="S446" s="79">
        <f t="shared" si="7"/>
        <v>49829.35</v>
      </c>
    </row>
    <row r="447" spans="1:21" ht="25.8" x14ac:dyDescent="0.5">
      <c r="A447" s="10" t="s">
        <v>1843</v>
      </c>
      <c r="B447" s="10"/>
      <c r="C447" s="28" t="s">
        <v>1167</v>
      </c>
      <c r="D447" s="12"/>
      <c r="E447" s="12"/>
      <c r="F447" s="29" t="s">
        <v>76</v>
      </c>
      <c r="G447" s="30">
        <v>1.05</v>
      </c>
      <c r="H447" s="30"/>
      <c r="I447" s="100">
        <v>2442.6149999999998</v>
      </c>
      <c r="J447" s="146"/>
      <c r="K447" s="148"/>
      <c r="L447" s="89"/>
      <c r="M447" s="106"/>
      <c r="N447" s="164"/>
      <c r="O447" s="148"/>
      <c r="P447" s="121">
        <v>4.67</v>
      </c>
      <c r="Q447" s="84"/>
      <c r="R447" s="85"/>
      <c r="S447" s="79">
        <f t="shared" si="7"/>
        <v>11407.01</v>
      </c>
    </row>
    <row r="448" spans="1:21" ht="25.8" x14ac:dyDescent="0.5">
      <c r="A448" s="10" t="s">
        <v>1846</v>
      </c>
      <c r="B448" s="10"/>
      <c r="C448" s="28" t="s">
        <v>1174</v>
      </c>
      <c r="D448" s="12"/>
      <c r="E448" s="12"/>
      <c r="F448" s="29" t="s">
        <v>76</v>
      </c>
      <c r="G448" s="30">
        <v>0.25</v>
      </c>
      <c r="H448" s="30"/>
      <c r="I448" s="100">
        <v>581.57500000000005</v>
      </c>
      <c r="J448" s="146"/>
      <c r="K448" s="148"/>
      <c r="L448" s="89"/>
      <c r="M448" s="106"/>
      <c r="N448" s="164"/>
      <c r="O448" s="148"/>
      <c r="P448" s="121">
        <v>2.84</v>
      </c>
      <c r="Q448" s="84"/>
      <c r="R448" s="85"/>
      <c r="S448" s="79">
        <f t="shared" si="7"/>
        <v>1651.67</v>
      </c>
    </row>
    <row r="449" spans="1:21" ht="36" x14ac:dyDescent="0.5">
      <c r="A449" s="10" t="s">
        <v>1849</v>
      </c>
      <c r="B449" s="10"/>
      <c r="C449" s="28" t="s">
        <v>1181</v>
      </c>
      <c r="D449" s="12"/>
      <c r="E449" s="12"/>
      <c r="F449" s="29" t="s">
        <v>61</v>
      </c>
      <c r="G449" s="30">
        <v>1.05</v>
      </c>
      <c r="H449" s="30"/>
      <c r="I449" s="100">
        <v>2442.6149999999998</v>
      </c>
      <c r="J449" s="146"/>
      <c r="K449" s="148"/>
      <c r="L449" s="89"/>
      <c r="M449" s="106"/>
      <c r="N449" s="164"/>
      <c r="O449" s="148"/>
      <c r="P449" s="121">
        <v>137.79</v>
      </c>
      <c r="Q449" s="84"/>
      <c r="R449" s="85"/>
      <c r="S449" s="79">
        <f t="shared" si="7"/>
        <v>336567.92</v>
      </c>
    </row>
    <row r="450" spans="1:21" ht="25.8" x14ac:dyDescent="0.5">
      <c r="A450" s="10" t="s">
        <v>1852</v>
      </c>
      <c r="B450" s="10"/>
      <c r="C450" s="28" t="s">
        <v>1188</v>
      </c>
      <c r="D450" s="12"/>
      <c r="E450" s="12"/>
      <c r="F450" s="29" t="s">
        <v>356</v>
      </c>
      <c r="G450" s="30">
        <v>0.75</v>
      </c>
      <c r="H450" s="30"/>
      <c r="I450" s="100">
        <v>1744.7249999999999</v>
      </c>
      <c r="J450" s="146"/>
      <c r="K450" s="148"/>
      <c r="L450" s="89"/>
      <c r="M450" s="106"/>
      <c r="N450" s="164"/>
      <c r="O450" s="148"/>
      <c r="P450" s="121">
        <v>2.84</v>
      </c>
      <c r="Q450" s="84"/>
      <c r="R450" s="85"/>
      <c r="S450" s="79">
        <f t="shared" si="7"/>
        <v>4955.0200000000004</v>
      </c>
    </row>
    <row r="451" spans="1:21" ht="54" x14ac:dyDescent="0.3">
      <c r="A451" s="10" t="s">
        <v>1855</v>
      </c>
      <c r="B451" s="10" t="s">
        <v>1118</v>
      </c>
      <c r="C451" s="11" t="s">
        <v>1119</v>
      </c>
      <c r="D451" s="12"/>
      <c r="E451" s="12" t="s">
        <v>1856</v>
      </c>
      <c r="F451" s="12" t="s">
        <v>61</v>
      </c>
      <c r="G451" s="13">
        <v>1</v>
      </c>
      <c r="H451" s="13"/>
      <c r="I451" s="99">
        <v>454.4</v>
      </c>
      <c r="J451" s="145"/>
      <c r="K451" s="149"/>
      <c r="L451" s="119"/>
      <c r="M451" s="105"/>
      <c r="N451" s="172"/>
      <c r="O451" s="173"/>
      <c r="P451" s="120">
        <f>IFERROR(ROUND(SUM(S452,S453,S454,S455,S456,S457,S458,S459,S460,S461,S462)/I451, 2),0)</f>
        <v>615.64</v>
      </c>
      <c r="Q451" s="75">
        <v>1970</v>
      </c>
      <c r="R451" s="87">
        <f>P451+ROUND(Q451, 2)</f>
        <v>2585.64</v>
      </c>
      <c r="S451" s="78">
        <f>ROUND(P451*I451, 2)</f>
        <v>279746.82</v>
      </c>
      <c r="T451" s="14">
        <f>ROUND(I451*ROUND(Q451, 2), 2)</f>
        <v>895168</v>
      </c>
      <c r="U451" s="14">
        <f>S451+T451</f>
        <v>1174914.82</v>
      </c>
    </row>
    <row r="452" spans="1:21" ht="25.8" x14ac:dyDescent="0.5">
      <c r="A452" s="10" t="s">
        <v>1857</v>
      </c>
      <c r="B452" s="10"/>
      <c r="C452" s="28" t="s">
        <v>1188</v>
      </c>
      <c r="D452" s="12"/>
      <c r="E452" s="12"/>
      <c r="F452" s="29" t="s">
        <v>356</v>
      </c>
      <c r="G452" s="30">
        <v>0.75</v>
      </c>
      <c r="H452" s="30"/>
      <c r="I452" s="100">
        <v>340.8</v>
      </c>
      <c r="J452" s="146"/>
      <c r="K452" s="148"/>
      <c r="L452" s="89"/>
      <c r="M452" s="106"/>
      <c r="N452" s="164"/>
      <c r="O452" s="148"/>
      <c r="P452" s="121">
        <v>2.84</v>
      </c>
      <c r="Q452" s="84"/>
      <c r="R452" s="85"/>
      <c r="S452" s="79">
        <f t="shared" ref="S452:S462" si="8">ROUND(ROUND(P452, 2)*I452, 2)</f>
        <v>967.87</v>
      </c>
    </row>
    <row r="453" spans="1:21" ht="36" x14ac:dyDescent="0.5">
      <c r="A453" s="10" t="s">
        <v>1860</v>
      </c>
      <c r="B453" s="10"/>
      <c r="C453" s="28" t="s">
        <v>98</v>
      </c>
      <c r="D453" s="12"/>
      <c r="E453" s="12"/>
      <c r="F453" s="29" t="s">
        <v>61</v>
      </c>
      <c r="G453" s="30">
        <v>1.05</v>
      </c>
      <c r="H453" s="30"/>
      <c r="I453" s="100">
        <v>477.12</v>
      </c>
      <c r="J453" s="146"/>
      <c r="K453" s="148"/>
      <c r="L453" s="89"/>
      <c r="M453" s="106"/>
      <c r="N453" s="164"/>
      <c r="O453" s="148"/>
      <c r="P453" s="121">
        <v>137.79</v>
      </c>
      <c r="Q453" s="84"/>
      <c r="R453" s="85"/>
      <c r="S453" s="79">
        <f t="shared" si="8"/>
        <v>65742.36</v>
      </c>
    </row>
    <row r="454" spans="1:21" ht="25.8" x14ac:dyDescent="0.5">
      <c r="A454" s="10" t="s">
        <v>1863</v>
      </c>
      <c r="B454" s="10"/>
      <c r="C454" s="28" t="s">
        <v>1174</v>
      </c>
      <c r="D454" s="12"/>
      <c r="E454" s="12"/>
      <c r="F454" s="29" t="s">
        <v>76</v>
      </c>
      <c r="G454" s="30">
        <v>0.25</v>
      </c>
      <c r="H454" s="30"/>
      <c r="I454" s="100">
        <v>113.6</v>
      </c>
      <c r="J454" s="146"/>
      <c r="K454" s="148"/>
      <c r="L454" s="89"/>
      <c r="M454" s="106"/>
      <c r="N454" s="164"/>
      <c r="O454" s="148"/>
      <c r="P454" s="121">
        <v>2.84</v>
      </c>
      <c r="Q454" s="84"/>
      <c r="R454" s="85"/>
      <c r="S454" s="79">
        <f t="shared" si="8"/>
        <v>322.62</v>
      </c>
    </row>
    <row r="455" spans="1:21" ht="25.8" x14ac:dyDescent="0.5">
      <c r="A455" s="10" t="s">
        <v>1866</v>
      </c>
      <c r="B455" s="10"/>
      <c r="C455" s="28" t="s">
        <v>1167</v>
      </c>
      <c r="D455" s="12"/>
      <c r="E455" s="12"/>
      <c r="F455" s="29" t="s">
        <v>76</v>
      </c>
      <c r="G455" s="30">
        <v>1.05</v>
      </c>
      <c r="H455" s="30"/>
      <c r="I455" s="100">
        <v>477.12</v>
      </c>
      <c r="J455" s="146"/>
      <c r="K455" s="148"/>
      <c r="L455" s="89"/>
      <c r="M455" s="106"/>
      <c r="N455" s="164"/>
      <c r="O455" s="148"/>
      <c r="P455" s="121">
        <v>4.67</v>
      </c>
      <c r="Q455" s="84"/>
      <c r="R455" s="85"/>
      <c r="S455" s="79">
        <f t="shared" si="8"/>
        <v>2228.15</v>
      </c>
    </row>
    <row r="456" spans="1:21" ht="25.8" x14ac:dyDescent="0.5">
      <c r="A456" s="10" t="s">
        <v>1869</v>
      </c>
      <c r="B456" s="10"/>
      <c r="C456" s="47" t="s">
        <v>1839</v>
      </c>
      <c r="D456" s="12"/>
      <c r="E456" s="12"/>
      <c r="F456" s="29" t="s">
        <v>356</v>
      </c>
      <c r="G456" s="30">
        <v>4.2</v>
      </c>
      <c r="H456" s="30"/>
      <c r="I456" s="100">
        <v>1908.48</v>
      </c>
      <c r="J456" s="146"/>
      <c r="K456" s="148"/>
      <c r="L456" s="89"/>
      <c r="M456" s="106"/>
      <c r="N456" s="164"/>
      <c r="O456" s="148"/>
      <c r="P456" s="121">
        <v>5.0999999999999996</v>
      </c>
      <c r="Q456" s="84"/>
      <c r="R456" s="85"/>
      <c r="S456" s="79">
        <f t="shared" si="8"/>
        <v>9733.25</v>
      </c>
    </row>
    <row r="457" spans="1:21" ht="25.8" x14ac:dyDescent="0.5">
      <c r="A457" s="10" t="s">
        <v>1872</v>
      </c>
      <c r="B457" s="10"/>
      <c r="C457" s="28" t="s">
        <v>1153</v>
      </c>
      <c r="D457" s="12"/>
      <c r="E457" s="12"/>
      <c r="F457" s="29" t="s">
        <v>76</v>
      </c>
      <c r="G457" s="30">
        <v>1.2</v>
      </c>
      <c r="H457" s="30"/>
      <c r="I457" s="100">
        <v>545.28</v>
      </c>
      <c r="J457" s="146"/>
      <c r="K457" s="148"/>
      <c r="L457" s="89"/>
      <c r="M457" s="106"/>
      <c r="N457" s="164"/>
      <c r="O457" s="148"/>
      <c r="P457" s="121">
        <v>23.2</v>
      </c>
      <c r="Q457" s="84"/>
      <c r="R457" s="85"/>
      <c r="S457" s="79">
        <f t="shared" si="8"/>
        <v>12650.5</v>
      </c>
    </row>
    <row r="458" spans="1:21" ht="25.8" x14ac:dyDescent="0.5">
      <c r="A458" s="10" t="s">
        <v>1875</v>
      </c>
      <c r="B458" s="10"/>
      <c r="C458" s="28" t="s">
        <v>1160</v>
      </c>
      <c r="D458" s="12"/>
      <c r="E458" s="12"/>
      <c r="F458" s="29" t="s">
        <v>76</v>
      </c>
      <c r="G458" s="30">
        <v>4.7</v>
      </c>
      <c r="H458" s="30"/>
      <c r="I458" s="100">
        <v>2135.6799999999998</v>
      </c>
      <c r="J458" s="146"/>
      <c r="K458" s="148"/>
      <c r="L458" s="89"/>
      <c r="M458" s="106"/>
      <c r="N458" s="164"/>
      <c r="O458" s="148"/>
      <c r="P458" s="121">
        <v>68.099999999999994</v>
      </c>
      <c r="Q458" s="84"/>
      <c r="R458" s="85"/>
      <c r="S458" s="79">
        <f t="shared" si="8"/>
        <v>145439.81</v>
      </c>
    </row>
    <row r="459" spans="1:21" ht="36" x14ac:dyDescent="0.5">
      <c r="A459" s="10" t="s">
        <v>1878</v>
      </c>
      <c r="B459" s="10"/>
      <c r="C459" s="47" t="s">
        <v>1146</v>
      </c>
      <c r="D459" s="12"/>
      <c r="E459" s="12"/>
      <c r="F459" s="29" t="s">
        <v>356</v>
      </c>
      <c r="G459" s="30">
        <v>3.6</v>
      </c>
      <c r="H459" s="30"/>
      <c r="I459" s="100">
        <v>1635.84</v>
      </c>
      <c r="J459" s="146"/>
      <c r="K459" s="148"/>
      <c r="L459" s="89"/>
      <c r="M459" s="106"/>
      <c r="N459" s="164"/>
      <c r="O459" s="148"/>
      <c r="P459" s="121">
        <v>16.170000000000002</v>
      </c>
      <c r="Q459" s="84"/>
      <c r="R459" s="85"/>
      <c r="S459" s="79">
        <f t="shared" si="8"/>
        <v>26451.53</v>
      </c>
    </row>
    <row r="460" spans="1:21" ht="25.8" x14ac:dyDescent="0.5">
      <c r="A460" s="10" t="s">
        <v>1881</v>
      </c>
      <c r="B460" s="10"/>
      <c r="C460" s="28" t="s">
        <v>1139</v>
      </c>
      <c r="D460" s="12"/>
      <c r="E460" s="12"/>
      <c r="F460" s="29" t="s">
        <v>356</v>
      </c>
      <c r="G460" s="30">
        <v>0.3</v>
      </c>
      <c r="H460" s="30"/>
      <c r="I460" s="100">
        <v>136.32</v>
      </c>
      <c r="J460" s="146"/>
      <c r="K460" s="148"/>
      <c r="L460" s="89"/>
      <c r="M460" s="106"/>
      <c r="N460" s="164"/>
      <c r="O460" s="148"/>
      <c r="P460" s="121">
        <v>5.7</v>
      </c>
      <c r="Q460" s="84"/>
      <c r="R460" s="85"/>
      <c r="S460" s="79">
        <f t="shared" si="8"/>
        <v>777.02</v>
      </c>
    </row>
    <row r="461" spans="1:21" ht="25.8" x14ac:dyDescent="0.5">
      <c r="A461" s="10" t="s">
        <v>1884</v>
      </c>
      <c r="B461" s="10"/>
      <c r="C461" s="28" t="s">
        <v>1132</v>
      </c>
      <c r="D461" s="12"/>
      <c r="E461" s="12"/>
      <c r="F461" s="29" t="s">
        <v>364</v>
      </c>
      <c r="G461" s="30">
        <v>0.35</v>
      </c>
      <c r="H461" s="30"/>
      <c r="I461" s="100">
        <v>159.04</v>
      </c>
      <c r="J461" s="146"/>
      <c r="K461" s="148"/>
      <c r="L461" s="89"/>
      <c r="M461" s="106"/>
      <c r="N461" s="164"/>
      <c r="O461" s="148"/>
      <c r="P461" s="121">
        <v>55.91</v>
      </c>
      <c r="Q461" s="84"/>
      <c r="R461" s="85"/>
      <c r="S461" s="79">
        <f t="shared" si="8"/>
        <v>8891.93</v>
      </c>
    </row>
    <row r="462" spans="1:21" ht="25.8" x14ac:dyDescent="0.5">
      <c r="A462" s="10" t="s">
        <v>1887</v>
      </c>
      <c r="B462" s="10"/>
      <c r="C462" s="28" t="s">
        <v>1125</v>
      </c>
      <c r="D462" s="12"/>
      <c r="E462" s="12"/>
      <c r="F462" s="29" t="s">
        <v>356</v>
      </c>
      <c r="G462" s="30">
        <v>15</v>
      </c>
      <c r="H462" s="30"/>
      <c r="I462" s="100">
        <v>6816</v>
      </c>
      <c r="J462" s="146"/>
      <c r="K462" s="148"/>
      <c r="L462" s="89"/>
      <c r="M462" s="106"/>
      <c r="N462" s="164"/>
      <c r="O462" s="148"/>
      <c r="P462" s="121">
        <v>0.96</v>
      </c>
      <c r="Q462" s="84"/>
      <c r="R462" s="85"/>
      <c r="S462" s="79">
        <f t="shared" si="8"/>
        <v>6543.36</v>
      </c>
    </row>
    <row r="463" spans="1:21" ht="36" x14ac:dyDescent="0.3">
      <c r="A463" s="10" t="s">
        <v>1890</v>
      </c>
      <c r="B463" s="10" t="s">
        <v>1118</v>
      </c>
      <c r="C463" s="11" t="s">
        <v>1119</v>
      </c>
      <c r="D463" s="12"/>
      <c r="E463" s="12" t="s">
        <v>1891</v>
      </c>
      <c r="F463" s="12" t="s">
        <v>61</v>
      </c>
      <c r="G463" s="13">
        <v>1</v>
      </c>
      <c r="H463" s="13"/>
      <c r="I463" s="99">
        <v>105.5</v>
      </c>
      <c r="J463" s="145"/>
      <c r="K463" s="149"/>
      <c r="L463" s="119"/>
      <c r="M463" s="105"/>
      <c r="N463" s="172"/>
      <c r="O463" s="173"/>
      <c r="P463" s="120">
        <f>IFERROR(ROUND(SUM(S464,S465,S466,S467,S468,S469,S470,S471,S472,S473,S474)/I463, 2),0)</f>
        <v>2209.7600000000002</v>
      </c>
      <c r="Q463" s="75">
        <v>1970</v>
      </c>
      <c r="R463" s="87">
        <f>P463+ROUND(Q463, 2)</f>
        <v>4179.76</v>
      </c>
      <c r="S463" s="78">
        <f>ROUND(P463*I463, 2)</f>
        <v>233129.68</v>
      </c>
      <c r="T463" s="14">
        <f>ROUND(I463*ROUND(Q463, 2), 2)</f>
        <v>207835</v>
      </c>
      <c r="U463" s="14">
        <f>S463+T463</f>
        <v>440964.68</v>
      </c>
    </row>
    <row r="464" spans="1:21" ht="25.8" x14ac:dyDescent="0.5">
      <c r="A464" s="10" t="s">
        <v>1892</v>
      </c>
      <c r="B464" s="10"/>
      <c r="C464" s="28" t="s">
        <v>1125</v>
      </c>
      <c r="D464" s="12"/>
      <c r="E464" s="12"/>
      <c r="F464" s="29" t="s">
        <v>356</v>
      </c>
      <c r="G464" s="30">
        <v>15</v>
      </c>
      <c r="H464" s="30"/>
      <c r="I464" s="100">
        <v>1582.5</v>
      </c>
      <c r="J464" s="146"/>
      <c r="K464" s="148"/>
      <c r="L464" s="89"/>
      <c r="M464" s="106"/>
      <c r="N464" s="164"/>
      <c r="O464" s="148"/>
      <c r="P464" s="121">
        <v>0.96</v>
      </c>
      <c r="Q464" s="84"/>
      <c r="R464" s="85"/>
      <c r="S464" s="79">
        <f t="shared" ref="S464:S474" si="9">ROUND(ROUND(P464, 2)*I464, 2)</f>
        <v>1519.2</v>
      </c>
    </row>
    <row r="465" spans="1:21" ht="25.8" x14ac:dyDescent="0.5">
      <c r="A465" s="10" t="s">
        <v>1895</v>
      </c>
      <c r="B465" s="10"/>
      <c r="C465" s="28" t="s">
        <v>1132</v>
      </c>
      <c r="D465" s="12"/>
      <c r="E465" s="12"/>
      <c r="F465" s="29" t="s">
        <v>364</v>
      </c>
      <c r="G465" s="30">
        <v>0.35</v>
      </c>
      <c r="H465" s="30"/>
      <c r="I465" s="100">
        <v>36.924999999999997</v>
      </c>
      <c r="J465" s="146"/>
      <c r="K465" s="148"/>
      <c r="L465" s="89"/>
      <c r="M465" s="106"/>
      <c r="N465" s="164"/>
      <c r="O465" s="148"/>
      <c r="P465" s="121">
        <v>55.91</v>
      </c>
      <c r="Q465" s="84"/>
      <c r="R465" s="85"/>
      <c r="S465" s="79">
        <f t="shared" si="9"/>
        <v>2064.48</v>
      </c>
    </row>
    <row r="466" spans="1:21" ht="25.8" x14ac:dyDescent="0.5">
      <c r="A466" s="10" t="s">
        <v>1898</v>
      </c>
      <c r="B466" s="10"/>
      <c r="C466" s="28" t="s">
        <v>1139</v>
      </c>
      <c r="D466" s="12"/>
      <c r="E466" s="12"/>
      <c r="F466" s="29" t="s">
        <v>356</v>
      </c>
      <c r="G466" s="30">
        <v>0.3</v>
      </c>
      <c r="H466" s="30"/>
      <c r="I466" s="100">
        <v>31.65</v>
      </c>
      <c r="J466" s="146"/>
      <c r="K466" s="148"/>
      <c r="L466" s="89"/>
      <c r="M466" s="106"/>
      <c r="N466" s="164"/>
      <c r="O466" s="148"/>
      <c r="P466" s="121">
        <v>5.7</v>
      </c>
      <c r="Q466" s="84"/>
      <c r="R466" s="85"/>
      <c r="S466" s="79">
        <f t="shared" si="9"/>
        <v>180.41</v>
      </c>
    </row>
    <row r="467" spans="1:21" ht="36" x14ac:dyDescent="0.5">
      <c r="A467" s="10" t="s">
        <v>1901</v>
      </c>
      <c r="B467" s="10"/>
      <c r="C467" s="47" t="s">
        <v>1146</v>
      </c>
      <c r="D467" s="12"/>
      <c r="E467" s="12"/>
      <c r="F467" s="29" t="s">
        <v>356</v>
      </c>
      <c r="G467" s="30">
        <v>3.6</v>
      </c>
      <c r="H467" s="30"/>
      <c r="I467" s="100">
        <v>379.8</v>
      </c>
      <c r="J467" s="146"/>
      <c r="K467" s="148"/>
      <c r="L467" s="89"/>
      <c r="M467" s="106"/>
      <c r="N467" s="164"/>
      <c r="O467" s="148"/>
      <c r="P467" s="121">
        <v>16.170000000000002</v>
      </c>
      <c r="Q467" s="84"/>
      <c r="R467" s="85"/>
      <c r="S467" s="79">
        <f t="shared" si="9"/>
        <v>6141.37</v>
      </c>
    </row>
    <row r="468" spans="1:21" ht="25.8" x14ac:dyDescent="0.5">
      <c r="A468" s="10" t="s">
        <v>1904</v>
      </c>
      <c r="B468" s="10"/>
      <c r="C468" s="28" t="s">
        <v>1153</v>
      </c>
      <c r="D468" s="12"/>
      <c r="E468" s="12"/>
      <c r="F468" s="29" t="s">
        <v>76</v>
      </c>
      <c r="G468" s="30">
        <v>1.2</v>
      </c>
      <c r="H468" s="30"/>
      <c r="I468" s="100">
        <v>126.6</v>
      </c>
      <c r="J468" s="146"/>
      <c r="K468" s="148"/>
      <c r="L468" s="89"/>
      <c r="M468" s="106"/>
      <c r="N468" s="164"/>
      <c r="O468" s="148"/>
      <c r="P468" s="121">
        <v>23.2</v>
      </c>
      <c r="Q468" s="84"/>
      <c r="R468" s="85"/>
      <c r="S468" s="79">
        <f t="shared" si="9"/>
        <v>2937.12</v>
      </c>
    </row>
    <row r="469" spans="1:21" ht="25.8" x14ac:dyDescent="0.5">
      <c r="A469" s="10" t="s">
        <v>1907</v>
      </c>
      <c r="B469" s="10"/>
      <c r="C469" s="28" t="s">
        <v>1160</v>
      </c>
      <c r="D469" s="12"/>
      <c r="E469" s="12"/>
      <c r="F469" s="29" t="s">
        <v>76</v>
      </c>
      <c r="G469" s="30">
        <v>4.7</v>
      </c>
      <c r="H469" s="30"/>
      <c r="I469" s="100">
        <v>495.85</v>
      </c>
      <c r="J469" s="146"/>
      <c r="K469" s="148"/>
      <c r="L469" s="89"/>
      <c r="M469" s="106"/>
      <c r="N469" s="164"/>
      <c r="O469" s="148"/>
      <c r="P469" s="121">
        <v>68.099999999999994</v>
      </c>
      <c r="Q469" s="84"/>
      <c r="R469" s="85"/>
      <c r="S469" s="79">
        <f t="shared" si="9"/>
        <v>33767.39</v>
      </c>
    </row>
    <row r="470" spans="1:21" ht="25.8" x14ac:dyDescent="0.5">
      <c r="A470" s="10" t="s">
        <v>1910</v>
      </c>
      <c r="B470" s="10"/>
      <c r="C470" s="47" t="s">
        <v>1839</v>
      </c>
      <c r="D470" s="12"/>
      <c r="E470" s="12"/>
      <c r="F470" s="29" t="s">
        <v>356</v>
      </c>
      <c r="G470" s="30">
        <v>4.2</v>
      </c>
      <c r="H470" s="30"/>
      <c r="I470" s="100">
        <v>443.1</v>
      </c>
      <c r="J470" s="146"/>
      <c r="K470" s="148"/>
      <c r="L470" s="89"/>
      <c r="M470" s="106"/>
      <c r="N470" s="164"/>
      <c r="O470" s="148"/>
      <c r="P470" s="121">
        <v>5.0999999999999996</v>
      </c>
      <c r="Q470" s="84"/>
      <c r="R470" s="85"/>
      <c r="S470" s="79">
        <f t="shared" si="9"/>
        <v>2259.81</v>
      </c>
    </row>
    <row r="471" spans="1:21" ht="25.8" x14ac:dyDescent="0.5">
      <c r="A471" s="10" t="s">
        <v>1913</v>
      </c>
      <c r="B471" s="10"/>
      <c r="C471" s="28" t="s">
        <v>1281</v>
      </c>
      <c r="D471" s="12"/>
      <c r="E471" s="12"/>
      <c r="F471" s="29" t="s">
        <v>61</v>
      </c>
      <c r="G471" s="30">
        <v>1.05</v>
      </c>
      <c r="H471" s="30"/>
      <c r="I471" s="100">
        <v>110.77500000000001</v>
      </c>
      <c r="J471" s="146"/>
      <c r="K471" s="148"/>
      <c r="L471" s="89"/>
      <c r="M471" s="106"/>
      <c r="N471" s="164"/>
      <c r="O471" s="148"/>
      <c r="P471" s="121">
        <v>1656</v>
      </c>
      <c r="Q471" s="84"/>
      <c r="R471" s="85"/>
      <c r="S471" s="79">
        <f t="shared" si="9"/>
        <v>183443.4</v>
      </c>
    </row>
    <row r="472" spans="1:21" ht="25.8" x14ac:dyDescent="0.5">
      <c r="A472" s="10" t="s">
        <v>1916</v>
      </c>
      <c r="B472" s="10"/>
      <c r="C472" s="28" t="s">
        <v>1167</v>
      </c>
      <c r="D472" s="12"/>
      <c r="E472" s="12"/>
      <c r="F472" s="29" t="s">
        <v>76</v>
      </c>
      <c r="G472" s="30">
        <v>1.05</v>
      </c>
      <c r="H472" s="30"/>
      <c r="I472" s="100">
        <v>110.77500000000001</v>
      </c>
      <c r="J472" s="146"/>
      <c r="K472" s="148"/>
      <c r="L472" s="89"/>
      <c r="M472" s="106"/>
      <c r="N472" s="164"/>
      <c r="O472" s="148"/>
      <c r="P472" s="121">
        <v>4.67</v>
      </c>
      <c r="Q472" s="84"/>
      <c r="R472" s="85"/>
      <c r="S472" s="79">
        <f t="shared" si="9"/>
        <v>517.32000000000005</v>
      </c>
    </row>
    <row r="473" spans="1:21" ht="25.8" x14ac:dyDescent="0.5">
      <c r="A473" s="10" t="s">
        <v>1919</v>
      </c>
      <c r="B473" s="10"/>
      <c r="C473" s="28" t="s">
        <v>1174</v>
      </c>
      <c r="D473" s="12"/>
      <c r="E473" s="12"/>
      <c r="F473" s="29" t="s">
        <v>76</v>
      </c>
      <c r="G473" s="30">
        <v>0.25</v>
      </c>
      <c r="H473" s="30"/>
      <c r="I473" s="100">
        <v>26.375</v>
      </c>
      <c r="J473" s="146"/>
      <c r="K473" s="148"/>
      <c r="L473" s="89"/>
      <c r="M473" s="106"/>
      <c r="N473" s="164"/>
      <c r="O473" s="148"/>
      <c r="P473" s="121">
        <v>2.84</v>
      </c>
      <c r="Q473" s="84"/>
      <c r="R473" s="85"/>
      <c r="S473" s="79">
        <f t="shared" si="9"/>
        <v>74.91</v>
      </c>
    </row>
    <row r="474" spans="1:21" ht="25.8" x14ac:dyDescent="0.5">
      <c r="A474" s="10" t="s">
        <v>1922</v>
      </c>
      <c r="B474" s="10"/>
      <c r="C474" s="28" t="s">
        <v>1188</v>
      </c>
      <c r="D474" s="12"/>
      <c r="E474" s="12"/>
      <c r="F474" s="29" t="s">
        <v>356</v>
      </c>
      <c r="G474" s="30">
        <v>0.75</v>
      </c>
      <c r="H474" s="30"/>
      <c r="I474" s="100">
        <v>79.125</v>
      </c>
      <c r="J474" s="146"/>
      <c r="K474" s="148"/>
      <c r="L474" s="89"/>
      <c r="M474" s="106"/>
      <c r="N474" s="164"/>
      <c r="O474" s="148"/>
      <c r="P474" s="121">
        <v>2.84</v>
      </c>
      <c r="Q474" s="84"/>
      <c r="R474" s="85"/>
      <c r="S474" s="79">
        <f t="shared" si="9"/>
        <v>224.72</v>
      </c>
    </row>
    <row r="475" spans="1:21" ht="90" x14ac:dyDescent="0.3">
      <c r="A475" s="10" t="s">
        <v>1925</v>
      </c>
      <c r="B475" s="10" t="s">
        <v>1303</v>
      </c>
      <c r="C475" s="11" t="s">
        <v>1304</v>
      </c>
      <c r="D475" s="12"/>
      <c r="E475" s="12" t="s">
        <v>1305</v>
      </c>
      <c r="F475" s="12" t="s">
        <v>61</v>
      </c>
      <c r="G475" s="13">
        <v>1</v>
      </c>
      <c r="H475" s="13"/>
      <c r="I475" s="99">
        <v>170.6</v>
      </c>
      <c r="J475" s="145"/>
      <c r="K475" s="149"/>
      <c r="L475" s="119"/>
      <c r="M475" s="105"/>
      <c r="N475" s="172"/>
      <c r="O475" s="173"/>
      <c r="P475" s="120">
        <f>IFERROR(ROUND(SUM(S476)/I475, 2),0)</f>
        <v>887.56</v>
      </c>
      <c r="Q475" s="75">
        <v>1375.7</v>
      </c>
      <c r="R475" s="87">
        <f>P475+ROUND(Q475, 2)</f>
        <v>2263.2600000000002</v>
      </c>
      <c r="S475" s="78">
        <f>ROUND(P475*I475, 2)</f>
        <v>151417.74</v>
      </c>
      <c r="T475" s="14">
        <f>ROUND(I475*ROUND(Q475, 2), 2)</f>
        <v>234694.42</v>
      </c>
      <c r="U475" s="14">
        <f>S475+T475</f>
        <v>386112.16000000003</v>
      </c>
    </row>
    <row r="476" spans="1:21" ht="25.8" x14ac:dyDescent="0.5">
      <c r="A476" s="10" t="s">
        <v>1926</v>
      </c>
      <c r="B476" s="10"/>
      <c r="C476" s="47" t="s">
        <v>1310</v>
      </c>
      <c r="D476" s="12"/>
      <c r="E476" s="12"/>
      <c r="F476" s="29" t="s">
        <v>61</v>
      </c>
      <c r="G476" s="30">
        <v>1.1000000000000001</v>
      </c>
      <c r="H476" s="49"/>
      <c r="I476" s="101">
        <v>187.66</v>
      </c>
      <c r="J476" s="146"/>
      <c r="K476" s="148"/>
      <c r="L476" s="89"/>
      <c r="M476" s="106"/>
      <c r="N476" s="164"/>
      <c r="O476" s="148"/>
      <c r="P476" s="121">
        <v>806.87</v>
      </c>
      <c r="Q476" s="84"/>
      <c r="R476" s="85"/>
      <c r="S476" s="79">
        <f>ROUND(ROUND(P476, 2)*I476, 2)</f>
        <v>151417.22</v>
      </c>
    </row>
    <row r="477" spans="1:21" ht="16.95" customHeight="1" x14ac:dyDescent="0.5">
      <c r="A477" s="10" t="s">
        <v>1929</v>
      </c>
      <c r="B477" s="10" t="s">
        <v>1317</v>
      </c>
      <c r="C477" s="237" t="s">
        <v>1318</v>
      </c>
      <c r="D477" s="238"/>
      <c r="E477" s="238"/>
      <c r="F477" s="238"/>
      <c r="G477" s="238"/>
      <c r="H477" s="238"/>
      <c r="I477" s="239"/>
      <c r="J477" s="135"/>
      <c r="K477" s="148"/>
      <c r="L477" s="89"/>
      <c r="M477" s="104"/>
      <c r="N477" s="168"/>
      <c r="O477" s="169"/>
      <c r="P477" s="84"/>
      <c r="Q477" s="84"/>
      <c r="R477" s="85"/>
      <c r="S477" s="77">
        <f>SUM(S478,S479)</f>
        <v>0</v>
      </c>
      <c r="T477" s="6">
        <f>SUM(T478,T479)</f>
        <v>7003137.3899999997</v>
      </c>
      <c r="U477" s="6">
        <f>SUM(U478,U479)</f>
        <v>7003137.3899999997</v>
      </c>
    </row>
    <row r="478" spans="1:21" ht="54" x14ac:dyDescent="0.3">
      <c r="A478" s="10" t="s">
        <v>1930</v>
      </c>
      <c r="B478" s="10" t="s">
        <v>1320</v>
      </c>
      <c r="C478" s="11" t="s">
        <v>1321</v>
      </c>
      <c r="D478" s="12" t="s">
        <v>1322</v>
      </c>
      <c r="E478" s="12"/>
      <c r="F478" s="12" t="s">
        <v>1323</v>
      </c>
      <c r="G478" s="13">
        <v>1</v>
      </c>
      <c r="H478" s="13"/>
      <c r="I478" s="99">
        <v>9</v>
      </c>
      <c r="J478" s="145"/>
      <c r="K478" s="149"/>
      <c r="L478" s="119"/>
      <c r="M478" s="105"/>
      <c r="N478" s="172"/>
      <c r="O478" s="173"/>
      <c r="P478" s="120">
        <v>0</v>
      </c>
      <c r="Q478" s="75">
        <v>253783.5</v>
      </c>
      <c r="R478" s="87">
        <f>P478+ROUND(Q478, 2)</f>
        <v>253783.5</v>
      </c>
      <c r="S478" s="78">
        <v>0</v>
      </c>
      <c r="T478" s="14">
        <f>ROUND(I478*ROUND(Q478, 2), 2)</f>
        <v>2284051.5</v>
      </c>
      <c r="U478" s="14">
        <f>S478+T478</f>
        <v>2284051.5</v>
      </c>
    </row>
    <row r="479" spans="1:21" ht="36" x14ac:dyDescent="0.3">
      <c r="A479" s="10" t="s">
        <v>1931</v>
      </c>
      <c r="B479" s="10" t="s">
        <v>1932</v>
      </c>
      <c r="C479" s="11" t="s">
        <v>1933</v>
      </c>
      <c r="D479" s="12" t="s">
        <v>1934</v>
      </c>
      <c r="E479" s="12"/>
      <c r="F479" s="12" t="s">
        <v>1935</v>
      </c>
      <c r="G479" s="13">
        <v>1</v>
      </c>
      <c r="H479" s="13"/>
      <c r="I479" s="99">
        <v>1</v>
      </c>
      <c r="J479" s="145"/>
      <c r="K479" s="149"/>
      <c r="L479" s="119"/>
      <c r="M479" s="105"/>
      <c r="N479" s="172"/>
      <c r="O479" s="173"/>
      <c r="P479" s="120">
        <v>0</v>
      </c>
      <c r="Q479" s="75">
        <v>4719085.8899999997</v>
      </c>
      <c r="R479" s="87">
        <f>P479+ROUND(Q479, 2)</f>
        <v>4719085.8899999997</v>
      </c>
      <c r="S479" s="78">
        <v>0</v>
      </c>
      <c r="T479" s="14">
        <f>ROUND(I479*ROUND(Q479, 2), 2)</f>
        <v>4719085.8899999997</v>
      </c>
      <c r="U479" s="14">
        <f>S479+T479</f>
        <v>4719085.8899999997</v>
      </c>
    </row>
    <row r="480" spans="1:21" ht="41.55" customHeight="1" thickBot="1" x14ac:dyDescent="0.55000000000000004">
      <c r="A480" s="64"/>
      <c r="B480" s="64"/>
      <c r="C480" s="64"/>
      <c r="D480" s="108" t="s">
        <v>1938</v>
      </c>
      <c r="E480" s="64"/>
      <c r="F480" s="64"/>
      <c r="G480" s="64"/>
      <c r="H480" s="64"/>
      <c r="I480" s="64"/>
      <c r="J480" s="136"/>
      <c r="K480" s="153"/>
      <c r="L480" s="90"/>
      <c r="M480" s="109"/>
      <c r="N480" s="174"/>
      <c r="O480" s="175"/>
      <c r="P480" s="110"/>
      <c r="Q480" s="110"/>
      <c r="R480" s="111"/>
      <c r="S480" s="112">
        <f>SUM(S8,S241)</f>
        <v>69862735.280000001</v>
      </c>
      <c r="T480" s="113">
        <f>SUM(T8,T241)</f>
        <v>128542013.56</v>
      </c>
      <c r="U480" s="113">
        <f>S480+T480</f>
        <v>198404748.84</v>
      </c>
    </row>
    <row r="481" spans="1:21" ht="96" customHeight="1" thickBot="1" x14ac:dyDescent="0.35">
      <c r="A481" s="117"/>
      <c r="B481" s="117"/>
      <c r="C481" s="117"/>
      <c r="D481" s="117"/>
      <c r="E481" s="118"/>
      <c r="F481" s="123"/>
      <c r="G481" s="124"/>
      <c r="H481" s="124"/>
      <c r="I481" s="124"/>
      <c r="J481" s="124"/>
      <c r="K481" s="154"/>
      <c r="L481" s="125"/>
      <c r="M481" s="137">
        <f>SUM(M248:M480)</f>
        <v>16771430.270000001</v>
      </c>
      <c r="N481" s="176"/>
      <c r="O481" s="137">
        <f>SUM(O248:O480)</f>
        <v>18073292.300000001</v>
      </c>
      <c r="P481" s="155">
        <f>M481*100/U480</f>
        <v>8.4531395382703387</v>
      </c>
      <c r="Q481" s="124"/>
      <c r="R481" s="124"/>
      <c r="S481" s="124"/>
      <c r="T481" s="124"/>
      <c r="U481" s="126">
        <f>U480-M481-O481</f>
        <v>163560026.26999998</v>
      </c>
    </row>
    <row r="482" spans="1:21" ht="15.6" x14ac:dyDescent="0.3">
      <c r="A482" s="114"/>
      <c r="B482" s="71"/>
      <c r="C482" s="115"/>
      <c r="D482" s="115"/>
      <c r="E482" s="116"/>
      <c r="F482" s="116"/>
      <c r="G482" s="116"/>
      <c r="H482" s="247"/>
      <c r="I482" s="248"/>
      <c r="J482" s="248"/>
      <c r="K482" s="248"/>
      <c r="L482" s="248"/>
      <c r="M482" s="248"/>
      <c r="N482" s="248"/>
      <c r="O482" s="248"/>
      <c r="P482" s="248"/>
      <c r="Q482" s="248"/>
      <c r="R482" s="248"/>
      <c r="S482" s="248"/>
      <c r="T482" s="248"/>
      <c r="U482" s="249"/>
    </row>
    <row r="483" spans="1:21" ht="15.6" x14ac:dyDescent="0.3">
      <c r="A483" s="68"/>
      <c r="B483" s="5"/>
      <c r="C483" s="67"/>
      <c r="D483" s="67"/>
      <c r="E483" s="69"/>
      <c r="F483" s="69"/>
      <c r="G483" s="69"/>
      <c r="H483" s="232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33"/>
    </row>
    <row r="484" spans="1:21" ht="15.6" x14ac:dyDescent="0.3">
      <c r="A484" s="68"/>
      <c r="B484" s="5"/>
      <c r="C484" s="67"/>
      <c r="D484" s="67"/>
      <c r="E484" s="69"/>
      <c r="F484" s="69"/>
      <c r="G484" s="69"/>
      <c r="H484" s="232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33"/>
    </row>
    <row r="485" spans="1:21" ht="15.6" x14ac:dyDescent="0.3">
      <c r="A485" s="68"/>
      <c r="B485" s="5"/>
      <c r="C485" s="67"/>
      <c r="D485" s="67"/>
      <c r="E485" s="69"/>
      <c r="F485" s="69"/>
      <c r="G485" s="69"/>
      <c r="H485" s="232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33"/>
    </row>
    <row r="486" spans="1:21" ht="15.6" x14ac:dyDescent="0.3">
      <c r="A486" s="68"/>
      <c r="B486" s="5"/>
      <c r="C486" s="67"/>
      <c r="D486" s="67"/>
      <c r="E486" s="69"/>
      <c r="F486" s="69"/>
      <c r="G486" s="69"/>
      <c r="H486" s="232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33"/>
    </row>
    <row r="487" spans="1:21" ht="15.6" x14ac:dyDescent="0.3">
      <c r="A487" s="68"/>
      <c r="B487" s="5"/>
      <c r="C487" s="67"/>
      <c r="D487" s="67"/>
      <c r="E487" s="69"/>
      <c r="F487" s="69"/>
      <c r="G487" s="69"/>
      <c r="H487" s="232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33"/>
    </row>
    <row r="488" spans="1:21" ht="15.6" x14ac:dyDescent="0.3">
      <c r="A488" s="68"/>
      <c r="B488" s="5"/>
      <c r="C488" s="67"/>
      <c r="D488" s="67"/>
      <c r="E488" s="69"/>
      <c r="F488" s="69"/>
      <c r="G488" s="69"/>
      <c r="H488" s="232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33"/>
    </row>
    <row r="489" spans="1:21" ht="15.6" x14ac:dyDescent="0.3">
      <c r="A489" s="68"/>
      <c r="B489" s="5"/>
      <c r="C489" s="67"/>
      <c r="D489" s="67"/>
      <c r="E489" s="69"/>
      <c r="F489" s="69"/>
      <c r="G489" s="69"/>
      <c r="H489" s="232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33"/>
    </row>
    <row r="490" spans="1:21" ht="15.6" x14ac:dyDescent="0.3">
      <c r="A490" s="68"/>
      <c r="B490" s="5"/>
      <c r="C490" s="67"/>
      <c r="D490" s="67"/>
      <c r="E490" s="69"/>
      <c r="F490" s="69"/>
      <c r="G490" s="69"/>
      <c r="H490" s="232"/>
      <c r="I490" s="246"/>
      <c r="J490" s="246"/>
      <c r="K490" s="246"/>
      <c r="L490" s="246"/>
      <c r="M490" s="246"/>
      <c r="N490" s="246"/>
      <c r="O490" s="246"/>
      <c r="P490" s="246"/>
      <c r="Q490" s="246"/>
      <c r="R490" s="246"/>
      <c r="S490" s="246"/>
      <c r="T490" s="246"/>
      <c r="U490" s="233"/>
    </row>
    <row r="491" spans="1:21" ht="15.6" x14ac:dyDescent="0.3">
      <c r="A491" s="68"/>
      <c r="B491" s="5"/>
      <c r="C491" s="67"/>
      <c r="D491" s="67"/>
      <c r="E491" s="69"/>
      <c r="F491" s="69"/>
      <c r="G491" s="69"/>
      <c r="H491" s="232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33"/>
    </row>
    <row r="492" spans="1:21" ht="15.6" x14ac:dyDescent="0.3">
      <c r="A492" s="68"/>
      <c r="B492" s="5"/>
      <c r="C492" s="67"/>
      <c r="D492" s="67"/>
      <c r="E492" s="69"/>
      <c r="F492" s="69"/>
      <c r="G492" s="69"/>
      <c r="H492" s="232"/>
      <c r="I492" s="246"/>
      <c r="J492" s="246"/>
      <c r="K492" s="246"/>
      <c r="L492" s="246"/>
      <c r="M492" s="246"/>
      <c r="N492" s="246"/>
      <c r="O492" s="246"/>
      <c r="P492" s="246"/>
      <c r="Q492" s="246"/>
      <c r="R492" s="246"/>
      <c r="S492" s="246"/>
      <c r="T492" s="246"/>
      <c r="U492" s="233"/>
    </row>
    <row r="493" spans="1:21" ht="15.6" x14ac:dyDescent="0.3">
      <c r="A493" s="68"/>
      <c r="B493" s="5"/>
      <c r="C493" s="67"/>
      <c r="D493" s="67"/>
      <c r="E493" s="69"/>
      <c r="F493" s="69"/>
      <c r="G493" s="69"/>
      <c r="H493" s="232"/>
      <c r="I493" s="246"/>
      <c r="J493" s="246"/>
      <c r="K493" s="246"/>
      <c r="L493" s="246"/>
      <c r="M493" s="246"/>
      <c r="N493" s="246"/>
      <c r="O493" s="246"/>
      <c r="P493" s="246"/>
      <c r="Q493" s="246"/>
      <c r="R493" s="246"/>
      <c r="S493" s="246"/>
      <c r="T493" s="246"/>
      <c r="U493" s="233"/>
    </row>
    <row r="494" spans="1:21" ht="15.6" x14ac:dyDescent="0.3">
      <c r="A494" s="68"/>
      <c r="B494" s="5"/>
      <c r="C494" s="67"/>
      <c r="D494" s="67"/>
      <c r="E494" s="69"/>
      <c r="F494" s="69"/>
      <c r="G494" s="69"/>
      <c r="H494" s="232"/>
      <c r="I494" s="246"/>
      <c r="J494" s="246"/>
      <c r="K494" s="246"/>
      <c r="L494" s="246"/>
      <c r="M494" s="246"/>
      <c r="N494" s="246"/>
      <c r="O494" s="246"/>
      <c r="P494" s="246"/>
      <c r="Q494" s="246"/>
      <c r="R494" s="246"/>
      <c r="S494" s="246"/>
      <c r="T494" s="246"/>
      <c r="U494" s="233"/>
    </row>
    <row r="495" spans="1:21" ht="48" customHeight="1" x14ac:dyDescent="0.3">
      <c r="A495" s="68"/>
      <c r="B495" s="5"/>
      <c r="C495" s="67"/>
      <c r="D495" s="67"/>
      <c r="E495" s="69"/>
      <c r="F495" s="69"/>
      <c r="G495" s="69"/>
      <c r="H495" s="232"/>
      <c r="I495" s="246"/>
      <c r="J495" s="246"/>
      <c r="K495" s="246"/>
      <c r="L495" s="246"/>
      <c r="M495" s="246"/>
      <c r="N495" s="246"/>
      <c r="O495" s="246"/>
      <c r="P495" s="246"/>
      <c r="Q495" s="246"/>
      <c r="R495" s="246"/>
      <c r="S495" s="246"/>
      <c r="T495" s="246"/>
      <c r="U495" s="233"/>
    </row>
    <row r="496" spans="1:21" ht="15.6" x14ac:dyDescent="0.3">
      <c r="A496" s="68"/>
      <c r="B496" s="5"/>
      <c r="C496" s="67"/>
      <c r="D496" s="67"/>
      <c r="E496" s="69"/>
      <c r="F496" s="69"/>
      <c r="G496" s="69"/>
      <c r="H496" s="232"/>
      <c r="I496" s="246"/>
      <c r="J496" s="246"/>
      <c r="K496" s="246"/>
      <c r="L496" s="246"/>
      <c r="M496" s="246"/>
      <c r="N496" s="246"/>
      <c r="O496" s="246"/>
      <c r="P496" s="246"/>
      <c r="Q496" s="246"/>
      <c r="R496" s="246"/>
      <c r="S496" s="246"/>
      <c r="T496" s="246"/>
      <c r="U496" s="233"/>
    </row>
    <row r="497" spans="1:21" ht="15.6" x14ac:dyDescent="0.3">
      <c r="A497" s="68"/>
      <c r="B497" s="5"/>
      <c r="C497" s="67"/>
      <c r="D497" s="69"/>
      <c r="E497" s="69"/>
      <c r="F497" s="69"/>
      <c r="G497" s="69"/>
      <c r="H497" s="232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  <c r="S497" s="246"/>
      <c r="T497" s="246"/>
      <c r="U497" s="233"/>
    </row>
    <row r="498" spans="1:21" ht="15.6" x14ac:dyDescent="0.3">
      <c r="A498" s="68"/>
      <c r="B498" s="5"/>
      <c r="C498" s="67"/>
      <c r="D498" s="69"/>
      <c r="E498" s="69"/>
      <c r="F498" s="69"/>
      <c r="G498" s="69"/>
      <c r="H498" s="232"/>
      <c r="I498" s="246"/>
      <c r="J498" s="246"/>
      <c r="K498" s="246"/>
      <c r="L498" s="246"/>
      <c r="M498" s="246"/>
      <c r="N498" s="246"/>
      <c r="O498" s="246"/>
      <c r="P498" s="246"/>
      <c r="Q498" s="246"/>
      <c r="R498" s="246"/>
      <c r="S498" s="246"/>
      <c r="T498" s="246"/>
      <c r="U498" s="233"/>
    </row>
    <row r="499" spans="1:21" ht="15.6" x14ac:dyDescent="0.3">
      <c r="A499" s="68"/>
      <c r="B499" s="5"/>
      <c r="C499" s="67"/>
      <c r="D499" s="69"/>
      <c r="E499" s="69"/>
      <c r="F499" s="69"/>
      <c r="G499" s="69"/>
      <c r="H499" s="232"/>
      <c r="I499" s="246"/>
      <c r="J499" s="246"/>
      <c r="K499" s="246"/>
      <c r="L499" s="246"/>
      <c r="M499" s="246"/>
      <c r="N499" s="246"/>
      <c r="O499" s="246"/>
      <c r="P499" s="246"/>
      <c r="Q499" s="246"/>
      <c r="R499" s="246"/>
      <c r="S499" s="246"/>
      <c r="T499" s="246"/>
      <c r="U499" s="233"/>
    </row>
  </sheetData>
  <mergeCells count="84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J5:J7"/>
    <mergeCell ref="K5:K7"/>
    <mergeCell ref="S5:U5"/>
    <mergeCell ref="P6:Q6"/>
    <mergeCell ref="L5:M6"/>
    <mergeCell ref="N5:O6"/>
    <mergeCell ref="I5:I7"/>
    <mergeCell ref="P5:R5"/>
    <mergeCell ref="C9:I9"/>
    <mergeCell ref="A8:I8"/>
    <mergeCell ref="R6:R7"/>
    <mergeCell ref="S6:T6"/>
    <mergeCell ref="U6:U7"/>
    <mergeCell ref="C154:I154"/>
    <mergeCell ref="C11:I11"/>
    <mergeCell ref="C12:I12"/>
    <mergeCell ref="C13:I13"/>
    <mergeCell ref="C14:I14"/>
    <mergeCell ref="C62:I62"/>
    <mergeCell ref="C63:I63"/>
    <mergeCell ref="C64:I64"/>
    <mergeCell ref="C65:I65"/>
    <mergeCell ref="C66:I66"/>
    <mergeCell ref="C78:I78"/>
    <mergeCell ref="C101:I101"/>
    <mergeCell ref="C10:I10"/>
    <mergeCell ref="H5:H7"/>
    <mergeCell ref="C175:I175"/>
    <mergeCell ref="C161:I161"/>
    <mergeCell ref="C245:I245"/>
    <mergeCell ref="C239:I239"/>
    <mergeCell ref="A241:I241"/>
    <mergeCell ref="C242:I242"/>
    <mergeCell ref="C243:I243"/>
    <mergeCell ref="C244:I244"/>
    <mergeCell ref="C155:I155"/>
    <mergeCell ref="C396:I396"/>
    <mergeCell ref="C246:I246"/>
    <mergeCell ref="C247:I247"/>
    <mergeCell ref="C296:I296"/>
    <mergeCell ref="C297:I297"/>
    <mergeCell ref="C298:I298"/>
    <mergeCell ref="C299:I299"/>
    <mergeCell ref="C300:I300"/>
    <mergeCell ref="C312:I312"/>
    <mergeCell ref="C335:I335"/>
    <mergeCell ref="C389:I389"/>
    <mergeCell ref="C390:I390"/>
    <mergeCell ref="C198:I198"/>
    <mergeCell ref="C185:I185"/>
    <mergeCell ref="C176:I176"/>
    <mergeCell ref="H487:U487"/>
    <mergeCell ref="C410:I410"/>
    <mergeCell ref="C411:I411"/>
    <mergeCell ref="C420:I420"/>
    <mergeCell ref="C433:I433"/>
    <mergeCell ref="C477:I477"/>
    <mergeCell ref="H482:U482"/>
    <mergeCell ref="H483:U483"/>
    <mergeCell ref="H484:U484"/>
    <mergeCell ref="H485:U485"/>
    <mergeCell ref="H486:U486"/>
    <mergeCell ref="H499:U499"/>
    <mergeCell ref="H488:U488"/>
    <mergeCell ref="H489:U489"/>
    <mergeCell ref="H490:U490"/>
    <mergeCell ref="H491:U491"/>
    <mergeCell ref="H492:U492"/>
    <mergeCell ref="H493:U493"/>
    <mergeCell ref="H494:U494"/>
    <mergeCell ref="H495:U495"/>
    <mergeCell ref="H496:U496"/>
    <mergeCell ref="H497:U497"/>
    <mergeCell ref="H498:U498"/>
  </mergeCells>
  <pageMargins left="0.7" right="0.7" top="0.75" bottom="0.75" header="0.3" footer="0.3"/>
  <pageSetup paperSize="9" scale="1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2026-02-07T10:13:37Z</dcterms:created>
  <dcterms:modified xsi:type="dcterms:W3CDTF">2026-08-05T13:03:57Z</dcterms:modified>
  <cp:category/>
</cp:coreProperties>
</file>