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14190" windowHeight="6840"/>
  </bookViews>
  <sheets>
    <sheet name="ВОР 2 эт" sheetId="2" r:id="rId1"/>
    <sheet name="Спец 2 эт" sheetId="4" r:id="rId2"/>
    <sheet name="ВОР 3 эт" sheetId="3" r:id="rId3"/>
    <sheet name="Спец 3 эт" sheetId="6" r:id="rId4"/>
    <sheet name="общий (2)" sheetId="5" r:id="rId5"/>
    <sheet name="Лист1" sheetId="7" r:id="rId6"/>
  </sheets>
  <definedNames>
    <definedName name="_xlnm._FilterDatabase" localSheetId="3" hidden="1">'Спец 3 эт'!$B$2:$K$27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3" l="1"/>
  <c r="F28" i="6" l="1"/>
  <c r="E28" i="6"/>
  <c r="D28" i="6"/>
  <c r="C28" i="6"/>
  <c r="F8" i="3" s="1"/>
  <c r="F11" i="3" s="1"/>
  <c r="I11" i="3" s="1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9" i="3" l="1"/>
  <c r="I9" i="3" s="1"/>
  <c r="F10" i="3"/>
  <c r="I10" i="3" s="1"/>
  <c r="I8" i="3"/>
  <c r="F12" i="3"/>
  <c r="I12" i="3" s="1"/>
  <c r="G28" i="6"/>
  <c r="C46" i="4"/>
  <c r="D46" i="4"/>
  <c r="G5" i="4"/>
  <c r="G37" i="4"/>
  <c r="G4" i="4"/>
  <c r="G46" i="4" l="1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<sst xmlns="http://schemas.openxmlformats.org/spreadsheetml/2006/main" count="235" uniqueCount="97">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</sst>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abSelected="1" zoomScale="85" zoomScaleNormal="85" workbookViewId="0">
      <selection activeCell="C15" sqref="C1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14" width="0" hidden="1" customWidth="1"/>
  </cols>
  <sheetData>
    <row r="1" spans="1:14" x14ac:dyDescent="0.25">
      <c r="A1" s="1"/>
      <c r="B1" s="2" t="s">
        <v>9</v>
      </c>
      <c r="C1" s="15"/>
      <c r="D1" s="3"/>
      <c r="E1" s="4"/>
      <c r="F1" s="5"/>
      <c r="G1" s="16"/>
    </row>
    <row r="2" spans="1:14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25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6.25" x14ac:dyDescent="0.25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A10" workbookViewId="0">
      <selection activeCell="E41" sqref="E41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0" width="0" hidden="1" customWidth="1"/>
  </cols>
  <sheetData>
    <row r="1" spans="1:10" x14ac:dyDescent="0.25">
      <c r="A1" s="55" t="s">
        <v>48</v>
      </c>
      <c r="B1" s="55"/>
      <c r="C1" s="55"/>
      <c r="D1" s="55"/>
      <c r="E1" s="55"/>
      <c r="F1" s="55"/>
      <c r="G1" s="55"/>
    </row>
    <row r="2" spans="1:10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25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25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25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25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25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25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25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25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25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25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25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25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25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25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25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25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25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25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25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25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25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25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25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25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25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25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25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25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25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25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25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25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25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25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25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25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25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25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25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25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25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25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25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25">
      <c r="B47" s="13">
        <v>2.16</v>
      </c>
      <c r="H47">
        <v>0</v>
      </c>
    </row>
    <row r="48" spans="1:9" hidden="1" x14ac:dyDescent="0.25">
      <c r="B48" s="11">
        <v>2.081</v>
      </c>
      <c r="I48">
        <v>0</v>
      </c>
    </row>
    <row r="49" spans="2:10" hidden="1" x14ac:dyDescent="0.25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C3" sqref="C3:C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25" x14ac:dyDescent="0.25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эт'!E28</f>
        <v>25.92</v>
      </c>
      <c r="G3" s="23">
        <v>122.25</v>
      </c>
      <c r="I3" s="32">
        <f t="shared" ref="I3:I12" si="0">F3-G3</f>
        <v>-96.33</v>
      </c>
    </row>
    <row r="4" spans="1:9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6.25" x14ac:dyDescent="0.25">
      <c r="A8" s="29">
        <v>2</v>
      </c>
      <c r="B8" s="28" t="s">
        <v>26</v>
      </c>
      <c r="C8" s="56" t="s">
        <v>96</v>
      </c>
      <c r="D8" s="29" t="s">
        <v>7</v>
      </c>
      <c r="E8" s="21">
        <v>1</v>
      </c>
      <c r="F8" s="22">
        <f>'Спец 3 эт'!C28+'Спец 3 эт'!D28+'Спец 3 эт'!F28</f>
        <v>1745.29</v>
      </c>
      <c r="G8" s="23">
        <v>5553.92</v>
      </c>
      <c r="I8" s="32">
        <f t="shared" si="0"/>
        <v>-3808.63</v>
      </c>
    </row>
    <row r="9" spans="1:9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13962</v>
      </c>
      <c r="G9" s="16">
        <v>44431.360000000001</v>
      </c>
      <c r="I9" s="32">
        <f t="shared" si="0"/>
        <v>-30469.360000000001</v>
      </c>
    </row>
    <row r="10" spans="1:9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204198.93</v>
      </c>
      <c r="G10" s="16">
        <v>649808.64000000001</v>
      </c>
      <c r="H10">
        <f>G10/G8/E10</f>
        <v>65</v>
      </c>
      <c r="I10" s="32">
        <f t="shared" si="0"/>
        <v>-445609.71</v>
      </c>
    </row>
    <row r="11" spans="1:9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1919.8190000000002</v>
      </c>
      <c r="G11" s="16">
        <v>6109.3119999999999</v>
      </c>
      <c r="I11" s="32">
        <f t="shared" si="0"/>
        <v>-4189.4929999999995</v>
      </c>
    </row>
    <row r="12" spans="1:9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1745.29</v>
      </c>
      <c r="G12" s="16">
        <v>5553.92</v>
      </c>
      <c r="I12" s="32">
        <f t="shared" si="0"/>
        <v>-3808.63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="115" zoomScaleNormal="115" workbookViewId="0">
      <selection activeCell="C10" sqref="C10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1" width="0" hidden="1" customWidth="1"/>
  </cols>
  <sheetData>
    <row r="1" spans="1:11" x14ac:dyDescent="0.25">
      <c r="A1" s="55" t="s">
        <v>48</v>
      </c>
      <c r="B1" s="55"/>
      <c r="C1" s="55"/>
      <c r="D1" s="55"/>
      <c r="E1" s="55"/>
      <c r="F1" s="55"/>
      <c r="G1" s="55"/>
    </row>
    <row r="2" spans="1:11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25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7" si="0">SUM(C4:F4)</f>
        <v>13.62</v>
      </c>
      <c r="K4">
        <v>1</v>
      </c>
    </row>
    <row r="5" spans="1:11" x14ac:dyDescent="0.25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25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25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25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25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25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25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25">
      <c r="A12" s="10">
        <v>9</v>
      </c>
      <c r="B12" s="54">
        <v>3.0009999999999999</v>
      </c>
      <c r="C12" s="50"/>
      <c r="D12" s="44"/>
      <c r="E12" s="41"/>
      <c r="F12" s="47">
        <v>129.68</v>
      </c>
      <c r="G12" s="25">
        <f t="shared" si="0"/>
        <v>129.68</v>
      </c>
      <c r="K12">
        <v>1</v>
      </c>
    </row>
    <row r="13" spans="1:11" x14ac:dyDescent="0.25">
      <c r="A13" s="10">
        <v>10</v>
      </c>
      <c r="B13" s="54">
        <v>3.0019999999999998</v>
      </c>
      <c r="C13" s="50"/>
      <c r="D13" s="44"/>
      <c r="E13" s="41"/>
      <c r="F13" s="47">
        <v>73.05</v>
      </c>
      <c r="G13" s="25">
        <f t="shared" si="0"/>
        <v>73.05</v>
      </c>
      <c r="K13">
        <v>1</v>
      </c>
    </row>
    <row r="14" spans="1:11" x14ac:dyDescent="0.25">
      <c r="A14" s="10">
        <v>11</v>
      </c>
      <c r="B14" s="54">
        <v>3.0030000000000001</v>
      </c>
      <c r="C14" s="50"/>
      <c r="D14" s="44"/>
      <c r="E14" s="41"/>
      <c r="F14" s="47">
        <v>71.709999999999994</v>
      </c>
      <c r="G14" s="25">
        <f t="shared" si="0"/>
        <v>71.709999999999994</v>
      </c>
      <c r="K14">
        <v>1</v>
      </c>
    </row>
    <row r="15" spans="1:11" x14ac:dyDescent="0.25">
      <c r="A15" s="10">
        <v>12</v>
      </c>
      <c r="B15" s="54">
        <v>3.004</v>
      </c>
      <c r="C15" s="50"/>
      <c r="D15" s="44"/>
      <c r="E15" s="41"/>
      <c r="F15" s="47">
        <v>67.59</v>
      </c>
      <c r="G15" s="25">
        <f t="shared" si="0"/>
        <v>67.59</v>
      </c>
      <c r="K15">
        <v>1</v>
      </c>
    </row>
    <row r="16" spans="1:11" x14ac:dyDescent="0.25">
      <c r="A16" s="10">
        <v>13</v>
      </c>
      <c r="B16" s="54">
        <v>3.0049999999999999</v>
      </c>
      <c r="C16" s="50"/>
      <c r="D16" s="44"/>
      <c r="E16" s="41"/>
      <c r="F16" s="47">
        <v>239.62</v>
      </c>
      <c r="G16" s="25">
        <f t="shared" si="0"/>
        <v>239.62</v>
      </c>
      <c r="K16">
        <v>1</v>
      </c>
    </row>
    <row r="17" spans="1:11" x14ac:dyDescent="0.25">
      <c r="A17" s="10">
        <v>14</v>
      </c>
      <c r="B17" s="54">
        <v>3.008</v>
      </c>
      <c r="C17" s="50"/>
      <c r="D17" s="44"/>
      <c r="E17" s="41"/>
      <c r="F17" s="47">
        <v>67.84</v>
      </c>
      <c r="G17" s="25">
        <f t="shared" si="0"/>
        <v>67.84</v>
      </c>
      <c r="K17">
        <v>1</v>
      </c>
    </row>
    <row r="18" spans="1:11" x14ac:dyDescent="0.25">
      <c r="A18" s="10">
        <v>15</v>
      </c>
      <c r="B18" s="54">
        <v>3.0089999999999999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25">
      <c r="A19" s="10">
        <v>16</v>
      </c>
      <c r="B19" s="54">
        <v>3.01</v>
      </c>
      <c r="C19" s="50"/>
      <c r="D19" s="44"/>
      <c r="E19" s="41"/>
      <c r="F19" s="47">
        <v>68</v>
      </c>
      <c r="G19" s="25">
        <f t="shared" si="0"/>
        <v>68</v>
      </c>
      <c r="K19">
        <v>1</v>
      </c>
    </row>
    <row r="20" spans="1:11" x14ac:dyDescent="0.25">
      <c r="A20" s="10">
        <v>17</v>
      </c>
      <c r="B20" s="54">
        <v>3.0110000000000001</v>
      </c>
      <c r="C20" s="50"/>
      <c r="D20" s="44"/>
      <c r="E20" s="41"/>
      <c r="F20" s="47">
        <v>67.14</v>
      </c>
      <c r="G20" s="25">
        <f t="shared" si="0"/>
        <v>67.14</v>
      </c>
      <c r="K20">
        <v>1</v>
      </c>
    </row>
    <row r="21" spans="1:11" x14ac:dyDescent="0.25">
      <c r="A21" s="10">
        <v>18</v>
      </c>
      <c r="B21" s="54">
        <v>3.012</v>
      </c>
      <c r="C21" s="50"/>
      <c r="D21" s="44"/>
      <c r="E21" s="41"/>
      <c r="F21" s="47">
        <v>68</v>
      </c>
      <c r="G21" s="25">
        <f t="shared" si="0"/>
        <v>68</v>
      </c>
      <c r="K21">
        <v>1</v>
      </c>
    </row>
    <row r="22" spans="1:11" x14ac:dyDescent="0.25">
      <c r="A22" s="10">
        <v>19</v>
      </c>
      <c r="B22" s="54">
        <v>3.0129999999999999</v>
      </c>
      <c r="C22" s="50"/>
      <c r="D22" s="44"/>
      <c r="E22" s="41"/>
      <c r="F22" s="47">
        <v>68</v>
      </c>
      <c r="G22" s="25">
        <f t="shared" si="0"/>
        <v>68</v>
      </c>
      <c r="K22">
        <v>1</v>
      </c>
    </row>
    <row r="23" spans="1:11" x14ac:dyDescent="0.25">
      <c r="A23" s="10">
        <v>20</v>
      </c>
      <c r="B23" s="54">
        <v>3.0139999999999998</v>
      </c>
      <c r="C23" s="50"/>
      <c r="D23" s="44"/>
      <c r="E23" s="41"/>
      <c r="F23" s="47">
        <v>148.61000000000001</v>
      </c>
      <c r="G23" s="25">
        <f t="shared" si="0"/>
        <v>148.61000000000001</v>
      </c>
      <c r="K23">
        <v>1</v>
      </c>
    </row>
    <row r="24" spans="1:11" x14ac:dyDescent="0.25">
      <c r="A24" s="10">
        <v>21</v>
      </c>
      <c r="B24" s="8">
        <v>3.0190000000000001</v>
      </c>
      <c r="C24" s="50"/>
      <c r="D24" s="44"/>
      <c r="E24" s="41"/>
      <c r="F24" s="47">
        <v>244.28</v>
      </c>
      <c r="G24" s="25">
        <f t="shared" si="0"/>
        <v>244.28</v>
      </c>
      <c r="K24">
        <v>4.0999999999999996</v>
      </c>
    </row>
    <row r="25" spans="1:11" x14ac:dyDescent="0.25">
      <c r="A25" s="10">
        <v>22</v>
      </c>
      <c r="B25" s="54">
        <v>3.02</v>
      </c>
      <c r="C25" s="50"/>
      <c r="D25" s="44"/>
      <c r="E25" s="41"/>
      <c r="F25" s="47">
        <v>137.72999999999999</v>
      </c>
      <c r="G25" s="25">
        <f t="shared" si="0"/>
        <v>137.72999999999999</v>
      </c>
      <c r="K25">
        <v>4.0999999999999996</v>
      </c>
    </row>
    <row r="26" spans="1:11" x14ac:dyDescent="0.25">
      <c r="A26" s="10">
        <v>23</v>
      </c>
      <c r="B26" s="54">
        <v>3.085</v>
      </c>
      <c r="C26" s="50"/>
      <c r="D26" s="44"/>
      <c r="E26" s="41"/>
      <c r="F26" s="47">
        <v>13.16</v>
      </c>
      <c r="G26" s="25">
        <f t="shared" si="0"/>
        <v>13.16</v>
      </c>
      <c r="K26">
        <v>4.0999999999999996</v>
      </c>
    </row>
    <row r="27" spans="1:11" x14ac:dyDescent="0.25">
      <c r="A27" s="10">
        <v>24</v>
      </c>
      <c r="B27" s="54" t="s">
        <v>94</v>
      </c>
      <c r="C27" s="50"/>
      <c r="D27" s="44"/>
      <c r="E27" s="41"/>
      <c r="F27" s="47">
        <v>140.80000000000001</v>
      </c>
      <c r="G27" s="25">
        <f t="shared" si="0"/>
        <v>140.80000000000001</v>
      </c>
      <c r="K27">
        <v>4.0999999999999996</v>
      </c>
    </row>
    <row r="28" spans="1:11" x14ac:dyDescent="0.25">
      <c r="A28" s="10"/>
      <c r="B28" s="10" t="s">
        <v>52</v>
      </c>
      <c r="C28" s="50">
        <f>SUM(C4:C27)</f>
        <v>28.689999999999998</v>
      </c>
      <c r="D28" s="44">
        <f>SUM(D4:D27)</f>
        <v>43.39</v>
      </c>
      <c r="E28" s="41">
        <f>SUM(E4:E27)</f>
        <v>25.92</v>
      </c>
      <c r="F28" s="47">
        <f>SUM(F4:F27)</f>
        <v>1673.21</v>
      </c>
      <c r="G28" s="25">
        <f>SUM(G4:G27)</f>
        <v>1771.2100000000003</v>
      </c>
    </row>
    <row r="29" spans="1:11" x14ac:dyDescent="0.25">
      <c r="B29" s="13"/>
      <c r="H29">
        <v>0</v>
      </c>
    </row>
    <row r="30" spans="1:11" x14ac:dyDescent="0.25">
      <c r="I30">
        <v>0</v>
      </c>
    </row>
    <row r="31" spans="1:11" x14ac:dyDescent="0.25">
      <c r="J31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5.5" x14ac:dyDescent="0.25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25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25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5.5" x14ac:dyDescent="0.25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1" x14ac:dyDescent="0.25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25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5.5" x14ac:dyDescent="0.25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25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25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25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25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6.25" x14ac:dyDescent="0.25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25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25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25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25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39" x14ac:dyDescent="0.25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25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25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25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25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39" x14ac:dyDescent="0.25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25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25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25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25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6.25" x14ac:dyDescent="0.25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25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25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25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25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25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6.25" x14ac:dyDescent="0.25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25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25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25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25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6.25" x14ac:dyDescent="0.25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25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25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25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25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ВОР 2 эт</vt:lpstr>
      <vt:lpstr>Спец 2 эт</vt:lpstr>
      <vt:lpstr>ВОР 3 эт</vt:lpstr>
      <vt:lpstr>Спец 3 эт</vt:lpstr>
      <vt:lpstr>общий (2)</vt:lpstr>
      <vt:lpstr>Лист1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2025-10-21T10:43:00Z</dcterms:created>
  <dcterms:modified xsi:type="dcterms:W3CDTF">2025-10-23T11:31:21Z</dcterms:modified>
</cp:coreProperties>
</file>