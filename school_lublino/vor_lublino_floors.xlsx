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МирзаяновИИ\Documents\projects\school_lublino\"/>
    </mc:Choice>
  </mc:AlternateContent>
  <bookViews>
    <workbookView xWindow="0" yWindow="0" windowWidth="14190" windowHeight="6840" firstSheet="13" activeTab="14"/>
  </bookViews>
  <sheets>
    <sheet name="АА" sheetId="16" state="hidden" r:id="rId1"/>
    <sheet name="ВОР 2 эт" sheetId="2" r:id="rId2"/>
    <sheet name="Спец 2 эт" sheetId="4" state="hidden" r:id="rId3"/>
    <sheet name="ВОР 3 эт" sheetId="3" r:id="rId4"/>
    <sheet name="Спец 3 эт" sheetId="6" state="hidden" r:id="rId5"/>
    <sheet name="общий (2)" sheetId="5" state="hidden" r:id="rId6"/>
    <sheet name="ВорИзол" sheetId="10" r:id="rId7"/>
    <sheet name="Из1эт" sheetId="8" state="hidden" r:id="rId8"/>
    <sheet name="Из2эт" sheetId="9" state="hidden" r:id="rId9"/>
    <sheet name="ВорПленка" sheetId="12" r:id="rId10"/>
    <sheet name="Плк1э" sheetId="13" state="hidden" r:id="rId11"/>
    <sheet name="Плк2э" sheetId="14" state="hidden" r:id="rId12"/>
    <sheet name="Плк3э" sheetId="15" state="hidden" r:id="rId13"/>
    <sheet name="Общ" sheetId="7" r:id="rId14"/>
    <sheet name="СКБ-1эт" sheetId="17" r:id="rId15"/>
    <sheet name="1эт" sheetId="18" r:id="rId16"/>
    <sheet name="2эт" sheetId="19" r:id="rId17"/>
    <sheet name="3эт" sheetId="20" r:id="rId18"/>
  </sheets>
  <definedNames>
    <definedName name="_xlnm._FilterDatabase" localSheetId="4" hidden="1">'Спец 3 эт'!$B$2:$K$27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24" i="17" l="1"/>
  <c r="F29" i="17"/>
  <c r="E21" i="19"/>
  <c r="E25" i="19"/>
  <c r="F18" i="17" s="1"/>
  <c r="E46" i="18"/>
  <c r="F13" i="17" s="1"/>
  <c r="E15" i="18"/>
  <c r="E13" i="20" l="1"/>
  <c r="E7" i="20" l="1"/>
  <c r="E9" i="18"/>
  <c r="E14" i="19"/>
  <c r="F8" i="17" s="1"/>
  <c r="F31" i="17" l="1"/>
  <c r="F32" i="17"/>
  <c r="F26" i="17"/>
  <c r="F30" i="17"/>
  <c r="F28" i="17"/>
  <c r="F27" i="17"/>
  <c r="F25" i="17"/>
  <c r="F33" i="17"/>
  <c r="F22" i="17"/>
  <c r="F20" i="17"/>
  <c r="F21" i="17"/>
  <c r="F19" i="17"/>
  <c r="F23" i="17"/>
  <c r="F15" i="17"/>
  <c r="F17" i="17"/>
  <c r="F16" i="17"/>
  <c r="F14" i="17"/>
  <c r="F12" i="17"/>
  <c r="F11" i="17"/>
  <c r="F10" i="17"/>
  <c r="F9" i="17"/>
  <c r="G80" i="7"/>
  <c r="G69" i="7"/>
  <c r="G70" i="7"/>
  <c r="G71" i="7"/>
  <c r="G72" i="7"/>
  <c r="G73" i="7"/>
  <c r="G74" i="7"/>
  <c r="G75" i="7"/>
  <c r="G76" i="7"/>
  <c r="G77" i="7"/>
  <c r="G78" i="7"/>
  <c r="G79" i="7"/>
  <c r="G64" i="7"/>
  <c r="G65" i="7"/>
  <c r="G66" i="7"/>
  <c r="G67" i="7"/>
  <c r="G68" i="7"/>
  <c r="F3" i="12" l="1"/>
  <c r="F4" i="12" s="1"/>
  <c r="E8" i="15"/>
  <c r="E23" i="14"/>
  <c r="E30" i="13"/>
  <c r="G10" i="7"/>
  <c r="G11" i="7"/>
  <c r="G12" i="7"/>
  <c r="G13" i="7"/>
  <c r="G14" i="7"/>
  <c r="G15" i="7"/>
  <c r="G16" i="7"/>
  <c r="G17" i="7"/>
  <c r="G18" i="7"/>
  <c r="E29" i="8" l="1"/>
  <c r="F3" i="10" s="1"/>
  <c r="F4" i="10" s="1"/>
  <c r="E17" i="9"/>
  <c r="G8" i="7" l="1"/>
  <c r="G5" i="7"/>
  <c r="G6" i="7"/>
  <c r="G7" i="7"/>
  <c r="G9" i="7"/>
  <c r="G63" i="7"/>
  <c r="F3" i="3" l="1"/>
  <c r="F28" i="6" l="1"/>
  <c r="E28" i="6"/>
  <c r="D28" i="6"/>
  <c r="C28" i="6"/>
  <c r="F8" i="3" s="1"/>
  <c r="F11" i="3" s="1"/>
  <c r="I11" i="3" s="1"/>
  <c r="G27" i="6"/>
  <c r="G26" i="6"/>
  <c r="G25" i="6"/>
  <c r="G24" i="6"/>
  <c r="G23" i="6"/>
  <c r="G22" i="6"/>
  <c r="G21" i="6"/>
  <c r="G20" i="6"/>
  <c r="G19" i="6"/>
  <c r="G18" i="6"/>
  <c r="G17" i="6"/>
  <c r="G16" i="6"/>
  <c r="G15" i="6"/>
  <c r="G14" i="6"/>
  <c r="G13" i="6"/>
  <c r="G12" i="6"/>
  <c r="G11" i="6"/>
  <c r="G10" i="6"/>
  <c r="G9" i="6"/>
  <c r="G8" i="6"/>
  <c r="G7" i="6"/>
  <c r="G6" i="6"/>
  <c r="G5" i="6"/>
  <c r="G4" i="6"/>
  <c r="F44" i="5"/>
  <c r="I44" i="5" s="1"/>
  <c r="F43" i="5"/>
  <c r="I43" i="5" s="1"/>
  <c r="F42" i="5"/>
  <c r="I42" i="5" s="1"/>
  <c r="F41" i="5"/>
  <c r="I41" i="5" s="1"/>
  <c r="I40" i="5"/>
  <c r="F39" i="5"/>
  <c r="I39" i="5" s="1"/>
  <c r="F38" i="5"/>
  <c r="I38" i="5" s="1"/>
  <c r="H37" i="5"/>
  <c r="F37" i="5"/>
  <c r="I37" i="5" s="1"/>
  <c r="F36" i="5"/>
  <c r="I36" i="5" s="1"/>
  <c r="I35" i="5"/>
  <c r="F34" i="5"/>
  <c r="I34" i="5" s="1"/>
  <c r="H33" i="5"/>
  <c r="F33" i="5"/>
  <c r="I33" i="5" s="1"/>
  <c r="F32" i="5"/>
  <c r="I32" i="5" s="1"/>
  <c r="F31" i="5"/>
  <c r="I31" i="5" s="1"/>
  <c r="F30" i="5"/>
  <c r="I30" i="5" s="1"/>
  <c r="I29" i="5"/>
  <c r="F28" i="5"/>
  <c r="I28" i="5" s="1"/>
  <c r="F27" i="5"/>
  <c r="I27" i="5" s="1"/>
  <c r="H26" i="5"/>
  <c r="F26" i="5"/>
  <c r="I26" i="5" s="1"/>
  <c r="F25" i="5"/>
  <c r="I25" i="5" s="1"/>
  <c r="I24" i="5"/>
  <c r="F23" i="5"/>
  <c r="I23" i="5" s="1"/>
  <c r="F22" i="5"/>
  <c r="I22" i="5" s="1"/>
  <c r="H21" i="5"/>
  <c r="F21" i="5"/>
  <c r="I21" i="5" s="1"/>
  <c r="F20" i="5"/>
  <c r="I20" i="5" s="1"/>
  <c r="I19" i="5"/>
  <c r="F18" i="5"/>
  <c r="I18" i="5" s="1"/>
  <c r="F17" i="5"/>
  <c r="I17" i="5" s="1"/>
  <c r="I16" i="5"/>
  <c r="H16" i="5"/>
  <c r="F16" i="5"/>
  <c r="F15" i="5"/>
  <c r="I15" i="5" s="1"/>
  <c r="I14" i="5"/>
  <c r="F13" i="5"/>
  <c r="I13" i="5" s="1"/>
  <c r="I12" i="5"/>
  <c r="F11" i="5"/>
  <c r="I11" i="5" s="1"/>
  <c r="F10" i="5"/>
  <c r="I10" i="5" s="1"/>
  <c r="I9" i="5"/>
  <c r="F8" i="5"/>
  <c r="I8" i="5" s="1"/>
  <c r="I7" i="5"/>
  <c r="F6" i="5"/>
  <c r="I6" i="5" s="1"/>
  <c r="F5" i="5"/>
  <c r="I5" i="5" s="1"/>
  <c r="F4" i="5"/>
  <c r="I4" i="5" s="1"/>
  <c r="I3" i="5"/>
  <c r="F8" i="2"/>
  <c r="F3" i="2"/>
  <c r="E46" i="4"/>
  <c r="G23" i="4"/>
  <c r="G24" i="4"/>
  <c r="F46" i="4"/>
  <c r="G45" i="4"/>
  <c r="G44" i="4"/>
  <c r="G43" i="4"/>
  <c r="G42" i="4"/>
  <c r="G41" i="4"/>
  <c r="G40" i="4"/>
  <c r="G39" i="4"/>
  <c r="G38" i="4"/>
  <c r="G36" i="4"/>
  <c r="G35" i="4"/>
  <c r="G34" i="4"/>
  <c r="G33" i="4"/>
  <c r="G32" i="4"/>
  <c r="G31" i="4"/>
  <c r="G30" i="4"/>
  <c r="G29" i="4"/>
  <c r="G28" i="4"/>
  <c r="G27" i="4"/>
  <c r="G26" i="4"/>
  <c r="G25" i="4"/>
  <c r="G22" i="4"/>
  <c r="G21" i="4"/>
  <c r="G20" i="4"/>
  <c r="G19" i="4"/>
  <c r="G18" i="4"/>
  <c r="G17" i="4"/>
  <c r="G16" i="4"/>
  <c r="G15" i="4"/>
  <c r="G14" i="4"/>
  <c r="G13" i="4"/>
  <c r="G12" i="4"/>
  <c r="G11" i="4"/>
  <c r="G10" i="4"/>
  <c r="G9" i="4"/>
  <c r="G8" i="4"/>
  <c r="G7" i="4"/>
  <c r="G6" i="4"/>
  <c r="H10" i="3"/>
  <c r="F7" i="3"/>
  <c r="I7" i="3" s="1"/>
  <c r="F6" i="3"/>
  <c r="I6" i="3" s="1"/>
  <c r="H5" i="3"/>
  <c r="F5" i="3"/>
  <c r="I5" i="3" s="1"/>
  <c r="F4" i="3"/>
  <c r="I4" i="3" s="1"/>
  <c r="I3" i="3"/>
  <c r="F9" i="3" l="1"/>
  <c r="I9" i="3" s="1"/>
  <c r="F10" i="3"/>
  <c r="I10" i="3" s="1"/>
  <c r="I8" i="3"/>
  <c r="F12" i="3"/>
  <c r="I12" i="3" s="1"/>
  <c r="G28" i="6"/>
  <c r="C46" i="4"/>
  <c r="D46" i="4"/>
  <c r="G5" i="4"/>
  <c r="G37" i="4"/>
  <c r="G4" i="4"/>
  <c r="G46" i="4" l="1"/>
  <c r="F9" i="2" l="1"/>
  <c r="I9" i="2" s="1"/>
  <c r="F4" i="2"/>
  <c r="I4" i="2" s="1"/>
  <c r="I3" i="2"/>
  <c r="I8" i="2"/>
  <c r="H5" i="2"/>
  <c r="H10" i="2"/>
  <c r="F5" i="2"/>
  <c r="I5" i="2" s="1"/>
  <c r="F10" i="2"/>
  <c r="I10" i="2" s="1"/>
  <c r="F12" i="2"/>
  <c r="I12" i="2" s="1"/>
  <c r="F11" i="2"/>
  <c r="I11" i="2" s="1"/>
  <c r="F7" i="2"/>
  <c r="I7" i="2" s="1"/>
  <c r="F6" i="2"/>
  <c r="I6" i="2" s="1"/>
</calcChain>
</file>

<file path=xl/sharedStrings.xml><?xml version="1.0" encoding="utf-8"?>
<sst xmlns="http://schemas.openxmlformats.org/spreadsheetml/2006/main" count="490" uniqueCount="115">
  <si>
    <t>№ п.п.</t>
  </si>
  <si>
    <t>Наименование</t>
  </si>
  <si>
    <t>Ед. изм.</t>
  </si>
  <si>
    <t>Коэф. расхода</t>
  </si>
  <si>
    <t>Объем</t>
  </si>
  <si>
    <t>пог. м</t>
  </si>
  <si>
    <t>кг</t>
  </si>
  <si>
    <t>м2</t>
  </si>
  <si>
    <t>Грунтовка БЕТОН-КОНТАКТ_/</t>
  </si>
  <si>
    <t xml:space="preserve">Ведомость работ и используемых материалов </t>
  </si>
  <si>
    <t xml:space="preserve">Устройство наливных полов с огрунтовкой поверхности и проклейкой демпферной лентой / толщ. до 10 мм </t>
  </si>
  <si>
    <t>Наливной пол_ / Унифицированный по ПИК-СТАНДАРТ</t>
  </si>
  <si>
    <t>Лента кромочная демпферная_/8*100мм/20м</t>
  </si>
  <si>
    <t>Грунтовка универсальный ЛАСТИМИН_ / УНКОНТ ЛЮКС LP51 А</t>
  </si>
  <si>
    <t>Устройство разделительного слоя / из пленки полиэтиленовой / в 1 слой</t>
  </si>
  <si>
    <t>Пленка полиэтиленовая_/200мкр</t>
  </si>
  <si>
    <t>Обработка полов гидрофобизирующим составом</t>
  </si>
  <si>
    <t>Пропитка для бетонных поверхностей  / Элакор МБ1</t>
  </si>
  <si>
    <t>Грунтовка силикатная КМ0 Прозрачный</t>
  </si>
  <si>
    <t>Затирка, уход, полировка полов мех.способом</t>
  </si>
  <si>
    <t>Цемент- / Портланд / М500</t>
  </si>
  <si>
    <t>Устройство стяжки СКБ / армированная сеткой от 21 мм до 40мм</t>
  </si>
  <si>
    <t>Фиксатор арматуры Звездочка_/15/4-16</t>
  </si>
  <si>
    <t>Смесь цементно-песчаная сухая_/М200</t>
  </si>
  <si>
    <t>Сетка эл/св_/100*100*5</t>
  </si>
  <si>
    <t>Устройство стяжки СКБ / армированная сеткой от 41 мм до 60мм</t>
  </si>
  <si>
    <t>Устройство стяжки СКБ / армированная сеткой от 61мм до 80мм</t>
  </si>
  <si>
    <t>Смесь цементно-песчаная сухая_/М150</t>
  </si>
  <si>
    <t>Сетка эл/св_/100*100*4</t>
  </si>
  <si>
    <t>6.3.1.5.1.1.3.1</t>
  </si>
  <si>
    <t>6.3.1.5.1.1.6.3</t>
  </si>
  <si>
    <t>6.3.1.5.1.1.9.1</t>
  </si>
  <si>
    <t>6.3.1.5.1.1.10.1</t>
  </si>
  <si>
    <t>6.3.1.5.1.1.11.2</t>
  </si>
  <si>
    <t>6.3.1.5.1.1.11.3</t>
  </si>
  <si>
    <t>6.3.1.5.1.1.11.4</t>
  </si>
  <si>
    <t>Тип</t>
  </si>
  <si>
    <t>Типы 9, 9.1, 9.2, 9.3, 11, 11.1</t>
  </si>
  <si>
    <t>Типы 5, 5.1 - обеспыливание</t>
  </si>
  <si>
    <t>Тип 4.4</t>
  </si>
  <si>
    <t>Тип 7.1
40мм</t>
  </si>
  <si>
    <t>шт</t>
  </si>
  <si>
    <t>Типы 8.3, 9.1, 9.3
60мм</t>
  </si>
  <si>
    <t>Типы 6, 6.1, 7, 7.2, 8.1, 8.2, 9, 9.2</t>
  </si>
  <si>
    <t>Типы 11, 11.1
68мм</t>
  </si>
  <si>
    <t>Тип 5
70мм</t>
  </si>
  <si>
    <t>Типы 4.4, 5.1
80мм</t>
  </si>
  <si>
    <t>Типы 4.4, 5, 5.1, 6, 6.1, 7, 7.1, 7.2, 8.1, 8.2, 9, 9.1</t>
  </si>
  <si>
    <t>Спецификация выполненных работ</t>
  </si>
  <si>
    <t>Итог</t>
  </si>
  <si>
    <t>Помещения:</t>
  </si>
  <si>
    <t>Объем, м²</t>
  </si>
  <si>
    <t>сумма:</t>
  </si>
  <si>
    <t>2.001</t>
  </si>
  <si>
    <t>2.002</t>
  </si>
  <si>
    <t>2.003</t>
  </si>
  <si>
    <t>2.004</t>
  </si>
  <si>
    <t>2.005</t>
  </si>
  <si>
    <t>2.007</t>
  </si>
  <si>
    <t>2.008</t>
  </si>
  <si>
    <t>2.009</t>
  </si>
  <si>
    <t>2.010</t>
  </si>
  <si>
    <t>2.011</t>
  </si>
  <si>
    <t>2.012</t>
  </si>
  <si>
    <t>2.013</t>
  </si>
  <si>
    <t>2.014</t>
  </si>
  <si>
    <t>2.015</t>
  </si>
  <si>
    <t>2.016</t>
  </si>
  <si>
    <t>2.017</t>
  </si>
  <si>
    <t>2.162</t>
  </si>
  <si>
    <t>2.075</t>
  </si>
  <si>
    <t>2.080</t>
  </si>
  <si>
    <t>2.088</t>
  </si>
  <si>
    <t>2.089</t>
  </si>
  <si>
    <t>2.090</t>
  </si>
  <si>
    <t>2.091</t>
  </si>
  <si>
    <t>2.094</t>
  </si>
  <si>
    <t>2.095</t>
  </si>
  <si>
    <t>2.096</t>
  </si>
  <si>
    <t>2.097</t>
  </si>
  <si>
    <t>2.098</t>
  </si>
  <si>
    <t>2.099</t>
  </si>
  <si>
    <t>2.100</t>
  </si>
  <si>
    <t>2.101</t>
  </si>
  <si>
    <t>2.102</t>
  </si>
  <si>
    <t>2.103</t>
  </si>
  <si>
    <t>2.104</t>
  </si>
  <si>
    <t>2.105</t>
  </si>
  <si>
    <t>2.106</t>
  </si>
  <si>
    <t>2.107</t>
  </si>
  <si>
    <t>2.108</t>
  </si>
  <si>
    <t>2.109</t>
  </si>
  <si>
    <t>2.168</t>
  </si>
  <si>
    <t>Типы</t>
  </si>
  <si>
    <t>3.077.2</t>
  </si>
  <si>
    <t xml:space="preserve">Типы 8.3
</t>
  </si>
  <si>
    <t>Типы 6.1, 7.2, 9.2</t>
  </si>
  <si>
    <t>Блок</t>
  </si>
  <si>
    <t>№ пом.</t>
  </si>
  <si>
    <t>1</t>
  </si>
  <si>
    <t>4.1</t>
  </si>
  <si>
    <t>7.2</t>
  </si>
  <si>
    <t>Устройство тепло-звукоизоляции полов / минвата / в 1 слой</t>
  </si>
  <si>
    <t>Плита минераловатная_ / Технолайт Экстра</t>
  </si>
  <si>
    <t>Типы 5, 6, 7, 7.2, 8.1, 8.2, 9, 9.1</t>
  </si>
  <si>
    <t>м3</t>
  </si>
  <si>
    <t xml:space="preserve">сумма: </t>
  </si>
  <si>
    <t>Спецификация выполненных работ (2 этаж)</t>
  </si>
  <si>
    <t>Спецификация выполненных работ (1 этаж)</t>
  </si>
  <si>
    <t>Спецификация выполненных работ. 3 этаж.</t>
  </si>
  <si>
    <t>Спецификация выполненных работ. 1 этаж.</t>
  </si>
  <si>
    <t>Спецификация выполненных работ. 2 этаж.</t>
  </si>
  <si>
    <t xml:space="preserve">2.075; 2.080; </t>
  </si>
  <si>
    <t>`-</t>
  </si>
  <si>
    <t>сумма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</si>
</sst>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0.000"/>
    <numFmt numFmtId="165" formatCode="0.0"/>
  </numFmts>
  <fonts count="5" x14ac:knownFonts="1">
    <font>
      <sz val="11"/>
      <color theme="1"/>
      <name val="Calibri"/>
      <family val="2"/>
      <charset val="204"/>
      <scheme val="minor"/>
    </font>
    <font>
      <b/>
      <sz val="10"/>
      <color theme="1"/>
      <name val="ГОСТ тип А"/>
      <family val="2"/>
      <charset val="204"/>
    </font>
    <font>
      <sz val="10"/>
      <color theme="1"/>
      <name val="ГОСТ тип А"/>
      <family val="2"/>
      <charset val="204"/>
    </font>
    <font>
      <sz val="10"/>
      <name val="ГОСТ тип А"/>
      <family val="2"/>
      <charset val="204"/>
    </font>
    <font>
      <sz val="11"/>
      <color theme="1"/>
      <name val="ГОСТ тип А"/>
      <family val="2"/>
      <charset val="204"/>
    </font>
  </fonts>
  <fills count="8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CCFF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116">
    <xf numFmtId="0" fontId="0" fillId="0" borderId="0" xfId="0"/>
    <xf numFmtId="49" fontId="1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left" vertical="center"/>
    </xf>
    <xf numFmtId="2" fontId="1" fillId="0" borderId="1" xfId="0" applyNumberFormat="1" applyFont="1" applyBorder="1" applyAlignment="1">
      <alignment horizontal="center" vertical="center"/>
    </xf>
    <xf numFmtId="164" fontId="1" fillId="0" borderId="1" xfId="0" applyNumberFormat="1" applyFont="1" applyBorder="1" applyAlignment="1">
      <alignment horizontal="center" vertical="center"/>
    </xf>
    <xf numFmtId="2" fontId="1" fillId="0" borderId="1" xfId="0" applyNumberFormat="1" applyFont="1" applyBorder="1" applyAlignment="1">
      <alignment horizontal="right" vertical="center"/>
    </xf>
    <xf numFmtId="0" fontId="2" fillId="0" borderId="1" xfId="0" applyFont="1" applyBorder="1" applyAlignment="1">
      <alignment horizontal="left" vertical="center" wrapText="1"/>
    </xf>
    <xf numFmtId="2" fontId="2" fillId="0" borderId="1" xfId="0" applyNumberFormat="1" applyFont="1" applyBorder="1" applyAlignment="1">
      <alignment horizontal="center" vertical="center"/>
    </xf>
    <xf numFmtId="164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left" wrapText="1"/>
    </xf>
    <xf numFmtId="0" fontId="2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wrapText="1"/>
    </xf>
    <xf numFmtId="164" fontId="2" fillId="0" borderId="0" xfId="0" applyNumberFormat="1" applyFont="1" applyAlignment="1">
      <alignment horizontal="center" vertical="center"/>
    </xf>
    <xf numFmtId="2" fontId="2" fillId="0" borderId="0" xfId="0" applyNumberFormat="1" applyFont="1" applyAlignment="1">
      <alignment horizontal="right" vertical="center"/>
    </xf>
    <xf numFmtId="0" fontId="1" fillId="0" borderId="1" xfId="0" applyFont="1" applyBorder="1" applyAlignment="1">
      <alignment horizontal="left" vertical="center" wrapText="1"/>
    </xf>
    <xf numFmtId="0" fontId="0" fillId="0" borderId="1" xfId="0" applyBorder="1"/>
    <xf numFmtId="0" fontId="1" fillId="0" borderId="1" xfId="0" applyFont="1" applyBorder="1" applyAlignment="1">
      <alignment vertical="center" wrapText="1"/>
    </xf>
    <xf numFmtId="49" fontId="2" fillId="2" borderId="1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vertical="center" wrapText="1"/>
    </xf>
    <xf numFmtId="2" fontId="2" fillId="2" borderId="1" xfId="0" applyNumberFormat="1" applyFont="1" applyFill="1" applyBorder="1" applyAlignment="1">
      <alignment horizontal="center" vertical="center"/>
    </xf>
    <xf numFmtId="164" fontId="2" fillId="2" borderId="1" xfId="0" applyNumberFormat="1" applyFont="1" applyFill="1" applyBorder="1" applyAlignment="1">
      <alignment horizontal="center" vertical="center"/>
    </xf>
    <xf numFmtId="2" fontId="2" fillId="2" borderId="1" xfId="0" applyNumberFormat="1" applyFont="1" applyFill="1" applyBorder="1" applyAlignment="1">
      <alignment horizontal="right" vertical="center"/>
    </xf>
    <xf numFmtId="0" fontId="0" fillId="2" borderId="1" xfId="0" applyFill="1" applyBorder="1"/>
    <xf numFmtId="49" fontId="2" fillId="0" borderId="1" xfId="0" applyNumberFormat="1" applyFont="1" applyBorder="1" applyAlignment="1">
      <alignment horizontal="center" vertical="center"/>
    </xf>
    <xf numFmtId="2" fontId="2" fillId="0" borderId="1" xfId="0" applyNumberFormat="1" applyFont="1" applyBorder="1" applyAlignment="1">
      <alignment horizontal="right" vertical="center"/>
    </xf>
    <xf numFmtId="0" fontId="2" fillId="0" borderId="1" xfId="0" applyFont="1" applyBorder="1" applyAlignment="1">
      <alignment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2" fillId="2" borderId="1" xfId="0" applyFont="1" applyFill="1" applyBorder="1" applyAlignment="1">
      <alignment horizontal="left" wrapText="1"/>
    </xf>
    <xf numFmtId="0" fontId="2" fillId="2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wrapText="1"/>
    </xf>
    <xf numFmtId="0" fontId="2" fillId="2" borderId="1" xfId="0" applyFont="1" applyFill="1" applyBorder="1" applyAlignment="1">
      <alignment wrapText="1"/>
    </xf>
    <xf numFmtId="2" fontId="0" fillId="0" borderId="0" xfId="0" applyNumberFormat="1"/>
    <xf numFmtId="0" fontId="2" fillId="0" borderId="1" xfId="0" applyFont="1" applyBorder="1" applyAlignment="1">
      <alignment horizontal="left" vertical="center"/>
    </xf>
    <xf numFmtId="49" fontId="3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right" vertical="center"/>
    </xf>
    <xf numFmtId="0" fontId="3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right"/>
    </xf>
    <xf numFmtId="165" fontId="2" fillId="0" borderId="2" xfId="0" applyNumberFormat="1" applyFont="1" applyFill="1" applyBorder="1" applyAlignment="1">
      <alignment horizontal="center" vertical="center" wrapText="1"/>
    </xf>
    <xf numFmtId="165" fontId="2" fillId="3" borderId="1" xfId="0" applyNumberFormat="1" applyFont="1" applyFill="1" applyBorder="1" applyAlignment="1">
      <alignment horizontal="center" vertical="center" wrapText="1"/>
    </xf>
    <xf numFmtId="2" fontId="2" fillId="3" borderId="1" xfId="0" applyNumberFormat="1" applyFont="1" applyFill="1" applyBorder="1" applyAlignment="1">
      <alignment horizontal="center" vertical="center"/>
    </xf>
    <xf numFmtId="2" fontId="2" fillId="3" borderId="1" xfId="0" applyNumberFormat="1" applyFont="1" applyFill="1" applyBorder="1" applyAlignment="1">
      <alignment horizontal="right" vertical="center"/>
    </xf>
    <xf numFmtId="165" fontId="2" fillId="4" borderId="1" xfId="0" applyNumberFormat="1" applyFont="1" applyFill="1" applyBorder="1" applyAlignment="1">
      <alignment horizontal="center" vertical="center" wrapText="1"/>
    </xf>
    <xf numFmtId="2" fontId="2" fillId="4" borderId="1" xfId="0" applyNumberFormat="1" applyFont="1" applyFill="1" applyBorder="1" applyAlignment="1">
      <alignment horizontal="center" vertical="center"/>
    </xf>
    <xf numFmtId="2" fontId="2" fillId="4" borderId="1" xfId="0" applyNumberFormat="1" applyFont="1" applyFill="1" applyBorder="1" applyAlignment="1">
      <alignment horizontal="right" vertical="center"/>
    </xf>
    <xf numFmtId="165" fontId="2" fillId="5" borderId="1" xfId="0" applyNumberFormat="1" applyFont="1" applyFill="1" applyBorder="1" applyAlignment="1">
      <alignment horizontal="center" vertical="center" wrapText="1"/>
    </xf>
    <xf numFmtId="2" fontId="2" fillId="5" borderId="1" xfId="0" applyNumberFormat="1" applyFont="1" applyFill="1" applyBorder="1" applyAlignment="1">
      <alignment horizontal="center" vertical="center"/>
    </xf>
    <xf numFmtId="2" fontId="2" fillId="5" borderId="1" xfId="0" applyNumberFormat="1" applyFont="1" applyFill="1" applyBorder="1" applyAlignment="1">
      <alignment horizontal="right" vertical="center"/>
    </xf>
    <xf numFmtId="165" fontId="2" fillId="6" borderId="1" xfId="0" applyNumberFormat="1" applyFont="1" applyFill="1" applyBorder="1" applyAlignment="1">
      <alignment horizontal="center" vertical="center" wrapText="1"/>
    </xf>
    <xf numFmtId="2" fontId="2" fillId="6" borderId="1" xfId="0" applyNumberFormat="1" applyFont="1" applyFill="1" applyBorder="1" applyAlignment="1">
      <alignment horizontal="center" vertical="center"/>
    </xf>
    <xf numFmtId="2" fontId="2" fillId="6" borderId="1" xfId="0" applyNumberFormat="1" applyFont="1" applyFill="1" applyBorder="1" applyAlignment="1">
      <alignment horizontal="right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left" wrapText="1"/>
    </xf>
    <xf numFmtId="164" fontId="2" fillId="3" borderId="1" xfId="0" applyNumberFormat="1" applyFont="1" applyFill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 vertical="center"/>
    </xf>
    <xf numFmtId="0" fontId="2" fillId="2" borderId="1" xfId="0" applyFont="1" applyFill="1" applyBorder="1" applyAlignment="1">
      <alignment vertical="top" wrapText="1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vertical="center"/>
    </xf>
    <xf numFmtId="2" fontId="2" fillId="0" borderId="1" xfId="0" applyNumberFormat="1" applyFont="1" applyFill="1" applyBorder="1" applyAlignment="1">
      <alignment horizontal="center" vertical="center"/>
    </xf>
    <xf numFmtId="2" fontId="2" fillId="0" borderId="1" xfId="0" applyNumberFormat="1" applyFont="1" applyFill="1" applyBorder="1" applyAlignment="1">
      <alignment horizontal="right" vertical="center"/>
    </xf>
    <xf numFmtId="0" fontId="0" fillId="0" borderId="0" xfId="0" applyFill="1"/>
    <xf numFmtId="164" fontId="2" fillId="0" borderId="1" xfId="0" applyNumberFormat="1" applyFont="1" applyBorder="1" applyAlignment="1">
      <alignment vertical="center"/>
    </xf>
    <xf numFmtId="164" fontId="0" fillId="0" borderId="0" xfId="0" applyNumberFormat="1"/>
    <xf numFmtId="0" fontId="3" fillId="0" borderId="1" xfId="0" applyNumberFormat="1" applyFont="1" applyBorder="1" applyAlignment="1">
      <alignment horizontal="center" vertical="center"/>
    </xf>
    <xf numFmtId="49" fontId="3" fillId="0" borderId="4" xfId="0" applyNumberFormat="1" applyFont="1" applyBorder="1" applyAlignment="1">
      <alignment horizontal="center" vertical="center"/>
    </xf>
    <xf numFmtId="0" fontId="0" fillId="0" borderId="1" xfId="0" applyFill="1" applyBorder="1"/>
    <xf numFmtId="0" fontId="2" fillId="0" borderId="1" xfId="0" applyFont="1" applyFill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1" xfId="0" applyFont="1" applyFill="1" applyBorder="1" applyAlignment="1">
      <alignment horizontal="left" wrapText="1"/>
    </xf>
    <xf numFmtId="164" fontId="2" fillId="0" borderId="1" xfId="0" applyNumberFormat="1" applyFont="1" applyFill="1" applyBorder="1" applyAlignment="1">
      <alignment horizontal="center" vertical="center"/>
    </xf>
    <xf numFmtId="0" fontId="2" fillId="0" borderId="1" xfId="0" applyFont="1" applyFill="1" applyBorder="1"/>
    <xf numFmtId="2" fontId="2" fillId="0" borderId="1" xfId="0" applyNumberFormat="1" applyFont="1" applyFill="1" applyBorder="1"/>
    <xf numFmtId="0" fontId="2" fillId="0" borderId="1" xfId="0" applyFont="1" applyFill="1" applyBorder="1" applyAlignment="1">
      <alignment horizontal="left" vertical="center" wrapText="1"/>
    </xf>
    <xf numFmtId="0" fontId="2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2" fontId="2" fillId="0" borderId="5" xfId="0" applyNumberFormat="1" applyFont="1" applyFill="1" applyBorder="1" applyAlignment="1">
      <alignment horizontal="right" vertical="center"/>
    </xf>
    <xf numFmtId="0" fontId="2" fillId="0" borderId="7" xfId="0" applyFont="1" applyBorder="1" applyAlignment="1">
      <alignment horizontal="center" vertical="center"/>
    </xf>
    <xf numFmtId="164" fontId="2" fillId="0" borderId="4" xfId="0" applyNumberFormat="1" applyFont="1" applyBorder="1" applyAlignment="1">
      <alignment horizontal="center" vertical="center"/>
    </xf>
    <xf numFmtId="2" fontId="2" fillId="0" borderId="8" xfId="0" applyNumberFormat="1" applyFont="1" applyFill="1" applyBorder="1" applyAlignment="1">
      <alignment horizontal="right" vertical="center"/>
    </xf>
    <xf numFmtId="0" fontId="2" fillId="0" borderId="9" xfId="0" applyFont="1" applyBorder="1" applyAlignment="1">
      <alignment horizontal="center" vertical="center"/>
    </xf>
    <xf numFmtId="0" fontId="3" fillId="0" borderId="10" xfId="0" applyNumberFormat="1" applyFont="1" applyBorder="1" applyAlignment="1">
      <alignment horizontal="center" vertical="center"/>
    </xf>
    <xf numFmtId="164" fontId="3" fillId="0" borderId="10" xfId="0" applyNumberFormat="1" applyFont="1" applyBorder="1" applyAlignment="1">
      <alignment horizontal="center" vertical="center"/>
    </xf>
    <xf numFmtId="2" fontId="2" fillId="0" borderId="11" xfId="0" applyNumberFormat="1" applyFont="1" applyFill="1" applyBorder="1" applyAlignment="1">
      <alignment horizontal="right" vertical="center"/>
    </xf>
    <xf numFmtId="0" fontId="4" fillId="0" borderId="5" xfId="0" applyFont="1" applyFill="1" applyBorder="1"/>
    <xf numFmtId="2" fontId="2" fillId="0" borderId="8" xfId="0" applyNumberFormat="1" applyFont="1" applyFill="1" applyBorder="1" applyAlignment="1">
      <alignment horizontal="center" vertical="center"/>
    </xf>
    <xf numFmtId="0" fontId="2" fillId="0" borderId="1" xfId="0" applyFont="1" applyBorder="1"/>
    <xf numFmtId="0" fontId="2" fillId="0" borderId="11" xfId="0" applyFont="1" applyFill="1" applyBorder="1"/>
    <xf numFmtId="2" fontId="2" fillId="0" borderId="1" xfId="0" applyNumberFormat="1" applyFont="1" applyBorder="1"/>
    <xf numFmtId="164" fontId="2" fillId="0" borderId="1" xfId="0" applyNumberFormat="1" applyFont="1" applyBorder="1"/>
    <xf numFmtId="0" fontId="2" fillId="0" borderId="3" xfId="0" applyFont="1" applyBorder="1" applyAlignment="1">
      <alignment horizontal="center" vertical="center"/>
    </xf>
    <xf numFmtId="0" fontId="2" fillId="0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5" xfId="0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2" fillId="7" borderId="1" xfId="0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left" vertical="center" wrapText="1"/>
    </xf>
    <xf numFmtId="0" fontId="2" fillId="7" borderId="1" xfId="0" applyFont="1" applyFill="1" applyBorder="1" applyAlignment="1">
      <alignment horizontal="center" vertical="center" wrapText="1"/>
    </xf>
    <xf numFmtId="164" fontId="2" fillId="7" borderId="1" xfId="0" applyNumberFormat="1" applyFont="1" applyFill="1" applyBorder="1" applyAlignment="1">
      <alignment horizontal="center" vertical="center"/>
    </xf>
    <xf numFmtId="2" fontId="2" fillId="7" borderId="1" xfId="0" applyNumberFormat="1" applyFont="1" applyFill="1" applyBorder="1" applyAlignment="1">
      <alignment horizontal="right" vertical="center"/>
    </xf>
    <xf numFmtId="0" fontId="2" fillId="6" borderId="1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left" vertical="center" wrapText="1"/>
    </xf>
    <xf numFmtId="0" fontId="2" fillId="6" borderId="1" xfId="0" applyFont="1" applyFill="1" applyBorder="1" applyAlignment="1">
      <alignment horizontal="center" vertical="center" wrapText="1"/>
    </xf>
    <xf numFmtId="164" fontId="2" fillId="6" borderId="1" xfId="0" applyNumberFormat="1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/>
    </xf>
    <xf numFmtId="0" fontId="2" fillId="0" borderId="1" xfId="0" applyFont="1" applyBorder="1" applyAlignment="1">
      <alignment horizontal="right"/>
    </xf>
    <xf numFmtId="0" fontId="2" fillId="0" borderId="0" xfId="0" applyFont="1"/>
    <xf numFmtId="0" fontId="3" fillId="3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left" vertical="center" wrapText="1"/>
    </xf>
    <xf numFmtId="0" fontId="3" fillId="3" borderId="1" xfId="0" applyFont="1" applyFill="1" applyBorder="1" applyAlignment="1">
      <alignment horizontal="center" vertical="center" wrapText="1"/>
    </xf>
    <xf numFmtId="164" fontId="3" fillId="3" borderId="1" xfId="0" applyNumberFormat="1" applyFont="1" applyFill="1" applyBorder="1" applyAlignment="1">
      <alignment horizontal="center" vertical="center"/>
    </xf>
    <xf numFmtId="2" fontId="3" fillId="3" borderId="1" xfId="0" applyNumberFormat="1" applyFont="1" applyFill="1" applyBorder="1" applyAlignment="1">
      <alignment horizontal="right" vertical="center"/>
    </xf>
  </cellXfs>
  <cellStyles count="1">
    <cellStyle name="Обычный" xfId="0" builtinId="0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ГОСТ тип А"/>
        <scheme val="none"/>
      </font>
      <numFmt numFmtId="2" formatCode="0.00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ГОСТ тип А"/>
        <scheme val="none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ГОСТ тип А"/>
        <scheme val="none"/>
      </font>
      <numFmt numFmtId="164" formatCode="0.00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ГОСТ тип А"/>
        <scheme val="none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ГОСТ тип А"/>
        <scheme val="none"/>
      </font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ГОСТ тип А"/>
        <scheme val="none"/>
      </font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ГОСТ тип А"/>
        <scheme val="none"/>
      </font>
      <numFmt numFmtId="2" formatCode="0.00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ГОСТ тип А"/>
        <scheme val="none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ГОСТ тип А"/>
        <scheme val="none"/>
      </font>
      <numFmt numFmtId="164" formatCode="0.00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ГОСТ тип А"/>
        <scheme val="none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ГОСТ тип А"/>
        <scheme val="none"/>
      </font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ГОСТ тип А"/>
        <scheme val="none"/>
      </font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ГОСТ тип А"/>
        <scheme val="none"/>
      </font>
      <numFmt numFmtId="2" formatCode="0.00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ГОСТ тип А"/>
        <scheme val="none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ГОСТ тип А"/>
        <scheme val="none"/>
      </font>
      <numFmt numFmtId="164" formatCode="0.00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ГОСТ тип А"/>
        <scheme val="none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ГОСТ тип А"/>
        <scheme val="none"/>
      </font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ГОСТ тип А"/>
        <scheme val="none"/>
      </font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</dxfs>
  <tableStyles count="0" defaultTableStyle="TableStyleMedium2" defaultPivotStyle="PivotStyleLight16"/>
  <colors>
    <mruColors>
      <color rgb="FFFF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id="1" name="Таблица1" displayName="Таблица1" ref="A81:E105" totalsRowShown="0" dataDxfId="25" headerRowBorderDxfId="26" tableBorderDxfId="24" totalsRowBorderDxfId="23">
  <autoFilter ref="A81:E105">
    <filterColumn colId="3">
      <filters>
        <filter val="6.1"/>
        <filter val="7.2"/>
        <filter val="9.2"/>
      </filters>
    </filterColumn>
  </autoFilter>
  <sortState ref="A82:E105">
    <sortCondition ref="D81:D105"/>
  </sortState>
  <tableColumns count="5">
    <tableColumn id="1" name="№ п.п." dataDxfId="22"/>
    <tableColumn id="2" name="Блок" dataDxfId="21"/>
    <tableColumn id="3" name="№ пом." dataDxfId="20"/>
    <tableColumn id="4" name="Типы" dataDxfId="19"/>
    <tableColumn id="5" name="Объем, м²" dataDxfId="18"/>
  </tableColumns>
  <tableStyleInfo name="TableStyleLight2" showFirstColumn="0" showLastColumn="0" showRowStripes="1" showColumnStripes="0"/>
</table>
</file>

<file path=xl/tables/table2.xml><?xml version="1.0" encoding="utf-8"?>
<table xmlns="http://schemas.openxmlformats.org/spreadsheetml/2006/main" id="2" name="Таблица2" displayName="Таблица2" ref="A32:E77" totalsRowShown="0" dataDxfId="16" headerRowBorderDxfId="17" tableBorderDxfId="15" totalsRowBorderDxfId="14">
  <autoFilter ref="A32:E77">
    <filterColumn colId="3">
      <filters>
        <filter val="4.4"/>
      </filters>
    </filterColumn>
  </autoFilter>
  <sortState ref="A34:E75">
    <sortCondition ref="D32:D77"/>
  </sortState>
  <tableColumns count="5">
    <tableColumn id="1" name="№ п.п." dataDxfId="13"/>
    <tableColumn id="2" name="Блок" dataDxfId="12"/>
    <tableColumn id="3" name="№ пом." dataDxfId="11"/>
    <tableColumn id="4" name="Типы" dataDxfId="10"/>
    <tableColumn id="5" name="Объем, м²" dataDxfId="9"/>
  </tableColumns>
  <tableStyleInfo name="TableStyleLight3" showFirstColumn="0" showLastColumn="0" showRowStripes="1" showColumnStripes="0"/>
</table>
</file>

<file path=xl/tables/table3.xml><?xml version="1.0" encoding="utf-8"?>
<table xmlns="http://schemas.openxmlformats.org/spreadsheetml/2006/main" id="3" name="Таблица3" displayName="Таблица3" ref="A2:E29" totalsRowShown="0" dataDxfId="7" headerRowBorderDxfId="8" tableBorderDxfId="6" totalsRowBorderDxfId="5">
  <autoFilter ref="A2:E29">
    <filterColumn colId="3">
      <filters>
        <filter val="6"/>
        <filter val="7"/>
        <filter val="8.1"/>
        <filter val="8.2"/>
        <filter val="9"/>
      </filters>
    </filterColumn>
  </autoFilter>
  <sortState ref="A3:E29">
    <sortCondition ref="D2:D29"/>
  </sortState>
  <tableColumns count="5">
    <tableColumn id="1" name="№ п.п." dataDxfId="4"/>
    <tableColumn id="2" name="Блок" dataDxfId="3"/>
    <tableColumn id="3" name="№ пом." dataDxfId="2"/>
    <tableColumn id="4" name="Типы" dataDxfId="1"/>
    <tableColumn id="5" name="Объем, м²" dataDxfId="0"/>
  </tableColumns>
  <tableStyleInfo name="TableStyleLight7" showFirstColumn="0" showLastColumn="0" showRowStripes="1" showColumnStripes="0"/>
</table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3.bin"/><Relationship Id="rId4" Type="http://schemas.openxmlformats.org/officeDocument/2006/relationships/table" Target="../tables/table3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5" tint="0.79998168889431442"/>
  </sheetPr>
  <dimension ref="A1"/>
  <sheetViews>
    <sheetView workbookViewId="0">
      <selection activeCell="F19" sqref="F19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2"/>
  <sheetViews>
    <sheetView zoomScaleNormal="100" workbookViewId="0">
      <selection sqref="A1:F4"/>
    </sheetView>
  </sheetViews>
  <sheetFormatPr defaultRowHeight="15" x14ac:dyDescent="0.25"/>
  <cols>
    <col min="1" max="1" width="7.5703125" style="11" customWidth="1"/>
    <col min="2" max="2" width="50.28515625" style="12" customWidth="1"/>
    <col min="3" max="3" width="13.5703125" style="12" customWidth="1"/>
    <col min="4" max="4" width="9.140625" style="11" customWidth="1"/>
    <col min="5" max="5" width="14.5703125" style="13" customWidth="1"/>
    <col min="6" max="6" width="8.85546875" style="14" customWidth="1"/>
    <col min="7" max="14" width="0" hidden="1" customWidth="1"/>
  </cols>
  <sheetData>
    <row r="1" spans="1:14" x14ac:dyDescent="0.25">
      <c r="A1" s="1"/>
      <c r="B1" s="2" t="s">
        <v>9</v>
      </c>
      <c r="C1" s="15"/>
      <c r="D1" s="3"/>
      <c r="E1" s="4"/>
      <c r="F1" s="5"/>
      <c r="G1" s="16"/>
    </row>
    <row r="2" spans="1:14" x14ac:dyDescent="0.25">
      <c r="A2" s="1" t="s">
        <v>0</v>
      </c>
      <c r="B2" s="17" t="s">
        <v>1</v>
      </c>
      <c r="C2" s="17" t="s">
        <v>36</v>
      </c>
      <c r="D2" s="3" t="s">
        <v>2</v>
      </c>
      <c r="E2" s="4" t="s">
        <v>3</v>
      </c>
      <c r="F2" s="5" t="s">
        <v>4</v>
      </c>
      <c r="G2" s="16" t="s">
        <v>4</v>
      </c>
    </row>
    <row r="3" spans="1:14" ht="27" customHeight="1" x14ac:dyDescent="0.25">
      <c r="A3" s="51">
        <v>1</v>
      </c>
      <c r="B3" s="52" t="s">
        <v>25</v>
      </c>
      <c r="C3" s="52" t="s">
        <v>95</v>
      </c>
      <c r="D3" s="51" t="s">
        <v>7</v>
      </c>
      <c r="E3" s="53">
        <v>1</v>
      </c>
      <c r="F3" s="41">
        <f>'Спец 2 эт'!E46</f>
        <v>27.32</v>
      </c>
      <c r="G3" s="23">
        <v>122.25</v>
      </c>
      <c r="I3" s="32">
        <f t="shared" ref="I3:I12" si="0">F3-G3</f>
        <v>-94.93</v>
      </c>
      <c r="K3" s="48">
        <v>6.1</v>
      </c>
      <c r="L3" s="42">
        <v>7.2</v>
      </c>
      <c r="M3" s="39">
        <v>8.3000000000000007</v>
      </c>
      <c r="N3" s="45">
        <v>9.1999999999999993</v>
      </c>
    </row>
    <row r="4" spans="1:14" x14ac:dyDescent="0.25">
      <c r="A4" s="10">
        <v>1.1000000000000001</v>
      </c>
      <c r="B4" s="9" t="s">
        <v>22</v>
      </c>
      <c r="C4" s="9"/>
      <c r="D4" s="10" t="s">
        <v>41</v>
      </c>
      <c r="E4" s="8">
        <v>8</v>
      </c>
      <c r="F4" s="25">
        <f>ROUND(E4*F3, 0)</f>
        <v>219</v>
      </c>
      <c r="G4" s="16">
        <v>978</v>
      </c>
      <c r="I4" s="32">
        <f t="shared" si="0"/>
        <v>-759</v>
      </c>
    </row>
    <row r="5" spans="1:14" x14ac:dyDescent="0.25">
      <c r="A5" s="10">
        <v>1.2</v>
      </c>
      <c r="B5" s="30" t="s">
        <v>23</v>
      </c>
      <c r="C5" s="30"/>
      <c r="D5" s="10" t="s">
        <v>6</v>
      </c>
      <c r="E5" s="8">
        <v>1.8</v>
      </c>
      <c r="F5" s="25">
        <f>E5*F3*60</f>
        <v>2950.56</v>
      </c>
      <c r="G5" s="16">
        <v>13203</v>
      </c>
      <c r="H5">
        <f>G5/G3/E5</f>
        <v>60</v>
      </c>
      <c r="I5" s="32">
        <f t="shared" si="0"/>
        <v>-10252.44</v>
      </c>
    </row>
    <row r="6" spans="1:14" x14ac:dyDescent="0.25">
      <c r="A6" s="10">
        <v>1.3</v>
      </c>
      <c r="B6" s="9" t="s">
        <v>24</v>
      </c>
      <c r="C6" s="9"/>
      <c r="D6" s="10" t="s">
        <v>7</v>
      </c>
      <c r="E6" s="8">
        <v>1.1000000000000001</v>
      </c>
      <c r="F6" s="25">
        <f>E6*F3</f>
        <v>30.052000000000003</v>
      </c>
      <c r="G6" s="16">
        <v>134.47499999999999</v>
      </c>
      <c r="I6" s="32">
        <f t="shared" si="0"/>
        <v>-104.42299999999999</v>
      </c>
    </row>
    <row r="7" spans="1:14" x14ac:dyDescent="0.25">
      <c r="A7" s="10">
        <v>1.4</v>
      </c>
      <c r="B7" s="9" t="s">
        <v>12</v>
      </c>
      <c r="C7" s="9"/>
      <c r="D7" s="10" t="s">
        <v>5</v>
      </c>
      <c r="E7" s="8">
        <v>1</v>
      </c>
      <c r="F7" s="25">
        <f>E7*F3</f>
        <v>27.32</v>
      </c>
      <c r="G7" s="16">
        <v>122.25</v>
      </c>
      <c r="I7" s="32">
        <f t="shared" si="0"/>
        <v>-94.93</v>
      </c>
    </row>
    <row r="8" spans="1:14" ht="26.25" x14ac:dyDescent="0.25">
      <c r="A8" s="29">
        <v>2</v>
      </c>
      <c r="B8" s="28" t="s">
        <v>26</v>
      </c>
      <c r="C8" s="28" t="s">
        <v>96</v>
      </c>
      <c r="D8" s="29" t="s">
        <v>7</v>
      </c>
      <c r="E8" s="21">
        <v>1</v>
      </c>
      <c r="F8" s="22">
        <f>'Спец 2 эт'!C46+'Спец 2 эт'!D46+'Спец 2 эт'!F46</f>
        <v>1530.2199999999998</v>
      </c>
      <c r="G8" s="23">
        <v>5553.92</v>
      </c>
      <c r="I8" s="32">
        <f t="shared" si="0"/>
        <v>-4023.7000000000003</v>
      </c>
    </row>
    <row r="9" spans="1:14" x14ac:dyDescent="0.25">
      <c r="A9" s="10">
        <v>2.1</v>
      </c>
      <c r="B9" s="9" t="s">
        <v>22</v>
      </c>
      <c r="C9" s="9"/>
      <c r="D9" s="10" t="s">
        <v>41</v>
      </c>
      <c r="E9" s="8">
        <v>8</v>
      </c>
      <c r="F9" s="25">
        <f>ROUND(E9*F8, 0)</f>
        <v>12242</v>
      </c>
      <c r="G9" s="16">
        <v>44431.360000000001</v>
      </c>
      <c r="I9" s="32">
        <f t="shared" si="0"/>
        <v>-32189.360000000001</v>
      </c>
    </row>
    <row r="10" spans="1:14" x14ac:dyDescent="0.25">
      <c r="A10" s="10">
        <v>2.2000000000000002</v>
      </c>
      <c r="B10" s="30" t="s">
        <v>23</v>
      </c>
      <c r="C10" s="30"/>
      <c r="D10" s="10" t="s">
        <v>6</v>
      </c>
      <c r="E10" s="8">
        <v>1.8</v>
      </c>
      <c r="F10" s="25">
        <f>E10*F8*65</f>
        <v>179035.74</v>
      </c>
      <c r="G10" s="16">
        <v>649808.64000000001</v>
      </c>
      <c r="H10">
        <f>G10/G8/E10</f>
        <v>65</v>
      </c>
      <c r="I10" s="32">
        <f t="shared" si="0"/>
        <v>-470772.9</v>
      </c>
    </row>
    <row r="11" spans="1:14" x14ac:dyDescent="0.25">
      <c r="A11" s="10">
        <v>2.2999999999999998</v>
      </c>
      <c r="B11" s="30" t="s">
        <v>24</v>
      </c>
      <c r="C11" s="30"/>
      <c r="D11" s="10" t="s">
        <v>7</v>
      </c>
      <c r="E11" s="8">
        <v>1.1000000000000001</v>
      </c>
      <c r="F11" s="25">
        <f>E11*F8</f>
        <v>1683.242</v>
      </c>
      <c r="G11" s="16">
        <v>6109.3119999999999</v>
      </c>
      <c r="I11" s="32">
        <f t="shared" si="0"/>
        <v>-4426.07</v>
      </c>
    </row>
    <row r="12" spans="1:14" x14ac:dyDescent="0.25">
      <c r="A12" s="10">
        <v>2.4</v>
      </c>
      <c r="B12" s="30" t="s">
        <v>12</v>
      </c>
      <c r="C12" s="30"/>
      <c r="D12" s="10" t="s">
        <v>5</v>
      </c>
      <c r="E12" s="8">
        <v>1</v>
      </c>
      <c r="F12" s="25">
        <f>E12*F8</f>
        <v>1530.2199999999998</v>
      </c>
      <c r="G12" s="16">
        <v>5553.92</v>
      </c>
      <c r="I12" s="32">
        <f t="shared" si="0"/>
        <v>-4023.7000000000003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49"/>
  <sheetViews>
    <sheetView topLeftCell="A17" workbookViewId="0">
      <selection activeCell="A45" sqref="A1:XFD45"/>
    </sheetView>
  </sheetViews>
  <sheetFormatPr defaultRowHeight="15" x14ac:dyDescent="0.25"/>
  <cols>
    <col min="1" max="1" width="7" style="11" customWidth="1"/>
    <col min="2" max="2" width="11.140625" style="11" customWidth="1"/>
    <col min="3" max="6" width="8.7109375" style="11" customWidth="1"/>
    <col min="7" max="7" width="8.7109375" style="37" customWidth="1"/>
    <col min="8" max="10" width="0" hidden="1" customWidth="1"/>
  </cols>
  <sheetData>
    <row r="1" spans="1:10" x14ac:dyDescent="0.25">
      <c r="A1" s="92" t="s">
        <v>48</v>
      </c>
      <c r="B1" s="92"/>
      <c r="C1" s="92"/>
      <c r="D1" s="92"/>
      <c r="E1" s="92"/>
      <c r="F1" s="92"/>
      <c r="G1" s="92"/>
    </row>
    <row r="2" spans="1:10" x14ac:dyDescent="0.25">
      <c r="A2" s="10"/>
      <c r="B2" s="34" t="s">
        <v>93</v>
      </c>
      <c r="C2" s="48">
        <v>6.1</v>
      </c>
      <c r="D2" s="42">
        <v>7.2</v>
      </c>
      <c r="E2" s="39">
        <v>8.3000000000000007</v>
      </c>
      <c r="F2" s="45">
        <v>9.1999999999999993</v>
      </c>
      <c r="G2" s="35" t="s">
        <v>49</v>
      </c>
      <c r="H2" s="38">
        <v>4.4000000000000004</v>
      </c>
      <c r="I2" s="38">
        <v>11</v>
      </c>
      <c r="J2" s="38">
        <v>11.1</v>
      </c>
    </row>
    <row r="3" spans="1:10" x14ac:dyDescent="0.25">
      <c r="A3" s="10" t="s">
        <v>0</v>
      </c>
      <c r="B3" s="36" t="s">
        <v>50</v>
      </c>
      <c r="C3" s="49" t="s">
        <v>51</v>
      </c>
      <c r="D3" s="43" t="s">
        <v>51</v>
      </c>
      <c r="E3" s="40" t="s">
        <v>51</v>
      </c>
      <c r="F3" s="46" t="s">
        <v>51</v>
      </c>
      <c r="G3" s="25" t="s">
        <v>51</v>
      </c>
    </row>
    <row r="4" spans="1:10" x14ac:dyDescent="0.25">
      <c r="A4" s="10">
        <v>1</v>
      </c>
      <c r="B4" s="34" t="s">
        <v>53</v>
      </c>
      <c r="C4" s="50"/>
      <c r="D4" s="44"/>
      <c r="E4" s="41"/>
      <c r="F4" s="47">
        <v>73.56</v>
      </c>
      <c r="G4" s="25">
        <f>SUM(C4:F4)</f>
        <v>73.56</v>
      </c>
    </row>
    <row r="5" spans="1:10" x14ac:dyDescent="0.25">
      <c r="A5" s="10">
        <v>2</v>
      </c>
      <c r="B5" s="34" t="s">
        <v>54</v>
      </c>
      <c r="C5" s="50"/>
      <c r="D5" s="44"/>
      <c r="E5" s="41"/>
      <c r="F5" s="47">
        <v>72.239999999999995</v>
      </c>
      <c r="G5" s="25">
        <f t="shared" ref="G5:G45" si="0">SUM(C5:F5)</f>
        <v>72.239999999999995</v>
      </c>
    </row>
    <row r="6" spans="1:10" x14ac:dyDescent="0.25">
      <c r="A6" s="10">
        <v>3</v>
      </c>
      <c r="B6" s="34" t="s">
        <v>55</v>
      </c>
      <c r="C6" s="50"/>
      <c r="D6" s="44"/>
      <c r="E6" s="41"/>
      <c r="F6" s="47">
        <v>68.260000000000005</v>
      </c>
      <c r="G6" s="25">
        <f t="shared" si="0"/>
        <v>68.260000000000005</v>
      </c>
    </row>
    <row r="7" spans="1:10" x14ac:dyDescent="0.25">
      <c r="A7" s="10">
        <v>4</v>
      </c>
      <c r="B7" s="34" t="s">
        <v>56</v>
      </c>
      <c r="C7" s="50"/>
      <c r="D7" s="44"/>
      <c r="E7" s="41"/>
      <c r="F7" s="47">
        <v>158.97</v>
      </c>
      <c r="G7" s="25">
        <f t="shared" si="0"/>
        <v>158.97</v>
      </c>
    </row>
    <row r="8" spans="1:10" x14ac:dyDescent="0.25">
      <c r="A8" s="10">
        <v>5</v>
      </c>
      <c r="B8" s="34" t="s">
        <v>57</v>
      </c>
      <c r="C8" s="50">
        <v>13.62</v>
      </c>
      <c r="D8" s="44"/>
      <c r="E8" s="41"/>
      <c r="F8" s="47"/>
      <c r="G8" s="25">
        <f t="shared" si="0"/>
        <v>13.62</v>
      </c>
    </row>
    <row r="9" spans="1:10" x14ac:dyDescent="0.25">
      <c r="A9" s="10">
        <v>6</v>
      </c>
      <c r="B9" s="34" t="s">
        <v>58</v>
      </c>
      <c r="C9" s="50"/>
      <c r="D9" s="44"/>
      <c r="E9" s="41"/>
      <c r="F9" s="47">
        <v>68.3</v>
      </c>
      <c r="G9" s="25">
        <f t="shared" si="0"/>
        <v>68.3</v>
      </c>
    </row>
    <row r="10" spans="1:10" x14ac:dyDescent="0.25">
      <c r="A10" s="10">
        <v>7</v>
      </c>
      <c r="B10" s="34" t="s">
        <v>59</v>
      </c>
      <c r="C10" s="50"/>
      <c r="D10" s="44"/>
      <c r="E10" s="41"/>
      <c r="F10" s="47">
        <v>68.459999999999994</v>
      </c>
      <c r="G10" s="25">
        <f t="shared" si="0"/>
        <v>68.459999999999994</v>
      </c>
    </row>
    <row r="11" spans="1:10" x14ac:dyDescent="0.25">
      <c r="A11" s="10">
        <v>8</v>
      </c>
      <c r="B11" s="34" t="s">
        <v>60</v>
      </c>
      <c r="C11" s="50"/>
      <c r="D11" s="44"/>
      <c r="E11" s="41"/>
      <c r="F11" s="47">
        <v>68.459999999999994</v>
      </c>
      <c r="G11" s="25">
        <f t="shared" si="0"/>
        <v>68.459999999999994</v>
      </c>
    </row>
    <row r="12" spans="1:10" x14ac:dyDescent="0.25">
      <c r="A12" s="10">
        <v>9</v>
      </c>
      <c r="B12" s="34" t="s">
        <v>61</v>
      </c>
      <c r="C12" s="50"/>
      <c r="D12" s="44"/>
      <c r="E12" s="41"/>
      <c r="F12" s="47">
        <v>67.53</v>
      </c>
      <c r="G12" s="25">
        <f t="shared" si="0"/>
        <v>67.53</v>
      </c>
    </row>
    <row r="13" spans="1:10" x14ac:dyDescent="0.25">
      <c r="A13" s="10">
        <v>10</v>
      </c>
      <c r="B13" s="34" t="s">
        <v>62</v>
      </c>
      <c r="C13" s="50"/>
      <c r="D13" s="44"/>
      <c r="E13" s="41"/>
      <c r="F13" s="47">
        <v>68.459999999999994</v>
      </c>
      <c r="G13" s="25">
        <f t="shared" si="0"/>
        <v>68.459999999999994</v>
      </c>
    </row>
    <row r="14" spans="1:10" x14ac:dyDescent="0.25">
      <c r="A14" s="10">
        <v>11</v>
      </c>
      <c r="B14" s="34" t="s">
        <v>63</v>
      </c>
      <c r="C14" s="50"/>
      <c r="D14" s="44"/>
      <c r="E14" s="41"/>
      <c r="F14" s="47">
        <v>149.94999999999999</v>
      </c>
      <c r="G14" s="25">
        <f t="shared" si="0"/>
        <v>149.94999999999999</v>
      </c>
    </row>
    <row r="15" spans="1:10" x14ac:dyDescent="0.25">
      <c r="A15" s="10">
        <v>12</v>
      </c>
      <c r="B15" s="34" t="s">
        <v>64</v>
      </c>
      <c r="C15" s="50"/>
      <c r="D15" s="44"/>
      <c r="E15" s="41"/>
      <c r="F15" s="47">
        <v>68.459999999999994</v>
      </c>
      <c r="G15" s="25">
        <f t="shared" si="0"/>
        <v>68.459999999999994</v>
      </c>
    </row>
    <row r="16" spans="1:10" x14ac:dyDescent="0.25">
      <c r="A16" s="10">
        <v>13</v>
      </c>
      <c r="B16" s="34" t="s">
        <v>65</v>
      </c>
      <c r="C16" s="50"/>
      <c r="D16" s="44">
        <v>17.22</v>
      </c>
      <c r="E16" s="41"/>
      <c r="F16" s="47"/>
      <c r="G16" s="25">
        <f t="shared" si="0"/>
        <v>17.22</v>
      </c>
    </row>
    <row r="17" spans="1:7" x14ac:dyDescent="0.25">
      <c r="A17" s="10">
        <v>14</v>
      </c>
      <c r="B17" s="34" t="s">
        <v>66</v>
      </c>
      <c r="C17" s="50"/>
      <c r="D17" s="44">
        <v>21.87</v>
      </c>
      <c r="E17" s="41"/>
      <c r="F17" s="47"/>
      <c r="G17" s="25">
        <f t="shared" si="0"/>
        <v>21.87</v>
      </c>
    </row>
    <row r="18" spans="1:7" x14ac:dyDescent="0.25">
      <c r="A18" s="10">
        <v>15</v>
      </c>
      <c r="B18" s="34" t="s">
        <v>67</v>
      </c>
      <c r="C18" s="50"/>
      <c r="D18" s="44">
        <v>5.0599999999999996</v>
      </c>
      <c r="E18" s="41"/>
      <c r="F18" s="47"/>
      <c r="G18" s="25">
        <f t="shared" si="0"/>
        <v>5.0599999999999996</v>
      </c>
    </row>
    <row r="19" spans="1:7" x14ac:dyDescent="0.25">
      <c r="A19" s="10">
        <v>16</v>
      </c>
      <c r="B19" s="34" t="s">
        <v>68</v>
      </c>
      <c r="C19" s="50"/>
      <c r="D19" s="44"/>
      <c r="E19" s="41">
        <v>3.22</v>
      </c>
      <c r="F19" s="47"/>
      <c r="G19" s="25">
        <f t="shared" si="0"/>
        <v>3.22</v>
      </c>
    </row>
    <row r="20" spans="1:7" x14ac:dyDescent="0.25">
      <c r="A20" s="10">
        <v>17</v>
      </c>
      <c r="B20" s="34" t="s">
        <v>69</v>
      </c>
      <c r="C20" s="50"/>
      <c r="D20" s="44"/>
      <c r="E20" s="41">
        <v>5.25</v>
      </c>
      <c r="F20" s="47"/>
      <c r="G20" s="25">
        <f t="shared" si="0"/>
        <v>5.25</v>
      </c>
    </row>
    <row r="21" spans="1:7" x14ac:dyDescent="0.25">
      <c r="A21" s="10">
        <v>18</v>
      </c>
      <c r="B21" s="34" t="s">
        <v>70</v>
      </c>
      <c r="C21" s="50"/>
      <c r="D21" s="44"/>
      <c r="E21" s="41"/>
      <c r="F21" s="47">
        <v>79.790000000000006</v>
      </c>
      <c r="G21" s="25">
        <f t="shared" si="0"/>
        <v>79.790000000000006</v>
      </c>
    </row>
    <row r="22" spans="1:7" x14ac:dyDescent="0.25">
      <c r="A22" s="10">
        <v>19</v>
      </c>
      <c r="B22" s="34" t="s">
        <v>71</v>
      </c>
      <c r="C22" s="50"/>
      <c r="D22" s="44"/>
      <c r="E22" s="41"/>
      <c r="F22" s="47">
        <v>170.56</v>
      </c>
      <c r="G22" s="25">
        <f t="shared" si="0"/>
        <v>170.56</v>
      </c>
    </row>
    <row r="23" spans="1:7" x14ac:dyDescent="0.25">
      <c r="A23" s="10">
        <v>20</v>
      </c>
      <c r="B23" s="10">
        <v>2.0840000000000001</v>
      </c>
      <c r="C23" s="50">
        <v>16</v>
      </c>
      <c r="D23" s="44"/>
      <c r="E23" s="41"/>
      <c r="F23" s="47"/>
      <c r="G23" s="25">
        <f t="shared" si="0"/>
        <v>16</v>
      </c>
    </row>
    <row r="24" spans="1:7" x14ac:dyDescent="0.25">
      <c r="A24" s="10">
        <v>21</v>
      </c>
      <c r="B24" s="10">
        <v>2.0870000000000002</v>
      </c>
      <c r="C24" s="50">
        <v>19.46</v>
      </c>
      <c r="D24" s="44"/>
      <c r="E24" s="41"/>
      <c r="F24" s="47"/>
      <c r="G24" s="25">
        <f t="shared" si="0"/>
        <v>19.46</v>
      </c>
    </row>
    <row r="25" spans="1:7" x14ac:dyDescent="0.25">
      <c r="A25" s="10">
        <v>22</v>
      </c>
      <c r="B25" s="34" t="s">
        <v>72</v>
      </c>
      <c r="C25" s="50"/>
      <c r="D25" s="44"/>
      <c r="E25" s="41"/>
      <c r="F25" s="47">
        <v>10.24</v>
      </c>
      <c r="G25" s="25">
        <f t="shared" si="0"/>
        <v>10.24</v>
      </c>
    </row>
    <row r="26" spans="1:7" x14ac:dyDescent="0.25">
      <c r="A26" s="10">
        <v>23</v>
      </c>
      <c r="B26" s="34" t="s">
        <v>73</v>
      </c>
      <c r="C26" s="50"/>
      <c r="D26" s="44">
        <v>6.05</v>
      </c>
      <c r="E26" s="41"/>
      <c r="F26" s="47"/>
      <c r="G26" s="25">
        <f t="shared" si="0"/>
        <v>6.05</v>
      </c>
    </row>
    <row r="27" spans="1:7" x14ac:dyDescent="0.25">
      <c r="A27" s="10">
        <v>24</v>
      </c>
      <c r="B27" s="34" t="s">
        <v>74</v>
      </c>
      <c r="C27" s="50"/>
      <c r="D27" s="44">
        <v>12.15</v>
      </c>
      <c r="E27" s="41"/>
      <c r="F27" s="47"/>
      <c r="G27" s="25">
        <f t="shared" si="0"/>
        <v>12.15</v>
      </c>
    </row>
    <row r="28" spans="1:7" x14ac:dyDescent="0.25">
      <c r="A28" s="10">
        <v>25</v>
      </c>
      <c r="B28" s="34" t="s">
        <v>75</v>
      </c>
      <c r="C28" s="50"/>
      <c r="D28" s="44">
        <v>10.63</v>
      </c>
      <c r="E28" s="41"/>
      <c r="F28" s="47"/>
      <c r="G28" s="25">
        <f t="shared" si="0"/>
        <v>10.63</v>
      </c>
    </row>
    <row r="29" spans="1:7" x14ac:dyDescent="0.25">
      <c r="A29" s="10">
        <v>26</v>
      </c>
      <c r="B29" s="34" t="s">
        <v>76</v>
      </c>
      <c r="C29" s="50"/>
      <c r="D29" s="44"/>
      <c r="E29" s="41"/>
      <c r="F29" s="47">
        <v>23.36</v>
      </c>
      <c r="G29" s="25">
        <f t="shared" si="0"/>
        <v>23.36</v>
      </c>
    </row>
    <row r="30" spans="1:7" x14ac:dyDescent="0.25">
      <c r="A30" s="10">
        <v>27</v>
      </c>
      <c r="B30" s="34" t="s">
        <v>77</v>
      </c>
      <c r="C30" s="50"/>
      <c r="D30" s="44">
        <v>8.7899999999999991</v>
      </c>
      <c r="E30" s="41"/>
      <c r="F30" s="47"/>
      <c r="G30" s="25">
        <f t="shared" si="0"/>
        <v>8.7899999999999991</v>
      </c>
    </row>
    <row r="31" spans="1:7" x14ac:dyDescent="0.25">
      <c r="A31" s="10">
        <v>28</v>
      </c>
      <c r="B31" s="34" t="s">
        <v>78</v>
      </c>
      <c r="C31" s="50"/>
      <c r="D31" s="44">
        <v>14.39</v>
      </c>
      <c r="E31" s="41"/>
      <c r="F31" s="47"/>
      <c r="G31" s="25">
        <f t="shared" si="0"/>
        <v>14.39</v>
      </c>
    </row>
    <row r="32" spans="1:7" x14ac:dyDescent="0.25">
      <c r="A32" s="10">
        <v>29</v>
      </c>
      <c r="B32" s="34" t="s">
        <v>79</v>
      </c>
      <c r="C32" s="50"/>
      <c r="D32" s="44"/>
      <c r="E32" s="41">
        <v>4.8499999999999996</v>
      </c>
      <c r="F32" s="47"/>
      <c r="G32" s="25">
        <f t="shared" si="0"/>
        <v>4.8499999999999996</v>
      </c>
    </row>
    <row r="33" spans="1:9" x14ac:dyDescent="0.25">
      <c r="A33" s="10">
        <v>30</v>
      </c>
      <c r="B33" s="34" t="s">
        <v>80</v>
      </c>
      <c r="C33" s="50"/>
      <c r="D33" s="44"/>
      <c r="E33" s="41">
        <v>4.76</v>
      </c>
      <c r="F33" s="47"/>
      <c r="G33" s="25">
        <f t="shared" si="0"/>
        <v>4.76</v>
      </c>
    </row>
    <row r="34" spans="1:9" x14ac:dyDescent="0.25">
      <c r="A34" s="10">
        <v>31</v>
      </c>
      <c r="B34" s="34" t="s">
        <v>81</v>
      </c>
      <c r="C34" s="50"/>
      <c r="D34" s="44"/>
      <c r="E34" s="41"/>
      <c r="F34" s="47">
        <v>21.09</v>
      </c>
      <c r="G34" s="25">
        <f t="shared" si="0"/>
        <v>21.09</v>
      </c>
    </row>
    <row r="35" spans="1:9" x14ac:dyDescent="0.25">
      <c r="A35" s="10">
        <v>32</v>
      </c>
      <c r="B35" s="34" t="s">
        <v>82</v>
      </c>
      <c r="C35" s="50"/>
      <c r="D35" s="44">
        <v>8.19</v>
      </c>
      <c r="E35" s="41"/>
      <c r="F35" s="47"/>
      <c r="G35" s="25">
        <f t="shared" si="0"/>
        <v>8.19</v>
      </c>
    </row>
    <row r="36" spans="1:9" x14ac:dyDescent="0.25">
      <c r="A36" s="10">
        <v>33</v>
      </c>
      <c r="B36" s="34" t="s">
        <v>83</v>
      </c>
      <c r="C36" s="50"/>
      <c r="D36" s="44">
        <v>12.22</v>
      </c>
      <c r="E36" s="41"/>
      <c r="F36" s="47"/>
      <c r="G36" s="25">
        <f t="shared" si="0"/>
        <v>12.22</v>
      </c>
    </row>
    <row r="37" spans="1:9" x14ac:dyDescent="0.25">
      <c r="A37" s="10">
        <v>34</v>
      </c>
      <c r="B37" s="34" t="s">
        <v>84</v>
      </c>
      <c r="C37" s="50"/>
      <c r="D37" s="44"/>
      <c r="E37" s="41">
        <v>9.24</v>
      </c>
      <c r="F37" s="47"/>
      <c r="G37" s="25">
        <f t="shared" si="0"/>
        <v>9.24</v>
      </c>
    </row>
    <row r="38" spans="1:9" x14ac:dyDescent="0.25">
      <c r="A38" s="10">
        <v>35</v>
      </c>
      <c r="B38" s="34" t="s">
        <v>85</v>
      </c>
      <c r="C38" s="50"/>
      <c r="D38" s="44"/>
      <c r="E38" s="41"/>
      <c r="F38" s="47">
        <v>19.329999999999998</v>
      </c>
      <c r="G38" s="25">
        <f t="shared" si="0"/>
        <v>19.329999999999998</v>
      </c>
    </row>
    <row r="39" spans="1:9" x14ac:dyDescent="0.25">
      <c r="A39" s="10">
        <v>36</v>
      </c>
      <c r="B39" s="34" t="s">
        <v>86</v>
      </c>
      <c r="C39" s="50"/>
      <c r="D39" s="44">
        <v>8.4499999999999993</v>
      </c>
      <c r="E39" s="41"/>
      <c r="F39" s="47"/>
      <c r="G39" s="25">
        <f t="shared" si="0"/>
        <v>8.4499999999999993</v>
      </c>
    </row>
    <row r="40" spans="1:9" x14ac:dyDescent="0.25">
      <c r="A40" s="10">
        <v>37</v>
      </c>
      <c r="B40" s="34" t="s">
        <v>87</v>
      </c>
      <c r="C40" s="50"/>
      <c r="D40" s="44">
        <v>14.25</v>
      </c>
      <c r="E40" s="41"/>
      <c r="F40" s="47"/>
      <c r="G40" s="25">
        <f t="shared" si="0"/>
        <v>14.25</v>
      </c>
    </row>
    <row r="41" spans="1:9" x14ac:dyDescent="0.25">
      <c r="A41" s="10">
        <v>38</v>
      </c>
      <c r="B41" s="34" t="s">
        <v>88</v>
      </c>
      <c r="C41" s="50"/>
      <c r="D41" s="44"/>
      <c r="E41" s="41"/>
      <c r="F41" s="47">
        <v>19.36</v>
      </c>
      <c r="G41" s="25">
        <f t="shared" si="0"/>
        <v>19.36</v>
      </c>
    </row>
    <row r="42" spans="1:9" x14ac:dyDescent="0.25">
      <c r="A42" s="10">
        <v>39</v>
      </c>
      <c r="B42" s="34" t="s">
        <v>89</v>
      </c>
      <c r="C42" s="50"/>
      <c r="D42" s="44">
        <v>8.14</v>
      </c>
      <c r="E42" s="41"/>
      <c r="F42" s="47"/>
      <c r="G42" s="25">
        <f>SUM(C42:F42)</f>
        <v>8.14</v>
      </c>
    </row>
    <row r="43" spans="1:9" x14ac:dyDescent="0.25">
      <c r="A43" s="10">
        <v>40</v>
      </c>
      <c r="B43" s="34" t="s">
        <v>90</v>
      </c>
      <c r="C43" s="50"/>
      <c r="D43" s="44">
        <v>16.28</v>
      </c>
      <c r="E43" s="41"/>
      <c r="F43" s="47"/>
      <c r="G43" s="25">
        <f t="shared" si="0"/>
        <v>16.28</v>
      </c>
    </row>
    <row r="44" spans="1:9" x14ac:dyDescent="0.25">
      <c r="A44" s="10">
        <v>41</v>
      </c>
      <c r="B44" s="34" t="s">
        <v>91</v>
      </c>
      <c r="C44" s="50">
        <v>33.049999999999997</v>
      </c>
      <c r="D44" s="44"/>
      <c r="E44" s="41"/>
      <c r="F44" s="47"/>
      <c r="G44" s="25">
        <f t="shared" si="0"/>
        <v>33.049999999999997</v>
      </c>
    </row>
    <row r="45" spans="1:9" x14ac:dyDescent="0.25">
      <c r="A45" s="10">
        <v>42</v>
      </c>
      <c r="B45" s="34" t="s">
        <v>92</v>
      </c>
      <c r="C45" s="50">
        <v>8.02</v>
      </c>
      <c r="D45" s="44"/>
      <c r="E45" s="41"/>
      <c r="F45" s="47"/>
      <c r="G45" s="25">
        <f t="shared" si="0"/>
        <v>8.02</v>
      </c>
    </row>
    <row r="46" spans="1:9" x14ac:dyDescent="0.25">
      <c r="A46" s="10"/>
      <c r="B46" s="10" t="s">
        <v>52</v>
      </c>
      <c r="C46" s="50">
        <f>SUM(C4:C45)</f>
        <v>90.149999999999991</v>
      </c>
      <c r="D46" s="44">
        <f t="shared" ref="D46:F46" si="1">SUM(D4:D45)</f>
        <v>163.69000000000003</v>
      </c>
      <c r="E46" s="41">
        <f t="shared" si="1"/>
        <v>27.32</v>
      </c>
      <c r="F46" s="47">
        <f t="shared" si="1"/>
        <v>1276.3799999999997</v>
      </c>
      <c r="G46" s="25">
        <f>SUM(G4:G45)</f>
        <v>1557.54</v>
      </c>
    </row>
    <row r="47" spans="1:9" hidden="1" x14ac:dyDescent="0.25">
      <c r="B47" s="13">
        <v>2.16</v>
      </c>
      <c r="H47">
        <v>0</v>
      </c>
    </row>
    <row r="48" spans="1:9" hidden="1" x14ac:dyDescent="0.25">
      <c r="B48" s="11">
        <v>2.081</v>
      </c>
      <c r="I48">
        <v>0</v>
      </c>
    </row>
    <row r="49" spans="2:10" hidden="1" x14ac:dyDescent="0.25">
      <c r="B49" s="11">
        <v>2.085</v>
      </c>
      <c r="J49">
        <v>0</v>
      </c>
    </row>
  </sheetData>
  <mergeCells count="1">
    <mergeCell ref="A1:G1"/>
  </mergeCells>
  <pageMargins left="0.7" right="0.7" top="0.75" bottom="0.75" header="0.3" footer="0.3"/>
  <pageSetup paperSize="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2"/>
  <sheetViews>
    <sheetView zoomScaleNormal="100" workbookViewId="0">
      <selection activeCell="C3" sqref="C3:C8"/>
    </sheetView>
  </sheetViews>
  <sheetFormatPr defaultRowHeight="15" x14ac:dyDescent="0.25"/>
  <cols>
    <col min="1" max="1" width="7.5703125" style="11" customWidth="1"/>
    <col min="2" max="2" width="50.28515625" style="12" customWidth="1"/>
    <col min="3" max="3" width="13.5703125" style="12" customWidth="1"/>
    <col min="4" max="4" width="9.140625" style="11" customWidth="1"/>
    <col min="5" max="5" width="14.5703125" style="13" customWidth="1"/>
    <col min="6" max="6" width="8.85546875" style="14" customWidth="1"/>
    <col min="7" max="9" width="0" hidden="1" customWidth="1"/>
  </cols>
  <sheetData>
    <row r="1" spans="1:9" x14ac:dyDescent="0.25">
      <c r="A1" s="1"/>
      <c r="B1" s="2" t="s">
        <v>9</v>
      </c>
      <c r="C1" s="15"/>
      <c r="D1" s="3"/>
      <c r="E1" s="4"/>
      <c r="F1" s="5"/>
      <c r="G1" s="16"/>
    </row>
    <row r="2" spans="1:9" x14ac:dyDescent="0.25">
      <c r="A2" s="1" t="s">
        <v>0</v>
      </c>
      <c r="B2" s="17" t="s">
        <v>1</v>
      </c>
      <c r="C2" s="17" t="s">
        <v>36</v>
      </c>
      <c r="D2" s="3" t="s">
        <v>2</v>
      </c>
      <c r="E2" s="4" t="s">
        <v>3</v>
      </c>
      <c r="F2" s="5" t="s">
        <v>4</v>
      </c>
      <c r="G2" s="16" t="s">
        <v>4</v>
      </c>
    </row>
    <row r="3" spans="1:9" ht="26.25" x14ac:dyDescent="0.25">
      <c r="A3" s="29">
        <v>1</v>
      </c>
      <c r="B3" s="28" t="s">
        <v>25</v>
      </c>
      <c r="C3" s="28" t="s">
        <v>95</v>
      </c>
      <c r="D3" s="29" t="s">
        <v>7</v>
      </c>
      <c r="E3" s="21">
        <v>1</v>
      </c>
      <c r="F3" s="22">
        <f>'Спец 3 эт'!E28</f>
        <v>25.92</v>
      </c>
      <c r="G3" s="23">
        <v>122.25</v>
      </c>
      <c r="I3" s="32">
        <f t="shared" ref="I3:I12" si="0">F3-G3</f>
        <v>-96.33</v>
      </c>
    </row>
    <row r="4" spans="1:9" x14ac:dyDescent="0.25">
      <c r="A4" s="10">
        <v>1.1000000000000001</v>
      </c>
      <c r="B4" s="9" t="s">
        <v>22</v>
      </c>
      <c r="C4" s="9"/>
      <c r="D4" s="10" t="s">
        <v>41</v>
      </c>
      <c r="E4" s="8">
        <v>8</v>
      </c>
      <c r="F4" s="25">
        <f>ROUND(E4*F3, 0)</f>
        <v>207</v>
      </c>
      <c r="G4" s="16">
        <v>978</v>
      </c>
      <c r="I4" s="32">
        <f t="shared" si="0"/>
        <v>-771</v>
      </c>
    </row>
    <row r="5" spans="1:9" x14ac:dyDescent="0.25">
      <c r="A5" s="10">
        <v>1.2</v>
      </c>
      <c r="B5" s="30" t="s">
        <v>23</v>
      </c>
      <c r="C5" s="30"/>
      <c r="D5" s="10" t="s">
        <v>6</v>
      </c>
      <c r="E5" s="8">
        <v>1.8</v>
      </c>
      <c r="F5" s="25">
        <f>E5*F3*60</f>
        <v>2799.3600000000006</v>
      </c>
      <c r="G5" s="16">
        <v>13203</v>
      </c>
      <c r="H5">
        <f>G5/G3/E5</f>
        <v>60</v>
      </c>
      <c r="I5" s="32">
        <f t="shared" si="0"/>
        <v>-10403.64</v>
      </c>
    </row>
    <row r="6" spans="1:9" x14ac:dyDescent="0.25">
      <c r="A6" s="10">
        <v>1.3</v>
      </c>
      <c r="B6" s="9" t="s">
        <v>24</v>
      </c>
      <c r="C6" s="9"/>
      <c r="D6" s="10" t="s">
        <v>7</v>
      </c>
      <c r="E6" s="8">
        <v>1.1000000000000001</v>
      </c>
      <c r="F6" s="25">
        <f>E6*F3</f>
        <v>28.512000000000004</v>
      </c>
      <c r="G6" s="16">
        <v>134.47499999999999</v>
      </c>
      <c r="I6" s="32">
        <f t="shared" si="0"/>
        <v>-105.96299999999999</v>
      </c>
    </row>
    <row r="7" spans="1:9" x14ac:dyDescent="0.25">
      <c r="A7" s="10">
        <v>1.4</v>
      </c>
      <c r="B7" s="9" t="s">
        <v>12</v>
      </c>
      <c r="C7" s="9"/>
      <c r="D7" s="10" t="s">
        <v>5</v>
      </c>
      <c r="E7" s="8">
        <v>1</v>
      </c>
      <c r="F7" s="25">
        <f>E7*F3</f>
        <v>25.92</v>
      </c>
      <c r="G7" s="16">
        <v>122.25</v>
      </c>
      <c r="I7" s="32">
        <f t="shared" si="0"/>
        <v>-96.33</v>
      </c>
    </row>
    <row r="8" spans="1:9" ht="26.25" x14ac:dyDescent="0.25">
      <c r="A8" s="29">
        <v>2</v>
      </c>
      <c r="B8" s="28" t="s">
        <v>26</v>
      </c>
      <c r="C8" s="55" t="s">
        <v>96</v>
      </c>
      <c r="D8" s="29" t="s">
        <v>7</v>
      </c>
      <c r="E8" s="21">
        <v>1</v>
      </c>
      <c r="F8" s="22">
        <f>'Спец 3 эт'!C28+'Спец 3 эт'!D28+'Спец 3 эт'!F28</f>
        <v>1745.29</v>
      </c>
      <c r="G8" s="23">
        <v>5553.92</v>
      </c>
      <c r="I8" s="32">
        <f t="shared" si="0"/>
        <v>-3808.63</v>
      </c>
    </row>
    <row r="9" spans="1:9" x14ac:dyDescent="0.25">
      <c r="A9" s="10">
        <v>2.1</v>
      </c>
      <c r="B9" s="9" t="s">
        <v>22</v>
      </c>
      <c r="C9" s="9"/>
      <c r="D9" s="10" t="s">
        <v>41</v>
      </c>
      <c r="E9" s="8">
        <v>8</v>
      </c>
      <c r="F9" s="25">
        <f>ROUND(E9*F8, 0)</f>
        <v>13962</v>
      </c>
      <c r="G9" s="16">
        <v>44431.360000000001</v>
      </c>
      <c r="I9" s="32">
        <f t="shared" si="0"/>
        <v>-30469.360000000001</v>
      </c>
    </row>
    <row r="10" spans="1:9" x14ac:dyDescent="0.25">
      <c r="A10" s="10">
        <v>2.2000000000000002</v>
      </c>
      <c r="B10" s="30" t="s">
        <v>23</v>
      </c>
      <c r="C10" s="30"/>
      <c r="D10" s="10" t="s">
        <v>6</v>
      </c>
      <c r="E10" s="8">
        <v>1.8</v>
      </c>
      <c r="F10" s="25">
        <f>E10*F8*65</f>
        <v>204198.93</v>
      </c>
      <c r="G10" s="16">
        <v>649808.64000000001</v>
      </c>
      <c r="H10">
        <f>G10/G8/E10</f>
        <v>65</v>
      </c>
      <c r="I10" s="32">
        <f t="shared" si="0"/>
        <v>-445609.71</v>
      </c>
    </row>
    <row r="11" spans="1:9" x14ac:dyDescent="0.25">
      <c r="A11" s="10">
        <v>2.2999999999999998</v>
      </c>
      <c r="B11" s="30" t="s">
        <v>24</v>
      </c>
      <c r="C11" s="30"/>
      <c r="D11" s="10" t="s">
        <v>7</v>
      </c>
      <c r="E11" s="8">
        <v>1.1000000000000001</v>
      </c>
      <c r="F11" s="25">
        <f>E11*F8</f>
        <v>1919.8190000000002</v>
      </c>
      <c r="G11" s="16">
        <v>6109.3119999999999</v>
      </c>
      <c r="I11" s="32">
        <f t="shared" si="0"/>
        <v>-4189.4929999999995</v>
      </c>
    </row>
    <row r="12" spans="1:9" x14ac:dyDescent="0.25">
      <c r="A12" s="10">
        <v>2.4</v>
      </c>
      <c r="B12" s="30" t="s">
        <v>12</v>
      </c>
      <c r="C12" s="30"/>
      <c r="D12" s="10" t="s">
        <v>5</v>
      </c>
      <c r="E12" s="8">
        <v>1</v>
      </c>
      <c r="F12" s="25">
        <f>E12*F8</f>
        <v>1745.29</v>
      </c>
      <c r="G12" s="16">
        <v>5553.92</v>
      </c>
      <c r="I12" s="32">
        <f t="shared" si="0"/>
        <v>-3808.63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31"/>
  <sheetViews>
    <sheetView zoomScale="115" zoomScaleNormal="115" workbookViewId="0">
      <selection activeCell="A45" sqref="A1:XFD45"/>
    </sheetView>
  </sheetViews>
  <sheetFormatPr defaultRowHeight="15" x14ac:dyDescent="0.25"/>
  <cols>
    <col min="1" max="1" width="7" style="11" customWidth="1"/>
    <col min="2" max="2" width="11.140625" style="11" customWidth="1"/>
    <col min="3" max="6" width="8.7109375" style="11" customWidth="1"/>
    <col min="7" max="7" width="8.7109375" style="37" customWidth="1"/>
    <col min="8" max="11" width="0" hidden="1" customWidth="1"/>
  </cols>
  <sheetData>
    <row r="1" spans="1:11" x14ac:dyDescent="0.25">
      <c r="A1" s="92" t="s">
        <v>48</v>
      </c>
      <c r="B1" s="92"/>
      <c r="C1" s="92"/>
      <c r="D1" s="92"/>
      <c r="E1" s="92"/>
      <c r="F1" s="92"/>
      <c r="G1" s="92"/>
    </row>
    <row r="2" spans="1:11" x14ac:dyDescent="0.25">
      <c r="A2" s="10"/>
      <c r="B2" s="34" t="s">
        <v>93</v>
      </c>
      <c r="C2" s="48">
        <v>6.1</v>
      </c>
      <c r="D2" s="42">
        <v>7.2</v>
      </c>
      <c r="E2" s="39">
        <v>8.3000000000000007</v>
      </c>
      <c r="F2" s="45">
        <v>9.1999999999999993</v>
      </c>
      <c r="G2" s="35" t="s">
        <v>49</v>
      </c>
      <c r="H2" s="38">
        <v>4.4000000000000004</v>
      </c>
      <c r="I2" s="38">
        <v>11</v>
      </c>
      <c r="J2" s="38">
        <v>11.1</v>
      </c>
    </row>
    <row r="3" spans="1:11" x14ac:dyDescent="0.25">
      <c r="A3" s="10" t="s">
        <v>0</v>
      </c>
      <c r="B3" s="36" t="s">
        <v>50</v>
      </c>
      <c r="C3" s="49" t="s">
        <v>51</v>
      </c>
      <c r="D3" s="43" t="s">
        <v>51</v>
      </c>
      <c r="E3" s="40" t="s">
        <v>51</v>
      </c>
      <c r="F3" s="46" t="s">
        <v>51</v>
      </c>
      <c r="G3" s="25" t="s">
        <v>51</v>
      </c>
    </row>
    <row r="4" spans="1:11" x14ac:dyDescent="0.25">
      <c r="A4" s="10">
        <v>1</v>
      </c>
      <c r="B4" s="54">
        <v>3.0059999999999998</v>
      </c>
      <c r="C4" s="50">
        <v>13.62</v>
      </c>
      <c r="D4" s="44"/>
      <c r="E4" s="41"/>
      <c r="F4" s="47"/>
      <c r="G4" s="25">
        <f t="shared" ref="G4:G27" si="0">SUM(C4:F4)</f>
        <v>13.62</v>
      </c>
      <c r="K4">
        <v>1</v>
      </c>
    </row>
    <row r="5" spans="1:11" x14ac:dyDescent="0.25">
      <c r="A5" s="10">
        <v>2</v>
      </c>
      <c r="B5" s="54">
        <v>3.0939999999999999</v>
      </c>
      <c r="C5" s="50">
        <v>15.07</v>
      </c>
      <c r="D5" s="44"/>
      <c r="E5" s="41"/>
      <c r="F5" s="47"/>
      <c r="G5" s="25">
        <f t="shared" si="0"/>
        <v>15.07</v>
      </c>
      <c r="K5">
        <v>4.0999999999999996</v>
      </c>
    </row>
    <row r="6" spans="1:11" x14ac:dyDescent="0.25">
      <c r="A6" s="10">
        <v>3</v>
      </c>
      <c r="B6" s="54">
        <v>3.0150000000000001</v>
      </c>
      <c r="C6" s="50"/>
      <c r="D6" s="44">
        <v>17.21</v>
      </c>
      <c r="E6" s="41"/>
      <c r="F6" s="47"/>
      <c r="G6" s="25">
        <f t="shared" si="0"/>
        <v>17.21</v>
      </c>
      <c r="K6">
        <v>1</v>
      </c>
    </row>
    <row r="7" spans="1:11" x14ac:dyDescent="0.25">
      <c r="A7" s="10">
        <v>4</v>
      </c>
      <c r="B7" s="54">
        <v>3.016</v>
      </c>
      <c r="C7" s="50"/>
      <c r="D7" s="44">
        <v>21.12</v>
      </c>
      <c r="E7" s="41"/>
      <c r="F7" s="47"/>
      <c r="G7" s="25">
        <f t="shared" si="0"/>
        <v>21.12</v>
      </c>
      <c r="K7">
        <v>1</v>
      </c>
    </row>
    <row r="8" spans="1:11" x14ac:dyDescent="0.25">
      <c r="A8" s="10">
        <v>5</v>
      </c>
      <c r="B8" s="54">
        <v>3.0169999999999999</v>
      </c>
      <c r="C8" s="50"/>
      <c r="D8" s="44">
        <v>5.0599999999999996</v>
      </c>
      <c r="E8" s="41"/>
      <c r="F8" s="47"/>
      <c r="G8" s="25">
        <f t="shared" si="0"/>
        <v>5.0599999999999996</v>
      </c>
      <c r="K8">
        <v>1</v>
      </c>
    </row>
    <row r="9" spans="1:11" x14ac:dyDescent="0.25">
      <c r="A9" s="10">
        <v>6</v>
      </c>
      <c r="B9" s="54">
        <v>3.0179999999999998</v>
      </c>
      <c r="C9" s="50"/>
      <c r="D9" s="44"/>
      <c r="E9" s="41">
        <v>5.0599999999999996</v>
      </c>
      <c r="F9" s="47"/>
      <c r="G9" s="25">
        <f t="shared" si="0"/>
        <v>5.0599999999999996</v>
      </c>
      <c r="K9">
        <v>1</v>
      </c>
    </row>
    <row r="10" spans="1:11" x14ac:dyDescent="0.25">
      <c r="A10" s="10">
        <v>7</v>
      </c>
      <c r="B10" s="54">
        <v>3.0920000000000001</v>
      </c>
      <c r="C10" s="50"/>
      <c r="D10" s="44"/>
      <c r="E10" s="41">
        <v>5.24</v>
      </c>
      <c r="F10" s="47"/>
      <c r="G10" s="25">
        <f t="shared" si="0"/>
        <v>5.24</v>
      </c>
      <c r="K10">
        <v>1</v>
      </c>
    </row>
    <row r="11" spans="1:11" x14ac:dyDescent="0.25">
      <c r="A11" s="10">
        <v>8</v>
      </c>
      <c r="B11" s="54">
        <v>3.0209999999999999</v>
      </c>
      <c r="C11" s="50"/>
      <c r="D11" s="44"/>
      <c r="E11" s="41">
        <v>15.62</v>
      </c>
      <c r="F11" s="47"/>
      <c r="G11" s="25">
        <f t="shared" si="0"/>
        <v>15.62</v>
      </c>
      <c r="K11">
        <v>4.0999999999999996</v>
      </c>
    </row>
    <row r="12" spans="1:11" x14ac:dyDescent="0.25">
      <c r="A12" s="10">
        <v>9</v>
      </c>
      <c r="B12" s="54">
        <v>3.0009999999999999</v>
      </c>
      <c r="C12" s="50"/>
      <c r="D12" s="44"/>
      <c r="E12" s="41"/>
      <c r="F12" s="47">
        <v>129.68</v>
      </c>
      <c r="G12" s="25">
        <f t="shared" si="0"/>
        <v>129.68</v>
      </c>
      <c r="K12">
        <v>1</v>
      </c>
    </row>
    <row r="13" spans="1:11" x14ac:dyDescent="0.25">
      <c r="A13" s="10">
        <v>10</v>
      </c>
      <c r="B13" s="54">
        <v>3.0019999999999998</v>
      </c>
      <c r="C13" s="50"/>
      <c r="D13" s="44"/>
      <c r="E13" s="41"/>
      <c r="F13" s="47">
        <v>73.05</v>
      </c>
      <c r="G13" s="25">
        <f t="shared" si="0"/>
        <v>73.05</v>
      </c>
      <c r="K13">
        <v>1</v>
      </c>
    </row>
    <row r="14" spans="1:11" x14ac:dyDescent="0.25">
      <c r="A14" s="10">
        <v>11</v>
      </c>
      <c r="B14" s="54">
        <v>3.0030000000000001</v>
      </c>
      <c r="C14" s="50"/>
      <c r="D14" s="44"/>
      <c r="E14" s="41"/>
      <c r="F14" s="47">
        <v>71.709999999999994</v>
      </c>
      <c r="G14" s="25">
        <f t="shared" si="0"/>
        <v>71.709999999999994</v>
      </c>
      <c r="K14">
        <v>1</v>
      </c>
    </row>
    <row r="15" spans="1:11" x14ac:dyDescent="0.25">
      <c r="A15" s="10">
        <v>12</v>
      </c>
      <c r="B15" s="54">
        <v>3.004</v>
      </c>
      <c r="C15" s="50"/>
      <c r="D15" s="44"/>
      <c r="E15" s="41"/>
      <c r="F15" s="47">
        <v>67.59</v>
      </c>
      <c r="G15" s="25">
        <f t="shared" si="0"/>
        <v>67.59</v>
      </c>
      <c r="K15">
        <v>1</v>
      </c>
    </row>
    <row r="16" spans="1:11" x14ac:dyDescent="0.25">
      <c r="A16" s="10">
        <v>13</v>
      </c>
      <c r="B16" s="54">
        <v>3.0049999999999999</v>
      </c>
      <c r="C16" s="50"/>
      <c r="D16" s="44"/>
      <c r="E16" s="41"/>
      <c r="F16" s="47">
        <v>239.62</v>
      </c>
      <c r="G16" s="25">
        <f t="shared" si="0"/>
        <v>239.62</v>
      </c>
      <c r="K16">
        <v>1</v>
      </c>
    </row>
    <row r="17" spans="1:11" x14ac:dyDescent="0.25">
      <c r="A17" s="10">
        <v>14</v>
      </c>
      <c r="B17" s="54">
        <v>3.008</v>
      </c>
      <c r="C17" s="50"/>
      <c r="D17" s="44"/>
      <c r="E17" s="41"/>
      <c r="F17" s="47">
        <v>67.84</v>
      </c>
      <c r="G17" s="25">
        <f t="shared" si="0"/>
        <v>67.84</v>
      </c>
      <c r="K17">
        <v>1</v>
      </c>
    </row>
    <row r="18" spans="1:11" x14ac:dyDescent="0.25">
      <c r="A18" s="10">
        <v>15</v>
      </c>
      <c r="B18" s="54">
        <v>3.0089999999999999</v>
      </c>
      <c r="C18" s="50"/>
      <c r="D18" s="44"/>
      <c r="E18" s="41"/>
      <c r="F18" s="47">
        <v>68</v>
      </c>
      <c r="G18" s="25">
        <f t="shared" si="0"/>
        <v>68</v>
      </c>
      <c r="K18">
        <v>1</v>
      </c>
    </row>
    <row r="19" spans="1:11" x14ac:dyDescent="0.25">
      <c r="A19" s="10">
        <v>16</v>
      </c>
      <c r="B19" s="54">
        <v>3.01</v>
      </c>
      <c r="C19" s="50"/>
      <c r="D19" s="44"/>
      <c r="E19" s="41"/>
      <c r="F19" s="47">
        <v>68</v>
      </c>
      <c r="G19" s="25">
        <f t="shared" si="0"/>
        <v>68</v>
      </c>
      <c r="K19">
        <v>1</v>
      </c>
    </row>
    <row r="20" spans="1:11" x14ac:dyDescent="0.25">
      <c r="A20" s="10">
        <v>17</v>
      </c>
      <c r="B20" s="54">
        <v>3.0110000000000001</v>
      </c>
      <c r="C20" s="50"/>
      <c r="D20" s="44"/>
      <c r="E20" s="41"/>
      <c r="F20" s="47">
        <v>67.14</v>
      </c>
      <c r="G20" s="25">
        <f t="shared" si="0"/>
        <v>67.14</v>
      </c>
      <c r="K20">
        <v>1</v>
      </c>
    </row>
    <row r="21" spans="1:11" x14ac:dyDescent="0.25">
      <c r="A21" s="10">
        <v>18</v>
      </c>
      <c r="B21" s="54">
        <v>3.012</v>
      </c>
      <c r="C21" s="50"/>
      <c r="D21" s="44"/>
      <c r="E21" s="41"/>
      <c r="F21" s="47">
        <v>68</v>
      </c>
      <c r="G21" s="25">
        <f t="shared" si="0"/>
        <v>68</v>
      </c>
      <c r="K21">
        <v>1</v>
      </c>
    </row>
    <row r="22" spans="1:11" x14ac:dyDescent="0.25">
      <c r="A22" s="10">
        <v>19</v>
      </c>
      <c r="B22" s="54">
        <v>3.0129999999999999</v>
      </c>
      <c r="C22" s="50"/>
      <c r="D22" s="44"/>
      <c r="E22" s="41"/>
      <c r="F22" s="47">
        <v>68</v>
      </c>
      <c r="G22" s="25">
        <f t="shared" si="0"/>
        <v>68</v>
      </c>
      <c r="K22">
        <v>1</v>
      </c>
    </row>
    <row r="23" spans="1:11" x14ac:dyDescent="0.25">
      <c r="A23" s="10">
        <v>20</v>
      </c>
      <c r="B23" s="54">
        <v>3.0139999999999998</v>
      </c>
      <c r="C23" s="50"/>
      <c r="D23" s="44"/>
      <c r="E23" s="41"/>
      <c r="F23" s="47">
        <v>148.61000000000001</v>
      </c>
      <c r="G23" s="25">
        <f t="shared" si="0"/>
        <v>148.61000000000001</v>
      </c>
      <c r="K23">
        <v>1</v>
      </c>
    </row>
    <row r="24" spans="1:11" x14ac:dyDescent="0.25">
      <c r="A24" s="10">
        <v>21</v>
      </c>
      <c r="B24" s="8">
        <v>3.0190000000000001</v>
      </c>
      <c r="C24" s="50"/>
      <c r="D24" s="44"/>
      <c r="E24" s="41"/>
      <c r="F24" s="47">
        <v>244.28</v>
      </c>
      <c r="G24" s="25">
        <f t="shared" si="0"/>
        <v>244.28</v>
      </c>
      <c r="K24">
        <v>4.0999999999999996</v>
      </c>
    </row>
    <row r="25" spans="1:11" x14ac:dyDescent="0.25">
      <c r="A25" s="10">
        <v>22</v>
      </c>
      <c r="B25" s="54">
        <v>3.02</v>
      </c>
      <c r="C25" s="50"/>
      <c r="D25" s="44"/>
      <c r="E25" s="41"/>
      <c r="F25" s="47">
        <v>137.72999999999999</v>
      </c>
      <c r="G25" s="25">
        <f t="shared" si="0"/>
        <v>137.72999999999999</v>
      </c>
      <c r="K25">
        <v>4.0999999999999996</v>
      </c>
    </row>
    <row r="26" spans="1:11" x14ac:dyDescent="0.25">
      <c r="A26" s="10">
        <v>23</v>
      </c>
      <c r="B26" s="54">
        <v>3.085</v>
      </c>
      <c r="C26" s="50"/>
      <c r="D26" s="44"/>
      <c r="E26" s="41"/>
      <c r="F26" s="47">
        <v>13.16</v>
      </c>
      <c r="G26" s="25">
        <f t="shared" si="0"/>
        <v>13.16</v>
      </c>
      <c r="K26">
        <v>4.0999999999999996</v>
      </c>
    </row>
    <row r="27" spans="1:11" x14ac:dyDescent="0.25">
      <c r="A27" s="10">
        <v>24</v>
      </c>
      <c r="B27" s="54" t="s">
        <v>94</v>
      </c>
      <c r="C27" s="50"/>
      <c r="D27" s="44"/>
      <c r="E27" s="41"/>
      <c r="F27" s="47">
        <v>140.80000000000001</v>
      </c>
      <c r="G27" s="25">
        <f t="shared" si="0"/>
        <v>140.80000000000001</v>
      </c>
      <c r="K27">
        <v>4.0999999999999996</v>
      </c>
    </row>
    <row r="28" spans="1:11" x14ac:dyDescent="0.25">
      <c r="A28" s="10"/>
      <c r="B28" s="10" t="s">
        <v>52</v>
      </c>
      <c r="C28" s="50">
        <f>SUM(C4:C27)</f>
        <v>28.689999999999998</v>
      </c>
      <c r="D28" s="44">
        <f>SUM(D4:D27)</f>
        <v>43.39</v>
      </c>
      <c r="E28" s="41">
        <f>SUM(E4:E27)</f>
        <v>25.92</v>
      </c>
      <c r="F28" s="47">
        <f>SUM(F4:F27)</f>
        <v>1673.21</v>
      </c>
      <c r="G28" s="25">
        <f>SUM(G4:G27)</f>
        <v>1771.2100000000003</v>
      </c>
    </row>
    <row r="29" spans="1:11" x14ac:dyDescent="0.25">
      <c r="B29" s="13"/>
      <c r="H29">
        <v>0</v>
      </c>
    </row>
    <row r="30" spans="1:11" x14ac:dyDescent="0.25">
      <c r="I30">
        <v>0</v>
      </c>
    </row>
    <row r="31" spans="1:11" x14ac:dyDescent="0.25">
      <c r="J31">
        <v>0</v>
      </c>
    </row>
  </sheetData>
  <mergeCells count="1">
    <mergeCell ref="A1:G1"/>
  </mergeCells>
  <pageMargins left="0.7" right="0.7" top="0.75" bottom="0.75" header="0.3" footer="0.3"/>
  <pageSetup paperSize="9" orientation="portrait" horizontalDpi="0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44"/>
  <sheetViews>
    <sheetView topLeftCell="A18" zoomScale="115" zoomScaleNormal="115" workbookViewId="0">
      <selection activeCell="A45" sqref="A1:XFD45"/>
    </sheetView>
  </sheetViews>
  <sheetFormatPr defaultRowHeight="15" x14ac:dyDescent="0.25"/>
  <cols>
    <col min="1" max="1" width="7.5703125" style="11" customWidth="1"/>
    <col min="2" max="2" width="50.28515625" style="12" customWidth="1"/>
    <col min="3" max="3" width="13.5703125" style="12" customWidth="1"/>
    <col min="4" max="4" width="9.140625" style="11" customWidth="1"/>
    <col min="5" max="5" width="14.5703125" style="13" customWidth="1"/>
    <col min="6" max="6" width="8.85546875" style="14" customWidth="1"/>
    <col min="7" max="9" width="0" hidden="1" customWidth="1"/>
  </cols>
  <sheetData>
    <row r="1" spans="1:9" x14ac:dyDescent="0.25">
      <c r="A1" s="1"/>
      <c r="B1" s="2" t="s">
        <v>9</v>
      </c>
      <c r="C1" s="15"/>
      <c r="D1" s="3"/>
      <c r="E1" s="4"/>
      <c r="F1" s="5"/>
      <c r="G1" s="16"/>
    </row>
    <row r="2" spans="1:9" x14ac:dyDescent="0.25">
      <c r="A2" s="1" t="s">
        <v>0</v>
      </c>
      <c r="B2" s="17" t="s">
        <v>1</v>
      </c>
      <c r="C2" s="17" t="s">
        <v>36</v>
      </c>
      <c r="D2" s="3" t="s">
        <v>2</v>
      </c>
      <c r="E2" s="4" t="s">
        <v>3</v>
      </c>
      <c r="F2" s="5" t="s">
        <v>4</v>
      </c>
      <c r="G2" s="16" t="s">
        <v>4</v>
      </c>
    </row>
    <row r="3" spans="1:9" ht="25.5" x14ac:dyDescent="0.25">
      <c r="A3" s="18" t="s">
        <v>29</v>
      </c>
      <c r="B3" s="19" t="s">
        <v>10</v>
      </c>
      <c r="C3" s="19" t="s">
        <v>37</v>
      </c>
      <c r="D3" s="20" t="s">
        <v>7</v>
      </c>
      <c r="E3" s="21">
        <v>1</v>
      </c>
      <c r="F3" s="22">
        <v>4905.38</v>
      </c>
      <c r="G3" s="23">
        <v>4905.38</v>
      </c>
      <c r="I3" s="32">
        <f t="shared" ref="I3:I43" si="0">F3-G3</f>
        <v>0</v>
      </c>
    </row>
    <row r="4" spans="1:9" x14ac:dyDescent="0.25">
      <c r="A4" s="24"/>
      <c r="B4" s="6" t="s">
        <v>11</v>
      </c>
      <c r="C4" s="6"/>
      <c r="D4" s="7" t="s">
        <v>6</v>
      </c>
      <c r="E4" s="8">
        <v>1.6</v>
      </c>
      <c r="F4" s="25">
        <f>E4*F3*10</f>
        <v>78486.080000000002</v>
      </c>
      <c r="G4" s="16">
        <v>78486.080000000002</v>
      </c>
      <c r="I4" s="32">
        <f t="shared" si="0"/>
        <v>0</v>
      </c>
    </row>
    <row r="5" spans="1:9" x14ac:dyDescent="0.25">
      <c r="A5" s="24"/>
      <c r="B5" s="6" t="s">
        <v>12</v>
      </c>
      <c r="C5" s="6"/>
      <c r="D5" s="7" t="s">
        <v>5</v>
      </c>
      <c r="E5" s="8">
        <v>1</v>
      </c>
      <c r="F5" s="25">
        <f>E5*F3</f>
        <v>4905.38</v>
      </c>
      <c r="G5" s="16">
        <v>4905.38</v>
      </c>
      <c r="I5" s="32">
        <f t="shared" si="0"/>
        <v>0</v>
      </c>
    </row>
    <row r="6" spans="1:9" ht="25.5" x14ac:dyDescent="0.25">
      <c r="A6" s="24"/>
      <c r="B6" s="26" t="s">
        <v>13</v>
      </c>
      <c r="C6" s="26"/>
      <c r="D6" s="7" t="s">
        <v>6</v>
      </c>
      <c r="E6" s="8">
        <v>0.255</v>
      </c>
      <c r="F6" s="25">
        <f>E6*F3</f>
        <v>1250.8719000000001</v>
      </c>
      <c r="G6" s="16">
        <v>1250.8720000000001</v>
      </c>
      <c r="I6" s="32">
        <f t="shared" si="0"/>
        <v>-9.9999999974897946E-5</v>
      </c>
    </row>
    <row r="7" spans="1:9" ht="51" x14ac:dyDescent="0.25">
      <c r="A7" s="18" t="s">
        <v>30</v>
      </c>
      <c r="B7" s="27" t="s">
        <v>14</v>
      </c>
      <c r="C7" s="27" t="s">
        <v>47</v>
      </c>
      <c r="D7" s="20" t="s">
        <v>7</v>
      </c>
      <c r="E7" s="21">
        <v>1</v>
      </c>
      <c r="F7" s="22">
        <v>2785.09</v>
      </c>
      <c r="G7" s="23">
        <v>2785.09</v>
      </c>
      <c r="I7" s="32">
        <f t="shared" si="0"/>
        <v>0</v>
      </c>
    </row>
    <row r="8" spans="1:9" x14ac:dyDescent="0.25">
      <c r="A8" s="24"/>
      <c r="B8" s="9" t="s">
        <v>15</v>
      </c>
      <c r="C8" s="9"/>
      <c r="D8" s="7" t="s">
        <v>7</v>
      </c>
      <c r="E8" s="8">
        <v>1.1000000000000001</v>
      </c>
      <c r="F8" s="25">
        <f>E8*F7</f>
        <v>3063.5990000000006</v>
      </c>
      <c r="G8" s="16">
        <v>3063.5990000000002</v>
      </c>
      <c r="I8" s="32">
        <f t="shared" si="0"/>
        <v>0</v>
      </c>
    </row>
    <row r="9" spans="1:9" ht="25.5" x14ac:dyDescent="0.25">
      <c r="A9" s="18" t="s">
        <v>31</v>
      </c>
      <c r="B9" s="27" t="s">
        <v>16</v>
      </c>
      <c r="C9" s="27" t="s">
        <v>38</v>
      </c>
      <c r="D9" s="20" t="s">
        <v>7</v>
      </c>
      <c r="E9" s="21">
        <v>1</v>
      </c>
      <c r="F9" s="22">
        <v>47.77</v>
      </c>
      <c r="G9" s="23">
        <v>47.77</v>
      </c>
      <c r="I9" s="32">
        <f t="shared" si="0"/>
        <v>0</v>
      </c>
    </row>
    <row r="10" spans="1:9" x14ac:dyDescent="0.25">
      <c r="A10" s="24"/>
      <c r="B10" s="6" t="s">
        <v>17</v>
      </c>
      <c r="C10" s="6"/>
      <c r="D10" s="7" t="s">
        <v>6</v>
      </c>
      <c r="E10" s="8">
        <v>0.3</v>
      </c>
      <c r="F10" s="25">
        <f>E10*F9</f>
        <v>14.331000000000001</v>
      </c>
      <c r="G10" s="16">
        <v>14.331</v>
      </c>
      <c r="I10" s="32">
        <f t="shared" si="0"/>
        <v>0</v>
      </c>
    </row>
    <row r="11" spans="1:9" x14ac:dyDescent="0.25">
      <c r="A11" s="24"/>
      <c r="B11" s="6" t="s">
        <v>18</v>
      </c>
      <c r="C11" s="33"/>
      <c r="D11" s="7" t="s">
        <v>6</v>
      </c>
      <c r="E11" s="8">
        <v>0.2</v>
      </c>
      <c r="F11" s="25">
        <f>E11*F9</f>
        <v>9.5540000000000003</v>
      </c>
      <c r="G11" s="16">
        <v>9.5540000000000003</v>
      </c>
      <c r="I11" s="32">
        <f t="shared" si="0"/>
        <v>0</v>
      </c>
    </row>
    <row r="12" spans="1:9" x14ac:dyDescent="0.25">
      <c r="A12" s="18" t="s">
        <v>32</v>
      </c>
      <c r="B12" s="27" t="s">
        <v>19</v>
      </c>
      <c r="C12" s="27" t="s">
        <v>39</v>
      </c>
      <c r="D12" s="20" t="s">
        <v>7</v>
      </c>
      <c r="E12" s="21">
        <v>1</v>
      </c>
      <c r="F12" s="22">
        <v>72.94</v>
      </c>
      <c r="G12" s="23">
        <v>72.94</v>
      </c>
      <c r="I12" s="32">
        <f t="shared" si="0"/>
        <v>0</v>
      </c>
    </row>
    <row r="13" spans="1:9" x14ac:dyDescent="0.25">
      <c r="A13" s="24"/>
      <c r="B13" s="6" t="s">
        <v>20</v>
      </c>
      <c r="C13" s="6"/>
      <c r="D13" s="7" t="s">
        <v>6</v>
      </c>
      <c r="E13" s="8">
        <v>0.6</v>
      </c>
      <c r="F13" s="25">
        <f>E13*F12</f>
        <v>43.763999999999996</v>
      </c>
      <c r="G13" s="16">
        <v>43.764000000000003</v>
      </c>
      <c r="I13" s="32">
        <f t="shared" si="0"/>
        <v>0</v>
      </c>
    </row>
    <row r="14" spans="1:9" ht="26.25" x14ac:dyDescent="0.25">
      <c r="A14" s="18" t="s">
        <v>33</v>
      </c>
      <c r="B14" s="28" t="s">
        <v>21</v>
      </c>
      <c r="C14" s="28" t="s">
        <v>40</v>
      </c>
      <c r="D14" s="20" t="s">
        <v>7</v>
      </c>
      <c r="E14" s="21">
        <v>1</v>
      </c>
      <c r="F14" s="22">
        <v>46.62</v>
      </c>
      <c r="G14" s="23">
        <v>46.62</v>
      </c>
      <c r="I14" s="32">
        <f t="shared" si="0"/>
        <v>0</v>
      </c>
    </row>
    <row r="15" spans="1:9" x14ac:dyDescent="0.25">
      <c r="A15" s="24"/>
      <c r="B15" s="6" t="s">
        <v>22</v>
      </c>
      <c r="C15" s="6"/>
      <c r="D15" s="7" t="s">
        <v>41</v>
      </c>
      <c r="E15" s="8">
        <v>8</v>
      </c>
      <c r="F15" s="25">
        <f>ROUND(E15*F14, 0)</f>
        <v>373</v>
      </c>
      <c r="G15" s="16">
        <v>372.96</v>
      </c>
      <c r="I15" s="32">
        <f t="shared" si="0"/>
        <v>4.0000000000020464E-2</v>
      </c>
    </row>
    <row r="16" spans="1:9" x14ac:dyDescent="0.25">
      <c r="A16" s="24"/>
      <c r="B16" s="6" t="s">
        <v>23</v>
      </c>
      <c r="C16" s="6"/>
      <c r="D16" s="7" t="s">
        <v>6</v>
      </c>
      <c r="E16" s="8">
        <v>1.8</v>
      </c>
      <c r="F16" s="25">
        <f>E16*F14*40</f>
        <v>3356.64</v>
      </c>
      <c r="G16" s="16">
        <v>3356.64</v>
      </c>
      <c r="H16">
        <f>G16/G14/E16</f>
        <v>40</v>
      </c>
      <c r="I16" s="32">
        <f t="shared" si="0"/>
        <v>0</v>
      </c>
    </row>
    <row r="17" spans="1:9" x14ac:dyDescent="0.25">
      <c r="A17" s="10"/>
      <c r="B17" s="9" t="s">
        <v>24</v>
      </c>
      <c r="C17" s="9"/>
      <c r="D17" s="10" t="s">
        <v>7</v>
      </c>
      <c r="E17" s="8">
        <v>1.1000000000000001</v>
      </c>
      <c r="F17" s="25">
        <f>E17*F14</f>
        <v>51.282000000000004</v>
      </c>
      <c r="G17" s="16">
        <v>51.281999999999996</v>
      </c>
      <c r="I17" s="32">
        <f t="shared" si="0"/>
        <v>0</v>
      </c>
    </row>
    <row r="18" spans="1:9" x14ac:dyDescent="0.25">
      <c r="A18" s="10"/>
      <c r="B18" s="9" t="s">
        <v>12</v>
      </c>
      <c r="C18" s="9"/>
      <c r="D18" s="10" t="s">
        <v>5</v>
      </c>
      <c r="E18" s="8">
        <v>1</v>
      </c>
      <c r="F18" s="25">
        <f>E18*F14</f>
        <v>46.62</v>
      </c>
      <c r="G18" s="16">
        <v>46.62</v>
      </c>
      <c r="I18" s="32">
        <f t="shared" si="0"/>
        <v>0</v>
      </c>
    </row>
    <row r="19" spans="1:9" ht="39" x14ac:dyDescent="0.25">
      <c r="A19" s="29" t="s">
        <v>34</v>
      </c>
      <c r="B19" s="28" t="s">
        <v>25</v>
      </c>
      <c r="C19" s="28" t="s">
        <v>42</v>
      </c>
      <c r="D19" s="29" t="s">
        <v>7</v>
      </c>
      <c r="E19" s="21">
        <v>1</v>
      </c>
      <c r="F19" s="22">
        <v>122.25</v>
      </c>
      <c r="G19" s="23">
        <v>122.25</v>
      </c>
      <c r="I19" s="32">
        <f t="shared" si="0"/>
        <v>0</v>
      </c>
    </row>
    <row r="20" spans="1:9" x14ac:dyDescent="0.25">
      <c r="A20" s="10"/>
      <c r="B20" s="9" t="s">
        <v>22</v>
      </c>
      <c r="C20" s="9"/>
      <c r="D20" s="10" t="s">
        <v>41</v>
      </c>
      <c r="E20" s="8">
        <v>8</v>
      </c>
      <c r="F20" s="25">
        <f>ROUND(E20*F19, 0)</f>
        <v>978</v>
      </c>
      <c r="G20" s="16">
        <v>978</v>
      </c>
      <c r="I20" s="32">
        <f t="shared" si="0"/>
        <v>0</v>
      </c>
    </row>
    <row r="21" spans="1:9" x14ac:dyDescent="0.25">
      <c r="A21" s="10"/>
      <c r="B21" s="30" t="s">
        <v>23</v>
      </c>
      <c r="C21" s="30"/>
      <c r="D21" s="10" t="s">
        <v>6</v>
      </c>
      <c r="E21" s="8">
        <v>1.8</v>
      </c>
      <c r="F21" s="25">
        <f>E21*F19*60</f>
        <v>13203</v>
      </c>
      <c r="G21" s="16">
        <v>13203</v>
      </c>
      <c r="H21">
        <f>G21/G19/E21</f>
        <v>60</v>
      </c>
      <c r="I21" s="32">
        <f t="shared" si="0"/>
        <v>0</v>
      </c>
    </row>
    <row r="22" spans="1:9" x14ac:dyDescent="0.25">
      <c r="A22" s="10"/>
      <c r="B22" s="9" t="s">
        <v>24</v>
      </c>
      <c r="C22" s="9"/>
      <c r="D22" s="10" t="s">
        <v>7</v>
      </c>
      <c r="E22" s="8">
        <v>1.1000000000000001</v>
      </c>
      <c r="F22" s="25">
        <f>E22*F19</f>
        <v>134.47500000000002</v>
      </c>
      <c r="G22" s="16">
        <v>134.47499999999999</v>
      </c>
      <c r="I22" s="32">
        <f t="shared" si="0"/>
        <v>0</v>
      </c>
    </row>
    <row r="23" spans="1:9" x14ac:dyDescent="0.25">
      <c r="A23" s="10"/>
      <c r="B23" s="9" t="s">
        <v>12</v>
      </c>
      <c r="C23" s="9"/>
      <c r="D23" s="10" t="s">
        <v>5</v>
      </c>
      <c r="E23" s="8">
        <v>1</v>
      </c>
      <c r="F23" s="25">
        <f>E23*F19</f>
        <v>122.25</v>
      </c>
      <c r="G23" s="16">
        <v>122.25</v>
      </c>
      <c r="I23" s="32">
        <f t="shared" si="0"/>
        <v>0</v>
      </c>
    </row>
    <row r="24" spans="1:9" ht="39" x14ac:dyDescent="0.25">
      <c r="A24" s="29" t="s">
        <v>35</v>
      </c>
      <c r="B24" s="28" t="s">
        <v>26</v>
      </c>
      <c r="C24" s="28" t="s">
        <v>43</v>
      </c>
      <c r="D24" s="29" t="s">
        <v>7</v>
      </c>
      <c r="E24" s="21">
        <v>1</v>
      </c>
      <c r="F24" s="22">
        <v>5553.92</v>
      </c>
      <c r="G24" s="23">
        <v>5553.92</v>
      </c>
      <c r="I24" s="32">
        <f t="shared" si="0"/>
        <v>0</v>
      </c>
    </row>
    <row r="25" spans="1:9" x14ac:dyDescent="0.25">
      <c r="A25" s="10"/>
      <c r="B25" s="9" t="s">
        <v>22</v>
      </c>
      <c r="C25" s="9"/>
      <c r="D25" s="10" t="s">
        <v>41</v>
      </c>
      <c r="E25" s="8">
        <v>8</v>
      </c>
      <c r="F25" s="25">
        <f>ROUND(E25*F24, 0)</f>
        <v>44431</v>
      </c>
      <c r="G25" s="16">
        <v>44431.360000000001</v>
      </c>
      <c r="I25" s="32">
        <f t="shared" si="0"/>
        <v>-0.36000000000058208</v>
      </c>
    </row>
    <row r="26" spans="1:9" x14ac:dyDescent="0.25">
      <c r="A26" s="10"/>
      <c r="B26" s="30" t="s">
        <v>23</v>
      </c>
      <c r="C26" s="30"/>
      <c r="D26" s="10" t="s">
        <v>6</v>
      </c>
      <c r="E26" s="8">
        <v>1.8</v>
      </c>
      <c r="F26" s="25">
        <f>E26*F24*65</f>
        <v>649808.64000000001</v>
      </c>
      <c r="G26" s="16">
        <v>649808.64000000001</v>
      </c>
      <c r="H26">
        <f>G26/G24/E26</f>
        <v>65</v>
      </c>
      <c r="I26" s="32">
        <f t="shared" si="0"/>
        <v>0</v>
      </c>
    </row>
    <row r="27" spans="1:9" x14ac:dyDescent="0.25">
      <c r="A27" s="10"/>
      <c r="B27" s="30" t="s">
        <v>24</v>
      </c>
      <c r="C27" s="30"/>
      <c r="D27" s="10" t="s">
        <v>7</v>
      </c>
      <c r="E27" s="8">
        <v>1.1000000000000001</v>
      </c>
      <c r="F27" s="25">
        <f>E27*F24</f>
        <v>6109.3120000000008</v>
      </c>
      <c r="G27" s="16">
        <v>6109.3119999999999</v>
      </c>
      <c r="I27" s="32">
        <f t="shared" si="0"/>
        <v>0</v>
      </c>
    </row>
    <row r="28" spans="1:9" x14ac:dyDescent="0.25">
      <c r="A28" s="10"/>
      <c r="B28" s="30" t="s">
        <v>12</v>
      </c>
      <c r="C28" s="30"/>
      <c r="D28" s="10" t="s">
        <v>5</v>
      </c>
      <c r="E28" s="8">
        <v>1</v>
      </c>
      <c r="F28" s="25">
        <f>E28*F24</f>
        <v>5553.92</v>
      </c>
      <c r="G28" s="16">
        <v>5553.92</v>
      </c>
      <c r="I28" s="32">
        <f t="shared" si="0"/>
        <v>0</v>
      </c>
    </row>
    <row r="29" spans="1:9" ht="26.25" x14ac:dyDescent="0.25">
      <c r="A29" s="29" t="s">
        <v>35</v>
      </c>
      <c r="B29" s="31" t="s">
        <v>26</v>
      </c>
      <c r="C29" s="31" t="s">
        <v>44</v>
      </c>
      <c r="D29" s="29" t="s">
        <v>7</v>
      </c>
      <c r="E29" s="21">
        <v>1</v>
      </c>
      <c r="F29" s="22">
        <v>468.22</v>
      </c>
      <c r="G29" s="23">
        <v>468.22</v>
      </c>
      <c r="I29" s="32">
        <f t="shared" si="0"/>
        <v>0</v>
      </c>
    </row>
    <row r="30" spans="1:9" x14ac:dyDescent="0.25">
      <c r="A30" s="10"/>
      <c r="B30" s="30" t="s">
        <v>8</v>
      </c>
      <c r="C30" s="30"/>
      <c r="D30" s="10" t="s">
        <v>6</v>
      </c>
      <c r="E30" s="8">
        <v>0.255</v>
      </c>
      <c r="F30" s="25">
        <f>E30*F29</f>
        <v>119.3961</v>
      </c>
      <c r="G30" s="16">
        <v>119.396</v>
      </c>
      <c r="I30" s="32">
        <f t="shared" si="0"/>
        <v>1.0000000000331966E-4</v>
      </c>
    </row>
    <row r="31" spans="1:9" x14ac:dyDescent="0.25">
      <c r="A31" s="10"/>
      <c r="B31" s="30" t="s">
        <v>12</v>
      </c>
      <c r="C31" s="30"/>
      <c r="D31" s="10" t="s">
        <v>5</v>
      </c>
      <c r="E31" s="8">
        <v>1</v>
      </c>
      <c r="F31" s="25">
        <f>E31*F29</f>
        <v>468.22</v>
      </c>
      <c r="G31" s="16">
        <v>468.22</v>
      </c>
      <c r="I31" s="32">
        <f t="shared" si="0"/>
        <v>0</v>
      </c>
    </row>
    <row r="32" spans="1:9" x14ac:dyDescent="0.25">
      <c r="A32" s="10"/>
      <c r="B32" s="30" t="s">
        <v>24</v>
      </c>
      <c r="C32" s="30"/>
      <c r="D32" s="10" t="s">
        <v>7</v>
      </c>
      <c r="E32" s="8">
        <v>1.1000000000000001</v>
      </c>
      <c r="F32" s="25">
        <f>E32*F29</f>
        <v>515.04200000000003</v>
      </c>
      <c r="G32" s="16">
        <v>515.04200000000003</v>
      </c>
      <c r="I32" s="32">
        <f t="shared" si="0"/>
        <v>0</v>
      </c>
    </row>
    <row r="33" spans="1:9" x14ac:dyDescent="0.25">
      <c r="A33" s="10"/>
      <c r="B33" s="30" t="s">
        <v>23</v>
      </c>
      <c r="C33" s="30"/>
      <c r="D33" s="10" t="s">
        <v>6</v>
      </c>
      <c r="E33" s="8">
        <v>1.8</v>
      </c>
      <c r="F33" s="25">
        <f>E33*F29*68</f>
        <v>57310.128000000004</v>
      </c>
      <c r="G33" s="16">
        <v>57310.127999999997</v>
      </c>
      <c r="H33">
        <f>G33/G29/E33</f>
        <v>68</v>
      </c>
      <c r="I33" s="32">
        <f t="shared" si="0"/>
        <v>0</v>
      </c>
    </row>
    <row r="34" spans="1:9" x14ac:dyDescent="0.25">
      <c r="A34" s="10"/>
      <c r="B34" s="30" t="s">
        <v>22</v>
      </c>
      <c r="C34" s="30"/>
      <c r="D34" s="10" t="s">
        <v>41</v>
      </c>
      <c r="E34" s="8">
        <v>8</v>
      </c>
      <c r="F34" s="25">
        <f>ROUND(E34*F29, 0)</f>
        <v>3746</v>
      </c>
      <c r="G34" s="16">
        <v>3745.76</v>
      </c>
      <c r="I34" s="32">
        <f t="shared" si="0"/>
        <v>0.23999999999978172</v>
      </c>
    </row>
    <row r="35" spans="1:9" ht="26.25" x14ac:dyDescent="0.25">
      <c r="A35" s="29" t="s">
        <v>35</v>
      </c>
      <c r="B35" s="31" t="s">
        <v>26</v>
      </c>
      <c r="C35" s="31" t="s">
        <v>45</v>
      </c>
      <c r="D35" s="29" t="s">
        <v>7</v>
      </c>
      <c r="E35" s="21">
        <v>1</v>
      </c>
      <c r="F35" s="22">
        <v>19.420000000000002</v>
      </c>
      <c r="G35" s="23">
        <v>19.420000000000002</v>
      </c>
      <c r="I35" s="32">
        <f t="shared" si="0"/>
        <v>0</v>
      </c>
    </row>
    <row r="36" spans="1:9" x14ac:dyDescent="0.25">
      <c r="A36" s="10"/>
      <c r="B36" s="30" t="s">
        <v>22</v>
      </c>
      <c r="C36" s="30"/>
      <c r="D36" s="10" t="s">
        <v>41</v>
      </c>
      <c r="E36" s="8">
        <v>8</v>
      </c>
      <c r="F36" s="25">
        <f>ROUND(E36*F35, 0)</f>
        <v>155</v>
      </c>
      <c r="G36" s="16">
        <v>155.36000000000001</v>
      </c>
      <c r="I36" s="32">
        <f t="shared" si="0"/>
        <v>-0.36000000000001364</v>
      </c>
    </row>
    <row r="37" spans="1:9" x14ac:dyDescent="0.25">
      <c r="A37" s="10"/>
      <c r="B37" s="30" t="s">
        <v>27</v>
      </c>
      <c r="C37" s="30"/>
      <c r="D37" s="10" t="s">
        <v>6</v>
      </c>
      <c r="E37" s="8">
        <v>1.8</v>
      </c>
      <c r="F37" s="25">
        <f>E37*F35*70</f>
        <v>2446.92</v>
      </c>
      <c r="G37" s="16">
        <v>2446.92</v>
      </c>
      <c r="H37">
        <f>G37/G35/E37</f>
        <v>69.999999999999986</v>
      </c>
      <c r="I37" s="32">
        <f t="shared" si="0"/>
        <v>0</v>
      </c>
    </row>
    <row r="38" spans="1:9" x14ac:dyDescent="0.25">
      <c r="A38" s="10"/>
      <c r="B38" s="30" t="s">
        <v>28</v>
      </c>
      <c r="C38" s="30"/>
      <c r="D38" s="10" t="s">
        <v>7</v>
      </c>
      <c r="E38" s="8">
        <v>1.1000000000000001</v>
      </c>
      <c r="F38" s="25">
        <f>E38*F35</f>
        <v>21.362000000000002</v>
      </c>
      <c r="G38" s="16">
        <v>21.361999999999998</v>
      </c>
      <c r="I38" s="32">
        <f t="shared" si="0"/>
        <v>0</v>
      </c>
    </row>
    <row r="39" spans="1:9" x14ac:dyDescent="0.25">
      <c r="A39" s="10"/>
      <c r="B39" s="30" t="s">
        <v>12</v>
      </c>
      <c r="C39" s="30"/>
      <c r="D39" s="10" t="s">
        <v>5</v>
      </c>
      <c r="E39" s="8">
        <v>1</v>
      </c>
      <c r="F39" s="25">
        <f>E39*F35</f>
        <v>19.420000000000002</v>
      </c>
      <c r="G39" s="16">
        <v>19.420000000000002</v>
      </c>
      <c r="I39" s="32">
        <f t="shared" si="0"/>
        <v>0</v>
      </c>
    </row>
    <row r="40" spans="1:9" ht="26.25" x14ac:dyDescent="0.25">
      <c r="A40" s="29" t="s">
        <v>35</v>
      </c>
      <c r="B40" s="31" t="s">
        <v>26</v>
      </c>
      <c r="C40" s="31" t="s">
        <v>46</v>
      </c>
      <c r="D40" s="29" t="s">
        <v>7</v>
      </c>
      <c r="E40" s="21">
        <v>1</v>
      </c>
      <c r="F40" s="22">
        <v>101.29</v>
      </c>
      <c r="G40" s="23">
        <v>101.29</v>
      </c>
      <c r="I40" s="32">
        <f t="shared" si="0"/>
        <v>0</v>
      </c>
    </row>
    <row r="41" spans="1:9" x14ac:dyDescent="0.25">
      <c r="A41" s="10"/>
      <c r="B41" s="30" t="s">
        <v>12</v>
      </c>
      <c r="C41" s="30"/>
      <c r="D41" s="10" t="s">
        <v>5</v>
      </c>
      <c r="E41" s="8">
        <v>1</v>
      </c>
      <c r="F41" s="25">
        <f>E41*F40</f>
        <v>101.29</v>
      </c>
      <c r="G41" s="16">
        <v>101.29</v>
      </c>
      <c r="I41" s="32">
        <f t="shared" si="0"/>
        <v>0</v>
      </c>
    </row>
    <row r="42" spans="1:9" x14ac:dyDescent="0.25">
      <c r="A42" s="10"/>
      <c r="B42" s="30" t="s">
        <v>28</v>
      </c>
      <c r="C42" s="30"/>
      <c r="D42" s="10" t="s">
        <v>7</v>
      </c>
      <c r="E42" s="8">
        <v>1.1000000000000001</v>
      </c>
      <c r="F42" s="25">
        <f>E42*F40</f>
        <v>111.41900000000001</v>
      </c>
      <c r="G42" s="16">
        <v>111.419</v>
      </c>
      <c r="I42" s="32">
        <f t="shared" si="0"/>
        <v>0</v>
      </c>
    </row>
    <row r="43" spans="1:9" x14ac:dyDescent="0.25">
      <c r="A43" s="10"/>
      <c r="B43" s="30" t="s">
        <v>27</v>
      </c>
      <c r="C43" s="30"/>
      <c r="D43" s="10" t="s">
        <v>6</v>
      </c>
      <c r="E43" s="8">
        <v>1.8</v>
      </c>
      <c r="F43" s="25">
        <f>E43*F40*80</f>
        <v>14585.76</v>
      </c>
      <c r="G43" s="16">
        <v>14585.76</v>
      </c>
      <c r="I43" s="32">
        <f t="shared" si="0"/>
        <v>0</v>
      </c>
    </row>
    <row r="44" spans="1:9" x14ac:dyDescent="0.25">
      <c r="A44" s="10"/>
      <c r="B44" s="30" t="s">
        <v>22</v>
      </c>
      <c r="C44" s="30"/>
      <c r="D44" s="10" t="s">
        <v>41</v>
      </c>
      <c r="E44" s="8">
        <v>8</v>
      </c>
      <c r="F44" s="25">
        <f>ROUND(E44*F40, 0)</f>
        <v>810</v>
      </c>
      <c r="G44" s="16">
        <v>810.32</v>
      </c>
      <c r="I44" s="32">
        <f>F44-G44</f>
        <v>-0.32000000000005002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79998168889431442"/>
  </sheetPr>
  <dimension ref="A1:F4"/>
  <sheetViews>
    <sheetView workbookViewId="0">
      <selection activeCell="F4" sqref="A1:F4"/>
    </sheetView>
  </sheetViews>
  <sheetFormatPr defaultRowHeight="15" x14ac:dyDescent="0.25"/>
  <cols>
    <col min="1" max="1" width="7.5703125" customWidth="1"/>
    <col min="2" max="2" width="50.28515625" customWidth="1"/>
    <col min="3" max="3" width="14.7109375" customWidth="1"/>
    <col min="4" max="4" width="9.140625" customWidth="1"/>
    <col min="5" max="5" width="14.28515625" customWidth="1"/>
    <col min="6" max="6" width="7.5703125" customWidth="1"/>
  </cols>
  <sheetData>
    <row r="1" spans="1:6" x14ac:dyDescent="0.25">
      <c r="A1" s="1"/>
      <c r="B1" s="2" t="s">
        <v>9</v>
      </c>
      <c r="C1" s="15"/>
      <c r="D1" s="3"/>
      <c r="E1" s="4"/>
      <c r="F1" s="5"/>
    </row>
    <row r="2" spans="1:6" x14ac:dyDescent="0.25">
      <c r="A2" s="1" t="s">
        <v>0</v>
      </c>
      <c r="B2" s="17" t="s">
        <v>1</v>
      </c>
      <c r="C2" s="17" t="s">
        <v>36</v>
      </c>
      <c r="D2" s="3" t="s">
        <v>2</v>
      </c>
      <c r="E2" s="4" t="s">
        <v>3</v>
      </c>
      <c r="F2" s="5" t="s">
        <v>4</v>
      </c>
    </row>
    <row r="3" spans="1:6" ht="26.25" x14ac:dyDescent="0.25">
      <c r="A3" s="67">
        <v>1</v>
      </c>
      <c r="B3" s="73" t="s">
        <v>102</v>
      </c>
      <c r="C3" s="69" t="s">
        <v>104</v>
      </c>
      <c r="D3" s="67" t="s">
        <v>7</v>
      </c>
      <c r="E3" s="70">
        <v>1</v>
      </c>
      <c r="F3" s="60">
        <f>Из1эт!E29+Из2эт!E17</f>
        <v>2427.35</v>
      </c>
    </row>
    <row r="4" spans="1:6" x14ac:dyDescent="0.25">
      <c r="A4" s="56">
        <v>1.1000000000000001</v>
      </c>
      <c r="B4" s="9" t="s">
        <v>103</v>
      </c>
      <c r="C4" s="9"/>
      <c r="D4" s="56" t="s">
        <v>105</v>
      </c>
      <c r="E4" s="8">
        <v>1.03</v>
      </c>
      <c r="F4" s="25">
        <f>E4*F3*50/1000</f>
        <v>125.00852500000001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79998168889431442"/>
  </sheetPr>
  <dimension ref="A1:E29"/>
  <sheetViews>
    <sheetView workbookViewId="0">
      <selection activeCell="A17" sqref="A17:XFD17"/>
    </sheetView>
  </sheetViews>
  <sheetFormatPr defaultRowHeight="15" x14ac:dyDescent="0.25"/>
  <cols>
    <col min="3" max="3" width="9.140625" style="63"/>
    <col min="5" max="5" width="9.140625" style="61"/>
  </cols>
  <sheetData>
    <row r="1" spans="1:5" x14ac:dyDescent="0.25">
      <c r="A1" s="93" t="s">
        <v>108</v>
      </c>
      <c r="B1" s="94"/>
      <c r="C1" s="94"/>
      <c r="D1" s="94"/>
      <c r="E1" s="95"/>
    </row>
    <row r="2" spans="1:5" x14ac:dyDescent="0.25">
      <c r="A2" s="56" t="s">
        <v>0</v>
      </c>
      <c r="B2" s="34" t="s">
        <v>97</v>
      </c>
      <c r="C2" s="8" t="s">
        <v>98</v>
      </c>
      <c r="D2" s="34" t="s">
        <v>93</v>
      </c>
      <c r="E2" s="59" t="s">
        <v>51</v>
      </c>
    </row>
    <row r="3" spans="1:5" x14ac:dyDescent="0.25">
      <c r="A3" s="56">
        <v>1</v>
      </c>
      <c r="B3" s="64">
        <v>1</v>
      </c>
      <c r="C3" s="64">
        <v>1.024</v>
      </c>
      <c r="D3" s="64">
        <v>6</v>
      </c>
      <c r="E3" s="60">
        <v>13.62</v>
      </c>
    </row>
    <row r="4" spans="1:5" x14ac:dyDescent="0.25">
      <c r="A4" s="57">
        <v>2</v>
      </c>
      <c r="B4" s="64">
        <v>4.0999999999999996</v>
      </c>
      <c r="C4" s="64">
        <v>1.0449999999999999</v>
      </c>
      <c r="D4" s="64">
        <v>6</v>
      </c>
      <c r="E4" s="60">
        <v>161.78</v>
      </c>
    </row>
    <row r="5" spans="1:5" x14ac:dyDescent="0.25">
      <c r="A5" s="57">
        <v>3</v>
      </c>
      <c r="B5" s="64">
        <v>4.0999999999999996</v>
      </c>
      <c r="C5" s="64">
        <v>1.046</v>
      </c>
      <c r="D5" s="64">
        <v>6</v>
      </c>
      <c r="E5" s="60">
        <v>161.15</v>
      </c>
    </row>
    <row r="6" spans="1:5" x14ac:dyDescent="0.25">
      <c r="A6" s="57">
        <v>4</v>
      </c>
      <c r="B6" s="64">
        <v>4.0999999999999996</v>
      </c>
      <c r="C6" s="64">
        <v>1.0529999999999999</v>
      </c>
      <c r="D6" s="64">
        <v>6</v>
      </c>
      <c r="E6" s="60">
        <v>443.48</v>
      </c>
    </row>
    <row r="7" spans="1:5" x14ac:dyDescent="0.25">
      <c r="A7" s="57">
        <v>5</v>
      </c>
      <c r="B7" s="64">
        <v>1</v>
      </c>
      <c r="C7" s="64">
        <v>1.034</v>
      </c>
      <c r="D7" s="64">
        <v>7</v>
      </c>
      <c r="E7" s="60">
        <v>17.22</v>
      </c>
    </row>
    <row r="8" spans="1:5" x14ac:dyDescent="0.25">
      <c r="A8" s="57">
        <v>6</v>
      </c>
      <c r="B8" s="64">
        <v>1</v>
      </c>
      <c r="C8" s="64">
        <v>1.0349999999999999</v>
      </c>
      <c r="D8" s="64">
        <v>7</v>
      </c>
      <c r="E8" s="60">
        <v>21.63</v>
      </c>
    </row>
    <row r="9" spans="1:5" x14ac:dyDescent="0.25">
      <c r="A9" s="57">
        <v>7</v>
      </c>
      <c r="B9" s="64">
        <v>1</v>
      </c>
      <c r="C9" s="64">
        <v>1.036</v>
      </c>
      <c r="D9" s="64">
        <v>7</v>
      </c>
      <c r="E9" s="60">
        <v>5.76</v>
      </c>
    </row>
    <row r="10" spans="1:5" x14ac:dyDescent="0.25">
      <c r="A10" s="57">
        <v>8</v>
      </c>
      <c r="B10" s="64">
        <v>4.0999999999999996</v>
      </c>
      <c r="C10" s="64">
        <v>1.054</v>
      </c>
      <c r="D10" s="64">
        <v>7</v>
      </c>
      <c r="E10" s="60">
        <v>14.54</v>
      </c>
    </row>
    <row r="11" spans="1:5" x14ac:dyDescent="0.25">
      <c r="A11" s="57">
        <v>9</v>
      </c>
      <c r="B11" s="64">
        <v>4.0999999999999996</v>
      </c>
      <c r="C11" s="64">
        <v>1.048</v>
      </c>
      <c r="D11" s="64">
        <v>8.1</v>
      </c>
      <c r="E11" s="60">
        <v>23.92</v>
      </c>
    </row>
    <row r="12" spans="1:5" x14ac:dyDescent="0.25">
      <c r="A12" s="57">
        <v>10</v>
      </c>
      <c r="B12" s="64">
        <v>1</v>
      </c>
      <c r="C12" s="64">
        <v>1.0369999999999999</v>
      </c>
      <c r="D12" s="64">
        <v>8.1999999999999993</v>
      </c>
      <c r="E12" s="60">
        <v>3.34</v>
      </c>
    </row>
    <row r="13" spans="1:5" x14ac:dyDescent="0.25">
      <c r="A13" s="57">
        <v>11</v>
      </c>
      <c r="B13" s="64">
        <v>1</v>
      </c>
      <c r="C13" s="64">
        <v>1.038</v>
      </c>
      <c r="D13" s="64">
        <v>8.1999999999999993</v>
      </c>
      <c r="E13" s="60">
        <v>5.25</v>
      </c>
    </row>
    <row r="14" spans="1:5" x14ac:dyDescent="0.25">
      <c r="A14" s="57">
        <v>12</v>
      </c>
      <c r="B14" s="64">
        <v>1</v>
      </c>
      <c r="C14" s="8">
        <v>1.026</v>
      </c>
      <c r="D14" s="64">
        <v>9</v>
      </c>
      <c r="E14" s="60">
        <v>191.68</v>
      </c>
    </row>
    <row r="15" spans="1:5" x14ac:dyDescent="0.25">
      <c r="A15" s="57">
        <v>13</v>
      </c>
      <c r="B15" s="64">
        <v>1</v>
      </c>
      <c r="C15" s="54">
        <v>1.0269999999999999</v>
      </c>
      <c r="D15" s="64">
        <v>9</v>
      </c>
      <c r="E15" s="60">
        <v>114.04</v>
      </c>
    </row>
    <row r="16" spans="1:5" x14ac:dyDescent="0.25">
      <c r="A16" s="57">
        <v>14</v>
      </c>
      <c r="B16" s="64">
        <v>1</v>
      </c>
      <c r="C16" s="54">
        <v>1.028</v>
      </c>
      <c r="D16" s="64">
        <v>9</v>
      </c>
      <c r="E16" s="60">
        <v>68.81</v>
      </c>
    </row>
    <row r="17" spans="1:5" x14ac:dyDescent="0.25">
      <c r="A17" s="57">
        <v>15</v>
      </c>
      <c r="B17" s="64">
        <v>1</v>
      </c>
      <c r="C17" s="54">
        <v>1.0289999999999999</v>
      </c>
      <c r="D17" s="64">
        <v>9</v>
      </c>
      <c r="E17" s="60">
        <v>68.81</v>
      </c>
    </row>
    <row r="18" spans="1:5" x14ac:dyDescent="0.25">
      <c r="A18" s="57">
        <v>16</v>
      </c>
      <c r="B18" s="64">
        <v>1</v>
      </c>
      <c r="C18" s="54">
        <v>1.03</v>
      </c>
      <c r="D18" s="64">
        <v>9</v>
      </c>
      <c r="E18" s="60">
        <v>68.89</v>
      </c>
    </row>
    <row r="19" spans="1:5" x14ac:dyDescent="0.25">
      <c r="A19" s="57">
        <v>17</v>
      </c>
      <c r="B19" s="64">
        <v>1</v>
      </c>
      <c r="C19" s="54">
        <v>1.0309999999999999</v>
      </c>
      <c r="D19" s="64">
        <v>9</v>
      </c>
      <c r="E19" s="60">
        <v>68.89</v>
      </c>
    </row>
    <row r="20" spans="1:5" x14ac:dyDescent="0.25">
      <c r="A20" s="57">
        <v>18</v>
      </c>
      <c r="B20" s="64">
        <v>1</v>
      </c>
      <c r="C20" s="54">
        <v>1.032</v>
      </c>
      <c r="D20" s="64">
        <v>9</v>
      </c>
      <c r="E20" s="60">
        <v>68.069999999999993</v>
      </c>
    </row>
    <row r="21" spans="1:5" x14ac:dyDescent="0.25">
      <c r="A21" s="57">
        <v>19</v>
      </c>
      <c r="B21" s="64">
        <v>1</v>
      </c>
      <c r="C21" s="54">
        <v>1.0329999999999999</v>
      </c>
      <c r="D21" s="64">
        <v>9</v>
      </c>
      <c r="E21" s="60">
        <v>139.1</v>
      </c>
    </row>
    <row r="22" spans="1:5" x14ac:dyDescent="0.25">
      <c r="A22" s="57">
        <v>20</v>
      </c>
      <c r="B22" s="64">
        <v>1</v>
      </c>
      <c r="C22" s="54">
        <v>1.0389999999999999</v>
      </c>
      <c r="D22" s="64">
        <v>9</v>
      </c>
      <c r="E22" s="60">
        <v>149.69999999999999</v>
      </c>
    </row>
    <row r="23" spans="1:5" x14ac:dyDescent="0.25">
      <c r="A23" s="57">
        <v>21</v>
      </c>
      <c r="B23" s="64">
        <v>4.0999999999999996</v>
      </c>
      <c r="C23" s="54">
        <v>1.04</v>
      </c>
      <c r="D23" s="64">
        <v>9</v>
      </c>
      <c r="E23" s="60">
        <v>220.47</v>
      </c>
    </row>
    <row r="24" spans="1:5" x14ac:dyDescent="0.25">
      <c r="A24" s="57">
        <v>22</v>
      </c>
      <c r="B24" s="64">
        <v>4.0999999999999996</v>
      </c>
      <c r="C24" s="54">
        <v>1.0429999999999999</v>
      </c>
      <c r="D24" s="64">
        <v>9</v>
      </c>
      <c r="E24" s="60">
        <v>61.99</v>
      </c>
    </row>
    <row r="25" spans="1:5" x14ac:dyDescent="0.25">
      <c r="A25" s="57">
        <v>23</v>
      </c>
      <c r="B25" s="64">
        <v>4.0999999999999996</v>
      </c>
      <c r="C25" s="54">
        <v>1.044</v>
      </c>
      <c r="D25" s="64">
        <v>9</v>
      </c>
      <c r="E25" s="60">
        <v>14.14</v>
      </c>
    </row>
    <row r="26" spans="1:5" x14ac:dyDescent="0.25">
      <c r="A26" s="57">
        <v>24</v>
      </c>
      <c r="B26" s="64">
        <v>4.0999999999999996</v>
      </c>
      <c r="C26" s="54">
        <v>1.0489999999999999</v>
      </c>
      <c r="D26" s="64">
        <v>9</v>
      </c>
      <c r="E26" s="60">
        <v>103.8</v>
      </c>
    </row>
    <row r="27" spans="1:5" x14ac:dyDescent="0.25">
      <c r="A27" s="57">
        <v>25</v>
      </c>
      <c r="B27" s="64">
        <v>4.0999999999999996</v>
      </c>
      <c r="C27" s="54">
        <v>1.05</v>
      </c>
      <c r="D27" s="64">
        <v>9</v>
      </c>
      <c r="E27" s="60">
        <v>22</v>
      </c>
    </row>
    <row r="28" spans="1:5" x14ac:dyDescent="0.25">
      <c r="A28" s="57">
        <v>26</v>
      </c>
      <c r="B28" s="64">
        <v>4.0999999999999996</v>
      </c>
      <c r="C28" s="54">
        <v>1.0509999999999999</v>
      </c>
      <c r="D28" s="64">
        <v>9</v>
      </c>
      <c r="E28" s="60">
        <v>31.58</v>
      </c>
    </row>
    <row r="29" spans="1:5" x14ac:dyDescent="0.25">
      <c r="A29" s="56"/>
      <c r="B29" s="34"/>
      <c r="C29" s="54"/>
      <c r="D29" s="34" t="s">
        <v>106</v>
      </c>
      <c r="E29" s="60">
        <f>SUM(E3:E28)</f>
        <v>2263.66</v>
      </c>
    </row>
  </sheetData>
  <mergeCells count="1">
    <mergeCell ref="A1:E1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79998168889431442"/>
  </sheetPr>
  <dimension ref="A1:E17"/>
  <sheetViews>
    <sheetView workbookViewId="0">
      <selection activeCell="A17" sqref="A17:XFD17"/>
    </sheetView>
  </sheetViews>
  <sheetFormatPr defaultRowHeight="15" x14ac:dyDescent="0.25"/>
  <sheetData>
    <row r="1" spans="1:5" x14ac:dyDescent="0.25">
      <c r="A1" s="93" t="s">
        <v>107</v>
      </c>
      <c r="B1" s="94"/>
      <c r="C1" s="94"/>
      <c r="D1" s="94"/>
      <c r="E1" s="95"/>
    </row>
    <row r="2" spans="1:5" x14ac:dyDescent="0.25">
      <c r="A2" s="56" t="s">
        <v>0</v>
      </c>
      <c r="B2" s="34" t="s">
        <v>97</v>
      </c>
      <c r="C2" s="8" t="s">
        <v>98</v>
      </c>
      <c r="D2" s="34" t="s">
        <v>93</v>
      </c>
      <c r="E2" s="59" t="s">
        <v>51</v>
      </c>
    </row>
    <row r="3" spans="1:5" x14ac:dyDescent="0.25">
      <c r="A3" s="56">
        <v>1</v>
      </c>
      <c r="B3" s="34" t="s">
        <v>99</v>
      </c>
      <c r="C3" s="64">
        <v>2.0139999999999998</v>
      </c>
      <c r="D3" s="34" t="s">
        <v>101</v>
      </c>
      <c r="E3" s="60">
        <v>17.22</v>
      </c>
    </row>
    <row r="4" spans="1:5" x14ac:dyDescent="0.25">
      <c r="A4" s="56">
        <v>2</v>
      </c>
      <c r="B4" s="34" t="s">
        <v>99</v>
      </c>
      <c r="C4" s="64">
        <v>2.0150000000000001</v>
      </c>
      <c r="D4" s="34" t="s">
        <v>101</v>
      </c>
      <c r="E4" s="60">
        <v>21.87</v>
      </c>
    </row>
    <row r="5" spans="1:5" x14ac:dyDescent="0.25">
      <c r="A5" s="56">
        <v>3</v>
      </c>
      <c r="B5" s="34" t="s">
        <v>99</v>
      </c>
      <c r="C5" s="64">
        <v>2.016</v>
      </c>
      <c r="D5" s="34" t="s">
        <v>101</v>
      </c>
      <c r="E5" s="60">
        <v>5.0599999999999996</v>
      </c>
    </row>
    <row r="6" spans="1:5" x14ac:dyDescent="0.25">
      <c r="A6" s="56">
        <v>4</v>
      </c>
      <c r="B6" s="34" t="s">
        <v>100</v>
      </c>
      <c r="C6" s="54">
        <v>2.089</v>
      </c>
      <c r="D6" s="34" t="s">
        <v>101</v>
      </c>
      <c r="E6" s="60">
        <v>6.05</v>
      </c>
    </row>
    <row r="7" spans="1:5" x14ac:dyDescent="0.25">
      <c r="A7" s="56">
        <v>5</v>
      </c>
      <c r="B7" s="34" t="s">
        <v>100</v>
      </c>
      <c r="C7" s="54">
        <v>2.09</v>
      </c>
      <c r="D7" s="34" t="s">
        <v>101</v>
      </c>
      <c r="E7" s="60">
        <v>12.15</v>
      </c>
    </row>
    <row r="8" spans="1:5" x14ac:dyDescent="0.25">
      <c r="A8" s="56">
        <v>6</v>
      </c>
      <c r="B8" s="34" t="s">
        <v>100</v>
      </c>
      <c r="C8" s="54">
        <v>2.0910000000000002</v>
      </c>
      <c r="D8" s="34" t="s">
        <v>101</v>
      </c>
      <c r="E8" s="60">
        <v>10.63</v>
      </c>
    </row>
    <row r="9" spans="1:5" x14ac:dyDescent="0.25">
      <c r="A9" s="56">
        <v>7</v>
      </c>
      <c r="B9" s="34" t="s">
        <v>100</v>
      </c>
      <c r="C9" s="54">
        <v>2.0950000000000002</v>
      </c>
      <c r="D9" s="34" t="s">
        <v>101</v>
      </c>
      <c r="E9" s="60">
        <v>8.7899999999999991</v>
      </c>
    </row>
    <row r="10" spans="1:5" x14ac:dyDescent="0.25">
      <c r="A10" s="56">
        <v>8</v>
      </c>
      <c r="B10" s="34" t="s">
        <v>100</v>
      </c>
      <c r="C10" s="54">
        <v>2.0960000000000001</v>
      </c>
      <c r="D10" s="34" t="s">
        <v>101</v>
      </c>
      <c r="E10" s="60">
        <v>14.39</v>
      </c>
    </row>
    <row r="11" spans="1:5" x14ac:dyDescent="0.25">
      <c r="A11" s="56">
        <v>9</v>
      </c>
      <c r="B11" s="34" t="s">
        <v>100</v>
      </c>
      <c r="C11" s="54">
        <v>2.1</v>
      </c>
      <c r="D11" s="34" t="s">
        <v>101</v>
      </c>
      <c r="E11" s="60">
        <v>8.19</v>
      </c>
    </row>
    <row r="12" spans="1:5" x14ac:dyDescent="0.25">
      <c r="A12" s="56">
        <v>10</v>
      </c>
      <c r="B12" s="34" t="s">
        <v>100</v>
      </c>
      <c r="C12" s="54">
        <v>2.101</v>
      </c>
      <c r="D12" s="34" t="s">
        <v>101</v>
      </c>
      <c r="E12" s="60">
        <v>12.22</v>
      </c>
    </row>
    <row r="13" spans="1:5" x14ac:dyDescent="0.25">
      <c r="A13" s="56">
        <v>11</v>
      </c>
      <c r="B13" s="34" t="s">
        <v>100</v>
      </c>
      <c r="C13" s="54">
        <v>2.1040000000000001</v>
      </c>
      <c r="D13" s="34" t="s">
        <v>101</v>
      </c>
      <c r="E13" s="60">
        <v>8.4499999999999993</v>
      </c>
    </row>
    <row r="14" spans="1:5" x14ac:dyDescent="0.25">
      <c r="A14" s="56">
        <v>12</v>
      </c>
      <c r="B14" s="34" t="s">
        <v>100</v>
      </c>
      <c r="C14" s="54">
        <v>2.105</v>
      </c>
      <c r="D14" s="34" t="s">
        <v>101</v>
      </c>
      <c r="E14" s="60">
        <v>14.25</v>
      </c>
    </row>
    <row r="15" spans="1:5" x14ac:dyDescent="0.25">
      <c r="A15" s="56">
        <v>13</v>
      </c>
      <c r="B15" s="34" t="s">
        <v>100</v>
      </c>
      <c r="C15" s="54">
        <v>2.1070000000000002</v>
      </c>
      <c r="D15" s="34" t="s">
        <v>101</v>
      </c>
      <c r="E15" s="71">
        <v>8.14</v>
      </c>
    </row>
    <row r="16" spans="1:5" x14ac:dyDescent="0.25">
      <c r="A16" s="56">
        <v>14</v>
      </c>
      <c r="B16" s="34" t="s">
        <v>100</v>
      </c>
      <c r="C16" s="54">
        <v>2.1080000000000001</v>
      </c>
      <c r="D16" s="34" t="s">
        <v>101</v>
      </c>
      <c r="E16" s="71">
        <v>16.28</v>
      </c>
    </row>
    <row r="17" spans="1:5" x14ac:dyDescent="0.25">
      <c r="A17" s="56"/>
      <c r="B17" s="34"/>
      <c r="C17" s="54"/>
      <c r="D17" s="34" t="s">
        <v>52</v>
      </c>
      <c r="E17" s="72">
        <f>SUM(E3:E16)</f>
        <v>163.69000000000003</v>
      </c>
    </row>
  </sheetData>
  <mergeCells count="1">
    <mergeCell ref="A1:E1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5" tint="0.79998168889431442"/>
  </sheetPr>
  <dimension ref="A1:F4"/>
  <sheetViews>
    <sheetView workbookViewId="0">
      <selection sqref="A1:F4"/>
    </sheetView>
  </sheetViews>
  <sheetFormatPr defaultRowHeight="15" x14ac:dyDescent="0.25"/>
  <cols>
    <col min="1" max="1" width="7.5703125" customWidth="1"/>
    <col min="2" max="2" width="50.28515625" customWidth="1"/>
    <col min="3" max="3" width="14.7109375" customWidth="1"/>
    <col min="4" max="4" width="9.140625" customWidth="1"/>
    <col min="5" max="5" width="14.28515625" customWidth="1"/>
    <col min="6" max="6" width="7.5703125" customWidth="1"/>
  </cols>
  <sheetData>
    <row r="1" spans="1:6" x14ac:dyDescent="0.25">
      <c r="A1" s="1"/>
      <c r="B1" s="2" t="s">
        <v>9</v>
      </c>
      <c r="C1" s="15"/>
      <c r="D1" s="3"/>
      <c r="E1" s="4"/>
      <c r="F1" s="5"/>
    </row>
    <row r="2" spans="1:6" x14ac:dyDescent="0.25">
      <c r="A2" s="1" t="s">
        <v>0</v>
      </c>
      <c r="B2" s="17" t="s">
        <v>1</v>
      </c>
      <c r="C2" s="17" t="s">
        <v>36</v>
      </c>
      <c r="D2" s="3" t="s">
        <v>2</v>
      </c>
      <c r="E2" s="4" t="s">
        <v>3</v>
      </c>
      <c r="F2" s="5" t="s">
        <v>4</v>
      </c>
    </row>
    <row r="3" spans="1:6" ht="39" x14ac:dyDescent="0.25">
      <c r="A3" s="67">
        <v>1</v>
      </c>
      <c r="B3" s="73" t="s">
        <v>14</v>
      </c>
      <c r="C3" s="69" t="s">
        <v>47</v>
      </c>
      <c r="D3" s="67" t="s">
        <v>7</v>
      </c>
      <c r="E3" s="70">
        <v>1</v>
      </c>
      <c r="F3" s="60">
        <f>Плк1э!E30+Плк2э!E23+Плк3э!E8</f>
        <v>2708.8399999999997</v>
      </c>
    </row>
    <row r="4" spans="1:6" x14ac:dyDescent="0.25">
      <c r="A4" s="57">
        <v>1.1000000000000001</v>
      </c>
      <c r="B4" s="9" t="s">
        <v>15</v>
      </c>
      <c r="C4" s="9"/>
      <c r="D4" s="57" t="s">
        <v>7</v>
      </c>
      <c r="E4" s="8">
        <v>1.1000000000000001</v>
      </c>
      <c r="F4" s="25">
        <f>F3*E4</f>
        <v>2979.7239999999997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5" tint="0.79998168889431442"/>
  </sheetPr>
  <dimension ref="A1:E30"/>
  <sheetViews>
    <sheetView workbookViewId="0">
      <selection sqref="A1:E3"/>
    </sheetView>
  </sheetViews>
  <sheetFormatPr defaultRowHeight="15" x14ac:dyDescent="0.25"/>
  <cols>
    <col min="1" max="1" width="7.5703125" customWidth="1"/>
    <col min="2" max="2" width="6.42578125" customWidth="1"/>
    <col min="4" max="4" width="6.140625" customWidth="1"/>
  </cols>
  <sheetData>
    <row r="1" spans="1:5" x14ac:dyDescent="0.25">
      <c r="A1" s="96" t="s">
        <v>110</v>
      </c>
      <c r="B1" s="97"/>
      <c r="C1" s="97"/>
      <c r="D1" s="97"/>
      <c r="E1" s="98"/>
    </row>
    <row r="2" spans="1:5" x14ac:dyDescent="0.25">
      <c r="A2" s="86" t="s">
        <v>0</v>
      </c>
      <c r="B2" s="86" t="s">
        <v>97</v>
      </c>
      <c r="C2" s="86" t="s">
        <v>98</v>
      </c>
      <c r="D2" s="86" t="s">
        <v>93</v>
      </c>
      <c r="E2" s="86" t="s">
        <v>51</v>
      </c>
    </row>
    <row r="3" spans="1:5" x14ac:dyDescent="0.25">
      <c r="A3" s="86">
        <v>1</v>
      </c>
      <c r="B3" s="86">
        <v>1</v>
      </c>
      <c r="C3" s="86">
        <v>1.024</v>
      </c>
      <c r="D3" s="86">
        <v>6</v>
      </c>
      <c r="E3" s="86">
        <v>13.62</v>
      </c>
    </row>
    <row r="4" spans="1:5" x14ac:dyDescent="0.25">
      <c r="A4" s="86">
        <v>2</v>
      </c>
      <c r="B4" s="86">
        <v>4.0999999999999996</v>
      </c>
      <c r="C4" s="86">
        <v>1.0449999999999999</v>
      </c>
      <c r="D4" s="86">
        <v>6</v>
      </c>
      <c r="E4" s="86">
        <v>161.78</v>
      </c>
    </row>
    <row r="5" spans="1:5" x14ac:dyDescent="0.25">
      <c r="A5" s="86">
        <v>3</v>
      </c>
      <c r="B5" s="86">
        <v>4.0999999999999996</v>
      </c>
      <c r="C5" s="86">
        <v>1.046</v>
      </c>
      <c r="D5" s="86">
        <v>6</v>
      </c>
      <c r="E5" s="86">
        <v>161.15</v>
      </c>
    </row>
    <row r="6" spans="1:5" x14ac:dyDescent="0.25">
      <c r="A6" s="86">
        <v>4</v>
      </c>
      <c r="B6" s="86">
        <v>4.0999999999999996</v>
      </c>
      <c r="C6" s="86">
        <v>1.0529999999999999</v>
      </c>
      <c r="D6" s="86">
        <v>6</v>
      </c>
      <c r="E6" s="86">
        <v>443.48</v>
      </c>
    </row>
    <row r="7" spans="1:5" x14ac:dyDescent="0.25">
      <c r="A7" s="86">
        <v>5</v>
      </c>
      <c r="B7" s="86">
        <v>1</v>
      </c>
      <c r="C7" s="86">
        <v>1.034</v>
      </c>
      <c r="D7" s="86">
        <v>7</v>
      </c>
      <c r="E7" s="86">
        <v>17.22</v>
      </c>
    </row>
    <row r="8" spans="1:5" x14ac:dyDescent="0.25">
      <c r="A8" s="86">
        <v>6</v>
      </c>
      <c r="B8" s="86">
        <v>1</v>
      </c>
      <c r="C8" s="86">
        <v>1.0349999999999999</v>
      </c>
      <c r="D8" s="86">
        <v>7</v>
      </c>
      <c r="E8" s="86">
        <v>21.63</v>
      </c>
    </row>
    <row r="9" spans="1:5" x14ac:dyDescent="0.25">
      <c r="A9" s="86">
        <v>7</v>
      </c>
      <c r="B9" s="86">
        <v>1</v>
      </c>
      <c r="C9" s="86">
        <v>1.036</v>
      </c>
      <c r="D9" s="86">
        <v>7</v>
      </c>
      <c r="E9" s="86">
        <v>5.76</v>
      </c>
    </row>
    <row r="10" spans="1:5" x14ac:dyDescent="0.25">
      <c r="A10" s="86">
        <v>8</v>
      </c>
      <c r="B10" s="86">
        <v>4.0999999999999996</v>
      </c>
      <c r="C10" s="86">
        <v>1.054</v>
      </c>
      <c r="D10" s="86">
        <v>7</v>
      </c>
      <c r="E10" s="86">
        <v>14.54</v>
      </c>
    </row>
    <row r="11" spans="1:5" x14ac:dyDescent="0.25">
      <c r="A11" s="86">
        <v>9</v>
      </c>
      <c r="B11" s="86">
        <v>4.0999999999999996</v>
      </c>
      <c r="C11" s="86">
        <v>1.054</v>
      </c>
      <c r="D11" s="86">
        <v>7.1</v>
      </c>
      <c r="E11" s="86">
        <v>46.62</v>
      </c>
    </row>
    <row r="12" spans="1:5" x14ac:dyDescent="0.25">
      <c r="A12" s="86">
        <v>10</v>
      </c>
      <c r="B12" s="86">
        <v>4.0999999999999996</v>
      </c>
      <c r="C12" s="86">
        <v>1.048</v>
      </c>
      <c r="D12" s="86">
        <v>8.1</v>
      </c>
      <c r="E12" s="86">
        <v>23.92</v>
      </c>
    </row>
    <row r="13" spans="1:5" x14ac:dyDescent="0.25">
      <c r="A13" s="86">
        <v>11</v>
      </c>
      <c r="B13" s="86">
        <v>1</v>
      </c>
      <c r="C13" s="86">
        <v>1.0369999999999999</v>
      </c>
      <c r="D13" s="86">
        <v>8.1999999999999993</v>
      </c>
      <c r="E13" s="86">
        <v>3.34</v>
      </c>
    </row>
    <row r="14" spans="1:5" x14ac:dyDescent="0.25">
      <c r="A14" s="86">
        <v>12</v>
      </c>
      <c r="B14" s="86">
        <v>1</v>
      </c>
      <c r="C14" s="86">
        <v>1.038</v>
      </c>
      <c r="D14" s="86">
        <v>8.1999999999999993</v>
      </c>
      <c r="E14" s="86">
        <v>5.25</v>
      </c>
    </row>
    <row r="15" spans="1:5" x14ac:dyDescent="0.25">
      <c r="A15" s="86">
        <v>13</v>
      </c>
      <c r="B15" s="86">
        <v>1</v>
      </c>
      <c r="C15" s="86">
        <v>1.026</v>
      </c>
      <c r="D15" s="86">
        <v>9</v>
      </c>
      <c r="E15" s="86">
        <v>191.68</v>
      </c>
    </row>
    <row r="16" spans="1:5" x14ac:dyDescent="0.25">
      <c r="A16" s="86">
        <v>14</v>
      </c>
      <c r="B16" s="86">
        <v>1</v>
      </c>
      <c r="C16" s="86">
        <v>1.0269999999999999</v>
      </c>
      <c r="D16" s="86">
        <v>9</v>
      </c>
      <c r="E16" s="86">
        <v>114.04</v>
      </c>
    </row>
    <row r="17" spans="1:5" x14ac:dyDescent="0.25">
      <c r="A17" s="86">
        <v>15</v>
      </c>
      <c r="B17" s="86">
        <v>1</v>
      </c>
      <c r="C17" s="86">
        <v>1.028</v>
      </c>
      <c r="D17" s="86">
        <v>9</v>
      </c>
      <c r="E17" s="86">
        <v>68.81</v>
      </c>
    </row>
    <row r="18" spans="1:5" x14ac:dyDescent="0.25">
      <c r="A18" s="86">
        <v>16</v>
      </c>
      <c r="B18" s="86">
        <v>1</v>
      </c>
      <c r="C18" s="86">
        <v>1.0289999999999999</v>
      </c>
      <c r="D18" s="86">
        <v>9</v>
      </c>
      <c r="E18" s="86">
        <v>68.81</v>
      </c>
    </row>
    <row r="19" spans="1:5" x14ac:dyDescent="0.25">
      <c r="A19" s="86">
        <v>17</v>
      </c>
      <c r="B19" s="86">
        <v>1</v>
      </c>
      <c r="C19" s="86">
        <v>1.03</v>
      </c>
      <c r="D19" s="86">
        <v>9</v>
      </c>
      <c r="E19" s="86">
        <v>68.89</v>
      </c>
    </row>
    <row r="20" spans="1:5" x14ac:dyDescent="0.25">
      <c r="A20" s="86">
        <v>18</v>
      </c>
      <c r="B20" s="86">
        <v>1</v>
      </c>
      <c r="C20" s="86">
        <v>1.0309999999999999</v>
      </c>
      <c r="D20" s="86">
        <v>9</v>
      </c>
      <c r="E20" s="86">
        <v>68.89</v>
      </c>
    </row>
    <row r="21" spans="1:5" x14ac:dyDescent="0.25">
      <c r="A21" s="86">
        <v>19</v>
      </c>
      <c r="B21" s="86">
        <v>1</v>
      </c>
      <c r="C21" s="86">
        <v>1.032</v>
      </c>
      <c r="D21" s="86">
        <v>9</v>
      </c>
      <c r="E21" s="86">
        <v>68.069999999999993</v>
      </c>
    </row>
    <row r="22" spans="1:5" x14ac:dyDescent="0.25">
      <c r="A22" s="86">
        <v>20</v>
      </c>
      <c r="B22" s="86">
        <v>1</v>
      </c>
      <c r="C22" s="86">
        <v>1.0329999999999999</v>
      </c>
      <c r="D22" s="86">
        <v>9</v>
      </c>
      <c r="E22" s="86">
        <v>139.1</v>
      </c>
    </row>
    <row r="23" spans="1:5" x14ac:dyDescent="0.25">
      <c r="A23" s="86">
        <v>21</v>
      </c>
      <c r="B23" s="86">
        <v>1</v>
      </c>
      <c r="C23" s="86">
        <v>1.0389999999999999</v>
      </c>
      <c r="D23" s="86">
        <v>9</v>
      </c>
      <c r="E23" s="86">
        <v>149.69999999999999</v>
      </c>
    </row>
    <row r="24" spans="1:5" x14ac:dyDescent="0.25">
      <c r="A24" s="86">
        <v>22</v>
      </c>
      <c r="B24" s="86">
        <v>4.0999999999999996</v>
      </c>
      <c r="C24" s="86">
        <v>1.04</v>
      </c>
      <c r="D24" s="86">
        <v>9</v>
      </c>
      <c r="E24" s="86">
        <v>220.47</v>
      </c>
    </row>
    <row r="25" spans="1:5" x14ac:dyDescent="0.25">
      <c r="A25" s="86">
        <v>23</v>
      </c>
      <c r="B25" s="86">
        <v>4.0999999999999996</v>
      </c>
      <c r="C25" s="86">
        <v>1.0429999999999999</v>
      </c>
      <c r="D25" s="86">
        <v>9</v>
      </c>
      <c r="E25" s="86">
        <v>61.99</v>
      </c>
    </row>
    <row r="26" spans="1:5" x14ac:dyDescent="0.25">
      <c r="A26" s="86">
        <v>24</v>
      </c>
      <c r="B26" s="86">
        <v>4.0999999999999996</v>
      </c>
      <c r="C26" s="86">
        <v>1.044</v>
      </c>
      <c r="D26" s="86">
        <v>9</v>
      </c>
      <c r="E26" s="86">
        <v>14.14</v>
      </c>
    </row>
    <row r="27" spans="1:5" x14ac:dyDescent="0.25">
      <c r="A27" s="86">
        <v>25</v>
      </c>
      <c r="B27" s="86">
        <v>4.0999999999999996</v>
      </c>
      <c r="C27" s="86">
        <v>1.0489999999999999</v>
      </c>
      <c r="D27" s="86">
        <v>9</v>
      </c>
      <c r="E27" s="86">
        <v>103.8</v>
      </c>
    </row>
    <row r="28" spans="1:5" x14ac:dyDescent="0.25">
      <c r="A28" s="86">
        <v>26</v>
      </c>
      <c r="B28" s="86">
        <v>4.0999999999999996</v>
      </c>
      <c r="C28" s="86">
        <v>1.05</v>
      </c>
      <c r="D28" s="86">
        <v>9</v>
      </c>
      <c r="E28" s="86">
        <v>22</v>
      </c>
    </row>
    <row r="29" spans="1:5" x14ac:dyDescent="0.25">
      <c r="A29" s="86">
        <v>27</v>
      </c>
      <c r="B29" s="86">
        <v>4.0999999999999996</v>
      </c>
      <c r="C29" s="86">
        <v>1.0509999999999999</v>
      </c>
      <c r="D29" s="86">
        <v>9</v>
      </c>
      <c r="E29" s="86">
        <v>31.58</v>
      </c>
    </row>
    <row r="30" spans="1:5" x14ac:dyDescent="0.25">
      <c r="A30" s="57"/>
      <c r="B30" s="34"/>
      <c r="C30" s="54"/>
      <c r="D30" s="34" t="s">
        <v>52</v>
      </c>
      <c r="E30" s="72">
        <f>SUM(E1:E29)</f>
        <v>2310.2799999999997</v>
      </c>
    </row>
  </sheetData>
  <mergeCells count="1">
    <mergeCell ref="A1:E1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5" tint="0.79998168889431442"/>
  </sheetPr>
  <dimension ref="A1:E23"/>
  <sheetViews>
    <sheetView workbookViewId="0">
      <selection activeCell="F19" sqref="F19"/>
    </sheetView>
  </sheetViews>
  <sheetFormatPr defaultRowHeight="15" x14ac:dyDescent="0.25"/>
  <cols>
    <col min="1" max="1" width="6.5703125" customWidth="1"/>
    <col min="2" max="2" width="4.7109375" customWidth="1"/>
    <col min="3" max="3" width="7.140625" customWidth="1"/>
    <col min="4" max="4" width="6.85546875" customWidth="1"/>
  </cols>
  <sheetData>
    <row r="1" spans="1:5" x14ac:dyDescent="0.25">
      <c r="A1" s="96" t="s">
        <v>111</v>
      </c>
      <c r="B1" s="97"/>
      <c r="C1" s="97"/>
      <c r="D1" s="97"/>
      <c r="E1" s="98"/>
    </row>
    <row r="2" spans="1:5" x14ac:dyDescent="0.25">
      <c r="A2" s="86" t="s">
        <v>0</v>
      </c>
      <c r="B2" s="86" t="s">
        <v>97</v>
      </c>
      <c r="C2" s="86" t="s">
        <v>98</v>
      </c>
      <c r="D2" s="86" t="s">
        <v>93</v>
      </c>
      <c r="E2" s="86" t="s">
        <v>51</v>
      </c>
    </row>
    <row r="3" spans="1:5" x14ac:dyDescent="0.25">
      <c r="A3" s="86">
        <v>1</v>
      </c>
      <c r="B3" s="86">
        <v>4.0999999999999996</v>
      </c>
      <c r="C3" s="89">
        <v>2.16</v>
      </c>
      <c r="D3" s="86">
        <v>4.4000000000000004</v>
      </c>
      <c r="E3" s="86">
        <v>72.64</v>
      </c>
    </row>
    <row r="4" spans="1:5" x14ac:dyDescent="0.25">
      <c r="A4" s="86">
        <v>2</v>
      </c>
      <c r="B4" s="86">
        <v>1</v>
      </c>
      <c r="C4" s="89">
        <v>2.0049999999999999</v>
      </c>
      <c r="D4" s="86">
        <v>6.1</v>
      </c>
      <c r="E4" s="86">
        <v>13.62</v>
      </c>
    </row>
    <row r="5" spans="1:5" x14ac:dyDescent="0.25">
      <c r="A5" s="86">
        <v>3</v>
      </c>
      <c r="B5" s="86">
        <v>4.0999999999999996</v>
      </c>
      <c r="C5" s="89">
        <v>2.0840000000000001</v>
      </c>
      <c r="D5" s="86">
        <v>6.1</v>
      </c>
      <c r="E5" s="88">
        <v>16</v>
      </c>
    </row>
    <row r="6" spans="1:5" x14ac:dyDescent="0.25">
      <c r="A6" s="86">
        <v>4</v>
      </c>
      <c r="B6" s="86">
        <v>4.0999999999999996</v>
      </c>
      <c r="C6" s="89">
        <v>2.0870000000000002</v>
      </c>
      <c r="D6" s="86">
        <v>6.1</v>
      </c>
      <c r="E6" s="86">
        <v>19.46</v>
      </c>
    </row>
    <row r="7" spans="1:5" x14ac:dyDescent="0.25">
      <c r="A7" s="86">
        <v>5</v>
      </c>
      <c r="B7" s="86">
        <v>4.0999999999999996</v>
      </c>
      <c r="C7" s="89">
        <v>2.109</v>
      </c>
      <c r="D7" s="86">
        <v>6.1</v>
      </c>
      <c r="E7" s="86">
        <v>33.049999999999997</v>
      </c>
    </row>
    <row r="8" spans="1:5" x14ac:dyDescent="0.25">
      <c r="A8" s="86">
        <v>6</v>
      </c>
      <c r="B8" s="86">
        <v>4.0999999999999996</v>
      </c>
      <c r="C8" s="89">
        <v>2.1680000000000001</v>
      </c>
      <c r="D8" s="86">
        <v>6.1</v>
      </c>
      <c r="E8" s="86">
        <v>8.02</v>
      </c>
    </row>
    <row r="9" spans="1:5" x14ac:dyDescent="0.25">
      <c r="A9" s="86">
        <v>7</v>
      </c>
      <c r="B9" s="86">
        <v>1</v>
      </c>
      <c r="C9" s="89">
        <v>2.0139999999999998</v>
      </c>
      <c r="D9" s="86">
        <v>7.2</v>
      </c>
      <c r="E9" s="86">
        <v>17.22</v>
      </c>
    </row>
    <row r="10" spans="1:5" x14ac:dyDescent="0.25">
      <c r="A10" s="86">
        <v>8</v>
      </c>
      <c r="B10" s="86">
        <v>1</v>
      </c>
      <c r="C10" s="89">
        <v>2.0150000000000001</v>
      </c>
      <c r="D10" s="86">
        <v>7.2</v>
      </c>
      <c r="E10" s="86">
        <v>21.87</v>
      </c>
    </row>
    <row r="11" spans="1:5" x14ac:dyDescent="0.25">
      <c r="A11" s="86">
        <v>9</v>
      </c>
      <c r="B11" s="86">
        <v>1</v>
      </c>
      <c r="C11" s="89">
        <v>2.016</v>
      </c>
      <c r="D11" s="86">
        <v>7.2</v>
      </c>
      <c r="E11" s="86">
        <v>5.0599999999999996</v>
      </c>
    </row>
    <row r="12" spans="1:5" x14ac:dyDescent="0.25">
      <c r="A12" s="86">
        <v>10</v>
      </c>
      <c r="B12" s="86">
        <v>4.0999999999999996</v>
      </c>
      <c r="C12" s="89">
        <v>2.089</v>
      </c>
      <c r="D12" s="86">
        <v>7.2</v>
      </c>
      <c r="E12" s="86">
        <v>6.05</v>
      </c>
    </row>
    <row r="13" spans="1:5" x14ac:dyDescent="0.25">
      <c r="A13" s="86">
        <v>11</v>
      </c>
      <c r="B13" s="86">
        <v>4.0999999999999996</v>
      </c>
      <c r="C13" s="89">
        <v>2.09</v>
      </c>
      <c r="D13" s="86">
        <v>7.2</v>
      </c>
      <c r="E13" s="86">
        <v>12.15</v>
      </c>
    </row>
    <row r="14" spans="1:5" x14ac:dyDescent="0.25">
      <c r="A14" s="86">
        <v>12</v>
      </c>
      <c r="B14" s="86">
        <v>4.0999999999999996</v>
      </c>
      <c r="C14" s="89">
        <v>2.0910000000000002</v>
      </c>
      <c r="D14" s="86">
        <v>7.2</v>
      </c>
      <c r="E14" s="86">
        <v>10.63</v>
      </c>
    </row>
    <row r="15" spans="1:5" x14ac:dyDescent="0.25">
      <c r="A15" s="86">
        <v>13</v>
      </c>
      <c r="B15" s="86">
        <v>4.0999999999999996</v>
      </c>
      <c r="C15" s="89">
        <v>2.0950000000000002</v>
      </c>
      <c r="D15" s="86">
        <v>7.2</v>
      </c>
      <c r="E15" s="86">
        <v>8.7899999999999991</v>
      </c>
    </row>
    <row r="16" spans="1:5" x14ac:dyDescent="0.25">
      <c r="A16" s="86">
        <v>14</v>
      </c>
      <c r="B16" s="86">
        <v>4.0999999999999996</v>
      </c>
      <c r="C16" s="89">
        <v>2.0960000000000001</v>
      </c>
      <c r="D16" s="86">
        <v>7.2</v>
      </c>
      <c r="E16" s="86">
        <v>14.39</v>
      </c>
    </row>
    <row r="17" spans="1:5" x14ac:dyDescent="0.25">
      <c r="A17" s="86">
        <v>15</v>
      </c>
      <c r="B17" s="86">
        <v>4.0999999999999996</v>
      </c>
      <c r="C17" s="89">
        <v>2.1</v>
      </c>
      <c r="D17" s="86">
        <v>7.2</v>
      </c>
      <c r="E17" s="86">
        <v>8.19</v>
      </c>
    </row>
    <row r="18" spans="1:5" x14ac:dyDescent="0.25">
      <c r="A18" s="86">
        <v>16</v>
      </c>
      <c r="B18" s="86">
        <v>4.0999999999999996</v>
      </c>
      <c r="C18" s="89">
        <v>2.101</v>
      </c>
      <c r="D18" s="86">
        <v>7.2</v>
      </c>
      <c r="E18" s="86">
        <v>12.22</v>
      </c>
    </row>
    <row r="19" spans="1:5" x14ac:dyDescent="0.25">
      <c r="A19" s="86">
        <v>17</v>
      </c>
      <c r="B19" s="86">
        <v>4.0999999999999996</v>
      </c>
      <c r="C19" s="89">
        <v>2.1040000000000001</v>
      </c>
      <c r="D19" s="86">
        <v>7.2</v>
      </c>
      <c r="E19" s="86">
        <v>8.4499999999999993</v>
      </c>
    </row>
    <row r="20" spans="1:5" x14ac:dyDescent="0.25">
      <c r="A20" s="86">
        <v>18</v>
      </c>
      <c r="B20" s="86">
        <v>4.0999999999999996</v>
      </c>
      <c r="C20" s="89">
        <v>2.105</v>
      </c>
      <c r="D20" s="86">
        <v>7.2</v>
      </c>
      <c r="E20" s="86">
        <v>14.25</v>
      </c>
    </row>
    <row r="21" spans="1:5" x14ac:dyDescent="0.25">
      <c r="A21" s="86">
        <v>19</v>
      </c>
      <c r="B21" s="86">
        <v>4.0999999999999996</v>
      </c>
      <c r="C21" s="89">
        <v>2.1070000000000002</v>
      </c>
      <c r="D21" s="86">
        <v>7.2</v>
      </c>
      <c r="E21" s="86">
        <v>8.14</v>
      </c>
    </row>
    <row r="22" spans="1:5" x14ac:dyDescent="0.25">
      <c r="A22" s="86">
        <v>20</v>
      </c>
      <c r="B22" s="86">
        <v>4.0999999999999996</v>
      </c>
      <c r="C22" s="89">
        <v>2.1080000000000001</v>
      </c>
      <c r="D22" s="86">
        <v>7.2</v>
      </c>
      <c r="E22" s="86">
        <v>16.28</v>
      </c>
    </row>
    <row r="23" spans="1:5" x14ac:dyDescent="0.25">
      <c r="A23" s="57"/>
      <c r="B23" s="34"/>
      <c r="C23" s="54"/>
      <c r="D23" s="34" t="s">
        <v>52</v>
      </c>
      <c r="E23" s="72">
        <f>SUM(E3:E22)</f>
        <v>326.48</v>
      </c>
    </row>
  </sheetData>
  <mergeCells count="1">
    <mergeCell ref="A1:E1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5" tint="0.79998168889431442"/>
  </sheetPr>
  <dimension ref="A1:E8"/>
  <sheetViews>
    <sheetView workbookViewId="0">
      <selection activeCell="F19" sqref="F19"/>
    </sheetView>
  </sheetViews>
  <sheetFormatPr defaultRowHeight="15" x14ac:dyDescent="0.25"/>
  <cols>
    <col min="1" max="4" width="6.140625" customWidth="1"/>
    <col min="5" max="5" width="8" customWidth="1"/>
  </cols>
  <sheetData>
    <row r="1" spans="1:5" x14ac:dyDescent="0.25">
      <c r="A1" s="93" t="s">
        <v>109</v>
      </c>
      <c r="B1" s="94"/>
      <c r="C1" s="94"/>
      <c r="D1" s="94"/>
      <c r="E1" s="95"/>
    </row>
    <row r="2" spans="1:5" x14ac:dyDescent="0.25">
      <c r="A2" s="77" t="s">
        <v>0</v>
      </c>
      <c r="B2" s="65" t="s">
        <v>97</v>
      </c>
      <c r="C2" s="78" t="s">
        <v>98</v>
      </c>
      <c r="D2" s="65" t="s">
        <v>93</v>
      </c>
      <c r="E2" s="79" t="s">
        <v>51</v>
      </c>
    </row>
    <row r="3" spans="1:5" x14ac:dyDescent="0.25">
      <c r="A3" s="68">
        <v>1</v>
      </c>
      <c r="B3" s="64">
        <v>1</v>
      </c>
      <c r="C3" s="8">
        <v>3.0059999999999998</v>
      </c>
      <c r="D3" s="64">
        <v>6.1</v>
      </c>
      <c r="E3" s="76">
        <v>13.62</v>
      </c>
    </row>
    <row r="4" spans="1:5" x14ac:dyDescent="0.25">
      <c r="A4" s="68">
        <v>2</v>
      </c>
      <c r="B4" s="64">
        <v>4.0999999999999996</v>
      </c>
      <c r="C4" s="8">
        <v>3.0939999999999999</v>
      </c>
      <c r="D4" s="64">
        <v>6.1</v>
      </c>
      <c r="E4" s="76">
        <v>15.07</v>
      </c>
    </row>
    <row r="5" spans="1:5" x14ac:dyDescent="0.25">
      <c r="A5" s="68">
        <v>3</v>
      </c>
      <c r="B5" s="64">
        <v>1</v>
      </c>
      <c r="C5" s="8">
        <v>3.0150000000000001</v>
      </c>
      <c r="D5" s="64">
        <v>7.2</v>
      </c>
      <c r="E5" s="76">
        <v>17.21</v>
      </c>
    </row>
    <row r="6" spans="1:5" x14ac:dyDescent="0.25">
      <c r="A6" s="68">
        <v>4</v>
      </c>
      <c r="B6" s="64">
        <v>1</v>
      </c>
      <c r="C6" s="8">
        <v>3.016</v>
      </c>
      <c r="D6" s="64">
        <v>7.2</v>
      </c>
      <c r="E6" s="76">
        <v>21.12</v>
      </c>
    </row>
    <row r="7" spans="1:5" x14ac:dyDescent="0.25">
      <c r="A7" s="68">
        <v>5</v>
      </c>
      <c r="B7" s="64">
        <v>1</v>
      </c>
      <c r="C7" s="8">
        <v>3.0169999999999999</v>
      </c>
      <c r="D7" s="64">
        <v>7.2</v>
      </c>
      <c r="E7" s="76">
        <v>5.0599999999999996</v>
      </c>
    </row>
    <row r="8" spans="1:5" x14ac:dyDescent="0.25">
      <c r="A8" s="57"/>
      <c r="B8" s="34"/>
      <c r="C8" s="54"/>
      <c r="D8" s="34" t="s">
        <v>52</v>
      </c>
      <c r="E8" s="72">
        <f>SUM(E3:E7)</f>
        <v>72.08</v>
      </c>
    </row>
  </sheetData>
  <mergeCells count="1">
    <mergeCell ref="A1:E1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I106"/>
  <sheetViews>
    <sheetView topLeftCell="A17" zoomScaleNormal="100" workbookViewId="0">
      <selection activeCell="A33" sqref="A33:E33"/>
    </sheetView>
  </sheetViews>
  <sheetFormatPr defaultRowHeight="15" x14ac:dyDescent="0.25"/>
  <cols>
    <col min="3" max="3" width="9.140625" style="63"/>
    <col min="5" max="5" width="10.7109375" style="61" customWidth="1"/>
  </cols>
  <sheetData>
    <row r="1" spans="1:7" x14ac:dyDescent="0.25">
      <c r="A1" s="93" t="s">
        <v>48</v>
      </c>
      <c r="B1" s="94"/>
      <c r="C1" s="94"/>
      <c r="D1" s="94"/>
      <c r="E1" s="95"/>
    </row>
    <row r="2" spans="1:7" x14ac:dyDescent="0.25">
      <c r="A2" s="77" t="s">
        <v>0</v>
      </c>
      <c r="B2" s="65" t="s">
        <v>97</v>
      </c>
      <c r="C2" s="78" t="s">
        <v>98</v>
      </c>
      <c r="D2" s="65" t="s">
        <v>93</v>
      </c>
      <c r="E2" s="85" t="s">
        <v>51</v>
      </c>
    </row>
    <row r="3" spans="1:7" x14ac:dyDescent="0.25">
      <c r="A3" s="68">
        <v>1</v>
      </c>
      <c r="B3" s="64">
        <v>1</v>
      </c>
      <c r="C3" s="64">
        <v>1.024</v>
      </c>
      <c r="D3" s="64">
        <v>6</v>
      </c>
      <c r="E3" s="76">
        <v>13.62</v>
      </c>
    </row>
    <row r="4" spans="1:7" x14ac:dyDescent="0.25">
      <c r="A4" s="68">
        <v>2</v>
      </c>
      <c r="B4" s="64">
        <v>4.0999999999999996</v>
      </c>
      <c r="C4" s="64">
        <v>1.0449999999999999</v>
      </c>
      <c r="D4" s="64">
        <v>6</v>
      </c>
      <c r="E4" s="76">
        <v>161.78</v>
      </c>
    </row>
    <row r="5" spans="1:7" x14ac:dyDescent="0.25">
      <c r="A5" s="68">
        <v>3</v>
      </c>
      <c r="B5" s="64">
        <v>4.0999999999999996</v>
      </c>
      <c r="C5" s="64">
        <v>1.046</v>
      </c>
      <c r="D5" s="64">
        <v>6</v>
      </c>
      <c r="E5" s="76">
        <v>161.15</v>
      </c>
      <c r="G5">
        <f t="shared" ref="G5:G18" si="0">--MID($G$62,IF(ROW(A2)=1,1,FIND("; ",$G$62,FIND("; ",$G$62,1)*(ROW(A2)-1))+2),FIND("; ",$G$62&amp;"; ",IF(ROW(A2)=1,1,FIND("; ",$G$62,FIND("; ",$G$62,1)*(ROW(A2)-1))+2))-IF(ROW(A2)=1,1,FIND("; ",$G$62,FIND("; ",$G$62,1)*(ROW(A2)-1))+2))</f>
        <v>2.08</v>
      </c>
    </row>
    <row r="6" spans="1:7" x14ac:dyDescent="0.25">
      <c r="A6" s="68">
        <v>4</v>
      </c>
      <c r="B6" s="64">
        <v>4.0999999999999996</v>
      </c>
      <c r="C6" s="64">
        <v>1.0529999999999999</v>
      </c>
      <c r="D6" s="64">
        <v>6</v>
      </c>
      <c r="E6" s="76">
        <v>443.48</v>
      </c>
      <c r="G6" t="e">
        <f t="shared" si="0"/>
        <v>#VALUE!</v>
      </c>
    </row>
    <row r="7" spans="1:7" x14ac:dyDescent="0.25">
      <c r="A7" s="68">
        <v>5</v>
      </c>
      <c r="B7" s="64">
        <v>1</v>
      </c>
      <c r="C7" s="64">
        <v>1.034</v>
      </c>
      <c r="D7" s="64">
        <v>7</v>
      </c>
      <c r="E7" s="76">
        <v>17.22</v>
      </c>
      <c r="G7" t="e">
        <f t="shared" si="0"/>
        <v>#VALUE!</v>
      </c>
    </row>
    <row r="8" spans="1:7" x14ac:dyDescent="0.25">
      <c r="A8" s="68">
        <v>6</v>
      </c>
      <c r="B8" s="64">
        <v>1</v>
      </c>
      <c r="C8" s="64">
        <v>1.0349999999999999</v>
      </c>
      <c r="D8" s="64">
        <v>7</v>
      </c>
      <c r="E8" s="76">
        <v>21.63</v>
      </c>
      <c r="G8" t="e">
        <f t="shared" si="0"/>
        <v>#VALUE!</v>
      </c>
    </row>
    <row r="9" spans="1:7" x14ac:dyDescent="0.25">
      <c r="A9" s="68">
        <v>7</v>
      </c>
      <c r="B9" s="64">
        <v>1</v>
      </c>
      <c r="C9" s="64">
        <v>1.036</v>
      </c>
      <c r="D9" s="64">
        <v>7</v>
      </c>
      <c r="E9" s="76">
        <v>5.76</v>
      </c>
      <c r="G9" t="e">
        <f t="shared" si="0"/>
        <v>#VALUE!</v>
      </c>
    </row>
    <row r="10" spans="1:7" x14ac:dyDescent="0.25">
      <c r="A10" s="68">
        <v>8</v>
      </c>
      <c r="B10" s="64">
        <v>4.0999999999999996</v>
      </c>
      <c r="C10" s="64">
        <v>1.054</v>
      </c>
      <c r="D10" s="64">
        <v>7</v>
      </c>
      <c r="E10" s="76">
        <v>14.54</v>
      </c>
      <c r="G10" t="e">
        <f t="shared" si="0"/>
        <v>#VALUE!</v>
      </c>
    </row>
    <row r="11" spans="1:7" hidden="1" x14ac:dyDescent="0.25">
      <c r="A11" s="68">
        <v>9</v>
      </c>
      <c r="B11" s="64">
        <v>4.0999999999999996</v>
      </c>
      <c r="C11" s="64">
        <v>1.054</v>
      </c>
      <c r="D11" s="64">
        <v>7.1</v>
      </c>
      <c r="E11" s="76">
        <v>46.62</v>
      </c>
      <c r="G11" t="e">
        <f t="shared" si="0"/>
        <v>#VALUE!</v>
      </c>
    </row>
    <row r="12" spans="1:7" x14ac:dyDescent="0.25">
      <c r="A12" s="68">
        <v>10</v>
      </c>
      <c r="B12" s="64">
        <v>4.0999999999999996</v>
      </c>
      <c r="C12" s="64">
        <v>1.048</v>
      </c>
      <c r="D12" s="64">
        <v>8.1</v>
      </c>
      <c r="E12" s="76">
        <v>23.92</v>
      </c>
      <c r="G12" t="e">
        <f t="shared" si="0"/>
        <v>#VALUE!</v>
      </c>
    </row>
    <row r="13" spans="1:7" x14ac:dyDescent="0.25">
      <c r="A13" s="68">
        <v>11</v>
      </c>
      <c r="B13" s="64">
        <v>1</v>
      </c>
      <c r="C13" s="64">
        <v>1.0369999999999999</v>
      </c>
      <c r="D13" s="64">
        <v>8.1999999999999993</v>
      </c>
      <c r="E13" s="76">
        <v>3.34</v>
      </c>
      <c r="G13" t="e">
        <f t="shared" si="0"/>
        <v>#VALUE!</v>
      </c>
    </row>
    <row r="14" spans="1:7" x14ac:dyDescent="0.25">
      <c r="A14" s="68">
        <v>12</v>
      </c>
      <c r="B14" s="64">
        <v>1</v>
      </c>
      <c r="C14" s="64">
        <v>1.038</v>
      </c>
      <c r="D14" s="64">
        <v>8.1999999999999993</v>
      </c>
      <c r="E14" s="76">
        <v>5.25</v>
      </c>
      <c r="G14" t="e">
        <f t="shared" si="0"/>
        <v>#VALUE!</v>
      </c>
    </row>
    <row r="15" spans="1:7" x14ac:dyDescent="0.25">
      <c r="A15" s="68">
        <v>13</v>
      </c>
      <c r="B15" s="64">
        <v>1</v>
      </c>
      <c r="C15" s="8">
        <v>1.026</v>
      </c>
      <c r="D15" s="64">
        <v>9</v>
      </c>
      <c r="E15" s="76">
        <v>191.68</v>
      </c>
      <c r="G15" t="e">
        <f t="shared" si="0"/>
        <v>#VALUE!</v>
      </c>
    </row>
    <row r="16" spans="1:7" x14ac:dyDescent="0.25">
      <c r="A16" s="68">
        <v>14</v>
      </c>
      <c r="B16" s="64">
        <v>1</v>
      </c>
      <c r="C16" s="54">
        <v>1.0269999999999999</v>
      </c>
      <c r="D16" s="64">
        <v>9</v>
      </c>
      <c r="E16" s="76">
        <v>114.04</v>
      </c>
      <c r="G16" t="e">
        <f t="shared" si="0"/>
        <v>#VALUE!</v>
      </c>
    </row>
    <row r="17" spans="1:7" x14ac:dyDescent="0.25">
      <c r="A17" s="68">
        <v>15</v>
      </c>
      <c r="B17" s="64">
        <v>1</v>
      </c>
      <c r="C17" s="54">
        <v>1.028</v>
      </c>
      <c r="D17" s="64">
        <v>9</v>
      </c>
      <c r="E17" s="76">
        <v>68.81</v>
      </c>
      <c r="G17" t="e">
        <f t="shared" si="0"/>
        <v>#VALUE!</v>
      </c>
    </row>
    <row r="18" spans="1:7" x14ac:dyDescent="0.25">
      <c r="A18" s="68">
        <v>16</v>
      </c>
      <c r="B18" s="64">
        <v>1</v>
      </c>
      <c r="C18" s="54">
        <v>1.0289999999999999</v>
      </c>
      <c r="D18" s="64">
        <v>9</v>
      </c>
      <c r="E18" s="76">
        <v>68.81</v>
      </c>
      <c r="G18" t="e">
        <f t="shared" si="0"/>
        <v>#VALUE!</v>
      </c>
    </row>
    <row r="19" spans="1:7" x14ac:dyDescent="0.25">
      <c r="A19" s="68">
        <v>17</v>
      </c>
      <c r="B19" s="64">
        <v>1</v>
      </c>
      <c r="C19" s="54">
        <v>1.03</v>
      </c>
      <c r="D19" s="64">
        <v>9</v>
      </c>
      <c r="E19" s="76">
        <v>68.89</v>
      </c>
    </row>
    <row r="20" spans="1:7" x14ac:dyDescent="0.25">
      <c r="A20" s="68">
        <v>18</v>
      </c>
      <c r="B20" s="64">
        <v>1</v>
      </c>
      <c r="C20" s="54">
        <v>1.0309999999999999</v>
      </c>
      <c r="D20" s="64">
        <v>9</v>
      </c>
      <c r="E20" s="76">
        <v>68.89</v>
      </c>
    </row>
    <row r="21" spans="1:7" x14ac:dyDescent="0.25">
      <c r="A21" s="68">
        <v>19</v>
      </c>
      <c r="B21" s="64">
        <v>1</v>
      </c>
      <c r="C21" s="54">
        <v>1.032</v>
      </c>
      <c r="D21" s="64">
        <v>9</v>
      </c>
      <c r="E21" s="76">
        <v>68.069999999999993</v>
      </c>
    </row>
    <row r="22" spans="1:7" x14ac:dyDescent="0.25">
      <c r="A22" s="68">
        <v>20</v>
      </c>
      <c r="B22" s="64">
        <v>1</v>
      </c>
      <c r="C22" s="54">
        <v>1.0329999999999999</v>
      </c>
      <c r="D22" s="64">
        <v>9</v>
      </c>
      <c r="E22" s="76">
        <v>139.1</v>
      </c>
    </row>
    <row r="23" spans="1:7" x14ac:dyDescent="0.25">
      <c r="A23" s="68">
        <v>21</v>
      </c>
      <c r="B23" s="64">
        <v>1</v>
      </c>
      <c r="C23" s="54">
        <v>1.0389999999999999</v>
      </c>
      <c r="D23" s="64">
        <v>9</v>
      </c>
      <c r="E23" s="76">
        <v>149.69999999999999</v>
      </c>
    </row>
    <row r="24" spans="1:7" x14ac:dyDescent="0.25">
      <c r="A24" s="68">
        <v>22</v>
      </c>
      <c r="B24" s="64">
        <v>4.0999999999999996</v>
      </c>
      <c r="C24" s="54">
        <v>1.04</v>
      </c>
      <c r="D24" s="64">
        <v>9</v>
      </c>
      <c r="E24" s="76">
        <v>220.47</v>
      </c>
    </row>
    <row r="25" spans="1:7" x14ac:dyDescent="0.25">
      <c r="A25" s="68">
        <v>23</v>
      </c>
      <c r="B25" s="64">
        <v>4.0999999999999996</v>
      </c>
      <c r="C25" s="54">
        <v>1.0429999999999999</v>
      </c>
      <c r="D25" s="64">
        <v>9</v>
      </c>
      <c r="E25" s="76">
        <v>61.99</v>
      </c>
    </row>
    <row r="26" spans="1:7" x14ac:dyDescent="0.25">
      <c r="A26" s="68">
        <v>24</v>
      </c>
      <c r="B26" s="64">
        <v>4.0999999999999996</v>
      </c>
      <c r="C26" s="54">
        <v>1.044</v>
      </c>
      <c r="D26" s="64">
        <v>9</v>
      </c>
      <c r="E26" s="76">
        <v>14.14</v>
      </c>
    </row>
    <row r="27" spans="1:7" x14ac:dyDescent="0.25">
      <c r="A27" s="68">
        <v>25</v>
      </c>
      <c r="B27" s="64">
        <v>4.0999999999999996</v>
      </c>
      <c r="C27" s="54">
        <v>1.0489999999999999</v>
      </c>
      <c r="D27" s="64">
        <v>9</v>
      </c>
      <c r="E27" s="76">
        <v>103.8</v>
      </c>
    </row>
    <row r="28" spans="1:7" x14ac:dyDescent="0.25">
      <c r="A28" s="68">
        <v>26</v>
      </c>
      <c r="B28" s="64">
        <v>4.0999999999999996</v>
      </c>
      <c r="C28" s="54">
        <v>1.05</v>
      </c>
      <c r="D28" s="64">
        <v>9</v>
      </c>
      <c r="E28" s="76">
        <v>22</v>
      </c>
    </row>
    <row r="29" spans="1:7" x14ac:dyDescent="0.25">
      <c r="A29" s="80">
        <v>27</v>
      </c>
      <c r="B29" s="81">
        <v>4.0999999999999996</v>
      </c>
      <c r="C29" s="82">
        <v>1.0509999999999999</v>
      </c>
      <c r="D29" s="81">
        <v>9</v>
      </c>
      <c r="E29" s="83">
        <v>31.58</v>
      </c>
    </row>
    <row r="30" spans="1:7" x14ac:dyDescent="0.25">
      <c r="A30" s="56"/>
      <c r="B30" s="34"/>
      <c r="C30" s="54"/>
      <c r="D30" s="34"/>
      <c r="E30" s="60"/>
    </row>
    <row r="31" spans="1:7" x14ac:dyDescent="0.25">
      <c r="A31" s="58" t="s">
        <v>48</v>
      </c>
      <c r="B31" s="58"/>
      <c r="C31" s="62"/>
      <c r="D31" s="58"/>
      <c r="E31" s="60"/>
    </row>
    <row r="32" spans="1:7" x14ac:dyDescent="0.25">
      <c r="A32" s="77" t="s">
        <v>0</v>
      </c>
      <c r="B32" s="65" t="s">
        <v>97</v>
      </c>
      <c r="C32" s="78" t="s">
        <v>98</v>
      </c>
      <c r="D32" s="65" t="s">
        <v>93</v>
      </c>
      <c r="E32" s="79" t="s">
        <v>51</v>
      </c>
    </row>
    <row r="33" spans="1:7" x14ac:dyDescent="0.25">
      <c r="A33" s="68">
        <v>1</v>
      </c>
      <c r="B33" s="64">
        <v>4.0999999999999996</v>
      </c>
      <c r="C33" s="8">
        <v>2.16</v>
      </c>
      <c r="D33" s="64">
        <v>4.4000000000000004</v>
      </c>
      <c r="E33" s="76">
        <v>72.64</v>
      </c>
    </row>
    <row r="34" spans="1:7" hidden="1" x14ac:dyDescent="0.25">
      <c r="A34" s="68">
        <v>2</v>
      </c>
      <c r="B34" s="64">
        <v>1</v>
      </c>
      <c r="C34" s="8">
        <v>2.0049999999999999</v>
      </c>
      <c r="D34" s="64">
        <v>6.1</v>
      </c>
      <c r="E34" s="76">
        <v>13.62</v>
      </c>
      <c r="G34">
        <v>73.55</v>
      </c>
    </row>
    <row r="35" spans="1:7" hidden="1" x14ac:dyDescent="0.25">
      <c r="A35" s="68">
        <v>3</v>
      </c>
      <c r="B35" s="64">
        <v>4.0999999999999996</v>
      </c>
      <c r="C35" s="8">
        <v>2.0840000000000001</v>
      </c>
      <c r="D35" s="64">
        <v>6.1</v>
      </c>
      <c r="E35" s="76">
        <v>16</v>
      </c>
      <c r="G35">
        <v>72.239999999999995</v>
      </c>
    </row>
    <row r="36" spans="1:7" hidden="1" x14ac:dyDescent="0.25">
      <c r="A36" s="90">
        <v>4</v>
      </c>
      <c r="B36" s="64">
        <v>4.0999999999999996</v>
      </c>
      <c r="C36" s="8">
        <v>2.0870000000000002</v>
      </c>
      <c r="D36" s="64">
        <v>6.1</v>
      </c>
      <c r="E36" s="76">
        <v>19.46</v>
      </c>
      <c r="G36">
        <v>68.260000000000005</v>
      </c>
    </row>
    <row r="37" spans="1:7" hidden="1" x14ac:dyDescent="0.25">
      <c r="A37" s="68">
        <v>5</v>
      </c>
      <c r="B37" s="64">
        <v>4.0999999999999996</v>
      </c>
      <c r="C37" s="8">
        <v>2.109</v>
      </c>
      <c r="D37" s="64">
        <v>6.1</v>
      </c>
      <c r="E37" s="76">
        <v>33.049999999999997</v>
      </c>
      <c r="G37">
        <v>158.71</v>
      </c>
    </row>
    <row r="38" spans="1:7" hidden="1" x14ac:dyDescent="0.25">
      <c r="A38" s="68">
        <v>6</v>
      </c>
      <c r="B38" s="64">
        <v>4.0999999999999996</v>
      </c>
      <c r="C38" s="8">
        <v>2.1680000000000001</v>
      </c>
      <c r="D38" s="64">
        <v>6.1</v>
      </c>
      <c r="E38" s="76">
        <v>8.02</v>
      </c>
    </row>
    <row r="39" spans="1:7" hidden="1" x14ac:dyDescent="0.25">
      <c r="A39" s="68">
        <v>7</v>
      </c>
      <c r="B39" s="64">
        <v>1</v>
      </c>
      <c r="C39" s="64">
        <v>2.0139999999999998</v>
      </c>
      <c r="D39" s="64">
        <v>7.2</v>
      </c>
      <c r="E39" s="76">
        <v>17.22</v>
      </c>
      <c r="G39">
        <v>68.3</v>
      </c>
    </row>
    <row r="40" spans="1:7" hidden="1" x14ac:dyDescent="0.25">
      <c r="A40" s="68">
        <v>8</v>
      </c>
      <c r="B40" s="64">
        <v>1</v>
      </c>
      <c r="C40" s="64">
        <v>2.0150000000000001</v>
      </c>
      <c r="D40" s="64">
        <v>7.2</v>
      </c>
      <c r="E40" s="76">
        <v>21.87</v>
      </c>
      <c r="G40">
        <v>68.459999999999994</v>
      </c>
    </row>
    <row r="41" spans="1:7" hidden="1" x14ac:dyDescent="0.25">
      <c r="A41" s="68">
        <v>9</v>
      </c>
      <c r="B41" s="64">
        <v>1</v>
      </c>
      <c r="C41" s="64">
        <v>2.016</v>
      </c>
      <c r="D41" s="64">
        <v>7.2</v>
      </c>
      <c r="E41" s="76">
        <v>5.0599999999999996</v>
      </c>
      <c r="G41">
        <v>68.459999999999994</v>
      </c>
    </row>
    <row r="42" spans="1:7" hidden="1" x14ac:dyDescent="0.25">
      <c r="A42" s="68">
        <v>10</v>
      </c>
      <c r="B42" s="64">
        <v>4.0999999999999996</v>
      </c>
      <c r="C42" s="54">
        <v>2.089</v>
      </c>
      <c r="D42" s="64">
        <v>7.2</v>
      </c>
      <c r="E42" s="76">
        <v>6.05</v>
      </c>
      <c r="G42">
        <v>67.64</v>
      </c>
    </row>
    <row r="43" spans="1:7" hidden="1" x14ac:dyDescent="0.25">
      <c r="A43" s="68">
        <v>11</v>
      </c>
      <c r="B43" s="64">
        <v>4.0999999999999996</v>
      </c>
      <c r="C43" s="54">
        <v>2.09</v>
      </c>
      <c r="D43" s="64">
        <v>7.2</v>
      </c>
      <c r="E43" s="76">
        <v>12.15</v>
      </c>
      <c r="G43">
        <v>68.459999999999994</v>
      </c>
    </row>
    <row r="44" spans="1:7" hidden="1" x14ac:dyDescent="0.25">
      <c r="A44" s="68">
        <v>12</v>
      </c>
      <c r="B44" s="64">
        <v>4.0999999999999996</v>
      </c>
      <c r="C44" s="54">
        <v>2.0910000000000002</v>
      </c>
      <c r="D44" s="64">
        <v>7.2</v>
      </c>
      <c r="E44" s="76">
        <v>10.63</v>
      </c>
      <c r="G44">
        <v>149.25</v>
      </c>
    </row>
    <row r="45" spans="1:7" hidden="1" x14ac:dyDescent="0.25">
      <c r="A45" s="68">
        <v>13</v>
      </c>
      <c r="B45" s="64">
        <v>4.0999999999999996</v>
      </c>
      <c r="C45" s="54">
        <v>2.0950000000000002</v>
      </c>
      <c r="D45" s="64">
        <v>7.2</v>
      </c>
      <c r="E45" s="76">
        <v>8.7899999999999991</v>
      </c>
      <c r="G45">
        <v>68.459999999999994</v>
      </c>
    </row>
    <row r="46" spans="1:7" hidden="1" x14ac:dyDescent="0.25">
      <c r="A46" s="68">
        <v>14</v>
      </c>
      <c r="B46" s="64">
        <v>4.0999999999999996</v>
      </c>
      <c r="C46" s="54">
        <v>2.0960000000000001</v>
      </c>
      <c r="D46" s="64">
        <v>7.2</v>
      </c>
      <c r="E46" s="76">
        <v>14.39</v>
      </c>
    </row>
    <row r="47" spans="1:7" hidden="1" x14ac:dyDescent="0.25">
      <c r="A47" s="68">
        <v>15</v>
      </c>
      <c r="B47" s="64">
        <v>4.0999999999999996</v>
      </c>
      <c r="C47" s="54">
        <v>2.1</v>
      </c>
      <c r="D47" s="64">
        <v>7.2</v>
      </c>
      <c r="E47" s="76">
        <v>8.19</v>
      </c>
    </row>
    <row r="48" spans="1:7" hidden="1" x14ac:dyDescent="0.25">
      <c r="A48" s="68">
        <v>16</v>
      </c>
      <c r="B48" s="64">
        <v>4.0999999999999996</v>
      </c>
      <c r="C48" s="54">
        <v>2.101</v>
      </c>
      <c r="D48" s="64">
        <v>7.2</v>
      </c>
      <c r="E48" s="76">
        <v>12.22</v>
      </c>
    </row>
    <row r="49" spans="1:9" hidden="1" x14ac:dyDescent="0.25">
      <c r="A49" s="68">
        <v>17</v>
      </c>
      <c r="B49" s="64">
        <v>4.0999999999999996</v>
      </c>
      <c r="C49" s="54">
        <v>2.1040000000000001</v>
      </c>
      <c r="D49" s="64">
        <v>7.2</v>
      </c>
      <c r="E49" s="76">
        <v>8.4499999999999993</v>
      </c>
      <c r="G49">
        <v>79.790000000000006</v>
      </c>
    </row>
    <row r="50" spans="1:9" hidden="1" x14ac:dyDescent="0.25">
      <c r="A50" s="68">
        <v>18</v>
      </c>
      <c r="B50" s="64">
        <v>4.0999999999999996</v>
      </c>
      <c r="C50" s="54">
        <v>2.105</v>
      </c>
      <c r="D50" s="64">
        <v>7.2</v>
      </c>
      <c r="E50" s="76">
        <v>14.25</v>
      </c>
      <c r="G50">
        <v>170.56</v>
      </c>
    </row>
    <row r="51" spans="1:9" hidden="1" x14ac:dyDescent="0.25">
      <c r="A51" s="68">
        <v>19</v>
      </c>
      <c r="B51" s="64">
        <v>4.0999999999999996</v>
      </c>
      <c r="C51" s="54">
        <v>2.1070000000000002</v>
      </c>
      <c r="D51" s="64">
        <v>7.2</v>
      </c>
      <c r="E51" s="84">
        <v>8.14</v>
      </c>
    </row>
    <row r="52" spans="1:9" hidden="1" x14ac:dyDescent="0.25">
      <c r="A52" s="80">
        <v>20</v>
      </c>
      <c r="B52" s="81">
        <v>4.0999999999999996</v>
      </c>
      <c r="C52" s="82">
        <v>2.1080000000000001</v>
      </c>
      <c r="D52" s="81">
        <v>7.2</v>
      </c>
      <c r="E52" s="87">
        <v>16.28</v>
      </c>
    </row>
    <row r="53" spans="1:9" hidden="1" x14ac:dyDescent="0.25">
      <c r="A53" s="75">
        <v>21</v>
      </c>
      <c r="B53" s="64">
        <v>1</v>
      </c>
      <c r="C53" s="54">
        <v>2.0169999999999999</v>
      </c>
      <c r="D53" s="64">
        <v>8.3000000000000007</v>
      </c>
      <c r="E53" s="76">
        <v>3.22</v>
      </c>
    </row>
    <row r="54" spans="1:9" hidden="1" x14ac:dyDescent="0.25">
      <c r="A54" s="75">
        <v>22</v>
      </c>
      <c r="B54" s="64">
        <v>1</v>
      </c>
      <c r="C54" s="54">
        <v>2.1619999999999999</v>
      </c>
      <c r="D54" s="64">
        <v>8.3000000000000007</v>
      </c>
      <c r="E54" s="76">
        <v>5.25</v>
      </c>
    </row>
    <row r="55" spans="1:9" hidden="1" x14ac:dyDescent="0.25">
      <c r="A55" s="75">
        <v>23</v>
      </c>
      <c r="B55" s="64">
        <v>4.0999999999999996</v>
      </c>
      <c r="C55" s="54">
        <v>2.097</v>
      </c>
      <c r="D55" s="64">
        <v>8.3000000000000007</v>
      </c>
      <c r="E55" s="76">
        <v>4.8499999999999996</v>
      </c>
    </row>
    <row r="56" spans="1:9" hidden="1" x14ac:dyDescent="0.25">
      <c r="A56" s="75">
        <v>24</v>
      </c>
      <c r="B56" s="64">
        <v>4.0999999999999996</v>
      </c>
      <c r="C56" s="54">
        <v>2.0979999999999999</v>
      </c>
      <c r="D56" s="64">
        <v>8.3000000000000007</v>
      </c>
      <c r="E56" s="76">
        <v>4.76</v>
      </c>
    </row>
    <row r="57" spans="1:9" hidden="1" x14ac:dyDescent="0.25">
      <c r="A57" s="75">
        <v>25</v>
      </c>
      <c r="B57" s="64">
        <v>4.0999999999999996</v>
      </c>
      <c r="C57" s="54">
        <v>2.1019999999999999</v>
      </c>
      <c r="D57" s="64">
        <v>8.3000000000000007</v>
      </c>
      <c r="E57" s="76">
        <v>9.24</v>
      </c>
    </row>
    <row r="58" spans="1:9" hidden="1" x14ac:dyDescent="0.25">
      <c r="A58" s="75">
        <v>34</v>
      </c>
      <c r="B58" s="64">
        <v>1</v>
      </c>
      <c r="C58" s="54">
        <v>2.0009999999999999</v>
      </c>
      <c r="D58" s="64">
        <v>9.1999999999999993</v>
      </c>
      <c r="E58" s="76">
        <v>73.55</v>
      </c>
      <c r="G58">
        <v>10.24</v>
      </c>
    </row>
    <row r="59" spans="1:9" hidden="1" x14ac:dyDescent="0.25">
      <c r="A59" s="75">
        <v>33</v>
      </c>
      <c r="B59" s="64">
        <v>1</v>
      </c>
      <c r="C59" s="54">
        <v>2.0019999999999998</v>
      </c>
      <c r="D59" s="64">
        <v>9.1999999999999993</v>
      </c>
      <c r="E59" s="76">
        <v>72.239999999999995</v>
      </c>
    </row>
    <row r="60" spans="1:9" hidden="1" x14ac:dyDescent="0.25">
      <c r="A60" s="75">
        <v>27</v>
      </c>
      <c r="B60" s="64">
        <v>1</v>
      </c>
      <c r="C60" s="54">
        <v>2.0030000000000001</v>
      </c>
      <c r="D60" s="64">
        <v>9.1999999999999993</v>
      </c>
      <c r="E60" s="76">
        <v>68.260000000000005</v>
      </c>
    </row>
    <row r="61" spans="1:9" hidden="1" x14ac:dyDescent="0.25">
      <c r="A61" s="75">
        <v>36</v>
      </c>
      <c r="B61" s="64">
        <v>1</v>
      </c>
      <c r="C61" s="54">
        <v>2.004</v>
      </c>
      <c r="D61" s="64">
        <v>9.1999999999999993</v>
      </c>
      <c r="E61" s="76">
        <v>158.71</v>
      </c>
    </row>
    <row r="62" spans="1:9" hidden="1" x14ac:dyDescent="0.25">
      <c r="A62" s="75">
        <v>30</v>
      </c>
      <c r="B62" s="64">
        <v>1</v>
      </c>
      <c r="C62" s="54">
        <v>2.0070000000000001</v>
      </c>
      <c r="D62" s="64">
        <v>9.1999999999999993</v>
      </c>
      <c r="E62" s="76">
        <v>68.3</v>
      </c>
      <c r="G62" t="s">
        <v>112</v>
      </c>
      <c r="I62">
        <v>23.36</v>
      </c>
    </row>
    <row r="63" spans="1:9" hidden="1" x14ac:dyDescent="0.25">
      <c r="A63" s="75">
        <v>32</v>
      </c>
      <c r="B63" s="64">
        <v>1</v>
      </c>
      <c r="C63" s="54">
        <v>2.008</v>
      </c>
      <c r="D63" s="64">
        <v>9.1999999999999993</v>
      </c>
      <c r="E63" s="76">
        <v>68.459999999999994</v>
      </c>
      <c r="G63">
        <f t="shared" ref="G63:G68" si="1">--MID($G$62,IF(ROW(A1)=1,1,FIND("; ",$G$62,FIND("; ",$G$62,1)*(ROW(A1)-1))+2),FIND("; ",$G$62&amp;"; ",IF(ROW(A1)=1,1,FIND("; ",$G$62,FIND("; ",$G$62,1)*(ROW(A1)-1))+2))-IF(ROW(A1)=1,1,FIND("; ",$G$62,FIND("; ",$G$62,1)*(ROW(A1)-1))+2))</f>
        <v>2.0750000000000002</v>
      </c>
    </row>
    <row r="64" spans="1:9" hidden="1" x14ac:dyDescent="0.25">
      <c r="A64" s="75">
        <v>31</v>
      </c>
      <c r="B64" s="64">
        <v>1</v>
      </c>
      <c r="C64" s="54">
        <v>2.0089999999999999</v>
      </c>
      <c r="D64" s="64">
        <v>9.1999999999999993</v>
      </c>
      <c r="E64" s="76">
        <v>68.459999999999994</v>
      </c>
      <c r="G64">
        <f t="shared" si="1"/>
        <v>2.08</v>
      </c>
    </row>
    <row r="65" spans="1:9" hidden="1" x14ac:dyDescent="0.25">
      <c r="A65" s="75">
        <v>26</v>
      </c>
      <c r="B65" s="64">
        <v>1</v>
      </c>
      <c r="C65" s="54">
        <v>2.0099999999999998</v>
      </c>
      <c r="D65" s="64">
        <v>9.1999999999999993</v>
      </c>
      <c r="E65" s="76">
        <v>67.64</v>
      </c>
      <c r="G65" t="e">
        <f t="shared" si="1"/>
        <v>#VALUE!</v>
      </c>
      <c r="I65">
        <v>21.09</v>
      </c>
    </row>
    <row r="66" spans="1:9" hidden="1" x14ac:dyDescent="0.25">
      <c r="A66" s="75">
        <v>28</v>
      </c>
      <c r="B66" s="64">
        <v>1</v>
      </c>
      <c r="C66" s="54">
        <v>2.0110000000000001</v>
      </c>
      <c r="D66" s="64">
        <v>9.1999999999999993</v>
      </c>
      <c r="E66" s="76">
        <v>68.459999999999994</v>
      </c>
      <c r="G66" t="e">
        <f t="shared" si="1"/>
        <v>#VALUE!</v>
      </c>
    </row>
    <row r="67" spans="1:9" hidden="1" x14ac:dyDescent="0.25">
      <c r="A67" s="75">
        <v>35</v>
      </c>
      <c r="B67" s="64">
        <v>1</v>
      </c>
      <c r="C67" s="54">
        <v>2.012</v>
      </c>
      <c r="D67" s="64">
        <v>9.1999999999999993</v>
      </c>
      <c r="E67" s="76">
        <v>149.25</v>
      </c>
      <c r="G67" t="e">
        <f t="shared" si="1"/>
        <v>#VALUE!</v>
      </c>
    </row>
    <row r="68" spans="1:9" hidden="1" x14ac:dyDescent="0.25">
      <c r="A68" s="75">
        <v>29</v>
      </c>
      <c r="B68" s="64">
        <v>1</v>
      </c>
      <c r="C68" s="54">
        <v>2.0129999999999999</v>
      </c>
      <c r="D68" s="64">
        <v>9.1999999999999993</v>
      </c>
      <c r="E68" s="76">
        <v>68.459999999999994</v>
      </c>
      <c r="G68" t="e">
        <f t="shared" si="1"/>
        <v>#VALUE!</v>
      </c>
      <c r="I68">
        <v>19.329999999999998</v>
      </c>
    </row>
    <row r="69" spans="1:9" hidden="1" x14ac:dyDescent="0.25">
      <c r="A69" s="75">
        <v>42</v>
      </c>
      <c r="B69" s="64">
        <v>4.0999999999999996</v>
      </c>
      <c r="C69" s="54">
        <v>2.0750000000000002</v>
      </c>
      <c r="D69" s="64">
        <v>9.1999999999999993</v>
      </c>
      <c r="E69" s="76">
        <v>79.790000000000006</v>
      </c>
      <c r="G69" t="e">
        <f t="shared" ref="G69:G79" si="2">--MID($G$62,IF(ROW(A7)=1,1,FIND("; ",$G$62,FIND("; ",$G$62,1)*(ROW(A7)-1))+2),FIND("; ",$G$62&amp;"; ",IF(ROW(A7)=1,1,FIND("; ",$G$62,FIND("; ",$G$62,1)*(ROW(A7)-1))+2))-IF(ROW(A7)=1,1,FIND("; ",$G$62,FIND("; ",$G$62,1)*(ROW(A7)-1))+2))</f>
        <v>#VALUE!</v>
      </c>
    </row>
    <row r="70" spans="1:9" hidden="1" x14ac:dyDescent="0.25">
      <c r="A70" s="75">
        <v>43</v>
      </c>
      <c r="B70" s="64">
        <v>4.0999999999999996</v>
      </c>
      <c r="C70" s="54">
        <v>2.08</v>
      </c>
      <c r="D70" s="64">
        <v>9.1999999999999993</v>
      </c>
      <c r="E70" s="76">
        <v>170.56</v>
      </c>
      <c r="G70" t="e">
        <f t="shared" si="2"/>
        <v>#VALUE!</v>
      </c>
    </row>
    <row r="71" spans="1:9" hidden="1" x14ac:dyDescent="0.25">
      <c r="A71" s="75">
        <v>37</v>
      </c>
      <c r="B71" s="64">
        <v>4.0999999999999996</v>
      </c>
      <c r="C71" s="54">
        <v>2.0880000000000001</v>
      </c>
      <c r="D71" s="64">
        <v>9.1999999999999993</v>
      </c>
      <c r="E71" s="76">
        <v>10.24</v>
      </c>
      <c r="G71" t="e">
        <f t="shared" si="2"/>
        <v>#VALUE!</v>
      </c>
      <c r="I71">
        <v>19.36</v>
      </c>
    </row>
    <row r="72" spans="1:9" hidden="1" x14ac:dyDescent="0.25">
      <c r="A72" s="75">
        <v>41</v>
      </c>
      <c r="B72" s="64">
        <v>4.0999999999999996</v>
      </c>
      <c r="C72" s="54">
        <v>2.0939999999999999</v>
      </c>
      <c r="D72" s="64">
        <v>9.1999999999999993</v>
      </c>
      <c r="E72" s="76">
        <v>23.36</v>
      </c>
      <c r="G72" t="e">
        <f t="shared" si="2"/>
        <v>#VALUE!</v>
      </c>
    </row>
    <row r="73" spans="1:9" hidden="1" x14ac:dyDescent="0.25">
      <c r="A73" s="90">
        <v>40</v>
      </c>
      <c r="B73" s="64">
        <v>4.0999999999999996</v>
      </c>
      <c r="C73" s="54">
        <v>2.0990000000000002</v>
      </c>
      <c r="D73" s="64">
        <v>9.1999999999999993</v>
      </c>
      <c r="E73" s="76">
        <v>21.09</v>
      </c>
      <c r="G73" t="e">
        <f t="shared" si="2"/>
        <v>#VALUE!</v>
      </c>
    </row>
    <row r="74" spans="1:9" hidden="1" x14ac:dyDescent="0.25">
      <c r="A74" s="75">
        <v>39</v>
      </c>
      <c r="B74" s="64">
        <v>4.0999999999999996</v>
      </c>
      <c r="C74" s="54">
        <v>2.1030000000000002</v>
      </c>
      <c r="D74" s="64">
        <v>9.1999999999999993</v>
      </c>
      <c r="E74" s="76">
        <v>19.329999999999998</v>
      </c>
      <c r="G74" t="e">
        <f t="shared" si="2"/>
        <v>#VALUE!</v>
      </c>
    </row>
    <row r="75" spans="1:9" hidden="1" x14ac:dyDescent="0.25">
      <c r="A75" s="75">
        <v>38</v>
      </c>
      <c r="B75" s="64">
        <v>4.0999999999999996</v>
      </c>
      <c r="C75" s="54">
        <v>2.1059999999999999</v>
      </c>
      <c r="D75" s="64">
        <v>9.1999999999999993</v>
      </c>
      <c r="E75" s="76">
        <v>19.36</v>
      </c>
      <c r="G75" t="e">
        <f t="shared" si="2"/>
        <v>#VALUE!</v>
      </c>
    </row>
    <row r="76" spans="1:9" hidden="1" x14ac:dyDescent="0.25">
      <c r="A76" s="75">
        <v>44</v>
      </c>
      <c r="B76" s="64">
        <v>4.0999999999999996</v>
      </c>
      <c r="C76" s="54">
        <v>2.081</v>
      </c>
      <c r="D76" s="64">
        <v>11</v>
      </c>
      <c r="E76" s="76">
        <v>298.27999999999997</v>
      </c>
      <c r="G76" t="e">
        <f t="shared" si="2"/>
        <v>#VALUE!</v>
      </c>
      <c r="I76">
        <v>298.27999999999997</v>
      </c>
    </row>
    <row r="77" spans="1:9" hidden="1" x14ac:dyDescent="0.25">
      <c r="A77" s="75">
        <v>45</v>
      </c>
      <c r="B77" s="81">
        <v>4.0999999999999996</v>
      </c>
      <c r="C77" s="82">
        <v>2.085</v>
      </c>
      <c r="D77" s="81">
        <v>11.1</v>
      </c>
      <c r="E77" s="83">
        <v>168.62</v>
      </c>
      <c r="G77" t="e">
        <f t="shared" si="2"/>
        <v>#VALUE!</v>
      </c>
      <c r="H77">
        <v>168.62</v>
      </c>
    </row>
    <row r="78" spans="1:9" x14ac:dyDescent="0.25">
      <c r="A78" s="74"/>
      <c r="B78" s="34"/>
      <c r="C78" s="54"/>
      <c r="D78" s="34"/>
      <c r="E78" s="66"/>
      <c r="G78" t="e">
        <f t="shared" si="2"/>
        <v>#VALUE!</v>
      </c>
    </row>
    <row r="79" spans="1:9" x14ac:dyDescent="0.25">
      <c r="G79" t="e">
        <f t="shared" si="2"/>
        <v>#VALUE!</v>
      </c>
    </row>
    <row r="80" spans="1:9" x14ac:dyDescent="0.25">
      <c r="A80" s="58" t="s">
        <v>48</v>
      </c>
      <c r="B80" s="58"/>
      <c r="C80" s="62"/>
      <c r="D80" s="58"/>
      <c r="E80" s="60"/>
      <c r="G80" t="e">
        <f>--MID($G$62,IF(ROW(A18)=1,1,FIND("; ",$G$62,FIND("; ",$G$62,1)*(ROW(A18)-1))+2),FIND("; ",$G$62&amp;"; ",IF(ROW(A18)=1,1,FIND("; ",$G$62,FIND("; ",$G$62,1)*(ROW(A18)-1))+2))-IF(ROW(A18)=1,1,FIND("; ",$G$62,FIND("; ",$G$62,1)*(ROW(A18)-1))+2))</f>
        <v>#VALUE!</v>
      </c>
    </row>
    <row r="81" spans="1:9" x14ac:dyDescent="0.25">
      <c r="A81" s="77" t="s">
        <v>0</v>
      </c>
      <c r="B81" s="65" t="s">
        <v>97</v>
      </c>
      <c r="C81" s="78" t="s">
        <v>98</v>
      </c>
      <c r="D81" s="65" t="s">
        <v>93</v>
      </c>
      <c r="E81" s="79" t="s">
        <v>51</v>
      </c>
    </row>
    <row r="82" spans="1:9" x14ac:dyDescent="0.25">
      <c r="A82" s="68">
        <v>1</v>
      </c>
      <c r="B82" s="64">
        <v>1</v>
      </c>
      <c r="C82" s="8">
        <v>3.0059999999999998</v>
      </c>
      <c r="D82" s="64">
        <v>6.1</v>
      </c>
      <c r="E82" s="76">
        <v>13.62</v>
      </c>
      <c r="I82">
        <v>129.68</v>
      </c>
    </row>
    <row r="83" spans="1:9" x14ac:dyDescent="0.25">
      <c r="A83" s="68">
        <v>2</v>
      </c>
      <c r="B83" s="64">
        <v>4.0999999999999996</v>
      </c>
      <c r="C83" s="8">
        <v>3.0939999999999999</v>
      </c>
      <c r="D83" s="64">
        <v>6.1</v>
      </c>
      <c r="E83" s="76">
        <v>15.07</v>
      </c>
      <c r="I83">
        <v>73.05</v>
      </c>
    </row>
    <row r="84" spans="1:9" x14ac:dyDescent="0.25">
      <c r="A84" s="68">
        <v>3</v>
      </c>
      <c r="B84" s="64">
        <v>1</v>
      </c>
      <c r="C84" s="8">
        <v>3.0150000000000001</v>
      </c>
      <c r="D84" s="64">
        <v>7.2</v>
      </c>
      <c r="E84" s="76">
        <v>17.21</v>
      </c>
      <c r="I84">
        <v>71.709999999999994</v>
      </c>
    </row>
    <row r="85" spans="1:9" x14ac:dyDescent="0.25">
      <c r="A85" s="68">
        <v>4</v>
      </c>
      <c r="B85" s="64">
        <v>1</v>
      </c>
      <c r="C85" s="8">
        <v>3.016</v>
      </c>
      <c r="D85" s="64">
        <v>7.2</v>
      </c>
      <c r="E85" s="76">
        <v>21.12</v>
      </c>
      <c r="I85">
        <v>67.59</v>
      </c>
    </row>
    <row r="86" spans="1:9" x14ac:dyDescent="0.25">
      <c r="A86" s="68">
        <v>5</v>
      </c>
      <c r="B86" s="64">
        <v>1</v>
      </c>
      <c r="C86" s="8">
        <v>3.0169999999999999</v>
      </c>
      <c r="D86" s="64">
        <v>7.2</v>
      </c>
      <c r="E86" s="76">
        <v>5.0599999999999996</v>
      </c>
      <c r="I86">
        <v>239.62</v>
      </c>
    </row>
    <row r="87" spans="1:9" x14ac:dyDescent="0.25">
      <c r="A87" s="68">
        <v>9</v>
      </c>
      <c r="B87" s="64">
        <v>1</v>
      </c>
      <c r="C87" s="64">
        <v>3.0009999999999999</v>
      </c>
      <c r="D87" s="64">
        <v>9.1999999999999993</v>
      </c>
      <c r="E87" s="76">
        <v>129.68</v>
      </c>
      <c r="I87">
        <v>13.62</v>
      </c>
    </row>
    <row r="88" spans="1:9" x14ac:dyDescent="0.25">
      <c r="A88" s="68">
        <v>10</v>
      </c>
      <c r="B88" s="64">
        <v>1</v>
      </c>
      <c r="C88" s="64">
        <v>3.0019999999999998</v>
      </c>
      <c r="D88" s="64">
        <v>9.1999999999999993</v>
      </c>
      <c r="E88" s="76">
        <v>73.05</v>
      </c>
      <c r="I88">
        <v>34</v>
      </c>
    </row>
    <row r="89" spans="1:9" x14ac:dyDescent="0.25">
      <c r="A89" s="68">
        <v>11</v>
      </c>
      <c r="B89" s="64">
        <v>1</v>
      </c>
      <c r="C89" s="54">
        <v>3.0030000000000001</v>
      </c>
      <c r="D89" s="64">
        <v>9.1999999999999993</v>
      </c>
      <c r="E89" s="76">
        <v>71.709999999999994</v>
      </c>
      <c r="I89">
        <v>67.84</v>
      </c>
    </row>
    <row r="90" spans="1:9" x14ac:dyDescent="0.25">
      <c r="A90" s="68">
        <v>12</v>
      </c>
      <c r="B90" s="64">
        <v>1</v>
      </c>
      <c r="C90" s="54">
        <v>3.004</v>
      </c>
      <c r="D90" s="64">
        <v>9.1999999999999993</v>
      </c>
      <c r="E90" s="76">
        <v>67.59</v>
      </c>
      <c r="I90">
        <v>68</v>
      </c>
    </row>
    <row r="91" spans="1:9" x14ac:dyDescent="0.25">
      <c r="A91" s="68">
        <v>13</v>
      </c>
      <c r="B91" s="64">
        <v>1</v>
      </c>
      <c r="C91" s="54">
        <v>3.0049999999999999</v>
      </c>
      <c r="D91" s="64">
        <v>9.1999999999999993</v>
      </c>
      <c r="E91" s="76">
        <v>239.62</v>
      </c>
      <c r="I91">
        <v>68</v>
      </c>
    </row>
    <row r="92" spans="1:9" x14ac:dyDescent="0.25">
      <c r="A92" s="68">
        <v>14</v>
      </c>
      <c r="B92" s="64">
        <v>1</v>
      </c>
      <c r="C92" s="54">
        <v>3.008</v>
      </c>
      <c r="D92" s="64">
        <v>9.1999999999999993</v>
      </c>
      <c r="E92" s="76">
        <v>67.84</v>
      </c>
      <c r="I92">
        <v>67.14</v>
      </c>
    </row>
    <row r="93" spans="1:9" x14ac:dyDescent="0.25">
      <c r="A93" s="68">
        <v>15</v>
      </c>
      <c r="B93" s="64">
        <v>1</v>
      </c>
      <c r="C93" s="54">
        <v>3.0089999999999999</v>
      </c>
      <c r="D93" s="64">
        <v>9.1999999999999993</v>
      </c>
      <c r="E93" s="76">
        <v>68</v>
      </c>
      <c r="I93">
        <v>68</v>
      </c>
    </row>
    <row r="94" spans="1:9" x14ac:dyDescent="0.25">
      <c r="A94" s="68">
        <v>16</v>
      </c>
      <c r="B94" s="64">
        <v>1</v>
      </c>
      <c r="C94" s="54">
        <v>3.01</v>
      </c>
      <c r="D94" s="64">
        <v>9.1999999999999993</v>
      </c>
      <c r="E94" s="76">
        <v>68</v>
      </c>
      <c r="I94">
        <v>68</v>
      </c>
    </row>
    <row r="95" spans="1:9" x14ac:dyDescent="0.25">
      <c r="A95" s="68">
        <v>17</v>
      </c>
      <c r="B95" s="64">
        <v>1</v>
      </c>
      <c r="C95" s="54">
        <v>3.0110000000000001</v>
      </c>
      <c r="D95" s="64">
        <v>9.1999999999999993</v>
      </c>
      <c r="E95" s="76">
        <v>67.14</v>
      </c>
      <c r="I95">
        <v>148.61000000000001</v>
      </c>
    </row>
    <row r="96" spans="1:9" x14ac:dyDescent="0.25">
      <c r="A96" s="68">
        <v>18</v>
      </c>
      <c r="B96" s="64">
        <v>1</v>
      </c>
      <c r="C96" s="54">
        <v>3.012</v>
      </c>
      <c r="D96" s="64">
        <v>9.1999999999999993</v>
      </c>
      <c r="E96" s="76">
        <v>68</v>
      </c>
      <c r="I96">
        <v>17.21</v>
      </c>
    </row>
    <row r="97" spans="1:9" x14ac:dyDescent="0.25">
      <c r="A97" s="68">
        <v>19</v>
      </c>
      <c r="B97" s="64">
        <v>1</v>
      </c>
      <c r="C97" s="54">
        <v>3.0129999999999999</v>
      </c>
      <c r="D97" s="64">
        <v>9.1999999999999993</v>
      </c>
      <c r="E97" s="76">
        <v>68</v>
      </c>
      <c r="I97">
        <v>21.12</v>
      </c>
    </row>
    <row r="98" spans="1:9" hidden="1" x14ac:dyDescent="0.25">
      <c r="A98" s="68">
        <v>6</v>
      </c>
      <c r="B98" s="64">
        <v>1</v>
      </c>
      <c r="C98" s="8">
        <v>3.0179999999999998</v>
      </c>
      <c r="D98" s="64">
        <v>8.3000000000000007</v>
      </c>
      <c r="E98" s="76">
        <v>3.2</v>
      </c>
      <c r="I98">
        <v>5.0599999999999996</v>
      </c>
    </row>
    <row r="99" spans="1:9" x14ac:dyDescent="0.25">
      <c r="A99" s="68">
        <v>20</v>
      </c>
      <c r="B99" s="64">
        <v>1</v>
      </c>
      <c r="C99" s="54">
        <v>3.0139999999999998</v>
      </c>
      <c r="D99" s="64">
        <v>9.1999999999999993</v>
      </c>
      <c r="E99" s="76">
        <v>148.61000000000001</v>
      </c>
      <c r="I99">
        <v>3.2</v>
      </c>
    </row>
    <row r="100" spans="1:9" x14ac:dyDescent="0.25">
      <c r="A100" s="68">
        <v>21</v>
      </c>
      <c r="B100" s="64">
        <v>4.0999999999999996</v>
      </c>
      <c r="C100" s="54">
        <v>3.0190000000000001</v>
      </c>
      <c r="D100" s="64">
        <v>9.1999999999999993</v>
      </c>
      <c r="E100" s="76">
        <v>244.28</v>
      </c>
      <c r="I100">
        <v>244.28</v>
      </c>
    </row>
    <row r="101" spans="1:9" hidden="1" x14ac:dyDescent="0.25">
      <c r="A101" s="68">
        <v>8</v>
      </c>
      <c r="B101" s="64">
        <v>4.0999999999999996</v>
      </c>
      <c r="C101" s="64">
        <v>3.0209999999999999</v>
      </c>
      <c r="D101" s="64">
        <v>8.3000000000000007</v>
      </c>
      <c r="E101" s="76">
        <v>15.62</v>
      </c>
      <c r="I101">
        <v>137.72999999999999</v>
      </c>
    </row>
    <row r="102" spans="1:9" x14ac:dyDescent="0.25">
      <c r="A102" s="68">
        <v>22</v>
      </c>
      <c r="B102" s="64">
        <v>4.0999999999999996</v>
      </c>
      <c r="C102" s="54">
        <v>3.02</v>
      </c>
      <c r="D102" s="64">
        <v>9.1999999999999993</v>
      </c>
      <c r="E102" s="76">
        <v>137.72999999999999</v>
      </c>
      <c r="I102">
        <v>15.62</v>
      </c>
    </row>
    <row r="103" spans="1:9" hidden="1" x14ac:dyDescent="0.25">
      <c r="A103" s="68">
        <v>7</v>
      </c>
      <c r="B103" s="64">
        <v>1</v>
      </c>
      <c r="C103" s="64">
        <v>3.0920000000000001</v>
      </c>
      <c r="D103" s="64">
        <v>8.3000000000000007</v>
      </c>
      <c r="E103" s="76">
        <v>5.24</v>
      </c>
    </row>
    <row r="104" spans="1:9" x14ac:dyDescent="0.25">
      <c r="A104" s="68">
        <v>23</v>
      </c>
      <c r="B104" s="64">
        <v>4.0999999999999996</v>
      </c>
      <c r="C104" s="54">
        <v>3.085</v>
      </c>
      <c r="D104" s="64">
        <v>9.1999999999999993</v>
      </c>
      <c r="E104" s="76">
        <v>13.16</v>
      </c>
    </row>
    <row r="105" spans="1:9" x14ac:dyDescent="0.25">
      <c r="A105" s="80">
        <v>24</v>
      </c>
      <c r="B105" s="81">
        <v>4.0999999999999996</v>
      </c>
      <c r="C105" s="82" t="s">
        <v>94</v>
      </c>
      <c r="D105" s="81">
        <v>9.1999999999999993</v>
      </c>
      <c r="E105" s="83">
        <v>140.80000000000001</v>
      </c>
    </row>
    <row r="106" spans="1:9" x14ac:dyDescent="0.25">
      <c r="A106" s="57"/>
      <c r="B106" s="34"/>
      <c r="C106" s="54"/>
      <c r="D106" s="34"/>
      <c r="E106" s="66"/>
    </row>
  </sheetData>
  <sortState ref="C58:C81">
    <sortCondition ref="C39"/>
  </sortState>
  <mergeCells count="1">
    <mergeCell ref="A1:E1"/>
  </mergeCells>
  <pageMargins left="0.7" right="0.7" top="0.75" bottom="0.75" header="0.3" footer="0.3"/>
  <pageSetup paperSize="9" orientation="portrait" r:id="rId1"/>
  <tableParts count="3">
    <tablePart r:id="rId2"/>
    <tablePart r:id="rId3"/>
    <tablePart r:id="rId4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3"/>
  <sheetViews>
    <sheetView tabSelected="1" topLeftCell="A20" workbookViewId="0">
      <selection activeCell="E30" sqref="E30"/>
    </sheetView>
  </sheetViews>
  <sheetFormatPr defaultRowHeight="15" x14ac:dyDescent="0.25"/>
  <cols>
    <col min="1" max="1" width="7.5703125" customWidth="1"/>
    <col min="2" max="2" width="39.28515625" customWidth="1"/>
    <col min="3" max="3" width="14.7109375" customWidth="1"/>
    <col min="4" max="4" width="9.140625" customWidth="1"/>
    <col min="5" max="5" width="14.28515625" customWidth="1"/>
    <col min="6" max="6" width="8.85546875" customWidth="1"/>
  </cols>
  <sheetData>
    <row r="1" spans="1:6" x14ac:dyDescent="0.25">
      <c r="A1" s="1"/>
      <c r="B1" s="2" t="s">
        <v>9</v>
      </c>
      <c r="C1" s="15"/>
      <c r="D1" s="3"/>
      <c r="E1" s="4"/>
      <c r="F1" s="5"/>
    </row>
    <row r="2" spans="1:6" x14ac:dyDescent="0.25">
      <c r="A2" s="1" t="s">
        <v>0</v>
      </c>
      <c r="B2" s="17" t="s">
        <v>1</v>
      </c>
      <c r="C2" s="17" t="s">
        <v>36</v>
      </c>
      <c r="D2" s="3" t="s">
        <v>2</v>
      </c>
      <c r="E2" s="4" t="s">
        <v>3</v>
      </c>
      <c r="F2" s="5" t="s">
        <v>4</v>
      </c>
    </row>
    <row r="3" spans="1:6" ht="25.5" x14ac:dyDescent="0.25">
      <c r="A3" s="99">
        <v>1</v>
      </c>
      <c r="B3" s="100" t="s">
        <v>21</v>
      </c>
      <c r="C3" s="101" t="s">
        <v>40</v>
      </c>
      <c r="D3" s="99" t="s">
        <v>7</v>
      </c>
      <c r="E3" s="102">
        <v>1</v>
      </c>
      <c r="F3" s="103">
        <v>46.62</v>
      </c>
    </row>
    <row r="4" spans="1:6" x14ac:dyDescent="0.25">
      <c r="A4" s="74">
        <v>1.1000000000000001</v>
      </c>
      <c r="B4" s="9" t="s">
        <v>22</v>
      </c>
      <c r="C4" s="9"/>
      <c r="D4" s="74" t="s">
        <v>41</v>
      </c>
      <c r="E4" s="8">
        <v>8</v>
      </c>
      <c r="F4" s="25">
        <v>372</v>
      </c>
    </row>
    <row r="5" spans="1:6" x14ac:dyDescent="0.25">
      <c r="A5" s="74">
        <v>1.2</v>
      </c>
      <c r="B5" s="9" t="s">
        <v>23</v>
      </c>
      <c r="C5" s="9"/>
      <c r="D5" s="74" t="s">
        <v>6</v>
      </c>
      <c r="E5" s="8">
        <v>1.8</v>
      </c>
      <c r="F5" s="25">
        <v>3356.64</v>
      </c>
    </row>
    <row r="6" spans="1:6" x14ac:dyDescent="0.25">
      <c r="A6" s="74">
        <v>1.3</v>
      </c>
      <c r="B6" s="9" t="s">
        <v>24</v>
      </c>
      <c r="C6" s="9"/>
      <c r="D6" s="74" t="s">
        <v>7</v>
      </c>
      <c r="E6" s="8">
        <v>1.1000000000000001</v>
      </c>
      <c r="F6" s="25">
        <v>51.281999999999996</v>
      </c>
    </row>
    <row r="7" spans="1:6" x14ac:dyDescent="0.25">
      <c r="A7" s="74">
        <v>1.4</v>
      </c>
      <c r="B7" s="9" t="s">
        <v>12</v>
      </c>
      <c r="C7" s="9"/>
      <c r="D7" s="74" t="s">
        <v>5</v>
      </c>
      <c r="E7" s="8">
        <v>1</v>
      </c>
      <c r="F7" s="25">
        <v>46.62</v>
      </c>
    </row>
    <row r="8" spans="1:6" ht="25.5" x14ac:dyDescent="0.25">
      <c r="A8" s="104">
        <v>2</v>
      </c>
      <c r="B8" s="105" t="s">
        <v>25</v>
      </c>
      <c r="C8" s="106" t="s">
        <v>42</v>
      </c>
      <c r="D8" s="104" t="s">
        <v>7</v>
      </c>
      <c r="E8" s="107">
        <v>1</v>
      </c>
      <c r="F8" s="50">
        <f>'1эт'!E9+'2эт'!E14+'3эт'!E7</f>
        <v>122.87</v>
      </c>
    </row>
    <row r="9" spans="1:6" x14ac:dyDescent="0.25">
      <c r="A9" s="74">
        <v>2.1</v>
      </c>
      <c r="B9" s="9" t="s">
        <v>22</v>
      </c>
      <c r="C9" s="9"/>
      <c r="D9" s="74" t="s">
        <v>41</v>
      </c>
      <c r="E9" s="8">
        <v>8</v>
      </c>
      <c r="F9" s="25">
        <f>ROUNDDOWN(E9*F8,0)</f>
        <v>982</v>
      </c>
    </row>
    <row r="10" spans="1:6" x14ac:dyDescent="0.25">
      <c r="A10" s="74">
        <v>2.2000000000000002</v>
      </c>
      <c r="B10" s="9" t="s">
        <v>23</v>
      </c>
      <c r="C10" s="9"/>
      <c r="D10" s="74" t="s">
        <v>6</v>
      </c>
      <c r="E10" s="8">
        <v>1.8</v>
      </c>
      <c r="F10" s="25">
        <f>E10*F8*60</f>
        <v>13269.960000000001</v>
      </c>
    </row>
    <row r="11" spans="1:6" x14ac:dyDescent="0.25">
      <c r="A11" s="74">
        <v>2.2999999999999998</v>
      </c>
      <c r="B11" s="9" t="s">
        <v>24</v>
      </c>
      <c r="C11" s="9"/>
      <c r="D11" s="74" t="s">
        <v>7</v>
      </c>
      <c r="E11" s="8">
        <v>1.1000000000000001</v>
      </c>
      <c r="F11" s="25">
        <f>E11*F8</f>
        <v>135.15700000000001</v>
      </c>
    </row>
    <row r="12" spans="1:6" x14ac:dyDescent="0.25">
      <c r="A12" s="74">
        <v>2.4</v>
      </c>
      <c r="B12" s="9" t="s">
        <v>12</v>
      </c>
      <c r="C12" s="9"/>
      <c r="D12" s="74" t="s">
        <v>5</v>
      </c>
      <c r="E12" s="8">
        <v>1</v>
      </c>
      <c r="F12" s="25">
        <f>E12*F8</f>
        <v>122.87</v>
      </c>
    </row>
    <row r="13" spans="1:6" ht="38.25" x14ac:dyDescent="0.25">
      <c r="A13" s="111">
        <v>3</v>
      </c>
      <c r="B13" s="112" t="s">
        <v>26</v>
      </c>
      <c r="C13" s="113" t="s">
        <v>43</v>
      </c>
      <c r="D13" s="111" t="s">
        <v>7</v>
      </c>
      <c r="E13" s="114">
        <v>1</v>
      </c>
      <c r="F13" s="115">
        <f>'1эт'!E46</f>
        <v>2310.2799999999997</v>
      </c>
    </row>
    <row r="14" spans="1:6" x14ac:dyDescent="0.25">
      <c r="A14" s="74">
        <v>3.1</v>
      </c>
      <c r="B14" s="9" t="s">
        <v>22</v>
      </c>
      <c r="C14" s="9"/>
      <c r="D14" s="74" t="s">
        <v>41</v>
      </c>
      <c r="E14" s="8">
        <v>8</v>
      </c>
      <c r="F14" s="25">
        <f>ROUNDDOWN(E14*F13,0)</f>
        <v>18482</v>
      </c>
    </row>
    <row r="15" spans="1:6" x14ac:dyDescent="0.25">
      <c r="A15" s="74">
        <v>3.2</v>
      </c>
      <c r="B15" s="9" t="s">
        <v>23</v>
      </c>
      <c r="C15" s="9"/>
      <c r="D15" s="74" t="s">
        <v>6</v>
      </c>
      <c r="E15" s="8">
        <v>1.8</v>
      </c>
      <c r="F15" s="25">
        <f>E15*F13*65</f>
        <v>270302.76</v>
      </c>
    </row>
    <row r="16" spans="1:6" x14ac:dyDescent="0.25">
      <c r="A16" s="74">
        <v>3.3</v>
      </c>
      <c r="B16" s="9" t="s">
        <v>24</v>
      </c>
      <c r="C16" s="9"/>
      <c r="D16" s="74" t="s">
        <v>7</v>
      </c>
      <c r="E16" s="8">
        <v>1.1000000000000001</v>
      </c>
      <c r="F16" s="25">
        <f>E16*F13</f>
        <v>2541.308</v>
      </c>
    </row>
    <row r="17" spans="1:6" x14ac:dyDescent="0.25">
      <c r="A17" s="74">
        <v>3.4</v>
      </c>
      <c r="B17" s="9" t="s">
        <v>12</v>
      </c>
      <c r="C17" s="9"/>
      <c r="D17" s="74" t="s">
        <v>5</v>
      </c>
      <c r="E17" s="8">
        <v>1</v>
      </c>
      <c r="F17" s="25">
        <f>E17*F13</f>
        <v>2310.2799999999997</v>
      </c>
    </row>
    <row r="18" spans="1:6" ht="25.5" x14ac:dyDescent="0.25">
      <c r="A18" s="67">
        <v>4</v>
      </c>
      <c r="B18" s="73" t="s">
        <v>26</v>
      </c>
      <c r="C18" s="91" t="s">
        <v>44</v>
      </c>
      <c r="D18" s="67" t="s">
        <v>7</v>
      </c>
      <c r="E18" s="70">
        <v>1</v>
      </c>
      <c r="F18" s="60">
        <f>'2эт'!E25</f>
        <v>466.9</v>
      </c>
    </row>
    <row r="19" spans="1:6" x14ac:dyDescent="0.25">
      <c r="A19" s="74">
        <v>4.0999999999999996</v>
      </c>
      <c r="B19" s="9" t="s">
        <v>8</v>
      </c>
      <c r="C19" s="9"/>
      <c r="D19" s="74" t="s">
        <v>6</v>
      </c>
      <c r="E19" s="8">
        <v>0.255</v>
      </c>
      <c r="F19" s="25">
        <f>E19*F18</f>
        <v>119.0595</v>
      </c>
    </row>
    <row r="20" spans="1:6" x14ac:dyDescent="0.25">
      <c r="A20" s="74">
        <v>4.2</v>
      </c>
      <c r="B20" s="9" t="s">
        <v>12</v>
      </c>
      <c r="C20" s="9"/>
      <c r="D20" s="74" t="s">
        <v>5</v>
      </c>
      <c r="E20" s="8">
        <v>1</v>
      </c>
      <c r="F20" s="25">
        <f>E20*F18</f>
        <v>466.9</v>
      </c>
    </row>
    <row r="21" spans="1:6" x14ac:dyDescent="0.25">
      <c r="A21" s="74">
        <v>4.3</v>
      </c>
      <c r="B21" s="9" t="s">
        <v>24</v>
      </c>
      <c r="C21" s="9"/>
      <c r="D21" s="74" t="s">
        <v>7</v>
      </c>
      <c r="E21" s="8">
        <v>1.1000000000000001</v>
      </c>
      <c r="F21" s="25">
        <f>E21*F18</f>
        <v>513.59</v>
      </c>
    </row>
    <row r="22" spans="1:6" x14ac:dyDescent="0.25">
      <c r="A22" s="74">
        <v>4.4000000000000004</v>
      </c>
      <c r="B22" s="9" t="s">
        <v>23</v>
      </c>
      <c r="C22" s="9"/>
      <c r="D22" s="74" t="s">
        <v>6</v>
      </c>
      <c r="E22" s="8">
        <v>1.8</v>
      </c>
      <c r="F22" s="25">
        <f>E22*F18*68</f>
        <v>57148.56</v>
      </c>
    </row>
    <row r="23" spans="1:6" x14ac:dyDescent="0.25">
      <c r="A23" s="74">
        <v>4.5</v>
      </c>
      <c r="B23" s="73" t="s">
        <v>22</v>
      </c>
      <c r="C23" s="91"/>
      <c r="D23" s="67" t="s">
        <v>41</v>
      </c>
      <c r="E23" s="70">
        <v>8</v>
      </c>
      <c r="F23" s="25">
        <f>ROUNDDOWN(E23*F18,0)</f>
        <v>3735</v>
      </c>
    </row>
    <row r="24" spans="1:6" ht="26.25" x14ac:dyDescent="0.25">
      <c r="A24" s="67">
        <v>5</v>
      </c>
      <c r="B24" s="9" t="s">
        <v>26</v>
      </c>
      <c r="C24" s="9" t="s">
        <v>45</v>
      </c>
      <c r="D24" s="74" t="s">
        <v>7</v>
      </c>
      <c r="E24" s="8">
        <v>1</v>
      </c>
      <c r="F24" s="25">
        <f>'1эт'!E15</f>
        <v>19.420000000000002</v>
      </c>
    </row>
    <row r="25" spans="1:6" x14ac:dyDescent="0.25">
      <c r="A25" s="74">
        <v>5.0999999999999996</v>
      </c>
      <c r="B25" s="9" t="s">
        <v>22</v>
      </c>
      <c r="C25" s="9"/>
      <c r="D25" s="74" t="s">
        <v>41</v>
      </c>
      <c r="E25" s="8">
        <v>8</v>
      </c>
      <c r="F25" s="25">
        <f>ROUNDDOWN(E25*F24,0)</f>
        <v>155</v>
      </c>
    </row>
    <row r="26" spans="1:6" x14ac:dyDescent="0.25">
      <c r="A26" s="74">
        <v>5.2</v>
      </c>
      <c r="B26" s="9" t="s">
        <v>27</v>
      </c>
      <c r="C26" s="9"/>
      <c r="D26" s="74" t="s">
        <v>6</v>
      </c>
      <c r="E26" s="8">
        <v>1.8</v>
      </c>
      <c r="F26" s="25">
        <f>E26*F24*70</f>
        <v>2446.92</v>
      </c>
    </row>
    <row r="27" spans="1:6" x14ac:dyDescent="0.25">
      <c r="A27" s="74">
        <v>5.3</v>
      </c>
      <c r="B27" s="9" t="s">
        <v>28</v>
      </c>
      <c r="C27" s="9"/>
      <c r="D27" s="74" t="s">
        <v>7</v>
      </c>
      <c r="E27" s="8">
        <v>1.1000000000000001</v>
      </c>
      <c r="F27" s="25">
        <f>E27*F24</f>
        <v>21.362000000000002</v>
      </c>
    </row>
    <row r="28" spans="1:6" x14ac:dyDescent="0.25">
      <c r="A28" s="74">
        <v>5.4</v>
      </c>
      <c r="B28" s="9" t="s">
        <v>12</v>
      </c>
      <c r="C28" s="9"/>
      <c r="D28" s="74" t="s">
        <v>5</v>
      </c>
      <c r="E28" s="8">
        <v>1</v>
      </c>
      <c r="F28" s="25">
        <f>E28*F24</f>
        <v>19.420000000000002</v>
      </c>
    </row>
    <row r="29" spans="1:6" ht="26.25" x14ac:dyDescent="0.25">
      <c r="A29" s="67">
        <v>6</v>
      </c>
      <c r="B29" s="9" t="s">
        <v>26</v>
      </c>
      <c r="C29" s="9" t="s">
        <v>46</v>
      </c>
      <c r="D29" s="74" t="s">
        <v>7</v>
      </c>
      <c r="E29" s="8">
        <v>1</v>
      </c>
      <c r="F29" s="25">
        <f>'2эт'!E21+'3эт'!E13</f>
        <v>100.99</v>
      </c>
    </row>
    <row r="30" spans="1:6" x14ac:dyDescent="0.25">
      <c r="A30" s="74">
        <v>6.1</v>
      </c>
      <c r="B30" s="9" t="s">
        <v>12</v>
      </c>
      <c r="C30" s="9"/>
      <c r="D30" s="74" t="s">
        <v>5</v>
      </c>
      <c r="E30" s="8">
        <v>1</v>
      </c>
      <c r="F30" s="25">
        <f>F29*E30</f>
        <v>100.99</v>
      </c>
    </row>
    <row r="31" spans="1:6" x14ac:dyDescent="0.25">
      <c r="A31" s="74">
        <v>6.2</v>
      </c>
      <c r="B31" s="9" t="s">
        <v>28</v>
      </c>
      <c r="C31" s="9"/>
      <c r="D31" s="74" t="s">
        <v>7</v>
      </c>
      <c r="E31" s="8">
        <v>1.1000000000000001</v>
      </c>
      <c r="F31" s="25">
        <f>E31*F29</f>
        <v>111.089</v>
      </c>
    </row>
    <row r="32" spans="1:6" x14ac:dyDescent="0.25">
      <c r="A32" s="74">
        <v>6.3</v>
      </c>
      <c r="B32" s="9" t="s">
        <v>27</v>
      </c>
      <c r="C32" s="9"/>
      <c r="D32" s="74" t="s">
        <v>6</v>
      </c>
      <c r="E32" s="8">
        <v>1.8</v>
      </c>
      <c r="F32" s="25">
        <f>E32*F29*80</f>
        <v>14542.559999999998</v>
      </c>
    </row>
    <row r="33" spans="1:6" x14ac:dyDescent="0.25">
      <c r="A33" s="74">
        <v>6.4</v>
      </c>
      <c r="B33" s="9" t="s">
        <v>22</v>
      </c>
      <c r="C33" s="9"/>
      <c r="D33" s="74" t="s">
        <v>41</v>
      </c>
      <c r="E33" s="8">
        <v>8</v>
      </c>
      <c r="F33" s="25">
        <f>ROUNDDOWN(E33*F29,0)</f>
        <v>807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6"/>
  <sheetViews>
    <sheetView topLeftCell="A4" zoomScale="115" zoomScaleNormal="115" workbookViewId="0">
      <selection activeCell="E46" sqref="A17:E46"/>
    </sheetView>
  </sheetViews>
  <sheetFormatPr defaultRowHeight="12.75" x14ac:dyDescent="0.2"/>
  <cols>
    <col min="1" max="16384" width="9.140625" style="110"/>
  </cols>
  <sheetData>
    <row r="1" spans="1:5" x14ac:dyDescent="0.2">
      <c r="A1" s="96" t="s">
        <v>110</v>
      </c>
      <c r="B1" s="97"/>
      <c r="C1" s="97"/>
      <c r="D1" s="97"/>
      <c r="E1" s="98"/>
    </row>
    <row r="2" spans="1:5" x14ac:dyDescent="0.2">
      <c r="A2" s="86" t="s">
        <v>0</v>
      </c>
      <c r="B2" s="86" t="s">
        <v>97</v>
      </c>
      <c r="C2" s="86" t="s">
        <v>98</v>
      </c>
      <c r="D2" s="86" t="s">
        <v>93</v>
      </c>
      <c r="E2" s="86" t="s">
        <v>51</v>
      </c>
    </row>
    <row r="3" spans="1:5" x14ac:dyDescent="0.2">
      <c r="A3" s="86">
        <v>1</v>
      </c>
      <c r="B3" s="86">
        <v>4.0999999999999996</v>
      </c>
      <c r="C3" s="86">
        <v>1.054</v>
      </c>
      <c r="D3" s="86">
        <v>7.1</v>
      </c>
      <c r="E3" s="86">
        <v>46.62</v>
      </c>
    </row>
    <row r="5" spans="1:5" x14ac:dyDescent="0.2">
      <c r="A5" s="96" t="s">
        <v>110</v>
      </c>
      <c r="B5" s="97"/>
      <c r="C5" s="97"/>
      <c r="D5" s="97"/>
      <c r="E5" s="98"/>
    </row>
    <row r="6" spans="1:5" x14ac:dyDescent="0.2">
      <c r="A6" s="86" t="s">
        <v>0</v>
      </c>
      <c r="B6" s="86" t="s">
        <v>97</v>
      </c>
      <c r="C6" s="86" t="s">
        <v>98</v>
      </c>
      <c r="D6" s="86" t="s">
        <v>93</v>
      </c>
      <c r="E6" s="86" t="s">
        <v>51</v>
      </c>
    </row>
    <row r="7" spans="1:5" x14ac:dyDescent="0.2">
      <c r="A7" s="86">
        <v>1</v>
      </c>
      <c r="B7" s="86">
        <v>1</v>
      </c>
      <c r="C7" s="86" t="s">
        <v>113</v>
      </c>
      <c r="D7" s="86">
        <v>9.1</v>
      </c>
      <c r="E7" s="109">
        <v>37.5</v>
      </c>
    </row>
    <row r="8" spans="1:5" x14ac:dyDescent="0.2">
      <c r="A8" s="86">
        <v>2</v>
      </c>
      <c r="B8" s="86">
        <v>4.0999999999999996</v>
      </c>
      <c r="C8" s="86" t="s">
        <v>113</v>
      </c>
      <c r="D8" s="86">
        <v>9.1</v>
      </c>
      <c r="E8" s="109">
        <v>4.2</v>
      </c>
    </row>
    <row r="9" spans="1:5" x14ac:dyDescent="0.2">
      <c r="D9" s="110" t="s">
        <v>114</v>
      </c>
      <c r="E9" s="110">
        <f>SUM(E7:E8)</f>
        <v>41.7</v>
      </c>
    </row>
    <row r="11" spans="1:5" x14ac:dyDescent="0.2">
      <c r="A11" s="96" t="s">
        <v>110</v>
      </c>
      <c r="B11" s="97"/>
      <c r="C11" s="97"/>
      <c r="D11" s="97"/>
      <c r="E11" s="98"/>
    </row>
    <row r="12" spans="1:5" x14ac:dyDescent="0.2">
      <c r="A12" s="86" t="s">
        <v>0</v>
      </c>
      <c r="B12" s="86" t="s">
        <v>97</v>
      </c>
      <c r="C12" s="86" t="s">
        <v>98</v>
      </c>
      <c r="D12" s="86" t="s">
        <v>93</v>
      </c>
      <c r="E12" s="86" t="s">
        <v>51</v>
      </c>
    </row>
    <row r="13" spans="1:5" x14ac:dyDescent="0.2">
      <c r="A13" s="86">
        <v>1</v>
      </c>
      <c r="B13" s="86">
        <v>1</v>
      </c>
      <c r="C13" s="86" t="s">
        <v>113</v>
      </c>
      <c r="D13" s="86">
        <v>5</v>
      </c>
      <c r="E13" s="109">
        <v>11.69</v>
      </c>
    </row>
    <row r="14" spans="1:5" x14ac:dyDescent="0.2">
      <c r="A14" s="86">
        <v>2</v>
      </c>
      <c r="B14" s="86">
        <v>4.0999999999999996</v>
      </c>
      <c r="C14" s="86" t="s">
        <v>113</v>
      </c>
      <c r="D14" s="86">
        <v>5</v>
      </c>
      <c r="E14" s="109">
        <v>7.73</v>
      </c>
    </row>
    <row r="15" spans="1:5" x14ac:dyDescent="0.2">
      <c r="D15" s="110" t="s">
        <v>114</v>
      </c>
      <c r="E15" s="110">
        <f>SUM(E13:E14)</f>
        <v>19.420000000000002</v>
      </c>
    </row>
    <row r="17" spans="1:5" x14ac:dyDescent="0.2">
      <c r="A17" s="86" t="s">
        <v>48</v>
      </c>
      <c r="B17" s="86"/>
      <c r="C17" s="86"/>
      <c r="D17" s="86"/>
      <c r="E17" s="86"/>
    </row>
    <row r="18" spans="1:5" x14ac:dyDescent="0.2">
      <c r="A18" s="86" t="s">
        <v>0</v>
      </c>
      <c r="B18" s="86" t="s">
        <v>97</v>
      </c>
      <c r="C18" s="86" t="s">
        <v>98</v>
      </c>
      <c r="D18" s="86" t="s">
        <v>93</v>
      </c>
      <c r="E18" s="86" t="s">
        <v>51</v>
      </c>
    </row>
    <row r="19" spans="1:5" x14ac:dyDescent="0.2">
      <c r="A19" s="86">
        <v>1</v>
      </c>
      <c r="B19" s="86">
        <v>1</v>
      </c>
      <c r="C19" s="86">
        <v>1.024</v>
      </c>
      <c r="D19" s="86">
        <v>6</v>
      </c>
      <c r="E19" s="86">
        <v>13.62</v>
      </c>
    </row>
    <row r="20" spans="1:5" x14ac:dyDescent="0.2">
      <c r="A20" s="86">
        <v>2</v>
      </c>
      <c r="B20" s="86">
        <v>4.0999999999999996</v>
      </c>
      <c r="C20" s="86">
        <v>1.0449999999999999</v>
      </c>
      <c r="D20" s="86">
        <v>6</v>
      </c>
      <c r="E20" s="86">
        <v>161.78</v>
      </c>
    </row>
    <row r="21" spans="1:5" x14ac:dyDescent="0.2">
      <c r="A21" s="86">
        <v>3</v>
      </c>
      <c r="B21" s="86">
        <v>4.0999999999999996</v>
      </c>
      <c r="C21" s="86">
        <v>1.046</v>
      </c>
      <c r="D21" s="86">
        <v>6</v>
      </c>
      <c r="E21" s="86">
        <v>161.15</v>
      </c>
    </row>
    <row r="22" spans="1:5" x14ac:dyDescent="0.2">
      <c r="A22" s="86">
        <v>4</v>
      </c>
      <c r="B22" s="86">
        <v>4.0999999999999996</v>
      </c>
      <c r="C22" s="86">
        <v>1.0529999999999999</v>
      </c>
      <c r="D22" s="86">
        <v>6</v>
      </c>
      <c r="E22" s="86">
        <v>443.48</v>
      </c>
    </row>
    <row r="23" spans="1:5" x14ac:dyDescent="0.2">
      <c r="A23" s="86">
        <v>5</v>
      </c>
      <c r="B23" s="86">
        <v>1</v>
      </c>
      <c r="C23" s="86">
        <v>1.034</v>
      </c>
      <c r="D23" s="86">
        <v>7</v>
      </c>
      <c r="E23" s="86">
        <v>17.22</v>
      </c>
    </row>
    <row r="24" spans="1:5" x14ac:dyDescent="0.2">
      <c r="A24" s="86">
        <v>6</v>
      </c>
      <c r="B24" s="86">
        <v>1</v>
      </c>
      <c r="C24" s="86">
        <v>1.0349999999999999</v>
      </c>
      <c r="D24" s="86">
        <v>7</v>
      </c>
      <c r="E24" s="86">
        <v>21.63</v>
      </c>
    </row>
    <row r="25" spans="1:5" x14ac:dyDescent="0.2">
      <c r="A25" s="86">
        <v>7</v>
      </c>
      <c r="B25" s="86">
        <v>1</v>
      </c>
      <c r="C25" s="86">
        <v>1.036</v>
      </c>
      <c r="D25" s="86">
        <v>7</v>
      </c>
      <c r="E25" s="86">
        <v>5.76</v>
      </c>
    </row>
    <row r="26" spans="1:5" x14ac:dyDescent="0.2">
      <c r="A26" s="86">
        <v>8</v>
      </c>
      <c r="B26" s="86">
        <v>4.0999999999999996</v>
      </c>
      <c r="C26" s="86">
        <v>1.054</v>
      </c>
      <c r="D26" s="86">
        <v>7</v>
      </c>
      <c r="E26" s="86">
        <v>14.54</v>
      </c>
    </row>
    <row r="27" spans="1:5" x14ac:dyDescent="0.2">
      <c r="A27" s="86">
        <v>9</v>
      </c>
      <c r="B27" s="86">
        <v>4.0999999999999996</v>
      </c>
      <c r="C27" s="86">
        <v>1.054</v>
      </c>
      <c r="D27" s="86">
        <v>7.1</v>
      </c>
      <c r="E27" s="86">
        <v>46.62</v>
      </c>
    </row>
    <row r="28" spans="1:5" x14ac:dyDescent="0.2">
      <c r="A28" s="86">
        <v>10</v>
      </c>
      <c r="B28" s="86">
        <v>4.0999999999999996</v>
      </c>
      <c r="C28" s="86">
        <v>1.048</v>
      </c>
      <c r="D28" s="86">
        <v>8.1</v>
      </c>
      <c r="E28" s="86">
        <v>23.92</v>
      </c>
    </row>
    <row r="29" spans="1:5" x14ac:dyDescent="0.2">
      <c r="A29" s="86">
        <v>11</v>
      </c>
      <c r="B29" s="86">
        <v>1</v>
      </c>
      <c r="C29" s="86">
        <v>1.0369999999999999</v>
      </c>
      <c r="D29" s="86">
        <v>8.1999999999999993</v>
      </c>
      <c r="E29" s="86">
        <v>3.34</v>
      </c>
    </row>
    <row r="30" spans="1:5" x14ac:dyDescent="0.2">
      <c r="A30" s="86">
        <v>12</v>
      </c>
      <c r="B30" s="86">
        <v>1</v>
      </c>
      <c r="C30" s="86">
        <v>1.038</v>
      </c>
      <c r="D30" s="86">
        <v>8.1999999999999993</v>
      </c>
      <c r="E30" s="86">
        <v>5.25</v>
      </c>
    </row>
    <row r="31" spans="1:5" x14ac:dyDescent="0.2">
      <c r="A31" s="86">
        <v>13</v>
      </c>
      <c r="B31" s="86">
        <v>1</v>
      </c>
      <c r="C31" s="86">
        <v>1.026</v>
      </c>
      <c r="D31" s="86">
        <v>9</v>
      </c>
      <c r="E31" s="86">
        <v>191.68</v>
      </c>
    </row>
    <row r="32" spans="1:5" x14ac:dyDescent="0.2">
      <c r="A32" s="86">
        <v>14</v>
      </c>
      <c r="B32" s="86">
        <v>1</v>
      </c>
      <c r="C32" s="86">
        <v>1.0269999999999999</v>
      </c>
      <c r="D32" s="86">
        <v>9</v>
      </c>
      <c r="E32" s="86">
        <v>114.04</v>
      </c>
    </row>
    <row r="33" spans="1:5" x14ac:dyDescent="0.2">
      <c r="A33" s="86">
        <v>15</v>
      </c>
      <c r="B33" s="86">
        <v>1</v>
      </c>
      <c r="C33" s="86">
        <v>1.028</v>
      </c>
      <c r="D33" s="86">
        <v>9</v>
      </c>
      <c r="E33" s="86">
        <v>68.81</v>
      </c>
    </row>
    <row r="34" spans="1:5" x14ac:dyDescent="0.2">
      <c r="A34" s="86">
        <v>16</v>
      </c>
      <c r="B34" s="86">
        <v>1</v>
      </c>
      <c r="C34" s="86">
        <v>1.0289999999999999</v>
      </c>
      <c r="D34" s="86">
        <v>9</v>
      </c>
      <c r="E34" s="86">
        <v>68.81</v>
      </c>
    </row>
    <row r="35" spans="1:5" x14ac:dyDescent="0.2">
      <c r="A35" s="86">
        <v>17</v>
      </c>
      <c r="B35" s="86">
        <v>1</v>
      </c>
      <c r="C35" s="86">
        <v>1.03</v>
      </c>
      <c r="D35" s="86">
        <v>9</v>
      </c>
      <c r="E35" s="86">
        <v>68.89</v>
      </c>
    </row>
    <row r="36" spans="1:5" x14ac:dyDescent="0.2">
      <c r="A36" s="86">
        <v>18</v>
      </c>
      <c r="B36" s="86">
        <v>1</v>
      </c>
      <c r="C36" s="86">
        <v>1.0309999999999999</v>
      </c>
      <c r="D36" s="86">
        <v>9</v>
      </c>
      <c r="E36" s="86">
        <v>68.89</v>
      </c>
    </row>
    <row r="37" spans="1:5" x14ac:dyDescent="0.2">
      <c r="A37" s="86">
        <v>19</v>
      </c>
      <c r="B37" s="86">
        <v>1</v>
      </c>
      <c r="C37" s="86">
        <v>1.032</v>
      </c>
      <c r="D37" s="86">
        <v>9</v>
      </c>
      <c r="E37" s="86">
        <v>68.069999999999993</v>
      </c>
    </row>
    <row r="38" spans="1:5" x14ac:dyDescent="0.2">
      <c r="A38" s="86">
        <v>20</v>
      </c>
      <c r="B38" s="86">
        <v>1</v>
      </c>
      <c r="C38" s="86">
        <v>1.0329999999999999</v>
      </c>
      <c r="D38" s="86">
        <v>9</v>
      </c>
      <c r="E38" s="86">
        <v>139.1</v>
      </c>
    </row>
    <row r="39" spans="1:5" x14ac:dyDescent="0.2">
      <c r="A39" s="86">
        <v>21</v>
      </c>
      <c r="B39" s="86">
        <v>1</v>
      </c>
      <c r="C39" s="86">
        <v>1.0389999999999999</v>
      </c>
      <c r="D39" s="86">
        <v>9</v>
      </c>
      <c r="E39" s="86">
        <v>149.69999999999999</v>
      </c>
    </row>
    <row r="40" spans="1:5" x14ac:dyDescent="0.2">
      <c r="A40" s="86">
        <v>22</v>
      </c>
      <c r="B40" s="86">
        <v>4.0999999999999996</v>
      </c>
      <c r="C40" s="86">
        <v>1.04</v>
      </c>
      <c r="D40" s="86">
        <v>9</v>
      </c>
      <c r="E40" s="86">
        <v>220.47</v>
      </c>
    </row>
    <row r="41" spans="1:5" x14ac:dyDescent="0.2">
      <c r="A41" s="86">
        <v>23</v>
      </c>
      <c r="B41" s="86">
        <v>4.0999999999999996</v>
      </c>
      <c r="C41" s="86">
        <v>1.0429999999999999</v>
      </c>
      <c r="D41" s="86">
        <v>9</v>
      </c>
      <c r="E41" s="86">
        <v>61.99</v>
      </c>
    </row>
    <row r="42" spans="1:5" x14ac:dyDescent="0.2">
      <c r="A42" s="86">
        <v>24</v>
      </c>
      <c r="B42" s="86">
        <v>4.0999999999999996</v>
      </c>
      <c r="C42" s="86">
        <v>1.044</v>
      </c>
      <c r="D42" s="86">
        <v>9</v>
      </c>
      <c r="E42" s="86">
        <v>14.14</v>
      </c>
    </row>
    <row r="43" spans="1:5" x14ac:dyDescent="0.2">
      <c r="A43" s="86">
        <v>25</v>
      </c>
      <c r="B43" s="86">
        <v>4.0999999999999996</v>
      </c>
      <c r="C43" s="86">
        <v>1.0489999999999999</v>
      </c>
      <c r="D43" s="86">
        <v>9</v>
      </c>
      <c r="E43" s="86">
        <v>103.8</v>
      </c>
    </row>
    <row r="44" spans="1:5" x14ac:dyDescent="0.2">
      <c r="A44" s="86">
        <v>26</v>
      </c>
      <c r="B44" s="86">
        <v>4.0999999999999996</v>
      </c>
      <c r="C44" s="86">
        <v>1.05</v>
      </c>
      <c r="D44" s="86">
        <v>9</v>
      </c>
      <c r="E44" s="86">
        <v>22</v>
      </c>
    </row>
    <row r="45" spans="1:5" x14ac:dyDescent="0.2">
      <c r="A45" s="86">
        <v>27</v>
      </c>
      <c r="B45" s="86">
        <v>4.0999999999999996</v>
      </c>
      <c r="C45" s="86">
        <v>1.0509999999999999</v>
      </c>
      <c r="D45" s="86">
        <v>9</v>
      </c>
      <c r="E45" s="86">
        <v>31.58</v>
      </c>
    </row>
    <row r="46" spans="1:5" x14ac:dyDescent="0.2">
      <c r="A46" s="86"/>
      <c r="B46" s="86"/>
      <c r="C46" s="86"/>
      <c r="D46" s="86" t="s">
        <v>114</v>
      </c>
      <c r="E46" s="86">
        <f>SUM(E19:E45)</f>
        <v>2310.2799999999997</v>
      </c>
    </row>
  </sheetData>
  <mergeCells count="3">
    <mergeCell ref="A1:E1"/>
    <mergeCell ref="A5:E5"/>
    <mergeCell ref="A11:E11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5"/>
  <sheetViews>
    <sheetView topLeftCell="A4" workbookViewId="0">
      <selection activeCell="H14" sqref="H14"/>
    </sheetView>
  </sheetViews>
  <sheetFormatPr defaultRowHeight="12.75" x14ac:dyDescent="0.2"/>
  <cols>
    <col min="1" max="16384" width="9.140625" style="110"/>
  </cols>
  <sheetData>
    <row r="1" spans="1:5" x14ac:dyDescent="0.2">
      <c r="A1" s="96" t="s">
        <v>111</v>
      </c>
      <c r="B1" s="97"/>
      <c r="C1" s="97"/>
      <c r="D1" s="97"/>
      <c r="E1" s="98"/>
    </row>
    <row r="2" spans="1:5" x14ac:dyDescent="0.2">
      <c r="A2" s="86" t="s">
        <v>0</v>
      </c>
      <c r="B2" s="86" t="s">
        <v>97</v>
      </c>
      <c r="C2" s="86" t="s">
        <v>98</v>
      </c>
      <c r="D2" s="86" t="s">
        <v>93</v>
      </c>
      <c r="E2" s="86" t="s">
        <v>51</v>
      </c>
    </row>
    <row r="3" spans="1:5" x14ac:dyDescent="0.2">
      <c r="A3" s="86">
        <v>1</v>
      </c>
      <c r="B3" s="86">
        <v>4.0999999999999996</v>
      </c>
      <c r="C3" s="86">
        <v>1.054</v>
      </c>
      <c r="D3" s="86">
        <v>7.1</v>
      </c>
      <c r="E3" s="86">
        <v>46.62</v>
      </c>
    </row>
    <row r="5" spans="1:5" x14ac:dyDescent="0.2">
      <c r="A5" s="108" t="s">
        <v>111</v>
      </c>
      <c r="B5" s="108"/>
      <c r="C5" s="108"/>
      <c r="D5" s="108"/>
      <c r="E5" s="108"/>
    </row>
    <row r="6" spans="1:5" x14ac:dyDescent="0.2">
      <c r="A6" s="86" t="s">
        <v>0</v>
      </c>
      <c r="B6" s="86" t="s">
        <v>97</v>
      </c>
      <c r="C6" s="86" t="s">
        <v>98</v>
      </c>
      <c r="D6" s="86" t="s">
        <v>93</v>
      </c>
      <c r="E6" s="86" t="s">
        <v>51</v>
      </c>
    </row>
    <row r="7" spans="1:5" x14ac:dyDescent="0.2">
      <c r="A7" s="86">
        <v>1</v>
      </c>
      <c r="B7" s="86">
        <v>1</v>
      </c>
      <c r="C7" s="86">
        <v>2.0169999999999999</v>
      </c>
      <c r="D7" s="86">
        <v>8.3000000000000007</v>
      </c>
      <c r="E7" s="86">
        <v>3.22</v>
      </c>
    </row>
    <row r="8" spans="1:5" x14ac:dyDescent="0.2">
      <c r="A8" s="86">
        <v>2</v>
      </c>
      <c r="B8" s="86">
        <v>1</v>
      </c>
      <c r="C8" s="86">
        <v>2.1619999999999999</v>
      </c>
      <c r="D8" s="86">
        <v>8.3000000000000007</v>
      </c>
      <c r="E8" s="86">
        <v>5.25</v>
      </c>
    </row>
    <row r="9" spans="1:5" x14ac:dyDescent="0.2">
      <c r="A9" s="86">
        <v>3</v>
      </c>
      <c r="B9" s="86">
        <v>4.0999999999999996</v>
      </c>
      <c r="C9" s="86">
        <v>2.097</v>
      </c>
      <c r="D9" s="86">
        <v>8.3000000000000007</v>
      </c>
      <c r="E9" s="86">
        <v>4.8499999999999996</v>
      </c>
    </row>
    <row r="10" spans="1:5" x14ac:dyDescent="0.2">
      <c r="A10" s="86">
        <v>4</v>
      </c>
      <c r="B10" s="86">
        <v>4.0999999999999996</v>
      </c>
      <c r="C10" s="86">
        <v>2.0979999999999999</v>
      </c>
      <c r="D10" s="86">
        <v>8.3000000000000007</v>
      </c>
      <c r="E10" s="86">
        <v>4.76</v>
      </c>
    </row>
    <row r="11" spans="1:5" x14ac:dyDescent="0.2">
      <c r="A11" s="86">
        <v>5</v>
      </c>
      <c r="B11" s="86">
        <v>4.0999999999999996</v>
      </c>
      <c r="C11" s="86">
        <v>2.1019999999999999</v>
      </c>
      <c r="D11" s="86">
        <v>8.3000000000000007</v>
      </c>
      <c r="E11" s="86">
        <v>9.24</v>
      </c>
    </row>
    <row r="12" spans="1:5" x14ac:dyDescent="0.2">
      <c r="A12" s="86">
        <v>6</v>
      </c>
      <c r="B12" s="86">
        <v>1</v>
      </c>
      <c r="C12" s="86" t="s">
        <v>113</v>
      </c>
      <c r="D12" s="86">
        <v>9.3000000000000007</v>
      </c>
      <c r="E12" s="109">
        <v>14.5</v>
      </c>
    </row>
    <row r="13" spans="1:5" x14ac:dyDescent="0.2">
      <c r="A13" s="86">
        <v>7</v>
      </c>
      <c r="B13" s="86">
        <v>4.0999999999999996</v>
      </c>
      <c r="C13" s="86" t="s">
        <v>113</v>
      </c>
      <c r="D13" s="86">
        <v>9.3000000000000007</v>
      </c>
      <c r="E13" s="109">
        <v>0.5</v>
      </c>
    </row>
    <row r="14" spans="1:5" x14ac:dyDescent="0.2">
      <c r="A14" s="86"/>
      <c r="B14" s="86"/>
      <c r="C14" s="86"/>
      <c r="D14" s="86" t="s">
        <v>114</v>
      </c>
      <c r="E14" s="86">
        <f>SUM(E7:E13)</f>
        <v>42.32</v>
      </c>
    </row>
    <row r="16" spans="1:5" x14ac:dyDescent="0.2">
      <c r="A16" s="108" t="s">
        <v>111</v>
      </c>
      <c r="B16" s="108"/>
      <c r="C16" s="108"/>
      <c r="D16" s="108"/>
      <c r="E16" s="108"/>
    </row>
    <row r="17" spans="1:5" x14ac:dyDescent="0.2">
      <c r="A17" s="86" t="s">
        <v>0</v>
      </c>
      <c r="B17" s="86" t="s">
        <v>97</v>
      </c>
      <c r="C17" s="86" t="s">
        <v>98</v>
      </c>
      <c r="D17" s="86" t="s">
        <v>93</v>
      </c>
      <c r="E17" s="86" t="s">
        <v>51</v>
      </c>
    </row>
    <row r="18" spans="1:5" x14ac:dyDescent="0.2">
      <c r="A18" s="86">
        <v>1</v>
      </c>
      <c r="B18" s="86">
        <v>1</v>
      </c>
      <c r="C18" s="86" t="s">
        <v>113</v>
      </c>
      <c r="D18" s="86">
        <v>5.0999999999999996</v>
      </c>
      <c r="E18" s="86">
        <v>8.2799999999999994</v>
      </c>
    </row>
    <row r="19" spans="1:5" x14ac:dyDescent="0.2">
      <c r="A19" s="86">
        <v>2</v>
      </c>
      <c r="B19" s="86">
        <v>4.0999999999999996</v>
      </c>
      <c r="C19" s="86" t="s">
        <v>113</v>
      </c>
      <c r="D19" s="86">
        <v>5.0999999999999996</v>
      </c>
      <c r="E19" s="86">
        <v>8.09</v>
      </c>
    </row>
    <row r="20" spans="1:5" x14ac:dyDescent="0.2">
      <c r="A20" s="86">
        <v>1</v>
      </c>
      <c r="B20" s="86">
        <v>4.0999999999999996</v>
      </c>
      <c r="C20" s="86">
        <v>2.16</v>
      </c>
      <c r="D20" s="86">
        <v>4.4000000000000004</v>
      </c>
      <c r="E20" s="86">
        <v>72.64</v>
      </c>
    </row>
    <row r="21" spans="1:5" x14ac:dyDescent="0.2">
      <c r="A21" s="86"/>
      <c r="B21" s="86"/>
      <c r="C21" s="86"/>
      <c r="D21" s="86" t="s">
        <v>114</v>
      </c>
      <c r="E21" s="86">
        <f>SUM(E18:E20)</f>
        <v>89.009999999999991</v>
      </c>
    </row>
    <row r="23" spans="1:5" x14ac:dyDescent="0.2">
      <c r="A23" s="86"/>
      <c r="B23" s="86">
        <v>4.0999999999999996</v>
      </c>
      <c r="C23" s="86">
        <v>2.081</v>
      </c>
      <c r="D23" s="86">
        <v>11</v>
      </c>
      <c r="E23" s="86">
        <v>298.27999999999997</v>
      </c>
    </row>
    <row r="24" spans="1:5" x14ac:dyDescent="0.2">
      <c r="A24" s="86"/>
      <c r="B24" s="86">
        <v>4.0999999999999996</v>
      </c>
      <c r="C24" s="86">
        <v>2.085</v>
      </c>
      <c r="D24" s="86">
        <v>11.1</v>
      </c>
      <c r="E24" s="86">
        <v>168.62</v>
      </c>
    </row>
    <row r="25" spans="1:5" x14ac:dyDescent="0.2">
      <c r="D25" s="86" t="s">
        <v>114</v>
      </c>
      <c r="E25" s="86">
        <f>SUM(E23:E24)</f>
        <v>466.9</v>
      </c>
    </row>
  </sheetData>
  <mergeCells count="3">
    <mergeCell ref="A1:E1"/>
    <mergeCell ref="A5:E5"/>
    <mergeCell ref="A16:E16"/>
  </mergeCells>
  <pageMargins left="0.7" right="0.7" top="0.7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3"/>
  <sheetViews>
    <sheetView workbookViewId="0">
      <selection activeCell="E13" sqref="E13"/>
    </sheetView>
  </sheetViews>
  <sheetFormatPr defaultRowHeight="15" x14ac:dyDescent="0.25"/>
  <sheetData>
    <row r="1" spans="1:5" x14ac:dyDescent="0.25">
      <c r="A1" s="108" t="s">
        <v>109</v>
      </c>
      <c r="B1" s="108"/>
      <c r="C1" s="108"/>
      <c r="D1" s="108"/>
      <c r="E1" s="108"/>
    </row>
    <row r="2" spans="1:5" x14ac:dyDescent="0.25">
      <c r="A2" s="86" t="s">
        <v>0</v>
      </c>
      <c r="B2" s="86" t="s">
        <v>97</v>
      </c>
      <c r="C2" s="86" t="s">
        <v>98</v>
      </c>
      <c r="D2" s="86" t="s">
        <v>93</v>
      </c>
      <c r="E2" s="86" t="s">
        <v>51</v>
      </c>
    </row>
    <row r="3" spans="1:5" ht="15.75" customHeight="1" x14ac:dyDescent="0.25">
      <c r="A3" s="86">
        <v>1</v>
      </c>
      <c r="B3" s="86">
        <v>1</v>
      </c>
      <c r="C3" s="86">
        <v>3.0179999999999998</v>
      </c>
      <c r="D3" s="86">
        <v>8.3000000000000007</v>
      </c>
      <c r="E3" s="86">
        <v>3.2</v>
      </c>
    </row>
    <row r="4" spans="1:5" x14ac:dyDescent="0.25">
      <c r="A4" s="86">
        <v>2</v>
      </c>
      <c r="B4" s="86">
        <v>4.0999999999999996</v>
      </c>
      <c r="C4" s="86">
        <v>3.0209999999999999</v>
      </c>
      <c r="D4" s="86">
        <v>8.3000000000000007</v>
      </c>
      <c r="E4" s="86">
        <v>15.62</v>
      </c>
    </row>
    <row r="5" spans="1:5" x14ac:dyDescent="0.25">
      <c r="A5" s="86">
        <v>3</v>
      </c>
      <c r="B5" s="86">
        <v>1</v>
      </c>
      <c r="C5" s="86">
        <v>3.0920000000000001</v>
      </c>
      <c r="D5" s="86">
        <v>8.3000000000000007</v>
      </c>
      <c r="E5" s="86">
        <v>5.24</v>
      </c>
    </row>
    <row r="6" spans="1:5" ht="15.75" customHeight="1" x14ac:dyDescent="0.25">
      <c r="A6" s="86">
        <v>4</v>
      </c>
      <c r="B6" s="86">
        <v>1</v>
      </c>
      <c r="C6" s="86" t="s">
        <v>113</v>
      </c>
      <c r="D6" s="86">
        <v>9.3000000000000007</v>
      </c>
      <c r="E6" s="109">
        <v>14.79</v>
      </c>
    </row>
    <row r="7" spans="1:5" ht="15.75" customHeight="1" x14ac:dyDescent="0.25">
      <c r="A7" s="86"/>
      <c r="B7" s="86"/>
      <c r="C7" s="86"/>
      <c r="D7" s="86" t="s">
        <v>114</v>
      </c>
      <c r="E7" s="86">
        <f>SUM(E3:E6)</f>
        <v>38.85</v>
      </c>
    </row>
    <row r="8" spans="1:5" ht="15.75" customHeight="1" x14ac:dyDescent="0.25"/>
    <row r="9" spans="1:5" x14ac:dyDescent="0.25">
      <c r="A9" s="108" t="s">
        <v>109</v>
      </c>
      <c r="B9" s="108"/>
      <c r="C9" s="108"/>
      <c r="D9" s="108"/>
      <c r="E9" s="108"/>
    </row>
    <row r="10" spans="1:5" x14ac:dyDescent="0.25">
      <c r="A10" s="86" t="s">
        <v>0</v>
      </c>
      <c r="B10" s="86" t="s">
        <v>97</v>
      </c>
      <c r="C10" s="86" t="s">
        <v>98</v>
      </c>
      <c r="D10" s="86" t="s">
        <v>93</v>
      </c>
      <c r="E10" s="86" t="s">
        <v>51</v>
      </c>
    </row>
    <row r="11" spans="1:5" x14ac:dyDescent="0.25">
      <c r="A11" s="86">
        <v>1</v>
      </c>
      <c r="B11" s="86">
        <v>1</v>
      </c>
      <c r="C11" s="86" t="s">
        <v>113</v>
      </c>
      <c r="D11" s="86">
        <v>5.0999999999999996</v>
      </c>
      <c r="E11" s="86">
        <v>6.03</v>
      </c>
    </row>
    <row r="12" spans="1:5" x14ac:dyDescent="0.25">
      <c r="A12" s="86">
        <v>2</v>
      </c>
      <c r="B12" s="86">
        <v>4.0999999999999996</v>
      </c>
      <c r="C12" s="86" t="s">
        <v>113</v>
      </c>
      <c r="D12" s="86">
        <v>5.0999999999999996</v>
      </c>
      <c r="E12" s="86">
        <v>5.95</v>
      </c>
    </row>
    <row r="13" spans="1:5" x14ac:dyDescent="0.25">
      <c r="A13" s="86"/>
      <c r="B13" s="86"/>
      <c r="C13" s="86"/>
      <c r="D13" s="86" t="s">
        <v>114</v>
      </c>
      <c r="E13" s="86">
        <f>SUM(E11:E12)</f>
        <v>11.98</v>
      </c>
    </row>
  </sheetData>
  <mergeCells count="2">
    <mergeCell ref="A1:E1"/>
    <mergeCell ref="A9:E9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18</vt:i4>
      </vt:variant>
    </vt:vector>
  </HeadingPairs>
  <TitlesOfParts>
    <vt:vector size="18" baseType="lpstr">
      <vt:lpstr>АА</vt:lpstr>
      <vt:lpstr>ВОР 2 эт</vt:lpstr>
      <vt:lpstr>Спец 2 эт</vt:lpstr>
      <vt:lpstr>ВОР 3 эт</vt:lpstr>
      <vt:lpstr>Спец 3 эт</vt:lpstr>
      <vt:lpstr>общий (2)</vt:lpstr>
      <vt:lpstr>ВорИзол</vt:lpstr>
      <vt:lpstr>Из1эт</vt:lpstr>
      <vt:lpstr>Из2эт</vt:lpstr>
      <vt:lpstr>ВорПленка</vt:lpstr>
      <vt:lpstr>Плк1э</vt:lpstr>
      <vt:lpstr>Плк2э</vt:lpstr>
      <vt:lpstr>Плк3э</vt:lpstr>
      <vt:lpstr>Общ</vt:lpstr>
      <vt:lpstr>СКБ-1эт</vt:lpstr>
      <vt:lpstr>1эт</vt:lpstr>
      <vt:lpstr>2эт</vt:lpstr>
      <vt:lpstr>3эт</vt:lpstr>
    </vt:vector>
  </TitlesOfParts>
  <Company>SPecialiST RePack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МирзаяновИИ</dc:creator>
  <cp:lastModifiedBy>МирзаяновИИ</cp:lastModifiedBy>
  <dcterms:created xsi:type="dcterms:W3CDTF">2025-10-21T10:43:00Z</dcterms:created>
  <dcterms:modified xsi:type="dcterms:W3CDTF">2025-11-13T11:37:51Z</dcterms:modified>
</cp:coreProperties>
</file>