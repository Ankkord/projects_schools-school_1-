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МирзаяновИИ\Documents\projects\school_lublino\"/>
    </mc:Choice>
  </mc:AlternateContent>
  <bookViews>
    <workbookView xWindow="0" yWindow="0" windowWidth="14190" windowHeight="6840" firstSheet="1" activeTab="4"/>
  </bookViews>
  <sheets>
    <sheet name="ВОР 2 эт" sheetId="2" r:id="rId1"/>
    <sheet name="Спец 2 эт" sheetId="4" r:id="rId2"/>
    <sheet name="ВОР 3 эт" sheetId="3" r:id="rId3"/>
    <sheet name="общий (2)" sheetId="5" r:id="rId4"/>
    <sheet name="Спец 2 эт (2)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6" i="6" l="1"/>
  <c r="E46" i="6"/>
  <c r="D46" i="6"/>
  <c r="C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F44" i="5"/>
  <c r="I44" i="5" s="1"/>
  <c r="F43" i="5"/>
  <c r="I43" i="5" s="1"/>
  <c r="F42" i="5"/>
  <c r="I42" i="5" s="1"/>
  <c r="I41" i="5"/>
  <c r="F41" i="5"/>
  <c r="I40" i="5"/>
  <c r="I39" i="5"/>
  <c r="F39" i="5"/>
  <c r="F38" i="5"/>
  <c r="I38" i="5" s="1"/>
  <c r="H37" i="5"/>
  <c r="F37" i="5"/>
  <c r="I37" i="5" s="1"/>
  <c r="F36" i="5"/>
  <c r="I36" i="5" s="1"/>
  <c r="I35" i="5"/>
  <c r="F34" i="5"/>
  <c r="I34" i="5" s="1"/>
  <c r="H33" i="5"/>
  <c r="F33" i="5"/>
  <c r="I33" i="5" s="1"/>
  <c r="F32" i="5"/>
  <c r="I32" i="5" s="1"/>
  <c r="F31" i="5"/>
  <c r="I31" i="5" s="1"/>
  <c r="F30" i="5"/>
  <c r="I30" i="5" s="1"/>
  <c r="I29" i="5"/>
  <c r="I28" i="5"/>
  <c r="F28" i="5"/>
  <c r="I27" i="5"/>
  <c r="F27" i="5"/>
  <c r="H26" i="5"/>
  <c r="F26" i="5"/>
  <c r="I26" i="5" s="1"/>
  <c r="F25" i="5"/>
  <c r="I25" i="5" s="1"/>
  <c r="I24" i="5"/>
  <c r="I23" i="5"/>
  <c r="F23" i="5"/>
  <c r="F22" i="5"/>
  <c r="I22" i="5" s="1"/>
  <c r="H21" i="5"/>
  <c r="F21" i="5"/>
  <c r="I21" i="5" s="1"/>
  <c r="F20" i="5"/>
  <c r="I20" i="5" s="1"/>
  <c r="I19" i="5"/>
  <c r="F18" i="5"/>
  <c r="I18" i="5" s="1"/>
  <c r="F17" i="5"/>
  <c r="I17" i="5" s="1"/>
  <c r="I16" i="5"/>
  <c r="H16" i="5"/>
  <c r="F16" i="5"/>
  <c r="F15" i="5"/>
  <c r="I15" i="5" s="1"/>
  <c r="I14" i="5"/>
  <c r="F13" i="5"/>
  <c r="I13" i="5" s="1"/>
  <c r="I12" i="5"/>
  <c r="F11" i="5"/>
  <c r="I11" i="5" s="1"/>
  <c r="F10" i="5"/>
  <c r="I10" i="5" s="1"/>
  <c r="I9" i="5"/>
  <c r="F8" i="5"/>
  <c r="I8" i="5" s="1"/>
  <c r="I7" i="5"/>
  <c r="F6" i="5"/>
  <c r="I6" i="5" s="1"/>
  <c r="F5" i="5"/>
  <c r="I5" i="5" s="1"/>
  <c r="F4" i="5"/>
  <c r="I4" i="5" s="1"/>
  <c r="I3" i="5"/>
  <c r="F24" i="2"/>
  <c r="F19" i="2"/>
  <c r="E46" i="4"/>
  <c r="G23" i="4"/>
  <c r="G24" i="4"/>
  <c r="F46" i="4"/>
  <c r="G45" i="4"/>
  <c r="G44" i="4"/>
  <c r="G43" i="4"/>
  <c r="G42" i="4"/>
  <c r="G41" i="4"/>
  <c r="G40" i="4"/>
  <c r="G39" i="4"/>
  <c r="G38" i="4"/>
  <c r="G36" i="4"/>
  <c r="G35" i="4"/>
  <c r="G34" i="4"/>
  <c r="G33" i="4"/>
  <c r="G32" i="4"/>
  <c r="G31" i="4"/>
  <c r="G30" i="4"/>
  <c r="G29" i="4"/>
  <c r="G28" i="4"/>
  <c r="G27" i="4"/>
  <c r="G26" i="4"/>
  <c r="G25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F44" i="3"/>
  <c r="I44" i="3" s="1"/>
  <c r="F43" i="3"/>
  <c r="I43" i="3" s="1"/>
  <c r="F42" i="3"/>
  <c r="I42" i="3" s="1"/>
  <c r="F41" i="3"/>
  <c r="I41" i="3" s="1"/>
  <c r="I40" i="3"/>
  <c r="I39" i="3"/>
  <c r="F39" i="3"/>
  <c r="F38" i="3"/>
  <c r="I38" i="3" s="1"/>
  <c r="H37" i="3"/>
  <c r="F37" i="3"/>
  <c r="I37" i="3" s="1"/>
  <c r="F36" i="3"/>
  <c r="I36" i="3" s="1"/>
  <c r="I35" i="3"/>
  <c r="F34" i="3"/>
  <c r="I34" i="3" s="1"/>
  <c r="H33" i="3"/>
  <c r="F33" i="3"/>
  <c r="I33" i="3" s="1"/>
  <c r="F32" i="3"/>
  <c r="I32" i="3" s="1"/>
  <c r="F31" i="3"/>
  <c r="I31" i="3" s="1"/>
  <c r="F30" i="3"/>
  <c r="I30" i="3" s="1"/>
  <c r="I29" i="3"/>
  <c r="I28" i="3"/>
  <c r="F28" i="3"/>
  <c r="I27" i="3"/>
  <c r="F27" i="3"/>
  <c r="H26" i="3"/>
  <c r="F26" i="3"/>
  <c r="I26" i="3" s="1"/>
  <c r="F25" i="3"/>
  <c r="I25" i="3" s="1"/>
  <c r="I24" i="3"/>
  <c r="I23" i="3"/>
  <c r="F23" i="3"/>
  <c r="F22" i="3"/>
  <c r="I22" i="3" s="1"/>
  <c r="H21" i="3"/>
  <c r="F21" i="3"/>
  <c r="I21" i="3" s="1"/>
  <c r="F20" i="3"/>
  <c r="I20" i="3" s="1"/>
  <c r="I19" i="3"/>
  <c r="F18" i="3"/>
  <c r="I18" i="3" s="1"/>
  <c r="F17" i="3"/>
  <c r="I17" i="3" s="1"/>
  <c r="I16" i="3"/>
  <c r="H16" i="3"/>
  <c r="F16" i="3"/>
  <c r="F15" i="3"/>
  <c r="I15" i="3" s="1"/>
  <c r="I14" i="3"/>
  <c r="F13" i="3"/>
  <c r="I13" i="3" s="1"/>
  <c r="I12" i="3"/>
  <c r="F11" i="3"/>
  <c r="I11" i="3" s="1"/>
  <c r="F10" i="3"/>
  <c r="I10" i="3" s="1"/>
  <c r="I9" i="3"/>
  <c r="F8" i="3"/>
  <c r="I8" i="3" s="1"/>
  <c r="I7" i="3"/>
  <c r="F6" i="3"/>
  <c r="I6" i="3" s="1"/>
  <c r="F5" i="3"/>
  <c r="I5" i="3" s="1"/>
  <c r="F4" i="3"/>
  <c r="I4" i="3" s="1"/>
  <c r="I3" i="3"/>
  <c r="G46" i="6" l="1"/>
  <c r="C46" i="4"/>
  <c r="D46" i="4"/>
  <c r="G5" i="4"/>
  <c r="G37" i="4"/>
  <c r="G4" i="4"/>
  <c r="G46" i="4" l="1"/>
  <c r="F44" i="2" l="1"/>
  <c r="I44" i="2" s="1"/>
  <c r="F36" i="2"/>
  <c r="I36" i="2" s="1"/>
  <c r="F34" i="2"/>
  <c r="I34" i="2" s="1"/>
  <c r="F25" i="2"/>
  <c r="I25" i="2" s="1"/>
  <c r="F20" i="2"/>
  <c r="I20" i="2" s="1"/>
  <c r="F15" i="2"/>
  <c r="I15" i="2" s="1"/>
  <c r="I3" i="2"/>
  <c r="I4" i="2"/>
  <c r="I7" i="2"/>
  <c r="I9" i="2"/>
  <c r="I12" i="2"/>
  <c r="I14" i="2"/>
  <c r="I19" i="2"/>
  <c r="I22" i="2"/>
  <c r="I24" i="2"/>
  <c r="I26" i="2"/>
  <c r="I29" i="2"/>
  <c r="I35" i="2"/>
  <c r="I40" i="2"/>
  <c r="H16" i="2"/>
  <c r="H21" i="2"/>
  <c r="H26" i="2"/>
  <c r="H33" i="2"/>
  <c r="H37" i="2"/>
  <c r="F16" i="2"/>
  <c r="I16" i="2" s="1"/>
  <c r="F21" i="2"/>
  <c r="I21" i="2" s="1"/>
  <c r="F26" i="2"/>
  <c r="F33" i="2"/>
  <c r="I33" i="2" s="1"/>
  <c r="F37" i="2"/>
  <c r="I37" i="2" s="1"/>
  <c r="F43" i="2"/>
  <c r="I43" i="2" s="1"/>
  <c r="F6" i="2"/>
  <c r="I6" i="2" s="1"/>
  <c r="F42" i="2"/>
  <c r="I42" i="2" s="1"/>
  <c r="F41" i="2"/>
  <c r="I41" i="2" s="1"/>
  <c r="F39" i="2"/>
  <c r="I39" i="2" s="1"/>
  <c r="F38" i="2"/>
  <c r="I38" i="2" s="1"/>
  <c r="F32" i="2"/>
  <c r="I32" i="2" s="1"/>
  <c r="F31" i="2"/>
  <c r="I31" i="2" s="1"/>
  <c r="F30" i="2"/>
  <c r="I30" i="2" s="1"/>
  <c r="F28" i="2"/>
  <c r="I28" i="2" s="1"/>
  <c r="F27" i="2"/>
  <c r="I27" i="2" s="1"/>
  <c r="F23" i="2"/>
  <c r="I23" i="2" s="1"/>
  <c r="F22" i="2"/>
  <c r="F18" i="2"/>
  <c r="I18" i="2" s="1"/>
  <c r="F17" i="2"/>
  <c r="I17" i="2" s="1"/>
  <c r="F13" i="2"/>
  <c r="I13" i="2" s="1"/>
  <c r="F8" i="2"/>
  <c r="I8" i="2" s="1"/>
  <c r="F4" i="2"/>
  <c r="F11" i="2"/>
  <c r="I11" i="2" s="1"/>
  <c r="F10" i="2"/>
  <c r="I10" i="2" s="1"/>
  <c r="F5" i="2"/>
  <c r="I5" i="2" s="1"/>
</calcChain>
</file>

<file path=xl/sharedStrings.xml><?xml version="1.0" encoding="utf-8"?>
<sst xmlns="http://schemas.openxmlformats.org/spreadsheetml/2006/main" count="396" uniqueCount="94">
  <si>
    <t>№ п.п.</t>
  </si>
  <si>
    <t>Наименование</t>
  </si>
  <si>
    <t>Ед. изм.</t>
  </si>
  <si>
    <t>Коэф. расхода</t>
  </si>
  <si>
    <t>Объем</t>
  </si>
  <si>
    <t>пог. м</t>
  </si>
  <si>
    <t>кг</t>
  </si>
  <si>
    <t>м2</t>
  </si>
  <si>
    <t>Грунтовка БЕТОН-КОНТАКТ_/</t>
  </si>
  <si>
    <t xml:space="preserve">Ведомость работ и используемых материалов </t>
  </si>
  <si>
    <t xml:space="preserve">Устройство наливных полов с огрунтовкой поверхности и проклейкой демпферной лентой / толщ. до 10 мм </t>
  </si>
  <si>
    <t>Наливной пол_ / Унифицированный по ПИК-СТАНДАРТ</t>
  </si>
  <si>
    <t>Лента кромочная демпферная_/8*100мм/20м</t>
  </si>
  <si>
    <t>Грунтовка универсальный ЛАСТИМИН_ / УНКОНТ ЛЮКС LP51 А</t>
  </si>
  <si>
    <t>Устройство разделительного слоя / из пленки полиэтиленовой / в 1 слой</t>
  </si>
  <si>
    <t>Пленка полиэтиленовая_/200мкр</t>
  </si>
  <si>
    <t>Обработка полов гидрофобизирующим составом</t>
  </si>
  <si>
    <t>Пропитка для бетонных поверхностей  / Элакор МБ1</t>
  </si>
  <si>
    <t>Грунтовка силикатная КМ0 Прозрачный</t>
  </si>
  <si>
    <t>Затирка, уход, полировка полов мех.способом</t>
  </si>
  <si>
    <t>Цемент- / Портланд / М500</t>
  </si>
  <si>
    <t>Устройство стяжки СКБ / армированная сеткой от 21 мм до 40мм</t>
  </si>
  <si>
    <t>Фиксатор арматуры Звездочка_/15/4-16</t>
  </si>
  <si>
    <t>Смесь цементно-песчаная сухая_/М200</t>
  </si>
  <si>
    <t>Сетка эл/св_/100*100*5</t>
  </si>
  <si>
    <t>Устройство стяжки СКБ / армированная сеткой от 41 мм до 60мм</t>
  </si>
  <si>
    <t>Устройство стяжки СКБ / армированная сеткой от 61мм до 80мм</t>
  </si>
  <si>
    <t>Смесь цементно-песчаная сухая_/М150</t>
  </si>
  <si>
    <t>Сетка эл/св_/100*100*4</t>
  </si>
  <si>
    <t>6.3.1.5.1.1.3.1</t>
  </si>
  <si>
    <t>6.3.1.5.1.1.6.3</t>
  </si>
  <si>
    <t>6.3.1.5.1.1.9.1</t>
  </si>
  <si>
    <t>6.3.1.5.1.1.10.1</t>
  </si>
  <si>
    <t>6.3.1.5.1.1.11.2</t>
  </si>
  <si>
    <t>6.3.1.5.1.1.11.3</t>
  </si>
  <si>
    <t>6.3.1.5.1.1.11.4</t>
  </si>
  <si>
    <t>Тип</t>
  </si>
  <si>
    <t>Типы 9, 9.1, 9.2, 9.3, 11, 11.1</t>
  </si>
  <si>
    <t>Типы 5, 5.1 - обеспыливание</t>
  </si>
  <si>
    <t>Тип 4.4</t>
  </si>
  <si>
    <t>Тип 7.1
40мм</t>
  </si>
  <si>
    <t>шт</t>
  </si>
  <si>
    <t>Типы 8.3, 9.1, 9.3
60мм</t>
  </si>
  <si>
    <t>Типы 6, 6.1, 7, 7.2, 8.1, 8.2, 9, 9.2</t>
  </si>
  <si>
    <t>Типы 11, 11.1
68мм</t>
  </si>
  <si>
    <t>Тип 5
70мм</t>
  </si>
  <si>
    <t>Типы 4.4, 5.1
80мм</t>
  </si>
  <si>
    <t>Типы 4.4, 5, 5.1, 6, 6.1, 7, 7.1, 7.2, 8.1, 8.2, 9, 9.1</t>
  </si>
  <si>
    <t>Спецификация выполненных работ</t>
  </si>
  <si>
    <t>Итог</t>
  </si>
  <si>
    <t>Помещения:</t>
  </si>
  <si>
    <t>Объем, м²</t>
  </si>
  <si>
    <t>сумма:</t>
  </si>
  <si>
    <t>2.001</t>
  </si>
  <si>
    <t>2.002</t>
  </si>
  <si>
    <t>2.003</t>
  </si>
  <si>
    <t>2.004</t>
  </si>
  <si>
    <t>2.005</t>
  </si>
  <si>
    <t>2.007</t>
  </si>
  <si>
    <t>2.008</t>
  </si>
  <si>
    <t>2.009</t>
  </si>
  <si>
    <t>2.010</t>
  </si>
  <si>
    <t>2.011</t>
  </si>
  <si>
    <t>2.012</t>
  </si>
  <si>
    <t>2.013</t>
  </si>
  <si>
    <t>2.014</t>
  </si>
  <si>
    <t>2.015</t>
  </si>
  <si>
    <t>2.016</t>
  </si>
  <si>
    <t>2.017</t>
  </si>
  <si>
    <t>2.162</t>
  </si>
  <si>
    <t>2.075</t>
  </si>
  <si>
    <t>2.080</t>
  </si>
  <si>
    <t>2.088</t>
  </si>
  <si>
    <t>2.089</t>
  </si>
  <si>
    <t>2.090</t>
  </si>
  <si>
    <t>2.091</t>
  </si>
  <si>
    <t>2.094</t>
  </si>
  <si>
    <t>2.095</t>
  </si>
  <si>
    <t>2.096</t>
  </si>
  <si>
    <t>2.097</t>
  </si>
  <si>
    <t>2.098</t>
  </si>
  <si>
    <t>2.099</t>
  </si>
  <si>
    <t>2.100</t>
  </si>
  <si>
    <t>2.101</t>
  </si>
  <si>
    <t>2.102</t>
  </si>
  <si>
    <t>2.103</t>
  </si>
  <si>
    <t>2.104</t>
  </si>
  <si>
    <t>2.105</t>
  </si>
  <si>
    <t>2.106</t>
  </si>
  <si>
    <t>2.107</t>
  </si>
  <si>
    <t>2.108</t>
  </si>
  <si>
    <t>2.109</t>
  </si>
  <si>
    <t>2.168</t>
  </si>
  <si>
    <t>Типы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</si>
</sst>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6" formatCode="0.0"/>
  </numFmts>
  <fonts count="4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ГОСТ тип А"/>
      <family val="2"/>
      <charset val="204"/>
    </font>
    <font>
      <sz val="10"/>
      <color theme="1"/>
      <name val="ГОСТ тип А"/>
      <family val="2"/>
      <charset val="204"/>
    </font>
    <font>
      <sz val="10"/>
      <name val="ГОСТ тип А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49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2" fontId="0" fillId="0" borderId="0" xfId="0" applyNumberForma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166" fontId="2" fillId="0" borderId="2" xfId="0" applyNumberFormat="1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right" vertical="center"/>
    </xf>
    <xf numFmtId="166" fontId="2" fillId="4" borderId="1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right" vertical="center"/>
    </xf>
    <xf numFmtId="166" fontId="2" fillId="5" borderId="1" xfId="0" applyNumberFormat="1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right" vertical="center"/>
    </xf>
    <xf numFmtId="166" fontId="2" fillId="6" borderId="1" xfId="0" applyNumberFormat="1" applyFont="1" applyFill="1" applyBorder="1" applyAlignment="1">
      <alignment horizontal="center" vertical="center" wrapText="1"/>
    </xf>
    <xf numFmtId="2" fontId="2" fillId="6" borderId="1" xfId="0" applyNumberFormat="1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wrapText="1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zoomScale="85" zoomScaleNormal="85" workbookViewId="0">
      <selection activeCell="E48" sqref="E48"/>
    </sheetView>
  </sheetViews>
  <sheetFormatPr defaultRowHeight="15" x14ac:dyDescent="0.25"/>
  <cols>
    <col min="1" max="1" width="7.5703125" style="11" customWidth="1"/>
    <col min="2" max="2" width="50.28515625" style="12" customWidth="1"/>
    <col min="3" max="3" width="13.5703125" style="12" customWidth="1"/>
    <col min="4" max="4" width="9.140625" style="11" customWidth="1"/>
    <col min="5" max="5" width="14.5703125" style="13" customWidth="1"/>
    <col min="6" max="6" width="8.85546875" style="14" customWidth="1"/>
    <col min="7" max="9" width="0" hidden="1" customWidth="1"/>
  </cols>
  <sheetData>
    <row r="1" spans="1:9" x14ac:dyDescent="0.25">
      <c r="A1" s="1"/>
      <c r="B1" s="2" t="s">
        <v>9</v>
      </c>
      <c r="C1" s="15"/>
      <c r="D1" s="3"/>
      <c r="E1" s="4"/>
      <c r="F1" s="5"/>
      <c r="G1" s="16"/>
    </row>
    <row r="2" spans="1:9" x14ac:dyDescent="0.25">
      <c r="A2" s="1" t="s">
        <v>0</v>
      </c>
      <c r="B2" s="17" t="s">
        <v>1</v>
      </c>
      <c r="C2" s="17" t="s">
        <v>36</v>
      </c>
      <c r="D2" s="3" t="s">
        <v>2</v>
      </c>
      <c r="E2" s="4" t="s">
        <v>3</v>
      </c>
      <c r="F2" s="5" t="s">
        <v>4</v>
      </c>
      <c r="G2" s="16" t="s">
        <v>4</v>
      </c>
    </row>
    <row r="3" spans="1:9" ht="25.5" hidden="1" x14ac:dyDescent="0.25">
      <c r="A3" s="18" t="s">
        <v>29</v>
      </c>
      <c r="B3" s="19" t="s">
        <v>10</v>
      </c>
      <c r="C3" s="19" t="s">
        <v>37</v>
      </c>
      <c r="D3" s="20" t="s">
        <v>7</v>
      </c>
      <c r="E3" s="21">
        <v>1</v>
      </c>
      <c r="F3" s="22">
        <v>0</v>
      </c>
      <c r="G3" s="23">
        <v>4905.38</v>
      </c>
      <c r="I3" s="32">
        <f t="shared" ref="I3:I43" si="0">F3-G3</f>
        <v>-4905.38</v>
      </c>
    </row>
    <row r="4" spans="1:9" hidden="1" x14ac:dyDescent="0.25">
      <c r="A4" s="24"/>
      <c r="B4" s="6" t="s">
        <v>11</v>
      </c>
      <c r="C4" s="6"/>
      <c r="D4" s="7" t="s">
        <v>6</v>
      </c>
      <c r="E4" s="8">
        <v>1.6</v>
      </c>
      <c r="F4" s="25">
        <f>E4*F3*10</f>
        <v>0</v>
      </c>
      <c r="G4" s="16">
        <v>78486.080000000002</v>
      </c>
      <c r="I4" s="32">
        <f t="shared" si="0"/>
        <v>-78486.080000000002</v>
      </c>
    </row>
    <row r="5" spans="1:9" hidden="1" x14ac:dyDescent="0.25">
      <c r="A5" s="24"/>
      <c r="B5" s="6" t="s">
        <v>12</v>
      </c>
      <c r="C5" s="6"/>
      <c r="D5" s="7" t="s">
        <v>5</v>
      </c>
      <c r="E5" s="8">
        <v>1</v>
      </c>
      <c r="F5" s="25">
        <f>E5*F3</f>
        <v>0</v>
      </c>
      <c r="G5" s="16">
        <v>4905.38</v>
      </c>
      <c r="I5" s="32">
        <f t="shared" si="0"/>
        <v>-4905.38</v>
      </c>
    </row>
    <row r="6" spans="1:9" ht="25.5" hidden="1" x14ac:dyDescent="0.25">
      <c r="A6" s="24"/>
      <c r="B6" s="26" t="s">
        <v>13</v>
      </c>
      <c r="C6" s="26"/>
      <c r="D6" s="7" t="s">
        <v>6</v>
      </c>
      <c r="E6" s="8">
        <v>0.255</v>
      </c>
      <c r="F6" s="25">
        <f>E6*F3</f>
        <v>0</v>
      </c>
      <c r="G6" s="16">
        <v>1250.8720000000001</v>
      </c>
      <c r="I6" s="32">
        <f t="shared" si="0"/>
        <v>-1250.8720000000001</v>
      </c>
    </row>
    <row r="7" spans="1:9" ht="51" hidden="1" x14ac:dyDescent="0.25">
      <c r="A7" s="18" t="s">
        <v>30</v>
      </c>
      <c r="B7" s="27" t="s">
        <v>14</v>
      </c>
      <c r="C7" s="27" t="s">
        <v>47</v>
      </c>
      <c r="D7" s="20" t="s">
        <v>7</v>
      </c>
      <c r="E7" s="21">
        <v>1</v>
      </c>
      <c r="F7" s="22">
        <v>0</v>
      </c>
      <c r="G7" s="23">
        <v>2785.09</v>
      </c>
      <c r="I7" s="32">
        <f t="shared" si="0"/>
        <v>-2785.09</v>
      </c>
    </row>
    <row r="8" spans="1:9" hidden="1" x14ac:dyDescent="0.25">
      <c r="A8" s="24"/>
      <c r="B8" s="9" t="s">
        <v>15</v>
      </c>
      <c r="C8" s="9"/>
      <c r="D8" s="7" t="s">
        <v>7</v>
      </c>
      <c r="E8" s="8">
        <v>1.1000000000000001</v>
      </c>
      <c r="F8" s="25">
        <f>E8*F7</f>
        <v>0</v>
      </c>
      <c r="G8" s="16">
        <v>3063.5990000000002</v>
      </c>
      <c r="I8" s="32">
        <f t="shared" si="0"/>
        <v>-3063.5990000000002</v>
      </c>
    </row>
    <row r="9" spans="1:9" ht="25.5" hidden="1" x14ac:dyDescent="0.25">
      <c r="A9" s="18" t="s">
        <v>31</v>
      </c>
      <c r="B9" s="27" t="s">
        <v>16</v>
      </c>
      <c r="C9" s="27" t="s">
        <v>38</v>
      </c>
      <c r="D9" s="20" t="s">
        <v>7</v>
      </c>
      <c r="E9" s="21">
        <v>1</v>
      </c>
      <c r="F9" s="22">
        <v>0</v>
      </c>
      <c r="G9" s="23">
        <v>47.77</v>
      </c>
      <c r="I9" s="32">
        <f t="shared" si="0"/>
        <v>-47.77</v>
      </c>
    </row>
    <row r="10" spans="1:9" hidden="1" x14ac:dyDescent="0.25">
      <c r="A10" s="24"/>
      <c r="B10" s="6" t="s">
        <v>17</v>
      </c>
      <c r="C10" s="6"/>
      <c r="D10" s="7" t="s">
        <v>6</v>
      </c>
      <c r="E10" s="8">
        <v>0.3</v>
      </c>
      <c r="F10" s="25">
        <f>E10*F9</f>
        <v>0</v>
      </c>
      <c r="G10" s="16">
        <v>14.331</v>
      </c>
      <c r="I10" s="32">
        <f t="shared" si="0"/>
        <v>-14.331</v>
      </c>
    </row>
    <row r="11" spans="1:9" hidden="1" x14ac:dyDescent="0.25">
      <c r="A11" s="24"/>
      <c r="B11" s="6" t="s">
        <v>18</v>
      </c>
      <c r="C11" s="33"/>
      <c r="D11" s="7" t="s">
        <v>6</v>
      </c>
      <c r="E11" s="8">
        <v>0.2</v>
      </c>
      <c r="F11" s="25">
        <f>E11*F9</f>
        <v>0</v>
      </c>
      <c r="G11" s="16">
        <v>9.5540000000000003</v>
      </c>
      <c r="I11" s="32">
        <f t="shared" si="0"/>
        <v>-9.5540000000000003</v>
      </c>
    </row>
    <row r="12" spans="1:9" hidden="1" x14ac:dyDescent="0.25">
      <c r="A12" s="18" t="s">
        <v>32</v>
      </c>
      <c r="B12" s="27" t="s">
        <v>19</v>
      </c>
      <c r="C12" s="27" t="s">
        <v>39</v>
      </c>
      <c r="D12" s="20" t="s">
        <v>7</v>
      </c>
      <c r="E12" s="21">
        <v>1</v>
      </c>
      <c r="F12" s="22">
        <v>0</v>
      </c>
      <c r="G12" s="23">
        <v>72.94</v>
      </c>
      <c r="I12" s="32">
        <f t="shared" si="0"/>
        <v>-72.94</v>
      </c>
    </row>
    <row r="13" spans="1:9" hidden="1" x14ac:dyDescent="0.25">
      <c r="A13" s="24"/>
      <c r="B13" s="6" t="s">
        <v>20</v>
      </c>
      <c r="C13" s="6"/>
      <c r="D13" s="7" t="s">
        <v>6</v>
      </c>
      <c r="E13" s="8">
        <v>0.6</v>
      </c>
      <c r="F13" s="25">
        <f>E13*F12</f>
        <v>0</v>
      </c>
      <c r="G13" s="16">
        <v>43.764000000000003</v>
      </c>
      <c r="I13" s="32">
        <f t="shared" si="0"/>
        <v>-43.764000000000003</v>
      </c>
    </row>
    <row r="14" spans="1:9" ht="26.25" hidden="1" x14ac:dyDescent="0.25">
      <c r="A14" s="18" t="s">
        <v>33</v>
      </c>
      <c r="B14" s="28" t="s">
        <v>21</v>
      </c>
      <c r="C14" s="28" t="s">
        <v>40</v>
      </c>
      <c r="D14" s="20" t="s">
        <v>7</v>
      </c>
      <c r="E14" s="21">
        <v>1</v>
      </c>
      <c r="F14" s="22">
        <v>0</v>
      </c>
      <c r="G14" s="23">
        <v>46.62</v>
      </c>
      <c r="I14" s="32">
        <f t="shared" si="0"/>
        <v>-46.62</v>
      </c>
    </row>
    <row r="15" spans="1:9" hidden="1" x14ac:dyDescent="0.25">
      <c r="A15" s="24"/>
      <c r="B15" s="6" t="s">
        <v>22</v>
      </c>
      <c r="C15" s="6"/>
      <c r="D15" s="7" t="s">
        <v>41</v>
      </c>
      <c r="E15" s="8">
        <v>8</v>
      </c>
      <c r="F15" s="25">
        <f>ROUND(E15*F14, 0)</f>
        <v>0</v>
      </c>
      <c r="G15" s="16">
        <v>372.96</v>
      </c>
      <c r="I15" s="32">
        <f t="shared" si="0"/>
        <v>-372.96</v>
      </c>
    </row>
    <row r="16" spans="1:9" hidden="1" x14ac:dyDescent="0.25">
      <c r="A16" s="24"/>
      <c r="B16" s="6" t="s">
        <v>23</v>
      </c>
      <c r="C16" s="6"/>
      <c r="D16" s="7" t="s">
        <v>6</v>
      </c>
      <c r="E16" s="8">
        <v>1.8</v>
      </c>
      <c r="F16" s="25">
        <f>E16*F14*40</f>
        <v>0</v>
      </c>
      <c r="G16" s="16">
        <v>3356.64</v>
      </c>
      <c r="H16">
        <f>G16/G14/E16</f>
        <v>40</v>
      </c>
      <c r="I16" s="32">
        <f t="shared" si="0"/>
        <v>-3356.64</v>
      </c>
    </row>
    <row r="17" spans="1:14" hidden="1" x14ac:dyDescent="0.25">
      <c r="A17" s="10"/>
      <c r="B17" s="9" t="s">
        <v>24</v>
      </c>
      <c r="C17" s="9"/>
      <c r="D17" s="10" t="s">
        <v>7</v>
      </c>
      <c r="E17" s="8">
        <v>1.1000000000000001</v>
      </c>
      <c r="F17" s="25">
        <f>E17*F14</f>
        <v>0</v>
      </c>
      <c r="G17" s="16">
        <v>51.281999999999996</v>
      </c>
      <c r="I17" s="32">
        <f t="shared" si="0"/>
        <v>-51.281999999999996</v>
      </c>
    </row>
    <row r="18" spans="1:14" hidden="1" x14ac:dyDescent="0.25">
      <c r="A18" s="10"/>
      <c r="B18" s="9" t="s">
        <v>12</v>
      </c>
      <c r="C18" s="9"/>
      <c r="D18" s="10" t="s">
        <v>5</v>
      </c>
      <c r="E18" s="8">
        <v>1</v>
      </c>
      <c r="F18" s="25">
        <f>E18*F14</f>
        <v>0</v>
      </c>
      <c r="G18" s="16">
        <v>46.62</v>
      </c>
      <c r="I18" s="32">
        <f t="shared" si="0"/>
        <v>-46.62</v>
      </c>
    </row>
    <row r="19" spans="1:14" ht="30" customHeight="1" x14ac:dyDescent="0.25">
      <c r="A19" s="52">
        <v>1</v>
      </c>
      <c r="B19" s="53" t="s">
        <v>25</v>
      </c>
      <c r="C19" s="53" t="s">
        <v>42</v>
      </c>
      <c r="D19" s="52" t="s">
        <v>7</v>
      </c>
      <c r="E19" s="54">
        <v>1</v>
      </c>
      <c r="F19" s="42">
        <f>'Спец 2 эт'!E46</f>
        <v>27.32</v>
      </c>
      <c r="G19" s="23">
        <v>122.25</v>
      </c>
      <c r="I19" s="32">
        <f t="shared" si="0"/>
        <v>-94.93</v>
      </c>
      <c r="K19" s="49">
        <v>6.1</v>
      </c>
      <c r="L19" s="43">
        <v>7.2</v>
      </c>
      <c r="M19" s="40">
        <v>8.3000000000000007</v>
      </c>
      <c r="N19" s="46">
        <v>9.1999999999999993</v>
      </c>
    </row>
    <row r="20" spans="1:14" x14ac:dyDescent="0.25">
      <c r="A20" s="10">
        <v>1.1000000000000001</v>
      </c>
      <c r="B20" s="9" t="s">
        <v>22</v>
      </c>
      <c r="C20" s="9"/>
      <c r="D20" s="10" t="s">
        <v>41</v>
      </c>
      <c r="E20" s="8">
        <v>8</v>
      </c>
      <c r="F20" s="25">
        <f>ROUND(E20*F19, 0)</f>
        <v>219</v>
      </c>
      <c r="G20" s="16">
        <v>978</v>
      </c>
      <c r="I20" s="32">
        <f t="shared" si="0"/>
        <v>-759</v>
      </c>
    </row>
    <row r="21" spans="1:14" x14ac:dyDescent="0.25">
      <c r="A21" s="10">
        <v>1.2</v>
      </c>
      <c r="B21" s="30" t="s">
        <v>23</v>
      </c>
      <c r="C21" s="30"/>
      <c r="D21" s="10" t="s">
        <v>6</v>
      </c>
      <c r="E21" s="8">
        <v>1.8</v>
      </c>
      <c r="F21" s="25">
        <f>E21*F19*60</f>
        <v>2950.56</v>
      </c>
      <c r="G21" s="16">
        <v>13203</v>
      </c>
      <c r="H21">
        <f>G21/G19/E21</f>
        <v>60</v>
      </c>
      <c r="I21" s="32">
        <f t="shared" si="0"/>
        <v>-10252.44</v>
      </c>
    </row>
    <row r="22" spans="1:14" x14ac:dyDescent="0.25">
      <c r="A22" s="10">
        <v>1.3</v>
      </c>
      <c r="B22" s="9" t="s">
        <v>24</v>
      </c>
      <c r="C22" s="9"/>
      <c r="D22" s="10" t="s">
        <v>7</v>
      </c>
      <c r="E22" s="8">
        <v>1.1000000000000001</v>
      </c>
      <c r="F22" s="25">
        <f>E22*F19</f>
        <v>30.052000000000003</v>
      </c>
      <c r="G22" s="16">
        <v>134.47499999999999</v>
      </c>
      <c r="I22" s="32">
        <f t="shared" si="0"/>
        <v>-104.42299999999999</v>
      </c>
    </row>
    <row r="23" spans="1:14" x14ac:dyDescent="0.25">
      <c r="A23" s="10">
        <v>1.4</v>
      </c>
      <c r="B23" s="9" t="s">
        <v>12</v>
      </c>
      <c r="C23" s="9"/>
      <c r="D23" s="10" t="s">
        <v>5</v>
      </c>
      <c r="E23" s="8">
        <v>1</v>
      </c>
      <c r="F23" s="25">
        <f>E23*F19</f>
        <v>27.32</v>
      </c>
      <c r="G23" s="16">
        <v>122.25</v>
      </c>
      <c r="I23" s="32">
        <f t="shared" si="0"/>
        <v>-94.93</v>
      </c>
    </row>
    <row r="24" spans="1:14" ht="26.25" x14ac:dyDescent="0.25">
      <c r="A24" s="29">
        <v>2</v>
      </c>
      <c r="B24" s="28" t="s">
        <v>26</v>
      </c>
      <c r="C24" s="28" t="s">
        <v>43</v>
      </c>
      <c r="D24" s="29" t="s">
        <v>7</v>
      </c>
      <c r="E24" s="21">
        <v>1</v>
      </c>
      <c r="F24" s="22">
        <f>'Спец 2 эт'!C46+'Спец 2 эт'!D46+'Спец 2 эт'!F46</f>
        <v>1530.2199999999998</v>
      </c>
      <c r="G24" s="23">
        <v>5553.92</v>
      </c>
      <c r="I24" s="32">
        <f t="shared" si="0"/>
        <v>-4023.7000000000003</v>
      </c>
    </row>
    <row r="25" spans="1:14" x14ac:dyDescent="0.25">
      <c r="A25" s="10">
        <v>2.1</v>
      </c>
      <c r="B25" s="9" t="s">
        <v>22</v>
      </c>
      <c r="C25" s="9"/>
      <c r="D25" s="10" t="s">
        <v>41</v>
      </c>
      <c r="E25" s="8">
        <v>8</v>
      </c>
      <c r="F25" s="25">
        <f>ROUND(E25*F24, 0)</f>
        <v>12242</v>
      </c>
      <c r="G25" s="16">
        <v>44431.360000000001</v>
      </c>
      <c r="I25" s="32">
        <f t="shared" si="0"/>
        <v>-32189.360000000001</v>
      </c>
    </row>
    <row r="26" spans="1:14" x14ac:dyDescent="0.25">
      <c r="A26" s="10">
        <v>2.2000000000000002</v>
      </c>
      <c r="B26" s="30" t="s">
        <v>23</v>
      </c>
      <c r="C26" s="30"/>
      <c r="D26" s="10" t="s">
        <v>6</v>
      </c>
      <c r="E26" s="8">
        <v>1.8</v>
      </c>
      <c r="F26" s="25">
        <f>E26*F24*65</f>
        <v>179035.74</v>
      </c>
      <c r="G26" s="16">
        <v>649808.64000000001</v>
      </c>
      <c r="H26">
        <f>G26/G24/E26</f>
        <v>65</v>
      </c>
      <c r="I26" s="32">
        <f t="shared" si="0"/>
        <v>-470772.9</v>
      </c>
    </row>
    <row r="27" spans="1:14" x14ac:dyDescent="0.25">
      <c r="A27" s="10">
        <v>2.2999999999999998</v>
      </c>
      <c r="B27" s="30" t="s">
        <v>24</v>
      </c>
      <c r="C27" s="30"/>
      <c r="D27" s="10" t="s">
        <v>7</v>
      </c>
      <c r="E27" s="8">
        <v>1.1000000000000001</v>
      </c>
      <c r="F27" s="25">
        <f>E27*F24</f>
        <v>1683.242</v>
      </c>
      <c r="G27" s="16">
        <v>6109.3119999999999</v>
      </c>
      <c r="I27" s="32">
        <f t="shared" si="0"/>
        <v>-4426.07</v>
      </c>
    </row>
    <row r="28" spans="1:14" x14ac:dyDescent="0.25">
      <c r="A28" s="10">
        <v>2.4</v>
      </c>
      <c r="B28" s="30" t="s">
        <v>12</v>
      </c>
      <c r="C28" s="30"/>
      <c r="D28" s="10" t="s">
        <v>5</v>
      </c>
      <c r="E28" s="8">
        <v>1</v>
      </c>
      <c r="F28" s="25">
        <f>E28*F24</f>
        <v>1530.2199999999998</v>
      </c>
      <c r="G28" s="16">
        <v>5553.92</v>
      </c>
      <c r="I28" s="32">
        <f t="shared" si="0"/>
        <v>-4023.7000000000003</v>
      </c>
    </row>
    <row r="29" spans="1:14" ht="26.25" hidden="1" x14ac:dyDescent="0.25">
      <c r="A29" s="29" t="s">
        <v>35</v>
      </c>
      <c r="B29" s="31" t="s">
        <v>26</v>
      </c>
      <c r="C29" s="31" t="s">
        <v>44</v>
      </c>
      <c r="D29" s="29" t="s">
        <v>7</v>
      </c>
      <c r="E29" s="21">
        <v>1</v>
      </c>
      <c r="F29" s="22">
        <v>0</v>
      </c>
      <c r="G29" s="23">
        <v>468.22</v>
      </c>
      <c r="I29" s="32">
        <f t="shared" si="0"/>
        <v>-468.22</v>
      </c>
    </row>
    <row r="30" spans="1:14" hidden="1" x14ac:dyDescent="0.25">
      <c r="A30" s="10"/>
      <c r="B30" s="30" t="s">
        <v>8</v>
      </c>
      <c r="C30" s="30"/>
      <c r="D30" s="10" t="s">
        <v>6</v>
      </c>
      <c r="E30" s="8">
        <v>0.255</v>
      </c>
      <c r="F30" s="25">
        <f>E30*F29</f>
        <v>0</v>
      </c>
      <c r="G30" s="16">
        <v>119.396</v>
      </c>
      <c r="I30" s="32">
        <f t="shared" si="0"/>
        <v>-119.396</v>
      </c>
    </row>
    <row r="31" spans="1:14" hidden="1" x14ac:dyDescent="0.25">
      <c r="A31" s="10"/>
      <c r="B31" s="30" t="s">
        <v>12</v>
      </c>
      <c r="C31" s="30"/>
      <c r="D31" s="10" t="s">
        <v>5</v>
      </c>
      <c r="E31" s="8">
        <v>1</v>
      </c>
      <c r="F31" s="25">
        <f>E31*F29</f>
        <v>0</v>
      </c>
      <c r="G31" s="16">
        <v>468.22</v>
      </c>
      <c r="I31" s="32">
        <f t="shared" si="0"/>
        <v>-468.22</v>
      </c>
    </row>
    <row r="32" spans="1:14" hidden="1" x14ac:dyDescent="0.25">
      <c r="A32" s="10"/>
      <c r="B32" s="30" t="s">
        <v>24</v>
      </c>
      <c r="C32" s="30"/>
      <c r="D32" s="10" t="s">
        <v>7</v>
      </c>
      <c r="E32" s="8">
        <v>1.1000000000000001</v>
      </c>
      <c r="F32" s="25">
        <f>E32*F29</f>
        <v>0</v>
      </c>
      <c r="G32" s="16">
        <v>515.04200000000003</v>
      </c>
      <c r="I32" s="32">
        <f t="shared" si="0"/>
        <v>-515.04200000000003</v>
      </c>
    </row>
    <row r="33" spans="1:9" hidden="1" x14ac:dyDescent="0.25">
      <c r="A33" s="10"/>
      <c r="B33" s="30" t="s">
        <v>23</v>
      </c>
      <c r="C33" s="30"/>
      <c r="D33" s="10" t="s">
        <v>6</v>
      </c>
      <c r="E33" s="8">
        <v>1.8</v>
      </c>
      <c r="F33" s="25">
        <f>E33*F29*68</f>
        <v>0</v>
      </c>
      <c r="G33" s="16">
        <v>57310.127999999997</v>
      </c>
      <c r="H33">
        <f>G33/G29/E33</f>
        <v>68</v>
      </c>
      <c r="I33" s="32">
        <f t="shared" si="0"/>
        <v>-57310.127999999997</v>
      </c>
    </row>
    <row r="34" spans="1:9" hidden="1" x14ac:dyDescent="0.25">
      <c r="A34" s="10"/>
      <c r="B34" s="30" t="s">
        <v>22</v>
      </c>
      <c r="C34" s="30"/>
      <c r="D34" s="10" t="s">
        <v>41</v>
      </c>
      <c r="E34" s="8">
        <v>8</v>
      </c>
      <c r="F34" s="25">
        <f>ROUND(E34*F29, 0)</f>
        <v>0</v>
      </c>
      <c r="G34" s="16">
        <v>3745.76</v>
      </c>
      <c r="I34" s="32">
        <f t="shared" si="0"/>
        <v>-3745.76</v>
      </c>
    </row>
    <row r="35" spans="1:9" ht="26.25" hidden="1" x14ac:dyDescent="0.25">
      <c r="A35" s="29" t="s">
        <v>35</v>
      </c>
      <c r="B35" s="31" t="s">
        <v>26</v>
      </c>
      <c r="C35" s="31" t="s">
        <v>45</v>
      </c>
      <c r="D35" s="29" t="s">
        <v>7</v>
      </c>
      <c r="E35" s="21">
        <v>1</v>
      </c>
      <c r="F35" s="22">
        <v>0</v>
      </c>
      <c r="G35" s="23">
        <v>19.420000000000002</v>
      </c>
      <c r="I35" s="32">
        <f t="shared" si="0"/>
        <v>-19.420000000000002</v>
      </c>
    </row>
    <row r="36" spans="1:9" hidden="1" x14ac:dyDescent="0.25">
      <c r="A36" s="10"/>
      <c r="B36" s="30" t="s">
        <v>22</v>
      </c>
      <c r="C36" s="30"/>
      <c r="D36" s="10" t="s">
        <v>41</v>
      </c>
      <c r="E36" s="8">
        <v>8</v>
      </c>
      <c r="F36" s="25">
        <f>ROUND(E36*F35, 0)</f>
        <v>0</v>
      </c>
      <c r="G36" s="16">
        <v>155.36000000000001</v>
      </c>
      <c r="I36" s="32">
        <f t="shared" si="0"/>
        <v>-155.36000000000001</v>
      </c>
    </row>
    <row r="37" spans="1:9" hidden="1" x14ac:dyDescent="0.25">
      <c r="A37" s="10"/>
      <c r="B37" s="30" t="s">
        <v>27</v>
      </c>
      <c r="C37" s="30"/>
      <c r="D37" s="10" t="s">
        <v>6</v>
      </c>
      <c r="E37" s="8">
        <v>1.8</v>
      </c>
      <c r="F37" s="25">
        <f>E37*F35*70</f>
        <v>0</v>
      </c>
      <c r="G37" s="16">
        <v>2446.92</v>
      </c>
      <c r="H37">
        <f>G37/G35/E37</f>
        <v>69.999999999999986</v>
      </c>
      <c r="I37" s="32">
        <f t="shared" si="0"/>
        <v>-2446.92</v>
      </c>
    </row>
    <row r="38" spans="1:9" hidden="1" x14ac:dyDescent="0.25">
      <c r="A38" s="10"/>
      <c r="B38" s="30" t="s">
        <v>28</v>
      </c>
      <c r="C38" s="30"/>
      <c r="D38" s="10" t="s">
        <v>7</v>
      </c>
      <c r="E38" s="8">
        <v>1.1000000000000001</v>
      </c>
      <c r="F38" s="25">
        <f>E38*F35</f>
        <v>0</v>
      </c>
      <c r="G38" s="16">
        <v>21.361999999999998</v>
      </c>
      <c r="I38" s="32">
        <f t="shared" si="0"/>
        <v>-21.361999999999998</v>
      </c>
    </row>
    <row r="39" spans="1:9" hidden="1" x14ac:dyDescent="0.25">
      <c r="A39" s="10"/>
      <c r="B39" s="30" t="s">
        <v>12</v>
      </c>
      <c r="C39" s="30"/>
      <c r="D39" s="10" t="s">
        <v>5</v>
      </c>
      <c r="E39" s="8">
        <v>1</v>
      </c>
      <c r="F39" s="25">
        <f>E39*F35</f>
        <v>0</v>
      </c>
      <c r="G39" s="16">
        <v>19.420000000000002</v>
      </c>
      <c r="I39" s="32">
        <f t="shared" si="0"/>
        <v>-19.420000000000002</v>
      </c>
    </row>
    <row r="40" spans="1:9" ht="26.25" hidden="1" x14ac:dyDescent="0.25">
      <c r="A40" s="29" t="s">
        <v>35</v>
      </c>
      <c r="B40" s="31" t="s">
        <v>26</v>
      </c>
      <c r="C40" s="31" t="s">
        <v>46</v>
      </c>
      <c r="D40" s="29" t="s">
        <v>7</v>
      </c>
      <c r="E40" s="21">
        <v>1</v>
      </c>
      <c r="F40" s="22">
        <v>0</v>
      </c>
      <c r="G40" s="23">
        <v>101.29</v>
      </c>
      <c r="I40" s="32">
        <f t="shared" si="0"/>
        <v>-101.29</v>
      </c>
    </row>
    <row r="41" spans="1:9" hidden="1" x14ac:dyDescent="0.25">
      <c r="A41" s="10"/>
      <c r="B41" s="30" t="s">
        <v>12</v>
      </c>
      <c r="C41" s="30"/>
      <c r="D41" s="10" t="s">
        <v>5</v>
      </c>
      <c r="E41" s="8">
        <v>1</v>
      </c>
      <c r="F41" s="25">
        <f>E41*F40</f>
        <v>0</v>
      </c>
      <c r="G41" s="16">
        <v>101.29</v>
      </c>
      <c r="I41" s="32">
        <f t="shared" si="0"/>
        <v>-101.29</v>
      </c>
    </row>
    <row r="42" spans="1:9" hidden="1" x14ac:dyDescent="0.25">
      <c r="A42" s="10"/>
      <c r="B42" s="30" t="s">
        <v>28</v>
      </c>
      <c r="C42" s="30"/>
      <c r="D42" s="10" t="s">
        <v>7</v>
      </c>
      <c r="E42" s="8">
        <v>1.1000000000000001</v>
      </c>
      <c r="F42" s="25">
        <f>E42*F40</f>
        <v>0</v>
      </c>
      <c r="G42" s="16">
        <v>111.419</v>
      </c>
      <c r="I42" s="32">
        <f t="shared" si="0"/>
        <v>-111.419</v>
      </c>
    </row>
    <row r="43" spans="1:9" hidden="1" x14ac:dyDescent="0.25">
      <c r="A43" s="10"/>
      <c r="B43" s="30" t="s">
        <v>27</v>
      </c>
      <c r="C43" s="30"/>
      <c r="D43" s="10" t="s">
        <v>6</v>
      </c>
      <c r="E43" s="8">
        <v>1.8</v>
      </c>
      <c r="F43" s="25">
        <f>E43*F40*80</f>
        <v>0</v>
      </c>
      <c r="G43" s="16">
        <v>14585.76</v>
      </c>
      <c r="I43" s="32">
        <f t="shared" si="0"/>
        <v>-14585.76</v>
      </c>
    </row>
    <row r="44" spans="1:9" hidden="1" x14ac:dyDescent="0.25">
      <c r="A44" s="10"/>
      <c r="B44" s="30" t="s">
        <v>22</v>
      </c>
      <c r="C44" s="30"/>
      <c r="D44" s="10" t="s">
        <v>41</v>
      </c>
      <c r="E44" s="8">
        <v>8</v>
      </c>
      <c r="F44" s="25">
        <f>ROUND(E44*F40, 0)</f>
        <v>0</v>
      </c>
      <c r="G44" s="16">
        <v>810.32</v>
      </c>
      <c r="I44" s="32">
        <f>F44-G44</f>
        <v>-810.32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opLeftCell="A14" workbookViewId="0">
      <selection activeCell="C2" sqref="C2:F2"/>
    </sheetView>
  </sheetViews>
  <sheetFormatPr defaultRowHeight="15" x14ac:dyDescent="0.25"/>
  <cols>
    <col min="1" max="1" width="7" style="11" customWidth="1"/>
    <col min="2" max="2" width="11.140625" style="11" customWidth="1"/>
    <col min="3" max="6" width="8.7109375" style="11" customWidth="1"/>
    <col min="7" max="7" width="8.7109375" style="38" customWidth="1"/>
  </cols>
  <sheetData>
    <row r="1" spans="1:10" x14ac:dyDescent="0.25">
      <c r="A1" s="34" t="s">
        <v>48</v>
      </c>
      <c r="B1" s="34"/>
      <c r="C1" s="34"/>
      <c r="D1" s="34"/>
      <c r="E1" s="34"/>
      <c r="F1" s="34"/>
      <c r="G1" s="34"/>
    </row>
    <row r="2" spans="1:10" x14ac:dyDescent="0.25">
      <c r="A2" s="10"/>
      <c r="B2" s="35" t="s">
        <v>93</v>
      </c>
      <c r="C2" s="49">
        <v>6.1</v>
      </c>
      <c r="D2" s="43">
        <v>7.2</v>
      </c>
      <c r="E2" s="40">
        <v>8.3000000000000007</v>
      </c>
      <c r="F2" s="46">
        <v>9.1999999999999993</v>
      </c>
      <c r="G2" s="36" t="s">
        <v>49</v>
      </c>
      <c r="H2" s="39">
        <v>4.4000000000000004</v>
      </c>
      <c r="I2" s="39">
        <v>11</v>
      </c>
      <c r="J2" s="39">
        <v>11.1</v>
      </c>
    </row>
    <row r="3" spans="1:10" x14ac:dyDescent="0.25">
      <c r="A3" s="10" t="s">
        <v>0</v>
      </c>
      <c r="B3" s="37" t="s">
        <v>50</v>
      </c>
      <c r="C3" s="50" t="s">
        <v>51</v>
      </c>
      <c r="D3" s="44" t="s">
        <v>51</v>
      </c>
      <c r="E3" s="41" t="s">
        <v>51</v>
      </c>
      <c r="F3" s="47" t="s">
        <v>51</v>
      </c>
      <c r="G3" s="25" t="s">
        <v>51</v>
      </c>
    </row>
    <row r="4" spans="1:10" x14ac:dyDescent="0.25">
      <c r="A4" s="10">
        <v>1</v>
      </c>
      <c r="B4" s="35" t="s">
        <v>53</v>
      </c>
      <c r="C4" s="51"/>
      <c r="D4" s="45"/>
      <c r="E4" s="42"/>
      <c r="F4" s="48">
        <v>73.56</v>
      </c>
      <c r="G4" s="25">
        <f>SUM(C4:F4)</f>
        <v>73.56</v>
      </c>
    </row>
    <row r="5" spans="1:10" x14ac:dyDescent="0.25">
      <c r="A5" s="10">
        <v>2</v>
      </c>
      <c r="B5" s="35" t="s">
        <v>54</v>
      </c>
      <c r="C5" s="51"/>
      <c r="D5" s="45"/>
      <c r="E5" s="42"/>
      <c r="F5" s="48">
        <v>72.239999999999995</v>
      </c>
      <c r="G5" s="25">
        <f t="shared" ref="G5:G45" si="0">SUM(C5:F5)</f>
        <v>72.239999999999995</v>
      </c>
    </row>
    <row r="6" spans="1:10" x14ac:dyDescent="0.25">
      <c r="A6" s="10">
        <v>3</v>
      </c>
      <c r="B6" s="35" t="s">
        <v>55</v>
      </c>
      <c r="C6" s="51"/>
      <c r="D6" s="45"/>
      <c r="E6" s="42"/>
      <c r="F6" s="48">
        <v>68.260000000000005</v>
      </c>
      <c r="G6" s="25">
        <f t="shared" si="0"/>
        <v>68.260000000000005</v>
      </c>
    </row>
    <row r="7" spans="1:10" x14ac:dyDescent="0.25">
      <c r="A7" s="10">
        <v>4</v>
      </c>
      <c r="B7" s="35" t="s">
        <v>56</v>
      </c>
      <c r="C7" s="51"/>
      <c r="D7" s="45"/>
      <c r="E7" s="42"/>
      <c r="F7" s="48">
        <v>158.97</v>
      </c>
      <c r="G7" s="25">
        <f t="shared" si="0"/>
        <v>158.97</v>
      </c>
    </row>
    <row r="8" spans="1:10" x14ac:dyDescent="0.25">
      <c r="A8" s="10">
        <v>5</v>
      </c>
      <c r="B8" s="35" t="s">
        <v>57</v>
      </c>
      <c r="C8" s="51">
        <v>13.62</v>
      </c>
      <c r="D8" s="45"/>
      <c r="E8" s="42"/>
      <c r="F8" s="48"/>
      <c r="G8" s="25">
        <f t="shared" si="0"/>
        <v>13.62</v>
      </c>
    </row>
    <row r="9" spans="1:10" x14ac:dyDescent="0.25">
      <c r="A9" s="10">
        <v>6</v>
      </c>
      <c r="B9" s="35" t="s">
        <v>58</v>
      </c>
      <c r="C9" s="51"/>
      <c r="D9" s="45"/>
      <c r="E9" s="42"/>
      <c r="F9" s="48">
        <v>68.3</v>
      </c>
      <c r="G9" s="25">
        <f t="shared" si="0"/>
        <v>68.3</v>
      </c>
    </row>
    <row r="10" spans="1:10" x14ac:dyDescent="0.25">
      <c r="A10" s="10">
        <v>7</v>
      </c>
      <c r="B10" s="35" t="s">
        <v>59</v>
      </c>
      <c r="C10" s="51"/>
      <c r="D10" s="45"/>
      <c r="E10" s="42"/>
      <c r="F10" s="48">
        <v>68.459999999999994</v>
      </c>
      <c r="G10" s="25">
        <f t="shared" si="0"/>
        <v>68.459999999999994</v>
      </c>
    </row>
    <row r="11" spans="1:10" x14ac:dyDescent="0.25">
      <c r="A11" s="10">
        <v>8</v>
      </c>
      <c r="B11" s="35" t="s">
        <v>60</v>
      </c>
      <c r="C11" s="51"/>
      <c r="D11" s="45"/>
      <c r="E11" s="42"/>
      <c r="F11" s="48">
        <v>68.459999999999994</v>
      </c>
      <c r="G11" s="25">
        <f t="shared" si="0"/>
        <v>68.459999999999994</v>
      </c>
    </row>
    <row r="12" spans="1:10" x14ac:dyDescent="0.25">
      <c r="A12" s="10">
        <v>9</v>
      </c>
      <c r="B12" s="35" t="s">
        <v>61</v>
      </c>
      <c r="C12" s="51"/>
      <c r="D12" s="45"/>
      <c r="E12" s="42"/>
      <c r="F12" s="48">
        <v>67.53</v>
      </c>
      <c r="G12" s="25">
        <f t="shared" si="0"/>
        <v>67.53</v>
      </c>
    </row>
    <row r="13" spans="1:10" x14ac:dyDescent="0.25">
      <c r="A13" s="10">
        <v>10</v>
      </c>
      <c r="B13" s="35" t="s">
        <v>62</v>
      </c>
      <c r="C13" s="51"/>
      <c r="D13" s="45"/>
      <c r="E13" s="42"/>
      <c r="F13" s="48">
        <v>68.459999999999994</v>
      </c>
      <c r="G13" s="25">
        <f t="shared" si="0"/>
        <v>68.459999999999994</v>
      </c>
    </row>
    <row r="14" spans="1:10" x14ac:dyDescent="0.25">
      <c r="A14" s="10">
        <v>11</v>
      </c>
      <c r="B14" s="35" t="s">
        <v>63</v>
      </c>
      <c r="C14" s="51"/>
      <c r="D14" s="45"/>
      <c r="E14" s="42"/>
      <c r="F14" s="48">
        <v>149.94999999999999</v>
      </c>
      <c r="G14" s="25">
        <f t="shared" si="0"/>
        <v>149.94999999999999</v>
      </c>
    </row>
    <row r="15" spans="1:10" x14ac:dyDescent="0.25">
      <c r="A15" s="10">
        <v>12</v>
      </c>
      <c r="B15" s="35" t="s">
        <v>64</v>
      </c>
      <c r="C15" s="51"/>
      <c r="D15" s="45"/>
      <c r="E15" s="42"/>
      <c r="F15" s="48">
        <v>68.459999999999994</v>
      </c>
      <c r="G15" s="25">
        <f t="shared" si="0"/>
        <v>68.459999999999994</v>
      </c>
    </row>
    <row r="16" spans="1:10" x14ac:dyDescent="0.25">
      <c r="A16" s="10">
        <v>13</v>
      </c>
      <c r="B16" s="35" t="s">
        <v>65</v>
      </c>
      <c r="C16" s="51"/>
      <c r="D16" s="45">
        <v>17.22</v>
      </c>
      <c r="E16" s="42"/>
      <c r="F16" s="48"/>
      <c r="G16" s="25">
        <f t="shared" si="0"/>
        <v>17.22</v>
      </c>
    </row>
    <row r="17" spans="1:7" x14ac:dyDescent="0.25">
      <c r="A17" s="10">
        <v>14</v>
      </c>
      <c r="B17" s="35" t="s">
        <v>66</v>
      </c>
      <c r="C17" s="51"/>
      <c r="D17" s="45">
        <v>21.87</v>
      </c>
      <c r="E17" s="42"/>
      <c r="F17" s="48"/>
      <c r="G17" s="25">
        <f t="shared" si="0"/>
        <v>21.87</v>
      </c>
    </row>
    <row r="18" spans="1:7" x14ac:dyDescent="0.25">
      <c r="A18" s="10">
        <v>15</v>
      </c>
      <c r="B18" s="35" t="s">
        <v>67</v>
      </c>
      <c r="C18" s="51"/>
      <c r="D18" s="45">
        <v>5.0599999999999996</v>
      </c>
      <c r="E18" s="42"/>
      <c r="F18" s="48"/>
      <c r="G18" s="25">
        <f t="shared" si="0"/>
        <v>5.0599999999999996</v>
      </c>
    </row>
    <row r="19" spans="1:7" x14ac:dyDescent="0.25">
      <c r="A19" s="10">
        <v>16</v>
      </c>
      <c r="B19" s="35" t="s">
        <v>68</v>
      </c>
      <c r="C19" s="51"/>
      <c r="D19" s="45"/>
      <c r="E19" s="42">
        <v>3.22</v>
      </c>
      <c r="F19" s="48"/>
      <c r="G19" s="25">
        <f t="shared" si="0"/>
        <v>3.22</v>
      </c>
    </row>
    <row r="20" spans="1:7" x14ac:dyDescent="0.25">
      <c r="A20" s="10">
        <v>17</v>
      </c>
      <c r="B20" s="35" t="s">
        <v>69</v>
      </c>
      <c r="C20" s="51"/>
      <c r="D20" s="45"/>
      <c r="E20" s="42">
        <v>5.25</v>
      </c>
      <c r="F20" s="48"/>
      <c r="G20" s="25">
        <f t="shared" si="0"/>
        <v>5.25</v>
      </c>
    </row>
    <row r="21" spans="1:7" x14ac:dyDescent="0.25">
      <c r="A21" s="10">
        <v>18</v>
      </c>
      <c r="B21" s="35" t="s">
        <v>70</v>
      </c>
      <c r="C21" s="51"/>
      <c r="D21" s="45"/>
      <c r="E21" s="42"/>
      <c r="F21" s="48">
        <v>79.790000000000006</v>
      </c>
      <c r="G21" s="25">
        <f t="shared" si="0"/>
        <v>79.790000000000006</v>
      </c>
    </row>
    <row r="22" spans="1:7" x14ac:dyDescent="0.25">
      <c r="A22" s="10">
        <v>19</v>
      </c>
      <c r="B22" s="35" t="s">
        <v>71</v>
      </c>
      <c r="C22" s="51"/>
      <c r="D22" s="45"/>
      <c r="E22" s="42"/>
      <c r="F22" s="48">
        <v>170.56</v>
      </c>
      <c r="G22" s="25">
        <f t="shared" si="0"/>
        <v>170.56</v>
      </c>
    </row>
    <row r="23" spans="1:7" x14ac:dyDescent="0.25">
      <c r="A23" s="10">
        <v>20</v>
      </c>
      <c r="B23" s="10">
        <v>2.0840000000000001</v>
      </c>
      <c r="C23" s="51">
        <v>16</v>
      </c>
      <c r="D23" s="45"/>
      <c r="E23" s="42"/>
      <c r="F23" s="48"/>
      <c r="G23" s="25">
        <f t="shared" si="0"/>
        <v>16</v>
      </c>
    </row>
    <row r="24" spans="1:7" x14ac:dyDescent="0.25">
      <c r="A24" s="10">
        <v>21</v>
      </c>
      <c r="B24" s="10">
        <v>2.0870000000000002</v>
      </c>
      <c r="C24" s="51">
        <v>19.46</v>
      </c>
      <c r="D24" s="45"/>
      <c r="E24" s="42"/>
      <c r="F24" s="48"/>
      <c r="G24" s="25">
        <f t="shared" si="0"/>
        <v>19.46</v>
      </c>
    </row>
    <row r="25" spans="1:7" x14ac:dyDescent="0.25">
      <c r="A25" s="10">
        <v>22</v>
      </c>
      <c r="B25" s="35" t="s">
        <v>72</v>
      </c>
      <c r="C25" s="51"/>
      <c r="D25" s="45"/>
      <c r="E25" s="42"/>
      <c r="F25" s="48">
        <v>10.24</v>
      </c>
      <c r="G25" s="25">
        <f t="shared" si="0"/>
        <v>10.24</v>
      </c>
    </row>
    <row r="26" spans="1:7" x14ac:dyDescent="0.25">
      <c r="A26" s="10">
        <v>23</v>
      </c>
      <c r="B26" s="35" t="s">
        <v>73</v>
      </c>
      <c r="C26" s="51"/>
      <c r="D26" s="45">
        <v>6.05</v>
      </c>
      <c r="E26" s="42"/>
      <c r="F26" s="48"/>
      <c r="G26" s="25">
        <f t="shared" si="0"/>
        <v>6.05</v>
      </c>
    </row>
    <row r="27" spans="1:7" x14ac:dyDescent="0.25">
      <c r="A27" s="10">
        <v>24</v>
      </c>
      <c r="B27" s="35" t="s">
        <v>74</v>
      </c>
      <c r="C27" s="51"/>
      <c r="D27" s="45">
        <v>12.15</v>
      </c>
      <c r="E27" s="42"/>
      <c r="F27" s="48"/>
      <c r="G27" s="25">
        <f t="shared" si="0"/>
        <v>12.15</v>
      </c>
    </row>
    <row r="28" spans="1:7" x14ac:dyDescent="0.25">
      <c r="A28" s="10">
        <v>25</v>
      </c>
      <c r="B28" s="35" t="s">
        <v>75</v>
      </c>
      <c r="C28" s="51"/>
      <c r="D28" s="45">
        <v>10.63</v>
      </c>
      <c r="E28" s="42"/>
      <c r="F28" s="48"/>
      <c r="G28" s="25">
        <f t="shared" si="0"/>
        <v>10.63</v>
      </c>
    </row>
    <row r="29" spans="1:7" x14ac:dyDescent="0.25">
      <c r="A29" s="10">
        <v>26</v>
      </c>
      <c r="B29" s="35" t="s">
        <v>76</v>
      </c>
      <c r="C29" s="51"/>
      <c r="D29" s="45"/>
      <c r="E29" s="42"/>
      <c r="F29" s="48">
        <v>23.36</v>
      </c>
      <c r="G29" s="25">
        <f t="shared" si="0"/>
        <v>23.36</v>
      </c>
    </row>
    <row r="30" spans="1:7" x14ac:dyDescent="0.25">
      <c r="A30" s="10">
        <v>27</v>
      </c>
      <c r="B30" s="35" t="s">
        <v>77</v>
      </c>
      <c r="C30" s="51"/>
      <c r="D30" s="45">
        <v>8.7899999999999991</v>
      </c>
      <c r="E30" s="42"/>
      <c r="F30" s="48"/>
      <c r="G30" s="25">
        <f t="shared" si="0"/>
        <v>8.7899999999999991</v>
      </c>
    </row>
    <row r="31" spans="1:7" x14ac:dyDescent="0.25">
      <c r="A31" s="10">
        <v>28</v>
      </c>
      <c r="B31" s="35" t="s">
        <v>78</v>
      </c>
      <c r="C31" s="51"/>
      <c r="D31" s="45">
        <v>14.39</v>
      </c>
      <c r="E31" s="42"/>
      <c r="F31" s="48"/>
      <c r="G31" s="25">
        <f t="shared" si="0"/>
        <v>14.39</v>
      </c>
    </row>
    <row r="32" spans="1:7" x14ac:dyDescent="0.25">
      <c r="A32" s="10">
        <v>29</v>
      </c>
      <c r="B32" s="35" t="s">
        <v>79</v>
      </c>
      <c r="C32" s="51"/>
      <c r="D32" s="45"/>
      <c r="E32" s="42">
        <v>4.8499999999999996</v>
      </c>
      <c r="F32" s="48"/>
      <c r="G32" s="25">
        <f t="shared" si="0"/>
        <v>4.8499999999999996</v>
      </c>
    </row>
    <row r="33" spans="1:9" x14ac:dyDescent="0.25">
      <c r="A33" s="10">
        <v>30</v>
      </c>
      <c r="B33" s="35" t="s">
        <v>80</v>
      </c>
      <c r="C33" s="51"/>
      <c r="D33" s="45"/>
      <c r="E33" s="42">
        <v>4.76</v>
      </c>
      <c r="F33" s="48"/>
      <c r="G33" s="25">
        <f t="shared" si="0"/>
        <v>4.76</v>
      </c>
    </row>
    <row r="34" spans="1:9" x14ac:dyDescent="0.25">
      <c r="A34" s="10">
        <v>31</v>
      </c>
      <c r="B34" s="35" t="s">
        <v>81</v>
      </c>
      <c r="C34" s="51"/>
      <c r="D34" s="45"/>
      <c r="E34" s="42"/>
      <c r="F34" s="48">
        <v>21.09</v>
      </c>
      <c r="G34" s="25">
        <f t="shared" si="0"/>
        <v>21.09</v>
      </c>
    </row>
    <row r="35" spans="1:9" x14ac:dyDescent="0.25">
      <c r="A35" s="10">
        <v>32</v>
      </c>
      <c r="B35" s="35" t="s">
        <v>82</v>
      </c>
      <c r="C35" s="51"/>
      <c r="D35" s="45">
        <v>8.19</v>
      </c>
      <c r="E35" s="42"/>
      <c r="F35" s="48"/>
      <c r="G35" s="25">
        <f t="shared" si="0"/>
        <v>8.19</v>
      </c>
    </row>
    <row r="36" spans="1:9" x14ac:dyDescent="0.25">
      <c r="A36" s="10">
        <v>33</v>
      </c>
      <c r="B36" s="35" t="s">
        <v>83</v>
      </c>
      <c r="C36" s="51"/>
      <c r="D36" s="45">
        <v>12.22</v>
      </c>
      <c r="E36" s="42"/>
      <c r="F36" s="48"/>
      <c r="G36" s="25">
        <f t="shared" si="0"/>
        <v>12.22</v>
      </c>
    </row>
    <row r="37" spans="1:9" x14ac:dyDescent="0.25">
      <c r="A37" s="10">
        <v>34</v>
      </c>
      <c r="B37" s="35" t="s">
        <v>84</v>
      </c>
      <c r="C37" s="51"/>
      <c r="D37" s="45"/>
      <c r="E37" s="42">
        <v>9.24</v>
      </c>
      <c r="F37" s="48"/>
      <c r="G37" s="25">
        <f t="shared" si="0"/>
        <v>9.24</v>
      </c>
    </row>
    <row r="38" spans="1:9" x14ac:dyDescent="0.25">
      <c r="A38" s="10">
        <v>35</v>
      </c>
      <c r="B38" s="35" t="s">
        <v>85</v>
      </c>
      <c r="C38" s="51"/>
      <c r="D38" s="45"/>
      <c r="E38" s="42"/>
      <c r="F38" s="48">
        <v>19.329999999999998</v>
      </c>
      <c r="G38" s="25">
        <f t="shared" si="0"/>
        <v>19.329999999999998</v>
      </c>
    </row>
    <row r="39" spans="1:9" x14ac:dyDescent="0.25">
      <c r="A39" s="10">
        <v>36</v>
      </c>
      <c r="B39" s="35" t="s">
        <v>86</v>
      </c>
      <c r="C39" s="51"/>
      <c r="D39" s="45">
        <v>8.4499999999999993</v>
      </c>
      <c r="E39" s="42"/>
      <c r="F39" s="48"/>
      <c r="G39" s="25">
        <f t="shared" si="0"/>
        <v>8.4499999999999993</v>
      </c>
    </row>
    <row r="40" spans="1:9" x14ac:dyDescent="0.25">
      <c r="A40" s="10">
        <v>37</v>
      </c>
      <c r="B40" s="35" t="s">
        <v>87</v>
      </c>
      <c r="C40" s="51"/>
      <c r="D40" s="45">
        <v>14.25</v>
      </c>
      <c r="E40" s="42"/>
      <c r="F40" s="48"/>
      <c r="G40" s="25">
        <f t="shared" si="0"/>
        <v>14.25</v>
      </c>
    </row>
    <row r="41" spans="1:9" x14ac:dyDescent="0.25">
      <c r="A41" s="10">
        <v>38</v>
      </c>
      <c r="B41" s="35" t="s">
        <v>88</v>
      </c>
      <c r="C41" s="51"/>
      <c r="D41" s="45"/>
      <c r="E41" s="42"/>
      <c r="F41" s="48">
        <v>19.36</v>
      </c>
      <c r="G41" s="25">
        <f t="shared" si="0"/>
        <v>19.36</v>
      </c>
    </row>
    <row r="42" spans="1:9" x14ac:dyDescent="0.25">
      <c r="A42" s="10">
        <v>39</v>
      </c>
      <c r="B42" s="35" t="s">
        <v>89</v>
      </c>
      <c r="C42" s="51"/>
      <c r="D42" s="45">
        <v>8.14</v>
      </c>
      <c r="E42" s="42"/>
      <c r="F42" s="48"/>
      <c r="G42" s="25">
        <f>SUM(C42:F42)</f>
        <v>8.14</v>
      </c>
    </row>
    <row r="43" spans="1:9" x14ac:dyDescent="0.25">
      <c r="A43" s="10">
        <v>40</v>
      </c>
      <c r="B43" s="35" t="s">
        <v>90</v>
      </c>
      <c r="C43" s="51"/>
      <c r="D43" s="45">
        <v>16.28</v>
      </c>
      <c r="E43" s="42"/>
      <c r="F43" s="48"/>
      <c r="G43" s="25">
        <f t="shared" si="0"/>
        <v>16.28</v>
      </c>
    </row>
    <row r="44" spans="1:9" x14ac:dyDescent="0.25">
      <c r="A44" s="10">
        <v>41</v>
      </c>
      <c r="B44" s="35" t="s">
        <v>91</v>
      </c>
      <c r="C44" s="51">
        <v>33.049999999999997</v>
      </c>
      <c r="D44" s="45"/>
      <c r="E44" s="42"/>
      <c r="F44" s="48"/>
      <c r="G44" s="25">
        <f t="shared" si="0"/>
        <v>33.049999999999997</v>
      </c>
    </row>
    <row r="45" spans="1:9" x14ac:dyDescent="0.25">
      <c r="A45" s="10">
        <v>42</v>
      </c>
      <c r="B45" s="35" t="s">
        <v>92</v>
      </c>
      <c r="C45" s="51">
        <v>8.02</v>
      </c>
      <c r="D45" s="45"/>
      <c r="E45" s="42"/>
      <c r="F45" s="48"/>
      <c r="G45" s="25">
        <f t="shared" si="0"/>
        <v>8.02</v>
      </c>
    </row>
    <row r="46" spans="1:9" x14ac:dyDescent="0.25">
      <c r="A46" s="10"/>
      <c r="B46" s="10" t="s">
        <v>52</v>
      </c>
      <c r="C46" s="51">
        <f>SUM(C4:C45)</f>
        <v>90.149999999999991</v>
      </c>
      <c r="D46" s="45">
        <f t="shared" ref="D46:F46" si="1">SUM(D4:D45)</f>
        <v>163.69000000000003</v>
      </c>
      <c r="E46" s="42">
        <f t="shared" si="1"/>
        <v>27.32</v>
      </c>
      <c r="F46" s="48">
        <f t="shared" si="1"/>
        <v>1276.3799999999997</v>
      </c>
      <c r="G46" s="25">
        <f>SUM(G4:G45)</f>
        <v>1557.54</v>
      </c>
    </row>
    <row r="47" spans="1:9" x14ac:dyDescent="0.25">
      <c r="B47" s="13">
        <v>2.16</v>
      </c>
      <c r="H47">
        <v>0</v>
      </c>
    </row>
    <row r="48" spans="1:9" x14ac:dyDescent="0.25">
      <c r="B48" s="11">
        <v>2.081</v>
      </c>
      <c r="I48">
        <v>0</v>
      </c>
    </row>
    <row r="49" spans="2:10" x14ac:dyDescent="0.25">
      <c r="B49" s="11">
        <v>2.085</v>
      </c>
      <c r="J49">
        <v>0</v>
      </c>
    </row>
  </sheetData>
  <mergeCells count="1">
    <mergeCell ref="A1:G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opLeftCell="A7" zoomScale="115" zoomScaleNormal="115" workbookViewId="0">
      <selection activeCell="C40" sqref="C40"/>
    </sheetView>
  </sheetViews>
  <sheetFormatPr defaultRowHeight="15" x14ac:dyDescent="0.25"/>
  <cols>
    <col min="1" max="1" width="7.5703125" style="11" customWidth="1"/>
    <col min="2" max="2" width="50.28515625" style="12" customWidth="1"/>
    <col min="3" max="3" width="13.5703125" style="12" customWidth="1"/>
    <col min="4" max="4" width="9.140625" style="11" customWidth="1"/>
    <col min="5" max="5" width="14.5703125" style="13" customWidth="1"/>
    <col min="6" max="6" width="8.85546875" style="14" customWidth="1"/>
    <col min="7" max="9" width="0" hidden="1" customWidth="1"/>
  </cols>
  <sheetData>
    <row r="1" spans="1:9" x14ac:dyDescent="0.25">
      <c r="A1" s="1"/>
      <c r="B1" s="2" t="s">
        <v>9</v>
      </c>
      <c r="C1" s="15"/>
      <c r="D1" s="3"/>
      <c r="E1" s="4"/>
      <c r="F1" s="5"/>
      <c r="G1" s="16"/>
    </row>
    <row r="2" spans="1:9" x14ac:dyDescent="0.25">
      <c r="A2" s="1" t="s">
        <v>0</v>
      </c>
      <c r="B2" s="17" t="s">
        <v>1</v>
      </c>
      <c r="C2" s="17" t="s">
        <v>36</v>
      </c>
      <c r="D2" s="3" t="s">
        <v>2</v>
      </c>
      <c r="E2" s="4" t="s">
        <v>3</v>
      </c>
      <c r="F2" s="5" t="s">
        <v>4</v>
      </c>
      <c r="G2" s="16" t="s">
        <v>4</v>
      </c>
    </row>
    <row r="3" spans="1:9" ht="25.5" x14ac:dyDescent="0.25">
      <c r="A3" s="18" t="s">
        <v>29</v>
      </c>
      <c r="B3" s="19" t="s">
        <v>10</v>
      </c>
      <c r="C3" s="19" t="s">
        <v>37</v>
      </c>
      <c r="D3" s="20" t="s">
        <v>7</v>
      </c>
      <c r="E3" s="21">
        <v>1</v>
      </c>
      <c r="F3" s="22">
        <v>4905.38</v>
      </c>
      <c r="G3" s="23">
        <v>4905.38</v>
      </c>
      <c r="I3" s="32">
        <f t="shared" ref="I3:I43" si="0">F3-G3</f>
        <v>0</v>
      </c>
    </row>
    <row r="4" spans="1:9" x14ac:dyDescent="0.25">
      <c r="A4" s="24"/>
      <c r="B4" s="6" t="s">
        <v>11</v>
      </c>
      <c r="C4" s="6"/>
      <c r="D4" s="7" t="s">
        <v>6</v>
      </c>
      <c r="E4" s="8">
        <v>1.6</v>
      </c>
      <c r="F4" s="25">
        <f>E4*F3*10</f>
        <v>78486.080000000002</v>
      </c>
      <c r="G4" s="16">
        <v>78486.080000000002</v>
      </c>
      <c r="I4" s="32">
        <f t="shared" si="0"/>
        <v>0</v>
      </c>
    </row>
    <row r="5" spans="1:9" x14ac:dyDescent="0.25">
      <c r="A5" s="24"/>
      <c r="B5" s="6" t="s">
        <v>12</v>
      </c>
      <c r="C5" s="6"/>
      <c r="D5" s="7" t="s">
        <v>5</v>
      </c>
      <c r="E5" s="8">
        <v>1</v>
      </c>
      <c r="F5" s="25">
        <f>E5*F3</f>
        <v>4905.38</v>
      </c>
      <c r="G5" s="16">
        <v>4905.38</v>
      </c>
      <c r="I5" s="32">
        <f t="shared" si="0"/>
        <v>0</v>
      </c>
    </row>
    <row r="6" spans="1:9" ht="25.5" x14ac:dyDescent="0.25">
      <c r="A6" s="24"/>
      <c r="B6" s="26" t="s">
        <v>13</v>
      </c>
      <c r="C6" s="26"/>
      <c r="D6" s="7" t="s">
        <v>6</v>
      </c>
      <c r="E6" s="8">
        <v>0.255</v>
      </c>
      <c r="F6" s="25">
        <f>E6*F3</f>
        <v>1250.8719000000001</v>
      </c>
      <c r="G6" s="16">
        <v>1250.8720000000001</v>
      </c>
      <c r="I6" s="32">
        <f t="shared" si="0"/>
        <v>-9.9999999974897946E-5</v>
      </c>
    </row>
    <row r="7" spans="1:9" ht="51" x14ac:dyDescent="0.25">
      <c r="A7" s="18" t="s">
        <v>30</v>
      </c>
      <c r="B7" s="27" t="s">
        <v>14</v>
      </c>
      <c r="C7" s="27" t="s">
        <v>47</v>
      </c>
      <c r="D7" s="20" t="s">
        <v>7</v>
      </c>
      <c r="E7" s="21">
        <v>1</v>
      </c>
      <c r="F7" s="22">
        <v>2785.09</v>
      </c>
      <c r="G7" s="23">
        <v>2785.09</v>
      </c>
      <c r="I7" s="32">
        <f t="shared" si="0"/>
        <v>0</v>
      </c>
    </row>
    <row r="8" spans="1:9" x14ac:dyDescent="0.25">
      <c r="A8" s="24"/>
      <c r="B8" s="9" t="s">
        <v>15</v>
      </c>
      <c r="C8" s="9"/>
      <c r="D8" s="7" t="s">
        <v>7</v>
      </c>
      <c r="E8" s="8">
        <v>1.1000000000000001</v>
      </c>
      <c r="F8" s="25">
        <f>E8*F7</f>
        <v>3063.5990000000006</v>
      </c>
      <c r="G8" s="16">
        <v>3063.5990000000002</v>
      </c>
      <c r="I8" s="32">
        <f t="shared" si="0"/>
        <v>0</v>
      </c>
    </row>
    <row r="9" spans="1:9" ht="25.5" x14ac:dyDescent="0.25">
      <c r="A9" s="18" t="s">
        <v>31</v>
      </c>
      <c r="B9" s="27" t="s">
        <v>16</v>
      </c>
      <c r="C9" s="27" t="s">
        <v>38</v>
      </c>
      <c r="D9" s="20" t="s">
        <v>7</v>
      </c>
      <c r="E9" s="21">
        <v>1</v>
      </c>
      <c r="F9" s="22">
        <v>47.77</v>
      </c>
      <c r="G9" s="23">
        <v>47.77</v>
      </c>
      <c r="I9" s="32">
        <f t="shared" si="0"/>
        <v>0</v>
      </c>
    </row>
    <row r="10" spans="1:9" x14ac:dyDescent="0.25">
      <c r="A10" s="24"/>
      <c r="B10" s="6" t="s">
        <v>17</v>
      </c>
      <c r="C10" s="6"/>
      <c r="D10" s="7" t="s">
        <v>6</v>
      </c>
      <c r="E10" s="8">
        <v>0.3</v>
      </c>
      <c r="F10" s="25">
        <f>E10*F9</f>
        <v>14.331000000000001</v>
      </c>
      <c r="G10" s="16">
        <v>14.331</v>
      </c>
      <c r="I10" s="32">
        <f t="shared" si="0"/>
        <v>0</v>
      </c>
    </row>
    <row r="11" spans="1:9" x14ac:dyDescent="0.25">
      <c r="A11" s="24"/>
      <c r="B11" s="6" t="s">
        <v>18</v>
      </c>
      <c r="C11" s="33"/>
      <c r="D11" s="7" t="s">
        <v>6</v>
      </c>
      <c r="E11" s="8">
        <v>0.2</v>
      </c>
      <c r="F11" s="25">
        <f>E11*F9</f>
        <v>9.5540000000000003</v>
      </c>
      <c r="G11" s="16">
        <v>9.5540000000000003</v>
      </c>
      <c r="I11" s="32">
        <f t="shared" si="0"/>
        <v>0</v>
      </c>
    </row>
    <row r="12" spans="1:9" x14ac:dyDescent="0.25">
      <c r="A12" s="18" t="s">
        <v>32</v>
      </c>
      <c r="B12" s="27" t="s">
        <v>19</v>
      </c>
      <c r="C12" s="27" t="s">
        <v>39</v>
      </c>
      <c r="D12" s="20" t="s">
        <v>7</v>
      </c>
      <c r="E12" s="21">
        <v>1</v>
      </c>
      <c r="F12" s="22">
        <v>72.94</v>
      </c>
      <c r="G12" s="23">
        <v>72.94</v>
      </c>
      <c r="I12" s="32">
        <f t="shared" si="0"/>
        <v>0</v>
      </c>
    </row>
    <row r="13" spans="1:9" x14ac:dyDescent="0.25">
      <c r="A13" s="24"/>
      <c r="B13" s="6" t="s">
        <v>20</v>
      </c>
      <c r="C13" s="6"/>
      <c r="D13" s="7" t="s">
        <v>6</v>
      </c>
      <c r="E13" s="8">
        <v>0.6</v>
      </c>
      <c r="F13" s="25">
        <f>E13*F12</f>
        <v>43.763999999999996</v>
      </c>
      <c r="G13" s="16">
        <v>43.764000000000003</v>
      </c>
      <c r="I13" s="32">
        <f t="shared" si="0"/>
        <v>0</v>
      </c>
    </row>
    <row r="14" spans="1:9" ht="26.25" x14ac:dyDescent="0.25">
      <c r="A14" s="18" t="s">
        <v>33</v>
      </c>
      <c r="B14" s="28" t="s">
        <v>21</v>
      </c>
      <c r="C14" s="28" t="s">
        <v>40</v>
      </c>
      <c r="D14" s="20" t="s">
        <v>7</v>
      </c>
      <c r="E14" s="21">
        <v>1</v>
      </c>
      <c r="F14" s="22">
        <v>46.62</v>
      </c>
      <c r="G14" s="23">
        <v>46.62</v>
      </c>
      <c r="I14" s="32">
        <f t="shared" si="0"/>
        <v>0</v>
      </c>
    </row>
    <row r="15" spans="1:9" x14ac:dyDescent="0.25">
      <c r="A15" s="24"/>
      <c r="B15" s="6" t="s">
        <v>22</v>
      </c>
      <c r="C15" s="6"/>
      <c r="D15" s="7" t="s">
        <v>41</v>
      </c>
      <c r="E15" s="8">
        <v>8</v>
      </c>
      <c r="F15" s="25">
        <f>ROUND(E15*F14, 0)</f>
        <v>373</v>
      </c>
      <c r="G15" s="16">
        <v>372.96</v>
      </c>
      <c r="I15" s="32">
        <f t="shared" si="0"/>
        <v>4.0000000000020464E-2</v>
      </c>
    </row>
    <row r="16" spans="1:9" x14ac:dyDescent="0.25">
      <c r="A16" s="24"/>
      <c r="B16" s="6" t="s">
        <v>23</v>
      </c>
      <c r="C16" s="6"/>
      <c r="D16" s="7" t="s">
        <v>6</v>
      </c>
      <c r="E16" s="8">
        <v>1.8</v>
      </c>
      <c r="F16" s="25">
        <f>E16*F14*40</f>
        <v>3356.64</v>
      </c>
      <c r="G16" s="16">
        <v>3356.64</v>
      </c>
      <c r="H16">
        <f>G16/G14/E16</f>
        <v>40</v>
      </c>
      <c r="I16" s="32">
        <f t="shared" si="0"/>
        <v>0</v>
      </c>
    </row>
    <row r="17" spans="1:9" x14ac:dyDescent="0.25">
      <c r="A17" s="10"/>
      <c r="B17" s="9" t="s">
        <v>24</v>
      </c>
      <c r="C17" s="9"/>
      <c r="D17" s="10" t="s">
        <v>7</v>
      </c>
      <c r="E17" s="8">
        <v>1.1000000000000001</v>
      </c>
      <c r="F17" s="25">
        <f>E17*F14</f>
        <v>51.282000000000004</v>
      </c>
      <c r="G17" s="16">
        <v>51.281999999999996</v>
      </c>
      <c r="I17" s="32">
        <f t="shared" si="0"/>
        <v>0</v>
      </c>
    </row>
    <row r="18" spans="1:9" x14ac:dyDescent="0.25">
      <c r="A18" s="10"/>
      <c r="B18" s="9" t="s">
        <v>12</v>
      </c>
      <c r="C18" s="9"/>
      <c r="D18" s="10" t="s">
        <v>5</v>
      </c>
      <c r="E18" s="8">
        <v>1</v>
      </c>
      <c r="F18" s="25">
        <f>E18*F14</f>
        <v>46.62</v>
      </c>
      <c r="G18" s="16">
        <v>46.62</v>
      </c>
      <c r="I18" s="32">
        <f t="shared" si="0"/>
        <v>0</v>
      </c>
    </row>
    <row r="19" spans="1:9" ht="26.25" x14ac:dyDescent="0.25">
      <c r="A19" s="29" t="s">
        <v>34</v>
      </c>
      <c r="B19" s="28" t="s">
        <v>25</v>
      </c>
      <c r="C19" s="28" t="s">
        <v>42</v>
      </c>
      <c r="D19" s="29" t="s">
        <v>7</v>
      </c>
      <c r="E19" s="21">
        <v>1</v>
      </c>
      <c r="F19" s="22">
        <v>122.25</v>
      </c>
      <c r="G19" s="23">
        <v>122.25</v>
      </c>
      <c r="I19" s="32">
        <f t="shared" si="0"/>
        <v>0</v>
      </c>
    </row>
    <row r="20" spans="1:9" x14ac:dyDescent="0.25">
      <c r="A20" s="10"/>
      <c r="B20" s="9" t="s">
        <v>22</v>
      </c>
      <c r="C20" s="9"/>
      <c r="D20" s="10" t="s">
        <v>41</v>
      </c>
      <c r="E20" s="8">
        <v>8</v>
      </c>
      <c r="F20" s="25">
        <f>ROUND(E20*F19, 0)</f>
        <v>978</v>
      </c>
      <c r="G20" s="16">
        <v>978</v>
      </c>
      <c r="I20" s="32">
        <f t="shared" si="0"/>
        <v>0</v>
      </c>
    </row>
    <row r="21" spans="1:9" x14ac:dyDescent="0.25">
      <c r="A21" s="10"/>
      <c r="B21" s="30" t="s">
        <v>23</v>
      </c>
      <c r="C21" s="30"/>
      <c r="D21" s="10" t="s">
        <v>6</v>
      </c>
      <c r="E21" s="8">
        <v>1.8</v>
      </c>
      <c r="F21" s="25">
        <f>E21*F19*60</f>
        <v>13203</v>
      </c>
      <c r="G21" s="16">
        <v>13203</v>
      </c>
      <c r="H21">
        <f>G21/G19/E21</f>
        <v>60</v>
      </c>
      <c r="I21" s="32">
        <f t="shared" si="0"/>
        <v>0</v>
      </c>
    </row>
    <row r="22" spans="1:9" x14ac:dyDescent="0.25">
      <c r="A22" s="10"/>
      <c r="B22" s="9" t="s">
        <v>24</v>
      </c>
      <c r="C22" s="9"/>
      <c r="D22" s="10" t="s">
        <v>7</v>
      </c>
      <c r="E22" s="8">
        <v>1.1000000000000001</v>
      </c>
      <c r="F22" s="25">
        <f>E22*F19</f>
        <v>134.47500000000002</v>
      </c>
      <c r="G22" s="16">
        <v>134.47499999999999</v>
      </c>
      <c r="I22" s="32">
        <f t="shared" si="0"/>
        <v>0</v>
      </c>
    </row>
    <row r="23" spans="1:9" x14ac:dyDescent="0.25">
      <c r="A23" s="10"/>
      <c r="B23" s="9" t="s">
        <v>12</v>
      </c>
      <c r="C23" s="9"/>
      <c r="D23" s="10" t="s">
        <v>5</v>
      </c>
      <c r="E23" s="8">
        <v>1</v>
      </c>
      <c r="F23" s="25">
        <f>E23*F19</f>
        <v>122.25</v>
      </c>
      <c r="G23" s="16">
        <v>122.25</v>
      </c>
      <c r="I23" s="32">
        <f t="shared" si="0"/>
        <v>0</v>
      </c>
    </row>
    <row r="24" spans="1:9" ht="26.25" x14ac:dyDescent="0.25">
      <c r="A24" s="29" t="s">
        <v>35</v>
      </c>
      <c r="B24" s="28" t="s">
        <v>26</v>
      </c>
      <c r="C24" s="28" t="s">
        <v>43</v>
      </c>
      <c r="D24" s="29" t="s">
        <v>7</v>
      </c>
      <c r="E24" s="21">
        <v>1</v>
      </c>
      <c r="F24" s="22">
        <v>5553.92</v>
      </c>
      <c r="G24" s="23">
        <v>5553.92</v>
      </c>
      <c r="I24" s="32">
        <f t="shared" si="0"/>
        <v>0</v>
      </c>
    </row>
    <row r="25" spans="1:9" x14ac:dyDescent="0.25">
      <c r="A25" s="10"/>
      <c r="B25" s="9" t="s">
        <v>22</v>
      </c>
      <c r="C25" s="9"/>
      <c r="D25" s="10" t="s">
        <v>41</v>
      </c>
      <c r="E25" s="8">
        <v>8</v>
      </c>
      <c r="F25" s="25">
        <f>ROUND(E25*F24, 0)</f>
        <v>44431</v>
      </c>
      <c r="G25" s="16">
        <v>44431.360000000001</v>
      </c>
      <c r="I25" s="32">
        <f t="shared" si="0"/>
        <v>-0.36000000000058208</v>
      </c>
    </row>
    <row r="26" spans="1:9" x14ac:dyDescent="0.25">
      <c r="A26" s="10"/>
      <c r="B26" s="30" t="s">
        <v>23</v>
      </c>
      <c r="C26" s="30"/>
      <c r="D26" s="10" t="s">
        <v>6</v>
      </c>
      <c r="E26" s="8">
        <v>1.8</v>
      </c>
      <c r="F26" s="25">
        <f>E26*F24*65</f>
        <v>649808.64000000001</v>
      </c>
      <c r="G26" s="16">
        <v>649808.64000000001</v>
      </c>
      <c r="H26">
        <f>G26/G24/E26</f>
        <v>65</v>
      </c>
      <c r="I26" s="32">
        <f t="shared" si="0"/>
        <v>0</v>
      </c>
    </row>
    <row r="27" spans="1:9" x14ac:dyDescent="0.25">
      <c r="A27" s="10"/>
      <c r="B27" s="30" t="s">
        <v>24</v>
      </c>
      <c r="C27" s="30"/>
      <c r="D27" s="10" t="s">
        <v>7</v>
      </c>
      <c r="E27" s="8">
        <v>1.1000000000000001</v>
      </c>
      <c r="F27" s="25">
        <f>E27*F24</f>
        <v>6109.3120000000008</v>
      </c>
      <c r="G27" s="16">
        <v>6109.3119999999999</v>
      </c>
      <c r="I27" s="32">
        <f t="shared" si="0"/>
        <v>0</v>
      </c>
    </row>
    <row r="28" spans="1:9" x14ac:dyDescent="0.25">
      <c r="A28" s="10"/>
      <c r="B28" s="30" t="s">
        <v>12</v>
      </c>
      <c r="C28" s="30"/>
      <c r="D28" s="10" t="s">
        <v>5</v>
      </c>
      <c r="E28" s="8">
        <v>1</v>
      </c>
      <c r="F28" s="25">
        <f>E28*F24</f>
        <v>5553.92</v>
      </c>
      <c r="G28" s="16">
        <v>5553.92</v>
      </c>
      <c r="I28" s="32">
        <f t="shared" si="0"/>
        <v>0</v>
      </c>
    </row>
    <row r="29" spans="1:9" ht="26.25" x14ac:dyDescent="0.25">
      <c r="A29" s="29" t="s">
        <v>35</v>
      </c>
      <c r="B29" s="31" t="s">
        <v>26</v>
      </c>
      <c r="C29" s="31" t="s">
        <v>44</v>
      </c>
      <c r="D29" s="29" t="s">
        <v>7</v>
      </c>
      <c r="E29" s="21">
        <v>1</v>
      </c>
      <c r="F29" s="22">
        <v>468.22</v>
      </c>
      <c r="G29" s="23">
        <v>468.22</v>
      </c>
      <c r="I29" s="32">
        <f t="shared" si="0"/>
        <v>0</v>
      </c>
    </row>
    <row r="30" spans="1:9" x14ac:dyDescent="0.25">
      <c r="A30" s="10"/>
      <c r="B30" s="30" t="s">
        <v>8</v>
      </c>
      <c r="C30" s="30"/>
      <c r="D30" s="10" t="s">
        <v>6</v>
      </c>
      <c r="E30" s="8">
        <v>0.255</v>
      </c>
      <c r="F30" s="25">
        <f>E30*F29</f>
        <v>119.3961</v>
      </c>
      <c r="G30" s="16">
        <v>119.396</v>
      </c>
      <c r="I30" s="32">
        <f t="shared" si="0"/>
        <v>1.0000000000331966E-4</v>
      </c>
    </row>
    <row r="31" spans="1:9" x14ac:dyDescent="0.25">
      <c r="A31" s="10"/>
      <c r="B31" s="30" t="s">
        <v>12</v>
      </c>
      <c r="C31" s="30"/>
      <c r="D31" s="10" t="s">
        <v>5</v>
      </c>
      <c r="E31" s="8">
        <v>1</v>
      </c>
      <c r="F31" s="25">
        <f>E31*F29</f>
        <v>468.22</v>
      </c>
      <c r="G31" s="16">
        <v>468.22</v>
      </c>
      <c r="I31" s="32">
        <f t="shared" si="0"/>
        <v>0</v>
      </c>
    </row>
    <row r="32" spans="1:9" x14ac:dyDescent="0.25">
      <c r="A32" s="10"/>
      <c r="B32" s="30" t="s">
        <v>24</v>
      </c>
      <c r="C32" s="30"/>
      <c r="D32" s="10" t="s">
        <v>7</v>
      </c>
      <c r="E32" s="8">
        <v>1.1000000000000001</v>
      </c>
      <c r="F32" s="25">
        <f>E32*F29</f>
        <v>515.04200000000003</v>
      </c>
      <c r="G32" s="16">
        <v>515.04200000000003</v>
      </c>
      <c r="I32" s="32">
        <f t="shared" si="0"/>
        <v>0</v>
      </c>
    </row>
    <row r="33" spans="1:9" x14ac:dyDescent="0.25">
      <c r="A33" s="10"/>
      <c r="B33" s="30" t="s">
        <v>23</v>
      </c>
      <c r="C33" s="30"/>
      <c r="D33" s="10" t="s">
        <v>6</v>
      </c>
      <c r="E33" s="8">
        <v>1.8</v>
      </c>
      <c r="F33" s="25">
        <f>E33*F29*68</f>
        <v>57310.128000000004</v>
      </c>
      <c r="G33" s="16">
        <v>57310.127999999997</v>
      </c>
      <c r="H33">
        <f>G33/G29/E33</f>
        <v>68</v>
      </c>
      <c r="I33" s="32">
        <f t="shared" si="0"/>
        <v>0</v>
      </c>
    </row>
    <row r="34" spans="1:9" x14ac:dyDescent="0.25">
      <c r="A34" s="10"/>
      <c r="B34" s="30" t="s">
        <v>22</v>
      </c>
      <c r="C34" s="30"/>
      <c r="D34" s="10" t="s">
        <v>41</v>
      </c>
      <c r="E34" s="8">
        <v>8</v>
      </c>
      <c r="F34" s="25">
        <f>ROUND(E34*F29, 0)</f>
        <v>3746</v>
      </c>
      <c r="G34" s="16">
        <v>3745.76</v>
      </c>
      <c r="I34" s="32">
        <f t="shared" si="0"/>
        <v>0.23999999999978172</v>
      </c>
    </row>
    <row r="35" spans="1:9" ht="26.25" x14ac:dyDescent="0.25">
      <c r="A35" s="29" t="s">
        <v>35</v>
      </c>
      <c r="B35" s="31" t="s">
        <v>26</v>
      </c>
      <c r="C35" s="31" t="s">
        <v>45</v>
      </c>
      <c r="D35" s="29" t="s">
        <v>7</v>
      </c>
      <c r="E35" s="21">
        <v>1</v>
      </c>
      <c r="F35" s="22">
        <v>19.420000000000002</v>
      </c>
      <c r="G35" s="23">
        <v>19.420000000000002</v>
      </c>
      <c r="I35" s="32">
        <f t="shared" si="0"/>
        <v>0</v>
      </c>
    </row>
    <row r="36" spans="1:9" x14ac:dyDescent="0.25">
      <c r="A36" s="10"/>
      <c r="B36" s="30" t="s">
        <v>22</v>
      </c>
      <c r="C36" s="30"/>
      <c r="D36" s="10" t="s">
        <v>41</v>
      </c>
      <c r="E36" s="8">
        <v>8</v>
      </c>
      <c r="F36" s="25">
        <f>ROUND(E36*F35, 0)</f>
        <v>155</v>
      </c>
      <c r="G36" s="16">
        <v>155.36000000000001</v>
      </c>
      <c r="I36" s="32">
        <f t="shared" si="0"/>
        <v>-0.36000000000001364</v>
      </c>
    </row>
    <row r="37" spans="1:9" x14ac:dyDescent="0.25">
      <c r="A37" s="10"/>
      <c r="B37" s="30" t="s">
        <v>27</v>
      </c>
      <c r="C37" s="30"/>
      <c r="D37" s="10" t="s">
        <v>6</v>
      </c>
      <c r="E37" s="8">
        <v>1.8</v>
      </c>
      <c r="F37" s="25">
        <f>E37*F35*70</f>
        <v>2446.92</v>
      </c>
      <c r="G37" s="16">
        <v>2446.92</v>
      </c>
      <c r="H37">
        <f>G37/G35/E37</f>
        <v>69.999999999999986</v>
      </c>
      <c r="I37" s="32">
        <f t="shared" si="0"/>
        <v>0</v>
      </c>
    </row>
    <row r="38" spans="1:9" x14ac:dyDescent="0.25">
      <c r="A38" s="10"/>
      <c r="B38" s="30" t="s">
        <v>28</v>
      </c>
      <c r="C38" s="30"/>
      <c r="D38" s="10" t="s">
        <v>7</v>
      </c>
      <c r="E38" s="8">
        <v>1.1000000000000001</v>
      </c>
      <c r="F38" s="25">
        <f>E38*F35</f>
        <v>21.362000000000002</v>
      </c>
      <c r="G38" s="16">
        <v>21.361999999999998</v>
      </c>
      <c r="I38" s="32">
        <f t="shared" si="0"/>
        <v>0</v>
      </c>
    </row>
    <row r="39" spans="1:9" x14ac:dyDescent="0.25">
      <c r="A39" s="10"/>
      <c r="B39" s="30" t="s">
        <v>12</v>
      </c>
      <c r="C39" s="30"/>
      <c r="D39" s="10" t="s">
        <v>5</v>
      </c>
      <c r="E39" s="8">
        <v>1</v>
      </c>
      <c r="F39" s="25">
        <f>E39*F35</f>
        <v>19.420000000000002</v>
      </c>
      <c r="G39" s="16">
        <v>19.420000000000002</v>
      </c>
      <c r="I39" s="32">
        <f t="shared" si="0"/>
        <v>0</v>
      </c>
    </row>
    <row r="40" spans="1:9" ht="26.25" x14ac:dyDescent="0.25">
      <c r="A40" s="29" t="s">
        <v>35</v>
      </c>
      <c r="B40" s="31" t="s">
        <v>26</v>
      </c>
      <c r="C40" s="31" t="s">
        <v>46</v>
      </c>
      <c r="D40" s="29" t="s">
        <v>7</v>
      </c>
      <c r="E40" s="21">
        <v>1</v>
      </c>
      <c r="F40" s="22">
        <v>101.29</v>
      </c>
      <c r="G40" s="23">
        <v>101.29</v>
      </c>
      <c r="I40" s="32">
        <f t="shared" si="0"/>
        <v>0</v>
      </c>
    </row>
    <row r="41" spans="1:9" x14ac:dyDescent="0.25">
      <c r="A41" s="10"/>
      <c r="B41" s="30" t="s">
        <v>12</v>
      </c>
      <c r="C41" s="30"/>
      <c r="D41" s="10" t="s">
        <v>5</v>
      </c>
      <c r="E41" s="8">
        <v>1</v>
      </c>
      <c r="F41" s="25">
        <f>E41*F40</f>
        <v>101.29</v>
      </c>
      <c r="G41" s="16">
        <v>101.29</v>
      </c>
      <c r="I41" s="32">
        <f t="shared" si="0"/>
        <v>0</v>
      </c>
    </row>
    <row r="42" spans="1:9" x14ac:dyDescent="0.25">
      <c r="A42" s="10"/>
      <c r="B42" s="30" t="s">
        <v>28</v>
      </c>
      <c r="C42" s="30"/>
      <c r="D42" s="10" t="s">
        <v>7</v>
      </c>
      <c r="E42" s="8">
        <v>1.1000000000000001</v>
      </c>
      <c r="F42" s="25">
        <f>E42*F40</f>
        <v>111.41900000000001</v>
      </c>
      <c r="G42" s="16">
        <v>111.419</v>
      </c>
      <c r="I42" s="32">
        <f t="shared" si="0"/>
        <v>0</v>
      </c>
    </row>
    <row r="43" spans="1:9" x14ac:dyDescent="0.25">
      <c r="A43" s="10"/>
      <c r="B43" s="30" t="s">
        <v>27</v>
      </c>
      <c r="C43" s="30"/>
      <c r="D43" s="10" t="s">
        <v>6</v>
      </c>
      <c r="E43" s="8">
        <v>1.8</v>
      </c>
      <c r="F43" s="25">
        <f>E43*F40*80</f>
        <v>14585.76</v>
      </c>
      <c r="G43" s="16">
        <v>14585.76</v>
      </c>
      <c r="I43" s="32">
        <f t="shared" si="0"/>
        <v>0</v>
      </c>
    </row>
    <row r="44" spans="1:9" x14ac:dyDescent="0.25">
      <c r="A44" s="10"/>
      <c r="B44" s="30" t="s">
        <v>22</v>
      </c>
      <c r="C44" s="30"/>
      <c r="D44" s="10" t="s">
        <v>41</v>
      </c>
      <c r="E44" s="8">
        <v>8</v>
      </c>
      <c r="F44" s="25">
        <f>ROUND(E44*F40, 0)</f>
        <v>810</v>
      </c>
      <c r="G44" s="16">
        <v>810.32</v>
      </c>
      <c r="I44" s="32">
        <f>F44-G44</f>
        <v>-0.32000000000005002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zoomScale="130" zoomScaleNormal="130" workbookViewId="0">
      <selection activeCell="F15" sqref="F15"/>
    </sheetView>
  </sheetViews>
  <sheetFormatPr defaultRowHeight="15" x14ac:dyDescent="0.25"/>
  <cols>
    <col min="1" max="1" width="7.5703125" style="11" customWidth="1"/>
    <col min="2" max="2" width="50.28515625" style="12" customWidth="1"/>
    <col min="3" max="3" width="13.5703125" style="12" customWidth="1"/>
    <col min="4" max="4" width="9.140625" style="11" customWidth="1"/>
    <col min="5" max="5" width="14.5703125" style="13" customWidth="1"/>
    <col min="6" max="6" width="8.85546875" style="14" customWidth="1"/>
    <col min="7" max="9" width="0" hidden="1" customWidth="1"/>
  </cols>
  <sheetData>
    <row r="1" spans="1:9" x14ac:dyDescent="0.25">
      <c r="A1" s="1"/>
      <c r="B1" s="2" t="s">
        <v>9</v>
      </c>
      <c r="C1" s="15"/>
      <c r="D1" s="3"/>
      <c r="E1" s="4"/>
      <c r="F1" s="5"/>
      <c r="G1" s="16"/>
    </row>
    <row r="2" spans="1:9" x14ac:dyDescent="0.25">
      <c r="A2" s="1" t="s">
        <v>0</v>
      </c>
      <c r="B2" s="17" t="s">
        <v>1</v>
      </c>
      <c r="C2" s="17" t="s">
        <v>36</v>
      </c>
      <c r="D2" s="3" t="s">
        <v>2</v>
      </c>
      <c r="E2" s="4" t="s">
        <v>3</v>
      </c>
      <c r="F2" s="5" t="s">
        <v>4</v>
      </c>
      <c r="G2" s="16" t="s">
        <v>4</v>
      </c>
    </row>
    <row r="3" spans="1:9" ht="25.5" x14ac:dyDescent="0.25">
      <c r="A3" s="18" t="s">
        <v>29</v>
      </c>
      <c r="B3" s="19" t="s">
        <v>10</v>
      </c>
      <c r="C3" s="19" t="s">
        <v>37</v>
      </c>
      <c r="D3" s="20" t="s">
        <v>7</v>
      </c>
      <c r="E3" s="21">
        <v>1</v>
      </c>
      <c r="F3" s="22">
        <v>4905.38</v>
      </c>
      <c r="G3" s="23">
        <v>4905.38</v>
      </c>
      <c r="I3" s="32">
        <f t="shared" ref="I3:I43" si="0">F3-G3</f>
        <v>0</v>
      </c>
    </row>
    <row r="4" spans="1:9" x14ac:dyDescent="0.25">
      <c r="A4" s="24"/>
      <c r="B4" s="6" t="s">
        <v>11</v>
      </c>
      <c r="C4" s="6"/>
      <c r="D4" s="7" t="s">
        <v>6</v>
      </c>
      <c r="E4" s="8">
        <v>1.6</v>
      </c>
      <c r="F4" s="25">
        <f>E4*F3*10</f>
        <v>78486.080000000002</v>
      </c>
      <c r="G4" s="16">
        <v>78486.080000000002</v>
      </c>
      <c r="I4" s="32">
        <f t="shared" si="0"/>
        <v>0</v>
      </c>
    </row>
    <row r="5" spans="1:9" x14ac:dyDescent="0.25">
      <c r="A5" s="24"/>
      <c r="B5" s="6" t="s">
        <v>12</v>
      </c>
      <c r="C5" s="6"/>
      <c r="D5" s="7" t="s">
        <v>5</v>
      </c>
      <c r="E5" s="8">
        <v>1</v>
      </c>
      <c r="F5" s="25">
        <f>E5*F3</f>
        <v>4905.38</v>
      </c>
      <c r="G5" s="16">
        <v>4905.38</v>
      </c>
      <c r="I5" s="32">
        <f t="shared" si="0"/>
        <v>0</v>
      </c>
    </row>
    <row r="6" spans="1:9" ht="25.5" x14ac:dyDescent="0.25">
      <c r="A6" s="24"/>
      <c r="B6" s="26" t="s">
        <v>13</v>
      </c>
      <c r="C6" s="26"/>
      <c r="D6" s="7" t="s">
        <v>6</v>
      </c>
      <c r="E6" s="8">
        <v>0.255</v>
      </c>
      <c r="F6" s="25">
        <f>E6*F3</f>
        <v>1250.8719000000001</v>
      </c>
      <c r="G6" s="16">
        <v>1250.8720000000001</v>
      </c>
      <c r="I6" s="32">
        <f t="shared" si="0"/>
        <v>-9.9999999974897946E-5</v>
      </c>
    </row>
    <row r="7" spans="1:9" ht="51" x14ac:dyDescent="0.25">
      <c r="A7" s="18" t="s">
        <v>30</v>
      </c>
      <c r="B7" s="27" t="s">
        <v>14</v>
      </c>
      <c r="C7" s="27" t="s">
        <v>47</v>
      </c>
      <c r="D7" s="20" t="s">
        <v>7</v>
      </c>
      <c r="E7" s="21">
        <v>1</v>
      </c>
      <c r="F7" s="22">
        <v>2785.09</v>
      </c>
      <c r="G7" s="23">
        <v>2785.09</v>
      </c>
      <c r="I7" s="32">
        <f t="shared" si="0"/>
        <v>0</v>
      </c>
    </row>
    <row r="8" spans="1:9" x14ac:dyDescent="0.25">
      <c r="A8" s="24"/>
      <c r="B8" s="9" t="s">
        <v>15</v>
      </c>
      <c r="C8" s="9"/>
      <c r="D8" s="7" t="s">
        <v>7</v>
      </c>
      <c r="E8" s="8">
        <v>1.1000000000000001</v>
      </c>
      <c r="F8" s="25">
        <f>E8*F7</f>
        <v>3063.5990000000006</v>
      </c>
      <c r="G8" s="16">
        <v>3063.5990000000002</v>
      </c>
      <c r="I8" s="32">
        <f t="shared" si="0"/>
        <v>0</v>
      </c>
    </row>
    <row r="9" spans="1:9" ht="25.5" x14ac:dyDescent="0.25">
      <c r="A9" s="18" t="s">
        <v>31</v>
      </c>
      <c r="B9" s="27" t="s">
        <v>16</v>
      </c>
      <c r="C9" s="27" t="s">
        <v>38</v>
      </c>
      <c r="D9" s="20" t="s">
        <v>7</v>
      </c>
      <c r="E9" s="21">
        <v>1</v>
      </c>
      <c r="F9" s="22">
        <v>47.77</v>
      </c>
      <c r="G9" s="23">
        <v>47.77</v>
      </c>
      <c r="I9" s="32">
        <f t="shared" si="0"/>
        <v>0</v>
      </c>
    </row>
    <row r="10" spans="1:9" x14ac:dyDescent="0.25">
      <c r="A10" s="24"/>
      <c r="B10" s="6" t="s">
        <v>17</v>
      </c>
      <c r="C10" s="6"/>
      <c r="D10" s="7" t="s">
        <v>6</v>
      </c>
      <c r="E10" s="8">
        <v>0.3</v>
      </c>
      <c r="F10" s="25">
        <f>E10*F9</f>
        <v>14.331000000000001</v>
      </c>
      <c r="G10" s="16">
        <v>14.331</v>
      </c>
      <c r="I10" s="32">
        <f t="shared" si="0"/>
        <v>0</v>
      </c>
    </row>
    <row r="11" spans="1:9" x14ac:dyDescent="0.25">
      <c r="A11" s="24"/>
      <c r="B11" s="6" t="s">
        <v>18</v>
      </c>
      <c r="C11" s="33"/>
      <c r="D11" s="7" t="s">
        <v>6</v>
      </c>
      <c r="E11" s="8">
        <v>0.2</v>
      </c>
      <c r="F11" s="25">
        <f>E11*F9</f>
        <v>9.5540000000000003</v>
      </c>
      <c r="G11" s="16">
        <v>9.5540000000000003</v>
      </c>
      <c r="I11" s="32">
        <f t="shared" si="0"/>
        <v>0</v>
      </c>
    </row>
    <row r="12" spans="1:9" x14ac:dyDescent="0.25">
      <c r="A12" s="18" t="s">
        <v>32</v>
      </c>
      <c r="B12" s="27" t="s">
        <v>19</v>
      </c>
      <c r="C12" s="27" t="s">
        <v>39</v>
      </c>
      <c r="D12" s="20" t="s">
        <v>7</v>
      </c>
      <c r="E12" s="21">
        <v>1</v>
      </c>
      <c r="F12" s="22">
        <v>72.94</v>
      </c>
      <c r="G12" s="23">
        <v>72.94</v>
      </c>
      <c r="I12" s="32">
        <f t="shared" si="0"/>
        <v>0</v>
      </c>
    </row>
    <row r="13" spans="1:9" x14ac:dyDescent="0.25">
      <c r="A13" s="24"/>
      <c r="B13" s="6" t="s">
        <v>20</v>
      </c>
      <c r="C13" s="6"/>
      <c r="D13" s="7" t="s">
        <v>6</v>
      </c>
      <c r="E13" s="8">
        <v>0.6</v>
      </c>
      <c r="F13" s="25">
        <f>E13*F12</f>
        <v>43.763999999999996</v>
      </c>
      <c r="G13" s="16">
        <v>43.764000000000003</v>
      </c>
      <c r="I13" s="32">
        <f t="shared" si="0"/>
        <v>0</v>
      </c>
    </row>
    <row r="14" spans="1:9" ht="26.25" x14ac:dyDescent="0.25">
      <c r="A14" s="18" t="s">
        <v>33</v>
      </c>
      <c r="B14" s="28" t="s">
        <v>21</v>
      </c>
      <c r="C14" s="28" t="s">
        <v>40</v>
      </c>
      <c r="D14" s="20" t="s">
        <v>7</v>
      </c>
      <c r="E14" s="21">
        <v>1</v>
      </c>
      <c r="F14" s="22">
        <v>46.62</v>
      </c>
      <c r="G14" s="23">
        <v>46.62</v>
      </c>
      <c r="I14" s="32">
        <f t="shared" si="0"/>
        <v>0</v>
      </c>
    </row>
    <row r="15" spans="1:9" x14ac:dyDescent="0.25">
      <c r="A15" s="24"/>
      <c r="B15" s="6" t="s">
        <v>22</v>
      </c>
      <c r="C15" s="6"/>
      <c r="D15" s="7" t="s">
        <v>41</v>
      </c>
      <c r="E15" s="8">
        <v>8</v>
      </c>
      <c r="F15" s="25">
        <f>ROUND(E15*F14, 0)</f>
        <v>373</v>
      </c>
      <c r="G15" s="16">
        <v>372.96</v>
      </c>
      <c r="I15" s="32">
        <f t="shared" si="0"/>
        <v>4.0000000000020464E-2</v>
      </c>
    </row>
    <row r="16" spans="1:9" x14ac:dyDescent="0.25">
      <c r="A16" s="24"/>
      <c r="B16" s="6" t="s">
        <v>23</v>
      </c>
      <c r="C16" s="6"/>
      <c r="D16" s="7" t="s">
        <v>6</v>
      </c>
      <c r="E16" s="8">
        <v>1.8</v>
      </c>
      <c r="F16" s="25">
        <f>E16*F14*40</f>
        <v>3356.64</v>
      </c>
      <c r="G16" s="16">
        <v>3356.64</v>
      </c>
      <c r="H16">
        <f>G16/G14/E16</f>
        <v>40</v>
      </c>
      <c r="I16" s="32">
        <f t="shared" si="0"/>
        <v>0</v>
      </c>
    </row>
    <row r="17" spans="1:9" x14ac:dyDescent="0.25">
      <c r="A17" s="10"/>
      <c r="B17" s="9" t="s">
        <v>24</v>
      </c>
      <c r="C17" s="9"/>
      <c r="D17" s="10" t="s">
        <v>7</v>
      </c>
      <c r="E17" s="8">
        <v>1.1000000000000001</v>
      </c>
      <c r="F17" s="25">
        <f>E17*F14</f>
        <v>51.282000000000004</v>
      </c>
      <c r="G17" s="16">
        <v>51.281999999999996</v>
      </c>
      <c r="I17" s="32">
        <f t="shared" si="0"/>
        <v>0</v>
      </c>
    </row>
    <row r="18" spans="1:9" x14ac:dyDescent="0.25">
      <c r="A18" s="10"/>
      <c r="B18" s="9" t="s">
        <v>12</v>
      </c>
      <c r="C18" s="9"/>
      <c r="D18" s="10" t="s">
        <v>5</v>
      </c>
      <c r="E18" s="8">
        <v>1</v>
      </c>
      <c r="F18" s="25">
        <f>E18*F14</f>
        <v>46.62</v>
      </c>
      <c r="G18" s="16">
        <v>46.62</v>
      </c>
      <c r="I18" s="32">
        <f t="shared" si="0"/>
        <v>0</v>
      </c>
    </row>
    <row r="19" spans="1:9" ht="26.25" x14ac:dyDescent="0.25">
      <c r="A19" s="29" t="s">
        <v>34</v>
      </c>
      <c r="B19" s="28" t="s">
        <v>25</v>
      </c>
      <c r="C19" s="28" t="s">
        <v>42</v>
      </c>
      <c r="D19" s="29" t="s">
        <v>7</v>
      </c>
      <c r="E19" s="21">
        <v>1</v>
      </c>
      <c r="F19" s="22">
        <v>122.25</v>
      </c>
      <c r="G19" s="23">
        <v>122.25</v>
      </c>
      <c r="I19" s="32">
        <f t="shared" si="0"/>
        <v>0</v>
      </c>
    </row>
    <row r="20" spans="1:9" x14ac:dyDescent="0.25">
      <c r="A20" s="10"/>
      <c r="B20" s="9" t="s">
        <v>22</v>
      </c>
      <c r="C20" s="9"/>
      <c r="D20" s="10" t="s">
        <v>41</v>
      </c>
      <c r="E20" s="8">
        <v>8</v>
      </c>
      <c r="F20" s="25">
        <f>ROUND(E20*F19, 0)</f>
        <v>978</v>
      </c>
      <c r="G20" s="16">
        <v>978</v>
      </c>
      <c r="I20" s="32">
        <f t="shared" si="0"/>
        <v>0</v>
      </c>
    </row>
    <row r="21" spans="1:9" x14ac:dyDescent="0.25">
      <c r="A21" s="10"/>
      <c r="B21" s="30" t="s">
        <v>23</v>
      </c>
      <c r="C21" s="30"/>
      <c r="D21" s="10" t="s">
        <v>6</v>
      </c>
      <c r="E21" s="8">
        <v>1.8</v>
      </c>
      <c r="F21" s="25">
        <f>E21*F19*60</f>
        <v>13203</v>
      </c>
      <c r="G21" s="16">
        <v>13203</v>
      </c>
      <c r="H21">
        <f>G21/G19/E21</f>
        <v>60</v>
      </c>
      <c r="I21" s="32">
        <f t="shared" si="0"/>
        <v>0</v>
      </c>
    </row>
    <row r="22" spans="1:9" x14ac:dyDescent="0.25">
      <c r="A22" s="10"/>
      <c r="B22" s="9" t="s">
        <v>24</v>
      </c>
      <c r="C22" s="9"/>
      <c r="D22" s="10" t="s">
        <v>7</v>
      </c>
      <c r="E22" s="8">
        <v>1.1000000000000001</v>
      </c>
      <c r="F22" s="25">
        <f>E22*F19</f>
        <v>134.47500000000002</v>
      </c>
      <c r="G22" s="16">
        <v>134.47499999999999</v>
      </c>
      <c r="I22" s="32">
        <f t="shared" si="0"/>
        <v>0</v>
      </c>
    </row>
    <row r="23" spans="1:9" x14ac:dyDescent="0.25">
      <c r="A23" s="10"/>
      <c r="B23" s="9" t="s">
        <v>12</v>
      </c>
      <c r="C23" s="9"/>
      <c r="D23" s="10" t="s">
        <v>5</v>
      </c>
      <c r="E23" s="8">
        <v>1</v>
      </c>
      <c r="F23" s="25">
        <f>E23*F19</f>
        <v>122.25</v>
      </c>
      <c r="G23" s="16">
        <v>122.25</v>
      </c>
      <c r="I23" s="32">
        <f t="shared" si="0"/>
        <v>0</v>
      </c>
    </row>
    <row r="24" spans="1:9" ht="26.25" x14ac:dyDescent="0.25">
      <c r="A24" s="29" t="s">
        <v>35</v>
      </c>
      <c r="B24" s="28" t="s">
        <v>26</v>
      </c>
      <c r="C24" s="28" t="s">
        <v>43</v>
      </c>
      <c r="D24" s="29" t="s">
        <v>7</v>
      </c>
      <c r="E24" s="21">
        <v>1</v>
      </c>
      <c r="F24" s="22">
        <v>5553.92</v>
      </c>
      <c r="G24" s="23">
        <v>5553.92</v>
      </c>
      <c r="I24" s="32">
        <f t="shared" si="0"/>
        <v>0</v>
      </c>
    </row>
    <row r="25" spans="1:9" x14ac:dyDescent="0.25">
      <c r="A25" s="10"/>
      <c r="B25" s="9" t="s">
        <v>22</v>
      </c>
      <c r="C25" s="9"/>
      <c r="D25" s="10" t="s">
        <v>41</v>
      </c>
      <c r="E25" s="8">
        <v>8</v>
      </c>
      <c r="F25" s="25">
        <f>ROUND(E25*F24, 0)</f>
        <v>44431</v>
      </c>
      <c r="G25" s="16">
        <v>44431.360000000001</v>
      </c>
      <c r="I25" s="32">
        <f t="shared" si="0"/>
        <v>-0.36000000000058208</v>
      </c>
    </row>
    <row r="26" spans="1:9" x14ac:dyDescent="0.25">
      <c r="A26" s="10"/>
      <c r="B26" s="30" t="s">
        <v>23</v>
      </c>
      <c r="C26" s="30"/>
      <c r="D26" s="10" t="s">
        <v>6</v>
      </c>
      <c r="E26" s="8">
        <v>1.8</v>
      </c>
      <c r="F26" s="25">
        <f>E26*F24*65</f>
        <v>649808.64000000001</v>
      </c>
      <c r="G26" s="16">
        <v>649808.64000000001</v>
      </c>
      <c r="H26">
        <f>G26/G24/E26</f>
        <v>65</v>
      </c>
      <c r="I26" s="32">
        <f t="shared" si="0"/>
        <v>0</v>
      </c>
    </row>
    <row r="27" spans="1:9" x14ac:dyDescent="0.25">
      <c r="A27" s="10"/>
      <c r="B27" s="30" t="s">
        <v>24</v>
      </c>
      <c r="C27" s="30"/>
      <c r="D27" s="10" t="s">
        <v>7</v>
      </c>
      <c r="E27" s="8">
        <v>1.1000000000000001</v>
      </c>
      <c r="F27" s="25">
        <f>E27*F24</f>
        <v>6109.3120000000008</v>
      </c>
      <c r="G27" s="16">
        <v>6109.3119999999999</v>
      </c>
      <c r="I27" s="32">
        <f t="shared" si="0"/>
        <v>0</v>
      </c>
    </row>
    <row r="28" spans="1:9" x14ac:dyDescent="0.25">
      <c r="A28" s="10"/>
      <c r="B28" s="30" t="s">
        <v>12</v>
      </c>
      <c r="C28" s="30"/>
      <c r="D28" s="10" t="s">
        <v>5</v>
      </c>
      <c r="E28" s="8">
        <v>1</v>
      </c>
      <c r="F28" s="25">
        <f>E28*F24</f>
        <v>5553.92</v>
      </c>
      <c r="G28" s="16">
        <v>5553.92</v>
      </c>
      <c r="I28" s="32">
        <f t="shared" si="0"/>
        <v>0</v>
      </c>
    </row>
    <row r="29" spans="1:9" ht="26.25" x14ac:dyDescent="0.25">
      <c r="A29" s="29" t="s">
        <v>35</v>
      </c>
      <c r="B29" s="31" t="s">
        <v>26</v>
      </c>
      <c r="C29" s="31" t="s">
        <v>44</v>
      </c>
      <c r="D29" s="29" t="s">
        <v>7</v>
      </c>
      <c r="E29" s="21">
        <v>1</v>
      </c>
      <c r="F29" s="22">
        <v>468.22</v>
      </c>
      <c r="G29" s="23">
        <v>468.22</v>
      </c>
      <c r="I29" s="32">
        <f t="shared" si="0"/>
        <v>0</v>
      </c>
    </row>
    <row r="30" spans="1:9" x14ac:dyDescent="0.25">
      <c r="A30" s="10"/>
      <c r="B30" s="30" t="s">
        <v>8</v>
      </c>
      <c r="C30" s="30"/>
      <c r="D30" s="10" t="s">
        <v>6</v>
      </c>
      <c r="E30" s="8">
        <v>0.255</v>
      </c>
      <c r="F30" s="25">
        <f>E30*F29</f>
        <v>119.3961</v>
      </c>
      <c r="G30" s="16">
        <v>119.396</v>
      </c>
      <c r="I30" s="32">
        <f t="shared" si="0"/>
        <v>1.0000000000331966E-4</v>
      </c>
    </row>
    <row r="31" spans="1:9" x14ac:dyDescent="0.25">
      <c r="A31" s="10"/>
      <c r="B31" s="30" t="s">
        <v>12</v>
      </c>
      <c r="C31" s="30"/>
      <c r="D31" s="10" t="s">
        <v>5</v>
      </c>
      <c r="E31" s="8">
        <v>1</v>
      </c>
      <c r="F31" s="25">
        <f>E31*F29</f>
        <v>468.22</v>
      </c>
      <c r="G31" s="16">
        <v>468.22</v>
      </c>
      <c r="I31" s="32">
        <f t="shared" si="0"/>
        <v>0</v>
      </c>
    </row>
    <row r="32" spans="1:9" x14ac:dyDescent="0.25">
      <c r="A32" s="10"/>
      <c r="B32" s="30" t="s">
        <v>24</v>
      </c>
      <c r="C32" s="30"/>
      <c r="D32" s="10" t="s">
        <v>7</v>
      </c>
      <c r="E32" s="8">
        <v>1.1000000000000001</v>
      </c>
      <c r="F32" s="25">
        <f>E32*F29</f>
        <v>515.04200000000003</v>
      </c>
      <c r="G32" s="16">
        <v>515.04200000000003</v>
      </c>
      <c r="I32" s="32">
        <f t="shared" si="0"/>
        <v>0</v>
      </c>
    </row>
    <row r="33" spans="1:9" x14ac:dyDescent="0.25">
      <c r="A33" s="10"/>
      <c r="B33" s="30" t="s">
        <v>23</v>
      </c>
      <c r="C33" s="30"/>
      <c r="D33" s="10" t="s">
        <v>6</v>
      </c>
      <c r="E33" s="8">
        <v>1.8</v>
      </c>
      <c r="F33" s="25">
        <f>E33*F29*68</f>
        <v>57310.128000000004</v>
      </c>
      <c r="G33" s="16">
        <v>57310.127999999997</v>
      </c>
      <c r="H33">
        <f>G33/G29/E33</f>
        <v>68</v>
      </c>
      <c r="I33" s="32">
        <f t="shared" si="0"/>
        <v>0</v>
      </c>
    </row>
    <row r="34" spans="1:9" x14ac:dyDescent="0.25">
      <c r="A34" s="10"/>
      <c r="B34" s="30" t="s">
        <v>22</v>
      </c>
      <c r="C34" s="30"/>
      <c r="D34" s="10" t="s">
        <v>41</v>
      </c>
      <c r="E34" s="8">
        <v>8</v>
      </c>
      <c r="F34" s="25">
        <f>ROUND(E34*F29, 0)</f>
        <v>3746</v>
      </c>
      <c r="G34" s="16">
        <v>3745.76</v>
      </c>
      <c r="I34" s="32">
        <f t="shared" si="0"/>
        <v>0.23999999999978172</v>
      </c>
    </row>
    <row r="35" spans="1:9" ht="26.25" x14ac:dyDescent="0.25">
      <c r="A35" s="29" t="s">
        <v>35</v>
      </c>
      <c r="B35" s="31" t="s">
        <v>26</v>
      </c>
      <c r="C35" s="31" t="s">
        <v>45</v>
      </c>
      <c r="D35" s="29" t="s">
        <v>7</v>
      </c>
      <c r="E35" s="21">
        <v>1</v>
      </c>
      <c r="F35" s="22">
        <v>19.420000000000002</v>
      </c>
      <c r="G35" s="23">
        <v>19.420000000000002</v>
      </c>
      <c r="I35" s="32">
        <f t="shared" si="0"/>
        <v>0</v>
      </c>
    </row>
    <row r="36" spans="1:9" x14ac:dyDescent="0.25">
      <c r="A36" s="10"/>
      <c r="B36" s="30" t="s">
        <v>22</v>
      </c>
      <c r="C36" s="30"/>
      <c r="D36" s="10" t="s">
        <v>41</v>
      </c>
      <c r="E36" s="8">
        <v>8</v>
      </c>
      <c r="F36" s="25">
        <f>ROUND(E36*F35, 0)</f>
        <v>155</v>
      </c>
      <c r="G36" s="16">
        <v>155.36000000000001</v>
      </c>
      <c r="I36" s="32">
        <f t="shared" si="0"/>
        <v>-0.36000000000001364</v>
      </c>
    </row>
    <row r="37" spans="1:9" x14ac:dyDescent="0.25">
      <c r="A37" s="10"/>
      <c r="B37" s="30" t="s">
        <v>27</v>
      </c>
      <c r="C37" s="30"/>
      <c r="D37" s="10" t="s">
        <v>6</v>
      </c>
      <c r="E37" s="8">
        <v>1.8</v>
      </c>
      <c r="F37" s="25">
        <f>E37*F35*70</f>
        <v>2446.92</v>
      </c>
      <c r="G37" s="16">
        <v>2446.92</v>
      </c>
      <c r="H37">
        <f>G37/G35/E37</f>
        <v>69.999999999999986</v>
      </c>
      <c r="I37" s="32">
        <f t="shared" si="0"/>
        <v>0</v>
      </c>
    </row>
    <row r="38" spans="1:9" x14ac:dyDescent="0.25">
      <c r="A38" s="10"/>
      <c r="B38" s="30" t="s">
        <v>28</v>
      </c>
      <c r="C38" s="30"/>
      <c r="D38" s="10" t="s">
        <v>7</v>
      </c>
      <c r="E38" s="8">
        <v>1.1000000000000001</v>
      </c>
      <c r="F38" s="25">
        <f>E38*F35</f>
        <v>21.362000000000002</v>
      </c>
      <c r="G38" s="16">
        <v>21.361999999999998</v>
      </c>
      <c r="I38" s="32">
        <f t="shared" si="0"/>
        <v>0</v>
      </c>
    </row>
    <row r="39" spans="1:9" x14ac:dyDescent="0.25">
      <c r="A39" s="10"/>
      <c r="B39" s="30" t="s">
        <v>12</v>
      </c>
      <c r="C39" s="30"/>
      <c r="D39" s="10" t="s">
        <v>5</v>
      </c>
      <c r="E39" s="8">
        <v>1</v>
      </c>
      <c r="F39" s="25">
        <f>E39*F35</f>
        <v>19.420000000000002</v>
      </c>
      <c r="G39" s="16">
        <v>19.420000000000002</v>
      </c>
      <c r="I39" s="32">
        <f t="shared" si="0"/>
        <v>0</v>
      </c>
    </row>
    <row r="40" spans="1:9" ht="26.25" x14ac:dyDescent="0.25">
      <c r="A40" s="29" t="s">
        <v>35</v>
      </c>
      <c r="B40" s="31" t="s">
        <v>26</v>
      </c>
      <c r="C40" s="31" t="s">
        <v>46</v>
      </c>
      <c r="D40" s="29" t="s">
        <v>7</v>
      </c>
      <c r="E40" s="21">
        <v>1</v>
      </c>
      <c r="F40" s="22">
        <v>101.29</v>
      </c>
      <c r="G40" s="23">
        <v>101.29</v>
      </c>
      <c r="I40" s="32">
        <f t="shared" si="0"/>
        <v>0</v>
      </c>
    </row>
    <row r="41" spans="1:9" x14ac:dyDescent="0.25">
      <c r="A41" s="10"/>
      <c r="B41" s="30" t="s">
        <v>12</v>
      </c>
      <c r="C41" s="30"/>
      <c r="D41" s="10" t="s">
        <v>5</v>
      </c>
      <c r="E41" s="8">
        <v>1</v>
      </c>
      <c r="F41" s="25">
        <f>E41*F40</f>
        <v>101.29</v>
      </c>
      <c r="G41" s="16">
        <v>101.29</v>
      </c>
      <c r="I41" s="32">
        <f t="shared" si="0"/>
        <v>0</v>
      </c>
    </row>
    <row r="42" spans="1:9" x14ac:dyDescent="0.25">
      <c r="A42" s="10"/>
      <c r="B42" s="30" t="s">
        <v>28</v>
      </c>
      <c r="C42" s="30"/>
      <c r="D42" s="10" t="s">
        <v>7</v>
      </c>
      <c r="E42" s="8">
        <v>1.1000000000000001</v>
      </c>
      <c r="F42" s="25">
        <f>E42*F40</f>
        <v>111.41900000000001</v>
      </c>
      <c r="G42" s="16">
        <v>111.419</v>
      </c>
      <c r="I42" s="32">
        <f t="shared" si="0"/>
        <v>0</v>
      </c>
    </row>
    <row r="43" spans="1:9" x14ac:dyDescent="0.25">
      <c r="A43" s="10"/>
      <c r="B43" s="30" t="s">
        <v>27</v>
      </c>
      <c r="C43" s="30"/>
      <c r="D43" s="10" t="s">
        <v>6</v>
      </c>
      <c r="E43" s="8">
        <v>1.8</v>
      </c>
      <c r="F43" s="25">
        <f>E43*F40*80</f>
        <v>14585.76</v>
      </c>
      <c r="G43" s="16">
        <v>14585.76</v>
      </c>
      <c r="I43" s="32">
        <f t="shared" si="0"/>
        <v>0</v>
      </c>
    </row>
    <row r="44" spans="1:9" x14ac:dyDescent="0.25">
      <c r="A44" s="10"/>
      <c r="B44" s="30" t="s">
        <v>22</v>
      </c>
      <c r="C44" s="30"/>
      <c r="D44" s="10" t="s">
        <v>41</v>
      </c>
      <c r="E44" s="8">
        <v>8</v>
      </c>
      <c r="F44" s="25">
        <f>ROUND(E44*F40, 0)</f>
        <v>810</v>
      </c>
      <c r="G44" s="16">
        <v>810.32</v>
      </c>
      <c r="I44" s="32">
        <f>F44-G44</f>
        <v>-0.32000000000005002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abSelected="1" topLeftCell="A26" workbookViewId="0">
      <selection activeCell="B45" sqref="B4:F45"/>
    </sheetView>
  </sheetViews>
  <sheetFormatPr defaultRowHeight="15" x14ac:dyDescent="0.25"/>
  <cols>
    <col min="1" max="1" width="7" style="11" customWidth="1"/>
    <col min="2" max="2" width="11.140625" style="11" customWidth="1"/>
    <col min="3" max="6" width="8.7109375" style="11" customWidth="1"/>
    <col min="7" max="7" width="8.7109375" style="38" customWidth="1"/>
  </cols>
  <sheetData>
    <row r="1" spans="1:10" x14ac:dyDescent="0.25">
      <c r="A1" s="34" t="s">
        <v>48</v>
      </c>
      <c r="B1" s="34"/>
      <c r="C1" s="34"/>
      <c r="D1" s="34"/>
      <c r="E1" s="34"/>
      <c r="F1" s="34"/>
      <c r="G1" s="34"/>
    </row>
    <row r="2" spans="1:10" x14ac:dyDescent="0.25">
      <c r="A2" s="10"/>
      <c r="B2" s="35" t="s">
        <v>93</v>
      </c>
      <c r="C2" s="49">
        <v>6.1</v>
      </c>
      <c r="D2" s="43">
        <v>7.2</v>
      </c>
      <c r="E2" s="40">
        <v>8.3000000000000007</v>
      </c>
      <c r="F2" s="46">
        <v>9.1999999999999993</v>
      </c>
      <c r="G2" s="36" t="s">
        <v>49</v>
      </c>
      <c r="H2" s="39">
        <v>4.4000000000000004</v>
      </c>
      <c r="I2" s="39">
        <v>11</v>
      </c>
      <c r="J2" s="39">
        <v>11.1</v>
      </c>
    </row>
    <row r="3" spans="1:10" x14ac:dyDescent="0.25">
      <c r="A3" s="10" t="s">
        <v>0</v>
      </c>
      <c r="B3" s="37" t="s">
        <v>50</v>
      </c>
      <c r="C3" s="50" t="s">
        <v>51</v>
      </c>
      <c r="D3" s="44" t="s">
        <v>51</v>
      </c>
      <c r="E3" s="41" t="s">
        <v>51</v>
      </c>
      <c r="F3" s="47" t="s">
        <v>51</v>
      </c>
      <c r="G3" s="25" t="s">
        <v>51</v>
      </c>
    </row>
    <row r="4" spans="1:10" x14ac:dyDescent="0.25">
      <c r="A4" s="10">
        <v>1</v>
      </c>
      <c r="B4" s="35"/>
      <c r="C4" s="51"/>
      <c r="D4" s="45"/>
      <c r="E4" s="42"/>
      <c r="F4" s="48"/>
      <c r="G4" s="25">
        <f>SUM(C4:F4)</f>
        <v>0</v>
      </c>
    </row>
    <row r="5" spans="1:10" x14ac:dyDescent="0.25">
      <c r="A5" s="10">
        <v>2</v>
      </c>
      <c r="B5" s="35"/>
      <c r="C5" s="51"/>
      <c r="D5" s="45"/>
      <c r="E5" s="42"/>
      <c r="F5" s="48"/>
      <c r="G5" s="25">
        <f t="shared" ref="G5:G45" si="0">SUM(C5:F5)</f>
        <v>0</v>
      </c>
    </row>
    <row r="6" spans="1:10" x14ac:dyDescent="0.25">
      <c r="A6" s="10">
        <v>3</v>
      </c>
      <c r="B6" s="35"/>
      <c r="C6" s="51"/>
      <c r="D6" s="45"/>
      <c r="E6" s="42"/>
      <c r="F6" s="48"/>
      <c r="G6" s="25">
        <f t="shared" si="0"/>
        <v>0</v>
      </c>
    </row>
    <row r="7" spans="1:10" x14ac:dyDescent="0.25">
      <c r="A7" s="10">
        <v>4</v>
      </c>
      <c r="B7" s="35"/>
      <c r="C7" s="51"/>
      <c r="D7" s="45"/>
      <c r="E7" s="42"/>
      <c r="F7" s="48"/>
      <c r="G7" s="25">
        <f t="shared" si="0"/>
        <v>0</v>
      </c>
    </row>
    <row r="8" spans="1:10" x14ac:dyDescent="0.25">
      <c r="A8" s="10">
        <v>5</v>
      </c>
      <c r="B8" s="35"/>
      <c r="C8" s="51"/>
      <c r="D8" s="45"/>
      <c r="E8" s="42"/>
      <c r="F8" s="48"/>
      <c r="G8" s="25">
        <f t="shared" si="0"/>
        <v>0</v>
      </c>
    </row>
    <row r="9" spans="1:10" x14ac:dyDescent="0.25">
      <c r="A9" s="10">
        <v>6</v>
      </c>
      <c r="B9" s="35"/>
      <c r="C9" s="51"/>
      <c r="D9" s="45"/>
      <c r="E9" s="42"/>
      <c r="F9" s="48"/>
      <c r="G9" s="25">
        <f t="shared" si="0"/>
        <v>0</v>
      </c>
    </row>
    <row r="10" spans="1:10" x14ac:dyDescent="0.25">
      <c r="A10" s="10">
        <v>7</v>
      </c>
      <c r="B10" s="35"/>
      <c r="C10" s="51"/>
      <c r="D10" s="45"/>
      <c r="E10" s="42"/>
      <c r="F10" s="48"/>
      <c r="G10" s="25">
        <f t="shared" si="0"/>
        <v>0</v>
      </c>
    </row>
    <row r="11" spans="1:10" x14ac:dyDescent="0.25">
      <c r="A11" s="10">
        <v>8</v>
      </c>
      <c r="B11" s="35"/>
      <c r="C11" s="51"/>
      <c r="D11" s="45"/>
      <c r="E11" s="42"/>
      <c r="F11" s="48"/>
      <c r="G11" s="25">
        <f t="shared" si="0"/>
        <v>0</v>
      </c>
    </row>
    <row r="12" spans="1:10" x14ac:dyDescent="0.25">
      <c r="A12" s="10">
        <v>9</v>
      </c>
      <c r="B12" s="35"/>
      <c r="C12" s="51"/>
      <c r="D12" s="45"/>
      <c r="E12" s="42"/>
      <c r="F12" s="48"/>
      <c r="G12" s="25">
        <f t="shared" si="0"/>
        <v>0</v>
      </c>
    </row>
    <row r="13" spans="1:10" x14ac:dyDescent="0.25">
      <c r="A13" s="10">
        <v>10</v>
      </c>
      <c r="B13" s="35"/>
      <c r="C13" s="51"/>
      <c r="D13" s="45"/>
      <c r="E13" s="42"/>
      <c r="F13" s="48"/>
      <c r="G13" s="25">
        <f t="shared" si="0"/>
        <v>0</v>
      </c>
    </row>
    <row r="14" spans="1:10" x14ac:dyDescent="0.25">
      <c r="A14" s="10">
        <v>11</v>
      </c>
      <c r="B14" s="35"/>
      <c r="C14" s="51"/>
      <c r="D14" s="45"/>
      <c r="E14" s="42"/>
      <c r="F14" s="48"/>
      <c r="G14" s="25">
        <f t="shared" si="0"/>
        <v>0</v>
      </c>
    </row>
    <row r="15" spans="1:10" x14ac:dyDescent="0.25">
      <c r="A15" s="10">
        <v>12</v>
      </c>
      <c r="B15" s="35"/>
      <c r="C15" s="51"/>
      <c r="D15" s="45"/>
      <c r="E15" s="42"/>
      <c r="F15" s="48"/>
      <c r="G15" s="25">
        <f t="shared" si="0"/>
        <v>0</v>
      </c>
    </row>
    <row r="16" spans="1:10" x14ac:dyDescent="0.25">
      <c r="A16" s="10">
        <v>13</v>
      </c>
      <c r="B16" s="35"/>
      <c r="C16" s="51"/>
      <c r="D16" s="45"/>
      <c r="E16" s="42"/>
      <c r="F16" s="48"/>
      <c r="G16" s="25">
        <f t="shared" si="0"/>
        <v>0</v>
      </c>
    </row>
    <row r="17" spans="1:7" x14ac:dyDescent="0.25">
      <c r="A17" s="10">
        <v>14</v>
      </c>
      <c r="B17" s="35"/>
      <c r="C17" s="51"/>
      <c r="D17" s="45"/>
      <c r="E17" s="42"/>
      <c r="F17" s="48"/>
      <c r="G17" s="25">
        <f t="shared" si="0"/>
        <v>0</v>
      </c>
    </row>
    <row r="18" spans="1:7" x14ac:dyDescent="0.25">
      <c r="A18" s="10">
        <v>15</v>
      </c>
      <c r="B18" s="35"/>
      <c r="C18" s="51"/>
      <c r="D18" s="45"/>
      <c r="E18" s="42"/>
      <c r="F18" s="48"/>
      <c r="G18" s="25">
        <f t="shared" si="0"/>
        <v>0</v>
      </c>
    </row>
    <row r="19" spans="1:7" x14ac:dyDescent="0.25">
      <c r="A19" s="10">
        <v>16</v>
      </c>
      <c r="B19" s="35"/>
      <c r="C19" s="51"/>
      <c r="D19" s="45"/>
      <c r="E19" s="42"/>
      <c r="F19" s="48"/>
      <c r="G19" s="25">
        <f t="shared" si="0"/>
        <v>0</v>
      </c>
    </row>
    <row r="20" spans="1:7" x14ac:dyDescent="0.25">
      <c r="A20" s="10">
        <v>17</v>
      </c>
      <c r="B20" s="35"/>
      <c r="C20" s="51"/>
      <c r="D20" s="45"/>
      <c r="E20" s="42"/>
      <c r="F20" s="48"/>
      <c r="G20" s="25">
        <f t="shared" si="0"/>
        <v>0</v>
      </c>
    </row>
    <row r="21" spans="1:7" x14ac:dyDescent="0.25">
      <c r="A21" s="10">
        <v>18</v>
      </c>
      <c r="B21" s="35"/>
      <c r="C21" s="51"/>
      <c r="D21" s="45"/>
      <c r="E21" s="42"/>
      <c r="F21" s="48"/>
      <c r="G21" s="25">
        <f t="shared" si="0"/>
        <v>0</v>
      </c>
    </row>
    <row r="22" spans="1:7" x14ac:dyDescent="0.25">
      <c r="A22" s="10">
        <v>19</v>
      </c>
      <c r="B22" s="35"/>
      <c r="C22" s="51"/>
      <c r="D22" s="45"/>
      <c r="E22" s="42"/>
      <c r="F22" s="48"/>
      <c r="G22" s="25">
        <f t="shared" si="0"/>
        <v>0</v>
      </c>
    </row>
    <row r="23" spans="1:7" x14ac:dyDescent="0.25">
      <c r="A23" s="10">
        <v>20</v>
      </c>
      <c r="B23" s="10"/>
      <c r="C23" s="51"/>
      <c r="D23" s="45"/>
      <c r="E23" s="42"/>
      <c r="F23" s="48"/>
      <c r="G23" s="25">
        <f t="shared" si="0"/>
        <v>0</v>
      </c>
    </row>
    <row r="24" spans="1:7" x14ac:dyDescent="0.25">
      <c r="A24" s="10">
        <v>21</v>
      </c>
      <c r="B24" s="10"/>
      <c r="C24" s="51"/>
      <c r="D24" s="45"/>
      <c r="E24" s="42"/>
      <c r="F24" s="48"/>
      <c r="G24" s="25">
        <f t="shared" si="0"/>
        <v>0</v>
      </c>
    </row>
    <row r="25" spans="1:7" x14ac:dyDescent="0.25">
      <c r="A25" s="10">
        <v>22</v>
      </c>
      <c r="B25" s="35"/>
      <c r="C25" s="51"/>
      <c r="D25" s="45"/>
      <c r="E25" s="42"/>
      <c r="F25" s="48"/>
      <c r="G25" s="25">
        <f t="shared" si="0"/>
        <v>0</v>
      </c>
    </row>
    <row r="26" spans="1:7" x14ac:dyDescent="0.25">
      <c r="A26" s="10">
        <v>23</v>
      </c>
      <c r="B26" s="35"/>
      <c r="C26" s="51"/>
      <c r="D26" s="45"/>
      <c r="E26" s="42"/>
      <c r="F26" s="48"/>
      <c r="G26" s="25">
        <f t="shared" si="0"/>
        <v>0</v>
      </c>
    </row>
    <row r="27" spans="1:7" x14ac:dyDescent="0.25">
      <c r="A27" s="10">
        <v>24</v>
      </c>
      <c r="B27" s="35"/>
      <c r="C27" s="51"/>
      <c r="D27" s="45"/>
      <c r="E27" s="42"/>
      <c r="F27" s="48"/>
      <c r="G27" s="25">
        <f t="shared" si="0"/>
        <v>0</v>
      </c>
    </row>
    <row r="28" spans="1:7" x14ac:dyDescent="0.25">
      <c r="A28" s="10">
        <v>25</v>
      </c>
      <c r="B28" s="35"/>
      <c r="C28" s="51"/>
      <c r="D28" s="45"/>
      <c r="E28" s="42"/>
      <c r="F28" s="48"/>
      <c r="G28" s="25">
        <f t="shared" si="0"/>
        <v>0</v>
      </c>
    </row>
    <row r="29" spans="1:7" x14ac:dyDescent="0.25">
      <c r="A29" s="10">
        <v>26</v>
      </c>
      <c r="B29" s="35"/>
      <c r="C29" s="51"/>
      <c r="D29" s="45"/>
      <c r="E29" s="42"/>
      <c r="F29" s="48"/>
      <c r="G29" s="25">
        <f t="shared" si="0"/>
        <v>0</v>
      </c>
    </row>
    <row r="30" spans="1:7" x14ac:dyDescent="0.25">
      <c r="A30" s="10">
        <v>27</v>
      </c>
      <c r="B30" s="35"/>
      <c r="C30" s="51"/>
      <c r="D30" s="45"/>
      <c r="E30" s="42"/>
      <c r="F30" s="48"/>
      <c r="G30" s="25">
        <f t="shared" si="0"/>
        <v>0</v>
      </c>
    </row>
    <row r="31" spans="1:7" x14ac:dyDescent="0.25">
      <c r="A31" s="10">
        <v>28</v>
      </c>
      <c r="B31" s="35"/>
      <c r="C31" s="51"/>
      <c r="D31" s="45"/>
      <c r="E31" s="42"/>
      <c r="F31" s="48"/>
      <c r="G31" s="25">
        <f t="shared" si="0"/>
        <v>0</v>
      </c>
    </row>
    <row r="32" spans="1:7" x14ac:dyDescent="0.25">
      <c r="A32" s="10">
        <v>29</v>
      </c>
      <c r="B32" s="35"/>
      <c r="C32" s="51"/>
      <c r="D32" s="45"/>
      <c r="E32" s="42"/>
      <c r="F32" s="48"/>
      <c r="G32" s="25">
        <f t="shared" si="0"/>
        <v>0</v>
      </c>
    </row>
    <row r="33" spans="1:9" x14ac:dyDescent="0.25">
      <c r="A33" s="10">
        <v>30</v>
      </c>
      <c r="B33" s="35"/>
      <c r="C33" s="51"/>
      <c r="D33" s="45"/>
      <c r="E33" s="42"/>
      <c r="F33" s="48"/>
      <c r="G33" s="25">
        <f t="shared" si="0"/>
        <v>0</v>
      </c>
    </row>
    <row r="34" spans="1:9" x14ac:dyDescent="0.25">
      <c r="A34" s="10">
        <v>31</v>
      </c>
      <c r="B34" s="35"/>
      <c r="C34" s="51"/>
      <c r="D34" s="45"/>
      <c r="E34" s="42"/>
      <c r="F34" s="48"/>
      <c r="G34" s="25">
        <f t="shared" si="0"/>
        <v>0</v>
      </c>
    </row>
    <row r="35" spans="1:9" x14ac:dyDescent="0.25">
      <c r="A35" s="10">
        <v>32</v>
      </c>
      <c r="B35" s="35"/>
      <c r="C35" s="51"/>
      <c r="D35" s="45"/>
      <c r="E35" s="42"/>
      <c r="F35" s="48"/>
      <c r="G35" s="25">
        <f t="shared" si="0"/>
        <v>0</v>
      </c>
    </row>
    <row r="36" spans="1:9" x14ac:dyDescent="0.25">
      <c r="A36" s="10">
        <v>33</v>
      </c>
      <c r="B36" s="35"/>
      <c r="C36" s="51"/>
      <c r="D36" s="45"/>
      <c r="E36" s="42"/>
      <c r="F36" s="48"/>
      <c r="G36" s="25">
        <f t="shared" si="0"/>
        <v>0</v>
      </c>
    </row>
    <row r="37" spans="1:9" x14ac:dyDescent="0.25">
      <c r="A37" s="10">
        <v>34</v>
      </c>
      <c r="B37" s="35"/>
      <c r="C37" s="51"/>
      <c r="D37" s="45"/>
      <c r="E37" s="42"/>
      <c r="F37" s="48"/>
      <c r="G37" s="25">
        <f t="shared" si="0"/>
        <v>0</v>
      </c>
    </row>
    <row r="38" spans="1:9" x14ac:dyDescent="0.25">
      <c r="A38" s="10">
        <v>35</v>
      </c>
      <c r="B38" s="35"/>
      <c r="C38" s="51"/>
      <c r="D38" s="45"/>
      <c r="E38" s="42"/>
      <c r="F38" s="48"/>
      <c r="G38" s="25">
        <f t="shared" si="0"/>
        <v>0</v>
      </c>
    </row>
    <row r="39" spans="1:9" x14ac:dyDescent="0.25">
      <c r="A39" s="10">
        <v>36</v>
      </c>
      <c r="B39" s="35"/>
      <c r="C39" s="51"/>
      <c r="D39" s="45"/>
      <c r="E39" s="42"/>
      <c r="F39" s="48"/>
      <c r="G39" s="25">
        <f t="shared" si="0"/>
        <v>0</v>
      </c>
    </row>
    <row r="40" spans="1:9" x14ac:dyDescent="0.25">
      <c r="A40" s="10">
        <v>37</v>
      </c>
      <c r="B40" s="35"/>
      <c r="C40" s="51"/>
      <c r="D40" s="45"/>
      <c r="E40" s="42"/>
      <c r="F40" s="48"/>
      <c r="G40" s="25">
        <f t="shared" si="0"/>
        <v>0</v>
      </c>
    </row>
    <row r="41" spans="1:9" x14ac:dyDescent="0.25">
      <c r="A41" s="10">
        <v>38</v>
      </c>
      <c r="B41" s="35"/>
      <c r="C41" s="51"/>
      <c r="D41" s="45"/>
      <c r="E41" s="42"/>
      <c r="F41" s="48"/>
      <c r="G41" s="25">
        <f t="shared" si="0"/>
        <v>0</v>
      </c>
    </row>
    <row r="42" spans="1:9" x14ac:dyDescent="0.25">
      <c r="A42" s="10">
        <v>39</v>
      </c>
      <c r="B42" s="35"/>
      <c r="C42" s="51"/>
      <c r="D42" s="45"/>
      <c r="E42" s="42"/>
      <c r="F42" s="48"/>
      <c r="G42" s="25">
        <f>SUM(C42:F42)</f>
        <v>0</v>
      </c>
    </row>
    <row r="43" spans="1:9" x14ac:dyDescent="0.25">
      <c r="A43" s="10">
        <v>40</v>
      </c>
      <c r="B43" s="35"/>
      <c r="C43" s="51"/>
      <c r="D43" s="45"/>
      <c r="E43" s="42"/>
      <c r="F43" s="48"/>
      <c r="G43" s="25">
        <f t="shared" si="0"/>
        <v>0</v>
      </c>
    </row>
    <row r="44" spans="1:9" x14ac:dyDescent="0.25">
      <c r="A44" s="10">
        <v>41</v>
      </c>
      <c r="B44" s="35"/>
      <c r="C44" s="51"/>
      <c r="D44" s="45"/>
      <c r="E44" s="42"/>
      <c r="F44" s="48"/>
      <c r="G44" s="25">
        <f t="shared" si="0"/>
        <v>0</v>
      </c>
    </row>
    <row r="45" spans="1:9" x14ac:dyDescent="0.25">
      <c r="A45" s="10">
        <v>42</v>
      </c>
      <c r="B45" s="35"/>
      <c r="C45" s="51"/>
      <c r="D45" s="45"/>
      <c r="E45" s="42"/>
      <c r="F45" s="48"/>
      <c r="G45" s="25">
        <f t="shared" si="0"/>
        <v>0</v>
      </c>
    </row>
    <row r="46" spans="1:9" x14ac:dyDescent="0.25">
      <c r="A46" s="10"/>
      <c r="B46" s="10" t="s">
        <v>52</v>
      </c>
      <c r="C46" s="51">
        <f>SUM(C4:C45)</f>
        <v>0</v>
      </c>
      <c r="D46" s="45">
        <f t="shared" ref="D46:F46" si="1">SUM(D4:D45)</f>
        <v>0</v>
      </c>
      <c r="E46" s="42">
        <f t="shared" si="1"/>
        <v>0</v>
      </c>
      <c r="F46" s="48">
        <f t="shared" si="1"/>
        <v>0</v>
      </c>
      <c r="G46" s="25">
        <f>SUM(G4:G45)</f>
        <v>0</v>
      </c>
    </row>
    <row r="47" spans="1:9" x14ac:dyDescent="0.25">
      <c r="B47" s="13">
        <v>2.16</v>
      </c>
      <c r="H47">
        <v>0</v>
      </c>
    </row>
    <row r="48" spans="1:9" x14ac:dyDescent="0.25">
      <c r="B48" s="11">
        <v>2.081</v>
      </c>
      <c r="I48">
        <v>0</v>
      </c>
    </row>
    <row r="49" spans="2:10" x14ac:dyDescent="0.25">
      <c r="B49" s="11">
        <v>2.085</v>
      </c>
      <c r="J49">
        <v>0</v>
      </c>
    </row>
  </sheetData>
  <mergeCells count="1">
    <mergeCell ref="A1:G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ВОР 2 эт</vt:lpstr>
      <vt:lpstr>Спец 2 эт</vt:lpstr>
      <vt:lpstr>ВОР 3 эт</vt:lpstr>
      <vt:lpstr>общий (2)</vt:lpstr>
      <vt:lpstr>Спец 2 эт (2)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МирзаяновИИ</dc:creator>
  <cp:lastModifiedBy>МирзаяновИИ</cp:lastModifiedBy>
  <dcterms:created xsi:type="dcterms:W3CDTF">2025-10-21T10:43:00Z</dcterms:created>
  <dcterms:modified xsi:type="dcterms:W3CDTF">2025-10-21T13:18:55Z</dcterms:modified>
</cp:coreProperties>
</file>