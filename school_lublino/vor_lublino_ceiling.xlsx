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lublino\"/>
    </mc:Choice>
  </mc:AlternateContent>
  <bookViews>
    <workbookView xWindow="23265" yWindow="5565" windowWidth="5535" windowHeight="6105" activeTab="2"/>
  </bookViews>
  <sheets>
    <sheet name="ВОР 2 э. шт." sheetId="8" r:id="rId1"/>
    <sheet name="Спец 2 э. шт." sheetId="7" r:id="rId2"/>
    <sheet name="Спец 2 эт. шлиф." sheetId="9" r:id="rId3"/>
  </sheets>
  <calcPr calcId="152511"/>
</workbook>
</file>

<file path=xl/calcChain.xml><?xml version="1.0" encoding="utf-8"?>
<calcChain xmlns="http://schemas.openxmlformats.org/spreadsheetml/2006/main">
  <c r="C48" i="9" l="1"/>
  <c r="F6" i="7" l="1"/>
  <c r="C35" i="7" l="1"/>
  <c r="D35" i="7"/>
  <c r="F28" i="7"/>
  <c r="F26" i="7"/>
  <c r="F27" i="7"/>
  <c r="F30" i="7"/>
  <c r="F31" i="7"/>
  <c r="F32" i="7"/>
  <c r="F34" i="7"/>
  <c r="E35" i="7"/>
  <c r="E9" i="8" s="1"/>
  <c r="F14" i="7"/>
  <c r="F16" i="7"/>
  <c r="F24" i="7"/>
  <c r="F11" i="7"/>
  <c r="F13" i="7"/>
  <c r="F19" i="7"/>
  <c r="F20" i="7"/>
  <c r="F21" i="7"/>
  <c r="F7" i="7"/>
  <c r="F8" i="7"/>
  <c r="F9" i="7"/>
  <c r="F15" i="7"/>
  <c r="F17" i="7"/>
  <c r="F22" i="7"/>
  <c r="F23" i="7"/>
  <c r="F25" i="7"/>
  <c r="F29" i="7" l="1"/>
  <c r="F33" i="7"/>
  <c r="F5" i="7"/>
  <c r="E12" i="8"/>
  <c r="E10" i="8"/>
  <c r="E11" i="8"/>
  <c r="F18" i="7"/>
  <c r="F10" i="7"/>
  <c r="F12" i="7"/>
  <c r="F35" i="7" l="1"/>
  <c r="E3" i="8" l="1"/>
  <c r="E6" i="8"/>
  <c r="E7" i="8" l="1"/>
  <c r="E8" i="8"/>
  <c r="E4" i="8"/>
  <c r="E5" i="8" l="1"/>
</calcChain>
</file>

<file path=xl/sharedStrings.xml><?xml version="1.0" encoding="utf-8"?>
<sst xmlns="http://schemas.openxmlformats.org/spreadsheetml/2006/main" count="130" uniqueCount="94">
  <si>
    <t>№ п.п.</t>
  </si>
  <si>
    <t>Наименование</t>
  </si>
  <si>
    <t>Итог</t>
  </si>
  <si>
    <t>Объем, м²</t>
  </si>
  <si>
    <t>Помещения:</t>
  </si>
  <si>
    <t>1.2</t>
  </si>
  <si>
    <t>Объем</t>
  </si>
  <si>
    <t>кг</t>
  </si>
  <si>
    <t>1</t>
  </si>
  <si>
    <t>2</t>
  </si>
  <si>
    <t>2.1</t>
  </si>
  <si>
    <t>2.2</t>
  </si>
  <si>
    <t>Ед. изм.</t>
  </si>
  <si>
    <t>Коэф. расхода</t>
  </si>
  <si>
    <t>Грунтовка универсальный ЛАСТИМИН_ / LP-51 А</t>
  </si>
  <si>
    <t>сумма:</t>
  </si>
  <si>
    <t>2.004</t>
  </si>
  <si>
    <t>2.005</t>
  </si>
  <si>
    <t>2.012</t>
  </si>
  <si>
    <t>2.014</t>
  </si>
  <si>
    <t>2.015</t>
  </si>
  <si>
    <t>ТИП</t>
  </si>
  <si>
    <t>2.016</t>
  </si>
  <si>
    <t>2.017</t>
  </si>
  <si>
    <t>2.080</t>
  </si>
  <si>
    <t>2.089</t>
  </si>
  <si>
    <t>2.090</t>
  </si>
  <si>
    <t>2.091</t>
  </si>
  <si>
    <t>2.095</t>
  </si>
  <si>
    <t>2.096</t>
  </si>
  <si>
    <t>2.100</t>
  </si>
  <si>
    <t>2.101</t>
  </si>
  <si>
    <t>2.075</t>
  </si>
  <si>
    <t>2.104</t>
  </si>
  <si>
    <t>2.105</t>
  </si>
  <si>
    <t>2.107</t>
  </si>
  <si>
    <t>2.108</t>
  </si>
  <si>
    <t>1.3</t>
  </si>
  <si>
    <t>3</t>
  </si>
  <si>
    <t>3.1</t>
  </si>
  <si>
    <t>3.2</t>
  </si>
  <si>
    <t>3.3</t>
  </si>
  <si>
    <t>м2</t>
  </si>
  <si>
    <t>2.082</t>
  </si>
  <si>
    <t>П-6</t>
  </si>
  <si>
    <t>П-9</t>
  </si>
  <si>
    <t>П-15</t>
  </si>
  <si>
    <t>Шпатлевка гипсовая_ / белая / Унифицированная по ПИК-СТАНДАРТ, 30кг</t>
  </si>
  <si>
    <t>Шпатлевка гипсовая</t>
  </si>
  <si>
    <t>Грунтовка БЕТОН-КОНТАКТ</t>
  </si>
  <si>
    <t>Подготовка поверхности СКБ / потолка / ЖБ / 5 мм 
тип П-6</t>
  </si>
  <si>
    <t>Подготовка поверхности СКБ / потолка / ЖБ / 5 мм 
тип П-9</t>
  </si>
  <si>
    <t>Уголок малярный_/перфорированный/25*25*3000мм</t>
  </si>
  <si>
    <t>шт</t>
  </si>
  <si>
    <t>3.005</t>
  </si>
  <si>
    <t>3.019</t>
  </si>
  <si>
    <t>3.020</t>
  </si>
  <si>
    <t>3.014</t>
  </si>
  <si>
    <t>3.015</t>
  </si>
  <si>
    <t>3.016</t>
  </si>
  <si>
    <t>3.017</t>
  </si>
  <si>
    <t>3.018</t>
  </si>
  <si>
    <t>3.006</t>
  </si>
  <si>
    <t>Подготовка поверхности СКБ / стен / ГКЛ, ПГП / 2мм 
тип П-15</t>
  </si>
  <si>
    <t>Спецификация выполненных работ (2, 3 этаж)</t>
  </si>
  <si>
    <t>Ведомость работ и используемых материалов (2, 3 этаж)</t>
  </si>
  <si>
    <t>Шпаклевка потолка</t>
  </si>
  <si>
    <t>Шлифовка поверхностей потолка.</t>
  </si>
  <si>
    <t>Спецификация выполненных работ (2 этаж)</t>
  </si>
  <si>
    <t>2.001</t>
  </si>
  <si>
    <t>2.002</t>
  </si>
  <si>
    <t>2.003</t>
  </si>
  <si>
    <t>2.006</t>
  </si>
  <si>
    <t>2.007</t>
  </si>
  <si>
    <t>2.008</t>
  </si>
  <si>
    <t>2.009</t>
  </si>
  <si>
    <t>2.010</t>
  </si>
  <si>
    <t>2.011</t>
  </si>
  <si>
    <t>2.013</t>
  </si>
  <si>
    <t>2.083</t>
  </si>
  <si>
    <t>2.086</t>
  </si>
  <si>
    <t>2.087</t>
  </si>
  <si>
    <t>2.088</t>
  </si>
  <si>
    <t>2.084.1</t>
  </si>
  <si>
    <t>№ помещения:</t>
  </si>
  <si>
    <t>2.094</t>
  </si>
  <si>
    <t>2.099</t>
  </si>
  <si>
    <t>2.102</t>
  </si>
  <si>
    <t>2.103</t>
  </si>
  <si>
    <t>2.106</t>
  </si>
  <si>
    <t>2.168</t>
  </si>
  <si>
    <t>2.109</t>
  </si>
  <si>
    <t>2.160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</si>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</sst>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2" fillId="0" borderId="0" xfId="0" applyFont="1"/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2" fontId="2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 indent="2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right" vertical="center"/>
    </xf>
    <xf numFmtId="0" fontId="2" fillId="0" borderId="0" xfId="0" applyFont="1" applyBorder="1"/>
    <xf numFmtId="0" fontId="2" fillId="0" borderId="5" xfId="0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49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115" zoomScaleNormal="115" workbookViewId="0">
      <selection activeCell="A13" sqref="A13:XFD13"/>
    </sheetView>
  </sheetViews>
  <sheetFormatPr defaultRowHeight="12.75" x14ac:dyDescent="0.2"/>
  <cols>
    <col min="1" max="1" width="7.5703125" style="6" customWidth="1"/>
    <col min="2" max="2" width="47.42578125" style="4" customWidth="1"/>
    <col min="3" max="3" width="9.140625" style="6" customWidth="1"/>
    <col min="4" max="4" width="14.5703125" style="10" customWidth="1"/>
    <col min="5" max="5" width="8.85546875" style="12" customWidth="1"/>
    <col min="6" max="16384" width="9.140625" style="1"/>
  </cols>
  <sheetData>
    <row r="1" spans="1:5" x14ac:dyDescent="0.2">
      <c r="A1" s="37"/>
      <c r="B1" s="38" t="s">
        <v>65</v>
      </c>
      <c r="C1" s="39"/>
      <c r="D1" s="40"/>
      <c r="E1" s="41"/>
    </row>
    <row r="2" spans="1:5" ht="13.5" thickBot="1" x14ac:dyDescent="0.25">
      <c r="A2" s="48" t="s">
        <v>0</v>
      </c>
      <c r="B2" s="49" t="s">
        <v>1</v>
      </c>
      <c r="C2" s="50" t="s">
        <v>12</v>
      </c>
      <c r="D2" s="51" t="s">
        <v>13</v>
      </c>
      <c r="E2" s="52" t="s">
        <v>6</v>
      </c>
    </row>
    <row r="3" spans="1:5" ht="22.5" customHeight="1" x14ac:dyDescent="0.2">
      <c r="A3" s="26" t="s">
        <v>8</v>
      </c>
      <c r="B3" s="47" t="s">
        <v>50</v>
      </c>
      <c r="C3" s="27" t="s">
        <v>42</v>
      </c>
      <c r="D3" s="28">
        <v>1</v>
      </c>
      <c r="E3" s="29">
        <f>'Спец 2 э. шт.'!C35</f>
        <v>1500.73</v>
      </c>
    </row>
    <row r="4" spans="1:5" x14ac:dyDescent="0.2">
      <c r="A4" s="30" t="s">
        <v>5</v>
      </c>
      <c r="B4" s="20" t="s">
        <v>48</v>
      </c>
      <c r="C4" s="2" t="s">
        <v>7</v>
      </c>
      <c r="D4" s="5">
        <v>4.5</v>
      </c>
      <c r="E4" s="31">
        <f>D4*E3</f>
        <v>6753.2849999999999</v>
      </c>
    </row>
    <row r="5" spans="1:5" ht="13.5" thickBot="1" x14ac:dyDescent="0.25">
      <c r="A5" s="32" t="s">
        <v>37</v>
      </c>
      <c r="B5" s="33" t="s">
        <v>49</v>
      </c>
      <c r="C5" s="34" t="s">
        <v>7</v>
      </c>
      <c r="D5" s="35">
        <v>0.15</v>
      </c>
      <c r="E5" s="36">
        <f>D5*E3</f>
        <v>225.1095</v>
      </c>
    </row>
    <row r="6" spans="1:5" ht="25.5" x14ac:dyDescent="0.2">
      <c r="A6" s="44" t="s">
        <v>9</v>
      </c>
      <c r="B6" s="53" t="s">
        <v>51</v>
      </c>
      <c r="C6" s="24" t="s">
        <v>42</v>
      </c>
      <c r="D6" s="25">
        <v>1</v>
      </c>
      <c r="E6" s="45">
        <f>'Спец 2 э. шт.'!D35</f>
        <v>232.12</v>
      </c>
    </row>
    <row r="7" spans="1:5" x14ac:dyDescent="0.2">
      <c r="A7" s="30" t="s">
        <v>10</v>
      </c>
      <c r="B7" s="20" t="s">
        <v>48</v>
      </c>
      <c r="C7" s="2" t="s">
        <v>7</v>
      </c>
      <c r="D7" s="5">
        <v>4.5</v>
      </c>
      <c r="E7" s="31">
        <f>D7*E6</f>
        <v>1044.54</v>
      </c>
    </row>
    <row r="8" spans="1:5" ht="13.5" thickBot="1" x14ac:dyDescent="0.25">
      <c r="A8" s="42" t="s">
        <v>11</v>
      </c>
      <c r="B8" s="21" t="s">
        <v>49</v>
      </c>
      <c r="C8" s="22" t="s">
        <v>7</v>
      </c>
      <c r="D8" s="23">
        <v>0.15</v>
      </c>
      <c r="E8" s="43">
        <f>D8*E6</f>
        <v>34.817999999999998</v>
      </c>
    </row>
    <row r="9" spans="1:5" ht="25.5" x14ac:dyDescent="0.2">
      <c r="A9" s="26" t="s">
        <v>38</v>
      </c>
      <c r="B9" s="47" t="s">
        <v>63</v>
      </c>
      <c r="C9" s="27" t="s">
        <v>42</v>
      </c>
      <c r="D9" s="28">
        <v>1</v>
      </c>
      <c r="E9" s="29">
        <f>'Спец 2 э. шт.'!E35</f>
        <v>29.908999999999999</v>
      </c>
    </row>
    <row r="10" spans="1:5" x14ac:dyDescent="0.2">
      <c r="A10" s="30" t="s">
        <v>39</v>
      </c>
      <c r="B10" s="20" t="s">
        <v>14</v>
      </c>
      <c r="C10" s="2" t="s">
        <v>7</v>
      </c>
      <c r="D10" s="5">
        <v>0.15</v>
      </c>
      <c r="E10" s="31">
        <f>D10*E9</f>
        <v>4.4863499999999998</v>
      </c>
    </row>
    <row r="11" spans="1:5" x14ac:dyDescent="0.2">
      <c r="A11" s="30" t="s">
        <v>40</v>
      </c>
      <c r="B11" s="20" t="s">
        <v>52</v>
      </c>
      <c r="C11" s="2" t="s">
        <v>53</v>
      </c>
      <c r="D11" s="5">
        <v>0.3</v>
      </c>
      <c r="E11" s="31">
        <f>D11*E9</f>
        <v>8.9726999999999997</v>
      </c>
    </row>
    <row r="12" spans="1:5" ht="26.25" thickBot="1" x14ac:dyDescent="0.25">
      <c r="A12" s="32" t="s">
        <v>41</v>
      </c>
      <c r="B12" s="33" t="s">
        <v>47</v>
      </c>
      <c r="C12" s="34" t="s">
        <v>7</v>
      </c>
      <c r="D12" s="35">
        <v>1.5</v>
      </c>
      <c r="E12" s="36">
        <f>D12*E9</f>
        <v>44.863500000000002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30" zoomScaleNormal="130" workbookViewId="0">
      <selection activeCell="F25" sqref="A1:F25"/>
    </sheetView>
  </sheetViews>
  <sheetFormatPr defaultRowHeight="12.75" x14ac:dyDescent="0.2"/>
  <cols>
    <col min="1" max="1" width="7" style="6" customWidth="1"/>
    <col min="2" max="2" width="11.140625" style="6" customWidth="1"/>
    <col min="3" max="5" width="8.7109375" style="6" customWidth="1"/>
    <col min="6" max="7" width="8.7109375" style="13" customWidth="1"/>
    <col min="8" max="10" width="8.7109375" style="46" hidden="1" customWidth="1"/>
    <col min="11" max="11" width="9.140625" style="46" hidden="1" customWidth="1"/>
    <col min="12" max="16384" width="9.140625" style="1"/>
  </cols>
  <sheetData>
    <row r="1" spans="1:10" x14ac:dyDescent="0.2">
      <c r="A1" s="54" t="s">
        <v>64</v>
      </c>
      <c r="B1" s="54"/>
      <c r="C1" s="54"/>
      <c r="D1" s="54"/>
      <c r="E1" s="54"/>
      <c r="F1" s="54"/>
      <c r="G1" s="16"/>
    </row>
    <row r="2" spans="1:10" ht="12.75" customHeight="1" x14ac:dyDescent="0.2">
      <c r="A2" s="55" t="s">
        <v>66</v>
      </c>
      <c r="B2" s="56"/>
      <c r="C2" s="56"/>
      <c r="D2" s="56"/>
      <c r="E2" s="56"/>
      <c r="F2" s="57"/>
      <c r="G2" s="17"/>
    </row>
    <row r="3" spans="1:10" x14ac:dyDescent="0.2">
      <c r="A3" s="14"/>
      <c r="B3" s="7"/>
      <c r="C3" s="3" t="s">
        <v>44</v>
      </c>
      <c r="D3" s="15" t="s">
        <v>45</v>
      </c>
      <c r="E3" s="15" t="s">
        <v>46</v>
      </c>
      <c r="F3" s="9" t="s">
        <v>2</v>
      </c>
      <c r="G3" s="18"/>
      <c r="J3" s="46" t="s">
        <v>21</v>
      </c>
    </row>
    <row r="4" spans="1:10" x14ac:dyDescent="0.2">
      <c r="A4" s="14" t="s">
        <v>0</v>
      </c>
      <c r="B4" s="8" t="s">
        <v>4</v>
      </c>
      <c r="C4" s="2" t="s">
        <v>3</v>
      </c>
      <c r="D4" s="2" t="s">
        <v>3</v>
      </c>
      <c r="E4" s="2" t="s">
        <v>3</v>
      </c>
      <c r="F4" s="11" t="s">
        <v>3</v>
      </c>
      <c r="G4" s="19"/>
    </row>
    <row r="5" spans="1:10" x14ac:dyDescent="0.2">
      <c r="A5" s="14">
        <v>1</v>
      </c>
      <c r="B5" s="7" t="s">
        <v>16</v>
      </c>
      <c r="C5" s="11">
        <v>171.64400000000001</v>
      </c>
      <c r="D5" s="11"/>
      <c r="E5" s="11"/>
      <c r="F5" s="11">
        <f>SUM(C5:E5)</f>
        <v>171.64400000000001</v>
      </c>
      <c r="G5" s="19"/>
      <c r="H5" s="19">
        <v>156.04</v>
      </c>
      <c r="I5" s="19"/>
      <c r="J5" s="19"/>
    </row>
    <row r="6" spans="1:10" x14ac:dyDescent="0.2">
      <c r="A6" s="14">
        <v>2</v>
      </c>
      <c r="B6" s="7" t="s">
        <v>17</v>
      </c>
      <c r="C6" s="11"/>
      <c r="D6" s="11"/>
      <c r="E6" s="11">
        <v>15.026</v>
      </c>
      <c r="F6" s="11">
        <f>SUM(C6:E6)</f>
        <v>15.026</v>
      </c>
      <c r="G6" s="19"/>
      <c r="H6" s="19"/>
      <c r="I6" s="19"/>
      <c r="J6" s="19">
        <v>13.66</v>
      </c>
    </row>
    <row r="7" spans="1:10" x14ac:dyDescent="0.2">
      <c r="A7" s="14">
        <v>3</v>
      </c>
      <c r="B7" s="7" t="s">
        <v>18</v>
      </c>
      <c r="C7" s="11">
        <v>162.11799999999999</v>
      </c>
      <c r="D7" s="11"/>
      <c r="E7" s="11"/>
      <c r="F7" s="11">
        <f t="shared" ref="F7:F34" si="0">SUM(C7:E7)</f>
        <v>162.11799999999999</v>
      </c>
      <c r="G7" s="19"/>
      <c r="H7" s="19">
        <v>147.38</v>
      </c>
      <c r="I7" s="19"/>
      <c r="J7" s="19"/>
    </row>
    <row r="8" spans="1:10" x14ac:dyDescent="0.2">
      <c r="A8" s="14">
        <v>4</v>
      </c>
      <c r="B8" s="7" t="s">
        <v>19</v>
      </c>
      <c r="C8" s="11"/>
      <c r="D8" s="11">
        <v>18.909000000000002</v>
      </c>
      <c r="E8" s="11"/>
      <c r="F8" s="11">
        <f t="shared" si="0"/>
        <v>18.909000000000002</v>
      </c>
      <c r="G8" s="19"/>
      <c r="H8" s="19"/>
      <c r="I8" s="19">
        <v>17.190000000000001</v>
      </c>
      <c r="J8" s="19"/>
    </row>
    <row r="9" spans="1:10" x14ac:dyDescent="0.2">
      <c r="A9" s="14">
        <v>5</v>
      </c>
      <c r="B9" s="7" t="s">
        <v>20</v>
      </c>
      <c r="C9" s="11"/>
      <c r="D9" s="11">
        <v>23.309000000000001</v>
      </c>
      <c r="E9" s="11"/>
      <c r="F9" s="11">
        <f t="shared" si="0"/>
        <v>23.309000000000001</v>
      </c>
      <c r="G9" s="19"/>
      <c r="H9" s="19"/>
      <c r="I9" s="19">
        <v>21.19</v>
      </c>
      <c r="J9" s="19"/>
    </row>
    <row r="10" spans="1:10" x14ac:dyDescent="0.2">
      <c r="A10" s="14">
        <v>6</v>
      </c>
      <c r="B10" s="7" t="s">
        <v>22</v>
      </c>
      <c r="C10" s="11"/>
      <c r="D10" s="11">
        <v>6.3030000000000008</v>
      </c>
      <c r="E10" s="11"/>
      <c r="F10" s="11">
        <f t="shared" si="0"/>
        <v>6.3030000000000008</v>
      </c>
      <c r="G10" s="19"/>
      <c r="H10" s="19"/>
      <c r="I10" s="19">
        <v>5.73</v>
      </c>
      <c r="J10" s="19"/>
    </row>
    <row r="11" spans="1:10" x14ac:dyDescent="0.2">
      <c r="A11" s="14">
        <v>7</v>
      </c>
      <c r="B11" s="7" t="s">
        <v>23</v>
      </c>
      <c r="C11" s="11"/>
      <c r="D11" s="11">
        <v>3.5309999999999997</v>
      </c>
      <c r="E11" s="11"/>
      <c r="F11" s="11">
        <f t="shared" si="0"/>
        <v>3.5309999999999997</v>
      </c>
      <c r="G11" s="19"/>
      <c r="H11" s="19"/>
      <c r="I11" s="19">
        <v>3.21</v>
      </c>
      <c r="J11" s="19"/>
    </row>
    <row r="12" spans="1:10" x14ac:dyDescent="0.2">
      <c r="A12" s="14">
        <v>8</v>
      </c>
      <c r="B12" s="7" t="s">
        <v>32</v>
      </c>
      <c r="C12" s="11">
        <v>87.295999999999992</v>
      </c>
      <c r="D12" s="11"/>
      <c r="E12" s="11"/>
      <c r="F12" s="11">
        <f t="shared" si="0"/>
        <v>87.295999999999992</v>
      </c>
      <c r="G12" s="19"/>
      <c r="H12" s="19">
        <v>79.36</v>
      </c>
      <c r="I12" s="19"/>
      <c r="J12" s="19"/>
    </row>
    <row r="13" spans="1:10" x14ac:dyDescent="0.2">
      <c r="A13" s="14">
        <v>9</v>
      </c>
      <c r="B13" s="7" t="s">
        <v>24</v>
      </c>
      <c r="C13" s="11">
        <v>160.84199999999998</v>
      </c>
      <c r="D13" s="11"/>
      <c r="E13" s="11"/>
      <c r="F13" s="11">
        <f t="shared" si="0"/>
        <v>160.84199999999998</v>
      </c>
      <c r="G13" s="19"/>
      <c r="H13" s="19">
        <v>146.22</v>
      </c>
      <c r="I13" s="19"/>
      <c r="J13" s="19"/>
    </row>
    <row r="14" spans="1:10" x14ac:dyDescent="0.2">
      <c r="A14" s="14">
        <v>10</v>
      </c>
      <c r="B14" s="7" t="s">
        <v>43</v>
      </c>
      <c r="C14" s="11">
        <v>59.191000000000003</v>
      </c>
      <c r="D14" s="11"/>
      <c r="E14" s="11"/>
      <c r="F14" s="11">
        <f t="shared" si="0"/>
        <v>59.191000000000003</v>
      </c>
      <c r="G14" s="19"/>
      <c r="H14" s="19">
        <v>53.81</v>
      </c>
      <c r="I14" s="19"/>
      <c r="J14" s="19"/>
    </row>
    <row r="15" spans="1:10" x14ac:dyDescent="0.2">
      <c r="A15" s="14">
        <v>11</v>
      </c>
      <c r="B15" s="7" t="s">
        <v>25</v>
      </c>
      <c r="C15" s="11"/>
      <c r="D15" s="11">
        <v>6.6549999999999994</v>
      </c>
      <c r="E15" s="11"/>
      <c r="F15" s="11">
        <f t="shared" si="0"/>
        <v>6.6549999999999994</v>
      </c>
      <c r="G15" s="19"/>
      <c r="H15" s="19"/>
      <c r="I15" s="19">
        <v>6.05</v>
      </c>
      <c r="J15" s="19"/>
    </row>
    <row r="16" spans="1:10" x14ac:dyDescent="0.2">
      <c r="A16" s="14">
        <v>12</v>
      </c>
      <c r="B16" s="7" t="s">
        <v>26</v>
      </c>
      <c r="C16" s="11"/>
      <c r="D16" s="11">
        <v>13.365</v>
      </c>
      <c r="E16" s="11"/>
      <c r="F16" s="11">
        <f t="shared" si="0"/>
        <v>13.365</v>
      </c>
      <c r="G16" s="19"/>
      <c r="H16" s="19"/>
      <c r="I16" s="19">
        <v>12.15</v>
      </c>
      <c r="J16" s="19"/>
    </row>
    <row r="17" spans="1:10" x14ac:dyDescent="0.2">
      <c r="A17" s="14">
        <v>13</v>
      </c>
      <c r="B17" s="7" t="s">
        <v>27</v>
      </c>
      <c r="C17" s="11"/>
      <c r="D17" s="11">
        <v>11.737</v>
      </c>
      <c r="E17" s="11"/>
      <c r="F17" s="11">
        <f t="shared" si="0"/>
        <v>11.737</v>
      </c>
      <c r="G17" s="19"/>
      <c r="H17" s="19"/>
      <c r="I17" s="19">
        <v>10.67</v>
      </c>
      <c r="J17" s="19"/>
    </row>
    <row r="18" spans="1:10" x14ac:dyDescent="0.2">
      <c r="A18" s="14">
        <v>14</v>
      </c>
      <c r="B18" s="7" t="s">
        <v>28</v>
      </c>
      <c r="C18" s="11"/>
      <c r="D18" s="11">
        <v>9.6689999999999987</v>
      </c>
      <c r="E18" s="11"/>
      <c r="F18" s="11">
        <f t="shared" si="0"/>
        <v>9.6689999999999987</v>
      </c>
      <c r="G18" s="19"/>
      <c r="H18" s="19"/>
      <c r="I18" s="19">
        <v>8.7899999999999991</v>
      </c>
      <c r="J18" s="19"/>
    </row>
    <row r="19" spans="1:10" x14ac:dyDescent="0.2">
      <c r="A19" s="14">
        <v>15</v>
      </c>
      <c r="B19" s="7" t="s">
        <v>29</v>
      </c>
      <c r="C19" s="11"/>
      <c r="D19" s="11">
        <v>15.718999999999999</v>
      </c>
      <c r="E19" s="11"/>
      <c r="F19" s="11">
        <f t="shared" si="0"/>
        <v>15.718999999999999</v>
      </c>
      <c r="G19" s="19"/>
      <c r="H19" s="19"/>
      <c r="I19" s="19">
        <v>14.29</v>
      </c>
      <c r="J19" s="19"/>
    </row>
    <row r="20" spans="1:10" x14ac:dyDescent="0.2">
      <c r="A20" s="14">
        <v>16</v>
      </c>
      <c r="B20" s="7" t="s">
        <v>30</v>
      </c>
      <c r="C20" s="11"/>
      <c r="D20" s="11">
        <v>8.7669999999999995</v>
      </c>
      <c r="E20" s="11"/>
      <c r="F20" s="11">
        <f t="shared" si="0"/>
        <v>8.7669999999999995</v>
      </c>
      <c r="G20" s="19"/>
      <c r="H20" s="19"/>
      <c r="I20" s="19">
        <v>7.97</v>
      </c>
      <c r="J20" s="19"/>
    </row>
    <row r="21" spans="1:10" x14ac:dyDescent="0.2">
      <c r="A21" s="14">
        <v>17</v>
      </c>
      <c r="B21" s="7" t="s">
        <v>31</v>
      </c>
      <c r="C21" s="11"/>
      <c r="D21" s="11">
        <v>13.189</v>
      </c>
      <c r="E21" s="11"/>
      <c r="F21" s="11">
        <f t="shared" si="0"/>
        <v>13.189</v>
      </c>
      <c r="G21" s="19"/>
      <c r="H21" s="19"/>
      <c r="I21" s="19">
        <v>11.99</v>
      </c>
      <c r="J21" s="19"/>
    </row>
    <row r="22" spans="1:10" x14ac:dyDescent="0.2">
      <c r="A22" s="14">
        <v>18</v>
      </c>
      <c r="B22" s="7" t="s">
        <v>33</v>
      </c>
      <c r="C22" s="11"/>
      <c r="D22" s="11">
        <v>9.152000000000001</v>
      </c>
      <c r="E22" s="11"/>
      <c r="F22" s="11">
        <f t="shared" si="0"/>
        <v>9.152000000000001</v>
      </c>
      <c r="G22" s="19"/>
      <c r="H22" s="19"/>
      <c r="I22" s="19">
        <v>8.32</v>
      </c>
      <c r="J22" s="19"/>
    </row>
    <row r="23" spans="1:10" x14ac:dyDescent="0.2">
      <c r="A23" s="14">
        <v>19</v>
      </c>
      <c r="B23" s="7" t="s">
        <v>34</v>
      </c>
      <c r="C23" s="11"/>
      <c r="D23" s="11">
        <v>15.499000000000001</v>
      </c>
      <c r="E23" s="11"/>
      <c r="F23" s="11">
        <f t="shared" si="0"/>
        <v>15.499000000000001</v>
      </c>
      <c r="G23" s="19"/>
      <c r="H23" s="19"/>
      <c r="I23" s="19">
        <v>14.09</v>
      </c>
      <c r="J23" s="19"/>
    </row>
    <row r="24" spans="1:10" x14ac:dyDescent="0.2">
      <c r="A24" s="14">
        <v>20</v>
      </c>
      <c r="B24" s="7" t="s">
        <v>35</v>
      </c>
      <c r="C24" s="11"/>
      <c r="D24" s="11">
        <v>8.1300000000000008</v>
      </c>
      <c r="E24" s="11"/>
      <c r="F24" s="11">
        <f t="shared" si="0"/>
        <v>8.1300000000000008</v>
      </c>
      <c r="G24" s="19"/>
      <c r="H24" s="19"/>
      <c r="I24" s="19">
        <v>0</v>
      </c>
      <c r="J24" s="19"/>
    </row>
    <row r="25" spans="1:10" x14ac:dyDescent="0.2">
      <c r="A25" s="14">
        <v>21</v>
      </c>
      <c r="B25" s="7" t="s">
        <v>36</v>
      </c>
      <c r="C25" s="11"/>
      <c r="D25" s="11">
        <v>16.09</v>
      </c>
      <c r="E25" s="11"/>
      <c r="F25" s="11">
        <f t="shared" si="0"/>
        <v>16.09</v>
      </c>
      <c r="G25" s="19"/>
      <c r="H25" s="19"/>
      <c r="I25" s="19">
        <v>0</v>
      </c>
      <c r="J25" s="19"/>
    </row>
    <row r="26" spans="1:10" x14ac:dyDescent="0.2">
      <c r="A26" s="14">
        <v>22</v>
      </c>
      <c r="B26" s="7" t="s">
        <v>54</v>
      </c>
      <c r="C26" s="11">
        <v>272.01900000000001</v>
      </c>
      <c r="D26" s="11"/>
      <c r="E26" s="11"/>
      <c r="F26" s="11">
        <f t="shared" si="0"/>
        <v>272.01900000000001</v>
      </c>
      <c r="G26" s="19"/>
      <c r="H26" s="19">
        <v>247.29</v>
      </c>
      <c r="I26" s="19"/>
      <c r="J26" s="19"/>
    </row>
    <row r="27" spans="1:10" x14ac:dyDescent="0.2">
      <c r="A27" s="14">
        <v>23</v>
      </c>
      <c r="B27" s="7" t="s">
        <v>62</v>
      </c>
      <c r="C27" s="11"/>
      <c r="D27" s="11"/>
      <c r="E27" s="11">
        <v>14.882999999999999</v>
      </c>
      <c r="F27" s="11">
        <f t="shared" si="0"/>
        <v>14.882999999999999</v>
      </c>
      <c r="G27" s="19"/>
      <c r="H27" s="19"/>
      <c r="I27" s="19"/>
      <c r="J27" s="19">
        <v>13.53</v>
      </c>
    </row>
    <row r="28" spans="1:10" x14ac:dyDescent="0.2">
      <c r="A28" s="14">
        <v>24</v>
      </c>
      <c r="B28" s="7" t="s">
        <v>57</v>
      </c>
      <c r="C28" s="11">
        <v>163.35</v>
      </c>
      <c r="D28" s="11"/>
      <c r="E28" s="11"/>
      <c r="F28" s="11">
        <f t="shared" si="0"/>
        <v>163.35</v>
      </c>
      <c r="G28" s="19"/>
      <c r="H28" s="19">
        <v>148.5</v>
      </c>
      <c r="I28" s="19"/>
      <c r="J28" s="19"/>
    </row>
    <row r="29" spans="1:10" x14ac:dyDescent="0.2">
      <c r="A29" s="14">
        <v>25</v>
      </c>
      <c r="B29" s="7" t="s">
        <v>58</v>
      </c>
      <c r="C29" s="11"/>
      <c r="D29" s="11">
        <v>18.986000000000001</v>
      </c>
      <c r="E29" s="11"/>
      <c r="F29" s="11">
        <f>SUM(C29:E29)</f>
        <v>18.986000000000001</v>
      </c>
      <c r="G29" s="19"/>
      <c r="H29" s="19"/>
      <c r="I29" s="19">
        <v>17.260000000000002</v>
      </c>
      <c r="J29" s="19"/>
    </row>
    <row r="30" spans="1:10" x14ac:dyDescent="0.2">
      <c r="A30" s="14">
        <v>26</v>
      </c>
      <c r="B30" s="7" t="s">
        <v>59</v>
      </c>
      <c r="C30" s="11"/>
      <c r="D30" s="11">
        <v>23.287000000000003</v>
      </c>
      <c r="E30" s="11"/>
      <c r="F30" s="11">
        <f>SUM(C30:E30)</f>
        <v>23.287000000000003</v>
      </c>
      <c r="G30" s="19"/>
      <c r="H30" s="19"/>
      <c r="I30" s="19">
        <v>21.17</v>
      </c>
      <c r="J30" s="19"/>
    </row>
    <row r="31" spans="1:10" x14ac:dyDescent="0.2">
      <c r="A31" s="14">
        <v>27</v>
      </c>
      <c r="B31" s="7" t="s">
        <v>60</v>
      </c>
      <c r="C31" s="11"/>
      <c r="D31" s="11">
        <v>6.3030000000000008</v>
      </c>
      <c r="E31" s="11"/>
      <c r="F31" s="11">
        <f>SUM(C31:E31)</f>
        <v>6.3030000000000008</v>
      </c>
      <c r="G31" s="19"/>
      <c r="H31" s="19"/>
      <c r="I31" s="19">
        <v>5.73</v>
      </c>
      <c r="J31" s="19"/>
    </row>
    <row r="32" spans="1:10" x14ac:dyDescent="0.2">
      <c r="A32" s="14">
        <v>28</v>
      </c>
      <c r="B32" s="7" t="s">
        <v>61</v>
      </c>
      <c r="C32" s="11"/>
      <c r="D32" s="11">
        <v>3.52</v>
      </c>
      <c r="E32" s="11"/>
      <c r="F32" s="11">
        <f>SUM(C32:E32)</f>
        <v>3.52</v>
      </c>
      <c r="G32" s="19"/>
      <c r="H32" s="19"/>
      <c r="I32" s="19">
        <v>3.2</v>
      </c>
      <c r="J32" s="19"/>
    </row>
    <row r="33" spans="1:10" x14ac:dyDescent="0.2">
      <c r="A33" s="14">
        <v>29</v>
      </c>
      <c r="B33" s="7" t="s">
        <v>55</v>
      </c>
      <c r="C33" s="11">
        <v>275.209</v>
      </c>
      <c r="D33" s="11"/>
      <c r="E33" s="11"/>
      <c r="F33" s="11">
        <f t="shared" si="0"/>
        <v>275.209</v>
      </c>
      <c r="G33" s="19"/>
      <c r="H33" s="19">
        <v>250.19</v>
      </c>
      <c r="I33" s="19"/>
      <c r="J33" s="19"/>
    </row>
    <row r="34" spans="1:10" x14ac:dyDescent="0.2">
      <c r="A34" s="14">
        <v>30</v>
      </c>
      <c r="B34" s="7" t="s">
        <v>56</v>
      </c>
      <c r="C34" s="11">
        <v>149.06099999999998</v>
      </c>
      <c r="D34" s="11"/>
      <c r="E34" s="11"/>
      <c r="F34" s="11">
        <f t="shared" si="0"/>
        <v>149.06099999999998</v>
      </c>
      <c r="G34" s="19"/>
      <c r="H34" s="19">
        <v>135.51</v>
      </c>
      <c r="I34" s="19"/>
      <c r="J34" s="19"/>
    </row>
    <row r="35" spans="1:10" x14ac:dyDescent="0.2">
      <c r="A35" s="14"/>
      <c r="B35" s="14" t="s">
        <v>15</v>
      </c>
      <c r="C35" s="11">
        <f>SUM(C5:C34)</f>
        <v>1500.73</v>
      </c>
      <c r="D35" s="11">
        <f t="shared" ref="D35:F35" si="1">SUM(D5:D34)</f>
        <v>232.12</v>
      </c>
      <c r="E35" s="11">
        <f t="shared" si="1"/>
        <v>29.908999999999999</v>
      </c>
      <c r="F35" s="11">
        <f t="shared" si="1"/>
        <v>1762.7590000000005</v>
      </c>
      <c r="G35" s="19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G33" sqref="G33"/>
    </sheetView>
  </sheetViews>
  <sheetFormatPr defaultRowHeight="15" x14ac:dyDescent="0.25"/>
  <cols>
    <col min="2" max="2" width="13" customWidth="1"/>
    <col min="3" max="3" width="14.28515625" customWidth="1"/>
  </cols>
  <sheetData>
    <row r="1" spans="1:3" ht="12" customHeight="1" x14ac:dyDescent="0.25">
      <c r="A1" s="58" t="s">
        <v>68</v>
      </c>
      <c r="B1" s="58"/>
      <c r="C1" s="58"/>
    </row>
    <row r="2" spans="1:3" ht="12" customHeight="1" x14ac:dyDescent="0.25">
      <c r="A2" s="59" t="s">
        <v>67</v>
      </c>
      <c r="B2" s="59"/>
      <c r="C2" s="59"/>
    </row>
    <row r="3" spans="1:3" ht="12" customHeight="1" x14ac:dyDescent="0.25">
      <c r="A3" s="8" t="s">
        <v>0</v>
      </c>
      <c r="B3" s="8" t="s">
        <v>84</v>
      </c>
      <c r="C3" s="60" t="s">
        <v>3</v>
      </c>
    </row>
    <row r="4" spans="1:3" ht="12" customHeight="1" x14ac:dyDescent="0.25">
      <c r="A4" s="8">
        <v>1</v>
      </c>
      <c r="B4" s="7" t="s">
        <v>69</v>
      </c>
      <c r="C4" s="60">
        <v>78.238</v>
      </c>
    </row>
    <row r="5" spans="1:3" ht="12" customHeight="1" x14ac:dyDescent="0.25">
      <c r="A5" s="8">
        <v>2</v>
      </c>
      <c r="B5" s="7" t="s">
        <v>70</v>
      </c>
      <c r="C5" s="60">
        <v>79.463999999999999</v>
      </c>
    </row>
    <row r="6" spans="1:3" ht="12" customHeight="1" x14ac:dyDescent="0.25">
      <c r="A6" s="8">
        <v>3</v>
      </c>
      <c r="B6" s="7" t="s">
        <v>71</v>
      </c>
      <c r="C6" s="60">
        <v>76.085999999999999</v>
      </c>
    </row>
    <row r="7" spans="1:3" ht="12" customHeight="1" x14ac:dyDescent="0.25">
      <c r="A7" s="8">
        <v>4</v>
      </c>
      <c r="B7" s="7" t="s">
        <v>16</v>
      </c>
      <c r="C7" s="60">
        <v>171.64400000000001</v>
      </c>
    </row>
    <row r="8" spans="1:3" ht="12" customHeight="1" x14ac:dyDescent="0.25">
      <c r="A8" s="8">
        <v>5</v>
      </c>
      <c r="B8" s="7" t="s">
        <v>17</v>
      </c>
      <c r="C8" s="60">
        <v>15.026</v>
      </c>
    </row>
    <row r="9" spans="1:3" ht="12" customHeight="1" x14ac:dyDescent="0.25">
      <c r="A9" s="8">
        <v>6</v>
      </c>
      <c r="B9" s="7" t="s">
        <v>72</v>
      </c>
      <c r="C9" s="60">
        <v>26.302500000000002</v>
      </c>
    </row>
    <row r="10" spans="1:3" ht="12" customHeight="1" x14ac:dyDescent="0.25">
      <c r="A10" s="8">
        <v>7</v>
      </c>
      <c r="B10" s="7" t="s">
        <v>73</v>
      </c>
      <c r="C10" s="60">
        <v>72.715000000000003</v>
      </c>
    </row>
    <row r="11" spans="1:3" ht="12" customHeight="1" x14ac:dyDescent="0.25">
      <c r="A11" s="8">
        <v>8</v>
      </c>
      <c r="B11" s="7" t="s">
        <v>74</v>
      </c>
      <c r="C11" s="60">
        <v>72.882999999999996</v>
      </c>
    </row>
    <row r="12" spans="1:3" ht="12" customHeight="1" x14ac:dyDescent="0.25">
      <c r="A12" s="8">
        <v>9</v>
      </c>
      <c r="B12" s="7" t="s">
        <v>75</v>
      </c>
      <c r="C12" s="60">
        <v>72.882999999999996</v>
      </c>
    </row>
    <row r="13" spans="1:3" ht="12" customHeight="1" x14ac:dyDescent="0.25">
      <c r="A13" s="8">
        <v>10</v>
      </c>
      <c r="B13" s="7" t="s">
        <v>76</v>
      </c>
      <c r="C13" s="60">
        <v>71.906499999999994</v>
      </c>
    </row>
    <row r="14" spans="1:3" ht="12" customHeight="1" x14ac:dyDescent="0.25">
      <c r="A14" s="8">
        <v>11</v>
      </c>
      <c r="B14" s="7" t="s">
        <v>77</v>
      </c>
      <c r="C14" s="60">
        <v>71.882999999999996</v>
      </c>
    </row>
    <row r="15" spans="1:3" ht="12" customHeight="1" x14ac:dyDescent="0.25">
      <c r="A15" s="8">
        <v>12</v>
      </c>
      <c r="B15" s="7" t="s">
        <v>18</v>
      </c>
      <c r="C15" s="60">
        <v>162.11799999999999</v>
      </c>
    </row>
    <row r="16" spans="1:3" ht="12" customHeight="1" x14ac:dyDescent="0.25">
      <c r="A16" s="8">
        <v>13</v>
      </c>
      <c r="B16" s="7" t="s">
        <v>78</v>
      </c>
      <c r="C16" s="60">
        <v>72.882999999999996</v>
      </c>
    </row>
    <row r="17" spans="1:3" ht="12" customHeight="1" x14ac:dyDescent="0.25">
      <c r="A17" s="8">
        <v>14</v>
      </c>
      <c r="B17" s="7" t="s">
        <v>19</v>
      </c>
      <c r="C17" s="60">
        <v>18.909000000000002</v>
      </c>
    </row>
    <row r="18" spans="1:3" ht="12" customHeight="1" x14ac:dyDescent="0.25">
      <c r="A18" s="8">
        <v>15</v>
      </c>
      <c r="B18" s="7" t="s">
        <v>20</v>
      </c>
      <c r="C18" s="60">
        <v>23.309000000000001</v>
      </c>
    </row>
    <row r="19" spans="1:3" ht="12" customHeight="1" x14ac:dyDescent="0.25">
      <c r="A19" s="8">
        <v>16</v>
      </c>
      <c r="B19" s="7" t="s">
        <v>22</v>
      </c>
      <c r="C19" s="60">
        <v>6.3030000000000008</v>
      </c>
    </row>
    <row r="20" spans="1:3" ht="12" customHeight="1" x14ac:dyDescent="0.25">
      <c r="A20" s="8">
        <v>17</v>
      </c>
      <c r="B20" s="7" t="s">
        <v>23</v>
      </c>
      <c r="C20" s="60">
        <v>3.5309999999999997</v>
      </c>
    </row>
    <row r="21" spans="1:3" ht="12" customHeight="1" x14ac:dyDescent="0.25">
      <c r="A21" s="8">
        <v>18</v>
      </c>
      <c r="B21" s="7" t="s">
        <v>32</v>
      </c>
      <c r="C21" s="60">
        <v>87.295999999999992</v>
      </c>
    </row>
    <row r="22" spans="1:3" ht="12" customHeight="1" x14ac:dyDescent="0.25">
      <c r="A22" s="8">
        <v>19</v>
      </c>
      <c r="B22" s="7" t="s">
        <v>24</v>
      </c>
      <c r="C22" s="60">
        <v>160.84199999999998</v>
      </c>
    </row>
    <row r="23" spans="1:3" ht="12" customHeight="1" x14ac:dyDescent="0.25">
      <c r="A23" s="8">
        <v>20</v>
      </c>
      <c r="B23" s="7" t="s">
        <v>43</v>
      </c>
      <c r="C23" s="60">
        <v>59.191000000000003</v>
      </c>
    </row>
    <row r="24" spans="1:3" ht="12" customHeight="1" x14ac:dyDescent="0.25">
      <c r="A24" s="8">
        <v>21</v>
      </c>
      <c r="B24" s="7" t="s">
        <v>79</v>
      </c>
      <c r="C24" s="60">
        <v>28.035</v>
      </c>
    </row>
    <row r="25" spans="1:3" ht="12" customHeight="1" x14ac:dyDescent="0.25">
      <c r="A25" s="8">
        <v>22</v>
      </c>
      <c r="B25" s="7" t="s">
        <v>83</v>
      </c>
      <c r="C25" s="60">
        <v>23.48</v>
      </c>
    </row>
    <row r="26" spans="1:3" ht="12" customHeight="1" x14ac:dyDescent="0.25">
      <c r="A26" s="8">
        <v>23</v>
      </c>
      <c r="B26" s="7" t="s">
        <v>80</v>
      </c>
      <c r="C26" s="60">
        <v>28.181999999999999</v>
      </c>
    </row>
    <row r="27" spans="1:3" ht="12" customHeight="1" x14ac:dyDescent="0.25">
      <c r="A27" s="8">
        <v>24</v>
      </c>
      <c r="B27" s="7" t="s">
        <v>81</v>
      </c>
      <c r="C27" s="60">
        <v>20.433</v>
      </c>
    </row>
    <row r="28" spans="1:3" ht="12" customHeight="1" x14ac:dyDescent="0.25">
      <c r="A28" s="8">
        <v>25</v>
      </c>
      <c r="B28" s="7" t="s">
        <v>82</v>
      </c>
      <c r="C28" s="60">
        <v>10.752000000000001</v>
      </c>
    </row>
    <row r="29" spans="1:3" ht="12" customHeight="1" x14ac:dyDescent="0.25">
      <c r="A29" s="8">
        <v>26</v>
      </c>
      <c r="B29" s="7" t="s">
        <v>25</v>
      </c>
      <c r="C29" s="60">
        <v>6.6549999999999994</v>
      </c>
    </row>
    <row r="30" spans="1:3" ht="12" customHeight="1" x14ac:dyDescent="0.25">
      <c r="A30" s="8">
        <v>27</v>
      </c>
      <c r="B30" s="7" t="s">
        <v>26</v>
      </c>
      <c r="C30" s="60">
        <v>13.365</v>
      </c>
    </row>
    <row r="31" spans="1:3" ht="12" customHeight="1" x14ac:dyDescent="0.25">
      <c r="A31" s="8">
        <v>28</v>
      </c>
      <c r="B31" s="7" t="s">
        <v>27</v>
      </c>
      <c r="C31" s="60">
        <v>11.737</v>
      </c>
    </row>
    <row r="32" spans="1:3" ht="12" customHeight="1" x14ac:dyDescent="0.25">
      <c r="A32" s="8">
        <v>29</v>
      </c>
      <c r="B32" s="7" t="s">
        <v>85</v>
      </c>
      <c r="C32" s="60">
        <v>24.527999999999999</v>
      </c>
    </row>
    <row r="33" spans="1:3" ht="12" customHeight="1" x14ac:dyDescent="0.25">
      <c r="A33" s="8">
        <v>30</v>
      </c>
      <c r="B33" s="7" t="s">
        <v>28</v>
      </c>
      <c r="C33" s="60">
        <v>9.6689999999999987</v>
      </c>
    </row>
    <row r="34" spans="1:3" ht="12" customHeight="1" x14ac:dyDescent="0.25">
      <c r="A34" s="8">
        <v>31</v>
      </c>
      <c r="B34" s="7" t="s">
        <v>29</v>
      </c>
      <c r="C34" s="60">
        <v>15.718999999999999</v>
      </c>
    </row>
    <row r="35" spans="1:3" ht="12" customHeight="1" x14ac:dyDescent="0.25">
      <c r="A35" s="8">
        <v>32</v>
      </c>
      <c r="B35" s="7" t="s">
        <v>86</v>
      </c>
      <c r="C35" s="60">
        <v>22.144500000000001</v>
      </c>
    </row>
    <row r="36" spans="1:3" ht="12" customHeight="1" x14ac:dyDescent="0.25">
      <c r="A36" s="8">
        <v>33</v>
      </c>
      <c r="B36" s="7" t="s">
        <v>30</v>
      </c>
      <c r="C36" s="60">
        <v>8.7669999999999995</v>
      </c>
    </row>
    <row r="37" spans="1:3" ht="12" customHeight="1" x14ac:dyDescent="0.25">
      <c r="A37" s="8">
        <v>34</v>
      </c>
      <c r="B37" s="7" t="s">
        <v>31</v>
      </c>
      <c r="C37" s="60">
        <v>13.189</v>
      </c>
    </row>
    <row r="38" spans="1:3" ht="12" customHeight="1" x14ac:dyDescent="0.25">
      <c r="A38" s="8">
        <v>35</v>
      </c>
      <c r="B38" s="7" t="s">
        <v>87</v>
      </c>
      <c r="C38" s="60">
        <v>9.702</v>
      </c>
    </row>
    <row r="39" spans="1:3" ht="12" customHeight="1" x14ac:dyDescent="0.25">
      <c r="A39" s="8">
        <v>36</v>
      </c>
      <c r="B39" s="7" t="s">
        <v>88</v>
      </c>
      <c r="C39" s="60">
        <v>20.296499999999998</v>
      </c>
    </row>
    <row r="40" spans="1:3" ht="12" customHeight="1" x14ac:dyDescent="0.25">
      <c r="A40" s="8">
        <v>37</v>
      </c>
      <c r="B40" s="7" t="s">
        <v>33</v>
      </c>
      <c r="C40" s="60">
        <v>9.152000000000001</v>
      </c>
    </row>
    <row r="41" spans="1:3" ht="12" customHeight="1" x14ac:dyDescent="0.25">
      <c r="A41" s="8">
        <v>38</v>
      </c>
      <c r="B41" s="7" t="s">
        <v>34</v>
      </c>
      <c r="C41" s="60">
        <v>15.499000000000001</v>
      </c>
    </row>
    <row r="42" spans="1:3" ht="12" customHeight="1" x14ac:dyDescent="0.25">
      <c r="A42" s="8">
        <v>39</v>
      </c>
      <c r="B42" s="7" t="s">
        <v>89</v>
      </c>
      <c r="C42" s="60">
        <v>20.327999999999999</v>
      </c>
    </row>
    <row r="43" spans="1:3" ht="12" customHeight="1" x14ac:dyDescent="0.25">
      <c r="A43" s="8">
        <v>40</v>
      </c>
      <c r="B43" s="7" t="s">
        <v>35</v>
      </c>
      <c r="C43" s="60">
        <v>8.1300000000000008</v>
      </c>
    </row>
    <row r="44" spans="1:3" ht="12" customHeight="1" x14ac:dyDescent="0.25">
      <c r="A44" s="8">
        <v>41</v>
      </c>
      <c r="B44" s="7" t="s">
        <v>36</v>
      </c>
      <c r="C44" s="60">
        <v>16.894500000000001</v>
      </c>
    </row>
    <row r="45" spans="1:3" ht="12" customHeight="1" x14ac:dyDescent="0.25">
      <c r="A45" s="8">
        <v>42</v>
      </c>
      <c r="B45" s="7" t="s">
        <v>91</v>
      </c>
      <c r="C45" s="60">
        <v>34.702500000000001</v>
      </c>
    </row>
    <row r="46" spans="1:3" ht="12" customHeight="1" x14ac:dyDescent="0.25">
      <c r="A46" s="8">
        <v>43</v>
      </c>
      <c r="B46" s="7" t="s">
        <v>92</v>
      </c>
      <c r="C46" s="60">
        <v>76.272000000000006</v>
      </c>
    </row>
    <row r="47" spans="1:3" ht="12" customHeight="1" x14ac:dyDescent="0.25">
      <c r="A47" s="8">
        <v>44</v>
      </c>
      <c r="B47" s="7" t="s">
        <v>90</v>
      </c>
      <c r="C47" s="60">
        <v>8.4209999999999994</v>
      </c>
    </row>
    <row r="48" spans="1:3" ht="12" customHeight="1" x14ac:dyDescent="0.25">
      <c r="A48" s="61"/>
      <c r="B48" s="62" t="s">
        <v>93</v>
      </c>
      <c r="C48" s="63">
        <f>SUM(C4:C47)</f>
        <v>1859.466000000001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ВОР 2 э. шт.</vt:lpstr>
      <vt:lpstr>Спец 2 э. шт.</vt:lpstr>
      <vt:lpstr>Спец 2 эт. шлиф.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2025-09-01T11:02:25Z</dcterms:created>
  <dcterms:modified xsi:type="dcterms:W3CDTF">2025-10-06T13:20:43Z</dcterms:modified>
</cp:coreProperties>
</file>