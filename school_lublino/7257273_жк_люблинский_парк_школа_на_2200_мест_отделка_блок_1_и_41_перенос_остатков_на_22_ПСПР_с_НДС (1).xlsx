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lublino\"/>
    </mc:Choice>
  </mc:AlternateContent>
  <bookViews>
    <workbookView xWindow="-108" yWindow="-108" windowWidth="19416" windowHeight="10416" activeTab="2"/>
  </bookViews>
  <sheets>
    <sheet name="Изменения" sheetId="1" r:id="rId1"/>
    <sheet name="ТКП" sheetId="2" r:id="rId2"/>
    <sheet name="ВЫПОЛНЕНИЕ" sheetId="3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7" i="3" l="1"/>
  <c r="H267" i="3"/>
  <c r="H243" i="3"/>
  <c r="H240" i="3"/>
  <c r="H237" i="3"/>
  <c r="H226" i="3"/>
  <c r="H55" i="3"/>
  <c r="H53" i="3"/>
  <c r="H50" i="3"/>
  <c r="H17" i="3"/>
  <c r="H16" i="3"/>
  <c r="H14" i="3"/>
  <c r="Z459" i="3"/>
  <c r="AA459" i="3" s="1"/>
  <c r="W459" i="3"/>
  <c r="U459" i="3"/>
  <c r="R459" i="3"/>
  <c r="X459" i="3" s="1"/>
  <c r="O459" i="3"/>
  <c r="L459" i="3"/>
  <c r="Z458" i="3"/>
  <c r="AA458" i="3" s="1"/>
  <c r="W458" i="3"/>
  <c r="U458" i="3"/>
  <c r="R458" i="3"/>
  <c r="X458" i="3" s="1"/>
  <c r="O458" i="3"/>
  <c r="L458" i="3"/>
  <c r="Z457" i="3"/>
  <c r="AA457" i="3" s="1"/>
  <c r="W457" i="3"/>
  <c r="U457" i="3"/>
  <c r="R457" i="3"/>
  <c r="X457" i="3" s="1"/>
  <c r="O457" i="3"/>
  <c r="L457" i="3"/>
  <c r="Z456" i="3"/>
  <c r="AA456" i="3" s="1"/>
  <c r="W456" i="3"/>
  <c r="U456" i="3"/>
  <c r="R456" i="3"/>
  <c r="X456" i="3" s="1"/>
  <c r="O456" i="3"/>
  <c r="L456" i="3"/>
  <c r="Z455" i="3"/>
  <c r="AA455" i="3" s="1"/>
  <c r="W455" i="3"/>
  <c r="U455" i="3"/>
  <c r="R455" i="3"/>
  <c r="X455" i="3" s="1"/>
  <c r="O455" i="3"/>
  <c r="L455" i="3"/>
  <c r="Z454" i="3"/>
  <c r="Y454" i="3"/>
  <c r="U454" i="3"/>
  <c r="T454" i="3"/>
  <c r="S454" i="3"/>
  <c r="O454" i="3"/>
  <c r="N454" i="3"/>
  <c r="M454" i="3"/>
  <c r="V453" i="3"/>
  <c r="S453" i="3"/>
  <c r="Y453" i="3" s="1"/>
  <c r="M453" i="3"/>
  <c r="Z452" i="3"/>
  <c r="Y452" i="3"/>
  <c r="AA452" i="3" s="1"/>
  <c r="W452" i="3"/>
  <c r="V452" i="3"/>
  <c r="U452" i="3"/>
  <c r="R452" i="3"/>
  <c r="X452" i="3" s="1"/>
  <c r="O452" i="3"/>
  <c r="L452" i="3"/>
  <c r="V451" i="3"/>
  <c r="S451" i="3"/>
  <c r="Y451" i="3" s="1"/>
  <c r="M451" i="3"/>
  <c r="Y450" i="3"/>
  <c r="V450" i="3"/>
  <c r="S450" i="3"/>
  <c r="M450" i="3"/>
  <c r="V449" i="3"/>
  <c r="S449" i="3"/>
  <c r="Y449" i="3" s="1"/>
  <c r="M449" i="3"/>
  <c r="Y448" i="3"/>
  <c r="V448" i="3"/>
  <c r="S448" i="3"/>
  <c r="M448" i="3"/>
  <c r="V447" i="3"/>
  <c r="S447" i="3"/>
  <c r="Y447" i="3" s="1"/>
  <c r="M447" i="3"/>
  <c r="Y446" i="3"/>
  <c r="V446" i="3"/>
  <c r="S446" i="3"/>
  <c r="M446" i="3"/>
  <c r="V445" i="3"/>
  <c r="S445" i="3"/>
  <c r="Y445" i="3" s="1"/>
  <c r="M445" i="3"/>
  <c r="Y444" i="3"/>
  <c r="V444" i="3"/>
  <c r="S444" i="3"/>
  <c r="M444" i="3"/>
  <c r="V443" i="3"/>
  <c r="S443" i="3"/>
  <c r="Y443" i="3" s="1"/>
  <c r="M443" i="3"/>
  <c r="Y442" i="3"/>
  <c r="V442" i="3"/>
  <c r="S442" i="3"/>
  <c r="M442" i="3"/>
  <c r="V441" i="3"/>
  <c r="S441" i="3"/>
  <c r="Y441" i="3" s="1"/>
  <c r="M441" i="3"/>
  <c r="Y440" i="3"/>
  <c r="V440" i="3"/>
  <c r="S440" i="3"/>
  <c r="M440" i="3"/>
  <c r="Z439" i="3"/>
  <c r="Y439" i="3"/>
  <c r="AA439" i="3" s="1"/>
  <c r="X439" i="3"/>
  <c r="W439" i="3"/>
  <c r="V439" i="3"/>
  <c r="U439" i="3"/>
  <c r="R439" i="3"/>
  <c r="O439" i="3"/>
  <c r="L439" i="3"/>
  <c r="AA438" i="3"/>
  <c r="Z438" i="3"/>
  <c r="X438" i="3"/>
  <c r="W438" i="3"/>
  <c r="U438" i="3"/>
  <c r="R438" i="3"/>
  <c r="O438" i="3"/>
  <c r="L438" i="3"/>
  <c r="AA437" i="3"/>
  <c r="Z437" i="3"/>
  <c r="X437" i="3"/>
  <c r="W437" i="3"/>
  <c r="U437" i="3"/>
  <c r="R437" i="3"/>
  <c r="O437" i="3"/>
  <c r="L437" i="3"/>
  <c r="AA436" i="3"/>
  <c r="Z436" i="3"/>
  <c r="X436" i="3"/>
  <c r="W436" i="3"/>
  <c r="U436" i="3"/>
  <c r="R436" i="3"/>
  <c r="O436" i="3"/>
  <c r="L436" i="3"/>
  <c r="AA435" i="3"/>
  <c r="Z435" i="3"/>
  <c r="X435" i="3"/>
  <c r="W435" i="3"/>
  <c r="U435" i="3"/>
  <c r="R435" i="3"/>
  <c r="O435" i="3"/>
  <c r="L435" i="3"/>
  <c r="AA434" i="3"/>
  <c r="Z434" i="3"/>
  <c r="X434" i="3"/>
  <c r="W434" i="3"/>
  <c r="U434" i="3"/>
  <c r="R434" i="3"/>
  <c r="O434" i="3"/>
  <c r="L434" i="3"/>
  <c r="AA433" i="3"/>
  <c r="Z433" i="3"/>
  <c r="X433" i="3"/>
  <c r="W433" i="3"/>
  <c r="U433" i="3"/>
  <c r="R433" i="3"/>
  <c r="O433" i="3"/>
  <c r="L433" i="3"/>
  <c r="AA432" i="3"/>
  <c r="Z432" i="3"/>
  <c r="X432" i="3"/>
  <c r="W432" i="3"/>
  <c r="U432" i="3"/>
  <c r="R432" i="3"/>
  <c r="O432" i="3"/>
  <c r="L432" i="3"/>
  <c r="V431" i="3"/>
  <c r="S431" i="3"/>
  <c r="Y431" i="3" s="1"/>
  <c r="M431" i="3"/>
  <c r="Z430" i="3"/>
  <c r="AA430" i="3" s="1"/>
  <c r="Y430" i="3"/>
  <c r="X430" i="3"/>
  <c r="W430" i="3"/>
  <c r="V430" i="3"/>
  <c r="U430" i="3"/>
  <c r="R430" i="3"/>
  <c r="O430" i="3"/>
  <c r="L430" i="3"/>
  <c r="V429" i="3"/>
  <c r="S429" i="3"/>
  <c r="Y429" i="3" s="1"/>
  <c r="M429" i="3"/>
  <c r="AA428" i="3"/>
  <c r="Z428" i="3"/>
  <c r="Y428" i="3"/>
  <c r="W428" i="3"/>
  <c r="V428" i="3"/>
  <c r="U428" i="3"/>
  <c r="R428" i="3"/>
  <c r="X428" i="3" s="1"/>
  <c r="O428" i="3"/>
  <c r="L428" i="3"/>
  <c r="Y427" i="3"/>
  <c r="V427" i="3"/>
  <c r="S427" i="3"/>
  <c r="M427" i="3"/>
  <c r="Z426" i="3"/>
  <c r="Y426" i="3"/>
  <c r="AA426" i="3" s="1"/>
  <c r="W426" i="3"/>
  <c r="V426" i="3"/>
  <c r="U426" i="3"/>
  <c r="R426" i="3"/>
  <c r="X426" i="3" s="1"/>
  <c r="O426" i="3"/>
  <c r="L426" i="3"/>
  <c r="Y425" i="3"/>
  <c r="V425" i="3"/>
  <c r="S425" i="3"/>
  <c r="M425" i="3"/>
  <c r="V424" i="3"/>
  <c r="S424" i="3"/>
  <c r="Y424" i="3" s="1"/>
  <c r="M424" i="3"/>
  <c r="Y423" i="3"/>
  <c r="V423" i="3"/>
  <c r="S423" i="3"/>
  <c r="M423" i="3"/>
  <c r="V422" i="3"/>
  <c r="S422" i="3"/>
  <c r="Y422" i="3" s="1"/>
  <c r="M422" i="3"/>
  <c r="Y421" i="3"/>
  <c r="V421" i="3"/>
  <c r="S421" i="3"/>
  <c r="M421" i="3"/>
  <c r="V420" i="3"/>
  <c r="S420" i="3"/>
  <c r="Y420" i="3" s="1"/>
  <c r="M420" i="3"/>
  <c r="Y419" i="3"/>
  <c r="V419" i="3"/>
  <c r="S419" i="3"/>
  <c r="M419" i="3"/>
  <c r="V418" i="3"/>
  <c r="S418" i="3"/>
  <c r="Y418" i="3" s="1"/>
  <c r="M418" i="3"/>
  <c r="Y417" i="3"/>
  <c r="V417" i="3"/>
  <c r="S417" i="3"/>
  <c r="M417" i="3"/>
  <c r="V416" i="3"/>
  <c r="S416" i="3"/>
  <c r="Y416" i="3" s="1"/>
  <c r="M416" i="3"/>
  <c r="Y415" i="3"/>
  <c r="V415" i="3"/>
  <c r="S415" i="3"/>
  <c r="M415" i="3"/>
  <c r="V414" i="3"/>
  <c r="S414" i="3"/>
  <c r="Y414" i="3" s="1"/>
  <c r="M414" i="3"/>
  <c r="Y413" i="3"/>
  <c r="V413" i="3"/>
  <c r="S413" i="3"/>
  <c r="M413" i="3"/>
  <c r="V412" i="3"/>
  <c r="S412" i="3"/>
  <c r="Y412" i="3" s="1"/>
  <c r="M412" i="3"/>
  <c r="AA411" i="3"/>
  <c r="Z411" i="3"/>
  <c r="Y411" i="3"/>
  <c r="W411" i="3"/>
  <c r="V411" i="3"/>
  <c r="U411" i="3"/>
  <c r="R411" i="3"/>
  <c r="X411" i="3" s="1"/>
  <c r="O411" i="3"/>
  <c r="L411" i="3"/>
  <c r="Y410" i="3"/>
  <c r="V410" i="3"/>
  <c r="S410" i="3"/>
  <c r="M410" i="3"/>
  <c r="V409" i="3"/>
  <c r="S409" i="3"/>
  <c r="Y409" i="3" s="1"/>
  <c r="M409" i="3"/>
  <c r="Y408" i="3"/>
  <c r="V408" i="3"/>
  <c r="S408" i="3"/>
  <c r="M408" i="3"/>
  <c r="V407" i="3"/>
  <c r="S407" i="3"/>
  <c r="Y407" i="3" s="1"/>
  <c r="M407" i="3"/>
  <c r="Y406" i="3"/>
  <c r="V406" i="3"/>
  <c r="S406" i="3"/>
  <c r="M406" i="3"/>
  <c r="V405" i="3"/>
  <c r="S405" i="3"/>
  <c r="Y405" i="3" s="1"/>
  <c r="M405" i="3"/>
  <c r="Y404" i="3"/>
  <c r="V404" i="3"/>
  <c r="S404" i="3"/>
  <c r="M404" i="3"/>
  <c r="V403" i="3"/>
  <c r="S403" i="3"/>
  <c r="Y403" i="3" s="1"/>
  <c r="M403" i="3"/>
  <c r="Y402" i="3"/>
  <c r="V402" i="3"/>
  <c r="S402" i="3"/>
  <c r="M402" i="3"/>
  <c r="V401" i="3"/>
  <c r="S401" i="3"/>
  <c r="Y401" i="3" s="1"/>
  <c r="M401" i="3"/>
  <c r="Y400" i="3"/>
  <c r="V400" i="3"/>
  <c r="S400" i="3"/>
  <c r="M400" i="3"/>
  <c r="V399" i="3"/>
  <c r="S399" i="3"/>
  <c r="Y399" i="3" s="1"/>
  <c r="M399" i="3"/>
  <c r="Y398" i="3"/>
  <c r="V398" i="3"/>
  <c r="S398" i="3"/>
  <c r="M398" i="3"/>
  <c r="V397" i="3"/>
  <c r="S397" i="3"/>
  <c r="Y397" i="3" s="1"/>
  <c r="M397" i="3"/>
  <c r="Z396" i="3"/>
  <c r="AA396" i="3" s="1"/>
  <c r="Y396" i="3"/>
  <c r="X396" i="3"/>
  <c r="W396" i="3"/>
  <c r="V396" i="3"/>
  <c r="U396" i="3"/>
  <c r="R396" i="3"/>
  <c r="O396" i="3"/>
  <c r="L396" i="3"/>
  <c r="V395" i="3"/>
  <c r="S395" i="3"/>
  <c r="Y395" i="3" s="1"/>
  <c r="M395" i="3"/>
  <c r="AA394" i="3"/>
  <c r="AA393" i="3" s="1"/>
  <c r="Z394" i="3"/>
  <c r="Z393" i="3" s="1"/>
  <c r="Y394" i="3"/>
  <c r="Y393" i="3" s="1"/>
  <c r="W394" i="3"/>
  <c r="V394" i="3"/>
  <c r="U394" i="3"/>
  <c r="U393" i="3" s="1"/>
  <c r="R394" i="3"/>
  <c r="X394" i="3" s="1"/>
  <c r="O394" i="3"/>
  <c r="O393" i="3" s="1"/>
  <c r="L394" i="3"/>
  <c r="T393" i="3"/>
  <c r="S393" i="3"/>
  <c r="N393" i="3"/>
  <c r="M393" i="3"/>
  <c r="V392" i="3"/>
  <c r="S392" i="3"/>
  <c r="Y392" i="3" s="1"/>
  <c r="M392" i="3"/>
  <c r="Y391" i="3"/>
  <c r="V391" i="3"/>
  <c r="S391" i="3"/>
  <c r="M391" i="3"/>
  <c r="Z390" i="3"/>
  <c r="Y390" i="3"/>
  <c r="AA390" i="3" s="1"/>
  <c r="X390" i="3"/>
  <c r="W390" i="3"/>
  <c r="V390" i="3"/>
  <c r="U390" i="3"/>
  <c r="R390" i="3"/>
  <c r="O390" i="3"/>
  <c r="L390" i="3"/>
  <c r="Y389" i="3"/>
  <c r="V389" i="3"/>
  <c r="S389" i="3"/>
  <c r="M389" i="3"/>
  <c r="Y388" i="3"/>
  <c r="V388" i="3"/>
  <c r="S388" i="3"/>
  <c r="M388" i="3"/>
  <c r="Z387" i="3"/>
  <c r="AA387" i="3" s="1"/>
  <c r="Y387" i="3"/>
  <c r="X387" i="3"/>
  <c r="W387" i="3"/>
  <c r="V387" i="3"/>
  <c r="U387" i="3"/>
  <c r="R387" i="3"/>
  <c r="O387" i="3"/>
  <c r="L387" i="3"/>
  <c r="Y386" i="3"/>
  <c r="V386" i="3"/>
  <c r="S386" i="3"/>
  <c r="M386" i="3"/>
  <c r="V385" i="3"/>
  <c r="S385" i="3"/>
  <c r="Y385" i="3" s="1"/>
  <c r="M385" i="3"/>
  <c r="Z384" i="3"/>
  <c r="AA384" i="3" s="1"/>
  <c r="Y384" i="3"/>
  <c r="W384" i="3"/>
  <c r="V384" i="3"/>
  <c r="U384" i="3"/>
  <c r="R384" i="3"/>
  <c r="X384" i="3" s="1"/>
  <c r="O384" i="3"/>
  <c r="L384" i="3"/>
  <c r="Y383" i="3"/>
  <c r="V383" i="3"/>
  <c r="S383" i="3"/>
  <c r="M383" i="3"/>
  <c r="V382" i="3"/>
  <c r="S382" i="3"/>
  <c r="Y382" i="3" s="1"/>
  <c r="M382" i="3"/>
  <c r="AA381" i="3"/>
  <c r="Z381" i="3"/>
  <c r="Y381" i="3"/>
  <c r="W381" i="3"/>
  <c r="V381" i="3"/>
  <c r="U381" i="3"/>
  <c r="R381" i="3"/>
  <c r="X381" i="3" s="1"/>
  <c r="O381" i="3"/>
  <c r="L381" i="3"/>
  <c r="V380" i="3"/>
  <c r="S380" i="3"/>
  <c r="Y380" i="3" s="1"/>
  <c r="M380" i="3"/>
  <c r="Y379" i="3"/>
  <c r="V379" i="3"/>
  <c r="S379" i="3"/>
  <c r="M379" i="3"/>
  <c r="Z378" i="3"/>
  <c r="Y378" i="3"/>
  <c r="AA378" i="3" s="1"/>
  <c r="X378" i="3"/>
  <c r="W378" i="3"/>
  <c r="V378" i="3"/>
  <c r="U378" i="3"/>
  <c r="R378" i="3"/>
  <c r="O378" i="3"/>
  <c r="L378" i="3"/>
  <c r="V377" i="3"/>
  <c r="S377" i="3"/>
  <c r="Y377" i="3" s="1"/>
  <c r="M377" i="3"/>
  <c r="Y376" i="3"/>
  <c r="V376" i="3"/>
  <c r="S376" i="3"/>
  <c r="M376" i="3"/>
  <c r="Z375" i="3"/>
  <c r="Y375" i="3"/>
  <c r="AA375" i="3" s="1"/>
  <c r="X375" i="3"/>
  <c r="W375" i="3"/>
  <c r="V375" i="3"/>
  <c r="U375" i="3"/>
  <c r="R375" i="3"/>
  <c r="O375" i="3"/>
  <c r="L375" i="3"/>
  <c r="Y374" i="3"/>
  <c r="V374" i="3"/>
  <c r="S374" i="3"/>
  <c r="M374" i="3"/>
  <c r="V373" i="3"/>
  <c r="S373" i="3"/>
  <c r="Y373" i="3" s="1"/>
  <c r="M373" i="3"/>
  <c r="Z372" i="3"/>
  <c r="Y372" i="3"/>
  <c r="W372" i="3"/>
  <c r="V372" i="3"/>
  <c r="U372" i="3"/>
  <c r="R372" i="3"/>
  <c r="X372" i="3" s="1"/>
  <c r="O372" i="3"/>
  <c r="L372" i="3"/>
  <c r="Y371" i="3"/>
  <c r="V371" i="3"/>
  <c r="S371" i="3"/>
  <c r="M371" i="3"/>
  <c r="V370" i="3"/>
  <c r="S370" i="3"/>
  <c r="Y370" i="3" s="1"/>
  <c r="M370" i="3"/>
  <c r="AA369" i="3"/>
  <c r="Z369" i="3"/>
  <c r="Y369" i="3"/>
  <c r="W369" i="3"/>
  <c r="V369" i="3"/>
  <c r="U369" i="3"/>
  <c r="R369" i="3"/>
  <c r="X369" i="3" s="1"/>
  <c r="O369" i="3"/>
  <c r="O365" i="3" s="1"/>
  <c r="L369" i="3"/>
  <c r="V368" i="3"/>
  <c r="S368" i="3"/>
  <c r="Y368" i="3" s="1"/>
  <c r="M368" i="3"/>
  <c r="Y367" i="3"/>
  <c r="V367" i="3"/>
  <c r="S367" i="3"/>
  <c r="M367" i="3"/>
  <c r="Z366" i="3"/>
  <c r="Y366" i="3"/>
  <c r="AA366" i="3" s="1"/>
  <c r="X366" i="3"/>
  <c r="W366" i="3"/>
  <c r="V366" i="3"/>
  <c r="U366" i="3"/>
  <c r="R366" i="3"/>
  <c r="O366" i="3"/>
  <c r="L366" i="3"/>
  <c r="Y365" i="3"/>
  <c r="U365" i="3"/>
  <c r="T365" i="3"/>
  <c r="S365" i="3"/>
  <c r="N365" i="3"/>
  <c r="M365" i="3"/>
  <c r="V364" i="3"/>
  <c r="S364" i="3"/>
  <c r="Y364" i="3" s="1"/>
  <c r="M364" i="3"/>
  <c r="AA363" i="3"/>
  <c r="Z363" i="3"/>
  <c r="Y363" i="3"/>
  <c r="X363" i="3"/>
  <c r="W363" i="3"/>
  <c r="V363" i="3"/>
  <c r="U363" i="3"/>
  <c r="R363" i="3"/>
  <c r="O363" i="3"/>
  <c r="L363" i="3"/>
  <c r="V362" i="3"/>
  <c r="S362" i="3"/>
  <c r="Y362" i="3" s="1"/>
  <c r="M362" i="3"/>
  <c r="Y361" i="3"/>
  <c r="V361" i="3"/>
  <c r="S361" i="3"/>
  <c r="M361" i="3"/>
  <c r="Z360" i="3"/>
  <c r="Y360" i="3"/>
  <c r="AA360" i="3" s="1"/>
  <c r="X360" i="3"/>
  <c r="W360" i="3"/>
  <c r="V360" i="3"/>
  <c r="U360" i="3"/>
  <c r="R360" i="3"/>
  <c r="O360" i="3"/>
  <c r="L360" i="3"/>
  <c r="V359" i="3"/>
  <c r="S359" i="3"/>
  <c r="Y359" i="3" s="1"/>
  <c r="M359" i="3"/>
  <c r="Y358" i="3"/>
  <c r="V358" i="3"/>
  <c r="S358" i="3"/>
  <c r="M358" i="3"/>
  <c r="Z357" i="3"/>
  <c r="Y357" i="3"/>
  <c r="AA357" i="3" s="1"/>
  <c r="W357" i="3"/>
  <c r="V357" i="3"/>
  <c r="U357" i="3"/>
  <c r="R357" i="3"/>
  <c r="X357" i="3" s="1"/>
  <c r="O357" i="3"/>
  <c r="L357" i="3"/>
  <c r="Y356" i="3"/>
  <c r="V356" i="3"/>
  <c r="S356" i="3"/>
  <c r="M356" i="3"/>
  <c r="V355" i="3"/>
  <c r="S355" i="3"/>
  <c r="Y355" i="3" s="1"/>
  <c r="M355" i="3"/>
  <c r="Y354" i="3"/>
  <c r="V354" i="3"/>
  <c r="S354" i="3"/>
  <c r="M354" i="3"/>
  <c r="Z353" i="3"/>
  <c r="Y353" i="3"/>
  <c r="AA353" i="3" s="1"/>
  <c r="X353" i="3"/>
  <c r="W353" i="3"/>
  <c r="V353" i="3"/>
  <c r="U353" i="3"/>
  <c r="R353" i="3"/>
  <c r="O353" i="3"/>
  <c r="L353" i="3"/>
  <c r="V352" i="3"/>
  <c r="S352" i="3"/>
  <c r="Y352" i="3" s="1"/>
  <c r="M352" i="3"/>
  <c r="Y351" i="3"/>
  <c r="V351" i="3"/>
  <c r="S351" i="3"/>
  <c r="M351" i="3"/>
  <c r="V350" i="3"/>
  <c r="S350" i="3"/>
  <c r="Y350" i="3" s="1"/>
  <c r="M350" i="3"/>
  <c r="AA349" i="3"/>
  <c r="Z349" i="3"/>
  <c r="Y349" i="3"/>
  <c r="X349" i="3"/>
  <c r="W349" i="3"/>
  <c r="V349" i="3"/>
  <c r="U349" i="3"/>
  <c r="U336" i="3" s="1"/>
  <c r="U335" i="3" s="1"/>
  <c r="R349" i="3"/>
  <c r="O349" i="3"/>
  <c r="L349" i="3"/>
  <c r="V348" i="3"/>
  <c r="S348" i="3"/>
  <c r="Y348" i="3" s="1"/>
  <c r="M348" i="3"/>
  <c r="Y347" i="3"/>
  <c r="V347" i="3"/>
  <c r="S347" i="3"/>
  <c r="M347" i="3"/>
  <c r="Z346" i="3"/>
  <c r="Y346" i="3"/>
  <c r="AA346" i="3" s="1"/>
  <c r="X346" i="3"/>
  <c r="W346" i="3"/>
  <c r="V346" i="3"/>
  <c r="U346" i="3"/>
  <c r="R346" i="3"/>
  <c r="O346" i="3"/>
  <c r="L346" i="3"/>
  <c r="V345" i="3"/>
  <c r="S345" i="3"/>
  <c r="Y345" i="3" s="1"/>
  <c r="M345" i="3"/>
  <c r="Y344" i="3"/>
  <c r="V344" i="3"/>
  <c r="S344" i="3"/>
  <c r="M344" i="3"/>
  <c r="Z343" i="3"/>
  <c r="Y343" i="3"/>
  <c r="AA343" i="3" s="1"/>
  <c r="W343" i="3"/>
  <c r="V343" i="3"/>
  <c r="U343" i="3"/>
  <c r="R343" i="3"/>
  <c r="X343" i="3" s="1"/>
  <c r="O343" i="3"/>
  <c r="O336" i="3" s="1"/>
  <c r="O335" i="3" s="1"/>
  <c r="L343" i="3"/>
  <c r="Y342" i="3"/>
  <c r="V342" i="3"/>
  <c r="S342" i="3"/>
  <c r="M342" i="3"/>
  <c r="V341" i="3"/>
  <c r="S341" i="3"/>
  <c r="Y341" i="3" s="1"/>
  <c r="M341" i="3"/>
  <c r="Y340" i="3"/>
  <c r="V340" i="3"/>
  <c r="S340" i="3"/>
  <c r="M340" i="3"/>
  <c r="V339" i="3"/>
  <c r="S339" i="3"/>
  <c r="Y339" i="3" s="1"/>
  <c r="M339" i="3"/>
  <c r="Y338" i="3"/>
  <c r="V338" i="3"/>
  <c r="S338" i="3"/>
  <c r="M338" i="3"/>
  <c r="Z337" i="3"/>
  <c r="Y337" i="3"/>
  <c r="AA337" i="3" s="1"/>
  <c r="X337" i="3"/>
  <c r="W337" i="3"/>
  <c r="V337" i="3"/>
  <c r="U337" i="3"/>
  <c r="R337" i="3"/>
  <c r="O337" i="3"/>
  <c r="L337" i="3"/>
  <c r="Z336" i="3"/>
  <c r="T336" i="3"/>
  <c r="S336" i="3"/>
  <c r="S335" i="3" s="1"/>
  <c r="N336" i="3"/>
  <c r="M336" i="3"/>
  <c r="M335" i="3" s="1"/>
  <c r="T335" i="3"/>
  <c r="N335" i="3"/>
  <c r="Y334" i="3"/>
  <c r="V334" i="3"/>
  <c r="S334" i="3"/>
  <c r="M334" i="3"/>
  <c r="V333" i="3"/>
  <c r="S333" i="3"/>
  <c r="Y333" i="3" s="1"/>
  <c r="M333" i="3"/>
  <c r="Y332" i="3"/>
  <c r="V332" i="3"/>
  <c r="S332" i="3"/>
  <c r="M332" i="3"/>
  <c r="V331" i="3"/>
  <c r="S331" i="3"/>
  <c r="Y331" i="3" s="1"/>
  <c r="M331" i="3"/>
  <c r="AA330" i="3"/>
  <c r="Z330" i="3"/>
  <c r="Y330" i="3"/>
  <c r="W330" i="3"/>
  <c r="V330" i="3"/>
  <c r="U330" i="3"/>
  <c r="R330" i="3"/>
  <c r="X330" i="3" s="1"/>
  <c r="O330" i="3"/>
  <c r="O319" i="3" s="1"/>
  <c r="L330" i="3"/>
  <c r="Y329" i="3"/>
  <c r="V329" i="3"/>
  <c r="S329" i="3"/>
  <c r="M329" i="3"/>
  <c r="V328" i="3"/>
  <c r="S328" i="3"/>
  <c r="Y328" i="3" s="1"/>
  <c r="M328" i="3"/>
  <c r="Z327" i="3"/>
  <c r="AA327" i="3" s="1"/>
  <c r="Y327" i="3"/>
  <c r="X327" i="3"/>
  <c r="W327" i="3"/>
  <c r="V327" i="3"/>
  <c r="U327" i="3"/>
  <c r="R327" i="3"/>
  <c r="O327" i="3"/>
  <c r="L327" i="3"/>
  <c r="V326" i="3"/>
  <c r="S326" i="3"/>
  <c r="Y326" i="3" s="1"/>
  <c r="M326" i="3"/>
  <c r="Y325" i="3"/>
  <c r="V325" i="3"/>
  <c r="S325" i="3"/>
  <c r="M325" i="3"/>
  <c r="Z324" i="3"/>
  <c r="Y324" i="3"/>
  <c r="AA324" i="3" s="1"/>
  <c r="X324" i="3"/>
  <c r="W324" i="3"/>
  <c r="V324" i="3"/>
  <c r="U324" i="3"/>
  <c r="R324" i="3"/>
  <c r="O324" i="3"/>
  <c r="L324" i="3"/>
  <c r="V323" i="3"/>
  <c r="S323" i="3"/>
  <c r="Y323" i="3" s="1"/>
  <c r="M323" i="3"/>
  <c r="Y322" i="3"/>
  <c r="V322" i="3"/>
  <c r="S322" i="3"/>
  <c r="M322" i="3"/>
  <c r="V321" i="3"/>
  <c r="S321" i="3"/>
  <c r="Y321" i="3" s="1"/>
  <c r="M321" i="3"/>
  <c r="Z320" i="3"/>
  <c r="AA320" i="3" s="1"/>
  <c r="AA319" i="3" s="1"/>
  <c r="Y320" i="3"/>
  <c r="X320" i="3"/>
  <c r="W320" i="3"/>
  <c r="V320" i="3"/>
  <c r="U320" i="3"/>
  <c r="U319" i="3" s="1"/>
  <c r="R320" i="3"/>
  <c r="O320" i="3"/>
  <c r="L320" i="3"/>
  <c r="Z319" i="3"/>
  <c r="Y319" i="3"/>
  <c r="T319" i="3"/>
  <c r="T200" i="3" s="1"/>
  <c r="S319" i="3"/>
  <c r="N319" i="3"/>
  <c r="M319" i="3"/>
  <c r="V318" i="3"/>
  <c r="S318" i="3"/>
  <c r="Y318" i="3" s="1"/>
  <c r="M318" i="3"/>
  <c r="Y317" i="3"/>
  <c r="V317" i="3"/>
  <c r="S317" i="3"/>
  <c r="M317" i="3"/>
  <c r="V316" i="3"/>
  <c r="S316" i="3"/>
  <c r="Y316" i="3" s="1"/>
  <c r="M316" i="3"/>
  <c r="Y315" i="3"/>
  <c r="V315" i="3"/>
  <c r="S315" i="3"/>
  <c r="M315" i="3"/>
  <c r="Z314" i="3"/>
  <c r="Y314" i="3"/>
  <c r="AA314" i="3" s="1"/>
  <c r="X314" i="3"/>
  <c r="W314" i="3"/>
  <c r="V314" i="3"/>
  <c r="U314" i="3"/>
  <c r="R314" i="3"/>
  <c r="O314" i="3"/>
  <c r="L314" i="3"/>
  <c r="Y313" i="3"/>
  <c r="V313" i="3"/>
  <c r="S313" i="3"/>
  <c r="M313" i="3"/>
  <c r="V312" i="3"/>
  <c r="S312" i="3"/>
  <c r="Y312" i="3" s="1"/>
  <c r="M312" i="3"/>
  <c r="Y311" i="3"/>
  <c r="V311" i="3"/>
  <c r="S311" i="3"/>
  <c r="M311" i="3"/>
  <c r="V310" i="3"/>
  <c r="S310" i="3"/>
  <c r="Y310" i="3" s="1"/>
  <c r="M310" i="3"/>
  <c r="Z309" i="3"/>
  <c r="AA309" i="3" s="1"/>
  <c r="Y309" i="3"/>
  <c r="W309" i="3"/>
  <c r="V309" i="3"/>
  <c r="U309" i="3"/>
  <c r="R309" i="3"/>
  <c r="X309" i="3" s="1"/>
  <c r="O309" i="3"/>
  <c r="L309" i="3"/>
  <c r="Y308" i="3"/>
  <c r="V308" i="3"/>
  <c r="S308" i="3"/>
  <c r="M308" i="3"/>
  <c r="V307" i="3"/>
  <c r="S307" i="3"/>
  <c r="Y307" i="3" s="1"/>
  <c r="M307" i="3"/>
  <c r="Y306" i="3"/>
  <c r="V306" i="3"/>
  <c r="S306" i="3"/>
  <c r="M306" i="3"/>
  <c r="V305" i="3"/>
  <c r="S305" i="3"/>
  <c r="Y305" i="3" s="1"/>
  <c r="M305" i="3"/>
  <c r="AA304" i="3"/>
  <c r="Z304" i="3"/>
  <c r="Y304" i="3"/>
  <c r="W304" i="3"/>
  <c r="V304" i="3"/>
  <c r="U304" i="3"/>
  <c r="R304" i="3"/>
  <c r="X304" i="3" s="1"/>
  <c r="O304" i="3"/>
  <c r="L304" i="3"/>
  <c r="V303" i="3"/>
  <c r="S303" i="3"/>
  <c r="Y303" i="3" s="1"/>
  <c r="M303" i="3"/>
  <c r="Y302" i="3"/>
  <c r="V302" i="3"/>
  <c r="S302" i="3"/>
  <c r="M302" i="3"/>
  <c r="V301" i="3"/>
  <c r="S301" i="3"/>
  <c r="Y301" i="3" s="1"/>
  <c r="M301" i="3"/>
  <c r="Y300" i="3"/>
  <c r="V300" i="3"/>
  <c r="S300" i="3"/>
  <c r="M300" i="3"/>
  <c r="Z299" i="3"/>
  <c r="Y299" i="3"/>
  <c r="AA299" i="3" s="1"/>
  <c r="X299" i="3"/>
  <c r="W299" i="3"/>
  <c r="V299" i="3"/>
  <c r="U299" i="3"/>
  <c r="R299" i="3"/>
  <c r="O299" i="3"/>
  <c r="L299" i="3"/>
  <c r="V298" i="3"/>
  <c r="S298" i="3"/>
  <c r="Y298" i="3" s="1"/>
  <c r="M298" i="3"/>
  <c r="Y297" i="3"/>
  <c r="V297" i="3"/>
  <c r="S297" i="3"/>
  <c r="M297" i="3"/>
  <c r="V296" i="3"/>
  <c r="S296" i="3"/>
  <c r="Y296" i="3" s="1"/>
  <c r="M296" i="3"/>
  <c r="Y295" i="3"/>
  <c r="V295" i="3"/>
  <c r="S295" i="3"/>
  <c r="M295" i="3"/>
  <c r="Z294" i="3"/>
  <c r="Y294" i="3"/>
  <c r="AA294" i="3" s="1"/>
  <c r="X294" i="3"/>
  <c r="W294" i="3"/>
  <c r="V294" i="3"/>
  <c r="U294" i="3"/>
  <c r="R294" i="3"/>
  <c r="O294" i="3"/>
  <c r="L294" i="3"/>
  <c r="Y293" i="3"/>
  <c r="V293" i="3"/>
  <c r="S293" i="3"/>
  <c r="M293" i="3"/>
  <c r="V292" i="3"/>
  <c r="S292" i="3"/>
  <c r="Y292" i="3" s="1"/>
  <c r="M292" i="3"/>
  <c r="Y291" i="3"/>
  <c r="V291" i="3"/>
  <c r="S291" i="3"/>
  <c r="M291" i="3"/>
  <c r="V290" i="3"/>
  <c r="S290" i="3"/>
  <c r="Y290" i="3" s="1"/>
  <c r="M290" i="3"/>
  <c r="Z289" i="3"/>
  <c r="AA289" i="3" s="1"/>
  <c r="Y289" i="3"/>
  <c r="W289" i="3"/>
  <c r="V289" i="3"/>
  <c r="U289" i="3"/>
  <c r="R289" i="3"/>
  <c r="X289" i="3" s="1"/>
  <c r="O289" i="3"/>
  <c r="L289" i="3"/>
  <c r="Y288" i="3"/>
  <c r="V288" i="3"/>
  <c r="S288" i="3"/>
  <c r="M288" i="3"/>
  <c r="V287" i="3"/>
  <c r="S287" i="3"/>
  <c r="Y287" i="3" s="1"/>
  <c r="M287" i="3"/>
  <c r="Y286" i="3"/>
  <c r="V286" i="3"/>
  <c r="S286" i="3"/>
  <c r="M286" i="3"/>
  <c r="V285" i="3"/>
  <c r="S285" i="3"/>
  <c r="Y285" i="3" s="1"/>
  <c r="M285" i="3"/>
  <c r="AA284" i="3"/>
  <c r="Z284" i="3"/>
  <c r="Y284" i="3"/>
  <c r="W284" i="3"/>
  <c r="V284" i="3"/>
  <c r="U284" i="3"/>
  <c r="R284" i="3"/>
  <c r="X284" i="3" s="1"/>
  <c r="O284" i="3"/>
  <c r="L284" i="3"/>
  <c r="V283" i="3"/>
  <c r="S283" i="3"/>
  <c r="Y283" i="3" s="1"/>
  <c r="M283" i="3"/>
  <c r="Y282" i="3"/>
  <c r="V282" i="3"/>
  <c r="S282" i="3"/>
  <c r="M282" i="3"/>
  <c r="Z281" i="3"/>
  <c r="Y281" i="3"/>
  <c r="AA281" i="3" s="1"/>
  <c r="X281" i="3"/>
  <c r="W281" i="3"/>
  <c r="V281" i="3"/>
  <c r="U281" i="3"/>
  <c r="R281" i="3"/>
  <c r="O281" i="3"/>
  <c r="L281" i="3"/>
  <c r="V280" i="3"/>
  <c r="S280" i="3"/>
  <c r="Y280" i="3" s="1"/>
  <c r="M280" i="3"/>
  <c r="Y279" i="3"/>
  <c r="V279" i="3"/>
  <c r="S279" i="3"/>
  <c r="M279" i="3"/>
  <c r="Z278" i="3"/>
  <c r="Y278" i="3"/>
  <c r="AA278" i="3" s="1"/>
  <c r="X278" i="3"/>
  <c r="W278" i="3"/>
  <c r="V278" i="3"/>
  <c r="U278" i="3"/>
  <c r="R278" i="3"/>
  <c r="O278" i="3"/>
  <c r="L278" i="3"/>
  <c r="Y277" i="3"/>
  <c r="V277" i="3"/>
  <c r="S277" i="3"/>
  <c r="M277" i="3"/>
  <c r="V276" i="3"/>
  <c r="S276" i="3"/>
  <c r="Y276" i="3" s="1"/>
  <c r="M276" i="3"/>
  <c r="Z275" i="3"/>
  <c r="AA275" i="3" s="1"/>
  <c r="Y275" i="3"/>
  <c r="Y271" i="3" s="1"/>
  <c r="W275" i="3"/>
  <c r="V275" i="3"/>
  <c r="U275" i="3"/>
  <c r="R275" i="3"/>
  <c r="X275" i="3" s="1"/>
  <c r="O275" i="3"/>
  <c r="O271" i="3" s="1"/>
  <c r="L275" i="3"/>
  <c r="Y274" i="3"/>
  <c r="V274" i="3"/>
  <c r="S274" i="3"/>
  <c r="M274" i="3"/>
  <c r="V273" i="3"/>
  <c r="S273" i="3"/>
  <c r="Y273" i="3" s="1"/>
  <c r="M273" i="3"/>
  <c r="AA272" i="3"/>
  <c r="AA271" i="3" s="1"/>
  <c r="Z272" i="3"/>
  <c r="Y272" i="3"/>
  <c r="W272" i="3"/>
  <c r="V272" i="3"/>
  <c r="U272" i="3"/>
  <c r="R272" i="3"/>
  <c r="X272" i="3" s="1"/>
  <c r="O272" i="3"/>
  <c r="L272" i="3"/>
  <c r="U271" i="3"/>
  <c r="T271" i="3"/>
  <c r="S271" i="3"/>
  <c r="N271" i="3"/>
  <c r="M271" i="3"/>
  <c r="V270" i="3"/>
  <c r="S270" i="3"/>
  <c r="Y270" i="3" s="1"/>
  <c r="M270" i="3"/>
  <c r="Y269" i="3"/>
  <c r="V269" i="3"/>
  <c r="S269" i="3"/>
  <c r="M269" i="3"/>
  <c r="V268" i="3"/>
  <c r="S268" i="3"/>
  <c r="Y268" i="3" s="1"/>
  <c r="M268" i="3"/>
  <c r="AA267" i="3"/>
  <c r="Z267" i="3"/>
  <c r="Y267" i="3"/>
  <c r="W267" i="3"/>
  <c r="V267" i="3"/>
  <c r="U267" i="3"/>
  <c r="R267" i="3"/>
  <c r="X267" i="3" s="1"/>
  <c r="O267" i="3"/>
  <c r="L267" i="3"/>
  <c r="Y266" i="3"/>
  <c r="V266" i="3"/>
  <c r="S266" i="3"/>
  <c r="M266" i="3"/>
  <c r="V265" i="3"/>
  <c r="S265" i="3"/>
  <c r="Y265" i="3" s="1"/>
  <c r="M265" i="3"/>
  <c r="Y264" i="3"/>
  <c r="V264" i="3"/>
  <c r="S264" i="3"/>
  <c r="M264" i="3"/>
  <c r="Z263" i="3"/>
  <c r="Y263" i="3"/>
  <c r="AA263" i="3" s="1"/>
  <c r="X263" i="3"/>
  <c r="W263" i="3"/>
  <c r="V263" i="3"/>
  <c r="U263" i="3"/>
  <c r="R263" i="3"/>
  <c r="O263" i="3"/>
  <c r="L263" i="3"/>
  <c r="Y262" i="3"/>
  <c r="V262" i="3"/>
  <c r="S262" i="3"/>
  <c r="M262" i="3"/>
  <c r="V261" i="3"/>
  <c r="S261" i="3"/>
  <c r="Y261" i="3" s="1"/>
  <c r="M261" i="3"/>
  <c r="Y260" i="3"/>
  <c r="V260" i="3"/>
  <c r="S260" i="3"/>
  <c r="M260" i="3"/>
  <c r="V259" i="3"/>
  <c r="S259" i="3"/>
  <c r="Y259" i="3" s="1"/>
  <c r="M259" i="3"/>
  <c r="AA258" i="3"/>
  <c r="Z258" i="3"/>
  <c r="Y258" i="3"/>
  <c r="W258" i="3"/>
  <c r="V258" i="3"/>
  <c r="U258" i="3"/>
  <c r="R258" i="3"/>
  <c r="X258" i="3" s="1"/>
  <c r="O258" i="3"/>
  <c r="L258" i="3"/>
  <c r="Y257" i="3"/>
  <c r="V257" i="3"/>
  <c r="S257" i="3"/>
  <c r="M257" i="3"/>
  <c r="V256" i="3"/>
  <c r="S256" i="3"/>
  <c r="Y256" i="3" s="1"/>
  <c r="M256" i="3"/>
  <c r="Y255" i="3"/>
  <c r="V255" i="3"/>
  <c r="S255" i="3"/>
  <c r="M255" i="3"/>
  <c r="V254" i="3"/>
  <c r="S254" i="3"/>
  <c r="Y254" i="3" s="1"/>
  <c r="M254" i="3"/>
  <c r="AA253" i="3"/>
  <c r="Z253" i="3"/>
  <c r="Y253" i="3"/>
  <c r="W253" i="3"/>
  <c r="V253" i="3"/>
  <c r="U253" i="3"/>
  <c r="R253" i="3"/>
  <c r="X253" i="3" s="1"/>
  <c r="O253" i="3"/>
  <c r="L253" i="3"/>
  <c r="V252" i="3"/>
  <c r="S252" i="3"/>
  <c r="Y252" i="3" s="1"/>
  <c r="M252" i="3"/>
  <c r="Y251" i="3"/>
  <c r="V251" i="3"/>
  <c r="S251" i="3"/>
  <c r="M251" i="3"/>
  <c r="V250" i="3"/>
  <c r="S250" i="3"/>
  <c r="Y250" i="3" s="1"/>
  <c r="M250" i="3"/>
  <c r="Y249" i="3"/>
  <c r="V249" i="3"/>
  <c r="S249" i="3"/>
  <c r="M249" i="3"/>
  <c r="Z248" i="3"/>
  <c r="Y248" i="3"/>
  <c r="AA248" i="3" s="1"/>
  <c r="X248" i="3"/>
  <c r="W248" i="3"/>
  <c r="V248" i="3"/>
  <c r="U248" i="3"/>
  <c r="R248" i="3"/>
  <c r="O248" i="3"/>
  <c r="L248" i="3"/>
  <c r="V247" i="3"/>
  <c r="S247" i="3"/>
  <c r="Y247" i="3" s="1"/>
  <c r="M247" i="3"/>
  <c r="Y246" i="3"/>
  <c r="V246" i="3"/>
  <c r="S246" i="3"/>
  <c r="M246" i="3"/>
  <c r="V245" i="3"/>
  <c r="S245" i="3"/>
  <c r="Y245" i="3" s="1"/>
  <c r="M245" i="3"/>
  <c r="Y244" i="3"/>
  <c r="V244" i="3"/>
  <c r="S244" i="3"/>
  <c r="M244" i="3"/>
  <c r="Z243" i="3"/>
  <c r="Y243" i="3"/>
  <c r="AA243" i="3" s="1"/>
  <c r="X243" i="3"/>
  <c r="W243" i="3"/>
  <c r="V243" i="3"/>
  <c r="U243" i="3"/>
  <c r="R243" i="3"/>
  <c r="O243" i="3"/>
  <c r="L243" i="3"/>
  <c r="Y242" i="3"/>
  <c r="V242" i="3"/>
  <c r="S242" i="3"/>
  <c r="M242" i="3"/>
  <c r="V241" i="3"/>
  <c r="S241" i="3"/>
  <c r="Y241" i="3" s="1"/>
  <c r="M241" i="3"/>
  <c r="AA240" i="3"/>
  <c r="Z240" i="3"/>
  <c r="Y240" i="3"/>
  <c r="W240" i="3"/>
  <c r="V240" i="3"/>
  <c r="U240" i="3"/>
  <c r="R240" i="3"/>
  <c r="X240" i="3" s="1"/>
  <c r="O240" i="3"/>
  <c r="L240" i="3"/>
  <c r="Y239" i="3"/>
  <c r="V239" i="3"/>
  <c r="S239" i="3"/>
  <c r="M239" i="3"/>
  <c r="V238" i="3"/>
  <c r="S238" i="3"/>
  <c r="Y238" i="3" s="1"/>
  <c r="M238" i="3"/>
  <c r="Z237" i="3"/>
  <c r="AA237" i="3" s="1"/>
  <c r="Y237" i="3"/>
  <c r="W237" i="3"/>
  <c r="V237" i="3"/>
  <c r="U237" i="3"/>
  <c r="R237" i="3"/>
  <c r="X237" i="3" s="1"/>
  <c r="O237" i="3"/>
  <c r="L237" i="3"/>
  <c r="V236" i="3"/>
  <c r="S236" i="3"/>
  <c r="Y236" i="3" s="1"/>
  <c r="M236" i="3"/>
  <c r="Y235" i="3"/>
  <c r="V235" i="3"/>
  <c r="S235" i="3"/>
  <c r="M235" i="3"/>
  <c r="Z234" i="3"/>
  <c r="Y234" i="3"/>
  <c r="AA234" i="3" s="1"/>
  <c r="X234" i="3"/>
  <c r="W234" i="3"/>
  <c r="V234" i="3"/>
  <c r="U234" i="3"/>
  <c r="R234" i="3"/>
  <c r="O234" i="3"/>
  <c r="L234" i="3"/>
  <c r="V233" i="3"/>
  <c r="S233" i="3"/>
  <c r="Y233" i="3" s="1"/>
  <c r="M233" i="3"/>
  <c r="Y232" i="3"/>
  <c r="V232" i="3"/>
  <c r="S232" i="3"/>
  <c r="M232" i="3"/>
  <c r="Z231" i="3"/>
  <c r="Y231" i="3"/>
  <c r="AA231" i="3" s="1"/>
  <c r="W231" i="3"/>
  <c r="V231" i="3"/>
  <c r="U231" i="3"/>
  <c r="R231" i="3"/>
  <c r="X231" i="3" s="1"/>
  <c r="O231" i="3"/>
  <c r="L231" i="3"/>
  <c r="Y230" i="3"/>
  <c r="V230" i="3"/>
  <c r="S230" i="3"/>
  <c r="M230" i="3"/>
  <c r="V229" i="3"/>
  <c r="S229" i="3"/>
  <c r="Y229" i="3" s="1"/>
  <c r="M229" i="3"/>
  <c r="Y228" i="3"/>
  <c r="V228" i="3"/>
  <c r="S228" i="3"/>
  <c r="M228" i="3"/>
  <c r="V227" i="3"/>
  <c r="S227" i="3"/>
  <c r="Y227" i="3" s="1"/>
  <c r="M227" i="3"/>
  <c r="AA226" i="3"/>
  <c r="Z226" i="3"/>
  <c r="Y226" i="3"/>
  <c r="W226" i="3"/>
  <c r="V226" i="3"/>
  <c r="U226" i="3"/>
  <c r="R226" i="3"/>
  <c r="X226" i="3" s="1"/>
  <c r="O226" i="3"/>
  <c r="L226" i="3"/>
  <c r="Y225" i="3"/>
  <c r="V225" i="3"/>
  <c r="S225" i="3"/>
  <c r="M225" i="3"/>
  <c r="V224" i="3"/>
  <c r="S224" i="3"/>
  <c r="Y224" i="3" s="1"/>
  <c r="M224" i="3"/>
  <c r="Z223" i="3"/>
  <c r="AA223" i="3" s="1"/>
  <c r="Y223" i="3"/>
  <c r="X223" i="3"/>
  <c r="W223" i="3"/>
  <c r="V223" i="3"/>
  <c r="U223" i="3"/>
  <c r="R223" i="3"/>
  <c r="O223" i="3"/>
  <c r="L223" i="3"/>
  <c r="V222" i="3"/>
  <c r="S222" i="3"/>
  <c r="Y222" i="3" s="1"/>
  <c r="M222" i="3"/>
  <c r="Y221" i="3"/>
  <c r="V221" i="3"/>
  <c r="S221" i="3"/>
  <c r="M221" i="3"/>
  <c r="V220" i="3"/>
  <c r="S220" i="3"/>
  <c r="Y220" i="3" s="1"/>
  <c r="M220" i="3"/>
  <c r="Y219" i="3"/>
  <c r="V219" i="3"/>
  <c r="S219" i="3"/>
  <c r="M219" i="3"/>
  <c r="Z218" i="3"/>
  <c r="Y218" i="3"/>
  <c r="AA218" i="3" s="1"/>
  <c r="X218" i="3"/>
  <c r="W218" i="3"/>
  <c r="V218" i="3"/>
  <c r="U218" i="3"/>
  <c r="R218" i="3"/>
  <c r="O218" i="3"/>
  <c r="L218" i="3"/>
  <c r="V217" i="3"/>
  <c r="S217" i="3"/>
  <c r="Y217" i="3" s="1"/>
  <c r="M217" i="3"/>
  <c r="Y216" i="3"/>
  <c r="V216" i="3"/>
  <c r="S216" i="3"/>
  <c r="M216" i="3"/>
  <c r="V215" i="3"/>
  <c r="S215" i="3"/>
  <c r="Y215" i="3" s="1"/>
  <c r="M215" i="3"/>
  <c r="Z214" i="3"/>
  <c r="AA214" i="3" s="1"/>
  <c r="Y214" i="3"/>
  <c r="X214" i="3"/>
  <c r="W214" i="3"/>
  <c r="V214" i="3"/>
  <c r="U214" i="3"/>
  <c r="R214" i="3"/>
  <c r="O214" i="3"/>
  <c r="L214" i="3"/>
  <c r="V213" i="3"/>
  <c r="S213" i="3"/>
  <c r="Y213" i="3" s="1"/>
  <c r="M213" i="3"/>
  <c r="Y212" i="3"/>
  <c r="V212" i="3"/>
  <c r="S212" i="3"/>
  <c r="M212" i="3"/>
  <c r="V211" i="3"/>
  <c r="S211" i="3"/>
  <c r="Y211" i="3" s="1"/>
  <c r="M211" i="3"/>
  <c r="Y210" i="3"/>
  <c r="V210" i="3"/>
  <c r="S210" i="3"/>
  <c r="M210" i="3"/>
  <c r="Z209" i="3"/>
  <c r="Y209" i="3"/>
  <c r="AA209" i="3" s="1"/>
  <c r="X209" i="3"/>
  <c r="W209" i="3"/>
  <c r="V209" i="3"/>
  <c r="U209" i="3"/>
  <c r="R209" i="3"/>
  <c r="O209" i="3"/>
  <c r="L209" i="3"/>
  <c r="V208" i="3"/>
  <c r="S208" i="3"/>
  <c r="Y208" i="3" s="1"/>
  <c r="M208" i="3"/>
  <c r="Y207" i="3"/>
  <c r="V207" i="3"/>
  <c r="S207" i="3"/>
  <c r="M207" i="3"/>
  <c r="V206" i="3"/>
  <c r="S206" i="3"/>
  <c r="Y206" i="3" s="1"/>
  <c r="M206" i="3"/>
  <c r="Z205" i="3"/>
  <c r="AA205" i="3" s="1"/>
  <c r="Y205" i="3"/>
  <c r="X205" i="3"/>
  <c r="W205" i="3"/>
  <c r="V205" i="3"/>
  <c r="U205" i="3"/>
  <c r="U201" i="3" s="1"/>
  <c r="U200" i="3" s="1"/>
  <c r="R205" i="3"/>
  <c r="O205" i="3"/>
  <c r="O201" i="3" s="1"/>
  <c r="O200" i="3" s="1"/>
  <c r="L205" i="3"/>
  <c r="V204" i="3"/>
  <c r="S204" i="3"/>
  <c r="Y204" i="3" s="1"/>
  <c r="M204" i="3"/>
  <c r="Y203" i="3"/>
  <c r="V203" i="3"/>
  <c r="S203" i="3"/>
  <c r="M203" i="3"/>
  <c r="Z202" i="3"/>
  <c r="Y202" i="3"/>
  <c r="AA202" i="3" s="1"/>
  <c r="X202" i="3"/>
  <c r="W202" i="3"/>
  <c r="V202" i="3"/>
  <c r="U202" i="3"/>
  <c r="R202" i="3"/>
  <c r="O202" i="3"/>
  <c r="L202" i="3"/>
  <c r="Z201" i="3"/>
  <c r="T201" i="3"/>
  <c r="S201" i="3"/>
  <c r="S200" i="3" s="1"/>
  <c r="N201" i="3"/>
  <c r="N200" i="3" s="1"/>
  <c r="M201" i="3"/>
  <c r="M200" i="3"/>
  <c r="Y199" i="3"/>
  <c r="V199" i="3"/>
  <c r="S199" i="3"/>
  <c r="M199" i="3"/>
  <c r="Z198" i="3"/>
  <c r="Y198" i="3"/>
  <c r="AA198" i="3" s="1"/>
  <c r="AA197" i="3" s="1"/>
  <c r="X198" i="3"/>
  <c r="W198" i="3"/>
  <c r="V198" i="3"/>
  <c r="U198" i="3"/>
  <c r="R198" i="3"/>
  <c r="O198" i="3"/>
  <c r="L198" i="3"/>
  <c r="Z197" i="3"/>
  <c r="Y197" i="3"/>
  <c r="U197" i="3"/>
  <c r="T197" i="3"/>
  <c r="S197" i="3"/>
  <c r="O197" i="3"/>
  <c r="N197" i="3"/>
  <c r="M197" i="3"/>
  <c r="Y196" i="3"/>
  <c r="V196" i="3"/>
  <c r="S196" i="3"/>
  <c r="M196" i="3"/>
  <c r="V195" i="3"/>
  <c r="S195" i="3"/>
  <c r="Y195" i="3" s="1"/>
  <c r="M195" i="3"/>
  <c r="Y194" i="3"/>
  <c r="V194" i="3"/>
  <c r="S194" i="3"/>
  <c r="M194" i="3"/>
  <c r="V193" i="3"/>
  <c r="S193" i="3"/>
  <c r="Y193" i="3" s="1"/>
  <c r="M193" i="3"/>
  <c r="Z192" i="3"/>
  <c r="AA192" i="3" s="1"/>
  <c r="Y192" i="3"/>
  <c r="W192" i="3"/>
  <c r="V192" i="3"/>
  <c r="U192" i="3"/>
  <c r="R192" i="3"/>
  <c r="X192" i="3" s="1"/>
  <c r="O192" i="3"/>
  <c r="L192" i="3"/>
  <c r="Y191" i="3"/>
  <c r="V191" i="3"/>
  <c r="S191" i="3"/>
  <c r="M191" i="3"/>
  <c r="V190" i="3"/>
  <c r="S190" i="3"/>
  <c r="Y190" i="3" s="1"/>
  <c r="M190" i="3"/>
  <c r="Y189" i="3"/>
  <c r="V189" i="3"/>
  <c r="S189" i="3"/>
  <c r="M189" i="3"/>
  <c r="V188" i="3"/>
  <c r="S188" i="3"/>
  <c r="Y188" i="3" s="1"/>
  <c r="M188" i="3"/>
  <c r="AA187" i="3"/>
  <c r="Z187" i="3"/>
  <c r="Y187" i="3"/>
  <c r="W187" i="3"/>
  <c r="V187" i="3"/>
  <c r="U187" i="3"/>
  <c r="R187" i="3"/>
  <c r="X187" i="3" s="1"/>
  <c r="O187" i="3"/>
  <c r="L187" i="3"/>
  <c r="V186" i="3"/>
  <c r="S186" i="3"/>
  <c r="Y186" i="3" s="1"/>
  <c r="M186" i="3"/>
  <c r="Y185" i="3"/>
  <c r="V185" i="3"/>
  <c r="S185" i="3"/>
  <c r="M185" i="3"/>
  <c r="V184" i="3"/>
  <c r="S184" i="3"/>
  <c r="Y184" i="3" s="1"/>
  <c r="M184" i="3"/>
  <c r="Y183" i="3"/>
  <c r="V183" i="3"/>
  <c r="S183" i="3"/>
  <c r="M183" i="3"/>
  <c r="Z182" i="3"/>
  <c r="Y182" i="3"/>
  <c r="AA182" i="3" s="1"/>
  <c r="X182" i="3"/>
  <c r="W182" i="3"/>
  <c r="V182" i="3"/>
  <c r="U182" i="3"/>
  <c r="R182" i="3"/>
  <c r="O182" i="3"/>
  <c r="L182" i="3"/>
  <c r="V181" i="3"/>
  <c r="S181" i="3"/>
  <c r="Y181" i="3" s="1"/>
  <c r="M181" i="3"/>
  <c r="Y180" i="3"/>
  <c r="V180" i="3"/>
  <c r="S180" i="3"/>
  <c r="M180" i="3"/>
  <c r="V179" i="3"/>
  <c r="S179" i="3"/>
  <c r="Y179" i="3" s="1"/>
  <c r="M179" i="3"/>
  <c r="Y178" i="3"/>
  <c r="V178" i="3"/>
  <c r="S178" i="3"/>
  <c r="M178" i="3"/>
  <c r="Z177" i="3"/>
  <c r="Y177" i="3"/>
  <c r="AA177" i="3" s="1"/>
  <c r="X177" i="3"/>
  <c r="W177" i="3"/>
  <c r="V177" i="3"/>
  <c r="U177" i="3"/>
  <c r="R177" i="3"/>
  <c r="O177" i="3"/>
  <c r="L177" i="3"/>
  <c r="Y176" i="3"/>
  <c r="V176" i="3"/>
  <c r="S176" i="3"/>
  <c r="M176" i="3"/>
  <c r="V175" i="3"/>
  <c r="S175" i="3"/>
  <c r="Y175" i="3" s="1"/>
  <c r="M175" i="3"/>
  <c r="Y174" i="3"/>
  <c r="V174" i="3"/>
  <c r="S174" i="3"/>
  <c r="M174" i="3"/>
  <c r="V173" i="3"/>
  <c r="S173" i="3"/>
  <c r="Y173" i="3" s="1"/>
  <c r="M173" i="3"/>
  <c r="Z172" i="3"/>
  <c r="AA172" i="3" s="1"/>
  <c r="Y172" i="3"/>
  <c r="W172" i="3"/>
  <c r="V172" i="3"/>
  <c r="U172" i="3"/>
  <c r="R172" i="3"/>
  <c r="X172" i="3" s="1"/>
  <c r="O172" i="3"/>
  <c r="L172" i="3"/>
  <c r="Y171" i="3"/>
  <c r="V171" i="3"/>
  <c r="S171" i="3"/>
  <c r="M171" i="3"/>
  <c r="V170" i="3"/>
  <c r="S170" i="3"/>
  <c r="Y170" i="3" s="1"/>
  <c r="M170" i="3"/>
  <c r="Y169" i="3"/>
  <c r="V169" i="3"/>
  <c r="S169" i="3"/>
  <c r="M169" i="3"/>
  <c r="V168" i="3"/>
  <c r="S168" i="3"/>
  <c r="Y168" i="3" s="1"/>
  <c r="M168" i="3"/>
  <c r="AA167" i="3"/>
  <c r="Z167" i="3"/>
  <c r="Y167" i="3"/>
  <c r="W167" i="3"/>
  <c r="V167" i="3"/>
  <c r="U167" i="3"/>
  <c r="R167" i="3"/>
  <c r="X167" i="3" s="1"/>
  <c r="O167" i="3"/>
  <c r="L167" i="3"/>
  <c r="V166" i="3"/>
  <c r="S166" i="3"/>
  <c r="Y166" i="3" s="1"/>
  <c r="M166" i="3"/>
  <c r="Y165" i="3"/>
  <c r="V165" i="3"/>
  <c r="S165" i="3"/>
  <c r="M165" i="3"/>
  <c r="V164" i="3"/>
  <c r="S164" i="3"/>
  <c r="Y164" i="3" s="1"/>
  <c r="M164" i="3"/>
  <c r="Y163" i="3"/>
  <c r="V163" i="3"/>
  <c r="S163" i="3"/>
  <c r="M163" i="3"/>
  <c r="Z162" i="3"/>
  <c r="Y162" i="3"/>
  <c r="AA162" i="3" s="1"/>
  <c r="X162" i="3"/>
  <c r="W162" i="3"/>
  <c r="V162" i="3"/>
  <c r="U162" i="3"/>
  <c r="R162" i="3"/>
  <c r="O162" i="3"/>
  <c r="L162" i="3"/>
  <c r="V161" i="3"/>
  <c r="S161" i="3"/>
  <c r="Y161" i="3" s="1"/>
  <c r="M161" i="3"/>
  <c r="AA160" i="3"/>
  <c r="Z160" i="3"/>
  <c r="Y160" i="3"/>
  <c r="W160" i="3"/>
  <c r="V160" i="3"/>
  <c r="U160" i="3"/>
  <c r="R160" i="3"/>
  <c r="X160" i="3" s="1"/>
  <c r="O160" i="3"/>
  <c r="L160" i="3"/>
  <c r="V159" i="3"/>
  <c r="S159" i="3"/>
  <c r="Y159" i="3" s="1"/>
  <c r="M159" i="3"/>
  <c r="Y158" i="3"/>
  <c r="V158" i="3"/>
  <c r="S158" i="3"/>
  <c r="M158" i="3"/>
  <c r="Z157" i="3"/>
  <c r="Y157" i="3"/>
  <c r="AA157" i="3" s="1"/>
  <c r="X157" i="3"/>
  <c r="W157" i="3"/>
  <c r="V157" i="3"/>
  <c r="U157" i="3"/>
  <c r="R157" i="3"/>
  <c r="O157" i="3"/>
  <c r="L157" i="3"/>
  <c r="V156" i="3"/>
  <c r="S156" i="3"/>
  <c r="Y156" i="3" s="1"/>
  <c r="M156" i="3"/>
  <c r="Y155" i="3"/>
  <c r="V155" i="3"/>
  <c r="S155" i="3"/>
  <c r="M155" i="3"/>
  <c r="V154" i="3"/>
  <c r="S154" i="3"/>
  <c r="Y154" i="3" s="1"/>
  <c r="M154" i="3"/>
  <c r="Y153" i="3"/>
  <c r="V153" i="3"/>
  <c r="S153" i="3"/>
  <c r="M153" i="3"/>
  <c r="Z152" i="3"/>
  <c r="Y152" i="3"/>
  <c r="AA152" i="3" s="1"/>
  <c r="X152" i="3"/>
  <c r="W152" i="3"/>
  <c r="V152" i="3"/>
  <c r="U152" i="3"/>
  <c r="R152" i="3"/>
  <c r="O152" i="3"/>
  <c r="L152" i="3"/>
  <c r="Y151" i="3"/>
  <c r="V151" i="3"/>
  <c r="S151" i="3"/>
  <c r="M151" i="3"/>
  <c r="V150" i="3"/>
  <c r="S150" i="3"/>
  <c r="Y150" i="3" s="1"/>
  <c r="M150" i="3"/>
  <c r="Y149" i="3"/>
  <c r="V149" i="3"/>
  <c r="S149" i="3"/>
  <c r="M149" i="3"/>
  <c r="V148" i="3"/>
  <c r="S148" i="3"/>
  <c r="Y148" i="3" s="1"/>
  <c r="M148" i="3"/>
  <c r="Z147" i="3"/>
  <c r="AA147" i="3" s="1"/>
  <c r="Y147" i="3"/>
  <c r="W147" i="3"/>
  <c r="V147" i="3"/>
  <c r="U147" i="3"/>
  <c r="R147" i="3"/>
  <c r="X147" i="3" s="1"/>
  <c r="O147" i="3"/>
  <c r="L147" i="3"/>
  <c r="Y146" i="3"/>
  <c r="V146" i="3"/>
  <c r="S146" i="3"/>
  <c r="M146" i="3"/>
  <c r="V145" i="3"/>
  <c r="S145" i="3"/>
  <c r="Y145" i="3" s="1"/>
  <c r="M145" i="3"/>
  <c r="Y144" i="3"/>
  <c r="V144" i="3"/>
  <c r="S144" i="3"/>
  <c r="M144" i="3"/>
  <c r="V143" i="3"/>
  <c r="S143" i="3"/>
  <c r="Y143" i="3" s="1"/>
  <c r="M143" i="3"/>
  <c r="AA142" i="3"/>
  <c r="Z142" i="3"/>
  <c r="Y142" i="3"/>
  <c r="W142" i="3"/>
  <c r="V142" i="3"/>
  <c r="U142" i="3"/>
  <c r="R142" i="3"/>
  <c r="X142" i="3" s="1"/>
  <c r="O142" i="3"/>
  <c r="L142" i="3"/>
  <c r="V141" i="3"/>
  <c r="S141" i="3"/>
  <c r="Y141" i="3" s="1"/>
  <c r="M141" i="3"/>
  <c r="Y140" i="3"/>
  <c r="V140" i="3"/>
  <c r="S140" i="3"/>
  <c r="M140" i="3"/>
  <c r="Z139" i="3"/>
  <c r="Y139" i="3"/>
  <c r="AA139" i="3" s="1"/>
  <c r="X139" i="3"/>
  <c r="W139" i="3"/>
  <c r="V139" i="3"/>
  <c r="U139" i="3"/>
  <c r="R139" i="3"/>
  <c r="O139" i="3"/>
  <c r="L139" i="3"/>
  <c r="V138" i="3"/>
  <c r="S138" i="3"/>
  <c r="Y138" i="3" s="1"/>
  <c r="M138" i="3"/>
  <c r="Y137" i="3"/>
  <c r="V137" i="3"/>
  <c r="S137" i="3"/>
  <c r="M137" i="3"/>
  <c r="Z136" i="3"/>
  <c r="Y136" i="3"/>
  <c r="AA136" i="3" s="1"/>
  <c r="X136" i="3"/>
  <c r="W136" i="3"/>
  <c r="V136" i="3"/>
  <c r="U136" i="3"/>
  <c r="R136" i="3"/>
  <c r="O136" i="3"/>
  <c r="L136" i="3"/>
  <c r="Y135" i="3"/>
  <c r="V135" i="3"/>
  <c r="S135" i="3"/>
  <c r="M135" i="3"/>
  <c r="V134" i="3"/>
  <c r="S134" i="3"/>
  <c r="Y134" i="3" s="1"/>
  <c r="M134" i="3"/>
  <c r="Y133" i="3"/>
  <c r="V133" i="3"/>
  <c r="S133" i="3"/>
  <c r="M133" i="3"/>
  <c r="V132" i="3"/>
  <c r="S132" i="3"/>
  <c r="Y132" i="3" s="1"/>
  <c r="M132" i="3"/>
  <c r="Y131" i="3"/>
  <c r="V131" i="3"/>
  <c r="S131" i="3"/>
  <c r="M131" i="3"/>
  <c r="Z130" i="3"/>
  <c r="Y130" i="3"/>
  <c r="AA130" i="3" s="1"/>
  <c r="X130" i="3"/>
  <c r="W130" i="3"/>
  <c r="V130" i="3"/>
  <c r="U130" i="3"/>
  <c r="R130" i="3"/>
  <c r="O130" i="3"/>
  <c r="L130" i="3"/>
  <c r="V129" i="3"/>
  <c r="S129" i="3"/>
  <c r="Y129" i="3" s="1"/>
  <c r="M129" i="3"/>
  <c r="Y128" i="3"/>
  <c r="V128" i="3"/>
  <c r="S128" i="3"/>
  <c r="M128" i="3"/>
  <c r="V127" i="3"/>
  <c r="S127" i="3"/>
  <c r="Y127" i="3" s="1"/>
  <c r="M127" i="3"/>
  <c r="Y126" i="3"/>
  <c r="V126" i="3"/>
  <c r="S126" i="3"/>
  <c r="M126" i="3"/>
  <c r="V125" i="3"/>
  <c r="S125" i="3"/>
  <c r="Y125" i="3" s="1"/>
  <c r="M125" i="3"/>
  <c r="AA124" i="3"/>
  <c r="Z124" i="3"/>
  <c r="Y124" i="3"/>
  <c r="W124" i="3"/>
  <c r="V124" i="3"/>
  <c r="U124" i="3"/>
  <c r="U113" i="3" s="1"/>
  <c r="R124" i="3"/>
  <c r="X124" i="3" s="1"/>
  <c r="O124" i="3"/>
  <c r="L124" i="3"/>
  <c r="V123" i="3"/>
  <c r="S123" i="3"/>
  <c r="Y123" i="3" s="1"/>
  <c r="M123" i="3"/>
  <c r="Y122" i="3"/>
  <c r="V122" i="3"/>
  <c r="S122" i="3"/>
  <c r="M122" i="3"/>
  <c r="V121" i="3"/>
  <c r="S121" i="3"/>
  <c r="Y121" i="3" s="1"/>
  <c r="M121" i="3"/>
  <c r="Y120" i="3"/>
  <c r="V120" i="3"/>
  <c r="S120" i="3"/>
  <c r="M120" i="3"/>
  <c r="Z119" i="3"/>
  <c r="Y119" i="3"/>
  <c r="AA119" i="3" s="1"/>
  <c r="X119" i="3"/>
  <c r="W119" i="3"/>
  <c r="V119" i="3"/>
  <c r="U119" i="3"/>
  <c r="R119" i="3"/>
  <c r="O119" i="3"/>
  <c r="L119" i="3"/>
  <c r="V118" i="3"/>
  <c r="S118" i="3"/>
  <c r="Y118" i="3" s="1"/>
  <c r="M118" i="3"/>
  <c r="Y117" i="3"/>
  <c r="V117" i="3"/>
  <c r="S117" i="3"/>
  <c r="M117" i="3"/>
  <c r="V116" i="3"/>
  <c r="S116" i="3"/>
  <c r="Y116" i="3" s="1"/>
  <c r="M116" i="3"/>
  <c r="Y115" i="3"/>
  <c r="V115" i="3"/>
  <c r="S115" i="3"/>
  <c r="M115" i="3"/>
  <c r="Z114" i="3"/>
  <c r="Y114" i="3"/>
  <c r="AA114" i="3" s="1"/>
  <c r="X114" i="3"/>
  <c r="W114" i="3"/>
  <c r="V114" i="3"/>
  <c r="U114" i="3"/>
  <c r="R114" i="3"/>
  <c r="O114" i="3"/>
  <c r="L114" i="3"/>
  <c r="T113" i="3"/>
  <c r="S113" i="3"/>
  <c r="O113" i="3"/>
  <c r="N113" i="3"/>
  <c r="M113" i="3"/>
  <c r="Y112" i="3"/>
  <c r="V112" i="3"/>
  <c r="S112" i="3"/>
  <c r="M112" i="3"/>
  <c r="Z111" i="3"/>
  <c r="Y111" i="3"/>
  <c r="AA111" i="3" s="1"/>
  <c r="X111" i="3"/>
  <c r="W111" i="3"/>
  <c r="V111" i="3"/>
  <c r="U111" i="3"/>
  <c r="R111" i="3"/>
  <c r="O111" i="3"/>
  <c r="L111" i="3"/>
  <c r="V110" i="3"/>
  <c r="S110" i="3"/>
  <c r="Y110" i="3" s="1"/>
  <c r="M110" i="3"/>
  <c r="AA109" i="3"/>
  <c r="Z109" i="3"/>
  <c r="Y109" i="3"/>
  <c r="X109" i="3"/>
  <c r="W109" i="3"/>
  <c r="V109" i="3"/>
  <c r="U109" i="3"/>
  <c r="R109" i="3"/>
  <c r="O109" i="3"/>
  <c r="L109" i="3"/>
  <c r="V108" i="3"/>
  <c r="S108" i="3"/>
  <c r="Y108" i="3" s="1"/>
  <c r="M108" i="3"/>
  <c r="AA107" i="3"/>
  <c r="Z107" i="3"/>
  <c r="Y107" i="3"/>
  <c r="W107" i="3"/>
  <c r="V107" i="3"/>
  <c r="U107" i="3"/>
  <c r="U102" i="3" s="1"/>
  <c r="R107" i="3"/>
  <c r="X107" i="3" s="1"/>
  <c r="O107" i="3"/>
  <c r="O102" i="3" s="1"/>
  <c r="L107" i="3"/>
  <c r="Y106" i="3"/>
  <c r="V106" i="3"/>
  <c r="S106" i="3"/>
  <c r="M106" i="3"/>
  <c r="V105" i="3"/>
  <c r="S105" i="3"/>
  <c r="Y105" i="3" s="1"/>
  <c r="M105" i="3"/>
  <c r="Y104" i="3"/>
  <c r="V104" i="3"/>
  <c r="S104" i="3"/>
  <c r="M104" i="3"/>
  <c r="Z103" i="3"/>
  <c r="Z102" i="3" s="1"/>
  <c r="Y103" i="3"/>
  <c r="W103" i="3"/>
  <c r="V103" i="3"/>
  <c r="U103" i="3"/>
  <c r="R103" i="3"/>
  <c r="X103" i="3" s="1"/>
  <c r="O103" i="3"/>
  <c r="L103" i="3"/>
  <c r="T102" i="3"/>
  <c r="S102" i="3"/>
  <c r="N102" i="3"/>
  <c r="M102" i="3"/>
  <c r="M34" i="3" s="1"/>
  <c r="M33" i="3" s="1"/>
  <c r="M32" i="3" s="1"/>
  <c r="M31" i="3" s="1"/>
  <c r="Y101" i="3"/>
  <c r="V101" i="3"/>
  <c r="S101" i="3"/>
  <c r="M101" i="3"/>
  <c r="V100" i="3"/>
  <c r="S100" i="3"/>
  <c r="Y100" i="3" s="1"/>
  <c r="M100" i="3"/>
  <c r="Y99" i="3"/>
  <c r="V99" i="3"/>
  <c r="S99" i="3"/>
  <c r="M99" i="3"/>
  <c r="V98" i="3"/>
  <c r="S98" i="3"/>
  <c r="Y98" i="3" s="1"/>
  <c r="M98" i="3"/>
  <c r="AA97" i="3"/>
  <c r="Z97" i="3"/>
  <c r="Y97" i="3"/>
  <c r="W97" i="3"/>
  <c r="V97" i="3"/>
  <c r="U97" i="3"/>
  <c r="R97" i="3"/>
  <c r="X97" i="3" s="1"/>
  <c r="O97" i="3"/>
  <c r="L97" i="3"/>
  <c r="V96" i="3"/>
  <c r="S96" i="3"/>
  <c r="Y96" i="3" s="1"/>
  <c r="M96" i="3"/>
  <c r="Y95" i="3"/>
  <c r="V95" i="3"/>
  <c r="S95" i="3"/>
  <c r="M95" i="3"/>
  <c r="V94" i="3"/>
  <c r="S94" i="3"/>
  <c r="Y94" i="3" s="1"/>
  <c r="M94" i="3"/>
  <c r="Y93" i="3"/>
  <c r="V93" i="3"/>
  <c r="S93" i="3"/>
  <c r="M93" i="3"/>
  <c r="V92" i="3"/>
  <c r="S92" i="3"/>
  <c r="Y92" i="3" s="1"/>
  <c r="M92" i="3"/>
  <c r="Z91" i="3"/>
  <c r="AA91" i="3" s="1"/>
  <c r="Y91" i="3"/>
  <c r="W91" i="3"/>
  <c r="V91" i="3"/>
  <c r="U91" i="3"/>
  <c r="R91" i="3"/>
  <c r="X91" i="3" s="1"/>
  <c r="O91" i="3"/>
  <c r="L91" i="3"/>
  <c r="Y90" i="3"/>
  <c r="V90" i="3"/>
  <c r="S90" i="3"/>
  <c r="M90" i="3"/>
  <c r="V89" i="3"/>
  <c r="S89" i="3"/>
  <c r="Y89" i="3" s="1"/>
  <c r="M89" i="3"/>
  <c r="Y88" i="3"/>
  <c r="V88" i="3"/>
  <c r="S88" i="3"/>
  <c r="M88" i="3"/>
  <c r="V87" i="3"/>
  <c r="S87" i="3"/>
  <c r="Y87" i="3" s="1"/>
  <c r="M87" i="3"/>
  <c r="AA86" i="3"/>
  <c r="Z86" i="3"/>
  <c r="Y86" i="3"/>
  <c r="W86" i="3"/>
  <c r="V86" i="3"/>
  <c r="U86" i="3"/>
  <c r="R86" i="3"/>
  <c r="X86" i="3" s="1"/>
  <c r="O86" i="3"/>
  <c r="L86" i="3"/>
  <c r="V85" i="3"/>
  <c r="S85" i="3"/>
  <c r="Y85" i="3" s="1"/>
  <c r="M85" i="3"/>
  <c r="Y84" i="3"/>
  <c r="V84" i="3"/>
  <c r="S84" i="3"/>
  <c r="M84" i="3"/>
  <c r="V83" i="3"/>
  <c r="S83" i="3"/>
  <c r="Y83" i="3" s="1"/>
  <c r="M83" i="3"/>
  <c r="Y82" i="3"/>
  <c r="V82" i="3"/>
  <c r="S82" i="3"/>
  <c r="M82" i="3"/>
  <c r="Z81" i="3"/>
  <c r="Y81" i="3"/>
  <c r="AA81" i="3" s="1"/>
  <c r="X81" i="3"/>
  <c r="W81" i="3"/>
  <c r="V81" i="3"/>
  <c r="U81" i="3"/>
  <c r="R81" i="3"/>
  <c r="O81" i="3"/>
  <c r="L81" i="3"/>
  <c r="V80" i="3"/>
  <c r="S80" i="3"/>
  <c r="Y80" i="3" s="1"/>
  <c r="M80" i="3"/>
  <c r="Y79" i="3"/>
  <c r="V79" i="3"/>
  <c r="S79" i="3"/>
  <c r="M79" i="3"/>
  <c r="V78" i="3"/>
  <c r="S78" i="3"/>
  <c r="Y78" i="3" s="1"/>
  <c r="M78" i="3"/>
  <c r="Y77" i="3"/>
  <c r="V77" i="3"/>
  <c r="S77" i="3"/>
  <c r="M77" i="3"/>
  <c r="Z76" i="3"/>
  <c r="Y76" i="3"/>
  <c r="AA76" i="3" s="1"/>
  <c r="X76" i="3"/>
  <c r="W76" i="3"/>
  <c r="V76" i="3"/>
  <c r="U76" i="3"/>
  <c r="R76" i="3"/>
  <c r="O76" i="3"/>
  <c r="L76" i="3"/>
  <c r="Y75" i="3"/>
  <c r="V75" i="3"/>
  <c r="S75" i="3"/>
  <c r="M75" i="3"/>
  <c r="V74" i="3"/>
  <c r="S74" i="3"/>
  <c r="Y74" i="3" s="1"/>
  <c r="M74" i="3"/>
  <c r="Y73" i="3"/>
  <c r="V73" i="3"/>
  <c r="S73" i="3"/>
  <c r="M73" i="3"/>
  <c r="V72" i="3"/>
  <c r="S72" i="3"/>
  <c r="Y72" i="3" s="1"/>
  <c r="M72" i="3"/>
  <c r="Y71" i="3"/>
  <c r="V71" i="3"/>
  <c r="S71" i="3"/>
  <c r="M71" i="3"/>
  <c r="Z70" i="3"/>
  <c r="Y70" i="3"/>
  <c r="AA70" i="3" s="1"/>
  <c r="X70" i="3"/>
  <c r="W70" i="3"/>
  <c r="V70" i="3"/>
  <c r="U70" i="3"/>
  <c r="R70" i="3"/>
  <c r="O70" i="3"/>
  <c r="L70" i="3"/>
  <c r="V69" i="3"/>
  <c r="S69" i="3"/>
  <c r="Y69" i="3" s="1"/>
  <c r="M69" i="3"/>
  <c r="Y68" i="3"/>
  <c r="V68" i="3"/>
  <c r="S68" i="3"/>
  <c r="M68" i="3"/>
  <c r="V67" i="3"/>
  <c r="S67" i="3"/>
  <c r="Y67" i="3" s="1"/>
  <c r="M67" i="3"/>
  <c r="Y66" i="3"/>
  <c r="V66" i="3"/>
  <c r="S66" i="3"/>
  <c r="M66" i="3"/>
  <c r="Z65" i="3"/>
  <c r="Y65" i="3"/>
  <c r="AA65" i="3" s="1"/>
  <c r="X65" i="3"/>
  <c r="W65" i="3"/>
  <c r="V65" i="3"/>
  <c r="U65" i="3"/>
  <c r="R65" i="3"/>
  <c r="O65" i="3"/>
  <c r="L65" i="3"/>
  <c r="Y64" i="3"/>
  <c r="V64" i="3"/>
  <c r="S64" i="3"/>
  <c r="M64" i="3"/>
  <c r="V63" i="3"/>
  <c r="S63" i="3"/>
  <c r="Y63" i="3" s="1"/>
  <c r="M63" i="3"/>
  <c r="Y62" i="3"/>
  <c r="V62" i="3"/>
  <c r="S62" i="3"/>
  <c r="M62" i="3"/>
  <c r="V61" i="3"/>
  <c r="S61" i="3"/>
  <c r="Y61" i="3" s="1"/>
  <c r="M61" i="3"/>
  <c r="Z60" i="3"/>
  <c r="AA60" i="3" s="1"/>
  <c r="Y60" i="3"/>
  <c r="W60" i="3"/>
  <c r="V60" i="3"/>
  <c r="U60" i="3"/>
  <c r="R60" i="3"/>
  <c r="X60" i="3" s="1"/>
  <c r="O60" i="3"/>
  <c r="L60" i="3"/>
  <c r="Y59" i="3"/>
  <c r="V59" i="3"/>
  <c r="S59" i="3"/>
  <c r="M59" i="3"/>
  <c r="V58" i="3"/>
  <c r="S58" i="3"/>
  <c r="Y58" i="3" s="1"/>
  <c r="M58" i="3"/>
  <c r="Y57" i="3"/>
  <c r="V57" i="3"/>
  <c r="S57" i="3"/>
  <c r="M57" i="3"/>
  <c r="V56" i="3"/>
  <c r="S56" i="3"/>
  <c r="Y56" i="3" s="1"/>
  <c r="M56" i="3"/>
  <c r="Z55" i="3"/>
  <c r="AA55" i="3" s="1"/>
  <c r="Y55" i="3"/>
  <c r="W55" i="3"/>
  <c r="V55" i="3"/>
  <c r="U55" i="3"/>
  <c r="R55" i="3"/>
  <c r="X55" i="3" s="1"/>
  <c r="O55" i="3"/>
  <c r="L55" i="3"/>
  <c r="V54" i="3"/>
  <c r="S54" i="3"/>
  <c r="Y54" i="3" s="1"/>
  <c r="M54" i="3"/>
  <c r="Z53" i="3"/>
  <c r="AA53" i="3" s="1"/>
  <c r="Y53" i="3"/>
  <c r="W53" i="3"/>
  <c r="V53" i="3"/>
  <c r="U53" i="3"/>
  <c r="R53" i="3"/>
  <c r="X53" i="3" s="1"/>
  <c r="O53" i="3"/>
  <c r="L53" i="3"/>
  <c r="V52" i="3"/>
  <c r="S52" i="3"/>
  <c r="Y52" i="3" s="1"/>
  <c r="M52" i="3"/>
  <c r="V51" i="3"/>
  <c r="S51" i="3"/>
  <c r="Y51" i="3" s="1"/>
  <c r="M51" i="3"/>
  <c r="Z50" i="3"/>
  <c r="Y50" i="3"/>
  <c r="AA50" i="3" s="1"/>
  <c r="W50" i="3"/>
  <c r="V50" i="3"/>
  <c r="U50" i="3"/>
  <c r="R50" i="3"/>
  <c r="X50" i="3" s="1"/>
  <c r="O50" i="3"/>
  <c r="L50" i="3"/>
  <c r="V49" i="3"/>
  <c r="S49" i="3"/>
  <c r="Y49" i="3" s="1"/>
  <c r="M49" i="3"/>
  <c r="Z48" i="3"/>
  <c r="AA48" i="3" s="1"/>
  <c r="Y48" i="3"/>
  <c r="W48" i="3"/>
  <c r="V48" i="3"/>
  <c r="U48" i="3"/>
  <c r="R48" i="3"/>
  <c r="X48" i="3" s="1"/>
  <c r="O48" i="3"/>
  <c r="L48" i="3"/>
  <c r="V47" i="3"/>
  <c r="S47" i="3"/>
  <c r="Y47" i="3" s="1"/>
  <c r="M47" i="3"/>
  <c r="Z46" i="3"/>
  <c r="Y46" i="3"/>
  <c r="AA46" i="3" s="1"/>
  <c r="X46" i="3"/>
  <c r="W46" i="3"/>
  <c r="V46" i="3"/>
  <c r="U46" i="3"/>
  <c r="R46" i="3"/>
  <c r="O46" i="3"/>
  <c r="L46" i="3"/>
  <c r="V45" i="3"/>
  <c r="S45" i="3"/>
  <c r="Y45" i="3" s="1"/>
  <c r="M45" i="3"/>
  <c r="Z44" i="3"/>
  <c r="Y44" i="3"/>
  <c r="AA44" i="3" s="1"/>
  <c r="X44" i="3"/>
  <c r="W44" i="3"/>
  <c r="V44" i="3"/>
  <c r="U44" i="3"/>
  <c r="R44" i="3"/>
  <c r="O44" i="3"/>
  <c r="L44" i="3"/>
  <c r="V43" i="3"/>
  <c r="S43" i="3"/>
  <c r="Y43" i="3" s="1"/>
  <c r="M43" i="3"/>
  <c r="V42" i="3"/>
  <c r="S42" i="3"/>
  <c r="Y42" i="3" s="1"/>
  <c r="M42" i="3"/>
  <c r="V41" i="3"/>
  <c r="S41" i="3"/>
  <c r="Y41" i="3" s="1"/>
  <c r="M41" i="3"/>
  <c r="Z40" i="3"/>
  <c r="Y40" i="3"/>
  <c r="AA40" i="3" s="1"/>
  <c r="W40" i="3"/>
  <c r="V40" i="3"/>
  <c r="U40" i="3"/>
  <c r="R40" i="3"/>
  <c r="X40" i="3" s="1"/>
  <c r="O40" i="3"/>
  <c r="L40" i="3"/>
  <c r="V39" i="3"/>
  <c r="S39" i="3"/>
  <c r="Y39" i="3" s="1"/>
  <c r="M39" i="3"/>
  <c r="Y38" i="3"/>
  <c r="V38" i="3"/>
  <c r="S38" i="3"/>
  <c r="M38" i="3"/>
  <c r="V37" i="3"/>
  <c r="S37" i="3"/>
  <c r="Y37" i="3" s="1"/>
  <c r="M37" i="3"/>
  <c r="Z36" i="3"/>
  <c r="Y36" i="3"/>
  <c r="W36" i="3"/>
  <c r="V36" i="3"/>
  <c r="U36" i="3"/>
  <c r="R36" i="3"/>
  <c r="X36" i="3" s="1"/>
  <c r="O36" i="3"/>
  <c r="L36" i="3"/>
  <c r="Y35" i="3"/>
  <c r="U35" i="3"/>
  <c r="T35" i="3"/>
  <c r="S35" i="3"/>
  <c r="S34" i="3" s="1"/>
  <c r="O35" i="3"/>
  <c r="N35" i="3"/>
  <c r="N34" i="3" s="1"/>
  <c r="N33" i="3" s="1"/>
  <c r="N32" i="3" s="1"/>
  <c r="N31" i="3" s="1"/>
  <c r="M35" i="3"/>
  <c r="T34" i="3"/>
  <c r="T33" i="3" s="1"/>
  <c r="O34" i="3"/>
  <c r="S33" i="3"/>
  <c r="S32" i="3" s="1"/>
  <c r="S31" i="3" s="1"/>
  <c r="T32" i="3"/>
  <c r="T31" i="3" s="1"/>
  <c r="V30" i="3"/>
  <c r="S30" i="3"/>
  <c r="Y30" i="3" s="1"/>
  <c r="M30" i="3"/>
  <c r="V29" i="3"/>
  <c r="S29" i="3"/>
  <c r="Y29" i="3" s="1"/>
  <c r="M29" i="3"/>
  <c r="V28" i="3"/>
  <c r="S28" i="3"/>
  <c r="Y28" i="3" s="1"/>
  <c r="M28" i="3"/>
  <c r="V27" i="3"/>
  <c r="S27" i="3"/>
  <c r="Y27" i="3" s="1"/>
  <c r="M27" i="3"/>
  <c r="Z26" i="3"/>
  <c r="Z25" i="3" s="1"/>
  <c r="Z24" i="3" s="1"/>
  <c r="Z23" i="3" s="1"/>
  <c r="Z22" i="3" s="1"/>
  <c r="Z21" i="3" s="1"/>
  <c r="Y26" i="3"/>
  <c r="W26" i="3"/>
  <c r="V26" i="3"/>
  <c r="U26" i="3"/>
  <c r="R26" i="3"/>
  <c r="X26" i="3" s="1"/>
  <c r="O26" i="3"/>
  <c r="L26" i="3"/>
  <c r="U25" i="3"/>
  <c r="T25" i="3"/>
  <c r="S25" i="3"/>
  <c r="O25" i="3"/>
  <c r="N25" i="3"/>
  <c r="M25" i="3"/>
  <c r="M24" i="3" s="1"/>
  <c r="M23" i="3" s="1"/>
  <c r="M22" i="3" s="1"/>
  <c r="M21" i="3" s="1"/>
  <c r="U24" i="3"/>
  <c r="T24" i="3"/>
  <c r="S24" i="3"/>
  <c r="O24" i="3"/>
  <c r="N24" i="3"/>
  <c r="N23" i="3" s="1"/>
  <c r="N22" i="3" s="1"/>
  <c r="N21" i="3" s="1"/>
  <c r="U23" i="3"/>
  <c r="T23" i="3"/>
  <c r="S23" i="3"/>
  <c r="O23" i="3"/>
  <c r="O22" i="3" s="1"/>
  <c r="O21" i="3" s="1"/>
  <c r="U22" i="3"/>
  <c r="T22" i="3"/>
  <c r="S22" i="3"/>
  <c r="S21" i="3" s="1"/>
  <c r="U21" i="3"/>
  <c r="T21" i="3"/>
  <c r="Z20" i="3"/>
  <c r="AA20" i="3" s="1"/>
  <c r="W20" i="3"/>
  <c r="U20" i="3"/>
  <c r="R20" i="3"/>
  <c r="X20" i="3" s="1"/>
  <c r="O20" i="3"/>
  <c r="L20" i="3"/>
  <c r="Z19" i="3"/>
  <c r="AA19" i="3" s="1"/>
  <c r="W19" i="3"/>
  <c r="U19" i="3"/>
  <c r="R19" i="3"/>
  <c r="X19" i="3" s="1"/>
  <c r="O19" i="3"/>
  <c r="L19" i="3"/>
  <c r="Z18" i="3"/>
  <c r="Y18" i="3"/>
  <c r="U18" i="3"/>
  <c r="T18" i="3"/>
  <c r="S18" i="3"/>
  <c r="O18" i="3"/>
  <c r="N18" i="3"/>
  <c r="M18" i="3"/>
  <c r="AA17" i="3"/>
  <c r="Z17" i="3"/>
  <c r="X17" i="3"/>
  <c r="W17" i="3"/>
  <c r="U17" i="3"/>
  <c r="R17" i="3"/>
  <c r="O17" i="3"/>
  <c r="L17" i="3"/>
  <c r="AA16" i="3"/>
  <c r="Z16" i="3"/>
  <c r="X16" i="3"/>
  <c r="W16" i="3"/>
  <c r="U16" i="3"/>
  <c r="U15" i="3" s="1"/>
  <c r="R16" i="3"/>
  <c r="O16" i="3"/>
  <c r="L16" i="3"/>
  <c r="AA15" i="3"/>
  <c r="Z15" i="3"/>
  <c r="Y15" i="3"/>
  <c r="T15" i="3"/>
  <c r="S15" i="3"/>
  <c r="O15" i="3"/>
  <c r="N15" i="3"/>
  <c r="M15" i="3"/>
  <c r="Z14" i="3"/>
  <c r="AA14" i="3" s="1"/>
  <c r="AA13" i="3" s="1"/>
  <c r="W14" i="3"/>
  <c r="U14" i="3"/>
  <c r="R14" i="3"/>
  <c r="X14" i="3" s="1"/>
  <c r="O14" i="3"/>
  <c r="L14" i="3"/>
  <c r="Y13" i="3"/>
  <c r="U13" i="3"/>
  <c r="U12" i="3" s="1"/>
  <c r="U11" i="3" s="1"/>
  <c r="U10" i="3" s="1"/>
  <c r="T13" i="3"/>
  <c r="S13" i="3"/>
  <c r="S12" i="3" s="1"/>
  <c r="S11" i="3" s="1"/>
  <c r="S10" i="3" s="1"/>
  <c r="S9" i="3" s="1"/>
  <c r="S8" i="3" s="1"/>
  <c r="S460" i="3" s="1"/>
  <c r="U460" i="3" s="1"/>
  <c r="O13" i="3"/>
  <c r="N13" i="3"/>
  <c r="M13" i="3"/>
  <c r="Y12" i="3"/>
  <c r="Y11" i="3" s="1"/>
  <c r="Y10" i="3" s="1"/>
  <c r="T12" i="3"/>
  <c r="T11" i="3" s="1"/>
  <c r="T10" i="3" s="1"/>
  <c r="T9" i="3" s="1"/>
  <c r="T8" i="3" s="1"/>
  <c r="T460" i="3" s="1"/>
  <c r="O12" i="3"/>
  <c r="N12" i="3"/>
  <c r="M12" i="3"/>
  <c r="M11" i="3" s="1"/>
  <c r="M10" i="3" s="1"/>
  <c r="M9" i="3" s="1"/>
  <c r="M8" i="3" s="1"/>
  <c r="M460" i="3" s="1"/>
  <c r="O460" i="3" s="1"/>
  <c r="O11" i="3"/>
  <c r="N11" i="3"/>
  <c r="N10" i="3" s="1"/>
  <c r="N9" i="3" s="1"/>
  <c r="N8" i="3" s="1"/>
  <c r="N460" i="3" s="1"/>
  <c r="O10" i="3"/>
  <c r="Z469" i="1"/>
  <c r="AA469" i="1" s="1"/>
  <c r="X469" i="1"/>
  <c r="W469" i="1"/>
  <c r="U469" i="1"/>
  <c r="R469" i="1"/>
  <c r="O469" i="1"/>
  <c r="L469" i="1"/>
  <c r="Z468" i="1"/>
  <c r="AA468" i="1" s="1"/>
  <c r="X468" i="1"/>
  <c r="W468" i="1"/>
  <c r="U468" i="1"/>
  <c r="R468" i="1"/>
  <c r="O468" i="1"/>
  <c r="L468" i="1"/>
  <c r="Z467" i="1"/>
  <c r="AA467" i="1" s="1"/>
  <c r="X467" i="1"/>
  <c r="W467" i="1"/>
  <c r="U467" i="1"/>
  <c r="R467" i="1"/>
  <c r="O467" i="1"/>
  <c r="L467" i="1"/>
  <c r="Z466" i="1"/>
  <c r="AA466" i="1" s="1"/>
  <c r="X466" i="1"/>
  <c r="W466" i="1"/>
  <c r="U466" i="1"/>
  <c r="R466" i="1"/>
  <c r="O466" i="1"/>
  <c r="L466" i="1"/>
  <c r="Z465" i="1"/>
  <c r="AA465" i="1" s="1"/>
  <c r="AA464" i="1" s="1"/>
  <c r="X465" i="1"/>
  <c r="W465" i="1"/>
  <c r="U465" i="1"/>
  <c r="R465" i="1"/>
  <c r="O465" i="1"/>
  <c r="L465" i="1"/>
  <c r="Z464" i="1"/>
  <c r="Y464" i="1"/>
  <c r="U464" i="1"/>
  <c r="T464" i="1"/>
  <c r="S464" i="1"/>
  <c r="O464" i="1"/>
  <c r="N464" i="1"/>
  <c r="M464" i="1"/>
  <c r="Y463" i="1"/>
  <c r="V463" i="1"/>
  <c r="S463" i="1"/>
  <c r="M463" i="1"/>
  <c r="AA462" i="1"/>
  <c r="Z462" i="1"/>
  <c r="Y462" i="1"/>
  <c r="W462" i="1"/>
  <c r="V462" i="1"/>
  <c r="U462" i="1"/>
  <c r="R462" i="1"/>
  <c r="X462" i="1" s="1"/>
  <c r="O462" i="1"/>
  <c r="L462" i="1"/>
  <c r="V461" i="1"/>
  <c r="S461" i="1"/>
  <c r="Y461" i="1" s="1"/>
  <c r="M461" i="1"/>
  <c r="V460" i="1"/>
  <c r="S460" i="1"/>
  <c r="Y460" i="1" s="1"/>
  <c r="M460" i="1"/>
  <c r="V459" i="1"/>
  <c r="S459" i="1"/>
  <c r="Y459" i="1" s="1"/>
  <c r="M459" i="1"/>
  <c r="V458" i="1"/>
  <c r="S458" i="1"/>
  <c r="Y458" i="1" s="1"/>
  <c r="M458" i="1"/>
  <c r="V457" i="1"/>
  <c r="S457" i="1"/>
  <c r="Y457" i="1" s="1"/>
  <c r="M457" i="1"/>
  <c r="V456" i="1"/>
  <c r="S456" i="1"/>
  <c r="Y456" i="1" s="1"/>
  <c r="M456" i="1"/>
  <c r="V455" i="1"/>
  <c r="S455" i="1"/>
  <c r="Y455" i="1" s="1"/>
  <c r="M455" i="1"/>
  <c r="V454" i="1"/>
  <c r="S454" i="1"/>
  <c r="Y454" i="1" s="1"/>
  <c r="M454" i="1"/>
  <c r="V453" i="1"/>
  <c r="S453" i="1"/>
  <c r="Y453" i="1" s="1"/>
  <c r="M453" i="1"/>
  <c r="V452" i="1"/>
  <c r="S452" i="1"/>
  <c r="Y452" i="1" s="1"/>
  <c r="M452" i="1"/>
  <c r="V451" i="1"/>
  <c r="S451" i="1"/>
  <c r="Y451" i="1" s="1"/>
  <c r="M451" i="1"/>
  <c r="V450" i="1"/>
  <c r="S450" i="1"/>
  <c r="Y450" i="1" s="1"/>
  <c r="M450" i="1"/>
  <c r="Z449" i="1"/>
  <c r="Y449" i="1"/>
  <c r="AA449" i="1" s="1"/>
  <c r="W449" i="1"/>
  <c r="V449" i="1"/>
  <c r="U449" i="1"/>
  <c r="R449" i="1"/>
  <c r="X449" i="1" s="1"/>
  <c r="O449" i="1"/>
  <c r="L449" i="1"/>
  <c r="AA448" i="1"/>
  <c r="Z448" i="1"/>
  <c r="W448" i="1"/>
  <c r="U448" i="1"/>
  <c r="R448" i="1"/>
  <c r="X448" i="1" s="1"/>
  <c r="O448" i="1"/>
  <c r="L448" i="1"/>
  <c r="AA447" i="1"/>
  <c r="Z447" i="1"/>
  <c r="W447" i="1"/>
  <c r="U447" i="1"/>
  <c r="R447" i="1"/>
  <c r="X447" i="1" s="1"/>
  <c r="O447" i="1"/>
  <c r="L447" i="1"/>
  <c r="AA446" i="1"/>
  <c r="Z446" i="1"/>
  <c r="W446" i="1"/>
  <c r="U446" i="1"/>
  <c r="R446" i="1"/>
  <c r="X446" i="1" s="1"/>
  <c r="O446" i="1"/>
  <c r="L446" i="1"/>
  <c r="AA445" i="1"/>
  <c r="Z445" i="1"/>
  <c r="W445" i="1"/>
  <c r="U445" i="1"/>
  <c r="R445" i="1"/>
  <c r="X445" i="1" s="1"/>
  <c r="O445" i="1"/>
  <c r="L445" i="1"/>
  <c r="AA444" i="1"/>
  <c r="Z444" i="1"/>
  <c r="W444" i="1"/>
  <c r="U444" i="1"/>
  <c r="R444" i="1"/>
  <c r="X444" i="1" s="1"/>
  <c r="O444" i="1"/>
  <c r="L444" i="1"/>
  <c r="AA443" i="1"/>
  <c r="Z443" i="1"/>
  <c r="W443" i="1"/>
  <c r="U443" i="1"/>
  <c r="R443" i="1"/>
  <c r="X443" i="1" s="1"/>
  <c r="O443" i="1"/>
  <c r="L443" i="1"/>
  <c r="AA442" i="1"/>
  <c r="Z442" i="1"/>
  <c r="W442" i="1"/>
  <c r="U442" i="1"/>
  <c r="R442" i="1"/>
  <c r="X442" i="1" s="1"/>
  <c r="O442" i="1"/>
  <c r="L442" i="1"/>
  <c r="Y441" i="1"/>
  <c r="V441" i="1"/>
  <c r="S441" i="1"/>
  <c r="M441" i="1"/>
  <c r="AA440" i="1"/>
  <c r="Z440" i="1"/>
  <c r="Y440" i="1"/>
  <c r="W440" i="1"/>
  <c r="V440" i="1"/>
  <c r="U440" i="1"/>
  <c r="R440" i="1"/>
  <c r="X440" i="1" s="1"/>
  <c r="O440" i="1"/>
  <c r="L440" i="1"/>
  <c r="V439" i="1"/>
  <c r="S439" i="1"/>
  <c r="Y439" i="1" s="1"/>
  <c r="M439" i="1"/>
  <c r="Z438" i="1"/>
  <c r="Y438" i="1"/>
  <c r="AA438" i="1" s="1"/>
  <c r="X438" i="1"/>
  <c r="W438" i="1"/>
  <c r="V438" i="1"/>
  <c r="U438" i="1"/>
  <c r="R438" i="1"/>
  <c r="O438" i="1"/>
  <c r="L438" i="1"/>
  <c r="Y437" i="1"/>
  <c r="V437" i="1"/>
  <c r="S437" i="1"/>
  <c r="M437" i="1"/>
  <c r="AA436" i="1"/>
  <c r="Z436" i="1"/>
  <c r="Y436" i="1"/>
  <c r="X436" i="1"/>
  <c r="W436" i="1"/>
  <c r="V436" i="1"/>
  <c r="U436" i="1"/>
  <c r="R436" i="1"/>
  <c r="O436" i="1"/>
  <c r="L436" i="1"/>
  <c r="V435" i="1"/>
  <c r="S435" i="1"/>
  <c r="Y435" i="1" s="1"/>
  <c r="M435" i="1"/>
  <c r="V434" i="1"/>
  <c r="S434" i="1"/>
  <c r="Y434" i="1" s="1"/>
  <c r="M434" i="1"/>
  <c r="V433" i="1"/>
  <c r="S433" i="1"/>
  <c r="Y433" i="1" s="1"/>
  <c r="M433" i="1"/>
  <c r="V432" i="1"/>
  <c r="S432" i="1"/>
  <c r="Y432" i="1" s="1"/>
  <c r="M432" i="1"/>
  <c r="V431" i="1"/>
  <c r="S431" i="1"/>
  <c r="Y431" i="1" s="1"/>
  <c r="M431" i="1"/>
  <c r="V430" i="1"/>
  <c r="S430" i="1"/>
  <c r="Y430" i="1" s="1"/>
  <c r="M430" i="1"/>
  <c r="V429" i="1"/>
  <c r="S429" i="1"/>
  <c r="Y429" i="1" s="1"/>
  <c r="M429" i="1"/>
  <c r="V428" i="1"/>
  <c r="S428" i="1"/>
  <c r="Y428" i="1" s="1"/>
  <c r="M428" i="1"/>
  <c r="V427" i="1"/>
  <c r="S427" i="1"/>
  <c r="Y427" i="1" s="1"/>
  <c r="M427" i="1"/>
  <c r="V426" i="1"/>
  <c r="S426" i="1"/>
  <c r="Y426" i="1" s="1"/>
  <c r="M426" i="1"/>
  <c r="V425" i="1"/>
  <c r="S425" i="1"/>
  <c r="Y425" i="1" s="1"/>
  <c r="M425" i="1"/>
  <c r="V424" i="1"/>
  <c r="S424" i="1"/>
  <c r="Y424" i="1" s="1"/>
  <c r="M424" i="1"/>
  <c r="V423" i="1"/>
  <c r="S423" i="1"/>
  <c r="Y423" i="1" s="1"/>
  <c r="M423" i="1"/>
  <c r="V422" i="1"/>
  <c r="S422" i="1"/>
  <c r="Y422" i="1" s="1"/>
  <c r="M422" i="1"/>
  <c r="Z421" i="1"/>
  <c r="Y421" i="1"/>
  <c r="AA421" i="1" s="1"/>
  <c r="X421" i="1"/>
  <c r="W421" i="1"/>
  <c r="V421" i="1"/>
  <c r="U421" i="1"/>
  <c r="R421" i="1"/>
  <c r="O421" i="1"/>
  <c r="L421" i="1"/>
  <c r="Y420" i="1"/>
  <c r="V420" i="1"/>
  <c r="S420" i="1"/>
  <c r="M420" i="1"/>
  <c r="Y419" i="1"/>
  <c r="V419" i="1"/>
  <c r="S419" i="1"/>
  <c r="M419" i="1"/>
  <c r="Y418" i="1"/>
  <c r="V418" i="1"/>
  <c r="S418" i="1"/>
  <c r="M418" i="1"/>
  <c r="Y417" i="1"/>
  <c r="V417" i="1"/>
  <c r="S417" i="1"/>
  <c r="M417" i="1"/>
  <c r="Y416" i="1"/>
  <c r="V416" i="1"/>
  <c r="S416" i="1"/>
  <c r="M416" i="1"/>
  <c r="Y415" i="1"/>
  <c r="V415" i="1"/>
  <c r="S415" i="1"/>
  <c r="M415" i="1"/>
  <c r="Y414" i="1"/>
  <c r="V414" i="1"/>
  <c r="S414" i="1"/>
  <c r="M414" i="1"/>
  <c r="Y413" i="1"/>
  <c r="V413" i="1"/>
  <c r="S413" i="1"/>
  <c r="M413" i="1"/>
  <c r="Y412" i="1"/>
  <c r="V412" i="1"/>
  <c r="S412" i="1"/>
  <c r="M412" i="1"/>
  <c r="Y411" i="1"/>
  <c r="V411" i="1"/>
  <c r="S411" i="1"/>
  <c r="M411" i="1"/>
  <c r="Y410" i="1"/>
  <c r="V410" i="1"/>
  <c r="S410" i="1"/>
  <c r="M410" i="1"/>
  <c r="Y409" i="1"/>
  <c r="V409" i="1"/>
  <c r="S409" i="1"/>
  <c r="M409" i="1"/>
  <c r="Y408" i="1"/>
  <c r="V408" i="1"/>
  <c r="S408" i="1"/>
  <c r="M408" i="1"/>
  <c r="Y407" i="1"/>
  <c r="V407" i="1"/>
  <c r="S407" i="1"/>
  <c r="M407" i="1"/>
  <c r="AA406" i="1"/>
  <c r="Z406" i="1"/>
  <c r="Y406" i="1"/>
  <c r="W406" i="1"/>
  <c r="V406" i="1"/>
  <c r="U406" i="1"/>
  <c r="R406" i="1"/>
  <c r="X406" i="1" s="1"/>
  <c r="O406" i="1"/>
  <c r="L406" i="1"/>
  <c r="V405" i="1"/>
  <c r="S405" i="1"/>
  <c r="Y405" i="1" s="1"/>
  <c r="M405" i="1"/>
  <c r="Z404" i="1"/>
  <c r="Y404" i="1"/>
  <c r="Y403" i="1" s="1"/>
  <c r="X404" i="1"/>
  <c r="W404" i="1"/>
  <c r="V404" i="1"/>
  <c r="U404" i="1"/>
  <c r="R404" i="1"/>
  <c r="O404" i="1"/>
  <c r="L404" i="1"/>
  <c r="Z403" i="1"/>
  <c r="T403" i="1"/>
  <c r="S403" i="1"/>
  <c r="N403" i="1"/>
  <c r="M403" i="1"/>
  <c r="Y402" i="1"/>
  <c r="V402" i="1"/>
  <c r="S402" i="1"/>
  <c r="M402" i="1"/>
  <c r="V401" i="1"/>
  <c r="S401" i="1"/>
  <c r="Y401" i="1" s="1"/>
  <c r="M401" i="1"/>
  <c r="AA400" i="1"/>
  <c r="Z400" i="1"/>
  <c r="Y400" i="1"/>
  <c r="X400" i="1"/>
  <c r="W400" i="1"/>
  <c r="V400" i="1"/>
  <c r="U400" i="1"/>
  <c r="R400" i="1"/>
  <c r="O400" i="1"/>
  <c r="L400" i="1"/>
  <c r="Y399" i="1"/>
  <c r="V399" i="1"/>
  <c r="S399" i="1"/>
  <c r="M399" i="1"/>
  <c r="V398" i="1"/>
  <c r="S398" i="1"/>
  <c r="Y398" i="1" s="1"/>
  <c r="M398" i="1"/>
  <c r="Z397" i="1"/>
  <c r="AA397" i="1" s="1"/>
  <c r="Y397" i="1"/>
  <c r="X397" i="1"/>
  <c r="W397" i="1"/>
  <c r="V397" i="1"/>
  <c r="U397" i="1"/>
  <c r="R397" i="1"/>
  <c r="O397" i="1"/>
  <c r="L397" i="1"/>
  <c r="V396" i="1"/>
  <c r="S396" i="1"/>
  <c r="Y396" i="1" s="1"/>
  <c r="M396" i="1"/>
  <c r="Y395" i="1"/>
  <c r="V395" i="1"/>
  <c r="S395" i="1"/>
  <c r="M395" i="1"/>
  <c r="Z394" i="1"/>
  <c r="Y394" i="1"/>
  <c r="AA394" i="1" s="1"/>
  <c r="W394" i="1"/>
  <c r="V394" i="1"/>
  <c r="U394" i="1"/>
  <c r="R394" i="1"/>
  <c r="X394" i="1" s="1"/>
  <c r="O394" i="1"/>
  <c r="L394" i="1"/>
  <c r="V393" i="1"/>
  <c r="S393" i="1"/>
  <c r="Y393" i="1" s="1"/>
  <c r="M393" i="1"/>
  <c r="Y392" i="1"/>
  <c r="V392" i="1"/>
  <c r="S392" i="1"/>
  <c r="M392" i="1"/>
  <c r="Z391" i="1"/>
  <c r="Y391" i="1"/>
  <c r="AA391" i="1" s="1"/>
  <c r="W391" i="1"/>
  <c r="V391" i="1"/>
  <c r="U391" i="1"/>
  <c r="R391" i="1"/>
  <c r="X391" i="1" s="1"/>
  <c r="O391" i="1"/>
  <c r="L391" i="1"/>
  <c r="Y390" i="1"/>
  <c r="V390" i="1"/>
  <c r="S390" i="1"/>
  <c r="M390" i="1"/>
  <c r="V389" i="1"/>
  <c r="S389" i="1"/>
  <c r="Y389" i="1" s="1"/>
  <c r="M389" i="1"/>
  <c r="AA388" i="1"/>
  <c r="Z388" i="1"/>
  <c r="Y388" i="1"/>
  <c r="X388" i="1"/>
  <c r="W388" i="1"/>
  <c r="V388" i="1"/>
  <c r="U388" i="1"/>
  <c r="R388" i="1"/>
  <c r="O388" i="1"/>
  <c r="L388" i="1"/>
  <c r="Y387" i="1"/>
  <c r="V387" i="1"/>
  <c r="S387" i="1"/>
  <c r="M387" i="1"/>
  <c r="V386" i="1"/>
  <c r="S386" i="1"/>
  <c r="Y386" i="1" s="1"/>
  <c r="M386" i="1"/>
  <c r="Z385" i="1"/>
  <c r="AA385" i="1" s="1"/>
  <c r="Y385" i="1"/>
  <c r="X385" i="1"/>
  <c r="W385" i="1"/>
  <c r="V385" i="1"/>
  <c r="U385" i="1"/>
  <c r="U375" i="1" s="1"/>
  <c r="R385" i="1"/>
  <c r="O385" i="1"/>
  <c r="L385" i="1"/>
  <c r="V384" i="1"/>
  <c r="S384" i="1"/>
  <c r="Y384" i="1" s="1"/>
  <c r="M384" i="1"/>
  <c r="Y383" i="1"/>
  <c r="V383" i="1"/>
  <c r="S383" i="1"/>
  <c r="M383" i="1"/>
  <c r="Z382" i="1"/>
  <c r="Y382" i="1"/>
  <c r="AA382" i="1" s="1"/>
  <c r="W382" i="1"/>
  <c r="V382" i="1"/>
  <c r="U382" i="1"/>
  <c r="R382" i="1"/>
  <c r="X382" i="1" s="1"/>
  <c r="O382" i="1"/>
  <c r="L382" i="1"/>
  <c r="V381" i="1"/>
  <c r="S381" i="1"/>
  <c r="Y381" i="1" s="1"/>
  <c r="M381" i="1"/>
  <c r="Y380" i="1"/>
  <c r="V380" i="1"/>
  <c r="S380" i="1"/>
  <c r="M380" i="1"/>
  <c r="Z379" i="1"/>
  <c r="Y379" i="1"/>
  <c r="AA379" i="1" s="1"/>
  <c r="W379" i="1"/>
  <c r="V379" i="1"/>
  <c r="U379" i="1"/>
  <c r="R379" i="1"/>
  <c r="X379" i="1" s="1"/>
  <c r="O379" i="1"/>
  <c r="L379" i="1"/>
  <c r="Y378" i="1"/>
  <c r="V378" i="1"/>
  <c r="S378" i="1"/>
  <c r="M378" i="1"/>
  <c r="V377" i="1"/>
  <c r="S377" i="1"/>
  <c r="Y377" i="1" s="1"/>
  <c r="M377" i="1"/>
  <c r="AA376" i="1"/>
  <c r="Z376" i="1"/>
  <c r="Y376" i="1"/>
  <c r="Y375" i="1" s="1"/>
  <c r="X376" i="1"/>
  <c r="W376" i="1"/>
  <c r="V376" i="1"/>
  <c r="U376" i="1"/>
  <c r="R376" i="1"/>
  <c r="O376" i="1"/>
  <c r="L376" i="1"/>
  <c r="T375" i="1"/>
  <c r="S375" i="1"/>
  <c r="O375" i="1"/>
  <c r="N375" i="1"/>
  <c r="M375" i="1"/>
  <c r="Y374" i="1"/>
  <c r="V374" i="1"/>
  <c r="S374" i="1"/>
  <c r="M374" i="1"/>
  <c r="AA373" i="1"/>
  <c r="Z373" i="1"/>
  <c r="Y373" i="1"/>
  <c r="W373" i="1"/>
  <c r="V373" i="1"/>
  <c r="U373" i="1"/>
  <c r="R373" i="1"/>
  <c r="X373" i="1" s="1"/>
  <c r="O373" i="1"/>
  <c r="L373" i="1"/>
  <c r="V372" i="1"/>
  <c r="S372" i="1"/>
  <c r="Y372" i="1" s="1"/>
  <c r="M372" i="1"/>
  <c r="V371" i="1"/>
  <c r="S371" i="1"/>
  <c r="Y371" i="1" s="1"/>
  <c r="M371" i="1"/>
  <c r="Z370" i="1"/>
  <c r="Y370" i="1"/>
  <c r="AA370" i="1" s="1"/>
  <c r="W370" i="1"/>
  <c r="V370" i="1"/>
  <c r="U370" i="1"/>
  <c r="R370" i="1"/>
  <c r="X370" i="1" s="1"/>
  <c r="O370" i="1"/>
  <c r="L370" i="1"/>
  <c r="Y369" i="1"/>
  <c r="V369" i="1"/>
  <c r="S369" i="1"/>
  <c r="M369" i="1"/>
  <c r="Y368" i="1"/>
  <c r="V368" i="1"/>
  <c r="S368" i="1"/>
  <c r="M368" i="1"/>
  <c r="AA367" i="1"/>
  <c r="Z367" i="1"/>
  <c r="Y367" i="1"/>
  <c r="X367" i="1"/>
  <c r="W367" i="1"/>
  <c r="V367" i="1"/>
  <c r="U367" i="1"/>
  <c r="R367" i="1"/>
  <c r="O367" i="1"/>
  <c r="L367" i="1"/>
  <c r="V366" i="1"/>
  <c r="S366" i="1"/>
  <c r="Y366" i="1" s="1"/>
  <c r="M366" i="1"/>
  <c r="V365" i="1"/>
  <c r="S365" i="1"/>
  <c r="Y365" i="1" s="1"/>
  <c r="M365" i="1"/>
  <c r="V364" i="1"/>
  <c r="S364" i="1"/>
  <c r="Y364" i="1" s="1"/>
  <c r="M364" i="1"/>
  <c r="Z363" i="1"/>
  <c r="Y363" i="1"/>
  <c r="AA363" i="1" s="1"/>
  <c r="W363" i="1"/>
  <c r="V363" i="1"/>
  <c r="U363" i="1"/>
  <c r="R363" i="1"/>
  <c r="X363" i="1" s="1"/>
  <c r="O363" i="1"/>
  <c r="L363" i="1"/>
  <c r="Y362" i="1"/>
  <c r="V362" i="1"/>
  <c r="S362" i="1"/>
  <c r="M362" i="1"/>
  <c r="Y361" i="1"/>
  <c r="V361" i="1"/>
  <c r="S361" i="1"/>
  <c r="M361" i="1"/>
  <c r="Y360" i="1"/>
  <c r="V360" i="1"/>
  <c r="S360" i="1"/>
  <c r="M360" i="1"/>
  <c r="AA359" i="1"/>
  <c r="Z359" i="1"/>
  <c r="Y359" i="1"/>
  <c r="W359" i="1"/>
  <c r="V359" i="1"/>
  <c r="U359" i="1"/>
  <c r="R359" i="1"/>
  <c r="X359" i="1" s="1"/>
  <c r="O359" i="1"/>
  <c r="L359" i="1"/>
  <c r="V358" i="1"/>
  <c r="S358" i="1"/>
  <c r="Y358" i="1" s="1"/>
  <c r="M358" i="1"/>
  <c r="V357" i="1"/>
  <c r="S357" i="1"/>
  <c r="Y357" i="1" s="1"/>
  <c r="M357" i="1"/>
  <c r="Z356" i="1"/>
  <c r="Y356" i="1"/>
  <c r="AA356" i="1" s="1"/>
  <c r="W356" i="1"/>
  <c r="V356" i="1"/>
  <c r="U356" i="1"/>
  <c r="R356" i="1"/>
  <c r="X356" i="1" s="1"/>
  <c r="O356" i="1"/>
  <c r="L356" i="1"/>
  <c r="Y355" i="1"/>
  <c r="V355" i="1"/>
  <c r="S355" i="1"/>
  <c r="M355" i="1"/>
  <c r="Y354" i="1"/>
  <c r="V354" i="1"/>
  <c r="S354" i="1"/>
  <c r="M354" i="1"/>
  <c r="AA353" i="1"/>
  <c r="Z353" i="1"/>
  <c r="Y353" i="1"/>
  <c r="X353" i="1"/>
  <c r="W353" i="1"/>
  <c r="V353" i="1"/>
  <c r="U353" i="1"/>
  <c r="R353" i="1"/>
  <c r="O353" i="1"/>
  <c r="O346" i="1" s="1"/>
  <c r="O345" i="1" s="1"/>
  <c r="L353" i="1"/>
  <c r="V352" i="1"/>
  <c r="S352" i="1"/>
  <c r="Y352" i="1" s="1"/>
  <c r="M352" i="1"/>
  <c r="V351" i="1"/>
  <c r="S351" i="1"/>
  <c r="Y351" i="1" s="1"/>
  <c r="M351" i="1"/>
  <c r="V350" i="1"/>
  <c r="S350" i="1"/>
  <c r="Y350" i="1" s="1"/>
  <c r="M350" i="1"/>
  <c r="V349" i="1"/>
  <c r="S349" i="1"/>
  <c r="Y349" i="1" s="1"/>
  <c r="M349" i="1"/>
  <c r="V348" i="1"/>
  <c r="S348" i="1"/>
  <c r="Y348" i="1" s="1"/>
  <c r="M348" i="1"/>
  <c r="Z347" i="1"/>
  <c r="Z346" i="1" s="1"/>
  <c r="Y347" i="1"/>
  <c r="W347" i="1"/>
  <c r="V347" i="1"/>
  <c r="U347" i="1"/>
  <c r="U346" i="1" s="1"/>
  <c r="U345" i="1" s="1"/>
  <c r="R347" i="1"/>
  <c r="X347" i="1" s="1"/>
  <c r="O347" i="1"/>
  <c r="L347" i="1"/>
  <c r="T346" i="1"/>
  <c r="T345" i="1" s="1"/>
  <c r="S346" i="1"/>
  <c r="S345" i="1" s="1"/>
  <c r="N346" i="1"/>
  <c r="M346" i="1"/>
  <c r="M345" i="1" s="1"/>
  <c r="N345" i="1"/>
  <c r="V344" i="1"/>
  <c r="S344" i="1"/>
  <c r="Y344" i="1" s="1"/>
  <c r="M344" i="1"/>
  <c r="V343" i="1"/>
  <c r="S343" i="1"/>
  <c r="Y343" i="1" s="1"/>
  <c r="M343" i="1"/>
  <c r="V342" i="1"/>
  <c r="S342" i="1"/>
  <c r="Y342" i="1" s="1"/>
  <c r="M342" i="1"/>
  <c r="V341" i="1"/>
  <c r="S341" i="1"/>
  <c r="Y341" i="1" s="1"/>
  <c r="M341" i="1"/>
  <c r="Z340" i="1"/>
  <c r="Y340" i="1"/>
  <c r="AA340" i="1" s="1"/>
  <c r="X340" i="1"/>
  <c r="W340" i="1"/>
  <c r="V340" i="1"/>
  <c r="U340" i="1"/>
  <c r="R340" i="1"/>
  <c r="O340" i="1"/>
  <c r="L340" i="1"/>
  <c r="Y339" i="1"/>
  <c r="V339" i="1"/>
  <c r="S339" i="1"/>
  <c r="M339" i="1"/>
  <c r="Y338" i="1"/>
  <c r="V338" i="1"/>
  <c r="S338" i="1"/>
  <c r="M338" i="1"/>
  <c r="AA337" i="1"/>
  <c r="Z337" i="1"/>
  <c r="Y337" i="1"/>
  <c r="W337" i="1"/>
  <c r="V337" i="1"/>
  <c r="U337" i="1"/>
  <c r="R337" i="1"/>
  <c r="X337" i="1" s="1"/>
  <c r="O337" i="1"/>
  <c r="L337" i="1"/>
  <c r="V336" i="1"/>
  <c r="S336" i="1"/>
  <c r="Y336" i="1" s="1"/>
  <c r="M336" i="1"/>
  <c r="V335" i="1"/>
  <c r="S335" i="1"/>
  <c r="Y335" i="1" s="1"/>
  <c r="M335" i="1"/>
  <c r="Z334" i="1"/>
  <c r="Y334" i="1"/>
  <c r="AA334" i="1" s="1"/>
  <c r="W334" i="1"/>
  <c r="V334" i="1"/>
  <c r="U334" i="1"/>
  <c r="R334" i="1"/>
  <c r="X334" i="1" s="1"/>
  <c r="O334" i="1"/>
  <c r="L334" i="1"/>
  <c r="Y333" i="1"/>
  <c r="V333" i="1"/>
  <c r="S333" i="1"/>
  <c r="M333" i="1"/>
  <c r="Y332" i="1"/>
  <c r="V332" i="1"/>
  <c r="S332" i="1"/>
  <c r="M332" i="1"/>
  <c r="Y331" i="1"/>
  <c r="V331" i="1"/>
  <c r="S331" i="1"/>
  <c r="M331" i="1"/>
  <c r="AA330" i="1"/>
  <c r="AA329" i="1" s="1"/>
  <c r="Z330" i="1"/>
  <c r="Z329" i="1" s="1"/>
  <c r="Y330" i="1"/>
  <c r="W330" i="1"/>
  <c r="V330" i="1"/>
  <c r="U330" i="1"/>
  <c r="R330" i="1"/>
  <c r="X330" i="1" s="1"/>
  <c r="O330" i="1"/>
  <c r="L330" i="1"/>
  <c r="Y329" i="1"/>
  <c r="T329" i="1"/>
  <c r="S329" i="1"/>
  <c r="O329" i="1"/>
  <c r="N329" i="1"/>
  <c r="M329" i="1"/>
  <c r="Y328" i="1"/>
  <c r="V328" i="1"/>
  <c r="S328" i="1"/>
  <c r="M328" i="1"/>
  <c r="V327" i="1"/>
  <c r="S327" i="1"/>
  <c r="Y327" i="1" s="1"/>
  <c r="M327" i="1"/>
  <c r="Y326" i="1"/>
  <c r="V326" i="1"/>
  <c r="S326" i="1"/>
  <c r="M326" i="1"/>
  <c r="V325" i="1"/>
  <c r="S325" i="1"/>
  <c r="Y325" i="1" s="1"/>
  <c r="M325" i="1"/>
  <c r="Z324" i="1"/>
  <c r="AA324" i="1" s="1"/>
  <c r="Y324" i="1"/>
  <c r="X324" i="1"/>
  <c r="W324" i="1"/>
  <c r="V324" i="1"/>
  <c r="U324" i="1"/>
  <c r="R324" i="1"/>
  <c r="O324" i="1"/>
  <c r="L324" i="1"/>
  <c r="V323" i="1"/>
  <c r="S323" i="1"/>
  <c r="Y323" i="1" s="1"/>
  <c r="M323" i="1"/>
  <c r="Y322" i="1"/>
  <c r="V322" i="1"/>
  <c r="S322" i="1"/>
  <c r="M322" i="1"/>
  <c r="V321" i="1"/>
  <c r="S321" i="1"/>
  <c r="Y321" i="1" s="1"/>
  <c r="M321" i="1"/>
  <c r="Y320" i="1"/>
  <c r="V320" i="1"/>
  <c r="S320" i="1"/>
  <c r="M320" i="1"/>
  <c r="Z319" i="1"/>
  <c r="Y319" i="1"/>
  <c r="AA319" i="1" s="1"/>
  <c r="W319" i="1"/>
  <c r="V319" i="1"/>
  <c r="U319" i="1"/>
  <c r="R319" i="1"/>
  <c r="X319" i="1" s="1"/>
  <c r="O319" i="1"/>
  <c r="L319" i="1"/>
  <c r="V318" i="1"/>
  <c r="S318" i="1"/>
  <c r="Y318" i="1" s="1"/>
  <c r="M318" i="1"/>
  <c r="Y317" i="1"/>
  <c r="V317" i="1"/>
  <c r="S317" i="1"/>
  <c r="M317" i="1"/>
  <c r="V316" i="1"/>
  <c r="S316" i="1"/>
  <c r="Y316" i="1" s="1"/>
  <c r="M316" i="1"/>
  <c r="Y315" i="1"/>
  <c r="V315" i="1"/>
  <c r="S315" i="1"/>
  <c r="M315" i="1"/>
  <c r="Z314" i="1"/>
  <c r="Y314" i="1"/>
  <c r="AA314" i="1" s="1"/>
  <c r="W314" i="1"/>
  <c r="V314" i="1"/>
  <c r="U314" i="1"/>
  <c r="R314" i="1"/>
  <c r="X314" i="1" s="1"/>
  <c r="O314" i="1"/>
  <c r="L314" i="1"/>
  <c r="Y313" i="1"/>
  <c r="V313" i="1"/>
  <c r="S313" i="1"/>
  <c r="M313" i="1"/>
  <c r="V312" i="1"/>
  <c r="S312" i="1"/>
  <c r="Y312" i="1" s="1"/>
  <c r="M312" i="1"/>
  <c r="Y311" i="1"/>
  <c r="V311" i="1"/>
  <c r="S311" i="1"/>
  <c r="M311" i="1"/>
  <c r="V310" i="1"/>
  <c r="S310" i="1"/>
  <c r="Y310" i="1" s="1"/>
  <c r="M310" i="1"/>
  <c r="AA309" i="1"/>
  <c r="Z309" i="1"/>
  <c r="Y309" i="1"/>
  <c r="X309" i="1"/>
  <c r="W309" i="1"/>
  <c r="V309" i="1"/>
  <c r="U309" i="1"/>
  <c r="R309" i="1"/>
  <c r="O309" i="1"/>
  <c r="L309" i="1"/>
  <c r="Y308" i="1"/>
  <c r="V308" i="1"/>
  <c r="S308" i="1"/>
  <c r="M308" i="1"/>
  <c r="V307" i="1"/>
  <c r="S307" i="1"/>
  <c r="Y307" i="1" s="1"/>
  <c r="M307" i="1"/>
  <c r="Y306" i="1"/>
  <c r="V306" i="1"/>
  <c r="S306" i="1"/>
  <c r="M306" i="1"/>
  <c r="V305" i="1"/>
  <c r="S305" i="1"/>
  <c r="Y305" i="1" s="1"/>
  <c r="M305" i="1"/>
  <c r="Z304" i="1"/>
  <c r="AA304" i="1" s="1"/>
  <c r="Y304" i="1"/>
  <c r="X304" i="1"/>
  <c r="W304" i="1"/>
  <c r="V304" i="1"/>
  <c r="U304" i="1"/>
  <c r="R304" i="1"/>
  <c r="O304" i="1"/>
  <c r="L304" i="1"/>
  <c r="V303" i="1"/>
  <c r="S303" i="1"/>
  <c r="Y303" i="1" s="1"/>
  <c r="M303" i="1"/>
  <c r="Y302" i="1"/>
  <c r="V302" i="1"/>
  <c r="S302" i="1"/>
  <c r="M302" i="1"/>
  <c r="V301" i="1"/>
  <c r="S301" i="1"/>
  <c r="Y301" i="1" s="1"/>
  <c r="M301" i="1"/>
  <c r="Y300" i="1"/>
  <c r="V300" i="1"/>
  <c r="S300" i="1"/>
  <c r="M300" i="1"/>
  <c r="Z299" i="1"/>
  <c r="Y299" i="1"/>
  <c r="AA299" i="1" s="1"/>
  <c r="W299" i="1"/>
  <c r="V299" i="1"/>
  <c r="U299" i="1"/>
  <c r="R299" i="1"/>
  <c r="X299" i="1" s="1"/>
  <c r="O299" i="1"/>
  <c r="L299" i="1"/>
  <c r="V298" i="1"/>
  <c r="S298" i="1"/>
  <c r="Y298" i="1" s="1"/>
  <c r="M298" i="1"/>
  <c r="Y297" i="1"/>
  <c r="V297" i="1"/>
  <c r="S297" i="1"/>
  <c r="M297" i="1"/>
  <c r="V296" i="1"/>
  <c r="S296" i="1"/>
  <c r="Y296" i="1" s="1"/>
  <c r="M296" i="1"/>
  <c r="Y295" i="1"/>
  <c r="V295" i="1"/>
  <c r="S295" i="1"/>
  <c r="M295" i="1"/>
  <c r="Z294" i="1"/>
  <c r="Y294" i="1"/>
  <c r="AA294" i="1" s="1"/>
  <c r="W294" i="1"/>
  <c r="V294" i="1"/>
  <c r="U294" i="1"/>
  <c r="R294" i="1"/>
  <c r="X294" i="1" s="1"/>
  <c r="O294" i="1"/>
  <c r="L294" i="1"/>
  <c r="Y293" i="1"/>
  <c r="V293" i="1"/>
  <c r="S293" i="1"/>
  <c r="M293" i="1"/>
  <c r="V292" i="1"/>
  <c r="S292" i="1"/>
  <c r="Y292" i="1" s="1"/>
  <c r="M292" i="1"/>
  <c r="AA291" i="1"/>
  <c r="Z291" i="1"/>
  <c r="Y291" i="1"/>
  <c r="X291" i="1"/>
  <c r="W291" i="1"/>
  <c r="V291" i="1"/>
  <c r="U291" i="1"/>
  <c r="R291" i="1"/>
  <c r="O291" i="1"/>
  <c r="O281" i="1" s="1"/>
  <c r="L291" i="1"/>
  <c r="Y290" i="1"/>
  <c r="V290" i="1"/>
  <c r="S290" i="1"/>
  <c r="M290" i="1"/>
  <c r="V289" i="1"/>
  <c r="S289" i="1"/>
  <c r="Y289" i="1" s="1"/>
  <c r="M289" i="1"/>
  <c r="Z288" i="1"/>
  <c r="AA288" i="1" s="1"/>
  <c r="Y288" i="1"/>
  <c r="X288" i="1"/>
  <c r="W288" i="1"/>
  <c r="V288" i="1"/>
  <c r="U288" i="1"/>
  <c r="R288" i="1"/>
  <c r="O288" i="1"/>
  <c r="L288" i="1"/>
  <c r="V287" i="1"/>
  <c r="S287" i="1"/>
  <c r="Y287" i="1" s="1"/>
  <c r="M287" i="1"/>
  <c r="Y286" i="1"/>
  <c r="V286" i="1"/>
  <c r="S286" i="1"/>
  <c r="M286" i="1"/>
  <c r="Z285" i="1"/>
  <c r="Y285" i="1"/>
  <c r="AA285" i="1" s="1"/>
  <c r="W285" i="1"/>
  <c r="V285" i="1"/>
  <c r="U285" i="1"/>
  <c r="R285" i="1"/>
  <c r="X285" i="1" s="1"/>
  <c r="O285" i="1"/>
  <c r="L285" i="1"/>
  <c r="V284" i="1"/>
  <c r="S284" i="1"/>
  <c r="Y284" i="1" s="1"/>
  <c r="M284" i="1"/>
  <c r="Y283" i="1"/>
  <c r="V283" i="1"/>
  <c r="S283" i="1"/>
  <c r="M283" i="1"/>
  <c r="Z282" i="1"/>
  <c r="Z281" i="1" s="1"/>
  <c r="Y282" i="1"/>
  <c r="Y281" i="1" s="1"/>
  <c r="W282" i="1"/>
  <c r="V282" i="1"/>
  <c r="U282" i="1"/>
  <c r="R282" i="1"/>
  <c r="X282" i="1" s="1"/>
  <c r="O282" i="1"/>
  <c r="L282" i="1"/>
  <c r="U281" i="1"/>
  <c r="T281" i="1"/>
  <c r="S281" i="1"/>
  <c r="N281" i="1"/>
  <c r="M281" i="1"/>
  <c r="V280" i="1"/>
  <c r="S280" i="1"/>
  <c r="Y280" i="1" s="1"/>
  <c r="M280" i="1"/>
  <c r="V279" i="1"/>
  <c r="S279" i="1"/>
  <c r="Y279" i="1" s="1"/>
  <c r="M279" i="1"/>
  <c r="V278" i="1"/>
  <c r="S278" i="1"/>
  <c r="Y278" i="1" s="1"/>
  <c r="M278" i="1"/>
  <c r="Z277" i="1"/>
  <c r="Y277" i="1"/>
  <c r="AA277" i="1" s="1"/>
  <c r="X277" i="1"/>
  <c r="W277" i="1"/>
  <c r="V277" i="1"/>
  <c r="U277" i="1"/>
  <c r="R277" i="1"/>
  <c r="O277" i="1"/>
  <c r="L277" i="1"/>
  <c r="Y276" i="1"/>
  <c r="V276" i="1"/>
  <c r="S276" i="1"/>
  <c r="M276" i="1"/>
  <c r="Y275" i="1"/>
  <c r="V275" i="1"/>
  <c r="S275" i="1"/>
  <c r="M275" i="1"/>
  <c r="Y274" i="1"/>
  <c r="V274" i="1"/>
  <c r="S274" i="1"/>
  <c r="M274" i="1"/>
  <c r="AA273" i="1"/>
  <c r="Z273" i="1"/>
  <c r="Y273" i="1"/>
  <c r="X273" i="1"/>
  <c r="W273" i="1"/>
  <c r="V273" i="1"/>
  <c r="U273" i="1"/>
  <c r="R273" i="1"/>
  <c r="O273" i="1"/>
  <c r="L273" i="1"/>
  <c r="V272" i="1"/>
  <c r="S272" i="1"/>
  <c r="Y272" i="1" s="1"/>
  <c r="M272" i="1"/>
  <c r="V271" i="1"/>
  <c r="S271" i="1"/>
  <c r="Y271" i="1" s="1"/>
  <c r="M271" i="1"/>
  <c r="V270" i="1"/>
  <c r="S270" i="1"/>
  <c r="Y270" i="1" s="1"/>
  <c r="M270" i="1"/>
  <c r="V269" i="1"/>
  <c r="S269" i="1"/>
  <c r="Y269" i="1" s="1"/>
  <c r="M269" i="1"/>
  <c r="Z268" i="1"/>
  <c r="Y268" i="1"/>
  <c r="AA268" i="1" s="1"/>
  <c r="X268" i="1"/>
  <c r="W268" i="1"/>
  <c r="V268" i="1"/>
  <c r="U268" i="1"/>
  <c r="R268" i="1"/>
  <c r="O268" i="1"/>
  <c r="L268" i="1"/>
  <c r="Y267" i="1"/>
  <c r="V267" i="1"/>
  <c r="S267" i="1"/>
  <c r="M267" i="1"/>
  <c r="Y266" i="1"/>
  <c r="V266" i="1"/>
  <c r="S266" i="1"/>
  <c r="M266" i="1"/>
  <c r="Y265" i="1"/>
  <c r="V265" i="1"/>
  <c r="S265" i="1"/>
  <c r="M265" i="1"/>
  <c r="Y264" i="1"/>
  <c r="V264" i="1"/>
  <c r="S264" i="1"/>
  <c r="M264" i="1"/>
  <c r="AA263" i="1"/>
  <c r="Z263" i="1"/>
  <c r="Y263" i="1"/>
  <c r="W263" i="1"/>
  <c r="V263" i="1"/>
  <c r="U263" i="1"/>
  <c r="R263" i="1"/>
  <c r="X263" i="1" s="1"/>
  <c r="O263" i="1"/>
  <c r="L263" i="1"/>
  <c r="V262" i="1"/>
  <c r="S262" i="1"/>
  <c r="Y262" i="1" s="1"/>
  <c r="M262" i="1"/>
  <c r="V261" i="1"/>
  <c r="S261" i="1"/>
  <c r="Y261" i="1" s="1"/>
  <c r="M261" i="1"/>
  <c r="V260" i="1"/>
  <c r="S260" i="1"/>
  <c r="Y260" i="1" s="1"/>
  <c r="M260" i="1"/>
  <c r="V259" i="1"/>
  <c r="S259" i="1"/>
  <c r="Y259" i="1" s="1"/>
  <c r="M259" i="1"/>
  <c r="Z258" i="1"/>
  <c r="Y258" i="1"/>
  <c r="AA258" i="1" s="1"/>
  <c r="W258" i="1"/>
  <c r="V258" i="1"/>
  <c r="U258" i="1"/>
  <c r="R258" i="1"/>
  <c r="X258" i="1" s="1"/>
  <c r="O258" i="1"/>
  <c r="L258" i="1"/>
  <c r="Y257" i="1"/>
  <c r="V257" i="1"/>
  <c r="S257" i="1"/>
  <c r="M257" i="1"/>
  <c r="Y256" i="1"/>
  <c r="V256" i="1"/>
  <c r="S256" i="1"/>
  <c r="M256" i="1"/>
  <c r="Y255" i="1"/>
  <c r="V255" i="1"/>
  <c r="S255" i="1"/>
  <c r="M255" i="1"/>
  <c r="Y254" i="1"/>
  <c r="V254" i="1"/>
  <c r="S254" i="1"/>
  <c r="M254" i="1"/>
  <c r="AA253" i="1"/>
  <c r="Z253" i="1"/>
  <c r="Y253" i="1"/>
  <c r="X253" i="1"/>
  <c r="W253" i="1"/>
  <c r="V253" i="1"/>
  <c r="U253" i="1"/>
  <c r="R253" i="1"/>
  <c r="O253" i="1"/>
  <c r="L253" i="1"/>
  <c r="V252" i="1"/>
  <c r="S252" i="1"/>
  <c r="Y252" i="1" s="1"/>
  <c r="M252" i="1"/>
  <c r="V251" i="1"/>
  <c r="S251" i="1"/>
  <c r="Y251" i="1" s="1"/>
  <c r="M251" i="1"/>
  <c r="Z250" i="1"/>
  <c r="Y250" i="1"/>
  <c r="AA250" i="1" s="1"/>
  <c r="X250" i="1"/>
  <c r="W250" i="1"/>
  <c r="V250" i="1"/>
  <c r="U250" i="1"/>
  <c r="R250" i="1"/>
  <c r="O250" i="1"/>
  <c r="L250" i="1"/>
  <c r="Y249" i="1"/>
  <c r="V249" i="1"/>
  <c r="S249" i="1"/>
  <c r="M249" i="1"/>
  <c r="Y248" i="1"/>
  <c r="V248" i="1"/>
  <c r="S248" i="1"/>
  <c r="M248" i="1"/>
  <c r="AA247" i="1"/>
  <c r="Z247" i="1"/>
  <c r="Y247" i="1"/>
  <c r="W247" i="1"/>
  <c r="V247" i="1"/>
  <c r="U247" i="1"/>
  <c r="R247" i="1"/>
  <c r="X247" i="1" s="1"/>
  <c r="O247" i="1"/>
  <c r="L247" i="1"/>
  <c r="V246" i="1"/>
  <c r="S246" i="1"/>
  <c r="Y246" i="1" s="1"/>
  <c r="M246" i="1"/>
  <c r="V245" i="1"/>
  <c r="S245" i="1"/>
  <c r="Y245" i="1" s="1"/>
  <c r="M245" i="1"/>
  <c r="Z244" i="1"/>
  <c r="Y244" i="1"/>
  <c r="AA244" i="1" s="1"/>
  <c r="W244" i="1"/>
  <c r="V244" i="1"/>
  <c r="U244" i="1"/>
  <c r="R244" i="1"/>
  <c r="X244" i="1" s="1"/>
  <c r="O244" i="1"/>
  <c r="L244" i="1"/>
  <c r="Y243" i="1"/>
  <c r="V243" i="1"/>
  <c r="S243" i="1"/>
  <c r="M243" i="1"/>
  <c r="Y242" i="1"/>
  <c r="V242" i="1"/>
  <c r="S242" i="1"/>
  <c r="M242" i="1"/>
  <c r="AA241" i="1"/>
  <c r="Z241" i="1"/>
  <c r="Y241" i="1"/>
  <c r="X241" i="1"/>
  <c r="W241" i="1"/>
  <c r="V241" i="1"/>
  <c r="U241" i="1"/>
  <c r="R241" i="1"/>
  <c r="O241" i="1"/>
  <c r="L241" i="1"/>
  <c r="V240" i="1"/>
  <c r="S240" i="1"/>
  <c r="Y240" i="1" s="1"/>
  <c r="M240" i="1"/>
  <c r="V239" i="1"/>
  <c r="S239" i="1"/>
  <c r="Y239" i="1" s="1"/>
  <c r="M239" i="1"/>
  <c r="V238" i="1"/>
  <c r="S238" i="1"/>
  <c r="Y238" i="1" s="1"/>
  <c r="M238" i="1"/>
  <c r="V237" i="1"/>
  <c r="S237" i="1"/>
  <c r="Y237" i="1" s="1"/>
  <c r="M237" i="1"/>
  <c r="Z236" i="1"/>
  <c r="Y236" i="1"/>
  <c r="AA236" i="1" s="1"/>
  <c r="X236" i="1"/>
  <c r="W236" i="1"/>
  <c r="V236" i="1"/>
  <c r="U236" i="1"/>
  <c r="R236" i="1"/>
  <c r="O236" i="1"/>
  <c r="L236" i="1"/>
  <c r="Y235" i="1"/>
  <c r="V235" i="1"/>
  <c r="S235" i="1"/>
  <c r="M235" i="1"/>
  <c r="Y234" i="1"/>
  <c r="V234" i="1"/>
  <c r="S234" i="1"/>
  <c r="M234" i="1"/>
  <c r="Z233" i="1"/>
  <c r="AA233" i="1" s="1"/>
  <c r="Y233" i="1"/>
  <c r="W233" i="1"/>
  <c r="V233" i="1"/>
  <c r="U233" i="1"/>
  <c r="R233" i="1"/>
  <c r="X233" i="1" s="1"/>
  <c r="O233" i="1"/>
  <c r="L233" i="1"/>
  <c r="V232" i="1"/>
  <c r="S232" i="1"/>
  <c r="Y232" i="1" s="1"/>
  <c r="M232" i="1"/>
  <c r="V231" i="1"/>
  <c r="S231" i="1"/>
  <c r="Y231" i="1" s="1"/>
  <c r="M231" i="1"/>
  <c r="V230" i="1"/>
  <c r="S230" i="1"/>
  <c r="Y230" i="1" s="1"/>
  <c r="M230" i="1"/>
  <c r="V229" i="1"/>
  <c r="S229" i="1"/>
  <c r="Y229" i="1" s="1"/>
  <c r="M229" i="1"/>
  <c r="Z228" i="1"/>
  <c r="Y228" i="1"/>
  <c r="AA228" i="1" s="1"/>
  <c r="W228" i="1"/>
  <c r="V228" i="1"/>
  <c r="U228" i="1"/>
  <c r="R228" i="1"/>
  <c r="X228" i="1" s="1"/>
  <c r="O228" i="1"/>
  <c r="L228" i="1"/>
  <c r="Y227" i="1"/>
  <c r="V227" i="1"/>
  <c r="S227" i="1"/>
  <c r="M227" i="1"/>
  <c r="Y226" i="1"/>
  <c r="V226" i="1"/>
  <c r="S226" i="1"/>
  <c r="M226" i="1"/>
  <c r="Y225" i="1"/>
  <c r="V225" i="1"/>
  <c r="S225" i="1"/>
  <c r="M225" i="1"/>
  <c r="Z224" i="1"/>
  <c r="AA224" i="1" s="1"/>
  <c r="Y224" i="1"/>
  <c r="W224" i="1"/>
  <c r="V224" i="1"/>
  <c r="U224" i="1"/>
  <c r="R224" i="1"/>
  <c r="X224" i="1" s="1"/>
  <c r="O224" i="1"/>
  <c r="L224" i="1"/>
  <c r="V223" i="1"/>
  <c r="S223" i="1"/>
  <c r="Y223" i="1" s="1"/>
  <c r="M223" i="1"/>
  <c r="V222" i="1"/>
  <c r="S222" i="1"/>
  <c r="Y222" i="1" s="1"/>
  <c r="M222" i="1"/>
  <c r="V221" i="1"/>
  <c r="S221" i="1"/>
  <c r="Y221" i="1" s="1"/>
  <c r="M221" i="1"/>
  <c r="V220" i="1"/>
  <c r="S220" i="1"/>
  <c r="Y220" i="1" s="1"/>
  <c r="M220" i="1"/>
  <c r="Z219" i="1"/>
  <c r="Y219" i="1"/>
  <c r="AA219" i="1" s="1"/>
  <c r="W219" i="1"/>
  <c r="V219" i="1"/>
  <c r="U219" i="1"/>
  <c r="R219" i="1"/>
  <c r="X219" i="1" s="1"/>
  <c r="O219" i="1"/>
  <c r="L219" i="1"/>
  <c r="Y218" i="1"/>
  <c r="V218" i="1"/>
  <c r="S218" i="1"/>
  <c r="M218" i="1"/>
  <c r="Y217" i="1"/>
  <c r="V217" i="1"/>
  <c r="S217" i="1"/>
  <c r="M217" i="1"/>
  <c r="Y216" i="1"/>
  <c r="V216" i="1"/>
  <c r="S216" i="1"/>
  <c r="M216" i="1"/>
  <c r="Z215" i="1"/>
  <c r="AA215" i="1" s="1"/>
  <c r="Y215" i="1"/>
  <c r="W215" i="1"/>
  <c r="V215" i="1"/>
  <c r="U215" i="1"/>
  <c r="R215" i="1"/>
  <c r="X215" i="1" s="1"/>
  <c r="O215" i="1"/>
  <c r="L215" i="1"/>
  <c r="V214" i="1"/>
  <c r="S214" i="1"/>
  <c r="Y214" i="1" s="1"/>
  <c r="M214" i="1"/>
  <c r="V213" i="1"/>
  <c r="S213" i="1"/>
  <c r="Y213" i="1" s="1"/>
  <c r="M213" i="1"/>
  <c r="Z212" i="1"/>
  <c r="Z211" i="1" s="1"/>
  <c r="Y212" i="1"/>
  <c r="W212" i="1"/>
  <c r="V212" i="1"/>
  <c r="U212" i="1"/>
  <c r="R212" i="1"/>
  <c r="X212" i="1" s="1"/>
  <c r="O212" i="1"/>
  <c r="L212" i="1"/>
  <c r="T211" i="1"/>
  <c r="S211" i="1"/>
  <c r="S210" i="1" s="1"/>
  <c r="N211" i="1"/>
  <c r="M211" i="1"/>
  <c r="M210" i="1" s="1"/>
  <c r="T210" i="1"/>
  <c r="N210" i="1"/>
  <c r="N33" i="1" s="1"/>
  <c r="V209" i="1"/>
  <c r="S209" i="1"/>
  <c r="Y209" i="1" s="1"/>
  <c r="M209" i="1"/>
  <c r="Z208" i="1"/>
  <c r="Z207" i="1" s="1"/>
  <c r="Y208" i="1"/>
  <c r="W208" i="1"/>
  <c r="V208" i="1"/>
  <c r="U208" i="1"/>
  <c r="U207" i="1" s="1"/>
  <c r="R208" i="1"/>
  <c r="X208" i="1" s="1"/>
  <c r="O208" i="1"/>
  <c r="L208" i="1"/>
  <c r="T207" i="1"/>
  <c r="S207" i="1"/>
  <c r="O207" i="1"/>
  <c r="N207" i="1"/>
  <c r="M207" i="1"/>
  <c r="V206" i="1"/>
  <c r="S206" i="1"/>
  <c r="Y206" i="1" s="1"/>
  <c r="M206" i="1"/>
  <c r="Y205" i="1"/>
  <c r="V205" i="1"/>
  <c r="S205" i="1"/>
  <c r="M205" i="1"/>
  <c r="V204" i="1"/>
  <c r="S204" i="1"/>
  <c r="Y204" i="1" s="1"/>
  <c r="M204" i="1"/>
  <c r="Y203" i="1"/>
  <c r="V203" i="1"/>
  <c r="S203" i="1"/>
  <c r="M203" i="1"/>
  <c r="Z202" i="1"/>
  <c r="Y202" i="1"/>
  <c r="AA202" i="1" s="1"/>
  <c r="W202" i="1"/>
  <c r="V202" i="1"/>
  <c r="U202" i="1"/>
  <c r="R202" i="1"/>
  <c r="X202" i="1" s="1"/>
  <c r="O202" i="1"/>
  <c r="L202" i="1"/>
  <c r="V201" i="1"/>
  <c r="S201" i="1"/>
  <c r="Y201" i="1" s="1"/>
  <c r="M201" i="1"/>
  <c r="Y200" i="1"/>
  <c r="V200" i="1"/>
  <c r="S200" i="1"/>
  <c r="M200" i="1"/>
  <c r="V199" i="1"/>
  <c r="S199" i="1"/>
  <c r="Y199" i="1" s="1"/>
  <c r="M199" i="1"/>
  <c r="Y198" i="1"/>
  <c r="V198" i="1"/>
  <c r="S198" i="1"/>
  <c r="M198" i="1"/>
  <c r="Z197" i="1"/>
  <c r="Y197" i="1"/>
  <c r="AA197" i="1" s="1"/>
  <c r="W197" i="1"/>
  <c r="V197" i="1"/>
  <c r="U197" i="1"/>
  <c r="R197" i="1"/>
  <c r="X197" i="1" s="1"/>
  <c r="O197" i="1"/>
  <c r="L197" i="1"/>
  <c r="Y196" i="1"/>
  <c r="V196" i="1"/>
  <c r="S196" i="1"/>
  <c r="M196" i="1"/>
  <c r="V195" i="1"/>
  <c r="S195" i="1"/>
  <c r="Y195" i="1" s="1"/>
  <c r="M195" i="1"/>
  <c r="Y194" i="1"/>
  <c r="V194" i="1"/>
  <c r="S194" i="1"/>
  <c r="M194" i="1"/>
  <c r="V193" i="1"/>
  <c r="S193" i="1"/>
  <c r="Y193" i="1" s="1"/>
  <c r="M193" i="1"/>
  <c r="AA192" i="1"/>
  <c r="Z192" i="1"/>
  <c r="Y192" i="1"/>
  <c r="X192" i="1"/>
  <c r="W192" i="1"/>
  <c r="V192" i="1"/>
  <c r="U192" i="1"/>
  <c r="R192" i="1"/>
  <c r="O192" i="1"/>
  <c r="L192" i="1"/>
  <c r="Y191" i="1"/>
  <c r="V191" i="1"/>
  <c r="S191" i="1"/>
  <c r="M191" i="1"/>
  <c r="V190" i="1"/>
  <c r="S190" i="1"/>
  <c r="Y190" i="1" s="1"/>
  <c r="M190" i="1"/>
  <c r="Y189" i="1"/>
  <c r="V189" i="1"/>
  <c r="S189" i="1"/>
  <c r="M189" i="1"/>
  <c r="V188" i="1"/>
  <c r="S188" i="1"/>
  <c r="Y188" i="1" s="1"/>
  <c r="M188" i="1"/>
  <c r="Z187" i="1"/>
  <c r="AA187" i="1" s="1"/>
  <c r="Y187" i="1"/>
  <c r="X187" i="1"/>
  <c r="W187" i="1"/>
  <c r="V187" i="1"/>
  <c r="U187" i="1"/>
  <c r="R187" i="1"/>
  <c r="O187" i="1"/>
  <c r="L187" i="1"/>
  <c r="V186" i="1"/>
  <c r="S186" i="1"/>
  <c r="Y186" i="1" s="1"/>
  <c r="M186" i="1"/>
  <c r="Y185" i="1"/>
  <c r="V185" i="1"/>
  <c r="S185" i="1"/>
  <c r="M185" i="1"/>
  <c r="V184" i="1"/>
  <c r="S184" i="1"/>
  <c r="Y184" i="1" s="1"/>
  <c r="M184" i="1"/>
  <c r="Y183" i="1"/>
  <c r="V183" i="1"/>
  <c r="S183" i="1"/>
  <c r="M183" i="1"/>
  <c r="Z182" i="1"/>
  <c r="Y182" i="1"/>
  <c r="AA182" i="1" s="1"/>
  <c r="W182" i="1"/>
  <c r="V182" i="1"/>
  <c r="U182" i="1"/>
  <c r="R182" i="1"/>
  <c r="X182" i="1" s="1"/>
  <c r="O182" i="1"/>
  <c r="L182" i="1"/>
  <c r="V181" i="1"/>
  <c r="S181" i="1"/>
  <c r="Y181" i="1" s="1"/>
  <c r="M181" i="1"/>
  <c r="Y180" i="1"/>
  <c r="V180" i="1"/>
  <c r="S180" i="1"/>
  <c r="M180" i="1"/>
  <c r="V179" i="1"/>
  <c r="S179" i="1"/>
  <c r="Y179" i="1" s="1"/>
  <c r="M179" i="1"/>
  <c r="Y178" i="1"/>
  <c r="V178" i="1"/>
  <c r="S178" i="1"/>
  <c r="M178" i="1"/>
  <c r="Z177" i="1"/>
  <c r="Y177" i="1"/>
  <c r="AA177" i="1" s="1"/>
  <c r="W177" i="1"/>
  <c r="V177" i="1"/>
  <c r="U177" i="1"/>
  <c r="R177" i="1"/>
  <c r="X177" i="1" s="1"/>
  <c r="O177" i="1"/>
  <c r="L177" i="1"/>
  <c r="Y176" i="1"/>
  <c r="V176" i="1"/>
  <c r="S176" i="1"/>
  <c r="M176" i="1"/>
  <c r="V175" i="1"/>
  <c r="S175" i="1"/>
  <c r="Y175" i="1" s="1"/>
  <c r="M175" i="1"/>
  <c r="Y174" i="1"/>
  <c r="V174" i="1"/>
  <c r="S174" i="1"/>
  <c r="M174" i="1"/>
  <c r="V173" i="1"/>
  <c r="S173" i="1"/>
  <c r="Y173" i="1" s="1"/>
  <c r="M173" i="1"/>
  <c r="AA172" i="1"/>
  <c r="Z172" i="1"/>
  <c r="Y172" i="1"/>
  <c r="X172" i="1"/>
  <c r="W172" i="1"/>
  <c r="V172" i="1"/>
  <c r="U172" i="1"/>
  <c r="R172" i="1"/>
  <c r="O172" i="1"/>
  <c r="L172" i="1"/>
  <c r="Y171" i="1"/>
  <c r="V171" i="1"/>
  <c r="S171" i="1"/>
  <c r="M171" i="1"/>
  <c r="Z170" i="1"/>
  <c r="Y170" i="1"/>
  <c r="AA170" i="1" s="1"/>
  <c r="W170" i="1"/>
  <c r="V170" i="1"/>
  <c r="U170" i="1"/>
  <c r="R170" i="1"/>
  <c r="X170" i="1" s="1"/>
  <c r="O170" i="1"/>
  <c r="L170" i="1"/>
  <c r="Y169" i="1"/>
  <c r="V169" i="1"/>
  <c r="S169" i="1"/>
  <c r="M169" i="1"/>
  <c r="V168" i="1"/>
  <c r="S168" i="1"/>
  <c r="Y168" i="1" s="1"/>
  <c r="M168" i="1"/>
  <c r="AA167" i="1"/>
  <c r="Z167" i="1"/>
  <c r="Y167" i="1"/>
  <c r="X167" i="1"/>
  <c r="W167" i="1"/>
  <c r="V167" i="1"/>
  <c r="U167" i="1"/>
  <c r="R167" i="1"/>
  <c r="O167" i="1"/>
  <c r="L167" i="1"/>
  <c r="Y166" i="1"/>
  <c r="V166" i="1"/>
  <c r="S166" i="1"/>
  <c r="M166" i="1"/>
  <c r="V165" i="1"/>
  <c r="S165" i="1"/>
  <c r="Y165" i="1" s="1"/>
  <c r="M165" i="1"/>
  <c r="Y164" i="1"/>
  <c r="V164" i="1"/>
  <c r="S164" i="1"/>
  <c r="M164" i="1"/>
  <c r="V163" i="1"/>
  <c r="S163" i="1"/>
  <c r="Y163" i="1" s="1"/>
  <c r="M163" i="1"/>
  <c r="Z162" i="1"/>
  <c r="AA162" i="1" s="1"/>
  <c r="Y162" i="1"/>
  <c r="X162" i="1"/>
  <c r="W162" i="1"/>
  <c r="V162" i="1"/>
  <c r="U162" i="1"/>
  <c r="R162" i="1"/>
  <c r="O162" i="1"/>
  <c r="L162" i="1"/>
  <c r="V161" i="1"/>
  <c r="S161" i="1"/>
  <c r="Y161" i="1" s="1"/>
  <c r="M161" i="1"/>
  <c r="Y160" i="1"/>
  <c r="V160" i="1"/>
  <c r="S160" i="1"/>
  <c r="M160" i="1"/>
  <c r="V159" i="1"/>
  <c r="S159" i="1"/>
  <c r="Y159" i="1" s="1"/>
  <c r="M159" i="1"/>
  <c r="Y158" i="1"/>
  <c r="V158" i="1"/>
  <c r="S158" i="1"/>
  <c r="M158" i="1"/>
  <c r="Z157" i="1"/>
  <c r="Y157" i="1"/>
  <c r="AA157" i="1" s="1"/>
  <c r="W157" i="1"/>
  <c r="V157" i="1"/>
  <c r="U157" i="1"/>
  <c r="R157" i="1"/>
  <c r="X157" i="1" s="1"/>
  <c r="O157" i="1"/>
  <c r="L157" i="1"/>
  <c r="V156" i="1"/>
  <c r="S156" i="1"/>
  <c r="Y156" i="1" s="1"/>
  <c r="M156" i="1"/>
  <c r="Y155" i="1"/>
  <c r="V155" i="1"/>
  <c r="S155" i="1"/>
  <c r="M155" i="1"/>
  <c r="V154" i="1"/>
  <c r="S154" i="1"/>
  <c r="Y154" i="1" s="1"/>
  <c r="M154" i="1"/>
  <c r="Y153" i="1"/>
  <c r="V153" i="1"/>
  <c r="S153" i="1"/>
  <c r="M153" i="1"/>
  <c r="Z152" i="1"/>
  <c r="Y152" i="1"/>
  <c r="AA152" i="1" s="1"/>
  <c r="W152" i="1"/>
  <c r="V152" i="1"/>
  <c r="U152" i="1"/>
  <c r="R152" i="1"/>
  <c r="X152" i="1" s="1"/>
  <c r="O152" i="1"/>
  <c r="L152" i="1"/>
  <c r="Y151" i="1"/>
  <c r="V151" i="1"/>
  <c r="S151" i="1"/>
  <c r="M151" i="1"/>
  <c r="V150" i="1"/>
  <c r="S150" i="1"/>
  <c r="Y150" i="1" s="1"/>
  <c r="M150" i="1"/>
  <c r="AA149" i="1"/>
  <c r="Z149" i="1"/>
  <c r="Y149" i="1"/>
  <c r="X149" i="1"/>
  <c r="W149" i="1"/>
  <c r="V149" i="1"/>
  <c r="U149" i="1"/>
  <c r="R149" i="1"/>
  <c r="O149" i="1"/>
  <c r="L149" i="1"/>
  <c r="Y148" i="1"/>
  <c r="V148" i="1"/>
  <c r="S148" i="1"/>
  <c r="M148" i="1"/>
  <c r="V147" i="1"/>
  <c r="S147" i="1"/>
  <c r="Y147" i="1" s="1"/>
  <c r="M147" i="1"/>
  <c r="Z146" i="1"/>
  <c r="AA146" i="1" s="1"/>
  <c r="Y146" i="1"/>
  <c r="X146" i="1"/>
  <c r="W146" i="1"/>
  <c r="V146" i="1"/>
  <c r="U146" i="1"/>
  <c r="R146" i="1"/>
  <c r="O146" i="1"/>
  <c r="L146" i="1"/>
  <c r="V145" i="1"/>
  <c r="S145" i="1"/>
  <c r="Y145" i="1" s="1"/>
  <c r="M145" i="1"/>
  <c r="Y144" i="1"/>
  <c r="V144" i="1"/>
  <c r="S144" i="1"/>
  <c r="M144" i="1"/>
  <c r="V143" i="1"/>
  <c r="S143" i="1"/>
  <c r="Y143" i="1" s="1"/>
  <c r="M143" i="1"/>
  <c r="Y142" i="1"/>
  <c r="V142" i="1"/>
  <c r="S142" i="1"/>
  <c r="M142" i="1"/>
  <c r="V141" i="1"/>
  <c r="S141" i="1"/>
  <c r="Y141" i="1" s="1"/>
  <c r="M141" i="1"/>
  <c r="AA140" i="1"/>
  <c r="Z140" i="1"/>
  <c r="Y140" i="1"/>
  <c r="X140" i="1"/>
  <c r="W140" i="1"/>
  <c r="V140" i="1"/>
  <c r="U140" i="1"/>
  <c r="R140" i="1"/>
  <c r="O140" i="1"/>
  <c r="L140" i="1"/>
  <c r="Y139" i="1"/>
  <c r="V139" i="1"/>
  <c r="S139" i="1"/>
  <c r="M139" i="1"/>
  <c r="V138" i="1"/>
  <c r="S138" i="1"/>
  <c r="Y138" i="1" s="1"/>
  <c r="M138" i="1"/>
  <c r="Y137" i="1"/>
  <c r="V137" i="1"/>
  <c r="S137" i="1"/>
  <c r="M137" i="1"/>
  <c r="V136" i="1"/>
  <c r="S136" i="1"/>
  <c r="Y136" i="1" s="1"/>
  <c r="M136" i="1"/>
  <c r="Y135" i="1"/>
  <c r="V135" i="1"/>
  <c r="S135" i="1"/>
  <c r="M135" i="1"/>
  <c r="Z134" i="1"/>
  <c r="Y134" i="1"/>
  <c r="AA134" i="1" s="1"/>
  <c r="W134" i="1"/>
  <c r="V134" i="1"/>
  <c r="U134" i="1"/>
  <c r="R134" i="1"/>
  <c r="X134" i="1" s="1"/>
  <c r="O134" i="1"/>
  <c r="L134" i="1"/>
  <c r="Y133" i="1"/>
  <c r="V133" i="1"/>
  <c r="S133" i="1"/>
  <c r="M133" i="1"/>
  <c r="V132" i="1"/>
  <c r="S132" i="1"/>
  <c r="Y132" i="1" s="1"/>
  <c r="M132" i="1"/>
  <c r="Y131" i="1"/>
  <c r="V131" i="1"/>
  <c r="S131" i="1"/>
  <c r="M131" i="1"/>
  <c r="V130" i="1"/>
  <c r="S130" i="1"/>
  <c r="Y130" i="1" s="1"/>
  <c r="M130" i="1"/>
  <c r="Y129" i="1"/>
  <c r="V129" i="1"/>
  <c r="S129" i="1"/>
  <c r="M129" i="1"/>
  <c r="V128" i="1"/>
  <c r="S128" i="1"/>
  <c r="Y128" i="1" s="1"/>
  <c r="M128" i="1"/>
  <c r="Y127" i="1"/>
  <c r="V127" i="1"/>
  <c r="S127" i="1"/>
  <c r="M127" i="1"/>
  <c r="V126" i="1"/>
  <c r="S126" i="1"/>
  <c r="Y126" i="1" s="1"/>
  <c r="M126" i="1"/>
  <c r="Z125" i="1"/>
  <c r="X125" i="1"/>
  <c r="W125" i="1"/>
  <c r="AA124" i="1"/>
  <c r="Z124" i="1"/>
  <c r="Y124" i="1"/>
  <c r="W124" i="1"/>
  <c r="V124" i="1"/>
  <c r="U124" i="1"/>
  <c r="R124" i="1"/>
  <c r="X124" i="1" s="1"/>
  <c r="O124" i="1"/>
  <c r="O113" i="1" s="1"/>
  <c r="L124" i="1"/>
  <c r="V123" i="1"/>
  <c r="S123" i="1"/>
  <c r="Y123" i="1" s="1"/>
  <c r="M123" i="1"/>
  <c r="V122" i="1"/>
  <c r="S122" i="1"/>
  <c r="Y122" i="1" s="1"/>
  <c r="M122" i="1"/>
  <c r="V121" i="1"/>
  <c r="S121" i="1"/>
  <c r="Y121" i="1" s="1"/>
  <c r="M121" i="1"/>
  <c r="V120" i="1"/>
  <c r="S120" i="1"/>
  <c r="Y120" i="1" s="1"/>
  <c r="M120" i="1"/>
  <c r="V119" i="1"/>
  <c r="S119" i="1"/>
  <c r="Y119" i="1" s="1"/>
  <c r="M119" i="1"/>
  <c r="V118" i="1"/>
  <c r="S118" i="1"/>
  <c r="Y118" i="1" s="1"/>
  <c r="M118" i="1"/>
  <c r="V117" i="1"/>
  <c r="S117" i="1"/>
  <c r="Y117" i="1" s="1"/>
  <c r="M117" i="1"/>
  <c r="V116" i="1"/>
  <c r="S116" i="1"/>
  <c r="Y116" i="1" s="1"/>
  <c r="M116" i="1"/>
  <c r="Z115" i="1"/>
  <c r="X115" i="1"/>
  <c r="W115" i="1"/>
  <c r="AA114" i="1"/>
  <c r="Z114" i="1"/>
  <c r="Y114" i="1"/>
  <c r="Y113" i="1" s="1"/>
  <c r="X114" i="1"/>
  <c r="W114" i="1"/>
  <c r="V114" i="1"/>
  <c r="U114" i="1"/>
  <c r="U113" i="1" s="1"/>
  <c r="R114" i="1"/>
  <c r="O114" i="1"/>
  <c r="L114" i="1"/>
  <c r="Z113" i="1"/>
  <c r="T113" i="1"/>
  <c r="S113" i="1"/>
  <c r="N113" i="1"/>
  <c r="M113" i="1"/>
  <c r="Y112" i="1"/>
  <c r="V112" i="1"/>
  <c r="S112" i="1"/>
  <c r="M112" i="1"/>
  <c r="Z111" i="1"/>
  <c r="AA111" i="1" s="1"/>
  <c r="Y111" i="1"/>
  <c r="X111" i="1"/>
  <c r="W111" i="1"/>
  <c r="V111" i="1"/>
  <c r="U111" i="1"/>
  <c r="R111" i="1"/>
  <c r="O111" i="1"/>
  <c r="L111" i="1"/>
  <c r="V110" i="1"/>
  <c r="S110" i="1"/>
  <c r="Y110" i="1" s="1"/>
  <c r="M110" i="1"/>
  <c r="Z109" i="1"/>
  <c r="Y109" i="1"/>
  <c r="AA109" i="1" s="1"/>
  <c r="X109" i="1"/>
  <c r="W109" i="1"/>
  <c r="V109" i="1"/>
  <c r="U109" i="1"/>
  <c r="R109" i="1"/>
  <c r="O109" i="1"/>
  <c r="L109" i="1"/>
  <c r="Y108" i="1"/>
  <c r="V108" i="1"/>
  <c r="S108" i="1"/>
  <c r="M108" i="1"/>
  <c r="AA107" i="1"/>
  <c r="Z107" i="1"/>
  <c r="Y107" i="1"/>
  <c r="W107" i="1"/>
  <c r="V107" i="1"/>
  <c r="U107" i="1"/>
  <c r="R107" i="1"/>
  <c r="X107" i="1" s="1"/>
  <c r="O107" i="1"/>
  <c r="O102" i="1" s="1"/>
  <c r="L107" i="1"/>
  <c r="V106" i="1"/>
  <c r="S106" i="1"/>
  <c r="Y106" i="1" s="1"/>
  <c r="M106" i="1"/>
  <c r="V105" i="1"/>
  <c r="S105" i="1"/>
  <c r="Y105" i="1" s="1"/>
  <c r="M105" i="1"/>
  <c r="V104" i="1"/>
  <c r="S104" i="1"/>
  <c r="Y104" i="1" s="1"/>
  <c r="M104" i="1"/>
  <c r="Z103" i="1"/>
  <c r="Z102" i="1" s="1"/>
  <c r="Y103" i="1"/>
  <c r="W103" i="1"/>
  <c r="V103" i="1"/>
  <c r="U103" i="1"/>
  <c r="R103" i="1"/>
  <c r="X103" i="1" s="1"/>
  <c r="O103" i="1"/>
  <c r="L103" i="1"/>
  <c r="T102" i="1"/>
  <c r="S102" i="1"/>
  <c r="N102" i="1"/>
  <c r="M102" i="1"/>
  <c r="V101" i="1"/>
  <c r="S101" i="1"/>
  <c r="Y101" i="1" s="1"/>
  <c r="M101" i="1"/>
  <c r="Y100" i="1"/>
  <c r="V100" i="1"/>
  <c r="S100" i="1"/>
  <c r="M100" i="1"/>
  <c r="V99" i="1"/>
  <c r="S99" i="1"/>
  <c r="Y99" i="1" s="1"/>
  <c r="M99" i="1"/>
  <c r="Y98" i="1"/>
  <c r="V98" i="1"/>
  <c r="S98" i="1"/>
  <c r="M98" i="1"/>
  <c r="Z97" i="1"/>
  <c r="Y97" i="1"/>
  <c r="AA97" i="1" s="1"/>
  <c r="X97" i="1"/>
  <c r="W97" i="1"/>
  <c r="V97" i="1"/>
  <c r="U97" i="1"/>
  <c r="R97" i="1"/>
  <c r="O97" i="1"/>
  <c r="L97" i="1"/>
  <c r="V96" i="1"/>
  <c r="S96" i="1"/>
  <c r="Y96" i="1" s="1"/>
  <c r="M96" i="1"/>
  <c r="Y95" i="1"/>
  <c r="V95" i="1"/>
  <c r="S95" i="1"/>
  <c r="M95" i="1"/>
  <c r="V94" i="1"/>
  <c r="S94" i="1"/>
  <c r="Y94" i="1" s="1"/>
  <c r="M94" i="1"/>
  <c r="Y93" i="1"/>
  <c r="V93" i="1"/>
  <c r="S93" i="1"/>
  <c r="M93" i="1"/>
  <c r="V92" i="1"/>
  <c r="S92" i="1"/>
  <c r="Y92" i="1" s="1"/>
  <c r="M92" i="1"/>
  <c r="Z91" i="1"/>
  <c r="AA91" i="1" s="1"/>
  <c r="Y91" i="1"/>
  <c r="X91" i="1"/>
  <c r="W91" i="1"/>
  <c r="V91" i="1"/>
  <c r="U91" i="1"/>
  <c r="R91" i="1"/>
  <c r="O91" i="1"/>
  <c r="L91" i="1"/>
  <c r="V90" i="1"/>
  <c r="S90" i="1"/>
  <c r="Y90" i="1" s="1"/>
  <c r="M90" i="1"/>
  <c r="Y89" i="1"/>
  <c r="V89" i="1"/>
  <c r="S89" i="1"/>
  <c r="M89" i="1"/>
  <c r="V88" i="1"/>
  <c r="S88" i="1"/>
  <c r="Y88" i="1" s="1"/>
  <c r="M88" i="1"/>
  <c r="Y87" i="1"/>
  <c r="V87" i="1"/>
  <c r="S87" i="1"/>
  <c r="M87" i="1"/>
  <c r="Z86" i="1"/>
  <c r="Y86" i="1"/>
  <c r="AA86" i="1" s="1"/>
  <c r="X86" i="1"/>
  <c r="W86" i="1"/>
  <c r="V86" i="1"/>
  <c r="U86" i="1"/>
  <c r="R86" i="1"/>
  <c r="O86" i="1"/>
  <c r="L86" i="1"/>
  <c r="V85" i="1"/>
  <c r="S85" i="1"/>
  <c r="Y85" i="1" s="1"/>
  <c r="M85" i="1"/>
  <c r="Y84" i="1"/>
  <c r="V84" i="1"/>
  <c r="S84" i="1"/>
  <c r="M84" i="1"/>
  <c r="V83" i="1"/>
  <c r="S83" i="1"/>
  <c r="Y83" i="1" s="1"/>
  <c r="M83" i="1"/>
  <c r="Y82" i="1"/>
  <c r="V82" i="1"/>
  <c r="S82" i="1"/>
  <c r="M82" i="1"/>
  <c r="Z81" i="1"/>
  <c r="Y81" i="1"/>
  <c r="W81" i="1"/>
  <c r="V81" i="1"/>
  <c r="U81" i="1"/>
  <c r="R81" i="1"/>
  <c r="X81" i="1" s="1"/>
  <c r="O81" i="1"/>
  <c r="L81" i="1"/>
  <c r="Y80" i="1"/>
  <c r="V80" i="1"/>
  <c r="S80" i="1"/>
  <c r="M80" i="1"/>
  <c r="V79" i="1"/>
  <c r="S79" i="1"/>
  <c r="Y79" i="1" s="1"/>
  <c r="M79" i="1"/>
  <c r="Y78" i="1"/>
  <c r="V78" i="1"/>
  <c r="S78" i="1"/>
  <c r="M78" i="1"/>
  <c r="V77" i="1"/>
  <c r="S77" i="1"/>
  <c r="Y77" i="1" s="1"/>
  <c r="M77" i="1"/>
  <c r="AA76" i="1"/>
  <c r="Z76" i="1"/>
  <c r="Y76" i="1"/>
  <c r="W76" i="1"/>
  <c r="V76" i="1"/>
  <c r="U76" i="1"/>
  <c r="R76" i="1"/>
  <c r="X76" i="1" s="1"/>
  <c r="O76" i="1"/>
  <c r="L76" i="1"/>
  <c r="Y75" i="1"/>
  <c r="V75" i="1"/>
  <c r="S75" i="1"/>
  <c r="M75" i="1"/>
  <c r="V74" i="1"/>
  <c r="S74" i="1"/>
  <c r="Y74" i="1" s="1"/>
  <c r="M74" i="1"/>
  <c r="Y73" i="1"/>
  <c r="V73" i="1"/>
  <c r="S73" i="1"/>
  <c r="M73" i="1"/>
  <c r="V72" i="1"/>
  <c r="S72" i="1"/>
  <c r="Y72" i="1" s="1"/>
  <c r="M72" i="1"/>
  <c r="Y71" i="1"/>
  <c r="V71" i="1"/>
  <c r="S71" i="1"/>
  <c r="M71" i="1"/>
  <c r="Z70" i="1"/>
  <c r="Y70" i="1"/>
  <c r="W70" i="1"/>
  <c r="V70" i="1"/>
  <c r="U70" i="1"/>
  <c r="R70" i="1"/>
  <c r="X70" i="1" s="1"/>
  <c r="O70" i="1"/>
  <c r="L70" i="1"/>
  <c r="Y69" i="1"/>
  <c r="V69" i="1"/>
  <c r="S69" i="1"/>
  <c r="M69" i="1"/>
  <c r="V68" i="1"/>
  <c r="S68" i="1"/>
  <c r="Y68" i="1" s="1"/>
  <c r="M68" i="1"/>
  <c r="V67" i="1"/>
  <c r="S67" i="1"/>
  <c r="Y67" i="1" s="1"/>
  <c r="M67" i="1"/>
  <c r="V66" i="1"/>
  <c r="S66" i="1"/>
  <c r="Y66" i="1" s="1"/>
  <c r="M66" i="1"/>
  <c r="AA65" i="1"/>
  <c r="Z65" i="1"/>
  <c r="Y65" i="1"/>
  <c r="X65" i="1"/>
  <c r="W65" i="1"/>
  <c r="V65" i="1"/>
  <c r="U65" i="1"/>
  <c r="R65" i="1"/>
  <c r="O65" i="1"/>
  <c r="L65" i="1"/>
  <c r="Y64" i="1"/>
  <c r="V64" i="1"/>
  <c r="S64" i="1"/>
  <c r="M64" i="1"/>
  <c r="V63" i="1"/>
  <c r="S63" i="1"/>
  <c r="Y63" i="1" s="1"/>
  <c r="M63" i="1"/>
  <c r="Y62" i="1"/>
  <c r="V62" i="1"/>
  <c r="S62" i="1"/>
  <c r="M62" i="1"/>
  <c r="V61" i="1"/>
  <c r="S61" i="1"/>
  <c r="Y61" i="1" s="1"/>
  <c r="M61" i="1"/>
  <c r="AA60" i="1"/>
  <c r="Z60" i="1"/>
  <c r="Y60" i="1"/>
  <c r="X60" i="1"/>
  <c r="W60" i="1"/>
  <c r="V60" i="1"/>
  <c r="U60" i="1"/>
  <c r="R60" i="1"/>
  <c r="O60" i="1"/>
  <c r="L60" i="1"/>
  <c r="V59" i="1"/>
  <c r="S59" i="1"/>
  <c r="Y59" i="1" s="1"/>
  <c r="M59" i="1"/>
  <c r="Y58" i="1"/>
  <c r="V58" i="1"/>
  <c r="S58" i="1"/>
  <c r="M58" i="1"/>
  <c r="V57" i="1"/>
  <c r="S57" i="1"/>
  <c r="Y57" i="1" s="1"/>
  <c r="M57" i="1"/>
  <c r="V56" i="1"/>
  <c r="S56" i="1"/>
  <c r="Y56" i="1" s="1"/>
  <c r="M56" i="1"/>
  <c r="Z55" i="1"/>
  <c r="Y55" i="1"/>
  <c r="X55" i="1"/>
  <c r="W55" i="1"/>
  <c r="V55" i="1"/>
  <c r="U55" i="1"/>
  <c r="R55" i="1"/>
  <c r="O55" i="1"/>
  <c r="L55" i="1"/>
  <c r="V54" i="1"/>
  <c r="S54" i="1"/>
  <c r="Y54" i="1" s="1"/>
  <c r="M54" i="1"/>
  <c r="Z53" i="1"/>
  <c r="AA53" i="1" s="1"/>
  <c r="Y53" i="1"/>
  <c r="X53" i="1"/>
  <c r="W53" i="1"/>
  <c r="V53" i="1"/>
  <c r="U53" i="1"/>
  <c r="R53" i="1"/>
  <c r="O53" i="1"/>
  <c r="L53" i="1"/>
  <c r="V52" i="1"/>
  <c r="S52" i="1"/>
  <c r="Y52" i="1" s="1"/>
  <c r="M52" i="1"/>
  <c r="V51" i="1"/>
  <c r="S51" i="1"/>
  <c r="Y51" i="1" s="1"/>
  <c r="M51" i="1"/>
  <c r="Z50" i="1"/>
  <c r="Y50" i="1"/>
  <c r="W50" i="1"/>
  <c r="V50" i="1"/>
  <c r="U50" i="1"/>
  <c r="R50" i="1"/>
  <c r="X50" i="1" s="1"/>
  <c r="O50" i="1"/>
  <c r="L50" i="1"/>
  <c r="V49" i="1"/>
  <c r="S49" i="1"/>
  <c r="Y49" i="1" s="1"/>
  <c r="M49" i="1"/>
  <c r="AA48" i="1"/>
  <c r="Z48" i="1"/>
  <c r="Y48" i="1"/>
  <c r="X48" i="1"/>
  <c r="W48" i="1"/>
  <c r="V48" i="1"/>
  <c r="U48" i="1"/>
  <c r="R48" i="1"/>
  <c r="O48" i="1"/>
  <c r="L48" i="1"/>
  <c r="V47" i="1"/>
  <c r="S47" i="1"/>
  <c r="Y47" i="1" s="1"/>
  <c r="M47" i="1"/>
  <c r="Z46" i="1"/>
  <c r="Y46" i="1"/>
  <c r="AA46" i="1" s="1"/>
  <c r="X46" i="1"/>
  <c r="W46" i="1"/>
  <c r="V46" i="1"/>
  <c r="U46" i="1"/>
  <c r="R46" i="1"/>
  <c r="O46" i="1"/>
  <c r="L46" i="1"/>
  <c r="Y45" i="1"/>
  <c r="V45" i="1"/>
  <c r="S45" i="1"/>
  <c r="M45" i="1"/>
  <c r="AA44" i="1"/>
  <c r="Z44" i="1"/>
  <c r="Y44" i="1"/>
  <c r="W44" i="1"/>
  <c r="V44" i="1"/>
  <c r="U44" i="1"/>
  <c r="R44" i="1"/>
  <c r="X44" i="1" s="1"/>
  <c r="O44" i="1"/>
  <c r="L44" i="1"/>
  <c r="V43" i="1"/>
  <c r="S43" i="1"/>
  <c r="Y43" i="1" s="1"/>
  <c r="M43" i="1"/>
  <c r="V42" i="1"/>
  <c r="S42" i="1"/>
  <c r="Y42" i="1" s="1"/>
  <c r="M42" i="1"/>
  <c r="Y41" i="1"/>
  <c r="V41" i="1"/>
  <c r="S41" i="1"/>
  <c r="M41" i="1"/>
  <c r="Z40" i="1"/>
  <c r="Y40" i="1"/>
  <c r="AA40" i="1" s="1"/>
  <c r="X40" i="1"/>
  <c r="W40" i="1"/>
  <c r="V40" i="1"/>
  <c r="U40" i="1"/>
  <c r="R40" i="1"/>
  <c r="O40" i="1"/>
  <c r="L40" i="1"/>
  <c r="Y39" i="1"/>
  <c r="V39" i="1"/>
  <c r="S39" i="1"/>
  <c r="M39" i="1"/>
  <c r="Y38" i="1"/>
  <c r="V38" i="1"/>
  <c r="S38" i="1"/>
  <c r="M38" i="1"/>
  <c r="Y37" i="1"/>
  <c r="V37" i="1"/>
  <c r="S37" i="1"/>
  <c r="M37" i="1"/>
  <c r="Z36" i="1"/>
  <c r="AA36" i="1" s="1"/>
  <c r="Y36" i="1"/>
  <c r="W36" i="1"/>
  <c r="V36" i="1"/>
  <c r="U36" i="1"/>
  <c r="R36" i="1"/>
  <c r="X36" i="1" s="1"/>
  <c r="O36" i="1"/>
  <c r="L36" i="1"/>
  <c r="T35" i="1"/>
  <c r="T34" i="1" s="1"/>
  <c r="T33" i="1" s="1"/>
  <c r="S35" i="1"/>
  <c r="O35" i="1"/>
  <c r="O34" i="1" s="1"/>
  <c r="N35" i="1"/>
  <c r="N34" i="1" s="1"/>
  <c r="M35" i="1"/>
  <c r="S34" i="1"/>
  <c r="S33" i="1" s="1"/>
  <c r="S32" i="1" s="1"/>
  <c r="S31" i="1" s="1"/>
  <c r="M34" i="1"/>
  <c r="M33" i="1"/>
  <c r="M32" i="1" s="1"/>
  <c r="M31" i="1" s="1"/>
  <c r="T32" i="1"/>
  <c r="T31" i="1" s="1"/>
  <c r="N32" i="1"/>
  <c r="N31" i="1" s="1"/>
  <c r="V30" i="1"/>
  <c r="S30" i="1"/>
  <c r="Y30" i="1" s="1"/>
  <c r="M30" i="1"/>
  <c r="V29" i="1"/>
  <c r="S29" i="1"/>
  <c r="Y29" i="1" s="1"/>
  <c r="M29" i="1"/>
  <c r="V28" i="1"/>
  <c r="S28" i="1"/>
  <c r="Y28" i="1" s="1"/>
  <c r="M28" i="1"/>
  <c r="V27" i="1"/>
  <c r="S27" i="1"/>
  <c r="Y27" i="1" s="1"/>
  <c r="M27" i="1"/>
  <c r="Z26" i="1"/>
  <c r="Z25" i="1" s="1"/>
  <c r="Z24" i="1" s="1"/>
  <c r="Z23" i="1" s="1"/>
  <c r="Z22" i="1" s="1"/>
  <c r="Z21" i="1" s="1"/>
  <c r="Y26" i="1"/>
  <c r="W26" i="1"/>
  <c r="V26" i="1"/>
  <c r="U26" i="1"/>
  <c r="R26" i="1"/>
  <c r="X26" i="1" s="1"/>
  <c r="O26" i="1"/>
  <c r="L26" i="1"/>
  <c r="U25" i="1"/>
  <c r="U24" i="1" s="1"/>
  <c r="U23" i="1" s="1"/>
  <c r="U22" i="1" s="1"/>
  <c r="U21" i="1" s="1"/>
  <c r="T25" i="1"/>
  <c r="S25" i="1"/>
  <c r="S24" i="1" s="1"/>
  <c r="S23" i="1" s="1"/>
  <c r="S22" i="1" s="1"/>
  <c r="S21" i="1" s="1"/>
  <c r="O25" i="1"/>
  <c r="O24" i="1" s="1"/>
  <c r="N25" i="1"/>
  <c r="M25" i="1"/>
  <c r="M24" i="1" s="1"/>
  <c r="M23" i="1" s="1"/>
  <c r="T24" i="1"/>
  <c r="T23" i="1" s="1"/>
  <c r="T22" i="1" s="1"/>
  <c r="T21" i="1" s="1"/>
  <c r="N24" i="1"/>
  <c r="N23" i="1" s="1"/>
  <c r="N22" i="1" s="1"/>
  <c r="O23" i="1"/>
  <c r="O22" i="1" s="1"/>
  <c r="O21" i="1" s="1"/>
  <c r="M22" i="1"/>
  <c r="M21" i="1" s="1"/>
  <c r="M9" i="1" s="1"/>
  <c r="M8" i="1" s="1"/>
  <c r="M470" i="1" s="1"/>
  <c r="N21" i="1"/>
  <c r="AA20" i="1"/>
  <c r="Z20" i="1"/>
  <c r="X20" i="1"/>
  <c r="W20" i="1"/>
  <c r="U20" i="1"/>
  <c r="R20" i="1"/>
  <c r="O20" i="1"/>
  <c r="L20" i="1"/>
  <c r="AA19" i="1"/>
  <c r="Z19" i="1"/>
  <c r="X19" i="1"/>
  <c r="W19" i="1"/>
  <c r="U19" i="1"/>
  <c r="R19" i="1"/>
  <c r="O19" i="1"/>
  <c r="L19" i="1"/>
  <c r="AA18" i="1"/>
  <c r="Z18" i="1"/>
  <c r="Y18" i="1"/>
  <c r="U18" i="1"/>
  <c r="U12" i="1" s="1"/>
  <c r="U11" i="1" s="1"/>
  <c r="U10" i="1" s="1"/>
  <c r="T18" i="1"/>
  <c r="S18" i="1"/>
  <c r="O18" i="1"/>
  <c r="N18" i="1"/>
  <c r="M18" i="1"/>
  <c r="AA17" i="1"/>
  <c r="Z17" i="1"/>
  <c r="W17" i="1"/>
  <c r="U17" i="1"/>
  <c r="R17" i="1"/>
  <c r="X17" i="1" s="1"/>
  <c r="O17" i="1"/>
  <c r="L17" i="1"/>
  <c r="AA16" i="1"/>
  <c r="Z16" i="1"/>
  <c r="W16" i="1"/>
  <c r="U16" i="1"/>
  <c r="R16" i="1"/>
  <c r="X16" i="1" s="1"/>
  <c r="O16" i="1"/>
  <c r="L16" i="1"/>
  <c r="AA15" i="1"/>
  <c r="Z15" i="1"/>
  <c r="Y15" i="1"/>
  <c r="Y12" i="1" s="1"/>
  <c r="U15" i="1"/>
  <c r="T15" i="1"/>
  <c r="S15" i="1"/>
  <c r="S12" i="1" s="1"/>
  <c r="S11" i="1" s="1"/>
  <c r="S10" i="1" s="1"/>
  <c r="S9" i="1" s="1"/>
  <c r="S8" i="1" s="1"/>
  <c r="S470" i="1" s="1"/>
  <c r="O15" i="1"/>
  <c r="N15" i="1"/>
  <c r="M15" i="1"/>
  <c r="Z14" i="1"/>
  <c r="W14" i="1"/>
  <c r="U14" i="1"/>
  <c r="U13" i="1" s="1"/>
  <c r="R14" i="1"/>
  <c r="X14" i="1" s="1"/>
  <c r="O14" i="1"/>
  <c r="L14" i="1"/>
  <c r="Y13" i="1"/>
  <c r="T13" i="1"/>
  <c r="T12" i="1" s="1"/>
  <c r="T11" i="1" s="1"/>
  <c r="T10" i="1" s="1"/>
  <c r="S13" i="1"/>
  <c r="O13" i="1"/>
  <c r="N13" i="1"/>
  <c r="N12" i="1" s="1"/>
  <c r="M13" i="1"/>
  <c r="M12" i="1"/>
  <c r="M11" i="1" s="1"/>
  <c r="M10" i="1" s="1"/>
  <c r="Y11" i="1"/>
  <c r="Y10" i="1" s="1"/>
  <c r="N11" i="1"/>
  <c r="N10" i="1" s="1"/>
  <c r="AA459" i="2"/>
  <c r="Z459" i="2"/>
  <c r="W459" i="2"/>
  <c r="U459" i="2"/>
  <c r="R459" i="2"/>
  <c r="X459" i="2" s="1"/>
  <c r="O459" i="2"/>
  <c r="L459" i="2"/>
  <c r="AA458" i="2"/>
  <c r="Z458" i="2"/>
  <c r="W458" i="2"/>
  <c r="U458" i="2"/>
  <c r="R458" i="2"/>
  <c r="X458" i="2" s="1"/>
  <c r="O458" i="2"/>
  <c r="L458" i="2"/>
  <c r="AA457" i="2"/>
  <c r="Z457" i="2"/>
  <c r="W457" i="2"/>
  <c r="U457" i="2"/>
  <c r="R457" i="2"/>
  <c r="X457" i="2" s="1"/>
  <c r="O457" i="2"/>
  <c r="L457" i="2"/>
  <c r="AA456" i="2"/>
  <c r="Z456" i="2"/>
  <c r="W456" i="2"/>
  <c r="U456" i="2"/>
  <c r="R456" i="2"/>
  <c r="X456" i="2" s="1"/>
  <c r="O456" i="2"/>
  <c r="L456" i="2"/>
  <c r="AA455" i="2"/>
  <c r="Z455" i="2"/>
  <c r="W455" i="2"/>
  <c r="U455" i="2"/>
  <c r="R455" i="2"/>
  <c r="X455" i="2" s="1"/>
  <c r="O455" i="2"/>
  <c r="L455" i="2"/>
  <c r="AA454" i="2"/>
  <c r="Z454" i="2"/>
  <c r="Y454" i="2"/>
  <c r="U454" i="2"/>
  <c r="T454" i="2"/>
  <c r="S454" i="2"/>
  <c r="O454" i="2"/>
  <c r="N454" i="2"/>
  <c r="M454" i="2"/>
  <c r="V453" i="2"/>
  <c r="S453" i="2"/>
  <c r="Y453" i="2" s="1"/>
  <c r="M453" i="2"/>
  <c r="AA452" i="2"/>
  <c r="Z452" i="2"/>
  <c r="Y452" i="2"/>
  <c r="X452" i="2"/>
  <c r="W452" i="2"/>
  <c r="V452" i="2"/>
  <c r="U452" i="2"/>
  <c r="R452" i="2"/>
  <c r="O452" i="2"/>
  <c r="L452" i="2"/>
  <c r="Y451" i="2"/>
  <c r="V451" i="2"/>
  <c r="S451" i="2"/>
  <c r="M451" i="2"/>
  <c r="V450" i="2"/>
  <c r="S450" i="2"/>
  <c r="Y450" i="2" s="1"/>
  <c r="M450" i="2"/>
  <c r="Y449" i="2"/>
  <c r="V449" i="2"/>
  <c r="S449" i="2"/>
  <c r="M449" i="2"/>
  <c r="V448" i="2"/>
  <c r="S448" i="2"/>
  <c r="Y448" i="2" s="1"/>
  <c r="M448" i="2"/>
  <c r="Y447" i="2"/>
  <c r="V447" i="2"/>
  <c r="S447" i="2"/>
  <c r="M447" i="2"/>
  <c r="V446" i="2"/>
  <c r="S446" i="2"/>
  <c r="Y446" i="2" s="1"/>
  <c r="M446" i="2"/>
  <c r="Y445" i="2"/>
  <c r="V445" i="2"/>
  <c r="S445" i="2"/>
  <c r="M445" i="2"/>
  <c r="V444" i="2"/>
  <c r="S444" i="2"/>
  <c r="Y444" i="2" s="1"/>
  <c r="M444" i="2"/>
  <c r="Y443" i="2"/>
  <c r="V443" i="2"/>
  <c r="S443" i="2"/>
  <c r="M443" i="2"/>
  <c r="V442" i="2"/>
  <c r="S442" i="2"/>
  <c r="Y442" i="2" s="1"/>
  <c r="M442" i="2"/>
  <c r="Y441" i="2"/>
  <c r="V441" i="2"/>
  <c r="S441" i="2"/>
  <c r="M441" i="2"/>
  <c r="V440" i="2"/>
  <c r="S440" i="2"/>
  <c r="Y440" i="2" s="1"/>
  <c r="M440" i="2"/>
  <c r="AA439" i="2"/>
  <c r="Z439" i="2"/>
  <c r="Y439" i="2"/>
  <c r="X439" i="2"/>
  <c r="W439" i="2"/>
  <c r="V439" i="2"/>
  <c r="U439" i="2"/>
  <c r="R439" i="2"/>
  <c r="O439" i="2"/>
  <c r="L439" i="2"/>
  <c r="Z438" i="2"/>
  <c r="AA438" i="2" s="1"/>
  <c r="W438" i="2"/>
  <c r="U438" i="2"/>
  <c r="R438" i="2"/>
  <c r="X438" i="2" s="1"/>
  <c r="O438" i="2"/>
  <c r="L438" i="2"/>
  <c r="Z437" i="2"/>
  <c r="AA437" i="2" s="1"/>
  <c r="W437" i="2"/>
  <c r="U437" i="2"/>
  <c r="R437" i="2"/>
  <c r="X437" i="2" s="1"/>
  <c r="O437" i="2"/>
  <c r="L437" i="2"/>
  <c r="Z436" i="2"/>
  <c r="AA436" i="2" s="1"/>
  <c r="W436" i="2"/>
  <c r="U436" i="2"/>
  <c r="R436" i="2"/>
  <c r="X436" i="2" s="1"/>
  <c r="O436" i="2"/>
  <c r="L436" i="2"/>
  <c r="Z435" i="2"/>
  <c r="AA435" i="2" s="1"/>
  <c r="W435" i="2"/>
  <c r="U435" i="2"/>
  <c r="R435" i="2"/>
  <c r="X435" i="2" s="1"/>
  <c r="O435" i="2"/>
  <c r="L435" i="2"/>
  <c r="Z434" i="2"/>
  <c r="AA434" i="2" s="1"/>
  <c r="W434" i="2"/>
  <c r="U434" i="2"/>
  <c r="R434" i="2"/>
  <c r="X434" i="2" s="1"/>
  <c r="O434" i="2"/>
  <c r="L434" i="2"/>
  <c r="Z433" i="2"/>
  <c r="AA433" i="2" s="1"/>
  <c r="W433" i="2"/>
  <c r="U433" i="2"/>
  <c r="R433" i="2"/>
  <c r="X433" i="2" s="1"/>
  <c r="O433" i="2"/>
  <c r="L433" i="2"/>
  <c r="Z432" i="2"/>
  <c r="AA432" i="2" s="1"/>
  <c r="W432" i="2"/>
  <c r="U432" i="2"/>
  <c r="R432" i="2"/>
  <c r="X432" i="2" s="1"/>
  <c r="O432" i="2"/>
  <c r="L432" i="2"/>
  <c r="Y431" i="2"/>
  <c r="V431" i="2"/>
  <c r="S431" i="2"/>
  <c r="M431" i="2"/>
  <c r="Z430" i="2"/>
  <c r="Y430" i="2"/>
  <c r="AA430" i="2" s="1"/>
  <c r="X430" i="2"/>
  <c r="W430" i="2"/>
  <c r="V430" i="2"/>
  <c r="U430" i="2"/>
  <c r="R430" i="2"/>
  <c r="O430" i="2"/>
  <c r="L430" i="2"/>
  <c r="Y429" i="2"/>
  <c r="V429" i="2"/>
  <c r="S429" i="2"/>
  <c r="M429" i="2"/>
  <c r="Z428" i="2"/>
  <c r="Y428" i="2"/>
  <c r="AA428" i="2" s="1"/>
  <c r="W428" i="2"/>
  <c r="V428" i="2"/>
  <c r="U428" i="2"/>
  <c r="R428" i="2"/>
  <c r="X428" i="2" s="1"/>
  <c r="O428" i="2"/>
  <c r="L428" i="2"/>
  <c r="Y427" i="2"/>
  <c r="V427" i="2"/>
  <c r="S427" i="2"/>
  <c r="M427" i="2"/>
  <c r="Z426" i="2"/>
  <c r="Y426" i="2"/>
  <c r="W426" i="2"/>
  <c r="V426" i="2"/>
  <c r="U426" i="2"/>
  <c r="R426" i="2"/>
  <c r="X426" i="2" s="1"/>
  <c r="O426" i="2"/>
  <c r="L426" i="2"/>
  <c r="V425" i="2"/>
  <c r="S425" i="2"/>
  <c r="Y425" i="2" s="1"/>
  <c r="M425" i="2"/>
  <c r="Y424" i="2"/>
  <c r="V424" i="2"/>
  <c r="S424" i="2"/>
  <c r="M424" i="2"/>
  <c r="V423" i="2"/>
  <c r="S423" i="2"/>
  <c r="Y423" i="2" s="1"/>
  <c r="M423" i="2"/>
  <c r="Y422" i="2"/>
  <c r="V422" i="2"/>
  <c r="S422" i="2"/>
  <c r="M422" i="2"/>
  <c r="V421" i="2"/>
  <c r="S421" i="2"/>
  <c r="Y421" i="2" s="1"/>
  <c r="M421" i="2"/>
  <c r="Y420" i="2"/>
  <c r="V420" i="2"/>
  <c r="S420" i="2"/>
  <c r="M420" i="2"/>
  <c r="V419" i="2"/>
  <c r="S419" i="2"/>
  <c r="Y419" i="2" s="1"/>
  <c r="M419" i="2"/>
  <c r="Y418" i="2"/>
  <c r="V418" i="2"/>
  <c r="S418" i="2"/>
  <c r="M418" i="2"/>
  <c r="V417" i="2"/>
  <c r="S417" i="2"/>
  <c r="Y417" i="2" s="1"/>
  <c r="M417" i="2"/>
  <c r="Y416" i="2"/>
  <c r="V416" i="2"/>
  <c r="S416" i="2"/>
  <c r="M416" i="2"/>
  <c r="V415" i="2"/>
  <c r="S415" i="2"/>
  <c r="Y415" i="2" s="1"/>
  <c r="M415" i="2"/>
  <c r="Y414" i="2"/>
  <c r="V414" i="2"/>
  <c r="S414" i="2"/>
  <c r="M414" i="2"/>
  <c r="V413" i="2"/>
  <c r="S413" i="2"/>
  <c r="Y413" i="2" s="1"/>
  <c r="M413" i="2"/>
  <c r="Y412" i="2"/>
  <c r="V412" i="2"/>
  <c r="S412" i="2"/>
  <c r="M412" i="2"/>
  <c r="Z411" i="2"/>
  <c r="Y411" i="2"/>
  <c r="AA411" i="2" s="1"/>
  <c r="W411" i="2"/>
  <c r="V411" i="2"/>
  <c r="U411" i="2"/>
  <c r="R411" i="2"/>
  <c r="X411" i="2" s="1"/>
  <c r="O411" i="2"/>
  <c r="L411" i="2"/>
  <c r="V410" i="2"/>
  <c r="S410" i="2"/>
  <c r="Y410" i="2" s="1"/>
  <c r="M410" i="2"/>
  <c r="Y409" i="2"/>
  <c r="V409" i="2"/>
  <c r="S409" i="2"/>
  <c r="M409" i="2"/>
  <c r="V408" i="2"/>
  <c r="S408" i="2"/>
  <c r="Y408" i="2" s="1"/>
  <c r="M408" i="2"/>
  <c r="Y407" i="2"/>
  <c r="V407" i="2"/>
  <c r="S407" i="2"/>
  <c r="M407" i="2"/>
  <c r="V406" i="2"/>
  <c r="S406" i="2"/>
  <c r="Y406" i="2" s="1"/>
  <c r="M406" i="2"/>
  <c r="Y405" i="2"/>
  <c r="V405" i="2"/>
  <c r="S405" i="2"/>
  <c r="M405" i="2"/>
  <c r="V404" i="2"/>
  <c r="S404" i="2"/>
  <c r="Y404" i="2" s="1"/>
  <c r="M404" i="2"/>
  <c r="Y403" i="2"/>
  <c r="V403" i="2"/>
  <c r="S403" i="2"/>
  <c r="M403" i="2"/>
  <c r="V402" i="2"/>
  <c r="S402" i="2"/>
  <c r="Y402" i="2" s="1"/>
  <c r="M402" i="2"/>
  <c r="Y401" i="2"/>
  <c r="V401" i="2"/>
  <c r="S401" i="2"/>
  <c r="M401" i="2"/>
  <c r="V400" i="2"/>
  <c r="S400" i="2"/>
  <c r="Y400" i="2" s="1"/>
  <c r="M400" i="2"/>
  <c r="Y399" i="2"/>
  <c r="V399" i="2"/>
  <c r="S399" i="2"/>
  <c r="M399" i="2"/>
  <c r="V398" i="2"/>
  <c r="S398" i="2"/>
  <c r="Y398" i="2" s="1"/>
  <c r="M398" i="2"/>
  <c r="Y397" i="2"/>
  <c r="V397" i="2"/>
  <c r="S397" i="2"/>
  <c r="M397" i="2"/>
  <c r="Z396" i="2"/>
  <c r="Y396" i="2"/>
  <c r="AA396" i="2" s="1"/>
  <c r="X396" i="2"/>
  <c r="W396" i="2"/>
  <c r="V396" i="2"/>
  <c r="U396" i="2"/>
  <c r="R396" i="2"/>
  <c r="O396" i="2"/>
  <c r="L396" i="2"/>
  <c r="Y395" i="2"/>
  <c r="V395" i="2"/>
  <c r="S395" i="2"/>
  <c r="M395" i="2"/>
  <c r="Z394" i="2"/>
  <c r="Y394" i="2"/>
  <c r="AA394" i="2" s="1"/>
  <c r="W394" i="2"/>
  <c r="V394" i="2"/>
  <c r="U394" i="2"/>
  <c r="R394" i="2"/>
  <c r="X394" i="2" s="1"/>
  <c r="O394" i="2"/>
  <c r="L394" i="2"/>
  <c r="Y393" i="2"/>
  <c r="T393" i="2"/>
  <c r="S393" i="2"/>
  <c r="N393" i="2"/>
  <c r="M393" i="2"/>
  <c r="V392" i="2"/>
  <c r="S392" i="2"/>
  <c r="Y392" i="2" s="1"/>
  <c r="M392" i="2"/>
  <c r="Y391" i="2"/>
  <c r="V391" i="2"/>
  <c r="S391" i="2"/>
  <c r="M391" i="2"/>
  <c r="Z390" i="2"/>
  <c r="Y390" i="2"/>
  <c r="W390" i="2"/>
  <c r="V390" i="2"/>
  <c r="U390" i="2"/>
  <c r="R390" i="2"/>
  <c r="X390" i="2" s="1"/>
  <c r="O390" i="2"/>
  <c r="L390" i="2"/>
  <c r="V389" i="2"/>
  <c r="S389" i="2"/>
  <c r="Y389" i="2" s="1"/>
  <c r="M389" i="2"/>
  <c r="Y388" i="2"/>
  <c r="V388" i="2"/>
  <c r="S388" i="2"/>
  <c r="M388" i="2"/>
  <c r="Z387" i="2"/>
  <c r="Y387" i="2"/>
  <c r="AA387" i="2" s="1"/>
  <c r="W387" i="2"/>
  <c r="V387" i="2"/>
  <c r="U387" i="2"/>
  <c r="R387" i="2"/>
  <c r="X387" i="2" s="1"/>
  <c r="O387" i="2"/>
  <c r="L387" i="2"/>
  <c r="Y386" i="2"/>
  <c r="V386" i="2"/>
  <c r="S386" i="2"/>
  <c r="M386" i="2"/>
  <c r="V385" i="2"/>
  <c r="S385" i="2"/>
  <c r="Y385" i="2" s="1"/>
  <c r="M385" i="2"/>
  <c r="AA384" i="2"/>
  <c r="Z384" i="2"/>
  <c r="Y384" i="2"/>
  <c r="X384" i="2"/>
  <c r="W384" i="2"/>
  <c r="V384" i="2"/>
  <c r="U384" i="2"/>
  <c r="R384" i="2"/>
  <c r="O384" i="2"/>
  <c r="L384" i="2"/>
  <c r="Y383" i="2"/>
  <c r="V383" i="2"/>
  <c r="S383" i="2"/>
  <c r="M383" i="2"/>
  <c r="V382" i="2"/>
  <c r="S382" i="2"/>
  <c r="Y382" i="2" s="1"/>
  <c r="M382" i="2"/>
  <c r="Z381" i="2"/>
  <c r="AA381" i="2" s="1"/>
  <c r="Y381" i="2"/>
  <c r="X381" i="2"/>
  <c r="W381" i="2"/>
  <c r="V381" i="2"/>
  <c r="U381" i="2"/>
  <c r="R381" i="2"/>
  <c r="O381" i="2"/>
  <c r="L381" i="2"/>
  <c r="V380" i="2"/>
  <c r="S380" i="2"/>
  <c r="Y380" i="2" s="1"/>
  <c r="M380" i="2"/>
  <c r="Y379" i="2"/>
  <c r="V379" i="2"/>
  <c r="S379" i="2"/>
  <c r="M379" i="2"/>
  <c r="Z378" i="2"/>
  <c r="Y378" i="2"/>
  <c r="W378" i="2"/>
  <c r="V378" i="2"/>
  <c r="U378" i="2"/>
  <c r="R378" i="2"/>
  <c r="X378" i="2" s="1"/>
  <c r="O378" i="2"/>
  <c r="L378" i="2"/>
  <c r="V377" i="2"/>
  <c r="S377" i="2"/>
  <c r="Y377" i="2" s="1"/>
  <c r="M377" i="2"/>
  <c r="Y376" i="2"/>
  <c r="V376" i="2"/>
  <c r="S376" i="2"/>
  <c r="M376" i="2"/>
  <c r="Z375" i="2"/>
  <c r="Y375" i="2"/>
  <c r="W375" i="2"/>
  <c r="V375" i="2"/>
  <c r="U375" i="2"/>
  <c r="R375" i="2"/>
  <c r="X375" i="2" s="1"/>
  <c r="O375" i="2"/>
  <c r="L375" i="2"/>
  <c r="Y374" i="2"/>
  <c r="V374" i="2"/>
  <c r="S374" i="2"/>
  <c r="M374" i="2"/>
  <c r="V373" i="2"/>
  <c r="S373" i="2"/>
  <c r="Y373" i="2" s="1"/>
  <c r="M373" i="2"/>
  <c r="AA372" i="2"/>
  <c r="Z372" i="2"/>
  <c r="Y372" i="2"/>
  <c r="X372" i="2"/>
  <c r="W372" i="2"/>
  <c r="V372" i="2"/>
  <c r="U372" i="2"/>
  <c r="R372" i="2"/>
  <c r="O372" i="2"/>
  <c r="L372" i="2"/>
  <c r="Y371" i="2"/>
  <c r="V371" i="2"/>
  <c r="S371" i="2"/>
  <c r="M371" i="2"/>
  <c r="V370" i="2"/>
  <c r="S370" i="2"/>
  <c r="Y370" i="2" s="1"/>
  <c r="M370" i="2"/>
  <c r="Z369" i="2"/>
  <c r="AA369" i="2" s="1"/>
  <c r="Y369" i="2"/>
  <c r="X369" i="2"/>
  <c r="W369" i="2"/>
  <c r="V369" i="2"/>
  <c r="U369" i="2"/>
  <c r="R369" i="2"/>
  <c r="O369" i="2"/>
  <c r="O365" i="2" s="1"/>
  <c r="L369" i="2"/>
  <c r="V368" i="2"/>
  <c r="S368" i="2"/>
  <c r="Y368" i="2" s="1"/>
  <c r="M368" i="2"/>
  <c r="Y367" i="2"/>
  <c r="V367" i="2"/>
  <c r="S367" i="2"/>
  <c r="M367" i="2"/>
  <c r="Z366" i="2"/>
  <c r="Y366" i="2"/>
  <c r="AA366" i="2" s="1"/>
  <c r="W366" i="2"/>
  <c r="V366" i="2"/>
  <c r="U366" i="2"/>
  <c r="R366" i="2"/>
  <c r="X366" i="2" s="1"/>
  <c r="O366" i="2"/>
  <c r="L366" i="2"/>
  <c r="T365" i="2"/>
  <c r="S365" i="2"/>
  <c r="N365" i="2"/>
  <c r="M365" i="2"/>
  <c r="Y364" i="2"/>
  <c r="V364" i="2"/>
  <c r="S364" i="2"/>
  <c r="M364" i="2"/>
  <c r="AA363" i="2"/>
  <c r="Z363" i="2"/>
  <c r="Y363" i="2"/>
  <c r="X363" i="2"/>
  <c r="W363" i="2"/>
  <c r="V363" i="2"/>
  <c r="U363" i="2"/>
  <c r="R363" i="2"/>
  <c r="O363" i="2"/>
  <c r="L363" i="2"/>
  <c r="Y362" i="2"/>
  <c r="V362" i="2"/>
  <c r="S362" i="2"/>
  <c r="M362" i="2"/>
  <c r="V361" i="2"/>
  <c r="S361" i="2"/>
  <c r="Y361" i="2" s="1"/>
  <c r="M361" i="2"/>
  <c r="AA360" i="2"/>
  <c r="Z360" i="2"/>
  <c r="Y360" i="2"/>
  <c r="X360" i="2"/>
  <c r="W360" i="2"/>
  <c r="V360" i="2"/>
  <c r="U360" i="2"/>
  <c r="R360" i="2"/>
  <c r="O360" i="2"/>
  <c r="L360" i="2"/>
  <c r="Y359" i="2"/>
  <c r="V359" i="2"/>
  <c r="S359" i="2"/>
  <c r="M359" i="2"/>
  <c r="V358" i="2"/>
  <c r="S358" i="2"/>
  <c r="Y358" i="2" s="1"/>
  <c r="M358" i="2"/>
  <c r="Z357" i="2"/>
  <c r="AA357" i="2" s="1"/>
  <c r="Y357" i="2"/>
  <c r="W357" i="2"/>
  <c r="V357" i="2"/>
  <c r="U357" i="2"/>
  <c r="R357" i="2"/>
  <c r="X357" i="2" s="1"/>
  <c r="O357" i="2"/>
  <c r="L357" i="2"/>
  <c r="V356" i="2"/>
  <c r="S356" i="2"/>
  <c r="Y356" i="2" s="1"/>
  <c r="M356" i="2"/>
  <c r="Y355" i="2"/>
  <c r="V355" i="2"/>
  <c r="S355" i="2"/>
  <c r="M355" i="2"/>
  <c r="V354" i="2"/>
  <c r="S354" i="2"/>
  <c r="Y354" i="2" s="1"/>
  <c r="M354" i="2"/>
  <c r="AA353" i="2"/>
  <c r="Z353" i="2"/>
  <c r="Y353" i="2"/>
  <c r="X353" i="2"/>
  <c r="W353" i="2"/>
  <c r="V353" i="2"/>
  <c r="U353" i="2"/>
  <c r="R353" i="2"/>
  <c r="O353" i="2"/>
  <c r="L353" i="2"/>
  <c r="Y352" i="2"/>
  <c r="V352" i="2"/>
  <c r="S352" i="2"/>
  <c r="M352" i="2"/>
  <c r="V351" i="2"/>
  <c r="S351" i="2"/>
  <c r="Y351" i="2" s="1"/>
  <c r="M351" i="2"/>
  <c r="Y350" i="2"/>
  <c r="V350" i="2"/>
  <c r="S350" i="2"/>
  <c r="M350" i="2"/>
  <c r="Z349" i="2"/>
  <c r="Y349" i="2"/>
  <c r="AA349" i="2" s="1"/>
  <c r="X349" i="2"/>
  <c r="W349" i="2"/>
  <c r="V349" i="2"/>
  <c r="U349" i="2"/>
  <c r="R349" i="2"/>
  <c r="O349" i="2"/>
  <c r="L349" i="2"/>
  <c r="Y348" i="2"/>
  <c r="V348" i="2"/>
  <c r="S348" i="2"/>
  <c r="M348" i="2"/>
  <c r="V347" i="2"/>
  <c r="S347" i="2"/>
  <c r="Y347" i="2" s="1"/>
  <c r="M347" i="2"/>
  <c r="AA346" i="2"/>
  <c r="Z346" i="2"/>
  <c r="Y346" i="2"/>
  <c r="X346" i="2"/>
  <c r="W346" i="2"/>
  <c r="V346" i="2"/>
  <c r="U346" i="2"/>
  <c r="R346" i="2"/>
  <c r="O346" i="2"/>
  <c r="O336" i="2" s="1"/>
  <c r="O335" i="2" s="1"/>
  <c r="L346" i="2"/>
  <c r="Y345" i="2"/>
  <c r="V345" i="2"/>
  <c r="S345" i="2"/>
  <c r="M345" i="2"/>
  <c r="V344" i="2"/>
  <c r="S344" i="2"/>
  <c r="Y344" i="2" s="1"/>
  <c r="M344" i="2"/>
  <c r="Z343" i="2"/>
  <c r="AA343" i="2" s="1"/>
  <c r="Y343" i="2"/>
  <c r="W343" i="2"/>
  <c r="V343" i="2"/>
  <c r="U343" i="2"/>
  <c r="R343" i="2"/>
  <c r="X343" i="2" s="1"/>
  <c r="O343" i="2"/>
  <c r="L343" i="2"/>
  <c r="V342" i="2"/>
  <c r="S342" i="2"/>
  <c r="Y342" i="2" s="1"/>
  <c r="M342" i="2"/>
  <c r="Y341" i="2"/>
  <c r="V341" i="2"/>
  <c r="S341" i="2"/>
  <c r="M341" i="2"/>
  <c r="V340" i="2"/>
  <c r="S340" i="2"/>
  <c r="Y340" i="2" s="1"/>
  <c r="M340" i="2"/>
  <c r="Y339" i="2"/>
  <c r="V339" i="2"/>
  <c r="S339" i="2"/>
  <c r="M339" i="2"/>
  <c r="V338" i="2"/>
  <c r="S338" i="2"/>
  <c r="Y338" i="2" s="1"/>
  <c r="M338" i="2"/>
  <c r="AA337" i="2"/>
  <c r="Z337" i="2"/>
  <c r="Y337" i="2"/>
  <c r="X337" i="2"/>
  <c r="W337" i="2"/>
  <c r="V337" i="2"/>
  <c r="U337" i="2"/>
  <c r="U336" i="2" s="1"/>
  <c r="R337" i="2"/>
  <c r="O337" i="2"/>
  <c r="L337" i="2"/>
  <c r="Z336" i="2"/>
  <c r="T336" i="2"/>
  <c r="T335" i="2" s="1"/>
  <c r="S336" i="2"/>
  <c r="N336" i="2"/>
  <c r="N335" i="2" s="1"/>
  <c r="M336" i="2"/>
  <c r="S335" i="2"/>
  <c r="M335" i="2"/>
  <c r="V334" i="2"/>
  <c r="S334" i="2"/>
  <c r="Y334" i="2" s="1"/>
  <c r="M334" i="2"/>
  <c r="Y333" i="2"/>
  <c r="V333" i="2"/>
  <c r="S333" i="2"/>
  <c r="M333" i="2"/>
  <c r="V332" i="2"/>
  <c r="S332" i="2"/>
  <c r="Y332" i="2" s="1"/>
  <c r="M332" i="2"/>
  <c r="Y331" i="2"/>
  <c r="V331" i="2"/>
  <c r="S331" i="2"/>
  <c r="M331" i="2"/>
  <c r="Z330" i="2"/>
  <c r="Y330" i="2"/>
  <c r="AA330" i="2" s="1"/>
  <c r="W330" i="2"/>
  <c r="V330" i="2"/>
  <c r="U330" i="2"/>
  <c r="R330" i="2"/>
  <c r="X330" i="2" s="1"/>
  <c r="O330" i="2"/>
  <c r="L330" i="2"/>
  <c r="V329" i="2"/>
  <c r="S329" i="2"/>
  <c r="Y329" i="2" s="1"/>
  <c r="M329" i="2"/>
  <c r="Y328" i="2"/>
  <c r="V328" i="2"/>
  <c r="S328" i="2"/>
  <c r="M328" i="2"/>
  <c r="Z327" i="2"/>
  <c r="Y327" i="2"/>
  <c r="AA327" i="2" s="1"/>
  <c r="X327" i="2"/>
  <c r="W327" i="2"/>
  <c r="V327" i="2"/>
  <c r="U327" i="2"/>
  <c r="R327" i="2"/>
  <c r="O327" i="2"/>
  <c r="L327" i="2"/>
  <c r="Y326" i="2"/>
  <c r="V326" i="2"/>
  <c r="S326" i="2"/>
  <c r="M326" i="2"/>
  <c r="V325" i="2"/>
  <c r="S325" i="2"/>
  <c r="Y325" i="2" s="1"/>
  <c r="M325" i="2"/>
  <c r="Z324" i="2"/>
  <c r="AA324" i="2" s="1"/>
  <c r="Y324" i="2"/>
  <c r="X324" i="2"/>
  <c r="W324" i="2"/>
  <c r="V324" i="2"/>
  <c r="U324" i="2"/>
  <c r="U319" i="2" s="1"/>
  <c r="R324" i="2"/>
  <c r="O324" i="2"/>
  <c r="L324" i="2"/>
  <c r="Y323" i="2"/>
  <c r="V323" i="2"/>
  <c r="S323" i="2"/>
  <c r="M323" i="2"/>
  <c r="Y322" i="2"/>
  <c r="V322" i="2"/>
  <c r="S322" i="2"/>
  <c r="M322" i="2"/>
  <c r="Y321" i="2"/>
  <c r="V321" i="2"/>
  <c r="S321" i="2"/>
  <c r="M321" i="2"/>
  <c r="AA320" i="2"/>
  <c r="AA319" i="2" s="1"/>
  <c r="Z320" i="2"/>
  <c r="Y320" i="2"/>
  <c r="X320" i="2"/>
  <c r="W320" i="2"/>
  <c r="V320" i="2"/>
  <c r="U320" i="2"/>
  <c r="R320" i="2"/>
  <c r="O320" i="2"/>
  <c r="O319" i="2" s="1"/>
  <c r="L320" i="2"/>
  <c r="Z319" i="2"/>
  <c r="T319" i="2"/>
  <c r="S319" i="2"/>
  <c r="N319" i="2"/>
  <c r="M319" i="2"/>
  <c r="V318" i="2"/>
  <c r="S318" i="2"/>
  <c r="Y318" i="2" s="1"/>
  <c r="M318" i="2"/>
  <c r="Y317" i="2"/>
  <c r="V317" i="2"/>
  <c r="S317" i="2"/>
  <c r="M317" i="2"/>
  <c r="V316" i="2"/>
  <c r="S316" i="2"/>
  <c r="Y316" i="2" s="1"/>
  <c r="M316" i="2"/>
  <c r="Y315" i="2"/>
  <c r="V315" i="2"/>
  <c r="S315" i="2"/>
  <c r="M315" i="2"/>
  <c r="Z314" i="2"/>
  <c r="Y314" i="2"/>
  <c r="AA314" i="2" s="1"/>
  <c r="W314" i="2"/>
  <c r="V314" i="2"/>
  <c r="U314" i="2"/>
  <c r="R314" i="2"/>
  <c r="X314" i="2" s="1"/>
  <c r="O314" i="2"/>
  <c r="L314" i="2"/>
  <c r="Y313" i="2"/>
  <c r="V313" i="2"/>
  <c r="S313" i="2"/>
  <c r="M313" i="2"/>
  <c r="V312" i="2"/>
  <c r="S312" i="2"/>
  <c r="Y312" i="2" s="1"/>
  <c r="M312" i="2"/>
  <c r="Y311" i="2"/>
  <c r="V311" i="2"/>
  <c r="S311" i="2"/>
  <c r="M311" i="2"/>
  <c r="V310" i="2"/>
  <c r="S310" i="2"/>
  <c r="Y310" i="2" s="1"/>
  <c r="M310" i="2"/>
  <c r="AA309" i="2"/>
  <c r="Z309" i="2"/>
  <c r="Y309" i="2"/>
  <c r="X309" i="2"/>
  <c r="W309" i="2"/>
  <c r="V309" i="2"/>
  <c r="U309" i="2"/>
  <c r="R309" i="2"/>
  <c r="O309" i="2"/>
  <c r="L309" i="2"/>
  <c r="Y308" i="2"/>
  <c r="V308" i="2"/>
  <c r="S308" i="2"/>
  <c r="M308" i="2"/>
  <c r="V307" i="2"/>
  <c r="S307" i="2"/>
  <c r="Y307" i="2" s="1"/>
  <c r="M307" i="2"/>
  <c r="Y306" i="2"/>
  <c r="V306" i="2"/>
  <c r="S306" i="2"/>
  <c r="M306" i="2"/>
  <c r="V305" i="2"/>
  <c r="S305" i="2"/>
  <c r="Y305" i="2" s="1"/>
  <c r="M305" i="2"/>
  <c r="Z304" i="2"/>
  <c r="AA304" i="2" s="1"/>
  <c r="Y304" i="2"/>
  <c r="X304" i="2"/>
  <c r="W304" i="2"/>
  <c r="V304" i="2"/>
  <c r="U304" i="2"/>
  <c r="R304" i="2"/>
  <c r="O304" i="2"/>
  <c r="L304" i="2"/>
  <c r="V303" i="2"/>
  <c r="S303" i="2"/>
  <c r="Y303" i="2" s="1"/>
  <c r="M303" i="2"/>
  <c r="Y302" i="2"/>
  <c r="V302" i="2"/>
  <c r="S302" i="2"/>
  <c r="M302" i="2"/>
  <c r="V301" i="2"/>
  <c r="S301" i="2"/>
  <c r="Y301" i="2" s="1"/>
  <c r="M301" i="2"/>
  <c r="Y300" i="2"/>
  <c r="V300" i="2"/>
  <c r="S300" i="2"/>
  <c r="M300" i="2"/>
  <c r="Z299" i="2"/>
  <c r="Y299" i="2"/>
  <c r="AA299" i="2" s="1"/>
  <c r="W299" i="2"/>
  <c r="V299" i="2"/>
  <c r="U299" i="2"/>
  <c r="R299" i="2"/>
  <c r="X299" i="2" s="1"/>
  <c r="O299" i="2"/>
  <c r="L299" i="2"/>
  <c r="V298" i="2"/>
  <c r="S298" i="2"/>
  <c r="Y298" i="2" s="1"/>
  <c r="M298" i="2"/>
  <c r="Y297" i="2"/>
  <c r="V297" i="2"/>
  <c r="S297" i="2"/>
  <c r="M297" i="2"/>
  <c r="V296" i="2"/>
  <c r="S296" i="2"/>
  <c r="Y296" i="2" s="1"/>
  <c r="M296" i="2"/>
  <c r="Y295" i="2"/>
  <c r="V295" i="2"/>
  <c r="S295" i="2"/>
  <c r="M295" i="2"/>
  <c r="Z294" i="2"/>
  <c r="Y294" i="2"/>
  <c r="AA294" i="2" s="1"/>
  <c r="W294" i="2"/>
  <c r="V294" i="2"/>
  <c r="U294" i="2"/>
  <c r="R294" i="2"/>
  <c r="X294" i="2" s="1"/>
  <c r="O294" i="2"/>
  <c r="L294" i="2"/>
  <c r="Y293" i="2"/>
  <c r="V293" i="2"/>
  <c r="S293" i="2"/>
  <c r="M293" i="2"/>
  <c r="V292" i="2"/>
  <c r="S292" i="2"/>
  <c r="Y292" i="2" s="1"/>
  <c r="M292" i="2"/>
  <c r="Y291" i="2"/>
  <c r="V291" i="2"/>
  <c r="S291" i="2"/>
  <c r="M291" i="2"/>
  <c r="V290" i="2"/>
  <c r="S290" i="2"/>
  <c r="Y290" i="2" s="1"/>
  <c r="M290" i="2"/>
  <c r="AA289" i="2"/>
  <c r="Z289" i="2"/>
  <c r="Y289" i="2"/>
  <c r="X289" i="2"/>
  <c r="W289" i="2"/>
  <c r="V289" i="2"/>
  <c r="U289" i="2"/>
  <c r="R289" i="2"/>
  <c r="O289" i="2"/>
  <c r="L289" i="2"/>
  <c r="Y288" i="2"/>
  <c r="V288" i="2"/>
  <c r="S288" i="2"/>
  <c r="M288" i="2"/>
  <c r="V287" i="2"/>
  <c r="S287" i="2"/>
  <c r="Y287" i="2" s="1"/>
  <c r="M287" i="2"/>
  <c r="Y286" i="2"/>
  <c r="V286" i="2"/>
  <c r="S286" i="2"/>
  <c r="M286" i="2"/>
  <c r="V285" i="2"/>
  <c r="S285" i="2"/>
  <c r="Y285" i="2" s="1"/>
  <c r="M285" i="2"/>
  <c r="Z284" i="2"/>
  <c r="AA284" i="2" s="1"/>
  <c r="Y284" i="2"/>
  <c r="X284" i="2"/>
  <c r="W284" i="2"/>
  <c r="V284" i="2"/>
  <c r="U284" i="2"/>
  <c r="R284" i="2"/>
  <c r="O284" i="2"/>
  <c r="L284" i="2"/>
  <c r="V283" i="2"/>
  <c r="S283" i="2"/>
  <c r="Y283" i="2" s="1"/>
  <c r="M283" i="2"/>
  <c r="Y282" i="2"/>
  <c r="V282" i="2"/>
  <c r="S282" i="2"/>
  <c r="M282" i="2"/>
  <c r="Z281" i="2"/>
  <c r="Y281" i="2"/>
  <c r="AA281" i="2" s="1"/>
  <c r="W281" i="2"/>
  <c r="V281" i="2"/>
  <c r="U281" i="2"/>
  <c r="R281" i="2"/>
  <c r="X281" i="2" s="1"/>
  <c r="O281" i="2"/>
  <c r="L281" i="2"/>
  <c r="V280" i="2"/>
  <c r="S280" i="2"/>
  <c r="Y280" i="2" s="1"/>
  <c r="M280" i="2"/>
  <c r="Y279" i="2"/>
  <c r="V279" i="2"/>
  <c r="S279" i="2"/>
  <c r="M279" i="2"/>
  <c r="Z278" i="2"/>
  <c r="Y278" i="2"/>
  <c r="W278" i="2"/>
  <c r="V278" i="2"/>
  <c r="U278" i="2"/>
  <c r="R278" i="2"/>
  <c r="X278" i="2" s="1"/>
  <c r="O278" i="2"/>
  <c r="L278" i="2"/>
  <c r="Y277" i="2"/>
  <c r="V277" i="2"/>
  <c r="S277" i="2"/>
  <c r="M277" i="2"/>
  <c r="V276" i="2"/>
  <c r="S276" i="2"/>
  <c r="Y276" i="2" s="1"/>
  <c r="M276" i="2"/>
  <c r="AA275" i="2"/>
  <c r="Z275" i="2"/>
  <c r="Y275" i="2"/>
  <c r="X275" i="2"/>
  <c r="W275" i="2"/>
  <c r="V275" i="2"/>
  <c r="U275" i="2"/>
  <c r="R275" i="2"/>
  <c r="O275" i="2"/>
  <c r="O271" i="2" s="1"/>
  <c r="L275" i="2"/>
  <c r="Y274" i="2"/>
  <c r="V274" i="2"/>
  <c r="S274" i="2"/>
  <c r="M274" i="2"/>
  <c r="V273" i="2"/>
  <c r="S273" i="2"/>
  <c r="Y273" i="2" s="1"/>
  <c r="M273" i="2"/>
  <c r="Z272" i="2"/>
  <c r="Y272" i="2"/>
  <c r="X272" i="2"/>
  <c r="W272" i="2"/>
  <c r="V272" i="2"/>
  <c r="U272" i="2"/>
  <c r="R272" i="2"/>
  <c r="O272" i="2"/>
  <c r="L272" i="2"/>
  <c r="T271" i="2"/>
  <c r="S271" i="2"/>
  <c r="N271" i="2"/>
  <c r="M271" i="2"/>
  <c r="Y270" i="2"/>
  <c r="V270" i="2"/>
  <c r="S270" i="2"/>
  <c r="M270" i="2"/>
  <c r="V269" i="2"/>
  <c r="S269" i="2"/>
  <c r="Y269" i="2" s="1"/>
  <c r="M269" i="2"/>
  <c r="Y268" i="2"/>
  <c r="V268" i="2"/>
  <c r="S268" i="2"/>
  <c r="M268" i="2"/>
  <c r="Z267" i="2"/>
  <c r="Y267" i="2"/>
  <c r="AA267" i="2" s="1"/>
  <c r="W267" i="2"/>
  <c r="V267" i="2"/>
  <c r="U267" i="2"/>
  <c r="R267" i="2"/>
  <c r="X267" i="2" s="1"/>
  <c r="O267" i="2"/>
  <c r="L267" i="2"/>
  <c r="V266" i="2"/>
  <c r="S266" i="2"/>
  <c r="Y266" i="2" s="1"/>
  <c r="M266" i="2"/>
  <c r="Y265" i="2"/>
  <c r="V265" i="2"/>
  <c r="S265" i="2"/>
  <c r="M265" i="2"/>
  <c r="V264" i="2"/>
  <c r="S264" i="2"/>
  <c r="Y264" i="2" s="1"/>
  <c r="M264" i="2"/>
  <c r="Z263" i="2"/>
  <c r="AA263" i="2" s="1"/>
  <c r="Y263" i="2"/>
  <c r="W263" i="2"/>
  <c r="V263" i="2"/>
  <c r="U263" i="2"/>
  <c r="R263" i="2"/>
  <c r="X263" i="2" s="1"/>
  <c r="O263" i="2"/>
  <c r="L263" i="2"/>
  <c r="V262" i="2"/>
  <c r="S262" i="2"/>
  <c r="Y262" i="2" s="1"/>
  <c r="M262" i="2"/>
  <c r="Y261" i="2"/>
  <c r="V261" i="2"/>
  <c r="S261" i="2"/>
  <c r="M261" i="2"/>
  <c r="V260" i="2"/>
  <c r="S260" i="2"/>
  <c r="Y260" i="2" s="1"/>
  <c r="M260" i="2"/>
  <c r="Y259" i="2"/>
  <c r="V259" i="2"/>
  <c r="S259" i="2"/>
  <c r="M259" i="2"/>
  <c r="Z258" i="2"/>
  <c r="Y258" i="2"/>
  <c r="AA258" i="2" s="1"/>
  <c r="W258" i="2"/>
  <c r="V258" i="2"/>
  <c r="U258" i="2"/>
  <c r="R258" i="2"/>
  <c r="X258" i="2" s="1"/>
  <c r="O258" i="2"/>
  <c r="L258" i="2"/>
  <c r="V257" i="2"/>
  <c r="S257" i="2"/>
  <c r="Y257" i="2" s="1"/>
  <c r="M257" i="2"/>
  <c r="Y256" i="2"/>
  <c r="V256" i="2"/>
  <c r="S256" i="2"/>
  <c r="M256" i="2"/>
  <c r="V255" i="2"/>
  <c r="S255" i="2"/>
  <c r="Y255" i="2" s="1"/>
  <c r="M255" i="2"/>
  <c r="Y254" i="2"/>
  <c r="V254" i="2"/>
  <c r="S254" i="2"/>
  <c r="M254" i="2"/>
  <c r="Z253" i="2"/>
  <c r="Y253" i="2"/>
  <c r="AA253" i="2" s="1"/>
  <c r="X253" i="2"/>
  <c r="W253" i="2"/>
  <c r="V253" i="2"/>
  <c r="U253" i="2"/>
  <c r="R253" i="2"/>
  <c r="O253" i="2"/>
  <c r="L253" i="2"/>
  <c r="Y252" i="2"/>
  <c r="V252" i="2"/>
  <c r="S252" i="2"/>
  <c r="M252" i="2"/>
  <c r="V251" i="2"/>
  <c r="S251" i="2"/>
  <c r="Y251" i="2" s="1"/>
  <c r="M251" i="2"/>
  <c r="Y250" i="2"/>
  <c r="V250" i="2"/>
  <c r="S250" i="2"/>
  <c r="M250" i="2"/>
  <c r="V249" i="2"/>
  <c r="S249" i="2"/>
  <c r="Y249" i="2" s="1"/>
  <c r="M249" i="2"/>
  <c r="AA248" i="2"/>
  <c r="Z248" i="2"/>
  <c r="Y248" i="2"/>
  <c r="X248" i="2"/>
  <c r="W248" i="2"/>
  <c r="V248" i="2"/>
  <c r="U248" i="2"/>
  <c r="R248" i="2"/>
  <c r="O248" i="2"/>
  <c r="L248" i="2"/>
  <c r="Y247" i="2"/>
  <c r="V247" i="2"/>
  <c r="S247" i="2"/>
  <c r="M247" i="2"/>
  <c r="V246" i="2"/>
  <c r="S246" i="2"/>
  <c r="Y246" i="2" s="1"/>
  <c r="M246" i="2"/>
  <c r="Y245" i="2"/>
  <c r="V245" i="2"/>
  <c r="S245" i="2"/>
  <c r="M245" i="2"/>
  <c r="V244" i="2"/>
  <c r="S244" i="2"/>
  <c r="Y244" i="2" s="1"/>
  <c r="M244" i="2"/>
  <c r="Z243" i="2"/>
  <c r="AA243" i="2" s="1"/>
  <c r="Y243" i="2"/>
  <c r="W243" i="2"/>
  <c r="V243" i="2"/>
  <c r="U243" i="2"/>
  <c r="R243" i="2"/>
  <c r="X243" i="2" s="1"/>
  <c r="O243" i="2"/>
  <c r="L243" i="2"/>
  <c r="V242" i="2"/>
  <c r="S242" i="2"/>
  <c r="Y242" i="2" s="1"/>
  <c r="M242" i="2"/>
  <c r="Y241" i="2"/>
  <c r="V241" i="2"/>
  <c r="S241" i="2"/>
  <c r="M241" i="2"/>
  <c r="Z240" i="2"/>
  <c r="Y240" i="2"/>
  <c r="AA240" i="2" s="1"/>
  <c r="W240" i="2"/>
  <c r="V240" i="2"/>
  <c r="U240" i="2"/>
  <c r="R240" i="2"/>
  <c r="X240" i="2" s="1"/>
  <c r="O240" i="2"/>
  <c r="L240" i="2"/>
  <c r="V239" i="2"/>
  <c r="S239" i="2"/>
  <c r="Y239" i="2" s="1"/>
  <c r="M239" i="2"/>
  <c r="Y238" i="2"/>
  <c r="V238" i="2"/>
  <c r="S238" i="2"/>
  <c r="M238" i="2"/>
  <c r="Z237" i="2"/>
  <c r="Y237" i="2"/>
  <c r="AA237" i="2" s="1"/>
  <c r="X237" i="2"/>
  <c r="W237" i="2"/>
  <c r="V237" i="2"/>
  <c r="U237" i="2"/>
  <c r="R237" i="2"/>
  <c r="O237" i="2"/>
  <c r="L237" i="2"/>
  <c r="Y236" i="2"/>
  <c r="V236" i="2"/>
  <c r="S236" i="2"/>
  <c r="M236" i="2"/>
  <c r="V235" i="2"/>
  <c r="S235" i="2"/>
  <c r="Y235" i="2" s="1"/>
  <c r="M235" i="2"/>
  <c r="Z234" i="2"/>
  <c r="AA234" i="2" s="1"/>
  <c r="Y234" i="2"/>
  <c r="X234" i="2"/>
  <c r="W234" i="2"/>
  <c r="V234" i="2"/>
  <c r="U234" i="2"/>
  <c r="R234" i="2"/>
  <c r="O234" i="2"/>
  <c r="L234" i="2"/>
  <c r="Y233" i="2"/>
  <c r="V233" i="2"/>
  <c r="S233" i="2"/>
  <c r="M233" i="2"/>
  <c r="V232" i="2"/>
  <c r="S232" i="2"/>
  <c r="Y232" i="2" s="1"/>
  <c r="M232" i="2"/>
  <c r="Z231" i="2"/>
  <c r="AA231" i="2" s="1"/>
  <c r="Y231" i="2"/>
  <c r="W231" i="2"/>
  <c r="V231" i="2"/>
  <c r="U231" i="2"/>
  <c r="R231" i="2"/>
  <c r="X231" i="2" s="1"/>
  <c r="O231" i="2"/>
  <c r="L231" i="2"/>
  <c r="V230" i="2"/>
  <c r="S230" i="2"/>
  <c r="Y230" i="2" s="1"/>
  <c r="M230" i="2"/>
  <c r="Y229" i="2"/>
  <c r="V229" i="2"/>
  <c r="S229" i="2"/>
  <c r="M229" i="2"/>
  <c r="V228" i="2"/>
  <c r="S228" i="2"/>
  <c r="Y228" i="2" s="1"/>
  <c r="M228" i="2"/>
  <c r="Y227" i="2"/>
  <c r="V227" i="2"/>
  <c r="S227" i="2"/>
  <c r="M227" i="2"/>
  <c r="Z226" i="2"/>
  <c r="Y226" i="2"/>
  <c r="AA226" i="2" s="1"/>
  <c r="W226" i="2"/>
  <c r="V226" i="2"/>
  <c r="U226" i="2"/>
  <c r="R226" i="2"/>
  <c r="X226" i="2" s="1"/>
  <c r="O226" i="2"/>
  <c r="L226" i="2"/>
  <c r="V225" i="2"/>
  <c r="S225" i="2"/>
  <c r="Y225" i="2" s="1"/>
  <c r="M225" i="2"/>
  <c r="Y224" i="2"/>
  <c r="V224" i="2"/>
  <c r="S224" i="2"/>
  <c r="M224" i="2"/>
  <c r="Z223" i="2"/>
  <c r="Y223" i="2"/>
  <c r="AA223" i="2" s="1"/>
  <c r="X223" i="2"/>
  <c r="W223" i="2"/>
  <c r="V223" i="2"/>
  <c r="U223" i="2"/>
  <c r="R223" i="2"/>
  <c r="O223" i="2"/>
  <c r="L223" i="2"/>
  <c r="Y222" i="2"/>
  <c r="V222" i="2"/>
  <c r="S222" i="2"/>
  <c r="M222" i="2"/>
  <c r="V221" i="2"/>
  <c r="S221" i="2"/>
  <c r="Y221" i="2" s="1"/>
  <c r="M221" i="2"/>
  <c r="Y220" i="2"/>
  <c r="V220" i="2"/>
  <c r="S220" i="2"/>
  <c r="M220" i="2"/>
  <c r="V219" i="2"/>
  <c r="S219" i="2"/>
  <c r="Y219" i="2" s="1"/>
  <c r="M219" i="2"/>
  <c r="Z218" i="2"/>
  <c r="AA218" i="2" s="1"/>
  <c r="Y218" i="2"/>
  <c r="X218" i="2"/>
  <c r="W218" i="2"/>
  <c r="V218" i="2"/>
  <c r="U218" i="2"/>
  <c r="R218" i="2"/>
  <c r="O218" i="2"/>
  <c r="L218" i="2"/>
  <c r="Y217" i="2"/>
  <c r="V217" i="2"/>
  <c r="S217" i="2"/>
  <c r="M217" i="2"/>
  <c r="V216" i="2"/>
  <c r="S216" i="2"/>
  <c r="Y216" i="2" s="1"/>
  <c r="M216" i="2"/>
  <c r="Y215" i="2"/>
  <c r="V215" i="2"/>
  <c r="S215" i="2"/>
  <c r="M215" i="2"/>
  <c r="Z214" i="2"/>
  <c r="Y214" i="2"/>
  <c r="AA214" i="2" s="1"/>
  <c r="W214" i="2"/>
  <c r="V214" i="2"/>
  <c r="U214" i="2"/>
  <c r="R214" i="2"/>
  <c r="X214" i="2" s="1"/>
  <c r="O214" i="2"/>
  <c r="L214" i="2"/>
  <c r="Y213" i="2"/>
  <c r="V213" i="2"/>
  <c r="S213" i="2"/>
  <c r="M213" i="2"/>
  <c r="V212" i="2"/>
  <c r="S212" i="2"/>
  <c r="Y212" i="2" s="1"/>
  <c r="M212" i="2"/>
  <c r="V211" i="2"/>
  <c r="S211" i="2"/>
  <c r="Y211" i="2" s="1"/>
  <c r="M211" i="2"/>
  <c r="V210" i="2"/>
  <c r="S210" i="2"/>
  <c r="Y210" i="2" s="1"/>
  <c r="M210" i="2"/>
  <c r="Z209" i="2"/>
  <c r="Y209" i="2"/>
  <c r="AA209" i="2" s="1"/>
  <c r="W209" i="2"/>
  <c r="V209" i="2"/>
  <c r="U209" i="2"/>
  <c r="R209" i="2"/>
  <c r="X209" i="2" s="1"/>
  <c r="O209" i="2"/>
  <c r="L209" i="2"/>
  <c r="Y208" i="2"/>
  <c r="V208" i="2"/>
  <c r="S208" i="2"/>
  <c r="M208" i="2"/>
  <c r="V207" i="2"/>
  <c r="S207" i="2"/>
  <c r="Y207" i="2" s="1"/>
  <c r="M207" i="2"/>
  <c r="Y206" i="2"/>
  <c r="V206" i="2"/>
  <c r="S206" i="2"/>
  <c r="M206" i="2"/>
  <c r="Z205" i="2"/>
  <c r="Y205" i="2"/>
  <c r="AA205" i="2" s="1"/>
  <c r="W205" i="2"/>
  <c r="V205" i="2"/>
  <c r="U205" i="2"/>
  <c r="R205" i="2"/>
  <c r="X205" i="2" s="1"/>
  <c r="O205" i="2"/>
  <c r="L205" i="2"/>
  <c r="V204" i="2"/>
  <c r="S204" i="2"/>
  <c r="Y204" i="2" s="1"/>
  <c r="M204" i="2"/>
  <c r="V203" i="2"/>
  <c r="S203" i="2"/>
  <c r="Y203" i="2" s="1"/>
  <c r="M203" i="2"/>
  <c r="AA202" i="2"/>
  <c r="Z202" i="2"/>
  <c r="Y202" i="2"/>
  <c r="X202" i="2"/>
  <c r="W202" i="2"/>
  <c r="V202" i="2"/>
  <c r="U202" i="2"/>
  <c r="R202" i="2"/>
  <c r="O202" i="2"/>
  <c r="O201" i="2" s="1"/>
  <c r="L202" i="2"/>
  <c r="U201" i="2"/>
  <c r="T201" i="2"/>
  <c r="S201" i="2"/>
  <c r="S200" i="2" s="1"/>
  <c r="N201" i="2"/>
  <c r="N200" i="2" s="1"/>
  <c r="M201" i="2"/>
  <c r="M200" i="2" s="1"/>
  <c r="O200" i="2"/>
  <c r="V199" i="2"/>
  <c r="S199" i="2"/>
  <c r="Y199" i="2" s="1"/>
  <c r="M199" i="2"/>
  <c r="Z198" i="2"/>
  <c r="Z197" i="2" s="1"/>
  <c r="Y198" i="2"/>
  <c r="W198" i="2"/>
  <c r="V198" i="2"/>
  <c r="U198" i="2"/>
  <c r="U197" i="2" s="1"/>
  <c r="R198" i="2"/>
  <c r="X198" i="2" s="1"/>
  <c r="O198" i="2"/>
  <c r="L198" i="2"/>
  <c r="Y197" i="2"/>
  <c r="T197" i="2"/>
  <c r="S197" i="2"/>
  <c r="O197" i="2"/>
  <c r="N197" i="2"/>
  <c r="M197" i="2"/>
  <c r="V196" i="2"/>
  <c r="S196" i="2"/>
  <c r="Y196" i="2" s="1"/>
  <c r="M196" i="2"/>
  <c r="V195" i="2"/>
  <c r="S195" i="2"/>
  <c r="Y195" i="2" s="1"/>
  <c r="M195" i="2"/>
  <c r="V194" i="2"/>
  <c r="S194" i="2"/>
  <c r="Y194" i="2" s="1"/>
  <c r="M194" i="2"/>
  <c r="V193" i="2"/>
  <c r="S193" i="2"/>
  <c r="Y193" i="2" s="1"/>
  <c r="M193" i="2"/>
  <c r="Z192" i="2"/>
  <c r="Y192" i="2"/>
  <c r="AA192" i="2" s="1"/>
  <c r="X192" i="2"/>
  <c r="W192" i="2"/>
  <c r="V192" i="2"/>
  <c r="U192" i="2"/>
  <c r="R192" i="2"/>
  <c r="O192" i="2"/>
  <c r="L192" i="2"/>
  <c r="Y191" i="2"/>
  <c r="V191" i="2"/>
  <c r="S191" i="2"/>
  <c r="M191" i="2"/>
  <c r="Y190" i="2"/>
  <c r="V190" i="2"/>
  <c r="S190" i="2"/>
  <c r="M190" i="2"/>
  <c r="Y189" i="2"/>
  <c r="V189" i="2"/>
  <c r="S189" i="2"/>
  <c r="M189" i="2"/>
  <c r="Y188" i="2"/>
  <c r="V188" i="2"/>
  <c r="S188" i="2"/>
  <c r="M188" i="2"/>
  <c r="AA187" i="2"/>
  <c r="Z187" i="2"/>
  <c r="Y187" i="2"/>
  <c r="W187" i="2"/>
  <c r="V187" i="2"/>
  <c r="U187" i="2"/>
  <c r="R187" i="2"/>
  <c r="X187" i="2" s="1"/>
  <c r="O187" i="2"/>
  <c r="L187" i="2"/>
  <c r="V186" i="2"/>
  <c r="S186" i="2"/>
  <c r="Y186" i="2" s="1"/>
  <c r="M186" i="2"/>
  <c r="V185" i="2"/>
  <c r="S185" i="2"/>
  <c r="Y185" i="2" s="1"/>
  <c r="M185" i="2"/>
  <c r="V184" i="2"/>
  <c r="S184" i="2"/>
  <c r="Y184" i="2" s="1"/>
  <c r="M184" i="2"/>
  <c r="V183" i="2"/>
  <c r="S183" i="2"/>
  <c r="Y183" i="2" s="1"/>
  <c r="M183" i="2"/>
  <c r="Z182" i="2"/>
  <c r="Y182" i="2"/>
  <c r="AA182" i="2" s="1"/>
  <c r="W182" i="2"/>
  <c r="V182" i="2"/>
  <c r="U182" i="2"/>
  <c r="R182" i="2"/>
  <c r="X182" i="2" s="1"/>
  <c r="O182" i="2"/>
  <c r="L182" i="2"/>
  <c r="Y181" i="2"/>
  <c r="V181" i="2"/>
  <c r="S181" i="2"/>
  <c r="M181" i="2"/>
  <c r="Y180" i="2"/>
  <c r="V180" i="2"/>
  <c r="S180" i="2"/>
  <c r="M180" i="2"/>
  <c r="Y179" i="2"/>
  <c r="V179" i="2"/>
  <c r="S179" i="2"/>
  <c r="M179" i="2"/>
  <c r="Y178" i="2"/>
  <c r="V178" i="2"/>
  <c r="S178" i="2"/>
  <c r="M178" i="2"/>
  <c r="AA177" i="2"/>
  <c r="Z177" i="2"/>
  <c r="Y177" i="2"/>
  <c r="X177" i="2"/>
  <c r="W177" i="2"/>
  <c r="V177" i="2"/>
  <c r="U177" i="2"/>
  <c r="R177" i="2"/>
  <c r="O177" i="2"/>
  <c r="L177" i="2"/>
  <c r="V176" i="2"/>
  <c r="S176" i="2"/>
  <c r="Y176" i="2" s="1"/>
  <c r="M176" i="2"/>
  <c r="V175" i="2"/>
  <c r="S175" i="2"/>
  <c r="Y175" i="2" s="1"/>
  <c r="M175" i="2"/>
  <c r="V174" i="2"/>
  <c r="S174" i="2"/>
  <c r="Y174" i="2" s="1"/>
  <c r="M174" i="2"/>
  <c r="V173" i="2"/>
  <c r="S173" i="2"/>
  <c r="Y173" i="2" s="1"/>
  <c r="M173" i="2"/>
  <c r="Z172" i="2"/>
  <c r="Y172" i="2"/>
  <c r="AA172" i="2" s="1"/>
  <c r="X172" i="2"/>
  <c r="W172" i="2"/>
  <c r="V172" i="2"/>
  <c r="U172" i="2"/>
  <c r="R172" i="2"/>
  <c r="O172" i="2"/>
  <c r="L172" i="2"/>
  <c r="Y171" i="2"/>
  <c r="V171" i="2"/>
  <c r="S171" i="2"/>
  <c r="M171" i="2"/>
  <c r="Y170" i="2"/>
  <c r="V170" i="2"/>
  <c r="S170" i="2"/>
  <c r="M170" i="2"/>
  <c r="Y169" i="2"/>
  <c r="V169" i="2"/>
  <c r="S169" i="2"/>
  <c r="M169" i="2"/>
  <c r="Y168" i="2"/>
  <c r="V168" i="2"/>
  <c r="S168" i="2"/>
  <c r="M168" i="2"/>
  <c r="AA167" i="2"/>
  <c r="Z167" i="2"/>
  <c r="Y167" i="2"/>
  <c r="W167" i="2"/>
  <c r="V167" i="2"/>
  <c r="U167" i="2"/>
  <c r="R167" i="2"/>
  <c r="X167" i="2" s="1"/>
  <c r="O167" i="2"/>
  <c r="L167" i="2"/>
  <c r="V166" i="2"/>
  <c r="S166" i="2"/>
  <c r="Y166" i="2" s="1"/>
  <c r="M166" i="2"/>
  <c r="V165" i="2"/>
  <c r="S165" i="2"/>
  <c r="Y165" i="2" s="1"/>
  <c r="M165" i="2"/>
  <c r="V164" i="2"/>
  <c r="S164" i="2"/>
  <c r="Y164" i="2" s="1"/>
  <c r="M164" i="2"/>
  <c r="V163" i="2"/>
  <c r="S163" i="2"/>
  <c r="Y163" i="2" s="1"/>
  <c r="M163" i="2"/>
  <c r="Z162" i="2"/>
  <c r="Y162" i="2"/>
  <c r="AA162" i="2" s="1"/>
  <c r="W162" i="2"/>
  <c r="V162" i="2"/>
  <c r="U162" i="2"/>
  <c r="R162" i="2"/>
  <c r="X162" i="2" s="1"/>
  <c r="O162" i="2"/>
  <c r="L162" i="2"/>
  <c r="Y161" i="2"/>
  <c r="V161" i="2"/>
  <c r="S161" i="2"/>
  <c r="M161" i="2"/>
  <c r="AA160" i="2"/>
  <c r="Z160" i="2"/>
  <c r="Y160" i="2"/>
  <c r="W160" i="2"/>
  <c r="V160" i="2"/>
  <c r="U160" i="2"/>
  <c r="R160" i="2"/>
  <c r="X160" i="2" s="1"/>
  <c r="O160" i="2"/>
  <c r="L160" i="2"/>
  <c r="V159" i="2"/>
  <c r="S159" i="2"/>
  <c r="Y159" i="2" s="1"/>
  <c r="M159" i="2"/>
  <c r="V158" i="2"/>
  <c r="S158" i="2"/>
  <c r="Y158" i="2" s="1"/>
  <c r="M158" i="2"/>
  <c r="Z157" i="2"/>
  <c r="Y157" i="2"/>
  <c r="AA157" i="2" s="1"/>
  <c r="W157" i="2"/>
  <c r="V157" i="2"/>
  <c r="U157" i="2"/>
  <c r="R157" i="2"/>
  <c r="X157" i="2" s="1"/>
  <c r="O157" i="2"/>
  <c r="L157" i="2"/>
  <c r="Y156" i="2"/>
  <c r="V156" i="2"/>
  <c r="S156" i="2"/>
  <c r="M156" i="2"/>
  <c r="Y155" i="2"/>
  <c r="V155" i="2"/>
  <c r="S155" i="2"/>
  <c r="M155" i="2"/>
  <c r="Y154" i="2"/>
  <c r="V154" i="2"/>
  <c r="S154" i="2"/>
  <c r="M154" i="2"/>
  <c r="Y153" i="2"/>
  <c r="V153" i="2"/>
  <c r="S153" i="2"/>
  <c r="M153" i="2"/>
  <c r="AA152" i="2"/>
  <c r="Z152" i="2"/>
  <c r="Y152" i="2"/>
  <c r="X152" i="2"/>
  <c r="W152" i="2"/>
  <c r="V152" i="2"/>
  <c r="U152" i="2"/>
  <c r="R152" i="2"/>
  <c r="O152" i="2"/>
  <c r="L152" i="2"/>
  <c r="V151" i="2"/>
  <c r="S151" i="2"/>
  <c r="Y151" i="2" s="1"/>
  <c r="M151" i="2"/>
  <c r="V150" i="2"/>
  <c r="S150" i="2"/>
  <c r="Y150" i="2" s="1"/>
  <c r="M150" i="2"/>
  <c r="V149" i="2"/>
  <c r="S149" i="2"/>
  <c r="Y149" i="2" s="1"/>
  <c r="M149" i="2"/>
  <c r="V148" i="2"/>
  <c r="S148" i="2"/>
  <c r="Y148" i="2" s="1"/>
  <c r="M148" i="2"/>
  <c r="Z147" i="2"/>
  <c r="Y147" i="2"/>
  <c r="AA147" i="2" s="1"/>
  <c r="X147" i="2"/>
  <c r="W147" i="2"/>
  <c r="V147" i="2"/>
  <c r="U147" i="2"/>
  <c r="R147" i="2"/>
  <c r="O147" i="2"/>
  <c r="L147" i="2"/>
  <c r="Y146" i="2"/>
  <c r="V146" i="2"/>
  <c r="S146" i="2"/>
  <c r="M146" i="2"/>
  <c r="Y145" i="2"/>
  <c r="V145" i="2"/>
  <c r="S145" i="2"/>
  <c r="M145" i="2"/>
  <c r="Y144" i="2"/>
  <c r="V144" i="2"/>
  <c r="S144" i="2"/>
  <c r="M144" i="2"/>
  <c r="Y143" i="2"/>
  <c r="V143" i="2"/>
  <c r="S143" i="2"/>
  <c r="M143" i="2"/>
  <c r="AA142" i="2"/>
  <c r="Z142" i="2"/>
  <c r="Y142" i="2"/>
  <c r="W142" i="2"/>
  <c r="V142" i="2"/>
  <c r="U142" i="2"/>
  <c r="R142" i="2"/>
  <c r="X142" i="2" s="1"/>
  <c r="O142" i="2"/>
  <c r="L142" i="2"/>
  <c r="V141" i="2"/>
  <c r="S141" i="2"/>
  <c r="Y141" i="2" s="1"/>
  <c r="M141" i="2"/>
  <c r="V140" i="2"/>
  <c r="S140" i="2"/>
  <c r="Y140" i="2" s="1"/>
  <c r="M140" i="2"/>
  <c r="Z139" i="2"/>
  <c r="Y139" i="2"/>
  <c r="AA139" i="2" s="1"/>
  <c r="W139" i="2"/>
  <c r="V139" i="2"/>
  <c r="U139" i="2"/>
  <c r="R139" i="2"/>
  <c r="X139" i="2" s="1"/>
  <c r="O139" i="2"/>
  <c r="L139" i="2"/>
  <c r="Y138" i="2"/>
  <c r="V138" i="2"/>
  <c r="S138" i="2"/>
  <c r="M138" i="2"/>
  <c r="Y137" i="2"/>
  <c r="V137" i="2"/>
  <c r="S137" i="2"/>
  <c r="M137" i="2"/>
  <c r="AA136" i="2"/>
  <c r="Z136" i="2"/>
  <c r="Y136" i="2"/>
  <c r="X136" i="2"/>
  <c r="W136" i="2"/>
  <c r="V136" i="2"/>
  <c r="U136" i="2"/>
  <c r="R136" i="2"/>
  <c r="O136" i="2"/>
  <c r="L136" i="2"/>
  <c r="V135" i="2"/>
  <c r="S135" i="2"/>
  <c r="Y135" i="2" s="1"/>
  <c r="M135" i="2"/>
  <c r="V134" i="2"/>
  <c r="S134" i="2"/>
  <c r="Y134" i="2" s="1"/>
  <c r="M134" i="2"/>
  <c r="V133" i="2"/>
  <c r="S133" i="2"/>
  <c r="Y133" i="2" s="1"/>
  <c r="M133" i="2"/>
  <c r="V132" i="2"/>
  <c r="S132" i="2"/>
  <c r="Y132" i="2" s="1"/>
  <c r="M132" i="2"/>
  <c r="V131" i="2"/>
  <c r="S131" i="2"/>
  <c r="Y131" i="2" s="1"/>
  <c r="M131" i="2"/>
  <c r="Z130" i="2"/>
  <c r="Y130" i="2"/>
  <c r="AA130" i="2" s="1"/>
  <c r="W130" i="2"/>
  <c r="V130" i="2"/>
  <c r="U130" i="2"/>
  <c r="R130" i="2"/>
  <c r="X130" i="2" s="1"/>
  <c r="O130" i="2"/>
  <c r="L130" i="2"/>
  <c r="Y129" i="2"/>
  <c r="V129" i="2"/>
  <c r="S129" i="2"/>
  <c r="M129" i="2"/>
  <c r="Y128" i="2"/>
  <c r="V128" i="2"/>
  <c r="S128" i="2"/>
  <c r="M128" i="2"/>
  <c r="Y127" i="2"/>
  <c r="V127" i="2"/>
  <c r="S127" i="2"/>
  <c r="M127" i="2"/>
  <c r="Y126" i="2"/>
  <c r="V126" i="2"/>
  <c r="S126" i="2"/>
  <c r="M126" i="2"/>
  <c r="Y125" i="2"/>
  <c r="V125" i="2"/>
  <c r="S125" i="2"/>
  <c r="M125" i="2"/>
  <c r="Z124" i="2"/>
  <c r="AA124" i="2" s="1"/>
  <c r="Y124" i="2"/>
  <c r="W124" i="2"/>
  <c r="V124" i="2"/>
  <c r="U124" i="2"/>
  <c r="R124" i="2"/>
  <c r="X124" i="2" s="1"/>
  <c r="O124" i="2"/>
  <c r="L124" i="2"/>
  <c r="V123" i="2"/>
  <c r="S123" i="2"/>
  <c r="Y123" i="2" s="1"/>
  <c r="M123" i="2"/>
  <c r="V122" i="2"/>
  <c r="S122" i="2"/>
  <c r="Y122" i="2" s="1"/>
  <c r="M122" i="2"/>
  <c r="V121" i="2"/>
  <c r="S121" i="2"/>
  <c r="Y121" i="2" s="1"/>
  <c r="M121" i="2"/>
  <c r="V120" i="2"/>
  <c r="S120" i="2"/>
  <c r="Y120" i="2" s="1"/>
  <c r="M120" i="2"/>
  <c r="Z119" i="2"/>
  <c r="Y119" i="2"/>
  <c r="AA119" i="2" s="1"/>
  <c r="W119" i="2"/>
  <c r="V119" i="2"/>
  <c r="U119" i="2"/>
  <c r="R119" i="2"/>
  <c r="X119" i="2" s="1"/>
  <c r="O119" i="2"/>
  <c r="L119" i="2"/>
  <c r="Y118" i="2"/>
  <c r="V118" i="2"/>
  <c r="S118" i="2"/>
  <c r="M118" i="2"/>
  <c r="Y117" i="2"/>
  <c r="V117" i="2"/>
  <c r="S117" i="2"/>
  <c r="M117" i="2"/>
  <c r="Y116" i="2"/>
  <c r="V116" i="2"/>
  <c r="S116" i="2"/>
  <c r="M116" i="2"/>
  <c r="Y115" i="2"/>
  <c r="V115" i="2"/>
  <c r="S115" i="2"/>
  <c r="M115" i="2"/>
  <c r="AA114" i="2"/>
  <c r="Z114" i="2"/>
  <c r="Y114" i="2"/>
  <c r="X114" i="2"/>
  <c r="W114" i="2"/>
  <c r="V114" i="2"/>
  <c r="U114" i="2"/>
  <c r="R114" i="2"/>
  <c r="O114" i="2"/>
  <c r="L114" i="2"/>
  <c r="U113" i="2"/>
  <c r="T113" i="2"/>
  <c r="S113" i="2"/>
  <c r="O113" i="2"/>
  <c r="N113" i="2"/>
  <c r="M113" i="2"/>
  <c r="V112" i="2"/>
  <c r="S112" i="2"/>
  <c r="Y112" i="2" s="1"/>
  <c r="M112" i="2"/>
  <c r="Z111" i="2"/>
  <c r="Y111" i="2"/>
  <c r="AA111" i="2" s="1"/>
  <c r="W111" i="2"/>
  <c r="V111" i="2"/>
  <c r="U111" i="2"/>
  <c r="R111" i="2"/>
  <c r="X111" i="2" s="1"/>
  <c r="O111" i="2"/>
  <c r="L111" i="2"/>
  <c r="Y110" i="2"/>
  <c r="V110" i="2"/>
  <c r="S110" i="2"/>
  <c r="M110" i="2"/>
  <c r="AA109" i="2"/>
  <c r="Z109" i="2"/>
  <c r="Y109" i="2"/>
  <c r="X109" i="2"/>
  <c r="W109" i="2"/>
  <c r="V109" i="2"/>
  <c r="U109" i="2"/>
  <c r="R109" i="2"/>
  <c r="O109" i="2"/>
  <c r="L109" i="2"/>
  <c r="V108" i="2"/>
  <c r="S108" i="2"/>
  <c r="Y108" i="2" s="1"/>
  <c r="M108" i="2"/>
  <c r="Z107" i="2"/>
  <c r="Y107" i="2"/>
  <c r="AA107" i="2" s="1"/>
  <c r="X107" i="2"/>
  <c r="W107" i="2"/>
  <c r="V107" i="2"/>
  <c r="U107" i="2"/>
  <c r="U102" i="2" s="1"/>
  <c r="R107" i="2"/>
  <c r="O107" i="2"/>
  <c r="L107" i="2"/>
  <c r="Y106" i="2"/>
  <c r="V106" i="2"/>
  <c r="S106" i="2"/>
  <c r="M106" i="2"/>
  <c r="Y105" i="2"/>
  <c r="V105" i="2"/>
  <c r="S105" i="2"/>
  <c r="M105" i="2"/>
  <c r="Y104" i="2"/>
  <c r="V104" i="2"/>
  <c r="S104" i="2"/>
  <c r="M104" i="2"/>
  <c r="AA103" i="2"/>
  <c r="AA102" i="2" s="1"/>
  <c r="Z103" i="2"/>
  <c r="Y103" i="2"/>
  <c r="X103" i="2"/>
  <c r="W103" i="2"/>
  <c r="V103" i="2"/>
  <c r="U103" i="2"/>
  <c r="R103" i="2"/>
  <c r="O103" i="2"/>
  <c r="O102" i="2" s="1"/>
  <c r="L103" i="2"/>
  <c r="Z102" i="2"/>
  <c r="Y102" i="2"/>
  <c r="T102" i="2"/>
  <c r="S102" i="2"/>
  <c r="N102" i="2"/>
  <c r="M102" i="2"/>
  <c r="M34" i="2" s="1"/>
  <c r="M33" i="2" s="1"/>
  <c r="M32" i="2" s="1"/>
  <c r="M31" i="2" s="1"/>
  <c r="Y101" i="2"/>
  <c r="V101" i="2"/>
  <c r="S101" i="2"/>
  <c r="M101" i="2"/>
  <c r="Y100" i="2"/>
  <c r="V100" i="2"/>
  <c r="S100" i="2"/>
  <c r="M100" i="2"/>
  <c r="Y99" i="2"/>
  <c r="V99" i="2"/>
  <c r="S99" i="2"/>
  <c r="M99" i="2"/>
  <c r="Y98" i="2"/>
  <c r="V98" i="2"/>
  <c r="S98" i="2"/>
  <c r="M98" i="2"/>
  <c r="Z97" i="2"/>
  <c r="AA97" i="2" s="1"/>
  <c r="Y97" i="2"/>
  <c r="W97" i="2"/>
  <c r="V97" i="2"/>
  <c r="U97" i="2"/>
  <c r="R97" i="2"/>
  <c r="X97" i="2" s="1"/>
  <c r="O97" i="2"/>
  <c r="L97" i="2"/>
  <c r="V96" i="2"/>
  <c r="S96" i="2"/>
  <c r="Y96" i="2" s="1"/>
  <c r="M96" i="2"/>
  <c r="V95" i="2"/>
  <c r="S95" i="2"/>
  <c r="Y95" i="2" s="1"/>
  <c r="M95" i="2"/>
  <c r="V94" i="2"/>
  <c r="S94" i="2"/>
  <c r="Y94" i="2" s="1"/>
  <c r="M94" i="2"/>
  <c r="V93" i="2"/>
  <c r="S93" i="2"/>
  <c r="Y93" i="2" s="1"/>
  <c r="M93" i="2"/>
  <c r="V92" i="2"/>
  <c r="S92" i="2"/>
  <c r="Y92" i="2" s="1"/>
  <c r="M92" i="2"/>
  <c r="Z91" i="2"/>
  <c r="Y91" i="2"/>
  <c r="AA91" i="2" s="1"/>
  <c r="X91" i="2"/>
  <c r="W91" i="2"/>
  <c r="V91" i="2"/>
  <c r="U91" i="2"/>
  <c r="R91" i="2"/>
  <c r="O91" i="2"/>
  <c r="L91" i="2"/>
  <c r="Y90" i="2"/>
  <c r="V90" i="2"/>
  <c r="S90" i="2"/>
  <c r="M90" i="2"/>
  <c r="Y89" i="2"/>
  <c r="V89" i="2"/>
  <c r="S89" i="2"/>
  <c r="M89" i="2"/>
  <c r="Y88" i="2"/>
  <c r="V88" i="2"/>
  <c r="S88" i="2"/>
  <c r="M88" i="2"/>
  <c r="Y87" i="2"/>
  <c r="V87" i="2"/>
  <c r="S87" i="2"/>
  <c r="M87" i="2"/>
  <c r="Z86" i="2"/>
  <c r="AA86" i="2" s="1"/>
  <c r="Y86" i="2"/>
  <c r="W86" i="2"/>
  <c r="V86" i="2"/>
  <c r="U86" i="2"/>
  <c r="R86" i="2"/>
  <c r="X86" i="2" s="1"/>
  <c r="O86" i="2"/>
  <c r="L86" i="2"/>
  <c r="V85" i="2"/>
  <c r="S85" i="2"/>
  <c r="Y85" i="2" s="1"/>
  <c r="M85" i="2"/>
  <c r="V84" i="2"/>
  <c r="S84" i="2"/>
  <c r="Y84" i="2" s="1"/>
  <c r="M84" i="2"/>
  <c r="V83" i="2"/>
  <c r="S83" i="2"/>
  <c r="Y83" i="2" s="1"/>
  <c r="M83" i="2"/>
  <c r="V82" i="2"/>
  <c r="S82" i="2"/>
  <c r="Y82" i="2" s="1"/>
  <c r="M82" i="2"/>
  <c r="Z81" i="2"/>
  <c r="Y81" i="2"/>
  <c r="AA81" i="2" s="1"/>
  <c r="W81" i="2"/>
  <c r="V81" i="2"/>
  <c r="U81" i="2"/>
  <c r="R81" i="2"/>
  <c r="X81" i="2" s="1"/>
  <c r="O81" i="2"/>
  <c r="L81" i="2"/>
  <c r="Y80" i="2"/>
  <c r="V80" i="2"/>
  <c r="S80" i="2"/>
  <c r="M80" i="2"/>
  <c r="Y79" i="2"/>
  <c r="V79" i="2"/>
  <c r="S79" i="2"/>
  <c r="M79" i="2"/>
  <c r="Y78" i="2"/>
  <c r="V78" i="2"/>
  <c r="S78" i="2"/>
  <c r="M78" i="2"/>
  <c r="Y77" i="2"/>
  <c r="V77" i="2"/>
  <c r="S77" i="2"/>
  <c r="M77" i="2"/>
  <c r="AA76" i="2"/>
  <c r="Z76" i="2"/>
  <c r="Y76" i="2"/>
  <c r="X76" i="2"/>
  <c r="W76" i="2"/>
  <c r="V76" i="2"/>
  <c r="U76" i="2"/>
  <c r="R76" i="2"/>
  <c r="O76" i="2"/>
  <c r="L76" i="2"/>
  <c r="V75" i="2"/>
  <c r="S75" i="2"/>
  <c r="Y75" i="2" s="1"/>
  <c r="M75" i="2"/>
  <c r="V74" i="2"/>
  <c r="S74" i="2"/>
  <c r="Y74" i="2" s="1"/>
  <c r="M74" i="2"/>
  <c r="V73" i="2"/>
  <c r="S73" i="2"/>
  <c r="Y73" i="2" s="1"/>
  <c r="M73" i="2"/>
  <c r="V72" i="2"/>
  <c r="S72" i="2"/>
  <c r="Y72" i="2" s="1"/>
  <c r="M72" i="2"/>
  <c r="V71" i="2"/>
  <c r="S71" i="2"/>
  <c r="Y71" i="2" s="1"/>
  <c r="M71" i="2"/>
  <c r="Z70" i="2"/>
  <c r="Y70" i="2"/>
  <c r="AA70" i="2" s="1"/>
  <c r="X70" i="2"/>
  <c r="W70" i="2"/>
  <c r="V70" i="2"/>
  <c r="U70" i="2"/>
  <c r="R70" i="2"/>
  <c r="O70" i="2"/>
  <c r="L70" i="2"/>
  <c r="Y69" i="2"/>
  <c r="V69" i="2"/>
  <c r="S69" i="2"/>
  <c r="M69" i="2"/>
  <c r="Y68" i="2"/>
  <c r="V68" i="2"/>
  <c r="S68" i="2"/>
  <c r="M68" i="2"/>
  <c r="Y67" i="2"/>
  <c r="V67" i="2"/>
  <c r="S67" i="2"/>
  <c r="M67" i="2"/>
  <c r="Y66" i="2"/>
  <c r="V66" i="2"/>
  <c r="S66" i="2"/>
  <c r="M66" i="2"/>
  <c r="Z65" i="2"/>
  <c r="AA65" i="2" s="1"/>
  <c r="Y65" i="2"/>
  <c r="X65" i="2"/>
  <c r="W65" i="2"/>
  <c r="V65" i="2"/>
  <c r="U65" i="2"/>
  <c r="R65" i="2"/>
  <c r="O65" i="2"/>
  <c r="L65" i="2"/>
  <c r="V64" i="2"/>
  <c r="S64" i="2"/>
  <c r="Y64" i="2" s="1"/>
  <c r="M64" i="2"/>
  <c r="V63" i="2"/>
  <c r="S63" i="2"/>
  <c r="Y63" i="2" s="1"/>
  <c r="M63" i="2"/>
  <c r="V62" i="2"/>
  <c r="S62" i="2"/>
  <c r="Y62" i="2" s="1"/>
  <c r="M62" i="2"/>
  <c r="V61" i="2"/>
  <c r="S61" i="2"/>
  <c r="Y61" i="2" s="1"/>
  <c r="M61" i="2"/>
  <c r="Z60" i="2"/>
  <c r="Y60" i="2"/>
  <c r="X60" i="2"/>
  <c r="W60" i="2"/>
  <c r="V60" i="2"/>
  <c r="U60" i="2"/>
  <c r="R60" i="2"/>
  <c r="O60" i="2"/>
  <c r="L60" i="2"/>
  <c r="Y59" i="2"/>
  <c r="V59" i="2"/>
  <c r="S59" i="2"/>
  <c r="M59" i="2"/>
  <c r="Y58" i="2"/>
  <c r="V58" i="2"/>
  <c r="S58" i="2"/>
  <c r="M58" i="2"/>
  <c r="Y57" i="2"/>
  <c r="V57" i="2"/>
  <c r="S57" i="2"/>
  <c r="M57" i="2"/>
  <c r="Y56" i="2"/>
  <c r="V56" i="2"/>
  <c r="S56" i="2"/>
  <c r="M56" i="2"/>
  <c r="Z55" i="2"/>
  <c r="AA55" i="2" s="1"/>
  <c r="Y55" i="2"/>
  <c r="W55" i="2"/>
  <c r="V55" i="2"/>
  <c r="U55" i="2"/>
  <c r="R55" i="2"/>
  <c r="X55" i="2" s="1"/>
  <c r="O55" i="2"/>
  <c r="L55" i="2"/>
  <c r="V54" i="2"/>
  <c r="S54" i="2"/>
  <c r="Y54" i="2" s="1"/>
  <c r="M54" i="2"/>
  <c r="Z53" i="2"/>
  <c r="Y53" i="2"/>
  <c r="W53" i="2"/>
  <c r="V53" i="2"/>
  <c r="U53" i="2"/>
  <c r="R53" i="2"/>
  <c r="X53" i="2" s="1"/>
  <c r="O53" i="2"/>
  <c r="L53" i="2"/>
  <c r="Y52" i="2"/>
  <c r="V52" i="2"/>
  <c r="S52" i="2"/>
  <c r="M52" i="2"/>
  <c r="Y51" i="2"/>
  <c r="V51" i="2"/>
  <c r="S51" i="2"/>
  <c r="M51" i="2"/>
  <c r="Z50" i="2"/>
  <c r="AA50" i="2" s="1"/>
  <c r="Y50" i="2"/>
  <c r="W50" i="2"/>
  <c r="V50" i="2"/>
  <c r="U50" i="2"/>
  <c r="R50" i="2"/>
  <c r="X50" i="2" s="1"/>
  <c r="O50" i="2"/>
  <c r="L50" i="2"/>
  <c r="V49" i="2"/>
  <c r="S49" i="2"/>
  <c r="Y49" i="2" s="1"/>
  <c r="M49" i="2"/>
  <c r="Z48" i="2"/>
  <c r="Y48" i="2"/>
  <c r="AA48" i="2" s="1"/>
  <c r="W48" i="2"/>
  <c r="V48" i="2"/>
  <c r="U48" i="2"/>
  <c r="R48" i="2"/>
  <c r="X48" i="2" s="1"/>
  <c r="O48" i="2"/>
  <c r="L48" i="2"/>
  <c r="Y47" i="2"/>
  <c r="V47" i="2"/>
  <c r="S47" i="2"/>
  <c r="M47" i="2"/>
  <c r="Z46" i="2"/>
  <c r="AA46" i="2" s="1"/>
  <c r="Y46" i="2"/>
  <c r="X46" i="2"/>
  <c r="W46" i="2"/>
  <c r="V46" i="2"/>
  <c r="U46" i="2"/>
  <c r="R46" i="2"/>
  <c r="O46" i="2"/>
  <c r="L46" i="2"/>
  <c r="V45" i="2"/>
  <c r="S45" i="2"/>
  <c r="Y45" i="2" s="1"/>
  <c r="M45" i="2"/>
  <c r="Z44" i="2"/>
  <c r="Y44" i="2"/>
  <c r="AA44" i="2" s="1"/>
  <c r="W44" i="2"/>
  <c r="V44" i="2"/>
  <c r="U44" i="2"/>
  <c r="R44" i="2"/>
  <c r="X44" i="2" s="1"/>
  <c r="O44" i="2"/>
  <c r="L44" i="2"/>
  <c r="Y43" i="2"/>
  <c r="V43" i="2"/>
  <c r="S43" i="2"/>
  <c r="M43" i="2"/>
  <c r="Y42" i="2"/>
  <c r="V42" i="2"/>
  <c r="S42" i="2"/>
  <c r="M42" i="2"/>
  <c r="Y41" i="2"/>
  <c r="V41" i="2"/>
  <c r="S41" i="2"/>
  <c r="M41" i="2"/>
  <c r="Z40" i="2"/>
  <c r="AA40" i="2" s="1"/>
  <c r="Y40" i="2"/>
  <c r="W40" i="2"/>
  <c r="V40" i="2"/>
  <c r="U40" i="2"/>
  <c r="R40" i="2"/>
  <c r="X40" i="2" s="1"/>
  <c r="O40" i="2"/>
  <c r="O35" i="2" s="1"/>
  <c r="O34" i="2" s="1"/>
  <c r="L40" i="2"/>
  <c r="V39" i="2"/>
  <c r="S39" i="2"/>
  <c r="Y39" i="2" s="1"/>
  <c r="M39" i="2"/>
  <c r="V38" i="2"/>
  <c r="S38" i="2"/>
  <c r="Y38" i="2" s="1"/>
  <c r="M38" i="2"/>
  <c r="V37" i="2"/>
  <c r="S37" i="2"/>
  <c r="Y37" i="2" s="1"/>
  <c r="M37" i="2"/>
  <c r="Z36" i="2"/>
  <c r="Z35" i="2" s="1"/>
  <c r="Y36" i="2"/>
  <c r="X36" i="2"/>
  <c r="W36" i="2"/>
  <c r="V36" i="2"/>
  <c r="U36" i="2"/>
  <c r="U35" i="2" s="1"/>
  <c r="R36" i="2"/>
  <c r="O36" i="2"/>
  <c r="L36" i="2"/>
  <c r="T35" i="2"/>
  <c r="S35" i="2"/>
  <c r="S34" i="2" s="1"/>
  <c r="S33" i="2" s="1"/>
  <c r="S32" i="2" s="1"/>
  <c r="S31" i="2" s="1"/>
  <c r="N35" i="2"/>
  <c r="N34" i="2" s="1"/>
  <c r="N33" i="2" s="1"/>
  <c r="N32" i="2" s="1"/>
  <c r="N31" i="2" s="1"/>
  <c r="M35" i="2"/>
  <c r="T34" i="2"/>
  <c r="Y30" i="2"/>
  <c r="V30" i="2"/>
  <c r="S30" i="2"/>
  <c r="M30" i="2"/>
  <c r="Y29" i="2"/>
  <c r="V29" i="2"/>
  <c r="S29" i="2"/>
  <c r="M29" i="2"/>
  <c r="Y28" i="2"/>
  <c r="V28" i="2"/>
  <c r="S28" i="2"/>
  <c r="M28" i="2"/>
  <c r="Y27" i="2"/>
  <c r="V27" i="2"/>
  <c r="S27" i="2"/>
  <c r="M27" i="2"/>
  <c r="AA26" i="2"/>
  <c r="AA25" i="2" s="1"/>
  <c r="AA24" i="2" s="1"/>
  <c r="AA23" i="2" s="1"/>
  <c r="AA22" i="2" s="1"/>
  <c r="AA21" i="2" s="1"/>
  <c r="Z26" i="2"/>
  <c r="Y26" i="2"/>
  <c r="X26" i="2"/>
  <c r="W26" i="2"/>
  <c r="V26" i="2"/>
  <c r="U26" i="2"/>
  <c r="U25" i="2" s="1"/>
  <c r="U24" i="2" s="1"/>
  <c r="U23" i="2" s="1"/>
  <c r="U22" i="2" s="1"/>
  <c r="U21" i="2" s="1"/>
  <c r="R26" i="2"/>
  <c r="O26" i="2"/>
  <c r="O25" i="2" s="1"/>
  <c r="O24" i="2" s="1"/>
  <c r="O23" i="2" s="1"/>
  <c r="O22" i="2" s="1"/>
  <c r="O21" i="2" s="1"/>
  <c r="L26" i="2"/>
  <c r="Z25" i="2"/>
  <c r="Y25" i="2"/>
  <c r="Y24" i="2" s="1"/>
  <c r="Y23" i="2" s="1"/>
  <c r="Y22" i="2" s="1"/>
  <c r="Y21" i="2" s="1"/>
  <c r="T25" i="2"/>
  <c r="S25" i="2"/>
  <c r="N25" i="2"/>
  <c r="M25" i="2"/>
  <c r="Z24" i="2"/>
  <c r="Z23" i="2" s="1"/>
  <c r="Z22" i="2" s="1"/>
  <c r="T24" i="2"/>
  <c r="T23" i="2" s="1"/>
  <c r="T22" i="2" s="1"/>
  <c r="T21" i="2" s="1"/>
  <c r="S24" i="2"/>
  <c r="S23" i="2" s="1"/>
  <c r="N24" i="2"/>
  <c r="M24" i="2"/>
  <c r="N23" i="2"/>
  <c r="N22" i="2" s="1"/>
  <c r="N21" i="2" s="1"/>
  <c r="M23" i="2"/>
  <c r="M22" i="2" s="1"/>
  <c r="M21" i="2" s="1"/>
  <c r="S22" i="2"/>
  <c r="S21" i="2" s="1"/>
  <c r="Z21" i="2"/>
  <c r="AA20" i="2"/>
  <c r="Z20" i="2"/>
  <c r="W20" i="2"/>
  <c r="U20" i="2"/>
  <c r="R20" i="2"/>
  <c r="X20" i="2" s="1"/>
  <c r="O20" i="2"/>
  <c r="L20" i="2"/>
  <c r="Z19" i="2"/>
  <c r="AA19" i="2" s="1"/>
  <c r="AA18" i="2" s="1"/>
  <c r="W19" i="2"/>
  <c r="U19" i="2"/>
  <c r="U18" i="2" s="1"/>
  <c r="R19" i="2"/>
  <c r="X19" i="2" s="1"/>
  <c r="O19" i="2"/>
  <c r="L19" i="2"/>
  <c r="Y18" i="2"/>
  <c r="T18" i="2"/>
  <c r="S18" i="2"/>
  <c r="S12" i="2" s="1"/>
  <c r="S11" i="2" s="1"/>
  <c r="S10" i="2" s="1"/>
  <c r="O18" i="2"/>
  <c r="N18" i="2"/>
  <c r="M18" i="2"/>
  <c r="AA17" i="2"/>
  <c r="Z17" i="2"/>
  <c r="X17" i="2"/>
  <c r="W17" i="2"/>
  <c r="U17" i="2"/>
  <c r="R17" i="2"/>
  <c r="O17" i="2"/>
  <c r="L17" i="2"/>
  <c r="AA16" i="2"/>
  <c r="Z16" i="2"/>
  <c r="X16" i="2"/>
  <c r="W16" i="2"/>
  <c r="U16" i="2"/>
  <c r="U15" i="2" s="1"/>
  <c r="R16" i="2"/>
  <c r="O16" i="2"/>
  <c r="L16" i="2"/>
  <c r="AA15" i="2"/>
  <c r="Z15" i="2"/>
  <c r="Y15" i="2"/>
  <c r="T15" i="2"/>
  <c r="T12" i="2" s="1"/>
  <c r="T11" i="2" s="1"/>
  <c r="T10" i="2" s="1"/>
  <c r="S15" i="2"/>
  <c r="O15" i="2"/>
  <c r="N15" i="2"/>
  <c r="M15" i="2"/>
  <c r="Z14" i="2"/>
  <c r="AA14" i="2" s="1"/>
  <c r="AA13" i="2" s="1"/>
  <c r="AA12" i="2" s="1"/>
  <c r="AA11" i="2" s="1"/>
  <c r="AA10" i="2" s="1"/>
  <c r="X14" i="2"/>
  <c r="W14" i="2"/>
  <c r="U14" i="2"/>
  <c r="R14" i="2"/>
  <c r="O14" i="2"/>
  <c r="L14" i="2"/>
  <c r="Y13" i="2"/>
  <c r="Y12" i="2" s="1"/>
  <c r="Y11" i="2" s="1"/>
  <c r="Y10" i="2" s="1"/>
  <c r="U13" i="2"/>
  <c r="T13" i="2"/>
  <c r="S13" i="2"/>
  <c r="O13" i="2"/>
  <c r="N13" i="2"/>
  <c r="N12" i="2" s="1"/>
  <c r="N11" i="2" s="1"/>
  <c r="N10" i="2" s="1"/>
  <c r="M13" i="2"/>
  <c r="O12" i="2"/>
  <c r="O11" i="2" s="1"/>
  <c r="O10" i="2" s="1"/>
  <c r="M12" i="2"/>
  <c r="M11" i="2" s="1"/>
  <c r="M10" i="2" s="1"/>
  <c r="M9" i="2" s="1"/>
  <c r="M8" i="2" s="1"/>
  <c r="M460" i="2" s="1"/>
  <c r="AA103" i="3" l="1"/>
  <c r="AA102" i="3" s="1"/>
  <c r="Y102" i="3"/>
  <c r="U34" i="3"/>
  <c r="U33" i="3" s="1"/>
  <c r="U32" i="3" s="1"/>
  <c r="U31" i="3" s="1"/>
  <c r="U9" i="3" s="1"/>
  <c r="U8" i="3" s="1"/>
  <c r="Z113" i="3"/>
  <c r="AA113" i="3"/>
  <c r="Z271" i="3"/>
  <c r="Z200" i="3" s="1"/>
  <c r="O33" i="3"/>
  <c r="O32" i="3" s="1"/>
  <c r="O31" i="3" s="1"/>
  <c r="O9" i="3" s="1"/>
  <c r="O8" i="3" s="1"/>
  <c r="AA36" i="3"/>
  <c r="AA35" i="3" s="1"/>
  <c r="AA34" i="3" s="1"/>
  <c r="Z35" i="3"/>
  <c r="Z34" i="3" s="1"/>
  <c r="Z365" i="3"/>
  <c r="Z335" i="3" s="1"/>
  <c r="AA372" i="3"/>
  <c r="AA365" i="3" s="1"/>
  <c r="Z13" i="3"/>
  <c r="Z12" i="3" s="1"/>
  <c r="Z11" i="3" s="1"/>
  <c r="Z10" i="3" s="1"/>
  <c r="AA26" i="3"/>
  <c r="AA25" i="3" s="1"/>
  <c r="AA24" i="3" s="1"/>
  <c r="AA23" i="3" s="1"/>
  <c r="AA22" i="3" s="1"/>
  <c r="AA21" i="3" s="1"/>
  <c r="Y25" i="3"/>
  <c r="Y24" i="3" s="1"/>
  <c r="Y23" i="3" s="1"/>
  <c r="Y22" i="3" s="1"/>
  <c r="Y21" i="3" s="1"/>
  <c r="Y201" i="3"/>
  <c r="Y200" i="3" s="1"/>
  <c r="Y336" i="3"/>
  <c r="Y335" i="3" s="1"/>
  <c r="AA18" i="3"/>
  <c r="AA12" i="3" s="1"/>
  <c r="AA11" i="3" s="1"/>
  <c r="AA10" i="3" s="1"/>
  <c r="AA201" i="3"/>
  <c r="AA200" i="3" s="1"/>
  <c r="AA336" i="3"/>
  <c r="AA454" i="3"/>
  <c r="Y113" i="3"/>
  <c r="N9" i="2"/>
  <c r="N8" i="2" s="1"/>
  <c r="N460" i="2" s="1"/>
  <c r="S9" i="2"/>
  <c r="S8" i="2" s="1"/>
  <c r="S460" i="2" s="1"/>
  <c r="U34" i="2"/>
  <c r="O460" i="2"/>
  <c r="T200" i="2"/>
  <c r="T33" i="2" s="1"/>
  <c r="T32" i="2" s="1"/>
  <c r="T31" i="2" s="1"/>
  <c r="T9" i="2" s="1"/>
  <c r="T8" i="2" s="1"/>
  <c r="T460" i="2" s="1"/>
  <c r="U12" i="2"/>
  <c r="U11" i="2" s="1"/>
  <c r="U10" i="2" s="1"/>
  <c r="AA60" i="2"/>
  <c r="Z201" i="2"/>
  <c r="Z18" i="2"/>
  <c r="Y113" i="2"/>
  <c r="AA201" i="2"/>
  <c r="AA375" i="2"/>
  <c r="Y365" i="2"/>
  <c r="T9" i="1"/>
  <c r="T8" i="1" s="1"/>
  <c r="T470" i="1" s="1"/>
  <c r="U470" i="1" s="1"/>
  <c r="Z13" i="2"/>
  <c r="Z12" i="2" s="1"/>
  <c r="Z11" i="2" s="1"/>
  <c r="Z10" i="2" s="1"/>
  <c r="AA53" i="2"/>
  <c r="Z113" i="2"/>
  <c r="Z34" i="2" s="1"/>
  <c r="Z35" i="1"/>
  <c r="Z34" i="1" s="1"/>
  <c r="AA14" i="1"/>
  <c r="AA13" i="1" s="1"/>
  <c r="AA12" i="1" s="1"/>
  <c r="AA11" i="1" s="1"/>
  <c r="AA10" i="1" s="1"/>
  <c r="Z13" i="1"/>
  <c r="Z12" i="1" s="1"/>
  <c r="Z11" i="1" s="1"/>
  <c r="Z10" i="1" s="1"/>
  <c r="AA113" i="2"/>
  <c r="AA198" i="2"/>
  <c r="AA197" i="2" s="1"/>
  <c r="AA278" i="2"/>
  <c r="Y271" i="2"/>
  <c r="AA36" i="2"/>
  <c r="Y35" i="2"/>
  <c r="Y34" i="2" s="1"/>
  <c r="Y33" i="2" s="1"/>
  <c r="Y32" i="2" s="1"/>
  <c r="Y31" i="2" s="1"/>
  <c r="Y9" i="2" s="1"/>
  <c r="Y8" i="2" s="1"/>
  <c r="Y460" i="2" s="1"/>
  <c r="AA272" i="2"/>
  <c r="AA271" i="2" s="1"/>
  <c r="Z271" i="2"/>
  <c r="Z393" i="2"/>
  <c r="AA426" i="2"/>
  <c r="AA393" i="2" s="1"/>
  <c r="AA336" i="2"/>
  <c r="Z365" i="2"/>
  <c r="O393" i="2"/>
  <c r="O33" i="2" s="1"/>
  <c r="O32" i="2" s="1"/>
  <c r="O31" i="2" s="1"/>
  <c r="O9" i="2" s="1"/>
  <c r="O8" i="2" s="1"/>
  <c r="AA26" i="1"/>
  <c r="AA25" i="1" s="1"/>
  <c r="AA24" i="1" s="1"/>
  <c r="AA23" i="1" s="1"/>
  <c r="AA22" i="1" s="1"/>
  <c r="AA21" i="1" s="1"/>
  <c r="Y25" i="1"/>
  <c r="Y24" i="1" s="1"/>
  <c r="Y23" i="1" s="1"/>
  <c r="Y22" i="1" s="1"/>
  <c r="Y21" i="1" s="1"/>
  <c r="Y9" i="1" s="1"/>
  <c r="Y8" i="1" s="1"/>
  <c r="Y470" i="1" s="1"/>
  <c r="AA212" i="1"/>
  <c r="AA211" i="1" s="1"/>
  <c r="Y211" i="1"/>
  <c r="Y210" i="1" s="1"/>
  <c r="U365" i="2"/>
  <c r="U335" i="2" s="1"/>
  <c r="Y201" i="2"/>
  <c r="Y200" i="2" s="1"/>
  <c r="U271" i="2"/>
  <c r="U200" i="2" s="1"/>
  <c r="Y319" i="2"/>
  <c r="AA390" i="2"/>
  <c r="AA365" i="2" s="1"/>
  <c r="O12" i="1"/>
  <c r="O11" i="1" s="1"/>
  <c r="O10" i="1" s="1"/>
  <c r="Z335" i="2"/>
  <c r="Y336" i="2"/>
  <c r="Y335" i="2" s="1"/>
  <c r="AA378" i="2"/>
  <c r="U393" i="2"/>
  <c r="N9" i="1"/>
  <c r="N8" i="1" s="1"/>
  <c r="N470" i="1" s="1"/>
  <c r="O470" i="1" s="1"/>
  <c r="AA35" i="1"/>
  <c r="U35" i="1"/>
  <c r="U34" i="1" s="1"/>
  <c r="U33" i="1" s="1"/>
  <c r="U32" i="1" s="1"/>
  <c r="U31" i="1" s="1"/>
  <c r="U9" i="1" s="1"/>
  <c r="U8" i="1" s="1"/>
  <c r="AA113" i="1"/>
  <c r="Z210" i="1"/>
  <c r="O211" i="1"/>
  <c r="O210" i="1" s="1"/>
  <c r="AA375" i="1"/>
  <c r="O403" i="1"/>
  <c r="O33" i="1" s="1"/>
  <c r="O32" i="1" s="1"/>
  <c r="O31" i="1" s="1"/>
  <c r="AA50" i="1"/>
  <c r="AA103" i="1"/>
  <c r="AA102" i="1" s="1"/>
  <c r="Y102" i="1"/>
  <c r="U329" i="1"/>
  <c r="AA70" i="1"/>
  <c r="U211" i="1"/>
  <c r="U210" i="1" s="1"/>
  <c r="AA208" i="1"/>
  <c r="AA207" i="1" s="1"/>
  <c r="Y207" i="1"/>
  <c r="AA347" i="1"/>
  <c r="AA346" i="1" s="1"/>
  <c r="Y346" i="1"/>
  <c r="Y345" i="1" s="1"/>
  <c r="Y35" i="1"/>
  <c r="Y34" i="1" s="1"/>
  <c r="Y33" i="1" s="1"/>
  <c r="Y32" i="1" s="1"/>
  <c r="Y31" i="1" s="1"/>
  <c r="AA55" i="1"/>
  <c r="AA81" i="1"/>
  <c r="U102" i="1"/>
  <c r="Z375" i="1"/>
  <c r="Z345" i="1" s="1"/>
  <c r="U403" i="1"/>
  <c r="AA282" i="1"/>
  <c r="AA281" i="1" s="1"/>
  <c r="AA404" i="1"/>
  <c r="AA403" i="1" s="1"/>
  <c r="Y9" i="3" l="1"/>
  <c r="Y8" i="3" s="1"/>
  <c r="Y460" i="3" s="1"/>
  <c r="AA460" i="3" s="1"/>
  <c r="AA335" i="3"/>
  <c r="Y34" i="3"/>
  <c r="Y33" i="3" s="1"/>
  <c r="Y32" i="3" s="1"/>
  <c r="Y31" i="3" s="1"/>
  <c r="Z33" i="3"/>
  <c r="Z32" i="3" s="1"/>
  <c r="Z31" i="3" s="1"/>
  <c r="AA33" i="3"/>
  <c r="AA32" i="3" s="1"/>
  <c r="AA31" i="3" s="1"/>
  <c r="AA9" i="3" s="1"/>
  <c r="AA8" i="3" s="1"/>
  <c r="Z9" i="3"/>
  <c r="Z8" i="3" s="1"/>
  <c r="Z460" i="3" s="1"/>
  <c r="AA34" i="1"/>
  <c r="AA35" i="2"/>
  <c r="AA34" i="2" s="1"/>
  <c r="AA33" i="2" s="1"/>
  <c r="AA32" i="2" s="1"/>
  <c r="AA31" i="2" s="1"/>
  <c r="AA9" i="2" s="1"/>
  <c r="AA8" i="2" s="1"/>
  <c r="AA345" i="1"/>
  <c r="U33" i="2"/>
  <c r="U32" i="2" s="1"/>
  <c r="U31" i="2" s="1"/>
  <c r="U9" i="2" s="1"/>
  <c r="U8" i="2" s="1"/>
  <c r="AA335" i="2"/>
  <c r="AA200" i="2"/>
  <c r="Z33" i="1"/>
  <c r="Z32" i="1" s="1"/>
  <c r="Z31" i="1" s="1"/>
  <c r="Z9" i="1" s="1"/>
  <c r="Z8" i="1" s="1"/>
  <c r="Z470" i="1" s="1"/>
  <c r="AA470" i="1" s="1"/>
  <c r="AA210" i="1"/>
  <c r="U460" i="2"/>
  <c r="O9" i="1"/>
  <c r="O8" i="1" s="1"/>
  <c r="Z200" i="2"/>
  <c r="Z33" i="2" s="1"/>
  <c r="Z32" i="2" s="1"/>
  <c r="Z31" i="2" s="1"/>
  <c r="Z9" i="2" s="1"/>
  <c r="Z8" i="2" s="1"/>
  <c r="Z460" i="2" s="1"/>
  <c r="AA460" i="2" s="1"/>
  <c r="AA33" i="1" l="1"/>
  <c r="AA32" i="1" s="1"/>
  <c r="AA31" i="1" s="1"/>
  <c r="AA9" i="1" s="1"/>
  <c r="AA8" i="1" s="1"/>
</calcChain>
</file>

<file path=xl/sharedStrings.xml><?xml version="1.0" encoding="utf-8"?>
<sst xmlns="http://schemas.openxmlformats.org/spreadsheetml/2006/main" count="9115" uniqueCount="1857">
  <si>
    <t>Указать название организации (на бланке организации)</t>
  </si>
  <si>
    <t>{"estimateId":5188056,"estimateVersionId":7257273}</t>
  </si>
  <si>
    <t>5</t>
  </si>
  <si>
    <t>dxh84HZMiDuT+FyuoZm0jSWJELSCZ160U2MV++c/WjWhwHe3CJjdz3KuplceIct8rXFvXANcIWp6Kg/DsRC6wt3qu4vBBegZJR3BAlK2e5NOC+9cA4oYAYFMcimKLT2NPlLdMalNDKxYk834Yb5291YXxQk4utBP9lSx37bVyUI=</t>
  </si>
  <si>
    <t>ТЕХНИКО-КОММЕРЧЕСКОЕ ПРЕДЛОЖЕНИЕ (ТКП)</t>
  </si>
  <si>
    <t>г. Москва, ул. Люблинская, вл. 72, корп. 34, Школа на 2200 мест</t>
  </si>
  <si>
    <t>Стоимость, указанная в предложении, включает в себя все необходимые затраты на выполнение полного комплекса работс НДС 22%</t>
  </si>
  <si>
    <t>Предельная стоимость производства работ (ПСПР)</t>
  </si>
  <si>
    <t>МФ-СТРОЙ ООО</t>
  </si>
  <si>
    <t>9701212867</t>
  </si>
  <si>
    <t>eF7s/WtzHdeRJgr/lYqOeCNkY1eduqxVF070BxKCcAATF6I2ZmLc7HDsDWzMKLot+cjqM7foCF19GbktyZe2rBsl2dMzH86ZoCjSokiKjHh/Qe2/0L/kXav2BeTGyqrMRGUB7re7LRAEQfB5clVlPrlW5sr/9hev/pcfTf7iyl/8cPSjvxj8xf89+tu/mwzrr7z0d3/7t4O/mPzno8nfzr7wFz9efIP5/L/d/Iujl3/4w5dfuvkXV/7K/Mb+FPPp6VcHN09/2M35T7t5+uPq7/3x6bfVv6/+UD2obldfV7enb0x/4VXf1r+5Yz5+W92v7nnV4+lr1Vfz39rv+on59b73nP1Gr/qyelj/0QPwO79T/3tHL7/8yvGLL41enf2jV6P6q5Mfv/riD83XDl7+T1vHTwF+6dUXX/0vm3/34uJrfz94lu1LJy/+Bx7b/3bz5uk/a/5N87srOsrzUKeDp//o305e+fGLL780/44s1lmcJX/vovL8eaiYB4DHw4XkhfMg+fGL/4H5ALmgbJwHyrme5i+q31b/o/qk+qD6sPrUtx+qj83//7b6rPqf5uPn9Vd+61W3zBd+W/2m+sj89h/NZ/Zv/NY81V+Yb7jlfmbjK4fxRdH6KvAMi8fT182bZt7NgTd9s3povvbR9Jf1O3i/+rb+s9vTdwee+Q7zZ1lsPntQv5RPAi9R5nf/y/7evrH1a+7FcRh61aPq3vT16RtOysmVw+SiKH8+fcOAvW/wPbb4pr+oSc99lcH/rSVruHrVE0PxXnXXEHtc/cl8Zv3P/doMD6qH019Of2q+/970Dfu9xkj3qi/rv2c/tXa4Z/7Wl9O3zce79l+bvmO/PHOHr9Uf35lZy/yNd6ontf2+nf8j5hsXX3hsPN/j2t4G8BPzpXvVA/Mv3PbsDzFL9Nj8oNc985j9pvrcGP7/4zS3unKoLsrct+ZGvGdM9ou5ca3dn12DmbEf1w7+jjVZ/S13nuFp3qJb5kUzb5jzPdrWV/b0RbH8uPqjb7B9Yd7+T6vfe+aD+X8Xyn195eCiUBZZGMVRnKeZC1mprxxeFDLz/D6uHcZr5kEwofH/MB9dD7K+cjW7KIgf2sfSuoqvZ57uA7Pen7lQXtNXrl0Yyk/M22Lfq3u173hKbj3leVyg1/WV9QsD/WG9+jVo89bfNijvV9/UPrDBzM/rK89fQsTGdb02fdd8/Kn5kokqLugb+srGhUH/bXXXBHjraB8FLnAv6CsvXBg4Y9fpP0zfCuoH9fV59HTacFNf2bxImNVD30Yqr3rf7ej/T33l/7wwfJ8a5fFz83DemymHGVQXyi19ZevCUP5T7aWs6HzNuNUvg1Yhs51e+V56UWg/tq7Thijz7tw2YuYdG6du3nzJyjyrhg2Fu0+7XCeBC7P15wb/ZwObn3zidqffuzBo5Mfgenrl+oWhdaUPSNw76ZXdP+vHd+firN72+O5eGLSZr3WnNQNjYOzTsZde2bswEuR3cD+9cuPP+lnevzBbtz7LNy4MGvkxOEivHFwY2nO44jK9MvyzfnzLi7N62+M7vDBoXbniw/TK4XlIvPryq6O/PcPh5l+8NPrhZPZj+Tye2hDDP+7PqywU4POjH//olaH9sx3zI195cfS3G//X3734ox+an+ZgebLC8i/Lw53ndnLnXt6OMN7yh6/sv/QKFuSuG+SuMMj9V148cj0uZzBaa60t0azKChmUr55r2Uu3RUtBrLQlH7oBDgUBopfbWmltCCz3oQzC//ji8fHkpfO96//ebdN/L46YtvTfd8P8vjhM9ANgLbb2feABuHqVDPSv659yPNkfvfofzdcM7HR8FI/Ho9CfqBPtqzw88fM8O/FHKglHiVbR8fFo9p2vvPyfZp8Us1+WhCd/O1k+HKwoGAVe9as65tmDoXv1ydxju6N13/F1vz4/uu/6dns0+77TUvmVrRxtKaxR/t78xShBG6ODEFq4Q6gQNUWnRnv/dt18doX4aDof9Itq6ey56ewJ0cG/hueM4G5apQytOKTRoj1xQzeXoRCXiMaF9LQduqkcClCxXNKbzwaBVWo/nhy9+qIjnTNB4O9+OJ64VuhsGIhcjK4WTkZJUkRRnmXhKq1ZRDbWRyO0EfEHP6pDYivI1AXxGhPi6ivcYERcJK1+d7bqZBkp79utCFubMa+4cB4TrRdXtphszsRCmE4HsTAKBztxNNhJIndQ5JJYjXoIEjQftGuQ7xrkuwDyXS5yTUdO8jh7BvieAb4HAN/jAse/BueMZIZAaQiUAIGSSeBMzGohQHtehgb10KAeAqiHXNR4F86ITgb0oQF9CIA+5ICuH5abfcQhIBJF7nRrgToCTY0GSQpFbpTXuCjxryE2Gt2qizq+sjuY9S73g6Zw5Kz9WI/CK1tcQj0HJCAQsdH3EImACMSGrOmQSW5lD0C8x0aMf+jPG3uAmMNFLh10gGDDhot31JxoA0QZFtqnPLZ4mIECjbv7YYE7Bq2MhkkMNEHswnmNixP/1mFDzadnO4fmh2rPBpt6r7Cu33xowtLPzd+4a8LSfRe79SgysYfJsOfYEwOxh4u+h9jjhrzLhqzpkElOZg9AvMdGjH8Lzht73MhLLnLp2OOGO2TDxXtvTuxxoz1kobVw5+9eD7EHij7uJrUF8gS0MxooOfoEyoX0Ghcp/s3Dxp9f1c1Ps26MbxcdYHdnAck2i923jWOP5zU/8xaz6bsuUutRbMIOk1jPYScZ7ETa/AfUdrBZ9BB+ksGugb4LQN9lQ9d06CR/s2eQ7xnkewDyPTZy/Etx3nCUDErDoAQYlFwG0mEpGQwN7CEAe8iGjXfwnPCUDA4N6kMA9SELtYWd3ewvTEGBKmnErkCLo6EyAlXg7Lm8xsWKfyuxoeoPy6zom8VJkO10vjf/os2efl4nTIue5Ok/VA/qWsRvoU26xEQsJr+eI5YCIhUXfQ+Ryg15lw1Z0yGTXM4egHiPjRj/Dpw3MrmRl1zk0hHJDXfIhov34ZxI5EZ7yEJbPxc3l4Hnr5oi0X96+ZW/cVDghCEoEKlGCilocBxSVhSCwF7jgl111JBZkWHovTpj+tYmSau3Xrwxv1+kLvW7bS8jmb47/WUdld727DUd9fUb54pYTBusuntwwX5o/c4PXvwx5vlyIXyei1CTECLQVZ9Uv/P++a1/9KLQqy/niFUQmWcsjLUL+AYXeIoD/sPJ6Md/9wrqCavvpXFhfIGLMcNhnPznH01e+rEL40srGKMgDJ3FvZtciKuxEoBY+28MQOfG/xYXXbQaEAF4VnnU0QUTy1cxh4Hbptts1MiIskQNxnEs1O+xoSJDyhKqA+SZ8G0Mt3awd7j7/HMG18Bzb3heZ0NGBhaS/McaeoeNGhkK2mU/FuouG6omQkU/GMZ6awtYZ9Q+Fy0yEPyoa/ewz0aMDAs/IrkGE2CLDIB6gw01J0DFPAH7S9dwA3YNB2y4lGjW5bNQchGfyfiaEOOfBZXoVAFYh2ysyLBGzPXMEzF0+4RDFtK///u/rtO9+aPbz4ajU/ZctZ60AX8GWhoNlZPq5S6s17hY8Zst2EzPveH49IHZIm2zRRp1ZUZ9NeDyPsRvzV9/0+ZzLqLrkb6yxSXb8+5jOtiJMmAHkstA0RnQtpl2DexdAPYuG7amw8a7oHoXMh3sAaj32KjxLwc6JAE7kemgBNCXXPTSu5HpYAhAHrIh4508MUrVO5Lp4BBAfMhC/NQGTI+7kjG0K5k2UihAo+OQskJVoKFdSSZYZPKIjVUfzjci79XXIT9dR/j05Ry2M/luXWl4WlQ4D2CP6wB2v77RdrFVWd/2Un1VR7z6ptt5nJu+W5fEPze7//K23fmcvul8HNe55lmNDoIblkyEmoQQga5hwzLwqt88s2z1zStPq476RugnRm38rF6a6jO7h2g3kmeb0l+Yv3/LT0Lzf16a2dt8ovpDeMV7+iJLLx4kymqXr+yfTn/6b7zIs0+FlUEWwhez7evX7VdmGMNBPvsLtk7oYX2P8gzOU3Wr3uq/kRXmpy7+herzuZq67fle7tk7q+uSozv/xl5S/NQDeOYGZvPZQ/NT7WPuxWEQhbWtZreyxnkQxvb3qWd+bJTP7rueX/I8+5bUPuf2q9/Ud2mf/vkvA3up6xfmX/919am1wNKuV8xP+m763fy7lsNfxioKBzpdWsiCrq0UeFG8+Fv3qgcGwPxbvxvFfxnnXhGngyx2/D3XA7rBfUCR+xGEjemH5pW/Wz1KnK/6C1ycyF2ITjanmRAp6TwCYJybJyDIgC1qJsYL3qLmokbKiy63qLlQkfqCuEWdLreoU3iLmgsZqTJIOSLW0Dts1Mjg354XYqHusqFqIlT0g2Gst7aAdSYN5KJFhgSBLWouYmRwoG1Rg1uSN9g4u9+fTpf706BfOGDDpQS0Lh+EkotYZn86ynWUGN0YOrcih2ywyKBGTP3NIzF0e4RDFlK7QT1Y6sReE39gm9p9peWcRY7uU+808Qfb1ZlgkSEZm/h3t0m9TPtnadadeT40bwSxvfB1emQ++6ltFZm+/fTkmzqbe6u+LPYX05/55u8/qFO656ovbevI9HWTU9khFI/MT5v99KcmGdkthfcrO0utnu+0RLrsfjRffasG+W2dMc3h3q+hBt9ZziKavmNzuZVJRM9cR/r0ZCRgzM+jZ+++nSVn9b6JtejjWUZd/cn1TKxznwmk4Olit4OJUJMQItAtdzsKXHUWEzdS8RCS4EdO3/UCFyBS4HSS/TIhUsQCAmCeFYF2BtwtLsILzn25qJERlp77ZjmkcL/HBosMssTsN1tmvxmc/XIhI0OtUPbLRY0MBvTsN80LXYTAvtMuG68m4kU/HcaEawtYZ1JgLlpkQBBIgbmIkRGClgLDHuIGG2j3OXC2zIFB73DAhksJa10+CSUXsUwO3OgVhmysyNhGTYGztaHbIxyykC5qtObPApj7dlqjlbjwX43cN6Au8MegpdFQOflv4cJ6jYsVX4aCTX8/Ps3IvOm7s1Rznp3Os9s6Pbbzc+up3N8sstynctdqMeTWnjva3M/FeT3Kr2xxefdcrlUMduIQKNfiMlhVJQgGtDqcXQN7F4C9y4at6bDx3qgu1yoGewDqPTZq/HuCjk5O9KVBXwLoSy566XKtYjAEIA/ZkPH+nhiw6nKtYnAIID5kIa6fkZvLQNXTrm0ClWsVjRTQtxl0uGtbwE2kTLDIVJIRtgZnthYHs63SRZOp6zK4WYB7WNfiPK7uuKiuc6muenrBzUgmQk1CiEC33IzMZ5uRUbbYjPSqT5cb33VhVW3zumX3/vQnV7zqo+rDYlD/EoXzX51P3gaXLDJh7WAHkwkQmZ92soPJhEhJ9TAAc2cKssWFd8Hbl1zUyFBD375MMg1uX3LBIqMNcfuyWG5fFvD2JRcyMuaQMgbsU7HDRo0MH+1ZwpktqzCKoedilw1XE+GiHw5jwbUFrDOJARctMhgI7F5yESOjA233EnYQN9hAu9+9LJa7l6BzOGDDpYS0Lp+EkotYZveyySkM2VCRkY2YC5oHYuh2CIcspH9fD/DrJfNz1+vEYQPqIkSPOOol8+OCRUbhy5T5cakiQ3cHmR8XoSYhRKA7bbqJ5qmfeX5iuA6FCxwZuM+fxXEBIuN0F1kcFyIl5GEAAlkcF97FZnFs1Miw0WkWxwaLjBy0LC4OF1lcHIJZHBsyMn7IZHFs1MhQ0HEWx4ariXDRD4ex4NoC1moWx0aLDAbdZ3FsxMjo0FkWxwbaeRa3dA43YOdwwIZLCWldPgklF/EFZHFsqMjIRszizAMxdDuEQxbSugTl7/uc3gQkc1ED+CzXoJnRIGn5nBPlNS7K1Rft/JUnn5tU7rO6yMSkaE/qupPbXvWlydO+frpbAhrSFEdXtrhk+i0niYEhTWz0q9oCgZ5WI7ALQN5lQ9Z0yHiPYstIAMR7bMT4Bx4dXNwlJADykotcuHwEgDtkw8U7aWKgsaUjANpDFto+QwxQKxLHjbjRF453FmSgMMPEiX/riGHm23ri39f1duFsFODsopTZnT7PBqHnnFHI+SCtx7EJQ0yyPYch97UjO2z0PYQhN+RdNmRNh0zyN3sA4j02YvwLcd4w5EZecpFLhyE33CEbLt6Rc8KQG+0hC62FO3/3eghDUCBKGpH3fiNqDM4K5CLFv3nYUPSr6lvbnD0/oLITa+/NOqjtpXPvzPqx68bpe/Xs9NfqO7rA/CcxgYdJrefAA8xeYqPvIfAAs5fYkDUdMsnD7AGI99iI8Y//eQMPMHuJi1w68ACzl9hw8a6bE3iA2UsstP3mP3DoUY3Yc9DSaKiM0APlQUys+LcPG3yc95ycDTePqwcuIuuxMuGGSabncKOBcMNF30O4cUPeZUPWdMgkv7IHIN5jI8Y/8OcNN27kJRe5dLhxwx2y4eIdNifcuNEestD2nefAAUc3okffp91xwIHyHSZa/BvYfcipcx87zu9n9Q3aD05HAz6avllnSg9md3Lb/uNfVx9WH7mor8faBCkm/Z6DVAoEKS76HoKUG/IuG7KmQyZ5oz0A8R4bMf4VOW+QciMvucilg5Qb7pANF+/mOUHKjfaQhfYpP1+XJYn3Ei9DFRSs0iYWRb93QC4jlYWduvBe4+JFlgViY5W9Kd9emPiT+m7FB/PicbszN7vsvr6zf/aVR9U973svjf7upL600as+99M4nX9+x4tnF/k/nr47/9J7fjqwHwsX/XUu/VV/30mpefWr6Tt2WoCJuX+qbtdzdu14ADsxwKverz6dmcJY6Mvpf6/mA3urR961rR3fxOR/chF8nktQkwhiyL1fX0b5wIsGXr3Y9nNl3qKbL0XeIB54iTf9h/ndlDdfsg/EU2pkdtFlPbdjcZ/lg/rOzMXg4pmYueMywQbXBCnOBB3UvDMBIqsaO6l5Z0JcDdnnrXm3czGUC+EWF2EvZe9Fbpyx887IbTZuZHSjF75HKizAyncuWmR8I1a+L4cPxPDwATZkZIgjpSNnH+g0zpMgdkanHTZ0ZHhqz0XO4M1DFeZB4hQTu2y8mogX/YgYE64tYJ3JQ7hokYGBXf8Oe4t9NmZkrKBVwDd4ihtspN2XwC9HEcBe4oANlxLhOA9Do4coubBl6uAbvcOQjRUZ6Yi5qHkshm7PcMhCaqGGSazSyVHkx8dZ7Ku4iPxxkob+KElTnYa6SMbz5wVMUn84f0YcBLmJKpSqNt44eZYllp4rnW1gRUlpXTyuSfJY1QBNq4NMdW/ZVGX607r8ZPW2fluG8tTwwqcz4vtPZcR1Qljvw3rP1SlQ3X898EzG9KT+gfZrd2bzCOYJ5bf1pID516Y/szMIzFef2B7u6S/rgst6sNxiJsEPZtnzU9n0/N+bJdX1iIXpW/UEO/O3blWf2K+bXz/3Mm1ZPXKt1LrkSmn8SuGTVheLDUkWq9KigQUh73x2pMQbLlYvSLJaFR8NrAjJqovGpiSN1VDfQKOLhFaQyZmkt4HKuRLfyN5HoF38tkX5Efw2KX87IyNmynL20VCy+vK7WzF43feOKGuC92AnJ/CK7otyo758GG6Nq7nfvpqlGONaTY5GxyfjSTryR+Oo8FUUj/2RGqd+qvQ4HZ8URZSpm/2rSecm5tW48SZYlylw9HpXk4I8CF6JpibnSuwH9Rir2VCoe7MxV9U39ms6/K75XzhIQ/u7BJJngtQ1nvp55ZkgC4KDJcgzO/7rq8Bzr8oLknxEhBnQPLcpSYQaHTA00jzIc+WisiVJpTdtloVB4bxCaFuUHsEJdinN8nkwz2FpJsma4DnY0gxc0H1RatR3D0OtRZm1LmYpxrhWZidHR+lJNj7y8+zoyFeF0XNjNTryT9JRHI/G4zzP5tvYvSqzxGWKq/OtY4IpcPR6V2aCPAhOia/M6i7oJ/Xkljt2k2/6y+nPbU3lXKEphEITNIHGm+C8Ck2QBcHPdqfQBPmIKLQwcJ4ubkoSoUYJBI0ojAOVONPRLUkqvSk0nQaZ84RqW5QewRl2qdCKeVAHb5veEWVN8BxshQYu6L4oNeq7h6HWotBaF7MUYzwrCo7HenKiRn6YptqPoknu5+Fx4YehDnWa51Gh59qlV4WmXKa4mjRdvOY0BY5e3wpNkgfBKWEV2kezmmKv+sqosCezC6nrqtLZ9Pf6D2cz2X9d/ar6yIvigbZnm+b3zh2OdUn+Gs//nPJMkgXByRLkGVBXK0lERJcB1zltShKhxgYMjTwKzL/horIlSaU3XZaERaCcZW/bovwIPrBDYZaEs1iegBfI7oiyJvgMtjCDV3RflBv17cNwa1Zm7atZijFeXhb7VEAH5VdHvcXuPbGk8QLCIl6lKN1T7ER5jYty9ak6fy/xM1MEB/N+nHoP67X6lPHeUwOJp+8MbAnYvWeqyh7Xf2Zrzu7WMuv27AImF+31JLqyxaXebx9xAvlDLnpFR09rFt0FIO+yIWs6ZHyRru0jBhDvsRHjXw++z637iAHkJRe5cB8xAHfIhot36cTabdtHDKA9ZKGtn4ub/QQkoBx7vpEJ4U5AK6NhEkMSMIiKixP/1rGCkr1j9l71p/q4pZ4x9aQuer03/Xl93Z89ZnGwWU9iE2uYjHqONcAFsmz0PcQa4AJZNmRNh0xyKnsA4j02YvxTf95YA1wgy0UuHWuAC2TZcPHemhNrgAtkWWif2s3rIdZA0SZpRI6eet9htAm0C+k1LlL8m8eMN59XH1bvuyCvJ4kJKkzYPQcVNdiJo3BgPtGDHRUm5kMKXBjLZtRDoFGDXUtj19LYtTR2IRq7bBqaToPkZfYMiz3LYs+y2LMs9iAWe2wW+NfivAFJDUrLprRsSsumhNiUXDbSQUoNhpbC0FIYWgpDiMKQTQHv+jmBSw0OLYNDy+DQMjiEGByyGPSbOMHhTDVi7336Ux3OoASKiRX/5mID2q16D+8dF8r1RJkYxkTacwwzkSsKY/MhMuErDjMgfHHJ9BC+TNCyDHYtg12IwS6bgaYzILmZPUNgzxLYswT2IAJ7bAL4R/+8QcuEKkuktERKiEjJJSIdr0yUsuiHFv0QQj9ko8c7dk6oMgHKgj+04A8h8Ics8P1HKShO6Ub0vQ+QmscpKFIx0eJfV0qkultfWru8xmC2w/dwdiGc/fSuV1db28Kdn9VDpu7Nvv5g+tr0HTtoynzBRXM90SbUMan2HOpSm6SZ/5TN08x/+WBHm99rE/i0CYOp+Tw1v2bm18z8eR6Z/8yvhfm1gOIil3kPcTG1yZz5T9l8zvyXD3YN3V1Dd9fQ3TV0dw3dXUN319DdNXR3Dd1dQ3cXoLvLpqvpdEkOcM+wNUmf+U/ZvM/8lw/2DNs9w3bPsN0zbPcM2z3Dds+w3TNs9wzbPcN2D2C7x2aLf4XPG3FTmxya/5TND81/+aA0rEvDujSsS8O6NKxLw7o0rEvDujSsS8O6BFiXXNbS4Tm1SaT5T9k80vyXD4aG6tBQHRqqQ0N1aKgODdWhoTo0VIeG6tBQHQJUh2yq+PDHieWpTTbNf8rmm+a/fHBomB4apoeG6aFhemiYHhqmh4bpoWF6aJgeGqaHANNDFlNLde6hLWHx64GX0R+K/2kjCfTwlE6uB14Gf/isjwl3NSie83Zg5032tpnqYX1D7LenB34zOTB93RacrF58ZKdO1t90x164NH3baoTFBMr78zuNzLfZS3K+WXz73frC4SdGWNg7mmaTK5c3Ltnf1PchzYthfh7Yv/DYi8L6CiRAbDBNuhptO7px2J6a1nf/G6vct7csG+RLqxi1ZS+AemK/UlfwGNF1Z/rO3NLfzg5Wp+8+VftTF/4Y087Ke742f/rastznsb246qH9uXfsytT3E7w5/WXgMtPzXDNpkpkwJvqiLg5/xysGXhFE9kNsPyQDL4rsf+5XZ4NLIMUR6KA6mgkQeZMkvuoZvnWYC3FVvJzz1mFVhDpIgHpmJsRerh02CKAGMjZuZNSkXzuswhC6dZgNFhk2abcOJ8tbhxP41mE2ZGToJCWTq6Yu4ihMFHCN0w4bOjJEtWeDZ57jIo0jHQOPxy4bsCYCRj8jxoZrC1hnUjIuWmRkYNfAw95in40ZGSxo1w7DnuIGG2hOAIp5AvaXXuIG7CUO2HApEY7zLDR6iJILW+jW4UbvMGSDRUY6Ynpsnouh2zMcspBaqMcn6jjPopGfR3riqzBN/fzoKPIn5q+eJCfJUXEymZEBk98fjrppdn0qAYZS4OY7886wxNJzpckNrCipsovHNUkeqyKgaXWQOfQnp+nyaSb8cH7Pb/WHOpN7q75v+Omc7dtZ/2s9d+ZW9UH1oV99bjKi98yP+435+Fn1hcs265K20Xjb4LM8F4sNSRarwbyBBSHVe1B95WLygiQTkU7YKHC6yE1JIqsxtYEINnPMcpWnQQikjoJcemuFLYLUfYecKDuCfyQlSmfC9bONsPMLYRP4el9R1gSfwU4CoPXcF2VGffUwzBrXcr99LUsxxrPRutFJFmbjws+iSearKIz8PD2J/Wx0EhfHqT7RF6LZnHuFV5Pm2/QcpsDR612zCfIg+CSsZvtoMdrBs0UMdT+TnRzxbXXbDmRYPZswX6yvmcu/G4VhPYPB/CYOgavkJE2h8aY4r0QTZEFwtwSJ1nyVnCQfGaHmorEpSYMaKxAkGjf4Ban0ptKiELyvRJIewSV2KdPmt8Mm8FW/oqwJfoMt08AF3RelRn33MNRadFrrYpZijGudNh4fTUYnSeFrpY58leUn/igNtflb4/w4Go+OEz1/i3vVaYnLFFeTgmoKHL3edZogD4JTwuq0X6+O2PLsb+vNNltp8no92usXi820j6r36k20D6qPzX+fnG7BfVJ9WH1qPn5hv+d/m9987l3f15FXvecy0rqkkTTeSOdVcIIsCJ6YoODATTZBJiLaLQxirV1UNiWpUGMIgkgU6zDIM2fuuiXJpTcBl+dBDgg4SXoEX9mlgJtfHpvANwGLsia4DbaAAxd0X5Qa9eXDUGsRcK2LWYoxtgquSZh1W/Hr3jqby3Q3uSI8c5neBVf8cuEiy5awiurPs+LXZdF1rkUVzqL/Ugp+uWbSJDNhTGSPtT+tPjOyu/q9EeofVO9XH9TjOz6u/jg7/rZ//nsXiw0uC2RtF0GlAlW/XIDIQi68+ISrfrkQKTVRGIDm3wqUdkHc4kLsqerXOHjn6m+zcSMjZ6dVv2ywyNBJq/pV4aLqV4E3515nQ0aGT5LIXjV1ouKkyIPEae0dNnRknKJX/WY6jXLo6dhl49VEvOhHxJhwbQFrBe0eGy0yMLDzENhZ7LMxI2NFZ0W/bKCdF/0uncQN2EkcsOFSAhznWWh0ECUXtkzRb6NzGLKxIuMcsebXPBZDt2M4ZCG9tOcSwOjXqyqiscTS6/tcQpIHYa8Nm0VfzLmEpJE03kj4jM/FYkOSBWGDkZDxQecSkkx6PpeQpELdGkUQUXkchKmTypYkld6OJUyGHDvLZrZF6RFcJSljaj6WUNFsJ3v2q4v1jihrgtdgpwPggu6LUqO+exhqzccS7YtZijG+vPW/wACyqyqmmgJHr3f9JsiD4JSw+k2y/lfSFBpvivOqNEEWBH9LUGnN9b+SfES0mrv+V5IGNVZgSDRt9QtS6U2nRWGgAZ0mSY/gErvUafE8tMewTpNkTfAbbJ0GLui+KDXqu4eh1qLTWhezFGN8eXvrY6D+VyVUU+Do9a7TBHkQnBJWp/XaWy9pG423zXmFmyALggMmCDdwe02QiYxkA3rrJYlQAweCRhLGKnPnq1uSVHoTbUUQO9lti7IjuMcuNVsyD/MJrNkkWRNcBluzQeu5L8qM+uZhmLVItta1LMUY1xOmB8sQYB/mHu/8BUSZaiCbh+Eq2Z4qgKGh01y4q45DoAK4Ljv9ej6D7b754r3Z+aXdUrF//LqtBp6+O9dd96uvrbqqa3dN9L6/qBe+P/2HehrA7A+sGluW9VZ3vGj+Y4B5oVzrKJx1aNW8LoTPcxFqEkIEuuXNuSpQA0+b/9nrc1PzP/trZv5X/2qv083tZ3l9sW59y+7Nmy+5uG1wuSGrqAhqECqvZQJElkxRRB5YXsuESKk+QgDMjP/RLoBbXIC9FNfqKJjjO6PKuLCRMYlTWwuW1nKxImMSsbRWLUtrFVxay4WMjEskMXsmFyniDHgudtjAFRE4+rlIQq3AslouWk1Ei348jAHXdt223WOjRQYEttYH3cQ+GzIyRFCrasGiWi7O7otq1bKoFnQPB2y4lLDGeRIaXEPJBS1TUtvgFoZspMjgRi2oVWtDt00PWUjrJ2FSHMXHsfZHYTYyGWai/DwNQz8Ow3QSHeWjQs1DCZhNNuTW3IwSKqjVNJZYer1v9AvyIOxkYZPSW8ts8jacTS7qMOK6CuPB9DUX83VJ5hrPHJ/OuVhsSLIg7Ml1kLgJEhHaxQdKLwSJUPcSETTyJChy7WKyJcmkt018lUITWETpEXwfKfFp2cXX851fDe/iS7ImeAy2sgcXdF+UGvXVw1Br2cZvXcxSjHG/F3c4heRVlTaQK8J4ldxFb9sz4SK3R7AK6bJu2zOto3DW6WLbnolQkxAi0J3v/gsmC+R+TAc6jwkQuftC0W/gBj0TImUnAwMwSgPt9DVbXIT97NDHQVy4YG+zYSPDT6c79FysyPBD3KFfjrxT8Mg7NmRkCCIJ1VVLp2GRAAdOO2zgyOhA36FXaRoFMbBDz0WriWjRj4cx4NoC1pkdei5aZERg63jQTeyzISNjRGc79Fyc3e/QL2fdwe7hgA2XEtc4T0KDayi5oGV26BvcwpCNFBncqDv06drQ7RIOWUgv7Q69gnbom6bHOFhi6fW+Qy/Ig7BLhc0/u9yhF2Su8czxmZuLxYYkC8J+WweZmyCRfnfoBYlQtwkxNOI8iHIgERSk0t8WfRZo5aK3LUqP4PxImU/jrq6hNN/VhWfYibImuAy2tAcXdF+UGvXdw1Br2aJvXcxSjHG/W/TaRe6qapr8UoTJKrmL3qJnwkXuj2Al0mXdomdaR+Gs08UWPROhJiFEoKs+qX7n/fNb/+jlsyu7oyyIbGIYa6/61KzAbBlrCWyWol5k24L6kyv2ArcPi0H9SxTOf40C239qrzN/x5vV7F/x0sBlgQ2uBZCbOR2IRCZA5NYNRfyB2/tMiJRtEATA3HgpQNQxAV707j4XNjJydbq7z8WKjFzE3f18ubsPTlm7zoaMjF4kjXvG0jpSwMbYDhs4MrDQd/cTpRNwd5+LVhPRoh8PY8C1Bawzu/tctMiAwE4BGnb3uZCRIaKz3X0uzu539/Pl7j7oHg7YcClhjfMkNLiGkgtaZne/wS0M2UiRwY26u5+vDd0u4ZCF9NLu7mtod7+gscTS6313X5AHYYMLm7p2ubsvyFzjmeOTPheLDUkWhK26DhI3QSL97u4LEqHuMCJoFCooUiAPFGRyGTb3JekRfB8p8WnZ3J/PWlTw4ExR1gSPwVb2DZv7ktSorx6GWsvmfutilmKMF9fozFlbndXjNTrOspGrOmwgm19YPX4BDNLkwkVul2AV06fVl6fDGp/WTXZqZvWVEU537VHA9K3KjnucT3C0UxqnP7ejIe2W/Ww65O16N/+Ri+s6l6vCce1g656LUJMQItAtL8WZ3Yfj+V5t+Ht26ub0nfktkrNhmvdcTDa4TJA7LudXclyAyP0VikKDtuC5ECl7FQiAJpRlmQvgFhdgL1vwaR4op2LcZsNGxhP6FnwUZdAePBssMqDQ9uD1crykhsdLsiEjgwpJip7ZvorNg1G49+DZwJERgr4Hr3VeBKFzi3iXjVYT0aIfD2PAtQWs1T14NlpkRGArddBP7LMhI2MEbQ8e9hE32EA734Rf+ocbsH84YMOlBDbOo9DgG0ouaJlN+Aa/MGQjRYY34ia8eSSGbp9wyEJqoebjUX6UT0787HiU+aoYTfxRkoX+SVZERZaHR3E+d8lgLtiQGXPzQWATXjcNaHKwxNLrexNekgdhIwqbUt6qa8ee1GVidUJ5t3po5xHZLMZOmqxvtp++PUs0Z5Mm37Zb83Uaea/6xptXhP2/Jtu5bX7C4+lrXvVx9b5zkdcljaPxxsFneC4WG5IsCLtuhOwOuu5ekonIRn3orsbclCRC3S1E0IhUkCTOV2RLkklvG/VRVgSRMxveFuVHcJCk9Kh5p17Pxw9qeJakKGuCz2Drf3hF90W5UV8+DLfmrfr21SzFGNeyLYszXZwo5Wcj821RNBn7eXgy9sNQhzrN86jQc0HTq2xzbhBe1THVFDh6vcs2QR4Er4SVbY5h4K/XdRP37W/qEvF6rOSH1cehNxd5X9uzAztx0o4qchlhXdIIGm+E88ozQRYEV9uFPBNkIiTPnF5iU5IINUIgaBSBdh9Lb0kS6U2dZUmQODdFtkXpEdxgl+JsPnNQwwMkRVkTPAZbnIELui9KjfrmYai1aLPWxSzFGC/KKBavac91FE7tfXV+pxfEVq2y7amOIgqhQgomXuSZF1Y+/a7WSHZ+o1FLA2/65vRtI5DuDk7rUF9bCqunSyweVfembwf2eN/ugNWH/WAZBZOpwjHtooyCiVCTECLQzcoo7GQhF84NLk7kkRhBp0FFEkyAyAMwvPxqKJJgQqScJSEAZnFQAMKKCbCXIgkVuI9mttmokbGCXiOhsgiskeCCRQYLYo1EsqyRAEcLXmdDRsYLks48ew6aB7FzO3qHjRvp/eklEolKtAoy58u3y4ariXDRj4ex4NoC1graPTZaZEBgy3DITeyzESMjBK1EAnYRN9hAuy+RSJYlEqB7OGDDpYQ1zpMAu4aSi1mmQqLJLQzZUJHRjVoikawN3S7hkIXUQj06OgrD9KTwVZbmvkrCxB9H5jOtT7I0OU7yKNQzMmCa15D1clM9qERC0Vhi6fW+1y7IYzXwN60OMln8p+qeTfzsbrs/r3a4ZescTAb5sK7uvjv/6sfa7VbXJQlrPGF8RuZisSHJgrBLRsjXwH11QSZC++rONppNSSLU3T0EDZUEWeqMNVuSTPrbWAfzREl2BJdHynda9tXVfCsWHOO4I8qa4DHYgh5az31RZtQXD8OsZVu9dS1LMcbLbfW5rrJCpMdtdee9F1e1bmSbrrLta1s9cp+vXuPiRW6TYJWS8zJC+6V3qz/Nrhb8vPqwen8ul26b73y03Gq3QmpWtDB9va49fVDfN1hfiRdHduv9kS1OfewpexHEI5cZ1rlmUDgzdLHnzkSoSQgR6OZ77jbVuPkSbNINLmDkXgtBzEGb70yAyK0VvEZr2HxnQqTsUiAAqjRInTbc4gLsZfM9SxTYosjFjYwp9O33zDacANvvXLDIoELcftfL7XdwJOB1NmRkXCHJ0bNbV3FSBBGwAc9FjgwFjA34NMtNJHfqjV02XE2Ei35AjAXXFrDObMBz0SKDAl+vg65in40ZGSdoW/Cwm7jBBtr9FrxebsGDLuKADZcS3DjPQpN7KLmohTbhG1zDkA0VGeOom/B6beh2C4cspBZqXhzHaahiXys98dVJfOQXWRj6URgXo+JEh7GekwGTwoYcmZsYQpvwKY0lll7vm/CCPAg7UtjU8o+2st1khrZuq+4xnGWP5rfTN6ev2cvOf2fbE+tr7x9Pf2ort+p7A02ENB+VHzk3UNclraDxVsDnbS4WG5IsCPts+GRu+rPpGy4mL0gyEdmZdzrtTUka1O1BBInE1mU5X5AtSSa97cvH4L68JDuCFyQlQi378ul8Lxcc3rgjyprgL9g6H1rPfVFm1BcPw6xlX751LUsxxrUyC4/TItV67E/yNPHVSIX+aGT+1uQoH+Un47SYqPHN/pWZcxfrqm6ajuQ0BY5e78pMkAfBJ2GV2ed1Vfzr019405+cVkrYOyL86kn9Jz+tN/dnW/t1qf3iUufq4xiqmBC0gcbb4Ly6TJAFwc/idRlcMSHIRESXASd7m5JEqAECQSNJdBpAJROCVHqTZlmgnHn2tig7ghvsUprNJ/xpeFyjKGuCy2BLM2g990WZUd88DLMWada6lqUY41qajU/yeDJWyh+ro9hXUXHkj0fJiR/Gkc7jLNJjPbdKr9LMud96VTfNEXGaAkevd2kmyIPgk/DS7N78Wq/pP1QPreKavl7dme2LheF37X/axXNdkqfG8zyv/BJkQfClBPkF1TgIEhFSX84gsClJhBoDEDR0FMS5c0m2JJn0Jr4irYMQkF+S/Aiurkv5lc9DNjj4bEeUNcFlsOUXvKL7otyoLx+GW4sAa13NUoxxLcBUdJKF2bjws2iSme8NIz9PT2I/G53ExXGqT/TJ5Gb/Aky5THHVwqaZAkevdwEmyIPglbAC7KP5Zthtz44us3dF1IeT88u57tbbZU+mb9lrVWdfrLVZbpVZXZFZDz6Dil0FTaHxpjivRhNkQXC4BI1mrwP5KvDcq/KCJB8ZqeaisSlJgxorECQaSlsFifSn08JAAQeYkvQIDrFLmTYflaXhuWeirAlegy/ToAXdF6VGffMw1FpUWutilmKMbWfRYBbWe2woKlwkr6bNd/hnqyT7ayhybthd4+JddRmXtKFIPd1QlMINRVwzKJwZOmgo4iLUJIQIdMtZaHmQDLwiiOyH5ObNl2DzbnDBI+vICaIO2HjjAkQWjRNUGthcxIW4GgvO2VzkBLfFBddLY1EIlOBvs1EjIwu9rSi32zrutiI2WGRoobUVpcvJZyk8+YwNGRldSGIU+1TssFEjgwG9pQiCusuGqolQ0Q+Gsd7aAtYK2j02WmQYOIdKD41Ecgq6fTZoZGig9RPB/uEGG2jn/URL33AD9g0HbLiUeMZ5GKCXreQiluklgmAO2TCRQY3YR2QehqHbHxyykFqouMpWSwbMBRsyYm4+CPQRpRGNJZZe3zvykjwIG1DYjFKoj0jSChpvBXy65mKxIcmCsK2Gz9vAPiJJJiLb8O5qVUka1M1ABAkgCRQk0dsWPNhCJMqO4ABJSU/zDnw6n4CVwvPMRFkTXAVb24MtRKLMqO8chlnzBnz7WpZijC9vC1EBtBDNDxEJpsDR612UCfIg+CSsKBNpIZK0gcbb4LySTJAFwc/iJRnYQiTJRESSQS1EkkSoAQJBAxBlgiR6E2Vg85AoO4ID7FKUzUdfpfAcM1HWBGfBFmVg85AoM+o7h2HWIspa17IUY3x5m4cKoHkoTaimwNHrXZQJ8iD4JLwoYzYPSfLUeJ7nFV6CLAi+lCC8oBoGQSJCussZBDYliVBjAIIGoLsESfSmuxr6hkT5Ebxcl8ormUdrcBDRjihrgrdgK6+GviFRbtT3DsOtRXu1rmYpxvjy9g0VQN/Q/OoJgilw9HrXXoI8CF4Jq70k+4YkTaHxpjivPBNkQXC4BHnW3DckyUdGpblobErSoMYKBAlAowmS6E+jgT1DovQIzrBLiTYfYJPCw4hEWRM8Bl+igT1DotSobx2GWotCa13MUozxvGfI/Pg+e4Yi57peTXUjy3yVZX9NQ8qF9xoX76rPuKRNQ2l02jOUN/QMMa2gcFboomeIiVCTECLQLXuG0oGX2o6hzPwviAdebn+T288K20bk3Nja4NJAlo0TpB2088YEiCwRJ2g1uHuICZFSbY0AmMVJkLkAbnEB9tJBFIVpFuTOU+JtNnBkqKE3ERVxDDYRccEiQw2xiWg5myiFZxOxISOjDUmdnnmesziPVZA5i4V32NCRIYLeSZSmWawjQF/usvFqIl70I2JMuLaAtYJ2j40WGRfOIeBBb7HPBo2MFbR2IthT3GAD7b6daDmeCPYSB2y4lADHeRgaPUTJhS3TU9ToHYZsrMhAR20s0mtDt2c4ZCG1UHH1rpYMmDA2pM3spBHqLEppNLH8et+zF+RB2KbCpp1SnUWCVtB4K+CTOheLDUkWhM03fE4HdxYJMhHZqAeKWAVpULcMESS0nZjofEG2JJn0tlsPtxdJsiN4QVI61LJZP59qk8ITikRZE/wFW+vD7UWSzKgvHoZZy15961qWYowvb3uRkWbOHcGrafNIAIctcPx6l2aCPAhOCSvNZPqLBG2g8TY4rzATZEFwtHhhBvcXCTIREWZgf5EgEWqEQNDIVWrHR7qobElS6U2bwV1GkuwIbrBLbTYfa5PCI4pEWRNcBlubwV1Gksyobx6GWYs2a13LUozx5e0yMtoscdniato8LcBhCxy/3rWZIA+CU8JrM26bkSBPjed5Xv0lyILgTAn6Cyp2ECQiJL+AElZBItQggKCRFWkQArUTgkx6U19NvUaS/Aiurkv9NZ9qk8IzikRZE1wGW3819RpJcqO+fBhuLQqsdTVLMcaXt9fIFjK7bHE1Lai2wPHrXYEJ8iC4JawCE202EjSFxpvivCJNkAXB4xJEWkuzkSAfGa3morEpSYMaLBAkGopcBYn0J9TghiNJegSH2KVOm8+1SeEhRaKsCV6Dr9PghiNJatQ3D0OtRaa1LmYpxtjqtCb51XGjkbtiLGu6cbsI1Sq7i2404uJd9RV/3o1GXCsonBU6aDTiItQkhAh0y0ajKBqY/4LIziXKwblEXNyrXlmss4gLEFktThBmYGcRF+Kq+z9nZ1FcQHVjXID9dBZFSQLJKTZwZGzptLOIDRYZW2idRdlyPFEGjydiQ0aGF5IMXTW1QaHTNEidgXGHDR0ZE+idRXGWxkkUxO7OIjZeTcSLfkSMCdcWsFbQ7rHRIuMCX6lbb5EULtD7bNDIWNFZZxEbaOedRUsvcQP2EgdsuJQAx3kYag+RBO4emJILW6azqNE7DNlYkYGO2FlkHouh2zMcspBaqHmax0fZceaPkyz0VTo58YsjNfaTIgmLk2I0SibzxxvMEBvyY3aWCHQWZRGNJpZf3xv0kjwI+1HYPPPX09emb9Zb9DZztKUS1fvVb01O82n1iW8yTPOL+c175rMv6q15F+d1Sc4azxmfs7lYbEiyIOypETI4qFxVkonIHnwYxFq7qGxKUqHuBiKIZKnRSs7S2y1JJj1uxIOTbUX5ETwfKQVq3onP5gNuMnhYkShrgtfg63twRfdFuVFfPgy35q349tUsxRhf4oqJCOgnymKqLXD8ehdkgjwIbgkryCQrJiRNofGmOK9OE2RB8LgEndZcMSHJR0StuSsmJGlQgwWCRMPmvSCRHoUauMUvSY/gELvUafOZNxk8v0iUNcFrnEOnQRUTotSobx6GWotMa13MUozxJW4tioDWoiyh2gLHr3eZJsiD4JWwMo3dWiTJU+N5nleDCbIgeFOCBoOqHQSJyIgvoLVIkgg1CCBoJHERaEB/CTLpT3/BrUWi/AiurksBNh98k8FjjERZE1wGX4DBrUWi3KgvH4ZbiwJrXc1SjPElvngHqBi9mimqLXD8eldggjwIbgmvwAQu3pG0gcbb4LzqTJAFwdUS1Bl4kinIREieOU//NiWJUCMEgkaSplkUhE6HtyXJpTeBBt68I8qO4Ae7lGfzqTcZPMJIlDXBZ7DlGXjzjigz6quHYdYizlrXshRjfIkvrI4C7bLF1UxTbYHj17s4E+RBcEpYcSZ0YbWkFTTeCueVZ4IsCK4WL8/AC6slmYjIM0CcCdKgRggEiTgpUrfM3JJk0ps0Ay+sFmVH8IJdSjM9D+fgnJEdUdYEf8GWZuCF1aLMqC8ehlmLNGtdy1KMcc+93s7DlKvziTMQO73K7sJ7vZl4V13Fn3mvN9MKCmeFLnq9mQg1CSEC3azX2zMi9aUMNOgGFy6ylQ+v28BDTyZAZNseXo41tHgzIa56/XO2eDvBbXHB9dLeDRfoc1EjY0m3vd1csMhYQuztTpe93eAwiutsyMhwQlKd2Kdih40a6f7pbd0Q1F02VE2Ein4wjPXWFrBW0O6x0SLDAFuOF1ERFNqFeZ+NGRkZumvo5gLtvqE7XTZ0g67hgA2XEs44zwL0rpVcxDK93BDMIRsmMqZR27jTtaHbHRyykF7e/fYYauNuuvXfQRPLr/f9dkEehJ0mbAoptd8uaAWNtwI+QXOx2JBkQdg/w+dt8H67IJM+99sFaVC3/RAkgCRQkMQl2GqXZEdwgKSkp3F71lCab8/C84dEWRNcBVvbw1vtksyo7xyGWeNa7revZSnGuFZloyhSqVaFn0ZH2lcqz/yxPsr8k3F2HB5HuU7TC2gSiqFe7qZJAE5b4Pj1rsoEeRCcElaVnatENXK/yeuSNtB4G5xXkwmyIDhavCaDS1QFmYhoMrBEVZAINUIgaACqTJBEb6osDSLnZf7bouwIDrBLVTafY5PBU4lEWROcBVuVQeu5L8qM+s5hmLWosta1LMUY16rsSEdpnkSZr8eT2FeTYmQUXK796CQsdHY0ikfj+Xr3q8oSly2uZgXVFjh+vasyQR4Ep4RXZa2t28rFc12Sp8bzPK/yEmRBcKYE5QVVMQgSERJezj3zTUki1CCAoAEIL0ESvQmvKIyCwvnyb4vyI3i5LqXXfDZNBg8aEmVN8BZs6QWv6L4oN+p7h+HWIr5aV7MUY3yJrzeMga7tPKTaAsevb/ElyYPglrDiS/J6Q0lTaLwpzqnPJFkQPC5BnzVfbyjJR0amuWhsStKgBgsECbdIkyTRo0iDrjYUpUdwhh1qtDycRfUcnBayI8qa4DHOodGgqw1FqVHfOgy1ZonWvpilGOOeG4TcO1551MguXWV30Q1CXLyrvuLPu0GIawWFs0IHDUJchJqEEIFuOQxSBWrg6XoYJGzZDS7uVa8s1inEBYisByeIMrBTiAtx1f2LdApxwV1spxAbNTKodNopxAaLDCq0TqE8WnQK5eCYietsyMi4QtKf2Kdih40aGQc67BRiQ9VEqOgHw1hvbQFrBe0eGy0yDJxDmCcRdOclGzQyNHTWKsQG2nmr0NI33IB9wwEbLiWecR4GsFWIi7jnViE2TGRQI7YKmYdh6PYHhyykl3cHPgFahfKYRhPLr/cdeEEehE0nbDIpugMvaAqNNwU+X3Ox2JBkQdhPI2RvLTvwgnz63IEXpEHdC0SQABJCQRKXYQdekh7BGZIyoJYd+Pk8mhweLiTKmuAxziH0wR14SWrUtw5DrWUHvnUxSzHGl7hCNQH6hvKEagscv94lmiAPglfCSjR2haokT43neV79JciC4E0J+gvaPRckIiO8gApVSSLUIICgAUgvQRI9Si+wQlWUH8HLdam95pNocniukChrgrc4h/YCK1RFuVHfOwy3FvHVupqlGONL3LSdAO1BuaLaAsevd/ElyIPglvDiS6BpW9IGGm+D8wozQRYEV0sQZlDTtiQTIWXmbtqWJEKNEAgagDITJNGbMgObtkXZERxgl7psPoQmhwcKibImOAu2LgObtkWZUd85DLMWVda6lqUY40t8wWEC9Q1pqi1w/HpXZYI8CE4Jq8qELjiUtILGW+G8ukyQBcHV4nUZeMGhJBMRXQaoMkEa1AiBIAGoMkESvaky8IJDUXYEB9ilKpvPn8nhWUKirAmugq3KwAsORZlR3zkMsxZV1rqWpRjjnluFAJ2VNrLLVtldeKsQE++qq/izaBXy4F4hphkUzgxd9AoxEWoSQgS66r3qs+rT6jPPfPJ7sywfVO9XH8y2Eas/+uYLX9R//vvAq26ZhXhohO5yu/HpNb3t1TuWb9frd98o4GfWc/qOWTaznk/MMr5uvvylrfjz6gnoA8+KafODf27+2rf1Wqe6XtrAZbkNruVW44JctxITILIkHa8KG7qVmBAp1d0YgFEaaOexwxYXYS8tS1GYp4FyeuBtNnBkfKN3LUVhpMC2JS5aZIAjti0tBxzl8IAjNmRkjCNJ4TO2jtM0jIO5KDqje7nQkXGJ3rtk/t0oNWLC6cl22Xg1ES/6ETEmXFvAWkG7x0aLjAzsbKHBXeyzQSOjRXcNTFyg3TcwLWcdwV7igA2XEuJYD0OThyi5sGW6mKIwUyoMUuf7NmRjRUY6aitTujZ0e4ZDFtLLeyigoFam5lkDZ2hi+fV+KCDIg7Anhk12pQ4FBK2g8VbAZ5IuFhuSLAg7ffisDj4UEGTS56GAIA3qBiWCRJHEQeyUTluSTPo8GXCy2xZlR/CCpHSocTfZUJrvJsOjj0RZE/wFW+tD67kvyoz64mGYNa7lfvtalmKMa2kWHqdFqvXYn+Rp4quRCv3RyPytyVE+yk/GaTFR45sXIM2AFqbmgQMOW+D49S7NBHkQnBJWmp2rijZ2Z8LrkjbQeBucV5gJsiA4Wrwwg6toBZmICDOwilaQCDVCYGgkaaKAi3m2JLn0Js4yUJxJsiP4wS7F2XxqTg5PQBJlTfAZbHEGree+KDPqq4dh1iLOWteyFGNci7PxSR5Pxkr5Y3UU+yoqjvzxKDnxwzjSeZxFeqwvoMVJQS1OBdUWOH69izNBHgSnhBdnrf3l2sVzXZKnxvM8rwATZEFwpgQBBtU7CBIR0l9OzbIpSYQaBDA04jyIcqB8QpBKb/Ir0lmQAnWzkvwIvq5LATafnJPDc5BEWRN8BluAwSu6L8qN+vZhuLVIsNbVLMUYX+JbGBXQz1SEVFvg+PUtwSR5ENwSVoJJ3sIoaQqNN8U5VZokC4LHJai05lsYJfnIiDUXjU1JGtRggSEBF7pKMulPqYWBdu5pbovSI3jEDoVaMZ+fU8DDkERZE9wGX6hBC7ovSo366mGoNeu09sUsxRj33OGkXeyuFlEju3yV3UV3OHHxrvqKP/MOJ64ZFM4MHXQ4cRFqEkIEukvZ4ZQ3dDhxLYesYydoSWDHjwsQWbNOEIdghxMX4moEOm+Hk/m3AqVdELe4EPtpcYp0EoSApuMCRwa4bluc2GiREY7W4lQsJzMV8GQmNmRkkCOJ4TMVblFW5CoMwsKFfYeNHRmZGD1ORZSa/wWJ8/nYZQPWRMDoh8TYcG0BawXtHhstMjjwMwbYYeyzQSMDRmdNTmygnTc5Lf3EDdhPHLDhUqIc52Fo9hElF7dQl1Om4qJQQeF8JoZssMhoR2xzMg/G0O0bDllILdQ8zeOj7Djzx0kW+iqdnPjFkRr7SZGExUkxGiWT+QMO5qoNmTo7XwXanIqYRhPLr/ezAkEehJ0xbMb76+lr0zfr0wKb89Tp0PvVb03y9Gn1iW9yXfOL+c175rMv6lMCF+d1Sc4azxmfPLpYbEiyIOzuERI5qHZWkonIcUAYxFq7qGxKUqHuSyKIqNyokNRJZUuSSo9nAhHQObwtyo/g+kh5UMuhwHykTwHPZxJlTXAbfIkPrui+KDfq24fh1nIq0LqapRjjS1y9oYHupiKh2gLHr3dFJsiD4Jawiky0ekPQFBpvivMKNUEWBI9LEGot1RuCfETkGlC9IUiDGiwwJJo28QWp9CjVwPINSXoEl9ilUpvP/yngaU6irAl+4xxKDSzfkKRGffcw1FqEWutilmKML3GnkwY6neYTvgi2wPHrXagJ8iB4JaxQY3c6SfLUeJ7nVWGCLAjelKDCoLoHQSIy8gvodJIkQg0CCBpxmBWBKpzvyJYkl/4UGNzqJMqP4Oy6lGDzYT8FPLhJlDXBafAlGNzqJMqN+vphuLVosNbVLMUYX+KrgDTU6qSptsDx612DCfIguCW8BhO4CkjSBhpvg/PqM0EWBFdL0GfgcaYgEyGB5kzTNyWJUCMEgkacRAYZUP61JUmmN4UG3gUkyo7gCLvUZ/OxPwU8wkmUNcFpsPUZeBeQKDPqu4dh1qLOWteyFGN8ie/Q1oF22eJqkVJtgePXuzoT5EFwSlh1JnSHtqQVNN4K59VngiwIrhavz8A7tCWZiOgzQJ0J0qBGCASJSEdxEjjfkC1JKr1pM/ASbVF2BDfYpTZL5/EcnH2yI8qa4DDY2gy8RFuUGfXNwzBr0Wata1mKMe65+dzpfa4WzVeEF6vsLrz5nIl31VX8uTefM82gcGboovmciVCTECLQVZ9Uv/P++a1/9PKZiaPMPl2xeQm96lNjfVul93DWTfGw3oW0W5L3pz+54lUfVR8Wg/qXKJz/Gi171I0i/sJo5idXPOM7Uvcx3wbXCqs+Xq6RnAkQ2ReI13kNjeRMiKvR5JyN5LFWQQpsrzER9tNH3jAqkw0cGas67iPnokUGK2IfebbsIwcncFxnQ0bGK5KsPfNEZ2laKEDp7bChI2MMvY081nmsdKCdnmyXjVcT8aIfEWPCtQWsFbR7bLTIyMBW/k2jMtmgkdGiuy5yLtDuu8izZRc56CUO2HApIY7zMDR6iJILW6aJPE5UbmJH4cxzhmysyEhH7SHP1oZuz3DIQnp5t/kBZXy1yGk0sfx63+YX5EHY38ImrlLb/IJW0Hgr4LNCF4sNSRaEXTt8Vgdv8wsy6XObX5AGdbMRQSIOkwzQTluSVC7BNr8kO4IbJOVDLdv88xE+BTyOSZQ1wWGwxT68zS/JjPrmYZi1bPO3rmUpxvgSF8imUDd5QbUFjl/v2kyQB8EpYbWZTIGsoA003gbnVWaCLAiOFq/M4AJZQSYiygwskBUkQo0QCBpxkRVZoIEaDEEuvYkzuD5Wkh3BD3YpzubDfQp4VJMoa4LPYIszuD5Wkhn11cMwaxFnrWtZijG+xB3kKdBBHoXN0xAcxsAR7FudiRIhuCW8PGP2kIsS1Xii59RgojQIDpUgwoCiB1EmQiLMuYu+KcqEGgoQPOI8DCLlrqIQ5dKbCmvoI5clSPB4HQqxKJyP75l/4iK+I0uc4DrYWqyhl1yWHPUdxJBrlmOYFS3lSF/iyxdToJ/cwKMaA0ewf0UmSITgn7CKTPL6RVFbaLwtzi3aBGkQPC9BtDVfwChKSEa7uXhsivKgRg0Ei4byV1Eq/Qk38ApGWX4Ev9ipbosWUR6cbrIjS5zgPfi6DbyGUZYb9QXEcGuTbe0LWsqRNv/313//lF4BddmPJ0evvvjySw5DsGSZ+wAzCuMGnvlZnlBbE4yWIrZOO5uccK+x4a4+Zg3GRUqqX1f3q7u1lrLzFW2fy7vTn1T3p+/WIxTvmeD80B5Hfl3dmb5ZNy6d/bY3l994rx7TeM/F2eir+MoWm/gZrwkzP5/TLA93njN+MBmYD5n9UJgPUQT5Sy4dRacDFsY6OexaDruWw67lsAtx2OVz0HQO+IJZQ2HPUtizFPYshT2Iwh6fAv594nttS6W0VEpLpbRUSohKyaZypsa6hQrtaRpa/EOLf2jxDyH8Qz5+fNwgll4b+IcW/qGFf2jhH0LwD3nw60dpBt/Gk79qCoddNvnGQKm1YdvEIorARcCBZYbChnDIxLsaFASafOu5wo+q2zbq1VsNdevuV+6oWd33pq971ZP6Tx7UAfH+vAH4vt2c8KY/sz+0uuNuEa5/9MP5Hkf9G/PT6zZj8zX74x7Xf/th/cO/rW7Pu43veLHtLDZfnr7rsu86276rUUque5gNUZMgIuDNmnyn73jZwMuCyH6IB14++5AMvMJ+rXCf1W6waSC7vAi7KuBRGBMhsqWLsE0CNgCzMa6G83N2ACtlfK1zobfYEHtpAU5jHcTaBXybDxwZyegtwEkMdgDz0SJDGa0F2MBZ9ABbRQE1AfNRIwMaKcU52+OnC/Ngu7dJdvjYkcGiPZ854yjssNgwKJwObZcPWBMBo58Ta8S1JbCz2QoXMDJIsDfPYLexzweNjBu0VmDYZdzgI+28F/jUXdxocBcHfMSUeMd5IBpdRcnGLdMP3OgmhnywyLhHzErts7EEdTYN5YCtdWQe6+joOPP18ZH2VXRS+Hk6qrdwkywvimycHM/4gBnqD0fdHqTbvA/KUxWNJpafK5dtoEXJZ11ErokSWdUETeuDTHRvmbTzdvVN3X7ymmcS3Pu2Hdj89tvpO9U3P5jnlV+YP327Tktt+vqgTnN/YW9WCp3LuS5qBY23Aj7Xc9HYEKVBOAMj5HpQ74koFZGz8xAQIJuiVKindwgiURSa3BFKHgW59HZ+HluGUOGjJEGCQyQlSm0H6Gpx3grP0JElTnAe7BwAXtV9WXLUdxBDru0EvX1FSznSs8LHJBrH5vv8VE+Ur/Rx6o9PshM/m4wSdRyNVKpPbvav15wa2ug1TbUFjl//ek2QCME9YfXax9Xt+hTgfn09S6M8q//MaLQY0miCzDWeOV6jafBS1A1RMgRn24lSE6QiotScLmJTlAc1RCBY5HkcpKmLypYolf5UGkhwW5YgwQ12qtL0IqbDk3RkiRMcB1+lgau6L0uO+gpiyLWptPYVLeVI1yrtpNB6khwlfqTzsR9Fk9zPw+PCD0Md6tT8/ELP5UuvKs2ZXRqVllJtgePXv0oTJEJwT1iV9lR3CnQBfN1T/Fr1ZPqu+YLtLI50CN75Lspf4/njtZqLxoYoDYKzJai0to4UQUIiWi0K5v7xrFwTpEKNFQgiKk2CxH2P6pYol970Wgaca27L0iO4w07VWrqI7fBsHVniBAfCVmvQmu7LUqO+fxhqbVqtfT1LOdJ1T8pgWbZoJViPtbjQnlnT9c55lKyy7akWV7nPZK+x8a56EIFaXERDip3E82ReI3tnvlFmhJhRW3fqK5BPa2ajec1s9Y3LDutsOyicHTqpmWVC1CSICHjLmlmToZkXP1sWzUbzytmirpt1sdhgs1j13IIls0yEyNInko4DS2aZGCklRAiEddewc6G32BB7KZmNsiQooHZgLnBkwKGXzKqkgEtmuWiREYdaMpudlszCc3P4qJFxh6RazxaCx0UG5FA7fOjIUMGomI2izDzPWeECvMsHrImA0Y+JNeLaEtgK4D0+YGSMYCt7FSVB6gS9zweNDBu0ilnYY9zgIxWomM1OK2bh+Tl8xJRwx3kgolDb2mT3yKqSjVuoYrbJTQz5YJFhj1wxm60tQa2APeSBtWiPs/FxenJ04o/CJPVVobRfqFHu6yJJwsj4/ehozgfMIxsSa24uCVbMNt1a76CJ5df/3r4gEcJmFjYdvWVSxfuzvf1ZOnmvLqGdtWTeri9tt9dNnSnNeGjrbKdveNX/a6fw1BntbZdB1kUNovEGwSd9Hjbru/nSqUGmb9lSlmfM4c1S+tnF9/UXfzH9pVeE5u9peCLuhqjBCLuClPzSeWD3gigTqfMEJ5VNUSrU/UwMEeNyI2es3hKl0ttxQpJkeaCci7Uty5DghEm5WduJQr7YgYbH+MgSJ/gOdt6Rh0kcaOhQQZId9SXEsGs7VGhf0lKOtK0AaRJ/3R4iQCUdRQO7IgpX2V34IQITL3IzB6vaLv4QgWkHhbNDJ4cITIiaBBEBr/qk+p2tXPZyz6pBL8pMbA7iMNZe9amxur3e9WFdNGPvSKnX81ujyX9yxas+qj40WtP+YvDOfo0Cz4h2u6TvzIXqFc9ZMLfBtgByc4kiEKEDCCZC5E4SSfiBBxBMjJQdGQTCPIWv7GAi7OX8IUmLwN1Xuc0HjoxVHZ8/cNEigxX1/KE4PX8AB85c56NGhiySxj3zcES5ToPU+Vzv8KEjowz9/MG2OeVB7tyq2+Xj1US86KfE2nBtCezs8QMXMDJCsNMAI1qDwgl6nw8aGTQ6PH7gIhU4fihOjx9AZ3HAR0wJdqwHIs5MYqicj0TJhi1z+tDkJIZ8rMiYRz58KNaWoM4ePnDAWrR5WuSjOBr7RXaS++o4NNnoURr7J+FxpuL4JImP9YwPmH82JODcHBQ6fIgaZ4CcpYnl1/vhgyQRwr4XNo09PXw4TV5XMtbHpy0GqPOJ31b/w+Rbn1Z/NMnSp9VntjHhi+o986XfmI+fVV/MvjGKw3D6dmo/RLHTe6+L2lLjbUnIM/+wtOL9+jPbNlvftPms6aa/WFzJWVtwlkeeHmPYI4vXZpdz2v6Ou7bnw2St8yOLgftUw1jr//tlZL7F9oHaMb7uI4ENUasSNigpuStwuCHJpOfDDUkq1H1VBBEVKKVdTLZEmfR2tpFFaRrkQM2eKEOCjyflfS1nG9FiUFfUMHpNlDjBdbCTmiK1RVXOV3Bflh31HcSwaznbQCxpKUfaNkwMZpKlx0YJ5WJp1GXUwDKP1CrL3s44nI/iNTZe5IYRVhx2eMZxqx7g8Xj+9fuzK0fqH/0QfeLBtYrCWaWLEw8uRE2CiIA3O5ewt4zbGhlYlv5pftxhF/Ereyf9k2cXaray9aoaKTp90+rXOl147iml/0n1QfWh+fWj6v9xupkNtl2Qu1wULQmcg3ARIre0SBoROgfhYqRsDSEQqjRIgcIWLsJezkGyJA9S5zbLNh84Mp7Rz0FiDfV2fo+PFhnQiOcgUbQ8B4nAgWHX+aiRYY2kh89sGSqVZEEGnIOwoSNjD/0cJIqK3Cgfp+DZ5ePVRLzop8TacG0J7Mw5CBswMkKwUwbYaezzQSODBu0cBHYYN/hIuz8HWTqLGw3O4oCPmBLsOA9Ek6Mo2bBlzkGanMSQjxUZ86jnIObJWII6cw7CAluLn3EYjU6OQ3+kjo9NvqpO/FxNJn6i0pOjbHx8fDKeR0UwR21I1rl5KngOEtNoYvn1fw4iSISwR4ZNdZdNAyahvfvs7Ur23vIzedHTCWw9Cfzsnrz3z6/92lO6bUN+XdRUGm8qfHLporEhSoOwOUjJBaFzBUEmIucKYQCMe9gU5ULd1EQwUUEeQrmlIJMeDxayCKiu35ZlSHCapESq7WAhXuxCxw0HC5LECb6DnyXAy7ovy476DmLYtR0stC9pKUd6OR18/kCDqq3j6eBO/2oEW9LIU6/yhI4Wup4ODp0sMOGuPmbnnw7unIhq1dUDI8LeqdXVu0+dI7joGOmUXNlic+p58Ld55nei2H5I7AcV2g+p/WDngOvYfrBjwVP7WWo/y+y3ZPa3mf1tbj/L7WeF/awwn8Uh6FK5RlF0o9AGPu9aS+xaS+xaS+xaS+xaS+xaS+xaS+xaS+xaS+xaS+xaS+xaS+xaS+xaS+xaS+xaS+xaS+xCltjlW0LTLYHPdush5MYQe9YQe9YQe9YQe9YQe9YQe9YQe9YQe9YQe9YQe9YQe9YQe9YQe9YQe9YQe9YQe9YQe5Ah9viGwL/8/BAzG2VuDFJag5TWIKU1SGkNUlqDlNYgpTVIaQ1SWoOU1iClNUhpDVJag5TWIKU1SGkNUkIGKdkGkR6IbqwwtFYYWisMrRWG1gpDa4WhtcLQWmForTC0VhhaKwytFYbWCkNrhaG1wtBaYWitMISsMORbAR9wiTtB9Vh1Y4RDa4RDa4RDa4RDa4RDa4RDa4RDa4RDa4RDa4RDa4RDa4RDa4RDa4RDa4RDa4RDa4RDyAiHPCPUL8fNpfjorc7B/voDFw8jR7SbR6R0HEape8j8QLjSocbtwnuNjRd5JCQhRm4vB7Hfq+7WBZyvnR6rL+o6H1df1XtJs3Hrd+rz9W9mP+GOrQKd13rWu0jzAoj6PP7BvET00ewnzOa7z3aVZn9/doT/YD4O/uv6NN7uQ83+gcUQeJex19nGXpUEkgUUTIiaBBEBb3kDyemdI3mQeC7UG2zUyMMrypaWc/PkBTZC5EkVfquqqbyBiZFy4oNAmCfA6c4WG2Ev5Q06y4IcKm/gAkeGMXp5Q9TU58mGiwxjTfUNBKDX+UCR8YuUd57ZS82TPIVLGrjQkdGgPTs8Y+k4VHkWKKC3kw1YEwFjhaoL5h4fJjIY8PcoQ3sjkQv0Ph80Mj7QKhkaXrkbfKjnLGUggDzgg6TEMs5DoPM8iwLlhF2yYQtVLzT5gyEfLDKmkZJWF8RDHsQaYzEaF2GY+HqsEl8Vo8zPx6PYz1Waxnmo1XE2mbEAE84fjrotWpj9CqWdwBWZEFEsQ1dq2kCMkp66iFwTJUI4gcPmrR/a+2qeTgwfT386q1iY5ZR/qNPHt+xdNu6ihse2NP+D6kN/tUvTZZ51UfNovHkIadzSQndtewKcYN/21jcONsqtobe+4xkdacwXa8/3stk1kTdfigbJU6UcsWfbXr2o/lOvTvIfTn9uezxNyjhrY5i+O/tb9i99N6s/5skgS6o7QfXoL70sjQaFgqZ2boiamnAkSsg9wQGkklRE6imAKcWbokyoJ7kIHjqMg8TZxbglSqW3coooBq5k2pblR3DlpBSurZgiW5y8gxeY78gSJ3gOdqISF4FNMs9y25flRn0BMdzaSinaF7SUIz27pHxypPNslPvpiZr4anQy9sfH5kMxSrMwyo9GWXx0s3+pGYNSE7gQBbYGjmH/UlOQCME/4aXmQjjdNxrzntE4D2aXgpyeSdz2zHfZI5KHs3bB6vHiVpB6NmmtOevfl5tFlIRhuDv7rfn0u/a/HJ5XKmksjTcWXni6aGyI0iC4ZoKoAw8UBJkIaTr3fIdNUSrUmIIgkheBLpz7eFuiVHoTdUplgXIS3JYlSPCanaq6YiECwHvhdmSJE1wHW9XBq7ovS476CmLItcm69hUt5UjPdhC1nsTjifaLo3Hkq7G26u84NmIwUVGcR0d5Md8Q71XWJZCsi4H+rgaRi2LYu6yTJEJwUFhZ97unKkiMfvun6l71da307tvRMp9vJEnd3hQlXn1Tmb3+wW4lvuEivy5KXuPJn1emSdIg+FqCTAP33iSpiOi0MIi1i8qmKBVqkEAQicOgcG9ObYlS6U+nmYCuXPy2ZfkRvGCXMi2O5kE9BtvWd2SJE1wHW6ZFSgEX5+7LkqO+gRhyLTINsaKlHOlapqUneZjapqeTODzx1VFa+PlxUfhHk4kK0+RkFKq5l+1VpilQpiVUa+AY9i/TBIkQHBRWpv16pZr4tmd/W92fVxO/vrhVdnau+1H1Xn2e+0H1sfnvk/ku3PV9X0de9Z7LIOuiBtF4g5xbugnSIPjfTqSbIBUh6TYveDkr3QSpUAMHgkgUBzp1MdkSZdKbcsvzIAd60EX5ERxjp8otWcT5pEG5SRIneA62cgMXdV+WG/X9w3BrE27tC1rKkZ5fbWvlSo8tX+CB6DxdBnhm4SrP3lq+nCdH19h4V53Hv5iWr/pvPZnf/f/Y/OhH87EK8ytZ4ZK1phYwW/H22IuAA7x19jIo3DJ00QzGhahJEBHwls1g6cBLbT9YPZA6qqdSu6BvsKEjmwAI8hI6wOUiXFWOkh1hXIyUKnoMQvOPBc7Oqi02xF5awqJMpUEGHKWykSPjHL0nLFZxDPaEseEi4xylJ6wB6HU+UGSAIynjs5vSRZFkYZBpF/gdPnhkWKB3hcVFFIXm/XNr210+Yk1EfJ5WkD0+TGREYKcNkY4VeMMtGzUyStD6whpeuxt8qB33hTWAPOCDpEQ01lOQJ7F9ENyFRSUbuExnWLNPGPLRIkNbB61hLIgW43iSpePsJPSP8zjyVRwl/igca/9YHRfjMM+j/GTOAkxMGzJ0dnIKtobFjdXLZ4liGfZ/YiBIhLAxhs1vb612hNlEsu6FWhTldt0cJmkgjTcQIa07b3NY2k1zWFp/tFnGoDCfzvrDjExTgzyGG8QkzU3YrySkovBJhyAVkZMOsEFMkgl1oxXBI4ujyD00a0uUSm8nHQ0NYqL8CA6dlM+1nXQs+onihgYxUeIEz8FOWRoaxES5UV9ADLe2k472BS3lSM9KVMIsHydF7MfJ6MhXJyPt5zodmb91VORH2SQZnaib/QtO+Dyksa7aZQ0cw/4FpyARgn/CCk5Ug9j+i5NXXxnZX176r6O5EDXfaQ9I3qiHCprfLFrFqo/row0jS087x75XhEUYhQehSf/+7XA/rAWXEVuzg5r6MMb+m/X3pmH43bS5rUzSxBpvYrxk/d7GwdWdq97O1YOr3//+1sCrD30e1jL2QS3j371iRLsV83Pz2ZMqO9ti4M2mSNe/e7N6eMV7/vk0jM3/HwyMFH365OmKly5ncxeQ7TZEbUeIIgT9CR6FCDLpWX4KMqFGPwwPpYwjBy4okOTSn/40WVzgHpW9LcuQ4OE7VaCL1qe4oZlNlDjBd7AVaBTmSaChTXNJdtS3EMOuTYO2L2kpR7rWoEdxkcR26PRxkZjvVbHy8zgM/Uk0LopxFqXm22/2r0HBbraksWjcZQ0cw941qCQRgofCalBkN1uovJnONH/+Zf2ntirnafHpssa6qDU03hp4ueiisSFKg+B9CcoN3DmUpCIi3eD2Nkkq1KiBIJKEYaDcZQRbolx6027KrFXm4rcty4/gF7tUbsmiGypp</t>
  </si>
  <si>
    <t>6G8TJU7wHXzl1tDfJkqO+gpiyLUIN8SKlnKkL29/Wwz3t80PCwjWwDHsX7gJEiE4KKxwk+9vkzSIxhvk3NpNkAbB/3ai3QSpCGk3qL9Nkgo1cCCIRLmRNrmTy5Yol960W0OHmyg/gmvsVLstGqKShg43UeIE38HWbg0dbqLcqG8ghlubdGtf0FKOdD1jdbBULFaR9djplrjYGmmm3GxnI9riM2x76nOLodFmXLyrLqTXPrdZS5q9v/Pb+iv3jAx7VN12MVxnM1Q4hrQWsupXtr5x+svpT2enzrYv7ud232/6plf9xvzpLReJ59kkNIkEhsCiySwy2VoETMzbYONF9hEQhB10nMpFuKrZJDvLuBgpdfgIhCrNg9hpxi02xH46y7Qqgsh5R8I2HzkyrtA7y1QEN5ax0SIDS1Nj2RkVYI23NhMBFhkU+6/zUSPDC0mdni0r1YnKgsxp8R0+dmTgoDeZRUVchGmQKhfgXT5gTQSMfk6sEdeWwFYA7/EBI6MEW8JHaRgCfmOfjxoZOWjdZrDPuMFHes5mszPPwf6pv7jR4C8O+IgpEY/zRGSqiOM0KJxRsGTjlmk8a/QTQz5YZOAj9Z39pTXe2hLUCthDHtj6kRglkyTW2tfjUeqrYpL54/FR7sdZMYnGUZwXo7nxwYSxIYPmJo1uvWzSRk2jieXX/46+IBHCthU271ztrcLmlIIsNZ4lPm1z0dgQpUHYaiNkc/A2vSAVoW165w7SpigT6h4hgkekwkClTq20Jcqlt136OA4BibUtS5Dg70iJUNs2vV7s6uqGbXpJ4gTfwdb48Kruy5KjvoMYcm379O0rWsqRnpVYqOMsO5ok/tj8MF+lOvbN3x7bsV/H0TgdHef66Gb/csyp540cS6m2wPHrX44JEiG4J6wcO1tgsei+ctZZzPbQ7UVyd61q880v982fPpl/133zB9/OvstlnXVR62i8dc4t4wRpEFxxJzJOkIqQjAOrLQSpUGMIgkgWBnHilKRbolR6k3FpDkyU35blR3CTnaq4dBHz0wYVJ0mc4DrYKg5c1H1ZbtQXEMOtTcS1L2gpR7oWcaEKR3l0dOSnkzDx1VEx9guVaD89KdKT8SQ/UcnJzf5FnNNrGREHXDgA2wLHr38RJ0iE4J2wIu7z+d3Dp3c6TX9mPnlz+hq8zeY9t/ijx9WX0/9eN4q/Mbsg+PPqw+r978x14HD0yt9MXn11ObC17V+q1eDjeUv5ndPbis8CqP5UX5T8xuI75nDu2p7/+paA2ddr8XnXfH+NIM/iwtkYvC66aBq/aOfWloI0CAGCoC1tkdBXgee+EOAFUUIiCtN5YrApyoMa3RAs6hoSF5MtUSa9qcuGLUJJegT33am4XFz4kzTc4CRKnOA72OJSR/AOoSQ36uuH4dYmLtsXtJQjXYvLLD6Jj9Mi99NxpHyVF4n53pOJH6bHuTqeFOHxolClV3GpXLYw4jKn2gLHr39xKUiE4J2w4vKjZ4UbVjeq2S2XcxG5cfX67LO9H7704o9/9PIrr/7Yu7o+3Nrb9Q5U6FCa/lJwPqMmZ31eK1pyKT1/Nrv2yN6m+ZP53VH1EA7XOqyLroPGrwNeL+KMsaB+xRpvfm2Bvcppdv2TLeSe798uJ5VcWZh+4FXvPXsZ1MtPLdfRqy++/FK9XP/hlcl/GTxzgWl1+8p8xf+N/afsIf/t6et2Dsmt6n2D5MPq4/p61OpXsflHfpOYD1/Yzz6rbsVmrWd/1bVMG6LLRIhpBD0MFkALMpERwu7imU1RJtRYjOGRp0EEaWFBKr1p4cjAheWwJENCwOlUDucL9ZQ3yGFJ4gTXwZbDDcu6L8uO+hJi2LUJ4vYlLeVI14I4H4U6ynLtJ1pndmdW+4X9cHSUHOlYhUfpaG6YXgWxdtnCCGLgai3YFjh+/QtiQSIE/9SnIH7qOtMGWbx5sPHvO9fGrjVYF10DjV+DfxXDLWJYcJkIEa0LMSzIpGcxLMiEGocRPJI4DwqwuVCQyyVRw5IMCdGmUzW8uIkzabhcVZQ4wXcIqWFJdtS3EMOuTQ23L2kpR9rK4SaV2+3FDsrF7mo0LzNxszP/rbK76IsduHhXncblvdiBy1DhGPZzsQOXhCaRwBCwM7M+rT4zOrP6vZGnH1TvVx/UuvDj6o+z2Vr2z38feLMrIJaLdsWLgEsguNxW3bfcJRBchMhWXoqcAy+B4GJcDRPnvATC/FshcEf8FhtjP7dApHEa5M4nYJuPHBmE6LdAaJ2Ct0Cw0SKjEPEWCBUub4FQIXwLBBs1MhaRxOuZBCTMtIoj4LrVHT54ZJhhXANhRFNoXsbY+ZDs8hFrImL0k2KtuLYEtgJ4jw8YGSj4Gj8r0iAqXKj3+aiRwaO7eyDYSLu/B2LpMW40eIwDPmJK0OM8EQaBTsMsSJwPRckGLnMRRJbleaqBCvkhHywy9lEvgjAPxxLUCthDHthLe4yioIsgFHDRNUQTy6/3YxRJIoSNLWye+i/yGEVyDTR+DfBJKHjYUX3qOu0YPHWi0njw4dGOPVzW3BC1JmHHsou0V5BJv6cdkkyo+6wIHnGYFYEqtIvMliiZHo87UhPgnMu1LcuQEBVIGWPLcYdazK9QDRNJRIkTnAc/FYKXdV+WHfU1xLBrOe5ALGkpR3qmWsdheqKPQl+NwshXRZz44/Q483NdFOFJfjTRF1ANr6D7MlRMtgWKX/+qVZAIwT9hVWt7A+RlbLWcT7V7ptHyqWr5+h8sIq2cD9u66Bpp/BrhVa2LxoYoDUJEIMjJls5KSUIyqtLFY1OUBzWYYVg0HswIculNUuoocI+B2ZblR3DYnQrKeKE+4gZBKUmc4D7YghJc1H1ZbtQ3EMOtTU62L2gpR7qWk0WSJuN4NPKPJ8XYj6LJsfk28yEMdajT/DiOj0c3+5eTicsWRk4mVFvg+PUvJwWJELwTVk7esmLN6Lfb85IVLxnE07ejLAynb8eZ0lAl8LooUY0nem5NJkiD4FQJmgzc4hNk0qsYE+RBDQUYFo1iTJBLb2IMvuhClB7B23WqxRYTzlTDyDpR4gS3wdZiUaKAawz3ZclR30AMuTYx1r6ipRzpy3sXrgILnxXVFjh+/YsxQSIE94QVYz3fhStpHY23zrkVnCANgismKDjwLlxJKiISDr4LV5IKNYYgiMR5Ehin7eKyJcqlNxWXFoF2+vttWX4EP9mpjFOLoA8On9qRJU7wHWwZBy7qviw36huI4dam4toXtJQjfXkHTCnoeoZ5TkqwBY5f/ypOkAjBO2FVHHPAlCRLjWeJV2NLoi+8/Mr4ZU8Xhbfxd6+8/OPRycQr/+5H5lE20jUOPSt3Bt70tboY722rVr1woOsv19V47v2sDVGDEHxzJ7pOkIqQrktcTDZFmVCDCoKHTrNgMebmrKwT5NKbrIvjJHDP4tqWJUjwnJ3qusVgI9UwqkqUOMF3sHVdoqIgdD62+7LkqO8ghlybsGtf0VKOtPm/v7bM541PVq/9VZOA6/bmAecSG+mWNrDN43iVbU83D+TgzQNMvKs+pIubB6rbtdqa7Z/VVxG8U9eZ3VkUsk3f9qondV3bW0aZ1RLGxWqdzUrhWNFuG3BBfJ4NUZMgIuDVJYBPvMz9hGywgSL7PQkira2kjQkU2eKJl2BN9wMwMa4693PeD6Cg7TImvF6uBlC5DsLCBXybDxwZJOg3A8QhdPj6PT5aZJSg3gyQnt4MAI4rus5HjYwVJK15xtxJnKsgcSakO3zoyIBAvxegSMHnY5cPVxPhoh8Sa8K1JbAVwHt8wMggwVbj2ljZPa1+nw8aGTBodwLA/uIGH6nAnQDp6Z0AoK844COmBDrOAxGrMEoBP1GyYcvcCNDgI4Z8qMiIR74PIF1bgloBe8gDW+ueohif5JOxf5ynylcqzewVzKF/pMM0iUbjk3B0NOMDpn0NeTA39QPvA2ieuXKGJpZf//v2gkQIu0/Y7PHWaU44/YVX/dqvu6VeM/nk14umfFt48cvqUb2hf98kjndOO/+rW9XH1f/2w8h5qdC6qDE03hj4jM5FY0OUBmFjrcN8T5CQyNY83BgvyIS6LYjgoeMAyh8FifS2L68Sw8+5UtuyBAmekZQrte3LL8aJqYb5cKLECe6DnQnAq7ovS476AmLIte3Lt69oKUe6Fm5JkuVHWaT9aHwU+So80X5+HBZ+pEdFFE9CdVQc3+xfuDl1vxFuzbNBHLbA8etfuAkSIbgnrHD7R6PF7lYPrCLzqq/qgtivbS0sUDZrNNu9H1jN5iK/Lkpe48mfW6gJ0iB4WrxQm/5s+oaLyguiVEQkWgjsMG+KUqGGCAQRaC90S5RIbxotAndGtmUJEpxgpxptMeFKNQwtEyVO8BxsjRanBXBZ574sOeoLiCHXptHaV7SUI93vlAbnrqBRXUUDO4N2ld2F10ow8SLPv7CiqetaCSYrhWPVSa0EE6ImQUTAm9dKVLeqz3yoXIKJFXkShldlrdtnTKDI0y+85moql2BipJwiYRAqeAgsF2IvJRNRYhwwtJXFBY6MFR2XTHDRIoMFtWSiOC2ZAKcsXeejRoYMksQ883AUkc6CzKm3dvjQkXGBXjIRF3Gs4JoJLl5NxIt+SqwN15bAVgDv8QEjIwVbhRvVGRTODf59Pmhk1OiwZoKLVKBmojitmQCdxQEfMSXacR6IOMpS80g4VXzJhi1TM9HkJIZ8rMiYRy6aKNaWoFbAHvLA1so8iU6OVaj88LhIbGNk6hfm7/h6PBkfHZ2EURzPH3Iw/2tIgLk5IFQ0oUMaTSy/3vfeJYkQtp2waeSzRRNDR83Eoi5icZXF7CbYe/W3PbZ39d+e33fxuLo3+5Y4C8PvJs6Xb13UPhpvH3y256KxIUqDsMnWXSIoSUhkkx5qsNoUpULdI0QQydIgs1L/LJUtUSq9bdMXYVA4q6q2ZfkR3CUphWrZpdfhfE9Xg+OydmSJExwIOz8AF3Vflhv1BcRwa9mkRyxoKUe6FnMnkT5J4pPEP4mzY19laeSPxvGxn6swGY/TIkyPL0LMAYUUOqLaAsevfzEnSITgnVhibrCUbvkPTnUZfB+sJFeN54oXZobqG7NRUvOr1OpBzvYQ5BcuhhuiDAkut0PNJkiob80mSIUaMhBEGjWbIJXeNFuk8yBz7vVsyxIkuMVORdtifpBuGAklSpzgQdiiLSrg8ldRctRXEEOuTbW1r2gpR3pxLcXihbVqrMd7KZzK3AizuIFuHqtVuj3VWkQhVGzBBYw8OcMKq7rYop5/9E1ddnHH7nw9md0MZv7gTVuc6pnffG1vxbpX7589sqG7/uzb+oJ+W6fxzfwvmd8+sOWtr3vV1/X22X3zjQ/qb5j+rN5JuzOo//RJvdN2dz7Iyf69e/OrY+sfVv8Lz9w4O/83Hs9rZt+231kjvu+y7zrbvgpn3y7KPrgQNQkiAt5p2cdHvjP0b7CxIg/zOlSOTKDIAzySIoTKPrgYKQdhCIRJYtypdkHcYkPspewjSZNAO09wt/nAkWGLXvahoggs+2CjRcYtYtmHjpdlHxocD3SdjxoZvEjy98x7F0eJUkHudGQ7fOzIwECv+4iSLMqiIHa+ibt8wJoIGP2cWCOuLYGtAN7jA0bGCnaOoCIVhE7Q+3zQyLhBK/yAXcYNPtLuCz+W7uJGg7s44COmxDvOAxEleZQVQeQMJSUbt0zlR6ObGPLBIuMetfTDPBtLUCtgD3lgLdpjFWc6yyI/iY9yO9lk4o+iMPaPozSNRkfheFzMYwyYjjYk6NyUFCz9SGg0sfz6Py0QJELYFsMmtbeezl8bEtdZGchvzBe+scUf1bdeuRlHURyGB/ZYIbk29FI7bq6oh83ZApHZpvzD6rE/qxaxP8FlsnVRk2m8yfBJ4KrVGnP+21du3nzpexsHV3euejtXD65+//tb5gvVh/Vl4g/rMc4/Md/47hVvdnTjVR/b7QCb6ps/et1+73vz6cwPTJr/8Ir3/PNpGC8sn14b2m/5ox3hPKvDubJYCfOfLc15NPCqf5otxxVoYQauldkQXRnCVic+5YX7TyWpCB2T5MpFZVOUCnWPFkEkNVrS6fW3RJn0d0pSpGADqihBQjggpYltpySLSWy6YbaeKHGC62BnQHEUgpd3i5KjvoEYcm2nJO0rWsqRnl8SEmWjTGs/PiomvppMRn4xOi7s38r1JNbHWTq62b9adYpyo1YV1RY4fv2rVUEiBPeEVavLqSyLE5R5h6v50vrklcmPX3zVe245ssUWMf/3Wl/VByPebKae+c/qV/tzrD571/vO/Oq3z6uPI+dZ97qolTTeSgSBujq+BhSn3vrGwUa5NfTWd7woroe9OJ3ehqgRCA4drwXhSS6SVES0YOg+y90UZUINRAgecZIEqfsB2xLl0psYhO8iEaVH8LWdSsHFODfdMJ9PlDjBc/ClYBFEysVtX5Yb9QXEcGtTgu0LWsqRrpXgUVwkcRyN/eMiOfKVipWfx2HoT6JxUYyzKM0m86e9VyWYuGxhlKCm2gLHr38lKEiE4J2wSvB3T5XM3Lb7W/eqr2uNY1SN0XIbSVLfDheqZ3vV7td1MIgtSUFraLw18IrPRWNDlAbB83ai2QSpCGm20Bk0NkWpUGMGgkiUBNDwPUkmvUk2FQYx1JkmyY/gFTvVbItJbbph9p4ocYLnYGu2yNa1QK1pkuSoLyCGXJtoa1/RUo50LdrSkzxMT45D/yQOT3x1lBZ+flwU/tFkosI0ORmFau5kexVtTgdsRFtKtQWOX/+iTZAIwT1hRduvVwqVb8OX+37jVR9V71WfV19UH1Qfm/8+mfevXd/3deRV77kMsi5qEI03yLl1myANgvftRLcJUpHSbbYe8CyXTVEu1LiBYKKDMHTuaG+JMulNuOV5kEObbZL8CJ6xU+GWLsI8OG1rR5Y4wXWwhRu4qPuy3KjvH4Zbm25rX9BSjnS/9/4660aNEssa2BVRssru4nvRmIBXfca/9qK57LvOtq/C2beTXjQmRE2CiID3dC+a83HdYGNF9hcQBGJbLxoTKLKnAC//mnrRmBgptfkYhAVYTscE2EsnWqoC7VSj23zcyJjVcSMaFy0yaFEb0bLTRjRwxtN1Pmpk5CIp3bONaIkNui7kO3zkyJhAb0PLch0CcHf5cDURLvoZsSZcWwJbAbzHB4wMEudKBZweY5+PGRkvOuxB4yIV6EHLTnvQQE9xwEdMiXOc5yFKiyyIExfqko1apgOtwUMM+VCR4Y7cf5atLUGtgD3kgb20RwLAQBeTiOY0mlh+/R8JCBIhbHxhE9kejgQEDaLxBsGndS4aG6I0CPt6hIwPPhIQpLIa3xuo4HPCpiMBQS7ULUkUk9h9Kr4lyuRSHAlI8iN4RlKi1HYksJgcpxtmAYoSJ7iOc+UB0JGAJDfq+4fh1nYk0L6gpRzpWrfFWk/i8UT7xdE48tVYx36ujmNfFYmK4jw6yot5atKrboM6sQqqLXD8+tdtgkQI3gmr25D1t1HizZvZb9dd7s7m7HVR8hpP/twaTZAGwdF2otEEqUhpNOWisilKhRoiUESy1MlkS5RJbxJNZYFy8tuW5Udwgp1KtGIR0cF5XzuyxAmegy3RGsttJclRX0AMuTaN1r6ipRzpmUYr8ijMdO4fRXHhq/xk4o8SHfr6KM5GUZKnxWJbs1eN5tyavRqlzVMxXLZA8etdo0kSIbgnrEb7cFn5cX/607rv/UF1326jPVUGYnfQ6l04++f281q2Ve95URjWn31plN2fzH936mYpe9WTvVyo/pDBcyQkLaXxljqvoJOkQXDLBEH3yJknvSDKREjPuacVb4pSoYYTBJE4iEKgXkOSSW96TussmDeXnBF0ogQJHrNLQZcuBkGlDZO9RIkTPAdb0MGrui9LjvoGYsi1CDrEipZypC/v9Uc51D+VRlRb4Pj1L+gEiRDcE17QXcj1R5JW0ngr4cWcxPVHkkYgOHSCFAT39iSpCGlB59bCpigTaiBC8LCd9MDpqyST3qQgfPmRKD2Cp+1UCC5mS6UN08JEiRP8BlsINlx+JMqN+vphuLXpwPYFLeVI99uPVbjYGWUXN7I702124f1YXMCrPuNf+7Fc9l1n21fh7NtFPxYXoiZBRMBD9GNxsSJL7QnqsKUfiwsUWV+P134N/VhcjJQ6dQTCOIL6sbgAe+nH0hGww7rNx42MWd32Y7HRIoMWsR8rPR0MljYMBmOjRkYuktI989KFWR4o51HCDh85MibQ+7HyNIvBfiw2XE2Ei35GrAnXlsBWAO/xASODBDsVyFKgxmafjxkZL7rrx2Ij7b4fKz2dCQZ7igM+Ykqc4zwPURoqoJanZKOW6cdq8BBDPlRkuKP2Y6V2HpjbOxzywF7aIwagld0kogmNJpZf/0cMgkQIG1/YRPaijhgEraTxVsLneiJHDIJGIGwVEpJI+IhBkErPRwyCTKh7nAgekQoy6IhBkMllOGKQpEfwtKTEq+2IYTGYKW0YtSVKnOA32HlF0xGDJDfq64fh1nbE0L6gpRzp2VzYyZHOs1HupyfKfO/oZOyPj82HYpRmYZQfjbL46Gb/OtApd40OVFRb4Pj1rwMFiRC8E14Hnq0dvm11zun5xG1vOcT0fi13Hv9gKfTmwxVmvy83iygJw3B39lvz6Xftf3lD+bCgsTTeWHg56KKxIUqD4JgJgg4sHxZkIqTnohBSdIJcqCEFwSQO4nnD71lFJ8ikN0WnbEMYdBAhSZDgNTvVdIsRS2nDzCxR4gTXwdZ0Ki+CzPnY7suSo76BGHJtoq59RUs50pe3ab8AG8I01RY4fv2LOkEiBPeEFXXdNu1Lktd48ucWaYI0CJ6WINLgXTdBKkIqDWral6RCDREoIrn7IGxLlEl/Ig1u2hflR3CCnWq0xUSltGFGlihxgufgazRoUfdluVHfPwy3NonWvqClHOnLex9mAbZ4pVRb4Pj1L9EEiRC8E1aiyd+HKWkQjTfIuWWbIA2C8+1EtglSkZJt0H2YklyocQPFJImg41JBJr3ptob7MEX5ETxjp7ptMVEpbRiRJUqc4DrYuq3hPkxRbtT3D8OtTbe1L2gpR9r831/XzNXNpR77qyaB1m2Plrte0WizrIFvHqerfPtq0lJgkxYT8KoXkWnSelw9sKeV9c7Yu7MvPHyqW6turZr+xPx6vxZi9s9mx5zf2u96YOvApr90EV9nE1c44p10TzEhahJEBLx591Qx8IBigA02VmRhPEHLgeekTITIMni8RGtqm2JipJSTIxCqJE0DUHwxMfbSOdVQg8aFjQwk9MapNG1onOKiRQYSauPU6SCrtGGQFRs1MpqQ9Cj20djhw0bGAnrXVJznaZjkwJUUu3zEmogY/YxYK64tga0A3uMDRsYHtmCPw0QHWrlQ7/NRI2MGrXUK9hc3+EgFWqdOR1nBvuKAj5gS6zhPRJ7nmY6SIHWWSJRs4DLdU82eYshHiwx75AYqO9DK7SUOeWAt2hM1GRdpOvLH5ldbWjv28/Bk7IehDnWa51Gh54ERzA8bMmZ2jgh2UOU0nliC/e/gCxIh7FNhs8ynOqge17Wyb9YtUW/MSmRn9+jarqE75g/erm/keFR/67e2X8reAzL7ht/M2opMjjn7QbNN/+nbXt1hdHf65tNfulX9qvof/rO5bPXNc9f/7XBwmsH6pynsdwZe9Seb4Np/dfq6/Yvm4+Pqy8V1INNfeJEfDfT0pwNbznunJvCweuw/ex/wwFODJIJ2ttdFl07jlw6fhC5X74WXXxm/7G+8cvJ3r7zq6Tj3Ng4P9srh1QPv4Or+1vOe72mvrl+++ZJdw+k/TN8K6oKZ182imvWpbnt/6YUDpb3aOjdfUp7JdwZRZtcjqB591/7ZX3pRkapBBhlwQ9SAhK1KfGY8/Zm7XOgFUSqrUqiBCiGFdvHYFOVB3WHFsDBPmLu3bUuUSm9HHA3ZuCQ9QuQgZZRtJxyLAVFpw8QvUeIEt8FOmFShgVXdlyVHfQEx5NqOONpXtJQjXStbPSmyicq1fzQ5sWUs49QvRmri63ByrOM4PRkfz1e9X2Xr3GQ1yragGgNHsH9lK0iE4J/wyvaskqzLVM40hs3avvbXvX+79W+veqX5hyc/Xt5m9/PZdXdGPz4yX6t/xD3zaThIGhrCBC2l8ZYiCMlakludb1X27eqb6lv/aRNd8ao/Gtn4mqF8e/rGFU/bgRr1h7jWlYNVW32zsNU3Nim459XmN0Lc2C1fKtF/min1K/Z7TzW7vY5h1o838OobAh/UEt/mJbdnacpdz+r6uujoW/Mv36oPySzwO7WWXd4reGWmi73qPfPzbI7xwOYhVzZOTiZ/8+rI23/l5ZPJj3/84ssvjf7Wy8M0NJiG3vUX/8N/fNVbf/mlo1cmr068/YM9r5bZViu/bnOX96/YL3wcz4/VfhUbCL9JzIcv7GefVbeg4yDBh4IQ5fDiGD42EmQio42DMHFR2RSlQo3OCCJKFVkQuScdbImSuQwCWZIeIQB1KpAX07nShnlrosQJroMtkKMshZZ1X5Yd9R3EsGtTyO1LWsqRXhYBzddV3ey3CAjY3s3CRr75Kt++ioBSd0X5NTZg5LEtVsTWRUCLvdhZH9wze6z2+ibX5c0zbTLf0zV6y7bNLb+5vRKIy17h2HdRCcSFqEkQEfCevkcZkH5crMiTXoKka7lHmQsUebhLUmxQQRAXI+WQFIEwDvM8UNqFcYuNsZeCoCQrgtj5pG7zgSPDCr0kKI4g6fA9PlpkWCGWBGXhsiQoA2dzXeejRsYWkj5dNXdWREUeB+4ZgDt87MjIQK8LUkmuMxVo5yOyywesiYDRz4k14toS2ArgPT5gZLBgi3jYbezzQSMDB60qCHYZN/hIu68KWrqLGw3u4oCPmBLwOA9Eo6so2bhlioIa3cSQDxYZ96g1QebZWIJaAXvIA2vRHk+iOD0+OfGT+Di0pywTfxSFsX8cpWk0OgrH42IeY8B0sSGBZqeMUE1QFtF4Ygn2fnIiSYSwcYVNOm89nUwurwyuv1YnlPemb9qDAO858Gblz6sPq/e/Y6dy15v93r+7Xn/+/OiVv/E2Xxn9Fy+MVOo9//Lf/u3fTF7y0P/g4k/u2t3/+pK/WUZbNxrfrbtg7MQh++WHrpVYF10JjV8JfHa5OJn5yhjjy9lE9IFX9/c0nZwE9njlVp31zyu47Oilx9O37CHYaUO2Peqpz0xm3/70FsK3s2Oyh/Myr9tXvO3rdgkd/2D9nVmoUvtTXEclPvmsRHKZCBueHSbWgoSEjkyAgiJJJtTdWgSPOC6yIC60i8yWKJneTkwSpYLMSXBbliAh9JBy0pYzk2wx+DBrmGQpSpzgQvjpFriq+7LkqC8hhlzLkQliRUs50ssjk3mK13ffNFA3lMVNfJNwlW9fRyY51DfNBYzc1sKq10+NTrKFKz9ZHpnM6kfsuI+6bP2buT4lDLesR1k2jLd0GWSdbRCFM0gnpyhMiJoEEQGv+qT6nffPb/2jl5t0YvqGF2U2MYzDWHvVp8bmd+sZLfUBmM0HXq9XySzyFXut0IfFoP4lCue/RoGVn/aM7B2jNe35zBUvdd/vucG2AXLDjSAioYIbLkLk7hpFFcLHMkyMlF0qDMIwDsLUBXGLDbGXUxmlizzIlQv5Nh85MnQxjmWSpnMZLlxk7KKey5zOuMwaZlyyUSMDGEkDn3k80iLRWZBC5zJc7MhYQz+XiQ1cnQcpdC7DBayJgNHPiTXi2hLY2XMZLmBkmGAnCg2OY5+PGhk6iAczsNO4wYcqcDJzOuoSdhgHfMSUmMd6JJqcRcnGLXMy0+gohnywyNBHPpmx4y7dTuKQB9aizUOdR+NR6I9OkthXkQr9Iixy/2R0rPOjqNDjcDTjA2alDXk6OzMFT2YSGk8swf5PZgSJELbHsLnt508lsvfrjNTu09td+J/a3MjOP1reBHZ2ItK8/O/ZeY83b5qf+yvbHFEft3xlf1/fq19upqFOw/Cg3rs/PVuwv01s60dqP0QR3AYjaVyNNy4hCeXYd2WA5hXvexsHV3euejtXD65+//tbwencKXtAZicUvHtl3rTiVR/PRxfY3pTXg9VOFe/55+MwyuPZGmweBCttOKfLUNTnbIH3TE/NYqzV6ZlNvX6OtdoQXSvCdik+WYZbtyWpiJy1OLXbpigP6iYvhkWYB7GTypYold7OWSKDNcicDLdlGRIiCSnJbDtoWYx/zBrmeYoSJ3gOdv7UsKz7suyoLyGGXdtJS/uSlnKka6k7Lo6TSXQU+WmoIl+pfOIXSV74xZFOskmm1VjN3+h+pa5T0hupq6jGwBHsX+oKEiE4KKzUhUe7Wy1U/aHWW2/V5zz36wbgO7UGm1e2PLHi6lb1QfWhX48ceK/6pPqN+fhZ9YXLOuui1tF46+C1qovGhigNgjPGyzh4zoAkFREZF7ldyKYoE2oMQfBIjTNMoCMUQSr9Cbk0SJw3GW7L8iN4yU5l3GLgY9YwwlOUOMFz8GUctKj7styoLyCGW5uIa1/QUo705Z3gaf2WyxhGxGmqMXAE+xdxgkQI7gkr4rod4SlJXuPJ4zXa+uSVyY9ffNVbN0S9UM1HzRsjfFmbwBaxPF217WK9Icqa4Jg7kXSCVEQkXRjE2kVlU5QKNaQgiMQ60O4hWFuiVHrTdCoPYqfz35blR3CanWq6xYTIrGHkpyhxgutgazpwUfdluVFfQAy3Nk3XvqClHOnZxtz4aDI6SQpfK3Xkqyw/8UdpqH0VjfPjaDw6TvSFbMwplzGMpkupxsAR7F/TCRIhuCesputi5mf1h+qT6sPqU/PxC/s9/9v85nPv+n7DIFBJK2m8lfDiz0VjQ5QGwSV3ouYEqQipOWgOqCQVajBBEIl0kISFi8qWKJXe1FxhhDe0QyfJj+AuO1Vzi7mRWcMgUFHiBNfBVnPgou7LcqO+gBhubWqufUFLOdJWzjWptI7716A9t6bJNUWkV+ldfP8aE/Cq0/iX07/GNIjCGaST/jUmRE2CiIDXR/+actlgg20DZGMCQSqC/WtMhMgmBLwCbOpfY2Kk1PIjEKYhXETHRNhL+1qkszgIIc3GRY6MXF23r3HhIkMXtX3tdNJo1jBplI0aGb9IgveM9lNZGAMjwnf40JGRht69Fpl/WqtAOQHv8gFrImD0Y2KNuLYEtgJ4jw8YGSTYSUGD39jno0YGji6717hQBbrXTqeNwv7igI+YEvE4j0STryjZsGWa1xr9xJAPFhn4yM1rdtSo20cc8sBe3oODBGxea5pO5eCJJdj/wYEgEcJOGDaxvaiDA0ErabyV8Kmki8aGKA3C7h8hG4QPDgSp9H1wIEiFum+JIFIEIVjZK8jkUpwbSPIjeEtSGtV2brAYxpg1jNcUJU7wHOwUoencQJIb9f3DcGs7N2hf0FKO9CWu7E3A9qyCagwcwf7FnCARgnvCirmOK3sFyWs8ebxG66ayV5A1wTF3IukEqQhJOrCyV5AKNaQgiEQavu9OkElvkq6psFeSH8FndirpFtMDs4aBkKLECZ6DLemaCnsluVHfPwy3NknXvqClHOlL3HGfQM1aeUg1Bo5g75JOkgjBPWElXc8d95LW0Xjr4DWfi8aGKA2CK+5CxElSERFxYMe9JBNqDEHwSNIoUMpFZUuUSm8irqHjXpQfwUt2KeLycB7zc3Cu244scYLnYIu4ho57UW7UFxDDrUXEIRa0lCM925cbHydJar5tfHSifTVSI380ikP/KEzjkyzJw8nRBdwQmkDdWXlENQaOYP8iTpAIwT1hRZytGr37TMHwgw7vBPWeuRT02TtBI425E1TSnBpvTrzqQ1qUcAto4x2gz97g6Zrt5rgkNA3jcHZJ6E0FX/w5m9P3Wr1Tu6wQX+X2uHrgzRZR6f9cQOu4IbqOhOCFl73wfaGSVERkr9PlboryoMZcBItYhUEB7FxKUulN9CZpHITaRXBbliAhrHSqehdTvPKGuWyixAmOg6164VXdlyVHfQUx5Npkb/uKlnKkl3PZ5sytnO1zLhukbOMGvnkSr/Ltq6+tgPrauIBX3cg5+9r+UOsMu2/4TX0+esdqnyfPDJ293SKrzvS13Z+3wrmIr7OJKxzxLvrXuBA1CSICnnz/mvnCR75zy3+DbQZkdwJeJbbN8eUCRTYk4DVgQycbFyOlrh+BMFExsD+0xYbYSytbrvMgcW4sb/OBI2MVvZNNZXFQFC603+OjRcYqYiNbfjqHLW+Yw8ZGjQxYJM17JmspkjyLgGlFO3zsyJjD6GRLo8K+ic4HepcPWBMBo58Ta8S1JbAVwHt8wMhYwU4MYLexzweNjBu0RjbYZdzgI80JSDGPwf6pu7jR4C4O+Igp8Y7zQDS6ipKNW6iRrclNDPlgkXGP2siW2ylsbhdxyANr0Y4nWTrOTkL/OI8jX8VR4o/CsfaP1XExDvM8yk/mfMActCErZ+ehUCNbntB4Ygn2f8YiSISwGYbNZG+t1sfYjLWunTntUuu4VkbQQBpvIHw66aKxIUqDsPdHSAfhWhlBKiKHBmHgbPvdFGVC3bNE8IiTIkhT6NxAkEtv5wZNxTKS/AiekpRCtR0bLEZS5Q1TxkSJE1wHOztoKpaR5EZ9AzHc2k4N2he0lCNdCzkVxsejk/HEj1Id+0qHx/54oo79NMpDNTlJjs0/c/MChJxTsBohp6jGwBHsX8gJEiG4J5KQW5w+UItkjGK7bY8ybNnEXPdBFRuL0pkoTMLwYPbbCDVCV9KgGm/Qcws/QRoE740Xfg3VIoJURIRfFMwhn1V+glSocQdBJI2LoMic+1Zbolx6U35K54FyStttWYIE39qp9FsMssobJpOJEic4D7b0g1d1X5Yc9R3EkGvTfu0rWsqRvsQXGCiw201TjYEj2L/2EyRC8E9Y7dftBQaS5DWePF6ndXKBgSRrgmfGy7qG/TxBKiKyLgxC5aKyKUqFGlIQRKIkSAvtorIlSqU/VQffYCDKj+A0OxV1i0lWecNoMlHiBNfBF3XwDQai3KgvIIZbm6ZrX9BSjnSt6dKTPExPjkP/JA5PfHWUFn5+XBT+0WSiwjQ5GYVq7mT71XROD2w0XUo1Bo5g/5pOkAjBPWE1XRc3jF7f9xsuE5U0iMYbBK/zXDQ2RGkQvG8nwk2QipRwg24TleRCDRwIJjqIoNtEJZn0JtwabhMV5UfwjJ0Kt8XQqrxhCpkocYLrYAu3httERblR3z8Mtzbh1r6gpRzpRfvWol7RCrI+27ecPtZos6yRr1rl21P7VhyC7VtMwKteRKZ963H1wO4Q1Vtp786+8NDup80mlLlmjlX3rSpb/q3qXvXInqX+qro1L54jt4DdNVDCQWzHT9lbCYCju3W2JRXOkp30gzEhahJEBDzb8DnwkoE3/Qd72l39qbo/8OrJdI9ro0d2HVWwbPRatnnlQeQ9FyeDwq7Hdwbm97H3XD7QevHbxHtO5QOV2N+7jLDBNsJq+Dh/Nxg00IyLEFnOjxeTTW1gTIyUsngEwjwMoCNbJsBemsDSOAVuJ9jmA0dGPHoTWJRqDY4zY8NFhjxqF9jpOLO8YZwZGzUy7pGU85nMJ8ziCLh3d4cPHRloGE1gSZLnRaCdT8guH7AmAkY/JtaIa0tgK4D3+ICRIYKdXWShEXNOK+/zQSOjBq0JLFJJAU4zY0MV6AI7nWYGu4sDPmJKuOM8ETrNEiPxnQ9yyYYt1AQWpSrSwOi1IR8sMu6Rm8DsNDO3izjkga3RFqNxEYaJr8cq8VUxyvx8PLKHE2ka56FWx9lkxgfMZBtye3Y2CzaB5TSeWIL9nzUIEiHsqGHz4ebbkgVawATNo/HmwWeQpxa6Wz20ewPgZXne+sbBRrk19NZ3vKjO4WPt+V7qNVw/J2gNwi4kIZWEDzAEqawqhwYq+JzT6XA3RXlQN08RLHSaukvytkSZ9HZ40dRFJsmP4GpJKVjb4cViclbeMApNlDjBbbDTizgDJPu+LDfq+4fh1nZ40b6gpRzpS1x1osEusoJqDBzB/pWgIBGCe8IqwR6qTgQNovEGwWs/F40NURoE79uJaBOkIiLa4BG2klSocQNBJIqDKHFS2RKl0ptwa6o6keRH8IydCrfFfKy8YeCZKHGC62ALt6aqE0lu1BcQw61NuLUvaClHuhZux5MjnWej3E9P1MRXo5OxPz42H4pRmoVRfjTK4qObFyDcnPnm1ahoGhziNAaOYO/CTZIIwT1hhduHjlb/27MqlkV1ye3TuQ336w2rx4srnj5f7e4voiQMw93Zb82n37X/5XBrv6SxNN5Y5xV1kjQInpkg6qCiDkkmIpouCkJgL06SCjWkIIjkaaBTYDNOkkpvmk5pFeRANYkoQYLX7FLUFYt5WUXDADRR4gTXwRZ18Kruy5KjvoIYci2qDrGipRzpS9zYr6EmsCKiGgNHsH9VJ0iE4J+wqq7bxn5J8hpP/twqTZAGwdUSVBq49SZJRUSmmdRfu6hsilKhxggEkdgwcVPZEqXSn0yDO/VF+RG8YKcqbTHeqWgY2CVKnOA6+CoN7tQX5UZ9ATHc2kRa+4KWcqRtw9dgpk367PNyCnAjv+JGmmfGkvXX5+XcfrjGBrzqPP7l9nnZuVSYPi+uJRXOkl30eXEhahJEBLy65PDT6jPPfPJ7s5ofVO9XH1jzVh9Xf5yVJto//30wb/BaLv0VL3WXpG6wySGL8wkiEtzqYyJEVuLjtWFD/xYXI6WgHYMwSgMN7c0xIfbSwRUncQHLOS5yZDCjt3DFWQ63cLHhIqMZsYWrOB3kVTQM8mKjRoY0khY+a+9IxVBjxg4fOzKI0Hu4kljpJAVmz+7yAWsiYPRzYo24tgS2AniPDxgZJtgJQ5wUceC+kW6fjxoZOmhNXLGKY7CJiw21+yau4nSUF+wwDviIKTGP9Uhkea5D4Bbfko1bposrzuM40YF7RsqQDxYZ+qhdXIUd5eV2Eoc8sBbtuDjWI5XkfjyKCl+l+Yk/1rbON1X58XF0fBzrCzgsACSzyVYTGk8swf4PCwSJELbJsNlu6yiv7hu5JC2k8RYipIjnauRyGWFD1AiETUVCKgmfRwhSETmPiNw7UJuiTKi7oQgeaVEEkbOockuUSm/HEQ0tXKL8CH6WlIK1HUcs5kYVDYPARIkTPAc/u4BbuES5UV9ADLe244j2BS3lSF/iFq4UauEqFNUYOIL9y0BBIgT3hJWB8i1ckgbReIPgVZ+LxoYoDYL37US3CVIR0W1wC5ckFWrcQBCJskBBuk2QSW+6raGDS5QfwTF2qtsWM5+KhileosQJnoOt2xo6uES5Ud8/DLc23da+oKUc6Vq3JaOjIp8kqa+PjrWvRkeZb35u6udFdhQdHUXj43R08wJ0m/M40eg2TTUGjmD/uk2QCME9YXWbq4PrvpVoT21Led+bvDL64cj74eiV0X/9ry+e7d86ndr67LBWlYfhQV0K8Yn5WXXZw0ID1l/9sHpcbwfazbE7p81jd+df/sqoyPpnpWH4Xftf5Nz7XRe1ucbbHC8Nv7dxcHXnqrdz9eDq97+/NThtkbtXPag3Sd+94hlpfG/60+kb03e82QbpbVuBXf2puhcsZo3Nvu+WNZb99lkx9n3zI14f2NLs1+qqoQdGiD+84j3/fBrG5v8PBt70rdrAj+xfuOKlyzG6hW21M3/8k9lqXvGeGsD77BKbH//Azjqr65vMP3HFi+GbpiRXhxC3CIoXLHoRZCIieOGNSkEm1HiL4ZEUQQ5NypDk0pvijXJDMXH6t21ZhoSg0qnmXczEKhqGnIkSJ/gOtuZtWNZ9WXbUtxDDrk31ti9pKUe6Vr1HcZHEcTT2j4vkyFcqVn4eh6E/icZFMc6iNJvMn/d+Va9yGcOo3pRqDBzB/lWvIBGCg8KqXmSHW6jmEog01XVd1Boabw28HnXR2BClQXC+BOEGb1UKUhFRbg0tb4JUqEEDQSQugihxJv1bolR6U24qDAqne9+W5Udwi53qtsVIrKJhxpkocYLrYOs2cFH3ZblRX0AMtzbV1r6gpRxpK9ua1FjHrW7OWnWjw7IGekWUrtK7+FY3JuBVp/GvrW5cSyqcJTtpdWNC1CSICHjVJ9XvvH9+6x+9fGbfKAuiyDylsfaqT43h75p1eziT1A/nm4N2gX5yxZ74f1gM6l+icP7rcvKZ3eGczz4zLigNIvvB+eBvsG2xGjQEO+OYCJHtDXgJ2dQZx8RI6RJAIEzcx/FbbHyXoC2OixwZ+Lpui+PCRUY+alvc6WSzomGyGRs1MvyR9PKqvbMkycIsUM5He4ePHRlw6G1xeZbFGfSI7PIBayJg9HNijbi2BLYCeI8PGBkj2ElFc1scFzUybnTZFseFKtAWdzrbDHYYB3zElIDHeSQynWRZAez1lGzcMm1xWWpyuhB4LIZ8sMjQR26Ls8PN3E7ikAf28p4wZGBbXE7jiSXY/wmDIBHCVho2M5Y+YRC0hsZbA586umhsiNIgbBMSsj74hEGQSt8nDIJUqBucCCJZHmROJluiTC7FAYMkP4JXJCVMbQcMi7FVRcMcMlHiBM/BzgWaDhgkuVHfPwy3tgOG9gUt5Uhf4mLoDGxiK6jGwBHsX7QJEiG4J6xo+5dRDC1oc423OV4aPmX2Z451rnhnyqQfOMqkL0/588C1IBuiC0IIVQSRCx5tCDIR0bhw/bMgE2qIRfBIMqjbT5BHbwK3ufZZkiEhhnQqcRcDvoqGiW2ixAl+gy1xm2ufJdlR30AMuzaR276kpRzpS3xTQwZ0/MVh06gTpzFwBPsWuaJECA4KK3LFb2oQNYjGGwSvQF00NkRpEPwvQbdBm5OiVESEG3hTgygVatxAEFEZsM26JcqkN+0G39Qgy4/gGDtUbobTLMzPP3ER35ElTvAcbOUG39Qgy436/mG4Nes2zIKWcqQv8UWrGdCzFocR1Rg4gv3rNkEiBPeE1W39X7QqaiGNtxBeyAlctCpqBIIz70QGClIRkYHQ/p0oE2oUwvDIC2fR1JYokd5EIHzNqiw/gpftVARGC80AT32TJU7wG2wRCF+zKsuN+vphuLWJwPYFLeVI99wC53xRjayLG+llq/QuugWODXjVafz/fQsc25IKZ8kOWuDYEDUJIgKedRADLxl403+wMrL6U3V/4FVfGrM/ro0e2XVUwbK37bSzzXsuy5JBYlbjO3WTm/ecgT4ootkXqo/N/9+qv6ySdBDNv5yZ7wrVoMjmv63/PB2k8eL3sfdcHJlFLuwXXLbbYNsO2Q5BEKbAuTIbIbL1gaI3oZY5NkZKBwEGYVoAHnGLDfHCu+b4yJGxstuuOT5cZLCkdc0ZOIuuOfMp2DXHR42MmCSJfabCoUhSo4sCrV3gd/jgkUGK3jansjCLQ0gk7/IRayJi9JNirbi2BLYCeI8PGBko+JlIQ98cHzUyeHTXN8eHmhOgYh6E/VOXcaPBZRzwEVOiHueRUKFS2riLsHABL9nAZRrnVGi8m0Gr3J1zfLTI8EfsnLNPxxLUCthDHtjLe86RA51zcZjQeGIJ9n/OIUiEsAOHTagv4pxD0EIabyF8Fnq+cw7PN9koeF+zqDUIG5eEvBI+8BCk0vOBhyAT6o4rhkcYKYDLliiXS3HmIcmP4HFJCVnbmUey2CKHR8vJEie4Dn6m0XDmIcmN+gZiuLWdebQvaClH+hIXLOdAV14cKqoxcAT7F4SCRAjuCSsIeyhYFjSIxhsEr/9cNDZEaRC8byfCTZCKiHBrKFgWpEKNGwgisU4C7dym3xKl0ptwa6pYluRH8IydCje1iPPwbDlZ4gTXwRZuTRXLktyoLyCGW5twa1/QUo70Jb5OIQc7zTTVGDiC/Qs3QSIE94QVbv8SrlMQtbnG2xyvDc83W25+G9kzVys8Ql+tUP1R6GoF19psiK4NIWoRBC9YASPIRETvwhuVgkyo0RbBwzy4JuFXLi5bolx607tNtyvIMiSElE4Vr14IJHiynCxxgu9gK96m2xVk2VHfQgy7Ns3bvqSlHOlLfO9rDnbppVRj4Aj2r3kFiRAcFFbzyt77KmoNjbcGXo26aGyI0iA4X4Jwg3cqBamIKDfw3ldRKtSggSBiS+3c5aJbolR6U27wxa+y/AhusVPdli6CPDxZTpY4wXWwdRt88assN+oLiOHWptraF7SUI23+769r5aZuNsuyH0+OXn3x5ZcchmCpMkiQZQ088+RM+yDUXwejpWit0xY7J9xrbLirj1mDcZGK6tZsO6p6ZHcPB1Y2zcTSveqR3b76ysild63Gqhvqfm511vQdFycjnrIrW2xiZ7wizOx8TrE83HnO+LkccoBc/IqOHyxwdoLehUDv8kFrOmh8nbPBvAdh3uNjxr8CfEdrsZcQ9pKN/Uz5ewt22gMyhAAP+YDxzpxYBG/wHkJ4D3l466fj5jIG/VVTUOqy6VuBJe55I4sctDoOLDMgWcwuvNfYeFdd93lbvuuC9NvV3Vkx0lMBCQhHXvWt3QyoD6lczNbZzFadumQLNhOiJkFEwJt1VHvAyKMNNtBV9S/Y78xEiGxZw+8FNPU7MzFSOr8QCFUapFAZORNhL+3OhQ6hSWnbfOTIKEFvdzYhC+525qJFhglqt3N+2u0MDhS5zkeNDBYkkX/mqVZxXkDPxw4fOzIctAv8VcBJXmQqSJxv4i4frybiRT8m1oZrS2BntT0XMDJGsHeHIpVkEeDx9vmwkYGD1usM+4wbfKQ5ASnmQdg/9Rc3GvzFAR8xJeBxHok0MzFaBYXzmSjZuGU6nZv8xJCPFRn3iCmefTSWoM6meBywteDNjo8SnWR+GofaV0c69vNoFPlpmk9UMR6lx8fzZwbM/n446vakGMypTA5Y0Ghi+bnyxAZalFzRReSaKBHCiQg2ifz12USxvsTr3srtYdW9RU3k+3XV5Nc225yNO3qtbvt9w2WOdVFzaLw5CGmd2yK2arMuCPxZXSRYn6o/ZYmz5YjV+0Gs/dhe0fVa/bPu25/yA1sCOjtut9b9gfn58x9nfsLj+gzeFqraKknbWmRW4c78YrfbdafRbZve18tz3V9+/9fzFfO9OGyoUhRcCcKJVRd5qyATkbNup8/bFOVBPWdDsGjKgQWZ9HbO3ZwrSzIk+HVSvtd20l0sDkbh+U+yxAl+QyqXkaRHfQkx9NoOu9vXtJQjPTvsfkpzgdKy09Nu59pejaOmeQl5UqzS7Oes2wn2Ghvs6jN2/pPuz+tDhG+h4+sovLLFRtvz8XUUDXbi3HxI4gLwb2wmis6Edk65a+HvWvi7EPxdPnxNh49PaesjbYN+z6Lfg9Dv8dHjn3q+Y50dbhsWpWVRQixKNgvpY24DfWihDyHoQz50vD8n7obUB94G+aFFfgghP+Qhr5+dm31GJmi/Y97nB8BXIWh4NFpWbIKOvLlw8e8pNjr9z7pc3Sa8d6bvmKS3zoC/tJeM2wPuJ4trz2eXcrxtv3HWw+fND8e/dRE0US2yUY3Jsu+oFpuoFmn7oTAfYmU/5OZDktgPqfmgbOBT9g9UZj7o0H6wf6rt96X2s9R+ltnPsgyKjVx79BEbYxMbjRF2rRF2rRF2rRF2rRF2rRF2rRF2rRF2rRF2rRF2rRF2rRF2rRF2rRF2rRF2ISPs8o2g6UYguck9a4M9a4M9a4M9a4M9a4M9a4M9a4M9a4M9a4M9a4M9a4M9a4M9a4M9a4M9a4M9a4M9yAZ7fBvg3/9zx+nYxGlji9LaorS2KK0tSmuL0tqitLYorS1Ka4vS2qK0tiitLUpri9LaorS2KCFblGxbiEf72ER7Y4ChNcDQGmBoDTC0BhhaAwytAYbWAENrgKE1wNAaYGgNMLQGGFoDDK0BhpABhnwD4CMtSzPERjMY/oeW/6Hlf2j5H1r+h5b/oeV/aPkfWv6Hlv+h5X9o+R9a/oeW/6HlfwjxP+Txf0p59Fh0F8MHLlHcyCIGVxEHlqk+4KI7Ll5kHQVWfny6uAV2VnT3Mztopbpjq+8eV0/qk4M/zfbu7S0PX9ab+49nV8JO37YzOaq79TViX5lveNutVO7VlxHMtMrAfsusPe+r+Y0Rd+25gfecvTmi+toeASz+jYG9QOHX1a3679hrLe7ZG2y96r3qQ4P6i+q31YcLAMF3Fv+CJfPY/OP22oq69c99erDONv+qEhCsDORC1CSITHgbbHjIWg/CuYp96r4KPPdSv8AGiqzuIBybwGWBXIyreuScZYH2NnX3MJEtNsRe6gKjKFCZC/c2HzcyjNGrAuMcLApkg0WGMWJRYHQ6AiVqGIHCRo0MZqQkc9XaWRrlQebcpd7hI0fGgfZ08MyTnOsiD5Ry4d3l49VEvOiHxNpwbQnsbKbFBYwME/xjNMhj7PMxIyMGrR4Q9BY3+EC7LweMTiefwJ7igI+YEug4j0ODlyjZqGWKAZs8xJCPFRnuiKmsfTCWoM6mnhywFu2RnhwXYV7444nWvhpPcj8/Hid+eBLn6Sg+Ho9HesYHzEp/OOqyGLAh1zO5aUKjieXnyl8baFFyWBeRa6JECEUj2OT2f9nM0V6BZy8rnNW4fWWbnOrs9o6tgVsUAX5ZZ5e2KG72e3AUyuy6w4ZRKAMvCaFrTdZFDajxBjx37idIg1BDQ8gRwYtmJKmIFN+F7vtYN0WZUCt/EDyiogjitHBx2RLl0lsBXhQH2lkFvy3Lj+BJSZlVS/ldtBh9ETXMMhElTnAd/LwBWtR9WW7UNxDDraX2DrGgpRzpWudNRpPkeFxEflqoI18l9lKaJBv7+mgcj6I0V2E2udm/znPKWaPzFNUWOH796zxBIgTvhNV5H9X1fXYsW92+YS/Gfm365vSX05/Xcu25xaWAT6bvGgVndOB36tsCIw22F6yLmkDjTXBupSZIg+BuCUqtbTdfkJCIXgOywk1RJtRogeCRJWGQQiNMJLn0ptegKWXbsvQIDrFTubYYeBE1TDARJU7wH2y5Bk+eE6VGff8w1NrUWvt6lnKk606JwTK691wTAukx3chWrbLtqSYkAWtCmHhXPcg5a0L+1/SN6Zv1ZA/z6+LK5TtGYb1Zd27eq/fBbL3HoqxjtiFm/9j87sl80PC96uH0l/M/ebo4o+4Orcs5bKnJNzNtZr94b7b3VldtPJz+PKininhRk0Zj2kvh7NVJEQcToiZBZMLbYMNDns4RZB/UHMtFiDyLo+g4uHqDiZFyqIVAmKRw8QYTYS/FGzpRwXzKwFnlxQWODDj06o0saijf4KJFRhxq+YY+Ld8AJzxc56NGxh2Saj27TZyoPEidz/UOHzoyBNDrN+I0jEyAVy68u3y8mogX/ZRYG64tga0A3uMDRkYItrDXaRIkzqdinw8aGTRoBRyww7jBRypQwaFPKzhAZ3HAR0wJdpwHIg5VWATK+RyXbNgyJRxNTmLIx4qMeeQSDr22BLUC9pAH1qId5+NjfTyZ+KPxJPKVKkZ+nh6N/dFxlh9rPT4+Pjme8QGTyIasmptIgiUcKY0mll//W/uCRAg7Wdxc9NvqsT9vWbg3K+GwCeSjerLhLxbVHJ9Wn1efmI+/qj6ovrCTGt8zn/62+qy6VX1kizaqz73hehQ5y//WRS2k8RbCp3bzFPnmSxjiVyHiG6LECXt9hKQRruoQpCJ0SqBdTDZFmVB3KRE8tEqAGLwlSqW3Q4IkDgrolECSH8G3kvKttlOCxbCZqGF6kChxgudgJxPgou7LcqO+gBhubccE7QtaypGe9Y1GJ9nR8UnqR0dx7EfRpPDzcJL5YahDneZ5VOi5JOpV+UGHCI0zKVy2wPHrX/kJEiF4J6zy+3x5MSV4fGDVX5SERgTY0eSP4oE3fdeORJ93s0bh9O3G4wNBg2i8QfBCz0VjQ5QGwfkSZBu41y/IREi1QbUdgkyoQQPBIymCHCztEKTSm2qLoyB3PnTbsvwIfrFT1ZYtgnzWoNokiRMcB1u1KagLal+WG/UFxHBrU23tC1rKkZ7t1yXjUZRHoZ9E6cRX5kf6RTgZ+0eTuDjWR3kSZvNF71W1Ob2WUW2N18w7FSyKX/+qTZAIwTthVZsdK/nYNk5VD6e/8Iz2ul1Lsgfz+82+qQtvq1vVx6mL7rooXY2ne25NJkiD4FoJmqyt7FaQkJA0c5cUbIpSoYYGBJEkD0Ll1C5bolR602aRDjKnN9iW5Ufwfp1qs3wRysGxOTuyxAkOhK3NwEXdl+VGfQEx3Nq0WfuClnKkF4W3+uZScvVYeAupr6KRLXoqd8eFtxosvGXiRRZAYcXTH+azUR5X39R7Xnds7eyipvaxX31tNNSbtZa6X9+V9tBoq5+Yz08vg50fgN7xInss+tD+JBfjdTZjhWPcSeksE6ImQUTAq96vLfnAsxN/b75kG82MsP2yPo++bb5gbP0P9Rf/5CKywSay6qcFi2yZCJH1UiTVBhbZMjFS6o4QCJuKbJkIeymyjbI0DVJIZ3GRI6MLvcpWpxqusuWiRYYXapVtcVplCw4puc5HjQwyJI26au5UhWEazOeonFWjXOjIaMGosg1VWgSFduHd5ePVRLzop8TacG0JbAXwHh8wMkTwZTzsNfb5qJFhg1ZmC3uMG3ykAmW2xWmZLegtDviIKeGO80Q0eYqSDVuozLbBSwz5WJFBj1xmW6wtQa2APeSBrdVwdpwcZ1nsj8Mo8tU4P/LHOs396Gik0kkaZSqePzJgytiQQ3PTRqjMNm6cgnKWJpZf79v2kkQIG1fYzPPX9S3e39a9l7Ob0ha1tPai7f9RF5V+UleQflp9VP0/Xhg7Pe26KG+N541P7lw0NkRpELbfCKkdWAorSUVk5z4M3L0Gm6JUVuNmAxVsqqgDlTiZbIky6W3jPtNBCpTCivIj+D9SUtSycR+H833e2Scu4juyxAmeg634wUXdl+VGff8w3Fo27hELWsqRvrxNUAlUChs3T4px2ALHr391JkiE4J2w6uwCmqAkLaTxFsLruKen29tCk8bzjw1RfgQ33YnAE6QiIvCcj9ymKA9qdEGwiHUSpM40dkuUSm/yrqHTSZQfwYF2Ku+ihRqIGuSdJHGC32DLu4ZOJ1Fu1BcQw61N3rUvaClHupZ3eRwmWsehH+dHJ75KTxJ/nMSRn8WjyTgcpUVmE8Te5R1QtRHHVFvg+PUv7wSJELwTVt7dmt+YdvupYo+VCo/Hp7MHHpnffltfZ3u7/sY79YiDb5+eZnC6Z/dHo/o+t1rwlvniB9XH1Xsui62LWkzjLYaXe/O7e7+bpIM4+Us9UEn1wGjkLwN3AeuGKEOC4yYIvkfO1/QFUSYiei8KQieVTVEq1IiDIKIDXQC1H5JMelN8hVIZrPkkGRK8aqeaL15IBHBm1Y4scYLrYGu+hmXdl2VHfQcx7NpUX/uSlnKka9WX5KnOTzLtH6V54qtkcuSP1Ej5kyg+GRXh0dh8vNm/6lMuWxjVl1BtgePXv+oTJELwT1jV95vpL2djp2yf1N26LWq1qnfr+9f9oTd9vdaF9WCDx3Zu8lz22TrgWT+VCRDmY+yuflkXNYzGGwYv7lw0NkRpENwwXsFNfzZ9w0XlBVEqIhIO2rIT5EGNHQgWjVt2glT6E3CBhtSbJD2Cd+xUvS3mE8UNA6dEiRPcBl+9AWu6L0uN+vphqLVJt/b1LOVILxqp5iWfRi312UgFiTPVyDZfZdtTI1XuxnuNjXfVg5yzkeqWkUZ3rVR6qqCt7nC+Y3XU9G17glq3TN33qs+rD6v356MHnu2i+rX5k48GdtDnr6tbs6/F8G1CXOoKR72LjiouRE2CiIBX/U87NtV37qVssGEii+HxAg7sl+IiRBa+43VZQ78UF+Oq4z9nv5TKwkA7Gwi22BB7aZjSKnCPrd7m40bGEEa7VB6B7VJstMggQmyXitWyXSoGJxVd56NGhhKSED2bSKg0DTJnKrHDh44MBYx2qcz84zpInO/hLh+wJgJGPybWiGtLYCuA9/iAkSGCLdZBp7HPx4wMGsRuKdBh3OAj7b5bauksbjQ4iwM+Ykqw4zwPTY6iZMMW6pZqchJDPlhk0KO2S5lHYwlqBewhD6xFixtObPmAiWFDpsxNDsF2KU2jieXX/969IBHC7hQ2v/xfJpm0VRcP6/rbOrv8qrpfPZm+Pi/IWJZi1Dv8deHG7Pd/qEfnvWX++4mdUjz79tPiDjstz+SbH1Qf+jZDqt6rPql+Yz5+Vn0x8JIQKgJdFzWgxhsQnwK6aGyI0iBs1hFSRLgsV5CKyB4/OIJAkgl1mxHBIwt1kDvjwpYold52+aM40LmL37YsP4IjJWVXbdv8erEtDI6l2pElTvAc7MwBXNR9WW7UFxDDrW2fv31BSznStcxTeXhSHKnUV7lOfJVNIn90lIR+osLjLJ6chCqZv829yjxn6mhkXkq1BY5f/zJPkAjBO2Fl3h+W1RYP6qts69KM12b9RbOLbJ/U5wlvVY/Nl5+Rc/Zb6qIM/V3zvyQMG+YQSFpF461ybu0mSIPggfHaraE+Q5CKiHYL3TX9m6JMqKEDwSNSxhmmzji4JcqlN/GWGX8P1WhI8iO4x07F22LcUNwwP0qUOMF1sMUbuKj7styobyCGW5t4a1/QUo50Ld7SkzxMT45D/yQOT3x1lBZG6BWFfzSZqDBNTkahmjvZXsWb0wMb8dY8lcFhCxy//sWbIBGCd8KKt7NXGtnfVvfnNSCv13LuF/Nm8eoj2yg175H6oPpkvn13fd/XkQc2TQkaROMNcm7dJkiD4Hzxuq1hz02QipBuA+86EqRCDRsIIrbKA9x0E6TSm27L8yCHdJskP4Jn7FS3LQYOxQ0TpESJE1wHW7eBi7ovy436AmK4tem29gUt5Ujb4trBLKr1WFTrdK1GkTXPYihWWfZWVOvEe42NF1kJhRVU3RTV2hNOu/HyzIVGD6p77fW1TCsonBU6qa9lQtQkiAh49Ynxp9VnRrpWvzeL8UH1fvVBvWH5cfXH2cmy/fPfB168nF0wsIfVs71OPZgt7CPz50EU2eszzC/x7Bc1+0XPfklnv2SzX/L6l3T2xTQL7FUE96sny2fgijev/DV/7D03/Zk9Rp9fZDV/nr40X/h6cYju9FIbbDMji78IQhSsD2YiRJZ64fVlU30wEyOlZAqBMInyFBDBW2yMvRQI2/vGoQJhLm5kPGQUCIc5XCDMRYsMiNQC4fy0QBicqHSdjxoZFklq+kwtXZhFaRKozIV9h48dGczoFcJRGuU6VYH7XuddPmJNRIx+UKwV15bAVgDv8QEjowQ75wDdxj4fMzJuEEuEQZdxg49UoEQ4Py0RBt3FAR8xJd5xnodGV1GyccvUCDe7iSEfLTLwkYuE87UlqBWwhzywFu04ykdpWhz5Wo8LX42SsV+MJ0d+rpLJyaRIwpPkaMYHTHQbMn5usgsWCRc0mlh+/R9ACBIhbLNh8+VLWCQsaECNNyA+j3XR2BClQdh1JOSJ8IGFIBWRA4socDrTTVEm1O1SBA+dJUaHOWPuliiX3g4sojiIna0827L8CJ6UlGK1HVgUi/1tcKrWjixxgutgJw/gou7LcqO+gRhubQcW7QtaypGeFZqMRvk4Md+WpYnyVXhS+CN9ZD6EcXQ0SfRJtkhve9V5QJVwElJtgePXu86TJELwTlid11glPK8j+cukeuTN6oGnb8fag485JMlrPPnzajRJGgRHi9docDGwJBURjQYWA0syoUYIBI9C20Yu7eKyJcqlN42WqSABjhBE+RG8YJcaLVkMXEoaJmiJEie4DrZGAxd1X5Yb9Q3EcGvRaIgFLeVI1xptMpokx+Mi8tNCHfkqiZWfJ9nY10fjeBSluQqzyc3+NZrTAxuN1jxuwmELHL/+NZogEYJ3wmq0j2z1QT1iobpdX6R731YHT385/Xm9pfacnRZlb9h9Mn23+tbu1X1ndrGubmjbkjSBxpvg3EpNkAbB3eKVWl2a8lXgudflBVFCInrNuW+/KcqDGisQLBoLOSS59KfWgsi5VNuy9AjusFOxthiflDTMwxIlTvAefLEGrOm+LDXq+4eh1qbV2tezlCN9eRu3NHT37lzEE2yB49e/VhMkQnBOWK0m37glaRCNN8i5lZsgDYLvJSg38BxUkoqIZoMbtySpUMMGgojKsqCInenqliiX3mRbEQbuCqBtWX4E19ipblsMQEoaZlqJEif4DrZuAxd1X5Yb9Q3EcGsTbu0LWsqRtsqtSZB127HlPNs2UixpYFdEZ/rSLrpji4t31WX8eXdsca2gcFboomOLC1GTICLgXVwf1sBz9GHZ4sO6CPFn86LD56qvzbc8MV953c4r+0dbdOjZB8uL8iBMgziMNdCuxbUxshCfID+hdi0uQmTZPV5VNrRrcTFSytcRCJt3+ZgYe2nXSjQw+2ubjxsZDLtt12KjRUZDYrtWkizbtRJwbtN1PmpkTCRJ6DPvXZQoDd0FsMPHjoxk3bdrsRFrImL0g2KtuLYEtgJ4jw8YGSXYiYbKg6RwYd7nY0bGje7atdhIu2/XWrqLGw3u4oCPmBLvOM9DpFWUZYCrKNm4L6Zdi40WGfio7Vrm4ViCWgF7yAN7aY8dUqhdK1E0mlh+/R87CBJZFQVN64NMlns4dhA0iMYbBJ+UumhsiNIgbB0S8j742EGQSt/HDoJUqJueCCLNxw6CXC7FsYMkP4JrJOVMbccOarFLDc7p2pElTvAd7Gyg6dhBkhv1DcRwazt2aF/QUo705e2zT8H+K021BY5f/8JNkAjBO2GF2+Xrs5c0oMYbEC/0ZjZ89ia2FRuePRKY2+Qz898X1W+NIv7Ae+HFl1788X/8Dy/+6MfmT6dv1Ca9N31r+pa3vxlrLwZttiFqM0Jk6ERVClIRUZVgU78kE2pIQ/BobOqX5NKbqGxo6hflR3DbnYrKxaSopGH0lyhxgutgi8qoAIau7styo76BGG5torJ9QUs50v3Wsjj9kJGJaSO7M5U6F17LwsS76jL+zGtZmFZQOCt0UsvChKhJEBHwjEz+nffPb/2jl88rRGyTRV0h4lWfmuW4W8vwegGN3qxXyOrKn1yx26ofFoP6lyic/xoFtZasG/jemReyXKnFp5/y7xDmGgt53EiQkWBRChMh8nCRog7hohQmRsohHQZhlBtH5rTjFhtjL0UpDXcIs3Ejo1rHRSlctMiwRi1KSU+LUsA5Vdf5qJHBjaSFz7SmpUWcBsqpDHf40JERiV6TkoZRGKugcALe5QPWRMDox8QacW0JbAXwHh8wMkaw84WGG4TZmJFRo8OSFC5SgZKU9LQkBXQWB3zElGjHeR6aHEXJhi1TkdLoJIZ8sMigRy5ISdeWoFbAHvLAXtpzjQwsSMloNLH8+j/XECRC2CDDZryX8FxD0IAab0B8JuqisSFKYzX2N9Ag5IjwUYMglZ6PGgSZUDc6ETziKC6CNHJGhi1RMpfirEGSH8GVkvKrM+F95axhMSAvaZh4KEqc4DvYuUPDBcKi3KivIIZb44LuYxa0lCN9eS8QzsAClqZ5GE5b4Pj1L/QEiRC8E1bodXyBsCB5jSd/bpEmSIPgaPEireECYUEqIiINvkBYkAk1QiB4JFoFhTt73xLl0ptGa7pAWJIfwQt2qtHyRUgHJ33tyBInuA62Rmu6QFiSG/UNxHBr02jtC1rKkb68Fwhn4AXCBdUWOH79azRBIgTvhNVoIhcIC5pA401wbqUmSIPgbvFKrfUCYUFCInoNukBYkAc1VmBYNFZxCHLpT63BFwhL0iO4w07F2mKAU9IwkUuUOMF78MUafIGwJDXq+4eh1qbV2tezlCN9eTv5M+gCYdU0+MKtW1H8etdqkkQIzgmr1eQ7+SUNovEGOa9yk6RB8L0E5QYehEpSEdFscCe/JBVq2EAQsbfhqNR5qrslyqU32dbQyS/Kj+Aau9RtajHUSTVM6RIlTvAdbN3W0Mkvyo36BmK4tQg3xIKWcqT7bbpyLqmRYk1zLYo4XGV30U1XXLyrLuPPu+mKawWFs0IXTVdciJoEEQGvx6Yr4fuCuSZFlt0T1CbUmsVFuCokJVuzuBgpxeoYhE2belyMvbRmNdwXzMaNjH3dtmax0SKDH7E1S0XL1iwFTqK6zkeNDIEkxbxqbhVHSRgUToPv8KEj41bnrVlswJoIGP2YWCOuLYGtAN7jA0bGCHZW0XBbMBszMmp015rFRtp9a9bSWdxocBYHfMSUaMd5HnQWa5OaOLOSkg37Qlqz2GCRQY/ammUejSWoFbCHPLCX9oQhh1qzVEyjieXX/wmDIBHCNho2L+7hhEHQIBpvEHz+6aKxIUqDsEtIyPngEwZBKn2fMAhSoe5vIog0nzAIcrkUJwyS/AiukZQvtZ0wLCbaqYYRhaLECb6DnQs0nTBIcqO+gRhubScM7QtaypG+vD31OdRqpRKqLXD8+hdugkQI3gkr3C5fT72kATXegHihdwnuCpa0GSEydKIqBamIqEqwgV+SCTWkIXg0N/BLkulNVTY08IvyI/jtTlVlshAh4FyxHVniBN/BVpUNlwWLcqO+ghhubaqyfUFLOdL91q04Dw2MTlSN7KJVdhdet8LEu+oy/szrVphWUDgrdFK3woSoSRAR8Kr3ZzcfmKWIPPNB2YnU9qjHyObBcih2dT/wHMKTV3YSLKZfR95zcVpEA5VVj+LvDJZDsb3n7LnNQMXPfjkw319oNYiiZ76eeM+pTA/yZ76ozI+Ok0Gk51+tK2cC85OjPB5kyn715s2XXGuzwV4b5OEmQbaCBTBMhMijTIoahQtgmBgpR4IYhOaJi4PU6d+32CAvvAKGixsZRTuugOGiRYZRagWMOq2AAWdrXeejRgZTkvY+82ykOizyIHY+1zt87MgQSC+B0XGYJ2kaaKdL2+Uj1kTE6AfFWnFtCWwF8B4fMDJMsDOUphoYLmZk4OiwBoaLVKAGRp3WwIDu4oCPmBLwWM9DkUZxFqSZC3fJxi1TBNPsJoZ8tMjAR66CUWtLUCtgD3lgL+1hSgFWwWgaTSy//g9TBIkQNuWwWfYlPEwRNKDGG5CQ/V6CwxRBmxE2RAlZKXyYIkil58MUQSbUnVwMj1xpFeTKGTS3RNlcitMUSX4Ex03K6NpOUxaT+lTD6EVR4gTnwc5Vmk5TJLlR30EMt7bTlPYFLeVIX97i6gKs0UmptsDx619WChIheCesrOyhuFrQIBpvELxMdNHYEKVBcL6dKDdBKiLKraG4WpAKNWwgiEQ6yYIiVC4yW6JkelNuTdXVkvwIvrFT5ZYuAj04zGxHljjBebCVW1N1tSQ36iuI4dam3NoXtJQj3W8dTOTcjzdiLGukF6/Su/BCGCbeVZ/xZ14Iw7SCwlmhk0IYJkRNgoiAd65CmGdnXnvPVXc8s0R2S/WeWaZ6M/Gregf29af2Wh9Xj+rvMqv9U/M4mBX3zNe+nP5385cenb3l5X79c+pH47b5wsPpu9VDr9BFMchyW1Nzy+7avld9lgbR8gqaMLYlN+mVS1Jx43gCNthPAPIclSCPwXIbJkLkqSle9TaV2zAxUk4fEQhTHQeF85xoiw3xwottuLiRobrjYhsuWmSophbbZKfFNuAcsOt81MiATRL4Z3oVklibhDNxQd/hQ0dGWXqtTZJEaZYD+nyXD1gTAaMfE2vEtSWwFcB7fMDIEMFOgkCnsc/HjAwaHZbacJEKlNpkp6U2oLM44COmBDvO89DkKEo2bJlKm0YnMeSDRQY9cqFNtrYEtQL2kAf20p6IRCFYadM4ieksTyzB/o9EBIkQtv2waXwPRyKCBtF4g+DTZReNDVEahF1NQs4HH4kIUlmN8Q1U8Mlhw5GIIBXqfiyCSJEFReL09FuiVC7FgYgkP4JnJOVLbQciiyGDqmFqpChxgutg5wJNByKS3KgvIIZb24FI+4KWcqQvb4W0EW5QLUtBNQaOYP/CTZAIwT1hhdslLJEWNKDGG/DcQk+QBsFbdyL0BKmICD24almQCTXMYHhEmQ4W04XPKj1BMr0pvaaiZUl+BFfaqdJbjChUDSMnRYkTfAdb6YGLui/LjfoKYri1Kb32BS3lSJv/++vBLB78VZOS67gEBth8000TmnId</t>
  </si>
  <si>
    <t>rtLsrQTG+SxeY+Nd9R0XUwJjv6X+G7OhOecshOHaQuFs0UUhDBeiJkFEwJtVbiwrOKL5Z9n81yi+efOlegGdq3rXq+5M36n19YP6v9t1cYtd4Du2pKmue6kLXR7UtS8/q3dRb9e7qfdcltlgWwZ5+kfQkFCBCBch8qyPIg3BAhEuRsqZGQJhHBZFkAGaj4uxrwoR92yGbT5uZCSjV4ioIgUrRNhokZGMWCGiw2WFiAYHJF7no0bGM5IOXjV3pusT9sIFfYcPHRl+6BUiUagiVYRBDpSIsBFrImL0c2KtuLYEtgJ4jw8YGSTYyQLoNfb5mJFhg1YiAnuMG3yk3ZeILL3FjQZvccBHTAl3nOehyVOUbNgyJSLNXmLIR4sMe9QaEfNsLEGtgD3kga3zoVirsRpP/NGRTkyyGhf+6DhO/CKLx5NMj49iNZ7xARPUhkydnaRCNSK6afSSgyeWYO9HDZJECPtj2Dz3Io8avOeube04PeG6qBk13oz4/NNFY0OUBmHTkJAsggcOklT6PXCQZELd7UTwSLKsCFKo11aSTJ8HDhooLRHlR3CopESr5cBBR/P9aQ1Op9yRJU7wHewcAlzUfVlu1FcQw63lwAGxoKUc6VlpyfhoMjpJCl8rdeSrLD/xR2mofRWN8+NoPDpO9Pxt7lfvAaUl85sSCcbAEexf7wkSIbgnrN7roibYSL9Pqg+rT83HL+z3/G/zm8+96/sNhcKSVtJ4K51bzgnSILjkTuScIBUROQcXCktSoQYTBJEksuOSgUphSS69ybk8D3Lnfsa2LD+Cv+xUzi3mGOqGwZSixAm+gy3nwEXdl+VGfQMx3NrkXPuClnKkbf3I06+r8Xq9FpJAii1p5Buv8u2pkCQKoctUuICRJ29YxfW/zhR+3D69KWX6E3trhv3UfMGKrkeDla9Vj/3qSV2K8FO7vWa/ZXH9hq1NeFzvvJkvve5VT8zn96q79bbda9X9+p+oxZz5jm9s7cJXK+LPfnl2c0tdsjL9eTC7giM2Qu5u9dhToWeLU+aqb14gUX/vN7NvVINw/q25/c578zuE77gWZJ29IAq3ILRyFqNb71m5OzPb/bnB353+0nB43W5gWqJ3n7Hg3Ow/qQtCausFLqLPs4lqElEMycX9KebxiPz6OpfHs63ZxDecv3nqghgXkw02E+T5JEHIgkUsTITI00i8Pm0qYmFipJzqIRAmOtDOE7wtNsJ+SljiIiiUC/g2HzgyiNJrWKIo1XARCxcuMopSi1iS0yIWcFridT5qZCgliXFHPb6KA+2sVtjhQ0cGHXoRi4pUGgeJduHd5ePVRLzop8TacG0JbAXwHh8wMkSw85UkjYB5LPt80MioQathafAYN/hQBYpYktMiFtBbHPARU8Id54mI4tzO6HEaumTDliliafISQz5WZNQjl7Aka0tQK2APeWBrEZmo8KQoEj8P1bGvdDryR+F44ifjOCzU+DjJTuaPDJgaN2wWsNNjsIRF0XhiCfZ/pCFIZFURNC3QeRLsZ3Po29N3XVTXRalqPFVCRudia/Lzv6iH+vyP6pPqU6/6rPowzrzqV7Zep+52eH2WtNd/7V373eavvLRI+us5QbefyfhdxtoQNRZhB5OQNMKnH4JURE4/jAtyMdkUZULdesXwCNMsgM4+BKn0d/YRpNDRhyQ9gl8lZVttRx9qsVMOzpjckSVOcBzsVCIPcufbty9Ljfr6Yai1nXy0r2cpR7pWfcVJlEcnifKLPFO+moxifxyGE/9Yq+OjSZafhCcXUMgSg4UsmmoMHMH+VZ8gEYJ3wqq+z+u7x2utt9paW+u9H9hDi+rJ7Ppy26db79jfmQug/0N/V7vMsC5qBo03A14RTt+1raozcedF4fTtqFHDCdIjuGKChgM3/gWZCEk4Z+K4KcqEGkMQPJIiiBR0jiBIpTcJF0MtZduy/AheslMNtxjxpxtmNooSJzgOtoZTeeAeeL0vy436AmK4tYm49gUt5UjXIi4+0uMkVLmfH5+MfVVEoV+M9NgPx0fmC7lWSTa+eQEizinjjYhLqcbAEexfxAkSIbgnrIi7ZctF6knVD6e/sKrldq1maqVmK5BnIu5W9bF7wNO6KF+N54tXay4aG6I0CM6VoMrspSlfBZ5bZr4gSkhGnLl4bIryoEYGBIumCg9BJr0psygPEmcQ35blR3B9nSqzxQg/3TCTUZQ4wXmwlRm4qPuy3KjvH4ZbmzJrX9BSjnStzPI0j4+y48wfJ1noq3Ry4hdHauwnRRIWJ8VolEzmlQP9KjPnE2CUWUY1Bo5g/8pMkAjBPWGV2dk+ser96rfVF7bry180f1Xvmc++qEWai/S6KGmNJ31ueSZIg+BhCfIMPvgUpCIizMIg1i4qm6JUqLEBQSQP8gK6QE6QSX/aLAzhbTNJggTv16k4yxaxHJz5tSNLnOA6+OIMXNV9WXLUNxBDrk2dta9oKUe654nZ0E5Y3kCviJNVehff5cUEvOo1/rXLq6suL+aCKNyCXKIuLyZRTSKKIWl7vPT8omPtPmXcYMNF1ukTxCl4ostEiCzKx2vOplYuJkZKbTsCoRPdFhtdL21cDfKQCxsZI7tu4uLCRQZJahNXftrEBU62us5HjYyUJG2NfTZ2+LCR8YTewAVh3eVj1USs6KfD2m9tCWwF8B4fMDIosNOOxuYtLmhknOiyeYsLNSdAxTwH+6de4kaDlzjgI6YEOM4TAb11JRuyTOMWhHPIx4mMcuSmrXxtCWoF7CEP7OU9X0jApq2CxhNLsP/zBUEihB02bL7c0fmCIGmNJ41P1Vw0NkRpEDYJCSkcfL4gSKXv8wVBKtTdTQwRF4stURaX42xBkiDB85Hyn7azhcUAO90wkVCUOMFtsEV+49mCJDnq24ch13a20L6ipRzpS1yTm0CNVfM2SoIxcAR7V2aSRAj+CavMzl2TK8lX4/meV5RJ0iB4V4Ioa6nJlSQkIs2AmlxJHtTIgGAB6DJJFv3pMrgeV5Qfwe11KcvScB7EU3CG144scYLj4MsyuB5XlBv13cNwa1FliAUt5Uhf4nb3BOqUSpuGWDiNgSPYvyoTJEJwT1hVJtXuLmkGjTcDXqzR2t0l6RF8MUHEQcURkkxk1BvU7i7JhBpDEDwg/SbIojf91tDpLsqP4CA71W+LMU1pw9wtUeIEn8HWbw2d7qLcqO8ehlubfmtf0FKO9CW+pDKB+qnSmGoMHMH+9ZsgEYJ7wuq381xSKUlV46niNdpFXlIpaSyC9yYoPvAsVZKKkORzZo2bokyoYQfBA5J8gix6k3zw/ZSi9AgutVPFt5jklDaM5hIlTvAZbMUH308pSo365mGotQm+9vUs5Uj33KIFSbikkZ5apXfhLVpcwKs+419btDpq0eIuiMItyOVp0eIS1SSiGJK2NSuft2jlUIsWFy6yGp+gScFdSCZCZOk9RWqCLVpcjKvhTKZFi4vuglu02LCRMbLjFi02XGSQJLZopadzttKGOVts1MhISVLW2Gdjhw8bGU+6bNFiY9VErOinw9pvbQlsBfAeHzAyKLCTjqYWLTZoZJzosEWLDbX7Fq30dL4W7CUO+IgpAY7zRMAtWlzIfbdosXEioxy1RSu1c7XcnuGQB/byHlkoqEUrVTSeWIL9H1kIEllVAE0LdJ58GXtkIUhV46kSErSLPLIQNBZh+5GQHsJHFoJUej6yEGRC3ThF8ICyTUEWl+HIQpIewaWSEqu2I4vFCKa0YaSWKHGCz2BnDw1HFpLUqG8ehlrbkUX7epZypC9xjbECO7801Rg4gv0LPkEiBO+EFXxiNcaCZtB4M+DFILHGWJAewRUT5Bu4uy/IREi9QTXGgkyoMQTBA1Jvgix6U29NNcaS/AgOslP5thi+lDZM0xIlTvAZbPnWVGMsyY367mG4tem39gUt5Uhf4s59BfaIpVRj4Aj2r98EiRDcE1a/nb9zX5CvxvPFCzUXjQ1RGgTnShBkbZ37goRkdJmLx6YoD2pkQLCAVJkgi95UWVPnviQ/gtvrVJUtBi+lDZO0RIkTHAdblTV17ktyo757GG5tqqx9QUs50pf4pksFdn41Da5wGgNHsH9VJkiE4J6wqqybmy4lSWs86XNLM0EaBA9LkGbwUacgFRFRBt90KUmFGhswRFwstkRZ9KfLGm66FCVI8HydCrPFzKW0YYqWKHGC2+ALs4abLkXJUd8+DLk2Zda+oqUc6Z5btJwO1WitvJGeXqV38S1aTMCrXuNfW7S6atFiLojCLcglatFiEtUkohiS/7NuzooH3vwzZR+UyLfPglk0u0fnJb5hb8j9g+F7u/pTdd/FaYPNCVmyT1Cv4EkvEyGyPh8vSpv6uJgYKWXuCISQ2mSiu+g+Li5sZCDtuo+LCxcZSal9XKejttKGUVts1MhwShLg2Gdjhw8bGXQ67ePiYtVErOinw9pvbQlsBfAeHzAyKLBzk0QVQa5coPf5oJFxoss+Li7UnAAV8xzsn3qJGw1e4oCPmBLgOE9EQx8XE3LvfVxcnMgoR+7jsqO23J7hkAe2losneZieHIf+SRye+OooLfz8uCj8o8lEhWlyMgrV/D0E0+GG/QB2Sgz2cRU0nliC/R9ACBIhbMNhk+qzBxD2tyaRuWOyutdsXjfL22yJiGdSvfds9lN9UH1s/vvkB7OE9vq+r032+p7LIOuiBtF4g+BzPReNDVEahF1GQnoHH04IUhE6nHDvpW2KUqFuj2KIuFhsibLo7XAiz4Mcyisl+RGcIik1ajubWMxsShumcIkSJ3gNtv4HF3Vflhv13cNwazuaaF/QUo70JS7l1VArVhZSjYEj2LtmkyRCcE9YzXbuUl5JvhrP97ySTJIGwbkSJFlLKa8kIRFhBpTySvKgRgYEC0CVSbLoTZU1lPKK8iO4vS5VWbaY2ZQ1DOESJU5wHGxV1lDKK8qN+u5huLWoMsSClnKkL3GDvIYarLLmiRYOY+AI9q/KBIkQ3BNWlUk1yEuaQePNgBdrtAZ5SXoEX0wQcVDZhCQTGfUGNchLMqHGEAQPSL8JsuhNvzU0yIvyIzjITvXbYmZT1jCES5Q4wWew9VtDg7woN+q7h+HWpt/aF7SUI32Jb7TUUCtWFlONgSPYv34TJEJwT1j9dp4bLSWpajxVvEbr6UbLmy+57LUhai+CAyeIPvAwVZKKkOpzJo6bokyokQfBA1J9gix6U33wpZai9AhetVPRt5jblDXM4RIlTvAZbNEHX2opSo365mGotWm+9vUs5Uib//vrmvlc7Nhf/qpJ3HXc9ZW6+BpZlzTwzfWZpra+ur5i9+nuNTbgVSci2fVlVMn96oltpqpPPh9V982f1f1Tr0/fnf+W2c5VfV59WL3fZ1cX1+AKZ3BaV5cL4vNsiJoEEQGves+o00+rzzzzye/NUn1QvV99UG+wflz90a9rFO2f/z7w4mVD1sCrvjRS9nH1wNODumWremT+PIgim5qaX+LZL2r2i579ks5+yWa/5PUv6eyLaWYeiC/sE7h8Iq8s+sPMH8Pql2lFZLE/QdWCW5lMhMjKfopYBTvAuBhXA+I5O8CSKE+B8sQtNsZe+sDiNA8yZ7Ta5gNHBldGJ1iYJWAnGBsuMroSO8Gy04leWcNELzZqZIglafQzclWnSVgE8178s3Kcix0ZrejtYImK8izJg8L5Lu7yEWsiYvSDYq24tgS2AniPDxgZJ9iZTKLiIHNaeZ8PGhk6iE1hsNO4wYfafVNYdjrcC3YYB3zElJjHeSKisIhDHQeF80CxZAOXaQ1r9hRDPlpk8KM2iGV20JfbSxzywFq041AXUZhP/DQ9mvhqpFO/yFLtHxWxmqijcJyPL6BBLIUaxDJF44kl2P+xiCCRVWHQtEDnyL+fTrvr0pZ5CvwH2zlmC5OnPzH/vTb7Y/O1+uRkdklGdcvkah/OMrT3qk+q39SZ3BcDLwmhPfZ1UZNpvMnw6amLxoYoDcIOJiE/hE89BKnInHq4eGyK8qDuvCJYFFrnyn1N05Yol95OPrKgcO5JbMvSIzhOUlbVdvKxGP+UNYzzEiVO8BvsfAFa031ZatT3D0Ot7eSjfT1LOdIzWZeMR1EehX4SpeZ7zY/0i3Ay9o8mcXGsj/IkzOZr3q+scz4BRtZpsjFQBPuXdYJECN4JK+vQPWTODcJ1UboaTxcvyVxCduDVJ0KPXGK1Pq6xtx+Y/79vC5qN3J2dDJlPZpXe9t46r/qn+ha726dfvu+l2SBOvfpQ6cvajo/i+hio+tL8wDvmB87+RnXHm5fU2Fvz6vIauxZPnloaA+R+9bVffW2//bH5GXWRzbxyfH73nPmx0/9e1yndDlyLtSG6WIQAQhCebY1ygoR6lZ+CPKjhD8Ei0aEKsvk4o7P6U5BMb/rTRKoQEqCS/AguvlMBuphflTUMJBMlTvAfbAGaJ0HsvF9pX5Yb9RXEcGtToO0LWsqRvsQ3T6Vgv1xKNQaOYP8KVJAIwT1hFaj8zVOSBtF4g+A1qovGhigNgvclqDd421CQiohug2+ekqRCjRsIIiqzuzBOF7glyqU35VaEQJDfluVHcI2dKrfFjKusYWiZKHGC72ArN3BR92W5Ud9ADLc25da+oKUc6Z5HY2QuekaLZQ30ijhdpXfxRdJMwKtO41+LpLFF0kyDK5zBOymSZkLUJIgIeNUn1e+8f37rH61hraWjLIjM+xfG2qs+XQzlmB3oP6yfhjfq8/ufXLFy+8NiUP8ShfNfI7Own88eqek787rnK15d7OzcI95gG2I1sAjWOTMRrmpN0TpnJkZKzRcGYZQbh+i04xYbYz91znkYpMoFfJsPHBkfu65z5sJFBkhqnXN2WucMzvO6zkeNjJIkWX1mTzuJwyQEbjnd4WNHBhx6nXMUp4XKM6B0f5ePWBMRox8Ua8W1JbAVwHt8wMg4wU4+bP17BlUucEEjQ0eXdc5cqAJ1ztlpnTPoMA74iCkxj/VEpKlKdFA491FKNm6ZMudmRzHko0XGPnKZc7a2BLUC9pAH1qLFjYa0fMDctyH5Z+e/YJlz87yPMzyxBPs/jRAkQthyw2bQ3QziliSt8aTxKaKLxoYoDcKuISHBg08cBKmshvIGKvhMEB7ELUmFut+JIBIXOsice7dbolR6O3CIwihInbF1W5Ygwf2RUqO2E4d8sUENzi3bkSVO8B1s0Q+v6r4sOeoriCHXduTQvqKlHOlLXK6cgeXKBdUYOIL9yzNBIgT/hJVn5y5XFqSr8XTxwoxYrjw/7HlQ329iK4Pre07Mf98uRm63Fi0bIyh1mYqWBZeMEEgIIrStaFmQkIgUhYqWBXlQgyCGRWIiukqgkwtBMv0p0YaiZUl+BEffqRBdTOrKGkaviRIn+A+2EFVxoCAdKsmN+gpiuLXp0PYFLeVIX+LbEDKoaHl+XEUxBopg7zpUkgjBPWF16GW4DUHSZBpvMryWddHYEKVB8M8EfQduMkpS6VPZSfKghhUEi0SrIgmcMXJLlEtvwg6+DUGUHsFxdqnr8sWsr7xheJsocYLfYOs6+DYEUWrU9w9DrUXWIdazlCNd3wP9lJ4BdduPJ0evvvjySw5DsGQbsHOYN804yfWZ+66h0mYYLUWMnVY3A4XNXLirj1mDcZGS638a8TTbcLI7ffc8o6RuV1/aglZbhlqrqCe1trJdY2/b7a7ZeLVlAbSLoFFR0ZUtNsszHhKmeT4HWR7uPGd8XjwwH7T9kJsPRWQ/KPuhGOwkobIf7GeR/Syyn8UKcp9cxorOGKxUcdLctTR3Lc1dS3PX0ty1NHctzV1Lc9fS3LU0dy3NXYjmLp+mptPEl7gYlnuW5Z5luWdZ7lmWe5blnmW5Z1nuWZZ7luWeZbkHsdzjs8S/pfxYYNmWlm1p2ZaWbWnZlpZtadmWlm1p2ZaWbWnZlhDbks32THVVC1vaYzu0FIeW4tBSHFqKQ0txaCkOLcWhpTi0FIeW4hCiOORTxMc0YlWWYXhoGR5ahoeW4aFleGgZHlqGh5bhoWV4aBkeWoaHEMNDHkNLcV6kZYn2Ns0hhqq08riRRQauEw4sM5IHuRvvNTbe1TB3zjalj+anQA9sDK/7gH5a93evBvWnuoqe+u5nmprm7UT2ev/X7WEXNJmLy3w13An2C3EhahJEBLzzDlVw0dtg01vNxeS6gLgIkaXchG0ZuAuIi5FSEY1AGOs4DHL38PEtNshe2oASewuM8xnd5gNHRh96G5CKc7ALiI0WGX6IXUB5vOwCysGBT9f5qJFBiJRorZq7SNPITjtwHrfs8LEjw0h7yuTo+MiLKAWnHbARayJi9INirbi2BHY2l+ECRsYJ9n5dFOsgddax7vNBI0MHrQsI9hk3+Ei7bwJa+osbDf7igI+YEvI4D0QSpXmUB8r5IJds3EJNQI1+YshHi4x8xHTTPhxLUGeTRw7YWiqbzDIJT4798HiifRUXsT8+ykI/P8kn4+M0nxyN9IwPmFf+cNTt6X59vu+iabLLhEYTy8+VgTbQomShLiLXRIkQzqiw6emHTyWadaXiXbub7NsCRvPVJ/Nrye7PqyrtIf7wxb/5m7975cW/Hc3P/A+uXveKMExmv9s/2HvB2zg82PNip1deFzWQxhuIkCJ+bEsfFpUOSCs9k8Ffe2X0f7/s7b/y8snJi94L/87X2qurSx0Tpk1u+aH9E/PV122pxPtX7Bc+juqU9NeR+eNf2Q+/MUGk+sJ++KD6erb//8xPmteoXjFZa10gO/95s1OF+/XOgy3UMP/cYvnqf+D9+gKUd6pvXEu3Ibp0hGNIQvoLly8IUhEpXwihEdaSTKgHqAgemU6BlHRLlEpv9QtRnKRBrlwMt2UZEsIDKXFsK2FIFkfe4BivHVniBN/BTomSLAee231ZctR3EEOurYihfUVLOdKz2lQ1DuMoHPn56ET5KlWpP45GhX9yNEqPokSF2Wh0s3/16hTpRr0qqi1w/PpXr4JECO4Jq17PdrDPRSlwr+5Mmn1lfvOmPXmpD2bq1py6laf+Gw/q5qE7defPffCERdBMGm8mvIZ10dgQpUHwyZ3oOUEqQnoOumVXkgo1mCCI2MAYgYpOkEtvii43MUC5+G3L8iM4zE713GKgU94woEuUOMF3sPUcuKj7styobyCGW5uca1/QUo50n7fswpWouoFdEcNbvjiwFOGFK15h4kWeG2L11UUUrzCZKxzzTopXmBA1CSICnlDxCpMe8lCSoPbA4hUmQuQJJF7ENRWvMDFSTvIQCHWkgxBqF2JC7Kl0RQW6cAHf5gNHxp6OS1e4aJHBh1q6ok9LV8B5Sdf5qJEhiKRYz7x3RR7mKXAn5Q4fOzKI0EtX4jhUCqqp2OUD1kTA6OfEGnFtCWwF8B4fMDJIsGV9FGfAvRD7fNDIuNFh5QoXqUDlij6tXAHdxQEfMSXecR6IVKs4BtoPSzZsmcKVRi8x5INFhj1y3YpeW4JaAXvIA1urZNQpgeUDppQNOTU3rQTrVlIaTSy//nf+BYkQNrKwmekF1K0IGkjjDUTIDlfqVuxRx7fzmSfLepOGQpV/58dh6C5HCWfZ/CfVr9srUKJOK1AEF4Gw60jIYeETC0EqQicWUAWKIBPqdimCR6RNZhkBt/RKcuntwKK5BEWSIcHTkxLAtiOLxRy5vGEwoChxgvNg5zaNJSiS5KgvIYZc25lF+4qWcqQv60znphOOjGoLHL/+haggEYJ7wgpR+ZHOkgbReIPghaeLxoYoDYL37US6CVIRkm5gsYkgFWrYQBDJMhMBnacCW6JUepNuDROdRfkRPGOnwi1bhHlwNNaOLHGC62ALt4aJzqLcqC8ghlubbmtf0FKOdL+1Js502Cix5uER+Sq7C681YeJFHvRhhdRF1JowmSsc805qTZgQNQkiAt5FD1bmGgJ54EiQhWBVChMh8nQRr/aaqlKYGCmndBiETYOVuRgvviyFCxwZpjouS+GiRcYpallKflqWAk5mus5HjYxWJHF7xtxah1EKPNg7fOzIeEMvS9FGO2U6SJw+d5cPWBMBo58Ta8S1JbAVwHt8wMgowc4AGstSuKCRgaPDshQuUoGylPy0LAV0Fwd8xJSAx3ogdBhnRVA4LV2yccvUpTS6iSEfLDLuketS8rUlqBWwhzywl/Y4IAHrUgoaTSy//o8DBIkQNr2wWWwPxwGCBtF4g+AzRxeNDVEahD09Qt4HHwcIUun7OECQCnU3EkEkyrJAucslt0S5XIrzAEl+BNdISpnazgMWU9HyhjF3osQJvoOdDTSdB0hyo76BGG5t5wHtC1rKkb68BcUJVMdRNM+GcdgCx6934SZJhOCdsMKt/4JiSQNpvIHwQu5ZGz16urp44NWDkX85/bn93fT1+ivAFXc48w68+vcP6ytZbtenCearV7xrB1f/7V5t3a1ZhbK9Me9pXJ9Uvw5ai5I7vRZPciEJ4agLKStJRUjKOk9hN0WZUOMogkeiVVC4N1i2RLn0pmQbi5JFGRKiRZdatliMgisaRvuJEic4D7aWbSpKFiVHfQkx5FrELGJFSznSdrjfYKZ9epwG5HxhjUyNGljmGt7zxYGlyM9ni1yc4eAaGy/y2BCrMs9f5GK/Y6ZkrPZCl7pw+Ssc/y5KXbgQNQkiAt6y1CWK5rUu5mWI61oXoyzfn92eUt23nW33PRVEA8/8Lx54yfKSleq+i+IGmyLyeJKgAKEiFi5C5FkkXtg1FLFwMVLO9BAI4zAFBiJssSH2UsMSF9BZ3jYfODIKMWpYsjgInadc3+OjRYYhYg1LES1rWIoIrmFho0YGI5KIPXNfQlikRtE5Db7Dh46MI/QSliJTSRwkTlexy8eriXjRT4m14doS2ArgPT5gZIhg6/wojgPttPI+HzQyahArWECHcYOPtPsKlqWzuNHgLA74iCnRjvNAxDrOTQDULtglG7ZMAUuTkxjysSJjHrV+xTwZS1ArYA95YC1ak1Emk/C48I90PvZVenzkjybFxC/UaKwmJ/okOprzATPLhhSbm11C9SvzC3vQNLH8+j8GESRC2NjCJqhPb6UvDzi86pa9H336llf9trpjP/WyZ888XNzXRblrPHdC5vevo35qO2yILh1hW5KQ0cJnGoJUej7TEGRC3U5F8EijoIihIw1BKr0daRRaBcq5VtuyBAmOn5QMtp1oxIv9b3CG5Y4scYLrYGc6jScakuSoryCGXNuJRvuKlnKkL29dtQLLcxKqLXD8+telgkQI7gmrS+XrqiUNovEGwYtVF40NURoE79uJcBOkIiTcnNnspigTatRA8IjDIAVPNgSp9Cfc4KpqUX4Ex9ipblvM8ysaJjSKEid4DrZua6iqFuVGfQEx3NpkW/uClnKkbSHKU57HqrEeC1K0i60RZqqJbRqusu2pIKWAbl3h4l11IecsSPm0ngZzf/qTpa6qnszmHxpV9fZsu8nuI51erjKvTbF7TF/Xu2V2j8nWtHzjTX9W75gtqlIe2B9ihNkj8y0/tXeCzL5t8PSfPK6+Wm5RvVGPXvzGInhY/3b2U6u71WMvHMS2ZsH83OnPpm+4TLrONqnCmbSTGhcmRE2CiIA3r1gZPFWycjoZ6KnaFvieFu09F8fRINJmXb4zmH8tiLzn1KAo7NdcFthgWwB5vknQnWAJDBMh8jATLyebSmCYGCmHggiEcZwGkXJB3GJD7KUEJkpjHWjtQr7NR44MfPQamDhJk6AoXHC/x4eLDH3UIhh1WgQDzhu8zkeNDIAk/XxmCzDN0jAK3HcI7PCxIyMNvQpGJ0oXcZBBZTBcwJoIGP2cWCOuLYGtAN7jA0aGCXaS0eA49vmokaGDVgfT4DRu8KEKFMKo00IY0GEc8BFTYh7nkWh0FiUbt0wlTKOjGPLBIkMfuRRGrS1BrYA95IGttaQ6zrKjSeKPzff5KtWxP0omY18Vo+NonI6Oc3004wPmtA1JPjevBUthNI0mll//Rw6CRAg7a9jU+OyRw/wcwX3ygK8YcVlnXdQ6Gm8dfArporEhSoOwi0jIA+HzB0EqUucP2kVlU5QKdf8TQSQxwsVdgr4lSqW3A4i0CLQzqm3L8iO4SVIC1XYAoRf71eAIyR1Z4gTXwc4NwEXdl+VGfQEx3NoOINoXtJQjPatnjoskjqOxf1wkR75SsfLzOAz9STQuinEWpdlk/rT3KuKgupGUagscv/5FnCARgnfCirjfPXVEcdur/qm6V31dHz7cn77hVZ9vJMkPrKYLle2ftV+/V31Z/2ldYOvPvgiVya6LWkPjrXFu0SZIg+B5OxFtglSERJu72HBTlAo1ZiCI6DTQiZPKliiV3kSbCgP3VsS2LD+CW+xUtC1G8BUNQxVFiRNcB1u0gYu6L8uN+gJiuLWJtvYFLeVI16JtXBzrkUpyPx5FhRF4+Yk/1qPYz1OVHx9Hx8exnm8w9yraEpctjGjLqLbA8etftAkSIXgnrGi7Na//WNyO8s2ss+le9c18B86r/lBXjLxVV65YdVe3bNkNttm3P6ke25aqD6oP/boQ+L3qk+o35uNn1RcuC62LWkjjLXRuISdIg+CNOxFyglREhFzkzv02RZlQwwiGR6Khi9q2RLn0JuSiNEig8l9JfgRX2amQW8zkKxqGLIoSJ7gOtpADF3Vflhv1DcRwaxNy7QtaypGuhdwojcNRmJz42cnIlgpHkT86OZn4Sh/HJ6NJeKRPxjf7F3JOr2WEXE61BY5f/0JOkAjBO2GF3IeOCuD7Vp89VfTrfW/yyuiHI++Ho1dG//W/vjhXeEa13a9PWb+ZK75yM9Iq253/zuQX07fNB3vt8COXqdZFTaXxpsIruu9tHFzduertXD24+v3vb9W3Azw2qtfq3ge1yn33ijdr2zdfv2ctZP/4W/NH98w3vzd9zW50mm99s3pY3yRweyaZbfn0vPT6iZeH9sJk81fs4fUbV2zF7/waALMm5pN3Zz+vumO/ZH7qH83ffW121fMVL5kbffp2Oihqy8+uXp5NezT/tBfbLwau9dgQXQ9CfCFIU7BAWJCJkDINMxeVTVEq1MCIIBKrKCicVLZEqfSnTFWYB6Ezim3LMiR4/061ab6QMuAUtx1Z4gTfwdem8LLuy7KjvoQYdm3qtH1JSznS/Y4AT13sjN4sGtgVcbHK7sKb0Zh4V53GvzajncpPpkkVzqSdNKMxIWoSRAS88zejORP/DTZDZBdBF1qSiRDZMUDSiGCzGRMjpfAegTBXSQDNeuNCvATNZlzkyMDWdbMZFy4ytFGbzYrTZjNwwNh1PmpkgCMp4rP77VmklALmQ+/wwSNDCb3bLCoKpbTxGM63cZePWBMRo58Ua8W1JbAVwHt8wMhAwU8cGtvNuKiRwaPLdjMu1JwAFfMg7J+6jBsNLuOAj5gS9ViPRKO7KNnAZfrNml3FkI8WGf7IDWfF2hLUCthDHthLe1qSAg1nSdg8wegMTSy/vk9LRIkQ9suw6e8FnpaImkrjTYXPGZ89LQncpyUfGyv+dDZRqa4Hum1Lu016ec9mkvMycPt99fXW3uz25/pbHkxfH3inxd/20/rEZHZWEpw5bomiWBcHrvOS1H4gn5aIrgdhx/P8Ga4ok35PS0SpUDdqEUSKMA6y/197/9okyXGcicJ/pYyfKHRnWV4iMiOxpg/AsDnWo7k0unrQXbWzJsusiwQTCcgA6N095xjNSIKkuC95BFLU7nJBEiChtXNkds6ed4iLCBIgYLa/oPov7G84P+CNyLr0oCou7l7lmdUmycTCXGpmnsfT0/3xcI8I+0zEKSuXg2iX8DJEhH9Ucehvl2Tx8gbC5Q9sxB/wEkcED3rV42mX8LLDvoUQdv52CeSRDvhIH+5Udu7YSpct7/ZB2ALGr315ykgEEZ+g8rT9qWxWC0m4heCq1EbjhJUGIh4jxJxrKpuVCpOas4aRu6xMsGkEwEPGeepYRTll5dKemHNOZfPyQ4TKvUq5ZJX3nbe/PeAljggddCnnnMrm5YZ9AyHcQkIu/EAHfKQP90yE3LG9LluuYCNsAePXvpBjJIKITlAhx3smAqs1JNwaO4s2RhqIyLsX0cZIhUW0Oc9EYKWCzRkAImkS90urAD1lpdKaaHOficDLDxEW9yra0lWOd9+AxkscETrIos19JgIvN+wLCOEWEm3hBzrgI324p5Hmjq102fKuV4QtYPzaF22MRBDRCSra2j2NlNU6Em6dnUUcIw1EJN6LiGOkwiTiHKeRslLB5hAAkSTN+1K6VBwjl9ZUnPs4Ul5+iDi5VxWXrZK++z40XuKI2EFWce7jSHm5Yd9ACLeQigs/0AEf6Xa3nFlnU7QuEz52WbzJruMtZ2S8myHjX7ec3Wg2okkFzKR72HJGhihREAHw9rDlzNx1lhbJcayeuQEtSc0vK3Ecp8470MhWAO42QKhN59AeESFwZwFcRLq3pZExYgb0AQgz6bi545SMsJ1daYnI+8sjurdVHxU5MPftd1caHS4w++F2pWk4q11p+ofOXWl01MAciJLM22uARaoSh4M8oGMHJhv8pjSVlUKmfWUF/JAOWCIBg/3EGPFoDWwD8CM6YGCWINcVnsBxRkcNzBz725NGh7r3PWk3AeMlT8A4pyPGpDyKS3iDxYCMm2dLmjdQXNDBAlMfckea8Y01qA2wj2lgD7bpUDh3pEkcTSi/9psOjEQQi2nQ6rjtpgOjdSTcOvAq0kbjhJUGYuEQUQa6mw6MVNpuOjBSwS55AojIrJ/mViqnrFQOoufAyQ8RJlEFVKjnIFdL1O4r0HiJI0IHuTbw9Rw4uWFfQAi3UM8h/EAHfKQPd9y3cO7byrG2gPFrX8QxEkFEJ6iI4x73ZbSGhFtjZ9HGSAMRefci2hipMIk257gvIxVszgAQUapfFFYqp6xUWhNtvnFfTn6IsLhX0Zavcrz7CjRe4ojQQRZtvnFfTm7YFxDCLSTawg90wEf6cDfbF849Wr5bRKy2gPFrX7QxEkFEJ6ho62KzPaOFJNxCOws5RhqIaLwXIcdIhUXIuTfbMzLBphEAjzTJYvvZ7qesVFrTcb699pz8EJFyrzquWKV99w1ovMQRkYOs43x77Tm5YV9ACLeQjgs/0AEf6UbHFfEsnUhRR1UtZSSyWkS1DhtRJWdqpuS0iMsudJyw2ULrOIW1BYxf+zqOkQgiOkF13A5nev50fTVX83MZx+XiN+xXezW/tzrp02a7O6y2k3DbwRXelw/5tJ/xabXG9oVoxnzHz9x3tnm5WbrL5WaslkWkDoTodE7+MjJh0pzO4zoZqWBzHoBIVpT9Ulq5nLJyaU11lnncty+P3uMliAjse5WdaqVS3Jeb8RJHxA6y7HQ/1TNecth3EEIupDvDT3TAR7rdjWbWUkIrydLLLtlk1/lGMyLezZjxrxvNbnQk0aQCZtK9bDQjQpQoiAB4+9hoZpVqJ2SOwA0C+xCTRITAzQAokejcRkbEiJmpByDMi34mbAhPyQjb2UbmudyMjhyY2fa9jYwKF5jbsNvIypttZO7LzeiogRkOpYi33CMuRS4cQ4EP6NiBqQS/jSyRZVLqcGF1kYd0wBIJGOwnxohHa2AbgB/RAQOzBLls8F1tRkcNzBz73EZGhaoQUCGOcHYTMF7yBIxzOmJMyiO5hC9YDMi4ebaReQPFBR0sMPWht5GVR2tQG2Af08AatLBbJgwfZ9HqqdqphatrG1nivUVjmyaUX+tNEE4iiLUyaO27QxNk54vNOE0l4aaCF4zknsd2yyNViWmE6N/+oLH+4vqzP27cZrbXRginuRGLmXuoXTmZtNwI4aSCXYQFECnSfmzXAKesVFrrg3ivLWNliAjuqLIv0AhJVndcJZ5ry1iJI2IHvaLxXVvGyg77EkLYBTohgEc64CN9uJPUjtVaLT69N3/YbAHj1774ZCSCiE9Q8dnBJDWnhSTcQnDNaaNxwkoDEY8RWs45Sc1JhUnMWcPIXVYm2DQC4CFi4UiJp6xU2tNy7klqVn6ISLlXJbe65Crx3FrGShwROehKzj1JzcoN+wJCuIV0XPiBDvhIH+4xBsq1Iy5JsbaA8WtfxzESQUQnqI5jPsaA0xoSbo2dNRsjDUTk3YtmY6TCotncxxhwUsHmDAARnf5UZqVyykqlNdHmOcaAlR8iLO5VtK0uuUo8t5axEkeEDrJo8xxjwMoN+wJCuIVEW/iBDvhIH+4Bosq1/S3JsLaA8WtftDESQUQnqGhr+QBRTutIuHV2FnGMNBCReC8ijpEKk4hzHSDKSQWbQwBEEs0kdlxMwUmlNRHnOUCUlR8iTO5VxK3uuEo8l5axEkeEDrKI8xwgysoN+wJCuIVEXPiBDvhIt7uXzDp3qGWZ8LJLN9l1vZeMinczZPzrXrIbyUY0qYCZdB97yagQJQoiAN4+9pJlNo4nZI7AXQIIKemcxyMiBO4IgCtEz14yKkbMYD0EYZb2c6sZT8kQ29lMlsmin1iD7z06cmBq2/NmMjJcYHJDbiZLbu4kSzx3kpFRA1McShFvuUdRluaQDGsMe0DHDswl+M1kWr7JJO3b19If0gFLJGCwnxgjHq2BbQB+RAcMTBPkssETOM7oqIGpY4+bychQ97+ZLLm5k8wdMM7piDE5j+QSvmAxIOPm2UzmDRQXdLDA1IfdTJaYO8nsQeIxDezBthQctaCuXSWOJpRf+y0FRiKItTJo8dt2S4HROhJuHXiRaKNxwkoDsS6IqAPdLQVGKm23FBipYFc0AUSSsq/s+fSUlcpBtBQ4+SHCJKqACrUUVldYJZ47yViJI0IHuTbwtRQ4uWFfQAi3UEsh/EAHfKQPd5i3dG7KyrG2gPFrX8QxEkFEJ6iI4x7mZbSGhFtjZ9HGSAMRefci2hipMIk25zAvIxVszgAQyXQYtB+zdMpKpTXR5hvm5eSHCIt7FW2rK6wSz51krMQRoYMs2nzDvJzcsC8ghFtItIUf6ICP9OHupC+dO7D893pYbAHj175oYySCiE5Q0dbFTnpGC0m4hXYWcow0ENF4L0KOkQqLkHPvpGdkgk0jAB5FKfuFa6iDkUprOs63k56THyJS7lXHra6wSjx3krESR0QOso7z7aTn5IZ9ASHcQjou/EAHfKS/tXhX4ywt8yzK47GItOSbRaosJpFS+jeScV7V5fKht6rjhM0WWscprC1g/NrXcYxEENEJquN2OI7z3eU3/lmrvg+euZssiZX5Af1qMk4TSrgJ4UKPfExnf/uczsTcJmOx7V4P5mQ0MCKRICSocxCYkQmTAnUezMlIBZsBIURE0i9ja1V+ysqlPQ2amDlC69O6x8sQEef3qkJXF1olnivKWIkjggddhbof6xkvO+xbCGEX0qHhRzrgI93uvrLEKie0tCy99LJNep1vLCPi3Ywa/7qx7EZREk0qYCbdy8YyIkSJggiAt/vGMvvs/QmZ4mZWYNxXRkQI3ByAkonOfWVEjJgZewjCVPSldTXnlAyxnX1leZY6hjDv0ZEDU9u+95VR4QJzG3Zf2c0lZYnnkjIyamCGQ2niLXvHmf4/x8DHAzp2YCrB7ytLSyFj2VdWRfuQDlgiAYP9xBjxaA1sA/AjOmBgmqAXDu7AcUZHDUwd+9xXRoXKsK/s5pIyd8A4pyPG5DyKS3iDxYCMm2dfmTdQXNDBAlMfel+ZuaTMHiQe08AatLA7JQwfZ9XqKdvJlatrY1nqvzRjiyeUYOttEU4iiOUyaPG7Q1tk51vKOE0l4aaCV4yb7Y+Nlsb8PTP805v/0qwJNLeO/eH6O71HA22QJ82ZL/r/kiSV5bmuOX+wuI3s+d7NWLf/irLcGDQzH/g+CKelEUuZeyhcOZm03AfhpIJdgYUQ0fk/c52tx8mlvT6I74YyVoaIwI6q+QJ9kHR1nVXquaGMlTgieNDLGd8NZazssG8hhF2gDwJ4pAM+0oc7V62VpzWjaOXpv+bDYgwYwfaVJyMRRICCKs8OBqs5LSThFoILThuNE1YaiICMUHPOwWpOKkxyzhpG7rIyweYRAI9CFH3h6GpwUmlPzLkHq1n5ISLlXqXc6kar1HNFGStxROSgSzn3YDUrN+wLCOEWEnLhBzrgI90IuZkU46oQcTStJ1UkiqqIqriWUS2kmqXjaVxmsycdCDnrLJ4WcinWGDCC7Qs5RiKI8AQVcsBjDZJ8uajYCLrv2qjfYaUu4dThCm2D/Z3p69M3XnmzFxfHvTuLpVX7GVsnrFQRsXgvKo6RCouKc59zwEkFm0UARDIdFoWVyikrldZkXF70M2u8v8fLDxEn9yrjVndcpZ5Ly1iJI0IHWcY5H+oZLzfsCwjhFpJx4Qc64CN9uCeMahknbMbQMi7DGgNGsH0Zx0gEEZ6gMq7lI0Y5rSPh1oErPRuNE1YaiFC8FxXHSIVJxbmOGOWkgk0iACKJ6uf2aaVTVirtqTj3EaOs/BBhcq8qbnXJVeq5tYyVOCJ00FWc+4hRVm7YFxDCLaTiwg90wEda/9+/O16Il3/rU2l73mXmmtQTHpoq37qcrbVdZtbGzItkvJux41/ALrPPr78L2mVGNamAmXQfu8yoECUKIgDeHnaZpXbXPiGTBG4gQIhK57geESFwswBcK3r2mVExYmbuIQitufSUDK+VPWZppnTotRr2Hh05MLER9piVKuvb/eDP6HCBmQ25xyy9ubss9dxdRkYNzG8oXby1PJ1ledzPrQZ/QIcOzCP4LWYiKfLU4SAP6XglEi/YS4wNj9bANgA/ogMGJghy6eAJG2d01MCkgdxh5g4ZL9Gh7n+HWXpzc5k7XJzTEWOyHcUlfKFiQIbNs8HMFyYu6FiBaQ+7vyw195bZQ8RjGtjD7Sokzv1lEscTSrD9rgIjEcRyGbTsbburwGgdCbcOvDy00ThhpYFYGkQUgO6uAiOVtrsKjFSwi5oAIqk9Fp6y8jiIlgInP0SMRJVOoZbC6pKr1HNrGStxRNwg1wW+lgInN+zbB+EWaimEH+iAj/QBb9Ry7LDQEi7HGgNGsH0Jx0gEEZ6gEq6LjVqMFpJwC+0s4xhpIMLxXmQcIxUWGefeqMXIBJtHADyUNR+estJoTcT5Nmlx8kNEyb2KuNWlV6nnFjNW4oioQRZxvk1anNywLx+EW0jEhR/ogI/08vaLTI6nMxXN6kRGIptkUSWUjOI0llU9mU3ibtbhMpsxtIjzXQViNQaMYPsijpEIIjxBRRzhnCcj7r6iNdrT+UfXb80/nD81P18d/vS5/U6Mwd08iZM4Pl/8NI/j58z/ksRzChSjISXckHCtt7TSg6WVYKdAuU95+trXcg08jc+PbQc+NR/lkyevGgMeb5z59HwvXRyv1TySd7Qof6p/6ztGa/9UA/nV/Gc2k5+wmhyRYRC61DlfwsiESZZaF+XusjLBZkYID2nfv3HKSqQ1Yar/ZdW3T+Tc42WIiP17laare7xSz8VsrMQRgYMsTT2P9YyXHfYVhLALidPwIx3wkW7EKew63vbFqdUDtDhVWGPACLYvThmJIAIUVJwCTxCIxVJG6d//bfO7Rgd9Ht1oK5s17rBaQ8KtAVeYNhonrDQQwReh2tyriYxUWGSb58AARirYpAEgkvWtPE5ZebQm20TcL12ijZMfIibuVbStLr1KPfeYsRJHxA2yaHM+1DNebti3D8ItJNnCD3TAR9rsM/vWMyneqcnemI7ffOW1Vy2GIEmyzMZTq7HSyzPd5OnaaOZGixFaN3vNrHBfJMPddDOPcYFy6h+NLmq6sL9vFNIHZjnqi2am7vNmq9cfm9E786MPjns3v3b9o+vvN5vAzC9oUaV/20ZVC6ry+VMy361g6Sa8W6wcPH7w1QdZFh/rD2E+Cv0hYleYpNIReDrOQWMrh4eGw0PD4aHh8NDF4SGdg8RzgA8gawqPDIVHhsIjQ+GRi8IjOgX4a0QP1obKwFAZGCoDQ2XgojIgU9maWQ9QwXnThcF/YfBfGPwXLvwXdPzwdIEcZdfwHxv4jw38xwb+Yxf8xzT4jSst4Js00tp268w1t575jupWuXA+BBhYYgbsO6YrXiTj3UwKO+62/iedAN8yqwnmv6t1Bdt+64+X+55vUp7ZgP2W/sYnpldmFhw+axouby9/qv+aZgHiIzPitFii0D9bDK8vNlGbltqXZt6XW61tm70Xo/Dmi59e/8d+0xrSWfiH8497qe/mFKqVN3MV4wZsKkSJggiAN//V/L/0/uf3/nMvSRY73M0mkbSfxqns9+Y/3dqIfdxbbtl+Zse2jeIJmeJm0cS3/ZqKELiTDr5+4tl+TcW4mfB33H6dxnlfWM14SobYyhbsLC6dQ1Rk4MBcR9mBLXPnDmwyXGC2Q+7AzuL1DuzMeZvGfTpqYM5DVUFbE/WZljr91OrYD+jQgYkkXPFs4U3ipCj60gr4IR2wRAIGu4kx4tEa2FY9QwYMTBLkVTV32DijgwbmDewObGfIeIkOVSGgQvzg7CZcvOQJF+d0xJiER/EIX6gYkGHz7MD2hokLOlhg3kPWrcY11qC2ClUSWIO2jmWZxGoa5fl4GolK5lFZ5DIal6mYinFcq3r5Qjpr2G9W++2uN/+10dSVrO+uAgtNKD9bteuhhal4bUReZCWCaCTtVAp/aM6XWtS7ZjP1aqrTuY9nsS/bs49H10uxq997h9VkEm4yeNFoo3HCSgPRSUMUhs4OPCcVlg68Y2ySkwe2AQhgUaSp6Bc2KqesVFrrwBf90pqT7/HSQ8RNVDkVaMBnq0t6Ms+tS6zEEWGDXCq4nukZLzXs6wehFui/A57ngI90I+rSsayzWKhITWZm23YSR2Ul6yiux/oXlBRZUT9pX9RZHUCLuhRrCxi/9kUdIxFEcIKKumaPiRFqpvPQa3aMvH39t4uWvhmEbOYltVT7ZWItOu6w8pVwvjsrMkYaiNCKUGSmD/Rhv2fv7HydlVCruoyRBzYxAFh4V/8ZqbSmy8wVA8LG7x4vP0Ts26swW127k3nuUWIljogeZGHmfKhnvNywLyCEW0iZhR/ogI/04sTDmYrz2SSOZmls7kDPS/2nyjIaT6cizrNZFYsultsc05NZhrUFjF/7yoyRCCI6QZXZ9oGH9pMOFyfj/GL+k2Yl7efzX+r//Wq5Dnf/LJJJb/4Tm0HusBpEwg2ys3RjpIEIvgjp5l5MY6TCItrcZxxyUsGmDQCRLO6XuTUCnrJSaU23lXE/dQ13cPJDRMa96rbVRTuZ5+YkVuKI0EHWbc6HesbLDfsCQriFdFv4gQ74SDc7Wo7XgsXIsRZHeq31pFZmwss232Tb0kiv47jYF8l4N0PIjiO9f3/9o+bMmQ+Waqo5tGb+MXysdz1la/bB9GQzXrvvgV6bBe+QLShgFtzLuC4RokRBBMDbx7iu/uI/6efzdHlO5fK6rd/qX/jdquPdt5nhhGwG4LQWQmw6R3qJCDd1JOtILxEjZsIJgNC7qEeE2MpIb676hTUY36PjBqY6/ERvEseJe6KXCheY7LATvTd3KmWeO5XIqIEpD6WYt+wtEqWzttWvH9ChA3MNfqJXv4V56noRH9IBSyRgsJsYIx6tgW0AfkQHDMwR5KrCGTXO6JiBWQM30OuJGC/RoTIM9N5cqeSOFud0xJh0R3EIX6QYkGHzDPR6o8QFHSww7aEHes2dSvYI8ZgG1qAdy+mkjFUZ1VMpI1FPTV+izqJ4lqq8Sid1XckFH2cF6ynpqVWsc6BX4mhC+bXfYWAkglhHgxbCTWljjg+9KW0c47y/NYVsM7rLPN7LaEAJNyC8yLTROGGlgVhWRBSJ7o4EIxWWjoSwn0t1l5UJdj0UwKNMVV+VNiqnrFRaa0iYtZjcxu8eLz9EIEWVV6GGxOqansxz7xIrcUTkIJcOzod6xssN+wJCuIUaEuEHOuAjfbiDJI5L5rXMy7G2gPFrX+YxEkFEJ6jMa2GQhNEgEm6QnWUbIw1E8N2LbGOkwiLbPIMkjFSwaQNAxDtIwkilNd3mGyTh5IeIjHvVbaubeTLPVUusxBGhg6zbfIMknNywLyCEW0i3hR/ogI+0EW4+PbbfwRFrHNJKrPCwK7OtMZnOB0eIeIFdNKiQus2DI0QLCpgF9zI4QoQoURAB8NgGR5ptdmbh9IeLhVLX6AjREMC2IEJeOkdHiAiBTUC4avSNjhAxYnppAITe0REixM5HR6i4gclu36MjVLjAdIcdHSluRkec9+ncp6MGJj2URsY0hB/QoQOzzf5HR6iAJRIw2E2MEY/WwDYAP6IDBuYIch2hX8R+7loApoIGpo19zo5QoTLMjhQ3syPOcHFOR4zJdxSPSOOiUP1U2GAPyLC7mR2hggXmPfTsSHG0BrUB9jEN7ME2FdzHmvvuMLHQhPJrv6nASASxdAathVtoKjAaRMINAq8bbTROWGkgVgYRVZ+7qcBIZTPHe6jAy0NPU4GRCnZNE0DE21RgpHIQTQVOfojIiCqYQk2F1fVcmee+NVbiiNBBLgZ8TQVObtgXEMIt1FQIP9ABH+nDnfl1710tsbaA8WtftzESQUQnqG47wJlfRgNKuAHhOs+2JXTDhltL/b2lTX6t//f+/D9pQfzz3tdfefWVN/7yL1756zf07y7v2fv4+nvX3+ud3U1lL3Xa7ITVZojMsBdRyUiFRVS6B4wZmWBTGoCHd8CYkUprmtI3YMzJDxG196opy5UEKT2akpM4InKQNWVS9jPX+jInN+wLCOEW0pThBzrgI7068WQZQ1s+8UTY2L6QCf8NF2qTbUuDK4VrcIWKF9jDg4o+6z2+X55N0XLld735z+bvzH/RM5Klt9Q3RuF83kypLAdMzPjLx0tJ+EEvMb9hBiJ+bzPAHbIBBMwAuLmTJb0kPZauGxG/RkYsUYghaPcxhmLjeELmCOweImSha8KEihDYKoSrPc+ECRUjpuMGQOibMKFCbGfCpCz7udW29+jAgWkJP2KSSuEeMSHDBSYm5IiJuLlvUHjuGySjBqYnlLrdHjERQkc8YV31fkDHDsws+BkTmQqZZI5rzx7SAUskYLCfGCMerYFtAH5EBwzMEuQSoJBZP7Za+YwOGpg4cDMmnpjxEh3q/mdMxM2Fg+54cU5HjMl4FI9IpBSZ6mfW1YwBGTfPkIk3TlzQwQIzH3bIRJgbB+0x4jENrEGrsslMCplGSlV5JNJxEikh6miS1/V4lkxiUSz5OAtOTwVOLTpdQybCf1HPFk0ov9abFZxEEMte0Lr1naYE/b3ZLvGpWUN/T1dw7zU30tjo3WGlJ+H04DWejcYJKw3EGh2ijHOu7nNS4VnddxV7jESwa4sAGiqVed/aez9lpdLa4n7pkID3eOkhghyq+gms7YvVdXLCcz0gK3FE3CALe9czPeOlhn39INQCS/uA5zngI90osOmsmqRZNYtmdT2JRJamUZXURRSPs1KNUzFt9sC2rsAc4yLLBS6ELWD82ldgjEQQwQmqwH52M9dw/aP5x711I+GZParNb8y/0FpN/+L1j1bzIx+Y6ZH5h8u2wefz35vVai3mmt81a/DPJWkcP5dKe4F8h9VUEm6qndUcIw1EVEaoOeeiPCMTFjGX9GNpo3KXlQo2nwCIpEneL4S1Oj1l5dKankuyol9Y12/u8RJEBM29KrrVNXTCc68gK3FE7CArOo2yn1s3KJ3xksO+gxByIU0XfqIDPtKHu3VLuE4hWbZ2ELaA8Wtf0zESQYQnsKZj37rFaRAJN8jOyo2RBiL6IpSbex2OkQqLdHNv3eKkgk0bACK+rVucVFpTbp6tW6z8EJFxr8JtdQ+d8FwsyEocETrIws2zdYuVG/YFhHAL6bbwAx3wkW50m5TJuJZiElVipr87FeOoVmMVyem0nFZVqtSqu9uqbhM2W2jdJrC2gPFrX7cxEkFEJ6hu+0ezmDb/dLHU9nRx2ltzFJxZmvt90xZN4ucS+Vwz32qjfIeVsoRT3lmZMdJAhFe4Mrv+4fV3bVS+zkqFRZmljtGVu6xUsIkBQERI1U+llcspK5fWpJnS8dwaxO/x8kMEv71KM7HK5M5Lth7wEkfEDrI0cz7UM15u2DcQwi0kzcIPdMBHutkB9a1nkrlTfL0xHb/5ymuvWixB0F6u1TLppVlu0nRtfXJjxQiq1e4nK9gXyWA3fcxjWKBoeq/Z56Rlk+k+2sBqTSSfPyUj3op1bsi7hbrB4wdf1dErP36QFdIV26gkBJ6Ec97VivyhQf7QhfwhHbnEI4cPv2rgjwzwRy7gj+jA4a5Oj6aGwMAQGLgIDMgEtoajAwRw/nJhUF+4UF/QUcNDN3JQWoN+bEA/doF+TAPdOMuTNvOPcwo698EvYqfNwWhJGci595YIF/5iQnPQ/2n6Ks1Z7sshGnOI/G9NYrr+0fLgFOtR7s0vr7OX/oKNqM5fuclfRLZt569C5y+ZmQ+TyWSpP3Lz09z8hoapPzJXdqNSbCO7FTq7aV4PDa+HhtdDw+uh4fXQ8Hro4vWQzkvieaHi2SND65Gh9cjQemRoPTK0HhlajwytRy5aj+i04C/gzpmx0JlR0xsYegNDb2DoDQy9gaE3cNEbkOmx581C503N6cJwujCcLgynC8PpwnC6cHG6oHOCJyRSVi10VtWUHhtKjw2lx4bSY0PpsaH02EXpMY3SM6uZJnm1dO5F82ljoVNv4WWROh8MDCwx75rTL2x4XyTj3UxGDOdeNHOrZgX982j+O52Q32pS6yf6x+ZulrfN4Wabmfcp/LgLIu/NDLWX4y5sEL9GhihREAHw5u+b2eLe/L3Ifo/ACRnq5ioc4zEVRITA3cbwRXnfMRVEjJtpeMdjKqTq564BViLCVk6pSGWS9kvXZCoVOTCL4I+pkKVwn1JBRQtMI9hTKm4uQhGei1DIqIHJBFXWbL13okhV7liQf0DHDkwI4XplaxxJqEQ48D6k45VIvGA3MTY8WgPbLjKogIE5gtylSUpV9KU14J3RUQPzBu6UCnfIeImOlOGQipuLUNzh4pyOGJPvSB6R5EL7RJnbcA/IuHkOqfCFiQs6VmDaQxaJxjXWoLYrQArYRgDNEpXMMhHpV1lEYlqlUR3H02gixWQ8LdQsni1t7ywOv1ntcypr8ekqEX2Hi1toQvnZykgPLUwpaSPyIisRxGACtMb8zfzj5iDFpz0z49OUk0/Nf5sVX3Octqkdt0e2zG+Z35HPSZsZ7rCaQcLNAK/nlreemmMjF0dLmsPBP16eh53ExhqJNcucsHJFjGTsoyBkZMIyzaULR2tAuctKBTtLAiAiy35iz62nrFRaG+ZKc4dKu8fLDxEzUaWUd/bHcFrN/niuSGEljogc5DJBqL6wiqwzXm7YFxDCzftAzyAPdMBHulF06azKKqkmkYozFYl6nEd1Pq6isZwldZWmqq4mT9pXdNZcohVdibUFjF/7io6RCCI6QRXde4uTLMwZ2J81t3h83DTsP13Ktu8udd2yKfC+/u1Fz/57RuH15v/dXOFhhJB94vsOqzkk3BxwZWfhqNktWitPF9sRPm/M0swtXP/4+u/MEeIfG/N93GjAj3vl4jITI4U/y548eTWN415zBveTV6U6zhP9ux/0558914uP0+eS4zj70yQ9joue/nfemv+233zRZs0TVmsiMgBGO1qHJr/OyoRFO8b9JLZyucvKBZu7AEyStB9blw9OWZm0ph2TOC9FP3XJR06KiAC9V/m4ujxDeG5DYSWOCB5k+ahRpH1pfaxnvOywLyGEXUhAhh/pgI/04o69cTadVOksqsq0iESV55ESaR1N00rVMo7Lahya1eQQkNYg/EK2dAyELWD8WheQnEQQ8QkqIN9Z35zSXAX3HaODtDL68Uoyvjv/zfxX+vPv5z+fv9/TX/+J/uF/mv9aK89fmAv05r/pvXAnSawJ6Q6rMSTcGHD5aKNxwkoDEXoRus15uAYnFRbh5ogYd1mZYDMGgEemzOEa0sbllJVLa8ItjZ2Lfqz8EFFxn6pNxssUL53XEDzgJY4IHWTV5nyoZ7zcsG8ghFtAswEe6ICPdKPZCiUms1qqqEzrMhJTmUWqHI+jST2b6b9Hjeu8izausNlCa7YEawsYv/Y1GyMRRHSCarZ/uP67xY3H1z/uzT9qFqo2Z4JPR/ejCy3nmhHi629rVff54kSO5Tlqn68P4TCfmetYW07DSLhhdtZvjDQQQRiu39xHcHBSYdFv1srgLisPbO4AsBBJ3E8dq26cVNoUb9IxOMzKDxEe9yreVofaS88lBazEEXFjF/Fmf6hnvNywLyCEW0i8hR/ogI/04kRbMSmK8TSLav2XRSKXaVRl0zoSZTVJ6ryaKDl+0r54kzZbaPGWYm0B49e+eGMkgohOUPG2faLtcqnNfrBtsyzX3Gv8kWlaRvo/n+jf/WL5rU/0b/xx8S2bde6wWkfCrbOzgmOkgYjEcAXnWYFjpMKi4NzH23JSweYQABHVL0rr/MopK5PWNFyu+vYrwe7x8kNEyb1quNUh9tJzLQErcUTkIGs450M94+WGff8g3EIaLvxAB3ykmyPUjtfpwEizFjfTO+bqZOZlKzbZtrSZPncdZEPFuxlCdtxM/16jlz5c7otfyCzXuTW/mb8z/+my22nbSf+fV78rF1NgFt53yLwFjPc+NtNTIUoURAC8ZmNJs5k+P2621GeL/4jFf6xz8Sdk+MDNkwhl59pPQUUI3CgJF2yeDfZUjJvZYMcN9qrsp5kN4SkZYSsb7IvEcTDAPTpuYF7Bb68vEuXcXk9GC0wsyO31Mltvr5fOk+3v01ED0wtKnW4JtUx7dWGNXg/oyIEJAr+5PhdxXvTN37+N9yEdr0TiBTuJseHRGtgG4Ed0wMD8QNbvzpBxRscMzBi4rfXucPESHen+t9avQ8VLnlBxTkeMyXQUf/CEiQEZNc/Gel+IuKBjBSY87MZ67RhrUBtgH9PAGrRjOZ2UsSqjeiplJOqpitSkzqJ4lqq8Sid1XckFH2eh6KmcqcWia2O9FDiaUH7tL+ozEtkUA77nA6w3/0lXjma31afNJG1TbX54cxvxs1uwmrmNZlF/8fN/NIv+19/T//uB/t+3F19fLekvD1x9zwzaRs3Ndj+Z/2r+D/rz1/P3j3tZ7FplvsNqQAk3ILwqtNE4YaWBWL1DVIfudX9GKizr/sLeOrzLygS77AjhESd9mVm5nLJyaW3hP0n70nGtHSs/RCRFlVahhf/VVRvSc3cKK3FE6CAXDs6HesbLDfsGQriFFv7DD3TAR7rReSpX6biYFFGdFXEk8uksKseijrIyi8tZWVXZdFnLtKrzXG0BibUFjF/7Oo+RCCI6QXXe9vDG/Kfz/6R12bvzX0Xzd8x/GpH2zvz9ZrzWRvoOK2kJJ72zNmOkgQiwe9FmjFRYtJlnJoORCjY1AIgkWT9TViqnrFTa02axZ1sUJ0FE+NurOJOrXC494oyTOCJ20MWZ86me8ZLDvoIQciF1Fn6iAz7SRp75VNd+xzCsy4dab+UedmUmN9l1PoZBxAvsk0HlUvtjGETeAsZ7L2MYRIgSBREAT0vV/9L7n9/7zz3VM+buJUU/0SVHnGoDv6vN/1GzUtk8sk+bMwG+2yxV/uD53vwX83fK4+Y/Sbz8b9K30T0h0wW25RDizzm2QUQIbMLBNZ1vbIOIEdPMAiAUQvRj64aSUzLEVuY2Mh0traH9Hh03MBER5jZKl7b4MzpaYCbCzm3kN3MbuWdug4oamI9Q+nXrtRNFkvYLq8Ef0KEDUwp+cCOTscq0XrECfkgHLJGAwW5ijHi0BrYB+BEdMDBFkDW+M2ic0TEDkwZycsMZMF6iI2WY3MhvJjecweKcjhiT7Cj+4AsUAzJsntENb5C4oIMFJj307EZ+tAa1AfYxDezBruk77oDVNabv7gcLTSi/9tf0GYkgFrWgReqe1vQZSUs4aXj5Z6NxwkoDsS6HKOvca/qMVNpe02ekgl1QBBDJ835unxo8ZaXS4pp+0s+t2eoeL0FE+EPVRN4VYMNptQLsvMzqAS9xROwg6333Uz3jJYd9BSHkvE/0DPJEB3ykG3U2KeRMlmUVyUKUkdB/X6TKWRFNK/1VoaQsxdLdW1VnrokLhbUFjF/76oyRCCI8QdXZP23cU9VcXtWc7D9/2hyJ8cxs7cZZtYt52V/rz7+f//f5L+a/6J3dSZPeA5td7rDaRcLtsrOAY6SBCMJ7EXCMVFgEnDV03GXlgU0dABZKqX6ibFROWam0pt5Uv7SK03u89BDBca/abXWVkfTcTcVKHBE2yNrN9UzPeKlhXz8ItZByCz/PAR9pc0jG8aJf3uLhGNZHqzVZ6WGpCvcqJgwsRmt9eSrDivdFMl5gFwwqqYhTGcs7M/+4FFs/07/zC3Nig/7Re4tfSz2DGUTqAkZ9L4MZRIgSBREA7+Z8jGJxIoZ1Ef+EDBjYN0NIOOdoBREhsEsGV2a+0QoiRky3CYBQ5NJx3fYpGWIroxVS9BPr479Hxw3MJvjRCqkS92gFFS0wnWBHK8qb0QrnHUL36aiBSQUlRbcKIpkmhftMDCp0YFLAj1akRVykqQPwQzpgiQQMdhNjxKM1sA3Aj+iAgSmCLNedQeOMjhmYNHCjFe6A8RIdKcNoRXkzWuEMFud0xJhkR/EHX6AYkGHzjFZ4g8QFHSww6aFHK8qjNagNsI9pYA1a2NZKw8dZInpqZWqZ6BqtyGMcTSi/1hfvOYkg1qeglebhHYvBaUAJNyC8GLTROGGlgViuQ5SIzlV+Tiosq/yOE/XvsjLBLjQCeOSla9H0lJVKa+v8nlMxWPkhAimqugos9Oer68tyz310rMQRkYNcOXhOxWDlhn0BIdwCK/2ABzrgI93IPKHiWTkWeSSUzCJRTJOoGmdxlIl4UqTTWSyy5dvcqsxzzGjk/utdLLaA8Wtf5jESQUQnqMz7x/XVcn8wezOfNvfQfXv+x+sfLW+ZW15X8r355/qXvyTnzFfMN1L5nP7/LI5jdw+B0yoSbpWdtRsjDUQEhms392V0nFRYtFvsukyYkwk2dQB4JFnZL5RjSIOTS2vircgcm1fu8fJDhMe9irfV9WW55z46VuKI0EEWb86HesbLDfsGQriFxFv4gQ74SC/uo5upOJ9N4miWxrNIjPNSC72yjMbTqYjzbFbFYhlkWxVv1gisxVuKtQWMX/vijZEIIjpBxdv29if7RXRGqZmjHn7SLLj9fP5L/b9fLZfv7p9FMunNf2IzyB1Wg0i4QXbWbYw0EMEXrts8a26MVJh0m2trFCcVbNoAEMnLvnIuujFSaU23KdVXLt3GyQ8RGfeq21ZXluWeO+hYiSNCB1m3OR/qGS837AsI4RbSbeEHOuAj3e5hZ9aQqpVY5mFXZvkmu67Haql4gRNQUCHVxVgtlbqAUd/HWC0VokRBBMDTqnU5Vpuki7laq/+fkBEDh6YQAs41V0tFCByRgusyz1wtFSNm1AiCMFbOuVoqxK7nasm4gelkv3O1ZLTAfIKcq81vrprLPVfNkVEDswpKhG6bu8z79qusH9CRA5MCfqw2z7JYOqdqyXglEi/YSYwNj9bANgA/ogMGJgiyTPdM1ZIxA1PG/qZqyUj3P1Wb31w15w4V53TEmFRH8gd3mBiQUfMM1fpCxAUdKzDhYWdqc3PVnD08PKaBPdj1eumcqRU4mlB+7a/XMxLZFAO+5wMsM1tYr2c0iIQbBF7Z2WicsNJALLohyj33ej0jlbbX6xmpYJcLAUSSvJ8JYaNyykrlINbrOfkhIiOqVAqt169uGss9V8exEkeEDnIh4Fuv5+SGfQEh3ELr9eEHOuAjfbhDstI5JCuxtoDxa1+3MRJBRCeobmtrSJbRKhJulZ3FGyMNRASGizfPkCwjFSbxZq1s77IywaYOAI8s7efOGVlGKq1pN9+MLCc/RHTcq3Zb3UOWe26WYyWOiBxk7eabkeXkhn0BIdxC2i38QAd8pA93H7t0zsjmWFvA+LWv3RiJIKITVLsd4D52RgNKuAF3lnmMNBDBGi7zPGt0jFRYZJ57HzsjE2yWgfDIs75ziY6RSmsyz7ePnZMfIpDuVeblK1XgvCTqAS9xROQgyzzfPnZObtgXEMItJPPCD3TAR3p5Yq15pi2eWGttZGsBV3hYqmKLZWujtVa8L5LxboaObkZrrfcIG8llFms2bhX4ODxrS7SFgNliL7O2RIgSBREAb993C/cWElz/iWck+G/1L/xuJcBtBjkhGwQ4qYXQjc5RXiJC4FwWRg66R3mJGDHzTQCEvtuHqRBbGeXNZD+3TtHco+MGpi/CKK/I3aO8VLTA/IUd5S1uRnmd1xjdp6MGZjGU+N167aRKtFsLG/QHdOjApIOf5U1FKswSpRXwQzpgiQQMdhNjxKM1sA3Aj+iAgSmCXCA4g8YZHTMwaSCHeZ0B4yU6UoZh3uJmmNcZLM7piDHJjuIPvkAxIMPmmeb1BokLOlhg0kOP8xZHa1AbYB/TwDY1UCpFrcvSqBqbNkSVllE1SbOoLNJ6Wsh6nIp6wcdZk3qKc2pd6hzn9d0YY6EJ5dd+a4GRCGJFDFradtla6H31xdMH1jh4h9WMEm5GeMlpo3HCSgOxTIgoFN0NBkYqTA0G6wLnXVYm2PVNAI+iLPurLf/bhScjlzY7DKl1BfAeLz9EPEUVWaEOw+oKtdxzJR4rcUToIBcQzod6xssN+wZCuIU6DOEHOuAj3ai9uh5Pq1lWRlKIcSQKNYuqPJaRSGo1Sepqksn2h4Bz5xBwibUFjF/7ao+RCCI6QdXePjZvaeH3q/k783f15/vmO/+P/slvevfPfDu6GK0k4VbaWcwx0kBE5L2IOUYqLGLOs6OLkQo2lwCI5Hk/ty9MnLJSaU3MlXE/dY2LcPJDhMu9irlylfudF1894CWOCB1kMed8qGe83LAvIIRbSMyFH+iAj3S7J7BZ1xxfyIrYw67Mik12XY+JUPECG2xQdXUQYyJUWwiYLfYxJkKFKFEQAfDaGBMxK6TNn/rhYmXUZpITskmAXUCEZHQNilARAnt+cCXoGRShYsT0zgAIfYMiVIhdD4qQcQMT2H4HRchogRkMOShSxOtBkcJ5l9J9OmpgHkPJXkz/9wEdOjDt7H1QhAxYIgGD3cQY8WgNbAPwIzpgYIoglwZC9TNrsDujYwYmjf0NipCR7n9QZB0sXvIEi3M6Ykyyo/hDmghV9qVVRgzIsDsZFCGDBSY97KCIdo01qA2wj2lgD7Z1ULgGRQrfnTUWmlB+rbcOOIkg1sKgxW1HrQNOK0m4leA1pY3GCSsNxPofog50tg44qbTcOuCkgl25BBDxtQ44qRxC64CVHyJcomqoQOugWN3RVngu3WMljggd5PrA0zpg5YZ9ASHcAq0DwAMd8JE+3KnfwjUHUqRYW8D4tS/mGIkgohNUzB3q1C+nGSXcjHC1Z9sXumHJrQ5Ab2mZX+v/vT//T1oH/7z39VdefeWNv/yLV/76Df27199tDPvx9feuv9c7u5vKXuo8iuWE1WaI/LAXaclIhUVaOkeMOZlgExuAh3fEmJNLa9LSM2LMyg8RvPcqLVfXyBWeewFZiSNCB1laJsZrbdzOeLlh30AIt5C0DD/QAR9pc4jJM0HUKMYWDzOxxlgtHjMPW1WoTbYtTak4Vi5fJOMFdveg2u/d+W+1vHiqlZ2ZOlnNqKwHULRqWUiYj4wIMccB629+Mv+dUXvXb13/3fV/1D/7rGf0TTMQ8VSrnM+dwyhEygJGeS/DKESIEgURAM/MBS3uBxQ2pCdkpMAGIELAOWdEiAiB7T6MLnPPiBAxYtpmEISJdCyLnJIhtjUjojIb7nt03MD0gZ8RSdLSPSNCRQvMH9gZkZt7AQvPvYBk1MAsghKhW6MASRb3hdWrH9CRA5MBfkQkEapIHFfWPaTjlUi8YCcxNjxaA9sA/IgOGJggyDLdGTLO6JiBKQM3IeIOFy/RkTJMiNzcC+gOFed0xJhUR/EHT5gYkFHzDIj4QsQFHSsw4aHnQ8y9gPbw8JgG1qBVdaXGajqLiklVRKKsdLWYFXE0K8qkLFQ8TtUyRDvrQU+BTK0JnfMhAkcTyq/9lgIjkU0x4Hs+wLLyvWbN+gtdJi6Lyo/MDTNNA6GpLZt7ZK6/b98Q</t>
  </si>
  <si>
    <t>8fH8971lg+G/m3aDqUOvv92b/3L+U+tjvsNqHQm3Dry8s9E4YaWBWIFD1H7uxXtGKiyL97G9K3mXlQl26RDAI836sbQug56yUmlv7b4o+4l1q9o9XoKIMImqm0KL96s75QrPJYGsxBGhg1wVuJ/qGS857CsIIRdavQ8/0QEf6Wb1/hn94pRpb0zHb77y2qsWQ5BUmjW8aoUmvTzLTZ6udXs3Woz4ulm6t8J9kQx30808xgVKrP9Ti6vvLAZwr380/7h3s4x//aPl6IVjt+nGAr+NqJZU8vlTMtutWOmmu1uoHDx+8FUd/fJj/VHqD5WaD2k+lP4oE/MhzEdx/EDEsSt8UnkKPE9ntWkl99CQe2jIPTTkHhpyDw25h4bcQ0PuoSH30EXuIZ2cxJODl6ea2yPD7ZHh9shwe2S4PTLcHhlujwy3R4bbIxe3R3Ru8PeRHvUNx4HhODAcB4bjwHAcGI4Dw3FgOA4Mx4GL44DMcWsNJMAR55gXhtiFIXZhiF0YYheG2IUhdmGIXRhiFy5iF3Ri8EyFXDPRvB4bXo8Nr8eG12PD67Hh9djwemx4PTa8Hrt4PabxeqYQN6mttYZ66lw6yX0sVOJ8OjCwxKzsycxEvMBWCDQt/2KxXjH/g8nHTV/8b5ttMJsJ+tkjH26+bW3AL770QS81ffZP9W9ajw24Q7bAZhLj7K8TIUoURAC8m/66dbfqCRkpsH2CWGNx9teJCIHNEvjSia+/TsSIaToAEKaydGzrPCVDbKW/Lsp+Zn389+i4gdkE318Xaerur1PRAtMJtr+e3/TXnfeA3aejBiYVVPGz3Z/URX2/cDXYqdCB2SBcz2zhjctMFv3YCvghHbBEAga7iTHi0RrYdu1BBQxMEeS1NGfQOKNjBiYNXIfdHTBeoiNl6LDnNx12Z7A4pyPGJDuKP/gCxYAMm6nF7gsSF3SwwKSHrBeNa6xBbdeBFLCNIC+rcqLSOpJyWkeizidRJaZ5lKkiSeU4K2dq+T46S8RvVvvtsafmvzaaulD03kmyTRPKz1ZMemhhCkobkRdZiSCaR9BK851na8YPmkb5h8tF3s/nv28OCnx72Ue/mL7+zdfGr73eO3/hfq+MY7msKd+Z/3L+rs0Yd1iNIeHGgFd0vfm7mv8flyfz3Vjgy7W1ZhzFx70XHl6c3H1hsffu1/oP/ny59+7/7n3ZrL+a/+zJk1f1b/9usYD+Jfs2P77+8fO9pNfs+dN/6vo7veWy/CdNuW82+r2t/4brHzQL8d99fv0EbFY/YbX6puzwWB1RnbonABipME0AWGel7rIywbYfATyKol8Iq/47ZaXS3gRAGjtk4z1egoggjqrstoTFxgRAseoXO6+Ke8BLHBE6yFWL+6me8ZLDvoIQct4negZ5ogM+0o3GzGcqzmeTOJql8SwS47yM1KQso/F0KuI8m1Wx6EJjuqYEvNel2GwB49e+xmQkgghPUI25j3O+7p9FviO9GA0i4QaB60wbjRNWGojouxfhxkiFSbg5j/RipIJNGwAimeqrwlpln7JSaU25KU3QJdw4+SEi416F2+omsMJztRsrcUToIAs350M94+WGfQEh3EK6LfxAB3yk27wNJHUqsdLDrsy6OWfBNxZCxAvs4EGFVJdjIUQLCJgF9jIWQoQoURAB8G7GQpLsuPmPdW3/hIwY2PtD6DjneAgR4aZEYx0PIWLEdMwACPOs6BfWOaBTMsR2xkNEX7nGQ6i4gVllz+MhVLTAtIIdDylvxkOc937dp6MGJheUFt2aeVJSyf5yFnVbdVKhA7MCfjwkzctEFP3MNR5CBSyRgMFuYox4tAa2AfgRHTAwRZD1ujNonNExA5PGHsdDqEgZxkPKm/EQZ7A4pyPGJDuKP/gCxYAMm2c8xBskLuhggUkPPR5SHq1BbYB9TAN7sEv3zn0Ey7UBME0ov9aX7jmJIBaooBUn/9I9p0Ek3CDw6s5G44SVBmL9DVHyOZfuOam0vHTPSQW7cgggUsp+njtKSE4qh7B0z8oPERlR5VJg6V7Fy5Ve5bx17QEvcUToIJcCnqV7Vm7YFxDCLbB0D3igAz7SjW4rlUzK8ayIkrpKIzEdy6iKKxklMzUrxCwZF9X4Sfu6zbHQr/w3k1hsAePXvm5jJIKITlDdtsNYbxYe6+U0hoQbA67ZNJWnSw3bTPN+DhjyXR429sH1j5qLN5q+i/7dv13+MS2AmztKPjfC9/Nnbvb+pLc8f+yPPcs5GZ6pYZ4Z4az31cWNK0ai/4n5N575G96b//T55knH5pk3g8qWB37C+sARKWov6paRCpO6zWxM7rIyweZWAI+k1LkiK2xcTlm5tKZuk1g6R4pZCSISyF7l7epuMuW5bI6VOCJ2kOWt+6me8ZLDvoMQciF9G36iAz7S7Y6mWKOqVqyplx34KLG2RlOoeDdjxu0dTaFaQMAssI/RFCpEiYIIgHczmuIYSaEiBfYbEQrONZJCRQjsLsKFmWckhYoR06UDIExFIfqxsGE8JWNsZyal7Etpw32PjhuYTvY7k0JGC8wnyJkUla5nUpTz1q/7dNTArIJSodt7vFKpVD93nFlCxg7MB/ihlCQWIjYDE46pFDJiiUQMdhRjxaM1sA3Aj+iAgVmCrNWdYeOMjhmYN/Y3lUJGuv+plHW4eMkTLs7piDH5juIP3lAxIOPmGUvxh4kLOlpg4sPOpWjnWIPaAPuYBraRvKXKZlKoaKymSSTqaRapalJHStYzMZvUqhq3P5eSOedSMhxNKL/2+xuMRBDLU9Byk9rfKOJMAfobjMaQcGPAy7r5u8tS+ofNaE7TDtCl9+I6zutvX//IFN/mphRTWX82/2w5xGPM9APTpPjkmbO+P2osuWiWfPpsk+OZa1cWv2A9Gfy4p/8BZLOl66NUijjJe1/VBvnUWMJ866lZcJh/SO6XMDoQYs0TUW27+yWMVFrulzAywa7VAngUIu2n9mvCTlm5tNcvSeN+YW0I3eMliEhIqEo11C/JVqvrziv2HvASR8QOcg3mfqpnvOSw7yCEXKhfEn6iAz7ShzvH7byoxVweg7MFjF/7epmRCCI8QfVyC3PcjAaRcIPANbONxgkrDUT03YtyY6TCpNycc9yMVLBpA0AkMxe8xtYO2ykrl9akm2+Qm5MfIjTuVbmtLltTnuvzWIkjYgdZufkGuTm5Yd9ACLeQcAs/0AEf6XYHXYSNnZZi0sdOxJvsOh90IeIFtiShSqrLQReiBQTMAnsZdCFClCiIAHjPnMFi9f8TMlRgDxOh4JyTLkSEwI4lXJj5Jl2IGDGdPwjCTDjuJjglQ+x80IWKG5hO9jzoQkULzCfYQRd5M+giPYMuVNTArIISoZvmzvNC9TOrdzygIwdmA/yYi8xVUfTtZ109pOOVSLxgJzE2PFoD2wD8iA4YmCDIMt035ELFDEwZexxyoSJlGHKRN0MuzlBxTkeMSXUUf/CEiQEZNc+Iiy9EXNCxAhMeesBFHq1BbYB9TAN7sAv2wjngkuNoQvm1v2DPSASxKgUtM1tYsGc0iIQbBF7S2WicsNJALLohyj33gj0jlbYX7BmpYJcLAUTSuJ8m1p71KSuVg1iv5+SHiIyoUim0Xp+vlnedVy0+4CWOCB3kQsC3Xs/JDfsCQriF1uvDD3TAR/pwB5OFc9CiwNoCxq993cZIBBGdoLqNeTCZ0RgSbgy4ZnMNJu9r2vj5rWnjD5q/VH8h0v/5RD+JL5aC+ZPlX7Y9fMx21IvG9vn1313/R/Nv6m++3d/p8JcUPdUsRO+r+m8z/E2ZoB9Cg9s51Zw0U80/SzTyvzcf/5Dqj/etEeaE1RcR2XMvwpuRCpPwzmxM7rIywaZ9AA8R90UmbFROWam0pru9I86cBBGpba/Ce3UnofLcMslKHBE6yMLbO+LMSQ77CkLIhZR3+IkO+Ei3Oykjbey0lvbdxVQK933xMLAYjQyblCHiBfY0oVK4y0kZogUEzAJ7mZQhQpQoiAB48/eiYnFLkXUt4YSMFNgHRQg456AMEeGmNmMdlCFixHQPAQhFLvulazKZCLGdQRn3LUVk3MBssudBGSpaYDrBDsqom0EZ532E9+mogUkFJUK3l++VEv3MWhM9oEMHZgP8pExS5nkm+/bNnQ/pgCUSMNhNjBGP1sA2AD+iAwamCLJQ99xSRMYMTBp7HJWhImUYlVE3ozLOYHFOR4xJdhR/8AWKARk2z6yMN0hc0MECkx56WEYdrUFtgH1MA9uoH9DJoYaPs0T01MjUMtE5LFPiaEL5td90YSSCWJmCVprUpgvwtHtGY0i4MRAV3T4PYAE0JrDHreztVHrGB4NYRkQUsO4OBCOVljsQjEywy58AHklW9gt72jpl5dJeC8J3Kj0nQUSgR1V/oRZEuVqwdt6j+YCXOCJ2kCsb76n0nOSw7yCEXKgFEX6iAz7Shzu0LV3DP2WMtQWMX+s6lJMIIjxBdSj/0DanQSTcIHAtaqNxwkoDEX33odw4qTApN9fQNicVbNoAEMnLvkZlo3LKSqU15eYZ2mblh4iM+xRu5epyxdJzWyYrcUToIAs3z9A2KzfsCwjhFtBtgAc64CPd7uiItaWqlZj3riSRbrLrenSEinczZNze0RGqBQTMAvsYHaFClCiIAHhavK4OWUkXIyTShviEjBjYH0ToONcICRUhsBsIl2eeERIqRkxXDYIwVs4REirErkdIyLiBWWW/IyRktMC0ghwhKZP1CEnpvDfwPh01MLmgtOiWuZXK+rK0IX9ARw5MCvgJEiFLlTgHSMh4JRIv2EmMDY/WwDYAP6IDBiYIslr3DJCQMQNTxv4GSMhI9z9Asg4VL3lCxTkdMSbVkfzBHSYGZNQ88yO+EHFBxwpMeNjxEe0Ya1AbYB/TwB7ssn3uGh8pUxxNKL/2l+0ZiSAWp6DVZgvL9owGkXCDwCs7G40TVhqItTdEuedetmek0vayPSMV7KohgEiS9zMhbFROWakcxLI9Jz9EZESVSqFl+3S1yuu8IfIBL3FE6CAXAr5le05u2BcQwi20bB9+oAM+0oc79ps7xy0yrC1g/NrXbYxEENEJqtt4x345jSHhxoBrNucIb3/3Gd7mr/g/vEO8X/oLoCO8nEZGpIW9KEpGKkyKMrMxucvKBJvPADwyHZpdE7ycVFoTlL4JXlaCiJi9V0W5ulWv9NyTyEocETrIitI3wctKDvsKQsiFJGX4iQ74SLc7CVLY2GmRKLzssk12nU+CEPFuxoxbPAlCtICAWWAvkyBEiBIFEQBPK7z/0vuf3/vPPdWckNdLin6S9NM4lb35u8+cmKcfx6fLnWhGV/7gebOe+k7ZN4px9ZT04+stJkueNzMluf0CqxMyeWDPEKEJnUMlRITADiFc6vmGSogYMZ02CMJM9aU1dJ6SIbYyVJIp4WgI3qMDB2YowlRJLtxTJVS0wBSFnSoRN1Mlzkv67tNRAxMVSthumltmaamrE2sAe0CHLpDQwe6Ri7TU8dZaTD2k45VIvGAvMTY8WgPbAPyIDhiYIujaPy36sWuuhAoamDX2OFdCRcowVyJu5kqcweKcjhiT7UgOUeRx4rgYZ0CGzTNYIpUo8r60vnMXdKzAnIceLBFHa1AbYB/TwDYCWkmZxbNJFE+mMtJRM43qcRFHaqam9SRX03ElF3ycVaen7KZWns7BEomjCeXXfoOCkQhisQtavG40KAAHk1+88ld/9Tevv/KNajlW8uV2xdn5o6/3Th6fP+ql1pB8h9VAEm4gROH4JRt96eCS7fPTj91tHpB5j3vNzz/V//tD8y81v2qqTA3ic/2rv1v+NZ80p7p/ev3j3ovnL7z8qDH8ae8ySuNYY/gS5F/Nf9Y3nY5l62Oj66G/vdup7vovWLddHg7u9Aa9JC5kdLeMz20ecMLqAYhlUUT17O6oMFJpuaPCyAS7nAvgIRJdi1tzySkrlfY6KmmW95VVFNzjZYjIMqjKM9RSkasFeOcNlw94iSNiB7msygrVT6WN3BkvOew7CCEXaqmEn+iAj/ThTlcXzimdHGsLGL/2RTAjEUR4gorgFqarGQ0i4QaBi14bjRNWGojouxflxkiFSbk5p6sZqWDTBoCIuZlEuTbnMlJpTbqVcT+1rk/f4+WHiIx7FW6riw9Lz02WrMQRoYMs3JwP9YyXG/YFhHAL6bbwAx3wkW53FMb6SLUSK7zsxCa7zkdhiHiBHUaokOpyFIZoAQGzwF5GYYgQJQoiAN5uozD6q95ZmMS6LHNCpg/sdCJEoXMYhogQ2NaEaz3fMAwRI6Y9CEEodR3rEnFEiN0Pw1CBA3PUnodhqGiBSQo7DFPcDMM47+G7T0cNTFUoZbvdNy5E2S+tQ14P6NCBOQY/DFPESsWO4Z2HdLwSiRfsJcaGR2tgG4Af0QEDUwRZ/HuHYaiggVljj8MwVKQMwzDFzTCMM1ic0xFjsh3JIUoRZ31prR4GZNg8wzC5MFmksLrvBR0rMOehh2GKozWoDbCPaWAPtg+gnMMw/ruItmhC+bXfB2AkgljtgpavLfQBGA0i4QaBl4o2GiesNBCLeYiSz90HYKSymeE9VOC1oacPwEgFuwwJIKKVSplYpespK5WD6ANw8kNERlS1FOoDqNWysfPexQe8xBGhg1wK+PoAnNywLyCEW6gPEH6gAz7ShzvErJzzGyXWFjB+7es2RiKI6ATVbR0MMTMaSMINBNdx/zrEjB1ijqV+OsPUOcTM6AGIPLYXCcxIhUkCZzYmd1mZYBMwgIeQfWUXE6esVFpTwP4hZk6GiCyzVw28ugew9NzsyEocETvIGtg7xMxJDvsOQsiFRHD4iQ74SLc7DGNti74gYv/9R3KTXcfDMGS8wA4jVJV2NwxDtoCAWWAPwzBkiBIFEQBvx2GYODAMY/XREzJ9YKcTIQsdwzBkhMC2JlztuYdhyBgx7UEIQvcwDBli18MwdODAHLXXYRg6WmCSwg3DaDirYRgRO28WvE9HDUxVKGmLGoahQwfmmD0Pw9DxSiResJcYGx6tgW0AfkQHDEwRZPXvGYahgwZmjb0Nw9CR7n0Y5iZYvOQJFud0xJhsR3II3zAMGXYHwzB0rMCchxyGMZ6xBrUB9jEN7ME2VUrHMIyI/TcrbdGE8mu7qcJKBLHcBS1fW2+qsBpIwg2EKB3/tamy16YKqwcgFkYR1bOrqcJKpdWmCisT7IIugIenqcJK5SCaKrwMEVkGVXn6myqa02IJfvkDG/EHvMQRsYNcVnmaKrzksO8ghJy/qQJ5ogM+0oc7EV46JovEst5G2ALGr30RzEgEEZ6gIph9IpzVIBJuELjotdE4YaWBiL57UW6MVJiUm2MinJUKNm0AiHgmwlmptCbd3BPhvPwQkXGvwi1dpXn3vZu8xBGhgyzc3BPhvNywLyCEW0i3hR/ogI+0/r9/txBv4olfmb0xHb/5ymuvWixBEGbWgKQlWeahqVS6SdM1FePGilFbq8EYK9gXyWA3fcxjWKCi+qVZ0dJ66un8n5+db1kOx1x/v9eMuvyxWWEy2usP1z/Qcuv3NlpaPGXPn5K5bUVFN7ndguLg8YOv6jgnjvVHrj/SRH9k5keZ0h8iNh+p+cjMh/mefkv0h/mKKMxH871Sf+TOMEq1gsBbwdltsVJ/aKg/NNQfGuoPDfWHhvpDQ/2hof7QUH9oqD801B8a6g8N9YeG+kND/aGL+kM6dYmnDm/eaOaPDPNHhvkjw/yRYf7IMH9kmD8yzB8Z5o8M80eG+SPD/JFh/sgwf2SYP3Ixf0RnDn+v6anDWGBgLDAwFhgYCwyMBQbGAgNjgYGxwMBYYGAsMDAWGBgLDIwFBsYCA2OBgcsCA7IFtrqLAQvgXP7C0L4wtC8M7QtD+8LQvjC0LwztC0P7wtC+MLQvDO0LQ/vC0L4wtC9ctC/otOGZEtmr1KwfG9aPDevHhvVjw/qxYf3YsH5sWD82rB8b1o8N68eG9WPD+rFh/diwfuxi/ZjGuvH3BWuTev+tTzfsb5xWONuZwsvBfd4CDCpJM+hP67rTi2S0m6l1x1HaTdEw/6hZgPmO6U2ZftqXJ2WfLtZdTC9K//rT3vwn19+ef7ZQFE0/7cPjnlnZMd206x9fv23+oI3+HTL9zZzKOUdLhChREAHwFuY2U6/WgcITMlLgPBNi6cc58kpECBxegq/o+EZeiRgxQ0AAhKks+86lGiLEVkZeE5HF/VzakN+jIwcmEvzMq8oK98wrFS0wl2BnXsXNzKv7NkQ6amBOQdVq2024uMiU6zpEOnaBxA72jzTJyzjuJ9YFqId0wBIJGOwnxohHa2DbFQ0VMDBLkFf5PHHjjI4amDlwY6/umPESHSnD2Ku4GXt1X4hIR4zJeBSP8MaKARk3z9yrN05c0MECEx+ymDS+sQa1XQZSwDY6bSySLImTKE7LKhJSiagaT4soL6tJnMwmdVW12/M3lZerTpQ4klB2tlrSQwpTT9qIvMhKBNHXgpaa721Ul7//0iq12d73s/mv5z+f/2L+f8//f/P35+8uu/zz3zZDl2YOoPl5EsfX328+RDz/bP6ZzTh3WI0j4caBV3mbdfNx7/oHqxHPmwnYxTjE2iLHviHV+U+0YX9r7K2/9mtd4v9O/z0fX3/b7JL9+PqH5q/WNf0nzz958mpuzJkvbNqrk3jzD7x9/bf6LzUTqp98yf4225+w2h7Rd9xH3crIhGViwRH17rIywfZLATxSJfux/ZrhU1YurU0sJJlWDc4topwMEbEdVfKFZhbkqsXtvoaQlzgidtCrGfdjPeNlh30LIexCUwvhRzrgI22mFo4XUqW13oM1T2hNmXs5ure3waBitOKzvYfMhvZFMlrgOhFUEJJ6D0bpGKX4zvwX5ryOZHleh1ZFZqPMF42G0qJF/x0fN+OkH88/W/zy59ffa+TV2+ZUifdshrlDNoyAGWYvXQkiRImCCIB305UojAqNEpcYJAIGLjvtQ+QREQKXmDDizd2cIGLELNUAEIpc9pf3k22rMiLEVpoTeSb7hWtAlAocmGjwvYkkKUt3c4IKF5hssM2J/KY54bzV7j4dNTDpoJTqVrVR5qlQ/aVS2RalVOzAvIBvTkipcpX37et4D+mAJRIw2E+MEY/WwLabE1TAwCxBlvPuuHFGBw1MHLjehCdmvESHytCcyG+aE854cU5HjMl4FI/wxooBGTdPc8IbJy7oYIGZD92cyI/WoLabExSwjTrP1CzOaqXLSSEjUYg8qmZZHZViUoqsyOM6qxd8nCWkp5amlZHO5kSBIwll135zgpEIYgELWov+0/VbzVD8F6ae/Nx8NPsQm9Lysz83lWd2LJ+zX8B5h5WshJOFF282GiesNBBrb/CS7vqH19+1Ufk6KxWehXtpI3KXlQh2xRBAIy9Vad8qc8pKpbVl+7hfWp/UPV56iJCHqoS8C7yG02qB13mX4ANe4oi4QRb5rmd6xksN+/pBqHmf5xnkeQ74SDdqrKxmVVFNxlGaxyIS9UxFKkmzKEtLkYpcSFUshUqLasy1rO+7gsdqCRi79tUYIxFEaEKrsbXysp/fcoeVmIQT21l5MdJARNC9KC9GKizKK3MtuTMSwYZ+AI0kKwvVdx3PxcilRenlPOKBkx4ivu1VeqlVqnZf+sdLHBE4dpBezhMeOKlh3z8ItZD0Cj/PAR/pxZRuXeYyzqaRVKrU31UqqotZrn8aj6uqyvO0mj5pW3pZZxS09CqxloCxa196MRJBhCaw9DIbO5uzRz9enss1/6g5tvR3+pdXN3Z80rv+YTNu+sFxT/+Jd+d/P/9NM7n7TiPY5u9n1qd6h9UYEm6MneUaIw1E1IXLNc+ZXIxUWORa3M+kjcpdVirYhAEgkuRZP1auYQpGLq0JNikdDcl7vPwQYXGviq1cZXj3FXW8xBGxg6zYnA/1jJcb9g2EcAtJtvADHfCRXvQu8/FYVHUZySzOIyHqOKrjdBIV2bhKxWQsZF4/aVuyCZslXhCJ79oE+7ohiF3rko2TCCI2QSXbP2pdZg6v/+Oze3+eGXk1O3cWumzrVLD5782v5/FzaWEzxR1WU0i4KXYVbJw0EEEXLtjc62ucVLgEm43JXVYm2GwB4JFkZb9QjgU2Ti7t6bV+7pBrrPQQIXGfci2Jl9k9cV4N9YCXOCJy0OWa45me8VLDvn8QagG1BnieAz7SjVqbZGU+zkQWiXg6jkQWT6M6l0k0nqmpqpJ4lhbiSdtqTdosodWa7xIAqyVg7NpXa4xEEKEJqtZ+o/XXx2aftlev9Vb3FplOaHNEvtnQ1Gz/Jks5RjtJuJ12lnKMNBABeS9SjpEKi5TL+tblqrusTLCpBMAjyYuirwO3jcwpK5nWtFwi+6VLzHHyQ0TMvYq51b03iecmI1biiNhBFnPOh3rGyw37CkK4hdRc+IEO+Eg3ai4TtZhOxtNIxkb55Uke1dN0FpUTURRG+sVl9aRtNWeNWVrNpVhLwNi1r+YYiSBiE1TNvffMzvIfL5TZH+dPGzX31NxKef12c1PlJwt1liqtzp6Lj0VzE2TmOruI0wYSboOdlRojDUS0hSu15hCCD/s9+3P5OishFr3mOH36LisTbLIA8JDmTFxp5XLKyqU1uZZKR1v7Hi8/REjcq1xbXXeTeO4vYiWOCCBkueZ8qGe83LBvIIRbSK6FH+iAj/Ri8W0qhEriOKribBaJdFZHdRln0axKJrEScpqJ9uWadS1Gy7UMawkYu/blGiMRRGzaQa75FtIAUo2Rv4Tz31mqMdJARNo9SjVGQixSTdhDxV1WJthEAeCRJmXcjxOXVmMk05pWy/N+6diIwMoPEQ/3qtWyVWrPPFqNkzgigpC1mvOhnvFyw76CEG4hrRZ+oAM+0o1Wi6d1UY9naVSNExWJejKN1DTLo2w8rsV4IpWKl97eolazPn6t1QTWEjB27Ws1RiKI2ATWajcnQm6d4Kh/ev32/DNz7mNYxdmscYfVGhJujZ2VGyMNRNyFKzdPO5SRCpNmcy2vMTLBJgwAj6SURT/OXJqNkUxrmk32RWKjd4+XHiIs7lWyiVWGd17/8oCXOCJ0kCWb65me8VLDvoAQaiHFFn6eAz7Si9W1uijyMlZRVUwnkZjOplGVTOMoEeN4ktXVZJbMnrSt2EqbJbRik1hLwNi1r9gYiSBCE1Sx/cKcuW0O9O7N/2H+yfX3r797/Za5FPT6O/Pfzp/qH33UiDXpubaFk7GEM95ZlTHSQIRWuCoLrqcxEmLRZonjhM67rFSwuQFARKiyn0rXtgNGLq1pM+HedsBJDxEA96rNVndmJJ5rUFiJIwIIWZu5nukZLzXs+wehFtJm4ec54CPdaLPpLMvzSV5HSWJ0XJKPtaIby2a8bap/barS9lfT7PdBaHGWY00Bo9e+OGMkgohNBHH21NzargXat6/faqbTnl6/3fuqOfPWnHj7xfXbWqn9Yf70T8JijdECEm6BncUaIw1ErN2jWGMkxCTW7Of73WWlgk0WACJSpX1hpXLKSqU1rZb2lUurcdJDxMO9arV8ldudNxU84CWOiB9kreZ6pme81LCvH4RaSKuFn+eAj3Sj1eS0TpNCFpGamF0Ik9kkqqazMqqLqlD1dDotk8mT1rWadR1VazX0ScAweu1rNUYiiNgE1Wr/cP13yzt+f9ybf9ictPa7+UeribUPm0vuftv0N5+z38F7h5WxhDPeWZsx0kDEVrg287Q3GamwqLLcxuMuKw9sTgCwSItS9gsrl1NWLq1psti905OTHiLu7VWTrY6wTzxXErASR8QNsiZzPdMzXmrY9w9CLaTJws9zwEe60WT5TMX5bBJHszSeRWKcl/pPlWU0nk5FnGezKhbLANumJrOOY2hNhj4iGEavfU3GSAQRm6Ca7GfNjQR/bKbMFgfjNs3NTxYXRV1/Z/7UyLXF6Flv/ov5T+a/mb8///n8l/p/v/rzxeXF988imfTmP7EZ5A6rQSTcIDtLNkYaiNALl2zuw3E5qbBItth+r9xdVibYpAHgIfK+dN0zzEmlNc2mlHshjZMfIjDuVbStDr9PPJcZsBJHRA6yaHM+1DNebtgXEMItpNrCD3TAR3rR9czjSZUlWSRTMY6EiEVU53FpVt1kov+vqMulYdpUbZnNFFq1lVhTwOi1r9oYiSCCE1i1aYH2hbnSszk77ePe9Xeuv9scqLY+eq1RbB/35l+YM3T1b/5oqdXM6R1a0304/9z8GbPTwFx8YLTdJ+Zwtg/NgWwbv9P8uSQ1F4WmcfxcKu0HZd9hNaKEG3FnpcdIAxGvEUrvM2tR9XVWJixCzzPexkgFm2gARPzjbYxcWpN6SSb70poW7vESRITTvWq91an5iecaBFbiiNhB1nrup3rGSw77DkLIhcRe+IkO+Egvth8kkySZyDKq5czcmTCOI1UKIxHjJI/jtJ51sUQnbKZ4QaToQ4Zh9FoXe5xEENEJKvZ+0gyufXz97ai5wOqT+R//3N8k5eQn4fx21WGcNBCxFK7D3E1STiosQizuF9JG5S4rFWwSABDJRNkXhY3KKSuV1nSYe3SNlR4izu1ThaWr0/BTz+0GrMQRkYOswtyja6zUsK8fhFpAgwGe54CPtBFhPm317197/a8s5Em6yrGCliYebqXIN7m9+jff+IZNMDmgYsRS3mCVGmtiR/siGe1mtHAZFqiIfjn/fDH0P//nXjM1vjxQw9wsYJa2es8cnGFamouVr0/mv+vNfzZ/Z/6L3vyDXmJ2Bnxqlrl6q5M4Ppl/ZnYTNP/7RH9+tnVAx3vz92yGuUM2jIAZZiml/vyVNyBuZ4P4NTJEiYIIgDd/36xeamNG5lRF8x/55Mmr5pF92d5/Z+z9myi1LzeekAltRnAHIbjuc66/URFuSjoHQricS/qx3Yp3yRg3k4UDI1SnJbHqu1qjVIhbGsyBcSf9JYqiX1gF5j06cGAiWgMffPP1s1dtoWHLzElZOi66/DM6XGAyWsO1AN3SCcZ6RwuZYJC51MF9OmpgUkLJ162dM2ksi76yxocHdOjAtLGGDvePLM5F1o+FDfBDOmCJBAx2E2PEozWwDcCP6ICBSYIu8VMp+1LaUJ/RUQMTx1/vK2a8RIeqEFAhjnB2Ey9e8sSLczpiTMYjuYSQRS76hVV7D8i4U2AWfHN/geKCDhaY+d5EBQljvKM1qA2wj2lgD3T5PrOPyulCM8WRhLJrf/WekQhiVQtaq+JX7xn5STg/eD1no3HCSgOxBgev4jyr94xU2l69Z6SCXT4EEFFJv7Bq51NWJoeweM9JDxHmUNVPaPF+dZtG6rkehZU4InDQlb178Z6TGvbtg1ALLd6Hn+eAj/Sh7nHK7MfnagWWYS0BY9e+AmMkgghNUAXGv8WJ0yASbpCdJRsjDUTkhUs29xYnTipMks2xxYmTCTZnAHgkcV851/EZqbQm2TxbnFj5IQLjXjXb6laN1HNNCitxROQgazbPFidWbtgXEMItJNrCD3TAR/pQDwvKnPMZAmsJGLv2RRsjEURsgoq2PZwVxMlYwhnvrMoYaSBiK1yVeRbSGKmwqDKrkLnLygObEiAsZOY8KoiTSmuazH1UECs9RNjbqyRbXZuReq5BYSWOCBtkSeY+KoiVGvb1g1ALKbLw8xzwkT7Uo7azvrBZQisyibUEjF37ioyRCCI0QRUZw0nbnBaQcAvsrNAYaSBCLVyhhU7a5iTEotPcJ21zUsHmCgiRLLe3D05ZmbSm1DwNT056iHC4V6W2ukQj9VyKwkocET7ISs3T8OSkhn37INRCSi38PAd8pA/1wrqsL22W0Eotx1oCxq59pcZIBBGaCEqNemEdJ2MJZ7yzMmOkgQite1RmjISYlJnrRB9OKtjcACGSiL6IHSf6cHJpTZu5L6xjpYcIgHvVZqtLM1LPJSisxBEBhKzN3BfWsVLDvn8QaiFtFn6eAz7SjTZLqnKSjvMk0nptFok0k1GdlCqalkWcTOpJIcX0SdvaLLdZQmuzAmsJGLv2tRkjEURogmqz9xbnMRpt9o5WYk+v37r+Xm/+37Qs+32zevbb+ef686Pl2Jk5a/H6++bYRfPZlw5dcIfVChJuhZ31GiMNRLhF6DXn1m9GJm0LNUYq2EQBIeIVaoxcWhNqsWM35j1eeohouFehtrpJI/XcjMJKHBE5yEItMfuB7bspz3jZYV9BCLuQVgs/0gEf6UarxdO6qMezNKrGZs2tnkwjNc3yKBuPazGeSKXipb+3qNUKmyW0VvMdOG61BIxd+1qNkQgiOsG12vpkoa2TgPRPr9+ef2bOD1qMpN2cOPT59d8uNhM042nxc6n1sd5htYaEW2NnzcZIAxF54ZrNM5/GSIVFtAl7s/AuKxNswoDwkEU/z1yNT0YurWk22RfWDR73eOkhouJeNdvqHo3UczEKK3FE5CBrNtczPeOlhn3/INRCgi38PAd8pBvBlqpJJbN8HMWFVngiiauoVlL/ATWLJyquptOVYVoUbNYqUwu2EmsJGLv2BRsjEURoAgu2ZzTacqfAH+dPG+n21Fx8cv12M672yUKaFfI5ET8XH4vY/CxzLq0x2kDCbbCzTGOkgQi2cJkWbIUyEmIRa7F9j9FdVibYZAHgkaX9XLnW1xiptKbVROlYibnHyw8REfcq1lb3YKSem01YiSPiB1msOR/qGS837AsI4RZSa+EHOuAjvRhTmwqhkjiOqrhZipvVUV3GWTSrkkmshJxmonrStlorbZZ4QWS+48WtloCxa12tcRJBxKYd1JpvES2s1Dj5Szh/uFJ7dlExcNg1JzdE+N2ffOMkxCLfhH15/i4rE2z2APCQSdpP7Newn7JyaU2/5Xm/tOrTe7z8EDFyn/otW92hkXnuRGEljgggZP2W5KKvpI3cGS857CsIIRcQcIAnOuAjvRBwWZmPM7NxNJ6Om50IUZ3LJBrP1FRVSTxLC/GkbQGXWJOjVnDIA3yh9NpXcIxEENEJquB+o1P8x/OPzKG2NzcPf6lVqn/p972mjfpH/UtvNXcUf9BcsWIuLia3TjntJOF2gis9G40TVhqImAwXde7WKScVFjnnmIy9y8oEm0sgPMq0n0orl1NWLq3JuUQ6j/dg5YcImHuVc8kq+TsvMXjASxwROuhyzvVQz3i5Yd9ACLeQmgs/0AEf6UbNiXw8FlVdRjKL80iIOo7qOJ1ERTauUjEZC5nXT1pXc9bmuVZzKdYUMHrtqzlGIojgBFVz/6hV2qcBLUcWbIymkHBT7CzYGGkgou5eBBsjFRbB5myfcjLBpgsAD1/7lJNKa3pNOveRstJDRMS9yrXVIfiZ51IDVuKIwEGWa65nesZLDfv6QaiF1Fr4eQ74SDdqrajLXMbZNJJKmQsQlIrqYpbrn8bjqqryPK2mT1pXa6nNFFqtZVhTwOi1r9YYiSBiE1St/ZNWYU+bK6U+Xt5qMP+oEWe/07/8kZFv+hc/6V3/sDk794Pjnv4T787/fv6b+c/nv5i/sxBy72fWnHqH1RgSboyd9RojDUTYhes1940GnFS49Jq0UbnLSgWbMQBEMtVPMtcCGyOV9gSbdG4oZeWHiIp7VWyrE/Azz5UGrMQRoYOu2FwP9YyXG/YFhHALSbbwAx3wkW4kW1nNqqKajKM0j4X+7kxFKkmzKEtLkYpcSFUsxUybks2a3LVkE1hTwOi1L9kYiSCCE1iymQbo9VvzLxrxlR3L5+ynlt5hJSbhxHaWX4w0EDEULr88y2WMVFjkV2YN/ndZiWBjP4RGmiv7NqtTViqtia+4n7pm1TjpIcLbXrXX6qz7zHN3AStxRNwgay/XMz3jpYZ9/SDUQtIr/DwHfKQXvc1MzeKsVlGcChmJQuRRNcvqqBSTUmRFHtdZ/aR16SVsptDSS2JNAaPXvvRiJIKITWjpZW4p+Nx8NJd/mg7m/LO1HLN3pO+wkpVwsjvLMUYaiLC6FznGSIVFjiXSRuQuKxFsPoDQyDNhv5jllJVKi3KstD6pe7z0ECFvr3JsdaB95rmggJU4Im7sIMfsz/SMlxr29YNQC8mx8PMc8JHW//fvjhep4N/65Na/f+31v7IYgSS1XDor93BUaovjq3/zjW/YNJQDKkY/5Q1WqbEm9pHjF8loN6OGy7BAkfRLLYaaewPm/9xrtu8tDz8zs/vzD7VsembwyzQcmyNq55/Mf9cznUitsL6jf/OT679t/swfzM0DvflHWmR9vPprrn9kfumLxRG4NlPcIZtCwEyxlFB//sobEEezQfwaGaJEQQTAm7+vjf9Fb/6TKDs2n6L5TJLFf9LFf6wvyAmZxGa8dpCAazznCbpUhJvyzYEQId36sb2TcpeMcTM1ODBCVVkap2lfWUcvT8kYtySXA+SOcsvZeaTCBmabNezBN18/e9UWDbb8QJSlA+6f0eECM84argXoligw1jtaaAKDzCUF7tNRAzMPSqtCfeMBHTYwS6xhg30ji7M0Vamj5faQjlgiEYN9xFjxaA1sA/AjOmBggiCLeVEm/dR6kscZHTQwZ/z1vuLFS3SoCgEV4gdnN7HiJU+sOKcjxiQ7ikeUZaYS6biEbkDGnQLz35t7DBQXdLTAtPcmKkgY6x2tQW2AfUwDa9DOsrKSZaqiLElmWrFOp1FZxiKaJHmeVOO4rstlhnEWkZ5qmlZI9l3bkXznkFtIQtm1v2TPSASxfgWtRp+5KeVLRWSzg7zZe6RrTLNXyVSd5gbi+T/M/37+Xu+NP02ludiuN3jtb16dvPha9fqkN/ibv56+/vVXXp3aLHOH1TISbhlE5fdP1281h483h+w0+7DMLczLwy175pq/6+9df2+1iesn83fm/zj/b/N3578yxwz9Wv/gF/oX/6v56W+an7z75Mmr8/+jMfF3n+89HNzpDXpZLOLobhYPze+90ywHfLLcwK+r/+fN3/T+/KdR0vuaiuNe1Mt6Zr2+3zNf/5U5drN5Smavv35K84975izOXhLHuuLrNQ/0D83n0+sf6N/+5Hn/v5L2vmauwdH/TLH4Z/TX/1Rk6jiT+nsf9OefmT/fqll6+2e5ZUusRZJMHBeqZYukca4tIg7TIlmZHmdpVxZBkmvv1UnS7Dh51lF+on9sWcMz//iXlgKvf7T4pacNPB2ilyuAnzU7Rz9ujtrVlluvGTZ/4cfNRoUvB+6nIOP2mr/wd/qv1391b3ETVhY3N5ceL3+aL37aX/3cfC5+/+axlHGcfVU/W/NUfzT//Z84Df2FWea0rWZ+Pv/s+q0Gjf4N84vfvX6r8a9YHIukZf+KZRFHQx53sTol0rukPFZlNzZpwSBYayRJ0n5QTuJCRnfL+PxwvSQR6jjNO7NLC0bBWiRLsuMyvrGI+X+LYj1hVayIluw+lvkZmfBMcth43GXlge0kA1j4WwaMXFqc5HC2FjjpISph1Oq4t/NvOK06/55b8liJI8IGz+IvJznsGwgh532iZ5AnOuAjbWZrfctv+5zhkDZuL+ji3sOtFMUmt45nOIhogZ006KrZQcxwEE0hYKbYywwHEaJEQQTAM9Y2MxzvRdYdAydkpMA+3D4UHBEhsOmGUGaeQQ0iRkzvCoAwTVLZV9bWzykZY9eDGlTYwJSy70ENKlxgWsEOaqibQQ3n3Wr36aiB6QUlRaG+8YAOG5gKCIMaidI6p+wn1tLnIR2xRCIG+4ix4tEa2PagBhUwMEGQtXpaKNEvpA31GR01MGnsc1KDCpVhUkPdTGo4g8U5HTEm21FcQpaJrjVkP7aWcAMycKZRDW+ouKCjBSY+9KiGOlqD2h7VoIA90FEN6RzVKHEkoezaH9VgJIJYoIIWnW2OajBaRsItAy/wnr1FvrHI7x2VtvmNZw7Wnf+B3Fg1TYrmci3zFzS/9dHNkb7Pm8bJ+p83/8rPFjtj51/09W/pHze/rH/l0+d7J+PX/vovX3u19/XXxn/zRtP7aP7az5adjJ9EidR/6NfPdGhXKwPXP3q+acf+hzyODYemv/NlUxhH0D/4ZEnks8VqxFfu/OUr4+ovXus9mOrw941XxhcPeheJ7N3RP/yrXlqU5g6wr+h//PO1hy2t+sxRxdc/Nn9G/5OLP3X/T7MVjH+zWBX5ojHox6vTiy1/uLf6o02XZvFHtVE+NIZefH0F/I83pyD3kvI/pKL5tvlHY7n4k6a3M/+lJvzdBm/zBnxw/SOzFbnpLGtrLvxAf+GD5m9cWMf81qLjbL5y3Lv+waqXdf7C/aan3dtsar+jzW861N8xfaafPm86UL9Mlqs8PzM7Q/7efPyD2RzyvrWeP2F9xRCLxPtYmWBk0mpviZEHdmUbwMK/ysHI5RB6S5z0EKkbVdCHekur+0QzzwWxrMQRYYOpXuVkh30FIexCzaXwIx3wkV5uFDYFcmsbha1tmxeEiD0cleqqyWSt4l4kowWuAkL1/g5NJqMSzR/8tJGJX2oz/WEhXMwXbOzvkNkLGPt99JWoECUKIgDeTV9J2pCekJEClw33oN6oCIFLhAhV5u4rUTFiVtoACNM07gthg3hKhthxW4kMG5hECG2lLEmdbSUyXGAiQbaVRLxuKwnnHaL36aiBCQWlQqG+8YAOG5gJ8G2lVJVpUjiO/XtIByyRgMEuYox4tAa21VUiAwamB7JKT7SlHffAntFRA1MGsqvkjhcv0aHuv6u0jhUveWLFOR0xJtdRXCJVIsnLfmq19ICMm6ep5A0UF3SwwKyH7Slp31iD2uopkcAatBM5LURellE+m5jLcNQsqsezMkqT6XgymciZqmcLPs7S0FMj08pDV09J+C5mtJCEsmu9p8RJBLEwBa0x37mpBtdr9F/qjjRF5fX39de+3TRUvtss6X+y6muYu2/eMjWluRDn+rtmw8gHy3X7pgj922YH2yfXb19/32avO6z2knB7wUu+sMmeqb6/1Hg67vn6RS98o56+sdkaevLk1f/xf12c3H18/4Xz//GpuweUP9MCOv5SjT9/2nvhTP/WC7l5kmXc+3/f/uKLaP5+lMjjxZYl0xB5a7X5Z6NB00tklKne2fnpg39jWi2F+TcgnR3zB9Ny/QcNtlVbp7HR2f37zV94bDB/aXXDNM7e6331/p8mze+Zdst2Q6a5VmndkmkYbzdk4uZbv5r/zOZ5J6yeh1hJ3UcJz8ikzQYMJw/s6i+ARSoczRdOHgfQfGGlh8hxqLI30HwRq9ujhec6cFbiiJBBL+uMghfWKHLGyw77+kHYBZovgEc64CNtmi/PiE8jrFtrwlgn6bTGTr1cy02urTRhUntF8CIZLXDNDCqQf9Xc8/hb/bm8/vF35uMzZGtmoYjX4yhG9ZmN1ua3P9Y/zI7TXiPczL/x6fXfGdlsBlO0zF5snb7+sf53m6GW1QbqT5t/7nOjtj9ZQfjMTOs0ivL3NpveIdtUwGy6l9YOEaJEQQTAu2ntWMdoT8hIgWt3+9CFRITAdTqE3vO0dogYMctdAISpLB23iZySIXbd2qHCBqYmQmsnTdydHSpaYHbCdnbSm86O84bq+3TUwCyFkrhQ13hAhw1MBPjOTpZkUvZL6xv4kI5XIvGCPcTY8GgNbLuxQwUMTA7kCsDlE2d0yMBsgezqOEPFS3SkDE2d9Kap4wwT53TEmCy3T3cYkCHz9HN84eGCjhWY6dDtnPRoDWq7nUMB2+IxEdaWmS4eMw/sUiinjWFQ9108EtEC0/K/zOKRaFOgZthL8UiEKFEQAfDCc4FEpEB9sI/ikYgQKAf2UzwSMWLSKgChdy6QCLHr4pEKG5ia9lw8UtECsxO2eMxuisfMUzxSUQOzFFfxSIUNTAT44jHN8yLrp9Y38CEdr0TiBXuIseHRGth28UgFDEwOHMUjFTIwW+yxeKQiZSges5vi0RkmzumIMVlun+4wIEPmKR594eGCjhWY6dDFY3a0BrVdPFLAtlg8WlslungUXtiH1nkkogWm5X+ZxSPRpkDNsJfikQhRoiAC4O1y4SSVBFA67KOuJCIEKoX91JVEjJiMC0DoPT2airHrwpIKG5i29lxYUtECMxe2sBQ3haXwFJZU1MAMxlVYUmEDkwShsBSiyIt+6jjFkAxYIgGDXcQY8WgNbLuypAIGpgeOypIKGZgv9lhZUpEyVJbiprJ0xolzOmJMntunOwzIkJkqS198uKCDBeY6dGkpjtagtktLCtgWS0v7blRdW0ofbhk7jQzDuu/akogWmJn/ZdaWRJsKmE33UlsSIUoURAC8m8aktc9/QkYKVAj7KCCJCIGCYD8FJBEjJrECEKa+I+KoGLsuIKmwgclpzwUkFS0wPWELSHlTQEpPAUlFDUxTXAUkFTYwExAKSFmk+hW0L+c/pAOWSMBgFzFGPFoD2y4gqYCB6YGjgKRCBuaLPRaQVKQMBaS8KSCdceKcjhiT5/bpDgMyZKYC0hcfLuhggbkOXUDKozWo7QKSArbNAtJ19EjuxZ04jQzDuu8CkogWmJn/ZRaQRJsCZcNeCkgiRImCCIB3U0AW5jyTyL4sc0IGDBQK+6gjiQiBumA/dSQRIya/AhCKXPbL3AbxlAyx6zKSChuYovZcRlLRApMUtozMb8rI3FNGUlEDkxVXGUmFDcwH+DJS5pnSIsb6Bj6k45VIvGAPMTY8WgPbriKpgIHJgaOKpEIGZos9VpFUpAxVZH5TRTrDxDkdMSbL7dMdBmTIPFWkLzxc0LECMx26iMyP1qC2i0gK2DaLSKuY1EVk4cWdOo0Mw7rvIpKIFpiX/2UWkUSbAkXDXopIIkSJggiAt5pwfW8xzqr/I22IT8iIgUJhH1UkESFQF+yniiRixORXCMJYuatIIsSuq0gqbGCO2nMVSUULzFLYKrK4qSILTxVJRQ3MVlxVJBU2MCHgq8gkS5RwV5FUvBKJF+whxoZHa2DbVSQVMDA5cFSRVMjAbLHHKpKKlKGKLG6qSGeYOKcjxmS5fbrDgAyZp4r0hYcLOlZgpkNXkcXRGtR2FUkB22YVae336irSe324zJxGhmHddxVJRAvMy/8yq0iiTYGiYS9VJBGiREEEwDMXXZvLm397/f9dXGxtbhL4yfzX83fnvzY/+K/z38x/Pv/p/OfNPQC/nP+3SP/C+83v/1cbtRMyNaCi2Ee5SUQIFBD7KTeJGDGJGIIwyfu5NUGckiF2XW5SYQOT2Z7LTSpaYDrDlpvqptxUnnKTihqY1rjKTSpsYOYglJsiSYp+bH0DH9LxSiResIcYGx6tgW2Xm1TAwOTAUW5SIQOzxR7LTSpShnJT3ZSbzjBxTkeMyXL7dIcBGTJTuekJDxd0rMBMhy431dEa1Ha5SQG7vB9kGX5NymvtfhD74SG6/Cw9PFTZzSSsLkBtaF8kowXmaWj5ib2lXdcg78x/+uxl7T/Tv/ALc29e0tN/zNyP9vueuchsfYue/qs+XlSVzV1pz9y09ra57uw9m33ukO0DFAR7KSWJECUKIgAetGzs99Le9f++eNrHZn1gcZudPO41v/aZrkXfuv729Y+i6x+aVYL5765/1O+tup3P+sHn8w+eXzQ++zbTnJBNA1Qb+yhFiQiB4mI/pSgRIyZJAxCmmWP3wSkZYSuVqEhFP5c24PfowIGZjVCLZkXpLkapcIHJDVuMljfFaOkpRqmogUlup2K0VEnWz639ggd05MD0g69Hs0Tlqp+XNrwP6XglEi/YSYwNj9bAtutRKmBghiDXo2mSZ3076jM6amDWQJak7ojxEh0qQ01a3tSkzmhxTkeMSXcUlxBlWap+Km2wB2TYPHWpL0xc0LECsx66Li2P1qC261IK2EXSG8tZJVUkZrKKRJFVUZXkMipFUab1ZFJNJkuXcdar31y6iYUjsWZ1XR0vYxxLKD1bZethhalubUReZCWyqQd8jwdY+P5GFzEfmzvMmwvel/eYf6k8NW3OnqmHdVH0fVMYNQ1SU8x+YK7t/vOmwLqpij5f3SZufj2Pn7Mfq3WH1U4Sbid4dWmjccJKYzPHe2jAK8HrH15/10bl66xUNhO/hwqmZJQ2JndZmWxmWQ8TaGGZ6frMXqCdslJp7Rbyop9Zlx/u8dJDhEtUCbWVwb98C7mMl1dWL35gI/6AlzgicJALBNczPeOlhn39INS8z/MM8jwHfKQbKScyNYuzWkVxKqT+rsijapbV+ruTUmRFHtdZ/aR1KWd9/lrKJVhTwOi1L+UYiSBiE1TK/VOzav3W/AvTgPjcfJgWxreb1e3PGpmWHcvn7EuYd1jJSjjZnfUYIw1EWN2LHmOkwqPHpI3IXVYi2HwAoJGJ3LFefspKpTU5Fjs2cN3jpYcIeXuVY8kqfSceOcZJHBE3yHLM9UzPeKlhXz8ItZAcCz/PAR/pRo6lalLJLB9HcZEnkUjiKqqVnEZK/xUTFVfT6cowbcoxx3YEmWJNAaPXvhxjJIKITVA59t4zEx4/XqyS/XH+tFlZM5scPr1++/rvrv+j/u1mpayQz4n4ufhYxI1Qm39ms8EdVhtIuA12VmmMNBDRFq7SmpmgD/s9+3P5OishFq0W28PFXVYm2GwB4JH3y8zK5JSVSWtaTQjH3VH3ePkhAuJexVq6Su6pR6xxEkeED7JYcz7UM15u2PcPwi2k1sIPdMBHulFrk6kQKonjqIqzWSTSWR3VZZxFsyqZxErIaSaqJ62rNWEzhVZrGdYUMHrtqzVGIojgtINa8/U0AUqNkb+E899ZqTHSQITaPSo1RkIsSk30raniLisTbKYA8DAHB+WJYysnJ5fWtFquHPdb3ePlhwiHe9Vq2Sq1O+89f8BLHBFAyFrN+VDPeLlh30AIt5BWCz/QAR/pRqvF07qox7M0qsaJikQ90ZJumuVRNh7XYjyRSsVLb29Tq0mbKbRWE1hTwOi1r9UYiSCCE1ir3ezP2tpIpX96/XZzbgh9Mo3RGhJujZ2VGyMNROCFKzdPJ5SRCpNmS21M7rIywWYMAI+y6Me5lcopK5XWJJt0ntLBSg8RFPeq2MQqwTvvE37ASxwROMiKzfVMz3ipYV8/CLWQYAs/zwEf6UawldWsKqrJOErzWOjvzlSkkjSLsrQUqciFVMVSyrQp2KytcC3YJNYUMHrtCzZGIojYBBVs68m09RSafRfRHVZiEk5sZ+3FSAMRQveivRipsGivzLGLnJMINvYDaORlZm/RnrIyaU15xf3UehDLPV56iOi2V+UlV5naeRHnA17iiLBBVl6uZ3rGSw379kGohZRX+HkO+EgvtndW5SQd50mk0mZZLZNRnZQqmpZFnEzqSSHF9Enrysu6pqKVV441BYxe+8qLkQgiNkGV13vzT5ttnU9783fM+JkWYt/rzf/b/On8983egN/OP9efH/354iSjVMbx9feTdPHZl44m2h1WK0i4FXaWaYw0EPEWLtOcx/hwMmFRaUk/ljYqd1mpYDMFgEgq+qn9+JRTViotCjXnEhknPUQw3KtQy1eJ3XnX3QNe4ojAQRZqSS5z9yoZJzvsGwhhF9Jq4Uc64CO9GEGriyIvYxVVxXQSielsGlXJNI4SMY4nWV1NZsnsSetazarVtVbz3btgNQWMXvtajZEIIjxBtdovzPmQC632D1q0ff/6u9dvac324fV3mnsR/qhlmlFpMp5/5tRljIwlnPHOuoyRBiK8InRZaOiMkVDb8oyRCjY5AIh45RkjldbkmXBcj3CPlx4i/u1VnhWrXO68ROoBL3FE/CDLM9czPeOlhn39INRC2iz8PAd8pBttVtRlLuNsGkn9d0WiViqqi1mufxqPq6rK87SaPmldm5U2U2ht5juk3GoKGL32tRkjEURsgmqzf9IZ/qm5NMoce7Y4AfyjZrzsd829VR83x0F/0rv+of7dz+cfHPf0n3h3/vfNIdS/mL+zGEV7375T7Q6rMSTcGDvLNkYaiLCLkG1/mH9oo/J1Viosgi3uZ9JG5S4rFWzGABBR/VhZg98pK5PW9JqU/dJ6BM89Xn6IoLhXwaZWCd55DcsDXuKIyEEWbM6HesbLDfv+QbiFFFv4gQ74SDeKbTrL8nyS11GSmPm0JB9H1XgsI5HF06n+talKl97epmKz7xLRkq3E2gLGr33JxkgEEZ2gku2Z5bSn19+efzb/xMygNWdumEs/v2oOSDMt0C+u357/0Ui6PwkvrzFaQMItsLNOY6SBiLYInRZaXmMkxKTW7AOQd1mpYLMFgIjsF4W1jXDKyqQ1tZb2lbDRu8dLDxEO9yrWylVud95P8ICXOCJ8kMWa65me8VLDvn0QaiGtFn6eAz7SjVar6/G0mmVlJIUYR6JQs6jKY/3dpFaTpK4mmVy+y61qNatYf0Hk6FN8Yfxa12qcRBDBCarVftZsD/hjs1FzsbzWtD4/WZxgq4Xa0+Zu9mb3Zk8ru580l7n9fP5L/b9fLYfX5v84/9X8nfm7+vN9853/R//kN737ZzLpzX9is9IdVitJuJV21XOcNBABGaHnnOtunFSYlJw1lNxlZYJNJQAeaT9zXW7HyaQ1IVe69xuw8kMEy30quXx1Zn3uuYOAlTgicJCVnPOhnvFyw75/EG4BKQd4oAM+0oshtmSSJBNZRrWcmSW6cRypUswiMY6TPI7TeiaWIbZVKWediNZSDn0CMIxf+1KOkQgiOkGl3E+axTSt2qKmXfrJ/I/Nslr+nLCuj95h5Sfh/HYWYYw0ELEULsLcWz45qTCJsELaqNxlpYLNAgAiSdHP7EMCp6xUWpNh7vU0VnqIOLdXFbY6qj73XD3AShwROcgqzL2exkoN+/pBqIVEWPh5DvhI6//7d/oPa1s//299IstxKSlNYFnjqlZXqZdkuklyfYMqDCtGNeUNWKnBOg7VfZGMdjNsuCwLlEa/nH++6EjO/7nXtLSWh5hpxfT5/MP5571nDitrRsx+M39n/tPF6pb+5U/MDFpv/hPTzLz+zvV3m5s4/zj/8Lhn1s8WJ9dev23+vM0Kd8hWEDArLAXUn7/yBsTJbBC/RoYoURAB8LSM/fX83fmvtbnn/7WZ4vvp/OfNEN8v5/8talYfze//134v7V3/74tnqp/Db5vLtv7Qk/2e/oZ+YF9+pJ/PP3i+N38vkn0b/RMy/c0o76AP14bOfaZUhJuyz4EQLvmSfmzfv3aXjHEzofgudwYgLLO+dGw8oCLckmmea+rJEs2935MMG5ih1rDB13yXedovrdOCf0ZHC8xRa7QWnFs6whhvefu7QeZSD/fpqIG5CiVvoa7xgA4bmFzWsOGuEcelrqasiuAhHa9E4gV7iLHh0RrYBuBHdMDA3EBW/0maln1ldYszOmpgvvjrPUWLl+hIFQIpxA/ObiLFS55IcU5HjMlzJI9IZJzrUGG19ICMOwUmvzf3FiYu6FiBGe9NVIgwtjtag9oA+5gGtlHPalqMVa4LzqKo9UddRqWSsyiuZKrqLJ0Varzg46w5PcU3se6091V15ZnhWELptb+uz0gEsd4FLV7fmT/VRacZmf3uag7js+YnT5sjhv62KWT/YK6ze7bm0cWQjf0dVvYSzh5REVoM8CWeTnvourC5XUb/+HfN9rCPmiOZPjb1+vO9F75RT99oqvqmxP/D9VvzT5/v/Y//6+Lk7uP7L5z/j097utJ8qv+k+du/bf7N5kSn6x8938vj+D/o/5l/+DP9j/zhGYBPey+c6d96ITc1axk/F83fjxKpv/Qrg+v6rcXFg18+Pf3HvYteIqNM9c7OTx/8m979P80K87eblYovmlHpj1cnqG/9Qf3n0nL95wwozePDtWnO7t9v/r5jA/ZLax+mwH6v99X7f5o0v/cnx73zF+73dFTOmmr7t42ZftQY0bSTGobanvOf6kL6Z9YQccLqW4gF1X2U24xMWDoxrmEYRh7YdWAAC1/pzsiktS6Mp8TnpIfISqgyNdSFWV1rknvuqWEljggaTHUYJzvsCwhhF2rEhB/pgI+0acQsDj9fUnfK4jem4zdfee1ViyUIqljaaGpBLLw0s02arlaMGytG6666MfY6+0Uy2k0n81gWKGgXN/79rVYwH/eaO5nNWZhaV9lwa70qnj8lg9+KfG70uwW+weMHX9WxTB7rj9x8FOZDmY/SFfionASek7MqtxJ5aIg8NEQeGiIPDZGHLiIP6UQkngi8ZNc8HhkejwyPR4bHI8PjkYvHIzoP+CtCD8OGz8DwGRg+A8NnYPgMXHwGZD5b6z0BPjjnujAkLgyJC0PiwpC4cJG4oJOAZwTkWpDm8NhweGw4PDYcHhsOj10cHtM4NJ614GASRkuDB+7VH+nlIJ3PAQaVlun0f6z124tkuJv5YsfBg3cWg5jN/z780ljB/J+atrQurI/NqYPvzt+1EblDJrKZJDhnB4gQJQoiAN5qsWT+UW/+X7RJf2PDe0LGC2zo7GP1gYgQ2LxBrCp4mv1EjJgmCABhXsjSfuvQKRli191+KmxgWsB3+5PUhfbP6GiBmQHb7Zc33X7nDRH36aiBCQJVTUBd4wEdNjAdhAuGTawqSRKZOgA/pAOWSMBgFzFGPFoD2y4CqICB2YG8zORyijM6ZGC6wPX63bHiJTpShl6/vOn1O+PEOR0xJs3t0x0GZMg8bX5vfLiggwXmOmRtZ9xiDWq7jqOA1YXc/9ZS6WZVk7p0yz2wSymcNoZB3XvpRoQLzMwtlm5EIsBcvZfSjQhRoiAS4Z2Q4QFz8T4qNSJCYOrdT6VGxIhJYQCE3kqNCLHrSo0KG5gF9lypUdECEwG2UstvKjXn/TD36aiB+YCrUqPCBkb//VdqVMASCRjsIsaIR2tg25UaFTAwO3BUalTIwHSxx0qNipShUstvKjVnnDinI8akuX26w4AMuZtKjQoWmOvQlVp+tAa1XalRwLZYqWU22LpSK7ywD67JRoQLzMwtVmpEIsBcvZdKjQhRoiAS4Z2Q4QFz8T4qNSJCYOrdT6VGxIhJYQCE3kqNCLHrSo0KG5gF9lypUdECEwG2UituKjXnbVH36aiB+YCrUqPCBkb//VdqVMASCRjsIsaIR2tg25UaFTAwO3BUalTIwHSxx0qNipShUituKjVnnDinI8akuX26w4AMuZtKjQoWmOvQlVpxtAa1XalRwJptAMfrssf8p7XxSGGjoSs3/707hdPmMKjEyi11Vm5EuMBMDa3cftNsRzQze//c3LNsdgSYiq25HOYtc/p4b/5BbznW94n58nL/o9nC2Nz+p//M9du9ZjfozWWATe2XNtfMzP9w/QP9Jz+xmeEO2QzAzI+r+3TZqkvVyGxUXexo/c712xr8x9oCmok5p6rZhWnOrOrNPzQbJ5pdoM15VV98eZurOaRK/+jps4b5fLGF9Pr7z+y56NvM8jWyWSTKLBCT/HS5jTXR9fvqx+LYtfuUCBuoMjA1qHl6NpBfJ4ME6or9lKFEjJj8DEBozRinZHRdV6BU2MBsRqhA81KnWHcRSgUMzGnYIlTdFKHOC/Du01EDUxtXEUqFDUxF+CJU/7siSzN3FUpFLJGIwT5irHi0BrZdhVIBA/MDRxVKhQzMFsgq1BcvXqKDZShE1U0h6owV53TEmES3T48YkCHzFKL+GHFBRwvMeehKVB2tQW1XohSwy0pUPlkXnq1VotJGQ1eipZdG6bQ5DCqxEnXsK3yRDBeYrqGV6K9vtqE3p+T0zP3y5jgfXSz9wVSlnzU/XdShT5tK5IOmulqVaubkn+bcoU+be+k/WVapT1cV6kf671wXXn+rf+376z9patzm7/7+8nwe82lu3frYZrI7ZJMBpQKuarVB/BoZokRBBMCb/2r+X3r/83v/uacWTysp+knST+NU9ubvPrNooEvlT5fP0TywHzxvLjJ7pzxu/pPEy/+6Ck8iW6CwgBeeznsliACBMmI/RScRIyYXAxDKom8/5u+UjLDrwpMKG5i88IVnqVyL139GRwvMX9iqs7ypOp1Xed6nowamMa6qkwobmErwVafMpXJda/GQjlci8YI9xNjwaA1su+akAgamBo6akwoZmCxwNac7VLxER8pQcJY3BaczTJzTEWOS3D7dYUCGzFNw+sLDBR0rMNOhy83yaA1qu9ykgG3OP1v8n/79v3xlMpm+ekdXZGdNQWY45PU4resqjqZiJiOh4lmkVDGLKpHFVSZFMplUi2+ui9RUbtCffmO69psvW2DxL4Iz0bZNHj/46tB+TM7QXn4b2pumgLJsnu1mJAWRwx1pNLIzGjEx2gy0IEZwt9WEXnjBzuiFFxgoPVMJuV3SfXrTXlxSV3jDNDkeZondN33valHE1nfV5nwgGkjn09hHGvvIgX1Exb7pZiDsSDfT2F94QYN/4QUHeu2JBPhNzuzapRyulMReQlu3lLXrSw4fIoNuxYlcrkNC/cxaaHe+YxeQw+UClItQ2q3v2EGPyKBb8R07aONUBNTPrLJ25zvZ8TCR+n/K4UOpl5j7QMVWfCg7HmnwIwf4ERl8K76U6Tym0esPO3zjbgT8z6zEdudVwuFNmZeQe1dgK95kBz0ig27Fi+ygjXsRUD+jhLaakylwyXTBBbwyvcnLxuZls4LoIZM7HwFwwfQZzHCnWS7hJGIxQZr0nZdAXZLxCzR+OPJzAPIrMnKJQU4ON/YoQ8UMXEYlhZiFzS8ANh+R8QPXVCnRRhv1aAVsO9ZQAK8O518ur3aXq3KtfgpHvpJeYu6JlFbyVa6Vjx34iAy8lZyVG9FjR24kEQG6wb70m8NKXLmXjHuNuY3ElQdD0SUZP2/iCiO/IiOXGOTk2GMPN1TMbSSusM1HZPysiSs/WgHbjjUUwMshvqXNDyvc+LbHFcq98NZGuCmCDnRJxs8bbsLIr8jIJQb5nsMNFXMb4SZs8xEZP2u4KY5WwLbDDQXw+hKrJx3r5PJ4mMYOnewbhi5UCvYkEAe4My10cnk8cgAfkYG3opNL0+6yIzerhgToB7vA4+3bKfcaWxuJqwyGoksyft7EFUZ+RUYuMcjJsccebqiY20hcYZuPyPhZE1d5tAK2HWsogDcOyOsyvKS+1m4Zu6caWggvaRx0mEsyftbwAkB+RUYuMcj3G17ImFsILwCbj8j4OcNLGh+tgG2FFxLg1XCjAf6kW2mcOgYwUu9UgHIfrdOGLHaAHpFBtyGJHaDNVBgB9UH4TubwHW/vX8GbWCD8WN+xgx6RQbfiO3bQxqkIqA1s0bXvOMYsUm/vX3XbtnKAHpFBt+I7rjELEuqDiDvS4TvCS0h16zt20CMy6FZ8xw7aOBUB9UHEndzhO9JLCN6/AuHH+o4d9IgMuhXfsYM2TkVA/UzcabYMdrH8tyxkztJwP/Fl4xdukmWn7SwA/ksyfoHGD0d+DkB+RUYuMcjpYWhBZQCgMiRTaaOaD+MfkfGzVvP50QrYdmiiADaI4ywV+XScROmkSCORlklUZ3kcVVmeyzyWZVaXTzYy32bQ+ubSm9gC1yp8LU4s1g/PG8C8Db9tU0BtYH3VgtR3f93CTdkhG+XGRapqMquneRVVdVJGIknrqBJ1HuVC1nk9K8uk2BJHnbmIArmIt41nsxfMBl25iAK4CBflxkVm43E+K+pxpIrxOBKldqxaVONolldpWtW10vLoYFykBLmIt/tisxfMBl25SLhDNmSjvNDAaS2nM1FFsY4wUZJMVaTiSRnFsYxlrlRSyq3yvCsXyWKIi2TevYs2e8Fs0JGLZOEux5CN8s2xCcfrg+M6K7UzF3vveneZbrJvtdR2gB6RQbdRajtAm73mBNQGdtd7yjNHayHzrneX3e7pdIAekUG34juu1gIJtYEtu/YdYY64iI/1D+TxUMSZ/sgd7YbMuwZewsdxQJyw/iTMeRfx8cgQGRkiIxeREZlIKz4mmsMvzBEYhsoLLxgu+tNBxjglgc1BxC2zHz1O9YfZnZ7Gjs1ZmfDy67a7nplt6ZrDyHAYuTiMyBxa8bhmc7omYc43yJpZVNemLRKPg/C13EQ3/T9hApz+nzoeSv1zqT1Paj/M9Y9z/d9C/7fQv68S/T/9X60vh6XLMaXXGN227jVhHQX1/4QJhPp/6nikCY804ZEmPNKER5rwSBMeacIjTXikCY804ZGD8IhMuBUvzptYaT5EEy/Nh9If0vyaNH4tjaPn5qe5+VFhflSY7ylz1pAyPyrNjxz8zZtCMMAz5UVXs9irZkwWXod+OfMv67p7rC00YwD4L8n4BRo/HPk5APkVGbnEIKcH0lXRHqYyJFPZDI1hKlgnugDgH5HxczZjsvxoBWw7MlEAG8STmZioIqkilchpJOI8j9R4nERT/Udn2Swbl7Ppk43c3dkaGagZk/k7E1umgNqgqzUyQDOGjfJiDCWZFXFRl1GRTItIJHESqXyWRkU1S8tJLmfygFwE1IzJ/J0Ji71gNujKRQDNGDbKjYvU9XhazbIykkKMI1GoWVTlsdR/qlaTpK4mmYwPxkVAzZjM35mw2Atmg65cBNCMYaPc0RahleoV4S7Dy8K/NaHTESQA/ksyfoHGD0d+DkB+RUa++RKFpdYOTjQAUBmSqbSgegH4R2T8nKpXxEcrYFuqlwT4tuUrkUDylfB1ryymgNqgo3wlkqC7Dtko3zrVK1KQi/iaVFZ7wWzQlYukABfhonzrameRgVzE10uy2gtmg65cJAO4CBfljQOkjFDscu1XhE+kfFkIjy1Ut/vnAfgvyfgFGj8c+TkA+RUZ+eZLFZZeOzjRAEBlSKbShgoO4x+R8bOqYHG0AratgimAm6bstBynk1RGVVxUOpBlQue6OI7SOM6nyVhVpdiai+ssf0lQ/pI4U0Bt0FX+kkF3HbJR7nrVJtymeVn4uh5lnDpf1TbyVRj/JRk/b74KI78iI998icJBcgcnGgCoDMlU2shXYfwjMn7WfJUfrYBt5ysK4FuXr0C9SuFr3FlMAbVBV/kK0Ktko9x1vgo34V4WviZcGbuHm9vIV2H8l2T8vPkqjPyKjHzzJQoHyR2caACgMiRTaSNfhfGPyPhZ85U6WgHbzlcUwLcuX4G64sLXIraYAmqDrvIVoCvORnm1PlguaHc9GyrDDcKXpa/fprqttwD4L8n4WfMXAPkVGfnmSxUOmjs40QBAZUim0kL+AuAfkfFz5i8ZH62AbeUvEmCDWNWVGqvpLComVRGJsppGVVbE0awok7JQ8ThVyxej+/wlQV1y6WsZW0wBtUFH+UsCuuRslBsXKdJCljMhoqLSX0uSaR2peFYf5BZ7mYJcxNcyttoLZoOuXATQJWejvJI4yXKYpnONE+4Hvyx9/WAVd3pFAQD/JRk/r8YJI78iI998q8KJdQcnGgCoDMlU2tA4YfwjMn5WjZMdrYBtaxwKYIN4PB7rsmxWRqLIVSSyOIvqRP9IylmRZ5NMJfHSvQ4ggQlQAhM4U0Bt0FUCC7fsh2yU1wlsuX/ZPPlOE1i4IfyylF5jdHqJMgD/JRk/bwILI78iI998q8JRcwcnGgCoDMlU2khgYfwjMn7WBCaPVsC2ExgFcFOkl5M0j0UaSWGmEWfpOCqLOI6SOC2rcibjVG4dvtBZAstBCSzHmQJqg64SWLiHP2SjvDhwdZKXuZR1NFV5FolKxFFV6T81HatKzeq8nIr6YFwE1DeXviay1V4wG3TlIoC+ORvlxYaYmUqntS7oazFOI5GU46iuslkUp4lUaZHIWpYH4yKgPb7S17Wz2gtmg65cJNxZHbJRvnUbYiSom2m44ewFs0FXLgLoZrJRNpXScfe7HPJwA+fl3N8Pcd9A00KBBMB/ScYv0PjhyM8ByK/IyDdfprAq38GJBgAqQzKVFgokAP4RGT9ngZTHRytgWwUSCfBtK5ByUBcz97f0tkwBtUFHeSsHdDHZKN+6AikHdTFzf0vPYi+YDbpyEUAXk43yrSuQctBe39zfMrHYC2aDrlwk3NYaslG+dQVSDmol5QJrL5gNunIRQCuJjfKyQNJ/fbcFUnjx/OVcem3Q6RGgAPyXZPwCjR+O/ByA/IqMfPNlCqvyHZxoAKAyJFNpo0AK4x+R8bMWSPJoBWy7QKIAvnUFEqiDlPvbKZaT7GA26CpvATpIbJRvX4EE6iDl/naKxV4wG3TlIoAOEhvl21cggTpIub+dYjsPE2SDrlwE0EFio3z7CiRQByn3t1Pop+p25CKADhIb</t>
  </si>
  <si>
    <t>5Y73bxfhRfOXC/95k53OhgPwX5LxCzR+OPJzAPIrMvLNlyisxndwogGAypBMpYXCCIB/RMbPWRgV8dEK2FZhRALcFEa5SsfFpIhqs/1J5NNZVI5FHWVlFpezsqqy6cFcMVuAOkeF/8hUy6A0zAYd5asC0Dlio3zrJE0B6hwVvjaK1V4wG3TlIoDOERvlW1cYFaDOUeE/MtViL5gNunIRQOeIjfKtW14pQJ0jc087zl4wG3TlIoDOERvlW7dIW4DO6iwk1l4wG3TlIuGewpCNcte1c3iB+uXCt0Bdxu4rUNuoncP4L8n4BRo/HPk5APkVGfnmSxQu2HZwogGAypBMpY3aOYx/RMbPWjvnRytg27UzBfCty1egjlHha59YTAG1QVf5CtAxYqPcuEiVJCKXoozyZCwjIZSuuOW4iGZ1MYkniZJ5fjiFEahjVPhPCrTYC2aDrlwE0DFio7w4nUEmucqSIpL1VBdR07LS7qRklMziUhbjKq3q/GBcBNQxKnztE6u9YDboykUAHSM2yrduBU7FEBdR/vVqi71gNujIRVS4pzBko9xxYaTCC9QvK/8CdafndQDwX5LxCzR+OPJzAPIrMvLNlyisxndwogGAypBMpYXCCIB/RMbPWRip5GgFbKswIgG+dfkK1DFS/vYJfU+x7VULUt/9dQN0jNgo3zrVq0AdI+Vvn1jsBbNBVy4C6BixUb51tbMCdYzMmbI4e8Fs0JWLADpGbJRv3QqcAnWMlMTaC2aDrlwE0DFio9x1YRReLH9Z+deeOz2nA4D/koxfoPHDkZ8DkF+RkW++RGE1voMTDQBUhmQqbRRGYfwjMn7Wwig/WgHbLowogG9dvgJ1jJS/fUI/tML2qgWp7/66ATpGbJRv3ZyUAnWMlL99Qj+0oiMXAXSM2CjfumlLBeoYKX/7hH5oRUcuAugYsVG+dStwJahjVPrbJ/RDK7pxkRLQMWKj3HFhVIYXy18u/WvPnZ7PAcB/ScYv0PjhyM8ByK/IyDdforAa38GJBgAqQzKVFgojAP4RGT9nYVQmRytgW4URCXBTGIH2Ix1IvgJ1jEp/+8R2WAXIBl3lK0DHiI3y7ZM0oI5R6W+f0LeZd+QigI4RG+VbVxiVoI5RKbD2gtmgKxcBdIzYKN+65ZUS1DEqJdZeMBt05SKAjhEb5Vu3SFuCzgor/evV9IOzOnKRcE9hyEa569o5vED9culfoC43ubdaO4fxX5LxCzR+OPJzAPIrMvLNlyhcsO3gRAMAlSGZShu1cxj/iIyftXYujlbAtmtnCuBbl69AHaPS3z7ZMgXUBl3lK0DHiI3y7VO9oI5R6W+fWOwFs0FXLgLoGLFRvnW1cxKDWkb6a1iLwazQkZNoPmEv4SN961bhNDiYm/hXrS0Wg1mhMzcJtxaGfKS/Ze6Tbqhv+sGmKd6Yjt985bVXGSwxePzgq5pidqw/CvNR6o8kcZnCt26tEFIXRAiudg2LkWExMixGhsXIxWJEZ7EpeEEswJrXkHjhBcPCfBbNZ2k+HUTM71OYGCpLmWscr8v7JzTZ4Auoo473opYkcT6vFqp0CINLOgOBZgDHfg7BfkXHLjHY6RFsHcvDZIZ0Mi3U6hAGIzoDzmpdozpaQ7OEKQpmAzpXujQbT4pITswOl2RW6kRaNdk0K1RZFnU2eXIwGgrUp9JfwxkDaoXONBSgU8VHeiG1s6RO9feiXE5FJOQkj+pZMYuKaZWJSVIJLbkOx01AvSr9NazFYFbozE0A3So+0o2bzEopp9k4i3SxVkdJMlWRiidlFMcylrn++0u5pcS7cxNQv0p/DWsxmBU6cxNAx4qPdFORmYCyIG5UcrfyOLx8r13AtxyukmzTGu3K4zCDSzoDgWYAx34OwX5Fx775coX12A6uNICQGdLJtCKPwwxGdAa88rg4WkOzyGMKZgN6UtSTfDaeRVWc5ZEohYxKUalIllkWJ2lZJOOD6WclMaihpb+GMwbUCp0lNEBLi490xzMYSRzu1uhH7m3XJLHznW0lgYUZXNIZMCewMPYrOvbNlykcMXdwpQGEzJBOppUEFmYwojPgTWDl0RqaJYFRMBvQKi9VlSZ1VBYzFYlJrOPZOE+jWTwpRJrOsnSy9LIDSGAJrJWaeLuK28aAWqGrBJZAWqlspL+1uCjbRPpOK7Ek3CnUj97XKVRJpzfCQRhc0hnwJjIA9is69s2XKhw5d3ClAYTMkE6mjUQGYDCiM2BNZElytIa2nchImA3oso6TajaJo0pMJjqaiVmkxHQaZUKLdC3VJ7P6cJYWkxSWyLzN5W1jQK3QWSIDbMzjI70e9sg2/WDTFKCpApIlFsMemsQwSc1HZj5EbD5y82FmP2RqPswoSG5+lJsfFeYrhflpYX6qzI+U+VFpflTqH6Wx06D+3h/8kg6QWeCxbDEyom0xMrYYGVuMjC1GxhYjY4uRscXI2GJkbDEythgZW4yMLUbGFiNji5GxxcjYYmRsMXLZYkS3RSuDJ9oW+jNtPrPmU5vDfObNZzOKoi1iPpvhlLz5cd78uGi+WTS/UjS/opofq+bHZfPj0vzYZRzz71OsY8yzXOPqarXeET2lnU0iZBoneadbSzS4YCi8pDNg1oJh7Fd07BKDnRyJHaGSCroVzRc2+4jOgE/zuYINBWkDtazqMo6zSNYii0RZFZGqq1Tn/DxPVSzFpJg+ORilBzqZTn8NZwyoFTpTeuFO0ZCP9KI1Mx1LVVQqymdiGolqVke1VoJRWeVFnKhxVaTjw3ET0EYS/TWsxWBW6MxNwuuxQz7Si2gi5TStpzIqx3USiVoab5qk2rkykaQqGavyYE5zSVLYJoHUUUR7XiyQFbpykzS82jHkI72Yg5ypODc15iyNZ5EY52WkJmUZjadTEefZrIpFcThuAjrSJUkdct9tMZgVOnOT8PTukI/0cp3cPPTDqYHMY3CzLbpt7KZhQXtJZyDQDODYzyHYr+jYN1+esBjfl8sM6aDbqIEAZh/RGbReA5GQGqj1tMjrYhZHE5Xq1JUmWVTFtYwmYlLWsVKJmh3O3FEKq4FSbzmwbQyoFTpLR5AaiI30QrXEhaqzMo3SrBpHYlbJSMm80n9qXKpxMc2qmTgcN4HVQKm3HLBZDGaFztwEUgOxkW7cZJyWWWomASZlpr8rUhGpNI6jaVKXZV0kuf76wbhJBquBMm85YLMYzApduUkGqYHYSN++GiiD1UCZtxywvlggK3TmJpAaiI30avfG8ql31Q9azwxl4Z1x2gWE3RqLrlfabY0EYHBJZyDQDODYzyHYr+jYN1+usFjfwZUGEDJDOpk2aicAgxGdAV/t9KfGrkdraNtVFAmzAZ1U2TRLpYxkXZkR/mkR1fVYRWlR6vyXpKqs4icHk9Bgu1YziTMG1AqdJbRwxT/kI73QPWJSFONpFtX6L4tELtNI/+na9J8mSZ1XEyUPp5OUwXatZjnWYjArdOYmkF2rbKQXB9eJuFLJeBzl0zjTGqmso1JkMspnZT6rp2omstnhuAlsTSZzLE+4LQazQmduAlmTYSPduEmRztJJXqoorxMRCVVm+ruzaRTnEyUm0zKeJPJw3AS2ZTDz7p6zWQxmhc7cBLJlkI30YmNOFcvEXDedSVmYyCMjcz5iNB5nY5mKeJxX5eG4CWzpLnOsYrktBrNCZ24CWbpjI931zlIR3pb0sv6Sh33Z8clhAAaXdAYCzQCO/RyC/YqOffNlCldzO7jSAEJmSCfTRnENYDCiM2AtrkV8tIa2XVyTMN+6BCZgTQXhPYjUduwNzApdJTABaSqwkV64SR3nMzmOI1HFia6rUl1r5ZMiUrIs45kaT+UByWGRwtwkRVsMZIXO3ASyb4uN9GJ7X5ZndVpVkZbJzfFRE/01/bE8PmqSppPqcNwE1nsSvu02VovBrNCZm0B6T2ykb99SnYAdVykE1mIwK3TmJuE+xJCP9O1b+BewhX8hsRaDWaEzN4Es/LORXnWyl7P/nXeyRXh9W7uAf3073bRGu8V2mMElnYFAM4BjP4dgv6Jj33y5wtXdDq40gJAZ0sm0UmyHGYzoDHiL7fxoDc1SbFMwN/K4LOuZ0tluonIRCZEXZmU5jsYyzrOkqmdxdUC6B9Z7Ev42zJYxoFboLKFBek9spBcnX2SFGheJjJJ6rCuueCYjNYnLKJFVmaTTWIzLyeG4Caz3JPxtGIvFYFbozE0gvSc20p03FcItFf3IfS0VzWaTfbs6J8zgks6AWeeEsV/RsW++TOHEuoMrDSBkhnQyreicMIMRnQGvzjHHVS6hWXQOBbMBLbJkNhGxiOJJmZkiP49K/Wd0MTetx+NZnKTp4ezWlrDjKqW/w7JlDKgVukpgMtwKG/KRbtxklshZls6yaJYWk0gUeRJVdTqJlIizus5LM3BxOG4C6z1JfxvGYjGYFTpzE0jviY30an0nWa7zdb7AI8M9Fu0Dvh6LSrs93hTA4JLOgFf4ALBf0bFvvl3hTLuDKw0gZIZ0Mm0IHwCDEZ0Bq/CR6dEa2rbwIWE2oCciLWRRJFGWjpVpgk2jKonTaJLkeVKN47ouD2eLpoT1P6X3uMFtY0Ct0FlGg/Q/2UgvF3iSoiqkjNJxOY3EdFpFZTUpm/uW5DSVkyI/nDa5hPU/pcBaDGaFztwE0v9kI337NnxLWP9TSqzFYFbozE0g/U820rdvw7eEbXyS/haLxWIwK3TmJuFe2JCPdNfLxTLcU9GP3NdTKTu+ng/A4JLOQKAZwLGfQ7Bf0bFvvkxhmb6DKw0gZIZ0Mq1UTWEGIzoD3qrJXM+3hGapmiiYb18Cg/U7pa/1ZzEG1AqdJTBIv5ON9O07A1bC9tpJf4vFYjGYFTpzk3AvbMhHeuEmpUriQqponKRlJNRMF+KZjCM5TosqyVRepoczNZrDmk+5vw9jsxjICl25SQ5pPrGRvn1rMDms+ZT7+zAWi8Gs0JmbQJpPbKS7rpry8PK6fuS+peqy46v0AAwu6QwEmgEc+zkE+xUd++bLFJbpO7jSAEJmSCfTRtUEYDCiM2CtmnLTa8pdvSYS5tuXwGC9pty/7Yy+nm5754Lk9/DeQXpNbKQXLUnQLRuH4iawXlMusBaDWaEzN4H0mthI377iOof1mnKJtRjMCp25CaTXxEb69i3V5bBeU+5ru1gtBrNCZ24C6TWxkV6P7IkF885H9vLwerv2Ad/atUrzTXO0W0aFGVzSGQg0Azj2cwj2Kzr2zbcrrNt3cKUBhMyQTqaVMirMYERnwFtGmeZT7mo+kTAb0Foa1WWeV1Gt/2sUdB2pWIuk5bkVKinlMmAdQkaDNZ9y/76zLWNArdBZRoM0n9hIN24ip2UxFUrqdDczIqnOtYzWqlrG04lM03xWT/LDcRNY8yn39WGsFoNZoTM3gTSf2Eivhc/SD0xe7VT4FOEmy8v6S15zqE1ztCp8AAwu6Qx4hQ8A+xUd++bbFc60O7jSAEJmSCfThvABMBjRGbAKn8Kc/Fi4Tn4kYV4sDCZpPpnNoizVRd2B71UoYA3QwtcLtBgDaoWuMloBaYCykV5ntEM5XqkIN4G0D/gaKiqLnS9xKxktzOCSzoA5o4WxX9Gxb75d4RC6gysNIGSGdDKtZLQwgxGdAW9GMx3RwtURJWE2oFUsVVJXcVTNsjQSiYijMi5VNKsmUo11NVfHh9MRLWAd0cK7EW3bGFArdJbRIB1RNtKNm9TlJJsm4yTKY6HrOaGmUZmpMirHMiumhRS1OJwBwQLWES0E1mIwK3TmJpCOKBvp29cRLWAd0UJiLQazQmduAumIspFeRJN6PNVBp4ykEONIFGoWVXksdQyq1USHpEkmDyiawDqiRY61GMwKnbkJpCPKRrrrOdIi3PPRj9zXPykTucm+3aopzOCSzkCgGcCxn0OwX9Gxb75MYZm+gysNIGSGdDKtVE1hBiM6A96qyTRAC1cDlIT59iUwWAO08G9E2zIG1AqdJTBIA5SN9C2Uw7AGaOHrBVotBrNCZ24CaYCykb59xbWC7b5T/o1othcLZIWu3ESFe2FDPtKLaFJPsizXX6vHMx1vKlFFVZXG0TjO01mRqXg6PpylOgVrPin/RjTbiwWyQmduAmk+sZFeN5/KBfPOm08qvN6ufcC/dp1umqPVMgrA4JLOQKAZwLGfQ7Bf0bFvvl1h3b6DKw0gZIZ0Mm2UUQAGIzoD1jJKmeaTcjWfSJgb4TMt8rqYxdFEpTr7pUkWVXEto4mYlHWsVKJmyZODyWiw5pPy92G2jAG1QmcZDdJ8YiPduImI00k1q6dRYq4+EzKeRPVUTKJcCy4xnWUT/c8cjpvAmk9KYC0Gs0JnbgJpPrGRvn3VtoI1n5TEWgxmhc7cBNJ8YiN9+7bjKVjzSfn7MBaLwazQmZtAmk9spFdl1OrMo+7LqPACvPYB32K2yro91QTA4JLOQKAZwLGfQ7Bf0bFvvl1h3b6DKw0gZIZ0Mq2UUWEGIzoD3jLKdKOUqxtFwtyALqu6jOMskrXIzK3ARaTqyqTAPE9VLMWkmD45mIwG60Yp7860bWNArdBZRoN0o9hI30LhA+tGKV9jxmoxmBU6cxNIN4qN9O07/KaEdaNK74Yfm8VgVujKTUpIN4qN9O2rtktYN6r07gqyxl+QFTpzE0g3io20KaMM8ScdV09leN1dP3r/Gna3s3wABpd0BgLNAI79HIL9io5986UKy/UdXGkAITOkk2mjegIwGNEZsFZPpWlCla4mFAlz04QqJ7ISmYrSKikjkatZVEsjoXOhJpNkMknlASUyWBOq9Pdj7IMoACt0lsggTSg20reveiphTahSYC0Gs0JnbgJpQrGRXpwwW41LNc3ySI4nZlJnXET6780jVRbjZDxO6skBnTBbwppQpcRaDGaFztwE0oRiI924CeyuskNxE1gTqvT3YywWg1mhMzeBNKHYSHe9A6oML7PrR+5bsi6Tbo+ABDC4pDMQaAZw7OcQ7Fd07JsvU1im7+BKAwiZIZ1MK1VTmMGIzoC3ajI9p9LVcyJhvn0JDNZzKv2bgSzH3MGs0FkCg/Sc2EjfQjkM6zmVvvaL1WIwK3TmJpCeExvpW1dca1eHuIn+GtZiMCt05CaaT9hN+EjfuqW6NAb1nPTXsBaDWaEzNwH0nPhId1w1pXF4eV0/ct9SdZkUm+zbrJogDC7pDASaARz7OQT7FR375ssUluk7uNIAQmZIJ9NC1QRhMKIz4KyaNKqjNbStqomG+fYlMFCvSX8NZwyoFTpLYIBeEx/pWyiHQb0m/TWsxWBW6MxNAL0mPtK3rrhOY1CvSX8NazGYFTpzE0CviY/0rVuqS2NQr0l/DWsxmBU6cxNAr4mPdLPhyVAXm36waYo3puM3X3ntVQZLDB4/+KqmqFzcfQvVKoO3B0AM4FrXwB65YI/osDfVLQg2WOAa1EbH2mGb36HgNsCXG7G73jKnqQVfKB1F/PstOr3IBcLgks5AoBnAsZ9DsF/RsUsMdnpEWsfmMJkhnUwrhXiYwYjOgLcQV0draJYwRcFsQMtiMs5kVkR5as7uG5sR9qRKojxXU1HWVT6ZlE8ORhOB+lL6azhjQK3QmSYC9KX4SC80UcN90xE2bQHKzSRTLERRkhwPU6U/srR0mCHx7/UpnS9vK/JIExgZAiMXgRGdQCtCSRPQn8p8uiiYb1E4PCOaOvSwVHtYIs1HqT9SYT6U/sgy85HrD2GcUJjfEIX+kLH5ML8rzfdy86Pc/KgwPyoKl596NxuJuGM/TbWfajOMjBlGxgwjY4aRMcPImGFkzDAyZhgZM4yMGUbGDCNjhpExw8iYYWTMMHKZYUQ3Qzvenhpv13Ywn6X51JYwn8p8aluYz9x8iua9EM3vanvoT20Q89l8Rzbfz5sf582Pi+bHDrM07xnBLodUdiThlsfL+ktelqnz6bdRdgAYXNIZCDQDOPZzCPYrOnaJwU6PyCv5AyAzpJNpo+wAMBjRGbCWHYnp/yWu/h8Jc7MUK6eTMlZlVE+l1p71VEVqUmdRPEtVXqWTuq6WXnYAZUcC6/8l3m1X28aAWqGrsiOB9P/YSDduMq2m2aQudU1SmjPmM7NsmxV1JMd1WiW5ToSHc6BLmsD6f4nAWgxmhc7cBNL/YyO9OqJsqQi61z3hNpd2Aem1RqcnlEEYXNIZMOueMPYrOvbNlyucaHdwpQGEzJBOphXdE2YwojPg1T3yaA3NonsomA3oWtUTOTFXJtdTc81BWUUqH9dRNSnURMp6MplNnhxMQoO1oJMcZwyoFTpLaJAWNBvpRRWfzIrxZJZHyThNzR3bZaTiaRHFsYxlrlRSyq3F2O7cpIC5ibeTarMYzAqduUl4K9yQj/QimmR1lagkjrIkn0ZC/5VRGU/raDxNy4kcqywu8sNxE9DeszTxdrKsLxbICp25SbjlOOQjvZLHS+Ldy+NwK0u7gLeVJTrdTA1hcElnINAM4NjPIdiv6Ng3X66wHtvBlQYQMkM6mVbkcZjBiM6AVx6XR2toFnlMwdyEqWKSTYoijeo4MQfqqXFU66Snc2El8mmeFCItnxxKQkth2x9TbzN02xhQK3SV0FLI9kc20revikph2x9Tf8fPthMQZIXO3ASy/ZGNdOMmKo0zKdM4StV4Fol8lkV1liZRkVbTOq7yssjk4bhJCnMTf8fFYjGYFTpzk3BrbMhHerF7ROVSzQoZjXOVRSKbjqNKVCKaJumsKuNxrT8Px01gvajU35axnVIAskJnbgLpRbGRXlVRyy2J4knHVVQabrloFxBea3Q70w1gcElnINAM4NjPIdiv6Ng3X66wbN/BlQYQMkM6mTaqKACDEZ0BaxWViqM1tO0qioTZgIZ12A8locG2Q5r3AmMMqBU6S2jh1tiQj/Rij5uKZ+VY5JFQUie/QuvpapzFUSbiSZFOZ7HIDua29TSF9aJMxMFZDGaFztwE0otiI3379uCnsF5U6m/LWCwGs0JnbgLpRbGR/tbifgvDu1tZHG616Efvb7W491e0IovDDC7pDASaARz7OQT7FR375ksV1mE7uNIAQmZIJ9OKLA4zGNEZ8Mpis9UxdW11JGFuVo0TVeV5OY6krMtIVFkdlbWu+JWu+2fTMotn2cHc55WmsK2Oqb/TsmUMqBU6S2ThltiQj/RC71SVqjP9tSLPRCS0UIoqOdYfcZqMp5mcFYk8GDfJYD2ozN+OsVgMZoWu3CSD9KDYSN++0fQM1oPK/O0Yi8VgVujMTSA9KDbSt696ymA9qMzfjrG9WCArdOYmkB4UG+muT2rNwq0V/cj9x/x120wAMLikMxBoBnDs5xDsV3Tsmy9TWKbv4EoDCJkhnUwbVROAwYjOgLVqyrKjNbTtqomE+fYlMNgWvEzgjAG1QmcJLNwCG/KRvn3FdQbrOZkREZzFYFbozE0gPSc20p3rnHArRT9yXyulTLpdHQYwuKQzYNY5YexXdOybL1M4se7gSgMImSGdTCs6J8xgRGfAq3PyozU0i86hYL59CQzW5sx8HT+LMaBW6CyBQdqcbKRv4eowbMtd5r/5jL5Q2pWbhFtfQz7St3B1GNZrynxtF6vFYFbozE0gvSY20revuBawXpPw33xGXyjtyE0EpNfERrrrqkmEWyj6kXtvMUvjTfatVk0ABpd0BgLNAI79HIL9io5982UKy/QdXGkAITOkk2mjagIwGNEZsFZNIjlaQ9uumkiYb18Cg7U3ha/TZzEG1AqdJTBIe5ON9O0rrgVsi53wdlRsFoNZoTM3Cbe+hnykO9c54RaKfuTCyz7ZZN+uzgkzuKQzYNY5YexXdOybL1M4se7gSgMImSGdTCs6J8xgRGfAq3PMlrolNIvOoWC+fQkM1t4UEmcMqBU6S2CQ9iYb6Vsoh2Fb6oS3o2KzGMwKnblJuPU15CPduc4Jt1D0I/e2UNJ0k327OifM4JLOgFnnhLFf0bFvvkzhxLqDKw0gZIZ0Mq3onDCDEZ0Br84pjtbQLDqHgvn2JTBYe1N4O33bxoBaobMEBmlvspG+hXIY1t4U3k6fzWIwK3TmJpD2Jhvp5Z5wE8U73RMuw927l/WXPFZQstv+FYDBJZ0Br94BYL+iY998qcIJdgdXGkDIDOlk2tA7AAYjOgNWvSPjozW0bb1DwmxAZ6kUtainUTU2B6FUaRlVkzSLyiKtp4Wsx6monxxKIpOwXZzSu6Fx2xhQK3SVyGS46zrkI73QO/V4Ws2yMpLCzPQUahZVubk0N6nVJKmrSSYP56gkCWtzSl/Hz2oxmBU6cxNIm5ON9OqIyGTpB8YA3QqfcDtP+4Cvnae0I3UqfMIMLukMmIVPGPsVHfvm2xXOtDu40gBCZkgn04rwCTMY0RnwCh+zrVO6tnWSMDcLPZkZYC6zSMViEgmZV1EV62SY1WlcinqSFbPyycFkNNi2TilwxoBaobOMFm7DDvlIN25SzhKVzDIRlaoQkZhW5nz+eBpNpJiMpzoZxrMDEj6wvqeUWIvBrNCZm0D6nmykGzdJx7LOYmEOG53VkSiTOCorWUdxPda/oKTIigMqo2B9T5ljLQazQmduAul7spFu3ETlKh0XkyKqsyKORD6dReVY1FFWZnE5K6sqm6rDcRPYHjvpa7VYLQazQmduEu6JDflId90el+Hein7k/t5Ktsm+3aopzOCSzkCgGcCxn0OwX9Gxb75MYZm+gysNIGSGdDKtVE1hBiM6A96qyRwhKl1HiJIw374EBut7Sn8LcMsYUCt0lsAgfU820rdPDuewbZ25d4ejzWIwK3TlJnm4FzbkI337iusc1nzK/TvJLBaDWaEzN4E0n9hI376luhzWfMp9fRirxWBW6MxNIM0nNtJdV015eHldP3L/1rGtO65brZoADC7pDASaARz7OQT7FR375ssUluk7uNIAQmZIJ9NG1QRgMKIzYK2actNryl29JhLm25fAYL2mXOCMAbVCZwkM0mtiI30L5TCs15RLrMVgVujMTSC9JjbSt7C4hvWacl/bxWoxmBU6cxNIr4mN9O1bqsthvabcv63HYjGYFTpzE0iviY1051VTeHldP3L/UrXcZN9u1RRmcElnINAM4NjPIdiv6Ng3X6awTN/BlQYQMkM6mVaqpjCDEZ0Bb9Vkek25q9dEwtxUTaD9eIeSwGC9ptzfdtkyBtQKnSUwSK+JjfTtk8MFrNdU+NsuFovBrNCVmxSQXhMb6dtXXBewXlPhb7tYLAazQmduAuk1sZG+fUt1BazXVPjbLrb4C7JCZ24C6TWxkV5vdFo+dvOfTjc6FeH1du0D/n0S3TafAAwu6QwEmgEc+zkE+xUd++bbFdbtO7jSAEJmSCfTRhkFYDCiM2AtowrTfCpczScSZgO6jqUWRmoa5fl4GolK5lFZ5DIal6mYinFcq/pwyqgC1nwqBM4YUCt0ltEgzSc20gs3yepKy6Q4ypJcf1f/lVEZT2tdcqXlRI5VFhf54bgJrPlUSLTFQFbozE0gzSc20rdvUaaANZ8MO5zFYFbozE0gzSc20l13FYpwT0U/cn9PJd9k364cDjO4pDMQaAZw7OcQ7Fd07JsvU1h/7eBKAwiZIZ1MK3I4zGBEZ8Arh80Bj0toFjlMwXzr2uIF7IDHwt9i2TIG1AqdJbBwL2zIR/oWymFY86nw92EsFoNZoTM3gTSf2EjfvuJawZpPyt+HsVkMZIWu3ERBmk9spJvl4ob6ph9smuKN6fjNV157lcESg8cPvqoppsf6Q5oPpT/KxHwI81EeD7NYmA/zo8T8KDE/SoXLWv7D5uCTFCDOcNljiI4M0ZEhOjJER4boyBAdGaIjQ3RkiI4M0ZEhOnIRHdGJbkojEFGwOjI8tQjSRM2nbD6V+dRczadoPkv9aeiaz+bHSfPjpPmxg7L5myicG2m14Kz/eLcNERXuD+ko5+sPKVk4n2wbFSCAwSWdgUAzgGM/h2C/omOXGOz0iLnOHWEyQzqZNipAAIMRnQFrBajSozU0S5iiYDagpY5hWTybRPFkKiORlmlUj3VBoGZqWk9yNR1XSy87BM0Gu4tP+btDW8aAWqEzzRZu4w35SC+kvajjNImrSFUzoatFkUd1UpXRbFzl4yQTcVFVh+MmsL6ZEliLwazQmZtA+mZspLte6VbhdpB+5NLDvkw71jlhBpd0Bsw6J4z9io5982UKJ9YdXGkAITOkk2lF54QZjOgMeHWOPFpDs+gcCubbp3NgrVqV44wBtUJnCQzSqmUjffs6+gq2T1D5u0MWi8Gs0JmbhNt4Qz7SneuccDtIP3J/O0htsm9X54QZXNIZMOucMPYrOvbNlymcWHdwpQGEzJBOphWdE2YwojPg1Tlmn6By7RMkYb59CQzWqlX+ruWWMaBW6CyBQVq1bKRvnxwuYa3a0t+1tFgMZoWu3KSEtGrZSH9rcWWjEQSd9q/K8DY4/ej9Xbpu9Q6AwSWdAa/eAWC/omPffKnCCXYHVxpAyAzpZNrQOwAGIzoDVr1TJkdraNt6h4TZgNaRK5vGE53lpKojkU/GUTUtp1EpqlpMZ3KWjJMnB5PIUlgi8zfzLDEdZoXOElm46zrkI337ZHEJa3OW/o4fXSF25SaQNicb6dVO5nJBvPO5nTLczdMuIHzWyONNa7Sre8IMLukMmHVPGPsVHfvmyxVOtDu40gBCZkgn04ruCTMY0Rnw6h5xtIZm0T0UzE1CE5OiGE+zqNbf08lPplGVTc25L9UkqfNqouT4ycEkNNgO1VLijAG1QmcJLdyFHfKRXshjnTDTNKmjSZmNIyFSEak0jqNpUpdlXSR5Mc0Ox01gbc8yx1oMZoXO3ATS9mQjvRjvKieyEpmK0ioptUupWVTLKo1ULtRkkkwmzSVJh+ImsLZn6esAWi0Gs0JnbgJpe7KRbtykytO4irNZVMwqI6WTJKpms2kk5CSdVdN4LGf14bgJbLtg6eu0WC0Gs0JnbhJuiQ35SHfdHS/DrRX9yP2tlXKTfbtVU5jBJZ2BQDOAYz+HYL+iY998mcIyfQdXGkDIDOlkWqmawgxGdAa8VVN5tIZmqZoomG9bAstiUNtTfw1nDKgVOkpgmk/Qa4d8pG+dHM5i0PGo+mtYi8Gs0JmbhFthQz7St664zmJQ70l/DWsxmBU6cxNA74mP9K1bqstiUO9Jfw1rMZgVOnMTQO+Jj3THVVMWh5fX9SMXPvZZp70mCINLOgOBZgDHfg7BfkXHvvkyhWX6Dq40gJAZ0sm0UDVBGIzoDDirJo3qaA1tq2qiYb59CQzUa9JfwxkDaoXOEhig18RH+hbKYVCvSX8NazGYFTpzE0CviY/0LSyuQb0m/TWsxWBW6MxNAL0mPtKNmxTxLJ1IUUdVLWUkslroGJTFUSVnaqbktIjLA3ITUK9Jfw1rMZgVOnMTQK+Jj3TnVVN4eV0/cu9SdZZssm+3agozuKQzEGgGcOznEOxXdOybL1NYpu/gSgMImSGdTCtVU5jBiM6At2oqj9bQLFUTBfOt6zUlsF5T4m27bBsDaoWuElgC6TWxkb59cjiB9ZoSb9vFZjGYFTpzE0iviY307SuuE1ivKfG2XWwWg1mhMzeB9JrYSN++pboE1mtKvG0Xm8VgVujMTSC9JjbSXVdNSXh5XT9y4WWfbrJvtWoCMLikMxBoBnDs5xDsV3Tsmy9TWKbv4EoDCJkhnUwbVROAwYjOgLVqSkyvaQltu2oiYb59CQzWa0okzhhQK3SWwCC9JjbSt1AOw3pNib/tYrEYzAqduQmk18RG+hYW17BeU+Jvu1gsBrNCZ24C6TWxkW7cJInjLC3zLMrjsYi0R80iVRaTSCn9G8k4r+oyPxw3gfWaEn/bxWIxmBU6cxNIr4mNdOdVU3h5XT9y/1J1tsm+3aopzOCSzkCgGcCxn0OwX9Gxb75MYZm+gysNIGSGdDKtVE1hBiM6A96qyfSaltAsVRMF863rNaWwXlPqb7tsGQNqha4SWArpNbGRvn1yOIX1mlJ/28ViMZgVOnMTSK+JjXTjJjMpxlUhdElVT6pIFFURVXEto1pINUvH07jMZofjJrBeU+pvu1gsBrNCZ24C6TWxkb59S3UprNeU+tsuFovBrNCZm0B6TWykv7U4Q9g89C7P0svS8DK7fvTCYwWVdzupB2BwSWcg0Azg2M8h2K/o2DdfqrBc38GVBhAyQzqZNqonAIMRnQFr9ZSantMS2nb1RMJ8+xIZrOdk3guMMaBW6CyRQXpObKRvYfUE6zmZiIOzGMwKnbkJpOfERnrZTMjkeDpT0axOzO6FSRZVQskoTmNZ1ZPZJD6kaALrOaW+9ovVYjArdOYmkJ4TG+nb18FOYT2n1H+sHH22sSs3gfSc2Eib6qlxlS0/2DTFG9Pxm6+89iqDJQaPH3x1mGXxsf4Q5qPQHyJ2mcK3fq3ydNMUTt0LIgSXvobFyLAYGRYjw2LkYjGis9jUviAWYPlrSGiVq1mYT9F8FubTQcQoYgqTJoctHe1Jx4V7Fl4zf1l/yctSOJ9XG4U7gMElnYFAM4BjP4dgv6Jjlxjs9Ai2iuUAMkM6mTYKdwCDEZ0Ba+GexUdraNthioS5qchiWSaxmkZ5Pp5GopJ5VBa5jMZlKqZiHNeqXtI6AA2VwfpZmfcmpG1jQK3QlYbKIP0sNtKNm6RjWWexUJGazExpn8RRWck6iuux/gUlRVYcTnc8g/WzMl9rx2oxmBU6cxNIP4uN9GIZEHRR0KG4CayflflaO1aLwazQmZtA+llspL+1vCNq+dS7viNKVwFBa2gXEF5r5JvWaFcehxlc0hkINAM49nMI9is69s2XK6zHdnClAYTMkE6mFXkcZjCiM+CVx6avtYRmkccUzM0So5xOyliVUT015+jUU5MG6yyKZ6nKq3RS14dzyXOWwfpamcQZA2qFzhIapK/FRvoW6h5YXyvzt3gsFoNZoTM3gfS12Eh3vfshC7dr9CP3tWvKrONlwDCDSzoDZp0Txn5Fx775MoUT6w6uNICQGdLJtKJzwgxGdAa8Oqc4WkOz6BwK5tuXwGCt1My/k41ew9reuSD5Pbx3kFYqG+lbKIdLmJv4OnxWi8Gs0JmbhLd2DflIr9Z3ltGi8/UdEe74vKy/5LGGyrduRG9V9wAYXNIZ8OoeAPYrOvbNlyucaHdwpQGEzJBOpg3dA2AwojNg1T3CtD+Fq/1JwmxAq2wyk0KmkVJVHol0nERKiDqa5HU9niUTnfuWgxwHkNAErP0p/J3ALWNArdBVQhOQ9icb6cZNprNqkmbVLJrV9SQSWZpGVVIXUTzOSjVOxbRZODgUN4G1P4W/E2ixGMwKnbkJpP3JRvr2VVEC1v4U/k6gxWIwK3TmJpD2Jxvpxk2kTMa1FJOoEjP93akYR7Uaq0hOp+W0qlKl0gNKOgLmJgJrMZgVOnOTcCtsyEd6MbdsuHc+uCzy42FWSJcFpNcC8MubQTTgincxrqyxj1zYR3Tsm0IXhB2sdZdDyhq7/nSAN79PQW/gb4WW1j3KDMDLzHwY35Kl/sjNT3PzG4UZlC8yl7/lPtb6z3brb2YoXjMbGWYjw2xkmI0Ms5FhNnIxG9GZteONzZi8pmY+G8/U5PRn3vxK3vxu0YzVOwg2Hk1g2OTLpaM+6XotKdw20InQtwSvitT5HFtZSwozuKQzEGgGcOznEOxXdOwSg50eAdfyIkxmSCfTylpSmMGIzoB3Lcn00ISrh0bCbECXs0Qls0xEpSqE1nZVGtVxPI0mWu+Np4WaxbP4ycHIelgPTXh35m0bA2qFzmQ9pIfGRnoxSj+rskqqSaTiTEWiHudRnY+raCxnSV2lqaqryeG4CayHJnztJKvFYFbozE0gPTQ20otW6zibTqp0FlVlWkSiyvNIibSOpmmlahnHZTU+nEUCCTuPUHqX6W0Wg1mhKzeR4X7KkI904yaFEpNZLVVUpnWpI4/MIlWOx9Gkns3036PGdX44SUfCGhjSu5ZvsxjMCp25CaSBwUb69p3PI2ENDOldy7dZDGaFztwE0sBgI70a3FjWDp0PbsjwOr12Ae86fdHtwCqAwSWdgUAzgGM/h2C/omPffLnC1d0OrjSAkBnSybRRbAMYjOgMWIttmR2toW0X2yTMjTwGjaMdSkKD9dCkwBkDaoXOEhqkh8ZGejHfk6t0XEyKqM6KWCe/6Swqx6KOsjKLy1lZ6Ux4OAfOSdj+LSmxFoNZoTM3gezfYiPd9cYcGd6WpB+5r3VSZnKTfbs6J8zgks6AWeeEsV/RsW++TOHEuoMrDSBkhnQyreicMIMRnQGvzsmP1tAsOoeC+fYlMNhRmNLXYbEYA2qFzhJYuBU25CPduMmkkDNZllUkC1Hq0j6TkSpnRTSt9FeFkrIUh3MUpoT1nqR/K5PFYjArdOYmkN4TG+lvLS4SMOm023WdcGtFP3p/a6VjvRNmcElnwKx3wtiv6Ng3X6pwgt3BlQYQMkM6mVb0TpjBiM6AV++Ya9iW0Cx6h4L51q3r5LC2Z+7vAFpiOswKXSWyHNL2ZCPduIlQ8UyLoTzSCS6LRDFNomqcxVEm4kmRTmexyA6n7ZnD2p65vwNosRjMCp25CaTtyUb69m3IyWFtz9zfAbRYDGaFztwE0vZkI9318l8e7uzoR+7rkpRZt+cPAhhc0hkINAM49nMI9is69s2XKay/dnClAYTMkE6mDTkMYDCiM2CVw7lpc+auNicJ8+1LYLA2Zy5wxoBaobMEBmlzspG+hXIY1ubMJdZiMCt05iaQNicb6VtYXMOOqcz9nRX6wZ5duUm4BTbkI71cJTbJvtNV4jzcUtGP3tdSUUXHsjjM4JLOQKAZwLGfQ7Bf0bFvvlRhHbaDKw0gZIZ0Mq3I4jCDEZ0Bryw2W+2W0CyymILZgM5SKWodxHSqM0mvSsvInNISlUVaTwtZj1NRPzmYRAZrd+b+XWeWmA6zQmeJDNLuZCPduEldj6fVLCsjKcRYayM1i6o81ukvqdUkqatJsznnUNwEttUu93dWLBaDWaEzNwm3wIZ8pLte/ivCrZSX9Zc87Mus2GTfqs4BMLikM+DVOQDsV3Tsmy9TOLHu4EoDCJkhnUwbOgfAYERnwKpzCnM8ZeE6npKE+dYlsALW5ix8HT+LMaBW6CqBFZA2Jxvp2yeHC1ibs/B1/KwWg1mhMzeBtDnZSH/rwI7lLsKdHu0C/s1h3R7LDWBwSWfArHvC2K/o2DdfrnCi3cGVBhAyQzqZVnRPmMGIzoBX95i2Z+Fqe5IwG9CqrtRYTWdRMakKs1NdxzczBD8ryqQsVDxO1fINOYSEBmt7FgJnDKgVOktokLYnG+nFCamG+qYfbJoCdB4iyRKL4yyL5oBUc4ilSs2HNB9Kf5SJ+RDmozgeijh22Uh6bdTxGapFc4aqOclS0xsZeiNDb2TojQy9kaE3ctEb0eltBi4QPXDsWh5sWSyOWW0Os9QEzadsPpX51BzNp2g+zSGXLprNUa0Eno16Xzruk641WbjzqKNY7mOpEufTbEWThRlc0hkINAM49nMI9is6donBTo+I69wQJjOkk2lFk4UZjOgMeDWZ2Ym6hGYJUxTMBrROxeVEpXUkpTk9qM7NIebTPMpUkaRynJUzdTijaAVsJ2rhbUBuGwNqhc40WbhTPOQjffsmFgtYa7bwdiltFoNZoTM3gbRm2Uh33nMLdxz1I/d1HMus47WnMINLOgNmnRPGfkXHvvkyhRPrDq40gJAZ0sm0onPCDEZ0Brw6x+xAXUKz6BwK5luXwBRsB6ryNyDp9xnZ3rkg+d3fOxXuFA/5SC9Oe1cyKcezIjInN0diOpZRFVcySmZqVohZMi6q8eG4Caw1q/xdSovFYFbozE0grVk20l3rHBXuOOpH7u84ulfn2tA5AAaXdAa8OgeA/YqOffNlCifWHVxpACEzpJNpQ+cAGIzoDFh1jkqP1tC2dQ4JswEtS5XNpFDRWE0TsyMki1Q1qSMl65mYTWpVjQ9I58Auq1T+fZZbxoBaobMEFu4MD/lI30I5DGvFmg4izmIwK3TmJpBWLBvpznVOeGOlfuTSx17Em+zb1TlhBpd0Bsw6J4z9io5982UKJ9YdXGkAITOkk2lF54QZjOgMeHWOPFpDs+gcCubbl8Bgm55VjjMG1AqdJbBwt3XIR/oWymFYe1P5On1Wi8Gs0JmbQNqbbKQ71znhrp1+5N7zY0W38zkABpd0Bsw6J4z9io5982UKJ9YdXGkAITOkk2lF54QZjOgMeHWOOlpDs+gcCubb15CAbXZW3ibetjGgVugsgYW7rUM+0rdPDpew9mbp7fTZLAazQlduUkLam2yku9Y5Zbhrpx+5t2sn0k32reocAINLOgNenQPAfkXHvvkyhRPrDq40gJAZ0sm0oXMADEZ0Bqw6p0yO1tC2dQ4J8+1LYCksgXmbeNvGgFqhswQW7rYO+UjfPjlcwtqbpbfTZ7MYzAqduQmkvclGunOdE+7a6UcuvOyzTfbt6pwwg0s6A2adE8Z+Rce++TKFE+sOrjSAkBnSybSic8IMRnQGvDpHHK2hWXQOBXPTkFBSZvFsEsWTqYxEWqZRPS7iSM3UtJ7kajo+oMN6S9iZzqXEGQNqhc4SWLjbOuQjfQvlMKy9WeZYi8Gs0JmbQNqbbKQ71znhrp1+5P6unfvy+lZ0TpjBJZ0Bs84JY7+iY998mcKJdQdXGkDIDOlkWtE5YQYjOgNenWPOcl5Cs+gcCubbl8BgG4ZLfxPPcls9zAqdJbBwt3XIR/oWymFYe7P0d/osFoNZoTM3gbQ32Uh3rHNEHO7avay/5GXf6c3GEAaXdAasOgeC/YqOffNlCifWHVxpACEzpJNpQedAGIzoDDh1jkZ1tIa2pXNomG9bAhMxaMOw/hrOGFArdJTANJ+g1w75SN86OSxiUHtTfw1rMZgVOnMTQHuTj/Ti6EvDXWw6wqYtQEcmkkzRnH0pYmEOtsz1R5roj8z8KFP6Q8TmIzUfmfkw39OU9Yf5ijDnYYrme6X+yJ0m9J4fq9JNEzozHMgO8CTXnIxpyI8M+ZEhPzLkR4b8yJAfGfIjQ35kyI8M+ZEhPzLkR4b8yJAfuciP6OQ3kyOIPDg/Ls7NNOTNpzk909DXn1nz48ycm2ksYD7T5jNrPpvvC9l8Nt8UzXmaYvF9c/6myxTm36HYwhgjWb4YT7o9W1ObKxgxdJgUXpadroFCGFzSGQg0Azj2cwj2Kzp2icFOj7jr5BMmM6STaaU2CDMY0Rnw1gbiaA3NEqYomA3oYiySLImTKE7LKhJSiagaT4soL6tJnMwmdVUdkOgD9Xr113DGgFqhM9EH6PXykf7W4mJWE+m7TWThVqZ+9LnXCh0vcoUZXNIZMCeyMPYrOvbNlyocOXdwpQGEzJBOppVEFmYwojPgTWT50RqaJZFRMDcVaaZmcVYrHc2EjEQh8qiaZXVUikkpsiKP66x+cjCJDLSLWn8NZwyoFTpLZOEW9JCP9GI4u5pVRTUZR2kei0jUMxWpJM2iLC1FKnKdBYv0cNwE1PPVX8NaDGaFztwE0PPlI72QxXWZyzibRlKpUn9XqaguZrn+aTyuqirP02p6OG4C6vnqr2EtBrNCZ24C6PnykV4knXw8FlVdRjKL80iIOo7qOJ1ERTauUjEZC5kfTtJJQFta9dewFoNZoSs3ScL9wCEf6cZNJlmZjzORRSKejiORxdOozmUSjWdqqqoknqXmtqpDcRNYAy7x9aKsFoNZoTM3gTTg2Eg3bpKJWkwnYx15YuNSeZJH9TSdReVEFIXxqbisDsdNYA24xNeLsloMZoXO3ATSgGMjvYgmUyFUEsdRFWezSKSzOqrLOItmVTKJlZDTTByQm4D2F+qvYS0Gs0JnbgLYX8hHunGTeFoX9XiWRtU4UVrHTKaRmmZ5lI3HtRhPtLqJs8NxE9DxqfprWIvBrNCZm4T7EUM+0otoUhdFXsYqqorpJBLT2TSqkmkcJWIcT7K6msyS2eG4CawBkEisxWBW6MxNIA0ANtKNm0xnWZ5P8jpKEuNSST7WzjWWjaKZ6l+bqvSAoglos5f+GtZiMCt05ibhReEhH+nFqOG0TpNCFpGaGM07mU2iajordQVdFaqeTqdlMjkcN4GtwiboBUmYFTpzE8gqLBvp2zdqmMBWYRP0giTMCp25CWQVlo30Iunk8aTKkiySqdDFs4iFLp7j0kQeqQNPUtRmS8ehuAlsFTZBL0jCrNCZm0BWYdlILyRsMkmSidShRs7Miu04jlQpjHPFSR7HaT07oGiSwlZhU/SCJMwKXblJClmFZSPd9QatNLy4qB+5f7o/32Tf6uwKgMElnYFAM4BjP4dgv6Jj33yZwsMSO7jSAEJmSCeTo8lgXekCwmBEZ8A6u5ImR2toG5CbaXQC5tuXwGAL/6lvDdxiDKgVOktgkIV/NtK3r2pKYQv/qf+MPYvFYFbozE0gC/9spG/fGkwKW/g3CgFnMZgVOnMTyMI/G+nbt6Kbwhb+zaPEWQxmhc7cBLLwz0b69vWHUtjCf+pbA7enaZAVOnMTyMI/G+nFdseqnKTjPIm065jOdCajOilVNC2LOJnUk0KK6eG4CWzhP/WtgVstBrNCZ24CWfhnI337hhJS2MJ/6j99ymIxmBU6cxPIwj8b6cZNUjWpZKbTUlxovxJJXEW1kvoPqFk8UXGls9ThLPynsIX/1LcGbrUYzAqduQlk4Z+N9O2bhMtgC/+Z/5QfW5oGWaErN8kgC/9spG/f+HUGG7/OkGuNUCt05ibhReEhH+nbt5kjg63CZugFSZgVOnMTyCosG+nbtzUsg63CZugFSZgVOnMTyCosG+nbt9E0g63CZgJrMZgVOnMTyCosG+nbt209g63CZhJrMZgVOnMTyCosG+nl+Sv5k47PX8nCi4z60fsWGZVyt+3bmGEBMLikMxBoBnDs5xDsV3Tsmy9VeGhiB1caQMgM6WRyNBmsK11AGIzoDFhnWDJz/soS2gbk5ixFAmYDepaVlSxTFWVJMouSZDqNylKnv0mS50k1juu6PJyV3QzWAMh8a+EWY0Ct0FkigzQA2Eh3PYSZhde19SP3r2sXzne2lQQWZnBJZ8CcwMLYr+jYN1+mcMTcwZUGEDJDOplWEliYwYjOgDeBqaM1NEsCo2C+fQkM1nPK/O2XLWNArdBZAoP0nNhILysx7WDdVmIi3FJ5WX/JYwWluk1kAAaXdAa8iQyA/YqOffOlCkfOHVxpACEzpJNpI5EBGIzoDFgTmTDXvQjXdS8kzE27U04LkZdllM8mppmhZlE9npVRmkzHk8lEzlQ9e3IoiUzA2p3Cf/CSJabDrNBVIhOQdicbaZPIGuYL4uaqgi4SmuNR+7p3SpXOd7WVxBXuP17SGTAnrjD2Kzr2zZcoHCn35TJDOuhWElTY7CM6A94ElR6toVkSFAVzN2tAjkjjbwArp9FbiTThFvYlnQFzpAljv6Jjlxjs+440VNCtRJqw2Ud0BryRJjtaQ7NEGgrmg4o0wkugY00TnoK4pDNgjjRh7Fd07BKDfd+Rhgq6lUgTNvuIzoA30ph7lJbQLJGGgvmgIo30EZCx0+itRJrwIM0lnQFzpAljv6Jjlxjs+440VNCtRJqw2Ud0BryRRh6toVkiDQXzQUWa3EsgcRq9lUgTns+5pDNgjjRh7Fd07BKDfd+Rhgq6lUgTNvuIzoA30piRriU0S6ShYD6oSOPdkixTp9FbiTThmapLOgPmSBPGfkXHLjHY9x1pqKBbiTRhs4/oDHgjTXG0hmaJNBTMBxVpvMNDMnMavZVIEx7ZuqQzYI40YexXdOwSg33fkYYKupVIEzb7iM6AN9KYKT/hmvIjYV52vZeebuJMF13vmzGu8DCbjki+YTZVdlxlhRlc0hkwR6Qw9is6donBTo5IN+MkYTJDOplWIlWYwYjOgDdSlUdraJZIRcFsQCfpWM4qqSIxk1UkiqyKqiSXUSmKMq0nk2oyKRe03BHsm1VLY1wSdriJ9M60bRsDagXrOxckv/t7J8PDh0M+0rdvA7GETftJ7+CbzWIwK3TmJpBpPzbSt+9ELZnC3CTFWgxmhc7cJDwpNuQjfftO1JKww02kb3rEajGYFTpzk/CYz5CP9O07xlHCDjeRAmsxmBU6c5PwjMaQj/TtOwNHwg43kRJrMZgVOnOTcIN9yEf69p0dLGFHTMscazGYFTpzk3B3dMhH+vadRC5hJ0xIX8fEnqZBVujMTcKtrSEf6dt3Pp+EHTEtvdcs2iwGs0JnbhLuSwz5SN++6y8kbLu/RK41Qq3QmZuEF4WHfKQbN6nr8bSaZWUkhbmHslCzqMpj/d2kVpNER57MLO8diJvksFXYHL0gCbNCV26SQ1Zh2UgvtAnoGq9DcRPYKmyOXpCEWaEzN4GswrKRXh4eIp503HXOw4uM+tH7FxnTTSu02nUGMLikMxBoBnDs5xDsV3Tsmy9VuM25gysNIGSGdDI5mgzWlS4gDEZ0Bqxd59zszV5C2+46kzAb0FJNi7HKdfgqilp/1GVUKjmL4kqmqs7SWaHGTw4mkcEaALl/LXzLGFArdJbIIA0ANtLNGFWzurvVMNy0xRvT8ZuvvPYqgykGjx98VXOUx/ojNx+F+VDmo3QZRHgNAh/UA7GCxyJDZWSojAyVkaEyMlRGLiojOpXNiASiAg5KhomJPfLYfObNZ9F8qubTTsf8DoVPs3K8dLwn3YgqR7iRXjZbt9i3K57Cy/2XdAbM4imM/YqOXWKwkyOXIzZRQbciksJmH9EZ8IokswVzCc0SdiiYD2m7Qp57CJRSOI3eSqQJd4wu6QyYI00Y+xUdu8Rg33ekoYJuJdKEzT6iM+CNNGYL5hKaJdJQMB9UpPHv7OpY04Sbjpd0BsyRJoz9io5dYrDvO9JQQbcSacJmH9EZ8EYaswVzCc0SaSiYv3wc6IFVU/4ucLfnWOfhPvYlnQFz5Aljv6Jjlxjs+448VNCtRJ6w2Ud0BryRx2zJzF1bMkmYl5Fn6S2HdRBx7h8s6PbQvjw8GnFJZ8AcecLYr+jYJQb7viMPFXQrkSds9hGdAW/kMVssl9AskYeCueliLP/vK8fP/K1fef4rX0/0r3zpr1v8oeNn/p7Vr7zx5v/yjekbmvtXZq+9+qb57/i1b7z2uvlB9fpf1OZv+3r6dSlU8ZVvHX/l1eqb5h+4eOWb0zd6D6f/vnf+2jerV/W/9sYr/6v+jSQ9/srfvDqZvv6NV14133v1Nf0f/ceqb7zyF68azzR/7V++9vor/6v+t6pv6G98Yzp7U//x/8/09TdfGTe/MtZfm76uf+3fv1799cX0P+g/8+brfzPVf0utKU5fb7DWr7355mvfXPzI/OLAsFj9g8cWCnHzf1/RNelXJq9Uf/Haq+bfovzpBjDpT77+yl/8JfGPvvnaX1P+oP6Ts1e+0RA1/zUeqr/wxmvf0I/f+MLkjvPPGseoXn9z+wsrXzDO8DffrKevf/2117WbLRzI/OjOaxPzr9ydvjp9XRtZf++vX3/tzUWjxnzrG6+N/2qq3W/1y1ODZfFa6V985dW/1LHsTQP+/w+d4pbz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</si>
  <si>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</si>
  <si>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</si>
  <si>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</si>
  <si>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</si>
  <si>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</si>
  <si>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</si>
  <si>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</si>
  <si>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</si>
  <si>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</si>
  <si>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</si>
  <si>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</si>
  <si>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</si>
  <si>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</si>
  <si>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</si>
  <si>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</si>
  <si>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</si>
  <si>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руб.с НДС 22%</t>
  </si>
  <si>
    <t>Материалы/
оборудование</t>
  </si>
  <si>
    <t>СМР, ПНР</t>
  </si>
  <si>
    <t>Стоимость, руб.с НДС 22%</t>
  </si>
  <si>
    <t>Общая стоимость,
руб.с НДС 22%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</si>
  <si>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</si>
  <si>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</si>
  <si>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</si>
  <si>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</si>
  <si>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</si>
  <si>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</si>
  <si>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6.1</t>
  </si>
  <si>
    <t>Подготовка строительства</t>
  </si>
  <si>
    <t>1.1.1.1</t>
  </si>
  <si>
    <t>6.1.2</t>
  </si>
  <si>
    <t>Организация строительной площадки</t>
  </si>
  <si>
    <t>1.1.1.1.1</t>
  </si>
  <si>
    <t>6.1.2.4</t>
  </si>
  <si>
    <t>Временные здания и сооружения</t>
  </si>
  <si>
    <t>1.1.1.1.1.1</t>
  </si>
  <si>
    <t>6.1.2.4.7</t>
  </si>
  <si>
    <t>Устройство ветрозащитного экрана</t>
  </si>
  <si>
    <t>1.1.1.1.1.1.1</t>
  </si>
  <si>
    <t>6.1.2.4.7.1.1</t>
  </si>
  <si>
    <t>Аренда комплекта направляющих для ветрозащитного экрана</t>
  </si>
  <si>
    <t>НЗ № 10 от 24.11.2025</t>
  </si>
  <si>
    <t>мес</t>
  </si>
  <si>
    <t>9c991db7-1f5f-4cbb-90af-ef254042d4b4</t>
  </si>
  <si>
    <t>15a26314-ca73-41ac-9b21-2b10260bc6a9</t>
  </si>
  <si>
    <t>5d66fcfd-8f62-4681-97b3-5e2f6219863f</t>
  </si>
  <si>
    <t>1.1.1.1.1.2</t>
  </si>
  <si>
    <t>6.1.2.4.8</t>
  </si>
  <si>
    <t>Устройство временного теплового контура</t>
  </si>
  <si>
    <t>1.1.1.1.1.2.1</t>
  </si>
  <si>
    <t>6.1.2.4.8.5.1</t>
  </si>
  <si>
    <t>Компенсация стоимости дизельного топлива для обогрева тепляка (по акту)</t>
  </si>
  <si>
    <t>НЗ № 10 от 24.11.2025. Дизельная тепловая пушка Ресанта ТДП-30000 67/1/10: расход 2,34 кг/ч; 1 литр ДТ весит от 0,84 кг следовательно  расход 2,79 л/ч; Смена - 8 часов; Обогрев производился с 20.10.2025 по 28.02.2026  - 18 недель по 6 дней в неделю. ИТОГО 1 пушка: 18*6*8*2,79=2410,56 литров ДТ. 12 пушек - 2410,56*12=28 926,72 литров ДТ.</t>
  </si>
  <si>
    <t>л (дм3)</t>
  </si>
  <si>
    <t>5578adda-97ef-49ac-b5ad-60b57f623006</t>
  </si>
  <si>
    <t>23fbe2c3-62a4-4243-a4bf-2d8d18f2309d</t>
  </si>
  <si>
    <t>1.1.1.1.1.2.2</t>
  </si>
  <si>
    <t>6.1.2.4.8.6.1</t>
  </si>
  <si>
    <t>Устройство временного теплового контура для проведения отделочных работ /фальш-окна (брус. армированная плёнка, утеплитель, фурнитура и пр.) полный комплекс работ, включая стоимость материалов и демонтаж</t>
  </si>
  <si>
    <t>НЗ № 9 от 24.11.2025</t>
  </si>
  <si>
    <t>м2</t>
  </si>
  <si>
    <t>b308570b-231e-4cd7-babb-dabdc5609dc4</t>
  </si>
  <si>
    <t>0ca668e0-614b-4be3-bee7-bb72e21c1bd7</t>
  </si>
  <si>
    <t>1.1.1.1.1.3</t>
  </si>
  <si>
    <t>6.1.2.4.9</t>
  </si>
  <si>
    <t>Монтаж ярусных конструкций для работ на высоте</t>
  </si>
  <si>
    <t>1.1.1.1.1.3.1</t>
  </si>
  <si>
    <t>6.1.2.4.9.1.1</t>
  </si>
  <si>
    <t>Монтаж, демонтаж, аренда строительных лесов</t>
  </si>
  <si>
    <t>НЗ № 8 от 17.11.2025 Отделка лестниц: ЛК9, ЛК10, ЛК11</t>
  </si>
  <si>
    <t>b834d9d5-d82e-4a35-aecd-d355084311b3</t>
  </si>
  <si>
    <t>eba7ef85-9ce3-49cb-925f-78ecd339c642</t>
  </si>
  <si>
    <t>1.1.1.1.1.3.2</t>
  </si>
  <si>
    <t>НЗ № 11 от 11.12.2025</t>
  </si>
  <si>
    <t>1.1.2</t>
  </si>
  <si>
    <t>6.2</t>
  </si>
  <si>
    <t>СМР корпуса без отделки</t>
  </si>
  <si>
    <t>1.1.2.1</t>
  </si>
  <si>
    <t>6.2.2</t>
  </si>
  <si>
    <t>СМР надземной части корпуса (без отделки)</t>
  </si>
  <si>
    <t>1.1.2.1.1</t>
  </si>
  <si>
    <t>6.2.2.4</t>
  </si>
  <si>
    <t>Внутренние стены и перегородки</t>
  </si>
  <si>
    <t>1.1.2.1.1.1</t>
  </si>
  <si>
    <t>6.2.2.4.2</t>
  </si>
  <si>
    <t>Устройство перегородок</t>
  </si>
  <si>
    <t>1.1.2.1.1.1.1</t>
  </si>
  <si>
    <t>6.2.2.4.2.4</t>
  </si>
  <si>
    <t>Устройство перегородок и зашивка коммуникаций ГКЛ</t>
  </si>
  <si>
    <t>1.1.2.1.1.1.1.1</t>
  </si>
  <si>
    <t>6.2.2.4.2.4.2.16</t>
  </si>
  <si>
    <t>Облицовка стен по системе Knauf / С-626 / в 2 слоя / А-6, А-9</t>
  </si>
  <si>
    <t>Выгружается из БО по объектам BIM-КЦ</t>
  </si>
  <si>
    <t>Блок 1, блок 4.1
1 ,2, 3 этаж
Обшивка стояков и коллекторов</t>
  </si>
  <si>
    <t>3caeaf31-240c-4800-9ddf-ce092caa9a99</t>
  </si>
  <si>
    <t>2b3256bf-fa66-403d-8607-d883a73d917c</t>
  </si>
  <si>
    <t>0ed13e26-7903-4b3b-80e2-92ed86dbdc43</t>
  </si>
  <si>
    <t>1.1.2.1.1.1.1.1.1</t>
  </si>
  <si>
    <t>Прочие материалы для облицовки стен из ГКЛ (лента, шпатлевка, грунтовка, шуруп, дюбель и пр.)_ / 2 слоя ГКЛ / профиль ПН/ПС 75 мм</t>
  </si>
  <si>
    <t>комплект</t>
  </si>
  <si>
    <t>339118791.1571304</t>
  </si>
  <si>
    <t>25887983.1571304</t>
  </si>
  <si>
    <t>03246ec1-2d72-4291-b360-a366560593b9</t>
  </si>
  <si>
    <t>1.1.2.1.1.1.1.1.2</t>
  </si>
  <si>
    <t>Профиль_/стоечный/50*50*0,60/3м</t>
  </si>
  <si>
    <t>пог. м</t>
  </si>
  <si>
    <t>339118791.54565</t>
  </si>
  <si>
    <t>25887983.54565</t>
  </si>
  <si>
    <t>aadfbe6a-ab19-412b-a4b6-645b6bf99174</t>
  </si>
  <si>
    <t>1.1.2.1.1.1.1.1.3</t>
  </si>
  <si>
    <t>Профиль_/направляющий/50*40*0,60/3м</t>
  </si>
  <si>
    <t>339118791.54570</t>
  </si>
  <si>
    <t>25887983.54570</t>
  </si>
  <si>
    <t>fcc6f7bc-87cc-49c1-b4ac-f6a22abb8878</t>
  </si>
  <si>
    <t>1.1.2.1.1.1.1.1.4</t>
  </si>
  <si>
    <t>Лист гипсоволокнистый ГВЛ 12,5мм Г1</t>
  </si>
  <si>
    <t>339118791.7351</t>
  </si>
  <si>
    <t>25887983.7351</t>
  </si>
  <si>
    <t>22b5ef4a-0665-11e8-80d9-005056881952</t>
  </si>
  <si>
    <t>1.1.3</t>
  </si>
  <si>
    <t>6.3</t>
  </si>
  <si>
    <t>Отделка, столярные работы, мебель и оборудование</t>
  </si>
  <si>
    <t>1.1.3.1</t>
  </si>
  <si>
    <t>6.3.1</t>
  </si>
  <si>
    <t>Отделка нежилых помещений</t>
  </si>
  <si>
    <t>1.1.3.1.1</t>
  </si>
  <si>
    <t>6.3.1.5</t>
  </si>
  <si>
    <t>Отделка СКБ</t>
  </si>
  <si>
    <t>1.1.3.1.1.1</t>
  </si>
  <si>
    <t>6.3.1.5.1</t>
  </si>
  <si>
    <t>Полы</t>
  </si>
  <si>
    <t>1.1.3.1.1.1.1</t>
  </si>
  <si>
    <t>6.3.1.5.1.1</t>
  </si>
  <si>
    <t xml:space="preserve">Подготовка полов под финишное покрытие </t>
  </si>
  <si>
    <t>1.1.3.1.1.1.1.1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</si>
  <si>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</si>
  <si>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</si>
  <si>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вручную.</t>
  </si>
  <si>
    <t>Типы 9, 9.1, 9.2, 9.3, 11, 11.1</t>
  </si>
  <si>
    <t>b30e711e-fd2e-4402-9c1c-fd9dc1b88c63</t>
  </si>
  <si>
    <t>406d96a2-5db4-4f45-9273-4d1b12717a82</t>
  </si>
  <si>
    <t>8a7cac49-151b-40fd-a08b-5e72f8ff4034</t>
  </si>
  <si>
    <t>1.1.3.1.1.1.1.1.1</t>
  </si>
  <si>
    <t>Наливной пол_ / Унифицированный по ПИК-СТАНДАРТ</t>
  </si>
  <si>
    <t>кг</t>
  </si>
  <si>
    <t>339118798.843695</t>
  </si>
  <si>
    <t>25888012.843695</t>
  </si>
  <si>
    <t>df4d871a-815e-4066-8cc1-e339f3f3c9fe</t>
  </si>
  <si>
    <t>1.1.3.1.1.1.1.1.2</t>
  </si>
  <si>
    <t>Лента кромочная демпферная_/8*100мм/20м</t>
  </si>
  <si>
    <t>339118798.55045</t>
  </si>
  <si>
    <t>25888012.55045</t>
  </si>
  <si>
    <t>41f707b9-71e7-4101-86f2-7af29d65f5fe</t>
  </si>
  <si>
    <t>1.1.3.1.1.1.1.1.3</t>
  </si>
  <si>
    <t>Грунтовка универсальный ЛАСТИМИН_ / УНКОНТ ЛЮКС LP51 А</t>
  </si>
  <si>
    <t>339118798.1139608</t>
  </si>
  <si>
    <t>25888012.1139608</t>
  </si>
  <si>
    <t>bbceaf39-544c-478f-a605-41b8d1bad350</t>
  </si>
  <si>
    <t>1.1.3.1.1.1.1.2</t>
  </si>
  <si>
    <t>Устройство наливных полов с огрунтовкой поверхности и проклейкой демпферной лентой / толщ. до 10 мм</t>
  </si>
  <si>
    <t>АРОР АЙСИБИ/МФ-СТРОЙ</t>
  </si>
  <si>
    <t>1.1.3.1.1.1.1.2.1</t>
  </si>
  <si>
    <t>339118901.1139608</t>
  </si>
  <si>
    <t>28951149.1139608</t>
  </si>
  <si>
    <t>1.1.3.1.1.1.1.2.2</t>
  </si>
  <si>
    <t>339118901.55045</t>
  </si>
  <si>
    <t>28951149.55045</t>
  </si>
  <si>
    <t>1.1.3.1.1.1.1.2.3</t>
  </si>
  <si>
    <t>339118901.843695</t>
  </si>
  <si>
    <t>28951149.843695</t>
  </si>
  <si>
    <t>1.1.3.1.1.1.1.3</t>
  </si>
  <si>
    <t>6.3.1.5.1.1.6.3</t>
  </si>
  <si>
    <t>Устройство разделительного слоя / из пленки полиэтиленовой / в 1 слой</t>
  </si>
  <si>
    <t xml:space="preserve">Типы 4.4, 5, 5.1, 6, 6.1, 7, 7.1, 7.2, 8.1, 8.2, 9, 9.1
</t>
  </si>
  <si>
    <t>672f52f6-b26d-4fee-8a2b-3f641d01bb01</t>
  </si>
  <si>
    <t>91058521-be9a-4628-9277-514b8aa56189</t>
  </si>
  <si>
    <t>1.1.3.1.1.1.1.3.1</t>
  </si>
  <si>
    <t>Пленка полиэтиленовая_/200мкр</t>
  </si>
  <si>
    <t>339118800.55069</t>
  </si>
  <si>
    <t>25888003.55069</t>
  </si>
  <si>
    <t>1e9c2d25-a07a-4034-8600-2006e1c8a943</t>
  </si>
  <si>
    <t>1.1.3.1.1.1.1.4</t>
  </si>
  <si>
    <t>1.1.3.1.1.1.1.4.1</t>
  </si>
  <si>
    <t>339118902.55069</t>
  </si>
  <si>
    <t>28951150.55069</t>
  </si>
  <si>
    <t>1.1.3.1.1.1.1.5</t>
  </si>
  <si>
    <t>НЗ № 8 от 17.11.2025 Отделка лестниц: ЛК9, ЛК10, ЛК11. Полы Тип: 6.</t>
  </si>
  <si>
    <t>1.1.3.1.1.1.1.5.1</t>
  </si>
  <si>
    <t>339118903.55069</t>
  </si>
  <si>
    <t>28964108.55069</t>
  </si>
  <si>
    <t>1.1.3.1.1.1.1.6</t>
  </si>
  <si>
    <t>6.3.1.5.1.1.9.1</t>
  </si>
  <si>
    <t>Обработка полов гидрофобизирующим составом</t>
  </si>
  <si>
    <t>Типы 5, 5.1 - обеспыливание</t>
  </si>
  <si>
    <t>8110adda-1540-4bb8-b3b7-609310f23e25</t>
  </si>
  <si>
    <t>a1d4b7cf-4f07-494c-98d4-9910479c9aa6</t>
  </si>
  <si>
    <t>1.1.3.1.1.1.1.6.1</t>
  </si>
  <si>
    <t>Пропитка для бетонных поверхностей  / Элакор МБ1</t>
  </si>
  <si>
    <t>339118802.1196509</t>
  </si>
  <si>
    <t>25888005.1196509</t>
  </si>
  <si>
    <t>8ba8c8ef-7da7-49ae-a370-f7919780c284</t>
  </si>
  <si>
    <t>1.1.3.1.1.1.1.6.2</t>
  </si>
  <si>
    <t>Грунтовка силикатная КМ0 Прозрачный</t>
  </si>
  <si>
    <t>339118802.1563057</t>
  </si>
  <si>
    <t>25888005.1563057</t>
  </si>
  <si>
    <t>72759f44-7aae-11eb-80fb-005056881952</t>
  </si>
  <si>
    <t>1.1.3.1.1.1.1.7</t>
  </si>
  <si>
    <t>6.3.1.5.1.1.10.1</t>
  </si>
  <si>
    <t>Затирка, уход, полировка полов мех.способом</t>
  </si>
  <si>
    <t>Тип 4.4</t>
  </si>
  <si>
    <t>dd9e8bf2-e598-4240-a9ef-42a19e307a99</t>
  </si>
  <si>
    <t>87df31f5-7774-419b-89c0-770c519b61b1</t>
  </si>
  <si>
    <t>1.1.3.1.1.1.1.7.1</t>
  </si>
  <si>
    <t>Цемент- / Портланд / М500</t>
  </si>
  <si>
    <t>339118804.756912</t>
  </si>
  <si>
    <t>25887989.756912</t>
  </si>
  <si>
    <t>ccc006f9-4768-4303-b168-55f763d38105</t>
  </si>
  <si>
    <t>1.1.3.1.1.1.1.8</t>
  </si>
  <si>
    <t>6.3.1.5.1.1.11.2</t>
  </si>
  <si>
    <t>Устройство стяжки СКБ / армированная сеткой от 21 мм до 40мм</t>
  </si>
  <si>
    <t>Тип 7.1
40мм</t>
  </si>
  <si>
    <t>bc0e5f03-2992-4502-aa0b-a36daa7dc9b3</t>
  </si>
  <si>
    <t>21d23a99-5bd4-4d65-bcd9-e1e922edb18b</t>
  </si>
  <si>
    <t>1.1.3.1.1.1.1.8.1</t>
  </si>
  <si>
    <t>Фиксатор арматуры Звездочка_/15/4-16</t>
  </si>
  <si>
    <t>шт</t>
  </si>
  <si>
    <t>339118806.55160</t>
  </si>
  <si>
    <t>25887992.55160</t>
  </si>
  <si>
    <t>89d26042-545e-4f2c-9700-1029a9f50251</t>
  </si>
  <si>
    <t>1.1.3.1.1.1.1.8.2</t>
  </si>
  <si>
    <t>Смесь цементно-песчаная сухая_/М200</t>
  </si>
  <si>
    <t>339118806.54612</t>
  </si>
  <si>
    <t>25887992.54612</t>
  </si>
  <si>
    <t>0d69655b-e863-4a40-aa5e-ec8a8fb69e4b</t>
  </si>
  <si>
    <t>1.1.3.1.1.1.1.8.3</t>
  </si>
  <si>
    <t>Сетка эл/св_/100*100*5</t>
  </si>
  <si>
    <t>339118806.55156</t>
  </si>
  <si>
    <t>25887992.55156</t>
  </si>
  <si>
    <t>bf82eb44-b4c2-419c-ba3f-021582715b59</t>
  </si>
  <si>
    <t>1.1.3.1.1.1.1.8.4</t>
  </si>
  <si>
    <t>339118806.55045</t>
  </si>
  <si>
    <t>25887992.55045</t>
  </si>
  <si>
    <t>1.1.3.1.1.1.1.9</t>
  </si>
  <si>
    <t>6.3.1.5.1.1.11.3</t>
  </si>
  <si>
    <t>Устройство стяжки СКБ / армированная сеткой от 41 мм до 60мм</t>
  </si>
  <si>
    <t>Типы 8.3, 9.1, 9.3
60мм</t>
  </si>
  <si>
    <t>ab62b66c-87c5-4996-bbcc-d9044c8dc3c3</t>
  </si>
  <si>
    <t>52f6b76b-892a-4180-890e-fe6cef6a41a6</t>
  </si>
  <si>
    <t>1.1.3.1.1.1.1.9.1</t>
  </si>
  <si>
    <t>339118807.55160</t>
  </si>
  <si>
    <t>25888011.55160</t>
  </si>
  <si>
    <t>1.1.3.1.1.1.1.9.2</t>
  </si>
  <si>
    <t>339118807.54612</t>
  </si>
  <si>
    <t>25888011.54612</t>
  </si>
  <si>
    <t>1.1.3.1.1.1.1.9.3</t>
  </si>
  <si>
    <t>339118807.55156</t>
  </si>
  <si>
    <t>25888011.55156</t>
  </si>
  <si>
    <t>1.1.3.1.1.1.1.9.4</t>
  </si>
  <si>
    <t>339118807.55045</t>
  </si>
  <si>
    <t>25888011.55045</t>
  </si>
  <si>
    <t>1.1.3.1.1.1.1.10</t>
  </si>
  <si>
    <t>6.3.1.5.1.1.11.4</t>
  </si>
  <si>
    <t>Устройство стяжки СКБ / армированная сеткой от 61мм до 80мм</t>
  </si>
  <si>
    <t>Типы 6, 6.1, 7, 7.2, 8.1, 8.2, 9, 9.2</t>
  </si>
  <si>
    <t>69309f48-e9fb-4ccc-8a31-9b4745ed871a</t>
  </si>
  <si>
    <t>23adf7dc-e836-4d8a-ab74-26a79242b402</t>
  </si>
  <si>
    <t>1.1.3.1.1.1.1.10.1</t>
  </si>
  <si>
    <t>339118808.55160</t>
  </si>
  <si>
    <t>25888008.55160</t>
  </si>
  <si>
    <t>1.1.3.1.1.1.1.10.2</t>
  </si>
  <si>
    <t>339118808.54612</t>
  </si>
  <si>
    <t>25888008.54612</t>
  </si>
  <si>
    <t>1.1.3.1.1.1.1.10.3</t>
  </si>
  <si>
    <t>339118808.55156</t>
  </si>
  <si>
    <t>25888008.55156</t>
  </si>
  <si>
    <t>1.1.3.1.1.1.1.10.4</t>
  </si>
  <si>
    <t>339118808.55045</t>
  </si>
  <si>
    <t>25888008.55045</t>
  </si>
  <si>
    <t>1.1.3.1.1.1.1.11</t>
  </si>
  <si>
    <t>Типы 11, 11.1
68мм</t>
  </si>
  <si>
    <t>1.1.3.1.1.1.1.11.1</t>
  </si>
  <si>
    <t>Грунтовка БЕТОН-КОНТАКТ_/</t>
  </si>
  <si>
    <t>339118904.54633</t>
  </si>
  <si>
    <t>25888002.54633</t>
  </si>
  <si>
    <t>8682c7d7-b370-46ef-9c4b-39309f9aa3e8</t>
  </si>
  <si>
    <t>1.1.3.1.1.1.1.11.2</t>
  </si>
  <si>
    <t>339118904.55045</t>
  </si>
  <si>
    <t>25888002.55045</t>
  </si>
  <si>
    <t>1.1.3.1.1.1.1.11.3</t>
  </si>
  <si>
    <t>339118904.55156</t>
  </si>
  <si>
    <t>25888002.55156</t>
  </si>
  <si>
    <t>1.1.3.1.1.1.1.11.4</t>
  </si>
  <si>
    <t>339118904.54612</t>
  </si>
  <si>
    <t>25888002.54612</t>
  </si>
  <si>
    <t>1.1.3.1.1.1.1.11.5</t>
  </si>
  <si>
    <t>339118904.55160</t>
  </si>
  <si>
    <t>25888002.55160</t>
  </si>
  <si>
    <t>1.1.3.1.1.1.1.12</t>
  </si>
  <si>
    <t>Тип 5
70мм</t>
  </si>
  <si>
    <t>1.1.3.1.1.1.1.12.1</t>
  </si>
  <si>
    <t>339118905.55160</t>
  </si>
  <si>
    <t>25887990.55160</t>
  </si>
  <si>
    <t>1.1.3.1.1.1.1.12.2</t>
  </si>
  <si>
    <t>Смесь цементно-песчаная сухая_/М150</t>
  </si>
  <si>
    <t>339118905.54611</t>
  </si>
  <si>
    <t>25887990.54611</t>
  </si>
  <si>
    <t>a1146549-61c5-4487-b5c7-fb7d0d185669</t>
  </si>
  <si>
    <t>1.1.3.1.1.1.1.12.3</t>
  </si>
  <si>
    <t>Сетка эл/св_/100*100*4</t>
  </si>
  <si>
    <t>339118905.55155</t>
  </si>
  <si>
    <t>25887990.55155</t>
  </si>
  <si>
    <t>c5168317-5be2-4e9a-9785-1f0957ca2ab6</t>
  </si>
  <si>
    <t>1.1.3.1.1.1.1.12.4</t>
  </si>
  <si>
    <t>339118905.55045</t>
  </si>
  <si>
    <t>25887990.55045</t>
  </si>
  <si>
    <t>1.1.3.1.1.1.1.13</t>
  </si>
  <si>
    <t>Типы 4.4, 5.1
80мм</t>
  </si>
  <si>
    <t>1.1.3.1.1.1.1.13.1</t>
  </si>
  <si>
    <t>339118906.55045</t>
  </si>
  <si>
    <t>25888004.55045</t>
  </si>
  <si>
    <t>1.1.3.1.1.1.1.13.2</t>
  </si>
  <si>
    <t>339118906.55155</t>
  </si>
  <si>
    <t>25888004.55155</t>
  </si>
  <si>
    <t>1.1.3.1.1.1.1.13.3</t>
  </si>
  <si>
    <t>339118906.54611</t>
  </si>
  <si>
    <t>25888004.54611</t>
  </si>
  <si>
    <t>1.1.3.1.1.1.1.13.4</t>
  </si>
  <si>
    <t>339118906.55160</t>
  </si>
  <si>
    <t>25888004.55160</t>
  </si>
  <si>
    <t>1.1.3.1.1.1.1.14</t>
  </si>
  <si>
    <t>Устройство стяжки СКБ / армированная сеткой от 61мм до 80 мм</t>
  </si>
  <si>
    <t>АРОР АЙСИБИ/МФ-СТРОЙ. Полусухая стяжка механизированным способом М200, толщиной 65 мм.</t>
  </si>
  <si>
    <t>1.1.3.1.1.1.1.14.1</t>
  </si>
  <si>
    <t>339118907.55160</t>
  </si>
  <si>
    <t>28951151.55160</t>
  </si>
  <si>
    <t>1.1.3.1.1.1.1.14.2</t>
  </si>
  <si>
    <t>339118907.54612</t>
  </si>
  <si>
    <t>28951151.54612</t>
  </si>
  <si>
    <t>1.1.3.1.1.1.1.14.3</t>
  </si>
  <si>
    <t>339118907.55156</t>
  </si>
  <si>
    <t>28951151.55156</t>
  </si>
  <si>
    <t>1.1.3.1.1.1.1.14.4</t>
  </si>
  <si>
    <t>339118907.55045</t>
  </si>
  <si>
    <t>28951151.55045</t>
  </si>
  <si>
    <t>1.1.3.1.1.1.1.15</t>
  </si>
  <si>
    <t>АРОР АЙСИБИ/МФ-СТРОЙ. Полусухая стяжка механизированным способом М200, толщиной 68 мм.</t>
  </si>
  <si>
    <t>1.1.3.1.1.1.1.15.1</t>
  </si>
  <si>
    <t>339118908.54633</t>
  </si>
  <si>
    <t>28951152.54633</t>
  </si>
  <si>
    <t>1.1.3.1.1.1.1.15.2</t>
  </si>
  <si>
    <t>339118908.55045</t>
  </si>
  <si>
    <t>28951152.55045</t>
  </si>
  <si>
    <t>1.1.3.1.1.1.1.15.3</t>
  </si>
  <si>
    <t>339118908.55156</t>
  </si>
  <si>
    <t>28951152.55156</t>
  </si>
  <si>
    <t>1.1.3.1.1.1.1.15.4</t>
  </si>
  <si>
    <t>339118908.54612</t>
  </si>
  <si>
    <t>28951152.54612</t>
  </si>
  <si>
    <t>1.1.3.1.1.1.1.15.5</t>
  </si>
  <si>
    <t>339118908.55160</t>
  </si>
  <si>
    <t>28951152.55160</t>
  </si>
  <si>
    <t>1.1.3.1.1.1.1.16</t>
  </si>
  <si>
    <t>НЗ № 8 от 17.11.2025 Отделка лестниц: ЛК9, ЛК10, ЛК11. Полы Тип: 6, 6.1</t>
  </si>
  <si>
    <t>1.1.3.1.1.1.1.16.1</t>
  </si>
  <si>
    <t>339118909.55160</t>
  </si>
  <si>
    <t>28964107.55160</t>
  </si>
  <si>
    <t>1.1.3.1.1.1.1.16.2</t>
  </si>
  <si>
    <t>339118909.54612</t>
  </si>
  <si>
    <t>28964107.54612</t>
  </si>
  <si>
    <t>1.1.3.1.1.1.1.16.3</t>
  </si>
  <si>
    <t>339118909.55156</t>
  </si>
  <si>
    <t>28964107.55156</t>
  </si>
  <si>
    <t>1.1.3.1.1.1.1.16.4</t>
  </si>
  <si>
    <t>339118909.55045</t>
  </si>
  <si>
    <t>28964107.55045</t>
  </si>
  <si>
    <t>1.1.3.1.1.1.2</t>
  </si>
  <si>
    <t>6.3.1.5.1.2</t>
  </si>
  <si>
    <t>Гидроизоляция, тепло-звукоизоляция, утепление</t>
  </si>
  <si>
    <t>1.1.3.1.1.1.2.1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</si>
  <si>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</si>
  <si>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</si>
  <si>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Типы 7, 7.1, 7.2, 8.2, 8.3, 9.1, 9.3</t>
  </si>
  <si>
    <t>405b7847-8cb0-4821-ac01-f56e7770b070</t>
  </si>
  <si>
    <t>8a135a98-3599-429e-b287-6354f720abc7</t>
  </si>
  <si>
    <t>1.1.3.1.1.1.2.1.1</t>
  </si>
  <si>
    <t>Праймер битумный_ / Технониколь №01</t>
  </si>
  <si>
    <t>339118811.55059</t>
  </si>
  <si>
    <t>25888009.55059</t>
  </si>
  <si>
    <t>68251cd7-5dc5-41f9-86a1-86f378997b3d</t>
  </si>
  <si>
    <t>1.1.3.1.1.1.2.1.2</t>
  </si>
  <si>
    <t>Мастика_ / Технониколь / №21</t>
  </si>
  <si>
    <t>5 мм</t>
  </si>
  <si>
    <t>339118811.57391</t>
  </si>
  <si>
    <t>25888009.57391</t>
  </si>
  <si>
    <t>431b25dc-65e4-45d6-bf7f-7ea34d1a465f</t>
  </si>
  <si>
    <t>1.1.3.1.1.1.2.1.3</t>
  </si>
  <si>
    <t>Лента армированная Серпянка 150мм</t>
  </si>
  <si>
    <t>339118811.7431</t>
  </si>
  <si>
    <t>25888009.7431</t>
  </si>
  <si>
    <t>f955e3c3-158b-11e8-80d9-005056881952</t>
  </si>
  <si>
    <t>1.1.3.1.1.1.2.2</t>
  </si>
  <si>
    <t>6.3.1.5.1.2.4.1</t>
  </si>
  <si>
    <t>Устройство тепло-звукоизоляции полов / минвата / в 1 слой</t>
  </si>
  <si>
    <t>Типы 5, 6, 7, 7.2, 8.1, 8.2, 9, 9.1</t>
  </si>
  <si>
    <t>af86ab82-d73d-4a1e-bbf7-c759e5f4c78d</t>
  </si>
  <si>
    <t>712c77f6-f7c6-46fe-bc4a-fb39db44eb02</t>
  </si>
  <si>
    <t>1.1.3.1.1.1.2.2.1</t>
  </si>
  <si>
    <t>Плита минераловатная_ / Технолайт Экстра</t>
  </si>
  <si>
    <t xml:space="preserve"> Типы 5, 6, 7, 7.2, 8.1, 8.2, 9, 9.1
Технофас Экстра плотностью 90
50 мм</t>
  </si>
  <si>
    <t>м3</t>
  </si>
  <si>
    <t>339118813.846444</t>
  </si>
  <si>
    <t>25888006.846444</t>
  </si>
  <si>
    <t>d7bd6fcf-a036-4945-94a8-5933012971c1</t>
  </si>
  <si>
    <t>1.1.3.1.1.1.2.3</t>
  </si>
  <si>
    <t>НЗ № 8 от 17.11.2025 Отделка лестниц: ЛК9, ЛК10, ЛК11. Полы Тип: 6</t>
  </si>
  <si>
    <t>1.1.3.1.1.1.2.3.1</t>
  </si>
  <si>
    <t>Плита теплоизоляционная минераловатная_ / ТЕХНОФЛОР СТАНДАРТ / 1200х600х120</t>
  </si>
  <si>
    <t>Утеплитель из минеральной ваты Технофлор стандарт 50 мм, плотностью 110±10 кг/м3</t>
  </si>
  <si>
    <t>339118910.763905</t>
  </si>
  <si>
    <t>28964106.763905</t>
  </si>
  <si>
    <t>8698a21b-97f8-4d0f-ac62-f0d7422f32d5</t>
  </si>
  <si>
    <t>1.1.3.1.1.1.2.4</t>
  </si>
  <si>
    <t>6.3.1.5.1.2.4.3</t>
  </si>
  <si>
    <t>Устройство тепло-звукоизоляции полов / Пенополистирол / в 1 слой</t>
  </si>
  <si>
    <t>Тип 7.1
Утеплитель из жесткого пенополиизоцианурата (ТЕХНОНИКОЛЬ)</t>
  </si>
  <si>
    <t>4c30f206-2687-4a41-9282-cd74510970eb</t>
  </si>
  <si>
    <t>41f667bd-a8b6-4480-a1fb-1c8b8108d51e</t>
  </si>
  <si>
    <t>1.1.3.1.1.1.2.4.1</t>
  </si>
  <si>
    <t>Экструдированный пенополистирол_/плотность – 45 кг/м3</t>
  </si>
  <si>
    <t>339118814.55186</t>
  </si>
  <si>
    <t>25887993.55186</t>
  </si>
  <si>
    <t>9b01afd0-a4dd-4d4f-84ee-346fc7bddfb2</t>
  </si>
  <si>
    <t>1.1.3.1.1.1.3</t>
  </si>
  <si>
    <t>6.3.1.5.1.3</t>
  </si>
  <si>
    <t>Устройство покрытия полов</t>
  </si>
  <si>
    <t>1.1.3.1.1.1.3.1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</si>
  <si>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</si>
  <si>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</si>
  <si>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 xml:space="preserve">Типы 8.1, 8.2, 8.3 </t>
  </si>
  <si>
    <t>ba238fec-d7fc-420d-944a-4b6d4b8cbc4b</t>
  </si>
  <si>
    <t>f56b84ba-3593-441c-a94c-fbcf59225a06</t>
  </si>
  <si>
    <t>1.1.3.1.1.1.3.1._</t>
  </si>
  <si>
    <t>1.1.3.1.1.1.3.1.1</t>
  </si>
  <si>
    <t>Клей плиточный/ Унифицированный по ПИК-СТАНДАРТ</t>
  </si>
  <si>
    <t>Клей для керамогранита CERESIT CM 12/25 - 7 мм
1,3 кг/м2 на 1 мм толщины слоя
1,3кг*7кг*83,73в.м= 761,94кг</t>
  </si>
  <si>
    <t>339118817.54632</t>
  </si>
  <si>
    <t>25888010.54632</t>
  </si>
  <si>
    <t>29ab9003-5b43-49a7-8ba2-846628054d7e</t>
  </si>
  <si>
    <t>1.1.3.1.1.1.3.1.1._</t>
  </si>
  <si>
    <t>314520169.54632</t>
  </si>
  <si>
    <t>1.1.3.1.1.1.3.1.2</t>
  </si>
  <si>
    <t>Керамическая плитка Коллиано_ / Серый / SG913000N / 300*300*8мм</t>
  </si>
  <si>
    <t>339118817.758696</t>
  </si>
  <si>
    <t>25888010.758696</t>
  </si>
  <si>
    <t>dec587a8-6f4e-4afb-bdfb-9a67018ca72c</t>
  </si>
  <si>
    <t>1.1.3.1.1.1.3.1.2._</t>
  </si>
  <si>
    <t>314520169.758696</t>
  </si>
  <si>
    <t>1.1.3.1.1.1.3.1.3</t>
  </si>
  <si>
    <t>Затирка Цезерит СE33_/13 атрацит</t>
  </si>
  <si>
    <t>339118817.54635</t>
  </si>
  <si>
    <t>25888010.54635</t>
  </si>
  <si>
    <t>255e2be5-9cb1-4b52-84d2-49341281c898</t>
  </si>
  <si>
    <t>1.1.3.1.1.1.3.1.3._</t>
  </si>
  <si>
    <t>314520169.54635</t>
  </si>
  <si>
    <t>1.1.3.1.1.1.3.1.4</t>
  </si>
  <si>
    <t>Грунтовка универсальный ЛАСТИМИН_ / LP-51 А</t>
  </si>
  <si>
    <t>339118817.54634</t>
  </si>
  <si>
    <t>25888010.54634</t>
  </si>
  <si>
    <t>6f806fd0-f20f-4c69-8d99-cee4063fa047</t>
  </si>
  <si>
    <t>1.1.3.1.1.1.3.1.4._</t>
  </si>
  <si>
    <t>314520169.54634</t>
  </si>
  <si>
    <t>1.1.3.1.1.1.3.2</t>
  </si>
  <si>
    <t>6.3.1.5.1.3.1.2</t>
  </si>
  <si>
    <t>Устройство покрытия пола с предварительной огрунтовкой поверхности / из крупноформатного керамогранита с затиркой швов до 1м2</t>
  </si>
  <si>
    <t>Типы 6, 6.1, 7, 7.1, 7.2</t>
  </si>
  <si>
    <t>a3b98e95-a87b-4f25-860a-d776e5145b71</t>
  </si>
  <si>
    <t>49891346-b36c-4763-bb5f-a786bffad522</t>
  </si>
  <si>
    <t>1.1.3.1.1.1.3.2._</t>
  </si>
  <si>
    <t>1.1.3.1.1.1.3.2.1</t>
  </si>
  <si>
    <t>Плиточный клей_ / Унифицированный по ПИК-СТАНДАРТ</t>
  </si>
  <si>
    <t>Клей для керамогранита CERESIT CM 12/25 - 6 мм
1,3 кг/м2 на 1 мм толщины слоя
1,3кг*6кг*1201,9кв.м= 9374,82кг</t>
  </si>
  <si>
    <t>339118818.1570753</t>
  </si>
  <si>
    <t>25888007.1570753</t>
  </si>
  <si>
    <t>be76b7f0-d821-4213-a0b5-d4d9b08818f1</t>
  </si>
  <si>
    <t>1.1.3.1.1.1.3.2.1._</t>
  </si>
  <si>
    <t>314520170.1570753</t>
  </si>
  <si>
    <t>1.1.3.1.1.1.3.2.2</t>
  </si>
  <si>
    <t>Керамическая плитка Pietra Pienza_ / светло-серый Матовый / K909010R0001VTP0/напольная / 600*600*8мм</t>
  </si>
  <si>
    <t>KERAMA MARAZZI, коллекция: Про Матрикс, артикул: DD602020R,
формат: 600х600х9мм</t>
  </si>
  <si>
    <t>339118818.54681</t>
  </si>
  <si>
    <t>25888007.54681</t>
  </si>
  <si>
    <t>6078b392-23ac-4fa5-856a-42c98c7e3af4</t>
  </si>
  <si>
    <t>1.1.3.1.1.1.3.2.2._</t>
  </si>
  <si>
    <t>314520170.54681</t>
  </si>
  <si>
    <t>1.1.3.1.1.1.3.2.3</t>
  </si>
  <si>
    <t>Затирка Цезерит СE33_/04 серебристо-серый</t>
  </si>
  <si>
    <t>339118818.54637</t>
  </si>
  <si>
    <t>25888007.54637</t>
  </si>
  <si>
    <t>c293221b-d93c-4424-8200-e1b99b7167e3</t>
  </si>
  <si>
    <t>1.1.3.1.1.1.3.2.3._</t>
  </si>
  <si>
    <t>314520170.54637</t>
  </si>
  <si>
    <t>1.1.3.1.1.1.3.2.4</t>
  </si>
  <si>
    <t>339118818.54634</t>
  </si>
  <si>
    <t>25888007.54634</t>
  </si>
  <si>
    <t>1.1.3.1.1.1.3.2.4._</t>
  </si>
  <si>
    <t>314520170.54634</t>
  </si>
  <si>
    <t>1.1.3.1.1.1.3.3</t>
  </si>
  <si>
    <t>6.3.1.5.1.3.2.1</t>
  </si>
  <si>
    <t>Устройство покрытия пола из линолеума</t>
  </si>
  <si>
    <t>Включая защиту ДВП</t>
  </si>
  <si>
    <t>Типы 11, 11.1</t>
  </si>
  <si>
    <t>51b31787-2db2-4031-aade-329f900ef9b7</t>
  </si>
  <si>
    <t>b58ad002-5dea-4a06-b953-f640911ed5b2</t>
  </si>
  <si>
    <t>1.1.3.1.1.1.3.3.1</t>
  </si>
  <si>
    <t>Клей для линолеума</t>
  </si>
  <si>
    <t>339118820.702694</t>
  </si>
  <si>
    <t>25888001.702694</t>
  </si>
  <si>
    <t>1a3e3255-5ba6-49e7-bbc8-279e1b1289a0</t>
  </si>
  <si>
    <t>1.1.3.1.1.1.3.3.2</t>
  </si>
  <si>
    <t>Грунтовка _ / универсальная водно-дисперсионная</t>
  </si>
  <si>
    <t>339118820.737422</t>
  </si>
  <si>
    <t>25888001.737422</t>
  </si>
  <si>
    <t>64d77ce3-b188-4652-a3eb-49ad1b6ad85c</t>
  </si>
  <si>
    <t>1.1.3.1.1.1.3.3.3</t>
  </si>
  <si>
    <t>Сварочный шнур для линолеума (для объектов СКБ)_ / Tarkett / Сварочный шнур для спортивного линолеума желтого для детского сада / 87298</t>
  </si>
  <si>
    <t>339118820.765919</t>
  </si>
  <si>
    <t>25888001.765919</t>
  </si>
  <si>
    <t>040a81cc-6e03-4c9b-9435-6f96fbe8f43f</t>
  </si>
  <si>
    <t>1.1.3.1.1.1.3.3.4</t>
  </si>
  <si>
    <t>Линолеум (для объектов СКБ)_ / 4 мм  / TEAL / Omnisports ACTION R40 / Tarkett / - / Спортивный линолеум для школы цветной</t>
  </si>
  <si>
    <t>Спортивный линолеум цвет: Серый,
Производитель: Tarkett, Артикул: omnisports Action R40 grey, толщина: 4 мм;
Класс ПБ: КМ2/В2, Д3, Т2, РП2 - 4 мм</t>
  </si>
  <si>
    <t>339118820.1757614</t>
  </si>
  <si>
    <t>25888001.1757614</t>
  </si>
  <si>
    <t>72f2d698-6b14-4893-94fe-06d84de90d15</t>
  </si>
  <si>
    <t>1.1.3.1.1.1.3.3.5</t>
  </si>
  <si>
    <t>Линолеум (для объектов СКБ)_ / 4 мм  / серый / Omnisports ACTION R40 GREY / Tarkett / - / Спортивный линолеум для школы</t>
  </si>
  <si>
    <t>339118820.1757616</t>
  </si>
  <si>
    <t>25888001.1757616</t>
  </si>
  <si>
    <t>8a051785-3557-4655-9655-cc3c5240c6a9</t>
  </si>
  <si>
    <t>1.1.3.1.1.1.3.4</t>
  </si>
  <si>
    <t>АРОР АЙСИБИ/МФ-СТРОЙ. Тип пола: 11</t>
  </si>
  <si>
    <t>1.1.3.1.1.1.3.4.1</t>
  </si>
  <si>
    <t>Tarkett, Артикул: Оmnisports Action R40, цвет: grey, толщина: 4 мм; Класс ПБ: КМ2/В2, Д3, Т2, РП2</t>
  </si>
  <si>
    <t>339118911.1757616</t>
  </si>
  <si>
    <t>28951153.1757616</t>
  </si>
  <si>
    <t>1.1.3.1.1.1.3.4.2</t>
  </si>
  <si>
    <t>Сварочный шнур для линолеума (для объектов СКБ)_ / Tarkett / Сварочный шнур для спортивного линолеума серого для школы / 91542</t>
  </si>
  <si>
    <t>339118911.765920</t>
  </si>
  <si>
    <t>28951153.765920</t>
  </si>
  <si>
    <t>8b06f5c0-4a01-4923-b6d7-85990f8ce515</t>
  </si>
  <si>
    <t>1.1.3.1.1.1.3.4.3</t>
  </si>
  <si>
    <t>Плита ДВП 3,2х1700х2745мм</t>
  </si>
  <si>
    <t>339118911.1742250</t>
  </si>
  <si>
    <t>28951153.1742250</t>
  </si>
  <si>
    <t>9363b2aa-de9b-11ed-85ed-0050568d22da</t>
  </si>
  <si>
    <t>1.1.3.1.1.1.3.4.4</t>
  </si>
  <si>
    <t>339118911.737422</t>
  </si>
  <si>
    <t>28951153.737422</t>
  </si>
  <si>
    <t>1.1.3.1.1.1.3.4.5</t>
  </si>
  <si>
    <t>Клей Forbo 599 Eurosafe Super/20 кг, расход 0,5 кг/м2</t>
  </si>
  <si>
    <t>339118911.702694</t>
  </si>
  <si>
    <t>28951153.702694</t>
  </si>
  <si>
    <t>1.1.3.1.1.1.3.5</t>
  </si>
  <si>
    <t>6.3.1.5.1.3.8.1</t>
  </si>
  <si>
    <t>Установка стыковочных профилей</t>
  </si>
  <si>
    <t>тип 7.1</t>
  </si>
  <si>
    <t>76703cd4-c8ff-4e22-abbd-2d5e394281cf</t>
  </si>
  <si>
    <t>d8cca10c-4815-473b-a7ff-575551ece3f3</t>
  </si>
  <si>
    <t>1.1.3.1.1.1.3.5.1</t>
  </si>
  <si>
    <t>Профиль Г-образный алюминиевый / ПМЮ-017</t>
  </si>
  <si>
    <t>339118822.1746203</t>
  </si>
  <si>
    <t>25888017.1746203</t>
  </si>
  <si>
    <t>999bf8eb-d864-4467-94f0-c50631abf0ac</t>
  </si>
  <si>
    <t>1.1.3.1.1.1.3.5.2</t>
  </si>
  <si>
    <t>Жидкие гвозди универсальные_/</t>
  </si>
  <si>
    <t>339118822.54854</t>
  </si>
  <si>
    <t>25888017.54854</t>
  </si>
  <si>
    <t>3378c715-1bc1-40f5-8d09-15a912e04c9d</t>
  </si>
  <si>
    <t>1.1.3.1.1.1.3.6</t>
  </si>
  <si>
    <t>тип ПР-1</t>
  </si>
  <si>
    <t>1.1.3.1.1.1.3.6.1</t>
  </si>
  <si>
    <t>Профиль T-образный ПМЮ-01_ / серебро матовое / 2700*30</t>
  </si>
  <si>
    <t>339118912.54698</t>
  </si>
  <si>
    <t>25888038.54698</t>
  </si>
  <si>
    <t>431fd404-0d93-4656-9911-5bebccf01228</t>
  </si>
  <si>
    <t>1.1.3.1.1.1.3.6.2</t>
  </si>
  <si>
    <t>Профиль, ПМЮ-08_ / 2700мм</t>
  </si>
  <si>
    <t>ответная часть</t>
  </si>
  <si>
    <t>339118912.54699</t>
  </si>
  <si>
    <t>25888038.54699</t>
  </si>
  <si>
    <t>f15f32f3-f27d-4761-ab2d-8403bb6906d8</t>
  </si>
  <si>
    <t>1.1.3.1.1.1.3.7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</si>
  <si>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</si>
  <si>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</si>
  <si>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тип ПЛ-3</t>
  </si>
  <si>
    <t>7c078883-0b0a-4435-9703-ce38f86f609d</t>
  </si>
  <si>
    <t>b85c85d4-a58d-4d1f-9fee-8d36cd9ba4e9</t>
  </si>
  <si>
    <t>1.1.3.1.1.1.3.7.1</t>
  </si>
  <si>
    <t>Плинтус керамогранитный Дайсен SG211200R/3BT 600х95мм светло-серый</t>
  </si>
  <si>
    <t>Плинтус из керамогранита:
KERAMA MARAZZI
Коллекция: Про Матрикс
Артикул: DD602200R/6BT
Формат: 600х95х9 мм, Цвет: светло-серый,</t>
  </si>
  <si>
    <t>339118824.1747282</t>
  </si>
  <si>
    <t>25888037.1747282</t>
  </si>
  <si>
    <t>d4275771-32c8-11ee-a102-d1661ac0bb93</t>
  </si>
  <si>
    <t>1.1.3.1.1.1.3.7.2</t>
  </si>
  <si>
    <t>Клей плиточный Ceresit ( для объектов переселения ) / СМ16</t>
  </si>
  <si>
    <t>Клей для керамогранита CERESIT CM 12/25</t>
  </si>
  <si>
    <t>339118824.1527021</t>
  </si>
  <si>
    <t>25888037.1527021</t>
  </si>
  <si>
    <t>3317a755-2c9e-4eea-9ad9-11e85e25d76a</t>
  </si>
  <si>
    <t>1.1.3.1.1.1.3.7.3</t>
  </si>
  <si>
    <t>339118824.54637</t>
  </si>
  <si>
    <t>25888037.54637</t>
  </si>
  <si>
    <t>1.1.3.1.1.1.3.7.4</t>
  </si>
  <si>
    <t>339118824.54634</t>
  </si>
  <si>
    <t>25888037.54634</t>
  </si>
  <si>
    <t>1.1.3.1.1.1.3.8</t>
  </si>
  <si>
    <t>тип ПЛ-1</t>
  </si>
  <si>
    <t>1.1.3.1.1.1.3.8.1</t>
  </si>
  <si>
    <t>339118913.54634</t>
  </si>
  <si>
    <t>25888034.54634</t>
  </si>
  <si>
    <t>1.1.3.1.1.1.3.8.2</t>
  </si>
  <si>
    <t>339118913.54635</t>
  </si>
  <si>
    <t>25888034.54635</t>
  </si>
  <si>
    <t>1.1.3.1.1.1.3.8.3</t>
  </si>
  <si>
    <t>Керамический гранит "Грес"_/А 100/бежевый/300х300х7мм</t>
  </si>
  <si>
    <t>339118913.54664</t>
  </si>
  <si>
    <t>25888034.54664</t>
  </si>
  <si>
    <t>29810758-c129-48fe-a350-5c27a1386920</t>
  </si>
  <si>
    <t>1.1.3.1.1.1.3.8.4</t>
  </si>
  <si>
    <t>339118913.1527021</t>
  </si>
  <si>
    <t>25888034.1527021</t>
  </si>
  <si>
    <t>1.1.3.1.1.1.3.9</t>
  </si>
  <si>
    <t>1.1.3.1.1.1.3.9.1</t>
  </si>
  <si>
    <t>339118914.1527021</t>
  </si>
  <si>
    <t>25888035.1527021</t>
  </si>
  <si>
    <t>1.1.3.1.1.1.3.9.2</t>
  </si>
  <si>
    <t>339118914.758696</t>
  </si>
  <si>
    <t>25888035.758696</t>
  </si>
  <si>
    <t>1.1.3.1.1.1.3.9.3</t>
  </si>
  <si>
    <t>339118914.54635</t>
  </si>
  <si>
    <t>25888035.54635</t>
  </si>
  <si>
    <t>1.1.3.1.1.1.3.9.4</t>
  </si>
  <si>
    <t>339118914.54634</t>
  </si>
  <si>
    <t>25888035.54634</t>
  </si>
  <si>
    <t>1.1.3.1.1.1.3.10</t>
  </si>
  <si>
    <t>6.3.1.5.1.3.14.1</t>
  </si>
  <si>
    <t>Устройство покрытия пола из кварцвинила / на клею</t>
  </si>
  <si>
    <t>тип 9, 9.2</t>
  </si>
  <si>
    <t>d2a8c4cc-9752-499d-bcd0-96d63d6d3e47</t>
  </si>
  <si>
    <t>0f62f3eb-5d66-4427-b2d6-a309be9c6e5c</t>
  </si>
  <si>
    <t>1.1.3.1.1.1.3.10.1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</si>
  <si>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</si>
  <si>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Forbo-Erfurt 528 EUROSTAR RAPID - 5 мм
коэф.расхода = 0,45 кг
4 366,17кв.м*0,45= 1964,7кг</t>
  </si>
  <si>
    <t>339118826.1579985</t>
  </si>
  <si>
    <t>25888018.1579985</t>
  </si>
  <si>
    <t>f4eb966a-beb9-11eb-80fb-005056881952</t>
  </si>
  <si>
    <t>1.1.3.1.1.1.3.10.2</t>
  </si>
  <si>
    <t>Кварц-виниловая плитка / SPC VIVA Series с защитным слоем 0,3мм</t>
  </si>
  <si>
    <t>ПВХ дизайн-плитка: Формат: 500х500х2 мм, защитный слой не ниже 0,8 мм
Цвет: светло-серый, текстура под бетон, Производитель: Forbo Артикул:Effekta Professional 8060
T Light Concrete PRO Класс ПБ: КМ2 / В2, Д3, Т2, РП2</t>
  </si>
  <si>
    <t>339118826.1745760</t>
  </si>
  <si>
    <t>25888018.1745760</t>
  </si>
  <si>
    <t>5e97e485-cef1-4bb6-9a4e-50ed5226fbd6</t>
  </si>
  <si>
    <t>1.1.3.1.1.1.3.11</t>
  </si>
  <si>
    <t>6.3.1.5.1.3.16.4</t>
  </si>
  <si>
    <t>Установка напольного плинтуса / полимерного на клею</t>
  </si>
  <si>
    <t>тип ПЛ-2</t>
  </si>
  <si>
    <t>c9eb628d-6a9a-4823-a035-3a8c813e3e45</t>
  </si>
  <si>
    <t>1e8e5096-f9d4-45e8-8fba-752768fac6e1</t>
  </si>
  <si>
    <t>1.1.3.1.1.1.3.11.1</t>
  </si>
  <si>
    <t>Плинтус для линолеума (для объектов СКБ) 100 мм WL 100 Dark Gray 0146 Dollken Плинтус для линолеума для детского сада и школ</t>
  </si>
  <si>
    <t>ПВХ гибкий, цвет: светло-серый.
Первый профильный завод
Плинтусная лента: JL100 светло-серая 7046
Класс ПБ: КМ-2 / В2, Д3, Т2, РП2</t>
  </si>
  <si>
    <t>339118828.1747273</t>
  </si>
  <si>
    <t>25888036.1747273</t>
  </si>
  <si>
    <t>de126dff-32d0-11ee-a102-d1661ac0bb93</t>
  </si>
  <si>
    <t>1.1.3.1.1.1.3.12</t>
  </si>
  <si>
    <t>6.3.1.5.1.3.18.1</t>
  </si>
  <si>
    <t>Облицовка ступеней СКБ керамогранитной плиткой с затиркой швов</t>
  </si>
  <si>
    <t>НЗ № 8 от 17.11.2025 Отделка лестниц: ЛК9, ЛК10, ЛК11. Полы Тип: 6.3</t>
  </si>
  <si>
    <t>ee9b7492-3859-48da-970d-b4cb943f92b7</t>
  </si>
  <si>
    <t>fb6337dc-060b-41bd-b9cb-28c1f9d164ee</t>
  </si>
  <si>
    <t>1.1.3.1.1.1.3.12.1</t>
  </si>
  <si>
    <t>Ступени с насечками из керамического гранита "Викинг"_/SG605600R/ серый/300х600х11мм</t>
  </si>
  <si>
    <t>Ступени с насечками из керамогранита: KERAMA MARAZZI. Коллекция: Про Матрикс. Артикул: DD201820R/GR. Формат: 300х600х9 мм. Цвет: серый светлый</t>
  </si>
  <si>
    <t>339118830.54659</t>
  </si>
  <si>
    <t>28965972.54659</t>
  </si>
  <si>
    <t>80581ba0-af32-4140-9098-fad58c195b0a</t>
  </si>
  <si>
    <t>1.1.3.1.1.1.3.12.2</t>
  </si>
  <si>
    <t>Клей плиточный/Унифицированный по ПИК-СТАНДАРТ</t>
  </si>
  <si>
    <t>339118830.54630</t>
  </si>
  <si>
    <t>28965972.54630</t>
  </si>
  <si>
    <t>b9d3e1c1-6041-448e-9389-9c537e754b40</t>
  </si>
  <si>
    <t>1.1.3.1.1.1.3.12.3</t>
  </si>
  <si>
    <t>Ceresit CE33 04 Серебристо-серый</t>
  </si>
  <si>
    <t>339118830.54635</t>
  </si>
  <si>
    <t>28965972.54635</t>
  </si>
  <si>
    <t>1.1.3.1.1.1.3.12.4</t>
  </si>
  <si>
    <t>339118830.1139608</t>
  </si>
  <si>
    <t>28965972.1139608</t>
  </si>
  <si>
    <t>1.1.3.1.1.1.3.13</t>
  </si>
  <si>
    <t>НЗ № 8 от 17.11.2025 Отделка лестниц: ЛК9, ЛК10, ЛК11. Полы Тип: 6.4</t>
  </si>
  <si>
    <t>1.1.3.1.1.1.3.13.1</t>
  </si>
  <si>
    <t>339118915.1139608</t>
  </si>
  <si>
    <t>28970271.1139608</t>
  </si>
  <si>
    <t>1.1.3.1.1.1.3.13.2</t>
  </si>
  <si>
    <t>339118915.54635</t>
  </si>
  <si>
    <t>28970271.54635</t>
  </si>
  <si>
    <t>1.1.3.1.1.1.3.13.3</t>
  </si>
  <si>
    <t>339118915.54630</t>
  </si>
  <si>
    <t>28970271.54630</t>
  </si>
  <si>
    <t>1.1.3.1.1.1.3.13.4</t>
  </si>
  <si>
    <t>Подступенки из керамического гранита "Викинг"_/ SG605600R/серый/150х600х11мм</t>
  </si>
  <si>
    <t>Подступенки из керамогранита: KERAMA MARAZZI. Коллеция: Про Матрикс Цвет: светло-серый Артикул: DD602020R\4 серый светлый обрезной подступенок 600х145x9мм</t>
  </si>
  <si>
    <t>339118915.54660</t>
  </si>
  <si>
    <t>28970271.54660</t>
  </si>
  <si>
    <t>2bd33641-bcf5-4a4a-aa20-c062f7380eca</t>
  </si>
  <si>
    <t>1.1.3.1.1.1.3.14</t>
  </si>
  <si>
    <t>6.3.1.5.1.3.19.1</t>
  </si>
  <si>
    <t>Устройство плинтуса из керамогранитной плитки СКБ</t>
  </si>
  <si>
    <t>НЗ № 8 от 17.11.2025 Отделка лестниц: ЛК9, ЛК10, ЛК11. Полы Тип: ПЛ-3</t>
  </si>
  <si>
    <t>6c81bc23-a5ef-49af-8f1d-c7658256e887</t>
  </si>
  <si>
    <t>934f3c07-302a-412c-a8b5-2116f1199093</t>
  </si>
  <si>
    <t>1.1.3.1.1.1.3.14.1</t>
  </si>
  <si>
    <t>339118832.1570753</t>
  </si>
  <si>
    <t>28970272.1570753</t>
  </si>
  <si>
    <t>1.1.3.1.1.1.3.14.2</t>
  </si>
  <si>
    <t>Плинтус из керамического гранита Дайсен_ / светло-серый / SG610300R / 100х600х11мм</t>
  </si>
  <si>
    <t>339118832.54668</t>
  </si>
  <si>
    <t>28970272.54668</t>
  </si>
  <si>
    <t>402dafbe-1652-450d-be4d-61804ef3d391</t>
  </si>
  <si>
    <t>1.1.3.1.1.1.3.14.3</t>
  </si>
  <si>
    <t>339118832.54635</t>
  </si>
  <si>
    <t>28970272.54635</t>
  </si>
  <si>
    <t>1.1.3.1.1.1.3.14.4</t>
  </si>
  <si>
    <t>339118832.54634</t>
  </si>
  <si>
    <t>28970272.54634</t>
  </si>
  <si>
    <t>1.1.3.1.1.1.3.15</t>
  </si>
  <si>
    <t>6.3.1.5.1.3.20.1</t>
  </si>
  <si>
    <t>Устройство покрытия пола СКБ с затиркой и укрытием ДВП / из керамогранитной плитки до 0,2м2/шт</t>
  </si>
  <si>
    <t>1, 2, 3, этажи, блоки 1 и 4.1. Пол Тип: 8.1 (23,92м2), 8.2 (8,55м2), 8.3 (48,43м2)</t>
  </si>
  <si>
    <t>081b575c-aa66-4b70-9cd0-d5d89da79337</t>
  </si>
  <si>
    <t>65901f49-c07c-422e-a40b-cfafb585dc26</t>
  </si>
  <si>
    <t>1.1.3.1.1.1.3.15.1</t>
  </si>
  <si>
    <t>Клей для керамогранита CERESIT CM 12/25 - 6 мм</t>
  </si>
  <si>
    <t>339118834.54632</t>
  </si>
  <si>
    <t>29092268.54632</t>
  </si>
  <si>
    <t>1.1.3.1.1.1.3.15.2</t>
  </si>
  <si>
    <t>339118834.54634</t>
  </si>
  <si>
    <t>29092268.54634</t>
  </si>
  <si>
    <t>1.1.3.1.1.1.3.15.3</t>
  </si>
  <si>
    <t>339118834.758696</t>
  </si>
  <si>
    <t>29092268.758696</t>
  </si>
  <si>
    <t>1.1.3.1.1.1.3.15.4</t>
  </si>
  <si>
    <t>339118834.54635</t>
  </si>
  <si>
    <t>29092268.54635</t>
  </si>
  <si>
    <t>1.1.3.1.1.1.3.16</t>
  </si>
  <si>
    <t>6.3.1.5.1.3.20.2</t>
  </si>
  <si>
    <t>Устройство покрытия пола СКБ с затиркой и укрытием ДВП / из керамогранитной плитки от 0,2м2/шт</t>
  </si>
  <si>
    <t>АРОР АЙСИБИ/МФ-СТРОЙ. Тип пола: 6.1</t>
  </si>
  <si>
    <t>69ce9bf3-5e4c-42a6-9cb7-1bf6547475ea</t>
  </si>
  <si>
    <t>abd27be4-9992-44fb-b098-3b2370fa29b6</t>
  </si>
  <si>
    <t>1.1.3.1.1.1.3.16.1</t>
  </si>
  <si>
    <t>Плиточный клей_ /  Унифицированный по ПИК-СТАНДАРТ</t>
  </si>
  <si>
    <t>339118835.739258</t>
  </si>
  <si>
    <t>28951154.739258</t>
  </si>
  <si>
    <t>b9d5a438-2a19-468f-b5a2-8648dd1dd258</t>
  </si>
  <si>
    <t>1.1.3.1.1.1.3.16.2</t>
  </si>
  <si>
    <t>339118835.54634</t>
  </si>
  <si>
    <t>28951154.54634</t>
  </si>
  <si>
    <t>1.1.3.1.1.1.3.16.3</t>
  </si>
  <si>
    <t>Керамический гранит Kerama marazzi_ / Серый светлый / SG614800R/Напольный/Королевская дорога / 600*600*11</t>
  </si>
  <si>
    <t>KERAMA MARAZZI, Коллекция: Мечты о Париже. Серия: Про Матрикс, артикул: DD602020R, формат: 600х600х9мм, цвет: серый светлый, крестик: 2мм</t>
  </si>
  <si>
    <t>339118835.720769</t>
  </si>
  <si>
    <t>28951154.720769</t>
  </si>
  <si>
    <t>3ac98e36-5cd5-4ac7-9116-897c1cc1bd6a</t>
  </si>
  <si>
    <t>1.1.3.1.1.1.3.16.4</t>
  </si>
  <si>
    <t>339118835.54637</t>
  </si>
  <si>
    <t>28951154.54637</t>
  </si>
  <si>
    <t>1.1.3.1.1.1.3.17</t>
  </si>
  <si>
    <t>НЗ № 8 от 17.11.2025 Отделка лестниц: ЛК9, ЛК10, ЛК11. Полы Тип: 6, 6.1, 6.2</t>
  </si>
  <si>
    <t>1.1.3.1.1.1.3.17.1</t>
  </si>
  <si>
    <t>339118916.54637</t>
  </si>
  <si>
    <t>28975339.54637</t>
  </si>
  <si>
    <t>1.1.3.1.1.1.3.17.2</t>
  </si>
  <si>
    <t>Керамогранит: KERAMA MARAZZI, коллекция: Про Матрикс, артикул: DD602020R, формат: 600х600х9мм, цвет: серый светлый, крестик: 2мм,</t>
  </si>
  <si>
    <t>339118916.720769</t>
  </si>
  <si>
    <t>28975339.720769</t>
  </si>
  <si>
    <t>1.1.3.1.1.1.3.17.3</t>
  </si>
  <si>
    <t>339118916.54634</t>
  </si>
  <si>
    <t>28975339.54634</t>
  </si>
  <si>
    <t>1.1.3.1.1.1.3.17.4</t>
  </si>
  <si>
    <t>339118916.739258</t>
  </si>
  <si>
    <t>28975339.739258</t>
  </si>
  <si>
    <t>1.1.3.1.1.1.3.18</t>
  </si>
  <si>
    <t>1, 2, 3, этажи, блоки 1 и 4.1. Пол Тип: 6 (773,3м2), 6.1 (118,91м2), ММП6.1 (436,11м2), 7 (104,97м2), 7.1 (46,62м2), 7.2 (210,29м2)</t>
  </si>
  <si>
    <t>1.1.3.1.1.1.3.18.1</t>
  </si>
  <si>
    <t>339118917.739258</t>
  </si>
  <si>
    <t>29092267.739258</t>
  </si>
  <si>
    <t>1.1.3.1.1.1.3.18.2</t>
  </si>
  <si>
    <t>339118917.54634</t>
  </si>
  <si>
    <t>29092267.54634</t>
  </si>
  <si>
    <t>1.1.3.1.1.1.3.18.3</t>
  </si>
  <si>
    <t>KERAMA MARAZZI, Коллекция: Мечты о Парижесерия: Про матрикс, артикул: DD602020R, Формат: 600х600х9мм, цвет: серый светлый, крестик: 2мм</t>
  </si>
  <si>
    <t>339118917.720769</t>
  </si>
  <si>
    <t>29092267.720769</t>
  </si>
  <si>
    <t>1.1.3.1.1.1.3.18.4</t>
  </si>
  <si>
    <t>339118917.54637</t>
  </si>
  <si>
    <t>29092267.54637</t>
  </si>
  <si>
    <t>1.1.3.1.1.1.4</t>
  </si>
  <si>
    <t>6.3.1.5.1.4</t>
  </si>
  <si>
    <t>Приямки, системы грязезащиты</t>
  </si>
  <si>
    <t>1.1.3.1.1.1.4.1</t>
  </si>
  <si>
    <t>6.3.1.5.1.4.1.1</t>
  </si>
  <si>
    <t>Укладка систем грязезащиты на пол</t>
  </si>
  <si>
    <t>Тип 7.1</t>
  </si>
  <si>
    <t>24d94b44-d345-4644-8c8c-8701a2ebc89e</t>
  </si>
  <si>
    <t>010124f9-1c79-4884-b200-84a0e7f1c696</t>
  </si>
  <si>
    <t>1.1.3.1.1.1.4.1.1</t>
  </si>
  <si>
    <t>Грязезащитное покрытие_ / Бразис Маркет</t>
  </si>
  <si>
    <t>Грязезащитная решетка Бразис, артикул: Б.25-23, резина_скребок_щетка, обрамление встраиваемое L-образное - 20мм</t>
  </si>
  <si>
    <t>339118838.55025</t>
  </si>
  <si>
    <t>25887991.55025</t>
  </si>
  <si>
    <t>57dc3537-6205-4c52-81a1-668e49ba6dd9</t>
  </si>
  <si>
    <t>1.1.3.1.1.2</t>
  </si>
  <si>
    <t>6.3.1.5.2</t>
  </si>
  <si>
    <t>Стены</t>
  </si>
  <si>
    <t>1.1.3.1.1.2.1</t>
  </si>
  <si>
    <t>6.3.1.5.2.1</t>
  </si>
  <si>
    <t>Черновые работы по поверхности стен</t>
  </si>
  <si>
    <t>1.1.3.1.1.2.1.1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</si>
  <si>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</si>
  <si>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</si>
  <si>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>376b0b05-e1f7-4eb4-858c-54cfc94012c5</t>
  </si>
  <si>
    <t>7942ddbf-4120-45ca-9456-f48a3ec42d9b</t>
  </si>
  <si>
    <t>1.1.3.1.1.2.1.1.1</t>
  </si>
  <si>
    <t>Шпатлевка гипсовая_ / белая / Унифицированная по ПИК-СТАНДАРТ, 30кг</t>
  </si>
  <si>
    <t>339118842.54622</t>
  </si>
  <si>
    <t>25887946.54622</t>
  </si>
  <si>
    <t>c5ed9089-be55-4be8-8db3-0f286a2dbba5</t>
  </si>
  <si>
    <t>1.1.3.1.1.2.1.1.2</t>
  </si>
  <si>
    <t>Лента армирующая ( серпянка)_/150мм</t>
  </si>
  <si>
    <t>339118842.55040</t>
  </si>
  <si>
    <t>25887946.55040</t>
  </si>
  <si>
    <t>eae3db91-694c-4324-837b-5cb2a168407e</t>
  </si>
  <si>
    <t>1.1.3.1.1.2.1.2</t>
  </si>
  <si>
    <t>6.3.1.5.2.1.3.1</t>
  </si>
  <si>
    <t>Штукатурка внутренних стен по утеплителю по стеклотканевой сетке / толщ. до 10мм</t>
  </si>
  <si>
    <t>6bc17dc5-cada-440f-90ee-407d79abee1b</t>
  </si>
  <si>
    <t>a52e4e4e-64fd-4e11-a9ba-5a48263efcca</t>
  </si>
  <si>
    <t>1.1.3.1.1.2.1.2.1</t>
  </si>
  <si>
    <t>Штукатурно-клеевая смесь_ / ОСНОВИТ КАВЕРПЛИКС TC117</t>
  </si>
  <si>
    <t>10мм
ОСНОВИТ КАВЕРПЛИКС AC117</t>
  </si>
  <si>
    <t>339118844.40154</t>
  </si>
  <si>
    <t>25887959.40154</t>
  </si>
  <si>
    <t>b8bd5dee-abe1-449a-86cb-ad78d55bddfd</t>
  </si>
  <si>
    <t>1.1.3.1.1.2.1.2.2</t>
  </si>
  <si>
    <t>Сетка стеклотканевая 130г/м2, ячейка 10х10мм</t>
  </si>
  <si>
    <t>339118844.43669</t>
  </si>
  <si>
    <t>25887959.43669</t>
  </si>
  <si>
    <t>11f7cdf6-1c22-11e9-80e7-005056881952</t>
  </si>
  <si>
    <t>1.1.3.1.1.2.1.2.3</t>
  </si>
  <si>
    <t>Профиль маячковый_/ПМ6</t>
  </si>
  <si>
    <t>339118844.55029</t>
  </si>
  <si>
    <t>25887959.55029</t>
  </si>
  <si>
    <t>b3ba1810-316e-4118-90eb-ce29d5c83076</t>
  </si>
  <si>
    <t>1.1.3.1.1.2.1.3</t>
  </si>
  <si>
    <t>6.3.1.5.2.1.5.1</t>
  </si>
  <si>
    <t>Устройство тепло-звукоизоляции стен / в 1 слой</t>
  </si>
  <si>
    <t>Блок 4.1
тамбура
1 этаж</t>
  </si>
  <si>
    <t>d905b69c-b571-4b66-bcba-d814715a7e4d</t>
  </si>
  <si>
    <t>7fe7d7a7-e0dc-4619-8320-6ce897ce3f8f</t>
  </si>
  <si>
    <t>1.1.3.1.1.2.1.3.1</t>
  </si>
  <si>
    <t>Грунтовка _ / ТЕХНОНИКОЛЬ 020</t>
  </si>
  <si>
    <t>339118846.1745819</t>
  </si>
  <si>
    <t>25887984.1745819</t>
  </si>
  <si>
    <t>57d3d772-b011-4b8c-b568-1ca46e617429</t>
  </si>
  <si>
    <t>1.1.3.1.1.2.1.3.2</t>
  </si>
  <si>
    <t>защитный слой</t>
  </si>
  <si>
    <t>339118846.40154</t>
  </si>
  <si>
    <t>25887984.40154</t>
  </si>
  <si>
    <t>1.1.3.1.1.2.1.3.3</t>
  </si>
  <si>
    <t>Плита теплоизоляционная минераловатная_ / ТЕХНОФАС ОПТИМА</t>
  </si>
  <si>
    <t>150мм*36,23=5,43куб.м</t>
  </si>
  <si>
    <t>339118846.739809</t>
  </si>
  <si>
    <t>25887984.739809</t>
  </si>
  <si>
    <t>82035520-28cf-46f3-b321-72aeb0a69735</t>
  </si>
  <si>
    <t>1.1.3.1.1.2.1.3.4</t>
  </si>
  <si>
    <t>Дюбель д/изоляции IZL-T с термоголовкой_/10/200</t>
  </si>
  <si>
    <t>339118846.54844</t>
  </si>
  <si>
    <t>25887984.54844</t>
  </si>
  <si>
    <t>38658f75-c683-43ec-a4a4-e12fa90cbfa9</t>
  </si>
  <si>
    <t>1.1.3.1.1.2.1.4</t>
  </si>
  <si>
    <t>6.3.1.5.2.1.8.4</t>
  </si>
  <si>
    <t>Подготовка поверхности СКБ / стен / ГКЛ, ПГП / 2мм</t>
  </si>
  <si>
    <t>ЧСТ-3</t>
  </si>
  <si>
    <t>fa1c67dc-3027-4791-83d8-da340ce63151</t>
  </si>
  <si>
    <t>207d32dd-c8b8-468d-95bb-104bba9e15df</t>
  </si>
  <si>
    <t>1.1.3.1.1.2.1.4.1</t>
  </si>
  <si>
    <t>339118848.54622</t>
  </si>
  <si>
    <t>25888015.54622</t>
  </si>
  <si>
    <t>1.1.3.1.1.2.1.4.2</t>
  </si>
  <si>
    <t>Уголок малярный_/перфорированный/25*25*3000мм</t>
  </si>
  <si>
    <t>339118848.55026</t>
  </si>
  <si>
    <t>25888015.55026</t>
  </si>
  <si>
    <t>480f9c46-4853-47e1-ac30-340d72ef0430</t>
  </si>
  <si>
    <t>1.1.3.1.1.2.1.4.3</t>
  </si>
  <si>
    <t>339118848.54634</t>
  </si>
  <si>
    <t>25888015.54634</t>
  </si>
  <si>
    <t>1.1.3.1.1.2.1.5</t>
  </si>
  <si>
    <t>6.3.1.5.2.1.8.5</t>
  </si>
  <si>
    <t>Подготовка поверхности СКБ / стен / по штукатурке / 2мм</t>
  </si>
  <si>
    <t>АРОР АЙСИБИ/МФ-СТРОЙ. 2 этаж, блок 5, пом. 2.111, 2.112, 2.114, 2.115, 2.116, 2.117, 2.118, 2.166, 2.167. Тип стен: ЧСТ-2.1 (шпаклевка базовая)</t>
  </si>
  <si>
    <t>2d82ee91-3b80-41a0-9d47-bde670b317cb</t>
  </si>
  <si>
    <t>235f7698-b192-4ccd-97e9-3a61b0165ad1</t>
  </si>
  <si>
    <t>1.1.3.1.1.2.1.5.1</t>
  </si>
  <si>
    <t>339118849.54621</t>
  </si>
  <si>
    <t>28951422.54621</t>
  </si>
  <si>
    <t>b18a669c-55b9-4a3b-9bec-843efe930f3c</t>
  </si>
  <si>
    <t>1.1.3.1.1.2.1.5.2</t>
  </si>
  <si>
    <t>Уголок малярный_ / L=3м /25х25 мм</t>
  </si>
  <si>
    <t>339118849.18405</t>
  </si>
  <si>
    <t>28951422.18405</t>
  </si>
  <si>
    <t>6aa8b3b9-7634-40f9-a5c9-a021ce35f715</t>
  </si>
  <si>
    <t>1.1.3.1.1.2.1.5.3</t>
  </si>
  <si>
    <t>339118849.55040</t>
  </si>
  <si>
    <t>28951422.55040</t>
  </si>
  <si>
    <t>1.1.3.1.1.2.1.5.4</t>
  </si>
  <si>
    <t>339118849.54634</t>
  </si>
  <si>
    <t>28951422.54634</t>
  </si>
  <si>
    <t>1.1.3.1.1.2.1.6</t>
  </si>
  <si>
    <t>2 этаж, блок 5, пом. 2.111, 2.112, 2.114, 2.115, 2.116, 2.117, 2.118, 2.166, 2.167. Тип стен: ЧСТ-2.1, шпаклевка финишная (запись ЖАН от 18.06.2025)</t>
  </si>
  <si>
    <t>1.1.3.1.1.2.1.6.1</t>
  </si>
  <si>
    <t>339118918.54634</t>
  </si>
  <si>
    <t>28951420.54634</t>
  </si>
  <si>
    <t>1.1.3.1.1.2.1.6.2</t>
  </si>
  <si>
    <t>Шпаклевка гипсовая финишная СТАРАТЕЛИ Finishgips Строефф PG25 20кг</t>
  </si>
  <si>
    <t>339118918.54621</t>
  </si>
  <si>
    <t>28951420.54621</t>
  </si>
  <si>
    <t>1.1.3.1.1.2.1.7</t>
  </si>
  <si>
    <t>НЗ № 8 от 17.11.2025 Отделка лестниц: ЛК9, ЛК10, ЛК11. Стены Тип: СТ-6 (шпаклевка базовая)</t>
  </si>
  <si>
    <t>1.1.3.1.1.2.1.7.1</t>
  </si>
  <si>
    <t>339118919.54621</t>
  </si>
  <si>
    <t>28975341.54621</t>
  </si>
  <si>
    <t>1.1.3.1.1.2.1.7.2</t>
  </si>
  <si>
    <t>339118919.18405</t>
  </si>
  <si>
    <t>28975341.18405</t>
  </si>
  <si>
    <t>1.1.3.1.1.2.1.7.3</t>
  </si>
  <si>
    <t>339118919.55040</t>
  </si>
  <si>
    <t>28975341.55040</t>
  </si>
  <si>
    <t>1.1.3.1.1.2.1.7.4</t>
  </si>
  <si>
    <t>339118919.54634</t>
  </si>
  <si>
    <t>28975341.54634</t>
  </si>
  <si>
    <t>1.1.3.1.1.2.1.8</t>
  </si>
  <si>
    <t>НЗ № 8 от 17.11.2025 Отделка лестниц: ЛК9, ЛК10, ЛК11. Стены Тип: СТ-6 шпаклевка финишная (запись ЖАН от 18.06.2025)</t>
  </si>
  <si>
    <t>1.1.3.1.1.2.1.8.1</t>
  </si>
  <si>
    <t>339118920.54634</t>
  </si>
  <si>
    <t>28975342.54634</t>
  </si>
  <si>
    <t>1.1.3.1.1.2.1.8.2</t>
  </si>
  <si>
    <t>339118920.54621</t>
  </si>
  <si>
    <t>28975342.54621</t>
  </si>
  <si>
    <t>1.1.3.1.1.2.1.9</t>
  </si>
  <si>
    <t xml:space="preserve">Блоки 1 и 4.1, 1, 2, 3, этажи. Шпаклевка финишная (запись ЖАН от 18.06.2025). ЧСТ-1 (2691,47м2), ЧСТ-2 (5725,42м2), ЧСТ-2.1 (954,11м2), ЧСТ-3 (475,8м2), ЧСТ-4 (223,15м2), СТ-6.2 (182,74м2)
</t>
  </si>
  <si>
    <t>1.1.3.1.1.2.1.9.1</t>
  </si>
  <si>
    <t>339118921.54621</t>
  </si>
  <si>
    <t>29086448.54621</t>
  </si>
  <si>
    <t>1.1.3.1.1.2.1.9.2</t>
  </si>
  <si>
    <t>339118921.54634</t>
  </si>
  <si>
    <t>29086448.54634</t>
  </si>
  <si>
    <t>1.1.3.1.1.2.1.10</t>
  </si>
  <si>
    <t>Блоки 1 и 4.1, 1, 2, 3, этажи. Шпаклевка базовая (в ранее согласованном расчете объем шпаклевки составлял 9599,78). По АР6.1 от 17.02.2026: ЧСТ-1 (2691,47м2), ЧСТ-2 (5725,42м2), ЧСТ-2.1 (954,11м2), ЧСТ-3 (475,8м2), ЧСТ-4 (223,15м2), СТ-6.2 (182,74м2)</t>
  </si>
  <si>
    <t>1.1.3.1.1.2.1.10.1</t>
  </si>
  <si>
    <t>339118922.54634</t>
  </si>
  <si>
    <t>29086447.54634</t>
  </si>
  <si>
    <t>1.1.3.1.1.2.1.10.2</t>
  </si>
  <si>
    <t>339118922.54621</t>
  </si>
  <si>
    <t>29086447.54621</t>
  </si>
  <si>
    <t>1.1.3.1.1.2.1.11</t>
  </si>
  <si>
    <t>6.3.1.5.2.1.8.6</t>
  </si>
  <si>
    <t>Подготовка поверхности СКБ / потолка / по штукатурке / 2мм</t>
  </si>
  <si>
    <t>СТ-6, СТ-6.1, СТ-7, СТ-12
подготовка под высококачественное окрашивание</t>
  </si>
  <si>
    <t>42d08cea-07ba-4dbe-a8b0-b5e7c8673109</t>
  </si>
  <si>
    <t>8ed795a1-2840-48ca-bf55-a34d27ce4381</t>
  </si>
  <si>
    <t>1.1.3.1.1.2.1.11.1</t>
  </si>
  <si>
    <t>Шпатлевка гипсовая_ / белая / Унифицированная по ПИК-СТАНДАРТ, 30кг (BIM)</t>
  </si>
  <si>
    <t>339118850.1570750</t>
  </si>
  <si>
    <t>25887987.1570750</t>
  </si>
  <si>
    <t>3254b4be-ac53-4a29-ad23-972be75bc24b</t>
  </si>
  <si>
    <t>1.1.3.1.1.2.1.11.2</t>
  </si>
  <si>
    <t>339118850.1139608</t>
  </si>
  <si>
    <t>25887987.1139608</t>
  </si>
  <si>
    <t>1.1.3.1.1.2.1.12</t>
  </si>
  <si>
    <t>6.3.1.5.2.1.10.5</t>
  </si>
  <si>
    <t>Штукатурка стен цементным, цементно-песчаным раствором с предварительной огрунтовкой / толщ. от 21 до 40 мм / высотой от 4,01 до 8 метров</t>
  </si>
  <si>
    <t>Леса применяются отдельной расценкой.</t>
  </si>
  <si>
    <t>ЧСТ-1 с 1-ого по 3-ий этажи</t>
  </si>
  <si>
    <t>8bf6a8a2-6644-4f01-93be-2d8656ddd398</t>
  </si>
  <si>
    <t>021b202b-78b5-4d45-af3a-c2baaf384e72</t>
  </si>
  <si>
    <t>1.1.3.1.1.2.1.12.1</t>
  </si>
  <si>
    <t>Штукатурка цементная</t>
  </si>
  <si>
    <t>Штукатурка "ТЕХНО РК27 Влагостойкая" 
толщина до 40 мм</t>
  </si>
  <si>
    <t>339118852.726518</t>
  </si>
  <si>
    <t>25888013.726518</t>
  </si>
  <si>
    <t>6340f993-804d-456a-a0be-3b2094bd37f9</t>
  </si>
  <si>
    <t>1.1.3.1.1.2.1.12.2</t>
  </si>
  <si>
    <t>Сетка штукатурная_/пластиковая/5*5</t>
  </si>
  <si>
    <t>ячейка 10х10 мм</t>
  </si>
  <si>
    <t>339118852.55050</t>
  </si>
  <si>
    <t>25888013.55050</t>
  </si>
  <si>
    <t>9f181f34-9874-4ea2-b00e-d54dce78f0f0</t>
  </si>
  <si>
    <t>1.1.3.1.1.2.1.12.3</t>
  </si>
  <si>
    <t>Профиль маячковый_/ПМ10</t>
  </si>
  <si>
    <t>339118852.55030</t>
  </si>
  <si>
    <t>25888013.55030</t>
  </si>
  <si>
    <t>2c5b3048-8dfb-4910-9a5b-0bcdfb85437b</t>
  </si>
  <si>
    <t>1.1.3.1.1.2.1.12.4</t>
  </si>
  <si>
    <t>339118852.54633</t>
  </si>
  <si>
    <t>25888013.54633</t>
  </si>
  <si>
    <t>1.1.3.1.1.2.1.13</t>
  </si>
  <si>
    <t>СТ-5, СТ-5.1</t>
  </si>
  <si>
    <t>1.1.3.1.1.2.1.13.1</t>
  </si>
  <si>
    <t>339118923.54633</t>
  </si>
  <si>
    <t>25887986.54633</t>
  </si>
  <si>
    <t>1.1.3.1.1.2.1.13.2</t>
  </si>
  <si>
    <t>339118923.55030</t>
  </si>
  <si>
    <t>25887986.55030</t>
  </si>
  <si>
    <t>1.1.3.1.1.2.1.13.3</t>
  </si>
  <si>
    <t>339118923.55050</t>
  </si>
  <si>
    <t>25887986.55050</t>
  </si>
  <si>
    <t>1.1.3.1.1.2.1.13.4</t>
  </si>
  <si>
    <t>339118923.726518</t>
  </si>
  <si>
    <t>25887986.726518</t>
  </si>
  <si>
    <t>1.1.3.1.1.2.1.14</t>
  </si>
  <si>
    <t>СТ-8, СТ-8.1</t>
  </si>
  <si>
    <t>1.1.3.1.1.2.1.14.1</t>
  </si>
  <si>
    <t>339118924.726518</t>
  </si>
  <si>
    <t>25887988.726518</t>
  </si>
  <si>
    <t>1.1.3.1.1.2.1.14.2</t>
  </si>
  <si>
    <t>339118924.55050</t>
  </si>
  <si>
    <t>25887988.55050</t>
  </si>
  <si>
    <t>1.1.3.1.1.2.1.14.3</t>
  </si>
  <si>
    <t>339118924.55030</t>
  </si>
  <si>
    <t>25887988.55030</t>
  </si>
  <si>
    <t>1.1.3.1.1.2.1.14.4</t>
  </si>
  <si>
    <t>339118924.54633</t>
  </si>
  <si>
    <t>25887988.54633</t>
  </si>
  <si>
    <t>1.1.3.1.1.2.1.15</t>
  </si>
  <si>
    <t>ЧСТ-2, ЧСТ-4 с 1-ого по 3-ий этажи</t>
  </si>
  <si>
    <t>1.1.3.1.1.2.1.15.1</t>
  </si>
  <si>
    <t>339118925.54634</t>
  </si>
  <si>
    <t>25888014.54634</t>
  </si>
  <si>
    <t>1.1.3.1.1.2.1.15.2</t>
  </si>
  <si>
    <t>339118925.55030</t>
  </si>
  <si>
    <t>25888014.55030</t>
  </si>
  <si>
    <t>1.1.3.1.1.2.1.15.3</t>
  </si>
  <si>
    <t>339118925.55050</t>
  </si>
  <si>
    <t>25888014.55050</t>
  </si>
  <si>
    <t>1.1.3.1.1.2.1.15.4</t>
  </si>
  <si>
    <t xml:space="preserve">Штукатурка "ТЕХНО РК27 Влагостойкая" 
толщина до 40 мм
</t>
  </si>
  <si>
    <t>339118925.726518</t>
  </si>
  <si>
    <t>25888014.726518</t>
  </si>
  <si>
    <t>1.1.3.1.1.2.1.16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</si>
  <si>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</si>
  <si>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</si>
  <si>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 xml:space="preserve">АРОР АЙСИБИ/МФ-СТРОЙ. 2 этаж, блок 5, пом. 2.111, 2.112, 2.114, 2.115, 2.116, 2.117, 2.118, 2.166, 2.167. Тип стен: ЧСТ-2.1
</t>
  </si>
  <si>
    <t>e97400ea-ba91-4266-8e4d-399c9b83bcf7</t>
  </si>
  <si>
    <t>635cc207-b262-46f6-8a6a-9126054e7be7</t>
  </si>
  <si>
    <t>1.1.3.1.1.2.1.16.1</t>
  </si>
  <si>
    <t>Штукатурка гипсовая_ / Унифицированная по ПИК-СТАНДАРТ, 30кг</t>
  </si>
  <si>
    <t>339118854.54616</t>
  </si>
  <si>
    <t>28951340.54616</t>
  </si>
  <si>
    <t>b059108e-66ce-4a56-9765-c924e4c0b8b7</t>
  </si>
  <si>
    <t>1.1.3.1.1.2.1.16.2</t>
  </si>
  <si>
    <t>Штукатурка, армированная металлической сеткой. Цена сетки 67,26 руб/м2 добавлена в стоимость профиля из-за одинакового объема.</t>
  </si>
  <si>
    <t>339118854.55029</t>
  </si>
  <si>
    <t>28951340.55029</t>
  </si>
  <si>
    <t>1.1.3.1.1.2.1.16.3</t>
  </si>
  <si>
    <t>339118854.54634</t>
  </si>
  <si>
    <t>28951340.54634</t>
  </si>
  <si>
    <t>1.1.3.1.1.2.1.17</t>
  </si>
  <si>
    <t>НЗ № 8 от 17.11.2025 Отделка лестниц: ЛК9, ЛК10, ЛК11. Стены Тип: СТ-6</t>
  </si>
  <si>
    <t>1.1.3.1.1.2.1.17.1</t>
  </si>
  <si>
    <t>339118926.54633</t>
  </si>
  <si>
    <t>28975340.54633</t>
  </si>
  <si>
    <t>1.1.3.1.1.2.1.17.2</t>
  </si>
  <si>
    <t>Штукатурка, армированная стекловолоконной сеткой. Цена сетки 26,44 руб/м2 добавлена в стоимость профиля из-за одинакового объема.</t>
  </si>
  <si>
    <t>339118926.55029</t>
  </si>
  <si>
    <t>28975340.55029</t>
  </si>
  <si>
    <t>1.1.3.1.1.2.1.17.3</t>
  </si>
  <si>
    <t>339118926.54616</t>
  </si>
  <si>
    <t>28975340.54616</t>
  </si>
  <si>
    <t>1.1.3.1.1.2.2</t>
  </si>
  <si>
    <t>6.3.1.5.2.2</t>
  </si>
  <si>
    <t>Чистовые работы по поверхности стен</t>
  </si>
  <si>
    <t>1.1.3.1.1.2.2.1</t>
  </si>
  <si>
    <t>6.3.1.5.2.2.8.1</t>
  </si>
  <si>
    <t>Лакокрасочные работы СКБ / окраска стен / в 2 слоя</t>
  </si>
  <si>
    <t>АРОР АЙСИБИ/МФ-СТРОЙ. 2 этаж, блок 5</t>
  </si>
  <si>
    <t>4c24ca93-b856-4913-a3fe-bc768660074c</t>
  </si>
  <si>
    <t>923030ab-0b8a-4717-9906-e76b6d6d03d6</t>
  </si>
  <si>
    <t>1.1.3.1.1.2.2.1.1</t>
  </si>
  <si>
    <t>Краска водно-дисперсионная Tikkurila_ / RAL 9003 / PROF EURO 20</t>
  </si>
  <si>
    <t>Матовая водно-дисперсионная краска Bravo Proffi FW-55 влагостойкая, Класс ПБ: КМ1/Г1, В1, Д2, Т2, Износостойкость: 2 класс истирания, RAL 9003/Белый</t>
  </si>
  <si>
    <t>339118857.758318</t>
  </si>
  <si>
    <t>28951421.758318</t>
  </si>
  <si>
    <t>585530fd-0de5-4292-bc70-8f8ebd68eca5</t>
  </si>
  <si>
    <t>1.1.3.1.1.2.2.1.2</t>
  </si>
  <si>
    <t>Грунтовка _ /  универсальная глубокого проникновения</t>
  </si>
  <si>
    <t>339118857.1751832</t>
  </si>
  <si>
    <t>28951421.1751832</t>
  </si>
  <si>
    <t>b4b0210a-8af4-4646-b1a9-fca6c13407aa</t>
  </si>
  <si>
    <t>1.1.3.1.1.2.2.2</t>
  </si>
  <si>
    <t>1.1.3.1.1.2.2.2.1</t>
  </si>
  <si>
    <t>Матовая огнестойкая краска Bravo Proffi W-200 Класс ПБ: КМ0/ НГ, Износостойкость: 1 класс истирания, RAL 9003/Белый</t>
  </si>
  <si>
    <t>339118927.758318</t>
  </si>
  <si>
    <t>28951761.758318</t>
  </si>
  <si>
    <t>1.1.3.1.1.2.2.2.2</t>
  </si>
  <si>
    <t>339118927.54634</t>
  </si>
  <si>
    <t>28951761.54634</t>
  </si>
  <si>
    <t>1.1.3.1.1.2.2.3</t>
  </si>
  <si>
    <t>1.1.3.1.1.2.2.3.1</t>
  </si>
  <si>
    <t>339118928.54634</t>
  </si>
  <si>
    <t>28983431.54634</t>
  </si>
  <si>
    <t>1.1.3.1.1.2.2.3.2</t>
  </si>
  <si>
    <t>Краска матовая, моющаяся, влагостойкая водно-дисперсионная, силикатная: BRAVO PROFI W-200, Краска НГ. Износостойкость: 2 класс истирания, RAL 9003/Белый</t>
  </si>
  <si>
    <t>339118928.758318</t>
  </si>
  <si>
    <t>28983431.758318</t>
  </si>
  <si>
    <t>1.1.3.1.1.2.2.4</t>
  </si>
  <si>
    <t>6.3.1.5.2.2.8.3</t>
  </si>
  <si>
    <t>Лакокрасочные работы СКБ / окраска откосов / в 2 слоя</t>
  </si>
  <si>
    <t>НЗ № 11 от 11.12.2025. Блоки 1 и 4.1, 1, 2, 3 этажи</t>
  </si>
  <si>
    <t>8bf08378-dbd9-4e80-8ee7-0ff14f296665</t>
  </si>
  <si>
    <t>b733a2ef-d78f-437c-90c9-4eabfe04c553</t>
  </si>
  <si>
    <t>1.1.3.1.1.2.2.4.1</t>
  </si>
  <si>
    <t>Краска Tikkurila Проф Евро 7 / RAL 9003</t>
  </si>
  <si>
    <t>339118858.1527563</t>
  </si>
  <si>
    <t>28999465.1527563</t>
  </si>
  <si>
    <t>c703e0d9-c58b-46dc-ae9e-94ab4ef5f1c1</t>
  </si>
  <si>
    <t>1.1.3.1.1.2.2.4.2</t>
  </si>
  <si>
    <t>339118858.54634</t>
  </si>
  <si>
    <t>28999465.54634</t>
  </si>
  <si>
    <t>1.1.3.1.1.2.2.5</t>
  </si>
  <si>
    <t>6.3.1.5.2.2.9.1</t>
  </si>
  <si>
    <t>Облицовка поверхности стен СКБ с затиркой швов / керамической, керамогранитной плиткой до 0,2м2/шт</t>
  </si>
  <si>
    <t>1, 2, 3, этажи, блоки 1 и 4.1. Стены Тип: СТ-5 (221,15м2), СТ-5.1 (4,99м2)</t>
  </si>
  <si>
    <t>8d513ad3-1fbc-4730-be59-389995ce51d8</t>
  </si>
  <si>
    <t>a0ecae9b-7c0c-412d-a794-953bf76fc42d</t>
  </si>
  <si>
    <t>1.1.3.1.1.2.2.5.1</t>
  </si>
  <si>
    <t>339118860.737422</t>
  </si>
  <si>
    <t>29086441.737422</t>
  </si>
  <si>
    <t>1.1.3.1.1.2.2.5.2</t>
  </si>
  <si>
    <t>339118860.54637</t>
  </si>
  <si>
    <t>29086441.54637</t>
  </si>
  <si>
    <t>1.1.3.1.1.2.2.5.3</t>
  </si>
  <si>
    <t>339118860.739258</t>
  </si>
  <si>
    <t>29086441.739258</t>
  </si>
  <si>
    <t>1.1.3.1.1.2.2.5.4</t>
  </si>
  <si>
    <t>Керамический гранит Kerama marazzi_ / Синий /  SG1547N /  200х200 мм</t>
  </si>
  <si>
    <t>KERAMA MARAZZI, Коллекция: Белое Солнце, Артикул: Калейдоскоп 8000, цвет: белый глянцевый, Формат: 300х200х6,9 мм Крестик 2мм.</t>
  </si>
  <si>
    <t>339118860.1570533</t>
  </si>
  <si>
    <t>29086441.1570533</t>
  </si>
  <si>
    <t>a620a03f-7faf-4c11-affe-45d2fae0c5fb</t>
  </si>
  <si>
    <t>1.1.3.1.1.2.2.6</t>
  </si>
  <si>
    <t>1, 2, 3, этажи, блоки 1 и 4.1. Стены Тип: СТ-8</t>
  </si>
  <si>
    <t>1.1.3.1.1.2.2.6.1</t>
  </si>
  <si>
    <t>KERAMA MARAZZI. Коллекция: Мечты о Париже. Серия: Про Матрикс, серый светлый. Артикул: 11259R Формат: 300х600х9 мм Крестик 2мм.</t>
  </si>
  <si>
    <t>339118929.1570533</t>
  </si>
  <si>
    <t>29086442.1570533</t>
  </si>
  <si>
    <t>1.1.3.1.1.2.2.6.2</t>
  </si>
  <si>
    <t>339118929.739258</t>
  </si>
  <si>
    <t>29086442.739258</t>
  </si>
  <si>
    <t>1.1.3.1.1.2.2.6.3</t>
  </si>
  <si>
    <t>339118929.54637</t>
  </si>
  <si>
    <t>29086442.54637</t>
  </si>
  <si>
    <t>1.1.3.1.1.2.2.6.4</t>
  </si>
  <si>
    <t>339118929.737422</t>
  </si>
  <si>
    <t>29086442.737422</t>
  </si>
  <si>
    <t>1.1.3.1.1.2.2.7</t>
  </si>
  <si>
    <t>1, 2, 3, этажи, блоки 1 и 4.1. Стены Тип: СТ-8.1 (271,08м2), СТ-12.1 (84,02м2)</t>
  </si>
  <si>
    <t>1.1.3.1.1.2.2.7.1</t>
  </si>
  <si>
    <t>339118930.737422</t>
  </si>
  <si>
    <t>29086443.737422</t>
  </si>
  <si>
    <t>1.1.3.1.1.2.2.7.2</t>
  </si>
  <si>
    <t>339118930.54637</t>
  </si>
  <si>
    <t>29086443.54637</t>
  </si>
  <si>
    <t>1.1.3.1.1.2.2.7.3</t>
  </si>
  <si>
    <t>339118930.739258</t>
  </si>
  <si>
    <t>29086443.739258</t>
  </si>
  <si>
    <t>1.1.3.1.1.2.2.7.4</t>
  </si>
  <si>
    <t>Керамический гранит Kerama marazzi_ / Белый / 5009/ Калейдоскоп / 200х200</t>
  </si>
  <si>
    <t>KERAMA MARAZZI Коллекция: Калейдоскоп, Артикул: 5009, белый, Формат: 200х200х6,9 мм Крестик 2мм.</t>
  </si>
  <si>
    <t>339118930.758609</t>
  </si>
  <si>
    <t>29086443.758609</t>
  </si>
  <si>
    <t>70f2d54b-ab55-43b4-b130-a5f8f85e7098</t>
  </si>
  <si>
    <t>1.1.3.1.1.2.2.8</t>
  </si>
  <si>
    <t>1, 2, 3, этажи, блоки 1 и 4.1. Стены Тип: СТ-8.2</t>
  </si>
  <si>
    <t>1.1.3.1.1.2.2.8.1</t>
  </si>
  <si>
    <t>KERAMA MARAZZI Коллекция: Калейдоскоп Артикул: 5281, Аквамарин светлый Формат: 200х200х6,9 мм Крестик 2мм.</t>
  </si>
  <si>
    <t>339118931.1570533</t>
  </si>
  <si>
    <t>29086444.1570533</t>
  </si>
  <si>
    <t>1.1.3.1.1.2.2.8.2</t>
  </si>
  <si>
    <t>339118931.739258</t>
  </si>
  <si>
    <t>29086444.739258</t>
  </si>
  <si>
    <t>1.1.3.1.1.2.2.8.3</t>
  </si>
  <si>
    <t>339118931.54637</t>
  </si>
  <si>
    <t>29086444.54637</t>
  </si>
  <si>
    <t>1.1.3.1.1.2.2.8.4</t>
  </si>
  <si>
    <t>339118931.737422</t>
  </si>
  <si>
    <t>29086444.737422</t>
  </si>
  <si>
    <t>1.1.3.1.1.2.2.9</t>
  </si>
  <si>
    <t>1, 2, 3, этажи, блоки 1 и 4.1. Стены Тип: СТ-8.3</t>
  </si>
  <si>
    <t>1.1.3.1.1.2.2.9.1</t>
  </si>
  <si>
    <t>339118932.737422</t>
  </si>
  <si>
    <t>29086445.737422</t>
  </si>
  <si>
    <t>1.1.3.1.1.2.2.9.2</t>
  </si>
  <si>
    <t>339118932.54637</t>
  </si>
  <si>
    <t>29086445.54637</t>
  </si>
  <si>
    <t>1.1.3.1.1.2.2.9.3</t>
  </si>
  <si>
    <t>339118932.739258</t>
  </si>
  <si>
    <t>29086445.739258</t>
  </si>
  <si>
    <t>1.1.3.1.1.2.2.9.4</t>
  </si>
  <si>
    <t>Керамический гранит Kerama marazzi_ / Оранжевый / 5108/Калейдоскоп / 200х200</t>
  </si>
  <si>
    <t>KERAMA MARAZZI Коллекция: Калейдоскоп. Артикул: 5108, Оранжевый Формат: 200х200х6,9 мм Крестик 2мм.</t>
  </si>
  <si>
    <t>339118932.1058901</t>
  </si>
  <si>
    <t>29086445.1058901</t>
  </si>
  <si>
    <t>10032963-60c4-424f-897d-880031c6ab96</t>
  </si>
  <si>
    <t>1.1.3.1.1.2.2.10</t>
  </si>
  <si>
    <t>1, 2, 3, этажи, блоки 1 и 4.1. Стены Тип: СТ-11</t>
  </si>
  <si>
    <t>1.1.3.1.1.2.2.10.1</t>
  </si>
  <si>
    <t>KERAMA MARAZZI Артикул: Про Матрикс OS\C314\11259R, цвет: серый светлый Формат: 600х300х9 мм Крестик 2мм.</t>
  </si>
  <si>
    <t>339118933.1570533</t>
  </si>
  <si>
    <t>29086437.1570533</t>
  </si>
  <si>
    <t>1.1.3.1.1.2.2.10.2</t>
  </si>
  <si>
    <t>339118933.739258</t>
  </si>
  <si>
    <t>29086437.739258</t>
  </si>
  <si>
    <t>1.1.3.1.1.2.2.10.3</t>
  </si>
  <si>
    <t>Затирка Цезерит СE33_/16 графит</t>
  </si>
  <si>
    <t>Затирка Ceresit 07, Cерая</t>
  </si>
  <si>
    <t>339118933.54636</t>
  </si>
  <si>
    <t>29086437.54636</t>
  </si>
  <si>
    <t>f54ca740-ebda-47a7-a0b5-b458f2ce093f</t>
  </si>
  <si>
    <t>1.1.3.1.1.2.2.10.4</t>
  </si>
  <si>
    <t>339118933.737422</t>
  </si>
  <si>
    <t>29086437.737422</t>
  </si>
  <si>
    <t>1.1.3.1.1.2.2.11</t>
  </si>
  <si>
    <t>6.3.1.5.2.2.9.2</t>
  </si>
  <si>
    <t>Облицовка поверхности стен СКБ с затиркой швов / керамической, керамогранитной плиткой от 0,2м2/шт</t>
  </si>
  <si>
    <t>1, 2, 3, этажи, блоки 1 и 4.1. Стены Тип: СТ-12.2</t>
  </si>
  <si>
    <t>9000ff2e-4eba-41cc-a074-c46fe92c125a</t>
  </si>
  <si>
    <t>543139c7-05c6-47e9-8a5c-0d2e4272c803</t>
  </si>
  <si>
    <t>1.1.3.1.1.2.2.11.1</t>
  </si>
  <si>
    <t>339118861.737422</t>
  </si>
  <si>
    <t>29090428.737422</t>
  </si>
  <si>
    <t>1.1.3.1.1.2.2.11.2</t>
  </si>
  <si>
    <t>339118861.739258</t>
  </si>
  <si>
    <t>29090428.739258</t>
  </si>
  <si>
    <t>1.1.3.1.1.2.2.11.3</t>
  </si>
  <si>
    <t>Керамический гранит Kerama marazzi "Радуга"_ / оранжевый / SG610100R / 600*600*11мм</t>
  </si>
  <si>
    <t>Kerama Marazzi Артикул: Про Матрикс серый светлый DD602020R, Формат: 600х600х9
мм, Крестик: 2 мм/ Класс ПБ: НГ</t>
  </si>
  <si>
    <t>339118861.54685</t>
  </si>
  <si>
    <t>29090428.54685</t>
  </si>
  <si>
    <t>1035cef8-fb15-43d3-a485-0205abdfd05c</t>
  </si>
  <si>
    <t>1.1.3.1.1.2.2.11.4</t>
  </si>
  <si>
    <t>339118861.54637</t>
  </si>
  <si>
    <t>29090428.54637</t>
  </si>
  <si>
    <t>1.1.3.1.1.2.3</t>
  </si>
  <si>
    <t>6.3.1.5.2.3</t>
  </si>
  <si>
    <t>Устройство подоконников, оконных откосов</t>
  </si>
  <si>
    <t>1.1.3.1.1.2.3.1</t>
  </si>
  <si>
    <t>6.3.1.5.2.3.1.2</t>
  </si>
  <si>
    <t>Штукатурка поверхностей откосов сухими смесями с предварительной огрунтовкой поверхности / толщ. свыше 20 мм</t>
  </si>
  <si>
    <t>48850735-d48e-4f91-9491-54524f0a59a1</t>
  </si>
  <si>
    <t>30117393-41c8-442e-9221-b04847a4affb</t>
  </si>
  <si>
    <t>1.1.3.1.1.2.3.1.1</t>
  </si>
  <si>
    <t>339118864.54616</t>
  </si>
  <si>
    <t>28999464.54616</t>
  </si>
  <si>
    <t>1.1.3.1.1.2.3.1.2</t>
  </si>
  <si>
    <t>339118864.55030</t>
  </si>
  <si>
    <t>28999464.55030</t>
  </si>
  <si>
    <t>1.1.3.1.1.2.3.1.3</t>
  </si>
  <si>
    <t>339118864.54634</t>
  </si>
  <si>
    <t>28999464.54634</t>
  </si>
  <si>
    <t>1.1.3.1.1.2.3.2</t>
  </si>
  <si>
    <t>6.3.1.5.2.3.2.1</t>
  </si>
  <si>
    <t>Выравнивание поверхностей откосов толщ. до 5 мм с предварительной огрунтовкой поверхности</t>
  </si>
  <si>
    <t>НЗ № 11 от 11.12.2025. Блоки 1 и 4.1, 1, 2, 3 этажи. Шпаклевка базовая.</t>
  </si>
  <si>
    <t>1bd78791-ea55-4aed-83db-0bd34db05925</t>
  </si>
  <si>
    <t>f9b8ac25-8b08-4829-b5d2-9adcab5c69cb</t>
  </si>
  <si>
    <t>1.1.3.1.1.2.3.2.1</t>
  </si>
  <si>
    <t>339118866.54622</t>
  </si>
  <si>
    <t>28999467.54622</t>
  </si>
  <si>
    <t>1.1.3.1.1.2.3.2.2</t>
  </si>
  <si>
    <t>339118866.54634</t>
  </si>
  <si>
    <t>28999467.54634</t>
  </si>
  <si>
    <t>1.1.3.1.1.2.3.3</t>
  </si>
  <si>
    <t>НЗ № 11 от 11.12.2025. Блоки 1 и 4.1, 1, 2, 3 этажи. Шпаклевка финишная.</t>
  </si>
  <si>
    <t>1.1.3.1.1.2.3.3.1</t>
  </si>
  <si>
    <t>339118934.54634</t>
  </si>
  <si>
    <t>28999468.54634</t>
  </si>
  <si>
    <t>1.1.3.1.1.2.3.3.2</t>
  </si>
  <si>
    <t>339118934.54622</t>
  </si>
  <si>
    <t>28999468.54622</t>
  </si>
  <si>
    <t>1.1.3.1.1.2.3.4</t>
  </si>
  <si>
    <t>6.3.1.5.2.3.7.1</t>
  </si>
  <si>
    <t>Устройство откосов из ГКЛ на клеевом составе / в 1 слой</t>
  </si>
  <si>
    <t>ГКЛ 12,5мм</t>
  </si>
  <si>
    <t>НЗ № 11 от 11.12.2025. Блоки 1 и 4.1, 1, 2, 3 этажи.</t>
  </si>
  <si>
    <t>bf0191ab-6901-4bea-8db7-e681d576a152</t>
  </si>
  <si>
    <t>a8f95757-9dd2-41ed-b9a6-bc0729c8286a</t>
  </si>
  <si>
    <t>1.1.3.1.1.2.3.4.1</t>
  </si>
  <si>
    <t>Клей для ПГП_/</t>
  </si>
  <si>
    <t>339118868.54582</t>
  </si>
  <si>
    <t>28999466.54582</t>
  </si>
  <si>
    <t>83df5452-88a6-42c1-844b-d6bbcf1d0471</t>
  </si>
  <si>
    <t>1.1.3.1.1.2.3.4.2</t>
  </si>
  <si>
    <t>Гипсовые строительные плиты_ / влагостойкий / 12,5*1200*2500</t>
  </si>
  <si>
    <t>339118868.54553</t>
  </si>
  <si>
    <t>28999466.54553</t>
  </si>
  <si>
    <t>efad23af-fbbd-4322-a1b7-0c398c24e336</t>
  </si>
  <si>
    <t>1.1.3.1.1.2.3.4.3</t>
  </si>
  <si>
    <t>339118868.54634</t>
  </si>
  <si>
    <t>28999466.54634</t>
  </si>
  <si>
    <t>1.1.3.1.1.2.3.4.4</t>
  </si>
  <si>
    <t>Угол пластиковый_/10*15*2,5м</t>
  </si>
  <si>
    <t>339118868.55028</t>
  </si>
  <si>
    <t>28999466.55028</t>
  </si>
  <si>
    <t>551cb54d-a4ff-4e4c-b8c8-5ee9eaa28821</t>
  </si>
  <si>
    <t>1.1.3.1.1.3</t>
  </si>
  <si>
    <t>6.3.1.5.3</t>
  </si>
  <si>
    <t>Потолки</t>
  </si>
  <si>
    <t>1.1.3.1.1.3.1</t>
  </si>
  <si>
    <t>6.3.1.5.3.1</t>
  </si>
  <si>
    <t>Черновые работы по поверхности потолков</t>
  </si>
  <si>
    <t>1.1.3.1.1.3.1.1</t>
  </si>
  <si>
    <t>6.3.1.5.3.1.5.2</t>
  </si>
  <si>
    <t>Устройство тепло-звукоизоляции потолка / в 1 слой</t>
  </si>
  <si>
    <t>Тип П-12</t>
  </si>
  <si>
    <t>8d81d432-0e4c-4a9b-92dc-c796e7333538</t>
  </si>
  <si>
    <t>c0b1af7d-f431-4947-9ecc-f3e05f0c22cd</t>
  </si>
  <si>
    <t>1.1.3.1.1.3.1.1.1</t>
  </si>
  <si>
    <t>стеклотканевая 10на10</t>
  </si>
  <si>
    <t>339118872.55050</t>
  </si>
  <si>
    <t>25887996.55050</t>
  </si>
  <si>
    <t>1.1.3.1.1.3.1.1.2</t>
  </si>
  <si>
    <t>Плита минераловатная_ / Технофас Эффект</t>
  </si>
  <si>
    <t xml:space="preserve">Технофас Экстра плотностью не менее 90кг/м3
200 мм
58,61кв.м* 0,2*1,03=12,07 куб.м
</t>
  </si>
  <si>
    <t>339118872.55182</t>
  </si>
  <si>
    <t>25887996.55182</t>
  </si>
  <si>
    <t>2fa3a58d-8038-4bc6-b6ca-c5f1ba228bad</t>
  </si>
  <si>
    <t>1.1.3.1.1.3.1.1.3</t>
  </si>
  <si>
    <t>Клеевая смесь_ / ОСНОВИТ КАВЕРПЛИКС AC117</t>
  </si>
  <si>
    <t>339118872.40148</t>
  </si>
  <si>
    <t>25887996.40148</t>
  </si>
  <si>
    <t>cc3eda2f-a927-4a66-842b-e2a8b5009ac1</t>
  </si>
  <si>
    <t>1.1.3.1.1.3.1.1.4</t>
  </si>
  <si>
    <t>Дюбель д/изоляции IZL-T с термоголовкой_/10/300</t>
  </si>
  <si>
    <t>339118872.54846</t>
  </si>
  <si>
    <t>25887996.54846</t>
  </si>
  <si>
    <t>784dfb58-92b9-4e53-89cc-dbffcc38cb60</t>
  </si>
  <si>
    <t>1.1.3.1.1.3.1.1.5</t>
  </si>
  <si>
    <t>339118872.737422</t>
  </si>
  <si>
    <t>25887996.737422</t>
  </si>
  <si>
    <t>1.1.3.1.1.3.1.2</t>
  </si>
  <si>
    <t>6.3.1.5.3.1.6.1</t>
  </si>
  <si>
    <t>Подготовка поверхности СКБ / потолка / ЖБ / 5 мм</t>
  </si>
  <si>
    <t>тип П-6, П-13, П-14, П-16</t>
  </si>
  <si>
    <t>d8ade7bb-05e7-4786-90a0-891f405ecdf1</t>
  </si>
  <si>
    <t>d89f0cdd-97a2-4d68-95d2-a137bc57c6ad</t>
  </si>
  <si>
    <t>1.1.3.1.1.3.1.2.1</t>
  </si>
  <si>
    <t>339118874.54622</t>
  </si>
  <si>
    <t>25888025.54622</t>
  </si>
  <si>
    <t>1.1.3.1.1.3.1.2.2</t>
  </si>
  <si>
    <t>339118874.54633</t>
  </si>
  <si>
    <t>25888025.54633</t>
  </si>
  <si>
    <t>1.1.3.1.1.3.1.3</t>
  </si>
  <si>
    <t>НЗ № 8 от 17.11.2025 Отделка лестниц: ЛК9, ЛК10, ЛК11.</t>
  </si>
  <si>
    <t>1.1.3.1.1.3.1.3.1</t>
  </si>
  <si>
    <t>339118935.54633</t>
  </si>
  <si>
    <t>28983430.54633</t>
  </si>
  <si>
    <t>1.1.3.1.1.3.1.3.2</t>
  </si>
  <si>
    <t>Штукатурка фасадная_ / ОСНОВИТ СТАРТВЭЛЛ PC21 M</t>
  </si>
  <si>
    <t>339118935.40145</t>
  </si>
  <si>
    <t>28983430.40145</t>
  </si>
  <si>
    <t>d75f599a-5749-4935-89f7-ea09f4855943</t>
  </si>
  <si>
    <t>1.1.3.1.1.3.1.4</t>
  </si>
  <si>
    <t>6.3.1.5.3.1.6.4</t>
  </si>
  <si>
    <t>тип П-7, П-10</t>
  </si>
  <si>
    <t>9715c536-701e-4362-beb4-5db4688b691c</t>
  </si>
  <si>
    <t>1.1.3.1.1.3.1.4.1</t>
  </si>
  <si>
    <t>339118875.54622</t>
  </si>
  <si>
    <t>25888027.54622</t>
  </si>
  <si>
    <t>1.1.3.1.1.3.1.4.2</t>
  </si>
  <si>
    <t>339118875.55026</t>
  </si>
  <si>
    <t>25888027.55026</t>
  </si>
  <si>
    <t>1.1.3.1.1.3.1.4.3</t>
  </si>
  <si>
    <t>339118875.54634</t>
  </si>
  <si>
    <t>25888027.54634</t>
  </si>
  <si>
    <t>1.1.3.1.1.3.1.5</t>
  </si>
  <si>
    <t>Тип П-12, П-15</t>
  </si>
  <si>
    <t>1.1.3.1.1.3.1.5.1</t>
  </si>
  <si>
    <t>339118936.54634</t>
  </si>
  <si>
    <t>25887998.54634</t>
  </si>
  <si>
    <t>1.1.3.1.1.3.1.5.2</t>
  </si>
  <si>
    <t>339118936.55026</t>
  </si>
  <si>
    <t>25887998.55026</t>
  </si>
  <si>
    <t>1.1.3.1.1.3.1.5.3</t>
  </si>
  <si>
    <t>339118936.54622</t>
  </si>
  <si>
    <t>25887998.54622</t>
  </si>
  <si>
    <t>1.1.3.1.1.3.1.6</t>
  </si>
  <si>
    <t>6.3.1.5.3.1.6.6</t>
  </si>
  <si>
    <t>НЗ № 8 от 17.11.2025 Отделка лестниц: ЛК9, ЛК10, ЛК11. Шпаклевка базовая</t>
  </si>
  <si>
    <t>7a2a024b-7aa6-4bee-9d60-f94b39f3d674</t>
  </si>
  <si>
    <t>1.1.3.1.1.3.1.6.1</t>
  </si>
  <si>
    <t>339118876.1570750</t>
  </si>
  <si>
    <t>28983433.1570750</t>
  </si>
  <si>
    <t>1.1.3.1.1.3.1.6.2</t>
  </si>
  <si>
    <t>339118876.1139608</t>
  </si>
  <si>
    <t>28983433.1139608</t>
  </si>
  <si>
    <t>1.1.3.1.1.3.1.7</t>
  </si>
  <si>
    <t>НЗ № 8 от 17.11.2025 Отделка лестниц: ЛК9, ЛК10, ЛК11. Шпаклевка финишная</t>
  </si>
  <si>
    <t>1.1.3.1.1.3.1.7.1</t>
  </si>
  <si>
    <t>339118937.1139608</t>
  </si>
  <si>
    <t>28983434.1139608</t>
  </si>
  <si>
    <t>1.1.3.1.1.3.1.7.2</t>
  </si>
  <si>
    <t>339118937.1570750</t>
  </si>
  <si>
    <t>28983434.1570750</t>
  </si>
  <si>
    <t>1.1.3.1.1.3.1.8</t>
  </si>
  <si>
    <t>6.3.1.5.3.1.7.1</t>
  </si>
  <si>
    <t>Обработка потолков гидрофобизирующим составом</t>
  </si>
  <si>
    <t>тип П-4</t>
  </si>
  <si>
    <t>346a37ad-b2f2-4dd9-99c5-5da49cd8fbf5</t>
  </si>
  <si>
    <t>6fcc3901-2c43-4a2a-8d2f-de85d338e9db</t>
  </si>
  <si>
    <t>1.1.3.1.1.3.1.8.1</t>
  </si>
  <si>
    <t>339118878.1196509</t>
  </si>
  <si>
    <t>25888021.1196509</t>
  </si>
  <si>
    <t>1.1.3.1.1.3.2</t>
  </si>
  <si>
    <t>6.3.1.5.3.2</t>
  </si>
  <si>
    <t>Чистовые работы по поверхности потолков</t>
  </si>
  <si>
    <t>1.1.3.1.1.3.2.1</t>
  </si>
  <si>
    <t>6.3.1.5.3.2.3.2</t>
  </si>
  <si>
    <t>Лакокрасочные работы СКБ / окраска потолков / в 2 слоя</t>
  </si>
  <si>
    <t>тип П-9</t>
  </si>
  <si>
    <t>55dcd11a-c570-4894-be4e-3c3874402761</t>
  </si>
  <si>
    <t>3997b616-bcf5-4c13-ae76-75afa96c846f</t>
  </si>
  <si>
    <t>1.1.3.1.1.3.2.1.1</t>
  </si>
  <si>
    <t>Краска влагостойкая  / Termocor RAL 9005 / КМО</t>
  </si>
  <si>
    <t xml:space="preserve"> Огнестойкая краска КМ-0, ANTEGA СТРОИТЕЛЬ Краска НГ
Износостойкость: 1 класс истирания
цвет: RAL 9005</t>
  </si>
  <si>
    <t>339118881.1728671</t>
  </si>
  <si>
    <t>25888031.1728671</t>
  </si>
  <si>
    <t>49a9d82b-55eb-4b6d-a4e6-387125c39f87</t>
  </si>
  <si>
    <t>1.1.3.1.1.3.2.1.2</t>
  </si>
  <si>
    <t>339118881.54634</t>
  </si>
  <si>
    <t>25888031.54634</t>
  </si>
  <si>
    <t>1.1.3.1.1.3.2.2</t>
  </si>
  <si>
    <t>тип П-13, П-16</t>
  </si>
  <si>
    <t>1.1.3.1.1.3.2.2.1</t>
  </si>
  <si>
    <t>339118938.54634</t>
  </si>
  <si>
    <t>25888019.54634</t>
  </si>
  <si>
    <t>1.1.3.1.1.3.2.2.2</t>
  </si>
  <si>
    <t>Краска влагостойкая  / Termocor RAL 9003 / КМО</t>
  </si>
  <si>
    <t>Матовая огнестойкая краска для высококачественной отделки стен и потолков, ANTEGA СТРОИТЕЛЬ
Износостойкость: 1 класс истирания
цвет: RAL 9003 (белый)
класс ПБ: КМ0/НГ</t>
  </si>
  <si>
    <t>339118938.1728670</t>
  </si>
  <si>
    <t>25888019.1728670</t>
  </si>
  <si>
    <t>98519cf7-1ba2-4ec5-a0a5-1f8f74f1c7ac</t>
  </si>
  <si>
    <t>1.1.3.1.1.3.2.3</t>
  </si>
  <si>
    <t>тип П-6</t>
  </si>
  <si>
    <t>1.1.3.1.1.3.2.3.1</t>
  </si>
  <si>
    <t>Краска влагостойкая  / Termocor RAL 7038 / КМО</t>
  </si>
  <si>
    <t>Окрашивание открытых коммуникаци и по подготовленной бетонной поверхности, матовая огнестойкая краска, ANTEGA СТРОИТЕЛЬ Краска НГ
Износостойкость: 1 класс истирания
цвет: RAL 7016 (или аналог)
класс ПБ: КМ0/НГ</t>
  </si>
  <si>
    <t>339118939.1716115</t>
  </si>
  <si>
    <t>25888024.1716115</t>
  </si>
  <si>
    <t>5983f548-c8e1-4be3-8adb-85bf4fdb8ac7</t>
  </si>
  <si>
    <t>1.1.3.1.1.3.2.3.2</t>
  </si>
  <si>
    <t>339118939.54634</t>
  </si>
  <si>
    <t>25888024.54634</t>
  </si>
  <si>
    <t>1.1.3.1.1.3.2.4</t>
  </si>
  <si>
    <t>тип П-14</t>
  </si>
  <si>
    <t>1.1.3.1.1.3.2.4.1</t>
  </si>
  <si>
    <t>339118940.54634</t>
  </si>
  <si>
    <t>25888020.54634</t>
  </si>
  <si>
    <t>1.1.3.1.1.3.2.4.2</t>
  </si>
  <si>
    <t>Окрашивание по подготовленной бетонной поверхности: матовая водно-дисперсионная краска, для высококачественной отделки стен и потолков, моющаяся. ANTEGA СТРОИТЕЛЬ
Износостойкость: 2 класс истирания
цвет: RAL 7044 (серый шелк)
класс ПБ: КМ1/Г1, В1, Д2, Т2</t>
  </si>
  <si>
    <t>339118940.1716115</t>
  </si>
  <si>
    <t>25888020.1716115</t>
  </si>
  <si>
    <t>1.1.3.1.1.3.2.5</t>
  </si>
  <si>
    <t>П-7, П-10</t>
  </si>
  <si>
    <t>1.1.3.1.1.3.2.5.1</t>
  </si>
  <si>
    <t>матовая огнестойкая краска, ANTEGA СТРОИТЕЛЬ
Износостойкость: 1 класс истирания
цвет: RAL 9003 (белый)
класс ПБ: КМ0/НГ</t>
  </si>
  <si>
    <t>339118941.1728670</t>
  </si>
  <si>
    <t>25887985.1728670</t>
  </si>
  <si>
    <t>1.1.3.1.1.3.2.5.2</t>
  </si>
  <si>
    <t>339118941.54634</t>
  </si>
  <si>
    <t>25887985.54634</t>
  </si>
  <si>
    <t>1.1.3.1.1.3.2.6</t>
  </si>
  <si>
    <t>1.1.3.1.1.3.2.6.1</t>
  </si>
  <si>
    <t>339118942.54634</t>
  </si>
  <si>
    <t>25887997.54634</t>
  </si>
  <si>
    <t>1.1.3.1.1.3.2.6.2</t>
  </si>
  <si>
    <t>ANTEGA СТРОИТЕЛЬ.
Износостойкость: 1 класс истирания.
Цвет: RAL 9003 (белый) класс ПБ: КМ0/НГ</t>
  </si>
  <si>
    <t>339118942.1728670</t>
  </si>
  <si>
    <t>25887997.1728670</t>
  </si>
  <si>
    <t>1.1.3.1.1.3.2.7</t>
  </si>
  <si>
    <t>НЗ № 8 от 17.11.2025 Отделка лестниц: ЛК9. Потолок Тип: П-6.4</t>
  </si>
  <si>
    <t>1.1.3.1.1.3.2.7.1</t>
  </si>
  <si>
    <t>Краска матовая, моющаяся, влагостойкая водно-дисперсионная, силикатная: Производитель BRAVO PROFI W-200, Краска НГ. Класс: КМ0/НГ, Износостойкость: 2 класс истирания, Цвет: NSC S 1075-G90R</t>
  </si>
  <si>
    <t>339118943.758318</t>
  </si>
  <si>
    <t>28951763.758318</t>
  </si>
  <si>
    <t>1.1.3.1.1.3.2.7.2</t>
  </si>
  <si>
    <t>339118943.54634</t>
  </si>
  <si>
    <t>28951763.54634</t>
  </si>
  <si>
    <t>1.1.3.1.1.3.2.8</t>
  </si>
  <si>
    <t>НЗ № 8 от 17.11.2025 Отделка лестниц: ЛК11. Потолок Тип: П-6.11</t>
  </si>
  <si>
    <t>1.1.3.1.1.3.2.8.1</t>
  </si>
  <si>
    <t>339118944.54634</t>
  </si>
  <si>
    <t>28983435.54634</t>
  </si>
  <si>
    <t>1.1.3.1.1.3.2.8.2</t>
  </si>
  <si>
    <t>Краска матовая, моющаяся, влагостойкая водно-дисперсионная, силикатная: Производитель BRAVO PROFI W-200, Краска НГ. Класс: КМ0/НГ, Износостойкость: 2 класс истирания, Цвет: NSC S 0570-Y20R</t>
  </si>
  <si>
    <t>339118944.758318</t>
  </si>
  <si>
    <t>28983435.758318</t>
  </si>
  <si>
    <t>1.1.3.1.1.3.2.9</t>
  </si>
  <si>
    <t>НЗ № 8 от 17.11.2025 Отделка лестниц: ЛК10. Потолок Тип: П-6.12</t>
  </si>
  <si>
    <t>1.1.3.1.1.3.2.9.1</t>
  </si>
  <si>
    <t>339118945.758318</t>
  </si>
  <si>
    <t>28983428.758318</t>
  </si>
  <si>
    <t>1.1.3.1.1.3.2.9.2</t>
  </si>
  <si>
    <t>339118945.54634</t>
  </si>
  <si>
    <t>28983428.54634</t>
  </si>
  <si>
    <t>1.1.3.1.1.4</t>
  </si>
  <si>
    <t>6.3.1.5.4</t>
  </si>
  <si>
    <t>Монтаж потолочных конструкций</t>
  </si>
  <si>
    <t>1.1.3.1.1.4.1</t>
  </si>
  <si>
    <t>6.3.1.5.4.1.2</t>
  </si>
  <si>
    <t>Монтаж подвесного потолка / типа Армстронг, Грильято</t>
  </si>
  <si>
    <t>2666ca34-b663-41c7-b8b7-caa2f71855b8</t>
  </si>
  <si>
    <t>fd6369e7-760a-4bf3-8c56-a6af236cf5cf</t>
  </si>
  <si>
    <t>1.1.3.1.1.4.1.1</t>
  </si>
  <si>
    <t>Подвесной потолок ГРИЛЬЯТО_ / белый / 100х100х40мм</t>
  </si>
  <si>
    <t>Грильято, цвет: матовый белый, Производитель Албес, Размер решетки:
600х600х40 b10, Размер ячейки 100х100х40</t>
  </si>
  <si>
    <t>339118884.1196508</t>
  </si>
  <si>
    <t>25888033.1196508</t>
  </si>
  <si>
    <t>7c413101-029a-4584-ace7-69ad01fdbaa7</t>
  </si>
  <si>
    <t>1.1.3.1.1.4.2</t>
  </si>
  <si>
    <t>6.3.1.5.4.1.3</t>
  </si>
  <si>
    <t>Монтаж подвесного потолка / из ГКЛ в 1 слой с применением профиля ПП</t>
  </si>
  <si>
    <t>cbcd1c2c-ee79-4648-854d-2a582e134737</t>
  </si>
  <si>
    <t>0db681c2-d2d6-4186-b6bc-5ab4ce20f1e7</t>
  </si>
  <si>
    <t>1.1.3.1.1.4.2.1</t>
  </si>
  <si>
    <t>Шуруп со сверлом_/3,5*11</t>
  </si>
  <si>
    <t>339118885.54821</t>
  </si>
  <si>
    <t>25888026.54821</t>
  </si>
  <si>
    <t>438f03b8-0245-4746-af3b-94d943760b3b</t>
  </si>
  <si>
    <t>1.1.3.1.1.4.2.2</t>
  </si>
  <si>
    <t>Шуруп_/3,5*25</t>
  </si>
  <si>
    <t>339118885.54822</t>
  </si>
  <si>
    <t>25888026.54822</t>
  </si>
  <si>
    <t>9afa7adc-2604-4bf8-8123-329424645872</t>
  </si>
  <si>
    <t>1.1.3.1.1.4.2.3</t>
  </si>
  <si>
    <t>Шпаклевка д/заделки швов, ШОВСИЛК_/Т33</t>
  </si>
  <si>
    <t>339118885.54624</t>
  </si>
  <si>
    <t>25888026.54624</t>
  </si>
  <si>
    <t>7b96503e-5889-4b88-b7f6-580caaa662ae</t>
  </si>
  <si>
    <t>1.1.3.1.1.4.2.4</t>
  </si>
  <si>
    <t>Удлинитель профилей_/потолочный/60*27</t>
  </si>
  <si>
    <t>339118885.54575</t>
  </si>
  <si>
    <t>25888026.54575</t>
  </si>
  <si>
    <t>46cc4ab9-5306-44b0-b02d-73ca24dc456b</t>
  </si>
  <si>
    <t>1.1.3.1.1.4.2.5</t>
  </si>
  <si>
    <t>Соединитель профилей одноуровневый_/потолочный/60*27</t>
  </si>
  <si>
    <t>339118885.54576</t>
  </si>
  <si>
    <t>25888026.54576</t>
  </si>
  <si>
    <t>d396c343-40ec-430e-b651-cf8e8a10f274</t>
  </si>
  <si>
    <t>1.1.3.1.1.4.2.6</t>
  </si>
  <si>
    <t>Профиль_/направляющий/28*27*0,40/3м</t>
  </si>
  <si>
    <t>339118885.54569</t>
  </si>
  <si>
    <t>25888026.54569</t>
  </si>
  <si>
    <t>34b4edce-5006-4616-be2f-9d47724dc09a</t>
  </si>
  <si>
    <t>1.1.3.1.1.4.2.7</t>
  </si>
  <si>
    <t>Профиль_/потолочный/60*27*0,40/3м</t>
  </si>
  <si>
    <t>339118885.54568</t>
  </si>
  <si>
    <t>25888026.54568</t>
  </si>
  <si>
    <t>de448100-a03f-42fb-b903-fa1d0845e34a</t>
  </si>
  <si>
    <t>1.1.3.1.1.4.2.8</t>
  </si>
  <si>
    <t>Подвес профиля прямой_/потолочный/60*27</t>
  </si>
  <si>
    <t>339118885.54573</t>
  </si>
  <si>
    <t>25888026.54573</t>
  </si>
  <si>
    <t>0eb7bcf2-ac18-4bde-8e36-3ccb4cd58803</t>
  </si>
  <si>
    <t>1.1.3.1.1.4.2.9</t>
  </si>
  <si>
    <t>Лента Дихтунгсбанд_/50мм</t>
  </si>
  <si>
    <t>339118885.55042</t>
  </si>
  <si>
    <t>25888026.55042</t>
  </si>
  <si>
    <t>db776908-a7ed-4efe-a1e0-14c0d3badf1f</t>
  </si>
  <si>
    <t>1.1.3.1.1.4.2.10</t>
  </si>
  <si>
    <t>Лента армирующая ( серпянка)_/50мм</t>
  </si>
  <si>
    <t>339118885.55038</t>
  </si>
  <si>
    <t>25888026.55038</t>
  </si>
  <si>
    <t>ef366d6b-1118-416c-acc5-430ee111e823</t>
  </si>
  <si>
    <t>1.1.3.1.1.4.2.11</t>
  </si>
  <si>
    <t>Дюбель гвоздь_/гриб/6*40</t>
  </si>
  <si>
    <t>339118885.54833</t>
  </si>
  <si>
    <t>25888026.54833</t>
  </si>
  <si>
    <t>5eb21757-8d43-4dfd-aef9-b7a78beee91d</t>
  </si>
  <si>
    <t>1.1.3.1.1.4.2.12</t>
  </si>
  <si>
    <t>339118885.54634</t>
  </si>
  <si>
    <t>25888026.54634</t>
  </si>
  <si>
    <t>1.1.3.1.1.4.2.13</t>
  </si>
  <si>
    <t>Гипсовые строительные плиты_ / влагостойкий и огнестойкий / 12,5*1200*2500</t>
  </si>
  <si>
    <t>339118885.54552</t>
  </si>
  <si>
    <t>25888026.54552</t>
  </si>
  <si>
    <t>e60da313-524c-4404-b609-430511117b99</t>
  </si>
  <si>
    <t>1.1.3.1.1.4.2.14</t>
  </si>
  <si>
    <t>Анкер-клин_/6*40</t>
  </si>
  <si>
    <t>339118885.54828</t>
  </si>
  <si>
    <t>25888026.54828</t>
  </si>
  <si>
    <t>d1d11d59-b5f9-4bc0-894f-4c016002bf47</t>
  </si>
  <si>
    <t>1.1.3.1.1.4.3</t>
  </si>
  <si>
    <t>Тип П-12, П-15
по профилю ПС-200</t>
  </si>
  <si>
    <t>1.1.3.1.1.4.3.1</t>
  </si>
  <si>
    <t>339118946.54828</t>
  </si>
  <si>
    <t>25888000.54828</t>
  </si>
  <si>
    <t>1.1.3.1.1.4.3.2</t>
  </si>
  <si>
    <t>339118946.54634</t>
  </si>
  <si>
    <t>25888000.54634</t>
  </si>
  <si>
    <t>1.1.3.1.1.4.3.3</t>
  </si>
  <si>
    <t>339118946.54833</t>
  </si>
  <si>
    <t>25888000.54833</t>
  </si>
  <si>
    <t>1.1.3.1.1.4.3.4</t>
  </si>
  <si>
    <t>339118946.55038</t>
  </si>
  <si>
    <t>25888000.55038</t>
  </si>
  <si>
    <t>1.1.3.1.1.4.3.5</t>
  </si>
  <si>
    <t>339118946.55042</t>
  </si>
  <si>
    <t>25888000.55042</t>
  </si>
  <si>
    <t>1.1.3.1.1.4.3.6</t>
  </si>
  <si>
    <t>Плита Кнауф Файерборд_ / 2500х1200х12.5 м</t>
  </si>
  <si>
    <t>339118946.1523192</t>
  </si>
  <si>
    <t>25888000.1523192</t>
  </si>
  <si>
    <t>1a9d2c61-823f-4235-b198-e9701dbd754e</t>
  </si>
  <si>
    <t>1.1.3.1.1.4.3.7</t>
  </si>
  <si>
    <t>339118946.54573</t>
  </si>
  <si>
    <t>25888000.54573</t>
  </si>
  <si>
    <t>1.1.3.1.1.4.3.8</t>
  </si>
  <si>
    <t>Профиль_/направляющий/75*40*0,40/3м</t>
  </si>
  <si>
    <t>339118946.54562</t>
  </si>
  <si>
    <t>25888000.54562</t>
  </si>
  <si>
    <t>28da536c-0761-410a-b85e-88f0d80aee19</t>
  </si>
  <si>
    <t>1.1.3.1.1.4.3.9</t>
  </si>
  <si>
    <t>профил ПС-200</t>
  </si>
  <si>
    <t>339118946.54568</t>
  </si>
  <si>
    <t>25888000.54568</t>
  </si>
  <si>
    <t>1.1.3.1.1.4.3.10</t>
  </si>
  <si>
    <t>339118946.54576</t>
  </si>
  <si>
    <t>25888000.54576</t>
  </si>
  <si>
    <t>1.1.3.1.1.4.3.11</t>
  </si>
  <si>
    <t>339118946.54575</t>
  </si>
  <si>
    <t>25888000.54575</t>
  </si>
  <si>
    <t>1.1.3.1.1.4.3.12</t>
  </si>
  <si>
    <t>339118946.54624</t>
  </si>
  <si>
    <t>25888000.54624</t>
  </si>
  <si>
    <t>1.1.3.1.1.4.3.13</t>
  </si>
  <si>
    <t>339118946.54822</t>
  </si>
  <si>
    <t>25888000.54822</t>
  </si>
  <si>
    <t>1.1.3.1.1.4.3.14</t>
  </si>
  <si>
    <t>339118946.54821</t>
  </si>
  <si>
    <t>25888000.54821</t>
  </si>
  <si>
    <t>1.1.3.1.1.4.4</t>
  </si>
  <si>
    <t>6.3.1.5.4.1.6</t>
  </si>
  <si>
    <t>Монтаж подвесного потолка / из акустических древесных плит</t>
  </si>
  <si>
    <t>Тип А-3, А-4, А-11, А-12, А-14</t>
  </si>
  <si>
    <t>02ccbed5-7053-493a-986b-1937e518bff9</t>
  </si>
  <si>
    <t>302f0025-952c-42f6-81ea-971ddd08be3f</t>
  </si>
  <si>
    <t>1.1.3.1.1.4.4.1</t>
  </si>
  <si>
    <t>Плита древесноволокнистая ДВП s=25мм SoundBoard SuperFine</t>
  </si>
  <si>
    <t xml:space="preserve">Шумопоглощающий баффель АКУФОН ПРОЛАЙН СОЛО
Цвет: NSC S 3040-G30Y
Кодировка: ПТБ-1 D800 - 3 шт. 
Наполнение на 100м2 рекреации:
Кодировка: ПТБ-2 D1200 - 7 шт.
=438,35кв.м
Шумопоглощающий баффель АКУФОН ПРОЛАЙН СОЛО
Цвет: NSC S 3040-G30Y Наполнение на 100м2 рекреации:
Кодировка: ПТБ-1 D800 - 3 шт. Кодировка: ПТБ-2 D1200 - 7 шт.
=134,78кв.м
Шумопоглощающий баффель АКУФОН ПРОЛАЙН СОЛО
Цвет: NSC S 2060-G40Y Наполнение на 100м2 рекреации:
Кодировка: ПТБ-1 D800 - 3 шт. Кодировка: ПТБ-2 D1200 - 7 шт.
=392,32кв.м
Шумопоглощающий баффель АКУФОН ПРОЛАЙН СОЛО
Цвет: NSC S 2060-G40Y
Кодировка: ПТБ-1 D800 - 3 шт. 
Наполнение на 100м2 рекреации:
Кодировка: ПТБ-2 D1200 - 7 шт.
=123,18кв.м
Аккустические подвесные панели из минерального стекловолокна АКУФОН ПРОЛАЙН СОЛО размер 1200х300мм, 1200х600мм., 1200х1200мм, Цвет: 9003(белый)
Наполнение по акустическому расчету
=304,41кв.м
Шумопоглощающий баффель АКУФОН ПРОЛАЙН СОЛО
Цвет: NSC S 0570-Y 
Наполнение на 100м2 рекреации:
Кодировка: ПТБ-1 D800 - 3 шт. 
Кодировка: ПТБ-2 D1200 - 7 шт.
=55,89кв.м
Шумопоглощающий баффель АКУФОН ПРОЛАЙН СОЛО
Цвет: NSC S 0570-Y Наполнение на 100м2 рекреации:
Кодировка: ПТБ-1 D800 - 3 шт. Кодировка: ПТБ-2 D1200 - 7 шт.
=111,78кв.м
Шумопоглощающий баффель АКУФОН ПРОЛАЙН СОЛО
Цвет: NSC S 1075-G90R 
Наполнение на 100м2 рекреации:
Кодировка: ПТБ-1 D800 - 3 шт. 
Кодировка: ПТБ-2 D1200 - 7 шт.
=148,26кв.м
Шумопоглощающий баффель АКУФОН ПРОЛАЙН СОЛО
Цвет: NSC S 1075-G90R Наполнение на 100м2 рекреации:
Кодировка: ПТБ-1 D800 - 3 шт. Кодировка: ПТБ-2 D1200 - 7 шт.
=313,90кв.м
</t>
  </si>
  <si>
    <t>339118886.1747145</t>
  </si>
  <si>
    <t>25887994.1747145</t>
  </si>
  <si>
    <t>f39a5928-311f-11ee-9904-d1661ac0bb93</t>
  </si>
  <si>
    <t>1.1.3.1.1.4.5</t>
  </si>
  <si>
    <t>тип П-8</t>
  </si>
  <si>
    <t>1.1.3.1.1.4.5.1</t>
  </si>
  <si>
    <t>Подвесной акустический потолок из минерального стекловолокна
Производитель: Акустик Групп. Артикул: Ecophon Focus
Кромка: А-15. Размер плиты: 1200x600 мм
Подвесная система "Chicago MetallicTM T15 Click 2790": основной профиль T15
Click L=3600 мм; поперечный профиль T15 Click L=1200 мм; угол пристеночный 19x24 мм L=3050 мм.
Матовая высококачественная окраска, цвет: RAL 9003 (белый)
Класс ПБ: КМ1 / Г1, В1, Д2, Т2</t>
  </si>
  <si>
    <t>339118947.1747145</t>
  </si>
  <si>
    <t>25888029.1747145</t>
  </si>
  <si>
    <t>1.1.3.1.1.4.6</t>
  </si>
  <si>
    <t>6.3.1.5.4.1.8</t>
  </si>
  <si>
    <t>Монтаж подвесного потолка / из металлических кассет</t>
  </si>
  <si>
    <t>тип П-5</t>
  </si>
  <si>
    <t>61d4b810-7a34-4dd8-839e-a1b27bb4322b</t>
  </si>
  <si>
    <t>5c2a0c08-d602-4fb7-9bfe-6fb91f5c30dc</t>
  </si>
  <si>
    <t>1.1.3.1.1.4.6.1</t>
  </si>
  <si>
    <t>Кассетный потолок / характеристики указать в примечаниях</t>
  </si>
  <si>
    <t>Кассетный потолок металический, Производитель: Albes Артикул:
«TEGULAR» Размер плиты: 600x600 мм, кассета AP600A6/90 􏿿-Т-15,
Несущий профиль T 15-38 PRIM; L=3700 поперечный профиль T 15-29 PRIM; L=600 уголок PLL; L=3,0 м подвес АП (L=1,0 м)
цвет: RAL 9003/белый, класс ПБ: КМ0/НГ</t>
  </si>
  <si>
    <t>339118887.1521636</t>
  </si>
  <si>
    <t>25888022.1521636</t>
  </si>
  <si>
    <t>d5e74699-6fd6-448f-bcf9-21ecddd5f8bf</t>
  </si>
  <si>
    <t>1.1.3.1.1.4.7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</si>
  <si>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</si>
  <si>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</si>
  <si>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</si>
  <si>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</si>
  <si>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1.1.3.1.1.4.8</t>
  </si>
  <si>
    <t>1.1.3.1.1.4.9</t>
  </si>
  <si>
    <t>1.1.3.1.1.4.10</t>
  </si>
  <si>
    <t>1.1.3.1.1.4.11</t>
  </si>
  <si>
    <t>1.1.3.1.1.4.12</t>
  </si>
  <si>
    <t>1.1.3.1.1.4.13</t>
  </si>
  <si>
    <t>По объемам АРОР АЙСИБИ/МФ-СТРОЙ</t>
  </si>
  <si>
    <t>1.1.3.1.1.4.14</t>
  </si>
  <si>
    <t>6.3.1.5.4.4.2</t>
  </si>
  <si>
    <t>Монтаж подвесного потолка СКБ / из ГКЛ в 1 слой с применением профиля ПП</t>
  </si>
  <si>
    <t>АРОР АЙСИБИ/МФ-СТРОЙ. 2 этаж, блок 5, тамбуры-шлюзы. Тип потолков: П-15.</t>
  </si>
  <si>
    <t>2958f052-386d-4488-b826-0762b112545c</t>
  </si>
  <si>
    <t>3f978f2b-872c-42ab-be18-f6c72259b319</t>
  </si>
  <si>
    <t>1.1.3.1.1.4.14.1</t>
  </si>
  <si>
    <t>Соединитель профилей двухуровневый_/потолочный/60*27</t>
  </si>
  <si>
    <t>339118891.54577</t>
  </si>
  <si>
    <t>28951762.54577</t>
  </si>
  <si>
    <t>12c5fa58-4f5a-473a-a165-94792bddadd9</t>
  </si>
  <si>
    <t>1.1.3.1.1.4.14.2</t>
  </si>
  <si>
    <t>339118891.54821</t>
  </si>
  <si>
    <t>28951762.54821</t>
  </si>
  <si>
    <t>1.1.3.1.1.4.14.3</t>
  </si>
  <si>
    <t>339118891.54562</t>
  </si>
  <si>
    <t>28951762.54562</t>
  </si>
  <si>
    <t>1.1.3.1.1.4.14.4</t>
  </si>
  <si>
    <t>339118891.54568</t>
  </si>
  <si>
    <t>28951762.54568</t>
  </si>
  <si>
    <t>1.1.3.1.1.4.14.5</t>
  </si>
  <si>
    <t>339118891.54573</t>
  </si>
  <si>
    <t>28951762.54573</t>
  </si>
  <si>
    <t>1.1.3.1.1.4.14.6</t>
  </si>
  <si>
    <t>339118891.54822</t>
  </si>
  <si>
    <t>28951762.54822</t>
  </si>
  <si>
    <t>1.1.3.1.1.4.14.7</t>
  </si>
  <si>
    <t>339118891.1523192</t>
  </si>
  <si>
    <t>28951762.1523192</t>
  </si>
  <si>
    <t>1.1.3.1.1.4.14.8</t>
  </si>
  <si>
    <t>339118891.55042</t>
  </si>
  <si>
    <t>28951762.55042</t>
  </si>
  <si>
    <t>1.1.3.1.1.4.14.9</t>
  </si>
  <si>
    <t>339118891.54624</t>
  </si>
  <si>
    <t>28951762.54624</t>
  </si>
  <si>
    <t>1.1.3.1.1.4.14.10</t>
  </si>
  <si>
    <t>339118891.55038</t>
  </si>
  <si>
    <t>28951762.55038</t>
  </si>
  <si>
    <t>1.1.3.1.1.4.14.11</t>
  </si>
  <si>
    <t>339118891.1139608</t>
  </si>
  <si>
    <t>28951762.1139608</t>
  </si>
  <si>
    <t>1.1.3.1.1.4.14.12</t>
  </si>
  <si>
    <t>339118891.54828</t>
  </si>
  <si>
    <t>28951762.54828</t>
  </si>
  <si>
    <t>1.1.3.1.1.4.15</t>
  </si>
  <si>
    <t>6.3.1.5.4.4.4</t>
  </si>
  <si>
    <t>Монтаж подвесного потолка СКБ / типа Армстронг, Грильято</t>
  </si>
  <si>
    <t>АРОР АЙСИБИ/МФ-СТРОЙ. 2 этаж, блок 5. Тип потолков: П-5.</t>
  </si>
  <si>
    <t>86b87f1a-32b5-4855-8388-b5bf81a42325</t>
  </si>
  <si>
    <t>42e8bac0-98f1-4b1f-8603-9612c710de3f</t>
  </si>
  <si>
    <t>1.1.3.1.1.4.15.1</t>
  </si>
  <si>
    <t>Кассетный металический потолок</t>
  </si>
  <si>
    <t>Кассетный потолок металический, Производитель: Albes Артикул: «TEGULAR» Размер плиты: 600x600 мм, кассета AP600A6/90*-Т-15, Несущий профиль T 15-38 PRIM; L=3700 поперечный профиль T15-29 PRIM; L=600 уголок PLL; L=3,0 м подвес АП (L=1,0 м), RAL 9003/белый, класс ПБ: Г1</t>
  </si>
  <si>
    <t>339118892.847703</t>
  </si>
  <si>
    <t>28951764.847703</t>
  </si>
  <si>
    <t>58e7c86f-477b-47b9-985f-0a528b32f78c</t>
  </si>
  <si>
    <t>1.1.3.1.1.5</t>
  </si>
  <si>
    <t>6.3.1.5.99</t>
  </si>
  <si>
    <t>Прочие работы</t>
  </si>
  <si>
    <t>1.1.3.1.1.5.1</t>
  </si>
  <si>
    <t>6.3.1.5.99.1.2</t>
  </si>
  <si>
    <t>Клининг СКБ / Школа, ДОО</t>
  </si>
  <si>
    <t>перед ЗОС</t>
  </si>
  <si>
    <t>90274ed7-a7cc-4668-bade-a91fc3084cb7</t>
  </si>
  <si>
    <t>79ded6e1-cde1-41f5-837f-2a793db25461</t>
  </si>
  <si>
    <t>1.1.3.1.1.5.2</t>
  </si>
  <si>
    <t>1.1.3.1.1.5.3</t>
  </si>
  <si>
    <t>1.1.3.1.1.5.4</t>
  </si>
  <si>
    <t>6.3.1.5.99.2.2</t>
  </si>
  <si>
    <t>Содержание корпуса в период проведения отделки / 2 секции</t>
  </si>
  <si>
    <t>Кол-во месяцев согласно графика производства отделочных работ.</t>
  </si>
  <si>
    <t>Блок 1, Блок 4,1</t>
  </si>
  <si>
    <t>dafdbed0-d8c9-4e31-9d18-28c002826b48</t>
  </si>
  <si>
    <t>41184805-ba59-4e97-b2d9-b62b4c18a3d9</t>
  </si>
  <si>
    <t>1.1.3.1.1.5.5</t>
  </si>
  <si>
    <t>6.3.1.5.99.5.1</t>
  </si>
  <si>
    <t>Работы по затарке материалов от места складирования до рабочих мест в техподполье</t>
  </si>
  <si>
    <t>т</t>
  </si>
  <si>
    <t>917acf06-0df0-402a-a514-a9587ee8d03a</t>
  </si>
  <si>
    <t>89f9a3c6-4290-4aa2-af3e-4b00c3522ac0</t>
  </si>
  <si>
    <t>Общая стоимость работ, руб.с НДС 22%</t>
  </si>
  <si>
    <t>eF7s/XtzHceRJox/lY6J2AjZQPfbl6q+4I35g4QgLGDiQvTBbqyHE45zgINdxdiSX0nea0yE7rZXHkvyVaYulGTvzP7xvhsURVoUrxG/T9DnK8wn+VXVuQA8qOrOzHOyAE+MZwSCIAg+T1Z35pOVmVX/469e+28/Hv7V2l/9qP/jv1r9q//c/+FPhj3zlZd+8sMfrv7V8L8eDX84/sJfvTr9BvX5/7jxV0cv/+hHL79046/W/kb9Rv8U9enpV1dvnP6wG5OfduP0x5nvffX028zvmz82D5rbzTfN7dGbo18EzWPzmzvq4+PmfnMvaJ6MXm++nvxWf9e76tf7wXP6G4Pmq+ah+aMHzu/8jvn3jl5++ZXjF1/qvzb+R68k5qvDV1978Ufqawcv/5et4zOAX3rtxdf+2+ZPXpx+7e9Xn2X70smL/5HG9n/cuHH6z6p/U/1uTSZlGct89ewf/bvhK6+++PJLk+8oUlmkRfb3NirPL0JFPQA0HjYkLyyC5NUX/yPxAbJB2VgEykJP85fNb5v/1XzafNTcbD4L9YfmE/V/v20+b/5JffzCfOW3QXNLfeG3zW+aj9Vvf6c+03/jt+qp/lJ9wy37M5uuHaYXRevrKFAsnozeUG+aejdXg9FbzUP1tY9HvzTv4P3msfmz26P3VwP1HerPilR99sC8lE+jIBPqd/9b/16/seY1D9I0joPmUXNv9MboTSvlbO0wuyjKX4zeVGDvK3xPNL7RLwzpia9S+B9rsopr0DxVFO81dxWxJ82f1Wfa/9w3ZnjQPBz9cvRT9f33Rm/q71VGutd8Zf6e/lTb4Z76W1+N3lEf7+p/bfSe/vLYHb5uPr43tpb6G+81T439Hk/+EfWN0y88UZ7vibG3AvxUfele80D9C7cD/UPUEj1RP+iNQD1mv2m+UIb/N1Zzi7VDcVHmvjUx4j1lsl9MjKvt/uwajI39xDj4O9pk5lvuPMNTvUW31Ium3jDre7Qt1/bkRbH8pPlTqLB9qd7+z5o/BOqD+j8byn25dnBRKKsiTtIkLfPChqyWa4cXhUw9v0+Mw3hdPQgqNP5f6qPtQZZrV4qLgnhTP5baVXwz9nQfqfX+3Ibyqly7emEoP1Vvi36v7hnfcUZunfE8NtDrcm39wkDfNKtvQKu3/rZCeb/51vjAFjM/L9eev4SIlet6ffS++vhT9SUVVWzQN+TaxoVB/21zVwV47WgfRTZwL8i1Fy4MnLLr6B9Gb0fmQX1jEj2tNtyUa5sXCbN5GOpIFTQf2h39v5Vr//bC8H2mlMfP1cN5b6wcxlBtKLfk2taFofxH46W06HxdudWvok4hs52vfS+/KLSfaNepQ5R6d24rMfOejlM3brykZZ5Ww4rC3bMu10rgwmz9hcL/+arOTz61u9PvXRg09GNwLV+7dmFobekDEPdOvrb7F/347lyc1bse390Lgzb2tfa0ZlUZGPp07OVrexdGAv0O7udr1/+in+X9C7N157N8/cKgoR+Dg3zt4MLQLuCK63yt9xf9+NYXZ/Wux7d3YdCW5YoP87XDRUi89vJr/R+e43Djr17q/2g4/rF0Hmc2xOCP+/Mijxn4/PjVH7/S03+2o37kKy/2f7jx//zkxR//SP00C8uTOZZ/XR/uPLdTWvfydpjx1j96Zf+lV6Agd+0gd5lB7r/y4pHtcTmHUVtrZYZmXlbwoHxtoWWv7RatGbHilrxnB9hjBAhebm2llZ5juQ95EP6nF4+Phy8t9q7/B7tN/wM7YtzSf98O8/vsMMEPgLbYyvcdD8CVK4sBXSgA3zSi5WFzf/T2ePfT1OqfnFbV7o83pMymafNAfZx+XX3pbVNTfDT+S6P3reREnqypR/zCysAf2FBdFfmFFXA/ndj7p+Nd/ttj1Th6Q33p9VMNabfm+gXivtvcDp77N98JTLHnsS6j2hA+f3EIbXD+rYKjH7+LwtR86Hj8sosC9GutQ81z9vjZUu5985u3mqfqM/PFB2eE66TArYtpd0xxWBdTHo6L36NfOh7VC+OoH9XOx/Si0Dke00w/pheFqfmV4zEVFwXI+Ziah88kWdpzTh7VryatZ09MM8eD0VujXwa6Ac08wDp0qYc0eG78mI8b26Ye+P5ZD3zbqiPWL9AM6kl+bsoO4HovCqfjmdZdLBeGqfm145mWFwXoCxPgHwTa1T7bP6QF1fTh1k0Vb+o2mjfNn901207Wgur6BXIxvWKR4zG8KFSOx1Dqx/CiMDW/cTyGF7aZ+euzfrH5Vv36XvOt3rcaP50y0IHd0XNygbBBQf2i0DmevFw/eReFacPx4C2yT7oInuaj8yljoPsxnpp21num/+HxOCbrRsz/aTontStUIVA9oypkT9c/mH7hO6a588m4F1E9wu9NZKp2pd/oztjRL0y3j1YLj879S84k68JM5OKpaw26rabr+b8o4I7nv9DP/0Vhan7neAHKiwL0K/Vw31XP6NmCgGkRHqf8ujRwb9p3/MDSZqxErHrG31J/9UzbmvHfj8xLMzo3daG+Qf2R4ym/MDvc0XY4Y4XQSHJLE6TjKb8o4I6nvNRP+UVhan7veMqriwJkT91MX+BTI30n80V6E+Fr831PdBfxnWAigPU243i0qPm9/o3675u23sz1C+QK8ckXBc7xtFb6ab0oTM1H9qe1uLAN8Lnt2C/0PID9Kbs4jGbr1Xh+3cF8u3sj4MKg2p+5IlbP3IVham46nrkLq0l8pvTqe6M3z04EKVHwRqBc503dpvGR+sWxW2V2BfQG18/Vl96ZDuGMhbJypeGZySjjZf/N2KuaH9Exirl+gRY5o/f1sx2ckwj6q//GJomsEv75i6PieAN0EezCMDUfO96ACyuLnHkDzj2cU7Gge6uUttVPuXka9PN9drhM/41pSvfQKIfx4EwaZoERFmO3+ez7MMmqzCOku+1lMBsNvKefLv2vnU0+9b+pIZmX7Zs5OaL+0PUmXZhl596keczma8Y4jvfmooA73htdvbswTM0njvcmuyhA/2QE9Ljwdqquz9TpbqtHeRIazFyrGUY1LlWv//m/a0tAxwX+u+q1eN/qcWl71RdntDMDNfrpb5+vef7igDpeAV0ZvDBMzaeOV0BcFKDfjLfzxqHj60nZ+vXT4DEdvB5vITj2Pi4O/l3lefVTqJT8xBd/7XgMLwqi4zHUxbwLw2TPydRjKC8M0Ljzu1WJtOmQJ2f+/nNGeSjvq3y00vbfmQzS3jXPsNne0xvBb43eMdt7D8et6OaUhyd6hlXnDz81nnji1vVroCGlcSL0Q6Z+lZNf8wkkl265MHsaVOFpknsqVLq+qGw7bqpWFr3XfDNprLYSfP7iCOo1CG/ceEmvweTXInS8arpgeWFAm1uOV+2i6ljNF+qh/1a/ZjDXflE41RP5hqnWOPYpn784aI7nTJcnLwyT4ygGUVxYvejXRsQaCTs++sQUxpUbvm+0hkkHR68Ha0Hzp6j5KGo+i86c+jKW06Nfro7F8MNoNRiGP+q/+EPHU3pRLB2Pgq7UXRim5gvHo3BhRRV9XMDZlucnetdA78K92zxZzvpfFDXH+usa1oVhar50rP+FlSn0GUimHmmOjJocyPIgGB8KNsl/T5Pe8aPiWOiL4uBYaF3+wWL6W/OTjof7/df+k/qaQpgPjtLBoB+HQ3EiQ1HGJ2FZFidhX2RxP5MiOT7uj7/zlZf/y/iTavzLjNvwh8PZLMpZcuChu0S9fr+aZH9Pprsaep3uW74enulxnvt2fRKctU37Srm2BX8loEb5e/UXkwxsjCVM7FX2iT0magJPDTfus2vns8vER+L5gOeCNJ09O509Jjrw13DBgUE7rZqHVhrjaOGeuJ6dS4+JS4LjgnraDu1UDhmoaC75jWeDwDy1V4dHr71oiXAqCPzkR4OhbYXOh4HExuiKPcZlWZUkZVHE87TGwVdZH4xQR8Qf/NiExE6QuQ3iVSLE+Ve4xYiwSKr7bOYPuZxFyvtjPau07fiAR+uu+Xq1tkVkcy4WuuksIRYm8epOmqzuZIk9KFJJzEc9AAmcD9pVyHcV8l0H8l0qcolHjvI4ewr4ngK+5wC+RwUOfw0WjGSKQK0I1A4CNZHAuZjVQQD3vPQU6p5C3XOg7lFRw104ITop0IcK9KED9CEFtHlYbviIQ45IlNg7n6aoE6epwSBRociO8ioVJfw1hEajW6Zm8vWsjfRBWziyp91JvLZFJeQ5IDkCERm9h0jkiEBkyBIPGeVW9hyI98iI4Q/9orHHEXOoyLmDjiPYkOHCHTUl2jiiDAntGY/NHmZcgcbeYDjFnTqtDIaJDDRRasN5lYoT/tZBQ81ntpEZS7Axe4XfjnulnuiTvlSAeuCoQCaJij1Ehp5jT+qIPVT0HmKPHfIuGbLEQ0Y5mT0H4j0yYvhbsGjssSOvqci5Y48dbo8MF+69KbHHjvaQhFbDnbx7HmKPK/rY23SnyDOnncFA0dEnEjakV6lI4W8eNP78ynQWjOceH08vnLk7acc1p2+N3lCRZ3zE6J/bRh7Wk1SFHSIxz2EnW91JpPrPcZQkmYWH8JOt7irouw7ou2ToEg8d5W/2FPI9hXzPgXyPjBz+UiwajrLVWjGoHQxqKgPusJSt9hTsngN2jwwb7uAp4SlbPVSoDx2oD0moNezihr8w5QpUWSt24bQ4GCohUEWFDetVKlb4WwkNVX+cZUXfTitBejDr3uSLOnv6uUmYplegjf6heWB66R67NukyFbGI/DxHLOGIVFT0HiKVHfIuGbLEQ0a5nD0H4j0yYvg7sGhksiOvqci5I5Idbo8MF+7DKZHIjvaQhNY8Fzdmgedv2iLRf3n5lb+zUKCEIVcgEq0UcqfBYUhJUcgF9ioV7LyjdpkVGIY+MBnTYzNUM3fJ5puT60xNq58+1fHh6P3TccjpPONCEYtog3l371ywH2m/84MXX4U8XzaEz1MRShRCALrm0+b3wT+//bsgic2EUpCKKFHPWJxKG/ANKvAcBvxHw/6rP3kF9ISZow1tGF+gYixgGIf/9cfDl161YXxpDmMSxbH1LPFNKsQSBvE/v/zDn4DeUxu4f0sFNx/IHeBMcIFYz1qV2KKiS+ajtQOelkUm9EGExjzmOLIv+DYZNTDczVA7RQYU6vfIUIHxbgbVAvKctlCGWznYO9x9/jmFazWw78ZeI0MGRj1UbgI19A4ZtUCiXviZ2CVDlUio4AdDWW9lCutcKkJFC4xSP162e9gnIwbGrB+jXIOK/lXhgHqdDBUYu34MfQL2Z67huts1HJDhYqLZMp+Fmor4XDrahhj+LIhM5sKBtUfGCgxryERUPRE9u084JCH9+7//278/I7v87IZaZc8V7Ulb8BdOS4OhUvLQ0ob1KhUrfCcImobad0PPVvOmOaXuIDFtI+agYv2l6YU6o7ecp+Ukcm2LStbz1mi+upMUju1RKgOBZ4DbA9tVsHcdsHfJsCUeNtwFmS3SfHXPgXqPjBr+coBDkmObNF+tHehrKnrurdJ8teeA3CNDhjt5ZJQy26X56qED8SEJ8ZndIY9bpqlryzRvpVA5jQ5DSgpVkXRtmRLBApNHaKy6OdklvTe+5OZMk2Nz5qJSPTZ917RBnnY8TgLYExPA7utu+9k+qjm/qPnaRLw70yPgnuo/M/36z42PMDLnJ4zesj6O61TzzEcHxt1UIkKJQghA17KbGgXNb55ZNnML7VnVcXt8ZN9bo5+ZpWk+1xuczfgCkNv6TIPfNLfCLFb/C/JCH7GUmA/xmjlYUD0b7+iBjCBdzYTWLl/rPx399P8OkvGRGG/q07t/03w53lvX99i9OcYYr5bjvxDMzsUawznTVBvM/xtFpX7q9F9ovpioqdtBGJT6CMPbph/qjvqjz84+gNODcLUd7pjxkfvqX3jDPOZBGkdJbGw1PlgrLaM41b/PA/Vjk9IcCmrOcXg4Oao8yANziNc93fN75+yf/1KZ+yNlss+aXzefaQvM7LqmftJ38++W39Uc/joVSbwq85mFGnOQqLJSFCTp9G/dax4oAJNv/W6S/nVaBlWarxap5e/ZHtAN6gMK3I9A7Jo/VK/83eZRZn3VX6DiBO5CLGXnnAgRuPuw4M45ERxmrwFgvbRUj2dUOPbPiRgveP+cihqofZa5f06FChQ/yP3zfLZ/nrv3z6mQgRIIlcBCDb1DRg1UJt1JKxTqLhmqREIFPxjKeitTWOdyVCpaYLxi2D+nIgZGLtz+uXO/9DoZJzB8ITbP89nmudMvHJDhYgLaMh+EmoqYZ/M8KWWSKVEbW/dJe2SwwKCG3JdQj0TP7hEOSUj17vnqTMR63ZVw7KHbT06csCjBE/5L3ZVwDvoTwQJDMnRXYnk76LM9iXEOeGeSrE1GaPQpAiZ3U5/9dHKhxOj0FgmTar49PvFz9LNQ/f0HJt/Udw7qE5nfUAmfvi/zUXP2fvbHk6Ra/a0PG33z8O3VQH3zFOlsblR99W0D8rFJ5yZw7xuo0Xdmx0eODxp9tpvtjWevibszu6fitmXzRuetj8aZ9UifXHh7bK5gvKmjLTo9z/LPtmdinfpMAAXPMrZiiAglCiEA3WwrpoL1tRFxAxUPIkN/ZPVdL1ABAgXOUlJzIkSgtlkwNSeCwygZgPXKooqkVQ1sURFecGJORQ0M//jEvChd8vt7ZLBABYBMzYtZal64U3MqZKAOYErNqaiBkQqfmudlJavYsSm2S8YrkXjBT4cy4coU1rn8nIoWGK0Y8nMqYmD4wuXnbg9xnQwUGMQQCXoxS9Cd3uGADBcT1pb5JNRUxDwJeqtX6JGxAmMbNj8vVnp2j3BIQjrtbps8C87EfKndbZkN/5XEfrDtFH/qtDQYKiU5r2xYr1Kxwht4oLn5J6fpYjB6f5wHT+9iHKfeJnfXdxqZa7e+nabgZxJrk0Wbi43eMDn4PRvn9aRc26Ly9tzoVq3upLGj0Y3KYF6VABjgOph2FexdB+xdMmyJhw33RqbRrVrdc6DeI6OGvyfg6GRFXyv0tQN9TUXP3ehWrfYckHtkyHB/jwxYptGtWj10ID4kITbPyI1ZoPK0pZy5Gt2qVgrgQyqWuKVcuWeDiWCBqSQhbK2e2/dcHe/jTmeHbWf8jQPcQ9PF9KS5Y6O6TqU67+kZd0qJCCUKIQDdbKe0HO+UJsV0pzRoPpvtypuWNGNzM4l9f/TuWtB83NysVs0vSTz51frkbVDJAhPWJWyvEgEC89OlbK8SIQIz0wW3V4ngMHkoxHqlNT/aosK74L1VKmpgHMTvrWaFdO6tUsECQyFyb7Wa7a1W7r1VKmRgQESlM9CnYoeMGhjbulOYc/tpcZK6notdMlyJhAt+OJQFV6awzmUtVLTASMWwtUpFDAxduK1Vt4O4TgYKDGCIrdVqtrXqdA4HZLiYkLbMJ6GmIubZWm1zCj0yVGBkQyaq6oHo2R3CIQnp35v7Ib2kpfZOpzRuQV3F4Gu1vKSlVLDAKHyZ0lIqVWDoXkJaSkUoUQgB6E5nqZJJXqqen9TdwUMFDgzci6eYVIDAOL2MFJMKERihF0sxqeAw8RhiPUeKSYV3sSkmGTUwpi01xSSDBYY1XIqZxtMUM42dKSYZMjC48aSYZNTAOLXkFJMMVyLhgh8OZcGVKaz5FJOMFhiplp9ikhEDQ9fSUkwyUGAAg6eYM+dw3e0cDshwMSFtmU9CTUV8ASkmGSowsiFTTPVA9OwO4ZCE1DTv/L3P68wcmWbSAr4opdPMYJC4ZNOK8ioV5fyLtnjPzhcqz/zctOeo/PGp6di5HTRfqSTym7NDMK5by9JkbYtKxm8jTuq4tYyMfl5bANDjuit2HZB3yZAlHjLco+gGHAfiPTJi+AMPDi725hsH8pqKnLnxxgG3R4YLd9LIQKObbhxoD0lofYYYR5dNmrbiBp/Av7Qg4wozRJzwtw4ZZh6bKzC/MXuZ47sxx4fzjM+RejYIPWeNQtYHaT1NVRgikvUchuxH3eyQ0XsIQ3bIu2TIEg8Z5W/2HIj3yIjhL8SiYciOvKYi5w5Ddrg9Mly4I6eEITvaQxJaDXfy7nkIQ65AlLUi934Kb+q8PJOKFP7mQUPRr5rHeuZ+Uj3TVzjfGw/G64MO3xuP2Zt5+Hv60ABTVXPf2pxmKvAQqXkOPI7LyMjoPQQex2VkZMgSDxnlYfYciPfIiOGP/6KBx3EZGRU5d+BxXEZGhgt33ZTA47iMjITWb/7jDj2iFXvptDQYKiH0uPIgIlb42wcNPtbja86HmyfNAxuR9VSocEMk4zncSEe4oaL3EG7skHfJkCUeMsqv7DkQ75ERwx/4RcONHXlNRc4dbuxwe2S4cIdNCTd2tIcktL7zHHfAka3owWe4LznguPIdIlr4G7j8kGNyH32/5c/Mqe0PTu/KfDR6y2RKD8bnwOvJ7V83N5uPbdTXU6mCFJG+5yCVO4IUFb2HIGWHvEuGLPGQUd5oz4F4j4wY/oosGqTsyGsqcu4gZYfbI8OFu3lKkLKjPSShPePnTVsS+xT2LFS5glXexqLye7TnLFJp2LkN71UqXmBbIDRW6dsZ9DmY75ojMx9MOtv1ztz4ggVzT8T4K4+ae8H3Xur/5MScxRk0X4R5mk8+vxOk48sjnozen3zpgzBf1R8rG/11Kv15f7+UPvjmV6P39A0VKub+ubltLp7WV1LoWyqC5sPms7EplIW+Gv3PZnKDdfMouLq1E6qY/I82gs9TCUoUQQi5D80Zow+CZDUwi60/F+otuvFSEqymq0EWjP5hcuTojZf0A3FGjYzPLzV3xUyPKX1gjkKd3uQ9FjN3bCbYoJogh5lgCQ35RIDArsalNOQTIQL7GRdsyCeCm9cTizbk64tihA3hFhWhl578qlSRwnoU6DYZNzD04rvyExFXzrZ8Klpg8EW25c8uvEjdF16QIQPjLypXOv9A52mZRak1dO6QoQNjZ3eidA5vGYu4jDKr0tkl45VIvOBHRJlwZQrrXJJERQuMWuTmfLe32CdjBgYyXHt+i6e4TkYKjGeI/vzZ9RduL3FAhouJcJSHodVD1FTYPE36rd6hR8YKjHTIRFk9Fj27ZzgkIdVQ4ywV+fAoCdPjIg1FWiXhIMvjsJ/lucxjWWWDyfPizKB/NHlGLASpWbQrj249SPQ8Syg9W67dwgqTb9t4XOXkMa8B2lYHmIff0nnU6KemN2b+hgjdI3PmNs+z6fr9M+m6yVbNJnHwnMnPzOT6aqDSuafmB+qv3RnfgTHJdh+b2ykmXxv9TN97ob76VE+/j35pukHNTYvTezB+ME7tz6T6k39vnPGbaz1Gb5srHdXfutV8qr+ufv0iKKRm9ci2UuucKyXhKwXPqG0sNjhZzEuLFhaIpPjZa0zetLF6gZPVvPhoYYXIpG00NjlpzCuTFhoLZtuMJOb1SguJZWTljEzOZe4tVBbK3hN9HIW08dtm5YcIPqgk9JwWGsvj8UdFSYvk726lzqPod1hZI1wgOcNyr+g+Kzfsywfh1rqa+92rWbMxNpK43z8+GQzzftgfJFUoknQQ9sUgD3MhB/ngpKqSQtzwL4mt28RX0tZTim2mgNHzLokZeSC8Ek4ST+TkD8z9b+Pb1O6N74drvtVfk/F31f/Hq3msf5e5NCYjdQmnvqjGZGSBcLAIjanvzfs6Cuyr8gInHxZ16RhP3OQk4k9fMpLAhjjIWuRlVJbCRmWLk4o3gVnEUWU9aWqblR7Cky9TX5YTRVK69SUna4T7I+tL54Lus1LDvnsQah3ysnMxazbGRl6eHB3lJ8XgKCyLo6NQVEqUDkT/KDzJ+2naHwzKspi4Va/yMrOZ4spkEx9hChg97/KSkQfCKdHlpRmWf2quRrqjt1tHvxz9XLfeTmSmAMhMRhNIuAkWlZmMLBB+dnkyk5EPi8yMI2udd5OTiD+ZyUgCG+oAa5HEaSQy68bAFicVbzJT5lFhLXhus9JDePRlysxqokycx77vsLJGuD+yzHQu6D4rNey7B6HWITM7F7NmYzxugE8Hcngi+mGc5zJMkmEZlvFxFcaxjGVelkklJwLMq8wUNlNcydoOGbSaAkbPt8zk5IFwSlCZ+fG4fz5ovlZS8un4ZHjTQf2keWCu0dKzYu+N57t+1XwcJOmq1KVy9XvrXtM6J38J57+gxuRkgXCyCI3p6CHnJMIiLh1Hl21yEvEmLjlJYAMcZC3KJFL/ho3KFicVb+Iyi6tIWFtBt1n5IRz5EtVlFo8FSeY88XmHlTXC8ZHVpXtF91m5Yd8+CLd2edm9mjUb49npzmdUiVNDLukwAPvuZNZ6YmiVzlPkPgTAivIqFeX8U7X48P8zF6auTgbozG7i66Zofe/M3euj91Z1W+S9Zzotn5g/032Yd41WvD0+Mc1Gez1L1rao1P0O/mcuf0hFL/DocdPduw7Iu2TIEg8Z3riuB/8diPfIiOGvB93nmsF/B/Kaipx58N8Bt0eGC3fpyHkGPfjvQHtIQmueixt+ApJjRGGyG+vCnTmtDIaJDEmOa+2oOOFvHSko6UOh7zV/NoUvc2PdU9MIfm/0c3M+py54WdisZ6mKNURGnmON48RnMnoPscZx4jMZssRDRjmVPQfiPTJi+FO/aKxxnPhMRc4daxwnPpPhwr01JdY4TnwmoT2zJekh1riiTdaK3H1TLRgoOtpE0ob0KhUp/M0jxpsvmpvNhzbI61mmggoRtuegIlZ30jheVdFFqg/qid0R0nHCM5mRh0AjVnc1jV1NY1fT2HXR2CXTkHgaKC+zp1jsaRZ7msWeZrHnYrFHZgF/LRYNSGK11mxqzabWbGoXm5rKhjtIidWeptDTFHqaQs9FoUemAHf9lMAlVg81g0PN4FAzOHQxOCQx8Js4ucOZaMXu/bo2E85cCRQRK/zNhQa0W2YP7z0byvVMqBhGROo5hqnIlcSp+pCo8JVUhSN8Ucl4CF8qaGkGu5rBrovBLpmBxDNAuZk9Ha80gT1NYM9FYI9MAP7oLxq0VKjSRGpNpHYRqalEuOOVilIafU+j77nQ98jo4Y6dEqpUgNLgDzX4Qxf4QxJ4/1HKFadkK3rvN75N4pQrUhHRwl9XTKS6a06Znh3tMd7hezg+wVF/ejcwfe+6++hn5la4e+OvPxi9PnpP3wynvmCjuZ5JFeqIVD2HulzlZypbEyptE/rzcnVHqt9LFfikCoO5+jxXvxbq10L9eZmo/9SvlfrVGRepzD3ExVzlcSqrU3R3hf68XN1VdHcV3V1Fd1fR3VV0dxXdXUV3V9HdVXR3Fd1dZxCl0pV4uigHuKfY7im2e4rtntCfl6t7iu2eYrun2O4ptnuK7Z5iu6fY7im2e4rtnmK754y4VLbwV3jRiJurvFBliYp1LfTn5WqtWNeKda1Y14p1rVjXinWtWNeKda1Y14p17QzPRNbc4TlX+aPKJhXVntCfl6s9RbWnqPYU1Z6i2lNUe4pqT1HtKao9RbWnqPacsZxKFR7+KLE8V3mmyjoV00OhPy9XDxXTQ8X0UDE9VEwPFdNDxfRQMT1UTA8V00PF9NAZ+ClMNdWJh9aE2c/znkV/V/zPW0mAbztaynnes+DvrvUR4c4HxQWP87ZePaHH2h6aI50fnxb8xnJg9IZuOJk/DExfE2u+6Y4+hGz0jtYI0ytj70/O+VLfpg+O+nb67XfNCeFPlbDQ55aNr5qdnUKmf2POCJs0w/w80n/hSZDE5lgwh9ggmnQ+2i7piHBdNTWXdSir3NfHoivkM6sotaUPRXuqv2I6eJToujN6b2Lpx+PC6uj9M70/pvFHmXbc3vON+tPXZ+0+T/Rhbg/1z72jV8Ycd/HW6JeRzUzPU80kUWaCmOhL0+H+XlCtBlWU6A+p/pCtBkmi/7O/OhtUAjmMwBJavIkAgaerwlu33ceEUyHON2azHBNOBTevrBY8JlxUsYwyR7M1EaKXc8IVAteIHhk3MKTjzwkXcew6JpwMFhjTcceEZ7NjwjP3MeFkyMC4jsp0501dpUmcCceRZTtk6MD42Z2qnnuOqzxNZOp4PHbJgCUSMPgZUTZcmcI6ly9S0QLDFrlB3+0t9smYgZEMd06421NcJwMFxjP4MeEzL3Hd7SUOyHAxEY7yLLR6iJoKm+mY8Fbv0CODBUY6ZO6unoue3TMckpBqqMcn4rgskn5YJnIYijjPw/LoKAmH6q+eZCfZUXUyHJNxZuY/6i9nnPhMdu7Kz9vPhzzHEkrPlsO3sMLk8TYeVzl5zIuAttUBJvifnubyp2n6w8nB3M0fTZr5tjkg/GxC+Xg8YWxusbrVfNTcDJsvVLr2gfpxv1EfP2++tNlmndM2Em4beApqY7HByWI+mLewQOShD5qvbUxe4GTCMmucRFYXuclJxN+sMSOJeWHQQgKa/halKPModuS/jFy8DRtXUW4/L5GVHcLJo7K9c5rj2VHjyQnOmfs8blbWCMdHzmRc67nPygz76kGYta7lfvda1myMx7eNJydFXAyqsEiGRSiSOAnL/CQNi/5JWh3n8kReiPC07sZeydpPjrSYAkbPu/Bk5IHwSVDh+fH0QplAt4mYiTF9X83j5ra+Bma++qO+aI5ULL+bxLG5+UX9Jo0dxyZymkLCTbGozmRkgXC3CJ3ZfmwiJx8etWmjsclJw5/WZCSBDXiAlWgttTBS8SY1k9h5rA0nPYRfX6bWnBznnLnP5mZljXB+ZK3pXNB9VmrYdw9CrUNsdi5mzcbYiM3B4GjYP8mqUApxFIqiPAn7eSzV3xqUx8mgf5zJyVvsVWxmNlNcySqsKWD0vItNRh4IpwQVm7+ev50w0L812566IekNcyviL6bbmh83H5jtzI+aT9R/n55uhn7a3Gw+Ux+/1N/zf9Rvvgiu7cskaD6wGWmd00gSbqRFZSgjC4QnRshQ53YnIxMWARpHqZQ2KpucVPyJUEYS2EAIWI0klXFUFtZdhC1OLt5UaFlGpUOFctJDOPxlqtDJac+Z++huVtYI30dWoc4F3Welhn35INQ6VGjnYtZsjLUMbVOXy+1ut29iTnINO7kqPndw5AV3t1PhArvgoLLwL7O73WbRdapFBcyi/1Ka26lmkigzQUykuyQ+az5XuUPzB5VtfNR82HxkLg36pPnTuJtC//kfbCw2qCyArYIIqe3ocKcCBPYFwhW0u8OdChHYEbiYMqaCw/T/Qayn/q1ISBvELSpETx3uKvpYH81tMm5gWF9qhzsZLDCu4zrcRTztcBfOI6yvkSEDYzsqA5g3dSbSrCqjzGrtHTJ0YBDFd7gXMk9K19OxS8YrkXjBj4gy4coU1hzaPTJaYNQiJ0luZ7FPxgwMZEtrcCcDBYYzeIP7zElcdzuJAzJcTICjPAutDqKmwuZpcG91Dj0yVmCcQ/a3q8eiZ3cMhySkl7by47jS+4pIcCyh9HxXfjh5IDYCoSn+xVR+OI0k4UaCp6M2FhucLBC7n4h01FX54WTiufLDScVb5YeTBHbzGbAaokyjOLeuxxYnFW+FH5Xmp9buqm1Wegh/j0r72gs/IhnXCsa/2ljvsLJGuD5yTuNc0H1Wath3D0KtvfDTvZg1G+PL2+vuuJPxikixpoDR8y5CGXkgnBJUhHL2unOaQsJNsajUZGSB8LcIqdne687Jh0Vw2nvdOWn4E5uMJLABD7ISZUvRhZGKN7GZxJF0iE1Oegi/vkyxmU70SeoWm5ysEc6PLDadC7rPSg377kGodYjNzsWs2Rhf3hM9Ukevu8iwpoDR8y42GXkgnBJUbHo90YPTNhJum0XVJyMLhANGqE/nRicjEx7d6TjRg5OIP+XJSAIb/QBrkcWpKOw7B1ucVLwpzypKrey2WdkhfPwyhWc20SqZW3hyskb4PbLwdK3nPisz7JsHYdahOzvXsmZjrP73t2fimH6YPZ7l7lCWooVsGcfzZD11u+d2uFepcOcdB0O3u2mx/mZyt+Z99cV743K43tzSf/yG7nwfvT8Rj/ebb7RENH3qSoLcn/bG3x/9g7nlZfwHWlLOWtibO0Ey+TGOe6Cp1hEw6+A6120In6cilCiEAHSzE9FFJFYDqf5fH4ueq//Xvxbq/82v+pj0Un9WmgPTzenpN268ZOO2QeUGbMpDSFpXKzkRILADD6NUna3kRIjA3rsFNSgRHKbTDmC9QjlHaQO4RQXopZFcJtEE3znJSIUNDJiUPnJnGzkVKzBgItvIxayNXLjbyKmQgUETpbTPJUpVWjieix0ycIEEDn4uslgKZws5Fa1EogU/HsqAK7t22+6R0QKjFTkRcbqJfTJkYPzCdpA7G8ipOIFBDNFALmYN5E73cECGiwlrlCehxTXUVNA87eMtbqFHRgoMbtjmcbHSs9v0kITUPAnD6ig9TmXYj4u+Sn8zEZZ5HIdpHOfD5KjsV2ISSpypbkviT013Xc3jEscSSs+WFLewwiTGNh5XOXkgttmgGfOtWap7253qTtt1UtOs82D0uo35OidzCWcOzzVtLDY4WSA2DJeQVTISYaqTODp0GIn4q5MwksDu1gLWosyiqpQ2JlucTLyVSUTuuh6MlR7CgaOyt446iZzsrUt3nYSTNcLtkdMT54Lus1LDvnoQah2Fks7FrNkY+z0GSNjIXRF5C7kqTufJXXRhhAgXuMcDlXmXtTBCtI6AWWcZhREiQolCCEC32Gk6RBbATaUliFUiQOAWEkaEOksgRIjA3aMF5SURHGavCGK9JI+k1RFuURH6qYGkUVrZYG+TYQNj41JrIFSswNiIrIHMLosV7stiyZCB8RGlouctncdV5ijp7ZCBA0MXvgYi8jyJUkcNhIpWItGCHw9lwJUprDm0e2S0wHBFTjKcbmKfDBkYwJZWA6HiBEYxRA1kdkus2z0ckOFi4hrlSWhxDTUVNE8NpMUt9MhIgcENWwPJV3p2l3BIQnppayDCVQNpu7LMwhJKz3sNhJEHYgsNmhwvswbCyFzCmcPTShuLDU4WiM3AJaSVjET81kAYifirgTCSwG7EQtYiLaOkdGSzjFT8FUGKSAobvW1WeggPjkrfWvfNFaXJvrn79ldW1gi/R85PnAu6z0oN++5BqLUu5n73YtZsjP0WQaSN3BXRdt1YFWfz5C66CEKEC9zkgeq8y1oEIVpHwKyzjCIIEaFEIQSgaz5tfh/889u/C8rxFQtJESU6u01l0HymVmC8jEbHq6Uwi6xnwd9d02da3qxWzS9JPPk1ifQguL5+4r1gPHeyFuSRzQIbVAsAd6SWoHSJAIH7TxgF6yygECECt54W1KZEcJiNJoD1SuVCHYqTCPCi6ydU2MCwutT6CRUrMKwi6yflrH7ivHf0GhkyMLSiBPg5S8tEOLYed8jAgVEPXz/JhMyc9RMqWolEC348lAFXprDm0O6R0QKjFTk/aamfUCED49fS6idUnMAghqiflLP6idM9HJDhYsIa5UlocQ01FTRP/aTFLfTISIHBDVs/KVd6dpdwSEJ6aesn0lU/qXAsofS8108YeSB236B59TLrJ4zMJZw5PCO1sdjgZIHYR1xCVslIxG/9hJGIv/oJIwnsHi5gLSoRVbkjmWVkchnKJ5z0EA4clb11lE8mtw8L91XSrKwRbo+cnrSUTzipYV89CLWO8knnYtZsjKeHbU1Ya7Ho8bAta3fRFRm3kC1b+qBgWDF68Gw5pXJcLU2FC9zzgcq+z5qvTq8vPiv+9D3SzddK/d3VxZbR242+AHlyp7G+t3j0c31Zsi6KjO9Lvm3qJY9sXNepXAWM6xKKI1SEEoUQgG52dNb41KwgDIzh7+l7qEfvTQ7MHV8vfc/GZIPKBLhttLgcpQIEbhJhZKaryEGFCNwfWkxAUsFhdoMA1lNxtihsALeoAL0UOfIyElY5u02GDQx2+CJHkhSuKgcZLDDa4aoccnbhsnRfuEyGDIx4KJ18boMwVQ9GZa9ykIEDwxe+yiFlWUWxdRN+l4xWItGCHw9lwJUprDm0e2S0wHBFTiOcfmKfDBkYwHBVDrePuE4GCgxj8DLHzD9cd/uHAzJcTGCjPAotvqGmguYpc7T4hR4ZKTC8Icsc6pHo2X3CIQmpkV+DfnlUDk/C4rhfhKLqD8N+VsThSVElVVHGR2k5ccnORLUlbacmq44yh2y77c/CEkrPltK2sMKktTYeVzl5IHbJoPnuLdM6+NR0CZps927zUF9up1MsffeyuWFk9M44Cx7fvfyOLn6YHPde820waQj8/1Qqdlv9hCej14Pmk+ZD6yKvcxpHwo0DTz9tLDY4WSC2BBGpp+vaEU4mLKWQ2N6Mu8lJxFsphJMEdj8WsBaJiLLM+p5vcTLxVgpJiipKrCn9Nis/hJdH5XjttRA5uZBXum9XZmWNcHzkJMa9ovus3LAvH4RbezGkezVrNsZGexZpIasTIcKir74tSYaDsIxPBmEcy1jmZZlUcqLKvGpP6xbsFZliTQGj5117MvJAeCWo9vy1rpyYC5a1tNTqc/SGaa+5r39jxhzMRcs3m0/iYKJUv9HVGX0Hs773zmaEdU4jSLgRFtWYjCwQrnYZGpORCZPGtHqJTU4i/jQmIwlsmAOsRRVJe/fCFicRbxKzyKLMuj21zUoP4cuXqTAnt/BK95XKrKwRbo+sMJ0Lus9KDfvmQah1CMzOxazZGE+7baavqed2G2sCcWVyQqCLrZhn66ndJold/TZEvMDqI1QD/t4IPX2jsZJ8q8HordE7SuXdXT3tuX59pg7PduI8au6N3ol0F4jeizQ9Ic5uGyJTAWO6jG4bIkKJQghAN+620dfU2XBuUHECi5MIsenqpSECBJYi4RqypZeGCBFYhFxQHRLBYUqOAOsVaVRZn8AtKkAvvTQislfwtsmogYEM30ojisTZSkMFC4xkyFaabNZK47xE9xoZMjCYoUTw+XJ5GaWZDfcOGTcwNOE7aTKRSREV1pdvlwxXIuGCHw9lwZUprDm0e2S0wGhFzhFcbmKfjBgYvnCdNG4XcZ0MFBjEEJ002ayTxukeDshwMWGN8iS4XUNNxczTSNPmFnpkqMDohu2kyVZ6dpdwSEKqoR4dHcVxflKFosjLUGRxFg4S9ZmUJ0WeHWdlEssxGWcO2pKSU/NQVyeNwLGE0rNlqy2sMBmrjcdVTh7zgb9tdYCZ7D8293RWqusZ4aQp5pZuh1Hp7UMzoXB38tVPpN2trnMSlnDC8HTRxmKDkwViCw+RTDorF4xMmCoX1lGwTU4i/ioXjCSw+6eAtRBZVOTWgLnFycRf6cKZ7HKyQ/htVNLWUbkQk81u58XGO6ysEW6PnJW41nOflRn2xYMw6yhcdK5lzcZ4VriYiEOtpjwWLqyn6FyRspVtPs/WV+EisZfhr1LxAvd6oHLPeu6q/tL7zZ/Hp6h+0dxsPpxovtvqOx/NihlaDY57W0ZvmD7rB+ZoVXP6Z5ro4sYj3Yj9JBD6WJlHNjOsU80gYGZYRlWDiFCiEALQTaoaOl+68ZLbpBtUwMANI4QidZU3iACB+0NwodlS3iBCBO4MLSghieAw+0AA64k8yq0LvEUF6KW8UWTCOStMxQ0MePgCR6EnvxwFDipYYMRDFjjkrMDhvPz2GhkyMOihtPL5zcE0q6LEUeKgIgfGKUKJIy9KJTOsYmiXDFci4YIfEGXBlSmsObR7ZLTAiEVPJpyuYp+MGRjEcEUOt5u4TgYKDGWIIoecFTmcLuKADBcT3CjPQpt7qKmomcocLa6hR4YKjHHYModc6dndwiEJqRFh1XGaxyINpZDDUJykR2FVxHGYxGnVr05knMoJGWfG2pLAU7NWV5kjx7GE0rPlti2sMPmtjcdVTh6I7TJo3vsnPZ2h0lbdtmeGfceprfrt6K3R6/rSid/rOWFz/ciT0U914545IlVFSPVRhIl1i3qd0woSbgV4UmljscHJArEJCM80Rz8bvWlj8gInE5bah9Vpb3LS8Ff5YCSB3YAFrESm2/esb/kWJxNvlY/UWfngZIdw5ahsrqPykU92y53XGe+wskY4PXKy4lrPfVZm2BcPwqyj8tG5ljUbYyMv4+O8yqUchMMyz0LRF3HY76u/NTwq++XJIK+GYnDDv7y0bsVdkW1X7VlNAaPnXV4y8kD4JKi8/MJMdrwx+kUweve0oUafOBM2T82f/NSUT8bFEzMuMj2Ev/kkdTXWMNpAwm2wqLhkZIHws3Bx6W6sYWTCIi4dtdNNTiL+5CUjCWyUA6xFlsk8cnXWMFLxpi+LSFh3PLZZ2SF8+TL15eTOW+m+wJiVNcLvkfWlaz33WZlh3zwIsw592bmWNRtjoy8HJ2U6HAgRDsRRGoqkOgoH/ewkjNNElmmRyIGcWMWrvrTufF+RbZdXWU0Bo+ddXzLyQPgkuL68NznpcPQPzUMtG0dvNHfGO5Rx/F39n7TxXOfkKeE8F9WQjCwQvhShIV2tMIxEmCSkNQhschLxJyEZSWADGWAtZBKlpfW52uJk4k1BJlJGsUNDcvJD+OtlashyojucV4busLJG+D2yhnSv6D4rN+zLB+HWoSI7V7NmY2xUpEhOirgYVGGRDAv1vXESlvlJGhb9k7Q6zuWJPBne8K8ihc0UVzRsnClg9LyrSEYeCK8EVZEfT7Ylbwf60k998oypdU/OK7xrNi6fjt7Wx2WPv2gEZqnlpek+NleGuhq7GU0h4aZYVGgyskA4XITQ1IcLfR0F9lV5gZMPj9600djkpOFPbTKSwAY8wEq0tHszEvEnNuNIOOrhnPQQXn2ZWnNyyaR03xjKyhrh+uha07Wg+6zUsG8ehFqH1OxczJqNsR4FXB1rE48TgJWN5JW8/YKZYp6kvwlA69bpVSreeZdxSScAxdkJwNw9AUg1g4CZYQkTgFSEEoUQgG52i2gZZatBFSX6Q3bjxktu825Qwc+7aLZpQCpA4CAFQmo6pwGpEIEjFIvJSCq4+UC14DSg1XJbVHBeJgFjx8zMNhk1MOzh5wBLvXFmnwMkgwXGPdwcYD67MzR33xlKhgwMfSilDH0qdsiogZEKPwPogrpLhiqRUMEPhrLeyhTWHNo9MlpgjFoghYiVfrOqzX0yaGDcwg0Auv3DdTJQYPSCDwDOfMN1t284IMPFxDPKw+B62WoqYp7hPxfMHhkmMKghB//Uw9Cz+4NDElKjt0Bd3JqMM1FtSdepyapj8C9PcCyh9GwpbQsrTFpr43GVkwdidwya7jIN/nFaQcKtAM8lbSw2OFkg9vzgSaVz8I+TCUuhw96ZzUnDW6GDkwR2uxWwEo5MlpGEtyKHc+aPlR3Ci6Myt/YaRz65OzJ33wTKyhrh78gJinPmj5UZ9p2DMGsvcXSvZc3G+PLO/FWOmb9JmRZhChg978qSkQfCJ0GVJcvMH6cNJNwGi+pKRhYIPwvXlc6ZP04mLLrSNfPHScSfsmQkgY1ygLVwKEtGEt6UpXPaj5UdwosvU1lOLo3M3TeAsrJGeDyysnRO+7Eyw75zEGYdyrJzLWs2xpd32q9yTPvlGdYUMHrelSUjD4RPgitL4rQfJ08J57moemRkgfClCPXoanVhJMIkHq1BYJOTiD/xyEgCG8gAa+EQj4wkvInHlkE/Vn4IV71M+ZhNJIfzqr8dVtYIl0eWjy2DfqzcsO8dhFuHgOxczZqN8eUd9Kscg36TA28QpoDR8y4gGXkgvBJUQHIO+nGaQsJNsajGZGSBcLgIjdk+6MfJh0dq2mhsctLwJzQZSWADHmAlHEKTkYQ/oekc8mOlh/Doy9SZkyvicvd1f6ysEW6PrjOdQ36s1LBvHYRah8zsXMyajfFkyE/9eJ9Dfol1Xa/kspVlOc/S35SfsOG9SsU77zMu6ZRfnpwO+ZUtQ35EKwiYFZYx5EdEKFEIAehmQ375apDrEb9C/X+Urgal/k2pP6v03J91i3GDSgM4SoHQp649UCJA4NgEQnC6x/2IEIEDEwuKSSI4zHgEwHpFmkWFDeAWFaCXkb8kzouotHZEbJOBA+MgfuqvSlPn1B8VLDAOIqf+Zrf/5e7b/8iQgaEQJZ3PPc9FWqYiKqzd/Ttk6MD4hR/9y/MilYlD/O6S8UokXvAjoky4MoU1h3aPjBYYtBbILpzeYp8MGhjIcPN/bk9xnQwUGM4Q83+zCwDdXuKADBcT4CgPQ6uHqKmweYYAW71Dj4wVGOiwk4BypWf3DIckpEaKgXq7NRlnNtuS05MzWtcoYI6jCeVny3tbaGFyXxuPq5w8EHto0JyYaxSQ0QoSbgV4xmljscHJArEzCE843aOAjExYSiGOhm1GGv5KIYwksJuygJWQ+mJl61u+xcnEWz3EPQ/IyQ7hylE5XUc5ZHJvXO6+A5CVNcLpkRMW9zwgJzPsiwdh1lEN6VzLmo3x5Z0HVPrSuud6JW+/r8ZiCxg/7/qSkQfCKUH1Jc9AIKMNJNwGi6pLRhYIRwtXl+6BQEYmLOrSORDISMSfvmQkgQ1zgLUoRa5vmbZR2eKk4k1guscCOdkhfPkyBebk4rjcfQkgK2uE3yMLTPdYICcz7JsHYdYhMDvXsmZjfHnHApXAzGy2uJK3X2VjsQWMn3eBycgD4ZTgApM6F8jIU8J5LioiGVkgnClCRLp6YhiJMGlIR7s2IxF/GpKRBDaSAdaiqPIodrTiMDLxJiHbhgM5+SH89TJF5OTeuNx9CyAra4TfI4vItuFATm7Ylw/CrUNGdq5mzcb48g4H6qZ9my2u5BXWFjB+3mUkIw+EW4LKSNbpQEZTSLgpFlWajCwQHhehNDumAxn58AhOG41NThr+5CYjCWzEA6xES+M3IxF/atM9IchJD+HVlyk2JzfH5e5rAFlZI1wfXWy6JwQ5qWHfPAi1Dq3ZuZg1G2MtNts05JInA+1dlEXbtRFVLObZXfRkIBXvvK/4y54MpFpBwKywhMlAKkKJQghAN5sMTJJV9V+U6Jv/SufNf1Tc816ZbRSQChA4QYFQl85RQCpE4OzEYsqRCm4+Ni04CphWrh5JKkA/o4BJlrm0Hhk4MPAtdRSQDBYY+HCjgMXsAsDCfQEgGTIw9qE08rypFQqZ51Fujdo7ZOjAgIUfBUyLPM2SKLWPApLxSiRe8COiTLgyhTWHdo+MFhi06GmE9hZZZQO9TwYNDGRLGwUkAwWGM/go4MxLXHd7iQMyXEyAozwMxkNkkX1orabC5hkFbPUOPTJWYKBDjgKqx6Jn9wyHJKRGiuVlelQcF+EgK+JQ5MOTsDoSgzCrsrg6qfr9bDh5vJ3pa0vyTk5hHaOARYKjCeXnuwTCyQOxWQZNgn89en30limC6LRWd9Q0Hza/VQnXZ82noUp/1S/qNx+oz740xQ8b53VOzhLOGZ5Q2lhscLJAbPgh0ktXazYnE5YqRxylUtqobHJS8Vbp4CSB3W8FrEaRK8Fn7ZXf4mTisdThuit4m5Ufwn2j8rj2WkcxuUKucF8HyMoa4froSYpzRfdZuWFfPgi39mJH92rWbIwvcWNN4hgALFKsLWD8vKtKRh4ItwRVlZyNNZymkHBTLCo2GVkgPC5CbLY31nDyYZGc9sYaThr+5CYjCWzEA6xESxmFkYhHtekstnDSQ3j1ZYrNya1yhfuGQFbWCNe3gNh0NdawUsO+eRBqHVqzczFrNsaXeBYwccwCFhnWFjB+3rUmIw+EV4JqTfIsICdPCee5qJBkZIHwpggh6WqKYSTCoyAds4CcRPxpSEYS2EgGWIssrSLpEJGMTPyJSPcsICs/hL9epoqcXC1XuC8KZGWN8Ht0FemeBWTlhn35INw6ZGTnatZsjC/xmWWO7ugrhcDaAsbPu4xk5IFwS3AZyXBmGacNJNwGi0pMRhYIV4uQmM7COCMTJo1prcNuchLxpzEZSWDDHGAtsjwvkii2eu0tTi7eVKbz0DJWdghnvkyNOblXrnBfEsjKGuH4yBrTeWgZKzPsqwdh1qEwO9eyZmN8iW9dSCJps8WVQmJtAePnXWEy8kA4JajCZLp1gdMKEm6FRTUmIwuEq4VrTOetC5xMWDSmQ2Ey0vCnMBlJYMMcYCXSrMrtgn+Lk4k3fem8dYGVHcKVL1Nfyokmcd74tcPKGuH0yPrSeesCKzPsiwdh1qEvO9eyZmPs+YQJa23uyuTuNxc7Oc/uwk+YIOKddxV/4SdMEK0gYFZYxgkTRIQShRCAbnzCRKCU9kuF06AbVLjAGV24+HTW0IkAgfO4cE3ZcrAEESJwEndBvUgENx+SFjxYwmq5LSo4L4dKuCdqqKiBgW65J0pQwQIDHfJEiXx2ooTzuqdrZMjAWIeSxNCnYoeMGhib8IdJuKDukqFKJFTwg6GstzKFNYd2j4wWGKPIuUKVVFElbZj3yZiBYWt5x0hQgQKDF+IYiXx2jITTNRyQ4WLCGeVZcL1rNRUxzwkSLpg9MkxgTMMeHpGv9Ozu4JCE9PJWNFLX4RFtV9JYaEL5ea9oMPJAbINB81uuigajFSTcCvDs0cZig5MFYnMPnlS6KxqMTHxWNBhp+KtoMJLAbqwCVsKRyTKSuATFDE52CC+OytxaN8AVpckGuPuGP1bWCH9HTlDcxQxOZth3DsKsdS33u9eyZmNspGU/SUQuRRXmyZEMhSiLcCCPivBkUBzHx0kp83xiFb/S0lH6KLG2gPHzLi0ZeSCcElRaLtSOndjf5HVOG0i4DRYVlowsEI4WLizd7diMTFiEpbMdm5GIP2nJSAIb5gBr4ZCWjCS8Scs8Sgobu21WdggvvkxpObkprnDf+8fKGuHxyNLStZ77rMyw7xyEWYe07FzLmo2xkZZHMsnLLClCORimoRhWfSVDSxkmJ3Eli6N+2h9M1tuvtMxstrhSVFhbwPh5l5aMPBBOCS4tOw+MEDae65w8JZznovKRkQXCmSLko6vZhZEIk3q0Vi82OYn4U4+MJLCRDLAWDvXISMKbekziJKqsHmyblR/CVS9TP05ufyvcV/mxska4PLJ+dK/oPis37HsH4dahIDtXs2ZjfImPt00dZ0WUMdYWMH6+FSQnD4RbgipIzuNtOU0h4aZYUGRyskB4XITIbD/elpMPj9a00djkpOFNaXKSwEY8wErYlSYnCY9K03W0LSs9hEdfotAs47E0KZ33du2wska4vQWEputoW1Zq2LcOQq1dZ3YvZs3G2PNEn33vsUxa2eXz7C56oo+Kd95X/GVP9FGtIGBWWMJEHxWhRCEEoJvdGS0isRpIc2e027IbVNzzXplttI8KEDgjgVCWztE+KkTgdMSCqpEIbj42sYz2UcFd7GgfGTUw4i11tI8MFhjxcKN9ZTId7SudFzldI0MGBj2UOIY+FTtk1MAgtcTRPjJUiYQKfjCU9VamsObQ7pHRAmPUAllDlrjOMiaDBsatpc32kYECoxd8tm/mG667fcMBGS4mnlEeBudsHxWx59k+MkxgUEPO9qmHoWf3B4ckpJe3xpE5ZvvKFEcTys97jYORB2JHDJrpstY4GE0h4aaAJ5M2FhucLBCbfYjUsqPGwcjHZ42DkYa/GgcjCexuK2AlHFktI4nLUOPgpIfw6Kg0rqPGMbnxrXRf38fKGuH2FshWnDUOTmrYtw5CraPG0bmYNRvjS9yNnTkG/coMawsYP+86k5EHwitBdSa5G5uTp4TzXFREMrJAeFOEiHTVJxiJ8KhHRzc2JxF/+pGRBDaSAdbCoR8ZSXjUj85ubFZ+CFe9TAE5ueutdN/cx8oa4fIWEJDObmxWbtj3DsKtQ0F2rmbNxvgSHxWROeb5SoG1BYyfdwXJyAPhluAKkuGoCE4bSLgNFlWXjCwQrhahLl1HRXAyYZKX9qMiOIn4k5eMJLBhDrAWDnnJSMKbvHQeFcHKDuHFlykuJ9e8le4r+1hZIzweWVw6j4pgZYZ95yDMOqRl51rWbIwv8QG3mWvQT2JtAePnXVoy8kA4Jai0ZDrgltMKEm6FRcUlIwuEq4WLS+cBt5xMWMSlQ1oy0vAnLRlJYMMcYCUc0pKRhDdp6TzglpUdwosvU1pObngr3bf1sbJG+DuytHQecMvKDPvOQZh1SMvOtazZGHue7XOIxbyVXTHP7sJn+4h4513FX8RsX+Ae7iOaQcDMsIzhPiJCiUIIQNd80HzefNZ8HqhP/qCW5aPmw+aj8YZu86dQfeFL8+d/iILmllqIh0qtzzZ+z67p7cDsHb9j1u++kvHPrOfoPbVsaj2fqmV8Q335K90FGzSfpHG8GuiMQP3gn6u/9tisdS7N0kY2y21QLTcfF/jGC4kAgWMacGnbMl5IhAgc0FhQthLBYcYxINZL8khaq1NbVIReZgyTuMwjYQ0P22TgwOCLHzNM4kQ45wypaIHRFzlnOLtCsHRfIUiGDAzAKJ1+ztZpnsdpNFFs50Q5FTowaOKHDdW/m+RK6Vjd7C4Zr0TiBT8iyoQrU1hzaPfIaIFhi5zKtLiLfTJoYChb3sQhFSgwoCEmDme3Cbq9xAEZLibEkR6GNg9RU2HzjB0mcSFEHOXW961HxgqMdNjZw3ylZ/cMhySkl7fsIlyzh+0X4ZyjCeXnvezCyAOxYQfNxLnKLoxWkHArwNNcG4sNThbzcbuFBTzldJddGJn4LLsw0vBXdmEkgd0CBqxElaVRatV/W5xMfNZerOy2WdkhXDkqpzsnLZ6tvUwupCvdlwuyskY4PXLC4lrPfVZm2BcPwqx1Lfe717JmY2z0ZXycV7mUg3BY5lko+iIO+331t4ZHZb88GeTVUAxuXIC+tG4HXCnbb8Ox2ALGz7u+ZOSBcEpQfblQx3hqT+fXOW0g4TZYVF0yskA4Wri6dHeMMzJhUZfOjnFGIv70JSMJbJiDrEWWZ8JxptkWJxdvCrNwKkxOdghnvkyFObmXrnTfMcjKGuH4yArTtZ77rMywrx6EWYfC7FzLmo2xUZiDkzIdDoQIB+IoDUVSHYWDfnYSxmkiy7RI5EBOrOJXYVqrvlfKCmsLGD/vCpORB8IpwRVm56kW0sZznZOnhPNcVEUyskA4U4SKdLXFMBJhEpFWzbLJScSfiGQkgY1kkLVIyygpHd04jFS8achEFlHu6BHn5Idw2MtUkZO76Ur3TYOsrBGOj6wi3Su6z8oN+/ZBuHXoyM7VrNkYX+JTeIVjALGKsbaA8fOtIzl5INwSVEdynsLLaQoJN8WCUpOTBcLjIqRm+ym8nHx4FKeNxiYnDW96k5MENuJBVsLd/M3JxJ/cjCNp3SLfZqWHcOtLVJvV5Ia6yn3dICtrhO+jq03Xgu6zUsO+ehBq7WKzezFrNsaeRxKljd2VKmllV86zu+iRRCreeV/xFz6SSDWDgJlhCSOJVIQShRCA7lKOJJYtI4lUywFnOxCC2LH3SgUInONAKFznSCIVInCCY0H1SgQ3Hx4XHUlU/1YkpA3iFhWin5nERGZR7BCcVODA6LvcmUQyWmD4xc0kVrO7Dyv33YdkyMAIjFLq57o5k6IqRRzFlQ37Dhk7MGwShhKrJFf/H2XW52OXDFgiAYMfEmXDlSmsObR7ZLTAyEVPZ9wOY58MGhjNljaVSAYKjGnwqcSZn7ju9hMHZLiYKEd5GNp9RE3FzTSWWIi0qkRUWZ+JHhksMNoh5xLVg9Gz+4ZDElKjyPIyPSqOi3CQFXEo8uFJWB2JQZhVWVydVP1+Npw84M5EumUbgZxMO+YSqxRHE8rPezWGkQdi2w6ajv969ProLVOP0QmZydU+bH6rMrvPmk9DlYirX9RvPlCffWnqMDbO65ycJZwzPLO1sdjgZIHYekRkma4+cU4mLAWXOEqltFHZ5KTir+jCSAK78wtYDVEqKZVb12OLk4rHqkviOK9gm5Ufwn+jkrmOssvk0rzKfQMiK2uE76PnKc4V3Wflhn37INw66i6dq1mzMb7ETT7SMY5YZVhbwPh5l5WMPBBuCSorWZt8GE0h4aZYVG0yskB4XITa7GjyYeTDojkdTT6MNPzpTUYS2IgHWYmypZzCSMWj3nR2+XDSQ/j1ZcrNyQ17lfu+RFbWCOe3gNx0dvlwUsO+exBqHWqzczFrNsaXeDRROkYTJ3doImwB4+ddbTLyQHglqNokjyZy8pRwnotKSUYWCG+KkJKu9hhGIjwa0jGayEnEn4pkJIGNZIC1SOOiikRlfdG3OLn4k5Hu2URWfgiPvUwdOblOr3JfjcjKGuH56DrSPZvIyg37+kG4dQjJztWs2Rhf4lPUpGs2UWJtAePnXUgy8kC4JbiQZDhFjdMGEm6DRUUmIwuEq0WITGd1nJEJk8q07jVschLxpzIZSWDDHGAt0ixRyBwtkVucZLzJTOcxaqzsEN58mSJzcrFe5b4kkZU1wvORRabzGDVWZth3D8KsQ2J2rmXNxvgSXwQhI2mzxZUqx9oCxs+7xGTkgXBKUInJdBEEpxUk3AqLikxGFghXCxeZzosgOJmwiEyHxGSk4U9iMpLAhjnASiQySbPI+ppvcVLxJjCdN0GwskP48mUKzHwiSpy3kO2wskZ4PbLAdN4EwcoM++ZBmHUIzM61rNkYez7ywup9rlTt91xU8+wu/MgLIt55V/GXfuQF0QwCZoZlHHlBRChRCAHomk+b3wf//PbvgnJs4qTQT1eqXsKg+UxZX3euPhyPST00+8F6c/j+6N21oPm4uVmtml+SePJrMjsZQ8n6L5Xwf7oWKN+R26vGG1QrzPt4vuMriACBA79wsdpyfAURInDUd0EhSgQ3H+oWPL4ilSLKHRuYRIR+Tq9ouVGbDBwYSJd8egUVLTCSIk+vKGanVzjvuLpGhgwMpijNfe6JLvK8Eg4ZukOGDgyA+MMrUlmmQkbS6mZ3yXglEi/4EVEmXJnCmkO7R0YLDFvktKTtRm0yaGAoW97ZFVSgwICGOLuimJ1d4fQSB2S4mBBHeRhaPURNhc1zdEWaiVLFjsqahPXIWIGRDntyRbHSs3uGQxLSy1tIccj2K1WJownl572QwsgDsfkGzaq5CimMVpBwK8BTVhuLDU4WiC1FeMrpLqQwMvFZSGGk4a+QwkgCu50LWIk0zgqHANzipHIJCimc7BC+HJXUdRRSJpfkVe4LD1lZI7weOWNxF1I4mWHfPAizjkJK51rWbIwvcTN47jrDosLaAsbPu8Bk5IFwSlCBydMMzmgDCbfBovKSkQXC0cLlpbsZnJEJi7x0NoMzEvEnMBlJYMMcYC3SqqiKSDpadRi5eFOY7l5wTnYIZ75MhTm5Pq9yX4bIyhrh+MgK090LzskM++pBmHUozM61rNkYX+JzK3LHuRVJ3H5Vj8UYMIK+JSYrEYRbgmtM4skVrEQlnOiCQpKVBsKhIpSkozeGlQmTkrTWMzZZmXiTkqwssAENsBppGUeJsHflsHLxpiVbjq/gJYjw20uUk0k8uSFv8omN+A4vcYQDJCvKliMseMlh30EIuXZRCVnRmo/0JT59N3ccY6HgYY0BI+hfVzISQfgnqK7kPH+X1RYSbouFpScjDYTnRUjP9hN4WQnxKFAbj01WHh71JyMLbOwDrEVLUzgrFX/y03kILy8/hHdfqvpMplrFedPYDi9xhA+kq0/nQby83LAvIIRbl/jsXtCaj7T639/+/RnV5VSXrw6PXnvx5ZcshiCJS3tFPInTFp7leZ6uSUQ3WoxkPB1GtMK9SoY7/5i1GBcoDH/d3G/uGkWoL2LWo2nvj95t7o/eN3ct31MS46Gub3/T3Bm9ZWYNz3/bW7NvvGfuc75n46xUYrq2RSZ+zmu6mS/mNOvDneeUH8xW1YdCf6jUhyRx+UsqHYGn42wXt3LY1Rx2NYddzWHXxWGXzkHiOcDbyBWFPU1hT1PY0xT2XBT26BTg7xPda2sqtaZSayq1plK7qNRkKucmDzqo4J6mnsbf0/h7Gn/Phb9Hxw+PG8iBBAX/UMM/1PAPNfxDF/xDGnzzKI3h63jyN23hcJlz+aljAEGxbWORJM5FgIElhsKWcEjEOx8UGOby1W++0lMEOuqZDRMzbf+1PWo294PRG0Hz1PzJAxMQ709m9u/rLZZg9DP9Q5s79ql+86MfTnZqzG/UTzcnA6iv6R/3xPzth+aHP25uTw4IuBOk+jAA9eXR+zb7rpPtOx+l+Ab+yRAlCiIA3nguf/ReUKwGRZToD+lqUI4/ZKtBpb9W2evmG2QawNlHxN6QsyxJRAgcdERs9jhn9skYgTOOi27kENHNi40Fp/aFUJHA+hhukSF6GdvPUxml0gZ8mw4cGGfxY/tZ6pzap6MFBlrc2L6CM53b13rHNbhPRw0Mt6gE7PxcrqzUg23fxNmhYweGsu5s65wb09fKx1Fldbe7dMASCRj8nGgjrsyAnc+lqICBIYy8ted2G/t00MCohhvfd7uM63SkwNgGn98/dRfXW9zFAR0xJt5RHohWV1GTcfPM8Le6iR4dLDDuIXNm/WzMQJ1PkilgjcotU5kcHRehPD6SoUhOqrDM+2aDOSvKqioG2fGYjzN//lF/uc0KOit1ZdECRxPKz5Zpt9DCZNs2IldZicxrgrb1Aabht1RSfLv51kxbvR6o9Pu+HuFXv308eq/59geTrPdL9afvmKRZJ9cPTBL+C31UW2xdznVWK0i4FeCZqI3GBisNRIUOkYm6Rq1YqbD0J8QOAbLJSsVjiwIjC2yFFLAcSRKrDNiVAjNy8dajkGqGrhZZToIIt45K97qaFMS0pu2+5I2XOMIFkjMZ96ru85LDvoMQcl1dCt0rWvORHrfIZskgVd8X5nIoQiGP83BwUpyExbCfieOkL3J5csO/6rRmAkp1SqwtYPz8q05GIgj3BFWdnzS3TaXlvjkYqlVkmj9TSjN1KU1G5hLOHK40pfOs6A1WMghnuxS9yUiFRW9aXcQmKw+PYpORBTbQAdaiLNMoz21Utlip+NOaToLbvAQRznypWlNOlYn7rjde4gj3R9eazlXd5yWHfQUh5Lq0ZveK1nykjdY8qaQcZkdZmMhyECbJsAzL+LgK41jGMlc/v5ITEeZVa1pzZKU1c6wtYPz8a01GIgj3BNWaZ6axXLd7mJMAXm+ejt5XX9DnASQydl7owcpfwvnDFaeNxgYrDYSzRWjNrgksRkIsijOJJv7xvOhkpOJRdDKywEY8wHKIPIsy+2naW6xcvKnOwlEp3+alh3DqS9Wc+VShuK9/4yWOcINkzela031eatj3D0KtS3F2r2fNR9rMYK3O2nS1kPTYe+7av2w75L9Msnm2nnrPhb3Kf5WMd96DMPSeAwaw9GVxTyc94Xcmm5ZKTirNeMcchH/aI55MesSbb212WCfbQcDssJQecSJEiYIIgDfrEVd5pnrxi1mTeDLpFK9Mn7iNxQaZxbznZmwRJyIENtOh1KizRZyIEdhGt6jMJKLDtMwB7Gdm+K2P4RYZopcW8aTIoso1nE8FDgyH+BZxkVXuFnEqWmA8xLaIF6ct4u673eiogVERpanPDz6kVeHIU3fo0IGBjNAhniSFep6LygZ4lw5YIgGDHxNtxJUZsDnAe3TAwAhGzjtEkkW5FfQ+HTQwqOE6xN0e4zodKTC0YTrEi9MOcfcdb3TEmHBHeSCSWOpefPu1ijUZN1OHeJub6NHBAsMeukO8WJmBmgN7SAOr0R4Xg+P85Ogk7MdZHopKyLAS/TKUVZbFifL7ydGEjzPLbUn7qZmus0O87VISC00oP1s+3EILkxPbiFxlJYLYaoMmy7dUInt/XD8ZJ7v3TMv4eED6trmTQx9hd66J56HuKx+9GTT/n74pzuTbt20GWWc1iIQbBJ6SBtCc9MZLpwYZva2bnp4xRzDecBjfa2K++IvRL4MqVn9Puq+U32A1GGLPEpP9WouiL7Ay4arZWKlsslLxWLNhZIHdM4YshwociVVxbLFS8VayybKijIT1kdvmZYgIJagMs6tqU053+d13zfESR3hAcvZUxlkaSVfhhpMd9iWEsOsq3HQvac1HWvcKtUnY5RZqXM0/VQu7Konn2V14oYaIF7glBdWeF1+oIdpBwOywlEINEaJEQQTAaz5tfq879YMy0Jo2SAoVm6M0TmXQfKasrg++fmjaq/S5S2Y9H6vM4t21oPm4uakUs/5F4R3/mkSBSj30kr43kdtrgbW1coNsAeAWGUbmuoo8RITA/TCUfHUWeYgYgTthi+pSIjrMrhfAfmXuPgaIiNBLjSfLq8g+q71NBw6MpEuu8VDRAkMptsZTndZ4nNedXaOjBgZUlAI/93Akpcyj3Ppc79ChA2Mgvsajhw7LqLRuh+7S8UokXvBTom24MgM2B3iPDhgYv8hJipLUUWUFvU8HDQxpSyzxUJECAxumxFOdlniczuKAjhgT7EgPRFqotFVYH4maDJunwtPmJHp0rMCYhy7wVCszUHNgD2lgjTTLq7KfJoOwKk7KUBzHKlc+ytPwJD4uRJqeZOmxHPNxZsct2wPUDNlV4Ela7246TxPKz3uBh5MIYlcOmmSfFnhOU+u5fPrJ6agMqAb02+Z/qWzws+ZPKpX7rPlcD9h82XygvvQb9fHz5svxNyZpHI/eyfWHJLV673VWW0q4LRFZ8B9nVrxvPtND7OZs4WdNN/rF9BBiY8FxlntaKtJlodfHxxHrOaW7enZJ5dSTstCqvXKkrPX/+ypR36KnspWFHWWXDVarIrZPMZm1o4DEycRzAYmTir8CEicL7N41YDlEJIS0MdliZeKtflQkeR6Vju5OVoaISIXKXjvqR8n0msik5eJPVuIIB0hOzapct99ZHck+LzvsOwhh11E/AixpzUdaD/6sjoWXx4EfYWOpNHLSwrJMxDxLb3Uk66N4lYwXuO0FlbhLrCPdMhcvPZl8/f74GCPzox+Cq0pUqwiYVZZRVaJClCiIAHjj2o++HUJ3U7nF9Z8nJSW9iF/ru0SePrtQ45U1q6oE9egtrcJN0vPcmXzl0+aj5qb69ePm/7W6mQ2yXYB7dRhF7Kg1URECN+ZQStdVa6JiBG7JLSphiegw228A+4k8yh2tTVSEXmpNRVZGuXUra5sOHBht8bWmVLomqL9HRwsMt8haU5LMak2J8xrKa3TUwKCLUuvntmWFyIqocNSayNCBkRFfa0qSqlS6zCrHdul4JRIv+CnRNlyZAZsDvEcHDIxf5ITG7TT26aCBIQ1Xa3I7jOt0pMDAhqg1zZzF9RZncUBHjAl2lAeizVHUZNg8taY2J9GjYwXGPGytST0ZM1BzYA9pYI34GcRJ/+Q4Dvvi+Fhl0+IkLMVwGGYiPzkqBsfHJ4NJVHRm0C1bCdQs2llrSnE0ofxsuXYLLUy+bSNylZUIYgcPmojPhl9Uun332ZPY9H0T57K2s+n1D0xJ41zdI/jn138dCNlV9FhnNZWEmwqe+tpobLDSQGxdYjJVV+2GkQlL7SaOHNf0bLJy8Vi8YWSB3TgGrIeIytiVITMy8Vi8KRLHlMg2L0OE60elg13Fm3S605+2FG84iSM8ID3XcS/rPi877DsIYddVvOle0pqPtDm17YyWcWpP9w3oJOlpjRJKdmatPOU8T1f5xo0WoyhPKziu6g0R7vxj1mJcoG603hauNeIDJSXfMxrx/TO1GhsdJQCztS0yp3Mu0U1qMY9YH+48p5ycWFUfKvUh1Z9lsf6Q6w/6ayLVHwr1QerPpP4s19+S69/m+reF/qzQn5X6s1J/VjldKtUoAm8UZ1ZttcSutsSutsSutsSutsSutsSutsSutsSutsSutsSutsSutsSutsSutsSutsSutsSutsSutsSuyxK7dEtIvCXgObsyxJ42xJ42xJ42xJ42xJ42xJ42xJ42xJ42xJ42xJ42xJ42xJ42xJ42xJ42xJ42xJ42xJ42xJ7LEHt0Q8BffnqI0QaptUFqbZBaG6TWBqm1QWptkFobpNYGqbVBam2QWhuk1gaptUFqbZBaG6TWBqm1QWqXQWqyQc5tOXUYBPd+9LQVetoKPW2FnrZCT1uhp63Q01boaSv0tBV62go9bYWetkJPW6GnrdDTVuhpK/S0FXouK/ToVoAHXOR+ljLCoTbCoTbCoTbCoTbCoTbCoTbCoTbCoTbCoTbCoTbCoTbCoTbCoTbCoTbCoTbCoTbCoTbCocsIhzQjmJfjxkx8eOslcfdbi1YWhXMpYWCJSiRyXBF7lYwX</t>
  </si>
  <si>
    <t>WNbikCK3A33iy1P13feau6bR9/XTxoVp/++T5muzH6YvKdC7YQ/GX35qfnNP/dE7082u5v6kxcR0PDyYtBI/Gv8Es4t2f7wzNv774yaJB+pvaRTfmH4HvZc2/gdGP9PQnVqJaOx5QcDZokKEKFEQAfBmpwGdnv9TRllgQ71BRg0swGG25axbJy+QEQKrbfDttrYGEiJGYJ1t0W00IjpMTQ1gP6vttsjovDSPyKKISlfzCBU4MLzim0eStkllMlxggMV2j4jT7hHn9aDX6KiBYRaVHJ/fgLcbe4cOWyBhg58NF9ZdOlaJxAp+OrT9VmbAzueCVMDAoEXfSY31+V820Pt00MA4husaafEU1+lQgeEM0zYiTttGnF7igI4YE+IoT4TrravJkHlaRlw4e3ScwCiHTK/1EzEDdT4TpoA1aKv+oIrjLJQDkYWi6hdhOeinYSnyPC1jKY6L4ZiPM0n+UX+57SLO1FOlyhJHE8rPlk630MKk1DYiV1mJIGqG0Fz7pj4p6mwy+2T003GnyDgP/qNJed/Wp0jZm0me6IGNj5qb4fwEss0866zmkXDzIFLPmYXu6qEV96bA7WB942Cj3uoF6zuBUpjKfKkMwqAYHzN746VkNTvTQpMGeqQ7SMyfBmZj4uHo53p+WaW54+GW0fvjv6X/0ncL87HMVousuRM1j/46KPJktRKu+6E3WE2NKOIi8mXnVdecVFj6WBL7fVKbrEw8drEwssBW0AGr4UrTGVl462BJUsd5adu8/BCxCJWQdvWvTC9FTlquuWYljnB95KwrrSK7Htzn5YZ99yDcurpXuhe05iM9vqVheCTLol+G+YkYhqJ/MggHx+pD1c+LOCmP+kV6dMO/UrZGEKWUc6wtYPz8K2VGIgjvBFfKU913X0nke0qiPRif13NaBrodqO/SVamH4xnY5sn0wB5z/bWRzOb39WaVZHEc745/qz79rv6vdF+JzWksCTcWXDfbaGyw0kA4ZoQmddZwGJkwSVL79TabrFQ8alJGFti4CFgOlyZlZOFNkwpRRMK60bPNSxDh9pcqSqf3Jict92CzEkf4PrIoda/qPi857NsHIdelSrtXtOYjPd6/lXKYDoYyrI4GSSgGUovX41Rp2UwkaZkcldXEuXpVpdZcU6nS9ivSbAodxM+/KmUkgnBPUFX6+zM9R0p+/mNzr/nGCNX7+mKwLzayzAz1JVlgzkDUR7Lojdw3beTXWclLOPmFVSYjDYSnRahM984nIxUWmRlHqbRR2WSl4lFmMrLABjrIcthYbLGy8CczlR4RNn7bvPwQbnypKrOYahLn5bU7vMQRvo+sMhMhHGeK7/OSw758EHJdKrN7RWs+0kZl5idlnOspv5M0PgnFUV6F5XFVhUfDoYjz7KQfi0mY8Koyra+1Upkl1hYwfv5VJiMRhHuCqsxfz7XP3w70b5v7k/b5N6bHbY+bAj5uPjDNAB81n6j/Pp3sgV7bD2USNB/YDLLOahAJN8jCypORBsL7LkV5MlJhUp6TMtF55clIxaPyZGSBDX6Q5bCx2GJl4U15lmVUug6N4OSHcO1LVZ7T60WTlhtjWYkjfB9ZeToXdZ+XG/bdg3DrEp7dC1rzkZ6c960Fl8cZTVc5vWplWc6z9DajacV7lYx33nX8i5nRNH/r6eRSlyfqRz+a3JczOaXa3a/ZNrOp2z2fBImj/LtOXgYBW4alTG8SIUoURAC82fRmvhrkeoBTZbuF+dX+kG+QoQOnYRDy2Fn+JyKcV76sI5xEjPOSlmmEk4gOM98CsJ9LphLReRnhTAqRR4WrwE5FDgy/+BnOVKSpe4aTChcYgLEznKe3zSYtt82SUQPDMEq9QyefduiwgWFrqTOcVKwSiRX8dGj7rcyAzQHeowMGRi1yYpPIVLiP/qaiBkYy3BBni6u4TocKDGiYIc7Te2bdbuKAjhgT5CiPRMsQJxGy9yFOKk5gmEMPcer7Ze2u4ZAGVqMdDIt8UJzE4XGZJqFIkyzsxwMZHovjahDrv3oy4ePMolu2E6iZtGuIc3LFKJgmlJ8t326hhcm5bUSushJB7OFBk/Fb87ObOus1U4vT/vNlj3FyGkjCDYTIQRcd48yXM8aZm4/KfslqpT4dT3JWWSFWy9Q9yslpbsTWKiJvdpaVOKmwlJWco5ycTPxVlThZYHe2AavhSNc5WXirKrWMcrLyQ0QkVF7aUVVKp5eOpi33yLISR7g+cvLVMsrJyg377kG4dVSVAAta85EetzPFRTnIqjRMs/5RKE76Mixl3ld/66gqj4ph1j8RN/zrZUftKU2wtoDx86+XGYkgvBNUL4NGOfdfHL72Sl//8tJ/7090tPpOXYx609xpq34zHepsPjFlJKWqT2c8v1fFVZzEB3EcJ/+utx8bvai04rgoZgpf+t8035vH8Xfz9gFQThNLuInhivt7GwdXdq4EO1cOrnz/+1urgSmwPTQq/IHJQt5fUzmHzkUm5tNVQX150aoeVXhdV+XU795qHq4Fzz+fx6n6v4NVpaTPVvnWtOVG75gPlct2G6y2Q8QQhHx2lZ04mXhWz4xMPKpnRhbYCA5YDZd6ZmThTz2rJDoS0sZwm5chIkItVT8nU7nlvH1yh5c4wveR9XMSl1kkHcULVnbY9w/CrktBdy9pzUfaKOijtMrSNBmEx1WmvlekIizTOA6HyaCqBkWSq2+/4V9BW/NipaBTrC1g/PwraEYiCP8EVdDAsdNYBGOVrP78K/Onun/rrHS2WWOd1RoSbg242LXR2GClgfC9CN3p3rZlpMIiPN1zqJxUPCpPRhbYyAdZDhuLLVYW3pSnUM+adWJxm5cfwq8vVXdO7xtMW66QZCWO8H103dkyh8pKDvvyQch1yc7uFa35SF/eOdTUNYeaZlhbwPj5l52MRBDuCSo7+edQOQ0i4QZZWHky0kB436UoT0YqTMrTNYfKScWj8mRkgQ1+kOWwsdhiZeFNebbMobLyQ7j2pSrPbKpTshblyUkc4fvIyrNlDpWVG/bdg3DrEp7dC1rzkTZXl6/OFJfWkx7nUTMbWyUtRRvbNJ5n62ke1dHze5WMd96FeJ1HHY+O6lOaH5uv3FMy8lFz28ZwncxQwBjiRj2bX+nW3tEvRz8ddyzo+dWf613X0VtB8xv1p7dsJJ4nk5AoEhAC02HQJFlV/9kfqw0yXuAsDUKYOkvxRITAuRm43myZAKViBA7MLCokiegwwzEA+4m8jFLrIm+RIfoZA5WiiiaH0J7Xf1TkwKiHHwMViXsKlIwWGPaQU6Dp6U2eactNnmTUwOCH0s7z5i5SmYkiKqwW36FjF0js4OcjqdIqzqNc2ADv0gFLJGDwc6KNuDIDNgd4jw4YGMPICUaSx7HDb+zTUQPjGm4e1O0zrtORAqMbYhw0Pb3T0+0vDuiIMRGP8kQUokrTPKqsUbAm4+aZCW31Ez06WGDgww6Gpvp2T7uPOKSBNY9EPxtmqZShHPTzUFTDIhwMjsowLaphMkjSsupPjO9MZ1vye2pK6xwMlTiaUH62xLeFFib5tRG5ykoEsakGzYrnhx6hGS8jSwlnCU8qbTQ2WGkgNgIRuaa7CMJIhakIYt3f2mRl4rEGwsgCuw8LWI1ExJHIrYpvi5WLt0pImrqOitjmJYjw2qh0rqsUMr02MW25B5OVOMIDkjMV96ru85LDvoMQcl21kO4VrflIj5twxHFRHA2zcKB+WChymYbqbw/09ZnHySDvH5fy6IZ/UWnNSpSozLG2gPHzLyoZiSDcE1RUnm/CmU5HWntxxnUKfajmXa09Q/XLffWnTyffdV/9wePxd9mss85qHQm3zsJilJEGwhUvRYwyUmESo86OHEYqHtUoIwtsJAQsRxFHaWZND7ZYqXgTo3kZCZcW5eSHcPZL1aLTyxLTlusvWYkjHCBZizoXdZ+XG/YFhHDrkqLdC1rzkTZSNBZxv0yOjsJ8GGehOKoGYSUyGeYnVX4yGJYnIju54V+KWr2WkqIF1hYwfv6lKCMRhHeCStEvJqfJnx58N/qZ+uSt0evuLc/guekfPWm+Gv1PcxzFm+Mj379objYffmeiZnv9V/5u+Nprswvcu/4lo2mfTA6uuHN6/vx5AM2fzdH3b06/YwLnrj5ZxJxFMv66kdB31fcbBGWRVqVt0dZZF03CF21hhcxIAxEgEApZt5N9HQX2Y0deYCXEopOt1ZtNVh4eRTIjC2yMBqyF6UqyMdliZeJNI7ds13LSQwShpUrk6U2PacvdnazEER6QLJFl4t6t5eSGff0g3LokcveC1nykjUQu0pP0OK/KMB8kIhRllanvPRmGcX5ciuNhFR9PW5+8SmRhs4WSyK23SdlsAePnXyIzEkF4J6hE/vhZ+QlVv2J8oPFECm9cuTb+bO9HL7346o9ffuW1V4Mr672tvd3gQMQWvRzOZPMzmng8lzmniGcC+mfjI+L0wcnvTs7ZM5dD2dZhnXUdJHwd4KoXZowp9TVtvMkhKfrYu/FReXpwYbKXPrtBa21q+tWg+eDZg/NePrNcR6+9+PJLZrn+4yvD/7b6zFnVze21yYr/3/qf0m0jt0dv6PuxbjUfKiQ3m0/MSdjNr1L1j/wmUx++1J993txK1VqP/6ptmTZYlwkR0xCq3tnwz8iER87b27E2WZl4FPSMLLCKArIaZR4lLkXPSMWbok8UXLeo52SICJtLFfXTWzTTlmtRWYkjHCBZ1Lcs6z4vO+xLCGHXJeu7l7TmI21kfdmPZVKUMsykLPQuuQwr/eHoKDuSqYiP8v7EMF5lvbTZQsn6CmsLGD//sp6RCMI/+ZT1Zw6wbhH3mwcb/2HpCt+2BuusayDha/Cvkr5D0jMuEyKiLUPSMzLxLOkZmXiU9IwssGoCsBpZWkaVc3SYkcsl0fScDBExc6mavpoKQOe1jju8xBEekEnTc7LDvoUQdl2avntJaz7SWtS3afXlHiojbOyuJFncwk79N8/uog+VoeKddxqX91AZKkMBY+jnUBkqCYkiASGgr6r8rPlcqeXmD0pkf9R82Hxk1O0nzZ/GV1rqP/9DFIyPn5kt2lqQOA6goXKbd998B9BQEQIH9TGi1HkADRUjcER/QblJRTcfxBY8gEb9W7Hj5pItMkY/J9DkaR6V1udzm44cGCLxJ9BImTtPoCGjBcZI5Ak0WTw7gSZz3qZ3jY4aGClR0vpcehQXUqSJ4xjtHTp4YBAkHEGjJF2sXsbU+pDs0hFLJGLwk6KtuDIDNgd4jw4YGMboGUhR5ZH9uvR9OmpgaFveGTRkpMAAhziDZuYxrrd4jAM6YkzQozwRCoHM4yLKrA9FTQbOcwhNUZRlLh0TIT06WGDswx5Cox6OGag5sIc0sJe2VCVch9BkbfdmWWhC+XkvVXESQWy7QbPof5GlKs41kPA1gKfIzoJS85mtorR6pmrVWlwKcKUlmzU3WK2J2E9dRlLOyMRvRYmTib+KEicL7F42YDXSuKgiUUkbmS1WMh5LSrkK09aHbpuXISK2ofLejpJSNr3UM2u5p5WVOMIF0hM697Lu87LDvoYQdh0lJcCS1nykx9p7EOcn8igORT9OQlGlWTjIj4uwlFUVn5RHQ3kB0x/CdVZPlqJtAeLnX3szEkH4J6j27h5bvowD0pM7Y58Zjz4zHWL+wSqRwvqwrbOukYSvEVyb22hssNJARASEKO6Yh+YkxKONbTw2WXl4VMaMLLAhGbIWrUUyRi7ehLFMotLKb5uXHyLsLFUWTy8dzVqukWUljnCCZFnsXNR9Xm7YNxDCrUsUdy9ozUfaiOIqy7NB2u+Hx8NqECbJ8Fh9m/oQxzKWeXmcpsf9G/5FcWazhRLFGdYWMH7+RTEjEYR3goriW1pyKhV6e9LcFGSr6eidpIjj0TtpIaSr832dlaiEE11YWTLSQDhVhLJ0brcyMvEqKRl5eJSUjCywAQ2yFq2SkpGLN0npPmSHlR7CZy9VUU5vE81arodlJY5wfmRFmWTCcZztPi857BsIIdclKbtXtOYjfXnPRBfORn+BtQWMn39JyUgE4Z6gktLzmeic1pFw6yysQxlpIFwxQoc6z0TnpMIiRN1nonNS8ahFGVlgIyFgOdIyi1TosXHZYuXiTYvmVSStUWublx/C2y9VjIqpdHFeCLnDSxzhAcli1Lmo+7zcsG8ghFuXFu1e0JqP9OW99FG4jobJJNYWMH7+tSgjEYR3gmpR4qWPnCwlnCVcU86IvvDyK4OXA1lVwcZPXnn51f7JMKh/8mP1KCsBnsaBFm2rweh106T6jtbcQbwqzZdNl6p9b3GD1SAI37wUdcpIhUmdZjYmm6xMPIpTRhbY0AhYDZkX0RTzeXHKyMWbOE3TLLLfj7nNSxDh/5eqTqeXDWYt10eyEkd4QLI6zUQSxdbHdp+XHPYdhJDrkqfdK1rzkVb/+9szLlSrzr9pk6HLPfXEusRKgOYtbMs0nWfr6dST0nnqCRHvvA9ZxqknzW2jGcd7meYYlPdM/+WdaYPn6J2geWr6Pd9W+tIIMRurdTIrAWOFO+nEBvF5MkSJggiAZ1pjnwaF/QnZIAMFTnMjpGZXqycRKHCAGy4k284mIWIEjm4vKhGJ6OZDz4JnkwjXliQRnpdjSUQpo7iyAd+mAweGMPypJGnsKtN/j44WGMOwp5Lkp6eSOK8GvEZHDYxkKCV8ztxZWooosyb9O3TowHCFP5Okyp3Pxy4drkTCBT8k2oQrM2BzgPfogIEhjJwrSGXlye7t+VyBChoYznDnkbj9xXU6UmBQw5xHkp+eR+L0FQd0xJhAR3kgUhEnucNP1GTYPKeRtPiIHh0qMOKhzyLJV2ag5sAe0sAa3VNVg5NyOAiPy1yEQuSFPmI/Do9knGdJf3AS94/GfJxJaUuWTk1MnWeRtN8Mdo4mlJ8tfW2hhUlhbUSushJB7I1Bc9tbpxnr6BdB8+vQzDi+rrLdb6YHgugWnV82j0zR5L5Ka++cnjrS3Go+af5PGCfWA83WWY0h4caA55s2GhusNBDbfkvMRhkJsZQ/3IdyMDLxWP5gZIHdegWshkwjVxbMSMRb7UNkip/1edvmJYjw76iMr3WnXHOa7pS33MXKShzhBMn5jHtV93nJYV9ACLnWFd2HrGjNR9rIzywryqMikWEyOEpCEZ/IsDyOqzCR/SpJh7E4qo5v+Jef1uxFyc/2G6wstoDx8y8/GYkg3BNUfv5OKcq7zQOtK4Pma9MA/o3u/Xa0iSvlee8HWnnayK+zkpdw8gvLTUYaCE8Ll5ujn43etFF5gZUKi9CMHfvkm6xUPCpNRhbYQAdYDte+9BYrEW9KM3HuUm3zEkS48qUqzeltklnLBaGsxBH+j6w007xyHNq8z0sO+wJCyHUpze4VrflI+71LyLpDq7Rj1cJOoZ1nd+FdNUS8wFokVPotu6uGyErAWC2lq4YIUaIgAuBNumqaW83noauxhogVWJWEa8vOrUwiUGAlEq4c2xpriBiBNchFJSERHabeCLGfcF8HT4XopbkmyVR4cG0XUoEDI9mSm2uoaIGhDNtcU5021zhvKrxGRw0MaCgBfO7hqBJZRIVVDe7QoQOjFr65Jq3SVLi7a6h4JRIv+CnRNlyZAZsDvEcHDIxj5BwhEWVUWYso+3TQwJi2xO4aKlJgZMN011Sn3TVOZ3FAR4yJdpQHIk2KXD0S1hyjJsPm6a5pcxI9OlZgzEO311QrM1BzYA9pYE3ekCUnxyIWYXxcZXpMOQ8r9XdCORgOjo5O4iRNJw+5MzttSc+pGaqrvWZyLROYJpSf9/oGJxHEphg0yX22vaZn6a6ZdtBMj8cZn/R9z3zbE32jzO3JGTpPmnvjb0mLOP6u/eqqdVb7SLh94LmojcYGKw3EFuDy0lROQiyFENeg4CYrFX+FEE4W2H1YwHIUeVTohOU8lS1WKt5KIVUcVdYuwm1efginj0oEOyohIp7smwvn1ZQ7vMQRbpCc5TgXdZ+XG/YFhHDrKIQAFrTmI20k6UkiT7L0JAtP0uI4FEWehP1BehyWIs4Gg7yK8+OLkKSOlhuRYG0B4+dfkjISQXgnkiRdnQnQ8gen6tJ93jcnVwnnCpeXiuqb42sbJ4dMjn5qjr15c/QLG8MNVoYIl7tE5clIyLfyZKTiUXkyssAGPsBytCpPRirelGciy6iw7rtt8xJEOPelSs/pXX2i5fpFVuIIP0iWnknlbvdmJYd9BSHkurRn94rWfKSnR91MX1itKT2edWPNL5S8TFvolqmYp+upKyeJXW05VMDAKiZUHpq2HHPX4LemQeeO3oV8Oj4zUf3BW7oZO1C/+UafF3jP7GU+0gLEfPbYXCOjO3q+nfwl9dsHup37jaD5xmxl3lff+MB8w+hnZlfzzqr506dm1/Pu5NJE/ffuTY4GNz/M/AvPnCg++TeeTHrE39HfaRDft9l3nWxfAbPvMhqEqBAlCiIA3mmD0MehNfRvkLECC6tL1L9EoMBiKkrXuhqEqBjnRStPgxAVHaZkCrBflilnL20Qt8gQvTQIZXkWydIGfJsOHBhU8Q1CIkmcDUJktMCoimwQEumsQUg4r9i7RkcNDK0ocX7OK6RJJkRUWt3sDh07MGzhO4SSrEiKJEqtb+IuHbBEAgY/J9qIKzNgc4D36ICBkYycwYhERLEV9D4dNDCq4VqE3C7jOh0pMLYhWoRm7uJ6i7s4oCPGxDvKA5FkZVJUUWINJTUZN0+PUKub6NHBAuMetklIPRszUHNgD2lgNdpjkRayKJIwS49Kfa/WMOwncRoeJ3me9I/iwaCaxBhnstyyfUBNmJ1NQhmOJpSfLa1uoYVJrW1ErrISQWzaQVPuW2ez65a0etww9Bv1hW91m1DzOKg30yRJ4/hAl26yq70g11e2VubCVt1KNC58PGyehOO+Iv0TbCZbZzWZhJsMnqLOW611R+L22o0bL31v4+DKzpVg58rBle9/f0t9oblpLoHQQ0UPRu+qb3x/LRiXx4LmE71ZoTci1B+9ob/3A2W9N81v32oergXPP5/H6dTy+dWe/pY/NU/U3zAdW2vTlVD/6SauR6tB84/j5VhzLcyqbWU2WFcGsRELT8jd0+CcVJhKUaWwUdlkpeKxFMXIArsPDliOXClia+zaYmXirxJV5c5xcFaCiKCGSna7KlHT20xFy/20rMQRDpCcx6VJ7Lx0gZUc9g2EkOuqRHWvaM1HenLwUFL0CynD9KgahmI47IdV/7jSf6uUw1QeF3n/hn/NbU0tlOYWWFvA+PnX3IxEEO4Jqrlnd4JNq1STeXP1pfXhK8NXX3wteG52YZhu2v+fRiWa4lMwvpdW/adVuP45WmW+H3xncijmF80nibWfYJ3VShJuJYTMnr88zSmxg/WNg416qxes7wRJaq4aszq9DVYjIBw6XNG67xHjpMKiaGN7vXyTlYlHQcvIAhtOAauRZlmU21+TLVYu3iSt+3wjVnqIiLFUQTu9ElW03HHLShzh/+iCtooSYeO2z8sN+wJCuHXp2e4FrflIGz17lFZZmiaD8LjKjkIhUhGWaRyHw2RQVYMiyYvh5Gn3qmczmy2UnpVYW8D4+dezjEQQ3gmqZ39/prnqtt5rvNd8Y5Sa0mZKkW5kmTk3MxbPTpjeNx1TgO1hRmtIuDXgutVGY4OVBsLzLkV5MlJhUp6xNWhsslLxKD0ZWWAjH2A5kixyXWDLycSb8BRxlLrmSTn5IXz7UpXn9LZT0XJ/LStxhP8jK89Ed0q5Bko5yWFfQAi5LunZvaI1H2kjPfOTMs5PjuPwJI1PQnGUV2F5XFXh0XAo4jw76cdiEiq8Sk9rGFHSM8faAsbPv/RkJIJwT1Dp+eu5xvzb7sPbvw2aj5sPmi+aL5uPmk/Uf59Opk6v7YcyCZoPbAZZZzWIhBtkYfXJSAPhfZeiPhmpcKlP3WF6nssmKxeP8pORBTb6AdZDRnFsrZFssTLxJj/LMipdG5+c/BD+fanyM5+KFefNlju8xBEOkCw/nYu6z8sN+/5BuHWpz+4FrflI+z3X3dpPrfRk0cKuSrJ5dhc/QUoEPO8z/nWC1GbfdbJ9Bcy+S5kgJUKUKIgAeGcnSK2P6wYZ67yn558gJQIFztrARWzbBCkRI3DKZlFxSkSHmaiB2K9yto8SAXqZH81FJK1aeZuOGxhRlzw+SkULDKnY8dHidHzUeU/iNTpqYFxF6fDz46OZlgQ25Dt05MCIhR8eLUoZO+Du0uFKJFzwM6JNuDIDNgd4jw4YGMIWSlSsHmOfjhkYzZY4OUpFCoxpmMnR4nRy1OkpDuiIMXGO8jwkeVVEaWZDXZNR88yNtniIHh0qMNyhp0aLlRmoObCHNLCXtuziuE5MpckljiaUn/+yCyMRxLYcNM32UHZhNIiEGwSedNpobLDSQOw6IvJRd9mFkcp8fG+hAs9Y28oujFw8ll0YWWC3fUHrkdr7J7ZYmVyKsgsnP4R/R6V7XWWX6e2rouU+XVbiCAe4UDbjKrtwcsO+fxBuXWWX7gWt+Ugb9ZlKOUwHQxlWR4MkFAOZhqU4TkNRZSJJy+SorCbu1av6dM1PVlhbwPj5V5+MRBDeCao+gf3mSRZMDtK4bU7YeNNGfp2VvISTX1hpMtJAONqlKE1GKlxKU9iobLJS8Sg0GVlgAx1oOYrcuh5brEy8CU1RRMLKb5uXH8KVL1VoVlNd4rxbc4eXOML/kYVma3s5JznsCwgh16U0u1e05iM9VppVmcSFLMOjJK1CUZ4Mw34m41AepUU/ycq8mm4xe1Wa1m3yK4lsv7vJZgsQP+9Kk5MIwj1BlebNWY/Q/dFPzZkbD5r7ekvzTMOQ3s00O6L6z/XnRnw2HwRJHJvPvlL69M/qvztmxFEflqePZzMfCvdtR5yWknBLLSpLOWkg3DJClj6yZnsvsDJhUqWJtWyyyUrFnyrlZIENioDlSKMkdnQAcTLxpkqlLCIpbQS3eQki/P4yZamcXrooW27RZCWO8H9kWepe1X1ectg3EEKuQ5YCVrTmI315D5ArXVOPMsHaAsbPvyxlJIJwT3BZeiEHyHFaScKtBJekHAfIcRoB4dARgta5z8pJhUnRWjdINlmZeBS0jCyw4RSwGvoUD0c9n5OJN0HrPj6OlR4iXixVzk7vcZQtN3OyEkd4P7KcbTk+jpUb9vWDcOtSs90LWvOR9jtFWdnYKX2atrI7NyN64VOUVMDzPuNfpyht9l0n21fA7LuMKUoqRImCCIAHmKKkYgWOoCA0bscUJRXovIrlnKKkYpzXpzxTlFR0mOkSgP3SxDVFSQXoZYpSJo69+G06bmBEXe4UJRktMKQipyjl6SWcsuUSTjJqYFxF6fBzLiEuysh++9sOHTkwYuGnKMu8SJ1TlGS4EgkX/IxoE67MgM0B3qMDBoYwcqJS5I6esn06ZmA0W94UJRkpMKYhpijl6f2bbk9xQEeMiXOU5yHJY+Ho+qrJqHmmKFs8RI8OFRjusFOUUt+9afcOhzSwl7aM4ziAQqXJGY4mlJ//Mg4jEcS2HDTNvqgyDqOVJNxK8EyUpYzDaATERiYixXWXcRipeC7jMDLxWMZhZIHdRwasRiKiwlXGYWRyGco4nPQQ8QKVPnaVcaaXIMqWay1ZiSO8Hzk7aivjcHLDvn4Qbl1lnO4FrflIj2+SHx7JsuiXYX4i1Pf2Twbh4Fh9qPp5ESflUb9Ij274V7NW0a7UrMDaAsbPv5plJILwTnA1e75X/rZWa6c1oNvB7Nrz+0a0PfnBTK5OrgAa/77erJIsjuPd8W/Vp9/V/5Ut7fKMxpJwY8FFrY3GBisNhGNGyFJnuzwjEyZVmsQuXcrIxaMuZWSBDYyA9UijVJY2JlusTLzpUqHHOF1FIU6CCN+/VGU6vc5QttxPyUoc4QDJylSUVVRYH9t9XnLYNxBCrkuadq9ozUf68h4YUjnHOCXWFjB+/qUpIxGEe4JK0+UeGMJJXsLJLyw1GWkgPC1Carp3QBmpMGlN14EhnFQ8Sk1GFthAB1qO0l5a3WJl4k9qug8MYeWHcOVLVZrT2wtly32UrMQR/o+uNF2Lus/LDfv+Qbh1Cc3uBa35SF/ec5Er52BmjrUFjJ9/oclIBOGdoEKT/1xkToNIuEEWFp+MNBDOdynik5EKl/h0nYvMycWj+mRkgY1+oPXIElcBnpGJN/XZci4yKz+Ef1+q+pzeXihbrqNkJY5wgGT12XIuMis37PsH4dalPrsXtOYjrf73t4a5uDFTlX/TJjOXO1lp7+NVCrNo4Vum+TxfX6OVwjlaSQQ870V4RiufNA90/dvsUr4//sLDMzOWZiBy9K769b6Rk/rPxoXzx/q7Huj+yNEvbcTXycQFjPhSZh6JECUKIgDeZOaxWg0c7SUbZKzAgRGEInVW3okI58Um67AjESNwMGRRAUlEhxkCAdhPZHkeOaUhEaOXeceWnksqbGCYw4875nnLuCMVLTDMYccdTy+NlC2XRpJRA2MdSi1DH40dOmxgpMLPOqZlmcdZ6TjmZpeOWCIRg58RbcWVGbA5wHt0wMDoRU4n0jiT0aRV4HxCQUUNjGi4gUe3v7hORwqMa5iBx9NrI92+4oCOGBPrKE9EWZaFTLIotzbT1GTgPDOP7Z6iR0cLDHvosUd9eaTdSxzSwGq0J2I4qPK8Hw7Ur7qVfBCW8ckgjGMZy7wsk0pOAqMze23J58kZrHPuscTxhBK05bktvDC5ro3IVVYiiF00aA58Zu7xiekNf8sMMr45bgkfn5OuZ/3uqD94x5zy88h862M95ajPFhp/w2/Gw4AqAx7/oHFhZfROYOYC747eOvulW82vmv8VPptpN98+d+3f9VZP8+vwNMH+zmrQ/Fmn3/pfHb2h/6L6+KT5anrE0OgXQRImq3L001Xdvn7HEHjYPAmfPe99NRCrWeKqHqyzLp2ELx08RZ6t3gsvvzJ4Odx45eQnr7wWyLQMNg4P9urelYPg4Mr+1vNBGMjA9OvfeEmv4egfRm9HprXqDbWoan2a28FfB/GqkIGxzo2XRKDyndWk0OsRNY++q//sr4OkysVq4TLgBqsBERup8Lx99DN7Y9kLrFTmpVALFUSCb+OxycrDYxWJkQV2FxuyFuo9sc/VbrFS8VZGatlT4KSHiH+ovLirijS9jFG23K7JShzh/Mhpn6ikY1X3eclhX0AIua4yUveK1nykjT6Xw6oYilKGR8MT3fA0yMOqL4ahjIfHMk3zk8HxZNX96nPrRrbS5xXWGDCC/vU5IxGEf4Lr8/N62DQ0nRvnHA9r7q8H/27r310JavUPD1+dnfP58/FBoEoFP1JfMz/invo0Xs1axjgZLSXhlkLIYZNY6GxF5wq3m2+bx+FZE60FzZ+U+H1dUb49enMtkPraJ/MhNep4dd5W305t9a1Obe4FxvwqnVB2K2d6+h/H+caa/t7TzEMfBTOeol0NzNmpD0yiorOr2+Nk626gsxPTnvZY/cu3TCFSA79jFPnsxNW1sboPmg/Uz9OZ0gOdTa1tnJwM/+61frD/yssnw1dfffHll/o/DMo4jxWmXnDtxf/4n14L1l9+6eiV4WvDYP9gLzDJglb8b+gM7MM1/YVP0knp8lepgvCbTH34Un/2eXPLVXJjfCgQUQ4u8d2lOUYmPAo/ijMblU1WKh5FPiMLrMYALIcQVRFNO53Py3xGMpdB5nPSQ4TRpcr86U2YsuVuU1biCAdIlvlJkbuWdZ+XHfYdhLDr0vndS1rzkZ61i03WVdzw2y7m2GrP41a+5TxfX+1iuX2C4ioZMLCEDpXipl1sui8+nl59Zr9bH4BnO5x/rLAm++tKNeph19k3d/eMUdkLGPtl9IxRIUoURAC8s+fkOwQsFSuw6o4Qph3n5FOBAgvtKN3pah2jYgSW2BcUlFR0mHI6wH5pXJaRkDaMW2SMXlrHsqKKUut7tE0HDgx6+OaxNHEJm+/R0QKDHrJ5LI9nzWO5837La3TUwMiHUs/z5i6qpCrTyH6P7g4dOzBu4TvIRFbKQkTS+ojs0gFLJGDwc6KNuDIDNgd4jw4YGMrIKYbbbezTQQPDGq5/zO0yrtORAoMbon9s5i6ut7iLAzpiTMCjPBCtrqIm4+ZpH2t1Ez06WGDcw3aPqWdjBmoO7CENrEZ7PEzS/PjkJMzS41hXsoZhP4nT8DjJ86R/FA8G1STGOJPZlvSenNC6usfyBMcTStCW9rbwwqS+NiJXWYkgttWgKfGts6nu7Eh48zWT7t4bvaWLLcFzzpPzv2huNh9+J0ji2BRUgn9/zXz+fP+Vvws2X+n/tyBORB48//IPf/h3w5cC8D84/ZO7usJijj8d59tm7P+umebS993pLz+0rcQ660pI+ErAc99p9etrZYyv9CV/pvT0bkd1KtIlrFtmT2LS66cv/nsyelsXGk+PR9DlNFOXGn/72Q2Ox+NS5MNJQ+DttWD7ml5Cyz9ovrOIRa5/iq0cFaLrUZzLhNiOXWLaz0iIqSzlaD3jZOKvKsXJArsjDliNNK2KKK2kjcwWKxlvValMiKiwEtzmJYgIoKjMuqMulU8vD85bboNmJY5whPSk0bmq+7zksC8hhFxHWQqwojUf6VlZauJEfZ9i4Ogwy9M2vlk8z9dXWap0nWJABQzcnINq8M+U2tMtTu/OylLjTiN9KZUZ0/h2orIRF0Sb66Bbroi2GWSdbBABM8hSKlVEiBIFEQCv+bT5ffDPb/8uKFVSNHozSAqd3qZxKoPmM2Xzu+YmMVNk1FnNG2aV1CKv6aPKblar5pcknvyaRFpE6zrke0ox6xrYWpDbTz7eINsAuG2IkMKu1iwqQuAeIUbbuktfRIzA3cFFVSsRHWYnEGK/OI3i3AZxiwzRS+VLyKqMSmFDvk1HDgyshNJX1lb7osIFRlZs7ev0nui85Z5oMmpgeEUp9HOPR15lsohyV+2Lih0YCfG1r1TBlWVk3yfepQOWSMDg50QbcWUGbA7wHh0wMIiR05gWx7FPRw0MbMjil9tpXKdDBcY3TPXr9Lpot8M4oCPGxDzSI9HmLGoybp7qV6uj6NHBAkMfuvqlr4y2O4lDGlij0WJZJoN+HPZPsjQUiYjDKq7K8KR/LMujpJKDuD/m48yZW3YRyHmzs/qV4XhCCdqy6xZemAzbRuQqKxHE5h008/7iTJp93+TLuhaiKx0/1Zmbvn1vdmrg+fv4Jg2gz96ZfOOG+rm/0kM+pqT1tf69uQ+l3sxjmcfxgamPnNZv9G8zPcKU6w9J4h7n4jSuhBsXkSJT7Dt3CfVa8L2Ngys7V4KdKwdXvv/9rej01kNdhNQ3y7y/Nhm+CppPJlfO6BmrN6L5iavg+efTOCnT8RpsHkRz42Sny1CZWmYUPDMbNr1U8bQuZtbPslYbrGuF2MyFp/LugxQ4qbDUs6zabZOVh8dqFiML7EY6ZC3iMkqtC7LFSsVbLStRWKPCynCblyEiHqJS5a5i1vQK5bzlTmxW4gj/R84CW5Z1n5cd9iWEsOuqZnUvac1H2gj2QXWcDZOjJMxjkYRClMOwysoqrI5kVgwLKQZi8kb7FezWxEQJdoE1Boygf8HOSAThoKCC/cxhZ+NK1xOlJB9PZXTzR6Ma3za1tPtmHP+OUZKTHqinWiLeaj5qbobmqpgPmk+b36iPnzdf2qyzzmodCbcOXHHbaGyw0kA4Y7gYdd8Pw0mFRYwmdheyycrEoxxlZIGNhIDVyJVLz1zlLEYq/uRoHmXWM163efkhfP1Sxej00uS85RpsVuII/0cXo65F3eflhn0BIdy6pGj3gtZ8pC/vLdjab9mMoaSoxBoDRtC/FGUkgnBPUCm63GuwOclLOHm40lwfvjJ89cXXgnVFNIiF7lDT5O81XxkT6Hans1MKNtYbrKwRjnkpwpSRCoswjaNU2qhsslLxqEwZWWADI2A5UhlJ+0WSW6xUvClTUUapNYRt8/JDuP6lKtPpLct5y7XZrMQRDpCsTJ2Lus/LDfsCQrh1KdPuBa35SI83SQdHw/5JVoVSiKNQFOVJ2M9jGYpkUB4ng/5xJi9kk1TYjKGUaY41Boygf2XKSAThnqDKdBn3Zjd/bD5tbjafqY9f6u/5P+o3XwTX9lsu0+a0koRbCS5hbTQ2WGkgXPJSNCkjFSZN6rpLm5OKR03KyAIbEgHLkcgoiysblS1WKt40aaWSINduKSc/hNNfqiad3r2ct1ymzUoc4QDJmtS5qPu83LAvIIRblybtXtCaj7QWpW1ac8lTp679z7b71apEztO7+KlTIuB5p/EvZ+qUaBABM8hSpk6JECUKIgCej6lTYbPBBtkGwIEdhOB1Tp0SEQKHc+A6tm3qlIgROJWzqEAlosNM4ADsl8fuplEiQi9Dp4ks0ih2KUoqcmBcXfbQKRUuMLBih05Pb+vOW27rJqMGRleUHD+nTEURp1FiNfgOHTowDuJnThP1T0sRCSvgXTpgiQQMfky0EVdmwOYA79EBA0MYOWVp8Rv7dNTAsLbMmVMqVGB0w8ycnt7Y7fYXB3TEmIhHeSTafEVNhs0zctrqJ3p0sMDAhx451dd1233EIQ3s5S3OZM6R0xLHE0rQf3GGkQhinw6adl9UcYbRShJuJXiia6OxwUoDsTeJyFXdxRlGKr6LM4xUPBZnGFlg94YBy1FFsbOTnZHJpajNcPJD+HxUMthVm5leaJy3XFHNShzh/8iJTltthpMb9v2DcOuqzXQvaM1H+hJ3smfOocoKawwYQf+SlJEIwj1BJemSO9kZyUs4ebjSXE4nOyNrhGNeijBlpMIkTJ2d7IxUPApTRhbYwAhYjkS6TwxlZOJNmLY1snPyQ3j+pQrT6Q28eculyqzEEf6PLEzbGtk5uWHfPwi3LmHavaA1H+lLfNpH5hqxLGKsMWAEvQtTTiII9wQVpp5P++C0joRbB65cbTQ2WGkgXPEypCgnFRYp6jztg5OJPyXKyQIbCQGrkeVJJISNyhYrFW9StOW0D1Z+CF+/TClaxBPlUjjvUN3hJY7wf2Qp2nLaBys37AsI4dYhRQELWvORHu+RDo6zLFffNjg6kaHoi37Y76dxeBTn6UmRlfHw6AJOis5cM5VFgjUGjKB/KcpIBOGeoFJUd0nffaZB/sESz4YOnjkc+tmzoRMJORua05wSbk64dgVaFHEadOtZ0M+e5Gy7R9VyWHQep/H4sOgbwn0A9PhO3NfNrvlsImKe25PmQTBeRCH/a+Vaxw3WdUQEL7h4d58bzUmFRbxbXe4mKw+P0p2RBVY5ANYiFXFUOXaROal4k+5ZnkaxtBHc5iWICI5L1e7TGzOLljtQWYkj3B9Zu7tXdZ+XHPYVhJDrEu/dK1rzkZ7dgTphrkW5zztQXfo8beFbZuk8X1/TqJVrGpUKeN6NLDiN+kejlvQe7rem4n5HK7inz1xTf7tDHJ6bRr0/GWC1EV8nExcw4suYOqVClCiIAHj8U6fqCx+H1vLLBtkMwKkduNY1uv5rhf6RDegLZKDAQR24km2ZP6VinFeqPPOnVHSYaRyA/TKROvbgtsgQvQyglrKMMmsJYpsOHBhJ8fOnokijqrKh/R4dLTCSIsdPi9M7T4uWO0/JqIHhFKXIz+VUVVYWieNmwB06dmBEJMyf5kml30TrA71LByyRgMHPiTbiygzYHOA9OmBgJCOnLW63sU8HDYxquPFTt8u4TkcKjG2I6dPi9MZTt7s4oCPGxDvKA9HqKmoybqbx0zY30aODBcY97PhpoW88tbuIQxpYjXYwLPJBcRKHx2WahCJNsrAfD2R4LI6rQVyWSXky4ePMkFv2DMhZsmv8tMhwPKEEbbl0Cy9MPm0jcpWVCGKrDppn35rvpNL5tOmyOp0tXXJXFaOBJNxA8GTXRmODlQZiZxKRrLq7qhipsBRm4sg6rL/JysRjaYaRBXZfGLAaaVZFee6qzTBy8VabaWur4uSH8PeoRLCrNDO9/rFoudGTlTjCAZJznLa2Kk5u2DcQwq2rMtO9oDUfaSNHRZwe908GwzDJZRoKGR+Hg6E4DvOkjMXwJDtW/8yNC5CjVtmt5KjAGgNG0L8cZSSCcE8oOTqt8GDbqZTuvK3LRbrBZqJeXb090yarJM7i+GD82yQGNVYxGlTCDbqwfGWkgfDecPna0lfESIVFviZRKWxUNlmpeNSvjCyw0ROwHHlaRVVh3UPcYuXiTb8KWUbCKtC3eQkiIsRSBez00sii5RZQVuIIF0gWsO5V3eclh30HIeS6FGz3itZ8pC/x4SnCOaMqscaAEfSvYBmJIPwTVMEu9/AUTvISTh6uNpdyeAona4RnhovTlr1VRios4jSOYmGjsslKxaM4ZWSBDYyA5UiyKK+kjcoWKxV/2tR9egorP4TrX6o0nd4aWbRcA8pKHOEA6dLUfXoKKzfsCwjh1qVMuxe05iNtlGl+Usb5yXEcnqTxSSiO8iosj6sqPBoORZxnJ/1YTEKFX2VqjSNKmeZYY8AI+lemjEQQ7gmqTJdx0vS1/bDlUGlOg0i4QeBq1UZjg5UGwvsuRX4yUuGSn65TpTm5eNSfjCyw4Q+wHjJKXKdKczLxJj9bTpVm5Yfw70uVn9MLIouWGz9ZiSMcIFl+tpwqzcoN+/5BuHXJz+4FrflIT4cup328Wlb6HLqUNr5KYRatfMU8X09Dl2nsHLokAp73IjxDl0+aB3q3zmxrvj/+wkO9tzm+DdR2v2dzX2vL2d9q7jWPdHX+V82tSVMpenDzroISr6b6qkd9IoqjGLxOtqSAWXIpU5xEiBIFEQBPj2mvBtlqMPoH3T/R/Lm5vxqYW2CfGKMneh1FNBvPnA1nllESPJdmq5Vej++sqt+nwXPlqpTT32bBc6JcFZn+vc0IG2QjzIePxWc4XZeHUhECx1zgkrhteJOIETjgsqjUJaLDDLMA7FfGkau4TwToZXQzT3PHiSfbdODAeIwf3UxyKZ1Xh5LhAgMydnbz9OrQouXqUDJqYFRG6fpzeVlcpInjXPUdOnRgGCSMbmZZWVaRtD4hu3TAEgkY/JhoI67MgM0B3qMDBgYwcu5TxEpqWq28TwcNjGm40c1EZJXz5lAyVGBow8xunt4c6nYXB3TEmHBHeSJkXmQqAbE+yDUZNtPoZpKLRDquOe3RwQLjHnp0U98cancRhzSwBm3VH1RxnIVyILJQVP0iLAd9XQDK87SMpTguhmM+zjy7ZeeBnGs7RzdLHE8oQVtG3sILk5XbiFxlJYLY74Nm6+2n4TMMbjKaR8LNA89vTy10t3mody6cx4gG6xsHG/VWL1jfCRKzw5DKIAzyoOVgTkZrIPZIEYmuu0jESGVeObRQgWfEVoe7ycrDY4GIkQV2gxqwFjLP7S2oW6xMvBWI2mY/OfkhAgYqkewqEE1vqSxarh1lJY5wfuQkKS0cicc+Lzfs+wfh1lUg6l7Qmo/0Je5Pks7ZzwprDBhB/3qWkQjCPUH1rIf+JEaDSLhB4ArWRmODlQbC+y5FejJSYZGe7kvvOal4VJ+MLLDRD7AcSRolmXVBtlipeJOfbf1JnPwQ/n2p8nN6F2XRcrkoK3GEAyTLz7b+JE5u2BcQwq1LfnYvaM1H2sjP4+GRLIt+GeYnYhiK/skgHByrD1U/L+KkPOoX6dGNC5Cf1qz5SlK2XW9lNQaMoHf5yUkE4Z6g8vOm5ZiR2+N+p2kf0u3T24Xum83DJ9ND8r6YP1mkSrI4jnfHv1Wfflf/V7qPFeE0loQba1FpykkD4ZkR0tTV/sPJhEWZJlHs2BflpOJPmXKywAZGwHKUeSRzx8YoJxVvylRIEZWO/iRWggjfv0xpWk7vpixbLhtlJY5wgGRp6l7VfV5y2FcQQq5DmwJWtOYjfYkPFZGu0c0ywRoDRtC/NmUkgvBPUG263ENFOMlLOPmFtSYjDYSrRWhN5zYoJxUWsRlHqbRR2WSl4lFsMrLARjrAcqRqPewLssVKxZ/YdJ8SwsoP4cuXqjWnVymWLZdjshJHOEC61nSfEsLKDfsCQrh1Sc3uBa35SOsxzdWxwvI5nWlNI5SITFtpnrsC1N90pnUr6CoZ8Lzz+Jc7nanvgIRMZ1ItKWCWXMZ0JhWiREEEwDOtuJ81nwfqkz+o1fyo+bD5SJu3+aT507hlV//5H6LJWOZs6deC3N6qvUEmBxxaQUhh57YrESFwQgWucFumLqkY5+Urz9QlFR1mDAVivySPpGv/kwjRy9xlmqWVW2xSkQNDLX7wMi1K9+AlGS4w1iIHL8vTSzPLlkszyaiBARel1M/bOxGpa5xqh44dGOLwk5dZKmSWO26h36UDlkjA4OdEG3FlBmwO8B4dMDCIkdOZNKvSyH5W5z4dNTCw4UYvU5GmztFLMlRgfEOMXpan12a6HcYBHTEm5pEeiaIsZew4pb0m4+aZvUzLNM1kZL/Jq0cHCwx92NnLUl+baXcShzSwGu2gOpZ9kZVh2k+qUOTlSTiQuq89F+XxcXJ8nMoLKMg4BL3KpTMcTyhBW77dwguTc9uIXGUlgtjEg+binddmLn/8ktNCEm4hRAK70PilzQgbrEZAbHkiEl13zYeRCkvNJ7Hvj22yMvFY8mFkgd1xBqxGXlVRYm0i3mKl4q3k0zJ4ycoPES1QiWRXyWd6R2PZcukmK3GE/6PnSO7BS1Zu2BcQwq2r5NO9oDUf6Us8eJm7Bi8nt+IhjAEj6F/MMhJBuCeomOUfvOQ0iIQbBK5dbTQ2WGkgvO9S1CcjFRb16R685KTiUX4yssBGP8ByJEUkXOqTkYk39dkyd8nKD+Hel6o+p/crli03ZrISR/g/svpsmbtk5YZ9/yDcutRn94LWfKSN+sz6R1U5zPJQHh3LUPSPilD93Dwsq+IoOTpKBsd5/8YFqM/MZgylPiXWGDCC/tUnIxGEe4KqT9vc5X0tNM9sEQbfG77S/1E/+FH/lf5//+8vnp+6PL3n/dnr3UUZxwemaeZT9bNMg8xUyZqv3myemK1ZvVF553Tk8+7ky18rLWx+Vh7H39X/JdZ9+HVWm0u4zeEC93sbB1d2rgQ7Vw6ufP/7W6ung633mgdmw/r9tUAJ/Hujn47eHL0XjDerb+uJg+bPzb1oeq/n+PtuaWPpbx8PH9xXP+KNVT2K8LrpL3ug0omHa8Hzz+dxqv7vYDUYvW0M/Ej/hTVt3NE75kOlB2TVH787Xs214PSm0LklVj/+gb5X1HTCqX9iLUjdZ/Vxrg4ibiF0u7M9ipEJi2x3bxozMvGo2hlZYFUDZDWyKipd9zlxcvGm25NSUcysXnqblyEiNC5VuU/vnyxbLhRlJY7wgGTl3rKs+7zssG8hhF2Xdu9e0pqPtNHuR2mVpWkyCI+r7CgUIhVhmcZxOEwGVTUokrwYTp53v9pd2IyhtHuONQaMoH/tzkgE4aCg2h04lxqLiZBD3QO/zmoNCbcGXFXbaGyw0kA4X4T8dG8bM1Jh0Z8tg6qMVDwKUEYW2NAHWI60ipLMugGzxUrFm/4UcVRZg9Q2Lz+Ec1+q+pxeP1m23CfKShzhAMnq07mo+7zcsC8ghFuX9uxe0JqPtBafbZpyyQOq1hkOpSaLFnpVks/Tu/gBVSLgeafxrwOqVEsKmCWXMqBKhChREAHwmk+b3wf//PbvgnJs36SIkkQ9pakMms+U4e+qdXs4TgweTjZq9QK9u6Z7SG5Wq+aXJJ78OrtlVO82T+4ZVS4ojxL9wfrgb5BtMR80GOdZiQiBYz9wIdw2z0rECJz3WVThEtFhZnsA9svs7SdbZHyXYJiVihwYlpc9zEqFC4zL2GHW01tEy5ZbRMmogcEZpebn7V1kWREXkbA+2jt07MBwiB9mLYsiLVyPyC4dsEQCBj8n2ogrM2BzgPfogIERjJzytA+zUlEDo9oyh1mpUIHBDTPMenqPqNthHNARYwIe5ZEoZFYUlWM/rSbj5hlmLXKVccaOx6JHBwsMfehhVn2RqN1JHNLAXt4qTuEcZi1xPKEE/VdxGIkgNvqgeTt3FYfRGhJuDXhia6OxwUoDsYmJyEndVRxGKr6rOIxUPFZxGFlgN5EBy1GUUWFdjy1WJpeiiMPJD+HbUWlfVxFnekVk2XLnJytxhP8jZzRtRRxObtj3D8Ktq4jTvaA1H+lL3PxfOEdPK6wxYAT9S09GIgj3BJWe/zKa/xltLuE2hwvcM2Z/pnS2FpwbC3hgGQu4PO3+q7YF2WBdEESoQkh1Z/mIkQmLUnf3+zMy8SjUGVlghQJgNbLCNaPLyMObTG/v9edkiIiESxXq08s0y5bbUVmJI7wfWai39/pzssO+gRB2XVK9e0lrPtKX+JSYwjWnW7VdyGU1Boygd6nOSQThoKBSnf+UGE6DSLhB4DraRmODlQbC/yLUp3OjmJMKi/x0nxLDScWf/uRkgY1+gOUQhWPjfouViTcF2nJKDCs/hHtfpv6sphdmVi1XoLISR/g/sv5sOSWGlRv2/YNw61CfgAWt+Uhf4gO3C9ekaZVgjQEj6F99MhJBuCeo+ryAA7c5LSThFoLLUY4DtzmNgHDmSxGzjFRYxKxzL5WTiUcty8gCG0shq1FW1mbCLVYi3qRsy3HbrPwQsWKpUnZ6IWfVcsMqK3GE9yNL2Zbjtlm5YV8/CLcuKdu9oDUfac+Dq9YXVYnTtJVeMU/vwgdXqYDnnca/Dq5SLSlgllzG4CoVokRBBMDTDmI1yFaD0T9oMdz8ubm/GjRfKbM/MUZP9DqKaDaRejqPGjxXFNlqplbjO2Y0NXhOQV+tkvEXmk/U/90yXxZZvppMvlyo74rFalVMfmv+PF/N0+nv0+C5NFGLXOkv2Gy3QbYdcEwIIa9dnQpUhMCRIIxqdg66UjHOa2KeQVcqOszcD8R+eeXw11tkiBc/60pGDozkS551JcMFhnLkrGt1enFr1XJxKxk1MJ6jEoBzvTBVlivVFklpA79DBw8MofhhV1HERRq7JPwuHbFEIgY/KdqKKzNgc4D36ICBYYyeJ7VNu5JRA0PbEqddyVCBEQ4x7VqdXt3qdhkHdMSYqEd5JEQshFTuIq5swGsycJ5xVxEr76bQCse8KxktMPxh510rfXmr3U0c0sBe3lpS6Zp3rTIcTyhB/7UkRiKI/UFoun8RtSRGC0m4heA58mK1pCBUubL7PH5OayC2VRFZr7uoxEjFc1GJkYnHohIjC+yuNmQ14kQ4VmSLlculqCtx8kPEDVRa2VVXmt76WbVc48pKHOEA6flSS12Jkxv2DYRw66ordS9ozUf6Ejfol65Z2smUNcIYMIL+ZS0jEYR7gspaDw36jAaRcIPAVayNxgYrDYT3XYr8ZKTCIj9bGvQZqXjUn4wssNEPsBypzCJpLZlssVLxJj/bOvQ5+SH8+1Ll5/Taz6rlHldW4ggHSJafbR36nNywLyCEW5f87F7Qmo/0JT7KpXTOh0qsMWAE/ctPRiII9wSVn/8ijnLhtLmE2xyucBe7x3VynuMzx7o8Ah/r0vyJ6VgX29pssK4NImohZLuzV4qRCYtqd28aMzLxKNoZWWA1A2A11OtXRqmwcdli5eJNtbee7MLKEBEYl6rbp1d+Vi23uLISR3hAsm5vPdmFlR32LYSw61Lu3Uta85G+xOd/l87Z2hxrDBhB/8qdkQjCQUGVO/P535zWkHBrwDW1jcYGKw2E80XIT/euMSMVFv3pPv+bk4pHAcrIAhv6AMuhW1DtbdRbrFS86c+WA8BZ+SGc+1LV5/TSz6rlFldW4ggHSFafLQeAs3LDvoAQbl3as3tBaz7S6n9/a/SnuNEuLl8dHr324ssvWQxB0pbWxVWysmjhWWbnhn5dU7FutBjFeDoYa4V7lQx3/jFrMS5QF94abw02j/RO7qoWf2PJd695pLcSv1ai732tFM0Y7M+1Why9Z+OkJGCxtkUmds4rupkt5hTrw53nlJ8rXQ6Qil/g8Tsb/62gd12gd+mgJR40vP9fYd5zYd6jY4a/AnRHq7HXLuw1Gfu5sZAO7LgHpOcC3KMDhjtz5HCIwnvowntIw2uejhuzGPQ3bUFpmUc1COfoR9nKonRaHQaWGJA0Zhveq2S886570YMazKDG7ebuuL3tTEByhKOgeay3NEzB0MZsncxs3qlzHpxAhChREAHwxucgBI4L/DbIQOfVP+MpBUSE87sarKcUEDHOb1cwnVJARIeZ1wTYT+RR7hqbICL0ckhBJWPXraTbdOTAGIY/pEAFVPcZBVS0wCCGPaOgPD2jwHnt1TU6amAoQ6Ug555qkZaV6/nYoWMHBqvu9GMecFZWhYgy65u4S8crkXjBj4m24coM2PnMgwoYGMHIe1eJyIrE4fH26bCBYQ13QoHbZ1ynIwUGN8wBBeXpAQVOf3FAR4wJeJRHIi+UghCRfYi+JuPmOZ+gzU/06FiBcQ+ZgOpHYwbqfAJKAWvkeHF8lMmsCPM0lqE4kmlYJv0kzPNyKKpBPz8+njwzztz0R/3lVuOdGZ/KUCscTSg/WxbbQguTydqIXGUlgqjXQFPcX59PY83BgPfmTiRs7k27Zz80/bXf6Fx4fCnf62ZY/02bOdZZzSHh5kAknXaL6P5e0zr6M9NOajoXzljifONq82GUyjDVx/69bn7Wff1TfqCbhcctDdq6P1A/f/Lj1E94YvocdEuz7qfVo3RqFe5MDou8bSbrbuvNB7M818LZ938zWbEwSOOWflbGlUDU05aRVTMyYeknsPq8TVYeHpsJGFlga5mAtWjL5BmZeOslaM/4ORkiohMqa+3qJpheaVe13FLIShzh/bgyMk562JcQQq+roaB7TWs+0uOGgjPK0SmQl9pRYF3bK2ncdh9OmVXzNP30E1jBXiWDnX/GFu8m+MIUah47WgQU0LUtMlq/LQJpnKzupIX6kCWV3b/RmQg8E1wteFfD39Xwd13wd+nwJR4+PDHXbQMa/Z5Gv+dCv0dHD3/q6Y7VNBBoFrVmUbtY1GQWzK0EGnpPQ++5oPfo0OH+HLmno5sKNPJDjfzQhfyQhtw8Ozd8RibHro1i2AZfxE7Dg9GSYpOjrYAMF/6eQqPTP5nBBp223xm9p1J3k8d/pa9f0E0ET6cXQoyP0nlHf+N4ZjWYNCA8thFUUS3RUY3I0ndUS1VUi6X+UKkPidAfSvUhzfSHXH3IdODL9B9khfqgoKsP+k+F/j6pP5P6s1x/lheu2Ei1h4/YmKrYqIywq42wq42wq42wq42wq42wq42wq42wq42wq42wq42wq42wq42wq42wq42w6zLCLt0IEm8ElJvc0zbY0zbY0zbY0zbY0zbY0zbY0zbY0zbY0zbY0zbY0zbY0zbY0zbY0zbY0zbY0zbYc9lgj24D+Pu/cJxOVZxWtqi1LWpti1rbota2qLUtam2LWtui1raotS1qbYta26LWtqi1LWpti9pli5psC/Zon6porwzQ0wboaQP0tAF62gA9bYCeNkBPG6CnDdDTBuhpA/S0AXraAD1tgJ42QM9lgB7dAPBIS9IMqdIMiv+h5n+o+R9q/oea/6Hmf6j5H2r+h5r/oeZ/qPkfav6Hmv+h5n+o+R+6+B/S+J9RHh4bG1Nn2UiZq5VF6lxFGFii+nA2NpLxArtBoPLjs+kJ1OPGxp/pK6iaO7rD8Unz1NQ//jyuQOhTTb4yJYon4+OoR+/o24qau+bwv6/VN7xjVyr3zOEbY62yqr9lPMj59eSElLu6+hE8p09Kab7RhYzpv7GqDwz5dXPL/B19jMs9fXp20HzQ3FSov2x+29ycAoi+M/0XNJkn6h/Xx7SYIVF7DWSdbP55JcDXfUmGKFEQifA2yPCAHSuI6pB+6r6OAvtSv0AGCuxRQRR/nK2XZIzA7pTFCjtkdPNqacHWS33PhP2apS0yRC+9l0kSicKGe5uOGxhk8Z2XaelqvKSDBQZZXOOlgjNtvNRiydV4SUcNDLWoFHje2kWelFFh3UPfoSMHRqnuZPXck1zKqoyEsOHdpeOVSLzgh0TbcGUG7HweSAUMDGL0Ip/LY+zTMQPjGa7n0uktrtOBAoMavOXy1FNcb/EUB3TEmEBHeRxavERNRs3TcNnmIXp0rMBwh0y09YMxA3U+MaaA1WiP5PC4issqHAylDMVgWIbl8SAL45O0zPvp8WDQl2M+zpz5R/1lNly2ZKIqc85wNKH8bNl1Cy1Mhm0jcpWVCKKlBZp6/2+d1+oDKfXRoeM+wq/1mJvJve/oPsNpo+VXJvfVjYfj3zsviRofPtpySdRqkMWu43nWWQ0o4QZcODNlpIHo8EFksK4Dk1ipsDQ4xvbTkTdZmXhrcWRlge2uAqxGUlVRmlc2LlusXLw1OSZpJK3zEtu8/BDxAJUftrc4Kk7jdrjJJzbiO7zEEQ6Qnv24FnWflxv2DYRwa+9vhCxozUfaqNVhf5gdD6okzCtxFIpMH66UFYNQHg3SfpKXIi6GN/yrVasoV2pVYG0B4+dfrTISQXgnqFr92PRQ6ms3zaCPPmz/9dFbo1+Ofm5E53PTIzqfjt5XOlSp2e+YszsT6RxEWWc1gYSbYGG9yUgD4W4RerOrYsJIiEV1OnLbTVYmHlUnIwtszAOsRpHFUe643ImVizfV6bqFcpuXHsKtL1V0iqlGcd/txEsc4QXJotN5sygvNez7B6HWpTm717PmI21malZnGsVz95BLVcpWtmKerafuoczZPUTEO+9BFuwe+t+jN0dvmTuP1K/TY9zvKJ34lplUvmf2JHVn0LQBaLw5qf9Y/e6pbugxnz0c/XLyJ2fbeMw0tGn80U1J344Vpv7ivfE+qOnveTj6eWTuWwqSNqVJtJeA2Wsp7T5EiBIFkQhvgwwPWClFiFfHMDgZIbAuilGj7j4fIkZgSXRRnUlEhyl/AuyX5e42HyJCL20+MhPRBOB5XUgFDgyH+D6fImlp9KGiBcZDbKOPPG30cd5pc42OGhgVUZr6/FZ8Jsootz7XO3TowACF7/RJ8zhR8kPY8O7S8UokXvBTom24MgM2B3iPDhgYv8hph8yzKLM+Fft00MCQhmv1cTuM63SkwMCG6fWRp70+TmdxQEeMCXaUB0JlXnEVCetzXJNh8zT7tDmJHh0rMOahm33kygzUHNhDGliNdlAOjuXxcBj2B8MkFKLqh2V+NAj7x0V5LOXg+PjkeMzHmeK25PzUNNfZ7JPjaEL52ZLhFlqYhNhG5CorEcQ+GzVTftw8CSejN/fGzT46vX1kbqT9xbTv57Pmi+ZT9fFXzUfNl/qG3Q/Up79tPm9uNR/r9p7mi6C3niTWRtF1VgtJuIXgieckgb/xEoT4FRfxDVbiiJ1IRErr7v9hpMJUiZE2JpusTDxWYhhZYHeCAashReZQElusVLwVYrI0qlyVGE5+iAiByhq7KjH5dOfefV8aL3GE/yOnRM5F3eflhn0BIdy6SjHdC1rzkR5PcScnxdHxSR4mR2kaJsmwCst4WIRxLGOZl2VSyYmw86pfXYWa1lt4bLaA8fOvXxmJILwTVL9+MTvs1lmi0Ro2yWIlZZR4bR6lq8Ho/dFPZ7PlSTx6p7VEw2gQCTcIXK7aaGyw0kA4X4T4dNZTGJkwaU9XFxAjE4/ak5EFNvQBViOrotLZBMRIxZv2TJOotL4627z8EN59qdqzmEqVokV7chJHuD+y9hSu2cV9Xm7YFxDCrUt7di9ozUd6vHeaDfpJmcRhluTDUKgfGVbxcBAeDdPqWB6VWVxMFt2r9rR6LaU9Wy/gsOpwED//2pORCMI7QbWnvg74iR53bB6OfhEoBXnbCMsHkzMTvzWN5s2t5pPcRnedla6E011YWTLSQLhWhLLsajNnJMQkMO3Vo01WKh4VJiMLbIADLEdWRrGwKrAtVireFGYio8Lq07Z5+SF8+FIVZjkVJM5r0XZ4iSPcIFlhOhd1n5cb9gWEcOtSmN0LWvORnjaayxsz4eix0dylIatWtu5bz2FgMdrwbKO5dDaaE/HOu5AFG83/OLn76knzrdl/vKN7xac95E/C5hulBN8yivC+OUXyoVKI76rPT4/JnpTU7wSJLrQ/1D/JxnidzFjAGC+lVZwIUaIgAuA1HxpLPgj0ffM3XtLjoUqef2U6HG6rLyhb/4P54p9tRDbIROb9NGNTOREhsAMPpT2dTeVEjMDeu0VFJREdps8OYL+2pnIiQi9N5UmR51HuUoFU5MDYh+8ql7l0d5VT0QKDH7arvDrtKndeLnWNjhoYAlEKet7cuYjjPJpAPK+VqdCBsYzQVR6LvIoqacO7S8crkXjBT4m24coM2BzgPTpgYACjJxlur7FPRw0Mari2crfHuE5HCgxtmLby6rSt3OktDuiIMeGO8kS0eYqaDJuprbzFS/ToWIFBD91WXq3MQM2BPaSBNVq9OM6OiyINB3GShGJQHoUDmZdhctQX+TBPCpFOHhlnQtuS4VOTWldbedJ6e9V5mlB+ttS3hRYm/bURucpKBLGtBs2Lf21uX3hsJqHHZ0hOe8f1BQn/yzRRf2o6pj9rPm7+3yBOrZ52nZW3hPOGp542GhusNBCbg4jE09n6zUmFpToSR1qHnaeyyUrFX3WEk8V89G9hAU14ZSQy63pssTLxVhwpZJQ7Wr9Z+SG8OCq16yiOJPFkL338iY34Di9xhP8j5y3ORd3n5YZ9/yDcOoojgAWt+Uhf3tHFzNX6nbTfU2axBYyff43JSAThnaAa8wJGFzktJOEWgqvR5htlh5+b04we65ak1hrTBis/hJteikxlpMIiU62P3CYrD48alZEFNkYC1iKVWZRbtxS2WKl4E6kt84ms/BBhYKkiNZlqmqRFpHISR3g/skhtmU9k5YZ9ASHcukRq94LWfKSNSC3TOJMyjcO0PDoJRX6ShYMsTcIi7Q8HcT+vCp3mehepjv6eJMXaAsbPv0hlJILwTlCRemtyluTtM21Bc71AT05vyHmkfvvYHFd+23zjHXMRz+Ozd+6c7p/+SWnXL7SivaW++FHzSfOBzWLrrBaTcIvBRevkbPbvZvlqmv21XBVZ80Ap/a8ie8P2BitDhONGyNZH1tf0BVYmLKo1iWIrlU1WKh6FKyMLbNwELIeMZOXoJuJk4k23VkIUbuXKyRARG5aqXNOp0HHeD7nDSxzhAMnKtWVZ93nZYd9BCLsu7dq9pDUfaaNdszKX5Ukhw6O8zEKRDY/CvuiLcJikJ/0qPhqojzf8a1dhs4XSrhnWFjB+/rUrIxGEf4Jq19+Mfjm+4lFPN941w4zzXexb378W9oLRG0bdmut3njRf6++Y1P2fTKYgVYBQH1N7P9U6q2Ek3DBwiWqjscFKA+GG4Tp09LPRmzYqL7BSYRGiru1TRh4eVSgjC2wEBKxF6/YpIxV/MjSSLg3KSQ/h45eqQad3ASYtlzuyEkc4P7oGdazpPi817OsHodYlQLvXs+YjPR1/nHhPpfl8jj+6JKZoZVvOs/U0/lja8V4l4533IAuOP95SAu+uFnxnGj3N6Qp3tBocvaNr8mbQ8X7QfNHcbD6cXJDz7Ozjr9WffLyqrwb/dXNr/LXUfR4blbqAUV/GHCQVokRBBMBr/klftB5ad4Q2yDCBQyJwGeqccqQiBA6EwNVly5QjFSNwFGRR5UhENx+WFpxyFEUcSevYzxYZopcxRymixPpwbtNxAyMcYcixTJxDjmS0wBCHHHJMxGzIMXHe9neNjhoY6FAy+XyaI/I8KqyJzg4dukBCBz8eaaH+cRll1vdwlw5YIgGDHxNtxJUZsDnAe3TAwABGTiWcTmOfjhkY0pAzjk6HcZ2OFBjYEDOOM2dxvcVZHNARY4Id5XlocxQ1GTbTjGObk+jRwQKDHnbIUT0aM1BzYA9pYDXaIzk8ruKyCgdDKUMxGJZheTzIwvgkLfN+ejwY9OWYjzNtbcnjqamrc8hR4mhC+dkS3BZamCTXRuQqKxHE3hk0+/3fKtXV/TkPTb+5yX2/bu43T0dvTFp3Zk07popiWnzGv/+juX72bfXfu+q/18ffftoGpG+cVdnwR83NUOdvzQfNp81v1MfPmy9Xgyx2NT2vsxpQwg0IT1BtNDZYaSC2EhEJrLsNnZEKSx3FeVEOJxOPlRRGFtitXMBqFLGMSmt022Kl4q2SkqSRLG38tnn5IcIBKkfsKqXI6da78wrIHV7iCP9Hzn+ci7rPyw37AkK4ddVSuhe05iNtxKoo45PqSOShKGUWimKYhP2jLA4zER8X6fAkFtnkbfYqVq0JsBKrOdYWMH7+xSojEYR3gorVP876ch6Yo8pNE8/r46nA8UHlT03N5u3mifryM6JUf4tp35HfVf+fxXHLbTmcVpFwqyysQBlpIDwwXIG2dPIwUmFRoLF9hmWTlYlHBcrIAhsAAauRCOXSc2s032Ll4k2CFipqubp5OPkhnPxSJej0ar+k5a5GVuIIB0iWoM5F3eflhn0DIdy6JGj3gtZ8pI0EzU/KOD85jsOTND4JxVFeKblaVeHRcCjiPDvpx2ISKrxKUGscURK0/e4giy1g/PxLUEYiCO8ElaDnD4XTv23uT7qF3jCi9BeTgyqaj/V442Sy8aPm08lW6rX9UCaBc9SR0SASbpCF1ScjDYTzhavPlv1PRipM6tN5WhwjFY/yk5EFNvgBlkP3DTk3QBmpeFOfZRmVLvXJyQ/h35eqPqeX+yUttzWyEkc4QLL6dC7qPi837AsI4dalPrsXtOYjrZvJV8ex2WMTubSxVLqy/cagap6ltyZyK96rZLzA3jqoLFxOE7mumetNsGeOhHvQ3OvuJydaQcCssJR+ciJEiYIIgGd6ED5rPlcCvPmDWoyPmg+bj8zm8SfNn8a9CvrP/xAF6eyGnVXd/jDed5ar44V9pP48SszRPeqXdPyLGP8ix7/k41+K8S+l+SUffzEvIn0Myv3m6ewZWAsmne7qj4PnRj/TjRmTowAnz9NX6gvfTNsyrF5qg2xmYDshQk47++GJCOeVMms/PBEjsG1wUflLRIdpEQTYL0vK3JFobJExemmI17diuBriqbiB0ZrQEB+X7oZ4KlpguMY2xJenDfHOWwmv0VEDgzZK65/rHY2LJM8iUdiw79CxA0MtviM+yZNS5iKy3z6wS0cskYjBD4q24soM2BzgPTpgYAwjZ0ROt7FPxwyMasiWeKfLuE5HCoxtmJb48rQl3ukuDuiIMfGO8jy0uoqajJunJ77dTfToaIGBD90UX67MQM2BPaSB1WgHSdnP8+oolHJQhaKfDcJqMDwKS5ENT4ZVFp9kR2M+zjS8ZT+Cmoo7m+IrHE0oP1vC3kILk7TbiFxlJYLYBIRm85ewKZ7RgBJuQHiWbaOxwUoDsSeKyGLdRSFGKixFoSSyOtNNViYea0KMLLBb0oDVkEWm1KRVOWyxcvFWFErSKM1t/LZ5+SHiASpR7CoKVdMagvMGyx1e4ggHSE6BnIu6z8sN+wZCuHUVhboXtOYjPW5J6vfLQaa+rcgzEYr4pAr78kh9iNPkaJjJk2KapHtVq46u+ElmgbAFjJ93tcpJBOGdoGq1tSt+0nH011nzKBj3v4/eSWXgLiVxkpdw8osqTU4aCEcLV5ru5ndOKixK09n8zsnEn9LkZIGNc4DVqKQev5Q2LlusXLwpzUJEmaOcw8oP4cuXqTTT6eWGacttlazEEQ6QrDSdi7rPyw37BkK4dShNwILWfKSN0hz2h9nxoErCvBJHochSEZZZMQjl0SDtJ3kp4mJ4w7/StMYRpTTbL0Wy2ALGz7/SZCSC8E5Qpfmx7lMxFwE1t81B6fd1N/zol6Ofm+3N5/TNjPoE9aej95vHet/0O+OD02XLsCWnCSTcBAvrTUYaCHcL15umienrKLCvywushFhUp7WGssnKw6PmZGSBjXiAtWhtDeLk4k9zRon1gdvmpYdw6kuVnNOrCtOWuydZiSN8IF1yOtZ0n5ca9v2DUOtSnN3rWfORvrzjltJ1tnqaYm0B4+dfcTISQTgnqOLkH7fkNIiEG2Rh/clIA+F7EfrTWVnnpMKiPN3jlpxUPIpPRhbY4AdYDlEUUZVatw62WLl4E59VHKXWZo5tXn4IB79U9Tm9bDBtuT+SlTjCA5LVp3NR93m5Yd9ACLcu+dm9</t>
  </si>
  <si>
    <t>oDUfaa0/22Tlcucsrd0SSlBmLeyq5Nw06UXPWVLxzruMv+w5S6oVBMwKy5izpEKUKIgAeBc3PbkaWKYndVOuac792aQZ97nmG/UtT9VX3tB3g/5ON+MG+sEKkjKK8yiNU2l1TRtkGwMHVBAi2jVkSUUIHEeBa+OWIUsqRuAgyqKil4gOM3QCsF/7TioRo5chy0w67s/cpuMGhurlDlmS0QJjNXLIMs1mQ5ap8+7Da3TUwIiNEvjnvEKSCek6X2SHjh0YZ5c/ZElGLJGIwQ+KtuLKDNgc4D06YGAMI6dBooyyyoZ5n44ZGNWWN2RJRgqMbYghy5m7uN7iLg7oiDHxjvI8JFIkReFwFTUZ98UMWZLRAgMfdshSPRwzUHNgD2lgL21pJ3cNWaYCRxPKz39ph5HIvChoWx9gKu+htMNoEAk3CDxlttHYYKWB2NhEZKXu0g4jFd+lHUYqHks7jCywG8uA5Wgv7TByuRSlHU5+CAePyvy6SjtiWglw3om5w0sc4QHJOU1baYeTG/YNhHDrKu10L2jNR/rynvGRO6cmJdYWMH7+5ScjEYR3gsrPy3fGB6cBJdyAcLk6tuGzZ1TO2fB82WVik8/Vf182v1W6/qPghRdfevHV//QfX/zxq+pPR28ak94bvT16O9jfTGWQOm22wWozRGRYijZmpMKijZ0HinAy8SiNGVlgAzNgNVoPFOHk4k0atxwowsoPEXyWKo2ntzKmLddsshJHOECyNE4qxzXt+7zcsG8ghFuXNO5e0JqPtN+uJ6sfUmI3b2V3rqfrwrueiHjnXcZfeNcT0QoCZoWldD0RIUoURAA8JfZ/H/zz278LykkvkR4qMr1EQfOZWo67JpkwC6hUs1khrY7fXdNb3DerVfNLEk9+TSKjiM3Y7XuTlqc1I6HDnH5GPNVYwNIvQgw725eICIGFXozGdbcvETECS7yLqlciOkw5F2K/pFRu1rrKW2SMXtqXWs6IJ+MGxtwlty9R0QKDLrZ9KT9tX3Le9XiNjhoYelFK/dygaF6leSSsunWHDh0YL/HdS3mcxKmIKivgXTpgiQQMfky0EVdmwOYA79EBAyMYOZtpOSGejBkY05bYvERFCoxsmOal/LR5yeksDuiIMdGO8jy0OYqaDJund6nVSfToYIFBD926lK/MQM2BPaSBvbS1o8LZulTgaEL5+a8dMRJBbN9B8/FLWDtiNKCEGxCeJ9tobLDSmI/9LTQQGay7nMNIxXM5h5GJx3IOIwvsZjJgNdIkraI8sca3LVYyl6Kew8kPERBQWeI5kTJXz5leMpu23BrMShzhAckZUMsB8azcsK8ghFvrgu5DFrTmI315D4gvnK1Obbc2WW0B4+dfrjISQXgnqFxd8gHxjOQlnPzCUpORBsLRwqVmywHxjFRYpKb7gHhGJh6lJiMLbJwDrEYmRVTZmzC2WLl4U5ptB8Rz8kP48qUqzXIqTJy3au7wEkc4QLLSbDsgnpMb9g2EcOtSmt0LWvORvrwHxBfOA+IrrC1g/PwrTUYiCO8EVZosB8QzmkDCTbCw3mSkgXC3cL3ZeUA8IyEW1ek6IJ6Rh0fNycgCG/Ega9HaF8TIxZ/mdB8Qz0kP4dSXKjmnlyWmLbdfshJH+EC65HQfEM9JDfv+Qah1Kc7u9az5SF/eU0QK1wHxWdv1THb1DeLnXXFyEkE4J6ji5D9FhNMgEm6QRfUnJw2E70XoT2dpnZMKi/J0nyLCScWf+ORkgQ1+gOXQ54mJ3NrtsMXKxZv4bDlFhJUfwsEvU31m0wsUs5YbMVmJIzwgWX22nCLCyg37BkK4dchPwILWfKT9jkpal1QJyrbbl6o0nmd30aOSVLzzLuMve1SSagUBs8IyRiWpECUKIgCex1FJ5vPgqSYFjqMgNLNroJKKcF4Ocw5UUjECx04W1bhEdJgRE4j92jZOqRi9DFS2nAdPxg2MzMsdqCSjBYZm5EBllswGKjPnbY7X6KiBARql5+fNLdIki6PKavAdOnRgVF36QCUZsEQCBj8m2ogrM2BzgPfogIERjJzztJwGT8YMjGnLG6gkIwVGNsRA5cxZXG9xFgd0xJhoR3keZJFKlThZc6aaDPtCBirJYIFBDztQqR6NGag5sIc0sJe2ilO6BionDWVgmlB+/qs4jEQQm3zQrN1DFYfRIBJuEHh2bKOxwUoDsYeJyEjdVRxGKr6rOIxUPFZxGFlg95ABy9FexWHkcimqOJz8EA4elfV1VXGmt8JmLdf8shJHeEByRtNWxeHkhn0DIdy6qjjdC1rzkb6853mUrgHJLMPaAsbPv/xkJILwTlD5efnO8+A0oIQbEC5XL8FZ8Jw2Q0SGpWhjRios2th5eAgnE4/SmJEFNjADVqP98BBOMt60ccvhIaz8ENFnqdo4m0op5x2eO7zEER6QrI1bDoNn5YZ9BSHcurRx94LWfKT9djhZCzhK7YpWdsk8uwvvcCLinXcZf+EdTkQrCJgVltLhRIQoURAB8JoPx6euqKVIAvVBRMlqoMtuSvyvBqN/0JOyzZ+b+1Fgkc+0BiX1o/7JND0lwXNpXiWromgepd9ZnX45DZ7TNbRVkT775Uh9fyXFapI88/UseE4UcrV85otC/eg0W03k5KumxypSPzkp09VC6K/euPGSbW02yGsDLDQjxLezVYqIEFhWxmhqd6sUESOwoLyoWiaiwxSPIfZT70Ma5dbos0UGeeG9UlTcwBi/5F4pKlpgkMf2SonTXinn/ZTX6KiBoR6VGZx7NnIZV2WUWp/rHTp2gcQOfz7SuMzyPJJWh7tLRyyRiMEPirbiygzYHOA9OmBgECPnT23dUlTMwLC2xG4pKlJgcMN0S4nTbimnuzigI8YEPNLzUOVJWkR5YcNdk3HztEu1u4keHS0w8KH7pcTKDNQc2EMa2EtbsKqc/VISRxPKz3/BipEIYssQugdwCQtWjAaUcAMicvNLULBitBliuxaRM7sLVoxUPBesGJl4LFgxssDulkNWoxRSRKWwhv4tVjaXomLFyQ8RflB5aVfFanrbbdZyfTErcYQLJGdcbRUrTm7YdxDCrati1b2gNR/pyztMUDm7uXKsLWD8/ItjRiII7wQVxx6GCRgNIuEGgYtdG40NVhoI57sU/clIhUV/tgwTMFLxKEAZWWCDH2A5EpkVURULG5ktVjLe9GfbNAEnP4SHX6r+zKdyxXlx6A4vcYQLJOvPtmkCTm7YVxDCrUt/di9ozUfab8dUYq2NKElZtNJL5+ldeMsUEe+8z/gLb5kiWkHArLCUlikiRImCCIC3UMtU85X6wjez7dvnmjuBWiK9vX1PLZPZ2P3a7Ia/cWbf+0nzyHyXWu2fqsdBrXigvvbV6H+qv/To/MlR983PMY/GbfWFh6P3m4dBJatqtSh199UtvYP+QfN5HiWzY63iVDdn5WuXpDfL8gRskJ8AYE0bIfKdjVlEhMAKNly7tzVmETECa9eLinIiOkydGmC/XKZRZa0obpEhXnhbFhU3UEgsuS2LihYoJLBtWcVpW5bzLs1rdNRAOYFKP87N3GSpVEl9ZoO+Q4cO1AD4rqwsS/KidGQPu3TAEgkY/JhoI67MgM0B3qMDBgYwcormdBr7dMzAkLbEpiwqUmBgwzRlFadNWU5ncUBHjAl2lOehzVHUZNg8PVmtTqJHBwsMeuiWrGJlBmoO7CEN7KWtOiWxsyerxPGEEvRfdmIkgtiUhG4yeCg7MRpEwg0CT+ZtNDZYaSD2XBEZqbvsxEhlPsa3UIGnri1lJ0YqHstOjCywe96A5aiKqLLHqy1WKpei6MTJD+HfUVlfV9FpelFv1nLzMitxhAMkZzRtRSdObtgXEMKtq+jUvaA1H+nLOxGg5Ker66nCGgNG0L/8ZCSCcE9Q+XkJRwIYDSjhBlxYrjLSQHjrpchVRiosctXdpc/IxKNaZWSBDZaQ1UgKGU2j3Xm9ykjGm15ta9Ln5IcICEvVq9NrfrOWa5tZiSM8IFmvOhd1n5cb9hWEcOvSq90LWvORVv/729VxVPubNj265GYpx0aoaLsfsJTxPE1vzVLWZ/EqGe+877iYZin9LeZvjK9sW7BlimoLAbPFMlqmqBAlCiIA3rjHZ9brk0w+Kya/JumNGy+ZBbSu6t2guTN6z2QJD8x/t00blF7gO7r5zXRImZaoB6ZL6mdmR/u22dm+Z7PMBtkywEosQgm7WomoCIF1V4zAdbYSUTECK64LSlcqOkx1FWC/NK6qqHAoUipGX71E9puBtum4gXEW30skqtzZS0RGC4yzyF4iEc96iYTz8uBrdNTAaItS6fPmLqTpxahs0Hfo0IHBEd9LlMQiEVUclY5mIjJiiUQMfk60FVdmwOYA79EBA0MYOZVxeo19OmZgUMM1E7k9xnU6UmBoQzQTzbzF9RZvcUBHjAl3lOehzVPUZNg8zUTtXqJHRwsMe9huIvVszEDNgT2kgTXZWirFQAyGYf9IZiqVTquwf5xmYVWkg2EhB0epGIz5ONPnln0Ecgrt6iYSbRf/WXhCCdoS7RZemGTbRuQqKxHE7h00C7/Ick7w3NWtHasnXGc1o4SbEZ4d22hssNJAbGkiUllnUYeTit+iDicTf0UdThbYHWXAamRFUUW5a/Kdk4zPoo50NCGx8kOEBVS62FHUEcmkBiCcNzzv8BJHeEByJuRc1H1ebthXEMKto6gDWNCaj/S4CWlwNOyfZFUohTgKRVGehP08lqFIBuVxMugfZ3LyNvtVrdb9XaVaU6wxYAT9q1ZGIgj3BFWty+iBVwL20+Zm85n6+KX+nv+jfvNFcG2/pTGe00oSbqWFRSkjDYRLXoooZaTCIkrdjfGcVDyqUkYW2JAIWI4sEVFlP7d8i5WLN1FallFp3Vva5uWH8PpLFaXTu4BFy+XOrMQRHpAsSp2Lus/LDfsGQrh1idLuBa35SOtOo7Ovq7zht+XIpTuzVr7pPF9PLUdJ7DqgiQoYWAWF6sb/fa5F6Pbp6Uujd/VJPPpT9QUtHR+tzn2teRI2T03Tyk/1Vqf+lumRPrqL5YnZBVVfeiNonqrP7zV3zRbq6819808YSaq+41vd5fL1nITVXx6fBmWam0Y/j8bH+qRKjt5tngQiDnQb00S7TlppzPd+O/5GsRpPvrXU33lvckb8HduCrJMXRMAWBNf4pNT3PS3ax2a7PzH4+6NfKg5v6M1kTfTuMxacmP1d0zpkrBfZiD5PJipRRCEkp2cyqccjCc0RUU/G2+RZqDh/e+bQKRuTDTITYK0YIced7U5EhMDKMFxlt7U7ETECa8KLymciOkz9F2C/TEbSWuvdIiP00+yUVlElbMC36cCBIR7f7ZQkuXS3O1HhAmM8tt0pO213ct4kfI2OGhjoUamCZa5EpJG09rXs0KEDQyK+3UkkIk+jyVH3c3h36XglEi/4KdE2XJkBmwO8RwcMDGDkbCrLE8dtYPt00MCYhut2avEY1+lQgaEN0+6UnbY7Ob3FAR0xJtxRnogkLfUNcVZD12TYPO1ObV6iR8cKjHroZqdsZQZqDuwhDayRuJmIT6oqC8tYHIdC5v2wHw+GYTZI40oMjrPiZPLIOBP3lq0McvLubHYSOJ5QgrYUv4UXJs23EbnKSmReEbQt0CLp/7MZ/u3R+zaq66xUJZwqIt+0sb1xQ/2BvlLufzWfNp8FzefNzbQIml/pzi4ztfPGeEvB/LX39Xerv/LSdEvC3FJ3+5n9CJuxNliNhdhfRaS07goTIxWWCpNyQTYmm6xMPBaYGFlgt7chqxHnReSqLzFS8VdfinJXeYmTHiI6oHLGrvKSmFYjnPc07/ASR7g/ckJURqXVh+zzUsO+fhBqXdWl7vWs+Ugb7VqdJGVykomwKgsRimE/DQdxPAyPpTg+GhblSXxyAS1PqbPlSWKNASPoX7syEkF4J6h2/cLcGWEU6/ygu1GtP9CFoebp+NoJPTVvqiJ3JjLu/5LflTYzrLOaQcLNANe1o/f14PhYogZJPHonaVWijPQQrhihRJ3FFUYmTELUmv5usjLxKEQZWWAjIWA1sipKhKumw0jFmxBNXYOg27z8EL5+qUp0ek2uaLn3mJU4wv2Rlagoo4n6Oi9FOblhX0AIty4p2r2gNR9pI0XTIznIYlGG5fHJIBRVEodVXw7CeHCkvlBKkRWDGxcgRa3JiJKiOdYYMIL+pSgjEYR7gkrRW7qxSE9+6n4crb1uG01m9KbuuB9L0VvNJ/brBddZ+Uo4X7jmtNHYYKWBcK4IbakPYvo6Cuxi+QVWQjwS08Zjk5WHR4HJyAIb3wBr0dYzxMjEm75MyiizSpFtXn4IB75UfTm9Ble03GvMShzhAsn60rmo+7zcsO8fhFuXvuxe0JqPtNGXZV6mR8VxEQ6yIg5FPjwJqyMxCLMqi6uTqt/PhhP36ldfWp8ApS8LrDFgBP3rS0YiCPcE1ZfnpzubD5vfNl/qWc1wOrLZfKA++9JITRvpdVbSEk56YZHJSAPhYREi011KZ6TCIi/jKJU2KpusVDwqTEYW2AgHWI4yKivXEZyMTPwpzDh2b2FyEkT48KVKzGKqSJz3a+7wEkc4QLrEdK7qPi857BsIIdelMbtXtOYjrUVmm3Zc8myma1eybKFXpdk8vYufzSQCnvca/zqbuazZTOKCCNiCXKLZTCJRiSIKIaknM+XkIHtpr1tvkOEC51cQEtvZI0BECBxWgSvntgFMIkbglMqikpiIDjORArCf1XZbZHRehi9bxCsVNjCCL3v0kgoXGMKxo5fl6eil83bIa3TUwDiOUv7QZ2OHDhsY7fBjly6su3SsEokV/HRo+63MgM0B3qMDBoYsclLUOnJJBQ2MYsscuaRCBQYzzMhleTpy6fQSB3TEmABHeSJcb11NhswzbunC2aPjBEY59KhluTIDNQf2kAb28tZwMueoZYXjCSXov4bDSASx/wfN5pdUw2EkLeGk4YmkjcYGKw3EFiYiwXTXcBip+K7hMFKZj+8tVBZNWBlZYHeQIcthY7HFyuJy1G84CSL8NyqL66rfTC+BFS23+rISRzg/cqrSWr/hJId9+yDkuuo33Sta85G+xD3omWsccnJGDMIYMILe9SUnEYR/gurLhXvQOflKON9FpSUnDYR3RUjLjh50TkIsAtPRg87Jw5+65GSBjW+AtXCoS04W/tSlu/+clR/CeS9TXMp4IkWk877MHV7iCPdHF5fu/nNWbth3D8KtQ1sCFrTmI32Jj9rIXPONsu2qJasxYAT9a0tGIgj3BNWWXEdtcJpBws0Al5y4ozY46SF8MUKKutpoOJnwaFDXURucTDyqUEYW2EgIWA2XCmVk4U2FtpyywcoP4eaXqkKnVyLKljsuWYkjPB9ZhbacssHKDfvuQbh1qdDuBa35SF/iw4oz1xTkpE0HYQwYQf8qlJEIwj1BVegihxVzUpVwqnCleZGHFXMaC+G9EbrVWZ3npMIkXK257yYrE4/ClZEFNngCVsMlXBlZeBOu7nOKWekhAsNSdev01kTZcg0mK3GE5yPrVvc5xazUsG8ehFqXbO1ez5qPtOfBSpcQzVrpiXl6Fz5YSQU87zP+dbBySYOV1AURsAW5PIOVVKISRRRCUg9UlpPBytI1WEmFC5xSQShr544wESFwJAUjmJ2DlVSMwFmURaUwEd18sOUZrKSiu+DBSjJsYARf8mAlGS4whCMHK+XpnZay5U5LMmpgHEfpfuizsUOHDYx2yxysJGOVSKzgp0Pbb2UGbA7wHh0wMGSRU6K2wUoyaGAUW+JgJRkqMJghBivl6V2Wbi9xQEeMCXCUJ8I9WEmF7HuwkowTGOWwg5VS32Fp9wyHNLCXtywkXIOVUuB4Qgn6LwsxEplXAG0LtEg2Dy0LMVKVcKqI9PEiy0KMxkJsjiKSV3dZiJGK57IQIxOPZSFGFtjNacBquHJmRhaXoSzESQ8RGFDpYVdZaHrdoWy5vpKVOMLzkXOglrIQJzXsmweh1lUW6l7Pmo/0Je6pF855TYk1Boygf9nKSAThnaCyla2nntEMEm4GuKRF9tQz0kO4YoQIdVZQGJkwaVBXTz0jE48alJEFNhICVsOlQRlZeNOgbT31nPwQbn6pInR60aFsubmSlTjC85FFaFtPPSc37LsH4dalQrsXtOYjfYlPDRHOyc4cawwYQf8qlJEIwj1BVejip4Yw8pVwvnC5aaOxwUoD4VwRsrLr1BBGQjzq0sZjk5WHR23JyAIb3wBr4dKWjCy8acu2U0M4+SGc91K15fSSQ9lyayUrcYT7I2vLtlNDOLlh3z0Ity5t2b2gNR/pS3zisXDOa7Zdr2Q1Boygf23JSAThnqDacjknHnOSlnDSCwtMRhoID4sQmO7iOSMVFmnpPvGYk4pHdcnIAhvhIMthY7HFysKfumw58ZiVIMJ/L1VeTu83lC03VrISRzg/urxsOfGYlRz27YOQ69KX3Sta85H2PFgpbfSUYixb6cl5ehc/WEkEPO81/nWwclmDlcQFEbAFuUSDlUSiEkUUQvKfzEhluhpMPhP6QUlC/SyoRdP7pUEWKvaK3D8ovrebPzf3bZw2yJyAoywIDe7sHSAiBM6twKV12/QlESNwYGVRzUxEhxlOAdjPpYWJ6C56+pIKGxjmlz19SYULjPPY6cvTay1ly7WWZNTAYI9KD6DPxg4dNjAkLnX6kopVIrGCnw5tv5UZsDnAe3TAwJBFzpwyUUWlsIHep4MGRrFlTl9SoQKDGWb68vRaS7eXOKAjxgQ4yhPRMn1JhOx9+pKKExjl0NOX+lpLu2c4pIE1YvakjPOT4zg8SeOTUBzlVVgeV1V4NByKOM9O+rGYvIfOZL1lt4KcsDunLyscTyhB/0UeRiKITUJoyn++yKN/q9KsOyrnfF1nneOsUjcTBSoR/UDnZs1HzSfqv09/ME63r+2HUuXWH9gMss5qEAk3CDwTtdHYYKWB2ANFJJ/uAhAjFaYCkH2nb5OVynzsb6GyaDLLyAK7BQ1ZDhuLLVYW3gpAZRmVruyYkx/CtaMSvK76z/R+RNly4yUrcYTvI2cxzkXd5+WGffcg3LrKP90LWvORvsSt69I1QDkZl0YYA0bQu/LkJIJwT1DluXDrOidfCee7qLDkpIFwrghh2dG6zkmIRV46Wtc5efjTlpwssPENsBYObcnJwpu2bGldZ+WHcN7L1Jb59H7EvOXCS1biCPdH1pYtreus3LDvHoRbh7YELGjNR/oSH84hXWORefu9SxZjwAj615aMRBDuCaotuQ7n4DSDhJsBLjlxh3Nw0kP4YoQUdTXYcDLh0aCuwzk4mXhUoYwssJEQsBouFcrIwpsKbTmcg5Ufws0vVYVO70fMWy68ZCWO8HxkFdpyOAcrN+y7B+HWpUK7F7TmI32JTzaWrgHKPMUaA0bQvwplJIJwT1AVusjJxpxUJZwqXGl6Otn4xks2e22w2gvhwBHS1Vme56TCpF2t6e8mKxOP2pWRBTZ+AlbDpV0ZWXjTru7DjVnpIWLDUqXr9I7EvOXOS1biCM9Hlq7uw41ZqWHfPAi1LuXavZ41H2n1v781zCeSTf/yN20SdcmzmrmNrxKnWQvfUp4bRfU1q5na+wWukgHPOxHOWU2lre43T/UIpKmlP2ruqz8zU49vjN6f/JY4hNl80dxsPvQ5i0k1uIAZHDeLaYP4PBmiREEEwGs+UBr7s+bzQH3yB7VUHzUfNh+Zze5Pmj+FpndX//kfoiCdjVGuBs1XSpA/aR4EctUMWjaP1J9HSaITbPVLOv5FjH+R41/y8S/F+JfS/JKPv5gX6oH4Uj+BsydybTrVqf7YreGJVgQOwSC0uXNbmYgQOPGCkdzOuU0qRuCoy6JimohuPlwvOLeZJWXuaCreImP0Mr2Z5mVUWGPpNh04MPQT5jfjInPOb5LhAmM/cn4zP709M2+5PZOMGigAUBnEOTEt8yyuorywYd+hYwfGUvwQZyaSssjKqLK+i7t0xBKJGPygaCuuzIDNAd6jAwZGMXKelYk0KqxW3qeDBgY25Cin22lcp0MFxjfEKGd+epGm22Ec0BFjYh7liUjiKo1lGlXW0nNNBs4z0NnuKXp0tMDghx3rzPWlmnYvcUgDq9EOYlklcTkM8/xoGIq+zMOqyGV4VKViKI7iQTm4gLHO3DXWmQscTyhB2w5ACy/MLoCNyFVWIvPCoG2BFtgdOLspYJqgJgn6H/W8p27EH72r/nt9/Mfqa6Y6NT54p7mlMsmb4/zxg+bT5jcmz/xyNchiVx1jndVkEm4yePJso7HBSgOxv4rIXt2VJUYqPJUlG49NVh4e60qMLLC724C1qKQshf0Auy1WLt6qS0VUWfd9tnnpIdw/Kjfsqi5Nr1rMW67OZCWO8H7krMe1pvu81LDvH4RaV3Wpez1rPtJjcZoN+kmZxGGW5Op71Y8Mq3g4CI+GaXUsj8osLiZr7lecWp8AJU4l2hgggv7FKSMRhHeCilPw5Kd1m3Odla6E04ULS5scXw1M1e2RTXKbkpg+eUX9333dwK9E+7j6pj4ZTzboEz2D5h/N+Z63T798P8iL1TQPTOHuK2PHR6kptTVfqR94R/3A8d9o7gST5it9nqhpxNJr8fTM0igg95tvwuYb/e1P1M8w7ViTSYnJqZzqx47+p+loux3ZFmuDdbEQAQQhn7vGWxkJeRXRjDw8imhGFtggDliLTMYiKiagz6toRjLeVLSKt7FLRnPyQwSqpcro6V2Recvln6zEEV6QLKPLLEqtJ9Tt83LDvoIQbl06untBaz7Sl/jsvtw55ZpjjQEj6F9HMxJBuCeojuY/u4/TIBJuELjSttHYYKWB8L4IDerewmWkwqI+3Wf3cVLxKEAZWWCjH2A5RKF3xKyOfIuVizf9WcUOqbLNyw/h4JeqP6f3SeYtF4SyEkd4QLL+dC7qPi837BsI4dalP7sXtOYj7fkCp8JGTynKooVelebz9C5+KIAIeN5p/OtQAHQogGhwATP4UoYCiBAlCiIAXvNp8/vgn9/+nTastnRSRIl6/+JUBs1n06ujxi0iD83T8KbpCHl3TScNN6tV80sST35N1MJ+MX6kRu9N+vzXAtPcb92v3yAbYj6wMPb1ExHOK2bWvn4iRmDf46IymIgO0+MIsV9SKndtXeUtMkY/ff1lHE2qs+d1KxU4MHovu6+fChcYvrF9/cVpX7/zTsxrdNTAGI4S/efqBlkaZ7HjFOsdOnZgOMT39SdpXomycIyq7NIRSyRi8IOirbgyAzYHeI8OGBjFyKmRnvcoXD0uVNDAwLbMvn4qVGB8w/T1F6d9/U6HcUBHjIl5pCciz0Umo8q6y1OTcfO09bc7ih4dLTD2odv6i5UZqDmwhzSwRqSBrlfWfJyZecvWBDk7d7b1t99KdY4nlKD/ig8jEcSGIDS/P1/xaT5sfqtysM+aT0OVgqtfTIf+zeZL00RlI73OSlrCScMTWBuNDVYaiD1NRPrpruowUpkP5S1U4HlqHKXSRmWTlYrHqg4jC+yeMmA50kpGhXV/fIuVireiThInUW5VCNu8BBFOHJXgdVV1ymkRwHlH6A4vcYQHJKcu7lXd5yWHfQUh5LrKOt0rWvORvsTt+YWzPb/CGgNG0L/IZCSC8E9Qkblwez4jXQmnC5eXyPb8SUHtgTkzSXfCm7OT1H+PJ0Wy7iZ9ZQQhLlOTPuOSIQIJQkp3NekzEmIR1K4mfUYeHtU0IwtsKIesRaZ0ichcVSRGMv70dEuTPic/RLhaqpye3oqZt1xzykoc4QXJclqkkXCpaU5u2FcQwq1LTXcvaM1H+hKfxFK4mvSLGG0MEEHvapqTCMI9QdX0ZTiJhdNkEm4yuCK30dhgpYHwzwiV6tzw5aTiU59y8vCnTzlZYIMjYC0yKaosskb6LVYu3uSp+yQWVnoI979MdVpM79UsWi5KZSWO8H5kdeo+iYWVGvb9g1DrEKeA9az5SJtz/s+oMqf6fHV49NqLL79kMQRJfDp2cYu2m7hKee4+A1crvxstRlKedvNb4V4lw51/zFqMCxSO/6Qk4HjzT++63guUHrzdfKUbuHXbtdGCT41C1LOe7+itx/FVprOGfxtBpQWTtS0yy3Me0k1zMQdZH+48p3xeuqo+SP2hVB/KRH8Q+kOlPlT6s0p9lsVCf9CfJcLlPqmMBZ6xs/fJSnNX09zVNHc1zV1Nc1fT3NU0dzXNXU1zV9Pc1TR3XTR36TQlnia8aUqx3NMs9zTLPc1yT7Pc0yz3NMs9zXJPs9zTLPc0yz0Xyz06S/hbSo8Fmm2t2daaba3Z1pptrdnWmm2t2daaba3Z1ppt7WJbk9me69frYIt7bHuaYk9T7GmKPU2xpyn2NMWeptjTFHuaYk9T7Lko9ugU4TEN2eenGB5qhoea4aFmeKgZHmqGh5rhoWZ4qBkeaoaHmuGhi+EhjeGZLEgT9XZbT+rq+5v0GbtYFM51goElRvKotOO9SsY7H+YWHMv7eFKRe6BjuJl7+6k5lWE+qJ+Zojvz3c8M8U3G5/T1LW/owqPr/kgq8/lwxzgfR4UoURAB8Ba9NMdGb4NMbz4X45t6oyIEDgcgNpfcU29UjPObRzxTb1R08zpkwam3VKZxVGbCBnKLDNLL2FumT5ayvkHbdODA2IgfexNp6Zx6I6MFBkfk1FuRzqbeCud1g9foqIEhEpUGzpu7yvNE32ZjLWnt0LEDg1x3QmeZcCqrJHfeZkNGLJGIwQ+KtuLKDNj5TIsKGBjFyLuJSSqj3NrxvE8HDQxsuKk3t8+4TkcKDG+IobeZv7je4i8O6IgxIY/yQGRJXiZlJKwPck3GzTT01uonenS0wMiHTIb1wzEDdT61pYA1Ql7lvVl8chzGx0MZirRKw8FREYflSTkcHOfl8Kgvx3ycWe+P+svtoDA9FDaaKvfNcDSh/Gz5cQstTI5sI3KVlQiiggZNnm+eSYNNT+tdvdcd6lZX9dWnk6MO70/6b3WjRO/Fv/u7n7zy4g/7k76KgyvXgiqOs/Hv9g/2Xgg2Dg/2gtTqlddZDSThBkIksJ/o9pJpNwnQSs/sL1x9pf+fXw72X3n55OTF4IV/H0oZmD7k27qDeFKG+NZ0sbyvMt+b+k/UV9/Q7SgfrukvfJKYhPnXifrjX+kPv1FBpPlSf/io+WZcnXjmJ026mddUTm1aqSc/b1zzuG/2RXQzjPrnpstn/oEPzXFE7zXf2pZug3XpEEVSRHLubhFhpMLSIhLbW882WZl4bBJhZIEtUgNWo5C5I7HeYqXirUckSbM8KoWN4TYvQ0SQQ6W/XW0i2bStwHnZ5A4vcYQHJCd2WVE6ntt9XnLYdxBCrqtRpHtFaz7S4y5mMYjTJO6HZf9EhCIXeThI+lV4ctTPj5JMxEW/f8O/BremGkqDC6wtYPz8a3BGIgj3BNXg58+dmEhrx4njY4H5tfrNW7q6ZYpfZhTNjK6Zv/HADMvdMZNu951VLEYzSbiZ4ErcRmODlQbCJy9FlTJSYVKlrvPHOal4lKWMLLAhEbAcOrwnTl3KyMWbLi1VJBM2ftu8/BBuf6mqdHrtYNFyjSQrcYQHJKtS56Lu83LDvoEQbl2itHtBaz7SPs8fd/csyxZ2VerefoeBxchHWJsTEe+8y/gLbHMiMhcw5ktpcyJClCiIAHhMbU5EesACMUKzOtuciAiB1WC4FG1rcyJiBNaBF9WYRHSYmi/AfjKRUewaeyNC9NTkJCJZ2YBv04EDI+OSm5yoaIGhEdvkJE+bnJy39V2jowYGSJSePucVqjIuc8dpvTt07MAQh29yStNYCFf3zS4dsEQCBj8n2ogrM2BzgPfogIEhjJx0JGnhOKVlnw4aGNWW2ONERQqMbZgeJ3na4+R0Fwd0xJh4R3kgcinS1DFGW5Nh87Q4tXqJHh0sMOyhO5zkygzUHNhDGlij4UGVGM3HmfC2ZPzUpNfZ4ZTjaEL5+a+uMBJBbLNB8+YL6HBiNJCEGwiRu851OOly0uPJXVWzzqSWlqZ/H6ZxbG9cisd7DZ82v+7uVUqW2qvEuAiIPVFEhu2uCjFSYaoKWeX2JisTj0UhRhbYLWnAaiRS5ceJ4/xyTi7eikLtzUqcDBHxCpXGdpWFpreYFi3X0rISR7hAcobW2qzESQ77EkLIddWFule05iNt5DTsDlvvctpVRSqwtoDx8y+nGYkg3BNUTp9vVrI3KWllpq80/cCUPj5SEvOj5tOJoL62H0ol9j6wGWSd1SASbhC4fLbR2GClgfC+SxGgjFSYBKizLYmRikcFysgCG/wAy1EUKo5bKzRbrFS8CdAqjlKrwN7m5Yfw70uVn8VUrDgvcNzhJY5wgGT56VzUfV5u2BcQwq1LfXYvaM1H2m9XknVrQunJ9suBynl2F96VRMQLLLpC5eBFdCURmQsY86V0JREhShREALzm0+b3wT+//bugDPRKBPrSUfUaxKkMms+U3e/qTdTx1vjDyYav3mt9d01L95vVqvkliSe/JpFayPFq6TX9Up+zvqbX9svQ2jiyQTYEsPiLELfO/iUiQmClF65Z2/qX/v/s/WuTJMdxJgr/lbL9RKE7y/ISkRmBNX3ADJtjPZpLo6sb3V07a7LMuuzCVgRlJGVn7bxGMxLgTS91BFLUSlyQBEhItkdm5+x5hwBGHFwImO0vqP4L+g3nB7wRWZceVEVEunuVZ1abRCOqb9U9z+MR6f54uEcEESOwxrutGCWiw9RzIfZLlHGbzlE+JmPsvoGJChwYRHfcwERFC4yi2AYmddPA5L0X8AEdNTCWoqT3hrmljJPcM7Ef0rEDoyG+gUkaZVfIfuaMCI/ogCUSMHieWCMerICtAX5MBwyMYeT8JNjARAUNDGs7bGCiIgUGN0wDk7ppYPK6i1M6YkzAI00IGaeF7munpQdk3DwdTEE3cUYHC4x76A4mdbACtQb2nAZ2b0sumbeDSeNoQvm1X3JhJIJYkoPm2C2UXBgNIuEGgee1LhpHrDQQK46IrNRfcmGk0nbJhZFKiyUXRhbYFV/AcCRF0Rfu9uBjVi57UXPh5Idw8KjEr6nmsryTswhcsspKHOEByTlNqObCyQ37BEK4NdVcmgd0wEd6fxvoM1/Hjwrf6eWwBYxf6/KTkwjCO0HlZ/sN9JwGknADweXol2302Yvd9If268+v//r6L+1X19+rv+M5/BNm3sNe/fWn9TFPT+uKjfnuy707p6+89ri27vG8I9+eJfoirl/Pft5vbMLf6YGhnAOJCEe7EOScVJgEubPSfY+VSXt6nJMFVg0ARiOToq/di13HrFxa0+PBJnxWhoiYt0tFrpYXkarAxbKsxBEukKzIQ034rOSwDyGEXIMkB4zogI+0vVr2cK7gWryLzvnAGrGdBFgq6V9/h4HFiOgvt0M5g9odMl5gCReqlbdvh7LvmOsxqyDBTVFU/gLGfxdNUVSIEgURAG/VFJUki64o8zCkdVeU0cc/m5/INHtu96M+74l+ctgz/08Pe9nq4KbZcxfFIzJFYKkYoWN97U5UhMC6MFyeBtqdqBiBFeFthScRHab6C7BfGuee63iOyRBb6XZKta/qe58OHBgjCd1ORdqPnfXQP6GjBQZJZLeTSlbdTirxdzuRUQNDJUpib5zBEuvc6E2nwR/SoQOjHL7ZSRciS/uZ05E9ouOVSLzgWWJteLACtgb4MR0wMICRs5AkTfvSaeUTOmhgTEP2Onkdxqt0pMDIhuh1WjmLVwPO4pSOGBPtKBMilakyAVC6YA/IsHlanUJO4oyOFRjzsJ1OZmasQK2BPaeBtWhNvptN4rGORlJVkcjHo6ic6EmkRVmJyVROk9GCjzfvDSwAUHNfX6eTSnE0ofxcGXKAFiZLdhG5w0oEsewGTZ9fLFesiki92Xv2Xovr7/dm/232gf20V3y5ruTifpeVu4RzR+Sl/3bRXG2HI9ahQyyaIvJtf92IkUrLdSNGJi3WjRhZYJesAaORJ32d+spGjFRaKxtpKfrCOePu8xJEhC9USttUNUqXNQbvPdAPeYkjHCA5XwtWjTjJYR9BCLmmqlHziA74SO/vPgLhbeTKsLaA8WtfXTMSQbgnqLrm30fAaRAJNwhccrtoHLHSQHjfnchPRipM8tOZk99jZdKi/GRkgY19gNFI437urTIxUmlPfvp3EbDyQ7j3narP5Z24KnDLMStxhP8jq8/ALgJWbtgHEMKtSXw2D+iAj7RtWXrB81hN2WLrknSxNfJShNjm8TrbllqXtO8kJyredReyZevSu/VdZM+vf7hSh7Mv5ncIG234g/nSn13TuzmwadHFZNf7fl+vXNr1Ptv99HHv+sf16uWyf+kT+0eMvPzMvOVH9pyh+dsOX/zJ57MPV8uFb9bXF39sEXxafzn/q7OPZp/34sPUdreYv3v94+s3XSa9SzapgJl0J91QRIgSBREAb9HbdPhCc9PNvXQvdEH5z36Sva+kaXKYSDMuf3S4+F4/6X1FHGptv+eywBHZAsBaM0I9e5uliAiBhWW4KA41SxExAkvK28pdIjpM+RhgvzTN+4lwQTwmQ2ylWSrJU9mX0oX8Ph05MCzju6XSLM/6Wrvg/gkdLjAwY9ulxE27lPcu3gd01MDwjFL3G8useZHHSV85xe5DOnaBxA6eIDITUqf9wtcwRQUskYDB88Qa8WAFbA3wYzpgYBAjp0ABx3FCRw0MbLiOqYDTeJUOFRjfMC1T4qZlyuswTumIMTGPMiWCzmJAxs3TMxV0FGd0sMDQh26aEgcrUGtgz2lga6UrxkUxmmRRZd4XiVymUZlNqkjocpxUeTlWcjTn4824A0sQ1Kzb2zQlcTSh/Fy5eYAWJj93EbnDSgSx7gdN3DfLOotajbu6A+8tclnnLqt1JNw68ATXReOIlQZijRORpfprPIxUuGo80kXlHiuVFos8jCywa8yA4ciM/HJvuThmpdJakSfXfemMzfd5+SGcPSoNbCryyGVNwHsN80Ne4ggHSM5wvIN6wssN+wBCuDUVeZoHdMBHet6/n+osTZMqGutsFAmRikilcRxNkkrrqkjyYrKY7a1KUV+HUY61BYxf+1KUkQjCO0Gl6N+/UAZ62pv9j9mz2e/rAs/z6zd7s98eZdmfWmUaC7ub3X7/2ex39U/rhvJo/k1fW/hdVmtIuDW2lp6MNBCedyfSk5EKk/R0t6XeY6XSovRkZIGNfIDhkHlfZs4BOWal0pr0FHFf+6QnJz+Ec9+p9FxeY6sCFxOzEkc4QLL09A7qCS837AMI4dYkPZsHdMBHupaelR7LUmQqSstEG5mqplElyzRSuVDjcTIep3LhX1uVnpnLFkZ6FlhbwPi1Lz0ZiSC8E1R6vrfoFFqeuPTxfD/is9nHi9XQ3uwf6t6i79c9Tlaj1hst7WLn/O1fzD63GyF/MXsnqhvffzr79exvzetvZu+7LHSX1UISbqGt5SgjDYQ33okcZaTCIkcTdwZ7j5VJi2qUkQU2GEJGI5O+IyyPWbm0JkeTvJ/52t05+SEc/k7l6PJeWxW4qJiVOMIBkuWod1BPeLlhn0AItyY52jygAz7StRwt8zQu42waFdPStsYnSVROp5NIyHE6LSfxSE6rJ+3LUafXMnJUYW0B49e+HGUkgvBOUDn6jqPj/blVmS80uff+ZPLN8utl7+vlN8v//X9/faFTjfZ8XtftP17o1sG9RIri0eIrkyVd/8C82GPlP3OZ6i6rqSTcVHBd+idHp688fKX38JXTV4bD4/pkks+Ndrfq/ZNaq7/9cm9+ZIj5/jNrIfvjP5gfPTNv/un1d+2is3nrW7NP61NMns6Fv90usNhq8EVPxfZAfPMrth3izZdth/viCBIzJuaTt+d/b/aB/Zb5q/9ofve786P8X+5lC6Nf/yA/1LXl50frz29MNv90L7Xf7LvG44h1PBDxBSGwvQ3xjEyY9HVcuKjcY6XSosBmZIEN74DhSEXS184BOWal0p6+FrHqx85YfJ+XISKG7VRhq6Ug896Y+pCXOMID0hW2f1hPeNlhH0IIuyaN3TykAz7SVmSHtPNut5DmLnZGNesAO53qdXadbyEl4l13Gv+2hfRGRBNNKmAm3ckWUiJEiYIIgLf9FlLn8sURmSFwd80uFDERIXAnDUrpereIEjGuy1imLaJEdJjtMgD7KZH1ffelUiHuwRZRKnJg2N31FlEqXGDgxW4R1TdbRL2XdD6gowaGX5Re36xpFIkQoh87HdhDOnhgoMPvEU20FkIaf+Z8Gh/REUskYvBMsVY8WAFbA/yYDhgYxuhpTXCTKBU1MLTtcpMoFSowwmE2ieqbTaJel3FKR4yJeqQpEXQXAzJwnl2iYVdxRkcLDH/obaL6YAVqDew5DezeVqRy3zZRHb4/b4MmlF/rFSlOIojVPGhy3mVFitNUEm4qeEb75YpU312R+pWx4o/m9/nVnWNP7VYGk/w+s3nuYtuDfV99fUFvfrp//ZZPrr932LvZ7GA/ratS83pUf6OklSSp1KeumlRuX/AVKc7xQKzH7iD/5mTSckWKk0p7FSlOFtjFcMBw6DjtF+7umWNWLvtRkmJliAhiqBS3oSSll7f46sC9zKzEES6QnruFSlKs7LBPIYRdQ0kKMKQDPtL7uwsh922A1QnWFjB+7YtsRiII/wQV2R3sQuC0kIRbCK6tXTSOWGkg/DFCknp3IXBSYdKkTjdyj5VJi5KUkQU2GAJGQ8Z56lnROmbl0p4k9e9CYOWHcPg7FaTJUr14b1p9yEsc4QDpgtS/C4GVG/YJhHBrkqPNAzrgI72/57Hkvk2xOsXaAsavfTnKSAThnaBylPk8Fk5rSLg1tpaejDQQnncn0pORCov09J/HwkmlRe3JyAIb+QDDkSZxXzuTgWNWKq1Jz8B5LKz8EM59p9JzeTelDtw2ykoc4QDJ0jNwHgsrN+wDCOHWJD2bB3TAR3p/T6XOfRtgdYa1BYxf+9KTkQjCO0GlZ8unUnNaR8Kts7UUZaSB8MQ7kaKMVJikqO9Uak4qLUpRRhbYSAgYjiTN+1L6tCgjl9a0aOBYalZ+CG+/Uy26vKpSB+4eZSWO8IBkLRo4lpqVG/YJhHBr0qLNAzrgI93uRlFnz5ZRlyLELovX2XW9UZSKd91l/NtG0RvlSTSpgJl0FxtFqRAlCiIA3g42itp7RdMiOYzVC7eNJqn9thKHceq/b5RqBeAuHIRm9jazEhECd9zApXBgMykVI3CrzbYal4gOs60GYL9Mem7JOiYjbGcvaSLyvpYu5PfpyIGRecd7SclwgbEZuZdU31w3qgPXjZJRAyM0StBvrrMWqUo8E+QhHbtAYgdPEJVpIdO+cgJ+RAcskYDB88Qa8WAFbA3wYzpgYAwjZz0Bx3FCRw2MazvcSUqGCgxviJ2k+ua6Ub/DOKUjxoQ8ypQIOosBGTfPRtKgozijgwWGPuw+Um2vG3U7iXMa2L0t7BTefaQSRxPKr/3CDiMRxFIfNHdvu7DDaB0Jtw48x3XROGKlgVjWRCSp/sIOI5W2CzuMVFos7DCywC4rA4ZDZv00dw7IMSuVvajrcPJDOHtUGthU11neTqkD142yEkc4QHKGE6rrcHLDPoAQbk11neYBHfCR3t/29sK72zLH2gLGr30pykgE4Z2gUpS7vZ3RGhJuja2lJyMNhOfdifRkpMIkPb3t7YxUWpSejCywkQ8wHEr1i8I5IMesVFqTnqH2dk5+COe+U+m5vJ1SB64bZSWOcIBk6Rlqb+fkhn0AIdyapGfzgA74SO/vQR+Fd2dl6K4rpy1g/NqXnoxEEN4JKj27OOiD0UISbqGt5SgjDYQ33okcZaTCIkf9B30wMmlRjTKywAZDwGikSRa7byA5ZqXSmhoNnfPByQ/h73eqRpeXU+rAbaOsxBH+j6xGQ+d8cHLDPoAQbk1qtHlAB3ykazVaxNN0LEUVlZWUkcgqEVXGbUSlnKqpkpMi1l2oUeGyhVGjCmsLGL/21SgjEYR3gqrRLc52/tnqGsz6axnHev4D9zWa9c+WJz67bHeX1XYSbju4Tv3yYc/us56d1ti8fNSa7/CFu0XXLxJNt7pIlNOyiNCBkM7eTndGJkzK2XtsMyOVFqUzIwts5AYMR1bovpbOETlm5dKadtZ53HcvVd/nJYgITzsVz8tbJ3XgIlFW4ggPSBbP/lE94SWHfQYh5JrUc/OIDvhIt7s91JkQGT2sg+ySdXadbw8l4l33Gf+2PfRGDRNNKmAm3cn2UCJEiYIIgLeL7aFOwXlE5gjcOLMLSUxECNwkg5K63s2fRIzrOpZp8ycRHWYnDMB+edHPhAvhMRlhO5s/QxeJkpED4+6uN39S4QIjL3bz581FojpwkSgZNTD+ovT6xvSItciFpwn2IR07MNDhN38mUifaODPnFHlEByyRgMHzxBrxYAVsDfBjOmBgDCMnNcFrRMmogXFtl5s/qVCB4Q2z+fPmGlG/wzilI8aEPNKUCDmLARk3z+bPoKM4o4MFhj705k97iah7Dp/TwFq0sLuQLB9vSh1YU6Cm1Z7Nn1kcvOtpkyaUX9uFJlYiiJU8aGa+RaFp20tEWU0l4aaCp7PkutJmWSlViS02mR9/UFt/ftXoH9ZuDt1lsYnV3Iil1u0za1Ym7RabWKm0VmxiZbGubAIsoAl9kfZjt5I5ZqXSWq0pdEUoL0NEiEIlr+Fik+E0L00sPnERf8hLHOEB6XlZ4IpQXnbYhxDCLlxtggzpgI/0/u4c8KyIGwkdvJ/KZQsYv/YlNCMRhH+CSuj2dw6wWkjCLQRXzi4aR6w0EP4YoUh9OwdYqTBJUqcbucfKpEVFysgCGwwBoyFi4Qnsx6xU2lOk3p0DvPwQ/n6nejRZihf/DaG8xBH+j65HvTsHeLlhH0AItyY12jygAz7S+3uEivLsY83iFGsLGL/21SgjEYR3gqpR3iNUWK0h4dbYWnky0kB43p0oT0YqLMrTe4QKK5UWpScjC2zkAwyHCeIqcw7IMSuV1qSn/wgVXn4I575T6ZkulYr/hlBe4ggHSJae/iNUeLlhH0AItybp2TygAz7S+3uQtPJsWs3iDGsLGL/2pScjEYR3gkrPdg+SZrWOhFtnaynKSAPhiXciRRmpMElRz0HSrFRalKKMLLCREDAciRmP2H3NEiuV1qSo/yBpXn4IZ79TKZotlYv/glBe4ggHSJai/oOkeblhH0AItyYp2jygAz7S7e4AdfbjGnEpguzSdXYd7wAl4113Gf+2A/RGeBJNKmAm3cEOUDJEiYIIgLeLHaCZi+MRmSNw9wxCEHv7VIkIgTtl4DrXvwOUjBG4RWZbAUtEh9kOA7FflvZz5yAfkyG2swU0k0U/cYaG+3TkwMC72y2gdLjA0IvbAmrgLLeAmk+9W0DpqIEBGKXXN6ZHobU9eMfpYR/SsQskdvAEycyETtK+u17xiA5YIgGD54k14sEK2Brgx3TAwCBGTmoCjuOEjhoY2Ha3BZQOFRjf4FtAbxzGqwGHcUpHjIl5pCkRchYDMm6eLaBBR3FGBwsMfcgtoHZurECtgT2ngd3bso0nUzWZtcTRhPJrv2zDSASxkgdNzdsu2zBaR8KtA09hXTSOWGkgVi0RWaq/bMNIpe2yDSOVFss2jCywq8aA4Uh0X7lVwTErlb0o23DyQzh7VBrYVLaRy1V+//2fvMQRDpCc4YTKNpzcsA8ghFtT2aZ5QAd8pPe3eV17t1LmWFvA+LUvRRmJILwTVIpyN68zWkPCrbG19GSkgfC8O5GejFSYpKe3eZ2RSovSk5EFNvIBhiMzztx9UN0xK5XWpGeoeZ2TH8K571R65kul4r//k5c4wgGSpWeoeZ2TG/YBhHBrkp7NAzrgI72/p3ho777J8O1TDlvA+LUvPRmJILwTVHp2cYoHo4Uk3EJby1FGGghvvBM5ykiFRY76T/FgZNKiGmVkgQ2GgNEotOwXvjYhRiqtqdHQKR6c/BD+fqdqtFiKF//9n7zEEf6PrEZDp3hwcsM+gBBuTWq0eUAHfKS/M39W4yzVeRbl8UhERrhOI6WLcaSU+UEyystKLwa9VTUqXLYwalRhbQHj174aZSSC8E5QNbrFsczvLt7xz0a7fvDCPaCJMYH5hHwNKKsJJdyEcLlKPq65v3les7Heocu2Oz2gmdHAiECCENLexndGJkw62ntAMyOVFoU0IwtsHIcMh0j6OnaukByzcmlPSSe2v9Y55+7zMkREq51qabWUXv7rQHmJI1wgXUv7h/WElx32KYSwa1LTzUM64CPd7m7QxCmKjEDWQXrZOr3Ot4MS8a57jX/bDnqji4kmFTCT7mQ7KBGiREEEwNt+O6h7T8oRmeJ6VGDcDUpECNw0gxK73t2gRIzrSpZpNygRHWZnDMR+qehL54rZMRliO7tB8yz1tE7fpyMHBt5d7walwgVGXuxuUH2zG9R/ISgdNTD+ohT7hr3jzPzP0+D0kI4dGOjwu0FTLWQs+8qptx/RAUskYPA8sUY8WAFbA/yYDhgYxOhpjd9xnNBRAwPbLneDUqEC4xtmN6i+2Q3qvxCUjhgT8yhTIugsBmTcPLtBg47ijA4WGPrQu0H1wQrUGthzGliLFnbzkeXjzakDiwrkvNq3HTQJX+20wRNKsPXSEycRxGIeNDXfovS09Y2gnKaScFPB89n1EtNa2Wj2nm0T681+ZVcs6hs+P7n+Xu/xwBjkiWEr7MckSaU+NRnxD+c3f77cu9nGEL4ONLcGzewLvtbEaWnEQusO0mpOJi3XmjiptFdr4mSBXeWGDIdRMZnv1FFOLu3VmkK3gbIyRIQnVObaUGtKlldHJoHbQFmJI1wgPSkL3QbKyg77FELYNdSaAEM64CO9v/sIjH52xkWjn8OXUTmMASPYvn5mJIJwUFD93MFGAk4LSbiF4LLZReOIlQbCISM0qXcjAScVJlHqdCP3WJm0qEkZWWCjIWA0ClH0hafCxEmlPUnq30jAyg/h73cqSJe3RyaB60BZiSP8H12Q+jcSsHLDPoAQbk1ytHlAB3ykazk6lWJUFiKOJtW4jERRFlEZVzKqhFTTdDSJdTZ90oEcdXZtGjmaYo0BI9i+HGUkgnBPUDkKPFIlyRcLvLUsfdNF/S4rdQmnDteZa+zvTr45+dbr3+7Z3T9358vc7lMKj1ipInzxTrQoIxUWLeo/Y4WTSotilJEFNhYChiMzzl04B+SYlUprYjQv+pkzat3n5Yfw9jsVo8v7JJPABaGsxBEOkCxGvYN6wssN+wBCuDWJ0eYBHfCR3t+Tpo0YFS5jGDGaYY0BI9i+GGUkgnBPUDHa8lHTnNaRcOvA9aqLxhErDYQr3okWZaTCpEV9R01zUmlRizKywIZCwHAkqp+7u/iOWam0p0X9R02z8kM4+51q0eWFkknghlBW4ggHSNei/qOmWblhH0AItyYt2jygAz7S5n//8XAuwf5DSGvueG+or4NVBGiqfOMi1Nb2hjpLfXfIeNd9x7+CvaGfX78J2htKNamAmXQXe0OpECUKIgDeDvaGpu6pfUQmCdxYg5DG3jZWIkLgJhq44g3sDqViBO6e2VbKEtFhdspA7OeM9MdkeK3sDE0zZQKDc9jv05EDwy5hZ6hWWd89S/+EDhcYd5E7Q5Obe0KTwD2hZNTA6ItS7RslgCzL437uNPhDOnSBhA6eHyIp8tQzQR7R8UokXvAssTY8WAFbA/yYDhgYvsiJTcBtnNBRA0Macl+o32W8SocKjGyIfaHJzS2hfndxSkeMiXaUKRFyFQMybJ5toSE3cUbHCgx72F2hib0j1O0izmlga4ULyqwtH282HVhWIGfU3l2hEscTStCVdwd4YXJvF5E7rEQQi3nQpLztyg2jdSTcOvDk1UXjiJUGYuESkZ76KzeMVNqu3DBSabFyw8gCu3AMGI7U7dGPWXnsRdmGkx/C06MSwKayzfJCySRwQygrcYT3I2c3obINJzfs0wfh1lS2aR7QAR/pPd5e6dkXZYRojjUGjGD7QpSRCMI9QYVoF9srGS0k4RbaWowy0kC4452IUUYqLGLUv72SkUmLWpSRBTYaAkZDOaP6MSuN1qRoaGslJz+Er9+pFF1eMJkEbgxlJY7wfWQpGtpayckN+/BBuDVJ0eYBHfCRXtzRlMnRZKqiaZXISGTjLCqFklGcxrKsxtNx3M2aaOYyhpGioQurnMaAEWxfijISQbgnqBQlnJRnJeq/M0rz6eyj67dmH86e2q+Xx+d97r65aXAvT+Ikjk/nX+Zx/JL9L0kC5+gxGlLCDQlXrAsrPVxYCXaOnv+cvK9+NTfA0/j00HVkXv2inzx5wxrwcO3UvJd76fyAwnpI3jGpxVPzo+/ZjOFnBsivZz93mfyI1eSICINQ195OJEYmTOLaubR4j5VJi+KakQU2vkNGQ7p3XR2zEmlNXpt/WfXdVdj7vAwREWynAnt5Z2YSuASVlTjC/ZEFdmBYT3jZYR9BCLsmid08pAM+0rXEHqU6S9OkisY6G0VCpCJSaRxHk6TSuiqSvJgs5nu7Ets5A4zEVlhjwAi2L7EZiSAcFFRiA08vicVCDJqf/67+qVVzn0c3CtFljbus1pBwa8B1sovGESsNhPNFaE//yi4jFRbxGTishJFKi+qTkQU29AGGI+s7R+OYlUdr4lPEfe2Tnpz8EJ59p9JzecFkErgzlJU4wvuRpad3UE94uWGfPgi3JuHZPKADPtJ2d+h3XhAqXmX5rcno269/4w2HIUjCMnPxNJpSB3mm6zx920P9aDFy8WaHqBPuHTLc9WkWMC5QFP6DVXd1Xf/jWud9YJcGv6h7TT+vN2j+oW5JtZ99cNi7+d71T65/UG/dtN8w0tD82EXVyEL98jGZ74az9BPezlcOzh9+5WGWxofmRdiXwrxksc9NUukIPB1vA76TwyPL4ZHl8MhyeOTj8IjOQeI5wBvzDYXHlsJjS+GxpfDYR+ExnQL8MaI7a0tlYKkMLJWBpTLwURmQqWzs5WiggptNZxb/mcV/ZvGf+fCf0fHDwwVyi4eBf27hn1v45xb+uQ/+OQ1+PZXm8G0Yae2QhMy3nyMNXdmgcuEdBBhYYgTse/p17pDxrgeFLc9I+CcTAN+yayL243J1xHVKwrPFaQU3Ic8em/CWecdzW7e0yyaf1cWvtxdfmj9TL6N8ZJvm5gst5qv5po750Qe2vPmlvSCLAxJcRzTMt4jYN356/Zf9ukxnovCPZ896aegeMKqV12MV47EJVIgSBREAb/br2d/3/uX7f9dLkvm5FHbzVNpP41T2e7OfbRyfcNhbHLTwwjkLLopHZIrrSRPfoQlUhMAdpvBVoMChCVSM60s8PIcmUNGty5EtD01I47wvnIN8TIbYysEJWay97XZk4MBITDk3QebecxPIcIGxGHluQhqvzk1IvXc+PaCjBkZkVI62sYMkM0Ksnzon9kM6dGCYa87HNvAmcVIUfekE/IgOWCIBg6eJNeLBCthGtkUGDAxh5DU/v9s4oYMGRjXsuQlel/EqHSowuCHOTVi5i1cD7uKUjhgT8CgzIuQqBmTYPOcmBN3EGR0sMO4hs2o7NVagNtJoEliLtoqlTmI1ifJ8NIlEKfNIF7mMRjoVEzGKK1UtHkhvhv31crcdDPVHF02TZ4fuonHQhPJz5eIBWph83EXkDisRRJlrq0T9Q3tm3Twbt0cgLPt/vfvW5qcpBPatmWwu9tXU77KaTMJNBk9pXTSOWGkg6nyItNXb5cBJhaXLwdNgy8mjvRYHThbYIitgLIo0Ff3CReWYlUprXQ5FXzuVxX1eegjvj0oKG5oc0uVVcmngbkBW4gjnR054fGN6wksN+/hBqDX0OADGc8BHupam6UhWWSxUpMZTe9hCEke6lFUUVyPzDSVFVlRP2pemzglgpGmKtQWMX/vSlJEIwjlBpWm9p8rKTVvd6dU7pN6+/tG8bcK2zNadtUZw/ipxpk53WflKON+tdSUjDYRrRehKW2v7sN9zV8++xkqoVXXJyKNFdcnIAhveAGMRrMQwUmlNXdorZISL331efggPvlN5ubwcLg3c9sdKHOEDyfLSO6gnvNywDyCEW5O+bB7QAR/p+ZmxUxXn03EcTdN4GolRrs1vaR2NJhMR59m0jEUXS5/OxlWjLzOsLWD82teXjEQQ3gmqLzePjHWfFTs/leuXs5/Wq5q/mP3K/PfrxZrog5NIJr3ZT10GuctqEAk3yNYClJEGwvkiBKh/YZORCov09J8Sy0mlRfXJyAIb/ADDkcV9nTv9+DErldbUp477qa9diJMfwr/vVH0ur4NLA/f7sRJHOECy+vQO6gkvN+wDCOHWpD6bB3TAR7rewXW4kl1WVLbYwu7Mio2+FEG2+TrbllrYPQdu3yHjXXchW7aw/831T+rzrj5YaML6wKzZM3gb+6qr3O776sm6nXzXDewuC94lW1DALLiT9nQiRImCCIC3i/Z088Z/MuPzdHHS7+JSyN+Zb/x+2UPRd5nhiGwGYP8fQjJ7W9iJCNfVMGsLOxEjsMtvW4lLRIfp6APYL7hwSoTYSgt7rvqFM1Tcp+MGBmJ8B3sSx4m/g50KFxiKsR3sNzf/pYGb/8iogQEZpec37C0SZTSFc14/pEMXSOjg+WGewjz1PYiP6IAlEjB4mlgjHqyArQF+TAcMjGDknMfrNU7omIExDdfAHvAYr9KhAkMbpoH95uI/v7c4pSPGhDvKhAh5igEZNk8De9BLnNHBAsMeuoHd3vzn9hDnNLAW7UhOxjpWOqomUkaimtjaT5VF8TRVeZmOq6qUcz7e/Dqw4EDNsb0N7BJHE8rPlYkHaGGycReRO6xEEKt80DS9Trzswco3iZenff13Ns2uW9WZ29kZDSjhBoSnwC4aR6w0EIueiBTWX/VhpMJS9RHuU+LusTJpsejDyAK75gwYDZ2qvtIuKsesVFor+tj1rtzF7z4vP0Q4QCWJTUWf5WVyaeB2QFbiCP9HToC8g3rCyw37AEK4NRV9mgd0wEd6f1uOUm9JKMfaAsavfbHKSAThnaBitYWWI0aDSLhBthafjDQQzncn4pORCov4DLQcMVJpUX0yssAGP8BwBFuOGKm0pj5DLUec/BD+fafqc3l/XBq4EJCVOMIBktVnqOWIkxv2AYRwa1KfzQM64CNt5WdIVe62xcjph4yeLALsdLbRUNV5ixERL7CiCZWDt7nFiGhBAbPgTlqMiBAlCiIAHluLUb051i5i/3i+aO1rMiIaAliiRYhkb5MRESGwIAvXvqEmIyJGYCV2W1FLRIepugLsF2wyIkLsvMmIihsYinfdZESFCwzG2Caj4qbJyHub2wM6amBIRil4TOvAQzp0YCzcfZMRFbBEAgZPE2vEgxWwNcCP6YCBEYyc5ZgHsZ/7FtmpoIFBbZddRlSowNiG6TIqbrqMvO7ilI4YE+8oMyKNi0L13b0wAzLsbrqMqGCBcQ/dZVQcrECtgT2ngd3bwo3/OorQ3VMOmlB+7RduGIkgFvagmXoLhRtGg0i4QeBZrYvGESsNxLolIif1F24YqazH+AAVePIaKNwwUmmxcMPIArtuDBiOYOGGkcpeFG44+SH8OyrtayrcLC+HTAO3fbISRzhAckoTKtxwcsM+gBBuTYWb5gEd8JHe3x53/05yjbUFjF/76pORCMI7QdXnHva4MxpQwg0IV6uuDdprNtwop/QWNvmN+e/92X8zsv4Xva+9/sbr3/rP/+n1P/+W+eniltdn19+//n7v5F4qe6nXZkesNkNEhp1IY0YqLNLY31DPyKRFZczIAhuYAaMRbKhnpNKaMg411HPyQ8SenSpjvRRSOqCMOYkj/B9ZGSe6n/nW+jm5YR9ACLcmZdw8oAM+0stTlBaRoOVTlISL7StZFr6HSa2zbanFqfC1OFHxAuupUOn6D7aJqFZJH9ftRB9YxfnlLiYjun7fm/189s7slz0rvHoLlWZ12ud1P9OiFck2Sj1bCNsPeon9gW2d+dhlgLtkAwiYAXAdSgt6SXoofbcKf5WMWKIQQ9DuomHJxfGIzBFYyUWIW18vEhUhsGwL16yBXiQqRmC9dks1SkWHqc0C7BfqRaJCbKcXSet+7hz5+3TgwKCJb0ZKpfA3I5HhAsMmshkpu7mzNwvc2UtGDQyeKO292YwkhPHHwllZeEjHDox7+G4kmQqZZJ6rQx/RAUskYPA8sUY8WAFbA/yYDhgYw8gJSiGzfuy08gkdNDCs4bqRAj7jVTpUYHRDdCNlN5f2+v3FKR0xJuJRZkQipchUP3OutQzIuHnakYJ+4owOFhj5sO1Imb211+0jzmlga4WWjadSyDRSqswjkY6SSAlRReO8qkbTZByLYsHHmw4H1geoKbGvHSkLXxO3QRPKz5U4B2hhkmcXkTusRBCLctCs+p06Qf7Ybvv51NYp3jP55Xv1fWguendZ6Uk4PXgG6qJxxEoDsYKISDK9FRROKjwVFF8qykikvQIKJwvs+i1gMFQq876zS+OYlUprBRTtEbL3eekhXDUqh2uon2TLK1mzwBW7rMQR3o+cnvjG9ISXGvbxg1BrKJ8AxnPAR7rWkZNpOU6zchpNq2ociSxNozKpiigeZVqNUjHJssWYt6ojPY1FWYq1BYxf+zqSkQjCOUF15M9vOmCufzJ71lsVa17YMV7/YPaFUZzmm9c/WXYafWD7jGYfLkozn88+thUBI0nrn9o6x0tJGscvpdKd5t9lNZWEm2prTcpIA+GVEZrUW/hgZMIiSZN+LF1U7rFSaVGUMrLARkXAcKRJ3i+Ec6XgmJVLa6o0yYp+4VxLu89LEOH6d6pLl1e5ZoG7eVmJIzwgWZcalP3cua3whJcc9hmEkGtSps0jOuAjvb8bLoXvZKMsw9oCxq99ZcpIBOGewMqUfcMlp0Ek3CBb609GGgjvi9Cf/jVRRiosAtS/4ZKTSosClJEFNvgBhiO04ZKTSmv6M7DhkpUfwr/vVH4u73LNApfzshJHOECy/AxsuGTlhn0AIdya1GfzgA74SNfqU8pkVEkxjkoxNe+diFFUqZGK5GSiJ2WZKrXsF2hVfQqXLYz6FFhbwPi1rz4ZiSC8E1R9/oNd2Jx9Ol/2fDo/B7M+JNMuk35cF9qT+KVEvlT3c7so32WlLOGUt9aXjDQQ7hWuL69/fP2mi8rXWKmw6MvU0wx1j5VKi/qSkQU2vAGGQ0jVT6VzRI5ZubQmMJWJSs5QdJ+XH8KF71RgiqUe8V5o+ZCXOMIDkgWmd1BPeLlhn0AItyaB2TygAz7S9b7F77wgSbwS8luT0bdf/8YbDksQFKRv5VIGaep1mr4Ni36sGFm43LPoBHuHDHZ9jgUMC5R+79W7E434s/VsF1ij7OTLx2TEG77OD3k7Vzc4f/gV473yw4dZLn2+jUpC4El4+8CdyB9Z5I98yB/RkUs8cnhTuAH+2AJ/7AP+mA4cPtXp3tQSGFgCAx+BAZnAxqaBBgK4+XJmUZ/5UJ/RUcNdN3IDgQF9bkGf+0Cf00DXk+VJm/HHuzsgD8EvYq/NwWhJEci7Y54IF/5gQmPQ/2lrXPVdHYu2LHtJyO9sYLr+yeLQJudVHfW3V9HLvMFF1MSv3MYvItu241dh4pfI7IuNZEKbF2m/lPYHeWxfMl90o1JsI7oVJroZXo8sr0eW1yPL65Hl9cjyeuTj9YjOS+J5ofzZY0vrsaX12NJ6bGk9trQeW1qPLa3HPlqP6bTgD+DWkbEwkdHQG1h6A0tvYOkNLL2BpTfw0RuQ6bHHzcLETcPpzHI6s5zOLKczy+nMcjrzcTqjc4IHJFJULUxUNZTOLaVzS+ncUjq3lM4tpXMfpXMapRfWZG3waum0mvrVxcKE3iLIIvUODAwsMe7aM2tceO+Q8a4HI4bTaupOaFsH+Dya/d4E5Lfq0PrcfG7v3nrbHqy4Hnmfwg+pIfJej1A7OaTGBfGrZIgSBREAb/a+7Vbvzd6L3DexHJGhrq/CMR4uQ0QI3IUPLy2EDpchYgRuv9+2ZkBEty4StjxcRqp+7mt1JiJs5WyZVCZpX/t6mKnIgTEOf7iM1MJ/tgwVLTDIYc+WubnoKgtcdEVGDQx1qKRrwyuIIlW5p1zwkI4dGK6as6mNli+hEuHB+4iOVyLxgqeJteHBCthmCkQFDIxg5BpSolXRl06Hd0JHDYxquLNl/C7jVTpSYGzDHC1zc9GV312c0hFj4h1pRiS5MHNC5y7cAzJunqNlQm7ijI4VGPaQKaydGitQm/kpBWwtgKaJSqaZiMyjLCIxKdOoiuNJNJZiPJoUahpPF7b3pq5fL3fZ+TZ/9SWwoWsXHDSh/FxJboAWJtF1EbnDSgTRNgHNgH87e1Yfzvq0Z/uo6mT3qf1Yr0fbiwZsZrvZFmd/ZH8iX5IuM9xlNYOEmwGebS7u3LZH0c6Pq7XXJjxb3BSQxNYaiTPKHLFyRTSM7CJdZWTC0jFn0lqnQ7nHSqXFjjlGFth+HcBwSN1P3ArhmJVKaw1zae7Rmvd5+SE8PyohDPZXWU7L/qrAFVisxBH+j5zsCNUXTql4wssN+wBCuAUH9AQyoAM+0rUuTadlVko1jlScqUhUozyq8lEZjeQ0qco0VVU5ftK+LnVGRKNLNdYWMH7t61JGIgjvBNWl783Pn7G3A3xW39L0rG6K+HQhPt9cqNNF4eV98+N5X8T3rU7tzf6nvaLJyjn33oC7rOaQcHPA9amDo2E3L189nW9c+bw2S90bcv1X139tL1d4Zs33rFayz3p6flmVFfSfZU+evJHGca++neDJG1Id5on56Qf92Wcv9eLD9KXkMM7+OEkP46Jn/p23Zr/r1290WfOI1ZqICIBRwM7G1K+xMmFRwHE/iZ1c7rFyaVECM7LARmDAeCRpP3Yu5RyzMmlNASdxrkU/9YlgToqIMLNTEby8HCkL3HbFShzhAski2KBI+9I5rCe87LAPIYRdkwxuHtIBH+n5TbCjbDIu02lU6rSIRJnnkRJpFU3SUlUyjnU5aurq5ZDBzlDySrY4DRhhCxi/1mUwJxGEf4LK4HdWN2PVF5Z+z6o5o+/+ail83539dvZr8/o3s1/M3u+Zt//UfPrfZr8x+vmX9prX2W97r9xNEmdAustqDAk3BlwEu2gcsdJAuF6E+vQeicNJhUV+ejzGPVYm7YlPThbYuAcYjUzZI3Gki8sxK5fW5GcaexdgWfkhfPsutaeIF0JFeK+jechLHOEAydrTO6gnvNywTyCEW4PyBAzogI90rTwLJcbTSqpIp5WOxERmkdKjUTSuplPzd9SoyhdPc6vKU7hsYZRngrUFjF/7ypORCMI7QZXn317/9ex38zPBe7OP6kXD9R744+GD6MyI0rpl/vq7Rpt+Pj9HZ3GG4+ero3Psa+Y7GJzTMBJumK1VKCMNhBOGq1D/wTmcVFhUqDO/ucfKo0UNysgCGwEBYyGSuJ96VkA5qbQpQaWnoZ6VH8LJ71SCLi83EYHLaliJI7zfNhLUPagnvNywDyCEW5MEbR7QAR/p+ZngYlwUo0kWVeaPRSKXaVRmkyoSuhwnVV6OlRw9aV+CSpctjARNsbaA8WtfgjISQXgnqATdPBN8sezpPhq8XiK1WzhnH9kyeGQ+PDc//WLxrufmB3+Yv8tlnbus1pFw62ytQxlpIDwxXIcGVkMZqbDoUP8B4ZxUWpSijCywkRAwHKpfaGdf1zErk9aUaK767ms67/PyQ/j6nSrR5WUmInA9DStxhP8jK1HvoJ7wcsM+fxBuTUq0eUAHfKTr4xsPV0HNCswWD/Jw+iWjNbMgW7HOtqWDPHLfIVpUvOsuZMuDPN6rVd+HizM55mLRd2bWb2fvzH62qJ+7TvH4u+VP5bw70sH7Lpm3gPHexUEeVIgSBREAr942Vh/kkR/Wx3lk8w9i/sG5X+SIDB+4NRqhT327pagIgdug4bIzcLgHFSNwA/S2epKIbj1WbXm4h9L9NHMhPCYjbOVwjyLxHEpyn44bGPXwR3sUifIe7UFGCwx7yKM9RLY62kN4by55QEcNDH4o7bwhIzMzqwunb31IRw4MX/iDPXIR50Xf/v1NvI/oeCUSL3iS</t>
  </si>
  <si>
    <t>WBserICtAX5MBwyMXuTswusyTuiYgfEMd6yH3128SkcKjGqIYz1WruLVgKs4pSPGRDrKfAi4iQEZNc+hHiEXcUbHCgx42EM9zMRYgVoDe04Da9GO5GSsY6WjaiJlJKqJitS4yqJ4mqq8TMdVVco5H28aG8jrqams71CPxa5aME0oP1fCG6CFSXpdRO6wElkXA6HxAWbD/2TyWrtH8tO6c7zOhT+0Kdj195Zndyz7x+sOn7pwMv/6H2xh5fr75r8fmv++O3/7smyyOIr6PdtYHtX3r/509uvZ35rX38zeP+xlsW8l/y6rASXcgPCc1UXjiJUGYm0Rkbv6ayuMVFhqK8Jdnr3HyqTF0gojC+zSLmQ04qQvM+eIHLNyaa24kqR9qVz87vPyQ8QDVILYVFxZXqUkAndjsRJHOEBy+uMd1BNebtgnEMKtqbjSPKADPtK1WlW5SkfFuIiqrIgjkU+mkR6JKsp0FuupLstssnCwrapVX+lFYm0B49e+WmUkgvBOULW62eYz+9nsvxl1+e7s19HsHfuhlprvzN6v28ldpO+ykpZw0lsrTEYaCAe7E4XJSIVFYQa6dxiptCgxGVlgAxxgOJKsnynngByzUmlPYcaBzYycBBFOfKcSUy4ViQxITE7iCA9Il5jeUT3hJYd9BCHkmjRm84gO+EhbkRnSjrtt2HEu5RrVmAfY6Uyus+u8YYeId91n3LqGHSJvAeO9k4YdIkSJggiAZwT33/f+5ft/11M9a+5eUvQTkzjFqTHwu8b8H9WrxvWQfVqfR/JmvWz8w5d7s1/O3tGH9YckXnxM+i66R2S6wBIpQsJ6G3yICIEFUbgyDTX4EDECS6HbSk4iOkzZE2A/IUQ/dm7vOiZDbKXDJzO+3Bl47tNxA8MkocNH+5TPn9DRAuMktsMnv+nwyQMdPlTUwGiJUtcbTkEUSdovnAZ/SIcODHj4Fp9MxiozasoJ+BEdsEQCBk8Ta8SDFbA1wI/pgIEBjJyBeJ3GCR0zMKQhe3y8DuNVOlJgYMP0+OQ3PT5eZ3FKR4wJdpT5EHIUAzJsniafoJM4o4MFBj10l09+sAK1BvacBnZv6yaee9RNBhy6ochBE8qv/boJIxHEkhs0hd5R3YSRtISThienLhpHrDQQq4aIpNNfN2Gk0nbdhJFKi3UTRhbYRVvAcOR5P3d3yR6zUmmxbpL0c2fMvc9LEOHEUZldcJXdclqusnsvjnzISxzhAclZi39UT3jJYR9BCLngiJ5ARnTAR7rWmONCTqXWZSQLoSNh/l6k9LSIJqV5q1BSarGY7q1qTF9vjsLaAsavfY3JSAThnqAa85/W7oSsL4qs75+ZPa2P2Xmhl3ztLPJ5f/hvzOvfzP7n7JezX/ZO7qZJ76HLLndZ7SLhdtlahjLSQDjhnchQRiosMtTpOu6x8mhRgzKywAZAwFgopfqJclE5ZqXSmgZVfS1c9O7z0kO4+J0q0OW1gSJwDyQrcYTzIytQ35ie8FLDPn4Qak36s3k8B3yk7cE7h/POihYP3HEOrVGWOsBSFf4VZRhYjGL8cv+OE+8dMt51z9FN/87ilu0/LCTjz81PfmlPgTGfvTf/Xhpo4SFSFzDqO2nhIUKUKIgAeDdn7hTzU3acBZUjMmBgDRMhRL1NOESEwIolXF+GmnCIGIG1ym21IxEdpi4JsJ/IZd93OTgVYitNOFL0E+fkvE/HDYx1+CYcqRJ/Ew4VLTDYYZtw9E0Tjvcevgd01MCQhxLKG0mnTJPCf84OFTowZOGbcNIiLtLUA/gRHbBEAgZPE2vEgxWwNcCP6YCBAYycTHidxgkdMzCk4Zpw/A7jVTpSYGDDNOHomyYcr7M4pSPGBDvKfAg5igEZNk8TTtBJnNHBAoMeuglHH6xArYE9p4G1aGEbnS0fbwIbyOSpSayvCWdxcy+YJpSfK9UN0MKkuy4id1iJIFbPoHnw/h21w2lACTcgPFV10ThipYFYTEQksN5KCicVlkqK5yaUe6xM2qulcLLALuYCRiPXvoXpY1YqrdVSAiftsPJDhANUjthQTJHLK0Bl4E5XVuII/0fOfwIn7bBywz6AEG4N1RTAgA74SNdiVah4qkcij4SSWSSKSRKVoyyOMhGPi3QyjUW2eJpbFauebh4ZvlzMYQsYv/bFKiMRhHeCitV/WF3P+ondKf20vsv1u7M/XP9kcVPr4rKs788+N9/+kii1b7HvSOVL5v9ZHMf+Og2nVSTcKlsrUEYaCA8MV6D+C105qbAo0Nh93MI9ViYtKlBGFtgACBiNJNP9QnnaeTi5tCZBi8yz5ew+Lz+Ek9+pBF1eASoDd7qyEkc4QLIE9Q7qCS837BMI4dYkQZsHdMBHen6n61TF+XQcR9M0nkZilGsjV7WORpOJiPNsWsZiESpalaDOOGIkaIq1BYxf+xKUkQjCO0El6OamRfdlrlZv2uNjflovfv5i9ivz368XS6kPTiKZ9GY/dRnkLqtBJNwgW6tPRhoI5wtXn4H1T0YqTOrTt6GRk0qL8pORBTb4AYYj133lXQBlpNKa+lSqr3zqk5Mfwr/vVH0ur/2UgXtcWYkjHCBZfXoH9YSXG/YBhHBrUp/NAzrgI93uMZDSxc7oySzATmf5Oruu28ipeNddxi1sI6dSFzDqu2gjp0KUKIgAeEZ7L9rIk3TeR+6c/0dkxMA2PIQM9fWRUxECm+7g6jLQR07FCGy321Y2EtFhWusg9ouVt4+cCrHrPnIybmCw220fORktMNoh+8jlzXWtMnBdKxk1MOahJPKmuXXe187Z8ZCOHBiy8G3keZbF0ttFTsYrkXjBk8Ta8GAFbA3wYzpgYPgiJxGBLnIyZmBA210XORkpMKwhusjlzXWtfldxSkeMCXWk+eB3EwMyap4m8pCLOKNjBQY8bA+5tNe1ut3DOQ3s3tZEpLeHXOBoQvm1XxNhJLIuBkLjA0yCW6iJMBpEwg0CzztdNI5YaSCWBBHJqL8mwkil7ZoII5UWayKMLLBLsoDhSPL+8vLGzSSYkcpe1EQ4+SH8Oyrha6qJLG/rlIHrV1mJIxwgOZ0J1UQ4uWEfQAi3pppI84AO+Ejvb1O49DaFS6wtYPzaV5+MRBDeCao+22oKZ7SKhFtlawnKSAPhgeESNNAUzkiFSYI68/N7rExaVKCMLLABEDAaWdrPvT3hjFRaU6ChnnBOfggfv1MFurzLUwZuZ2UljvB/ZAUa6gnn5IZ9ACHcmhRo84AO+Ejv7xka0tsTnmNtAePXvgJlJILwTlAFuodnaDAaUMINuLVYZaSBcNZwsRpYL2WkwiJW/WdoMDJpUawyssDGSsho5Fnfu1zKSKU1sRo6Q4OTHyIc7FSs5ktt472Q8SEvcYT/I4vV0BkanNywDyCEW5NYbR7QAR/pxYnkdkxbPJHc2RphZGgRYKmKDZattZI78d4h4113Hd20ktu31L8xv9B+9b2eXThbu/vmWXNvOdEWAmaLnfSWEyFKFEQAPCPG/773L9//u57q2SHoJUU/SfppnMre7F0zJB/VYr8eRpMZ1ENn1f4PX7Y9EO/ow/pDEi8+Jv3ePJEwv/FCIvE7843fL9MIl0GOyAYB9v4h1K+3dZ2IENjphxG1/tZ1IkZgj9+2cpWIDtPPB7CfEKIfOw8qPSZDbKV1PZP93Nk1dp+OGxhcCa3rIve3rlPRAqMrtnW9uGld914F+ICOGhhjUdJ8wylIlZhpLVzQH9KhA0Mivnc9Famwy8BOwI/ogCUSMHiaWCMerICtAX5MBwwMYOT0xes0TuiYgSEN2bzudRiv0pECAxumeb24aV73OotTOmJMsKPMh5CjGJBh83SvB53EGR0sMOih29eLgxWoNbDnNLB1hpZKUZmkOSpHttRTpjoqx2kW6SKtJoWsRqmo5ny8GXNg6YCaNXvb10P3lTloQvm5cusALUx+7SJyh5UIYr0Omnh3Wb7pfeXO8UOnH7zLakYJNyM8IXbROGKlgVjERKSx/iIOIxWmIo5z+fUeK5MWiziMLLBryIDRKLTuZ7lzjeSYlUubVZzUucp6n5cfIiqgUsWmKs7yGlIZuFaWlTjCAZLTIO+gnvBywz6BEG5NVZzmAR3wka41a1WNJuU005EUYhSJQk2jMo9lJJJKjZOqHNcnsbeuWZ1ey2hWjbUFjF/7mpWRCMI7QTXrLrZcGvn669k7s3fN6/v2Pf+P+eK3vQcnoX2YjFaScCttLUkZaSA88k4kKSMVFkka2IfJSKVFTcrIAhsRAcOR5/3cvUh0zEqlNUmq437qayzi5Idw+juVpHqpYLyXTD7kJY5wgGRJ6h3UE15u2AcQwq1JkjYP6ICPdLtnUzrXf1/J8jjATmfFOruuG4qoeIHFTqhG3IuGIqotBMwWu2gookKUKIgAeG00FNnV6vq3fjxfpXaZ5IhsEmBFFiF8fS1FVITA+itczwZaiqgYgZXXLYUqFR2mygqwX6iliAqx65YiMm5geN1tSxEZLTC+IluK8njVUpR77yN8QEcNjLIoUY7pFHhIhw4MijtvKSIDlkjA4GlijXiwArYG+DEdMDCAkRMXofqZ09md0DEDQ9ruWorISIGBDdFStHIWrwacxSkdMSbYUeZDmgil+9IpcgZk2J20FJHBAoMetqXITI0VqDWw5zSwe1ueKXwtRXnoxjQHTSi/1ssznEQQK3XQ1Luj8gynlSTcSvCM10XjiJUGYnUSkaV6yzOcVFouz3BSaa88w8kCuzoMGI5QeYaTyj6UZ1j5IZw+KhNsKM/ky3tO88DFtazEEQ6QnOUEyjOs3LAPIIRbQ3kGMKADPtL72+Ve+DqGFv2PCFvA+LUvSRmJILwTVJLua5c7pxkl3Ixwzerapb1myY0qS29hmd+Y/96f/Tej5n/R+9rrb7z+rf/8n17/82+Zn16/WRv22fX3r7/fO7mXyl7qPd7piNVmiPiwE4HMSIVFIHtb6jmZtKiPGVlgwzNgNIIt9ZxcWhPIgZZ6Vn6IELRTgby8ijUP3K3LShzhAMkCObGz1sXthJcb9gmEcGsSyM0DOuAjbQ9GeiEUWN3b4gFJzkhhJHAWYKsKtc62pX4mzyryHTJeYKUVqmDfnf3OiKSnRp/a/qRlN9OqVclor7kQ+8hKKXvcu3nn89nvrWa9fuv6r6//0nz1Wc+qtLp15qnRap9725aIlAWM8k7alogQJQoiAJ7tIJvfsStcSI/ISIHFWIQM9XYTERECS68YdenvJiJiBBZdt9WNRHSYAivEfon0LD0dkyG21U2kMhfu+3TcwOCG7yZKUu3vJqKiBUY3bDfRzd26eeBuXTJqYIxDSeSNppEki/vCOasf0pEDQxW+mSgRqkg8174+ouOVSLzgSWJteLACtgb4MR0wMHyRkwivyzihYwYGNFwvkd9dvEpHCgxrmF6im7t1/a7ilI4YE+oo8yHgJgZk1DytRCEXcUbHCgx46E4ie7eu2z2c08DWuqwq1UhNplExLotI6NLkslkRR9NCJ7pQ8ShVCxftzVYD6Ts1Y/V2EgkcTSg/V14boIXJbV1E7rASWRcDofEBJr3v1XWBL0wSu0h5P7L3m9VFmjrzrW8xu/6Be2PPs9nHvUUR53/ako7Nkq+/25v9avYz5zDfZbWOhFsHnny6aByx0kCsDyIyU3+BhJEKS4Ekdld+77EyabFAwsgCuzwLGI0068fSudR8zEqlvfpIofuJc+PofV6CCGePyv6aCiTLe1nzwEW7rMQRDpCc2/hH9YSXHPYRhJBrqpA0j+iAj3RdIXlBhXnF5rcmo2+//o03HIYgaU1nkDA6UwZ56nWevtqIHy1GQt6UR5xw75Dhrk+zgHGBQvH/NBLxe/OG8+ufzJ71bkol1z9ZNOl49n6vFVFcRI0wlC8fk9lu+Eo/3e1c5eD84VeM98sPzYs2L0VqX6R9UeZFJfZF2JfCvOjY5z6pPAWepzdndpJ7ZMk9suQeWXKPLLlHltwjS+6RJffIknvkI/eITk7iycGTbMPtseX22HJ7bLk9ttweW26PLbfHlttjy+2xj9tjOjf480j3+pbjwHIcWI4Dy3FgOQ4sx4HlOLAcB5bjwMdxQOa4sZLTwBE3Mc8ssTNL7MwSO7PEziyxM0vszBI7s8TOfMTO6MTgkQq58mN4nVte55bXueV1bnmdW17nlte55XVueZ37eJ3TeL2wnGBDW2tNC6l3ASgPsTC2AAbmnTYtpIHITMQLLOhAw/Iv56sus09sPK57D35Ub/taD9AvHsBy825nk8P8TR/0UtvL8Kn5ofMQj7tkC6wHMc4eBiJEiYIIgHfTw+DcnX1ERgosAiFWirw9DESEwJIPfAEo1MNAxAgs9my7tENEhynsAOyXSu3ZZH1MhthKD4PQ/cw5Oe/TcQNjHb6HQaSpv4eBihYY7LA9DPlND4P3dskHdNTAkIdKzTZrwIWK+4WviYEKHRirmrOtDbyxzmTRj52AH9EBSyRg8DSxRjxYAdvMjKiAgQGMvNLndRondMzAkIbrYvA7jFfpSIGBDdPFkN90MXidxSkdMSbYUeZDyFEMyLCZ2hhCTuKMDhYY9JDZrJ0aK1CbWSoFbJ0u6FKPVVpFUk6qSFT5OCrFJI9MVpykcpTpqVo8j94E9uvlbvsYUvvRRdOkscG7pDZpQvm5Ut0ALUy66yJyh5UIorQFzYPfeTGj/aBuRvhwsQT9+ezj+lDRtxe9CmeTb379G6NvfLN3+sqDno5juch435n9avauyxh3WY0h4caA55u92buG/x8Wp3jeWODLmb9hHMWHvVcenR3de2W+h/Q35hd/sdhD+n/3vmzWX89+/uTJG+bHv58v73/JvvXn13/1ci/p1XtXzW9df6+3KBo8rxcj7IbVt81fuP5hXSZ48+XVCLisfsRq9XXZEbA6Inf2d1kwUmHqsnD2o91jZdJilwUjC2yJFzAaRdEvhFPFHrNSaa/LIo094vc+L0FEKELlpxvyaK3LoljW5L0XlT7kJY5wgOTcyz+qJ7zksI8ghFxwRE8gIzrgI10r5Xyq4nw6jqNpGk8jMcp1pMZaR6PJRMR5Ni1j0YVS9nViKKwtYPzaV8qMRBDuCaqUd3F24IOTKHRMIKNBJNwgcLXsonHESgPhfXciPxmpMMlP7zGBjFRa1J+MLLDBDzAcmeqbeOOicsxKpTX9qQxBn/zk5Ifw7zuVn8t7KPPAxaKsxBEOkCw/vYN6wssN+wBCuDWpz+YBHfCRbvMWp9SrJ3WAnc78u/pgYDE6EdZARMQLrKZC5WCXDURECwiYBXbSQESEKFEQAfBuGoiS7LD+4KyzHJERA+uwCDXqbSQiIlwXmqyNRESMwHrrtuqRiA5TWwXYL8+KfuHsZzsmQ2ynkUj0la+RiIobGPN23EhERQsMethGIn3TSOS9TfIBHTUw9KGU8kZ3nJJK9gvpgv6QDh0Ys/CNRGmuE1H0M18jERWwRAIGTxNrxIMVsDXAj+mAgQGMnE14ncYJHTMwpO2wkYiKFBjYMI1E+qaRyOssTumIMcGOMh9CjmJAhs3TSBR0Emd0sMCgh24k0gcrUGtgz2lg97Y84t0PU8Q4mlB+rZdHOIkgls+g+TB/eYTTIBJuEHju6aJxxEoDsTqISEi95RFOKi2XRziptFce4WSBXZ0FDIeW/dwdro5ZqexDeYSVH8K/o5K+hvJIES9W0wvvnZ8PeYkjHCA5oQmUR1i5YR9ACLeG8ghgQAd8pGv1qZVM9GhaRElVppGYjGRUxqWMkqmaFmKajIpy9KR99ekpphThG6UctoDxa199MhJBeCeo+tyijT1rbmPnNIaEGwOuPA2VpwslXnevfw5oal8cYPjB9U/qC5Pq2pb56Y8Wv2ZkfH231OdWvtu61Uf1dVSfzJ73Fmca/qHnOLUm0CXP0xOf9b4yvynLJhp/ZP+NF/7Ce7OfvVyPdGzHvG7Mdwz4EeuAI0LUTjQ6IxUmjZ65mNxjZdKiRGdkgVUIgNFItIl4WeHicszKpTWNnsTS20LPShARBncq0pc3YxaBq05ZiSM8IFmk+0f1hJcc9hmEkGtS6c0jOuAj3W4TkzM2GN2dBtmBjydsq4mJinfdZ9zeJiaqBQTMArtoYqJClCiIAHg3TUye5iUqUmDtF6FDfc1LVITASi9cXgaal6gYgTXebYUjER2mnguwXyoK0Y+FC+MxGWM73Uu6L6UL9306bmCw2233EhktMNohu5eKdNW9VHjvknxARw2MeSiNvLnjMpVK9XPPOUhk7MBohW9fSmIhYtta4+lfIiOWSMTgiWKteLACtgb4MR0wMIaRMwmv2zihYwZGtd31L5GRAmMbon9p5S5eDbiLUzpiTLyjzIegqxiQcfM0MIXdxBkdLTDwYTuYzORYgVoDe04DWwtyrbKpFCoaqUkSiWqSRaocV5GS1VRMx5UqR+13MGXeDqYMRxPKr/0aEiMRxOIZNBmm1pCKOFOAGhKjMSTcGPCkc/buItH/cd3EVZdcZs/mtR/zg+uf2KUBe8OVzfs/m322aPeyZvqhLQQ9f+F2g49qS84LUp++WEh64bqs+TecdyEc9sw/gCxodX08UxEnee8rxiCfWkvYdz21yyGzD8k1KcYJhFiRRawF+GtSjFRarkkxMmmxJsXIArseDhiNQqT91H1J5TErl/ZqUmncL5xFt/u8BBFhFZVvN9WksmUFw3vB60Ne4ggPSM4k/aN6wksO+wxCyDXVpJpHdMBHen/3LXgv2CoE1hYwfu2rfkYiCPcEVf0t7FtgNIiEGwSu/F00jlhpILzvTvQnIxUm/endt8BIpUUBysgCG/wAw5HZS9JjZy32mJVLawI0tHGBkx/Cwe9Ufy6v+iwCl7eyEkd4QLL+DG1c4OSGfQIh3JrkZ/OADvhIt9sSJVzsjKCUIXYiXmfXeUsUEe+6y7jFLVFECwiYBXbSEkWEKFEQAfBeONfJOf+PyFCB9WSEDvX2RBERrktM1p4oIkZg3Xhb3UhEh6kRQ+yXCc/NOMdkiJ23RFFxA4PdjluiqGiB0Q7bEiVvWqJkoCWKihoY81ASed3ceV6ofuacHQ/pyIGxCt8QJXNVFH336X6P6HglEi94klgbHqyArQF+TAcMDF/kJCLUDkXFDAxoO2yHoiIFhjVMO5S8aYfyuopTOmJMqKPMh4CbGJBR8zRDhVzEGR0rMOChW6HkwQrUGthzGti9LYoIbytUjqMJ5dd+UYSRCGLNDJoEt1AUYTSIhBsEnnC6aByx0kAsCSKSUX9RhJFK20URRiotFkUYWWCXZAHDkcb9NHF2NxyzUtmLmggnP4R/RyV8TTWRfLmE7r2u+CEvcYQDJKczoZoIJzfsAwjh1lQTaR7QAR/p/W3EF96WnAJrCxi/9tUnIxGEd4KqT+ZGfEZjSLgx4MrT14i/q+76lze66z+o/6h5Q2Q+PDcj8cVC9j9f/LHNZnu246MMts+v//r6L+2/ad75dn+rA6VSdBe/EL2vmL9m+dtkxwxCjdvbxZ/UXfw/Twzyv7Evf5ual/edHuaIdS4ioudO0gdGKkzpQ+Zico+VSYvZAyMLrHgBjIaI+yITLirHrFRayx6CLf2cBBEBeqfpw/Je3yJwUzMrcYQDJKcPwZZ+TnLYRxBCril/aB7RAR/pdnuqpIudyQhCNwFqsXETYOc9VUS8wPoyVNB32VNFtICAWWAnPVVEiBIFEQBv9l5UzO/Ic66IHJGRAmvSCBnqbakiIlxXmKwtVUSMwNrztrqRiA5TZwbYT+Syr52V2mMyxHZaqvx35JFxA2PdjluqqGiBwQ7bUqVuWqq8d/U+oKMGhjyURN4skSgl+pkz73xIhw6MVfieqkTneSb77q3Wj+iAJRIweJpYIx6sgK0BfkwHDAxg5DQicEceGTMwpO2wqYqKFBjYME1V6qapyussTumIMcGOMh9CjmJAhs3TVRV0Emd0sMCgh26rUgcrUGtgz2lga/UDOivZ8vEmsIEMnprEetuqNI4mlF/7hS1GIoh1M2geTC1sAW8pYTSGhBsDkW/u8lAnQPEHe4TTzm4TYRwYxCInIr32V3kYqbRc5WFk0mKVh5EFdokZMBpJpvuF+yzKY1Yu7ZV5QreJcBJEhCtUDttU5tHLooD3LuqHvMQRHpCcnwVvE+Ekh30GIeSayjzNIzrgI72/mxSkr01s0T+IsAWMX+tqmpMIwj1B1TT/JgVOg0i4QeCK2kXjiJUGwvvuQn9yUmHSn75NCpxU2hOgnCywwQ8wHLnuG1QuKsesVFrTn4FNCqz8EP59l/JTLS8oVoEbp1mJIxwgWX4GNimwcsM+gBBuDeoTMKADPtLtNhk5y9tGTwZv6hPpOruum4yoeNddxu1tMqJaQMAssIsmIypEiYIIgGck+PLgpnTebCRdiI/IiIG1WoQa9TUbURECK7NwkRloNqJiBNZkt1WPRHSY+ivEfrHyNhtRIXbdbETGDYx5u202IqMFBj1ks5FKVs1Gynun7gM6amDoQynlDXMrlfWldiF/SEcODFn4XiMhtUq8rUZkvBKJFzxJrA0PVsDWAD+mAwaGL3IuEWg1ImMGBrTdtRqRkQLDGqLVaOUqXg24ilM6YkyoI80Hv5sYkFHzdBqFXMQZHSsw4GEbjczEWIFaA3tOA7u3pZHc12i08DRgmlB+7ZdGGIkgls6guXALpRFGg0i4QeB5p4vGESsNxMogIhn1l0YYqbRdGmGk0mJphJEFdmUWMBxJ3s+EcFE5ZqWyF6URTn4I/45K+JpKI+lyJd17y/JDXuIIB0hOZ0KlEU5u2AcQwq2pNNI8oAM+0vvb5p57G3MyrC1g/NpXn4xEEN4Jqj5529w5jSHhxoArT2/Len/7nvX6T/yPYNP6l/4AtGWd08iIsLATXcxIhUkXZy4m91iZtCiLGVlgozJgNDITYHwd65xUWpPFoY51VoKIyLNTXby8mVYF7hpmJY5wgGRdHOpYZyWHfQQh5JqEcfOIDvhIt9szVLjYGakrguyydXad9wwR8a77jFvcM0S0gIBZYCc9Q0SIEgURAM/o1L/v/cv3/66n6rNDe0nRT5J+GqeyN3v3hbNEzXB8utg/atXxD1+2a9vv6L7VvctRMsPXm/cgvWy7j3L39YlHZPLA+i1C2Xrbj4gIgdVauGANtR8RMQLrtNtKUSI6TE0WYr9M9aXTsR+TIbbSfmTQeUrH9+nAgfGT0H+UC3//ERUtMIBi+4/ETf+R9wLbB3TUwDCKkt3r5pZZqk3u5HSvD+nQBRI6eHrkItUmGjhTvUd0vBKJFzxLrA0PVsDWAD+mAwYGMHpmkhb92BnSTuiggTFthx1IVKTAyIbpQBI3HUheZ3FKR4yJdqQJUeRx4rmWbUCGzdOCJJUo8r50PnNndKzAmIduQRIHK1BrYM9pYGt5r6TM4uk4iscTGRmvmUbVqIgjNVWTapyryaiUcz7enDiwKEDNi70tSBJHE8qv/SIQIxHEUhw0tV4rAgEulDh7/b/8l7/45ut/Vi4akL5cEjo5ffy13tH56eNe6nTJd1kNJOEGQqS1X7LRlw5D2rz34tBfSgOZ97BXf/2p+e+T+l+qv2tzYAPic/Pd3y/+zPP6No5Pr/+qd+f0ldce14Y/7l1EaRwbDF+C/OvZz/u2mrQoL61Vlsy7t7uNw/yBVWnr0eBub9BL4kJG93R86poBR6wzALFoi8jt/VUrRiotV60YmbRYtWJkgV0yB4yGSPqycEbEY1Yq7VWt0izvu6XNfV6GiFiJyp+bylZyWeTw3hL9kJc4wgOSk8OsUP1Uusid8JLDPoMQck1lq+YRHfCR3t/dBIW3nyvH2gLGr30pz0gE4Z6gUr6F3QSMBpFwg8Clu4vGESsNhPfdif5kpMKkP727CRiptChAGVlggx9gOOy9WMq5pHfMSqU1AarjfuqsFdzn5Yfw7zuVn8vLg1XgNmhW4ggHSJaf3kE94eWGfQAh3JrUZ/OADvhIt9s05RxSoyeLIDuxzq7zpikiXmC1FyoHu2yaIlpAwCywk6YpIkSJggiAt13TlHlrsGsqcS4uHZHpA6vOCGnrbZsiIgSWmOGKNdQ2RcQILC5vK0WJ6DCFZIj9ZNovfBKTCLH7tikqcGAE3XHbFBUtMIRi26aKm7Yp7x21D+iogYEUpbs3OwwKofu6cEF/SIcOjID4tqkiVir2tHk9ouOVSLzgWWJteLACtgb4MR0wMICRU5Ng2xQVNDCm7bBtiooUGNkwbVPFTduU11mc0hFjoh1pQmgRZ33pzG0GZNg8bVO5sFGkcE7fMzpWYMxDt00VBytQa2DPaWD3ttaivG1T4ZvwNmhC+bVfa2EkgliLgybXLdRaGA0i4QaBJ7IuGkesNBBLjYiE1F9rYaSyHuEDVOCZa6DWwkilxVoLIwvsUi9gOIze0lbgb1I5ZqWyF7UWTn4I/47K+ZpqLWq5NO+9u/ghL3GEAyQnNKFaCyc37AMI4dZUa2ke0AEf6f1t2lfeTh+NtQWMX/vqk5EIwjtB1WcHTfuMBpJwA8HV6L817WOb9mNpRucq9TbtM84ARBzbiZBnpMIk5DMXk3usTFrU8YwssDICMBpC9pVbEh2zUmlNx4eb9jkZImLlTpX88i5dFbgdmZU4wgOSlXywaZ+THPYZhJBrkvLNIzrgI91u25SzRP1KpsO378l1dl23TVHxAqu9UG3dYdsU1QICZoFdtE1RIUoURAC8Ldum4oa2KeccPSLTB1adEeLW1zZFRQgsMcM1a6BtiooRWFzeUo1S0WEKyRD7BdqmqBA7b5siAwdG0N22TZHRAkMosm1Kx6u2Ke29dfcBHTUwkKKEN65tigwdGAF33TZFxiuReMGzxNrwYAVsDfBjOmBgACPnJqG2KTJoYEzbXdsUGSkwsiHaplbO4tWAszilI8ZEO9KECLZNUWF30TZFxgqMedi2KTMzVqDWwJ7TwO5t4Ur72qZ0+F6/DZpQfq0XrjiJIBbjoMl1+4UrTgNJuIEQie2/Fa52W7jinAGIZVtEbu8tXHFSabdwxcmkvcIVJwvsojlgNEKFK04q+1G4YmWIiJWo/LmhcKWTRZlDe++0fshLHOEByclhqHDFSg77DELINRSuACM64CO9vzsgtK8HTadYW8D4tS/lGYkg3BNUyvPvgOA0iIQbBC7dXTSOWGkgvO9O9CcjFSb96dsBwUmlRQHKyAIb/ADDEdoBwUmlNQEa2AHByg/h33cqP5dXHevA3dWsxBEOkCw/AzsgWLlhH0AItyb12TygAz7S5n//cS5BxZOwvvzWZPTt17/xhsMSBHnpdEhGWGYBmkql6zR9/VN+rBjNuGyhcoK9Qwa7PscChgXqwl/Z1UWjCp/O/vnFTqhFG9X1D3p1U9Qf6tU+qyA/uf6hEY0fu2gZCZi9fEzmtuEV/eS2c4qD84dfMX5OHJqX/PChSBLzktrPUmVesti+pPYlsy/Cvkj7Yt+SFfalfp82L9LrRqlWEHgreCtfTuqPLPVHlvojS/2Rpf7IUn9kqT+y1B9Z6o8s9UeW+iNL/ZGl/shSf2SpP/JRf0SnLvHU4YU0w/yxZf7YMn9smT+2zB9b5o8t88eW+WPL/LFl/tgyf2yZP7bMH1vmjy3zxz7mj+nM4c81PXRYCwysBQbWAgNrgYG1wMBaYGAtMLAWGFgLDKwFBtYCA2uBgbXAwFpgYC0w8FlgQLbARqW3wQK4KX9maZ9Z2meW9pmlfWZpn1naZ5b2maV9ZmmfWdpnlvaZpX1maZ9Z2mc+2md02vBIiawbG9bnlvW5ZX1uWZ9b1ueW9bllfW5Zn1vW55b1uWV9blmfW9bnlvW5ZX3uY31OY13P9zlrG3r/Q0g37K7xWnhLyyLIwX9KCgwqSTOYV+fq2R0y2vXQumXT9bpomH1ULyN9z9YJbW3zyz3VT+erR7YuaL7/tDf76fV3Z5/NFUVd2/zwsGfXp2xl8/qvrt+2v+iif5dMfz2mcnZcEyFKFEQAvLm5bX+0s7nziIwU2FuGWMDyNkcTEQIbyeDrUqHmaCJGYAvZtgtORHSYdjGA/VKp+96FJCLEVpqjExMp+7l0Ib9PRw4Mc/juaJUV/u5oKlpgpMN2R9/cxasDd/GSUQMjHiqT3Cx0xkWmvJfxkrELJHbw/EiTXMdxP3Eujz2iA5ZIwOB5Yo14sAK2mW9RAQNjGHkNMuA3TuiogXEN1yDt9xmv0pECoxumQfrmOl6/vzilI8ZEPMqMCPqKARk3T4d00E+c0cECAx8y1bVzYwVqM0mlgK1V5EgkWRInUZzqMhJSiagcTYoo1+U4Tqbjqizb7auweaEvi5U4klB2rkw3QAqT7bqI3GElgqi6QRPh99Zy34+/tIZut6n+fPab2S9mv5z937P/3+z92buLTorZ7+r2XNtrUX+dxPH1D+oXEc8+m33mMs5dVuNIuHHgOeh6Vn/Yu/7hshn4pld63nKysshhqJ159lNj2N9Ze5u3/Wb21LzlM9vAYnd7P7v+sf3Ts09mz19+8uSN3Jozn9u0VyXx+i+8ff0j80dtL/PzL9nfZfsjVtsjqqK7yKoZmbB0hXi83j1WJi02hTCywNakAaORKtmPpTPYHrNyaa0rJMmM9vFuieZkiIhQqMS1qS9keWWqDlyCy0oc4QHpOZl/WE942WGfQgi7ps6Q5iEd8JG2nSGHc8HVWn3HGe2MMs6DHP3bOWFQMYr3xfpO5kJ7h4wWuNoFlbWk+o7Va1bvvjP7pT09J1mcnmO0nd0Y9kWtBI30Mn/jWd14/Gz22fzbn19/vxaJb9szXt5zGeYu2TACZpidVH6IECUKIgDeTeWnsFo6SnySlggYuHi2C6lKRAhcKMNIUH8BiIgRuES2rbgkosMshwHsJ3LZX0DZ1IxEiK0UgPJM9gtfizAVODAM4us/SaK1vwBEhQsMhdgCUH5TAPLelfqAjhoYElE6eiMX0nkqlEmHXNgf0rEDoxa+ACSlylXej4UL8CM6YIkEDJ4n1ogHK2BrgB/TAQNjGDnZ8PuNEzpoYFjD1X8CPuNVOlRgdMMUgPKbApDXX5zSEWMiHmVGBH3FgIybpwAU9BNndLDAyIcuAOUHK1BrYM9pYOvcIVPTOKuUSXaFjEQh8qicZlWkxViLrMjjKqvmfLwJbiDTpyW53gJQgSMJZedKhQOkMOmwi8gdViKI5TVopvxP12/V2yK+sNnu5/al3k9bJ76f/anNi7ND+ZL7Wue7rGQlnCw8tXTROGKlgVgZhCec1z++ftNF5WusVHiKI9JF5B4rkRZrI4wssKuygMHItdLuLV/HrFRaK43Efe2cb/d56SEcNyqfCy6iW07LRXTvTbYPeYkjvB85VfGN6QkvNezjB6EWHM8TyHgO+EjXmlKX07Iox6MozWMRiWqqIpWkWZSlWqQiF1IVC7nVoqb0lU5CV6c5LQFj176mZCSCcE1oTbnSj+7TlO6yEpNwYlvrR0YaCA+6E/3ISIVFP2a+sgYjkRb1IyMLbAADDEZioo/q+478Y+TSooD0HrjCSQ/hpXcqIJc3lOrAlbOsxBHubwsB6T1vhZMa9vmDUGsSkM3jOeAjPe9Kr3Qu42wSSaW0ea9SUVVMc/NlPCrLMs/TcvKkbQHp7GYxAlJjLQFj176AZCSCcE1gAWm3WdenMj9bnPU3+6g+0Pn35tvLm5ae965/XLdXf3DYM7/x7uxvZr+tO9XfqWXn7P3MOap3WY0h4cbYWnQy0kB4XbjoDJzzx0iFRXTG/Uy6qNxjpdKi7GRkgQ17gOFI8qwfK197DiOX1mSnlJ4S931efgjnvlPdubxOUwcuSGUljvCAZN3pHdQTXm7YJxDCrUl4Ng/ogI/0vBqej0airHQksziPhKjiqIrTcVRkozIV45GQefWkbeEpXJZ4RcSha3Hca7ggdm0LT1YiCN8EFZ7/YNSlvZzkDy/u2Huhxdvut5ury42TBmcf2+/n8Utp4TLFXVZTSLgptpSdrDQQThcuO71rnaxUuGSni8k9ViatqU5WFtiYBxiNJNP9QrkXO1m5tKc6+7lbdPLSQzj2HYpOEcdzjbL4xEX8IS9xhP+ji07PmJ7wUsM+fxBqYc0JGc8BH+lac44znY8ykUUinowikcWTqMplEo2maqLKJJ6mhXjStuaULksYzRm65MVpCRi79jUnIxGEa4Jqzt8aFfnMnhERVJ295e16trZeX4FityHWR0+QBSmjnSTcTlsLUkYaCIe8E0HKSIVFkGZ956LbPVYmLQpSRhbYgAgYjSQvir4JPy4yx6xkWlOkiey7rxK+z8sP4fd3KkmTpYTx37fHSxzhAcmS1DuoJ7zcsI8ghFuTJm0e0AEf6VqTZqISk/FoEsnY6tc8yaNqkk4jPRZFYQVsrMsnbWtSp88ymjTFWgLGrn1NykgE4ZugmvS9F061+Ku5vvzD7GmtSZ/aG6Cv365vhX4+15ipMhrzpfhQ1LcuZ57T31htIOE22FpvMtJAeFu43qwPQPmw33OPy9dYCbGoTs/tAvdYmbSoOhlZYEMeYDSkPRtdOkfkmJVLa6IzlZ52j/u8/BCOfaeiM11qFP8te7zEEW6QLDq9g3rCyw37BEK4NYnO5gEd8JGeL4ROhFBJHEdlnE0jkU6rqNJxFk3LZBwrISeZaF90OtfFjOjMsJaAsWtfdDISQfimLURnaFETIDgZ+Us4/60FJyMNhKfdoeBkJMQiOIXbVdxjZdKi4GRkgQ13gNFIEx3348SnOBnJtKY487yv3duMePkhvPpOFWe2FChZQHFyEkf4QbLi9A7qCS837CMI4dakOJsHdMBHulac8aQqqtE0jcpRoiJRjSeRmmR5lI1GlRiNpVLxYra3qDidw28Up8BaAsaufcXJSAThm8CK8+Zk4I2TfM2X12/PPrPn/zZrUZc17rJaQ8KtsbX+ZKSB8Ltw/RkosDNSYVKevqVORiYtKk9GFtiwBxiNRMuiH2c+5clIpjXlKfsicdG7z0sP4dx3KjzFUqd4r2R7yEsc4QDJwtM3pie81LAPIIRak+5sHs8BH+n5SmdVFLmOVVQWk3EkJtNJVCaTOErEKB5nVTmeJtMnbetO7bKE0Z0SawkYu/Z1JyMRhGuC6s5f2hsk7PUUvdnfzp5f/+D6zeu37DXi19+b/W721Hz2US05pf8qNVbGEs54a23JSAPhWuHasnFtk5EQi8JMPCc632Ol0qLEZGSBjXCA4RBK91Pp21TEyKU1hSn8m4o46SHc+E4VplwqEv/VZLzEEW6QrDB9Y3rCSw37/EGoNSnM5vEc8JGuFeZkmuX5OK+iJLFqNMlHRpeOZN32OTHfm6i0/ZVN9x1NRmLmWFPA6LUvMRmJIHwTQWI+vf6u0ZHP7ZGcddfm0+u3e1+xJ73bc96/uH7b6M1PZk//qFlyMlpAwi2wteRkpIHwtTuUnIyEmCSn+zzYe6xUWpScjCywIQ8wHFKlfeEckGNWKq0pzrSvfIqTkx7Cq+9UceZLheK9ZeghL3GEFyQrTt+YnvBSwz5+EGpNirN5PAd8pGvFKSdVmhSyiNTY7jEaT8dROZnqqCrKQlWTyUQn4yetK07nmrZRnOjz72H02lecjEQQvgmqOP/2+q9nv1vuXv+wPpnz97OPlp2cH9bX5/6urpi/JJyP7l1WxhLOeGuFyUgD4VvhCjNQMGekwqItcxePe6w8WhSWjCywkQ0wFmmhZb9wjsgxK5fWlGXs343OSQ/hvXeqLIulEvFfJ8RLHOH9yMrSN6YnvNSwzx+EWpOybB7PAR/pWlnmUxXn03EcTdN4GolRrs1vaR2NJhOjabNpGYtFmGhTWTobfIyyRB+MD6PXvrJkJILwTVBl+fP6NqE/1N2X8+Pg63L58/lVldffmz21onPektmb/XL209lvZ+/PfjH7lfnv13/as5qz9+Akkklv9lOXQe6yGkTCDbK18GSkgXC9cOHpPRKelQqL8IzdN9veY2XSovRkZIENfYDREHlfuu9TPmal0pryVMq/qMnJD+Hedyo91VKq+C8i4iWO8H9k6ekd1BNebtgHEMKtSXs2D+iAj/S8jp7H4zJLskimYhQJEYuoymNtV0BlYv5XVHphmDa1Z+YyhdGeGmsKGL32tScjEYRzAmtPIzO/sFej12dtPutdf+/6zfoAztVRnbXufNabfWFPjjc//MlCcdpzkowy/XD2uf0du4/IXlpkFepze5jnh/YAz7Wf1L+XpPbC9TSOX0ql+3qIu6xGlHAjbq1XGWkg/DVCr37mTA2/xsqERa4G2j4ZqbSoVxlZYMMlYDjCbZ+MXFoTrEkm+9IZ3O7zEkQEhZ0qVr0UOP4rjHiJIzwgWbH6R/WElxz2GYSQa5KszSM64CM931yUjJNkLHVUyam972gUR0oLK3TjJI/jtJp2sVwqXKZ4RSToo/Vh9FqXrJxEEN4JKll/Wjd0Prv+blRfofl89oc/DZfdOflJOL9t1SQnDYQvhatJf9mdkwqLnIz7hXRRucdKpT05yckCG8oAw5EJ3ReFi8oxK5XW1KS/pZOVHsJb71JLJsubbJLAzUSsxBH+j6wl/S2drNSwjx+EWoOSBIzngI+0lZIhhfi/feOb/8VBnqQOPauZi95NNzct8nVub/zFn/2ZS/Z5oGIkX15jlQZr4kZ7h4x23Vv4DAvUdb+afT7f0jP75169J2RxdJG9FcguM/ZeOKLIFsnnq5DPZ7/vzX4+e2f2y97sg15i9/18apcce8szj57PPrN7her/npvXzzaOQnpv9p7LMHfJhhEwwywE4Z++/i3ItHNB/CoZokRBBMCbvW9Xko0xoyQ9rD/IJ0/esEP2ZXv/tbX3b6PUvfR7RCa07sE9hODq1bsWSkW4Lkw9COGiNOnHbiveI2NcV5wejNuqTSK69VDmQQdVkUms+r4iOhXihkL0YNxKHYqi6BdO+XufDhwYJlfAB1//5skbLse1YeZEa89F4H9ChwsMlSu4DqAbKsZa72AuYiwyn3Z5QEcNDJkocb2x3y2NZdFXTu/1kA4dGNRW0OHzI4tzkfUXxxatAX5EByyRgMHTxBrxYAVsDfBjOmBgCKMnIKmUfSldqE/oqIFh7c935TNepUMFRrc/h06Ekxt/8WrAX5zSEWMiHmlKCFnkol84M4MBGXcKjILf3p2jOKODBUa+b6OchDXewQrUGthzGtg9LZFk7tZQkwanOJJQdu1XSBiJINbcoJk0vkLCyE/C+cGzTReNI1YaiBVCeI4ZqJAwUmm7QsJIpcUKCSML7BItYDhU0i+cGcAxK5N9KJBw0kM4a1QO11QgWd5wlQSuLGMljnB/9PzEXyDhpIZ9+iDUmgokzeM54CO9rzsTM/dh8EZHZlhLwNi1ryMZiSBcE1RH8m9M5DSIhBtka+HJSAPheeHC078xkZMKk/D0bEzkZNKi7mRkgY18gNFI4r7y1lQYqbQmPAMbE1n5Idz7TpXn8qarJHB1GStxhP8jK8/AxkRWbtgHEMKtSXo2D+iAj/S+HreWeTt5BNYSMHbtS09GIgjfBJWeOzhtjZOxhDPeWlsy0kD4Vri2DCxqMlJh0ZZOIXOPlUeLypKRBTawQcZCZt7D1jiptKYs/YetsdJDOO+dCsvlVVZJ4GoyVuII50cWlv7D1lipYR8/CLUmXdk8ngM+0vt6cUTWFy5LGF0psZaAsWtfVzISQbgmqK5kuDeC0wISboGtdSYjDYSrhevMpnsjOAmxqE3/vRGcVFoUnIwssBEPMhxZ7i5IHbMyaU1vBkronPQQTn2nenN5sVUSuKiMlTjCCZL1ZqCEzkkN+/RBqDXpzebxHPCR3tercLO+dFnC6M0cawkYu/b1JiMRhGsi6E3qVbicjCWc8db6kpEGwrXuUF8yEmLSl74z0TiptKgvGVlgIxxkOBLRXx4BuqkwGbm0pjD9V+Gy0kO48Z0qzOVFVkngYjJW4gg3SFaY/qtwWalhnz8ItSaF2TyeAz7StcJMSj1OR3kSGdU5jUSayahKtIomuoiTcTUupJg8aVth5i5LGIVZYC0BY9e+wmQkgnBNUIX53vxcXqsw3zF68un1W9ff783+0YjLj+uVzN/NPjevHy3aMe2Zu9c/sMfv2te+9Kibu6xWkHArbK06GWkg3C1CdXqPnWBk0rbcZKTSotxkZIENd5DhCMpNRi6tyc3Ys2P8Pi89hE/fqdxc3m6VBG4rYyWO8H9kuZnYMwvcO75PeNlhH0EIuybF2TykAz7SteKMJ1VRjaZpVI7s+mc1nkRqkuVRNhpVYjSWSsWL+d6i4ixcljCKM3R9htMSMHbtK05GIgjvBFecq7PZNs5SM19evz37zJ7ANm/VvDmz7fPrH823CtVtm/FLqXNY77JaQ8KtsbXyZKSB8Lxw5Rno22SkwiI9hbtwe4+VSYvKk5EFNuxBRkMW/TzzldIZubSmPGVfODeh3eelh/DtO1Wey7utksBlZazEEf6PrDx9Y3rCSw37/EGoNcnO5vEc8JGuZWeqxqXM8lEUF0aniiQuo0pJ8wtqGo9VXE4mS8O0KDudubKRnRprCRi79mUnIxGEawLLzheU5mIf0B9mT2sB+tReRnb9dt3G+XwuMAv5kohfig9FbL/KvMucjDaQcBtsLTYZaSCcLVxsNhbXGQmxSM7YvYPwHiuTFiUnIwtsyAOMRpb2c+Vb62Sk0priFNqzKnaflx/Cr+9Uci7vpkoCt42xEkd4QbLk9A7qCS837AMI4dakOZsHdMBHet6+ORFCJXEclXG9LDqtokrHWTQtk3GshJxkonzStubULku8ItLQZRlOS8DYta45OYkgfNMWmjO0oNmsNzn5Szh/uN58cYG34eoGTm4I97s7EcpJiEWECnep5B4rk/ZEKCcLbAwEjIZM0n6SeNY9Obm0pkLzvK+dKvs+Lz+Ep9+lCk2X91qlgXvKWIkj3CBZhSa56CvpInfCSw77CELINchQwIgO+EjPZWim81FmN7fHk1G9zyiqcplEo6maqDKJp2khnrQtQxNniDc6FHlsPZRe+zqUkQjCO0F16G+NUHk2+8ge5V43ey4ORnpBm5lvfdyrC/N/MN96y/5g9kF97dkHVqI2a1eXne6y2knC7QTXqy4aR6w0ED4ZLk39xXhOKiyi1NMxfo+VSYuilJEFNiJCRkOn/VQ6R+SYlUtrojSR3oOUWPkh3P5ORWmylDDeC4ge8hJHOEC6KPUN6gkvN+wTCOHWpEmbB3TAR7rWpCIfjURZ6UhmcR4JUcVRFafjqMhGZSrGIyHz6knrmtTZjmE0aYo1BYxe+5qUkQjCOUE16T8YrflpgyIly05GU0i4KbaWnYw0EF53J7KTkQqL7PQW5DmZtCg7GVlggx5gNEIFeU4qralO6d3rzkoP4dd3KjqXF9ikgQuJWIkj3B9ZdPrG9ISXGvbxg1Br0pzN4zngI11rzqLSuYyzSSSVspcXKRVVxTQ3X8ajsizzPC0nT1rXnKnLFEZzZlhTwOi1rzkZiSB8E1Rz/pPRkk/rSy2fLW4kmn1US8zfm29/ZEWo+ebz3vWP6xPjPzjsmd94d/Y3s9/OfjH75eyduRx9P3Mqg7usxpBwY2ytOhlpINwuXHX6byPipMKlOqWLyj1WKi3KTkYW2LgHGI5M9ZPMt9jJSKU92Sm9m95Z+SF8+0515/L2mjRwHRErcYQDpOtO36Ce8HLDPoAQbk3Cs3lAB3yka+Gpy2lZlONRlOaxMO+dqkglaRZlqRapyIVUxUKStSk8nRLFCE+BNQWMXvvCk5EIwjmBhactqV+/NfuilpDZoXzJfVb3XVZiEk5saxHJSAPhQ+EiMrB0yUiFRURmTud/j5VIixKSkQU2gkEGI82VeyvoMSuV1iRk3E99PZyc9BBOeqcKcnlPTRq4d4iVOML7kRWkb0xPeKlhHz8ItSYB2TyeAz7S82p5pqZxVqkoToWMRCHyqJxmVaTFWIusyOMqq560LiCFyxRGQEqsKWD02heQjEQQvgktIO0NQ5/bl/oSdVsTn322EpXuHoe7rGQlnOzWopKRBsKt7kRUMlJhEZWLuzA2RSUjkRZFJSMLbFSDDEaeCffVcMesVFoUldo53+7z0kM47p2KyuVlNGngciFW4gjvt4WodI/pCS817OMHodYkKpvHc8BH2vzvPx7OA9p/CInG/+0b3/wvDiOQBKNPLeYBjkptcHzjL/7sz1xK0AMVowLzGqs0WBP3hoI7ZLTrXsNnWKDU+5WRdPWdP7N/7tVbjBeHZdqdObMPjfh7oSHSlrDrg9lnz2e/79nattGJ3zM/fH79o/p3PrG3BvVmHxmp+Gz5Z65/Yr/1xfzgd5cp7pJNIWCmWAjBP339W5CJ5oL4VTJEiYIIgDd73xj/i97sp1F2aF9F/Zok8w/p/IPzATkik1j31x4ScKXqPTeeinBdhHoQIgRoP3ZXte6RMa7rSw/GbbUlEd164PKgg2rGNE7TvnI2TB+TMW4IQg/ILcWgt0ZNhQ2MhSvYg69/8+QNl6/amKVCaw/cP6HDBcbDFVwH0A3JYq13MFcsFplPqDygowbGRZSShs6Nh3TYwBi2gg2eG1mcpalKPcXZR3TEEokYPEesFQ9WwNYAP6YDBoYvcqohdNJPnWchndBBAyPan+/KX7xKhwoMbH8OnQcnN77i1YCvOKUjxgQ7yozQOlOJ9FxvOyDjToHx79s7dBRndLTAsPdtlJOw1jtYgVoDe04Da9FOM11KnaooS5Kp0dOTSaR1LKJxkudJOYqrSi8ijDfFDeT6tDS379tEGLpVw0ESys6VDAdIYRJiF5E7rEQQq2vQXPmF28u+lOLWp1fUOwZNBmx3GNqc+Km9YeJvZ38ze6/3rT9Opb0ytzf4xl+8Mb7zjfKb497gL/588s2vvf7GxGWZu6yWkXDLIPLSf7p+q75Koz6mrN49+ZfGBotDjnv2AuHr719/f7n18qezd2b/MPvH2buzX9uD2n5jPvml+eZ/t1/+tv7i3SdP3pj9j9rEb77cezS42xv0sljE0b0svrI/e6derHi+ODzkk9nTl+1fen/2syjpfVXFcS/qZT1bE+n37Nt/bY9frkfJnjNiRmn2rGfPZO4lcWzy0V49oJ/Ur0+vf2h+/Pzl8L+S9r5qr6Yz/0wx/2fM2/9YZOowk+Z9H/Rnn9nfb9Usvd2z3LAl1iJJJg4L1bJF0jg3FhH7aZFMp4dZ2pVFkOTae3SSNDtMXpwoPzWfO1YY7T/+pYXK65/Mv/W0hmdc9GJ98rN6v/ez+sh1Y7nVimb9B5/VG3O+7Lifgozbq//g782fN3+6N7+dMovrO9EPF1/m8y/7y6/t6/znN8Oi4zj7ihlbO6o/mX38R15Df2EXYV1rrZ/PPrt+q0ZjfmC/+eb1W/X8isWhSFqeX7Es4uiKZ7o4JyVydkl5qHQ3NmnBIFhrJEnSvlNO4kJG93R8ur+zJBHqMM07s0sLRsFaJEuyQx3fWMT+36FYj1gV6/oKTkCx7qIIwciEp1vGxeMeK48Wm2UYWWCr9YCxCBc+GLm02C3jLZBw0kPk86g1/o0VprVumeU1p2ng5lpW4gjnx7OEzUkO+wRCyAVH9AQyogM+0rYLO7SIuMs+Geni9opIw7ejFevcOu6TIaIF1gOha3970SdDNIWAmWInfTJEiBIFEQDPWtv2ybwXOfeWHJGRAquJu9ChRITA0iFCXwaaYYgYgTXDbbUjER2mPgiwX5qksq+c5bVjMsaum2GosIEBb9fNMFS4wKCHbYZRN80w3ntMH9BRA4MfSihD58ZDOmxgoCI0wyTKqDDdT5yJ2SM6YolEDJ4j1ooHK2BrgB/TAQPDFzmTSAsl+oV0oT6howaGtF12w1ChAiMbphtG3XTDeJ3FKR0xJtpRpoTUicmEZD92JpgDMnCmdpigqzijowUGPnQ7jDpYgVoDe04Du6ftMNLbDqNxJKHs2m+HYSSCWD6DpsRttsMwWkbCLQNPP41xvrxE8LFnHcD+4IUjx2efkIvXthBUXwFp/0D9o49uDjt/2RanVv+8/Vd+Pt/hPfuib35kPq+/bb7z6cu9o9E3/vw/f+ON3te+MfqLb9X1pfrPfraoFv00SqT5pd+8UAVfrltc/+TluuT9X/M4thzqGtqXTWEngvnk+YLIZ/O1kn939z+/Pir/0zd6DyfG/f3Z66Ozh72zRPbumk//Sy8ttL2p8t+Zf/zz1QxbWPWFQ9yv/8r+jvkn57/14I+zJYx/P1+z+aI26LPlue6OX+4tf7WuhM1/1RjlQ2vo+duXwP9wcz58L9H/NRX1u+0/Gsv5b9r62exXhvCbNd76Cfjg+id2S31dvTfWnM8D84YP6r84t4790byqb99y2Lv+4bJeePrKg7pvoLfeOPCOMb/tAviereX97GVb5ftVsliD+rndG/Q39uVv7fag952rDUesjxhiCXsX6yaMTFqt3zHyaLF+x8gCWz0AjEV4rYaRyz7U7zjpIQQIalmiqX63vLs7DVzGzkoc4fyYsm5OdthHEMKuqYDXPKQDPtKLDe/Wgba24d1ZGntFLI7ec3NUyp+KwqBiEpoXC3nOXPQOGS1wLROatWxRyLNa1/7ip7XY/VIp75O5/LJvcLG/S2YvYOx3UbujQpQoiAB4N7U76UJ6REYKXPzcgQalIgQudCK0pb92R8UIXOHcUjdS0WFWMwH2S9O4L4QL4jEZYselOzJsYIgjlO6yJPWW7shwgWEOWbrL4lXpLvPew/2AjhoY7lAaGTo3HtJhA+MUvnSXKp0mheeI0Ed0wBIJGDxFrBEPVsDWAD+mAwYGL3IOkRhLe+5SP6GjBgY0ZOXO7y9epUMFxjVE5W7lK14N+IpTOmJMrKNMiVSJJNf91GnpARk3T+Eu6CjO6GCBUQ9btzNzYwVqDew5DaxFO5aTQuRaR/l0bC8xU9OoGk11lCaT0Xg8llNVTed8vIlrIIOnJa++ul0WuhbYQRLKzpXiBkhh0lwXkTusRBDLZtAM+J2bXHVVB/lSBapOea9/YN723bpo9WZdNnm+rB3ZO8veshmvvcjs+k278emDRW2kTpF/VO/EfH799vUPXPa6y2ovCbcXPCFtNtkLawNfKu4d9kI1uVf+rJp8a7389uTJG//r/zo7unf+4JXT//Wpv86Wv1BmO/zSCsTsae+VE/OjV3I7kjru/b9vf/FFNHs/SuThfOudLTq9tdzEtlYE6yUyylTv5PT44b+35azC/huQ6pn9xVSvftFiW5bOahudPHhQ/8FDi/lLay+2OPle7ysP/jipf2ZLWptFr/o6vFXZq2a8WfSK63f9evZz18w7Yp15iHXeXSwwMDJps8jFyaO9IhcnC+wKO2AsUuEpcHHy2IMCFys9RKRGJe8NBa4sWVRD5p+4iD/kJY5wfPTk1OYhwukLT3jZYR8/CLuGAhdgSAd8pG2B6wUJbdOD1gpdzp5LkymkQa56nWsrha7UndfcIaMFrvxBZf6v61uGf2deF5cP/96+fIYsf811/apxyWpXe+yB/fEz82l2mPZq+Wn/jU+v/9qKf9vCZJKF+UEG139l/t26/Wl5nMGn9T/3uc0Zni8hfGb7umpd/LHLpnfJNhUwm+6kfEaEKFEQAfBuymfOhusjMlLgCuQu1C0RIXC1EaFaA+UzIkbgMuO2ipSIDrOkCLBfKrXndqdjMsSuy2dU2MDASSifpYm/ekZFC4yd2OpZelM9SwPVMypqYAxFCXDo1HhIhw0MU/jqWZZkUva18wl8RMcrkXjBM8Ta8GAFbA3wYzpgYOgi5ye+OXFChwyMZcjKmddVvEpHCoxomMJZelM487qJUzpiTJTb5XQYkCHz1MxC7uGMjhUY6dAls/RgBWoN7DkNbIuHsTjLkia1zQKwtVBeG8Og7jq1JaIFhuV/nakt0aZAzbCT1JYIUaIgAuA1d4YSkQL1wS5SWyJCoBzYTWpLxAgUAtumtkR0mKAPsF+wM5QIsevUlgobGDh3nNpS0QJjJza1zW5S2yyQ2lJRA2MoV2pLhQ0MU/jUNs3zIuunzifwER2vROIFzxBrw4MVsM3UlgoYGLo4UlsqZGAs22FqS0UKjGiY1Da7SW29buKUjhgT5XY5HQZkyDypbcg9nNGxAiMdOrXNDlagNlNbCtgWU1tnmcmktiIIe9+qtkS0wLD8rzO1JdoUqBl2ktoSIUoURAC8bS72pZIASoddZL1EhEClsJusl4gRqBG2zXqJ6DB6AGC/4Pn2VIxdp71U2MCguuO0l4oWGFexaa+4SXtFIO2logbGV660lwpbIGGDp0YqRJEX/dRzkikZsEQCBk8Ra8SDFbDNvJcKGBi8OPJeKmRgNNth3ktFCoxpmLxX3OS9Xj9xSkeMiXO7nA4DMmSmvDfkH87oYIGxDp34ioMVqM3ElwK2xcTXvVvaZL4yhFvGXiPDsO468yWiBUbmf52ZL9GmAmbTnWS+RIgSBREA76ao6+yROCIjBSqEXaS3RIRAQbCb9JaIESgFtk1viegwYR9gvzR0/CMVY9fpLRU2MHTuOL2logUGT2x6K2/SWxlIb6mogUGUK72lwgbGKUJ6K4vUPILuDaqP6IAlEjB4ilgjHqyAbaa3VMDA4MWR3lIhA6PZDtNbKlJgTMOkt/ImvfX6iVM6Ykyc2+V0GJAhM6W3If9wRgcLjHXo9FYerEBtprcUsG2mt76De/Ig7sRrZBjWXae3RLTAyPyvM70l2hQoG3aS3hIhShREALyb9LawpwFF7kWjIzJgoFDYRZZLRAjUBbvJcokYgYpg2yyXiA4T/QH2E7ns69wF8ZgMsesklwobGEB3nORS0QJDKDbJzW+S3DyQ5FJRA0MpV5JLhQ2MVvgkV+aZMhLL+QQ+ouOVSLzgGWJteLACtpnjUgEDQxdHjkuFDIxlO8xxqUiBEQ2T4+Y3Oa7XTZzSEWOi3C6nw4AMmSfHDbmHMzpWYKRDp7j5wQrUZopLAdtmiuuUuibFLYK4U6+RYVh3neIS0QLj8r/OFJdoU6Bo2EmKS4QoURAB8Ja9y+/NG5XNB+lCfERGDBQKu8hxiQiBumA3OS4RI1ARbJvjEtFhoj/EfrHy57hEiF3nuFTYwAi64xyXihYYQ7E5bnGT4xaBHJeKGhhLuXJcKmxguMLnuEmWKOHPcal4JRIveIZYGx6sgG3muFTAwNDFkeNSIQNj2Q5zXCpSYETD5LjFTY7rdROndMSYKLfL6TAgQ+bJcUPu4YyOFRjp0DlucbACtZnjUsC2meM6a+Umx1VB3JnXyDCsu85xiWiBcflfZ45LtClQNOwkxyVClCiIAHiz9+wwfj773fX/1xj0M2P5z+y1Jb+ZvTv7jf3kv89+O/vF7GezX9Q3kPxq9o+R+cb79c//u4vaEZkaUFHsIhkmIgQKiN0kw0SMQOmwbTJMRIeRCRD7JXk/d4avYzLErpNhKmxgqN1xMkxFCwy22GRY3STDKpAMU1EDgy5XMkyFDYxrhGRYJEnRj51P4CM6XonEC54h1oYHK2CbyTAVMDB0cSTDVMjAWLbDZJiKFBjRMMmwukmGvW7ilI4YE+V2OR0GZMhMyXDAPZzRsQIjHToZVgcrUJvJMAXs4sahhfu1Ia+1G4fcR+qY5FgHeCjdTY+zSY9daO+Q0QLjNDQ5/hU2Df7t7J3Zz+b3jdobMnuzn5tv/NLeJ5r0zK/ZeyM/7tkLHle3i5o/9Wye89Z3SL5wA+Xb9hrI91z2uUu2D1AQ7CTRJUKUKIgAeNCktt9Le9f/x3y0D+3qxfyWT3nYq7/3mcmU37r+7vVPousf2zWM2e+vf9LvLSvFL86Dz2cfvDwvGvddpjkimwaoNnaRKBMRAsXFbhJlIkagrNg2USaiw0gIgP3SzLPr5ZiMsJU8WaSin0sX8Pt04MC4S8iUs0L7U2UqXGDoxabK+iZV1oFUmYoaGIK3SpW1SrJ+7qy1PKQjBwZHfLacJSpX/Vy78D6i45VIvOBJYm14sAK2mS1TAQPjFzlbTpM86wsn6hM6amBMQybMfo/xKh0qMLRhMmZ9kzF7vcUpHTEm3FGmhNBaq34qXbAHZNg8WXPITZzRsQKjHjpr1gcrUJtZMwXsPOiN5LSUKhJTWUaiyMqoTHIZaVHotBqPy/F4MWW82fTXF9PEwZGYUbtLuK8IEeNYQum58u4AK0zu7SJyh5XIuh4IDQ8wLf+tSbGemVz8uU2c63rwp9d/9aXk2ZaIezZbNynbD2zaVheXbar9wfVPZh//aZ3+3eRsn1//yOT55gf2+3n8kvuwubusdpJwO8FzXxeNI1Ya6zE+QAOep17/+PpNF5WvsVJZD/wBKpiEVrqY3GNlsq4LAky2THs5WaxrhQALaHqcmSzTnWYes1LZyKEDXLbKo4u++37B+7z0EE4flQhu6JC5OJ2/Wk5Wor50vPjERfwhL3GE+yOnOb4xPeGlhn38INSC43kCGc8BH+lakIpMTeOsUlGcCmneK/KonGaVee9Yi6zI4yqrnrQuSJ3jbwRpgjUFjF77gpSRCMI3QQXpP9WVgbdmX9giz+f2xZaJvltXED6rxWZ2KF9yL8TeZSUr4WS3VpWMNBBudSeqkpEKj6qULiL3WIm0KCoZWWCjGmAwMpF7ahfHrFRaE5WxZyPifV56CMe9U1GZLEVIEhCVnMQR3o8sKn1jesJLDfv4Qag1icrm8Rzwka5FZarGpczyURQXeRKJJC6jSslJpMyfGKu4nEyWhmlTVGYuUxhRmWJNAaPXvqhkJILwTVBR+d4LvUB/NV+x/MPsab3KaTfrfHr99vVfX/+l+XG9alnIl0T8UnxosiErN2efuWxwl9UGEm6DrbUmIw2Et4Vrzbp77MN+zz0uX2MlxKI4Y7e7uMfKpEXJycgCG/MAo5H3deYcj2NWJq0pTiE8d/Td5+WHcOs7lZzpUqKkAcnJSRzhBMmS0zuoJ7zcsM8fhFuT5mwe0AEf6VpzjidCqCSOozLOppFIp1VU6TiLpmUyjpWQk0yUT1rXnMJlCqM5M6wpYPTa15yMRBDOaQvNGaqSA/QmI38J57+13mSkgXC1O9SbjIRY9KboO0PFPVYmLepNRhbYeAcYDXsYWZ54NmBzcmlNcebKcxvifV5+CKe+U8WZLQVKFlCcnMQRbpCsOL2DesLLDfsEQrg1Kc7mAR3wka4VZzypimo0TaNylKhIVGMjTCdZHmWjUSVGY6lUvJjtbSpO6TKFUZwCawoYvfYVJyMRhHMCK86bXZUb2x/Nl9dv12cR0Ts2Ga0h4dbYWn8y0kA4Xrj+DNTWGakwKc/UxeQeK5MWlScjC2zcA4yGLvpx7hyQY1YqrQlP6T0hiJUewrXvVHeKpUwRAd3JSRzh/si60zemJ7zUsI8fhFqT7GwezwEf6Vp26nJaFuV4FKV5LMx7pypSSZpFWapFKnIhVbEQZG3KTmdzhZGdEmsKGL32ZScjEYRvgsrOVcfmqjvTvUfwLisxCSe2tYJkpIFwoTtRkIxUWBRk5jnBgpNIiwKSkQU2ggEGI9eZu3XhmJVJa/ox7qfOo6zu89JD+Oid6ke51BveS6of8hJHOD+yfvSN6QkvNezTB6HWpB+bx3PAR3q+Bb3U43SUJ5FK6yXOTEZVolU00UWcjKtxIcXkSev60bm+ZfRjjjUFjF77+pGRCMI3QfXje7NP663nT3uzd2xbppGT3+/N/nH2dPZxvfPnd7PPzetHfzo/Cy6VcXz9gySdv/alpyx7l9UKEm6FrcUmIw2Ev4WLTe9BaJxMWLRm0o+li8o9Viotqk1GFth4BxiOVPRT90FVx6xUWpSb3uVKTnoIl75TuZkv5Yn3vtiHvMQR7o8sN5Nc5v4VS0522CcQwq5JcTYP6YCP9Lw1syqKXMcqKovJOBKT6SQqk0kcJWIUj7OqHE+T6ZPWFacz4zCKM3Q7kNMUMHrtK05GIgj3BFWcv7TnBM8V598a6fmD6zev3zLK88Pr79W39/zBiE2rNWU8+8yrLhkZSzjjrdUlIw2Ee0Woy6ZmTEZCbYtMRiotikxGFtgQBxiOoMhkpNKayBSey37u89JDePGdisxiqUi8FzY+5CWO8IJkkekb0xNeatjHD0KtSWE2j+eAj3StMItK5zLOJpE0fysSlVJRVUxz82U8Kssyz9Ny8qR1haldpjAKM3TlhtMUMHrtK0xGIgjfBFWY/2R0ylN7QaM9JnN+n8VHddvl7+s7Ip/Vlxs8713/2Pz089kHhz3zG+/O/qa+UuGXs3fmLZrvZ87i2l1WY0i4MbYWn4w0EG4XIT4/mX3oovI1ViossjPuZ9JF5R4rlRZlJyMLbNwDDIfqx8rpwo9ZmbSmOqXsa+eRbfd5+SFc+05lp1rKFO/VaA95iSP8H1l2egf1hJcb9vmDcGvSnc0DOuAjXevOyTTL83FeRUli+zaTfBSVo5GMRBZPJuZ7E5UuZnubutO9B8wIT421BYxf+8KTkQjCO0GF5wtLm0+vvzv7bPbc9mbWpxvZa8K/Yg/UtEX1L67fnv3BCtM/al7qZLSAhFtga7XJSAPhbRFqs2mpk5EQk+Z0NwbfY6XSouZkZIGNeYDhkP2icBamjlmZtKY5074SLnr3eekhnPpOJadeKhTv3UIPeYkjnCBZcvrG9ISXGvbpg1BrUpzN4zngI10rzqoaTcpppiMpxCgShZpGZR6b9yaVGidVOc7k4lluVXE6U45XhESfXQ/j17ri5CSCcE5QxfnzevPPH+rN5POlzrqY/nx+bruRm0/tAUjzHeY9o09/Wl8T+4vZr8x/v140dc7+Yfbr2Tuzd83r+/Y9/4/54re9Bycy6c1+6rLSXVYrSbiVtlWlnDQQDhmhSr1roJxUmPSo05XcY2XSnhzlZIENiIDRSPuZ73pdTiatyVHt303Eyg/h8nepR+XyvhkZuD+IlTjC/ZH1qHdQT3i5YZ8/CLcGQQoY0AEf6XlzZzJOkrHUUSWndrl0FEdKi2kkRnGSx3FaTcUiULQqSJ37HYwgRZ97D+PXviBlJILwTlBB+tN6YdNoz6guwD+f/aFe4sxfEs616rus/CSc39ZSkpEGwpfCpaR/WzonFSYpWUgXlXusVFrUkowssLEMMBxJ0c/czTPHrFRaE5P+tU1WeghvvVMtubxmRgauDWIljvB/ZC3pX9tkpYZ9/CDUmqRk83gO+Eib//1H88vG1i//h5BU9FzuTpOJ0kXSaMQ0SDJdJ7m6iR6GFaP98hqsNGA9R8nfIaNddxs+ywIF3q9mn89r3LN/7tVF0sWhl0b3fT77cPZ574XDLevWy9/O3pn9bL7SaL793PZm9mY/teXx6+9dv1nfaP6H2YeHPbuWOT+v/fpt+/suK9wlW0HArLCQgX/6+rcgk8wF8atkiBIFEQDPiPHfzN6d/caYe/bf6+7Wn81+UTe3/mr2j1G9Emx//t/7vbR3/X/Mx9SMw+/q6z4/6cl+z7zDDNiXh/Tz2Qcv92bvRbLvon9Epr/u5T304QrXuxeeinBdvHoQwoVr0o/du1PvkTGuq1IPxm0VKRHderjzoIMqTZ31pWe7EBXhhoj0QNxKQPr3mpNhA+PnCvbg6988ecPl4zZsnKd97eyO/RM6WmAEXaF14NxQOdZ4B3ORY5H5tM0DOmpgJEWJb+jUeEiHDQx9K9jwqRHH2uR6Tr3yiI5XIvGCZ4i14cEK2Brgx3TAwMhFzk2SNNV95ZwWJ3TUwGj25zvyFq/SkQJj2p9D58HJjad4NeApTumIMXGONCMSGefGVTgtPSDjToHB79s7cxNndKzAiPdtlIuwtjtYgVoDe04DW2t7NSlGKjfpcFFU5qXSkVZyGsWlTFWVpdNCjeZ8vBlxYGmAmBW7K/AmL85wLKH0XLlzgBUmf3YRucNKBLEaB02t35k9NSmxbRF/c9mx81n9xdP6kLYf1Wn2J/ai3BczMpOqudjfZWUv4ewR+arDAF/i6bWHyVrrG9/M57+vN3V+VB9q98yuJrzce+XPqsm36jWHegHik+u3Zp++3Ptf/9fZ0b3zB6+c/q9PeyYPfmp+0/7179p/sz4T7/onL/fyOP6v5j/7D39m/pFPXgD4tPfK</t>
  </si>
  <si>
    <t>ifnRK7nNqHX8UjR7P0qkedOvLa7rt+ZXGn/5LpC/6p31Ehllqndyevzw3/ce/HFW2L9u11G+qLcGPFveB7Lxi+b3Ur36PQvK8PhwZZqTBw/qv3dowX5pZcam/+/1vvLgj5P6Z3902Dt95UHPeOWsXgv4XW2mn9RGtCW7mqGx5+xnJs3/udNFHLHOLcRy7y4WAxiZsFS7fG1TjDxaLHUxssCutQPGIrQAwciktUpXYKGCkx4itqKS7aZK1/KqMRm4O46VOML1MWWTnOywDyCEXVOxq3lIB3ykbbFrfpXHgrpX3H9rMvr26994w2EJgraXLppG1osgzWydpq/c5ceKUezLipd7teAOGe36JAtYFijL53cJ/8josGc98+nT+kxkow5duI3qFi8fk8FveD4/+u0c3+D84VeML5OH5iW3L4V9UfZF+xwflZPAc/KuLTiJPLJEHlkijyyRR5bIIx+RR3QiEk8EvvBgeDy2PB5bHo8tj8eWx2Mfj8d0HvBHhO6GLZ+B5TOwfAaWz8DyGfj4DMh8NlatGvjgJteZJXFmSZxZEmeWxJmPxBmdBDwiIFe0DIdzy+Hccji3HM4th3Mfh3Mah3pmzTnYgNFSc4d/DUsGOUjvOMCg0iKd+eDMQu+Q4a7Hiy2bO96Zt+zW/334pdaN2T/Vpf9PZ08P7bmt787edRG5SyayHiQ4+zOIECUKIgDecsln9lFv9vfGpL914T0i4wWWpXaxhkJECCxBIdZGAg0VRIzA4tO26x5EdJhCE8B+eSG1+4a/YzLErjsqqLCBQQvfUZGkPrR/QkcLjFvYjgp501HhvcfoAR01MHyhch3o1HhIhw0MVs3pzDpWlSSJTD2AH9EBSyRg8BSxRjxYAdtMUaiAgbGLvAjmmxQndMjAYIbrp/D7ilfpSIEhDdNPIW/6Kbx+4pSOGBPmdjkdBmTIPK0UQf9wRgcLjHXIzNNOixWozSyTAtakmf+flhJLp9Y1iWUegK2l8NoYBnXniSURLjAyt5hYEokAY/VOEksiRImCSIR3RIYHjMW7yCOJCIGhdzd5JBEjMOhum0cS0WECLMB+wTySCLHrPJIKGxijdpxHUtECwxQ2j8xv8kjv7WQP6KiB0Yorj6TCBsam3eeRVMASCRg8RawRD1bANvNIKmBg7OLII6mQgcFsh3kkFSkwpGHyyPwmj/T6iVM6YkyY2+V0GJAhd5NHUsECYx06j8wPVqA280gK2BbzyMwF2+SRRRD23hUoiXCBkbnFPJJIBBird5JHEiFKFEQivCMyPGAs3kUeSUQIDL27ySOJGIFBd9s8kogOE2AB9gvmkUSIXeeRVNjAGLXjPJKKFhimsHlkcZNHeu8gfEBHDYxWXHkkFTYwNu0+j6QClkjA4ClijXiwAraZR1IBA2MXRx5JhQwMZjvMI6lIgSENk0cWN3mk10+c0hFjwtwup8OADLmbPJIKFhjr0HlkcbACtZlHUsDaDR6Hq6TMfmit8VW4aJi8MnwPWuG1OQwqMa9MvXklES4wUkPzyt/W22VtN+Y/z57W+eUzuxv28/qyrrfsPQq92Qe9RcPmc/vmxf5cu8W2vlPW/M712716t/LNFbN1ZprW137NPrn+ofnN5y4z3CWbARj5cVmpSapNIh3ZjdTzHdffu37bgH9mLGCY2FPe6l3C9sS33uxDuyWm3qVcn/b2xZe3Ydsj3sxnT180zOfzLc7XP3hhN03fZZavks0iUWaBmORni23WyWFv9bk49O2OJsIGqgxMhmxHzwXya2SQQF2xmySZiBGoKLZNkonoMOoBYD9nPDsmo+s6P6bCBsZaQn6cayMA/CkyFTAw4mJTZHWTInuvS31ARw0MvFwpMhU2MFDiU2Tz74oszfw5MhWxRCIGzxFrxYMVsM0cmQoYGL04cmQqZGAsQ+bIIX/xKh0sMKhh0mR1kyZ7fcUpHTEm0O1yRgzIkHnS5LCPOKOjBcY8dJ6sDlagNvNkCthFniyfrNLi1vJk6aJh8mQdpKG9NodBJebJnv2sd8hwgeEamif/5ub4g/qMqZ5J9J7aw7BMKveJzZk/q7+cZ8lP6zzpgzr3WyaS9tys+tQuk0LWp3TNc+iny/z5I/M3V2nhj8z3frD6TZuB13/7B4vTreyrvd3wmctkd8kmA0oFXE7tgvhVMkSJggiAN/v17O97//L9v+up+WglRT9J+mmcyt7s3ReWNEwi/+liHO2A/fBle2HkO/qw/pDEi4++tJjIFigs4Gmx9+YbIkCgjNhNSkzECFQP26bERHQYpQCwnyz6uXPB8ZiMsOu0mAobGFrxabFWvoX/P6GjBUZXbE6sb3Ji74XOD+iogUGWKyemwgYGOnxOLHOpfBfqPKLjlUi84BlibXiwAraZEVMBAwMXR0ZMhQwMZbiM2O8qXqUjBQY0TDqsb9Jhr5s4pSPGBLldTocBGTJPOhxyD2d0rMBIh06G9cEK1GYyTAFbnwo4/5/5+X9+fTyevHHX5IsndbpoOeTVKK2qMo4mYiojoeJppFQxjUqRxWUmRTIel/N3rlLoVK7Rn/zZZDVvvmyB+b8IjkSbNjl/+JUr9+FRV+7FAUt73RRQlvXYrntSEDncQV9DN6MhE6N1RwtiBJ+2htArr7gZvfIKA6UX8jT/lPSfabaTKWnyz6s0ObzKEvfcDD2rRRE7n1XX5APRQE4+g31osA892IdU7OvTDIQdOc0M9ldeMeBfecWD3sxEAvw6ZnY9pTxTKYmDhDbuR2x3LnnmEBl0K5PIN3VIqF9Yqe1u7rgF5NViecxHKO127rhBD8mgW5k7btB2UhFQv7AG3N3cyQ6vEmn+U545lAaJ+Y8ZbWUOZYdDA37oAT8kg29lLmUmjhn05sUN3043Av4X1om7m1XCM5uyICH/fs9WZpMb9JAMupVZ5AZtpxcB9QtKaKN0mgKXTOdcwCvT67xcbF6zK4gBMrl3CIALpi9ghk+axRJOIubdt0nfe8HbBRm/QOOHIz8FIL8kI5cY5GR34/YyVMzAZVSSi5nb/Axg8yEZP3BNleJtjFEPlsA2fQ0F8PLKisXyanexKjfqp/DEKxkk5u+XaSVe5Ub5uIEPycBbiVm5FT1u5FYSEaBb7It5s1+BKw+S8a8xtxG48kZXdEHGzxu4mpFfkpFLDHKy73G7GyrmNgJXs82HZPysgSs/WALb9DUUwIsWw4XN98vdhLYWFsq/8NaGuykaJ9AFGT+vu2lGfklGLjHId+xuqJjbcDfNNh+S8bO6m+JgCWzT3VAAr652e9KxTtaHV2ns0cmhVu1CpeCZBOIAn0xznawPhx7gQzLwVnSytuUuN3K7akiAvrcLPMG6nfKvsbURuHSjK7og4+cNXM3IL8nIJQY52fe43Q0VcxuBq9nmQzJ+1sClD5bANn0NBfDa0Yddupc0VNrVsb+roQX3ksaNE+aCjJ/VvQCQX5KRSwzy3boXMuYW3AvA5kMyfk73ksYHS2Ab7oUEeNncaIE/6VYap54GjDTYFaD8xxK1IYs9oIdk0G1IYg9o2xVGQL0XcyfzzJ1g7V/Bi1gg/Ni54wY9JINuZe64QdtJRUBtYYuu546nzSIN1v5Vt2UrD+ghGXQrc8fXZkFCvRd+R3rmjggSUt3OHTfoIRl0K3PHDdpOKgLqvfA7uWfuyCAheP0KhB87d9ygh2TQrcwdN2g7qQioX/A79ZbBLpb/FonMSdpcT3zNzgs/Sd1pOQuA/4KMX6Dxw5GfApBfkpFLDHK6G5pTGQCoXJGptJHNN+MfkvGzZvP5wRLYpmuiALaI4ywV+WSUROm4SCOR6iSqsjyOyizPZR5LnVX6yVrkW3daX1/MJjbHtXRf89OezeAFHViw4LdpCqgNnI9aI/XtH7fmouwVG+V6ipTleFpN8jIqq0RHIkmrqBRVHuVCVnk11TopNsRRZ1NEgaZIsIznshfMBl1NEQWYIlyU6ykyHY3yaVGNIlWMRpHQZmJVohxF07xM07KqlJFHezNFNGiKBKsvLnvBbNDVFGmukF2xUZ5r4LSSk6koo9h4mChJJipS8VhHcSxjmSuVaLmRnnc1RbIYMkWy4N5Fl71gNuhoimTNVY4rNso3xyYcro616yzVznzsg+vdOl1n32qq7QE9JINuI9X2gLZ7zQmoLeyu95RnntJCFlzv1t3u6fSAHpJBtzJ3fKUFEmoLW3Y9d4Tt9osPzSSS5sUgvRLSU27IgmvgGt6OA+KEnU/Cdv/Fh0NLZGiJDH1EhmQircwxUXcD2iMwLBXzqu0OYh8Z+y4Cm73wW3Y/epyal3p3uvZszspEkF+31XU72SyHYVJvUvdwGJI5tDLj6s3phoQ936Dere6hYScngcdezLXcODbj5oTxd8J+rg6vpPlampknzTzMzee5+ViYj4X5uUrMf+aj0ZdX3okpg8botnRvCA8N4aEhPBT2c3U4NISHhvDQEB4awkNDeGgIDw3hoSE8NISHhvDQO4uphFuZxXa3obBuU1gPKuovlXmR9nvSzmtpJ3puv8ztZ4X9rLDvU/asIWU/0/Yz//SnGOCF9KKrXuxlMSZrXod+LQsv6/prrC0UYwD4L8j4BRo/HPkpAPklGbnEIKc70mXS3kzlikxl3TU2U8FOojMA/iEZP2cxJssPlsA2PRMFsEU8noqxKpIyUomcRCLO80iNRkk0Mb86zabZSE8nT9Zid2drZKBiTBauTGyYAmqDrtbIAMUYNsrzNpRkWsRFpaMimRSRSOIkUvk0jYpymupxLqdyj6YIqBiThSsTDnvBbNDVFAEUY9go11OkqkaTcprpSAoxikShplGZx9L8VqXGSVWOMxnvzRQBFWOycGXCYS+YDbqaIoBiDBvljrYILVWvaK4yvCbCWxM6bUEC4L8g4xdo/HDkpwDkl2Tk6w9Rs9TaYhINAFSuyFRaUL0A/EMyfk7VK+KDJbAN1UsCfNvilUgg8UqEqlcOU0Bt0FG8EknjdL1io3zrVK9IQVMkVKRy2gtmg66mSAqYIlyUb13uLDLQFAnVkpz2gtmgqymSAaYIF+W1A6SsUOxy7Vc0n0j5mhABW6hu988D8F+Q8Qs0fjjyUwDySzLy9YeqWXptMYkGACpXZCptqOBm/EMyflYVLA6WwDZVMAVwXZSd6FE6TmVUxkVpHFkmTKyL4yiN43ySjFSpxUZfXGfxS4Lil8SZAmqDruKXbJyuV2yUu161aS7TvCZCVQ8dp95HtY141Yz/goyfN141I78kI19/iJqd5BaTaACgckWm0ka8asY/JONnjVf5wRLYZryiAL518QpUqxShwp3DFFAbdBWvALVKNspdx6vmItxrIlSE07G/ubmNeNWM/4KMnzdeNSO/JCNff4ianeQWk2gAoHJFptJGvGrGPyTjZ41X6mAJbDNeUQDfungFqoqLUInYYQqoDbqKV4CqOBvl5fqgntPuujdUNhcIX5OhepvqNt8C4L8g42eNXwDkl2Tk6w9Vs9PcYhINAFSuyFRaiF8A/EMyfs74JeODJbCN+EUCbBGrqlQjNZlGxbgsIqHLSVRmRRxNC53oQsWjVC0ejO7jlwRVyWWoZOwwBdQGHcUvCaiSs1Gup0iRFlJPhYiK0rwtSSZVpOJptZdb7GUKmiKhkrHTXjAbdDVFAFVyNspLiZMsmmk61zjN9eDXZKgerOJOrygA4L8g4+fVOM3IL8nI15+q5sC6xSQaAKhckam0oXGa8Q/J+Fk1TnawBLapcSiALeLRaGTSsqmORJGrSGRxFlWJ+UzKaZFn40wl8WJ67UEAE6AAJnCmgNqgqwDWXLK/YqO8CmCL/ct25DsNYM0F4dekDBqj00uUAfgvyPh5A1gz8ksy8vWnqtlrbjGJBgAqV2QqbQSwZvxDMn7WACYPlsA2AxgFcJ2k63GaxyKNpLDdiNN0FOkijqMkTnWppzJO5cbhC50FsBwUwHKcKaA26CqANdfwr9gozw9cHec6l7KKJirPIlGKOCpL81uTkSrVtMr1RFR7M0VAdXMZKiI77QWzQVdTBFA3Z6M83xAzVemkMgl9JUZpJBI9iqoym0ZxmkiVFomspN6bKQLa4ytDVTunvWA26GqKNFdWr9go37oNMRJUzbTccPaC2aCrKQKoZrJRtpnSYfe7HPLmAs5rebge4r+BpoUECYD/goxfoPHDkZ8CkF+Ska8/TM2qfItJNABQuSJTaSFBAuAfkvFzJkh5fLAEtpEgkQDftgQpB1Ux83BJb8MUUBt0FLdyQBWTjfKtS5ByUBUzD5f0HPaC2aCrKQKoYrJRvnUJUg7a65uHSyYOe8Fs0NUUaS5rXbFRvnUJUg4qJeUCay+YDbqaIoBSEhvlRYJk/ny3CVLz4vlruQzaoNMjQAH4L8j4BRo/HPkpAPklGfn6w9SsyreYRAMAlSsylTYSpGb8QzJ+1gRJHiyBbSZIFMC3LkECVZDycDnFcZIdzAZdxS1ABYmN8u1LkEAVpDxcTnHYC2aDrqYIoILERvn2JUigClIeLqe4zsME2aCrKQKoILFRvn0JEqiClIfLKfRTdTuaIoAKEhvljvdvF82L5q8V4fMmO+0NB+C/IOMXaPxw5KcA5Jdk5OsPUbMa32ISDQBUrshUWkiMAPiHZPyciVERHyyBbSRGJMB1YpSrdFSMi6iy259EPplGeiSqKNNZrKe6LLPJ3lwxW4AqR0X4yFRHozTMBh3FqwJQOWKjfOskTQGqHBWhMorTXjAbdDVFAJUjNsq3LjEqQJWjInxkqsNeMBt0NUUAlSM2yrdueaUAVY7sPe04e8Fs0NUUAVSO2CjfukXaAnRWZyGx9oLZoKsp0lxTuGKj3HXu3LxA/VoRWqDWsf8K1DZy52b8F2T8Ao0fjvwUgPySjHz9IWpO2LaYRAMAlSsylTZy52b8QzJ+1tw5P1gC28ydKYBvXbwCVYyKUPnEYQqoDbqKV4CKERvleoqUSSJyKXSUJyMZCaFMxi1HRTStinE8TpTM8/1JjEAVoyJ8UqDDXjAbdDVFABUjNsrz0xlkkqssKSJZTUwSNdGlmU5KRsk01rIYlWlZ5XszRUAVoyJUPnHaC2aDrqYIoGLERvnWrcCpGDJFVHi92mEvmA06miKquaZwxUa548RINS9Qv6bCC9SdntcBwH9Bxi/Q+OHITwHIL8nI1x+iZjW+xSQaAKhckam0kBgB8A/J+DkTI5UcLIFtJEYkwLcuXoEqRipcPqHvKXY9ao3Ut3/cABUjNsq3TvUqUMVIhcsnDnvBbNDVFAFUjNgo37rcWYEqRvZMWZy9YDboaooAKkZslG/dCpwCVYyUxNoLZoOupgigYsRGuevEqHmx/DUVXnvu9JwOAP4LMn6Bxg9HfgpAfklGvv4QNavxLSbRAEDlikyljcSoGf+QjJ81McoPlsA2EyMK4FsXr0AVIxUun9APrXA9ao3Ut3/cABUjNsq3rk9KgSpGKlw+oR9a0dEUAVSM2Cjfum5LBaoYqXD5hH5oRUdTBFAxYqN861bgNKhipMPlE/qhFd1MEQ2oGLFR7jgx0s2L5a/p8Npzp+dzAPBfkPELNH448lMA8ksy8vWHqFmNbzGJBgAqV2QqLSRGAPxDMn7OxEgnB0tgG4kRCXCdGIH2I+1JvAJVjHS4fOI6rAJkg67iFaBixEb59kkaUMVIh8sn9G3mHU0RQMWIjfKtS4w0qGKkBdZeMBt0NUUAFSM2yrdueUWDKkZaYu0Fs0FXUwRQMWKjfOsWaTXorDAdXq+mH5zV0RRprilcsVHuOnduXqB+TYcXqPU691Zz52b8F2T8Ao0fjvwUgPySjHz9IWpO2LaYRAMAlSsylTZy52b8QzJ+1ty5OFgC28ydKYBvXbwCVYx0uHyyYQqoDbqKV4CKERvl26d6QRUjHS6fOOwFs0FXUwRQMWKjfOty5yQGlYzM27AWg1mho0li+DTPEj7St24VzoCDTZPwqrXDYjArdDZNmksLV3ykv2Pvk66pr8+DdVN8azL69uvfeIPBEoPzh18xFLND81LYF21eksRnitC6tUJIXRAhuNq1LIaWxdCyGFoWQx+LIZ3FuuAFsQBrXkvilVcsC/ta1K/avnqI2J9TmFgqC5lrJ16X908Yso0PoPE6wYtaksQ7Xi1k6RAGF3QGAs0Ajv0Ugv2Sjl1isNM92MqXN5O5opNpIVeHMBjSGXBm6wbVwQqaw01RMFvQuTKp2WhcRHJsd7gkU20CaVlH06xQWhdVNn6yNxoKVKcyb8MZA2qFzjQUoFLFR3outbOkSs37olxORCTkOI+qaTGNikmZiXFSCiO59meagGpV5m1Yi8Gs0Nk0AVSr+EjX02SqpZxkoywyyVoVJclERSoe6yiOZSxz8/e13FDi3U0TUL3KvA1rMZgVOpsmgIoVH+k6I7MOZU7cquRu5XHz8r2ZAqHlcJVk69ZoVx43M7igMxBoBnDspxDsl3Ts6w9Xsx7bYioNIGSu6GRakcfNDIZ0BrzyuDhYQXPIYwpmC3pcVON8OppGZZzlkdBCRlqUKpI6y+Ik1UUy2pt6VhKDClrmbThjQK3QWUADlLT4SHfcg5HEzdUaM+TBck0Se5/ZVgJYM4MLOgPmANaM/ZKOff1havaYW0ylAYTMFZ1MKwGsmcGQzoA3gOmDFTRHAKNgtqBVrlWZJlWki6mKxDg2/myUp9E0HhciTadZOl7Msj0IYAmslJoEq4qbxoBaoasAlkBKqWykvzO/KNt6+k4zsaS5UmiGPlQpVEmnN8JBGFzQGfAGMgD2Szr29Yeq2XNuMZUGEDJXdDJtBDIAgyGdAWsgS5KDFbTNQEbCbEHrKk7K6TiOSjEeG28mppESk0mUCSPSjVQfT6v9WVpMUlggCxaXN40BtUJngQywMY+P9KrZI1ufB+umAHUVkCwxb/YwJMyL7fNI7WdZbF9y+2K/J1L7YltBpP1M2s9y+5bcfpnbLwv7WWE/U/YzZT/TXoOGa3/wSzpAZoH7snnLiLHF0NpiaG0xtLYYWlsMrS2G1hZDa4uhtcXQ2mJobTG0thhaWwytLYbWFkNri6G1xdBniyHdFq00nhhb2Ne65SStPzfmsK95/Vp/31jEvtbNKbL+XNaf5/U78/o7ef2dov68qD9X9eeq/txjHPsvU6xjzbNY4+p8tT5proQaryqCLDs9xw7C4ILOgFkjNmO/pGOXGOx0D72KVc1kruhkWtGIzQyGdAa8GlEcrKA53BQFcw1al5WO4yySlcgiocsiUlWZGrWQ56mKpRgXkyd7oxFhXQqJxBkDaoXONCKkS4GN9LyoMxlJVZQqyqdiEolyWkWV0ZCRLvMiTtSoLNLR/kwTWJdCkmMtBrNCZ9ME0qXARnruTaScpNVERnpUJZGopJ1N49RMrkwkqUpGSu/NOTBJAjoh07wNazGYFTqbJs0V6ys+0vMOyqmKc5udTtN4GolRriM11joaTSYizrNpGYtif6YJrESchKulDovBrNDZNIGUiNlIL1bY7aB3mz01V8fM0IcqTSrp9LA7CIMLOgOBZgDHfgrBfknHvv5QNcv1LabSAELmik6mleypmcGQzoA3e7Kl4gU0R/ZEwWxBV5Mir4ppHI1VaoJemmRRGVcyGouxrmL7q9P96XVKYaXiNFQ1dRgDaoWuAlkKKRWzkZ7rnbhQVabTKM3KUSSmpYyUzEvzWyOtRsUkK6dif6YJbNdtGq5KOSwGs0Jn06S5fHjFR7qeJqNUZ6ntPhjrzLxXpCJSaRxHk6TSuiqS3Lx9f6YJrF6XhktXDovBrNDZNIHU69hI377sKQUdpZmk4TKL68ECWaGzadK8a/KKj/Ryx8hi1DuvQaXNy+5mCoiQNdJuG24BDC7oDASaARz7KQT7JR37+sPVLNu3mEoDCJkrOpk2sigAgyGdAWsWldoa1ALaZhZFwmxBJ2U2yVIpI1mVdtvApIiqaqSitNAm/iWp0mX8ZG8CGqwGZZ8LjDGgVugsoEFqUGyk57pHjItiNMmiyvyxSOQyjcxvV7ZyNU6qvBwruT81qBRWg0qD5RiXxWBW6GyaQGpQbKTnh+WJuFTJaBTlkzgzGklXkRaZjPKpzqfVRE1FNt2faQKrQaXBcozLYjArdDZNIDUoNtL1NCnSaTrOtYryKhGRUDoz751OojgfKzGe6HicyP2ZJrAaVBosx7gsBrNCZ9MEUoNiIz3fDFTGMrFXXGdSFtbzyMieyRiNRtlIpiIe5aXen2kCOnvTvA1rMZgVOpsmzXWJKz7SXe9mzZrXt18zbwqw1x2fVgZgcEFnINAM4NhPIdgv6djXH6bmbG6LqTSAkLmik2kjuQYwGNIZsCbXWXywgraZXJMw37oAlsFqT1nw8FPXUTswK3QVwDJI7YmN9HyaVHE+laM4EmWcmLwqNblWPi4iJbWOp2o0kXskhzNY7SkLlWHcFgNZobNpAqk9sZGebynM8qxKyzIyMrk+smps3mZeFkdWjdN0XO7PNIHVnrJQGcZpMZgVOpsmkNoTG+nbt1SXwY7IzATWYjArdDZNmusQV3ykb9/CfwZb+M8k1mIwK3Q2TSAL/2ykl5Xsxa6BzivZWfP6tpkC4fXtdN0a7SbbzQwu6AwEmgEc+ykE+yUd+/rD1ZzdbTGVBhAyV3QyrSTbzQyGdAa8yXZ+sILmSLYpmGt5rHU1VSbajVUuIiHywq4sx9FIxnmWlNU0LvdI98BqT1m4DLNhDKgVOgtokNoTG+n5aRtZoUZFIqOkGpmMK57KSI1jHSWy1Ek6icVIj/dnmsBqT1m4DOOwGMwKnU0TSO2JjXTnRYXmkooZ8lBJxbBZZ9+uzmlmcEFnwKxzmrFf0rGvP0zNgXWLqTSAkLmik2lF5zQzGNIZ8Oocu+9pAc2hcyiYLWiRJdOxiEUUj3Vmk/w80uZ3TDI3qUajaZyk6f7s8xawfU8iXGHZMAbUCl0FMNFcCrviI11Pk2kip1k6zaJpWowjUeRJVFbpOFIizqoq17bhYn+mCaz2JMJlGIfFYFbobJpAak9spJfrO8lina/zBR7RXGMxcyC4vyft9khVAIMLOgNe4QPAfknHvv50NUfaLabSAELmik6mDeEDYDCkM2AVPiI9WEHbFD4kzBb0WKSFLIokytKRskWwSVQmcRqNkzxPylFcVXp/tmgKWP1TBLehbRoDaoXOIhqk/slGerHAkxRlIWWUjvQkEpNJGelyrOs7nuQkleMi358yuYDVP4XAWgxmhc6mCaT+yUb69m34FrD6p5BYi8Gs0Nk0gdQ/2Ujfvg3fArbxSYRLLA6LwazQ2TRproVd8ZHuerlYNNdUzJCHaiq64ysBAQwu6AwEmgEc+ykE+yUd+/rD1CzTt5hKAwiZKzqZVrKmZgZDOgPerMleCbiA5siaKJhvXwCD1TtFqPTnMAbUCp0FMEi9k4307Ts9VsD22olwicVhMZgVOpsmzbWwKz7S82miVRIXUkWjJNWRUFOTiGcyjuQoLcokU7lO96drVMKKTzJch3FZDGSFrqaJhBSf2EjfvjUYCSs+yXAdxmExmBU6myaQ4hMb6a6zJtm8vG6GPLRUrTu+vg/A4ILOQKAZwLGfQrBf0rGvP0zNMn2LqTSAkLmik2kjawIwGNIZsGZN0taapK/WRMJ8+wIYrNYkw9vO6OvprmeukfwOnjtIrYmN9LwkCbqfY1+mCazWJAXWYjArdDZNILUmNtK3L7mWsFqTlFiLwazQ2TSB1JrYSN++pToJqzXJUNnFaTGYFTqbJpBaExvpVcuemDPvvGVPNq+3mzkQWrtWab5ujnbTqGYGF3QGAs0Ajv0Ugv2Sjn396WrW7VtMpQGEzBWdTCtpVDODIZ0Bbxpli0/SV3wiYbagjTSqdJ6XUWU+WgVdRSo2ImlxboVKtFw4rH2IaLDikwzvO9swBtQKnUU0SPGJjXQ9TeREFxOhpAl3UyuSqtzIaKOqZTwZyzTNp9U4359pAis+yVAdxmkxmBU6myaQ4hMb6ZXwWcwDG1c7FT55c5HlNfOmoDm6vZwOwOCCzoBX+ACwX9Kxrz9dzZF2i6k0gJC5opNpQ/gAGAzpDFiFT25Pfsx9Jz+SMM8XBpM0H0+nUZaapG7P9yrksAJoHryAa9MYUCt0FdFySAGUjfQqou3L8Up5cxHIzIFQQUVlsfchbiWiNTO4oDNgjmjN2C/p2NefrmYXusVUGkDIXNHJtBLRmhkM6Qx4I5qtiOa+iigJswWtYqmSqoyjcpqlkUhEHOlYq2hajqUamWyuivenIprDKqJ5cCPapjGgVugsokEqomyk62lS6XE2SUZJlMfC5HNCTSKdKR3pkcyKSSFFJfanQTCHVURzgbUYzAqdTRNIRZSN9O2riOawimgusRaDWaGzaQKpiLKRnnuTajQxTkdHUohRJAo1jco8lsYHVWpsXNI4k3vkTWAV0TzHWgxmhc6mCaQiyka66z7SvLnmY4Y8VD/RiVxn327W1Mzggs5AoBnAsZ9CsF/Ssa8/TM0yfYupNICQuaKTaSVramYwpDPgzZpsATT3FUBJmG9fAIMVQPPwRrQNY0Ct0FkAgxRA2UjfQjkMK4DmoVqg02IwK3Q2TSAFUDbSty+5LmC774rwRjTXgwWyQlfTpGiuhV3xkZ57k2qcZbl5WzWaGn9TijIqyzSORnGeTotMxZPR/izVFbDiUxHeiOZ6sEBW6GyaQIpPbKRXxSc9Z9558aloXm83cyC8dp2um6PVNArA4ILOQKAZwLGfQrBf0rGvP13Nun2LqTSAkLmik2kjjQIwGNIZsKZRhS0+Fb7iEwlzLXwmRV4V0zgaq9REvzTJojKuZDQWY13FSiVqmjzZm4gGKz4V4TrMhjGgVugsokGKT2yk62ki4nRcTqtJlNirz4SMx1E1EeMoT1QsJtNsbP6Z/ZkmsOJTIbAWg1mhs2kCKT6xkb592XYBKz4VEmsxmBU6myaQ4hMb6du3Ha+AFZ+KcB3GYTGYFTqbJpDiExvpZRq1PPOo+zSqeQHezIHQYrbKuj3VBMDggs5AoBnAsZ9CsF/Ssa8/Xc26fYupNICQuaKTaSWNamYwpDPgTaNsNarwVaNImGvQuqx0HGeRrERmbwUuIlWVNgTmeapiKcbF5MneRDRYNaoI7kzbNAbUCp1FNEg1io30LRQ+sGpUESrMOC0Gs0Jn0wRSjWIjffsOv1GwapQKbvhxWQxmha6miYJUo9hI375sW8GqUSq4K8jpf0FW6GyaQKpRbKRtGmWJP+k4e1LN6+5m6MNr2N328gEYXNAZCDQDOPZTCPZLOvb1h6pZrm8xlQYQMld0Mm1kTwAGQzoD1uxJ2SKU8hWhSJjrIpQey1JkKkrLREciV9OoklZC50KNx8l4nMo9CmSwIpQK12PcjSgAK3QWyCBFKDbSty97UrAilBJYi8Gs0Nk0gRSh2EjPT5gtR1pNsjySo7Ht1BkVkfm7eaR0MUpGo6Qa79EJswpWhFISazGYFTqbJpAiFBvpeprA7irbl2kCK0KpcD3GYTGYFTqbJpAiFBvprndAqeZldjPkoSVrnXR7BCSAwQWdgUAzgGM/hWC/pGNff5iaZfoWU2kAIXNFJ9NK1tTMYEhnwJs12ZqT8tWcSJhvXwCD1ZxUeDOQ45g7mBU6C2CQmhMb6Vsoh2E1JxUqvzgtBrNCZ9MEUnNiI337kmsNqznp8GYgh8VgVuhqmmhIzYmN9O1bqtOwmpMObwZyWAxmhc6mCaTmxEa666xJNy+vmyEPLVXrpFhn32rWBGBwQWcg0Azg2E8h2C/p2NcfpmaZvsVUGkDIXNHJtJE1ARgM6QxYsyZta03aV2siYb59AQxWa9Lhq7g2jAG1QmcBDFJrYiN9C+UwrNakBdZiMCt0Nk0gtSY20rcvudawWpOWWIvBrNDZNIHUmthI376lOg2rNelQ2cVpMZgVOpsmkFoTG+l6w5OlLtbnwbopvjUZffv1b7zBYInB+cOvGIrKxz20UK0yeHkAxACudS3soQ/2kA57Xd2CYIMFrkVtdawbtv0JBbcFvtiI3fmWOd289m28SHi/RbcXuQAYXNAZCDQDOPZTCPZLOnaJwU73SCvf3Ezmik6mlUS8mcGQzoA3EVcHK2gON0XBbEHLYjzKZFZEeWrP7hvZFvakTKI8VxOhqzIfj/WTvdFEsLqUDpVoHMaAWqEzTQSpS7GRnmuimvv6RFi3BSg2k0xRi6I0Tg6v0sK8ZIl2m8FouqAZtPfhbUMeWQJDS2DoIzCkE2hDKFkC5rWwrz4K9l0UDi+Ipg5nWGpmWCztizYvibAvyrykmX3JzUtmJ2Fmf5AV5kXE9sX+VNj3SfuZtJ/l9rO88M3T4GYj80e7naepmafGDENrhqE1w9CaYWjNMLRmGFozDK0ZhtYMQ2uGoTXD0JphaM0wtGYYWjMMfWYY0s3QzmxP7Ww3drCv2r4aS9hXZV+NLexrbl+z+rnI6p8ae5hXg92+1u8R9ftl/bmsP8/rzz1mqZ8zgl32KO0wpmuMWa+ZNwVZpt7RbyHtgDC4oDMQaAZw7KcQ7Jd07BKDne6RF/IHQuaKTqaFtAPCYEhnwJl2GFQHK2gON0XBXC/FyslYx0pH1UQa7VlNVKTGVRbF01TlZTquqnIxy7pPO9IYVP8zb8MZA2qFjtIOw6dx1l7xka6nyaScZONKm5xE2zPmM7tsmxVVJEdVWia5CYT7c6BLGoPqf+ZtWIvBrNDZNAHU//hIL48oWyiC7nVPc5nLTAEZtEanJ5RBGFzQGTDrnmbsl3Ts6w9Xc6DdYioNIGSu6GRa0T3NDIZ0Bry6Rx6soDl0DwWzBV2paizH9srkamKvOdBlpPJRFZXjQo2lrMbj6fjJ3gQ0UAnavA1nDKgVOgtogBI0H+l5Fp9Mi9F4mkfJKE3tHds6UvGkiOJYxjJXKtFyYzG2u2lSwKZJsJLqshjMCp1Nk+atcFd8pOfeJKvKRCVxlCX5JBLmT0Y6nlTRaJLqsRypLC7y/ZkmoL1n5m1Yi8Gs0Nk0aS45XvGRXsrjBfHu5XFzKctMgWApS3S6mRrC4ILOQKAZwLGfQrBf0rGvP1zNemyLqTSAkLmik2lFHjczGNIZ8MpjfbCC5pDHFMy1myrG2bgo0qiKE3ugnhpFlQl6JhaWIp/kSSFS/WRfAloC2v5o3oYzBtQKXQW0BLD9kY/07cuiEtD2R/M2rMVgVuhsmgC2P/KRrqeJSuNMyjSOUjWaRiKfZlGVpUlUpOWkistcF5ncn2mSwqZJuOLisBjMCp1Nk+bS2BUf6fnuEZVLNS1kNMpVFolsMopKUYpokqTTUsejyrzuzzSB1aKScFnGdUoByAqdTRNILYqN9DKLWmxJFE86zqKS5pKLmQIiaI1Oe7ohDC7oDASaARz7KQT7JR37+sPVLNu3mEoDCJkrOpk2sigAgyGdAWsWlYiDFbTNLIqE2YKGVdj3JaCBtkOat+GMAbVCZwGtuTR2xUd6vsdNxVM9EnkklDTBrzB6uhxlcZSJeFykk2kssr25bT1NYLWoJMdaDGaFzqYJpBbFRvrW7cFPE1gtKgmXZRwWg1mhs2kCqUWxkf7O/H4Ly7tbWdxcajFDHy61+PdXtCKLmxlc0BkINAM49lMI9ks69vWHqlmHbTGVBhAyV3QyrcjiZgZDOgNeWawOVtAcspiCuV41TlSZ53oUSVnpSJRZFenKZPzK5P3Tic7iabY393mlCWiro3kbzhhQK3QWyJpLYld8pOd6pyxVlZm3FXkmImGEUlTKkXmJ02Q0yeS0SOTeTJMUVoNKw+UYh8VgVuhqmqSQGhQb6dvXmp7CalBpuBzjsBjMCp1NE0gNio307cueUlgNKg2XY1wPFsgKnU0TSA2KjXTHJ7WmaXNpxQx5+Ji/bosJAAYXdAYCzQCO/RSC/ZKOff1hapbpW0ylAYTMFZ1MG1kTgMGQzoA1a0qzgxW0zayJhPn2BTDYFjz7TGOMAbVCZwGsuQR2xUf69iXXKazmZIcSZzGYFTqbJpCaExvpznVOcynFDHmolKKTbleHAQwu6AyYdU4z9ks69vWHqTmwbjGVBhAyV3QyreicZgZDOgNenZMfrKA5dA4F8+0LYLAyZxqq+DmMAbVCZwEMUuZkI30LV4dhW+7S8M1n9IXSrqZJc+nrio/0LVwdhtWa0lDZxWkxmBU6myaQWhMb6duXXGewWlMWvvmMvlDa0TTJILUmNtJdZ01ZcwnFDHnwFrM0XmffatYEYHBBZyDQDODYTyHYL+nY1x+mZpm+xVQaQMhc0cm0kTUBGAzpDFizpiw5WEHbzJpImG9fAIOVN7NQpc9hDKgVOgtgkPImG+nbl1xnsC12WbCi4rIYzAqdTZPm0tcVH+nOdU5zCcUMuQiyT9bZt6tzmhlc0Bkw65xm7Jd07OsPU3Ng3WIqDSBkruhkWtE5zQyGdAa8OsduqVtAc+gcCubbF8Bg5U27Ax5jDKgVOgtgkPImG+lbKIdhW+qyYEXFZTGYFTqbJs2lrys+0p3rnOYSihnyYAklTdfZt6tzmhlc0Bkw65xm7Jd07OsPU3Ng3WIqDSBkruhkWtE5zQyGdAa8Oqc4WEFz6BwK5tsXwGDlzSxY6ds0BtQKnQUwSHmTjfQtlMOw8mYWrPS5LAazQmfTBFLeZCO92BNuvXine8JFc/XuNfOmgBWU7LZ+BWBwQWfAq3cA2C/p2NcfquYAu8VUGkDIXNHJtKF3AAyGdAasekfEBytom3qHhNmCzlIpKlFNonJkD0IpUx2V4zSLdJFWk0JWo1RUT/YlkAnYLk4R3NC4aQyoFboKZKK56nrFR3qud6rRpJxmOpLC9vQUahqVub00N6nUOKnKcSb356gkAStzilDFz2kxmBU6myaQMicb6eURkcliHlgDdCt8mst5Zg6EynlKpuvmaFf4NDO4oDNgFj7N2C/p2NefruZIu8VUGkDIXNHJtCJ8mhkM6Qx4hY/d1il82zpJmOuFnsw2MOssUrEYR0LmZVTGJhhmVRprUY2zYqqf7E1Eg23rFAJnDKgVOotozWXYKz7S9TTR00Ql00xEWhUiEpPSns8fT6KxFOPRxATDeLpHwgdW9xQSazGYFTqbJpC6JxvpepqkI1llsbCHjU6rSOgkjnQpqyiuRuYbSoqs2KM0Clb3FDnWYjArdDZNIHVPNtL1NFG5SkfFuIiqrIgjkU+mkR6JKsp0FuupLstsovZnmsD22IlQqcVpMZgVOpsmzTWxKz7SXZfHRXNtxQx5uLaSrbNvN2tqZnBBZyDQDODYTyHYL+nY1x+mZpm+xVQaQMhc0cm0kjU1MxjSGfBmTfYIUeE7QpSE+fYFMFjdU4RLgBvGgFqhswAGqXuykb59cljCtnXK4A5Hl8VgVuhqmsjmWtgVH+nbl1xLWPFJhneSOSwGs0Jn0wRSfGIjffuW6iSs+CRDdRinxWBW6GyaQIpPbKS7zppk8/K6GfLw1rGNO65bzZoADC7oDASaARz7KQT7JR37+sPULNO3mEoDCJkrOpk2siYAgyGdAWvWJG2tSfpqTSTMty+AwWpNUuCMAbVCZwEMUmtiI30L5TCs1iQl1mIwK3Q2TSC1JjbStzC5htWaZKjs4rQYzAqdTRNIrYmN9O1bqpOwWpMMb+txWAxmhc6mCaTWxEa686ypeXndDHl4qVqus283a2pmcEFnINAM4NhPIdgv6djXH6Zmmb7FVBpAyFzRybSSNTUzGNIZ8GZNttYkfbUmEuY6awLtx9uXAAarNclw2WXDGFArdBbAILUmNtK3Tw7nsFpTHi67OCwGs0JX0ySH1JrYSN++5DqH1ZrycNnFYTGYFTqbJpBaExvp27dUl8NqTXm47OLyvyArdDZNILUmNtKrjU6LYbcfOt3olDevt5s5EN4n0W3xCcDggs5AoBnAsZ9CsF/Ssa8/Xc26fYupNICQuaKTaSONAjAY0hmwplG5LT7lvuITCbMFXcXSCCM1ifJ8NIlEKfNIF7mMRjoVEzGKK1XtTxqVw4pPucAZA2qFziIapPjERno+TbKqNDIpjrIkN+81fzLS8aQyKVeqx3KksrjI92eawIpPuURbDGSFzqYJpPjERvr2LcrksOJTnmMtBrNCZ9MEUnxiI911VSFvrqmYIQ/XVPJ19u3K4WYGF3QGAs0Ajv0Ugv2Sjn39YWrWX1tMpQGEzBWdTCtyuJnBkM6AVw7bAx4X0BxymIL51pXFc9gBj3m4xLJhDKgVOgtgzbWwKz7St1AOw4pPebgO47AYzAqdTRNI8YmN9O1LrgtY8akI12FcFgNZoatpUkCKT2yk6+Ximvr6PFg3xbcmo2+//o03GCwxOH/4FUMxPTQv0r4o86IS+yLsizYv2n6mzWdZLOyL/SwRPmuFD5uDd1KAOMNljyU6tESHlujQEh1aokNLdGiJDi3RoSU6tESHlujQR3RIJ7oujUBEwerI8jQiyBC1r7J+VfbVcLWvon7V9lXXn2v7uSVsX+vPPZTtX6JwrqXVnLP59W4LIkVzfch4uVB9SMnCO7JtZIAABhd0BgLNAI79FIL9ko5dYrDTPeYqdjSTuaKTaSMDBDAY0hmwZoBFerCC5nBTFMwWtDQ+LIun4ygeT2QkUp1G1cgkBGqqJtU4V5NRuZhl+6DZYHfxFeHq0IYxoFboTLM1l/Gu+EjPpb2o4jSJy0iVU2GyRZFHVVLqaDoq81GSibgoy/2ZJrC6WSGwFoNZobNpAqmbsZHueqW7aC4HmSGXAfY67VjnNDO4oDNg1jnN2C/p2NcfpubAusVUGkDIXNHJtKJzmhkM6Qx4dY48WEFz6BwK5tunc2ClWrvyhjEG1AqdBTBIqZaN9O2r6BewfYJFuDrksBjMCp1Nk+Yy3hUf6c51TnM5yAx5uByk1tm3q3OaGVzQGTDrnGbsl3Ts6w9Tc2DdYioNIGSu6GRa0TnNDIZ0Brw6x+4TLHz7BEmYb18Ag5Vqi3DVcsMYUCt0FsAgpVo20rdPDitYqVaFq5YOi8Gs0NU0UZBSLRvp78yvbLSCoNP6lWreBmeGPlyl61bvABhc0Bnw6h0A9ks69vWHqjnAbjGVBhAyV3QybegdAIMhnQGr3lHJwQrapt4hYbagjefKJvHYRDmpqkjk41FUTvQk0qKsxGQqp8koebI3gSyFBbJwMc/h02FW6CyQNVddr/hI3z5ZrGBlThWu+NEVYlfTBFLmZCO93Mms58Q779tRzdU8MwVEyBp5vG6NdnVPM4MLOgNm3dOM/ZKOff3hag60W0ylAYTMFZ1MK7qnmcGQzoBX94iDFTSH7qFgrgOaGBfFaJJFlXmfCX4yjcpsYs99KcdJlZdjJUdP9iagwXaoKokzBtQKnQW05irsFR/puTxOdZamSRWNdTaKhEhFpNI4jiZJpXVVJHkxyfZnmsDKnirHWgxmhc6mCaTsyUZ63t6lx7IUmYrSMtFmSqlpVMkyjVQu1HicjMf1wXX7Mk1gZU8VqgA6LQazQmfTBFL2ZCNdT5MyT+MyzqZRMS2tlE6SqJxOJ5GQ43RaTuKRnFb7M01g2wVVqNLitBjMCp1Nk+aS2BUf6a6r46q5tGKGPFxa0evs282amhlc0BkINAM49lMI9ks69vWHqVmmbzGVBhAyV3QyrWRNzQyGdAa8WZM+WEFzZE0UzLcugGlY2VOHK4AbxoBaoasApiFlTzbSt08Oa9jxqDp8UqjDYjArdDZNmkthV3ykb19yrWG1Jx0qwzgtBrNCZ9MEUntiI337luo0rPakw7d/OSwGs0Jn0wRSe2Ij3XXWpJuX182QixD7rNtaE4DBBZ2BQDOAYz+FYL+kY19/mJpl+hZTaQAhc0Un00bWBGAwpDNgzZq0rTUtoG1mTSTMty+AwWpNWuKMAbVCZwEMUmtiI30L5TCs1qRDZRenxWBW6GyaQGpNbKRvYXINqzXpUNnFaTGYFTqbJpBaExvpepoU8TQdS1FFZSVlJLJKGB+UxVEpp2qq5KSI9R5NE1itSQd39bgsBrNCZ9MEUmtiI9151tS8vG6GPLhUnSXr7NvNmpoZXNAZCDQDOPZTCPZLOvb1h6lZpm8xlQYQMld0Mq1kTc0MhnQGvFmTrTUtoDmyJgrm21ZrymJQrcm8DWcMqBU6CmCGT+OsveIjfevkcBaDak3mbViLwazQ2TQB1Jr4SN+65DqLQbUm8zasxWBW6GyaAGpNfKRv3VJdFoNqTeZtWIvBrNDZNAHUmvhId5w1ZXHz8roZchFkn66zbzNrgjC4oDMQaAZw7KcQ7Jd07OsPU7NM32IqDSBkruhkWsiaIAyGdAacWZNBdbCCtpE10TDfvgAGqjWZt+GMAbVCZwEMUGviI30L5TCo1mTehrUYzAqdTRNArYmP9C1MrkG1JvM2rMVgVuhsmgBqTXyk62mSxHGW6jyL8ngkIjOjppHSxThSyvwgGeVlpfP9mSagWpN5G9ZiMCt0Nk0AtSY+0p1nTc3L62bIw0vV2Tr7drOmZgYXdAYCzQCO/RSC/ZKOff1hapbpW0ylAYTMFZ1MK1lTM4MhnQFv1qQPVtAcWRMF862rNSWwWlMSLrtsGANqha4CWAKpNbGRvn1yOIHVmpJw2cVhMZgVOpsmkFoTG+l6mkylGJWFMClVNS4jUZRFVMaVjCoh1TQdTWKdTfdnmsBqTUm47OKwGMwKnU0TSK2JjfTtW6pLYLWmJFx2cVgMZoXOpgmk1sRG+jvzM4TtoHd5ll6WNC+zm6EXASuovNNOPQiDCzoDgWYAx34KwX5Jx77+UDXL9S2m0gBC5opOpo3sCcBgSGfAmj0ltua0gLaZPZEw375ABqs5JRJnDKgVOgtkkJoTG+lbmD3Bak5JjrUYzAqdTRNIzYmN9KKYkMnRZKqiaZXY3QvjLCqFklGcxrKsxtNxvE/eBFZzSkLlF6fFYFbobJpAak5spG9fBTuB1ZyS8LFy9N7GrqYJpObERtpmT/VU2ZgH66b41mT07de/8QaDJQbnD79ylaXxoXkR9qUwL1nsM0Vo/Vrl6bopvLoXRAgufS2LoWUxtCyGlsXQx2JIZ7GufUEswPLXkjAq17Cwr6J+Leyrh4hVxBQmdQxbTLQnHSfuafOa+WvmTUGWwjtebSTuAAYXdAYCzQCO/RSC/ZKOXWKw0z3Y0pcDyFzRybSRuAMYDOkMWBP3ND5YQdt0UyTMdUYWS53EahLl+WgSiVLmkS5yGY10KiZiFFeqWtDaAw2VwupZafAmpE1jQK3QlYZKIfUsNtL1NElHsspioSI1ntrUPokjXcoqiquR+YaSIiv2pzqewupZaai047QYzAqdTRNIPYuN9HwZEHRR0L5ME1g9Kw2VdpwWg1mhs2kCqWexkf7O4o6oxah3fUeUyQIarWGmgAhaI1+3RrvyuJnBBZ2BQDOAYz+FYL+kY19/uJr12BZTaQAhc0Un04o8bmYwpDPglce2rrWA5pDHFMz1EqOcjHWsdFRN7Dk61cSGwSqL4mmq8jIdV9X+XPKcpbC6ln0uMMaAWqGzgAapa7GRvoW6B1bXSsMlHofFYFbobJpA6lpspLve/ZA2l2vMkIfKNTrreBmwmcEFnQGzzmnGfknHvv4wNQfWLabSAELmik6mFZ3TzGBIZ8Crc4qDFTSHzqFgvn0BDFZKTcM72eg5rOuZayS/g+cOUkplI30L5bCGTZNQhc9pMZgVOpsmzVu7rvhIL9d3Ft6i8/WdrLni85p5U8AaKt+4Eb1V3QNgcEFnwKt7ANgv6djXH67mQLvFVBpAyFzRybShewAMhnQGrLons+XPzFf+JGG2oFU2nkoh00ipMo9EOkoiJUQVjfOqGk2TsYl9i0aOPQhoGaz8mYUrgRvGgFqhq4CWQcqfbKTraTKZluM0K6fRtKrGkcjSNCqTqojiUabVKBWTLMv3Z5rAyp9ZuBLosBjMCp1NE0j5k4307cuiMlj5MwtXAh0Wg1mhs2kCKX+yka6niZTJqJJiHJViat47EaOoUiMVyclET8oyVSrdo6AjYNNEYC0Gs0Jn06S5FHbFR3ret2y5d964nOWHV1kufRaQQQvAL28G0YAr3nm7ssE+9GEf0rGvC10QdrDWXTQpG+zm1QPe/pyC3sLfcC2tzyjbAC8y+2LnltDmRdovpf1Bbhvl88w33/IQ6yLueL7ZpnjDbGiZDS2zoWU2tMyGltnQx2xIZ9bObKzb5A01+1rPTEPOvMr6O7L+aV631XsI1jOawLCOl4uJ+qTrtaTmsoEJhKEleFWk3nFsZS2pmcEFnYFAM4BjP4Vgv6RjlxjsdA+4khfNZK7oZFpZS2pmMKQz4F1LsjW0zFdDI2G2oPU0Uck0E5FWhTDarkyjKo4n0djovdGkUNN4Gj/ZG1kPq6FlwZ15m8aAWqEzWQ+pobGRnrfST8uslGocqThTkahGeVTlozIayWlSlWmqqnK8P9MEVkPLQuUkp8VgVuhsmkBqaGyk56XWUTYZl+k0KnVaRKLM80iJtIomaakqGce6HO3PIoGAnUcogsv0LovBrNDVNBHN9ZQrPtL1NCmUGE8rqSKdVtp4HplFSo9G0biaTs3fUaMq35+gI2AFDBFcy3dZDGaFzqYJpIDBRvr2nc8jYAUMEVzLd1kMZoXOpgmkgMFGetm4scgdOm/cEM3r9GYKBNfpi24bVgEMLugMBJoBHPspBPslHfv6w9Wc3W0xlQYQMld0Mm0k2wAGQzoD1mRbZAcraJvJNglzLY9B7Wj7EtBgNTQhcMaAWqGzgAapobGRnvf35CodFeMiqrIiNsFvMo30SFRRprNYT3VpIuH+HDgnYPu3hMRaDGaFzqYJZP8WG+muN+aI5m1JZshDpROdyXX27eqcZgYXdAbMOqcZ+yUd+/rD1BxYt5hKAwiZKzqZVnROM4MhnQGvzskPVtAcOoeC+fYFMNhRmCJUYXEYA2qFzgJYcynsio90PU3GhZxKrctIFkKb1D6TkdLTIpqU5q1CSanF/hyFKWC1JxHeyuSwGMwKnU0TSO2JjfR35hcJ2HDa7bpOc2nFDH24tNKx3mlmcEFnwKx3mrFf0rGvP1TNAXaLqTSAkLmik2lF7zQzGNIZ8Oodew3bAppD71Aw37p1HQkre8pwBdDh02FW6CqQSUjZk410PU2EiqdGDOWRCXBZJIpJEpWjLI4yEY+LdDKNRbY/ZU8JK3vKcAXQYTGYFTqbJpCyJxvp27chR8LKnjJcAXRYDGaFzqYJpOzJRrrr5T/ZXNkxQx6qkuis2/MHAQwu6AwEmgEc+ykE+yUd+/rD1Ky/tphKAwiZKzqZNuQwgMGQzoBVDktb5pS+MicJ8+0LYLAypxQ4Y0Ct0FkAg5Q52UjfQjkMK3NKibUYzAqdTRNImZON9C1MrmHHVMpwZYV+sGdX06S5BHbFR3qxSmyDfaerxLK5pGKGPlRSUUXHsriZwQWdgUAzgGM/hWC/pGNff6iaddgWU2kAIXNFJ9OKLG5mMKQz4JXFdqvdAppDFlMwW9BZKkVlnJgJdTbolamO7CktkS7SalLIapSK6sneBDJYuVOGd505fDrMCp0FMki5k410PU2qajQpp5mOpBAjo43UNCrz2IS/pFLjpCrH9Sr1vkwT2FY7Ga6sOCwGs0Jn06S5BHbFR7rr5b+8uZTyWpaHSik6K9bZt6pzAAwu6Ax4dQ4A+yUd+/rD1BxYt5hKAwiZKzqZNnQOgMGQzoBV5+T2eMrcdzwlCfOtC2A5rMyZhyp+DmNArdBVAMshZU420rdPDuewMmceqvg5LQazQmfTBFLmZCP9nT07ljtvrvSYKRDeHNbtsdwABhd0Bsy6pxn7JR37+sPVHGi3mEoDCJkrOplWdE8zgyGdAa/usWXP3Ff2JGG2oFVVqpGaTKNiXBZ2p7rxb7YJflroRBcqHqVq8YTsQ0CDlT1zgTMG1AqdBTRI2ZON9PyEVEt9fR6smwJ0HiLJEvPjLPP6gFR7iGWR2hdpX5R5UYl9EfbFHmypY5+NZNBGHZ+hmtdnqNqTLA29oaU3tPSGlt7Q0htaekMfvSGd3rrjAtED+67FwZb5/JjV+jBLQ9C+yvpV2VfD0b6K+rU+5NJDsz6qlcCzVu+Lifuka03WXHk0XiwPsTT28o1mK5qsmcEFnYFAM4BjP4Vgv6RjlxjsdI+4ig3NZK7oZFrRZM0MhnQGvJrM7kRdQHO4KQpmC9qEYj1WaRVJaU8PqnJ7iPkkj4xjTFI5yvRU7U8rWg7biZoHC5CbxoBaoTNN1lwpvuIjffs6FnNYaTYPVildFoNZobNpAinNspHuvObWXHE0Qx6qOOqs47WnZgYXdAbMOqcZ+yUd+/rD1BxYt5hKAwiZKzqZVnROM4MhnQGvzrE7UBfQHDqHgvnWBbACtgO1CBcg6fcZuZ65RvLbP3dFc6X4io/0/LR3JRM9mhaRPbk5EpORjMq4lFEyVdNCTJNRUY72Z5rASrNFuErpsBjMCp1NE0hplo101zqnaK44miEPVxz9q3Nt6BwAgws6A16dA8B+Sce+/jA1B9YtptIAQuaKTqYNnQNgMKQzYNU5RXqwgrapc0iYLWipVTaVQkUjNUnsjpAsUuW4ipSspmI6rlQ52iOdA7ussgjvs9wwBtQKnQWw5srwFR/pWyiHYaXYQmAtBrNCZ9MEUoplI925zmneWGmGXIbYi3idfbs6p5nBBZ0Bs85pxn5Jx77+MDUH1i2m0gBC5opOphWd08xgSGfAq3PkwQqaQ+dQMN++AAbb9FzkOGNArdBZAGuutl7xkb6FchhW3ixClT6nxWBW6GyaQMqbbKQ71znNVTsz5MHzY0W3/TkABhd0Bsw6pxn7JR37+sPUHFi3mEoDCJkrOplWdE4zgyGdAa/OUQcraA6dQ8F8+woSsM3ORbCIt2kMqBU6C2DN1dYrPtK3Tw4rWHlTBSt9LovBrNDVNFGQ8iYb6a51jmqu2pkhD1btRLrOvlWdA2BwQWfAq3MA2C/p2NcfpubAusVUGkDIXNHJtKFzAAyGdAasOkclBytomzqHhPn2BbAUFsCCRbxNY0Ct0FkAa662XvGRvn1yWMHKmypY6XNZDGaFzqYJpLzJRrpzndNctTNDLoLss3X27eqcZgYXdAbMOqcZ+yUd+/rD1BxYt5hKAwiZKzqZVnROM4MhnQGvzhEHK2gOnUPBXBcklJRZPB1H8XgiI5HqNKpGRRypqZpU41xNRnt0WK+CnemsJM4YUCt0FsCaq61XfKRvoRyGlTdVjrUYzAqdTRNIeZONdOc6p7lqZ4Y8XLXzX17fis5pZnBBZ8Csc5qxX9Kxrz9MzYF1i6k0gJC5opNpRec0MxjSGfDqHHuW8wKaQ+dQMN++AAbbMKzCRTzHbfUwK3QWwJqrrVd8pG+hHIaVN1W40uewGMwKnU0TSHmTjXTXOkc3V+1eM28Ksu/2ZmMAgws6A16dA8B+Sce+/jA1B9YtptIAQuaKTqYNnQNgMKQzYNU52p7lrH1nOZMw37oApmEbhnW4iOe4lhNmha4CmG6utl7xkb59cljDyps6XOmj397a1TSBlDfZSM+PvrTcxfpEWLcF6MhEkinmZ19qe7qlzg+vRJKYl9R+lirzksX2JbUvmX0R9kXaF/uWrLAv9fu0eZFeEwbPj1Xpugm9EQ5kB3iQm5+Mqe3Zl4b80JIfWvJDS35oyQ8t+aElP7Tkh5b80JIfWvJDS35oyQ995Id08uvBEUQeHB8X52bq+kxMbU/PtPTNa1p/ntpzM60F7Gtav2b1q6hfZf1avzMr6tf5++35mz5T2H+HYgtrjGTxYDzp+GxN3VzeMm5SBFl2uwYKYHBBZyDQDODYTyHYL+nYJQY73eOugk8zmSs6mVZyg2YGQzoD3tzA1noX0BxuioLZgi5GIsmSOIniVJeRkEpE5WhSRLkux3EyHVdluUeiD1br1RJnDKgVOhN9kFovG+nvzC9mtZ6+20DWXMo0Q58HrdDxIlczgws6A+ZA1oz9ko59/aFq9pxbTKUBhMwVnUwrgayZwZDOgDeQ2UOiF9AcgYyCuc5IMzWNs0oZbyZkJAqRR+U0qyItxtoo/jyusurJ3gQy2C5qHapsOowBtUJngay5BH3FR3renF1Oy6Icj6I0j0UkqqmKVJJmUZZqkYrcRMEi3Z9pAqv56vB5yQ6LwazQ2TSB1HzZSM9lcaVzGWeTSCqlzXuViqpimpsv41FZlnmelpP9mSawmq8OlT+dFoNZobNpAqn5spGeB518NBJlpSOZxXkkRBVHVZyOoyIblakYj4TM9yboiBi0pdW8DWsxmBU6miaGT/M04SNdT5OxkTWjTGSRiCejSGTxJKpymUSjqZqoMomnqT0ibV+mCagAZ96GtRjMCp1NE0ABjo90PU0yUYnJeGQ8T2ynVJ7kUTVJp5Eei6KwcyrW5f5ME1ABzrwNazGYFTqbJoACHB/puTeZCKGSOI7KOJtGIp1WUaXjLJqWyThWQk4ysUfTBLS/0LwNazGYFTqbJoD9hXyk62kST6qiGk3TqBwlyuiY8SRSkyyPstGoEqOxUTdxtj/TBHR8qnkb1mIwK3Q2TZrrEVd8pOfepCqKXMcqKovJOBKT6SQqk0kcJWIUj7OqHE+T6f5ME1ABwLwNazGYFf7/1V1Nb+M4Ev0rA58WcASIEqmPuQ7Qc9o9dDKrD+QiWVK3MY7dcNzTuw3sf19SdntmHIksVlyilIMSKJL93nPpUaoq0s7CBFAAoCPdh0nbhVHURLXHmAopFm1kcG1Ef0fTyn1tEszITUCTveRhtorBVHAWJuakcEFH+txq2NYBi0XsJY265226xqvaLpVP0FWc1G3bpqyZT5iAsrDyMFvFYCo4CxNAFpaO9OJaDbkPysLKw2wVg6ngLEwAWVg60udBJ/KbKmShJwIuH57lnZB8ePZT5TxCGg+La5Xem0uYgLKw8jBbxWAqOAsTQBaWjvT5FpY1jDVCWo3oVMZ243tJylVw+Szy/aDuZuQmDJaFZdYJSZgKrsKEQbKwZKQdT9DizJxclB+5vrs/umU/Ze8KhEGGZ8CtGcCxf4Rgz/HYby8mc7PEO0LpEUKmwJOJrMnYhtIThEGJZ0DZuyJRra/QbiD33egIzMsbwGCJf6bLgQ+IAVXB2QAGSfyTkV7eUxODJf6Zfo29AcVgKjgLE0jin4z08nIwDJb4Z9xWMZgKzsIEkvgnI728jC6DJf6ZsFUMpoKzMIEk/slIL68+xGCJf6bLgQ8P0yAVnIUJJPFPRvo83bFKm2ATMU+GjqpMh8KrWZp4bRr7rKmbWPB2PmECS/wzXQ58UDGYCs7CBJL4JyO9vKYEBkv8M/3qUwOKwVRwFiaQxD8Z6T5MgqSpRCiHJT+WccWZX3l1IuQJSec3iV/JUWo+iX8GS/wzXQ58UDGYCs7CBJL4JyO9vE64AJb4D/Sr/AwN0yAVXIVJAEn8k5FeXvt1AGu/DixzjVAVnIWJOSlc0JFe3mSOAJaFDawTkjAVnIUJJAtLRnpxU8PkzTgsTKwTkjAVnIUJJAtLRnpxE00lIFiYcFvFYCo4CxNIFpaM9OKmrfMAloVVH6WdYjAVnIUJJAtLRvqy/kr07Hb9FR6Yk4zyo9clGZNkvGw/RQ8LgEGGZ8CtGcCxf4Rgz/HYby8qc9PEO0LpEUKmwJOJrMnYhtIThEGJZ0DawxJE6yu0G8j9WooIzAp0F6aVSIPECxnrPMba1ktTOfw1LIpYtfHrOp1PZjeAFQACXS58QAyoCs4GMkgBgIy06ybMwJzXlh+5Pq8dj16zkwxgZgYZngHxAGbGnuOx315MZsd8Ryg9QsgUeDKTDGBmBiWeAe0Alqyv0AYGMAzm5Q1gsJpToC+/vBEDqoKzAQxScyIjfXkSkwHm9kksNJdU/i0P0qiQJG4HMgCDDM+AdiADYM/x2G8vKrNzviOUHiFkCjyZKQYyAIMSz4B0IAv99RXa24EMhbkvd4o25lGaelHXqGJG0nn1pku9gLWbpmlEl9Td81wGshBW7gz1Cy8NeDpMBVcDWQgpd5KRVgNZz/xMXH1VgYsBbeSj1lXvkiQdvVYnGbjM9ccMz4B44DJjz/HYby8is1PeK2QKPOhJBiiz7CWeAe0AFayv0AYGKAxmNzmgEafRF4CTUdEncRpzCTvDMyB2GjP2HI9d2GC/t9NgQU/iNGbZSzwDWqcJ11doA06DwTwrp+FaAo7vacxdEBmeAbHTmLHneOzCBvu9nQYLehKnMcte4hnQOg1fX6ENOA0G86ycRugICH9U9EmcxtxIk+EZEDuNGXuOxy5ssN/babCgJ3Eas+wlngGt04j1FdqA02Awz8ppIi0BNir6JE5j7s/J8AyIncaMPcdjFzbY7+00WNCTOI1Z9hLPgNZpVEvXBdqA02Awz8pptFOSRTAq+iROY+6pyvAMiJ3GjD3HYxc22O/tNFjQkziNWfYSz4DWaeL1FdqA02Awz8pptM1DIhwVfRKnMbdsZXgGxE5jxp7jsQsb7Pd2GizoSZzGLHuJZ0DrNKrLLxzr8kNhvlS9L5GufMZF1fvPNi5zM5t0JF0zW5I6fsoyM8jwDIgdyYw9x2MXNtjRjvRnO4mZTIEnM4lTmRmUeAa0TpWur9AGnAqDWYFmwUZ0lUg83onK43FYeRWLhJfyOA3qpqmaJj3TGnewl2qiNi4OW9yEa3va3ooBVWHwmjOSf/91x83NhwUd6eVNIOawbj+ubXwbUgymgrMwgXT7kZFe3opaPICFSWCrGEwFZ2Fi7hQr6Egvb0UtDlvchOu6RwYVg6ngLEzMbT4FHenlLePIYYubcG6rGEwFZ2Fi7tEo6Egvbw0cDlvchAtbxWAqOAsTc4G9oCO9vLWDOWyJaR7ZKgZTwVmYmKujBR3p5a1EzmErTHBdxWR4mAap4CxMzKWtgo708tbn47Alprn2axaHFIOp4CxMzHWJgo708r7+gsOm+3PLXCNUBWdhYk4KF3Sk+zCp601bdWHqCa6+hzJOOq+KfHksq5OGSecJhT+bMBGwLKywTkjCVHAVJgKShSUjfb43AX2N11zCBJaFFdYJSZgKzsIEkoUlI31ZPIQ/O646C3OSUX70+iRjcKvCpFVnAIMMz4BbM4Bj/wjBnuOx315U5jLnO0LpEUKmwJOJrMnYhtIThEGJZ0BadRZqbvYF2tuqMwqzAi2SNt4kkbSvOK7lpk69NBGd51ciSOow6OJk8zybgQxWABD6XPgbMaAqOBvIIAUAMtJ9G1Wf3X1TMLzV4rXdnLaHPYEUj7/98x+So3iQm0htYrVJ1CYdE4RrBYE36oFYwb1IUSkVlVJRKRWVUlEpx6iUeCq3jgSiAjYlxUR5j3hQ26jfxv026bfDdNR/MHz6zPEl8J7d3FSN2I3QsnnzLfbT3jyZ0/0ZngHxzZMZe47HLmywo51rxJuwoCe5STLLXuIZ0N4kqSmYF2gDtoPBPKfpCiLSEEgFHxV9EqcxV4wyPANipzFjz/HYhQ32ezsNFvQkTmOWvcQzoHUaNQXzAm3AaTCYZ+U0+pldju9pzEXHDM+A2GnM2HM8dmGD/d5OgwU9idOYZS/xDGidRk3BvEAbcBoM5r8vBzqzpyl9FdjtOtbCXMfO8AyInceMPcdjFzbY7+08WNCTOI9Z9hLPgNZ51JRMMTYlE4X54jyXaJnXQsRC31jgdtE+YW6NyPAMiJ3HjD3HYxc22O/tPFjQkziPWfYSz4DWedQUywu0AefBYO6rGJef1cNfXnX18+oDk3v+9nLnkx7+8jo/9rye/rtrXyX3VXfYn9TvzWF3OKo/quOnWr3ah+CD4Em8+t/Dal+9qDd42r60rz/9q/3208fDS7WX7/a6/S7/wYKH1dd90x532706bn+Qv+Rp1W77aa8iU73s58Nx+12+V7WTR+za7iRP/6M9nrabfs9GHtYe5b5vx+rLU/sfec7p+LWVr1JLiu2xx1ofTqfDy/kvtfNRsfjxhg8DFPz+ZyWfSVfNtvp02Kv3wpzdA0adedx++ow89XT4gjlRntltdz1R9VtFqDzg9bCTH7+KheaX0XNVYFTH09sDfsSCCoavL3V7/HA4yjA7B5D665dDo97l13bfHqXI8rgvx8PpXKhRR+0Om99bGX4/drcKy/mykju3+8/Sy04K/P8BcAuFVg=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</si>
  <si>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</si>
  <si>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</si>
  <si>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</si>
  <si>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</si>
  <si>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</si>
  <si>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</si>
  <si>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</si>
  <si>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</si>
  <si>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</si>
  <si>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</si>
  <si>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</si>
  <si>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</si>
  <si>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</si>
  <si>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</si>
  <si>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</si>
  <si>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</si>
  <si>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</si>
  <si>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</si>
  <si>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</si>
  <si>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</si>
  <si>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</si>
  <si>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</si>
  <si>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</si>
  <si>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</si>
  <si>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</si>
  <si>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</si>
  <si>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</si>
  <si>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</si>
  <si>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</si>
  <si>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</si>
  <si>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</si>
  <si>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</si>
  <si>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</si>
  <si>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</si>
  <si>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</si>
  <si>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</si>
  <si>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</si>
  <si>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</si>
  <si>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</si>
  <si>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</si>
  <si>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</si>
  <si>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</si>
  <si>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</si>
  <si>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</si>
  <si>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</si>
  <si>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</si>
  <si>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</si>
  <si>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</si>
  <si>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</si>
  <si>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</si>
  <si>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</si>
  <si>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</si>
  <si>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СУММА ЗАКРЫТИЯ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</si>
</sst>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3" x14ac:knownFonts="1">
    <font>
      <sz val="11"/>
      <color rgb="FF000000"/>
      <name val="Calibri"/>
    </font>
    <font>
      <b/>
      <sz val="11"/>
      <color rgb="FFFFFFFF"/>
      <name val="Times New Roman"/>
    </font>
    <font>
      <sz val="12"/>
      <color rgb="FF2F5487"/>
      <name val="Times New Roman"/>
    </font>
    <font>
      <b/>
      <sz val="16"/>
      <color rgb="FF000000"/>
      <name val="Times New Roman"/>
    </font>
    <font>
      <sz val="12"/>
      <color rgb="FF000000"/>
      <name val="Times New Roman"/>
    </font>
    <font>
      <sz val="16"/>
      <color rgb="FF000000"/>
      <name val="Times New Roman"/>
    </font>
    <font>
      <b/>
      <sz val="16"/>
      <color rgb="FFFFFFFF"/>
      <name val="Times New Roman"/>
    </font>
    <font>
      <b/>
      <sz val="13"/>
      <color rgb="FF000000"/>
      <name val="Times New Roman"/>
    </font>
    <font>
      <b/>
      <sz val="18"/>
      <color rgb="FF000000"/>
      <name val="Times New Roman"/>
    </font>
    <font>
      <sz val="14"/>
      <color rgb="FF000000"/>
      <name val="Times New Roman"/>
    </font>
    <font>
      <i/>
      <sz val="14"/>
      <color rgb="FF000000"/>
      <name val="Times New Roman"/>
    </font>
    <font>
      <b/>
      <sz val="14"/>
      <color rgb="FFFF0000"/>
      <name val="Times New Roman"/>
    </font>
    <font>
      <sz val="14"/>
      <color rgb="FF800000"/>
      <name val="Times New Roman"/>
    </font>
    <font>
      <b/>
      <sz val="14"/>
      <color rgb="FF000000"/>
      <name val="Times New Roman"/>
    </font>
    <font>
      <b/>
      <sz val="14"/>
      <color rgb="FF800000"/>
      <name val="Times New Roman"/>
    </font>
    <font>
      <b/>
      <sz val="18"/>
      <color rgb="FFFF000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4" fontId="7" fillId="0" borderId="7" xfId="0" applyNumberFormat="1" applyFont="1" applyBorder="1" applyAlignment="1">
      <alignment horizontal="center" vertical="center"/>
    </xf>
    <xf numFmtId="0" fontId="0" fillId="4" borderId="2" xfId="0" applyFill="1" applyBorder="1"/>
    <xf numFmtId="4" fontId="7" fillId="4" borderId="7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0" fillId="5" borderId="2" xfId="0" applyFill="1" applyBorder="1"/>
    <xf numFmtId="4" fontId="7" fillId="5" borderId="7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4" fontId="9" fillId="3" borderId="7" xfId="0" applyNumberFormat="1" applyFont="1" applyFill="1" applyBorder="1" applyAlignment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Border="1" applyAlignment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6" borderId="7" xfId="0" applyFont="1" applyFill="1" applyBorder="1" applyAlignment="1">
      <alignment horizontal="right" vertical="center" wrapText="1"/>
    </xf>
    <xf numFmtId="164" fontId="11" fillId="0" borderId="7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10" fillId="5" borderId="7" xfId="0" applyFont="1" applyFill="1" applyBorder="1" applyAlignment="1">
      <alignment horizontal="right" vertical="center" wrapText="1"/>
    </xf>
    <xf numFmtId="0" fontId="9" fillId="5" borderId="7" xfId="0" applyFont="1" applyFill="1" applyBorder="1" applyAlignment="1">
      <alignment horizontal="center" vertical="center"/>
    </xf>
    <xf numFmtId="164" fontId="9" fillId="5" borderId="7" xfId="0" applyNumberFormat="1" applyFont="1" applyFill="1" applyBorder="1" applyAlignment="1">
      <alignment horizontal="center" vertical="center"/>
    </xf>
    <xf numFmtId="164" fontId="12" fillId="5" borderId="7" xfId="0" applyNumberFormat="1" applyFont="1" applyFill="1" applyBorder="1" applyAlignment="1">
      <alignment horizontal="center" vertical="center"/>
    </xf>
    <xf numFmtId="4" fontId="9" fillId="5" borderId="7" xfId="0" applyNumberFormat="1" applyFont="1" applyFill="1" applyBorder="1" applyAlignment="1">
      <alignment horizontal="center" vertical="center"/>
    </xf>
    <xf numFmtId="0" fontId="0" fillId="5" borderId="3" xfId="0" applyFill="1" applyBorder="1"/>
    <xf numFmtId="0" fontId="4" fillId="7" borderId="7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 wrapText="1"/>
    </xf>
    <xf numFmtId="0" fontId="9" fillId="7" borderId="7" xfId="0" applyFont="1" applyFill="1" applyBorder="1" applyAlignment="1">
      <alignment horizontal="center" vertical="center" wrapText="1"/>
    </xf>
    <xf numFmtId="164" fontId="9" fillId="7" borderId="7" xfId="0" applyNumberFormat="1" applyFont="1" applyFill="1" applyBorder="1" applyAlignment="1">
      <alignment horizontal="center" vertical="center" wrapText="1"/>
    </xf>
    <xf numFmtId="164" fontId="13" fillId="7" borderId="7" xfId="0" applyNumberFormat="1" applyFont="1" applyFill="1" applyBorder="1" applyAlignment="1">
      <alignment horizontal="center" vertical="center" wrapText="1"/>
    </xf>
    <xf numFmtId="4" fontId="9" fillId="7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164" fontId="9" fillId="8" borderId="7" xfId="0" applyNumberFormat="1" applyFont="1" applyFill="1" applyBorder="1" applyAlignment="1">
      <alignment horizontal="center" vertical="center" wrapText="1"/>
    </xf>
    <xf numFmtId="4" fontId="9" fillId="8" borderId="7" xfId="0" applyNumberFormat="1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center" vertical="center"/>
    </xf>
    <xf numFmtId="164" fontId="9" fillId="7" borderId="7" xfId="0" applyNumberFormat="1" applyFont="1" applyFill="1" applyBorder="1" applyAlignment="1">
      <alignment horizontal="center" vertical="center"/>
    </xf>
    <xf numFmtId="164" fontId="14" fillId="7" borderId="7" xfId="0" applyNumberFormat="1" applyFont="1" applyFill="1" applyBorder="1" applyAlignment="1">
      <alignment horizontal="center" vertical="center"/>
    </xf>
    <xf numFmtId="4" fontId="9" fillId="7" borderId="7" xfId="0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3" xfId="0" applyFill="1" applyBorder="1"/>
    <xf numFmtId="0" fontId="10" fillId="8" borderId="7" xfId="0" applyFont="1" applyFill="1" applyBorder="1" applyAlignment="1">
      <alignment horizontal="right" vertical="center" wrapText="1"/>
    </xf>
    <xf numFmtId="0" fontId="9" fillId="8" borderId="7" xfId="0" applyFont="1" applyFill="1" applyBorder="1" applyAlignment="1">
      <alignment horizontal="center" vertical="center"/>
    </xf>
    <xf numFmtId="164" fontId="9" fillId="8" borderId="7" xfId="0" applyNumberFormat="1" applyFont="1" applyFill="1" applyBorder="1" applyAlignment="1">
      <alignment horizontal="center" vertical="center"/>
    </xf>
    <xf numFmtId="164" fontId="12" fillId="8" borderId="7" xfId="0" applyNumberFormat="1" applyFont="1" applyFill="1" applyBorder="1" applyAlignment="1">
      <alignment horizontal="center" vertical="center"/>
    </xf>
    <xf numFmtId="4" fontId="9" fillId="8" borderId="7" xfId="0" applyNumberFormat="1" applyFont="1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164" fontId="13" fillId="7" borderId="7" xfId="0" applyNumberFormat="1" applyFont="1" applyFill="1" applyBorder="1" applyAlignment="1">
      <alignment horizontal="center" vertical="center"/>
    </xf>
    <xf numFmtId="0" fontId="0" fillId="3" borderId="0" xfId="0" applyFill="1"/>
    <xf numFmtId="0" fontId="13" fillId="3" borderId="7" xfId="0" applyFont="1" applyFill="1" applyBorder="1" applyAlignment="1">
      <alignment horizontal="right" vertical="center"/>
    </xf>
    <xf numFmtId="4" fontId="13" fillId="3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9" borderId="7" xfId="0" applyFont="1" applyFill="1" applyBorder="1" applyAlignment="1">
      <alignment horizontal="left" vertical="center"/>
    </xf>
    <xf numFmtId="0" fontId="9" fillId="9" borderId="7" xfId="0" applyFont="1" applyFill="1" applyBorder="1" applyAlignment="1">
      <alignment horizontal="left" vertical="center" wrapText="1"/>
    </xf>
    <xf numFmtId="0" fontId="9" fillId="9" borderId="7" xfId="0" applyFont="1" applyFill="1" applyBorder="1" applyAlignment="1">
      <alignment horizontal="center" vertical="center" wrapText="1"/>
    </xf>
    <xf numFmtId="164" fontId="9" fillId="9" borderId="7" xfId="0" applyNumberFormat="1" applyFont="1" applyFill="1" applyBorder="1" applyAlignment="1">
      <alignment horizontal="center" vertical="center" wrapText="1"/>
    </xf>
    <xf numFmtId="4" fontId="9" fillId="9" borderId="7" xfId="0" applyNumberFormat="1" applyFont="1" applyFill="1" applyBorder="1" applyAlignment="1">
      <alignment horizontal="center" vertical="center" wrapText="1"/>
    </xf>
    <xf numFmtId="4" fontId="9" fillId="10" borderId="7" xfId="0" applyNumberFormat="1" applyFont="1" applyFill="1" applyBorder="1" applyAlignment="1">
      <alignment horizontal="center" vertical="center" wrapText="1"/>
    </xf>
    <xf numFmtId="0" fontId="0" fillId="9" borderId="0" xfId="0" applyFill="1"/>
    <xf numFmtId="4" fontId="7" fillId="9" borderId="7" xfId="0" applyNumberFormat="1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left" vertical="center"/>
    </xf>
    <xf numFmtId="164" fontId="15" fillId="9" borderId="7" xfId="0" applyNumberFormat="1" applyFont="1" applyFill="1" applyBorder="1" applyAlignment="1">
      <alignment horizontal="center" vertical="center" wrapText="1"/>
    </xf>
    <xf numFmtId="164" fontId="16" fillId="9" borderId="7" xfId="0" applyNumberFormat="1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left" vertical="center"/>
    </xf>
    <xf numFmtId="0" fontId="9" fillId="11" borderId="7" xfId="0" applyFont="1" applyFill="1" applyBorder="1" applyAlignment="1">
      <alignment horizontal="left" vertical="center" wrapText="1"/>
    </xf>
    <xf numFmtId="9" fontId="16" fillId="11" borderId="7" xfId="0" applyNumberFormat="1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164" fontId="9" fillId="11" borderId="7" xfId="0" applyNumberFormat="1" applyFont="1" applyFill="1" applyBorder="1" applyAlignment="1">
      <alignment horizontal="center" vertical="center" wrapText="1"/>
    </xf>
    <xf numFmtId="164" fontId="15" fillId="11" borderId="7" xfId="0" applyNumberFormat="1" applyFont="1" applyFill="1" applyBorder="1" applyAlignment="1">
      <alignment horizontal="center" vertical="center" wrapText="1"/>
    </xf>
    <xf numFmtId="4" fontId="9" fillId="11" borderId="7" xfId="0" applyNumberFormat="1" applyFont="1" applyFill="1" applyBorder="1" applyAlignment="1">
      <alignment horizontal="center" vertical="center" wrapText="1"/>
    </xf>
    <xf numFmtId="4" fontId="9" fillId="12" borderId="7" xfId="0" applyNumberFormat="1" applyFont="1" applyFill="1" applyBorder="1" applyAlignment="1">
      <alignment horizontal="center" vertical="center" wrapText="1"/>
    </xf>
    <xf numFmtId="9" fontId="17" fillId="11" borderId="7" xfId="0" applyNumberFormat="1" applyFont="1" applyFill="1" applyBorder="1" applyAlignment="1">
      <alignment horizontal="center" vertical="center" wrapText="1"/>
    </xf>
    <xf numFmtId="9" fontId="15" fillId="11" borderId="7" xfId="0" applyNumberFormat="1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left" vertical="center"/>
    </xf>
    <xf numFmtId="0" fontId="19" fillId="11" borderId="7" xfId="0" applyFont="1" applyFill="1" applyBorder="1" applyAlignment="1">
      <alignment horizontal="left" vertical="center" wrapText="1"/>
    </xf>
    <xf numFmtId="0" fontId="19" fillId="11" borderId="7" xfId="0" applyFont="1" applyFill="1" applyBorder="1" applyAlignment="1">
      <alignment horizontal="center" vertical="center" wrapText="1"/>
    </xf>
    <xf numFmtId="164" fontId="19" fillId="11" borderId="7" xfId="0" applyNumberFormat="1" applyFont="1" applyFill="1" applyBorder="1" applyAlignment="1">
      <alignment horizontal="center" vertical="center" wrapText="1"/>
    </xf>
    <xf numFmtId="4" fontId="19" fillId="11" borderId="7" xfId="0" applyNumberFormat="1" applyFont="1" applyFill="1" applyBorder="1" applyAlignment="1">
      <alignment horizontal="center" vertical="center" wrapText="1"/>
    </xf>
    <xf numFmtId="4" fontId="19" fillId="12" borderId="7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center" vertical="center" wrapText="1"/>
    </xf>
    <xf numFmtId="164" fontId="9" fillId="0" borderId="7" xfId="0" applyNumberFormat="1" applyFont="1" applyFill="1" applyBorder="1" applyAlignment="1">
      <alignment horizontal="center" vertical="center" wrapText="1"/>
    </xf>
    <xf numFmtId="4" fontId="9" fillId="0" borderId="7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20" fillId="0" borderId="4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164" fontId="21" fillId="9" borderId="7" xfId="0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right" vertical="center" wrapText="1"/>
    </xf>
    <xf numFmtId="0" fontId="9" fillId="0" borderId="7" xfId="0" applyFont="1" applyFill="1" applyBorder="1" applyAlignment="1">
      <alignment horizontal="center" vertical="center"/>
    </xf>
    <xf numFmtId="164" fontId="9" fillId="0" borderId="7" xfId="0" applyNumberFormat="1" applyFont="1" applyFill="1" applyBorder="1" applyAlignment="1">
      <alignment horizontal="center" vertical="center"/>
    </xf>
    <xf numFmtId="164" fontId="15" fillId="0" borderId="7" xfId="0" applyNumberFormat="1" applyFont="1" applyFill="1" applyBorder="1" applyAlignment="1">
      <alignment horizontal="center" vertical="center"/>
    </xf>
    <xf numFmtId="164" fontId="12" fillId="0" borderId="7" xfId="0" applyNumberFormat="1" applyFont="1" applyFill="1" applyBorder="1" applyAlignment="1">
      <alignment horizontal="center" vertical="center"/>
    </xf>
    <xf numFmtId="4" fontId="9" fillId="0" borderId="7" xfId="0" applyNumberFormat="1" applyFont="1" applyFill="1" applyBorder="1" applyAlignment="1">
      <alignment horizontal="center" vertical="center"/>
    </xf>
    <xf numFmtId="0" fontId="0" fillId="0" borderId="0" xfId="0" applyFill="1"/>
    <xf numFmtId="0" fontId="22" fillId="11" borderId="7" xfId="0" applyFont="1" applyFill="1" applyBorder="1" applyAlignment="1">
      <alignment horizontal="left" vertical="center" wrapText="1"/>
    </xf>
    <xf numFmtId="0" fontId="22" fillId="11" borderId="7" xfId="0" applyFont="1" applyFill="1" applyBorder="1" applyAlignment="1">
      <alignment horizontal="center" vertical="center" wrapText="1"/>
    </xf>
    <xf numFmtId="164" fontId="21" fillId="11" borderId="7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0"/>
  <sheetViews>
    <sheetView zoomScale="85" workbookViewId="0">
      <pane xSplit="9" ySplit="7" topLeftCell="J8" activePane="bottomRight" state="frozen"/>
      <selection pane="topRight"/>
      <selection pane="bottomLeft"/>
      <selection pane="bottomRight" activeCell="AA470" sqref="AA470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103" t="s">
        <v>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</row>
    <row r="3" spans="1:35" ht="15" customHeight="1" x14ac:dyDescent="0.3">
      <c r="A3" s="104" t="s">
        <v>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</row>
    <row r="4" spans="1:35" ht="15" customHeight="1" x14ac:dyDescent="0.3">
      <c r="A4" s="105" t="s">
        <v>6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</row>
    <row r="5" spans="1:35" ht="40.799999999999997" customHeight="1" x14ac:dyDescent="0.3">
      <c r="A5" s="112" t="s">
        <v>22</v>
      </c>
      <c r="B5" s="112" t="s">
        <v>23</v>
      </c>
      <c r="C5" s="112" t="s">
        <v>24</v>
      </c>
      <c r="D5" s="112" t="s">
        <v>25</v>
      </c>
      <c r="E5" s="112" t="s">
        <v>26</v>
      </c>
      <c r="F5" s="112" t="s">
        <v>27</v>
      </c>
      <c r="G5" s="112" t="s">
        <v>28</v>
      </c>
      <c r="H5" s="112" t="s">
        <v>29</v>
      </c>
      <c r="I5" s="112" t="s">
        <v>30</v>
      </c>
      <c r="J5" s="106" t="s">
        <v>7</v>
      </c>
      <c r="K5" s="107"/>
      <c r="L5" s="107"/>
      <c r="M5" s="107"/>
      <c r="N5" s="107"/>
      <c r="O5" s="108"/>
      <c r="P5" s="109" t="s">
        <v>8</v>
      </c>
      <c r="Q5" s="110"/>
      <c r="R5" s="111"/>
      <c r="S5" s="109" t="s">
        <v>9</v>
      </c>
      <c r="T5" s="110"/>
      <c r="U5" s="111"/>
    </row>
    <row r="6" spans="1:35" ht="15.75" customHeight="1" x14ac:dyDescent="0.3">
      <c r="A6" s="113"/>
      <c r="B6" s="113"/>
      <c r="C6" s="113"/>
      <c r="D6" s="113"/>
      <c r="E6" s="113"/>
      <c r="F6" s="113"/>
      <c r="G6" s="113"/>
      <c r="H6" s="113"/>
      <c r="I6" s="113"/>
      <c r="J6" s="115" t="s">
        <v>31</v>
      </c>
      <c r="K6" s="116"/>
      <c r="L6" s="112" t="s">
        <v>31</v>
      </c>
      <c r="M6" s="115" t="s">
        <v>34</v>
      </c>
      <c r="N6" s="116"/>
      <c r="O6" s="112" t="s">
        <v>35</v>
      </c>
      <c r="P6" s="115" t="s">
        <v>31</v>
      </c>
      <c r="Q6" s="116"/>
      <c r="R6" s="112" t="s">
        <v>31</v>
      </c>
      <c r="S6" s="115" t="s">
        <v>34</v>
      </c>
      <c r="T6" s="116"/>
      <c r="U6" s="112" t="s">
        <v>35</v>
      </c>
    </row>
    <row r="7" spans="1:35" ht="31.2" customHeight="1" x14ac:dyDescent="0.3">
      <c r="A7" s="114"/>
      <c r="B7" s="114"/>
      <c r="C7" s="114"/>
      <c r="D7" s="114"/>
      <c r="E7" s="114"/>
      <c r="F7" s="114"/>
      <c r="G7" s="114"/>
      <c r="H7" s="114"/>
      <c r="I7" s="114"/>
      <c r="J7" s="5" t="s">
        <v>32</v>
      </c>
      <c r="K7" s="5" t="s">
        <v>33</v>
      </c>
      <c r="L7" s="114"/>
      <c r="M7" s="5" t="s">
        <v>32</v>
      </c>
      <c r="N7" s="5" t="s">
        <v>33</v>
      </c>
      <c r="O7" s="114"/>
      <c r="P7" s="5" t="s">
        <v>32</v>
      </c>
      <c r="Q7" s="5" t="s">
        <v>33</v>
      </c>
      <c r="R7" s="114"/>
      <c r="S7" s="5" t="s">
        <v>32</v>
      </c>
      <c r="T7" s="5" t="s">
        <v>33</v>
      </c>
      <c r="U7" s="114"/>
    </row>
    <row r="8" spans="1:35" ht="30" customHeight="1" x14ac:dyDescent="0.3">
      <c r="A8" s="117" t="s">
        <v>36</v>
      </c>
      <c r="B8" s="118"/>
      <c r="C8" s="118"/>
      <c r="D8" s="118"/>
      <c r="E8" s="118"/>
      <c r="F8" s="118"/>
      <c r="G8" s="118"/>
      <c r="H8" s="118"/>
      <c r="I8" s="119"/>
      <c r="J8" s="7"/>
      <c r="K8" s="7"/>
      <c r="L8" s="7"/>
      <c r="M8" s="8">
        <f>SUM(M9)</f>
        <v>24717198.979999997</v>
      </c>
      <c r="N8" s="8">
        <f>SUM(N9)</f>
        <v>57521292.340000004</v>
      </c>
      <c r="O8" s="8">
        <f>SUM(O9)</f>
        <v>82238491.320000008</v>
      </c>
      <c r="P8" s="7"/>
      <c r="Q8" s="7"/>
      <c r="R8" s="7"/>
      <c r="S8" s="8">
        <f>SUM(S9)</f>
        <v>41171956.260000005</v>
      </c>
      <c r="T8" s="8">
        <f>SUM(T9)</f>
        <v>58329554.729999989</v>
      </c>
      <c r="U8" s="8">
        <f>SUM(U9)</f>
        <v>99501510.99000001</v>
      </c>
      <c r="Y8" s="9">
        <f>SUM(Y9)</f>
        <v>34309963.629999995</v>
      </c>
      <c r="Z8" s="9">
        <f>SUM(Z9)</f>
        <v>48607962.300000012</v>
      </c>
      <c r="AA8" s="9">
        <f>SUM(AA9)</f>
        <v>82917925.929999992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120" t="s">
        <v>40</v>
      </c>
      <c r="D9" s="121"/>
      <c r="E9" s="121"/>
      <c r="F9" s="121"/>
      <c r="G9" s="121"/>
      <c r="H9" s="121"/>
      <c r="I9" s="122"/>
      <c r="M9" s="6">
        <f>SUM(M10,M21,M31)</f>
        <v>24717198.979999997</v>
      </c>
      <c r="N9" s="6">
        <f>SUM(N10,N21,N31)</f>
        <v>57521292.340000004</v>
      </c>
      <c r="O9" s="6">
        <f>SUM(O10,O21,O31)</f>
        <v>82238491.320000008</v>
      </c>
      <c r="S9" s="6">
        <f>SUM(S10,S21,S31)</f>
        <v>41171956.260000005</v>
      </c>
      <c r="T9" s="6">
        <f>SUM(T10,T21,T31)</f>
        <v>58329554.729999989</v>
      </c>
      <c r="U9" s="6">
        <f>SUM(U10,U21,U31)</f>
        <v>99501510.99000001</v>
      </c>
      <c r="Y9" s="9">
        <f>SUM(Y10,Y21,Y31)</f>
        <v>34309963.629999995</v>
      </c>
      <c r="Z9" s="9">
        <f>SUM(Z10,Z21,Z31)</f>
        <v>48607962.300000012</v>
      </c>
      <c r="AA9" s="9">
        <f>SUM(AA10,AA21,AA31)</f>
        <v>82917925.929999992</v>
      </c>
      <c r="AD9" s="4">
        <v>339118770</v>
      </c>
      <c r="AE9" s="4">
        <v>25887938</v>
      </c>
    </row>
    <row r="10" spans="1:35" ht="16.95" customHeight="1" x14ac:dyDescent="0.3">
      <c r="A10" s="11" t="s">
        <v>41</v>
      </c>
      <c r="B10" s="11" t="s">
        <v>42</v>
      </c>
      <c r="C10" s="123" t="s">
        <v>43</v>
      </c>
      <c r="D10" s="124"/>
      <c r="E10" s="124"/>
      <c r="F10" s="124"/>
      <c r="G10" s="124"/>
      <c r="H10" s="124"/>
      <c r="I10" s="125"/>
      <c r="J10" s="12"/>
      <c r="K10" s="12"/>
      <c r="L10" s="12"/>
      <c r="M10" s="13">
        <f t="shared" ref="M10:O11" si="0">SUM(M11)</f>
        <v>0</v>
      </c>
      <c r="N10" s="13">
        <f t="shared" si="0"/>
        <v>829840.72</v>
      </c>
      <c r="O10" s="13">
        <f t="shared" si="0"/>
        <v>829840.72</v>
      </c>
      <c r="P10" s="12"/>
      <c r="Q10" s="12"/>
      <c r="R10" s="12"/>
      <c r="S10" s="13">
        <f t="shared" ref="S10:U11" si="1">SUM(S11)</f>
        <v>0</v>
      </c>
      <c r="T10" s="13">
        <f t="shared" si="1"/>
        <v>2924714.8</v>
      </c>
      <c r="U10" s="13">
        <f t="shared" si="1"/>
        <v>2924714.8</v>
      </c>
      <c r="Y10" s="9">
        <f t="shared" ref="Y10:AA11" si="2">SUM(Y11)</f>
        <v>0</v>
      </c>
      <c r="Z10" s="9">
        <f t="shared" si="2"/>
        <v>2437262.33</v>
      </c>
      <c r="AA10" s="9">
        <f t="shared" si="2"/>
        <v>2437262.33</v>
      </c>
      <c r="AD10" s="4">
        <v>339118771</v>
      </c>
      <c r="AE10" s="4">
        <v>28999450</v>
      </c>
    </row>
    <row r="11" spans="1:35" ht="16.95" customHeight="1" x14ac:dyDescent="0.3">
      <c r="A11" s="11" t="s">
        <v>44</v>
      </c>
      <c r="B11" s="11" t="s">
        <v>45</v>
      </c>
      <c r="C11" s="123" t="s">
        <v>46</v>
      </c>
      <c r="D11" s="124"/>
      <c r="E11" s="124"/>
      <c r="F11" s="124"/>
      <c r="G11" s="124"/>
      <c r="H11" s="124"/>
      <c r="I11" s="125"/>
      <c r="J11" s="12"/>
      <c r="K11" s="12"/>
      <c r="L11" s="12"/>
      <c r="M11" s="13">
        <f t="shared" si="0"/>
        <v>0</v>
      </c>
      <c r="N11" s="13">
        <f t="shared" si="0"/>
        <v>829840.72</v>
      </c>
      <c r="O11" s="13">
        <f t="shared" si="0"/>
        <v>829840.72</v>
      </c>
      <c r="P11" s="12"/>
      <c r="Q11" s="12"/>
      <c r="R11" s="12"/>
      <c r="S11" s="13">
        <f t="shared" si="1"/>
        <v>0</v>
      </c>
      <c r="T11" s="13">
        <f t="shared" si="1"/>
        <v>2924714.8</v>
      </c>
      <c r="U11" s="13">
        <f t="shared" si="1"/>
        <v>2924714.8</v>
      </c>
      <c r="Y11" s="9">
        <f t="shared" si="2"/>
        <v>0</v>
      </c>
      <c r="Z11" s="9">
        <f t="shared" si="2"/>
        <v>2437262.33</v>
      </c>
      <c r="AA11" s="9">
        <f t="shared" si="2"/>
        <v>2437262.33</v>
      </c>
      <c r="AD11" s="4">
        <v>339118772</v>
      </c>
      <c r="AE11" s="4">
        <v>28999446</v>
      </c>
    </row>
    <row r="12" spans="1:35" ht="16.95" customHeight="1" x14ac:dyDescent="0.3">
      <c r="A12" s="11" t="s">
        <v>47</v>
      </c>
      <c r="B12" s="11" t="s">
        <v>48</v>
      </c>
      <c r="C12" s="123" t="s">
        <v>49</v>
      </c>
      <c r="D12" s="124"/>
      <c r="E12" s="124"/>
      <c r="F12" s="124"/>
      <c r="G12" s="124"/>
      <c r="H12" s="124"/>
      <c r="I12" s="125"/>
      <c r="J12" s="12"/>
      <c r="K12" s="12"/>
      <c r="L12" s="12"/>
      <c r="M12" s="13">
        <f>SUM(M13,M15,M18)</f>
        <v>0</v>
      </c>
      <c r="N12" s="13">
        <f>SUM(N13,N15,N18)</f>
        <v>829840.72</v>
      </c>
      <c r="O12" s="13">
        <f>SUM(O13,O15,O18)</f>
        <v>829840.72</v>
      </c>
      <c r="P12" s="12"/>
      <c r="Q12" s="12"/>
      <c r="R12" s="12"/>
      <c r="S12" s="13">
        <f>SUM(S13,S15,S18)</f>
        <v>0</v>
      </c>
      <c r="T12" s="13">
        <f>SUM(T13,T15,T18)</f>
        <v>2924714.8</v>
      </c>
      <c r="U12" s="13">
        <f>SUM(U13,U15,U18)</f>
        <v>2924714.8</v>
      </c>
      <c r="Y12" s="9">
        <f>SUM(Y13,Y15,Y18)</f>
        <v>0</v>
      </c>
      <c r="Z12" s="9">
        <f>SUM(Z13,Z15,Z18)</f>
        <v>2437262.33</v>
      </c>
      <c r="AA12" s="9">
        <f>SUM(AA13,AA15,AA18)</f>
        <v>2437262.33</v>
      </c>
      <c r="AD12" s="4">
        <v>339118773</v>
      </c>
      <c r="AE12" s="4">
        <v>28999460</v>
      </c>
    </row>
    <row r="13" spans="1:35" ht="16.95" customHeight="1" x14ac:dyDescent="0.3">
      <c r="A13" s="11" t="s">
        <v>50</v>
      </c>
      <c r="B13" s="11" t="s">
        <v>51</v>
      </c>
      <c r="C13" s="123" t="s">
        <v>52</v>
      </c>
      <c r="D13" s="124"/>
      <c r="E13" s="124"/>
      <c r="F13" s="124"/>
      <c r="G13" s="124"/>
      <c r="H13" s="124"/>
      <c r="I13" s="125"/>
      <c r="J13" s="12"/>
      <c r="K13" s="12"/>
      <c r="L13" s="12"/>
      <c r="M13" s="13">
        <f>SUM(M14)</f>
        <v>0</v>
      </c>
      <c r="N13" s="13">
        <f>SUM(N14)</f>
        <v>0</v>
      </c>
      <c r="O13" s="13">
        <f>SUM(O14)</f>
        <v>0</v>
      </c>
      <c r="P13" s="12"/>
      <c r="Q13" s="12"/>
      <c r="R13" s="12"/>
      <c r="S13" s="13">
        <f>SUM(S14)</f>
        <v>0</v>
      </c>
      <c r="T13" s="13">
        <f>SUM(T14)</f>
        <v>243564</v>
      </c>
      <c r="U13" s="13">
        <f>SUM(U14)</f>
        <v>243564</v>
      </c>
      <c r="Y13" s="9">
        <f>SUM(Y14)</f>
        <v>0</v>
      </c>
      <c r="Z13" s="9">
        <f>SUM(Z14)</f>
        <v>202970</v>
      </c>
      <c r="AA13" s="9">
        <f>SUM(AA14)</f>
        <v>202970</v>
      </c>
      <c r="AD13" s="4">
        <v>339118774</v>
      </c>
      <c r="AE13" s="4">
        <v>29565805</v>
      </c>
    </row>
    <row r="14" spans="1:35" ht="36" x14ac:dyDescent="0.3">
      <c r="A14" s="11" t="s">
        <v>53</v>
      </c>
      <c r="B14" s="11" t="s">
        <v>54</v>
      </c>
      <c r="C14" s="20" t="s">
        <v>55</v>
      </c>
      <c r="D14" s="21"/>
      <c r="E14" s="21" t="s">
        <v>56</v>
      </c>
      <c r="F14" s="21" t="s">
        <v>57</v>
      </c>
      <c r="G14" s="22">
        <v>1</v>
      </c>
      <c r="H14" s="21"/>
      <c r="I14" s="22">
        <v>12</v>
      </c>
      <c r="J14" s="23">
        <v>0</v>
      </c>
      <c r="K14" s="23">
        <v>0</v>
      </c>
      <c r="L14" s="23">
        <f>J14+ROUND(K14, 2)</f>
        <v>0</v>
      </c>
      <c r="M14" s="23">
        <v>0</v>
      </c>
      <c r="N14" s="23">
        <v>0</v>
      </c>
      <c r="O14" s="23">
        <f>M14+N14</f>
        <v>0</v>
      </c>
      <c r="P14" s="23">
        <v>0</v>
      </c>
      <c r="Q14" s="23">
        <v>20297</v>
      </c>
      <c r="R14" s="23">
        <f>P14+ROUND(Q14, 2)</f>
        <v>20297</v>
      </c>
      <c r="S14" s="23">
        <v>0</v>
      </c>
      <c r="T14" s="23">
        <v>243564</v>
      </c>
      <c r="U14" s="23">
        <f>S14+T14</f>
        <v>243564</v>
      </c>
      <c r="V14" s="9"/>
      <c r="W14" s="9">
        <f>ROUND(Q14 / 1.2, 2)</f>
        <v>16914.169999999998</v>
      </c>
      <c r="X14" s="9">
        <f>ROUND(R14 / 1.2, 2)</f>
        <v>16914.169999999998</v>
      </c>
      <c r="Y14" s="9"/>
      <c r="Z14" s="9">
        <f>ROUND(T14 / 1.2, 2)</f>
        <v>202970</v>
      </c>
      <c r="AA14" s="9">
        <f>Y14+Z14</f>
        <v>202970</v>
      </c>
      <c r="AD14" s="4">
        <v>339118776</v>
      </c>
      <c r="AE14" s="4">
        <v>29565814</v>
      </c>
      <c r="AG14" s="4" t="s">
        <v>58</v>
      </c>
      <c r="AH14" s="4" t="s">
        <v>59</v>
      </c>
      <c r="AI14" s="4" t="s">
        <v>60</v>
      </c>
    </row>
    <row r="15" spans="1:35" ht="16.95" customHeight="1" x14ac:dyDescent="0.3">
      <c r="A15" s="11" t="s">
        <v>61</v>
      </c>
      <c r="B15" s="11" t="s">
        <v>62</v>
      </c>
      <c r="C15" s="123" t="s">
        <v>63</v>
      </c>
      <c r="D15" s="124"/>
      <c r="E15" s="124"/>
      <c r="F15" s="124"/>
      <c r="G15" s="124"/>
      <c r="H15" s="124"/>
      <c r="I15" s="125"/>
      <c r="J15" s="12"/>
      <c r="K15" s="12"/>
      <c r="L15" s="12"/>
      <c r="M15" s="13">
        <f>SUM(M16,M17)</f>
        <v>0</v>
      </c>
      <c r="N15" s="13">
        <f>SUM(N16,N17)</f>
        <v>689590.72</v>
      </c>
      <c r="O15" s="13">
        <f>SUM(O16,O17)</f>
        <v>689590.72</v>
      </c>
      <c r="P15" s="12"/>
      <c r="Q15" s="12"/>
      <c r="R15" s="12"/>
      <c r="S15" s="13">
        <f>SUM(S16,S17)</f>
        <v>0</v>
      </c>
      <c r="T15" s="13">
        <f>SUM(T16,T17)</f>
        <v>2540900.7999999998</v>
      </c>
      <c r="U15" s="13">
        <f>SUM(U16,U17)</f>
        <v>2540900.7999999998</v>
      </c>
      <c r="Y15" s="9">
        <f>SUM(Y16,Y17)</f>
        <v>0</v>
      </c>
      <c r="Z15" s="9">
        <f>SUM(Z16,Z17)</f>
        <v>2117417.33</v>
      </c>
      <c r="AA15" s="9">
        <f>SUM(AA16,AA17)</f>
        <v>2117417.33</v>
      </c>
      <c r="AD15" s="4">
        <v>339118777</v>
      </c>
      <c r="AE15" s="4">
        <v>29565803</v>
      </c>
    </row>
    <row r="16" spans="1:35" ht="234" x14ac:dyDescent="0.3">
      <c r="A16" s="11" t="s">
        <v>64</v>
      </c>
      <c r="B16" s="11" t="s">
        <v>65</v>
      </c>
      <c r="C16" s="20" t="s">
        <v>66</v>
      </c>
      <c r="D16" s="21"/>
      <c r="E16" s="21" t="s">
        <v>67</v>
      </c>
      <c r="F16" s="21" t="s">
        <v>68</v>
      </c>
      <c r="G16" s="22">
        <v>1</v>
      </c>
      <c r="H16" s="21"/>
      <c r="I16" s="22">
        <v>28926.720000000001</v>
      </c>
      <c r="J16" s="23">
        <v>0</v>
      </c>
      <c r="K16" s="23">
        <v>0</v>
      </c>
      <c r="L16" s="23">
        <f>J16+ROUND(K16, 2)</f>
        <v>0</v>
      </c>
      <c r="M16" s="23">
        <v>0</v>
      </c>
      <c r="N16" s="23">
        <v>0</v>
      </c>
      <c r="O16" s="23">
        <f>M16+N16</f>
        <v>0</v>
      </c>
      <c r="P16" s="23">
        <v>0</v>
      </c>
      <c r="Q16" s="23">
        <v>64</v>
      </c>
      <c r="R16" s="23">
        <f>P16+ROUND(Q16, 2)</f>
        <v>64</v>
      </c>
      <c r="S16" s="23">
        <v>0</v>
      </c>
      <c r="T16" s="23">
        <v>1851310.0800000001</v>
      </c>
      <c r="U16" s="23">
        <f>S16+T16</f>
        <v>1851310.0800000001</v>
      </c>
      <c r="V16" s="9"/>
      <c r="W16" s="9">
        <f>ROUND(Q16 / 1.2, 2)</f>
        <v>53.33</v>
      </c>
      <c r="X16" s="9">
        <f>ROUND(R16 / 1.2, 2)</f>
        <v>53.33</v>
      </c>
      <c r="Y16" s="9"/>
      <c r="Z16" s="9">
        <f>ROUND(T16 / 1.2, 2)</f>
        <v>1542758.3999999999</v>
      </c>
      <c r="AA16" s="9">
        <f>Y16+Z16</f>
        <v>1542758.3999999999</v>
      </c>
      <c r="AD16" s="4">
        <v>339118779</v>
      </c>
      <c r="AE16" s="4">
        <v>29567161</v>
      </c>
      <c r="AG16" s="4" t="s">
        <v>69</v>
      </c>
      <c r="AH16" s="4" t="s">
        <v>70</v>
      </c>
      <c r="AI16" s="4" t="s">
        <v>60</v>
      </c>
    </row>
    <row r="17" spans="1:35" ht="90" x14ac:dyDescent="0.3">
      <c r="A17" s="11" t="s">
        <v>71</v>
      </c>
      <c r="B17" s="11" t="s">
        <v>72</v>
      </c>
      <c r="C17" s="20" t="s">
        <v>73</v>
      </c>
      <c r="D17" s="21"/>
      <c r="E17" s="21" t="s">
        <v>74</v>
      </c>
      <c r="F17" s="21" t="s">
        <v>75</v>
      </c>
      <c r="G17" s="22">
        <v>1</v>
      </c>
      <c r="H17" s="21"/>
      <c r="I17" s="22">
        <v>879.58</v>
      </c>
      <c r="J17" s="23">
        <v>0</v>
      </c>
      <c r="K17" s="23">
        <v>784</v>
      </c>
      <c r="L17" s="23">
        <f>J17+ROUND(K17, 2)</f>
        <v>784</v>
      </c>
      <c r="M17" s="23">
        <v>0</v>
      </c>
      <c r="N17" s="23">
        <v>689590.72</v>
      </c>
      <c r="O17" s="23">
        <f>M17+N17</f>
        <v>689590.72</v>
      </c>
      <c r="P17" s="23">
        <v>0</v>
      </c>
      <c r="Q17" s="23">
        <v>784</v>
      </c>
      <c r="R17" s="23">
        <f>P17+ROUND(Q17, 2)</f>
        <v>784</v>
      </c>
      <c r="S17" s="23">
        <v>0</v>
      </c>
      <c r="T17" s="23">
        <v>689590.72</v>
      </c>
      <c r="U17" s="23">
        <f>S17+T17</f>
        <v>689590.72</v>
      </c>
      <c r="V17" s="9"/>
      <c r="W17" s="9">
        <f>ROUND(Q17 / 1.2, 2)</f>
        <v>653.33000000000004</v>
      </c>
      <c r="X17" s="9">
        <f>ROUND(R17 / 1.2, 2)</f>
        <v>653.33000000000004</v>
      </c>
      <c r="Y17" s="9"/>
      <c r="Z17" s="9">
        <f>ROUND(T17 / 1.2, 2)</f>
        <v>574658.93000000005</v>
      </c>
      <c r="AA17" s="9">
        <f>Y17+Z17</f>
        <v>574658.93000000005</v>
      </c>
      <c r="AD17" s="4">
        <v>339118781</v>
      </c>
      <c r="AE17" s="4">
        <v>29565815</v>
      </c>
      <c r="AG17" s="4" t="s">
        <v>76</v>
      </c>
      <c r="AH17" s="4" t="s">
        <v>77</v>
      </c>
      <c r="AI17" s="4" t="s">
        <v>60</v>
      </c>
    </row>
    <row r="18" spans="1:35" ht="16.95" customHeight="1" x14ac:dyDescent="0.3">
      <c r="A18" s="11" t="s">
        <v>78</v>
      </c>
      <c r="B18" s="11" t="s">
        <v>79</v>
      </c>
      <c r="C18" s="123" t="s">
        <v>80</v>
      </c>
      <c r="D18" s="124"/>
      <c r="E18" s="124"/>
      <c r="F18" s="124"/>
      <c r="G18" s="124"/>
      <c r="H18" s="124"/>
      <c r="I18" s="125"/>
      <c r="J18" s="12"/>
      <c r="K18" s="12"/>
      <c r="L18" s="12"/>
      <c r="M18" s="13">
        <f>SUM(M19,M20)</f>
        <v>0</v>
      </c>
      <c r="N18" s="13">
        <f>SUM(N19,N20)</f>
        <v>140250</v>
      </c>
      <c r="O18" s="13">
        <f>SUM(O19,O20)</f>
        <v>140250</v>
      </c>
      <c r="P18" s="12"/>
      <c r="Q18" s="12"/>
      <c r="R18" s="12"/>
      <c r="S18" s="13">
        <f>SUM(S19,S20)</f>
        <v>0</v>
      </c>
      <c r="T18" s="13">
        <f>SUM(T19,T20)</f>
        <v>140250</v>
      </c>
      <c r="U18" s="13">
        <f>SUM(U19,U20)</f>
        <v>140250</v>
      </c>
      <c r="Y18" s="9">
        <f>SUM(Y19,Y20)</f>
        <v>0</v>
      </c>
      <c r="Z18" s="9">
        <f>SUM(Z19,Z20)</f>
        <v>116875</v>
      </c>
      <c r="AA18" s="9">
        <f>SUM(AA19,AA20)</f>
        <v>116875</v>
      </c>
      <c r="AD18" s="4">
        <v>339118782</v>
      </c>
      <c r="AE18" s="4">
        <v>28999456</v>
      </c>
    </row>
    <row r="19" spans="1:35" ht="36" x14ac:dyDescent="0.3">
      <c r="A19" s="11" t="s">
        <v>81</v>
      </c>
      <c r="B19" s="11" t="s">
        <v>82</v>
      </c>
      <c r="C19" s="20" t="s">
        <v>83</v>
      </c>
      <c r="D19" s="21"/>
      <c r="E19" s="21" t="s">
        <v>84</v>
      </c>
      <c r="F19" s="21" t="s">
        <v>75</v>
      </c>
      <c r="G19" s="22">
        <v>1</v>
      </c>
      <c r="H19" s="21"/>
      <c r="I19" s="22">
        <v>187</v>
      </c>
      <c r="J19" s="23">
        <v>0</v>
      </c>
      <c r="K19" s="23">
        <v>375</v>
      </c>
      <c r="L19" s="23">
        <f>J19+ROUND(K19, 2)</f>
        <v>375</v>
      </c>
      <c r="M19" s="23">
        <v>0</v>
      </c>
      <c r="N19" s="23">
        <v>70125</v>
      </c>
      <c r="O19" s="23">
        <f>M19+N19</f>
        <v>70125</v>
      </c>
      <c r="P19" s="23">
        <v>0</v>
      </c>
      <c r="Q19" s="23">
        <v>375</v>
      </c>
      <c r="R19" s="23">
        <f>P19+ROUND(Q19, 2)</f>
        <v>375</v>
      </c>
      <c r="S19" s="23">
        <v>0</v>
      </c>
      <c r="T19" s="23">
        <v>70125</v>
      </c>
      <c r="U19" s="23">
        <f>S19+T19</f>
        <v>70125</v>
      </c>
      <c r="V19" s="9"/>
      <c r="W19" s="9">
        <f>ROUND(Q19 / 1.2, 2)</f>
        <v>312.5</v>
      </c>
      <c r="X19" s="9">
        <f>ROUND(R19 / 1.2, 2)</f>
        <v>312.5</v>
      </c>
      <c r="Y19" s="9"/>
      <c r="Z19" s="9">
        <f>ROUND(T19 / 1.2, 2)</f>
        <v>58437.5</v>
      </c>
      <c r="AA19" s="9">
        <f>Y19+Z19</f>
        <v>58437.5</v>
      </c>
      <c r="AD19" s="4">
        <v>339118784</v>
      </c>
      <c r="AE19" s="4">
        <v>28999469</v>
      </c>
      <c r="AG19" s="4" t="s">
        <v>85</v>
      </c>
      <c r="AH19" s="4" t="s">
        <v>86</v>
      </c>
      <c r="AI19" s="4" t="s">
        <v>60</v>
      </c>
    </row>
    <row r="20" spans="1:35" ht="36" x14ac:dyDescent="0.3">
      <c r="A20" s="11" t="s">
        <v>87</v>
      </c>
      <c r="B20" s="11" t="s">
        <v>82</v>
      </c>
      <c r="C20" s="20" t="s">
        <v>83</v>
      </c>
      <c r="D20" s="21"/>
      <c r="E20" s="21" t="s">
        <v>88</v>
      </c>
      <c r="F20" s="21" t="s">
        <v>75</v>
      </c>
      <c r="G20" s="22">
        <v>1</v>
      </c>
      <c r="H20" s="21"/>
      <c r="I20" s="22">
        <v>187</v>
      </c>
      <c r="J20" s="23">
        <v>0</v>
      </c>
      <c r="K20" s="23">
        <v>375</v>
      </c>
      <c r="L20" s="23">
        <f>J20+ROUND(K20, 2)</f>
        <v>375</v>
      </c>
      <c r="M20" s="23">
        <v>0</v>
      </c>
      <c r="N20" s="23">
        <v>70125</v>
      </c>
      <c r="O20" s="23">
        <f>M20+N20</f>
        <v>70125</v>
      </c>
      <c r="P20" s="23">
        <v>0</v>
      </c>
      <c r="Q20" s="23">
        <v>375</v>
      </c>
      <c r="R20" s="23">
        <f>P20+ROUND(Q20, 2)</f>
        <v>375</v>
      </c>
      <c r="S20" s="23">
        <v>0</v>
      </c>
      <c r="T20" s="23">
        <v>70125</v>
      </c>
      <c r="U20" s="23">
        <f>S20+T20</f>
        <v>70125</v>
      </c>
      <c r="V20" s="9"/>
      <c r="W20" s="9">
        <f>ROUND(Q20 / 1.2, 2)</f>
        <v>312.5</v>
      </c>
      <c r="X20" s="9">
        <f>ROUND(R20 / 1.2, 2)</f>
        <v>312.5</v>
      </c>
      <c r="Y20" s="9"/>
      <c r="Z20" s="9">
        <f>ROUND(T20 / 1.2, 2)</f>
        <v>58437.5</v>
      </c>
      <c r="AA20" s="9">
        <f>Y20+Z20</f>
        <v>58437.5</v>
      </c>
      <c r="AD20" s="4">
        <v>339118900</v>
      </c>
      <c r="AE20" s="4">
        <v>28999463</v>
      </c>
      <c r="AG20" s="4" t="s">
        <v>85</v>
      </c>
      <c r="AH20" s="4" t="s">
        <v>86</v>
      </c>
      <c r="AI20" s="4" t="s">
        <v>60</v>
      </c>
    </row>
    <row r="21" spans="1:35" ht="16.95" customHeight="1" x14ac:dyDescent="0.3">
      <c r="A21" s="10" t="s">
        <v>89</v>
      </c>
      <c r="B21" s="10" t="s">
        <v>90</v>
      </c>
      <c r="C21" s="120" t="s">
        <v>91</v>
      </c>
      <c r="D21" s="121"/>
      <c r="E21" s="121"/>
      <c r="F21" s="121"/>
      <c r="G21" s="121"/>
      <c r="H21" s="121"/>
      <c r="I21" s="122"/>
      <c r="M21" s="6">
        <f t="shared" ref="M21:O25" si="3">SUM(M22)</f>
        <v>126283.29</v>
      </c>
      <c r="N21" s="6">
        <f t="shared" si="3"/>
        <v>180408.36</v>
      </c>
      <c r="O21" s="6">
        <f t="shared" si="3"/>
        <v>306691.64999999997</v>
      </c>
      <c r="S21" s="6">
        <f t="shared" ref="S21:U25" si="4">SUM(S22)</f>
        <v>126283.29</v>
      </c>
      <c r="T21" s="6">
        <f t="shared" si="4"/>
        <v>180408.36</v>
      </c>
      <c r="U21" s="6">
        <f t="shared" si="4"/>
        <v>306691.64999999997</v>
      </c>
      <c r="Y21" s="9">
        <f t="shared" ref="Y21:AA25" si="5">SUM(Y22)</f>
        <v>105236.08</v>
      </c>
      <c r="Z21" s="9">
        <f t="shared" si="5"/>
        <v>150340.29999999999</v>
      </c>
      <c r="AA21" s="9">
        <f t="shared" si="5"/>
        <v>255576.38</v>
      </c>
      <c r="AD21" s="4">
        <v>339118785</v>
      </c>
      <c r="AE21" s="4">
        <v>25887979</v>
      </c>
    </row>
    <row r="22" spans="1:35" ht="16.95" customHeight="1" x14ac:dyDescent="0.3">
      <c r="A22" s="10" t="s">
        <v>92</v>
      </c>
      <c r="B22" s="10" t="s">
        <v>93</v>
      </c>
      <c r="C22" s="120" t="s">
        <v>94</v>
      </c>
      <c r="D22" s="121"/>
      <c r="E22" s="121"/>
      <c r="F22" s="121"/>
      <c r="G22" s="121"/>
      <c r="H22" s="121"/>
      <c r="I22" s="122"/>
      <c r="M22" s="6">
        <f t="shared" si="3"/>
        <v>126283.29</v>
      </c>
      <c r="N22" s="6">
        <f t="shared" si="3"/>
        <v>180408.36</v>
      </c>
      <c r="O22" s="6">
        <f t="shared" si="3"/>
        <v>306691.64999999997</v>
      </c>
      <c r="S22" s="6">
        <f t="shared" si="4"/>
        <v>126283.29</v>
      </c>
      <c r="T22" s="6">
        <f t="shared" si="4"/>
        <v>180408.36</v>
      </c>
      <c r="U22" s="6">
        <f t="shared" si="4"/>
        <v>306691.64999999997</v>
      </c>
      <c r="Y22" s="9">
        <f t="shared" si="5"/>
        <v>105236.08</v>
      </c>
      <c r="Z22" s="9">
        <f t="shared" si="5"/>
        <v>150340.29999999999</v>
      </c>
      <c r="AA22" s="9">
        <f t="shared" si="5"/>
        <v>255576.38</v>
      </c>
      <c r="AD22" s="4">
        <v>339118786</v>
      </c>
      <c r="AE22" s="4">
        <v>25887950</v>
      </c>
    </row>
    <row r="23" spans="1:35" ht="16.95" customHeight="1" x14ac:dyDescent="0.3">
      <c r="A23" s="10" t="s">
        <v>95</v>
      </c>
      <c r="B23" s="10" t="s">
        <v>96</v>
      </c>
      <c r="C23" s="120" t="s">
        <v>97</v>
      </c>
      <c r="D23" s="121"/>
      <c r="E23" s="121"/>
      <c r="F23" s="121"/>
      <c r="G23" s="121"/>
      <c r="H23" s="121"/>
      <c r="I23" s="122"/>
      <c r="M23" s="6">
        <f t="shared" si="3"/>
        <v>126283.29</v>
      </c>
      <c r="N23" s="6">
        <f t="shared" si="3"/>
        <v>180408.36</v>
      </c>
      <c r="O23" s="6">
        <f t="shared" si="3"/>
        <v>306691.64999999997</v>
      </c>
      <c r="S23" s="6">
        <f t="shared" si="4"/>
        <v>126283.29</v>
      </c>
      <c r="T23" s="6">
        <f t="shared" si="4"/>
        <v>180408.36</v>
      </c>
      <c r="U23" s="6">
        <f t="shared" si="4"/>
        <v>306691.64999999997</v>
      </c>
      <c r="Y23" s="9">
        <f t="shared" si="5"/>
        <v>105236.08</v>
      </c>
      <c r="Z23" s="9">
        <f t="shared" si="5"/>
        <v>150340.29999999999</v>
      </c>
      <c r="AA23" s="9">
        <f t="shared" si="5"/>
        <v>255576.38</v>
      </c>
      <c r="AD23" s="4">
        <v>339118787</v>
      </c>
      <c r="AE23" s="4">
        <v>25887939</v>
      </c>
    </row>
    <row r="24" spans="1:35" ht="16.95" customHeight="1" x14ac:dyDescent="0.3">
      <c r="A24" s="10" t="s">
        <v>98</v>
      </c>
      <c r="B24" s="10" t="s">
        <v>99</v>
      </c>
      <c r="C24" s="120" t="s">
        <v>100</v>
      </c>
      <c r="D24" s="121"/>
      <c r="E24" s="121"/>
      <c r="F24" s="121"/>
      <c r="G24" s="121"/>
      <c r="H24" s="121"/>
      <c r="I24" s="122"/>
      <c r="M24" s="6">
        <f t="shared" si="3"/>
        <v>126283.29</v>
      </c>
      <c r="N24" s="6">
        <f t="shared" si="3"/>
        <v>180408.36</v>
      </c>
      <c r="O24" s="6">
        <f t="shared" si="3"/>
        <v>306691.64999999997</v>
      </c>
      <c r="S24" s="6">
        <f t="shared" si="4"/>
        <v>126283.29</v>
      </c>
      <c r="T24" s="6">
        <f t="shared" si="4"/>
        <v>180408.36</v>
      </c>
      <c r="U24" s="6">
        <f t="shared" si="4"/>
        <v>306691.64999999997</v>
      </c>
      <c r="Y24" s="9">
        <f t="shared" si="5"/>
        <v>105236.08</v>
      </c>
      <c r="Z24" s="9">
        <f t="shared" si="5"/>
        <v>150340.29999999999</v>
      </c>
      <c r="AA24" s="9">
        <f t="shared" si="5"/>
        <v>255576.38</v>
      </c>
      <c r="AD24" s="4">
        <v>339118788</v>
      </c>
      <c r="AE24" s="4">
        <v>25887952</v>
      </c>
    </row>
    <row r="25" spans="1:35" ht="16.95" customHeight="1" x14ac:dyDescent="0.3">
      <c r="A25" s="10" t="s">
        <v>101</v>
      </c>
      <c r="B25" s="10" t="s">
        <v>102</v>
      </c>
      <c r="C25" s="120" t="s">
        <v>103</v>
      </c>
      <c r="D25" s="121"/>
      <c r="E25" s="121"/>
      <c r="F25" s="121"/>
      <c r="G25" s="121"/>
      <c r="H25" s="121"/>
      <c r="I25" s="122"/>
      <c r="M25" s="6">
        <f t="shared" si="3"/>
        <v>126283.29</v>
      </c>
      <c r="N25" s="6">
        <f t="shared" si="3"/>
        <v>180408.36</v>
      </c>
      <c r="O25" s="6">
        <f t="shared" si="3"/>
        <v>306691.64999999997</v>
      </c>
      <c r="S25" s="6">
        <f t="shared" si="4"/>
        <v>126283.29</v>
      </c>
      <c r="T25" s="6">
        <f t="shared" si="4"/>
        <v>180408.36</v>
      </c>
      <c r="U25" s="6">
        <f t="shared" si="4"/>
        <v>306691.64999999997</v>
      </c>
      <c r="Y25" s="9">
        <f t="shared" si="5"/>
        <v>105236.08</v>
      </c>
      <c r="Z25" s="9">
        <f t="shared" si="5"/>
        <v>150340.29999999999</v>
      </c>
      <c r="AA25" s="9">
        <f t="shared" si="5"/>
        <v>255576.38</v>
      </c>
      <c r="AD25" s="4">
        <v>339118789</v>
      </c>
      <c r="AE25" s="4">
        <v>25887940</v>
      </c>
    </row>
    <row r="26" spans="1:35" ht="72" x14ac:dyDescent="0.3">
      <c r="A26" s="10" t="s">
        <v>104</v>
      </c>
      <c r="B26" s="10" t="s">
        <v>105</v>
      </c>
      <c r="C26" s="14" t="s">
        <v>106</v>
      </c>
      <c r="D26" s="15" t="s">
        <v>107</v>
      </c>
      <c r="E26" s="15" t="s">
        <v>108</v>
      </c>
      <c r="F26" s="15" t="s">
        <v>75</v>
      </c>
      <c r="G26" s="16">
        <v>1</v>
      </c>
      <c r="H26" s="15"/>
      <c r="I26" s="16">
        <v>128.04</v>
      </c>
      <c r="J26" s="17">
        <v>986.28</v>
      </c>
      <c r="K26" s="18">
        <v>1409</v>
      </c>
      <c r="L26" s="17">
        <f>J26+ROUND(K26, 2)</f>
        <v>2395.2799999999997</v>
      </c>
      <c r="M26" s="17">
        <v>126283.29</v>
      </c>
      <c r="N26" s="17">
        <v>180408.36</v>
      </c>
      <c r="O26" s="17">
        <f>M26+N26</f>
        <v>306691.64999999997</v>
      </c>
      <c r="P26" s="17">
        <v>986.28</v>
      </c>
      <c r="Q26" s="19">
        <v>1409</v>
      </c>
      <c r="R26" s="17">
        <f>P26+ROUND(Q26, 2)</f>
        <v>2395.2799999999997</v>
      </c>
      <c r="S26" s="17">
        <v>126283.29</v>
      </c>
      <c r="T26" s="17">
        <v>180408.36</v>
      </c>
      <c r="U26" s="17">
        <f>S26+T26</f>
        <v>306691.64999999997</v>
      </c>
      <c r="V26" s="9">
        <f>ROUND(P26 / 1.2, 2)</f>
        <v>821.9</v>
      </c>
      <c r="W26" s="9">
        <f>ROUND(Q26 / 1.2, 2)</f>
        <v>1174.17</v>
      </c>
      <c r="X26" s="9">
        <f>ROUND(R26 / 1.2, 2)</f>
        <v>1996.07</v>
      </c>
      <c r="Y26" s="9">
        <f>ROUND(S26 / 1.2, 2)</f>
        <v>105236.08</v>
      </c>
      <c r="Z26" s="9">
        <f>ROUND(T26 / 1.2, 2)</f>
        <v>150340.29999999999</v>
      </c>
      <c r="AA26" s="9">
        <f>Y26+Z26</f>
        <v>255576.38</v>
      </c>
      <c r="AD26" s="4">
        <v>339118791</v>
      </c>
      <c r="AE26" s="4">
        <v>25887983</v>
      </c>
      <c r="AG26" s="4" t="s">
        <v>109</v>
      </c>
      <c r="AH26" s="4" t="s">
        <v>110</v>
      </c>
      <c r="AI26" s="4" t="s">
        <v>111</v>
      </c>
    </row>
    <row r="27" spans="1:35" ht="72" x14ac:dyDescent="0.3">
      <c r="A27" s="10" t="s">
        <v>112</v>
      </c>
      <c r="B27" s="10"/>
      <c r="C27" s="24" t="s">
        <v>113</v>
      </c>
      <c r="D27" s="15"/>
      <c r="E27" s="15"/>
      <c r="F27" s="25" t="s">
        <v>114</v>
      </c>
      <c r="G27" s="26">
        <v>1</v>
      </c>
      <c r="H27" s="15"/>
      <c r="I27" s="26">
        <v>128.04</v>
      </c>
      <c r="J27" s="27">
        <v>111.15</v>
      </c>
      <c r="M27" s="28">
        <f>ROUND(ROUND(J27, 2)*I27, 2)</f>
        <v>14231.65</v>
      </c>
      <c r="P27" s="29">
        <v>111.15</v>
      </c>
      <c r="S27" s="28">
        <f>ROUND(ROUND(P27, 2)*I27, 2)</f>
        <v>14231.65</v>
      </c>
      <c r="V27" s="9">
        <f>ROUND(ROUND(P27, 2)/1.2, 2)</f>
        <v>92.63</v>
      </c>
      <c r="Y27" s="9">
        <f>ROUND(S27 / 1.2, 2)</f>
        <v>11859.71</v>
      </c>
      <c r="AD27" s="4" t="s">
        <v>115</v>
      </c>
      <c r="AE27" s="4" t="s">
        <v>116</v>
      </c>
      <c r="AF27" s="4" t="s">
        <v>117</v>
      </c>
    </row>
    <row r="28" spans="1:35" ht="18" x14ac:dyDescent="0.3">
      <c r="A28" s="10" t="s">
        <v>118</v>
      </c>
      <c r="B28" s="10"/>
      <c r="C28" s="30" t="s">
        <v>119</v>
      </c>
      <c r="D28" s="15"/>
      <c r="E28" s="15"/>
      <c r="F28" s="25" t="s">
        <v>120</v>
      </c>
      <c r="G28" s="31">
        <v>2.1</v>
      </c>
      <c r="H28" s="15"/>
      <c r="I28" s="26">
        <v>268.88400000000001</v>
      </c>
      <c r="J28" s="27">
        <v>70.97</v>
      </c>
      <c r="M28" s="28">
        <f>ROUND(ROUND(J28, 2)*I28, 2)</f>
        <v>19082.7</v>
      </c>
      <c r="P28" s="29">
        <v>70.97</v>
      </c>
      <c r="S28" s="28">
        <f>ROUND(ROUND(P28, 2)*I28, 2)</f>
        <v>19082.7</v>
      </c>
      <c r="V28" s="9">
        <f>ROUND(ROUND(P28, 2)/1.2, 2)</f>
        <v>59.14</v>
      </c>
      <c r="Y28" s="9">
        <f>ROUND(S28 / 1.2, 2)</f>
        <v>15902.25</v>
      </c>
      <c r="AD28" s="4" t="s">
        <v>121</v>
      </c>
      <c r="AE28" s="4" t="s">
        <v>122</v>
      </c>
      <c r="AF28" s="4" t="s">
        <v>123</v>
      </c>
    </row>
    <row r="29" spans="1:35" ht="18" x14ac:dyDescent="0.3">
      <c r="A29" s="10" t="s">
        <v>124</v>
      </c>
      <c r="B29" s="10"/>
      <c r="C29" s="30" t="s">
        <v>125</v>
      </c>
      <c r="D29" s="15"/>
      <c r="E29" s="15"/>
      <c r="F29" s="25" t="s">
        <v>120</v>
      </c>
      <c r="G29" s="31">
        <v>0.8</v>
      </c>
      <c r="H29" s="15"/>
      <c r="I29" s="26">
        <v>102.432</v>
      </c>
      <c r="J29" s="27">
        <v>56.76</v>
      </c>
      <c r="M29" s="28">
        <f>ROUND(ROUND(J29, 2)*I29, 2)</f>
        <v>5814.04</v>
      </c>
      <c r="P29" s="29">
        <v>56.76</v>
      </c>
      <c r="S29" s="28">
        <f>ROUND(ROUND(P29, 2)*I29, 2)</f>
        <v>5814.04</v>
      </c>
      <c r="V29" s="9">
        <f>ROUND(ROUND(P29, 2)/1.2, 2)</f>
        <v>47.3</v>
      </c>
      <c r="Y29" s="9">
        <f>ROUND(S29 / 1.2, 2)</f>
        <v>4845.03</v>
      </c>
      <c r="AD29" s="4" t="s">
        <v>126</v>
      </c>
      <c r="AE29" s="4" t="s">
        <v>127</v>
      </c>
      <c r="AF29" s="4" t="s">
        <v>128</v>
      </c>
    </row>
    <row r="30" spans="1:35" ht="18" x14ac:dyDescent="0.3">
      <c r="A30" s="10" t="s">
        <v>129</v>
      </c>
      <c r="B30" s="10"/>
      <c r="C30" s="30" t="s">
        <v>130</v>
      </c>
      <c r="D30" s="15"/>
      <c r="E30" s="15"/>
      <c r="F30" s="25" t="s">
        <v>75</v>
      </c>
      <c r="G30" s="26">
        <v>2.2000000000000002</v>
      </c>
      <c r="H30" s="15"/>
      <c r="I30" s="26">
        <v>281.68799999999999</v>
      </c>
      <c r="J30" s="27">
        <v>309.39999999999998</v>
      </c>
      <c r="M30" s="28">
        <f>ROUND(ROUND(J30, 2)*I30, 2)</f>
        <v>87154.27</v>
      </c>
      <c r="P30" s="29">
        <v>309.39999999999998</v>
      </c>
      <c r="S30" s="28">
        <f>ROUND(ROUND(P30, 2)*I30, 2)</f>
        <v>87154.27</v>
      </c>
      <c r="V30" s="9">
        <f>ROUND(ROUND(P30, 2)/1.2, 2)</f>
        <v>257.83</v>
      </c>
      <c r="Y30" s="9">
        <f>ROUND(S30 / 1.2, 2)</f>
        <v>72628.56</v>
      </c>
      <c r="AD30" s="4" t="s">
        <v>131</v>
      </c>
      <c r="AE30" s="4" t="s">
        <v>132</v>
      </c>
      <c r="AF30" s="4" t="s">
        <v>133</v>
      </c>
    </row>
    <row r="31" spans="1:35" ht="16.95" customHeight="1" x14ac:dyDescent="0.3">
      <c r="A31" s="10" t="s">
        <v>134</v>
      </c>
      <c r="B31" s="10" t="s">
        <v>135</v>
      </c>
      <c r="C31" s="120" t="s">
        <v>136</v>
      </c>
      <c r="D31" s="121"/>
      <c r="E31" s="121"/>
      <c r="F31" s="121"/>
      <c r="G31" s="121"/>
      <c r="H31" s="121"/>
      <c r="I31" s="122"/>
      <c r="M31" s="6">
        <f t="shared" ref="M31:O32" si="6">SUM(M32)</f>
        <v>24590915.689999998</v>
      </c>
      <c r="N31" s="6">
        <f t="shared" si="6"/>
        <v>56511043.260000005</v>
      </c>
      <c r="O31" s="6">
        <f t="shared" si="6"/>
        <v>81101958.950000003</v>
      </c>
      <c r="S31" s="6">
        <f t="shared" ref="S31:U32" si="7">SUM(S32)</f>
        <v>41045672.970000006</v>
      </c>
      <c r="T31" s="6">
        <f t="shared" si="7"/>
        <v>55224431.569999993</v>
      </c>
      <c r="U31" s="6">
        <f t="shared" si="7"/>
        <v>96270104.540000007</v>
      </c>
      <c r="Y31" s="9">
        <f t="shared" ref="Y31:AA32" si="8">SUM(Y32)</f>
        <v>34204727.549999997</v>
      </c>
      <c r="Z31" s="9">
        <f t="shared" si="8"/>
        <v>46020359.670000009</v>
      </c>
      <c r="AA31" s="9">
        <f t="shared" si="8"/>
        <v>80225087.219999999</v>
      </c>
      <c r="AD31" s="4">
        <v>339118792</v>
      </c>
      <c r="AE31" s="4">
        <v>25887945</v>
      </c>
    </row>
    <row r="32" spans="1:35" ht="16.95" customHeight="1" x14ac:dyDescent="0.3">
      <c r="A32" s="10" t="s">
        <v>137</v>
      </c>
      <c r="B32" s="10" t="s">
        <v>138</v>
      </c>
      <c r="C32" s="120" t="s">
        <v>139</v>
      </c>
      <c r="D32" s="121"/>
      <c r="E32" s="121"/>
      <c r="F32" s="121"/>
      <c r="G32" s="121"/>
      <c r="H32" s="121"/>
      <c r="I32" s="122"/>
      <c r="M32" s="6">
        <f t="shared" si="6"/>
        <v>24590915.689999998</v>
      </c>
      <c r="N32" s="6">
        <f t="shared" si="6"/>
        <v>56511043.260000005</v>
      </c>
      <c r="O32" s="6">
        <f t="shared" si="6"/>
        <v>81101958.950000003</v>
      </c>
      <c r="S32" s="6">
        <f t="shared" si="7"/>
        <v>41045672.970000006</v>
      </c>
      <c r="T32" s="6">
        <f t="shared" si="7"/>
        <v>55224431.569999993</v>
      </c>
      <c r="U32" s="6">
        <f t="shared" si="7"/>
        <v>96270104.540000007</v>
      </c>
      <c r="Y32" s="9">
        <f t="shared" si="8"/>
        <v>34204727.549999997</v>
      </c>
      <c r="Z32" s="9">
        <f t="shared" si="8"/>
        <v>46020359.670000009</v>
      </c>
      <c r="AA32" s="9">
        <f t="shared" si="8"/>
        <v>80225087.219999999</v>
      </c>
      <c r="AD32" s="4">
        <v>339118793</v>
      </c>
      <c r="AE32" s="4">
        <v>25887953</v>
      </c>
    </row>
    <row r="33" spans="1:35" ht="16.95" customHeight="1" x14ac:dyDescent="0.3">
      <c r="A33" s="10" t="s">
        <v>140</v>
      </c>
      <c r="B33" s="10" t="s">
        <v>141</v>
      </c>
      <c r="C33" s="120" t="s">
        <v>142</v>
      </c>
      <c r="D33" s="121"/>
      <c r="E33" s="121"/>
      <c r="F33" s="121"/>
      <c r="G33" s="121"/>
      <c r="H33" s="121"/>
      <c r="I33" s="122"/>
      <c r="M33" s="6">
        <f>SUM(M34,M210,M345,M403,M464)</f>
        <v>24590915.689999998</v>
      </c>
      <c r="N33" s="6">
        <f>SUM(N34,N210,N345,N403,N464)</f>
        <v>56511043.260000005</v>
      </c>
      <c r="O33" s="6">
        <f>SUM(O34,O210,O345,O403,O464)</f>
        <v>81101958.950000003</v>
      </c>
      <c r="S33" s="6">
        <f>SUM(S34,S210,S345,S403,S464)</f>
        <v>41045672.970000006</v>
      </c>
      <c r="T33" s="6">
        <f>SUM(T34,T210,T345,T403,T464)</f>
        <v>55224431.569999993</v>
      </c>
      <c r="U33" s="6">
        <f>SUM(U34,U210,U345,U403,U464)</f>
        <v>96270104.540000007</v>
      </c>
      <c r="Y33" s="9">
        <f>SUM(Y34,Y210,Y345,Y403,Y464)</f>
        <v>34204727.549999997</v>
      </c>
      <c r="Z33" s="9">
        <f>SUM(Z34,Z210,Z345,Z403,Z464)</f>
        <v>46020359.670000009</v>
      </c>
      <c r="AA33" s="9">
        <f>SUM(AA34,AA210,AA345,AA403,AA464)</f>
        <v>80225087.219999999</v>
      </c>
      <c r="AD33" s="4">
        <v>339118794</v>
      </c>
      <c r="AE33" s="4">
        <v>25887974</v>
      </c>
    </row>
    <row r="34" spans="1:35" ht="16.95" customHeight="1" x14ac:dyDescent="0.3">
      <c r="A34" s="10" t="s">
        <v>143</v>
      </c>
      <c r="B34" s="10" t="s">
        <v>144</v>
      </c>
      <c r="C34" s="120" t="s">
        <v>145</v>
      </c>
      <c r="D34" s="121"/>
      <c r="E34" s="121"/>
      <c r="F34" s="121"/>
      <c r="G34" s="121"/>
      <c r="H34" s="121"/>
      <c r="I34" s="122"/>
      <c r="M34" s="6">
        <f>SUM(M35,M102,M113,M207)</f>
        <v>16450255.149999999</v>
      </c>
      <c r="N34" s="6">
        <f>SUM(N35,N102,N113,N207)</f>
        <v>17727542.520000003</v>
      </c>
      <c r="O34" s="6">
        <f>SUM(O35,O102,O113,O207)</f>
        <v>34177797.670000002</v>
      </c>
      <c r="S34" s="6">
        <f>SUM(S35,S102,S113,S207)</f>
        <v>26143227.240000002</v>
      </c>
      <c r="T34" s="6">
        <f>SUM(T35,T102,T113,T207)</f>
        <v>16459582.609999999</v>
      </c>
      <c r="U34" s="6">
        <f>SUM(U35,U102,U113,U207)</f>
        <v>42602809.850000009</v>
      </c>
      <c r="Y34" s="9">
        <f>SUM(Y35,Y102,Y113,Y207)</f>
        <v>21786022.73</v>
      </c>
      <c r="Z34" s="9">
        <f>SUM(Z35,Z102,Z113,Z207)</f>
        <v>13716318.84</v>
      </c>
      <c r="AA34" s="9">
        <f>SUM(AA35,AA102,AA113,AA207)</f>
        <v>35502341.57</v>
      </c>
      <c r="AD34" s="4">
        <v>339118795</v>
      </c>
      <c r="AE34" s="4">
        <v>25887978</v>
      </c>
    </row>
    <row r="35" spans="1:35" ht="16.95" customHeight="1" x14ac:dyDescent="0.3">
      <c r="A35" s="10" t="s">
        <v>146</v>
      </c>
      <c r="B35" s="10" t="s">
        <v>147</v>
      </c>
      <c r="C35" s="120" t="s">
        <v>148</v>
      </c>
      <c r="D35" s="121"/>
      <c r="E35" s="121"/>
      <c r="F35" s="121"/>
      <c r="G35" s="121"/>
      <c r="H35" s="121"/>
      <c r="I35" s="122"/>
      <c r="M35" s="6">
        <f>SUM(M36,M40,M44,M46,M48,M50,M53,M55,M60,M65,M70,M76,M81,M86,M91,M97)</f>
        <v>5011332.5799999991</v>
      </c>
      <c r="N35" s="6">
        <f>SUM(N36,N40,N44,N46,N48,N50,N53,N55,N60,N65,N70,N76,N81,N86,N91,N97)</f>
        <v>6043033.25</v>
      </c>
      <c r="O35" s="6">
        <f>SUM(O36,O40,O44,O46,O48,O50,O53,O55,O60,O65,O70,O76,O81,O86,O91,O97)</f>
        <v>11054365.83</v>
      </c>
      <c r="S35" s="6">
        <f>SUM(S36,S40,S44,S46,S48,S50,S53,S55,S60,S65,S70,S76,S81,S86,S91,S97)</f>
        <v>5011329.59</v>
      </c>
      <c r="T35" s="6">
        <f>SUM(T36,T40,T44,T46,T48,T50,T53,T55,T60,T65,T70,T76,T81,T86,T91,T97)</f>
        <v>5834960.5300000003</v>
      </c>
      <c r="U35" s="6">
        <f>SUM(U36,U40,U44,U46,U48,U50,U53,U55,U60,U65,U70,U76,U81,U86,U91,U97)</f>
        <v>10846290.120000001</v>
      </c>
      <c r="Y35" s="9">
        <f>SUM(Y36,Y40,Y44,Y46,Y48,Y50,Y53,Y55,Y60,Y65,Y70,Y76,Y81,Y86,Y91,Y97)</f>
        <v>4176107.9999999995</v>
      </c>
      <c r="Z35" s="9">
        <f>SUM(Z36,Z40,Z44,Z46,Z48,Z50,Z53,Z55,Z60,Z65,Z70,Z76,Z81,Z86,Z91,Z97)</f>
        <v>4862467.1100000003</v>
      </c>
      <c r="AA35" s="9">
        <f>SUM(AA36,AA40,AA44,AA46,AA48,AA50,AA53,AA55,AA60,AA65,AA70,AA76,AA81,AA86,AA91,AA97)</f>
        <v>9038575.1099999994</v>
      </c>
      <c r="AD35" s="4">
        <v>339118796</v>
      </c>
      <c r="AE35" s="4">
        <v>25887971</v>
      </c>
    </row>
    <row r="36" spans="1:35" ht="54" x14ac:dyDescent="0.3">
      <c r="A36" s="10" t="s">
        <v>149</v>
      </c>
      <c r="B36" s="10" t="s">
        <v>150</v>
      </c>
      <c r="C36" s="14" t="s">
        <v>151</v>
      </c>
      <c r="D36" s="15" t="s">
        <v>152</v>
      </c>
      <c r="E36" s="15" t="s">
        <v>153</v>
      </c>
      <c r="F36" s="15" t="s">
        <v>75</v>
      </c>
      <c r="G36" s="16">
        <v>1</v>
      </c>
      <c r="H36" s="15"/>
      <c r="I36" s="16">
        <v>4905.38</v>
      </c>
      <c r="J36" s="17">
        <v>187.76</v>
      </c>
      <c r="K36" s="18">
        <v>400</v>
      </c>
      <c r="L36" s="17">
        <f>J36+ROUND(K36, 2)</f>
        <v>587.76</v>
      </c>
      <c r="M36" s="17">
        <v>921034.15</v>
      </c>
      <c r="N36" s="17">
        <v>1962152</v>
      </c>
      <c r="O36" s="17">
        <f>M36+N36</f>
        <v>2883186.15</v>
      </c>
      <c r="P36" s="17">
        <v>187.76</v>
      </c>
      <c r="Q36" s="19">
        <v>400</v>
      </c>
      <c r="R36" s="17">
        <f>P36+ROUND(Q36, 2)</f>
        <v>587.76</v>
      </c>
      <c r="S36" s="17">
        <v>921034.15</v>
      </c>
      <c r="T36" s="17">
        <v>1962152</v>
      </c>
      <c r="U36" s="17">
        <f>S36+T36</f>
        <v>2883186.15</v>
      </c>
      <c r="V36" s="9">
        <f>ROUND(P36 / 1.2, 2)</f>
        <v>156.47</v>
      </c>
      <c r="W36" s="9">
        <f>ROUND(Q36 / 1.2, 2)</f>
        <v>333.33</v>
      </c>
      <c r="X36" s="9">
        <f>ROUND(R36 / 1.2, 2)</f>
        <v>489.8</v>
      </c>
      <c r="Y36" s="9">
        <f>ROUND(S36 / 1.2, 2)</f>
        <v>767528.46</v>
      </c>
      <c r="Z36" s="9">
        <f>ROUND(T36 / 1.2, 2)</f>
        <v>1635126.67</v>
      </c>
      <c r="AA36" s="9">
        <f>Y36+Z36</f>
        <v>2402655.13</v>
      </c>
      <c r="AD36" s="4">
        <v>339118798</v>
      </c>
      <c r="AE36" s="4">
        <v>25888012</v>
      </c>
      <c r="AG36" s="4" t="s">
        <v>154</v>
      </c>
      <c r="AH36" s="4" t="s">
        <v>155</v>
      </c>
      <c r="AI36" s="4" t="s">
        <v>156</v>
      </c>
    </row>
    <row r="37" spans="1:35" ht="36" x14ac:dyDescent="0.3">
      <c r="A37" s="10" t="s">
        <v>157</v>
      </c>
      <c r="B37" s="10"/>
      <c r="C37" s="30" t="s">
        <v>158</v>
      </c>
      <c r="D37" s="15"/>
      <c r="E37" s="15"/>
      <c r="F37" s="25" t="s">
        <v>159</v>
      </c>
      <c r="G37" s="26">
        <v>1.6</v>
      </c>
      <c r="H37" s="15"/>
      <c r="I37" s="32">
        <v>78486.080000000002</v>
      </c>
      <c r="J37" s="27">
        <v>9.67</v>
      </c>
      <c r="M37" s="28">
        <f>ROUND(ROUND(J37, 2)*I37, 2)</f>
        <v>758960.39</v>
      </c>
      <c r="P37" s="29">
        <v>9.67</v>
      </c>
      <c r="S37" s="28">
        <f>ROUND(ROUND(P37, 2)*I37, 2)</f>
        <v>758960.39</v>
      </c>
      <c r="V37" s="9">
        <f>ROUND(ROUND(P37, 2)/1.2, 2)</f>
        <v>8.06</v>
      </c>
      <c r="Y37" s="9">
        <f t="shared" ref="Y37:Y68" si="9">ROUND(S37 / 1.2, 2)</f>
        <v>632466.99</v>
      </c>
      <c r="AD37" s="4" t="s">
        <v>160</v>
      </c>
      <c r="AE37" s="4" t="s">
        <v>161</v>
      </c>
      <c r="AF37" s="4" t="s">
        <v>162</v>
      </c>
    </row>
    <row r="38" spans="1:35" ht="18" x14ac:dyDescent="0.3">
      <c r="A38" s="10" t="s">
        <v>163</v>
      </c>
      <c r="B38" s="10"/>
      <c r="C38" s="24" t="s">
        <v>164</v>
      </c>
      <c r="D38" s="15"/>
      <c r="E38" s="15"/>
      <c r="F38" s="25" t="s">
        <v>120</v>
      </c>
      <c r="G38" s="26">
        <v>1</v>
      </c>
      <c r="H38" s="15"/>
      <c r="I38" s="32">
        <v>4905.38</v>
      </c>
      <c r="J38" s="27">
        <v>10.4</v>
      </c>
      <c r="M38" s="28">
        <f>ROUND(ROUND(J38, 2)*I38, 2)</f>
        <v>51015.95</v>
      </c>
      <c r="P38" s="29">
        <v>10.4</v>
      </c>
      <c r="S38" s="28">
        <f>ROUND(ROUND(P38, 2)*I38, 2)</f>
        <v>51015.95</v>
      </c>
      <c r="V38" s="9">
        <f>ROUND(ROUND(P38, 2)/1.2, 2)</f>
        <v>8.67</v>
      </c>
      <c r="Y38" s="9">
        <f t="shared" si="9"/>
        <v>42513.29</v>
      </c>
      <c r="AD38" s="4" t="s">
        <v>165</v>
      </c>
      <c r="AE38" s="4" t="s">
        <v>166</v>
      </c>
      <c r="AF38" s="4" t="s">
        <v>167</v>
      </c>
    </row>
    <row r="39" spans="1:35" ht="36" x14ac:dyDescent="0.3">
      <c r="A39" s="10" t="s">
        <v>168</v>
      </c>
      <c r="B39" s="10"/>
      <c r="C39" s="24" t="s">
        <v>169</v>
      </c>
      <c r="D39" s="15"/>
      <c r="E39" s="15"/>
      <c r="F39" s="25" t="s">
        <v>159</v>
      </c>
      <c r="G39" s="26">
        <v>0.255</v>
      </c>
      <c r="H39" s="15"/>
      <c r="I39" s="32">
        <v>1250.8720000000001</v>
      </c>
      <c r="J39" s="27">
        <v>88.8</v>
      </c>
      <c r="M39" s="28">
        <f>ROUND(ROUND(J39, 2)*I39, 2)</f>
        <v>111077.43</v>
      </c>
      <c r="P39" s="29">
        <v>88.8</v>
      </c>
      <c r="S39" s="28">
        <f>ROUND(ROUND(P39, 2)*I39, 2)</f>
        <v>111077.43</v>
      </c>
      <c r="V39" s="9">
        <f>ROUND(ROUND(P39, 2)/1.2, 2)</f>
        <v>74</v>
      </c>
      <c r="Y39" s="9">
        <f t="shared" si="9"/>
        <v>92564.53</v>
      </c>
      <c r="AD39" s="4" t="s">
        <v>170</v>
      </c>
      <c r="AE39" s="4" t="s">
        <v>171</v>
      </c>
      <c r="AF39" s="4" t="s">
        <v>172</v>
      </c>
    </row>
    <row r="40" spans="1:35" ht="54" x14ac:dyDescent="0.3">
      <c r="A40" s="11" t="s">
        <v>173</v>
      </c>
      <c r="B40" s="11" t="s">
        <v>150</v>
      </c>
      <c r="C40" s="20" t="s">
        <v>174</v>
      </c>
      <c r="D40" s="21" t="s">
        <v>152</v>
      </c>
      <c r="E40" s="21" t="s">
        <v>175</v>
      </c>
      <c r="F40" s="21" t="s">
        <v>75</v>
      </c>
      <c r="G40" s="22">
        <v>1</v>
      </c>
      <c r="H40" s="21"/>
      <c r="I40" s="22">
        <v>1890.45</v>
      </c>
      <c r="J40" s="23">
        <v>181.12</v>
      </c>
      <c r="K40" s="23">
        <v>400</v>
      </c>
      <c r="L40" s="23">
        <f>J40+ROUND(K40, 2)</f>
        <v>581.12</v>
      </c>
      <c r="M40" s="23">
        <v>342398.3</v>
      </c>
      <c r="N40" s="23">
        <v>756180</v>
      </c>
      <c r="O40" s="23">
        <f>M40+N40</f>
        <v>1098578.3</v>
      </c>
      <c r="P40" s="23">
        <v>181.12</v>
      </c>
      <c r="Q40" s="23">
        <v>400</v>
      </c>
      <c r="R40" s="23">
        <f>P40+ROUND(Q40, 2)</f>
        <v>581.12</v>
      </c>
      <c r="S40" s="23">
        <v>342398.3</v>
      </c>
      <c r="T40" s="23">
        <v>756180</v>
      </c>
      <c r="U40" s="23">
        <f>S40+T40</f>
        <v>1098578.3</v>
      </c>
      <c r="V40" s="9">
        <f>ROUND(P40 / 1.2, 2)</f>
        <v>150.93</v>
      </c>
      <c r="W40" s="9">
        <f>ROUND(Q40 / 1.2, 2)</f>
        <v>333.33</v>
      </c>
      <c r="X40" s="9">
        <f>ROUND(R40 / 1.2, 2)</f>
        <v>484.27</v>
      </c>
      <c r="Y40" s="9">
        <f t="shared" si="9"/>
        <v>285331.92</v>
      </c>
      <c r="Z40" s="9">
        <f>ROUND(T40 / 1.2, 2)</f>
        <v>630150</v>
      </c>
      <c r="AA40" s="9">
        <f>Y40+Z40</f>
        <v>915481.91999999993</v>
      </c>
      <c r="AD40" s="4">
        <v>339118901</v>
      </c>
      <c r="AE40" s="4">
        <v>28951149</v>
      </c>
      <c r="AG40" s="4" t="s">
        <v>154</v>
      </c>
      <c r="AH40" s="4" t="s">
        <v>155</v>
      </c>
      <c r="AI40" s="4" t="s">
        <v>156</v>
      </c>
    </row>
    <row r="41" spans="1:35" ht="36" x14ac:dyDescent="0.3">
      <c r="A41" s="11" t="s">
        <v>176</v>
      </c>
      <c r="B41" s="11"/>
      <c r="C41" s="33" t="s">
        <v>169</v>
      </c>
      <c r="D41" s="21"/>
      <c r="E41" s="21"/>
      <c r="F41" s="34" t="s">
        <v>159</v>
      </c>
      <c r="G41" s="35">
        <v>0.255</v>
      </c>
      <c r="H41" s="21"/>
      <c r="I41" s="36">
        <v>482.065</v>
      </c>
      <c r="J41" s="37">
        <v>90.28</v>
      </c>
      <c r="K41" s="12"/>
      <c r="L41" s="12"/>
      <c r="M41" s="37">
        <f>ROUND(ROUND(J41, 2)*I41, 2)</f>
        <v>43520.83</v>
      </c>
      <c r="N41" s="12"/>
      <c r="O41" s="12"/>
      <c r="P41" s="37">
        <v>90.28</v>
      </c>
      <c r="Q41" s="12"/>
      <c r="R41" s="12"/>
      <c r="S41" s="37">
        <f>ROUND(ROUND(P41, 2)*I41, 2)</f>
        <v>43520.83</v>
      </c>
      <c r="T41" s="12"/>
      <c r="U41" s="38"/>
      <c r="V41" s="9">
        <f>ROUND(ROUND(P41, 2)/1.2, 2)</f>
        <v>75.23</v>
      </c>
      <c r="Y41" s="9">
        <f t="shared" si="9"/>
        <v>36267.360000000001</v>
      </c>
      <c r="AD41" s="4" t="s">
        <v>177</v>
      </c>
      <c r="AE41" s="4" t="s">
        <v>178</v>
      </c>
      <c r="AF41" s="4" t="s">
        <v>172</v>
      </c>
    </row>
    <row r="42" spans="1:35" ht="18" x14ac:dyDescent="0.3">
      <c r="A42" s="11" t="s">
        <v>179</v>
      </c>
      <c r="B42" s="11"/>
      <c r="C42" s="33" t="s">
        <v>164</v>
      </c>
      <c r="D42" s="21"/>
      <c r="E42" s="21"/>
      <c r="F42" s="34" t="s">
        <v>120</v>
      </c>
      <c r="G42" s="35">
        <v>1</v>
      </c>
      <c r="H42" s="21"/>
      <c r="I42" s="36">
        <v>1890.45</v>
      </c>
      <c r="J42" s="37">
        <v>10.58</v>
      </c>
      <c r="K42" s="12"/>
      <c r="L42" s="12"/>
      <c r="M42" s="37">
        <f>ROUND(ROUND(J42, 2)*I42, 2)</f>
        <v>20000.96</v>
      </c>
      <c r="N42" s="12"/>
      <c r="O42" s="12"/>
      <c r="P42" s="37">
        <v>10.58</v>
      </c>
      <c r="Q42" s="12"/>
      <c r="R42" s="12"/>
      <c r="S42" s="37">
        <f>ROUND(ROUND(P42, 2)*I42, 2)</f>
        <v>20000.96</v>
      </c>
      <c r="T42" s="12"/>
      <c r="U42" s="38"/>
      <c r="V42" s="9">
        <f>ROUND(ROUND(P42, 2)/1.2, 2)</f>
        <v>8.82</v>
      </c>
      <c r="Y42" s="9">
        <f t="shared" si="9"/>
        <v>16667.47</v>
      </c>
      <c r="AD42" s="4" t="s">
        <v>180</v>
      </c>
      <c r="AE42" s="4" t="s">
        <v>181</v>
      </c>
      <c r="AF42" s="4" t="s">
        <v>167</v>
      </c>
    </row>
    <row r="43" spans="1:35" ht="36" x14ac:dyDescent="0.3">
      <c r="A43" s="11" t="s">
        <v>182</v>
      </c>
      <c r="B43" s="11"/>
      <c r="C43" s="30" t="s">
        <v>158</v>
      </c>
      <c r="D43" s="21"/>
      <c r="E43" s="21"/>
      <c r="F43" s="34" t="s">
        <v>159</v>
      </c>
      <c r="G43" s="35">
        <v>1.6</v>
      </c>
      <c r="H43" s="21"/>
      <c r="I43" s="36">
        <v>30247.200000000001</v>
      </c>
      <c r="J43" s="37">
        <v>9.2200000000000006</v>
      </c>
      <c r="K43" s="12"/>
      <c r="L43" s="12"/>
      <c r="M43" s="37">
        <f>ROUND(ROUND(J43, 2)*I43, 2)</f>
        <v>278879.18</v>
      </c>
      <c r="N43" s="12"/>
      <c r="O43" s="12"/>
      <c r="P43" s="37">
        <v>9.2200000000000006</v>
      </c>
      <c r="Q43" s="12"/>
      <c r="R43" s="12"/>
      <c r="S43" s="37">
        <f>ROUND(ROUND(P43, 2)*I43, 2)</f>
        <v>278879.18</v>
      </c>
      <c r="T43" s="12"/>
      <c r="U43" s="38"/>
      <c r="V43" s="9">
        <f>ROUND(ROUND(P43, 2)/1.2, 2)</f>
        <v>7.68</v>
      </c>
      <c r="Y43" s="9">
        <f t="shared" si="9"/>
        <v>232399.32</v>
      </c>
      <c r="AD43" s="4" t="s">
        <v>183</v>
      </c>
      <c r="AE43" s="4" t="s">
        <v>184</v>
      </c>
      <c r="AF43" s="4" t="s">
        <v>162</v>
      </c>
    </row>
    <row r="44" spans="1:35" ht="54" x14ac:dyDescent="0.3">
      <c r="A44" s="10" t="s">
        <v>185</v>
      </c>
      <c r="B44" s="10" t="s">
        <v>186</v>
      </c>
      <c r="C44" s="14" t="s">
        <v>187</v>
      </c>
      <c r="D44" s="15"/>
      <c r="E44" s="15" t="s">
        <v>188</v>
      </c>
      <c r="F44" s="15" t="s">
        <v>75</v>
      </c>
      <c r="G44" s="16">
        <v>1</v>
      </c>
      <c r="H44" s="15"/>
      <c r="I44" s="16">
        <v>76.349999999999994</v>
      </c>
      <c r="J44" s="17">
        <v>51.44</v>
      </c>
      <c r="K44" s="18">
        <v>40</v>
      </c>
      <c r="L44" s="17">
        <f>J44+ROUND(K44, 2)</f>
        <v>91.44</v>
      </c>
      <c r="M44" s="17">
        <v>3927.44</v>
      </c>
      <c r="N44" s="17">
        <v>3054</v>
      </c>
      <c r="O44" s="17">
        <f>M44+N44</f>
        <v>6981.4400000000005</v>
      </c>
      <c r="P44" s="17">
        <v>51.44</v>
      </c>
      <c r="Q44" s="19">
        <v>40</v>
      </c>
      <c r="R44" s="17">
        <f>P44+ROUND(Q44, 2)</f>
        <v>91.44</v>
      </c>
      <c r="S44" s="17">
        <v>3927.44</v>
      </c>
      <c r="T44" s="17">
        <v>3054</v>
      </c>
      <c r="U44" s="17">
        <f>S44+T44</f>
        <v>6981.4400000000005</v>
      </c>
      <c r="V44" s="9">
        <f>ROUND(P44 / 1.2, 2)</f>
        <v>42.87</v>
      </c>
      <c r="W44" s="9">
        <f>ROUND(Q44 / 1.2, 2)</f>
        <v>33.33</v>
      </c>
      <c r="X44" s="9">
        <f>ROUND(R44 / 1.2, 2)</f>
        <v>76.2</v>
      </c>
      <c r="Y44" s="9">
        <f t="shared" si="9"/>
        <v>3272.87</v>
      </c>
      <c r="Z44" s="9">
        <f>ROUND(T44 / 1.2, 2)</f>
        <v>2545</v>
      </c>
      <c r="AA44" s="9">
        <f>Y44+Z44</f>
        <v>5817.87</v>
      </c>
      <c r="AD44" s="4">
        <v>339118800</v>
      </c>
      <c r="AE44" s="4">
        <v>25888003</v>
      </c>
      <c r="AG44" s="4" t="s">
        <v>189</v>
      </c>
      <c r="AH44" s="4" t="s">
        <v>190</v>
      </c>
      <c r="AI44" s="4" t="s">
        <v>156</v>
      </c>
    </row>
    <row r="45" spans="1:35" ht="18" x14ac:dyDescent="0.3">
      <c r="A45" s="10" t="s">
        <v>191</v>
      </c>
      <c r="B45" s="10"/>
      <c r="C45" s="24" t="s">
        <v>192</v>
      </c>
      <c r="D45" s="15"/>
      <c r="E45" s="15"/>
      <c r="F45" s="25" t="s">
        <v>75</v>
      </c>
      <c r="G45" s="26">
        <v>1.1000000000000001</v>
      </c>
      <c r="H45" s="15"/>
      <c r="I45" s="26">
        <v>83.984999999999999</v>
      </c>
      <c r="J45" s="27">
        <v>46.76</v>
      </c>
      <c r="M45" s="28">
        <f>ROUND(ROUND(J45, 2)*I45, 2)</f>
        <v>3927.14</v>
      </c>
      <c r="P45" s="29">
        <v>46.76</v>
      </c>
      <c r="S45" s="28">
        <f>ROUND(ROUND(P45, 2)*I45, 2)</f>
        <v>3927.14</v>
      </c>
      <c r="V45" s="9">
        <f>ROUND(ROUND(P45, 2)/1.2, 2)</f>
        <v>38.97</v>
      </c>
      <c r="Y45" s="9">
        <f t="shared" si="9"/>
        <v>3272.62</v>
      </c>
      <c r="AD45" s="4" t="s">
        <v>193</v>
      </c>
      <c r="AE45" s="4" t="s">
        <v>194</v>
      </c>
      <c r="AF45" s="4" t="s">
        <v>195</v>
      </c>
    </row>
    <row r="46" spans="1:35" ht="36" x14ac:dyDescent="0.3">
      <c r="A46" s="11" t="s">
        <v>196</v>
      </c>
      <c r="B46" s="11" t="s">
        <v>186</v>
      </c>
      <c r="C46" s="20" t="s">
        <v>187</v>
      </c>
      <c r="D46" s="21"/>
      <c r="E46" s="21" t="s">
        <v>175</v>
      </c>
      <c r="F46" s="21" t="s">
        <v>75</v>
      </c>
      <c r="G46" s="22">
        <v>1</v>
      </c>
      <c r="H46" s="21"/>
      <c r="I46" s="22">
        <v>116.53</v>
      </c>
      <c r="J46" s="23">
        <v>52.29</v>
      </c>
      <c r="K46" s="23">
        <v>40</v>
      </c>
      <c r="L46" s="23">
        <f>J46+ROUND(K46, 2)</f>
        <v>92.289999999999992</v>
      </c>
      <c r="M46" s="23">
        <v>6093.35</v>
      </c>
      <c r="N46" s="23">
        <v>4661.2</v>
      </c>
      <c r="O46" s="23">
        <f>M46+N46</f>
        <v>10754.55</v>
      </c>
      <c r="P46" s="23">
        <v>52.29</v>
      </c>
      <c r="Q46" s="23">
        <v>40</v>
      </c>
      <c r="R46" s="23">
        <f>P46+ROUND(Q46, 2)</f>
        <v>92.289999999999992</v>
      </c>
      <c r="S46" s="23">
        <v>6093.35</v>
      </c>
      <c r="T46" s="23">
        <v>4661.2</v>
      </c>
      <c r="U46" s="23">
        <f>S46+T46</f>
        <v>10754.55</v>
      </c>
      <c r="V46" s="9">
        <f>ROUND(P46 / 1.2, 2)</f>
        <v>43.58</v>
      </c>
      <c r="W46" s="9">
        <f>ROUND(Q46 / 1.2, 2)</f>
        <v>33.33</v>
      </c>
      <c r="X46" s="9">
        <f>ROUND(R46 / 1.2, 2)</f>
        <v>76.91</v>
      </c>
      <c r="Y46" s="9">
        <f t="shared" si="9"/>
        <v>5077.79</v>
      </c>
      <c r="Z46" s="9">
        <f>ROUND(T46 / 1.2, 2)</f>
        <v>3884.33</v>
      </c>
      <c r="AA46" s="9">
        <f>Y46+Z46</f>
        <v>8962.119999999999</v>
      </c>
      <c r="AD46" s="4">
        <v>339118902</v>
      </c>
      <c r="AE46" s="4">
        <v>28951150</v>
      </c>
      <c r="AG46" s="4" t="s">
        <v>189</v>
      </c>
      <c r="AH46" s="4" t="s">
        <v>190</v>
      </c>
      <c r="AI46" s="4" t="s">
        <v>156</v>
      </c>
    </row>
    <row r="47" spans="1:35" ht="18" x14ac:dyDescent="0.3">
      <c r="A47" s="11" t="s">
        <v>197</v>
      </c>
      <c r="B47" s="11"/>
      <c r="C47" s="33" t="s">
        <v>192</v>
      </c>
      <c r="D47" s="21"/>
      <c r="E47" s="21"/>
      <c r="F47" s="34" t="s">
        <v>75</v>
      </c>
      <c r="G47" s="35">
        <v>1.1000000000000001</v>
      </c>
      <c r="H47" s="21"/>
      <c r="I47" s="35">
        <v>128.18299999999999</v>
      </c>
      <c r="J47" s="37">
        <v>47.54</v>
      </c>
      <c r="K47" s="12"/>
      <c r="L47" s="12"/>
      <c r="M47" s="37">
        <f>ROUND(ROUND(J47, 2)*I47, 2)</f>
        <v>6093.82</v>
      </c>
      <c r="N47" s="12"/>
      <c r="O47" s="12"/>
      <c r="P47" s="37">
        <v>47.54</v>
      </c>
      <c r="Q47" s="12"/>
      <c r="R47" s="12"/>
      <c r="S47" s="37">
        <f>ROUND(ROUND(P47, 2)*I47, 2)</f>
        <v>6093.82</v>
      </c>
      <c r="T47" s="12"/>
      <c r="U47" s="38"/>
      <c r="V47" s="9">
        <f>ROUND(ROUND(P47, 2)/1.2, 2)</f>
        <v>39.619999999999997</v>
      </c>
      <c r="Y47" s="9">
        <f t="shared" si="9"/>
        <v>5078.18</v>
      </c>
      <c r="AD47" s="4" t="s">
        <v>198</v>
      </c>
      <c r="AE47" s="4" t="s">
        <v>199</v>
      </c>
      <c r="AF47" s="4" t="s">
        <v>195</v>
      </c>
    </row>
    <row r="48" spans="1:35" ht="54" x14ac:dyDescent="0.3">
      <c r="A48" s="11" t="s">
        <v>200</v>
      </c>
      <c r="B48" s="11" t="s">
        <v>186</v>
      </c>
      <c r="C48" s="20" t="s">
        <v>187</v>
      </c>
      <c r="D48" s="21"/>
      <c r="E48" s="21" t="s">
        <v>201</v>
      </c>
      <c r="F48" s="21" t="s">
        <v>75</v>
      </c>
      <c r="G48" s="22">
        <v>1</v>
      </c>
      <c r="H48" s="21"/>
      <c r="I48" s="22">
        <v>86.33</v>
      </c>
      <c r="J48" s="23">
        <v>52.29</v>
      </c>
      <c r="K48" s="23">
        <v>40</v>
      </c>
      <c r="L48" s="23">
        <f>J48+ROUND(K48, 2)</f>
        <v>92.289999999999992</v>
      </c>
      <c r="M48" s="23">
        <v>4514.2</v>
      </c>
      <c r="N48" s="23">
        <v>3453.2</v>
      </c>
      <c r="O48" s="23">
        <f>M48+N48</f>
        <v>7967.4</v>
      </c>
      <c r="P48" s="23">
        <v>52.29</v>
      </c>
      <c r="Q48" s="23">
        <v>40</v>
      </c>
      <c r="R48" s="23">
        <f>P48+ROUND(Q48, 2)</f>
        <v>92.289999999999992</v>
      </c>
      <c r="S48" s="23">
        <v>4514.2</v>
      </c>
      <c r="T48" s="23">
        <v>3453.2</v>
      </c>
      <c r="U48" s="23">
        <f>S48+T48</f>
        <v>7967.4</v>
      </c>
      <c r="V48" s="9">
        <f>ROUND(P48 / 1.2, 2)</f>
        <v>43.58</v>
      </c>
      <c r="W48" s="9">
        <f>ROUND(Q48 / 1.2, 2)</f>
        <v>33.33</v>
      </c>
      <c r="X48" s="9">
        <f>ROUND(R48 / 1.2, 2)</f>
        <v>76.91</v>
      </c>
      <c r="Y48" s="9">
        <f t="shared" si="9"/>
        <v>3761.83</v>
      </c>
      <c r="Z48" s="9">
        <f>ROUND(T48 / 1.2, 2)</f>
        <v>2877.67</v>
      </c>
      <c r="AA48" s="9">
        <f>Y48+Z48</f>
        <v>6639.5</v>
      </c>
      <c r="AD48" s="4">
        <v>339118903</v>
      </c>
      <c r="AE48" s="4">
        <v>28964108</v>
      </c>
      <c r="AG48" s="4" t="s">
        <v>189</v>
      </c>
      <c r="AH48" s="4" t="s">
        <v>190</v>
      </c>
      <c r="AI48" s="4" t="s">
        <v>156</v>
      </c>
    </row>
    <row r="49" spans="1:35" ht="18" x14ac:dyDescent="0.3">
      <c r="A49" s="11" t="s">
        <v>202</v>
      </c>
      <c r="B49" s="11"/>
      <c r="C49" s="33" t="s">
        <v>192</v>
      </c>
      <c r="D49" s="21"/>
      <c r="E49" s="21"/>
      <c r="F49" s="34" t="s">
        <v>75</v>
      </c>
      <c r="G49" s="35">
        <v>1.1000000000000001</v>
      </c>
      <c r="H49" s="21"/>
      <c r="I49" s="35">
        <v>94.962999999999994</v>
      </c>
      <c r="J49" s="37">
        <v>47.54</v>
      </c>
      <c r="K49" s="12"/>
      <c r="L49" s="12"/>
      <c r="M49" s="37">
        <f>ROUND(ROUND(J49, 2)*I49, 2)</f>
        <v>4514.54</v>
      </c>
      <c r="N49" s="12"/>
      <c r="O49" s="12"/>
      <c r="P49" s="37">
        <v>47.54</v>
      </c>
      <c r="Q49" s="12"/>
      <c r="R49" s="12"/>
      <c r="S49" s="37">
        <f>ROUND(ROUND(P49, 2)*I49, 2)</f>
        <v>4514.54</v>
      </c>
      <c r="T49" s="12"/>
      <c r="U49" s="38"/>
      <c r="V49" s="9">
        <f>ROUND(ROUND(P49, 2)/1.2, 2)</f>
        <v>39.619999999999997</v>
      </c>
      <c r="Y49" s="9">
        <f t="shared" si="9"/>
        <v>3762.12</v>
      </c>
      <c r="AD49" s="4" t="s">
        <v>203</v>
      </c>
      <c r="AE49" s="4" t="s">
        <v>204</v>
      </c>
      <c r="AF49" s="4" t="s">
        <v>195</v>
      </c>
    </row>
    <row r="50" spans="1:35" ht="36" x14ac:dyDescent="0.3">
      <c r="A50" s="10" t="s">
        <v>205</v>
      </c>
      <c r="B50" s="10" t="s">
        <v>206</v>
      </c>
      <c r="C50" s="14" t="s">
        <v>207</v>
      </c>
      <c r="D50" s="15"/>
      <c r="E50" s="15" t="s">
        <v>208</v>
      </c>
      <c r="F50" s="15" t="s">
        <v>75</v>
      </c>
      <c r="G50" s="16">
        <v>1</v>
      </c>
      <c r="H50" s="15"/>
      <c r="I50" s="16">
        <v>47.77</v>
      </c>
      <c r="J50" s="17">
        <v>68.430000000000007</v>
      </c>
      <c r="K50" s="18">
        <v>117</v>
      </c>
      <c r="L50" s="17">
        <f>J50+ROUND(K50, 2)</f>
        <v>185.43</v>
      </c>
      <c r="M50" s="17">
        <v>3268.9</v>
      </c>
      <c r="N50" s="17">
        <v>5589.09</v>
      </c>
      <c r="O50" s="17">
        <f>M50+N50</f>
        <v>8857.99</v>
      </c>
      <c r="P50" s="17">
        <v>68.430000000000007</v>
      </c>
      <c r="Q50" s="19">
        <v>117</v>
      </c>
      <c r="R50" s="17">
        <f>P50+ROUND(Q50, 2)</f>
        <v>185.43</v>
      </c>
      <c r="S50" s="17">
        <v>3268.9</v>
      </c>
      <c r="T50" s="17">
        <v>5589.09</v>
      </c>
      <c r="U50" s="17">
        <f>S50+T50</f>
        <v>8857.99</v>
      </c>
      <c r="V50" s="9">
        <f>ROUND(P50 / 1.2, 2)</f>
        <v>57.03</v>
      </c>
      <c r="W50" s="9">
        <f>ROUND(Q50 / 1.2, 2)</f>
        <v>97.5</v>
      </c>
      <c r="X50" s="9">
        <f>ROUND(R50 / 1.2, 2)</f>
        <v>154.53</v>
      </c>
      <c r="Y50" s="9">
        <f t="shared" si="9"/>
        <v>2724.08</v>
      </c>
      <c r="Z50" s="9">
        <f>ROUND(T50 / 1.2, 2)</f>
        <v>4657.58</v>
      </c>
      <c r="AA50" s="9">
        <f>Y50+Z50</f>
        <v>7381.66</v>
      </c>
      <c r="AD50" s="4">
        <v>339118802</v>
      </c>
      <c r="AE50" s="4">
        <v>25888005</v>
      </c>
      <c r="AG50" s="4" t="s">
        <v>209</v>
      </c>
      <c r="AH50" s="4" t="s">
        <v>210</v>
      </c>
      <c r="AI50" s="4" t="s">
        <v>156</v>
      </c>
    </row>
    <row r="51" spans="1:35" ht="36" x14ac:dyDescent="0.3">
      <c r="A51" s="10" t="s">
        <v>211</v>
      </c>
      <c r="B51" s="10"/>
      <c r="C51" s="24" t="s">
        <v>212</v>
      </c>
      <c r="D51" s="15"/>
      <c r="E51" s="15"/>
      <c r="F51" s="25" t="s">
        <v>159</v>
      </c>
      <c r="G51" s="26">
        <v>0.3</v>
      </c>
      <c r="H51" s="15"/>
      <c r="I51" s="26">
        <v>14.331</v>
      </c>
      <c r="J51" s="27">
        <v>179.17</v>
      </c>
      <c r="M51" s="28">
        <f>ROUND(ROUND(J51, 2)*I51, 2)</f>
        <v>2567.69</v>
      </c>
      <c r="P51" s="29">
        <v>179.17</v>
      </c>
      <c r="S51" s="28">
        <f>ROUND(ROUND(P51, 2)*I51, 2)</f>
        <v>2567.69</v>
      </c>
      <c r="V51" s="9">
        <f>ROUND(ROUND(P51, 2)/1.2, 2)</f>
        <v>149.31</v>
      </c>
      <c r="Y51" s="9">
        <f t="shared" si="9"/>
        <v>2139.7399999999998</v>
      </c>
      <c r="AD51" s="4" t="s">
        <v>213</v>
      </c>
      <c r="AE51" s="4" t="s">
        <v>214</v>
      </c>
      <c r="AF51" s="4" t="s">
        <v>215</v>
      </c>
    </row>
    <row r="52" spans="1:35" ht="18" x14ac:dyDescent="0.3">
      <c r="A52" s="10" t="s">
        <v>216</v>
      </c>
      <c r="B52" s="10"/>
      <c r="C52" s="24" t="s">
        <v>217</v>
      </c>
      <c r="D52" s="15"/>
      <c r="E52" s="15"/>
      <c r="F52" s="25" t="s">
        <v>159</v>
      </c>
      <c r="G52" s="26">
        <v>0.2</v>
      </c>
      <c r="H52" s="15"/>
      <c r="I52" s="26">
        <v>9.5540000000000003</v>
      </c>
      <c r="J52" s="27">
        <v>73.39</v>
      </c>
      <c r="M52" s="28">
        <f>ROUND(ROUND(J52, 2)*I52, 2)</f>
        <v>701.17</v>
      </c>
      <c r="P52" s="29">
        <v>73.39</v>
      </c>
      <c r="S52" s="28">
        <f>ROUND(ROUND(P52, 2)*I52, 2)</f>
        <v>701.17</v>
      </c>
      <c r="V52" s="9">
        <f>ROUND(ROUND(P52, 2)/1.2, 2)</f>
        <v>61.16</v>
      </c>
      <c r="Y52" s="9">
        <f t="shared" si="9"/>
        <v>584.30999999999995</v>
      </c>
      <c r="AD52" s="4" t="s">
        <v>218</v>
      </c>
      <c r="AE52" s="4" t="s">
        <v>219</v>
      </c>
      <c r="AF52" s="4" t="s">
        <v>220</v>
      </c>
    </row>
    <row r="53" spans="1:35" ht="18" x14ac:dyDescent="0.3">
      <c r="A53" s="10" t="s">
        <v>221</v>
      </c>
      <c r="B53" s="10" t="s">
        <v>222</v>
      </c>
      <c r="C53" s="14" t="s">
        <v>223</v>
      </c>
      <c r="D53" s="15"/>
      <c r="E53" s="15" t="s">
        <v>224</v>
      </c>
      <c r="F53" s="15" t="s">
        <v>75</v>
      </c>
      <c r="G53" s="16">
        <v>1</v>
      </c>
      <c r="H53" s="15"/>
      <c r="I53" s="16">
        <v>72.94</v>
      </c>
      <c r="J53" s="17">
        <v>4.5</v>
      </c>
      <c r="K53" s="18">
        <v>471</v>
      </c>
      <c r="L53" s="17">
        <f>J53+ROUND(K53, 2)</f>
        <v>475.5</v>
      </c>
      <c r="M53" s="17">
        <v>328.23</v>
      </c>
      <c r="N53" s="17">
        <v>34354.74</v>
      </c>
      <c r="O53" s="17">
        <f>M53+N53</f>
        <v>34682.97</v>
      </c>
      <c r="P53" s="17">
        <v>4.5</v>
      </c>
      <c r="Q53" s="19">
        <v>471</v>
      </c>
      <c r="R53" s="17">
        <f>P53+ROUND(Q53, 2)</f>
        <v>475.5</v>
      </c>
      <c r="S53" s="17">
        <v>328.23</v>
      </c>
      <c r="T53" s="17">
        <v>34354.74</v>
      </c>
      <c r="U53" s="17">
        <f>S53+T53</f>
        <v>34682.97</v>
      </c>
      <c r="V53" s="9">
        <f>ROUND(P53 / 1.2, 2)</f>
        <v>3.75</v>
      </c>
      <c r="W53" s="9">
        <f>ROUND(Q53 / 1.2, 2)</f>
        <v>392.5</v>
      </c>
      <c r="X53" s="9">
        <f>ROUND(R53 / 1.2, 2)</f>
        <v>396.25</v>
      </c>
      <c r="Y53" s="9">
        <f t="shared" si="9"/>
        <v>273.52999999999997</v>
      </c>
      <c r="Z53" s="9">
        <f>ROUND(T53 / 1.2, 2)</f>
        <v>28628.95</v>
      </c>
      <c r="AA53" s="9">
        <f>Y53+Z53</f>
        <v>28902.48</v>
      </c>
      <c r="AD53" s="4">
        <v>339118804</v>
      </c>
      <c r="AE53" s="4">
        <v>25887989</v>
      </c>
      <c r="AG53" s="4" t="s">
        <v>225</v>
      </c>
      <c r="AH53" s="4" t="s">
        <v>226</v>
      </c>
      <c r="AI53" s="4" t="s">
        <v>156</v>
      </c>
    </row>
    <row r="54" spans="1:35" ht="18" x14ac:dyDescent="0.3">
      <c r="A54" s="10" t="s">
        <v>227</v>
      </c>
      <c r="B54" s="10"/>
      <c r="C54" s="24" t="s">
        <v>228</v>
      </c>
      <c r="D54" s="15"/>
      <c r="E54" s="15"/>
      <c r="F54" s="25" t="s">
        <v>159</v>
      </c>
      <c r="G54" s="26">
        <v>0.6</v>
      </c>
      <c r="H54" s="15"/>
      <c r="I54" s="32">
        <v>43.764000000000003</v>
      </c>
      <c r="J54" s="27">
        <v>7.5</v>
      </c>
      <c r="M54" s="28">
        <f>ROUND(ROUND(J54, 2)*I54, 2)</f>
        <v>328.23</v>
      </c>
      <c r="P54" s="29">
        <v>7.5</v>
      </c>
      <c r="S54" s="28">
        <f>ROUND(ROUND(P54, 2)*I54, 2)</f>
        <v>328.23</v>
      </c>
      <c r="V54" s="9">
        <f>ROUND(ROUND(P54, 2)/1.2, 2)</f>
        <v>6.25</v>
      </c>
      <c r="Y54" s="9">
        <f t="shared" si="9"/>
        <v>273.52999999999997</v>
      </c>
      <c r="AD54" s="4" t="s">
        <v>229</v>
      </c>
      <c r="AE54" s="4" t="s">
        <v>230</v>
      </c>
      <c r="AF54" s="4" t="s">
        <v>231</v>
      </c>
    </row>
    <row r="55" spans="1:35" ht="36" x14ac:dyDescent="0.3">
      <c r="A55" s="10" t="s">
        <v>232</v>
      </c>
      <c r="B55" s="10" t="s">
        <v>233</v>
      </c>
      <c r="C55" s="14" t="s">
        <v>234</v>
      </c>
      <c r="D55" s="15"/>
      <c r="E55" s="15" t="s">
        <v>235</v>
      </c>
      <c r="F55" s="15" t="s">
        <v>75</v>
      </c>
      <c r="G55" s="16">
        <v>1</v>
      </c>
      <c r="H55" s="15"/>
      <c r="I55" s="16">
        <v>46.62</v>
      </c>
      <c r="J55" s="17">
        <v>734.43</v>
      </c>
      <c r="K55" s="18">
        <v>789</v>
      </c>
      <c r="L55" s="17">
        <f>J55+ROUND(K55, 2)</f>
        <v>1523.4299999999998</v>
      </c>
      <c r="M55" s="17">
        <v>34239.129999999997</v>
      </c>
      <c r="N55" s="17">
        <v>36783.18</v>
      </c>
      <c r="O55" s="17">
        <f>M55+N55</f>
        <v>71022.31</v>
      </c>
      <c r="P55" s="17">
        <v>734.43</v>
      </c>
      <c r="Q55" s="19">
        <v>789</v>
      </c>
      <c r="R55" s="17">
        <f>P55+ROUND(Q55, 2)</f>
        <v>1523.4299999999998</v>
      </c>
      <c r="S55" s="17">
        <v>34239.129999999997</v>
      </c>
      <c r="T55" s="17">
        <v>36783.18</v>
      </c>
      <c r="U55" s="17">
        <f>S55+T55</f>
        <v>71022.31</v>
      </c>
      <c r="V55" s="9">
        <f>ROUND(P55 / 1.2, 2)</f>
        <v>612.03</v>
      </c>
      <c r="W55" s="9">
        <f>ROUND(Q55 / 1.2, 2)</f>
        <v>657.5</v>
      </c>
      <c r="X55" s="9">
        <f>ROUND(R55 / 1.2, 2)</f>
        <v>1269.53</v>
      </c>
      <c r="Y55" s="9">
        <f t="shared" si="9"/>
        <v>28532.61</v>
      </c>
      <c r="Z55" s="9">
        <f>ROUND(T55 / 1.2, 2)</f>
        <v>30652.65</v>
      </c>
      <c r="AA55" s="9">
        <f>Y55+Z55</f>
        <v>59185.26</v>
      </c>
      <c r="AD55" s="4">
        <v>339118806</v>
      </c>
      <c r="AE55" s="4">
        <v>25887992</v>
      </c>
      <c r="AG55" s="4" t="s">
        <v>236</v>
      </c>
      <c r="AH55" s="4" t="s">
        <v>237</v>
      </c>
      <c r="AI55" s="4" t="s">
        <v>156</v>
      </c>
    </row>
    <row r="56" spans="1:35" ht="18" x14ac:dyDescent="0.3">
      <c r="A56" s="10" t="s">
        <v>238</v>
      </c>
      <c r="B56" s="10"/>
      <c r="C56" s="24" t="s">
        <v>239</v>
      </c>
      <c r="D56" s="15"/>
      <c r="E56" s="15"/>
      <c r="F56" s="25" t="s">
        <v>240</v>
      </c>
      <c r="G56" s="26">
        <v>8</v>
      </c>
      <c r="H56" s="15"/>
      <c r="I56" s="32">
        <v>372.96</v>
      </c>
      <c r="J56" s="27">
        <v>2.5</v>
      </c>
      <c r="M56" s="28">
        <f>ROUND(ROUND(J56, 2)*I56, 2)</f>
        <v>932.4</v>
      </c>
      <c r="P56" s="29">
        <v>2.5</v>
      </c>
      <c r="S56" s="28">
        <f>ROUND(ROUND(P56, 2)*I56, 2)</f>
        <v>932.4</v>
      </c>
      <c r="V56" s="9">
        <f>ROUND(ROUND(P56, 2)/1.2, 2)</f>
        <v>2.08</v>
      </c>
      <c r="Y56" s="9">
        <f t="shared" si="9"/>
        <v>777</v>
      </c>
      <c r="AD56" s="4" t="s">
        <v>241</v>
      </c>
      <c r="AE56" s="4" t="s">
        <v>242</v>
      </c>
      <c r="AF56" s="4" t="s">
        <v>243</v>
      </c>
    </row>
    <row r="57" spans="1:35" ht="18" x14ac:dyDescent="0.3">
      <c r="A57" s="10" t="s">
        <v>244</v>
      </c>
      <c r="B57" s="10"/>
      <c r="C57" s="24" t="s">
        <v>245</v>
      </c>
      <c r="D57" s="15"/>
      <c r="E57" s="15"/>
      <c r="F57" s="25" t="s">
        <v>159</v>
      </c>
      <c r="G57" s="26">
        <v>1.8</v>
      </c>
      <c r="H57" s="15"/>
      <c r="I57" s="32">
        <v>3356.64</v>
      </c>
      <c r="J57" s="27">
        <v>7.41</v>
      </c>
      <c r="M57" s="28">
        <f>ROUND(ROUND(J57, 2)*I57, 2)</f>
        <v>24872.7</v>
      </c>
      <c r="P57" s="29">
        <v>7.41</v>
      </c>
      <c r="S57" s="28">
        <f>ROUND(ROUND(P57, 2)*I57, 2)</f>
        <v>24872.7</v>
      </c>
      <c r="V57" s="9">
        <f>ROUND(ROUND(P57, 2)/1.2, 2)</f>
        <v>6.18</v>
      </c>
      <c r="Y57" s="9">
        <f t="shared" si="9"/>
        <v>20727.25</v>
      </c>
      <c r="AD57" s="4" t="s">
        <v>246</v>
      </c>
      <c r="AE57" s="4" t="s">
        <v>247</v>
      </c>
      <c r="AF57" s="4" t="s">
        <v>248</v>
      </c>
    </row>
    <row r="58" spans="1:35" ht="18" x14ac:dyDescent="0.3">
      <c r="A58" s="10" t="s">
        <v>249</v>
      </c>
      <c r="B58" s="10"/>
      <c r="C58" s="24" t="s">
        <v>250</v>
      </c>
      <c r="D58" s="15"/>
      <c r="E58" s="15"/>
      <c r="F58" s="25" t="s">
        <v>75</v>
      </c>
      <c r="G58" s="26">
        <v>1.1000000000000001</v>
      </c>
      <c r="H58" s="15"/>
      <c r="I58" s="32">
        <v>51.281999999999996</v>
      </c>
      <c r="J58" s="27">
        <v>155.01</v>
      </c>
      <c r="M58" s="28">
        <f>ROUND(ROUND(J58, 2)*I58, 2)</f>
        <v>7949.22</v>
      </c>
      <c r="P58" s="29">
        <v>155.01</v>
      </c>
      <c r="S58" s="28">
        <f>ROUND(ROUND(P58, 2)*I58, 2)</f>
        <v>7949.22</v>
      </c>
      <c r="V58" s="9">
        <f>ROUND(ROUND(P58, 2)/1.2, 2)</f>
        <v>129.18</v>
      </c>
      <c r="Y58" s="9">
        <f t="shared" si="9"/>
        <v>6624.35</v>
      </c>
      <c r="AD58" s="4" t="s">
        <v>251</v>
      </c>
      <c r="AE58" s="4" t="s">
        <v>252</v>
      </c>
      <c r="AF58" s="4" t="s">
        <v>253</v>
      </c>
    </row>
    <row r="59" spans="1:35" ht="18" x14ac:dyDescent="0.3">
      <c r="A59" s="10" t="s">
        <v>254</v>
      </c>
      <c r="B59" s="10"/>
      <c r="C59" s="24" t="s">
        <v>164</v>
      </c>
      <c r="D59" s="15"/>
      <c r="E59" s="15"/>
      <c r="F59" s="25" t="s">
        <v>120</v>
      </c>
      <c r="G59" s="26">
        <v>1</v>
      </c>
      <c r="H59" s="15"/>
      <c r="I59" s="32">
        <v>46.62</v>
      </c>
      <c r="J59" s="27">
        <v>10.4</v>
      </c>
      <c r="M59" s="28">
        <f>ROUND(ROUND(J59, 2)*I59, 2)</f>
        <v>484.85</v>
      </c>
      <c r="P59" s="29">
        <v>10.4</v>
      </c>
      <c r="S59" s="28">
        <f>ROUND(ROUND(P59, 2)*I59, 2)</f>
        <v>484.85</v>
      </c>
      <c r="V59" s="9">
        <f>ROUND(ROUND(P59, 2)/1.2, 2)</f>
        <v>8.67</v>
      </c>
      <c r="Y59" s="9">
        <f t="shared" si="9"/>
        <v>404.04</v>
      </c>
      <c r="AD59" s="4" t="s">
        <v>255</v>
      </c>
      <c r="AE59" s="4" t="s">
        <v>256</v>
      </c>
      <c r="AF59" s="4" t="s">
        <v>167</v>
      </c>
    </row>
    <row r="60" spans="1:35" ht="36" x14ac:dyDescent="0.3">
      <c r="A60" s="10" t="s">
        <v>257</v>
      </c>
      <c r="B60" s="10" t="s">
        <v>258</v>
      </c>
      <c r="C60" s="14" t="s">
        <v>259</v>
      </c>
      <c r="D60" s="15"/>
      <c r="E60" s="15" t="s">
        <v>260</v>
      </c>
      <c r="F60" s="15" t="s">
        <v>75</v>
      </c>
      <c r="G60" s="16">
        <v>1</v>
      </c>
      <c r="H60" s="15"/>
      <c r="I60" s="16">
        <v>0</v>
      </c>
      <c r="J60" s="17">
        <v>0</v>
      </c>
      <c r="K60" s="18">
        <v>855</v>
      </c>
      <c r="L60" s="17">
        <f>J60+ROUND(K60, 2)</f>
        <v>855</v>
      </c>
      <c r="M60" s="17">
        <v>0</v>
      </c>
      <c r="N60" s="17">
        <v>0</v>
      </c>
      <c r="O60" s="17">
        <f>M60+N60</f>
        <v>0</v>
      </c>
      <c r="P60" s="17">
        <v>1001.19</v>
      </c>
      <c r="Q60" s="19">
        <v>855</v>
      </c>
      <c r="R60" s="17">
        <f>P60+ROUND(Q60, 2)</f>
        <v>1856.19</v>
      </c>
      <c r="S60" s="17">
        <v>0</v>
      </c>
      <c r="T60" s="17">
        <v>0</v>
      </c>
      <c r="U60" s="17">
        <f>S60+T60</f>
        <v>0</v>
      </c>
      <c r="V60" s="9">
        <f>ROUND(P60 / 1.2, 2)</f>
        <v>834.33</v>
      </c>
      <c r="W60" s="9">
        <f>ROUND(Q60 / 1.2, 2)</f>
        <v>712.5</v>
      </c>
      <c r="X60" s="9">
        <f>ROUND(R60 / 1.2, 2)</f>
        <v>1546.83</v>
      </c>
      <c r="Y60" s="9">
        <f t="shared" si="9"/>
        <v>0</v>
      </c>
      <c r="Z60" s="9">
        <f>ROUND(T60 / 1.2, 2)</f>
        <v>0</v>
      </c>
      <c r="AA60" s="9">
        <f>Y60+Z60</f>
        <v>0</v>
      </c>
      <c r="AD60" s="4">
        <v>339118807</v>
      </c>
      <c r="AE60" s="4">
        <v>25888011</v>
      </c>
      <c r="AG60" s="4" t="s">
        <v>261</v>
      </c>
      <c r="AH60" s="4" t="s">
        <v>262</v>
      </c>
      <c r="AI60" s="4" t="s">
        <v>156</v>
      </c>
    </row>
    <row r="61" spans="1:35" ht="18" x14ac:dyDescent="0.3">
      <c r="A61" s="10" t="s">
        <v>263</v>
      </c>
      <c r="B61" s="10"/>
      <c r="C61" s="24" t="s">
        <v>239</v>
      </c>
      <c r="D61" s="15"/>
      <c r="E61" s="15"/>
      <c r="F61" s="25" t="s">
        <v>240</v>
      </c>
      <c r="G61" s="26">
        <v>8</v>
      </c>
      <c r="H61" s="15"/>
      <c r="I61" s="32">
        <v>0</v>
      </c>
      <c r="J61" s="27">
        <v>2.5</v>
      </c>
      <c r="M61" s="28">
        <f>ROUND(ROUND(J61, 2)*I61, 2)</f>
        <v>0</v>
      </c>
      <c r="P61" s="29">
        <v>2.5</v>
      </c>
      <c r="S61" s="28">
        <f>ROUND(ROUND(P61, 2)*I61, 2)</f>
        <v>0</v>
      </c>
      <c r="V61" s="9">
        <f>ROUND(ROUND(P61, 2)/1.2, 2)</f>
        <v>2.08</v>
      </c>
      <c r="Y61" s="9">
        <f t="shared" si="9"/>
        <v>0</v>
      </c>
      <c r="AD61" s="4" t="s">
        <v>264</v>
      </c>
      <c r="AE61" s="4" t="s">
        <v>265</v>
      </c>
      <c r="AF61" s="4" t="s">
        <v>243</v>
      </c>
    </row>
    <row r="62" spans="1:35" ht="18" x14ac:dyDescent="0.3">
      <c r="A62" s="10" t="s">
        <v>266</v>
      </c>
      <c r="B62" s="10"/>
      <c r="C62" s="24" t="s">
        <v>245</v>
      </c>
      <c r="D62" s="15"/>
      <c r="E62" s="15"/>
      <c r="F62" s="25" t="s">
        <v>159</v>
      </c>
      <c r="G62" s="26">
        <v>1.8</v>
      </c>
      <c r="H62" s="15"/>
      <c r="I62" s="32">
        <v>0</v>
      </c>
      <c r="J62" s="27">
        <v>7.41</v>
      </c>
      <c r="M62" s="28">
        <f>ROUND(ROUND(J62, 2)*I62, 2)</f>
        <v>0</v>
      </c>
      <c r="P62" s="29">
        <v>7.41</v>
      </c>
      <c r="S62" s="28">
        <f>ROUND(ROUND(P62, 2)*I62, 2)</f>
        <v>0</v>
      </c>
      <c r="V62" s="9">
        <f>ROUND(ROUND(P62, 2)/1.2, 2)</f>
        <v>6.18</v>
      </c>
      <c r="Y62" s="9">
        <f t="shared" si="9"/>
        <v>0</v>
      </c>
      <c r="AD62" s="4" t="s">
        <v>267</v>
      </c>
      <c r="AE62" s="4" t="s">
        <v>268</v>
      </c>
      <c r="AF62" s="4" t="s">
        <v>248</v>
      </c>
    </row>
    <row r="63" spans="1:35" ht="18" x14ac:dyDescent="0.3">
      <c r="A63" s="10" t="s">
        <v>269</v>
      </c>
      <c r="B63" s="10"/>
      <c r="C63" s="24" t="s">
        <v>250</v>
      </c>
      <c r="D63" s="15"/>
      <c r="E63" s="15"/>
      <c r="F63" s="25" t="s">
        <v>75</v>
      </c>
      <c r="G63" s="26">
        <v>1.1000000000000001</v>
      </c>
      <c r="H63" s="15"/>
      <c r="I63" s="32">
        <v>0</v>
      </c>
      <c r="J63" s="27">
        <v>155.01</v>
      </c>
      <c r="M63" s="28">
        <f>ROUND(ROUND(J63, 2)*I63, 2)</f>
        <v>0</v>
      </c>
      <c r="P63" s="29">
        <v>155.01</v>
      </c>
      <c r="S63" s="28">
        <f>ROUND(ROUND(P63, 2)*I63, 2)</f>
        <v>0</v>
      </c>
      <c r="V63" s="9">
        <f>ROUND(ROUND(P63, 2)/1.2, 2)</f>
        <v>129.18</v>
      </c>
      <c r="Y63" s="9">
        <f t="shared" si="9"/>
        <v>0</v>
      </c>
      <c r="AD63" s="4" t="s">
        <v>270</v>
      </c>
      <c r="AE63" s="4" t="s">
        <v>271</v>
      </c>
      <c r="AF63" s="4" t="s">
        <v>253</v>
      </c>
    </row>
    <row r="64" spans="1:35" ht="18" x14ac:dyDescent="0.3">
      <c r="A64" s="10" t="s">
        <v>272</v>
      </c>
      <c r="B64" s="10"/>
      <c r="C64" s="24" t="s">
        <v>164</v>
      </c>
      <c r="D64" s="15"/>
      <c r="E64" s="15"/>
      <c r="F64" s="25" t="s">
        <v>120</v>
      </c>
      <c r="G64" s="26">
        <v>1</v>
      </c>
      <c r="H64" s="15"/>
      <c r="I64" s="32">
        <v>0</v>
      </c>
      <c r="J64" s="27">
        <v>10.4</v>
      </c>
      <c r="M64" s="28">
        <f>ROUND(ROUND(J64, 2)*I64, 2)</f>
        <v>0</v>
      </c>
      <c r="P64" s="29">
        <v>10.4</v>
      </c>
      <c r="S64" s="28">
        <f>ROUND(ROUND(P64, 2)*I64, 2)</f>
        <v>0</v>
      </c>
      <c r="V64" s="9">
        <f>ROUND(ROUND(P64, 2)/1.2, 2)</f>
        <v>8.67</v>
      </c>
      <c r="Y64" s="9">
        <f t="shared" si="9"/>
        <v>0</v>
      </c>
      <c r="AD64" s="4" t="s">
        <v>273</v>
      </c>
      <c r="AE64" s="4" t="s">
        <v>274</v>
      </c>
      <c r="AF64" s="4" t="s">
        <v>167</v>
      </c>
    </row>
    <row r="65" spans="1:35" ht="36" x14ac:dyDescent="0.3">
      <c r="A65" s="10" t="s">
        <v>275</v>
      </c>
      <c r="B65" s="10" t="s">
        <v>276</v>
      </c>
      <c r="C65" s="14" t="s">
        <v>277</v>
      </c>
      <c r="D65" s="15"/>
      <c r="E65" s="15" t="s">
        <v>278</v>
      </c>
      <c r="F65" s="15" t="s">
        <v>75</v>
      </c>
      <c r="G65" s="16">
        <v>1</v>
      </c>
      <c r="H65" s="15"/>
      <c r="I65" s="16">
        <v>723.7</v>
      </c>
      <c r="J65" s="17">
        <v>1067.8800000000001</v>
      </c>
      <c r="K65" s="18">
        <v>922</v>
      </c>
      <c r="L65" s="17">
        <f>J65+ROUND(K65, 2)</f>
        <v>1989.88</v>
      </c>
      <c r="M65" s="17">
        <v>772824.76</v>
      </c>
      <c r="N65" s="17">
        <v>667251.4</v>
      </c>
      <c r="O65" s="17">
        <f>M65+N65</f>
        <v>1440076.1600000001</v>
      </c>
      <c r="P65" s="17">
        <v>1067.8800000000001</v>
      </c>
      <c r="Q65" s="19">
        <v>922</v>
      </c>
      <c r="R65" s="17">
        <f>P65+ROUND(Q65, 2)</f>
        <v>1989.88</v>
      </c>
      <c r="S65" s="17">
        <v>772824.76</v>
      </c>
      <c r="T65" s="17">
        <v>667251.4</v>
      </c>
      <c r="U65" s="17">
        <f>S65+T65</f>
        <v>1440076.1600000001</v>
      </c>
      <c r="V65" s="9">
        <f>ROUND(P65 / 1.2, 2)</f>
        <v>889.9</v>
      </c>
      <c r="W65" s="9">
        <f>ROUND(Q65 / 1.2, 2)</f>
        <v>768.33</v>
      </c>
      <c r="X65" s="9">
        <f>ROUND(R65 / 1.2, 2)</f>
        <v>1658.23</v>
      </c>
      <c r="Y65" s="9">
        <f t="shared" si="9"/>
        <v>644020.63</v>
      </c>
      <c r="Z65" s="9">
        <f>ROUND(T65 / 1.2, 2)</f>
        <v>556042.82999999996</v>
      </c>
      <c r="AA65" s="9">
        <f>Y65+Z65</f>
        <v>1200063.46</v>
      </c>
      <c r="AD65" s="4">
        <v>339118808</v>
      </c>
      <c r="AE65" s="4">
        <v>25888008</v>
      </c>
      <c r="AG65" s="4" t="s">
        <v>279</v>
      </c>
      <c r="AH65" s="4" t="s">
        <v>280</v>
      </c>
      <c r="AI65" s="4" t="s">
        <v>156</v>
      </c>
    </row>
    <row r="66" spans="1:35" ht="18" x14ac:dyDescent="0.3">
      <c r="A66" s="10" t="s">
        <v>281</v>
      </c>
      <c r="B66" s="10"/>
      <c r="C66" s="24" t="s">
        <v>239</v>
      </c>
      <c r="D66" s="15"/>
      <c r="E66" s="15"/>
      <c r="F66" s="25" t="s">
        <v>240</v>
      </c>
      <c r="G66" s="26">
        <v>8</v>
      </c>
      <c r="H66" s="15"/>
      <c r="I66" s="32">
        <v>5789.6</v>
      </c>
      <c r="J66" s="27">
        <v>2.5</v>
      </c>
      <c r="M66" s="28">
        <f>ROUND(ROUND(J66, 2)*I66, 2)</f>
        <v>14474</v>
      </c>
      <c r="P66" s="29">
        <v>2.5</v>
      </c>
      <c r="S66" s="28">
        <f>ROUND(ROUND(P66, 2)*I66, 2)</f>
        <v>14474</v>
      </c>
      <c r="V66" s="9">
        <f>ROUND(ROUND(P66, 2)/1.2, 2)</f>
        <v>2.08</v>
      </c>
      <c r="Y66" s="9">
        <f t="shared" si="9"/>
        <v>12061.67</v>
      </c>
      <c r="AD66" s="4" t="s">
        <v>282</v>
      </c>
      <c r="AE66" s="4" t="s">
        <v>283</v>
      </c>
      <c r="AF66" s="4" t="s">
        <v>243</v>
      </c>
    </row>
    <row r="67" spans="1:35" ht="18" x14ac:dyDescent="0.3">
      <c r="A67" s="10" t="s">
        <v>284</v>
      </c>
      <c r="B67" s="10"/>
      <c r="C67" s="24" t="s">
        <v>245</v>
      </c>
      <c r="D67" s="15"/>
      <c r="E67" s="15"/>
      <c r="F67" s="25" t="s">
        <v>159</v>
      </c>
      <c r="G67" s="26">
        <v>1.8</v>
      </c>
      <c r="H67" s="15"/>
      <c r="I67" s="32">
        <v>84672.9</v>
      </c>
      <c r="J67" s="27">
        <v>7.41</v>
      </c>
      <c r="M67" s="28">
        <f>ROUND(ROUND(J67, 2)*I67, 2)</f>
        <v>627426.18999999994</v>
      </c>
      <c r="P67" s="29">
        <v>7.41</v>
      </c>
      <c r="S67" s="28">
        <f>ROUND(ROUND(P67, 2)*I67, 2)</f>
        <v>627426.18999999994</v>
      </c>
      <c r="V67" s="9">
        <f>ROUND(ROUND(P67, 2)/1.2, 2)</f>
        <v>6.18</v>
      </c>
      <c r="Y67" s="9">
        <f t="shared" si="9"/>
        <v>522855.16</v>
      </c>
      <c r="AD67" s="4" t="s">
        <v>285</v>
      </c>
      <c r="AE67" s="4" t="s">
        <v>286</v>
      </c>
      <c r="AF67" s="4" t="s">
        <v>248</v>
      </c>
    </row>
    <row r="68" spans="1:35" ht="18" x14ac:dyDescent="0.3">
      <c r="A68" s="10" t="s">
        <v>287</v>
      </c>
      <c r="B68" s="10"/>
      <c r="C68" s="24" t="s">
        <v>250</v>
      </c>
      <c r="D68" s="15"/>
      <c r="E68" s="15"/>
      <c r="F68" s="25" t="s">
        <v>75</v>
      </c>
      <c r="G68" s="26">
        <v>1.1000000000000001</v>
      </c>
      <c r="H68" s="15"/>
      <c r="I68" s="32">
        <v>796.07</v>
      </c>
      <c r="J68" s="27">
        <v>155.01</v>
      </c>
      <c r="M68" s="28">
        <f>ROUND(ROUND(J68, 2)*I68, 2)</f>
        <v>123398.81</v>
      </c>
      <c r="P68" s="29">
        <v>155.01</v>
      </c>
      <c r="S68" s="28">
        <f>ROUND(ROUND(P68, 2)*I68, 2)</f>
        <v>123398.81</v>
      </c>
      <c r="V68" s="9">
        <f>ROUND(ROUND(P68, 2)/1.2, 2)</f>
        <v>129.18</v>
      </c>
      <c r="Y68" s="9">
        <f t="shared" si="9"/>
        <v>102832.34</v>
      </c>
      <c r="AD68" s="4" t="s">
        <v>288</v>
      </c>
      <c r="AE68" s="4" t="s">
        <v>289</v>
      </c>
      <c r="AF68" s="4" t="s">
        <v>253</v>
      </c>
    </row>
    <row r="69" spans="1:35" ht="18" x14ac:dyDescent="0.3">
      <c r="A69" s="10" t="s">
        <v>290</v>
      </c>
      <c r="B69" s="10"/>
      <c r="C69" s="24" t="s">
        <v>164</v>
      </c>
      <c r="D69" s="15"/>
      <c r="E69" s="15"/>
      <c r="F69" s="25" t="s">
        <v>120</v>
      </c>
      <c r="G69" s="26">
        <v>1</v>
      </c>
      <c r="H69" s="15"/>
      <c r="I69" s="32">
        <v>723.7</v>
      </c>
      <c r="J69" s="27">
        <v>10.4</v>
      </c>
      <c r="M69" s="28">
        <f>ROUND(ROUND(J69, 2)*I69, 2)</f>
        <v>7526.48</v>
      </c>
      <c r="P69" s="29">
        <v>10.4</v>
      </c>
      <c r="S69" s="28">
        <f>ROUND(ROUND(P69, 2)*I69, 2)</f>
        <v>7526.48</v>
      </c>
      <c r="V69" s="9">
        <f>ROUND(ROUND(P69, 2)/1.2, 2)</f>
        <v>8.67</v>
      </c>
      <c r="Y69" s="9">
        <f t="shared" ref="Y69:Y101" si="10">ROUND(S69 / 1.2, 2)</f>
        <v>6272.07</v>
      </c>
      <c r="AD69" s="4" t="s">
        <v>291</v>
      </c>
      <c r="AE69" s="4" t="s">
        <v>292</v>
      </c>
      <c r="AF69" s="4" t="s">
        <v>167</v>
      </c>
    </row>
    <row r="70" spans="1:35" ht="36" x14ac:dyDescent="0.3">
      <c r="A70" s="10" t="s">
        <v>293</v>
      </c>
      <c r="B70" s="10" t="s">
        <v>276</v>
      </c>
      <c r="C70" s="14" t="s">
        <v>277</v>
      </c>
      <c r="D70" s="15"/>
      <c r="E70" s="15" t="s">
        <v>294</v>
      </c>
      <c r="F70" s="15" t="s">
        <v>75</v>
      </c>
      <c r="G70" s="16">
        <v>1</v>
      </c>
      <c r="H70" s="15"/>
      <c r="I70" s="16">
        <v>299.60000000000002</v>
      </c>
      <c r="J70" s="17">
        <v>1133.4000000000001</v>
      </c>
      <c r="K70" s="18">
        <v>922</v>
      </c>
      <c r="L70" s="17">
        <f>J70+ROUND(K70, 2)</f>
        <v>2055.4</v>
      </c>
      <c r="M70" s="17">
        <v>339566.64</v>
      </c>
      <c r="N70" s="17">
        <v>276231.2</v>
      </c>
      <c r="O70" s="17">
        <f>M70+N70</f>
        <v>615797.84000000008</v>
      </c>
      <c r="P70" s="17">
        <v>1133.3900000000001</v>
      </c>
      <c r="Q70" s="19">
        <v>922</v>
      </c>
      <c r="R70" s="17">
        <f>P70+ROUND(Q70, 2)</f>
        <v>2055.3900000000003</v>
      </c>
      <c r="S70" s="17">
        <v>339563.65</v>
      </c>
      <c r="T70" s="17">
        <v>276231.2</v>
      </c>
      <c r="U70" s="17">
        <f>S70+T70</f>
        <v>615794.85000000009</v>
      </c>
      <c r="V70" s="9">
        <f>ROUND(P70 / 1.2, 2)</f>
        <v>944.49</v>
      </c>
      <c r="W70" s="9">
        <f>ROUND(Q70 / 1.2, 2)</f>
        <v>768.33</v>
      </c>
      <c r="X70" s="9">
        <f>ROUND(R70 / 1.2, 2)</f>
        <v>1712.83</v>
      </c>
      <c r="Y70" s="9">
        <f t="shared" si="10"/>
        <v>282969.71000000002</v>
      </c>
      <c r="Z70" s="9">
        <f>ROUND(T70 / 1.2, 2)</f>
        <v>230192.67</v>
      </c>
      <c r="AA70" s="9">
        <f>Y70+Z70</f>
        <v>513162.38</v>
      </c>
      <c r="AD70" s="4">
        <v>339118904</v>
      </c>
      <c r="AE70" s="4">
        <v>25888002</v>
      </c>
      <c r="AG70" s="4" t="s">
        <v>279</v>
      </c>
      <c r="AH70" s="4" t="s">
        <v>280</v>
      </c>
      <c r="AI70" s="4" t="s">
        <v>156</v>
      </c>
    </row>
    <row r="71" spans="1:35" ht="18" x14ac:dyDescent="0.3">
      <c r="A71" s="10" t="s">
        <v>295</v>
      </c>
      <c r="B71" s="10"/>
      <c r="C71" s="24" t="s">
        <v>296</v>
      </c>
      <c r="D71" s="15"/>
      <c r="E71" s="15"/>
      <c r="F71" s="25" t="s">
        <v>159</v>
      </c>
      <c r="G71" s="26">
        <v>0.255</v>
      </c>
      <c r="H71" s="15"/>
      <c r="I71" s="26">
        <v>76.397999999999996</v>
      </c>
      <c r="J71" s="27">
        <v>100</v>
      </c>
      <c r="M71" s="28">
        <f>ROUND(ROUND(J71, 2)*I71, 2)</f>
        <v>7639.8</v>
      </c>
      <c r="P71" s="29">
        <v>100</v>
      </c>
      <c r="S71" s="28">
        <f>ROUND(ROUND(P71, 2)*I71, 2)</f>
        <v>7639.8</v>
      </c>
      <c r="V71" s="9">
        <f>ROUND(ROUND(P71, 2)/1.2, 2)</f>
        <v>83.33</v>
      </c>
      <c r="Y71" s="9">
        <f t="shared" si="10"/>
        <v>6366.5</v>
      </c>
      <c r="AD71" s="4" t="s">
        <v>297</v>
      </c>
      <c r="AE71" s="4" t="s">
        <v>298</v>
      </c>
      <c r="AF71" s="4" t="s">
        <v>299</v>
      </c>
    </row>
    <row r="72" spans="1:35" ht="18" x14ac:dyDescent="0.3">
      <c r="A72" s="10" t="s">
        <v>300</v>
      </c>
      <c r="B72" s="10"/>
      <c r="C72" s="24" t="s">
        <v>164</v>
      </c>
      <c r="D72" s="15"/>
      <c r="E72" s="15"/>
      <c r="F72" s="25" t="s">
        <v>120</v>
      </c>
      <c r="G72" s="26">
        <v>1</v>
      </c>
      <c r="H72" s="15"/>
      <c r="I72" s="32">
        <v>299.60000000000002</v>
      </c>
      <c r="J72" s="27">
        <v>10.4</v>
      </c>
      <c r="M72" s="28">
        <f>ROUND(ROUND(J72, 2)*I72, 2)</f>
        <v>3115.84</v>
      </c>
      <c r="P72" s="29">
        <v>10.4</v>
      </c>
      <c r="S72" s="28">
        <f>ROUND(ROUND(P72, 2)*I72, 2)</f>
        <v>3115.84</v>
      </c>
      <c r="V72" s="9">
        <f>ROUND(ROUND(P72, 2)/1.2, 2)</f>
        <v>8.67</v>
      </c>
      <c r="Y72" s="9">
        <f t="shared" si="10"/>
        <v>2596.5300000000002</v>
      </c>
      <c r="AD72" s="4" t="s">
        <v>301</v>
      </c>
      <c r="AE72" s="4" t="s">
        <v>302</v>
      </c>
      <c r="AF72" s="4" t="s">
        <v>167</v>
      </c>
    </row>
    <row r="73" spans="1:35" ht="18" x14ac:dyDescent="0.3">
      <c r="A73" s="10" t="s">
        <v>303</v>
      </c>
      <c r="B73" s="10"/>
      <c r="C73" s="24" t="s">
        <v>250</v>
      </c>
      <c r="D73" s="15"/>
      <c r="E73" s="15"/>
      <c r="F73" s="25" t="s">
        <v>75</v>
      </c>
      <c r="G73" s="26">
        <v>1.1000000000000001</v>
      </c>
      <c r="H73" s="15"/>
      <c r="I73" s="32">
        <v>329.56</v>
      </c>
      <c r="J73" s="27">
        <v>155.01</v>
      </c>
      <c r="M73" s="28">
        <f>ROUND(ROUND(J73, 2)*I73, 2)</f>
        <v>51085.1</v>
      </c>
      <c r="P73" s="29">
        <v>155.01</v>
      </c>
      <c r="S73" s="28">
        <f>ROUND(ROUND(P73, 2)*I73, 2)</f>
        <v>51085.1</v>
      </c>
      <c r="V73" s="9">
        <f>ROUND(ROUND(P73, 2)/1.2, 2)</f>
        <v>129.18</v>
      </c>
      <c r="Y73" s="9">
        <f t="shared" si="10"/>
        <v>42570.92</v>
      </c>
      <c r="AD73" s="4" t="s">
        <v>304</v>
      </c>
      <c r="AE73" s="4" t="s">
        <v>305</v>
      </c>
      <c r="AF73" s="4" t="s">
        <v>253</v>
      </c>
    </row>
    <row r="74" spans="1:35" ht="18" x14ac:dyDescent="0.3">
      <c r="A74" s="10" t="s">
        <v>306</v>
      </c>
      <c r="B74" s="10"/>
      <c r="C74" s="24" t="s">
        <v>245</v>
      </c>
      <c r="D74" s="15"/>
      <c r="E74" s="15"/>
      <c r="F74" s="25" t="s">
        <v>159</v>
      </c>
      <c r="G74" s="26">
        <v>1.8</v>
      </c>
      <c r="H74" s="15"/>
      <c r="I74" s="32">
        <v>36671.040000000001</v>
      </c>
      <c r="J74" s="27">
        <v>7.41</v>
      </c>
      <c r="M74" s="28">
        <f>ROUND(ROUND(J74, 2)*I74, 2)</f>
        <v>271732.40999999997</v>
      </c>
      <c r="P74" s="29">
        <v>7.41</v>
      </c>
      <c r="S74" s="28">
        <f>ROUND(ROUND(P74, 2)*I74, 2)</f>
        <v>271732.40999999997</v>
      </c>
      <c r="V74" s="9">
        <f>ROUND(ROUND(P74, 2)/1.2, 2)</f>
        <v>6.18</v>
      </c>
      <c r="Y74" s="9">
        <f t="shared" si="10"/>
        <v>226443.68</v>
      </c>
      <c r="AD74" s="4" t="s">
        <v>307</v>
      </c>
      <c r="AE74" s="4" t="s">
        <v>308</v>
      </c>
      <c r="AF74" s="4" t="s">
        <v>248</v>
      </c>
    </row>
    <row r="75" spans="1:35" ht="18" x14ac:dyDescent="0.3">
      <c r="A75" s="10" t="s">
        <v>309</v>
      </c>
      <c r="B75" s="10"/>
      <c r="C75" s="24" t="s">
        <v>239</v>
      </c>
      <c r="D75" s="15"/>
      <c r="E75" s="15"/>
      <c r="F75" s="25" t="s">
        <v>240</v>
      </c>
      <c r="G75" s="26">
        <v>8</v>
      </c>
      <c r="H75" s="15"/>
      <c r="I75" s="32">
        <v>2396.8000000000002</v>
      </c>
      <c r="J75" s="27">
        <v>2.5</v>
      </c>
      <c r="M75" s="28">
        <f>ROUND(ROUND(J75, 2)*I75, 2)</f>
        <v>5992</v>
      </c>
      <c r="P75" s="29">
        <v>2.5</v>
      </c>
      <c r="S75" s="28">
        <f>ROUND(ROUND(P75, 2)*I75, 2)</f>
        <v>5992</v>
      </c>
      <c r="V75" s="9">
        <f>ROUND(ROUND(P75, 2)/1.2, 2)</f>
        <v>2.08</v>
      </c>
      <c r="Y75" s="9">
        <f t="shared" si="10"/>
        <v>4993.33</v>
      </c>
      <c r="AD75" s="4" t="s">
        <v>310</v>
      </c>
      <c r="AE75" s="4" t="s">
        <v>311</v>
      </c>
      <c r="AF75" s="4" t="s">
        <v>243</v>
      </c>
    </row>
    <row r="76" spans="1:35" ht="36" x14ac:dyDescent="0.3">
      <c r="A76" s="10" t="s">
        <v>312</v>
      </c>
      <c r="B76" s="10" t="s">
        <v>276</v>
      </c>
      <c r="C76" s="14" t="s">
        <v>277</v>
      </c>
      <c r="D76" s="15"/>
      <c r="E76" s="15" t="s">
        <v>313</v>
      </c>
      <c r="F76" s="15" t="s">
        <v>75</v>
      </c>
      <c r="G76" s="16">
        <v>1</v>
      </c>
      <c r="H76" s="15"/>
      <c r="I76" s="16">
        <v>0</v>
      </c>
      <c r="J76" s="17">
        <v>0</v>
      </c>
      <c r="K76" s="18">
        <v>922</v>
      </c>
      <c r="L76" s="17">
        <f>J76+ROUND(K76, 2)</f>
        <v>922</v>
      </c>
      <c r="M76" s="17">
        <v>0</v>
      </c>
      <c r="N76" s="17">
        <v>0</v>
      </c>
      <c r="O76" s="17">
        <f>M76+N76</f>
        <v>0</v>
      </c>
      <c r="P76" s="17">
        <v>919.95</v>
      </c>
      <c r="Q76" s="19">
        <v>922</v>
      </c>
      <c r="R76" s="17">
        <f>P76+ROUND(Q76, 2)</f>
        <v>1841.95</v>
      </c>
      <c r="S76" s="17">
        <v>0</v>
      </c>
      <c r="T76" s="17">
        <v>0</v>
      </c>
      <c r="U76" s="17">
        <f>S76+T76</f>
        <v>0</v>
      </c>
      <c r="V76" s="9">
        <f>ROUND(P76 / 1.2, 2)</f>
        <v>766.63</v>
      </c>
      <c r="W76" s="9">
        <f>ROUND(Q76 / 1.2, 2)</f>
        <v>768.33</v>
      </c>
      <c r="X76" s="9">
        <f>ROUND(R76 / 1.2, 2)</f>
        <v>1534.96</v>
      </c>
      <c r="Y76" s="9">
        <f t="shared" si="10"/>
        <v>0</v>
      </c>
      <c r="Z76" s="9">
        <f>ROUND(T76 / 1.2, 2)</f>
        <v>0</v>
      </c>
      <c r="AA76" s="9">
        <f>Y76+Z76</f>
        <v>0</v>
      </c>
      <c r="AD76" s="4">
        <v>339118905</v>
      </c>
      <c r="AE76" s="4">
        <v>25887990</v>
      </c>
      <c r="AG76" s="4" t="s">
        <v>279</v>
      </c>
      <c r="AH76" s="4" t="s">
        <v>280</v>
      </c>
      <c r="AI76" s="4" t="s">
        <v>156</v>
      </c>
    </row>
    <row r="77" spans="1:35" ht="18" x14ac:dyDescent="0.3">
      <c r="A77" s="10" t="s">
        <v>314</v>
      </c>
      <c r="B77" s="10"/>
      <c r="C77" s="24" t="s">
        <v>239</v>
      </c>
      <c r="D77" s="15"/>
      <c r="E77" s="15"/>
      <c r="F77" s="25" t="s">
        <v>240</v>
      </c>
      <c r="G77" s="26">
        <v>8</v>
      </c>
      <c r="H77" s="15"/>
      <c r="I77" s="32">
        <v>0</v>
      </c>
      <c r="J77" s="27">
        <v>2.5</v>
      </c>
      <c r="M77" s="28">
        <f>ROUND(ROUND(J77, 2)*I77, 2)</f>
        <v>0</v>
      </c>
      <c r="P77" s="29">
        <v>2.5</v>
      </c>
      <c r="S77" s="28">
        <f>ROUND(ROUND(P77, 2)*I77, 2)</f>
        <v>0</v>
      </c>
      <c r="V77" s="9">
        <f>ROUND(ROUND(P77, 2)/1.2, 2)</f>
        <v>2.08</v>
      </c>
      <c r="Y77" s="9">
        <f t="shared" si="10"/>
        <v>0</v>
      </c>
      <c r="AD77" s="4" t="s">
        <v>315</v>
      </c>
      <c r="AE77" s="4" t="s">
        <v>316</v>
      </c>
      <c r="AF77" s="4" t="s">
        <v>243</v>
      </c>
    </row>
    <row r="78" spans="1:35" ht="18" x14ac:dyDescent="0.3">
      <c r="A78" s="10" t="s">
        <v>317</v>
      </c>
      <c r="B78" s="10"/>
      <c r="C78" s="24" t="s">
        <v>318</v>
      </c>
      <c r="D78" s="15"/>
      <c r="E78" s="15"/>
      <c r="F78" s="25" t="s">
        <v>159</v>
      </c>
      <c r="G78" s="26">
        <v>1.8</v>
      </c>
      <c r="H78" s="15"/>
      <c r="I78" s="32">
        <v>0</v>
      </c>
      <c r="J78" s="27">
        <v>6.17</v>
      </c>
      <c r="M78" s="28">
        <f>ROUND(ROUND(J78, 2)*I78, 2)</f>
        <v>0</v>
      </c>
      <c r="P78" s="29">
        <v>6.17</v>
      </c>
      <c r="S78" s="28">
        <f>ROUND(ROUND(P78, 2)*I78, 2)</f>
        <v>0</v>
      </c>
      <c r="V78" s="9">
        <f>ROUND(ROUND(P78, 2)/1.2, 2)</f>
        <v>5.14</v>
      </c>
      <c r="Y78" s="9">
        <f t="shared" si="10"/>
        <v>0</v>
      </c>
      <c r="AD78" s="4" t="s">
        <v>319</v>
      </c>
      <c r="AE78" s="4" t="s">
        <v>320</v>
      </c>
      <c r="AF78" s="4" t="s">
        <v>321</v>
      </c>
    </row>
    <row r="79" spans="1:35" ht="18" x14ac:dyDescent="0.3">
      <c r="A79" s="10" t="s">
        <v>322</v>
      </c>
      <c r="B79" s="10"/>
      <c r="C79" s="24" t="s">
        <v>323</v>
      </c>
      <c r="D79" s="15"/>
      <c r="E79" s="15"/>
      <c r="F79" s="25" t="s">
        <v>75</v>
      </c>
      <c r="G79" s="26">
        <v>1.1000000000000001</v>
      </c>
      <c r="H79" s="15"/>
      <c r="I79" s="32">
        <v>0</v>
      </c>
      <c r="J79" s="27">
        <v>101.94</v>
      </c>
      <c r="M79" s="28">
        <f>ROUND(ROUND(J79, 2)*I79, 2)</f>
        <v>0</v>
      </c>
      <c r="P79" s="29">
        <v>101.94</v>
      </c>
      <c r="S79" s="28">
        <f>ROUND(ROUND(P79, 2)*I79, 2)</f>
        <v>0</v>
      </c>
      <c r="V79" s="9">
        <f>ROUND(ROUND(P79, 2)/1.2, 2)</f>
        <v>84.95</v>
      </c>
      <c r="Y79" s="9">
        <f t="shared" si="10"/>
        <v>0</v>
      </c>
      <c r="AD79" s="4" t="s">
        <v>324</v>
      </c>
      <c r="AE79" s="4" t="s">
        <v>325</v>
      </c>
      <c r="AF79" s="4" t="s">
        <v>326</v>
      </c>
    </row>
    <row r="80" spans="1:35" ht="18" x14ac:dyDescent="0.3">
      <c r="A80" s="10" t="s">
        <v>327</v>
      </c>
      <c r="B80" s="10"/>
      <c r="C80" s="24" t="s">
        <v>164</v>
      </c>
      <c r="D80" s="15"/>
      <c r="E80" s="15"/>
      <c r="F80" s="25" t="s">
        <v>120</v>
      </c>
      <c r="G80" s="26">
        <v>1</v>
      </c>
      <c r="H80" s="15"/>
      <c r="I80" s="32">
        <v>0</v>
      </c>
      <c r="J80" s="27">
        <v>10.4</v>
      </c>
      <c r="M80" s="28">
        <f>ROUND(ROUND(J80, 2)*I80, 2)</f>
        <v>0</v>
      </c>
      <c r="P80" s="29">
        <v>10.4</v>
      </c>
      <c r="S80" s="28">
        <f>ROUND(ROUND(P80, 2)*I80, 2)</f>
        <v>0</v>
      </c>
      <c r="V80" s="9">
        <f>ROUND(ROUND(P80, 2)/1.2, 2)</f>
        <v>8.67</v>
      </c>
      <c r="Y80" s="9">
        <f t="shared" si="10"/>
        <v>0</v>
      </c>
      <c r="AD80" s="4" t="s">
        <v>328</v>
      </c>
      <c r="AE80" s="4" t="s">
        <v>329</v>
      </c>
      <c r="AF80" s="4" t="s">
        <v>167</v>
      </c>
    </row>
    <row r="81" spans="1:35" ht="36" x14ac:dyDescent="0.3">
      <c r="A81" s="10" t="s">
        <v>330</v>
      </c>
      <c r="B81" s="10" t="s">
        <v>276</v>
      </c>
      <c r="C81" s="14" t="s">
        <v>277</v>
      </c>
      <c r="D81" s="15"/>
      <c r="E81" s="15" t="s">
        <v>331</v>
      </c>
      <c r="F81" s="15" t="s">
        <v>75</v>
      </c>
      <c r="G81" s="16">
        <v>1</v>
      </c>
      <c r="H81" s="15"/>
      <c r="I81" s="16">
        <v>0</v>
      </c>
      <c r="J81" s="17">
        <v>0</v>
      </c>
      <c r="K81" s="18">
        <v>922</v>
      </c>
      <c r="L81" s="17">
        <f>J81+ROUND(K81, 2)</f>
        <v>922</v>
      </c>
      <c r="M81" s="17">
        <v>0</v>
      </c>
      <c r="N81" s="17">
        <v>0</v>
      </c>
      <c r="O81" s="17">
        <f>M81+N81</f>
        <v>0</v>
      </c>
      <c r="P81" s="17">
        <v>1031.01</v>
      </c>
      <c r="Q81" s="19">
        <v>922</v>
      </c>
      <c r="R81" s="17">
        <f>P81+ROUND(Q81, 2)</f>
        <v>1953.01</v>
      </c>
      <c r="S81" s="17">
        <v>0</v>
      </c>
      <c r="T81" s="17">
        <v>0</v>
      </c>
      <c r="U81" s="17">
        <f>S81+T81</f>
        <v>0</v>
      </c>
      <c r="V81" s="9">
        <f>ROUND(P81 / 1.2, 2)</f>
        <v>859.18</v>
      </c>
      <c r="W81" s="9">
        <f>ROUND(Q81 / 1.2, 2)</f>
        <v>768.33</v>
      </c>
      <c r="X81" s="9">
        <f>ROUND(R81 / 1.2, 2)</f>
        <v>1627.51</v>
      </c>
      <c r="Y81" s="9">
        <f t="shared" si="10"/>
        <v>0</v>
      </c>
      <c r="Z81" s="9">
        <f>ROUND(T81 / 1.2, 2)</f>
        <v>0</v>
      </c>
      <c r="AA81" s="9">
        <f>Y81+Z81</f>
        <v>0</v>
      </c>
      <c r="AD81" s="4">
        <v>339118906</v>
      </c>
      <c r="AE81" s="4">
        <v>25888004</v>
      </c>
      <c r="AG81" s="4" t="s">
        <v>279</v>
      </c>
      <c r="AH81" s="4" t="s">
        <v>280</v>
      </c>
      <c r="AI81" s="4" t="s">
        <v>156</v>
      </c>
    </row>
    <row r="82" spans="1:35" ht="18" x14ac:dyDescent="0.3">
      <c r="A82" s="10" t="s">
        <v>332</v>
      </c>
      <c r="B82" s="10"/>
      <c r="C82" s="24" t="s">
        <v>164</v>
      </c>
      <c r="D82" s="15"/>
      <c r="E82" s="15"/>
      <c r="F82" s="25" t="s">
        <v>120</v>
      </c>
      <c r="G82" s="26">
        <v>1</v>
      </c>
      <c r="H82" s="15"/>
      <c r="I82" s="32">
        <v>0</v>
      </c>
      <c r="J82" s="27">
        <v>10.4</v>
      </c>
      <c r="M82" s="28">
        <f>ROUND(ROUND(J82, 2)*I82, 2)</f>
        <v>0</v>
      </c>
      <c r="P82" s="29">
        <v>10.4</v>
      </c>
      <c r="S82" s="28">
        <f>ROUND(ROUND(P82, 2)*I82, 2)</f>
        <v>0</v>
      </c>
      <c r="V82" s="9">
        <f>ROUND(ROUND(P82, 2)/1.2, 2)</f>
        <v>8.67</v>
      </c>
      <c r="Y82" s="9">
        <f t="shared" si="10"/>
        <v>0</v>
      </c>
      <c r="AD82" s="4" t="s">
        <v>333</v>
      </c>
      <c r="AE82" s="4" t="s">
        <v>334</v>
      </c>
      <c r="AF82" s="4" t="s">
        <v>167</v>
      </c>
    </row>
    <row r="83" spans="1:35" ht="18" x14ac:dyDescent="0.3">
      <c r="A83" s="10" t="s">
        <v>335</v>
      </c>
      <c r="B83" s="10"/>
      <c r="C83" s="24" t="s">
        <v>323</v>
      </c>
      <c r="D83" s="15"/>
      <c r="E83" s="15"/>
      <c r="F83" s="25" t="s">
        <v>75</v>
      </c>
      <c r="G83" s="26">
        <v>1.1000000000000001</v>
      </c>
      <c r="H83" s="15"/>
      <c r="I83" s="32">
        <v>0</v>
      </c>
      <c r="J83" s="27">
        <v>101.94</v>
      </c>
      <c r="M83" s="28">
        <f>ROUND(ROUND(J83, 2)*I83, 2)</f>
        <v>0</v>
      </c>
      <c r="P83" s="29">
        <v>101.94</v>
      </c>
      <c r="S83" s="28">
        <f>ROUND(ROUND(P83, 2)*I83, 2)</f>
        <v>0</v>
      </c>
      <c r="V83" s="9">
        <f>ROUND(ROUND(P83, 2)/1.2, 2)</f>
        <v>84.95</v>
      </c>
      <c r="Y83" s="9">
        <f t="shared" si="10"/>
        <v>0</v>
      </c>
      <c r="AD83" s="4" t="s">
        <v>336</v>
      </c>
      <c r="AE83" s="4" t="s">
        <v>337</v>
      </c>
      <c r="AF83" s="4" t="s">
        <v>326</v>
      </c>
    </row>
    <row r="84" spans="1:35" ht="18" x14ac:dyDescent="0.3">
      <c r="A84" s="10" t="s">
        <v>338</v>
      </c>
      <c r="B84" s="10"/>
      <c r="C84" s="24" t="s">
        <v>318</v>
      </c>
      <c r="D84" s="15"/>
      <c r="E84" s="15"/>
      <c r="F84" s="25" t="s">
        <v>159</v>
      </c>
      <c r="G84" s="26">
        <v>1.8</v>
      </c>
      <c r="H84" s="15"/>
      <c r="I84" s="32">
        <v>0</v>
      </c>
      <c r="J84" s="27">
        <v>6.17</v>
      </c>
      <c r="M84" s="28">
        <f>ROUND(ROUND(J84, 2)*I84, 2)</f>
        <v>0</v>
      </c>
      <c r="P84" s="29">
        <v>6.17</v>
      </c>
      <c r="S84" s="28">
        <f>ROUND(ROUND(P84, 2)*I84, 2)</f>
        <v>0</v>
      </c>
      <c r="V84" s="9">
        <f>ROUND(ROUND(P84, 2)/1.2, 2)</f>
        <v>5.14</v>
      </c>
      <c r="Y84" s="9">
        <f t="shared" si="10"/>
        <v>0</v>
      </c>
      <c r="AD84" s="4" t="s">
        <v>339</v>
      </c>
      <c r="AE84" s="4" t="s">
        <v>340</v>
      </c>
      <c r="AF84" s="4" t="s">
        <v>321</v>
      </c>
    </row>
    <row r="85" spans="1:35" ht="18" x14ac:dyDescent="0.3">
      <c r="A85" s="10" t="s">
        <v>341</v>
      </c>
      <c r="B85" s="10"/>
      <c r="C85" s="24" t="s">
        <v>239</v>
      </c>
      <c r="D85" s="15"/>
      <c r="E85" s="15"/>
      <c r="F85" s="25" t="s">
        <v>240</v>
      </c>
      <c r="G85" s="26">
        <v>8</v>
      </c>
      <c r="H85" s="15"/>
      <c r="I85" s="32">
        <v>0</v>
      </c>
      <c r="J85" s="27">
        <v>2.5</v>
      </c>
      <c r="M85" s="28">
        <f>ROUND(ROUND(J85, 2)*I85, 2)</f>
        <v>0</v>
      </c>
      <c r="P85" s="29">
        <v>2.5</v>
      </c>
      <c r="S85" s="28">
        <f>ROUND(ROUND(P85, 2)*I85, 2)</f>
        <v>0</v>
      </c>
      <c r="V85" s="9">
        <f>ROUND(ROUND(P85, 2)/1.2, 2)</f>
        <v>2.08</v>
      </c>
      <c r="Y85" s="9">
        <f t="shared" si="10"/>
        <v>0</v>
      </c>
      <c r="AD85" s="4" t="s">
        <v>342</v>
      </c>
      <c r="AE85" s="4" t="s">
        <v>343</v>
      </c>
      <c r="AF85" s="4" t="s">
        <v>243</v>
      </c>
    </row>
    <row r="86" spans="1:35" ht="72" x14ac:dyDescent="0.3">
      <c r="A86" s="11" t="s">
        <v>344</v>
      </c>
      <c r="B86" s="11" t="s">
        <v>276</v>
      </c>
      <c r="C86" s="20" t="s">
        <v>345</v>
      </c>
      <c r="D86" s="21"/>
      <c r="E86" s="21" t="s">
        <v>346</v>
      </c>
      <c r="F86" s="21" t="s">
        <v>75</v>
      </c>
      <c r="G86" s="22">
        <v>1</v>
      </c>
      <c r="H86" s="21"/>
      <c r="I86" s="22">
        <v>116.53</v>
      </c>
      <c r="J86" s="23">
        <v>1086.44</v>
      </c>
      <c r="K86" s="23">
        <v>1014</v>
      </c>
      <c r="L86" s="23">
        <f>J86+ROUND(K86, 2)</f>
        <v>2100.44</v>
      </c>
      <c r="M86" s="23">
        <v>126602.85</v>
      </c>
      <c r="N86" s="23">
        <v>118161.42</v>
      </c>
      <c r="O86" s="23">
        <f>M86+N86</f>
        <v>244764.27000000002</v>
      </c>
      <c r="P86" s="23">
        <v>1086.44</v>
      </c>
      <c r="Q86" s="23">
        <v>922</v>
      </c>
      <c r="R86" s="23">
        <f>P86+ROUND(Q86, 2)</f>
        <v>2008.44</v>
      </c>
      <c r="S86" s="23">
        <v>126602.85</v>
      </c>
      <c r="T86" s="23">
        <v>107440.66</v>
      </c>
      <c r="U86" s="23">
        <f>S86+T86</f>
        <v>234043.51</v>
      </c>
      <c r="V86" s="9">
        <f>ROUND(P86 / 1.2, 2)</f>
        <v>905.37</v>
      </c>
      <c r="W86" s="9">
        <f>ROUND(Q86 / 1.2, 2)</f>
        <v>768.33</v>
      </c>
      <c r="X86" s="9">
        <f>ROUND(R86 / 1.2, 2)</f>
        <v>1673.7</v>
      </c>
      <c r="Y86" s="9">
        <f t="shared" si="10"/>
        <v>105502.38</v>
      </c>
      <c r="Z86" s="9">
        <f>ROUND(T86 / 1.2, 2)</f>
        <v>89533.88</v>
      </c>
      <c r="AA86" s="9">
        <f>Y86+Z86</f>
        <v>195036.26</v>
      </c>
      <c r="AD86" s="4">
        <v>339118907</v>
      </c>
      <c r="AE86" s="4">
        <v>28951151</v>
      </c>
      <c r="AG86" s="4" t="s">
        <v>279</v>
      </c>
      <c r="AH86" s="4" t="s">
        <v>280</v>
      </c>
      <c r="AI86" s="4" t="s">
        <v>156</v>
      </c>
    </row>
    <row r="87" spans="1:35" ht="18" x14ac:dyDescent="0.3">
      <c r="A87" s="11" t="s">
        <v>347</v>
      </c>
      <c r="B87" s="11"/>
      <c r="C87" s="33" t="s">
        <v>239</v>
      </c>
      <c r="D87" s="21"/>
      <c r="E87" s="21"/>
      <c r="F87" s="34" t="s">
        <v>240</v>
      </c>
      <c r="G87" s="35">
        <v>8</v>
      </c>
      <c r="H87" s="21"/>
      <c r="I87" s="36">
        <v>932.24</v>
      </c>
      <c r="J87" s="37">
        <v>2.54</v>
      </c>
      <c r="K87" s="12"/>
      <c r="L87" s="12"/>
      <c r="M87" s="37">
        <f>ROUND(ROUND(J87, 2)*I87, 2)</f>
        <v>2367.89</v>
      </c>
      <c r="N87" s="12"/>
      <c r="O87" s="12"/>
      <c r="P87" s="37">
        <v>2.54</v>
      </c>
      <c r="Q87" s="12"/>
      <c r="R87" s="12"/>
      <c r="S87" s="37">
        <f>ROUND(ROUND(P87, 2)*I87, 2)</f>
        <v>2367.89</v>
      </c>
      <c r="T87" s="12"/>
      <c r="U87" s="38"/>
      <c r="V87" s="9">
        <f>ROUND(ROUND(P87, 2)/1.2, 2)</f>
        <v>2.12</v>
      </c>
      <c r="Y87" s="9">
        <f t="shared" si="10"/>
        <v>1973.24</v>
      </c>
      <c r="AD87" s="4" t="s">
        <v>348</v>
      </c>
      <c r="AE87" s="4" t="s">
        <v>349</v>
      </c>
      <c r="AF87" s="4" t="s">
        <v>243</v>
      </c>
    </row>
    <row r="88" spans="1:35" ht="18" x14ac:dyDescent="0.3">
      <c r="A88" s="11" t="s">
        <v>350</v>
      </c>
      <c r="B88" s="11"/>
      <c r="C88" s="33" t="s">
        <v>245</v>
      </c>
      <c r="D88" s="21"/>
      <c r="E88" s="21"/>
      <c r="F88" s="34" t="s">
        <v>159</v>
      </c>
      <c r="G88" s="35">
        <v>1.8</v>
      </c>
      <c r="H88" s="21"/>
      <c r="I88" s="36">
        <v>13634.01</v>
      </c>
      <c r="J88" s="37">
        <v>7.54</v>
      </c>
      <c r="K88" s="12"/>
      <c r="L88" s="12"/>
      <c r="M88" s="37">
        <f>ROUND(ROUND(J88, 2)*I88, 2)</f>
        <v>102800.44</v>
      </c>
      <c r="N88" s="12"/>
      <c r="O88" s="12"/>
      <c r="P88" s="37">
        <v>7.54</v>
      </c>
      <c r="Q88" s="12"/>
      <c r="R88" s="12"/>
      <c r="S88" s="37">
        <f>ROUND(ROUND(P88, 2)*I88, 2)</f>
        <v>102800.44</v>
      </c>
      <c r="T88" s="12"/>
      <c r="U88" s="38"/>
      <c r="V88" s="9">
        <f>ROUND(ROUND(P88, 2)/1.2, 2)</f>
        <v>6.28</v>
      </c>
      <c r="Y88" s="9">
        <f t="shared" si="10"/>
        <v>85667.03</v>
      </c>
      <c r="AD88" s="4" t="s">
        <v>351</v>
      </c>
      <c r="AE88" s="4" t="s">
        <v>352</v>
      </c>
      <c r="AF88" s="4" t="s">
        <v>248</v>
      </c>
    </row>
    <row r="89" spans="1:35" ht="18" x14ac:dyDescent="0.3">
      <c r="A89" s="11" t="s">
        <v>353</v>
      </c>
      <c r="B89" s="11"/>
      <c r="C89" s="33" t="s">
        <v>250</v>
      </c>
      <c r="D89" s="21"/>
      <c r="E89" s="21"/>
      <c r="F89" s="34" t="s">
        <v>75</v>
      </c>
      <c r="G89" s="35">
        <v>1.1000000000000001</v>
      </c>
      <c r="H89" s="21"/>
      <c r="I89" s="36">
        <v>128.18299999999999</v>
      </c>
      <c r="J89" s="37">
        <v>157.6</v>
      </c>
      <c r="K89" s="12"/>
      <c r="L89" s="12"/>
      <c r="M89" s="37">
        <f>ROUND(ROUND(J89, 2)*I89, 2)</f>
        <v>20201.64</v>
      </c>
      <c r="N89" s="12"/>
      <c r="O89" s="12"/>
      <c r="P89" s="37">
        <v>157.6</v>
      </c>
      <c r="Q89" s="12"/>
      <c r="R89" s="12"/>
      <c r="S89" s="37">
        <f>ROUND(ROUND(P89, 2)*I89, 2)</f>
        <v>20201.64</v>
      </c>
      <c r="T89" s="12"/>
      <c r="U89" s="38"/>
      <c r="V89" s="9">
        <f>ROUND(ROUND(P89, 2)/1.2, 2)</f>
        <v>131.33000000000001</v>
      </c>
      <c r="Y89" s="9">
        <f t="shared" si="10"/>
        <v>16834.7</v>
      </c>
      <c r="AD89" s="4" t="s">
        <v>354</v>
      </c>
      <c r="AE89" s="4" t="s">
        <v>355</v>
      </c>
      <c r="AF89" s="4" t="s">
        <v>253</v>
      </c>
    </row>
    <row r="90" spans="1:35" ht="18" x14ac:dyDescent="0.3">
      <c r="A90" s="11" t="s">
        <v>356</v>
      </c>
      <c r="B90" s="11"/>
      <c r="C90" s="33" t="s">
        <v>164</v>
      </c>
      <c r="D90" s="21"/>
      <c r="E90" s="21"/>
      <c r="F90" s="34" t="s">
        <v>120</v>
      </c>
      <c r="G90" s="35">
        <v>1</v>
      </c>
      <c r="H90" s="21"/>
      <c r="I90" s="36">
        <v>116.53</v>
      </c>
      <c r="J90" s="37">
        <v>10.58</v>
      </c>
      <c r="K90" s="12"/>
      <c r="L90" s="12"/>
      <c r="M90" s="37">
        <f>ROUND(ROUND(J90, 2)*I90, 2)</f>
        <v>1232.8900000000001</v>
      </c>
      <c r="N90" s="12"/>
      <c r="O90" s="12"/>
      <c r="P90" s="37">
        <v>10.58</v>
      </c>
      <c r="Q90" s="12"/>
      <c r="R90" s="12"/>
      <c r="S90" s="37">
        <f>ROUND(ROUND(P90, 2)*I90, 2)</f>
        <v>1232.8900000000001</v>
      </c>
      <c r="T90" s="12"/>
      <c r="U90" s="38"/>
      <c r="V90" s="9">
        <f>ROUND(ROUND(P90, 2)/1.2, 2)</f>
        <v>8.82</v>
      </c>
      <c r="Y90" s="9">
        <f t="shared" si="10"/>
        <v>1027.4100000000001</v>
      </c>
      <c r="AD90" s="4" t="s">
        <v>357</v>
      </c>
      <c r="AE90" s="4" t="s">
        <v>358</v>
      </c>
      <c r="AF90" s="4" t="s">
        <v>167</v>
      </c>
    </row>
    <row r="91" spans="1:35" ht="72" x14ac:dyDescent="0.3">
      <c r="A91" s="11" t="s">
        <v>359</v>
      </c>
      <c r="B91" s="11" t="s">
        <v>276</v>
      </c>
      <c r="C91" s="20" t="s">
        <v>345</v>
      </c>
      <c r="D91" s="21"/>
      <c r="E91" s="21" t="s">
        <v>360</v>
      </c>
      <c r="F91" s="21" t="s">
        <v>75</v>
      </c>
      <c r="G91" s="22">
        <v>1</v>
      </c>
      <c r="H91" s="21"/>
      <c r="I91" s="22">
        <v>1890.45</v>
      </c>
      <c r="J91" s="23">
        <v>1153.08</v>
      </c>
      <c r="K91" s="23">
        <v>1014</v>
      </c>
      <c r="L91" s="23">
        <f>J91+ROUND(K91, 2)</f>
        <v>2167.08</v>
      </c>
      <c r="M91" s="23">
        <v>2179840.09</v>
      </c>
      <c r="N91" s="23">
        <v>1916916.3</v>
      </c>
      <c r="O91" s="23">
        <f>M91+N91</f>
        <v>4096756.3899999997</v>
      </c>
      <c r="P91" s="23">
        <v>1153.08</v>
      </c>
      <c r="Q91" s="23">
        <v>922</v>
      </c>
      <c r="R91" s="23">
        <f>P91+ROUND(Q91, 2)</f>
        <v>2075.08</v>
      </c>
      <c r="S91" s="23">
        <v>2179840.09</v>
      </c>
      <c r="T91" s="23">
        <v>1742994.9</v>
      </c>
      <c r="U91" s="23">
        <f>S91+T91</f>
        <v>3922834.9899999998</v>
      </c>
      <c r="V91" s="9">
        <f>ROUND(P91 / 1.2, 2)</f>
        <v>960.9</v>
      </c>
      <c r="W91" s="9">
        <f>ROUND(Q91 / 1.2, 2)</f>
        <v>768.33</v>
      </c>
      <c r="X91" s="9">
        <f>ROUND(R91 / 1.2, 2)</f>
        <v>1729.23</v>
      </c>
      <c r="Y91" s="9">
        <f t="shared" si="10"/>
        <v>1816533.41</v>
      </c>
      <c r="Z91" s="9">
        <f>ROUND(T91 / 1.2, 2)</f>
        <v>1452495.75</v>
      </c>
      <c r="AA91" s="9">
        <f>Y91+Z91</f>
        <v>3269029.16</v>
      </c>
      <c r="AD91" s="4">
        <v>339118908</v>
      </c>
      <c r="AE91" s="4">
        <v>28951152</v>
      </c>
      <c r="AG91" s="4" t="s">
        <v>279</v>
      </c>
      <c r="AH91" s="4" t="s">
        <v>280</v>
      </c>
      <c r="AI91" s="4" t="s">
        <v>156</v>
      </c>
    </row>
    <row r="92" spans="1:35" ht="18" x14ac:dyDescent="0.3">
      <c r="A92" s="11" t="s">
        <v>361</v>
      </c>
      <c r="B92" s="11"/>
      <c r="C92" s="33" t="s">
        <v>296</v>
      </c>
      <c r="D92" s="21"/>
      <c r="E92" s="21"/>
      <c r="F92" s="34" t="s">
        <v>159</v>
      </c>
      <c r="G92" s="35">
        <v>0.255</v>
      </c>
      <c r="H92" s="21"/>
      <c r="I92" s="35">
        <v>482.065</v>
      </c>
      <c r="J92" s="37">
        <v>101.66</v>
      </c>
      <c r="K92" s="12"/>
      <c r="L92" s="12"/>
      <c r="M92" s="37">
        <f>ROUND(ROUND(J92, 2)*I92, 2)</f>
        <v>49006.73</v>
      </c>
      <c r="N92" s="12"/>
      <c r="O92" s="12"/>
      <c r="P92" s="37">
        <v>101.66</v>
      </c>
      <c r="Q92" s="12"/>
      <c r="R92" s="12"/>
      <c r="S92" s="37">
        <f>ROUND(ROUND(P92, 2)*I92, 2)</f>
        <v>49006.73</v>
      </c>
      <c r="T92" s="12"/>
      <c r="U92" s="38"/>
      <c r="V92" s="9">
        <f>ROUND(ROUND(P92, 2)/1.2, 2)</f>
        <v>84.72</v>
      </c>
      <c r="Y92" s="9">
        <f t="shared" si="10"/>
        <v>40838.94</v>
      </c>
      <c r="AD92" s="4" t="s">
        <v>362</v>
      </c>
      <c r="AE92" s="4" t="s">
        <v>363</v>
      </c>
      <c r="AF92" s="4" t="s">
        <v>299</v>
      </c>
    </row>
    <row r="93" spans="1:35" ht="18" x14ac:dyDescent="0.3">
      <c r="A93" s="11" t="s">
        <v>364</v>
      </c>
      <c r="B93" s="11"/>
      <c r="C93" s="33" t="s">
        <v>164</v>
      </c>
      <c r="D93" s="21"/>
      <c r="E93" s="21"/>
      <c r="F93" s="34" t="s">
        <v>120</v>
      </c>
      <c r="G93" s="35">
        <v>1</v>
      </c>
      <c r="H93" s="21"/>
      <c r="I93" s="36">
        <v>1890.45</v>
      </c>
      <c r="J93" s="37">
        <v>10.58</v>
      </c>
      <c r="K93" s="12"/>
      <c r="L93" s="12"/>
      <c r="M93" s="37">
        <f>ROUND(ROUND(J93, 2)*I93, 2)</f>
        <v>20000.96</v>
      </c>
      <c r="N93" s="12"/>
      <c r="O93" s="12"/>
      <c r="P93" s="37">
        <v>10.58</v>
      </c>
      <c r="Q93" s="12"/>
      <c r="R93" s="12"/>
      <c r="S93" s="37">
        <f>ROUND(ROUND(P93, 2)*I93, 2)</f>
        <v>20000.96</v>
      </c>
      <c r="T93" s="12"/>
      <c r="U93" s="38"/>
      <c r="V93" s="9">
        <f>ROUND(ROUND(P93, 2)/1.2, 2)</f>
        <v>8.82</v>
      </c>
      <c r="Y93" s="9">
        <f t="shared" si="10"/>
        <v>16667.47</v>
      </c>
      <c r="AD93" s="4" t="s">
        <v>365</v>
      </c>
      <c r="AE93" s="4" t="s">
        <v>366</v>
      </c>
      <c r="AF93" s="4" t="s">
        <v>167</v>
      </c>
    </row>
    <row r="94" spans="1:35" ht="18" x14ac:dyDescent="0.3">
      <c r="A94" s="11" t="s">
        <v>367</v>
      </c>
      <c r="B94" s="11"/>
      <c r="C94" s="33" t="s">
        <v>250</v>
      </c>
      <c r="D94" s="21"/>
      <c r="E94" s="21"/>
      <c r="F94" s="34" t="s">
        <v>75</v>
      </c>
      <c r="G94" s="35">
        <v>1.1000000000000001</v>
      </c>
      <c r="H94" s="21"/>
      <c r="I94" s="36">
        <v>2079.4949999999999</v>
      </c>
      <c r="J94" s="37">
        <v>157.6</v>
      </c>
      <c r="K94" s="12"/>
      <c r="L94" s="12"/>
      <c r="M94" s="37">
        <f>ROUND(ROUND(J94, 2)*I94, 2)</f>
        <v>327728.40999999997</v>
      </c>
      <c r="N94" s="12"/>
      <c r="O94" s="12"/>
      <c r="P94" s="37">
        <v>157.6</v>
      </c>
      <c r="Q94" s="12"/>
      <c r="R94" s="12"/>
      <c r="S94" s="37">
        <f>ROUND(ROUND(P94, 2)*I94, 2)</f>
        <v>327728.40999999997</v>
      </c>
      <c r="T94" s="12"/>
      <c r="U94" s="38"/>
      <c r="V94" s="9">
        <f>ROUND(ROUND(P94, 2)/1.2, 2)</f>
        <v>131.33000000000001</v>
      </c>
      <c r="Y94" s="9">
        <f t="shared" si="10"/>
        <v>273107.01</v>
      </c>
      <c r="AD94" s="4" t="s">
        <v>368</v>
      </c>
      <c r="AE94" s="4" t="s">
        <v>369</v>
      </c>
      <c r="AF94" s="4" t="s">
        <v>253</v>
      </c>
    </row>
    <row r="95" spans="1:35" ht="18" x14ac:dyDescent="0.3">
      <c r="A95" s="11" t="s">
        <v>370</v>
      </c>
      <c r="B95" s="11"/>
      <c r="C95" s="33" t="s">
        <v>245</v>
      </c>
      <c r="D95" s="21"/>
      <c r="E95" s="21"/>
      <c r="F95" s="34" t="s">
        <v>159</v>
      </c>
      <c r="G95" s="35">
        <v>1.8</v>
      </c>
      <c r="H95" s="21"/>
      <c r="I95" s="36">
        <v>231391.08</v>
      </c>
      <c r="J95" s="37">
        <v>7.54</v>
      </c>
      <c r="K95" s="12"/>
      <c r="L95" s="12"/>
      <c r="M95" s="37">
        <f>ROUND(ROUND(J95, 2)*I95, 2)</f>
        <v>1744688.74</v>
      </c>
      <c r="N95" s="12"/>
      <c r="O95" s="12"/>
      <c r="P95" s="37">
        <v>7.54</v>
      </c>
      <c r="Q95" s="12"/>
      <c r="R95" s="12"/>
      <c r="S95" s="37">
        <f>ROUND(ROUND(P95, 2)*I95, 2)</f>
        <v>1744688.74</v>
      </c>
      <c r="T95" s="12"/>
      <c r="U95" s="38"/>
      <c r="V95" s="9">
        <f>ROUND(ROUND(P95, 2)/1.2, 2)</f>
        <v>6.28</v>
      </c>
      <c r="Y95" s="9">
        <f t="shared" si="10"/>
        <v>1453907.28</v>
      </c>
      <c r="AD95" s="4" t="s">
        <v>371</v>
      </c>
      <c r="AE95" s="4" t="s">
        <v>372</v>
      </c>
      <c r="AF95" s="4" t="s">
        <v>248</v>
      </c>
    </row>
    <row r="96" spans="1:35" ht="18" x14ac:dyDescent="0.3">
      <c r="A96" s="11" t="s">
        <v>373</v>
      </c>
      <c r="B96" s="11"/>
      <c r="C96" s="33" t="s">
        <v>239</v>
      </c>
      <c r="D96" s="21"/>
      <c r="E96" s="21"/>
      <c r="F96" s="34" t="s">
        <v>240</v>
      </c>
      <c r="G96" s="35">
        <v>8</v>
      </c>
      <c r="H96" s="21"/>
      <c r="I96" s="36">
        <v>15123.6</v>
      </c>
      <c r="J96" s="37">
        <v>2.54</v>
      </c>
      <c r="K96" s="12"/>
      <c r="L96" s="12"/>
      <c r="M96" s="37">
        <f>ROUND(ROUND(J96, 2)*I96, 2)</f>
        <v>38413.94</v>
      </c>
      <c r="N96" s="12"/>
      <c r="O96" s="12"/>
      <c r="P96" s="37">
        <v>2.54</v>
      </c>
      <c r="Q96" s="12"/>
      <c r="R96" s="12"/>
      <c r="S96" s="37">
        <f>ROUND(ROUND(P96, 2)*I96, 2)</f>
        <v>38413.94</v>
      </c>
      <c r="T96" s="12"/>
      <c r="U96" s="38"/>
      <c r="V96" s="9">
        <f>ROUND(ROUND(P96, 2)/1.2, 2)</f>
        <v>2.12</v>
      </c>
      <c r="Y96" s="9">
        <f t="shared" si="10"/>
        <v>32011.62</v>
      </c>
      <c r="AD96" s="4" t="s">
        <v>374</v>
      </c>
      <c r="AE96" s="4" t="s">
        <v>375</v>
      </c>
      <c r="AF96" s="4" t="s">
        <v>243</v>
      </c>
    </row>
    <row r="97" spans="1:35" ht="54" x14ac:dyDescent="0.3">
      <c r="A97" s="11" t="s">
        <v>376</v>
      </c>
      <c r="B97" s="11" t="s">
        <v>276</v>
      </c>
      <c r="C97" s="20" t="s">
        <v>345</v>
      </c>
      <c r="D97" s="21"/>
      <c r="E97" s="21" t="s">
        <v>377</v>
      </c>
      <c r="F97" s="21" t="s">
        <v>75</v>
      </c>
      <c r="G97" s="22">
        <v>1</v>
      </c>
      <c r="H97" s="21"/>
      <c r="I97" s="22">
        <v>254.68</v>
      </c>
      <c r="J97" s="23">
        <v>1086.44</v>
      </c>
      <c r="K97" s="23">
        <v>1014</v>
      </c>
      <c r="L97" s="23">
        <f>J97+ROUND(K97, 2)</f>
        <v>2100.44</v>
      </c>
      <c r="M97" s="23">
        <v>276694.53999999998</v>
      </c>
      <c r="N97" s="23">
        <v>258245.52</v>
      </c>
      <c r="O97" s="23">
        <f>M97+N97</f>
        <v>534940.05999999994</v>
      </c>
      <c r="P97" s="23">
        <v>1086.44</v>
      </c>
      <c r="Q97" s="23">
        <v>922</v>
      </c>
      <c r="R97" s="23">
        <f>P97+ROUND(Q97, 2)</f>
        <v>2008.44</v>
      </c>
      <c r="S97" s="23">
        <v>276694.53999999998</v>
      </c>
      <c r="T97" s="23">
        <v>234814.96</v>
      </c>
      <c r="U97" s="23">
        <f>S97+T97</f>
        <v>511509.5</v>
      </c>
      <c r="V97" s="9">
        <f>ROUND(P97 / 1.2, 2)</f>
        <v>905.37</v>
      </c>
      <c r="W97" s="9">
        <f>ROUND(Q97 / 1.2, 2)</f>
        <v>768.33</v>
      </c>
      <c r="X97" s="9">
        <f>ROUND(R97 / 1.2, 2)</f>
        <v>1673.7</v>
      </c>
      <c r="Y97" s="9">
        <f t="shared" si="10"/>
        <v>230578.78</v>
      </c>
      <c r="Z97" s="9">
        <f>ROUND(T97 / 1.2, 2)</f>
        <v>195679.13</v>
      </c>
      <c r="AA97" s="9">
        <f>Y97+Z97</f>
        <v>426257.91000000003</v>
      </c>
      <c r="AD97" s="4">
        <v>339118909</v>
      </c>
      <c r="AE97" s="4">
        <v>28964107</v>
      </c>
      <c r="AG97" s="4" t="s">
        <v>279</v>
      </c>
      <c r="AH97" s="4" t="s">
        <v>280</v>
      </c>
      <c r="AI97" s="4" t="s">
        <v>156</v>
      </c>
    </row>
    <row r="98" spans="1:35" ht="18" x14ac:dyDescent="0.3">
      <c r="A98" s="11" t="s">
        <v>378</v>
      </c>
      <c r="B98" s="11"/>
      <c r="C98" s="33" t="s">
        <v>239</v>
      </c>
      <c r="D98" s="21"/>
      <c r="E98" s="21"/>
      <c r="F98" s="34" t="s">
        <v>240</v>
      </c>
      <c r="G98" s="35">
        <v>8</v>
      </c>
      <c r="H98" s="21"/>
      <c r="I98" s="36">
        <v>2037.44</v>
      </c>
      <c r="J98" s="37">
        <v>2.54</v>
      </c>
      <c r="K98" s="12"/>
      <c r="L98" s="12"/>
      <c r="M98" s="37">
        <f>ROUND(ROUND(J98, 2)*I98, 2)</f>
        <v>5175.1000000000004</v>
      </c>
      <c r="N98" s="12"/>
      <c r="O98" s="12"/>
      <c r="P98" s="37">
        <v>2.54</v>
      </c>
      <c r="Q98" s="12"/>
      <c r="R98" s="12"/>
      <c r="S98" s="37">
        <f>ROUND(ROUND(P98, 2)*I98, 2)</f>
        <v>5175.1000000000004</v>
      </c>
      <c r="T98" s="12"/>
      <c r="U98" s="38"/>
      <c r="V98" s="9">
        <f>ROUND(ROUND(P98, 2)/1.2, 2)</f>
        <v>2.12</v>
      </c>
      <c r="Y98" s="9">
        <f t="shared" si="10"/>
        <v>4312.58</v>
      </c>
      <c r="AD98" s="4" t="s">
        <v>379</v>
      </c>
      <c r="AE98" s="4" t="s">
        <v>380</v>
      </c>
      <c r="AF98" s="4" t="s">
        <v>243</v>
      </c>
    </row>
    <row r="99" spans="1:35" ht="18" x14ac:dyDescent="0.3">
      <c r="A99" s="11" t="s">
        <v>381</v>
      </c>
      <c r="B99" s="11"/>
      <c r="C99" s="33" t="s">
        <v>245</v>
      </c>
      <c r="D99" s="21"/>
      <c r="E99" s="21"/>
      <c r="F99" s="34" t="s">
        <v>159</v>
      </c>
      <c r="G99" s="35">
        <v>1.8</v>
      </c>
      <c r="H99" s="21"/>
      <c r="I99" s="36">
        <v>29797.56</v>
      </c>
      <c r="J99" s="37">
        <v>7.54</v>
      </c>
      <c r="K99" s="12"/>
      <c r="L99" s="12"/>
      <c r="M99" s="37">
        <f>ROUND(ROUND(J99, 2)*I99, 2)</f>
        <v>224673.6</v>
      </c>
      <c r="N99" s="12"/>
      <c r="O99" s="12"/>
      <c r="P99" s="37">
        <v>7.54</v>
      </c>
      <c r="Q99" s="12"/>
      <c r="R99" s="12"/>
      <c r="S99" s="37">
        <f>ROUND(ROUND(P99, 2)*I99, 2)</f>
        <v>224673.6</v>
      </c>
      <c r="T99" s="12"/>
      <c r="U99" s="38"/>
      <c r="V99" s="9">
        <f>ROUND(ROUND(P99, 2)/1.2, 2)</f>
        <v>6.28</v>
      </c>
      <c r="Y99" s="9">
        <f t="shared" si="10"/>
        <v>187228</v>
      </c>
      <c r="AD99" s="4" t="s">
        <v>382</v>
      </c>
      <c r="AE99" s="4" t="s">
        <v>383</v>
      </c>
      <c r="AF99" s="4" t="s">
        <v>248</v>
      </c>
    </row>
    <row r="100" spans="1:35" ht="18" x14ac:dyDescent="0.3">
      <c r="A100" s="11" t="s">
        <v>384</v>
      </c>
      <c r="B100" s="11"/>
      <c r="C100" s="33" t="s">
        <v>250</v>
      </c>
      <c r="D100" s="21"/>
      <c r="E100" s="21"/>
      <c r="F100" s="34" t="s">
        <v>75</v>
      </c>
      <c r="G100" s="35">
        <v>1.1000000000000001</v>
      </c>
      <c r="H100" s="21"/>
      <c r="I100" s="36">
        <v>280.14800000000002</v>
      </c>
      <c r="J100" s="37">
        <v>157.6</v>
      </c>
      <c r="K100" s="12"/>
      <c r="L100" s="12"/>
      <c r="M100" s="37">
        <f>ROUND(ROUND(J100, 2)*I100, 2)</f>
        <v>44151.32</v>
      </c>
      <c r="N100" s="12"/>
      <c r="O100" s="12"/>
      <c r="P100" s="37">
        <v>157.6</v>
      </c>
      <c r="Q100" s="12"/>
      <c r="R100" s="12"/>
      <c r="S100" s="37">
        <f>ROUND(ROUND(P100, 2)*I100, 2)</f>
        <v>44151.32</v>
      </c>
      <c r="T100" s="12"/>
      <c r="U100" s="38"/>
      <c r="V100" s="9">
        <f>ROUND(ROUND(P100, 2)/1.2, 2)</f>
        <v>131.33000000000001</v>
      </c>
      <c r="Y100" s="9">
        <f t="shared" si="10"/>
        <v>36792.769999999997</v>
      </c>
      <c r="AD100" s="4" t="s">
        <v>385</v>
      </c>
      <c r="AE100" s="4" t="s">
        <v>386</v>
      </c>
      <c r="AF100" s="4" t="s">
        <v>253</v>
      </c>
    </row>
    <row r="101" spans="1:35" ht="18" x14ac:dyDescent="0.3">
      <c r="A101" s="11" t="s">
        <v>387</v>
      </c>
      <c r="B101" s="11"/>
      <c r="C101" s="33" t="s">
        <v>164</v>
      </c>
      <c r="D101" s="21"/>
      <c r="E101" s="21"/>
      <c r="F101" s="34" t="s">
        <v>120</v>
      </c>
      <c r="G101" s="35">
        <v>1</v>
      </c>
      <c r="H101" s="21"/>
      <c r="I101" s="36">
        <v>254.68</v>
      </c>
      <c r="J101" s="37">
        <v>10.58</v>
      </c>
      <c r="K101" s="12"/>
      <c r="L101" s="12"/>
      <c r="M101" s="37">
        <f>ROUND(ROUND(J101, 2)*I101, 2)</f>
        <v>2694.51</v>
      </c>
      <c r="N101" s="12"/>
      <c r="O101" s="12"/>
      <c r="P101" s="37">
        <v>10.58</v>
      </c>
      <c r="Q101" s="12"/>
      <c r="R101" s="12"/>
      <c r="S101" s="37">
        <f>ROUND(ROUND(P101, 2)*I101, 2)</f>
        <v>2694.51</v>
      </c>
      <c r="T101" s="12"/>
      <c r="U101" s="38"/>
      <c r="V101" s="9">
        <f>ROUND(ROUND(P101, 2)/1.2, 2)</f>
        <v>8.82</v>
      </c>
      <c r="Y101" s="9">
        <f t="shared" si="10"/>
        <v>2245.4299999999998</v>
      </c>
      <c r="AD101" s="4" t="s">
        <v>388</v>
      </c>
      <c r="AE101" s="4" t="s">
        <v>389</v>
      </c>
      <c r="AF101" s="4" t="s">
        <v>167</v>
      </c>
    </row>
    <row r="102" spans="1:35" ht="16.95" customHeight="1" x14ac:dyDescent="0.3">
      <c r="A102" s="10" t="s">
        <v>390</v>
      </c>
      <c r="B102" s="10" t="s">
        <v>391</v>
      </c>
      <c r="C102" s="120" t="s">
        <v>392</v>
      </c>
      <c r="D102" s="121"/>
      <c r="E102" s="121"/>
      <c r="F102" s="121"/>
      <c r="G102" s="121"/>
      <c r="H102" s="121"/>
      <c r="I102" s="122"/>
      <c r="M102" s="6">
        <f>SUM(M103,M107,M109,M111)</f>
        <v>386532.99</v>
      </c>
      <c r="N102" s="6">
        <f>SUM(N103,N107,N109,N111)</f>
        <v>304644.92000000004</v>
      </c>
      <c r="O102" s="6">
        <f>SUM(O103,O107,O109,O111)</f>
        <v>691177.90999999992</v>
      </c>
      <c r="S102" s="6">
        <f>SUM(S103,S107,S109,S111)</f>
        <v>458436.32</v>
      </c>
      <c r="T102" s="6">
        <f>SUM(T103,T107,T109,T111)</f>
        <v>304644.92000000004</v>
      </c>
      <c r="U102" s="6">
        <f>SUM(U103,U107,U109,U111)</f>
        <v>763081.24</v>
      </c>
      <c r="Y102" s="9">
        <f>SUM(Y103,Y107,Y109,Y111)</f>
        <v>382030.27</v>
      </c>
      <c r="Z102" s="9">
        <f>SUM(Z103,Z107,Z109,Z111)</f>
        <v>253870.77000000002</v>
      </c>
      <c r="AA102" s="9">
        <f>SUM(AA103,AA107,AA109,AA111)</f>
        <v>635901.04</v>
      </c>
      <c r="AD102" s="4">
        <v>339118809</v>
      </c>
      <c r="AE102" s="4">
        <v>25887963</v>
      </c>
    </row>
    <row r="103" spans="1:35" ht="54" x14ac:dyDescent="0.3">
      <c r="A103" s="10" t="s">
        <v>393</v>
      </c>
      <c r="B103" s="10" t="s">
        <v>394</v>
      </c>
      <c r="C103" s="14" t="s">
        <v>395</v>
      </c>
      <c r="D103" s="15"/>
      <c r="E103" s="15" t="s">
        <v>396</v>
      </c>
      <c r="F103" s="15" t="s">
        <v>75</v>
      </c>
      <c r="G103" s="16">
        <v>1</v>
      </c>
      <c r="H103" s="15"/>
      <c r="I103" s="16">
        <v>441.33</v>
      </c>
      <c r="J103" s="17">
        <v>625.25</v>
      </c>
      <c r="K103" s="18">
        <v>324</v>
      </c>
      <c r="L103" s="17">
        <f>J103+ROUND(K103, 2)</f>
        <v>949.25</v>
      </c>
      <c r="M103" s="17">
        <v>275941.58</v>
      </c>
      <c r="N103" s="17">
        <v>142990.92000000001</v>
      </c>
      <c r="O103" s="17">
        <f>M103+N103</f>
        <v>418932.5</v>
      </c>
      <c r="P103" s="17">
        <v>625.25</v>
      </c>
      <c r="Q103" s="19">
        <v>324</v>
      </c>
      <c r="R103" s="17">
        <f>P103+ROUND(Q103, 2)</f>
        <v>949.25</v>
      </c>
      <c r="S103" s="17">
        <v>275941.58</v>
      </c>
      <c r="T103" s="17">
        <v>142990.92000000001</v>
      </c>
      <c r="U103" s="17">
        <f>S103+T103</f>
        <v>418932.5</v>
      </c>
      <c r="V103" s="9">
        <f>ROUND(P103 / 1.2, 2)</f>
        <v>521.04</v>
      </c>
      <c r="W103" s="9">
        <f>ROUND(Q103 / 1.2, 2)</f>
        <v>270</v>
      </c>
      <c r="X103" s="9">
        <f>ROUND(R103 / 1.2, 2)</f>
        <v>791.04</v>
      </c>
      <c r="Y103" s="9">
        <f>ROUND(S103 / 1.2, 2)</f>
        <v>229951.32</v>
      </c>
      <c r="Z103" s="9">
        <f>ROUND(T103 / 1.2, 2)</f>
        <v>119159.1</v>
      </c>
      <c r="AA103" s="9">
        <f>Y103+Z103</f>
        <v>349110.42000000004</v>
      </c>
      <c r="AD103" s="4">
        <v>339118811</v>
      </c>
      <c r="AE103" s="4">
        <v>25888009</v>
      </c>
      <c r="AG103" s="4" t="s">
        <v>397</v>
      </c>
      <c r="AH103" s="4" t="s">
        <v>398</v>
      </c>
      <c r="AI103" s="4" t="s">
        <v>156</v>
      </c>
    </row>
    <row r="104" spans="1:35" ht="18" x14ac:dyDescent="0.3">
      <c r="A104" s="10" t="s">
        <v>399</v>
      </c>
      <c r="B104" s="10"/>
      <c r="C104" s="24" t="s">
        <v>400</v>
      </c>
      <c r="D104" s="15"/>
      <c r="E104" s="15"/>
      <c r="F104" s="25" t="s">
        <v>159</v>
      </c>
      <c r="G104" s="26">
        <v>0.25</v>
      </c>
      <c r="H104" s="15"/>
      <c r="I104" s="26">
        <v>110.333</v>
      </c>
      <c r="J104" s="27">
        <v>210.3</v>
      </c>
      <c r="M104" s="28">
        <f>ROUND(ROUND(J104, 2)*I104, 2)</f>
        <v>23203.03</v>
      </c>
      <c r="P104" s="29">
        <v>210.3</v>
      </c>
      <c r="S104" s="28">
        <f>ROUND(ROUND(P104, 2)*I104, 2)</f>
        <v>23203.03</v>
      </c>
      <c r="V104" s="9">
        <f>ROUND(ROUND(P104, 2)/1.2, 2)</f>
        <v>175.25</v>
      </c>
      <c r="Y104" s="9">
        <f t="shared" ref="Y104:Y112" si="11">ROUND(S104 / 1.2, 2)</f>
        <v>19335.86</v>
      </c>
      <c r="AD104" s="4" t="s">
        <v>401</v>
      </c>
      <c r="AE104" s="4" t="s">
        <v>402</v>
      </c>
      <c r="AF104" s="4" t="s">
        <v>403</v>
      </c>
    </row>
    <row r="105" spans="1:35" ht="18" x14ac:dyDescent="0.3">
      <c r="A105" s="10" t="s">
        <v>404</v>
      </c>
      <c r="B105" s="10"/>
      <c r="C105" s="24" t="s">
        <v>405</v>
      </c>
      <c r="D105" s="15"/>
      <c r="E105" s="15" t="s">
        <v>406</v>
      </c>
      <c r="F105" s="25" t="s">
        <v>159</v>
      </c>
      <c r="G105" s="26">
        <v>2</v>
      </c>
      <c r="H105" s="15"/>
      <c r="I105" s="26">
        <v>882.66</v>
      </c>
      <c r="J105" s="27">
        <v>282.66000000000003</v>
      </c>
      <c r="M105" s="28">
        <f>ROUND(ROUND(J105, 2)*I105, 2)</f>
        <v>249492.68</v>
      </c>
      <c r="P105" s="29">
        <v>282.66000000000003</v>
      </c>
      <c r="S105" s="28">
        <f>ROUND(ROUND(P105, 2)*I105, 2)</f>
        <v>249492.68</v>
      </c>
      <c r="V105" s="9">
        <f>ROUND(ROUND(P105, 2)/1.2, 2)</f>
        <v>235.55</v>
      </c>
      <c r="Y105" s="9">
        <f t="shared" si="11"/>
        <v>207910.57</v>
      </c>
      <c r="AD105" s="4" t="s">
        <v>407</v>
      </c>
      <c r="AE105" s="4" t="s">
        <v>408</v>
      </c>
      <c r="AF105" s="4" t="s">
        <v>409</v>
      </c>
    </row>
    <row r="106" spans="1:35" ht="18" x14ac:dyDescent="0.3">
      <c r="A106" s="10" t="s">
        <v>410</v>
      </c>
      <c r="B106" s="10"/>
      <c r="C106" s="24" t="s">
        <v>411</v>
      </c>
      <c r="D106" s="15"/>
      <c r="E106" s="15"/>
      <c r="F106" s="25" t="s">
        <v>120</v>
      </c>
      <c r="G106" s="26">
        <v>1.05</v>
      </c>
      <c r="H106" s="15"/>
      <c r="I106" s="32">
        <v>463.39699999999999</v>
      </c>
      <c r="J106" s="27">
        <v>7</v>
      </c>
      <c r="M106" s="28">
        <f>ROUND(ROUND(J106, 2)*I106, 2)</f>
        <v>3243.78</v>
      </c>
      <c r="P106" s="29">
        <v>7</v>
      </c>
      <c r="S106" s="28">
        <f>ROUND(ROUND(P106, 2)*I106, 2)</f>
        <v>3243.78</v>
      </c>
      <c r="V106" s="9">
        <f>ROUND(ROUND(P106, 2)/1.2, 2)</f>
        <v>5.83</v>
      </c>
      <c r="Y106" s="9">
        <f t="shared" si="11"/>
        <v>2703.15</v>
      </c>
      <c r="AD106" s="4" t="s">
        <v>412</v>
      </c>
      <c r="AE106" s="4" t="s">
        <v>413</v>
      </c>
      <c r="AF106" s="4" t="s">
        <v>414</v>
      </c>
    </row>
    <row r="107" spans="1:35" ht="36" x14ac:dyDescent="0.3">
      <c r="A107" s="10" t="s">
        <v>415</v>
      </c>
      <c r="B107" s="10" t="s">
        <v>416</v>
      </c>
      <c r="C107" s="14" t="s">
        <v>417</v>
      </c>
      <c r="D107" s="15"/>
      <c r="E107" s="15" t="s">
        <v>418</v>
      </c>
      <c r="F107" s="15" t="s">
        <v>75</v>
      </c>
      <c r="G107" s="16">
        <v>1</v>
      </c>
      <c r="H107" s="15"/>
      <c r="I107" s="16">
        <v>254.61</v>
      </c>
      <c r="J107" s="17">
        <v>173.98</v>
      </c>
      <c r="K107" s="18">
        <v>439</v>
      </c>
      <c r="L107" s="17">
        <f>J107+ROUND(K107, 2)</f>
        <v>612.98</v>
      </c>
      <c r="M107" s="17">
        <v>44297.05</v>
      </c>
      <c r="N107" s="17">
        <v>111773.79</v>
      </c>
      <c r="O107" s="17">
        <f>M107+N107</f>
        <v>156070.84</v>
      </c>
      <c r="P107" s="17">
        <v>413.67</v>
      </c>
      <c r="Q107" s="19">
        <v>439</v>
      </c>
      <c r="R107" s="17">
        <f>P107+ROUND(Q107, 2)</f>
        <v>852.67000000000007</v>
      </c>
      <c r="S107" s="17">
        <v>105324.52</v>
      </c>
      <c r="T107" s="17">
        <v>111773.79</v>
      </c>
      <c r="U107" s="17">
        <f>S107+T107</f>
        <v>217098.31</v>
      </c>
      <c r="V107" s="9">
        <f>ROUND(P107 / 1.2, 2)</f>
        <v>344.73</v>
      </c>
      <c r="W107" s="9">
        <f>ROUND(Q107 / 1.2, 2)</f>
        <v>365.83</v>
      </c>
      <c r="X107" s="9">
        <f>ROUND(R107 / 1.2, 2)</f>
        <v>710.56</v>
      </c>
      <c r="Y107" s="9">
        <f t="shared" si="11"/>
        <v>87770.43</v>
      </c>
      <c r="Z107" s="9">
        <f>ROUND(T107 / 1.2, 2)</f>
        <v>93144.83</v>
      </c>
      <c r="AA107" s="9">
        <f>Y107+Z107</f>
        <v>180915.26</v>
      </c>
      <c r="AD107" s="4">
        <v>339118813</v>
      </c>
      <c r="AE107" s="4">
        <v>25888006</v>
      </c>
      <c r="AG107" s="4" t="s">
        <v>419</v>
      </c>
      <c r="AH107" s="4" t="s">
        <v>420</v>
      </c>
      <c r="AI107" s="4" t="s">
        <v>156</v>
      </c>
    </row>
    <row r="108" spans="1:35" ht="72" x14ac:dyDescent="0.3">
      <c r="A108" s="10" t="s">
        <v>421</v>
      </c>
      <c r="B108" s="10"/>
      <c r="C108" s="30" t="s">
        <v>422</v>
      </c>
      <c r="D108" s="15"/>
      <c r="E108" s="15" t="s">
        <v>423</v>
      </c>
      <c r="F108" s="25" t="s">
        <v>424</v>
      </c>
      <c r="G108" s="26">
        <v>1.03</v>
      </c>
      <c r="H108" s="15"/>
      <c r="I108" s="32">
        <v>13.112</v>
      </c>
      <c r="J108" s="27">
        <v>3378.43</v>
      </c>
      <c r="M108" s="28">
        <f>ROUND(ROUND(J108, 2)*I108, 2)</f>
        <v>44297.97</v>
      </c>
      <c r="P108" s="29">
        <v>8032.5</v>
      </c>
      <c r="S108" s="28">
        <f>ROUND(ROUND(P108, 2)*I108, 2)</f>
        <v>105322.14</v>
      </c>
      <c r="V108" s="9">
        <f>ROUND(ROUND(P108, 2)/1.2, 2)</f>
        <v>6693.75</v>
      </c>
      <c r="Y108" s="9">
        <f t="shared" si="11"/>
        <v>87768.45</v>
      </c>
      <c r="AD108" s="4" t="s">
        <v>425</v>
      </c>
      <c r="AE108" s="4" t="s">
        <v>426</v>
      </c>
      <c r="AF108" s="4" t="s">
        <v>427</v>
      </c>
    </row>
    <row r="109" spans="1:35" ht="54" x14ac:dyDescent="0.3">
      <c r="A109" s="11" t="s">
        <v>428</v>
      </c>
      <c r="B109" s="11" t="s">
        <v>416</v>
      </c>
      <c r="C109" s="20" t="s">
        <v>417</v>
      </c>
      <c r="D109" s="21"/>
      <c r="E109" s="21" t="s">
        <v>429</v>
      </c>
      <c r="F109" s="21" t="s">
        <v>75</v>
      </c>
      <c r="G109" s="22">
        <v>1</v>
      </c>
      <c r="H109" s="21"/>
      <c r="I109" s="22">
        <v>86.33</v>
      </c>
      <c r="J109" s="23">
        <v>369.01</v>
      </c>
      <c r="K109" s="23">
        <v>439</v>
      </c>
      <c r="L109" s="23">
        <f>J109+ROUND(K109, 2)</f>
        <v>808.01</v>
      </c>
      <c r="M109" s="23">
        <v>31856.63</v>
      </c>
      <c r="N109" s="23">
        <v>37898.870000000003</v>
      </c>
      <c r="O109" s="23">
        <f>M109+N109</f>
        <v>69755.5</v>
      </c>
      <c r="P109" s="23">
        <v>494.99</v>
      </c>
      <c r="Q109" s="23">
        <v>439</v>
      </c>
      <c r="R109" s="23">
        <f>P109+ROUND(Q109, 2)</f>
        <v>933.99</v>
      </c>
      <c r="S109" s="23">
        <v>42732.49</v>
      </c>
      <c r="T109" s="23">
        <v>37898.870000000003</v>
      </c>
      <c r="U109" s="23">
        <f>S109+T109</f>
        <v>80631.360000000001</v>
      </c>
      <c r="V109" s="9">
        <f>ROUND(P109 / 1.2, 2)</f>
        <v>412.49</v>
      </c>
      <c r="W109" s="9">
        <f>ROUND(Q109 / 1.2, 2)</f>
        <v>365.83</v>
      </c>
      <c r="X109" s="9">
        <f>ROUND(R109 / 1.2, 2)</f>
        <v>778.33</v>
      </c>
      <c r="Y109" s="9">
        <f t="shared" si="11"/>
        <v>35610.410000000003</v>
      </c>
      <c r="Z109" s="9">
        <f>ROUND(T109 / 1.2, 2)</f>
        <v>31582.39</v>
      </c>
      <c r="AA109" s="9">
        <f>Y109+Z109</f>
        <v>67192.800000000003</v>
      </c>
      <c r="AD109" s="4">
        <v>339118910</v>
      </c>
      <c r="AE109" s="4">
        <v>28964106</v>
      </c>
      <c r="AG109" s="4" t="s">
        <v>419</v>
      </c>
      <c r="AH109" s="4" t="s">
        <v>420</v>
      </c>
      <c r="AI109" s="4" t="s">
        <v>156</v>
      </c>
    </row>
    <row r="110" spans="1:35" ht="54" x14ac:dyDescent="0.3">
      <c r="A110" s="11" t="s">
        <v>430</v>
      </c>
      <c r="B110" s="11"/>
      <c r="C110" s="30" t="s">
        <v>431</v>
      </c>
      <c r="D110" s="21"/>
      <c r="E110" s="21" t="s">
        <v>432</v>
      </c>
      <c r="F110" s="34" t="s">
        <v>424</v>
      </c>
      <c r="G110" s="35">
        <v>1.03</v>
      </c>
      <c r="H110" s="21"/>
      <c r="I110" s="36">
        <v>4.4450000000000003</v>
      </c>
      <c r="J110" s="37">
        <v>7166.88</v>
      </c>
      <c r="K110" s="12"/>
      <c r="L110" s="12"/>
      <c r="M110" s="37">
        <f>ROUND(ROUND(J110, 2)*I110, 2)</f>
        <v>31856.78</v>
      </c>
      <c r="N110" s="12"/>
      <c r="O110" s="12"/>
      <c r="P110" s="37">
        <v>9613.6299999999992</v>
      </c>
      <c r="Q110" s="12"/>
      <c r="R110" s="12"/>
      <c r="S110" s="37">
        <f>ROUND(ROUND(P110, 2)*I110, 2)</f>
        <v>42732.59</v>
      </c>
      <c r="T110" s="12"/>
      <c r="U110" s="38"/>
      <c r="V110" s="9">
        <f>ROUND(ROUND(P110, 2)/1.2, 2)</f>
        <v>8011.36</v>
      </c>
      <c r="Y110" s="9">
        <f t="shared" si="11"/>
        <v>35610.49</v>
      </c>
      <c r="AD110" s="4" t="s">
        <v>433</v>
      </c>
      <c r="AE110" s="4" t="s">
        <v>434</v>
      </c>
      <c r="AF110" s="4" t="s">
        <v>435</v>
      </c>
    </row>
    <row r="111" spans="1:35" ht="72" x14ac:dyDescent="0.3">
      <c r="A111" s="10" t="s">
        <v>436</v>
      </c>
      <c r="B111" s="10" t="s">
        <v>437</v>
      </c>
      <c r="C111" s="14" t="s">
        <v>438</v>
      </c>
      <c r="D111" s="15"/>
      <c r="E111" s="15" t="s">
        <v>439</v>
      </c>
      <c r="F111" s="15" t="s">
        <v>75</v>
      </c>
      <c r="G111" s="16">
        <v>1</v>
      </c>
      <c r="H111" s="15"/>
      <c r="I111" s="16">
        <v>46.62</v>
      </c>
      <c r="J111" s="17">
        <v>738.69</v>
      </c>
      <c r="K111" s="18">
        <v>257</v>
      </c>
      <c r="L111" s="17">
        <f>J111+ROUND(K111, 2)</f>
        <v>995.69</v>
      </c>
      <c r="M111" s="17">
        <v>34437.730000000003</v>
      </c>
      <c r="N111" s="17">
        <v>11981.34</v>
      </c>
      <c r="O111" s="17">
        <f>M111+N111</f>
        <v>46419.070000000007</v>
      </c>
      <c r="P111" s="17">
        <v>738.69</v>
      </c>
      <c r="Q111" s="19">
        <v>257</v>
      </c>
      <c r="R111" s="17">
        <f>P111+ROUND(Q111, 2)</f>
        <v>995.69</v>
      </c>
      <c r="S111" s="17">
        <v>34437.730000000003</v>
      </c>
      <c r="T111" s="17">
        <v>11981.34</v>
      </c>
      <c r="U111" s="17">
        <f>S111+T111</f>
        <v>46419.070000000007</v>
      </c>
      <c r="V111" s="9">
        <f>ROUND(P111 / 1.2, 2)</f>
        <v>615.58000000000004</v>
      </c>
      <c r="W111" s="9">
        <f>ROUND(Q111 / 1.2, 2)</f>
        <v>214.17</v>
      </c>
      <c r="X111" s="9">
        <f>ROUND(R111 / 1.2, 2)</f>
        <v>829.74</v>
      </c>
      <c r="Y111" s="9">
        <f t="shared" si="11"/>
        <v>28698.11</v>
      </c>
      <c r="Z111" s="9">
        <f>ROUND(T111 / 1.2, 2)</f>
        <v>9984.4500000000007</v>
      </c>
      <c r="AA111" s="9">
        <f>Y111+Z111</f>
        <v>38682.559999999998</v>
      </c>
      <c r="AD111" s="4">
        <v>339118814</v>
      </c>
      <c r="AE111" s="4">
        <v>25887993</v>
      </c>
      <c r="AG111" s="4" t="s">
        <v>440</v>
      </c>
      <c r="AH111" s="4" t="s">
        <v>441</v>
      </c>
      <c r="AI111" s="4" t="s">
        <v>156</v>
      </c>
    </row>
    <row r="112" spans="1:35" ht="36" x14ac:dyDescent="0.3">
      <c r="A112" s="10" t="s">
        <v>442</v>
      </c>
      <c r="B112" s="10"/>
      <c r="C112" s="30" t="s">
        <v>443</v>
      </c>
      <c r="D112" s="15"/>
      <c r="E112" s="15"/>
      <c r="F112" s="25" t="s">
        <v>424</v>
      </c>
      <c r="G112" s="26">
        <v>0.10299999999999999</v>
      </c>
      <c r="H112" s="15"/>
      <c r="I112" s="32">
        <v>4.8019999999999996</v>
      </c>
      <c r="J112" s="27">
        <v>7171.5</v>
      </c>
      <c r="M112" s="28">
        <f>ROUND(ROUND(J112, 2)*I112, 2)</f>
        <v>34437.54</v>
      </c>
      <c r="P112" s="29">
        <v>7171.5</v>
      </c>
      <c r="S112" s="28">
        <f>ROUND(ROUND(P112, 2)*I112, 2)</f>
        <v>34437.54</v>
      </c>
      <c r="V112" s="9">
        <f>ROUND(ROUND(P112, 2)/1.2, 2)</f>
        <v>5976.25</v>
      </c>
      <c r="Y112" s="9">
        <f t="shared" si="11"/>
        <v>28697.95</v>
      </c>
      <c r="AD112" s="4" t="s">
        <v>444</v>
      </c>
      <c r="AE112" s="4" t="s">
        <v>445</v>
      </c>
      <c r="AF112" s="4" t="s">
        <v>446</v>
      </c>
    </row>
    <row r="113" spans="1:35" ht="16.95" customHeight="1" x14ac:dyDescent="0.3">
      <c r="A113" s="10" t="s">
        <v>447</v>
      </c>
      <c r="B113" s="10" t="s">
        <v>448</v>
      </c>
      <c r="C113" s="120" t="s">
        <v>449</v>
      </c>
      <c r="D113" s="121"/>
      <c r="E113" s="121"/>
      <c r="F113" s="121"/>
      <c r="G113" s="121"/>
      <c r="H113" s="121"/>
      <c r="I113" s="122"/>
      <c r="M113" s="6">
        <f>SUM(M114,M124,M134,M140,M146,M149,M152,M157,M162,M167,M170,M172,M177,M182,M187,M192,M197,M202)</f>
        <v>10609499.579999998</v>
      </c>
      <c r="N113" s="6">
        <f>SUM(N114,N124,N134,N140,N146,N149,N152,N157,N162,N167,N170,N172,N177,N182,N187,N192,N197,N202)</f>
        <v>11340890.030000001</v>
      </c>
      <c r="O113" s="6">
        <f>SUM(O114,O124,O134,O140,O146,O149,O152,O157,O162,O167,O170,O172,O177,O182,O187,O192,O197,O202)</f>
        <v>21950389.609999999</v>
      </c>
      <c r="S113" s="6">
        <f>SUM(S114,S124,S134,S140,S146,S149,S152,S157,S162,S167,S170,S172,S177,S182,S187,S192,S197,S202)</f>
        <v>20003456.41</v>
      </c>
      <c r="T113" s="6">
        <f>SUM(T114,T124,T134,T140,T146,T149,T152,T157,T162,T167,T170,T172,T177,T182,T187,T192,T197,T202)</f>
        <v>10281002.84</v>
      </c>
      <c r="U113" s="6">
        <f>SUM(U114,U124,U134,U140,U146,U149,U152,U157,U162,U167,U170,U172,U177,U182,U187,U192,U197,U202)</f>
        <v>30284459.250000007</v>
      </c>
      <c r="Y113" s="9">
        <f>SUM(Y114,Y124,Y134,Y140,Y146,Y149,Y152,Y157,Y162,Y167,Y170,Y172,Y177,Y182,Y187,Y192,Y197,Y202)</f>
        <v>16669547.030000001</v>
      </c>
      <c r="Z113" s="9">
        <f>SUM(Z114,Z124,Z134,Z140,Z146,Z149,Z152,Z157,Z162,Z167,Z170,Z172,Z177,Z182,Z187,Z192,Z197,Z202)</f>
        <v>8567502.3599999994</v>
      </c>
      <c r="AA113" s="9">
        <f>SUM(AA114,AA124,AA134,AA140,AA146,AA149,AA152,AA157,AA162,AA167,AA170,AA172,AA177,AA182,AA187,AA192,AA197,AA202)</f>
        <v>25237049.390000001</v>
      </c>
      <c r="AD113" s="4">
        <v>339118815</v>
      </c>
      <c r="AE113" s="4">
        <v>25887937</v>
      </c>
    </row>
    <row r="114" spans="1:35" ht="54" x14ac:dyDescent="0.3">
      <c r="A114" s="39" t="s">
        <v>450</v>
      </c>
      <c r="B114" s="39" t="s">
        <v>451</v>
      </c>
      <c r="C114" s="40" t="s">
        <v>452</v>
      </c>
      <c r="D114" s="41"/>
      <c r="E114" s="41" t="s">
        <v>453</v>
      </c>
      <c r="F114" s="41" t="s">
        <v>75</v>
      </c>
      <c r="G114" s="42">
        <v>1</v>
      </c>
      <c r="H114" s="41"/>
      <c r="I114" s="43">
        <v>0</v>
      </c>
      <c r="J114" s="44">
        <v>577.89</v>
      </c>
      <c r="K114" s="44">
        <v>1439</v>
      </c>
      <c r="L114" s="44">
        <f>J114+ROUND(K114, 2)</f>
        <v>2016.8899999999999</v>
      </c>
      <c r="M114" s="44">
        <v>0</v>
      </c>
      <c r="N114" s="44">
        <v>0</v>
      </c>
      <c r="O114" s="44">
        <f>M114+N114</f>
        <v>0</v>
      </c>
      <c r="P114" s="44">
        <v>703.11</v>
      </c>
      <c r="Q114" s="44">
        <v>1439</v>
      </c>
      <c r="R114" s="44">
        <f>P114+ROUND(Q114, 2)</f>
        <v>2142.11</v>
      </c>
      <c r="S114" s="44">
        <v>0</v>
      </c>
      <c r="T114" s="44">
        <v>0</v>
      </c>
      <c r="U114" s="44">
        <f>S114+T114</f>
        <v>0</v>
      </c>
      <c r="V114" s="9">
        <f>ROUND(P114 / 1.2, 2)</f>
        <v>585.92999999999995</v>
      </c>
      <c r="W114" s="9">
        <f>ROUND(Q114 / 1.2, 2)</f>
        <v>1199.17</v>
      </c>
      <c r="X114" s="9">
        <f>ROUND(R114 / 1.2, 2)</f>
        <v>1785.09</v>
      </c>
      <c r="Y114" s="9">
        <f>ROUND(S114 / 1.2, 2)</f>
        <v>0</v>
      </c>
      <c r="Z114" s="9">
        <f>ROUND(T114 / 1.2, 2)</f>
        <v>0</v>
      </c>
      <c r="AA114" s="9">
        <f>Y114+Z114</f>
        <v>0</v>
      </c>
      <c r="AD114" s="4">
        <v>339118817</v>
      </c>
      <c r="AE114" s="4">
        <v>25888010</v>
      </c>
      <c r="AG114" s="4" t="s">
        <v>454</v>
      </c>
      <c r="AH114" s="4" t="s">
        <v>455</v>
      </c>
      <c r="AI114" s="4" t="s">
        <v>156</v>
      </c>
    </row>
    <row r="115" spans="1:35" ht="54" x14ac:dyDescent="0.3">
      <c r="A115" s="45" t="s">
        <v>456</v>
      </c>
      <c r="B115" s="45" t="s">
        <v>451</v>
      </c>
      <c r="C115" s="46" t="s">
        <v>452</v>
      </c>
      <c r="D115" s="47"/>
      <c r="E115" s="47" t="s">
        <v>453</v>
      </c>
      <c r="F115" s="47" t="s">
        <v>75</v>
      </c>
      <c r="G115" s="48">
        <v>1</v>
      </c>
      <c r="H115" s="47"/>
      <c r="I115" s="48">
        <v>83.73</v>
      </c>
      <c r="J115" s="49">
        <v>577.89</v>
      </c>
      <c r="K115" s="49">
        <v>1439</v>
      </c>
      <c r="L115" s="49">
        <v>1439</v>
      </c>
      <c r="M115" s="49">
        <v>48386.73</v>
      </c>
      <c r="N115" s="49">
        <v>120487.47</v>
      </c>
      <c r="O115" s="49"/>
      <c r="P115" s="49">
        <v>703.11</v>
      </c>
      <c r="Q115" s="49">
        <v>1439</v>
      </c>
      <c r="R115" s="49">
        <v>1439</v>
      </c>
      <c r="S115" s="49">
        <v>58871.4</v>
      </c>
      <c r="T115" s="49">
        <v>120487.47</v>
      </c>
      <c r="U115" s="49"/>
      <c r="V115" s="9"/>
      <c r="W115" s="9">
        <f>ROUND(Q115 / 1.2, 2)</f>
        <v>1199.17</v>
      </c>
      <c r="X115" s="9">
        <f>ROUND(R115 / 1.2, 2)</f>
        <v>1199.17</v>
      </c>
      <c r="Y115" s="9"/>
      <c r="Z115" s="9">
        <f>ROUND(T115 / 1.2, 2)</f>
        <v>100406.23</v>
      </c>
      <c r="AA115" s="9"/>
      <c r="AD115" s="4">
        <v>314520169</v>
      </c>
      <c r="AE115" s="4">
        <v>25888010</v>
      </c>
      <c r="AG115" s="4" t="s">
        <v>454</v>
      </c>
      <c r="AH115" s="4" t="s">
        <v>455</v>
      </c>
      <c r="AI115" s="4"/>
    </row>
    <row r="116" spans="1:35" ht="72" x14ac:dyDescent="0.3">
      <c r="A116" s="39" t="s">
        <v>457</v>
      </c>
      <c r="B116" s="39"/>
      <c r="C116" s="50" t="s">
        <v>458</v>
      </c>
      <c r="D116" s="41"/>
      <c r="E116" s="41" t="s">
        <v>459</v>
      </c>
      <c r="F116" s="51" t="s">
        <v>159</v>
      </c>
      <c r="G116" s="52">
        <v>1.2</v>
      </c>
      <c r="H116" s="41"/>
      <c r="I116" s="53">
        <v>0</v>
      </c>
      <c r="J116" s="54">
        <v>12.33</v>
      </c>
      <c r="K116" s="55"/>
      <c r="L116" s="55"/>
      <c r="M116" s="54">
        <f t="shared" ref="M116:M123" si="12">ROUND(ROUND(J116, 2)*I116, 2)</f>
        <v>0</v>
      </c>
      <c r="N116" s="55"/>
      <c r="O116" s="55"/>
      <c r="P116" s="54">
        <v>29.14</v>
      </c>
      <c r="Q116" s="55"/>
      <c r="R116" s="55"/>
      <c r="S116" s="54">
        <f t="shared" ref="S116:S123" si="13">ROUND(ROUND(P116, 2)*I116, 2)</f>
        <v>0</v>
      </c>
      <c r="T116" s="55"/>
      <c r="U116" s="56"/>
      <c r="V116" s="9">
        <f t="shared" ref="V116:V123" si="14">ROUND(ROUND(P116, 2)/1.2, 2)</f>
        <v>24.28</v>
      </c>
      <c r="Y116" s="9">
        <f t="shared" ref="Y116:Y124" si="15">ROUND(S116 / 1.2, 2)</f>
        <v>0</v>
      </c>
      <c r="AD116" s="4" t="s">
        <v>460</v>
      </c>
      <c r="AE116" s="4" t="s">
        <v>461</v>
      </c>
      <c r="AF116" s="4" t="s">
        <v>462</v>
      </c>
    </row>
    <row r="117" spans="1:35" ht="72" x14ac:dyDescent="0.3">
      <c r="A117" s="45" t="s">
        <v>463</v>
      </c>
      <c r="B117" s="45"/>
      <c r="C117" s="57" t="s">
        <v>458</v>
      </c>
      <c r="D117" s="47"/>
      <c r="E117" s="47" t="s">
        <v>459</v>
      </c>
      <c r="F117" s="58" t="s">
        <v>159</v>
      </c>
      <c r="G117" s="59">
        <v>1.2</v>
      </c>
      <c r="H117" s="47"/>
      <c r="I117" s="60">
        <v>502.38</v>
      </c>
      <c r="J117" s="61">
        <v>12.33</v>
      </c>
      <c r="K117" s="62"/>
      <c r="L117" s="62"/>
      <c r="M117" s="61">
        <f t="shared" si="12"/>
        <v>6194.35</v>
      </c>
      <c r="N117" s="62"/>
      <c r="O117" s="62"/>
      <c r="P117" s="61">
        <v>29.14</v>
      </c>
      <c r="Q117" s="62"/>
      <c r="R117" s="62"/>
      <c r="S117" s="61">
        <f t="shared" si="13"/>
        <v>14639.35</v>
      </c>
      <c r="T117" s="62"/>
      <c r="U117" s="63"/>
      <c r="V117" s="9">
        <f t="shared" si="14"/>
        <v>24.28</v>
      </c>
      <c r="Y117" s="9">
        <f t="shared" si="15"/>
        <v>12199.46</v>
      </c>
      <c r="AD117" s="4" t="s">
        <v>464</v>
      </c>
      <c r="AE117" s="4" t="s">
        <v>461</v>
      </c>
      <c r="AF117" s="4" t="s">
        <v>462</v>
      </c>
    </row>
    <row r="118" spans="1:35" ht="36" x14ac:dyDescent="0.3">
      <c r="A118" s="39" t="s">
        <v>465</v>
      </c>
      <c r="B118" s="39"/>
      <c r="C118" s="50" t="s">
        <v>466</v>
      </c>
      <c r="D118" s="41"/>
      <c r="E118" s="41"/>
      <c r="F118" s="51" t="s">
        <v>75</v>
      </c>
      <c r="G118" s="52">
        <v>1.07</v>
      </c>
      <c r="H118" s="41"/>
      <c r="I118" s="53">
        <v>0</v>
      </c>
      <c r="J118" s="54">
        <v>447.41</v>
      </c>
      <c r="K118" s="55"/>
      <c r="L118" s="55"/>
      <c r="M118" s="54">
        <f t="shared" si="12"/>
        <v>0</v>
      </c>
      <c r="N118" s="55"/>
      <c r="O118" s="55"/>
      <c r="P118" s="54">
        <v>447.41</v>
      </c>
      <c r="Q118" s="55"/>
      <c r="R118" s="55"/>
      <c r="S118" s="54">
        <f t="shared" si="13"/>
        <v>0</v>
      </c>
      <c r="T118" s="55"/>
      <c r="U118" s="56"/>
      <c r="V118" s="9">
        <f t="shared" si="14"/>
        <v>372.84</v>
      </c>
      <c r="Y118" s="9">
        <f t="shared" si="15"/>
        <v>0</v>
      </c>
      <c r="AD118" s="4" t="s">
        <v>467</v>
      </c>
      <c r="AE118" s="4" t="s">
        <v>468</v>
      </c>
      <c r="AF118" s="4" t="s">
        <v>469</v>
      </c>
    </row>
    <row r="119" spans="1:35" ht="36" x14ac:dyDescent="0.3">
      <c r="A119" s="45" t="s">
        <v>470</v>
      </c>
      <c r="B119" s="45"/>
      <c r="C119" s="57" t="s">
        <v>466</v>
      </c>
      <c r="D119" s="47"/>
      <c r="E119" s="47"/>
      <c r="F119" s="58" t="s">
        <v>75</v>
      </c>
      <c r="G119" s="59">
        <v>1.07</v>
      </c>
      <c r="H119" s="47"/>
      <c r="I119" s="60">
        <v>89.590999999999994</v>
      </c>
      <c r="J119" s="61">
        <v>447.41</v>
      </c>
      <c r="K119" s="62"/>
      <c r="L119" s="62"/>
      <c r="M119" s="61">
        <f t="shared" si="12"/>
        <v>40083.910000000003</v>
      </c>
      <c r="N119" s="62"/>
      <c r="O119" s="62"/>
      <c r="P119" s="61">
        <v>447.41</v>
      </c>
      <c r="Q119" s="62"/>
      <c r="R119" s="62"/>
      <c r="S119" s="61">
        <f t="shared" si="13"/>
        <v>40083.910000000003</v>
      </c>
      <c r="T119" s="62"/>
      <c r="U119" s="63"/>
      <c r="V119" s="9">
        <f t="shared" si="14"/>
        <v>372.84</v>
      </c>
      <c r="Y119" s="9">
        <f t="shared" si="15"/>
        <v>33403.26</v>
      </c>
      <c r="AD119" s="4" t="s">
        <v>471</v>
      </c>
      <c r="AE119" s="4" t="s">
        <v>468</v>
      </c>
      <c r="AF119" s="4" t="s">
        <v>469</v>
      </c>
    </row>
    <row r="120" spans="1:35" ht="18" x14ac:dyDescent="0.3">
      <c r="A120" s="39" t="s">
        <v>472</v>
      </c>
      <c r="B120" s="39"/>
      <c r="C120" s="50" t="s">
        <v>473</v>
      </c>
      <c r="D120" s="41"/>
      <c r="E120" s="41"/>
      <c r="F120" s="51" t="s">
        <v>159</v>
      </c>
      <c r="G120" s="52">
        <v>0.25</v>
      </c>
      <c r="H120" s="41"/>
      <c r="I120" s="53">
        <v>0</v>
      </c>
      <c r="J120" s="54">
        <v>47.44</v>
      </c>
      <c r="K120" s="55"/>
      <c r="L120" s="55"/>
      <c r="M120" s="54">
        <f t="shared" si="12"/>
        <v>0</v>
      </c>
      <c r="N120" s="55"/>
      <c r="O120" s="55"/>
      <c r="P120" s="54">
        <v>144.87</v>
      </c>
      <c r="Q120" s="55"/>
      <c r="R120" s="55"/>
      <c r="S120" s="54">
        <f t="shared" si="13"/>
        <v>0</v>
      </c>
      <c r="T120" s="55"/>
      <c r="U120" s="56"/>
      <c r="V120" s="9">
        <f t="shared" si="14"/>
        <v>120.73</v>
      </c>
      <c r="Y120" s="9">
        <f t="shared" si="15"/>
        <v>0</v>
      </c>
      <c r="AD120" s="4" t="s">
        <v>474</v>
      </c>
      <c r="AE120" s="4" t="s">
        <v>475</v>
      </c>
      <c r="AF120" s="4" t="s">
        <v>476</v>
      </c>
    </row>
    <row r="121" spans="1:35" ht="18" x14ac:dyDescent="0.3">
      <c r="A121" s="45" t="s">
        <v>477</v>
      </c>
      <c r="B121" s="45"/>
      <c r="C121" s="57" t="s">
        <v>473</v>
      </c>
      <c r="D121" s="47"/>
      <c r="E121" s="47"/>
      <c r="F121" s="58" t="s">
        <v>159</v>
      </c>
      <c r="G121" s="59">
        <v>0.25</v>
      </c>
      <c r="H121" s="47"/>
      <c r="I121" s="60">
        <v>20.933</v>
      </c>
      <c r="J121" s="61">
        <v>47.44</v>
      </c>
      <c r="K121" s="62"/>
      <c r="L121" s="62"/>
      <c r="M121" s="61">
        <f t="shared" si="12"/>
        <v>993.06</v>
      </c>
      <c r="N121" s="62"/>
      <c r="O121" s="62"/>
      <c r="P121" s="61">
        <v>144.87</v>
      </c>
      <c r="Q121" s="62"/>
      <c r="R121" s="62"/>
      <c r="S121" s="61">
        <f t="shared" si="13"/>
        <v>3032.56</v>
      </c>
      <c r="T121" s="62"/>
      <c r="U121" s="63"/>
      <c r="V121" s="9">
        <f t="shared" si="14"/>
        <v>120.73</v>
      </c>
      <c r="Y121" s="9">
        <f t="shared" si="15"/>
        <v>2527.13</v>
      </c>
      <c r="AD121" s="4" t="s">
        <v>478</v>
      </c>
      <c r="AE121" s="4" t="s">
        <v>475</v>
      </c>
      <c r="AF121" s="4" t="s">
        <v>476</v>
      </c>
    </row>
    <row r="122" spans="1:35" ht="36" x14ac:dyDescent="0.3">
      <c r="A122" s="39" t="s">
        <v>479</v>
      </c>
      <c r="B122" s="39"/>
      <c r="C122" s="50" t="s">
        <v>480</v>
      </c>
      <c r="D122" s="41"/>
      <c r="E122" s="41"/>
      <c r="F122" s="51" t="s">
        <v>159</v>
      </c>
      <c r="G122" s="52">
        <v>0.15</v>
      </c>
      <c r="H122" s="41"/>
      <c r="I122" s="64">
        <v>0</v>
      </c>
      <c r="J122" s="54">
        <v>88.8</v>
      </c>
      <c r="K122" s="55"/>
      <c r="L122" s="55"/>
      <c r="M122" s="54">
        <f t="shared" si="12"/>
        <v>0</v>
      </c>
      <c r="N122" s="55"/>
      <c r="O122" s="55"/>
      <c r="P122" s="54">
        <v>88.8</v>
      </c>
      <c r="Q122" s="55"/>
      <c r="R122" s="55"/>
      <c r="S122" s="54">
        <f t="shared" si="13"/>
        <v>0</v>
      </c>
      <c r="T122" s="55"/>
      <c r="U122" s="56"/>
      <c r="V122" s="9">
        <f t="shared" si="14"/>
        <v>74</v>
      </c>
      <c r="Y122" s="9">
        <f t="shared" si="15"/>
        <v>0</v>
      </c>
      <c r="AD122" s="4" t="s">
        <v>481</v>
      </c>
      <c r="AE122" s="4" t="s">
        <v>482</v>
      </c>
      <c r="AF122" s="4" t="s">
        <v>483</v>
      </c>
    </row>
    <row r="123" spans="1:35" ht="36" x14ac:dyDescent="0.3">
      <c r="A123" s="45" t="s">
        <v>484</v>
      </c>
      <c r="B123" s="45"/>
      <c r="C123" s="57" t="s">
        <v>480</v>
      </c>
      <c r="D123" s="47"/>
      <c r="E123" s="47"/>
      <c r="F123" s="58" t="s">
        <v>159</v>
      </c>
      <c r="G123" s="59">
        <v>0.15</v>
      </c>
      <c r="H123" s="47"/>
      <c r="I123" s="59">
        <v>12.56</v>
      </c>
      <c r="J123" s="61">
        <v>88.8</v>
      </c>
      <c r="K123" s="62"/>
      <c r="L123" s="62"/>
      <c r="M123" s="61">
        <f t="shared" si="12"/>
        <v>1115.33</v>
      </c>
      <c r="N123" s="62"/>
      <c r="O123" s="62"/>
      <c r="P123" s="61">
        <v>88.8</v>
      </c>
      <c r="Q123" s="62"/>
      <c r="R123" s="62"/>
      <c r="S123" s="61">
        <f t="shared" si="13"/>
        <v>1115.33</v>
      </c>
      <c r="T123" s="62"/>
      <c r="U123" s="63"/>
      <c r="V123" s="9">
        <f t="shared" si="14"/>
        <v>74</v>
      </c>
      <c r="Y123" s="9">
        <f t="shared" si="15"/>
        <v>929.44</v>
      </c>
      <c r="AD123" s="4" t="s">
        <v>485</v>
      </c>
      <c r="AE123" s="4" t="s">
        <v>482</v>
      </c>
      <c r="AF123" s="4" t="s">
        <v>483</v>
      </c>
    </row>
    <row r="124" spans="1:35" ht="72" x14ac:dyDescent="0.3">
      <c r="A124" s="39" t="s">
        <v>486</v>
      </c>
      <c r="B124" s="39" t="s">
        <v>487</v>
      </c>
      <c r="C124" s="40" t="s">
        <v>488</v>
      </c>
      <c r="D124" s="41"/>
      <c r="E124" s="41" t="s">
        <v>489</v>
      </c>
      <c r="F124" s="41" t="s">
        <v>75</v>
      </c>
      <c r="G124" s="42">
        <v>1</v>
      </c>
      <c r="H124" s="41"/>
      <c r="I124" s="43">
        <v>0</v>
      </c>
      <c r="J124" s="44">
        <v>1746.71</v>
      </c>
      <c r="K124" s="44">
        <v>2422</v>
      </c>
      <c r="L124" s="44">
        <f>J124+ROUND(K124, 2)</f>
        <v>4168.71</v>
      </c>
      <c r="M124" s="44">
        <v>0</v>
      </c>
      <c r="N124" s="44">
        <v>0</v>
      </c>
      <c r="O124" s="44">
        <f>M124+N124</f>
        <v>0</v>
      </c>
      <c r="P124" s="44">
        <v>1524.69</v>
      </c>
      <c r="Q124" s="44">
        <v>2422</v>
      </c>
      <c r="R124" s="44">
        <f>P124+ROUND(Q124, 2)</f>
        <v>3946.69</v>
      </c>
      <c r="S124" s="44">
        <v>0</v>
      </c>
      <c r="T124" s="44">
        <v>0</v>
      </c>
      <c r="U124" s="44">
        <f>S124+T124</f>
        <v>0</v>
      </c>
      <c r="V124" s="9">
        <f>ROUND(P124 / 1.2, 2)</f>
        <v>1270.58</v>
      </c>
      <c r="W124" s="9">
        <f>ROUND(Q124 / 1.2, 2)</f>
        <v>2018.33</v>
      </c>
      <c r="X124" s="9">
        <f>ROUND(R124 / 1.2, 2)</f>
        <v>3288.91</v>
      </c>
      <c r="Y124" s="9">
        <f t="shared" si="15"/>
        <v>0</v>
      </c>
      <c r="Z124" s="9">
        <f>ROUND(T124 / 1.2, 2)</f>
        <v>0</v>
      </c>
      <c r="AA124" s="9">
        <f>Y124+Z124</f>
        <v>0</v>
      </c>
      <c r="AD124" s="4">
        <v>339118818</v>
      </c>
      <c r="AE124" s="4">
        <v>25888007</v>
      </c>
      <c r="AG124" s="4" t="s">
        <v>490</v>
      </c>
      <c r="AH124" s="4" t="s">
        <v>491</v>
      </c>
      <c r="AI124" s="4" t="s">
        <v>156</v>
      </c>
    </row>
    <row r="125" spans="1:35" ht="72" x14ac:dyDescent="0.3">
      <c r="A125" s="45" t="s">
        <v>492</v>
      </c>
      <c r="B125" s="45" t="s">
        <v>487</v>
      </c>
      <c r="C125" s="46" t="s">
        <v>488</v>
      </c>
      <c r="D125" s="47"/>
      <c r="E125" s="47" t="s">
        <v>489</v>
      </c>
      <c r="F125" s="47" t="s">
        <v>75</v>
      </c>
      <c r="G125" s="48">
        <v>1</v>
      </c>
      <c r="H125" s="47"/>
      <c r="I125" s="48">
        <v>1201.9000000000001</v>
      </c>
      <c r="J125" s="49">
        <v>1746.71</v>
      </c>
      <c r="K125" s="49">
        <v>2422</v>
      </c>
      <c r="L125" s="49">
        <v>2422</v>
      </c>
      <c r="M125" s="49">
        <v>2099370.75</v>
      </c>
      <c r="N125" s="49">
        <v>2911001.8</v>
      </c>
      <c r="O125" s="49"/>
      <c r="P125" s="49">
        <v>1524.69</v>
      </c>
      <c r="Q125" s="49">
        <v>2422</v>
      </c>
      <c r="R125" s="49">
        <v>2422</v>
      </c>
      <c r="S125" s="49">
        <v>1832524.91</v>
      </c>
      <c r="T125" s="49">
        <v>2911001.8</v>
      </c>
      <c r="U125" s="49"/>
      <c r="V125" s="9"/>
      <c r="W125" s="9">
        <f>ROUND(Q125 / 1.2, 2)</f>
        <v>2018.33</v>
      </c>
      <c r="X125" s="9">
        <f>ROUND(R125 / 1.2, 2)</f>
        <v>2018.33</v>
      </c>
      <c r="Y125" s="9"/>
      <c r="Z125" s="9">
        <f>ROUND(T125 / 1.2, 2)</f>
        <v>2425834.83</v>
      </c>
      <c r="AA125" s="9"/>
      <c r="AD125" s="4">
        <v>314520170</v>
      </c>
      <c r="AE125" s="4">
        <v>25888007</v>
      </c>
      <c r="AG125" s="4" t="s">
        <v>490</v>
      </c>
      <c r="AH125" s="4" t="s">
        <v>491</v>
      </c>
      <c r="AI125" s="4"/>
    </row>
    <row r="126" spans="1:35" ht="90" x14ac:dyDescent="0.3">
      <c r="A126" s="39" t="s">
        <v>493</v>
      </c>
      <c r="B126" s="39"/>
      <c r="C126" s="50" t="s">
        <v>494</v>
      </c>
      <c r="D126" s="41"/>
      <c r="E126" s="41" t="s">
        <v>495</v>
      </c>
      <c r="F126" s="51" t="s">
        <v>159</v>
      </c>
      <c r="G126" s="52">
        <v>1.2</v>
      </c>
      <c r="H126" s="41"/>
      <c r="I126" s="53">
        <v>0</v>
      </c>
      <c r="J126" s="54">
        <v>12.33</v>
      </c>
      <c r="K126" s="55"/>
      <c r="L126" s="55"/>
      <c r="M126" s="54">
        <f t="shared" ref="M126:M133" si="16">ROUND(ROUND(J126, 2)*I126, 2)</f>
        <v>0</v>
      </c>
      <c r="N126" s="55"/>
      <c r="O126" s="55"/>
      <c r="P126" s="54">
        <v>29.14</v>
      </c>
      <c r="Q126" s="55"/>
      <c r="R126" s="55"/>
      <c r="S126" s="54">
        <f t="shared" ref="S126:S133" si="17">ROUND(ROUND(P126, 2)*I126, 2)</f>
        <v>0</v>
      </c>
      <c r="T126" s="55"/>
      <c r="U126" s="56"/>
      <c r="V126" s="9">
        <f t="shared" ref="V126:V133" si="18">ROUND(ROUND(P126, 2)/1.2, 2)</f>
        <v>24.28</v>
      </c>
      <c r="Y126" s="9">
        <f t="shared" ref="Y126:Y157" si="19">ROUND(S126 / 1.2, 2)</f>
        <v>0</v>
      </c>
      <c r="AD126" s="4" t="s">
        <v>496</v>
      </c>
      <c r="AE126" s="4" t="s">
        <v>497</v>
      </c>
      <c r="AF126" s="4" t="s">
        <v>498</v>
      </c>
    </row>
    <row r="127" spans="1:35" ht="90" x14ac:dyDescent="0.3">
      <c r="A127" s="45" t="s">
        <v>499</v>
      </c>
      <c r="B127" s="45"/>
      <c r="C127" s="57" t="s">
        <v>494</v>
      </c>
      <c r="D127" s="47"/>
      <c r="E127" s="47" t="s">
        <v>495</v>
      </c>
      <c r="F127" s="58" t="s">
        <v>159</v>
      </c>
      <c r="G127" s="59">
        <v>1.2</v>
      </c>
      <c r="H127" s="47"/>
      <c r="I127" s="60">
        <v>7211.4</v>
      </c>
      <c r="J127" s="61">
        <v>12.33</v>
      </c>
      <c r="K127" s="62"/>
      <c r="L127" s="62"/>
      <c r="M127" s="61">
        <f t="shared" si="16"/>
        <v>88916.56</v>
      </c>
      <c r="N127" s="62"/>
      <c r="O127" s="62"/>
      <c r="P127" s="61">
        <v>29.14</v>
      </c>
      <c r="Q127" s="62"/>
      <c r="R127" s="62"/>
      <c r="S127" s="61">
        <f t="shared" si="17"/>
        <v>210140.2</v>
      </c>
      <c r="T127" s="62"/>
      <c r="U127" s="63"/>
      <c r="V127" s="9">
        <f t="shared" si="18"/>
        <v>24.28</v>
      </c>
      <c r="Y127" s="9">
        <f t="shared" si="19"/>
        <v>175116.83</v>
      </c>
      <c r="AD127" s="4" t="s">
        <v>500</v>
      </c>
      <c r="AE127" s="4" t="s">
        <v>497</v>
      </c>
      <c r="AF127" s="4" t="s">
        <v>498</v>
      </c>
    </row>
    <row r="128" spans="1:35" ht="72" x14ac:dyDescent="0.3">
      <c r="A128" s="39" t="s">
        <v>501</v>
      </c>
      <c r="B128" s="39"/>
      <c r="C128" s="50" t="s">
        <v>502</v>
      </c>
      <c r="D128" s="41"/>
      <c r="E128" s="41" t="s">
        <v>503</v>
      </c>
      <c r="F128" s="51" t="s">
        <v>75</v>
      </c>
      <c r="G128" s="52">
        <v>1.2</v>
      </c>
      <c r="H128" s="41"/>
      <c r="I128" s="53">
        <v>0</v>
      </c>
      <c r="J128" s="54">
        <v>1374.45</v>
      </c>
      <c r="K128" s="55"/>
      <c r="L128" s="55"/>
      <c r="M128" s="54">
        <f t="shared" si="16"/>
        <v>0</v>
      </c>
      <c r="N128" s="55"/>
      <c r="O128" s="55"/>
      <c r="P128" s="54">
        <v>1083.5899999999999</v>
      </c>
      <c r="Q128" s="55"/>
      <c r="R128" s="55"/>
      <c r="S128" s="54">
        <f t="shared" si="17"/>
        <v>0</v>
      </c>
      <c r="T128" s="55"/>
      <c r="U128" s="56"/>
      <c r="V128" s="9">
        <f t="shared" si="18"/>
        <v>902.99</v>
      </c>
      <c r="Y128" s="9">
        <f t="shared" si="19"/>
        <v>0</v>
      </c>
      <c r="AD128" s="4" t="s">
        <v>504</v>
      </c>
      <c r="AE128" s="4" t="s">
        <v>505</v>
      </c>
      <c r="AF128" s="4" t="s">
        <v>506</v>
      </c>
    </row>
    <row r="129" spans="1:35" ht="72" x14ac:dyDescent="0.3">
      <c r="A129" s="45" t="s">
        <v>507</v>
      </c>
      <c r="B129" s="45"/>
      <c r="C129" s="57" t="s">
        <v>502</v>
      </c>
      <c r="D129" s="47"/>
      <c r="E129" s="47" t="s">
        <v>503</v>
      </c>
      <c r="F129" s="58" t="s">
        <v>75</v>
      </c>
      <c r="G129" s="59">
        <v>1.2</v>
      </c>
      <c r="H129" s="47"/>
      <c r="I129" s="60">
        <v>1442.28</v>
      </c>
      <c r="J129" s="61">
        <v>1374.45</v>
      </c>
      <c r="K129" s="62"/>
      <c r="L129" s="62"/>
      <c r="M129" s="61">
        <f t="shared" si="16"/>
        <v>1982341.75</v>
      </c>
      <c r="N129" s="62"/>
      <c r="O129" s="62"/>
      <c r="P129" s="61">
        <v>1083.5899999999999</v>
      </c>
      <c r="Q129" s="62"/>
      <c r="R129" s="62"/>
      <c r="S129" s="61">
        <f t="shared" si="17"/>
        <v>1562840.19</v>
      </c>
      <c r="T129" s="62"/>
      <c r="U129" s="63"/>
      <c r="V129" s="9">
        <f t="shared" si="18"/>
        <v>902.99</v>
      </c>
      <c r="Y129" s="9">
        <f t="shared" si="19"/>
        <v>1302366.83</v>
      </c>
      <c r="AD129" s="4" t="s">
        <v>508</v>
      </c>
      <c r="AE129" s="4" t="s">
        <v>505</v>
      </c>
      <c r="AF129" s="4" t="s">
        <v>506</v>
      </c>
    </row>
    <row r="130" spans="1:35" ht="36" x14ac:dyDescent="0.3">
      <c r="A130" s="39" t="s">
        <v>509</v>
      </c>
      <c r="B130" s="39"/>
      <c r="C130" s="50" t="s">
        <v>510</v>
      </c>
      <c r="D130" s="41"/>
      <c r="E130" s="41"/>
      <c r="F130" s="51" t="s">
        <v>159</v>
      </c>
      <c r="G130" s="52">
        <v>0.25</v>
      </c>
      <c r="H130" s="41"/>
      <c r="I130" s="53">
        <v>0</v>
      </c>
      <c r="J130" s="54">
        <v>40.270000000000003</v>
      </c>
      <c r="K130" s="55"/>
      <c r="L130" s="55"/>
      <c r="M130" s="54">
        <f t="shared" si="16"/>
        <v>0</v>
      </c>
      <c r="N130" s="55"/>
      <c r="O130" s="55"/>
      <c r="P130" s="54">
        <v>144.87</v>
      </c>
      <c r="Q130" s="55"/>
      <c r="R130" s="55"/>
      <c r="S130" s="54">
        <f t="shared" si="17"/>
        <v>0</v>
      </c>
      <c r="T130" s="55"/>
      <c r="U130" s="56"/>
      <c r="V130" s="9">
        <f t="shared" si="18"/>
        <v>120.73</v>
      </c>
      <c r="Y130" s="9">
        <f t="shared" si="19"/>
        <v>0</v>
      </c>
      <c r="AD130" s="4" t="s">
        <v>511</v>
      </c>
      <c r="AE130" s="4" t="s">
        <v>512</v>
      </c>
      <c r="AF130" s="4" t="s">
        <v>513</v>
      </c>
    </row>
    <row r="131" spans="1:35" ht="36" x14ac:dyDescent="0.3">
      <c r="A131" s="45" t="s">
        <v>514</v>
      </c>
      <c r="B131" s="45"/>
      <c r="C131" s="57" t="s">
        <v>510</v>
      </c>
      <c r="D131" s="47"/>
      <c r="E131" s="47"/>
      <c r="F131" s="58" t="s">
        <v>159</v>
      </c>
      <c r="G131" s="59">
        <v>0.25</v>
      </c>
      <c r="H131" s="47"/>
      <c r="I131" s="60">
        <v>300.47500000000002</v>
      </c>
      <c r="J131" s="61">
        <v>40.270000000000003</v>
      </c>
      <c r="K131" s="62"/>
      <c r="L131" s="62"/>
      <c r="M131" s="61">
        <f t="shared" si="16"/>
        <v>12100.13</v>
      </c>
      <c r="N131" s="62"/>
      <c r="O131" s="62"/>
      <c r="P131" s="61">
        <v>144.87</v>
      </c>
      <c r="Q131" s="62"/>
      <c r="R131" s="62"/>
      <c r="S131" s="61">
        <f t="shared" si="17"/>
        <v>43529.81</v>
      </c>
      <c r="T131" s="62"/>
      <c r="U131" s="63"/>
      <c r="V131" s="9">
        <f t="shared" si="18"/>
        <v>120.73</v>
      </c>
      <c r="Y131" s="9">
        <f t="shared" si="19"/>
        <v>36274.839999999997</v>
      </c>
      <c r="AD131" s="4" t="s">
        <v>515</v>
      </c>
      <c r="AE131" s="4" t="s">
        <v>512</v>
      </c>
      <c r="AF131" s="4" t="s">
        <v>513</v>
      </c>
    </row>
    <row r="132" spans="1:35" ht="36" x14ac:dyDescent="0.3">
      <c r="A132" s="39" t="s">
        <v>516</v>
      </c>
      <c r="B132" s="39"/>
      <c r="C132" s="50" t="s">
        <v>480</v>
      </c>
      <c r="D132" s="41"/>
      <c r="E132" s="41"/>
      <c r="F132" s="51" t="s">
        <v>159</v>
      </c>
      <c r="G132" s="52">
        <v>0.15</v>
      </c>
      <c r="H132" s="41"/>
      <c r="I132" s="64">
        <v>0</v>
      </c>
      <c r="J132" s="54">
        <v>88.8</v>
      </c>
      <c r="K132" s="55"/>
      <c r="L132" s="55"/>
      <c r="M132" s="54">
        <f t="shared" si="16"/>
        <v>0</v>
      </c>
      <c r="N132" s="55"/>
      <c r="O132" s="55"/>
      <c r="P132" s="54">
        <v>88.8</v>
      </c>
      <c r="Q132" s="55"/>
      <c r="R132" s="55"/>
      <c r="S132" s="54">
        <f t="shared" si="17"/>
        <v>0</v>
      </c>
      <c r="T132" s="55"/>
      <c r="U132" s="56"/>
      <c r="V132" s="9">
        <f t="shared" si="18"/>
        <v>74</v>
      </c>
      <c r="Y132" s="9">
        <f t="shared" si="19"/>
        <v>0</v>
      </c>
      <c r="AD132" s="4" t="s">
        <v>517</v>
      </c>
      <c r="AE132" s="4" t="s">
        <v>518</v>
      </c>
      <c r="AF132" s="4" t="s">
        <v>483</v>
      </c>
    </row>
    <row r="133" spans="1:35" ht="36" x14ac:dyDescent="0.3">
      <c r="A133" s="45" t="s">
        <v>519</v>
      </c>
      <c r="B133" s="45"/>
      <c r="C133" s="57" t="s">
        <v>480</v>
      </c>
      <c r="D133" s="47"/>
      <c r="E133" s="47"/>
      <c r="F133" s="58" t="s">
        <v>159</v>
      </c>
      <c r="G133" s="59">
        <v>0.15</v>
      </c>
      <c r="H133" s="47"/>
      <c r="I133" s="59">
        <v>180.285</v>
      </c>
      <c r="J133" s="61">
        <v>88.8</v>
      </c>
      <c r="K133" s="62"/>
      <c r="L133" s="62"/>
      <c r="M133" s="61">
        <f t="shared" si="16"/>
        <v>16009.31</v>
      </c>
      <c r="N133" s="62"/>
      <c r="O133" s="62"/>
      <c r="P133" s="61">
        <v>88.8</v>
      </c>
      <c r="Q133" s="62"/>
      <c r="R133" s="62"/>
      <c r="S133" s="61">
        <f t="shared" si="17"/>
        <v>16009.31</v>
      </c>
      <c r="T133" s="62"/>
      <c r="U133" s="63"/>
      <c r="V133" s="9">
        <f t="shared" si="18"/>
        <v>74</v>
      </c>
      <c r="Y133" s="9">
        <f t="shared" si="19"/>
        <v>13341.09</v>
      </c>
      <c r="AD133" s="4" t="s">
        <v>520</v>
      </c>
      <c r="AE133" s="4" t="s">
        <v>518</v>
      </c>
      <c r="AF133" s="4" t="s">
        <v>483</v>
      </c>
    </row>
    <row r="134" spans="1:35" ht="18" x14ac:dyDescent="0.3">
      <c r="A134" s="10" t="s">
        <v>521</v>
      </c>
      <c r="B134" s="10" t="s">
        <v>522</v>
      </c>
      <c r="C134" s="14" t="s">
        <v>523</v>
      </c>
      <c r="D134" s="15" t="s">
        <v>524</v>
      </c>
      <c r="E134" s="15" t="s">
        <v>525</v>
      </c>
      <c r="F134" s="15" t="s">
        <v>75</v>
      </c>
      <c r="G134" s="16">
        <v>1</v>
      </c>
      <c r="H134" s="15"/>
      <c r="I134" s="16">
        <v>468.22</v>
      </c>
      <c r="J134" s="17">
        <v>1549.16</v>
      </c>
      <c r="K134" s="18">
        <v>412</v>
      </c>
      <c r="L134" s="17">
        <f>J134+ROUND(K134, 2)</f>
        <v>1961.16</v>
      </c>
      <c r="M134" s="17">
        <v>725347.7</v>
      </c>
      <c r="N134" s="17">
        <v>192906.64</v>
      </c>
      <c r="O134" s="17">
        <f>M134+N134</f>
        <v>918254.34</v>
      </c>
      <c r="P134" s="17">
        <v>1600.16</v>
      </c>
      <c r="Q134" s="19">
        <v>412</v>
      </c>
      <c r="R134" s="17">
        <f>P134+ROUND(Q134, 2)</f>
        <v>2012.16</v>
      </c>
      <c r="S134" s="17">
        <v>749226.92</v>
      </c>
      <c r="T134" s="17">
        <v>192906.64</v>
      </c>
      <c r="U134" s="17">
        <f>S134+T134</f>
        <v>942133.56</v>
      </c>
      <c r="V134" s="9">
        <f>ROUND(P134 / 1.2, 2)</f>
        <v>1333.47</v>
      </c>
      <c r="W134" s="9">
        <f>ROUND(Q134 / 1.2, 2)</f>
        <v>343.33</v>
      </c>
      <c r="X134" s="9">
        <f>ROUND(R134 / 1.2, 2)</f>
        <v>1676.8</v>
      </c>
      <c r="Y134" s="9">
        <f t="shared" si="19"/>
        <v>624355.77</v>
      </c>
      <c r="Z134" s="9">
        <f>ROUND(T134 / 1.2, 2)</f>
        <v>160755.53</v>
      </c>
      <c r="AA134" s="9">
        <f>Y134+Z134</f>
        <v>785111.3</v>
      </c>
      <c r="AD134" s="4">
        <v>339118820</v>
      </c>
      <c r="AE134" s="4">
        <v>25888001</v>
      </c>
      <c r="AG134" s="4" t="s">
        <v>526</v>
      </c>
      <c r="AH134" s="4" t="s">
        <v>527</v>
      </c>
      <c r="AI134" s="4" t="s">
        <v>156</v>
      </c>
    </row>
    <row r="135" spans="1:35" ht="18" x14ac:dyDescent="0.3">
      <c r="A135" s="10" t="s">
        <v>528</v>
      </c>
      <c r="B135" s="10"/>
      <c r="C135" s="24" t="s">
        <v>529</v>
      </c>
      <c r="D135" s="15"/>
      <c r="E135" s="15"/>
      <c r="F135" s="25" t="s">
        <v>159</v>
      </c>
      <c r="G135" s="26">
        <v>0.3</v>
      </c>
      <c r="H135" s="15"/>
      <c r="I135" s="26">
        <v>140.46600000000001</v>
      </c>
      <c r="J135" s="27">
        <v>220</v>
      </c>
      <c r="M135" s="28">
        <f>ROUND(ROUND(J135, 2)*I135, 2)</f>
        <v>30902.52</v>
      </c>
      <c r="P135" s="29">
        <v>220</v>
      </c>
      <c r="S135" s="28">
        <f>ROUND(ROUND(P135, 2)*I135, 2)</f>
        <v>30902.52</v>
      </c>
      <c r="V135" s="9">
        <f>ROUND(ROUND(P135, 2)/1.2, 2)</f>
        <v>183.33</v>
      </c>
      <c r="Y135" s="9">
        <f t="shared" si="19"/>
        <v>25752.1</v>
      </c>
      <c r="AD135" s="4" t="s">
        <v>530</v>
      </c>
      <c r="AE135" s="4" t="s">
        <v>531</v>
      </c>
      <c r="AF135" s="4" t="s">
        <v>532</v>
      </c>
    </row>
    <row r="136" spans="1:35" ht="36" x14ac:dyDescent="0.3">
      <c r="A136" s="10" t="s">
        <v>533</v>
      </c>
      <c r="B136" s="10"/>
      <c r="C136" s="24" t="s">
        <v>534</v>
      </c>
      <c r="D136" s="15"/>
      <c r="E136" s="15"/>
      <c r="F136" s="25" t="s">
        <v>159</v>
      </c>
      <c r="G136" s="26">
        <v>0.15</v>
      </c>
      <c r="H136" s="15"/>
      <c r="I136" s="26">
        <v>70.233000000000004</v>
      </c>
      <c r="J136" s="27">
        <v>68.400000000000006</v>
      </c>
      <c r="M136" s="28">
        <f>ROUND(ROUND(J136, 2)*I136, 2)</f>
        <v>4803.9399999999996</v>
      </c>
      <c r="P136" s="29">
        <v>68.400000000000006</v>
      </c>
      <c r="S136" s="28">
        <f>ROUND(ROUND(P136, 2)*I136, 2)</f>
        <v>4803.9399999999996</v>
      </c>
      <c r="V136" s="9">
        <f>ROUND(ROUND(P136, 2)/1.2, 2)</f>
        <v>57</v>
      </c>
      <c r="Y136" s="9">
        <f t="shared" si="19"/>
        <v>4003.28</v>
      </c>
      <c r="AD136" s="4" t="s">
        <v>535</v>
      </c>
      <c r="AE136" s="4" t="s">
        <v>536</v>
      </c>
      <c r="AF136" s="4" t="s">
        <v>537</v>
      </c>
    </row>
    <row r="137" spans="1:35" ht="72" x14ac:dyDescent="0.3">
      <c r="A137" s="10" t="s">
        <v>538</v>
      </c>
      <c r="B137" s="10"/>
      <c r="C137" s="24" t="s">
        <v>539</v>
      </c>
      <c r="D137" s="15"/>
      <c r="E137" s="15"/>
      <c r="F137" s="25" t="s">
        <v>120</v>
      </c>
      <c r="G137" s="26">
        <v>1</v>
      </c>
      <c r="H137" s="15"/>
      <c r="I137" s="32">
        <v>468.2</v>
      </c>
      <c r="J137" s="27">
        <v>0</v>
      </c>
      <c r="M137" s="28">
        <f>ROUND(ROUND(J137, 2)*I137, 2)</f>
        <v>0</v>
      </c>
      <c r="P137" s="29">
        <v>51</v>
      </c>
      <c r="S137" s="28">
        <f>ROUND(ROUND(P137, 2)*I137, 2)</f>
        <v>23878.2</v>
      </c>
      <c r="V137" s="9">
        <f>ROUND(ROUND(P137, 2)/1.2, 2)</f>
        <v>42.5</v>
      </c>
      <c r="Y137" s="9">
        <f t="shared" si="19"/>
        <v>19898.5</v>
      </c>
      <c r="AD137" s="4" t="s">
        <v>540</v>
      </c>
      <c r="AE137" s="4" t="s">
        <v>541</v>
      </c>
      <c r="AF137" s="4" t="s">
        <v>542</v>
      </c>
    </row>
    <row r="138" spans="1:35" ht="126" x14ac:dyDescent="0.3">
      <c r="A138" s="10" t="s">
        <v>543</v>
      </c>
      <c r="B138" s="10"/>
      <c r="C138" s="30" t="s">
        <v>544</v>
      </c>
      <c r="D138" s="15"/>
      <c r="E138" s="15" t="s">
        <v>545</v>
      </c>
      <c r="F138" s="25" t="s">
        <v>75</v>
      </c>
      <c r="G138" s="26">
        <v>1.1000000000000001</v>
      </c>
      <c r="H138" s="15"/>
      <c r="I138" s="32">
        <v>186.12</v>
      </c>
      <c r="J138" s="27">
        <v>1339</v>
      </c>
      <c r="M138" s="28">
        <f>ROUND(ROUND(J138, 2)*I138, 2)</f>
        <v>249214.68</v>
      </c>
      <c r="P138" s="29">
        <v>1339</v>
      </c>
      <c r="S138" s="28">
        <f>ROUND(ROUND(P138, 2)*I138, 2)</f>
        <v>249214.68</v>
      </c>
      <c r="V138" s="9">
        <f>ROUND(ROUND(P138, 2)/1.2, 2)</f>
        <v>1115.83</v>
      </c>
      <c r="Y138" s="9">
        <f t="shared" si="19"/>
        <v>207678.9</v>
      </c>
      <c r="AD138" s="4" t="s">
        <v>546</v>
      </c>
      <c r="AE138" s="4" t="s">
        <v>547</v>
      </c>
      <c r="AF138" s="4" t="s">
        <v>548</v>
      </c>
    </row>
    <row r="139" spans="1:35" ht="126" x14ac:dyDescent="0.3">
      <c r="A139" s="10" t="s">
        <v>549</v>
      </c>
      <c r="B139" s="10"/>
      <c r="C139" s="30" t="s">
        <v>550</v>
      </c>
      <c r="D139" s="15"/>
      <c r="E139" s="15" t="s">
        <v>545</v>
      </c>
      <c r="F139" s="25" t="s">
        <v>75</v>
      </c>
      <c r="G139" s="26">
        <v>1.1000000000000001</v>
      </c>
      <c r="H139" s="15"/>
      <c r="I139" s="32">
        <v>328.92200000000003</v>
      </c>
      <c r="J139" s="27">
        <v>1339</v>
      </c>
      <c r="M139" s="28">
        <f>ROUND(ROUND(J139, 2)*I139, 2)</f>
        <v>440426.56</v>
      </c>
      <c r="P139" s="29">
        <v>1339</v>
      </c>
      <c r="S139" s="28">
        <f>ROUND(ROUND(P139, 2)*I139, 2)</f>
        <v>440426.56</v>
      </c>
      <c r="V139" s="9">
        <f>ROUND(ROUND(P139, 2)/1.2, 2)</f>
        <v>1115.83</v>
      </c>
      <c r="Y139" s="9">
        <f t="shared" si="19"/>
        <v>367022.13</v>
      </c>
      <c r="AD139" s="4" t="s">
        <v>551</v>
      </c>
      <c r="AE139" s="4" t="s">
        <v>552</v>
      </c>
      <c r="AF139" s="4" t="s">
        <v>553</v>
      </c>
    </row>
    <row r="140" spans="1:35" ht="36" x14ac:dyDescent="0.3">
      <c r="A140" s="11" t="s">
        <v>554</v>
      </c>
      <c r="B140" s="11" t="s">
        <v>522</v>
      </c>
      <c r="C140" s="20" t="s">
        <v>523</v>
      </c>
      <c r="D140" s="21" t="s">
        <v>524</v>
      </c>
      <c r="E140" s="21" t="s">
        <v>555</v>
      </c>
      <c r="F140" s="21" t="s">
        <v>75</v>
      </c>
      <c r="G140" s="22">
        <v>1</v>
      </c>
      <c r="H140" s="21"/>
      <c r="I140" s="22">
        <v>1890.45</v>
      </c>
      <c r="J140" s="23">
        <v>1626.82</v>
      </c>
      <c r="K140" s="23">
        <v>556</v>
      </c>
      <c r="L140" s="23">
        <f>J140+ROUND(K140, 2)</f>
        <v>2182.8199999999997</v>
      </c>
      <c r="M140" s="23">
        <v>3075421.87</v>
      </c>
      <c r="N140" s="23">
        <v>1051090.2</v>
      </c>
      <c r="O140" s="23">
        <f>M140+N140</f>
        <v>4126512.0700000003</v>
      </c>
      <c r="P140" s="23">
        <v>1796.19</v>
      </c>
      <c r="Q140" s="23">
        <v>412</v>
      </c>
      <c r="R140" s="23">
        <f>P140+ROUND(Q140, 2)</f>
        <v>2208.19</v>
      </c>
      <c r="S140" s="23">
        <v>3395607.39</v>
      </c>
      <c r="T140" s="23">
        <v>778865.4</v>
      </c>
      <c r="U140" s="23">
        <f>S140+T140</f>
        <v>4174472.79</v>
      </c>
      <c r="V140" s="9">
        <f>ROUND(P140 / 1.2, 2)</f>
        <v>1496.83</v>
      </c>
      <c r="W140" s="9">
        <f>ROUND(Q140 / 1.2, 2)</f>
        <v>343.33</v>
      </c>
      <c r="X140" s="9">
        <f>ROUND(R140 / 1.2, 2)</f>
        <v>1840.16</v>
      </c>
      <c r="Y140" s="9">
        <f t="shared" si="19"/>
        <v>2829672.83</v>
      </c>
      <c r="Z140" s="9">
        <f>ROUND(T140 / 1.2, 2)</f>
        <v>649054.5</v>
      </c>
      <c r="AA140" s="9">
        <f>Y140+Z140</f>
        <v>3478727.33</v>
      </c>
      <c r="AD140" s="4">
        <v>339118911</v>
      </c>
      <c r="AE140" s="4">
        <v>28951153</v>
      </c>
      <c r="AG140" s="4" t="s">
        <v>526</v>
      </c>
      <c r="AH140" s="4" t="s">
        <v>527</v>
      </c>
      <c r="AI140" s="4" t="s">
        <v>156</v>
      </c>
    </row>
    <row r="141" spans="1:35" ht="72" x14ac:dyDescent="0.3">
      <c r="A141" s="11" t="s">
        <v>556</v>
      </c>
      <c r="B141" s="11"/>
      <c r="C141" s="30" t="s">
        <v>550</v>
      </c>
      <c r="D141" s="21"/>
      <c r="E141" s="21" t="s">
        <v>557</v>
      </c>
      <c r="F141" s="34" t="s">
        <v>75</v>
      </c>
      <c r="G141" s="35">
        <v>1.1000000000000001</v>
      </c>
      <c r="H141" s="21"/>
      <c r="I141" s="36">
        <v>2079.4949999999999</v>
      </c>
      <c r="J141" s="37">
        <v>1361.31</v>
      </c>
      <c r="K141" s="12"/>
      <c r="L141" s="12"/>
      <c r="M141" s="37">
        <f>ROUND(ROUND(J141, 2)*I141, 2)</f>
        <v>2830837.34</v>
      </c>
      <c r="N141" s="12"/>
      <c r="O141" s="12"/>
      <c r="P141" s="37">
        <v>1361.31</v>
      </c>
      <c r="Q141" s="12"/>
      <c r="R141" s="12"/>
      <c r="S141" s="37">
        <f>ROUND(ROUND(P141, 2)*I141, 2)</f>
        <v>2830837.34</v>
      </c>
      <c r="T141" s="12"/>
      <c r="U141" s="38"/>
      <c r="V141" s="9">
        <f>ROUND(ROUND(P141, 2)/1.2, 2)</f>
        <v>1134.43</v>
      </c>
      <c r="Y141" s="9">
        <f t="shared" si="19"/>
        <v>2359031.12</v>
      </c>
      <c r="AD141" s="4" t="s">
        <v>558</v>
      </c>
      <c r="AE141" s="4" t="s">
        <v>559</v>
      </c>
      <c r="AF141" s="4" t="s">
        <v>553</v>
      </c>
    </row>
    <row r="142" spans="1:35" ht="72" x14ac:dyDescent="0.3">
      <c r="A142" s="11" t="s">
        <v>560</v>
      </c>
      <c r="B142" s="11"/>
      <c r="C142" s="30" t="s">
        <v>561</v>
      </c>
      <c r="D142" s="21"/>
      <c r="E142" s="21"/>
      <c r="F142" s="34" t="s">
        <v>120</v>
      </c>
      <c r="G142" s="35">
        <v>1</v>
      </c>
      <c r="H142" s="21"/>
      <c r="I142" s="36">
        <v>1890.45</v>
      </c>
      <c r="J142" s="37">
        <v>51.85</v>
      </c>
      <c r="K142" s="12"/>
      <c r="L142" s="12"/>
      <c r="M142" s="37">
        <f>ROUND(ROUND(J142, 2)*I142, 2)</f>
        <v>98019.83</v>
      </c>
      <c r="N142" s="12"/>
      <c r="O142" s="12"/>
      <c r="P142" s="37">
        <v>51.85</v>
      </c>
      <c r="Q142" s="12"/>
      <c r="R142" s="12"/>
      <c r="S142" s="37">
        <f>ROUND(ROUND(P142, 2)*I142, 2)</f>
        <v>98019.83</v>
      </c>
      <c r="T142" s="12"/>
      <c r="U142" s="38"/>
      <c r="V142" s="9">
        <f>ROUND(ROUND(P142, 2)/1.2, 2)</f>
        <v>43.21</v>
      </c>
      <c r="Y142" s="9">
        <f t="shared" si="19"/>
        <v>81683.19</v>
      </c>
      <c r="AD142" s="4" t="s">
        <v>562</v>
      </c>
      <c r="AE142" s="4" t="s">
        <v>563</v>
      </c>
      <c r="AF142" s="4" t="s">
        <v>564</v>
      </c>
    </row>
    <row r="143" spans="1:35" ht="18" x14ac:dyDescent="0.3">
      <c r="A143" s="11" t="s">
        <v>565</v>
      </c>
      <c r="B143" s="11"/>
      <c r="C143" s="33" t="s">
        <v>566</v>
      </c>
      <c r="D143" s="21"/>
      <c r="E143" s="21"/>
      <c r="F143" s="34" t="s">
        <v>75</v>
      </c>
      <c r="G143" s="35">
        <v>1</v>
      </c>
      <c r="H143" s="21"/>
      <c r="I143" s="36">
        <v>1890.45</v>
      </c>
      <c r="J143" s="37">
        <v>0</v>
      </c>
      <c r="K143" s="12"/>
      <c r="L143" s="12"/>
      <c r="M143" s="37">
        <f>ROUND(ROUND(J143, 2)*I143, 2)</f>
        <v>0</v>
      </c>
      <c r="N143" s="12"/>
      <c r="O143" s="12"/>
      <c r="P143" s="37">
        <v>134.15</v>
      </c>
      <c r="Q143" s="12"/>
      <c r="R143" s="12"/>
      <c r="S143" s="37">
        <f>ROUND(ROUND(P143, 2)*I143, 2)</f>
        <v>253603.87</v>
      </c>
      <c r="T143" s="12"/>
      <c r="U143" s="38"/>
      <c r="V143" s="9">
        <f>ROUND(ROUND(P143, 2)/1.2, 2)</f>
        <v>111.79</v>
      </c>
      <c r="Y143" s="9">
        <f t="shared" si="19"/>
        <v>211336.56</v>
      </c>
      <c r="AD143" s="4" t="s">
        <v>567</v>
      </c>
      <c r="AE143" s="4" t="s">
        <v>568</v>
      </c>
      <c r="AF143" s="4" t="s">
        <v>569</v>
      </c>
    </row>
    <row r="144" spans="1:35" ht="36" x14ac:dyDescent="0.3">
      <c r="A144" s="11" t="s">
        <v>570</v>
      </c>
      <c r="B144" s="11"/>
      <c r="C144" s="33" t="s">
        <v>534</v>
      </c>
      <c r="D144" s="21"/>
      <c r="E144" s="21"/>
      <c r="F144" s="34" t="s">
        <v>159</v>
      </c>
      <c r="G144" s="35">
        <v>0.15</v>
      </c>
      <c r="H144" s="21"/>
      <c r="I144" s="35">
        <v>283.56799999999998</v>
      </c>
      <c r="J144" s="37">
        <v>69.540000000000006</v>
      </c>
      <c r="K144" s="12"/>
      <c r="L144" s="12"/>
      <c r="M144" s="37">
        <f>ROUND(ROUND(J144, 2)*I144, 2)</f>
        <v>19719.32</v>
      </c>
      <c r="N144" s="12"/>
      <c r="O144" s="12"/>
      <c r="P144" s="37">
        <v>69.540000000000006</v>
      </c>
      <c r="Q144" s="12"/>
      <c r="R144" s="12"/>
      <c r="S144" s="37">
        <f>ROUND(ROUND(P144, 2)*I144, 2)</f>
        <v>19719.32</v>
      </c>
      <c r="T144" s="12"/>
      <c r="U144" s="38"/>
      <c r="V144" s="9">
        <f>ROUND(ROUND(P144, 2)/1.2, 2)</f>
        <v>57.95</v>
      </c>
      <c r="Y144" s="9">
        <f t="shared" si="19"/>
        <v>16432.77</v>
      </c>
      <c r="AD144" s="4" t="s">
        <v>571</v>
      </c>
      <c r="AE144" s="4" t="s">
        <v>572</v>
      </c>
      <c r="AF144" s="4" t="s">
        <v>537</v>
      </c>
    </row>
    <row r="145" spans="1:35" ht="36" x14ac:dyDescent="0.3">
      <c r="A145" s="11" t="s">
        <v>573</v>
      </c>
      <c r="B145" s="11"/>
      <c r="C145" s="33" t="s">
        <v>529</v>
      </c>
      <c r="D145" s="21"/>
      <c r="E145" s="21" t="s">
        <v>574</v>
      </c>
      <c r="F145" s="34" t="s">
        <v>159</v>
      </c>
      <c r="G145" s="35">
        <v>0.3</v>
      </c>
      <c r="H145" s="21"/>
      <c r="I145" s="35">
        <v>567.13499999999999</v>
      </c>
      <c r="J145" s="37">
        <v>223.66</v>
      </c>
      <c r="K145" s="12"/>
      <c r="L145" s="12"/>
      <c r="M145" s="37">
        <f>ROUND(ROUND(J145, 2)*I145, 2)</f>
        <v>126845.41</v>
      </c>
      <c r="N145" s="12"/>
      <c r="O145" s="12"/>
      <c r="P145" s="37">
        <v>341.05</v>
      </c>
      <c r="Q145" s="12"/>
      <c r="R145" s="12"/>
      <c r="S145" s="37">
        <f>ROUND(ROUND(P145, 2)*I145, 2)</f>
        <v>193421.39</v>
      </c>
      <c r="T145" s="12"/>
      <c r="U145" s="38"/>
      <c r="V145" s="9">
        <f>ROUND(ROUND(P145, 2)/1.2, 2)</f>
        <v>284.20999999999998</v>
      </c>
      <c r="Y145" s="9">
        <f t="shared" si="19"/>
        <v>161184.49</v>
      </c>
      <c r="AD145" s="4" t="s">
        <v>575</v>
      </c>
      <c r="AE145" s="4" t="s">
        <v>576</v>
      </c>
      <c r="AF145" s="4" t="s">
        <v>532</v>
      </c>
    </row>
    <row r="146" spans="1:35" ht="18" x14ac:dyDescent="0.3">
      <c r="A146" s="10" t="s">
        <v>577</v>
      </c>
      <c r="B146" s="10" t="s">
        <v>578</v>
      </c>
      <c r="C146" s="14" t="s">
        <v>579</v>
      </c>
      <c r="D146" s="15"/>
      <c r="E146" s="15" t="s">
        <v>580</v>
      </c>
      <c r="F146" s="15" t="s">
        <v>120</v>
      </c>
      <c r="G146" s="16">
        <v>1</v>
      </c>
      <c r="H146" s="15"/>
      <c r="I146" s="16">
        <v>48</v>
      </c>
      <c r="J146" s="17">
        <v>485.09</v>
      </c>
      <c r="K146" s="18">
        <v>200</v>
      </c>
      <c r="L146" s="17">
        <f>J146+ROUND(K146, 2)</f>
        <v>685.08999999999992</v>
      </c>
      <c r="M146" s="17">
        <v>23284.32</v>
      </c>
      <c r="N146" s="17">
        <v>9600</v>
      </c>
      <c r="O146" s="17">
        <f>M146+N146</f>
        <v>32884.32</v>
      </c>
      <c r="P146" s="17">
        <v>500.34</v>
      </c>
      <c r="Q146" s="19">
        <v>200</v>
      </c>
      <c r="R146" s="17">
        <f>P146+ROUND(Q146, 2)</f>
        <v>700.33999999999992</v>
      </c>
      <c r="S146" s="17">
        <v>24016.32</v>
      </c>
      <c r="T146" s="17">
        <v>9600</v>
      </c>
      <c r="U146" s="17">
        <f>S146+T146</f>
        <v>33616.32</v>
      </c>
      <c r="V146" s="9">
        <f>ROUND(P146 / 1.2, 2)</f>
        <v>416.95</v>
      </c>
      <c r="W146" s="9">
        <f>ROUND(Q146 / 1.2, 2)</f>
        <v>166.67</v>
      </c>
      <c r="X146" s="9">
        <f>ROUND(R146 / 1.2, 2)</f>
        <v>583.62</v>
      </c>
      <c r="Y146" s="9">
        <f t="shared" si="19"/>
        <v>20013.599999999999</v>
      </c>
      <c r="Z146" s="9">
        <f>ROUND(T146 / 1.2, 2)</f>
        <v>8000</v>
      </c>
      <c r="AA146" s="9">
        <f>Y146+Z146</f>
        <v>28013.599999999999</v>
      </c>
      <c r="AD146" s="4">
        <v>339118822</v>
      </c>
      <c r="AE146" s="4">
        <v>25888017</v>
      </c>
      <c r="AG146" s="4" t="s">
        <v>581</v>
      </c>
      <c r="AH146" s="4" t="s">
        <v>582</v>
      </c>
      <c r="AI146" s="4" t="s">
        <v>156</v>
      </c>
    </row>
    <row r="147" spans="1:35" ht="36" x14ac:dyDescent="0.3">
      <c r="A147" s="10" t="s">
        <v>583</v>
      </c>
      <c r="B147" s="10"/>
      <c r="C147" s="24" t="s">
        <v>584</v>
      </c>
      <c r="D147" s="15"/>
      <c r="E147" s="15"/>
      <c r="F147" s="25" t="s">
        <v>120</v>
      </c>
      <c r="G147" s="26">
        <v>1.1000000000000001</v>
      </c>
      <c r="H147" s="15"/>
      <c r="I147" s="32">
        <v>52.8</v>
      </c>
      <c r="J147" s="27">
        <v>432.81</v>
      </c>
      <c r="M147" s="28">
        <f>ROUND(ROUND(J147, 2)*I147, 2)</f>
        <v>22852.37</v>
      </c>
      <c r="P147" s="29">
        <v>432.81</v>
      </c>
      <c r="S147" s="28">
        <f>ROUND(ROUND(P147, 2)*I147, 2)</f>
        <v>22852.37</v>
      </c>
      <c r="V147" s="9">
        <f>ROUND(ROUND(P147, 2)/1.2, 2)</f>
        <v>360.68</v>
      </c>
      <c r="Y147" s="9">
        <f t="shared" si="19"/>
        <v>19043.64</v>
      </c>
      <c r="AD147" s="4" t="s">
        <v>585</v>
      </c>
      <c r="AE147" s="4" t="s">
        <v>586</v>
      </c>
      <c r="AF147" s="4" t="s">
        <v>587</v>
      </c>
    </row>
    <row r="148" spans="1:35" ht="18" x14ac:dyDescent="0.3">
      <c r="A148" s="10" t="s">
        <v>588</v>
      </c>
      <c r="B148" s="10"/>
      <c r="C148" s="24" t="s">
        <v>589</v>
      </c>
      <c r="D148" s="15"/>
      <c r="E148" s="15"/>
      <c r="F148" s="25" t="s">
        <v>240</v>
      </c>
      <c r="G148" s="31">
        <v>0.09</v>
      </c>
      <c r="H148" s="15"/>
      <c r="I148" s="26">
        <v>4.32</v>
      </c>
      <c r="J148" s="27">
        <v>100</v>
      </c>
      <c r="M148" s="28">
        <f>ROUND(ROUND(J148, 2)*I148, 2)</f>
        <v>432</v>
      </c>
      <c r="P148" s="29">
        <v>269.39</v>
      </c>
      <c r="S148" s="28">
        <f>ROUND(ROUND(P148, 2)*I148, 2)</f>
        <v>1163.76</v>
      </c>
      <c r="V148" s="9">
        <f>ROUND(ROUND(P148, 2)/1.2, 2)</f>
        <v>224.49</v>
      </c>
      <c r="Y148" s="9">
        <f t="shared" si="19"/>
        <v>969.8</v>
      </c>
      <c r="AD148" s="4" t="s">
        <v>590</v>
      </c>
      <c r="AE148" s="4" t="s">
        <v>591</v>
      </c>
      <c r="AF148" s="4" t="s">
        <v>592</v>
      </c>
    </row>
    <row r="149" spans="1:35" ht="18" x14ac:dyDescent="0.3">
      <c r="A149" s="10" t="s">
        <v>593</v>
      </c>
      <c r="B149" s="10" t="s">
        <v>578</v>
      </c>
      <c r="C149" s="14" t="s">
        <v>579</v>
      </c>
      <c r="D149" s="15"/>
      <c r="E149" s="15" t="s">
        <v>594</v>
      </c>
      <c r="F149" s="15" t="s">
        <v>120</v>
      </c>
      <c r="G149" s="16">
        <v>1</v>
      </c>
      <c r="H149" s="15"/>
      <c r="I149" s="16">
        <v>146.12</v>
      </c>
      <c r="J149" s="17">
        <v>131.11000000000001</v>
      </c>
      <c r="K149" s="18">
        <v>200</v>
      </c>
      <c r="L149" s="17">
        <f>J149+ROUND(K149, 2)</f>
        <v>331.11</v>
      </c>
      <c r="M149" s="17">
        <v>19157.79</v>
      </c>
      <c r="N149" s="17">
        <v>29224</v>
      </c>
      <c r="O149" s="17">
        <f>M149+N149</f>
        <v>48381.79</v>
      </c>
      <c r="P149" s="17">
        <v>148.97999999999999</v>
      </c>
      <c r="Q149" s="19">
        <v>200</v>
      </c>
      <c r="R149" s="17">
        <f>P149+ROUND(Q149, 2)</f>
        <v>348.98</v>
      </c>
      <c r="S149" s="17">
        <v>21768.959999999999</v>
      </c>
      <c r="T149" s="17">
        <v>29224</v>
      </c>
      <c r="U149" s="17">
        <f>S149+T149</f>
        <v>50992.959999999999</v>
      </c>
      <c r="V149" s="9">
        <f>ROUND(P149 / 1.2, 2)</f>
        <v>124.15</v>
      </c>
      <c r="W149" s="9">
        <f>ROUND(Q149 / 1.2, 2)</f>
        <v>166.67</v>
      </c>
      <c r="X149" s="9">
        <f>ROUND(R149 / 1.2, 2)</f>
        <v>290.82</v>
      </c>
      <c r="Y149" s="9">
        <f t="shared" si="19"/>
        <v>18140.8</v>
      </c>
      <c r="Z149" s="9">
        <f>ROUND(T149 / 1.2, 2)</f>
        <v>24353.33</v>
      </c>
      <c r="AA149" s="9">
        <f>Y149+Z149</f>
        <v>42494.130000000005</v>
      </c>
      <c r="AD149" s="4">
        <v>339118912</v>
      </c>
      <c r="AE149" s="4">
        <v>25888038</v>
      </c>
      <c r="AG149" s="4" t="s">
        <v>581</v>
      </c>
      <c r="AH149" s="4" t="s">
        <v>582</v>
      </c>
      <c r="AI149" s="4" t="s">
        <v>156</v>
      </c>
    </row>
    <row r="150" spans="1:35" ht="36" x14ac:dyDescent="0.3">
      <c r="A150" s="10" t="s">
        <v>595</v>
      </c>
      <c r="B150" s="10"/>
      <c r="C150" s="24" t="s">
        <v>596</v>
      </c>
      <c r="D150" s="15"/>
      <c r="E150" s="15"/>
      <c r="F150" s="25" t="s">
        <v>120</v>
      </c>
      <c r="G150" s="26">
        <v>1.05</v>
      </c>
      <c r="H150" s="15"/>
      <c r="I150" s="32">
        <v>76.712999999999994</v>
      </c>
      <c r="J150" s="27">
        <v>90.97</v>
      </c>
      <c r="M150" s="28">
        <f>ROUND(ROUND(J150, 2)*I150, 2)</f>
        <v>6978.58</v>
      </c>
      <c r="P150" s="29">
        <v>90.97</v>
      </c>
      <c r="S150" s="28">
        <f>ROUND(ROUND(P150, 2)*I150, 2)</f>
        <v>6978.58</v>
      </c>
      <c r="V150" s="9">
        <f>ROUND(ROUND(P150, 2)/1.2, 2)</f>
        <v>75.81</v>
      </c>
      <c r="Y150" s="9">
        <f t="shared" si="19"/>
        <v>5815.48</v>
      </c>
      <c r="AD150" s="4" t="s">
        <v>597</v>
      </c>
      <c r="AE150" s="4" t="s">
        <v>598</v>
      </c>
      <c r="AF150" s="4" t="s">
        <v>599</v>
      </c>
    </row>
    <row r="151" spans="1:35" ht="18" x14ac:dyDescent="0.3">
      <c r="A151" s="10" t="s">
        <v>600</v>
      </c>
      <c r="B151" s="10"/>
      <c r="C151" s="30" t="s">
        <v>601</v>
      </c>
      <c r="D151" s="15"/>
      <c r="E151" s="15" t="s">
        <v>602</v>
      </c>
      <c r="F151" s="25" t="s">
        <v>120</v>
      </c>
      <c r="G151" s="26">
        <v>1.05</v>
      </c>
      <c r="H151" s="15"/>
      <c r="I151" s="32">
        <v>76.712999999999994</v>
      </c>
      <c r="J151" s="27">
        <v>158.76</v>
      </c>
      <c r="M151" s="28">
        <f>ROUND(ROUND(J151, 2)*I151, 2)</f>
        <v>12178.96</v>
      </c>
      <c r="P151" s="29">
        <v>192.81</v>
      </c>
      <c r="S151" s="28">
        <f>ROUND(ROUND(P151, 2)*I151, 2)</f>
        <v>14791.03</v>
      </c>
      <c r="V151" s="9">
        <f>ROUND(ROUND(P151, 2)/1.2, 2)</f>
        <v>160.68</v>
      </c>
      <c r="Y151" s="9">
        <f t="shared" si="19"/>
        <v>12325.86</v>
      </c>
      <c r="AD151" s="4" t="s">
        <v>603</v>
      </c>
      <c r="AE151" s="4" t="s">
        <v>604</v>
      </c>
      <c r="AF151" s="4" t="s">
        <v>605</v>
      </c>
    </row>
    <row r="152" spans="1:35" ht="54" x14ac:dyDescent="0.3">
      <c r="A152" s="10" t="s">
        <v>606</v>
      </c>
      <c r="B152" s="10" t="s">
        <v>607</v>
      </c>
      <c r="C152" s="14" t="s">
        <v>608</v>
      </c>
      <c r="D152" s="15"/>
      <c r="E152" s="15" t="s">
        <v>609</v>
      </c>
      <c r="F152" s="15" t="s">
        <v>120</v>
      </c>
      <c r="G152" s="16">
        <v>1</v>
      </c>
      <c r="H152" s="15"/>
      <c r="I152" s="16">
        <v>333.75</v>
      </c>
      <c r="J152" s="17">
        <v>363.58</v>
      </c>
      <c r="K152" s="18">
        <v>411</v>
      </c>
      <c r="L152" s="17">
        <f>J152+ROUND(K152, 2)</f>
        <v>774.57999999999993</v>
      </c>
      <c r="M152" s="17">
        <v>121344.83</v>
      </c>
      <c r="N152" s="17">
        <v>137171.25</v>
      </c>
      <c r="O152" s="17">
        <f>M152+N152</f>
        <v>258516.08000000002</v>
      </c>
      <c r="P152" s="17">
        <v>414.02</v>
      </c>
      <c r="Q152" s="19">
        <v>411</v>
      </c>
      <c r="R152" s="17">
        <f>P152+ROUND(Q152, 2)</f>
        <v>825.02</v>
      </c>
      <c r="S152" s="17">
        <v>138179.18</v>
      </c>
      <c r="T152" s="17">
        <v>137171.25</v>
      </c>
      <c r="U152" s="17">
        <f>S152+T152</f>
        <v>275350.43</v>
      </c>
      <c r="V152" s="9">
        <f>ROUND(P152 / 1.2, 2)</f>
        <v>345.02</v>
      </c>
      <c r="W152" s="9">
        <f>ROUND(Q152 / 1.2, 2)</f>
        <v>342.5</v>
      </c>
      <c r="X152" s="9">
        <f>ROUND(R152 / 1.2, 2)</f>
        <v>687.52</v>
      </c>
      <c r="Y152" s="9">
        <f t="shared" si="19"/>
        <v>115149.32</v>
      </c>
      <c r="Z152" s="9">
        <f>ROUND(T152 / 1.2, 2)</f>
        <v>114309.38</v>
      </c>
      <c r="AA152" s="9">
        <f>Y152+Z152</f>
        <v>229458.7</v>
      </c>
      <c r="AD152" s="4">
        <v>339118824</v>
      </c>
      <c r="AE152" s="4">
        <v>25888037</v>
      </c>
      <c r="AG152" s="4" t="s">
        <v>610</v>
      </c>
      <c r="AH152" s="4" t="s">
        <v>611</v>
      </c>
      <c r="AI152" s="4" t="s">
        <v>156</v>
      </c>
    </row>
    <row r="153" spans="1:35" ht="108" x14ac:dyDescent="0.3">
      <c r="A153" s="10" t="s">
        <v>612</v>
      </c>
      <c r="B153" s="10"/>
      <c r="C153" s="24" t="s">
        <v>613</v>
      </c>
      <c r="D153" s="15"/>
      <c r="E153" s="15" t="s">
        <v>614</v>
      </c>
      <c r="F153" s="25" t="s">
        <v>240</v>
      </c>
      <c r="G153" s="26">
        <v>1.84</v>
      </c>
      <c r="H153" s="15"/>
      <c r="I153" s="26">
        <v>614.1</v>
      </c>
      <c r="J153" s="27">
        <v>196</v>
      </c>
      <c r="M153" s="28">
        <f>ROUND(ROUND(J153, 2)*I153, 2)</f>
        <v>120363.6</v>
      </c>
      <c r="P153" s="29">
        <v>210.05</v>
      </c>
      <c r="S153" s="28">
        <f>ROUND(ROUND(P153, 2)*I153, 2)</f>
        <v>128991.71</v>
      </c>
      <c r="V153" s="9">
        <f>ROUND(ROUND(P153, 2)/1.2, 2)</f>
        <v>175.04</v>
      </c>
      <c r="Y153" s="9">
        <f t="shared" si="19"/>
        <v>107493.09</v>
      </c>
      <c r="AD153" s="4" t="s">
        <v>615</v>
      </c>
      <c r="AE153" s="4" t="s">
        <v>616</v>
      </c>
      <c r="AF153" s="4" t="s">
        <v>617</v>
      </c>
    </row>
    <row r="154" spans="1:35" ht="36" x14ac:dyDescent="0.3">
      <c r="A154" s="10" t="s">
        <v>618</v>
      </c>
      <c r="B154" s="10"/>
      <c r="C154" s="24" t="s">
        <v>619</v>
      </c>
      <c r="D154" s="15"/>
      <c r="E154" s="15" t="s">
        <v>620</v>
      </c>
      <c r="F154" s="25" t="s">
        <v>159</v>
      </c>
      <c r="G154" s="26">
        <v>0.7</v>
      </c>
      <c r="H154" s="15"/>
      <c r="I154" s="26">
        <v>233.625</v>
      </c>
      <c r="J154" s="27">
        <v>0</v>
      </c>
      <c r="M154" s="28">
        <f>ROUND(ROUND(J154, 2)*I154, 2)</f>
        <v>0</v>
      </c>
      <c r="P154" s="29">
        <v>29.14</v>
      </c>
      <c r="S154" s="28">
        <f>ROUND(ROUND(P154, 2)*I154, 2)</f>
        <v>6807.83</v>
      </c>
      <c r="V154" s="9">
        <f>ROUND(ROUND(P154, 2)/1.2, 2)</f>
        <v>24.28</v>
      </c>
      <c r="Y154" s="9">
        <f t="shared" si="19"/>
        <v>5673.19</v>
      </c>
      <c r="AD154" s="4" t="s">
        <v>621</v>
      </c>
      <c r="AE154" s="4" t="s">
        <v>622</v>
      </c>
      <c r="AF154" s="4" t="s">
        <v>623</v>
      </c>
    </row>
    <row r="155" spans="1:35" ht="36" x14ac:dyDescent="0.3">
      <c r="A155" s="10" t="s">
        <v>624</v>
      </c>
      <c r="B155" s="10"/>
      <c r="C155" s="24" t="s">
        <v>510</v>
      </c>
      <c r="D155" s="15"/>
      <c r="E155" s="15"/>
      <c r="F155" s="25" t="s">
        <v>159</v>
      </c>
      <c r="G155" s="26">
        <v>0.04</v>
      </c>
      <c r="H155" s="15"/>
      <c r="I155" s="26">
        <v>13.35</v>
      </c>
      <c r="J155" s="27">
        <v>40.270000000000003</v>
      </c>
      <c r="M155" s="28">
        <f>ROUND(ROUND(J155, 2)*I155, 2)</f>
        <v>537.6</v>
      </c>
      <c r="P155" s="29">
        <v>144.87</v>
      </c>
      <c r="S155" s="28">
        <f>ROUND(ROUND(P155, 2)*I155, 2)</f>
        <v>1934.01</v>
      </c>
      <c r="V155" s="9">
        <f>ROUND(ROUND(P155, 2)/1.2, 2)</f>
        <v>120.73</v>
      </c>
      <c r="Y155" s="9">
        <f t="shared" si="19"/>
        <v>1611.68</v>
      </c>
      <c r="AD155" s="4" t="s">
        <v>625</v>
      </c>
      <c r="AE155" s="4" t="s">
        <v>626</v>
      </c>
      <c r="AF155" s="4" t="s">
        <v>513</v>
      </c>
    </row>
    <row r="156" spans="1:35" ht="36" x14ac:dyDescent="0.3">
      <c r="A156" s="10" t="s">
        <v>627</v>
      </c>
      <c r="B156" s="10"/>
      <c r="C156" s="24" t="s">
        <v>480</v>
      </c>
      <c r="D156" s="15"/>
      <c r="E156" s="15"/>
      <c r="F156" s="25" t="s">
        <v>159</v>
      </c>
      <c r="G156" s="26">
        <v>1.4999999999999999E-2</v>
      </c>
      <c r="H156" s="15"/>
      <c r="I156" s="26">
        <v>5.0060000000000002</v>
      </c>
      <c r="J156" s="27">
        <v>88.8</v>
      </c>
      <c r="M156" s="28">
        <f>ROUND(ROUND(J156, 2)*I156, 2)</f>
        <v>444.53</v>
      </c>
      <c r="P156" s="29">
        <v>88.8</v>
      </c>
      <c r="S156" s="28">
        <f>ROUND(ROUND(P156, 2)*I156, 2)</f>
        <v>444.53</v>
      </c>
      <c r="V156" s="9">
        <f>ROUND(ROUND(P156, 2)/1.2, 2)</f>
        <v>74</v>
      </c>
      <c r="Y156" s="9">
        <f t="shared" si="19"/>
        <v>370.44</v>
      </c>
      <c r="AD156" s="4" t="s">
        <v>628</v>
      </c>
      <c r="AE156" s="4" t="s">
        <v>629</v>
      </c>
      <c r="AF156" s="4" t="s">
        <v>483</v>
      </c>
    </row>
    <row r="157" spans="1:35" ht="54" x14ac:dyDescent="0.3">
      <c r="A157" s="10" t="s">
        <v>630</v>
      </c>
      <c r="B157" s="10" t="s">
        <v>607</v>
      </c>
      <c r="C157" s="14" t="s">
        <v>608</v>
      </c>
      <c r="D157" s="15"/>
      <c r="E157" s="15" t="s">
        <v>631</v>
      </c>
      <c r="F157" s="15" t="s">
        <v>120</v>
      </c>
      <c r="G157" s="16">
        <v>1</v>
      </c>
      <c r="H157" s="15"/>
      <c r="I157" s="16">
        <v>19.100000000000001</v>
      </c>
      <c r="J157" s="17">
        <v>64.56</v>
      </c>
      <c r="K157" s="18">
        <v>411</v>
      </c>
      <c r="L157" s="17">
        <f>J157+ROUND(K157, 2)</f>
        <v>475.56</v>
      </c>
      <c r="M157" s="17">
        <v>1233.0999999999999</v>
      </c>
      <c r="N157" s="17">
        <v>7850.1</v>
      </c>
      <c r="O157" s="17">
        <f>M157+N157</f>
        <v>9083.2000000000007</v>
      </c>
      <c r="P157" s="17">
        <v>88.86</v>
      </c>
      <c r="Q157" s="19">
        <v>411</v>
      </c>
      <c r="R157" s="17">
        <f>P157+ROUND(Q157, 2)</f>
        <v>499.86</v>
      </c>
      <c r="S157" s="17">
        <v>1697.23</v>
      </c>
      <c r="T157" s="17">
        <v>7850.1</v>
      </c>
      <c r="U157" s="17">
        <f>S157+T157</f>
        <v>9547.33</v>
      </c>
      <c r="V157" s="9">
        <f>ROUND(P157 / 1.2, 2)</f>
        <v>74.05</v>
      </c>
      <c r="W157" s="9">
        <f>ROUND(Q157 / 1.2, 2)</f>
        <v>342.5</v>
      </c>
      <c r="X157" s="9">
        <f>ROUND(R157 / 1.2, 2)</f>
        <v>416.55</v>
      </c>
      <c r="Y157" s="9">
        <f t="shared" si="19"/>
        <v>1414.36</v>
      </c>
      <c r="Z157" s="9">
        <f>ROUND(T157 / 1.2, 2)</f>
        <v>6541.75</v>
      </c>
      <c r="AA157" s="9">
        <f>Y157+Z157</f>
        <v>7956.11</v>
      </c>
      <c r="AD157" s="4">
        <v>339118913</v>
      </c>
      <c r="AE157" s="4">
        <v>25888034</v>
      </c>
      <c r="AG157" s="4" t="s">
        <v>610</v>
      </c>
      <c r="AH157" s="4" t="s">
        <v>611</v>
      </c>
      <c r="AI157" s="4" t="s">
        <v>156</v>
      </c>
    </row>
    <row r="158" spans="1:35" ht="36" x14ac:dyDescent="0.3">
      <c r="A158" s="10" t="s">
        <v>632</v>
      </c>
      <c r="B158" s="10"/>
      <c r="C158" s="24" t="s">
        <v>480</v>
      </c>
      <c r="D158" s="15"/>
      <c r="E158" s="15"/>
      <c r="F158" s="25" t="s">
        <v>159</v>
      </c>
      <c r="G158" s="26">
        <v>1.4999999999999999E-2</v>
      </c>
      <c r="H158" s="15"/>
      <c r="I158" s="26">
        <v>0.28699999999999998</v>
      </c>
      <c r="J158" s="27">
        <v>88.8</v>
      </c>
      <c r="M158" s="28">
        <f>ROUND(ROUND(J158, 2)*I158, 2)</f>
        <v>25.49</v>
      </c>
      <c r="P158" s="29">
        <v>88.8</v>
      </c>
      <c r="S158" s="28">
        <f>ROUND(ROUND(P158, 2)*I158, 2)</f>
        <v>25.49</v>
      </c>
      <c r="V158" s="9">
        <f>ROUND(ROUND(P158, 2)/1.2, 2)</f>
        <v>74</v>
      </c>
      <c r="Y158" s="9">
        <f t="shared" ref="Y158:Y189" si="20">ROUND(S158 / 1.2, 2)</f>
        <v>21.24</v>
      </c>
      <c r="AD158" s="4" t="s">
        <v>633</v>
      </c>
      <c r="AE158" s="4" t="s">
        <v>634</v>
      </c>
      <c r="AF158" s="4" t="s">
        <v>483</v>
      </c>
    </row>
    <row r="159" spans="1:35" ht="18" x14ac:dyDescent="0.3">
      <c r="A159" s="10" t="s">
        <v>635</v>
      </c>
      <c r="B159" s="10"/>
      <c r="C159" s="24" t="s">
        <v>473</v>
      </c>
      <c r="D159" s="15"/>
      <c r="E159" s="15"/>
      <c r="F159" s="25" t="s">
        <v>159</v>
      </c>
      <c r="G159" s="26">
        <v>0.04</v>
      </c>
      <c r="H159" s="15"/>
      <c r="I159" s="26">
        <v>0.76400000000000001</v>
      </c>
      <c r="J159" s="27">
        <v>47.44</v>
      </c>
      <c r="M159" s="28">
        <f>ROUND(ROUND(J159, 2)*I159, 2)</f>
        <v>36.24</v>
      </c>
      <c r="P159" s="29">
        <v>144.87</v>
      </c>
      <c r="S159" s="28">
        <f>ROUND(ROUND(P159, 2)*I159, 2)</f>
        <v>110.68</v>
      </c>
      <c r="V159" s="9">
        <f>ROUND(ROUND(P159, 2)/1.2, 2)</f>
        <v>120.73</v>
      </c>
      <c r="Y159" s="9">
        <f t="shared" si="20"/>
        <v>92.23</v>
      </c>
      <c r="AD159" s="4" t="s">
        <v>636</v>
      </c>
      <c r="AE159" s="4" t="s">
        <v>637</v>
      </c>
      <c r="AF159" s="4" t="s">
        <v>476</v>
      </c>
    </row>
    <row r="160" spans="1:35" ht="36" x14ac:dyDescent="0.3">
      <c r="A160" s="10" t="s">
        <v>638</v>
      </c>
      <c r="B160" s="10"/>
      <c r="C160" s="24" t="s">
        <v>639</v>
      </c>
      <c r="D160" s="15"/>
      <c r="E160" s="15"/>
      <c r="F160" s="25" t="s">
        <v>75</v>
      </c>
      <c r="G160" s="26">
        <v>0.11</v>
      </c>
      <c r="H160" s="15"/>
      <c r="I160" s="26">
        <v>2.101</v>
      </c>
      <c r="J160" s="27">
        <v>557.54999999999995</v>
      </c>
      <c r="M160" s="28">
        <f>ROUND(ROUND(J160, 2)*I160, 2)</f>
        <v>1171.4100000000001</v>
      </c>
      <c r="P160" s="29">
        <v>557.54999999999995</v>
      </c>
      <c r="S160" s="28">
        <f>ROUND(ROUND(P160, 2)*I160, 2)</f>
        <v>1171.4100000000001</v>
      </c>
      <c r="V160" s="9">
        <f>ROUND(ROUND(P160, 2)/1.2, 2)</f>
        <v>464.63</v>
      </c>
      <c r="Y160" s="9">
        <f t="shared" si="20"/>
        <v>976.18</v>
      </c>
      <c r="AD160" s="4" t="s">
        <v>640</v>
      </c>
      <c r="AE160" s="4" t="s">
        <v>641</v>
      </c>
      <c r="AF160" s="4" t="s">
        <v>642</v>
      </c>
    </row>
    <row r="161" spans="1:35" ht="36" x14ac:dyDescent="0.3">
      <c r="A161" s="10" t="s">
        <v>643</v>
      </c>
      <c r="B161" s="10"/>
      <c r="C161" s="24" t="s">
        <v>619</v>
      </c>
      <c r="D161" s="15"/>
      <c r="E161" s="15" t="s">
        <v>620</v>
      </c>
      <c r="F161" s="25" t="s">
        <v>159</v>
      </c>
      <c r="G161" s="26">
        <v>0.7</v>
      </c>
      <c r="H161" s="15"/>
      <c r="I161" s="26">
        <v>13.37</v>
      </c>
      <c r="J161" s="27">
        <v>0</v>
      </c>
      <c r="M161" s="28">
        <f>ROUND(ROUND(J161, 2)*I161, 2)</f>
        <v>0</v>
      </c>
      <c r="P161" s="29">
        <v>29.14</v>
      </c>
      <c r="S161" s="28">
        <f>ROUND(ROUND(P161, 2)*I161, 2)</f>
        <v>389.6</v>
      </c>
      <c r="V161" s="9">
        <f>ROUND(ROUND(P161, 2)/1.2, 2)</f>
        <v>24.28</v>
      </c>
      <c r="Y161" s="9">
        <f t="shared" si="20"/>
        <v>324.67</v>
      </c>
      <c r="AD161" s="4" t="s">
        <v>644</v>
      </c>
      <c r="AE161" s="4" t="s">
        <v>645</v>
      </c>
      <c r="AF161" s="4" t="s">
        <v>623</v>
      </c>
    </row>
    <row r="162" spans="1:35" ht="54" x14ac:dyDescent="0.3">
      <c r="A162" s="10" t="s">
        <v>646</v>
      </c>
      <c r="B162" s="10" t="s">
        <v>607</v>
      </c>
      <c r="C162" s="14" t="s">
        <v>608</v>
      </c>
      <c r="D162" s="15"/>
      <c r="E162" s="15" t="s">
        <v>631</v>
      </c>
      <c r="F162" s="15" t="s">
        <v>120</v>
      </c>
      <c r="G162" s="16">
        <v>1</v>
      </c>
      <c r="H162" s="15"/>
      <c r="I162" s="16">
        <v>21.1</v>
      </c>
      <c r="J162" s="17">
        <v>51.11</v>
      </c>
      <c r="K162" s="18">
        <v>411</v>
      </c>
      <c r="L162" s="17">
        <f>J162+ROUND(K162, 2)</f>
        <v>462.11</v>
      </c>
      <c r="M162" s="17">
        <v>1078.42</v>
      </c>
      <c r="N162" s="17">
        <v>8672.1</v>
      </c>
      <c r="O162" s="17">
        <f>M162+N162</f>
        <v>9750.52</v>
      </c>
      <c r="P162" s="17">
        <v>76.040000000000006</v>
      </c>
      <c r="Q162" s="19">
        <v>411</v>
      </c>
      <c r="R162" s="17">
        <f>P162+ROUND(Q162, 2)</f>
        <v>487.04</v>
      </c>
      <c r="S162" s="17">
        <v>1604.44</v>
      </c>
      <c r="T162" s="17">
        <v>8672.1</v>
      </c>
      <c r="U162" s="17">
        <f>S162+T162</f>
        <v>10276.540000000001</v>
      </c>
      <c r="V162" s="9">
        <f>ROUND(P162 / 1.2, 2)</f>
        <v>63.37</v>
      </c>
      <c r="W162" s="9">
        <f>ROUND(Q162 / 1.2, 2)</f>
        <v>342.5</v>
      </c>
      <c r="X162" s="9">
        <f>ROUND(R162 / 1.2, 2)</f>
        <v>405.87</v>
      </c>
      <c r="Y162" s="9">
        <f t="shared" si="20"/>
        <v>1337.03</v>
      </c>
      <c r="Z162" s="9">
        <f>ROUND(T162 / 1.2, 2)</f>
        <v>7226.75</v>
      </c>
      <c r="AA162" s="9">
        <f>Y162+Z162</f>
        <v>8563.7800000000007</v>
      </c>
      <c r="AD162" s="4">
        <v>339118914</v>
      </c>
      <c r="AE162" s="4">
        <v>25888035</v>
      </c>
      <c r="AG162" s="4" t="s">
        <v>610</v>
      </c>
      <c r="AH162" s="4" t="s">
        <v>611</v>
      </c>
      <c r="AI162" s="4" t="s">
        <v>156</v>
      </c>
    </row>
    <row r="163" spans="1:35" ht="36" x14ac:dyDescent="0.3">
      <c r="A163" s="10" t="s">
        <v>647</v>
      </c>
      <c r="B163" s="10"/>
      <c r="C163" s="24" t="s">
        <v>619</v>
      </c>
      <c r="D163" s="15"/>
      <c r="E163" s="15" t="s">
        <v>620</v>
      </c>
      <c r="F163" s="25" t="s">
        <v>159</v>
      </c>
      <c r="G163" s="26">
        <v>0.7</v>
      </c>
      <c r="H163" s="15"/>
      <c r="I163" s="26">
        <v>14.77</v>
      </c>
      <c r="J163" s="27">
        <v>0</v>
      </c>
      <c r="M163" s="28">
        <f>ROUND(ROUND(J163, 2)*I163, 2)</f>
        <v>0</v>
      </c>
      <c r="P163" s="29">
        <v>29.14</v>
      </c>
      <c r="S163" s="28">
        <f>ROUND(ROUND(P163, 2)*I163, 2)</f>
        <v>430.4</v>
      </c>
      <c r="V163" s="9">
        <f>ROUND(ROUND(P163, 2)/1.2, 2)</f>
        <v>24.28</v>
      </c>
      <c r="Y163" s="9">
        <f t="shared" si="20"/>
        <v>358.67</v>
      </c>
      <c r="AD163" s="4" t="s">
        <v>648</v>
      </c>
      <c r="AE163" s="4" t="s">
        <v>649</v>
      </c>
      <c r="AF163" s="4" t="s">
        <v>623</v>
      </c>
    </row>
    <row r="164" spans="1:35" ht="36" x14ac:dyDescent="0.3">
      <c r="A164" s="10" t="s">
        <v>650</v>
      </c>
      <c r="B164" s="10"/>
      <c r="C164" s="30" t="s">
        <v>466</v>
      </c>
      <c r="D164" s="15"/>
      <c r="E164" s="15"/>
      <c r="F164" s="25" t="s">
        <v>75</v>
      </c>
      <c r="G164" s="26">
        <v>0.107</v>
      </c>
      <c r="H164" s="15"/>
      <c r="I164" s="26">
        <v>2.258</v>
      </c>
      <c r="J164" s="27">
        <v>447.41</v>
      </c>
      <c r="M164" s="28">
        <f>ROUND(ROUND(J164, 2)*I164, 2)</f>
        <v>1010.25</v>
      </c>
      <c r="P164" s="29">
        <v>489.78</v>
      </c>
      <c r="S164" s="28">
        <f>ROUND(ROUND(P164, 2)*I164, 2)</f>
        <v>1105.92</v>
      </c>
      <c r="V164" s="9">
        <f>ROUND(ROUND(P164, 2)/1.2, 2)</f>
        <v>408.15</v>
      </c>
      <c r="Y164" s="9">
        <f t="shared" si="20"/>
        <v>921.6</v>
      </c>
      <c r="AD164" s="4" t="s">
        <v>651</v>
      </c>
      <c r="AE164" s="4" t="s">
        <v>652</v>
      </c>
      <c r="AF164" s="4" t="s">
        <v>469</v>
      </c>
    </row>
    <row r="165" spans="1:35" ht="18" x14ac:dyDescent="0.3">
      <c r="A165" s="10" t="s">
        <v>653</v>
      </c>
      <c r="B165" s="10"/>
      <c r="C165" s="24" t="s">
        <v>473</v>
      </c>
      <c r="D165" s="15"/>
      <c r="E165" s="15"/>
      <c r="F165" s="25" t="s">
        <v>159</v>
      </c>
      <c r="G165" s="26">
        <v>0.04</v>
      </c>
      <c r="H165" s="15"/>
      <c r="I165" s="26">
        <v>0.84399999999999997</v>
      </c>
      <c r="J165" s="27">
        <v>47.44</v>
      </c>
      <c r="M165" s="28">
        <f>ROUND(ROUND(J165, 2)*I165, 2)</f>
        <v>40.04</v>
      </c>
      <c r="P165" s="29">
        <v>47.44</v>
      </c>
      <c r="S165" s="28">
        <f>ROUND(ROUND(P165, 2)*I165, 2)</f>
        <v>40.04</v>
      </c>
      <c r="V165" s="9">
        <f>ROUND(ROUND(P165, 2)/1.2, 2)</f>
        <v>39.53</v>
      </c>
      <c r="Y165" s="9">
        <f t="shared" si="20"/>
        <v>33.369999999999997</v>
      </c>
      <c r="AD165" s="4" t="s">
        <v>654</v>
      </c>
      <c r="AE165" s="4" t="s">
        <v>655</v>
      </c>
      <c r="AF165" s="4" t="s">
        <v>476</v>
      </c>
    </row>
    <row r="166" spans="1:35" ht="36" x14ac:dyDescent="0.3">
      <c r="A166" s="10" t="s">
        <v>656</v>
      </c>
      <c r="B166" s="10"/>
      <c r="C166" s="24" t="s">
        <v>480</v>
      </c>
      <c r="D166" s="15"/>
      <c r="E166" s="15"/>
      <c r="F166" s="25" t="s">
        <v>159</v>
      </c>
      <c r="G166" s="26">
        <v>1.4999999999999999E-2</v>
      </c>
      <c r="H166" s="15"/>
      <c r="I166" s="26">
        <v>0.317</v>
      </c>
      <c r="J166" s="27">
        <v>88.8</v>
      </c>
      <c r="M166" s="28">
        <f>ROUND(ROUND(J166, 2)*I166, 2)</f>
        <v>28.15</v>
      </c>
      <c r="P166" s="29">
        <v>88.8</v>
      </c>
      <c r="S166" s="28">
        <f>ROUND(ROUND(P166, 2)*I166, 2)</f>
        <v>28.15</v>
      </c>
      <c r="V166" s="9">
        <f>ROUND(ROUND(P166, 2)/1.2, 2)</f>
        <v>74</v>
      </c>
      <c r="Y166" s="9">
        <f t="shared" si="20"/>
        <v>23.46</v>
      </c>
      <c r="AD166" s="4" t="s">
        <v>657</v>
      </c>
      <c r="AE166" s="4" t="s">
        <v>658</v>
      </c>
      <c r="AF166" s="4" t="s">
        <v>483</v>
      </c>
    </row>
    <row r="167" spans="1:35" ht="36" x14ac:dyDescent="0.3">
      <c r="A167" s="10" t="s">
        <v>659</v>
      </c>
      <c r="B167" s="10" t="s">
        <v>660</v>
      </c>
      <c r="C167" s="14" t="s">
        <v>661</v>
      </c>
      <c r="D167" s="15"/>
      <c r="E167" s="15" t="s">
        <v>662</v>
      </c>
      <c r="F167" s="15" t="s">
        <v>75</v>
      </c>
      <c r="G167" s="16">
        <v>1</v>
      </c>
      <c r="H167" s="15"/>
      <c r="I167" s="16">
        <v>4366.17</v>
      </c>
      <c r="J167" s="17">
        <v>0</v>
      </c>
      <c r="K167" s="18">
        <v>661</v>
      </c>
      <c r="L167" s="17">
        <f>J167+ROUND(K167, 2)</f>
        <v>661</v>
      </c>
      <c r="M167" s="17">
        <v>0</v>
      </c>
      <c r="N167" s="17">
        <v>2886038.37</v>
      </c>
      <c r="O167" s="17">
        <f>M167+N167</f>
        <v>2886038.37</v>
      </c>
      <c r="P167" s="17">
        <v>2035.54</v>
      </c>
      <c r="Q167" s="19">
        <v>661</v>
      </c>
      <c r="R167" s="17">
        <f>P167+ROUND(Q167, 2)</f>
        <v>2696.54</v>
      </c>
      <c r="S167" s="17">
        <v>8887513.6799999997</v>
      </c>
      <c r="T167" s="17">
        <v>2886038.37</v>
      </c>
      <c r="U167" s="17">
        <f>S167+T167</f>
        <v>11773552.050000001</v>
      </c>
      <c r="V167" s="9">
        <f>ROUND(P167 / 1.2, 2)</f>
        <v>1696.28</v>
      </c>
      <c r="W167" s="9">
        <f>ROUND(Q167 / 1.2, 2)</f>
        <v>550.83000000000004</v>
      </c>
      <c r="X167" s="9">
        <f>ROUND(R167 / 1.2, 2)</f>
        <v>2247.12</v>
      </c>
      <c r="Y167" s="9">
        <f t="shared" si="20"/>
        <v>7406261.4000000004</v>
      </c>
      <c r="Z167" s="9">
        <f>ROUND(T167 / 1.2, 2)</f>
        <v>2405031.98</v>
      </c>
      <c r="AA167" s="9">
        <f>Y167+Z167</f>
        <v>9811293.3800000008</v>
      </c>
      <c r="AD167" s="4">
        <v>339118826</v>
      </c>
      <c r="AE167" s="4">
        <v>25888018</v>
      </c>
      <c r="AG167" s="4" t="s">
        <v>663</v>
      </c>
      <c r="AH167" s="4" t="s">
        <v>664</v>
      </c>
      <c r="AI167" s="4" t="s">
        <v>156</v>
      </c>
    </row>
    <row r="168" spans="1:35" ht="90" x14ac:dyDescent="0.3">
      <c r="A168" s="10" t="s">
        <v>665</v>
      </c>
      <c r="B168" s="10"/>
      <c r="C168" s="24" t="s">
        <v>666</v>
      </c>
      <c r="D168" s="15"/>
      <c r="E168" s="15" t="s">
        <v>667</v>
      </c>
      <c r="F168" s="25" t="s">
        <v>240</v>
      </c>
      <c r="G168" s="26">
        <v>1</v>
      </c>
      <c r="H168" s="15"/>
      <c r="I168" s="32">
        <v>1964.7</v>
      </c>
      <c r="J168" s="27">
        <v>0</v>
      </c>
      <c r="M168" s="28">
        <f>ROUND(ROUND(J168, 2)*I168, 2)</f>
        <v>0</v>
      </c>
      <c r="P168" s="29">
        <v>495</v>
      </c>
      <c r="S168" s="28">
        <f>ROUND(ROUND(P168, 2)*I168, 2)</f>
        <v>972526.5</v>
      </c>
      <c r="V168" s="9">
        <f>ROUND(ROUND(P168, 2)/1.2, 2)</f>
        <v>412.5</v>
      </c>
      <c r="Y168" s="9">
        <f t="shared" si="20"/>
        <v>810438.75</v>
      </c>
      <c r="AD168" s="4" t="s">
        <v>668</v>
      </c>
      <c r="AE168" s="4" t="s">
        <v>669</v>
      </c>
      <c r="AF168" s="4" t="s">
        <v>670</v>
      </c>
    </row>
    <row r="169" spans="1:35" ht="162" x14ac:dyDescent="0.3">
      <c r="A169" s="10" t="s">
        <v>671</v>
      </c>
      <c r="B169" s="10"/>
      <c r="C169" s="24" t="s">
        <v>672</v>
      </c>
      <c r="D169" s="15"/>
      <c r="E169" s="15" t="s">
        <v>673</v>
      </c>
      <c r="F169" s="25" t="s">
        <v>75</v>
      </c>
      <c r="G169" s="26">
        <v>1.03</v>
      </c>
      <c r="H169" s="15"/>
      <c r="I169" s="32">
        <v>4497.1549999999997</v>
      </c>
      <c r="J169" s="27">
        <v>0</v>
      </c>
      <c r="M169" s="28">
        <f>ROUND(ROUND(J169, 2)*I169, 2)</f>
        <v>0</v>
      </c>
      <c r="P169" s="29">
        <v>1760</v>
      </c>
      <c r="S169" s="28">
        <f>ROUND(ROUND(P169, 2)*I169, 2)</f>
        <v>7914992.7999999998</v>
      </c>
      <c r="V169" s="9">
        <f>ROUND(ROUND(P169, 2)/1.2, 2)</f>
        <v>1466.67</v>
      </c>
      <c r="Y169" s="9">
        <f t="shared" si="20"/>
        <v>6595827.3300000001</v>
      </c>
      <c r="AD169" s="4" t="s">
        <v>674</v>
      </c>
      <c r="AE169" s="4" t="s">
        <v>675</v>
      </c>
      <c r="AF169" s="4" t="s">
        <v>676</v>
      </c>
    </row>
    <row r="170" spans="1:35" ht="36" x14ac:dyDescent="0.3">
      <c r="A170" s="10" t="s">
        <v>677</v>
      </c>
      <c r="B170" s="10" t="s">
        <v>678</v>
      </c>
      <c r="C170" s="14" t="s">
        <v>679</v>
      </c>
      <c r="D170" s="15"/>
      <c r="E170" s="15" t="s">
        <v>680</v>
      </c>
      <c r="F170" s="15" t="s">
        <v>120</v>
      </c>
      <c r="G170" s="16">
        <v>1</v>
      </c>
      <c r="H170" s="15"/>
      <c r="I170" s="16">
        <v>2088.4499999999998</v>
      </c>
      <c r="J170" s="17">
        <v>379.22</v>
      </c>
      <c r="K170" s="18">
        <v>210</v>
      </c>
      <c r="L170" s="17">
        <f>J170+ROUND(K170, 2)</f>
        <v>589.22</v>
      </c>
      <c r="M170" s="17">
        <v>791982.01</v>
      </c>
      <c r="N170" s="17">
        <v>438574.5</v>
      </c>
      <c r="O170" s="17">
        <f>M170+N170</f>
        <v>1230556.51</v>
      </c>
      <c r="P170" s="17">
        <v>379.22</v>
      </c>
      <c r="Q170" s="19">
        <v>210</v>
      </c>
      <c r="R170" s="17">
        <f>P170+ROUND(Q170, 2)</f>
        <v>589.22</v>
      </c>
      <c r="S170" s="17">
        <v>791982.01</v>
      </c>
      <c r="T170" s="17">
        <v>438574.5</v>
      </c>
      <c r="U170" s="17">
        <f>S170+T170</f>
        <v>1230556.51</v>
      </c>
      <c r="V170" s="9">
        <f>ROUND(P170 / 1.2, 2)</f>
        <v>316.02</v>
      </c>
      <c r="W170" s="9">
        <f>ROUND(Q170 / 1.2, 2)</f>
        <v>175</v>
      </c>
      <c r="X170" s="9">
        <f>ROUND(R170 / 1.2, 2)</f>
        <v>491.02</v>
      </c>
      <c r="Y170" s="9">
        <f t="shared" si="20"/>
        <v>659985.01</v>
      </c>
      <c r="Z170" s="9">
        <f>ROUND(T170 / 1.2, 2)</f>
        <v>365478.75</v>
      </c>
      <c r="AA170" s="9">
        <f>Y170+Z170</f>
        <v>1025463.76</v>
      </c>
      <c r="AD170" s="4">
        <v>339118828</v>
      </c>
      <c r="AE170" s="4">
        <v>25888036</v>
      </c>
      <c r="AG170" s="4" t="s">
        <v>681</v>
      </c>
      <c r="AH170" s="4" t="s">
        <v>682</v>
      </c>
      <c r="AI170" s="4" t="s">
        <v>156</v>
      </c>
    </row>
    <row r="171" spans="1:35" ht="126" x14ac:dyDescent="0.3">
      <c r="A171" s="10" t="s">
        <v>683</v>
      </c>
      <c r="B171" s="10"/>
      <c r="C171" s="24" t="s">
        <v>684</v>
      </c>
      <c r="D171" s="15"/>
      <c r="E171" s="15" t="s">
        <v>685</v>
      </c>
      <c r="F171" s="25" t="s">
        <v>120</v>
      </c>
      <c r="G171" s="26">
        <v>1.1000000000000001</v>
      </c>
      <c r="H171" s="15"/>
      <c r="I171" s="32">
        <v>2297.2950000000001</v>
      </c>
      <c r="J171" s="27">
        <v>344.75</v>
      </c>
      <c r="M171" s="28">
        <f>ROUND(ROUND(J171, 2)*I171, 2)</f>
        <v>791992.45</v>
      </c>
      <c r="P171" s="29">
        <v>344.75</v>
      </c>
      <c r="S171" s="28">
        <f>ROUND(ROUND(P171, 2)*I171, 2)</f>
        <v>791992.45</v>
      </c>
      <c r="V171" s="9">
        <f>ROUND(ROUND(P171, 2)/1.2, 2)</f>
        <v>287.29000000000002</v>
      </c>
      <c r="Y171" s="9">
        <f t="shared" si="20"/>
        <v>659993.71</v>
      </c>
      <c r="AD171" s="4" t="s">
        <v>686</v>
      </c>
      <c r="AE171" s="4" t="s">
        <v>687</v>
      </c>
      <c r="AF171" s="4" t="s">
        <v>688</v>
      </c>
    </row>
    <row r="172" spans="1:35" ht="54" x14ac:dyDescent="0.3">
      <c r="A172" s="11" t="s">
        <v>689</v>
      </c>
      <c r="B172" s="11" t="s">
        <v>690</v>
      </c>
      <c r="C172" s="20" t="s">
        <v>691</v>
      </c>
      <c r="D172" s="21"/>
      <c r="E172" s="21" t="s">
        <v>692</v>
      </c>
      <c r="F172" s="21" t="s">
        <v>75</v>
      </c>
      <c r="G172" s="22">
        <v>1</v>
      </c>
      <c r="H172" s="21"/>
      <c r="I172" s="22">
        <v>102.06</v>
      </c>
      <c r="J172" s="23">
        <v>4598.84</v>
      </c>
      <c r="K172" s="23">
        <v>2310</v>
      </c>
      <c r="L172" s="23">
        <f>J172+ROUND(K172, 2)</f>
        <v>6908.84</v>
      </c>
      <c r="M172" s="23">
        <v>469357.61</v>
      </c>
      <c r="N172" s="23">
        <v>235758.6</v>
      </c>
      <c r="O172" s="23">
        <f>M172+N172</f>
        <v>705116.21</v>
      </c>
      <c r="P172" s="23">
        <v>4598.84</v>
      </c>
      <c r="Q172" s="23">
        <v>2310</v>
      </c>
      <c r="R172" s="23">
        <f>P172+ROUND(Q172, 2)</f>
        <v>6908.84</v>
      </c>
      <c r="S172" s="23">
        <v>469357.61</v>
      </c>
      <c r="T172" s="23">
        <v>235758.6</v>
      </c>
      <c r="U172" s="23">
        <f>S172+T172</f>
        <v>705116.21</v>
      </c>
      <c r="V172" s="9">
        <f>ROUND(P172 / 1.2, 2)</f>
        <v>3832.37</v>
      </c>
      <c r="W172" s="9">
        <f>ROUND(Q172 / 1.2, 2)</f>
        <v>1925</v>
      </c>
      <c r="X172" s="9">
        <f>ROUND(R172 / 1.2, 2)</f>
        <v>5757.37</v>
      </c>
      <c r="Y172" s="9">
        <f t="shared" si="20"/>
        <v>391131.34</v>
      </c>
      <c r="Z172" s="9">
        <f>ROUND(T172 / 1.2, 2)</f>
        <v>196465.5</v>
      </c>
      <c r="AA172" s="9">
        <f>Y172+Z172</f>
        <v>587596.84000000008</v>
      </c>
      <c r="AD172" s="4">
        <v>339118830</v>
      </c>
      <c r="AE172" s="4">
        <v>28965972</v>
      </c>
      <c r="AG172" s="4" t="s">
        <v>693</v>
      </c>
      <c r="AH172" s="4" t="s">
        <v>694</v>
      </c>
      <c r="AI172" s="4" t="s">
        <v>156</v>
      </c>
    </row>
    <row r="173" spans="1:35" ht="126" x14ac:dyDescent="0.3">
      <c r="A173" s="11" t="s">
        <v>695</v>
      </c>
      <c r="B173" s="11"/>
      <c r="C173" s="30" t="s">
        <v>696</v>
      </c>
      <c r="D173" s="21"/>
      <c r="E173" s="21" t="s">
        <v>697</v>
      </c>
      <c r="F173" s="34" t="s">
        <v>240</v>
      </c>
      <c r="G173" s="35">
        <v>4</v>
      </c>
      <c r="H173" s="21"/>
      <c r="I173" s="35">
        <v>408.24</v>
      </c>
      <c r="J173" s="37">
        <v>1118.74</v>
      </c>
      <c r="K173" s="12"/>
      <c r="L173" s="12"/>
      <c r="M173" s="37">
        <f>ROUND(ROUND(J173, 2)*I173, 2)</f>
        <v>456714.42</v>
      </c>
      <c r="N173" s="12"/>
      <c r="O173" s="12"/>
      <c r="P173" s="37">
        <v>1118.74</v>
      </c>
      <c r="Q173" s="12"/>
      <c r="R173" s="12"/>
      <c r="S173" s="37">
        <f>ROUND(ROUND(P173, 2)*I173, 2)</f>
        <v>456714.42</v>
      </c>
      <c r="T173" s="12"/>
      <c r="U173" s="38"/>
      <c r="V173" s="9">
        <f>ROUND(ROUND(P173, 2)/1.2, 2)</f>
        <v>932.28</v>
      </c>
      <c r="Y173" s="9">
        <f t="shared" si="20"/>
        <v>380595.35</v>
      </c>
      <c r="AD173" s="4" t="s">
        <v>698</v>
      </c>
      <c r="AE173" s="4" t="s">
        <v>699</v>
      </c>
      <c r="AF173" s="4" t="s">
        <v>700</v>
      </c>
    </row>
    <row r="174" spans="1:35" ht="36" x14ac:dyDescent="0.3">
      <c r="A174" s="11" t="s">
        <v>701</v>
      </c>
      <c r="B174" s="11"/>
      <c r="C174" s="30" t="s">
        <v>702</v>
      </c>
      <c r="D174" s="21"/>
      <c r="E174" s="21"/>
      <c r="F174" s="34" t="s">
        <v>159</v>
      </c>
      <c r="G174" s="35">
        <v>1.2</v>
      </c>
      <c r="H174" s="21"/>
      <c r="I174" s="36">
        <v>612.36</v>
      </c>
      <c r="J174" s="37">
        <v>16.38</v>
      </c>
      <c r="K174" s="12"/>
      <c r="L174" s="12"/>
      <c r="M174" s="37">
        <f>ROUND(ROUND(J174, 2)*I174, 2)</f>
        <v>10030.459999999999</v>
      </c>
      <c r="N174" s="12"/>
      <c r="O174" s="12"/>
      <c r="P174" s="37">
        <v>16.38</v>
      </c>
      <c r="Q174" s="12"/>
      <c r="R174" s="12"/>
      <c r="S174" s="37">
        <f>ROUND(ROUND(P174, 2)*I174, 2)</f>
        <v>10030.459999999999</v>
      </c>
      <c r="T174" s="12"/>
      <c r="U174" s="38"/>
      <c r="V174" s="9">
        <f>ROUND(ROUND(P174, 2)/1.2, 2)</f>
        <v>13.65</v>
      </c>
      <c r="Y174" s="9">
        <f t="shared" si="20"/>
        <v>8358.7199999999993</v>
      </c>
      <c r="AD174" s="4" t="s">
        <v>703</v>
      </c>
      <c r="AE174" s="4" t="s">
        <v>704</v>
      </c>
      <c r="AF174" s="4" t="s">
        <v>705</v>
      </c>
    </row>
    <row r="175" spans="1:35" ht="36" x14ac:dyDescent="0.3">
      <c r="A175" s="11" t="s">
        <v>706</v>
      </c>
      <c r="B175" s="11"/>
      <c r="C175" s="33" t="s">
        <v>473</v>
      </c>
      <c r="D175" s="21"/>
      <c r="E175" s="21" t="s">
        <v>707</v>
      </c>
      <c r="F175" s="34" t="s">
        <v>159</v>
      </c>
      <c r="G175" s="35">
        <v>0.25</v>
      </c>
      <c r="H175" s="21"/>
      <c r="I175" s="35">
        <v>25.515000000000001</v>
      </c>
      <c r="J175" s="37">
        <v>48.23</v>
      </c>
      <c r="K175" s="12"/>
      <c r="L175" s="12"/>
      <c r="M175" s="37">
        <f>ROUND(ROUND(J175, 2)*I175, 2)</f>
        <v>1230.5899999999999</v>
      </c>
      <c r="N175" s="12"/>
      <c r="O175" s="12"/>
      <c r="P175" s="37">
        <v>48.23</v>
      </c>
      <c r="Q175" s="12"/>
      <c r="R175" s="12"/>
      <c r="S175" s="37">
        <f>ROUND(ROUND(P175, 2)*I175, 2)</f>
        <v>1230.5899999999999</v>
      </c>
      <c r="T175" s="12"/>
      <c r="U175" s="38"/>
      <c r="V175" s="9">
        <f>ROUND(ROUND(P175, 2)/1.2, 2)</f>
        <v>40.19</v>
      </c>
      <c r="Y175" s="9">
        <f t="shared" si="20"/>
        <v>1025.49</v>
      </c>
      <c r="AD175" s="4" t="s">
        <v>708</v>
      </c>
      <c r="AE175" s="4" t="s">
        <v>709</v>
      </c>
      <c r="AF175" s="4" t="s">
        <v>476</v>
      </c>
    </row>
    <row r="176" spans="1:35" ht="36" x14ac:dyDescent="0.3">
      <c r="A176" s="11" t="s">
        <v>710</v>
      </c>
      <c r="B176" s="11"/>
      <c r="C176" s="33" t="s">
        <v>169</v>
      </c>
      <c r="D176" s="21"/>
      <c r="E176" s="21"/>
      <c r="F176" s="34" t="s">
        <v>159</v>
      </c>
      <c r="G176" s="35">
        <v>0.15</v>
      </c>
      <c r="H176" s="21"/>
      <c r="I176" s="35">
        <v>15.308999999999999</v>
      </c>
      <c r="J176" s="37">
        <v>90.28</v>
      </c>
      <c r="K176" s="12"/>
      <c r="L176" s="12"/>
      <c r="M176" s="37">
        <f>ROUND(ROUND(J176, 2)*I176, 2)</f>
        <v>1382.1</v>
      </c>
      <c r="N176" s="12"/>
      <c r="O176" s="12"/>
      <c r="P176" s="37">
        <v>90.28</v>
      </c>
      <c r="Q176" s="12"/>
      <c r="R176" s="12"/>
      <c r="S176" s="37">
        <f>ROUND(ROUND(P176, 2)*I176, 2)</f>
        <v>1382.1</v>
      </c>
      <c r="T176" s="12"/>
      <c r="U176" s="38"/>
      <c r="V176" s="9">
        <f>ROUND(ROUND(P176, 2)/1.2, 2)</f>
        <v>75.23</v>
      </c>
      <c r="Y176" s="9">
        <f t="shared" si="20"/>
        <v>1151.75</v>
      </c>
      <c r="AD176" s="4" t="s">
        <v>711</v>
      </c>
      <c r="AE176" s="4" t="s">
        <v>712</v>
      </c>
      <c r="AF176" s="4" t="s">
        <v>172</v>
      </c>
    </row>
    <row r="177" spans="1:35" ht="54" x14ac:dyDescent="0.3">
      <c r="A177" s="11" t="s">
        <v>713</v>
      </c>
      <c r="B177" s="11" t="s">
        <v>690</v>
      </c>
      <c r="C177" s="20" t="s">
        <v>691</v>
      </c>
      <c r="D177" s="21"/>
      <c r="E177" s="21" t="s">
        <v>714</v>
      </c>
      <c r="F177" s="21" t="s">
        <v>75</v>
      </c>
      <c r="G177" s="22">
        <v>1</v>
      </c>
      <c r="H177" s="21"/>
      <c r="I177" s="22">
        <v>60.24</v>
      </c>
      <c r="J177" s="23">
        <v>1572.08</v>
      </c>
      <c r="K177" s="23">
        <v>2310</v>
      </c>
      <c r="L177" s="23">
        <f>J177+ROUND(K177, 2)</f>
        <v>3882.08</v>
      </c>
      <c r="M177" s="23">
        <v>94702.1</v>
      </c>
      <c r="N177" s="23">
        <v>139154.4</v>
      </c>
      <c r="O177" s="23">
        <f>M177+N177</f>
        <v>233856.5</v>
      </c>
      <c r="P177" s="23">
        <v>1572.08</v>
      </c>
      <c r="Q177" s="23">
        <v>2310</v>
      </c>
      <c r="R177" s="23">
        <f>P177+ROUND(Q177, 2)</f>
        <v>3882.08</v>
      </c>
      <c r="S177" s="23">
        <v>94702.1</v>
      </c>
      <c r="T177" s="23">
        <v>139154.4</v>
      </c>
      <c r="U177" s="23">
        <f>S177+T177</f>
        <v>233856.5</v>
      </c>
      <c r="V177" s="9">
        <f>ROUND(P177 / 1.2, 2)</f>
        <v>1310.07</v>
      </c>
      <c r="W177" s="9">
        <f>ROUND(Q177 / 1.2, 2)</f>
        <v>1925</v>
      </c>
      <c r="X177" s="9">
        <f>ROUND(R177 / 1.2, 2)</f>
        <v>3235.07</v>
      </c>
      <c r="Y177" s="9">
        <f t="shared" si="20"/>
        <v>78918.42</v>
      </c>
      <c r="Z177" s="9">
        <f>ROUND(T177 / 1.2, 2)</f>
        <v>115962</v>
      </c>
      <c r="AA177" s="9">
        <f>Y177+Z177</f>
        <v>194880.41999999998</v>
      </c>
      <c r="AD177" s="4">
        <v>339118915</v>
      </c>
      <c r="AE177" s="4">
        <v>28970271</v>
      </c>
      <c r="AG177" s="4" t="s">
        <v>693</v>
      </c>
      <c r="AH177" s="4" t="s">
        <v>694</v>
      </c>
      <c r="AI177" s="4" t="s">
        <v>156</v>
      </c>
    </row>
    <row r="178" spans="1:35" ht="36" x14ac:dyDescent="0.3">
      <c r="A178" s="11" t="s">
        <v>715</v>
      </c>
      <c r="B178" s="11"/>
      <c r="C178" s="33" t="s">
        <v>169</v>
      </c>
      <c r="D178" s="21"/>
      <c r="E178" s="21"/>
      <c r="F178" s="34" t="s">
        <v>159</v>
      </c>
      <c r="G178" s="35">
        <v>0.15</v>
      </c>
      <c r="H178" s="21"/>
      <c r="I178" s="35">
        <v>9.0359999999999996</v>
      </c>
      <c r="J178" s="37">
        <v>90.28</v>
      </c>
      <c r="K178" s="12"/>
      <c r="L178" s="12"/>
      <c r="M178" s="37">
        <f>ROUND(ROUND(J178, 2)*I178, 2)</f>
        <v>815.77</v>
      </c>
      <c r="N178" s="12"/>
      <c r="O178" s="12"/>
      <c r="P178" s="37">
        <v>90.28</v>
      </c>
      <c r="Q178" s="12"/>
      <c r="R178" s="12"/>
      <c r="S178" s="37">
        <f>ROUND(ROUND(P178, 2)*I178, 2)</f>
        <v>815.77</v>
      </c>
      <c r="T178" s="12"/>
      <c r="U178" s="38"/>
      <c r="V178" s="9">
        <f>ROUND(ROUND(P178, 2)/1.2, 2)</f>
        <v>75.23</v>
      </c>
      <c r="Y178" s="9">
        <f t="shared" si="20"/>
        <v>679.81</v>
      </c>
      <c r="AD178" s="4" t="s">
        <v>716</v>
      </c>
      <c r="AE178" s="4" t="s">
        <v>717</v>
      </c>
      <c r="AF178" s="4" t="s">
        <v>172</v>
      </c>
    </row>
    <row r="179" spans="1:35" ht="36" x14ac:dyDescent="0.3">
      <c r="A179" s="11" t="s">
        <v>718</v>
      </c>
      <c r="B179" s="11"/>
      <c r="C179" s="33" t="s">
        <v>473</v>
      </c>
      <c r="D179" s="21"/>
      <c r="E179" s="21" t="s">
        <v>707</v>
      </c>
      <c r="F179" s="34" t="s">
        <v>159</v>
      </c>
      <c r="G179" s="35">
        <v>0.25</v>
      </c>
      <c r="H179" s="21"/>
      <c r="I179" s="35">
        <v>15.06</v>
      </c>
      <c r="J179" s="37">
        <v>48.23</v>
      </c>
      <c r="K179" s="12"/>
      <c r="L179" s="12"/>
      <c r="M179" s="37">
        <f>ROUND(ROUND(J179, 2)*I179, 2)</f>
        <v>726.34</v>
      </c>
      <c r="N179" s="12"/>
      <c r="O179" s="12"/>
      <c r="P179" s="37">
        <v>48.23</v>
      </c>
      <c r="Q179" s="12"/>
      <c r="R179" s="12"/>
      <c r="S179" s="37">
        <f>ROUND(ROUND(P179, 2)*I179, 2)</f>
        <v>726.34</v>
      </c>
      <c r="T179" s="12"/>
      <c r="U179" s="38"/>
      <c r="V179" s="9">
        <f>ROUND(ROUND(P179, 2)/1.2, 2)</f>
        <v>40.19</v>
      </c>
      <c r="Y179" s="9">
        <f t="shared" si="20"/>
        <v>605.28</v>
      </c>
      <c r="AD179" s="4" t="s">
        <v>719</v>
      </c>
      <c r="AE179" s="4" t="s">
        <v>720</v>
      </c>
      <c r="AF179" s="4" t="s">
        <v>476</v>
      </c>
    </row>
    <row r="180" spans="1:35" ht="36" x14ac:dyDescent="0.3">
      <c r="A180" s="11" t="s">
        <v>721</v>
      </c>
      <c r="B180" s="11"/>
      <c r="C180" s="30" t="s">
        <v>702</v>
      </c>
      <c r="D180" s="21"/>
      <c r="E180" s="21"/>
      <c r="F180" s="34" t="s">
        <v>159</v>
      </c>
      <c r="G180" s="35">
        <v>1.2</v>
      </c>
      <c r="H180" s="21"/>
      <c r="I180" s="36">
        <v>361.44</v>
      </c>
      <c r="J180" s="37">
        <v>16.38</v>
      </c>
      <c r="K180" s="12"/>
      <c r="L180" s="12"/>
      <c r="M180" s="37">
        <f>ROUND(ROUND(J180, 2)*I180, 2)</f>
        <v>5920.39</v>
      </c>
      <c r="N180" s="12"/>
      <c r="O180" s="12"/>
      <c r="P180" s="37">
        <v>16.38</v>
      </c>
      <c r="Q180" s="12"/>
      <c r="R180" s="12"/>
      <c r="S180" s="37">
        <f>ROUND(ROUND(P180, 2)*I180, 2)</f>
        <v>5920.39</v>
      </c>
      <c r="T180" s="12"/>
      <c r="U180" s="38"/>
      <c r="V180" s="9">
        <f>ROUND(ROUND(P180, 2)/1.2, 2)</f>
        <v>13.65</v>
      </c>
      <c r="Y180" s="9">
        <f t="shared" si="20"/>
        <v>4933.66</v>
      </c>
      <c r="AD180" s="4" t="s">
        <v>722</v>
      </c>
      <c r="AE180" s="4" t="s">
        <v>723</v>
      </c>
      <c r="AF180" s="4" t="s">
        <v>705</v>
      </c>
    </row>
    <row r="181" spans="1:35" ht="108" x14ac:dyDescent="0.3">
      <c r="A181" s="11" t="s">
        <v>724</v>
      </c>
      <c r="B181" s="11"/>
      <c r="C181" s="33" t="s">
        <v>725</v>
      </c>
      <c r="D181" s="21"/>
      <c r="E181" s="21" t="s">
        <v>726</v>
      </c>
      <c r="F181" s="34" t="s">
        <v>240</v>
      </c>
      <c r="G181" s="35">
        <v>4</v>
      </c>
      <c r="H181" s="21"/>
      <c r="I181" s="35">
        <v>240.96</v>
      </c>
      <c r="J181" s="37">
        <v>362.05</v>
      </c>
      <c r="K181" s="12"/>
      <c r="L181" s="12"/>
      <c r="M181" s="37">
        <f>ROUND(ROUND(J181, 2)*I181, 2)</f>
        <v>87239.57</v>
      </c>
      <c r="N181" s="12"/>
      <c r="O181" s="12"/>
      <c r="P181" s="37">
        <v>362.05</v>
      </c>
      <c r="Q181" s="12"/>
      <c r="R181" s="12"/>
      <c r="S181" s="37">
        <f>ROUND(ROUND(P181, 2)*I181, 2)</f>
        <v>87239.57</v>
      </c>
      <c r="T181" s="12"/>
      <c r="U181" s="38"/>
      <c r="V181" s="9">
        <f>ROUND(ROUND(P181, 2)/1.2, 2)</f>
        <v>301.70999999999998</v>
      </c>
      <c r="Y181" s="9">
        <f t="shared" si="20"/>
        <v>72699.64</v>
      </c>
      <c r="AD181" s="4" t="s">
        <v>727</v>
      </c>
      <c r="AE181" s="4" t="s">
        <v>728</v>
      </c>
      <c r="AF181" s="4" t="s">
        <v>729</v>
      </c>
    </row>
    <row r="182" spans="1:35" ht="54" x14ac:dyDescent="0.3">
      <c r="A182" s="11" t="s">
        <v>730</v>
      </c>
      <c r="B182" s="11" t="s">
        <v>731</v>
      </c>
      <c r="C182" s="20" t="s">
        <v>732</v>
      </c>
      <c r="D182" s="21"/>
      <c r="E182" s="21" t="s">
        <v>733</v>
      </c>
      <c r="F182" s="21" t="s">
        <v>120</v>
      </c>
      <c r="G182" s="22">
        <v>1</v>
      </c>
      <c r="H182" s="21"/>
      <c r="I182" s="22">
        <v>342.38</v>
      </c>
      <c r="J182" s="23">
        <v>858.32</v>
      </c>
      <c r="K182" s="23">
        <v>472.99</v>
      </c>
      <c r="L182" s="23">
        <f>J182+ROUND(K182, 2)</f>
        <v>1331.31</v>
      </c>
      <c r="M182" s="23">
        <v>293871.59999999998</v>
      </c>
      <c r="N182" s="23">
        <v>161942.32</v>
      </c>
      <c r="O182" s="23">
        <f>M182+N182</f>
        <v>455813.92</v>
      </c>
      <c r="P182" s="23">
        <v>858.32</v>
      </c>
      <c r="Q182" s="23">
        <v>472.99</v>
      </c>
      <c r="R182" s="23">
        <f>P182+ROUND(Q182, 2)</f>
        <v>1331.31</v>
      </c>
      <c r="S182" s="23">
        <v>293871.59999999998</v>
      </c>
      <c r="T182" s="23">
        <v>161942.32</v>
      </c>
      <c r="U182" s="23">
        <f>S182+T182</f>
        <v>455813.92</v>
      </c>
      <c r="V182" s="9">
        <f>ROUND(P182 / 1.2, 2)</f>
        <v>715.27</v>
      </c>
      <c r="W182" s="9">
        <f>ROUND(Q182 / 1.2, 2)</f>
        <v>394.16</v>
      </c>
      <c r="X182" s="9">
        <f>ROUND(R182 / 1.2, 2)</f>
        <v>1109.43</v>
      </c>
      <c r="Y182" s="9">
        <f t="shared" si="20"/>
        <v>244893</v>
      </c>
      <c r="Z182" s="9">
        <f>ROUND(T182 / 1.2, 2)</f>
        <v>134951.93</v>
      </c>
      <c r="AA182" s="9">
        <f>Y182+Z182</f>
        <v>379844.93</v>
      </c>
      <c r="AD182" s="4">
        <v>339118832</v>
      </c>
      <c r="AE182" s="4">
        <v>28970272</v>
      </c>
      <c r="AG182" s="4" t="s">
        <v>734</v>
      </c>
      <c r="AH182" s="4" t="s">
        <v>735</v>
      </c>
      <c r="AI182" s="4" t="s">
        <v>156</v>
      </c>
    </row>
    <row r="183" spans="1:35" ht="36" x14ac:dyDescent="0.3">
      <c r="A183" s="11" t="s">
        <v>736</v>
      </c>
      <c r="B183" s="11"/>
      <c r="C183" s="30" t="s">
        <v>494</v>
      </c>
      <c r="D183" s="21"/>
      <c r="E183" s="21"/>
      <c r="F183" s="34" t="s">
        <v>159</v>
      </c>
      <c r="G183" s="35">
        <v>0.7</v>
      </c>
      <c r="H183" s="21"/>
      <c r="I183" s="36">
        <v>239.666</v>
      </c>
      <c r="J183" s="37">
        <v>16.38</v>
      </c>
      <c r="K183" s="12"/>
      <c r="L183" s="12"/>
      <c r="M183" s="37">
        <f>ROUND(ROUND(J183, 2)*I183, 2)</f>
        <v>3925.73</v>
      </c>
      <c r="N183" s="12"/>
      <c r="O183" s="12"/>
      <c r="P183" s="37">
        <v>16.38</v>
      </c>
      <c r="Q183" s="12"/>
      <c r="R183" s="12"/>
      <c r="S183" s="37">
        <f>ROUND(ROUND(P183, 2)*I183, 2)</f>
        <v>3925.73</v>
      </c>
      <c r="T183" s="12"/>
      <c r="U183" s="38"/>
      <c r="V183" s="9">
        <f>ROUND(ROUND(P183, 2)/1.2, 2)</f>
        <v>13.65</v>
      </c>
      <c r="Y183" s="9">
        <f t="shared" si="20"/>
        <v>3271.44</v>
      </c>
      <c r="AD183" s="4" t="s">
        <v>737</v>
      </c>
      <c r="AE183" s="4" t="s">
        <v>738</v>
      </c>
      <c r="AF183" s="4" t="s">
        <v>498</v>
      </c>
    </row>
    <row r="184" spans="1:35" ht="36" x14ac:dyDescent="0.3">
      <c r="A184" s="11" t="s">
        <v>739</v>
      </c>
      <c r="B184" s="11"/>
      <c r="C184" s="33" t="s">
        <v>740</v>
      </c>
      <c r="D184" s="21"/>
      <c r="E184" s="21"/>
      <c r="F184" s="34" t="s">
        <v>240</v>
      </c>
      <c r="G184" s="35">
        <v>1.84</v>
      </c>
      <c r="H184" s="21"/>
      <c r="I184" s="36">
        <v>629.97900000000004</v>
      </c>
      <c r="J184" s="37">
        <v>458.46</v>
      </c>
      <c r="K184" s="12"/>
      <c r="L184" s="12"/>
      <c r="M184" s="37">
        <f>ROUND(ROUND(J184, 2)*I184, 2)</f>
        <v>288820.17</v>
      </c>
      <c r="N184" s="12"/>
      <c r="O184" s="12"/>
      <c r="P184" s="37">
        <v>458.46</v>
      </c>
      <c r="Q184" s="12"/>
      <c r="R184" s="12"/>
      <c r="S184" s="37">
        <f>ROUND(ROUND(P184, 2)*I184, 2)</f>
        <v>288820.17</v>
      </c>
      <c r="T184" s="12"/>
      <c r="U184" s="38"/>
      <c r="V184" s="9">
        <f>ROUND(ROUND(P184, 2)/1.2, 2)</f>
        <v>382.05</v>
      </c>
      <c r="Y184" s="9">
        <f t="shared" si="20"/>
        <v>240683.48</v>
      </c>
      <c r="AD184" s="4" t="s">
        <v>741</v>
      </c>
      <c r="AE184" s="4" t="s">
        <v>742</v>
      </c>
      <c r="AF184" s="4" t="s">
        <v>743</v>
      </c>
    </row>
    <row r="185" spans="1:35" ht="36" x14ac:dyDescent="0.3">
      <c r="A185" s="11" t="s">
        <v>744</v>
      </c>
      <c r="B185" s="11"/>
      <c r="C185" s="33" t="s">
        <v>473</v>
      </c>
      <c r="D185" s="21"/>
      <c r="E185" s="21" t="s">
        <v>707</v>
      </c>
      <c r="F185" s="34" t="s">
        <v>159</v>
      </c>
      <c r="G185" s="35">
        <v>0.04</v>
      </c>
      <c r="H185" s="21"/>
      <c r="I185" s="35">
        <v>13.695</v>
      </c>
      <c r="J185" s="37">
        <v>48.23</v>
      </c>
      <c r="K185" s="12"/>
      <c r="L185" s="12"/>
      <c r="M185" s="37">
        <f>ROUND(ROUND(J185, 2)*I185, 2)</f>
        <v>660.51</v>
      </c>
      <c r="N185" s="12"/>
      <c r="O185" s="12"/>
      <c r="P185" s="37">
        <v>48.23</v>
      </c>
      <c r="Q185" s="12"/>
      <c r="R185" s="12"/>
      <c r="S185" s="37">
        <f>ROUND(ROUND(P185, 2)*I185, 2)</f>
        <v>660.51</v>
      </c>
      <c r="T185" s="12"/>
      <c r="U185" s="38"/>
      <c r="V185" s="9">
        <f>ROUND(ROUND(P185, 2)/1.2, 2)</f>
        <v>40.19</v>
      </c>
      <c r="Y185" s="9">
        <f t="shared" si="20"/>
        <v>550.42999999999995</v>
      </c>
      <c r="AD185" s="4" t="s">
        <v>745</v>
      </c>
      <c r="AE185" s="4" t="s">
        <v>746</v>
      </c>
      <c r="AF185" s="4" t="s">
        <v>476</v>
      </c>
    </row>
    <row r="186" spans="1:35" ht="36" x14ac:dyDescent="0.3">
      <c r="A186" s="11" t="s">
        <v>747</v>
      </c>
      <c r="B186" s="11"/>
      <c r="C186" s="33" t="s">
        <v>480</v>
      </c>
      <c r="D186" s="21"/>
      <c r="E186" s="21"/>
      <c r="F186" s="34" t="s">
        <v>159</v>
      </c>
      <c r="G186" s="35">
        <v>1.4999999999999999E-2</v>
      </c>
      <c r="H186" s="21"/>
      <c r="I186" s="35">
        <v>5.1360000000000001</v>
      </c>
      <c r="J186" s="37">
        <v>90.28</v>
      </c>
      <c r="K186" s="12"/>
      <c r="L186" s="12"/>
      <c r="M186" s="37">
        <f>ROUND(ROUND(J186, 2)*I186, 2)</f>
        <v>463.68</v>
      </c>
      <c r="N186" s="12"/>
      <c r="O186" s="12"/>
      <c r="P186" s="37">
        <v>90.28</v>
      </c>
      <c r="Q186" s="12"/>
      <c r="R186" s="12"/>
      <c r="S186" s="37">
        <f>ROUND(ROUND(P186, 2)*I186, 2)</f>
        <v>463.68</v>
      </c>
      <c r="T186" s="12"/>
      <c r="U186" s="38"/>
      <c r="V186" s="9">
        <f>ROUND(ROUND(P186, 2)/1.2, 2)</f>
        <v>75.23</v>
      </c>
      <c r="Y186" s="9">
        <f t="shared" si="20"/>
        <v>386.4</v>
      </c>
      <c r="AD186" s="4" t="s">
        <v>748</v>
      </c>
      <c r="AE186" s="4" t="s">
        <v>749</v>
      </c>
      <c r="AF186" s="4" t="s">
        <v>483</v>
      </c>
    </row>
    <row r="187" spans="1:35" ht="54" x14ac:dyDescent="0.3">
      <c r="A187" s="11" t="s">
        <v>750</v>
      </c>
      <c r="B187" s="11" t="s">
        <v>751</v>
      </c>
      <c r="C187" s="20" t="s">
        <v>752</v>
      </c>
      <c r="D187" s="21"/>
      <c r="E187" s="21" t="s">
        <v>753</v>
      </c>
      <c r="F187" s="21" t="s">
        <v>75</v>
      </c>
      <c r="G187" s="22">
        <v>1</v>
      </c>
      <c r="H187" s="21"/>
      <c r="I187" s="22">
        <v>80.900000000000006</v>
      </c>
      <c r="J187" s="23">
        <v>626.96</v>
      </c>
      <c r="K187" s="23">
        <v>1655</v>
      </c>
      <c r="L187" s="23">
        <f>J187+ROUND(K187, 2)</f>
        <v>2281.96</v>
      </c>
      <c r="M187" s="23">
        <v>50721.06</v>
      </c>
      <c r="N187" s="23">
        <v>133889.5</v>
      </c>
      <c r="O187" s="23">
        <f>M187+N187</f>
        <v>184610.56</v>
      </c>
      <c r="P187" s="23">
        <v>701.3</v>
      </c>
      <c r="Q187" s="23">
        <v>1439</v>
      </c>
      <c r="R187" s="23">
        <f>P187+ROUND(Q187, 2)</f>
        <v>2140.3000000000002</v>
      </c>
      <c r="S187" s="23">
        <v>56735.17</v>
      </c>
      <c r="T187" s="23">
        <v>116415.1</v>
      </c>
      <c r="U187" s="23">
        <f>S187+T187</f>
        <v>173150.27000000002</v>
      </c>
      <c r="V187" s="9">
        <f>ROUND(P187 / 1.2, 2)</f>
        <v>584.41999999999996</v>
      </c>
      <c r="W187" s="9">
        <f>ROUND(Q187 / 1.2, 2)</f>
        <v>1199.17</v>
      </c>
      <c r="X187" s="9">
        <f>ROUND(R187 / 1.2, 2)</f>
        <v>1783.58</v>
      </c>
      <c r="Y187" s="9">
        <f t="shared" si="20"/>
        <v>47279.31</v>
      </c>
      <c r="Z187" s="9">
        <f>ROUND(T187 / 1.2, 2)</f>
        <v>97012.58</v>
      </c>
      <c r="AA187" s="9">
        <f>Y187+Z187</f>
        <v>144291.89000000001</v>
      </c>
      <c r="AD187" s="4">
        <v>339118834</v>
      </c>
      <c r="AE187" s="4">
        <v>29092268</v>
      </c>
      <c r="AG187" s="4" t="s">
        <v>754</v>
      </c>
      <c r="AH187" s="4" t="s">
        <v>755</v>
      </c>
      <c r="AI187" s="4" t="s">
        <v>156</v>
      </c>
    </row>
    <row r="188" spans="1:35" ht="36" x14ac:dyDescent="0.3">
      <c r="A188" s="11" t="s">
        <v>756</v>
      </c>
      <c r="B188" s="11"/>
      <c r="C188" s="30" t="s">
        <v>458</v>
      </c>
      <c r="D188" s="21"/>
      <c r="E188" s="21" t="s">
        <v>757</v>
      </c>
      <c r="F188" s="34" t="s">
        <v>159</v>
      </c>
      <c r="G188" s="35">
        <v>7</v>
      </c>
      <c r="H188" s="21"/>
      <c r="I188" s="35">
        <v>566.29999999999995</v>
      </c>
      <c r="J188" s="37">
        <v>16.38</v>
      </c>
      <c r="K188" s="12"/>
      <c r="L188" s="12"/>
      <c r="M188" s="37">
        <f>ROUND(ROUND(J188, 2)*I188, 2)</f>
        <v>9275.99</v>
      </c>
      <c r="N188" s="12"/>
      <c r="O188" s="12"/>
      <c r="P188" s="37">
        <v>27</v>
      </c>
      <c r="Q188" s="12"/>
      <c r="R188" s="12"/>
      <c r="S188" s="37">
        <f>ROUND(ROUND(P188, 2)*I188, 2)</f>
        <v>15290.1</v>
      </c>
      <c r="T188" s="12"/>
      <c r="U188" s="38"/>
      <c r="V188" s="9">
        <f>ROUND(ROUND(P188, 2)/1.2, 2)</f>
        <v>22.5</v>
      </c>
      <c r="Y188" s="9">
        <f t="shared" si="20"/>
        <v>12741.75</v>
      </c>
      <c r="AD188" s="4" t="s">
        <v>758</v>
      </c>
      <c r="AE188" s="4" t="s">
        <v>759</v>
      </c>
      <c r="AF188" s="4" t="s">
        <v>462</v>
      </c>
    </row>
    <row r="189" spans="1:35" ht="36" x14ac:dyDescent="0.3">
      <c r="A189" s="11" t="s">
        <v>760</v>
      </c>
      <c r="B189" s="11"/>
      <c r="C189" s="33" t="s">
        <v>480</v>
      </c>
      <c r="D189" s="21"/>
      <c r="E189" s="21"/>
      <c r="F189" s="34" t="s">
        <v>159</v>
      </c>
      <c r="G189" s="35">
        <v>0.15</v>
      </c>
      <c r="H189" s="21"/>
      <c r="I189" s="35">
        <v>12.135</v>
      </c>
      <c r="J189" s="37">
        <v>90.28</v>
      </c>
      <c r="K189" s="12"/>
      <c r="L189" s="12"/>
      <c r="M189" s="37">
        <f>ROUND(ROUND(J189, 2)*I189, 2)</f>
        <v>1095.55</v>
      </c>
      <c r="N189" s="12"/>
      <c r="O189" s="12"/>
      <c r="P189" s="37">
        <v>90.28</v>
      </c>
      <c r="Q189" s="12"/>
      <c r="R189" s="12"/>
      <c r="S189" s="37">
        <f>ROUND(ROUND(P189, 2)*I189, 2)</f>
        <v>1095.55</v>
      </c>
      <c r="T189" s="12"/>
      <c r="U189" s="38"/>
      <c r="V189" s="9">
        <f>ROUND(ROUND(P189, 2)/1.2, 2)</f>
        <v>75.23</v>
      </c>
      <c r="Y189" s="9">
        <f t="shared" si="20"/>
        <v>912.96</v>
      </c>
      <c r="AD189" s="4" t="s">
        <v>761</v>
      </c>
      <c r="AE189" s="4" t="s">
        <v>762</v>
      </c>
      <c r="AF189" s="4" t="s">
        <v>483</v>
      </c>
    </row>
    <row r="190" spans="1:35" ht="36" x14ac:dyDescent="0.3">
      <c r="A190" s="11" t="s">
        <v>763</v>
      </c>
      <c r="B190" s="11"/>
      <c r="C190" s="30" t="s">
        <v>466</v>
      </c>
      <c r="D190" s="21"/>
      <c r="E190" s="21"/>
      <c r="F190" s="34" t="s">
        <v>75</v>
      </c>
      <c r="G190" s="35">
        <v>1.07</v>
      </c>
      <c r="H190" s="21"/>
      <c r="I190" s="36">
        <v>86.563000000000002</v>
      </c>
      <c r="J190" s="37">
        <v>454.86</v>
      </c>
      <c r="K190" s="12"/>
      <c r="L190" s="12"/>
      <c r="M190" s="37">
        <f>ROUND(ROUND(J190, 2)*I190, 2)</f>
        <v>39374.050000000003</v>
      </c>
      <c r="N190" s="12"/>
      <c r="O190" s="12"/>
      <c r="P190" s="37">
        <v>454.86</v>
      </c>
      <c r="Q190" s="12"/>
      <c r="R190" s="12"/>
      <c r="S190" s="37">
        <f>ROUND(ROUND(P190, 2)*I190, 2)</f>
        <v>39374.050000000003</v>
      </c>
      <c r="T190" s="12"/>
      <c r="U190" s="38"/>
      <c r="V190" s="9">
        <f>ROUND(ROUND(P190, 2)/1.2, 2)</f>
        <v>379.05</v>
      </c>
      <c r="Y190" s="9">
        <f t="shared" ref="Y190:Y206" si="21">ROUND(S190 / 1.2, 2)</f>
        <v>32811.71</v>
      </c>
      <c r="AD190" s="4" t="s">
        <v>764</v>
      </c>
      <c r="AE190" s="4" t="s">
        <v>765</v>
      </c>
      <c r="AF190" s="4" t="s">
        <v>469</v>
      </c>
    </row>
    <row r="191" spans="1:35" ht="18" x14ac:dyDescent="0.3">
      <c r="A191" s="11" t="s">
        <v>766</v>
      </c>
      <c r="B191" s="11"/>
      <c r="C191" s="33" t="s">
        <v>473</v>
      </c>
      <c r="D191" s="21"/>
      <c r="E191" s="21"/>
      <c r="F191" s="34" t="s">
        <v>159</v>
      </c>
      <c r="G191" s="35">
        <v>0.25</v>
      </c>
      <c r="H191" s="21"/>
      <c r="I191" s="36">
        <v>20.225000000000001</v>
      </c>
      <c r="J191" s="37">
        <v>48.23</v>
      </c>
      <c r="K191" s="12"/>
      <c r="L191" s="12"/>
      <c r="M191" s="37">
        <f>ROUND(ROUND(J191, 2)*I191, 2)</f>
        <v>975.45</v>
      </c>
      <c r="N191" s="12"/>
      <c r="O191" s="12"/>
      <c r="P191" s="37">
        <v>48.23</v>
      </c>
      <c r="Q191" s="12"/>
      <c r="R191" s="12"/>
      <c r="S191" s="37">
        <f>ROUND(ROUND(P191, 2)*I191, 2)</f>
        <v>975.45</v>
      </c>
      <c r="T191" s="12"/>
      <c r="U191" s="38"/>
      <c r="V191" s="9">
        <f>ROUND(ROUND(P191, 2)/1.2, 2)</f>
        <v>40.19</v>
      </c>
      <c r="Y191" s="9">
        <f t="shared" si="21"/>
        <v>812.88</v>
      </c>
      <c r="AD191" s="4" t="s">
        <v>767</v>
      </c>
      <c r="AE191" s="4" t="s">
        <v>768</v>
      </c>
      <c r="AF191" s="4" t="s">
        <v>476</v>
      </c>
    </row>
    <row r="192" spans="1:35" ht="54" x14ac:dyDescent="0.3">
      <c r="A192" s="11" t="s">
        <v>769</v>
      </c>
      <c r="B192" s="11" t="s">
        <v>770</v>
      </c>
      <c r="C192" s="20" t="s">
        <v>771</v>
      </c>
      <c r="D192" s="21"/>
      <c r="E192" s="21" t="s">
        <v>772</v>
      </c>
      <c r="F192" s="21" t="s">
        <v>75</v>
      </c>
      <c r="G192" s="22">
        <v>1</v>
      </c>
      <c r="H192" s="21"/>
      <c r="I192" s="22">
        <v>116.53</v>
      </c>
      <c r="J192" s="23">
        <v>2329.23</v>
      </c>
      <c r="K192" s="23">
        <v>2785</v>
      </c>
      <c r="L192" s="23">
        <f>J192+ROUND(K192, 2)</f>
        <v>5114.2299999999996</v>
      </c>
      <c r="M192" s="23">
        <v>271425.17</v>
      </c>
      <c r="N192" s="23">
        <v>324536.05</v>
      </c>
      <c r="O192" s="23">
        <f>M192+N192</f>
        <v>595961.22</v>
      </c>
      <c r="P192" s="23">
        <v>2392.9499999999998</v>
      </c>
      <c r="Q192" s="23">
        <v>2422</v>
      </c>
      <c r="R192" s="23">
        <f>P192+ROUND(Q192, 2)</f>
        <v>4814.95</v>
      </c>
      <c r="S192" s="23">
        <v>278850.46000000002</v>
      </c>
      <c r="T192" s="23">
        <v>282235.65999999997</v>
      </c>
      <c r="U192" s="23">
        <f>S192+T192</f>
        <v>561086.12</v>
      </c>
      <c r="V192" s="9">
        <f>ROUND(P192 / 1.2, 2)</f>
        <v>1994.13</v>
      </c>
      <c r="W192" s="9">
        <f>ROUND(Q192 / 1.2, 2)</f>
        <v>2018.33</v>
      </c>
      <c r="X192" s="9">
        <f>ROUND(R192 / 1.2, 2)</f>
        <v>4012.46</v>
      </c>
      <c r="Y192" s="9">
        <f t="shared" si="21"/>
        <v>232375.38</v>
      </c>
      <c r="Z192" s="9">
        <f>ROUND(T192 / 1.2, 2)</f>
        <v>235196.38</v>
      </c>
      <c r="AA192" s="9">
        <f>Y192+Z192</f>
        <v>467571.76</v>
      </c>
      <c r="AD192" s="4">
        <v>339118835</v>
      </c>
      <c r="AE192" s="4">
        <v>28951154</v>
      </c>
      <c r="AG192" s="4" t="s">
        <v>773</v>
      </c>
      <c r="AH192" s="4" t="s">
        <v>774</v>
      </c>
      <c r="AI192" s="4" t="s">
        <v>156</v>
      </c>
    </row>
    <row r="193" spans="1:35" ht="36" x14ac:dyDescent="0.3">
      <c r="A193" s="11" t="s">
        <v>775</v>
      </c>
      <c r="B193" s="11"/>
      <c r="C193" s="30" t="s">
        <v>776</v>
      </c>
      <c r="D193" s="21"/>
      <c r="E193" s="21" t="s">
        <v>620</v>
      </c>
      <c r="F193" s="34" t="s">
        <v>159</v>
      </c>
      <c r="G193" s="35">
        <v>1.2</v>
      </c>
      <c r="H193" s="21"/>
      <c r="I193" s="36">
        <v>699.18</v>
      </c>
      <c r="J193" s="37">
        <v>16.38</v>
      </c>
      <c r="K193" s="12"/>
      <c r="L193" s="12"/>
      <c r="M193" s="37">
        <f>ROUND(ROUND(J193, 2)*I193, 2)</f>
        <v>11452.57</v>
      </c>
      <c r="N193" s="12"/>
      <c r="O193" s="12"/>
      <c r="P193" s="37">
        <v>27</v>
      </c>
      <c r="Q193" s="12"/>
      <c r="R193" s="12"/>
      <c r="S193" s="37">
        <f>ROUND(ROUND(P193, 2)*I193, 2)</f>
        <v>18877.86</v>
      </c>
      <c r="T193" s="12"/>
      <c r="U193" s="38"/>
      <c r="V193" s="9">
        <f>ROUND(ROUND(P193, 2)/1.2, 2)</f>
        <v>22.5</v>
      </c>
      <c r="Y193" s="9">
        <f t="shared" si="21"/>
        <v>15731.55</v>
      </c>
      <c r="AD193" s="4" t="s">
        <v>777</v>
      </c>
      <c r="AE193" s="4" t="s">
        <v>778</v>
      </c>
      <c r="AF193" s="4" t="s">
        <v>779</v>
      </c>
    </row>
    <row r="194" spans="1:35" ht="36" x14ac:dyDescent="0.3">
      <c r="A194" s="11" t="s">
        <v>780</v>
      </c>
      <c r="B194" s="11"/>
      <c r="C194" s="33" t="s">
        <v>480</v>
      </c>
      <c r="D194" s="21"/>
      <c r="E194" s="21"/>
      <c r="F194" s="34" t="s">
        <v>159</v>
      </c>
      <c r="G194" s="35">
        <v>0.15</v>
      </c>
      <c r="H194" s="21"/>
      <c r="I194" s="35">
        <v>17.48</v>
      </c>
      <c r="J194" s="37">
        <v>90.28</v>
      </c>
      <c r="K194" s="12"/>
      <c r="L194" s="12"/>
      <c r="M194" s="37">
        <f>ROUND(ROUND(J194, 2)*I194, 2)</f>
        <v>1578.09</v>
      </c>
      <c r="N194" s="12"/>
      <c r="O194" s="12"/>
      <c r="P194" s="37">
        <v>90.28</v>
      </c>
      <c r="Q194" s="12"/>
      <c r="R194" s="12"/>
      <c r="S194" s="37">
        <f>ROUND(ROUND(P194, 2)*I194, 2)</f>
        <v>1578.09</v>
      </c>
      <c r="T194" s="12"/>
      <c r="U194" s="38"/>
      <c r="V194" s="9">
        <f>ROUND(ROUND(P194, 2)/1.2, 2)</f>
        <v>75.23</v>
      </c>
      <c r="Y194" s="9">
        <f t="shared" si="21"/>
        <v>1315.08</v>
      </c>
      <c r="AD194" s="4" t="s">
        <v>781</v>
      </c>
      <c r="AE194" s="4" t="s">
        <v>782</v>
      </c>
      <c r="AF194" s="4" t="s">
        <v>483</v>
      </c>
    </row>
    <row r="195" spans="1:35" ht="108" x14ac:dyDescent="0.3">
      <c r="A195" s="11" t="s">
        <v>783</v>
      </c>
      <c r="B195" s="11"/>
      <c r="C195" s="33" t="s">
        <v>784</v>
      </c>
      <c r="D195" s="21"/>
      <c r="E195" s="21" t="s">
        <v>785</v>
      </c>
      <c r="F195" s="34" t="s">
        <v>75</v>
      </c>
      <c r="G195" s="35">
        <v>1.2</v>
      </c>
      <c r="H195" s="21"/>
      <c r="I195" s="36">
        <v>139.83600000000001</v>
      </c>
      <c r="J195" s="37">
        <v>1839.31</v>
      </c>
      <c r="K195" s="12"/>
      <c r="L195" s="12"/>
      <c r="M195" s="37">
        <f>ROUND(ROUND(J195, 2)*I195, 2)</f>
        <v>257201.75</v>
      </c>
      <c r="N195" s="12"/>
      <c r="O195" s="12"/>
      <c r="P195" s="37">
        <v>1839.31</v>
      </c>
      <c r="Q195" s="12"/>
      <c r="R195" s="12"/>
      <c r="S195" s="37">
        <f>ROUND(ROUND(P195, 2)*I195, 2)</f>
        <v>257201.75</v>
      </c>
      <c r="T195" s="12"/>
      <c r="U195" s="38"/>
      <c r="V195" s="9">
        <f>ROUND(ROUND(P195, 2)/1.2, 2)</f>
        <v>1532.76</v>
      </c>
      <c r="Y195" s="9">
        <f t="shared" si="21"/>
        <v>214334.79</v>
      </c>
      <c r="AD195" s="4" t="s">
        <v>786</v>
      </c>
      <c r="AE195" s="4" t="s">
        <v>787</v>
      </c>
      <c r="AF195" s="4" t="s">
        <v>788</v>
      </c>
    </row>
    <row r="196" spans="1:35" ht="36" x14ac:dyDescent="0.3">
      <c r="A196" s="11" t="s">
        <v>789</v>
      </c>
      <c r="B196" s="11"/>
      <c r="C196" s="33" t="s">
        <v>510</v>
      </c>
      <c r="D196" s="21"/>
      <c r="E196" s="21"/>
      <c r="F196" s="34" t="s">
        <v>159</v>
      </c>
      <c r="G196" s="35">
        <v>0.25</v>
      </c>
      <c r="H196" s="21"/>
      <c r="I196" s="36">
        <v>29.132999999999999</v>
      </c>
      <c r="J196" s="37">
        <v>40.94</v>
      </c>
      <c r="K196" s="12"/>
      <c r="L196" s="12"/>
      <c r="M196" s="37">
        <f>ROUND(ROUND(J196, 2)*I196, 2)</f>
        <v>1192.71</v>
      </c>
      <c r="N196" s="12"/>
      <c r="O196" s="12"/>
      <c r="P196" s="37">
        <v>40.94</v>
      </c>
      <c r="Q196" s="12"/>
      <c r="R196" s="12"/>
      <c r="S196" s="37">
        <f>ROUND(ROUND(P196, 2)*I196, 2)</f>
        <v>1192.71</v>
      </c>
      <c r="T196" s="12"/>
      <c r="U196" s="38"/>
      <c r="V196" s="9">
        <f>ROUND(ROUND(P196, 2)/1.2, 2)</f>
        <v>34.119999999999997</v>
      </c>
      <c r="Y196" s="9">
        <f t="shared" si="21"/>
        <v>993.93</v>
      </c>
      <c r="AD196" s="4" t="s">
        <v>790</v>
      </c>
      <c r="AE196" s="4" t="s">
        <v>791</v>
      </c>
      <c r="AF196" s="4" t="s">
        <v>513</v>
      </c>
    </row>
    <row r="197" spans="1:35" ht="54" x14ac:dyDescent="0.3">
      <c r="A197" s="11" t="s">
        <v>792</v>
      </c>
      <c r="B197" s="11" t="s">
        <v>770</v>
      </c>
      <c r="C197" s="20" t="s">
        <v>771</v>
      </c>
      <c r="D197" s="21"/>
      <c r="E197" s="21" t="s">
        <v>793</v>
      </c>
      <c r="F197" s="21" t="s">
        <v>75</v>
      </c>
      <c r="G197" s="22">
        <v>1</v>
      </c>
      <c r="H197" s="21"/>
      <c r="I197" s="22">
        <v>315</v>
      </c>
      <c r="J197" s="23">
        <v>2329.23</v>
      </c>
      <c r="K197" s="23">
        <v>2785</v>
      </c>
      <c r="L197" s="23">
        <f>J197+ROUND(K197, 2)</f>
        <v>5114.2299999999996</v>
      </c>
      <c r="M197" s="23">
        <v>733707.45</v>
      </c>
      <c r="N197" s="23">
        <v>877275</v>
      </c>
      <c r="O197" s="23">
        <f>M197+N197</f>
        <v>1610982.45</v>
      </c>
      <c r="P197" s="23">
        <v>2392.9499999999998</v>
      </c>
      <c r="Q197" s="23">
        <v>2422</v>
      </c>
      <c r="R197" s="23">
        <f>P197+ROUND(Q197, 2)</f>
        <v>4814.95</v>
      </c>
      <c r="S197" s="23">
        <v>753779.25</v>
      </c>
      <c r="T197" s="23">
        <v>762930</v>
      </c>
      <c r="U197" s="23">
        <f>S197+T197</f>
        <v>1516709.25</v>
      </c>
      <c r="V197" s="9">
        <f>ROUND(P197 / 1.2, 2)</f>
        <v>1994.13</v>
      </c>
      <c r="W197" s="9">
        <f>ROUND(Q197 / 1.2, 2)</f>
        <v>2018.33</v>
      </c>
      <c r="X197" s="9">
        <f>ROUND(R197 / 1.2, 2)</f>
        <v>4012.46</v>
      </c>
      <c r="Y197" s="9">
        <f t="shared" si="21"/>
        <v>628149.38</v>
      </c>
      <c r="Z197" s="9">
        <f>ROUND(T197 / 1.2, 2)</f>
        <v>635775</v>
      </c>
      <c r="AA197" s="9">
        <f>Y197+Z197</f>
        <v>1263924.3799999999</v>
      </c>
      <c r="AD197" s="4">
        <v>339118916</v>
      </c>
      <c r="AE197" s="4">
        <v>28975339</v>
      </c>
      <c r="AG197" s="4" t="s">
        <v>773</v>
      </c>
      <c r="AH197" s="4" t="s">
        <v>774</v>
      </c>
      <c r="AI197" s="4" t="s">
        <v>156</v>
      </c>
    </row>
    <row r="198" spans="1:35" ht="36" x14ac:dyDescent="0.3">
      <c r="A198" s="11" t="s">
        <v>794</v>
      </c>
      <c r="B198" s="11"/>
      <c r="C198" s="33" t="s">
        <v>510</v>
      </c>
      <c r="D198" s="21"/>
      <c r="E198" s="21"/>
      <c r="F198" s="34" t="s">
        <v>159</v>
      </c>
      <c r="G198" s="35">
        <v>0.25</v>
      </c>
      <c r="H198" s="21"/>
      <c r="I198" s="36">
        <v>78.75</v>
      </c>
      <c r="J198" s="37">
        <v>40.94</v>
      </c>
      <c r="K198" s="12"/>
      <c r="L198" s="12"/>
      <c r="M198" s="37">
        <f>ROUND(ROUND(J198, 2)*I198, 2)</f>
        <v>3224.03</v>
      </c>
      <c r="N198" s="12"/>
      <c r="O198" s="12"/>
      <c r="P198" s="37">
        <v>40.94</v>
      </c>
      <c r="Q198" s="12"/>
      <c r="R198" s="12"/>
      <c r="S198" s="37">
        <f>ROUND(ROUND(P198, 2)*I198, 2)</f>
        <v>3224.03</v>
      </c>
      <c r="T198" s="12"/>
      <c r="U198" s="38"/>
      <c r="V198" s="9">
        <f>ROUND(ROUND(P198, 2)/1.2, 2)</f>
        <v>34.119999999999997</v>
      </c>
      <c r="Y198" s="9">
        <f t="shared" si="21"/>
        <v>2686.69</v>
      </c>
      <c r="AD198" s="4" t="s">
        <v>795</v>
      </c>
      <c r="AE198" s="4" t="s">
        <v>796</v>
      </c>
      <c r="AF198" s="4" t="s">
        <v>513</v>
      </c>
    </row>
    <row r="199" spans="1:35" ht="90" x14ac:dyDescent="0.3">
      <c r="A199" s="11" t="s">
        <v>797</v>
      </c>
      <c r="B199" s="11"/>
      <c r="C199" s="33" t="s">
        <v>784</v>
      </c>
      <c r="D199" s="21"/>
      <c r="E199" s="21" t="s">
        <v>798</v>
      </c>
      <c r="F199" s="34" t="s">
        <v>75</v>
      </c>
      <c r="G199" s="35">
        <v>1.2</v>
      </c>
      <c r="H199" s="21"/>
      <c r="I199" s="36">
        <v>378</v>
      </c>
      <c r="J199" s="37">
        <v>1839.31</v>
      </c>
      <c r="K199" s="12"/>
      <c r="L199" s="12"/>
      <c r="M199" s="37">
        <f>ROUND(ROUND(J199, 2)*I199, 2)</f>
        <v>695259.18</v>
      </c>
      <c r="N199" s="12"/>
      <c r="O199" s="12"/>
      <c r="P199" s="37">
        <v>1839.31</v>
      </c>
      <c r="Q199" s="12"/>
      <c r="R199" s="12"/>
      <c r="S199" s="37">
        <f>ROUND(ROUND(P199, 2)*I199, 2)</f>
        <v>695259.18</v>
      </c>
      <c r="T199" s="12"/>
      <c r="U199" s="38"/>
      <c r="V199" s="9">
        <f>ROUND(ROUND(P199, 2)/1.2, 2)</f>
        <v>1532.76</v>
      </c>
      <c r="Y199" s="9">
        <f t="shared" si="21"/>
        <v>579382.65</v>
      </c>
      <c r="AD199" s="4" t="s">
        <v>799</v>
      </c>
      <c r="AE199" s="4" t="s">
        <v>800</v>
      </c>
      <c r="AF199" s="4" t="s">
        <v>788</v>
      </c>
    </row>
    <row r="200" spans="1:35" ht="36" x14ac:dyDescent="0.3">
      <c r="A200" s="11" t="s">
        <v>801</v>
      </c>
      <c r="B200" s="11"/>
      <c r="C200" s="33" t="s">
        <v>480</v>
      </c>
      <c r="D200" s="21"/>
      <c r="E200" s="21"/>
      <c r="F200" s="34" t="s">
        <v>159</v>
      </c>
      <c r="G200" s="35">
        <v>0.15</v>
      </c>
      <c r="H200" s="21"/>
      <c r="I200" s="35">
        <v>47.25</v>
      </c>
      <c r="J200" s="37">
        <v>90.28</v>
      </c>
      <c r="K200" s="12"/>
      <c r="L200" s="12"/>
      <c r="M200" s="37">
        <f>ROUND(ROUND(J200, 2)*I200, 2)</f>
        <v>4265.7299999999996</v>
      </c>
      <c r="N200" s="12"/>
      <c r="O200" s="12"/>
      <c r="P200" s="37">
        <v>90.28</v>
      </c>
      <c r="Q200" s="12"/>
      <c r="R200" s="12"/>
      <c r="S200" s="37">
        <f>ROUND(ROUND(P200, 2)*I200, 2)</f>
        <v>4265.7299999999996</v>
      </c>
      <c r="T200" s="12"/>
      <c r="U200" s="38"/>
      <c r="V200" s="9">
        <f>ROUND(ROUND(P200, 2)/1.2, 2)</f>
        <v>75.23</v>
      </c>
      <c r="Y200" s="9">
        <f t="shared" si="21"/>
        <v>3554.78</v>
      </c>
      <c r="AD200" s="4" t="s">
        <v>802</v>
      </c>
      <c r="AE200" s="4" t="s">
        <v>803</v>
      </c>
      <c r="AF200" s="4" t="s">
        <v>483</v>
      </c>
    </row>
    <row r="201" spans="1:35" ht="36" x14ac:dyDescent="0.3">
      <c r="A201" s="11" t="s">
        <v>804</v>
      </c>
      <c r="B201" s="11"/>
      <c r="C201" s="30" t="s">
        <v>776</v>
      </c>
      <c r="D201" s="21"/>
      <c r="E201" s="21" t="s">
        <v>620</v>
      </c>
      <c r="F201" s="34" t="s">
        <v>159</v>
      </c>
      <c r="G201" s="35">
        <v>1.2</v>
      </c>
      <c r="H201" s="21"/>
      <c r="I201" s="36">
        <v>1890</v>
      </c>
      <c r="J201" s="37">
        <v>16.38</v>
      </c>
      <c r="K201" s="12"/>
      <c r="L201" s="12"/>
      <c r="M201" s="37">
        <f>ROUND(ROUND(J201, 2)*I201, 2)</f>
        <v>30958.2</v>
      </c>
      <c r="N201" s="12"/>
      <c r="O201" s="12"/>
      <c r="P201" s="37">
        <v>27</v>
      </c>
      <c r="Q201" s="12"/>
      <c r="R201" s="12"/>
      <c r="S201" s="37">
        <f>ROUND(ROUND(P201, 2)*I201, 2)</f>
        <v>51030</v>
      </c>
      <c r="T201" s="12"/>
      <c r="U201" s="38"/>
      <c r="V201" s="9">
        <f>ROUND(ROUND(P201, 2)/1.2, 2)</f>
        <v>22.5</v>
      </c>
      <c r="Y201" s="9">
        <f t="shared" si="21"/>
        <v>42525</v>
      </c>
      <c r="AD201" s="4" t="s">
        <v>805</v>
      </c>
      <c r="AE201" s="4" t="s">
        <v>806</v>
      </c>
      <c r="AF201" s="4" t="s">
        <v>779</v>
      </c>
    </row>
    <row r="202" spans="1:35" ht="90" x14ac:dyDescent="0.3">
      <c r="A202" s="11" t="s">
        <v>807</v>
      </c>
      <c r="B202" s="11" t="s">
        <v>770</v>
      </c>
      <c r="C202" s="20" t="s">
        <v>771</v>
      </c>
      <c r="D202" s="21"/>
      <c r="E202" s="21" t="s">
        <v>808</v>
      </c>
      <c r="F202" s="21" t="s">
        <v>75</v>
      </c>
      <c r="G202" s="22">
        <v>1</v>
      </c>
      <c r="H202" s="21"/>
      <c r="I202" s="22">
        <v>1690.2</v>
      </c>
      <c r="J202" s="23">
        <v>2329.23</v>
      </c>
      <c r="K202" s="23">
        <v>2785</v>
      </c>
      <c r="L202" s="23">
        <f>J202+ROUND(K202, 2)</f>
        <v>5114.2299999999996</v>
      </c>
      <c r="M202" s="23">
        <v>3936864.55</v>
      </c>
      <c r="N202" s="23">
        <v>4707207</v>
      </c>
      <c r="O202" s="23">
        <f>M202+N202</f>
        <v>8644071.5500000007</v>
      </c>
      <c r="P202" s="23">
        <v>2392.9499999999998</v>
      </c>
      <c r="Q202" s="23">
        <v>2422</v>
      </c>
      <c r="R202" s="23">
        <f>P202+ROUND(Q202, 2)</f>
        <v>4814.95</v>
      </c>
      <c r="S202" s="23">
        <v>4044564.09</v>
      </c>
      <c r="T202" s="23">
        <v>4093664.4</v>
      </c>
      <c r="U202" s="23">
        <f>S202+T202</f>
        <v>8138228.4900000002</v>
      </c>
      <c r="V202" s="9">
        <f>ROUND(P202 / 1.2, 2)</f>
        <v>1994.13</v>
      </c>
      <c r="W202" s="9">
        <f>ROUND(Q202 / 1.2, 2)</f>
        <v>2018.33</v>
      </c>
      <c r="X202" s="9">
        <f>ROUND(R202 / 1.2, 2)</f>
        <v>4012.46</v>
      </c>
      <c r="Y202" s="9">
        <f t="shared" si="21"/>
        <v>3370470.08</v>
      </c>
      <c r="Z202" s="9">
        <f>ROUND(T202 / 1.2, 2)</f>
        <v>3411387</v>
      </c>
      <c r="AA202" s="9">
        <f>Y202+Z202</f>
        <v>6781857.0800000001</v>
      </c>
      <c r="AD202" s="4">
        <v>339118917</v>
      </c>
      <c r="AE202" s="4">
        <v>29092267</v>
      </c>
      <c r="AG202" s="4" t="s">
        <v>773</v>
      </c>
      <c r="AH202" s="4" t="s">
        <v>774</v>
      </c>
      <c r="AI202" s="4" t="s">
        <v>156</v>
      </c>
    </row>
    <row r="203" spans="1:35" ht="36" x14ac:dyDescent="0.3">
      <c r="A203" s="11" t="s">
        <v>809</v>
      </c>
      <c r="B203" s="11"/>
      <c r="C203" s="30" t="s">
        <v>776</v>
      </c>
      <c r="D203" s="21"/>
      <c r="E203" s="21" t="s">
        <v>757</v>
      </c>
      <c r="F203" s="34" t="s">
        <v>159</v>
      </c>
      <c r="G203" s="35">
        <v>1.2</v>
      </c>
      <c r="H203" s="21"/>
      <c r="I203" s="36">
        <v>10141.200000000001</v>
      </c>
      <c r="J203" s="37">
        <v>16.38</v>
      </c>
      <c r="K203" s="12"/>
      <c r="L203" s="12"/>
      <c r="M203" s="37">
        <f>ROUND(ROUND(J203, 2)*I203, 2)</f>
        <v>166112.85999999999</v>
      </c>
      <c r="N203" s="12"/>
      <c r="O203" s="12"/>
      <c r="P203" s="37">
        <v>27</v>
      </c>
      <c r="Q203" s="12"/>
      <c r="R203" s="12"/>
      <c r="S203" s="37">
        <f>ROUND(ROUND(P203, 2)*I203, 2)</f>
        <v>273812.40000000002</v>
      </c>
      <c r="T203" s="12"/>
      <c r="U203" s="38"/>
      <c r="V203" s="9">
        <f>ROUND(ROUND(P203, 2)/1.2, 2)</f>
        <v>22.5</v>
      </c>
      <c r="Y203" s="9">
        <f t="shared" si="21"/>
        <v>228177</v>
      </c>
      <c r="AD203" s="4" t="s">
        <v>810</v>
      </c>
      <c r="AE203" s="4" t="s">
        <v>811</v>
      </c>
      <c r="AF203" s="4" t="s">
        <v>779</v>
      </c>
    </row>
    <row r="204" spans="1:35" ht="36" x14ac:dyDescent="0.3">
      <c r="A204" s="11" t="s">
        <v>812</v>
      </c>
      <c r="B204" s="11"/>
      <c r="C204" s="33" t="s">
        <v>480</v>
      </c>
      <c r="D204" s="21"/>
      <c r="E204" s="21"/>
      <c r="F204" s="34" t="s">
        <v>159</v>
      </c>
      <c r="G204" s="35">
        <v>0.15</v>
      </c>
      <c r="H204" s="21"/>
      <c r="I204" s="35">
        <v>253.53</v>
      </c>
      <c r="J204" s="37">
        <v>90.28</v>
      </c>
      <c r="K204" s="12"/>
      <c r="L204" s="12"/>
      <c r="M204" s="37">
        <f>ROUND(ROUND(J204, 2)*I204, 2)</f>
        <v>22888.69</v>
      </c>
      <c r="N204" s="12"/>
      <c r="O204" s="12"/>
      <c r="P204" s="37">
        <v>90.28</v>
      </c>
      <c r="Q204" s="12"/>
      <c r="R204" s="12"/>
      <c r="S204" s="37">
        <f>ROUND(ROUND(P204, 2)*I204, 2)</f>
        <v>22888.69</v>
      </c>
      <c r="T204" s="12"/>
      <c r="U204" s="38"/>
      <c r="V204" s="9">
        <f>ROUND(ROUND(P204, 2)/1.2, 2)</f>
        <v>75.23</v>
      </c>
      <c r="Y204" s="9">
        <f t="shared" si="21"/>
        <v>19073.91</v>
      </c>
      <c r="AD204" s="4" t="s">
        <v>813</v>
      </c>
      <c r="AE204" s="4" t="s">
        <v>814</v>
      </c>
      <c r="AF204" s="4" t="s">
        <v>483</v>
      </c>
    </row>
    <row r="205" spans="1:35" ht="108" x14ac:dyDescent="0.3">
      <c r="A205" s="11" t="s">
        <v>815</v>
      </c>
      <c r="B205" s="11"/>
      <c r="C205" s="33" t="s">
        <v>784</v>
      </c>
      <c r="D205" s="21"/>
      <c r="E205" s="21" t="s">
        <v>816</v>
      </c>
      <c r="F205" s="34" t="s">
        <v>75</v>
      </c>
      <c r="G205" s="35">
        <v>1.2</v>
      </c>
      <c r="H205" s="21"/>
      <c r="I205" s="36">
        <v>2028.24</v>
      </c>
      <c r="J205" s="37">
        <v>1839.31</v>
      </c>
      <c r="K205" s="12"/>
      <c r="L205" s="12"/>
      <c r="M205" s="37">
        <f>ROUND(ROUND(J205, 2)*I205, 2)</f>
        <v>3730562.11</v>
      </c>
      <c r="N205" s="12"/>
      <c r="O205" s="12"/>
      <c r="P205" s="37">
        <v>1839.31</v>
      </c>
      <c r="Q205" s="12"/>
      <c r="R205" s="12"/>
      <c r="S205" s="37">
        <f>ROUND(ROUND(P205, 2)*I205, 2)</f>
        <v>3730562.11</v>
      </c>
      <c r="T205" s="12"/>
      <c r="U205" s="38"/>
      <c r="V205" s="9">
        <f>ROUND(ROUND(P205, 2)/1.2, 2)</f>
        <v>1532.76</v>
      </c>
      <c r="Y205" s="9">
        <f t="shared" si="21"/>
        <v>3108801.76</v>
      </c>
      <c r="AD205" s="4" t="s">
        <v>817</v>
      </c>
      <c r="AE205" s="4" t="s">
        <v>818</v>
      </c>
      <c r="AF205" s="4" t="s">
        <v>788</v>
      </c>
    </row>
    <row r="206" spans="1:35" ht="36" x14ac:dyDescent="0.3">
      <c r="A206" s="11" t="s">
        <v>819</v>
      </c>
      <c r="B206" s="11"/>
      <c r="C206" s="33" t="s">
        <v>510</v>
      </c>
      <c r="D206" s="21"/>
      <c r="E206" s="21"/>
      <c r="F206" s="34" t="s">
        <v>159</v>
      </c>
      <c r="G206" s="35">
        <v>0.25</v>
      </c>
      <c r="H206" s="21"/>
      <c r="I206" s="36">
        <v>422.55</v>
      </c>
      <c r="J206" s="37">
        <v>40.94</v>
      </c>
      <c r="K206" s="12"/>
      <c r="L206" s="12"/>
      <c r="M206" s="37">
        <f>ROUND(ROUND(J206, 2)*I206, 2)</f>
        <v>17299.2</v>
      </c>
      <c r="N206" s="12"/>
      <c r="O206" s="12"/>
      <c r="P206" s="37">
        <v>40.94</v>
      </c>
      <c r="Q206" s="12"/>
      <c r="R206" s="12"/>
      <c r="S206" s="37">
        <f>ROUND(ROUND(P206, 2)*I206, 2)</f>
        <v>17299.2</v>
      </c>
      <c r="T206" s="12"/>
      <c r="U206" s="38"/>
      <c r="V206" s="9">
        <f>ROUND(ROUND(P206, 2)/1.2, 2)</f>
        <v>34.119999999999997</v>
      </c>
      <c r="Y206" s="9">
        <f t="shared" si="21"/>
        <v>14416</v>
      </c>
      <c r="AD206" s="4" t="s">
        <v>820</v>
      </c>
      <c r="AE206" s="4" t="s">
        <v>821</v>
      </c>
      <c r="AF206" s="4" t="s">
        <v>513</v>
      </c>
    </row>
    <row r="207" spans="1:35" ht="16.95" customHeight="1" x14ac:dyDescent="0.3">
      <c r="A207" s="10" t="s">
        <v>822</v>
      </c>
      <c r="B207" s="10" t="s">
        <v>823</v>
      </c>
      <c r="C207" s="120" t="s">
        <v>824</v>
      </c>
      <c r="D207" s="121"/>
      <c r="E207" s="121"/>
      <c r="F207" s="121"/>
      <c r="G207" s="121"/>
      <c r="H207" s="121"/>
      <c r="I207" s="122"/>
      <c r="M207" s="6">
        <f>SUM(M208)</f>
        <v>442890</v>
      </c>
      <c r="N207" s="6">
        <f>SUM(N208)</f>
        <v>38974.32</v>
      </c>
      <c r="O207" s="6">
        <f>SUM(O208)</f>
        <v>481864.32</v>
      </c>
      <c r="S207" s="6">
        <f>SUM(S208)</f>
        <v>670004.92000000004</v>
      </c>
      <c r="T207" s="6">
        <f>SUM(T208)</f>
        <v>38974.32</v>
      </c>
      <c r="U207" s="6">
        <f>SUM(U208)</f>
        <v>708979.24</v>
      </c>
      <c r="Y207" s="9">
        <f>SUM(Y208)</f>
        <v>558337.43000000005</v>
      </c>
      <c r="Z207" s="9">
        <f>SUM(Z208)</f>
        <v>32478.6</v>
      </c>
      <c r="AA207" s="9">
        <f>SUM(AA208)</f>
        <v>590816.03</v>
      </c>
      <c r="AD207" s="4">
        <v>339118836</v>
      </c>
      <c r="AE207" s="4">
        <v>25887980</v>
      </c>
    </row>
    <row r="208" spans="1:35" ht="18" x14ac:dyDescent="0.3">
      <c r="A208" s="10" t="s">
        <v>825</v>
      </c>
      <c r="B208" s="10" t="s">
        <v>826</v>
      </c>
      <c r="C208" s="14" t="s">
        <v>827</v>
      </c>
      <c r="D208" s="15"/>
      <c r="E208" s="15" t="s">
        <v>828</v>
      </c>
      <c r="F208" s="15" t="s">
        <v>75</v>
      </c>
      <c r="G208" s="16">
        <v>1</v>
      </c>
      <c r="H208" s="15"/>
      <c r="I208" s="16">
        <v>46.62</v>
      </c>
      <c r="J208" s="17">
        <v>9500</v>
      </c>
      <c r="K208" s="18">
        <v>836</v>
      </c>
      <c r="L208" s="17">
        <f>J208+ROUND(K208, 2)</f>
        <v>10336</v>
      </c>
      <c r="M208" s="17">
        <v>442890</v>
      </c>
      <c r="N208" s="17">
        <v>38974.32</v>
      </c>
      <c r="O208" s="17">
        <f>M208+N208</f>
        <v>481864.32</v>
      </c>
      <c r="P208" s="17">
        <v>14371.62</v>
      </c>
      <c r="Q208" s="19">
        <v>836</v>
      </c>
      <c r="R208" s="17">
        <f>P208+ROUND(Q208, 2)</f>
        <v>15207.62</v>
      </c>
      <c r="S208" s="17">
        <v>670004.92000000004</v>
      </c>
      <c r="T208" s="17">
        <v>38974.32</v>
      </c>
      <c r="U208" s="17">
        <f>S208+T208</f>
        <v>708979.24</v>
      </c>
      <c r="V208" s="9">
        <f>ROUND(P208 / 1.2, 2)</f>
        <v>11976.35</v>
      </c>
      <c r="W208" s="9">
        <f>ROUND(Q208 / 1.2, 2)</f>
        <v>696.67</v>
      </c>
      <c r="X208" s="9">
        <f>ROUND(R208 / 1.2, 2)</f>
        <v>12673.02</v>
      </c>
      <c r="Y208" s="9">
        <f>ROUND(S208 / 1.2, 2)</f>
        <v>558337.43000000005</v>
      </c>
      <c r="Z208" s="9">
        <f>ROUND(T208 / 1.2, 2)</f>
        <v>32478.6</v>
      </c>
      <c r="AA208" s="9">
        <f>Y208+Z208</f>
        <v>590816.03</v>
      </c>
      <c r="AD208" s="4">
        <v>339118838</v>
      </c>
      <c r="AE208" s="4">
        <v>25887991</v>
      </c>
      <c r="AG208" s="4" t="s">
        <v>829</v>
      </c>
      <c r="AH208" s="4" t="s">
        <v>830</v>
      </c>
      <c r="AI208" s="4" t="s">
        <v>156</v>
      </c>
    </row>
    <row r="209" spans="1:35" ht="90" x14ac:dyDescent="0.3">
      <c r="A209" s="10" t="s">
        <v>831</v>
      </c>
      <c r="B209" s="10"/>
      <c r="C209" s="24" t="s">
        <v>832</v>
      </c>
      <c r="D209" s="15"/>
      <c r="E209" s="15" t="s">
        <v>833</v>
      </c>
      <c r="F209" s="25" t="s">
        <v>75</v>
      </c>
      <c r="G209" s="26">
        <v>1</v>
      </c>
      <c r="H209" s="15"/>
      <c r="I209" s="26">
        <v>46.62</v>
      </c>
      <c r="J209" s="27">
        <v>9500</v>
      </c>
      <c r="M209" s="28">
        <f>ROUND(ROUND(J209, 2)*I209, 2)</f>
        <v>442890</v>
      </c>
      <c r="P209" s="29">
        <v>14371.62</v>
      </c>
      <c r="S209" s="28">
        <f>ROUND(ROUND(P209, 2)*I209, 2)</f>
        <v>670004.92000000004</v>
      </c>
      <c r="V209" s="9">
        <f>ROUND(ROUND(P209, 2)/1.2, 2)</f>
        <v>11976.35</v>
      </c>
      <c r="Y209" s="9">
        <f>ROUND(S209 / 1.2, 2)</f>
        <v>558337.43000000005</v>
      </c>
      <c r="AD209" s="4" t="s">
        <v>834</v>
      </c>
      <c r="AE209" s="4" t="s">
        <v>835</v>
      </c>
      <c r="AF209" s="4" t="s">
        <v>836</v>
      </c>
    </row>
    <row r="210" spans="1:35" ht="16.95" customHeight="1" x14ac:dyDescent="0.3">
      <c r="A210" s="10" t="s">
        <v>837</v>
      </c>
      <c r="B210" s="10" t="s">
        <v>838</v>
      </c>
      <c r="C210" s="120" t="s">
        <v>839</v>
      </c>
      <c r="D210" s="121"/>
      <c r="E210" s="121"/>
      <c r="F210" s="121"/>
      <c r="G210" s="121"/>
      <c r="H210" s="121"/>
      <c r="I210" s="122"/>
      <c r="M210" s="6">
        <f>SUM(M211,M281,M329)</f>
        <v>6809346.2700000005</v>
      </c>
      <c r="N210" s="6">
        <f>SUM(N211,N281,N329)</f>
        <v>23717461.759999998</v>
      </c>
      <c r="O210" s="6">
        <f>SUM(O211,O281,O329)</f>
        <v>30526808.029999997</v>
      </c>
      <c r="S210" s="6">
        <f>SUM(S211,S281,S329)</f>
        <v>6163796.9400000004</v>
      </c>
      <c r="T210" s="6">
        <f>SUM(T211,T281,T329)</f>
        <v>23717461.759999998</v>
      </c>
      <c r="U210" s="6">
        <f>SUM(U211,U281,U329)</f>
        <v>29881258.699999999</v>
      </c>
      <c r="Y210" s="9">
        <f>SUM(Y211,Y281,Y329)</f>
        <v>5136497.49</v>
      </c>
      <c r="Z210" s="9">
        <f>SUM(Z211,Z281,Z329)</f>
        <v>19764551.48</v>
      </c>
      <c r="AA210" s="9">
        <f>SUM(AA211,AA281,AA329)</f>
        <v>24901048.969999999</v>
      </c>
      <c r="AD210" s="4">
        <v>339118839</v>
      </c>
      <c r="AE210" s="4">
        <v>25887934</v>
      </c>
    </row>
    <row r="211" spans="1:35" ht="16.95" customHeight="1" x14ac:dyDescent="0.3">
      <c r="A211" s="10" t="s">
        <v>840</v>
      </c>
      <c r="B211" s="10" t="s">
        <v>841</v>
      </c>
      <c r="C211" s="120" t="s">
        <v>842</v>
      </c>
      <c r="D211" s="121"/>
      <c r="E211" s="121"/>
      <c r="F211" s="121"/>
      <c r="G211" s="121"/>
      <c r="H211" s="121"/>
      <c r="I211" s="122"/>
      <c r="M211" s="6">
        <f>SUM(M212,M215,M219,M224,M228,M233,M236,M241,M244,M247,M250,M253,M258,M263,M268,M273,M277)</f>
        <v>2220059.3199999998</v>
      </c>
      <c r="N211" s="6">
        <f>SUM(N212,N215,N219,N224,N228,N233,N236,N241,N244,N247,N250,N253,N258,N263,N268,N273,N277)</f>
        <v>16088879.950000001</v>
      </c>
      <c r="O211" s="6">
        <f>SUM(O212,O215,O219,O224,O228,O233,O236,O241,O244,O247,O250,O253,O258,O263,O268,O273,O277)</f>
        <v>18308939.27</v>
      </c>
      <c r="S211" s="6">
        <f>SUM(S212,S215,S219,S224,S228,S233,S236,S241,S244,S247,S250,S253,S258,S263,S268,S273,S277)</f>
        <v>2679261.11</v>
      </c>
      <c r="T211" s="6">
        <f>SUM(T212,T215,T219,T224,T228,T233,T236,T241,T244,T247,T250,T253,T258,T263,T268,T273,T277)</f>
        <v>16088879.950000001</v>
      </c>
      <c r="U211" s="6">
        <f>SUM(U212,U215,U219,U224,U228,U233,U236,U241,U244,U247,U250,U253,U258,U263,U268,U273,U277)</f>
        <v>18768141.059999999</v>
      </c>
      <c r="Y211" s="9">
        <f>SUM(Y212,Y215,Y219,Y224,Y228,Y233,Y236,Y241,Y244,Y247,Y250,Y253,Y258,Y263,Y268,Y273,Y277)</f>
        <v>2232717.6100000003</v>
      </c>
      <c r="Z211" s="9">
        <f>SUM(Z212,Z215,Z219,Z224,Z228,Z233,Z236,Z241,Z244,Z247,Z250,Z253,Z258,Z263,Z268,Z273,Z277)</f>
        <v>13407399.970000001</v>
      </c>
      <c r="AA211" s="9">
        <f>SUM(AA212,AA215,AA219,AA224,AA228,AA233,AA236,AA241,AA244,AA247,AA250,AA253,AA258,AA263,AA268,AA273,AA277)</f>
        <v>15640117.579999998</v>
      </c>
      <c r="AD211" s="4">
        <v>339118840</v>
      </c>
      <c r="AE211" s="4">
        <v>25887951</v>
      </c>
    </row>
    <row r="212" spans="1:35" ht="54" x14ac:dyDescent="0.3">
      <c r="A212" s="10" t="s">
        <v>843</v>
      </c>
      <c r="B212" s="10" t="s">
        <v>844</v>
      </c>
      <c r="C212" s="14" t="s">
        <v>845</v>
      </c>
      <c r="D212" s="15"/>
      <c r="E212" s="15"/>
      <c r="F212" s="15" t="s">
        <v>120</v>
      </c>
      <c r="G212" s="16">
        <v>1</v>
      </c>
      <c r="H212" s="15"/>
      <c r="I212" s="16">
        <v>664.23</v>
      </c>
      <c r="J212" s="17">
        <v>11.47</v>
      </c>
      <c r="K212" s="18">
        <v>28</v>
      </c>
      <c r="L212" s="17">
        <f>J212+ROUND(K212, 2)</f>
        <v>39.47</v>
      </c>
      <c r="M212" s="17">
        <v>7618.72</v>
      </c>
      <c r="N212" s="17">
        <v>18598.439999999999</v>
      </c>
      <c r="O212" s="17">
        <f>M212+N212</f>
        <v>26217.16</v>
      </c>
      <c r="P212" s="17">
        <v>11.47</v>
      </c>
      <c r="Q212" s="19">
        <v>28</v>
      </c>
      <c r="R212" s="17">
        <f>P212+ROUND(Q212, 2)</f>
        <v>39.47</v>
      </c>
      <c r="S212" s="17">
        <v>7618.72</v>
      </c>
      <c r="T212" s="17">
        <v>18598.439999999999</v>
      </c>
      <c r="U212" s="17">
        <f>S212+T212</f>
        <v>26217.16</v>
      </c>
      <c r="V212" s="9">
        <f>ROUND(P212 / 1.2, 2)</f>
        <v>9.56</v>
      </c>
      <c r="W212" s="9">
        <f>ROUND(Q212 / 1.2, 2)</f>
        <v>23.33</v>
      </c>
      <c r="X212" s="9">
        <f>ROUND(R212 / 1.2, 2)</f>
        <v>32.89</v>
      </c>
      <c r="Y212" s="9">
        <f>ROUND(S212 / 1.2, 2)</f>
        <v>6348.93</v>
      </c>
      <c r="Z212" s="9">
        <f>ROUND(T212 / 1.2, 2)</f>
        <v>15498.7</v>
      </c>
      <c r="AA212" s="9">
        <f>Y212+Z212</f>
        <v>21847.63</v>
      </c>
      <c r="AD212" s="4">
        <v>339118842</v>
      </c>
      <c r="AE212" s="4">
        <v>25887946</v>
      </c>
      <c r="AG212" s="4" t="s">
        <v>846</v>
      </c>
      <c r="AH212" s="4" t="s">
        <v>847</v>
      </c>
      <c r="AI212" s="4" t="s">
        <v>156</v>
      </c>
    </row>
    <row r="213" spans="1:35" ht="36" x14ac:dyDescent="0.3">
      <c r="A213" s="10" t="s">
        <v>848</v>
      </c>
      <c r="B213" s="10"/>
      <c r="C213" s="30" t="s">
        <v>849</v>
      </c>
      <c r="D213" s="15"/>
      <c r="E213" s="15"/>
      <c r="F213" s="25" t="s">
        <v>159</v>
      </c>
      <c r="G213" s="26">
        <v>0.3</v>
      </c>
      <c r="H213" s="15"/>
      <c r="I213" s="32">
        <v>199.26900000000001</v>
      </c>
      <c r="J213" s="27">
        <v>12.58</v>
      </c>
      <c r="M213" s="28">
        <f>ROUND(ROUND(J213, 2)*I213, 2)</f>
        <v>2506.8000000000002</v>
      </c>
      <c r="P213" s="29">
        <v>12.58</v>
      </c>
      <c r="S213" s="28">
        <f>ROUND(ROUND(P213, 2)*I213, 2)</f>
        <v>2506.8000000000002</v>
      </c>
      <c r="V213" s="9">
        <f>ROUND(ROUND(P213, 2)/1.2, 2)</f>
        <v>10.48</v>
      </c>
      <c r="Y213" s="9">
        <f t="shared" ref="Y213:Y244" si="22">ROUND(S213 / 1.2, 2)</f>
        <v>2089</v>
      </c>
      <c r="AD213" s="4" t="s">
        <v>850</v>
      </c>
      <c r="AE213" s="4" t="s">
        <v>851</v>
      </c>
      <c r="AF213" s="4" t="s">
        <v>852</v>
      </c>
    </row>
    <row r="214" spans="1:35" ht="18" x14ac:dyDescent="0.3">
      <c r="A214" s="10" t="s">
        <v>853</v>
      </c>
      <c r="B214" s="10"/>
      <c r="C214" s="24" t="s">
        <v>854</v>
      </c>
      <c r="D214" s="15"/>
      <c r="E214" s="15"/>
      <c r="F214" s="25" t="s">
        <v>120</v>
      </c>
      <c r="G214" s="26">
        <v>1.1000000000000001</v>
      </c>
      <c r="H214" s="15"/>
      <c r="I214" s="32">
        <v>730.65300000000002</v>
      </c>
      <c r="J214" s="27">
        <v>7</v>
      </c>
      <c r="M214" s="28">
        <f>ROUND(ROUND(J214, 2)*I214, 2)</f>
        <v>5114.57</v>
      </c>
      <c r="P214" s="29">
        <v>7</v>
      </c>
      <c r="S214" s="28">
        <f>ROUND(ROUND(P214, 2)*I214, 2)</f>
        <v>5114.57</v>
      </c>
      <c r="V214" s="9">
        <f>ROUND(ROUND(P214, 2)/1.2, 2)</f>
        <v>5.83</v>
      </c>
      <c r="Y214" s="9">
        <f t="shared" si="22"/>
        <v>4262.1400000000003</v>
      </c>
      <c r="AD214" s="4" t="s">
        <v>855</v>
      </c>
      <c r="AE214" s="4" t="s">
        <v>856</v>
      </c>
      <c r="AF214" s="4" t="s">
        <v>857</v>
      </c>
    </row>
    <row r="215" spans="1:35" ht="36" x14ac:dyDescent="0.3">
      <c r="A215" s="10" t="s">
        <v>858</v>
      </c>
      <c r="B215" s="10" t="s">
        <v>859</v>
      </c>
      <c r="C215" s="14" t="s">
        <v>860</v>
      </c>
      <c r="D215" s="15"/>
      <c r="E215" s="15"/>
      <c r="F215" s="15" t="s">
        <v>75</v>
      </c>
      <c r="G215" s="16">
        <v>1</v>
      </c>
      <c r="H215" s="15"/>
      <c r="I215" s="16">
        <v>36.229999999999997</v>
      </c>
      <c r="J215" s="17">
        <v>534.04999999999995</v>
      </c>
      <c r="K215" s="18">
        <v>718</v>
      </c>
      <c r="L215" s="17">
        <f>J215+ROUND(K215, 2)</f>
        <v>1252.05</v>
      </c>
      <c r="M215" s="17">
        <v>19348.63</v>
      </c>
      <c r="N215" s="17">
        <v>26013.14</v>
      </c>
      <c r="O215" s="17">
        <f>M215+N215</f>
        <v>45361.770000000004</v>
      </c>
      <c r="P215" s="17">
        <v>563.33000000000004</v>
      </c>
      <c r="Q215" s="19">
        <v>718</v>
      </c>
      <c r="R215" s="17">
        <f>P215+ROUND(Q215, 2)</f>
        <v>1281.33</v>
      </c>
      <c r="S215" s="17">
        <v>20409.45</v>
      </c>
      <c r="T215" s="17">
        <v>26013.14</v>
      </c>
      <c r="U215" s="17">
        <f>S215+T215</f>
        <v>46422.59</v>
      </c>
      <c r="V215" s="9">
        <f>ROUND(P215 / 1.2, 2)</f>
        <v>469.44</v>
      </c>
      <c r="W215" s="9">
        <f>ROUND(Q215 / 1.2, 2)</f>
        <v>598.33000000000004</v>
      </c>
      <c r="X215" s="9">
        <f>ROUND(R215 / 1.2, 2)</f>
        <v>1067.78</v>
      </c>
      <c r="Y215" s="9">
        <f t="shared" si="22"/>
        <v>17007.88</v>
      </c>
      <c r="Z215" s="9">
        <f>ROUND(T215 / 1.2, 2)</f>
        <v>21677.62</v>
      </c>
      <c r="AA215" s="9">
        <f>Y215+Z215</f>
        <v>38685.5</v>
      </c>
      <c r="AD215" s="4">
        <v>339118844</v>
      </c>
      <c r="AE215" s="4">
        <v>25887959</v>
      </c>
      <c r="AG215" s="4" t="s">
        <v>861</v>
      </c>
      <c r="AH215" s="4" t="s">
        <v>862</v>
      </c>
      <c r="AI215" s="4" t="s">
        <v>156</v>
      </c>
    </row>
    <row r="216" spans="1:35" ht="54" x14ac:dyDescent="0.3">
      <c r="A216" s="10" t="s">
        <v>863</v>
      </c>
      <c r="B216" s="10"/>
      <c r="C216" s="24" t="s">
        <v>864</v>
      </c>
      <c r="D216" s="15"/>
      <c r="E216" s="15" t="s">
        <v>865</v>
      </c>
      <c r="F216" s="25" t="s">
        <v>159</v>
      </c>
      <c r="G216" s="26">
        <v>1.5</v>
      </c>
      <c r="H216" s="15"/>
      <c r="I216" s="32">
        <v>543.45000000000005</v>
      </c>
      <c r="J216" s="27">
        <v>32.9</v>
      </c>
      <c r="M216" s="28">
        <f>ROUND(ROUND(J216, 2)*I216, 2)</f>
        <v>17879.509999999998</v>
      </c>
      <c r="P216" s="29">
        <v>32.9</v>
      </c>
      <c r="S216" s="28">
        <f>ROUND(ROUND(P216, 2)*I216, 2)</f>
        <v>17879.509999999998</v>
      </c>
      <c r="V216" s="9">
        <f>ROUND(ROUND(P216, 2)/1.2, 2)</f>
        <v>27.42</v>
      </c>
      <c r="Y216" s="9">
        <f t="shared" si="22"/>
        <v>14899.59</v>
      </c>
      <c r="AD216" s="4" t="s">
        <v>866</v>
      </c>
      <c r="AE216" s="4" t="s">
        <v>867</v>
      </c>
      <c r="AF216" s="4" t="s">
        <v>868</v>
      </c>
    </row>
    <row r="217" spans="1:35" ht="36" x14ac:dyDescent="0.3">
      <c r="A217" s="10" t="s">
        <v>869</v>
      </c>
      <c r="B217" s="10"/>
      <c r="C217" s="24" t="s">
        <v>870</v>
      </c>
      <c r="D217" s="15"/>
      <c r="E217" s="15"/>
      <c r="F217" s="25" t="s">
        <v>75</v>
      </c>
      <c r="G217" s="26">
        <v>1.1000000000000001</v>
      </c>
      <c r="H217" s="15"/>
      <c r="I217" s="26">
        <v>39.853000000000002</v>
      </c>
      <c r="J217" s="27">
        <v>21.82</v>
      </c>
      <c r="M217" s="28">
        <f>ROUND(ROUND(J217, 2)*I217, 2)</f>
        <v>869.59</v>
      </c>
      <c r="P217" s="29">
        <v>48.44</v>
      </c>
      <c r="S217" s="28">
        <f>ROUND(ROUND(P217, 2)*I217, 2)</f>
        <v>1930.48</v>
      </c>
      <c r="V217" s="9">
        <f>ROUND(ROUND(P217, 2)/1.2, 2)</f>
        <v>40.369999999999997</v>
      </c>
      <c r="Y217" s="9">
        <f t="shared" si="22"/>
        <v>1608.73</v>
      </c>
      <c r="AD217" s="4" t="s">
        <v>871</v>
      </c>
      <c r="AE217" s="4" t="s">
        <v>872</v>
      </c>
      <c r="AF217" s="4" t="s">
        <v>873</v>
      </c>
    </row>
    <row r="218" spans="1:35" ht="18" x14ac:dyDescent="0.3">
      <c r="A218" s="10" t="s">
        <v>874</v>
      </c>
      <c r="B218" s="10"/>
      <c r="C218" s="24" t="s">
        <v>875</v>
      </c>
      <c r="D218" s="15"/>
      <c r="E218" s="15"/>
      <c r="F218" s="25" t="s">
        <v>120</v>
      </c>
      <c r="G218" s="26">
        <v>1.05</v>
      </c>
      <c r="H218" s="15"/>
      <c r="I218" s="26">
        <v>38.042000000000002</v>
      </c>
      <c r="J218" s="27">
        <v>15.76</v>
      </c>
      <c r="M218" s="28">
        <f>ROUND(ROUND(J218, 2)*I218, 2)</f>
        <v>599.54</v>
      </c>
      <c r="P218" s="29">
        <v>15.76</v>
      </c>
      <c r="S218" s="28">
        <f>ROUND(ROUND(P218, 2)*I218, 2)</f>
        <v>599.54</v>
      </c>
      <c r="V218" s="9">
        <f>ROUND(ROUND(P218, 2)/1.2, 2)</f>
        <v>13.13</v>
      </c>
      <c r="Y218" s="9">
        <f t="shared" si="22"/>
        <v>499.62</v>
      </c>
      <c r="AD218" s="4" t="s">
        <v>876</v>
      </c>
      <c r="AE218" s="4" t="s">
        <v>877</v>
      </c>
      <c r="AF218" s="4" t="s">
        <v>878</v>
      </c>
    </row>
    <row r="219" spans="1:35" ht="54" x14ac:dyDescent="0.3">
      <c r="A219" s="10" t="s">
        <v>879</v>
      </c>
      <c r="B219" s="10" t="s">
        <v>880</v>
      </c>
      <c r="C219" s="14" t="s">
        <v>881</v>
      </c>
      <c r="D219" s="15"/>
      <c r="E219" s="15" t="s">
        <v>882</v>
      </c>
      <c r="F219" s="15" t="s">
        <v>75</v>
      </c>
      <c r="G219" s="16">
        <v>1</v>
      </c>
      <c r="H219" s="15"/>
      <c r="I219" s="16">
        <v>36.229999999999997</v>
      </c>
      <c r="J219" s="17">
        <v>1766.66</v>
      </c>
      <c r="K219" s="18">
        <v>565</v>
      </c>
      <c r="L219" s="17">
        <f>J219+ROUND(K219, 2)</f>
        <v>2331.66</v>
      </c>
      <c r="M219" s="17">
        <v>64006.09</v>
      </c>
      <c r="N219" s="17">
        <v>20469.95</v>
      </c>
      <c r="O219" s="17">
        <f>M219+N219</f>
        <v>84476.04</v>
      </c>
      <c r="P219" s="17">
        <v>1766.66</v>
      </c>
      <c r="Q219" s="19">
        <v>565</v>
      </c>
      <c r="R219" s="17">
        <f>P219+ROUND(Q219, 2)</f>
        <v>2331.66</v>
      </c>
      <c r="S219" s="17">
        <v>64006.09</v>
      </c>
      <c r="T219" s="17">
        <v>20469.95</v>
      </c>
      <c r="U219" s="17">
        <f>S219+T219</f>
        <v>84476.04</v>
      </c>
      <c r="V219" s="9">
        <f>ROUND(P219 / 1.2, 2)</f>
        <v>1472.22</v>
      </c>
      <c r="W219" s="9">
        <f>ROUND(Q219 / 1.2, 2)</f>
        <v>470.83</v>
      </c>
      <c r="X219" s="9">
        <f>ROUND(R219 / 1.2, 2)</f>
        <v>1943.05</v>
      </c>
      <c r="Y219" s="9">
        <f t="shared" si="22"/>
        <v>53338.41</v>
      </c>
      <c r="Z219" s="9">
        <f>ROUND(T219 / 1.2, 2)</f>
        <v>17058.29</v>
      </c>
      <c r="AA219" s="9">
        <f>Y219+Z219</f>
        <v>70396.700000000012</v>
      </c>
      <c r="AD219" s="4">
        <v>339118846</v>
      </c>
      <c r="AE219" s="4">
        <v>25887984</v>
      </c>
      <c r="AG219" s="4" t="s">
        <v>883</v>
      </c>
      <c r="AH219" s="4" t="s">
        <v>884</v>
      </c>
      <c r="AI219" s="4" t="s">
        <v>156</v>
      </c>
    </row>
    <row r="220" spans="1:35" ht="18" x14ac:dyDescent="0.3">
      <c r="A220" s="10" t="s">
        <v>885</v>
      </c>
      <c r="B220" s="10"/>
      <c r="C220" s="24" t="s">
        <v>886</v>
      </c>
      <c r="D220" s="15"/>
      <c r="E220" s="15"/>
      <c r="F220" s="25" t="s">
        <v>159</v>
      </c>
      <c r="G220" s="26">
        <v>0.15</v>
      </c>
      <c r="H220" s="15"/>
      <c r="I220" s="26">
        <v>5.4349999999999996</v>
      </c>
      <c r="J220" s="27">
        <v>75.599999999999994</v>
      </c>
      <c r="M220" s="28">
        <f>ROUND(ROUND(J220, 2)*I220, 2)</f>
        <v>410.89</v>
      </c>
      <c r="P220" s="29">
        <v>75.599999999999994</v>
      </c>
      <c r="S220" s="28">
        <f>ROUND(ROUND(P220, 2)*I220, 2)</f>
        <v>410.89</v>
      </c>
      <c r="V220" s="9">
        <f>ROUND(ROUND(P220, 2)/1.2, 2)</f>
        <v>63</v>
      </c>
      <c r="Y220" s="9">
        <f t="shared" si="22"/>
        <v>342.41</v>
      </c>
      <c r="AD220" s="4" t="s">
        <v>887</v>
      </c>
      <c r="AE220" s="4" t="s">
        <v>888</v>
      </c>
      <c r="AF220" s="4" t="s">
        <v>889</v>
      </c>
    </row>
    <row r="221" spans="1:35" ht="36" x14ac:dyDescent="0.3">
      <c r="A221" s="10" t="s">
        <v>890</v>
      </c>
      <c r="B221" s="10"/>
      <c r="C221" s="24" t="s">
        <v>864</v>
      </c>
      <c r="D221" s="15"/>
      <c r="E221" s="15" t="s">
        <v>891</v>
      </c>
      <c r="F221" s="25" t="s">
        <v>159</v>
      </c>
      <c r="G221" s="26">
        <v>7</v>
      </c>
      <c r="H221" s="15"/>
      <c r="I221" s="32">
        <v>253.61</v>
      </c>
      <c r="J221" s="27">
        <v>32.9</v>
      </c>
      <c r="M221" s="28">
        <f>ROUND(ROUND(J221, 2)*I221, 2)</f>
        <v>8343.77</v>
      </c>
      <c r="P221" s="29">
        <v>32.9</v>
      </c>
      <c r="S221" s="28">
        <f>ROUND(ROUND(P221, 2)*I221, 2)</f>
        <v>8343.77</v>
      </c>
      <c r="V221" s="9">
        <f>ROUND(ROUND(P221, 2)/1.2, 2)</f>
        <v>27.42</v>
      </c>
      <c r="Y221" s="9">
        <f t="shared" si="22"/>
        <v>6953.14</v>
      </c>
      <c r="AD221" s="4" t="s">
        <v>892</v>
      </c>
      <c r="AE221" s="4" t="s">
        <v>893</v>
      </c>
      <c r="AF221" s="4" t="s">
        <v>868</v>
      </c>
    </row>
    <row r="222" spans="1:35" ht="36" x14ac:dyDescent="0.3">
      <c r="A222" s="10" t="s">
        <v>894</v>
      </c>
      <c r="B222" s="10"/>
      <c r="C222" s="30" t="s">
        <v>895</v>
      </c>
      <c r="D222" s="15"/>
      <c r="E222" s="15" t="s">
        <v>896</v>
      </c>
      <c r="F222" s="25" t="s">
        <v>424</v>
      </c>
      <c r="G222" s="26">
        <v>1.03</v>
      </c>
      <c r="H222" s="15"/>
      <c r="I222" s="32">
        <v>5.593</v>
      </c>
      <c r="J222" s="27">
        <v>9447.9</v>
      </c>
      <c r="M222" s="28">
        <f>ROUND(ROUND(J222, 2)*I222, 2)</f>
        <v>52842.1</v>
      </c>
      <c r="P222" s="29">
        <v>9447.9</v>
      </c>
      <c r="S222" s="28">
        <f>ROUND(ROUND(P222, 2)*I222, 2)</f>
        <v>52842.1</v>
      </c>
      <c r="V222" s="9">
        <f>ROUND(ROUND(P222, 2)/1.2, 2)</f>
        <v>7873.25</v>
      </c>
      <c r="Y222" s="9">
        <f t="shared" si="22"/>
        <v>44035.08</v>
      </c>
      <c r="AD222" s="4" t="s">
        <v>897</v>
      </c>
      <c r="AE222" s="4" t="s">
        <v>898</v>
      </c>
      <c r="AF222" s="4" t="s">
        <v>899</v>
      </c>
    </row>
    <row r="223" spans="1:35" ht="36" x14ac:dyDescent="0.3">
      <c r="A223" s="10" t="s">
        <v>900</v>
      </c>
      <c r="B223" s="10"/>
      <c r="C223" s="24" t="s">
        <v>901</v>
      </c>
      <c r="D223" s="15"/>
      <c r="E223" s="15"/>
      <c r="F223" s="25" t="s">
        <v>240</v>
      </c>
      <c r="G223" s="26">
        <v>7</v>
      </c>
      <c r="H223" s="15"/>
      <c r="I223" s="26">
        <v>253.61</v>
      </c>
      <c r="J223" s="27">
        <v>9.5</v>
      </c>
      <c r="M223" s="28">
        <f>ROUND(ROUND(J223, 2)*I223, 2)</f>
        <v>2409.3000000000002</v>
      </c>
      <c r="P223" s="29">
        <v>9.5</v>
      </c>
      <c r="S223" s="28">
        <f>ROUND(ROUND(P223, 2)*I223, 2)</f>
        <v>2409.3000000000002</v>
      </c>
      <c r="V223" s="9">
        <f>ROUND(ROUND(P223, 2)/1.2, 2)</f>
        <v>7.92</v>
      </c>
      <c r="Y223" s="9">
        <f t="shared" si="22"/>
        <v>2007.75</v>
      </c>
      <c r="AD223" s="4" t="s">
        <v>902</v>
      </c>
      <c r="AE223" s="4" t="s">
        <v>903</v>
      </c>
      <c r="AF223" s="4" t="s">
        <v>904</v>
      </c>
    </row>
    <row r="224" spans="1:35" ht="36" x14ac:dyDescent="0.3">
      <c r="A224" s="10" t="s">
        <v>905</v>
      </c>
      <c r="B224" s="10" t="s">
        <v>906</v>
      </c>
      <c r="C224" s="14" t="s">
        <v>907</v>
      </c>
      <c r="D224" s="15"/>
      <c r="E224" s="15" t="s">
        <v>908</v>
      </c>
      <c r="F224" s="15" t="s">
        <v>75</v>
      </c>
      <c r="G224" s="16">
        <v>1</v>
      </c>
      <c r="H224" s="15"/>
      <c r="I224" s="16">
        <v>470.56</v>
      </c>
      <c r="J224" s="17">
        <v>54.12</v>
      </c>
      <c r="K224" s="18">
        <v>581</v>
      </c>
      <c r="L224" s="17">
        <f>J224+ROUND(K224, 2)</f>
        <v>635.12</v>
      </c>
      <c r="M224" s="17">
        <v>25466.71</v>
      </c>
      <c r="N224" s="17">
        <v>273395.36</v>
      </c>
      <c r="O224" s="17">
        <f>M224+N224</f>
        <v>298862.07</v>
      </c>
      <c r="P224" s="17">
        <v>54.12</v>
      </c>
      <c r="Q224" s="19">
        <v>581</v>
      </c>
      <c r="R224" s="17">
        <f>P224+ROUND(Q224, 2)</f>
        <v>635.12</v>
      </c>
      <c r="S224" s="17">
        <v>25466.71</v>
      </c>
      <c r="T224" s="17">
        <v>273395.36</v>
      </c>
      <c r="U224" s="17">
        <f>S224+T224</f>
        <v>298862.07</v>
      </c>
      <c r="V224" s="9">
        <f>ROUND(P224 / 1.2, 2)</f>
        <v>45.1</v>
      </c>
      <c r="W224" s="9">
        <f>ROUND(Q224 / 1.2, 2)</f>
        <v>484.17</v>
      </c>
      <c r="X224" s="9">
        <f>ROUND(R224 / 1.2, 2)</f>
        <v>529.27</v>
      </c>
      <c r="Y224" s="9">
        <f t="shared" si="22"/>
        <v>21222.26</v>
      </c>
      <c r="Z224" s="9">
        <f>ROUND(T224 / 1.2, 2)</f>
        <v>227829.47</v>
      </c>
      <c r="AA224" s="9">
        <f>Y224+Z224</f>
        <v>249051.73</v>
      </c>
      <c r="AD224" s="4">
        <v>339118848</v>
      </c>
      <c r="AE224" s="4">
        <v>25888015</v>
      </c>
      <c r="AG224" s="4" t="s">
        <v>909</v>
      </c>
      <c r="AH224" s="4" t="s">
        <v>910</v>
      </c>
      <c r="AI224" s="4" t="s">
        <v>156</v>
      </c>
    </row>
    <row r="225" spans="1:35" ht="36" x14ac:dyDescent="0.3">
      <c r="A225" s="10" t="s">
        <v>911</v>
      </c>
      <c r="B225" s="10"/>
      <c r="C225" s="30" t="s">
        <v>849</v>
      </c>
      <c r="D225" s="15"/>
      <c r="E225" s="15"/>
      <c r="F225" s="25" t="s">
        <v>159</v>
      </c>
      <c r="G225" s="26">
        <v>1.5</v>
      </c>
      <c r="H225" s="15"/>
      <c r="I225" s="26">
        <v>705.84</v>
      </c>
      <c r="J225" s="27">
        <v>12.58</v>
      </c>
      <c r="M225" s="28">
        <f>ROUND(ROUND(J225, 2)*I225, 2)</f>
        <v>8879.4699999999993</v>
      </c>
      <c r="P225" s="29">
        <v>12.58</v>
      </c>
      <c r="S225" s="28">
        <f>ROUND(ROUND(P225, 2)*I225, 2)</f>
        <v>8879.4699999999993</v>
      </c>
      <c r="V225" s="9">
        <f>ROUND(ROUND(P225, 2)/1.2, 2)</f>
        <v>10.48</v>
      </c>
      <c r="Y225" s="9">
        <f t="shared" si="22"/>
        <v>7399.56</v>
      </c>
      <c r="AD225" s="4" t="s">
        <v>912</v>
      </c>
      <c r="AE225" s="4" t="s">
        <v>913</v>
      </c>
      <c r="AF225" s="4" t="s">
        <v>852</v>
      </c>
    </row>
    <row r="226" spans="1:35" ht="36" x14ac:dyDescent="0.3">
      <c r="A226" s="10" t="s">
        <v>914</v>
      </c>
      <c r="B226" s="10"/>
      <c r="C226" s="24" t="s">
        <v>915</v>
      </c>
      <c r="D226" s="15"/>
      <c r="E226" s="15"/>
      <c r="F226" s="25" t="s">
        <v>240</v>
      </c>
      <c r="G226" s="26">
        <v>0.3</v>
      </c>
      <c r="H226" s="15"/>
      <c r="I226" s="26">
        <v>141.16800000000001</v>
      </c>
      <c r="J226" s="27">
        <v>73.099999999999994</v>
      </c>
      <c r="M226" s="28">
        <f>ROUND(ROUND(J226, 2)*I226, 2)</f>
        <v>10319.379999999999</v>
      </c>
      <c r="P226" s="29">
        <v>73.099999999999994</v>
      </c>
      <c r="S226" s="28">
        <f>ROUND(ROUND(P226, 2)*I226, 2)</f>
        <v>10319.379999999999</v>
      </c>
      <c r="V226" s="9">
        <f>ROUND(ROUND(P226, 2)/1.2, 2)</f>
        <v>60.92</v>
      </c>
      <c r="Y226" s="9">
        <f t="shared" si="22"/>
        <v>8599.48</v>
      </c>
      <c r="AD226" s="4" t="s">
        <v>916</v>
      </c>
      <c r="AE226" s="4" t="s">
        <v>917</v>
      </c>
      <c r="AF226" s="4" t="s">
        <v>918</v>
      </c>
    </row>
    <row r="227" spans="1:35" ht="36" x14ac:dyDescent="0.3">
      <c r="A227" s="10" t="s">
        <v>919</v>
      </c>
      <c r="B227" s="10"/>
      <c r="C227" s="24" t="s">
        <v>480</v>
      </c>
      <c r="D227" s="15"/>
      <c r="E227" s="15"/>
      <c r="F227" s="25" t="s">
        <v>159</v>
      </c>
      <c r="G227" s="26">
        <v>0.15</v>
      </c>
      <c r="H227" s="15"/>
      <c r="I227" s="26">
        <v>70.584000000000003</v>
      </c>
      <c r="J227" s="27">
        <v>88.8</v>
      </c>
      <c r="M227" s="28">
        <f>ROUND(ROUND(J227, 2)*I227, 2)</f>
        <v>6267.86</v>
      </c>
      <c r="P227" s="29">
        <v>88.8</v>
      </c>
      <c r="S227" s="28">
        <f>ROUND(ROUND(P227, 2)*I227, 2)</f>
        <v>6267.86</v>
      </c>
      <c r="V227" s="9">
        <f>ROUND(ROUND(P227, 2)/1.2, 2)</f>
        <v>74</v>
      </c>
      <c r="Y227" s="9">
        <f t="shared" si="22"/>
        <v>5223.22</v>
      </c>
      <c r="AD227" s="4" t="s">
        <v>920</v>
      </c>
      <c r="AE227" s="4" t="s">
        <v>921</v>
      </c>
      <c r="AF227" s="4" t="s">
        <v>483</v>
      </c>
    </row>
    <row r="228" spans="1:35" ht="90" x14ac:dyDescent="0.3">
      <c r="A228" s="11" t="s">
        <v>922</v>
      </c>
      <c r="B228" s="11" t="s">
        <v>923</v>
      </c>
      <c r="C228" s="20" t="s">
        <v>924</v>
      </c>
      <c r="D228" s="21"/>
      <c r="E228" s="21" t="s">
        <v>925</v>
      </c>
      <c r="F228" s="21" t="s">
        <v>75</v>
      </c>
      <c r="G228" s="22">
        <v>1</v>
      </c>
      <c r="H228" s="21"/>
      <c r="I228" s="22">
        <v>3186.15</v>
      </c>
      <c r="J228" s="23">
        <v>65.02</v>
      </c>
      <c r="K228" s="23">
        <v>508</v>
      </c>
      <c r="L228" s="23">
        <f>J228+ROUND(K228, 2)</f>
        <v>573.02</v>
      </c>
      <c r="M228" s="23">
        <v>207163.47</v>
      </c>
      <c r="N228" s="23">
        <v>1618564.2</v>
      </c>
      <c r="O228" s="23">
        <f>M228+N228</f>
        <v>1825727.67</v>
      </c>
      <c r="P228" s="23">
        <v>65.02</v>
      </c>
      <c r="Q228" s="23">
        <v>508</v>
      </c>
      <c r="R228" s="23">
        <f>P228+ROUND(Q228, 2)</f>
        <v>573.02</v>
      </c>
      <c r="S228" s="23">
        <v>207163.47</v>
      </c>
      <c r="T228" s="23">
        <v>1618564.2</v>
      </c>
      <c r="U228" s="23">
        <f>S228+T228</f>
        <v>1825727.67</v>
      </c>
      <c r="V228" s="9">
        <f>ROUND(P228 / 1.2, 2)</f>
        <v>54.18</v>
      </c>
      <c r="W228" s="9">
        <f>ROUND(Q228 / 1.2, 2)</f>
        <v>423.33</v>
      </c>
      <c r="X228" s="9">
        <f>ROUND(R228 / 1.2, 2)</f>
        <v>477.52</v>
      </c>
      <c r="Y228" s="9">
        <f t="shared" si="22"/>
        <v>172636.23</v>
      </c>
      <c r="Z228" s="9">
        <f>ROUND(T228 / 1.2, 2)</f>
        <v>1348803.5</v>
      </c>
      <c r="AA228" s="9">
        <f>Y228+Z228</f>
        <v>1521439.73</v>
      </c>
      <c r="AD228" s="4">
        <v>339118849</v>
      </c>
      <c r="AE228" s="4">
        <v>28951422</v>
      </c>
      <c r="AG228" s="4" t="s">
        <v>926</v>
      </c>
      <c r="AH228" s="4" t="s">
        <v>927</v>
      </c>
      <c r="AI228" s="4" t="s">
        <v>156</v>
      </c>
    </row>
    <row r="229" spans="1:35" ht="36" x14ac:dyDescent="0.3">
      <c r="A229" s="11" t="s">
        <v>928</v>
      </c>
      <c r="B229" s="11"/>
      <c r="C229" s="30" t="s">
        <v>849</v>
      </c>
      <c r="D229" s="21"/>
      <c r="E229" s="21"/>
      <c r="F229" s="34" t="s">
        <v>159</v>
      </c>
      <c r="G229" s="35">
        <v>1.8</v>
      </c>
      <c r="H229" s="21"/>
      <c r="I229" s="35">
        <v>5735.07</v>
      </c>
      <c r="J229" s="37">
        <v>12.26</v>
      </c>
      <c r="K229" s="12"/>
      <c r="L229" s="12"/>
      <c r="M229" s="37">
        <f>ROUND(ROUND(J229, 2)*I229, 2)</f>
        <v>70311.960000000006</v>
      </c>
      <c r="N229" s="12"/>
      <c r="O229" s="12"/>
      <c r="P229" s="37">
        <v>12.26</v>
      </c>
      <c r="Q229" s="12"/>
      <c r="R229" s="12"/>
      <c r="S229" s="37">
        <f>ROUND(ROUND(P229, 2)*I229, 2)</f>
        <v>70311.960000000006</v>
      </c>
      <c r="T229" s="12"/>
      <c r="U229" s="38"/>
      <c r="V229" s="9">
        <f>ROUND(ROUND(P229, 2)/1.2, 2)</f>
        <v>10.220000000000001</v>
      </c>
      <c r="Y229" s="9">
        <f t="shared" si="22"/>
        <v>58593.3</v>
      </c>
      <c r="AD229" s="4" t="s">
        <v>929</v>
      </c>
      <c r="AE229" s="4" t="s">
        <v>930</v>
      </c>
      <c r="AF229" s="4" t="s">
        <v>931</v>
      </c>
    </row>
    <row r="230" spans="1:35" ht="18" x14ac:dyDescent="0.3">
      <c r="A230" s="11" t="s">
        <v>932</v>
      </c>
      <c r="B230" s="11"/>
      <c r="C230" s="33" t="s">
        <v>933</v>
      </c>
      <c r="D230" s="21"/>
      <c r="E230" s="21"/>
      <c r="F230" s="34" t="s">
        <v>240</v>
      </c>
      <c r="G230" s="35">
        <v>0.3</v>
      </c>
      <c r="H230" s="21"/>
      <c r="I230" s="35">
        <v>955.84500000000003</v>
      </c>
      <c r="J230" s="37">
        <v>74.319999999999993</v>
      </c>
      <c r="K230" s="12"/>
      <c r="L230" s="12"/>
      <c r="M230" s="37">
        <f>ROUND(ROUND(J230, 2)*I230, 2)</f>
        <v>71038.399999999994</v>
      </c>
      <c r="N230" s="12"/>
      <c r="O230" s="12"/>
      <c r="P230" s="37">
        <v>74.319999999999993</v>
      </c>
      <c r="Q230" s="12"/>
      <c r="R230" s="12"/>
      <c r="S230" s="37">
        <f>ROUND(ROUND(P230, 2)*I230, 2)</f>
        <v>71038.399999999994</v>
      </c>
      <c r="T230" s="12"/>
      <c r="U230" s="38"/>
      <c r="V230" s="9">
        <f>ROUND(ROUND(P230, 2)/1.2, 2)</f>
        <v>61.93</v>
      </c>
      <c r="Y230" s="9">
        <f t="shared" si="22"/>
        <v>59198.67</v>
      </c>
      <c r="AD230" s="4" t="s">
        <v>934</v>
      </c>
      <c r="AE230" s="4" t="s">
        <v>935</v>
      </c>
      <c r="AF230" s="4" t="s">
        <v>936</v>
      </c>
    </row>
    <row r="231" spans="1:35" ht="18" x14ac:dyDescent="0.3">
      <c r="A231" s="11" t="s">
        <v>937</v>
      </c>
      <c r="B231" s="11"/>
      <c r="C231" s="33" t="s">
        <v>854</v>
      </c>
      <c r="D231" s="21"/>
      <c r="E231" s="21"/>
      <c r="F231" s="34" t="s">
        <v>120</v>
      </c>
      <c r="G231" s="35">
        <v>1</v>
      </c>
      <c r="H231" s="21"/>
      <c r="I231" s="36">
        <v>3186.15</v>
      </c>
      <c r="J231" s="37">
        <v>7.11</v>
      </c>
      <c r="K231" s="12"/>
      <c r="L231" s="12"/>
      <c r="M231" s="37">
        <f>ROUND(ROUND(J231, 2)*I231, 2)</f>
        <v>22653.53</v>
      </c>
      <c r="N231" s="12"/>
      <c r="O231" s="12"/>
      <c r="P231" s="37">
        <v>7.11</v>
      </c>
      <c r="Q231" s="12"/>
      <c r="R231" s="12"/>
      <c r="S231" s="37">
        <f>ROUND(ROUND(P231, 2)*I231, 2)</f>
        <v>22653.53</v>
      </c>
      <c r="T231" s="12"/>
      <c r="U231" s="38"/>
      <c r="V231" s="9">
        <f>ROUND(ROUND(P231, 2)/1.2, 2)</f>
        <v>5.93</v>
      </c>
      <c r="Y231" s="9">
        <f t="shared" si="22"/>
        <v>18877.939999999999</v>
      </c>
      <c r="AD231" s="4" t="s">
        <v>938</v>
      </c>
      <c r="AE231" s="4" t="s">
        <v>939</v>
      </c>
      <c r="AF231" s="4" t="s">
        <v>857</v>
      </c>
    </row>
    <row r="232" spans="1:35" ht="36" x14ac:dyDescent="0.3">
      <c r="A232" s="11" t="s">
        <v>940</v>
      </c>
      <c r="B232" s="11"/>
      <c r="C232" s="33" t="s">
        <v>480</v>
      </c>
      <c r="D232" s="21"/>
      <c r="E232" s="21"/>
      <c r="F232" s="34" t="s">
        <v>159</v>
      </c>
      <c r="G232" s="35">
        <v>0.15</v>
      </c>
      <c r="H232" s="21"/>
      <c r="I232" s="35">
        <v>477.923</v>
      </c>
      <c r="J232" s="37">
        <v>90.28</v>
      </c>
      <c r="K232" s="12"/>
      <c r="L232" s="12"/>
      <c r="M232" s="37">
        <f>ROUND(ROUND(J232, 2)*I232, 2)</f>
        <v>43146.89</v>
      </c>
      <c r="N232" s="12"/>
      <c r="O232" s="12"/>
      <c r="P232" s="37">
        <v>90.28</v>
      </c>
      <c r="Q232" s="12"/>
      <c r="R232" s="12"/>
      <c r="S232" s="37">
        <f>ROUND(ROUND(P232, 2)*I232, 2)</f>
        <v>43146.89</v>
      </c>
      <c r="T232" s="12"/>
      <c r="U232" s="38"/>
      <c r="V232" s="9">
        <f>ROUND(ROUND(P232, 2)/1.2, 2)</f>
        <v>75.23</v>
      </c>
      <c r="Y232" s="9">
        <f t="shared" si="22"/>
        <v>35955.74</v>
      </c>
      <c r="AD232" s="4" t="s">
        <v>941</v>
      </c>
      <c r="AE232" s="4" t="s">
        <v>942</v>
      </c>
      <c r="AF232" s="4" t="s">
        <v>483</v>
      </c>
    </row>
    <row r="233" spans="1:35" ht="90" x14ac:dyDescent="0.3">
      <c r="A233" s="11" t="s">
        <v>943</v>
      </c>
      <c r="B233" s="11" t="s">
        <v>923</v>
      </c>
      <c r="C233" s="20" t="s">
        <v>924</v>
      </c>
      <c r="D233" s="21"/>
      <c r="E233" s="21" t="s">
        <v>944</v>
      </c>
      <c r="F233" s="21" t="s">
        <v>75</v>
      </c>
      <c r="G233" s="22">
        <v>1</v>
      </c>
      <c r="H233" s="21"/>
      <c r="I233" s="22">
        <v>3186.15</v>
      </c>
      <c r="J233" s="23">
        <v>35.61</v>
      </c>
      <c r="K233" s="23">
        <v>508</v>
      </c>
      <c r="L233" s="23">
        <f>J233+ROUND(K233, 2)</f>
        <v>543.61</v>
      </c>
      <c r="M233" s="23">
        <v>113458.8</v>
      </c>
      <c r="N233" s="23">
        <v>1618564.2</v>
      </c>
      <c r="O233" s="23">
        <f>M233+N233</f>
        <v>1732023</v>
      </c>
      <c r="P233" s="23">
        <v>48.39</v>
      </c>
      <c r="Q233" s="23">
        <v>508</v>
      </c>
      <c r="R233" s="23">
        <f>P233+ROUND(Q233, 2)</f>
        <v>556.39</v>
      </c>
      <c r="S233" s="23">
        <v>154177.79999999999</v>
      </c>
      <c r="T233" s="23">
        <v>1618564.2</v>
      </c>
      <c r="U233" s="23">
        <f>S233+T233</f>
        <v>1772742</v>
      </c>
      <c r="V233" s="9">
        <f>ROUND(P233 / 1.2, 2)</f>
        <v>40.33</v>
      </c>
      <c r="W233" s="9">
        <f>ROUND(Q233 / 1.2, 2)</f>
        <v>423.33</v>
      </c>
      <c r="X233" s="9">
        <f>ROUND(R233 / 1.2, 2)</f>
        <v>463.66</v>
      </c>
      <c r="Y233" s="9">
        <f t="shared" si="22"/>
        <v>128481.5</v>
      </c>
      <c r="Z233" s="9">
        <f>ROUND(T233 / 1.2, 2)</f>
        <v>1348803.5</v>
      </c>
      <c r="AA233" s="9">
        <f>Y233+Z233</f>
        <v>1477285</v>
      </c>
      <c r="AD233" s="4">
        <v>339118918</v>
      </c>
      <c r="AE233" s="4">
        <v>28951420</v>
      </c>
      <c r="AG233" s="4" t="s">
        <v>926</v>
      </c>
      <c r="AH233" s="4" t="s">
        <v>927</v>
      </c>
      <c r="AI233" s="4" t="s">
        <v>156</v>
      </c>
    </row>
    <row r="234" spans="1:35" ht="36" x14ac:dyDescent="0.3">
      <c r="A234" s="11" t="s">
        <v>945</v>
      </c>
      <c r="B234" s="11"/>
      <c r="C234" s="33" t="s">
        <v>480</v>
      </c>
      <c r="D234" s="21"/>
      <c r="E234" s="21"/>
      <c r="F234" s="34" t="s">
        <v>159</v>
      </c>
      <c r="G234" s="35">
        <v>0.15</v>
      </c>
      <c r="H234" s="21"/>
      <c r="I234" s="35">
        <v>477.923</v>
      </c>
      <c r="J234" s="37">
        <v>90.28</v>
      </c>
      <c r="K234" s="12"/>
      <c r="L234" s="12"/>
      <c r="M234" s="37">
        <f>ROUND(ROUND(J234, 2)*I234, 2)</f>
        <v>43146.89</v>
      </c>
      <c r="N234" s="12"/>
      <c r="O234" s="12"/>
      <c r="P234" s="37">
        <v>90.28</v>
      </c>
      <c r="Q234" s="12"/>
      <c r="R234" s="12"/>
      <c r="S234" s="37">
        <f>ROUND(ROUND(P234, 2)*I234, 2)</f>
        <v>43146.89</v>
      </c>
      <c r="T234" s="12"/>
      <c r="U234" s="38"/>
      <c r="V234" s="9">
        <f>ROUND(ROUND(P234, 2)/1.2, 2)</f>
        <v>75.23</v>
      </c>
      <c r="Y234" s="9">
        <f t="shared" si="22"/>
        <v>35955.74</v>
      </c>
      <c r="AD234" s="4" t="s">
        <v>946</v>
      </c>
      <c r="AE234" s="4" t="s">
        <v>947</v>
      </c>
      <c r="AF234" s="4" t="s">
        <v>483</v>
      </c>
    </row>
    <row r="235" spans="1:35" ht="54" x14ac:dyDescent="0.3">
      <c r="A235" s="11" t="s">
        <v>948</v>
      </c>
      <c r="B235" s="11"/>
      <c r="C235" s="30" t="s">
        <v>849</v>
      </c>
      <c r="D235" s="21"/>
      <c r="E235" s="21" t="s">
        <v>949</v>
      </c>
      <c r="F235" s="34" t="s">
        <v>159</v>
      </c>
      <c r="G235" s="35">
        <v>1.8</v>
      </c>
      <c r="H235" s="21"/>
      <c r="I235" s="35">
        <v>5735.07</v>
      </c>
      <c r="J235" s="37">
        <v>12.26</v>
      </c>
      <c r="K235" s="12"/>
      <c r="L235" s="12"/>
      <c r="M235" s="37">
        <f>ROUND(ROUND(J235, 2)*I235, 2)</f>
        <v>70311.960000000006</v>
      </c>
      <c r="N235" s="12"/>
      <c r="O235" s="12"/>
      <c r="P235" s="37">
        <v>19.36</v>
      </c>
      <c r="Q235" s="12"/>
      <c r="R235" s="12"/>
      <c r="S235" s="37">
        <f>ROUND(ROUND(P235, 2)*I235, 2)</f>
        <v>111030.96</v>
      </c>
      <c r="T235" s="12"/>
      <c r="U235" s="38"/>
      <c r="V235" s="9">
        <f>ROUND(ROUND(P235, 2)/1.2, 2)</f>
        <v>16.13</v>
      </c>
      <c r="Y235" s="9">
        <f t="shared" si="22"/>
        <v>92525.8</v>
      </c>
      <c r="AD235" s="4" t="s">
        <v>950</v>
      </c>
      <c r="AE235" s="4" t="s">
        <v>951</v>
      </c>
      <c r="AF235" s="4" t="s">
        <v>931</v>
      </c>
    </row>
    <row r="236" spans="1:35" ht="72" x14ac:dyDescent="0.3">
      <c r="A236" s="11" t="s">
        <v>952</v>
      </c>
      <c r="B236" s="11" t="s">
        <v>923</v>
      </c>
      <c r="C236" s="20" t="s">
        <v>924</v>
      </c>
      <c r="D236" s="21"/>
      <c r="E236" s="21" t="s">
        <v>953</v>
      </c>
      <c r="F236" s="21" t="s">
        <v>75</v>
      </c>
      <c r="G236" s="22">
        <v>1</v>
      </c>
      <c r="H236" s="21"/>
      <c r="I236" s="22">
        <v>1183.1199999999999</v>
      </c>
      <c r="J236" s="23">
        <v>65.02</v>
      </c>
      <c r="K236" s="23">
        <v>508</v>
      </c>
      <c r="L236" s="23">
        <f>J236+ROUND(K236, 2)</f>
        <v>573.02</v>
      </c>
      <c r="M236" s="23">
        <v>76926.460000000006</v>
      </c>
      <c r="N236" s="23">
        <v>601024.96</v>
      </c>
      <c r="O236" s="23">
        <f>M236+N236</f>
        <v>677951.41999999993</v>
      </c>
      <c r="P236" s="23">
        <v>65.02</v>
      </c>
      <c r="Q236" s="23">
        <v>508</v>
      </c>
      <c r="R236" s="23">
        <f>P236+ROUND(Q236, 2)</f>
        <v>573.02</v>
      </c>
      <c r="S236" s="23">
        <v>76926.460000000006</v>
      </c>
      <c r="T236" s="23">
        <v>601024.96</v>
      </c>
      <c r="U236" s="23">
        <f>S236+T236</f>
        <v>677951.41999999993</v>
      </c>
      <c r="V236" s="9">
        <f>ROUND(P236 / 1.2, 2)</f>
        <v>54.18</v>
      </c>
      <c r="W236" s="9">
        <f>ROUND(Q236 / 1.2, 2)</f>
        <v>423.33</v>
      </c>
      <c r="X236" s="9">
        <f>ROUND(R236 / 1.2, 2)</f>
        <v>477.52</v>
      </c>
      <c r="Y236" s="9">
        <f t="shared" si="22"/>
        <v>64105.38</v>
      </c>
      <c r="Z236" s="9">
        <f>ROUND(T236 / 1.2, 2)</f>
        <v>500854.13</v>
      </c>
      <c r="AA236" s="9">
        <f>Y236+Z236</f>
        <v>564959.51</v>
      </c>
      <c r="AD236" s="4">
        <v>339118919</v>
      </c>
      <c r="AE236" s="4">
        <v>28975341</v>
      </c>
      <c r="AG236" s="4" t="s">
        <v>926</v>
      </c>
      <c r="AH236" s="4" t="s">
        <v>927</v>
      </c>
      <c r="AI236" s="4" t="s">
        <v>156</v>
      </c>
    </row>
    <row r="237" spans="1:35" ht="36" x14ac:dyDescent="0.3">
      <c r="A237" s="11" t="s">
        <v>954</v>
      </c>
      <c r="B237" s="11"/>
      <c r="C237" s="30" t="s">
        <v>849</v>
      </c>
      <c r="D237" s="21"/>
      <c r="E237" s="21"/>
      <c r="F237" s="34" t="s">
        <v>159</v>
      </c>
      <c r="G237" s="35">
        <v>1.8</v>
      </c>
      <c r="H237" s="21"/>
      <c r="I237" s="35">
        <v>2129.616</v>
      </c>
      <c r="J237" s="37">
        <v>12.26</v>
      </c>
      <c r="K237" s="12"/>
      <c r="L237" s="12"/>
      <c r="M237" s="37">
        <f>ROUND(ROUND(J237, 2)*I237, 2)</f>
        <v>26109.09</v>
      </c>
      <c r="N237" s="12"/>
      <c r="O237" s="12"/>
      <c r="P237" s="37">
        <v>12.26</v>
      </c>
      <c r="Q237" s="12"/>
      <c r="R237" s="12"/>
      <c r="S237" s="37">
        <f>ROUND(ROUND(P237, 2)*I237, 2)</f>
        <v>26109.09</v>
      </c>
      <c r="T237" s="12"/>
      <c r="U237" s="38"/>
      <c r="V237" s="9">
        <f>ROUND(ROUND(P237, 2)/1.2, 2)</f>
        <v>10.220000000000001</v>
      </c>
      <c r="Y237" s="9">
        <f t="shared" si="22"/>
        <v>21757.58</v>
      </c>
      <c r="AD237" s="4" t="s">
        <v>955</v>
      </c>
      <c r="AE237" s="4" t="s">
        <v>956</v>
      </c>
      <c r="AF237" s="4" t="s">
        <v>931</v>
      </c>
    </row>
    <row r="238" spans="1:35" ht="18" x14ac:dyDescent="0.3">
      <c r="A238" s="11" t="s">
        <v>957</v>
      </c>
      <c r="B238" s="11"/>
      <c r="C238" s="33" t="s">
        <v>933</v>
      </c>
      <c r="D238" s="21"/>
      <c r="E238" s="21"/>
      <c r="F238" s="34" t="s">
        <v>240</v>
      </c>
      <c r="G238" s="35">
        <v>0.3</v>
      </c>
      <c r="H238" s="21"/>
      <c r="I238" s="35">
        <v>354.93599999999998</v>
      </c>
      <c r="J238" s="37">
        <v>74.319999999999993</v>
      </c>
      <c r="K238" s="12"/>
      <c r="L238" s="12"/>
      <c r="M238" s="37">
        <f>ROUND(ROUND(J238, 2)*I238, 2)</f>
        <v>26378.84</v>
      </c>
      <c r="N238" s="12"/>
      <c r="O238" s="12"/>
      <c r="P238" s="37">
        <v>74.319999999999993</v>
      </c>
      <c r="Q238" s="12"/>
      <c r="R238" s="12"/>
      <c r="S238" s="37">
        <f>ROUND(ROUND(P238, 2)*I238, 2)</f>
        <v>26378.84</v>
      </c>
      <c r="T238" s="12"/>
      <c r="U238" s="38"/>
      <c r="V238" s="9">
        <f>ROUND(ROUND(P238, 2)/1.2, 2)</f>
        <v>61.93</v>
      </c>
      <c r="Y238" s="9">
        <f t="shared" si="22"/>
        <v>21982.37</v>
      </c>
      <c r="AD238" s="4" t="s">
        <v>958</v>
      </c>
      <c r="AE238" s="4" t="s">
        <v>959</v>
      </c>
      <c r="AF238" s="4" t="s">
        <v>936</v>
      </c>
    </row>
    <row r="239" spans="1:35" ht="18" x14ac:dyDescent="0.3">
      <c r="A239" s="11" t="s">
        <v>960</v>
      </c>
      <c r="B239" s="11"/>
      <c r="C239" s="33" t="s">
        <v>854</v>
      </c>
      <c r="D239" s="21"/>
      <c r="E239" s="21"/>
      <c r="F239" s="34" t="s">
        <v>120</v>
      </c>
      <c r="G239" s="35">
        <v>1</v>
      </c>
      <c r="H239" s="21"/>
      <c r="I239" s="36">
        <v>1183.1199999999999</v>
      </c>
      <c r="J239" s="37">
        <v>7.11</v>
      </c>
      <c r="K239" s="12"/>
      <c r="L239" s="12"/>
      <c r="M239" s="37">
        <f>ROUND(ROUND(J239, 2)*I239, 2)</f>
        <v>8411.98</v>
      </c>
      <c r="N239" s="12"/>
      <c r="O239" s="12"/>
      <c r="P239" s="37">
        <v>7.11</v>
      </c>
      <c r="Q239" s="12"/>
      <c r="R239" s="12"/>
      <c r="S239" s="37">
        <f>ROUND(ROUND(P239, 2)*I239, 2)</f>
        <v>8411.98</v>
      </c>
      <c r="T239" s="12"/>
      <c r="U239" s="38"/>
      <c r="V239" s="9">
        <f>ROUND(ROUND(P239, 2)/1.2, 2)</f>
        <v>5.93</v>
      </c>
      <c r="Y239" s="9">
        <f t="shared" si="22"/>
        <v>7009.98</v>
      </c>
      <c r="AD239" s="4" t="s">
        <v>961</v>
      </c>
      <c r="AE239" s="4" t="s">
        <v>962</v>
      </c>
      <c r="AF239" s="4" t="s">
        <v>857</v>
      </c>
    </row>
    <row r="240" spans="1:35" ht="36" x14ac:dyDescent="0.3">
      <c r="A240" s="11" t="s">
        <v>963</v>
      </c>
      <c r="B240" s="11"/>
      <c r="C240" s="33" t="s">
        <v>480</v>
      </c>
      <c r="D240" s="21"/>
      <c r="E240" s="21"/>
      <c r="F240" s="34" t="s">
        <v>159</v>
      </c>
      <c r="G240" s="35">
        <v>0.15</v>
      </c>
      <c r="H240" s="21"/>
      <c r="I240" s="35">
        <v>177.46799999999999</v>
      </c>
      <c r="J240" s="37">
        <v>90.28</v>
      </c>
      <c r="K240" s="12"/>
      <c r="L240" s="12"/>
      <c r="M240" s="37">
        <f>ROUND(ROUND(J240, 2)*I240, 2)</f>
        <v>16021.81</v>
      </c>
      <c r="N240" s="12"/>
      <c r="O240" s="12"/>
      <c r="P240" s="37">
        <v>90.28</v>
      </c>
      <c r="Q240" s="12"/>
      <c r="R240" s="12"/>
      <c r="S240" s="37">
        <f>ROUND(ROUND(P240, 2)*I240, 2)</f>
        <v>16021.81</v>
      </c>
      <c r="T240" s="12"/>
      <c r="U240" s="38"/>
      <c r="V240" s="9">
        <f>ROUND(ROUND(P240, 2)/1.2, 2)</f>
        <v>75.23</v>
      </c>
      <c r="Y240" s="9">
        <f t="shared" si="22"/>
        <v>13351.51</v>
      </c>
      <c r="AD240" s="4" t="s">
        <v>964</v>
      </c>
      <c r="AE240" s="4" t="s">
        <v>965</v>
      </c>
      <c r="AF240" s="4" t="s">
        <v>483</v>
      </c>
    </row>
    <row r="241" spans="1:35" ht="90" x14ac:dyDescent="0.3">
      <c r="A241" s="11" t="s">
        <v>966</v>
      </c>
      <c r="B241" s="11" t="s">
        <v>923</v>
      </c>
      <c r="C241" s="20" t="s">
        <v>924</v>
      </c>
      <c r="D241" s="21"/>
      <c r="E241" s="21" t="s">
        <v>967</v>
      </c>
      <c r="F241" s="21" t="s">
        <v>75</v>
      </c>
      <c r="G241" s="22">
        <v>1</v>
      </c>
      <c r="H241" s="21"/>
      <c r="I241" s="22">
        <v>1183.1199999999999</v>
      </c>
      <c r="J241" s="23">
        <v>35.61</v>
      </c>
      <c r="K241" s="23">
        <v>508</v>
      </c>
      <c r="L241" s="23">
        <f>J241+ROUND(K241, 2)</f>
        <v>543.61</v>
      </c>
      <c r="M241" s="23">
        <v>42130.9</v>
      </c>
      <c r="N241" s="23">
        <v>601024.96</v>
      </c>
      <c r="O241" s="23">
        <f>M241+N241</f>
        <v>643155.86</v>
      </c>
      <c r="P241" s="23">
        <v>48.39</v>
      </c>
      <c r="Q241" s="23">
        <v>508</v>
      </c>
      <c r="R241" s="23">
        <f>P241+ROUND(Q241, 2)</f>
        <v>556.39</v>
      </c>
      <c r="S241" s="23">
        <v>57251.18</v>
      </c>
      <c r="T241" s="23">
        <v>601024.96</v>
      </c>
      <c r="U241" s="23">
        <f>S241+T241</f>
        <v>658276.14</v>
      </c>
      <c r="V241" s="9">
        <f>ROUND(P241 / 1.2, 2)</f>
        <v>40.33</v>
      </c>
      <c r="W241" s="9">
        <f>ROUND(Q241 / 1.2, 2)</f>
        <v>423.33</v>
      </c>
      <c r="X241" s="9">
        <f>ROUND(R241 / 1.2, 2)</f>
        <v>463.66</v>
      </c>
      <c r="Y241" s="9">
        <f t="shared" si="22"/>
        <v>47709.32</v>
      </c>
      <c r="Z241" s="9">
        <f>ROUND(T241 / 1.2, 2)</f>
        <v>500854.13</v>
      </c>
      <c r="AA241" s="9">
        <f>Y241+Z241</f>
        <v>548563.44999999995</v>
      </c>
      <c r="AD241" s="4">
        <v>339118920</v>
      </c>
      <c r="AE241" s="4">
        <v>28975342</v>
      </c>
      <c r="AG241" s="4" t="s">
        <v>926</v>
      </c>
      <c r="AH241" s="4" t="s">
        <v>927</v>
      </c>
      <c r="AI241" s="4" t="s">
        <v>156</v>
      </c>
    </row>
    <row r="242" spans="1:35" ht="36" x14ac:dyDescent="0.3">
      <c r="A242" s="11" t="s">
        <v>968</v>
      </c>
      <c r="B242" s="11"/>
      <c r="C242" s="33" t="s">
        <v>480</v>
      </c>
      <c r="D242" s="21"/>
      <c r="E242" s="21"/>
      <c r="F242" s="34" t="s">
        <v>159</v>
      </c>
      <c r="G242" s="35">
        <v>0.15</v>
      </c>
      <c r="H242" s="21"/>
      <c r="I242" s="35">
        <v>177.46799999999999</v>
      </c>
      <c r="J242" s="37">
        <v>90.28</v>
      </c>
      <c r="K242" s="12"/>
      <c r="L242" s="12"/>
      <c r="M242" s="37">
        <f>ROUND(ROUND(J242, 2)*I242, 2)</f>
        <v>16021.81</v>
      </c>
      <c r="N242" s="12"/>
      <c r="O242" s="12"/>
      <c r="P242" s="37">
        <v>90.28</v>
      </c>
      <c r="Q242" s="12"/>
      <c r="R242" s="12"/>
      <c r="S242" s="37">
        <f>ROUND(ROUND(P242, 2)*I242, 2)</f>
        <v>16021.81</v>
      </c>
      <c r="T242" s="12"/>
      <c r="U242" s="38"/>
      <c r="V242" s="9">
        <f>ROUND(ROUND(P242, 2)/1.2, 2)</f>
        <v>75.23</v>
      </c>
      <c r="Y242" s="9">
        <f t="shared" si="22"/>
        <v>13351.51</v>
      </c>
      <c r="AD242" s="4" t="s">
        <v>969</v>
      </c>
      <c r="AE242" s="4" t="s">
        <v>970</v>
      </c>
      <c r="AF242" s="4" t="s">
        <v>483</v>
      </c>
    </row>
    <row r="243" spans="1:35" ht="54" x14ac:dyDescent="0.3">
      <c r="A243" s="11" t="s">
        <v>971</v>
      </c>
      <c r="B243" s="11"/>
      <c r="C243" s="30" t="s">
        <v>849</v>
      </c>
      <c r="D243" s="21"/>
      <c r="E243" s="21" t="s">
        <v>949</v>
      </c>
      <c r="F243" s="34" t="s">
        <v>159</v>
      </c>
      <c r="G243" s="35">
        <v>1.8</v>
      </c>
      <c r="H243" s="21"/>
      <c r="I243" s="35">
        <v>2129.616</v>
      </c>
      <c r="J243" s="37">
        <v>12.26</v>
      </c>
      <c r="K243" s="12"/>
      <c r="L243" s="12"/>
      <c r="M243" s="37">
        <f>ROUND(ROUND(J243, 2)*I243, 2)</f>
        <v>26109.09</v>
      </c>
      <c r="N243" s="12"/>
      <c r="O243" s="12"/>
      <c r="P243" s="37">
        <v>19.36</v>
      </c>
      <c r="Q243" s="12"/>
      <c r="R243" s="12"/>
      <c r="S243" s="37">
        <f>ROUND(ROUND(P243, 2)*I243, 2)</f>
        <v>41229.370000000003</v>
      </c>
      <c r="T243" s="12"/>
      <c r="U243" s="38"/>
      <c r="V243" s="9">
        <f>ROUND(ROUND(P243, 2)/1.2, 2)</f>
        <v>16.13</v>
      </c>
      <c r="Y243" s="9">
        <f t="shared" si="22"/>
        <v>34357.81</v>
      </c>
      <c r="AD243" s="4" t="s">
        <v>972</v>
      </c>
      <c r="AE243" s="4" t="s">
        <v>973</v>
      </c>
      <c r="AF243" s="4" t="s">
        <v>931</v>
      </c>
    </row>
    <row r="244" spans="1:35" ht="144" x14ac:dyDescent="0.3">
      <c r="A244" s="11" t="s">
        <v>974</v>
      </c>
      <c r="B244" s="11" t="s">
        <v>923</v>
      </c>
      <c r="C244" s="20" t="s">
        <v>924</v>
      </c>
      <c r="D244" s="21"/>
      <c r="E244" s="21" t="s">
        <v>975</v>
      </c>
      <c r="F244" s="21" t="s">
        <v>75</v>
      </c>
      <c r="G244" s="22">
        <v>1</v>
      </c>
      <c r="H244" s="21"/>
      <c r="I244" s="22">
        <v>10252.69</v>
      </c>
      <c r="J244" s="23">
        <v>35.61</v>
      </c>
      <c r="K244" s="23">
        <v>508</v>
      </c>
      <c r="L244" s="23">
        <f>J244+ROUND(K244, 2)</f>
        <v>543.61</v>
      </c>
      <c r="M244" s="23">
        <v>365098.29</v>
      </c>
      <c r="N244" s="23">
        <v>5208366.5199999996</v>
      </c>
      <c r="O244" s="23">
        <f>M244+N244</f>
        <v>5573464.8099999996</v>
      </c>
      <c r="P244" s="23">
        <v>48.39</v>
      </c>
      <c r="Q244" s="23">
        <v>508</v>
      </c>
      <c r="R244" s="23">
        <f>P244+ROUND(Q244, 2)</f>
        <v>556.39</v>
      </c>
      <c r="S244" s="23">
        <v>496127.67</v>
      </c>
      <c r="T244" s="23">
        <v>5208366.5199999996</v>
      </c>
      <c r="U244" s="23">
        <f>S244+T244</f>
        <v>5704494.1899999995</v>
      </c>
      <c r="V244" s="9">
        <f>ROUND(P244 / 1.2, 2)</f>
        <v>40.33</v>
      </c>
      <c r="W244" s="9">
        <f>ROUND(Q244 / 1.2, 2)</f>
        <v>423.33</v>
      </c>
      <c r="X244" s="9">
        <f>ROUND(R244 / 1.2, 2)</f>
        <v>463.66</v>
      </c>
      <c r="Y244" s="9">
        <f t="shared" si="22"/>
        <v>413439.73</v>
      </c>
      <c r="Z244" s="9">
        <f>ROUND(T244 / 1.2, 2)</f>
        <v>4340305.43</v>
      </c>
      <c r="AA244" s="9">
        <f>Y244+Z244</f>
        <v>4753745.16</v>
      </c>
      <c r="AD244" s="4">
        <v>339118921</v>
      </c>
      <c r="AE244" s="4">
        <v>29086448</v>
      </c>
      <c r="AG244" s="4" t="s">
        <v>926</v>
      </c>
      <c r="AH244" s="4" t="s">
        <v>927</v>
      </c>
      <c r="AI244" s="4" t="s">
        <v>156</v>
      </c>
    </row>
    <row r="245" spans="1:35" ht="54" x14ac:dyDescent="0.3">
      <c r="A245" s="11" t="s">
        <v>976</v>
      </c>
      <c r="B245" s="11"/>
      <c r="C245" s="30" t="s">
        <v>849</v>
      </c>
      <c r="D245" s="21"/>
      <c r="E245" s="21" t="s">
        <v>949</v>
      </c>
      <c r="F245" s="34" t="s">
        <v>159</v>
      </c>
      <c r="G245" s="35">
        <v>1.8</v>
      </c>
      <c r="H245" s="21"/>
      <c r="I245" s="35">
        <v>18454.842000000001</v>
      </c>
      <c r="J245" s="37">
        <v>12.26</v>
      </c>
      <c r="K245" s="12"/>
      <c r="L245" s="12"/>
      <c r="M245" s="37">
        <f>ROUND(ROUND(J245, 2)*I245, 2)</f>
        <v>226256.36</v>
      </c>
      <c r="N245" s="12"/>
      <c r="O245" s="12"/>
      <c r="P245" s="37">
        <v>19.36</v>
      </c>
      <c r="Q245" s="12"/>
      <c r="R245" s="12"/>
      <c r="S245" s="37">
        <f>ROUND(ROUND(P245, 2)*I245, 2)</f>
        <v>357285.74</v>
      </c>
      <c r="T245" s="12"/>
      <c r="U245" s="38"/>
      <c r="V245" s="9">
        <f>ROUND(ROUND(P245, 2)/1.2, 2)</f>
        <v>16.13</v>
      </c>
      <c r="Y245" s="9">
        <f t="shared" ref="Y245:Y280" si="23">ROUND(S245 / 1.2, 2)</f>
        <v>297738.12</v>
      </c>
      <c r="AD245" s="4" t="s">
        <v>977</v>
      </c>
      <c r="AE245" s="4" t="s">
        <v>978</v>
      </c>
      <c r="AF245" s="4" t="s">
        <v>931</v>
      </c>
    </row>
    <row r="246" spans="1:35" ht="36" x14ac:dyDescent="0.3">
      <c r="A246" s="11" t="s">
        <v>979</v>
      </c>
      <c r="B246" s="11"/>
      <c r="C246" s="33" t="s">
        <v>480</v>
      </c>
      <c r="D246" s="21"/>
      <c r="E246" s="21"/>
      <c r="F246" s="34" t="s">
        <v>159</v>
      </c>
      <c r="G246" s="35">
        <v>0.15</v>
      </c>
      <c r="H246" s="21"/>
      <c r="I246" s="35">
        <v>1537.904</v>
      </c>
      <c r="J246" s="37">
        <v>90.28</v>
      </c>
      <c r="K246" s="12"/>
      <c r="L246" s="12"/>
      <c r="M246" s="37">
        <f>ROUND(ROUND(J246, 2)*I246, 2)</f>
        <v>138841.97</v>
      </c>
      <c r="N246" s="12"/>
      <c r="O246" s="12"/>
      <c r="P246" s="37">
        <v>90.28</v>
      </c>
      <c r="Q246" s="12"/>
      <c r="R246" s="12"/>
      <c r="S246" s="37">
        <f>ROUND(ROUND(P246, 2)*I246, 2)</f>
        <v>138841.97</v>
      </c>
      <c r="T246" s="12"/>
      <c r="U246" s="38"/>
      <c r="V246" s="9">
        <f>ROUND(ROUND(P246, 2)/1.2, 2)</f>
        <v>75.23</v>
      </c>
      <c r="Y246" s="9">
        <f t="shared" si="23"/>
        <v>115701.64</v>
      </c>
      <c r="AD246" s="4" t="s">
        <v>980</v>
      </c>
      <c r="AE246" s="4" t="s">
        <v>981</v>
      </c>
      <c r="AF246" s="4" t="s">
        <v>483</v>
      </c>
    </row>
    <row r="247" spans="1:35" ht="162" x14ac:dyDescent="0.3">
      <c r="A247" s="11" t="s">
        <v>982</v>
      </c>
      <c r="B247" s="11" t="s">
        <v>923</v>
      </c>
      <c r="C247" s="20" t="s">
        <v>924</v>
      </c>
      <c r="D247" s="21"/>
      <c r="E247" s="21" t="s">
        <v>983</v>
      </c>
      <c r="F247" s="21" t="s">
        <v>75</v>
      </c>
      <c r="G247" s="22">
        <v>1</v>
      </c>
      <c r="H247" s="21"/>
      <c r="I247" s="22">
        <v>652.91</v>
      </c>
      <c r="J247" s="23">
        <v>35.61</v>
      </c>
      <c r="K247" s="23">
        <v>508</v>
      </c>
      <c r="L247" s="23">
        <f>J247+ROUND(K247, 2)</f>
        <v>543.61</v>
      </c>
      <c r="M247" s="23">
        <v>23250.13</v>
      </c>
      <c r="N247" s="23">
        <v>331678.28000000003</v>
      </c>
      <c r="O247" s="23">
        <f>M247+N247</f>
        <v>354928.41000000003</v>
      </c>
      <c r="P247" s="23">
        <v>35.61</v>
      </c>
      <c r="Q247" s="23">
        <v>508</v>
      </c>
      <c r="R247" s="23">
        <f>P247+ROUND(Q247, 2)</f>
        <v>543.61</v>
      </c>
      <c r="S247" s="23">
        <v>23250.13</v>
      </c>
      <c r="T247" s="23">
        <v>331678.28000000003</v>
      </c>
      <c r="U247" s="23">
        <f>S247+T247</f>
        <v>354928.41000000003</v>
      </c>
      <c r="V247" s="9">
        <f>ROUND(P247 / 1.2, 2)</f>
        <v>29.68</v>
      </c>
      <c r="W247" s="9">
        <f>ROUND(Q247 / 1.2, 2)</f>
        <v>423.33</v>
      </c>
      <c r="X247" s="9">
        <f>ROUND(R247 / 1.2, 2)</f>
        <v>453.01</v>
      </c>
      <c r="Y247" s="9">
        <f t="shared" si="23"/>
        <v>19375.11</v>
      </c>
      <c r="Z247" s="9">
        <f>ROUND(T247 / 1.2, 2)</f>
        <v>276398.57</v>
      </c>
      <c r="AA247" s="9">
        <f>Y247+Z247</f>
        <v>295773.68</v>
      </c>
      <c r="AD247" s="4">
        <v>339118922</v>
      </c>
      <c r="AE247" s="4">
        <v>29086447</v>
      </c>
      <c r="AG247" s="4" t="s">
        <v>926</v>
      </c>
      <c r="AH247" s="4" t="s">
        <v>927</v>
      </c>
      <c r="AI247" s="4" t="s">
        <v>156</v>
      </c>
    </row>
    <row r="248" spans="1:35" ht="36" x14ac:dyDescent="0.3">
      <c r="A248" s="11" t="s">
        <v>984</v>
      </c>
      <c r="B248" s="11"/>
      <c r="C248" s="33" t="s">
        <v>480</v>
      </c>
      <c r="D248" s="21"/>
      <c r="E248" s="21"/>
      <c r="F248" s="34" t="s">
        <v>159</v>
      </c>
      <c r="G248" s="35">
        <v>0.15</v>
      </c>
      <c r="H248" s="21"/>
      <c r="I248" s="35">
        <v>97.936999999999998</v>
      </c>
      <c r="J248" s="37">
        <v>90.28</v>
      </c>
      <c r="K248" s="12"/>
      <c r="L248" s="12"/>
      <c r="M248" s="37">
        <f>ROUND(ROUND(J248, 2)*I248, 2)</f>
        <v>8841.75</v>
      </c>
      <c r="N248" s="12"/>
      <c r="O248" s="12"/>
      <c r="P248" s="37">
        <v>90.28</v>
      </c>
      <c r="Q248" s="12"/>
      <c r="R248" s="12"/>
      <c r="S248" s="37">
        <f>ROUND(ROUND(P248, 2)*I248, 2)</f>
        <v>8841.75</v>
      </c>
      <c r="T248" s="12"/>
      <c r="U248" s="38"/>
      <c r="V248" s="9">
        <f>ROUND(ROUND(P248, 2)/1.2, 2)</f>
        <v>75.23</v>
      </c>
      <c r="Y248" s="9">
        <f t="shared" si="23"/>
        <v>7368.13</v>
      </c>
      <c r="AD248" s="4" t="s">
        <v>985</v>
      </c>
      <c r="AE248" s="4" t="s">
        <v>986</v>
      </c>
      <c r="AF248" s="4" t="s">
        <v>483</v>
      </c>
    </row>
    <row r="249" spans="1:35" ht="36" x14ac:dyDescent="0.3">
      <c r="A249" s="11" t="s">
        <v>987</v>
      </c>
      <c r="B249" s="11"/>
      <c r="C249" s="30" t="s">
        <v>849</v>
      </c>
      <c r="D249" s="21"/>
      <c r="E249" s="21"/>
      <c r="F249" s="34" t="s">
        <v>159</v>
      </c>
      <c r="G249" s="35">
        <v>1.8</v>
      </c>
      <c r="H249" s="21"/>
      <c r="I249" s="35">
        <v>1175.2380000000001</v>
      </c>
      <c r="J249" s="37">
        <v>12.26</v>
      </c>
      <c r="K249" s="12"/>
      <c r="L249" s="12"/>
      <c r="M249" s="37">
        <f>ROUND(ROUND(J249, 2)*I249, 2)</f>
        <v>14408.42</v>
      </c>
      <c r="N249" s="12"/>
      <c r="O249" s="12"/>
      <c r="P249" s="37">
        <v>12.26</v>
      </c>
      <c r="Q249" s="12"/>
      <c r="R249" s="12"/>
      <c r="S249" s="37">
        <f>ROUND(ROUND(P249, 2)*I249, 2)</f>
        <v>14408.42</v>
      </c>
      <c r="T249" s="12"/>
      <c r="U249" s="38"/>
      <c r="V249" s="9">
        <f>ROUND(ROUND(P249, 2)/1.2, 2)</f>
        <v>10.220000000000001</v>
      </c>
      <c r="Y249" s="9">
        <f t="shared" si="23"/>
        <v>12007.02</v>
      </c>
      <c r="AD249" s="4" t="s">
        <v>988</v>
      </c>
      <c r="AE249" s="4" t="s">
        <v>989</v>
      </c>
      <c r="AF249" s="4" t="s">
        <v>931</v>
      </c>
    </row>
    <row r="250" spans="1:35" ht="72" x14ac:dyDescent="0.3">
      <c r="A250" s="10" t="s">
        <v>990</v>
      </c>
      <c r="B250" s="10" t="s">
        <v>991</v>
      </c>
      <c r="C250" s="14" t="s">
        <v>992</v>
      </c>
      <c r="D250" s="15"/>
      <c r="E250" s="15" t="s">
        <v>993</v>
      </c>
      <c r="F250" s="15" t="s">
        <v>75</v>
      </c>
      <c r="G250" s="16">
        <v>1</v>
      </c>
      <c r="H250" s="15"/>
      <c r="I250" s="16">
        <v>2099.7800000000002</v>
      </c>
      <c r="J250" s="17">
        <v>35.96</v>
      </c>
      <c r="K250" s="18">
        <v>496</v>
      </c>
      <c r="L250" s="17">
        <f>J250+ROUND(K250, 2)</f>
        <v>531.96</v>
      </c>
      <c r="M250" s="17">
        <v>75508.09</v>
      </c>
      <c r="N250" s="17">
        <v>1041490.88</v>
      </c>
      <c r="O250" s="17">
        <f>M250+N250</f>
        <v>1116998.97</v>
      </c>
      <c r="P250" s="17">
        <v>35.96</v>
      </c>
      <c r="Q250" s="19">
        <v>496</v>
      </c>
      <c r="R250" s="17">
        <f>P250+ROUND(Q250, 2)</f>
        <v>531.96</v>
      </c>
      <c r="S250" s="17">
        <v>75508.09</v>
      </c>
      <c r="T250" s="17">
        <v>1041490.88</v>
      </c>
      <c r="U250" s="17">
        <f>S250+T250</f>
        <v>1116998.97</v>
      </c>
      <c r="V250" s="9">
        <f>ROUND(P250 / 1.2, 2)</f>
        <v>29.97</v>
      </c>
      <c r="W250" s="9">
        <f>ROUND(Q250 / 1.2, 2)</f>
        <v>413.33</v>
      </c>
      <c r="X250" s="9">
        <f>ROUND(R250 / 1.2, 2)</f>
        <v>443.3</v>
      </c>
      <c r="Y250" s="9">
        <f t="shared" si="23"/>
        <v>62923.41</v>
      </c>
      <c r="Z250" s="9">
        <f>ROUND(T250 / 1.2, 2)</f>
        <v>867909.07</v>
      </c>
      <c r="AA250" s="9">
        <f>Y250+Z250</f>
        <v>930832.48</v>
      </c>
      <c r="AD250" s="4">
        <v>339118850</v>
      </c>
      <c r="AE250" s="4">
        <v>25887987</v>
      </c>
      <c r="AG250" s="4" t="s">
        <v>994</v>
      </c>
      <c r="AH250" s="4" t="s">
        <v>995</v>
      </c>
      <c r="AI250" s="4" t="s">
        <v>156</v>
      </c>
    </row>
    <row r="251" spans="1:35" ht="54" x14ac:dyDescent="0.3">
      <c r="A251" s="10" t="s">
        <v>996</v>
      </c>
      <c r="B251" s="10"/>
      <c r="C251" s="30" t="s">
        <v>997</v>
      </c>
      <c r="D251" s="15"/>
      <c r="E251" s="15"/>
      <c r="F251" s="25" t="s">
        <v>159</v>
      </c>
      <c r="G251" s="26">
        <v>1.8</v>
      </c>
      <c r="H251" s="15"/>
      <c r="I251" s="26">
        <v>3779.6039999999998</v>
      </c>
      <c r="J251" s="27">
        <v>12.58</v>
      </c>
      <c r="M251" s="28">
        <f>ROUND(ROUND(J251, 2)*I251, 2)</f>
        <v>47547.42</v>
      </c>
      <c r="P251" s="29">
        <v>12.58</v>
      </c>
      <c r="S251" s="28">
        <f>ROUND(ROUND(P251, 2)*I251, 2)</f>
        <v>47547.42</v>
      </c>
      <c r="V251" s="9">
        <f>ROUND(ROUND(P251, 2)/1.2, 2)</f>
        <v>10.48</v>
      </c>
      <c r="Y251" s="9">
        <f t="shared" si="23"/>
        <v>39622.85</v>
      </c>
      <c r="AD251" s="4" t="s">
        <v>998</v>
      </c>
      <c r="AE251" s="4" t="s">
        <v>999</v>
      </c>
      <c r="AF251" s="4" t="s">
        <v>1000</v>
      </c>
    </row>
    <row r="252" spans="1:35" ht="36" x14ac:dyDescent="0.3">
      <c r="A252" s="10" t="s">
        <v>1001</v>
      </c>
      <c r="B252" s="10"/>
      <c r="C252" s="24" t="s">
        <v>169</v>
      </c>
      <c r="D252" s="15"/>
      <c r="E252" s="15"/>
      <c r="F252" s="25" t="s">
        <v>159</v>
      </c>
      <c r="G252" s="26">
        <v>0.15</v>
      </c>
      <c r="H252" s="15"/>
      <c r="I252" s="26">
        <v>314.96699999999998</v>
      </c>
      <c r="J252" s="27">
        <v>88.8</v>
      </c>
      <c r="M252" s="28">
        <f>ROUND(ROUND(J252, 2)*I252, 2)</f>
        <v>27969.07</v>
      </c>
      <c r="P252" s="29">
        <v>88.8</v>
      </c>
      <c r="S252" s="28">
        <f>ROUND(ROUND(P252, 2)*I252, 2)</f>
        <v>27969.07</v>
      </c>
      <c r="V252" s="9">
        <f>ROUND(ROUND(P252, 2)/1.2, 2)</f>
        <v>74</v>
      </c>
      <c r="Y252" s="9">
        <f t="shared" si="23"/>
        <v>23307.56</v>
      </c>
      <c r="AD252" s="4" t="s">
        <v>1002</v>
      </c>
      <c r="AE252" s="4" t="s">
        <v>1003</v>
      </c>
      <c r="AF252" s="4" t="s">
        <v>172</v>
      </c>
    </row>
    <row r="253" spans="1:35" ht="72" x14ac:dyDescent="0.3">
      <c r="A253" s="10" t="s">
        <v>1004</v>
      </c>
      <c r="B253" s="10" t="s">
        <v>1005</v>
      </c>
      <c r="C253" s="14" t="s">
        <v>1006</v>
      </c>
      <c r="D253" s="15" t="s">
        <v>1007</v>
      </c>
      <c r="E253" s="15" t="s">
        <v>1008</v>
      </c>
      <c r="F253" s="15" t="s">
        <v>75</v>
      </c>
      <c r="G253" s="16">
        <v>1</v>
      </c>
      <c r="H253" s="15"/>
      <c r="I253" s="16">
        <v>35.590000000000003</v>
      </c>
      <c r="J253" s="17">
        <v>329.94</v>
      </c>
      <c r="K253" s="18">
        <v>1165</v>
      </c>
      <c r="L253" s="17">
        <f>J253+ROUND(K253, 2)</f>
        <v>1494.94</v>
      </c>
      <c r="M253" s="17">
        <v>11742.56</v>
      </c>
      <c r="N253" s="17">
        <v>41462.35</v>
      </c>
      <c r="O253" s="17">
        <f>M253+N253</f>
        <v>53204.909999999996</v>
      </c>
      <c r="P253" s="17">
        <v>361.52</v>
      </c>
      <c r="Q253" s="19">
        <v>1165</v>
      </c>
      <c r="R253" s="17">
        <f>P253+ROUND(Q253, 2)</f>
        <v>1526.52</v>
      </c>
      <c r="S253" s="17">
        <v>12866.5</v>
      </c>
      <c r="T253" s="17">
        <v>41462.35</v>
      </c>
      <c r="U253" s="17">
        <f>S253+T253</f>
        <v>54328.85</v>
      </c>
      <c r="V253" s="9">
        <f>ROUND(P253 / 1.2, 2)</f>
        <v>301.27</v>
      </c>
      <c r="W253" s="9">
        <f>ROUND(Q253 / 1.2, 2)</f>
        <v>970.83</v>
      </c>
      <c r="X253" s="9">
        <f>ROUND(R253 / 1.2, 2)</f>
        <v>1272.0999999999999</v>
      </c>
      <c r="Y253" s="9">
        <f t="shared" si="23"/>
        <v>10722.08</v>
      </c>
      <c r="Z253" s="9">
        <f>ROUND(T253 / 1.2, 2)</f>
        <v>34551.96</v>
      </c>
      <c r="AA253" s="9">
        <f>Y253+Z253</f>
        <v>45274.04</v>
      </c>
      <c r="AD253" s="4">
        <v>339118852</v>
      </c>
      <c r="AE253" s="4">
        <v>25888013</v>
      </c>
      <c r="AG253" s="4" t="s">
        <v>1009</v>
      </c>
      <c r="AH253" s="4" t="s">
        <v>1010</v>
      </c>
      <c r="AI253" s="4" t="s">
        <v>156</v>
      </c>
    </row>
    <row r="254" spans="1:35" ht="54" x14ac:dyDescent="0.3">
      <c r="A254" s="10" t="s">
        <v>1011</v>
      </c>
      <c r="B254" s="10"/>
      <c r="C254" s="24" t="s">
        <v>1012</v>
      </c>
      <c r="D254" s="15"/>
      <c r="E254" s="15" t="s">
        <v>1013</v>
      </c>
      <c r="F254" s="25" t="s">
        <v>159</v>
      </c>
      <c r="G254" s="26">
        <v>1.3</v>
      </c>
      <c r="H254" s="15"/>
      <c r="I254" s="32">
        <v>1067.7</v>
      </c>
      <c r="J254" s="27">
        <v>8.6</v>
      </c>
      <c r="M254" s="28">
        <f>ROUND(ROUND(J254, 2)*I254, 2)</f>
        <v>9182.2199999999993</v>
      </c>
      <c r="P254" s="29">
        <v>8.83</v>
      </c>
      <c r="S254" s="28">
        <f>ROUND(ROUND(P254, 2)*I254, 2)</f>
        <v>9427.7900000000009</v>
      </c>
      <c r="V254" s="9">
        <f>ROUND(ROUND(P254, 2)/1.2, 2)</f>
        <v>7.36</v>
      </c>
      <c r="Y254" s="9">
        <f t="shared" si="23"/>
        <v>7856.49</v>
      </c>
      <c r="AD254" s="4" t="s">
        <v>1014</v>
      </c>
      <c r="AE254" s="4" t="s">
        <v>1015</v>
      </c>
      <c r="AF254" s="4" t="s">
        <v>1016</v>
      </c>
    </row>
    <row r="255" spans="1:35" ht="18" x14ac:dyDescent="0.3">
      <c r="A255" s="10" t="s">
        <v>1017</v>
      </c>
      <c r="B255" s="10"/>
      <c r="C255" s="24" t="s">
        <v>1018</v>
      </c>
      <c r="D255" s="15"/>
      <c r="E255" s="15" t="s">
        <v>1019</v>
      </c>
      <c r="F255" s="25" t="s">
        <v>75</v>
      </c>
      <c r="G255" s="26">
        <v>1.1000000000000001</v>
      </c>
      <c r="H255" s="15"/>
      <c r="I255" s="26">
        <v>39.149000000000001</v>
      </c>
      <c r="J255" s="27">
        <v>26</v>
      </c>
      <c r="M255" s="28">
        <f>ROUND(ROUND(J255, 2)*I255, 2)</f>
        <v>1017.87</v>
      </c>
      <c r="P255" s="29">
        <v>48.44</v>
      </c>
      <c r="S255" s="28">
        <f>ROUND(ROUND(P255, 2)*I255, 2)</f>
        <v>1896.38</v>
      </c>
      <c r="V255" s="9">
        <f>ROUND(ROUND(P255, 2)/1.2, 2)</f>
        <v>40.369999999999997</v>
      </c>
      <c r="Y255" s="9">
        <f t="shared" si="23"/>
        <v>1580.32</v>
      </c>
      <c r="AD255" s="4" t="s">
        <v>1020</v>
      </c>
      <c r="AE255" s="4" t="s">
        <v>1021</v>
      </c>
      <c r="AF255" s="4" t="s">
        <v>1022</v>
      </c>
    </row>
    <row r="256" spans="1:35" ht="18" x14ac:dyDescent="0.3">
      <c r="A256" s="10" t="s">
        <v>1023</v>
      </c>
      <c r="B256" s="10"/>
      <c r="C256" s="24" t="s">
        <v>1024</v>
      </c>
      <c r="D256" s="15"/>
      <c r="E256" s="15"/>
      <c r="F256" s="25" t="s">
        <v>120</v>
      </c>
      <c r="G256" s="26">
        <v>1</v>
      </c>
      <c r="H256" s="15"/>
      <c r="I256" s="32">
        <v>35.590000000000003</v>
      </c>
      <c r="J256" s="27">
        <v>18.34</v>
      </c>
      <c r="M256" s="28">
        <f>ROUND(ROUND(J256, 2)*I256, 2)</f>
        <v>652.72</v>
      </c>
      <c r="P256" s="29">
        <v>18.34</v>
      </c>
      <c r="S256" s="28">
        <f>ROUND(ROUND(P256, 2)*I256, 2)</f>
        <v>652.72</v>
      </c>
      <c r="V256" s="9">
        <f>ROUND(ROUND(P256, 2)/1.2, 2)</f>
        <v>15.28</v>
      </c>
      <c r="Y256" s="9">
        <f t="shared" si="23"/>
        <v>543.92999999999995</v>
      </c>
      <c r="AD256" s="4" t="s">
        <v>1025</v>
      </c>
      <c r="AE256" s="4" t="s">
        <v>1026</v>
      </c>
      <c r="AF256" s="4" t="s">
        <v>1027</v>
      </c>
    </row>
    <row r="257" spans="1:35" ht="18" x14ac:dyDescent="0.3">
      <c r="A257" s="10" t="s">
        <v>1028</v>
      </c>
      <c r="B257" s="10"/>
      <c r="C257" s="24" t="s">
        <v>296</v>
      </c>
      <c r="D257" s="15"/>
      <c r="E257" s="15"/>
      <c r="F257" s="25" t="s">
        <v>159</v>
      </c>
      <c r="G257" s="26">
        <v>0.25</v>
      </c>
      <c r="H257" s="15"/>
      <c r="I257" s="26">
        <v>8.8979999999999997</v>
      </c>
      <c r="J257" s="27">
        <v>100</v>
      </c>
      <c r="M257" s="28">
        <f>ROUND(ROUND(J257, 2)*I257, 2)</f>
        <v>889.8</v>
      </c>
      <c r="P257" s="29">
        <v>100</v>
      </c>
      <c r="S257" s="28">
        <f>ROUND(ROUND(P257, 2)*I257, 2)</f>
        <v>889.8</v>
      </c>
      <c r="V257" s="9">
        <f>ROUND(ROUND(P257, 2)/1.2, 2)</f>
        <v>83.33</v>
      </c>
      <c r="Y257" s="9">
        <f t="shared" si="23"/>
        <v>741.5</v>
      </c>
      <c r="AD257" s="4" t="s">
        <v>1029</v>
      </c>
      <c r="AE257" s="4" t="s">
        <v>1030</v>
      </c>
      <c r="AF257" s="4" t="s">
        <v>299</v>
      </c>
    </row>
    <row r="258" spans="1:35" ht="72" x14ac:dyDescent="0.3">
      <c r="A258" s="10" t="s">
        <v>1031</v>
      </c>
      <c r="B258" s="10" t="s">
        <v>1005</v>
      </c>
      <c r="C258" s="14" t="s">
        <v>1006</v>
      </c>
      <c r="D258" s="15" t="s">
        <v>1007</v>
      </c>
      <c r="E258" s="15" t="s">
        <v>1032</v>
      </c>
      <c r="F258" s="15" t="s">
        <v>75</v>
      </c>
      <c r="G258" s="16">
        <v>1</v>
      </c>
      <c r="H258" s="15"/>
      <c r="I258" s="16">
        <v>0</v>
      </c>
      <c r="J258" s="17">
        <v>0</v>
      </c>
      <c r="K258" s="18">
        <v>1165</v>
      </c>
      <c r="L258" s="17">
        <f>J258+ROUND(K258, 2)</f>
        <v>1165</v>
      </c>
      <c r="M258" s="17">
        <v>0</v>
      </c>
      <c r="N258" s="17">
        <v>0</v>
      </c>
      <c r="O258" s="17">
        <f>M258+N258</f>
        <v>0</v>
      </c>
      <c r="P258" s="17">
        <v>361.52</v>
      </c>
      <c r="Q258" s="19">
        <v>1165</v>
      </c>
      <c r="R258" s="17">
        <f>P258+ROUND(Q258, 2)</f>
        <v>1526.52</v>
      </c>
      <c r="S258" s="17">
        <v>0</v>
      </c>
      <c r="T258" s="17">
        <v>0</v>
      </c>
      <c r="U258" s="17">
        <f>S258+T258</f>
        <v>0</v>
      </c>
      <c r="V258" s="9">
        <f>ROUND(P258 / 1.2, 2)</f>
        <v>301.27</v>
      </c>
      <c r="W258" s="9">
        <f>ROUND(Q258 / 1.2, 2)</f>
        <v>970.83</v>
      </c>
      <c r="X258" s="9">
        <f>ROUND(R258 / 1.2, 2)</f>
        <v>1272.0999999999999</v>
      </c>
      <c r="Y258" s="9">
        <f t="shared" si="23"/>
        <v>0</v>
      </c>
      <c r="Z258" s="9">
        <f>ROUND(T258 / 1.2, 2)</f>
        <v>0</v>
      </c>
      <c r="AA258" s="9">
        <f>Y258+Z258</f>
        <v>0</v>
      </c>
      <c r="AD258" s="4">
        <v>339118923</v>
      </c>
      <c r="AE258" s="4">
        <v>25887986</v>
      </c>
      <c r="AG258" s="4" t="s">
        <v>1009</v>
      </c>
      <c r="AH258" s="4" t="s">
        <v>1010</v>
      </c>
      <c r="AI258" s="4" t="s">
        <v>156</v>
      </c>
    </row>
    <row r="259" spans="1:35" ht="18" x14ac:dyDescent="0.3">
      <c r="A259" s="10" t="s">
        <v>1033</v>
      </c>
      <c r="B259" s="10"/>
      <c r="C259" s="24" t="s">
        <v>296</v>
      </c>
      <c r="D259" s="15"/>
      <c r="E259" s="15"/>
      <c r="F259" s="25" t="s">
        <v>159</v>
      </c>
      <c r="G259" s="26">
        <v>0.25</v>
      </c>
      <c r="H259" s="15"/>
      <c r="I259" s="26">
        <v>0</v>
      </c>
      <c r="J259" s="27">
        <v>100</v>
      </c>
      <c r="M259" s="28">
        <f>ROUND(ROUND(J259, 2)*I259, 2)</f>
        <v>0</v>
      </c>
      <c r="P259" s="29">
        <v>100</v>
      </c>
      <c r="S259" s="28">
        <f>ROUND(ROUND(P259, 2)*I259, 2)</f>
        <v>0</v>
      </c>
      <c r="V259" s="9">
        <f>ROUND(ROUND(P259, 2)/1.2, 2)</f>
        <v>83.33</v>
      </c>
      <c r="Y259" s="9">
        <f t="shared" si="23"/>
        <v>0</v>
      </c>
      <c r="AD259" s="4" t="s">
        <v>1034</v>
      </c>
      <c r="AE259" s="4" t="s">
        <v>1035</v>
      </c>
      <c r="AF259" s="4" t="s">
        <v>299</v>
      </c>
    </row>
    <row r="260" spans="1:35" ht="18" x14ac:dyDescent="0.3">
      <c r="A260" s="10" t="s">
        <v>1036</v>
      </c>
      <c r="B260" s="10"/>
      <c r="C260" s="24" t="s">
        <v>1024</v>
      </c>
      <c r="D260" s="15"/>
      <c r="E260" s="15"/>
      <c r="F260" s="25" t="s">
        <v>120</v>
      </c>
      <c r="G260" s="26">
        <v>1</v>
      </c>
      <c r="H260" s="15"/>
      <c r="I260" s="32">
        <v>0</v>
      </c>
      <c r="J260" s="27">
        <v>18.34</v>
      </c>
      <c r="M260" s="28">
        <f>ROUND(ROUND(J260, 2)*I260, 2)</f>
        <v>0</v>
      </c>
      <c r="P260" s="29">
        <v>18.34</v>
      </c>
      <c r="S260" s="28">
        <f>ROUND(ROUND(P260, 2)*I260, 2)</f>
        <v>0</v>
      </c>
      <c r="V260" s="9">
        <f>ROUND(ROUND(P260, 2)/1.2, 2)</f>
        <v>15.28</v>
      </c>
      <c r="Y260" s="9">
        <f t="shared" si="23"/>
        <v>0</v>
      </c>
      <c r="AD260" s="4" t="s">
        <v>1037</v>
      </c>
      <c r="AE260" s="4" t="s">
        <v>1038</v>
      </c>
      <c r="AF260" s="4" t="s">
        <v>1027</v>
      </c>
    </row>
    <row r="261" spans="1:35" ht="18" x14ac:dyDescent="0.3">
      <c r="A261" s="10" t="s">
        <v>1039</v>
      </c>
      <c r="B261" s="10"/>
      <c r="C261" s="24" t="s">
        <v>1018</v>
      </c>
      <c r="D261" s="15"/>
      <c r="E261" s="15" t="s">
        <v>1019</v>
      </c>
      <c r="F261" s="25" t="s">
        <v>75</v>
      </c>
      <c r="G261" s="26">
        <v>1.1000000000000001</v>
      </c>
      <c r="H261" s="15"/>
      <c r="I261" s="26">
        <v>0</v>
      </c>
      <c r="J261" s="27">
        <v>26</v>
      </c>
      <c r="M261" s="28">
        <f>ROUND(ROUND(J261, 2)*I261, 2)</f>
        <v>0</v>
      </c>
      <c r="P261" s="29">
        <v>48.44</v>
      </c>
      <c r="S261" s="28">
        <f>ROUND(ROUND(P261, 2)*I261, 2)</f>
        <v>0</v>
      </c>
      <c r="V261" s="9">
        <f>ROUND(ROUND(P261, 2)/1.2, 2)</f>
        <v>40.369999999999997</v>
      </c>
      <c r="Y261" s="9">
        <f t="shared" si="23"/>
        <v>0</v>
      </c>
      <c r="AD261" s="4" t="s">
        <v>1040</v>
      </c>
      <c r="AE261" s="4" t="s">
        <v>1041</v>
      </c>
      <c r="AF261" s="4" t="s">
        <v>1022</v>
      </c>
    </row>
    <row r="262" spans="1:35" ht="54" x14ac:dyDescent="0.3">
      <c r="A262" s="10" t="s">
        <v>1042</v>
      </c>
      <c r="B262" s="10"/>
      <c r="C262" s="24" t="s">
        <v>1012</v>
      </c>
      <c r="D262" s="15"/>
      <c r="E262" s="15" t="s">
        <v>1013</v>
      </c>
      <c r="F262" s="25" t="s">
        <v>159</v>
      </c>
      <c r="G262" s="26">
        <v>1.3</v>
      </c>
      <c r="H262" s="15"/>
      <c r="I262" s="32">
        <v>0</v>
      </c>
      <c r="J262" s="27">
        <v>8.6</v>
      </c>
      <c r="M262" s="28">
        <f>ROUND(ROUND(J262, 2)*I262, 2)</f>
        <v>0</v>
      </c>
      <c r="P262" s="29">
        <v>8.83</v>
      </c>
      <c r="S262" s="28">
        <f>ROUND(ROUND(P262, 2)*I262, 2)</f>
        <v>0</v>
      </c>
      <c r="V262" s="9">
        <f>ROUND(ROUND(P262, 2)/1.2, 2)</f>
        <v>7.36</v>
      </c>
      <c r="Y262" s="9">
        <f t="shared" si="23"/>
        <v>0</v>
      </c>
      <c r="AD262" s="4" t="s">
        <v>1043</v>
      </c>
      <c r="AE262" s="4" t="s">
        <v>1044</v>
      </c>
      <c r="AF262" s="4" t="s">
        <v>1016</v>
      </c>
    </row>
    <row r="263" spans="1:35" ht="72" x14ac:dyDescent="0.3">
      <c r="A263" s="10" t="s">
        <v>1045</v>
      </c>
      <c r="B263" s="10" t="s">
        <v>1005</v>
      </c>
      <c r="C263" s="14" t="s">
        <v>1006</v>
      </c>
      <c r="D263" s="15" t="s">
        <v>1007</v>
      </c>
      <c r="E263" s="15" t="s">
        <v>1046</v>
      </c>
      <c r="F263" s="15" t="s">
        <v>75</v>
      </c>
      <c r="G263" s="16">
        <v>1</v>
      </c>
      <c r="H263" s="15"/>
      <c r="I263" s="16">
        <v>0</v>
      </c>
      <c r="J263" s="17">
        <v>0</v>
      </c>
      <c r="K263" s="18">
        <v>1165</v>
      </c>
      <c r="L263" s="17">
        <f>J263+ROUND(K263, 2)</f>
        <v>1165</v>
      </c>
      <c r="M263" s="17">
        <v>0</v>
      </c>
      <c r="N263" s="17">
        <v>0</v>
      </c>
      <c r="O263" s="17">
        <f>M263+N263</f>
        <v>0</v>
      </c>
      <c r="P263" s="17">
        <v>361.52</v>
      </c>
      <c r="Q263" s="19">
        <v>1165</v>
      </c>
      <c r="R263" s="17">
        <f>P263+ROUND(Q263, 2)</f>
        <v>1526.52</v>
      </c>
      <c r="S263" s="17">
        <v>0</v>
      </c>
      <c r="T263" s="17">
        <v>0</v>
      </c>
      <c r="U263" s="17">
        <f>S263+T263</f>
        <v>0</v>
      </c>
      <c r="V263" s="9">
        <f>ROUND(P263 / 1.2, 2)</f>
        <v>301.27</v>
      </c>
      <c r="W263" s="9">
        <f>ROUND(Q263 / 1.2, 2)</f>
        <v>970.83</v>
      </c>
      <c r="X263" s="9">
        <f>ROUND(R263 / 1.2, 2)</f>
        <v>1272.0999999999999</v>
      </c>
      <c r="Y263" s="9">
        <f t="shared" si="23"/>
        <v>0</v>
      </c>
      <c r="Z263" s="9">
        <f>ROUND(T263 / 1.2, 2)</f>
        <v>0</v>
      </c>
      <c r="AA263" s="9">
        <f>Y263+Z263</f>
        <v>0</v>
      </c>
      <c r="AD263" s="4">
        <v>339118924</v>
      </c>
      <c r="AE263" s="4">
        <v>25887988</v>
      </c>
      <c r="AG263" s="4" t="s">
        <v>1009</v>
      </c>
      <c r="AH263" s="4" t="s">
        <v>1010</v>
      </c>
      <c r="AI263" s="4" t="s">
        <v>156</v>
      </c>
    </row>
    <row r="264" spans="1:35" ht="54" x14ac:dyDescent="0.3">
      <c r="A264" s="10" t="s">
        <v>1047</v>
      </c>
      <c r="B264" s="10"/>
      <c r="C264" s="24" t="s">
        <v>1012</v>
      </c>
      <c r="D264" s="15"/>
      <c r="E264" s="15" t="s">
        <v>1013</v>
      </c>
      <c r="F264" s="25" t="s">
        <v>159</v>
      </c>
      <c r="G264" s="26">
        <v>1.3</v>
      </c>
      <c r="H264" s="15"/>
      <c r="I264" s="32">
        <v>0</v>
      </c>
      <c r="J264" s="27">
        <v>8.6</v>
      </c>
      <c r="M264" s="28">
        <f>ROUND(ROUND(J264, 2)*I264, 2)</f>
        <v>0</v>
      </c>
      <c r="P264" s="29">
        <v>8.83</v>
      </c>
      <c r="S264" s="28">
        <f>ROUND(ROUND(P264, 2)*I264, 2)</f>
        <v>0</v>
      </c>
      <c r="V264" s="9">
        <f>ROUND(ROUND(P264, 2)/1.2, 2)</f>
        <v>7.36</v>
      </c>
      <c r="Y264" s="9">
        <f t="shared" si="23"/>
        <v>0</v>
      </c>
      <c r="AD264" s="4" t="s">
        <v>1048</v>
      </c>
      <c r="AE264" s="4" t="s">
        <v>1049</v>
      </c>
      <c r="AF264" s="4" t="s">
        <v>1016</v>
      </c>
    </row>
    <row r="265" spans="1:35" ht="18" x14ac:dyDescent="0.3">
      <c r="A265" s="10" t="s">
        <v>1050</v>
      </c>
      <c r="B265" s="10"/>
      <c r="C265" s="24" t="s">
        <v>1018</v>
      </c>
      <c r="D265" s="15"/>
      <c r="E265" s="15" t="s">
        <v>1019</v>
      </c>
      <c r="F265" s="25" t="s">
        <v>75</v>
      </c>
      <c r="G265" s="26">
        <v>1.1000000000000001</v>
      </c>
      <c r="H265" s="15"/>
      <c r="I265" s="26">
        <v>0</v>
      </c>
      <c r="J265" s="27">
        <v>26</v>
      </c>
      <c r="M265" s="28">
        <f>ROUND(ROUND(J265, 2)*I265, 2)</f>
        <v>0</v>
      </c>
      <c r="P265" s="29">
        <v>48.44</v>
      </c>
      <c r="S265" s="28">
        <f>ROUND(ROUND(P265, 2)*I265, 2)</f>
        <v>0</v>
      </c>
      <c r="V265" s="9">
        <f>ROUND(ROUND(P265, 2)/1.2, 2)</f>
        <v>40.369999999999997</v>
      </c>
      <c r="Y265" s="9">
        <f t="shared" si="23"/>
        <v>0</v>
      </c>
      <c r="AD265" s="4" t="s">
        <v>1051</v>
      </c>
      <c r="AE265" s="4" t="s">
        <v>1052</v>
      </c>
      <c r="AF265" s="4" t="s">
        <v>1022</v>
      </c>
    </row>
    <row r="266" spans="1:35" ht="18" x14ac:dyDescent="0.3">
      <c r="A266" s="10" t="s">
        <v>1053</v>
      </c>
      <c r="B266" s="10"/>
      <c r="C266" s="24" t="s">
        <v>1024</v>
      </c>
      <c r="D266" s="15"/>
      <c r="E266" s="15"/>
      <c r="F266" s="25" t="s">
        <v>120</v>
      </c>
      <c r="G266" s="26">
        <v>1</v>
      </c>
      <c r="H266" s="15"/>
      <c r="I266" s="32">
        <v>0</v>
      </c>
      <c r="J266" s="27">
        <v>18.34</v>
      </c>
      <c r="M266" s="28">
        <f>ROUND(ROUND(J266, 2)*I266, 2)</f>
        <v>0</v>
      </c>
      <c r="P266" s="29">
        <v>18.34</v>
      </c>
      <c r="S266" s="28">
        <f>ROUND(ROUND(P266, 2)*I266, 2)</f>
        <v>0</v>
      </c>
      <c r="V266" s="9">
        <f>ROUND(ROUND(P266, 2)/1.2, 2)</f>
        <v>15.28</v>
      </c>
      <c r="Y266" s="9">
        <f t="shared" si="23"/>
        <v>0</v>
      </c>
      <c r="AD266" s="4" t="s">
        <v>1054</v>
      </c>
      <c r="AE266" s="4" t="s">
        <v>1055</v>
      </c>
      <c r="AF266" s="4" t="s">
        <v>1027</v>
      </c>
    </row>
    <row r="267" spans="1:35" ht="18" x14ac:dyDescent="0.3">
      <c r="A267" s="10" t="s">
        <v>1056</v>
      </c>
      <c r="B267" s="10"/>
      <c r="C267" s="24" t="s">
        <v>296</v>
      </c>
      <c r="D267" s="15"/>
      <c r="E267" s="15"/>
      <c r="F267" s="25" t="s">
        <v>159</v>
      </c>
      <c r="G267" s="26">
        <v>0.25</v>
      </c>
      <c r="H267" s="15"/>
      <c r="I267" s="26">
        <v>0</v>
      </c>
      <c r="J267" s="27">
        <v>100</v>
      </c>
      <c r="M267" s="28">
        <f>ROUND(ROUND(J267, 2)*I267, 2)</f>
        <v>0</v>
      </c>
      <c r="P267" s="29">
        <v>100</v>
      </c>
      <c r="S267" s="28">
        <f>ROUND(ROUND(P267, 2)*I267, 2)</f>
        <v>0</v>
      </c>
      <c r="V267" s="9">
        <f>ROUND(ROUND(P267, 2)/1.2, 2)</f>
        <v>83.33</v>
      </c>
      <c r="Y267" s="9">
        <f t="shared" si="23"/>
        <v>0</v>
      </c>
      <c r="AD267" s="4" t="s">
        <v>1057</v>
      </c>
      <c r="AE267" s="4" t="s">
        <v>1058</v>
      </c>
      <c r="AF267" s="4" t="s">
        <v>299</v>
      </c>
    </row>
    <row r="268" spans="1:35" ht="72" x14ac:dyDescent="0.3">
      <c r="A268" s="10" t="s">
        <v>1059</v>
      </c>
      <c r="B268" s="10" t="s">
        <v>1005</v>
      </c>
      <c r="C268" s="14" t="s">
        <v>1006</v>
      </c>
      <c r="D268" s="15" t="s">
        <v>1007</v>
      </c>
      <c r="E268" s="15" t="s">
        <v>1060</v>
      </c>
      <c r="F268" s="15" t="s">
        <v>75</v>
      </c>
      <c r="G268" s="16">
        <v>1</v>
      </c>
      <c r="H268" s="15"/>
      <c r="I268" s="16">
        <v>0</v>
      </c>
      <c r="J268" s="17">
        <v>0</v>
      </c>
      <c r="K268" s="18">
        <v>1165</v>
      </c>
      <c r="L268" s="17">
        <f>J268+ROUND(K268, 2)</f>
        <v>1165</v>
      </c>
      <c r="M268" s="17">
        <v>0</v>
      </c>
      <c r="N268" s="17">
        <v>0</v>
      </c>
      <c r="O268" s="17">
        <f>M268+N268</f>
        <v>0</v>
      </c>
      <c r="P268" s="17">
        <v>349.84</v>
      </c>
      <c r="Q268" s="19">
        <v>1165</v>
      </c>
      <c r="R268" s="17">
        <f>P268+ROUND(Q268, 2)</f>
        <v>1514.84</v>
      </c>
      <c r="S268" s="17">
        <v>0</v>
      </c>
      <c r="T268" s="17">
        <v>0</v>
      </c>
      <c r="U268" s="17">
        <f>S268+T268</f>
        <v>0</v>
      </c>
      <c r="V268" s="9">
        <f>ROUND(P268 / 1.2, 2)</f>
        <v>291.52999999999997</v>
      </c>
      <c r="W268" s="9">
        <f>ROUND(Q268 / 1.2, 2)</f>
        <v>970.83</v>
      </c>
      <c r="X268" s="9">
        <f>ROUND(R268 / 1.2, 2)</f>
        <v>1262.3699999999999</v>
      </c>
      <c r="Y268" s="9">
        <f t="shared" si="23"/>
        <v>0</v>
      </c>
      <c r="Z268" s="9">
        <f>ROUND(T268 / 1.2, 2)</f>
        <v>0</v>
      </c>
      <c r="AA268" s="9">
        <f>Y268+Z268</f>
        <v>0</v>
      </c>
      <c r="AD268" s="4">
        <v>339118925</v>
      </c>
      <c r="AE268" s="4">
        <v>25888014</v>
      </c>
      <c r="AG268" s="4" t="s">
        <v>1009</v>
      </c>
      <c r="AH268" s="4" t="s">
        <v>1010</v>
      </c>
      <c r="AI268" s="4" t="s">
        <v>156</v>
      </c>
    </row>
    <row r="269" spans="1:35" ht="36" x14ac:dyDescent="0.3">
      <c r="A269" s="10" t="s">
        <v>1061</v>
      </c>
      <c r="B269" s="10"/>
      <c r="C269" s="24" t="s">
        <v>480</v>
      </c>
      <c r="D269" s="15"/>
      <c r="E269" s="15"/>
      <c r="F269" s="25" t="s">
        <v>159</v>
      </c>
      <c r="G269" s="26">
        <v>0.15</v>
      </c>
      <c r="H269" s="15"/>
      <c r="I269" s="26">
        <v>0</v>
      </c>
      <c r="J269" s="27">
        <v>88.8</v>
      </c>
      <c r="M269" s="28">
        <f>ROUND(ROUND(J269, 2)*I269, 2)</f>
        <v>0</v>
      </c>
      <c r="P269" s="29">
        <v>88.8</v>
      </c>
      <c r="S269" s="28">
        <f>ROUND(ROUND(P269, 2)*I269, 2)</f>
        <v>0</v>
      </c>
      <c r="V269" s="9">
        <f>ROUND(ROUND(P269, 2)/1.2, 2)</f>
        <v>74</v>
      </c>
      <c r="Y269" s="9">
        <f t="shared" si="23"/>
        <v>0</v>
      </c>
      <c r="AD269" s="4" t="s">
        <v>1062</v>
      </c>
      <c r="AE269" s="4" t="s">
        <v>1063</v>
      </c>
      <c r="AF269" s="4" t="s">
        <v>483</v>
      </c>
    </row>
    <row r="270" spans="1:35" ht="18" x14ac:dyDescent="0.3">
      <c r="A270" s="10" t="s">
        <v>1064</v>
      </c>
      <c r="B270" s="10"/>
      <c r="C270" s="24" t="s">
        <v>1024</v>
      </c>
      <c r="D270" s="15"/>
      <c r="E270" s="15"/>
      <c r="F270" s="25" t="s">
        <v>120</v>
      </c>
      <c r="G270" s="26">
        <v>1</v>
      </c>
      <c r="H270" s="15"/>
      <c r="I270" s="32">
        <v>0</v>
      </c>
      <c r="J270" s="27">
        <v>18.34</v>
      </c>
      <c r="M270" s="28">
        <f>ROUND(ROUND(J270, 2)*I270, 2)</f>
        <v>0</v>
      </c>
      <c r="P270" s="29">
        <v>18.34</v>
      </c>
      <c r="S270" s="28">
        <f>ROUND(ROUND(P270, 2)*I270, 2)</f>
        <v>0</v>
      </c>
      <c r="V270" s="9">
        <f>ROUND(ROUND(P270, 2)/1.2, 2)</f>
        <v>15.28</v>
      </c>
      <c r="Y270" s="9">
        <f t="shared" si="23"/>
        <v>0</v>
      </c>
      <c r="AD270" s="4" t="s">
        <v>1065</v>
      </c>
      <c r="AE270" s="4" t="s">
        <v>1066</v>
      </c>
      <c r="AF270" s="4" t="s">
        <v>1027</v>
      </c>
    </row>
    <row r="271" spans="1:35" ht="18" x14ac:dyDescent="0.3">
      <c r="A271" s="10" t="s">
        <v>1067</v>
      </c>
      <c r="B271" s="10"/>
      <c r="C271" s="24" t="s">
        <v>1018</v>
      </c>
      <c r="D271" s="15"/>
      <c r="E271" s="15" t="s">
        <v>1019</v>
      </c>
      <c r="F271" s="25" t="s">
        <v>75</v>
      </c>
      <c r="G271" s="26">
        <v>1.1000000000000001</v>
      </c>
      <c r="H271" s="15"/>
      <c r="I271" s="26">
        <v>0</v>
      </c>
      <c r="J271" s="27">
        <v>26</v>
      </c>
      <c r="M271" s="28">
        <f>ROUND(ROUND(J271, 2)*I271, 2)</f>
        <v>0</v>
      </c>
      <c r="P271" s="29">
        <v>48.44</v>
      </c>
      <c r="S271" s="28">
        <f>ROUND(ROUND(P271, 2)*I271, 2)</f>
        <v>0</v>
      </c>
      <c r="V271" s="9">
        <f>ROUND(ROUND(P271, 2)/1.2, 2)</f>
        <v>40.369999999999997</v>
      </c>
      <c r="Y271" s="9">
        <f t="shared" si="23"/>
        <v>0</v>
      </c>
      <c r="AD271" s="4" t="s">
        <v>1068</v>
      </c>
      <c r="AE271" s="4" t="s">
        <v>1069</v>
      </c>
      <c r="AF271" s="4" t="s">
        <v>1022</v>
      </c>
    </row>
    <row r="272" spans="1:35" ht="72" x14ac:dyDescent="0.3">
      <c r="A272" s="10" t="s">
        <v>1070</v>
      </c>
      <c r="B272" s="10"/>
      <c r="C272" s="24" t="s">
        <v>1012</v>
      </c>
      <c r="D272" s="15"/>
      <c r="E272" s="15" t="s">
        <v>1071</v>
      </c>
      <c r="F272" s="25" t="s">
        <v>159</v>
      </c>
      <c r="G272" s="26">
        <v>1.3</v>
      </c>
      <c r="H272" s="15"/>
      <c r="I272" s="32">
        <v>0</v>
      </c>
      <c r="J272" s="27">
        <v>8.6</v>
      </c>
      <c r="M272" s="28">
        <f>ROUND(ROUND(J272, 2)*I272, 2)</f>
        <v>0</v>
      </c>
      <c r="P272" s="29">
        <v>8.83</v>
      </c>
      <c r="S272" s="28">
        <f>ROUND(ROUND(P272, 2)*I272, 2)</f>
        <v>0</v>
      </c>
      <c r="V272" s="9">
        <f>ROUND(ROUND(P272, 2)/1.2, 2)</f>
        <v>7.36</v>
      </c>
      <c r="Y272" s="9">
        <f t="shared" si="23"/>
        <v>0</v>
      </c>
      <c r="AD272" s="4" t="s">
        <v>1072</v>
      </c>
      <c r="AE272" s="4" t="s">
        <v>1073</v>
      </c>
      <c r="AF272" s="4" t="s">
        <v>1016</v>
      </c>
    </row>
    <row r="273" spans="1:35" ht="90" x14ac:dyDescent="0.3">
      <c r="A273" s="11" t="s">
        <v>1074</v>
      </c>
      <c r="B273" s="11" t="s">
        <v>1075</v>
      </c>
      <c r="C273" s="20" t="s">
        <v>1076</v>
      </c>
      <c r="D273" s="21"/>
      <c r="E273" s="21" t="s">
        <v>1077</v>
      </c>
      <c r="F273" s="21" t="s">
        <v>75</v>
      </c>
      <c r="G273" s="22">
        <v>1</v>
      </c>
      <c r="H273" s="21"/>
      <c r="I273" s="22">
        <v>3186.15</v>
      </c>
      <c r="J273" s="23">
        <v>268.76</v>
      </c>
      <c r="K273" s="23">
        <v>1073</v>
      </c>
      <c r="L273" s="23">
        <f>J273+ROUND(K273, 2)</f>
        <v>1341.76</v>
      </c>
      <c r="M273" s="23">
        <v>856309.67</v>
      </c>
      <c r="N273" s="23">
        <v>3418738.95</v>
      </c>
      <c r="O273" s="23">
        <f>M273+N273</f>
        <v>4275048.62</v>
      </c>
      <c r="P273" s="23">
        <v>342.75</v>
      </c>
      <c r="Q273" s="23">
        <v>1073</v>
      </c>
      <c r="R273" s="23">
        <f>P273+ROUND(Q273, 2)</f>
        <v>1415.75</v>
      </c>
      <c r="S273" s="23">
        <v>1092052.9099999999</v>
      </c>
      <c r="T273" s="23">
        <v>3418738.95</v>
      </c>
      <c r="U273" s="23">
        <f>S273+T273</f>
        <v>4510791.8600000003</v>
      </c>
      <c r="V273" s="9">
        <f>ROUND(P273 / 1.2, 2)</f>
        <v>285.63</v>
      </c>
      <c r="W273" s="9">
        <f>ROUND(Q273 / 1.2, 2)</f>
        <v>894.17</v>
      </c>
      <c r="X273" s="9">
        <f>ROUND(R273 / 1.2, 2)</f>
        <v>1179.79</v>
      </c>
      <c r="Y273" s="9">
        <f t="shared" si="23"/>
        <v>910044.09</v>
      </c>
      <c r="Z273" s="9">
        <f>ROUND(T273 / 1.2, 2)</f>
        <v>2848949.13</v>
      </c>
      <c r="AA273" s="9">
        <f>Y273+Z273</f>
        <v>3758993.2199999997</v>
      </c>
      <c r="AD273" s="4">
        <v>339118854</v>
      </c>
      <c r="AE273" s="4">
        <v>28951340</v>
      </c>
      <c r="AG273" s="4" t="s">
        <v>1078</v>
      </c>
      <c r="AH273" s="4" t="s">
        <v>1079</v>
      </c>
      <c r="AI273" s="4" t="s">
        <v>156</v>
      </c>
    </row>
    <row r="274" spans="1:35" ht="36" x14ac:dyDescent="0.3">
      <c r="A274" s="11" t="s">
        <v>1080</v>
      </c>
      <c r="B274" s="11"/>
      <c r="C274" s="30" t="s">
        <v>1081</v>
      </c>
      <c r="D274" s="21"/>
      <c r="E274" s="21"/>
      <c r="F274" s="34" t="s">
        <v>159</v>
      </c>
      <c r="G274" s="35">
        <v>1</v>
      </c>
      <c r="H274" s="21"/>
      <c r="I274" s="36">
        <v>95584.5</v>
      </c>
      <c r="J274" s="37">
        <v>7.92</v>
      </c>
      <c r="K274" s="12"/>
      <c r="L274" s="12"/>
      <c r="M274" s="37">
        <f>ROUND(ROUND(J274, 2)*I274, 2)</f>
        <v>757029.24</v>
      </c>
      <c r="N274" s="12"/>
      <c r="O274" s="12"/>
      <c r="P274" s="37">
        <v>7.92</v>
      </c>
      <c r="Q274" s="12"/>
      <c r="R274" s="12"/>
      <c r="S274" s="37">
        <f>ROUND(ROUND(P274, 2)*I274, 2)</f>
        <v>757029.24</v>
      </c>
      <c r="T274" s="12"/>
      <c r="U274" s="38"/>
      <c r="V274" s="9">
        <f>ROUND(ROUND(P274, 2)/1.2, 2)</f>
        <v>6.6</v>
      </c>
      <c r="Y274" s="9">
        <f t="shared" si="23"/>
        <v>630857.69999999995</v>
      </c>
      <c r="AD274" s="4" t="s">
        <v>1082</v>
      </c>
      <c r="AE274" s="4" t="s">
        <v>1083</v>
      </c>
      <c r="AF274" s="4" t="s">
        <v>1084</v>
      </c>
    </row>
    <row r="275" spans="1:35" ht="90" x14ac:dyDescent="0.3">
      <c r="A275" s="11" t="s">
        <v>1085</v>
      </c>
      <c r="B275" s="11"/>
      <c r="C275" s="33" t="s">
        <v>875</v>
      </c>
      <c r="D275" s="21"/>
      <c r="E275" s="21" t="s">
        <v>1086</v>
      </c>
      <c r="F275" s="34" t="s">
        <v>120</v>
      </c>
      <c r="G275" s="35">
        <v>1</v>
      </c>
      <c r="H275" s="21"/>
      <c r="I275" s="36">
        <v>3504.7649999999999</v>
      </c>
      <c r="J275" s="37">
        <v>16.02</v>
      </c>
      <c r="K275" s="12"/>
      <c r="L275" s="12"/>
      <c r="M275" s="37">
        <f>ROUND(ROUND(J275, 2)*I275, 2)</f>
        <v>56146.34</v>
      </c>
      <c r="N275" s="12"/>
      <c r="O275" s="12"/>
      <c r="P275" s="37">
        <v>83.28</v>
      </c>
      <c r="Q275" s="12"/>
      <c r="R275" s="12"/>
      <c r="S275" s="37">
        <f>ROUND(ROUND(P275, 2)*I275, 2)</f>
        <v>291876.83</v>
      </c>
      <c r="T275" s="12"/>
      <c r="U275" s="38"/>
      <c r="V275" s="9">
        <f>ROUND(ROUND(P275, 2)/1.2, 2)</f>
        <v>69.400000000000006</v>
      </c>
      <c r="Y275" s="9">
        <f t="shared" si="23"/>
        <v>243230.69</v>
      </c>
      <c r="AD275" s="4" t="s">
        <v>1087</v>
      </c>
      <c r="AE275" s="4" t="s">
        <v>1088</v>
      </c>
      <c r="AF275" s="4" t="s">
        <v>878</v>
      </c>
    </row>
    <row r="276" spans="1:35" ht="36" x14ac:dyDescent="0.3">
      <c r="A276" s="11" t="s">
        <v>1089</v>
      </c>
      <c r="B276" s="11"/>
      <c r="C276" s="33" t="s">
        <v>480</v>
      </c>
      <c r="D276" s="21"/>
      <c r="E276" s="21"/>
      <c r="F276" s="34" t="s">
        <v>159</v>
      </c>
      <c r="G276" s="35">
        <v>0.15</v>
      </c>
      <c r="H276" s="21"/>
      <c r="I276" s="36">
        <v>477.923</v>
      </c>
      <c r="J276" s="37">
        <v>90.28</v>
      </c>
      <c r="K276" s="12"/>
      <c r="L276" s="12"/>
      <c r="M276" s="37">
        <f>ROUND(ROUND(J276, 2)*I276, 2)</f>
        <v>43146.89</v>
      </c>
      <c r="N276" s="12"/>
      <c r="O276" s="12"/>
      <c r="P276" s="37">
        <v>90.28</v>
      </c>
      <c r="Q276" s="12"/>
      <c r="R276" s="12"/>
      <c r="S276" s="37">
        <f>ROUND(ROUND(P276, 2)*I276, 2)</f>
        <v>43146.89</v>
      </c>
      <c r="T276" s="12"/>
      <c r="U276" s="38"/>
      <c r="V276" s="9">
        <f>ROUND(ROUND(P276, 2)/1.2, 2)</f>
        <v>75.23</v>
      </c>
      <c r="Y276" s="9">
        <f t="shared" si="23"/>
        <v>35955.74</v>
      </c>
      <c r="AD276" s="4" t="s">
        <v>1090</v>
      </c>
      <c r="AE276" s="4" t="s">
        <v>1091</v>
      </c>
      <c r="AF276" s="4" t="s">
        <v>483</v>
      </c>
    </row>
    <row r="277" spans="1:35" ht="54" x14ac:dyDescent="0.3">
      <c r="A277" s="11" t="s">
        <v>1092</v>
      </c>
      <c r="B277" s="11" t="s">
        <v>1075</v>
      </c>
      <c r="C277" s="20" t="s">
        <v>1076</v>
      </c>
      <c r="D277" s="21"/>
      <c r="E277" s="21" t="s">
        <v>1093</v>
      </c>
      <c r="F277" s="21" t="s">
        <v>75</v>
      </c>
      <c r="G277" s="22">
        <v>1</v>
      </c>
      <c r="H277" s="21"/>
      <c r="I277" s="22">
        <v>1183.1199999999999</v>
      </c>
      <c r="J277" s="23">
        <v>280.64</v>
      </c>
      <c r="K277" s="23">
        <v>1073</v>
      </c>
      <c r="L277" s="23">
        <f>J277+ROUND(K277, 2)</f>
        <v>1353.6399999999999</v>
      </c>
      <c r="M277" s="23">
        <v>332030.8</v>
      </c>
      <c r="N277" s="23">
        <v>1269487.76</v>
      </c>
      <c r="O277" s="23">
        <f>M277+N277</f>
        <v>1601518.56</v>
      </c>
      <c r="P277" s="23">
        <v>309.72000000000003</v>
      </c>
      <c r="Q277" s="23">
        <v>1073</v>
      </c>
      <c r="R277" s="23">
        <f>P277+ROUND(Q277, 2)</f>
        <v>1382.72</v>
      </c>
      <c r="S277" s="23">
        <v>366435.93</v>
      </c>
      <c r="T277" s="23">
        <v>1269487.76</v>
      </c>
      <c r="U277" s="23">
        <f>S277+T277</f>
        <v>1635923.69</v>
      </c>
      <c r="V277" s="9">
        <f>ROUND(P277 / 1.2, 2)</f>
        <v>258.10000000000002</v>
      </c>
      <c r="W277" s="9">
        <f>ROUND(Q277 / 1.2, 2)</f>
        <v>894.17</v>
      </c>
      <c r="X277" s="9">
        <f>ROUND(R277 / 1.2, 2)</f>
        <v>1152.27</v>
      </c>
      <c r="Y277" s="9">
        <f t="shared" si="23"/>
        <v>305363.28000000003</v>
      </c>
      <c r="Z277" s="9">
        <f>ROUND(T277 / 1.2, 2)</f>
        <v>1057906.47</v>
      </c>
      <c r="AA277" s="9">
        <f>Y277+Z277</f>
        <v>1363269.75</v>
      </c>
      <c r="AD277" s="4">
        <v>339118926</v>
      </c>
      <c r="AE277" s="4">
        <v>28975340</v>
      </c>
      <c r="AG277" s="4" t="s">
        <v>1078</v>
      </c>
      <c r="AH277" s="4" t="s">
        <v>1079</v>
      </c>
      <c r="AI277" s="4" t="s">
        <v>156</v>
      </c>
    </row>
    <row r="278" spans="1:35" ht="18" x14ac:dyDescent="0.3">
      <c r="A278" s="11" t="s">
        <v>1094</v>
      </c>
      <c r="B278" s="11"/>
      <c r="C278" s="33" t="s">
        <v>296</v>
      </c>
      <c r="D278" s="21"/>
      <c r="E278" s="21"/>
      <c r="F278" s="34" t="s">
        <v>159</v>
      </c>
      <c r="G278" s="35">
        <v>0.25</v>
      </c>
      <c r="H278" s="21"/>
      <c r="I278" s="35">
        <v>295.77999999999997</v>
      </c>
      <c r="J278" s="37">
        <v>101.66</v>
      </c>
      <c r="K278" s="12"/>
      <c r="L278" s="12"/>
      <c r="M278" s="37">
        <f>ROUND(ROUND(J278, 2)*I278, 2)</f>
        <v>30068.99</v>
      </c>
      <c r="N278" s="12"/>
      <c r="O278" s="12"/>
      <c r="P278" s="37">
        <v>101.66</v>
      </c>
      <c r="Q278" s="12"/>
      <c r="R278" s="12"/>
      <c r="S278" s="37">
        <f>ROUND(ROUND(P278, 2)*I278, 2)</f>
        <v>30068.99</v>
      </c>
      <c r="T278" s="12"/>
      <c r="U278" s="38"/>
      <c r="V278" s="9">
        <f>ROUND(ROUND(P278, 2)/1.2, 2)</f>
        <v>84.72</v>
      </c>
      <c r="Y278" s="9">
        <f t="shared" si="23"/>
        <v>25057.49</v>
      </c>
      <c r="AD278" s="4" t="s">
        <v>1095</v>
      </c>
      <c r="AE278" s="4" t="s">
        <v>1096</v>
      </c>
      <c r="AF278" s="4" t="s">
        <v>299</v>
      </c>
    </row>
    <row r="279" spans="1:35" ht="90" x14ac:dyDescent="0.3">
      <c r="A279" s="11" t="s">
        <v>1097</v>
      </c>
      <c r="B279" s="11"/>
      <c r="C279" s="33" t="s">
        <v>875</v>
      </c>
      <c r="D279" s="21"/>
      <c r="E279" s="21" t="s">
        <v>1098</v>
      </c>
      <c r="F279" s="34" t="s">
        <v>120</v>
      </c>
      <c r="G279" s="35">
        <v>1</v>
      </c>
      <c r="H279" s="21"/>
      <c r="I279" s="36">
        <v>1301.432</v>
      </c>
      <c r="J279" s="37">
        <v>16.02</v>
      </c>
      <c r="K279" s="12"/>
      <c r="L279" s="12"/>
      <c r="M279" s="37">
        <f>ROUND(ROUND(J279, 2)*I279, 2)</f>
        <v>20848.939999999999</v>
      </c>
      <c r="N279" s="12"/>
      <c r="O279" s="12"/>
      <c r="P279" s="37">
        <v>42.46</v>
      </c>
      <c r="Q279" s="12"/>
      <c r="R279" s="12"/>
      <c r="S279" s="37">
        <f>ROUND(ROUND(P279, 2)*I279, 2)</f>
        <v>55258.8</v>
      </c>
      <c r="T279" s="12"/>
      <c r="U279" s="38"/>
      <c r="V279" s="9">
        <f>ROUND(ROUND(P279, 2)/1.2, 2)</f>
        <v>35.380000000000003</v>
      </c>
      <c r="Y279" s="9">
        <f t="shared" si="23"/>
        <v>46049</v>
      </c>
      <c r="AD279" s="4" t="s">
        <v>1099</v>
      </c>
      <c r="AE279" s="4" t="s">
        <v>1100</v>
      </c>
      <c r="AF279" s="4" t="s">
        <v>878</v>
      </c>
    </row>
    <row r="280" spans="1:35" ht="36" x14ac:dyDescent="0.3">
      <c r="A280" s="11" t="s">
        <v>1101</v>
      </c>
      <c r="B280" s="11"/>
      <c r="C280" s="30" t="s">
        <v>1081</v>
      </c>
      <c r="D280" s="21"/>
      <c r="E280" s="21"/>
      <c r="F280" s="34" t="s">
        <v>159</v>
      </c>
      <c r="G280" s="35">
        <v>1</v>
      </c>
      <c r="H280" s="21"/>
      <c r="I280" s="36">
        <v>35493.599999999999</v>
      </c>
      <c r="J280" s="37">
        <v>7.92</v>
      </c>
      <c r="K280" s="12"/>
      <c r="L280" s="12"/>
      <c r="M280" s="37">
        <f>ROUND(ROUND(J280, 2)*I280, 2)</f>
        <v>281109.31</v>
      </c>
      <c r="N280" s="12"/>
      <c r="O280" s="12"/>
      <c r="P280" s="37">
        <v>7.92</v>
      </c>
      <c r="Q280" s="12"/>
      <c r="R280" s="12"/>
      <c r="S280" s="37">
        <f>ROUND(ROUND(P280, 2)*I280, 2)</f>
        <v>281109.31</v>
      </c>
      <c r="T280" s="12"/>
      <c r="U280" s="38"/>
      <c r="V280" s="9">
        <f>ROUND(ROUND(P280, 2)/1.2, 2)</f>
        <v>6.6</v>
      </c>
      <c r="Y280" s="9">
        <f t="shared" si="23"/>
        <v>234257.76</v>
      </c>
      <c r="AD280" s="4" t="s">
        <v>1102</v>
      </c>
      <c r="AE280" s="4" t="s">
        <v>1103</v>
      </c>
      <c r="AF280" s="4" t="s">
        <v>1084</v>
      </c>
    </row>
    <row r="281" spans="1:35" ht="16.95" customHeight="1" x14ac:dyDescent="0.3">
      <c r="A281" s="11" t="s">
        <v>1104</v>
      </c>
      <c r="B281" s="11" t="s">
        <v>1105</v>
      </c>
      <c r="C281" s="123" t="s">
        <v>1106</v>
      </c>
      <c r="D281" s="124"/>
      <c r="E281" s="124"/>
      <c r="F281" s="124"/>
      <c r="G281" s="124"/>
      <c r="H281" s="124"/>
      <c r="I281" s="125"/>
      <c r="J281" s="12"/>
      <c r="K281" s="12"/>
      <c r="L281" s="12"/>
      <c r="M281" s="13">
        <f>SUM(M282,M285,M288,M291,M294,M299,M304,M309,M314,M319,M324)</f>
        <v>4352647.0600000005</v>
      </c>
      <c r="N281" s="13">
        <f>SUM(N282,N285,N288,N291,N294,N299,N304,N309,N314,N319,N324)</f>
        <v>6080638.2299999995</v>
      </c>
      <c r="O281" s="13">
        <f>SUM(O282,O285,O288,O291,O294,O299,O304,O309,O314,O319,O324)</f>
        <v>10433285.289999999</v>
      </c>
      <c r="P281" s="12"/>
      <c r="Q281" s="12"/>
      <c r="R281" s="12"/>
      <c r="S281" s="13">
        <f>SUM(S282,S285,S288,S291,S294,S299,S304,S309,S314,S319,S324)</f>
        <v>3230273.8600000003</v>
      </c>
      <c r="T281" s="13">
        <f>SUM(T282,T285,T288,T291,T294,T299,T304,T309,T314,T319,T324)</f>
        <v>6080638.2299999995</v>
      </c>
      <c r="U281" s="13">
        <f>SUM(U282,U285,U288,U291,U294,U299,U304,U309,U314,U319,U324)</f>
        <v>9310912.089999998</v>
      </c>
      <c r="Y281" s="9">
        <f>SUM(Y282,Y285,Y288,Y291,Y294,Y299,Y304,Y309,Y314,Y319,Y324)</f>
        <v>2691894.9</v>
      </c>
      <c r="Z281" s="9">
        <f>SUM(Z282,Z285,Z288,Z291,Z294,Z299,Z304,Z309,Z314,Z319,Z324)</f>
        <v>5067198.5299999993</v>
      </c>
      <c r="AA281" s="9">
        <f>SUM(AA282,AA285,AA288,AA291,AA294,AA299,AA304,AA309,AA314,AA319,AA324)</f>
        <v>7759093.4300000006</v>
      </c>
      <c r="AD281" s="4">
        <v>339118855</v>
      </c>
      <c r="AE281" s="4">
        <v>28951418</v>
      </c>
    </row>
    <row r="282" spans="1:35" ht="36" x14ac:dyDescent="0.3">
      <c r="A282" s="11" t="s">
        <v>1107</v>
      </c>
      <c r="B282" s="11" t="s">
        <v>1108</v>
      </c>
      <c r="C282" s="20" t="s">
        <v>1109</v>
      </c>
      <c r="D282" s="21"/>
      <c r="E282" s="21" t="s">
        <v>1110</v>
      </c>
      <c r="F282" s="21" t="s">
        <v>75</v>
      </c>
      <c r="G282" s="22">
        <v>1</v>
      </c>
      <c r="H282" s="21"/>
      <c r="I282" s="22">
        <v>2520.8339999999998</v>
      </c>
      <c r="J282" s="23">
        <v>383.25</v>
      </c>
      <c r="K282" s="23">
        <v>428</v>
      </c>
      <c r="L282" s="23">
        <f>J282+ROUND(K282, 2)</f>
        <v>811.25</v>
      </c>
      <c r="M282" s="23">
        <v>966109.63</v>
      </c>
      <c r="N282" s="23">
        <v>1078916.95</v>
      </c>
      <c r="O282" s="23">
        <f>M282+N282</f>
        <v>2045026.58</v>
      </c>
      <c r="P282" s="23">
        <v>125.68</v>
      </c>
      <c r="Q282" s="23">
        <v>428</v>
      </c>
      <c r="R282" s="23">
        <f>P282+ROUND(Q282, 2)</f>
        <v>553.68000000000006</v>
      </c>
      <c r="S282" s="23">
        <v>316818.42</v>
      </c>
      <c r="T282" s="23">
        <v>1078916.95</v>
      </c>
      <c r="U282" s="23">
        <f>S282+T282</f>
        <v>1395735.3699999999</v>
      </c>
      <c r="V282" s="9">
        <f>ROUND(P282 / 1.2, 2)</f>
        <v>104.73</v>
      </c>
      <c r="W282" s="9">
        <f>ROUND(Q282 / 1.2, 2)</f>
        <v>356.67</v>
      </c>
      <c r="X282" s="9">
        <f>ROUND(R282 / 1.2, 2)</f>
        <v>461.4</v>
      </c>
      <c r="Y282" s="9">
        <f>ROUND(S282 / 1.2, 2)</f>
        <v>264015.34999999998</v>
      </c>
      <c r="Z282" s="9">
        <f>ROUND(T282 / 1.2, 2)</f>
        <v>899097.46</v>
      </c>
      <c r="AA282" s="9">
        <f>Y282+Z282</f>
        <v>1163112.81</v>
      </c>
      <c r="AD282" s="4">
        <v>339118857</v>
      </c>
      <c r="AE282" s="4">
        <v>28951421</v>
      </c>
      <c r="AG282" s="4" t="s">
        <v>1111</v>
      </c>
      <c r="AH282" s="4" t="s">
        <v>1112</v>
      </c>
      <c r="AI282" s="4" t="s">
        <v>156</v>
      </c>
    </row>
    <row r="283" spans="1:35" ht="108" x14ac:dyDescent="0.3">
      <c r="A283" s="11" t="s">
        <v>1113</v>
      </c>
      <c r="B283" s="11"/>
      <c r="C283" s="33" t="s">
        <v>1114</v>
      </c>
      <c r="D283" s="21"/>
      <c r="E283" s="21" t="s">
        <v>1115</v>
      </c>
      <c r="F283" s="34" t="s">
        <v>159</v>
      </c>
      <c r="G283" s="35">
        <v>0.3</v>
      </c>
      <c r="H283" s="21"/>
      <c r="I283" s="35">
        <v>756.25</v>
      </c>
      <c r="J283" s="37">
        <v>1236.8399999999999</v>
      </c>
      <c r="K283" s="12"/>
      <c r="L283" s="12"/>
      <c r="M283" s="37">
        <f>ROUND(ROUND(J283, 2)*I283, 2)</f>
        <v>935360.25</v>
      </c>
      <c r="N283" s="12"/>
      <c r="O283" s="12"/>
      <c r="P283" s="37">
        <v>378.25</v>
      </c>
      <c r="Q283" s="12"/>
      <c r="R283" s="12"/>
      <c r="S283" s="37">
        <f>ROUND(ROUND(P283, 2)*I283, 2)</f>
        <v>286051.56</v>
      </c>
      <c r="T283" s="12"/>
      <c r="U283" s="38"/>
      <c r="V283" s="9">
        <f>ROUND(ROUND(P283, 2)/1.2, 2)</f>
        <v>315.20999999999998</v>
      </c>
      <c r="Y283" s="9">
        <f t="shared" ref="Y283:Y328" si="24">ROUND(S283 / 1.2, 2)</f>
        <v>238376.3</v>
      </c>
      <c r="AD283" s="4" t="s">
        <v>1116</v>
      </c>
      <c r="AE283" s="4" t="s">
        <v>1117</v>
      </c>
      <c r="AF283" s="4" t="s">
        <v>1118</v>
      </c>
    </row>
    <row r="284" spans="1:35" ht="36" x14ac:dyDescent="0.3">
      <c r="A284" s="11" t="s">
        <v>1119</v>
      </c>
      <c r="B284" s="11"/>
      <c r="C284" s="33" t="s">
        <v>1120</v>
      </c>
      <c r="D284" s="21"/>
      <c r="E284" s="21"/>
      <c r="F284" s="34" t="s">
        <v>159</v>
      </c>
      <c r="G284" s="35">
        <v>0.15</v>
      </c>
      <c r="H284" s="21"/>
      <c r="I284" s="35">
        <v>378.125</v>
      </c>
      <c r="J284" s="37">
        <v>81.34</v>
      </c>
      <c r="K284" s="12"/>
      <c r="L284" s="12"/>
      <c r="M284" s="37">
        <f>ROUND(ROUND(J284, 2)*I284, 2)</f>
        <v>30756.69</v>
      </c>
      <c r="N284" s="12"/>
      <c r="O284" s="12"/>
      <c r="P284" s="37">
        <v>81.34</v>
      </c>
      <c r="Q284" s="12"/>
      <c r="R284" s="12"/>
      <c r="S284" s="37">
        <f>ROUND(ROUND(P284, 2)*I284, 2)</f>
        <v>30756.69</v>
      </c>
      <c r="T284" s="12"/>
      <c r="U284" s="38"/>
      <c r="V284" s="9">
        <f>ROUND(ROUND(P284, 2)/1.2, 2)</f>
        <v>67.78</v>
      </c>
      <c r="Y284" s="9">
        <f t="shared" si="24"/>
        <v>25630.58</v>
      </c>
      <c r="AD284" s="4" t="s">
        <v>1121</v>
      </c>
      <c r="AE284" s="4" t="s">
        <v>1122</v>
      </c>
      <c r="AF284" s="4" t="s">
        <v>1123</v>
      </c>
    </row>
    <row r="285" spans="1:35" ht="36" x14ac:dyDescent="0.3">
      <c r="A285" s="11" t="s">
        <v>1124</v>
      </c>
      <c r="B285" s="11" t="s">
        <v>1108</v>
      </c>
      <c r="C285" s="20" t="s">
        <v>1109</v>
      </c>
      <c r="D285" s="21"/>
      <c r="E285" s="21" t="s">
        <v>1110</v>
      </c>
      <c r="F285" s="21" t="s">
        <v>75</v>
      </c>
      <c r="G285" s="22">
        <v>1</v>
      </c>
      <c r="H285" s="21"/>
      <c r="I285" s="22">
        <v>515.05999999999995</v>
      </c>
      <c r="J285" s="23">
        <v>384.59</v>
      </c>
      <c r="K285" s="23">
        <v>428</v>
      </c>
      <c r="L285" s="23">
        <f>J285+ROUND(K285, 2)</f>
        <v>812.58999999999992</v>
      </c>
      <c r="M285" s="23">
        <v>198086.93</v>
      </c>
      <c r="N285" s="23">
        <v>220445.68</v>
      </c>
      <c r="O285" s="23">
        <f>M285+N285</f>
        <v>418532.61</v>
      </c>
      <c r="P285" s="23">
        <v>127.02</v>
      </c>
      <c r="Q285" s="23">
        <v>428</v>
      </c>
      <c r="R285" s="23">
        <f>P285+ROUND(Q285, 2)</f>
        <v>555.02</v>
      </c>
      <c r="S285" s="23">
        <v>65422.92</v>
      </c>
      <c r="T285" s="23">
        <v>220445.68</v>
      </c>
      <c r="U285" s="23">
        <f>S285+T285</f>
        <v>285868.59999999998</v>
      </c>
      <c r="V285" s="9">
        <f>ROUND(P285 / 1.2, 2)</f>
        <v>105.85</v>
      </c>
      <c r="W285" s="9">
        <f>ROUND(Q285 / 1.2, 2)</f>
        <v>356.67</v>
      </c>
      <c r="X285" s="9">
        <f>ROUND(R285 / 1.2, 2)</f>
        <v>462.52</v>
      </c>
      <c r="Y285" s="9">
        <f t="shared" si="24"/>
        <v>54519.1</v>
      </c>
      <c r="Z285" s="9">
        <f>ROUND(T285 / 1.2, 2)</f>
        <v>183704.73</v>
      </c>
      <c r="AA285" s="9">
        <f>Y285+Z285</f>
        <v>238223.83000000002</v>
      </c>
      <c r="AD285" s="4">
        <v>339118927</v>
      </c>
      <c r="AE285" s="4">
        <v>28951761</v>
      </c>
      <c r="AG285" s="4" t="s">
        <v>1111</v>
      </c>
      <c r="AH285" s="4" t="s">
        <v>1112</v>
      </c>
      <c r="AI285" s="4" t="s">
        <v>156</v>
      </c>
    </row>
    <row r="286" spans="1:35" ht="90" x14ac:dyDescent="0.3">
      <c r="A286" s="11" t="s">
        <v>1125</v>
      </c>
      <c r="B286" s="11"/>
      <c r="C286" s="33" t="s">
        <v>1114</v>
      </c>
      <c r="D286" s="21"/>
      <c r="E286" s="21" t="s">
        <v>1126</v>
      </c>
      <c r="F286" s="34" t="s">
        <v>159</v>
      </c>
      <c r="G286" s="35">
        <v>0.3</v>
      </c>
      <c r="H286" s="21"/>
      <c r="I286" s="35">
        <v>154.518</v>
      </c>
      <c r="J286" s="37">
        <v>1236.8399999999999</v>
      </c>
      <c r="K286" s="12"/>
      <c r="L286" s="12"/>
      <c r="M286" s="37">
        <f>ROUND(ROUND(J286, 2)*I286, 2)</f>
        <v>191114.04</v>
      </c>
      <c r="N286" s="12"/>
      <c r="O286" s="12"/>
      <c r="P286" s="37">
        <v>378.25</v>
      </c>
      <c r="Q286" s="12"/>
      <c r="R286" s="12"/>
      <c r="S286" s="37">
        <f>ROUND(ROUND(P286, 2)*I286, 2)</f>
        <v>58446.43</v>
      </c>
      <c r="T286" s="12"/>
      <c r="U286" s="38"/>
      <c r="V286" s="9">
        <f>ROUND(ROUND(P286, 2)/1.2, 2)</f>
        <v>315.20999999999998</v>
      </c>
      <c r="Y286" s="9">
        <f t="shared" si="24"/>
        <v>48705.36</v>
      </c>
      <c r="AD286" s="4" t="s">
        <v>1127</v>
      </c>
      <c r="AE286" s="4" t="s">
        <v>1128</v>
      </c>
      <c r="AF286" s="4" t="s">
        <v>1118</v>
      </c>
    </row>
    <row r="287" spans="1:35" ht="36" x14ac:dyDescent="0.3">
      <c r="A287" s="11" t="s">
        <v>1129</v>
      </c>
      <c r="B287" s="11"/>
      <c r="C287" s="33" t="s">
        <v>480</v>
      </c>
      <c r="D287" s="21"/>
      <c r="E287" s="21"/>
      <c r="F287" s="34" t="s">
        <v>159</v>
      </c>
      <c r="G287" s="35">
        <v>0.15</v>
      </c>
      <c r="H287" s="21"/>
      <c r="I287" s="35">
        <v>77.259</v>
      </c>
      <c r="J287" s="37">
        <v>90.28</v>
      </c>
      <c r="K287" s="12"/>
      <c r="L287" s="12"/>
      <c r="M287" s="37">
        <f>ROUND(ROUND(J287, 2)*I287, 2)</f>
        <v>6974.94</v>
      </c>
      <c r="N287" s="12"/>
      <c r="O287" s="12"/>
      <c r="P287" s="37">
        <v>90.28</v>
      </c>
      <c r="Q287" s="12"/>
      <c r="R287" s="12"/>
      <c r="S287" s="37">
        <f>ROUND(ROUND(P287, 2)*I287, 2)</f>
        <v>6974.94</v>
      </c>
      <c r="T287" s="12"/>
      <c r="U287" s="38"/>
      <c r="V287" s="9">
        <f>ROUND(ROUND(P287, 2)/1.2, 2)</f>
        <v>75.23</v>
      </c>
      <c r="Y287" s="9">
        <f t="shared" si="24"/>
        <v>5812.45</v>
      </c>
      <c r="AD287" s="4" t="s">
        <v>1130</v>
      </c>
      <c r="AE287" s="4" t="s">
        <v>1131</v>
      </c>
      <c r="AF287" s="4" t="s">
        <v>483</v>
      </c>
    </row>
    <row r="288" spans="1:35" ht="54" x14ac:dyDescent="0.3">
      <c r="A288" s="11" t="s">
        <v>1132</v>
      </c>
      <c r="B288" s="11" t="s">
        <v>1108</v>
      </c>
      <c r="C288" s="20" t="s">
        <v>1109</v>
      </c>
      <c r="D288" s="21"/>
      <c r="E288" s="21" t="s">
        <v>1093</v>
      </c>
      <c r="F288" s="21" t="s">
        <v>75</v>
      </c>
      <c r="G288" s="22">
        <v>1</v>
      </c>
      <c r="H288" s="21"/>
      <c r="I288" s="22">
        <v>1183.1199999999999</v>
      </c>
      <c r="J288" s="23">
        <v>384.59</v>
      </c>
      <c r="K288" s="23">
        <v>428</v>
      </c>
      <c r="L288" s="23">
        <f>J288+ROUND(K288, 2)</f>
        <v>812.58999999999992</v>
      </c>
      <c r="M288" s="23">
        <v>455016.12</v>
      </c>
      <c r="N288" s="23">
        <v>506375.36</v>
      </c>
      <c r="O288" s="23">
        <f>M288+N288</f>
        <v>961391.48</v>
      </c>
      <c r="P288" s="23">
        <v>127.02</v>
      </c>
      <c r="Q288" s="23">
        <v>428</v>
      </c>
      <c r="R288" s="23">
        <f>P288+ROUND(Q288, 2)</f>
        <v>555.02</v>
      </c>
      <c r="S288" s="23">
        <v>150279.9</v>
      </c>
      <c r="T288" s="23">
        <v>506375.36</v>
      </c>
      <c r="U288" s="23">
        <f>S288+T288</f>
        <v>656655.26</v>
      </c>
      <c r="V288" s="9">
        <f>ROUND(P288 / 1.2, 2)</f>
        <v>105.85</v>
      </c>
      <c r="W288" s="9">
        <f>ROUND(Q288 / 1.2, 2)</f>
        <v>356.67</v>
      </c>
      <c r="X288" s="9">
        <f>ROUND(R288 / 1.2, 2)</f>
        <v>462.52</v>
      </c>
      <c r="Y288" s="9">
        <f t="shared" si="24"/>
        <v>125233.25</v>
      </c>
      <c r="Z288" s="9">
        <f>ROUND(T288 / 1.2, 2)</f>
        <v>421979.47</v>
      </c>
      <c r="AA288" s="9">
        <f>Y288+Z288</f>
        <v>547212.72</v>
      </c>
      <c r="AD288" s="4">
        <v>339118928</v>
      </c>
      <c r="AE288" s="4">
        <v>28983431</v>
      </c>
      <c r="AG288" s="4" t="s">
        <v>1111</v>
      </c>
      <c r="AH288" s="4" t="s">
        <v>1112</v>
      </c>
      <c r="AI288" s="4" t="s">
        <v>156</v>
      </c>
    </row>
    <row r="289" spans="1:35" ht="36" x14ac:dyDescent="0.3">
      <c r="A289" s="11" t="s">
        <v>1133</v>
      </c>
      <c r="B289" s="11"/>
      <c r="C289" s="33" t="s">
        <v>480</v>
      </c>
      <c r="D289" s="21"/>
      <c r="E289" s="21"/>
      <c r="F289" s="34" t="s">
        <v>159</v>
      </c>
      <c r="G289" s="35">
        <v>0.15</v>
      </c>
      <c r="H289" s="21"/>
      <c r="I289" s="35">
        <v>177.46799999999999</v>
      </c>
      <c r="J289" s="37">
        <v>90.28</v>
      </c>
      <c r="K289" s="12"/>
      <c r="L289" s="12"/>
      <c r="M289" s="37">
        <f>ROUND(ROUND(J289, 2)*I289, 2)</f>
        <v>16021.81</v>
      </c>
      <c r="N289" s="12"/>
      <c r="O289" s="12"/>
      <c r="P289" s="37">
        <v>90.28</v>
      </c>
      <c r="Q289" s="12"/>
      <c r="R289" s="12"/>
      <c r="S289" s="37">
        <f>ROUND(ROUND(P289, 2)*I289, 2)</f>
        <v>16021.81</v>
      </c>
      <c r="T289" s="12"/>
      <c r="U289" s="38"/>
      <c r="V289" s="9">
        <f>ROUND(ROUND(P289, 2)/1.2, 2)</f>
        <v>75.23</v>
      </c>
      <c r="Y289" s="9">
        <f t="shared" si="24"/>
        <v>13351.51</v>
      </c>
      <c r="AD289" s="4" t="s">
        <v>1134</v>
      </c>
      <c r="AE289" s="4" t="s">
        <v>1135</v>
      </c>
      <c r="AF289" s="4" t="s">
        <v>483</v>
      </c>
    </row>
    <row r="290" spans="1:35" ht="108" x14ac:dyDescent="0.3">
      <c r="A290" s="11" t="s">
        <v>1136</v>
      </c>
      <c r="B290" s="11"/>
      <c r="C290" s="33" t="s">
        <v>1114</v>
      </c>
      <c r="D290" s="21"/>
      <c r="E290" s="21" t="s">
        <v>1137</v>
      </c>
      <c r="F290" s="34" t="s">
        <v>159</v>
      </c>
      <c r="G290" s="35">
        <v>0.3</v>
      </c>
      <c r="H290" s="21"/>
      <c r="I290" s="35">
        <v>354.93599999999998</v>
      </c>
      <c r="J290" s="37">
        <v>1236.8399999999999</v>
      </c>
      <c r="K290" s="12"/>
      <c r="L290" s="12"/>
      <c r="M290" s="37">
        <f>ROUND(ROUND(J290, 2)*I290, 2)</f>
        <v>438999.03999999998</v>
      </c>
      <c r="N290" s="12"/>
      <c r="O290" s="12"/>
      <c r="P290" s="37">
        <v>378.25</v>
      </c>
      <c r="Q290" s="12"/>
      <c r="R290" s="12"/>
      <c r="S290" s="37">
        <f>ROUND(ROUND(P290, 2)*I290, 2)</f>
        <v>134254.54</v>
      </c>
      <c r="T290" s="12"/>
      <c r="U290" s="38"/>
      <c r="V290" s="9">
        <f>ROUND(ROUND(P290, 2)/1.2, 2)</f>
        <v>315.20999999999998</v>
      </c>
      <c r="Y290" s="9">
        <f t="shared" si="24"/>
        <v>111878.78</v>
      </c>
      <c r="AD290" s="4" t="s">
        <v>1138</v>
      </c>
      <c r="AE290" s="4" t="s">
        <v>1139</v>
      </c>
      <c r="AF290" s="4" t="s">
        <v>1118</v>
      </c>
    </row>
    <row r="291" spans="1:35" ht="36" x14ac:dyDescent="0.3">
      <c r="A291" s="11" t="s">
        <v>1140</v>
      </c>
      <c r="B291" s="11" t="s">
        <v>1141</v>
      </c>
      <c r="C291" s="20" t="s">
        <v>1142</v>
      </c>
      <c r="D291" s="21"/>
      <c r="E291" s="21" t="s">
        <v>1143</v>
      </c>
      <c r="F291" s="21" t="s">
        <v>75</v>
      </c>
      <c r="G291" s="22">
        <v>1</v>
      </c>
      <c r="H291" s="21"/>
      <c r="I291" s="22">
        <v>206.42</v>
      </c>
      <c r="J291" s="23">
        <v>295.36</v>
      </c>
      <c r="K291" s="23">
        <v>472.01</v>
      </c>
      <c r="L291" s="23">
        <f>J291+ROUND(K291, 2)</f>
        <v>767.37</v>
      </c>
      <c r="M291" s="23">
        <v>60968.21</v>
      </c>
      <c r="N291" s="23">
        <v>97432.3</v>
      </c>
      <c r="O291" s="23">
        <f>M291+N291</f>
        <v>158400.51</v>
      </c>
      <c r="P291" s="23">
        <v>122.5</v>
      </c>
      <c r="Q291" s="23">
        <v>472.01</v>
      </c>
      <c r="R291" s="23">
        <f>P291+ROUND(Q291, 2)</f>
        <v>594.51</v>
      </c>
      <c r="S291" s="23">
        <v>25286.45</v>
      </c>
      <c r="T291" s="23">
        <v>97432.3</v>
      </c>
      <c r="U291" s="23">
        <f>S291+T291</f>
        <v>122718.75</v>
      </c>
      <c r="V291" s="9">
        <f>ROUND(P291 / 1.2, 2)</f>
        <v>102.08</v>
      </c>
      <c r="W291" s="9">
        <f>ROUND(Q291 / 1.2, 2)</f>
        <v>393.34</v>
      </c>
      <c r="X291" s="9">
        <f>ROUND(R291 / 1.2, 2)</f>
        <v>495.43</v>
      </c>
      <c r="Y291" s="9">
        <f t="shared" si="24"/>
        <v>21072.04</v>
      </c>
      <c r="Z291" s="9">
        <f>ROUND(T291 / 1.2, 2)</f>
        <v>81193.58</v>
      </c>
      <c r="AA291" s="9">
        <f>Y291+Z291</f>
        <v>102265.62</v>
      </c>
      <c r="AD291" s="4">
        <v>339118858</v>
      </c>
      <c r="AE291" s="4">
        <v>28999465</v>
      </c>
      <c r="AG291" s="4" t="s">
        <v>1144</v>
      </c>
      <c r="AH291" s="4" t="s">
        <v>1145</v>
      </c>
      <c r="AI291" s="4" t="s">
        <v>156</v>
      </c>
    </row>
    <row r="292" spans="1:35" ht="108" x14ac:dyDescent="0.3">
      <c r="A292" s="11" t="s">
        <v>1146</v>
      </c>
      <c r="B292" s="11"/>
      <c r="C292" s="33" t="s">
        <v>1147</v>
      </c>
      <c r="D292" s="21"/>
      <c r="E292" s="21" t="s">
        <v>1115</v>
      </c>
      <c r="F292" s="34" t="s">
        <v>159</v>
      </c>
      <c r="G292" s="35">
        <v>0.3</v>
      </c>
      <c r="H292" s="21"/>
      <c r="I292" s="35">
        <v>61.926000000000002</v>
      </c>
      <c r="J292" s="37">
        <v>954.43</v>
      </c>
      <c r="K292" s="12"/>
      <c r="L292" s="12"/>
      <c r="M292" s="37">
        <f>ROUND(ROUND(J292, 2)*I292, 2)</f>
        <v>59104.03</v>
      </c>
      <c r="N292" s="12"/>
      <c r="O292" s="12"/>
      <c r="P292" s="37">
        <v>378.25</v>
      </c>
      <c r="Q292" s="12"/>
      <c r="R292" s="12"/>
      <c r="S292" s="37">
        <f>ROUND(ROUND(P292, 2)*I292, 2)</f>
        <v>23423.51</v>
      </c>
      <c r="T292" s="12"/>
      <c r="U292" s="38"/>
      <c r="V292" s="9">
        <f>ROUND(ROUND(P292, 2)/1.2, 2)</f>
        <v>315.20999999999998</v>
      </c>
      <c r="Y292" s="9">
        <f t="shared" si="24"/>
        <v>19519.59</v>
      </c>
      <c r="AD292" s="4" t="s">
        <v>1148</v>
      </c>
      <c r="AE292" s="4" t="s">
        <v>1149</v>
      </c>
      <c r="AF292" s="4" t="s">
        <v>1150</v>
      </c>
    </row>
    <row r="293" spans="1:35" ht="36" x14ac:dyDescent="0.3">
      <c r="A293" s="11" t="s">
        <v>1151</v>
      </c>
      <c r="B293" s="11"/>
      <c r="C293" s="33" t="s">
        <v>480</v>
      </c>
      <c r="D293" s="21"/>
      <c r="E293" s="21"/>
      <c r="F293" s="34" t="s">
        <v>159</v>
      </c>
      <c r="G293" s="35">
        <v>0.1</v>
      </c>
      <c r="H293" s="21"/>
      <c r="I293" s="35">
        <v>20.641999999999999</v>
      </c>
      <c r="J293" s="37">
        <v>90.28</v>
      </c>
      <c r="K293" s="12"/>
      <c r="L293" s="12"/>
      <c r="M293" s="37">
        <f>ROUND(ROUND(J293, 2)*I293, 2)</f>
        <v>1863.56</v>
      </c>
      <c r="N293" s="12"/>
      <c r="O293" s="12"/>
      <c r="P293" s="37">
        <v>90.28</v>
      </c>
      <c r="Q293" s="12"/>
      <c r="R293" s="12"/>
      <c r="S293" s="37">
        <f>ROUND(ROUND(P293, 2)*I293, 2)</f>
        <v>1863.56</v>
      </c>
      <c r="T293" s="12"/>
      <c r="U293" s="38"/>
      <c r="V293" s="9">
        <f>ROUND(ROUND(P293, 2)/1.2, 2)</f>
        <v>75.23</v>
      </c>
      <c r="Y293" s="9">
        <f t="shared" si="24"/>
        <v>1552.97</v>
      </c>
      <c r="AD293" s="4" t="s">
        <v>1152</v>
      </c>
      <c r="AE293" s="4" t="s">
        <v>1153</v>
      </c>
      <c r="AF293" s="4" t="s">
        <v>483</v>
      </c>
    </row>
    <row r="294" spans="1:35" ht="54" x14ac:dyDescent="0.3">
      <c r="A294" s="11" t="s">
        <v>1154</v>
      </c>
      <c r="B294" s="11" t="s">
        <v>1155</v>
      </c>
      <c r="C294" s="20" t="s">
        <v>1156</v>
      </c>
      <c r="D294" s="21"/>
      <c r="E294" s="21" t="s">
        <v>1157</v>
      </c>
      <c r="F294" s="21" t="s">
        <v>75</v>
      </c>
      <c r="G294" s="22">
        <v>1</v>
      </c>
      <c r="H294" s="21"/>
      <c r="I294" s="22">
        <v>226.14</v>
      </c>
      <c r="J294" s="23">
        <v>1625.55</v>
      </c>
      <c r="K294" s="23">
        <v>2363.9899999999998</v>
      </c>
      <c r="L294" s="23">
        <f>J294+ROUND(K294, 2)</f>
        <v>3989.54</v>
      </c>
      <c r="M294" s="23">
        <v>367601.88</v>
      </c>
      <c r="N294" s="23">
        <v>534592.69999999995</v>
      </c>
      <c r="O294" s="23">
        <f>M294+N294</f>
        <v>902194.58</v>
      </c>
      <c r="P294" s="23">
        <v>1625.55</v>
      </c>
      <c r="Q294" s="23">
        <v>2363.9899999999998</v>
      </c>
      <c r="R294" s="23">
        <f>P294+ROUND(Q294, 2)</f>
        <v>3989.54</v>
      </c>
      <c r="S294" s="23">
        <v>367601.88</v>
      </c>
      <c r="T294" s="23">
        <v>534592.69999999995</v>
      </c>
      <c r="U294" s="23">
        <f>S294+T294</f>
        <v>902194.58</v>
      </c>
      <c r="V294" s="9">
        <f>ROUND(P294 / 1.2, 2)</f>
        <v>1354.63</v>
      </c>
      <c r="W294" s="9">
        <f>ROUND(Q294 / 1.2, 2)</f>
        <v>1969.99</v>
      </c>
      <c r="X294" s="9">
        <f>ROUND(R294 / 1.2, 2)</f>
        <v>3324.62</v>
      </c>
      <c r="Y294" s="9">
        <f t="shared" si="24"/>
        <v>306334.90000000002</v>
      </c>
      <c r="Z294" s="9">
        <f>ROUND(T294 / 1.2, 2)</f>
        <v>445493.92</v>
      </c>
      <c r="AA294" s="9">
        <f>Y294+Z294</f>
        <v>751828.82000000007</v>
      </c>
      <c r="AD294" s="4">
        <v>339118860</v>
      </c>
      <c r="AE294" s="4">
        <v>29086441</v>
      </c>
      <c r="AG294" s="4" t="s">
        <v>1158</v>
      </c>
      <c r="AH294" s="4" t="s">
        <v>1159</v>
      </c>
      <c r="AI294" s="4" t="s">
        <v>156</v>
      </c>
    </row>
    <row r="295" spans="1:35" ht="36" x14ac:dyDescent="0.3">
      <c r="A295" s="11" t="s">
        <v>1160</v>
      </c>
      <c r="B295" s="11"/>
      <c r="C295" s="33" t="s">
        <v>534</v>
      </c>
      <c r="D295" s="21"/>
      <c r="E295" s="21"/>
      <c r="F295" s="34" t="s">
        <v>159</v>
      </c>
      <c r="G295" s="35">
        <v>0.15</v>
      </c>
      <c r="H295" s="21"/>
      <c r="I295" s="35">
        <v>33.920999999999999</v>
      </c>
      <c r="J295" s="37">
        <v>69.540000000000006</v>
      </c>
      <c r="K295" s="12"/>
      <c r="L295" s="12"/>
      <c r="M295" s="37">
        <f>ROUND(ROUND(J295, 2)*I295, 2)</f>
        <v>2358.87</v>
      </c>
      <c r="N295" s="12"/>
      <c r="O295" s="12"/>
      <c r="P295" s="37">
        <v>69.540000000000006</v>
      </c>
      <c r="Q295" s="12"/>
      <c r="R295" s="12"/>
      <c r="S295" s="37">
        <f>ROUND(ROUND(P295, 2)*I295, 2)</f>
        <v>2358.87</v>
      </c>
      <c r="T295" s="12"/>
      <c r="U295" s="38"/>
      <c r="V295" s="9">
        <f>ROUND(ROUND(P295, 2)/1.2, 2)</f>
        <v>57.95</v>
      </c>
      <c r="Y295" s="9">
        <f t="shared" si="24"/>
        <v>1965.73</v>
      </c>
      <c r="AD295" s="4" t="s">
        <v>1161</v>
      </c>
      <c r="AE295" s="4" t="s">
        <v>1162</v>
      </c>
      <c r="AF295" s="4" t="s">
        <v>537</v>
      </c>
    </row>
    <row r="296" spans="1:35" ht="36" x14ac:dyDescent="0.3">
      <c r="A296" s="11" t="s">
        <v>1163</v>
      </c>
      <c r="B296" s="11"/>
      <c r="C296" s="33" t="s">
        <v>510</v>
      </c>
      <c r="D296" s="21"/>
      <c r="E296" s="21"/>
      <c r="F296" s="34" t="s">
        <v>159</v>
      </c>
      <c r="G296" s="35">
        <v>0.25</v>
      </c>
      <c r="H296" s="21"/>
      <c r="I296" s="36">
        <v>56.534999999999997</v>
      </c>
      <c r="J296" s="37">
        <v>40.94</v>
      </c>
      <c r="K296" s="12"/>
      <c r="L296" s="12"/>
      <c r="M296" s="37">
        <f>ROUND(ROUND(J296, 2)*I296, 2)</f>
        <v>2314.54</v>
      </c>
      <c r="N296" s="12"/>
      <c r="O296" s="12"/>
      <c r="P296" s="37">
        <v>40.94</v>
      </c>
      <c r="Q296" s="12"/>
      <c r="R296" s="12"/>
      <c r="S296" s="37">
        <f>ROUND(ROUND(P296, 2)*I296, 2)</f>
        <v>2314.54</v>
      </c>
      <c r="T296" s="12"/>
      <c r="U296" s="38"/>
      <c r="V296" s="9">
        <f>ROUND(ROUND(P296, 2)/1.2, 2)</f>
        <v>34.119999999999997</v>
      </c>
      <c r="Y296" s="9">
        <f t="shared" si="24"/>
        <v>1928.78</v>
      </c>
      <c r="AD296" s="4" t="s">
        <v>1164</v>
      </c>
      <c r="AE296" s="4" t="s">
        <v>1165</v>
      </c>
      <c r="AF296" s="4" t="s">
        <v>513</v>
      </c>
    </row>
    <row r="297" spans="1:35" ht="36" x14ac:dyDescent="0.3">
      <c r="A297" s="11" t="s">
        <v>1166</v>
      </c>
      <c r="B297" s="11"/>
      <c r="C297" s="30" t="s">
        <v>776</v>
      </c>
      <c r="D297" s="21"/>
      <c r="E297" s="21"/>
      <c r="F297" s="34" t="s">
        <v>159</v>
      </c>
      <c r="G297" s="35">
        <v>1.2</v>
      </c>
      <c r="H297" s="21"/>
      <c r="I297" s="36">
        <v>1356.84</v>
      </c>
      <c r="J297" s="37">
        <v>16.38</v>
      </c>
      <c r="K297" s="12"/>
      <c r="L297" s="12"/>
      <c r="M297" s="37">
        <f>ROUND(ROUND(J297, 2)*I297, 2)</f>
        <v>22225.040000000001</v>
      </c>
      <c r="N297" s="12"/>
      <c r="O297" s="12"/>
      <c r="P297" s="37">
        <v>16.38</v>
      </c>
      <c r="Q297" s="12"/>
      <c r="R297" s="12"/>
      <c r="S297" s="37">
        <f>ROUND(ROUND(P297, 2)*I297, 2)</f>
        <v>22225.040000000001</v>
      </c>
      <c r="T297" s="12"/>
      <c r="U297" s="38"/>
      <c r="V297" s="9">
        <f>ROUND(ROUND(P297, 2)/1.2, 2)</f>
        <v>13.65</v>
      </c>
      <c r="Y297" s="9">
        <f t="shared" si="24"/>
        <v>18520.87</v>
      </c>
      <c r="AD297" s="4" t="s">
        <v>1167</v>
      </c>
      <c r="AE297" s="4" t="s">
        <v>1168</v>
      </c>
      <c r="AF297" s="4" t="s">
        <v>779</v>
      </c>
    </row>
    <row r="298" spans="1:35" ht="108" x14ac:dyDescent="0.3">
      <c r="A298" s="11" t="s">
        <v>1169</v>
      </c>
      <c r="B298" s="11"/>
      <c r="C298" s="30" t="s">
        <v>1170</v>
      </c>
      <c r="D298" s="21"/>
      <c r="E298" s="21" t="s">
        <v>1171</v>
      </c>
      <c r="F298" s="34" t="s">
        <v>75</v>
      </c>
      <c r="G298" s="35">
        <v>1.07</v>
      </c>
      <c r="H298" s="21"/>
      <c r="I298" s="36">
        <v>241.97</v>
      </c>
      <c r="J298" s="37">
        <v>1408.04</v>
      </c>
      <c r="K298" s="12"/>
      <c r="L298" s="12"/>
      <c r="M298" s="37">
        <f>ROUND(ROUND(J298, 2)*I298, 2)</f>
        <v>340703.44</v>
      </c>
      <c r="N298" s="12"/>
      <c r="O298" s="12"/>
      <c r="P298" s="37">
        <v>1408.04</v>
      </c>
      <c r="Q298" s="12"/>
      <c r="R298" s="12"/>
      <c r="S298" s="37">
        <f>ROUND(ROUND(P298, 2)*I298, 2)</f>
        <v>340703.44</v>
      </c>
      <c r="T298" s="12"/>
      <c r="U298" s="38"/>
      <c r="V298" s="9">
        <f>ROUND(ROUND(P298, 2)/1.2, 2)</f>
        <v>1173.3699999999999</v>
      </c>
      <c r="Y298" s="9">
        <f t="shared" si="24"/>
        <v>283919.53000000003</v>
      </c>
      <c r="AD298" s="4" t="s">
        <v>1172</v>
      </c>
      <c r="AE298" s="4" t="s">
        <v>1173</v>
      </c>
      <c r="AF298" s="4" t="s">
        <v>1174</v>
      </c>
    </row>
    <row r="299" spans="1:35" ht="54" x14ac:dyDescent="0.3">
      <c r="A299" s="11" t="s">
        <v>1175</v>
      </c>
      <c r="B299" s="11" t="s">
        <v>1155</v>
      </c>
      <c r="C299" s="20" t="s">
        <v>1156</v>
      </c>
      <c r="D299" s="21"/>
      <c r="E299" s="21" t="s">
        <v>1176</v>
      </c>
      <c r="F299" s="21" t="s">
        <v>75</v>
      </c>
      <c r="G299" s="22">
        <v>1</v>
      </c>
      <c r="H299" s="21"/>
      <c r="I299" s="22">
        <v>843.68</v>
      </c>
      <c r="J299" s="23">
        <v>1625.55</v>
      </c>
      <c r="K299" s="23">
        <v>2363.9899999999998</v>
      </c>
      <c r="L299" s="23">
        <f>J299+ROUND(K299, 2)</f>
        <v>3989.54</v>
      </c>
      <c r="M299" s="23">
        <v>1371444.02</v>
      </c>
      <c r="N299" s="23">
        <v>1994451.08</v>
      </c>
      <c r="O299" s="23">
        <f>M299+N299</f>
        <v>3365895.1</v>
      </c>
      <c r="P299" s="23">
        <v>1625.55</v>
      </c>
      <c r="Q299" s="23">
        <v>2363.9899999999998</v>
      </c>
      <c r="R299" s="23">
        <f>P299+ROUND(Q299, 2)</f>
        <v>3989.54</v>
      </c>
      <c r="S299" s="23">
        <v>1371444.02</v>
      </c>
      <c r="T299" s="23">
        <v>1994451.08</v>
      </c>
      <c r="U299" s="23">
        <f>S299+T299</f>
        <v>3365895.1</v>
      </c>
      <c r="V299" s="9">
        <f>ROUND(P299 / 1.2, 2)</f>
        <v>1354.63</v>
      </c>
      <c r="W299" s="9">
        <f>ROUND(Q299 / 1.2, 2)</f>
        <v>1969.99</v>
      </c>
      <c r="X299" s="9">
        <f>ROUND(R299 / 1.2, 2)</f>
        <v>3324.62</v>
      </c>
      <c r="Y299" s="9">
        <f t="shared" si="24"/>
        <v>1142870.02</v>
      </c>
      <c r="Z299" s="9">
        <f>ROUND(T299 / 1.2, 2)</f>
        <v>1662042.57</v>
      </c>
      <c r="AA299" s="9">
        <f>Y299+Z299</f>
        <v>2804912.59</v>
      </c>
      <c r="AD299" s="4">
        <v>339118929</v>
      </c>
      <c r="AE299" s="4">
        <v>29086442</v>
      </c>
      <c r="AG299" s="4" t="s">
        <v>1158</v>
      </c>
      <c r="AH299" s="4" t="s">
        <v>1159</v>
      </c>
      <c r="AI299" s="4" t="s">
        <v>156</v>
      </c>
    </row>
    <row r="300" spans="1:35" ht="108" x14ac:dyDescent="0.3">
      <c r="A300" s="11" t="s">
        <v>1177</v>
      </c>
      <c r="B300" s="11"/>
      <c r="C300" s="30" t="s">
        <v>1170</v>
      </c>
      <c r="D300" s="21"/>
      <c r="E300" s="21" t="s">
        <v>1178</v>
      </c>
      <c r="F300" s="34" t="s">
        <v>75</v>
      </c>
      <c r="G300" s="35">
        <v>1.07</v>
      </c>
      <c r="H300" s="21"/>
      <c r="I300" s="36">
        <v>902.73800000000006</v>
      </c>
      <c r="J300" s="37">
        <v>1408.04</v>
      </c>
      <c r="K300" s="12"/>
      <c r="L300" s="12"/>
      <c r="M300" s="37">
        <f>ROUND(ROUND(J300, 2)*I300, 2)</f>
        <v>1271091.21</v>
      </c>
      <c r="N300" s="12"/>
      <c r="O300" s="12"/>
      <c r="P300" s="37">
        <v>1408.04</v>
      </c>
      <c r="Q300" s="12"/>
      <c r="R300" s="12"/>
      <c r="S300" s="37">
        <f>ROUND(ROUND(P300, 2)*I300, 2)</f>
        <v>1271091.21</v>
      </c>
      <c r="T300" s="12"/>
      <c r="U300" s="38"/>
      <c r="V300" s="9">
        <f>ROUND(ROUND(P300, 2)/1.2, 2)</f>
        <v>1173.3699999999999</v>
      </c>
      <c r="Y300" s="9">
        <f t="shared" si="24"/>
        <v>1059242.68</v>
      </c>
      <c r="AD300" s="4" t="s">
        <v>1179</v>
      </c>
      <c r="AE300" s="4" t="s">
        <v>1180</v>
      </c>
      <c r="AF300" s="4" t="s">
        <v>1174</v>
      </c>
    </row>
    <row r="301" spans="1:35" ht="36" x14ac:dyDescent="0.3">
      <c r="A301" s="11" t="s">
        <v>1181</v>
      </c>
      <c r="B301" s="11"/>
      <c r="C301" s="30" t="s">
        <v>776</v>
      </c>
      <c r="D301" s="21"/>
      <c r="E301" s="21"/>
      <c r="F301" s="34" t="s">
        <v>159</v>
      </c>
      <c r="G301" s="35">
        <v>1.2</v>
      </c>
      <c r="H301" s="21"/>
      <c r="I301" s="36">
        <v>5062.08</v>
      </c>
      <c r="J301" s="37">
        <v>16.38</v>
      </c>
      <c r="K301" s="12"/>
      <c r="L301" s="12"/>
      <c r="M301" s="37">
        <f>ROUND(ROUND(J301, 2)*I301, 2)</f>
        <v>82916.87</v>
      </c>
      <c r="N301" s="12"/>
      <c r="O301" s="12"/>
      <c r="P301" s="37">
        <v>16.38</v>
      </c>
      <c r="Q301" s="12"/>
      <c r="R301" s="12"/>
      <c r="S301" s="37">
        <f>ROUND(ROUND(P301, 2)*I301, 2)</f>
        <v>82916.87</v>
      </c>
      <c r="T301" s="12"/>
      <c r="U301" s="38"/>
      <c r="V301" s="9">
        <f>ROUND(ROUND(P301, 2)/1.2, 2)</f>
        <v>13.65</v>
      </c>
      <c r="Y301" s="9">
        <f t="shared" si="24"/>
        <v>69097.39</v>
      </c>
      <c r="AD301" s="4" t="s">
        <v>1182</v>
      </c>
      <c r="AE301" s="4" t="s">
        <v>1183</v>
      </c>
      <c r="AF301" s="4" t="s">
        <v>779</v>
      </c>
    </row>
    <row r="302" spans="1:35" ht="36" x14ac:dyDescent="0.3">
      <c r="A302" s="11" t="s">
        <v>1184</v>
      </c>
      <c r="B302" s="11"/>
      <c r="C302" s="33" t="s">
        <v>510</v>
      </c>
      <c r="D302" s="21"/>
      <c r="E302" s="21"/>
      <c r="F302" s="34" t="s">
        <v>159</v>
      </c>
      <c r="G302" s="35">
        <v>0.25</v>
      </c>
      <c r="H302" s="21"/>
      <c r="I302" s="36">
        <v>210.92</v>
      </c>
      <c r="J302" s="37">
        <v>40.94</v>
      </c>
      <c r="K302" s="12"/>
      <c r="L302" s="12"/>
      <c r="M302" s="37">
        <f>ROUND(ROUND(J302, 2)*I302, 2)</f>
        <v>8635.06</v>
      </c>
      <c r="N302" s="12"/>
      <c r="O302" s="12"/>
      <c r="P302" s="37">
        <v>40.94</v>
      </c>
      <c r="Q302" s="12"/>
      <c r="R302" s="12"/>
      <c r="S302" s="37">
        <f>ROUND(ROUND(P302, 2)*I302, 2)</f>
        <v>8635.06</v>
      </c>
      <c r="T302" s="12"/>
      <c r="U302" s="38"/>
      <c r="V302" s="9">
        <f>ROUND(ROUND(P302, 2)/1.2, 2)</f>
        <v>34.119999999999997</v>
      </c>
      <c r="Y302" s="9">
        <f t="shared" si="24"/>
        <v>7195.88</v>
      </c>
      <c r="AD302" s="4" t="s">
        <v>1185</v>
      </c>
      <c r="AE302" s="4" t="s">
        <v>1186</v>
      </c>
      <c r="AF302" s="4" t="s">
        <v>513</v>
      </c>
    </row>
    <row r="303" spans="1:35" ht="36" x14ac:dyDescent="0.3">
      <c r="A303" s="11" t="s">
        <v>1187</v>
      </c>
      <c r="B303" s="11"/>
      <c r="C303" s="33" t="s">
        <v>534</v>
      </c>
      <c r="D303" s="21"/>
      <c r="E303" s="21"/>
      <c r="F303" s="34" t="s">
        <v>159</v>
      </c>
      <c r="G303" s="35">
        <v>0.15</v>
      </c>
      <c r="H303" s="21"/>
      <c r="I303" s="35">
        <v>126.55200000000001</v>
      </c>
      <c r="J303" s="37">
        <v>69.540000000000006</v>
      </c>
      <c r="K303" s="12"/>
      <c r="L303" s="12"/>
      <c r="M303" s="37">
        <f>ROUND(ROUND(J303, 2)*I303, 2)</f>
        <v>8800.43</v>
      </c>
      <c r="N303" s="12"/>
      <c r="O303" s="12"/>
      <c r="P303" s="37">
        <v>69.540000000000006</v>
      </c>
      <c r="Q303" s="12"/>
      <c r="R303" s="12"/>
      <c r="S303" s="37">
        <f>ROUND(ROUND(P303, 2)*I303, 2)</f>
        <v>8800.43</v>
      </c>
      <c r="T303" s="12"/>
      <c r="U303" s="38"/>
      <c r="V303" s="9">
        <f>ROUND(ROUND(P303, 2)/1.2, 2)</f>
        <v>57.95</v>
      </c>
      <c r="Y303" s="9">
        <f t="shared" si="24"/>
        <v>7333.69</v>
      </c>
      <c r="AD303" s="4" t="s">
        <v>1188</v>
      </c>
      <c r="AE303" s="4" t="s">
        <v>1189</v>
      </c>
      <c r="AF303" s="4" t="s">
        <v>537</v>
      </c>
    </row>
    <row r="304" spans="1:35" ht="54" x14ac:dyDescent="0.3">
      <c r="A304" s="11" t="s">
        <v>1190</v>
      </c>
      <c r="B304" s="11" t="s">
        <v>1155</v>
      </c>
      <c r="C304" s="20" t="s">
        <v>1156</v>
      </c>
      <c r="D304" s="21"/>
      <c r="E304" s="21" t="s">
        <v>1191</v>
      </c>
      <c r="F304" s="21" t="s">
        <v>75</v>
      </c>
      <c r="G304" s="22">
        <v>1</v>
      </c>
      <c r="H304" s="21"/>
      <c r="I304" s="22">
        <v>355.1</v>
      </c>
      <c r="J304" s="23">
        <v>1146.95</v>
      </c>
      <c r="K304" s="23">
        <v>2363.9899999999998</v>
      </c>
      <c r="L304" s="23">
        <f>J304+ROUND(K304, 2)</f>
        <v>3510.9399999999996</v>
      </c>
      <c r="M304" s="23">
        <v>407281.95</v>
      </c>
      <c r="N304" s="23">
        <v>839452.85</v>
      </c>
      <c r="O304" s="23">
        <f>M304+N304</f>
        <v>1246734.8</v>
      </c>
      <c r="P304" s="23">
        <v>1146.95</v>
      </c>
      <c r="Q304" s="23">
        <v>2363.9899999999998</v>
      </c>
      <c r="R304" s="23">
        <f>P304+ROUND(Q304, 2)</f>
        <v>3510.9399999999996</v>
      </c>
      <c r="S304" s="23">
        <v>407281.95</v>
      </c>
      <c r="T304" s="23">
        <v>839452.85</v>
      </c>
      <c r="U304" s="23">
        <f>S304+T304</f>
        <v>1246734.8</v>
      </c>
      <c r="V304" s="9">
        <f>ROUND(P304 / 1.2, 2)</f>
        <v>955.79</v>
      </c>
      <c r="W304" s="9">
        <f>ROUND(Q304 / 1.2, 2)</f>
        <v>1969.99</v>
      </c>
      <c r="X304" s="9">
        <f>ROUND(R304 / 1.2, 2)</f>
        <v>2925.78</v>
      </c>
      <c r="Y304" s="9">
        <f t="shared" si="24"/>
        <v>339401.63</v>
      </c>
      <c r="Z304" s="9">
        <f>ROUND(T304 / 1.2, 2)</f>
        <v>699544.04</v>
      </c>
      <c r="AA304" s="9">
        <f>Y304+Z304</f>
        <v>1038945.67</v>
      </c>
      <c r="AD304" s="4">
        <v>339118930</v>
      </c>
      <c r="AE304" s="4">
        <v>29086443</v>
      </c>
      <c r="AG304" s="4" t="s">
        <v>1158</v>
      </c>
      <c r="AH304" s="4" t="s">
        <v>1159</v>
      </c>
      <c r="AI304" s="4" t="s">
        <v>156</v>
      </c>
    </row>
    <row r="305" spans="1:35" ht="36" x14ac:dyDescent="0.3">
      <c r="A305" s="11" t="s">
        <v>1192</v>
      </c>
      <c r="B305" s="11"/>
      <c r="C305" s="33" t="s">
        <v>534</v>
      </c>
      <c r="D305" s="21"/>
      <c r="E305" s="21"/>
      <c r="F305" s="34" t="s">
        <v>159</v>
      </c>
      <c r="G305" s="35">
        <v>0.15</v>
      </c>
      <c r="H305" s="21"/>
      <c r="I305" s="35">
        <v>53.265000000000001</v>
      </c>
      <c r="J305" s="37">
        <v>69.540000000000006</v>
      </c>
      <c r="K305" s="12"/>
      <c r="L305" s="12"/>
      <c r="M305" s="37">
        <f>ROUND(ROUND(J305, 2)*I305, 2)</f>
        <v>3704.05</v>
      </c>
      <c r="N305" s="12"/>
      <c r="O305" s="12"/>
      <c r="P305" s="37">
        <v>69.540000000000006</v>
      </c>
      <c r="Q305" s="12"/>
      <c r="R305" s="12"/>
      <c r="S305" s="37">
        <f>ROUND(ROUND(P305, 2)*I305, 2)</f>
        <v>3704.05</v>
      </c>
      <c r="T305" s="12"/>
      <c r="U305" s="38"/>
      <c r="V305" s="9">
        <f>ROUND(ROUND(P305, 2)/1.2, 2)</f>
        <v>57.95</v>
      </c>
      <c r="Y305" s="9">
        <f t="shared" si="24"/>
        <v>3086.71</v>
      </c>
      <c r="AD305" s="4" t="s">
        <v>1193</v>
      </c>
      <c r="AE305" s="4" t="s">
        <v>1194</v>
      </c>
      <c r="AF305" s="4" t="s">
        <v>537</v>
      </c>
    </row>
    <row r="306" spans="1:35" ht="36" x14ac:dyDescent="0.3">
      <c r="A306" s="11" t="s">
        <v>1195</v>
      </c>
      <c r="B306" s="11"/>
      <c r="C306" s="33" t="s">
        <v>510</v>
      </c>
      <c r="D306" s="21"/>
      <c r="E306" s="21"/>
      <c r="F306" s="34" t="s">
        <v>159</v>
      </c>
      <c r="G306" s="35">
        <v>0.25</v>
      </c>
      <c r="H306" s="21"/>
      <c r="I306" s="36">
        <v>88.775000000000006</v>
      </c>
      <c r="J306" s="37">
        <v>40.94</v>
      </c>
      <c r="K306" s="12"/>
      <c r="L306" s="12"/>
      <c r="M306" s="37">
        <f>ROUND(ROUND(J306, 2)*I306, 2)</f>
        <v>3634.45</v>
      </c>
      <c r="N306" s="12"/>
      <c r="O306" s="12"/>
      <c r="P306" s="37">
        <v>40.94</v>
      </c>
      <c r="Q306" s="12"/>
      <c r="R306" s="12"/>
      <c r="S306" s="37">
        <f>ROUND(ROUND(P306, 2)*I306, 2)</f>
        <v>3634.45</v>
      </c>
      <c r="T306" s="12"/>
      <c r="U306" s="38"/>
      <c r="V306" s="9">
        <f>ROUND(ROUND(P306, 2)/1.2, 2)</f>
        <v>34.119999999999997</v>
      </c>
      <c r="Y306" s="9">
        <f t="shared" si="24"/>
        <v>3028.71</v>
      </c>
      <c r="AD306" s="4" t="s">
        <v>1196</v>
      </c>
      <c r="AE306" s="4" t="s">
        <v>1197</v>
      </c>
      <c r="AF306" s="4" t="s">
        <v>513</v>
      </c>
    </row>
    <row r="307" spans="1:35" ht="36" x14ac:dyDescent="0.3">
      <c r="A307" s="11" t="s">
        <v>1198</v>
      </c>
      <c r="B307" s="11"/>
      <c r="C307" s="30" t="s">
        <v>776</v>
      </c>
      <c r="D307" s="21"/>
      <c r="E307" s="21"/>
      <c r="F307" s="34" t="s">
        <v>159</v>
      </c>
      <c r="G307" s="35">
        <v>1.2</v>
      </c>
      <c r="H307" s="21"/>
      <c r="I307" s="36">
        <v>2130.6</v>
      </c>
      <c r="J307" s="37">
        <v>16.38</v>
      </c>
      <c r="K307" s="12"/>
      <c r="L307" s="12"/>
      <c r="M307" s="37">
        <f>ROUND(ROUND(J307, 2)*I307, 2)</f>
        <v>34899.230000000003</v>
      </c>
      <c r="N307" s="12"/>
      <c r="O307" s="12"/>
      <c r="P307" s="37">
        <v>16.38</v>
      </c>
      <c r="Q307" s="12"/>
      <c r="R307" s="12"/>
      <c r="S307" s="37">
        <f>ROUND(ROUND(P307, 2)*I307, 2)</f>
        <v>34899.230000000003</v>
      </c>
      <c r="T307" s="12"/>
      <c r="U307" s="38"/>
      <c r="V307" s="9">
        <f>ROUND(ROUND(P307, 2)/1.2, 2)</f>
        <v>13.65</v>
      </c>
      <c r="Y307" s="9">
        <f t="shared" si="24"/>
        <v>29082.69</v>
      </c>
      <c r="AD307" s="4" t="s">
        <v>1199</v>
      </c>
      <c r="AE307" s="4" t="s">
        <v>1200</v>
      </c>
      <c r="AF307" s="4" t="s">
        <v>779</v>
      </c>
    </row>
    <row r="308" spans="1:35" ht="72" x14ac:dyDescent="0.3">
      <c r="A308" s="11" t="s">
        <v>1201</v>
      </c>
      <c r="B308" s="11"/>
      <c r="C308" s="30" t="s">
        <v>1202</v>
      </c>
      <c r="D308" s="21"/>
      <c r="E308" s="21" t="s">
        <v>1203</v>
      </c>
      <c r="F308" s="34" t="s">
        <v>75</v>
      </c>
      <c r="G308" s="35">
        <v>1.07</v>
      </c>
      <c r="H308" s="21"/>
      <c r="I308" s="36">
        <v>379.95699999999999</v>
      </c>
      <c r="J308" s="37">
        <v>960.75</v>
      </c>
      <c r="K308" s="12"/>
      <c r="L308" s="12"/>
      <c r="M308" s="37">
        <f>ROUND(ROUND(J308, 2)*I308, 2)</f>
        <v>365043.69</v>
      </c>
      <c r="N308" s="12"/>
      <c r="O308" s="12"/>
      <c r="P308" s="37">
        <v>960.75</v>
      </c>
      <c r="Q308" s="12"/>
      <c r="R308" s="12"/>
      <c r="S308" s="37">
        <f>ROUND(ROUND(P308, 2)*I308, 2)</f>
        <v>365043.69</v>
      </c>
      <c r="T308" s="12"/>
      <c r="U308" s="38"/>
      <c r="V308" s="9">
        <f>ROUND(ROUND(P308, 2)/1.2, 2)</f>
        <v>800.63</v>
      </c>
      <c r="Y308" s="9">
        <f t="shared" si="24"/>
        <v>304203.08</v>
      </c>
      <c r="AD308" s="4" t="s">
        <v>1204</v>
      </c>
      <c r="AE308" s="4" t="s">
        <v>1205</v>
      </c>
      <c r="AF308" s="4" t="s">
        <v>1206</v>
      </c>
    </row>
    <row r="309" spans="1:35" ht="54" x14ac:dyDescent="0.3">
      <c r="A309" s="11" t="s">
        <v>1207</v>
      </c>
      <c r="B309" s="11" t="s">
        <v>1155</v>
      </c>
      <c r="C309" s="20" t="s">
        <v>1156</v>
      </c>
      <c r="D309" s="21"/>
      <c r="E309" s="21" t="s">
        <v>1208</v>
      </c>
      <c r="F309" s="21" t="s">
        <v>75</v>
      </c>
      <c r="G309" s="22">
        <v>1</v>
      </c>
      <c r="H309" s="21"/>
      <c r="I309" s="22">
        <v>67.34</v>
      </c>
      <c r="J309" s="23">
        <v>1625.55</v>
      </c>
      <c r="K309" s="23">
        <v>2363.9899999999998</v>
      </c>
      <c r="L309" s="23">
        <f>J309+ROUND(K309, 2)</f>
        <v>3989.54</v>
      </c>
      <c r="M309" s="23">
        <v>109464.54</v>
      </c>
      <c r="N309" s="23">
        <v>159191.09</v>
      </c>
      <c r="O309" s="23">
        <f>M309+N309</f>
        <v>268655.63</v>
      </c>
      <c r="P309" s="23">
        <v>1625.55</v>
      </c>
      <c r="Q309" s="23">
        <v>2363.9899999999998</v>
      </c>
      <c r="R309" s="23">
        <f>P309+ROUND(Q309, 2)</f>
        <v>3989.54</v>
      </c>
      <c r="S309" s="23">
        <v>109464.54</v>
      </c>
      <c r="T309" s="23">
        <v>159191.09</v>
      </c>
      <c r="U309" s="23">
        <f>S309+T309</f>
        <v>268655.63</v>
      </c>
      <c r="V309" s="9">
        <f>ROUND(P309 / 1.2, 2)</f>
        <v>1354.63</v>
      </c>
      <c r="W309" s="9">
        <f>ROUND(Q309 / 1.2, 2)</f>
        <v>1969.99</v>
      </c>
      <c r="X309" s="9">
        <f>ROUND(R309 / 1.2, 2)</f>
        <v>3324.62</v>
      </c>
      <c r="Y309" s="9">
        <f t="shared" si="24"/>
        <v>91220.45</v>
      </c>
      <c r="Z309" s="9">
        <f>ROUND(T309 / 1.2, 2)</f>
        <v>132659.24</v>
      </c>
      <c r="AA309" s="9">
        <f>Y309+Z309</f>
        <v>223879.69</v>
      </c>
      <c r="AD309" s="4">
        <v>339118931</v>
      </c>
      <c r="AE309" s="4">
        <v>29086444</v>
      </c>
      <c r="AG309" s="4" t="s">
        <v>1158</v>
      </c>
      <c r="AH309" s="4" t="s">
        <v>1159</v>
      </c>
      <c r="AI309" s="4" t="s">
        <v>156</v>
      </c>
    </row>
    <row r="310" spans="1:35" ht="90" x14ac:dyDescent="0.3">
      <c r="A310" s="11" t="s">
        <v>1209</v>
      </c>
      <c r="B310" s="11"/>
      <c r="C310" s="30" t="s">
        <v>1170</v>
      </c>
      <c r="D310" s="21"/>
      <c r="E310" s="21" t="s">
        <v>1210</v>
      </c>
      <c r="F310" s="34" t="s">
        <v>75</v>
      </c>
      <c r="G310" s="35">
        <v>1.07</v>
      </c>
      <c r="H310" s="21"/>
      <c r="I310" s="36">
        <v>72.054000000000002</v>
      </c>
      <c r="J310" s="37">
        <v>1408.04</v>
      </c>
      <c r="K310" s="12"/>
      <c r="L310" s="12"/>
      <c r="M310" s="37">
        <f>ROUND(ROUND(J310, 2)*I310, 2)</f>
        <v>101454.91</v>
      </c>
      <c r="N310" s="12"/>
      <c r="O310" s="12"/>
      <c r="P310" s="37">
        <v>1408.04</v>
      </c>
      <c r="Q310" s="12"/>
      <c r="R310" s="12"/>
      <c r="S310" s="37">
        <f>ROUND(ROUND(P310, 2)*I310, 2)</f>
        <v>101454.91</v>
      </c>
      <c r="T310" s="12"/>
      <c r="U310" s="38"/>
      <c r="V310" s="9">
        <f>ROUND(ROUND(P310, 2)/1.2, 2)</f>
        <v>1173.3699999999999</v>
      </c>
      <c r="Y310" s="9">
        <f t="shared" si="24"/>
        <v>84545.76</v>
      </c>
      <c r="AD310" s="4" t="s">
        <v>1211</v>
      </c>
      <c r="AE310" s="4" t="s">
        <v>1212</v>
      </c>
      <c r="AF310" s="4" t="s">
        <v>1174</v>
      </c>
    </row>
    <row r="311" spans="1:35" ht="36" x14ac:dyDescent="0.3">
      <c r="A311" s="11" t="s">
        <v>1213</v>
      </c>
      <c r="B311" s="11"/>
      <c r="C311" s="30" t="s">
        <v>776</v>
      </c>
      <c r="D311" s="21"/>
      <c r="E311" s="21"/>
      <c r="F311" s="34" t="s">
        <v>159</v>
      </c>
      <c r="G311" s="35">
        <v>1.2</v>
      </c>
      <c r="H311" s="21"/>
      <c r="I311" s="36">
        <v>404.04</v>
      </c>
      <c r="J311" s="37">
        <v>16.38</v>
      </c>
      <c r="K311" s="12"/>
      <c r="L311" s="12"/>
      <c r="M311" s="37">
        <f>ROUND(ROUND(J311, 2)*I311, 2)</f>
        <v>6618.18</v>
      </c>
      <c r="N311" s="12"/>
      <c r="O311" s="12"/>
      <c r="P311" s="37">
        <v>16.38</v>
      </c>
      <c r="Q311" s="12"/>
      <c r="R311" s="12"/>
      <c r="S311" s="37">
        <f>ROUND(ROUND(P311, 2)*I311, 2)</f>
        <v>6618.18</v>
      </c>
      <c r="T311" s="12"/>
      <c r="U311" s="38"/>
      <c r="V311" s="9">
        <f>ROUND(ROUND(P311, 2)/1.2, 2)</f>
        <v>13.65</v>
      </c>
      <c r="Y311" s="9">
        <f t="shared" si="24"/>
        <v>5515.15</v>
      </c>
      <c r="AD311" s="4" t="s">
        <v>1214</v>
      </c>
      <c r="AE311" s="4" t="s">
        <v>1215</v>
      </c>
      <c r="AF311" s="4" t="s">
        <v>779</v>
      </c>
    </row>
    <row r="312" spans="1:35" ht="36" x14ac:dyDescent="0.3">
      <c r="A312" s="11" t="s">
        <v>1216</v>
      </c>
      <c r="B312" s="11"/>
      <c r="C312" s="33" t="s">
        <v>510</v>
      </c>
      <c r="D312" s="21"/>
      <c r="E312" s="21"/>
      <c r="F312" s="34" t="s">
        <v>159</v>
      </c>
      <c r="G312" s="35">
        <v>0.25</v>
      </c>
      <c r="H312" s="21"/>
      <c r="I312" s="36">
        <v>16.835000000000001</v>
      </c>
      <c r="J312" s="37">
        <v>40.94</v>
      </c>
      <c r="K312" s="12"/>
      <c r="L312" s="12"/>
      <c r="M312" s="37">
        <f>ROUND(ROUND(J312, 2)*I312, 2)</f>
        <v>689.22</v>
      </c>
      <c r="N312" s="12"/>
      <c r="O312" s="12"/>
      <c r="P312" s="37">
        <v>40.94</v>
      </c>
      <c r="Q312" s="12"/>
      <c r="R312" s="12"/>
      <c r="S312" s="37">
        <f>ROUND(ROUND(P312, 2)*I312, 2)</f>
        <v>689.22</v>
      </c>
      <c r="T312" s="12"/>
      <c r="U312" s="38"/>
      <c r="V312" s="9">
        <f>ROUND(ROUND(P312, 2)/1.2, 2)</f>
        <v>34.119999999999997</v>
      </c>
      <c r="Y312" s="9">
        <f t="shared" si="24"/>
        <v>574.35</v>
      </c>
      <c r="AD312" s="4" t="s">
        <v>1217</v>
      </c>
      <c r="AE312" s="4" t="s">
        <v>1218</v>
      </c>
      <c r="AF312" s="4" t="s">
        <v>513</v>
      </c>
    </row>
    <row r="313" spans="1:35" ht="36" x14ac:dyDescent="0.3">
      <c r="A313" s="11" t="s">
        <v>1219</v>
      </c>
      <c r="B313" s="11"/>
      <c r="C313" s="33" t="s">
        <v>534</v>
      </c>
      <c r="D313" s="21"/>
      <c r="E313" s="21"/>
      <c r="F313" s="34" t="s">
        <v>159</v>
      </c>
      <c r="G313" s="35">
        <v>0.15</v>
      </c>
      <c r="H313" s="21"/>
      <c r="I313" s="35">
        <v>10.101000000000001</v>
      </c>
      <c r="J313" s="37">
        <v>69.540000000000006</v>
      </c>
      <c r="K313" s="12"/>
      <c r="L313" s="12"/>
      <c r="M313" s="37">
        <f>ROUND(ROUND(J313, 2)*I313, 2)</f>
        <v>702.42</v>
      </c>
      <c r="N313" s="12"/>
      <c r="O313" s="12"/>
      <c r="P313" s="37">
        <v>69.540000000000006</v>
      </c>
      <c r="Q313" s="12"/>
      <c r="R313" s="12"/>
      <c r="S313" s="37">
        <f>ROUND(ROUND(P313, 2)*I313, 2)</f>
        <v>702.42</v>
      </c>
      <c r="T313" s="12"/>
      <c r="U313" s="38"/>
      <c r="V313" s="9">
        <f>ROUND(ROUND(P313, 2)/1.2, 2)</f>
        <v>57.95</v>
      </c>
      <c r="Y313" s="9">
        <f t="shared" si="24"/>
        <v>585.35</v>
      </c>
      <c r="AD313" s="4" t="s">
        <v>1220</v>
      </c>
      <c r="AE313" s="4" t="s">
        <v>1221</v>
      </c>
      <c r="AF313" s="4" t="s">
        <v>537</v>
      </c>
    </row>
    <row r="314" spans="1:35" ht="54" x14ac:dyDescent="0.3">
      <c r="A314" s="11" t="s">
        <v>1222</v>
      </c>
      <c r="B314" s="11" t="s">
        <v>1155</v>
      </c>
      <c r="C314" s="20" t="s">
        <v>1156</v>
      </c>
      <c r="D314" s="21"/>
      <c r="E314" s="21" t="s">
        <v>1223</v>
      </c>
      <c r="F314" s="21" t="s">
        <v>75</v>
      </c>
      <c r="G314" s="22">
        <v>1</v>
      </c>
      <c r="H314" s="21"/>
      <c r="I314" s="22">
        <v>132.62</v>
      </c>
      <c r="J314" s="23">
        <v>1357.11</v>
      </c>
      <c r="K314" s="23">
        <v>2363.9899999999998</v>
      </c>
      <c r="L314" s="23">
        <f>J314+ROUND(K314, 2)</f>
        <v>3721.0999999999995</v>
      </c>
      <c r="M314" s="23">
        <v>179979.93</v>
      </c>
      <c r="N314" s="23">
        <v>313512.34999999998</v>
      </c>
      <c r="O314" s="23">
        <f>M314+N314</f>
        <v>493492.27999999997</v>
      </c>
      <c r="P314" s="23">
        <v>1357.11</v>
      </c>
      <c r="Q314" s="23">
        <v>2363.9899999999998</v>
      </c>
      <c r="R314" s="23">
        <f>P314+ROUND(Q314, 2)</f>
        <v>3721.0999999999995</v>
      </c>
      <c r="S314" s="23">
        <v>179979.93</v>
      </c>
      <c r="T314" s="23">
        <v>313512.34999999998</v>
      </c>
      <c r="U314" s="23">
        <f>S314+T314</f>
        <v>493492.27999999997</v>
      </c>
      <c r="V314" s="9">
        <f>ROUND(P314 / 1.2, 2)</f>
        <v>1130.93</v>
      </c>
      <c r="W314" s="9">
        <f>ROUND(Q314 / 1.2, 2)</f>
        <v>1969.99</v>
      </c>
      <c r="X314" s="9">
        <f>ROUND(R314 / 1.2, 2)</f>
        <v>3100.92</v>
      </c>
      <c r="Y314" s="9">
        <f t="shared" si="24"/>
        <v>149983.28</v>
      </c>
      <c r="Z314" s="9">
        <f>ROUND(T314 / 1.2, 2)</f>
        <v>261260.29</v>
      </c>
      <c r="AA314" s="9">
        <f>Y314+Z314</f>
        <v>411243.57</v>
      </c>
      <c r="AD314" s="4">
        <v>339118932</v>
      </c>
      <c r="AE314" s="4">
        <v>29086445</v>
      </c>
      <c r="AG314" s="4" t="s">
        <v>1158</v>
      </c>
      <c r="AH314" s="4" t="s">
        <v>1159</v>
      </c>
      <c r="AI314" s="4" t="s">
        <v>156</v>
      </c>
    </row>
    <row r="315" spans="1:35" ht="36" x14ac:dyDescent="0.3">
      <c r="A315" s="11" t="s">
        <v>1224</v>
      </c>
      <c r="B315" s="11"/>
      <c r="C315" s="33" t="s">
        <v>534</v>
      </c>
      <c r="D315" s="21"/>
      <c r="E315" s="21"/>
      <c r="F315" s="34" t="s">
        <v>159</v>
      </c>
      <c r="G315" s="35">
        <v>0.15</v>
      </c>
      <c r="H315" s="21"/>
      <c r="I315" s="35">
        <v>19.893000000000001</v>
      </c>
      <c r="J315" s="37">
        <v>69.540000000000006</v>
      </c>
      <c r="K315" s="12"/>
      <c r="L315" s="12"/>
      <c r="M315" s="37">
        <f>ROUND(ROUND(J315, 2)*I315, 2)</f>
        <v>1383.36</v>
      </c>
      <c r="N315" s="12"/>
      <c r="O315" s="12"/>
      <c r="P315" s="37">
        <v>69.540000000000006</v>
      </c>
      <c r="Q315" s="12"/>
      <c r="R315" s="12"/>
      <c r="S315" s="37">
        <f>ROUND(ROUND(P315, 2)*I315, 2)</f>
        <v>1383.36</v>
      </c>
      <c r="T315" s="12"/>
      <c r="U315" s="38"/>
      <c r="V315" s="9">
        <f>ROUND(ROUND(P315, 2)/1.2, 2)</f>
        <v>57.95</v>
      </c>
      <c r="Y315" s="9">
        <f t="shared" si="24"/>
        <v>1152.8</v>
      </c>
      <c r="AD315" s="4" t="s">
        <v>1225</v>
      </c>
      <c r="AE315" s="4" t="s">
        <v>1226</v>
      </c>
      <c r="AF315" s="4" t="s">
        <v>537</v>
      </c>
    </row>
    <row r="316" spans="1:35" ht="36" x14ac:dyDescent="0.3">
      <c r="A316" s="11" t="s">
        <v>1227</v>
      </c>
      <c r="B316" s="11"/>
      <c r="C316" s="33" t="s">
        <v>510</v>
      </c>
      <c r="D316" s="21"/>
      <c r="E316" s="21"/>
      <c r="F316" s="34" t="s">
        <v>159</v>
      </c>
      <c r="G316" s="35">
        <v>0.25</v>
      </c>
      <c r="H316" s="21"/>
      <c r="I316" s="36">
        <v>33.155000000000001</v>
      </c>
      <c r="J316" s="37">
        <v>40.94</v>
      </c>
      <c r="K316" s="12"/>
      <c r="L316" s="12"/>
      <c r="M316" s="37">
        <f>ROUND(ROUND(J316, 2)*I316, 2)</f>
        <v>1357.37</v>
      </c>
      <c r="N316" s="12"/>
      <c r="O316" s="12"/>
      <c r="P316" s="37">
        <v>40.94</v>
      </c>
      <c r="Q316" s="12"/>
      <c r="R316" s="12"/>
      <c r="S316" s="37">
        <f>ROUND(ROUND(P316, 2)*I316, 2)</f>
        <v>1357.37</v>
      </c>
      <c r="T316" s="12"/>
      <c r="U316" s="38"/>
      <c r="V316" s="9">
        <f>ROUND(ROUND(P316, 2)/1.2, 2)</f>
        <v>34.119999999999997</v>
      </c>
      <c r="Y316" s="9">
        <f t="shared" si="24"/>
        <v>1131.1400000000001</v>
      </c>
      <c r="AD316" s="4" t="s">
        <v>1228</v>
      </c>
      <c r="AE316" s="4" t="s">
        <v>1229</v>
      </c>
      <c r="AF316" s="4" t="s">
        <v>513</v>
      </c>
    </row>
    <row r="317" spans="1:35" ht="36" x14ac:dyDescent="0.3">
      <c r="A317" s="11" t="s">
        <v>1230</v>
      </c>
      <c r="B317" s="11"/>
      <c r="C317" s="30" t="s">
        <v>776</v>
      </c>
      <c r="D317" s="21"/>
      <c r="E317" s="21"/>
      <c r="F317" s="34" t="s">
        <v>159</v>
      </c>
      <c r="G317" s="35">
        <v>1.2</v>
      </c>
      <c r="H317" s="21"/>
      <c r="I317" s="36">
        <v>795.72</v>
      </c>
      <c r="J317" s="37">
        <v>16.38</v>
      </c>
      <c r="K317" s="12"/>
      <c r="L317" s="12"/>
      <c r="M317" s="37">
        <f>ROUND(ROUND(J317, 2)*I317, 2)</f>
        <v>13033.89</v>
      </c>
      <c r="N317" s="12"/>
      <c r="O317" s="12"/>
      <c r="P317" s="37">
        <v>16.38</v>
      </c>
      <c r="Q317" s="12"/>
      <c r="R317" s="12"/>
      <c r="S317" s="37">
        <f>ROUND(ROUND(P317, 2)*I317, 2)</f>
        <v>13033.89</v>
      </c>
      <c r="T317" s="12"/>
      <c r="U317" s="38"/>
      <c r="V317" s="9">
        <f>ROUND(ROUND(P317, 2)/1.2, 2)</f>
        <v>13.65</v>
      </c>
      <c r="Y317" s="9">
        <f t="shared" si="24"/>
        <v>10861.58</v>
      </c>
      <c r="AD317" s="4" t="s">
        <v>1231</v>
      </c>
      <c r="AE317" s="4" t="s">
        <v>1232</v>
      </c>
      <c r="AF317" s="4" t="s">
        <v>779</v>
      </c>
    </row>
    <row r="318" spans="1:35" ht="90" x14ac:dyDescent="0.3">
      <c r="A318" s="11" t="s">
        <v>1233</v>
      </c>
      <c r="B318" s="11"/>
      <c r="C318" s="30" t="s">
        <v>1234</v>
      </c>
      <c r="D318" s="21"/>
      <c r="E318" s="21" t="s">
        <v>1235</v>
      </c>
      <c r="F318" s="34" t="s">
        <v>75</v>
      </c>
      <c r="G318" s="35">
        <v>1.07</v>
      </c>
      <c r="H318" s="21"/>
      <c r="I318" s="36">
        <v>141.90299999999999</v>
      </c>
      <c r="J318" s="37">
        <v>1157.17</v>
      </c>
      <c r="K318" s="12"/>
      <c r="L318" s="12"/>
      <c r="M318" s="37">
        <f>ROUND(ROUND(J318, 2)*I318, 2)</f>
        <v>164205.89000000001</v>
      </c>
      <c r="N318" s="12"/>
      <c r="O318" s="12"/>
      <c r="P318" s="37">
        <v>1157.17</v>
      </c>
      <c r="Q318" s="12"/>
      <c r="R318" s="12"/>
      <c r="S318" s="37">
        <f>ROUND(ROUND(P318, 2)*I318, 2)</f>
        <v>164205.89000000001</v>
      </c>
      <c r="T318" s="12"/>
      <c r="U318" s="38"/>
      <c r="V318" s="9">
        <f>ROUND(ROUND(P318, 2)/1.2, 2)</f>
        <v>964.31</v>
      </c>
      <c r="Y318" s="9">
        <f t="shared" si="24"/>
        <v>136838.24</v>
      </c>
      <c r="AD318" s="4" t="s">
        <v>1236</v>
      </c>
      <c r="AE318" s="4" t="s">
        <v>1237</v>
      </c>
      <c r="AF318" s="4" t="s">
        <v>1238</v>
      </c>
    </row>
    <row r="319" spans="1:35" ht="54" x14ac:dyDescent="0.3">
      <c r="A319" s="11" t="s">
        <v>1239</v>
      </c>
      <c r="B319" s="11" t="s">
        <v>1155</v>
      </c>
      <c r="C319" s="20" t="s">
        <v>1156</v>
      </c>
      <c r="D319" s="21"/>
      <c r="E319" s="21" t="s">
        <v>1240</v>
      </c>
      <c r="F319" s="21" t="s">
        <v>75</v>
      </c>
      <c r="G319" s="22">
        <v>1</v>
      </c>
      <c r="H319" s="21"/>
      <c r="I319" s="22">
        <v>124.58</v>
      </c>
      <c r="J319" s="23">
        <v>1632.15</v>
      </c>
      <c r="K319" s="23">
        <v>2363.9899999999998</v>
      </c>
      <c r="L319" s="23">
        <f>J319+ROUND(K319, 2)</f>
        <v>3996.14</v>
      </c>
      <c r="M319" s="23">
        <v>203333.25</v>
      </c>
      <c r="N319" s="23">
        <v>294505.87</v>
      </c>
      <c r="O319" s="23">
        <f>M319+N319</f>
        <v>497839.12</v>
      </c>
      <c r="P319" s="23">
        <v>1632.15</v>
      </c>
      <c r="Q319" s="23">
        <v>2363.9899999999998</v>
      </c>
      <c r="R319" s="23">
        <f>P319+ROUND(Q319, 2)</f>
        <v>3996.14</v>
      </c>
      <c r="S319" s="23">
        <v>203333.25</v>
      </c>
      <c r="T319" s="23">
        <v>294505.87</v>
      </c>
      <c r="U319" s="23">
        <f>S319+T319</f>
        <v>497839.12</v>
      </c>
      <c r="V319" s="9">
        <f>ROUND(P319 / 1.2, 2)</f>
        <v>1360.13</v>
      </c>
      <c r="W319" s="9">
        <f>ROUND(Q319 / 1.2, 2)</f>
        <v>1969.99</v>
      </c>
      <c r="X319" s="9">
        <f>ROUND(R319 / 1.2, 2)</f>
        <v>3330.12</v>
      </c>
      <c r="Y319" s="9">
        <f t="shared" si="24"/>
        <v>169444.38</v>
      </c>
      <c r="Z319" s="9">
        <f>ROUND(T319 / 1.2, 2)</f>
        <v>245421.56</v>
      </c>
      <c r="AA319" s="9">
        <f>Y319+Z319</f>
        <v>414865.94</v>
      </c>
      <c r="AD319" s="4">
        <v>339118933</v>
      </c>
      <c r="AE319" s="4">
        <v>29086437</v>
      </c>
      <c r="AG319" s="4" t="s">
        <v>1158</v>
      </c>
      <c r="AH319" s="4" t="s">
        <v>1159</v>
      </c>
      <c r="AI319" s="4" t="s">
        <v>156</v>
      </c>
    </row>
    <row r="320" spans="1:35" ht="72" x14ac:dyDescent="0.3">
      <c r="A320" s="11" t="s">
        <v>1241</v>
      </c>
      <c r="B320" s="11"/>
      <c r="C320" s="30" t="s">
        <v>1170</v>
      </c>
      <c r="D320" s="21"/>
      <c r="E320" s="21" t="s">
        <v>1242</v>
      </c>
      <c r="F320" s="34" t="s">
        <v>75</v>
      </c>
      <c r="G320" s="35">
        <v>1.07</v>
      </c>
      <c r="H320" s="21"/>
      <c r="I320" s="36">
        <v>133.30099999999999</v>
      </c>
      <c r="J320" s="37">
        <v>1408.04</v>
      </c>
      <c r="K320" s="12"/>
      <c r="L320" s="12"/>
      <c r="M320" s="37">
        <f>ROUND(ROUND(J320, 2)*I320, 2)</f>
        <v>187693.14</v>
      </c>
      <c r="N320" s="12"/>
      <c r="O320" s="12"/>
      <c r="P320" s="37">
        <v>1408.04</v>
      </c>
      <c r="Q320" s="12"/>
      <c r="R320" s="12"/>
      <c r="S320" s="37">
        <f>ROUND(ROUND(P320, 2)*I320, 2)</f>
        <v>187693.14</v>
      </c>
      <c r="T320" s="12"/>
      <c r="U320" s="38"/>
      <c r="V320" s="9">
        <f>ROUND(ROUND(P320, 2)/1.2, 2)</f>
        <v>1173.3699999999999</v>
      </c>
      <c r="Y320" s="9">
        <f t="shared" si="24"/>
        <v>156410.95000000001</v>
      </c>
      <c r="AD320" s="4" t="s">
        <v>1243</v>
      </c>
      <c r="AE320" s="4" t="s">
        <v>1244</v>
      </c>
      <c r="AF320" s="4" t="s">
        <v>1174</v>
      </c>
    </row>
    <row r="321" spans="1:35" ht="36" x14ac:dyDescent="0.3">
      <c r="A321" s="11" t="s">
        <v>1245</v>
      </c>
      <c r="B321" s="11"/>
      <c r="C321" s="30" t="s">
        <v>776</v>
      </c>
      <c r="D321" s="21"/>
      <c r="E321" s="21"/>
      <c r="F321" s="34" t="s">
        <v>159</v>
      </c>
      <c r="G321" s="35">
        <v>1.2</v>
      </c>
      <c r="H321" s="21"/>
      <c r="I321" s="36">
        <v>747.48</v>
      </c>
      <c r="J321" s="37">
        <v>16.38</v>
      </c>
      <c r="K321" s="12"/>
      <c r="L321" s="12"/>
      <c r="M321" s="37">
        <f>ROUND(ROUND(J321, 2)*I321, 2)</f>
        <v>12243.72</v>
      </c>
      <c r="N321" s="12"/>
      <c r="O321" s="12"/>
      <c r="P321" s="37">
        <v>16.38</v>
      </c>
      <c r="Q321" s="12"/>
      <c r="R321" s="12"/>
      <c r="S321" s="37">
        <f>ROUND(ROUND(P321, 2)*I321, 2)</f>
        <v>12243.72</v>
      </c>
      <c r="T321" s="12"/>
      <c r="U321" s="38"/>
      <c r="V321" s="9">
        <f>ROUND(ROUND(P321, 2)/1.2, 2)</f>
        <v>13.65</v>
      </c>
      <c r="Y321" s="9">
        <f t="shared" si="24"/>
        <v>10203.1</v>
      </c>
      <c r="AD321" s="4" t="s">
        <v>1246</v>
      </c>
      <c r="AE321" s="4" t="s">
        <v>1247</v>
      </c>
      <c r="AF321" s="4" t="s">
        <v>779</v>
      </c>
    </row>
    <row r="322" spans="1:35" ht="18" x14ac:dyDescent="0.3">
      <c r="A322" s="11" t="s">
        <v>1248</v>
      </c>
      <c r="B322" s="11"/>
      <c r="C322" s="33" t="s">
        <v>1249</v>
      </c>
      <c r="D322" s="21"/>
      <c r="E322" s="21" t="s">
        <v>1250</v>
      </c>
      <c r="F322" s="34" t="s">
        <v>159</v>
      </c>
      <c r="G322" s="35">
        <v>0.25</v>
      </c>
      <c r="H322" s="21"/>
      <c r="I322" s="36">
        <v>31.145</v>
      </c>
      <c r="J322" s="37">
        <v>67.33</v>
      </c>
      <c r="K322" s="12"/>
      <c r="L322" s="12"/>
      <c r="M322" s="37">
        <f>ROUND(ROUND(J322, 2)*I322, 2)</f>
        <v>2096.9899999999998</v>
      </c>
      <c r="N322" s="12"/>
      <c r="O322" s="12"/>
      <c r="P322" s="37">
        <v>67.33</v>
      </c>
      <c r="Q322" s="12"/>
      <c r="R322" s="12"/>
      <c r="S322" s="37">
        <f>ROUND(ROUND(P322, 2)*I322, 2)</f>
        <v>2096.9899999999998</v>
      </c>
      <c r="T322" s="12"/>
      <c r="U322" s="38"/>
      <c r="V322" s="9">
        <f>ROUND(ROUND(P322, 2)/1.2, 2)</f>
        <v>56.11</v>
      </c>
      <c r="Y322" s="9">
        <f t="shared" si="24"/>
        <v>1747.49</v>
      </c>
      <c r="AD322" s="4" t="s">
        <v>1251</v>
      </c>
      <c r="AE322" s="4" t="s">
        <v>1252</v>
      </c>
      <c r="AF322" s="4" t="s">
        <v>1253</v>
      </c>
    </row>
    <row r="323" spans="1:35" ht="36" x14ac:dyDescent="0.3">
      <c r="A323" s="11" t="s">
        <v>1254</v>
      </c>
      <c r="B323" s="11"/>
      <c r="C323" s="33" t="s">
        <v>534</v>
      </c>
      <c r="D323" s="21"/>
      <c r="E323" s="21"/>
      <c r="F323" s="34" t="s">
        <v>159</v>
      </c>
      <c r="G323" s="35">
        <v>0.15</v>
      </c>
      <c r="H323" s="21"/>
      <c r="I323" s="35">
        <v>18.687000000000001</v>
      </c>
      <c r="J323" s="37">
        <v>69.540000000000006</v>
      </c>
      <c r="K323" s="12"/>
      <c r="L323" s="12"/>
      <c r="M323" s="37">
        <f>ROUND(ROUND(J323, 2)*I323, 2)</f>
        <v>1299.49</v>
      </c>
      <c r="N323" s="12"/>
      <c r="O323" s="12"/>
      <c r="P323" s="37">
        <v>69.540000000000006</v>
      </c>
      <c r="Q323" s="12"/>
      <c r="R323" s="12"/>
      <c r="S323" s="37">
        <f>ROUND(ROUND(P323, 2)*I323, 2)</f>
        <v>1299.49</v>
      </c>
      <c r="T323" s="12"/>
      <c r="U323" s="38"/>
      <c r="V323" s="9">
        <f>ROUND(ROUND(P323, 2)/1.2, 2)</f>
        <v>57.95</v>
      </c>
      <c r="Y323" s="9">
        <f t="shared" si="24"/>
        <v>1082.9100000000001</v>
      </c>
      <c r="AD323" s="4" t="s">
        <v>1255</v>
      </c>
      <c r="AE323" s="4" t="s">
        <v>1256</v>
      </c>
      <c r="AF323" s="4" t="s">
        <v>537</v>
      </c>
    </row>
    <row r="324" spans="1:35" ht="54" x14ac:dyDescent="0.3">
      <c r="A324" s="11" t="s">
        <v>1257</v>
      </c>
      <c r="B324" s="11" t="s">
        <v>1258</v>
      </c>
      <c r="C324" s="20" t="s">
        <v>1259</v>
      </c>
      <c r="D324" s="21"/>
      <c r="E324" s="21" t="s">
        <v>1260</v>
      </c>
      <c r="F324" s="21" t="s">
        <v>75</v>
      </c>
      <c r="G324" s="22">
        <v>1</v>
      </c>
      <c r="H324" s="21"/>
      <c r="I324" s="22">
        <v>14</v>
      </c>
      <c r="J324" s="23">
        <v>2382.9</v>
      </c>
      <c r="K324" s="23">
        <v>2983</v>
      </c>
      <c r="L324" s="23">
        <f>J324+ROUND(K324, 2)</f>
        <v>5365.9</v>
      </c>
      <c r="M324" s="23">
        <v>33360.6</v>
      </c>
      <c r="N324" s="23">
        <v>41762</v>
      </c>
      <c r="O324" s="23">
        <f>M324+N324</f>
        <v>75122.600000000006</v>
      </c>
      <c r="P324" s="23">
        <v>2382.9</v>
      </c>
      <c r="Q324" s="23">
        <v>2983</v>
      </c>
      <c r="R324" s="23">
        <f>P324+ROUND(Q324, 2)</f>
        <v>5365.9</v>
      </c>
      <c r="S324" s="23">
        <v>33360.6</v>
      </c>
      <c r="T324" s="23">
        <v>41762</v>
      </c>
      <c r="U324" s="23">
        <f>S324+T324</f>
        <v>75122.600000000006</v>
      </c>
      <c r="V324" s="9">
        <f>ROUND(P324 / 1.2, 2)</f>
        <v>1985.75</v>
      </c>
      <c r="W324" s="9">
        <f>ROUND(Q324 / 1.2, 2)</f>
        <v>2485.83</v>
      </c>
      <c r="X324" s="9">
        <f>ROUND(R324 / 1.2, 2)</f>
        <v>4471.58</v>
      </c>
      <c r="Y324" s="9">
        <f t="shared" si="24"/>
        <v>27800.5</v>
      </c>
      <c r="Z324" s="9">
        <f>ROUND(T324 / 1.2, 2)</f>
        <v>34801.67</v>
      </c>
      <c r="AA324" s="9">
        <f>Y324+Z324</f>
        <v>62602.17</v>
      </c>
      <c r="AD324" s="4">
        <v>339118861</v>
      </c>
      <c r="AE324" s="4">
        <v>29090428</v>
      </c>
      <c r="AG324" s="4" t="s">
        <v>1261</v>
      </c>
      <c r="AH324" s="4" t="s">
        <v>1262</v>
      </c>
      <c r="AI324" s="4" t="s">
        <v>156</v>
      </c>
    </row>
    <row r="325" spans="1:35" ht="36" x14ac:dyDescent="0.3">
      <c r="A325" s="11" t="s">
        <v>1263</v>
      </c>
      <c r="B325" s="11"/>
      <c r="C325" s="33" t="s">
        <v>534</v>
      </c>
      <c r="D325" s="21"/>
      <c r="E325" s="21"/>
      <c r="F325" s="34" t="s">
        <v>159</v>
      </c>
      <c r="G325" s="35">
        <v>0.15</v>
      </c>
      <c r="H325" s="21"/>
      <c r="I325" s="35">
        <v>2.1</v>
      </c>
      <c r="J325" s="37">
        <v>69.540000000000006</v>
      </c>
      <c r="K325" s="12"/>
      <c r="L325" s="12"/>
      <c r="M325" s="37">
        <f>ROUND(ROUND(J325, 2)*I325, 2)</f>
        <v>146.03</v>
      </c>
      <c r="N325" s="12"/>
      <c r="O325" s="12"/>
      <c r="P325" s="37">
        <v>69.540000000000006</v>
      </c>
      <c r="Q325" s="12"/>
      <c r="R325" s="12"/>
      <c r="S325" s="37">
        <f>ROUND(ROUND(P325, 2)*I325, 2)</f>
        <v>146.03</v>
      </c>
      <c r="T325" s="12"/>
      <c r="U325" s="38"/>
      <c r="V325" s="9">
        <f>ROUND(ROUND(P325, 2)/1.2, 2)</f>
        <v>57.95</v>
      </c>
      <c r="Y325" s="9">
        <f t="shared" si="24"/>
        <v>121.69</v>
      </c>
      <c r="AD325" s="4" t="s">
        <v>1264</v>
      </c>
      <c r="AE325" s="4" t="s">
        <v>1265</v>
      </c>
      <c r="AF325" s="4" t="s">
        <v>537</v>
      </c>
    </row>
    <row r="326" spans="1:35" ht="36" x14ac:dyDescent="0.3">
      <c r="A326" s="11" t="s">
        <v>1266</v>
      </c>
      <c r="B326" s="11"/>
      <c r="C326" s="30" t="s">
        <v>776</v>
      </c>
      <c r="D326" s="21"/>
      <c r="E326" s="21"/>
      <c r="F326" s="34" t="s">
        <v>159</v>
      </c>
      <c r="G326" s="35">
        <v>1.2</v>
      </c>
      <c r="H326" s="21"/>
      <c r="I326" s="36">
        <v>84</v>
      </c>
      <c r="J326" s="37">
        <v>16.38</v>
      </c>
      <c r="K326" s="12"/>
      <c r="L326" s="12"/>
      <c r="M326" s="37">
        <f>ROUND(ROUND(J326, 2)*I326, 2)</f>
        <v>1375.92</v>
      </c>
      <c r="N326" s="12"/>
      <c r="O326" s="12"/>
      <c r="P326" s="37">
        <v>16.38</v>
      </c>
      <c r="Q326" s="12"/>
      <c r="R326" s="12"/>
      <c r="S326" s="37">
        <f>ROUND(ROUND(P326, 2)*I326, 2)</f>
        <v>1375.92</v>
      </c>
      <c r="T326" s="12"/>
      <c r="U326" s="38"/>
      <c r="V326" s="9">
        <f>ROUND(ROUND(P326, 2)/1.2, 2)</f>
        <v>13.65</v>
      </c>
      <c r="Y326" s="9">
        <f t="shared" si="24"/>
        <v>1146.5999999999999</v>
      </c>
      <c r="AD326" s="4" t="s">
        <v>1267</v>
      </c>
      <c r="AE326" s="4" t="s">
        <v>1268</v>
      </c>
      <c r="AF326" s="4" t="s">
        <v>779</v>
      </c>
    </row>
    <row r="327" spans="1:35" ht="90" x14ac:dyDescent="0.3">
      <c r="A327" s="11" t="s">
        <v>1269</v>
      </c>
      <c r="B327" s="11"/>
      <c r="C327" s="33" t="s">
        <v>1270</v>
      </c>
      <c r="D327" s="21"/>
      <c r="E327" s="21" t="s">
        <v>1271</v>
      </c>
      <c r="F327" s="34" t="s">
        <v>75</v>
      </c>
      <c r="G327" s="35">
        <v>1.1000000000000001</v>
      </c>
      <c r="H327" s="21"/>
      <c r="I327" s="36">
        <v>15.4</v>
      </c>
      <c r="J327" s="37">
        <v>2058.14</v>
      </c>
      <c r="K327" s="12"/>
      <c r="L327" s="12"/>
      <c r="M327" s="37">
        <f>ROUND(ROUND(J327, 2)*I327, 2)</f>
        <v>31695.360000000001</v>
      </c>
      <c r="N327" s="12"/>
      <c r="O327" s="12"/>
      <c r="P327" s="37">
        <v>2058.14</v>
      </c>
      <c r="Q327" s="12"/>
      <c r="R327" s="12"/>
      <c r="S327" s="37">
        <f>ROUND(ROUND(P327, 2)*I327, 2)</f>
        <v>31695.360000000001</v>
      </c>
      <c r="T327" s="12"/>
      <c r="U327" s="38"/>
      <c r="V327" s="9">
        <f>ROUND(ROUND(P327, 2)/1.2, 2)</f>
        <v>1715.12</v>
      </c>
      <c r="Y327" s="9">
        <f t="shared" si="24"/>
        <v>26412.799999999999</v>
      </c>
      <c r="AD327" s="4" t="s">
        <v>1272</v>
      </c>
      <c r="AE327" s="4" t="s">
        <v>1273</v>
      </c>
      <c r="AF327" s="4" t="s">
        <v>1274</v>
      </c>
    </row>
    <row r="328" spans="1:35" ht="36" x14ac:dyDescent="0.3">
      <c r="A328" s="11" t="s">
        <v>1275</v>
      </c>
      <c r="B328" s="11"/>
      <c r="C328" s="33" t="s">
        <v>510</v>
      </c>
      <c r="D328" s="21"/>
      <c r="E328" s="21"/>
      <c r="F328" s="34" t="s">
        <v>159</v>
      </c>
      <c r="G328" s="35">
        <v>0.25</v>
      </c>
      <c r="H328" s="21"/>
      <c r="I328" s="36">
        <v>3.5</v>
      </c>
      <c r="J328" s="37">
        <v>40.94</v>
      </c>
      <c r="K328" s="12"/>
      <c r="L328" s="12"/>
      <c r="M328" s="37">
        <f>ROUND(ROUND(J328, 2)*I328, 2)</f>
        <v>143.29</v>
      </c>
      <c r="N328" s="12"/>
      <c r="O328" s="12"/>
      <c r="P328" s="37">
        <v>40.94</v>
      </c>
      <c r="Q328" s="12"/>
      <c r="R328" s="12"/>
      <c r="S328" s="37">
        <f>ROUND(ROUND(P328, 2)*I328, 2)</f>
        <v>143.29</v>
      </c>
      <c r="T328" s="12"/>
      <c r="U328" s="38"/>
      <c r="V328" s="9">
        <f>ROUND(ROUND(P328, 2)/1.2, 2)</f>
        <v>34.119999999999997</v>
      </c>
      <c r="Y328" s="9">
        <f t="shared" si="24"/>
        <v>119.41</v>
      </c>
      <c r="AD328" s="4" t="s">
        <v>1276</v>
      </c>
      <c r="AE328" s="4" t="s">
        <v>1277</v>
      </c>
      <c r="AF328" s="4" t="s">
        <v>513</v>
      </c>
    </row>
    <row r="329" spans="1:35" ht="16.95" customHeight="1" x14ac:dyDescent="0.3">
      <c r="A329" s="11" t="s">
        <v>1278</v>
      </c>
      <c r="B329" s="11" t="s">
        <v>1279</v>
      </c>
      <c r="C329" s="123" t="s">
        <v>1280</v>
      </c>
      <c r="D329" s="124"/>
      <c r="E329" s="124"/>
      <c r="F329" s="124"/>
      <c r="G329" s="124"/>
      <c r="H329" s="124"/>
      <c r="I329" s="125"/>
      <c r="J329" s="12"/>
      <c r="K329" s="12"/>
      <c r="L329" s="12"/>
      <c r="M329" s="13">
        <f>SUM(M330,M334,M337,M340)</f>
        <v>236639.88999999998</v>
      </c>
      <c r="N329" s="13">
        <f>SUM(N330,N334,N337,N340)</f>
        <v>1547943.58</v>
      </c>
      <c r="O329" s="13">
        <f>SUM(O330,O334,O337,O340)</f>
        <v>1784583.47</v>
      </c>
      <c r="P329" s="12"/>
      <c r="Q329" s="12"/>
      <c r="R329" s="12"/>
      <c r="S329" s="13">
        <f>SUM(S330,S334,S337,S340)</f>
        <v>254261.97000000003</v>
      </c>
      <c r="T329" s="13">
        <f>SUM(T330,T334,T337,T340)</f>
        <v>1547943.58</v>
      </c>
      <c r="U329" s="13">
        <f>SUM(U330,U334,U337,U340)</f>
        <v>1802205.5499999998</v>
      </c>
      <c r="Y329" s="9">
        <f>SUM(Y330,Y334,Y337,Y340)</f>
        <v>211884.97999999998</v>
      </c>
      <c r="Z329" s="9">
        <f>SUM(Z330,Z334,Z337,Z340)</f>
        <v>1289952.98</v>
      </c>
      <c r="AA329" s="9">
        <f>SUM(AA330,AA334,AA337,AA340)</f>
        <v>1501837.96</v>
      </c>
      <c r="AD329" s="4">
        <v>339118862</v>
      </c>
      <c r="AE329" s="4">
        <v>28999452</v>
      </c>
    </row>
    <row r="330" spans="1:35" ht="54" x14ac:dyDescent="0.3">
      <c r="A330" s="11" t="s">
        <v>1281</v>
      </c>
      <c r="B330" s="11" t="s">
        <v>1282</v>
      </c>
      <c r="C330" s="20" t="s">
        <v>1283</v>
      </c>
      <c r="D330" s="21"/>
      <c r="E330" s="21" t="s">
        <v>1143</v>
      </c>
      <c r="F330" s="21" t="s">
        <v>75</v>
      </c>
      <c r="G330" s="22">
        <v>1</v>
      </c>
      <c r="H330" s="21"/>
      <c r="I330" s="22">
        <v>206.42</v>
      </c>
      <c r="J330" s="23">
        <v>309.38</v>
      </c>
      <c r="K330" s="23">
        <v>2956</v>
      </c>
      <c r="L330" s="23">
        <f>J330+ROUND(K330, 2)</f>
        <v>3265.38</v>
      </c>
      <c r="M330" s="23">
        <v>63862.22</v>
      </c>
      <c r="N330" s="23">
        <v>610177.52</v>
      </c>
      <c r="O330" s="23">
        <f>M330+N330</f>
        <v>674039.74</v>
      </c>
      <c r="P330" s="23">
        <v>309.38</v>
      </c>
      <c r="Q330" s="23">
        <v>2956</v>
      </c>
      <c r="R330" s="23">
        <f>P330+ROUND(Q330, 2)</f>
        <v>3265.38</v>
      </c>
      <c r="S330" s="23">
        <v>63862.22</v>
      </c>
      <c r="T330" s="23">
        <v>610177.52</v>
      </c>
      <c r="U330" s="23">
        <f>S330+T330</f>
        <v>674039.74</v>
      </c>
      <c r="V330" s="9">
        <f>ROUND(P330 / 1.2, 2)</f>
        <v>257.82</v>
      </c>
      <c r="W330" s="9">
        <f>ROUND(Q330 / 1.2, 2)</f>
        <v>2463.33</v>
      </c>
      <c r="X330" s="9">
        <f>ROUND(R330 / 1.2, 2)</f>
        <v>2721.15</v>
      </c>
      <c r="Y330" s="9">
        <f>ROUND(S330 / 1.2, 2)</f>
        <v>53218.52</v>
      </c>
      <c r="Z330" s="9">
        <f>ROUND(T330 / 1.2, 2)</f>
        <v>508481.27</v>
      </c>
      <c r="AA330" s="9">
        <f>Y330+Z330</f>
        <v>561699.79</v>
      </c>
      <c r="AD330" s="4">
        <v>339118864</v>
      </c>
      <c r="AE330" s="4">
        <v>28999464</v>
      </c>
      <c r="AG330" s="4" t="s">
        <v>1284</v>
      </c>
      <c r="AH330" s="4" t="s">
        <v>1285</v>
      </c>
      <c r="AI330" s="4" t="s">
        <v>156</v>
      </c>
    </row>
    <row r="331" spans="1:35" ht="36" x14ac:dyDescent="0.3">
      <c r="A331" s="11" t="s">
        <v>1286</v>
      </c>
      <c r="B331" s="11"/>
      <c r="C331" s="30" t="s">
        <v>1081</v>
      </c>
      <c r="D331" s="21"/>
      <c r="E331" s="21"/>
      <c r="F331" s="34" t="s">
        <v>159</v>
      </c>
      <c r="G331" s="35">
        <v>1</v>
      </c>
      <c r="H331" s="21"/>
      <c r="I331" s="36">
        <v>7224.7</v>
      </c>
      <c r="J331" s="37">
        <v>7.92</v>
      </c>
      <c r="K331" s="12"/>
      <c r="L331" s="12"/>
      <c r="M331" s="37">
        <f>ROUND(ROUND(J331, 2)*I331, 2)</f>
        <v>57219.62</v>
      </c>
      <c r="N331" s="12"/>
      <c r="O331" s="12"/>
      <c r="P331" s="37">
        <v>7.92</v>
      </c>
      <c r="Q331" s="12"/>
      <c r="R331" s="12"/>
      <c r="S331" s="37">
        <f>ROUND(ROUND(P331, 2)*I331, 2)</f>
        <v>57219.62</v>
      </c>
      <c r="T331" s="12"/>
      <c r="U331" s="38"/>
      <c r="V331" s="9">
        <f>ROUND(ROUND(P331, 2)/1.2, 2)</f>
        <v>6.6</v>
      </c>
      <c r="Y331" s="9">
        <f t="shared" ref="Y331:Y344" si="25">ROUND(S331 / 1.2, 2)</f>
        <v>47683.02</v>
      </c>
      <c r="AD331" s="4" t="s">
        <v>1287</v>
      </c>
      <c r="AE331" s="4" t="s">
        <v>1288</v>
      </c>
      <c r="AF331" s="4" t="s">
        <v>1084</v>
      </c>
    </row>
    <row r="332" spans="1:35" ht="18" x14ac:dyDescent="0.3">
      <c r="A332" s="11" t="s">
        <v>1289</v>
      </c>
      <c r="B332" s="11"/>
      <c r="C332" s="33" t="s">
        <v>1024</v>
      </c>
      <c r="D332" s="21"/>
      <c r="E332" s="21"/>
      <c r="F332" s="34" t="s">
        <v>120</v>
      </c>
      <c r="G332" s="35">
        <v>1</v>
      </c>
      <c r="H332" s="21"/>
      <c r="I332" s="35">
        <v>206.42</v>
      </c>
      <c r="J332" s="37">
        <v>18.64</v>
      </c>
      <c r="K332" s="12"/>
      <c r="L332" s="12"/>
      <c r="M332" s="37">
        <f>ROUND(ROUND(J332, 2)*I332, 2)</f>
        <v>3847.67</v>
      </c>
      <c r="N332" s="12"/>
      <c r="O332" s="12"/>
      <c r="P332" s="37">
        <v>18.64</v>
      </c>
      <c r="Q332" s="12"/>
      <c r="R332" s="12"/>
      <c r="S332" s="37">
        <f>ROUND(ROUND(P332, 2)*I332, 2)</f>
        <v>3847.67</v>
      </c>
      <c r="T332" s="12"/>
      <c r="U332" s="38"/>
      <c r="V332" s="9">
        <f>ROUND(ROUND(P332, 2)/1.2, 2)</f>
        <v>15.53</v>
      </c>
      <c r="Y332" s="9">
        <f t="shared" si="25"/>
        <v>3206.39</v>
      </c>
      <c r="AD332" s="4" t="s">
        <v>1290</v>
      </c>
      <c r="AE332" s="4" t="s">
        <v>1291</v>
      </c>
      <c r="AF332" s="4" t="s">
        <v>1027</v>
      </c>
    </row>
    <row r="333" spans="1:35" ht="36" x14ac:dyDescent="0.3">
      <c r="A333" s="11" t="s">
        <v>1292</v>
      </c>
      <c r="B333" s="11"/>
      <c r="C333" s="33" t="s">
        <v>480</v>
      </c>
      <c r="D333" s="21"/>
      <c r="E333" s="21"/>
      <c r="F333" s="34" t="s">
        <v>159</v>
      </c>
      <c r="G333" s="35">
        <v>0.15</v>
      </c>
      <c r="H333" s="21"/>
      <c r="I333" s="35">
        <v>30.963000000000001</v>
      </c>
      <c r="J333" s="37">
        <v>90.28</v>
      </c>
      <c r="K333" s="12"/>
      <c r="L333" s="12"/>
      <c r="M333" s="37">
        <f>ROUND(ROUND(J333, 2)*I333, 2)</f>
        <v>2795.34</v>
      </c>
      <c r="N333" s="12"/>
      <c r="O333" s="12"/>
      <c r="P333" s="37">
        <v>90.28</v>
      </c>
      <c r="Q333" s="12"/>
      <c r="R333" s="12"/>
      <c r="S333" s="37">
        <f>ROUND(ROUND(P333, 2)*I333, 2)</f>
        <v>2795.34</v>
      </c>
      <c r="T333" s="12"/>
      <c r="U333" s="38"/>
      <c r="V333" s="9">
        <f>ROUND(ROUND(P333, 2)/1.2, 2)</f>
        <v>75.23</v>
      </c>
      <c r="Y333" s="9">
        <f t="shared" si="25"/>
        <v>2329.4499999999998</v>
      </c>
      <c r="AD333" s="4" t="s">
        <v>1293</v>
      </c>
      <c r="AE333" s="4" t="s">
        <v>1294</v>
      </c>
      <c r="AF333" s="4" t="s">
        <v>483</v>
      </c>
    </row>
    <row r="334" spans="1:35" ht="54" x14ac:dyDescent="0.3">
      <c r="A334" s="11" t="s">
        <v>1295</v>
      </c>
      <c r="B334" s="11" t="s">
        <v>1296</v>
      </c>
      <c r="C334" s="20" t="s">
        <v>1297</v>
      </c>
      <c r="D334" s="21"/>
      <c r="E334" s="21" t="s">
        <v>1298</v>
      </c>
      <c r="F334" s="21" t="s">
        <v>75</v>
      </c>
      <c r="G334" s="22">
        <v>1</v>
      </c>
      <c r="H334" s="21"/>
      <c r="I334" s="22">
        <v>206.42</v>
      </c>
      <c r="J334" s="23">
        <v>68.709999999999994</v>
      </c>
      <c r="K334" s="23">
        <v>1001</v>
      </c>
      <c r="L334" s="23">
        <f>J334+ROUND(K334, 2)</f>
        <v>1069.71</v>
      </c>
      <c r="M334" s="23">
        <v>14183.12</v>
      </c>
      <c r="N334" s="23">
        <v>206626.42</v>
      </c>
      <c r="O334" s="23">
        <f>M334+N334</f>
        <v>220809.54</v>
      </c>
      <c r="P334" s="23">
        <v>68.709999999999994</v>
      </c>
      <c r="Q334" s="23">
        <v>1001</v>
      </c>
      <c r="R334" s="23">
        <f>P334+ROUND(Q334, 2)</f>
        <v>1069.71</v>
      </c>
      <c r="S334" s="23">
        <v>14183.12</v>
      </c>
      <c r="T334" s="23">
        <v>206626.42</v>
      </c>
      <c r="U334" s="23">
        <f>S334+T334</f>
        <v>220809.54</v>
      </c>
      <c r="V334" s="9">
        <f>ROUND(P334 / 1.2, 2)</f>
        <v>57.26</v>
      </c>
      <c r="W334" s="9">
        <f>ROUND(Q334 / 1.2, 2)</f>
        <v>834.17</v>
      </c>
      <c r="X334" s="9">
        <f>ROUND(R334 / 1.2, 2)</f>
        <v>891.43</v>
      </c>
      <c r="Y334" s="9">
        <f t="shared" si="25"/>
        <v>11819.27</v>
      </c>
      <c r="Z334" s="9">
        <f>ROUND(T334 / 1.2, 2)</f>
        <v>172188.68</v>
      </c>
      <c r="AA334" s="9">
        <f>Y334+Z334</f>
        <v>184007.94999999998</v>
      </c>
      <c r="AD334" s="4">
        <v>339118866</v>
      </c>
      <c r="AE334" s="4">
        <v>28999467</v>
      </c>
      <c r="AG334" s="4" t="s">
        <v>1299</v>
      </c>
      <c r="AH334" s="4" t="s">
        <v>1300</v>
      </c>
      <c r="AI334" s="4" t="s">
        <v>156</v>
      </c>
    </row>
    <row r="335" spans="1:35" ht="36" x14ac:dyDescent="0.3">
      <c r="A335" s="11" t="s">
        <v>1301</v>
      </c>
      <c r="B335" s="11"/>
      <c r="C335" s="30" t="s">
        <v>849</v>
      </c>
      <c r="D335" s="21"/>
      <c r="E335" s="21"/>
      <c r="F335" s="34" t="s">
        <v>159</v>
      </c>
      <c r="G335" s="35">
        <v>4.5</v>
      </c>
      <c r="H335" s="21"/>
      <c r="I335" s="35">
        <v>928.89</v>
      </c>
      <c r="J335" s="37">
        <v>12.26</v>
      </c>
      <c r="K335" s="12"/>
      <c r="L335" s="12"/>
      <c r="M335" s="37">
        <f>ROUND(ROUND(J335, 2)*I335, 2)</f>
        <v>11388.19</v>
      </c>
      <c r="N335" s="12"/>
      <c r="O335" s="12"/>
      <c r="P335" s="37">
        <v>12.26</v>
      </c>
      <c r="Q335" s="12"/>
      <c r="R335" s="12"/>
      <c r="S335" s="37">
        <f>ROUND(ROUND(P335, 2)*I335, 2)</f>
        <v>11388.19</v>
      </c>
      <c r="T335" s="12"/>
      <c r="U335" s="38"/>
      <c r="V335" s="9">
        <f>ROUND(ROUND(P335, 2)/1.2, 2)</f>
        <v>10.220000000000001</v>
      </c>
      <c r="Y335" s="9">
        <f t="shared" si="25"/>
        <v>9490.16</v>
      </c>
      <c r="AD335" s="4" t="s">
        <v>1302</v>
      </c>
      <c r="AE335" s="4" t="s">
        <v>1303</v>
      </c>
      <c r="AF335" s="4" t="s">
        <v>852</v>
      </c>
    </row>
    <row r="336" spans="1:35" ht="36" x14ac:dyDescent="0.3">
      <c r="A336" s="11" t="s">
        <v>1304</v>
      </c>
      <c r="B336" s="11"/>
      <c r="C336" s="33" t="s">
        <v>480</v>
      </c>
      <c r="D336" s="21"/>
      <c r="E336" s="21"/>
      <c r="F336" s="34" t="s">
        <v>159</v>
      </c>
      <c r="G336" s="35">
        <v>0.15</v>
      </c>
      <c r="H336" s="21"/>
      <c r="I336" s="35">
        <v>30.963000000000001</v>
      </c>
      <c r="J336" s="37">
        <v>90.28</v>
      </c>
      <c r="K336" s="12"/>
      <c r="L336" s="12"/>
      <c r="M336" s="37">
        <f>ROUND(ROUND(J336, 2)*I336, 2)</f>
        <v>2795.34</v>
      </c>
      <c r="N336" s="12"/>
      <c r="O336" s="12"/>
      <c r="P336" s="37">
        <v>90.28</v>
      </c>
      <c r="Q336" s="12"/>
      <c r="R336" s="12"/>
      <c r="S336" s="37">
        <f>ROUND(ROUND(P336, 2)*I336, 2)</f>
        <v>2795.34</v>
      </c>
      <c r="T336" s="12"/>
      <c r="U336" s="38"/>
      <c r="V336" s="9">
        <f>ROUND(ROUND(P336, 2)/1.2, 2)</f>
        <v>75.23</v>
      </c>
      <c r="Y336" s="9">
        <f t="shared" si="25"/>
        <v>2329.4499999999998</v>
      </c>
      <c r="AD336" s="4" t="s">
        <v>1305</v>
      </c>
      <c r="AE336" s="4" t="s">
        <v>1306</v>
      </c>
      <c r="AF336" s="4" t="s">
        <v>483</v>
      </c>
    </row>
    <row r="337" spans="1:35" ht="54" x14ac:dyDescent="0.3">
      <c r="A337" s="11" t="s">
        <v>1307</v>
      </c>
      <c r="B337" s="11" t="s">
        <v>1296</v>
      </c>
      <c r="C337" s="20" t="s">
        <v>1297</v>
      </c>
      <c r="D337" s="21"/>
      <c r="E337" s="21" t="s">
        <v>1308</v>
      </c>
      <c r="F337" s="21" t="s">
        <v>75</v>
      </c>
      <c r="G337" s="22">
        <v>1</v>
      </c>
      <c r="H337" s="21"/>
      <c r="I337" s="22">
        <v>206.42</v>
      </c>
      <c r="J337" s="23">
        <v>68.709999999999994</v>
      </c>
      <c r="K337" s="23">
        <v>1001</v>
      </c>
      <c r="L337" s="23">
        <f>J337+ROUND(K337, 2)</f>
        <v>1069.71</v>
      </c>
      <c r="M337" s="23">
        <v>14183.12</v>
      </c>
      <c r="N337" s="23">
        <v>206626.42</v>
      </c>
      <c r="O337" s="23">
        <f>M337+N337</f>
        <v>220809.54</v>
      </c>
      <c r="P337" s="23">
        <v>100.66</v>
      </c>
      <c r="Q337" s="23">
        <v>1001</v>
      </c>
      <c r="R337" s="23">
        <f>P337+ROUND(Q337, 2)</f>
        <v>1101.6600000000001</v>
      </c>
      <c r="S337" s="23">
        <v>20778.240000000002</v>
      </c>
      <c r="T337" s="23">
        <v>206626.42</v>
      </c>
      <c r="U337" s="23">
        <f>S337+T337</f>
        <v>227404.66</v>
      </c>
      <c r="V337" s="9">
        <f>ROUND(P337 / 1.2, 2)</f>
        <v>83.88</v>
      </c>
      <c r="W337" s="9">
        <f>ROUND(Q337 / 1.2, 2)</f>
        <v>834.17</v>
      </c>
      <c r="X337" s="9">
        <f>ROUND(R337 / 1.2, 2)</f>
        <v>918.05</v>
      </c>
      <c r="Y337" s="9">
        <f t="shared" si="25"/>
        <v>17315.2</v>
      </c>
      <c r="Z337" s="9">
        <f>ROUND(T337 / 1.2, 2)</f>
        <v>172188.68</v>
      </c>
      <c r="AA337" s="9">
        <f>Y337+Z337</f>
        <v>189503.88</v>
      </c>
      <c r="AD337" s="4">
        <v>339118934</v>
      </c>
      <c r="AE337" s="4">
        <v>28999468</v>
      </c>
      <c r="AG337" s="4" t="s">
        <v>1299</v>
      </c>
      <c r="AH337" s="4" t="s">
        <v>1300</v>
      </c>
      <c r="AI337" s="4" t="s">
        <v>156</v>
      </c>
    </row>
    <row r="338" spans="1:35" ht="36" x14ac:dyDescent="0.3">
      <c r="A338" s="11" t="s">
        <v>1309</v>
      </c>
      <c r="B338" s="11"/>
      <c r="C338" s="33" t="s">
        <v>480</v>
      </c>
      <c r="D338" s="21"/>
      <c r="E338" s="21"/>
      <c r="F338" s="34" t="s">
        <v>159</v>
      </c>
      <c r="G338" s="35">
        <v>0.15</v>
      </c>
      <c r="H338" s="21"/>
      <c r="I338" s="35">
        <v>30.963000000000001</v>
      </c>
      <c r="J338" s="37">
        <v>90.28</v>
      </c>
      <c r="K338" s="12"/>
      <c r="L338" s="12"/>
      <c r="M338" s="37">
        <f>ROUND(ROUND(J338, 2)*I338, 2)</f>
        <v>2795.34</v>
      </c>
      <c r="N338" s="12"/>
      <c r="O338" s="12"/>
      <c r="P338" s="37">
        <v>90.28</v>
      </c>
      <c r="Q338" s="12"/>
      <c r="R338" s="12"/>
      <c r="S338" s="37">
        <f>ROUND(ROUND(P338, 2)*I338, 2)</f>
        <v>2795.34</v>
      </c>
      <c r="T338" s="12"/>
      <c r="U338" s="38"/>
      <c r="V338" s="9">
        <f>ROUND(ROUND(P338, 2)/1.2, 2)</f>
        <v>75.23</v>
      </c>
      <c r="Y338" s="9">
        <f t="shared" si="25"/>
        <v>2329.4499999999998</v>
      </c>
      <c r="AD338" s="4" t="s">
        <v>1310</v>
      </c>
      <c r="AE338" s="4" t="s">
        <v>1311</v>
      </c>
      <c r="AF338" s="4" t="s">
        <v>483</v>
      </c>
    </row>
    <row r="339" spans="1:35" ht="54" x14ac:dyDescent="0.3">
      <c r="A339" s="11" t="s">
        <v>1312</v>
      </c>
      <c r="B339" s="11"/>
      <c r="C339" s="30" t="s">
        <v>849</v>
      </c>
      <c r="D339" s="21"/>
      <c r="E339" s="21" t="s">
        <v>949</v>
      </c>
      <c r="F339" s="34" t="s">
        <v>159</v>
      </c>
      <c r="G339" s="35">
        <v>4.5</v>
      </c>
      <c r="H339" s="21"/>
      <c r="I339" s="35">
        <v>928.89</v>
      </c>
      <c r="J339" s="37">
        <v>12.26</v>
      </c>
      <c r="K339" s="12"/>
      <c r="L339" s="12"/>
      <c r="M339" s="37">
        <f>ROUND(ROUND(J339, 2)*I339, 2)</f>
        <v>11388.19</v>
      </c>
      <c r="N339" s="12"/>
      <c r="O339" s="12"/>
      <c r="P339" s="37">
        <v>19.36</v>
      </c>
      <c r="Q339" s="12"/>
      <c r="R339" s="12"/>
      <c r="S339" s="37">
        <f>ROUND(ROUND(P339, 2)*I339, 2)</f>
        <v>17983.310000000001</v>
      </c>
      <c r="T339" s="12"/>
      <c r="U339" s="38"/>
      <c r="V339" s="9">
        <f>ROUND(ROUND(P339, 2)/1.2, 2)</f>
        <v>16.13</v>
      </c>
      <c r="Y339" s="9">
        <f t="shared" si="25"/>
        <v>14986.09</v>
      </c>
      <c r="AD339" s="4" t="s">
        <v>1313</v>
      </c>
      <c r="AE339" s="4" t="s">
        <v>1314</v>
      </c>
      <c r="AF339" s="4" t="s">
        <v>852</v>
      </c>
    </row>
    <row r="340" spans="1:35" ht="36" x14ac:dyDescent="0.3">
      <c r="A340" s="11" t="s">
        <v>1315</v>
      </c>
      <c r="B340" s="11" t="s">
        <v>1316</v>
      </c>
      <c r="C340" s="20" t="s">
        <v>1317</v>
      </c>
      <c r="D340" s="21" t="s">
        <v>1318</v>
      </c>
      <c r="E340" s="21" t="s">
        <v>1319</v>
      </c>
      <c r="F340" s="21" t="s">
        <v>75</v>
      </c>
      <c r="G340" s="22">
        <v>1</v>
      </c>
      <c r="H340" s="21"/>
      <c r="I340" s="22">
        <v>206.42</v>
      </c>
      <c r="J340" s="23">
        <v>699.6</v>
      </c>
      <c r="K340" s="23">
        <v>2541</v>
      </c>
      <c r="L340" s="23">
        <f>J340+ROUND(K340, 2)</f>
        <v>3240.6</v>
      </c>
      <c r="M340" s="23">
        <v>144411.43</v>
      </c>
      <c r="N340" s="23">
        <v>524513.22</v>
      </c>
      <c r="O340" s="23">
        <f>M340+N340</f>
        <v>668924.64999999991</v>
      </c>
      <c r="P340" s="23">
        <v>753.02</v>
      </c>
      <c r="Q340" s="23">
        <v>2541</v>
      </c>
      <c r="R340" s="23">
        <f>P340+ROUND(Q340, 2)</f>
        <v>3294.02</v>
      </c>
      <c r="S340" s="23">
        <v>155438.39000000001</v>
      </c>
      <c r="T340" s="23">
        <v>524513.22</v>
      </c>
      <c r="U340" s="23">
        <f>S340+T340</f>
        <v>679951.61</v>
      </c>
      <c r="V340" s="9">
        <f>ROUND(P340 / 1.2, 2)</f>
        <v>627.52</v>
      </c>
      <c r="W340" s="9">
        <f>ROUND(Q340 / 1.2, 2)</f>
        <v>2117.5</v>
      </c>
      <c r="X340" s="9">
        <f>ROUND(R340 / 1.2, 2)</f>
        <v>2745.02</v>
      </c>
      <c r="Y340" s="9">
        <f t="shared" si="25"/>
        <v>129531.99</v>
      </c>
      <c r="Z340" s="9">
        <f>ROUND(T340 / 1.2, 2)</f>
        <v>437094.35</v>
      </c>
      <c r="AA340" s="9">
        <f>Y340+Z340</f>
        <v>566626.34</v>
      </c>
      <c r="AD340" s="4">
        <v>339118868</v>
      </c>
      <c r="AE340" s="4">
        <v>28999466</v>
      </c>
      <c r="AG340" s="4" t="s">
        <v>1320</v>
      </c>
      <c r="AH340" s="4" t="s">
        <v>1321</v>
      </c>
      <c r="AI340" s="4" t="s">
        <v>156</v>
      </c>
    </row>
    <row r="341" spans="1:35" ht="18" x14ac:dyDescent="0.3">
      <c r="A341" s="11" t="s">
        <v>1322</v>
      </c>
      <c r="B341" s="11"/>
      <c r="C341" s="30" t="s">
        <v>1323</v>
      </c>
      <c r="D341" s="21"/>
      <c r="E341" s="21"/>
      <c r="F341" s="34" t="s">
        <v>159</v>
      </c>
      <c r="G341" s="35">
        <v>40</v>
      </c>
      <c r="H341" s="21"/>
      <c r="I341" s="36">
        <v>8256.7999999999993</v>
      </c>
      <c r="J341" s="37">
        <v>9.02</v>
      </c>
      <c r="K341" s="12"/>
      <c r="L341" s="12"/>
      <c r="M341" s="37">
        <f>ROUND(ROUND(J341, 2)*I341, 2)</f>
        <v>74476.34</v>
      </c>
      <c r="N341" s="12"/>
      <c r="O341" s="12"/>
      <c r="P341" s="37">
        <v>9.02</v>
      </c>
      <c r="Q341" s="12"/>
      <c r="R341" s="12"/>
      <c r="S341" s="37">
        <f>ROUND(ROUND(P341, 2)*I341, 2)</f>
        <v>74476.34</v>
      </c>
      <c r="T341" s="12"/>
      <c r="U341" s="38"/>
      <c r="V341" s="9">
        <f>ROUND(ROUND(P341, 2)/1.2, 2)</f>
        <v>7.52</v>
      </c>
      <c r="Y341" s="9">
        <f t="shared" si="25"/>
        <v>62063.62</v>
      </c>
      <c r="AD341" s="4" t="s">
        <v>1324</v>
      </c>
      <c r="AE341" s="4" t="s">
        <v>1325</v>
      </c>
      <c r="AF341" s="4" t="s">
        <v>1326</v>
      </c>
    </row>
    <row r="342" spans="1:35" ht="36" x14ac:dyDescent="0.3">
      <c r="A342" s="11" t="s">
        <v>1327</v>
      </c>
      <c r="B342" s="11"/>
      <c r="C342" s="33" t="s">
        <v>1328</v>
      </c>
      <c r="D342" s="21"/>
      <c r="E342" s="21"/>
      <c r="F342" s="34" t="s">
        <v>75</v>
      </c>
      <c r="G342" s="35">
        <v>1.05</v>
      </c>
      <c r="H342" s="21"/>
      <c r="I342" s="35">
        <v>216.74100000000001</v>
      </c>
      <c r="J342" s="37">
        <v>137.79</v>
      </c>
      <c r="K342" s="12"/>
      <c r="L342" s="12"/>
      <c r="M342" s="37">
        <f>ROUND(ROUND(J342, 2)*I342, 2)</f>
        <v>29864.74</v>
      </c>
      <c r="N342" s="12"/>
      <c r="O342" s="12"/>
      <c r="P342" s="37">
        <v>188.67</v>
      </c>
      <c r="Q342" s="12"/>
      <c r="R342" s="12"/>
      <c r="S342" s="37">
        <f>ROUND(ROUND(P342, 2)*I342, 2)</f>
        <v>40892.519999999997</v>
      </c>
      <c r="T342" s="12"/>
      <c r="U342" s="38"/>
      <c r="V342" s="9">
        <f>ROUND(ROUND(P342, 2)/1.2, 2)</f>
        <v>157.22999999999999</v>
      </c>
      <c r="Y342" s="9">
        <f t="shared" si="25"/>
        <v>34077.1</v>
      </c>
      <c r="AD342" s="4" t="s">
        <v>1329</v>
      </c>
      <c r="AE342" s="4" t="s">
        <v>1330</v>
      </c>
      <c r="AF342" s="4" t="s">
        <v>1331</v>
      </c>
    </row>
    <row r="343" spans="1:35" ht="36" x14ac:dyDescent="0.3">
      <c r="A343" s="11" t="s">
        <v>1332</v>
      </c>
      <c r="B343" s="11"/>
      <c r="C343" s="33" t="s">
        <v>480</v>
      </c>
      <c r="D343" s="21"/>
      <c r="E343" s="21"/>
      <c r="F343" s="34" t="s">
        <v>159</v>
      </c>
      <c r="G343" s="35">
        <v>0.15</v>
      </c>
      <c r="H343" s="21"/>
      <c r="I343" s="35">
        <v>30.963000000000001</v>
      </c>
      <c r="J343" s="37">
        <v>90.28</v>
      </c>
      <c r="K343" s="12"/>
      <c r="L343" s="12"/>
      <c r="M343" s="37">
        <f>ROUND(ROUND(J343, 2)*I343, 2)</f>
        <v>2795.34</v>
      </c>
      <c r="N343" s="12"/>
      <c r="O343" s="12"/>
      <c r="P343" s="37">
        <v>90.28</v>
      </c>
      <c r="Q343" s="12"/>
      <c r="R343" s="12"/>
      <c r="S343" s="37">
        <f>ROUND(ROUND(P343, 2)*I343, 2)</f>
        <v>2795.34</v>
      </c>
      <c r="T343" s="12"/>
      <c r="U343" s="38"/>
      <c r="V343" s="9">
        <f>ROUND(ROUND(P343, 2)/1.2, 2)</f>
        <v>75.23</v>
      </c>
      <c r="Y343" s="9">
        <f t="shared" si="25"/>
        <v>2329.4499999999998</v>
      </c>
      <c r="AD343" s="4" t="s">
        <v>1333</v>
      </c>
      <c r="AE343" s="4" t="s">
        <v>1334</v>
      </c>
      <c r="AF343" s="4" t="s">
        <v>483</v>
      </c>
    </row>
    <row r="344" spans="1:35" ht="18" x14ac:dyDescent="0.3">
      <c r="A344" s="11" t="s">
        <v>1335</v>
      </c>
      <c r="B344" s="11"/>
      <c r="C344" s="33" t="s">
        <v>1336</v>
      </c>
      <c r="D344" s="21"/>
      <c r="E344" s="21"/>
      <c r="F344" s="34" t="s">
        <v>240</v>
      </c>
      <c r="G344" s="35">
        <v>2.2200000000000002</v>
      </c>
      <c r="H344" s="21"/>
      <c r="I344" s="35">
        <v>458.25200000000001</v>
      </c>
      <c r="J344" s="37">
        <v>81.34</v>
      </c>
      <c r="K344" s="12"/>
      <c r="L344" s="12"/>
      <c r="M344" s="37">
        <f>ROUND(ROUND(J344, 2)*I344, 2)</f>
        <v>37274.22</v>
      </c>
      <c r="N344" s="12"/>
      <c r="O344" s="12"/>
      <c r="P344" s="37">
        <v>81.34</v>
      </c>
      <c r="Q344" s="12"/>
      <c r="R344" s="12"/>
      <c r="S344" s="37">
        <f>ROUND(ROUND(P344, 2)*I344, 2)</f>
        <v>37274.22</v>
      </c>
      <c r="T344" s="12"/>
      <c r="U344" s="38"/>
      <c r="V344" s="9">
        <f>ROUND(ROUND(P344, 2)/1.2, 2)</f>
        <v>67.78</v>
      </c>
      <c r="Y344" s="9">
        <f t="shared" si="25"/>
        <v>31061.85</v>
      </c>
      <c r="AD344" s="4" t="s">
        <v>1337</v>
      </c>
      <c r="AE344" s="4" t="s">
        <v>1338</v>
      </c>
      <c r="AF344" s="4" t="s">
        <v>1339</v>
      </c>
    </row>
    <row r="345" spans="1:35" ht="16.95" customHeight="1" x14ac:dyDescent="0.3">
      <c r="A345" s="10" t="s">
        <v>1340</v>
      </c>
      <c r="B345" s="10" t="s">
        <v>1341</v>
      </c>
      <c r="C345" s="120" t="s">
        <v>1342</v>
      </c>
      <c r="D345" s="121"/>
      <c r="E345" s="121"/>
      <c r="F345" s="121"/>
      <c r="G345" s="121"/>
      <c r="H345" s="121"/>
      <c r="I345" s="122"/>
      <c r="M345" s="6">
        <f>SUM(M346,M375)</f>
        <v>602456.1</v>
      </c>
      <c r="N345" s="6">
        <f>SUM(N346,N375)</f>
        <v>3211659</v>
      </c>
      <c r="O345" s="6">
        <f>SUM(O346,O375)</f>
        <v>3814115.0999999996</v>
      </c>
      <c r="S345" s="6">
        <f>SUM(S346,S375)</f>
        <v>462948.94000000006</v>
      </c>
      <c r="T345" s="6">
        <f>SUM(T346,T375)</f>
        <v>3193007.22</v>
      </c>
      <c r="U345" s="6">
        <f>SUM(U346,U375)</f>
        <v>3655956.16</v>
      </c>
      <c r="Y345" s="9">
        <f>SUM(Y346,Y375)</f>
        <v>385790.78</v>
      </c>
      <c r="Z345" s="9">
        <f>SUM(Z346,Z375)</f>
        <v>2660839.3400000003</v>
      </c>
      <c r="AA345" s="9">
        <f>SUM(AA346,AA375)</f>
        <v>3046630.12</v>
      </c>
      <c r="AD345" s="4">
        <v>339118869</v>
      </c>
      <c r="AE345" s="4">
        <v>25887943</v>
      </c>
    </row>
    <row r="346" spans="1:35" ht="16.95" customHeight="1" x14ac:dyDescent="0.3">
      <c r="A346" s="10" t="s">
        <v>1343</v>
      </c>
      <c r="B346" s="10" t="s">
        <v>1344</v>
      </c>
      <c r="C346" s="120" t="s">
        <v>1345</v>
      </c>
      <c r="D346" s="121"/>
      <c r="E346" s="121"/>
      <c r="F346" s="121"/>
      <c r="G346" s="121"/>
      <c r="H346" s="121"/>
      <c r="I346" s="122"/>
      <c r="M346" s="6">
        <f>SUM(M347,M353,M356,M359,M363,M367,M370,M373)</f>
        <v>235262.04000000007</v>
      </c>
      <c r="N346" s="6">
        <f>SUM(N347,N353,N356,N359,N363,N367,N370,N373)</f>
        <v>1283558.5</v>
      </c>
      <c r="O346" s="6">
        <f>SUM(O347,O353,O356,O359,O363,O367,O370,O373)</f>
        <v>1518820.54</v>
      </c>
      <c r="S346" s="6">
        <f>SUM(S347,S353,S356,S359,S363,S367,S370,S373)</f>
        <v>210139.14000000004</v>
      </c>
      <c r="T346" s="6">
        <f>SUM(T347,T353,T356,T359,T363,T367,T370,T373)</f>
        <v>1283558.5</v>
      </c>
      <c r="U346" s="6">
        <f>SUM(U347,U353,U356,U359,U363,U367,U370,U373)</f>
        <v>1493697.6400000001</v>
      </c>
      <c r="Y346" s="9">
        <f>SUM(Y347,Y353,Y356,Y359,Y363,Y367,Y370,Y373)</f>
        <v>175115.95</v>
      </c>
      <c r="Z346" s="9">
        <f>SUM(Z347,Z353,Z356,Z359,Z363,Z367,Z370,Z373)</f>
        <v>1069632.08</v>
      </c>
      <c r="AA346" s="9">
        <f>SUM(AA347,AA353,AA356,AA359,AA363,AA367,AA370,AA373)</f>
        <v>1244748.0299999998</v>
      </c>
      <c r="AD346" s="4">
        <v>339118870</v>
      </c>
      <c r="AE346" s="4">
        <v>25887968</v>
      </c>
    </row>
    <row r="347" spans="1:35" ht="36" x14ac:dyDescent="0.3">
      <c r="A347" s="10" t="s">
        <v>1346</v>
      </c>
      <c r="B347" s="10" t="s">
        <v>1347</v>
      </c>
      <c r="C347" s="14" t="s">
        <v>1348</v>
      </c>
      <c r="D347" s="15"/>
      <c r="E347" s="15" t="s">
        <v>1349</v>
      </c>
      <c r="F347" s="15" t="s">
        <v>75</v>
      </c>
      <c r="G347" s="16">
        <v>1</v>
      </c>
      <c r="H347" s="15"/>
      <c r="I347" s="16">
        <v>58.61</v>
      </c>
      <c r="J347" s="17">
        <v>2512.9899999999998</v>
      </c>
      <c r="K347" s="18">
        <v>594</v>
      </c>
      <c r="L347" s="17">
        <f>J347+ROUND(K347, 2)</f>
        <v>3106.99</v>
      </c>
      <c r="M347" s="17">
        <v>147286.34</v>
      </c>
      <c r="N347" s="17">
        <v>34814.339999999997</v>
      </c>
      <c r="O347" s="17">
        <f>M347+N347</f>
        <v>182100.68</v>
      </c>
      <c r="P347" s="17">
        <v>1987.51</v>
      </c>
      <c r="Q347" s="19">
        <v>594</v>
      </c>
      <c r="R347" s="17">
        <f>P347+ROUND(Q347, 2)</f>
        <v>2581.5100000000002</v>
      </c>
      <c r="S347" s="17">
        <v>116487.96</v>
      </c>
      <c r="T347" s="17">
        <v>34814.339999999997</v>
      </c>
      <c r="U347" s="17">
        <f>S347+T347</f>
        <v>151302.29999999999</v>
      </c>
      <c r="V347" s="9">
        <f>ROUND(P347 / 1.2, 2)</f>
        <v>1656.26</v>
      </c>
      <c r="W347" s="9">
        <f>ROUND(Q347 / 1.2, 2)</f>
        <v>495</v>
      </c>
      <c r="X347" s="9">
        <f>ROUND(R347 / 1.2, 2)</f>
        <v>2151.2600000000002</v>
      </c>
      <c r="Y347" s="9">
        <f>ROUND(S347 / 1.2, 2)</f>
        <v>97073.3</v>
      </c>
      <c r="Z347" s="9">
        <f>ROUND(T347 / 1.2, 2)</f>
        <v>29011.95</v>
      </c>
      <c r="AA347" s="9">
        <f>Y347+Z347</f>
        <v>126085.25</v>
      </c>
      <c r="AD347" s="4">
        <v>339118872</v>
      </c>
      <c r="AE347" s="4">
        <v>25887996</v>
      </c>
      <c r="AG347" s="4" t="s">
        <v>1350</v>
      </c>
      <c r="AH347" s="4" t="s">
        <v>1351</v>
      </c>
      <c r="AI347" s="4" t="s">
        <v>156</v>
      </c>
    </row>
    <row r="348" spans="1:35" ht="18" x14ac:dyDescent="0.3">
      <c r="A348" s="10" t="s">
        <v>1352</v>
      </c>
      <c r="B348" s="10"/>
      <c r="C348" s="24" t="s">
        <v>1018</v>
      </c>
      <c r="D348" s="15"/>
      <c r="E348" s="15" t="s">
        <v>1353</v>
      </c>
      <c r="F348" s="25" t="s">
        <v>75</v>
      </c>
      <c r="G348" s="26">
        <v>1.01</v>
      </c>
      <c r="H348" s="15"/>
      <c r="I348" s="26">
        <v>59.195999999999998</v>
      </c>
      <c r="J348" s="27">
        <v>26</v>
      </c>
      <c r="M348" s="28">
        <f>ROUND(ROUND(J348, 2)*I348, 2)</f>
        <v>1539.1</v>
      </c>
      <c r="P348" s="29">
        <v>48.44</v>
      </c>
      <c r="S348" s="28">
        <f>ROUND(ROUND(P348, 2)*I348, 2)</f>
        <v>2867.45</v>
      </c>
      <c r="V348" s="9">
        <f>ROUND(ROUND(P348, 2)/1.2, 2)</f>
        <v>40.369999999999997</v>
      </c>
      <c r="Y348" s="9">
        <f t="shared" ref="Y348:Y374" si="26">ROUND(S348 / 1.2, 2)</f>
        <v>2389.54</v>
      </c>
      <c r="AD348" s="4" t="s">
        <v>1354</v>
      </c>
      <c r="AE348" s="4" t="s">
        <v>1355</v>
      </c>
      <c r="AF348" s="4" t="s">
        <v>1022</v>
      </c>
    </row>
    <row r="349" spans="1:35" ht="90" x14ac:dyDescent="0.3">
      <c r="A349" s="10" t="s">
        <v>1356</v>
      </c>
      <c r="B349" s="10"/>
      <c r="C349" s="30" t="s">
        <v>1357</v>
      </c>
      <c r="D349" s="15"/>
      <c r="E349" s="15" t="s">
        <v>1358</v>
      </c>
      <c r="F349" s="25" t="s">
        <v>424</v>
      </c>
      <c r="G349" s="26">
        <v>0.10299999999999999</v>
      </c>
      <c r="H349" s="15"/>
      <c r="I349" s="32">
        <v>12.07</v>
      </c>
      <c r="J349" s="27">
        <v>10694.2</v>
      </c>
      <c r="M349" s="28">
        <f>ROUND(ROUND(J349, 2)*I349, 2)</f>
        <v>129078.99</v>
      </c>
      <c r="P349" s="29">
        <v>8032.5</v>
      </c>
      <c r="S349" s="28">
        <f>ROUND(ROUND(P349, 2)*I349, 2)</f>
        <v>96952.28</v>
      </c>
      <c r="V349" s="9">
        <f>ROUND(ROUND(P349, 2)/1.2, 2)</f>
        <v>6693.75</v>
      </c>
      <c r="Y349" s="9">
        <f t="shared" si="26"/>
        <v>80793.570000000007</v>
      </c>
      <c r="AD349" s="4" t="s">
        <v>1359</v>
      </c>
      <c r="AE349" s="4" t="s">
        <v>1360</v>
      </c>
      <c r="AF349" s="4" t="s">
        <v>1361</v>
      </c>
    </row>
    <row r="350" spans="1:35" ht="36" x14ac:dyDescent="0.3">
      <c r="A350" s="10" t="s">
        <v>1362</v>
      </c>
      <c r="B350" s="10"/>
      <c r="C350" s="24" t="s">
        <v>1363</v>
      </c>
      <c r="D350" s="15"/>
      <c r="E350" s="15"/>
      <c r="F350" s="25" t="s">
        <v>159</v>
      </c>
      <c r="G350" s="26">
        <v>1.3</v>
      </c>
      <c r="H350" s="15"/>
      <c r="I350" s="32">
        <v>380.96499999999997</v>
      </c>
      <c r="J350" s="27">
        <v>20</v>
      </c>
      <c r="M350" s="28">
        <f>ROUND(ROUND(J350, 2)*I350, 2)</f>
        <v>7619.3</v>
      </c>
      <c r="P350" s="29">
        <v>20</v>
      </c>
      <c r="S350" s="28">
        <f>ROUND(ROUND(P350, 2)*I350, 2)</f>
        <v>7619.3</v>
      </c>
      <c r="V350" s="9">
        <f>ROUND(ROUND(P350, 2)/1.2, 2)</f>
        <v>16.670000000000002</v>
      </c>
      <c r="Y350" s="9">
        <f t="shared" si="26"/>
        <v>6349.42</v>
      </c>
      <c r="AD350" s="4" t="s">
        <v>1364</v>
      </c>
      <c r="AE350" s="4" t="s">
        <v>1365</v>
      </c>
      <c r="AF350" s="4" t="s">
        <v>1366</v>
      </c>
    </row>
    <row r="351" spans="1:35" ht="36" x14ac:dyDescent="0.3">
      <c r="A351" s="10" t="s">
        <v>1367</v>
      </c>
      <c r="B351" s="10"/>
      <c r="C351" s="24" t="s">
        <v>1368</v>
      </c>
      <c r="D351" s="15"/>
      <c r="E351" s="15"/>
      <c r="F351" s="25" t="s">
        <v>240</v>
      </c>
      <c r="G351" s="26">
        <v>7</v>
      </c>
      <c r="H351" s="15"/>
      <c r="I351" s="26">
        <v>410.27</v>
      </c>
      <c r="J351" s="27">
        <v>20.59</v>
      </c>
      <c r="M351" s="28">
        <f>ROUND(ROUND(J351, 2)*I351, 2)</f>
        <v>8447.4599999999991</v>
      </c>
      <c r="P351" s="29">
        <v>20.59</v>
      </c>
      <c r="S351" s="28">
        <f>ROUND(ROUND(P351, 2)*I351, 2)</f>
        <v>8447.4599999999991</v>
      </c>
      <c r="V351" s="9">
        <f>ROUND(ROUND(P351, 2)/1.2, 2)</f>
        <v>17.16</v>
      </c>
      <c r="Y351" s="9">
        <f t="shared" si="26"/>
        <v>7039.55</v>
      </c>
      <c r="AD351" s="4" t="s">
        <v>1369</v>
      </c>
      <c r="AE351" s="4" t="s">
        <v>1370</v>
      </c>
      <c r="AF351" s="4" t="s">
        <v>1371</v>
      </c>
    </row>
    <row r="352" spans="1:35" ht="36" x14ac:dyDescent="0.3">
      <c r="A352" s="10" t="s">
        <v>1372</v>
      </c>
      <c r="B352" s="10"/>
      <c r="C352" s="24" t="s">
        <v>534</v>
      </c>
      <c r="D352" s="15"/>
      <c r="E352" s="15"/>
      <c r="F352" s="25" t="s">
        <v>159</v>
      </c>
      <c r="G352" s="26">
        <v>0.15</v>
      </c>
      <c r="H352" s="15"/>
      <c r="I352" s="26">
        <v>8.7919999999999998</v>
      </c>
      <c r="J352" s="27">
        <v>68.400000000000006</v>
      </c>
      <c r="M352" s="28">
        <f>ROUND(ROUND(J352, 2)*I352, 2)</f>
        <v>601.37</v>
      </c>
      <c r="P352" s="29">
        <v>68.400000000000006</v>
      </c>
      <c r="S352" s="28">
        <f>ROUND(ROUND(P352, 2)*I352, 2)</f>
        <v>601.37</v>
      </c>
      <c r="V352" s="9">
        <f>ROUND(ROUND(P352, 2)/1.2, 2)</f>
        <v>57</v>
      </c>
      <c r="Y352" s="9">
        <f t="shared" si="26"/>
        <v>501.14</v>
      </c>
      <c r="AD352" s="4" t="s">
        <v>1373</v>
      </c>
      <c r="AE352" s="4" t="s">
        <v>1374</v>
      </c>
      <c r="AF352" s="4" t="s">
        <v>537</v>
      </c>
    </row>
    <row r="353" spans="1:35" ht="36" x14ac:dyDescent="0.3">
      <c r="A353" s="10" t="s">
        <v>1375</v>
      </c>
      <c r="B353" s="10" t="s">
        <v>1376</v>
      </c>
      <c r="C353" s="14" t="s">
        <v>1377</v>
      </c>
      <c r="D353" s="15"/>
      <c r="E353" s="15" t="s">
        <v>1378</v>
      </c>
      <c r="F353" s="15" t="s">
        <v>75</v>
      </c>
      <c r="G353" s="16">
        <v>1</v>
      </c>
      <c r="H353" s="15"/>
      <c r="I353" s="16">
        <v>89.23</v>
      </c>
      <c r="J353" s="17">
        <v>71.61</v>
      </c>
      <c r="K353" s="18">
        <v>718</v>
      </c>
      <c r="L353" s="17">
        <f>J353+ROUND(K353, 2)</f>
        <v>789.61</v>
      </c>
      <c r="M353" s="17">
        <v>6389.76</v>
      </c>
      <c r="N353" s="17">
        <v>64067.14</v>
      </c>
      <c r="O353" s="17">
        <f>M353+N353</f>
        <v>70456.899999999994</v>
      </c>
      <c r="P353" s="17">
        <v>71.61</v>
      </c>
      <c r="Q353" s="19">
        <v>718</v>
      </c>
      <c r="R353" s="17">
        <f>P353+ROUND(Q353, 2)</f>
        <v>789.61</v>
      </c>
      <c r="S353" s="17">
        <v>6389.76</v>
      </c>
      <c r="T353" s="17">
        <v>64067.14</v>
      </c>
      <c r="U353" s="17">
        <f>S353+T353</f>
        <v>70456.899999999994</v>
      </c>
      <c r="V353" s="9">
        <f>ROUND(P353 / 1.2, 2)</f>
        <v>59.68</v>
      </c>
      <c r="W353" s="9">
        <f>ROUND(Q353 / 1.2, 2)</f>
        <v>598.33000000000004</v>
      </c>
      <c r="X353" s="9">
        <f>ROUND(R353 / 1.2, 2)</f>
        <v>658.01</v>
      </c>
      <c r="Y353" s="9">
        <f t="shared" si="26"/>
        <v>5324.8</v>
      </c>
      <c r="Z353" s="9">
        <f>ROUND(T353 / 1.2, 2)</f>
        <v>53389.279999999999</v>
      </c>
      <c r="AA353" s="9">
        <f>Y353+Z353</f>
        <v>58714.080000000002</v>
      </c>
      <c r="AD353" s="4">
        <v>339118874</v>
      </c>
      <c r="AE353" s="4">
        <v>25888025</v>
      </c>
      <c r="AG353" s="4" t="s">
        <v>1379</v>
      </c>
      <c r="AH353" s="4" t="s">
        <v>1380</v>
      </c>
      <c r="AI353" s="4" t="s">
        <v>156</v>
      </c>
    </row>
    <row r="354" spans="1:35" ht="36" x14ac:dyDescent="0.3">
      <c r="A354" s="10" t="s">
        <v>1381</v>
      </c>
      <c r="B354" s="10"/>
      <c r="C354" s="30" t="s">
        <v>849</v>
      </c>
      <c r="D354" s="15"/>
      <c r="E354" s="15"/>
      <c r="F354" s="25" t="s">
        <v>159</v>
      </c>
      <c r="G354" s="26">
        <v>4.5</v>
      </c>
      <c r="H354" s="15"/>
      <c r="I354" s="26">
        <v>401.53500000000003</v>
      </c>
      <c r="J354" s="27">
        <v>12.58</v>
      </c>
      <c r="M354" s="28">
        <f>ROUND(ROUND(J354, 2)*I354, 2)</f>
        <v>5051.3100000000004</v>
      </c>
      <c r="P354" s="29">
        <v>12.58</v>
      </c>
      <c r="S354" s="28">
        <f>ROUND(ROUND(P354, 2)*I354, 2)</f>
        <v>5051.3100000000004</v>
      </c>
      <c r="V354" s="9">
        <f>ROUND(ROUND(P354, 2)/1.2, 2)</f>
        <v>10.48</v>
      </c>
      <c r="Y354" s="9">
        <f t="shared" si="26"/>
        <v>4209.43</v>
      </c>
      <c r="AD354" s="4" t="s">
        <v>1382</v>
      </c>
      <c r="AE354" s="4" t="s">
        <v>1383</v>
      </c>
      <c r="AF354" s="4" t="s">
        <v>852</v>
      </c>
    </row>
    <row r="355" spans="1:35" ht="18" x14ac:dyDescent="0.3">
      <c r="A355" s="10" t="s">
        <v>1384</v>
      </c>
      <c r="B355" s="10"/>
      <c r="C355" s="24" t="s">
        <v>296</v>
      </c>
      <c r="D355" s="15"/>
      <c r="E355" s="15"/>
      <c r="F355" s="25" t="s">
        <v>159</v>
      </c>
      <c r="G355" s="26">
        <v>0.15</v>
      </c>
      <c r="H355" s="15"/>
      <c r="I355" s="26">
        <v>13.385</v>
      </c>
      <c r="J355" s="27">
        <v>100</v>
      </c>
      <c r="M355" s="28">
        <f>ROUND(ROUND(J355, 2)*I355, 2)</f>
        <v>1338.5</v>
      </c>
      <c r="P355" s="29">
        <v>100</v>
      </c>
      <c r="S355" s="28">
        <f>ROUND(ROUND(P355, 2)*I355, 2)</f>
        <v>1338.5</v>
      </c>
      <c r="V355" s="9">
        <f>ROUND(ROUND(P355, 2)/1.2, 2)</f>
        <v>83.33</v>
      </c>
      <c r="Y355" s="9">
        <f t="shared" si="26"/>
        <v>1115.42</v>
      </c>
      <c r="AD355" s="4" t="s">
        <v>1385</v>
      </c>
      <c r="AE355" s="4" t="s">
        <v>1386</v>
      </c>
      <c r="AF355" s="4" t="s">
        <v>299</v>
      </c>
    </row>
    <row r="356" spans="1:35" ht="36" x14ac:dyDescent="0.3">
      <c r="A356" s="11" t="s">
        <v>1387</v>
      </c>
      <c r="B356" s="11" t="s">
        <v>1376</v>
      </c>
      <c r="C356" s="20" t="s">
        <v>1377</v>
      </c>
      <c r="D356" s="21"/>
      <c r="E356" s="21" t="s">
        <v>1388</v>
      </c>
      <c r="F356" s="21" t="s">
        <v>75</v>
      </c>
      <c r="G356" s="22">
        <v>1</v>
      </c>
      <c r="H356" s="21"/>
      <c r="I356" s="22">
        <v>444.09</v>
      </c>
      <c r="J356" s="23">
        <v>33.130000000000003</v>
      </c>
      <c r="K356" s="23">
        <v>790</v>
      </c>
      <c r="L356" s="23">
        <f>J356+ROUND(K356, 2)</f>
        <v>823.13</v>
      </c>
      <c r="M356" s="23">
        <v>14712.7</v>
      </c>
      <c r="N356" s="23">
        <v>350831.1</v>
      </c>
      <c r="O356" s="23">
        <f>M356+N356</f>
        <v>365543.8</v>
      </c>
      <c r="P356" s="23">
        <v>33.130000000000003</v>
      </c>
      <c r="Q356" s="23">
        <v>790</v>
      </c>
      <c r="R356" s="23">
        <f>P356+ROUND(Q356, 2)</f>
        <v>823.13</v>
      </c>
      <c r="S356" s="23">
        <v>14712.7</v>
      </c>
      <c r="T356" s="23">
        <v>350831.1</v>
      </c>
      <c r="U356" s="23">
        <f>S356+T356</f>
        <v>365543.8</v>
      </c>
      <c r="V356" s="9">
        <f>ROUND(P356 / 1.2, 2)</f>
        <v>27.61</v>
      </c>
      <c r="W356" s="9">
        <f>ROUND(Q356 / 1.2, 2)</f>
        <v>658.33</v>
      </c>
      <c r="X356" s="9">
        <f>ROUND(R356 / 1.2, 2)</f>
        <v>685.94</v>
      </c>
      <c r="Y356" s="9">
        <f t="shared" si="26"/>
        <v>12260.58</v>
      </c>
      <c r="Z356" s="9">
        <f>ROUND(T356 / 1.2, 2)</f>
        <v>292359.25</v>
      </c>
      <c r="AA356" s="9">
        <f>Y356+Z356</f>
        <v>304619.83</v>
      </c>
      <c r="AD356" s="4">
        <v>339118935</v>
      </c>
      <c r="AE356" s="4">
        <v>28983430</v>
      </c>
      <c r="AG356" s="4" t="s">
        <v>1379</v>
      </c>
      <c r="AH356" s="4" t="s">
        <v>1380</v>
      </c>
      <c r="AI356" s="4" t="s">
        <v>156</v>
      </c>
    </row>
    <row r="357" spans="1:35" ht="18" x14ac:dyDescent="0.3">
      <c r="A357" s="11" t="s">
        <v>1389</v>
      </c>
      <c r="B357" s="11"/>
      <c r="C357" s="33" t="s">
        <v>296</v>
      </c>
      <c r="D357" s="21"/>
      <c r="E357" s="21"/>
      <c r="F357" s="34" t="s">
        <v>159</v>
      </c>
      <c r="G357" s="35">
        <v>0.15</v>
      </c>
      <c r="H357" s="21"/>
      <c r="I357" s="35">
        <v>66.614000000000004</v>
      </c>
      <c r="J357" s="37">
        <v>101.66</v>
      </c>
      <c r="K357" s="12"/>
      <c r="L357" s="12"/>
      <c r="M357" s="37">
        <f>ROUND(ROUND(J357, 2)*I357, 2)</f>
        <v>6771.98</v>
      </c>
      <c r="N357" s="12"/>
      <c r="O357" s="12"/>
      <c r="P357" s="37">
        <v>101.66</v>
      </c>
      <c r="Q357" s="12"/>
      <c r="R357" s="12"/>
      <c r="S357" s="37">
        <f>ROUND(ROUND(P357, 2)*I357, 2)</f>
        <v>6771.98</v>
      </c>
      <c r="T357" s="12"/>
      <c r="U357" s="38"/>
      <c r="V357" s="9">
        <f>ROUND(ROUND(P357, 2)/1.2, 2)</f>
        <v>84.72</v>
      </c>
      <c r="Y357" s="9">
        <f t="shared" si="26"/>
        <v>5643.32</v>
      </c>
      <c r="AD357" s="4" t="s">
        <v>1390</v>
      </c>
      <c r="AE357" s="4" t="s">
        <v>1391</v>
      </c>
      <c r="AF357" s="4" t="s">
        <v>299</v>
      </c>
    </row>
    <row r="358" spans="1:35" ht="36" x14ac:dyDescent="0.3">
      <c r="A358" s="11" t="s">
        <v>1392</v>
      </c>
      <c r="B358" s="11"/>
      <c r="C358" s="33" t="s">
        <v>1393</v>
      </c>
      <c r="D358" s="21"/>
      <c r="E358" s="21"/>
      <c r="F358" s="34" t="s">
        <v>159</v>
      </c>
      <c r="G358" s="35">
        <v>2</v>
      </c>
      <c r="H358" s="21"/>
      <c r="I358" s="35">
        <v>888.18</v>
      </c>
      <c r="J358" s="37">
        <v>8.94</v>
      </c>
      <c r="K358" s="12"/>
      <c r="L358" s="12"/>
      <c r="M358" s="37">
        <f>ROUND(ROUND(J358, 2)*I358, 2)</f>
        <v>7940.33</v>
      </c>
      <c r="N358" s="12"/>
      <c r="O358" s="12"/>
      <c r="P358" s="37">
        <v>8.94</v>
      </c>
      <c r="Q358" s="12"/>
      <c r="R358" s="12"/>
      <c r="S358" s="37">
        <f>ROUND(ROUND(P358, 2)*I358, 2)</f>
        <v>7940.33</v>
      </c>
      <c r="T358" s="12"/>
      <c r="U358" s="38"/>
      <c r="V358" s="9">
        <f>ROUND(ROUND(P358, 2)/1.2, 2)</f>
        <v>7.45</v>
      </c>
      <c r="Y358" s="9">
        <f t="shared" si="26"/>
        <v>6616.94</v>
      </c>
      <c r="AD358" s="4" t="s">
        <v>1394</v>
      </c>
      <c r="AE358" s="4" t="s">
        <v>1395</v>
      </c>
      <c r="AF358" s="4" t="s">
        <v>1396</v>
      </c>
    </row>
    <row r="359" spans="1:35" ht="36" x14ac:dyDescent="0.3">
      <c r="A359" s="10" t="s">
        <v>1397</v>
      </c>
      <c r="B359" s="10" t="s">
        <v>1398</v>
      </c>
      <c r="C359" s="14" t="s">
        <v>907</v>
      </c>
      <c r="D359" s="15"/>
      <c r="E359" s="15" t="s">
        <v>1399</v>
      </c>
      <c r="F359" s="15" t="s">
        <v>75</v>
      </c>
      <c r="G359" s="16">
        <v>1</v>
      </c>
      <c r="H359" s="15"/>
      <c r="I359" s="16">
        <v>465.96</v>
      </c>
      <c r="J359" s="17">
        <v>54.12</v>
      </c>
      <c r="K359" s="18">
        <v>581</v>
      </c>
      <c r="L359" s="17">
        <f>J359+ROUND(K359, 2)</f>
        <v>635.12</v>
      </c>
      <c r="M359" s="17">
        <v>25217.759999999998</v>
      </c>
      <c r="N359" s="17">
        <v>270722.76</v>
      </c>
      <c r="O359" s="17">
        <f>M359+N359</f>
        <v>295940.52</v>
      </c>
      <c r="P359" s="17">
        <v>54.12</v>
      </c>
      <c r="Q359" s="19">
        <v>581</v>
      </c>
      <c r="R359" s="17">
        <f>P359+ROUND(Q359, 2)</f>
        <v>635.12</v>
      </c>
      <c r="S359" s="17">
        <v>25217.759999999998</v>
      </c>
      <c r="T359" s="17">
        <v>270722.76</v>
      </c>
      <c r="U359" s="17">
        <f>S359+T359</f>
        <v>295940.52</v>
      </c>
      <c r="V359" s="9">
        <f>ROUND(P359 / 1.2, 2)</f>
        <v>45.1</v>
      </c>
      <c r="W359" s="9">
        <f>ROUND(Q359 / 1.2, 2)</f>
        <v>484.17</v>
      </c>
      <c r="X359" s="9">
        <f>ROUND(R359 / 1.2, 2)</f>
        <v>529.27</v>
      </c>
      <c r="Y359" s="9">
        <f t="shared" si="26"/>
        <v>21014.799999999999</v>
      </c>
      <c r="Z359" s="9">
        <f>ROUND(T359 / 1.2, 2)</f>
        <v>225602.3</v>
      </c>
      <c r="AA359" s="9">
        <f>Y359+Z359</f>
        <v>246617.09999999998</v>
      </c>
      <c r="AD359" s="4">
        <v>339118875</v>
      </c>
      <c r="AE359" s="4">
        <v>25888027</v>
      </c>
      <c r="AG359" s="4" t="s">
        <v>909</v>
      </c>
      <c r="AH359" s="4" t="s">
        <v>1400</v>
      </c>
      <c r="AI359" s="4" t="s">
        <v>156</v>
      </c>
    </row>
    <row r="360" spans="1:35" ht="36" x14ac:dyDescent="0.3">
      <c r="A360" s="10" t="s">
        <v>1401</v>
      </c>
      <c r="B360" s="10"/>
      <c r="C360" s="30" t="s">
        <v>849</v>
      </c>
      <c r="D360" s="15"/>
      <c r="E360" s="15"/>
      <c r="F360" s="25" t="s">
        <v>159</v>
      </c>
      <c r="G360" s="26">
        <v>1.5</v>
      </c>
      <c r="H360" s="15"/>
      <c r="I360" s="26">
        <v>698.94</v>
      </c>
      <c r="J360" s="27">
        <v>12.58</v>
      </c>
      <c r="M360" s="28">
        <f>ROUND(ROUND(J360, 2)*I360, 2)</f>
        <v>8792.67</v>
      </c>
      <c r="P360" s="29">
        <v>12.58</v>
      </c>
      <c r="S360" s="28">
        <f>ROUND(ROUND(P360, 2)*I360, 2)</f>
        <v>8792.67</v>
      </c>
      <c r="V360" s="9">
        <f>ROUND(ROUND(P360, 2)/1.2, 2)</f>
        <v>10.48</v>
      </c>
      <c r="Y360" s="9">
        <f t="shared" si="26"/>
        <v>7327.23</v>
      </c>
      <c r="AD360" s="4" t="s">
        <v>1402</v>
      </c>
      <c r="AE360" s="4" t="s">
        <v>1403</v>
      </c>
      <c r="AF360" s="4" t="s">
        <v>852</v>
      </c>
    </row>
    <row r="361" spans="1:35" ht="36" x14ac:dyDescent="0.3">
      <c r="A361" s="10" t="s">
        <v>1404</v>
      </c>
      <c r="B361" s="10"/>
      <c r="C361" s="24" t="s">
        <v>915</v>
      </c>
      <c r="D361" s="15"/>
      <c r="E361" s="15"/>
      <c r="F361" s="25" t="s">
        <v>240</v>
      </c>
      <c r="G361" s="26">
        <v>0.3</v>
      </c>
      <c r="H361" s="15"/>
      <c r="I361" s="26">
        <v>139.78800000000001</v>
      </c>
      <c r="J361" s="27">
        <v>73.099999999999994</v>
      </c>
      <c r="M361" s="28">
        <f>ROUND(ROUND(J361, 2)*I361, 2)</f>
        <v>10218.5</v>
      </c>
      <c r="P361" s="29">
        <v>73.099999999999994</v>
      </c>
      <c r="S361" s="28">
        <f>ROUND(ROUND(P361, 2)*I361, 2)</f>
        <v>10218.5</v>
      </c>
      <c r="V361" s="9">
        <f>ROUND(ROUND(P361, 2)/1.2, 2)</f>
        <v>60.92</v>
      </c>
      <c r="Y361" s="9">
        <f t="shared" si="26"/>
        <v>8515.42</v>
      </c>
      <c r="AD361" s="4" t="s">
        <v>1405</v>
      </c>
      <c r="AE361" s="4" t="s">
        <v>1406</v>
      </c>
      <c r="AF361" s="4" t="s">
        <v>918</v>
      </c>
    </row>
    <row r="362" spans="1:35" ht="36" x14ac:dyDescent="0.3">
      <c r="A362" s="10" t="s">
        <v>1407</v>
      </c>
      <c r="B362" s="10"/>
      <c r="C362" s="24" t="s">
        <v>480</v>
      </c>
      <c r="D362" s="15"/>
      <c r="E362" s="15"/>
      <c r="F362" s="25" t="s">
        <v>159</v>
      </c>
      <c r="G362" s="26">
        <v>0.15</v>
      </c>
      <c r="H362" s="15"/>
      <c r="I362" s="26">
        <v>69.894000000000005</v>
      </c>
      <c r="J362" s="27">
        <v>88.8</v>
      </c>
      <c r="M362" s="28">
        <f>ROUND(ROUND(J362, 2)*I362, 2)</f>
        <v>6206.59</v>
      </c>
      <c r="P362" s="29">
        <v>88.8</v>
      </c>
      <c r="S362" s="28">
        <f>ROUND(ROUND(P362, 2)*I362, 2)</f>
        <v>6206.59</v>
      </c>
      <c r="V362" s="9">
        <f>ROUND(ROUND(P362, 2)/1.2, 2)</f>
        <v>74</v>
      </c>
      <c r="Y362" s="9">
        <f t="shared" si="26"/>
        <v>5172.16</v>
      </c>
      <c r="AD362" s="4" t="s">
        <v>1408</v>
      </c>
      <c r="AE362" s="4" t="s">
        <v>1409</v>
      </c>
      <c r="AF362" s="4" t="s">
        <v>483</v>
      </c>
    </row>
    <row r="363" spans="1:35" ht="36" x14ac:dyDescent="0.3">
      <c r="A363" s="10" t="s">
        <v>1410</v>
      </c>
      <c r="B363" s="10" t="s">
        <v>1398</v>
      </c>
      <c r="C363" s="14" t="s">
        <v>907</v>
      </c>
      <c r="D363" s="15"/>
      <c r="E363" s="15" t="s">
        <v>1411</v>
      </c>
      <c r="F363" s="15" t="s">
        <v>75</v>
      </c>
      <c r="G363" s="16">
        <v>1</v>
      </c>
      <c r="H363" s="15"/>
      <c r="I363" s="16">
        <v>108.96</v>
      </c>
      <c r="J363" s="17">
        <v>54.12</v>
      </c>
      <c r="K363" s="18">
        <v>581</v>
      </c>
      <c r="L363" s="17">
        <f>J363+ROUND(K363, 2)</f>
        <v>635.12</v>
      </c>
      <c r="M363" s="17">
        <v>5896.92</v>
      </c>
      <c r="N363" s="17">
        <v>63305.760000000002</v>
      </c>
      <c r="O363" s="17">
        <f>M363+N363</f>
        <v>69202.680000000008</v>
      </c>
      <c r="P363" s="17">
        <v>54.12</v>
      </c>
      <c r="Q363" s="19">
        <v>581</v>
      </c>
      <c r="R363" s="17">
        <f>P363+ROUND(Q363, 2)</f>
        <v>635.12</v>
      </c>
      <c r="S363" s="17">
        <v>5896.92</v>
      </c>
      <c r="T363" s="17">
        <v>63305.760000000002</v>
      </c>
      <c r="U363" s="17">
        <f>S363+T363</f>
        <v>69202.680000000008</v>
      </c>
      <c r="V363" s="9">
        <f>ROUND(P363 / 1.2, 2)</f>
        <v>45.1</v>
      </c>
      <c r="W363" s="9">
        <f>ROUND(Q363 / 1.2, 2)</f>
        <v>484.17</v>
      </c>
      <c r="X363" s="9">
        <f>ROUND(R363 / 1.2, 2)</f>
        <v>529.27</v>
      </c>
      <c r="Y363" s="9">
        <f t="shared" si="26"/>
        <v>4914.1000000000004</v>
      </c>
      <c r="Z363" s="9">
        <f>ROUND(T363 / 1.2, 2)</f>
        <v>52754.8</v>
      </c>
      <c r="AA363" s="9">
        <f>Y363+Z363</f>
        <v>57668.9</v>
      </c>
      <c r="AD363" s="4">
        <v>339118936</v>
      </c>
      <c r="AE363" s="4">
        <v>25887998</v>
      </c>
      <c r="AG363" s="4" t="s">
        <v>909</v>
      </c>
      <c r="AH363" s="4" t="s">
        <v>1400</v>
      </c>
      <c r="AI363" s="4" t="s">
        <v>156</v>
      </c>
    </row>
    <row r="364" spans="1:35" ht="36" x14ac:dyDescent="0.3">
      <c r="A364" s="10" t="s">
        <v>1412</v>
      </c>
      <c r="B364" s="10"/>
      <c r="C364" s="24" t="s">
        <v>480</v>
      </c>
      <c r="D364" s="15"/>
      <c r="E364" s="15"/>
      <c r="F364" s="25" t="s">
        <v>159</v>
      </c>
      <c r="G364" s="26">
        <v>0.15</v>
      </c>
      <c r="H364" s="15"/>
      <c r="I364" s="26">
        <v>16.344000000000001</v>
      </c>
      <c r="J364" s="27">
        <v>88.8</v>
      </c>
      <c r="M364" s="28">
        <f>ROUND(ROUND(J364, 2)*I364, 2)</f>
        <v>1451.35</v>
      </c>
      <c r="P364" s="29">
        <v>88.8</v>
      </c>
      <c r="S364" s="28">
        <f>ROUND(ROUND(P364, 2)*I364, 2)</f>
        <v>1451.35</v>
      </c>
      <c r="V364" s="9">
        <f>ROUND(ROUND(P364, 2)/1.2, 2)</f>
        <v>74</v>
      </c>
      <c r="Y364" s="9">
        <f t="shared" si="26"/>
        <v>1209.46</v>
      </c>
      <c r="AD364" s="4" t="s">
        <v>1413</v>
      </c>
      <c r="AE364" s="4" t="s">
        <v>1414</v>
      </c>
      <c r="AF364" s="4" t="s">
        <v>483</v>
      </c>
    </row>
    <row r="365" spans="1:35" ht="36" x14ac:dyDescent="0.3">
      <c r="A365" s="10" t="s">
        <v>1415</v>
      </c>
      <c r="B365" s="10"/>
      <c r="C365" s="24" t="s">
        <v>915</v>
      </c>
      <c r="D365" s="15"/>
      <c r="E365" s="15"/>
      <c r="F365" s="25" t="s">
        <v>240</v>
      </c>
      <c r="G365" s="26">
        <v>0.3</v>
      </c>
      <c r="H365" s="15"/>
      <c r="I365" s="26">
        <v>32.688000000000002</v>
      </c>
      <c r="J365" s="27">
        <v>73.099999999999994</v>
      </c>
      <c r="M365" s="28">
        <f>ROUND(ROUND(J365, 2)*I365, 2)</f>
        <v>2389.4899999999998</v>
      </c>
      <c r="P365" s="29">
        <v>73.099999999999994</v>
      </c>
      <c r="S365" s="28">
        <f>ROUND(ROUND(P365, 2)*I365, 2)</f>
        <v>2389.4899999999998</v>
      </c>
      <c r="V365" s="9">
        <f>ROUND(ROUND(P365, 2)/1.2, 2)</f>
        <v>60.92</v>
      </c>
      <c r="Y365" s="9">
        <f t="shared" si="26"/>
        <v>1991.24</v>
      </c>
      <c r="AD365" s="4" t="s">
        <v>1416</v>
      </c>
      <c r="AE365" s="4" t="s">
        <v>1417</v>
      </c>
      <c r="AF365" s="4" t="s">
        <v>918</v>
      </c>
    </row>
    <row r="366" spans="1:35" ht="36" x14ac:dyDescent="0.3">
      <c r="A366" s="10" t="s">
        <v>1418</v>
      </c>
      <c r="B366" s="10"/>
      <c r="C366" s="30" t="s">
        <v>849</v>
      </c>
      <c r="D366" s="15"/>
      <c r="E366" s="15"/>
      <c r="F366" s="25" t="s">
        <v>159</v>
      </c>
      <c r="G366" s="26">
        <v>1.5</v>
      </c>
      <c r="H366" s="15"/>
      <c r="I366" s="26">
        <v>163.44</v>
      </c>
      <c r="J366" s="27">
        <v>12.58</v>
      </c>
      <c r="M366" s="28">
        <f>ROUND(ROUND(J366, 2)*I366, 2)</f>
        <v>2056.08</v>
      </c>
      <c r="P366" s="29">
        <v>12.58</v>
      </c>
      <c r="S366" s="28">
        <f>ROUND(ROUND(P366, 2)*I366, 2)</f>
        <v>2056.08</v>
      </c>
      <c r="V366" s="9">
        <f>ROUND(ROUND(P366, 2)/1.2, 2)</f>
        <v>10.48</v>
      </c>
      <c r="Y366" s="9">
        <f t="shared" si="26"/>
        <v>1713.4</v>
      </c>
      <c r="AD366" s="4" t="s">
        <v>1419</v>
      </c>
      <c r="AE366" s="4" t="s">
        <v>1420</v>
      </c>
      <c r="AF366" s="4" t="s">
        <v>852</v>
      </c>
    </row>
    <row r="367" spans="1:35" ht="54" x14ac:dyDescent="0.3">
      <c r="A367" s="11" t="s">
        <v>1421</v>
      </c>
      <c r="B367" s="11" t="s">
        <v>1422</v>
      </c>
      <c r="C367" s="20" t="s">
        <v>992</v>
      </c>
      <c r="D367" s="21"/>
      <c r="E367" s="21" t="s">
        <v>1423</v>
      </c>
      <c r="F367" s="21" t="s">
        <v>75</v>
      </c>
      <c r="G367" s="22">
        <v>1</v>
      </c>
      <c r="H367" s="21"/>
      <c r="I367" s="22">
        <v>444.09</v>
      </c>
      <c r="J367" s="23">
        <v>35.61</v>
      </c>
      <c r="K367" s="23">
        <v>546</v>
      </c>
      <c r="L367" s="23">
        <f>J367+ROUND(K367, 2)</f>
        <v>581.61</v>
      </c>
      <c r="M367" s="23">
        <v>15814.04</v>
      </c>
      <c r="N367" s="23">
        <v>242473.14</v>
      </c>
      <c r="O367" s="23">
        <f>M367+N367</f>
        <v>258287.18000000002</v>
      </c>
      <c r="P367" s="23">
        <v>35.61</v>
      </c>
      <c r="Q367" s="23">
        <v>546</v>
      </c>
      <c r="R367" s="23">
        <f>P367+ROUND(Q367, 2)</f>
        <v>581.61</v>
      </c>
      <c r="S367" s="23">
        <v>15814.04</v>
      </c>
      <c r="T367" s="23">
        <v>242473.14</v>
      </c>
      <c r="U367" s="23">
        <f>S367+T367</f>
        <v>258287.18000000002</v>
      </c>
      <c r="V367" s="9">
        <f>ROUND(P367 / 1.2, 2)</f>
        <v>29.68</v>
      </c>
      <c r="W367" s="9">
        <f>ROUND(Q367 / 1.2, 2)</f>
        <v>455</v>
      </c>
      <c r="X367" s="9">
        <f>ROUND(R367 / 1.2, 2)</f>
        <v>484.68</v>
      </c>
      <c r="Y367" s="9">
        <f t="shared" si="26"/>
        <v>13178.37</v>
      </c>
      <c r="Z367" s="9">
        <f>ROUND(T367 / 1.2, 2)</f>
        <v>202060.95</v>
      </c>
      <c r="AA367" s="9">
        <f>Y367+Z367</f>
        <v>215239.32</v>
      </c>
      <c r="AD367" s="4">
        <v>339118876</v>
      </c>
      <c r="AE367" s="4">
        <v>28983433</v>
      </c>
      <c r="AG367" s="4" t="s">
        <v>994</v>
      </c>
      <c r="AH367" s="4" t="s">
        <v>1424</v>
      </c>
      <c r="AI367" s="4" t="s">
        <v>156</v>
      </c>
    </row>
    <row r="368" spans="1:35" ht="54" x14ac:dyDescent="0.3">
      <c r="A368" s="11" t="s">
        <v>1425</v>
      </c>
      <c r="B368" s="11"/>
      <c r="C368" s="30" t="s">
        <v>997</v>
      </c>
      <c r="D368" s="21"/>
      <c r="E368" s="21"/>
      <c r="F368" s="34" t="s">
        <v>159</v>
      </c>
      <c r="G368" s="35">
        <v>1.8</v>
      </c>
      <c r="H368" s="21"/>
      <c r="I368" s="35">
        <v>799.36199999999997</v>
      </c>
      <c r="J368" s="37">
        <v>12.26</v>
      </c>
      <c r="K368" s="12"/>
      <c r="L368" s="12"/>
      <c r="M368" s="37">
        <f>ROUND(ROUND(J368, 2)*I368, 2)</f>
        <v>9800.18</v>
      </c>
      <c r="N368" s="12"/>
      <c r="O368" s="12"/>
      <c r="P368" s="37">
        <v>12.26</v>
      </c>
      <c r="Q368" s="12"/>
      <c r="R368" s="12"/>
      <c r="S368" s="37">
        <f>ROUND(ROUND(P368, 2)*I368, 2)</f>
        <v>9800.18</v>
      </c>
      <c r="T368" s="12"/>
      <c r="U368" s="38"/>
      <c r="V368" s="9">
        <f>ROUND(ROUND(P368, 2)/1.2, 2)</f>
        <v>10.220000000000001</v>
      </c>
      <c r="Y368" s="9">
        <f t="shared" si="26"/>
        <v>8166.82</v>
      </c>
      <c r="AD368" s="4" t="s">
        <v>1426</v>
      </c>
      <c r="AE368" s="4" t="s">
        <v>1427</v>
      </c>
      <c r="AF368" s="4" t="s">
        <v>1000</v>
      </c>
    </row>
    <row r="369" spans="1:35" ht="36" x14ac:dyDescent="0.3">
      <c r="A369" s="11" t="s">
        <v>1428</v>
      </c>
      <c r="B369" s="11"/>
      <c r="C369" s="33" t="s">
        <v>169</v>
      </c>
      <c r="D369" s="21"/>
      <c r="E369" s="21"/>
      <c r="F369" s="34" t="s">
        <v>159</v>
      </c>
      <c r="G369" s="35">
        <v>0.15</v>
      </c>
      <c r="H369" s="21"/>
      <c r="I369" s="35">
        <v>66.614000000000004</v>
      </c>
      <c r="J369" s="37">
        <v>90.28</v>
      </c>
      <c r="K369" s="12"/>
      <c r="L369" s="12"/>
      <c r="M369" s="37">
        <f>ROUND(ROUND(J369, 2)*I369, 2)</f>
        <v>6013.91</v>
      </c>
      <c r="N369" s="12"/>
      <c r="O369" s="12"/>
      <c r="P369" s="37">
        <v>90.28</v>
      </c>
      <c r="Q369" s="12"/>
      <c r="R369" s="12"/>
      <c r="S369" s="37">
        <f>ROUND(ROUND(P369, 2)*I369, 2)</f>
        <v>6013.91</v>
      </c>
      <c r="T369" s="12"/>
      <c r="U369" s="38"/>
      <c r="V369" s="9">
        <f>ROUND(ROUND(P369, 2)/1.2, 2)</f>
        <v>75.23</v>
      </c>
      <c r="Y369" s="9">
        <f t="shared" si="26"/>
        <v>5011.59</v>
      </c>
      <c r="AD369" s="4" t="s">
        <v>1429</v>
      </c>
      <c r="AE369" s="4" t="s">
        <v>1430</v>
      </c>
      <c r="AF369" s="4" t="s">
        <v>172</v>
      </c>
    </row>
    <row r="370" spans="1:35" ht="54" x14ac:dyDescent="0.3">
      <c r="A370" s="11" t="s">
        <v>1431</v>
      </c>
      <c r="B370" s="11" t="s">
        <v>1422</v>
      </c>
      <c r="C370" s="20" t="s">
        <v>992</v>
      </c>
      <c r="D370" s="21"/>
      <c r="E370" s="21" t="s">
        <v>1432</v>
      </c>
      <c r="F370" s="21" t="s">
        <v>75</v>
      </c>
      <c r="G370" s="22">
        <v>1</v>
      </c>
      <c r="H370" s="21"/>
      <c r="I370" s="22">
        <v>444.09</v>
      </c>
      <c r="J370" s="23">
        <v>35.61</v>
      </c>
      <c r="K370" s="23">
        <v>546</v>
      </c>
      <c r="L370" s="23">
        <f>J370+ROUND(K370, 2)</f>
        <v>581.61</v>
      </c>
      <c r="M370" s="23">
        <v>15814.04</v>
      </c>
      <c r="N370" s="23">
        <v>242473.14</v>
      </c>
      <c r="O370" s="23">
        <f>M370+N370</f>
        <v>258287.18000000002</v>
      </c>
      <c r="P370" s="23">
        <v>48.39</v>
      </c>
      <c r="Q370" s="23">
        <v>546</v>
      </c>
      <c r="R370" s="23">
        <f>P370+ROUND(Q370, 2)</f>
        <v>594.39</v>
      </c>
      <c r="S370" s="23">
        <v>21489.52</v>
      </c>
      <c r="T370" s="23">
        <v>242473.14</v>
      </c>
      <c r="U370" s="23">
        <f>S370+T370</f>
        <v>263962.66000000003</v>
      </c>
      <c r="V370" s="9">
        <f>ROUND(P370 / 1.2, 2)</f>
        <v>40.33</v>
      </c>
      <c r="W370" s="9">
        <f>ROUND(Q370 / 1.2, 2)</f>
        <v>455</v>
      </c>
      <c r="X370" s="9">
        <f>ROUND(R370 / 1.2, 2)</f>
        <v>495.33</v>
      </c>
      <c r="Y370" s="9">
        <f t="shared" si="26"/>
        <v>17907.93</v>
      </c>
      <c r="Z370" s="9">
        <f>ROUND(T370 / 1.2, 2)</f>
        <v>202060.95</v>
      </c>
      <c r="AA370" s="9">
        <f>Y370+Z370</f>
        <v>219968.88</v>
      </c>
      <c r="AD370" s="4">
        <v>339118937</v>
      </c>
      <c r="AE370" s="4">
        <v>28983434</v>
      </c>
      <c r="AG370" s="4" t="s">
        <v>994</v>
      </c>
      <c r="AH370" s="4" t="s">
        <v>1424</v>
      </c>
      <c r="AI370" s="4" t="s">
        <v>156</v>
      </c>
    </row>
    <row r="371" spans="1:35" ht="36" x14ac:dyDescent="0.3">
      <c r="A371" s="11" t="s">
        <v>1433</v>
      </c>
      <c r="B371" s="11"/>
      <c r="C371" s="33" t="s">
        <v>169</v>
      </c>
      <c r="D371" s="21"/>
      <c r="E371" s="21"/>
      <c r="F371" s="34" t="s">
        <v>159</v>
      </c>
      <c r="G371" s="35">
        <v>0.15</v>
      </c>
      <c r="H371" s="21"/>
      <c r="I371" s="35">
        <v>66.614000000000004</v>
      </c>
      <c r="J371" s="37">
        <v>90.28</v>
      </c>
      <c r="K371" s="12"/>
      <c r="L371" s="12"/>
      <c r="M371" s="37">
        <f>ROUND(ROUND(J371, 2)*I371, 2)</f>
        <v>6013.91</v>
      </c>
      <c r="N371" s="12"/>
      <c r="O371" s="12"/>
      <c r="P371" s="37">
        <v>90.28</v>
      </c>
      <c r="Q371" s="12"/>
      <c r="R371" s="12"/>
      <c r="S371" s="37">
        <f>ROUND(ROUND(P371, 2)*I371, 2)</f>
        <v>6013.91</v>
      </c>
      <c r="T371" s="12"/>
      <c r="U371" s="38"/>
      <c r="V371" s="9">
        <f>ROUND(ROUND(P371, 2)/1.2, 2)</f>
        <v>75.23</v>
      </c>
      <c r="Y371" s="9">
        <f t="shared" si="26"/>
        <v>5011.59</v>
      </c>
      <c r="AD371" s="4" t="s">
        <v>1434</v>
      </c>
      <c r="AE371" s="4" t="s">
        <v>1435</v>
      </c>
      <c r="AF371" s="4" t="s">
        <v>172</v>
      </c>
    </row>
    <row r="372" spans="1:35" ht="54" x14ac:dyDescent="0.3">
      <c r="A372" s="11" t="s">
        <v>1436</v>
      </c>
      <c r="B372" s="11"/>
      <c r="C372" s="30" t="s">
        <v>997</v>
      </c>
      <c r="D372" s="21"/>
      <c r="E372" s="21" t="s">
        <v>949</v>
      </c>
      <c r="F372" s="34" t="s">
        <v>159</v>
      </c>
      <c r="G372" s="35">
        <v>1.8</v>
      </c>
      <c r="H372" s="21"/>
      <c r="I372" s="35">
        <v>799.36199999999997</v>
      </c>
      <c r="J372" s="37">
        <v>12.26</v>
      </c>
      <c r="K372" s="12"/>
      <c r="L372" s="12"/>
      <c r="M372" s="37">
        <f>ROUND(ROUND(J372, 2)*I372, 2)</f>
        <v>9800.18</v>
      </c>
      <c r="N372" s="12"/>
      <c r="O372" s="12"/>
      <c r="P372" s="37">
        <v>19.36</v>
      </c>
      <c r="Q372" s="12"/>
      <c r="R372" s="12"/>
      <c r="S372" s="37">
        <f>ROUND(ROUND(P372, 2)*I372, 2)</f>
        <v>15475.65</v>
      </c>
      <c r="T372" s="12"/>
      <c r="U372" s="38"/>
      <c r="V372" s="9">
        <f>ROUND(ROUND(P372, 2)/1.2, 2)</f>
        <v>16.13</v>
      </c>
      <c r="Y372" s="9">
        <f t="shared" si="26"/>
        <v>12896.38</v>
      </c>
      <c r="AD372" s="4" t="s">
        <v>1437</v>
      </c>
      <c r="AE372" s="4" t="s">
        <v>1438</v>
      </c>
      <c r="AF372" s="4" t="s">
        <v>1000</v>
      </c>
    </row>
    <row r="373" spans="1:35" ht="36" x14ac:dyDescent="0.3">
      <c r="A373" s="10" t="s">
        <v>1439</v>
      </c>
      <c r="B373" s="10" t="s">
        <v>1440</v>
      </c>
      <c r="C373" s="14" t="s">
        <v>1441</v>
      </c>
      <c r="D373" s="15"/>
      <c r="E373" s="15" t="s">
        <v>1442</v>
      </c>
      <c r="F373" s="15" t="s">
        <v>75</v>
      </c>
      <c r="G373" s="16">
        <v>1</v>
      </c>
      <c r="H373" s="15"/>
      <c r="I373" s="16">
        <v>115.28</v>
      </c>
      <c r="J373" s="17">
        <v>35.83</v>
      </c>
      <c r="K373" s="18">
        <v>129</v>
      </c>
      <c r="L373" s="17">
        <f>J373+ROUND(K373, 2)</f>
        <v>164.82999999999998</v>
      </c>
      <c r="M373" s="17">
        <v>4130.4799999999996</v>
      </c>
      <c r="N373" s="17">
        <v>14871.12</v>
      </c>
      <c r="O373" s="17">
        <f>M373+N373</f>
        <v>19001.599999999999</v>
      </c>
      <c r="P373" s="17">
        <v>35.83</v>
      </c>
      <c r="Q373" s="19">
        <v>129</v>
      </c>
      <c r="R373" s="17">
        <f>P373+ROUND(Q373, 2)</f>
        <v>164.82999999999998</v>
      </c>
      <c r="S373" s="17">
        <v>4130.4799999999996</v>
      </c>
      <c r="T373" s="17">
        <v>14871.12</v>
      </c>
      <c r="U373" s="17">
        <f>S373+T373</f>
        <v>19001.599999999999</v>
      </c>
      <c r="V373" s="9">
        <f>ROUND(P373 / 1.2, 2)</f>
        <v>29.86</v>
      </c>
      <c r="W373" s="9">
        <f>ROUND(Q373 / 1.2, 2)</f>
        <v>107.5</v>
      </c>
      <c r="X373" s="9">
        <f>ROUND(R373 / 1.2, 2)</f>
        <v>137.36000000000001</v>
      </c>
      <c r="Y373" s="9">
        <f t="shared" si="26"/>
        <v>3442.07</v>
      </c>
      <c r="Z373" s="9">
        <f>ROUND(T373 / 1.2, 2)</f>
        <v>12392.6</v>
      </c>
      <c r="AA373" s="9">
        <f>Y373+Z373</f>
        <v>15834.67</v>
      </c>
      <c r="AD373" s="4">
        <v>339118878</v>
      </c>
      <c r="AE373" s="4">
        <v>25888021</v>
      </c>
      <c r="AG373" s="4" t="s">
        <v>1443</v>
      </c>
      <c r="AH373" s="4" t="s">
        <v>1444</v>
      </c>
      <c r="AI373" s="4" t="s">
        <v>156</v>
      </c>
    </row>
    <row r="374" spans="1:35" ht="36" x14ac:dyDescent="0.3">
      <c r="A374" s="10" t="s">
        <v>1445</v>
      </c>
      <c r="B374" s="10"/>
      <c r="C374" s="24" t="s">
        <v>212</v>
      </c>
      <c r="D374" s="15"/>
      <c r="E374" s="15"/>
      <c r="F374" s="25" t="s">
        <v>159</v>
      </c>
      <c r="G374" s="26">
        <v>0.2</v>
      </c>
      <c r="H374" s="15"/>
      <c r="I374" s="26">
        <v>23.056000000000001</v>
      </c>
      <c r="J374" s="27">
        <v>179.17</v>
      </c>
      <c r="M374" s="28">
        <f>ROUND(ROUND(J374, 2)*I374, 2)</f>
        <v>4130.9399999999996</v>
      </c>
      <c r="P374" s="29">
        <v>179.17</v>
      </c>
      <c r="S374" s="28">
        <f>ROUND(ROUND(P374, 2)*I374, 2)</f>
        <v>4130.9399999999996</v>
      </c>
      <c r="V374" s="9">
        <f>ROUND(ROUND(P374, 2)/1.2, 2)</f>
        <v>149.31</v>
      </c>
      <c r="Y374" s="9">
        <f t="shared" si="26"/>
        <v>3442.45</v>
      </c>
      <c r="AD374" s="4" t="s">
        <v>1446</v>
      </c>
      <c r="AE374" s="4" t="s">
        <v>1447</v>
      </c>
      <c r="AF374" s="4" t="s">
        <v>215</v>
      </c>
    </row>
    <row r="375" spans="1:35" ht="16.95" customHeight="1" x14ac:dyDescent="0.3">
      <c r="A375" s="10" t="s">
        <v>1448</v>
      </c>
      <c r="B375" s="10" t="s">
        <v>1449</v>
      </c>
      <c r="C375" s="120" t="s">
        <v>1450</v>
      </c>
      <c r="D375" s="121"/>
      <c r="E375" s="121"/>
      <c r="F375" s="121"/>
      <c r="G375" s="121"/>
      <c r="H375" s="121"/>
      <c r="I375" s="122"/>
      <c r="M375" s="6">
        <f>SUM(M376,M379,M382,M385,M388,M391,M394,M397,M400)</f>
        <v>367194.05999999994</v>
      </c>
      <c r="N375" s="6">
        <f>SUM(N376,N379,N382,N385,N388,N391,N394,N397,N400)</f>
        <v>1928100.5</v>
      </c>
      <c r="O375" s="6">
        <f>SUM(O376,O379,O382,O385,O388,O391,O394,O397,O400)</f>
        <v>2295294.5599999996</v>
      </c>
      <c r="S375" s="6">
        <f>SUM(S376,S379,S382,S385,S388,S391,S394,S397,S400)</f>
        <v>252809.80000000005</v>
      </c>
      <c r="T375" s="6">
        <f>SUM(T376,T379,T382,T385,T388,T391,T394,T397,T400)</f>
        <v>1909448.7200000002</v>
      </c>
      <c r="U375" s="6">
        <f>SUM(U376,U379,U382,U385,U388,U391,U394,U397,U400)</f>
        <v>2162258.52</v>
      </c>
      <c r="Y375" s="9">
        <f>SUM(Y376,Y379,Y382,Y385,Y388,Y391,Y394,Y397,Y400)</f>
        <v>210674.83</v>
      </c>
      <c r="Z375" s="9">
        <f>SUM(Z376,Z379,Z382,Z385,Z388,Z391,Z394,Z397,Z400)</f>
        <v>1591207.2600000002</v>
      </c>
      <c r="AA375" s="9">
        <f>SUM(AA376,AA379,AA382,AA385,AA388,AA391,AA394,AA397,AA400)</f>
        <v>1801882.09</v>
      </c>
      <c r="AD375" s="4">
        <v>339118879</v>
      </c>
      <c r="AE375" s="4">
        <v>25887972</v>
      </c>
    </row>
    <row r="376" spans="1:35" ht="36" x14ac:dyDescent="0.3">
      <c r="A376" s="10" t="s">
        <v>1451</v>
      </c>
      <c r="B376" s="10" t="s">
        <v>1452</v>
      </c>
      <c r="C376" s="14" t="s">
        <v>1453</v>
      </c>
      <c r="D376" s="15"/>
      <c r="E376" s="15" t="s">
        <v>1454</v>
      </c>
      <c r="F376" s="15" t="s">
        <v>75</v>
      </c>
      <c r="G376" s="16">
        <v>1</v>
      </c>
      <c r="H376" s="15"/>
      <c r="I376" s="16">
        <v>259.14</v>
      </c>
      <c r="J376" s="17">
        <v>49.32</v>
      </c>
      <c r="K376" s="18">
        <v>422</v>
      </c>
      <c r="L376" s="17">
        <f>J376+ROUND(K376, 2)</f>
        <v>471.32</v>
      </c>
      <c r="M376" s="17">
        <v>12780.78</v>
      </c>
      <c r="N376" s="17">
        <v>109357.08</v>
      </c>
      <c r="O376" s="17">
        <f>M376+N376</f>
        <v>122137.86</v>
      </c>
      <c r="P376" s="17">
        <v>49.32</v>
      </c>
      <c r="Q376" s="19">
        <v>422</v>
      </c>
      <c r="R376" s="17">
        <f>P376+ROUND(Q376, 2)</f>
        <v>471.32</v>
      </c>
      <c r="S376" s="17">
        <v>12780.78</v>
      </c>
      <c r="T376" s="17">
        <v>109357.08</v>
      </c>
      <c r="U376" s="17">
        <f>S376+T376</f>
        <v>122137.86</v>
      </c>
      <c r="V376" s="9">
        <f>ROUND(P376 / 1.2, 2)</f>
        <v>41.1</v>
      </c>
      <c r="W376" s="9">
        <f>ROUND(Q376 / 1.2, 2)</f>
        <v>351.67</v>
      </c>
      <c r="X376" s="9">
        <f>ROUND(R376 / 1.2, 2)</f>
        <v>392.77</v>
      </c>
      <c r="Y376" s="9">
        <f>ROUND(S376 / 1.2, 2)</f>
        <v>10650.65</v>
      </c>
      <c r="Z376" s="9">
        <f>ROUND(T376 / 1.2, 2)</f>
        <v>91130.9</v>
      </c>
      <c r="AA376" s="9">
        <f>Y376+Z376</f>
        <v>101781.54999999999</v>
      </c>
      <c r="AD376" s="4">
        <v>339118881</v>
      </c>
      <c r="AE376" s="4">
        <v>25888031</v>
      </c>
      <c r="AG376" s="4" t="s">
        <v>1455</v>
      </c>
      <c r="AH376" s="4" t="s">
        <v>1456</v>
      </c>
      <c r="AI376" s="4" t="s">
        <v>156</v>
      </c>
    </row>
    <row r="377" spans="1:35" ht="108" x14ac:dyDescent="0.3">
      <c r="A377" s="10" t="s">
        <v>1457</v>
      </c>
      <c r="B377" s="10"/>
      <c r="C377" s="24" t="s">
        <v>1458</v>
      </c>
      <c r="D377" s="15"/>
      <c r="E377" s="15" t="s">
        <v>1459</v>
      </c>
      <c r="F377" s="25" t="s">
        <v>159</v>
      </c>
      <c r="G377" s="26">
        <v>0.3</v>
      </c>
      <c r="H377" s="15"/>
      <c r="I377" s="26">
        <v>77.742000000000004</v>
      </c>
      <c r="J377" s="27">
        <v>120</v>
      </c>
      <c r="M377" s="28">
        <f>ROUND(ROUND(J377, 2)*I377, 2)</f>
        <v>9329.0400000000009</v>
      </c>
      <c r="P377" s="29">
        <v>120</v>
      </c>
      <c r="S377" s="28">
        <f>ROUND(ROUND(P377, 2)*I377, 2)</f>
        <v>9329.0400000000009</v>
      </c>
      <c r="V377" s="9">
        <f>ROUND(ROUND(P377, 2)/1.2, 2)</f>
        <v>100</v>
      </c>
      <c r="Y377" s="9">
        <f t="shared" ref="Y377:Y402" si="27">ROUND(S377 / 1.2, 2)</f>
        <v>7774.2</v>
      </c>
      <c r="AD377" s="4" t="s">
        <v>1460</v>
      </c>
      <c r="AE377" s="4" t="s">
        <v>1461</v>
      </c>
      <c r="AF377" s="4" t="s">
        <v>1462</v>
      </c>
    </row>
    <row r="378" spans="1:35" ht="36" x14ac:dyDescent="0.3">
      <c r="A378" s="10" t="s">
        <v>1463</v>
      </c>
      <c r="B378" s="10"/>
      <c r="C378" s="24" t="s">
        <v>480</v>
      </c>
      <c r="D378" s="15"/>
      <c r="E378" s="15"/>
      <c r="F378" s="25" t="s">
        <v>159</v>
      </c>
      <c r="G378" s="26">
        <v>0.15</v>
      </c>
      <c r="H378" s="15"/>
      <c r="I378" s="26">
        <v>38.871000000000002</v>
      </c>
      <c r="J378" s="27">
        <v>88.8</v>
      </c>
      <c r="M378" s="28">
        <f>ROUND(ROUND(J378, 2)*I378, 2)</f>
        <v>3451.74</v>
      </c>
      <c r="P378" s="29">
        <v>88.8</v>
      </c>
      <c r="S378" s="28">
        <f>ROUND(ROUND(P378, 2)*I378, 2)</f>
        <v>3451.74</v>
      </c>
      <c r="V378" s="9">
        <f>ROUND(ROUND(P378, 2)/1.2, 2)</f>
        <v>74</v>
      </c>
      <c r="Y378" s="9">
        <f t="shared" si="27"/>
        <v>2876.45</v>
      </c>
      <c r="AD378" s="4" t="s">
        <v>1464</v>
      </c>
      <c r="AE378" s="4" t="s">
        <v>1465</v>
      </c>
      <c r="AF378" s="4" t="s">
        <v>483</v>
      </c>
    </row>
    <row r="379" spans="1:35" ht="36" x14ac:dyDescent="0.3">
      <c r="A379" s="10" t="s">
        <v>1466</v>
      </c>
      <c r="B379" s="10" t="s">
        <v>1452</v>
      </c>
      <c r="C379" s="14" t="s">
        <v>1453</v>
      </c>
      <c r="D379" s="15"/>
      <c r="E379" s="15" t="s">
        <v>1467</v>
      </c>
      <c r="F379" s="15" t="s">
        <v>75</v>
      </c>
      <c r="G379" s="16">
        <v>1</v>
      </c>
      <c r="H379" s="15"/>
      <c r="I379" s="16">
        <v>637.79</v>
      </c>
      <c r="J379" s="17">
        <v>44.82</v>
      </c>
      <c r="K379" s="18">
        <v>422</v>
      </c>
      <c r="L379" s="17">
        <f>J379+ROUND(K379, 2)</f>
        <v>466.82</v>
      </c>
      <c r="M379" s="17">
        <v>28585.75</v>
      </c>
      <c r="N379" s="17">
        <v>269147.38</v>
      </c>
      <c r="O379" s="17">
        <f>M379+N379</f>
        <v>297733.13</v>
      </c>
      <c r="P379" s="17">
        <v>44.82</v>
      </c>
      <c r="Q379" s="19">
        <v>422</v>
      </c>
      <c r="R379" s="17">
        <f>P379+ROUND(Q379, 2)</f>
        <v>466.82</v>
      </c>
      <c r="S379" s="17">
        <v>28585.75</v>
      </c>
      <c r="T379" s="17">
        <v>269147.38</v>
      </c>
      <c r="U379" s="17">
        <f>S379+T379</f>
        <v>297733.13</v>
      </c>
      <c r="V379" s="9">
        <f>ROUND(P379 / 1.2, 2)</f>
        <v>37.35</v>
      </c>
      <c r="W379" s="9">
        <f>ROUND(Q379 / 1.2, 2)</f>
        <v>351.67</v>
      </c>
      <c r="X379" s="9">
        <f>ROUND(R379 / 1.2, 2)</f>
        <v>389.02</v>
      </c>
      <c r="Y379" s="9">
        <f t="shared" si="27"/>
        <v>23821.46</v>
      </c>
      <c r="Z379" s="9">
        <f>ROUND(T379 / 1.2, 2)</f>
        <v>224289.48</v>
      </c>
      <c r="AA379" s="9">
        <f>Y379+Z379</f>
        <v>248110.94</v>
      </c>
      <c r="AD379" s="4">
        <v>339118938</v>
      </c>
      <c r="AE379" s="4">
        <v>25888019</v>
      </c>
      <c r="AG379" s="4" t="s">
        <v>1455</v>
      </c>
      <c r="AH379" s="4" t="s">
        <v>1456</v>
      </c>
      <c r="AI379" s="4" t="s">
        <v>156</v>
      </c>
    </row>
    <row r="380" spans="1:35" ht="36" x14ac:dyDescent="0.3">
      <c r="A380" s="10" t="s">
        <v>1468</v>
      </c>
      <c r="B380" s="10"/>
      <c r="C380" s="24" t="s">
        <v>480</v>
      </c>
      <c r="D380" s="15"/>
      <c r="E380" s="15"/>
      <c r="F380" s="25" t="s">
        <v>159</v>
      </c>
      <c r="G380" s="26">
        <v>0.15</v>
      </c>
      <c r="H380" s="15"/>
      <c r="I380" s="26">
        <v>95.668999999999997</v>
      </c>
      <c r="J380" s="27">
        <v>88.8</v>
      </c>
      <c r="M380" s="28">
        <f>ROUND(ROUND(J380, 2)*I380, 2)</f>
        <v>8495.41</v>
      </c>
      <c r="P380" s="29">
        <v>88.8</v>
      </c>
      <c r="S380" s="28">
        <f>ROUND(ROUND(P380, 2)*I380, 2)</f>
        <v>8495.41</v>
      </c>
      <c r="V380" s="9">
        <f>ROUND(ROUND(P380, 2)/1.2, 2)</f>
        <v>74</v>
      </c>
      <c r="Y380" s="9">
        <f t="shared" si="27"/>
        <v>7079.51</v>
      </c>
      <c r="AD380" s="4" t="s">
        <v>1469</v>
      </c>
      <c r="AE380" s="4" t="s">
        <v>1470</v>
      </c>
      <c r="AF380" s="4" t="s">
        <v>483</v>
      </c>
    </row>
    <row r="381" spans="1:35" ht="144" x14ac:dyDescent="0.3">
      <c r="A381" s="10" t="s">
        <v>1471</v>
      </c>
      <c r="B381" s="10"/>
      <c r="C381" s="30" t="s">
        <v>1472</v>
      </c>
      <c r="D381" s="15"/>
      <c r="E381" s="15" t="s">
        <v>1473</v>
      </c>
      <c r="F381" s="25" t="s">
        <v>159</v>
      </c>
      <c r="G381" s="26">
        <v>0.3</v>
      </c>
      <c r="H381" s="15"/>
      <c r="I381" s="26">
        <v>191.33699999999999</v>
      </c>
      <c r="J381" s="27">
        <v>105</v>
      </c>
      <c r="M381" s="28">
        <f>ROUND(ROUND(J381, 2)*I381, 2)</f>
        <v>20090.39</v>
      </c>
      <c r="P381" s="29">
        <v>105</v>
      </c>
      <c r="S381" s="28">
        <f>ROUND(ROUND(P381, 2)*I381, 2)</f>
        <v>20090.39</v>
      </c>
      <c r="V381" s="9">
        <f>ROUND(ROUND(P381, 2)/1.2, 2)</f>
        <v>87.5</v>
      </c>
      <c r="Y381" s="9">
        <f t="shared" si="27"/>
        <v>16741.990000000002</v>
      </c>
      <c r="AD381" s="4" t="s">
        <v>1474</v>
      </c>
      <c r="AE381" s="4" t="s">
        <v>1475</v>
      </c>
      <c r="AF381" s="4" t="s">
        <v>1476</v>
      </c>
    </row>
    <row r="382" spans="1:35" ht="36" x14ac:dyDescent="0.3">
      <c r="A382" s="10" t="s">
        <v>1477</v>
      </c>
      <c r="B382" s="10" t="s">
        <v>1452</v>
      </c>
      <c r="C382" s="14" t="s">
        <v>1453</v>
      </c>
      <c r="D382" s="15"/>
      <c r="E382" s="15" t="s">
        <v>1478</v>
      </c>
      <c r="F382" s="15" t="s">
        <v>75</v>
      </c>
      <c r="G382" s="16">
        <v>1</v>
      </c>
      <c r="H382" s="15"/>
      <c r="I382" s="16">
        <v>2474.04</v>
      </c>
      <c r="J382" s="17">
        <v>49.55</v>
      </c>
      <c r="K382" s="18">
        <v>422</v>
      </c>
      <c r="L382" s="17">
        <f>J382+ROUND(K382, 2)</f>
        <v>471.55</v>
      </c>
      <c r="M382" s="17">
        <v>122588.68</v>
      </c>
      <c r="N382" s="17">
        <v>1044044.88</v>
      </c>
      <c r="O382" s="17">
        <f>M382+N382</f>
        <v>1166633.56</v>
      </c>
      <c r="P382" s="17">
        <v>49.55</v>
      </c>
      <c r="Q382" s="19">
        <v>422</v>
      </c>
      <c r="R382" s="17">
        <f>P382+ROUND(Q382, 2)</f>
        <v>471.55</v>
      </c>
      <c r="S382" s="17">
        <v>122588.68</v>
      </c>
      <c r="T382" s="17">
        <v>1044044.88</v>
      </c>
      <c r="U382" s="17">
        <f>S382+T382</f>
        <v>1166633.56</v>
      </c>
      <c r="V382" s="9">
        <f>ROUND(P382 / 1.2, 2)</f>
        <v>41.29</v>
      </c>
      <c r="W382" s="9">
        <f>ROUND(Q382 / 1.2, 2)</f>
        <v>351.67</v>
      </c>
      <c r="X382" s="9">
        <f>ROUND(R382 / 1.2, 2)</f>
        <v>392.96</v>
      </c>
      <c r="Y382" s="9">
        <f t="shared" si="27"/>
        <v>102157.23</v>
      </c>
      <c r="Z382" s="9">
        <f>ROUND(T382 / 1.2, 2)</f>
        <v>870037.4</v>
      </c>
      <c r="AA382" s="9">
        <f>Y382+Z382</f>
        <v>972194.63</v>
      </c>
      <c r="AD382" s="4">
        <v>339118939</v>
      </c>
      <c r="AE382" s="4">
        <v>25888024</v>
      </c>
      <c r="AG382" s="4" t="s">
        <v>1455</v>
      </c>
      <c r="AH382" s="4" t="s">
        <v>1456</v>
      </c>
      <c r="AI382" s="4" t="s">
        <v>156</v>
      </c>
    </row>
    <row r="383" spans="1:35" ht="180" x14ac:dyDescent="0.3">
      <c r="A383" s="10" t="s">
        <v>1479</v>
      </c>
      <c r="B383" s="10"/>
      <c r="C383" s="30" t="s">
        <v>1480</v>
      </c>
      <c r="D383" s="15"/>
      <c r="E383" s="15" t="s">
        <v>1481</v>
      </c>
      <c r="F383" s="25" t="s">
        <v>159</v>
      </c>
      <c r="G383" s="26">
        <v>0.3</v>
      </c>
      <c r="H383" s="15"/>
      <c r="I383" s="26">
        <v>742.21199999999999</v>
      </c>
      <c r="J383" s="27">
        <v>120.77</v>
      </c>
      <c r="M383" s="28">
        <f>ROUND(ROUND(J383, 2)*I383, 2)</f>
        <v>89636.94</v>
      </c>
      <c r="P383" s="29">
        <v>120.77</v>
      </c>
      <c r="S383" s="28">
        <f>ROUND(ROUND(P383, 2)*I383, 2)</f>
        <v>89636.94</v>
      </c>
      <c r="V383" s="9">
        <f>ROUND(ROUND(P383, 2)/1.2, 2)</f>
        <v>100.64</v>
      </c>
      <c r="Y383" s="9">
        <f t="shared" si="27"/>
        <v>74697.45</v>
      </c>
      <c r="AD383" s="4" t="s">
        <v>1482</v>
      </c>
      <c r="AE383" s="4" t="s">
        <v>1483</v>
      </c>
      <c r="AF383" s="4" t="s">
        <v>1484</v>
      </c>
    </row>
    <row r="384" spans="1:35" ht="36" x14ac:dyDescent="0.3">
      <c r="A384" s="10" t="s">
        <v>1485</v>
      </c>
      <c r="B384" s="10"/>
      <c r="C384" s="24" t="s">
        <v>480</v>
      </c>
      <c r="D384" s="15"/>
      <c r="E384" s="15"/>
      <c r="F384" s="25" t="s">
        <v>159</v>
      </c>
      <c r="G384" s="26">
        <v>0.15</v>
      </c>
      <c r="H384" s="15"/>
      <c r="I384" s="26">
        <v>371.10599999999999</v>
      </c>
      <c r="J384" s="27">
        <v>88.8</v>
      </c>
      <c r="M384" s="28">
        <f>ROUND(ROUND(J384, 2)*I384, 2)</f>
        <v>32954.21</v>
      </c>
      <c r="P384" s="29">
        <v>88.8</v>
      </c>
      <c r="S384" s="28">
        <f>ROUND(ROUND(P384, 2)*I384, 2)</f>
        <v>32954.21</v>
      </c>
      <c r="V384" s="9">
        <f>ROUND(ROUND(P384, 2)/1.2, 2)</f>
        <v>74</v>
      </c>
      <c r="Y384" s="9">
        <f t="shared" si="27"/>
        <v>27461.84</v>
      </c>
      <c r="AD384" s="4" t="s">
        <v>1486</v>
      </c>
      <c r="AE384" s="4" t="s">
        <v>1487</v>
      </c>
      <c r="AF384" s="4" t="s">
        <v>483</v>
      </c>
    </row>
    <row r="385" spans="1:35" ht="36" x14ac:dyDescent="0.3">
      <c r="A385" s="10" t="s">
        <v>1488</v>
      </c>
      <c r="B385" s="10" t="s">
        <v>1452</v>
      </c>
      <c r="C385" s="14" t="s">
        <v>1453</v>
      </c>
      <c r="D385" s="15"/>
      <c r="E385" s="15" t="s">
        <v>1489</v>
      </c>
      <c r="F385" s="15" t="s">
        <v>75</v>
      </c>
      <c r="G385" s="16">
        <v>1</v>
      </c>
      <c r="H385" s="15"/>
      <c r="I385" s="16">
        <v>134.78</v>
      </c>
      <c r="J385" s="17">
        <v>49.55</v>
      </c>
      <c r="K385" s="18">
        <v>422</v>
      </c>
      <c r="L385" s="17">
        <f>J385+ROUND(K385, 2)</f>
        <v>471.55</v>
      </c>
      <c r="M385" s="17">
        <v>6678.35</v>
      </c>
      <c r="N385" s="17">
        <v>56877.16</v>
      </c>
      <c r="O385" s="17">
        <f>M385+N385</f>
        <v>63555.51</v>
      </c>
      <c r="P385" s="17">
        <v>49.55</v>
      </c>
      <c r="Q385" s="19">
        <v>422</v>
      </c>
      <c r="R385" s="17">
        <f>P385+ROUND(Q385, 2)</f>
        <v>471.55</v>
      </c>
      <c r="S385" s="17">
        <v>6678.35</v>
      </c>
      <c r="T385" s="17">
        <v>56877.16</v>
      </c>
      <c r="U385" s="17">
        <f>S385+T385</f>
        <v>63555.51</v>
      </c>
      <c r="V385" s="9">
        <f>ROUND(P385 / 1.2, 2)</f>
        <v>41.29</v>
      </c>
      <c r="W385" s="9">
        <f>ROUND(Q385 / 1.2, 2)</f>
        <v>351.67</v>
      </c>
      <c r="X385" s="9">
        <f>ROUND(R385 / 1.2, 2)</f>
        <v>392.96</v>
      </c>
      <c r="Y385" s="9">
        <f t="shared" si="27"/>
        <v>5565.29</v>
      </c>
      <c r="Z385" s="9">
        <f>ROUND(T385 / 1.2, 2)</f>
        <v>47397.63</v>
      </c>
      <c r="AA385" s="9">
        <f>Y385+Z385</f>
        <v>52962.92</v>
      </c>
      <c r="AD385" s="4">
        <v>339118940</v>
      </c>
      <c r="AE385" s="4">
        <v>25888020</v>
      </c>
      <c r="AG385" s="4" t="s">
        <v>1455</v>
      </c>
      <c r="AH385" s="4" t="s">
        <v>1456</v>
      </c>
      <c r="AI385" s="4" t="s">
        <v>156</v>
      </c>
    </row>
    <row r="386" spans="1:35" ht="36" x14ac:dyDescent="0.3">
      <c r="A386" s="10" t="s">
        <v>1490</v>
      </c>
      <c r="B386" s="10"/>
      <c r="C386" s="24" t="s">
        <v>480</v>
      </c>
      <c r="D386" s="15"/>
      <c r="E386" s="15"/>
      <c r="F386" s="25" t="s">
        <v>159</v>
      </c>
      <c r="G386" s="26">
        <v>0.15</v>
      </c>
      <c r="H386" s="15"/>
      <c r="I386" s="26">
        <v>20.216999999999999</v>
      </c>
      <c r="J386" s="27">
        <v>88.8</v>
      </c>
      <c r="M386" s="28">
        <f>ROUND(ROUND(J386, 2)*I386, 2)</f>
        <v>1795.27</v>
      </c>
      <c r="P386" s="29">
        <v>88.8</v>
      </c>
      <c r="S386" s="28">
        <f>ROUND(ROUND(P386, 2)*I386, 2)</f>
        <v>1795.27</v>
      </c>
      <c r="V386" s="9">
        <f>ROUND(ROUND(P386, 2)/1.2, 2)</f>
        <v>74</v>
      </c>
      <c r="Y386" s="9">
        <f t="shared" si="27"/>
        <v>1496.06</v>
      </c>
      <c r="AD386" s="4" t="s">
        <v>1491</v>
      </c>
      <c r="AE386" s="4" t="s">
        <v>1492</v>
      </c>
      <c r="AF386" s="4" t="s">
        <v>483</v>
      </c>
    </row>
    <row r="387" spans="1:35" ht="198" x14ac:dyDescent="0.3">
      <c r="A387" s="10" t="s">
        <v>1493</v>
      </c>
      <c r="B387" s="10"/>
      <c r="C387" s="30" t="s">
        <v>1480</v>
      </c>
      <c r="D387" s="15"/>
      <c r="E387" s="15" t="s">
        <v>1494</v>
      </c>
      <c r="F387" s="25" t="s">
        <v>159</v>
      </c>
      <c r="G387" s="26">
        <v>0.3</v>
      </c>
      <c r="H387" s="15"/>
      <c r="I387" s="26">
        <v>40.433999999999997</v>
      </c>
      <c r="J387" s="27">
        <v>120.77</v>
      </c>
      <c r="M387" s="28">
        <f>ROUND(ROUND(J387, 2)*I387, 2)</f>
        <v>4883.21</v>
      </c>
      <c r="P387" s="29">
        <v>120.77</v>
      </c>
      <c r="S387" s="28">
        <f>ROUND(ROUND(P387, 2)*I387, 2)</f>
        <v>4883.21</v>
      </c>
      <c r="V387" s="9">
        <f>ROUND(ROUND(P387, 2)/1.2, 2)</f>
        <v>100.64</v>
      </c>
      <c r="Y387" s="9">
        <f t="shared" si="27"/>
        <v>4069.34</v>
      </c>
      <c r="AD387" s="4" t="s">
        <v>1495</v>
      </c>
      <c r="AE387" s="4" t="s">
        <v>1496</v>
      </c>
      <c r="AF387" s="4" t="s">
        <v>1484</v>
      </c>
    </row>
    <row r="388" spans="1:35" ht="36" x14ac:dyDescent="0.3">
      <c r="A388" s="10" t="s">
        <v>1497</v>
      </c>
      <c r="B388" s="10" t="s">
        <v>1452</v>
      </c>
      <c r="C388" s="14" t="s">
        <v>1453</v>
      </c>
      <c r="D388" s="15"/>
      <c r="E388" s="15" t="s">
        <v>1498</v>
      </c>
      <c r="F388" s="15" t="s">
        <v>75</v>
      </c>
      <c r="G388" s="16">
        <v>1</v>
      </c>
      <c r="H388" s="15"/>
      <c r="I388" s="16">
        <v>465.96</v>
      </c>
      <c r="J388" s="17">
        <v>44.82</v>
      </c>
      <c r="K388" s="18">
        <v>422</v>
      </c>
      <c r="L388" s="17">
        <f>J388+ROUND(K388, 2)</f>
        <v>466.82</v>
      </c>
      <c r="M388" s="17">
        <v>20884.330000000002</v>
      </c>
      <c r="N388" s="17">
        <v>196635.12</v>
      </c>
      <c r="O388" s="17">
        <f>M388+N388</f>
        <v>217519.45</v>
      </c>
      <c r="P388" s="17">
        <v>44.82</v>
      </c>
      <c r="Q388" s="19">
        <v>422</v>
      </c>
      <c r="R388" s="17">
        <f>P388+ROUND(Q388, 2)</f>
        <v>466.82</v>
      </c>
      <c r="S388" s="17">
        <v>20884.330000000002</v>
      </c>
      <c r="T388" s="17">
        <v>196635.12</v>
      </c>
      <c r="U388" s="17">
        <f>S388+T388</f>
        <v>217519.45</v>
      </c>
      <c r="V388" s="9">
        <f>ROUND(P388 / 1.2, 2)</f>
        <v>37.35</v>
      </c>
      <c r="W388" s="9">
        <f>ROUND(Q388 / 1.2, 2)</f>
        <v>351.67</v>
      </c>
      <c r="X388" s="9">
        <f>ROUND(R388 / 1.2, 2)</f>
        <v>389.02</v>
      </c>
      <c r="Y388" s="9">
        <f t="shared" si="27"/>
        <v>17403.61</v>
      </c>
      <c r="Z388" s="9">
        <f>ROUND(T388 / 1.2, 2)</f>
        <v>163862.6</v>
      </c>
      <c r="AA388" s="9">
        <f>Y388+Z388</f>
        <v>181266.21000000002</v>
      </c>
      <c r="AD388" s="4">
        <v>339118941</v>
      </c>
      <c r="AE388" s="4">
        <v>25887985</v>
      </c>
      <c r="AG388" s="4" t="s">
        <v>1455</v>
      </c>
      <c r="AH388" s="4" t="s">
        <v>1456</v>
      </c>
      <c r="AI388" s="4" t="s">
        <v>156</v>
      </c>
    </row>
    <row r="389" spans="1:35" ht="108" x14ac:dyDescent="0.3">
      <c r="A389" s="10" t="s">
        <v>1499</v>
      </c>
      <c r="B389" s="10"/>
      <c r="C389" s="30" t="s">
        <v>1472</v>
      </c>
      <c r="D389" s="15"/>
      <c r="E389" s="15" t="s">
        <v>1500</v>
      </c>
      <c r="F389" s="25" t="s">
        <v>159</v>
      </c>
      <c r="G389" s="26">
        <v>0.3</v>
      </c>
      <c r="H389" s="15"/>
      <c r="I389" s="26">
        <v>139.78800000000001</v>
      </c>
      <c r="J389" s="27">
        <v>105</v>
      </c>
      <c r="M389" s="28">
        <f>ROUND(ROUND(J389, 2)*I389, 2)</f>
        <v>14677.74</v>
      </c>
      <c r="P389" s="29">
        <v>105</v>
      </c>
      <c r="S389" s="28">
        <f>ROUND(ROUND(P389, 2)*I389, 2)</f>
        <v>14677.74</v>
      </c>
      <c r="V389" s="9">
        <f>ROUND(ROUND(P389, 2)/1.2, 2)</f>
        <v>87.5</v>
      </c>
      <c r="Y389" s="9">
        <f t="shared" si="27"/>
        <v>12231.45</v>
      </c>
      <c r="AD389" s="4" t="s">
        <v>1501</v>
      </c>
      <c r="AE389" s="4" t="s">
        <v>1502</v>
      </c>
      <c r="AF389" s="4" t="s">
        <v>1476</v>
      </c>
    </row>
    <row r="390" spans="1:35" ht="36" x14ac:dyDescent="0.3">
      <c r="A390" s="10" t="s">
        <v>1503</v>
      </c>
      <c r="B390" s="10"/>
      <c r="C390" s="24" t="s">
        <v>480</v>
      </c>
      <c r="D390" s="15"/>
      <c r="E390" s="15"/>
      <c r="F390" s="25" t="s">
        <v>159</v>
      </c>
      <c r="G390" s="26">
        <v>0.15</v>
      </c>
      <c r="H390" s="15"/>
      <c r="I390" s="26">
        <v>69.894000000000005</v>
      </c>
      <c r="J390" s="27">
        <v>88.8</v>
      </c>
      <c r="M390" s="28">
        <f>ROUND(ROUND(J390, 2)*I390, 2)</f>
        <v>6206.59</v>
      </c>
      <c r="P390" s="29">
        <v>88.8</v>
      </c>
      <c r="S390" s="28">
        <f>ROUND(ROUND(P390, 2)*I390, 2)</f>
        <v>6206.59</v>
      </c>
      <c r="V390" s="9">
        <f>ROUND(ROUND(P390, 2)/1.2, 2)</f>
        <v>74</v>
      </c>
      <c r="Y390" s="9">
        <f t="shared" si="27"/>
        <v>5172.16</v>
      </c>
      <c r="AD390" s="4" t="s">
        <v>1504</v>
      </c>
      <c r="AE390" s="4" t="s">
        <v>1505</v>
      </c>
      <c r="AF390" s="4" t="s">
        <v>483</v>
      </c>
    </row>
    <row r="391" spans="1:35" ht="36" x14ac:dyDescent="0.3">
      <c r="A391" s="10" t="s">
        <v>1506</v>
      </c>
      <c r="B391" s="10" t="s">
        <v>1452</v>
      </c>
      <c r="C391" s="14" t="s">
        <v>1453</v>
      </c>
      <c r="D391" s="15"/>
      <c r="E391" s="15" t="s">
        <v>1411</v>
      </c>
      <c r="F391" s="15" t="s">
        <v>75</v>
      </c>
      <c r="G391" s="16">
        <v>1</v>
      </c>
      <c r="H391" s="15"/>
      <c r="I391" s="16">
        <v>108.96</v>
      </c>
      <c r="J391" s="17">
        <v>44.82</v>
      </c>
      <c r="K391" s="18">
        <v>422</v>
      </c>
      <c r="L391" s="17">
        <f>J391+ROUND(K391, 2)</f>
        <v>466.82</v>
      </c>
      <c r="M391" s="17">
        <v>4883.59</v>
      </c>
      <c r="N391" s="17">
        <v>45981.120000000003</v>
      </c>
      <c r="O391" s="17">
        <f>M391+N391</f>
        <v>50864.710000000006</v>
      </c>
      <c r="P391" s="17">
        <v>44.82</v>
      </c>
      <c r="Q391" s="19">
        <v>422</v>
      </c>
      <c r="R391" s="17">
        <f>P391+ROUND(Q391, 2)</f>
        <v>466.82</v>
      </c>
      <c r="S391" s="17">
        <v>4883.59</v>
      </c>
      <c r="T391" s="17">
        <v>45981.120000000003</v>
      </c>
      <c r="U391" s="17">
        <f>S391+T391</f>
        <v>50864.710000000006</v>
      </c>
      <c r="V391" s="9">
        <f>ROUND(P391 / 1.2, 2)</f>
        <v>37.35</v>
      </c>
      <c r="W391" s="9">
        <f>ROUND(Q391 / 1.2, 2)</f>
        <v>351.67</v>
      </c>
      <c r="X391" s="9">
        <f>ROUND(R391 / 1.2, 2)</f>
        <v>389.02</v>
      </c>
      <c r="Y391" s="9">
        <f t="shared" si="27"/>
        <v>4069.66</v>
      </c>
      <c r="Z391" s="9">
        <f>ROUND(T391 / 1.2, 2)</f>
        <v>38317.599999999999</v>
      </c>
      <c r="AA391" s="9">
        <f>Y391+Z391</f>
        <v>42387.259999999995</v>
      </c>
      <c r="AD391" s="4">
        <v>339118942</v>
      </c>
      <c r="AE391" s="4">
        <v>25887997</v>
      </c>
      <c r="AG391" s="4" t="s">
        <v>1455</v>
      </c>
      <c r="AH391" s="4" t="s">
        <v>1456</v>
      </c>
      <c r="AI391" s="4" t="s">
        <v>156</v>
      </c>
    </row>
    <row r="392" spans="1:35" ht="36" x14ac:dyDescent="0.3">
      <c r="A392" s="10" t="s">
        <v>1507</v>
      </c>
      <c r="B392" s="10"/>
      <c r="C392" s="24" t="s">
        <v>480</v>
      </c>
      <c r="D392" s="15"/>
      <c r="E392" s="15"/>
      <c r="F392" s="25" t="s">
        <v>159</v>
      </c>
      <c r="G392" s="26">
        <v>0.15</v>
      </c>
      <c r="H392" s="15"/>
      <c r="I392" s="26">
        <v>16.344000000000001</v>
      </c>
      <c r="J392" s="27">
        <v>88.8</v>
      </c>
      <c r="M392" s="28">
        <f>ROUND(ROUND(J392, 2)*I392, 2)</f>
        <v>1451.35</v>
      </c>
      <c r="P392" s="29">
        <v>88.8</v>
      </c>
      <c r="S392" s="28">
        <f>ROUND(ROUND(P392, 2)*I392, 2)</f>
        <v>1451.35</v>
      </c>
      <c r="V392" s="9">
        <f>ROUND(ROUND(P392, 2)/1.2, 2)</f>
        <v>74</v>
      </c>
      <c r="Y392" s="9">
        <f t="shared" si="27"/>
        <v>1209.46</v>
      </c>
      <c r="AD392" s="4" t="s">
        <v>1508</v>
      </c>
      <c r="AE392" s="4" t="s">
        <v>1509</v>
      </c>
      <c r="AF392" s="4" t="s">
        <v>483</v>
      </c>
    </row>
    <row r="393" spans="1:35" ht="90" x14ac:dyDescent="0.3">
      <c r="A393" s="10" t="s">
        <v>1510</v>
      </c>
      <c r="B393" s="10"/>
      <c r="C393" s="30" t="s">
        <v>1472</v>
      </c>
      <c r="D393" s="15"/>
      <c r="E393" s="15" t="s">
        <v>1511</v>
      </c>
      <c r="F393" s="25" t="s">
        <v>159</v>
      </c>
      <c r="G393" s="26">
        <v>0.3</v>
      </c>
      <c r="H393" s="15"/>
      <c r="I393" s="26">
        <v>32.688000000000002</v>
      </c>
      <c r="J393" s="27">
        <v>105</v>
      </c>
      <c r="M393" s="28">
        <f>ROUND(ROUND(J393, 2)*I393, 2)</f>
        <v>3432.24</v>
      </c>
      <c r="P393" s="29">
        <v>105</v>
      </c>
      <c r="S393" s="28">
        <f>ROUND(ROUND(P393, 2)*I393, 2)</f>
        <v>3432.24</v>
      </c>
      <c r="V393" s="9">
        <f>ROUND(ROUND(P393, 2)/1.2, 2)</f>
        <v>87.5</v>
      </c>
      <c r="Y393" s="9">
        <f t="shared" si="27"/>
        <v>2860.2</v>
      </c>
      <c r="AD393" s="4" t="s">
        <v>1512</v>
      </c>
      <c r="AE393" s="4" t="s">
        <v>1513</v>
      </c>
      <c r="AF393" s="4" t="s">
        <v>1476</v>
      </c>
    </row>
    <row r="394" spans="1:35" ht="54" x14ac:dyDescent="0.3">
      <c r="A394" s="11" t="s">
        <v>1514</v>
      </c>
      <c r="B394" s="11" t="s">
        <v>1452</v>
      </c>
      <c r="C394" s="20" t="s">
        <v>1453</v>
      </c>
      <c r="D394" s="21"/>
      <c r="E394" s="21" t="s">
        <v>1515</v>
      </c>
      <c r="F394" s="21" t="s">
        <v>75</v>
      </c>
      <c r="G394" s="22">
        <v>1</v>
      </c>
      <c r="H394" s="21"/>
      <c r="I394" s="22">
        <v>138.57</v>
      </c>
      <c r="J394" s="23">
        <v>384.59</v>
      </c>
      <c r="K394" s="23">
        <v>464</v>
      </c>
      <c r="L394" s="23">
        <f>J394+ROUND(K394, 2)</f>
        <v>848.58999999999992</v>
      </c>
      <c r="M394" s="23">
        <v>53292.639999999999</v>
      </c>
      <c r="N394" s="23">
        <v>64296.480000000003</v>
      </c>
      <c r="O394" s="23">
        <f>M394+N394</f>
        <v>117589.12</v>
      </c>
      <c r="P394" s="23">
        <v>127.02</v>
      </c>
      <c r="Q394" s="23">
        <v>422</v>
      </c>
      <c r="R394" s="23">
        <f>P394+ROUND(Q394, 2)</f>
        <v>549.02</v>
      </c>
      <c r="S394" s="23">
        <v>17601.16</v>
      </c>
      <c r="T394" s="23">
        <v>58476.54</v>
      </c>
      <c r="U394" s="23">
        <f>S394+T394</f>
        <v>76077.7</v>
      </c>
      <c r="V394" s="9">
        <f>ROUND(P394 / 1.2, 2)</f>
        <v>105.85</v>
      </c>
      <c r="W394" s="9">
        <f>ROUND(Q394 / 1.2, 2)</f>
        <v>351.67</v>
      </c>
      <c r="X394" s="9">
        <f>ROUND(R394 / 1.2, 2)</f>
        <v>457.52</v>
      </c>
      <c r="Y394" s="9">
        <f t="shared" si="27"/>
        <v>14667.63</v>
      </c>
      <c r="Z394" s="9">
        <f>ROUND(T394 / 1.2, 2)</f>
        <v>48730.45</v>
      </c>
      <c r="AA394" s="9">
        <f>Y394+Z394</f>
        <v>63398.079999999994</v>
      </c>
      <c r="AD394" s="4">
        <v>339118943</v>
      </c>
      <c r="AE394" s="4">
        <v>28951763</v>
      </c>
      <c r="AG394" s="4" t="s">
        <v>1455</v>
      </c>
      <c r="AH394" s="4" t="s">
        <v>1456</v>
      </c>
      <c r="AI394" s="4" t="s">
        <v>156</v>
      </c>
    </row>
    <row r="395" spans="1:35" ht="144" x14ac:dyDescent="0.3">
      <c r="A395" s="11" t="s">
        <v>1516</v>
      </c>
      <c r="B395" s="11"/>
      <c r="C395" s="33" t="s">
        <v>1114</v>
      </c>
      <c r="D395" s="21"/>
      <c r="E395" s="21" t="s">
        <v>1517</v>
      </c>
      <c r="F395" s="34" t="s">
        <v>159</v>
      </c>
      <c r="G395" s="35">
        <v>0.3</v>
      </c>
      <c r="H395" s="21"/>
      <c r="I395" s="35">
        <v>41.570999999999998</v>
      </c>
      <c r="J395" s="37">
        <v>1236.8399999999999</v>
      </c>
      <c r="K395" s="12"/>
      <c r="L395" s="12"/>
      <c r="M395" s="37">
        <f>ROUND(ROUND(J395, 2)*I395, 2)</f>
        <v>51416.68</v>
      </c>
      <c r="N395" s="12"/>
      <c r="O395" s="12"/>
      <c r="P395" s="37">
        <v>378.25</v>
      </c>
      <c r="Q395" s="12"/>
      <c r="R395" s="12"/>
      <c r="S395" s="37">
        <f>ROUND(ROUND(P395, 2)*I395, 2)</f>
        <v>15724.23</v>
      </c>
      <c r="T395" s="12"/>
      <c r="U395" s="38"/>
      <c r="V395" s="9">
        <f>ROUND(ROUND(P395, 2)/1.2, 2)</f>
        <v>315.20999999999998</v>
      </c>
      <c r="Y395" s="9">
        <f t="shared" si="27"/>
        <v>13103.53</v>
      </c>
      <c r="AD395" s="4" t="s">
        <v>1518</v>
      </c>
      <c r="AE395" s="4" t="s">
        <v>1519</v>
      </c>
      <c r="AF395" s="4" t="s">
        <v>1118</v>
      </c>
    </row>
    <row r="396" spans="1:35" ht="36" x14ac:dyDescent="0.3">
      <c r="A396" s="11" t="s">
        <v>1520</v>
      </c>
      <c r="B396" s="11"/>
      <c r="C396" s="33" t="s">
        <v>480</v>
      </c>
      <c r="D396" s="21"/>
      <c r="E396" s="21"/>
      <c r="F396" s="34" t="s">
        <v>159</v>
      </c>
      <c r="G396" s="35">
        <v>0.15</v>
      </c>
      <c r="H396" s="21"/>
      <c r="I396" s="35">
        <v>20.786000000000001</v>
      </c>
      <c r="J396" s="37">
        <v>90.28</v>
      </c>
      <c r="K396" s="12"/>
      <c r="L396" s="12"/>
      <c r="M396" s="37">
        <f>ROUND(ROUND(J396, 2)*I396, 2)</f>
        <v>1876.56</v>
      </c>
      <c r="N396" s="12"/>
      <c r="O396" s="12"/>
      <c r="P396" s="37">
        <v>90.28</v>
      </c>
      <c r="Q396" s="12"/>
      <c r="R396" s="12"/>
      <c r="S396" s="37">
        <f>ROUND(ROUND(P396, 2)*I396, 2)</f>
        <v>1876.56</v>
      </c>
      <c r="T396" s="12"/>
      <c r="U396" s="38"/>
      <c r="V396" s="9">
        <f>ROUND(ROUND(P396, 2)/1.2, 2)</f>
        <v>75.23</v>
      </c>
      <c r="Y396" s="9">
        <f t="shared" si="27"/>
        <v>1563.8</v>
      </c>
      <c r="AD396" s="4" t="s">
        <v>1521</v>
      </c>
      <c r="AE396" s="4" t="s">
        <v>1522</v>
      </c>
      <c r="AF396" s="4" t="s">
        <v>483</v>
      </c>
    </row>
    <row r="397" spans="1:35" ht="54" x14ac:dyDescent="0.3">
      <c r="A397" s="11" t="s">
        <v>1523</v>
      </c>
      <c r="B397" s="11" t="s">
        <v>1452</v>
      </c>
      <c r="C397" s="20" t="s">
        <v>1453</v>
      </c>
      <c r="D397" s="21"/>
      <c r="E397" s="21" t="s">
        <v>1524</v>
      </c>
      <c r="F397" s="21" t="s">
        <v>75</v>
      </c>
      <c r="G397" s="22">
        <v>1</v>
      </c>
      <c r="H397" s="21"/>
      <c r="I397" s="22">
        <v>152.76</v>
      </c>
      <c r="J397" s="23">
        <v>384.59</v>
      </c>
      <c r="K397" s="23">
        <v>464</v>
      </c>
      <c r="L397" s="23">
        <f>J397+ROUND(K397, 2)</f>
        <v>848.58999999999992</v>
      </c>
      <c r="M397" s="23">
        <v>58749.97</v>
      </c>
      <c r="N397" s="23">
        <v>70880.639999999999</v>
      </c>
      <c r="O397" s="23">
        <f>M397+N397</f>
        <v>129630.61</v>
      </c>
      <c r="P397" s="23">
        <v>127.02</v>
      </c>
      <c r="Q397" s="23">
        <v>422</v>
      </c>
      <c r="R397" s="23">
        <f>P397+ROUND(Q397, 2)</f>
        <v>549.02</v>
      </c>
      <c r="S397" s="23">
        <v>19403.580000000002</v>
      </c>
      <c r="T397" s="23">
        <v>64464.72</v>
      </c>
      <c r="U397" s="23">
        <f>S397+T397</f>
        <v>83868.3</v>
      </c>
      <c r="V397" s="9">
        <f>ROUND(P397 / 1.2, 2)</f>
        <v>105.85</v>
      </c>
      <c r="W397" s="9">
        <f>ROUND(Q397 / 1.2, 2)</f>
        <v>351.67</v>
      </c>
      <c r="X397" s="9">
        <f>ROUND(R397 / 1.2, 2)</f>
        <v>457.52</v>
      </c>
      <c r="Y397" s="9">
        <f t="shared" si="27"/>
        <v>16169.65</v>
      </c>
      <c r="Z397" s="9">
        <f>ROUND(T397 / 1.2, 2)</f>
        <v>53720.6</v>
      </c>
      <c r="AA397" s="9">
        <f>Y397+Z397</f>
        <v>69890.25</v>
      </c>
      <c r="AD397" s="4">
        <v>339118944</v>
      </c>
      <c r="AE397" s="4">
        <v>28983435</v>
      </c>
      <c r="AG397" s="4" t="s">
        <v>1455</v>
      </c>
      <c r="AH397" s="4" t="s">
        <v>1456</v>
      </c>
      <c r="AI397" s="4" t="s">
        <v>156</v>
      </c>
    </row>
    <row r="398" spans="1:35" ht="36" x14ac:dyDescent="0.3">
      <c r="A398" s="11" t="s">
        <v>1525</v>
      </c>
      <c r="B398" s="11"/>
      <c r="C398" s="33" t="s">
        <v>480</v>
      </c>
      <c r="D398" s="21"/>
      <c r="E398" s="21"/>
      <c r="F398" s="34" t="s">
        <v>159</v>
      </c>
      <c r="G398" s="35">
        <v>0.15</v>
      </c>
      <c r="H398" s="21"/>
      <c r="I398" s="35">
        <v>22.914000000000001</v>
      </c>
      <c r="J398" s="37">
        <v>90.28</v>
      </c>
      <c r="K398" s="12"/>
      <c r="L398" s="12"/>
      <c r="M398" s="37">
        <f>ROUND(ROUND(J398, 2)*I398, 2)</f>
        <v>2068.6799999999998</v>
      </c>
      <c r="N398" s="12"/>
      <c r="O398" s="12"/>
      <c r="P398" s="37">
        <v>90.28</v>
      </c>
      <c r="Q398" s="12"/>
      <c r="R398" s="12"/>
      <c r="S398" s="37">
        <f>ROUND(ROUND(P398, 2)*I398, 2)</f>
        <v>2068.6799999999998</v>
      </c>
      <c r="T398" s="12"/>
      <c r="U398" s="38"/>
      <c r="V398" s="9">
        <f>ROUND(ROUND(P398, 2)/1.2, 2)</f>
        <v>75.23</v>
      </c>
      <c r="Y398" s="9">
        <f t="shared" si="27"/>
        <v>1723.9</v>
      </c>
      <c r="AD398" s="4" t="s">
        <v>1526</v>
      </c>
      <c r="AE398" s="4" t="s">
        <v>1527</v>
      </c>
      <c r="AF398" s="4" t="s">
        <v>483</v>
      </c>
    </row>
    <row r="399" spans="1:35" ht="144" x14ac:dyDescent="0.3">
      <c r="A399" s="11" t="s">
        <v>1528</v>
      </c>
      <c r="B399" s="11"/>
      <c r="C399" s="33" t="s">
        <v>1114</v>
      </c>
      <c r="D399" s="21"/>
      <c r="E399" s="21" t="s">
        <v>1529</v>
      </c>
      <c r="F399" s="34" t="s">
        <v>159</v>
      </c>
      <c r="G399" s="35">
        <v>0.3</v>
      </c>
      <c r="H399" s="21"/>
      <c r="I399" s="35">
        <v>45.828000000000003</v>
      </c>
      <c r="J399" s="37">
        <v>1236.8399999999999</v>
      </c>
      <c r="K399" s="12"/>
      <c r="L399" s="12"/>
      <c r="M399" s="37">
        <f>ROUND(ROUND(J399, 2)*I399, 2)</f>
        <v>56681.9</v>
      </c>
      <c r="N399" s="12"/>
      <c r="O399" s="12"/>
      <c r="P399" s="37">
        <v>378.25</v>
      </c>
      <c r="Q399" s="12"/>
      <c r="R399" s="12"/>
      <c r="S399" s="37">
        <f>ROUND(ROUND(P399, 2)*I399, 2)</f>
        <v>17334.439999999999</v>
      </c>
      <c r="T399" s="12"/>
      <c r="U399" s="38"/>
      <c r="V399" s="9">
        <f>ROUND(ROUND(P399, 2)/1.2, 2)</f>
        <v>315.20999999999998</v>
      </c>
      <c r="Y399" s="9">
        <f t="shared" si="27"/>
        <v>14445.37</v>
      </c>
      <c r="AD399" s="4" t="s">
        <v>1530</v>
      </c>
      <c r="AE399" s="4" t="s">
        <v>1531</v>
      </c>
      <c r="AF399" s="4" t="s">
        <v>1118</v>
      </c>
    </row>
    <row r="400" spans="1:35" ht="54" x14ac:dyDescent="0.3">
      <c r="A400" s="11" t="s">
        <v>1532</v>
      </c>
      <c r="B400" s="11" t="s">
        <v>1452</v>
      </c>
      <c r="C400" s="20" t="s">
        <v>1453</v>
      </c>
      <c r="D400" s="21"/>
      <c r="E400" s="21" t="s">
        <v>1533</v>
      </c>
      <c r="F400" s="21" t="s">
        <v>75</v>
      </c>
      <c r="G400" s="22">
        <v>1</v>
      </c>
      <c r="H400" s="21"/>
      <c r="I400" s="22">
        <v>152.76</v>
      </c>
      <c r="J400" s="23">
        <v>384.59</v>
      </c>
      <c r="K400" s="23">
        <v>464</v>
      </c>
      <c r="L400" s="23">
        <f>J400+ROUND(K400, 2)</f>
        <v>848.58999999999992</v>
      </c>
      <c r="M400" s="23">
        <v>58749.97</v>
      </c>
      <c r="N400" s="23">
        <v>70880.639999999999</v>
      </c>
      <c r="O400" s="23">
        <f>M400+N400</f>
        <v>129630.61</v>
      </c>
      <c r="P400" s="23">
        <v>127.02</v>
      </c>
      <c r="Q400" s="23">
        <v>422</v>
      </c>
      <c r="R400" s="23">
        <f>P400+ROUND(Q400, 2)</f>
        <v>549.02</v>
      </c>
      <c r="S400" s="23">
        <v>19403.580000000002</v>
      </c>
      <c r="T400" s="23">
        <v>64464.72</v>
      </c>
      <c r="U400" s="23">
        <f>S400+T400</f>
        <v>83868.3</v>
      </c>
      <c r="V400" s="9">
        <f>ROUND(P400 / 1.2, 2)</f>
        <v>105.85</v>
      </c>
      <c r="W400" s="9">
        <f>ROUND(Q400 / 1.2, 2)</f>
        <v>351.67</v>
      </c>
      <c r="X400" s="9">
        <f>ROUND(R400 / 1.2, 2)</f>
        <v>457.52</v>
      </c>
      <c r="Y400" s="9">
        <f t="shared" si="27"/>
        <v>16169.65</v>
      </c>
      <c r="Z400" s="9">
        <f>ROUND(T400 / 1.2, 2)</f>
        <v>53720.6</v>
      </c>
      <c r="AA400" s="9">
        <f>Y400+Z400</f>
        <v>69890.25</v>
      </c>
      <c r="AD400" s="4">
        <v>339118945</v>
      </c>
      <c r="AE400" s="4">
        <v>28983428</v>
      </c>
      <c r="AG400" s="4" t="s">
        <v>1455</v>
      </c>
      <c r="AH400" s="4" t="s">
        <v>1456</v>
      </c>
      <c r="AI400" s="4" t="s">
        <v>156</v>
      </c>
    </row>
    <row r="401" spans="1:35" ht="144" x14ac:dyDescent="0.3">
      <c r="A401" s="11" t="s">
        <v>1534</v>
      </c>
      <c r="B401" s="11"/>
      <c r="C401" s="33" t="s">
        <v>1114</v>
      </c>
      <c r="D401" s="21"/>
      <c r="E401" s="21" t="s">
        <v>1529</v>
      </c>
      <c r="F401" s="34" t="s">
        <v>159</v>
      </c>
      <c r="G401" s="35">
        <v>0.3</v>
      </c>
      <c r="H401" s="21"/>
      <c r="I401" s="35">
        <v>45.828000000000003</v>
      </c>
      <c r="J401" s="37">
        <v>1236.8399999999999</v>
      </c>
      <c r="K401" s="12"/>
      <c r="L401" s="12"/>
      <c r="M401" s="37">
        <f>ROUND(ROUND(J401, 2)*I401, 2)</f>
        <v>56681.9</v>
      </c>
      <c r="N401" s="12"/>
      <c r="O401" s="12"/>
      <c r="P401" s="37">
        <v>378.25</v>
      </c>
      <c r="Q401" s="12"/>
      <c r="R401" s="12"/>
      <c r="S401" s="37">
        <f>ROUND(ROUND(P401, 2)*I401, 2)</f>
        <v>17334.439999999999</v>
      </c>
      <c r="T401" s="12"/>
      <c r="U401" s="38"/>
      <c r="V401" s="9">
        <f>ROUND(ROUND(P401, 2)/1.2, 2)</f>
        <v>315.20999999999998</v>
      </c>
      <c r="Y401" s="9">
        <f t="shared" si="27"/>
        <v>14445.37</v>
      </c>
      <c r="AD401" s="4" t="s">
        <v>1535</v>
      </c>
      <c r="AE401" s="4" t="s">
        <v>1536</v>
      </c>
      <c r="AF401" s="4" t="s">
        <v>1118</v>
      </c>
    </row>
    <row r="402" spans="1:35" ht="36" x14ac:dyDescent="0.3">
      <c r="A402" s="11" t="s">
        <v>1537</v>
      </c>
      <c r="B402" s="11"/>
      <c r="C402" s="33" t="s">
        <v>480</v>
      </c>
      <c r="D402" s="21"/>
      <c r="E402" s="21"/>
      <c r="F402" s="34" t="s">
        <v>159</v>
      </c>
      <c r="G402" s="35">
        <v>0.15</v>
      </c>
      <c r="H402" s="21"/>
      <c r="I402" s="35">
        <v>22.914000000000001</v>
      </c>
      <c r="J402" s="37">
        <v>90.28</v>
      </c>
      <c r="K402" s="12"/>
      <c r="L402" s="12"/>
      <c r="M402" s="37">
        <f>ROUND(ROUND(J402, 2)*I402, 2)</f>
        <v>2068.6799999999998</v>
      </c>
      <c r="N402" s="12"/>
      <c r="O402" s="12"/>
      <c r="P402" s="37">
        <v>90.28</v>
      </c>
      <c r="Q402" s="12"/>
      <c r="R402" s="12"/>
      <c r="S402" s="37">
        <f>ROUND(ROUND(P402, 2)*I402, 2)</f>
        <v>2068.6799999999998</v>
      </c>
      <c r="T402" s="12"/>
      <c r="U402" s="38"/>
      <c r="V402" s="9">
        <f>ROUND(ROUND(P402, 2)/1.2, 2)</f>
        <v>75.23</v>
      </c>
      <c r="Y402" s="9">
        <f t="shared" si="27"/>
        <v>1723.9</v>
      </c>
      <c r="AD402" s="4" t="s">
        <v>1538</v>
      </c>
      <c r="AE402" s="4" t="s">
        <v>1539</v>
      </c>
      <c r="AF402" s="4" t="s">
        <v>483</v>
      </c>
    </row>
    <row r="403" spans="1:35" ht="16.95" customHeight="1" x14ac:dyDescent="0.3">
      <c r="A403" s="10" t="s">
        <v>1540</v>
      </c>
      <c r="B403" s="10" t="s">
        <v>1541</v>
      </c>
      <c r="C403" s="120" t="s">
        <v>1542</v>
      </c>
      <c r="D403" s="121"/>
      <c r="E403" s="121"/>
      <c r="F403" s="121"/>
      <c r="G403" s="121"/>
      <c r="H403" s="121"/>
      <c r="I403" s="122"/>
      <c r="M403" s="6">
        <f>SUM(M404,M406,M421,M436,M438,M440,M442,M443,M444,M445,M446,M447,M448,M449,M462)</f>
        <v>728858.16999999993</v>
      </c>
      <c r="N403" s="6">
        <f>SUM(N404,N406,N421,N436,N438,N440,N442,N443,N444,N445,N446,N447,N448,N449,N462)</f>
        <v>8180018.1400000006</v>
      </c>
      <c r="O403" s="6">
        <f>SUM(O404,O406,O421,O436,O438,O440,O442,O443,O444,O445,O446,O447,O448,O449,O462)</f>
        <v>8908876.3100000005</v>
      </c>
      <c r="S403" s="6">
        <f>SUM(S404,S406,S421,S436,S438,S440,S442,S443,S444,S445,S446,S447,S448,S449,S462)</f>
        <v>8275699.8499999996</v>
      </c>
      <c r="T403" s="6">
        <f>SUM(T404,T406,T421,T436,T438,T440,T442,T443,T444,T445,T446,T447,T448,T449,T462)</f>
        <v>8180018.1400000006</v>
      </c>
      <c r="U403" s="6">
        <f>SUM(U404,U406,U421,U436,U438,U440,U442,U443,U444,U445,U446,U447,U448,U449,U462)</f>
        <v>16455717.989999998</v>
      </c>
      <c r="Y403" s="9">
        <f>SUM(Y404,Y406,Y421,Y436,Y438,Y440,Y442,Y443,Y444,Y445,Y446,Y447,Y448,Y449,Y462)</f>
        <v>6896416.5499999998</v>
      </c>
      <c r="Z403" s="9">
        <f>SUM(Z404,Z406,Z421,Z436,Z438,Z440,Z442,Z443,Z444,Z445,Z446,Z447,Z448,Z449,Z462)</f>
        <v>6816681.8100000015</v>
      </c>
      <c r="AA403" s="9">
        <f>SUM(AA404,AA406,AA421,AA436,AA438,AA440,AA442,AA443,AA444,AA445,AA446,AA447,AA448,AA449,AA462)</f>
        <v>13713098.359999999</v>
      </c>
      <c r="AD403" s="4">
        <v>339118882</v>
      </c>
      <c r="AE403" s="4">
        <v>25887973</v>
      </c>
    </row>
    <row r="404" spans="1:35" ht="36" x14ac:dyDescent="0.3">
      <c r="A404" s="10" t="s">
        <v>1543</v>
      </c>
      <c r="B404" s="10" t="s">
        <v>1544</v>
      </c>
      <c r="C404" s="14" t="s">
        <v>1545</v>
      </c>
      <c r="D404" s="15"/>
      <c r="E404" s="15" t="s">
        <v>1454</v>
      </c>
      <c r="F404" s="15" t="s">
        <v>75</v>
      </c>
      <c r="G404" s="16">
        <v>1</v>
      </c>
      <c r="H404" s="15"/>
      <c r="I404" s="16">
        <v>259.14</v>
      </c>
      <c r="J404" s="17">
        <v>1430.65</v>
      </c>
      <c r="K404" s="18">
        <v>837</v>
      </c>
      <c r="L404" s="17">
        <f>J404+ROUND(K404, 2)</f>
        <v>2267.65</v>
      </c>
      <c r="M404" s="17">
        <v>370738.64</v>
      </c>
      <c r="N404" s="17">
        <v>216900.18</v>
      </c>
      <c r="O404" s="17">
        <f>M404+N404</f>
        <v>587638.82000000007</v>
      </c>
      <c r="P404" s="17">
        <v>1430.65</v>
      </c>
      <c r="Q404" s="19">
        <v>837</v>
      </c>
      <c r="R404" s="17">
        <f>P404+ROUND(Q404, 2)</f>
        <v>2267.65</v>
      </c>
      <c r="S404" s="17">
        <v>370738.64</v>
      </c>
      <c r="T404" s="17">
        <v>216900.18</v>
      </c>
      <c r="U404" s="17">
        <f>S404+T404</f>
        <v>587638.82000000007</v>
      </c>
      <c r="V404" s="9">
        <f>ROUND(P404 / 1.2, 2)</f>
        <v>1192.21</v>
      </c>
      <c r="W404" s="9">
        <f>ROUND(Q404 / 1.2, 2)</f>
        <v>697.5</v>
      </c>
      <c r="X404" s="9">
        <f>ROUND(R404 / 1.2, 2)</f>
        <v>1889.71</v>
      </c>
      <c r="Y404" s="9">
        <f>ROUND(S404 / 1.2, 2)</f>
        <v>308948.87</v>
      </c>
      <c r="Z404" s="9">
        <f>ROUND(T404 / 1.2, 2)</f>
        <v>180750.15</v>
      </c>
      <c r="AA404" s="9">
        <f>Y404+Z404</f>
        <v>489699.02</v>
      </c>
      <c r="AD404" s="4">
        <v>339118884</v>
      </c>
      <c r="AE404" s="4">
        <v>25888033</v>
      </c>
      <c r="AG404" s="4" t="s">
        <v>1546</v>
      </c>
      <c r="AH404" s="4" t="s">
        <v>1547</v>
      </c>
      <c r="AI404" s="4" t="s">
        <v>156</v>
      </c>
    </row>
    <row r="405" spans="1:35" ht="90" x14ac:dyDescent="0.3">
      <c r="A405" s="10" t="s">
        <v>1548</v>
      </c>
      <c r="B405" s="10"/>
      <c r="C405" s="30" t="s">
        <v>1549</v>
      </c>
      <c r="D405" s="15"/>
      <c r="E405" s="15" t="s">
        <v>1550</v>
      </c>
      <c r="F405" s="25" t="s">
        <v>75</v>
      </c>
      <c r="G405" s="26">
        <v>1.1000000000000001</v>
      </c>
      <c r="H405" s="15"/>
      <c r="I405" s="32">
        <v>285.05399999999997</v>
      </c>
      <c r="J405" s="27">
        <v>1300.5899999999999</v>
      </c>
      <c r="M405" s="28">
        <f>ROUND(ROUND(J405, 2)*I405, 2)</f>
        <v>370738.38</v>
      </c>
      <c r="P405" s="29">
        <v>1300.5899999999999</v>
      </c>
      <c r="S405" s="28">
        <f>ROUND(ROUND(P405, 2)*I405, 2)</f>
        <v>370738.38</v>
      </c>
      <c r="V405" s="9">
        <f>ROUND(ROUND(P405, 2)/1.2, 2)</f>
        <v>1083.83</v>
      </c>
      <c r="Y405" s="9">
        <f t="shared" ref="Y405:Y441" si="28">ROUND(S405 / 1.2, 2)</f>
        <v>308948.65000000002</v>
      </c>
      <c r="AD405" s="4" t="s">
        <v>1551</v>
      </c>
      <c r="AE405" s="4" t="s">
        <v>1552</v>
      </c>
      <c r="AF405" s="4" t="s">
        <v>1553</v>
      </c>
    </row>
    <row r="406" spans="1:35" ht="36" x14ac:dyDescent="0.3">
      <c r="A406" s="10" t="s">
        <v>1554</v>
      </c>
      <c r="B406" s="10" t="s">
        <v>1555</v>
      </c>
      <c r="C406" s="14" t="s">
        <v>1556</v>
      </c>
      <c r="D406" s="15"/>
      <c r="E406" s="15" t="s">
        <v>1399</v>
      </c>
      <c r="F406" s="15" t="s">
        <v>75</v>
      </c>
      <c r="G406" s="16">
        <v>1</v>
      </c>
      <c r="H406" s="15"/>
      <c r="I406" s="16">
        <v>465.96</v>
      </c>
      <c r="J406" s="17">
        <v>635.78</v>
      </c>
      <c r="K406" s="18">
        <v>1199</v>
      </c>
      <c r="L406" s="17">
        <f>J406+ROUND(K406, 2)</f>
        <v>1834.78</v>
      </c>
      <c r="M406" s="17">
        <v>296248.05</v>
      </c>
      <c r="N406" s="17">
        <v>558686.04</v>
      </c>
      <c r="O406" s="17">
        <f>M406+N406</f>
        <v>854934.09000000008</v>
      </c>
      <c r="P406" s="17">
        <v>635.78</v>
      </c>
      <c r="Q406" s="19">
        <v>1199</v>
      </c>
      <c r="R406" s="17">
        <f>P406+ROUND(Q406, 2)</f>
        <v>1834.78</v>
      </c>
      <c r="S406" s="17">
        <v>296248.05</v>
      </c>
      <c r="T406" s="17">
        <v>558686.04</v>
      </c>
      <c r="U406" s="17">
        <f>S406+T406</f>
        <v>854934.09000000008</v>
      </c>
      <c r="V406" s="9">
        <f>ROUND(P406 / 1.2, 2)</f>
        <v>529.82000000000005</v>
      </c>
      <c r="W406" s="9">
        <f>ROUND(Q406 / 1.2, 2)</f>
        <v>999.17</v>
      </c>
      <c r="X406" s="9">
        <f>ROUND(R406 / 1.2, 2)</f>
        <v>1528.98</v>
      </c>
      <c r="Y406" s="9">
        <f t="shared" si="28"/>
        <v>246873.38</v>
      </c>
      <c r="Z406" s="9">
        <f>ROUND(T406 / 1.2, 2)</f>
        <v>465571.7</v>
      </c>
      <c r="AA406" s="9">
        <f>Y406+Z406</f>
        <v>712445.08000000007</v>
      </c>
      <c r="AD406" s="4">
        <v>339118885</v>
      </c>
      <c r="AE406" s="4">
        <v>25888026</v>
      </c>
      <c r="AG406" s="4" t="s">
        <v>1557</v>
      </c>
      <c r="AH406" s="4" t="s">
        <v>1558</v>
      </c>
      <c r="AI406" s="4" t="s">
        <v>156</v>
      </c>
    </row>
    <row r="407" spans="1:35" ht="18" x14ac:dyDescent="0.3">
      <c r="A407" s="10" t="s">
        <v>1559</v>
      </c>
      <c r="B407" s="10"/>
      <c r="C407" s="24" t="s">
        <v>1560</v>
      </c>
      <c r="D407" s="15"/>
      <c r="E407" s="15"/>
      <c r="F407" s="25" t="s">
        <v>240</v>
      </c>
      <c r="G407" s="26">
        <v>15</v>
      </c>
      <c r="H407" s="15"/>
      <c r="I407" s="26">
        <v>6989.4</v>
      </c>
      <c r="J407" s="27">
        <v>0.95</v>
      </c>
      <c r="M407" s="28">
        <f t="shared" ref="M407:M420" si="29">ROUND(ROUND(J407, 2)*I407, 2)</f>
        <v>6639.93</v>
      </c>
      <c r="P407" s="29">
        <v>0.95</v>
      </c>
      <c r="S407" s="28">
        <f t="shared" ref="S407:S420" si="30">ROUND(ROUND(P407, 2)*I407, 2)</f>
        <v>6639.93</v>
      </c>
      <c r="V407" s="9">
        <f t="shared" ref="V407:V420" si="31">ROUND(ROUND(P407, 2)/1.2, 2)</f>
        <v>0.79</v>
      </c>
      <c r="Y407" s="9">
        <f t="shared" si="28"/>
        <v>5533.28</v>
      </c>
      <c r="AD407" s="4" t="s">
        <v>1561</v>
      </c>
      <c r="AE407" s="4" t="s">
        <v>1562</v>
      </c>
      <c r="AF407" s="4" t="s">
        <v>1563</v>
      </c>
    </row>
    <row r="408" spans="1:35" ht="18" x14ac:dyDescent="0.3">
      <c r="A408" s="10" t="s">
        <v>1564</v>
      </c>
      <c r="B408" s="10"/>
      <c r="C408" s="24" t="s">
        <v>1565</v>
      </c>
      <c r="D408" s="15"/>
      <c r="E408" s="15"/>
      <c r="F408" s="25" t="s">
        <v>240</v>
      </c>
      <c r="G408" s="26">
        <v>30</v>
      </c>
      <c r="H408" s="15"/>
      <c r="I408" s="26">
        <v>13978.8</v>
      </c>
      <c r="J408" s="27">
        <v>0.28000000000000003</v>
      </c>
      <c r="M408" s="28">
        <f t="shared" si="29"/>
        <v>3914.06</v>
      </c>
      <c r="P408" s="29">
        <v>0.28000000000000003</v>
      </c>
      <c r="S408" s="28">
        <f t="shared" si="30"/>
        <v>3914.06</v>
      </c>
      <c r="V408" s="9">
        <f t="shared" si="31"/>
        <v>0.23</v>
      </c>
      <c r="Y408" s="9">
        <f t="shared" si="28"/>
        <v>3261.72</v>
      </c>
      <c r="AD408" s="4" t="s">
        <v>1566</v>
      </c>
      <c r="AE408" s="4" t="s">
        <v>1567</v>
      </c>
      <c r="AF408" s="4" t="s">
        <v>1568</v>
      </c>
    </row>
    <row r="409" spans="1:35" ht="18" x14ac:dyDescent="0.3">
      <c r="A409" s="10" t="s">
        <v>1569</v>
      </c>
      <c r="B409" s="10"/>
      <c r="C409" s="24" t="s">
        <v>1570</v>
      </c>
      <c r="D409" s="15"/>
      <c r="E409" s="15"/>
      <c r="F409" s="25" t="s">
        <v>159</v>
      </c>
      <c r="G409" s="26">
        <v>0.35</v>
      </c>
      <c r="H409" s="15"/>
      <c r="I409" s="26">
        <v>163.08600000000001</v>
      </c>
      <c r="J409" s="27">
        <v>55</v>
      </c>
      <c r="M409" s="28">
        <f t="shared" si="29"/>
        <v>8969.73</v>
      </c>
      <c r="P409" s="29">
        <v>55</v>
      </c>
      <c r="S409" s="28">
        <f t="shared" si="30"/>
        <v>8969.73</v>
      </c>
      <c r="V409" s="9">
        <f t="shared" si="31"/>
        <v>45.83</v>
      </c>
      <c r="Y409" s="9">
        <f t="shared" si="28"/>
        <v>7474.78</v>
      </c>
      <c r="AD409" s="4" t="s">
        <v>1571</v>
      </c>
      <c r="AE409" s="4" t="s">
        <v>1572</v>
      </c>
      <c r="AF409" s="4" t="s">
        <v>1573</v>
      </c>
    </row>
    <row r="410" spans="1:35" ht="18" x14ac:dyDescent="0.3">
      <c r="A410" s="10" t="s">
        <v>1574</v>
      </c>
      <c r="B410" s="10"/>
      <c r="C410" s="24" t="s">
        <v>1575</v>
      </c>
      <c r="D410" s="15"/>
      <c r="E410" s="15"/>
      <c r="F410" s="25" t="s">
        <v>240</v>
      </c>
      <c r="G410" s="26">
        <v>0.3</v>
      </c>
      <c r="H410" s="15"/>
      <c r="I410" s="26">
        <v>139.78800000000001</v>
      </c>
      <c r="J410" s="27">
        <v>5.6</v>
      </c>
      <c r="M410" s="28">
        <f t="shared" si="29"/>
        <v>782.81</v>
      </c>
      <c r="P410" s="29">
        <v>5.6</v>
      </c>
      <c r="S410" s="28">
        <f t="shared" si="30"/>
        <v>782.81</v>
      </c>
      <c r="V410" s="9">
        <f t="shared" si="31"/>
        <v>4.67</v>
      </c>
      <c r="Y410" s="9">
        <f t="shared" si="28"/>
        <v>652.34</v>
      </c>
      <c r="AD410" s="4" t="s">
        <v>1576</v>
      </c>
      <c r="AE410" s="4" t="s">
        <v>1577</v>
      </c>
      <c r="AF410" s="4" t="s">
        <v>1578</v>
      </c>
    </row>
    <row r="411" spans="1:35" ht="36" x14ac:dyDescent="0.3">
      <c r="A411" s="10" t="s">
        <v>1579</v>
      </c>
      <c r="B411" s="10"/>
      <c r="C411" s="30" t="s">
        <v>1580</v>
      </c>
      <c r="D411" s="15"/>
      <c r="E411" s="15"/>
      <c r="F411" s="25" t="s">
        <v>240</v>
      </c>
      <c r="G411" s="26">
        <v>3.6</v>
      </c>
      <c r="H411" s="15"/>
      <c r="I411" s="26">
        <v>1677.4559999999999</v>
      </c>
      <c r="J411" s="27">
        <v>15.9</v>
      </c>
      <c r="M411" s="28">
        <f t="shared" si="29"/>
        <v>26671.55</v>
      </c>
      <c r="P411" s="29">
        <v>15.9</v>
      </c>
      <c r="S411" s="28">
        <f t="shared" si="30"/>
        <v>26671.55</v>
      </c>
      <c r="V411" s="9">
        <f t="shared" si="31"/>
        <v>13.25</v>
      </c>
      <c r="Y411" s="9">
        <f t="shared" si="28"/>
        <v>22226.29</v>
      </c>
      <c r="AD411" s="4" t="s">
        <v>1581</v>
      </c>
      <c r="AE411" s="4" t="s">
        <v>1582</v>
      </c>
      <c r="AF411" s="4" t="s">
        <v>1583</v>
      </c>
    </row>
    <row r="412" spans="1:35" ht="18" x14ac:dyDescent="0.3">
      <c r="A412" s="10" t="s">
        <v>1584</v>
      </c>
      <c r="B412" s="10"/>
      <c r="C412" s="24" t="s">
        <v>1585</v>
      </c>
      <c r="D412" s="15"/>
      <c r="E412" s="15"/>
      <c r="F412" s="25" t="s">
        <v>120</v>
      </c>
      <c r="G412" s="26">
        <v>1.2</v>
      </c>
      <c r="H412" s="15"/>
      <c r="I412" s="26">
        <v>559.15200000000004</v>
      </c>
      <c r="J412" s="27">
        <v>25.35</v>
      </c>
      <c r="M412" s="28">
        <f t="shared" si="29"/>
        <v>14174.5</v>
      </c>
      <c r="P412" s="29">
        <v>25.35</v>
      </c>
      <c r="S412" s="28">
        <f t="shared" si="30"/>
        <v>14174.5</v>
      </c>
      <c r="V412" s="9">
        <f t="shared" si="31"/>
        <v>21.13</v>
      </c>
      <c r="Y412" s="9">
        <f t="shared" si="28"/>
        <v>11812.08</v>
      </c>
      <c r="AD412" s="4" t="s">
        <v>1586</v>
      </c>
      <c r="AE412" s="4" t="s">
        <v>1587</v>
      </c>
      <c r="AF412" s="4" t="s">
        <v>1588</v>
      </c>
    </row>
    <row r="413" spans="1:35" ht="18" x14ac:dyDescent="0.3">
      <c r="A413" s="10" t="s">
        <v>1589</v>
      </c>
      <c r="B413" s="10"/>
      <c r="C413" s="24" t="s">
        <v>1590</v>
      </c>
      <c r="D413" s="15"/>
      <c r="E413" s="15"/>
      <c r="F413" s="25" t="s">
        <v>120</v>
      </c>
      <c r="G413" s="26">
        <v>4.7</v>
      </c>
      <c r="H413" s="15"/>
      <c r="I413" s="26">
        <v>2190.0120000000002</v>
      </c>
      <c r="J413" s="27">
        <v>66.98</v>
      </c>
      <c r="M413" s="28">
        <f t="shared" si="29"/>
        <v>146687</v>
      </c>
      <c r="P413" s="29">
        <v>66.98</v>
      </c>
      <c r="S413" s="28">
        <f t="shared" si="30"/>
        <v>146687</v>
      </c>
      <c r="V413" s="9">
        <f t="shared" si="31"/>
        <v>55.82</v>
      </c>
      <c r="Y413" s="9">
        <f t="shared" si="28"/>
        <v>122239.17</v>
      </c>
      <c r="AD413" s="4" t="s">
        <v>1591</v>
      </c>
      <c r="AE413" s="4" t="s">
        <v>1592</v>
      </c>
      <c r="AF413" s="4" t="s">
        <v>1593</v>
      </c>
    </row>
    <row r="414" spans="1:35" ht="18" x14ac:dyDescent="0.3">
      <c r="A414" s="10" t="s">
        <v>1594</v>
      </c>
      <c r="B414" s="10"/>
      <c r="C414" s="30" t="s">
        <v>1595</v>
      </c>
      <c r="D414" s="15"/>
      <c r="E414" s="15"/>
      <c r="F414" s="25" t="s">
        <v>240</v>
      </c>
      <c r="G414" s="26">
        <v>4.2</v>
      </c>
      <c r="H414" s="15"/>
      <c r="I414" s="26">
        <v>1957.0319999999999</v>
      </c>
      <c r="J414" s="27">
        <v>5.41</v>
      </c>
      <c r="M414" s="28">
        <f t="shared" si="29"/>
        <v>10587.54</v>
      </c>
      <c r="P414" s="29">
        <v>5.41</v>
      </c>
      <c r="S414" s="28">
        <f t="shared" si="30"/>
        <v>10587.54</v>
      </c>
      <c r="V414" s="9">
        <f t="shared" si="31"/>
        <v>4.51</v>
      </c>
      <c r="Y414" s="9">
        <f t="shared" si="28"/>
        <v>8822.9500000000007</v>
      </c>
      <c r="AD414" s="4" t="s">
        <v>1596</v>
      </c>
      <c r="AE414" s="4" t="s">
        <v>1597</v>
      </c>
      <c r="AF414" s="4" t="s">
        <v>1598</v>
      </c>
    </row>
    <row r="415" spans="1:35" ht="18" x14ac:dyDescent="0.3">
      <c r="A415" s="10" t="s">
        <v>1599</v>
      </c>
      <c r="B415" s="10"/>
      <c r="C415" s="24" t="s">
        <v>1600</v>
      </c>
      <c r="D415" s="15"/>
      <c r="E415" s="15"/>
      <c r="F415" s="25" t="s">
        <v>120</v>
      </c>
      <c r="G415" s="26">
        <v>1.05</v>
      </c>
      <c r="H415" s="15"/>
      <c r="I415" s="26">
        <v>489.25799999999998</v>
      </c>
      <c r="J415" s="27">
        <v>4.5999999999999996</v>
      </c>
      <c r="M415" s="28">
        <f t="shared" si="29"/>
        <v>2250.59</v>
      </c>
      <c r="P415" s="29">
        <v>4.5999999999999996</v>
      </c>
      <c r="S415" s="28">
        <f t="shared" si="30"/>
        <v>2250.59</v>
      </c>
      <c r="V415" s="9">
        <f t="shared" si="31"/>
        <v>3.83</v>
      </c>
      <c r="Y415" s="9">
        <f t="shared" si="28"/>
        <v>1875.49</v>
      </c>
      <c r="AD415" s="4" t="s">
        <v>1601</v>
      </c>
      <c r="AE415" s="4" t="s">
        <v>1602</v>
      </c>
      <c r="AF415" s="4" t="s">
        <v>1603</v>
      </c>
    </row>
    <row r="416" spans="1:35" ht="18" x14ac:dyDescent="0.3">
      <c r="A416" s="10" t="s">
        <v>1604</v>
      </c>
      <c r="B416" s="10"/>
      <c r="C416" s="24" t="s">
        <v>1605</v>
      </c>
      <c r="D416" s="15"/>
      <c r="E416" s="15"/>
      <c r="F416" s="25" t="s">
        <v>120</v>
      </c>
      <c r="G416" s="26">
        <v>1.25</v>
      </c>
      <c r="H416" s="15"/>
      <c r="I416" s="26">
        <v>582.45000000000005</v>
      </c>
      <c r="J416" s="27">
        <v>2.8</v>
      </c>
      <c r="M416" s="28">
        <f t="shared" si="29"/>
        <v>1630.86</v>
      </c>
      <c r="P416" s="29">
        <v>2.8</v>
      </c>
      <c r="S416" s="28">
        <f t="shared" si="30"/>
        <v>1630.86</v>
      </c>
      <c r="V416" s="9">
        <f t="shared" si="31"/>
        <v>2.33</v>
      </c>
      <c r="Y416" s="9">
        <f t="shared" si="28"/>
        <v>1359.05</v>
      </c>
      <c r="AD416" s="4" t="s">
        <v>1606</v>
      </c>
      <c r="AE416" s="4" t="s">
        <v>1607</v>
      </c>
      <c r="AF416" s="4" t="s">
        <v>1608</v>
      </c>
    </row>
    <row r="417" spans="1:35" ht="18" x14ac:dyDescent="0.3">
      <c r="A417" s="10" t="s">
        <v>1609</v>
      </c>
      <c r="B417" s="10"/>
      <c r="C417" s="24" t="s">
        <v>1610</v>
      </c>
      <c r="D417" s="15"/>
      <c r="E417" s="15"/>
      <c r="F417" s="25" t="s">
        <v>240</v>
      </c>
      <c r="G417" s="26">
        <v>6</v>
      </c>
      <c r="H417" s="15"/>
      <c r="I417" s="26">
        <v>2795.76</v>
      </c>
      <c r="J417" s="27">
        <v>0.9</v>
      </c>
      <c r="M417" s="28">
        <f t="shared" si="29"/>
        <v>2516.1799999999998</v>
      </c>
      <c r="P417" s="29">
        <v>0.9</v>
      </c>
      <c r="S417" s="28">
        <f t="shared" si="30"/>
        <v>2516.1799999999998</v>
      </c>
      <c r="V417" s="9">
        <f t="shared" si="31"/>
        <v>0.75</v>
      </c>
      <c r="Y417" s="9">
        <f t="shared" si="28"/>
        <v>2096.8200000000002</v>
      </c>
      <c r="AD417" s="4" t="s">
        <v>1611</v>
      </c>
      <c r="AE417" s="4" t="s">
        <v>1612</v>
      </c>
      <c r="AF417" s="4" t="s">
        <v>1613</v>
      </c>
    </row>
    <row r="418" spans="1:35" ht="36" x14ac:dyDescent="0.3">
      <c r="A418" s="10" t="s">
        <v>1614</v>
      </c>
      <c r="B418" s="10"/>
      <c r="C418" s="24" t="s">
        <v>480</v>
      </c>
      <c r="D418" s="15"/>
      <c r="E418" s="15"/>
      <c r="F418" s="25" t="s">
        <v>159</v>
      </c>
      <c r="G418" s="26">
        <v>0.1</v>
      </c>
      <c r="H418" s="15"/>
      <c r="I418" s="26">
        <v>46.595999999999997</v>
      </c>
      <c r="J418" s="27">
        <v>88.8</v>
      </c>
      <c r="M418" s="28">
        <f t="shared" si="29"/>
        <v>4137.72</v>
      </c>
      <c r="P418" s="29">
        <v>88.8</v>
      </c>
      <c r="S418" s="28">
        <f t="shared" si="30"/>
        <v>4137.72</v>
      </c>
      <c r="V418" s="9">
        <f t="shared" si="31"/>
        <v>74</v>
      </c>
      <c r="Y418" s="9">
        <f t="shared" si="28"/>
        <v>3448.1</v>
      </c>
      <c r="AD418" s="4" t="s">
        <v>1615</v>
      </c>
      <c r="AE418" s="4" t="s">
        <v>1616</v>
      </c>
      <c r="AF418" s="4" t="s">
        <v>483</v>
      </c>
    </row>
    <row r="419" spans="1:35" ht="54" x14ac:dyDescent="0.3">
      <c r="A419" s="10" t="s">
        <v>1617</v>
      </c>
      <c r="B419" s="10"/>
      <c r="C419" s="24" t="s">
        <v>1618</v>
      </c>
      <c r="D419" s="15"/>
      <c r="E419" s="15"/>
      <c r="F419" s="25" t="s">
        <v>75</v>
      </c>
      <c r="G419" s="26">
        <v>1.05</v>
      </c>
      <c r="H419" s="15"/>
      <c r="I419" s="26">
        <v>489.25799999999998</v>
      </c>
      <c r="J419" s="27">
        <v>135.53</v>
      </c>
      <c r="M419" s="28">
        <f t="shared" si="29"/>
        <v>66309.14</v>
      </c>
      <c r="P419" s="29">
        <v>135.53</v>
      </c>
      <c r="S419" s="28">
        <f t="shared" si="30"/>
        <v>66309.14</v>
      </c>
      <c r="V419" s="9">
        <f t="shared" si="31"/>
        <v>112.94</v>
      </c>
      <c r="Y419" s="9">
        <f t="shared" si="28"/>
        <v>55257.62</v>
      </c>
      <c r="AD419" s="4" t="s">
        <v>1619</v>
      </c>
      <c r="AE419" s="4" t="s">
        <v>1620</v>
      </c>
      <c r="AF419" s="4" t="s">
        <v>1621</v>
      </c>
    </row>
    <row r="420" spans="1:35" ht="18" x14ac:dyDescent="0.3">
      <c r="A420" s="10" t="s">
        <v>1622</v>
      </c>
      <c r="B420" s="10"/>
      <c r="C420" s="24" t="s">
        <v>1623</v>
      </c>
      <c r="D420" s="15"/>
      <c r="E420" s="15"/>
      <c r="F420" s="25" t="s">
        <v>240</v>
      </c>
      <c r="G420" s="26">
        <v>0.75</v>
      </c>
      <c r="H420" s="15"/>
      <c r="I420" s="26">
        <v>349.47</v>
      </c>
      <c r="J420" s="27">
        <v>2.8</v>
      </c>
      <c r="M420" s="28">
        <f t="shared" si="29"/>
        <v>978.52</v>
      </c>
      <c r="P420" s="29">
        <v>2.8</v>
      </c>
      <c r="S420" s="28">
        <f t="shared" si="30"/>
        <v>978.52</v>
      </c>
      <c r="V420" s="9">
        <f t="shared" si="31"/>
        <v>2.33</v>
      </c>
      <c r="Y420" s="9">
        <f t="shared" si="28"/>
        <v>815.43</v>
      </c>
      <c r="AD420" s="4" t="s">
        <v>1624</v>
      </c>
      <c r="AE420" s="4" t="s">
        <v>1625</v>
      </c>
      <c r="AF420" s="4" t="s">
        <v>1626</v>
      </c>
    </row>
    <row r="421" spans="1:35" ht="36" x14ac:dyDescent="0.3">
      <c r="A421" s="10" t="s">
        <v>1627</v>
      </c>
      <c r="B421" s="10" t="s">
        <v>1555</v>
      </c>
      <c r="C421" s="14" t="s">
        <v>1556</v>
      </c>
      <c r="D421" s="15"/>
      <c r="E421" s="15" t="s">
        <v>1628</v>
      </c>
      <c r="F421" s="15" t="s">
        <v>75</v>
      </c>
      <c r="G421" s="16">
        <v>1</v>
      </c>
      <c r="H421" s="15"/>
      <c r="I421" s="16">
        <v>108.96</v>
      </c>
      <c r="J421" s="17">
        <v>477.77</v>
      </c>
      <c r="K421" s="18">
        <v>1199</v>
      </c>
      <c r="L421" s="17">
        <f>J421+ROUND(K421, 2)</f>
        <v>1676.77</v>
      </c>
      <c r="M421" s="17">
        <v>52057.82</v>
      </c>
      <c r="N421" s="17">
        <v>130643.04</v>
      </c>
      <c r="O421" s="17">
        <f>M421+N421</f>
        <v>182700.86</v>
      </c>
      <c r="P421" s="17">
        <v>2255.5500000000002</v>
      </c>
      <c r="Q421" s="19">
        <v>1199</v>
      </c>
      <c r="R421" s="17">
        <f>P421+ROUND(Q421, 2)</f>
        <v>3454.55</v>
      </c>
      <c r="S421" s="17">
        <v>245764.73</v>
      </c>
      <c r="T421" s="17">
        <v>130643.04</v>
      </c>
      <c r="U421" s="17">
        <f>S421+T421</f>
        <v>376407.77</v>
      </c>
      <c r="V421" s="9">
        <f>ROUND(P421 / 1.2, 2)</f>
        <v>1879.63</v>
      </c>
      <c r="W421" s="9">
        <f>ROUND(Q421 / 1.2, 2)</f>
        <v>999.17</v>
      </c>
      <c r="X421" s="9">
        <f>ROUND(R421 / 1.2, 2)</f>
        <v>2878.79</v>
      </c>
      <c r="Y421" s="9">
        <f t="shared" si="28"/>
        <v>204803.94</v>
      </c>
      <c r="Z421" s="9">
        <f>ROUND(T421 / 1.2, 2)</f>
        <v>108869.2</v>
      </c>
      <c r="AA421" s="9">
        <f>Y421+Z421</f>
        <v>313673.14</v>
      </c>
      <c r="AD421" s="4">
        <v>339118946</v>
      </c>
      <c r="AE421" s="4">
        <v>25888000</v>
      </c>
      <c r="AG421" s="4" t="s">
        <v>1557</v>
      </c>
      <c r="AH421" s="4" t="s">
        <v>1558</v>
      </c>
      <c r="AI421" s="4" t="s">
        <v>156</v>
      </c>
    </row>
    <row r="422" spans="1:35" ht="18" x14ac:dyDescent="0.3">
      <c r="A422" s="10" t="s">
        <v>1629</v>
      </c>
      <c r="B422" s="10"/>
      <c r="C422" s="24" t="s">
        <v>1623</v>
      </c>
      <c r="D422" s="15"/>
      <c r="E422" s="15"/>
      <c r="F422" s="25" t="s">
        <v>240</v>
      </c>
      <c r="G422" s="26">
        <v>0.75</v>
      </c>
      <c r="H422" s="15"/>
      <c r="I422" s="26">
        <v>81.72</v>
      </c>
      <c r="J422" s="27">
        <v>2.8</v>
      </c>
      <c r="M422" s="28">
        <f t="shared" ref="M422:M435" si="32">ROUND(ROUND(J422, 2)*I422, 2)</f>
        <v>228.82</v>
      </c>
      <c r="P422" s="29">
        <v>2.8</v>
      </c>
      <c r="S422" s="28">
        <f t="shared" ref="S422:S435" si="33">ROUND(ROUND(P422, 2)*I422, 2)</f>
        <v>228.82</v>
      </c>
      <c r="V422" s="9">
        <f t="shared" ref="V422:V435" si="34">ROUND(ROUND(P422, 2)/1.2, 2)</f>
        <v>2.33</v>
      </c>
      <c r="Y422" s="9">
        <f t="shared" si="28"/>
        <v>190.68</v>
      </c>
      <c r="AD422" s="4" t="s">
        <v>1630</v>
      </c>
      <c r="AE422" s="4" t="s">
        <v>1631</v>
      </c>
      <c r="AF422" s="4" t="s">
        <v>1626</v>
      </c>
    </row>
    <row r="423" spans="1:35" ht="36" x14ac:dyDescent="0.3">
      <c r="A423" s="10" t="s">
        <v>1632</v>
      </c>
      <c r="B423" s="10"/>
      <c r="C423" s="24" t="s">
        <v>480</v>
      </c>
      <c r="D423" s="15"/>
      <c r="E423" s="15"/>
      <c r="F423" s="25" t="s">
        <v>159</v>
      </c>
      <c r="G423" s="26">
        <v>0.1</v>
      </c>
      <c r="H423" s="15"/>
      <c r="I423" s="26">
        <v>10.896000000000001</v>
      </c>
      <c r="J423" s="27">
        <v>88.8</v>
      </c>
      <c r="M423" s="28">
        <f t="shared" si="32"/>
        <v>967.56</v>
      </c>
      <c r="P423" s="29">
        <v>88.8</v>
      </c>
      <c r="S423" s="28">
        <f t="shared" si="33"/>
        <v>967.56</v>
      </c>
      <c r="V423" s="9">
        <f t="shared" si="34"/>
        <v>74</v>
      </c>
      <c r="Y423" s="9">
        <f t="shared" si="28"/>
        <v>806.3</v>
      </c>
      <c r="AD423" s="4" t="s">
        <v>1633</v>
      </c>
      <c r="AE423" s="4" t="s">
        <v>1634</v>
      </c>
      <c r="AF423" s="4" t="s">
        <v>483</v>
      </c>
    </row>
    <row r="424" spans="1:35" ht="18" x14ac:dyDescent="0.3">
      <c r="A424" s="10" t="s">
        <v>1635</v>
      </c>
      <c r="B424" s="10"/>
      <c r="C424" s="24" t="s">
        <v>1610</v>
      </c>
      <c r="D424" s="15"/>
      <c r="E424" s="15"/>
      <c r="F424" s="25" t="s">
        <v>240</v>
      </c>
      <c r="G424" s="26">
        <v>6</v>
      </c>
      <c r="H424" s="15"/>
      <c r="I424" s="26">
        <v>653.76</v>
      </c>
      <c r="J424" s="27">
        <v>0.9</v>
      </c>
      <c r="M424" s="28">
        <f t="shared" si="32"/>
        <v>588.38</v>
      </c>
      <c r="P424" s="29">
        <v>0.9</v>
      </c>
      <c r="S424" s="28">
        <f t="shared" si="33"/>
        <v>588.38</v>
      </c>
      <c r="V424" s="9">
        <f t="shared" si="34"/>
        <v>0.75</v>
      </c>
      <c r="Y424" s="9">
        <f t="shared" si="28"/>
        <v>490.32</v>
      </c>
      <c r="AD424" s="4" t="s">
        <v>1636</v>
      </c>
      <c r="AE424" s="4" t="s">
        <v>1637</v>
      </c>
      <c r="AF424" s="4" t="s">
        <v>1613</v>
      </c>
    </row>
    <row r="425" spans="1:35" ht="18" x14ac:dyDescent="0.3">
      <c r="A425" s="10" t="s">
        <v>1638</v>
      </c>
      <c r="B425" s="10"/>
      <c r="C425" s="24" t="s">
        <v>1605</v>
      </c>
      <c r="D425" s="15"/>
      <c r="E425" s="15"/>
      <c r="F425" s="25" t="s">
        <v>120</v>
      </c>
      <c r="G425" s="26">
        <v>1.25</v>
      </c>
      <c r="H425" s="15"/>
      <c r="I425" s="26">
        <v>136.19999999999999</v>
      </c>
      <c r="J425" s="27">
        <v>2.8</v>
      </c>
      <c r="M425" s="28">
        <f t="shared" si="32"/>
        <v>381.36</v>
      </c>
      <c r="P425" s="29">
        <v>2.8</v>
      </c>
      <c r="S425" s="28">
        <f t="shared" si="33"/>
        <v>381.36</v>
      </c>
      <c r="V425" s="9">
        <f t="shared" si="34"/>
        <v>2.33</v>
      </c>
      <c r="Y425" s="9">
        <f t="shared" si="28"/>
        <v>317.8</v>
      </c>
      <c r="AD425" s="4" t="s">
        <v>1639</v>
      </c>
      <c r="AE425" s="4" t="s">
        <v>1640</v>
      </c>
      <c r="AF425" s="4" t="s">
        <v>1608</v>
      </c>
    </row>
    <row r="426" spans="1:35" ht="18" x14ac:dyDescent="0.3">
      <c r="A426" s="10" t="s">
        <v>1641</v>
      </c>
      <c r="B426" s="10"/>
      <c r="C426" s="24" t="s">
        <v>1600</v>
      </c>
      <c r="D426" s="15"/>
      <c r="E426" s="15"/>
      <c r="F426" s="25" t="s">
        <v>120</v>
      </c>
      <c r="G426" s="26">
        <v>1.05</v>
      </c>
      <c r="H426" s="15"/>
      <c r="I426" s="26">
        <v>114.408</v>
      </c>
      <c r="J426" s="27">
        <v>4.5999999999999996</v>
      </c>
      <c r="M426" s="28">
        <f t="shared" si="32"/>
        <v>526.28</v>
      </c>
      <c r="P426" s="29">
        <v>4.5999999999999996</v>
      </c>
      <c r="S426" s="28">
        <f t="shared" si="33"/>
        <v>526.28</v>
      </c>
      <c r="V426" s="9">
        <f t="shared" si="34"/>
        <v>3.83</v>
      </c>
      <c r="Y426" s="9">
        <f t="shared" si="28"/>
        <v>438.57</v>
      </c>
      <c r="AD426" s="4" t="s">
        <v>1642</v>
      </c>
      <c r="AE426" s="4" t="s">
        <v>1643</v>
      </c>
      <c r="AF426" s="4" t="s">
        <v>1603</v>
      </c>
    </row>
    <row r="427" spans="1:35" ht="36" x14ac:dyDescent="0.3">
      <c r="A427" s="10" t="s">
        <v>1644</v>
      </c>
      <c r="B427" s="10"/>
      <c r="C427" s="24" t="s">
        <v>1645</v>
      </c>
      <c r="D427" s="15"/>
      <c r="E427" s="15"/>
      <c r="F427" s="25" t="s">
        <v>75</v>
      </c>
      <c r="G427" s="26">
        <v>1.05</v>
      </c>
      <c r="H427" s="15"/>
      <c r="I427" s="26">
        <v>114.408</v>
      </c>
      <c r="J427" s="27">
        <v>0</v>
      </c>
      <c r="M427" s="28">
        <f t="shared" si="32"/>
        <v>0</v>
      </c>
      <c r="P427" s="29">
        <v>1255.04</v>
      </c>
      <c r="S427" s="28">
        <f t="shared" si="33"/>
        <v>143586.62</v>
      </c>
      <c r="V427" s="9">
        <f t="shared" si="34"/>
        <v>1045.8699999999999</v>
      </c>
      <c r="Y427" s="9">
        <f t="shared" si="28"/>
        <v>119655.52</v>
      </c>
      <c r="AD427" s="4" t="s">
        <v>1646</v>
      </c>
      <c r="AE427" s="4" t="s">
        <v>1647</v>
      </c>
      <c r="AF427" s="4" t="s">
        <v>1648</v>
      </c>
    </row>
    <row r="428" spans="1:35" ht="18" x14ac:dyDescent="0.3">
      <c r="A428" s="10" t="s">
        <v>1649</v>
      </c>
      <c r="B428" s="10"/>
      <c r="C428" s="30" t="s">
        <v>1595</v>
      </c>
      <c r="D428" s="15"/>
      <c r="E428" s="15"/>
      <c r="F428" s="25" t="s">
        <v>240</v>
      </c>
      <c r="G428" s="26">
        <v>4.2</v>
      </c>
      <c r="H428" s="15"/>
      <c r="I428" s="26">
        <v>457.63200000000001</v>
      </c>
      <c r="J428" s="27">
        <v>5.41</v>
      </c>
      <c r="M428" s="28">
        <f t="shared" si="32"/>
        <v>2475.79</v>
      </c>
      <c r="P428" s="29">
        <v>5.41</v>
      </c>
      <c r="S428" s="28">
        <f t="shared" si="33"/>
        <v>2475.79</v>
      </c>
      <c r="V428" s="9">
        <f t="shared" si="34"/>
        <v>4.51</v>
      </c>
      <c r="Y428" s="9">
        <f t="shared" si="28"/>
        <v>2063.16</v>
      </c>
      <c r="AD428" s="4" t="s">
        <v>1650</v>
      </c>
      <c r="AE428" s="4" t="s">
        <v>1651</v>
      </c>
      <c r="AF428" s="4" t="s">
        <v>1598</v>
      </c>
    </row>
    <row r="429" spans="1:35" ht="18" x14ac:dyDescent="0.3">
      <c r="A429" s="10" t="s">
        <v>1652</v>
      </c>
      <c r="B429" s="10"/>
      <c r="C429" s="24" t="s">
        <v>1653</v>
      </c>
      <c r="D429" s="15"/>
      <c r="E429" s="15"/>
      <c r="F429" s="25" t="s">
        <v>120</v>
      </c>
      <c r="G429" s="26">
        <v>0.3</v>
      </c>
      <c r="H429" s="15"/>
      <c r="I429" s="26">
        <v>32.688000000000002</v>
      </c>
      <c r="J429" s="27">
        <v>49.04</v>
      </c>
      <c r="M429" s="28">
        <f t="shared" si="32"/>
        <v>1603.02</v>
      </c>
      <c r="P429" s="29">
        <v>49.04</v>
      </c>
      <c r="S429" s="28">
        <f t="shared" si="33"/>
        <v>1603.02</v>
      </c>
      <c r="V429" s="9">
        <f t="shared" si="34"/>
        <v>40.869999999999997</v>
      </c>
      <c r="Y429" s="9">
        <f t="shared" si="28"/>
        <v>1335.85</v>
      </c>
      <c r="AD429" s="4" t="s">
        <v>1654</v>
      </c>
      <c r="AE429" s="4" t="s">
        <v>1655</v>
      </c>
      <c r="AF429" s="4" t="s">
        <v>1656</v>
      </c>
    </row>
    <row r="430" spans="1:35" ht="18" x14ac:dyDescent="0.3">
      <c r="A430" s="10" t="s">
        <v>1657</v>
      </c>
      <c r="B430" s="10"/>
      <c r="C430" s="24" t="s">
        <v>1590</v>
      </c>
      <c r="D430" s="15"/>
      <c r="E430" s="15" t="s">
        <v>1658</v>
      </c>
      <c r="F430" s="25" t="s">
        <v>120</v>
      </c>
      <c r="G430" s="26">
        <v>4.7</v>
      </c>
      <c r="H430" s="15"/>
      <c r="I430" s="26">
        <v>512.11199999999997</v>
      </c>
      <c r="J430" s="27">
        <v>66.98</v>
      </c>
      <c r="M430" s="28">
        <f t="shared" si="32"/>
        <v>34301.26</v>
      </c>
      <c r="P430" s="29">
        <v>164.85</v>
      </c>
      <c r="S430" s="28">
        <f t="shared" si="33"/>
        <v>84421.66</v>
      </c>
      <c r="V430" s="9">
        <f t="shared" si="34"/>
        <v>137.38</v>
      </c>
      <c r="Y430" s="9">
        <f t="shared" si="28"/>
        <v>70351.38</v>
      </c>
      <c r="AD430" s="4" t="s">
        <v>1659</v>
      </c>
      <c r="AE430" s="4" t="s">
        <v>1660</v>
      </c>
      <c r="AF430" s="4" t="s">
        <v>1593</v>
      </c>
    </row>
    <row r="431" spans="1:35" ht="36" x14ac:dyDescent="0.3">
      <c r="A431" s="10" t="s">
        <v>1661</v>
      </c>
      <c r="B431" s="10"/>
      <c r="C431" s="30" t="s">
        <v>1580</v>
      </c>
      <c r="D431" s="15"/>
      <c r="E431" s="15"/>
      <c r="F431" s="25" t="s">
        <v>240</v>
      </c>
      <c r="G431" s="26">
        <v>3.6</v>
      </c>
      <c r="H431" s="15"/>
      <c r="I431" s="26">
        <v>392.25599999999997</v>
      </c>
      <c r="J431" s="27">
        <v>15.9</v>
      </c>
      <c r="M431" s="28">
        <f t="shared" si="32"/>
        <v>6236.87</v>
      </c>
      <c r="P431" s="29">
        <v>15.9</v>
      </c>
      <c r="S431" s="28">
        <f t="shared" si="33"/>
        <v>6236.87</v>
      </c>
      <c r="V431" s="9">
        <f t="shared" si="34"/>
        <v>13.25</v>
      </c>
      <c r="Y431" s="9">
        <f t="shared" si="28"/>
        <v>5197.3900000000003</v>
      </c>
      <c r="AD431" s="4" t="s">
        <v>1662</v>
      </c>
      <c r="AE431" s="4" t="s">
        <v>1663</v>
      </c>
      <c r="AF431" s="4" t="s">
        <v>1583</v>
      </c>
    </row>
    <row r="432" spans="1:35" ht="18" x14ac:dyDescent="0.3">
      <c r="A432" s="10" t="s">
        <v>1664</v>
      </c>
      <c r="B432" s="10"/>
      <c r="C432" s="24" t="s">
        <v>1575</v>
      </c>
      <c r="D432" s="15"/>
      <c r="E432" s="15"/>
      <c r="F432" s="25" t="s">
        <v>240</v>
      </c>
      <c r="G432" s="26">
        <v>0.3</v>
      </c>
      <c r="H432" s="15"/>
      <c r="I432" s="26">
        <v>32.688000000000002</v>
      </c>
      <c r="J432" s="27">
        <v>5.6</v>
      </c>
      <c r="M432" s="28">
        <f t="shared" si="32"/>
        <v>183.05</v>
      </c>
      <c r="P432" s="29">
        <v>5.6</v>
      </c>
      <c r="S432" s="28">
        <f t="shared" si="33"/>
        <v>183.05</v>
      </c>
      <c r="V432" s="9">
        <f t="shared" si="34"/>
        <v>4.67</v>
      </c>
      <c r="Y432" s="9">
        <f t="shared" si="28"/>
        <v>152.54</v>
      </c>
      <c r="AD432" s="4" t="s">
        <v>1665</v>
      </c>
      <c r="AE432" s="4" t="s">
        <v>1666</v>
      </c>
      <c r="AF432" s="4" t="s">
        <v>1578</v>
      </c>
    </row>
    <row r="433" spans="1:35" ht="18" x14ac:dyDescent="0.3">
      <c r="A433" s="10" t="s">
        <v>1667</v>
      </c>
      <c r="B433" s="10"/>
      <c r="C433" s="24" t="s">
        <v>1570</v>
      </c>
      <c r="D433" s="15"/>
      <c r="E433" s="15"/>
      <c r="F433" s="25" t="s">
        <v>159</v>
      </c>
      <c r="G433" s="26">
        <v>0.35</v>
      </c>
      <c r="H433" s="15"/>
      <c r="I433" s="26">
        <v>38.136000000000003</v>
      </c>
      <c r="J433" s="27">
        <v>55</v>
      </c>
      <c r="M433" s="28">
        <f t="shared" si="32"/>
        <v>2097.48</v>
      </c>
      <c r="P433" s="29">
        <v>55</v>
      </c>
      <c r="S433" s="28">
        <f t="shared" si="33"/>
        <v>2097.48</v>
      </c>
      <c r="V433" s="9">
        <f t="shared" si="34"/>
        <v>45.83</v>
      </c>
      <c r="Y433" s="9">
        <f t="shared" si="28"/>
        <v>1747.9</v>
      </c>
      <c r="AD433" s="4" t="s">
        <v>1668</v>
      </c>
      <c r="AE433" s="4" t="s">
        <v>1669</v>
      </c>
      <c r="AF433" s="4" t="s">
        <v>1573</v>
      </c>
    </row>
    <row r="434" spans="1:35" ht="18" x14ac:dyDescent="0.3">
      <c r="A434" s="10" t="s">
        <v>1670</v>
      </c>
      <c r="B434" s="10"/>
      <c r="C434" s="24" t="s">
        <v>1565</v>
      </c>
      <c r="D434" s="15"/>
      <c r="E434" s="15"/>
      <c r="F434" s="25" t="s">
        <v>240</v>
      </c>
      <c r="G434" s="26">
        <v>30</v>
      </c>
      <c r="H434" s="15"/>
      <c r="I434" s="26">
        <v>3268.8</v>
      </c>
      <c r="J434" s="27">
        <v>0.28000000000000003</v>
      </c>
      <c r="M434" s="28">
        <f t="shared" si="32"/>
        <v>915.26</v>
      </c>
      <c r="P434" s="29">
        <v>0.28000000000000003</v>
      </c>
      <c r="S434" s="28">
        <f t="shared" si="33"/>
        <v>915.26</v>
      </c>
      <c r="V434" s="9">
        <f t="shared" si="34"/>
        <v>0.23</v>
      </c>
      <c r="Y434" s="9">
        <f t="shared" si="28"/>
        <v>762.72</v>
      </c>
      <c r="AD434" s="4" t="s">
        <v>1671</v>
      </c>
      <c r="AE434" s="4" t="s">
        <v>1672</v>
      </c>
      <c r="AF434" s="4" t="s">
        <v>1568</v>
      </c>
    </row>
    <row r="435" spans="1:35" ht="18" x14ac:dyDescent="0.3">
      <c r="A435" s="10" t="s">
        <v>1673</v>
      </c>
      <c r="B435" s="10"/>
      <c r="C435" s="24" t="s">
        <v>1560</v>
      </c>
      <c r="D435" s="15"/>
      <c r="E435" s="15"/>
      <c r="F435" s="25" t="s">
        <v>240</v>
      </c>
      <c r="G435" s="26">
        <v>15</v>
      </c>
      <c r="H435" s="15"/>
      <c r="I435" s="26">
        <v>1634.4</v>
      </c>
      <c r="J435" s="27">
        <v>0.95</v>
      </c>
      <c r="M435" s="28">
        <f t="shared" si="32"/>
        <v>1552.68</v>
      </c>
      <c r="P435" s="29">
        <v>0.95</v>
      </c>
      <c r="S435" s="28">
        <f t="shared" si="33"/>
        <v>1552.68</v>
      </c>
      <c r="V435" s="9">
        <f t="shared" si="34"/>
        <v>0.79</v>
      </c>
      <c r="Y435" s="9">
        <f t="shared" si="28"/>
        <v>1293.9000000000001</v>
      </c>
      <c r="AD435" s="4" t="s">
        <v>1674</v>
      </c>
      <c r="AE435" s="4" t="s">
        <v>1675</v>
      </c>
      <c r="AF435" s="4" t="s">
        <v>1563</v>
      </c>
    </row>
    <row r="436" spans="1:35" ht="36" x14ac:dyDescent="0.3">
      <c r="A436" s="10" t="s">
        <v>1676</v>
      </c>
      <c r="B436" s="10" t="s">
        <v>1677</v>
      </c>
      <c r="C436" s="14" t="s">
        <v>1678</v>
      </c>
      <c r="D436" s="15"/>
      <c r="E436" s="15" t="s">
        <v>1679</v>
      </c>
      <c r="F436" s="15" t="s">
        <v>75</v>
      </c>
      <c r="G436" s="16">
        <v>1</v>
      </c>
      <c r="H436" s="15"/>
      <c r="I436" s="16">
        <v>2022.87</v>
      </c>
      <c r="J436" s="17">
        <v>0</v>
      </c>
      <c r="K436" s="18">
        <v>1499</v>
      </c>
      <c r="L436" s="17">
        <f>J436+ROUND(K436, 2)</f>
        <v>1499</v>
      </c>
      <c r="M436" s="17">
        <v>0</v>
      </c>
      <c r="N436" s="17">
        <v>3032282.13</v>
      </c>
      <c r="O436" s="17">
        <f>M436+N436</f>
        <v>3032282.13</v>
      </c>
      <c r="P436" s="17">
        <v>491.29</v>
      </c>
      <c r="Q436" s="19">
        <v>1499</v>
      </c>
      <c r="R436" s="17">
        <f>P436+ROUND(Q436, 2)</f>
        <v>1990.29</v>
      </c>
      <c r="S436" s="17">
        <v>993815.8</v>
      </c>
      <c r="T436" s="17">
        <v>3032282.13</v>
      </c>
      <c r="U436" s="17">
        <f>S436+T436</f>
        <v>4026097.9299999997</v>
      </c>
      <c r="V436" s="9">
        <f>ROUND(P436 / 1.2, 2)</f>
        <v>409.41</v>
      </c>
      <c r="W436" s="9">
        <f>ROUND(Q436 / 1.2, 2)</f>
        <v>1249.17</v>
      </c>
      <c r="X436" s="9">
        <f>ROUND(R436 / 1.2, 2)</f>
        <v>1658.58</v>
      </c>
      <c r="Y436" s="9">
        <f t="shared" si="28"/>
        <v>828179.83</v>
      </c>
      <c r="Z436" s="9">
        <f>ROUND(T436 / 1.2, 2)</f>
        <v>2526901.7799999998</v>
      </c>
      <c r="AA436" s="9">
        <f>Y436+Z436</f>
        <v>3355081.61</v>
      </c>
      <c r="AD436" s="4">
        <v>339118886</v>
      </c>
      <c r="AE436" s="4">
        <v>25887994</v>
      </c>
      <c r="AG436" s="4" t="s">
        <v>1680</v>
      </c>
      <c r="AH436" s="4" t="s">
        <v>1681</v>
      </c>
      <c r="AI436" s="4" t="s">
        <v>156</v>
      </c>
    </row>
    <row r="437" spans="1:35" ht="409.6" x14ac:dyDescent="0.3">
      <c r="A437" s="10" t="s">
        <v>1682</v>
      </c>
      <c r="B437" s="10"/>
      <c r="C437" s="24" t="s">
        <v>1683</v>
      </c>
      <c r="D437" s="15"/>
      <c r="E437" s="15" t="s">
        <v>1684</v>
      </c>
      <c r="F437" s="25" t="s">
        <v>75</v>
      </c>
      <c r="G437" s="26">
        <v>1</v>
      </c>
      <c r="H437" s="15"/>
      <c r="I437" s="26">
        <v>2022.87</v>
      </c>
      <c r="J437" s="27">
        <v>0</v>
      </c>
      <c r="M437" s="28">
        <f>ROUND(ROUND(J437, 2)*I437, 2)</f>
        <v>0</v>
      </c>
      <c r="P437" s="29">
        <v>491.29</v>
      </c>
      <c r="S437" s="28">
        <f>ROUND(ROUND(P437, 2)*I437, 2)</f>
        <v>993815.8</v>
      </c>
      <c r="V437" s="9">
        <f>ROUND(ROUND(P437, 2)/1.2, 2)</f>
        <v>409.41</v>
      </c>
      <c r="Y437" s="9">
        <f t="shared" si="28"/>
        <v>828179.83</v>
      </c>
      <c r="AD437" s="4" t="s">
        <v>1685</v>
      </c>
      <c r="AE437" s="4" t="s">
        <v>1686</v>
      </c>
      <c r="AF437" s="4" t="s">
        <v>1687</v>
      </c>
    </row>
    <row r="438" spans="1:35" ht="36" x14ac:dyDescent="0.3">
      <c r="A438" s="10" t="s">
        <v>1688</v>
      </c>
      <c r="B438" s="10" t="s">
        <v>1677</v>
      </c>
      <c r="C438" s="14" t="s">
        <v>1678</v>
      </c>
      <c r="D438" s="15"/>
      <c r="E438" s="15" t="s">
        <v>1689</v>
      </c>
      <c r="F438" s="15" t="s">
        <v>75</v>
      </c>
      <c r="G438" s="16">
        <v>1</v>
      </c>
      <c r="H438" s="15"/>
      <c r="I438" s="16">
        <v>2125.83</v>
      </c>
      <c r="J438" s="17">
        <v>0</v>
      </c>
      <c r="K438" s="18">
        <v>1499</v>
      </c>
      <c r="L438" s="17">
        <f>J438+ROUND(K438, 2)</f>
        <v>1499</v>
      </c>
      <c r="M438" s="17">
        <v>0</v>
      </c>
      <c r="N438" s="17">
        <v>3186619.17</v>
      </c>
      <c r="O438" s="17">
        <f>M438+N438</f>
        <v>3186619.17</v>
      </c>
      <c r="P438" s="17">
        <v>2784.75</v>
      </c>
      <c r="Q438" s="19">
        <v>1499</v>
      </c>
      <c r="R438" s="17">
        <f>P438+ROUND(Q438, 2)</f>
        <v>4283.75</v>
      </c>
      <c r="S438" s="17">
        <v>5919905.0899999999</v>
      </c>
      <c r="T438" s="17">
        <v>3186619.17</v>
      </c>
      <c r="U438" s="17">
        <f>S438+T438</f>
        <v>9106524.2599999998</v>
      </c>
      <c r="V438" s="9">
        <f>ROUND(P438 / 1.2, 2)</f>
        <v>2320.63</v>
      </c>
      <c r="W438" s="9">
        <f>ROUND(Q438 / 1.2, 2)</f>
        <v>1249.17</v>
      </c>
      <c r="X438" s="9">
        <f>ROUND(R438 / 1.2, 2)</f>
        <v>3569.79</v>
      </c>
      <c r="Y438" s="9">
        <f t="shared" si="28"/>
        <v>4933254.24</v>
      </c>
      <c r="Z438" s="9">
        <f>ROUND(T438 / 1.2, 2)</f>
        <v>2655515.98</v>
      </c>
      <c r="AA438" s="9">
        <f>Y438+Z438</f>
        <v>7588770.2200000007</v>
      </c>
      <c r="AD438" s="4">
        <v>339118947</v>
      </c>
      <c r="AE438" s="4">
        <v>25888029</v>
      </c>
      <c r="AG438" s="4" t="s">
        <v>1680</v>
      </c>
      <c r="AH438" s="4" t="s">
        <v>1681</v>
      </c>
      <c r="AI438" s="4" t="s">
        <v>156</v>
      </c>
    </row>
    <row r="439" spans="1:35" ht="324" x14ac:dyDescent="0.3">
      <c r="A439" s="10" t="s">
        <v>1690</v>
      </c>
      <c r="B439" s="10"/>
      <c r="C439" s="24" t="s">
        <v>1683</v>
      </c>
      <c r="D439" s="15"/>
      <c r="E439" s="15" t="s">
        <v>1691</v>
      </c>
      <c r="F439" s="25" t="s">
        <v>75</v>
      </c>
      <c r="G439" s="26">
        <v>1</v>
      </c>
      <c r="H439" s="15"/>
      <c r="I439" s="26">
        <v>2125.83</v>
      </c>
      <c r="J439" s="27">
        <v>0</v>
      </c>
      <c r="M439" s="28">
        <f>ROUND(ROUND(J439, 2)*I439, 2)</f>
        <v>0</v>
      </c>
      <c r="P439" s="29">
        <v>2784.75</v>
      </c>
      <c r="S439" s="28">
        <f>ROUND(ROUND(P439, 2)*I439, 2)</f>
        <v>5919905.0899999999</v>
      </c>
      <c r="V439" s="9">
        <f>ROUND(ROUND(P439, 2)/1.2, 2)</f>
        <v>2320.63</v>
      </c>
      <c r="Y439" s="9">
        <f t="shared" si="28"/>
        <v>4933254.24</v>
      </c>
      <c r="AD439" s="4" t="s">
        <v>1692</v>
      </c>
      <c r="AE439" s="4" t="s">
        <v>1693</v>
      </c>
      <c r="AF439" s="4" t="s">
        <v>1687</v>
      </c>
    </row>
    <row r="440" spans="1:35" ht="36" x14ac:dyDescent="0.3">
      <c r="A440" s="10" t="s">
        <v>1694</v>
      </c>
      <c r="B440" s="10" t="s">
        <v>1695</v>
      </c>
      <c r="C440" s="14" t="s">
        <v>1696</v>
      </c>
      <c r="D440" s="15"/>
      <c r="E440" s="15" t="s">
        <v>1697</v>
      </c>
      <c r="F440" s="15" t="s">
        <v>75</v>
      </c>
      <c r="G440" s="16">
        <v>1</v>
      </c>
      <c r="H440" s="15"/>
      <c r="I440" s="16">
        <v>220.44</v>
      </c>
      <c r="J440" s="17">
        <v>0</v>
      </c>
      <c r="K440" s="18">
        <v>1312</v>
      </c>
      <c r="L440" s="17">
        <f>J440+ROUND(K440, 2)</f>
        <v>1312</v>
      </c>
      <c r="M440" s="17">
        <v>0</v>
      </c>
      <c r="N440" s="17">
        <v>289217.28000000003</v>
      </c>
      <c r="O440" s="17">
        <f>M440+N440</f>
        <v>289217.28000000003</v>
      </c>
      <c r="P440" s="17">
        <v>1289.0999999999999</v>
      </c>
      <c r="Q440" s="19">
        <v>1312</v>
      </c>
      <c r="R440" s="17">
        <f>P440+ROUND(Q440, 2)</f>
        <v>2601.1</v>
      </c>
      <c r="S440" s="17">
        <v>284169.2</v>
      </c>
      <c r="T440" s="17">
        <v>289217.28000000003</v>
      </c>
      <c r="U440" s="17">
        <f>S440+T440</f>
        <v>573386.48</v>
      </c>
      <c r="V440" s="9">
        <f>ROUND(P440 / 1.2, 2)</f>
        <v>1074.25</v>
      </c>
      <c r="W440" s="9">
        <f>ROUND(Q440 / 1.2, 2)</f>
        <v>1093.33</v>
      </c>
      <c r="X440" s="9">
        <f>ROUND(R440 / 1.2, 2)</f>
        <v>2167.58</v>
      </c>
      <c r="Y440" s="9">
        <f t="shared" si="28"/>
        <v>236807.67</v>
      </c>
      <c r="Z440" s="9">
        <f>ROUND(T440 / 1.2, 2)</f>
        <v>241014.39999999999</v>
      </c>
      <c r="AA440" s="9">
        <f>Y440+Z440</f>
        <v>477822.07</v>
      </c>
      <c r="AD440" s="4">
        <v>339118887</v>
      </c>
      <c r="AE440" s="4">
        <v>25888022</v>
      </c>
      <c r="AG440" s="4" t="s">
        <v>1698</v>
      </c>
      <c r="AH440" s="4" t="s">
        <v>1699</v>
      </c>
      <c r="AI440" s="4" t="s">
        <v>156</v>
      </c>
    </row>
    <row r="441" spans="1:35" ht="234" x14ac:dyDescent="0.3">
      <c r="A441" s="10" t="s">
        <v>1700</v>
      </c>
      <c r="B441" s="10"/>
      <c r="C441" s="24" t="s">
        <v>1701</v>
      </c>
      <c r="D441" s="15"/>
      <c r="E441" s="15" t="s">
        <v>1702</v>
      </c>
      <c r="F441" s="25" t="s">
        <v>75</v>
      </c>
      <c r="G441" s="26">
        <v>1</v>
      </c>
      <c r="H441" s="15"/>
      <c r="I441" s="32">
        <v>243</v>
      </c>
      <c r="J441" s="27">
        <v>0</v>
      </c>
      <c r="M441" s="28">
        <f>ROUND(ROUND(J441, 2)*I441, 2)</f>
        <v>0</v>
      </c>
      <c r="P441" s="29">
        <v>1169.42</v>
      </c>
      <c r="S441" s="28">
        <f>ROUND(ROUND(P441, 2)*I441, 2)</f>
        <v>284169.06</v>
      </c>
      <c r="V441" s="9">
        <f>ROUND(ROUND(P441, 2)/1.2, 2)</f>
        <v>974.52</v>
      </c>
      <c r="Y441" s="9">
        <f t="shared" si="28"/>
        <v>236807.55</v>
      </c>
      <c r="AD441" s="4" t="s">
        <v>1703</v>
      </c>
      <c r="AE441" s="4" t="s">
        <v>1704</v>
      </c>
      <c r="AF441" s="4" t="s">
        <v>1705</v>
      </c>
    </row>
    <row r="442" spans="1:35" ht="54" x14ac:dyDescent="0.3">
      <c r="A442" s="10" t="s">
        <v>1706</v>
      </c>
      <c r="B442" s="10" t="s">
        <v>1707</v>
      </c>
      <c r="C442" s="14" t="s">
        <v>1708</v>
      </c>
      <c r="D442" s="15"/>
      <c r="E442" s="15" t="s">
        <v>1454</v>
      </c>
      <c r="F442" s="15" t="s">
        <v>75</v>
      </c>
      <c r="G442" s="16">
        <v>1</v>
      </c>
      <c r="H442" s="15"/>
      <c r="I442" s="16">
        <v>259.14</v>
      </c>
      <c r="J442" s="17">
        <v>0</v>
      </c>
      <c r="K442" s="18">
        <v>121</v>
      </c>
      <c r="L442" s="17">
        <f t="shared" ref="L442:L449" si="35">J442+ROUND(K442, 2)</f>
        <v>121</v>
      </c>
      <c r="M442" s="17">
        <v>0</v>
      </c>
      <c r="N442" s="17">
        <v>31355.94</v>
      </c>
      <c r="O442" s="17">
        <f t="shared" ref="O442:O449" si="36">M442+N442</f>
        <v>31355.94</v>
      </c>
      <c r="P442" s="17">
        <v>0</v>
      </c>
      <c r="Q442" s="19">
        <v>121</v>
      </c>
      <c r="R442" s="17">
        <f t="shared" ref="R442:R449" si="37">P442+ROUND(Q442, 2)</f>
        <v>121</v>
      </c>
      <c r="S442" s="17">
        <v>0</v>
      </c>
      <c r="T442" s="17">
        <v>31355.94</v>
      </c>
      <c r="U442" s="17">
        <f t="shared" ref="U442:U449" si="38">S442+T442</f>
        <v>31355.94</v>
      </c>
      <c r="V442" s="9"/>
      <c r="W442" s="9">
        <f t="shared" ref="W442:X449" si="39">ROUND(Q442 / 1.2, 2)</f>
        <v>100.83</v>
      </c>
      <c r="X442" s="9">
        <f t="shared" si="39"/>
        <v>100.83</v>
      </c>
      <c r="Y442" s="9"/>
      <c r="Z442" s="9">
        <f t="shared" ref="Z442:Z449" si="40">ROUND(T442 / 1.2, 2)</f>
        <v>26129.95</v>
      </c>
      <c r="AA442" s="9">
        <f t="shared" ref="AA442:AA449" si="41">Y442+Z442</f>
        <v>26129.95</v>
      </c>
      <c r="AD442" s="4">
        <v>339118889</v>
      </c>
      <c r="AE442" s="4">
        <v>25888032</v>
      </c>
      <c r="AG442" s="4" t="s">
        <v>1709</v>
      </c>
      <c r="AH442" s="4" t="s">
        <v>1710</v>
      </c>
      <c r="AI442" s="4" t="s">
        <v>156</v>
      </c>
    </row>
    <row r="443" spans="1:35" ht="54" x14ac:dyDescent="0.3">
      <c r="A443" s="10" t="s">
        <v>1711</v>
      </c>
      <c r="B443" s="10" t="s">
        <v>1707</v>
      </c>
      <c r="C443" s="14" t="s">
        <v>1708</v>
      </c>
      <c r="D443" s="15"/>
      <c r="E443" s="15" t="s">
        <v>1697</v>
      </c>
      <c r="F443" s="15" t="s">
        <v>75</v>
      </c>
      <c r="G443" s="16">
        <v>1</v>
      </c>
      <c r="H443" s="15"/>
      <c r="I443" s="16">
        <v>220.44</v>
      </c>
      <c r="J443" s="17">
        <v>0</v>
      </c>
      <c r="K443" s="18">
        <v>121</v>
      </c>
      <c r="L443" s="17">
        <f t="shared" si="35"/>
        <v>121</v>
      </c>
      <c r="M443" s="17">
        <v>0</v>
      </c>
      <c r="N443" s="17">
        <v>26673.24</v>
      </c>
      <c r="O443" s="17">
        <f t="shared" si="36"/>
        <v>26673.24</v>
      </c>
      <c r="P443" s="17">
        <v>0</v>
      </c>
      <c r="Q443" s="19">
        <v>121</v>
      </c>
      <c r="R443" s="17">
        <f t="shared" si="37"/>
        <v>121</v>
      </c>
      <c r="S443" s="17">
        <v>0</v>
      </c>
      <c r="T443" s="17">
        <v>26673.24</v>
      </c>
      <c r="U443" s="17">
        <f t="shared" si="38"/>
        <v>26673.24</v>
      </c>
      <c r="V443" s="9"/>
      <c r="W443" s="9">
        <f t="shared" si="39"/>
        <v>100.83</v>
      </c>
      <c r="X443" s="9">
        <f t="shared" si="39"/>
        <v>100.83</v>
      </c>
      <c r="Y443" s="9"/>
      <c r="Z443" s="9">
        <f t="shared" si="40"/>
        <v>22227.7</v>
      </c>
      <c r="AA443" s="9">
        <f t="shared" si="41"/>
        <v>22227.7</v>
      </c>
      <c r="AD443" s="4">
        <v>339118948</v>
      </c>
      <c r="AE443" s="4">
        <v>25888023</v>
      </c>
      <c r="AG443" s="4" t="s">
        <v>1709</v>
      </c>
      <c r="AH443" s="4" t="s">
        <v>1710</v>
      </c>
      <c r="AI443" s="4" t="s">
        <v>156</v>
      </c>
    </row>
    <row r="444" spans="1:35" ht="54" x14ac:dyDescent="0.3">
      <c r="A444" s="10" t="s">
        <v>1712</v>
      </c>
      <c r="B444" s="10" t="s">
        <v>1707</v>
      </c>
      <c r="C444" s="14" t="s">
        <v>1708</v>
      </c>
      <c r="D444" s="15"/>
      <c r="E444" s="15" t="s">
        <v>1679</v>
      </c>
      <c r="F444" s="15" t="s">
        <v>75</v>
      </c>
      <c r="G444" s="16">
        <v>1</v>
      </c>
      <c r="H444" s="15"/>
      <c r="I444" s="16">
        <v>2022.87</v>
      </c>
      <c r="J444" s="17">
        <v>0</v>
      </c>
      <c r="K444" s="18">
        <v>121</v>
      </c>
      <c r="L444" s="17">
        <f t="shared" si="35"/>
        <v>121</v>
      </c>
      <c r="M444" s="17">
        <v>0</v>
      </c>
      <c r="N444" s="17">
        <v>244767.27</v>
      </c>
      <c r="O444" s="17">
        <f t="shared" si="36"/>
        <v>244767.27</v>
      </c>
      <c r="P444" s="17">
        <v>0</v>
      </c>
      <c r="Q444" s="19">
        <v>121</v>
      </c>
      <c r="R444" s="17">
        <f t="shared" si="37"/>
        <v>121</v>
      </c>
      <c r="S444" s="17">
        <v>0</v>
      </c>
      <c r="T444" s="17">
        <v>244767.27</v>
      </c>
      <c r="U444" s="17">
        <f t="shared" si="38"/>
        <v>244767.27</v>
      </c>
      <c r="V444" s="9"/>
      <c r="W444" s="9">
        <f t="shared" si="39"/>
        <v>100.83</v>
      </c>
      <c r="X444" s="9">
        <f t="shared" si="39"/>
        <v>100.83</v>
      </c>
      <c r="Y444" s="9"/>
      <c r="Z444" s="9">
        <f t="shared" si="40"/>
        <v>203972.73</v>
      </c>
      <c r="AA444" s="9">
        <f t="shared" si="41"/>
        <v>203972.73</v>
      </c>
      <c r="AD444" s="4">
        <v>339118949</v>
      </c>
      <c r="AE444" s="4">
        <v>25887995</v>
      </c>
      <c r="AG444" s="4" t="s">
        <v>1709</v>
      </c>
      <c r="AH444" s="4" t="s">
        <v>1710</v>
      </c>
      <c r="AI444" s="4" t="s">
        <v>156</v>
      </c>
    </row>
    <row r="445" spans="1:35" ht="54" x14ac:dyDescent="0.3">
      <c r="A445" s="10" t="s">
        <v>1713</v>
      </c>
      <c r="B445" s="10" t="s">
        <v>1707</v>
      </c>
      <c r="C445" s="14" t="s">
        <v>1708</v>
      </c>
      <c r="D445" s="15"/>
      <c r="E445" s="15" t="s">
        <v>1689</v>
      </c>
      <c r="F445" s="15" t="s">
        <v>75</v>
      </c>
      <c r="G445" s="16">
        <v>1</v>
      </c>
      <c r="H445" s="15"/>
      <c r="I445" s="16">
        <v>2125.83</v>
      </c>
      <c r="J445" s="17">
        <v>0</v>
      </c>
      <c r="K445" s="18">
        <v>121</v>
      </c>
      <c r="L445" s="17">
        <f t="shared" si="35"/>
        <v>121</v>
      </c>
      <c r="M445" s="17">
        <v>0</v>
      </c>
      <c r="N445" s="17">
        <v>257225.43</v>
      </c>
      <c r="O445" s="17">
        <f t="shared" si="36"/>
        <v>257225.43</v>
      </c>
      <c r="P445" s="17">
        <v>0</v>
      </c>
      <c r="Q445" s="19">
        <v>121</v>
      </c>
      <c r="R445" s="17">
        <f t="shared" si="37"/>
        <v>121</v>
      </c>
      <c r="S445" s="17">
        <v>0</v>
      </c>
      <c r="T445" s="17">
        <v>257225.43</v>
      </c>
      <c r="U445" s="17">
        <f t="shared" si="38"/>
        <v>257225.43</v>
      </c>
      <c r="V445" s="9"/>
      <c r="W445" s="9">
        <f t="shared" si="39"/>
        <v>100.83</v>
      </c>
      <c r="X445" s="9">
        <f t="shared" si="39"/>
        <v>100.83</v>
      </c>
      <c r="Y445" s="9"/>
      <c r="Z445" s="9">
        <f t="shared" si="40"/>
        <v>214354.53</v>
      </c>
      <c r="AA445" s="9">
        <f t="shared" si="41"/>
        <v>214354.53</v>
      </c>
      <c r="AD445" s="4">
        <v>339118950</v>
      </c>
      <c r="AE445" s="4">
        <v>25888030</v>
      </c>
      <c r="AG445" s="4" t="s">
        <v>1709</v>
      </c>
      <c r="AH445" s="4" t="s">
        <v>1710</v>
      </c>
      <c r="AI445" s="4" t="s">
        <v>156</v>
      </c>
    </row>
    <row r="446" spans="1:35" ht="54" x14ac:dyDescent="0.3">
      <c r="A446" s="10" t="s">
        <v>1714</v>
      </c>
      <c r="B446" s="10" t="s">
        <v>1707</v>
      </c>
      <c r="C446" s="14" t="s">
        <v>1708</v>
      </c>
      <c r="D446" s="15"/>
      <c r="E446" s="15" t="s">
        <v>1399</v>
      </c>
      <c r="F446" s="15" t="s">
        <v>75</v>
      </c>
      <c r="G446" s="16">
        <v>1</v>
      </c>
      <c r="H446" s="15"/>
      <c r="I446" s="16">
        <v>465.96</v>
      </c>
      <c r="J446" s="17">
        <v>0</v>
      </c>
      <c r="K446" s="18">
        <v>121</v>
      </c>
      <c r="L446" s="17">
        <f t="shared" si="35"/>
        <v>121</v>
      </c>
      <c r="M446" s="17">
        <v>0</v>
      </c>
      <c r="N446" s="17">
        <v>56381.16</v>
      </c>
      <c r="O446" s="17">
        <f t="shared" si="36"/>
        <v>56381.16</v>
      </c>
      <c r="P446" s="17">
        <v>0</v>
      </c>
      <c r="Q446" s="19">
        <v>121</v>
      </c>
      <c r="R446" s="17">
        <f t="shared" si="37"/>
        <v>121</v>
      </c>
      <c r="S446" s="17">
        <v>0</v>
      </c>
      <c r="T446" s="17">
        <v>56381.16</v>
      </c>
      <c r="U446" s="17">
        <f t="shared" si="38"/>
        <v>56381.16</v>
      </c>
      <c r="V446" s="9"/>
      <c r="W446" s="9">
        <f t="shared" si="39"/>
        <v>100.83</v>
      </c>
      <c r="X446" s="9">
        <f t="shared" si="39"/>
        <v>100.83</v>
      </c>
      <c r="Y446" s="9"/>
      <c r="Z446" s="9">
        <f t="shared" si="40"/>
        <v>46984.3</v>
      </c>
      <c r="AA446" s="9">
        <f t="shared" si="41"/>
        <v>46984.3</v>
      </c>
      <c r="AD446" s="4">
        <v>339118951</v>
      </c>
      <c r="AE446" s="4">
        <v>25888028</v>
      </c>
      <c r="AG446" s="4" t="s">
        <v>1709</v>
      </c>
      <c r="AH446" s="4" t="s">
        <v>1710</v>
      </c>
      <c r="AI446" s="4" t="s">
        <v>156</v>
      </c>
    </row>
    <row r="447" spans="1:35" ht="54" x14ac:dyDescent="0.3">
      <c r="A447" s="10" t="s">
        <v>1715</v>
      </c>
      <c r="B447" s="10" t="s">
        <v>1707</v>
      </c>
      <c r="C447" s="14" t="s">
        <v>1708</v>
      </c>
      <c r="D447" s="15"/>
      <c r="E447" s="15" t="s">
        <v>1411</v>
      </c>
      <c r="F447" s="15" t="s">
        <v>75</v>
      </c>
      <c r="G447" s="16">
        <v>1</v>
      </c>
      <c r="H447" s="15"/>
      <c r="I447" s="16">
        <v>108.96</v>
      </c>
      <c r="J447" s="17">
        <v>0</v>
      </c>
      <c r="K447" s="18">
        <v>121</v>
      </c>
      <c r="L447" s="17">
        <f t="shared" si="35"/>
        <v>121</v>
      </c>
      <c r="M447" s="17">
        <v>0</v>
      </c>
      <c r="N447" s="17">
        <v>13184.16</v>
      </c>
      <c r="O447" s="17">
        <f t="shared" si="36"/>
        <v>13184.16</v>
      </c>
      <c r="P447" s="17">
        <v>0</v>
      </c>
      <c r="Q447" s="19">
        <v>121</v>
      </c>
      <c r="R447" s="17">
        <f t="shared" si="37"/>
        <v>121</v>
      </c>
      <c r="S447" s="17">
        <v>0</v>
      </c>
      <c r="T447" s="17">
        <v>13184.16</v>
      </c>
      <c r="U447" s="17">
        <f t="shared" si="38"/>
        <v>13184.16</v>
      </c>
      <c r="V447" s="9"/>
      <c r="W447" s="9">
        <f t="shared" si="39"/>
        <v>100.83</v>
      </c>
      <c r="X447" s="9">
        <f t="shared" si="39"/>
        <v>100.83</v>
      </c>
      <c r="Y447" s="9"/>
      <c r="Z447" s="9">
        <f t="shared" si="40"/>
        <v>10986.8</v>
      </c>
      <c r="AA447" s="9">
        <f t="shared" si="41"/>
        <v>10986.8</v>
      </c>
      <c r="AD447" s="4">
        <v>339118952</v>
      </c>
      <c r="AE447" s="4">
        <v>25887999</v>
      </c>
      <c r="AG447" s="4" t="s">
        <v>1709</v>
      </c>
      <c r="AH447" s="4" t="s">
        <v>1710</v>
      </c>
      <c r="AI447" s="4" t="s">
        <v>156</v>
      </c>
    </row>
    <row r="448" spans="1:35" ht="54" x14ac:dyDescent="0.3">
      <c r="A448" s="11" t="s">
        <v>1716</v>
      </c>
      <c r="B448" s="11" t="s">
        <v>1707</v>
      </c>
      <c r="C448" s="20" t="s">
        <v>1708</v>
      </c>
      <c r="D448" s="21"/>
      <c r="E448" s="21" t="s">
        <v>1717</v>
      </c>
      <c r="F448" s="21" t="s">
        <v>75</v>
      </c>
      <c r="G448" s="22">
        <v>1</v>
      </c>
      <c r="H448" s="21"/>
      <c r="I448" s="22">
        <v>116.67</v>
      </c>
      <c r="J448" s="23">
        <v>0</v>
      </c>
      <c r="K448" s="23">
        <v>121</v>
      </c>
      <c r="L448" s="23">
        <f t="shared" si="35"/>
        <v>121</v>
      </c>
      <c r="M448" s="23">
        <v>0</v>
      </c>
      <c r="N448" s="23">
        <v>14117.07</v>
      </c>
      <c r="O448" s="23">
        <f t="shared" si="36"/>
        <v>14117.07</v>
      </c>
      <c r="P448" s="23">
        <v>0</v>
      </c>
      <c r="Q448" s="23">
        <v>121</v>
      </c>
      <c r="R448" s="23">
        <f t="shared" si="37"/>
        <v>121</v>
      </c>
      <c r="S448" s="23">
        <v>0</v>
      </c>
      <c r="T448" s="23">
        <v>14117.07</v>
      </c>
      <c r="U448" s="23">
        <f t="shared" si="38"/>
        <v>14117.07</v>
      </c>
      <c r="V448" s="9"/>
      <c r="W448" s="9">
        <f t="shared" si="39"/>
        <v>100.83</v>
      </c>
      <c r="X448" s="9">
        <f t="shared" si="39"/>
        <v>100.83</v>
      </c>
      <c r="Y448" s="9"/>
      <c r="Z448" s="9">
        <f t="shared" si="40"/>
        <v>11764.23</v>
      </c>
      <c r="AA448" s="9">
        <f t="shared" si="41"/>
        <v>11764.23</v>
      </c>
      <c r="AD448" s="4">
        <v>339118953</v>
      </c>
      <c r="AE448" s="4">
        <v>28951765</v>
      </c>
      <c r="AG448" s="4" t="s">
        <v>1709</v>
      </c>
      <c r="AH448" s="4" t="s">
        <v>1710</v>
      </c>
      <c r="AI448" s="4" t="s">
        <v>156</v>
      </c>
    </row>
    <row r="449" spans="1:35" ht="54" x14ac:dyDescent="0.3">
      <c r="A449" s="11" t="s">
        <v>1718</v>
      </c>
      <c r="B449" s="11" t="s">
        <v>1719</v>
      </c>
      <c r="C449" s="20" t="s">
        <v>1720</v>
      </c>
      <c r="D449" s="21"/>
      <c r="E449" s="21" t="s">
        <v>1721</v>
      </c>
      <c r="F449" s="21" t="s">
        <v>75</v>
      </c>
      <c r="G449" s="22">
        <v>1</v>
      </c>
      <c r="H449" s="21"/>
      <c r="I449" s="22">
        <v>23.11</v>
      </c>
      <c r="J449" s="23">
        <v>424.65</v>
      </c>
      <c r="K449" s="23">
        <v>1379</v>
      </c>
      <c r="L449" s="23">
        <f t="shared" si="35"/>
        <v>1803.65</v>
      </c>
      <c r="M449" s="23">
        <v>9813.66</v>
      </c>
      <c r="N449" s="23">
        <v>31868.69</v>
      </c>
      <c r="O449" s="23">
        <f t="shared" si="36"/>
        <v>41682.35</v>
      </c>
      <c r="P449" s="23">
        <v>2163.4899999999998</v>
      </c>
      <c r="Q449" s="23">
        <v>1379</v>
      </c>
      <c r="R449" s="23">
        <f t="shared" si="37"/>
        <v>3542.49</v>
      </c>
      <c r="S449" s="23">
        <v>49998.25</v>
      </c>
      <c r="T449" s="23">
        <v>31868.69</v>
      </c>
      <c r="U449" s="23">
        <f t="shared" si="38"/>
        <v>81866.94</v>
      </c>
      <c r="V449" s="9">
        <f>ROUND(P449 / 1.2, 2)</f>
        <v>1802.91</v>
      </c>
      <c r="W449" s="9">
        <f t="shared" si="39"/>
        <v>1149.17</v>
      </c>
      <c r="X449" s="9">
        <f t="shared" si="39"/>
        <v>2952.08</v>
      </c>
      <c r="Y449" s="9">
        <f t="shared" ref="Y449:Y463" si="42">ROUND(S449 / 1.2, 2)</f>
        <v>41665.21</v>
      </c>
      <c r="Z449" s="9">
        <f t="shared" si="40"/>
        <v>26557.24</v>
      </c>
      <c r="AA449" s="9">
        <f t="shared" si="41"/>
        <v>68222.45</v>
      </c>
      <c r="AD449" s="4">
        <v>339118891</v>
      </c>
      <c r="AE449" s="4">
        <v>28951762</v>
      </c>
      <c r="AG449" s="4" t="s">
        <v>1722</v>
      </c>
      <c r="AH449" s="4" t="s">
        <v>1723</v>
      </c>
      <c r="AI449" s="4" t="s">
        <v>156</v>
      </c>
    </row>
    <row r="450" spans="1:35" ht="36" x14ac:dyDescent="0.3">
      <c r="A450" s="11" t="s">
        <v>1724</v>
      </c>
      <c r="B450" s="11"/>
      <c r="C450" s="33" t="s">
        <v>1725</v>
      </c>
      <c r="D450" s="21"/>
      <c r="E450" s="21"/>
      <c r="F450" s="34" t="s">
        <v>240</v>
      </c>
      <c r="G450" s="35">
        <v>1.5</v>
      </c>
      <c r="H450" s="21"/>
      <c r="I450" s="35">
        <v>34.664999999999999</v>
      </c>
      <c r="J450" s="37">
        <v>7.32</v>
      </c>
      <c r="K450" s="12"/>
      <c r="L450" s="12"/>
      <c r="M450" s="37">
        <f t="shared" ref="M450:M461" si="43">ROUND(ROUND(J450, 2)*I450, 2)</f>
        <v>253.75</v>
      </c>
      <c r="N450" s="12"/>
      <c r="O450" s="12"/>
      <c r="P450" s="37">
        <v>7.32</v>
      </c>
      <c r="Q450" s="12"/>
      <c r="R450" s="12"/>
      <c r="S450" s="37">
        <f t="shared" ref="S450:S461" si="44">ROUND(ROUND(P450, 2)*I450, 2)</f>
        <v>253.75</v>
      </c>
      <c r="T450" s="12"/>
      <c r="U450" s="38"/>
      <c r="V450" s="9">
        <f t="shared" ref="V450:V461" si="45">ROUND(ROUND(P450, 2)/1.2, 2)</f>
        <v>6.1</v>
      </c>
      <c r="Y450" s="9">
        <f t="shared" si="42"/>
        <v>211.46</v>
      </c>
      <c r="AD450" s="4" t="s">
        <v>1726</v>
      </c>
      <c r="AE450" s="4" t="s">
        <v>1727</v>
      </c>
      <c r="AF450" s="4" t="s">
        <v>1728</v>
      </c>
    </row>
    <row r="451" spans="1:35" ht="18" x14ac:dyDescent="0.3">
      <c r="A451" s="11" t="s">
        <v>1729</v>
      </c>
      <c r="B451" s="11"/>
      <c r="C451" s="33" t="s">
        <v>1560</v>
      </c>
      <c r="D451" s="21"/>
      <c r="E451" s="21"/>
      <c r="F451" s="34" t="s">
        <v>240</v>
      </c>
      <c r="G451" s="35">
        <v>15</v>
      </c>
      <c r="H451" s="21"/>
      <c r="I451" s="35">
        <v>346.65</v>
      </c>
      <c r="J451" s="37">
        <v>0.96</v>
      </c>
      <c r="K451" s="12"/>
      <c r="L451" s="12"/>
      <c r="M451" s="37">
        <f t="shared" si="43"/>
        <v>332.78</v>
      </c>
      <c r="N451" s="12"/>
      <c r="O451" s="12"/>
      <c r="P451" s="37">
        <v>0.96</v>
      </c>
      <c r="Q451" s="12"/>
      <c r="R451" s="12"/>
      <c r="S451" s="37">
        <f t="shared" si="44"/>
        <v>332.78</v>
      </c>
      <c r="T451" s="12"/>
      <c r="U451" s="38"/>
      <c r="V451" s="9">
        <f t="shared" si="45"/>
        <v>0.8</v>
      </c>
      <c r="Y451" s="9">
        <f t="shared" si="42"/>
        <v>277.32</v>
      </c>
      <c r="AD451" s="4" t="s">
        <v>1730</v>
      </c>
      <c r="AE451" s="4" t="s">
        <v>1731</v>
      </c>
      <c r="AF451" s="4" t="s">
        <v>1563</v>
      </c>
    </row>
    <row r="452" spans="1:35" ht="18" x14ac:dyDescent="0.3">
      <c r="A452" s="11" t="s">
        <v>1732</v>
      </c>
      <c r="B452" s="11"/>
      <c r="C452" s="33" t="s">
        <v>1653</v>
      </c>
      <c r="D452" s="21"/>
      <c r="E452" s="21"/>
      <c r="F452" s="34" t="s">
        <v>120</v>
      </c>
      <c r="G452" s="35">
        <v>0.3</v>
      </c>
      <c r="H452" s="21"/>
      <c r="I452" s="35">
        <v>6.9329999999999998</v>
      </c>
      <c r="J452" s="37">
        <v>44.87</v>
      </c>
      <c r="K452" s="12"/>
      <c r="L452" s="12"/>
      <c r="M452" s="37">
        <f t="shared" si="43"/>
        <v>311.08</v>
      </c>
      <c r="N452" s="12"/>
      <c r="O452" s="12"/>
      <c r="P452" s="37">
        <v>44.87</v>
      </c>
      <c r="Q452" s="12"/>
      <c r="R452" s="12"/>
      <c r="S452" s="37">
        <f t="shared" si="44"/>
        <v>311.08</v>
      </c>
      <c r="T452" s="12"/>
      <c r="U452" s="38"/>
      <c r="V452" s="9">
        <f t="shared" si="45"/>
        <v>37.39</v>
      </c>
      <c r="Y452" s="9">
        <f t="shared" si="42"/>
        <v>259.23</v>
      </c>
      <c r="AD452" s="4" t="s">
        <v>1733</v>
      </c>
      <c r="AE452" s="4" t="s">
        <v>1734</v>
      </c>
      <c r="AF452" s="4" t="s">
        <v>1656</v>
      </c>
    </row>
    <row r="453" spans="1:35" ht="18" x14ac:dyDescent="0.3">
      <c r="A453" s="11" t="s">
        <v>1735</v>
      </c>
      <c r="B453" s="11"/>
      <c r="C453" s="33" t="s">
        <v>1590</v>
      </c>
      <c r="D453" s="21"/>
      <c r="E453" s="21"/>
      <c r="F453" s="34" t="s">
        <v>120</v>
      </c>
      <c r="G453" s="35">
        <v>4.7</v>
      </c>
      <c r="H453" s="21"/>
      <c r="I453" s="35">
        <v>108.617</v>
      </c>
      <c r="J453" s="37">
        <v>68.099999999999994</v>
      </c>
      <c r="K453" s="12"/>
      <c r="L453" s="12"/>
      <c r="M453" s="37">
        <f t="shared" si="43"/>
        <v>7396.82</v>
      </c>
      <c r="N453" s="12"/>
      <c r="O453" s="12"/>
      <c r="P453" s="37">
        <v>68.099999999999994</v>
      </c>
      <c r="Q453" s="12"/>
      <c r="R453" s="12"/>
      <c r="S453" s="37">
        <f t="shared" si="44"/>
        <v>7396.82</v>
      </c>
      <c r="T453" s="12"/>
      <c r="U453" s="38"/>
      <c r="V453" s="9">
        <f t="shared" si="45"/>
        <v>56.75</v>
      </c>
      <c r="Y453" s="9">
        <f t="shared" si="42"/>
        <v>6164.02</v>
      </c>
      <c r="AD453" s="4" t="s">
        <v>1736</v>
      </c>
      <c r="AE453" s="4" t="s">
        <v>1737</v>
      </c>
      <c r="AF453" s="4" t="s">
        <v>1593</v>
      </c>
    </row>
    <row r="454" spans="1:35" ht="18" x14ac:dyDescent="0.3">
      <c r="A454" s="11" t="s">
        <v>1738</v>
      </c>
      <c r="B454" s="11"/>
      <c r="C454" s="30" t="s">
        <v>1595</v>
      </c>
      <c r="D454" s="21"/>
      <c r="E454" s="21"/>
      <c r="F454" s="34" t="s">
        <v>240</v>
      </c>
      <c r="G454" s="35">
        <v>4.2</v>
      </c>
      <c r="H454" s="21"/>
      <c r="I454" s="35">
        <v>97.061999999999998</v>
      </c>
      <c r="J454" s="37">
        <v>5</v>
      </c>
      <c r="K454" s="12"/>
      <c r="L454" s="12"/>
      <c r="M454" s="37">
        <f t="shared" si="43"/>
        <v>485.31</v>
      </c>
      <c r="N454" s="12"/>
      <c r="O454" s="12"/>
      <c r="P454" s="37">
        <v>5</v>
      </c>
      <c r="Q454" s="12"/>
      <c r="R454" s="12"/>
      <c r="S454" s="37">
        <f t="shared" si="44"/>
        <v>485.31</v>
      </c>
      <c r="T454" s="12"/>
      <c r="U454" s="38"/>
      <c r="V454" s="9">
        <f t="shared" si="45"/>
        <v>4.17</v>
      </c>
      <c r="Y454" s="9">
        <f t="shared" si="42"/>
        <v>404.43</v>
      </c>
      <c r="AD454" s="4" t="s">
        <v>1739</v>
      </c>
      <c r="AE454" s="4" t="s">
        <v>1740</v>
      </c>
      <c r="AF454" s="4" t="s">
        <v>1598</v>
      </c>
    </row>
    <row r="455" spans="1:35" ht="18" x14ac:dyDescent="0.3">
      <c r="A455" s="11" t="s">
        <v>1741</v>
      </c>
      <c r="B455" s="11"/>
      <c r="C455" s="33" t="s">
        <v>1565</v>
      </c>
      <c r="D455" s="21"/>
      <c r="E455" s="21"/>
      <c r="F455" s="34" t="s">
        <v>240</v>
      </c>
      <c r="G455" s="35">
        <v>30</v>
      </c>
      <c r="H455" s="21"/>
      <c r="I455" s="35">
        <v>693.3</v>
      </c>
      <c r="J455" s="37">
        <v>0.28000000000000003</v>
      </c>
      <c r="K455" s="12"/>
      <c r="L455" s="12"/>
      <c r="M455" s="37">
        <f t="shared" si="43"/>
        <v>194.12</v>
      </c>
      <c r="N455" s="12"/>
      <c r="O455" s="12"/>
      <c r="P455" s="37">
        <v>0.28000000000000003</v>
      </c>
      <c r="Q455" s="12"/>
      <c r="R455" s="12"/>
      <c r="S455" s="37">
        <f t="shared" si="44"/>
        <v>194.12</v>
      </c>
      <c r="T455" s="12"/>
      <c r="U455" s="38"/>
      <c r="V455" s="9">
        <f t="shared" si="45"/>
        <v>0.23</v>
      </c>
      <c r="Y455" s="9">
        <f t="shared" si="42"/>
        <v>161.77000000000001</v>
      </c>
      <c r="AD455" s="4" t="s">
        <v>1742</v>
      </c>
      <c r="AE455" s="4" t="s">
        <v>1743</v>
      </c>
      <c r="AF455" s="4" t="s">
        <v>1568</v>
      </c>
    </row>
    <row r="456" spans="1:35" ht="36" x14ac:dyDescent="0.3">
      <c r="A456" s="11" t="s">
        <v>1744</v>
      </c>
      <c r="B456" s="11"/>
      <c r="C456" s="33" t="s">
        <v>1645</v>
      </c>
      <c r="D456" s="21"/>
      <c r="E456" s="21"/>
      <c r="F456" s="34" t="s">
        <v>75</v>
      </c>
      <c r="G456" s="35">
        <v>1.05</v>
      </c>
      <c r="H456" s="21"/>
      <c r="I456" s="35">
        <v>24.265999999999998</v>
      </c>
      <c r="J456" s="37">
        <v>0</v>
      </c>
      <c r="K456" s="12"/>
      <c r="L456" s="12"/>
      <c r="M456" s="37">
        <f t="shared" si="43"/>
        <v>0</v>
      </c>
      <c r="N456" s="12"/>
      <c r="O456" s="12"/>
      <c r="P456" s="37">
        <v>1656</v>
      </c>
      <c r="Q456" s="12"/>
      <c r="R456" s="12"/>
      <c r="S456" s="37">
        <f t="shared" si="44"/>
        <v>40184.5</v>
      </c>
      <c r="T456" s="12"/>
      <c r="U456" s="38"/>
      <c r="V456" s="9">
        <f t="shared" si="45"/>
        <v>1380</v>
      </c>
      <c r="Y456" s="9">
        <f t="shared" si="42"/>
        <v>33487.08</v>
      </c>
      <c r="AD456" s="4" t="s">
        <v>1745</v>
      </c>
      <c r="AE456" s="4" t="s">
        <v>1746</v>
      </c>
      <c r="AF456" s="4" t="s">
        <v>1648</v>
      </c>
    </row>
    <row r="457" spans="1:35" ht="18" x14ac:dyDescent="0.3">
      <c r="A457" s="11" t="s">
        <v>1747</v>
      </c>
      <c r="B457" s="11"/>
      <c r="C457" s="33" t="s">
        <v>1600</v>
      </c>
      <c r="D457" s="21"/>
      <c r="E457" s="21"/>
      <c r="F457" s="34" t="s">
        <v>120</v>
      </c>
      <c r="G457" s="35">
        <v>1.05</v>
      </c>
      <c r="H457" s="21"/>
      <c r="I457" s="35">
        <v>24.265999999999998</v>
      </c>
      <c r="J457" s="37">
        <v>4.67</v>
      </c>
      <c r="K457" s="12"/>
      <c r="L457" s="12"/>
      <c r="M457" s="37">
        <f t="shared" si="43"/>
        <v>113.32</v>
      </c>
      <c r="N457" s="12"/>
      <c r="O457" s="12"/>
      <c r="P457" s="37">
        <v>4.67</v>
      </c>
      <c r="Q457" s="12"/>
      <c r="R457" s="12"/>
      <c r="S457" s="37">
        <f t="shared" si="44"/>
        <v>113.32</v>
      </c>
      <c r="T457" s="12"/>
      <c r="U457" s="38"/>
      <c r="V457" s="9">
        <f t="shared" si="45"/>
        <v>3.89</v>
      </c>
      <c r="Y457" s="9">
        <f t="shared" si="42"/>
        <v>94.43</v>
      </c>
      <c r="AD457" s="4" t="s">
        <v>1748</v>
      </c>
      <c r="AE457" s="4" t="s">
        <v>1749</v>
      </c>
      <c r="AF457" s="4" t="s">
        <v>1603</v>
      </c>
    </row>
    <row r="458" spans="1:35" ht="18" x14ac:dyDescent="0.3">
      <c r="A458" s="11" t="s">
        <v>1750</v>
      </c>
      <c r="B458" s="11"/>
      <c r="C458" s="33" t="s">
        <v>1570</v>
      </c>
      <c r="D458" s="21"/>
      <c r="E458" s="21"/>
      <c r="F458" s="34" t="s">
        <v>159</v>
      </c>
      <c r="G458" s="35">
        <v>0.35</v>
      </c>
      <c r="H458" s="21"/>
      <c r="I458" s="35">
        <v>8.0890000000000004</v>
      </c>
      <c r="J458" s="37">
        <v>55.91</v>
      </c>
      <c r="K458" s="12"/>
      <c r="L458" s="12"/>
      <c r="M458" s="37">
        <f t="shared" si="43"/>
        <v>452.26</v>
      </c>
      <c r="N458" s="12"/>
      <c r="O458" s="12"/>
      <c r="P458" s="37">
        <v>55.91</v>
      </c>
      <c r="Q458" s="12"/>
      <c r="R458" s="12"/>
      <c r="S458" s="37">
        <f t="shared" si="44"/>
        <v>452.26</v>
      </c>
      <c r="T458" s="12"/>
      <c r="U458" s="38"/>
      <c r="V458" s="9">
        <f t="shared" si="45"/>
        <v>46.59</v>
      </c>
      <c r="Y458" s="9">
        <f t="shared" si="42"/>
        <v>376.88</v>
      </c>
      <c r="AD458" s="4" t="s">
        <v>1751</v>
      </c>
      <c r="AE458" s="4" t="s">
        <v>1752</v>
      </c>
      <c r="AF458" s="4" t="s">
        <v>1573</v>
      </c>
    </row>
    <row r="459" spans="1:35" ht="18" x14ac:dyDescent="0.3">
      <c r="A459" s="11" t="s">
        <v>1753</v>
      </c>
      <c r="B459" s="11"/>
      <c r="C459" s="33" t="s">
        <v>1605</v>
      </c>
      <c r="D459" s="21"/>
      <c r="E459" s="21"/>
      <c r="F459" s="34" t="s">
        <v>120</v>
      </c>
      <c r="G459" s="35">
        <v>0.25</v>
      </c>
      <c r="H459" s="21"/>
      <c r="I459" s="35">
        <v>5.7779999999999996</v>
      </c>
      <c r="J459" s="37">
        <v>2.84</v>
      </c>
      <c r="K459" s="12"/>
      <c r="L459" s="12"/>
      <c r="M459" s="37">
        <f t="shared" si="43"/>
        <v>16.41</v>
      </c>
      <c r="N459" s="12"/>
      <c r="O459" s="12"/>
      <c r="P459" s="37">
        <v>2.84</v>
      </c>
      <c r="Q459" s="12"/>
      <c r="R459" s="12"/>
      <c r="S459" s="37">
        <f t="shared" si="44"/>
        <v>16.41</v>
      </c>
      <c r="T459" s="12"/>
      <c r="U459" s="38"/>
      <c r="V459" s="9">
        <f t="shared" si="45"/>
        <v>2.37</v>
      </c>
      <c r="Y459" s="9">
        <f t="shared" si="42"/>
        <v>13.68</v>
      </c>
      <c r="AD459" s="4" t="s">
        <v>1754</v>
      </c>
      <c r="AE459" s="4" t="s">
        <v>1755</v>
      </c>
      <c r="AF459" s="4" t="s">
        <v>1608</v>
      </c>
    </row>
    <row r="460" spans="1:35" ht="36" x14ac:dyDescent="0.3">
      <c r="A460" s="11" t="s">
        <v>1756</v>
      </c>
      <c r="B460" s="11"/>
      <c r="C460" s="33" t="s">
        <v>169</v>
      </c>
      <c r="D460" s="21"/>
      <c r="E460" s="21"/>
      <c r="F460" s="34" t="s">
        <v>159</v>
      </c>
      <c r="G460" s="35">
        <v>0.1</v>
      </c>
      <c r="H460" s="21"/>
      <c r="I460" s="35">
        <v>2.3109999999999999</v>
      </c>
      <c r="J460" s="37">
        <v>90.28</v>
      </c>
      <c r="K460" s="12"/>
      <c r="L460" s="12"/>
      <c r="M460" s="37">
        <f t="shared" si="43"/>
        <v>208.64</v>
      </c>
      <c r="N460" s="12"/>
      <c r="O460" s="12"/>
      <c r="P460" s="37">
        <v>90.28</v>
      </c>
      <c r="Q460" s="12"/>
      <c r="R460" s="12"/>
      <c r="S460" s="37">
        <f t="shared" si="44"/>
        <v>208.64</v>
      </c>
      <c r="T460" s="12"/>
      <c r="U460" s="38"/>
      <c r="V460" s="9">
        <f t="shared" si="45"/>
        <v>75.23</v>
      </c>
      <c r="Y460" s="9">
        <f t="shared" si="42"/>
        <v>173.87</v>
      </c>
      <c r="AD460" s="4" t="s">
        <v>1757</v>
      </c>
      <c r="AE460" s="4" t="s">
        <v>1758</v>
      </c>
      <c r="AF460" s="4" t="s">
        <v>172</v>
      </c>
    </row>
    <row r="461" spans="1:35" ht="18" x14ac:dyDescent="0.3">
      <c r="A461" s="11" t="s">
        <v>1759</v>
      </c>
      <c r="B461" s="11"/>
      <c r="C461" s="33" t="s">
        <v>1623</v>
      </c>
      <c r="D461" s="21"/>
      <c r="E461" s="21"/>
      <c r="F461" s="34" t="s">
        <v>240</v>
      </c>
      <c r="G461" s="35">
        <v>0.75</v>
      </c>
      <c r="H461" s="21"/>
      <c r="I461" s="35">
        <v>17.332999999999998</v>
      </c>
      <c r="J461" s="37">
        <v>2.84</v>
      </c>
      <c r="K461" s="12"/>
      <c r="L461" s="12"/>
      <c r="M461" s="37">
        <f t="shared" si="43"/>
        <v>49.23</v>
      </c>
      <c r="N461" s="12"/>
      <c r="O461" s="12"/>
      <c r="P461" s="37">
        <v>2.84</v>
      </c>
      <c r="Q461" s="12"/>
      <c r="R461" s="12"/>
      <c r="S461" s="37">
        <f t="shared" si="44"/>
        <v>49.23</v>
      </c>
      <c r="T461" s="12"/>
      <c r="U461" s="38"/>
      <c r="V461" s="9">
        <f t="shared" si="45"/>
        <v>2.37</v>
      </c>
      <c r="Y461" s="9">
        <f t="shared" si="42"/>
        <v>41.03</v>
      </c>
      <c r="AD461" s="4" t="s">
        <v>1760</v>
      </c>
      <c r="AE461" s="4" t="s">
        <v>1761</v>
      </c>
      <c r="AF461" s="4" t="s">
        <v>1626</v>
      </c>
    </row>
    <row r="462" spans="1:35" ht="54" x14ac:dyDescent="0.3">
      <c r="A462" s="11" t="s">
        <v>1762</v>
      </c>
      <c r="B462" s="11" t="s">
        <v>1763</v>
      </c>
      <c r="C462" s="20" t="s">
        <v>1764</v>
      </c>
      <c r="D462" s="21"/>
      <c r="E462" s="21" t="s">
        <v>1765</v>
      </c>
      <c r="F462" s="21" t="s">
        <v>75</v>
      </c>
      <c r="G462" s="22">
        <v>1</v>
      </c>
      <c r="H462" s="21"/>
      <c r="I462" s="22">
        <v>93.56</v>
      </c>
      <c r="J462" s="23">
        <v>0</v>
      </c>
      <c r="K462" s="23">
        <v>962.99</v>
      </c>
      <c r="L462" s="23">
        <f>J462+ROUND(K462, 2)</f>
        <v>962.99</v>
      </c>
      <c r="M462" s="23">
        <v>0</v>
      </c>
      <c r="N462" s="23">
        <v>90097.34</v>
      </c>
      <c r="O462" s="23">
        <f>M462+N462</f>
        <v>90097.34</v>
      </c>
      <c r="P462" s="23">
        <v>1229.8</v>
      </c>
      <c r="Q462" s="23">
        <v>962.99</v>
      </c>
      <c r="R462" s="23">
        <f>P462+ROUND(Q462, 2)</f>
        <v>2192.79</v>
      </c>
      <c r="S462" s="23">
        <v>115060.09</v>
      </c>
      <c r="T462" s="23">
        <v>90097.34</v>
      </c>
      <c r="U462" s="23">
        <f>S462+T462</f>
        <v>205157.43</v>
      </c>
      <c r="V462" s="9">
        <f>ROUND(P462 / 1.2, 2)</f>
        <v>1024.83</v>
      </c>
      <c r="W462" s="9">
        <f>ROUND(Q462 / 1.2, 2)</f>
        <v>802.49</v>
      </c>
      <c r="X462" s="9">
        <f>ROUND(R462 / 1.2, 2)</f>
        <v>1827.33</v>
      </c>
      <c r="Y462" s="9">
        <f t="shared" si="42"/>
        <v>95883.41</v>
      </c>
      <c r="Z462" s="9">
        <f>ROUND(T462 / 1.2, 2)</f>
        <v>75081.119999999995</v>
      </c>
      <c r="AA462" s="9">
        <f>Y462+Z462</f>
        <v>170964.53</v>
      </c>
      <c r="AD462" s="4">
        <v>339118892</v>
      </c>
      <c r="AE462" s="4">
        <v>28951764</v>
      </c>
      <c r="AG462" s="4" t="s">
        <v>1766</v>
      </c>
      <c r="AH462" s="4" t="s">
        <v>1767</v>
      </c>
      <c r="AI462" s="4" t="s">
        <v>156</v>
      </c>
    </row>
    <row r="463" spans="1:35" ht="198" x14ac:dyDescent="0.3">
      <c r="A463" s="11" t="s">
        <v>1768</v>
      </c>
      <c r="B463" s="11"/>
      <c r="C463" s="33" t="s">
        <v>1769</v>
      </c>
      <c r="D463" s="21"/>
      <c r="E463" s="21" t="s">
        <v>1770</v>
      </c>
      <c r="F463" s="34" t="s">
        <v>75</v>
      </c>
      <c r="G463" s="35">
        <v>1</v>
      </c>
      <c r="H463" s="21"/>
      <c r="I463" s="36">
        <v>93.56</v>
      </c>
      <c r="J463" s="37">
        <v>0</v>
      </c>
      <c r="K463" s="12"/>
      <c r="L463" s="12"/>
      <c r="M463" s="37">
        <f>ROUND(ROUND(J463, 2)*I463, 2)</f>
        <v>0</v>
      </c>
      <c r="N463" s="12"/>
      <c r="O463" s="12"/>
      <c r="P463" s="37">
        <v>1229.8</v>
      </c>
      <c r="Q463" s="12"/>
      <c r="R463" s="12"/>
      <c r="S463" s="37">
        <f>ROUND(ROUND(P463, 2)*I463, 2)</f>
        <v>115060.09</v>
      </c>
      <c r="T463" s="12"/>
      <c r="U463" s="38"/>
      <c r="V463" s="9">
        <f>ROUND(ROUND(P463, 2)/1.2, 2)</f>
        <v>1024.83</v>
      </c>
      <c r="Y463" s="9">
        <f t="shared" si="42"/>
        <v>95883.41</v>
      </c>
      <c r="AD463" s="4" t="s">
        <v>1771</v>
      </c>
      <c r="AE463" s="4" t="s">
        <v>1772</v>
      </c>
      <c r="AF463" s="4" t="s">
        <v>1773</v>
      </c>
    </row>
    <row r="464" spans="1:35" ht="16.95" customHeight="1" x14ac:dyDescent="0.3">
      <c r="A464" s="10" t="s">
        <v>1774</v>
      </c>
      <c r="B464" s="10" t="s">
        <v>1775</v>
      </c>
      <c r="C464" s="120" t="s">
        <v>1776</v>
      </c>
      <c r="D464" s="121"/>
      <c r="E464" s="121"/>
      <c r="F464" s="121"/>
      <c r="G464" s="121"/>
      <c r="H464" s="121"/>
      <c r="I464" s="122"/>
      <c r="M464" s="6">
        <f>SUM(M465,M466,M467,M468,M469)</f>
        <v>0</v>
      </c>
      <c r="N464" s="6">
        <f>SUM(N465,N466,N467,N468,N469)</f>
        <v>3674361.84</v>
      </c>
      <c r="O464" s="6">
        <f>SUM(O465,O466,O467,O468,O469)</f>
        <v>3674361.84</v>
      </c>
      <c r="S464" s="6">
        <f>SUM(S465,S466,S467,S468,S469)</f>
        <v>0</v>
      </c>
      <c r="T464" s="6">
        <f>SUM(T465,T466,T467,T468,T469)</f>
        <v>3674361.84</v>
      </c>
      <c r="U464" s="6">
        <f>SUM(U465,U466,U467,U468,U469)</f>
        <v>3674361.84</v>
      </c>
      <c r="Y464" s="9">
        <f>SUM(Y465,Y466,Y467,Y468,Y469)</f>
        <v>0</v>
      </c>
      <c r="Z464" s="9">
        <f>SUM(Z465,Z466,Z467,Z468,Z469)</f>
        <v>3061968.2</v>
      </c>
      <c r="AA464" s="9">
        <f>SUM(AA465,AA466,AA467,AA468,AA469)</f>
        <v>3061968.2</v>
      </c>
      <c r="AD464" s="4">
        <v>339118893</v>
      </c>
      <c r="AE464" s="4">
        <v>25887931</v>
      </c>
    </row>
    <row r="465" spans="1:35" ht="18" x14ac:dyDescent="0.3">
      <c r="A465" s="10" t="s">
        <v>1777</v>
      </c>
      <c r="B465" s="10" t="s">
        <v>1778</v>
      </c>
      <c r="C465" s="14" t="s">
        <v>1779</v>
      </c>
      <c r="D465" s="15"/>
      <c r="E465" s="15" t="s">
        <v>1780</v>
      </c>
      <c r="F465" s="15" t="s">
        <v>75</v>
      </c>
      <c r="G465" s="16">
        <v>1</v>
      </c>
      <c r="H465" s="15"/>
      <c r="I465" s="16">
        <v>6759.6</v>
      </c>
      <c r="J465" s="17">
        <v>0</v>
      </c>
      <c r="K465" s="18">
        <v>120</v>
      </c>
      <c r="L465" s="17">
        <f>J465+ROUND(K465, 2)</f>
        <v>120</v>
      </c>
      <c r="M465" s="17">
        <v>0</v>
      </c>
      <c r="N465" s="17">
        <v>811152</v>
      </c>
      <c r="O465" s="17">
        <f t="shared" ref="O465:O470" si="46">M465+N465</f>
        <v>811152</v>
      </c>
      <c r="P465" s="17">
        <v>0</v>
      </c>
      <c r="Q465" s="19">
        <v>120</v>
      </c>
      <c r="R465" s="17">
        <f>P465+ROUND(Q465, 2)</f>
        <v>120</v>
      </c>
      <c r="S465" s="17">
        <v>0</v>
      </c>
      <c r="T465" s="17">
        <v>811152</v>
      </c>
      <c r="U465" s="17">
        <f t="shared" ref="U465:U470" si="47">S465+T465</f>
        <v>811152</v>
      </c>
      <c r="V465" s="9"/>
      <c r="W465" s="9">
        <f t="shared" ref="W465:X469" si="48">ROUND(Q465 / 1.2, 2)</f>
        <v>100</v>
      </c>
      <c r="X465" s="9">
        <f t="shared" si="48"/>
        <v>100</v>
      </c>
      <c r="Y465" s="9"/>
      <c r="Z465" s="9">
        <f>ROUND(T465 / 1.2, 2)</f>
        <v>675960</v>
      </c>
      <c r="AA465" s="9">
        <f t="shared" ref="AA465:AA470" si="49">Y465+Z465</f>
        <v>675960</v>
      </c>
      <c r="AD465" s="4">
        <v>339118895</v>
      </c>
      <c r="AE465" s="4">
        <v>25888016</v>
      </c>
      <c r="AG465" s="4" t="s">
        <v>1781</v>
      </c>
      <c r="AH465" s="4" t="s">
        <v>1782</v>
      </c>
      <c r="AI465" s="4" t="s">
        <v>156</v>
      </c>
    </row>
    <row r="466" spans="1:35" ht="18" x14ac:dyDescent="0.3">
      <c r="A466" s="10" t="s">
        <v>1783</v>
      </c>
      <c r="B466" s="10" t="s">
        <v>1778</v>
      </c>
      <c r="C466" s="14" t="s">
        <v>1779</v>
      </c>
      <c r="D466" s="15"/>
      <c r="E466" s="15"/>
      <c r="F466" s="15" t="s">
        <v>75</v>
      </c>
      <c r="G466" s="16">
        <v>1</v>
      </c>
      <c r="H466" s="15"/>
      <c r="I466" s="16">
        <v>6759.6</v>
      </c>
      <c r="J466" s="17">
        <v>0</v>
      </c>
      <c r="K466" s="18">
        <v>120</v>
      </c>
      <c r="L466" s="17">
        <f>J466+ROUND(K466, 2)</f>
        <v>120</v>
      </c>
      <c r="M466" s="17">
        <v>0</v>
      </c>
      <c r="N466" s="17">
        <v>811152</v>
      </c>
      <c r="O466" s="17">
        <f t="shared" si="46"/>
        <v>811152</v>
      </c>
      <c r="P466" s="17">
        <v>0</v>
      </c>
      <c r="Q466" s="19">
        <v>120</v>
      </c>
      <c r="R466" s="17">
        <f>P466+ROUND(Q466, 2)</f>
        <v>120</v>
      </c>
      <c r="S466" s="17">
        <v>0</v>
      </c>
      <c r="T466" s="17">
        <v>811152</v>
      </c>
      <c r="U466" s="17">
        <f t="shared" si="47"/>
        <v>811152</v>
      </c>
      <c r="V466" s="9"/>
      <c r="W466" s="9">
        <f t="shared" si="48"/>
        <v>100</v>
      </c>
      <c r="X466" s="9">
        <f t="shared" si="48"/>
        <v>100</v>
      </c>
      <c r="Y466" s="9"/>
      <c r="Z466" s="9">
        <f>ROUND(T466 / 1.2, 2)</f>
        <v>675960</v>
      </c>
      <c r="AA466" s="9">
        <f t="shared" si="49"/>
        <v>675960</v>
      </c>
      <c r="AD466" s="4">
        <v>339118954</v>
      </c>
      <c r="AE466" s="4">
        <v>25887947</v>
      </c>
      <c r="AG466" s="4" t="s">
        <v>1781</v>
      </c>
      <c r="AH466" s="4" t="s">
        <v>1782</v>
      </c>
      <c r="AI466" s="4" t="s">
        <v>156</v>
      </c>
    </row>
    <row r="467" spans="1:35" ht="18" x14ac:dyDescent="0.3">
      <c r="A467" s="10" t="s">
        <v>1784</v>
      </c>
      <c r="B467" s="10" t="s">
        <v>1778</v>
      </c>
      <c r="C467" s="14" t="s">
        <v>1779</v>
      </c>
      <c r="D467" s="15"/>
      <c r="E467" s="15"/>
      <c r="F467" s="15" t="s">
        <v>75</v>
      </c>
      <c r="G467" s="16">
        <v>1</v>
      </c>
      <c r="H467" s="15"/>
      <c r="I467" s="16">
        <v>6759.6</v>
      </c>
      <c r="J467" s="17">
        <v>0</v>
      </c>
      <c r="K467" s="18">
        <v>120</v>
      </c>
      <c r="L467" s="17">
        <f>J467+ROUND(K467, 2)</f>
        <v>120</v>
      </c>
      <c r="M467" s="17">
        <v>0</v>
      </c>
      <c r="N467" s="17">
        <v>811152</v>
      </c>
      <c r="O467" s="17">
        <f t="shared" si="46"/>
        <v>811152</v>
      </c>
      <c r="P467" s="17">
        <v>0</v>
      </c>
      <c r="Q467" s="19">
        <v>120</v>
      </c>
      <c r="R467" s="17">
        <f>P467+ROUND(Q467, 2)</f>
        <v>120</v>
      </c>
      <c r="S467" s="17">
        <v>0</v>
      </c>
      <c r="T467" s="17">
        <v>811152</v>
      </c>
      <c r="U467" s="17">
        <f t="shared" si="47"/>
        <v>811152</v>
      </c>
      <c r="V467" s="9"/>
      <c r="W467" s="9">
        <f t="shared" si="48"/>
        <v>100</v>
      </c>
      <c r="X467" s="9">
        <f t="shared" si="48"/>
        <v>100</v>
      </c>
      <c r="Y467" s="9"/>
      <c r="Z467" s="9">
        <f>ROUND(T467 / 1.2, 2)</f>
        <v>675960</v>
      </c>
      <c r="AA467" s="9">
        <f t="shared" si="49"/>
        <v>675960</v>
      </c>
      <c r="AD467" s="4">
        <v>339118955</v>
      </c>
      <c r="AE467" s="4">
        <v>25887948</v>
      </c>
      <c r="AG467" s="4" t="s">
        <v>1781</v>
      </c>
      <c r="AH467" s="4" t="s">
        <v>1782</v>
      </c>
      <c r="AI467" s="4" t="s">
        <v>156</v>
      </c>
    </row>
    <row r="468" spans="1:35" ht="54" x14ac:dyDescent="0.3">
      <c r="A468" s="10" t="s">
        <v>1785</v>
      </c>
      <c r="B468" s="10" t="s">
        <v>1786</v>
      </c>
      <c r="C468" s="14" t="s">
        <v>1787</v>
      </c>
      <c r="D468" s="15" t="s">
        <v>1788</v>
      </c>
      <c r="E468" s="15" t="s">
        <v>1789</v>
      </c>
      <c r="F468" s="15" t="s">
        <v>57</v>
      </c>
      <c r="G468" s="16">
        <v>1</v>
      </c>
      <c r="H468" s="15"/>
      <c r="I468" s="16">
        <v>7</v>
      </c>
      <c r="J468" s="17">
        <v>0</v>
      </c>
      <c r="K468" s="18">
        <v>169189</v>
      </c>
      <c r="L468" s="17">
        <f>J468+ROUND(K468, 2)</f>
        <v>169189</v>
      </c>
      <c r="M468" s="17">
        <v>0</v>
      </c>
      <c r="N468" s="17">
        <v>1184323</v>
      </c>
      <c r="O468" s="17">
        <f t="shared" si="46"/>
        <v>1184323</v>
      </c>
      <c r="P468" s="17">
        <v>0</v>
      </c>
      <c r="Q468" s="19">
        <v>169189</v>
      </c>
      <c r="R468" s="17">
        <f>P468+ROUND(Q468, 2)</f>
        <v>169189</v>
      </c>
      <c r="S468" s="17">
        <v>0</v>
      </c>
      <c r="T468" s="17">
        <v>1184323</v>
      </c>
      <c r="U468" s="17">
        <f t="shared" si="47"/>
        <v>1184323</v>
      </c>
      <c r="V468" s="9"/>
      <c r="W468" s="9">
        <f t="shared" si="48"/>
        <v>140990.82999999999</v>
      </c>
      <c r="X468" s="9">
        <f t="shared" si="48"/>
        <v>140990.82999999999</v>
      </c>
      <c r="Y468" s="9"/>
      <c r="Z468" s="9">
        <f>ROUND(T468 / 1.2, 2)</f>
        <v>986935.83</v>
      </c>
      <c r="AA468" s="9">
        <f t="shared" si="49"/>
        <v>986935.83</v>
      </c>
      <c r="AD468" s="4">
        <v>339118897</v>
      </c>
      <c r="AE468" s="4">
        <v>25887982</v>
      </c>
      <c r="AG468" s="4" t="s">
        <v>1790</v>
      </c>
      <c r="AH468" s="4" t="s">
        <v>1791</v>
      </c>
      <c r="AI468" s="4" t="s">
        <v>156</v>
      </c>
    </row>
    <row r="469" spans="1:35" ht="36" x14ac:dyDescent="0.3">
      <c r="A469" s="11" t="s">
        <v>1792</v>
      </c>
      <c r="B469" s="11" t="s">
        <v>1793</v>
      </c>
      <c r="C469" s="20" t="s">
        <v>1794</v>
      </c>
      <c r="D469" s="21"/>
      <c r="E469" s="21" t="s">
        <v>84</v>
      </c>
      <c r="F469" s="21" t="s">
        <v>1795</v>
      </c>
      <c r="G469" s="22">
        <v>1</v>
      </c>
      <c r="H469" s="21"/>
      <c r="I469" s="22">
        <v>57.62</v>
      </c>
      <c r="J469" s="23">
        <v>0</v>
      </c>
      <c r="K469" s="23">
        <v>982</v>
      </c>
      <c r="L469" s="23">
        <f>J469+ROUND(K469, 2)</f>
        <v>982</v>
      </c>
      <c r="M469" s="23">
        <v>0</v>
      </c>
      <c r="N469" s="23">
        <v>56582.84</v>
      </c>
      <c r="O469" s="23">
        <f t="shared" si="46"/>
        <v>56582.84</v>
      </c>
      <c r="P469" s="23">
        <v>0</v>
      </c>
      <c r="Q469" s="23">
        <v>982</v>
      </c>
      <c r="R469" s="23">
        <f>P469+ROUND(Q469, 2)</f>
        <v>982</v>
      </c>
      <c r="S469" s="23">
        <v>0</v>
      </c>
      <c r="T469" s="23">
        <v>56582.84</v>
      </c>
      <c r="U469" s="23">
        <f t="shared" si="47"/>
        <v>56582.84</v>
      </c>
      <c r="V469" s="9"/>
      <c r="W469" s="9">
        <f t="shared" si="48"/>
        <v>818.33</v>
      </c>
      <c r="X469" s="9">
        <f t="shared" si="48"/>
        <v>818.33</v>
      </c>
      <c r="Y469" s="9"/>
      <c r="Z469" s="9">
        <f>ROUND(T469 / 1.2, 2)</f>
        <v>47152.37</v>
      </c>
      <c r="AA469" s="9">
        <f t="shared" si="49"/>
        <v>47152.37</v>
      </c>
      <c r="AD469" s="4">
        <v>339118899</v>
      </c>
      <c r="AE469" s="4">
        <v>28983429</v>
      </c>
      <c r="AG469" s="4" t="s">
        <v>1796</v>
      </c>
      <c r="AH469" s="4" t="s">
        <v>1797</v>
      </c>
      <c r="AI469" s="4" t="s">
        <v>156</v>
      </c>
    </row>
    <row r="470" spans="1:35" ht="24" customHeight="1" x14ac:dyDescent="0.3">
      <c r="A470" s="65"/>
      <c r="B470" s="65"/>
      <c r="C470" s="65"/>
      <c r="D470" s="66" t="s">
        <v>1798</v>
      </c>
      <c r="E470" s="65"/>
      <c r="F470" s="65"/>
      <c r="G470" s="65"/>
      <c r="H470" s="65"/>
      <c r="I470" s="65"/>
      <c r="J470" s="65"/>
      <c r="K470" s="65"/>
      <c r="L470" s="65"/>
      <c r="M470" s="67">
        <f>SUM(M8)</f>
        <v>24717198.979999997</v>
      </c>
      <c r="N470" s="67">
        <f>SUM(N8)</f>
        <v>57521292.340000004</v>
      </c>
      <c r="O470" s="67">
        <f t="shared" si="46"/>
        <v>82238491.319999993</v>
      </c>
      <c r="P470" s="65"/>
      <c r="Q470" s="65"/>
      <c r="R470" s="65"/>
      <c r="S470" s="67">
        <f>SUM(S8)</f>
        <v>41171956.260000005</v>
      </c>
      <c r="T470" s="67">
        <f>SUM(T8)</f>
        <v>58329554.729999989</v>
      </c>
      <c r="U470" s="67">
        <f t="shared" si="47"/>
        <v>99501510.989999995</v>
      </c>
      <c r="Y470" s="9">
        <f>SUM(Y8)</f>
        <v>34309963.629999995</v>
      </c>
      <c r="Z470" s="9">
        <f>SUM(Z8)</f>
        <v>48607962.300000012</v>
      </c>
      <c r="AA470" s="9">
        <f t="shared" si="49"/>
        <v>82917925.930000007</v>
      </c>
    </row>
  </sheetData>
  <sheetProtection password="C644" sheet="1" formatColumns="0" autoFilter="0"/>
  <autoFilter ref="A7:U7"/>
  <mergeCells count="53">
    <mergeCell ref="C403:I403"/>
    <mergeCell ref="C464:I464"/>
    <mergeCell ref="C281:I281"/>
    <mergeCell ref="C329:I329"/>
    <mergeCell ref="C345:I345"/>
    <mergeCell ref="C346:I346"/>
    <mergeCell ref="C375:I375"/>
    <mergeCell ref="C102:I102"/>
    <mergeCell ref="C113:I113"/>
    <mergeCell ref="C207:I207"/>
    <mergeCell ref="C210:I210"/>
    <mergeCell ref="C211:I211"/>
    <mergeCell ref="C31:I31"/>
    <mergeCell ref="C32:I32"/>
    <mergeCell ref="C33:I33"/>
    <mergeCell ref="C34:I34"/>
    <mergeCell ref="C35:I35"/>
    <mergeCell ref="C21:I21"/>
    <mergeCell ref="C22:I22"/>
    <mergeCell ref="C23:I23"/>
    <mergeCell ref="C24:I24"/>
    <mergeCell ref="C25:I25"/>
    <mergeCell ref="C11:I11"/>
    <mergeCell ref="C12:I12"/>
    <mergeCell ref="C13:I13"/>
    <mergeCell ref="C15:I15"/>
    <mergeCell ref="C18:I18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9"/>
  <sheetViews>
    <sheetView zoomScale="60" zoomScaleNormal="60" workbookViewId="0">
      <pane xSplit="9" ySplit="7" topLeftCell="J8" activePane="bottomRight" state="frozen"/>
      <selection pane="topRight"/>
      <selection pane="bottomLeft"/>
      <selection pane="bottomRight" sqref="A1:XFD1048576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1799</v>
      </c>
      <c r="H1" s="2" t="s">
        <v>1800</v>
      </c>
      <c r="I1" s="2" t="s">
        <v>1801</v>
      </c>
      <c r="J1" s="2" t="s">
        <v>1802</v>
      </c>
      <c r="K1" s="2" t="s">
        <v>1803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103" t="s">
        <v>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</row>
    <row r="3" spans="1:35" ht="15" customHeight="1" x14ac:dyDescent="0.3">
      <c r="A3" s="104" t="s">
        <v>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</row>
    <row r="4" spans="1:35" ht="15" customHeight="1" x14ac:dyDescent="0.3">
      <c r="A4" s="105" t="s">
        <v>6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</row>
    <row r="5" spans="1:35" ht="40.799999999999997" customHeight="1" x14ac:dyDescent="0.3">
      <c r="A5" s="112" t="s">
        <v>22</v>
      </c>
      <c r="B5" s="112" t="s">
        <v>23</v>
      </c>
      <c r="C5" s="112" t="s">
        <v>24</v>
      </c>
      <c r="D5" s="112" t="s">
        <v>25</v>
      </c>
      <c r="E5" s="112" t="s">
        <v>26</v>
      </c>
      <c r="F5" s="112" t="s">
        <v>27</v>
      </c>
      <c r="G5" s="112" t="s">
        <v>28</v>
      </c>
      <c r="H5" s="112" t="s">
        <v>29</v>
      </c>
      <c r="I5" s="112" t="s">
        <v>30</v>
      </c>
      <c r="J5" s="106" t="s">
        <v>7</v>
      </c>
      <c r="K5" s="107"/>
      <c r="L5" s="107"/>
      <c r="M5" s="107"/>
      <c r="N5" s="107"/>
      <c r="O5" s="108"/>
      <c r="P5" s="109" t="s">
        <v>8</v>
      </c>
      <c r="Q5" s="110"/>
      <c r="R5" s="111"/>
      <c r="S5" s="109" t="s">
        <v>9</v>
      </c>
      <c r="T5" s="110"/>
      <c r="U5" s="111"/>
    </row>
    <row r="6" spans="1:35" ht="15.75" customHeight="1" x14ac:dyDescent="0.3">
      <c r="A6" s="113"/>
      <c r="B6" s="113"/>
      <c r="C6" s="113"/>
      <c r="D6" s="113"/>
      <c r="E6" s="113"/>
      <c r="F6" s="113"/>
      <c r="G6" s="113"/>
      <c r="H6" s="113"/>
      <c r="I6" s="113"/>
      <c r="J6" s="115" t="s">
        <v>31</v>
      </c>
      <c r="K6" s="116"/>
      <c r="L6" s="112" t="s">
        <v>31</v>
      </c>
      <c r="M6" s="115" t="s">
        <v>34</v>
      </c>
      <c r="N6" s="116"/>
      <c r="O6" s="112" t="s">
        <v>35</v>
      </c>
      <c r="P6" s="115" t="s">
        <v>31</v>
      </c>
      <c r="Q6" s="116"/>
      <c r="R6" s="112" t="s">
        <v>31</v>
      </c>
      <c r="S6" s="115" t="s">
        <v>34</v>
      </c>
      <c r="T6" s="116"/>
      <c r="U6" s="112" t="s">
        <v>35</v>
      </c>
    </row>
    <row r="7" spans="1:35" ht="31.2" customHeight="1" x14ac:dyDescent="0.3">
      <c r="A7" s="114"/>
      <c r="B7" s="114"/>
      <c r="C7" s="114"/>
      <c r="D7" s="114"/>
      <c r="E7" s="114"/>
      <c r="F7" s="114"/>
      <c r="G7" s="114"/>
      <c r="H7" s="114"/>
      <c r="I7" s="114"/>
      <c r="J7" s="5" t="s">
        <v>32</v>
      </c>
      <c r="K7" s="5" t="s">
        <v>33</v>
      </c>
      <c r="L7" s="114"/>
      <c r="M7" s="5" t="s">
        <v>32</v>
      </c>
      <c r="N7" s="5" t="s">
        <v>33</v>
      </c>
      <c r="O7" s="114"/>
      <c r="P7" s="5" t="s">
        <v>32</v>
      </c>
      <c r="Q7" s="5" t="s">
        <v>33</v>
      </c>
      <c r="R7" s="114"/>
      <c r="S7" s="5" t="s">
        <v>32</v>
      </c>
      <c r="T7" s="5" t="s">
        <v>33</v>
      </c>
      <c r="U7" s="114"/>
    </row>
    <row r="8" spans="1:35" ht="30" customHeight="1" x14ac:dyDescent="0.3">
      <c r="A8" s="117" t="s">
        <v>36</v>
      </c>
      <c r="B8" s="118"/>
      <c r="C8" s="118"/>
      <c r="D8" s="118"/>
      <c r="E8" s="118"/>
      <c r="F8" s="118"/>
      <c r="G8" s="118"/>
      <c r="H8" s="118"/>
      <c r="I8" s="119"/>
      <c r="J8" s="7"/>
      <c r="K8" s="7"/>
      <c r="L8" s="7"/>
      <c r="M8" s="8">
        <f>SUM(M9)</f>
        <v>24717198.979999997</v>
      </c>
      <c r="N8" s="8">
        <f>SUM(N9)</f>
        <v>57521292.340000004</v>
      </c>
      <c r="O8" s="8">
        <f>SUM(O9)</f>
        <v>82238491.320000008</v>
      </c>
      <c r="P8" s="7"/>
      <c r="Q8" s="7"/>
      <c r="R8" s="7"/>
      <c r="S8" s="8">
        <f>SUM(S9)</f>
        <v>41171956.260000005</v>
      </c>
      <c r="T8" s="8">
        <f>SUM(T9)</f>
        <v>58329554.729999989</v>
      </c>
      <c r="U8" s="8">
        <f>SUM(U9)</f>
        <v>99501510.99000001</v>
      </c>
      <c r="Y8" s="9">
        <f>SUM(Y9)</f>
        <v>34309963.629999995</v>
      </c>
      <c r="Z8" s="9">
        <f>SUM(Z9)</f>
        <v>48607962.300000012</v>
      </c>
      <c r="AA8" s="9">
        <f>SUM(AA9)</f>
        <v>82917925.929999992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120" t="s">
        <v>40</v>
      </c>
      <c r="D9" s="121"/>
      <c r="E9" s="121"/>
      <c r="F9" s="121"/>
      <c r="G9" s="121"/>
      <c r="H9" s="121"/>
      <c r="I9" s="122"/>
      <c r="M9" s="6">
        <f>SUM(M10,M21,M31)</f>
        <v>24717198.979999997</v>
      </c>
      <c r="N9" s="6">
        <f>SUM(N10,N21,N31)</f>
        <v>57521292.340000004</v>
      </c>
      <c r="O9" s="6">
        <f>SUM(O10,O21,O31)</f>
        <v>82238491.320000008</v>
      </c>
      <c r="S9" s="6">
        <f>SUM(S10,S21,S31)</f>
        <v>41171956.260000005</v>
      </c>
      <c r="T9" s="6">
        <f>SUM(T10,T21,T31)</f>
        <v>58329554.729999989</v>
      </c>
      <c r="U9" s="6">
        <f>SUM(U10,U21,U31)</f>
        <v>99501510.99000001</v>
      </c>
      <c r="Y9" s="9">
        <f>SUM(Y10,Y21,Y31)</f>
        <v>34309963.629999995</v>
      </c>
      <c r="Z9" s="9">
        <f>SUM(Z10,Z21,Z31)</f>
        <v>48607962.300000012</v>
      </c>
      <c r="AA9" s="9">
        <f>SUM(AA10,AA21,AA31)</f>
        <v>82917925.929999992</v>
      </c>
      <c r="AD9" s="4">
        <v>339118770</v>
      </c>
      <c r="AE9" s="4">
        <v>25887938</v>
      </c>
    </row>
    <row r="10" spans="1:35" ht="16.95" customHeight="1" x14ac:dyDescent="0.3">
      <c r="A10" s="10" t="s">
        <v>41</v>
      </c>
      <c r="B10" s="10" t="s">
        <v>42</v>
      </c>
      <c r="C10" s="120" t="s">
        <v>43</v>
      </c>
      <c r="D10" s="121"/>
      <c r="E10" s="121"/>
      <c r="F10" s="121"/>
      <c r="G10" s="121"/>
      <c r="H10" s="121"/>
      <c r="I10" s="122"/>
      <c r="M10" s="6">
        <f t="shared" ref="M10:O11" si="0">SUM(M11)</f>
        <v>0</v>
      </c>
      <c r="N10" s="6">
        <f t="shared" si="0"/>
        <v>829840.72</v>
      </c>
      <c r="O10" s="6">
        <f t="shared" si="0"/>
        <v>829840.72</v>
      </c>
      <c r="S10" s="6">
        <f t="shared" ref="S10:U11" si="1">SUM(S11)</f>
        <v>0</v>
      </c>
      <c r="T10" s="6">
        <f t="shared" si="1"/>
        <v>2924714.8</v>
      </c>
      <c r="U10" s="6">
        <f t="shared" si="1"/>
        <v>2924714.8</v>
      </c>
      <c r="Y10" s="9">
        <f t="shared" ref="Y10:AA11" si="2">SUM(Y11)</f>
        <v>0</v>
      </c>
      <c r="Z10" s="9">
        <f t="shared" si="2"/>
        <v>2437262.33</v>
      </c>
      <c r="AA10" s="9">
        <f t="shared" si="2"/>
        <v>2437262.33</v>
      </c>
      <c r="AD10" s="4">
        <v>339118771</v>
      </c>
      <c r="AE10" s="4">
        <v>28999450</v>
      </c>
    </row>
    <row r="11" spans="1:35" ht="16.95" customHeight="1" x14ac:dyDescent="0.3">
      <c r="A11" s="10" t="s">
        <v>44</v>
      </c>
      <c r="B11" s="10" t="s">
        <v>45</v>
      </c>
      <c r="C11" s="120" t="s">
        <v>46</v>
      </c>
      <c r="D11" s="121"/>
      <c r="E11" s="121"/>
      <c r="F11" s="121"/>
      <c r="G11" s="121"/>
      <c r="H11" s="121"/>
      <c r="I11" s="122"/>
      <c r="M11" s="6">
        <f t="shared" si="0"/>
        <v>0</v>
      </c>
      <c r="N11" s="6">
        <f t="shared" si="0"/>
        <v>829840.72</v>
      </c>
      <c r="O11" s="6">
        <f t="shared" si="0"/>
        <v>829840.72</v>
      </c>
      <c r="S11" s="6">
        <f t="shared" si="1"/>
        <v>0</v>
      </c>
      <c r="T11" s="6">
        <f t="shared" si="1"/>
        <v>2924714.8</v>
      </c>
      <c r="U11" s="6">
        <f t="shared" si="1"/>
        <v>2924714.8</v>
      </c>
      <c r="Y11" s="9">
        <f t="shared" si="2"/>
        <v>0</v>
      </c>
      <c r="Z11" s="9">
        <f t="shared" si="2"/>
        <v>2437262.33</v>
      </c>
      <c r="AA11" s="9">
        <f t="shared" si="2"/>
        <v>2437262.33</v>
      </c>
      <c r="AD11" s="4">
        <v>339118772</v>
      </c>
      <c r="AE11" s="4">
        <v>28999446</v>
      </c>
    </row>
    <row r="12" spans="1:35" ht="16.95" customHeight="1" x14ac:dyDescent="0.3">
      <c r="A12" s="10" t="s">
        <v>47</v>
      </c>
      <c r="B12" s="10" t="s">
        <v>48</v>
      </c>
      <c r="C12" s="120" t="s">
        <v>49</v>
      </c>
      <c r="D12" s="121"/>
      <c r="E12" s="121"/>
      <c r="F12" s="121"/>
      <c r="G12" s="121"/>
      <c r="H12" s="121"/>
      <c r="I12" s="122"/>
      <c r="M12" s="6">
        <f>SUM(M13,M15,M18)</f>
        <v>0</v>
      </c>
      <c r="N12" s="6">
        <f>SUM(N13,N15,N18)</f>
        <v>829840.72</v>
      </c>
      <c r="O12" s="6">
        <f>SUM(O13,O15,O18)</f>
        <v>829840.72</v>
      </c>
      <c r="S12" s="6">
        <f>SUM(S13,S15,S18)</f>
        <v>0</v>
      </c>
      <c r="T12" s="6">
        <f>SUM(T13,T15,T18)</f>
        <v>2924714.8</v>
      </c>
      <c r="U12" s="6">
        <f>SUM(U13,U15,U18)</f>
        <v>2924714.8</v>
      </c>
      <c r="Y12" s="9">
        <f>SUM(Y13,Y15,Y18)</f>
        <v>0</v>
      </c>
      <c r="Z12" s="9">
        <f>SUM(Z13,Z15,Z18)</f>
        <v>2437262.33</v>
      </c>
      <c r="AA12" s="9">
        <f>SUM(AA13,AA15,AA18)</f>
        <v>2437262.33</v>
      </c>
      <c r="AD12" s="4">
        <v>339118773</v>
      </c>
      <c r="AE12" s="4">
        <v>28999460</v>
      </c>
    </row>
    <row r="13" spans="1:35" ht="16.95" customHeight="1" x14ac:dyDescent="0.3">
      <c r="A13" s="10" t="s">
        <v>50</v>
      </c>
      <c r="B13" s="10" t="s">
        <v>51</v>
      </c>
      <c r="C13" s="120" t="s">
        <v>52</v>
      </c>
      <c r="D13" s="121"/>
      <c r="E13" s="121"/>
      <c r="F13" s="121"/>
      <c r="G13" s="121"/>
      <c r="H13" s="121"/>
      <c r="I13" s="122"/>
      <c r="M13" s="6">
        <f>SUM(M14)</f>
        <v>0</v>
      </c>
      <c r="N13" s="6">
        <f>SUM(N14)</f>
        <v>0</v>
      </c>
      <c r="O13" s="6">
        <f>SUM(O14)</f>
        <v>0</v>
      </c>
      <c r="S13" s="6">
        <f>SUM(S14)</f>
        <v>0</v>
      </c>
      <c r="T13" s="6">
        <f>SUM(T14)</f>
        <v>243564</v>
      </c>
      <c r="U13" s="6">
        <f>SUM(U14)</f>
        <v>243564</v>
      </c>
      <c r="Y13" s="9">
        <f>SUM(Y14)</f>
        <v>0</v>
      </c>
      <c r="Z13" s="9">
        <f>SUM(Z14)</f>
        <v>202970</v>
      </c>
      <c r="AA13" s="9">
        <f>SUM(AA14)</f>
        <v>202970</v>
      </c>
      <c r="AD13" s="4">
        <v>339118774</v>
      </c>
      <c r="AE13" s="4">
        <v>29565805</v>
      </c>
    </row>
    <row r="14" spans="1:35" ht="36" x14ac:dyDescent="0.3">
      <c r="A14" s="10" t="s">
        <v>53</v>
      </c>
      <c r="B14" s="10" t="s">
        <v>54</v>
      </c>
      <c r="C14" s="14" t="s">
        <v>55</v>
      </c>
      <c r="D14" s="15"/>
      <c r="E14" s="15" t="s">
        <v>56</v>
      </c>
      <c r="F14" s="15" t="s">
        <v>57</v>
      </c>
      <c r="G14" s="16">
        <v>1</v>
      </c>
      <c r="H14" s="16"/>
      <c r="I14" s="16">
        <v>12</v>
      </c>
      <c r="J14" s="17">
        <v>0</v>
      </c>
      <c r="K14" s="18">
        <v>0</v>
      </c>
      <c r="L14" s="17">
        <f>J14+ROUND(K14, 2)</f>
        <v>0</v>
      </c>
      <c r="M14" s="17">
        <v>0</v>
      </c>
      <c r="N14" s="17">
        <v>0</v>
      </c>
      <c r="O14" s="17">
        <f>M14+N14</f>
        <v>0</v>
      </c>
      <c r="P14" s="17">
        <v>0</v>
      </c>
      <c r="Q14" s="18">
        <v>20297</v>
      </c>
      <c r="R14" s="17">
        <f>P14+ROUND(Q14, 2)</f>
        <v>20297</v>
      </c>
      <c r="S14" s="17">
        <v>0</v>
      </c>
      <c r="T14" s="17">
        <v>243564</v>
      </c>
      <c r="U14" s="17">
        <f>S14+T14</f>
        <v>243564</v>
      </c>
      <c r="V14" s="9"/>
      <c r="W14" s="9">
        <f>ROUND(Q14 / 1.2, 2)</f>
        <v>16914.169999999998</v>
      </c>
      <c r="X14" s="9">
        <f>ROUND(R14 / 1.2, 2)</f>
        <v>16914.169999999998</v>
      </c>
      <c r="Y14" s="9"/>
      <c r="Z14" s="9">
        <f>ROUND(T14 / 1.2, 2)</f>
        <v>202970</v>
      </c>
      <c r="AA14" s="9">
        <f>Y14+Z14</f>
        <v>202970</v>
      </c>
      <c r="AD14" s="4">
        <v>339118776</v>
      </c>
      <c r="AE14" s="4">
        <v>29565814</v>
      </c>
      <c r="AG14" s="4" t="s">
        <v>58</v>
      </c>
      <c r="AH14" s="4" t="s">
        <v>59</v>
      </c>
      <c r="AI14" s="4" t="s">
        <v>60</v>
      </c>
    </row>
    <row r="15" spans="1:35" ht="16.95" customHeight="1" x14ac:dyDescent="0.3">
      <c r="A15" s="10" t="s">
        <v>61</v>
      </c>
      <c r="B15" s="10" t="s">
        <v>62</v>
      </c>
      <c r="C15" s="120" t="s">
        <v>63</v>
      </c>
      <c r="D15" s="121"/>
      <c r="E15" s="121"/>
      <c r="F15" s="121"/>
      <c r="G15" s="121"/>
      <c r="H15" s="121"/>
      <c r="I15" s="122"/>
      <c r="M15" s="6">
        <f>SUM(M16,M17)</f>
        <v>0</v>
      </c>
      <c r="N15" s="6">
        <f>SUM(N16,N17)</f>
        <v>689590.72</v>
      </c>
      <c r="O15" s="6">
        <f>SUM(O16,O17)</f>
        <v>689590.72</v>
      </c>
      <c r="S15" s="6">
        <f>SUM(S16,S17)</f>
        <v>0</v>
      </c>
      <c r="T15" s="6">
        <f>SUM(T16,T17)</f>
        <v>2540900.7999999998</v>
      </c>
      <c r="U15" s="6">
        <f>SUM(U16,U17)</f>
        <v>2540900.7999999998</v>
      </c>
      <c r="Y15" s="9">
        <f>SUM(Y16,Y17)</f>
        <v>0</v>
      </c>
      <c r="Z15" s="9">
        <f>SUM(Z16,Z17)</f>
        <v>2117417.33</v>
      </c>
      <c r="AA15" s="9">
        <f>SUM(AA16,AA17)</f>
        <v>2117417.33</v>
      </c>
      <c r="AD15" s="4">
        <v>339118777</v>
      </c>
      <c r="AE15" s="4">
        <v>29565803</v>
      </c>
    </row>
    <row r="16" spans="1:35" ht="234" x14ac:dyDescent="0.3">
      <c r="A16" s="10" t="s">
        <v>64</v>
      </c>
      <c r="B16" s="10" t="s">
        <v>65</v>
      </c>
      <c r="C16" s="14" t="s">
        <v>66</v>
      </c>
      <c r="D16" s="15"/>
      <c r="E16" s="15" t="s">
        <v>67</v>
      </c>
      <c r="F16" s="15" t="s">
        <v>68</v>
      </c>
      <c r="G16" s="16">
        <v>1</v>
      </c>
      <c r="H16" s="16"/>
      <c r="I16" s="16">
        <v>28926.720000000001</v>
      </c>
      <c r="J16" s="17">
        <v>0</v>
      </c>
      <c r="K16" s="18">
        <v>0</v>
      </c>
      <c r="L16" s="17">
        <f>J16+ROUND(K16, 2)</f>
        <v>0</v>
      </c>
      <c r="M16" s="17">
        <v>0</v>
      </c>
      <c r="N16" s="17">
        <v>0</v>
      </c>
      <c r="O16" s="17">
        <f>M16+N16</f>
        <v>0</v>
      </c>
      <c r="P16" s="17">
        <v>0</v>
      </c>
      <c r="Q16" s="18">
        <v>64</v>
      </c>
      <c r="R16" s="17">
        <f>P16+ROUND(Q16, 2)</f>
        <v>64</v>
      </c>
      <c r="S16" s="17">
        <v>0</v>
      </c>
      <c r="T16" s="17">
        <v>1851310.0800000001</v>
      </c>
      <c r="U16" s="17">
        <f>S16+T16</f>
        <v>1851310.0800000001</v>
      </c>
      <c r="V16" s="9"/>
      <c r="W16" s="9">
        <f>ROUND(Q16 / 1.2, 2)</f>
        <v>53.33</v>
      </c>
      <c r="X16" s="9">
        <f>ROUND(R16 / 1.2, 2)</f>
        <v>53.33</v>
      </c>
      <c r="Y16" s="9"/>
      <c r="Z16" s="9">
        <f>ROUND(T16 / 1.2, 2)</f>
        <v>1542758.3999999999</v>
      </c>
      <c r="AA16" s="9">
        <f>Y16+Z16</f>
        <v>1542758.3999999999</v>
      </c>
      <c r="AD16" s="4">
        <v>339118779</v>
      </c>
      <c r="AE16" s="4">
        <v>29567161</v>
      </c>
      <c r="AG16" s="4" t="s">
        <v>69</v>
      </c>
      <c r="AH16" s="4" t="s">
        <v>70</v>
      </c>
      <c r="AI16" s="4" t="s">
        <v>60</v>
      </c>
    </row>
    <row r="17" spans="1:35" ht="90" x14ac:dyDescent="0.3">
      <c r="A17" s="10" t="s">
        <v>71</v>
      </c>
      <c r="B17" s="10" t="s">
        <v>72</v>
      </c>
      <c r="C17" s="14" t="s">
        <v>73</v>
      </c>
      <c r="D17" s="15"/>
      <c r="E17" s="15" t="s">
        <v>74</v>
      </c>
      <c r="F17" s="15" t="s">
        <v>75</v>
      </c>
      <c r="G17" s="16">
        <v>1</v>
      </c>
      <c r="H17" s="16"/>
      <c r="I17" s="16">
        <v>879.58</v>
      </c>
      <c r="J17" s="17">
        <v>0</v>
      </c>
      <c r="K17" s="18">
        <v>784</v>
      </c>
      <c r="L17" s="17">
        <f>J17+ROUND(K17, 2)</f>
        <v>784</v>
      </c>
      <c r="M17" s="17">
        <v>0</v>
      </c>
      <c r="N17" s="17">
        <v>689590.72</v>
      </c>
      <c r="O17" s="17">
        <f>M17+N17</f>
        <v>689590.72</v>
      </c>
      <c r="P17" s="17">
        <v>0</v>
      </c>
      <c r="Q17" s="18">
        <v>784</v>
      </c>
      <c r="R17" s="17">
        <f>P17+ROUND(Q17, 2)</f>
        <v>784</v>
      </c>
      <c r="S17" s="17">
        <v>0</v>
      </c>
      <c r="T17" s="17">
        <v>689590.72</v>
      </c>
      <c r="U17" s="17">
        <f>S17+T17</f>
        <v>689590.72</v>
      </c>
      <c r="V17" s="9"/>
      <c r="W17" s="9">
        <f>ROUND(Q17 / 1.2, 2)</f>
        <v>653.33000000000004</v>
      </c>
      <c r="X17" s="9">
        <f>ROUND(R17 / 1.2, 2)</f>
        <v>653.33000000000004</v>
      </c>
      <c r="Y17" s="9"/>
      <c r="Z17" s="9">
        <f>ROUND(T17 / 1.2, 2)</f>
        <v>574658.93000000005</v>
      </c>
      <c r="AA17" s="9">
        <f>Y17+Z17</f>
        <v>574658.93000000005</v>
      </c>
      <c r="AD17" s="4">
        <v>339118781</v>
      </c>
      <c r="AE17" s="4">
        <v>29565815</v>
      </c>
      <c r="AG17" s="4" t="s">
        <v>76</v>
      </c>
      <c r="AH17" s="4" t="s">
        <v>77</v>
      </c>
      <c r="AI17" s="4" t="s">
        <v>60</v>
      </c>
    </row>
    <row r="18" spans="1:35" ht="16.95" customHeight="1" x14ac:dyDescent="0.3">
      <c r="A18" s="10" t="s">
        <v>78</v>
      </c>
      <c r="B18" s="10" t="s">
        <v>79</v>
      </c>
      <c r="C18" s="120" t="s">
        <v>80</v>
      </c>
      <c r="D18" s="121"/>
      <c r="E18" s="121"/>
      <c r="F18" s="121"/>
      <c r="G18" s="121"/>
      <c r="H18" s="121"/>
      <c r="I18" s="122"/>
      <c r="M18" s="6">
        <f>SUM(M19,M20)</f>
        <v>0</v>
      </c>
      <c r="N18" s="6">
        <f>SUM(N19,N20)</f>
        <v>140250</v>
      </c>
      <c r="O18" s="6">
        <f>SUM(O19,O20)</f>
        <v>140250</v>
      </c>
      <c r="S18" s="6">
        <f>SUM(S19,S20)</f>
        <v>0</v>
      </c>
      <c r="T18" s="6">
        <f>SUM(T19,T20)</f>
        <v>140250</v>
      </c>
      <c r="U18" s="6">
        <f>SUM(U19,U20)</f>
        <v>140250</v>
      </c>
      <c r="Y18" s="9">
        <f>SUM(Y19,Y20)</f>
        <v>0</v>
      </c>
      <c r="Z18" s="9">
        <f>SUM(Z19,Z20)</f>
        <v>116875</v>
      </c>
      <c r="AA18" s="9">
        <f>SUM(AA19,AA20)</f>
        <v>116875</v>
      </c>
      <c r="AD18" s="4">
        <v>339118782</v>
      </c>
      <c r="AE18" s="4">
        <v>28999456</v>
      </c>
    </row>
    <row r="19" spans="1:35" ht="36" x14ac:dyDescent="0.3">
      <c r="A19" s="10" t="s">
        <v>81</v>
      </c>
      <c r="B19" s="10" t="s">
        <v>82</v>
      </c>
      <c r="C19" s="14" t="s">
        <v>83</v>
      </c>
      <c r="D19" s="15"/>
      <c r="E19" s="15" t="s">
        <v>84</v>
      </c>
      <c r="F19" s="15" t="s">
        <v>75</v>
      </c>
      <c r="G19" s="16">
        <v>1</v>
      </c>
      <c r="H19" s="16"/>
      <c r="I19" s="16">
        <v>187</v>
      </c>
      <c r="J19" s="17">
        <v>0</v>
      </c>
      <c r="K19" s="18">
        <v>375</v>
      </c>
      <c r="L19" s="17">
        <f>J19+ROUND(K19, 2)</f>
        <v>375</v>
      </c>
      <c r="M19" s="17">
        <v>0</v>
      </c>
      <c r="N19" s="17">
        <v>70125</v>
      </c>
      <c r="O19" s="17">
        <f>M19+N19</f>
        <v>70125</v>
      </c>
      <c r="P19" s="17">
        <v>0</v>
      </c>
      <c r="Q19" s="18">
        <v>375</v>
      </c>
      <c r="R19" s="17">
        <f>P19+ROUND(Q19, 2)</f>
        <v>375</v>
      </c>
      <c r="S19" s="17">
        <v>0</v>
      </c>
      <c r="T19" s="17">
        <v>70125</v>
      </c>
      <c r="U19" s="17">
        <f>S19+T19</f>
        <v>70125</v>
      </c>
      <c r="V19" s="9"/>
      <c r="W19" s="9">
        <f>ROUND(Q19 / 1.2, 2)</f>
        <v>312.5</v>
      </c>
      <c r="X19" s="9">
        <f>ROUND(R19 / 1.2, 2)</f>
        <v>312.5</v>
      </c>
      <c r="Y19" s="9"/>
      <c r="Z19" s="9">
        <f>ROUND(T19 / 1.2, 2)</f>
        <v>58437.5</v>
      </c>
      <c r="AA19" s="9">
        <f>Y19+Z19</f>
        <v>58437.5</v>
      </c>
      <c r="AD19" s="4">
        <v>339118784</v>
      </c>
      <c r="AE19" s="4">
        <v>28999469</v>
      </c>
      <c r="AG19" s="4" t="s">
        <v>85</v>
      </c>
      <c r="AH19" s="4" t="s">
        <v>86</v>
      </c>
      <c r="AI19" s="4" t="s">
        <v>60</v>
      </c>
    </row>
    <row r="20" spans="1:35" ht="36" x14ac:dyDescent="0.3">
      <c r="A20" s="10" t="s">
        <v>87</v>
      </c>
      <c r="B20" s="10" t="s">
        <v>82</v>
      </c>
      <c r="C20" s="14" t="s">
        <v>83</v>
      </c>
      <c r="D20" s="15"/>
      <c r="E20" s="15" t="s">
        <v>88</v>
      </c>
      <c r="F20" s="15" t="s">
        <v>75</v>
      </c>
      <c r="G20" s="16">
        <v>1</v>
      </c>
      <c r="H20" s="16"/>
      <c r="I20" s="16">
        <v>187</v>
      </c>
      <c r="J20" s="17">
        <v>0</v>
      </c>
      <c r="K20" s="18">
        <v>375</v>
      </c>
      <c r="L20" s="17">
        <f>J20+ROUND(K20, 2)</f>
        <v>375</v>
      </c>
      <c r="M20" s="17">
        <v>0</v>
      </c>
      <c r="N20" s="17">
        <v>70125</v>
      </c>
      <c r="O20" s="17">
        <f>M20+N20</f>
        <v>70125</v>
      </c>
      <c r="P20" s="17">
        <v>0</v>
      </c>
      <c r="Q20" s="18">
        <v>375</v>
      </c>
      <c r="R20" s="17">
        <f>P20+ROUND(Q20, 2)</f>
        <v>375</v>
      </c>
      <c r="S20" s="17">
        <v>0</v>
      </c>
      <c r="T20" s="17">
        <v>70125</v>
      </c>
      <c r="U20" s="17">
        <f>S20+T20</f>
        <v>70125</v>
      </c>
      <c r="V20" s="9"/>
      <c r="W20" s="9">
        <f>ROUND(Q20 / 1.2, 2)</f>
        <v>312.5</v>
      </c>
      <c r="X20" s="9">
        <f>ROUND(R20 / 1.2, 2)</f>
        <v>312.5</v>
      </c>
      <c r="Y20" s="9"/>
      <c r="Z20" s="9">
        <f>ROUND(T20 / 1.2, 2)</f>
        <v>58437.5</v>
      </c>
      <c r="AA20" s="9">
        <f>Y20+Z20</f>
        <v>58437.5</v>
      </c>
      <c r="AD20" s="4">
        <v>339118900</v>
      </c>
      <c r="AE20" s="4">
        <v>28999463</v>
      </c>
      <c r="AG20" s="4" t="s">
        <v>85</v>
      </c>
      <c r="AH20" s="4" t="s">
        <v>86</v>
      </c>
      <c r="AI20" s="4" t="s">
        <v>60</v>
      </c>
    </row>
    <row r="21" spans="1:35" ht="16.95" customHeight="1" x14ac:dyDescent="0.3">
      <c r="A21" s="10" t="s">
        <v>89</v>
      </c>
      <c r="B21" s="10" t="s">
        <v>90</v>
      </c>
      <c r="C21" s="120" t="s">
        <v>91</v>
      </c>
      <c r="D21" s="121"/>
      <c r="E21" s="121"/>
      <c r="F21" s="121"/>
      <c r="G21" s="121"/>
      <c r="H21" s="121"/>
      <c r="I21" s="122"/>
      <c r="M21" s="6">
        <f t="shared" ref="M21:O25" si="3">SUM(M22)</f>
        <v>126283.29</v>
      </c>
      <c r="N21" s="6">
        <f t="shared" si="3"/>
        <v>180408.36</v>
      </c>
      <c r="O21" s="6">
        <f t="shared" si="3"/>
        <v>306691.64999999997</v>
      </c>
      <c r="S21" s="6">
        <f t="shared" ref="S21:U25" si="4">SUM(S22)</f>
        <v>126283.29</v>
      </c>
      <c r="T21" s="6">
        <f t="shared" si="4"/>
        <v>180408.36</v>
      </c>
      <c r="U21" s="6">
        <f t="shared" si="4"/>
        <v>306691.64999999997</v>
      </c>
      <c r="Y21" s="9">
        <f t="shared" ref="Y21:AA25" si="5">SUM(Y22)</f>
        <v>105236.08</v>
      </c>
      <c r="Z21" s="9">
        <f t="shared" si="5"/>
        <v>150340.29999999999</v>
      </c>
      <c r="AA21" s="9">
        <f t="shared" si="5"/>
        <v>255576.38</v>
      </c>
      <c r="AD21" s="4">
        <v>339118785</v>
      </c>
      <c r="AE21" s="4">
        <v>25887979</v>
      </c>
    </row>
    <row r="22" spans="1:35" ht="16.95" customHeight="1" x14ac:dyDescent="0.3">
      <c r="A22" s="10" t="s">
        <v>92</v>
      </c>
      <c r="B22" s="10" t="s">
        <v>93</v>
      </c>
      <c r="C22" s="120" t="s">
        <v>94</v>
      </c>
      <c r="D22" s="121"/>
      <c r="E22" s="121"/>
      <c r="F22" s="121"/>
      <c r="G22" s="121"/>
      <c r="H22" s="121"/>
      <c r="I22" s="122"/>
      <c r="M22" s="6">
        <f t="shared" si="3"/>
        <v>126283.29</v>
      </c>
      <c r="N22" s="6">
        <f t="shared" si="3"/>
        <v>180408.36</v>
      </c>
      <c r="O22" s="6">
        <f t="shared" si="3"/>
        <v>306691.64999999997</v>
      </c>
      <c r="S22" s="6">
        <f t="shared" si="4"/>
        <v>126283.29</v>
      </c>
      <c r="T22" s="6">
        <f t="shared" si="4"/>
        <v>180408.36</v>
      </c>
      <c r="U22" s="6">
        <f t="shared" si="4"/>
        <v>306691.64999999997</v>
      </c>
      <c r="Y22" s="9">
        <f t="shared" si="5"/>
        <v>105236.08</v>
      </c>
      <c r="Z22" s="9">
        <f t="shared" si="5"/>
        <v>150340.29999999999</v>
      </c>
      <c r="AA22" s="9">
        <f t="shared" si="5"/>
        <v>255576.38</v>
      </c>
      <c r="AD22" s="4">
        <v>339118786</v>
      </c>
      <c r="AE22" s="4">
        <v>25887950</v>
      </c>
    </row>
    <row r="23" spans="1:35" ht="16.95" customHeight="1" x14ac:dyDescent="0.3">
      <c r="A23" s="10" t="s">
        <v>95</v>
      </c>
      <c r="B23" s="10" t="s">
        <v>96</v>
      </c>
      <c r="C23" s="120" t="s">
        <v>97</v>
      </c>
      <c r="D23" s="121"/>
      <c r="E23" s="121"/>
      <c r="F23" s="121"/>
      <c r="G23" s="121"/>
      <c r="H23" s="121"/>
      <c r="I23" s="122"/>
      <c r="M23" s="6">
        <f t="shared" si="3"/>
        <v>126283.29</v>
      </c>
      <c r="N23" s="6">
        <f t="shared" si="3"/>
        <v>180408.36</v>
      </c>
      <c r="O23" s="6">
        <f t="shared" si="3"/>
        <v>306691.64999999997</v>
      </c>
      <c r="S23" s="6">
        <f t="shared" si="4"/>
        <v>126283.29</v>
      </c>
      <c r="T23" s="6">
        <f t="shared" si="4"/>
        <v>180408.36</v>
      </c>
      <c r="U23" s="6">
        <f t="shared" si="4"/>
        <v>306691.64999999997</v>
      </c>
      <c r="Y23" s="9">
        <f t="shared" si="5"/>
        <v>105236.08</v>
      </c>
      <c r="Z23" s="9">
        <f t="shared" si="5"/>
        <v>150340.29999999999</v>
      </c>
      <c r="AA23" s="9">
        <f t="shared" si="5"/>
        <v>255576.38</v>
      </c>
      <c r="AD23" s="4">
        <v>339118787</v>
      </c>
      <c r="AE23" s="4">
        <v>25887939</v>
      </c>
    </row>
    <row r="24" spans="1:35" ht="16.95" customHeight="1" x14ac:dyDescent="0.3">
      <c r="A24" s="10" t="s">
        <v>98</v>
      </c>
      <c r="B24" s="10" t="s">
        <v>99</v>
      </c>
      <c r="C24" s="120" t="s">
        <v>100</v>
      </c>
      <c r="D24" s="121"/>
      <c r="E24" s="121"/>
      <c r="F24" s="121"/>
      <c r="G24" s="121"/>
      <c r="H24" s="121"/>
      <c r="I24" s="122"/>
      <c r="M24" s="6">
        <f t="shared" si="3"/>
        <v>126283.29</v>
      </c>
      <c r="N24" s="6">
        <f t="shared" si="3"/>
        <v>180408.36</v>
      </c>
      <c r="O24" s="6">
        <f t="shared" si="3"/>
        <v>306691.64999999997</v>
      </c>
      <c r="S24" s="6">
        <f t="shared" si="4"/>
        <v>126283.29</v>
      </c>
      <c r="T24" s="6">
        <f t="shared" si="4"/>
        <v>180408.36</v>
      </c>
      <c r="U24" s="6">
        <f t="shared" si="4"/>
        <v>306691.64999999997</v>
      </c>
      <c r="Y24" s="9">
        <f t="shared" si="5"/>
        <v>105236.08</v>
      </c>
      <c r="Z24" s="9">
        <f t="shared" si="5"/>
        <v>150340.29999999999</v>
      </c>
      <c r="AA24" s="9">
        <f t="shared" si="5"/>
        <v>255576.38</v>
      </c>
      <c r="AD24" s="4">
        <v>339118788</v>
      </c>
      <c r="AE24" s="4">
        <v>25887952</v>
      </c>
    </row>
    <row r="25" spans="1:35" ht="16.95" customHeight="1" x14ac:dyDescent="0.3">
      <c r="A25" s="10" t="s">
        <v>101</v>
      </c>
      <c r="B25" s="10" t="s">
        <v>102</v>
      </c>
      <c r="C25" s="120" t="s">
        <v>103</v>
      </c>
      <c r="D25" s="121"/>
      <c r="E25" s="121"/>
      <c r="F25" s="121"/>
      <c r="G25" s="121"/>
      <c r="H25" s="121"/>
      <c r="I25" s="122"/>
      <c r="M25" s="6">
        <f t="shared" si="3"/>
        <v>126283.29</v>
      </c>
      <c r="N25" s="6">
        <f t="shared" si="3"/>
        <v>180408.36</v>
      </c>
      <c r="O25" s="6">
        <f t="shared" si="3"/>
        <v>306691.64999999997</v>
      </c>
      <c r="S25" s="6">
        <f t="shared" si="4"/>
        <v>126283.29</v>
      </c>
      <c r="T25" s="6">
        <f t="shared" si="4"/>
        <v>180408.36</v>
      </c>
      <c r="U25" s="6">
        <f t="shared" si="4"/>
        <v>306691.64999999997</v>
      </c>
      <c r="Y25" s="9">
        <f t="shared" si="5"/>
        <v>105236.08</v>
      </c>
      <c r="Z25" s="9">
        <f t="shared" si="5"/>
        <v>150340.29999999999</v>
      </c>
      <c r="AA25" s="9">
        <f t="shared" si="5"/>
        <v>255576.38</v>
      </c>
      <c r="AD25" s="4">
        <v>339118789</v>
      </c>
      <c r="AE25" s="4">
        <v>25887940</v>
      </c>
    </row>
    <row r="26" spans="1:35" ht="72" x14ac:dyDescent="0.3">
      <c r="A26" s="10" t="s">
        <v>104</v>
      </c>
      <c r="B26" s="10" t="s">
        <v>105</v>
      </c>
      <c r="C26" s="14" t="s">
        <v>106</v>
      </c>
      <c r="D26" s="15" t="s">
        <v>107</v>
      </c>
      <c r="E26" s="15" t="s">
        <v>108</v>
      </c>
      <c r="F26" s="15" t="s">
        <v>75</v>
      </c>
      <c r="G26" s="16">
        <v>1</v>
      </c>
      <c r="H26" s="16"/>
      <c r="I26" s="16">
        <v>128.04</v>
      </c>
      <c r="J26" s="17">
        <v>986.28</v>
      </c>
      <c r="K26" s="18">
        <v>1409</v>
      </c>
      <c r="L26" s="17">
        <f>J26+ROUND(K26, 2)</f>
        <v>2395.2799999999997</v>
      </c>
      <c r="M26" s="17">
        <v>126283.29</v>
      </c>
      <c r="N26" s="17">
        <v>180408.36</v>
      </c>
      <c r="O26" s="17">
        <f>M26+N26</f>
        <v>306691.64999999997</v>
      </c>
      <c r="P26" s="17">
        <v>986.28</v>
      </c>
      <c r="Q26" s="18">
        <v>1409</v>
      </c>
      <c r="R26" s="17">
        <f>P26+ROUND(Q26, 2)</f>
        <v>2395.2799999999997</v>
      </c>
      <c r="S26" s="17">
        <v>126283.29</v>
      </c>
      <c r="T26" s="17">
        <v>180408.36</v>
      </c>
      <c r="U26" s="17">
        <f>S26+T26</f>
        <v>306691.64999999997</v>
      </c>
      <c r="V26" s="9">
        <f>ROUND(P26 / 1.2, 2)</f>
        <v>821.9</v>
      </c>
      <c r="W26" s="9">
        <f>ROUND(Q26 / 1.2, 2)</f>
        <v>1174.17</v>
      </c>
      <c r="X26" s="9">
        <f>ROUND(R26 / 1.2, 2)</f>
        <v>1996.07</v>
      </c>
      <c r="Y26" s="9">
        <f>ROUND(S26 / 1.2, 2)</f>
        <v>105236.08</v>
      </c>
      <c r="Z26" s="9">
        <f>ROUND(T26 / 1.2, 2)</f>
        <v>150340.29999999999</v>
      </c>
      <c r="AA26" s="9">
        <f>Y26+Z26</f>
        <v>255576.38</v>
      </c>
      <c r="AD26" s="4">
        <v>339118791</v>
      </c>
      <c r="AE26" s="4">
        <v>25887983</v>
      </c>
      <c r="AG26" s="4" t="s">
        <v>109</v>
      </c>
      <c r="AH26" s="4" t="s">
        <v>110</v>
      </c>
      <c r="AI26" s="4" t="s">
        <v>111</v>
      </c>
    </row>
    <row r="27" spans="1:35" ht="72" x14ac:dyDescent="0.3">
      <c r="A27" s="10" t="s">
        <v>112</v>
      </c>
      <c r="B27" s="10"/>
      <c r="C27" s="24" t="s">
        <v>113</v>
      </c>
      <c r="D27" s="15"/>
      <c r="E27" s="15"/>
      <c r="F27" s="25" t="s">
        <v>114</v>
      </c>
      <c r="G27" s="26">
        <v>1</v>
      </c>
      <c r="H27" s="26"/>
      <c r="I27" s="26">
        <v>128.04</v>
      </c>
      <c r="J27" s="27">
        <v>111.15</v>
      </c>
      <c r="M27" s="28">
        <f>ROUND(ROUND(J27, 2)*I27, 2)</f>
        <v>14231.65</v>
      </c>
      <c r="P27" s="27">
        <v>111.15</v>
      </c>
      <c r="S27" s="28">
        <f>ROUND(ROUND(P27, 2)*I27, 2)</f>
        <v>14231.65</v>
      </c>
      <c r="V27" s="9">
        <f>ROUND(ROUND(P27, 2)/1.2, 2)</f>
        <v>92.63</v>
      </c>
      <c r="Y27" s="9">
        <f>ROUND(S27 / 1.2, 2)</f>
        <v>11859.71</v>
      </c>
      <c r="AD27" s="4" t="s">
        <v>115</v>
      </c>
      <c r="AE27" s="4" t="s">
        <v>116</v>
      </c>
      <c r="AF27" s="4" t="s">
        <v>117</v>
      </c>
    </row>
    <row r="28" spans="1:35" ht="18" x14ac:dyDescent="0.3">
      <c r="A28" s="10" t="s">
        <v>118</v>
      </c>
      <c r="B28" s="10"/>
      <c r="C28" s="30" t="s">
        <v>119</v>
      </c>
      <c r="D28" s="15"/>
      <c r="E28" s="15"/>
      <c r="F28" s="25" t="s">
        <v>120</v>
      </c>
      <c r="G28" s="31">
        <v>2.1</v>
      </c>
      <c r="H28" s="26"/>
      <c r="I28" s="26">
        <v>268.88400000000001</v>
      </c>
      <c r="J28" s="27">
        <v>70.97</v>
      </c>
      <c r="M28" s="28">
        <f>ROUND(ROUND(J28, 2)*I28, 2)</f>
        <v>19082.7</v>
      </c>
      <c r="P28" s="27">
        <v>70.97</v>
      </c>
      <c r="S28" s="28">
        <f>ROUND(ROUND(P28, 2)*I28, 2)</f>
        <v>19082.7</v>
      </c>
      <c r="V28" s="9">
        <f>ROUND(ROUND(P28, 2)/1.2, 2)</f>
        <v>59.14</v>
      </c>
      <c r="Y28" s="9">
        <f>ROUND(S28 / 1.2, 2)</f>
        <v>15902.25</v>
      </c>
      <c r="AD28" s="4" t="s">
        <v>121</v>
      </c>
      <c r="AE28" s="4" t="s">
        <v>122</v>
      </c>
      <c r="AF28" s="4" t="s">
        <v>123</v>
      </c>
    </row>
    <row r="29" spans="1:35" ht="18" x14ac:dyDescent="0.3">
      <c r="A29" s="10" t="s">
        <v>124</v>
      </c>
      <c r="B29" s="10"/>
      <c r="C29" s="30" t="s">
        <v>125</v>
      </c>
      <c r="D29" s="15"/>
      <c r="E29" s="15"/>
      <c r="F29" s="25" t="s">
        <v>120</v>
      </c>
      <c r="G29" s="31">
        <v>0.8</v>
      </c>
      <c r="H29" s="26"/>
      <c r="I29" s="26">
        <v>102.432</v>
      </c>
      <c r="J29" s="27">
        <v>56.76</v>
      </c>
      <c r="M29" s="28">
        <f>ROUND(ROUND(J29, 2)*I29, 2)</f>
        <v>5814.04</v>
      </c>
      <c r="P29" s="27">
        <v>56.76</v>
      </c>
      <c r="S29" s="28">
        <f>ROUND(ROUND(P29, 2)*I29, 2)</f>
        <v>5814.04</v>
      </c>
      <c r="V29" s="9">
        <f>ROUND(ROUND(P29, 2)/1.2, 2)</f>
        <v>47.3</v>
      </c>
      <c r="Y29" s="9">
        <f>ROUND(S29 / 1.2, 2)</f>
        <v>4845.03</v>
      </c>
      <c r="AD29" s="4" t="s">
        <v>126</v>
      </c>
      <c r="AE29" s="4" t="s">
        <v>127</v>
      </c>
      <c r="AF29" s="4" t="s">
        <v>128</v>
      </c>
    </row>
    <row r="30" spans="1:35" ht="18" x14ac:dyDescent="0.3">
      <c r="A30" s="10" t="s">
        <v>129</v>
      </c>
      <c r="B30" s="10"/>
      <c r="C30" s="30" t="s">
        <v>130</v>
      </c>
      <c r="D30" s="15"/>
      <c r="E30" s="15"/>
      <c r="F30" s="25" t="s">
        <v>75</v>
      </c>
      <c r="G30" s="26">
        <v>2.2000000000000002</v>
      </c>
      <c r="H30" s="26"/>
      <c r="I30" s="26">
        <v>281.68799999999999</v>
      </c>
      <c r="J30" s="27">
        <v>309.39999999999998</v>
      </c>
      <c r="M30" s="28">
        <f>ROUND(ROUND(J30, 2)*I30, 2)</f>
        <v>87154.27</v>
      </c>
      <c r="P30" s="27">
        <v>309.39999999999998</v>
      </c>
      <c r="S30" s="28">
        <f>ROUND(ROUND(P30, 2)*I30, 2)</f>
        <v>87154.27</v>
      </c>
      <c r="V30" s="9">
        <f>ROUND(ROUND(P30, 2)/1.2, 2)</f>
        <v>257.83</v>
      </c>
      <c r="Y30" s="9">
        <f>ROUND(S30 / 1.2, 2)</f>
        <v>72628.56</v>
      </c>
      <c r="AD30" s="4" t="s">
        <v>131</v>
      </c>
      <c r="AE30" s="4" t="s">
        <v>132</v>
      </c>
      <c r="AF30" s="4" t="s">
        <v>133</v>
      </c>
    </row>
    <row r="31" spans="1:35" ht="16.95" customHeight="1" x14ac:dyDescent="0.3">
      <c r="A31" s="10" t="s">
        <v>134</v>
      </c>
      <c r="B31" s="10" t="s">
        <v>135</v>
      </c>
      <c r="C31" s="120" t="s">
        <v>136</v>
      </c>
      <c r="D31" s="121"/>
      <c r="E31" s="121"/>
      <c r="F31" s="121"/>
      <c r="G31" s="121"/>
      <c r="H31" s="121"/>
      <c r="I31" s="122"/>
      <c r="M31" s="6">
        <f t="shared" ref="M31:O32" si="6">SUM(M32)</f>
        <v>24590915.689999998</v>
      </c>
      <c r="N31" s="6">
        <f t="shared" si="6"/>
        <v>56511043.260000005</v>
      </c>
      <c r="O31" s="6">
        <f t="shared" si="6"/>
        <v>81101958.950000003</v>
      </c>
      <c r="S31" s="6">
        <f t="shared" ref="S31:U32" si="7">SUM(S32)</f>
        <v>41045672.970000006</v>
      </c>
      <c r="T31" s="6">
        <f t="shared" si="7"/>
        <v>55224431.569999993</v>
      </c>
      <c r="U31" s="6">
        <f t="shared" si="7"/>
        <v>96270104.540000007</v>
      </c>
      <c r="Y31" s="9">
        <f t="shared" ref="Y31:AA32" si="8">SUM(Y32)</f>
        <v>34204727.549999997</v>
      </c>
      <c r="Z31" s="9">
        <f t="shared" si="8"/>
        <v>46020359.670000009</v>
      </c>
      <c r="AA31" s="9">
        <f t="shared" si="8"/>
        <v>80225087.219999999</v>
      </c>
      <c r="AD31" s="4">
        <v>339118792</v>
      </c>
      <c r="AE31" s="4">
        <v>25887945</v>
      </c>
    </row>
    <row r="32" spans="1:35" ht="16.95" customHeight="1" x14ac:dyDescent="0.3">
      <c r="A32" s="10" t="s">
        <v>137</v>
      </c>
      <c r="B32" s="10" t="s">
        <v>138</v>
      </c>
      <c r="C32" s="120" t="s">
        <v>139</v>
      </c>
      <c r="D32" s="121"/>
      <c r="E32" s="121"/>
      <c r="F32" s="121"/>
      <c r="G32" s="121"/>
      <c r="H32" s="121"/>
      <c r="I32" s="122"/>
      <c r="M32" s="6">
        <f t="shared" si="6"/>
        <v>24590915.689999998</v>
      </c>
      <c r="N32" s="6">
        <f t="shared" si="6"/>
        <v>56511043.260000005</v>
      </c>
      <c r="O32" s="6">
        <f t="shared" si="6"/>
        <v>81101958.950000003</v>
      </c>
      <c r="S32" s="6">
        <f t="shared" si="7"/>
        <v>41045672.970000006</v>
      </c>
      <c r="T32" s="6">
        <f t="shared" si="7"/>
        <v>55224431.569999993</v>
      </c>
      <c r="U32" s="6">
        <f t="shared" si="7"/>
        <v>96270104.540000007</v>
      </c>
      <c r="Y32" s="9">
        <f t="shared" si="8"/>
        <v>34204727.549999997</v>
      </c>
      <c r="Z32" s="9">
        <f t="shared" si="8"/>
        <v>46020359.670000009</v>
      </c>
      <c r="AA32" s="9">
        <f t="shared" si="8"/>
        <v>80225087.219999999</v>
      </c>
      <c r="AD32" s="4">
        <v>339118793</v>
      </c>
      <c r="AE32" s="4">
        <v>25887953</v>
      </c>
    </row>
    <row r="33" spans="1:35" ht="16.95" customHeight="1" x14ac:dyDescent="0.3">
      <c r="A33" s="10" t="s">
        <v>140</v>
      </c>
      <c r="B33" s="10" t="s">
        <v>141</v>
      </c>
      <c r="C33" s="120" t="s">
        <v>142</v>
      </c>
      <c r="D33" s="121"/>
      <c r="E33" s="121"/>
      <c r="F33" s="121"/>
      <c r="G33" s="121"/>
      <c r="H33" s="121"/>
      <c r="I33" s="122"/>
      <c r="M33" s="6">
        <f>SUM(M34,M200,M335,M393,M454)</f>
        <v>24590915.689999998</v>
      </c>
      <c r="N33" s="6">
        <f>SUM(N34,N200,N335,N393,N454)</f>
        <v>56511043.260000005</v>
      </c>
      <c r="O33" s="6">
        <f>SUM(O34,O200,O335,O393,O454)</f>
        <v>81101958.950000003</v>
      </c>
      <c r="S33" s="6">
        <f>SUM(S34,S200,S335,S393,S454)</f>
        <v>41045672.970000006</v>
      </c>
      <c r="T33" s="6">
        <f>SUM(T34,T200,T335,T393,T454)</f>
        <v>55224431.569999993</v>
      </c>
      <c r="U33" s="6">
        <f>SUM(U34,U200,U335,U393,U454)</f>
        <v>96270104.540000007</v>
      </c>
      <c r="Y33" s="9">
        <f>SUM(Y34,Y200,Y335,Y393,Y454)</f>
        <v>34204727.549999997</v>
      </c>
      <c r="Z33" s="9">
        <f>SUM(Z34,Z200,Z335,Z393,Z454)</f>
        <v>46020359.670000009</v>
      </c>
      <c r="AA33" s="9">
        <f>SUM(AA34,AA200,AA335,AA393,AA454)</f>
        <v>80225087.219999999</v>
      </c>
      <c r="AD33" s="4">
        <v>339118794</v>
      </c>
      <c r="AE33" s="4">
        <v>25887974</v>
      </c>
    </row>
    <row r="34" spans="1:35" ht="16.95" customHeight="1" x14ac:dyDescent="0.3">
      <c r="A34" s="10" t="s">
        <v>143</v>
      </c>
      <c r="B34" s="10" t="s">
        <v>144</v>
      </c>
      <c r="C34" s="120" t="s">
        <v>145</v>
      </c>
      <c r="D34" s="121"/>
      <c r="E34" s="121"/>
      <c r="F34" s="121"/>
      <c r="G34" s="121"/>
      <c r="H34" s="121"/>
      <c r="I34" s="122"/>
      <c r="M34" s="6">
        <f>SUM(M35,M102,M113,M197)</f>
        <v>16450255.149999999</v>
      </c>
      <c r="N34" s="6">
        <f>SUM(N35,N102,N113,N197)</f>
        <v>17727542.520000003</v>
      </c>
      <c r="O34" s="6">
        <f>SUM(O35,O102,O113,O197)</f>
        <v>34177797.670000002</v>
      </c>
      <c r="S34" s="6">
        <f>SUM(S35,S102,S113,S197)</f>
        <v>26143227.240000002</v>
      </c>
      <c r="T34" s="6">
        <f>SUM(T35,T102,T113,T197)</f>
        <v>16459582.609999999</v>
      </c>
      <c r="U34" s="6">
        <f>SUM(U35,U102,U113,U197)</f>
        <v>42602809.850000009</v>
      </c>
      <c r="Y34" s="9">
        <f>SUM(Y35,Y102,Y113,Y197)</f>
        <v>21786022.73</v>
      </c>
      <c r="Z34" s="9">
        <f>SUM(Z35,Z102,Z113,Z197)</f>
        <v>13716318.84</v>
      </c>
      <c r="AA34" s="9">
        <f>SUM(AA35,AA102,AA113,AA197)</f>
        <v>35502341.57</v>
      </c>
      <c r="AD34" s="4">
        <v>339118795</v>
      </c>
      <c r="AE34" s="4">
        <v>25887978</v>
      </c>
    </row>
    <row r="35" spans="1:35" ht="16.95" customHeight="1" x14ac:dyDescent="0.3">
      <c r="A35" s="10" t="s">
        <v>146</v>
      </c>
      <c r="B35" s="10" t="s">
        <v>147</v>
      </c>
      <c r="C35" s="120" t="s">
        <v>148</v>
      </c>
      <c r="D35" s="121"/>
      <c r="E35" s="121"/>
      <c r="F35" s="121"/>
      <c r="G35" s="121"/>
      <c r="H35" s="121"/>
      <c r="I35" s="122"/>
      <c r="M35" s="6">
        <f>SUM(M36,M40,M44,M46,M48,M50,M53,M55,M60,M65,M70,M76,M81,M86,M91,M97)</f>
        <v>5011332.5799999991</v>
      </c>
      <c r="N35" s="6">
        <f>SUM(N36,N40,N44,N46,N48,N50,N53,N55,N60,N65,N70,N76,N81,N86,N91,N97)</f>
        <v>6043033.25</v>
      </c>
      <c r="O35" s="6">
        <f>SUM(O36,O40,O44,O46,O48,O50,O53,O55,O60,O65,O70,O76,O81,O86,O91,O97)</f>
        <v>11054365.83</v>
      </c>
      <c r="S35" s="6">
        <f>SUM(S36,S40,S44,S46,S48,S50,S53,S55,S60,S65,S70,S76,S81,S86,S91,S97)</f>
        <v>5011329.59</v>
      </c>
      <c r="T35" s="6">
        <f>SUM(T36,T40,T44,T46,T48,T50,T53,T55,T60,T65,T70,T76,T81,T86,T91,T97)</f>
        <v>5834960.5300000003</v>
      </c>
      <c r="U35" s="6">
        <f>SUM(U36,U40,U44,U46,U48,U50,U53,U55,U60,U65,U70,U76,U81,U86,U91,U97)</f>
        <v>10846290.120000001</v>
      </c>
      <c r="Y35" s="9">
        <f>SUM(Y36,Y40,Y44,Y46,Y48,Y50,Y53,Y55,Y60,Y65,Y70,Y76,Y81,Y86,Y91,Y97)</f>
        <v>4176107.9999999995</v>
      </c>
      <c r="Z35" s="9">
        <f>SUM(Z36,Z40,Z44,Z46,Z48,Z50,Z53,Z55,Z60,Z65,Z70,Z76,Z81,Z86,Z91,Z97)</f>
        <v>4862467.1100000003</v>
      </c>
      <c r="AA35" s="9">
        <f>SUM(AA36,AA40,AA44,AA46,AA48,AA50,AA53,AA55,AA60,AA65,AA70,AA76,AA81,AA86,AA91,AA97)</f>
        <v>9038575.1099999994</v>
      </c>
      <c r="AD35" s="4">
        <v>339118796</v>
      </c>
      <c r="AE35" s="4">
        <v>25887971</v>
      </c>
    </row>
    <row r="36" spans="1:35" ht="54" x14ac:dyDescent="0.3">
      <c r="A36" s="10" t="s">
        <v>149</v>
      </c>
      <c r="B36" s="10" t="s">
        <v>150</v>
      </c>
      <c r="C36" s="14" t="s">
        <v>151</v>
      </c>
      <c r="D36" s="15" t="s">
        <v>152</v>
      </c>
      <c r="E36" s="15" t="s">
        <v>153</v>
      </c>
      <c r="F36" s="15" t="s">
        <v>75</v>
      </c>
      <c r="G36" s="16">
        <v>1</v>
      </c>
      <c r="H36" s="16"/>
      <c r="I36" s="16">
        <v>4905.38</v>
      </c>
      <c r="J36" s="17">
        <v>187.76</v>
      </c>
      <c r="K36" s="18">
        <v>400</v>
      </c>
      <c r="L36" s="17">
        <f>J36+ROUND(K36, 2)</f>
        <v>587.76</v>
      </c>
      <c r="M36" s="17">
        <v>921034.15</v>
      </c>
      <c r="N36" s="17">
        <v>1962152</v>
      </c>
      <c r="O36" s="17">
        <f>M36+N36</f>
        <v>2883186.15</v>
      </c>
      <c r="P36" s="17">
        <v>187.76</v>
      </c>
      <c r="Q36" s="18">
        <v>400</v>
      </c>
      <c r="R36" s="17">
        <f>P36+ROUND(Q36, 2)</f>
        <v>587.76</v>
      </c>
      <c r="S36" s="17">
        <v>921034.15</v>
      </c>
      <c r="T36" s="17">
        <v>1962152</v>
      </c>
      <c r="U36" s="17">
        <f>S36+T36</f>
        <v>2883186.15</v>
      </c>
      <c r="V36" s="9">
        <f>ROUND(P36 / 1.2, 2)</f>
        <v>156.47</v>
      </c>
      <c r="W36" s="9">
        <f>ROUND(Q36 / 1.2, 2)</f>
        <v>333.33</v>
      </c>
      <c r="X36" s="9">
        <f>ROUND(R36 / 1.2, 2)</f>
        <v>489.8</v>
      </c>
      <c r="Y36" s="9">
        <f>ROUND(S36 / 1.2, 2)</f>
        <v>767528.46</v>
      </c>
      <c r="Z36" s="9">
        <f>ROUND(T36 / 1.2, 2)</f>
        <v>1635126.67</v>
      </c>
      <c r="AA36" s="9">
        <f>Y36+Z36</f>
        <v>2402655.13</v>
      </c>
      <c r="AD36" s="4">
        <v>339118798</v>
      </c>
      <c r="AE36" s="4">
        <v>25888012</v>
      </c>
      <c r="AG36" s="4" t="s">
        <v>154</v>
      </c>
      <c r="AH36" s="4" t="s">
        <v>155</v>
      </c>
      <c r="AI36" s="4" t="s">
        <v>156</v>
      </c>
    </row>
    <row r="37" spans="1:35" ht="36" x14ac:dyDescent="0.3">
      <c r="A37" s="10" t="s">
        <v>157</v>
      </c>
      <c r="B37" s="10"/>
      <c r="C37" s="30" t="s">
        <v>158</v>
      </c>
      <c r="D37" s="15"/>
      <c r="E37" s="15"/>
      <c r="F37" s="25" t="s">
        <v>159</v>
      </c>
      <c r="G37" s="26">
        <v>1.6</v>
      </c>
      <c r="H37" s="32"/>
      <c r="I37" s="32">
        <v>78486.080000000002</v>
      </c>
      <c r="J37" s="27">
        <v>9.67</v>
      </c>
      <c r="M37" s="28">
        <f>ROUND(ROUND(J37, 2)*I37, 2)</f>
        <v>758960.39</v>
      </c>
      <c r="P37" s="27">
        <v>9.67</v>
      </c>
      <c r="S37" s="28">
        <f>ROUND(ROUND(P37, 2)*I37, 2)</f>
        <v>758960.39</v>
      </c>
      <c r="V37" s="9">
        <f>ROUND(ROUND(P37, 2)/1.2, 2)</f>
        <v>8.06</v>
      </c>
      <c r="Y37" s="9">
        <f t="shared" ref="Y37:Y68" si="9">ROUND(S37 / 1.2, 2)</f>
        <v>632466.99</v>
      </c>
      <c r="AD37" s="4" t="s">
        <v>160</v>
      </c>
      <c r="AE37" s="4" t="s">
        <v>161</v>
      </c>
      <c r="AF37" s="4" t="s">
        <v>162</v>
      </c>
    </row>
    <row r="38" spans="1:35" ht="18" x14ac:dyDescent="0.3">
      <c r="A38" s="10" t="s">
        <v>163</v>
      </c>
      <c r="B38" s="10"/>
      <c r="C38" s="24" t="s">
        <v>164</v>
      </c>
      <c r="D38" s="15"/>
      <c r="E38" s="15"/>
      <c r="F38" s="25" t="s">
        <v>120</v>
      </c>
      <c r="G38" s="26">
        <v>1</v>
      </c>
      <c r="H38" s="32"/>
      <c r="I38" s="32">
        <v>4905.38</v>
      </c>
      <c r="J38" s="27">
        <v>10.4</v>
      </c>
      <c r="M38" s="28">
        <f>ROUND(ROUND(J38, 2)*I38, 2)</f>
        <v>51015.95</v>
      </c>
      <c r="P38" s="27">
        <v>10.4</v>
      </c>
      <c r="S38" s="28">
        <f>ROUND(ROUND(P38, 2)*I38, 2)</f>
        <v>51015.95</v>
      </c>
      <c r="V38" s="9">
        <f>ROUND(ROUND(P38, 2)/1.2, 2)</f>
        <v>8.67</v>
      </c>
      <c r="Y38" s="9">
        <f t="shared" si="9"/>
        <v>42513.29</v>
      </c>
      <c r="AD38" s="4" t="s">
        <v>165</v>
      </c>
      <c r="AE38" s="4" t="s">
        <v>166</v>
      </c>
      <c r="AF38" s="4" t="s">
        <v>167</v>
      </c>
    </row>
    <row r="39" spans="1:35" ht="36" x14ac:dyDescent="0.3">
      <c r="A39" s="10" t="s">
        <v>168</v>
      </c>
      <c r="B39" s="10"/>
      <c r="C39" s="24" t="s">
        <v>169</v>
      </c>
      <c r="D39" s="15"/>
      <c r="E39" s="15"/>
      <c r="F39" s="25" t="s">
        <v>159</v>
      </c>
      <c r="G39" s="26">
        <v>0.255</v>
      </c>
      <c r="H39" s="32"/>
      <c r="I39" s="32">
        <v>1250.8720000000001</v>
      </c>
      <c r="J39" s="27">
        <v>88.8</v>
      </c>
      <c r="M39" s="28">
        <f>ROUND(ROUND(J39, 2)*I39, 2)</f>
        <v>111077.43</v>
      </c>
      <c r="P39" s="27">
        <v>88.8</v>
      </c>
      <c r="S39" s="28">
        <f>ROUND(ROUND(P39, 2)*I39, 2)</f>
        <v>111077.43</v>
      </c>
      <c r="V39" s="9">
        <f>ROUND(ROUND(P39, 2)/1.2, 2)</f>
        <v>74</v>
      </c>
      <c r="Y39" s="9">
        <f t="shared" si="9"/>
        <v>92564.53</v>
      </c>
      <c r="AD39" s="4" t="s">
        <v>170</v>
      </c>
      <c r="AE39" s="4" t="s">
        <v>171</v>
      </c>
      <c r="AF39" s="4" t="s">
        <v>172</v>
      </c>
    </row>
    <row r="40" spans="1:35" ht="54" x14ac:dyDescent="0.3">
      <c r="A40" s="10" t="s">
        <v>173</v>
      </c>
      <c r="B40" s="10" t="s">
        <v>150</v>
      </c>
      <c r="C40" s="14" t="s">
        <v>174</v>
      </c>
      <c r="D40" s="15" t="s">
        <v>152</v>
      </c>
      <c r="E40" s="15" t="s">
        <v>175</v>
      </c>
      <c r="F40" s="15" t="s">
        <v>75</v>
      </c>
      <c r="G40" s="16">
        <v>1</v>
      </c>
      <c r="H40" s="16"/>
      <c r="I40" s="16">
        <v>1890.45</v>
      </c>
      <c r="J40" s="17">
        <v>181.12</v>
      </c>
      <c r="K40" s="18">
        <v>400</v>
      </c>
      <c r="L40" s="17">
        <f>J40+ROUND(K40, 2)</f>
        <v>581.12</v>
      </c>
      <c r="M40" s="17">
        <v>342398.3</v>
      </c>
      <c r="N40" s="17">
        <v>756180</v>
      </c>
      <c r="O40" s="17">
        <f>M40+N40</f>
        <v>1098578.3</v>
      </c>
      <c r="P40" s="17">
        <v>181.12</v>
      </c>
      <c r="Q40" s="18">
        <v>400</v>
      </c>
      <c r="R40" s="17">
        <f>P40+ROUND(Q40, 2)</f>
        <v>581.12</v>
      </c>
      <c r="S40" s="17">
        <v>342398.3</v>
      </c>
      <c r="T40" s="17">
        <v>756180</v>
      </c>
      <c r="U40" s="17">
        <f>S40+T40</f>
        <v>1098578.3</v>
      </c>
      <c r="V40" s="9">
        <f>ROUND(P40 / 1.2, 2)</f>
        <v>150.93</v>
      </c>
      <c r="W40" s="9">
        <f>ROUND(Q40 / 1.2, 2)</f>
        <v>333.33</v>
      </c>
      <c r="X40" s="9">
        <f>ROUND(R40 / 1.2, 2)</f>
        <v>484.27</v>
      </c>
      <c r="Y40" s="9">
        <f t="shared" si="9"/>
        <v>285331.92</v>
      </c>
      <c r="Z40" s="9">
        <f>ROUND(T40 / 1.2, 2)</f>
        <v>630150</v>
      </c>
      <c r="AA40" s="9">
        <f>Y40+Z40</f>
        <v>915481.91999999993</v>
      </c>
      <c r="AD40" s="4">
        <v>339118901</v>
      </c>
      <c r="AE40" s="4">
        <v>28951149</v>
      </c>
      <c r="AG40" s="4" t="s">
        <v>154</v>
      </c>
      <c r="AH40" s="4" t="s">
        <v>155</v>
      </c>
      <c r="AI40" s="4" t="s">
        <v>156</v>
      </c>
    </row>
    <row r="41" spans="1:35" ht="36" x14ac:dyDescent="0.3">
      <c r="A41" s="10" t="s">
        <v>176</v>
      </c>
      <c r="B41" s="10"/>
      <c r="C41" s="24" t="s">
        <v>169</v>
      </c>
      <c r="D41" s="15"/>
      <c r="E41" s="15"/>
      <c r="F41" s="25" t="s">
        <v>159</v>
      </c>
      <c r="G41" s="26">
        <v>0.255</v>
      </c>
      <c r="H41" s="32"/>
      <c r="I41" s="32">
        <v>482.065</v>
      </c>
      <c r="J41" s="27">
        <v>90.28</v>
      </c>
      <c r="M41" s="28">
        <f>ROUND(ROUND(J41, 2)*I41, 2)</f>
        <v>43520.83</v>
      </c>
      <c r="P41" s="27">
        <v>90.28</v>
      </c>
      <c r="S41" s="28">
        <f>ROUND(ROUND(P41, 2)*I41, 2)</f>
        <v>43520.83</v>
      </c>
      <c r="V41" s="9">
        <f>ROUND(ROUND(P41, 2)/1.2, 2)</f>
        <v>75.23</v>
      </c>
      <c r="Y41" s="9">
        <f t="shared" si="9"/>
        <v>36267.360000000001</v>
      </c>
      <c r="AD41" s="4" t="s">
        <v>177</v>
      </c>
      <c r="AE41" s="4" t="s">
        <v>178</v>
      </c>
      <c r="AF41" s="4" t="s">
        <v>172</v>
      </c>
    </row>
    <row r="42" spans="1:35" ht="18" x14ac:dyDescent="0.3">
      <c r="A42" s="10" t="s">
        <v>179</v>
      </c>
      <c r="B42" s="10"/>
      <c r="C42" s="24" t="s">
        <v>164</v>
      </c>
      <c r="D42" s="15"/>
      <c r="E42" s="15"/>
      <c r="F42" s="25" t="s">
        <v>120</v>
      </c>
      <c r="G42" s="26">
        <v>1</v>
      </c>
      <c r="H42" s="32"/>
      <c r="I42" s="32">
        <v>1890.45</v>
      </c>
      <c r="J42" s="27">
        <v>10.58</v>
      </c>
      <c r="M42" s="28">
        <f>ROUND(ROUND(J42, 2)*I42, 2)</f>
        <v>20000.96</v>
      </c>
      <c r="P42" s="27">
        <v>10.58</v>
      </c>
      <c r="S42" s="28">
        <f>ROUND(ROUND(P42, 2)*I42, 2)</f>
        <v>20000.96</v>
      </c>
      <c r="V42" s="9">
        <f>ROUND(ROUND(P42, 2)/1.2, 2)</f>
        <v>8.82</v>
      </c>
      <c r="Y42" s="9">
        <f t="shared" si="9"/>
        <v>16667.47</v>
      </c>
      <c r="AD42" s="4" t="s">
        <v>180</v>
      </c>
      <c r="AE42" s="4" t="s">
        <v>181</v>
      </c>
      <c r="AF42" s="4" t="s">
        <v>167</v>
      </c>
    </row>
    <row r="43" spans="1:35" ht="36" x14ac:dyDescent="0.3">
      <c r="A43" s="10" t="s">
        <v>182</v>
      </c>
      <c r="B43" s="10"/>
      <c r="C43" s="30" t="s">
        <v>158</v>
      </c>
      <c r="D43" s="15"/>
      <c r="E43" s="15"/>
      <c r="F43" s="25" t="s">
        <v>159</v>
      </c>
      <c r="G43" s="26">
        <v>1.6</v>
      </c>
      <c r="H43" s="32"/>
      <c r="I43" s="32">
        <v>30247.200000000001</v>
      </c>
      <c r="J43" s="27">
        <v>9.2200000000000006</v>
      </c>
      <c r="M43" s="28">
        <f>ROUND(ROUND(J43, 2)*I43, 2)</f>
        <v>278879.18</v>
      </c>
      <c r="P43" s="27">
        <v>9.2200000000000006</v>
      </c>
      <c r="S43" s="28">
        <f>ROUND(ROUND(P43, 2)*I43, 2)</f>
        <v>278879.18</v>
      </c>
      <c r="V43" s="9">
        <f>ROUND(ROUND(P43, 2)/1.2, 2)</f>
        <v>7.68</v>
      </c>
      <c r="Y43" s="9">
        <f t="shared" si="9"/>
        <v>232399.32</v>
      </c>
      <c r="AD43" s="4" t="s">
        <v>183</v>
      </c>
      <c r="AE43" s="4" t="s">
        <v>184</v>
      </c>
      <c r="AF43" s="4" t="s">
        <v>162</v>
      </c>
    </row>
    <row r="44" spans="1:35" ht="54" x14ac:dyDescent="0.3">
      <c r="A44" s="10" t="s">
        <v>185</v>
      </c>
      <c r="B44" s="10" t="s">
        <v>186</v>
      </c>
      <c r="C44" s="14" t="s">
        <v>187</v>
      </c>
      <c r="D44" s="15"/>
      <c r="E44" s="15" t="s">
        <v>188</v>
      </c>
      <c r="F44" s="15" t="s">
        <v>75</v>
      </c>
      <c r="G44" s="16">
        <v>1</v>
      </c>
      <c r="H44" s="16"/>
      <c r="I44" s="16">
        <v>76.349999999999994</v>
      </c>
      <c r="J44" s="17">
        <v>51.44</v>
      </c>
      <c r="K44" s="18">
        <v>40</v>
      </c>
      <c r="L44" s="17">
        <f>J44+ROUND(K44, 2)</f>
        <v>91.44</v>
      </c>
      <c r="M44" s="17">
        <v>3927.44</v>
      </c>
      <c r="N44" s="17">
        <v>3054</v>
      </c>
      <c r="O44" s="17">
        <f>M44+N44</f>
        <v>6981.4400000000005</v>
      </c>
      <c r="P44" s="17">
        <v>51.44</v>
      </c>
      <c r="Q44" s="18">
        <v>40</v>
      </c>
      <c r="R44" s="17">
        <f>P44+ROUND(Q44, 2)</f>
        <v>91.44</v>
      </c>
      <c r="S44" s="17">
        <v>3927.44</v>
      </c>
      <c r="T44" s="17">
        <v>3054</v>
      </c>
      <c r="U44" s="17">
        <f>S44+T44</f>
        <v>6981.4400000000005</v>
      </c>
      <c r="V44" s="9">
        <f>ROUND(P44 / 1.2, 2)</f>
        <v>42.87</v>
      </c>
      <c r="W44" s="9">
        <f>ROUND(Q44 / 1.2, 2)</f>
        <v>33.33</v>
      </c>
      <c r="X44" s="9">
        <f>ROUND(R44 / 1.2, 2)</f>
        <v>76.2</v>
      </c>
      <c r="Y44" s="9">
        <f t="shared" si="9"/>
        <v>3272.87</v>
      </c>
      <c r="Z44" s="9">
        <f>ROUND(T44 / 1.2, 2)</f>
        <v>2545</v>
      </c>
      <c r="AA44" s="9">
        <f>Y44+Z44</f>
        <v>5817.87</v>
      </c>
      <c r="AD44" s="4">
        <v>339118800</v>
      </c>
      <c r="AE44" s="4">
        <v>25888003</v>
      </c>
      <c r="AG44" s="4" t="s">
        <v>189</v>
      </c>
      <c r="AH44" s="4" t="s">
        <v>190</v>
      </c>
      <c r="AI44" s="4" t="s">
        <v>156</v>
      </c>
    </row>
    <row r="45" spans="1:35" ht="18" x14ac:dyDescent="0.3">
      <c r="A45" s="10" t="s">
        <v>191</v>
      </c>
      <c r="B45" s="10"/>
      <c r="C45" s="24" t="s">
        <v>192</v>
      </c>
      <c r="D45" s="15"/>
      <c r="E45" s="15"/>
      <c r="F45" s="25" t="s">
        <v>75</v>
      </c>
      <c r="G45" s="26">
        <v>1.1000000000000001</v>
      </c>
      <c r="H45" s="26"/>
      <c r="I45" s="26">
        <v>83.984999999999999</v>
      </c>
      <c r="J45" s="27">
        <v>46.76</v>
      </c>
      <c r="M45" s="28">
        <f>ROUND(ROUND(J45, 2)*I45, 2)</f>
        <v>3927.14</v>
      </c>
      <c r="P45" s="27">
        <v>46.76</v>
      </c>
      <c r="S45" s="28">
        <f>ROUND(ROUND(P45, 2)*I45, 2)</f>
        <v>3927.14</v>
      </c>
      <c r="V45" s="9">
        <f>ROUND(ROUND(P45, 2)/1.2, 2)</f>
        <v>38.97</v>
      </c>
      <c r="Y45" s="9">
        <f t="shared" si="9"/>
        <v>3272.62</v>
      </c>
      <c r="AD45" s="4" t="s">
        <v>193</v>
      </c>
      <c r="AE45" s="4" t="s">
        <v>194</v>
      </c>
      <c r="AF45" s="4" t="s">
        <v>195</v>
      </c>
    </row>
    <row r="46" spans="1:35" ht="36" x14ac:dyDescent="0.3">
      <c r="A46" s="10" t="s">
        <v>196</v>
      </c>
      <c r="B46" s="10" t="s">
        <v>186</v>
      </c>
      <c r="C46" s="14" t="s">
        <v>187</v>
      </c>
      <c r="D46" s="15"/>
      <c r="E46" s="15" t="s">
        <v>175</v>
      </c>
      <c r="F46" s="15" t="s">
        <v>75</v>
      </c>
      <c r="G46" s="16">
        <v>1</v>
      </c>
      <c r="H46" s="16"/>
      <c r="I46" s="16">
        <v>116.53</v>
      </c>
      <c r="J46" s="17">
        <v>52.29</v>
      </c>
      <c r="K46" s="18">
        <v>40</v>
      </c>
      <c r="L46" s="17">
        <f>J46+ROUND(K46, 2)</f>
        <v>92.289999999999992</v>
      </c>
      <c r="M46" s="17">
        <v>6093.35</v>
      </c>
      <c r="N46" s="17">
        <v>4661.2</v>
      </c>
      <c r="O46" s="17">
        <f>M46+N46</f>
        <v>10754.55</v>
      </c>
      <c r="P46" s="17">
        <v>52.29</v>
      </c>
      <c r="Q46" s="18">
        <v>40</v>
      </c>
      <c r="R46" s="17">
        <f>P46+ROUND(Q46, 2)</f>
        <v>92.289999999999992</v>
      </c>
      <c r="S46" s="17">
        <v>6093.35</v>
      </c>
      <c r="T46" s="17">
        <v>4661.2</v>
      </c>
      <c r="U46" s="17">
        <f>S46+T46</f>
        <v>10754.55</v>
      </c>
      <c r="V46" s="9">
        <f>ROUND(P46 / 1.2, 2)</f>
        <v>43.58</v>
      </c>
      <c r="W46" s="9">
        <f>ROUND(Q46 / 1.2, 2)</f>
        <v>33.33</v>
      </c>
      <c r="X46" s="9">
        <f>ROUND(R46 / 1.2, 2)</f>
        <v>76.91</v>
      </c>
      <c r="Y46" s="9">
        <f t="shared" si="9"/>
        <v>5077.79</v>
      </c>
      <c r="Z46" s="9">
        <f>ROUND(T46 / 1.2, 2)</f>
        <v>3884.33</v>
      </c>
      <c r="AA46" s="9">
        <f>Y46+Z46</f>
        <v>8962.119999999999</v>
      </c>
      <c r="AD46" s="4">
        <v>339118902</v>
      </c>
      <c r="AE46" s="4">
        <v>28951150</v>
      </c>
      <c r="AG46" s="4" t="s">
        <v>189</v>
      </c>
      <c r="AH46" s="4" t="s">
        <v>190</v>
      </c>
      <c r="AI46" s="4" t="s">
        <v>156</v>
      </c>
    </row>
    <row r="47" spans="1:35" ht="18" x14ac:dyDescent="0.3">
      <c r="A47" s="10" t="s">
        <v>197</v>
      </c>
      <c r="B47" s="10"/>
      <c r="C47" s="24" t="s">
        <v>192</v>
      </c>
      <c r="D47" s="15"/>
      <c r="E47" s="15"/>
      <c r="F47" s="25" t="s">
        <v>75</v>
      </c>
      <c r="G47" s="26">
        <v>1.1000000000000001</v>
      </c>
      <c r="H47" s="26"/>
      <c r="I47" s="26">
        <v>128.18299999999999</v>
      </c>
      <c r="J47" s="27">
        <v>47.54</v>
      </c>
      <c r="M47" s="28">
        <f>ROUND(ROUND(J47, 2)*I47, 2)</f>
        <v>6093.82</v>
      </c>
      <c r="P47" s="27">
        <v>47.54</v>
      </c>
      <c r="S47" s="28">
        <f>ROUND(ROUND(P47, 2)*I47, 2)</f>
        <v>6093.82</v>
      </c>
      <c r="V47" s="9">
        <f>ROUND(ROUND(P47, 2)/1.2, 2)</f>
        <v>39.619999999999997</v>
      </c>
      <c r="Y47" s="9">
        <f t="shared" si="9"/>
        <v>5078.18</v>
      </c>
      <c r="AD47" s="4" t="s">
        <v>198</v>
      </c>
      <c r="AE47" s="4" t="s">
        <v>199</v>
      </c>
      <c r="AF47" s="4" t="s">
        <v>195</v>
      </c>
    </row>
    <row r="48" spans="1:35" ht="54" x14ac:dyDescent="0.3">
      <c r="A48" s="10" t="s">
        <v>200</v>
      </c>
      <c r="B48" s="10" t="s">
        <v>186</v>
      </c>
      <c r="C48" s="14" t="s">
        <v>187</v>
      </c>
      <c r="D48" s="15"/>
      <c r="E48" s="15" t="s">
        <v>201</v>
      </c>
      <c r="F48" s="15" t="s">
        <v>75</v>
      </c>
      <c r="G48" s="16">
        <v>1</v>
      </c>
      <c r="H48" s="16"/>
      <c r="I48" s="16">
        <v>86.33</v>
      </c>
      <c r="J48" s="17">
        <v>52.29</v>
      </c>
      <c r="K48" s="18">
        <v>40</v>
      </c>
      <c r="L48" s="17">
        <f>J48+ROUND(K48, 2)</f>
        <v>92.289999999999992</v>
      </c>
      <c r="M48" s="17">
        <v>4514.2</v>
      </c>
      <c r="N48" s="17">
        <v>3453.2</v>
      </c>
      <c r="O48" s="17">
        <f>M48+N48</f>
        <v>7967.4</v>
      </c>
      <c r="P48" s="17">
        <v>52.29</v>
      </c>
      <c r="Q48" s="18">
        <v>40</v>
      </c>
      <c r="R48" s="17">
        <f>P48+ROUND(Q48, 2)</f>
        <v>92.289999999999992</v>
      </c>
      <c r="S48" s="17">
        <v>4514.2</v>
      </c>
      <c r="T48" s="17">
        <v>3453.2</v>
      </c>
      <c r="U48" s="17">
        <f>S48+T48</f>
        <v>7967.4</v>
      </c>
      <c r="V48" s="9">
        <f>ROUND(P48 / 1.2, 2)</f>
        <v>43.58</v>
      </c>
      <c r="W48" s="9">
        <f>ROUND(Q48 / 1.2, 2)</f>
        <v>33.33</v>
      </c>
      <c r="X48" s="9">
        <f>ROUND(R48 / 1.2, 2)</f>
        <v>76.91</v>
      </c>
      <c r="Y48" s="9">
        <f t="shared" si="9"/>
        <v>3761.83</v>
      </c>
      <c r="Z48" s="9">
        <f>ROUND(T48 / 1.2, 2)</f>
        <v>2877.67</v>
      </c>
      <c r="AA48" s="9">
        <f>Y48+Z48</f>
        <v>6639.5</v>
      </c>
      <c r="AD48" s="4">
        <v>339118903</v>
      </c>
      <c r="AE48" s="4">
        <v>28964108</v>
      </c>
      <c r="AG48" s="4" t="s">
        <v>189</v>
      </c>
      <c r="AH48" s="4" t="s">
        <v>190</v>
      </c>
      <c r="AI48" s="4" t="s">
        <v>156</v>
      </c>
    </row>
    <row r="49" spans="1:35" ht="18" x14ac:dyDescent="0.3">
      <c r="A49" s="10" t="s">
        <v>202</v>
      </c>
      <c r="B49" s="10"/>
      <c r="C49" s="24" t="s">
        <v>192</v>
      </c>
      <c r="D49" s="15"/>
      <c r="E49" s="15"/>
      <c r="F49" s="25" t="s">
        <v>75</v>
      </c>
      <c r="G49" s="26">
        <v>1.1000000000000001</v>
      </c>
      <c r="H49" s="26"/>
      <c r="I49" s="26">
        <v>94.962999999999994</v>
      </c>
      <c r="J49" s="27">
        <v>47.54</v>
      </c>
      <c r="M49" s="28">
        <f>ROUND(ROUND(J49, 2)*I49, 2)</f>
        <v>4514.54</v>
      </c>
      <c r="P49" s="27">
        <v>47.54</v>
      </c>
      <c r="S49" s="28">
        <f>ROUND(ROUND(P49, 2)*I49, 2)</f>
        <v>4514.54</v>
      </c>
      <c r="V49" s="9">
        <f>ROUND(ROUND(P49, 2)/1.2, 2)</f>
        <v>39.619999999999997</v>
      </c>
      <c r="Y49" s="9">
        <f t="shared" si="9"/>
        <v>3762.12</v>
      </c>
      <c r="AD49" s="4" t="s">
        <v>203</v>
      </c>
      <c r="AE49" s="4" t="s">
        <v>204</v>
      </c>
      <c r="AF49" s="4" t="s">
        <v>195</v>
      </c>
    </row>
    <row r="50" spans="1:35" ht="36" x14ac:dyDescent="0.3">
      <c r="A50" s="10" t="s">
        <v>205</v>
      </c>
      <c r="B50" s="10" t="s">
        <v>206</v>
      </c>
      <c r="C50" s="14" t="s">
        <v>207</v>
      </c>
      <c r="D50" s="15"/>
      <c r="E50" s="15" t="s">
        <v>208</v>
      </c>
      <c r="F50" s="15" t="s">
        <v>75</v>
      </c>
      <c r="G50" s="16">
        <v>1</v>
      </c>
      <c r="H50" s="16"/>
      <c r="I50" s="16">
        <v>47.77</v>
      </c>
      <c r="J50" s="17">
        <v>68.430000000000007</v>
      </c>
      <c r="K50" s="18">
        <v>117</v>
      </c>
      <c r="L50" s="17">
        <f>J50+ROUND(K50, 2)</f>
        <v>185.43</v>
      </c>
      <c r="M50" s="17">
        <v>3268.9</v>
      </c>
      <c r="N50" s="17">
        <v>5589.09</v>
      </c>
      <c r="O50" s="17">
        <f>M50+N50</f>
        <v>8857.99</v>
      </c>
      <c r="P50" s="17">
        <v>68.430000000000007</v>
      </c>
      <c r="Q50" s="18">
        <v>117</v>
      </c>
      <c r="R50" s="17">
        <f>P50+ROUND(Q50, 2)</f>
        <v>185.43</v>
      </c>
      <c r="S50" s="17">
        <v>3268.9</v>
      </c>
      <c r="T50" s="17">
        <v>5589.09</v>
      </c>
      <c r="U50" s="17">
        <f>S50+T50</f>
        <v>8857.99</v>
      </c>
      <c r="V50" s="9">
        <f>ROUND(P50 / 1.2, 2)</f>
        <v>57.03</v>
      </c>
      <c r="W50" s="9">
        <f>ROUND(Q50 / 1.2, 2)</f>
        <v>97.5</v>
      </c>
      <c r="X50" s="9">
        <f>ROUND(R50 / 1.2, 2)</f>
        <v>154.53</v>
      </c>
      <c r="Y50" s="9">
        <f t="shared" si="9"/>
        <v>2724.08</v>
      </c>
      <c r="Z50" s="9">
        <f>ROUND(T50 / 1.2, 2)</f>
        <v>4657.58</v>
      </c>
      <c r="AA50" s="9">
        <f>Y50+Z50</f>
        <v>7381.66</v>
      </c>
      <c r="AD50" s="4">
        <v>339118802</v>
      </c>
      <c r="AE50" s="4">
        <v>25888005</v>
      </c>
      <c r="AG50" s="4" t="s">
        <v>209</v>
      </c>
      <c r="AH50" s="4" t="s">
        <v>210</v>
      </c>
      <c r="AI50" s="4" t="s">
        <v>156</v>
      </c>
    </row>
    <row r="51" spans="1:35" ht="36" x14ac:dyDescent="0.3">
      <c r="A51" s="10" t="s">
        <v>211</v>
      </c>
      <c r="B51" s="10"/>
      <c r="C51" s="24" t="s">
        <v>212</v>
      </c>
      <c r="D51" s="15"/>
      <c r="E51" s="15"/>
      <c r="F51" s="25" t="s">
        <v>159</v>
      </c>
      <c r="G51" s="26">
        <v>0.3</v>
      </c>
      <c r="H51" s="26"/>
      <c r="I51" s="26">
        <v>14.331</v>
      </c>
      <c r="J51" s="27">
        <v>179.17</v>
      </c>
      <c r="M51" s="28">
        <f>ROUND(ROUND(J51, 2)*I51, 2)</f>
        <v>2567.69</v>
      </c>
      <c r="P51" s="27">
        <v>179.17</v>
      </c>
      <c r="S51" s="28">
        <f>ROUND(ROUND(P51, 2)*I51, 2)</f>
        <v>2567.69</v>
      </c>
      <c r="V51" s="9">
        <f>ROUND(ROUND(P51, 2)/1.2, 2)</f>
        <v>149.31</v>
      </c>
      <c r="Y51" s="9">
        <f t="shared" si="9"/>
        <v>2139.7399999999998</v>
      </c>
      <c r="AD51" s="4" t="s">
        <v>213</v>
      </c>
      <c r="AE51" s="4" t="s">
        <v>214</v>
      </c>
      <c r="AF51" s="4" t="s">
        <v>215</v>
      </c>
    </row>
    <row r="52" spans="1:35" ht="18" x14ac:dyDescent="0.3">
      <c r="A52" s="10" t="s">
        <v>216</v>
      </c>
      <c r="B52" s="10"/>
      <c r="C52" s="24" t="s">
        <v>217</v>
      </c>
      <c r="D52" s="15"/>
      <c r="E52" s="15"/>
      <c r="F52" s="25" t="s">
        <v>159</v>
      </c>
      <c r="G52" s="26">
        <v>0.2</v>
      </c>
      <c r="H52" s="26"/>
      <c r="I52" s="26">
        <v>9.5540000000000003</v>
      </c>
      <c r="J52" s="27">
        <v>73.39</v>
      </c>
      <c r="M52" s="28">
        <f>ROUND(ROUND(J52, 2)*I52, 2)</f>
        <v>701.17</v>
      </c>
      <c r="P52" s="27">
        <v>73.39</v>
      </c>
      <c r="S52" s="28">
        <f>ROUND(ROUND(P52, 2)*I52, 2)</f>
        <v>701.17</v>
      </c>
      <c r="V52" s="9">
        <f>ROUND(ROUND(P52, 2)/1.2, 2)</f>
        <v>61.16</v>
      </c>
      <c r="Y52" s="9">
        <f t="shared" si="9"/>
        <v>584.30999999999995</v>
      </c>
      <c r="AD52" s="4" t="s">
        <v>218</v>
      </c>
      <c r="AE52" s="4" t="s">
        <v>219</v>
      </c>
      <c r="AF52" s="4" t="s">
        <v>220</v>
      </c>
    </row>
    <row r="53" spans="1:35" ht="18" x14ac:dyDescent="0.3">
      <c r="A53" s="10" t="s">
        <v>221</v>
      </c>
      <c r="B53" s="10" t="s">
        <v>222</v>
      </c>
      <c r="C53" s="14" t="s">
        <v>223</v>
      </c>
      <c r="D53" s="15"/>
      <c r="E53" s="15" t="s">
        <v>224</v>
      </c>
      <c r="F53" s="15" t="s">
        <v>75</v>
      </c>
      <c r="G53" s="16">
        <v>1</v>
      </c>
      <c r="H53" s="16"/>
      <c r="I53" s="16">
        <v>72.94</v>
      </c>
      <c r="J53" s="17">
        <v>4.5</v>
      </c>
      <c r="K53" s="18">
        <v>471</v>
      </c>
      <c r="L53" s="17">
        <f>J53+ROUND(K53, 2)</f>
        <v>475.5</v>
      </c>
      <c r="M53" s="17">
        <v>328.23</v>
      </c>
      <c r="N53" s="17">
        <v>34354.74</v>
      </c>
      <c r="O53" s="17">
        <f>M53+N53</f>
        <v>34682.97</v>
      </c>
      <c r="P53" s="17">
        <v>4.5</v>
      </c>
      <c r="Q53" s="18">
        <v>471</v>
      </c>
      <c r="R53" s="17">
        <f>P53+ROUND(Q53, 2)</f>
        <v>475.5</v>
      </c>
      <c r="S53" s="17">
        <v>328.23</v>
      </c>
      <c r="T53" s="17">
        <v>34354.74</v>
      </c>
      <c r="U53" s="17">
        <f>S53+T53</f>
        <v>34682.97</v>
      </c>
      <c r="V53" s="9">
        <f>ROUND(P53 / 1.2, 2)</f>
        <v>3.75</v>
      </c>
      <c r="W53" s="9">
        <f>ROUND(Q53 / 1.2, 2)</f>
        <v>392.5</v>
      </c>
      <c r="X53" s="9">
        <f>ROUND(R53 / 1.2, 2)</f>
        <v>396.25</v>
      </c>
      <c r="Y53" s="9">
        <f t="shared" si="9"/>
        <v>273.52999999999997</v>
      </c>
      <c r="Z53" s="9">
        <f>ROUND(T53 / 1.2, 2)</f>
        <v>28628.95</v>
      </c>
      <c r="AA53" s="9">
        <f>Y53+Z53</f>
        <v>28902.48</v>
      </c>
      <c r="AD53" s="4">
        <v>339118804</v>
      </c>
      <c r="AE53" s="4">
        <v>25887989</v>
      </c>
      <c r="AG53" s="4" t="s">
        <v>225</v>
      </c>
      <c r="AH53" s="4" t="s">
        <v>226</v>
      </c>
      <c r="AI53" s="4" t="s">
        <v>156</v>
      </c>
    </row>
    <row r="54" spans="1:35" ht="18" x14ac:dyDescent="0.3">
      <c r="A54" s="10" t="s">
        <v>227</v>
      </c>
      <c r="B54" s="10"/>
      <c r="C54" s="24" t="s">
        <v>228</v>
      </c>
      <c r="D54" s="15"/>
      <c r="E54" s="15"/>
      <c r="F54" s="25" t="s">
        <v>159</v>
      </c>
      <c r="G54" s="26">
        <v>0.6</v>
      </c>
      <c r="H54" s="32"/>
      <c r="I54" s="32">
        <v>43.764000000000003</v>
      </c>
      <c r="J54" s="27">
        <v>7.5</v>
      </c>
      <c r="M54" s="28">
        <f>ROUND(ROUND(J54, 2)*I54, 2)</f>
        <v>328.23</v>
      </c>
      <c r="P54" s="27">
        <v>7.5</v>
      </c>
      <c r="S54" s="28">
        <f>ROUND(ROUND(P54, 2)*I54, 2)</f>
        <v>328.23</v>
      </c>
      <c r="V54" s="9">
        <f>ROUND(ROUND(P54, 2)/1.2, 2)</f>
        <v>6.25</v>
      </c>
      <c r="Y54" s="9">
        <f t="shared" si="9"/>
        <v>273.52999999999997</v>
      </c>
      <c r="AD54" s="4" t="s">
        <v>229</v>
      </c>
      <c r="AE54" s="4" t="s">
        <v>230</v>
      </c>
      <c r="AF54" s="4" t="s">
        <v>231</v>
      </c>
    </row>
    <row r="55" spans="1:35" ht="36" x14ac:dyDescent="0.3">
      <c r="A55" s="10" t="s">
        <v>232</v>
      </c>
      <c r="B55" s="10" t="s">
        <v>233</v>
      </c>
      <c r="C55" s="14" t="s">
        <v>234</v>
      </c>
      <c r="D55" s="15"/>
      <c r="E55" s="15" t="s">
        <v>235</v>
      </c>
      <c r="F55" s="15" t="s">
        <v>75</v>
      </c>
      <c r="G55" s="16">
        <v>1</v>
      </c>
      <c r="H55" s="16"/>
      <c r="I55" s="16">
        <v>46.62</v>
      </c>
      <c r="J55" s="17">
        <v>734.43</v>
      </c>
      <c r="K55" s="18">
        <v>789</v>
      </c>
      <c r="L55" s="17">
        <f>J55+ROUND(K55, 2)</f>
        <v>1523.4299999999998</v>
      </c>
      <c r="M55" s="17">
        <v>34239.129999999997</v>
      </c>
      <c r="N55" s="17">
        <v>36783.18</v>
      </c>
      <c r="O55" s="17">
        <f>M55+N55</f>
        <v>71022.31</v>
      </c>
      <c r="P55" s="17">
        <v>734.43</v>
      </c>
      <c r="Q55" s="18">
        <v>789</v>
      </c>
      <c r="R55" s="17">
        <f>P55+ROUND(Q55, 2)</f>
        <v>1523.4299999999998</v>
      </c>
      <c r="S55" s="17">
        <v>34239.129999999997</v>
      </c>
      <c r="T55" s="17">
        <v>36783.18</v>
      </c>
      <c r="U55" s="17">
        <f>S55+T55</f>
        <v>71022.31</v>
      </c>
      <c r="V55" s="9">
        <f>ROUND(P55 / 1.2, 2)</f>
        <v>612.03</v>
      </c>
      <c r="W55" s="9">
        <f>ROUND(Q55 / 1.2, 2)</f>
        <v>657.5</v>
      </c>
      <c r="X55" s="9">
        <f>ROUND(R55 / 1.2, 2)</f>
        <v>1269.53</v>
      </c>
      <c r="Y55" s="9">
        <f t="shared" si="9"/>
        <v>28532.61</v>
      </c>
      <c r="Z55" s="9">
        <f>ROUND(T55 / 1.2, 2)</f>
        <v>30652.65</v>
      </c>
      <c r="AA55" s="9">
        <f>Y55+Z55</f>
        <v>59185.26</v>
      </c>
      <c r="AD55" s="4">
        <v>339118806</v>
      </c>
      <c r="AE55" s="4">
        <v>25887992</v>
      </c>
      <c r="AG55" s="4" t="s">
        <v>236</v>
      </c>
      <c r="AH55" s="4" t="s">
        <v>237</v>
      </c>
      <c r="AI55" s="4" t="s">
        <v>156</v>
      </c>
    </row>
    <row r="56" spans="1:35" ht="18" x14ac:dyDescent="0.3">
      <c r="A56" s="10" t="s">
        <v>238</v>
      </c>
      <c r="B56" s="10"/>
      <c r="C56" s="24" t="s">
        <v>239</v>
      </c>
      <c r="D56" s="15"/>
      <c r="E56" s="15"/>
      <c r="F56" s="25" t="s">
        <v>240</v>
      </c>
      <c r="G56" s="26">
        <v>8</v>
      </c>
      <c r="H56" s="32"/>
      <c r="I56" s="32">
        <v>372.96</v>
      </c>
      <c r="J56" s="27">
        <v>2.5</v>
      </c>
      <c r="M56" s="28">
        <f>ROUND(ROUND(J56, 2)*I56, 2)</f>
        <v>932.4</v>
      </c>
      <c r="P56" s="27">
        <v>2.5</v>
      </c>
      <c r="S56" s="28">
        <f>ROUND(ROUND(P56, 2)*I56, 2)</f>
        <v>932.4</v>
      </c>
      <c r="V56" s="9">
        <f>ROUND(ROUND(P56, 2)/1.2, 2)</f>
        <v>2.08</v>
      </c>
      <c r="Y56" s="9">
        <f t="shared" si="9"/>
        <v>777</v>
      </c>
      <c r="AD56" s="4" t="s">
        <v>241</v>
      </c>
      <c r="AE56" s="4" t="s">
        <v>242</v>
      </c>
      <c r="AF56" s="4" t="s">
        <v>243</v>
      </c>
    </row>
    <row r="57" spans="1:35" ht="18" x14ac:dyDescent="0.3">
      <c r="A57" s="10" t="s">
        <v>244</v>
      </c>
      <c r="B57" s="10"/>
      <c r="C57" s="24" t="s">
        <v>245</v>
      </c>
      <c r="D57" s="15"/>
      <c r="E57" s="15"/>
      <c r="F57" s="25" t="s">
        <v>159</v>
      </c>
      <c r="G57" s="26">
        <v>1.8</v>
      </c>
      <c r="H57" s="32"/>
      <c r="I57" s="32">
        <v>3356.64</v>
      </c>
      <c r="J57" s="27">
        <v>7.41</v>
      </c>
      <c r="M57" s="28">
        <f>ROUND(ROUND(J57, 2)*I57, 2)</f>
        <v>24872.7</v>
      </c>
      <c r="P57" s="27">
        <v>7.41</v>
      </c>
      <c r="S57" s="28">
        <f>ROUND(ROUND(P57, 2)*I57, 2)</f>
        <v>24872.7</v>
      </c>
      <c r="V57" s="9">
        <f>ROUND(ROUND(P57, 2)/1.2, 2)</f>
        <v>6.18</v>
      </c>
      <c r="Y57" s="9">
        <f t="shared" si="9"/>
        <v>20727.25</v>
      </c>
      <c r="AD57" s="4" t="s">
        <v>246</v>
      </c>
      <c r="AE57" s="4" t="s">
        <v>247</v>
      </c>
      <c r="AF57" s="4" t="s">
        <v>248</v>
      </c>
    </row>
    <row r="58" spans="1:35" ht="18" x14ac:dyDescent="0.3">
      <c r="A58" s="10" t="s">
        <v>249</v>
      </c>
      <c r="B58" s="10"/>
      <c r="C58" s="24" t="s">
        <v>250</v>
      </c>
      <c r="D58" s="15"/>
      <c r="E58" s="15"/>
      <c r="F58" s="25" t="s">
        <v>75</v>
      </c>
      <c r="G58" s="26">
        <v>1.1000000000000001</v>
      </c>
      <c r="H58" s="32"/>
      <c r="I58" s="32">
        <v>51.281999999999996</v>
      </c>
      <c r="J58" s="27">
        <v>155.01</v>
      </c>
      <c r="M58" s="28">
        <f>ROUND(ROUND(J58, 2)*I58, 2)</f>
        <v>7949.22</v>
      </c>
      <c r="P58" s="27">
        <v>155.01</v>
      </c>
      <c r="S58" s="28">
        <f>ROUND(ROUND(P58, 2)*I58, 2)</f>
        <v>7949.22</v>
      </c>
      <c r="V58" s="9">
        <f>ROUND(ROUND(P58, 2)/1.2, 2)</f>
        <v>129.18</v>
      </c>
      <c r="Y58" s="9">
        <f t="shared" si="9"/>
        <v>6624.35</v>
      </c>
      <c r="AD58" s="4" t="s">
        <v>251</v>
      </c>
      <c r="AE58" s="4" t="s">
        <v>252</v>
      </c>
      <c r="AF58" s="4" t="s">
        <v>253</v>
      </c>
    </row>
    <row r="59" spans="1:35" ht="18" x14ac:dyDescent="0.3">
      <c r="A59" s="10" t="s">
        <v>254</v>
      </c>
      <c r="B59" s="10"/>
      <c r="C59" s="24" t="s">
        <v>164</v>
      </c>
      <c r="D59" s="15"/>
      <c r="E59" s="15"/>
      <c r="F59" s="25" t="s">
        <v>120</v>
      </c>
      <c r="G59" s="26">
        <v>1</v>
      </c>
      <c r="H59" s="32"/>
      <c r="I59" s="32">
        <v>46.62</v>
      </c>
      <c r="J59" s="27">
        <v>10.4</v>
      </c>
      <c r="M59" s="28">
        <f>ROUND(ROUND(J59, 2)*I59, 2)</f>
        <v>484.85</v>
      </c>
      <c r="P59" s="27">
        <v>10.4</v>
      </c>
      <c r="S59" s="28">
        <f>ROUND(ROUND(P59, 2)*I59, 2)</f>
        <v>484.85</v>
      </c>
      <c r="V59" s="9">
        <f>ROUND(ROUND(P59, 2)/1.2, 2)</f>
        <v>8.67</v>
      </c>
      <c r="Y59" s="9">
        <f t="shared" si="9"/>
        <v>404.04</v>
      </c>
      <c r="AD59" s="4" t="s">
        <v>255</v>
      </c>
      <c r="AE59" s="4" t="s">
        <v>256</v>
      </c>
      <c r="AF59" s="4" t="s">
        <v>167</v>
      </c>
    </row>
    <row r="60" spans="1:35" ht="36" x14ac:dyDescent="0.3">
      <c r="A60" s="10" t="s">
        <v>257</v>
      </c>
      <c r="B60" s="10" t="s">
        <v>258</v>
      </c>
      <c r="C60" s="14" t="s">
        <v>259</v>
      </c>
      <c r="D60" s="15"/>
      <c r="E60" s="15" t="s">
        <v>260</v>
      </c>
      <c r="F60" s="15" t="s">
        <v>75</v>
      </c>
      <c r="G60" s="16">
        <v>1</v>
      </c>
      <c r="H60" s="16"/>
      <c r="I60" s="16">
        <v>0</v>
      </c>
      <c r="J60" s="17">
        <v>0</v>
      </c>
      <c r="K60" s="18">
        <v>855</v>
      </c>
      <c r="L60" s="17">
        <f>J60+ROUND(K60, 2)</f>
        <v>855</v>
      </c>
      <c r="M60" s="17">
        <v>0</v>
      </c>
      <c r="N60" s="17">
        <v>0</v>
      </c>
      <c r="O60" s="17">
        <f>M60+N60</f>
        <v>0</v>
      </c>
      <c r="P60" s="17">
        <v>1001.19</v>
      </c>
      <c r="Q60" s="18">
        <v>855</v>
      </c>
      <c r="R60" s="17">
        <f>P60+ROUND(Q60, 2)</f>
        <v>1856.19</v>
      </c>
      <c r="S60" s="17">
        <v>0</v>
      </c>
      <c r="T60" s="17">
        <v>0</v>
      </c>
      <c r="U60" s="17">
        <f>S60+T60</f>
        <v>0</v>
      </c>
      <c r="V60" s="9">
        <f>ROUND(P60 / 1.2, 2)</f>
        <v>834.33</v>
      </c>
      <c r="W60" s="9">
        <f>ROUND(Q60 / 1.2, 2)</f>
        <v>712.5</v>
      </c>
      <c r="X60" s="9">
        <f>ROUND(R60 / 1.2, 2)</f>
        <v>1546.83</v>
      </c>
      <c r="Y60" s="9">
        <f t="shared" si="9"/>
        <v>0</v>
      </c>
      <c r="Z60" s="9">
        <f>ROUND(T60 / 1.2, 2)</f>
        <v>0</v>
      </c>
      <c r="AA60" s="9">
        <f>Y60+Z60</f>
        <v>0</v>
      </c>
      <c r="AD60" s="4">
        <v>339118807</v>
      </c>
      <c r="AE60" s="4">
        <v>25888011</v>
      </c>
      <c r="AG60" s="4" t="s">
        <v>261</v>
      </c>
      <c r="AH60" s="4" t="s">
        <v>262</v>
      </c>
      <c r="AI60" s="4" t="s">
        <v>156</v>
      </c>
    </row>
    <row r="61" spans="1:35" ht="18" x14ac:dyDescent="0.3">
      <c r="A61" s="10" t="s">
        <v>263</v>
      </c>
      <c r="B61" s="10"/>
      <c r="C61" s="24" t="s">
        <v>239</v>
      </c>
      <c r="D61" s="15"/>
      <c r="E61" s="15"/>
      <c r="F61" s="25" t="s">
        <v>240</v>
      </c>
      <c r="G61" s="26">
        <v>8</v>
      </c>
      <c r="H61" s="32"/>
      <c r="I61" s="32">
        <v>0</v>
      </c>
      <c r="J61" s="27">
        <v>2.5</v>
      </c>
      <c r="M61" s="28">
        <f>ROUND(ROUND(J61, 2)*I61, 2)</f>
        <v>0</v>
      </c>
      <c r="P61" s="27">
        <v>2.5</v>
      </c>
      <c r="S61" s="28">
        <f>ROUND(ROUND(P61, 2)*I61, 2)</f>
        <v>0</v>
      </c>
      <c r="V61" s="9">
        <f>ROUND(ROUND(P61, 2)/1.2, 2)</f>
        <v>2.08</v>
      </c>
      <c r="Y61" s="9">
        <f t="shared" si="9"/>
        <v>0</v>
      </c>
      <c r="AD61" s="4" t="s">
        <v>264</v>
      </c>
      <c r="AE61" s="4" t="s">
        <v>265</v>
      </c>
      <c r="AF61" s="4" t="s">
        <v>243</v>
      </c>
    </row>
    <row r="62" spans="1:35" ht="18" x14ac:dyDescent="0.3">
      <c r="A62" s="10" t="s">
        <v>266</v>
      </c>
      <c r="B62" s="10"/>
      <c r="C62" s="24" t="s">
        <v>245</v>
      </c>
      <c r="D62" s="15"/>
      <c r="E62" s="15"/>
      <c r="F62" s="25" t="s">
        <v>159</v>
      </c>
      <c r="G62" s="26">
        <v>1.8</v>
      </c>
      <c r="H62" s="32"/>
      <c r="I62" s="32">
        <v>0</v>
      </c>
      <c r="J62" s="27">
        <v>7.41</v>
      </c>
      <c r="M62" s="28">
        <f>ROUND(ROUND(J62, 2)*I62, 2)</f>
        <v>0</v>
      </c>
      <c r="P62" s="27">
        <v>7.41</v>
      </c>
      <c r="S62" s="28">
        <f>ROUND(ROUND(P62, 2)*I62, 2)</f>
        <v>0</v>
      </c>
      <c r="V62" s="9">
        <f>ROUND(ROUND(P62, 2)/1.2, 2)</f>
        <v>6.18</v>
      </c>
      <c r="Y62" s="9">
        <f t="shared" si="9"/>
        <v>0</v>
      </c>
      <c r="AD62" s="4" t="s">
        <v>267</v>
      </c>
      <c r="AE62" s="4" t="s">
        <v>268</v>
      </c>
      <c r="AF62" s="4" t="s">
        <v>248</v>
      </c>
    </row>
    <row r="63" spans="1:35" ht="18" x14ac:dyDescent="0.3">
      <c r="A63" s="10" t="s">
        <v>269</v>
      </c>
      <c r="B63" s="10"/>
      <c r="C63" s="24" t="s">
        <v>250</v>
      </c>
      <c r="D63" s="15"/>
      <c r="E63" s="15"/>
      <c r="F63" s="25" t="s">
        <v>75</v>
      </c>
      <c r="G63" s="26">
        <v>1.1000000000000001</v>
      </c>
      <c r="H63" s="32"/>
      <c r="I63" s="32">
        <v>0</v>
      </c>
      <c r="J63" s="27">
        <v>155.01</v>
      </c>
      <c r="M63" s="28">
        <f>ROUND(ROUND(J63, 2)*I63, 2)</f>
        <v>0</v>
      </c>
      <c r="P63" s="27">
        <v>155.01</v>
      </c>
      <c r="S63" s="28">
        <f>ROUND(ROUND(P63, 2)*I63, 2)</f>
        <v>0</v>
      </c>
      <c r="V63" s="9">
        <f>ROUND(ROUND(P63, 2)/1.2, 2)</f>
        <v>129.18</v>
      </c>
      <c r="Y63" s="9">
        <f t="shared" si="9"/>
        <v>0</v>
      </c>
      <c r="AD63" s="4" t="s">
        <v>270</v>
      </c>
      <c r="AE63" s="4" t="s">
        <v>271</v>
      </c>
      <c r="AF63" s="4" t="s">
        <v>253</v>
      </c>
    </row>
    <row r="64" spans="1:35" ht="18" x14ac:dyDescent="0.3">
      <c r="A64" s="10" t="s">
        <v>272</v>
      </c>
      <c r="B64" s="10"/>
      <c r="C64" s="24" t="s">
        <v>164</v>
      </c>
      <c r="D64" s="15"/>
      <c r="E64" s="15"/>
      <c r="F64" s="25" t="s">
        <v>120</v>
      </c>
      <c r="G64" s="26">
        <v>1</v>
      </c>
      <c r="H64" s="32"/>
      <c r="I64" s="32">
        <v>0</v>
      </c>
      <c r="J64" s="27">
        <v>10.4</v>
      </c>
      <c r="M64" s="28">
        <f>ROUND(ROUND(J64, 2)*I64, 2)</f>
        <v>0</v>
      </c>
      <c r="P64" s="27">
        <v>10.4</v>
      </c>
      <c r="S64" s="28">
        <f>ROUND(ROUND(P64, 2)*I64, 2)</f>
        <v>0</v>
      </c>
      <c r="V64" s="9">
        <f>ROUND(ROUND(P64, 2)/1.2, 2)</f>
        <v>8.67</v>
      </c>
      <c r="Y64" s="9">
        <f t="shared" si="9"/>
        <v>0</v>
      </c>
      <c r="AD64" s="4" t="s">
        <v>273</v>
      </c>
      <c r="AE64" s="4" t="s">
        <v>274</v>
      </c>
      <c r="AF64" s="4" t="s">
        <v>167</v>
      </c>
    </row>
    <row r="65" spans="1:35" ht="36" x14ac:dyDescent="0.3">
      <c r="A65" s="10" t="s">
        <v>275</v>
      </c>
      <c r="B65" s="10" t="s">
        <v>276</v>
      </c>
      <c r="C65" s="14" t="s">
        <v>277</v>
      </c>
      <c r="D65" s="15"/>
      <c r="E65" s="15" t="s">
        <v>278</v>
      </c>
      <c r="F65" s="15" t="s">
        <v>75</v>
      </c>
      <c r="G65" s="16">
        <v>1</v>
      </c>
      <c r="H65" s="16"/>
      <c r="I65" s="16">
        <v>723.7</v>
      </c>
      <c r="J65" s="17">
        <v>1067.8800000000001</v>
      </c>
      <c r="K65" s="18">
        <v>922</v>
      </c>
      <c r="L65" s="17">
        <f>J65+ROUND(K65, 2)</f>
        <v>1989.88</v>
      </c>
      <c r="M65" s="17">
        <v>772824.76</v>
      </c>
      <c r="N65" s="17">
        <v>667251.4</v>
      </c>
      <c r="O65" s="17">
        <f>M65+N65</f>
        <v>1440076.1600000001</v>
      </c>
      <c r="P65" s="17">
        <v>1067.8800000000001</v>
      </c>
      <c r="Q65" s="18">
        <v>922</v>
      </c>
      <c r="R65" s="17">
        <f>P65+ROUND(Q65, 2)</f>
        <v>1989.88</v>
      </c>
      <c r="S65" s="17">
        <v>772824.76</v>
      </c>
      <c r="T65" s="17">
        <v>667251.4</v>
      </c>
      <c r="U65" s="17">
        <f>S65+T65</f>
        <v>1440076.1600000001</v>
      </c>
      <c r="V65" s="9">
        <f>ROUND(P65 / 1.2, 2)</f>
        <v>889.9</v>
      </c>
      <c r="W65" s="9">
        <f>ROUND(Q65 / 1.2, 2)</f>
        <v>768.33</v>
      </c>
      <c r="X65" s="9">
        <f>ROUND(R65 / 1.2, 2)</f>
        <v>1658.23</v>
      </c>
      <c r="Y65" s="9">
        <f t="shared" si="9"/>
        <v>644020.63</v>
      </c>
      <c r="Z65" s="9">
        <f>ROUND(T65 / 1.2, 2)</f>
        <v>556042.82999999996</v>
      </c>
      <c r="AA65" s="9">
        <f>Y65+Z65</f>
        <v>1200063.46</v>
      </c>
      <c r="AD65" s="4">
        <v>339118808</v>
      </c>
      <c r="AE65" s="4">
        <v>25888008</v>
      </c>
      <c r="AG65" s="4" t="s">
        <v>279</v>
      </c>
      <c r="AH65" s="4" t="s">
        <v>280</v>
      </c>
      <c r="AI65" s="4" t="s">
        <v>156</v>
      </c>
    </row>
    <row r="66" spans="1:35" ht="18" x14ac:dyDescent="0.3">
      <c r="A66" s="10" t="s">
        <v>281</v>
      </c>
      <c r="B66" s="10"/>
      <c r="C66" s="24" t="s">
        <v>239</v>
      </c>
      <c r="D66" s="15"/>
      <c r="E66" s="15"/>
      <c r="F66" s="25" t="s">
        <v>240</v>
      </c>
      <c r="G66" s="26">
        <v>8</v>
      </c>
      <c r="H66" s="32"/>
      <c r="I66" s="32">
        <v>5789.6</v>
      </c>
      <c r="J66" s="27">
        <v>2.5</v>
      </c>
      <c r="M66" s="28">
        <f>ROUND(ROUND(J66, 2)*I66, 2)</f>
        <v>14474</v>
      </c>
      <c r="P66" s="27">
        <v>2.5</v>
      </c>
      <c r="S66" s="28">
        <f>ROUND(ROUND(P66, 2)*I66, 2)</f>
        <v>14474</v>
      </c>
      <c r="V66" s="9">
        <f>ROUND(ROUND(P66, 2)/1.2, 2)</f>
        <v>2.08</v>
      </c>
      <c r="Y66" s="9">
        <f t="shared" si="9"/>
        <v>12061.67</v>
      </c>
      <c r="AD66" s="4" t="s">
        <v>282</v>
      </c>
      <c r="AE66" s="4" t="s">
        <v>283</v>
      </c>
      <c r="AF66" s="4" t="s">
        <v>243</v>
      </c>
    </row>
    <row r="67" spans="1:35" ht="18" x14ac:dyDescent="0.3">
      <c r="A67" s="10" t="s">
        <v>284</v>
      </c>
      <c r="B67" s="10"/>
      <c r="C67" s="24" t="s">
        <v>245</v>
      </c>
      <c r="D67" s="15"/>
      <c r="E67" s="15"/>
      <c r="F67" s="25" t="s">
        <v>159</v>
      </c>
      <c r="G67" s="26">
        <v>1.8</v>
      </c>
      <c r="H67" s="32"/>
      <c r="I67" s="32">
        <v>84672.9</v>
      </c>
      <c r="J67" s="27">
        <v>7.41</v>
      </c>
      <c r="M67" s="28">
        <f>ROUND(ROUND(J67, 2)*I67, 2)</f>
        <v>627426.18999999994</v>
      </c>
      <c r="P67" s="27">
        <v>7.41</v>
      </c>
      <c r="S67" s="28">
        <f>ROUND(ROUND(P67, 2)*I67, 2)</f>
        <v>627426.18999999994</v>
      </c>
      <c r="V67" s="9">
        <f>ROUND(ROUND(P67, 2)/1.2, 2)</f>
        <v>6.18</v>
      </c>
      <c r="Y67" s="9">
        <f t="shared" si="9"/>
        <v>522855.16</v>
      </c>
      <c r="AD67" s="4" t="s">
        <v>285</v>
      </c>
      <c r="AE67" s="4" t="s">
        <v>286</v>
      </c>
      <c r="AF67" s="4" t="s">
        <v>248</v>
      </c>
    </row>
    <row r="68" spans="1:35" ht="18" x14ac:dyDescent="0.3">
      <c r="A68" s="10" t="s">
        <v>287</v>
      </c>
      <c r="B68" s="10"/>
      <c r="C68" s="24" t="s">
        <v>250</v>
      </c>
      <c r="D68" s="15"/>
      <c r="E68" s="15"/>
      <c r="F68" s="25" t="s">
        <v>75</v>
      </c>
      <c r="G68" s="26">
        <v>1.1000000000000001</v>
      </c>
      <c r="H68" s="32"/>
      <c r="I68" s="32">
        <v>796.07</v>
      </c>
      <c r="J68" s="27">
        <v>155.01</v>
      </c>
      <c r="M68" s="28">
        <f>ROUND(ROUND(J68, 2)*I68, 2)</f>
        <v>123398.81</v>
      </c>
      <c r="P68" s="27">
        <v>155.01</v>
      </c>
      <c r="S68" s="28">
        <f>ROUND(ROUND(P68, 2)*I68, 2)</f>
        <v>123398.81</v>
      </c>
      <c r="V68" s="9">
        <f>ROUND(ROUND(P68, 2)/1.2, 2)</f>
        <v>129.18</v>
      </c>
      <c r="Y68" s="9">
        <f t="shared" si="9"/>
        <v>102832.34</v>
      </c>
      <c r="AD68" s="4" t="s">
        <v>288</v>
      </c>
      <c r="AE68" s="4" t="s">
        <v>289</v>
      </c>
      <c r="AF68" s="4" t="s">
        <v>253</v>
      </c>
    </row>
    <row r="69" spans="1:35" ht="18" x14ac:dyDescent="0.3">
      <c r="A69" s="10" t="s">
        <v>290</v>
      </c>
      <c r="B69" s="10"/>
      <c r="C69" s="24" t="s">
        <v>164</v>
      </c>
      <c r="D69" s="15"/>
      <c r="E69" s="15"/>
      <c r="F69" s="25" t="s">
        <v>120</v>
      </c>
      <c r="G69" s="26">
        <v>1</v>
      </c>
      <c r="H69" s="32"/>
      <c r="I69" s="32">
        <v>723.7</v>
      </c>
      <c r="J69" s="27">
        <v>10.4</v>
      </c>
      <c r="M69" s="28">
        <f>ROUND(ROUND(J69, 2)*I69, 2)</f>
        <v>7526.48</v>
      </c>
      <c r="P69" s="27">
        <v>10.4</v>
      </c>
      <c r="S69" s="28">
        <f>ROUND(ROUND(P69, 2)*I69, 2)</f>
        <v>7526.48</v>
      </c>
      <c r="V69" s="9">
        <f>ROUND(ROUND(P69, 2)/1.2, 2)</f>
        <v>8.67</v>
      </c>
      <c r="Y69" s="9">
        <f t="shared" ref="Y69:Y101" si="10">ROUND(S69 / 1.2, 2)</f>
        <v>6272.07</v>
      </c>
      <c r="AD69" s="4" t="s">
        <v>291</v>
      </c>
      <c r="AE69" s="4" t="s">
        <v>292</v>
      </c>
      <c r="AF69" s="4" t="s">
        <v>167</v>
      </c>
    </row>
    <row r="70" spans="1:35" ht="36" x14ac:dyDescent="0.3">
      <c r="A70" s="10" t="s">
        <v>293</v>
      </c>
      <c r="B70" s="10" t="s">
        <v>276</v>
      </c>
      <c r="C70" s="14" t="s">
        <v>277</v>
      </c>
      <c r="D70" s="15"/>
      <c r="E70" s="15" t="s">
        <v>294</v>
      </c>
      <c r="F70" s="15" t="s">
        <v>75</v>
      </c>
      <c r="G70" s="16">
        <v>1</v>
      </c>
      <c r="H70" s="16"/>
      <c r="I70" s="16">
        <v>299.60000000000002</v>
      </c>
      <c r="J70" s="17">
        <v>1133.4000000000001</v>
      </c>
      <c r="K70" s="18">
        <v>922</v>
      </c>
      <c r="L70" s="17">
        <f>J70+ROUND(K70, 2)</f>
        <v>2055.4</v>
      </c>
      <c r="M70" s="17">
        <v>339566.64</v>
      </c>
      <c r="N70" s="17">
        <v>276231.2</v>
      </c>
      <c r="O70" s="17">
        <f>M70+N70</f>
        <v>615797.84000000008</v>
      </c>
      <c r="P70" s="17">
        <v>1133.3900000000001</v>
      </c>
      <c r="Q70" s="18">
        <v>922</v>
      </c>
      <c r="R70" s="17">
        <f>P70+ROUND(Q70, 2)</f>
        <v>2055.3900000000003</v>
      </c>
      <c r="S70" s="17">
        <v>339563.65</v>
      </c>
      <c r="T70" s="17">
        <v>276231.2</v>
      </c>
      <c r="U70" s="17">
        <f>S70+T70</f>
        <v>615794.85000000009</v>
      </c>
      <c r="V70" s="9">
        <f>ROUND(P70 / 1.2, 2)</f>
        <v>944.49</v>
      </c>
      <c r="W70" s="9">
        <f>ROUND(Q70 / 1.2, 2)</f>
        <v>768.33</v>
      </c>
      <c r="X70" s="9">
        <f>ROUND(R70 / 1.2, 2)</f>
        <v>1712.83</v>
      </c>
      <c r="Y70" s="9">
        <f t="shared" si="10"/>
        <v>282969.71000000002</v>
      </c>
      <c r="Z70" s="9">
        <f>ROUND(T70 / 1.2, 2)</f>
        <v>230192.67</v>
      </c>
      <c r="AA70" s="9">
        <f>Y70+Z70</f>
        <v>513162.38</v>
      </c>
      <c r="AD70" s="4">
        <v>339118904</v>
      </c>
      <c r="AE70" s="4">
        <v>25888002</v>
      </c>
      <c r="AG70" s="4" t="s">
        <v>279</v>
      </c>
      <c r="AH70" s="4" t="s">
        <v>280</v>
      </c>
      <c r="AI70" s="4" t="s">
        <v>156</v>
      </c>
    </row>
    <row r="71" spans="1:35" ht="18" x14ac:dyDescent="0.3">
      <c r="A71" s="10" t="s">
        <v>295</v>
      </c>
      <c r="B71" s="10"/>
      <c r="C71" s="24" t="s">
        <v>296</v>
      </c>
      <c r="D71" s="15"/>
      <c r="E71" s="15"/>
      <c r="F71" s="25" t="s">
        <v>159</v>
      </c>
      <c r="G71" s="26">
        <v>0.255</v>
      </c>
      <c r="H71" s="26"/>
      <c r="I71" s="26">
        <v>76.397999999999996</v>
      </c>
      <c r="J71" s="27">
        <v>100</v>
      </c>
      <c r="M71" s="28">
        <f>ROUND(ROUND(J71, 2)*I71, 2)</f>
        <v>7639.8</v>
      </c>
      <c r="P71" s="27">
        <v>100</v>
      </c>
      <c r="S71" s="28">
        <f>ROUND(ROUND(P71, 2)*I71, 2)</f>
        <v>7639.8</v>
      </c>
      <c r="V71" s="9">
        <f>ROUND(ROUND(P71, 2)/1.2, 2)</f>
        <v>83.33</v>
      </c>
      <c r="Y71" s="9">
        <f t="shared" si="10"/>
        <v>6366.5</v>
      </c>
      <c r="AD71" s="4" t="s">
        <v>297</v>
      </c>
      <c r="AE71" s="4" t="s">
        <v>298</v>
      </c>
      <c r="AF71" s="4" t="s">
        <v>299</v>
      </c>
    </row>
    <row r="72" spans="1:35" ht="18" x14ac:dyDescent="0.3">
      <c r="A72" s="10" t="s">
        <v>300</v>
      </c>
      <c r="B72" s="10"/>
      <c r="C72" s="24" t="s">
        <v>164</v>
      </c>
      <c r="D72" s="15"/>
      <c r="E72" s="15"/>
      <c r="F72" s="25" t="s">
        <v>120</v>
      </c>
      <c r="G72" s="26">
        <v>1</v>
      </c>
      <c r="H72" s="32"/>
      <c r="I72" s="32">
        <v>299.60000000000002</v>
      </c>
      <c r="J72" s="27">
        <v>10.4</v>
      </c>
      <c r="M72" s="28">
        <f>ROUND(ROUND(J72, 2)*I72, 2)</f>
        <v>3115.84</v>
      </c>
      <c r="P72" s="27">
        <v>10.4</v>
      </c>
      <c r="S72" s="28">
        <f>ROUND(ROUND(P72, 2)*I72, 2)</f>
        <v>3115.84</v>
      </c>
      <c r="V72" s="9">
        <f>ROUND(ROUND(P72, 2)/1.2, 2)</f>
        <v>8.67</v>
      </c>
      <c r="Y72" s="9">
        <f t="shared" si="10"/>
        <v>2596.5300000000002</v>
      </c>
      <c r="AD72" s="4" t="s">
        <v>301</v>
      </c>
      <c r="AE72" s="4" t="s">
        <v>302</v>
      </c>
      <c r="AF72" s="4" t="s">
        <v>167</v>
      </c>
    </row>
    <row r="73" spans="1:35" ht="18" x14ac:dyDescent="0.3">
      <c r="A73" s="10" t="s">
        <v>303</v>
      </c>
      <c r="B73" s="10"/>
      <c r="C73" s="24" t="s">
        <v>250</v>
      </c>
      <c r="D73" s="15"/>
      <c r="E73" s="15"/>
      <c r="F73" s="25" t="s">
        <v>75</v>
      </c>
      <c r="G73" s="26">
        <v>1.1000000000000001</v>
      </c>
      <c r="H73" s="32"/>
      <c r="I73" s="32">
        <v>329.56</v>
      </c>
      <c r="J73" s="27">
        <v>155.01</v>
      </c>
      <c r="M73" s="28">
        <f>ROUND(ROUND(J73, 2)*I73, 2)</f>
        <v>51085.1</v>
      </c>
      <c r="P73" s="27">
        <v>155.01</v>
      </c>
      <c r="S73" s="28">
        <f>ROUND(ROUND(P73, 2)*I73, 2)</f>
        <v>51085.1</v>
      </c>
      <c r="V73" s="9">
        <f>ROUND(ROUND(P73, 2)/1.2, 2)</f>
        <v>129.18</v>
      </c>
      <c r="Y73" s="9">
        <f t="shared" si="10"/>
        <v>42570.92</v>
      </c>
      <c r="AD73" s="4" t="s">
        <v>304</v>
      </c>
      <c r="AE73" s="4" t="s">
        <v>305</v>
      </c>
      <c r="AF73" s="4" t="s">
        <v>253</v>
      </c>
    </row>
    <row r="74" spans="1:35" ht="18" x14ac:dyDescent="0.3">
      <c r="A74" s="10" t="s">
        <v>306</v>
      </c>
      <c r="B74" s="10"/>
      <c r="C74" s="24" t="s">
        <v>245</v>
      </c>
      <c r="D74" s="15"/>
      <c r="E74" s="15"/>
      <c r="F74" s="25" t="s">
        <v>159</v>
      </c>
      <c r="G74" s="26">
        <v>1.8</v>
      </c>
      <c r="H74" s="32"/>
      <c r="I74" s="32">
        <v>36671.040000000001</v>
      </c>
      <c r="J74" s="27">
        <v>7.41</v>
      </c>
      <c r="M74" s="28">
        <f>ROUND(ROUND(J74, 2)*I74, 2)</f>
        <v>271732.40999999997</v>
      </c>
      <c r="P74" s="27">
        <v>7.41</v>
      </c>
      <c r="S74" s="28">
        <f>ROUND(ROUND(P74, 2)*I74, 2)</f>
        <v>271732.40999999997</v>
      </c>
      <c r="V74" s="9">
        <f>ROUND(ROUND(P74, 2)/1.2, 2)</f>
        <v>6.18</v>
      </c>
      <c r="Y74" s="9">
        <f t="shared" si="10"/>
        <v>226443.68</v>
      </c>
      <c r="AD74" s="4" t="s">
        <v>307</v>
      </c>
      <c r="AE74" s="4" t="s">
        <v>308</v>
      </c>
      <c r="AF74" s="4" t="s">
        <v>248</v>
      </c>
    </row>
    <row r="75" spans="1:35" ht="18" x14ac:dyDescent="0.3">
      <c r="A75" s="10" t="s">
        <v>309</v>
      </c>
      <c r="B75" s="10"/>
      <c r="C75" s="24" t="s">
        <v>239</v>
      </c>
      <c r="D75" s="15"/>
      <c r="E75" s="15"/>
      <c r="F75" s="25" t="s">
        <v>240</v>
      </c>
      <c r="G75" s="26">
        <v>8</v>
      </c>
      <c r="H75" s="32"/>
      <c r="I75" s="32">
        <v>2396.8000000000002</v>
      </c>
      <c r="J75" s="27">
        <v>2.5</v>
      </c>
      <c r="M75" s="28">
        <f>ROUND(ROUND(J75, 2)*I75, 2)</f>
        <v>5992</v>
      </c>
      <c r="P75" s="27">
        <v>2.5</v>
      </c>
      <c r="S75" s="28">
        <f>ROUND(ROUND(P75, 2)*I75, 2)</f>
        <v>5992</v>
      </c>
      <c r="V75" s="9">
        <f>ROUND(ROUND(P75, 2)/1.2, 2)</f>
        <v>2.08</v>
      </c>
      <c r="Y75" s="9">
        <f t="shared" si="10"/>
        <v>4993.33</v>
      </c>
      <c r="AD75" s="4" t="s">
        <v>310</v>
      </c>
      <c r="AE75" s="4" t="s">
        <v>311</v>
      </c>
      <c r="AF75" s="4" t="s">
        <v>243</v>
      </c>
    </row>
    <row r="76" spans="1:35" ht="36" x14ac:dyDescent="0.3">
      <c r="A76" s="10" t="s">
        <v>312</v>
      </c>
      <c r="B76" s="10" t="s">
        <v>276</v>
      </c>
      <c r="C76" s="14" t="s">
        <v>277</v>
      </c>
      <c r="D76" s="15"/>
      <c r="E76" s="15" t="s">
        <v>313</v>
      </c>
      <c r="F76" s="15" t="s">
        <v>75</v>
      </c>
      <c r="G76" s="16">
        <v>1</v>
      </c>
      <c r="H76" s="16"/>
      <c r="I76" s="16">
        <v>0</v>
      </c>
      <c r="J76" s="17">
        <v>0</v>
      </c>
      <c r="K76" s="18">
        <v>922</v>
      </c>
      <c r="L76" s="17">
        <f>J76+ROUND(K76, 2)</f>
        <v>922</v>
      </c>
      <c r="M76" s="17">
        <v>0</v>
      </c>
      <c r="N76" s="17">
        <v>0</v>
      </c>
      <c r="O76" s="17">
        <f>M76+N76</f>
        <v>0</v>
      </c>
      <c r="P76" s="17">
        <v>919.95</v>
      </c>
      <c r="Q76" s="18">
        <v>922</v>
      </c>
      <c r="R76" s="17">
        <f>P76+ROUND(Q76, 2)</f>
        <v>1841.95</v>
      </c>
      <c r="S76" s="17">
        <v>0</v>
      </c>
      <c r="T76" s="17">
        <v>0</v>
      </c>
      <c r="U76" s="17">
        <f>S76+T76</f>
        <v>0</v>
      </c>
      <c r="V76" s="9">
        <f>ROUND(P76 / 1.2, 2)</f>
        <v>766.63</v>
      </c>
      <c r="W76" s="9">
        <f>ROUND(Q76 / 1.2, 2)</f>
        <v>768.33</v>
      </c>
      <c r="X76" s="9">
        <f>ROUND(R76 / 1.2, 2)</f>
        <v>1534.96</v>
      </c>
      <c r="Y76" s="9">
        <f t="shared" si="10"/>
        <v>0</v>
      </c>
      <c r="Z76" s="9">
        <f>ROUND(T76 / 1.2, 2)</f>
        <v>0</v>
      </c>
      <c r="AA76" s="9">
        <f>Y76+Z76</f>
        <v>0</v>
      </c>
      <c r="AD76" s="4">
        <v>339118905</v>
      </c>
      <c r="AE76" s="4">
        <v>25887990</v>
      </c>
      <c r="AG76" s="4" t="s">
        <v>279</v>
      </c>
      <c r="AH76" s="4" t="s">
        <v>280</v>
      </c>
      <c r="AI76" s="4" t="s">
        <v>156</v>
      </c>
    </row>
    <row r="77" spans="1:35" ht="18" x14ac:dyDescent="0.3">
      <c r="A77" s="10" t="s">
        <v>314</v>
      </c>
      <c r="B77" s="10"/>
      <c r="C77" s="24" t="s">
        <v>239</v>
      </c>
      <c r="D77" s="15"/>
      <c r="E77" s="15"/>
      <c r="F77" s="25" t="s">
        <v>240</v>
      </c>
      <c r="G77" s="26">
        <v>8</v>
      </c>
      <c r="H77" s="32"/>
      <c r="I77" s="32">
        <v>0</v>
      </c>
      <c r="J77" s="27">
        <v>2.5</v>
      </c>
      <c r="M77" s="28">
        <f>ROUND(ROUND(J77, 2)*I77, 2)</f>
        <v>0</v>
      </c>
      <c r="P77" s="27">
        <v>2.5</v>
      </c>
      <c r="S77" s="28">
        <f>ROUND(ROUND(P77, 2)*I77, 2)</f>
        <v>0</v>
      </c>
      <c r="V77" s="9">
        <f>ROUND(ROUND(P77, 2)/1.2, 2)</f>
        <v>2.08</v>
      </c>
      <c r="Y77" s="9">
        <f t="shared" si="10"/>
        <v>0</v>
      </c>
      <c r="AD77" s="4" t="s">
        <v>315</v>
      </c>
      <c r="AE77" s="4" t="s">
        <v>316</v>
      </c>
      <c r="AF77" s="4" t="s">
        <v>243</v>
      </c>
    </row>
    <row r="78" spans="1:35" ht="18" x14ac:dyDescent="0.3">
      <c r="A78" s="10" t="s">
        <v>317</v>
      </c>
      <c r="B78" s="10"/>
      <c r="C78" s="24" t="s">
        <v>318</v>
      </c>
      <c r="D78" s="15"/>
      <c r="E78" s="15"/>
      <c r="F78" s="25" t="s">
        <v>159</v>
      </c>
      <c r="G78" s="26">
        <v>1.8</v>
      </c>
      <c r="H78" s="32"/>
      <c r="I78" s="32">
        <v>0</v>
      </c>
      <c r="J78" s="27">
        <v>6.17</v>
      </c>
      <c r="M78" s="28">
        <f>ROUND(ROUND(J78, 2)*I78, 2)</f>
        <v>0</v>
      </c>
      <c r="P78" s="27">
        <v>6.17</v>
      </c>
      <c r="S78" s="28">
        <f>ROUND(ROUND(P78, 2)*I78, 2)</f>
        <v>0</v>
      </c>
      <c r="V78" s="9">
        <f>ROUND(ROUND(P78, 2)/1.2, 2)</f>
        <v>5.14</v>
      </c>
      <c r="Y78" s="9">
        <f t="shared" si="10"/>
        <v>0</v>
      </c>
      <c r="AD78" s="4" t="s">
        <v>319</v>
      </c>
      <c r="AE78" s="4" t="s">
        <v>320</v>
      </c>
      <c r="AF78" s="4" t="s">
        <v>321</v>
      </c>
    </row>
    <row r="79" spans="1:35" ht="18" x14ac:dyDescent="0.3">
      <c r="A79" s="10" t="s">
        <v>322</v>
      </c>
      <c r="B79" s="10"/>
      <c r="C79" s="24" t="s">
        <v>323</v>
      </c>
      <c r="D79" s="15"/>
      <c r="E79" s="15"/>
      <c r="F79" s="25" t="s">
        <v>75</v>
      </c>
      <c r="G79" s="26">
        <v>1.1000000000000001</v>
      </c>
      <c r="H79" s="32"/>
      <c r="I79" s="32">
        <v>0</v>
      </c>
      <c r="J79" s="27">
        <v>101.94</v>
      </c>
      <c r="M79" s="28">
        <f>ROUND(ROUND(J79, 2)*I79, 2)</f>
        <v>0</v>
      </c>
      <c r="P79" s="27">
        <v>101.94</v>
      </c>
      <c r="S79" s="28">
        <f>ROUND(ROUND(P79, 2)*I79, 2)</f>
        <v>0</v>
      </c>
      <c r="V79" s="9">
        <f>ROUND(ROUND(P79, 2)/1.2, 2)</f>
        <v>84.95</v>
      </c>
      <c r="Y79" s="9">
        <f t="shared" si="10"/>
        <v>0</v>
      </c>
      <c r="AD79" s="4" t="s">
        <v>324</v>
      </c>
      <c r="AE79" s="4" t="s">
        <v>325</v>
      </c>
      <c r="AF79" s="4" t="s">
        <v>326</v>
      </c>
    </row>
    <row r="80" spans="1:35" ht="18" x14ac:dyDescent="0.3">
      <c r="A80" s="10" t="s">
        <v>327</v>
      </c>
      <c r="B80" s="10"/>
      <c r="C80" s="24" t="s">
        <v>164</v>
      </c>
      <c r="D80" s="15"/>
      <c r="E80" s="15"/>
      <c r="F80" s="25" t="s">
        <v>120</v>
      </c>
      <c r="G80" s="26">
        <v>1</v>
      </c>
      <c r="H80" s="32"/>
      <c r="I80" s="32">
        <v>0</v>
      </c>
      <c r="J80" s="27">
        <v>10.4</v>
      </c>
      <c r="M80" s="28">
        <f>ROUND(ROUND(J80, 2)*I80, 2)</f>
        <v>0</v>
      </c>
      <c r="P80" s="27">
        <v>10.4</v>
      </c>
      <c r="S80" s="28">
        <f>ROUND(ROUND(P80, 2)*I80, 2)</f>
        <v>0</v>
      </c>
      <c r="V80" s="9">
        <f>ROUND(ROUND(P80, 2)/1.2, 2)</f>
        <v>8.67</v>
      </c>
      <c r="Y80" s="9">
        <f t="shared" si="10"/>
        <v>0</v>
      </c>
      <c r="AD80" s="4" t="s">
        <v>328</v>
      </c>
      <c r="AE80" s="4" t="s">
        <v>329</v>
      </c>
      <c r="AF80" s="4" t="s">
        <v>167</v>
      </c>
    </row>
    <row r="81" spans="1:35" ht="36" x14ac:dyDescent="0.3">
      <c r="A81" s="10" t="s">
        <v>330</v>
      </c>
      <c r="B81" s="10" t="s">
        <v>276</v>
      </c>
      <c r="C81" s="14" t="s">
        <v>277</v>
      </c>
      <c r="D81" s="15"/>
      <c r="E81" s="15" t="s">
        <v>331</v>
      </c>
      <c r="F81" s="15" t="s">
        <v>75</v>
      </c>
      <c r="G81" s="16">
        <v>1</v>
      </c>
      <c r="H81" s="16"/>
      <c r="I81" s="16">
        <v>0</v>
      </c>
      <c r="J81" s="17">
        <v>0</v>
      </c>
      <c r="K81" s="18">
        <v>922</v>
      </c>
      <c r="L81" s="17">
        <f>J81+ROUND(K81, 2)</f>
        <v>922</v>
      </c>
      <c r="M81" s="17">
        <v>0</v>
      </c>
      <c r="N81" s="17">
        <v>0</v>
      </c>
      <c r="O81" s="17">
        <f>M81+N81</f>
        <v>0</v>
      </c>
      <c r="P81" s="17">
        <v>1031.01</v>
      </c>
      <c r="Q81" s="18">
        <v>922</v>
      </c>
      <c r="R81" s="17">
        <f>P81+ROUND(Q81, 2)</f>
        <v>1953.01</v>
      </c>
      <c r="S81" s="17">
        <v>0</v>
      </c>
      <c r="T81" s="17">
        <v>0</v>
      </c>
      <c r="U81" s="17">
        <f>S81+T81</f>
        <v>0</v>
      </c>
      <c r="V81" s="9">
        <f>ROUND(P81 / 1.2, 2)</f>
        <v>859.18</v>
      </c>
      <c r="W81" s="9">
        <f>ROUND(Q81 / 1.2, 2)</f>
        <v>768.33</v>
      </c>
      <c r="X81" s="9">
        <f>ROUND(R81 / 1.2, 2)</f>
        <v>1627.51</v>
      </c>
      <c r="Y81" s="9">
        <f t="shared" si="10"/>
        <v>0</v>
      </c>
      <c r="Z81" s="9">
        <f>ROUND(T81 / 1.2, 2)</f>
        <v>0</v>
      </c>
      <c r="AA81" s="9">
        <f>Y81+Z81</f>
        <v>0</v>
      </c>
      <c r="AD81" s="4">
        <v>339118906</v>
      </c>
      <c r="AE81" s="4">
        <v>25888004</v>
      </c>
      <c r="AG81" s="4" t="s">
        <v>279</v>
      </c>
      <c r="AH81" s="4" t="s">
        <v>280</v>
      </c>
      <c r="AI81" s="4" t="s">
        <v>156</v>
      </c>
    </row>
    <row r="82" spans="1:35" ht="18" x14ac:dyDescent="0.3">
      <c r="A82" s="10" t="s">
        <v>332</v>
      </c>
      <c r="B82" s="10"/>
      <c r="C82" s="24" t="s">
        <v>164</v>
      </c>
      <c r="D82" s="15"/>
      <c r="E82" s="15"/>
      <c r="F82" s="25" t="s">
        <v>120</v>
      </c>
      <c r="G82" s="26">
        <v>1</v>
      </c>
      <c r="H82" s="32"/>
      <c r="I82" s="32">
        <v>0</v>
      </c>
      <c r="J82" s="27">
        <v>10.4</v>
      </c>
      <c r="M82" s="28">
        <f>ROUND(ROUND(J82, 2)*I82, 2)</f>
        <v>0</v>
      </c>
      <c r="P82" s="27">
        <v>10.4</v>
      </c>
      <c r="S82" s="28">
        <f>ROUND(ROUND(P82, 2)*I82, 2)</f>
        <v>0</v>
      </c>
      <c r="V82" s="9">
        <f>ROUND(ROUND(P82, 2)/1.2, 2)</f>
        <v>8.67</v>
      </c>
      <c r="Y82" s="9">
        <f t="shared" si="10"/>
        <v>0</v>
      </c>
      <c r="AD82" s="4" t="s">
        <v>333</v>
      </c>
      <c r="AE82" s="4" t="s">
        <v>334</v>
      </c>
      <c r="AF82" s="4" t="s">
        <v>167</v>
      </c>
    </row>
    <row r="83" spans="1:35" ht="18" x14ac:dyDescent="0.3">
      <c r="A83" s="10" t="s">
        <v>335</v>
      </c>
      <c r="B83" s="10"/>
      <c r="C83" s="24" t="s">
        <v>323</v>
      </c>
      <c r="D83" s="15"/>
      <c r="E83" s="15"/>
      <c r="F83" s="25" t="s">
        <v>75</v>
      </c>
      <c r="G83" s="26">
        <v>1.1000000000000001</v>
      </c>
      <c r="H83" s="32"/>
      <c r="I83" s="32">
        <v>0</v>
      </c>
      <c r="J83" s="27">
        <v>101.94</v>
      </c>
      <c r="M83" s="28">
        <f>ROUND(ROUND(J83, 2)*I83, 2)</f>
        <v>0</v>
      </c>
      <c r="P83" s="27">
        <v>101.94</v>
      </c>
      <c r="S83" s="28">
        <f>ROUND(ROUND(P83, 2)*I83, 2)</f>
        <v>0</v>
      </c>
      <c r="V83" s="9">
        <f>ROUND(ROUND(P83, 2)/1.2, 2)</f>
        <v>84.95</v>
      </c>
      <c r="Y83" s="9">
        <f t="shared" si="10"/>
        <v>0</v>
      </c>
      <c r="AD83" s="4" t="s">
        <v>336</v>
      </c>
      <c r="AE83" s="4" t="s">
        <v>337</v>
      </c>
      <c r="AF83" s="4" t="s">
        <v>326</v>
      </c>
    </row>
    <row r="84" spans="1:35" ht="18" x14ac:dyDescent="0.3">
      <c r="A84" s="10" t="s">
        <v>338</v>
      </c>
      <c r="B84" s="10"/>
      <c r="C84" s="24" t="s">
        <v>318</v>
      </c>
      <c r="D84" s="15"/>
      <c r="E84" s="15"/>
      <c r="F84" s="25" t="s">
        <v>159</v>
      </c>
      <c r="G84" s="26">
        <v>1.8</v>
      </c>
      <c r="H84" s="32"/>
      <c r="I84" s="32">
        <v>0</v>
      </c>
      <c r="J84" s="27">
        <v>6.17</v>
      </c>
      <c r="M84" s="28">
        <f>ROUND(ROUND(J84, 2)*I84, 2)</f>
        <v>0</v>
      </c>
      <c r="P84" s="27">
        <v>6.17</v>
      </c>
      <c r="S84" s="28">
        <f>ROUND(ROUND(P84, 2)*I84, 2)</f>
        <v>0</v>
      </c>
      <c r="V84" s="9">
        <f>ROUND(ROUND(P84, 2)/1.2, 2)</f>
        <v>5.14</v>
      </c>
      <c r="Y84" s="9">
        <f t="shared" si="10"/>
        <v>0</v>
      </c>
      <c r="AD84" s="4" t="s">
        <v>339</v>
      </c>
      <c r="AE84" s="4" t="s">
        <v>340</v>
      </c>
      <c r="AF84" s="4" t="s">
        <v>321</v>
      </c>
    </row>
    <row r="85" spans="1:35" ht="18" x14ac:dyDescent="0.3">
      <c r="A85" s="10" t="s">
        <v>341</v>
      </c>
      <c r="B85" s="10"/>
      <c r="C85" s="24" t="s">
        <v>239</v>
      </c>
      <c r="D85" s="15"/>
      <c r="E85" s="15"/>
      <c r="F85" s="25" t="s">
        <v>240</v>
      </c>
      <c r="G85" s="26">
        <v>8</v>
      </c>
      <c r="H85" s="32"/>
      <c r="I85" s="32">
        <v>0</v>
      </c>
      <c r="J85" s="27">
        <v>2.5</v>
      </c>
      <c r="M85" s="28">
        <f>ROUND(ROUND(J85, 2)*I85, 2)</f>
        <v>0</v>
      </c>
      <c r="P85" s="27">
        <v>2.5</v>
      </c>
      <c r="S85" s="28">
        <f>ROUND(ROUND(P85, 2)*I85, 2)</f>
        <v>0</v>
      </c>
      <c r="V85" s="9">
        <f>ROUND(ROUND(P85, 2)/1.2, 2)</f>
        <v>2.08</v>
      </c>
      <c r="Y85" s="9">
        <f t="shared" si="10"/>
        <v>0</v>
      </c>
      <c r="AD85" s="4" t="s">
        <v>342</v>
      </c>
      <c r="AE85" s="4" t="s">
        <v>343</v>
      </c>
      <c r="AF85" s="4" t="s">
        <v>243</v>
      </c>
    </row>
    <row r="86" spans="1:35" ht="72" x14ac:dyDescent="0.3">
      <c r="A86" s="10" t="s">
        <v>344</v>
      </c>
      <c r="B86" s="10" t="s">
        <v>276</v>
      </c>
      <c r="C86" s="14" t="s">
        <v>345</v>
      </c>
      <c r="D86" s="15"/>
      <c r="E86" s="15" t="s">
        <v>346</v>
      </c>
      <c r="F86" s="15" t="s">
        <v>75</v>
      </c>
      <c r="G86" s="16">
        <v>1</v>
      </c>
      <c r="H86" s="16"/>
      <c r="I86" s="16">
        <v>116.53</v>
      </c>
      <c r="J86" s="17">
        <v>1086.44</v>
      </c>
      <c r="K86" s="18">
        <v>1014</v>
      </c>
      <c r="L86" s="17">
        <f>J86+ROUND(K86, 2)</f>
        <v>2100.44</v>
      </c>
      <c r="M86" s="17">
        <v>126602.85</v>
      </c>
      <c r="N86" s="17">
        <v>118161.42</v>
      </c>
      <c r="O86" s="17">
        <f>M86+N86</f>
        <v>244764.27000000002</v>
      </c>
      <c r="P86" s="17">
        <v>1086.44</v>
      </c>
      <c r="Q86" s="18">
        <v>922</v>
      </c>
      <c r="R86" s="17">
        <f>P86+ROUND(Q86, 2)</f>
        <v>2008.44</v>
      </c>
      <c r="S86" s="17">
        <v>126602.85</v>
      </c>
      <c r="T86" s="17">
        <v>107440.66</v>
      </c>
      <c r="U86" s="17">
        <f>S86+T86</f>
        <v>234043.51</v>
      </c>
      <c r="V86" s="9">
        <f>ROUND(P86 / 1.2, 2)</f>
        <v>905.37</v>
      </c>
      <c r="W86" s="9">
        <f>ROUND(Q86 / 1.2, 2)</f>
        <v>768.33</v>
      </c>
      <c r="X86" s="9">
        <f>ROUND(R86 / 1.2, 2)</f>
        <v>1673.7</v>
      </c>
      <c r="Y86" s="9">
        <f t="shared" si="10"/>
        <v>105502.38</v>
      </c>
      <c r="Z86" s="9">
        <f>ROUND(T86 / 1.2, 2)</f>
        <v>89533.88</v>
      </c>
      <c r="AA86" s="9">
        <f>Y86+Z86</f>
        <v>195036.26</v>
      </c>
      <c r="AD86" s="4">
        <v>339118907</v>
      </c>
      <c r="AE86" s="4">
        <v>28951151</v>
      </c>
      <c r="AG86" s="4" t="s">
        <v>279</v>
      </c>
      <c r="AH86" s="4" t="s">
        <v>280</v>
      </c>
      <c r="AI86" s="4" t="s">
        <v>156</v>
      </c>
    </row>
    <row r="87" spans="1:35" ht="18" x14ac:dyDescent="0.3">
      <c r="A87" s="10" t="s">
        <v>347</v>
      </c>
      <c r="B87" s="10"/>
      <c r="C87" s="24" t="s">
        <v>239</v>
      </c>
      <c r="D87" s="15"/>
      <c r="E87" s="15"/>
      <c r="F87" s="25" t="s">
        <v>240</v>
      </c>
      <c r="G87" s="26">
        <v>8</v>
      </c>
      <c r="H87" s="32"/>
      <c r="I87" s="32">
        <v>932.24</v>
      </c>
      <c r="J87" s="27">
        <v>2.54</v>
      </c>
      <c r="M87" s="28">
        <f>ROUND(ROUND(J87, 2)*I87, 2)</f>
        <v>2367.89</v>
      </c>
      <c r="P87" s="27">
        <v>2.54</v>
      </c>
      <c r="S87" s="28">
        <f>ROUND(ROUND(P87, 2)*I87, 2)</f>
        <v>2367.89</v>
      </c>
      <c r="V87" s="9">
        <f>ROUND(ROUND(P87, 2)/1.2, 2)</f>
        <v>2.12</v>
      </c>
      <c r="Y87" s="9">
        <f t="shared" si="10"/>
        <v>1973.24</v>
      </c>
      <c r="AD87" s="4" t="s">
        <v>348</v>
      </c>
      <c r="AE87" s="4" t="s">
        <v>349</v>
      </c>
      <c r="AF87" s="4" t="s">
        <v>243</v>
      </c>
    </row>
    <row r="88" spans="1:35" ht="18" x14ac:dyDescent="0.3">
      <c r="A88" s="10" t="s">
        <v>350</v>
      </c>
      <c r="B88" s="10"/>
      <c r="C88" s="24" t="s">
        <v>245</v>
      </c>
      <c r="D88" s="15"/>
      <c r="E88" s="15"/>
      <c r="F88" s="25" t="s">
        <v>159</v>
      </c>
      <c r="G88" s="26">
        <v>1.8</v>
      </c>
      <c r="H88" s="32"/>
      <c r="I88" s="32">
        <v>13634.01</v>
      </c>
      <c r="J88" s="27">
        <v>7.54</v>
      </c>
      <c r="M88" s="28">
        <f>ROUND(ROUND(J88, 2)*I88, 2)</f>
        <v>102800.44</v>
      </c>
      <c r="P88" s="27">
        <v>7.54</v>
      </c>
      <c r="S88" s="28">
        <f>ROUND(ROUND(P88, 2)*I88, 2)</f>
        <v>102800.44</v>
      </c>
      <c r="V88" s="9">
        <f>ROUND(ROUND(P88, 2)/1.2, 2)</f>
        <v>6.28</v>
      </c>
      <c r="Y88" s="9">
        <f t="shared" si="10"/>
        <v>85667.03</v>
      </c>
      <c r="AD88" s="4" t="s">
        <v>351</v>
      </c>
      <c r="AE88" s="4" t="s">
        <v>352</v>
      </c>
      <c r="AF88" s="4" t="s">
        <v>248</v>
      </c>
    </row>
    <row r="89" spans="1:35" ht="18" x14ac:dyDescent="0.3">
      <c r="A89" s="10" t="s">
        <v>353</v>
      </c>
      <c r="B89" s="10"/>
      <c r="C89" s="24" t="s">
        <v>250</v>
      </c>
      <c r="D89" s="15"/>
      <c r="E89" s="15"/>
      <c r="F89" s="25" t="s">
        <v>75</v>
      </c>
      <c r="G89" s="26">
        <v>1.1000000000000001</v>
      </c>
      <c r="H89" s="32"/>
      <c r="I89" s="32">
        <v>128.18299999999999</v>
      </c>
      <c r="J89" s="27">
        <v>157.6</v>
      </c>
      <c r="M89" s="28">
        <f>ROUND(ROUND(J89, 2)*I89, 2)</f>
        <v>20201.64</v>
      </c>
      <c r="P89" s="27">
        <v>157.6</v>
      </c>
      <c r="S89" s="28">
        <f>ROUND(ROUND(P89, 2)*I89, 2)</f>
        <v>20201.64</v>
      </c>
      <c r="V89" s="9">
        <f>ROUND(ROUND(P89, 2)/1.2, 2)</f>
        <v>131.33000000000001</v>
      </c>
      <c r="Y89" s="9">
        <f t="shared" si="10"/>
        <v>16834.7</v>
      </c>
      <c r="AD89" s="4" t="s">
        <v>354</v>
      </c>
      <c r="AE89" s="4" t="s">
        <v>355</v>
      </c>
      <c r="AF89" s="4" t="s">
        <v>253</v>
      </c>
    </row>
    <row r="90" spans="1:35" ht="18" x14ac:dyDescent="0.3">
      <c r="A90" s="10" t="s">
        <v>356</v>
      </c>
      <c r="B90" s="10"/>
      <c r="C90" s="24" t="s">
        <v>164</v>
      </c>
      <c r="D90" s="15"/>
      <c r="E90" s="15"/>
      <c r="F90" s="25" t="s">
        <v>120</v>
      </c>
      <c r="G90" s="26">
        <v>1</v>
      </c>
      <c r="H90" s="32"/>
      <c r="I90" s="32">
        <v>116.53</v>
      </c>
      <c r="J90" s="27">
        <v>10.58</v>
      </c>
      <c r="M90" s="28">
        <f>ROUND(ROUND(J90, 2)*I90, 2)</f>
        <v>1232.8900000000001</v>
      </c>
      <c r="P90" s="27">
        <v>10.58</v>
      </c>
      <c r="S90" s="28">
        <f>ROUND(ROUND(P90, 2)*I90, 2)</f>
        <v>1232.8900000000001</v>
      </c>
      <c r="V90" s="9">
        <f>ROUND(ROUND(P90, 2)/1.2, 2)</f>
        <v>8.82</v>
      </c>
      <c r="Y90" s="9">
        <f t="shared" si="10"/>
        <v>1027.4100000000001</v>
      </c>
      <c r="AD90" s="4" t="s">
        <v>357</v>
      </c>
      <c r="AE90" s="4" t="s">
        <v>358</v>
      </c>
      <c r="AF90" s="4" t="s">
        <v>167</v>
      </c>
    </row>
    <row r="91" spans="1:35" ht="72" x14ac:dyDescent="0.3">
      <c r="A91" s="10" t="s">
        <v>359</v>
      </c>
      <c r="B91" s="10" t="s">
        <v>276</v>
      </c>
      <c r="C91" s="14" t="s">
        <v>345</v>
      </c>
      <c r="D91" s="15"/>
      <c r="E91" s="15" t="s">
        <v>360</v>
      </c>
      <c r="F91" s="15" t="s">
        <v>75</v>
      </c>
      <c r="G91" s="16">
        <v>1</v>
      </c>
      <c r="H91" s="16"/>
      <c r="I91" s="16">
        <v>1890.45</v>
      </c>
      <c r="J91" s="17">
        <v>1153.08</v>
      </c>
      <c r="K91" s="18">
        <v>1014</v>
      </c>
      <c r="L91" s="17">
        <f>J91+ROUND(K91, 2)</f>
        <v>2167.08</v>
      </c>
      <c r="M91" s="17">
        <v>2179840.09</v>
      </c>
      <c r="N91" s="17">
        <v>1916916.3</v>
      </c>
      <c r="O91" s="17">
        <f>M91+N91</f>
        <v>4096756.3899999997</v>
      </c>
      <c r="P91" s="17">
        <v>1153.08</v>
      </c>
      <c r="Q91" s="18">
        <v>922</v>
      </c>
      <c r="R91" s="17">
        <f>P91+ROUND(Q91, 2)</f>
        <v>2075.08</v>
      </c>
      <c r="S91" s="17">
        <v>2179840.09</v>
      </c>
      <c r="T91" s="17">
        <v>1742994.9</v>
      </c>
      <c r="U91" s="17">
        <f>S91+T91</f>
        <v>3922834.9899999998</v>
      </c>
      <c r="V91" s="9">
        <f>ROUND(P91 / 1.2, 2)</f>
        <v>960.9</v>
      </c>
      <c r="W91" s="9">
        <f>ROUND(Q91 / 1.2, 2)</f>
        <v>768.33</v>
      </c>
      <c r="X91" s="9">
        <f>ROUND(R91 / 1.2, 2)</f>
        <v>1729.23</v>
      </c>
      <c r="Y91" s="9">
        <f t="shared" si="10"/>
        <v>1816533.41</v>
      </c>
      <c r="Z91" s="9">
        <f>ROUND(T91 / 1.2, 2)</f>
        <v>1452495.75</v>
      </c>
      <c r="AA91" s="9">
        <f>Y91+Z91</f>
        <v>3269029.16</v>
      </c>
      <c r="AD91" s="4">
        <v>339118908</v>
      </c>
      <c r="AE91" s="4">
        <v>28951152</v>
      </c>
      <c r="AG91" s="4" t="s">
        <v>279</v>
      </c>
      <c r="AH91" s="4" t="s">
        <v>280</v>
      </c>
      <c r="AI91" s="4" t="s">
        <v>156</v>
      </c>
    </row>
    <row r="92" spans="1:35" ht="18" x14ac:dyDescent="0.3">
      <c r="A92" s="10" t="s">
        <v>361</v>
      </c>
      <c r="B92" s="10"/>
      <c r="C92" s="24" t="s">
        <v>296</v>
      </c>
      <c r="D92" s="15"/>
      <c r="E92" s="15"/>
      <c r="F92" s="25" t="s">
        <v>159</v>
      </c>
      <c r="G92" s="26">
        <v>0.255</v>
      </c>
      <c r="H92" s="26"/>
      <c r="I92" s="26">
        <v>482.065</v>
      </c>
      <c r="J92" s="27">
        <v>101.66</v>
      </c>
      <c r="M92" s="28">
        <f>ROUND(ROUND(J92, 2)*I92, 2)</f>
        <v>49006.73</v>
      </c>
      <c r="P92" s="27">
        <v>101.66</v>
      </c>
      <c r="S92" s="28">
        <f>ROUND(ROUND(P92, 2)*I92, 2)</f>
        <v>49006.73</v>
      </c>
      <c r="V92" s="9">
        <f>ROUND(ROUND(P92, 2)/1.2, 2)</f>
        <v>84.72</v>
      </c>
      <c r="Y92" s="9">
        <f t="shared" si="10"/>
        <v>40838.94</v>
      </c>
      <c r="AD92" s="4" t="s">
        <v>362</v>
      </c>
      <c r="AE92" s="4" t="s">
        <v>363</v>
      </c>
      <c r="AF92" s="4" t="s">
        <v>299</v>
      </c>
    </row>
    <row r="93" spans="1:35" ht="18" x14ac:dyDescent="0.3">
      <c r="A93" s="10" t="s">
        <v>364</v>
      </c>
      <c r="B93" s="10"/>
      <c r="C93" s="24" t="s">
        <v>164</v>
      </c>
      <c r="D93" s="15"/>
      <c r="E93" s="15"/>
      <c r="F93" s="25" t="s">
        <v>120</v>
      </c>
      <c r="G93" s="26">
        <v>1</v>
      </c>
      <c r="H93" s="32"/>
      <c r="I93" s="32">
        <v>1890.45</v>
      </c>
      <c r="J93" s="27">
        <v>10.58</v>
      </c>
      <c r="M93" s="28">
        <f>ROUND(ROUND(J93, 2)*I93, 2)</f>
        <v>20000.96</v>
      </c>
      <c r="P93" s="27">
        <v>10.58</v>
      </c>
      <c r="S93" s="28">
        <f>ROUND(ROUND(P93, 2)*I93, 2)</f>
        <v>20000.96</v>
      </c>
      <c r="V93" s="9">
        <f>ROUND(ROUND(P93, 2)/1.2, 2)</f>
        <v>8.82</v>
      </c>
      <c r="Y93" s="9">
        <f t="shared" si="10"/>
        <v>16667.47</v>
      </c>
      <c r="AD93" s="4" t="s">
        <v>365</v>
      </c>
      <c r="AE93" s="4" t="s">
        <v>366</v>
      </c>
      <c r="AF93" s="4" t="s">
        <v>167</v>
      </c>
    </row>
    <row r="94" spans="1:35" ht="18" x14ac:dyDescent="0.3">
      <c r="A94" s="10" t="s">
        <v>367</v>
      </c>
      <c r="B94" s="10"/>
      <c r="C94" s="24" t="s">
        <v>250</v>
      </c>
      <c r="D94" s="15"/>
      <c r="E94" s="15"/>
      <c r="F94" s="25" t="s">
        <v>75</v>
      </c>
      <c r="G94" s="26">
        <v>1.1000000000000001</v>
      </c>
      <c r="H94" s="32"/>
      <c r="I94" s="32">
        <v>2079.4949999999999</v>
      </c>
      <c r="J94" s="27">
        <v>157.6</v>
      </c>
      <c r="M94" s="28">
        <f>ROUND(ROUND(J94, 2)*I94, 2)</f>
        <v>327728.40999999997</v>
      </c>
      <c r="P94" s="27">
        <v>157.6</v>
      </c>
      <c r="S94" s="28">
        <f>ROUND(ROUND(P94, 2)*I94, 2)</f>
        <v>327728.40999999997</v>
      </c>
      <c r="V94" s="9">
        <f>ROUND(ROUND(P94, 2)/1.2, 2)</f>
        <v>131.33000000000001</v>
      </c>
      <c r="Y94" s="9">
        <f t="shared" si="10"/>
        <v>273107.01</v>
      </c>
      <c r="AD94" s="4" t="s">
        <v>368</v>
      </c>
      <c r="AE94" s="4" t="s">
        <v>369</v>
      </c>
      <c r="AF94" s="4" t="s">
        <v>253</v>
      </c>
    </row>
    <row r="95" spans="1:35" ht="18" x14ac:dyDescent="0.3">
      <c r="A95" s="10" t="s">
        <v>370</v>
      </c>
      <c r="B95" s="10"/>
      <c r="C95" s="24" t="s">
        <v>245</v>
      </c>
      <c r="D95" s="15"/>
      <c r="E95" s="15"/>
      <c r="F95" s="25" t="s">
        <v>159</v>
      </c>
      <c r="G95" s="26">
        <v>1.8</v>
      </c>
      <c r="H95" s="32"/>
      <c r="I95" s="32">
        <v>231391.08</v>
      </c>
      <c r="J95" s="27">
        <v>7.54</v>
      </c>
      <c r="M95" s="28">
        <f>ROUND(ROUND(J95, 2)*I95, 2)</f>
        <v>1744688.74</v>
      </c>
      <c r="P95" s="27">
        <v>7.54</v>
      </c>
      <c r="S95" s="28">
        <f>ROUND(ROUND(P95, 2)*I95, 2)</f>
        <v>1744688.74</v>
      </c>
      <c r="V95" s="9">
        <f>ROUND(ROUND(P95, 2)/1.2, 2)</f>
        <v>6.28</v>
      </c>
      <c r="Y95" s="9">
        <f t="shared" si="10"/>
        <v>1453907.28</v>
      </c>
      <c r="AD95" s="4" t="s">
        <v>371</v>
      </c>
      <c r="AE95" s="4" t="s">
        <v>372</v>
      </c>
      <c r="AF95" s="4" t="s">
        <v>248</v>
      </c>
    </row>
    <row r="96" spans="1:35" ht="18" x14ac:dyDescent="0.3">
      <c r="A96" s="10" t="s">
        <v>373</v>
      </c>
      <c r="B96" s="10"/>
      <c r="C96" s="24" t="s">
        <v>239</v>
      </c>
      <c r="D96" s="15"/>
      <c r="E96" s="15"/>
      <c r="F96" s="25" t="s">
        <v>240</v>
      </c>
      <c r="G96" s="26">
        <v>8</v>
      </c>
      <c r="H96" s="32"/>
      <c r="I96" s="32">
        <v>15123.6</v>
      </c>
      <c r="J96" s="27">
        <v>2.54</v>
      </c>
      <c r="M96" s="28">
        <f>ROUND(ROUND(J96, 2)*I96, 2)</f>
        <v>38413.94</v>
      </c>
      <c r="P96" s="27">
        <v>2.54</v>
      </c>
      <c r="S96" s="28">
        <f>ROUND(ROUND(P96, 2)*I96, 2)</f>
        <v>38413.94</v>
      </c>
      <c r="V96" s="9">
        <f>ROUND(ROUND(P96, 2)/1.2, 2)</f>
        <v>2.12</v>
      </c>
      <c r="Y96" s="9">
        <f t="shared" si="10"/>
        <v>32011.62</v>
      </c>
      <c r="AD96" s="4" t="s">
        <v>374</v>
      </c>
      <c r="AE96" s="4" t="s">
        <v>375</v>
      </c>
      <c r="AF96" s="4" t="s">
        <v>243</v>
      </c>
    </row>
    <row r="97" spans="1:35" ht="54" x14ac:dyDescent="0.3">
      <c r="A97" s="10" t="s">
        <v>376</v>
      </c>
      <c r="B97" s="10" t="s">
        <v>276</v>
      </c>
      <c r="C97" s="14" t="s">
        <v>345</v>
      </c>
      <c r="D97" s="15"/>
      <c r="E97" s="15" t="s">
        <v>377</v>
      </c>
      <c r="F97" s="15" t="s">
        <v>75</v>
      </c>
      <c r="G97" s="16">
        <v>1</v>
      </c>
      <c r="H97" s="16"/>
      <c r="I97" s="16">
        <v>254.68</v>
      </c>
      <c r="J97" s="17">
        <v>1086.44</v>
      </c>
      <c r="K97" s="18">
        <v>1014</v>
      </c>
      <c r="L97" s="17">
        <f>J97+ROUND(K97, 2)</f>
        <v>2100.44</v>
      </c>
      <c r="M97" s="17">
        <v>276694.53999999998</v>
      </c>
      <c r="N97" s="17">
        <v>258245.52</v>
      </c>
      <c r="O97" s="17">
        <f>M97+N97</f>
        <v>534940.05999999994</v>
      </c>
      <c r="P97" s="17">
        <v>1086.44</v>
      </c>
      <c r="Q97" s="18">
        <v>922</v>
      </c>
      <c r="R97" s="17">
        <f>P97+ROUND(Q97, 2)</f>
        <v>2008.44</v>
      </c>
      <c r="S97" s="17">
        <v>276694.53999999998</v>
      </c>
      <c r="T97" s="17">
        <v>234814.96</v>
      </c>
      <c r="U97" s="17">
        <f>S97+T97</f>
        <v>511509.5</v>
      </c>
      <c r="V97" s="9">
        <f>ROUND(P97 / 1.2, 2)</f>
        <v>905.37</v>
      </c>
      <c r="W97" s="9">
        <f>ROUND(Q97 / 1.2, 2)</f>
        <v>768.33</v>
      </c>
      <c r="X97" s="9">
        <f>ROUND(R97 / 1.2, 2)</f>
        <v>1673.7</v>
      </c>
      <c r="Y97" s="9">
        <f t="shared" si="10"/>
        <v>230578.78</v>
      </c>
      <c r="Z97" s="9">
        <f>ROUND(T97 / 1.2, 2)</f>
        <v>195679.13</v>
      </c>
      <c r="AA97" s="9">
        <f>Y97+Z97</f>
        <v>426257.91000000003</v>
      </c>
      <c r="AD97" s="4">
        <v>339118909</v>
      </c>
      <c r="AE97" s="4">
        <v>28964107</v>
      </c>
      <c r="AG97" s="4" t="s">
        <v>279</v>
      </c>
      <c r="AH97" s="4" t="s">
        <v>280</v>
      </c>
      <c r="AI97" s="4" t="s">
        <v>156</v>
      </c>
    </row>
    <row r="98" spans="1:35" ht="18" x14ac:dyDescent="0.3">
      <c r="A98" s="10" t="s">
        <v>378</v>
      </c>
      <c r="B98" s="10"/>
      <c r="C98" s="24" t="s">
        <v>239</v>
      </c>
      <c r="D98" s="15"/>
      <c r="E98" s="15"/>
      <c r="F98" s="25" t="s">
        <v>240</v>
      </c>
      <c r="G98" s="26">
        <v>8</v>
      </c>
      <c r="H98" s="32"/>
      <c r="I98" s="32">
        <v>2037.44</v>
      </c>
      <c r="J98" s="27">
        <v>2.54</v>
      </c>
      <c r="M98" s="28">
        <f>ROUND(ROUND(J98, 2)*I98, 2)</f>
        <v>5175.1000000000004</v>
      </c>
      <c r="P98" s="27">
        <v>2.54</v>
      </c>
      <c r="S98" s="28">
        <f>ROUND(ROUND(P98, 2)*I98, 2)</f>
        <v>5175.1000000000004</v>
      </c>
      <c r="V98" s="9">
        <f>ROUND(ROUND(P98, 2)/1.2, 2)</f>
        <v>2.12</v>
      </c>
      <c r="Y98" s="9">
        <f t="shared" si="10"/>
        <v>4312.58</v>
      </c>
      <c r="AD98" s="4" t="s">
        <v>379</v>
      </c>
      <c r="AE98" s="4" t="s">
        <v>380</v>
      </c>
      <c r="AF98" s="4" t="s">
        <v>243</v>
      </c>
    </row>
    <row r="99" spans="1:35" ht="18" x14ac:dyDescent="0.3">
      <c r="A99" s="10" t="s">
        <v>381</v>
      </c>
      <c r="B99" s="10"/>
      <c r="C99" s="24" t="s">
        <v>245</v>
      </c>
      <c r="D99" s="15"/>
      <c r="E99" s="15"/>
      <c r="F99" s="25" t="s">
        <v>159</v>
      </c>
      <c r="G99" s="26">
        <v>1.8</v>
      </c>
      <c r="H99" s="32"/>
      <c r="I99" s="32">
        <v>29797.56</v>
      </c>
      <c r="J99" s="27">
        <v>7.54</v>
      </c>
      <c r="M99" s="28">
        <f>ROUND(ROUND(J99, 2)*I99, 2)</f>
        <v>224673.6</v>
      </c>
      <c r="P99" s="27">
        <v>7.54</v>
      </c>
      <c r="S99" s="28">
        <f>ROUND(ROUND(P99, 2)*I99, 2)</f>
        <v>224673.6</v>
      </c>
      <c r="V99" s="9">
        <f>ROUND(ROUND(P99, 2)/1.2, 2)</f>
        <v>6.28</v>
      </c>
      <c r="Y99" s="9">
        <f t="shared" si="10"/>
        <v>187228</v>
      </c>
      <c r="AD99" s="4" t="s">
        <v>382</v>
      </c>
      <c r="AE99" s="4" t="s">
        <v>383</v>
      </c>
      <c r="AF99" s="4" t="s">
        <v>248</v>
      </c>
    </row>
    <row r="100" spans="1:35" ht="18" x14ac:dyDescent="0.3">
      <c r="A100" s="10" t="s">
        <v>384</v>
      </c>
      <c r="B100" s="10"/>
      <c r="C100" s="24" t="s">
        <v>250</v>
      </c>
      <c r="D100" s="15"/>
      <c r="E100" s="15"/>
      <c r="F100" s="25" t="s">
        <v>75</v>
      </c>
      <c r="G100" s="26">
        <v>1.1000000000000001</v>
      </c>
      <c r="H100" s="32"/>
      <c r="I100" s="32">
        <v>280.14800000000002</v>
      </c>
      <c r="J100" s="27">
        <v>157.6</v>
      </c>
      <c r="M100" s="28">
        <f>ROUND(ROUND(J100, 2)*I100, 2)</f>
        <v>44151.32</v>
      </c>
      <c r="P100" s="27">
        <v>157.6</v>
      </c>
      <c r="S100" s="28">
        <f>ROUND(ROUND(P100, 2)*I100, 2)</f>
        <v>44151.32</v>
      </c>
      <c r="V100" s="9">
        <f>ROUND(ROUND(P100, 2)/1.2, 2)</f>
        <v>131.33000000000001</v>
      </c>
      <c r="Y100" s="9">
        <f t="shared" si="10"/>
        <v>36792.769999999997</v>
      </c>
      <c r="AD100" s="4" t="s">
        <v>385</v>
      </c>
      <c r="AE100" s="4" t="s">
        <v>386</v>
      </c>
      <c r="AF100" s="4" t="s">
        <v>253</v>
      </c>
    </row>
    <row r="101" spans="1:35" ht="18" x14ac:dyDescent="0.3">
      <c r="A101" s="10" t="s">
        <v>387</v>
      </c>
      <c r="B101" s="10"/>
      <c r="C101" s="24" t="s">
        <v>164</v>
      </c>
      <c r="D101" s="15"/>
      <c r="E101" s="15"/>
      <c r="F101" s="25" t="s">
        <v>120</v>
      </c>
      <c r="G101" s="26">
        <v>1</v>
      </c>
      <c r="H101" s="32"/>
      <c r="I101" s="32">
        <v>254.68</v>
      </c>
      <c r="J101" s="27">
        <v>10.58</v>
      </c>
      <c r="M101" s="28">
        <f>ROUND(ROUND(J101, 2)*I101, 2)</f>
        <v>2694.51</v>
      </c>
      <c r="P101" s="27">
        <v>10.58</v>
      </c>
      <c r="S101" s="28">
        <f>ROUND(ROUND(P101, 2)*I101, 2)</f>
        <v>2694.51</v>
      </c>
      <c r="V101" s="9">
        <f>ROUND(ROUND(P101, 2)/1.2, 2)</f>
        <v>8.82</v>
      </c>
      <c r="Y101" s="9">
        <f t="shared" si="10"/>
        <v>2245.4299999999998</v>
      </c>
      <c r="AD101" s="4" t="s">
        <v>388</v>
      </c>
      <c r="AE101" s="4" t="s">
        <v>389</v>
      </c>
      <c r="AF101" s="4" t="s">
        <v>167</v>
      </c>
    </row>
    <row r="102" spans="1:35" ht="16.95" customHeight="1" x14ac:dyDescent="0.3">
      <c r="A102" s="10" t="s">
        <v>390</v>
      </c>
      <c r="B102" s="10" t="s">
        <v>391</v>
      </c>
      <c r="C102" s="120" t="s">
        <v>392</v>
      </c>
      <c r="D102" s="121"/>
      <c r="E102" s="121"/>
      <c r="F102" s="121"/>
      <c r="G102" s="121"/>
      <c r="H102" s="121"/>
      <c r="I102" s="122"/>
      <c r="M102" s="6">
        <f>SUM(M103,M107,M109,M111)</f>
        <v>386532.99</v>
      </c>
      <c r="N102" s="6">
        <f>SUM(N103,N107,N109,N111)</f>
        <v>304644.92000000004</v>
      </c>
      <c r="O102" s="6">
        <f>SUM(O103,O107,O109,O111)</f>
        <v>691177.90999999992</v>
      </c>
      <c r="S102" s="6">
        <f>SUM(S103,S107,S109,S111)</f>
        <v>458436.32</v>
      </c>
      <c r="T102" s="6">
        <f>SUM(T103,T107,T109,T111)</f>
        <v>304644.92000000004</v>
      </c>
      <c r="U102" s="6">
        <f>SUM(U103,U107,U109,U111)</f>
        <v>763081.24</v>
      </c>
      <c r="Y102" s="9">
        <f>SUM(Y103,Y107,Y109,Y111)</f>
        <v>382030.27</v>
      </c>
      <c r="Z102" s="9">
        <f>SUM(Z103,Z107,Z109,Z111)</f>
        <v>253870.77000000002</v>
      </c>
      <c r="AA102" s="9">
        <f>SUM(AA103,AA107,AA109,AA111)</f>
        <v>635901.04</v>
      </c>
      <c r="AD102" s="4">
        <v>339118809</v>
      </c>
      <c r="AE102" s="4">
        <v>25887963</v>
      </c>
    </row>
    <row r="103" spans="1:35" ht="54" x14ac:dyDescent="0.3">
      <c r="A103" s="10" t="s">
        <v>393</v>
      </c>
      <c r="B103" s="10" t="s">
        <v>394</v>
      </c>
      <c r="C103" s="14" t="s">
        <v>395</v>
      </c>
      <c r="D103" s="15"/>
      <c r="E103" s="15" t="s">
        <v>396</v>
      </c>
      <c r="F103" s="15" t="s">
        <v>75</v>
      </c>
      <c r="G103" s="16">
        <v>1</v>
      </c>
      <c r="H103" s="16"/>
      <c r="I103" s="16">
        <v>441.33</v>
      </c>
      <c r="J103" s="17">
        <v>625.25</v>
      </c>
      <c r="K103" s="18">
        <v>324</v>
      </c>
      <c r="L103" s="17">
        <f>J103+ROUND(K103, 2)</f>
        <v>949.25</v>
      </c>
      <c r="M103" s="17">
        <v>275941.58</v>
      </c>
      <c r="N103" s="17">
        <v>142990.92000000001</v>
      </c>
      <c r="O103" s="17">
        <f>M103+N103</f>
        <v>418932.5</v>
      </c>
      <c r="P103" s="17">
        <v>625.25</v>
      </c>
      <c r="Q103" s="18">
        <v>324</v>
      </c>
      <c r="R103" s="17">
        <f>P103+ROUND(Q103, 2)</f>
        <v>949.25</v>
      </c>
      <c r="S103" s="17">
        <v>275941.58</v>
      </c>
      <c r="T103" s="17">
        <v>142990.92000000001</v>
      </c>
      <c r="U103" s="17">
        <f>S103+T103</f>
        <v>418932.5</v>
      </c>
      <c r="V103" s="9">
        <f>ROUND(P103 / 1.2, 2)</f>
        <v>521.04</v>
      </c>
      <c r="W103" s="9">
        <f>ROUND(Q103 / 1.2, 2)</f>
        <v>270</v>
      </c>
      <c r="X103" s="9">
        <f>ROUND(R103 / 1.2, 2)</f>
        <v>791.04</v>
      </c>
      <c r="Y103" s="9">
        <f>ROUND(S103 / 1.2, 2)</f>
        <v>229951.32</v>
      </c>
      <c r="Z103" s="9">
        <f>ROUND(T103 / 1.2, 2)</f>
        <v>119159.1</v>
      </c>
      <c r="AA103" s="9">
        <f>Y103+Z103</f>
        <v>349110.42000000004</v>
      </c>
      <c r="AD103" s="4">
        <v>339118811</v>
      </c>
      <c r="AE103" s="4">
        <v>25888009</v>
      </c>
      <c r="AG103" s="4" t="s">
        <v>397</v>
      </c>
      <c r="AH103" s="4" t="s">
        <v>398</v>
      </c>
      <c r="AI103" s="4" t="s">
        <v>156</v>
      </c>
    </row>
    <row r="104" spans="1:35" ht="18" x14ac:dyDescent="0.3">
      <c r="A104" s="10" t="s">
        <v>399</v>
      </c>
      <c r="B104" s="10"/>
      <c r="C104" s="24" t="s">
        <v>400</v>
      </c>
      <c r="D104" s="15"/>
      <c r="E104" s="15"/>
      <c r="F104" s="25" t="s">
        <v>159</v>
      </c>
      <c r="G104" s="26">
        <v>0.25</v>
      </c>
      <c r="H104" s="26"/>
      <c r="I104" s="26">
        <v>110.333</v>
      </c>
      <c r="J104" s="27">
        <v>210.3</v>
      </c>
      <c r="M104" s="28">
        <f>ROUND(ROUND(J104, 2)*I104, 2)</f>
        <v>23203.03</v>
      </c>
      <c r="P104" s="27">
        <v>210.3</v>
      </c>
      <c r="S104" s="28">
        <f>ROUND(ROUND(P104, 2)*I104, 2)</f>
        <v>23203.03</v>
      </c>
      <c r="V104" s="9">
        <f>ROUND(ROUND(P104, 2)/1.2, 2)</f>
        <v>175.25</v>
      </c>
      <c r="Y104" s="9">
        <f t="shared" ref="Y104:Y112" si="11">ROUND(S104 / 1.2, 2)</f>
        <v>19335.86</v>
      </c>
      <c r="AD104" s="4" t="s">
        <v>401</v>
      </c>
      <c r="AE104" s="4" t="s">
        <v>402</v>
      </c>
      <c r="AF104" s="4" t="s">
        <v>403</v>
      </c>
    </row>
    <row r="105" spans="1:35" ht="18" x14ac:dyDescent="0.3">
      <c r="A105" s="10" t="s">
        <v>404</v>
      </c>
      <c r="B105" s="10"/>
      <c r="C105" s="24" t="s">
        <v>405</v>
      </c>
      <c r="D105" s="15"/>
      <c r="E105" s="15" t="s">
        <v>406</v>
      </c>
      <c r="F105" s="25" t="s">
        <v>159</v>
      </c>
      <c r="G105" s="26">
        <v>2</v>
      </c>
      <c r="H105" s="26"/>
      <c r="I105" s="26">
        <v>882.66</v>
      </c>
      <c r="J105" s="27">
        <v>282.66000000000003</v>
      </c>
      <c r="M105" s="28">
        <f>ROUND(ROUND(J105, 2)*I105, 2)</f>
        <v>249492.68</v>
      </c>
      <c r="P105" s="27">
        <v>282.66000000000003</v>
      </c>
      <c r="S105" s="28">
        <f>ROUND(ROUND(P105, 2)*I105, 2)</f>
        <v>249492.68</v>
      </c>
      <c r="V105" s="9">
        <f>ROUND(ROUND(P105, 2)/1.2, 2)</f>
        <v>235.55</v>
      </c>
      <c r="Y105" s="9">
        <f t="shared" si="11"/>
        <v>207910.57</v>
      </c>
      <c r="AD105" s="4" t="s">
        <v>407</v>
      </c>
      <c r="AE105" s="4" t="s">
        <v>408</v>
      </c>
      <c r="AF105" s="4" t="s">
        <v>409</v>
      </c>
    </row>
    <row r="106" spans="1:35" ht="18" x14ac:dyDescent="0.3">
      <c r="A106" s="10" t="s">
        <v>410</v>
      </c>
      <c r="B106" s="10"/>
      <c r="C106" s="24" t="s">
        <v>411</v>
      </c>
      <c r="D106" s="15"/>
      <c r="E106" s="15"/>
      <c r="F106" s="25" t="s">
        <v>120</v>
      </c>
      <c r="G106" s="26">
        <v>1.05</v>
      </c>
      <c r="H106" s="32"/>
      <c r="I106" s="32">
        <v>463.39699999999999</v>
      </c>
      <c r="J106" s="27">
        <v>7</v>
      </c>
      <c r="M106" s="28">
        <f>ROUND(ROUND(J106, 2)*I106, 2)</f>
        <v>3243.78</v>
      </c>
      <c r="P106" s="27">
        <v>7</v>
      </c>
      <c r="S106" s="28">
        <f>ROUND(ROUND(P106, 2)*I106, 2)</f>
        <v>3243.78</v>
      </c>
      <c r="V106" s="9">
        <f>ROUND(ROUND(P106, 2)/1.2, 2)</f>
        <v>5.83</v>
      </c>
      <c r="Y106" s="9">
        <f t="shared" si="11"/>
        <v>2703.15</v>
      </c>
      <c r="AD106" s="4" t="s">
        <v>412</v>
      </c>
      <c r="AE106" s="4" t="s">
        <v>413</v>
      </c>
      <c r="AF106" s="4" t="s">
        <v>414</v>
      </c>
    </row>
    <row r="107" spans="1:35" ht="36" x14ac:dyDescent="0.3">
      <c r="A107" s="10" t="s">
        <v>415</v>
      </c>
      <c r="B107" s="10" t="s">
        <v>416</v>
      </c>
      <c r="C107" s="14" t="s">
        <v>417</v>
      </c>
      <c r="D107" s="15"/>
      <c r="E107" s="15" t="s">
        <v>418</v>
      </c>
      <c r="F107" s="15" t="s">
        <v>75</v>
      </c>
      <c r="G107" s="16">
        <v>1</v>
      </c>
      <c r="H107" s="16"/>
      <c r="I107" s="16">
        <v>254.61</v>
      </c>
      <c r="J107" s="17">
        <v>173.98</v>
      </c>
      <c r="K107" s="18">
        <v>439</v>
      </c>
      <c r="L107" s="17">
        <f>J107+ROUND(K107, 2)</f>
        <v>612.98</v>
      </c>
      <c r="M107" s="17">
        <v>44297.05</v>
      </c>
      <c r="N107" s="17">
        <v>111773.79</v>
      </c>
      <c r="O107" s="17">
        <f>M107+N107</f>
        <v>156070.84</v>
      </c>
      <c r="P107" s="17">
        <v>413.67</v>
      </c>
      <c r="Q107" s="18">
        <v>439</v>
      </c>
      <c r="R107" s="17">
        <f>P107+ROUND(Q107, 2)</f>
        <v>852.67000000000007</v>
      </c>
      <c r="S107" s="17">
        <v>105324.52</v>
      </c>
      <c r="T107" s="17">
        <v>111773.79</v>
      </c>
      <c r="U107" s="17">
        <f>S107+T107</f>
        <v>217098.31</v>
      </c>
      <c r="V107" s="9">
        <f>ROUND(P107 / 1.2, 2)</f>
        <v>344.73</v>
      </c>
      <c r="W107" s="9">
        <f>ROUND(Q107 / 1.2, 2)</f>
        <v>365.83</v>
      </c>
      <c r="X107" s="9">
        <f>ROUND(R107 / 1.2, 2)</f>
        <v>710.56</v>
      </c>
      <c r="Y107" s="9">
        <f t="shared" si="11"/>
        <v>87770.43</v>
      </c>
      <c r="Z107" s="9">
        <f>ROUND(T107 / 1.2, 2)</f>
        <v>93144.83</v>
      </c>
      <c r="AA107" s="9">
        <f>Y107+Z107</f>
        <v>180915.26</v>
      </c>
      <c r="AD107" s="4">
        <v>339118813</v>
      </c>
      <c r="AE107" s="4">
        <v>25888006</v>
      </c>
      <c r="AG107" s="4" t="s">
        <v>419</v>
      </c>
      <c r="AH107" s="4" t="s">
        <v>420</v>
      </c>
      <c r="AI107" s="4" t="s">
        <v>156</v>
      </c>
    </row>
    <row r="108" spans="1:35" ht="72" x14ac:dyDescent="0.3">
      <c r="A108" s="10" t="s">
        <v>421</v>
      </c>
      <c r="B108" s="10"/>
      <c r="C108" s="30" t="s">
        <v>422</v>
      </c>
      <c r="D108" s="15"/>
      <c r="E108" s="15" t="s">
        <v>423</v>
      </c>
      <c r="F108" s="25" t="s">
        <v>424</v>
      </c>
      <c r="G108" s="26">
        <v>1.03</v>
      </c>
      <c r="H108" s="32"/>
      <c r="I108" s="32">
        <v>13.112</v>
      </c>
      <c r="J108" s="27">
        <v>3378.43</v>
      </c>
      <c r="M108" s="28">
        <f>ROUND(ROUND(J108, 2)*I108, 2)</f>
        <v>44297.97</v>
      </c>
      <c r="P108" s="27">
        <v>8032.5</v>
      </c>
      <c r="S108" s="28">
        <f>ROUND(ROUND(P108, 2)*I108, 2)</f>
        <v>105322.14</v>
      </c>
      <c r="V108" s="9">
        <f>ROUND(ROUND(P108, 2)/1.2, 2)</f>
        <v>6693.75</v>
      </c>
      <c r="Y108" s="9">
        <f t="shared" si="11"/>
        <v>87768.45</v>
      </c>
      <c r="AD108" s="4" t="s">
        <v>425</v>
      </c>
      <c r="AE108" s="4" t="s">
        <v>426</v>
      </c>
      <c r="AF108" s="4" t="s">
        <v>427</v>
      </c>
    </row>
    <row r="109" spans="1:35" ht="54" x14ac:dyDescent="0.3">
      <c r="A109" s="10" t="s">
        <v>428</v>
      </c>
      <c r="B109" s="10" t="s">
        <v>416</v>
      </c>
      <c r="C109" s="14" t="s">
        <v>417</v>
      </c>
      <c r="D109" s="15"/>
      <c r="E109" s="15" t="s">
        <v>429</v>
      </c>
      <c r="F109" s="15" t="s">
        <v>75</v>
      </c>
      <c r="G109" s="16">
        <v>1</v>
      </c>
      <c r="H109" s="16"/>
      <c r="I109" s="16">
        <v>86.33</v>
      </c>
      <c r="J109" s="17">
        <v>369.01</v>
      </c>
      <c r="K109" s="18">
        <v>439</v>
      </c>
      <c r="L109" s="17">
        <f>J109+ROUND(K109, 2)</f>
        <v>808.01</v>
      </c>
      <c r="M109" s="17">
        <v>31856.63</v>
      </c>
      <c r="N109" s="17">
        <v>37898.870000000003</v>
      </c>
      <c r="O109" s="17">
        <f>M109+N109</f>
        <v>69755.5</v>
      </c>
      <c r="P109" s="17">
        <v>494.99</v>
      </c>
      <c r="Q109" s="18">
        <v>439</v>
      </c>
      <c r="R109" s="17">
        <f>P109+ROUND(Q109, 2)</f>
        <v>933.99</v>
      </c>
      <c r="S109" s="17">
        <v>42732.49</v>
      </c>
      <c r="T109" s="17">
        <v>37898.870000000003</v>
      </c>
      <c r="U109" s="17">
        <f>S109+T109</f>
        <v>80631.360000000001</v>
      </c>
      <c r="V109" s="9">
        <f>ROUND(P109 / 1.2, 2)</f>
        <v>412.49</v>
      </c>
      <c r="W109" s="9">
        <f>ROUND(Q109 / 1.2, 2)</f>
        <v>365.83</v>
      </c>
      <c r="X109" s="9">
        <f>ROUND(R109 / 1.2, 2)</f>
        <v>778.33</v>
      </c>
      <c r="Y109" s="9">
        <f t="shared" si="11"/>
        <v>35610.410000000003</v>
      </c>
      <c r="Z109" s="9">
        <f>ROUND(T109 / 1.2, 2)</f>
        <v>31582.39</v>
      </c>
      <c r="AA109" s="9">
        <f>Y109+Z109</f>
        <v>67192.800000000003</v>
      </c>
      <c r="AD109" s="4">
        <v>339118910</v>
      </c>
      <c r="AE109" s="4">
        <v>28964106</v>
      </c>
      <c r="AG109" s="4" t="s">
        <v>419</v>
      </c>
      <c r="AH109" s="4" t="s">
        <v>420</v>
      </c>
      <c r="AI109" s="4" t="s">
        <v>156</v>
      </c>
    </row>
    <row r="110" spans="1:35" ht="54" x14ac:dyDescent="0.3">
      <c r="A110" s="10" t="s">
        <v>430</v>
      </c>
      <c r="B110" s="10"/>
      <c r="C110" s="30" t="s">
        <v>431</v>
      </c>
      <c r="D110" s="15"/>
      <c r="E110" s="15" t="s">
        <v>432</v>
      </c>
      <c r="F110" s="25" t="s">
        <v>424</v>
      </c>
      <c r="G110" s="26">
        <v>1.03</v>
      </c>
      <c r="H110" s="32"/>
      <c r="I110" s="32">
        <v>4.4450000000000003</v>
      </c>
      <c r="J110" s="27">
        <v>7166.88</v>
      </c>
      <c r="M110" s="28">
        <f>ROUND(ROUND(J110, 2)*I110, 2)</f>
        <v>31856.78</v>
      </c>
      <c r="P110" s="27">
        <v>9613.6299999999992</v>
      </c>
      <c r="S110" s="28">
        <f>ROUND(ROUND(P110, 2)*I110, 2)</f>
        <v>42732.59</v>
      </c>
      <c r="V110" s="9">
        <f>ROUND(ROUND(P110, 2)/1.2, 2)</f>
        <v>8011.36</v>
      </c>
      <c r="Y110" s="9">
        <f t="shared" si="11"/>
        <v>35610.49</v>
      </c>
      <c r="AD110" s="4" t="s">
        <v>433</v>
      </c>
      <c r="AE110" s="4" t="s">
        <v>434</v>
      </c>
      <c r="AF110" s="4" t="s">
        <v>435</v>
      </c>
    </row>
    <row r="111" spans="1:35" ht="72" x14ac:dyDescent="0.3">
      <c r="A111" s="10" t="s">
        <v>436</v>
      </c>
      <c r="B111" s="10" t="s">
        <v>437</v>
      </c>
      <c r="C111" s="14" t="s">
        <v>438</v>
      </c>
      <c r="D111" s="15"/>
      <c r="E111" s="15" t="s">
        <v>439</v>
      </c>
      <c r="F111" s="15" t="s">
        <v>75</v>
      </c>
      <c r="G111" s="16">
        <v>1</v>
      </c>
      <c r="H111" s="16"/>
      <c r="I111" s="16">
        <v>46.62</v>
      </c>
      <c r="J111" s="17">
        <v>738.69</v>
      </c>
      <c r="K111" s="18">
        <v>257</v>
      </c>
      <c r="L111" s="17">
        <f>J111+ROUND(K111, 2)</f>
        <v>995.69</v>
      </c>
      <c r="M111" s="17">
        <v>34437.730000000003</v>
      </c>
      <c r="N111" s="17">
        <v>11981.34</v>
      </c>
      <c r="O111" s="17">
        <f>M111+N111</f>
        <v>46419.070000000007</v>
      </c>
      <c r="P111" s="17">
        <v>738.69</v>
      </c>
      <c r="Q111" s="18">
        <v>257</v>
      </c>
      <c r="R111" s="17">
        <f>P111+ROUND(Q111, 2)</f>
        <v>995.69</v>
      </c>
      <c r="S111" s="17">
        <v>34437.730000000003</v>
      </c>
      <c r="T111" s="17">
        <v>11981.34</v>
      </c>
      <c r="U111" s="17">
        <f>S111+T111</f>
        <v>46419.070000000007</v>
      </c>
      <c r="V111" s="9">
        <f>ROUND(P111 / 1.2, 2)</f>
        <v>615.58000000000004</v>
      </c>
      <c r="W111" s="9">
        <f>ROUND(Q111 / 1.2, 2)</f>
        <v>214.17</v>
      </c>
      <c r="X111" s="9">
        <f>ROUND(R111 / 1.2, 2)</f>
        <v>829.74</v>
      </c>
      <c r="Y111" s="9">
        <f t="shared" si="11"/>
        <v>28698.11</v>
      </c>
      <c r="Z111" s="9">
        <f>ROUND(T111 / 1.2, 2)</f>
        <v>9984.4500000000007</v>
      </c>
      <c r="AA111" s="9">
        <f>Y111+Z111</f>
        <v>38682.559999999998</v>
      </c>
      <c r="AD111" s="4">
        <v>339118814</v>
      </c>
      <c r="AE111" s="4">
        <v>25887993</v>
      </c>
      <c r="AG111" s="4" t="s">
        <v>440</v>
      </c>
      <c r="AH111" s="4" t="s">
        <v>441</v>
      </c>
      <c r="AI111" s="4" t="s">
        <v>156</v>
      </c>
    </row>
    <row r="112" spans="1:35" ht="36" x14ac:dyDescent="0.3">
      <c r="A112" s="10" t="s">
        <v>442</v>
      </c>
      <c r="B112" s="10"/>
      <c r="C112" s="30" t="s">
        <v>443</v>
      </c>
      <c r="D112" s="15"/>
      <c r="E112" s="15"/>
      <c r="F112" s="25" t="s">
        <v>424</v>
      </c>
      <c r="G112" s="26">
        <v>0.10299999999999999</v>
      </c>
      <c r="H112" s="32"/>
      <c r="I112" s="32">
        <v>4.8019999999999996</v>
      </c>
      <c r="J112" s="27">
        <v>7171.5</v>
      </c>
      <c r="M112" s="28">
        <f>ROUND(ROUND(J112, 2)*I112, 2)</f>
        <v>34437.54</v>
      </c>
      <c r="P112" s="27">
        <v>7171.5</v>
      </c>
      <c r="S112" s="28">
        <f>ROUND(ROUND(P112, 2)*I112, 2)</f>
        <v>34437.54</v>
      </c>
      <c r="V112" s="9">
        <f>ROUND(ROUND(P112, 2)/1.2, 2)</f>
        <v>5976.25</v>
      </c>
      <c r="Y112" s="9">
        <f t="shared" si="11"/>
        <v>28697.95</v>
      </c>
      <c r="AD112" s="4" t="s">
        <v>444</v>
      </c>
      <c r="AE112" s="4" t="s">
        <v>445</v>
      </c>
      <c r="AF112" s="4" t="s">
        <v>446</v>
      </c>
    </row>
    <row r="113" spans="1:35" ht="16.95" customHeight="1" x14ac:dyDescent="0.3">
      <c r="A113" s="10" t="s">
        <v>447</v>
      </c>
      <c r="B113" s="10" t="s">
        <v>448</v>
      </c>
      <c r="C113" s="120" t="s">
        <v>449</v>
      </c>
      <c r="D113" s="121"/>
      <c r="E113" s="121"/>
      <c r="F113" s="121"/>
      <c r="G113" s="121"/>
      <c r="H113" s="121"/>
      <c r="I113" s="122"/>
      <c r="M113" s="6">
        <f>SUM(M114,M119,M124,M130,M136,M139,M142,M147,M152,M157,M160,M162,M167,M172,M177,M182,M187,M192)</f>
        <v>10609499.579999998</v>
      </c>
      <c r="N113" s="6">
        <f>SUM(N114,N119,N124,N130,N136,N139,N142,N147,N152,N157,N160,N162,N167,N172,N177,N182,N187,N192)</f>
        <v>11340890.030000001</v>
      </c>
      <c r="O113" s="6">
        <f>SUM(O114,O119,O124,O130,O136,O139,O142,O147,O152,O157,O160,O162,O167,O172,O177,O182,O187,O192)</f>
        <v>21950389.609999999</v>
      </c>
      <c r="S113" s="6">
        <f>SUM(S114,S119,S124,S130,S136,S139,S142,S147,S152,S157,S160,S162,S167,S172,S177,S182,S187,S192)</f>
        <v>20003456.41</v>
      </c>
      <c r="T113" s="6">
        <f>SUM(T114,T119,T124,T130,T136,T139,T142,T147,T152,T157,T160,T162,T167,T172,T177,T182,T187,T192)</f>
        <v>10281002.84</v>
      </c>
      <c r="U113" s="6">
        <f>SUM(U114,U119,U124,U130,U136,U139,U142,U147,U152,U157,U160,U162,U167,U172,U177,U182,U187,U192)</f>
        <v>30284459.250000007</v>
      </c>
      <c r="Y113" s="9">
        <f>SUM(Y114,Y119,Y124,Y130,Y136,Y139,Y142,Y147,Y152,Y157,Y160,Y162,Y167,Y172,Y177,Y182,Y187,Y192)</f>
        <v>16669547.030000001</v>
      </c>
      <c r="Z113" s="9">
        <f>SUM(Z114,Z119,Z124,Z130,Z136,Z139,Z142,Z147,Z152,Z157,Z160,Z162,Z167,Z172,Z177,Z182,Z187,Z192)</f>
        <v>8567502.3599999994</v>
      </c>
      <c r="AA113" s="9">
        <f>SUM(AA114,AA119,AA124,AA130,AA136,AA139,AA142,AA147,AA152,AA157,AA160,AA162,AA167,AA172,AA177,AA182,AA187,AA192)</f>
        <v>25237049.390000001</v>
      </c>
      <c r="AD113" s="4">
        <v>339118815</v>
      </c>
      <c r="AE113" s="4">
        <v>25887937</v>
      </c>
    </row>
    <row r="114" spans="1:35" ht="54" x14ac:dyDescent="0.3">
      <c r="A114" s="10" t="s">
        <v>450</v>
      </c>
      <c r="B114" s="10" t="s">
        <v>451</v>
      </c>
      <c r="C114" s="14" t="s">
        <v>452</v>
      </c>
      <c r="D114" s="15"/>
      <c r="E114" s="15" t="s">
        <v>453</v>
      </c>
      <c r="F114" s="15" t="s">
        <v>75</v>
      </c>
      <c r="G114" s="16">
        <v>1</v>
      </c>
      <c r="H114" s="16"/>
      <c r="I114" s="16">
        <v>0</v>
      </c>
      <c r="J114" s="17">
        <v>577.89</v>
      </c>
      <c r="K114" s="18">
        <v>1439</v>
      </c>
      <c r="L114" s="17">
        <f>J114+ROUND(K114, 2)</f>
        <v>2016.8899999999999</v>
      </c>
      <c r="M114" s="17">
        <v>0</v>
      </c>
      <c r="N114" s="17">
        <v>0</v>
      </c>
      <c r="O114" s="17">
        <f>M114+N114</f>
        <v>0</v>
      </c>
      <c r="P114" s="17">
        <v>703.11</v>
      </c>
      <c r="Q114" s="18">
        <v>1439</v>
      </c>
      <c r="R114" s="17">
        <f>P114+ROUND(Q114, 2)</f>
        <v>2142.11</v>
      </c>
      <c r="S114" s="17">
        <v>0</v>
      </c>
      <c r="T114" s="17">
        <v>0</v>
      </c>
      <c r="U114" s="17">
        <f>S114+T114</f>
        <v>0</v>
      </c>
      <c r="V114" s="9">
        <f>ROUND(P114 / 1.2, 2)</f>
        <v>585.92999999999995</v>
      </c>
      <c r="W114" s="9">
        <f>ROUND(Q114 / 1.2, 2)</f>
        <v>1199.17</v>
      </c>
      <c r="X114" s="9">
        <f>ROUND(R114 / 1.2, 2)</f>
        <v>1785.09</v>
      </c>
      <c r="Y114" s="9">
        <f>ROUND(S114 / 1.2, 2)</f>
        <v>0</v>
      </c>
      <c r="Z114" s="9">
        <f>ROUND(T114 / 1.2, 2)</f>
        <v>0</v>
      </c>
      <c r="AA114" s="9">
        <f>Y114+Z114</f>
        <v>0</v>
      </c>
      <c r="AD114" s="4">
        <v>339118817</v>
      </c>
      <c r="AE114" s="4">
        <v>25888010</v>
      </c>
      <c r="AG114" s="4" t="s">
        <v>454</v>
      </c>
      <c r="AH114" s="4" t="s">
        <v>455</v>
      </c>
      <c r="AI114" s="4" t="s">
        <v>156</v>
      </c>
    </row>
    <row r="115" spans="1:35" ht="72" x14ac:dyDescent="0.3">
      <c r="A115" s="10" t="s">
        <v>457</v>
      </c>
      <c r="B115" s="10"/>
      <c r="C115" s="30" t="s">
        <v>458</v>
      </c>
      <c r="D115" s="15"/>
      <c r="E115" s="15" t="s">
        <v>459</v>
      </c>
      <c r="F115" s="25" t="s">
        <v>159</v>
      </c>
      <c r="G115" s="26">
        <v>1.2</v>
      </c>
      <c r="H115" s="32"/>
      <c r="I115" s="32">
        <v>0</v>
      </c>
      <c r="J115" s="27">
        <v>12.33</v>
      </c>
      <c r="M115" s="28">
        <f>ROUND(ROUND(J115, 2)*I115, 2)</f>
        <v>0</v>
      </c>
      <c r="P115" s="27">
        <v>29.14</v>
      </c>
      <c r="S115" s="28">
        <f>ROUND(ROUND(P115, 2)*I115, 2)</f>
        <v>0</v>
      </c>
      <c r="V115" s="9">
        <f>ROUND(ROUND(P115, 2)/1.2, 2)</f>
        <v>24.28</v>
      </c>
      <c r="Y115" s="9">
        <f t="shared" ref="Y115:Y146" si="12">ROUND(S115 / 1.2, 2)</f>
        <v>0</v>
      </c>
      <c r="AD115" s="4" t="s">
        <v>460</v>
      </c>
      <c r="AE115" s="4" t="s">
        <v>461</v>
      </c>
      <c r="AF115" s="4" t="s">
        <v>462</v>
      </c>
    </row>
    <row r="116" spans="1:35" ht="36" x14ac:dyDescent="0.3">
      <c r="A116" s="10" t="s">
        <v>465</v>
      </c>
      <c r="B116" s="10"/>
      <c r="C116" s="30" t="s">
        <v>466</v>
      </c>
      <c r="D116" s="15"/>
      <c r="E116" s="15"/>
      <c r="F116" s="25" t="s">
        <v>75</v>
      </c>
      <c r="G116" s="26">
        <v>1.07</v>
      </c>
      <c r="H116" s="32"/>
      <c r="I116" s="32">
        <v>0</v>
      </c>
      <c r="J116" s="27">
        <v>447.41</v>
      </c>
      <c r="M116" s="28">
        <f>ROUND(ROUND(J116, 2)*I116, 2)</f>
        <v>0</v>
      </c>
      <c r="P116" s="27">
        <v>447.41</v>
      </c>
      <c r="S116" s="28">
        <f>ROUND(ROUND(P116, 2)*I116, 2)</f>
        <v>0</v>
      </c>
      <c r="V116" s="9">
        <f>ROUND(ROUND(P116, 2)/1.2, 2)</f>
        <v>372.84</v>
      </c>
      <c r="Y116" s="9">
        <f t="shared" si="12"/>
        <v>0</v>
      </c>
      <c r="AD116" s="4" t="s">
        <v>467</v>
      </c>
      <c r="AE116" s="4" t="s">
        <v>468</v>
      </c>
      <c r="AF116" s="4" t="s">
        <v>469</v>
      </c>
    </row>
    <row r="117" spans="1:35" ht="18" x14ac:dyDescent="0.3">
      <c r="A117" s="10" t="s">
        <v>472</v>
      </c>
      <c r="B117" s="10"/>
      <c r="C117" s="24" t="s">
        <v>473</v>
      </c>
      <c r="D117" s="15"/>
      <c r="E117" s="15"/>
      <c r="F117" s="25" t="s">
        <v>159</v>
      </c>
      <c r="G117" s="26">
        <v>0.25</v>
      </c>
      <c r="H117" s="32"/>
      <c r="I117" s="32">
        <v>0</v>
      </c>
      <c r="J117" s="27">
        <v>47.44</v>
      </c>
      <c r="M117" s="28">
        <f>ROUND(ROUND(J117, 2)*I117, 2)</f>
        <v>0</v>
      </c>
      <c r="P117" s="27">
        <v>144.87</v>
      </c>
      <c r="S117" s="28">
        <f>ROUND(ROUND(P117, 2)*I117, 2)</f>
        <v>0</v>
      </c>
      <c r="V117" s="9">
        <f>ROUND(ROUND(P117, 2)/1.2, 2)</f>
        <v>120.73</v>
      </c>
      <c r="Y117" s="9">
        <f t="shared" si="12"/>
        <v>0</v>
      </c>
      <c r="AD117" s="4" t="s">
        <v>474</v>
      </c>
      <c r="AE117" s="4" t="s">
        <v>475</v>
      </c>
      <c r="AF117" s="4" t="s">
        <v>476</v>
      </c>
    </row>
    <row r="118" spans="1:35" ht="36" x14ac:dyDescent="0.3">
      <c r="A118" s="10" t="s">
        <v>479</v>
      </c>
      <c r="B118" s="10"/>
      <c r="C118" s="24" t="s">
        <v>480</v>
      </c>
      <c r="D118" s="15"/>
      <c r="E118" s="15"/>
      <c r="F118" s="25" t="s">
        <v>159</v>
      </c>
      <c r="G118" s="26">
        <v>0.15</v>
      </c>
      <c r="H118" s="26"/>
      <c r="I118" s="26">
        <v>0</v>
      </c>
      <c r="J118" s="27">
        <v>88.8</v>
      </c>
      <c r="M118" s="28">
        <f>ROUND(ROUND(J118, 2)*I118, 2)</f>
        <v>0</v>
      </c>
      <c r="P118" s="27">
        <v>88.8</v>
      </c>
      <c r="S118" s="28">
        <f>ROUND(ROUND(P118, 2)*I118, 2)</f>
        <v>0</v>
      </c>
      <c r="V118" s="9">
        <f>ROUND(ROUND(P118, 2)/1.2, 2)</f>
        <v>74</v>
      </c>
      <c r="Y118" s="9">
        <f t="shared" si="12"/>
        <v>0</v>
      </c>
      <c r="AD118" s="4" t="s">
        <v>481</v>
      </c>
      <c r="AE118" s="4" t="s">
        <v>482</v>
      </c>
      <c r="AF118" s="4" t="s">
        <v>483</v>
      </c>
    </row>
    <row r="119" spans="1:35" ht="72" x14ac:dyDescent="0.3">
      <c r="A119" s="10" t="s">
        <v>486</v>
      </c>
      <c r="B119" s="10" t="s">
        <v>487</v>
      </c>
      <c r="C119" s="14" t="s">
        <v>488</v>
      </c>
      <c r="D119" s="15"/>
      <c r="E119" s="15" t="s">
        <v>489</v>
      </c>
      <c r="F119" s="15" t="s">
        <v>75</v>
      </c>
      <c r="G119" s="16">
        <v>1</v>
      </c>
      <c r="H119" s="16"/>
      <c r="I119" s="16">
        <v>0</v>
      </c>
      <c r="J119" s="17">
        <v>1746.71</v>
      </c>
      <c r="K119" s="18">
        <v>2422</v>
      </c>
      <c r="L119" s="17">
        <f>J119+ROUND(K119, 2)</f>
        <v>4168.71</v>
      </c>
      <c r="M119" s="17">
        <v>0</v>
      </c>
      <c r="N119" s="17">
        <v>0</v>
      </c>
      <c r="O119" s="17">
        <f>M119+N119</f>
        <v>0</v>
      </c>
      <c r="P119" s="17">
        <v>1524.69</v>
      </c>
      <c r="Q119" s="18">
        <v>2422</v>
      </c>
      <c r="R119" s="17">
        <f>P119+ROUND(Q119, 2)</f>
        <v>3946.69</v>
      </c>
      <c r="S119" s="17">
        <v>0</v>
      </c>
      <c r="T119" s="17">
        <v>0</v>
      </c>
      <c r="U119" s="17">
        <f>S119+T119</f>
        <v>0</v>
      </c>
      <c r="V119" s="9">
        <f>ROUND(P119 / 1.2, 2)</f>
        <v>1270.58</v>
      </c>
      <c r="W119" s="9">
        <f>ROUND(Q119 / 1.2, 2)</f>
        <v>2018.33</v>
      </c>
      <c r="X119" s="9">
        <f>ROUND(R119 / 1.2, 2)</f>
        <v>3288.91</v>
      </c>
      <c r="Y119" s="9">
        <f t="shared" si="12"/>
        <v>0</v>
      </c>
      <c r="Z119" s="9">
        <f>ROUND(T119 / 1.2, 2)</f>
        <v>0</v>
      </c>
      <c r="AA119" s="9">
        <f>Y119+Z119</f>
        <v>0</v>
      </c>
      <c r="AD119" s="4">
        <v>339118818</v>
      </c>
      <c r="AE119" s="4">
        <v>25888007</v>
      </c>
      <c r="AG119" s="4" t="s">
        <v>490</v>
      </c>
      <c r="AH119" s="4" t="s">
        <v>491</v>
      </c>
      <c r="AI119" s="4" t="s">
        <v>156</v>
      </c>
    </row>
    <row r="120" spans="1:35" ht="90" x14ac:dyDescent="0.3">
      <c r="A120" s="10" t="s">
        <v>493</v>
      </c>
      <c r="B120" s="10"/>
      <c r="C120" s="30" t="s">
        <v>494</v>
      </c>
      <c r="D120" s="15"/>
      <c r="E120" s="15" t="s">
        <v>495</v>
      </c>
      <c r="F120" s="25" t="s">
        <v>159</v>
      </c>
      <c r="G120" s="26">
        <v>1.2</v>
      </c>
      <c r="H120" s="32"/>
      <c r="I120" s="32">
        <v>0</v>
      </c>
      <c r="J120" s="27">
        <v>12.33</v>
      </c>
      <c r="M120" s="28">
        <f>ROUND(ROUND(J120, 2)*I120, 2)</f>
        <v>0</v>
      </c>
      <c r="P120" s="27">
        <v>29.14</v>
      </c>
      <c r="S120" s="28">
        <f>ROUND(ROUND(P120, 2)*I120, 2)</f>
        <v>0</v>
      </c>
      <c r="V120" s="9">
        <f>ROUND(ROUND(P120, 2)/1.2, 2)</f>
        <v>24.28</v>
      </c>
      <c r="Y120" s="9">
        <f t="shared" si="12"/>
        <v>0</v>
      </c>
      <c r="AD120" s="4" t="s">
        <v>496</v>
      </c>
      <c r="AE120" s="4" t="s">
        <v>497</v>
      </c>
      <c r="AF120" s="4" t="s">
        <v>498</v>
      </c>
    </row>
    <row r="121" spans="1:35" ht="72" x14ac:dyDescent="0.3">
      <c r="A121" s="10" t="s">
        <v>501</v>
      </c>
      <c r="B121" s="10"/>
      <c r="C121" s="24" t="s">
        <v>502</v>
      </c>
      <c r="D121" s="15"/>
      <c r="E121" s="15" t="s">
        <v>503</v>
      </c>
      <c r="F121" s="25" t="s">
        <v>75</v>
      </c>
      <c r="G121" s="26">
        <v>1.2</v>
      </c>
      <c r="H121" s="32"/>
      <c r="I121" s="32">
        <v>0</v>
      </c>
      <c r="J121" s="27">
        <v>1374.45</v>
      </c>
      <c r="M121" s="28">
        <f>ROUND(ROUND(J121, 2)*I121, 2)</f>
        <v>0</v>
      </c>
      <c r="P121" s="27">
        <v>1083.5899999999999</v>
      </c>
      <c r="S121" s="28">
        <f>ROUND(ROUND(P121, 2)*I121, 2)</f>
        <v>0</v>
      </c>
      <c r="V121" s="9">
        <f>ROUND(ROUND(P121, 2)/1.2, 2)</f>
        <v>902.99</v>
      </c>
      <c r="Y121" s="9">
        <f t="shared" si="12"/>
        <v>0</v>
      </c>
      <c r="AD121" s="4" t="s">
        <v>504</v>
      </c>
      <c r="AE121" s="4" t="s">
        <v>505</v>
      </c>
      <c r="AF121" s="4" t="s">
        <v>506</v>
      </c>
    </row>
    <row r="122" spans="1:35" ht="36" x14ac:dyDescent="0.3">
      <c r="A122" s="10" t="s">
        <v>509</v>
      </c>
      <c r="B122" s="10"/>
      <c r="C122" s="24" t="s">
        <v>510</v>
      </c>
      <c r="D122" s="15"/>
      <c r="E122" s="15"/>
      <c r="F122" s="25" t="s">
        <v>159</v>
      </c>
      <c r="G122" s="26">
        <v>0.25</v>
      </c>
      <c r="H122" s="32"/>
      <c r="I122" s="32">
        <v>0</v>
      </c>
      <c r="J122" s="27">
        <v>40.270000000000003</v>
      </c>
      <c r="M122" s="28">
        <f>ROUND(ROUND(J122, 2)*I122, 2)</f>
        <v>0</v>
      </c>
      <c r="P122" s="27">
        <v>144.87</v>
      </c>
      <c r="S122" s="28">
        <f>ROUND(ROUND(P122, 2)*I122, 2)</f>
        <v>0</v>
      </c>
      <c r="V122" s="9">
        <f>ROUND(ROUND(P122, 2)/1.2, 2)</f>
        <v>120.73</v>
      </c>
      <c r="Y122" s="9">
        <f t="shared" si="12"/>
        <v>0</v>
      </c>
      <c r="AD122" s="4" t="s">
        <v>511</v>
      </c>
      <c r="AE122" s="4" t="s">
        <v>512</v>
      </c>
      <c r="AF122" s="4" t="s">
        <v>513</v>
      </c>
    </row>
    <row r="123" spans="1:35" ht="36" x14ac:dyDescent="0.3">
      <c r="A123" s="10" t="s">
        <v>516</v>
      </c>
      <c r="B123" s="10"/>
      <c r="C123" s="24" t="s">
        <v>480</v>
      </c>
      <c r="D123" s="15"/>
      <c r="E123" s="15"/>
      <c r="F123" s="25" t="s">
        <v>159</v>
      </c>
      <c r="G123" s="26">
        <v>0.15</v>
      </c>
      <c r="H123" s="26"/>
      <c r="I123" s="26">
        <v>0</v>
      </c>
      <c r="J123" s="27">
        <v>88.8</v>
      </c>
      <c r="M123" s="28">
        <f>ROUND(ROUND(J123, 2)*I123, 2)</f>
        <v>0</v>
      </c>
      <c r="P123" s="27">
        <v>88.8</v>
      </c>
      <c r="S123" s="28">
        <f>ROUND(ROUND(P123, 2)*I123, 2)</f>
        <v>0</v>
      </c>
      <c r="V123" s="9">
        <f>ROUND(ROUND(P123, 2)/1.2, 2)</f>
        <v>74</v>
      </c>
      <c r="Y123" s="9">
        <f t="shared" si="12"/>
        <v>0</v>
      </c>
      <c r="AD123" s="4" t="s">
        <v>517</v>
      </c>
      <c r="AE123" s="4" t="s">
        <v>518</v>
      </c>
      <c r="AF123" s="4" t="s">
        <v>483</v>
      </c>
    </row>
    <row r="124" spans="1:35" ht="18" x14ac:dyDescent="0.3">
      <c r="A124" s="10" t="s">
        <v>521</v>
      </c>
      <c r="B124" s="10" t="s">
        <v>522</v>
      </c>
      <c r="C124" s="14" t="s">
        <v>523</v>
      </c>
      <c r="D124" s="15" t="s">
        <v>524</v>
      </c>
      <c r="E124" s="15" t="s">
        <v>525</v>
      </c>
      <c r="F124" s="15" t="s">
        <v>75</v>
      </c>
      <c r="G124" s="16">
        <v>1</v>
      </c>
      <c r="H124" s="16"/>
      <c r="I124" s="16">
        <v>468.22</v>
      </c>
      <c r="J124" s="17">
        <v>1549.16</v>
      </c>
      <c r="K124" s="18">
        <v>412</v>
      </c>
      <c r="L124" s="17">
        <f>J124+ROUND(K124, 2)</f>
        <v>1961.16</v>
      </c>
      <c r="M124" s="17">
        <v>725347.7</v>
      </c>
      <c r="N124" s="17">
        <v>192906.64</v>
      </c>
      <c r="O124" s="17">
        <f>M124+N124</f>
        <v>918254.34</v>
      </c>
      <c r="P124" s="17">
        <v>1600.16</v>
      </c>
      <c r="Q124" s="18">
        <v>412</v>
      </c>
      <c r="R124" s="17">
        <f>P124+ROUND(Q124, 2)</f>
        <v>2012.16</v>
      </c>
      <c r="S124" s="17">
        <v>749226.92</v>
      </c>
      <c r="T124" s="17">
        <v>192906.64</v>
      </c>
      <c r="U124" s="17">
        <f>S124+T124</f>
        <v>942133.56</v>
      </c>
      <c r="V124" s="9">
        <f>ROUND(P124 / 1.2, 2)</f>
        <v>1333.47</v>
      </c>
      <c r="W124" s="9">
        <f>ROUND(Q124 / 1.2, 2)</f>
        <v>343.33</v>
      </c>
      <c r="X124" s="9">
        <f>ROUND(R124 / 1.2, 2)</f>
        <v>1676.8</v>
      </c>
      <c r="Y124" s="9">
        <f t="shared" si="12"/>
        <v>624355.77</v>
      </c>
      <c r="Z124" s="9">
        <f>ROUND(T124 / 1.2, 2)</f>
        <v>160755.53</v>
      </c>
      <c r="AA124" s="9">
        <f>Y124+Z124</f>
        <v>785111.3</v>
      </c>
      <c r="AD124" s="4">
        <v>339118820</v>
      </c>
      <c r="AE124" s="4">
        <v>25888001</v>
      </c>
      <c r="AG124" s="4" t="s">
        <v>526</v>
      </c>
      <c r="AH124" s="4" t="s">
        <v>527</v>
      </c>
      <c r="AI124" s="4" t="s">
        <v>156</v>
      </c>
    </row>
    <row r="125" spans="1:35" ht="18" x14ac:dyDescent="0.3">
      <c r="A125" s="10" t="s">
        <v>528</v>
      </c>
      <c r="B125" s="10"/>
      <c r="C125" s="24" t="s">
        <v>529</v>
      </c>
      <c r="D125" s="15"/>
      <c r="E125" s="15"/>
      <c r="F125" s="25" t="s">
        <v>159</v>
      </c>
      <c r="G125" s="26">
        <v>0.3</v>
      </c>
      <c r="H125" s="26"/>
      <c r="I125" s="26">
        <v>140.46600000000001</v>
      </c>
      <c r="J125" s="27">
        <v>220</v>
      </c>
      <c r="M125" s="28">
        <f>ROUND(ROUND(J125, 2)*I125, 2)</f>
        <v>30902.52</v>
      </c>
      <c r="P125" s="27">
        <v>220</v>
      </c>
      <c r="S125" s="28">
        <f>ROUND(ROUND(P125, 2)*I125, 2)</f>
        <v>30902.52</v>
      </c>
      <c r="V125" s="9">
        <f>ROUND(ROUND(P125, 2)/1.2, 2)</f>
        <v>183.33</v>
      </c>
      <c r="Y125" s="9">
        <f t="shared" si="12"/>
        <v>25752.1</v>
      </c>
      <c r="AD125" s="4" t="s">
        <v>530</v>
      </c>
      <c r="AE125" s="4" t="s">
        <v>531</v>
      </c>
      <c r="AF125" s="4" t="s">
        <v>532</v>
      </c>
    </row>
    <row r="126" spans="1:35" ht="36" x14ac:dyDescent="0.3">
      <c r="A126" s="10" t="s">
        <v>533</v>
      </c>
      <c r="B126" s="10"/>
      <c r="C126" s="24" t="s">
        <v>534</v>
      </c>
      <c r="D126" s="15"/>
      <c r="E126" s="15"/>
      <c r="F126" s="25" t="s">
        <v>159</v>
      </c>
      <c r="G126" s="26">
        <v>0.15</v>
      </c>
      <c r="H126" s="26"/>
      <c r="I126" s="26">
        <v>70.233000000000004</v>
      </c>
      <c r="J126" s="27">
        <v>68.400000000000006</v>
      </c>
      <c r="M126" s="28">
        <f>ROUND(ROUND(J126, 2)*I126, 2)</f>
        <v>4803.9399999999996</v>
      </c>
      <c r="P126" s="27">
        <v>68.400000000000006</v>
      </c>
      <c r="S126" s="28">
        <f>ROUND(ROUND(P126, 2)*I126, 2)</f>
        <v>4803.9399999999996</v>
      </c>
      <c r="V126" s="9">
        <f>ROUND(ROUND(P126, 2)/1.2, 2)</f>
        <v>57</v>
      </c>
      <c r="Y126" s="9">
        <f t="shared" si="12"/>
        <v>4003.28</v>
      </c>
      <c r="AD126" s="4" t="s">
        <v>535</v>
      </c>
      <c r="AE126" s="4" t="s">
        <v>536</v>
      </c>
      <c r="AF126" s="4" t="s">
        <v>537</v>
      </c>
    </row>
    <row r="127" spans="1:35" ht="72" x14ac:dyDescent="0.3">
      <c r="A127" s="10" t="s">
        <v>538</v>
      </c>
      <c r="B127" s="10"/>
      <c r="C127" s="24" t="s">
        <v>539</v>
      </c>
      <c r="D127" s="15"/>
      <c r="E127" s="15"/>
      <c r="F127" s="25" t="s">
        <v>120</v>
      </c>
      <c r="G127" s="26">
        <v>1</v>
      </c>
      <c r="H127" s="32"/>
      <c r="I127" s="32">
        <v>468.2</v>
      </c>
      <c r="J127" s="27">
        <v>0</v>
      </c>
      <c r="M127" s="28">
        <f>ROUND(ROUND(J127, 2)*I127, 2)</f>
        <v>0</v>
      </c>
      <c r="P127" s="27">
        <v>51</v>
      </c>
      <c r="S127" s="28">
        <f>ROUND(ROUND(P127, 2)*I127, 2)</f>
        <v>23878.2</v>
      </c>
      <c r="V127" s="9">
        <f>ROUND(ROUND(P127, 2)/1.2, 2)</f>
        <v>42.5</v>
      </c>
      <c r="Y127" s="9">
        <f t="shared" si="12"/>
        <v>19898.5</v>
      </c>
      <c r="AD127" s="4" t="s">
        <v>540</v>
      </c>
      <c r="AE127" s="4" t="s">
        <v>541</v>
      </c>
      <c r="AF127" s="4" t="s">
        <v>542</v>
      </c>
    </row>
    <row r="128" spans="1:35" ht="126" x14ac:dyDescent="0.3">
      <c r="A128" s="10" t="s">
        <v>543</v>
      </c>
      <c r="B128" s="10"/>
      <c r="C128" s="30" t="s">
        <v>544</v>
      </c>
      <c r="D128" s="15"/>
      <c r="E128" s="15" t="s">
        <v>545</v>
      </c>
      <c r="F128" s="25" t="s">
        <v>75</v>
      </c>
      <c r="G128" s="26">
        <v>1.1000000000000001</v>
      </c>
      <c r="H128" s="32"/>
      <c r="I128" s="32">
        <v>186.12</v>
      </c>
      <c r="J128" s="27">
        <v>1339</v>
      </c>
      <c r="M128" s="28">
        <f>ROUND(ROUND(J128, 2)*I128, 2)</f>
        <v>249214.68</v>
      </c>
      <c r="P128" s="27">
        <v>1339</v>
      </c>
      <c r="S128" s="28">
        <f>ROUND(ROUND(P128, 2)*I128, 2)</f>
        <v>249214.68</v>
      </c>
      <c r="V128" s="9">
        <f>ROUND(ROUND(P128, 2)/1.2, 2)</f>
        <v>1115.83</v>
      </c>
      <c r="Y128" s="9">
        <f t="shared" si="12"/>
        <v>207678.9</v>
      </c>
      <c r="AD128" s="4" t="s">
        <v>546</v>
      </c>
      <c r="AE128" s="4" t="s">
        <v>547</v>
      </c>
      <c r="AF128" s="4" t="s">
        <v>548</v>
      </c>
    </row>
    <row r="129" spans="1:35" ht="126" x14ac:dyDescent="0.3">
      <c r="A129" s="10" t="s">
        <v>549</v>
      </c>
      <c r="B129" s="10"/>
      <c r="C129" s="30" t="s">
        <v>550</v>
      </c>
      <c r="D129" s="15"/>
      <c r="E129" s="15" t="s">
        <v>545</v>
      </c>
      <c r="F129" s="25" t="s">
        <v>75</v>
      </c>
      <c r="G129" s="26">
        <v>1.1000000000000001</v>
      </c>
      <c r="H129" s="32"/>
      <c r="I129" s="32">
        <v>328.92200000000003</v>
      </c>
      <c r="J129" s="27">
        <v>1339</v>
      </c>
      <c r="M129" s="28">
        <f>ROUND(ROUND(J129, 2)*I129, 2)</f>
        <v>440426.56</v>
      </c>
      <c r="P129" s="27">
        <v>1339</v>
      </c>
      <c r="S129" s="28">
        <f>ROUND(ROUND(P129, 2)*I129, 2)</f>
        <v>440426.56</v>
      </c>
      <c r="V129" s="9">
        <f>ROUND(ROUND(P129, 2)/1.2, 2)</f>
        <v>1115.83</v>
      </c>
      <c r="Y129" s="9">
        <f t="shared" si="12"/>
        <v>367022.13</v>
      </c>
      <c r="AD129" s="4" t="s">
        <v>551</v>
      </c>
      <c r="AE129" s="4" t="s">
        <v>552</v>
      </c>
      <c r="AF129" s="4" t="s">
        <v>553</v>
      </c>
    </row>
    <row r="130" spans="1:35" ht="36" x14ac:dyDescent="0.3">
      <c r="A130" s="10" t="s">
        <v>554</v>
      </c>
      <c r="B130" s="10" t="s">
        <v>522</v>
      </c>
      <c r="C130" s="14" t="s">
        <v>523</v>
      </c>
      <c r="D130" s="15" t="s">
        <v>524</v>
      </c>
      <c r="E130" s="15" t="s">
        <v>555</v>
      </c>
      <c r="F130" s="15" t="s">
        <v>75</v>
      </c>
      <c r="G130" s="16">
        <v>1</v>
      </c>
      <c r="H130" s="16"/>
      <c r="I130" s="16">
        <v>1890.45</v>
      </c>
      <c r="J130" s="17">
        <v>1626.82</v>
      </c>
      <c r="K130" s="18">
        <v>556</v>
      </c>
      <c r="L130" s="17">
        <f>J130+ROUND(K130, 2)</f>
        <v>2182.8199999999997</v>
      </c>
      <c r="M130" s="17">
        <v>3075421.87</v>
      </c>
      <c r="N130" s="17">
        <v>1051090.2</v>
      </c>
      <c r="O130" s="17">
        <f>M130+N130</f>
        <v>4126512.0700000003</v>
      </c>
      <c r="P130" s="17">
        <v>1796.19</v>
      </c>
      <c r="Q130" s="18">
        <v>412</v>
      </c>
      <c r="R130" s="17">
        <f>P130+ROUND(Q130, 2)</f>
        <v>2208.19</v>
      </c>
      <c r="S130" s="17">
        <v>3395607.39</v>
      </c>
      <c r="T130" s="17">
        <v>778865.4</v>
      </c>
      <c r="U130" s="17">
        <f>S130+T130</f>
        <v>4174472.79</v>
      </c>
      <c r="V130" s="9">
        <f>ROUND(P130 / 1.2, 2)</f>
        <v>1496.83</v>
      </c>
      <c r="W130" s="9">
        <f>ROUND(Q130 / 1.2, 2)</f>
        <v>343.33</v>
      </c>
      <c r="X130" s="9">
        <f>ROUND(R130 / 1.2, 2)</f>
        <v>1840.16</v>
      </c>
      <c r="Y130" s="9">
        <f t="shared" si="12"/>
        <v>2829672.83</v>
      </c>
      <c r="Z130" s="9">
        <f>ROUND(T130 / 1.2, 2)</f>
        <v>649054.5</v>
      </c>
      <c r="AA130" s="9">
        <f>Y130+Z130</f>
        <v>3478727.33</v>
      </c>
      <c r="AD130" s="4">
        <v>339118911</v>
      </c>
      <c r="AE130" s="4">
        <v>28951153</v>
      </c>
      <c r="AG130" s="4" t="s">
        <v>526</v>
      </c>
      <c r="AH130" s="4" t="s">
        <v>527</v>
      </c>
      <c r="AI130" s="4" t="s">
        <v>156</v>
      </c>
    </row>
    <row r="131" spans="1:35" ht="72" x14ac:dyDescent="0.3">
      <c r="A131" s="10" t="s">
        <v>556</v>
      </c>
      <c r="B131" s="10"/>
      <c r="C131" s="30" t="s">
        <v>550</v>
      </c>
      <c r="D131" s="15"/>
      <c r="E131" s="15" t="s">
        <v>557</v>
      </c>
      <c r="F131" s="25" t="s">
        <v>75</v>
      </c>
      <c r="G131" s="26">
        <v>1.1000000000000001</v>
      </c>
      <c r="H131" s="32"/>
      <c r="I131" s="32">
        <v>2079.4949999999999</v>
      </c>
      <c r="J131" s="27">
        <v>1361.31</v>
      </c>
      <c r="M131" s="28">
        <f>ROUND(ROUND(J131, 2)*I131, 2)</f>
        <v>2830837.34</v>
      </c>
      <c r="P131" s="27">
        <v>1361.31</v>
      </c>
      <c r="S131" s="28">
        <f>ROUND(ROUND(P131, 2)*I131, 2)</f>
        <v>2830837.34</v>
      </c>
      <c r="V131" s="9">
        <f>ROUND(ROUND(P131, 2)/1.2, 2)</f>
        <v>1134.43</v>
      </c>
      <c r="Y131" s="9">
        <f t="shared" si="12"/>
        <v>2359031.12</v>
      </c>
      <c r="AD131" s="4" t="s">
        <v>558</v>
      </c>
      <c r="AE131" s="4" t="s">
        <v>559</v>
      </c>
      <c r="AF131" s="4" t="s">
        <v>553</v>
      </c>
    </row>
    <row r="132" spans="1:35" ht="72" x14ac:dyDescent="0.3">
      <c r="A132" s="10" t="s">
        <v>560</v>
      </c>
      <c r="B132" s="10"/>
      <c r="C132" s="30" t="s">
        <v>561</v>
      </c>
      <c r="D132" s="15"/>
      <c r="E132" s="15"/>
      <c r="F132" s="25" t="s">
        <v>120</v>
      </c>
      <c r="G132" s="26">
        <v>1</v>
      </c>
      <c r="H132" s="32"/>
      <c r="I132" s="32">
        <v>1890.45</v>
      </c>
      <c r="J132" s="27">
        <v>51.85</v>
      </c>
      <c r="M132" s="28">
        <f>ROUND(ROUND(J132, 2)*I132, 2)</f>
        <v>98019.83</v>
      </c>
      <c r="P132" s="27">
        <v>51.85</v>
      </c>
      <c r="S132" s="28">
        <f>ROUND(ROUND(P132, 2)*I132, 2)</f>
        <v>98019.83</v>
      </c>
      <c r="V132" s="9">
        <f>ROUND(ROUND(P132, 2)/1.2, 2)</f>
        <v>43.21</v>
      </c>
      <c r="Y132" s="9">
        <f t="shared" si="12"/>
        <v>81683.19</v>
      </c>
      <c r="AD132" s="4" t="s">
        <v>562</v>
      </c>
      <c r="AE132" s="4" t="s">
        <v>563</v>
      </c>
      <c r="AF132" s="4" t="s">
        <v>564</v>
      </c>
    </row>
    <row r="133" spans="1:35" ht="18" x14ac:dyDescent="0.3">
      <c r="A133" s="10" t="s">
        <v>565</v>
      </c>
      <c r="B133" s="10"/>
      <c r="C133" s="24" t="s">
        <v>566</v>
      </c>
      <c r="D133" s="15"/>
      <c r="E133" s="15"/>
      <c r="F133" s="25" t="s">
        <v>75</v>
      </c>
      <c r="G133" s="26">
        <v>1</v>
      </c>
      <c r="H133" s="32"/>
      <c r="I133" s="32">
        <v>1890.45</v>
      </c>
      <c r="J133" s="27">
        <v>0</v>
      </c>
      <c r="M133" s="28">
        <f>ROUND(ROUND(J133, 2)*I133, 2)</f>
        <v>0</v>
      </c>
      <c r="P133" s="27">
        <v>134.15</v>
      </c>
      <c r="S133" s="28">
        <f>ROUND(ROUND(P133, 2)*I133, 2)</f>
        <v>253603.87</v>
      </c>
      <c r="V133" s="9">
        <f>ROUND(ROUND(P133, 2)/1.2, 2)</f>
        <v>111.79</v>
      </c>
      <c r="Y133" s="9">
        <f t="shared" si="12"/>
        <v>211336.56</v>
      </c>
      <c r="AD133" s="4" t="s">
        <v>567</v>
      </c>
      <c r="AE133" s="4" t="s">
        <v>568</v>
      </c>
      <c r="AF133" s="4" t="s">
        <v>569</v>
      </c>
    </row>
    <row r="134" spans="1:35" ht="36" x14ac:dyDescent="0.3">
      <c r="A134" s="10" t="s">
        <v>570</v>
      </c>
      <c r="B134" s="10"/>
      <c r="C134" s="24" t="s">
        <v>534</v>
      </c>
      <c r="D134" s="15"/>
      <c r="E134" s="15"/>
      <c r="F134" s="25" t="s">
        <v>159</v>
      </c>
      <c r="G134" s="26">
        <v>0.15</v>
      </c>
      <c r="H134" s="26"/>
      <c r="I134" s="26">
        <v>283.56799999999998</v>
      </c>
      <c r="J134" s="27">
        <v>69.540000000000006</v>
      </c>
      <c r="M134" s="28">
        <f>ROUND(ROUND(J134, 2)*I134, 2)</f>
        <v>19719.32</v>
      </c>
      <c r="P134" s="27">
        <v>69.540000000000006</v>
      </c>
      <c r="S134" s="28">
        <f>ROUND(ROUND(P134, 2)*I134, 2)</f>
        <v>19719.32</v>
      </c>
      <c r="V134" s="9">
        <f>ROUND(ROUND(P134, 2)/1.2, 2)</f>
        <v>57.95</v>
      </c>
      <c r="Y134" s="9">
        <f t="shared" si="12"/>
        <v>16432.77</v>
      </c>
      <c r="AD134" s="4" t="s">
        <v>571</v>
      </c>
      <c r="AE134" s="4" t="s">
        <v>572</v>
      </c>
      <c r="AF134" s="4" t="s">
        <v>537</v>
      </c>
    </row>
    <row r="135" spans="1:35" ht="36" x14ac:dyDescent="0.3">
      <c r="A135" s="10" t="s">
        <v>573</v>
      </c>
      <c r="B135" s="10"/>
      <c r="C135" s="24" t="s">
        <v>529</v>
      </c>
      <c r="D135" s="15"/>
      <c r="E135" s="15" t="s">
        <v>574</v>
      </c>
      <c r="F135" s="25" t="s">
        <v>159</v>
      </c>
      <c r="G135" s="26">
        <v>0.3</v>
      </c>
      <c r="H135" s="26"/>
      <c r="I135" s="26">
        <v>567.13499999999999</v>
      </c>
      <c r="J135" s="27">
        <v>223.66</v>
      </c>
      <c r="M135" s="28">
        <f>ROUND(ROUND(J135, 2)*I135, 2)</f>
        <v>126845.41</v>
      </c>
      <c r="P135" s="27">
        <v>341.05</v>
      </c>
      <c r="S135" s="28">
        <f>ROUND(ROUND(P135, 2)*I135, 2)</f>
        <v>193421.39</v>
      </c>
      <c r="V135" s="9">
        <f>ROUND(ROUND(P135, 2)/1.2, 2)</f>
        <v>284.20999999999998</v>
      </c>
      <c r="Y135" s="9">
        <f t="shared" si="12"/>
        <v>161184.49</v>
      </c>
      <c r="AD135" s="4" t="s">
        <v>575</v>
      </c>
      <c r="AE135" s="4" t="s">
        <v>576</v>
      </c>
      <c r="AF135" s="4" t="s">
        <v>532</v>
      </c>
    </row>
    <row r="136" spans="1:35" ht="18" x14ac:dyDescent="0.3">
      <c r="A136" s="10" t="s">
        <v>577</v>
      </c>
      <c r="B136" s="10" t="s">
        <v>578</v>
      </c>
      <c r="C136" s="14" t="s">
        <v>579</v>
      </c>
      <c r="D136" s="15"/>
      <c r="E136" s="15" t="s">
        <v>580</v>
      </c>
      <c r="F136" s="15" t="s">
        <v>120</v>
      </c>
      <c r="G136" s="16">
        <v>1</v>
      </c>
      <c r="H136" s="16"/>
      <c r="I136" s="16">
        <v>48</v>
      </c>
      <c r="J136" s="17">
        <v>485.09</v>
      </c>
      <c r="K136" s="18">
        <v>200</v>
      </c>
      <c r="L136" s="17">
        <f>J136+ROUND(K136, 2)</f>
        <v>685.08999999999992</v>
      </c>
      <c r="M136" s="17">
        <v>23284.32</v>
      </c>
      <c r="N136" s="17">
        <v>9600</v>
      </c>
      <c r="O136" s="17">
        <f>M136+N136</f>
        <v>32884.32</v>
      </c>
      <c r="P136" s="17">
        <v>500.34</v>
      </c>
      <c r="Q136" s="18">
        <v>200</v>
      </c>
      <c r="R136" s="17">
        <f>P136+ROUND(Q136, 2)</f>
        <v>700.33999999999992</v>
      </c>
      <c r="S136" s="17">
        <v>24016.32</v>
      </c>
      <c r="T136" s="17">
        <v>9600</v>
      </c>
      <c r="U136" s="17">
        <f>S136+T136</f>
        <v>33616.32</v>
      </c>
      <c r="V136" s="9">
        <f>ROUND(P136 / 1.2, 2)</f>
        <v>416.95</v>
      </c>
      <c r="W136" s="9">
        <f>ROUND(Q136 / 1.2, 2)</f>
        <v>166.67</v>
      </c>
      <c r="X136" s="9">
        <f>ROUND(R136 / 1.2, 2)</f>
        <v>583.62</v>
      </c>
      <c r="Y136" s="9">
        <f t="shared" si="12"/>
        <v>20013.599999999999</v>
      </c>
      <c r="Z136" s="9">
        <f>ROUND(T136 / 1.2, 2)</f>
        <v>8000</v>
      </c>
      <c r="AA136" s="9">
        <f>Y136+Z136</f>
        <v>28013.599999999999</v>
      </c>
      <c r="AD136" s="4">
        <v>339118822</v>
      </c>
      <c r="AE136" s="4">
        <v>25888017</v>
      </c>
      <c r="AG136" s="4" t="s">
        <v>581</v>
      </c>
      <c r="AH136" s="4" t="s">
        <v>582</v>
      </c>
      <c r="AI136" s="4" t="s">
        <v>156</v>
      </c>
    </row>
    <row r="137" spans="1:35" ht="36" x14ac:dyDescent="0.3">
      <c r="A137" s="10" t="s">
        <v>583</v>
      </c>
      <c r="B137" s="10"/>
      <c r="C137" s="24" t="s">
        <v>584</v>
      </c>
      <c r="D137" s="15"/>
      <c r="E137" s="15"/>
      <c r="F137" s="25" t="s">
        <v>120</v>
      </c>
      <c r="G137" s="26">
        <v>1.1000000000000001</v>
      </c>
      <c r="H137" s="32"/>
      <c r="I137" s="32">
        <v>52.8</v>
      </c>
      <c r="J137" s="27">
        <v>432.81</v>
      </c>
      <c r="M137" s="28">
        <f>ROUND(ROUND(J137, 2)*I137, 2)</f>
        <v>22852.37</v>
      </c>
      <c r="P137" s="27">
        <v>432.81</v>
      </c>
      <c r="S137" s="28">
        <f>ROUND(ROUND(P137, 2)*I137, 2)</f>
        <v>22852.37</v>
      </c>
      <c r="V137" s="9">
        <f>ROUND(ROUND(P137, 2)/1.2, 2)</f>
        <v>360.68</v>
      </c>
      <c r="Y137" s="9">
        <f t="shared" si="12"/>
        <v>19043.64</v>
      </c>
      <c r="AD137" s="4" t="s">
        <v>585</v>
      </c>
      <c r="AE137" s="4" t="s">
        <v>586</v>
      </c>
      <c r="AF137" s="4" t="s">
        <v>587</v>
      </c>
    </row>
    <row r="138" spans="1:35" ht="18" x14ac:dyDescent="0.3">
      <c r="A138" s="10" t="s">
        <v>588</v>
      </c>
      <c r="B138" s="10"/>
      <c r="C138" s="24" t="s">
        <v>589</v>
      </c>
      <c r="D138" s="15"/>
      <c r="E138" s="15"/>
      <c r="F138" s="25" t="s">
        <v>240</v>
      </c>
      <c r="G138" s="31">
        <v>0.09</v>
      </c>
      <c r="H138" s="26"/>
      <c r="I138" s="26">
        <v>4.32</v>
      </c>
      <c r="J138" s="27">
        <v>100</v>
      </c>
      <c r="M138" s="28">
        <f>ROUND(ROUND(J138, 2)*I138, 2)</f>
        <v>432</v>
      </c>
      <c r="P138" s="27">
        <v>269.39</v>
      </c>
      <c r="S138" s="28">
        <f>ROUND(ROUND(P138, 2)*I138, 2)</f>
        <v>1163.76</v>
      </c>
      <c r="V138" s="9">
        <f>ROUND(ROUND(P138, 2)/1.2, 2)</f>
        <v>224.49</v>
      </c>
      <c r="Y138" s="9">
        <f t="shared" si="12"/>
        <v>969.8</v>
      </c>
      <c r="AD138" s="4" t="s">
        <v>590</v>
      </c>
      <c r="AE138" s="4" t="s">
        <v>591</v>
      </c>
      <c r="AF138" s="4" t="s">
        <v>592</v>
      </c>
    </row>
    <row r="139" spans="1:35" ht="18" x14ac:dyDescent="0.3">
      <c r="A139" s="10" t="s">
        <v>593</v>
      </c>
      <c r="B139" s="10" t="s">
        <v>578</v>
      </c>
      <c r="C139" s="14" t="s">
        <v>579</v>
      </c>
      <c r="D139" s="15"/>
      <c r="E139" s="15" t="s">
        <v>594</v>
      </c>
      <c r="F139" s="15" t="s">
        <v>120</v>
      </c>
      <c r="G139" s="16">
        <v>1</v>
      </c>
      <c r="H139" s="16"/>
      <c r="I139" s="16">
        <v>146.12</v>
      </c>
      <c r="J139" s="17">
        <v>131.11000000000001</v>
      </c>
      <c r="K139" s="18">
        <v>200</v>
      </c>
      <c r="L139" s="17">
        <f>J139+ROUND(K139, 2)</f>
        <v>331.11</v>
      </c>
      <c r="M139" s="17">
        <v>19157.79</v>
      </c>
      <c r="N139" s="17">
        <v>29224</v>
      </c>
      <c r="O139" s="17">
        <f>M139+N139</f>
        <v>48381.79</v>
      </c>
      <c r="P139" s="17">
        <v>148.97999999999999</v>
      </c>
      <c r="Q139" s="18">
        <v>200</v>
      </c>
      <c r="R139" s="17">
        <f>P139+ROUND(Q139, 2)</f>
        <v>348.98</v>
      </c>
      <c r="S139" s="17">
        <v>21768.959999999999</v>
      </c>
      <c r="T139" s="17">
        <v>29224</v>
      </c>
      <c r="U139" s="17">
        <f>S139+T139</f>
        <v>50992.959999999999</v>
      </c>
      <c r="V139" s="9">
        <f>ROUND(P139 / 1.2, 2)</f>
        <v>124.15</v>
      </c>
      <c r="W139" s="9">
        <f>ROUND(Q139 / 1.2, 2)</f>
        <v>166.67</v>
      </c>
      <c r="X139" s="9">
        <f>ROUND(R139 / 1.2, 2)</f>
        <v>290.82</v>
      </c>
      <c r="Y139" s="9">
        <f t="shared" si="12"/>
        <v>18140.8</v>
      </c>
      <c r="Z139" s="9">
        <f>ROUND(T139 / 1.2, 2)</f>
        <v>24353.33</v>
      </c>
      <c r="AA139" s="9">
        <f>Y139+Z139</f>
        <v>42494.130000000005</v>
      </c>
      <c r="AD139" s="4">
        <v>339118912</v>
      </c>
      <c r="AE139" s="4">
        <v>25888038</v>
      </c>
      <c r="AG139" s="4" t="s">
        <v>581</v>
      </c>
      <c r="AH139" s="4" t="s">
        <v>582</v>
      </c>
      <c r="AI139" s="4" t="s">
        <v>156</v>
      </c>
    </row>
    <row r="140" spans="1:35" ht="36" x14ac:dyDescent="0.3">
      <c r="A140" s="10" t="s">
        <v>595</v>
      </c>
      <c r="B140" s="10"/>
      <c r="C140" s="24" t="s">
        <v>596</v>
      </c>
      <c r="D140" s="15"/>
      <c r="E140" s="15"/>
      <c r="F140" s="25" t="s">
        <v>120</v>
      </c>
      <c r="G140" s="26">
        <v>1.05</v>
      </c>
      <c r="H140" s="32"/>
      <c r="I140" s="32">
        <v>76.712999999999994</v>
      </c>
      <c r="J140" s="27">
        <v>90.97</v>
      </c>
      <c r="M140" s="28">
        <f>ROUND(ROUND(J140, 2)*I140, 2)</f>
        <v>6978.58</v>
      </c>
      <c r="P140" s="27">
        <v>90.97</v>
      </c>
      <c r="S140" s="28">
        <f>ROUND(ROUND(P140, 2)*I140, 2)</f>
        <v>6978.58</v>
      </c>
      <c r="V140" s="9">
        <f>ROUND(ROUND(P140, 2)/1.2, 2)</f>
        <v>75.81</v>
      </c>
      <c r="Y140" s="9">
        <f t="shared" si="12"/>
        <v>5815.48</v>
      </c>
      <c r="AD140" s="4" t="s">
        <v>597</v>
      </c>
      <c r="AE140" s="4" t="s">
        <v>598</v>
      </c>
      <c r="AF140" s="4" t="s">
        <v>599</v>
      </c>
    </row>
    <row r="141" spans="1:35" ht="18" x14ac:dyDescent="0.3">
      <c r="A141" s="10" t="s">
        <v>600</v>
      </c>
      <c r="B141" s="10"/>
      <c r="C141" s="30" t="s">
        <v>601</v>
      </c>
      <c r="D141" s="15"/>
      <c r="E141" s="15" t="s">
        <v>602</v>
      </c>
      <c r="F141" s="25" t="s">
        <v>120</v>
      </c>
      <c r="G141" s="26">
        <v>1.05</v>
      </c>
      <c r="H141" s="32"/>
      <c r="I141" s="32">
        <v>76.712999999999994</v>
      </c>
      <c r="J141" s="27">
        <v>158.76</v>
      </c>
      <c r="M141" s="28">
        <f>ROUND(ROUND(J141, 2)*I141, 2)</f>
        <v>12178.96</v>
      </c>
      <c r="P141" s="27">
        <v>192.81</v>
      </c>
      <c r="S141" s="28">
        <f>ROUND(ROUND(P141, 2)*I141, 2)</f>
        <v>14791.03</v>
      </c>
      <c r="V141" s="9">
        <f>ROUND(ROUND(P141, 2)/1.2, 2)</f>
        <v>160.68</v>
      </c>
      <c r="Y141" s="9">
        <f t="shared" si="12"/>
        <v>12325.86</v>
      </c>
      <c r="AD141" s="4" t="s">
        <v>603</v>
      </c>
      <c r="AE141" s="4" t="s">
        <v>604</v>
      </c>
      <c r="AF141" s="4" t="s">
        <v>605</v>
      </c>
    </row>
    <row r="142" spans="1:35" ht="54" x14ac:dyDescent="0.3">
      <c r="A142" s="10" t="s">
        <v>606</v>
      </c>
      <c r="B142" s="10" t="s">
        <v>607</v>
      </c>
      <c r="C142" s="14" t="s">
        <v>608</v>
      </c>
      <c r="D142" s="15"/>
      <c r="E142" s="15" t="s">
        <v>609</v>
      </c>
      <c r="F142" s="15" t="s">
        <v>120</v>
      </c>
      <c r="G142" s="16">
        <v>1</v>
      </c>
      <c r="H142" s="16"/>
      <c r="I142" s="16">
        <v>333.75</v>
      </c>
      <c r="J142" s="17">
        <v>363.58</v>
      </c>
      <c r="K142" s="18">
        <v>411</v>
      </c>
      <c r="L142" s="17">
        <f>J142+ROUND(K142, 2)</f>
        <v>774.57999999999993</v>
      </c>
      <c r="M142" s="17">
        <v>121344.83</v>
      </c>
      <c r="N142" s="17">
        <v>137171.25</v>
      </c>
      <c r="O142" s="17">
        <f>M142+N142</f>
        <v>258516.08000000002</v>
      </c>
      <c r="P142" s="17">
        <v>414.02</v>
      </c>
      <c r="Q142" s="18">
        <v>411</v>
      </c>
      <c r="R142" s="17">
        <f>P142+ROUND(Q142, 2)</f>
        <v>825.02</v>
      </c>
      <c r="S142" s="17">
        <v>138179.18</v>
      </c>
      <c r="T142" s="17">
        <v>137171.25</v>
      </c>
      <c r="U142" s="17">
        <f>S142+T142</f>
        <v>275350.43</v>
      </c>
      <c r="V142" s="9">
        <f>ROUND(P142 / 1.2, 2)</f>
        <v>345.02</v>
      </c>
      <c r="W142" s="9">
        <f>ROUND(Q142 / 1.2, 2)</f>
        <v>342.5</v>
      </c>
      <c r="X142" s="9">
        <f>ROUND(R142 / 1.2, 2)</f>
        <v>687.52</v>
      </c>
      <c r="Y142" s="9">
        <f t="shared" si="12"/>
        <v>115149.32</v>
      </c>
      <c r="Z142" s="9">
        <f>ROUND(T142 / 1.2, 2)</f>
        <v>114309.38</v>
      </c>
      <c r="AA142" s="9">
        <f>Y142+Z142</f>
        <v>229458.7</v>
      </c>
      <c r="AD142" s="4">
        <v>339118824</v>
      </c>
      <c r="AE142" s="4">
        <v>25888037</v>
      </c>
      <c r="AG142" s="4" t="s">
        <v>610</v>
      </c>
      <c r="AH142" s="4" t="s">
        <v>611</v>
      </c>
      <c r="AI142" s="4" t="s">
        <v>156</v>
      </c>
    </row>
    <row r="143" spans="1:35" ht="108" x14ac:dyDescent="0.3">
      <c r="A143" s="10" t="s">
        <v>612</v>
      </c>
      <c r="B143" s="10"/>
      <c r="C143" s="24" t="s">
        <v>613</v>
      </c>
      <c r="D143" s="15"/>
      <c r="E143" s="15" t="s">
        <v>614</v>
      </c>
      <c r="F143" s="25" t="s">
        <v>240</v>
      </c>
      <c r="G143" s="26">
        <v>1.84</v>
      </c>
      <c r="H143" s="26"/>
      <c r="I143" s="26">
        <v>614.1</v>
      </c>
      <c r="J143" s="27">
        <v>196</v>
      </c>
      <c r="M143" s="28">
        <f>ROUND(ROUND(J143, 2)*I143, 2)</f>
        <v>120363.6</v>
      </c>
      <c r="P143" s="27">
        <v>210.05</v>
      </c>
      <c r="S143" s="28">
        <f>ROUND(ROUND(P143, 2)*I143, 2)</f>
        <v>128991.71</v>
      </c>
      <c r="V143" s="9">
        <f>ROUND(ROUND(P143, 2)/1.2, 2)</f>
        <v>175.04</v>
      </c>
      <c r="Y143" s="9">
        <f t="shared" si="12"/>
        <v>107493.09</v>
      </c>
      <c r="AD143" s="4" t="s">
        <v>615</v>
      </c>
      <c r="AE143" s="4" t="s">
        <v>616</v>
      </c>
      <c r="AF143" s="4" t="s">
        <v>617</v>
      </c>
    </row>
    <row r="144" spans="1:35" ht="36" x14ac:dyDescent="0.3">
      <c r="A144" s="10" t="s">
        <v>618</v>
      </c>
      <c r="B144" s="10"/>
      <c r="C144" s="24" t="s">
        <v>619</v>
      </c>
      <c r="D144" s="15"/>
      <c r="E144" s="15" t="s">
        <v>620</v>
      </c>
      <c r="F144" s="25" t="s">
        <v>159</v>
      </c>
      <c r="G144" s="26">
        <v>0.7</v>
      </c>
      <c r="H144" s="26"/>
      <c r="I144" s="26">
        <v>233.625</v>
      </c>
      <c r="J144" s="27">
        <v>0</v>
      </c>
      <c r="M144" s="28">
        <f>ROUND(ROUND(J144, 2)*I144, 2)</f>
        <v>0</v>
      </c>
      <c r="P144" s="27">
        <v>29.14</v>
      </c>
      <c r="S144" s="28">
        <f>ROUND(ROUND(P144, 2)*I144, 2)</f>
        <v>6807.83</v>
      </c>
      <c r="V144" s="9">
        <f>ROUND(ROUND(P144, 2)/1.2, 2)</f>
        <v>24.28</v>
      </c>
      <c r="Y144" s="9">
        <f t="shared" si="12"/>
        <v>5673.19</v>
      </c>
      <c r="AD144" s="4" t="s">
        <v>621</v>
      </c>
      <c r="AE144" s="4" t="s">
        <v>622</v>
      </c>
      <c r="AF144" s="4" t="s">
        <v>623</v>
      </c>
    </row>
    <row r="145" spans="1:35" ht="36" x14ac:dyDescent="0.3">
      <c r="A145" s="10" t="s">
        <v>624</v>
      </c>
      <c r="B145" s="10"/>
      <c r="C145" s="24" t="s">
        <v>510</v>
      </c>
      <c r="D145" s="15"/>
      <c r="E145" s="15"/>
      <c r="F145" s="25" t="s">
        <v>159</v>
      </c>
      <c r="G145" s="26">
        <v>0.04</v>
      </c>
      <c r="H145" s="26"/>
      <c r="I145" s="26">
        <v>13.35</v>
      </c>
      <c r="J145" s="27">
        <v>40.270000000000003</v>
      </c>
      <c r="M145" s="28">
        <f>ROUND(ROUND(J145, 2)*I145, 2)</f>
        <v>537.6</v>
      </c>
      <c r="P145" s="27">
        <v>144.87</v>
      </c>
      <c r="S145" s="28">
        <f>ROUND(ROUND(P145, 2)*I145, 2)</f>
        <v>1934.01</v>
      </c>
      <c r="V145" s="9">
        <f>ROUND(ROUND(P145, 2)/1.2, 2)</f>
        <v>120.73</v>
      </c>
      <c r="Y145" s="9">
        <f t="shared" si="12"/>
        <v>1611.68</v>
      </c>
      <c r="AD145" s="4" t="s">
        <v>625</v>
      </c>
      <c r="AE145" s="4" t="s">
        <v>626</v>
      </c>
      <c r="AF145" s="4" t="s">
        <v>513</v>
      </c>
    </row>
    <row r="146" spans="1:35" ht="36" x14ac:dyDescent="0.3">
      <c r="A146" s="10" t="s">
        <v>627</v>
      </c>
      <c r="B146" s="10"/>
      <c r="C146" s="24" t="s">
        <v>480</v>
      </c>
      <c r="D146" s="15"/>
      <c r="E146" s="15"/>
      <c r="F146" s="25" t="s">
        <v>159</v>
      </c>
      <c r="G146" s="26">
        <v>1.4999999999999999E-2</v>
      </c>
      <c r="H146" s="26"/>
      <c r="I146" s="26">
        <v>5.0060000000000002</v>
      </c>
      <c r="J146" s="27">
        <v>88.8</v>
      </c>
      <c r="M146" s="28">
        <f>ROUND(ROUND(J146, 2)*I146, 2)</f>
        <v>444.53</v>
      </c>
      <c r="P146" s="27">
        <v>88.8</v>
      </c>
      <c r="S146" s="28">
        <f>ROUND(ROUND(P146, 2)*I146, 2)</f>
        <v>444.53</v>
      </c>
      <c r="V146" s="9">
        <f>ROUND(ROUND(P146, 2)/1.2, 2)</f>
        <v>74</v>
      </c>
      <c r="Y146" s="9">
        <f t="shared" si="12"/>
        <v>370.44</v>
      </c>
      <c r="AD146" s="4" t="s">
        <v>628</v>
      </c>
      <c r="AE146" s="4" t="s">
        <v>629</v>
      </c>
      <c r="AF146" s="4" t="s">
        <v>483</v>
      </c>
    </row>
    <row r="147" spans="1:35" ht="54" x14ac:dyDescent="0.3">
      <c r="A147" s="10" t="s">
        <v>630</v>
      </c>
      <c r="B147" s="10" t="s">
        <v>607</v>
      </c>
      <c r="C147" s="14" t="s">
        <v>608</v>
      </c>
      <c r="D147" s="15"/>
      <c r="E147" s="15" t="s">
        <v>631</v>
      </c>
      <c r="F147" s="15" t="s">
        <v>120</v>
      </c>
      <c r="G147" s="16">
        <v>1</v>
      </c>
      <c r="H147" s="16"/>
      <c r="I147" s="16">
        <v>19.100000000000001</v>
      </c>
      <c r="J147" s="17">
        <v>64.56</v>
      </c>
      <c r="K147" s="18">
        <v>411</v>
      </c>
      <c r="L147" s="17">
        <f>J147+ROUND(K147, 2)</f>
        <v>475.56</v>
      </c>
      <c r="M147" s="17">
        <v>1233.0999999999999</v>
      </c>
      <c r="N147" s="17">
        <v>7850.1</v>
      </c>
      <c r="O147" s="17">
        <f>M147+N147</f>
        <v>9083.2000000000007</v>
      </c>
      <c r="P147" s="17">
        <v>88.86</v>
      </c>
      <c r="Q147" s="18">
        <v>411</v>
      </c>
      <c r="R147" s="17">
        <f>P147+ROUND(Q147, 2)</f>
        <v>499.86</v>
      </c>
      <c r="S147" s="17">
        <v>1697.23</v>
      </c>
      <c r="T147" s="17">
        <v>7850.1</v>
      </c>
      <c r="U147" s="17">
        <f>S147+T147</f>
        <v>9547.33</v>
      </c>
      <c r="V147" s="9">
        <f>ROUND(P147 / 1.2, 2)</f>
        <v>74.05</v>
      </c>
      <c r="W147" s="9">
        <f>ROUND(Q147 / 1.2, 2)</f>
        <v>342.5</v>
      </c>
      <c r="X147" s="9">
        <f>ROUND(R147 / 1.2, 2)</f>
        <v>416.55</v>
      </c>
      <c r="Y147" s="9">
        <f t="shared" ref="Y147:Y178" si="13">ROUND(S147 / 1.2, 2)</f>
        <v>1414.36</v>
      </c>
      <c r="Z147" s="9">
        <f>ROUND(T147 / 1.2, 2)</f>
        <v>6541.75</v>
      </c>
      <c r="AA147" s="9">
        <f>Y147+Z147</f>
        <v>7956.11</v>
      </c>
      <c r="AD147" s="4">
        <v>339118913</v>
      </c>
      <c r="AE147" s="4">
        <v>25888034</v>
      </c>
      <c r="AG147" s="4" t="s">
        <v>610</v>
      </c>
      <c r="AH147" s="4" t="s">
        <v>611</v>
      </c>
      <c r="AI147" s="4" t="s">
        <v>156</v>
      </c>
    </row>
    <row r="148" spans="1:35" ht="36" x14ac:dyDescent="0.3">
      <c r="A148" s="10" t="s">
        <v>632</v>
      </c>
      <c r="B148" s="10"/>
      <c r="C148" s="24" t="s">
        <v>480</v>
      </c>
      <c r="D148" s="15"/>
      <c r="E148" s="15"/>
      <c r="F148" s="25" t="s">
        <v>159</v>
      </c>
      <c r="G148" s="26">
        <v>1.4999999999999999E-2</v>
      </c>
      <c r="H148" s="26"/>
      <c r="I148" s="26">
        <v>0.28699999999999998</v>
      </c>
      <c r="J148" s="27">
        <v>88.8</v>
      </c>
      <c r="M148" s="28">
        <f>ROUND(ROUND(J148, 2)*I148, 2)</f>
        <v>25.49</v>
      </c>
      <c r="P148" s="27">
        <v>88.8</v>
      </c>
      <c r="S148" s="28">
        <f>ROUND(ROUND(P148, 2)*I148, 2)</f>
        <v>25.49</v>
      </c>
      <c r="V148" s="9">
        <f>ROUND(ROUND(P148, 2)/1.2, 2)</f>
        <v>74</v>
      </c>
      <c r="Y148" s="9">
        <f t="shared" si="13"/>
        <v>21.24</v>
      </c>
      <c r="AD148" s="4" t="s">
        <v>633</v>
      </c>
      <c r="AE148" s="4" t="s">
        <v>634</v>
      </c>
      <c r="AF148" s="4" t="s">
        <v>483</v>
      </c>
    </row>
    <row r="149" spans="1:35" ht="18" x14ac:dyDescent="0.3">
      <c r="A149" s="10" t="s">
        <v>635</v>
      </c>
      <c r="B149" s="10"/>
      <c r="C149" s="24" t="s">
        <v>473</v>
      </c>
      <c r="D149" s="15"/>
      <c r="E149" s="15"/>
      <c r="F149" s="25" t="s">
        <v>159</v>
      </c>
      <c r="G149" s="26">
        <v>0.04</v>
      </c>
      <c r="H149" s="26"/>
      <c r="I149" s="26">
        <v>0.76400000000000001</v>
      </c>
      <c r="J149" s="27">
        <v>47.44</v>
      </c>
      <c r="M149" s="28">
        <f>ROUND(ROUND(J149, 2)*I149, 2)</f>
        <v>36.24</v>
      </c>
      <c r="P149" s="27">
        <v>144.87</v>
      </c>
      <c r="S149" s="28">
        <f>ROUND(ROUND(P149, 2)*I149, 2)</f>
        <v>110.68</v>
      </c>
      <c r="V149" s="9">
        <f>ROUND(ROUND(P149, 2)/1.2, 2)</f>
        <v>120.73</v>
      </c>
      <c r="Y149" s="9">
        <f t="shared" si="13"/>
        <v>92.23</v>
      </c>
      <c r="AD149" s="4" t="s">
        <v>636</v>
      </c>
      <c r="AE149" s="4" t="s">
        <v>637</v>
      </c>
      <c r="AF149" s="4" t="s">
        <v>476</v>
      </c>
    </row>
    <row r="150" spans="1:35" ht="36" x14ac:dyDescent="0.3">
      <c r="A150" s="10" t="s">
        <v>638</v>
      </c>
      <c r="B150" s="10"/>
      <c r="C150" s="24" t="s">
        <v>639</v>
      </c>
      <c r="D150" s="15"/>
      <c r="E150" s="15"/>
      <c r="F150" s="25" t="s">
        <v>75</v>
      </c>
      <c r="G150" s="26">
        <v>0.11</v>
      </c>
      <c r="H150" s="26"/>
      <c r="I150" s="26">
        <v>2.101</v>
      </c>
      <c r="J150" s="27">
        <v>557.54999999999995</v>
      </c>
      <c r="M150" s="28">
        <f>ROUND(ROUND(J150, 2)*I150, 2)</f>
        <v>1171.4100000000001</v>
      </c>
      <c r="P150" s="27">
        <v>557.54999999999995</v>
      </c>
      <c r="S150" s="28">
        <f>ROUND(ROUND(P150, 2)*I150, 2)</f>
        <v>1171.4100000000001</v>
      </c>
      <c r="V150" s="9">
        <f>ROUND(ROUND(P150, 2)/1.2, 2)</f>
        <v>464.63</v>
      </c>
      <c r="Y150" s="9">
        <f t="shared" si="13"/>
        <v>976.18</v>
      </c>
      <c r="AD150" s="4" t="s">
        <v>640</v>
      </c>
      <c r="AE150" s="4" t="s">
        <v>641</v>
      </c>
      <c r="AF150" s="4" t="s">
        <v>642</v>
      </c>
    </row>
    <row r="151" spans="1:35" ht="36" x14ac:dyDescent="0.3">
      <c r="A151" s="10" t="s">
        <v>643</v>
      </c>
      <c r="B151" s="10"/>
      <c r="C151" s="24" t="s">
        <v>619</v>
      </c>
      <c r="D151" s="15"/>
      <c r="E151" s="15" t="s">
        <v>620</v>
      </c>
      <c r="F151" s="25" t="s">
        <v>159</v>
      </c>
      <c r="G151" s="26">
        <v>0.7</v>
      </c>
      <c r="H151" s="26"/>
      <c r="I151" s="26">
        <v>13.37</v>
      </c>
      <c r="J151" s="27">
        <v>0</v>
      </c>
      <c r="M151" s="28">
        <f>ROUND(ROUND(J151, 2)*I151, 2)</f>
        <v>0</v>
      </c>
      <c r="P151" s="27">
        <v>29.14</v>
      </c>
      <c r="S151" s="28">
        <f>ROUND(ROUND(P151, 2)*I151, 2)</f>
        <v>389.6</v>
      </c>
      <c r="V151" s="9">
        <f>ROUND(ROUND(P151, 2)/1.2, 2)</f>
        <v>24.28</v>
      </c>
      <c r="Y151" s="9">
        <f t="shared" si="13"/>
        <v>324.67</v>
      </c>
      <c r="AD151" s="4" t="s">
        <v>644</v>
      </c>
      <c r="AE151" s="4" t="s">
        <v>645</v>
      </c>
      <c r="AF151" s="4" t="s">
        <v>623</v>
      </c>
    </row>
    <row r="152" spans="1:35" ht="54" x14ac:dyDescent="0.3">
      <c r="A152" s="10" t="s">
        <v>646</v>
      </c>
      <c r="B152" s="10" t="s">
        <v>607</v>
      </c>
      <c r="C152" s="14" t="s">
        <v>608</v>
      </c>
      <c r="D152" s="15"/>
      <c r="E152" s="15" t="s">
        <v>631</v>
      </c>
      <c r="F152" s="15" t="s">
        <v>120</v>
      </c>
      <c r="G152" s="16">
        <v>1</v>
      </c>
      <c r="H152" s="16"/>
      <c r="I152" s="16">
        <v>21.1</v>
      </c>
      <c r="J152" s="17">
        <v>51.11</v>
      </c>
      <c r="K152" s="18">
        <v>411</v>
      </c>
      <c r="L152" s="17">
        <f>J152+ROUND(K152, 2)</f>
        <v>462.11</v>
      </c>
      <c r="M152" s="17">
        <v>1078.42</v>
      </c>
      <c r="N152" s="17">
        <v>8672.1</v>
      </c>
      <c r="O152" s="17">
        <f>M152+N152</f>
        <v>9750.52</v>
      </c>
      <c r="P152" s="17">
        <v>76.040000000000006</v>
      </c>
      <c r="Q152" s="18">
        <v>411</v>
      </c>
      <c r="R152" s="17">
        <f>P152+ROUND(Q152, 2)</f>
        <v>487.04</v>
      </c>
      <c r="S152" s="17">
        <v>1604.44</v>
      </c>
      <c r="T152" s="17">
        <v>8672.1</v>
      </c>
      <c r="U152" s="17">
        <f>S152+T152</f>
        <v>10276.540000000001</v>
      </c>
      <c r="V152" s="9">
        <f>ROUND(P152 / 1.2, 2)</f>
        <v>63.37</v>
      </c>
      <c r="W152" s="9">
        <f>ROUND(Q152 / 1.2, 2)</f>
        <v>342.5</v>
      </c>
      <c r="X152" s="9">
        <f>ROUND(R152 / 1.2, 2)</f>
        <v>405.87</v>
      </c>
      <c r="Y152" s="9">
        <f t="shared" si="13"/>
        <v>1337.03</v>
      </c>
      <c r="Z152" s="9">
        <f>ROUND(T152 / 1.2, 2)</f>
        <v>7226.75</v>
      </c>
      <c r="AA152" s="9">
        <f>Y152+Z152</f>
        <v>8563.7800000000007</v>
      </c>
      <c r="AD152" s="4">
        <v>339118914</v>
      </c>
      <c r="AE152" s="4">
        <v>25888035</v>
      </c>
      <c r="AG152" s="4" t="s">
        <v>610</v>
      </c>
      <c r="AH152" s="4" t="s">
        <v>611</v>
      </c>
      <c r="AI152" s="4" t="s">
        <v>156</v>
      </c>
    </row>
    <row r="153" spans="1:35" ht="36" x14ac:dyDescent="0.3">
      <c r="A153" s="10" t="s">
        <v>647</v>
      </c>
      <c r="B153" s="10"/>
      <c r="C153" s="24" t="s">
        <v>619</v>
      </c>
      <c r="D153" s="15"/>
      <c r="E153" s="15" t="s">
        <v>620</v>
      </c>
      <c r="F153" s="25" t="s">
        <v>159</v>
      </c>
      <c r="G153" s="26">
        <v>0.7</v>
      </c>
      <c r="H153" s="26"/>
      <c r="I153" s="26">
        <v>14.77</v>
      </c>
      <c r="J153" s="27">
        <v>0</v>
      </c>
      <c r="M153" s="28">
        <f>ROUND(ROUND(J153, 2)*I153, 2)</f>
        <v>0</v>
      </c>
      <c r="P153" s="27">
        <v>29.14</v>
      </c>
      <c r="S153" s="28">
        <f>ROUND(ROUND(P153, 2)*I153, 2)</f>
        <v>430.4</v>
      </c>
      <c r="V153" s="9">
        <f>ROUND(ROUND(P153, 2)/1.2, 2)</f>
        <v>24.28</v>
      </c>
      <c r="Y153" s="9">
        <f t="shared" si="13"/>
        <v>358.67</v>
      </c>
      <c r="AD153" s="4" t="s">
        <v>648</v>
      </c>
      <c r="AE153" s="4" t="s">
        <v>649</v>
      </c>
      <c r="AF153" s="4" t="s">
        <v>623</v>
      </c>
    </row>
    <row r="154" spans="1:35" ht="36" x14ac:dyDescent="0.3">
      <c r="A154" s="10" t="s">
        <v>650</v>
      </c>
      <c r="B154" s="10"/>
      <c r="C154" s="30" t="s">
        <v>466</v>
      </c>
      <c r="D154" s="15"/>
      <c r="E154" s="15"/>
      <c r="F154" s="25" t="s">
        <v>75</v>
      </c>
      <c r="G154" s="26">
        <v>0.107</v>
      </c>
      <c r="H154" s="26"/>
      <c r="I154" s="26">
        <v>2.258</v>
      </c>
      <c r="J154" s="27">
        <v>447.41</v>
      </c>
      <c r="M154" s="28">
        <f>ROUND(ROUND(J154, 2)*I154, 2)</f>
        <v>1010.25</v>
      </c>
      <c r="P154" s="27">
        <v>489.78</v>
      </c>
      <c r="S154" s="28">
        <f>ROUND(ROUND(P154, 2)*I154, 2)</f>
        <v>1105.92</v>
      </c>
      <c r="V154" s="9">
        <f>ROUND(ROUND(P154, 2)/1.2, 2)</f>
        <v>408.15</v>
      </c>
      <c r="Y154" s="9">
        <f t="shared" si="13"/>
        <v>921.6</v>
      </c>
      <c r="AD154" s="4" t="s">
        <v>651</v>
      </c>
      <c r="AE154" s="4" t="s">
        <v>652</v>
      </c>
      <c r="AF154" s="4" t="s">
        <v>469</v>
      </c>
    </row>
    <row r="155" spans="1:35" ht="18" x14ac:dyDescent="0.3">
      <c r="A155" s="10" t="s">
        <v>653</v>
      </c>
      <c r="B155" s="10"/>
      <c r="C155" s="24" t="s">
        <v>473</v>
      </c>
      <c r="D155" s="15"/>
      <c r="E155" s="15"/>
      <c r="F155" s="25" t="s">
        <v>159</v>
      </c>
      <c r="G155" s="26">
        <v>0.04</v>
      </c>
      <c r="H155" s="26"/>
      <c r="I155" s="26">
        <v>0.84399999999999997</v>
      </c>
      <c r="J155" s="27">
        <v>47.44</v>
      </c>
      <c r="M155" s="28">
        <f>ROUND(ROUND(J155, 2)*I155, 2)</f>
        <v>40.04</v>
      </c>
      <c r="P155" s="27">
        <v>47.44</v>
      </c>
      <c r="S155" s="28">
        <f>ROUND(ROUND(P155, 2)*I155, 2)</f>
        <v>40.04</v>
      </c>
      <c r="V155" s="9">
        <f>ROUND(ROUND(P155, 2)/1.2, 2)</f>
        <v>39.53</v>
      </c>
      <c r="Y155" s="9">
        <f t="shared" si="13"/>
        <v>33.369999999999997</v>
      </c>
      <c r="AD155" s="4" t="s">
        <v>654</v>
      </c>
      <c r="AE155" s="4" t="s">
        <v>655</v>
      </c>
      <c r="AF155" s="4" t="s">
        <v>476</v>
      </c>
    </row>
    <row r="156" spans="1:35" ht="36" x14ac:dyDescent="0.3">
      <c r="A156" s="10" t="s">
        <v>656</v>
      </c>
      <c r="B156" s="10"/>
      <c r="C156" s="24" t="s">
        <v>480</v>
      </c>
      <c r="D156" s="15"/>
      <c r="E156" s="15"/>
      <c r="F156" s="25" t="s">
        <v>159</v>
      </c>
      <c r="G156" s="26">
        <v>1.4999999999999999E-2</v>
      </c>
      <c r="H156" s="26"/>
      <c r="I156" s="26">
        <v>0.317</v>
      </c>
      <c r="J156" s="27">
        <v>88.8</v>
      </c>
      <c r="M156" s="28">
        <f>ROUND(ROUND(J156, 2)*I156, 2)</f>
        <v>28.15</v>
      </c>
      <c r="P156" s="27">
        <v>88.8</v>
      </c>
      <c r="S156" s="28">
        <f>ROUND(ROUND(P156, 2)*I156, 2)</f>
        <v>28.15</v>
      </c>
      <c r="V156" s="9">
        <f>ROUND(ROUND(P156, 2)/1.2, 2)</f>
        <v>74</v>
      </c>
      <c r="Y156" s="9">
        <f t="shared" si="13"/>
        <v>23.46</v>
      </c>
      <c r="AD156" s="4" t="s">
        <v>657</v>
      </c>
      <c r="AE156" s="4" t="s">
        <v>658</v>
      </c>
      <c r="AF156" s="4" t="s">
        <v>483</v>
      </c>
    </row>
    <row r="157" spans="1:35" ht="36" x14ac:dyDescent="0.3">
      <c r="A157" s="10" t="s">
        <v>659</v>
      </c>
      <c r="B157" s="10" t="s">
        <v>660</v>
      </c>
      <c r="C157" s="14" t="s">
        <v>661</v>
      </c>
      <c r="D157" s="15"/>
      <c r="E157" s="15" t="s">
        <v>662</v>
      </c>
      <c r="F157" s="15" t="s">
        <v>75</v>
      </c>
      <c r="G157" s="16">
        <v>1</v>
      </c>
      <c r="H157" s="16"/>
      <c r="I157" s="16">
        <v>4366.17</v>
      </c>
      <c r="J157" s="17">
        <v>0</v>
      </c>
      <c r="K157" s="18">
        <v>661</v>
      </c>
      <c r="L157" s="17">
        <f>J157+ROUND(K157, 2)</f>
        <v>661</v>
      </c>
      <c r="M157" s="17">
        <v>0</v>
      </c>
      <c r="N157" s="17">
        <v>2886038.37</v>
      </c>
      <c r="O157" s="17">
        <f>M157+N157</f>
        <v>2886038.37</v>
      </c>
      <c r="P157" s="17">
        <v>2035.54</v>
      </c>
      <c r="Q157" s="18">
        <v>661</v>
      </c>
      <c r="R157" s="17">
        <f>P157+ROUND(Q157, 2)</f>
        <v>2696.54</v>
      </c>
      <c r="S157" s="17">
        <v>8887513.6799999997</v>
      </c>
      <c r="T157" s="17">
        <v>2886038.37</v>
      </c>
      <c r="U157" s="17">
        <f>S157+T157</f>
        <v>11773552.050000001</v>
      </c>
      <c r="V157" s="9">
        <f>ROUND(P157 / 1.2, 2)</f>
        <v>1696.28</v>
      </c>
      <c r="W157" s="9">
        <f>ROUND(Q157 / 1.2, 2)</f>
        <v>550.83000000000004</v>
      </c>
      <c r="X157" s="9">
        <f>ROUND(R157 / 1.2, 2)</f>
        <v>2247.12</v>
      </c>
      <c r="Y157" s="9">
        <f t="shared" si="13"/>
        <v>7406261.4000000004</v>
      </c>
      <c r="Z157" s="9">
        <f>ROUND(T157 / 1.2, 2)</f>
        <v>2405031.98</v>
      </c>
      <c r="AA157" s="9">
        <f>Y157+Z157</f>
        <v>9811293.3800000008</v>
      </c>
      <c r="AD157" s="4">
        <v>339118826</v>
      </c>
      <c r="AE157" s="4">
        <v>25888018</v>
      </c>
      <c r="AG157" s="4" t="s">
        <v>663</v>
      </c>
      <c r="AH157" s="4" t="s">
        <v>664</v>
      </c>
      <c r="AI157" s="4" t="s">
        <v>156</v>
      </c>
    </row>
    <row r="158" spans="1:35" ht="90" x14ac:dyDescent="0.3">
      <c r="A158" s="10" t="s">
        <v>665</v>
      </c>
      <c r="B158" s="10"/>
      <c r="C158" s="24" t="s">
        <v>666</v>
      </c>
      <c r="D158" s="15"/>
      <c r="E158" s="15" t="s">
        <v>667</v>
      </c>
      <c r="F158" s="25" t="s">
        <v>240</v>
      </c>
      <c r="G158" s="26">
        <v>1</v>
      </c>
      <c r="H158" s="32"/>
      <c r="I158" s="32">
        <v>1964.7</v>
      </c>
      <c r="J158" s="27">
        <v>0</v>
      </c>
      <c r="M158" s="28">
        <f>ROUND(ROUND(J158, 2)*I158, 2)</f>
        <v>0</v>
      </c>
      <c r="P158" s="27">
        <v>495</v>
      </c>
      <c r="S158" s="28">
        <f>ROUND(ROUND(P158, 2)*I158, 2)</f>
        <v>972526.5</v>
      </c>
      <c r="V158" s="9">
        <f>ROUND(ROUND(P158, 2)/1.2, 2)</f>
        <v>412.5</v>
      </c>
      <c r="Y158" s="9">
        <f t="shared" si="13"/>
        <v>810438.75</v>
      </c>
      <c r="AD158" s="4" t="s">
        <v>668</v>
      </c>
      <c r="AE158" s="4" t="s">
        <v>669</v>
      </c>
      <c r="AF158" s="4" t="s">
        <v>670</v>
      </c>
    </row>
    <row r="159" spans="1:35" ht="162" x14ac:dyDescent="0.3">
      <c r="A159" s="10" t="s">
        <v>671</v>
      </c>
      <c r="B159" s="10"/>
      <c r="C159" s="24" t="s">
        <v>672</v>
      </c>
      <c r="D159" s="15"/>
      <c r="E159" s="15" t="s">
        <v>673</v>
      </c>
      <c r="F159" s="25" t="s">
        <v>75</v>
      </c>
      <c r="G159" s="26">
        <v>1.03</v>
      </c>
      <c r="H159" s="32"/>
      <c r="I159" s="32">
        <v>4497.1549999999997</v>
      </c>
      <c r="J159" s="27">
        <v>0</v>
      </c>
      <c r="M159" s="28">
        <f>ROUND(ROUND(J159, 2)*I159, 2)</f>
        <v>0</v>
      </c>
      <c r="P159" s="27">
        <v>1760</v>
      </c>
      <c r="S159" s="28">
        <f>ROUND(ROUND(P159, 2)*I159, 2)</f>
        <v>7914992.7999999998</v>
      </c>
      <c r="V159" s="9">
        <f>ROUND(ROUND(P159, 2)/1.2, 2)</f>
        <v>1466.67</v>
      </c>
      <c r="Y159" s="9">
        <f t="shared" si="13"/>
        <v>6595827.3300000001</v>
      </c>
      <c r="AD159" s="4" t="s">
        <v>674</v>
      </c>
      <c r="AE159" s="4" t="s">
        <v>675</v>
      </c>
      <c r="AF159" s="4" t="s">
        <v>676</v>
      </c>
    </row>
    <row r="160" spans="1:35" ht="36" x14ac:dyDescent="0.3">
      <c r="A160" s="10" t="s">
        <v>677</v>
      </c>
      <c r="B160" s="10" t="s">
        <v>678</v>
      </c>
      <c r="C160" s="14" t="s">
        <v>679</v>
      </c>
      <c r="D160" s="15"/>
      <c r="E160" s="15" t="s">
        <v>680</v>
      </c>
      <c r="F160" s="15" t="s">
        <v>120</v>
      </c>
      <c r="G160" s="16">
        <v>1</v>
      </c>
      <c r="H160" s="16"/>
      <c r="I160" s="16">
        <v>2088.4499999999998</v>
      </c>
      <c r="J160" s="17">
        <v>379.22</v>
      </c>
      <c r="K160" s="18">
        <v>210</v>
      </c>
      <c r="L160" s="17">
        <f>J160+ROUND(K160, 2)</f>
        <v>589.22</v>
      </c>
      <c r="M160" s="17">
        <v>791982.01</v>
      </c>
      <c r="N160" s="17">
        <v>438574.5</v>
      </c>
      <c r="O160" s="17">
        <f>M160+N160</f>
        <v>1230556.51</v>
      </c>
      <c r="P160" s="17">
        <v>379.22</v>
      </c>
      <c r="Q160" s="18">
        <v>210</v>
      </c>
      <c r="R160" s="17">
        <f>P160+ROUND(Q160, 2)</f>
        <v>589.22</v>
      </c>
      <c r="S160" s="17">
        <v>791982.01</v>
      </c>
      <c r="T160" s="17">
        <v>438574.5</v>
      </c>
      <c r="U160" s="17">
        <f>S160+T160</f>
        <v>1230556.51</v>
      </c>
      <c r="V160" s="9">
        <f>ROUND(P160 / 1.2, 2)</f>
        <v>316.02</v>
      </c>
      <c r="W160" s="9">
        <f>ROUND(Q160 / 1.2, 2)</f>
        <v>175</v>
      </c>
      <c r="X160" s="9">
        <f>ROUND(R160 / 1.2, 2)</f>
        <v>491.02</v>
      </c>
      <c r="Y160" s="9">
        <f t="shared" si="13"/>
        <v>659985.01</v>
      </c>
      <c r="Z160" s="9">
        <f>ROUND(T160 / 1.2, 2)</f>
        <v>365478.75</v>
      </c>
      <c r="AA160" s="9">
        <f>Y160+Z160</f>
        <v>1025463.76</v>
      </c>
      <c r="AD160" s="4">
        <v>339118828</v>
      </c>
      <c r="AE160" s="4">
        <v>25888036</v>
      </c>
      <c r="AG160" s="4" t="s">
        <v>681</v>
      </c>
      <c r="AH160" s="4" t="s">
        <v>682</v>
      </c>
      <c r="AI160" s="4" t="s">
        <v>156</v>
      </c>
    </row>
    <row r="161" spans="1:35" ht="126" x14ac:dyDescent="0.3">
      <c r="A161" s="10" t="s">
        <v>683</v>
      </c>
      <c r="B161" s="10"/>
      <c r="C161" s="24" t="s">
        <v>684</v>
      </c>
      <c r="D161" s="15"/>
      <c r="E161" s="15" t="s">
        <v>685</v>
      </c>
      <c r="F161" s="25" t="s">
        <v>120</v>
      </c>
      <c r="G161" s="26">
        <v>1.1000000000000001</v>
      </c>
      <c r="H161" s="32"/>
      <c r="I161" s="32">
        <v>2297.2950000000001</v>
      </c>
      <c r="J161" s="27">
        <v>344.75</v>
      </c>
      <c r="M161" s="28">
        <f>ROUND(ROUND(J161, 2)*I161, 2)</f>
        <v>791992.45</v>
      </c>
      <c r="P161" s="27">
        <v>344.75</v>
      </c>
      <c r="S161" s="28">
        <f>ROUND(ROUND(P161, 2)*I161, 2)</f>
        <v>791992.45</v>
      </c>
      <c r="V161" s="9">
        <f>ROUND(ROUND(P161, 2)/1.2, 2)</f>
        <v>287.29000000000002</v>
      </c>
      <c r="Y161" s="9">
        <f t="shared" si="13"/>
        <v>659993.71</v>
      </c>
      <c r="AD161" s="4" t="s">
        <v>686</v>
      </c>
      <c r="AE161" s="4" t="s">
        <v>687</v>
      </c>
      <c r="AF161" s="4" t="s">
        <v>688</v>
      </c>
    </row>
    <row r="162" spans="1:35" ht="54" x14ac:dyDescent="0.3">
      <c r="A162" s="10" t="s">
        <v>689</v>
      </c>
      <c r="B162" s="10" t="s">
        <v>690</v>
      </c>
      <c r="C162" s="14" t="s">
        <v>691</v>
      </c>
      <c r="D162" s="15"/>
      <c r="E162" s="15" t="s">
        <v>692</v>
      </c>
      <c r="F162" s="15" t="s">
        <v>75</v>
      </c>
      <c r="G162" s="16">
        <v>1</v>
      </c>
      <c r="H162" s="16"/>
      <c r="I162" s="16">
        <v>102.06</v>
      </c>
      <c r="J162" s="17">
        <v>4598.84</v>
      </c>
      <c r="K162" s="18">
        <v>2310</v>
      </c>
      <c r="L162" s="17">
        <f>J162+ROUND(K162, 2)</f>
        <v>6908.84</v>
      </c>
      <c r="M162" s="17">
        <v>469357.61</v>
      </c>
      <c r="N162" s="17">
        <v>235758.6</v>
      </c>
      <c r="O162" s="17">
        <f>M162+N162</f>
        <v>705116.21</v>
      </c>
      <c r="P162" s="17">
        <v>4598.84</v>
      </c>
      <c r="Q162" s="18">
        <v>2310</v>
      </c>
      <c r="R162" s="17">
        <f>P162+ROUND(Q162, 2)</f>
        <v>6908.84</v>
      </c>
      <c r="S162" s="17">
        <v>469357.61</v>
      </c>
      <c r="T162" s="17">
        <v>235758.6</v>
      </c>
      <c r="U162" s="17">
        <f>S162+T162</f>
        <v>705116.21</v>
      </c>
      <c r="V162" s="9">
        <f>ROUND(P162 / 1.2, 2)</f>
        <v>3832.37</v>
      </c>
      <c r="W162" s="9">
        <f>ROUND(Q162 / 1.2, 2)</f>
        <v>1925</v>
      </c>
      <c r="X162" s="9">
        <f>ROUND(R162 / 1.2, 2)</f>
        <v>5757.37</v>
      </c>
      <c r="Y162" s="9">
        <f t="shared" si="13"/>
        <v>391131.34</v>
      </c>
      <c r="Z162" s="9">
        <f>ROUND(T162 / 1.2, 2)</f>
        <v>196465.5</v>
      </c>
      <c r="AA162" s="9">
        <f>Y162+Z162</f>
        <v>587596.84000000008</v>
      </c>
      <c r="AD162" s="4">
        <v>339118830</v>
      </c>
      <c r="AE162" s="4">
        <v>28965972</v>
      </c>
      <c r="AG162" s="4" t="s">
        <v>693</v>
      </c>
      <c r="AH162" s="4" t="s">
        <v>694</v>
      </c>
      <c r="AI162" s="4" t="s">
        <v>156</v>
      </c>
    </row>
    <row r="163" spans="1:35" ht="126" x14ac:dyDescent="0.3">
      <c r="A163" s="10" t="s">
        <v>695</v>
      </c>
      <c r="B163" s="10"/>
      <c r="C163" s="30" t="s">
        <v>696</v>
      </c>
      <c r="D163" s="15"/>
      <c r="E163" s="15" t="s">
        <v>697</v>
      </c>
      <c r="F163" s="25" t="s">
        <v>240</v>
      </c>
      <c r="G163" s="26">
        <v>4</v>
      </c>
      <c r="H163" s="26"/>
      <c r="I163" s="26">
        <v>408.24</v>
      </c>
      <c r="J163" s="27">
        <v>1118.74</v>
      </c>
      <c r="M163" s="28">
        <f>ROUND(ROUND(J163, 2)*I163, 2)</f>
        <v>456714.42</v>
      </c>
      <c r="P163" s="27">
        <v>1118.74</v>
      </c>
      <c r="S163" s="28">
        <f>ROUND(ROUND(P163, 2)*I163, 2)</f>
        <v>456714.42</v>
      </c>
      <c r="V163" s="9">
        <f>ROUND(ROUND(P163, 2)/1.2, 2)</f>
        <v>932.28</v>
      </c>
      <c r="Y163" s="9">
        <f t="shared" si="13"/>
        <v>380595.35</v>
      </c>
      <c r="AD163" s="4" t="s">
        <v>698</v>
      </c>
      <c r="AE163" s="4" t="s">
        <v>699</v>
      </c>
      <c r="AF163" s="4" t="s">
        <v>700</v>
      </c>
    </row>
    <row r="164" spans="1:35" ht="36" x14ac:dyDescent="0.3">
      <c r="A164" s="10" t="s">
        <v>701</v>
      </c>
      <c r="B164" s="10"/>
      <c r="C164" s="30" t="s">
        <v>702</v>
      </c>
      <c r="D164" s="15"/>
      <c r="E164" s="15"/>
      <c r="F164" s="25" t="s">
        <v>159</v>
      </c>
      <c r="G164" s="26">
        <v>1.2</v>
      </c>
      <c r="H164" s="32"/>
      <c r="I164" s="32">
        <v>612.36</v>
      </c>
      <c r="J164" s="27">
        <v>16.38</v>
      </c>
      <c r="M164" s="28">
        <f>ROUND(ROUND(J164, 2)*I164, 2)</f>
        <v>10030.459999999999</v>
      </c>
      <c r="P164" s="27">
        <v>16.38</v>
      </c>
      <c r="S164" s="28">
        <f>ROUND(ROUND(P164, 2)*I164, 2)</f>
        <v>10030.459999999999</v>
      </c>
      <c r="V164" s="9">
        <f>ROUND(ROUND(P164, 2)/1.2, 2)</f>
        <v>13.65</v>
      </c>
      <c r="Y164" s="9">
        <f t="shared" si="13"/>
        <v>8358.7199999999993</v>
      </c>
      <c r="AD164" s="4" t="s">
        <v>703</v>
      </c>
      <c r="AE164" s="4" t="s">
        <v>704</v>
      </c>
      <c r="AF164" s="4" t="s">
        <v>705</v>
      </c>
    </row>
    <row r="165" spans="1:35" ht="36" x14ac:dyDescent="0.3">
      <c r="A165" s="10" t="s">
        <v>706</v>
      </c>
      <c r="B165" s="10"/>
      <c r="C165" s="24" t="s">
        <v>473</v>
      </c>
      <c r="D165" s="15"/>
      <c r="E165" s="15" t="s">
        <v>707</v>
      </c>
      <c r="F165" s="25" t="s">
        <v>159</v>
      </c>
      <c r="G165" s="26">
        <v>0.25</v>
      </c>
      <c r="H165" s="26"/>
      <c r="I165" s="26">
        <v>25.515000000000001</v>
      </c>
      <c r="J165" s="27">
        <v>48.23</v>
      </c>
      <c r="M165" s="28">
        <f>ROUND(ROUND(J165, 2)*I165, 2)</f>
        <v>1230.5899999999999</v>
      </c>
      <c r="P165" s="27">
        <v>48.23</v>
      </c>
      <c r="S165" s="28">
        <f>ROUND(ROUND(P165, 2)*I165, 2)</f>
        <v>1230.5899999999999</v>
      </c>
      <c r="V165" s="9">
        <f>ROUND(ROUND(P165, 2)/1.2, 2)</f>
        <v>40.19</v>
      </c>
      <c r="Y165" s="9">
        <f t="shared" si="13"/>
        <v>1025.49</v>
      </c>
      <c r="AD165" s="4" t="s">
        <v>708</v>
      </c>
      <c r="AE165" s="4" t="s">
        <v>709</v>
      </c>
      <c r="AF165" s="4" t="s">
        <v>476</v>
      </c>
    </row>
    <row r="166" spans="1:35" ht="36" x14ac:dyDescent="0.3">
      <c r="A166" s="10" t="s">
        <v>710</v>
      </c>
      <c r="B166" s="10"/>
      <c r="C166" s="24" t="s">
        <v>169</v>
      </c>
      <c r="D166" s="15"/>
      <c r="E166" s="15"/>
      <c r="F166" s="25" t="s">
        <v>159</v>
      </c>
      <c r="G166" s="26">
        <v>0.15</v>
      </c>
      <c r="H166" s="26"/>
      <c r="I166" s="26">
        <v>15.308999999999999</v>
      </c>
      <c r="J166" s="27">
        <v>90.28</v>
      </c>
      <c r="M166" s="28">
        <f>ROUND(ROUND(J166, 2)*I166, 2)</f>
        <v>1382.1</v>
      </c>
      <c r="P166" s="27">
        <v>90.28</v>
      </c>
      <c r="S166" s="28">
        <f>ROUND(ROUND(P166, 2)*I166, 2)</f>
        <v>1382.1</v>
      </c>
      <c r="V166" s="9">
        <f>ROUND(ROUND(P166, 2)/1.2, 2)</f>
        <v>75.23</v>
      </c>
      <c r="Y166" s="9">
        <f t="shared" si="13"/>
        <v>1151.75</v>
      </c>
      <c r="AD166" s="4" t="s">
        <v>711</v>
      </c>
      <c r="AE166" s="4" t="s">
        <v>712</v>
      </c>
      <c r="AF166" s="4" t="s">
        <v>172</v>
      </c>
    </row>
    <row r="167" spans="1:35" ht="54" x14ac:dyDescent="0.3">
      <c r="A167" s="10" t="s">
        <v>713</v>
      </c>
      <c r="B167" s="10" t="s">
        <v>690</v>
      </c>
      <c r="C167" s="14" t="s">
        <v>691</v>
      </c>
      <c r="D167" s="15"/>
      <c r="E167" s="15" t="s">
        <v>714</v>
      </c>
      <c r="F167" s="15" t="s">
        <v>75</v>
      </c>
      <c r="G167" s="16">
        <v>1</v>
      </c>
      <c r="H167" s="16"/>
      <c r="I167" s="16">
        <v>60.24</v>
      </c>
      <c r="J167" s="17">
        <v>1572.08</v>
      </c>
      <c r="K167" s="18">
        <v>2310</v>
      </c>
      <c r="L167" s="17">
        <f>J167+ROUND(K167, 2)</f>
        <v>3882.08</v>
      </c>
      <c r="M167" s="17">
        <v>94702.1</v>
      </c>
      <c r="N167" s="17">
        <v>139154.4</v>
      </c>
      <c r="O167" s="17">
        <f>M167+N167</f>
        <v>233856.5</v>
      </c>
      <c r="P167" s="17">
        <v>1572.08</v>
      </c>
      <c r="Q167" s="18">
        <v>2310</v>
      </c>
      <c r="R167" s="17">
        <f>P167+ROUND(Q167, 2)</f>
        <v>3882.08</v>
      </c>
      <c r="S167" s="17">
        <v>94702.1</v>
      </c>
      <c r="T167" s="17">
        <v>139154.4</v>
      </c>
      <c r="U167" s="17">
        <f>S167+T167</f>
        <v>233856.5</v>
      </c>
      <c r="V167" s="9">
        <f>ROUND(P167 / 1.2, 2)</f>
        <v>1310.07</v>
      </c>
      <c r="W167" s="9">
        <f>ROUND(Q167 / 1.2, 2)</f>
        <v>1925</v>
      </c>
      <c r="X167" s="9">
        <f>ROUND(R167 / 1.2, 2)</f>
        <v>3235.07</v>
      </c>
      <c r="Y167" s="9">
        <f t="shared" si="13"/>
        <v>78918.42</v>
      </c>
      <c r="Z167" s="9">
        <f>ROUND(T167 / 1.2, 2)</f>
        <v>115962</v>
      </c>
      <c r="AA167" s="9">
        <f>Y167+Z167</f>
        <v>194880.41999999998</v>
      </c>
      <c r="AD167" s="4">
        <v>339118915</v>
      </c>
      <c r="AE167" s="4">
        <v>28970271</v>
      </c>
      <c r="AG167" s="4" t="s">
        <v>693</v>
      </c>
      <c r="AH167" s="4" t="s">
        <v>694</v>
      </c>
      <c r="AI167" s="4" t="s">
        <v>156</v>
      </c>
    </row>
    <row r="168" spans="1:35" ht="36" x14ac:dyDescent="0.3">
      <c r="A168" s="10" t="s">
        <v>715</v>
      </c>
      <c r="B168" s="10"/>
      <c r="C168" s="24" t="s">
        <v>169</v>
      </c>
      <c r="D168" s="15"/>
      <c r="E168" s="15"/>
      <c r="F168" s="25" t="s">
        <v>159</v>
      </c>
      <c r="G168" s="26">
        <v>0.15</v>
      </c>
      <c r="H168" s="26"/>
      <c r="I168" s="26">
        <v>9.0359999999999996</v>
      </c>
      <c r="J168" s="27">
        <v>90.28</v>
      </c>
      <c r="M168" s="28">
        <f>ROUND(ROUND(J168, 2)*I168, 2)</f>
        <v>815.77</v>
      </c>
      <c r="P168" s="27">
        <v>90.28</v>
      </c>
      <c r="S168" s="28">
        <f>ROUND(ROUND(P168, 2)*I168, 2)</f>
        <v>815.77</v>
      </c>
      <c r="V168" s="9">
        <f>ROUND(ROUND(P168, 2)/1.2, 2)</f>
        <v>75.23</v>
      </c>
      <c r="Y168" s="9">
        <f t="shared" si="13"/>
        <v>679.81</v>
      </c>
      <c r="AD168" s="4" t="s">
        <v>716</v>
      </c>
      <c r="AE168" s="4" t="s">
        <v>717</v>
      </c>
      <c r="AF168" s="4" t="s">
        <v>172</v>
      </c>
    </row>
    <row r="169" spans="1:35" ht="36" x14ac:dyDescent="0.3">
      <c r="A169" s="10" t="s">
        <v>718</v>
      </c>
      <c r="B169" s="10"/>
      <c r="C169" s="24" t="s">
        <v>473</v>
      </c>
      <c r="D169" s="15"/>
      <c r="E169" s="15" t="s">
        <v>707</v>
      </c>
      <c r="F169" s="25" t="s">
        <v>159</v>
      </c>
      <c r="G169" s="26">
        <v>0.25</v>
      </c>
      <c r="H169" s="26"/>
      <c r="I169" s="26">
        <v>15.06</v>
      </c>
      <c r="J169" s="27">
        <v>48.23</v>
      </c>
      <c r="M169" s="28">
        <f>ROUND(ROUND(J169, 2)*I169, 2)</f>
        <v>726.34</v>
      </c>
      <c r="P169" s="27">
        <v>48.23</v>
      </c>
      <c r="S169" s="28">
        <f>ROUND(ROUND(P169, 2)*I169, 2)</f>
        <v>726.34</v>
      </c>
      <c r="V169" s="9">
        <f>ROUND(ROUND(P169, 2)/1.2, 2)</f>
        <v>40.19</v>
      </c>
      <c r="Y169" s="9">
        <f t="shared" si="13"/>
        <v>605.28</v>
      </c>
      <c r="AD169" s="4" t="s">
        <v>719</v>
      </c>
      <c r="AE169" s="4" t="s">
        <v>720</v>
      </c>
      <c r="AF169" s="4" t="s">
        <v>476</v>
      </c>
    </row>
    <row r="170" spans="1:35" ht="36" x14ac:dyDescent="0.3">
      <c r="A170" s="10" t="s">
        <v>721</v>
      </c>
      <c r="B170" s="10"/>
      <c r="C170" s="30" t="s">
        <v>702</v>
      </c>
      <c r="D170" s="15"/>
      <c r="E170" s="15"/>
      <c r="F170" s="25" t="s">
        <v>159</v>
      </c>
      <c r="G170" s="26">
        <v>1.2</v>
      </c>
      <c r="H170" s="32"/>
      <c r="I170" s="32">
        <v>361.44</v>
      </c>
      <c r="J170" s="27">
        <v>16.38</v>
      </c>
      <c r="M170" s="28">
        <f>ROUND(ROUND(J170, 2)*I170, 2)</f>
        <v>5920.39</v>
      </c>
      <c r="P170" s="27">
        <v>16.38</v>
      </c>
      <c r="S170" s="28">
        <f>ROUND(ROUND(P170, 2)*I170, 2)</f>
        <v>5920.39</v>
      </c>
      <c r="V170" s="9">
        <f>ROUND(ROUND(P170, 2)/1.2, 2)</f>
        <v>13.65</v>
      </c>
      <c r="Y170" s="9">
        <f t="shared" si="13"/>
        <v>4933.66</v>
      </c>
      <c r="AD170" s="4" t="s">
        <v>722</v>
      </c>
      <c r="AE170" s="4" t="s">
        <v>723</v>
      </c>
      <c r="AF170" s="4" t="s">
        <v>705</v>
      </c>
    </row>
    <row r="171" spans="1:35" ht="126" x14ac:dyDescent="0.3">
      <c r="A171" s="10" t="s">
        <v>724</v>
      </c>
      <c r="B171" s="10"/>
      <c r="C171" s="24" t="s">
        <v>725</v>
      </c>
      <c r="D171" s="15"/>
      <c r="E171" s="15" t="s">
        <v>726</v>
      </c>
      <c r="F171" s="25" t="s">
        <v>240</v>
      </c>
      <c r="G171" s="26">
        <v>4</v>
      </c>
      <c r="H171" s="26"/>
      <c r="I171" s="26">
        <v>240.96</v>
      </c>
      <c r="J171" s="27">
        <v>362.05</v>
      </c>
      <c r="M171" s="28">
        <f>ROUND(ROUND(J171, 2)*I171, 2)</f>
        <v>87239.57</v>
      </c>
      <c r="P171" s="27">
        <v>362.05</v>
      </c>
      <c r="S171" s="28">
        <f>ROUND(ROUND(P171, 2)*I171, 2)</f>
        <v>87239.57</v>
      </c>
      <c r="V171" s="9">
        <f>ROUND(ROUND(P171, 2)/1.2, 2)</f>
        <v>301.70999999999998</v>
      </c>
      <c r="Y171" s="9">
        <f t="shared" si="13"/>
        <v>72699.64</v>
      </c>
      <c r="AD171" s="4" t="s">
        <v>727</v>
      </c>
      <c r="AE171" s="4" t="s">
        <v>728</v>
      </c>
      <c r="AF171" s="4" t="s">
        <v>729</v>
      </c>
    </row>
    <row r="172" spans="1:35" ht="54" x14ac:dyDescent="0.3">
      <c r="A172" s="10" t="s">
        <v>730</v>
      </c>
      <c r="B172" s="10" t="s">
        <v>731</v>
      </c>
      <c r="C172" s="14" t="s">
        <v>732</v>
      </c>
      <c r="D172" s="15"/>
      <c r="E172" s="15" t="s">
        <v>733</v>
      </c>
      <c r="F172" s="15" t="s">
        <v>120</v>
      </c>
      <c r="G172" s="16">
        <v>1</v>
      </c>
      <c r="H172" s="16"/>
      <c r="I172" s="16">
        <v>342.38</v>
      </c>
      <c r="J172" s="17">
        <v>858.32</v>
      </c>
      <c r="K172" s="18">
        <v>472.99</v>
      </c>
      <c r="L172" s="17">
        <f>J172+ROUND(K172, 2)</f>
        <v>1331.31</v>
      </c>
      <c r="M172" s="17">
        <v>293871.59999999998</v>
      </c>
      <c r="N172" s="17">
        <v>161942.32</v>
      </c>
      <c r="O172" s="17">
        <f>M172+N172</f>
        <v>455813.92</v>
      </c>
      <c r="P172" s="17">
        <v>858.32</v>
      </c>
      <c r="Q172" s="18">
        <v>472.99</v>
      </c>
      <c r="R172" s="17">
        <f>P172+ROUND(Q172, 2)</f>
        <v>1331.31</v>
      </c>
      <c r="S172" s="17">
        <v>293871.59999999998</v>
      </c>
      <c r="T172" s="17">
        <v>161942.32</v>
      </c>
      <c r="U172" s="17">
        <f>S172+T172</f>
        <v>455813.92</v>
      </c>
      <c r="V172" s="9">
        <f>ROUND(P172 / 1.2, 2)</f>
        <v>715.27</v>
      </c>
      <c r="W172" s="9">
        <f>ROUND(Q172 / 1.2, 2)</f>
        <v>394.16</v>
      </c>
      <c r="X172" s="9">
        <f>ROUND(R172 / 1.2, 2)</f>
        <v>1109.43</v>
      </c>
      <c r="Y172" s="9">
        <f t="shared" si="13"/>
        <v>244893</v>
      </c>
      <c r="Z172" s="9">
        <f>ROUND(T172 / 1.2, 2)</f>
        <v>134951.93</v>
      </c>
      <c r="AA172" s="9">
        <f>Y172+Z172</f>
        <v>379844.93</v>
      </c>
      <c r="AD172" s="4">
        <v>339118832</v>
      </c>
      <c r="AE172" s="4">
        <v>28970272</v>
      </c>
      <c r="AG172" s="4" t="s">
        <v>734</v>
      </c>
      <c r="AH172" s="4" t="s">
        <v>735</v>
      </c>
      <c r="AI172" s="4" t="s">
        <v>156</v>
      </c>
    </row>
    <row r="173" spans="1:35" ht="36" x14ac:dyDescent="0.3">
      <c r="A173" s="10" t="s">
        <v>736</v>
      </c>
      <c r="B173" s="10"/>
      <c r="C173" s="30" t="s">
        <v>494</v>
      </c>
      <c r="D173" s="15"/>
      <c r="E173" s="15"/>
      <c r="F173" s="25" t="s">
        <v>159</v>
      </c>
      <c r="G173" s="26">
        <v>0.7</v>
      </c>
      <c r="H173" s="32"/>
      <c r="I173" s="32">
        <v>239.666</v>
      </c>
      <c r="J173" s="27">
        <v>16.38</v>
      </c>
      <c r="M173" s="28">
        <f>ROUND(ROUND(J173, 2)*I173, 2)</f>
        <v>3925.73</v>
      </c>
      <c r="P173" s="27">
        <v>16.38</v>
      </c>
      <c r="S173" s="28">
        <f>ROUND(ROUND(P173, 2)*I173, 2)</f>
        <v>3925.73</v>
      </c>
      <c r="V173" s="9">
        <f>ROUND(ROUND(P173, 2)/1.2, 2)</f>
        <v>13.65</v>
      </c>
      <c r="Y173" s="9">
        <f t="shared" si="13"/>
        <v>3271.44</v>
      </c>
      <c r="AD173" s="4" t="s">
        <v>737</v>
      </c>
      <c r="AE173" s="4" t="s">
        <v>738</v>
      </c>
      <c r="AF173" s="4" t="s">
        <v>498</v>
      </c>
    </row>
    <row r="174" spans="1:35" ht="36" x14ac:dyDescent="0.3">
      <c r="A174" s="10" t="s">
        <v>739</v>
      </c>
      <c r="B174" s="10"/>
      <c r="C174" s="24" t="s">
        <v>740</v>
      </c>
      <c r="D174" s="15"/>
      <c r="E174" s="15"/>
      <c r="F174" s="25" t="s">
        <v>240</v>
      </c>
      <c r="G174" s="26">
        <v>1.84</v>
      </c>
      <c r="H174" s="32"/>
      <c r="I174" s="32">
        <v>629.97900000000004</v>
      </c>
      <c r="J174" s="27">
        <v>458.46</v>
      </c>
      <c r="M174" s="28">
        <f>ROUND(ROUND(J174, 2)*I174, 2)</f>
        <v>288820.17</v>
      </c>
      <c r="P174" s="27">
        <v>458.46</v>
      </c>
      <c r="S174" s="28">
        <f>ROUND(ROUND(P174, 2)*I174, 2)</f>
        <v>288820.17</v>
      </c>
      <c r="V174" s="9">
        <f>ROUND(ROUND(P174, 2)/1.2, 2)</f>
        <v>382.05</v>
      </c>
      <c r="Y174" s="9">
        <f t="shared" si="13"/>
        <v>240683.48</v>
      </c>
      <c r="AD174" s="4" t="s">
        <v>741</v>
      </c>
      <c r="AE174" s="4" t="s">
        <v>742</v>
      </c>
      <c r="AF174" s="4" t="s">
        <v>743</v>
      </c>
    </row>
    <row r="175" spans="1:35" ht="36" x14ac:dyDescent="0.3">
      <c r="A175" s="10" t="s">
        <v>744</v>
      </c>
      <c r="B175" s="10"/>
      <c r="C175" s="24" t="s">
        <v>473</v>
      </c>
      <c r="D175" s="15"/>
      <c r="E175" s="15" t="s">
        <v>707</v>
      </c>
      <c r="F175" s="25" t="s">
        <v>159</v>
      </c>
      <c r="G175" s="26">
        <v>0.04</v>
      </c>
      <c r="H175" s="26"/>
      <c r="I175" s="26">
        <v>13.695</v>
      </c>
      <c r="J175" s="27">
        <v>48.23</v>
      </c>
      <c r="M175" s="28">
        <f>ROUND(ROUND(J175, 2)*I175, 2)</f>
        <v>660.51</v>
      </c>
      <c r="P175" s="27">
        <v>48.23</v>
      </c>
      <c r="S175" s="28">
        <f>ROUND(ROUND(P175, 2)*I175, 2)</f>
        <v>660.51</v>
      </c>
      <c r="V175" s="9">
        <f>ROUND(ROUND(P175, 2)/1.2, 2)</f>
        <v>40.19</v>
      </c>
      <c r="Y175" s="9">
        <f t="shared" si="13"/>
        <v>550.42999999999995</v>
      </c>
      <c r="AD175" s="4" t="s">
        <v>745</v>
      </c>
      <c r="AE175" s="4" t="s">
        <v>746</v>
      </c>
      <c r="AF175" s="4" t="s">
        <v>476</v>
      </c>
    </row>
    <row r="176" spans="1:35" ht="36" x14ac:dyDescent="0.3">
      <c r="A176" s="10" t="s">
        <v>747</v>
      </c>
      <c r="B176" s="10"/>
      <c r="C176" s="24" t="s">
        <v>480</v>
      </c>
      <c r="D176" s="15"/>
      <c r="E176" s="15"/>
      <c r="F176" s="25" t="s">
        <v>159</v>
      </c>
      <c r="G176" s="26">
        <v>1.4999999999999999E-2</v>
      </c>
      <c r="H176" s="26"/>
      <c r="I176" s="26">
        <v>5.1360000000000001</v>
      </c>
      <c r="J176" s="27">
        <v>90.28</v>
      </c>
      <c r="M176" s="28">
        <f>ROUND(ROUND(J176, 2)*I176, 2)</f>
        <v>463.68</v>
      </c>
      <c r="P176" s="27">
        <v>90.28</v>
      </c>
      <c r="S176" s="28">
        <f>ROUND(ROUND(P176, 2)*I176, 2)</f>
        <v>463.68</v>
      </c>
      <c r="V176" s="9">
        <f>ROUND(ROUND(P176, 2)/1.2, 2)</f>
        <v>75.23</v>
      </c>
      <c r="Y176" s="9">
        <f t="shared" si="13"/>
        <v>386.4</v>
      </c>
      <c r="AD176" s="4" t="s">
        <v>748</v>
      </c>
      <c r="AE176" s="4" t="s">
        <v>749</v>
      </c>
      <c r="AF176" s="4" t="s">
        <v>483</v>
      </c>
    </row>
    <row r="177" spans="1:35" ht="54" x14ac:dyDescent="0.3">
      <c r="A177" s="10" t="s">
        <v>750</v>
      </c>
      <c r="B177" s="10" t="s">
        <v>751</v>
      </c>
      <c r="C177" s="14" t="s">
        <v>752</v>
      </c>
      <c r="D177" s="15"/>
      <c r="E177" s="15" t="s">
        <v>753</v>
      </c>
      <c r="F177" s="15" t="s">
        <v>75</v>
      </c>
      <c r="G177" s="16">
        <v>1</v>
      </c>
      <c r="H177" s="16"/>
      <c r="I177" s="16">
        <v>80.900000000000006</v>
      </c>
      <c r="J177" s="17">
        <v>626.96</v>
      </c>
      <c r="K177" s="18">
        <v>1655</v>
      </c>
      <c r="L177" s="17">
        <f>J177+ROUND(K177, 2)</f>
        <v>2281.96</v>
      </c>
      <c r="M177" s="17">
        <v>50721.06</v>
      </c>
      <c r="N177" s="17">
        <v>133889.5</v>
      </c>
      <c r="O177" s="17">
        <f>M177+N177</f>
        <v>184610.56</v>
      </c>
      <c r="P177" s="17">
        <v>701.3</v>
      </c>
      <c r="Q177" s="18">
        <v>1439</v>
      </c>
      <c r="R177" s="17">
        <f>P177+ROUND(Q177, 2)</f>
        <v>2140.3000000000002</v>
      </c>
      <c r="S177" s="17">
        <v>56735.17</v>
      </c>
      <c r="T177" s="17">
        <v>116415.1</v>
      </c>
      <c r="U177" s="17">
        <f>S177+T177</f>
        <v>173150.27000000002</v>
      </c>
      <c r="V177" s="9">
        <f>ROUND(P177 / 1.2, 2)</f>
        <v>584.41999999999996</v>
      </c>
      <c r="W177" s="9">
        <f>ROUND(Q177 / 1.2, 2)</f>
        <v>1199.17</v>
      </c>
      <c r="X177" s="9">
        <f>ROUND(R177 / 1.2, 2)</f>
        <v>1783.58</v>
      </c>
      <c r="Y177" s="9">
        <f t="shared" si="13"/>
        <v>47279.31</v>
      </c>
      <c r="Z177" s="9">
        <f>ROUND(T177 / 1.2, 2)</f>
        <v>97012.58</v>
      </c>
      <c r="AA177" s="9">
        <f>Y177+Z177</f>
        <v>144291.89000000001</v>
      </c>
      <c r="AD177" s="4">
        <v>339118834</v>
      </c>
      <c r="AE177" s="4">
        <v>29092268</v>
      </c>
      <c r="AG177" s="4" t="s">
        <v>754</v>
      </c>
      <c r="AH177" s="4" t="s">
        <v>755</v>
      </c>
      <c r="AI177" s="4" t="s">
        <v>156</v>
      </c>
    </row>
    <row r="178" spans="1:35" ht="36" x14ac:dyDescent="0.3">
      <c r="A178" s="10" t="s">
        <v>756</v>
      </c>
      <c r="B178" s="10"/>
      <c r="C178" s="30" t="s">
        <v>458</v>
      </c>
      <c r="D178" s="15"/>
      <c r="E178" s="15" t="s">
        <v>757</v>
      </c>
      <c r="F178" s="25" t="s">
        <v>159</v>
      </c>
      <c r="G178" s="26">
        <v>7</v>
      </c>
      <c r="H178" s="26"/>
      <c r="I178" s="26">
        <v>566.29999999999995</v>
      </c>
      <c r="J178" s="27">
        <v>16.38</v>
      </c>
      <c r="M178" s="28">
        <f>ROUND(ROUND(J178, 2)*I178, 2)</f>
        <v>9275.99</v>
      </c>
      <c r="P178" s="27">
        <v>27</v>
      </c>
      <c r="S178" s="28">
        <f>ROUND(ROUND(P178, 2)*I178, 2)</f>
        <v>15290.1</v>
      </c>
      <c r="V178" s="9">
        <f>ROUND(ROUND(P178, 2)/1.2, 2)</f>
        <v>22.5</v>
      </c>
      <c r="Y178" s="9">
        <f t="shared" si="13"/>
        <v>12741.75</v>
      </c>
      <c r="AD178" s="4" t="s">
        <v>758</v>
      </c>
      <c r="AE178" s="4" t="s">
        <v>759</v>
      </c>
      <c r="AF178" s="4" t="s">
        <v>462</v>
      </c>
    </row>
    <row r="179" spans="1:35" ht="36" x14ac:dyDescent="0.3">
      <c r="A179" s="10" t="s">
        <v>760</v>
      </c>
      <c r="B179" s="10"/>
      <c r="C179" s="24" t="s">
        <v>480</v>
      </c>
      <c r="D179" s="15"/>
      <c r="E179" s="15"/>
      <c r="F179" s="25" t="s">
        <v>159</v>
      </c>
      <c r="G179" s="26">
        <v>0.15</v>
      </c>
      <c r="H179" s="26"/>
      <c r="I179" s="26">
        <v>12.135</v>
      </c>
      <c r="J179" s="27">
        <v>90.28</v>
      </c>
      <c r="M179" s="28">
        <f>ROUND(ROUND(J179, 2)*I179, 2)</f>
        <v>1095.55</v>
      </c>
      <c r="P179" s="27">
        <v>90.28</v>
      </c>
      <c r="S179" s="28">
        <f>ROUND(ROUND(P179, 2)*I179, 2)</f>
        <v>1095.55</v>
      </c>
      <c r="V179" s="9">
        <f>ROUND(ROUND(P179, 2)/1.2, 2)</f>
        <v>75.23</v>
      </c>
      <c r="Y179" s="9">
        <f t="shared" ref="Y179:Y196" si="14">ROUND(S179 / 1.2, 2)</f>
        <v>912.96</v>
      </c>
      <c r="AD179" s="4" t="s">
        <v>761</v>
      </c>
      <c r="AE179" s="4" t="s">
        <v>762</v>
      </c>
      <c r="AF179" s="4" t="s">
        <v>483</v>
      </c>
    </row>
    <row r="180" spans="1:35" ht="36" x14ac:dyDescent="0.3">
      <c r="A180" s="10" t="s">
        <v>763</v>
      </c>
      <c r="B180" s="10"/>
      <c r="C180" s="30" t="s">
        <v>466</v>
      </c>
      <c r="D180" s="15"/>
      <c r="E180" s="15"/>
      <c r="F180" s="25" t="s">
        <v>75</v>
      </c>
      <c r="G180" s="26">
        <v>1.07</v>
      </c>
      <c r="H180" s="32"/>
      <c r="I180" s="32">
        <v>86.563000000000002</v>
      </c>
      <c r="J180" s="27">
        <v>454.86</v>
      </c>
      <c r="M180" s="28">
        <f>ROUND(ROUND(J180, 2)*I180, 2)</f>
        <v>39374.050000000003</v>
      </c>
      <c r="P180" s="27">
        <v>454.86</v>
      </c>
      <c r="S180" s="28">
        <f>ROUND(ROUND(P180, 2)*I180, 2)</f>
        <v>39374.050000000003</v>
      </c>
      <c r="V180" s="9">
        <f>ROUND(ROUND(P180, 2)/1.2, 2)</f>
        <v>379.05</v>
      </c>
      <c r="Y180" s="9">
        <f t="shared" si="14"/>
        <v>32811.71</v>
      </c>
      <c r="AD180" s="4" t="s">
        <v>764</v>
      </c>
      <c r="AE180" s="4" t="s">
        <v>765</v>
      </c>
      <c r="AF180" s="4" t="s">
        <v>469</v>
      </c>
    </row>
    <row r="181" spans="1:35" ht="18" x14ac:dyDescent="0.3">
      <c r="A181" s="10" t="s">
        <v>766</v>
      </c>
      <c r="B181" s="10"/>
      <c r="C181" s="24" t="s">
        <v>473</v>
      </c>
      <c r="D181" s="15"/>
      <c r="E181" s="15"/>
      <c r="F181" s="25" t="s">
        <v>159</v>
      </c>
      <c r="G181" s="26">
        <v>0.25</v>
      </c>
      <c r="H181" s="32"/>
      <c r="I181" s="32">
        <v>20.225000000000001</v>
      </c>
      <c r="J181" s="27">
        <v>48.23</v>
      </c>
      <c r="M181" s="28">
        <f>ROUND(ROUND(J181, 2)*I181, 2)</f>
        <v>975.45</v>
      </c>
      <c r="P181" s="27">
        <v>48.23</v>
      </c>
      <c r="S181" s="28">
        <f>ROUND(ROUND(P181, 2)*I181, 2)</f>
        <v>975.45</v>
      </c>
      <c r="V181" s="9">
        <f>ROUND(ROUND(P181, 2)/1.2, 2)</f>
        <v>40.19</v>
      </c>
      <c r="Y181" s="9">
        <f t="shared" si="14"/>
        <v>812.88</v>
      </c>
      <c r="AD181" s="4" t="s">
        <v>767</v>
      </c>
      <c r="AE181" s="4" t="s">
        <v>768</v>
      </c>
      <c r="AF181" s="4" t="s">
        <v>476</v>
      </c>
    </row>
    <row r="182" spans="1:35" ht="54" x14ac:dyDescent="0.3">
      <c r="A182" s="10" t="s">
        <v>769</v>
      </c>
      <c r="B182" s="10" t="s">
        <v>770</v>
      </c>
      <c r="C182" s="14" t="s">
        <v>771</v>
      </c>
      <c r="D182" s="15"/>
      <c r="E182" s="15" t="s">
        <v>772</v>
      </c>
      <c r="F182" s="15" t="s">
        <v>75</v>
      </c>
      <c r="G182" s="16">
        <v>1</v>
      </c>
      <c r="H182" s="16"/>
      <c r="I182" s="16">
        <v>116.53</v>
      </c>
      <c r="J182" s="17">
        <v>2329.23</v>
      </c>
      <c r="K182" s="18">
        <v>2785</v>
      </c>
      <c r="L182" s="17">
        <f>J182+ROUND(K182, 2)</f>
        <v>5114.2299999999996</v>
      </c>
      <c r="M182" s="17">
        <v>271425.17</v>
      </c>
      <c r="N182" s="17">
        <v>324536.05</v>
      </c>
      <c r="O182" s="17">
        <f>M182+N182</f>
        <v>595961.22</v>
      </c>
      <c r="P182" s="17">
        <v>2392.9499999999998</v>
      </c>
      <c r="Q182" s="18">
        <v>2422</v>
      </c>
      <c r="R182" s="17">
        <f>P182+ROUND(Q182, 2)</f>
        <v>4814.95</v>
      </c>
      <c r="S182" s="17">
        <v>278850.46000000002</v>
      </c>
      <c r="T182" s="17">
        <v>282235.65999999997</v>
      </c>
      <c r="U182" s="17">
        <f>S182+T182</f>
        <v>561086.12</v>
      </c>
      <c r="V182" s="9">
        <f>ROUND(P182 / 1.2, 2)</f>
        <v>1994.13</v>
      </c>
      <c r="W182" s="9">
        <f>ROUND(Q182 / 1.2, 2)</f>
        <v>2018.33</v>
      </c>
      <c r="X182" s="9">
        <f>ROUND(R182 / 1.2, 2)</f>
        <v>4012.46</v>
      </c>
      <c r="Y182" s="9">
        <f t="shared" si="14"/>
        <v>232375.38</v>
      </c>
      <c r="Z182" s="9">
        <f>ROUND(T182 / 1.2, 2)</f>
        <v>235196.38</v>
      </c>
      <c r="AA182" s="9">
        <f>Y182+Z182</f>
        <v>467571.76</v>
      </c>
      <c r="AD182" s="4">
        <v>339118835</v>
      </c>
      <c r="AE182" s="4">
        <v>28951154</v>
      </c>
      <c r="AG182" s="4" t="s">
        <v>773</v>
      </c>
      <c r="AH182" s="4" t="s">
        <v>774</v>
      </c>
      <c r="AI182" s="4" t="s">
        <v>156</v>
      </c>
    </row>
    <row r="183" spans="1:35" ht="36" x14ac:dyDescent="0.3">
      <c r="A183" s="10" t="s">
        <v>775</v>
      </c>
      <c r="B183" s="10"/>
      <c r="C183" s="30" t="s">
        <v>776</v>
      </c>
      <c r="D183" s="15"/>
      <c r="E183" s="15" t="s">
        <v>620</v>
      </c>
      <c r="F183" s="25" t="s">
        <v>159</v>
      </c>
      <c r="G183" s="26">
        <v>1.2</v>
      </c>
      <c r="H183" s="32"/>
      <c r="I183" s="32">
        <v>699.18</v>
      </c>
      <c r="J183" s="27">
        <v>16.38</v>
      </c>
      <c r="M183" s="28">
        <f>ROUND(ROUND(J183, 2)*I183, 2)</f>
        <v>11452.57</v>
      </c>
      <c r="P183" s="27">
        <v>27</v>
      </c>
      <c r="S183" s="28">
        <f>ROUND(ROUND(P183, 2)*I183, 2)</f>
        <v>18877.86</v>
      </c>
      <c r="V183" s="9">
        <f>ROUND(ROUND(P183, 2)/1.2, 2)</f>
        <v>22.5</v>
      </c>
      <c r="Y183" s="9">
        <f t="shared" si="14"/>
        <v>15731.55</v>
      </c>
      <c r="AD183" s="4" t="s">
        <v>777</v>
      </c>
      <c r="AE183" s="4" t="s">
        <v>778</v>
      </c>
      <c r="AF183" s="4" t="s">
        <v>779</v>
      </c>
    </row>
    <row r="184" spans="1:35" ht="36" x14ac:dyDescent="0.3">
      <c r="A184" s="10" t="s">
        <v>780</v>
      </c>
      <c r="B184" s="10"/>
      <c r="C184" s="24" t="s">
        <v>480</v>
      </c>
      <c r="D184" s="15"/>
      <c r="E184" s="15"/>
      <c r="F184" s="25" t="s">
        <v>159</v>
      </c>
      <c r="G184" s="26">
        <v>0.15</v>
      </c>
      <c r="H184" s="26"/>
      <c r="I184" s="26">
        <v>17.48</v>
      </c>
      <c r="J184" s="27">
        <v>90.28</v>
      </c>
      <c r="M184" s="28">
        <f>ROUND(ROUND(J184, 2)*I184, 2)</f>
        <v>1578.09</v>
      </c>
      <c r="P184" s="27">
        <v>90.28</v>
      </c>
      <c r="S184" s="28">
        <f>ROUND(ROUND(P184, 2)*I184, 2)</f>
        <v>1578.09</v>
      </c>
      <c r="V184" s="9">
        <f>ROUND(ROUND(P184, 2)/1.2, 2)</f>
        <v>75.23</v>
      </c>
      <c r="Y184" s="9">
        <f t="shared" si="14"/>
        <v>1315.08</v>
      </c>
      <c r="AD184" s="4" t="s">
        <v>781</v>
      </c>
      <c r="AE184" s="4" t="s">
        <v>782</v>
      </c>
      <c r="AF184" s="4" t="s">
        <v>483</v>
      </c>
    </row>
    <row r="185" spans="1:35" ht="108" x14ac:dyDescent="0.3">
      <c r="A185" s="10" t="s">
        <v>783</v>
      </c>
      <c r="B185" s="10"/>
      <c r="C185" s="24" t="s">
        <v>784</v>
      </c>
      <c r="D185" s="15"/>
      <c r="E185" s="15" t="s">
        <v>785</v>
      </c>
      <c r="F185" s="25" t="s">
        <v>75</v>
      </c>
      <c r="G185" s="26">
        <v>1.2</v>
      </c>
      <c r="H185" s="32"/>
      <c r="I185" s="32">
        <v>139.83600000000001</v>
      </c>
      <c r="J185" s="27">
        <v>1839.31</v>
      </c>
      <c r="M185" s="28">
        <f>ROUND(ROUND(J185, 2)*I185, 2)</f>
        <v>257201.75</v>
      </c>
      <c r="P185" s="27">
        <v>1839.31</v>
      </c>
      <c r="S185" s="28">
        <f>ROUND(ROUND(P185, 2)*I185, 2)</f>
        <v>257201.75</v>
      </c>
      <c r="V185" s="9">
        <f>ROUND(ROUND(P185, 2)/1.2, 2)</f>
        <v>1532.76</v>
      </c>
      <c r="Y185" s="9">
        <f t="shared" si="14"/>
        <v>214334.79</v>
      </c>
      <c r="AD185" s="4" t="s">
        <v>786</v>
      </c>
      <c r="AE185" s="4" t="s">
        <v>787</v>
      </c>
      <c r="AF185" s="4" t="s">
        <v>788</v>
      </c>
    </row>
    <row r="186" spans="1:35" ht="36" x14ac:dyDescent="0.3">
      <c r="A186" s="10" t="s">
        <v>789</v>
      </c>
      <c r="B186" s="10"/>
      <c r="C186" s="24" t="s">
        <v>510</v>
      </c>
      <c r="D186" s="15"/>
      <c r="E186" s="15"/>
      <c r="F186" s="25" t="s">
        <v>159</v>
      </c>
      <c r="G186" s="26">
        <v>0.25</v>
      </c>
      <c r="H186" s="32"/>
      <c r="I186" s="32">
        <v>29.132999999999999</v>
      </c>
      <c r="J186" s="27">
        <v>40.94</v>
      </c>
      <c r="M186" s="28">
        <f>ROUND(ROUND(J186, 2)*I186, 2)</f>
        <v>1192.71</v>
      </c>
      <c r="P186" s="27">
        <v>40.94</v>
      </c>
      <c r="S186" s="28">
        <f>ROUND(ROUND(P186, 2)*I186, 2)</f>
        <v>1192.71</v>
      </c>
      <c r="V186" s="9">
        <f>ROUND(ROUND(P186, 2)/1.2, 2)</f>
        <v>34.119999999999997</v>
      </c>
      <c r="Y186" s="9">
        <f t="shared" si="14"/>
        <v>993.93</v>
      </c>
      <c r="AD186" s="4" t="s">
        <v>790</v>
      </c>
      <c r="AE186" s="4" t="s">
        <v>791</v>
      </c>
      <c r="AF186" s="4" t="s">
        <v>513</v>
      </c>
    </row>
    <row r="187" spans="1:35" ht="54" x14ac:dyDescent="0.3">
      <c r="A187" s="10" t="s">
        <v>792</v>
      </c>
      <c r="B187" s="10" t="s">
        <v>770</v>
      </c>
      <c r="C187" s="14" t="s">
        <v>771</v>
      </c>
      <c r="D187" s="15"/>
      <c r="E187" s="15" t="s">
        <v>793</v>
      </c>
      <c r="F187" s="15" t="s">
        <v>75</v>
      </c>
      <c r="G187" s="16">
        <v>1</v>
      </c>
      <c r="H187" s="16"/>
      <c r="I187" s="16">
        <v>315</v>
      </c>
      <c r="J187" s="17">
        <v>2329.23</v>
      </c>
      <c r="K187" s="18">
        <v>2785</v>
      </c>
      <c r="L187" s="17">
        <f>J187+ROUND(K187, 2)</f>
        <v>5114.2299999999996</v>
      </c>
      <c r="M187" s="17">
        <v>733707.45</v>
      </c>
      <c r="N187" s="17">
        <v>877275</v>
      </c>
      <c r="O187" s="17">
        <f>M187+N187</f>
        <v>1610982.45</v>
      </c>
      <c r="P187" s="17">
        <v>2392.9499999999998</v>
      </c>
      <c r="Q187" s="18">
        <v>2422</v>
      </c>
      <c r="R187" s="17">
        <f>P187+ROUND(Q187, 2)</f>
        <v>4814.95</v>
      </c>
      <c r="S187" s="17">
        <v>753779.25</v>
      </c>
      <c r="T187" s="17">
        <v>762930</v>
      </c>
      <c r="U187" s="17">
        <f>S187+T187</f>
        <v>1516709.25</v>
      </c>
      <c r="V187" s="9">
        <f>ROUND(P187 / 1.2, 2)</f>
        <v>1994.13</v>
      </c>
      <c r="W187" s="9">
        <f>ROUND(Q187 / 1.2, 2)</f>
        <v>2018.33</v>
      </c>
      <c r="X187" s="9">
        <f>ROUND(R187 / 1.2, 2)</f>
        <v>4012.46</v>
      </c>
      <c r="Y187" s="9">
        <f t="shared" si="14"/>
        <v>628149.38</v>
      </c>
      <c r="Z187" s="9">
        <f>ROUND(T187 / 1.2, 2)</f>
        <v>635775</v>
      </c>
      <c r="AA187" s="9">
        <f>Y187+Z187</f>
        <v>1263924.3799999999</v>
      </c>
      <c r="AD187" s="4">
        <v>339118916</v>
      </c>
      <c r="AE187" s="4">
        <v>28975339</v>
      </c>
      <c r="AG187" s="4" t="s">
        <v>773</v>
      </c>
      <c r="AH187" s="4" t="s">
        <v>774</v>
      </c>
      <c r="AI187" s="4" t="s">
        <v>156</v>
      </c>
    </row>
    <row r="188" spans="1:35" ht="36" x14ac:dyDescent="0.3">
      <c r="A188" s="10" t="s">
        <v>794</v>
      </c>
      <c r="B188" s="10"/>
      <c r="C188" s="24" t="s">
        <v>510</v>
      </c>
      <c r="D188" s="15"/>
      <c r="E188" s="15"/>
      <c r="F188" s="25" t="s">
        <v>159</v>
      </c>
      <c r="G188" s="26">
        <v>0.25</v>
      </c>
      <c r="H188" s="32"/>
      <c r="I188" s="32">
        <v>78.75</v>
      </c>
      <c r="J188" s="27">
        <v>40.94</v>
      </c>
      <c r="M188" s="28">
        <f>ROUND(ROUND(J188, 2)*I188, 2)</f>
        <v>3224.03</v>
      </c>
      <c r="P188" s="27">
        <v>40.94</v>
      </c>
      <c r="S188" s="28">
        <f>ROUND(ROUND(P188, 2)*I188, 2)</f>
        <v>3224.03</v>
      </c>
      <c r="V188" s="9">
        <f>ROUND(ROUND(P188, 2)/1.2, 2)</f>
        <v>34.119999999999997</v>
      </c>
      <c r="Y188" s="9">
        <f t="shared" si="14"/>
        <v>2686.69</v>
      </c>
      <c r="AD188" s="4" t="s">
        <v>795</v>
      </c>
      <c r="AE188" s="4" t="s">
        <v>796</v>
      </c>
      <c r="AF188" s="4" t="s">
        <v>513</v>
      </c>
    </row>
    <row r="189" spans="1:35" ht="90" x14ac:dyDescent="0.3">
      <c r="A189" s="10" t="s">
        <v>797</v>
      </c>
      <c r="B189" s="10"/>
      <c r="C189" s="24" t="s">
        <v>784</v>
      </c>
      <c r="D189" s="15"/>
      <c r="E189" s="15" t="s">
        <v>798</v>
      </c>
      <c r="F189" s="25" t="s">
        <v>75</v>
      </c>
      <c r="G189" s="26">
        <v>1.2</v>
      </c>
      <c r="H189" s="32"/>
      <c r="I189" s="32">
        <v>378</v>
      </c>
      <c r="J189" s="27">
        <v>1839.31</v>
      </c>
      <c r="M189" s="28">
        <f>ROUND(ROUND(J189, 2)*I189, 2)</f>
        <v>695259.18</v>
      </c>
      <c r="P189" s="27">
        <v>1839.31</v>
      </c>
      <c r="S189" s="28">
        <f>ROUND(ROUND(P189, 2)*I189, 2)</f>
        <v>695259.18</v>
      </c>
      <c r="V189" s="9">
        <f>ROUND(ROUND(P189, 2)/1.2, 2)</f>
        <v>1532.76</v>
      </c>
      <c r="Y189" s="9">
        <f t="shared" si="14"/>
        <v>579382.65</v>
      </c>
      <c r="AD189" s="4" t="s">
        <v>799</v>
      </c>
      <c r="AE189" s="4" t="s">
        <v>800</v>
      </c>
      <c r="AF189" s="4" t="s">
        <v>788</v>
      </c>
    </row>
    <row r="190" spans="1:35" ht="36" x14ac:dyDescent="0.3">
      <c r="A190" s="10" t="s">
        <v>801</v>
      </c>
      <c r="B190" s="10"/>
      <c r="C190" s="24" t="s">
        <v>480</v>
      </c>
      <c r="D190" s="15"/>
      <c r="E190" s="15"/>
      <c r="F190" s="25" t="s">
        <v>159</v>
      </c>
      <c r="G190" s="26">
        <v>0.15</v>
      </c>
      <c r="H190" s="26"/>
      <c r="I190" s="26">
        <v>47.25</v>
      </c>
      <c r="J190" s="27">
        <v>90.28</v>
      </c>
      <c r="M190" s="28">
        <f>ROUND(ROUND(J190, 2)*I190, 2)</f>
        <v>4265.7299999999996</v>
      </c>
      <c r="P190" s="27">
        <v>90.28</v>
      </c>
      <c r="S190" s="28">
        <f>ROUND(ROUND(P190, 2)*I190, 2)</f>
        <v>4265.7299999999996</v>
      </c>
      <c r="V190" s="9">
        <f>ROUND(ROUND(P190, 2)/1.2, 2)</f>
        <v>75.23</v>
      </c>
      <c r="Y190" s="9">
        <f t="shared" si="14"/>
        <v>3554.78</v>
      </c>
      <c r="AD190" s="4" t="s">
        <v>802</v>
      </c>
      <c r="AE190" s="4" t="s">
        <v>803</v>
      </c>
      <c r="AF190" s="4" t="s">
        <v>483</v>
      </c>
    </row>
    <row r="191" spans="1:35" ht="36" x14ac:dyDescent="0.3">
      <c r="A191" s="10" t="s">
        <v>804</v>
      </c>
      <c r="B191" s="10"/>
      <c r="C191" s="30" t="s">
        <v>776</v>
      </c>
      <c r="D191" s="15"/>
      <c r="E191" s="15" t="s">
        <v>620</v>
      </c>
      <c r="F191" s="25" t="s">
        <v>159</v>
      </c>
      <c r="G191" s="26">
        <v>1.2</v>
      </c>
      <c r="H191" s="32"/>
      <c r="I191" s="32">
        <v>1890</v>
      </c>
      <c r="J191" s="27">
        <v>16.38</v>
      </c>
      <c r="M191" s="28">
        <f>ROUND(ROUND(J191, 2)*I191, 2)</f>
        <v>30958.2</v>
      </c>
      <c r="P191" s="27">
        <v>27</v>
      </c>
      <c r="S191" s="28">
        <f>ROUND(ROUND(P191, 2)*I191, 2)</f>
        <v>51030</v>
      </c>
      <c r="V191" s="9">
        <f>ROUND(ROUND(P191, 2)/1.2, 2)</f>
        <v>22.5</v>
      </c>
      <c r="Y191" s="9">
        <f t="shared" si="14"/>
        <v>42525</v>
      </c>
      <c r="AD191" s="4" t="s">
        <v>805</v>
      </c>
      <c r="AE191" s="4" t="s">
        <v>806</v>
      </c>
      <c r="AF191" s="4" t="s">
        <v>779</v>
      </c>
    </row>
    <row r="192" spans="1:35" ht="90" x14ac:dyDescent="0.3">
      <c r="A192" s="10" t="s">
        <v>807</v>
      </c>
      <c r="B192" s="10" t="s">
        <v>770</v>
      </c>
      <c r="C192" s="14" t="s">
        <v>771</v>
      </c>
      <c r="D192" s="15"/>
      <c r="E192" s="15" t="s">
        <v>808</v>
      </c>
      <c r="F192" s="15" t="s">
        <v>75</v>
      </c>
      <c r="G192" s="16">
        <v>1</v>
      </c>
      <c r="H192" s="16"/>
      <c r="I192" s="16">
        <v>1690.2</v>
      </c>
      <c r="J192" s="17">
        <v>2329.23</v>
      </c>
      <c r="K192" s="18">
        <v>2785</v>
      </c>
      <c r="L192" s="17">
        <f>J192+ROUND(K192, 2)</f>
        <v>5114.2299999999996</v>
      </c>
      <c r="M192" s="17">
        <v>3936864.55</v>
      </c>
      <c r="N192" s="17">
        <v>4707207</v>
      </c>
      <c r="O192" s="17">
        <f>M192+N192</f>
        <v>8644071.5500000007</v>
      </c>
      <c r="P192" s="17">
        <v>2392.9499999999998</v>
      </c>
      <c r="Q192" s="18">
        <v>2422</v>
      </c>
      <c r="R192" s="17">
        <f>P192+ROUND(Q192, 2)</f>
        <v>4814.95</v>
      </c>
      <c r="S192" s="17">
        <v>4044564.09</v>
      </c>
      <c r="T192" s="17">
        <v>4093664.4</v>
      </c>
      <c r="U192" s="17">
        <f>S192+T192</f>
        <v>8138228.4900000002</v>
      </c>
      <c r="V192" s="9">
        <f>ROUND(P192 / 1.2, 2)</f>
        <v>1994.13</v>
      </c>
      <c r="W192" s="9">
        <f>ROUND(Q192 / 1.2, 2)</f>
        <v>2018.33</v>
      </c>
      <c r="X192" s="9">
        <f>ROUND(R192 / 1.2, 2)</f>
        <v>4012.46</v>
      </c>
      <c r="Y192" s="9">
        <f t="shared" si="14"/>
        <v>3370470.08</v>
      </c>
      <c r="Z192" s="9">
        <f>ROUND(T192 / 1.2, 2)</f>
        <v>3411387</v>
      </c>
      <c r="AA192" s="9">
        <f>Y192+Z192</f>
        <v>6781857.0800000001</v>
      </c>
      <c r="AD192" s="4">
        <v>339118917</v>
      </c>
      <c r="AE192" s="4">
        <v>29092267</v>
      </c>
      <c r="AG192" s="4" t="s">
        <v>773</v>
      </c>
      <c r="AH192" s="4" t="s">
        <v>774</v>
      </c>
      <c r="AI192" s="4" t="s">
        <v>156</v>
      </c>
    </row>
    <row r="193" spans="1:35" ht="36" x14ac:dyDescent="0.3">
      <c r="A193" s="10" t="s">
        <v>809</v>
      </c>
      <c r="B193" s="10"/>
      <c r="C193" s="30" t="s">
        <v>776</v>
      </c>
      <c r="D193" s="15"/>
      <c r="E193" s="15" t="s">
        <v>757</v>
      </c>
      <c r="F193" s="25" t="s">
        <v>159</v>
      </c>
      <c r="G193" s="26">
        <v>1.2</v>
      </c>
      <c r="H193" s="32"/>
      <c r="I193" s="32">
        <v>10141.200000000001</v>
      </c>
      <c r="J193" s="27">
        <v>16.38</v>
      </c>
      <c r="M193" s="28">
        <f>ROUND(ROUND(J193, 2)*I193, 2)</f>
        <v>166112.85999999999</v>
      </c>
      <c r="P193" s="27">
        <v>27</v>
      </c>
      <c r="S193" s="28">
        <f>ROUND(ROUND(P193, 2)*I193, 2)</f>
        <v>273812.40000000002</v>
      </c>
      <c r="V193" s="9">
        <f>ROUND(ROUND(P193, 2)/1.2, 2)</f>
        <v>22.5</v>
      </c>
      <c r="Y193" s="9">
        <f t="shared" si="14"/>
        <v>228177</v>
      </c>
      <c r="AD193" s="4" t="s">
        <v>810</v>
      </c>
      <c r="AE193" s="4" t="s">
        <v>811</v>
      </c>
      <c r="AF193" s="4" t="s">
        <v>779</v>
      </c>
    </row>
    <row r="194" spans="1:35" ht="36" x14ac:dyDescent="0.3">
      <c r="A194" s="10" t="s">
        <v>812</v>
      </c>
      <c r="B194" s="10"/>
      <c r="C194" s="24" t="s">
        <v>480</v>
      </c>
      <c r="D194" s="15"/>
      <c r="E194" s="15"/>
      <c r="F194" s="25" t="s">
        <v>159</v>
      </c>
      <c r="G194" s="26">
        <v>0.15</v>
      </c>
      <c r="H194" s="26"/>
      <c r="I194" s="26">
        <v>253.53</v>
      </c>
      <c r="J194" s="27">
        <v>90.28</v>
      </c>
      <c r="M194" s="28">
        <f>ROUND(ROUND(J194, 2)*I194, 2)</f>
        <v>22888.69</v>
      </c>
      <c r="P194" s="27">
        <v>90.28</v>
      </c>
      <c r="S194" s="28">
        <f>ROUND(ROUND(P194, 2)*I194, 2)</f>
        <v>22888.69</v>
      </c>
      <c r="V194" s="9">
        <f>ROUND(ROUND(P194, 2)/1.2, 2)</f>
        <v>75.23</v>
      </c>
      <c r="Y194" s="9">
        <f t="shared" si="14"/>
        <v>19073.91</v>
      </c>
      <c r="AD194" s="4" t="s">
        <v>813</v>
      </c>
      <c r="AE194" s="4" t="s">
        <v>814</v>
      </c>
      <c r="AF194" s="4" t="s">
        <v>483</v>
      </c>
    </row>
    <row r="195" spans="1:35" ht="108" x14ac:dyDescent="0.3">
      <c r="A195" s="10" t="s">
        <v>815</v>
      </c>
      <c r="B195" s="10"/>
      <c r="C195" s="24" t="s">
        <v>784</v>
      </c>
      <c r="D195" s="15"/>
      <c r="E195" s="15" t="s">
        <v>816</v>
      </c>
      <c r="F195" s="25" t="s">
        <v>75</v>
      </c>
      <c r="G195" s="26">
        <v>1.2</v>
      </c>
      <c r="H195" s="32"/>
      <c r="I195" s="32">
        <v>2028.24</v>
      </c>
      <c r="J195" s="27">
        <v>1839.31</v>
      </c>
      <c r="M195" s="28">
        <f>ROUND(ROUND(J195, 2)*I195, 2)</f>
        <v>3730562.11</v>
      </c>
      <c r="P195" s="27">
        <v>1839.31</v>
      </c>
      <c r="S195" s="28">
        <f>ROUND(ROUND(P195, 2)*I195, 2)</f>
        <v>3730562.11</v>
      </c>
      <c r="V195" s="9">
        <f>ROUND(ROUND(P195, 2)/1.2, 2)</f>
        <v>1532.76</v>
      </c>
      <c r="Y195" s="9">
        <f t="shared" si="14"/>
        <v>3108801.76</v>
      </c>
      <c r="AD195" s="4" t="s">
        <v>817</v>
      </c>
      <c r="AE195" s="4" t="s">
        <v>818</v>
      </c>
      <c r="AF195" s="4" t="s">
        <v>788</v>
      </c>
    </row>
    <row r="196" spans="1:35" ht="36" x14ac:dyDescent="0.3">
      <c r="A196" s="10" t="s">
        <v>819</v>
      </c>
      <c r="B196" s="10"/>
      <c r="C196" s="24" t="s">
        <v>510</v>
      </c>
      <c r="D196" s="15"/>
      <c r="E196" s="15"/>
      <c r="F196" s="25" t="s">
        <v>159</v>
      </c>
      <c r="G196" s="26">
        <v>0.25</v>
      </c>
      <c r="H196" s="32"/>
      <c r="I196" s="32">
        <v>422.55</v>
      </c>
      <c r="J196" s="27">
        <v>40.94</v>
      </c>
      <c r="M196" s="28">
        <f>ROUND(ROUND(J196, 2)*I196, 2)</f>
        <v>17299.2</v>
      </c>
      <c r="P196" s="27">
        <v>40.94</v>
      </c>
      <c r="S196" s="28">
        <f>ROUND(ROUND(P196, 2)*I196, 2)</f>
        <v>17299.2</v>
      </c>
      <c r="V196" s="9">
        <f>ROUND(ROUND(P196, 2)/1.2, 2)</f>
        <v>34.119999999999997</v>
      </c>
      <c r="Y196" s="9">
        <f t="shared" si="14"/>
        <v>14416</v>
      </c>
      <c r="AD196" s="4" t="s">
        <v>820</v>
      </c>
      <c r="AE196" s="4" t="s">
        <v>821</v>
      </c>
      <c r="AF196" s="4" t="s">
        <v>513</v>
      </c>
    </row>
    <row r="197" spans="1:35" ht="16.95" customHeight="1" x14ac:dyDescent="0.3">
      <c r="A197" s="10" t="s">
        <v>822</v>
      </c>
      <c r="B197" s="10" t="s">
        <v>823</v>
      </c>
      <c r="C197" s="120" t="s">
        <v>824</v>
      </c>
      <c r="D197" s="121"/>
      <c r="E197" s="121"/>
      <c r="F197" s="121"/>
      <c r="G197" s="121"/>
      <c r="H197" s="121"/>
      <c r="I197" s="122"/>
      <c r="M197" s="6">
        <f>SUM(M198)</f>
        <v>442890</v>
      </c>
      <c r="N197" s="6">
        <f>SUM(N198)</f>
        <v>38974.32</v>
      </c>
      <c r="O197" s="6">
        <f>SUM(O198)</f>
        <v>481864.32</v>
      </c>
      <c r="S197" s="6">
        <f>SUM(S198)</f>
        <v>670004.92000000004</v>
      </c>
      <c r="T197" s="6">
        <f>SUM(T198)</f>
        <v>38974.32</v>
      </c>
      <c r="U197" s="6">
        <f>SUM(U198)</f>
        <v>708979.24</v>
      </c>
      <c r="Y197" s="9">
        <f>SUM(Y198)</f>
        <v>558337.43000000005</v>
      </c>
      <c r="Z197" s="9">
        <f>SUM(Z198)</f>
        <v>32478.6</v>
      </c>
      <c r="AA197" s="9">
        <f>SUM(AA198)</f>
        <v>590816.03</v>
      </c>
      <c r="AD197" s="4">
        <v>339118836</v>
      </c>
      <c r="AE197" s="4">
        <v>25887980</v>
      </c>
    </row>
    <row r="198" spans="1:35" ht="18" x14ac:dyDescent="0.3">
      <c r="A198" s="10" t="s">
        <v>825</v>
      </c>
      <c r="B198" s="10" t="s">
        <v>826</v>
      </c>
      <c r="C198" s="14" t="s">
        <v>827</v>
      </c>
      <c r="D198" s="15"/>
      <c r="E198" s="15" t="s">
        <v>828</v>
      </c>
      <c r="F198" s="15" t="s">
        <v>75</v>
      </c>
      <c r="G198" s="16">
        <v>1</v>
      </c>
      <c r="H198" s="16"/>
      <c r="I198" s="16">
        <v>46.62</v>
      </c>
      <c r="J198" s="17">
        <v>9500</v>
      </c>
      <c r="K198" s="18">
        <v>836</v>
      </c>
      <c r="L198" s="17">
        <f>J198+ROUND(K198, 2)</f>
        <v>10336</v>
      </c>
      <c r="M198" s="17">
        <v>442890</v>
      </c>
      <c r="N198" s="17">
        <v>38974.32</v>
      </c>
      <c r="O198" s="17">
        <f>M198+N198</f>
        <v>481864.32</v>
      </c>
      <c r="P198" s="17">
        <v>14371.62</v>
      </c>
      <c r="Q198" s="18">
        <v>836</v>
      </c>
      <c r="R198" s="17">
        <f>P198+ROUND(Q198, 2)</f>
        <v>15207.62</v>
      </c>
      <c r="S198" s="17">
        <v>670004.92000000004</v>
      </c>
      <c r="T198" s="17">
        <v>38974.32</v>
      </c>
      <c r="U198" s="17">
        <f>S198+T198</f>
        <v>708979.24</v>
      </c>
      <c r="V198" s="9">
        <f>ROUND(P198 / 1.2, 2)</f>
        <v>11976.35</v>
      </c>
      <c r="W198" s="9">
        <f>ROUND(Q198 / 1.2, 2)</f>
        <v>696.67</v>
      </c>
      <c r="X198" s="9">
        <f>ROUND(R198 / 1.2, 2)</f>
        <v>12673.02</v>
      </c>
      <c r="Y198" s="9">
        <f>ROUND(S198 / 1.2, 2)</f>
        <v>558337.43000000005</v>
      </c>
      <c r="Z198" s="9">
        <f>ROUND(T198 / 1.2, 2)</f>
        <v>32478.6</v>
      </c>
      <c r="AA198" s="9">
        <f>Y198+Z198</f>
        <v>590816.03</v>
      </c>
      <c r="AD198" s="4">
        <v>339118838</v>
      </c>
      <c r="AE198" s="4">
        <v>25887991</v>
      </c>
      <c r="AG198" s="4" t="s">
        <v>829</v>
      </c>
      <c r="AH198" s="4" t="s">
        <v>830</v>
      </c>
      <c r="AI198" s="4" t="s">
        <v>156</v>
      </c>
    </row>
    <row r="199" spans="1:35" ht="90" x14ac:dyDescent="0.3">
      <c r="A199" s="10" t="s">
        <v>831</v>
      </c>
      <c r="B199" s="10"/>
      <c r="C199" s="24" t="s">
        <v>832</v>
      </c>
      <c r="D199" s="15"/>
      <c r="E199" s="15" t="s">
        <v>833</v>
      </c>
      <c r="F199" s="25" t="s">
        <v>75</v>
      </c>
      <c r="G199" s="26">
        <v>1</v>
      </c>
      <c r="H199" s="26"/>
      <c r="I199" s="26">
        <v>46.62</v>
      </c>
      <c r="J199" s="27">
        <v>9500</v>
      </c>
      <c r="M199" s="28">
        <f>ROUND(ROUND(J199, 2)*I199, 2)</f>
        <v>442890</v>
      </c>
      <c r="P199" s="27">
        <v>14371.62</v>
      </c>
      <c r="S199" s="28">
        <f>ROUND(ROUND(P199, 2)*I199, 2)</f>
        <v>670004.92000000004</v>
      </c>
      <c r="V199" s="9">
        <f>ROUND(ROUND(P199, 2)/1.2, 2)</f>
        <v>11976.35</v>
      </c>
      <c r="Y199" s="9">
        <f>ROUND(S199 / 1.2, 2)</f>
        <v>558337.43000000005</v>
      </c>
      <c r="AD199" s="4" t="s">
        <v>834</v>
      </c>
      <c r="AE199" s="4" t="s">
        <v>835</v>
      </c>
      <c r="AF199" s="4" t="s">
        <v>836</v>
      </c>
    </row>
    <row r="200" spans="1:35" ht="16.95" customHeight="1" x14ac:dyDescent="0.3">
      <c r="A200" s="10" t="s">
        <v>837</v>
      </c>
      <c r="B200" s="10" t="s">
        <v>838</v>
      </c>
      <c r="C200" s="120" t="s">
        <v>839</v>
      </c>
      <c r="D200" s="121"/>
      <c r="E200" s="121"/>
      <c r="F200" s="121"/>
      <c r="G200" s="121"/>
      <c r="H200" s="121"/>
      <c r="I200" s="122"/>
      <c r="M200" s="6">
        <f>SUM(M201,M271,M319)</f>
        <v>6809346.2700000005</v>
      </c>
      <c r="N200" s="6">
        <f>SUM(N201,N271,N319)</f>
        <v>23717461.759999998</v>
      </c>
      <c r="O200" s="6">
        <f>SUM(O201,O271,O319)</f>
        <v>30526808.029999997</v>
      </c>
      <c r="S200" s="6">
        <f>SUM(S201,S271,S319)</f>
        <v>6163796.9400000004</v>
      </c>
      <c r="T200" s="6">
        <f>SUM(T201,T271,T319)</f>
        <v>23717461.759999998</v>
      </c>
      <c r="U200" s="6">
        <f>SUM(U201,U271,U319)</f>
        <v>29881258.699999999</v>
      </c>
      <c r="Y200" s="9">
        <f>SUM(Y201,Y271,Y319)</f>
        <v>5136497.49</v>
      </c>
      <c r="Z200" s="9">
        <f>SUM(Z201,Z271,Z319)</f>
        <v>19764551.48</v>
      </c>
      <c r="AA200" s="9">
        <f>SUM(AA201,AA271,AA319)</f>
        <v>24901048.969999999</v>
      </c>
      <c r="AD200" s="4">
        <v>339118839</v>
      </c>
      <c r="AE200" s="4">
        <v>25887934</v>
      </c>
    </row>
    <row r="201" spans="1:35" ht="16.95" customHeight="1" x14ac:dyDescent="0.3">
      <c r="A201" s="10" t="s">
        <v>840</v>
      </c>
      <c r="B201" s="10" t="s">
        <v>841</v>
      </c>
      <c r="C201" s="120" t="s">
        <v>842</v>
      </c>
      <c r="D201" s="121"/>
      <c r="E201" s="121"/>
      <c r="F201" s="121"/>
      <c r="G201" s="121"/>
      <c r="H201" s="121"/>
      <c r="I201" s="122"/>
      <c r="M201" s="6">
        <f>SUM(M202,M205,M209,M214,M218,M223,M226,M231,M234,M237,M240,M243,M248,M253,M258,M263,M267)</f>
        <v>2220059.3199999998</v>
      </c>
      <c r="N201" s="6">
        <f>SUM(N202,N205,N209,N214,N218,N223,N226,N231,N234,N237,N240,N243,N248,N253,N258,N263,N267)</f>
        <v>16088879.950000001</v>
      </c>
      <c r="O201" s="6">
        <f>SUM(O202,O205,O209,O214,O218,O223,O226,O231,O234,O237,O240,O243,O248,O253,O258,O263,O267)</f>
        <v>18308939.27</v>
      </c>
      <c r="S201" s="6">
        <f>SUM(S202,S205,S209,S214,S218,S223,S226,S231,S234,S237,S240,S243,S248,S253,S258,S263,S267)</f>
        <v>2679261.11</v>
      </c>
      <c r="T201" s="6">
        <f>SUM(T202,T205,T209,T214,T218,T223,T226,T231,T234,T237,T240,T243,T248,T253,T258,T263,T267)</f>
        <v>16088879.950000001</v>
      </c>
      <c r="U201" s="6">
        <f>SUM(U202,U205,U209,U214,U218,U223,U226,U231,U234,U237,U240,U243,U248,U253,U258,U263,U267)</f>
        <v>18768141.059999999</v>
      </c>
      <c r="Y201" s="9">
        <f>SUM(Y202,Y205,Y209,Y214,Y218,Y223,Y226,Y231,Y234,Y237,Y240,Y243,Y248,Y253,Y258,Y263,Y267)</f>
        <v>2232717.6100000003</v>
      </c>
      <c r="Z201" s="9">
        <f>SUM(Z202,Z205,Z209,Z214,Z218,Z223,Z226,Z231,Z234,Z237,Z240,Z243,Z248,Z253,Z258,Z263,Z267)</f>
        <v>13407399.970000001</v>
      </c>
      <c r="AA201" s="9">
        <f>SUM(AA202,AA205,AA209,AA214,AA218,AA223,AA226,AA231,AA234,AA237,AA240,AA243,AA248,AA253,AA258,AA263,AA267)</f>
        <v>15640117.579999998</v>
      </c>
      <c r="AD201" s="4">
        <v>339118840</v>
      </c>
      <c r="AE201" s="4">
        <v>25887951</v>
      </c>
    </row>
    <row r="202" spans="1:35" ht="54" x14ac:dyDescent="0.3">
      <c r="A202" s="10" t="s">
        <v>843</v>
      </c>
      <c r="B202" s="10" t="s">
        <v>844</v>
      </c>
      <c r="C202" s="14" t="s">
        <v>845</v>
      </c>
      <c r="D202" s="15"/>
      <c r="E202" s="15"/>
      <c r="F202" s="15" t="s">
        <v>120</v>
      </c>
      <c r="G202" s="16">
        <v>1</v>
      </c>
      <c r="H202" s="16"/>
      <c r="I202" s="16">
        <v>664.23</v>
      </c>
      <c r="J202" s="17">
        <v>11.47</v>
      </c>
      <c r="K202" s="18">
        <v>28</v>
      </c>
      <c r="L202" s="17">
        <f>J202+ROUND(K202, 2)</f>
        <v>39.47</v>
      </c>
      <c r="M202" s="17">
        <v>7618.72</v>
      </c>
      <c r="N202" s="17">
        <v>18598.439999999999</v>
      </c>
      <c r="O202" s="17">
        <f>M202+N202</f>
        <v>26217.16</v>
      </c>
      <c r="P202" s="17">
        <v>11.47</v>
      </c>
      <c r="Q202" s="18">
        <v>28</v>
      </c>
      <c r="R202" s="17">
        <f>P202+ROUND(Q202, 2)</f>
        <v>39.47</v>
      </c>
      <c r="S202" s="17">
        <v>7618.72</v>
      </c>
      <c r="T202" s="17">
        <v>18598.439999999999</v>
      </c>
      <c r="U202" s="17">
        <f>S202+T202</f>
        <v>26217.16</v>
      </c>
      <c r="V202" s="9">
        <f>ROUND(P202 / 1.2, 2)</f>
        <v>9.56</v>
      </c>
      <c r="W202" s="9">
        <f>ROUND(Q202 / 1.2, 2)</f>
        <v>23.33</v>
      </c>
      <c r="X202" s="9">
        <f>ROUND(R202 / 1.2, 2)</f>
        <v>32.89</v>
      </c>
      <c r="Y202" s="9">
        <f>ROUND(S202 / 1.2, 2)</f>
        <v>6348.93</v>
      </c>
      <c r="Z202" s="9">
        <f>ROUND(T202 / 1.2, 2)</f>
        <v>15498.7</v>
      </c>
      <c r="AA202" s="9">
        <f>Y202+Z202</f>
        <v>21847.63</v>
      </c>
      <c r="AD202" s="4">
        <v>339118842</v>
      </c>
      <c r="AE202" s="4">
        <v>25887946</v>
      </c>
      <c r="AG202" s="4" t="s">
        <v>846</v>
      </c>
      <c r="AH202" s="4" t="s">
        <v>847</v>
      </c>
      <c r="AI202" s="4" t="s">
        <v>156</v>
      </c>
    </row>
    <row r="203" spans="1:35" ht="36" x14ac:dyDescent="0.3">
      <c r="A203" s="10" t="s">
        <v>848</v>
      </c>
      <c r="B203" s="10"/>
      <c r="C203" s="30" t="s">
        <v>849</v>
      </c>
      <c r="D203" s="15"/>
      <c r="E203" s="15"/>
      <c r="F203" s="25" t="s">
        <v>159</v>
      </c>
      <c r="G203" s="26">
        <v>0.3</v>
      </c>
      <c r="H203" s="32"/>
      <c r="I203" s="32">
        <v>199.26900000000001</v>
      </c>
      <c r="J203" s="27">
        <v>12.58</v>
      </c>
      <c r="M203" s="28">
        <f>ROUND(ROUND(J203, 2)*I203, 2)</f>
        <v>2506.8000000000002</v>
      </c>
      <c r="P203" s="27">
        <v>12.58</v>
      </c>
      <c r="S203" s="28">
        <f>ROUND(ROUND(P203, 2)*I203, 2)</f>
        <v>2506.8000000000002</v>
      </c>
      <c r="V203" s="9">
        <f>ROUND(ROUND(P203, 2)/1.2, 2)</f>
        <v>10.48</v>
      </c>
      <c r="Y203" s="9">
        <f t="shared" ref="Y203:Y234" si="15">ROUND(S203 / 1.2, 2)</f>
        <v>2089</v>
      </c>
      <c r="AD203" s="4" t="s">
        <v>850</v>
      </c>
      <c r="AE203" s="4" t="s">
        <v>851</v>
      </c>
      <c r="AF203" s="4" t="s">
        <v>852</v>
      </c>
    </row>
    <row r="204" spans="1:35" ht="18" x14ac:dyDescent="0.3">
      <c r="A204" s="10" t="s">
        <v>853</v>
      </c>
      <c r="B204" s="10"/>
      <c r="C204" s="24" t="s">
        <v>854</v>
      </c>
      <c r="D204" s="15"/>
      <c r="E204" s="15"/>
      <c r="F204" s="25" t="s">
        <v>120</v>
      </c>
      <c r="G204" s="26">
        <v>1.1000000000000001</v>
      </c>
      <c r="H204" s="32"/>
      <c r="I204" s="32">
        <v>730.65300000000002</v>
      </c>
      <c r="J204" s="27">
        <v>7</v>
      </c>
      <c r="M204" s="28">
        <f>ROUND(ROUND(J204, 2)*I204, 2)</f>
        <v>5114.57</v>
      </c>
      <c r="P204" s="27">
        <v>7</v>
      </c>
      <c r="S204" s="28">
        <f>ROUND(ROUND(P204, 2)*I204, 2)</f>
        <v>5114.57</v>
      </c>
      <c r="V204" s="9">
        <f>ROUND(ROUND(P204, 2)/1.2, 2)</f>
        <v>5.83</v>
      </c>
      <c r="Y204" s="9">
        <f t="shared" si="15"/>
        <v>4262.1400000000003</v>
      </c>
      <c r="AD204" s="4" t="s">
        <v>855</v>
      </c>
      <c r="AE204" s="4" t="s">
        <v>856</v>
      </c>
      <c r="AF204" s="4" t="s">
        <v>857</v>
      </c>
    </row>
    <row r="205" spans="1:35" ht="36" x14ac:dyDescent="0.3">
      <c r="A205" s="10" t="s">
        <v>858</v>
      </c>
      <c r="B205" s="10" t="s">
        <v>859</v>
      </c>
      <c r="C205" s="14" t="s">
        <v>860</v>
      </c>
      <c r="D205" s="15"/>
      <c r="E205" s="15"/>
      <c r="F205" s="15" t="s">
        <v>75</v>
      </c>
      <c r="G205" s="16">
        <v>1</v>
      </c>
      <c r="H205" s="16"/>
      <c r="I205" s="16">
        <v>36.229999999999997</v>
      </c>
      <c r="J205" s="17">
        <v>534.04999999999995</v>
      </c>
      <c r="K205" s="18">
        <v>718</v>
      </c>
      <c r="L205" s="17">
        <f>J205+ROUND(K205, 2)</f>
        <v>1252.05</v>
      </c>
      <c r="M205" s="17">
        <v>19348.63</v>
      </c>
      <c r="N205" s="17">
        <v>26013.14</v>
      </c>
      <c r="O205" s="17">
        <f>M205+N205</f>
        <v>45361.770000000004</v>
      </c>
      <c r="P205" s="17">
        <v>563.33000000000004</v>
      </c>
      <c r="Q205" s="18">
        <v>718</v>
      </c>
      <c r="R205" s="17">
        <f>P205+ROUND(Q205, 2)</f>
        <v>1281.33</v>
      </c>
      <c r="S205" s="17">
        <v>20409.45</v>
      </c>
      <c r="T205" s="17">
        <v>26013.14</v>
      </c>
      <c r="U205" s="17">
        <f>S205+T205</f>
        <v>46422.59</v>
      </c>
      <c r="V205" s="9">
        <f>ROUND(P205 / 1.2, 2)</f>
        <v>469.44</v>
      </c>
      <c r="W205" s="9">
        <f>ROUND(Q205 / 1.2, 2)</f>
        <v>598.33000000000004</v>
      </c>
      <c r="X205" s="9">
        <f>ROUND(R205 / 1.2, 2)</f>
        <v>1067.78</v>
      </c>
      <c r="Y205" s="9">
        <f t="shared" si="15"/>
        <v>17007.88</v>
      </c>
      <c r="Z205" s="9">
        <f>ROUND(T205 / 1.2, 2)</f>
        <v>21677.62</v>
      </c>
      <c r="AA205" s="9">
        <f>Y205+Z205</f>
        <v>38685.5</v>
      </c>
      <c r="AD205" s="4">
        <v>339118844</v>
      </c>
      <c r="AE205" s="4">
        <v>25887959</v>
      </c>
      <c r="AG205" s="4" t="s">
        <v>861</v>
      </c>
      <c r="AH205" s="4" t="s">
        <v>862</v>
      </c>
      <c r="AI205" s="4" t="s">
        <v>156</v>
      </c>
    </row>
    <row r="206" spans="1:35" ht="54" x14ac:dyDescent="0.3">
      <c r="A206" s="10" t="s">
        <v>863</v>
      </c>
      <c r="B206" s="10"/>
      <c r="C206" s="24" t="s">
        <v>864</v>
      </c>
      <c r="D206" s="15"/>
      <c r="E206" s="15" t="s">
        <v>865</v>
      </c>
      <c r="F206" s="25" t="s">
        <v>159</v>
      </c>
      <c r="G206" s="26">
        <v>1.5</v>
      </c>
      <c r="H206" s="32"/>
      <c r="I206" s="32">
        <v>543.45000000000005</v>
      </c>
      <c r="J206" s="27">
        <v>32.9</v>
      </c>
      <c r="M206" s="28">
        <f>ROUND(ROUND(J206, 2)*I206, 2)</f>
        <v>17879.509999999998</v>
      </c>
      <c r="P206" s="27">
        <v>32.9</v>
      </c>
      <c r="S206" s="28">
        <f>ROUND(ROUND(P206, 2)*I206, 2)</f>
        <v>17879.509999999998</v>
      </c>
      <c r="V206" s="9">
        <f>ROUND(ROUND(P206, 2)/1.2, 2)</f>
        <v>27.42</v>
      </c>
      <c r="Y206" s="9">
        <f t="shared" si="15"/>
        <v>14899.59</v>
      </c>
      <c r="AD206" s="4" t="s">
        <v>866</v>
      </c>
      <c r="AE206" s="4" t="s">
        <v>867</v>
      </c>
      <c r="AF206" s="4" t="s">
        <v>868</v>
      </c>
    </row>
    <row r="207" spans="1:35" ht="36" x14ac:dyDescent="0.3">
      <c r="A207" s="10" t="s">
        <v>869</v>
      </c>
      <c r="B207" s="10"/>
      <c r="C207" s="24" t="s">
        <v>870</v>
      </c>
      <c r="D207" s="15"/>
      <c r="E207" s="15"/>
      <c r="F207" s="25" t="s">
        <v>75</v>
      </c>
      <c r="G207" s="26">
        <v>1.1000000000000001</v>
      </c>
      <c r="H207" s="26"/>
      <c r="I207" s="26">
        <v>39.853000000000002</v>
      </c>
      <c r="J207" s="27">
        <v>21.82</v>
      </c>
      <c r="M207" s="28">
        <f>ROUND(ROUND(J207, 2)*I207, 2)</f>
        <v>869.59</v>
      </c>
      <c r="P207" s="27">
        <v>48.44</v>
      </c>
      <c r="S207" s="28">
        <f>ROUND(ROUND(P207, 2)*I207, 2)</f>
        <v>1930.48</v>
      </c>
      <c r="V207" s="9">
        <f>ROUND(ROUND(P207, 2)/1.2, 2)</f>
        <v>40.369999999999997</v>
      </c>
      <c r="Y207" s="9">
        <f t="shared" si="15"/>
        <v>1608.73</v>
      </c>
      <c r="AD207" s="4" t="s">
        <v>871</v>
      </c>
      <c r="AE207" s="4" t="s">
        <v>872</v>
      </c>
      <c r="AF207" s="4" t="s">
        <v>873</v>
      </c>
    </row>
    <row r="208" spans="1:35" ht="18" x14ac:dyDescent="0.3">
      <c r="A208" s="10" t="s">
        <v>874</v>
      </c>
      <c r="B208" s="10"/>
      <c r="C208" s="24" t="s">
        <v>875</v>
      </c>
      <c r="D208" s="15"/>
      <c r="E208" s="15"/>
      <c r="F208" s="25" t="s">
        <v>120</v>
      </c>
      <c r="G208" s="26">
        <v>1.05</v>
      </c>
      <c r="H208" s="26"/>
      <c r="I208" s="26">
        <v>38.042000000000002</v>
      </c>
      <c r="J208" s="27">
        <v>15.76</v>
      </c>
      <c r="M208" s="28">
        <f>ROUND(ROUND(J208, 2)*I208, 2)</f>
        <v>599.54</v>
      </c>
      <c r="P208" s="27">
        <v>15.76</v>
      </c>
      <c r="S208" s="28">
        <f>ROUND(ROUND(P208, 2)*I208, 2)</f>
        <v>599.54</v>
      </c>
      <c r="V208" s="9">
        <f>ROUND(ROUND(P208, 2)/1.2, 2)</f>
        <v>13.13</v>
      </c>
      <c r="Y208" s="9">
        <f t="shared" si="15"/>
        <v>499.62</v>
      </c>
      <c r="AD208" s="4" t="s">
        <v>876</v>
      </c>
      <c r="AE208" s="4" t="s">
        <v>877</v>
      </c>
      <c r="AF208" s="4" t="s">
        <v>878</v>
      </c>
    </row>
    <row r="209" spans="1:35" ht="54" x14ac:dyDescent="0.3">
      <c r="A209" s="10" t="s">
        <v>879</v>
      </c>
      <c r="B209" s="10" t="s">
        <v>880</v>
      </c>
      <c r="C209" s="14" t="s">
        <v>881</v>
      </c>
      <c r="D209" s="15"/>
      <c r="E209" s="15" t="s">
        <v>882</v>
      </c>
      <c r="F209" s="15" t="s">
        <v>75</v>
      </c>
      <c r="G209" s="16">
        <v>1</v>
      </c>
      <c r="H209" s="16"/>
      <c r="I209" s="16">
        <v>36.229999999999997</v>
      </c>
      <c r="J209" s="17">
        <v>1766.66</v>
      </c>
      <c r="K209" s="18">
        <v>565</v>
      </c>
      <c r="L209" s="17">
        <f>J209+ROUND(K209, 2)</f>
        <v>2331.66</v>
      </c>
      <c r="M209" s="17">
        <v>64006.09</v>
      </c>
      <c r="N209" s="17">
        <v>20469.95</v>
      </c>
      <c r="O209" s="17">
        <f>M209+N209</f>
        <v>84476.04</v>
      </c>
      <c r="P209" s="17">
        <v>1766.66</v>
      </c>
      <c r="Q209" s="18">
        <v>565</v>
      </c>
      <c r="R209" s="17">
        <f>P209+ROUND(Q209, 2)</f>
        <v>2331.66</v>
      </c>
      <c r="S209" s="17">
        <v>64006.09</v>
      </c>
      <c r="T209" s="17">
        <v>20469.95</v>
      </c>
      <c r="U209" s="17">
        <f>S209+T209</f>
        <v>84476.04</v>
      </c>
      <c r="V209" s="9">
        <f>ROUND(P209 / 1.2, 2)</f>
        <v>1472.22</v>
      </c>
      <c r="W209" s="9">
        <f>ROUND(Q209 / 1.2, 2)</f>
        <v>470.83</v>
      </c>
      <c r="X209" s="9">
        <f>ROUND(R209 / 1.2, 2)</f>
        <v>1943.05</v>
      </c>
      <c r="Y209" s="9">
        <f t="shared" si="15"/>
        <v>53338.41</v>
      </c>
      <c r="Z209" s="9">
        <f>ROUND(T209 / 1.2, 2)</f>
        <v>17058.29</v>
      </c>
      <c r="AA209" s="9">
        <f>Y209+Z209</f>
        <v>70396.700000000012</v>
      </c>
      <c r="AD209" s="4">
        <v>339118846</v>
      </c>
      <c r="AE209" s="4">
        <v>25887984</v>
      </c>
      <c r="AG209" s="4" t="s">
        <v>883</v>
      </c>
      <c r="AH209" s="4" t="s">
        <v>884</v>
      </c>
      <c r="AI209" s="4" t="s">
        <v>156</v>
      </c>
    </row>
    <row r="210" spans="1:35" ht="18" x14ac:dyDescent="0.3">
      <c r="A210" s="10" t="s">
        <v>885</v>
      </c>
      <c r="B210" s="10"/>
      <c r="C210" s="24" t="s">
        <v>886</v>
      </c>
      <c r="D210" s="15"/>
      <c r="E210" s="15"/>
      <c r="F210" s="25" t="s">
        <v>159</v>
      </c>
      <c r="G210" s="26">
        <v>0.15</v>
      </c>
      <c r="H210" s="26"/>
      <c r="I210" s="26">
        <v>5.4349999999999996</v>
      </c>
      <c r="J210" s="27">
        <v>75.599999999999994</v>
      </c>
      <c r="M210" s="28">
        <f>ROUND(ROUND(J210, 2)*I210, 2)</f>
        <v>410.89</v>
      </c>
      <c r="P210" s="27">
        <v>75.599999999999994</v>
      </c>
      <c r="S210" s="28">
        <f>ROUND(ROUND(P210, 2)*I210, 2)</f>
        <v>410.89</v>
      </c>
      <c r="V210" s="9">
        <f>ROUND(ROUND(P210, 2)/1.2, 2)</f>
        <v>63</v>
      </c>
      <c r="Y210" s="9">
        <f t="shared" si="15"/>
        <v>342.41</v>
      </c>
      <c r="AD210" s="4" t="s">
        <v>887</v>
      </c>
      <c r="AE210" s="4" t="s">
        <v>888</v>
      </c>
      <c r="AF210" s="4" t="s">
        <v>889</v>
      </c>
    </row>
    <row r="211" spans="1:35" ht="36" x14ac:dyDescent="0.3">
      <c r="A211" s="10" t="s">
        <v>890</v>
      </c>
      <c r="B211" s="10"/>
      <c r="C211" s="24" t="s">
        <v>864</v>
      </c>
      <c r="D211" s="15"/>
      <c r="E211" s="15" t="s">
        <v>891</v>
      </c>
      <c r="F211" s="25" t="s">
        <v>159</v>
      </c>
      <c r="G211" s="26">
        <v>7</v>
      </c>
      <c r="H211" s="32"/>
      <c r="I211" s="32">
        <v>253.61</v>
      </c>
      <c r="J211" s="27">
        <v>32.9</v>
      </c>
      <c r="M211" s="28">
        <f>ROUND(ROUND(J211, 2)*I211, 2)</f>
        <v>8343.77</v>
      </c>
      <c r="P211" s="27">
        <v>32.9</v>
      </c>
      <c r="S211" s="28">
        <f>ROUND(ROUND(P211, 2)*I211, 2)</f>
        <v>8343.77</v>
      </c>
      <c r="V211" s="9">
        <f>ROUND(ROUND(P211, 2)/1.2, 2)</f>
        <v>27.42</v>
      </c>
      <c r="Y211" s="9">
        <f t="shared" si="15"/>
        <v>6953.14</v>
      </c>
      <c r="AD211" s="4" t="s">
        <v>892</v>
      </c>
      <c r="AE211" s="4" t="s">
        <v>893</v>
      </c>
      <c r="AF211" s="4" t="s">
        <v>868</v>
      </c>
    </row>
    <row r="212" spans="1:35" ht="36" x14ac:dyDescent="0.3">
      <c r="A212" s="10" t="s">
        <v>894</v>
      </c>
      <c r="B212" s="10"/>
      <c r="C212" s="30" t="s">
        <v>895</v>
      </c>
      <c r="D212" s="15"/>
      <c r="E212" s="15" t="s">
        <v>896</v>
      </c>
      <c r="F212" s="25" t="s">
        <v>424</v>
      </c>
      <c r="G212" s="26">
        <v>1.03</v>
      </c>
      <c r="H212" s="32"/>
      <c r="I212" s="32">
        <v>5.593</v>
      </c>
      <c r="J212" s="27">
        <v>9447.9</v>
      </c>
      <c r="M212" s="28">
        <f>ROUND(ROUND(J212, 2)*I212, 2)</f>
        <v>52842.1</v>
      </c>
      <c r="P212" s="27">
        <v>9447.9</v>
      </c>
      <c r="S212" s="28">
        <f>ROUND(ROUND(P212, 2)*I212, 2)</f>
        <v>52842.1</v>
      </c>
      <c r="V212" s="9">
        <f>ROUND(ROUND(P212, 2)/1.2, 2)</f>
        <v>7873.25</v>
      </c>
      <c r="Y212" s="9">
        <f t="shared" si="15"/>
        <v>44035.08</v>
      </c>
      <c r="AD212" s="4" t="s">
        <v>897</v>
      </c>
      <c r="AE212" s="4" t="s">
        <v>898</v>
      </c>
      <c r="AF212" s="4" t="s">
        <v>899</v>
      </c>
    </row>
    <row r="213" spans="1:35" ht="36" x14ac:dyDescent="0.3">
      <c r="A213" s="10" t="s">
        <v>900</v>
      </c>
      <c r="B213" s="10"/>
      <c r="C213" s="24" t="s">
        <v>901</v>
      </c>
      <c r="D213" s="15"/>
      <c r="E213" s="15"/>
      <c r="F213" s="25" t="s">
        <v>240</v>
      </c>
      <c r="G213" s="26">
        <v>7</v>
      </c>
      <c r="H213" s="26"/>
      <c r="I213" s="26">
        <v>253.61</v>
      </c>
      <c r="J213" s="27">
        <v>9.5</v>
      </c>
      <c r="M213" s="28">
        <f>ROUND(ROUND(J213, 2)*I213, 2)</f>
        <v>2409.3000000000002</v>
      </c>
      <c r="P213" s="27">
        <v>9.5</v>
      </c>
      <c r="S213" s="28">
        <f>ROUND(ROUND(P213, 2)*I213, 2)</f>
        <v>2409.3000000000002</v>
      </c>
      <c r="V213" s="9">
        <f>ROUND(ROUND(P213, 2)/1.2, 2)</f>
        <v>7.92</v>
      </c>
      <c r="Y213" s="9">
        <f t="shared" si="15"/>
        <v>2007.75</v>
      </c>
      <c r="AD213" s="4" t="s">
        <v>902</v>
      </c>
      <c r="AE213" s="4" t="s">
        <v>903</v>
      </c>
      <c r="AF213" s="4" t="s">
        <v>904</v>
      </c>
    </row>
    <row r="214" spans="1:35" ht="36" x14ac:dyDescent="0.3">
      <c r="A214" s="10" t="s">
        <v>905</v>
      </c>
      <c r="B214" s="10" t="s">
        <v>906</v>
      </c>
      <c r="C214" s="14" t="s">
        <v>907</v>
      </c>
      <c r="D214" s="15"/>
      <c r="E214" s="15" t="s">
        <v>908</v>
      </c>
      <c r="F214" s="15" t="s">
        <v>75</v>
      </c>
      <c r="G214" s="16">
        <v>1</v>
      </c>
      <c r="H214" s="16"/>
      <c r="I214" s="16">
        <v>470.56</v>
      </c>
      <c r="J214" s="17">
        <v>54.12</v>
      </c>
      <c r="K214" s="18">
        <v>581</v>
      </c>
      <c r="L214" s="17">
        <f>J214+ROUND(K214, 2)</f>
        <v>635.12</v>
      </c>
      <c r="M214" s="17">
        <v>25466.71</v>
      </c>
      <c r="N214" s="17">
        <v>273395.36</v>
      </c>
      <c r="O214" s="17">
        <f>M214+N214</f>
        <v>298862.07</v>
      </c>
      <c r="P214" s="17">
        <v>54.12</v>
      </c>
      <c r="Q214" s="18">
        <v>581</v>
      </c>
      <c r="R214" s="17">
        <f>P214+ROUND(Q214, 2)</f>
        <v>635.12</v>
      </c>
      <c r="S214" s="17">
        <v>25466.71</v>
      </c>
      <c r="T214" s="17">
        <v>273395.36</v>
      </c>
      <c r="U214" s="17">
        <f>S214+T214</f>
        <v>298862.07</v>
      </c>
      <c r="V214" s="9">
        <f>ROUND(P214 / 1.2, 2)</f>
        <v>45.1</v>
      </c>
      <c r="W214" s="9">
        <f>ROUND(Q214 / 1.2, 2)</f>
        <v>484.17</v>
      </c>
      <c r="X214" s="9">
        <f>ROUND(R214 / 1.2, 2)</f>
        <v>529.27</v>
      </c>
      <c r="Y214" s="9">
        <f t="shared" si="15"/>
        <v>21222.26</v>
      </c>
      <c r="Z214" s="9">
        <f>ROUND(T214 / 1.2, 2)</f>
        <v>227829.47</v>
      </c>
      <c r="AA214" s="9">
        <f>Y214+Z214</f>
        <v>249051.73</v>
      </c>
      <c r="AD214" s="4">
        <v>339118848</v>
      </c>
      <c r="AE214" s="4">
        <v>25888015</v>
      </c>
      <c r="AG214" s="4" t="s">
        <v>909</v>
      </c>
      <c r="AH214" s="4" t="s">
        <v>910</v>
      </c>
      <c r="AI214" s="4" t="s">
        <v>156</v>
      </c>
    </row>
    <row r="215" spans="1:35" ht="36" x14ac:dyDescent="0.3">
      <c r="A215" s="10" t="s">
        <v>911</v>
      </c>
      <c r="B215" s="10"/>
      <c r="C215" s="30" t="s">
        <v>849</v>
      </c>
      <c r="D215" s="15"/>
      <c r="E215" s="15"/>
      <c r="F215" s="25" t="s">
        <v>159</v>
      </c>
      <c r="G215" s="26">
        <v>1.5</v>
      </c>
      <c r="H215" s="26"/>
      <c r="I215" s="26">
        <v>705.84</v>
      </c>
      <c r="J215" s="27">
        <v>12.58</v>
      </c>
      <c r="M215" s="28">
        <f>ROUND(ROUND(J215, 2)*I215, 2)</f>
        <v>8879.4699999999993</v>
      </c>
      <c r="P215" s="27">
        <v>12.58</v>
      </c>
      <c r="S215" s="28">
        <f>ROUND(ROUND(P215, 2)*I215, 2)</f>
        <v>8879.4699999999993</v>
      </c>
      <c r="V215" s="9">
        <f>ROUND(ROUND(P215, 2)/1.2, 2)</f>
        <v>10.48</v>
      </c>
      <c r="Y215" s="9">
        <f t="shared" si="15"/>
        <v>7399.56</v>
      </c>
      <c r="AD215" s="4" t="s">
        <v>912</v>
      </c>
      <c r="AE215" s="4" t="s">
        <v>913</v>
      </c>
      <c r="AF215" s="4" t="s">
        <v>852</v>
      </c>
    </row>
    <row r="216" spans="1:35" ht="36" x14ac:dyDescent="0.3">
      <c r="A216" s="10" t="s">
        <v>914</v>
      </c>
      <c r="B216" s="10"/>
      <c r="C216" s="24" t="s">
        <v>915</v>
      </c>
      <c r="D216" s="15"/>
      <c r="E216" s="15"/>
      <c r="F216" s="25" t="s">
        <v>240</v>
      </c>
      <c r="G216" s="26">
        <v>0.3</v>
      </c>
      <c r="H216" s="26"/>
      <c r="I216" s="26">
        <v>141.16800000000001</v>
      </c>
      <c r="J216" s="27">
        <v>73.099999999999994</v>
      </c>
      <c r="M216" s="28">
        <f>ROUND(ROUND(J216, 2)*I216, 2)</f>
        <v>10319.379999999999</v>
      </c>
      <c r="P216" s="27">
        <v>73.099999999999994</v>
      </c>
      <c r="S216" s="28">
        <f>ROUND(ROUND(P216, 2)*I216, 2)</f>
        <v>10319.379999999999</v>
      </c>
      <c r="V216" s="9">
        <f>ROUND(ROUND(P216, 2)/1.2, 2)</f>
        <v>60.92</v>
      </c>
      <c r="Y216" s="9">
        <f t="shared" si="15"/>
        <v>8599.48</v>
      </c>
      <c r="AD216" s="4" t="s">
        <v>916</v>
      </c>
      <c r="AE216" s="4" t="s">
        <v>917</v>
      </c>
      <c r="AF216" s="4" t="s">
        <v>918</v>
      </c>
    </row>
    <row r="217" spans="1:35" ht="36" x14ac:dyDescent="0.3">
      <c r="A217" s="10" t="s">
        <v>919</v>
      </c>
      <c r="B217" s="10"/>
      <c r="C217" s="24" t="s">
        <v>480</v>
      </c>
      <c r="D217" s="15"/>
      <c r="E217" s="15"/>
      <c r="F217" s="25" t="s">
        <v>159</v>
      </c>
      <c r="G217" s="26">
        <v>0.15</v>
      </c>
      <c r="H217" s="26"/>
      <c r="I217" s="26">
        <v>70.584000000000003</v>
      </c>
      <c r="J217" s="27">
        <v>88.8</v>
      </c>
      <c r="M217" s="28">
        <f>ROUND(ROUND(J217, 2)*I217, 2)</f>
        <v>6267.86</v>
      </c>
      <c r="P217" s="27">
        <v>88.8</v>
      </c>
      <c r="S217" s="28">
        <f>ROUND(ROUND(P217, 2)*I217, 2)</f>
        <v>6267.86</v>
      </c>
      <c r="V217" s="9">
        <f>ROUND(ROUND(P217, 2)/1.2, 2)</f>
        <v>74</v>
      </c>
      <c r="Y217" s="9">
        <f t="shared" si="15"/>
        <v>5223.22</v>
      </c>
      <c r="AD217" s="4" t="s">
        <v>920</v>
      </c>
      <c r="AE217" s="4" t="s">
        <v>921</v>
      </c>
      <c r="AF217" s="4" t="s">
        <v>483</v>
      </c>
    </row>
    <row r="218" spans="1:35" ht="90" x14ac:dyDescent="0.3">
      <c r="A218" s="10" t="s">
        <v>922</v>
      </c>
      <c r="B218" s="10" t="s">
        <v>923</v>
      </c>
      <c r="C218" s="14" t="s">
        <v>924</v>
      </c>
      <c r="D218" s="15"/>
      <c r="E218" s="15" t="s">
        <v>925</v>
      </c>
      <c r="F218" s="15" t="s">
        <v>75</v>
      </c>
      <c r="G218" s="16">
        <v>1</v>
      </c>
      <c r="H218" s="16"/>
      <c r="I218" s="16">
        <v>3186.15</v>
      </c>
      <c r="J218" s="17">
        <v>65.02</v>
      </c>
      <c r="K218" s="18">
        <v>508</v>
      </c>
      <c r="L218" s="17">
        <f>J218+ROUND(K218, 2)</f>
        <v>573.02</v>
      </c>
      <c r="M218" s="17">
        <v>207163.47</v>
      </c>
      <c r="N218" s="17">
        <v>1618564.2</v>
      </c>
      <c r="O218" s="17">
        <f>M218+N218</f>
        <v>1825727.67</v>
      </c>
      <c r="P218" s="17">
        <v>65.02</v>
      </c>
      <c r="Q218" s="18">
        <v>508</v>
      </c>
      <c r="R218" s="17">
        <f>P218+ROUND(Q218, 2)</f>
        <v>573.02</v>
      </c>
      <c r="S218" s="17">
        <v>207163.47</v>
      </c>
      <c r="T218" s="17">
        <v>1618564.2</v>
      </c>
      <c r="U218" s="17">
        <f>S218+T218</f>
        <v>1825727.67</v>
      </c>
      <c r="V218" s="9">
        <f>ROUND(P218 / 1.2, 2)</f>
        <v>54.18</v>
      </c>
      <c r="W218" s="9">
        <f>ROUND(Q218 / 1.2, 2)</f>
        <v>423.33</v>
      </c>
      <c r="X218" s="9">
        <f>ROUND(R218 / 1.2, 2)</f>
        <v>477.52</v>
      </c>
      <c r="Y218" s="9">
        <f t="shared" si="15"/>
        <v>172636.23</v>
      </c>
      <c r="Z218" s="9">
        <f>ROUND(T218 / 1.2, 2)</f>
        <v>1348803.5</v>
      </c>
      <c r="AA218" s="9">
        <f>Y218+Z218</f>
        <v>1521439.73</v>
      </c>
      <c r="AD218" s="4">
        <v>339118849</v>
      </c>
      <c r="AE218" s="4">
        <v>28951422</v>
      </c>
      <c r="AG218" s="4" t="s">
        <v>926</v>
      </c>
      <c r="AH218" s="4" t="s">
        <v>927</v>
      </c>
      <c r="AI218" s="4" t="s">
        <v>156</v>
      </c>
    </row>
    <row r="219" spans="1:35" ht="36" x14ac:dyDescent="0.3">
      <c r="A219" s="10" t="s">
        <v>928</v>
      </c>
      <c r="B219" s="10"/>
      <c r="C219" s="30" t="s">
        <v>849</v>
      </c>
      <c r="D219" s="15"/>
      <c r="E219" s="15"/>
      <c r="F219" s="25" t="s">
        <v>159</v>
      </c>
      <c r="G219" s="26">
        <v>1.8</v>
      </c>
      <c r="H219" s="26"/>
      <c r="I219" s="26">
        <v>5735.07</v>
      </c>
      <c r="J219" s="27">
        <v>12.26</v>
      </c>
      <c r="M219" s="28">
        <f>ROUND(ROUND(J219, 2)*I219, 2)</f>
        <v>70311.960000000006</v>
      </c>
      <c r="P219" s="27">
        <v>12.26</v>
      </c>
      <c r="S219" s="28">
        <f>ROUND(ROUND(P219, 2)*I219, 2)</f>
        <v>70311.960000000006</v>
      </c>
      <c r="V219" s="9">
        <f>ROUND(ROUND(P219, 2)/1.2, 2)</f>
        <v>10.220000000000001</v>
      </c>
      <c r="Y219" s="9">
        <f t="shared" si="15"/>
        <v>58593.3</v>
      </c>
      <c r="AD219" s="4" t="s">
        <v>929</v>
      </c>
      <c r="AE219" s="4" t="s">
        <v>930</v>
      </c>
      <c r="AF219" s="4" t="s">
        <v>931</v>
      </c>
    </row>
    <row r="220" spans="1:35" ht="18" x14ac:dyDescent="0.3">
      <c r="A220" s="10" t="s">
        <v>932</v>
      </c>
      <c r="B220" s="10"/>
      <c r="C220" s="24" t="s">
        <v>933</v>
      </c>
      <c r="D220" s="15"/>
      <c r="E220" s="15"/>
      <c r="F220" s="25" t="s">
        <v>240</v>
      </c>
      <c r="G220" s="26">
        <v>0.3</v>
      </c>
      <c r="H220" s="26"/>
      <c r="I220" s="26">
        <v>955.84500000000003</v>
      </c>
      <c r="J220" s="27">
        <v>74.319999999999993</v>
      </c>
      <c r="M220" s="28">
        <f>ROUND(ROUND(J220, 2)*I220, 2)</f>
        <v>71038.399999999994</v>
      </c>
      <c r="P220" s="27">
        <v>74.319999999999993</v>
      </c>
      <c r="S220" s="28">
        <f>ROUND(ROUND(P220, 2)*I220, 2)</f>
        <v>71038.399999999994</v>
      </c>
      <c r="V220" s="9">
        <f>ROUND(ROUND(P220, 2)/1.2, 2)</f>
        <v>61.93</v>
      </c>
      <c r="Y220" s="9">
        <f t="shared" si="15"/>
        <v>59198.67</v>
      </c>
      <c r="AD220" s="4" t="s">
        <v>934</v>
      </c>
      <c r="AE220" s="4" t="s">
        <v>935</v>
      </c>
      <c r="AF220" s="4" t="s">
        <v>936</v>
      </c>
    </row>
    <row r="221" spans="1:35" ht="18" x14ac:dyDescent="0.3">
      <c r="A221" s="10" t="s">
        <v>937</v>
      </c>
      <c r="B221" s="10"/>
      <c r="C221" s="24" t="s">
        <v>854</v>
      </c>
      <c r="D221" s="15"/>
      <c r="E221" s="15"/>
      <c r="F221" s="25" t="s">
        <v>120</v>
      </c>
      <c r="G221" s="26">
        <v>1</v>
      </c>
      <c r="H221" s="32"/>
      <c r="I221" s="32">
        <v>3186.15</v>
      </c>
      <c r="J221" s="27">
        <v>7.11</v>
      </c>
      <c r="M221" s="28">
        <f>ROUND(ROUND(J221, 2)*I221, 2)</f>
        <v>22653.53</v>
      </c>
      <c r="P221" s="27">
        <v>7.11</v>
      </c>
      <c r="S221" s="28">
        <f>ROUND(ROUND(P221, 2)*I221, 2)</f>
        <v>22653.53</v>
      </c>
      <c r="V221" s="9">
        <f>ROUND(ROUND(P221, 2)/1.2, 2)</f>
        <v>5.93</v>
      </c>
      <c r="Y221" s="9">
        <f t="shared" si="15"/>
        <v>18877.939999999999</v>
      </c>
      <c r="AD221" s="4" t="s">
        <v>938</v>
      </c>
      <c r="AE221" s="4" t="s">
        <v>939</v>
      </c>
      <c r="AF221" s="4" t="s">
        <v>857</v>
      </c>
    </row>
    <row r="222" spans="1:35" ht="36" x14ac:dyDescent="0.3">
      <c r="A222" s="10" t="s">
        <v>940</v>
      </c>
      <c r="B222" s="10"/>
      <c r="C222" s="24" t="s">
        <v>480</v>
      </c>
      <c r="D222" s="15"/>
      <c r="E222" s="15"/>
      <c r="F222" s="25" t="s">
        <v>159</v>
      </c>
      <c r="G222" s="26">
        <v>0.15</v>
      </c>
      <c r="H222" s="26"/>
      <c r="I222" s="26">
        <v>477.923</v>
      </c>
      <c r="J222" s="27">
        <v>90.28</v>
      </c>
      <c r="M222" s="28">
        <f>ROUND(ROUND(J222, 2)*I222, 2)</f>
        <v>43146.89</v>
      </c>
      <c r="P222" s="27">
        <v>90.28</v>
      </c>
      <c r="S222" s="28">
        <f>ROUND(ROUND(P222, 2)*I222, 2)</f>
        <v>43146.89</v>
      </c>
      <c r="V222" s="9">
        <f>ROUND(ROUND(P222, 2)/1.2, 2)</f>
        <v>75.23</v>
      </c>
      <c r="Y222" s="9">
        <f t="shared" si="15"/>
        <v>35955.74</v>
      </c>
      <c r="AD222" s="4" t="s">
        <v>941</v>
      </c>
      <c r="AE222" s="4" t="s">
        <v>942</v>
      </c>
      <c r="AF222" s="4" t="s">
        <v>483</v>
      </c>
    </row>
    <row r="223" spans="1:35" ht="90" x14ac:dyDescent="0.3">
      <c r="A223" s="10" t="s">
        <v>943</v>
      </c>
      <c r="B223" s="10" t="s">
        <v>923</v>
      </c>
      <c r="C223" s="14" t="s">
        <v>924</v>
      </c>
      <c r="D223" s="15"/>
      <c r="E223" s="15" t="s">
        <v>944</v>
      </c>
      <c r="F223" s="15" t="s">
        <v>75</v>
      </c>
      <c r="G223" s="16">
        <v>1</v>
      </c>
      <c r="H223" s="16"/>
      <c r="I223" s="16">
        <v>3186.15</v>
      </c>
      <c r="J223" s="17">
        <v>35.61</v>
      </c>
      <c r="K223" s="18">
        <v>508</v>
      </c>
      <c r="L223" s="17">
        <f>J223+ROUND(K223, 2)</f>
        <v>543.61</v>
      </c>
      <c r="M223" s="17">
        <v>113458.8</v>
      </c>
      <c r="N223" s="17">
        <v>1618564.2</v>
      </c>
      <c r="O223" s="17">
        <f>M223+N223</f>
        <v>1732023</v>
      </c>
      <c r="P223" s="17">
        <v>48.39</v>
      </c>
      <c r="Q223" s="18">
        <v>508</v>
      </c>
      <c r="R223" s="17">
        <f>P223+ROUND(Q223, 2)</f>
        <v>556.39</v>
      </c>
      <c r="S223" s="17">
        <v>154177.79999999999</v>
      </c>
      <c r="T223" s="17">
        <v>1618564.2</v>
      </c>
      <c r="U223" s="17">
        <f>S223+T223</f>
        <v>1772742</v>
      </c>
      <c r="V223" s="9">
        <f>ROUND(P223 / 1.2, 2)</f>
        <v>40.33</v>
      </c>
      <c r="W223" s="9">
        <f>ROUND(Q223 / 1.2, 2)</f>
        <v>423.33</v>
      </c>
      <c r="X223" s="9">
        <f>ROUND(R223 / 1.2, 2)</f>
        <v>463.66</v>
      </c>
      <c r="Y223" s="9">
        <f t="shared" si="15"/>
        <v>128481.5</v>
      </c>
      <c r="Z223" s="9">
        <f>ROUND(T223 / 1.2, 2)</f>
        <v>1348803.5</v>
      </c>
      <c r="AA223" s="9">
        <f>Y223+Z223</f>
        <v>1477285</v>
      </c>
      <c r="AD223" s="4">
        <v>339118918</v>
      </c>
      <c r="AE223" s="4">
        <v>28951420</v>
      </c>
      <c r="AG223" s="4" t="s">
        <v>926</v>
      </c>
      <c r="AH223" s="4" t="s">
        <v>927</v>
      </c>
      <c r="AI223" s="4" t="s">
        <v>156</v>
      </c>
    </row>
    <row r="224" spans="1:35" ht="36" x14ac:dyDescent="0.3">
      <c r="A224" s="10" t="s">
        <v>945</v>
      </c>
      <c r="B224" s="10"/>
      <c r="C224" s="24" t="s">
        <v>480</v>
      </c>
      <c r="D224" s="15"/>
      <c r="E224" s="15"/>
      <c r="F224" s="25" t="s">
        <v>159</v>
      </c>
      <c r="G224" s="26">
        <v>0.15</v>
      </c>
      <c r="H224" s="26"/>
      <c r="I224" s="26">
        <v>477.923</v>
      </c>
      <c r="J224" s="27">
        <v>90.28</v>
      </c>
      <c r="M224" s="28">
        <f>ROUND(ROUND(J224, 2)*I224, 2)</f>
        <v>43146.89</v>
      </c>
      <c r="P224" s="27">
        <v>90.28</v>
      </c>
      <c r="S224" s="28">
        <f>ROUND(ROUND(P224, 2)*I224, 2)</f>
        <v>43146.89</v>
      </c>
      <c r="V224" s="9">
        <f>ROUND(ROUND(P224, 2)/1.2, 2)</f>
        <v>75.23</v>
      </c>
      <c r="Y224" s="9">
        <f t="shared" si="15"/>
        <v>35955.74</v>
      </c>
      <c r="AD224" s="4" t="s">
        <v>946</v>
      </c>
      <c r="AE224" s="4" t="s">
        <v>947</v>
      </c>
      <c r="AF224" s="4" t="s">
        <v>483</v>
      </c>
    </row>
    <row r="225" spans="1:35" ht="54" x14ac:dyDescent="0.3">
      <c r="A225" s="10" t="s">
        <v>948</v>
      </c>
      <c r="B225" s="10"/>
      <c r="C225" s="30" t="s">
        <v>849</v>
      </c>
      <c r="D225" s="15"/>
      <c r="E225" s="15" t="s">
        <v>949</v>
      </c>
      <c r="F225" s="25" t="s">
        <v>159</v>
      </c>
      <c r="G225" s="26">
        <v>1.8</v>
      </c>
      <c r="H225" s="26"/>
      <c r="I225" s="26">
        <v>5735.07</v>
      </c>
      <c r="J225" s="27">
        <v>12.26</v>
      </c>
      <c r="M225" s="28">
        <f>ROUND(ROUND(J225, 2)*I225, 2)</f>
        <v>70311.960000000006</v>
      </c>
      <c r="P225" s="27">
        <v>19.36</v>
      </c>
      <c r="S225" s="28">
        <f>ROUND(ROUND(P225, 2)*I225, 2)</f>
        <v>111030.96</v>
      </c>
      <c r="V225" s="9">
        <f>ROUND(ROUND(P225, 2)/1.2, 2)</f>
        <v>16.13</v>
      </c>
      <c r="Y225" s="9">
        <f t="shared" si="15"/>
        <v>92525.8</v>
      </c>
      <c r="AD225" s="4" t="s">
        <v>950</v>
      </c>
      <c r="AE225" s="4" t="s">
        <v>951</v>
      </c>
      <c r="AF225" s="4" t="s">
        <v>931</v>
      </c>
    </row>
    <row r="226" spans="1:35" ht="72" x14ac:dyDescent="0.3">
      <c r="A226" s="10" t="s">
        <v>952</v>
      </c>
      <c r="B226" s="10" t="s">
        <v>923</v>
      </c>
      <c r="C226" s="14" t="s">
        <v>924</v>
      </c>
      <c r="D226" s="15"/>
      <c r="E226" s="15" t="s">
        <v>953</v>
      </c>
      <c r="F226" s="15" t="s">
        <v>75</v>
      </c>
      <c r="G226" s="16">
        <v>1</v>
      </c>
      <c r="H226" s="16"/>
      <c r="I226" s="16">
        <v>1183.1199999999999</v>
      </c>
      <c r="J226" s="17">
        <v>65.02</v>
      </c>
      <c r="K226" s="18">
        <v>508</v>
      </c>
      <c r="L226" s="17">
        <f>J226+ROUND(K226, 2)</f>
        <v>573.02</v>
      </c>
      <c r="M226" s="17">
        <v>76926.460000000006</v>
      </c>
      <c r="N226" s="17">
        <v>601024.96</v>
      </c>
      <c r="O226" s="17">
        <f>M226+N226</f>
        <v>677951.41999999993</v>
      </c>
      <c r="P226" s="17">
        <v>65.02</v>
      </c>
      <c r="Q226" s="18">
        <v>508</v>
      </c>
      <c r="R226" s="17">
        <f>P226+ROUND(Q226, 2)</f>
        <v>573.02</v>
      </c>
      <c r="S226" s="17">
        <v>76926.460000000006</v>
      </c>
      <c r="T226" s="17">
        <v>601024.96</v>
      </c>
      <c r="U226" s="17">
        <f>S226+T226</f>
        <v>677951.41999999993</v>
      </c>
      <c r="V226" s="9">
        <f>ROUND(P226 / 1.2, 2)</f>
        <v>54.18</v>
      </c>
      <c r="W226" s="9">
        <f>ROUND(Q226 / 1.2, 2)</f>
        <v>423.33</v>
      </c>
      <c r="X226" s="9">
        <f>ROUND(R226 / 1.2, 2)</f>
        <v>477.52</v>
      </c>
      <c r="Y226" s="9">
        <f t="shared" si="15"/>
        <v>64105.38</v>
      </c>
      <c r="Z226" s="9">
        <f>ROUND(T226 / 1.2, 2)</f>
        <v>500854.13</v>
      </c>
      <c r="AA226" s="9">
        <f>Y226+Z226</f>
        <v>564959.51</v>
      </c>
      <c r="AD226" s="4">
        <v>339118919</v>
      </c>
      <c r="AE226" s="4">
        <v>28975341</v>
      </c>
      <c r="AG226" s="4" t="s">
        <v>926</v>
      </c>
      <c r="AH226" s="4" t="s">
        <v>927</v>
      </c>
      <c r="AI226" s="4" t="s">
        <v>156</v>
      </c>
    </row>
    <row r="227" spans="1:35" ht="36" x14ac:dyDescent="0.3">
      <c r="A227" s="10" t="s">
        <v>954</v>
      </c>
      <c r="B227" s="10"/>
      <c r="C227" s="30" t="s">
        <v>849</v>
      </c>
      <c r="D227" s="15"/>
      <c r="E227" s="15"/>
      <c r="F227" s="25" t="s">
        <v>159</v>
      </c>
      <c r="G227" s="26">
        <v>1.8</v>
      </c>
      <c r="H227" s="26"/>
      <c r="I227" s="26">
        <v>2129.616</v>
      </c>
      <c r="J227" s="27">
        <v>12.26</v>
      </c>
      <c r="M227" s="28">
        <f>ROUND(ROUND(J227, 2)*I227, 2)</f>
        <v>26109.09</v>
      </c>
      <c r="P227" s="27">
        <v>12.26</v>
      </c>
      <c r="S227" s="28">
        <f>ROUND(ROUND(P227, 2)*I227, 2)</f>
        <v>26109.09</v>
      </c>
      <c r="V227" s="9">
        <f>ROUND(ROUND(P227, 2)/1.2, 2)</f>
        <v>10.220000000000001</v>
      </c>
      <c r="Y227" s="9">
        <f t="shared" si="15"/>
        <v>21757.58</v>
      </c>
      <c r="AD227" s="4" t="s">
        <v>955</v>
      </c>
      <c r="AE227" s="4" t="s">
        <v>956</v>
      </c>
      <c r="AF227" s="4" t="s">
        <v>931</v>
      </c>
    </row>
    <row r="228" spans="1:35" ht="18" x14ac:dyDescent="0.3">
      <c r="A228" s="10" t="s">
        <v>957</v>
      </c>
      <c r="B228" s="10"/>
      <c r="C228" s="24" t="s">
        <v>933</v>
      </c>
      <c r="D228" s="15"/>
      <c r="E228" s="15"/>
      <c r="F228" s="25" t="s">
        <v>240</v>
      </c>
      <c r="G228" s="26">
        <v>0.3</v>
      </c>
      <c r="H228" s="26"/>
      <c r="I228" s="26">
        <v>354.93599999999998</v>
      </c>
      <c r="J228" s="27">
        <v>74.319999999999993</v>
      </c>
      <c r="M228" s="28">
        <f>ROUND(ROUND(J228, 2)*I228, 2)</f>
        <v>26378.84</v>
      </c>
      <c r="P228" s="27">
        <v>74.319999999999993</v>
      </c>
      <c r="S228" s="28">
        <f>ROUND(ROUND(P228, 2)*I228, 2)</f>
        <v>26378.84</v>
      </c>
      <c r="V228" s="9">
        <f>ROUND(ROUND(P228, 2)/1.2, 2)</f>
        <v>61.93</v>
      </c>
      <c r="Y228" s="9">
        <f t="shared" si="15"/>
        <v>21982.37</v>
      </c>
      <c r="AD228" s="4" t="s">
        <v>958</v>
      </c>
      <c r="AE228" s="4" t="s">
        <v>959</v>
      </c>
      <c r="AF228" s="4" t="s">
        <v>936</v>
      </c>
    </row>
    <row r="229" spans="1:35" ht="18" x14ac:dyDescent="0.3">
      <c r="A229" s="10" t="s">
        <v>960</v>
      </c>
      <c r="B229" s="10"/>
      <c r="C229" s="24" t="s">
        <v>854</v>
      </c>
      <c r="D229" s="15"/>
      <c r="E229" s="15"/>
      <c r="F229" s="25" t="s">
        <v>120</v>
      </c>
      <c r="G229" s="26">
        <v>1</v>
      </c>
      <c r="H229" s="32"/>
      <c r="I229" s="32">
        <v>1183.1199999999999</v>
      </c>
      <c r="J229" s="27">
        <v>7.11</v>
      </c>
      <c r="M229" s="28">
        <f>ROUND(ROUND(J229, 2)*I229, 2)</f>
        <v>8411.98</v>
      </c>
      <c r="P229" s="27">
        <v>7.11</v>
      </c>
      <c r="S229" s="28">
        <f>ROUND(ROUND(P229, 2)*I229, 2)</f>
        <v>8411.98</v>
      </c>
      <c r="V229" s="9">
        <f>ROUND(ROUND(P229, 2)/1.2, 2)</f>
        <v>5.93</v>
      </c>
      <c r="Y229" s="9">
        <f t="shared" si="15"/>
        <v>7009.98</v>
      </c>
      <c r="AD229" s="4" t="s">
        <v>961</v>
      </c>
      <c r="AE229" s="4" t="s">
        <v>962</v>
      </c>
      <c r="AF229" s="4" t="s">
        <v>857</v>
      </c>
    </row>
    <row r="230" spans="1:35" ht="36" x14ac:dyDescent="0.3">
      <c r="A230" s="10" t="s">
        <v>963</v>
      </c>
      <c r="B230" s="10"/>
      <c r="C230" s="24" t="s">
        <v>480</v>
      </c>
      <c r="D230" s="15"/>
      <c r="E230" s="15"/>
      <c r="F230" s="25" t="s">
        <v>159</v>
      </c>
      <c r="G230" s="26">
        <v>0.15</v>
      </c>
      <c r="H230" s="26"/>
      <c r="I230" s="26">
        <v>177.46799999999999</v>
      </c>
      <c r="J230" s="27">
        <v>90.28</v>
      </c>
      <c r="M230" s="28">
        <f>ROUND(ROUND(J230, 2)*I230, 2)</f>
        <v>16021.81</v>
      </c>
      <c r="P230" s="27">
        <v>90.28</v>
      </c>
      <c r="S230" s="28">
        <f>ROUND(ROUND(P230, 2)*I230, 2)</f>
        <v>16021.81</v>
      </c>
      <c r="V230" s="9">
        <f>ROUND(ROUND(P230, 2)/1.2, 2)</f>
        <v>75.23</v>
      </c>
      <c r="Y230" s="9">
        <f t="shared" si="15"/>
        <v>13351.51</v>
      </c>
      <c r="AD230" s="4" t="s">
        <v>964</v>
      </c>
      <c r="AE230" s="4" t="s">
        <v>965</v>
      </c>
      <c r="AF230" s="4" t="s">
        <v>483</v>
      </c>
    </row>
    <row r="231" spans="1:35" ht="90" x14ac:dyDescent="0.3">
      <c r="A231" s="10" t="s">
        <v>966</v>
      </c>
      <c r="B231" s="10" t="s">
        <v>923</v>
      </c>
      <c r="C231" s="14" t="s">
        <v>924</v>
      </c>
      <c r="D231" s="15"/>
      <c r="E231" s="15" t="s">
        <v>967</v>
      </c>
      <c r="F231" s="15" t="s">
        <v>75</v>
      </c>
      <c r="G231" s="16">
        <v>1</v>
      </c>
      <c r="H231" s="16"/>
      <c r="I231" s="16">
        <v>1183.1199999999999</v>
      </c>
      <c r="J231" s="17">
        <v>35.61</v>
      </c>
      <c r="K231" s="18">
        <v>508</v>
      </c>
      <c r="L231" s="17">
        <f>J231+ROUND(K231, 2)</f>
        <v>543.61</v>
      </c>
      <c r="M231" s="17">
        <v>42130.9</v>
      </c>
      <c r="N231" s="17">
        <v>601024.96</v>
      </c>
      <c r="O231" s="17">
        <f>M231+N231</f>
        <v>643155.86</v>
      </c>
      <c r="P231" s="17">
        <v>48.39</v>
      </c>
      <c r="Q231" s="18">
        <v>508</v>
      </c>
      <c r="R231" s="17">
        <f>P231+ROUND(Q231, 2)</f>
        <v>556.39</v>
      </c>
      <c r="S231" s="17">
        <v>57251.18</v>
      </c>
      <c r="T231" s="17">
        <v>601024.96</v>
      </c>
      <c r="U231" s="17">
        <f>S231+T231</f>
        <v>658276.14</v>
      </c>
      <c r="V231" s="9">
        <f>ROUND(P231 / 1.2, 2)</f>
        <v>40.33</v>
      </c>
      <c r="W231" s="9">
        <f>ROUND(Q231 / 1.2, 2)</f>
        <v>423.33</v>
      </c>
      <c r="X231" s="9">
        <f>ROUND(R231 / 1.2, 2)</f>
        <v>463.66</v>
      </c>
      <c r="Y231" s="9">
        <f t="shared" si="15"/>
        <v>47709.32</v>
      </c>
      <c r="Z231" s="9">
        <f>ROUND(T231 / 1.2, 2)</f>
        <v>500854.13</v>
      </c>
      <c r="AA231" s="9">
        <f>Y231+Z231</f>
        <v>548563.44999999995</v>
      </c>
      <c r="AD231" s="4">
        <v>339118920</v>
      </c>
      <c r="AE231" s="4">
        <v>28975342</v>
      </c>
      <c r="AG231" s="4" t="s">
        <v>926</v>
      </c>
      <c r="AH231" s="4" t="s">
        <v>927</v>
      </c>
      <c r="AI231" s="4" t="s">
        <v>156</v>
      </c>
    </row>
    <row r="232" spans="1:35" ht="36" x14ac:dyDescent="0.3">
      <c r="A232" s="10" t="s">
        <v>968</v>
      </c>
      <c r="B232" s="10"/>
      <c r="C232" s="24" t="s">
        <v>480</v>
      </c>
      <c r="D232" s="15"/>
      <c r="E232" s="15"/>
      <c r="F232" s="25" t="s">
        <v>159</v>
      </c>
      <c r="G232" s="26">
        <v>0.15</v>
      </c>
      <c r="H232" s="26"/>
      <c r="I232" s="26">
        <v>177.46799999999999</v>
      </c>
      <c r="J232" s="27">
        <v>90.28</v>
      </c>
      <c r="M232" s="28">
        <f>ROUND(ROUND(J232, 2)*I232, 2)</f>
        <v>16021.81</v>
      </c>
      <c r="P232" s="27">
        <v>90.28</v>
      </c>
      <c r="S232" s="28">
        <f>ROUND(ROUND(P232, 2)*I232, 2)</f>
        <v>16021.81</v>
      </c>
      <c r="V232" s="9">
        <f>ROUND(ROUND(P232, 2)/1.2, 2)</f>
        <v>75.23</v>
      </c>
      <c r="Y232" s="9">
        <f t="shared" si="15"/>
        <v>13351.51</v>
      </c>
      <c r="AD232" s="4" t="s">
        <v>969</v>
      </c>
      <c r="AE232" s="4" t="s">
        <v>970</v>
      </c>
      <c r="AF232" s="4" t="s">
        <v>483</v>
      </c>
    </row>
    <row r="233" spans="1:35" ht="54" x14ac:dyDescent="0.3">
      <c r="A233" s="10" t="s">
        <v>971</v>
      </c>
      <c r="B233" s="10"/>
      <c r="C233" s="30" t="s">
        <v>849</v>
      </c>
      <c r="D233" s="15"/>
      <c r="E233" s="15" t="s">
        <v>949</v>
      </c>
      <c r="F233" s="25" t="s">
        <v>159</v>
      </c>
      <c r="G233" s="26">
        <v>1.8</v>
      </c>
      <c r="H233" s="26"/>
      <c r="I233" s="26">
        <v>2129.616</v>
      </c>
      <c r="J233" s="27">
        <v>12.26</v>
      </c>
      <c r="M233" s="28">
        <f>ROUND(ROUND(J233, 2)*I233, 2)</f>
        <v>26109.09</v>
      </c>
      <c r="P233" s="27">
        <v>19.36</v>
      </c>
      <c r="S233" s="28">
        <f>ROUND(ROUND(P233, 2)*I233, 2)</f>
        <v>41229.370000000003</v>
      </c>
      <c r="V233" s="9">
        <f>ROUND(ROUND(P233, 2)/1.2, 2)</f>
        <v>16.13</v>
      </c>
      <c r="Y233" s="9">
        <f t="shared" si="15"/>
        <v>34357.81</v>
      </c>
      <c r="AD233" s="4" t="s">
        <v>972</v>
      </c>
      <c r="AE233" s="4" t="s">
        <v>973</v>
      </c>
      <c r="AF233" s="4" t="s">
        <v>931</v>
      </c>
    </row>
    <row r="234" spans="1:35" ht="162" x14ac:dyDescent="0.3">
      <c r="A234" s="10" t="s">
        <v>974</v>
      </c>
      <c r="B234" s="10" t="s">
        <v>923</v>
      </c>
      <c r="C234" s="14" t="s">
        <v>924</v>
      </c>
      <c r="D234" s="15"/>
      <c r="E234" s="15" t="s">
        <v>975</v>
      </c>
      <c r="F234" s="15" t="s">
        <v>75</v>
      </c>
      <c r="G234" s="16">
        <v>1</v>
      </c>
      <c r="H234" s="16"/>
      <c r="I234" s="16">
        <v>10252.69</v>
      </c>
      <c r="J234" s="17">
        <v>35.61</v>
      </c>
      <c r="K234" s="18">
        <v>508</v>
      </c>
      <c r="L234" s="17">
        <f>J234+ROUND(K234, 2)</f>
        <v>543.61</v>
      </c>
      <c r="M234" s="17">
        <v>365098.29</v>
      </c>
      <c r="N234" s="17">
        <v>5208366.5199999996</v>
      </c>
      <c r="O234" s="17">
        <f>M234+N234</f>
        <v>5573464.8099999996</v>
      </c>
      <c r="P234" s="17">
        <v>48.39</v>
      </c>
      <c r="Q234" s="18">
        <v>508</v>
      </c>
      <c r="R234" s="17">
        <f>P234+ROUND(Q234, 2)</f>
        <v>556.39</v>
      </c>
      <c r="S234" s="17">
        <v>496127.67</v>
      </c>
      <c r="T234" s="17">
        <v>5208366.5199999996</v>
      </c>
      <c r="U234" s="17">
        <f>S234+T234</f>
        <v>5704494.1899999995</v>
      </c>
      <c r="V234" s="9">
        <f>ROUND(P234 / 1.2, 2)</f>
        <v>40.33</v>
      </c>
      <c r="W234" s="9">
        <f>ROUND(Q234 / 1.2, 2)</f>
        <v>423.33</v>
      </c>
      <c r="X234" s="9">
        <f>ROUND(R234 / 1.2, 2)</f>
        <v>463.66</v>
      </c>
      <c r="Y234" s="9">
        <f t="shared" si="15"/>
        <v>413439.73</v>
      </c>
      <c r="Z234" s="9">
        <f>ROUND(T234 / 1.2, 2)</f>
        <v>4340305.43</v>
      </c>
      <c r="AA234" s="9">
        <f>Y234+Z234</f>
        <v>4753745.16</v>
      </c>
      <c r="AD234" s="4">
        <v>339118921</v>
      </c>
      <c r="AE234" s="4">
        <v>29086448</v>
      </c>
      <c r="AG234" s="4" t="s">
        <v>926</v>
      </c>
      <c r="AH234" s="4" t="s">
        <v>927</v>
      </c>
      <c r="AI234" s="4" t="s">
        <v>156</v>
      </c>
    </row>
    <row r="235" spans="1:35" ht="54" x14ac:dyDescent="0.3">
      <c r="A235" s="10" t="s">
        <v>976</v>
      </c>
      <c r="B235" s="10"/>
      <c r="C235" s="30" t="s">
        <v>849</v>
      </c>
      <c r="D235" s="15"/>
      <c r="E235" s="15" t="s">
        <v>949</v>
      </c>
      <c r="F235" s="25" t="s">
        <v>159</v>
      </c>
      <c r="G235" s="26">
        <v>1.8</v>
      </c>
      <c r="H235" s="26"/>
      <c r="I235" s="26">
        <v>18454.842000000001</v>
      </c>
      <c r="J235" s="27">
        <v>12.26</v>
      </c>
      <c r="M235" s="28">
        <f>ROUND(ROUND(J235, 2)*I235, 2)</f>
        <v>226256.36</v>
      </c>
      <c r="P235" s="27">
        <v>19.36</v>
      </c>
      <c r="S235" s="28">
        <f>ROUND(ROUND(P235, 2)*I235, 2)</f>
        <v>357285.74</v>
      </c>
      <c r="V235" s="9">
        <f>ROUND(ROUND(P235, 2)/1.2, 2)</f>
        <v>16.13</v>
      </c>
      <c r="Y235" s="9">
        <f t="shared" ref="Y235:Y270" si="16">ROUND(S235 / 1.2, 2)</f>
        <v>297738.12</v>
      </c>
      <c r="AD235" s="4" t="s">
        <v>977</v>
      </c>
      <c r="AE235" s="4" t="s">
        <v>978</v>
      </c>
      <c r="AF235" s="4" t="s">
        <v>931</v>
      </c>
    </row>
    <row r="236" spans="1:35" ht="36" x14ac:dyDescent="0.3">
      <c r="A236" s="10" t="s">
        <v>979</v>
      </c>
      <c r="B236" s="10"/>
      <c r="C236" s="24" t="s">
        <v>480</v>
      </c>
      <c r="D236" s="15"/>
      <c r="E236" s="15"/>
      <c r="F236" s="25" t="s">
        <v>159</v>
      </c>
      <c r="G236" s="26">
        <v>0.15</v>
      </c>
      <c r="H236" s="26"/>
      <c r="I236" s="26">
        <v>1537.904</v>
      </c>
      <c r="J236" s="27">
        <v>90.28</v>
      </c>
      <c r="M236" s="28">
        <f>ROUND(ROUND(J236, 2)*I236, 2)</f>
        <v>138841.97</v>
      </c>
      <c r="P236" s="27">
        <v>90.28</v>
      </c>
      <c r="S236" s="28">
        <f>ROUND(ROUND(P236, 2)*I236, 2)</f>
        <v>138841.97</v>
      </c>
      <c r="V236" s="9">
        <f>ROUND(ROUND(P236, 2)/1.2, 2)</f>
        <v>75.23</v>
      </c>
      <c r="Y236" s="9">
        <f t="shared" si="16"/>
        <v>115701.64</v>
      </c>
      <c r="AD236" s="4" t="s">
        <v>980</v>
      </c>
      <c r="AE236" s="4" t="s">
        <v>981</v>
      </c>
      <c r="AF236" s="4" t="s">
        <v>483</v>
      </c>
    </row>
    <row r="237" spans="1:35" ht="180" x14ac:dyDescent="0.3">
      <c r="A237" s="10" t="s">
        <v>982</v>
      </c>
      <c r="B237" s="10" t="s">
        <v>923</v>
      </c>
      <c r="C237" s="14" t="s">
        <v>924</v>
      </c>
      <c r="D237" s="15"/>
      <c r="E237" s="15" t="s">
        <v>983</v>
      </c>
      <c r="F237" s="15" t="s">
        <v>75</v>
      </c>
      <c r="G237" s="16">
        <v>1</v>
      </c>
      <c r="H237" s="16"/>
      <c r="I237" s="16">
        <v>652.91</v>
      </c>
      <c r="J237" s="17">
        <v>35.61</v>
      </c>
      <c r="K237" s="18">
        <v>508</v>
      </c>
      <c r="L237" s="17">
        <f>J237+ROUND(K237, 2)</f>
        <v>543.61</v>
      </c>
      <c r="M237" s="17">
        <v>23250.13</v>
      </c>
      <c r="N237" s="17">
        <v>331678.28000000003</v>
      </c>
      <c r="O237" s="17">
        <f>M237+N237</f>
        <v>354928.41000000003</v>
      </c>
      <c r="P237" s="17">
        <v>35.61</v>
      </c>
      <c r="Q237" s="18">
        <v>508</v>
      </c>
      <c r="R237" s="17">
        <f>P237+ROUND(Q237, 2)</f>
        <v>543.61</v>
      </c>
      <c r="S237" s="17">
        <v>23250.13</v>
      </c>
      <c r="T237" s="17">
        <v>331678.28000000003</v>
      </c>
      <c r="U237" s="17">
        <f>S237+T237</f>
        <v>354928.41000000003</v>
      </c>
      <c r="V237" s="9">
        <f>ROUND(P237 / 1.2, 2)</f>
        <v>29.68</v>
      </c>
      <c r="W237" s="9">
        <f>ROUND(Q237 / 1.2, 2)</f>
        <v>423.33</v>
      </c>
      <c r="X237" s="9">
        <f>ROUND(R237 / 1.2, 2)</f>
        <v>453.01</v>
      </c>
      <c r="Y237" s="9">
        <f t="shared" si="16"/>
        <v>19375.11</v>
      </c>
      <c r="Z237" s="9">
        <f>ROUND(T237 / 1.2, 2)</f>
        <v>276398.57</v>
      </c>
      <c r="AA237" s="9">
        <f>Y237+Z237</f>
        <v>295773.68</v>
      </c>
      <c r="AD237" s="4">
        <v>339118922</v>
      </c>
      <c r="AE237" s="4">
        <v>29086447</v>
      </c>
      <c r="AG237" s="4" t="s">
        <v>926</v>
      </c>
      <c r="AH237" s="4" t="s">
        <v>927</v>
      </c>
      <c r="AI237" s="4" t="s">
        <v>156</v>
      </c>
    </row>
    <row r="238" spans="1:35" ht="36" x14ac:dyDescent="0.3">
      <c r="A238" s="10" t="s">
        <v>984</v>
      </c>
      <c r="B238" s="10"/>
      <c r="C238" s="24" t="s">
        <v>480</v>
      </c>
      <c r="D238" s="15"/>
      <c r="E238" s="15"/>
      <c r="F238" s="25" t="s">
        <v>159</v>
      </c>
      <c r="G238" s="26">
        <v>0.15</v>
      </c>
      <c r="H238" s="26"/>
      <c r="I238" s="26">
        <v>97.936999999999998</v>
      </c>
      <c r="J238" s="27">
        <v>90.28</v>
      </c>
      <c r="M238" s="28">
        <f>ROUND(ROUND(J238, 2)*I238, 2)</f>
        <v>8841.75</v>
      </c>
      <c r="P238" s="27">
        <v>90.28</v>
      </c>
      <c r="S238" s="28">
        <f>ROUND(ROUND(P238, 2)*I238, 2)</f>
        <v>8841.75</v>
      </c>
      <c r="V238" s="9">
        <f>ROUND(ROUND(P238, 2)/1.2, 2)</f>
        <v>75.23</v>
      </c>
      <c r="Y238" s="9">
        <f t="shared" si="16"/>
        <v>7368.13</v>
      </c>
      <c r="AD238" s="4" t="s">
        <v>985</v>
      </c>
      <c r="AE238" s="4" t="s">
        <v>986</v>
      </c>
      <c r="AF238" s="4" t="s">
        <v>483</v>
      </c>
    </row>
    <row r="239" spans="1:35" ht="36" x14ac:dyDescent="0.3">
      <c r="A239" s="10" t="s">
        <v>987</v>
      </c>
      <c r="B239" s="10"/>
      <c r="C239" s="30" t="s">
        <v>849</v>
      </c>
      <c r="D239" s="15"/>
      <c r="E239" s="15"/>
      <c r="F239" s="25" t="s">
        <v>159</v>
      </c>
      <c r="G239" s="26">
        <v>1.8</v>
      </c>
      <c r="H239" s="26"/>
      <c r="I239" s="26">
        <v>1175.2380000000001</v>
      </c>
      <c r="J239" s="27">
        <v>12.26</v>
      </c>
      <c r="M239" s="28">
        <f>ROUND(ROUND(J239, 2)*I239, 2)</f>
        <v>14408.42</v>
      </c>
      <c r="P239" s="27">
        <v>12.26</v>
      </c>
      <c r="S239" s="28">
        <f>ROUND(ROUND(P239, 2)*I239, 2)</f>
        <v>14408.42</v>
      </c>
      <c r="V239" s="9">
        <f>ROUND(ROUND(P239, 2)/1.2, 2)</f>
        <v>10.220000000000001</v>
      </c>
      <c r="Y239" s="9">
        <f t="shared" si="16"/>
        <v>12007.02</v>
      </c>
      <c r="AD239" s="4" t="s">
        <v>988</v>
      </c>
      <c r="AE239" s="4" t="s">
        <v>989</v>
      </c>
      <c r="AF239" s="4" t="s">
        <v>931</v>
      </c>
    </row>
    <row r="240" spans="1:35" ht="72" x14ac:dyDescent="0.3">
      <c r="A240" s="10" t="s">
        <v>990</v>
      </c>
      <c r="B240" s="10" t="s">
        <v>991</v>
      </c>
      <c r="C240" s="14" t="s">
        <v>992</v>
      </c>
      <c r="D240" s="15"/>
      <c r="E240" s="15" t="s">
        <v>993</v>
      </c>
      <c r="F240" s="15" t="s">
        <v>75</v>
      </c>
      <c r="G240" s="16">
        <v>1</v>
      </c>
      <c r="H240" s="16"/>
      <c r="I240" s="16">
        <v>2099.7800000000002</v>
      </c>
      <c r="J240" s="17">
        <v>35.96</v>
      </c>
      <c r="K240" s="18">
        <v>496</v>
      </c>
      <c r="L240" s="17">
        <f>J240+ROUND(K240, 2)</f>
        <v>531.96</v>
      </c>
      <c r="M240" s="17">
        <v>75508.09</v>
      </c>
      <c r="N240" s="17">
        <v>1041490.88</v>
      </c>
      <c r="O240" s="17">
        <f>M240+N240</f>
        <v>1116998.97</v>
      </c>
      <c r="P240" s="17">
        <v>35.96</v>
      </c>
      <c r="Q240" s="18">
        <v>496</v>
      </c>
      <c r="R240" s="17">
        <f>P240+ROUND(Q240, 2)</f>
        <v>531.96</v>
      </c>
      <c r="S240" s="17">
        <v>75508.09</v>
      </c>
      <c r="T240" s="17">
        <v>1041490.88</v>
      </c>
      <c r="U240" s="17">
        <f>S240+T240</f>
        <v>1116998.97</v>
      </c>
      <c r="V240" s="9">
        <f>ROUND(P240 / 1.2, 2)</f>
        <v>29.97</v>
      </c>
      <c r="W240" s="9">
        <f>ROUND(Q240 / 1.2, 2)</f>
        <v>413.33</v>
      </c>
      <c r="X240" s="9">
        <f>ROUND(R240 / 1.2, 2)</f>
        <v>443.3</v>
      </c>
      <c r="Y240" s="9">
        <f t="shared" si="16"/>
        <v>62923.41</v>
      </c>
      <c r="Z240" s="9">
        <f>ROUND(T240 / 1.2, 2)</f>
        <v>867909.07</v>
      </c>
      <c r="AA240" s="9">
        <f>Y240+Z240</f>
        <v>930832.48</v>
      </c>
      <c r="AD240" s="4">
        <v>339118850</v>
      </c>
      <c r="AE240" s="4">
        <v>25887987</v>
      </c>
      <c r="AG240" s="4" t="s">
        <v>994</v>
      </c>
      <c r="AH240" s="4" t="s">
        <v>995</v>
      </c>
      <c r="AI240" s="4" t="s">
        <v>156</v>
      </c>
    </row>
    <row r="241" spans="1:35" ht="54" x14ac:dyDescent="0.3">
      <c r="A241" s="10" t="s">
        <v>996</v>
      </c>
      <c r="B241" s="10"/>
      <c r="C241" s="30" t="s">
        <v>997</v>
      </c>
      <c r="D241" s="15"/>
      <c r="E241" s="15"/>
      <c r="F241" s="25" t="s">
        <v>159</v>
      </c>
      <c r="G241" s="26">
        <v>1.8</v>
      </c>
      <c r="H241" s="26"/>
      <c r="I241" s="26">
        <v>3779.6039999999998</v>
      </c>
      <c r="J241" s="27">
        <v>12.58</v>
      </c>
      <c r="M241" s="28">
        <f>ROUND(ROUND(J241, 2)*I241, 2)</f>
        <v>47547.42</v>
      </c>
      <c r="P241" s="27">
        <v>12.58</v>
      </c>
      <c r="S241" s="28">
        <f>ROUND(ROUND(P241, 2)*I241, 2)</f>
        <v>47547.42</v>
      </c>
      <c r="V241" s="9">
        <f>ROUND(ROUND(P241, 2)/1.2, 2)</f>
        <v>10.48</v>
      </c>
      <c r="Y241" s="9">
        <f t="shared" si="16"/>
        <v>39622.85</v>
      </c>
      <c r="AD241" s="4" t="s">
        <v>998</v>
      </c>
      <c r="AE241" s="4" t="s">
        <v>999</v>
      </c>
      <c r="AF241" s="4" t="s">
        <v>1000</v>
      </c>
    </row>
    <row r="242" spans="1:35" ht="36" x14ac:dyDescent="0.3">
      <c r="A242" s="10" t="s">
        <v>1001</v>
      </c>
      <c r="B242" s="10"/>
      <c r="C242" s="24" t="s">
        <v>169</v>
      </c>
      <c r="D242" s="15"/>
      <c r="E242" s="15"/>
      <c r="F242" s="25" t="s">
        <v>159</v>
      </c>
      <c r="G242" s="26">
        <v>0.15</v>
      </c>
      <c r="H242" s="26"/>
      <c r="I242" s="26">
        <v>314.96699999999998</v>
      </c>
      <c r="J242" s="27">
        <v>88.8</v>
      </c>
      <c r="M242" s="28">
        <f>ROUND(ROUND(J242, 2)*I242, 2)</f>
        <v>27969.07</v>
      </c>
      <c r="P242" s="27">
        <v>88.8</v>
      </c>
      <c r="S242" s="28">
        <f>ROUND(ROUND(P242, 2)*I242, 2)</f>
        <v>27969.07</v>
      </c>
      <c r="V242" s="9">
        <f>ROUND(ROUND(P242, 2)/1.2, 2)</f>
        <v>74</v>
      </c>
      <c r="Y242" s="9">
        <f t="shared" si="16"/>
        <v>23307.56</v>
      </c>
      <c r="AD242" s="4" t="s">
        <v>1002</v>
      </c>
      <c r="AE242" s="4" t="s">
        <v>1003</v>
      </c>
      <c r="AF242" s="4" t="s">
        <v>172</v>
      </c>
    </row>
    <row r="243" spans="1:35" ht="72" x14ac:dyDescent="0.3">
      <c r="A243" s="10" t="s">
        <v>1004</v>
      </c>
      <c r="B243" s="10" t="s">
        <v>1005</v>
      </c>
      <c r="C243" s="14" t="s">
        <v>1006</v>
      </c>
      <c r="D243" s="15" t="s">
        <v>1007</v>
      </c>
      <c r="E243" s="15" t="s">
        <v>1008</v>
      </c>
      <c r="F243" s="15" t="s">
        <v>75</v>
      </c>
      <c r="G243" s="16">
        <v>1</v>
      </c>
      <c r="H243" s="16"/>
      <c r="I243" s="16">
        <v>35.590000000000003</v>
      </c>
      <c r="J243" s="17">
        <v>329.94</v>
      </c>
      <c r="K243" s="18">
        <v>1165</v>
      </c>
      <c r="L243" s="17">
        <f>J243+ROUND(K243, 2)</f>
        <v>1494.94</v>
      </c>
      <c r="M243" s="17">
        <v>11742.56</v>
      </c>
      <c r="N243" s="17">
        <v>41462.35</v>
      </c>
      <c r="O243" s="17">
        <f>M243+N243</f>
        <v>53204.909999999996</v>
      </c>
      <c r="P243" s="17">
        <v>361.52</v>
      </c>
      <c r="Q243" s="18">
        <v>1165</v>
      </c>
      <c r="R243" s="17">
        <f>P243+ROUND(Q243, 2)</f>
        <v>1526.52</v>
      </c>
      <c r="S243" s="17">
        <v>12866.5</v>
      </c>
      <c r="T243" s="17">
        <v>41462.35</v>
      </c>
      <c r="U243" s="17">
        <f>S243+T243</f>
        <v>54328.85</v>
      </c>
      <c r="V243" s="9">
        <f>ROUND(P243 / 1.2, 2)</f>
        <v>301.27</v>
      </c>
      <c r="W243" s="9">
        <f>ROUND(Q243 / 1.2, 2)</f>
        <v>970.83</v>
      </c>
      <c r="X243" s="9">
        <f>ROUND(R243 / 1.2, 2)</f>
        <v>1272.0999999999999</v>
      </c>
      <c r="Y243" s="9">
        <f t="shared" si="16"/>
        <v>10722.08</v>
      </c>
      <c r="Z243" s="9">
        <f>ROUND(T243 / 1.2, 2)</f>
        <v>34551.96</v>
      </c>
      <c r="AA243" s="9">
        <f>Y243+Z243</f>
        <v>45274.04</v>
      </c>
      <c r="AD243" s="4">
        <v>339118852</v>
      </c>
      <c r="AE243" s="4">
        <v>25888013</v>
      </c>
      <c r="AG243" s="4" t="s">
        <v>1009</v>
      </c>
      <c r="AH243" s="4" t="s">
        <v>1010</v>
      </c>
      <c r="AI243" s="4" t="s">
        <v>156</v>
      </c>
    </row>
    <row r="244" spans="1:35" ht="54" x14ac:dyDescent="0.3">
      <c r="A244" s="10" t="s">
        <v>1011</v>
      </c>
      <c r="B244" s="10"/>
      <c r="C244" s="24" t="s">
        <v>1012</v>
      </c>
      <c r="D244" s="15"/>
      <c r="E244" s="15" t="s">
        <v>1013</v>
      </c>
      <c r="F244" s="25" t="s">
        <v>159</v>
      </c>
      <c r="G244" s="26">
        <v>1.3</v>
      </c>
      <c r="H244" s="32"/>
      <c r="I244" s="32">
        <v>1067.7</v>
      </c>
      <c r="J244" s="27">
        <v>8.6</v>
      </c>
      <c r="M244" s="28">
        <f>ROUND(ROUND(J244, 2)*I244, 2)</f>
        <v>9182.2199999999993</v>
      </c>
      <c r="P244" s="27">
        <v>8.83</v>
      </c>
      <c r="S244" s="28">
        <f>ROUND(ROUND(P244, 2)*I244, 2)</f>
        <v>9427.7900000000009</v>
      </c>
      <c r="V244" s="9">
        <f>ROUND(ROUND(P244, 2)/1.2, 2)</f>
        <v>7.36</v>
      </c>
      <c r="Y244" s="9">
        <f t="shared" si="16"/>
        <v>7856.49</v>
      </c>
      <c r="AD244" s="4" t="s">
        <v>1014</v>
      </c>
      <c r="AE244" s="4" t="s">
        <v>1015</v>
      </c>
      <c r="AF244" s="4" t="s">
        <v>1016</v>
      </c>
    </row>
    <row r="245" spans="1:35" ht="18" x14ac:dyDescent="0.3">
      <c r="A245" s="10" t="s">
        <v>1017</v>
      </c>
      <c r="B245" s="10"/>
      <c r="C245" s="24" t="s">
        <v>1018</v>
      </c>
      <c r="D245" s="15"/>
      <c r="E245" s="15" t="s">
        <v>1019</v>
      </c>
      <c r="F245" s="25" t="s">
        <v>75</v>
      </c>
      <c r="G245" s="26">
        <v>1.1000000000000001</v>
      </c>
      <c r="H245" s="26"/>
      <c r="I245" s="26">
        <v>39.149000000000001</v>
      </c>
      <c r="J245" s="27">
        <v>26</v>
      </c>
      <c r="M245" s="28">
        <f>ROUND(ROUND(J245, 2)*I245, 2)</f>
        <v>1017.87</v>
      </c>
      <c r="P245" s="27">
        <v>48.44</v>
      </c>
      <c r="S245" s="28">
        <f>ROUND(ROUND(P245, 2)*I245, 2)</f>
        <v>1896.38</v>
      </c>
      <c r="V245" s="9">
        <f>ROUND(ROUND(P245, 2)/1.2, 2)</f>
        <v>40.369999999999997</v>
      </c>
      <c r="Y245" s="9">
        <f t="shared" si="16"/>
        <v>1580.32</v>
      </c>
      <c r="AD245" s="4" t="s">
        <v>1020</v>
      </c>
      <c r="AE245" s="4" t="s">
        <v>1021</v>
      </c>
      <c r="AF245" s="4" t="s">
        <v>1022</v>
      </c>
    </row>
    <row r="246" spans="1:35" ht="18" x14ac:dyDescent="0.3">
      <c r="A246" s="10" t="s">
        <v>1023</v>
      </c>
      <c r="B246" s="10"/>
      <c r="C246" s="24" t="s">
        <v>1024</v>
      </c>
      <c r="D246" s="15"/>
      <c r="E246" s="15"/>
      <c r="F246" s="25" t="s">
        <v>120</v>
      </c>
      <c r="G246" s="26">
        <v>1</v>
      </c>
      <c r="H246" s="32"/>
      <c r="I246" s="32">
        <v>35.590000000000003</v>
      </c>
      <c r="J246" s="27">
        <v>18.34</v>
      </c>
      <c r="M246" s="28">
        <f>ROUND(ROUND(J246, 2)*I246, 2)</f>
        <v>652.72</v>
      </c>
      <c r="P246" s="27">
        <v>18.34</v>
      </c>
      <c r="S246" s="28">
        <f>ROUND(ROUND(P246, 2)*I246, 2)</f>
        <v>652.72</v>
      </c>
      <c r="V246" s="9">
        <f>ROUND(ROUND(P246, 2)/1.2, 2)</f>
        <v>15.28</v>
      </c>
      <c r="Y246" s="9">
        <f t="shared" si="16"/>
        <v>543.92999999999995</v>
      </c>
      <c r="AD246" s="4" t="s">
        <v>1025</v>
      </c>
      <c r="AE246" s="4" t="s">
        <v>1026</v>
      </c>
      <c r="AF246" s="4" t="s">
        <v>1027</v>
      </c>
    </row>
    <row r="247" spans="1:35" ht="18" x14ac:dyDescent="0.3">
      <c r="A247" s="10" t="s">
        <v>1028</v>
      </c>
      <c r="B247" s="10"/>
      <c r="C247" s="24" t="s">
        <v>296</v>
      </c>
      <c r="D247" s="15"/>
      <c r="E247" s="15"/>
      <c r="F247" s="25" t="s">
        <v>159</v>
      </c>
      <c r="G247" s="26">
        <v>0.25</v>
      </c>
      <c r="H247" s="26"/>
      <c r="I247" s="26">
        <v>8.8979999999999997</v>
      </c>
      <c r="J247" s="27">
        <v>100</v>
      </c>
      <c r="M247" s="28">
        <f>ROUND(ROUND(J247, 2)*I247, 2)</f>
        <v>889.8</v>
      </c>
      <c r="P247" s="27">
        <v>100</v>
      </c>
      <c r="S247" s="28">
        <f>ROUND(ROUND(P247, 2)*I247, 2)</f>
        <v>889.8</v>
      </c>
      <c r="V247" s="9">
        <f>ROUND(ROUND(P247, 2)/1.2, 2)</f>
        <v>83.33</v>
      </c>
      <c r="Y247" s="9">
        <f t="shared" si="16"/>
        <v>741.5</v>
      </c>
      <c r="AD247" s="4" t="s">
        <v>1029</v>
      </c>
      <c r="AE247" s="4" t="s">
        <v>1030</v>
      </c>
      <c r="AF247" s="4" t="s">
        <v>299</v>
      </c>
    </row>
    <row r="248" spans="1:35" ht="72" x14ac:dyDescent="0.3">
      <c r="A248" s="10" t="s">
        <v>1031</v>
      </c>
      <c r="B248" s="10" t="s">
        <v>1005</v>
      </c>
      <c r="C248" s="14" t="s">
        <v>1006</v>
      </c>
      <c r="D248" s="15" t="s">
        <v>1007</v>
      </c>
      <c r="E248" s="15" t="s">
        <v>1032</v>
      </c>
      <c r="F248" s="15" t="s">
        <v>75</v>
      </c>
      <c r="G248" s="16">
        <v>1</v>
      </c>
      <c r="H248" s="16"/>
      <c r="I248" s="16">
        <v>0</v>
      </c>
      <c r="J248" s="17">
        <v>0</v>
      </c>
      <c r="K248" s="18">
        <v>1165</v>
      </c>
      <c r="L248" s="17">
        <f>J248+ROUND(K248, 2)</f>
        <v>1165</v>
      </c>
      <c r="M248" s="17">
        <v>0</v>
      </c>
      <c r="N248" s="17">
        <v>0</v>
      </c>
      <c r="O248" s="17">
        <f>M248+N248</f>
        <v>0</v>
      </c>
      <c r="P248" s="17">
        <v>361.52</v>
      </c>
      <c r="Q248" s="18">
        <v>1165</v>
      </c>
      <c r="R248" s="17">
        <f>P248+ROUND(Q248, 2)</f>
        <v>1526.52</v>
      </c>
      <c r="S248" s="17">
        <v>0</v>
      </c>
      <c r="T248" s="17">
        <v>0</v>
      </c>
      <c r="U248" s="17">
        <f>S248+T248</f>
        <v>0</v>
      </c>
      <c r="V248" s="9">
        <f>ROUND(P248 / 1.2, 2)</f>
        <v>301.27</v>
      </c>
      <c r="W248" s="9">
        <f>ROUND(Q248 / 1.2, 2)</f>
        <v>970.83</v>
      </c>
      <c r="X248" s="9">
        <f>ROUND(R248 / 1.2, 2)</f>
        <v>1272.0999999999999</v>
      </c>
      <c r="Y248" s="9">
        <f t="shared" si="16"/>
        <v>0</v>
      </c>
      <c r="Z248" s="9">
        <f>ROUND(T248 / 1.2, 2)</f>
        <v>0</v>
      </c>
      <c r="AA248" s="9">
        <f>Y248+Z248</f>
        <v>0</v>
      </c>
      <c r="AD248" s="4">
        <v>339118923</v>
      </c>
      <c r="AE248" s="4">
        <v>25887986</v>
      </c>
      <c r="AG248" s="4" t="s">
        <v>1009</v>
      </c>
      <c r="AH248" s="4" t="s">
        <v>1010</v>
      </c>
      <c r="AI248" s="4" t="s">
        <v>156</v>
      </c>
    </row>
    <row r="249" spans="1:35" ht="18" x14ac:dyDescent="0.3">
      <c r="A249" s="10" t="s">
        <v>1033</v>
      </c>
      <c r="B249" s="10"/>
      <c r="C249" s="24" t="s">
        <v>296</v>
      </c>
      <c r="D249" s="15"/>
      <c r="E249" s="15"/>
      <c r="F249" s="25" t="s">
        <v>159</v>
      </c>
      <c r="G249" s="26">
        <v>0.25</v>
      </c>
      <c r="H249" s="26"/>
      <c r="I249" s="26">
        <v>0</v>
      </c>
      <c r="J249" s="27">
        <v>100</v>
      </c>
      <c r="M249" s="28">
        <f>ROUND(ROUND(J249, 2)*I249, 2)</f>
        <v>0</v>
      </c>
      <c r="P249" s="27">
        <v>100</v>
      </c>
      <c r="S249" s="28">
        <f>ROUND(ROUND(P249, 2)*I249, 2)</f>
        <v>0</v>
      </c>
      <c r="V249" s="9">
        <f>ROUND(ROUND(P249, 2)/1.2, 2)</f>
        <v>83.33</v>
      </c>
      <c r="Y249" s="9">
        <f t="shared" si="16"/>
        <v>0</v>
      </c>
      <c r="AD249" s="4" t="s">
        <v>1034</v>
      </c>
      <c r="AE249" s="4" t="s">
        <v>1035</v>
      </c>
      <c r="AF249" s="4" t="s">
        <v>299</v>
      </c>
    </row>
    <row r="250" spans="1:35" ht="18" x14ac:dyDescent="0.3">
      <c r="A250" s="10" t="s">
        <v>1036</v>
      </c>
      <c r="B250" s="10"/>
      <c r="C250" s="24" t="s">
        <v>1024</v>
      </c>
      <c r="D250" s="15"/>
      <c r="E250" s="15"/>
      <c r="F250" s="25" t="s">
        <v>120</v>
      </c>
      <c r="G250" s="26">
        <v>1</v>
      </c>
      <c r="H250" s="32"/>
      <c r="I250" s="32">
        <v>0</v>
      </c>
      <c r="J250" s="27">
        <v>18.34</v>
      </c>
      <c r="M250" s="28">
        <f>ROUND(ROUND(J250, 2)*I250, 2)</f>
        <v>0</v>
      </c>
      <c r="P250" s="27">
        <v>18.34</v>
      </c>
      <c r="S250" s="28">
        <f>ROUND(ROUND(P250, 2)*I250, 2)</f>
        <v>0</v>
      </c>
      <c r="V250" s="9">
        <f>ROUND(ROUND(P250, 2)/1.2, 2)</f>
        <v>15.28</v>
      </c>
      <c r="Y250" s="9">
        <f t="shared" si="16"/>
        <v>0</v>
      </c>
      <c r="AD250" s="4" t="s">
        <v>1037</v>
      </c>
      <c r="AE250" s="4" t="s">
        <v>1038</v>
      </c>
      <c r="AF250" s="4" t="s">
        <v>1027</v>
      </c>
    </row>
    <row r="251" spans="1:35" ht="18" x14ac:dyDescent="0.3">
      <c r="A251" s="10" t="s">
        <v>1039</v>
      </c>
      <c r="B251" s="10"/>
      <c r="C251" s="24" t="s">
        <v>1018</v>
      </c>
      <c r="D251" s="15"/>
      <c r="E251" s="15" t="s">
        <v>1019</v>
      </c>
      <c r="F251" s="25" t="s">
        <v>75</v>
      </c>
      <c r="G251" s="26">
        <v>1.1000000000000001</v>
      </c>
      <c r="H251" s="26"/>
      <c r="I251" s="26">
        <v>0</v>
      </c>
      <c r="J251" s="27">
        <v>26</v>
      </c>
      <c r="M251" s="28">
        <f>ROUND(ROUND(J251, 2)*I251, 2)</f>
        <v>0</v>
      </c>
      <c r="P251" s="27">
        <v>48.44</v>
      </c>
      <c r="S251" s="28">
        <f>ROUND(ROUND(P251, 2)*I251, 2)</f>
        <v>0</v>
      </c>
      <c r="V251" s="9">
        <f>ROUND(ROUND(P251, 2)/1.2, 2)</f>
        <v>40.369999999999997</v>
      </c>
      <c r="Y251" s="9">
        <f t="shared" si="16"/>
        <v>0</v>
      </c>
      <c r="AD251" s="4" t="s">
        <v>1040</v>
      </c>
      <c r="AE251" s="4" t="s">
        <v>1041</v>
      </c>
      <c r="AF251" s="4" t="s">
        <v>1022</v>
      </c>
    </row>
    <row r="252" spans="1:35" ht="54" x14ac:dyDescent="0.3">
      <c r="A252" s="10" t="s">
        <v>1042</v>
      </c>
      <c r="B252" s="10"/>
      <c r="C252" s="24" t="s">
        <v>1012</v>
      </c>
      <c r="D252" s="15"/>
      <c r="E252" s="15" t="s">
        <v>1013</v>
      </c>
      <c r="F252" s="25" t="s">
        <v>159</v>
      </c>
      <c r="G252" s="26">
        <v>1.3</v>
      </c>
      <c r="H252" s="32"/>
      <c r="I252" s="32">
        <v>0</v>
      </c>
      <c r="J252" s="27">
        <v>8.6</v>
      </c>
      <c r="M252" s="28">
        <f>ROUND(ROUND(J252, 2)*I252, 2)</f>
        <v>0</v>
      </c>
      <c r="P252" s="27">
        <v>8.83</v>
      </c>
      <c r="S252" s="28">
        <f>ROUND(ROUND(P252, 2)*I252, 2)</f>
        <v>0</v>
      </c>
      <c r="V252" s="9">
        <f>ROUND(ROUND(P252, 2)/1.2, 2)</f>
        <v>7.36</v>
      </c>
      <c r="Y252" s="9">
        <f t="shared" si="16"/>
        <v>0</v>
      </c>
      <c r="AD252" s="4" t="s">
        <v>1043</v>
      </c>
      <c r="AE252" s="4" t="s">
        <v>1044</v>
      </c>
      <c r="AF252" s="4" t="s">
        <v>1016</v>
      </c>
    </row>
    <row r="253" spans="1:35" ht="72" x14ac:dyDescent="0.3">
      <c r="A253" s="10" t="s">
        <v>1045</v>
      </c>
      <c r="B253" s="10" t="s">
        <v>1005</v>
      </c>
      <c r="C253" s="14" t="s">
        <v>1006</v>
      </c>
      <c r="D253" s="15" t="s">
        <v>1007</v>
      </c>
      <c r="E253" s="15" t="s">
        <v>1046</v>
      </c>
      <c r="F253" s="15" t="s">
        <v>75</v>
      </c>
      <c r="G253" s="16">
        <v>1</v>
      </c>
      <c r="H253" s="16"/>
      <c r="I253" s="16">
        <v>0</v>
      </c>
      <c r="J253" s="17">
        <v>0</v>
      </c>
      <c r="K253" s="18">
        <v>1165</v>
      </c>
      <c r="L253" s="17">
        <f>J253+ROUND(K253, 2)</f>
        <v>1165</v>
      </c>
      <c r="M253" s="17">
        <v>0</v>
      </c>
      <c r="N253" s="17">
        <v>0</v>
      </c>
      <c r="O253" s="17">
        <f>M253+N253</f>
        <v>0</v>
      </c>
      <c r="P253" s="17">
        <v>361.52</v>
      </c>
      <c r="Q253" s="18">
        <v>1165</v>
      </c>
      <c r="R253" s="17">
        <f>P253+ROUND(Q253, 2)</f>
        <v>1526.52</v>
      </c>
      <c r="S253" s="17">
        <v>0</v>
      </c>
      <c r="T253" s="17">
        <v>0</v>
      </c>
      <c r="U253" s="17">
        <f>S253+T253</f>
        <v>0</v>
      </c>
      <c r="V253" s="9">
        <f>ROUND(P253 / 1.2, 2)</f>
        <v>301.27</v>
      </c>
      <c r="W253" s="9">
        <f>ROUND(Q253 / 1.2, 2)</f>
        <v>970.83</v>
      </c>
      <c r="X253" s="9">
        <f>ROUND(R253 / 1.2, 2)</f>
        <v>1272.0999999999999</v>
      </c>
      <c r="Y253" s="9">
        <f t="shared" si="16"/>
        <v>0</v>
      </c>
      <c r="Z253" s="9">
        <f>ROUND(T253 / 1.2, 2)</f>
        <v>0</v>
      </c>
      <c r="AA253" s="9">
        <f>Y253+Z253</f>
        <v>0</v>
      </c>
      <c r="AD253" s="4">
        <v>339118924</v>
      </c>
      <c r="AE253" s="4">
        <v>25887988</v>
      </c>
      <c r="AG253" s="4" t="s">
        <v>1009</v>
      </c>
      <c r="AH253" s="4" t="s">
        <v>1010</v>
      </c>
      <c r="AI253" s="4" t="s">
        <v>156</v>
      </c>
    </row>
    <row r="254" spans="1:35" ht="54" x14ac:dyDescent="0.3">
      <c r="A254" s="10" t="s">
        <v>1047</v>
      </c>
      <c r="B254" s="10"/>
      <c r="C254" s="24" t="s">
        <v>1012</v>
      </c>
      <c r="D254" s="15"/>
      <c r="E254" s="15" t="s">
        <v>1013</v>
      </c>
      <c r="F254" s="25" t="s">
        <v>159</v>
      </c>
      <c r="G254" s="26">
        <v>1.3</v>
      </c>
      <c r="H254" s="32"/>
      <c r="I254" s="32">
        <v>0</v>
      </c>
      <c r="J254" s="27">
        <v>8.6</v>
      </c>
      <c r="M254" s="28">
        <f>ROUND(ROUND(J254, 2)*I254, 2)</f>
        <v>0</v>
      </c>
      <c r="P254" s="27">
        <v>8.83</v>
      </c>
      <c r="S254" s="28">
        <f>ROUND(ROUND(P254, 2)*I254, 2)</f>
        <v>0</v>
      </c>
      <c r="V254" s="9">
        <f>ROUND(ROUND(P254, 2)/1.2, 2)</f>
        <v>7.36</v>
      </c>
      <c r="Y254" s="9">
        <f t="shared" si="16"/>
        <v>0</v>
      </c>
      <c r="AD254" s="4" t="s">
        <v>1048</v>
      </c>
      <c r="AE254" s="4" t="s">
        <v>1049</v>
      </c>
      <c r="AF254" s="4" t="s">
        <v>1016</v>
      </c>
    </row>
    <row r="255" spans="1:35" ht="18" x14ac:dyDescent="0.3">
      <c r="A255" s="10" t="s">
        <v>1050</v>
      </c>
      <c r="B255" s="10"/>
      <c r="C255" s="24" t="s">
        <v>1018</v>
      </c>
      <c r="D255" s="15"/>
      <c r="E255" s="15" t="s">
        <v>1019</v>
      </c>
      <c r="F255" s="25" t="s">
        <v>75</v>
      </c>
      <c r="G255" s="26">
        <v>1.1000000000000001</v>
      </c>
      <c r="H255" s="26"/>
      <c r="I255" s="26">
        <v>0</v>
      </c>
      <c r="J255" s="27">
        <v>26</v>
      </c>
      <c r="M255" s="28">
        <f>ROUND(ROUND(J255, 2)*I255, 2)</f>
        <v>0</v>
      </c>
      <c r="P255" s="27">
        <v>48.44</v>
      </c>
      <c r="S255" s="28">
        <f>ROUND(ROUND(P255, 2)*I255, 2)</f>
        <v>0</v>
      </c>
      <c r="V255" s="9">
        <f>ROUND(ROUND(P255, 2)/1.2, 2)</f>
        <v>40.369999999999997</v>
      </c>
      <c r="Y255" s="9">
        <f t="shared" si="16"/>
        <v>0</v>
      </c>
      <c r="AD255" s="4" t="s">
        <v>1051</v>
      </c>
      <c r="AE255" s="4" t="s">
        <v>1052</v>
      </c>
      <c r="AF255" s="4" t="s">
        <v>1022</v>
      </c>
    </row>
    <row r="256" spans="1:35" ht="18" x14ac:dyDescent="0.3">
      <c r="A256" s="10" t="s">
        <v>1053</v>
      </c>
      <c r="B256" s="10"/>
      <c r="C256" s="24" t="s">
        <v>1024</v>
      </c>
      <c r="D256" s="15"/>
      <c r="E256" s="15"/>
      <c r="F256" s="25" t="s">
        <v>120</v>
      </c>
      <c r="G256" s="26">
        <v>1</v>
      </c>
      <c r="H256" s="32"/>
      <c r="I256" s="32">
        <v>0</v>
      </c>
      <c r="J256" s="27">
        <v>18.34</v>
      </c>
      <c r="M256" s="28">
        <f>ROUND(ROUND(J256, 2)*I256, 2)</f>
        <v>0</v>
      </c>
      <c r="P256" s="27">
        <v>18.34</v>
      </c>
      <c r="S256" s="28">
        <f>ROUND(ROUND(P256, 2)*I256, 2)</f>
        <v>0</v>
      </c>
      <c r="V256" s="9">
        <f>ROUND(ROUND(P256, 2)/1.2, 2)</f>
        <v>15.28</v>
      </c>
      <c r="Y256" s="9">
        <f t="shared" si="16"/>
        <v>0</v>
      </c>
      <c r="AD256" s="4" t="s">
        <v>1054</v>
      </c>
      <c r="AE256" s="4" t="s">
        <v>1055</v>
      </c>
      <c r="AF256" s="4" t="s">
        <v>1027</v>
      </c>
    </row>
    <row r="257" spans="1:35" ht="18" x14ac:dyDescent="0.3">
      <c r="A257" s="10" t="s">
        <v>1056</v>
      </c>
      <c r="B257" s="10"/>
      <c r="C257" s="24" t="s">
        <v>296</v>
      </c>
      <c r="D257" s="15"/>
      <c r="E257" s="15"/>
      <c r="F257" s="25" t="s">
        <v>159</v>
      </c>
      <c r="G257" s="26">
        <v>0.25</v>
      </c>
      <c r="H257" s="26"/>
      <c r="I257" s="26">
        <v>0</v>
      </c>
      <c r="J257" s="27">
        <v>100</v>
      </c>
      <c r="M257" s="28">
        <f>ROUND(ROUND(J257, 2)*I257, 2)</f>
        <v>0</v>
      </c>
      <c r="P257" s="27">
        <v>100</v>
      </c>
      <c r="S257" s="28">
        <f>ROUND(ROUND(P257, 2)*I257, 2)</f>
        <v>0</v>
      </c>
      <c r="V257" s="9">
        <f>ROUND(ROUND(P257, 2)/1.2, 2)</f>
        <v>83.33</v>
      </c>
      <c r="Y257" s="9">
        <f t="shared" si="16"/>
        <v>0</v>
      </c>
      <c r="AD257" s="4" t="s">
        <v>1057</v>
      </c>
      <c r="AE257" s="4" t="s">
        <v>1058</v>
      </c>
      <c r="AF257" s="4" t="s">
        <v>299</v>
      </c>
    </row>
    <row r="258" spans="1:35" ht="72" x14ac:dyDescent="0.3">
      <c r="A258" s="10" t="s">
        <v>1059</v>
      </c>
      <c r="B258" s="10" t="s">
        <v>1005</v>
      </c>
      <c r="C258" s="14" t="s">
        <v>1006</v>
      </c>
      <c r="D258" s="15" t="s">
        <v>1007</v>
      </c>
      <c r="E258" s="15" t="s">
        <v>1060</v>
      </c>
      <c r="F258" s="15" t="s">
        <v>75</v>
      </c>
      <c r="G258" s="16">
        <v>1</v>
      </c>
      <c r="H258" s="16"/>
      <c r="I258" s="16">
        <v>0</v>
      </c>
      <c r="J258" s="17">
        <v>0</v>
      </c>
      <c r="K258" s="18">
        <v>1165</v>
      </c>
      <c r="L258" s="17">
        <f>J258+ROUND(K258, 2)</f>
        <v>1165</v>
      </c>
      <c r="M258" s="17">
        <v>0</v>
      </c>
      <c r="N258" s="17">
        <v>0</v>
      </c>
      <c r="O258" s="17">
        <f>M258+N258</f>
        <v>0</v>
      </c>
      <c r="P258" s="17">
        <v>349.84</v>
      </c>
      <c r="Q258" s="18">
        <v>1165</v>
      </c>
      <c r="R258" s="17">
        <f>P258+ROUND(Q258, 2)</f>
        <v>1514.84</v>
      </c>
      <c r="S258" s="17">
        <v>0</v>
      </c>
      <c r="T258" s="17">
        <v>0</v>
      </c>
      <c r="U258" s="17">
        <f>S258+T258</f>
        <v>0</v>
      </c>
      <c r="V258" s="9">
        <f>ROUND(P258 / 1.2, 2)</f>
        <v>291.52999999999997</v>
      </c>
      <c r="W258" s="9">
        <f>ROUND(Q258 / 1.2, 2)</f>
        <v>970.83</v>
      </c>
      <c r="X258" s="9">
        <f>ROUND(R258 / 1.2, 2)</f>
        <v>1262.3699999999999</v>
      </c>
      <c r="Y258" s="9">
        <f t="shared" si="16"/>
        <v>0</v>
      </c>
      <c r="Z258" s="9">
        <f>ROUND(T258 / 1.2, 2)</f>
        <v>0</v>
      </c>
      <c r="AA258" s="9">
        <f>Y258+Z258</f>
        <v>0</v>
      </c>
      <c r="AD258" s="4">
        <v>339118925</v>
      </c>
      <c r="AE258" s="4">
        <v>25888014</v>
      </c>
      <c r="AG258" s="4" t="s">
        <v>1009</v>
      </c>
      <c r="AH258" s="4" t="s">
        <v>1010</v>
      </c>
      <c r="AI258" s="4" t="s">
        <v>156</v>
      </c>
    </row>
    <row r="259" spans="1:35" ht="36" x14ac:dyDescent="0.3">
      <c r="A259" s="10" t="s">
        <v>1061</v>
      </c>
      <c r="B259" s="10"/>
      <c r="C259" s="24" t="s">
        <v>480</v>
      </c>
      <c r="D259" s="15"/>
      <c r="E259" s="15"/>
      <c r="F259" s="25" t="s">
        <v>159</v>
      </c>
      <c r="G259" s="26">
        <v>0.15</v>
      </c>
      <c r="H259" s="26"/>
      <c r="I259" s="26">
        <v>0</v>
      </c>
      <c r="J259" s="27">
        <v>88.8</v>
      </c>
      <c r="M259" s="28">
        <f>ROUND(ROUND(J259, 2)*I259, 2)</f>
        <v>0</v>
      </c>
      <c r="P259" s="27">
        <v>88.8</v>
      </c>
      <c r="S259" s="28">
        <f>ROUND(ROUND(P259, 2)*I259, 2)</f>
        <v>0</v>
      </c>
      <c r="V259" s="9">
        <f>ROUND(ROUND(P259, 2)/1.2, 2)</f>
        <v>74</v>
      </c>
      <c r="Y259" s="9">
        <f t="shared" si="16"/>
        <v>0</v>
      </c>
      <c r="AD259" s="4" t="s">
        <v>1062</v>
      </c>
      <c r="AE259" s="4" t="s">
        <v>1063</v>
      </c>
      <c r="AF259" s="4" t="s">
        <v>483</v>
      </c>
    </row>
    <row r="260" spans="1:35" ht="18" x14ac:dyDescent="0.3">
      <c r="A260" s="10" t="s">
        <v>1064</v>
      </c>
      <c r="B260" s="10"/>
      <c r="C260" s="24" t="s">
        <v>1024</v>
      </c>
      <c r="D260" s="15"/>
      <c r="E260" s="15"/>
      <c r="F260" s="25" t="s">
        <v>120</v>
      </c>
      <c r="G260" s="26">
        <v>1</v>
      </c>
      <c r="H260" s="32"/>
      <c r="I260" s="32">
        <v>0</v>
      </c>
      <c r="J260" s="27">
        <v>18.34</v>
      </c>
      <c r="M260" s="28">
        <f>ROUND(ROUND(J260, 2)*I260, 2)</f>
        <v>0</v>
      </c>
      <c r="P260" s="27">
        <v>18.34</v>
      </c>
      <c r="S260" s="28">
        <f>ROUND(ROUND(P260, 2)*I260, 2)</f>
        <v>0</v>
      </c>
      <c r="V260" s="9">
        <f>ROUND(ROUND(P260, 2)/1.2, 2)</f>
        <v>15.28</v>
      </c>
      <c r="Y260" s="9">
        <f t="shared" si="16"/>
        <v>0</v>
      </c>
      <c r="AD260" s="4" t="s">
        <v>1065</v>
      </c>
      <c r="AE260" s="4" t="s">
        <v>1066</v>
      </c>
      <c r="AF260" s="4" t="s">
        <v>1027</v>
      </c>
    </row>
    <row r="261" spans="1:35" ht="18" x14ac:dyDescent="0.3">
      <c r="A261" s="10" t="s">
        <v>1067</v>
      </c>
      <c r="B261" s="10"/>
      <c r="C261" s="24" t="s">
        <v>1018</v>
      </c>
      <c r="D261" s="15"/>
      <c r="E261" s="15" t="s">
        <v>1019</v>
      </c>
      <c r="F261" s="25" t="s">
        <v>75</v>
      </c>
      <c r="G261" s="26">
        <v>1.1000000000000001</v>
      </c>
      <c r="H261" s="26"/>
      <c r="I261" s="26">
        <v>0</v>
      </c>
      <c r="J261" s="27">
        <v>26</v>
      </c>
      <c r="M261" s="28">
        <f>ROUND(ROUND(J261, 2)*I261, 2)</f>
        <v>0</v>
      </c>
      <c r="P261" s="27">
        <v>48.44</v>
      </c>
      <c r="S261" s="28">
        <f>ROUND(ROUND(P261, 2)*I261, 2)</f>
        <v>0</v>
      </c>
      <c r="V261" s="9">
        <f>ROUND(ROUND(P261, 2)/1.2, 2)</f>
        <v>40.369999999999997</v>
      </c>
      <c r="Y261" s="9">
        <f t="shared" si="16"/>
        <v>0</v>
      </c>
      <c r="AD261" s="4" t="s">
        <v>1068</v>
      </c>
      <c r="AE261" s="4" t="s">
        <v>1069</v>
      </c>
      <c r="AF261" s="4" t="s">
        <v>1022</v>
      </c>
    </row>
    <row r="262" spans="1:35" ht="72" x14ac:dyDescent="0.3">
      <c r="A262" s="10" t="s">
        <v>1070</v>
      </c>
      <c r="B262" s="10"/>
      <c r="C262" s="24" t="s">
        <v>1012</v>
      </c>
      <c r="D262" s="15"/>
      <c r="E262" s="15" t="s">
        <v>1071</v>
      </c>
      <c r="F262" s="25" t="s">
        <v>159</v>
      </c>
      <c r="G262" s="26">
        <v>1.3</v>
      </c>
      <c r="H262" s="32"/>
      <c r="I262" s="32">
        <v>0</v>
      </c>
      <c r="J262" s="27">
        <v>8.6</v>
      </c>
      <c r="M262" s="28">
        <f>ROUND(ROUND(J262, 2)*I262, 2)</f>
        <v>0</v>
      </c>
      <c r="P262" s="27">
        <v>8.83</v>
      </c>
      <c r="S262" s="28">
        <f>ROUND(ROUND(P262, 2)*I262, 2)</f>
        <v>0</v>
      </c>
      <c r="V262" s="9">
        <f>ROUND(ROUND(P262, 2)/1.2, 2)</f>
        <v>7.36</v>
      </c>
      <c r="Y262" s="9">
        <f t="shared" si="16"/>
        <v>0</v>
      </c>
      <c r="AD262" s="4" t="s">
        <v>1072</v>
      </c>
      <c r="AE262" s="4" t="s">
        <v>1073</v>
      </c>
      <c r="AF262" s="4" t="s">
        <v>1016</v>
      </c>
    </row>
    <row r="263" spans="1:35" ht="90" x14ac:dyDescent="0.3">
      <c r="A263" s="10" t="s">
        <v>1074</v>
      </c>
      <c r="B263" s="10" t="s">
        <v>1075</v>
      </c>
      <c r="C263" s="14" t="s">
        <v>1076</v>
      </c>
      <c r="D263" s="15"/>
      <c r="E263" s="15" t="s">
        <v>1077</v>
      </c>
      <c r="F263" s="15" t="s">
        <v>75</v>
      </c>
      <c r="G263" s="16">
        <v>1</v>
      </c>
      <c r="H263" s="16"/>
      <c r="I263" s="16">
        <v>3186.15</v>
      </c>
      <c r="J263" s="17">
        <v>268.76</v>
      </c>
      <c r="K263" s="18">
        <v>1073</v>
      </c>
      <c r="L263" s="17">
        <f>J263+ROUND(K263, 2)</f>
        <v>1341.76</v>
      </c>
      <c r="M263" s="17">
        <v>856309.67</v>
      </c>
      <c r="N263" s="17">
        <v>3418738.95</v>
      </c>
      <c r="O263" s="17">
        <f>M263+N263</f>
        <v>4275048.62</v>
      </c>
      <c r="P263" s="17">
        <v>342.75</v>
      </c>
      <c r="Q263" s="18">
        <v>1073</v>
      </c>
      <c r="R263" s="17">
        <f>P263+ROUND(Q263, 2)</f>
        <v>1415.75</v>
      </c>
      <c r="S263" s="17">
        <v>1092052.9099999999</v>
      </c>
      <c r="T263" s="17">
        <v>3418738.95</v>
      </c>
      <c r="U263" s="17">
        <f>S263+T263</f>
        <v>4510791.8600000003</v>
      </c>
      <c r="V263" s="9">
        <f>ROUND(P263 / 1.2, 2)</f>
        <v>285.63</v>
      </c>
      <c r="W263" s="9">
        <f>ROUND(Q263 / 1.2, 2)</f>
        <v>894.17</v>
      </c>
      <c r="X263" s="9">
        <f>ROUND(R263 / 1.2, 2)</f>
        <v>1179.79</v>
      </c>
      <c r="Y263" s="9">
        <f t="shared" si="16"/>
        <v>910044.09</v>
      </c>
      <c r="Z263" s="9">
        <f>ROUND(T263 / 1.2, 2)</f>
        <v>2848949.13</v>
      </c>
      <c r="AA263" s="9">
        <f>Y263+Z263</f>
        <v>3758993.2199999997</v>
      </c>
      <c r="AD263" s="4">
        <v>339118854</v>
      </c>
      <c r="AE263" s="4">
        <v>28951340</v>
      </c>
      <c r="AG263" s="4" t="s">
        <v>1078</v>
      </c>
      <c r="AH263" s="4" t="s">
        <v>1079</v>
      </c>
      <c r="AI263" s="4" t="s">
        <v>156</v>
      </c>
    </row>
    <row r="264" spans="1:35" ht="36" x14ac:dyDescent="0.3">
      <c r="A264" s="10" t="s">
        <v>1080</v>
      </c>
      <c r="B264" s="10"/>
      <c r="C264" s="30" t="s">
        <v>1081</v>
      </c>
      <c r="D264" s="15"/>
      <c r="E264" s="15"/>
      <c r="F264" s="25" t="s">
        <v>159</v>
      </c>
      <c r="G264" s="26">
        <v>1</v>
      </c>
      <c r="H264" s="32"/>
      <c r="I264" s="32">
        <v>95584.5</v>
      </c>
      <c r="J264" s="27">
        <v>7.92</v>
      </c>
      <c r="M264" s="28">
        <f>ROUND(ROUND(J264, 2)*I264, 2)</f>
        <v>757029.24</v>
      </c>
      <c r="P264" s="27">
        <v>7.92</v>
      </c>
      <c r="S264" s="28">
        <f>ROUND(ROUND(P264, 2)*I264, 2)</f>
        <v>757029.24</v>
      </c>
      <c r="V264" s="9">
        <f>ROUND(ROUND(P264, 2)/1.2, 2)</f>
        <v>6.6</v>
      </c>
      <c r="Y264" s="9">
        <f t="shared" si="16"/>
        <v>630857.69999999995</v>
      </c>
      <c r="AD264" s="4" t="s">
        <v>1082</v>
      </c>
      <c r="AE264" s="4" t="s">
        <v>1083</v>
      </c>
      <c r="AF264" s="4" t="s">
        <v>1084</v>
      </c>
    </row>
    <row r="265" spans="1:35" ht="90" x14ac:dyDescent="0.3">
      <c r="A265" s="10" t="s">
        <v>1085</v>
      </c>
      <c r="B265" s="10"/>
      <c r="C265" s="24" t="s">
        <v>875</v>
      </c>
      <c r="D265" s="15"/>
      <c r="E265" s="15" t="s">
        <v>1086</v>
      </c>
      <c r="F265" s="25" t="s">
        <v>120</v>
      </c>
      <c r="G265" s="26">
        <v>1</v>
      </c>
      <c r="H265" s="32"/>
      <c r="I265" s="32">
        <v>3504.7649999999999</v>
      </c>
      <c r="J265" s="27">
        <v>16.02</v>
      </c>
      <c r="M265" s="28">
        <f>ROUND(ROUND(J265, 2)*I265, 2)</f>
        <v>56146.34</v>
      </c>
      <c r="P265" s="27">
        <v>83.28</v>
      </c>
      <c r="S265" s="28">
        <f>ROUND(ROUND(P265, 2)*I265, 2)</f>
        <v>291876.83</v>
      </c>
      <c r="V265" s="9">
        <f>ROUND(ROUND(P265, 2)/1.2, 2)</f>
        <v>69.400000000000006</v>
      </c>
      <c r="Y265" s="9">
        <f t="shared" si="16"/>
        <v>243230.69</v>
      </c>
      <c r="AD265" s="4" t="s">
        <v>1087</v>
      </c>
      <c r="AE265" s="4" t="s">
        <v>1088</v>
      </c>
      <c r="AF265" s="4" t="s">
        <v>878</v>
      </c>
    </row>
    <row r="266" spans="1:35" ht="36" x14ac:dyDescent="0.3">
      <c r="A266" s="10" t="s">
        <v>1089</v>
      </c>
      <c r="B266" s="10"/>
      <c r="C266" s="24" t="s">
        <v>480</v>
      </c>
      <c r="D266" s="15"/>
      <c r="E266" s="15"/>
      <c r="F266" s="25" t="s">
        <v>159</v>
      </c>
      <c r="G266" s="26">
        <v>0.15</v>
      </c>
      <c r="H266" s="32"/>
      <c r="I266" s="32">
        <v>477.923</v>
      </c>
      <c r="J266" s="27">
        <v>90.28</v>
      </c>
      <c r="M266" s="28">
        <f>ROUND(ROUND(J266, 2)*I266, 2)</f>
        <v>43146.89</v>
      </c>
      <c r="P266" s="27">
        <v>90.28</v>
      </c>
      <c r="S266" s="28">
        <f>ROUND(ROUND(P266, 2)*I266, 2)</f>
        <v>43146.89</v>
      </c>
      <c r="V266" s="9">
        <f>ROUND(ROUND(P266, 2)/1.2, 2)</f>
        <v>75.23</v>
      </c>
      <c r="Y266" s="9">
        <f t="shared" si="16"/>
        <v>35955.74</v>
      </c>
      <c r="AD266" s="4" t="s">
        <v>1090</v>
      </c>
      <c r="AE266" s="4" t="s">
        <v>1091</v>
      </c>
      <c r="AF266" s="4" t="s">
        <v>483</v>
      </c>
    </row>
    <row r="267" spans="1:35" ht="54" x14ac:dyDescent="0.3">
      <c r="A267" s="10" t="s">
        <v>1092</v>
      </c>
      <c r="B267" s="10" t="s">
        <v>1075</v>
      </c>
      <c r="C267" s="14" t="s">
        <v>1076</v>
      </c>
      <c r="D267" s="15"/>
      <c r="E267" s="15" t="s">
        <v>1093</v>
      </c>
      <c r="F267" s="15" t="s">
        <v>75</v>
      </c>
      <c r="G267" s="16">
        <v>1</v>
      </c>
      <c r="H267" s="16"/>
      <c r="I267" s="16">
        <v>1183.1199999999999</v>
      </c>
      <c r="J267" s="17">
        <v>280.64</v>
      </c>
      <c r="K267" s="18">
        <v>1073</v>
      </c>
      <c r="L267" s="17">
        <f>J267+ROUND(K267, 2)</f>
        <v>1353.6399999999999</v>
      </c>
      <c r="M267" s="17">
        <v>332030.8</v>
      </c>
      <c r="N267" s="17">
        <v>1269487.76</v>
      </c>
      <c r="O267" s="17">
        <f>M267+N267</f>
        <v>1601518.56</v>
      </c>
      <c r="P267" s="17">
        <v>309.72000000000003</v>
      </c>
      <c r="Q267" s="18">
        <v>1073</v>
      </c>
      <c r="R267" s="17">
        <f>P267+ROUND(Q267, 2)</f>
        <v>1382.72</v>
      </c>
      <c r="S267" s="17">
        <v>366435.93</v>
      </c>
      <c r="T267" s="17">
        <v>1269487.76</v>
      </c>
      <c r="U267" s="17">
        <f>S267+T267</f>
        <v>1635923.69</v>
      </c>
      <c r="V267" s="9">
        <f>ROUND(P267 / 1.2, 2)</f>
        <v>258.10000000000002</v>
      </c>
      <c r="W267" s="9">
        <f>ROUND(Q267 / 1.2, 2)</f>
        <v>894.17</v>
      </c>
      <c r="X267" s="9">
        <f>ROUND(R267 / 1.2, 2)</f>
        <v>1152.27</v>
      </c>
      <c r="Y267" s="9">
        <f t="shared" si="16"/>
        <v>305363.28000000003</v>
      </c>
      <c r="Z267" s="9">
        <f>ROUND(T267 / 1.2, 2)</f>
        <v>1057906.47</v>
      </c>
      <c r="AA267" s="9">
        <f>Y267+Z267</f>
        <v>1363269.75</v>
      </c>
      <c r="AD267" s="4">
        <v>339118926</v>
      </c>
      <c r="AE267" s="4">
        <v>28975340</v>
      </c>
      <c r="AG267" s="4" t="s">
        <v>1078</v>
      </c>
      <c r="AH267" s="4" t="s">
        <v>1079</v>
      </c>
      <c r="AI267" s="4" t="s">
        <v>156</v>
      </c>
    </row>
    <row r="268" spans="1:35" ht="18" x14ac:dyDescent="0.3">
      <c r="A268" s="10" t="s">
        <v>1094</v>
      </c>
      <c r="B268" s="10"/>
      <c r="C268" s="24" t="s">
        <v>296</v>
      </c>
      <c r="D268" s="15"/>
      <c r="E268" s="15"/>
      <c r="F268" s="25" t="s">
        <v>159</v>
      </c>
      <c r="G268" s="26">
        <v>0.25</v>
      </c>
      <c r="H268" s="26"/>
      <c r="I268" s="26">
        <v>295.77999999999997</v>
      </c>
      <c r="J268" s="27">
        <v>101.66</v>
      </c>
      <c r="M268" s="28">
        <f>ROUND(ROUND(J268, 2)*I268, 2)</f>
        <v>30068.99</v>
      </c>
      <c r="P268" s="27">
        <v>101.66</v>
      </c>
      <c r="S268" s="28">
        <f>ROUND(ROUND(P268, 2)*I268, 2)</f>
        <v>30068.99</v>
      </c>
      <c r="V268" s="9">
        <f>ROUND(ROUND(P268, 2)/1.2, 2)</f>
        <v>84.72</v>
      </c>
      <c r="Y268" s="9">
        <f t="shared" si="16"/>
        <v>25057.49</v>
      </c>
      <c r="AD268" s="4" t="s">
        <v>1095</v>
      </c>
      <c r="AE268" s="4" t="s">
        <v>1096</v>
      </c>
      <c r="AF268" s="4" t="s">
        <v>299</v>
      </c>
    </row>
    <row r="269" spans="1:35" ht="108" x14ac:dyDescent="0.3">
      <c r="A269" s="10" t="s">
        <v>1097</v>
      </c>
      <c r="B269" s="10"/>
      <c r="C269" s="24" t="s">
        <v>875</v>
      </c>
      <c r="D269" s="15"/>
      <c r="E269" s="15" t="s">
        <v>1098</v>
      </c>
      <c r="F269" s="25" t="s">
        <v>120</v>
      </c>
      <c r="G269" s="26">
        <v>1</v>
      </c>
      <c r="H269" s="32"/>
      <c r="I269" s="32">
        <v>1301.432</v>
      </c>
      <c r="J269" s="27">
        <v>16.02</v>
      </c>
      <c r="M269" s="28">
        <f>ROUND(ROUND(J269, 2)*I269, 2)</f>
        <v>20848.939999999999</v>
      </c>
      <c r="P269" s="27">
        <v>42.46</v>
      </c>
      <c r="S269" s="28">
        <f>ROUND(ROUND(P269, 2)*I269, 2)</f>
        <v>55258.8</v>
      </c>
      <c r="V269" s="9">
        <f>ROUND(ROUND(P269, 2)/1.2, 2)</f>
        <v>35.380000000000003</v>
      </c>
      <c r="Y269" s="9">
        <f t="shared" si="16"/>
        <v>46049</v>
      </c>
      <c r="AD269" s="4" t="s">
        <v>1099</v>
      </c>
      <c r="AE269" s="4" t="s">
        <v>1100</v>
      </c>
      <c r="AF269" s="4" t="s">
        <v>878</v>
      </c>
    </row>
    <row r="270" spans="1:35" ht="36" x14ac:dyDescent="0.3">
      <c r="A270" s="10" t="s">
        <v>1101</v>
      </c>
      <c r="B270" s="10"/>
      <c r="C270" s="30" t="s">
        <v>1081</v>
      </c>
      <c r="D270" s="15"/>
      <c r="E270" s="15"/>
      <c r="F270" s="25" t="s">
        <v>159</v>
      </c>
      <c r="G270" s="26">
        <v>1</v>
      </c>
      <c r="H270" s="32"/>
      <c r="I270" s="32">
        <v>35493.599999999999</v>
      </c>
      <c r="J270" s="27">
        <v>7.92</v>
      </c>
      <c r="M270" s="28">
        <f>ROUND(ROUND(J270, 2)*I270, 2)</f>
        <v>281109.31</v>
      </c>
      <c r="P270" s="27">
        <v>7.92</v>
      </c>
      <c r="S270" s="28">
        <f>ROUND(ROUND(P270, 2)*I270, 2)</f>
        <v>281109.31</v>
      </c>
      <c r="V270" s="9">
        <f>ROUND(ROUND(P270, 2)/1.2, 2)</f>
        <v>6.6</v>
      </c>
      <c r="Y270" s="9">
        <f t="shared" si="16"/>
        <v>234257.76</v>
      </c>
      <c r="AD270" s="4" t="s">
        <v>1102</v>
      </c>
      <c r="AE270" s="4" t="s">
        <v>1103</v>
      </c>
      <c r="AF270" s="4" t="s">
        <v>1084</v>
      </c>
    </row>
    <row r="271" spans="1:35" ht="16.95" customHeight="1" x14ac:dyDescent="0.3">
      <c r="A271" s="10" t="s">
        <v>1104</v>
      </c>
      <c r="B271" s="10" t="s">
        <v>1105</v>
      </c>
      <c r="C271" s="120" t="s">
        <v>1106</v>
      </c>
      <c r="D271" s="121"/>
      <c r="E271" s="121"/>
      <c r="F271" s="121"/>
      <c r="G271" s="121"/>
      <c r="H271" s="121"/>
      <c r="I271" s="122"/>
      <c r="M271" s="6">
        <f>SUM(M272,M275,M278,M281,M284,M289,M294,M299,M304,M309,M314)</f>
        <v>4352647.0600000005</v>
      </c>
      <c r="N271" s="6">
        <f>SUM(N272,N275,N278,N281,N284,N289,N294,N299,N304,N309,N314)</f>
        <v>6080638.2299999995</v>
      </c>
      <c r="O271" s="6">
        <f>SUM(O272,O275,O278,O281,O284,O289,O294,O299,O304,O309,O314)</f>
        <v>10433285.289999999</v>
      </c>
      <c r="S271" s="6">
        <f>SUM(S272,S275,S278,S281,S284,S289,S294,S299,S304,S309,S314)</f>
        <v>3230273.8600000003</v>
      </c>
      <c r="T271" s="6">
        <f>SUM(T272,T275,T278,T281,T284,T289,T294,T299,T304,T309,T314)</f>
        <v>6080638.2299999995</v>
      </c>
      <c r="U271" s="6">
        <f>SUM(U272,U275,U278,U281,U284,U289,U294,U299,U304,U309,U314)</f>
        <v>9310912.089999998</v>
      </c>
      <c r="Y271" s="9">
        <f>SUM(Y272,Y275,Y278,Y281,Y284,Y289,Y294,Y299,Y304,Y309,Y314)</f>
        <v>2691894.9</v>
      </c>
      <c r="Z271" s="9">
        <f>SUM(Z272,Z275,Z278,Z281,Z284,Z289,Z294,Z299,Z304,Z309,Z314)</f>
        <v>5067198.5299999993</v>
      </c>
      <c r="AA271" s="9">
        <f>SUM(AA272,AA275,AA278,AA281,AA284,AA289,AA294,AA299,AA304,AA309,AA314)</f>
        <v>7759093.4300000006</v>
      </c>
      <c r="AD271" s="4">
        <v>339118855</v>
      </c>
      <c r="AE271" s="4">
        <v>28951418</v>
      </c>
    </row>
    <row r="272" spans="1:35" ht="36" x14ac:dyDescent="0.3">
      <c r="A272" s="10" t="s">
        <v>1107</v>
      </c>
      <c r="B272" s="10" t="s">
        <v>1108</v>
      </c>
      <c r="C272" s="14" t="s">
        <v>1109</v>
      </c>
      <c r="D272" s="15"/>
      <c r="E272" s="15" t="s">
        <v>1110</v>
      </c>
      <c r="F272" s="15" t="s">
        <v>75</v>
      </c>
      <c r="G272" s="16">
        <v>1</v>
      </c>
      <c r="H272" s="16"/>
      <c r="I272" s="16">
        <v>2520.8339999999998</v>
      </c>
      <c r="J272" s="17">
        <v>383.25</v>
      </c>
      <c r="K272" s="18">
        <v>428</v>
      </c>
      <c r="L272" s="17">
        <f>J272+ROUND(K272, 2)</f>
        <v>811.25</v>
      </c>
      <c r="M272" s="17">
        <v>966109.63</v>
      </c>
      <c r="N272" s="17">
        <v>1078916.95</v>
      </c>
      <c r="O272" s="17">
        <f>M272+N272</f>
        <v>2045026.58</v>
      </c>
      <c r="P272" s="17">
        <v>125.68</v>
      </c>
      <c r="Q272" s="18">
        <v>428</v>
      </c>
      <c r="R272" s="17">
        <f>P272+ROUND(Q272, 2)</f>
        <v>553.68000000000006</v>
      </c>
      <c r="S272" s="17">
        <v>316818.42</v>
      </c>
      <c r="T272" s="17">
        <v>1078916.95</v>
      </c>
      <c r="U272" s="17">
        <f>S272+T272</f>
        <v>1395735.3699999999</v>
      </c>
      <c r="V272" s="9">
        <f>ROUND(P272 / 1.2, 2)</f>
        <v>104.73</v>
      </c>
      <c r="W272" s="9">
        <f>ROUND(Q272 / 1.2, 2)</f>
        <v>356.67</v>
      </c>
      <c r="X272" s="9">
        <f>ROUND(R272 / 1.2, 2)</f>
        <v>461.4</v>
      </c>
      <c r="Y272" s="9">
        <f>ROUND(S272 / 1.2, 2)</f>
        <v>264015.34999999998</v>
      </c>
      <c r="Z272" s="9">
        <f>ROUND(T272 / 1.2, 2)</f>
        <v>899097.46</v>
      </c>
      <c r="AA272" s="9">
        <f>Y272+Z272</f>
        <v>1163112.81</v>
      </c>
      <c r="AD272" s="4">
        <v>339118857</v>
      </c>
      <c r="AE272" s="4">
        <v>28951421</v>
      </c>
      <c r="AG272" s="4" t="s">
        <v>1111</v>
      </c>
      <c r="AH272" s="4" t="s">
        <v>1112</v>
      </c>
      <c r="AI272" s="4" t="s">
        <v>156</v>
      </c>
    </row>
    <row r="273" spans="1:35" ht="108" x14ac:dyDescent="0.3">
      <c r="A273" s="10" t="s">
        <v>1113</v>
      </c>
      <c r="B273" s="10"/>
      <c r="C273" s="24" t="s">
        <v>1114</v>
      </c>
      <c r="D273" s="15"/>
      <c r="E273" s="15" t="s">
        <v>1115</v>
      </c>
      <c r="F273" s="25" t="s">
        <v>159</v>
      </c>
      <c r="G273" s="26">
        <v>0.3</v>
      </c>
      <c r="H273" s="26"/>
      <c r="I273" s="26">
        <v>756.25</v>
      </c>
      <c r="J273" s="27">
        <v>1236.8399999999999</v>
      </c>
      <c r="M273" s="28">
        <f>ROUND(ROUND(J273, 2)*I273, 2)</f>
        <v>935360.25</v>
      </c>
      <c r="P273" s="27">
        <v>378.25</v>
      </c>
      <c r="S273" s="28">
        <f>ROUND(ROUND(P273, 2)*I273, 2)</f>
        <v>286051.56</v>
      </c>
      <c r="V273" s="9">
        <f>ROUND(ROUND(P273, 2)/1.2, 2)</f>
        <v>315.20999999999998</v>
      </c>
      <c r="Y273" s="9">
        <f t="shared" ref="Y273:Y318" si="17">ROUND(S273 / 1.2, 2)</f>
        <v>238376.3</v>
      </c>
      <c r="AD273" s="4" t="s">
        <v>1116</v>
      </c>
      <c r="AE273" s="4" t="s">
        <v>1117</v>
      </c>
      <c r="AF273" s="4" t="s">
        <v>1118</v>
      </c>
    </row>
    <row r="274" spans="1:35" ht="36" x14ac:dyDescent="0.3">
      <c r="A274" s="10" t="s">
        <v>1119</v>
      </c>
      <c r="B274" s="10"/>
      <c r="C274" s="24" t="s">
        <v>1120</v>
      </c>
      <c r="D274" s="15"/>
      <c r="E274" s="15"/>
      <c r="F274" s="25" t="s">
        <v>159</v>
      </c>
      <c r="G274" s="26">
        <v>0.15</v>
      </c>
      <c r="H274" s="26"/>
      <c r="I274" s="26">
        <v>378.125</v>
      </c>
      <c r="J274" s="27">
        <v>81.34</v>
      </c>
      <c r="M274" s="28">
        <f>ROUND(ROUND(J274, 2)*I274, 2)</f>
        <v>30756.69</v>
      </c>
      <c r="P274" s="27">
        <v>81.34</v>
      </c>
      <c r="S274" s="28">
        <f>ROUND(ROUND(P274, 2)*I274, 2)</f>
        <v>30756.69</v>
      </c>
      <c r="V274" s="9">
        <f>ROUND(ROUND(P274, 2)/1.2, 2)</f>
        <v>67.78</v>
      </c>
      <c r="Y274" s="9">
        <f t="shared" si="17"/>
        <v>25630.58</v>
      </c>
      <c r="AD274" s="4" t="s">
        <v>1121</v>
      </c>
      <c r="AE274" s="4" t="s">
        <v>1122</v>
      </c>
      <c r="AF274" s="4" t="s">
        <v>1123</v>
      </c>
    </row>
    <row r="275" spans="1:35" ht="36" x14ac:dyDescent="0.3">
      <c r="A275" s="10" t="s">
        <v>1124</v>
      </c>
      <c r="B275" s="10" t="s">
        <v>1108</v>
      </c>
      <c r="C275" s="14" t="s">
        <v>1109</v>
      </c>
      <c r="D275" s="15"/>
      <c r="E275" s="15" t="s">
        <v>1110</v>
      </c>
      <c r="F275" s="15" t="s">
        <v>75</v>
      </c>
      <c r="G275" s="16">
        <v>1</v>
      </c>
      <c r="H275" s="16"/>
      <c r="I275" s="16">
        <v>515.05999999999995</v>
      </c>
      <c r="J275" s="17">
        <v>384.59</v>
      </c>
      <c r="K275" s="18">
        <v>428</v>
      </c>
      <c r="L275" s="17">
        <f>J275+ROUND(K275, 2)</f>
        <v>812.58999999999992</v>
      </c>
      <c r="M275" s="17">
        <v>198086.93</v>
      </c>
      <c r="N275" s="17">
        <v>220445.68</v>
      </c>
      <c r="O275" s="17">
        <f>M275+N275</f>
        <v>418532.61</v>
      </c>
      <c r="P275" s="17">
        <v>127.02</v>
      </c>
      <c r="Q275" s="18">
        <v>428</v>
      </c>
      <c r="R275" s="17">
        <f>P275+ROUND(Q275, 2)</f>
        <v>555.02</v>
      </c>
      <c r="S275" s="17">
        <v>65422.92</v>
      </c>
      <c r="T275" s="17">
        <v>220445.68</v>
      </c>
      <c r="U275" s="17">
        <f>S275+T275</f>
        <v>285868.59999999998</v>
      </c>
      <c r="V275" s="9">
        <f>ROUND(P275 / 1.2, 2)</f>
        <v>105.85</v>
      </c>
      <c r="W275" s="9">
        <f>ROUND(Q275 / 1.2, 2)</f>
        <v>356.67</v>
      </c>
      <c r="X275" s="9">
        <f>ROUND(R275 / 1.2, 2)</f>
        <v>462.52</v>
      </c>
      <c r="Y275" s="9">
        <f t="shared" si="17"/>
        <v>54519.1</v>
      </c>
      <c r="Z275" s="9">
        <f>ROUND(T275 / 1.2, 2)</f>
        <v>183704.73</v>
      </c>
      <c r="AA275" s="9">
        <f>Y275+Z275</f>
        <v>238223.83000000002</v>
      </c>
      <c r="AD275" s="4">
        <v>339118927</v>
      </c>
      <c r="AE275" s="4">
        <v>28951761</v>
      </c>
      <c r="AG275" s="4" t="s">
        <v>1111</v>
      </c>
      <c r="AH275" s="4" t="s">
        <v>1112</v>
      </c>
      <c r="AI275" s="4" t="s">
        <v>156</v>
      </c>
    </row>
    <row r="276" spans="1:35" ht="90" x14ac:dyDescent="0.3">
      <c r="A276" s="10" t="s">
        <v>1125</v>
      </c>
      <c r="B276" s="10"/>
      <c r="C276" s="24" t="s">
        <v>1114</v>
      </c>
      <c r="D276" s="15"/>
      <c r="E276" s="15" t="s">
        <v>1126</v>
      </c>
      <c r="F276" s="25" t="s">
        <v>159</v>
      </c>
      <c r="G276" s="26">
        <v>0.3</v>
      </c>
      <c r="H276" s="26"/>
      <c r="I276" s="26">
        <v>154.518</v>
      </c>
      <c r="J276" s="27">
        <v>1236.8399999999999</v>
      </c>
      <c r="M276" s="28">
        <f>ROUND(ROUND(J276, 2)*I276, 2)</f>
        <v>191114.04</v>
      </c>
      <c r="P276" s="27">
        <v>378.25</v>
      </c>
      <c r="S276" s="28">
        <f>ROUND(ROUND(P276, 2)*I276, 2)</f>
        <v>58446.43</v>
      </c>
      <c r="V276" s="9">
        <f>ROUND(ROUND(P276, 2)/1.2, 2)</f>
        <v>315.20999999999998</v>
      </c>
      <c r="Y276" s="9">
        <f t="shared" si="17"/>
        <v>48705.36</v>
      </c>
      <c r="AD276" s="4" t="s">
        <v>1127</v>
      </c>
      <c r="AE276" s="4" t="s">
        <v>1128</v>
      </c>
      <c r="AF276" s="4" t="s">
        <v>1118</v>
      </c>
    </row>
    <row r="277" spans="1:35" ht="36" x14ac:dyDescent="0.3">
      <c r="A277" s="10" t="s">
        <v>1129</v>
      </c>
      <c r="B277" s="10"/>
      <c r="C277" s="24" t="s">
        <v>480</v>
      </c>
      <c r="D277" s="15"/>
      <c r="E277" s="15"/>
      <c r="F277" s="25" t="s">
        <v>159</v>
      </c>
      <c r="G277" s="26">
        <v>0.15</v>
      </c>
      <c r="H277" s="26"/>
      <c r="I277" s="26">
        <v>77.259</v>
      </c>
      <c r="J277" s="27">
        <v>90.28</v>
      </c>
      <c r="M277" s="28">
        <f>ROUND(ROUND(J277, 2)*I277, 2)</f>
        <v>6974.94</v>
      </c>
      <c r="P277" s="27">
        <v>90.28</v>
      </c>
      <c r="S277" s="28">
        <f>ROUND(ROUND(P277, 2)*I277, 2)</f>
        <v>6974.94</v>
      </c>
      <c r="V277" s="9">
        <f>ROUND(ROUND(P277, 2)/1.2, 2)</f>
        <v>75.23</v>
      </c>
      <c r="Y277" s="9">
        <f t="shared" si="17"/>
        <v>5812.45</v>
      </c>
      <c r="AD277" s="4" t="s">
        <v>1130</v>
      </c>
      <c r="AE277" s="4" t="s">
        <v>1131</v>
      </c>
      <c r="AF277" s="4" t="s">
        <v>483</v>
      </c>
    </row>
    <row r="278" spans="1:35" ht="54" x14ac:dyDescent="0.3">
      <c r="A278" s="10" t="s">
        <v>1132</v>
      </c>
      <c r="B278" s="10" t="s">
        <v>1108</v>
      </c>
      <c r="C278" s="14" t="s">
        <v>1109</v>
      </c>
      <c r="D278" s="15"/>
      <c r="E278" s="15" t="s">
        <v>1093</v>
      </c>
      <c r="F278" s="15" t="s">
        <v>75</v>
      </c>
      <c r="G278" s="16">
        <v>1</v>
      </c>
      <c r="H278" s="16"/>
      <c r="I278" s="16">
        <v>1183.1199999999999</v>
      </c>
      <c r="J278" s="17">
        <v>384.59</v>
      </c>
      <c r="K278" s="18">
        <v>428</v>
      </c>
      <c r="L278" s="17">
        <f>J278+ROUND(K278, 2)</f>
        <v>812.58999999999992</v>
      </c>
      <c r="M278" s="17">
        <v>455016.12</v>
      </c>
      <c r="N278" s="17">
        <v>506375.36</v>
      </c>
      <c r="O278" s="17">
        <f>M278+N278</f>
        <v>961391.48</v>
      </c>
      <c r="P278" s="17">
        <v>127.02</v>
      </c>
      <c r="Q278" s="18">
        <v>428</v>
      </c>
      <c r="R278" s="17">
        <f>P278+ROUND(Q278, 2)</f>
        <v>555.02</v>
      </c>
      <c r="S278" s="17">
        <v>150279.9</v>
      </c>
      <c r="T278" s="17">
        <v>506375.36</v>
      </c>
      <c r="U278" s="17">
        <f>S278+T278</f>
        <v>656655.26</v>
      </c>
      <c r="V278" s="9">
        <f>ROUND(P278 / 1.2, 2)</f>
        <v>105.85</v>
      </c>
      <c r="W278" s="9">
        <f>ROUND(Q278 / 1.2, 2)</f>
        <v>356.67</v>
      </c>
      <c r="X278" s="9">
        <f>ROUND(R278 / 1.2, 2)</f>
        <v>462.52</v>
      </c>
      <c r="Y278" s="9">
        <f t="shared" si="17"/>
        <v>125233.25</v>
      </c>
      <c r="Z278" s="9">
        <f>ROUND(T278 / 1.2, 2)</f>
        <v>421979.47</v>
      </c>
      <c r="AA278" s="9">
        <f>Y278+Z278</f>
        <v>547212.72</v>
      </c>
      <c r="AD278" s="4">
        <v>339118928</v>
      </c>
      <c r="AE278" s="4">
        <v>28983431</v>
      </c>
      <c r="AG278" s="4" t="s">
        <v>1111</v>
      </c>
      <c r="AH278" s="4" t="s">
        <v>1112</v>
      </c>
      <c r="AI278" s="4" t="s">
        <v>156</v>
      </c>
    </row>
    <row r="279" spans="1:35" ht="36" x14ac:dyDescent="0.3">
      <c r="A279" s="10" t="s">
        <v>1133</v>
      </c>
      <c r="B279" s="10"/>
      <c r="C279" s="24" t="s">
        <v>480</v>
      </c>
      <c r="D279" s="15"/>
      <c r="E279" s="15"/>
      <c r="F279" s="25" t="s">
        <v>159</v>
      </c>
      <c r="G279" s="26">
        <v>0.15</v>
      </c>
      <c r="H279" s="26"/>
      <c r="I279" s="26">
        <v>177.46799999999999</v>
      </c>
      <c r="J279" s="27">
        <v>90.28</v>
      </c>
      <c r="M279" s="28">
        <f>ROUND(ROUND(J279, 2)*I279, 2)</f>
        <v>16021.81</v>
      </c>
      <c r="P279" s="27">
        <v>90.28</v>
      </c>
      <c r="S279" s="28">
        <f>ROUND(ROUND(P279, 2)*I279, 2)</f>
        <v>16021.81</v>
      </c>
      <c r="V279" s="9">
        <f>ROUND(ROUND(P279, 2)/1.2, 2)</f>
        <v>75.23</v>
      </c>
      <c r="Y279" s="9">
        <f t="shared" si="17"/>
        <v>13351.51</v>
      </c>
      <c r="AD279" s="4" t="s">
        <v>1134</v>
      </c>
      <c r="AE279" s="4" t="s">
        <v>1135</v>
      </c>
      <c r="AF279" s="4" t="s">
        <v>483</v>
      </c>
    </row>
    <row r="280" spans="1:35" ht="108" x14ac:dyDescent="0.3">
      <c r="A280" s="10" t="s">
        <v>1136</v>
      </c>
      <c r="B280" s="10"/>
      <c r="C280" s="24" t="s">
        <v>1114</v>
      </c>
      <c r="D280" s="15"/>
      <c r="E280" s="15" t="s">
        <v>1137</v>
      </c>
      <c r="F280" s="25" t="s">
        <v>159</v>
      </c>
      <c r="G280" s="26">
        <v>0.3</v>
      </c>
      <c r="H280" s="26"/>
      <c r="I280" s="26">
        <v>354.93599999999998</v>
      </c>
      <c r="J280" s="27">
        <v>1236.8399999999999</v>
      </c>
      <c r="M280" s="28">
        <f>ROUND(ROUND(J280, 2)*I280, 2)</f>
        <v>438999.03999999998</v>
      </c>
      <c r="P280" s="27">
        <v>378.25</v>
      </c>
      <c r="S280" s="28">
        <f>ROUND(ROUND(P280, 2)*I280, 2)</f>
        <v>134254.54</v>
      </c>
      <c r="V280" s="9">
        <f>ROUND(ROUND(P280, 2)/1.2, 2)</f>
        <v>315.20999999999998</v>
      </c>
      <c r="Y280" s="9">
        <f t="shared" si="17"/>
        <v>111878.78</v>
      </c>
      <c r="AD280" s="4" t="s">
        <v>1138</v>
      </c>
      <c r="AE280" s="4" t="s">
        <v>1139</v>
      </c>
      <c r="AF280" s="4" t="s">
        <v>1118</v>
      </c>
    </row>
    <row r="281" spans="1:35" ht="36" x14ac:dyDescent="0.3">
      <c r="A281" s="10" t="s">
        <v>1140</v>
      </c>
      <c r="B281" s="10" t="s">
        <v>1141</v>
      </c>
      <c r="C281" s="14" t="s">
        <v>1142</v>
      </c>
      <c r="D281" s="15"/>
      <c r="E281" s="15" t="s">
        <v>1143</v>
      </c>
      <c r="F281" s="15" t="s">
        <v>75</v>
      </c>
      <c r="G281" s="16">
        <v>1</v>
      </c>
      <c r="H281" s="16"/>
      <c r="I281" s="16">
        <v>206.42</v>
      </c>
      <c r="J281" s="17">
        <v>295.36</v>
      </c>
      <c r="K281" s="18">
        <v>472.01</v>
      </c>
      <c r="L281" s="17">
        <f>J281+ROUND(K281, 2)</f>
        <v>767.37</v>
      </c>
      <c r="M281" s="17">
        <v>60968.21</v>
      </c>
      <c r="N281" s="17">
        <v>97432.3</v>
      </c>
      <c r="O281" s="17">
        <f>M281+N281</f>
        <v>158400.51</v>
      </c>
      <c r="P281" s="17">
        <v>122.5</v>
      </c>
      <c r="Q281" s="18">
        <v>472.01</v>
      </c>
      <c r="R281" s="17">
        <f>P281+ROUND(Q281, 2)</f>
        <v>594.51</v>
      </c>
      <c r="S281" s="17">
        <v>25286.45</v>
      </c>
      <c r="T281" s="17">
        <v>97432.3</v>
      </c>
      <c r="U281" s="17">
        <f>S281+T281</f>
        <v>122718.75</v>
      </c>
      <c r="V281" s="9">
        <f>ROUND(P281 / 1.2, 2)</f>
        <v>102.08</v>
      </c>
      <c r="W281" s="9">
        <f>ROUND(Q281 / 1.2, 2)</f>
        <v>393.34</v>
      </c>
      <c r="X281" s="9">
        <f>ROUND(R281 / 1.2, 2)</f>
        <v>495.43</v>
      </c>
      <c r="Y281" s="9">
        <f t="shared" si="17"/>
        <v>21072.04</v>
      </c>
      <c r="Z281" s="9">
        <f>ROUND(T281 / 1.2, 2)</f>
        <v>81193.58</v>
      </c>
      <c r="AA281" s="9">
        <f>Y281+Z281</f>
        <v>102265.62</v>
      </c>
      <c r="AD281" s="4">
        <v>339118858</v>
      </c>
      <c r="AE281" s="4">
        <v>28999465</v>
      </c>
      <c r="AG281" s="4" t="s">
        <v>1144</v>
      </c>
      <c r="AH281" s="4" t="s">
        <v>1145</v>
      </c>
      <c r="AI281" s="4" t="s">
        <v>156</v>
      </c>
    </row>
    <row r="282" spans="1:35" ht="108" x14ac:dyDescent="0.3">
      <c r="A282" s="10" t="s">
        <v>1146</v>
      </c>
      <c r="B282" s="10"/>
      <c r="C282" s="24" t="s">
        <v>1147</v>
      </c>
      <c r="D282" s="15"/>
      <c r="E282" s="15" t="s">
        <v>1115</v>
      </c>
      <c r="F282" s="25" t="s">
        <v>159</v>
      </c>
      <c r="G282" s="26">
        <v>0.3</v>
      </c>
      <c r="H282" s="26"/>
      <c r="I282" s="26">
        <v>61.926000000000002</v>
      </c>
      <c r="J282" s="27">
        <v>954.43</v>
      </c>
      <c r="M282" s="28">
        <f>ROUND(ROUND(J282, 2)*I282, 2)</f>
        <v>59104.03</v>
      </c>
      <c r="P282" s="27">
        <v>378.25</v>
      </c>
      <c r="S282" s="28">
        <f>ROUND(ROUND(P282, 2)*I282, 2)</f>
        <v>23423.51</v>
      </c>
      <c r="V282" s="9">
        <f>ROUND(ROUND(P282, 2)/1.2, 2)</f>
        <v>315.20999999999998</v>
      </c>
      <c r="Y282" s="9">
        <f t="shared" si="17"/>
        <v>19519.59</v>
      </c>
      <c r="AD282" s="4" t="s">
        <v>1148</v>
      </c>
      <c r="AE282" s="4" t="s">
        <v>1149</v>
      </c>
      <c r="AF282" s="4" t="s">
        <v>1150</v>
      </c>
    </row>
    <row r="283" spans="1:35" ht="36" x14ac:dyDescent="0.3">
      <c r="A283" s="10" t="s">
        <v>1151</v>
      </c>
      <c r="B283" s="10"/>
      <c r="C283" s="24" t="s">
        <v>480</v>
      </c>
      <c r="D283" s="15"/>
      <c r="E283" s="15"/>
      <c r="F283" s="25" t="s">
        <v>159</v>
      </c>
      <c r="G283" s="26">
        <v>0.1</v>
      </c>
      <c r="H283" s="26"/>
      <c r="I283" s="26">
        <v>20.641999999999999</v>
      </c>
      <c r="J283" s="27">
        <v>90.28</v>
      </c>
      <c r="M283" s="28">
        <f>ROUND(ROUND(J283, 2)*I283, 2)</f>
        <v>1863.56</v>
      </c>
      <c r="P283" s="27">
        <v>90.28</v>
      </c>
      <c r="S283" s="28">
        <f>ROUND(ROUND(P283, 2)*I283, 2)</f>
        <v>1863.56</v>
      </c>
      <c r="V283" s="9">
        <f>ROUND(ROUND(P283, 2)/1.2, 2)</f>
        <v>75.23</v>
      </c>
      <c r="Y283" s="9">
        <f t="shared" si="17"/>
        <v>1552.97</v>
      </c>
      <c r="AD283" s="4" t="s">
        <v>1152</v>
      </c>
      <c r="AE283" s="4" t="s">
        <v>1153</v>
      </c>
      <c r="AF283" s="4" t="s">
        <v>483</v>
      </c>
    </row>
    <row r="284" spans="1:35" ht="54" x14ac:dyDescent="0.3">
      <c r="A284" s="10" t="s">
        <v>1154</v>
      </c>
      <c r="B284" s="10" t="s">
        <v>1155</v>
      </c>
      <c r="C284" s="14" t="s">
        <v>1156</v>
      </c>
      <c r="D284" s="15"/>
      <c r="E284" s="15" t="s">
        <v>1157</v>
      </c>
      <c r="F284" s="15" t="s">
        <v>75</v>
      </c>
      <c r="G284" s="16">
        <v>1</v>
      </c>
      <c r="H284" s="16"/>
      <c r="I284" s="16">
        <v>226.14</v>
      </c>
      <c r="J284" s="17">
        <v>1625.55</v>
      </c>
      <c r="K284" s="18">
        <v>2363.9899999999998</v>
      </c>
      <c r="L284" s="17">
        <f>J284+ROUND(K284, 2)</f>
        <v>3989.54</v>
      </c>
      <c r="M284" s="17">
        <v>367601.88</v>
      </c>
      <c r="N284" s="17">
        <v>534592.69999999995</v>
      </c>
      <c r="O284" s="17">
        <f>M284+N284</f>
        <v>902194.58</v>
      </c>
      <c r="P284" s="17">
        <v>1625.55</v>
      </c>
      <c r="Q284" s="18">
        <v>2363.9899999999998</v>
      </c>
      <c r="R284" s="17">
        <f>P284+ROUND(Q284, 2)</f>
        <v>3989.54</v>
      </c>
      <c r="S284" s="17">
        <v>367601.88</v>
      </c>
      <c r="T284" s="17">
        <v>534592.69999999995</v>
      </c>
      <c r="U284" s="17">
        <f>S284+T284</f>
        <v>902194.58</v>
      </c>
      <c r="V284" s="9">
        <f>ROUND(P284 / 1.2, 2)</f>
        <v>1354.63</v>
      </c>
      <c r="W284" s="9">
        <f>ROUND(Q284 / 1.2, 2)</f>
        <v>1969.99</v>
      </c>
      <c r="X284" s="9">
        <f>ROUND(R284 / 1.2, 2)</f>
        <v>3324.62</v>
      </c>
      <c r="Y284" s="9">
        <f t="shared" si="17"/>
        <v>306334.90000000002</v>
      </c>
      <c r="Z284" s="9">
        <f>ROUND(T284 / 1.2, 2)</f>
        <v>445493.92</v>
      </c>
      <c r="AA284" s="9">
        <f>Y284+Z284</f>
        <v>751828.82000000007</v>
      </c>
      <c r="AD284" s="4">
        <v>339118860</v>
      </c>
      <c r="AE284" s="4">
        <v>29086441</v>
      </c>
      <c r="AG284" s="4" t="s">
        <v>1158</v>
      </c>
      <c r="AH284" s="4" t="s">
        <v>1159</v>
      </c>
      <c r="AI284" s="4" t="s">
        <v>156</v>
      </c>
    </row>
    <row r="285" spans="1:35" ht="36" x14ac:dyDescent="0.3">
      <c r="A285" s="10" t="s">
        <v>1160</v>
      </c>
      <c r="B285" s="10"/>
      <c r="C285" s="24" t="s">
        <v>534</v>
      </c>
      <c r="D285" s="15"/>
      <c r="E285" s="15"/>
      <c r="F285" s="25" t="s">
        <v>159</v>
      </c>
      <c r="G285" s="26">
        <v>0.15</v>
      </c>
      <c r="H285" s="26"/>
      <c r="I285" s="26">
        <v>33.920999999999999</v>
      </c>
      <c r="J285" s="27">
        <v>69.540000000000006</v>
      </c>
      <c r="M285" s="28">
        <f>ROUND(ROUND(J285, 2)*I285, 2)</f>
        <v>2358.87</v>
      </c>
      <c r="P285" s="27">
        <v>69.540000000000006</v>
      </c>
      <c r="S285" s="28">
        <f>ROUND(ROUND(P285, 2)*I285, 2)</f>
        <v>2358.87</v>
      </c>
      <c r="V285" s="9">
        <f>ROUND(ROUND(P285, 2)/1.2, 2)</f>
        <v>57.95</v>
      </c>
      <c r="Y285" s="9">
        <f t="shared" si="17"/>
        <v>1965.73</v>
      </c>
      <c r="AD285" s="4" t="s">
        <v>1161</v>
      </c>
      <c r="AE285" s="4" t="s">
        <v>1162</v>
      </c>
      <c r="AF285" s="4" t="s">
        <v>537</v>
      </c>
    </row>
    <row r="286" spans="1:35" ht="36" x14ac:dyDescent="0.3">
      <c r="A286" s="10" t="s">
        <v>1163</v>
      </c>
      <c r="B286" s="10"/>
      <c r="C286" s="24" t="s">
        <v>510</v>
      </c>
      <c r="D286" s="15"/>
      <c r="E286" s="15"/>
      <c r="F286" s="25" t="s">
        <v>159</v>
      </c>
      <c r="G286" s="26">
        <v>0.25</v>
      </c>
      <c r="H286" s="32"/>
      <c r="I286" s="32">
        <v>56.534999999999997</v>
      </c>
      <c r="J286" s="27">
        <v>40.94</v>
      </c>
      <c r="M286" s="28">
        <f>ROUND(ROUND(J286, 2)*I286, 2)</f>
        <v>2314.54</v>
      </c>
      <c r="P286" s="27">
        <v>40.94</v>
      </c>
      <c r="S286" s="28">
        <f>ROUND(ROUND(P286, 2)*I286, 2)</f>
        <v>2314.54</v>
      </c>
      <c r="V286" s="9">
        <f>ROUND(ROUND(P286, 2)/1.2, 2)</f>
        <v>34.119999999999997</v>
      </c>
      <c r="Y286" s="9">
        <f t="shared" si="17"/>
        <v>1928.78</v>
      </c>
      <c r="AD286" s="4" t="s">
        <v>1164</v>
      </c>
      <c r="AE286" s="4" t="s">
        <v>1165</v>
      </c>
      <c r="AF286" s="4" t="s">
        <v>513</v>
      </c>
    </row>
    <row r="287" spans="1:35" ht="36" x14ac:dyDescent="0.3">
      <c r="A287" s="10" t="s">
        <v>1166</v>
      </c>
      <c r="B287" s="10"/>
      <c r="C287" s="30" t="s">
        <v>776</v>
      </c>
      <c r="D287" s="15"/>
      <c r="E287" s="15"/>
      <c r="F287" s="25" t="s">
        <v>159</v>
      </c>
      <c r="G287" s="26">
        <v>1.2</v>
      </c>
      <c r="H287" s="32"/>
      <c r="I287" s="32">
        <v>1356.84</v>
      </c>
      <c r="J287" s="27">
        <v>16.38</v>
      </c>
      <c r="M287" s="28">
        <f>ROUND(ROUND(J287, 2)*I287, 2)</f>
        <v>22225.040000000001</v>
      </c>
      <c r="P287" s="27">
        <v>16.38</v>
      </c>
      <c r="S287" s="28">
        <f>ROUND(ROUND(P287, 2)*I287, 2)</f>
        <v>22225.040000000001</v>
      </c>
      <c r="V287" s="9">
        <f>ROUND(ROUND(P287, 2)/1.2, 2)</f>
        <v>13.65</v>
      </c>
      <c r="Y287" s="9">
        <f t="shared" si="17"/>
        <v>18520.87</v>
      </c>
      <c r="AD287" s="4" t="s">
        <v>1167</v>
      </c>
      <c r="AE287" s="4" t="s">
        <v>1168</v>
      </c>
      <c r="AF287" s="4" t="s">
        <v>779</v>
      </c>
    </row>
    <row r="288" spans="1:35" ht="108" x14ac:dyDescent="0.3">
      <c r="A288" s="10" t="s">
        <v>1169</v>
      </c>
      <c r="B288" s="10"/>
      <c r="C288" s="30" t="s">
        <v>1170</v>
      </c>
      <c r="D288" s="15"/>
      <c r="E288" s="15" t="s">
        <v>1171</v>
      </c>
      <c r="F288" s="25" t="s">
        <v>75</v>
      </c>
      <c r="G288" s="26">
        <v>1.07</v>
      </c>
      <c r="H288" s="32"/>
      <c r="I288" s="32">
        <v>241.97</v>
      </c>
      <c r="J288" s="27">
        <v>1408.04</v>
      </c>
      <c r="M288" s="28">
        <f>ROUND(ROUND(J288, 2)*I288, 2)</f>
        <v>340703.44</v>
      </c>
      <c r="P288" s="27">
        <v>1408.04</v>
      </c>
      <c r="S288" s="28">
        <f>ROUND(ROUND(P288, 2)*I288, 2)</f>
        <v>340703.44</v>
      </c>
      <c r="V288" s="9">
        <f>ROUND(ROUND(P288, 2)/1.2, 2)</f>
        <v>1173.3699999999999</v>
      </c>
      <c r="Y288" s="9">
        <f t="shared" si="17"/>
        <v>283919.53000000003</v>
      </c>
      <c r="AD288" s="4" t="s">
        <v>1172</v>
      </c>
      <c r="AE288" s="4" t="s">
        <v>1173</v>
      </c>
      <c r="AF288" s="4" t="s">
        <v>1174</v>
      </c>
    </row>
    <row r="289" spans="1:35" ht="54" x14ac:dyDescent="0.3">
      <c r="A289" s="10" t="s">
        <v>1175</v>
      </c>
      <c r="B289" s="10" t="s">
        <v>1155</v>
      </c>
      <c r="C289" s="14" t="s">
        <v>1156</v>
      </c>
      <c r="D289" s="15"/>
      <c r="E289" s="15" t="s">
        <v>1176</v>
      </c>
      <c r="F289" s="15" t="s">
        <v>75</v>
      </c>
      <c r="G289" s="16">
        <v>1</v>
      </c>
      <c r="H289" s="16"/>
      <c r="I289" s="16">
        <v>843.68</v>
      </c>
      <c r="J289" s="17">
        <v>1625.55</v>
      </c>
      <c r="K289" s="18">
        <v>2363.9899999999998</v>
      </c>
      <c r="L289" s="17">
        <f>J289+ROUND(K289, 2)</f>
        <v>3989.54</v>
      </c>
      <c r="M289" s="17">
        <v>1371444.02</v>
      </c>
      <c r="N289" s="17">
        <v>1994451.08</v>
      </c>
      <c r="O289" s="17">
        <f>M289+N289</f>
        <v>3365895.1</v>
      </c>
      <c r="P289" s="17">
        <v>1625.55</v>
      </c>
      <c r="Q289" s="18">
        <v>2363.9899999999998</v>
      </c>
      <c r="R289" s="17">
        <f>P289+ROUND(Q289, 2)</f>
        <v>3989.54</v>
      </c>
      <c r="S289" s="17">
        <v>1371444.02</v>
      </c>
      <c r="T289" s="17">
        <v>1994451.08</v>
      </c>
      <c r="U289" s="17">
        <f>S289+T289</f>
        <v>3365895.1</v>
      </c>
      <c r="V289" s="9">
        <f>ROUND(P289 / 1.2, 2)</f>
        <v>1354.63</v>
      </c>
      <c r="W289" s="9">
        <f>ROUND(Q289 / 1.2, 2)</f>
        <v>1969.99</v>
      </c>
      <c r="X289" s="9">
        <f>ROUND(R289 / 1.2, 2)</f>
        <v>3324.62</v>
      </c>
      <c r="Y289" s="9">
        <f t="shared" si="17"/>
        <v>1142870.02</v>
      </c>
      <c r="Z289" s="9">
        <f>ROUND(T289 / 1.2, 2)</f>
        <v>1662042.57</v>
      </c>
      <c r="AA289" s="9">
        <f>Y289+Z289</f>
        <v>2804912.59</v>
      </c>
      <c r="AD289" s="4">
        <v>339118929</v>
      </c>
      <c r="AE289" s="4">
        <v>29086442</v>
      </c>
      <c r="AG289" s="4" t="s">
        <v>1158</v>
      </c>
      <c r="AH289" s="4" t="s">
        <v>1159</v>
      </c>
      <c r="AI289" s="4" t="s">
        <v>156</v>
      </c>
    </row>
    <row r="290" spans="1:35" ht="108" x14ac:dyDescent="0.3">
      <c r="A290" s="10" t="s">
        <v>1177</v>
      </c>
      <c r="B290" s="10"/>
      <c r="C290" s="30" t="s">
        <v>1170</v>
      </c>
      <c r="D290" s="15"/>
      <c r="E290" s="15" t="s">
        <v>1178</v>
      </c>
      <c r="F290" s="25" t="s">
        <v>75</v>
      </c>
      <c r="G290" s="26">
        <v>1.07</v>
      </c>
      <c r="H290" s="32"/>
      <c r="I290" s="32">
        <v>902.73800000000006</v>
      </c>
      <c r="J290" s="27">
        <v>1408.04</v>
      </c>
      <c r="M290" s="28">
        <f>ROUND(ROUND(J290, 2)*I290, 2)</f>
        <v>1271091.21</v>
      </c>
      <c r="P290" s="27">
        <v>1408.04</v>
      </c>
      <c r="S290" s="28">
        <f>ROUND(ROUND(P290, 2)*I290, 2)</f>
        <v>1271091.21</v>
      </c>
      <c r="V290" s="9">
        <f>ROUND(ROUND(P290, 2)/1.2, 2)</f>
        <v>1173.3699999999999</v>
      </c>
      <c r="Y290" s="9">
        <f t="shared" si="17"/>
        <v>1059242.68</v>
      </c>
      <c r="AD290" s="4" t="s">
        <v>1179</v>
      </c>
      <c r="AE290" s="4" t="s">
        <v>1180</v>
      </c>
      <c r="AF290" s="4" t="s">
        <v>1174</v>
      </c>
    </row>
    <row r="291" spans="1:35" ht="36" x14ac:dyDescent="0.3">
      <c r="A291" s="10" t="s">
        <v>1181</v>
      </c>
      <c r="B291" s="10"/>
      <c r="C291" s="30" t="s">
        <v>776</v>
      </c>
      <c r="D291" s="15"/>
      <c r="E291" s="15"/>
      <c r="F291" s="25" t="s">
        <v>159</v>
      </c>
      <c r="G291" s="26">
        <v>1.2</v>
      </c>
      <c r="H291" s="32"/>
      <c r="I291" s="32">
        <v>5062.08</v>
      </c>
      <c r="J291" s="27">
        <v>16.38</v>
      </c>
      <c r="M291" s="28">
        <f>ROUND(ROUND(J291, 2)*I291, 2)</f>
        <v>82916.87</v>
      </c>
      <c r="P291" s="27">
        <v>16.38</v>
      </c>
      <c r="S291" s="28">
        <f>ROUND(ROUND(P291, 2)*I291, 2)</f>
        <v>82916.87</v>
      </c>
      <c r="V291" s="9">
        <f>ROUND(ROUND(P291, 2)/1.2, 2)</f>
        <v>13.65</v>
      </c>
      <c r="Y291" s="9">
        <f t="shared" si="17"/>
        <v>69097.39</v>
      </c>
      <c r="AD291" s="4" t="s">
        <v>1182</v>
      </c>
      <c r="AE291" s="4" t="s">
        <v>1183</v>
      </c>
      <c r="AF291" s="4" t="s">
        <v>779</v>
      </c>
    </row>
    <row r="292" spans="1:35" ht="36" x14ac:dyDescent="0.3">
      <c r="A292" s="10" t="s">
        <v>1184</v>
      </c>
      <c r="B292" s="10"/>
      <c r="C292" s="24" t="s">
        <v>510</v>
      </c>
      <c r="D292" s="15"/>
      <c r="E292" s="15"/>
      <c r="F292" s="25" t="s">
        <v>159</v>
      </c>
      <c r="G292" s="26">
        <v>0.25</v>
      </c>
      <c r="H292" s="32"/>
      <c r="I292" s="32">
        <v>210.92</v>
      </c>
      <c r="J292" s="27">
        <v>40.94</v>
      </c>
      <c r="M292" s="28">
        <f>ROUND(ROUND(J292, 2)*I292, 2)</f>
        <v>8635.06</v>
      </c>
      <c r="P292" s="27">
        <v>40.94</v>
      </c>
      <c r="S292" s="28">
        <f>ROUND(ROUND(P292, 2)*I292, 2)</f>
        <v>8635.06</v>
      </c>
      <c r="V292" s="9">
        <f>ROUND(ROUND(P292, 2)/1.2, 2)</f>
        <v>34.119999999999997</v>
      </c>
      <c r="Y292" s="9">
        <f t="shared" si="17"/>
        <v>7195.88</v>
      </c>
      <c r="AD292" s="4" t="s">
        <v>1185</v>
      </c>
      <c r="AE292" s="4" t="s">
        <v>1186</v>
      </c>
      <c r="AF292" s="4" t="s">
        <v>513</v>
      </c>
    </row>
    <row r="293" spans="1:35" ht="36" x14ac:dyDescent="0.3">
      <c r="A293" s="10" t="s">
        <v>1187</v>
      </c>
      <c r="B293" s="10"/>
      <c r="C293" s="24" t="s">
        <v>534</v>
      </c>
      <c r="D293" s="15"/>
      <c r="E293" s="15"/>
      <c r="F293" s="25" t="s">
        <v>159</v>
      </c>
      <c r="G293" s="26">
        <v>0.15</v>
      </c>
      <c r="H293" s="26"/>
      <c r="I293" s="26">
        <v>126.55200000000001</v>
      </c>
      <c r="J293" s="27">
        <v>69.540000000000006</v>
      </c>
      <c r="M293" s="28">
        <f>ROUND(ROUND(J293, 2)*I293, 2)</f>
        <v>8800.43</v>
      </c>
      <c r="P293" s="27">
        <v>69.540000000000006</v>
      </c>
      <c r="S293" s="28">
        <f>ROUND(ROUND(P293, 2)*I293, 2)</f>
        <v>8800.43</v>
      </c>
      <c r="V293" s="9">
        <f>ROUND(ROUND(P293, 2)/1.2, 2)</f>
        <v>57.95</v>
      </c>
      <c r="Y293" s="9">
        <f t="shared" si="17"/>
        <v>7333.69</v>
      </c>
      <c r="AD293" s="4" t="s">
        <v>1188</v>
      </c>
      <c r="AE293" s="4" t="s">
        <v>1189</v>
      </c>
      <c r="AF293" s="4" t="s">
        <v>537</v>
      </c>
    </row>
    <row r="294" spans="1:35" ht="54" x14ac:dyDescent="0.3">
      <c r="A294" s="10" t="s">
        <v>1190</v>
      </c>
      <c r="B294" s="10" t="s">
        <v>1155</v>
      </c>
      <c r="C294" s="14" t="s">
        <v>1156</v>
      </c>
      <c r="D294" s="15"/>
      <c r="E294" s="15" t="s">
        <v>1191</v>
      </c>
      <c r="F294" s="15" t="s">
        <v>75</v>
      </c>
      <c r="G294" s="16">
        <v>1</v>
      </c>
      <c r="H294" s="16"/>
      <c r="I294" s="16">
        <v>355.1</v>
      </c>
      <c r="J294" s="17">
        <v>1146.95</v>
      </c>
      <c r="K294" s="18">
        <v>2363.9899999999998</v>
      </c>
      <c r="L294" s="17">
        <f>J294+ROUND(K294, 2)</f>
        <v>3510.9399999999996</v>
      </c>
      <c r="M294" s="17">
        <v>407281.95</v>
      </c>
      <c r="N294" s="17">
        <v>839452.85</v>
      </c>
      <c r="O294" s="17">
        <f>M294+N294</f>
        <v>1246734.8</v>
      </c>
      <c r="P294" s="17">
        <v>1146.95</v>
      </c>
      <c r="Q294" s="18">
        <v>2363.9899999999998</v>
      </c>
      <c r="R294" s="17">
        <f>P294+ROUND(Q294, 2)</f>
        <v>3510.9399999999996</v>
      </c>
      <c r="S294" s="17">
        <v>407281.95</v>
      </c>
      <c r="T294" s="17">
        <v>839452.85</v>
      </c>
      <c r="U294" s="17">
        <f>S294+T294</f>
        <v>1246734.8</v>
      </c>
      <c r="V294" s="9">
        <f>ROUND(P294 / 1.2, 2)</f>
        <v>955.79</v>
      </c>
      <c r="W294" s="9">
        <f>ROUND(Q294 / 1.2, 2)</f>
        <v>1969.99</v>
      </c>
      <c r="X294" s="9">
        <f>ROUND(R294 / 1.2, 2)</f>
        <v>2925.78</v>
      </c>
      <c r="Y294" s="9">
        <f t="shared" si="17"/>
        <v>339401.63</v>
      </c>
      <c r="Z294" s="9">
        <f>ROUND(T294 / 1.2, 2)</f>
        <v>699544.04</v>
      </c>
      <c r="AA294" s="9">
        <f>Y294+Z294</f>
        <v>1038945.67</v>
      </c>
      <c r="AD294" s="4">
        <v>339118930</v>
      </c>
      <c r="AE294" s="4">
        <v>29086443</v>
      </c>
      <c r="AG294" s="4" t="s">
        <v>1158</v>
      </c>
      <c r="AH294" s="4" t="s">
        <v>1159</v>
      </c>
      <c r="AI294" s="4" t="s">
        <v>156</v>
      </c>
    </row>
    <row r="295" spans="1:35" ht="36" x14ac:dyDescent="0.3">
      <c r="A295" s="10" t="s">
        <v>1192</v>
      </c>
      <c r="B295" s="10"/>
      <c r="C295" s="24" t="s">
        <v>534</v>
      </c>
      <c r="D295" s="15"/>
      <c r="E295" s="15"/>
      <c r="F295" s="25" t="s">
        <v>159</v>
      </c>
      <c r="G295" s="26">
        <v>0.15</v>
      </c>
      <c r="H295" s="26"/>
      <c r="I295" s="26">
        <v>53.265000000000001</v>
      </c>
      <c r="J295" s="27">
        <v>69.540000000000006</v>
      </c>
      <c r="M295" s="28">
        <f>ROUND(ROUND(J295, 2)*I295, 2)</f>
        <v>3704.05</v>
      </c>
      <c r="P295" s="27">
        <v>69.540000000000006</v>
      </c>
      <c r="S295" s="28">
        <f>ROUND(ROUND(P295, 2)*I295, 2)</f>
        <v>3704.05</v>
      </c>
      <c r="V295" s="9">
        <f>ROUND(ROUND(P295, 2)/1.2, 2)</f>
        <v>57.95</v>
      </c>
      <c r="Y295" s="9">
        <f t="shared" si="17"/>
        <v>3086.71</v>
      </c>
      <c r="AD295" s="4" t="s">
        <v>1193</v>
      </c>
      <c r="AE295" s="4" t="s">
        <v>1194</v>
      </c>
      <c r="AF295" s="4" t="s">
        <v>537</v>
      </c>
    </row>
    <row r="296" spans="1:35" ht="36" x14ac:dyDescent="0.3">
      <c r="A296" s="10" t="s">
        <v>1195</v>
      </c>
      <c r="B296" s="10"/>
      <c r="C296" s="24" t="s">
        <v>510</v>
      </c>
      <c r="D296" s="15"/>
      <c r="E296" s="15"/>
      <c r="F296" s="25" t="s">
        <v>159</v>
      </c>
      <c r="G296" s="26">
        <v>0.25</v>
      </c>
      <c r="H296" s="32"/>
      <c r="I296" s="32">
        <v>88.775000000000006</v>
      </c>
      <c r="J296" s="27">
        <v>40.94</v>
      </c>
      <c r="M296" s="28">
        <f>ROUND(ROUND(J296, 2)*I296, 2)</f>
        <v>3634.45</v>
      </c>
      <c r="P296" s="27">
        <v>40.94</v>
      </c>
      <c r="S296" s="28">
        <f>ROUND(ROUND(P296, 2)*I296, 2)</f>
        <v>3634.45</v>
      </c>
      <c r="V296" s="9">
        <f>ROUND(ROUND(P296, 2)/1.2, 2)</f>
        <v>34.119999999999997</v>
      </c>
      <c r="Y296" s="9">
        <f t="shared" si="17"/>
        <v>3028.71</v>
      </c>
      <c r="AD296" s="4" t="s">
        <v>1196</v>
      </c>
      <c r="AE296" s="4" t="s">
        <v>1197</v>
      </c>
      <c r="AF296" s="4" t="s">
        <v>513</v>
      </c>
    </row>
    <row r="297" spans="1:35" ht="36" x14ac:dyDescent="0.3">
      <c r="A297" s="10" t="s">
        <v>1198</v>
      </c>
      <c r="B297" s="10"/>
      <c r="C297" s="30" t="s">
        <v>776</v>
      </c>
      <c r="D297" s="15"/>
      <c r="E297" s="15"/>
      <c r="F297" s="25" t="s">
        <v>159</v>
      </c>
      <c r="G297" s="26">
        <v>1.2</v>
      </c>
      <c r="H297" s="32"/>
      <c r="I297" s="32">
        <v>2130.6</v>
      </c>
      <c r="J297" s="27">
        <v>16.38</v>
      </c>
      <c r="M297" s="28">
        <f>ROUND(ROUND(J297, 2)*I297, 2)</f>
        <v>34899.230000000003</v>
      </c>
      <c r="P297" s="27">
        <v>16.38</v>
      </c>
      <c r="S297" s="28">
        <f>ROUND(ROUND(P297, 2)*I297, 2)</f>
        <v>34899.230000000003</v>
      </c>
      <c r="V297" s="9">
        <f>ROUND(ROUND(P297, 2)/1.2, 2)</f>
        <v>13.65</v>
      </c>
      <c r="Y297" s="9">
        <f t="shared" si="17"/>
        <v>29082.69</v>
      </c>
      <c r="AD297" s="4" t="s">
        <v>1199</v>
      </c>
      <c r="AE297" s="4" t="s">
        <v>1200</v>
      </c>
      <c r="AF297" s="4" t="s">
        <v>779</v>
      </c>
    </row>
    <row r="298" spans="1:35" ht="72" x14ac:dyDescent="0.3">
      <c r="A298" s="10" t="s">
        <v>1201</v>
      </c>
      <c r="B298" s="10"/>
      <c r="C298" s="30" t="s">
        <v>1202</v>
      </c>
      <c r="D298" s="15"/>
      <c r="E298" s="15" t="s">
        <v>1203</v>
      </c>
      <c r="F298" s="25" t="s">
        <v>75</v>
      </c>
      <c r="G298" s="26">
        <v>1.07</v>
      </c>
      <c r="H298" s="32"/>
      <c r="I298" s="32">
        <v>379.95699999999999</v>
      </c>
      <c r="J298" s="27">
        <v>960.75</v>
      </c>
      <c r="M298" s="28">
        <f>ROUND(ROUND(J298, 2)*I298, 2)</f>
        <v>365043.69</v>
      </c>
      <c r="P298" s="27">
        <v>960.75</v>
      </c>
      <c r="S298" s="28">
        <f>ROUND(ROUND(P298, 2)*I298, 2)</f>
        <v>365043.69</v>
      </c>
      <c r="V298" s="9">
        <f>ROUND(ROUND(P298, 2)/1.2, 2)</f>
        <v>800.63</v>
      </c>
      <c r="Y298" s="9">
        <f t="shared" si="17"/>
        <v>304203.08</v>
      </c>
      <c r="AD298" s="4" t="s">
        <v>1204</v>
      </c>
      <c r="AE298" s="4" t="s">
        <v>1205</v>
      </c>
      <c r="AF298" s="4" t="s">
        <v>1206</v>
      </c>
    </row>
    <row r="299" spans="1:35" ht="54" x14ac:dyDescent="0.3">
      <c r="A299" s="10" t="s">
        <v>1207</v>
      </c>
      <c r="B299" s="10" t="s">
        <v>1155</v>
      </c>
      <c r="C299" s="14" t="s">
        <v>1156</v>
      </c>
      <c r="D299" s="15"/>
      <c r="E299" s="15" t="s">
        <v>1208</v>
      </c>
      <c r="F299" s="15" t="s">
        <v>75</v>
      </c>
      <c r="G299" s="16">
        <v>1</v>
      </c>
      <c r="H299" s="16"/>
      <c r="I299" s="16">
        <v>67.34</v>
      </c>
      <c r="J299" s="17">
        <v>1625.55</v>
      </c>
      <c r="K299" s="18">
        <v>2363.9899999999998</v>
      </c>
      <c r="L299" s="17">
        <f>J299+ROUND(K299, 2)</f>
        <v>3989.54</v>
      </c>
      <c r="M299" s="17">
        <v>109464.54</v>
      </c>
      <c r="N299" s="17">
        <v>159191.09</v>
      </c>
      <c r="O299" s="17">
        <f>M299+N299</f>
        <v>268655.63</v>
      </c>
      <c r="P299" s="17">
        <v>1625.55</v>
      </c>
      <c r="Q299" s="18">
        <v>2363.9899999999998</v>
      </c>
      <c r="R299" s="17">
        <f>P299+ROUND(Q299, 2)</f>
        <v>3989.54</v>
      </c>
      <c r="S299" s="17">
        <v>109464.54</v>
      </c>
      <c r="T299" s="17">
        <v>159191.09</v>
      </c>
      <c r="U299" s="17">
        <f>S299+T299</f>
        <v>268655.63</v>
      </c>
      <c r="V299" s="9">
        <f>ROUND(P299 / 1.2, 2)</f>
        <v>1354.63</v>
      </c>
      <c r="W299" s="9">
        <f>ROUND(Q299 / 1.2, 2)</f>
        <v>1969.99</v>
      </c>
      <c r="X299" s="9">
        <f>ROUND(R299 / 1.2, 2)</f>
        <v>3324.62</v>
      </c>
      <c r="Y299" s="9">
        <f t="shared" si="17"/>
        <v>91220.45</v>
      </c>
      <c r="Z299" s="9">
        <f>ROUND(T299 / 1.2, 2)</f>
        <v>132659.24</v>
      </c>
      <c r="AA299" s="9">
        <f>Y299+Z299</f>
        <v>223879.69</v>
      </c>
      <c r="AD299" s="4">
        <v>339118931</v>
      </c>
      <c r="AE299" s="4">
        <v>29086444</v>
      </c>
      <c r="AG299" s="4" t="s">
        <v>1158</v>
      </c>
      <c r="AH299" s="4" t="s">
        <v>1159</v>
      </c>
      <c r="AI299" s="4" t="s">
        <v>156</v>
      </c>
    </row>
    <row r="300" spans="1:35" ht="90" x14ac:dyDescent="0.3">
      <c r="A300" s="10" t="s">
        <v>1209</v>
      </c>
      <c r="B300" s="10"/>
      <c r="C300" s="30" t="s">
        <v>1170</v>
      </c>
      <c r="D300" s="15"/>
      <c r="E300" s="15" t="s">
        <v>1210</v>
      </c>
      <c r="F300" s="25" t="s">
        <v>75</v>
      </c>
      <c r="G300" s="26">
        <v>1.07</v>
      </c>
      <c r="H300" s="32"/>
      <c r="I300" s="32">
        <v>72.054000000000002</v>
      </c>
      <c r="J300" s="27">
        <v>1408.04</v>
      </c>
      <c r="M300" s="28">
        <f>ROUND(ROUND(J300, 2)*I300, 2)</f>
        <v>101454.91</v>
      </c>
      <c r="P300" s="27">
        <v>1408.04</v>
      </c>
      <c r="S300" s="28">
        <f>ROUND(ROUND(P300, 2)*I300, 2)</f>
        <v>101454.91</v>
      </c>
      <c r="V300" s="9">
        <f>ROUND(ROUND(P300, 2)/1.2, 2)</f>
        <v>1173.3699999999999</v>
      </c>
      <c r="Y300" s="9">
        <f t="shared" si="17"/>
        <v>84545.76</v>
      </c>
      <c r="AD300" s="4" t="s">
        <v>1211</v>
      </c>
      <c r="AE300" s="4" t="s">
        <v>1212</v>
      </c>
      <c r="AF300" s="4" t="s">
        <v>1174</v>
      </c>
    </row>
    <row r="301" spans="1:35" ht="36" x14ac:dyDescent="0.3">
      <c r="A301" s="10" t="s">
        <v>1213</v>
      </c>
      <c r="B301" s="10"/>
      <c r="C301" s="30" t="s">
        <v>776</v>
      </c>
      <c r="D301" s="15"/>
      <c r="E301" s="15"/>
      <c r="F301" s="25" t="s">
        <v>159</v>
      </c>
      <c r="G301" s="26">
        <v>1.2</v>
      </c>
      <c r="H301" s="32"/>
      <c r="I301" s="32">
        <v>404.04</v>
      </c>
      <c r="J301" s="27">
        <v>16.38</v>
      </c>
      <c r="M301" s="28">
        <f>ROUND(ROUND(J301, 2)*I301, 2)</f>
        <v>6618.18</v>
      </c>
      <c r="P301" s="27">
        <v>16.38</v>
      </c>
      <c r="S301" s="28">
        <f>ROUND(ROUND(P301, 2)*I301, 2)</f>
        <v>6618.18</v>
      </c>
      <c r="V301" s="9">
        <f>ROUND(ROUND(P301, 2)/1.2, 2)</f>
        <v>13.65</v>
      </c>
      <c r="Y301" s="9">
        <f t="shared" si="17"/>
        <v>5515.15</v>
      </c>
      <c r="AD301" s="4" t="s">
        <v>1214</v>
      </c>
      <c r="AE301" s="4" t="s">
        <v>1215</v>
      </c>
      <c r="AF301" s="4" t="s">
        <v>779</v>
      </c>
    </row>
    <row r="302" spans="1:35" ht="36" x14ac:dyDescent="0.3">
      <c r="A302" s="10" t="s">
        <v>1216</v>
      </c>
      <c r="B302" s="10"/>
      <c r="C302" s="24" t="s">
        <v>510</v>
      </c>
      <c r="D302" s="15"/>
      <c r="E302" s="15"/>
      <c r="F302" s="25" t="s">
        <v>159</v>
      </c>
      <c r="G302" s="26">
        <v>0.25</v>
      </c>
      <c r="H302" s="32"/>
      <c r="I302" s="32">
        <v>16.835000000000001</v>
      </c>
      <c r="J302" s="27">
        <v>40.94</v>
      </c>
      <c r="M302" s="28">
        <f>ROUND(ROUND(J302, 2)*I302, 2)</f>
        <v>689.22</v>
      </c>
      <c r="P302" s="27">
        <v>40.94</v>
      </c>
      <c r="S302" s="28">
        <f>ROUND(ROUND(P302, 2)*I302, 2)</f>
        <v>689.22</v>
      </c>
      <c r="V302" s="9">
        <f>ROUND(ROUND(P302, 2)/1.2, 2)</f>
        <v>34.119999999999997</v>
      </c>
      <c r="Y302" s="9">
        <f t="shared" si="17"/>
        <v>574.35</v>
      </c>
      <c r="AD302" s="4" t="s">
        <v>1217</v>
      </c>
      <c r="AE302" s="4" t="s">
        <v>1218</v>
      </c>
      <c r="AF302" s="4" t="s">
        <v>513</v>
      </c>
    </row>
    <row r="303" spans="1:35" ht="36" x14ac:dyDescent="0.3">
      <c r="A303" s="10" t="s">
        <v>1219</v>
      </c>
      <c r="B303" s="10"/>
      <c r="C303" s="24" t="s">
        <v>534</v>
      </c>
      <c r="D303" s="15"/>
      <c r="E303" s="15"/>
      <c r="F303" s="25" t="s">
        <v>159</v>
      </c>
      <c r="G303" s="26">
        <v>0.15</v>
      </c>
      <c r="H303" s="26"/>
      <c r="I303" s="26">
        <v>10.101000000000001</v>
      </c>
      <c r="J303" s="27">
        <v>69.540000000000006</v>
      </c>
      <c r="M303" s="28">
        <f>ROUND(ROUND(J303, 2)*I303, 2)</f>
        <v>702.42</v>
      </c>
      <c r="P303" s="27">
        <v>69.540000000000006</v>
      </c>
      <c r="S303" s="28">
        <f>ROUND(ROUND(P303, 2)*I303, 2)</f>
        <v>702.42</v>
      </c>
      <c r="V303" s="9">
        <f>ROUND(ROUND(P303, 2)/1.2, 2)</f>
        <v>57.95</v>
      </c>
      <c r="Y303" s="9">
        <f t="shared" si="17"/>
        <v>585.35</v>
      </c>
      <c r="AD303" s="4" t="s">
        <v>1220</v>
      </c>
      <c r="AE303" s="4" t="s">
        <v>1221</v>
      </c>
      <c r="AF303" s="4" t="s">
        <v>537</v>
      </c>
    </row>
    <row r="304" spans="1:35" ht="54" x14ac:dyDescent="0.3">
      <c r="A304" s="10" t="s">
        <v>1222</v>
      </c>
      <c r="B304" s="10" t="s">
        <v>1155</v>
      </c>
      <c r="C304" s="14" t="s">
        <v>1156</v>
      </c>
      <c r="D304" s="15"/>
      <c r="E304" s="15" t="s">
        <v>1223</v>
      </c>
      <c r="F304" s="15" t="s">
        <v>75</v>
      </c>
      <c r="G304" s="16">
        <v>1</v>
      </c>
      <c r="H304" s="16"/>
      <c r="I304" s="16">
        <v>132.62</v>
      </c>
      <c r="J304" s="17">
        <v>1357.11</v>
      </c>
      <c r="K304" s="18">
        <v>2363.9899999999998</v>
      </c>
      <c r="L304" s="17">
        <f>J304+ROUND(K304, 2)</f>
        <v>3721.0999999999995</v>
      </c>
      <c r="M304" s="17">
        <v>179979.93</v>
      </c>
      <c r="N304" s="17">
        <v>313512.34999999998</v>
      </c>
      <c r="O304" s="17">
        <f>M304+N304</f>
        <v>493492.27999999997</v>
      </c>
      <c r="P304" s="17">
        <v>1357.11</v>
      </c>
      <c r="Q304" s="18">
        <v>2363.9899999999998</v>
      </c>
      <c r="R304" s="17">
        <f>P304+ROUND(Q304, 2)</f>
        <v>3721.0999999999995</v>
      </c>
      <c r="S304" s="17">
        <v>179979.93</v>
      </c>
      <c r="T304" s="17">
        <v>313512.34999999998</v>
      </c>
      <c r="U304" s="17">
        <f>S304+T304</f>
        <v>493492.27999999997</v>
      </c>
      <c r="V304" s="9">
        <f>ROUND(P304 / 1.2, 2)</f>
        <v>1130.93</v>
      </c>
      <c r="W304" s="9">
        <f>ROUND(Q304 / 1.2, 2)</f>
        <v>1969.99</v>
      </c>
      <c r="X304" s="9">
        <f>ROUND(R304 / 1.2, 2)</f>
        <v>3100.92</v>
      </c>
      <c r="Y304" s="9">
        <f t="shared" si="17"/>
        <v>149983.28</v>
      </c>
      <c r="Z304" s="9">
        <f>ROUND(T304 / 1.2, 2)</f>
        <v>261260.29</v>
      </c>
      <c r="AA304" s="9">
        <f>Y304+Z304</f>
        <v>411243.57</v>
      </c>
      <c r="AD304" s="4">
        <v>339118932</v>
      </c>
      <c r="AE304" s="4">
        <v>29086445</v>
      </c>
      <c r="AG304" s="4" t="s">
        <v>1158</v>
      </c>
      <c r="AH304" s="4" t="s">
        <v>1159</v>
      </c>
      <c r="AI304" s="4" t="s">
        <v>156</v>
      </c>
    </row>
    <row r="305" spans="1:35" ht="36" x14ac:dyDescent="0.3">
      <c r="A305" s="10" t="s">
        <v>1224</v>
      </c>
      <c r="B305" s="10"/>
      <c r="C305" s="24" t="s">
        <v>534</v>
      </c>
      <c r="D305" s="15"/>
      <c r="E305" s="15"/>
      <c r="F305" s="25" t="s">
        <v>159</v>
      </c>
      <c r="G305" s="26">
        <v>0.15</v>
      </c>
      <c r="H305" s="26"/>
      <c r="I305" s="26">
        <v>19.893000000000001</v>
      </c>
      <c r="J305" s="27">
        <v>69.540000000000006</v>
      </c>
      <c r="M305" s="28">
        <f>ROUND(ROUND(J305, 2)*I305, 2)</f>
        <v>1383.36</v>
      </c>
      <c r="P305" s="27">
        <v>69.540000000000006</v>
      </c>
      <c r="S305" s="28">
        <f>ROUND(ROUND(P305, 2)*I305, 2)</f>
        <v>1383.36</v>
      </c>
      <c r="V305" s="9">
        <f>ROUND(ROUND(P305, 2)/1.2, 2)</f>
        <v>57.95</v>
      </c>
      <c r="Y305" s="9">
        <f t="shared" si="17"/>
        <v>1152.8</v>
      </c>
      <c r="AD305" s="4" t="s">
        <v>1225</v>
      </c>
      <c r="AE305" s="4" t="s">
        <v>1226</v>
      </c>
      <c r="AF305" s="4" t="s">
        <v>537</v>
      </c>
    </row>
    <row r="306" spans="1:35" ht="36" x14ac:dyDescent="0.3">
      <c r="A306" s="10" t="s">
        <v>1227</v>
      </c>
      <c r="B306" s="10"/>
      <c r="C306" s="24" t="s">
        <v>510</v>
      </c>
      <c r="D306" s="15"/>
      <c r="E306" s="15"/>
      <c r="F306" s="25" t="s">
        <v>159</v>
      </c>
      <c r="G306" s="26">
        <v>0.25</v>
      </c>
      <c r="H306" s="32"/>
      <c r="I306" s="32">
        <v>33.155000000000001</v>
      </c>
      <c r="J306" s="27">
        <v>40.94</v>
      </c>
      <c r="M306" s="28">
        <f>ROUND(ROUND(J306, 2)*I306, 2)</f>
        <v>1357.37</v>
      </c>
      <c r="P306" s="27">
        <v>40.94</v>
      </c>
      <c r="S306" s="28">
        <f>ROUND(ROUND(P306, 2)*I306, 2)</f>
        <v>1357.37</v>
      </c>
      <c r="V306" s="9">
        <f>ROUND(ROUND(P306, 2)/1.2, 2)</f>
        <v>34.119999999999997</v>
      </c>
      <c r="Y306" s="9">
        <f t="shared" si="17"/>
        <v>1131.1400000000001</v>
      </c>
      <c r="AD306" s="4" t="s">
        <v>1228</v>
      </c>
      <c r="AE306" s="4" t="s">
        <v>1229</v>
      </c>
      <c r="AF306" s="4" t="s">
        <v>513</v>
      </c>
    </row>
    <row r="307" spans="1:35" ht="36" x14ac:dyDescent="0.3">
      <c r="A307" s="10" t="s">
        <v>1230</v>
      </c>
      <c r="B307" s="10"/>
      <c r="C307" s="30" t="s">
        <v>776</v>
      </c>
      <c r="D307" s="15"/>
      <c r="E307" s="15"/>
      <c r="F307" s="25" t="s">
        <v>159</v>
      </c>
      <c r="G307" s="26">
        <v>1.2</v>
      </c>
      <c r="H307" s="32"/>
      <c r="I307" s="32">
        <v>795.72</v>
      </c>
      <c r="J307" s="27">
        <v>16.38</v>
      </c>
      <c r="M307" s="28">
        <f>ROUND(ROUND(J307, 2)*I307, 2)</f>
        <v>13033.89</v>
      </c>
      <c r="P307" s="27">
        <v>16.38</v>
      </c>
      <c r="S307" s="28">
        <f>ROUND(ROUND(P307, 2)*I307, 2)</f>
        <v>13033.89</v>
      </c>
      <c r="V307" s="9">
        <f>ROUND(ROUND(P307, 2)/1.2, 2)</f>
        <v>13.65</v>
      </c>
      <c r="Y307" s="9">
        <f t="shared" si="17"/>
        <v>10861.58</v>
      </c>
      <c r="AD307" s="4" t="s">
        <v>1231</v>
      </c>
      <c r="AE307" s="4" t="s">
        <v>1232</v>
      </c>
      <c r="AF307" s="4" t="s">
        <v>779</v>
      </c>
    </row>
    <row r="308" spans="1:35" ht="90" x14ac:dyDescent="0.3">
      <c r="A308" s="10" t="s">
        <v>1233</v>
      </c>
      <c r="B308" s="10"/>
      <c r="C308" s="30" t="s">
        <v>1234</v>
      </c>
      <c r="D308" s="15"/>
      <c r="E308" s="15" t="s">
        <v>1235</v>
      </c>
      <c r="F308" s="25" t="s">
        <v>75</v>
      </c>
      <c r="G308" s="26">
        <v>1.07</v>
      </c>
      <c r="H308" s="32"/>
      <c r="I308" s="32">
        <v>141.90299999999999</v>
      </c>
      <c r="J308" s="27">
        <v>1157.17</v>
      </c>
      <c r="M308" s="28">
        <f>ROUND(ROUND(J308, 2)*I308, 2)</f>
        <v>164205.89000000001</v>
      </c>
      <c r="P308" s="27">
        <v>1157.17</v>
      </c>
      <c r="S308" s="28">
        <f>ROUND(ROUND(P308, 2)*I308, 2)</f>
        <v>164205.89000000001</v>
      </c>
      <c r="V308" s="9">
        <f>ROUND(ROUND(P308, 2)/1.2, 2)</f>
        <v>964.31</v>
      </c>
      <c r="Y308" s="9">
        <f t="shared" si="17"/>
        <v>136838.24</v>
      </c>
      <c r="AD308" s="4" t="s">
        <v>1236</v>
      </c>
      <c r="AE308" s="4" t="s">
        <v>1237</v>
      </c>
      <c r="AF308" s="4" t="s">
        <v>1238</v>
      </c>
    </row>
    <row r="309" spans="1:35" ht="54" x14ac:dyDescent="0.3">
      <c r="A309" s="10" t="s">
        <v>1239</v>
      </c>
      <c r="B309" s="10" t="s">
        <v>1155</v>
      </c>
      <c r="C309" s="14" t="s">
        <v>1156</v>
      </c>
      <c r="D309" s="15"/>
      <c r="E309" s="15" t="s">
        <v>1240</v>
      </c>
      <c r="F309" s="15" t="s">
        <v>75</v>
      </c>
      <c r="G309" s="16">
        <v>1</v>
      </c>
      <c r="H309" s="16"/>
      <c r="I309" s="16">
        <v>124.58</v>
      </c>
      <c r="J309" s="17">
        <v>1632.15</v>
      </c>
      <c r="K309" s="18">
        <v>2363.9899999999998</v>
      </c>
      <c r="L309" s="17">
        <f>J309+ROUND(K309, 2)</f>
        <v>3996.14</v>
      </c>
      <c r="M309" s="17">
        <v>203333.25</v>
      </c>
      <c r="N309" s="17">
        <v>294505.87</v>
      </c>
      <c r="O309" s="17">
        <f>M309+N309</f>
        <v>497839.12</v>
      </c>
      <c r="P309" s="17">
        <v>1632.15</v>
      </c>
      <c r="Q309" s="18">
        <v>2363.9899999999998</v>
      </c>
      <c r="R309" s="17">
        <f>P309+ROUND(Q309, 2)</f>
        <v>3996.14</v>
      </c>
      <c r="S309" s="17">
        <v>203333.25</v>
      </c>
      <c r="T309" s="17">
        <v>294505.87</v>
      </c>
      <c r="U309" s="17">
        <f>S309+T309</f>
        <v>497839.12</v>
      </c>
      <c r="V309" s="9">
        <f>ROUND(P309 / 1.2, 2)</f>
        <v>1360.13</v>
      </c>
      <c r="W309" s="9">
        <f>ROUND(Q309 / 1.2, 2)</f>
        <v>1969.99</v>
      </c>
      <c r="X309" s="9">
        <f>ROUND(R309 / 1.2, 2)</f>
        <v>3330.12</v>
      </c>
      <c r="Y309" s="9">
        <f t="shared" si="17"/>
        <v>169444.38</v>
      </c>
      <c r="Z309" s="9">
        <f>ROUND(T309 / 1.2, 2)</f>
        <v>245421.56</v>
      </c>
      <c r="AA309" s="9">
        <f>Y309+Z309</f>
        <v>414865.94</v>
      </c>
      <c r="AD309" s="4">
        <v>339118933</v>
      </c>
      <c r="AE309" s="4">
        <v>29086437</v>
      </c>
      <c r="AG309" s="4" t="s">
        <v>1158</v>
      </c>
      <c r="AH309" s="4" t="s">
        <v>1159</v>
      </c>
      <c r="AI309" s="4" t="s">
        <v>156</v>
      </c>
    </row>
    <row r="310" spans="1:35" ht="72" x14ac:dyDescent="0.3">
      <c r="A310" s="10" t="s">
        <v>1241</v>
      </c>
      <c r="B310" s="10"/>
      <c r="C310" s="30" t="s">
        <v>1170</v>
      </c>
      <c r="D310" s="15"/>
      <c r="E310" s="15" t="s">
        <v>1242</v>
      </c>
      <c r="F310" s="25" t="s">
        <v>75</v>
      </c>
      <c r="G310" s="26">
        <v>1.07</v>
      </c>
      <c r="H310" s="32"/>
      <c r="I310" s="32">
        <v>133.30099999999999</v>
      </c>
      <c r="J310" s="27">
        <v>1408.04</v>
      </c>
      <c r="M310" s="28">
        <f>ROUND(ROUND(J310, 2)*I310, 2)</f>
        <v>187693.14</v>
      </c>
      <c r="P310" s="27">
        <v>1408.04</v>
      </c>
      <c r="S310" s="28">
        <f>ROUND(ROUND(P310, 2)*I310, 2)</f>
        <v>187693.14</v>
      </c>
      <c r="V310" s="9">
        <f>ROUND(ROUND(P310, 2)/1.2, 2)</f>
        <v>1173.3699999999999</v>
      </c>
      <c r="Y310" s="9">
        <f t="shared" si="17"/>
        <v>156410.95000000001</v>
      </c>
      <c r="AD310" s="4" t="s">
        <v>1243</v>
      </c>
      <c r="AE310" s="4" t="s">
        <v>1244</v>
      </c>
      <c r="AF310" s="4" t="s">
        <v>1174</v>
      </c>
    </row>
    <row r="311" spans="1:35" ht="36" x14ac:dyDescent="0.3">
      <c r="A311" s="10" t="s">
        <v>1245</v>
      </c>
      <c r="B311" s="10"/>
      <c r="C311" s="30" t="s">
        <v>776</v>
      </c>
      <c r="D311" s="15"/>
      <c r="E311" s="15"/>
      <c r="F311" s="25" t="s">
        <v>159</v>
      </c>
      <c r="G311" s="26">
        <v>1.2</v>
      </c>
      <c r="H311" s="32"/>
      <c r="I311" s="32">
        <v>747.48</v>
      </c>
      <c r="J311" s="27">
        <v>16.38</v>
      </c>
      <c r="M311" s="28">
        <f>ROUND(ROUND(J311, 2)*I311, 2)</f>
        <v>12243.72</v>
      </c>
      <c r="P311" s="27">
        <v>16.38</v>
      </c>
      <c r="S311" s="28">
        <f>ROUND(ROUND(P311, 2)*I311, 2)</f>
        <v>12243.72</v>
      </c>
      <c r="V311" s="9">
        <f>ROUND(ROUND(P311, 2)/1.2, 2)</f>
        <v>13.65</v>
      </c>
      <c r="Y311" s="9">
        <f t="shared" si="17"/>
        <v>10203.1</v>
      </c>
      <c r="AD311" s="4" t="s">
        <v>1246</v>
      </c>
      <c r="AE311" s="4" t="s">
        <v>1247</v>
      </c>
      <c r="AF311" s="4" t="s">
        <v>779</v>
      </c>
    </row>
    <row r="312" spans="1:35" ht="18" x14ac:dyDescent="0.3">
      <c r="A312" s="10" t="s">
        <v>1248</v>
      </c>
      <c r="B312" s="10"/>
      <c r="C312" s="24" t="s">
        <v>1249</v>
      </c>
      <c r="D312" s="15"/>
      <c r="E312" s="15" t="s">
        <v>1250</v>
      </c>
      <c r="F312" s="25" t="s">
        <v>159</v>
      </c>
      <c r="G312" s="26">
        <v>0.25</v>
      </c>
      <c r="H312" s="32"/>
      <c r="I312" s="32">
        <v>31.145</v>
      </c>
      <c r="J312" s="27">
        <v>67.33</v>
      </c>
      <c r="M312" s="28">
        <f>ROUND(ROUND(J312, 2)*I312, 2)</f>
        <v>2096.9899999999998</v>
      </c>
      <c r="P312" s="27">
        <v>67.33</v>
      </c>
      <c r="S312" s="28">
        <f>ROUND(ROUND(P312, 2)*I312, 2)</f>
        <v>2096.9899999999998</v>
      </c>
      <c r="V312" s="9">
        <f>ROUND(ROUND(P312, 2)/1.2, 2)</f>
        <v>56.11</v>
      </c>
      <c r="Y312" s="9">
        <f t="shared" si="17"/>
        <v>1747.49</v>
      </c>
      <c r="AD312" s="4" t="s">
        <v>1251</v>
      </c>
      <c r="AE312" s="4" t="s">
        <v>1252</v>
      </c>
      <c r="AF312" s="4" t="s">
        <v>1253</v>
      </c>
    </row>
    <row r="313" spans="1:35" ht="36" x14ac:dyDescent="0.3">
      <c r="A313" s="10" t="s">
        <v>1254</v>
      </c>
      <c r="B313" s="10"/>
      <c r="C313" s="24" t="s">
        <v>534</v>
      </c>
      <c r="D313" s="15"/>
      <c r="E313" s="15"/>
      <c r="F313" s="25" t="s">
        <v>159</v>
      </c>
      <c r="G313" s="26">
        <v>0.15</v>
      </c>
      <c r="H313" s="26"/>
      <c r="I313" s="26">
        <v>18.687000000000001</v>
      </c>
      <c r="J313" s="27">
        <v>69.540000000000006</v>
      </c>
      <c r="M313" s="28">
        <f>ROUND(ROUND(J313, 2)*I313, 2)</f>
        <v>1299.49</v>
      </c>
      <c r="P313" s="27">
        <v>69.540000000000006</v>
      </c>
      <c r="S313" s="28">
        <f>ROUND(ROUND(P313, 2)*I313, 2)</f>
        <v>1299.49</v>
      </c>
      <c r="V313" s="9">
        <f>ROUND(ROUND(P313, 2)/1.2, 2)</f>
        <v>57.95</v>
      </c>
      <c r="Y313" s="9">
        <f t="shared" si="17"/>
        <v>1082.9100000000001</v>
      </c>
      <c r="AD313" s="4" t="s">
        <v>1255</v>
      </c>
      <c r="AE313" s="4" t="s">
        <v>1256</v>
      </c>
      <c r="AF313" s="4" t="s">
        <v>537</v>
      </c>
    </row>
    <row r="314" spans="1:35" ht="54" x14ac:dyDescent="0.3">
      <c r="A314" s="10" t="s">
        <v>1257</v>
      </c>
      <c r="B314" s="10" t="s">
        <v>1258</v>
      </c>
      <c r="C314" s="14" t="s">
        <v>1259</v>
      </c>
      <c r="D314" s="15"/>
      <c r="E314" s="15" t="s">
        <v>1260</v>
      </c>
      <c r="F314" s="15" t="s">
        <v>75</v>
      </c>
      <c r="G314" s="16">
        <v>1</v>
      </c>
      <c r="H314" s="16"/>
      <c r="I314" s="16">
        <v>14</v>
      </c>
      <c r="J314" s="17">
        <v>2382.9</v>
      </c>
      <c r="K314" s="18">
        <v>2983</v>
      </c>
      <c r="L314" s="17">
        <f>J314+ROUND(K314, 2)</f>
        <v>5365.9</v>
      </c>
      <c r="M314" s="17">
        <v>33360.6</v>
      </c>
      <c r="N314" s="17">
        <v>41762</v>
      </c>
      <c r="O314" s="17">
        <f>M314+N314</f>
        <v>75122.600000000006</v>
      </c>
      <c r="P314" s="17">
        <v>2382.9</v>
      </c>
      <c r="Q314" s="18">
        <v>2983</v>
      </c>
      <c r="R314" s="17">
        <f>P314+ROUND(Q314, 2)</f>
        <v>5365.9</v>
      </c>
      <c r="S314" s="17">
        <v>33360.6</v>
      </c>
      <c r="T314" s="17">
        <v>41762</v>
      </c>
      <c r="U314" s="17">
        <f>S314+T314</f>
        <v>75122.600000000006</v>
      </c>
      <c r="V314" s="9">
        <f>ROUND(P314 / 1.2, 2)</f>
        <v>1985.75</v>
      </c>
      <c r="W314" s="9">
        <f>ROUND(Q314 / 1.2, 2)</f>
        <v>2485.83</v>
      </c>
      <c r="X314" s="9">
        <f>ROUND(R314 / 1.2, 2)</f>
        <v>4471.58</v>
      </c>
      <c r="Y314" s="9">
        <f t="shared" si="17"/>
        <v>27800.5</v>
      </c>
      <c r="Z314" s="9">
        <f>ROUND(T314 / 1.2, 2)</f>
        <v>34801.67</v>
      </c>
      <c r="AA314" s="9">
        <f>Y314+Z314</f>
        <v>62602.17</v>
      </c>
      <c r="AD314" s="4">
        <v>339118861</v>
      </c>
      <c r="AE314" s="4">
        <v>29090428</v>
      </c>
      <c r="AG314" s="4" t="s">
        <v>1261</v>
      </c>
      <c r="AH314" s="4" t="s">
        <v>1262</v>
      </c>
      <c r="AI314" s="4" t="s">
        <v>156</v>
      </c>
    </row>
    <row r="315" spans="1:35" ht="36" x14ac:dyDescent="0.3">
      <c r="A315" s="10" t="s">
        <v>1263</v>
      </c>
      <c r="B315" s="10"/>
      <c r="C315" s="24" t="s">
        <v>534</v>
      </c>
      <c r="D315" s="15"/>
      <c r="E315" s="15"/>
      <c r="F315" s="25" t="s">
        <v>159</v>
      </c>
      <c r="G315" s="26">
        <v>0.15</v>
      </c>
      <c r="H315" s="26"/>
      <c r="I315" s="26">
        <v>2.1</v>
      </c>
      <c r="J315" s="27">
        <v>69.540000000000006</v>
      </c>
      <c r="M315" s="28">
        <f>ROUND(ROUND(J315, 2)*I315, 2)</f>
        <v>146.03</v>
      </c>
      <c r="P315" s="27">
        <v>69.540000000000006</v>
      </c>
      <c r="S315" s="28">
        <f>ROUND(ROUND(P315, 2)*I315, 2)</f>
        <v>146.03</v>
      </c>
      <c r="V315" s="9">
        <f>ROUND(ROUND(P315, 2)/1.2, 2)</f>
        <v>57.95</v>
      </c>
      <c r="Y315" s="9">
        <f t="shared" si="17"/>
        <v>121.69</v>
      </c>
      <c r="AD315" s="4" t="s">
        <v>1264</v>
      </c>
      <c r="AE315" s="4" t="s">
        <v>1265</v>
      </c>
      <c r="AF315" s="4" t="s">
        <v>537</v>
      </c>
    </row>
    <row r="316" spans="1:35" ht="36" x14ac:dyDescent="0.3">
      <c r="A316" s="10" t="s">
        <v>1266</v>
      </c>
      <c r="B316" s="10"/>
      <c r="C316" s="30" t="s">
        <v>776</v>
      </c>
      <c r="D316" s="15"/>
      <c r="E316" s="15"/>
      <c r="F316" s="25" t="s">
        <v>159</v>
      </c>
      <c r="G316" s="26">
        <v>1.2</v>
      </c>
      <c r="H316" s="32"/>
      <c r="I316" s="32">
        <v>84</v>
      </c>
      <c r="J316" s="27">
        <v>16.38</v>
      </c>
      <c r="M316" s="28">
        <f>ROUND(ROUND(J316, 2)*I316, 2)</f>
        <v>1375.92</v>
      </c>
      <c r="P316" s="27">
        <v>16.38</v>
      </c>
      <c r="S316" s="28">
        <f>ROUND(ROUND(P316, 2)*I316, 2)</f>
        <v>1375.92</v>
      </c>
      <c r="V316" s="9">
        <f>ROUND(ROUND(P316, 2)/1.2, 2)</f>
        <v>13.65</v>
      </c>
      <c r="Y316" s="9">
        <f t="shared" si="17"/>
        <v>1146.5999999999999</v>
      </c>
      <c r="AD316" s="4" t="s">
        <v>1267</v>
      </c>
      <c r="AE316" s="4" t="s">
        <v>1268</v>
      </c>
      <c r="AF316" s="4" t="s">
        <v>779</v>
      </c>
    </row>
    <row r="317" spans="1:35" ht="90" x14ac:dyDescent="0.3">
      <c r="A317" s="10" t="s">
        <v>1269</v>
      </c>
      <c r="B317" s="10"/>
      <c r="C317" s="24" t="s">
        <v>1270</v>
      </c>
      <c r="D317" s="15"/>
      <c r="E317" s="15" t="s">
        <v>1271</v>
      </c>
      <c r="F317" s="25" t="s">
        <v>75</v>
      </c>
      <c r="G317" s="26">
        <v>1.1000000000000001</v>
      </c>
      <c r="H317" s="32"/>
      <c r="I317" s="32">
        <v>15.4</v>
      </c>
      <c r="J317" s="27">
        <v>2058.14</v>
      </c>
      <c r="M317" s="28">
        <f>ROUND(ROUND(J317, 2)*I317, 2)</f>
        <v>31695.360000000001</v>
      </c>
      <c r="P317" s="27">
        <v>2058.14</v>
      </c>
      <c r="S317" s="28">
        <f>ROUND(ROUND(P317, 2)*I317, 2)</f>
        <v>31695.360000000001</v>
      </c>
      <c r="V317" s="9">
        <f>ROUND(ROUND(P317, 2)/1.2, 2)</f>
        <v>1715.12</v>
      </c>
      <c r="Y317" s="9">
        <f t="shared" si="17"/>
        <v>26412.799999999999</v>
      </c>
      <c r="AD317" s="4" t="s">
        <v>1272</v>
      </c>
      <c r="AE317" s="4" t="s">
        <v>1273</v>
      </c>
      <c r="AF317" s="4" t="s">
        <v>1274</v>
      </c>
    </row>
    <row r="318" spans="1:35" ht="36" x14ac:dyDescent="0.3">
      <c r="A318" s="10" t="s">
        <v>1275</v>
      </c>
      <c r="B318" s="10"/>
      <c r="C318" s="24" t="s">
        <v>510</v>
      </c>
      <c r="D318" s="15"/>
      <c r="E318" s="15"/>
      <c r="F318" s="25" t="s">
        <v>159</v>
      </c>
      <c r="G318" s="26">
        <v>0.25</v>
      </c>
      <c r="H318" s="32"/>
      <c r="I318" s="32">
        <v>3.5</v>
      </c>
      <c r="J318" s="27">
        <v>40.94</v>
      </c>
      <c r="M318" s="28">
        <f>ROUND(ROUND(J318, 2)*I318, 2)</f>
        <v>143.29</v>
      </c>
      <c r="P318" s="27">
        <v>40.94</v>
      </c>
      <c r="S318" s="28">
        <f>ROUND(ROUND(P318, 2)*I318, 2)</f>
        <v>143.29</v>
      </c>
      <c r="V318" s="9">
        <f>ROUND(ROUND(P318, 2)/1.2, 2)</f>
        <v>34.119999999999997</v>
      </c>
      <c r="Y318" s="9">
        <f t="shared" si="17"/>
        <v>119.41</v>
      </c>
      <c r="AD318" s="4" t="s">
        <v>1276</v>
      </c>
      <c r="AE318" s="4" t="s">
        <v>1277</v>
      </c>
      <c r="AF318" s="4" t="s">
        <v>513</v>
      </c>
    </row>
    <row r="319" spans="1:35" ht="16.95" customHeight="1" x14ac:dyDescent="0.3">
      <c r="A319" s="10" t="s">
        <v>1278</v>
      </c>
      <c r="B319" s="10" t="s">
        <v>1279</v>
      </c>
      <c r="C319" s="120" t="s">
        <v>1280</v>
      </c>
      <c r="D319" s="121"/>
      <c r="E319" s="121"/>
      <c r="F319" s="121"/>
      <c r="G319" s="121"/>
      <c r="H319" s="121"/>
      <c r="I319" s="122"/>
      <c r="M319" s="6">
        <f>SUM(M320,M324,M327,M330)</f>
        <v>236639.88999999998</v>
      </c>
      <c r="N319" s="6">
        <f>SUM(N320,N324,N327,N330)</f>
        <v>1547943.58</v>
      </c>
      <c r="O319" s="6">
        <f>SUM(O320,O324,O327,O330)</f>
        <v>1784583.47</v>
      </c>
      <c r="S319" s="6">
        <f>SUM(S320,S324,S327,S330)</f>
        <v>254261.97000000003</v>
      </c>
      <c r="T319" s="6">
        <f>SUM(T320,T324,T327,T330)</f>
        <v>1547943.58</v>
      </c>
      <c r="U319" s="6">
        <f>SUM(U320,U324,U327,U330)</f>
        <v>1802205.5499999998</v>
      </c>
      <c r="Y319" s="9">
        <f>SUM(Y320,Y324,Y327,Y330)</f>
        <v>211884.97999999998</v>
      </c>
      <c r="Z319" s="9">
        <f>SUM(Z320,Z324,Z327,Z330)</f>
        <v>1289952.98</v>
      </c>
      <c r="AA319" s="9">
        <f>SUM(AA320,AA324,AA327,AA330)</f>
        <v>1501837.96</v>
      </c>
      <c r="AD319" s="4">
        <v>339118862</v>
      </c>
      <c r="AE319" s="4">
        <v>28999452</v>
      </c>
    </row>
    <row r="320" spans="1:35" ht="54" x14ac:dyDescent="0.3">
      <c r="A320" s="10" t="s">
        <v>1281</v>
      </c>
      <c r="B320" s="10" t="s">
        <v>1282</v>
      </c>
      <c r="C320" s="14" t="s">
        <v>1283</v>
      </c>
      <c r="D320" s="15"/>
      <c r="E320" s="15" t="s">
        <v>1143</v>
      </c>
      <c r="F320" s="15" t="s">
        <v>75</v>
      </c>
      <c r="G320" s="16">
        <v>1</v>
      </c>
      <c r="H320" s="16"/>
      <c r="I320" s="16">
        <v>206.42</v>
      </c>
      <c r="J320" s="17">
        <v>309.38</v>
      </c>
      <c r="K320" s="18">
        <v>2956</v>
      </c>
      <c r="L320" s="17">
        <f>J320+ROUND(K320, 2)</f>
        <v>3265.38</v>
      </c>
      <c r="M320" s="17">
        <v>63862.22</v>
      </c>
      <c r="N320" s="17">
        <v>610177.52</v>
      </c>
      <c r="O320" s="17">
        <f>M320+N320</f>
        <v>674039.74</v>
      </c>
      <c r="P320" s="17">
        <v>309.38</v>
      </c>
      <c r="Q320" s="18">
        <v>2956</v>
      </c>
      <c r="R320" s="17">
        <f>P320+ROUND(Q320, 2)</f>
        <v>3265.38</v>
      </c>
      <c r="S320" s="17">
        <v>63862.22</v>
      </c>
      <c r="T320" s="17">
        <v>610177.52</v>
      </c>
      <c r="U320" s="17">
        <f>S320+T320</f>
        <v>674039.74</v>
      </c>
      <c r="V320" s="9">
        <f>ROUND(P320 / 1.2, 2)</f>
        <v>257.82</v>
      </c>
      <c r="W320" s="9">
        <f>ROUND(Q320 / 1.2, 2)</f>
        <v>2463.33</v>
      </c>
      <c r="X320" s="9">
        <f>ROUND(R320 / 1.2, 2)</f>
        <v>2721.15</v>
      </c>
      <c r="Y320" s="9">
        <f>ROUND(S320 / 1.2, 2)</f>
        <v>53218.52</v>
      </c>
      <c r="Z320" s="9">
        <f>ROUND(T320 / 1.2, 2)</f>
        <v>508481.27</v>
      </c>
      <c r="AA320" s="9">
        <f>Y320+Z320</f>
        <v>561699.79</v>
      </c>
      <c r="AD320" s="4">
        <v>339118864</v>
      </c>
      <c r="AE320" s="4">
        <v>28999464</v>
      </c>
      <c r="AG320" s="4" t="s">
        <v>1284</v>
      </c>
      <c r="AH320" s="4" t="s">
        <v>1285</v>
      </c>
      <c r="AI320" s="4" t="s">
        <v>156</v>
      </c>
    </row>
    <row r="321" spans="1:35" ht="36" x14ac:dyDescent="0.3">
      <c r="A321" s="10" t="s">
        <v>1286</v>
      </c>
      <c r="B321" s="10"/>
      <c r="C321" s="30" t="s">
        <v>1081</v>
      </c>
      <c r="D321" s="15"/>
      <c r="E321" s="15"/>
      <c r="F321" s="25" t="s">
        <v>159</v>
      </c>
      <c r="G321" s="26">
        <v>1</v>
      </c>
      <c r="H321" s="32"/>
      <c r="I321" s="32">
        <v>7224.7</v>
      </c>
      <c r="J321" s="27">
        <v>7.92</v>
      </c>
      <c r="M321" s="28">
        <f>ROUND(ROUND(J321, 2)*I321, 2)</f>
        <v>57219.62</v>
      </c>
      <c r="P321" s="27">
        <v>7.92</v>
      </c>
      <c r="S321" s="28">
        <f>ROUND(ROUND(P321, 2)*I321, 2)</f>
        <v>57219.62</v>
      </c>
      <c r="V321" s="9">
        <f>ROUND(ROUND(P321, 2)/1.2, 2)</f>
        <v>6.6</v>
      </c>
      <c r="Y321" s="9">
        <f t="shared" ref="Y321:Y334" si="18">ROUND(S321 / 1.2, 2)</f>
        <v>47683.02</v>
      </c>
      <c r="AD321" s="4" t="s">
        <v>1287</v>
      </c>
      <c r="AE321" s="4" t="s">
        <v>1288</v>
      </c>
      <c r="AF321" s="4" t="s">
        <v>1084</v>
      </c>
    </row>
    <row r="322" spans="1:35" ht="18" x14ac:dyDescent="0.3">
      <c r="A322" s="10" t="s">
        <v>1289</v>
      </c>
      <c r="B322" s="10"/>
      <c r="C322" s="24" t="s">
        <v>1024</v>
      </c>
      <c r="D322" s="15"/>
      <c r="E322" s="15"/>
      <c r="F322" s="25" t="s">
        <v>120</v>
      </c>
      <c r="G322" s="26">
        <v>1</v>
      </c>
      <c r="H322" s="26"/>
      <c r="I322" s="26">
        <v>206.42</v>
      </c>
      <c r="J322" s="27">
        <v>18.64</v>
      </c>
      <c r="M322" s="28">
        <f>ROUND(ROUND(J322, 2)*I322, 2)</f>
        <v>3847.67</v>
      </c>
      <c r="P322" s="27">
        <v>18.64</v>
      </c>
      <c r="S322" s="28">
        <f>ROUND(ROUND(P322, 2)*I322, 2)</f>
        <v>3847.67</v>
      </c>
      <c r="V322" s="9">
        <f>ROUND(ROUND(P322, 2)/1.2, 2)</f>
        <v>15.53</v>
      </c>
      <c r="Y322" s="9">
        <f t="shared" si="18"/>
        <v>3206.39</v>
      </c>
      <c r="AD322" s="4" t="s">
        <v>1290</v>
      </c>
      <c r="AE322" s="4" t="s">
        <v>1291</v>
      </c>
      <c r="AF322" s="4" t="s">
        <v>1027</v>
      </c>
    </row>
    <row r="323" spans="1:35" ht="36" x14ac:dyDescent="0.3">
      <c r="A323" s="10" t="s">
        <v>1292</v>
      </c>
      <c r="B323" s="10"/>
      <c r="C323" s="24" t="s">
        <v>480</v>
      </c>
      <c r="D323" s="15"/>
      <c r="E323" s="15"/>
      <c r="F323" s="25" t="s">
        <v>159</v>
      </c>
      <c r="G323" s="26">
        <v>0.15</v>
      </c>
      <c r="H323" s="26"/>
      <c r="I323" s="26">
        <v>30.963000000000001</v>
      </c>
      <c r="J323" s="27">
        <v>90.28</v>
      </c>
      <c r="M323" s="28">
        <f>ROUND(ROUND(J323, 2)*I323, 2)</f>
        <v>2795.34</v>
      </c>
      <c r="P323" s="27">
        <v>90.28</v>
      </c>
      <c r="S323" s="28">
        <f>ROUND(ROUND(P323, 2)*I323, 2)</f>
        <v>2795.34</v>
      </c>
      <c r="V323" s="9">
        <f>ROUND(ROUND(P323, 2)/1.2, 2)</f>
        <v>75.23</v>
      </c>
      <c r="Y323" s="9">
        <f t="shared" si="18"/>
        <v>2329.4499999999998</v>
      </c>
      <c r="AD323" s="4" t="s">
        <v>1293</v>
      </c>
      <c r="AE323" s="4" t="s">
        <v>1294</v>
      </c>
      <c r="AF323" s="4" t="s">
        <v>483</v>
      </c>
    </row>
    <row r="324" spans="1:35" ht="54" x14ac:dyDescent="0.3">
      <c r="A324" s="10" t="s">
        <v>1295</v>
      </c>
      <c r="B324" s="10" t="s">
        <v>1296</v>
      </c>
      <c r="C324" s="14" t="s">
        <v>1297</v>
      </c>
      <c r="D324" s="15"/>
      <c r="E324" s="15" t="s">
        <v>1298</v>
      </c>
      <c r="F324" s="15" t="s">
        <v>75</v>
      </c>
      <c r="G324" s="16">
        <v>1</v>
      </c>
      <c r="H324" s="16"/>
      <c r="I324" s="16">
        <v>206.42</v>
      </c>
      <c r="J324" s="17">
        <v>68.709999999999994</v>
      </c>
      <c r="K324" s="18">
        <v>1001</v>
      </c>
      <c r="L324" s="17">
        <f>J324+ROUND(K324, 2)</f>
        <v>1069.71</v>
      </c>
      <c r="M324" s="17">
        <v>14183.12</v>
      </c>
      <c r="N324" s="17">
        <v>206626.42</v>
      </c>
      <c r="O324" s="17">
        <f>M324+N324</f>
        <v>220809.54</v>
      </c>
      <c r="P324" s="17">
        <v>68.709999999999994</v>
      </c>
      <c r="Q324" s="18">
        <v>1001</v>
      </c>
      <c r="R324" s="17">
        <f>P324+ROUND(Q324, 2)</f>
        <v>1069.71</v>
      </c>
      <c r="S324" s="17">
        <v>14183.12</v>
      </c>
      <c r="T324" s="17">
        <v>206626.42</v>
      </c>
      <c r="U324" s="17">
        <f>S324+T324</f>
        <v>220809.54</v>
      </c>
      <c r="V324" s="9">
        <f>ROUND(P324 / 1.2, 2)</f>
        <v>57.26</v>
      </c>
      <c r="W324" s="9">
        <f>ROUND(Q324 / 1.2, 2)</f>
        <v>834.17</v>
      </c>
      <c r="X324" s="9">
        <f>ROUND(R324 / 1.2, 2)</f>
        <v>891.43</v>
      </c>
      <c r="Y324" s="9">
        <f t="shared" si="18"/>
        <v>11819.27</v>
      </c>
      <c r="Z324" s="9">
        <f>ROUND(T324 / 1.2, 2)</f>
        <v>172188.68</v>
      </c>
      <c r="AA324" s="9">
        <f>Y324+Z324</f>
        <v>184007.94999999998</v>
      </c>
      <c r="AD324" s="4">
        <v>339118866</v>
      </c>
      <c r="AE324" s="4">
        <v>28999467</v>
      </c>
      <c r="AG324" s="4" t="s">
        <v>1299</v>
      </c>
      <c r="AH324" s="4" t="s">
        <v>1300</v>
      </c>
      <c r="AI324" s="4" t="s">
        <v>156</v>
      </c>
    </row>
    <row r="325" spans="1:35" ht="36" x14ac:dyDescent="0.3">
      <c r="A325" s="10" t="s">
        <v>1301</v>
      </c>
      <c r="B325" s="10"/>
      <c r="C325" s="30" t="s">
        <v>849</v>
      </c>
      <c r="D325" s="15"/>
      <c r="E325" s="15"/>
      <c r="F325" s="25" t="s">
        <v>159</v>
      </c>
      <c r="G325" s="26">
        <v>4.5</v>
      </c>
      <c r="H325" s="26"/>
      <c r="I325" s="26">
        <v>928.89</v>
      </c>
      <c r="J325" s="27">
        <v>12.26</v>
      </c>
      <c r="M325" s="28">
        <f>ROUND(ROUND(J325, 2)*I325, 2)</f>
        <v>11388.19</v>
      </c>
      <c r="P325" s="27">
        <v>12.26</v>
      </c>
      <c r="S325" s="28">
        <f>ROUND(ROUND(P325, 2)*I325, 2)</f>
        <v>11388.19</v>
      </c>
      <c r="V325" s="9">
        <f>ROUND(ROUND(P325, 2)/1.2, 2)</f>
        <v>10.220000000000001</v>
      </c>
      <c r="Y325" s="9">
        <f t="shared" si="18"/>
        <v>9490.16</v>
      </c>
      <c r="AD325" s="4" t="s">
        <v>1302</v>
      </c>
      <c r="AE325" s="4" t="s">
        <v>1303</v>
      </c>
      <c r="AF325" s="4" t="s">
        <v>852</v>
      </c>
    </row>
    <row r="326" spans="1:35" ht="36" x14ac:dyDescent="0.3">
      <c r="A326" s="10" t="s">
        <v>1304</v>
      </c>
      <c r="B326" s="10"/>
      <c r="C326" s="24" t="s">
        <v>480</v>
      </c>
      <c r="D326" s="15"/>
      <c r="E326" s="15"/>
      <c r="F326" s="25" t="s">
        <v>159</v>
      </c>
      <c r="G326" s="26">
        <v>0.15</v>
      </c>
      <c r="H326" s="26"/>
      <c r="I326" s="26">
        <v>30.963000000000001</v>
      </c>
      <c r="J326" s="27">
        <v>90.28</v>
      </c>
      <c r="M326" s="28">
        <f>ROUND(ROUND(J326, 2)*I326, 2)</f>
        <v>2795.34</v>
      </c>
      <c r="P326" s="27">
        <v>90.28</v>
      </c>
      <c r="S326" s="28">
        <f>ROUND(ROUND(P326, 2)*I326, 2)</f>
        <v>2795.34</v>
      </c>
      <c r="V326" s="9">
        <f>ROUND(ROUND(P326, 2)/1.2, 2)</f>
        <v>75.23</v>
      </c>
      <c r="Y326" s="9">
        <f t="shared" si="18"/>
        <v>2329.4499999999998</v>
      </c>
      <c r="AD326" s="4" t="s">
        <v>1305</v>
      </c>
      <c r="AE326" s="4" t="s">
        <v>1306</v>
      </c>
      <c r="AF326" s="4" t="s">
        <v>483</v>
      </c>
    </row>
    <row r="327" spans="1:35" ht="54" x14ac:dyDescent="0.3">
      <c r="A327" s="10" t="s">
        <v>1307</v>
      </c>
      <c r="B327" s="10" t="s">
        <v>1296</v>
      </c>
      <c r="C327" s="14" t="s">
        <v>1297</v>
      </c>
      <c r="D327" s="15"/>
      <c r="E327" s="15" t="s">
        <v>1308</v>
      </c>
      <c r="F327" s="15" t="s">
        <v>75</v>
      </c>
      <c r="G327" s="16">
        <v>1</v>
      </c>
      <c r="H327" s="16"/>
      <c r="I327" s="16">
        <v>206.42</v>
      </c>
      <c r="J327" s="17">
        <v>68.709999999999994</v>
      </c>
      <c r="K327" s="18">
        <v>1001</v>
      </c>
      <c r="L327" s="17">
        <f>J327+ROUND(K327, 2)</f>
        <v>1069.71</v>
      </c>
      <c r="M327" s="17">
        <v>14183.12</v>
      </c>
      <c r="N327" s="17">
        <v>206626.42</v>
      </c>
      <c r="O327" s="17">
        <f>M327+N327</f>
        <v>220809.54</v>
      </c>
      <c r="P327" s="17">
        <v>100.66</v>
      </c>
      <c r="Q327" s="18">
        <v>1001</v>
      </c>
      <c r="R327" s="17">
        <f>P327+ROUND(Q327, 2)</f>
        <v>1101.6600000000001</v>
      </c>
      <c r="S327" s="17">
        <v>20778.240000000002</v>
      </c>
      <c r="T327" s="17">
        <v>206626.42</v>
      </c>
      <c r="U327" s="17">
        <f>S327+T327</f>
        <v>227404.66</v>
      </c>
      <c r="V327" s="9">
        <f>ROUND(P327 / 1.2, 2)</f>
        <v>83.88</v>
      </c>
      <c r="W327" s="9">
        <f>ROUND(Q327 / 1.2, 2)</f>
        <v>834.17</v>
      </c>
      <c r="X327" s="9">
        <f>ROUND(R327 / 1.2, 2)</f>
        <v>918.05</v>
      </c>
      <c r="Y327" s="9">
        <f t="shared" si="18"/>
        <v>17315.2</v>
      </c>
      <c r="Z327" s="9">
        <f>ROUND(T327 / 1.2, 2)</f>
        <v>172188.68</v>
      </c>
      <c r="AA327" s="9">
        <f>Y327+Z327</f>
        <v>189503.88</v>
      </c>
      <c r="AD327" s="4">
        <v>339118934</v>
      </c>
      <c r="AE327" s="4">
        <v>28999468</v>
      </c>
      <c r="AG327" s="4" t="s">
        <v>1299</v>
      </c>
      <c r="AH327" s="4" t="s">
        <v>1300</v>
      </c>
      <c r="AI327" s="4" t="s">
        <v>156</v>
      </c>
    </row>
    <row r="328" spans="1:35" ht="36" x14ac:dyDescent="0.3">
      <c r="A328" s="10" t="s">
        <v>1309</v>
      </c>
      <c r="B328" s="10"/>
      <c r="C328" s="24" t="s">
        <v>480</v>
      </c>
      <c r="D328" s="15"/>
      <c r="E328" s="15"/>
      <c r="F328" s="25" t="s">
        <v>159</v>
      </c>
      <c r="G328" s="26">
        <v>0.15</v>
      </c>
      <c r="H328" s="26"/>
      <c r="I328" s="26">
        <v>30.963000000000001</v>
      </c>
      <c r="J328" s="27">
        <v>90.28</v>
      </c>
      <c r="M328" s="28">
        <f>ROUND(ROUND(J328, 2)*I328, 2)</f>
        <v>2795.34</v>
      </c>
      <c r="P328" s="27">
        <v>90.28</v>
      </c>
      <c r="S328" s="28">
        <f>ROUND(ROUND(P328, 2)*I328, 2)</f>
        <v>2795.34</v>
      </c>
      <c r="V328" s="9">
        <f>ROUND(ROUND(P328, 2)/1.2, 2)</f>
        <v>75.23</v>
      </c>
      <c r="Y328" s="9">
        <f t="shared" si="18"/>
        <v>2329.4499999999998</v>
      </c>
      <c r="AD328" s="4" t="s">
        <v>1310</v>
      </c>
      <c r="AE328" s="4" t="s">
        <v>1311</v>
      </c>
      <c r="AF328" s="4" t="s">
        <v>483</v>
      </c>
    </row>
    <row r="329" spans="1:35" ht="54" x14ac:dyDescent="0.3">
      <c r="A329" s="10" t="s">
        <v>1312</v>
      </c>
      <c r="B329" s="10"/>
      <c r="C329" s="30" t="s">
        <v>849</v>
      </c>
      <c r="D329" s="15"/>
      <c r="E329" s="15" t="s">
        <v>949</v>
      </c>
      <c r="F329" s="25" t="s">
        <v>159</v>
      </c>
      <c r="G329" s="26">
        <v>4.5</v>
      </c>
      <c r="H329" s="26"/>
      <c r="I329" s="26">
        <v>928.89</v>
      </c>
      <c r="J329" s="27">
        <v>12.26</v>
      </c>
      <c r="M329" s="28">
        <f>ROUND(ROUND(J329, 2)*I329, 2)</f>
        <v>11388.19</v>
      </c>
      <c r="P329" s="27">
        <v>19.36</v>
      </c>
      <c r="S329" s="28">
        <f>ROUND(ROUND(P329, 2)*I329, 2)</f>
        <v>17983.310000000001</v>
      </c>
      <c r="V329" s="9">
        <f>ROUND(ROUND(P329, 2)/1.2, 2)</f>
        <v>16.13</v>
      </c>
      <c r="Y329" s="9">
        <f t="shared" si="18"/>
        <v>14986.09</v>
      </c>
      <c r="AD329" s="4" t="s">
        <v>1313</v>
      </c>
      <c r="AE329" s="4" t="s">
        <v>1314</v>
      </c>
      <c r="AF329" s="4" t="s">
        <v>852</v>
      </c>
    </row>
    <row r="330" spans="1:35" ht="36" x14ac:dyDescent="0.3">
      <c r="A330" s="10" t="s">
        <v>1315</v>
      </c>
      <c r="B330" s="10" t="s">
        <v>1316</v>
      </c>
      <c r="C330" s="14" t="s">
        <v>1317</v>
      </c>
      <c r="D330" s="15" t="s">
        <v>1318</v>
      </c>
      <c r="E330" s="15" t="s">
        <v>1319</v>
      </c>
      <c r="F330" s="15" t="s">
        <v>75</v>
      </c>
      <c r="G330" s="16">
        <v>1</v>
      </c>
      <c r="H330" s="16"/>
      <c r="I330" s="16">
        <v>206.42</v>
      </c>
      <c r="J330" s="17">
        <v>699.6</v>
      </c>
      <c r="K330" s="18">
        <v>2541</v>
      </c>
      <c r="L330" s="17">
        <f>J330+ROUND(K330, 2)</f>
        <v>3240.6</v>
      </c>
      <c r="M330" s="17">
        <v>144411.43</v>
      </c>
      <c r="N330" s="17">
        <v>524513.22</v>
      </c>
      <c r="O330" s="17">
        <f>M330+N330</f>
        <v>668924.64999999991</v>
      </c>
      <c r="P330" s="17">
        <v>753.02</v>
      </c>
      <c r="Q330" s="18">
        <v>2541</v>
      </c>
      <c r="R330" s="17">
        <f>P330+ROUND(Q330, 2)</f>
        <v>3294.02</v>
      </c>
      <c r="S330" s="17">
        <v>155438.39000000001</v>
      </c>
      <c r="T330" s="17">
        <v>524513.22</v>
      </c>
      <c r="U330" s="17">
        <f>S330+T330</f>
        <v>679951.61</v>
      </c>
      <c r="V330" s="9">
        <f>ROUND(P330 / 1.2, 2)</f>
        <v>627.52</v>
      </c>
      <c r="W330" s="9">
        <f>ROUND(Q330 / 1.2, 2)</f>
        <v>2117.5</v>
      </c>
      <c r="X330" s="9">
        <f>ROUND(R330 / 1.2, 2)</f>
        <v>2745.02</v>
      </c>
      <c r="Y330" s="9">
        <f t="shared" si="18"/>
        <v>129531.99</v>
      </c>
      <c r="Z330" s="9">
        <f>ROUND(T330 / 1.2, 2)</f>
        <v>437094.35</v>
      </c>
      <c r="AA330" s="9">
        <f>Y330+Z330</f>
        <v>566626.34</v>
      </c>
      <c r="AD330" s="4">
        <v>339118868</v>
      </c>
      <c r="AE330" s="4">
        <v>28999466</v>
      </c>
      <c r="AG330" s="4" t="s">
        <v>1320</v>
      </c>
      <c r="AH330" s="4" t="s">
        <v>1321</v>
      </c>
      <c r="AI330" s="4" t="s">
        <v>156</v>
      </c>
    </row>
    <row r="331" spans="1:35" ht="18" x14ac:dyDescent="0.3">
      <c r="A331" s="10" t="s">
        <v>1322</v>
      </c>
      <c r="B331" s="10"/>
      <c r="C331" s="30" t="s">
        <v>1323</v>
      </c>
      <c r="D331" s="15"/>
      <c r="E331" s="15"/>
      <c r="F331" s="25" t="s">
        <v>159</v>
      </c>
      <c r="G331" s="26">
        <v>40</v>
      </c>
      <c r="H331" s="32"/>
      <c r="I331" s="32">
        <v>8256.7999999999993</v>
      </c>
      <c r="J331" s="27">
        <v>9.02</v>
      </c>
      <c r="M331" s="28">
        <f>ROUND(ROUND(J331, 2)*I331, 2)</f>
        <v>74476.34</v>
      </c>
      <c r="P331" s="27">
        <v>9.02</v>
      </c>
      <c r="S331" s="28">
        <f>ROUND(ROUND(P331, 2)*I331, 2)</f>
        <v>74476.34</v>
      </c>
      <c r="V331" s="9">
        <f>ROUND(ROUND(P331, 2)/1.2, 2)</f>
        <v>7.52</v>
      </c>
      <c r="Y331" s="9">
        <f t="shared" si="18"/>
        <v>62063.62</v>
      </c>
      <c r="AD331" s="4" t="s">
        <v>1324</v>
      </c>
      <c r="AE331" s="4" t="s">
        <v>1325</v>
      </c>
      <c r="AF331" s="4" t="s">
        <v>1326</v>
      </c>
    </row>
    <row r="332" spans="1:35" ht="36" x14ac:dyDescent="0.3">
      <c r="A332" s="10" t="s">
        <v>1327</v>
      </c>
      <c r="B332" s="10"/>
      <c r="C332" s="24" t="s">
        <v>1328</v>
      </c>
      <c r="D332" s="15"/>
      <c r="E332" s="15"/>
      <c r="F332" s="25" t="s">
        <v>75</v>
      </c>
      <c r="G332" s="26">
        <v>1.05</v>
      </c>
      <c r="H332" s="26"/>
      <c r="I332" s="26">
        <v>216.74100000000001</v>
      </c>
      <c r="J332" s="27">
        <v>137.79</v>
      </c>
      <c r="M332" s="28">
        <f>ROUND(ROUND(J332, 2)*I332, 2)</f>
        <v>29864.74</v>
      </c>
      <c r="P332" s="27">
        <v>188.67</v>
      </c>
      <c r="S332" s="28">
        <f>ROUND(ROUND(P332, 2)*I332, 2)</f>
        <v>40892.519999999997</v>
      </c>
      <c r="V332" s="9">
        <f>ROUND(ROUND(P332, 2)/1.2, 2)</f>
        <v>157.22999999999999</v>
      </c>
      <c r="Y332" s="9">
        <f t="shared" si="18"/>
        <v>34077.1</v>
      </c>
      <c r="AD332" s="4" t="s">
        <v>1329</v>
      </c>
      <c r="AE332" s="4" t="s">
        <v>1330</v>
      </c>
      <c r="AF332" s="4" t="s">
        <v>1331</v>
      </c>
    </row>
    <row r="333" spans="1:35" ht="36" x14ac:dyDescent="0.3">
      <c r="A333" s="10" t="s">
        <v>1332</v>
      </c>
      <c r="B333" s="10"/>
      <c r="C333" s="24" t="s">
        <v>480</v>
      </c>
      <c r="D333" s="15"/>
      <c r="E333" s="15"/>
      <c r="F333" s="25" t="s">
        <v>159</v>
      </c>
      <c r="G333" s="26">
        <v>0.15</v>
      </c>
      <c r="H333" s="26"/>
      <c r="I333" s="26">
        <v>30.963000000000001</v>
      </c>
      <c r="J333" s="27">
        <v>90.28</v>
      </c>
      <c r="M333" s="28">
        <f>ROUND(ROUND(J333, 2)*I333, 2)</f>
        <v>2795.34</v>
      </c>
      <c r="P333" s="27">
        <v>90.28</v>
      </c>
      <c r="S333" s="28">
        <f>ROUND(ROUND(P333, 2)*I333, 2)</f>
        <v>2795.34</v>
      </c>
      <c r="V333" s="9">
        <f>ROUND(ROUND(P333, 2)/1.2, 2)</f>
        <v>75.23</v>
      </c>
      <c r="Y333" s="9">
        <f t="shared" si="18"/>
        <v>2329.4499999999998</v>
      </c>
      <c r="AD333" s="4" t="s">
        <v>1333</v>
      </c>
      <c r="AE333" s="4" t="s">
        <v>1334</v>
      </c>
      <c r="AF333" s="4" t="s">
        <v>483</v>
      </c>
    </row>
    <row r="334" spans="1:35" ht="18" x14ac:dyDescent="0.3">
      <c r="A334" s="10" t="s">
        <v>1335</v>
      </c>
      <c r="B334" s="10"/>
      <c r="C334" s="24" t="s">
        <v>1336</v>
      </c>
      <c r="D334" s="15"/>
      <c r="E334" s="15"/>
      <c r="F334" s="25" t="s">
        <v>240</v>
      </c>
      <c r="G334" s="26">
        <v>2.2200000000000002</v>
      </c>
      <c r="H334" s="26"/>
      <c r="I334" s="26">
        <v>458.25200000000001</v>
      </c>
      <c r="J334" s="27">
        <v>81.34</v>
      </c>
      <c r="M334" s="28">
        <f>ROUND(ROUND(J334, 2)*I334, 2)</f>
        <v>37274.22</v>
      </c>
      <c r="P334" s="27">
        <v>81.34</v>
      </c>
      <c r="S334" s="28">
        <f>ROUND(ROUND(P334, 2)*I334, 2)</f>
        <v>37274.22</v>
      </c>
      <c r="V334" s="9">
        <f>ROUND(ROUND(P334, 2)/1.2, 2)</f>
        <v>67.78</v>
      </c>
      <c r="Y334" s="9">
        <f t="shared" si="18"/>
        <v>31061.85</v>
      </c>
      <c r="AD334" s="4" t="s">
        <v>1337</v>
      </c>
      <c r="AE334" s="4" t="s">
        <v>1338</v>
      </c>
      <c r="AF334" s="4" t="s">
        <v>1339</v>
      </c>
    </row>
    <row r="335" spans="1:35" ht="16.95" customHeight="1" x14ac:dyDescent="0.3">
      <c r="A335" s="10" t="s">
        <v>1340</v>
      </c>
      <c r="B335" s="10" t="s">
        <v>1341</v>
      </c>
      <c r="C335" s="120" t="s">
        <v>1342</v>
      </c>
      <c r="D335" s="121"/>
      <c r="E335" s="121"/>
      <c r="F335" s="121"/>
      <c r="G335" s="121"/>
      <c r="H335" s="121"/>
      <c r="I335" s="122"/>
      <c r="M335" s="6">
        <f>SUM(M336,M365)</f>
        <v>602456.1</v>
      </c>
      <c r="N335" s="6">
        <f>SUM(N336,N365)</f>
        <v>3211659</v>
      </c>
      <c r="O335" s="6">
        <f>SUM(O336,O365)</f>
        <v>3814115.0999999996</v>
      </c>
      <c r="S335" s="6">
        <f>SUM(S336,S365)</f>
        <v>462948.94000000006</v>
      </c>
      <c r="T335" s="6">
        <f>SUM(T336,T365)</f>
        <v>3193007.22</v>
      </c>
      <c r="U335" s="6">
        <f>SUM(U336,U365)</f>
        <v>3655956.16</v>
      </c>
      <c r="Y335" s="9">
        <f>SUM(Y336,Y365)</f>
        <v>385790.78</v>
      </c>
      <c r="Z335" s="9">
        <f>SUM(Z336,Z365)</f>
        <v>2660839.3400000003</v>
      </c>
      <c r="AA335" s="9">
        <f>SUM(AA336,AA365)</f>
        <v>3046630.12</v>
      </c>
      <c r="AD335" s="4">
        <v>339118869</v>
      </c>
      <c r="AE335" s="4">
        <v>25887943</v>
      </c>
    </row>
    <row r="336" spans="1:35" ht="16.95" customHeight="1" x14ac:dyDescent="0.3">
      <c r="A336" s="10" t="s">
        <v>1343</v>
      </c>
      <c r="B336" s="10" t="s">
        <v>1344</v>
      </c>
      <c r="C336" s="120" t="s">
        <v>1345</v>
      </c>
      <c r="D336" s="121"/>
      <c r="E336" s="121"/>
      <c r="F336" s="121"/>
      <c r="G336" s="121"/>
      <c r="H336" s="121"/>
      <c r="I336" s="122"/>
      <c r="M336" s="6">
        <f>SUM(M337,M343,M346,M349,M353,M357,M360,M363)</f>
        <v>235262.04000000007</v>
      </c>
      <c r="N336" s="6">
        <f>SUM(N337,N343,N346,N349,N353,N357,N360,N363)</f>
        <v>1283558.5</v>
      </c>
      <c r="O336" s="6">
        <f>SUM(O337,O343,O346,O349,O353,O357,O360,O363)</f>
        <v>1518820.54</v>
      </c>
      <c r="S336" s="6">
        <f>SUM(S337,S343,S346,S349,S353,S357,S360,S363)</f>
        <v>210139.14000000004</v>
      </c>
      <c r="T336" s="6">
        <f>SUM(T337,T343,T346,T349,T353,T357,T360,T363)</f>
        <v>1283558.5</v>
      </c>
      <c r="U336" s="6">
        <f>SUM(U337,U343,U346,U349,U353,U357,U360,U363)</f>
        <v>1493697.6400000001</v>
      </c>
      <c r="Y336" s="9">
        <f>SUM(Y337,Y343,Y346,Y349,Y353,Y357,Y360,Y363)</f>
        <v>175115.95</v>
      </c>
      <c r="Z336" s="9">
        <f>SUM(Z337,Z343,Z346,Z349,Z353,Z357,Z360,Z363)</f>
        <v>1069632.08</v>
      </c>
      <c r="AA336" s="9">
        <f>SUM(AA337,AA343,AA346,AA349,AA353,AA357,AA360,AA363)</f>
        <v>1244748.0299999998</v>
      </c>
      <c r="AD336" s="4">
        <v>339118870</v>
      </c>
      <c r="AE336" s="4">
        <v>25887968</v>
      </c>
    </row>
    <row r="337" spans="1:35" ht="36" x14ac:dyDescent="0.3">
      <c r="A337" s="10" t="s">
        <v>1346</v>
      </c>
      <c r="B337" s="10" t="s">
        <v>1347</v>
      </c>
      <c r="C337" s="14" t="s">
        <v>1348</v>
      </c>
      <c r="D337" s="15"/>
      <c r="E337" s="15" t="s">
        <v>1349</v>
      </c>
      <c r="F337" s="15" t="s">
        <v>75</v>
      </c>
      <c r="G337" s="16">
        <v>1</v>
      </c>
      <c r="H337" s="16"/>
      <c r="I337" s="16">
        <v>58.61</v>
      </c>
      <c r="J337" s="17">
        <v>2512.9899999999998</v>
      </c>
      <c r="K337" s="18">
        <v>594</v>
      </c>
      <c r="L337" s="17">
        <f>J337+ROUND(K337, 2)</f>
        <v>3106.99</v>
      </c>
      <c r="M337" s="17">
        <v>147286.34</v>
      </c>
      <c r="N337" s="17">
        <v>34814.339999999997</v>
      </c>
      <c r="O337" s="17">
        <f>M337+N337</f>
        <v>182100.68</v>
      </c>
      <c r="P337" s="17">
        <v>1987.51</v>
      </c>
      <c r="Q337" s="18">
        <v>594</v>
      </c>
      <c r="R337" s="17">
        <f>P337+ROUND(Q337, 2)</f>
        <v>2581.5100000000002</v>
      </c>
      <c r="S337" s="17">
        <v>116487.96</v>
      </c>
      <c r="T337" s="17">
        <v>34814.339999999997</v>
      </c>
      <c r="U337" s="17">
        <f>S337+T337</f>
        <v>151302.29999999999</v>
      </c>
      <c r="V337" s="9">
        <f>ROUND(P337 / 1.2, 2)</f>
        <v>1656.26</v>
      </c>
      <c r="W337" s="9">
        <f>ROUND(Q337 / 1.2, 2)</f>
        <v>495</v>
      </c>
      <c r="X337" s="9">
        <f>ROUND(R337 / 1.2, 2)</f>
        <v>2151.2600000000002</v>
      </c>
      <c r="Y337" s="9">
        <f>ROUND(S337 / 1.2, 2)</f>
        <v>97073.3</v>
      </c>
      <c r="Z337" s="9">
        <f>ROUND(T337 / 1.2, 2)</f>
        <v>29011.95</v>
      </c>
      <c r="AA337" s="9">
        <f>Y337+Z337</f>
        <v>126085.25</v>
      </c>
      <c r="AD337" s="4">
        <v>339118872</v>
      </c>
      <c r="AE337" s="4">
        <v>25887996</v>
      </c>
      <c r="AG337" s="4" t="s">
        <v>1350</v>
      </c>
      <c r="AH337" s="4" t="s">
        <v>1351</v>
      </c>
      <c r="AI337" s="4" t="s">
        <v>156</v>
      </c>
    </row>
    <row r="338" spans="1:35" ht="18" x14ac:dyDescent="0.3">
      <c r="A338" s="10" t="s">
        <v>1352</v>
      </c>
      <c r="B338" s="10"/>
      <c r="C338" s="24" t="s">
        <v>1018</v>
      </c>
      <c r="D338" s="15"/>
      <c r="E338" s="15" t="s">
        <v>1353</v>
      </c>
      <c r="F338" s="25" t="s">
        <v>75</v>
      </c>
      <c r="G338" s="26">
        <v>1.01</v>
      </c>
      <c r="H338" s="26"/>
      <c r="I338" s="26">
        <v>59.195999999999998</v>
      </c>
      <c r="J338" s="27">
        <v>26</v>
      </c>
      <c r="M338" s="28">
        <f>ROUND(ROUND(J338, 2)*I338, 2)</f>
        <v>1539.1</v>
      </c>
      <c r="P338" s="27">
        <v>48.44</v>
      </c>
      <c r="S338" s="28">
        <f>ROUND(ROUND(P338, 2)*I338, 2)</f>
        <v>2867.45</v>
      </c>
      <c r="V338" s="9">
        <f>ROUND(ROUND(P338, 2)/1.2, 2)</f>
        <v>40.369999999999997</v>
      </c>
      <c r="Y338" s="9">
        <f t="shared" ref="Y338:Y364" si="19">ROUND(S338 / 1.2, 2)</f>
        <v>2389.54</v>
      </c>
      <c r="AD338" s="4" t="s">
        <v>1354</v>
      </c>
      <c r="AE338" s="4" t="s">
        <v>1355</v>
      </c>
      <c r="AF338" s="4" t="s">
        <v>1022</v>
      </c>
    </row>
    <row r="339" spans="1:35" ht="90" x14ac:dyDescent="0.3">
      <c r="A339" s="10" t="s">
        <v>1356</v>
      </c>
      <c r="B339" s="10"/>
      <c r="C339" s="30" t="s">
        <v>1357</v>
      </c>
      <c r="D339" s="15"/>
      <c r="E339" s="15" t="s">
        <v>1358</v>
      </c>
      <c r="F339" s="25" t="s">
        <v>424</v>
      </c>
      <c r="G339" s="26">
        <v>0.10299999999999999</v>
      </c>
      <c r="H339" s="32"/>
      <c r="I339" s="32">
        <v>12.07</v>
      </c>
      <c r="J339" s="27">
        <v>10694.2</v>
      </c>
      <c r="M339" s="28">
        <f>ROUND(ROUND(J339, 2)*I339, 2)</f>
        <v>129078.99</v>
      </c>
      <c r="P339" s="27">
        <v>8032.5</v>
      </c>
      <c r="S339" s="28">
        <f>ROUND(ROUND(P339, 2)*I339, 2)</f>
        <v>96952.28</v>
      </c>
      <c r="V339" s="9">
        <f>ROUND(ROUND(P339, 2)/1.2, 2)</f>
        <v>6693.75</v>
      </c>
      <c r="Y339" s="9">
        <f t="shared" si="19"/>
        <v>80793.570000000007</v>
      </c>
      <c r="AD339" s="4" t="s">
        <v>1359</v>
      </c>
      <c r="AE339" s="4" t="s">
        <v>1360</v>
      </c>
      <c r="AF339" s="4" t="s">
        <v>1361</v>
      </c>
    </row>
    <row r="340" spans="1:35" ht="36" x14ac:dyDescent="0.3">
      <c r="A340" s="10" t="s">
        <v>1362</v>
      </c>
      <c r="B340" s="10"/>
      <c r="C340" s="24" t="s">
        <v>1363</v>
      </c>
      <c r="D340" s="15"/>
      <c r="E340" s="15"/>
      <c r="F340" s="25" t="s">
        <v>159</v>
      </c>
      <c r="G340" s="26">
        <v>1.3</v>
      </c>
      <c r="H340" s="32"/>
      <c r="I340" s="32">
        <v>380.96499999999997</v>
      </c>
      <c r="J340" s="27">
        <v>20</v>
      </c>
      <c r="M340" s="28">
        <f>ROUND(ROUND(J340, 2)*I340, 2)</f>
        <v>7619.3</v>
      </c>
      <c r="P340" s="27">
        <v>20</v>
      </c>
      <c r="S340" s="28">
        <f>ROUND(ROUND(P340, 2)*I340, 2)</f>
        <v>7619.3</v>
      </c>
      <c r="V340" s="9">
        <f>ROUND(ROUND(P340, 2)/1.2, 2)</f>
        <v>16.670000000000002</v>
      </c>
      <c r="Y340" s="9">
        <f t="shared" si="19"/>
        <v>6349.42</v>
      </c>
      <c r="AD340" s="4" t="s">
        <v>1364</v>
      </c>
      <c r="AE340" s="4" t="s">
        <v>1365</v>
      </c>
      <c r="AF340" s="4" t="s">
        <v>1366</v>
      </c>
    </row>
    <row r="341" spans="1:35" ht="36" x14ac:dyDescent="0.3">
      <c r="A341" s="10" t="s">
        <v>1367</v>
      </c>
      <c r="B341" s="10"/>
      <c r="C341" s="24" t="s">
        <v>1368</v>
      </c>
      <c r="D341" s="15"/>
      <c r="E341" s="15"/>
      <c r="F341" s="25" t="s">
        <v>240</v>
      </c>
      <c r="G341" s="26">
        <v>7</v>
      </c>
      <c r="H341" s="26"/>
      <c r="I341" s="26">
        <v>410.27</v>
      </c>
      <c r="J341" s="27">
        <v>20.59</v>
      </c>
      <c r="M341" s="28">
        <f>ROUND(ROUND(J341, 2)*I341, 2)</f>
        <v>8447.4599999999991</v>
      </c>
      <c r="P341" s="27">
        <v>20.59</v>
      </c>
      <c r="S341" s="28">
        <f>ROUND(ROUND(P341, 2)*I341, 2)</f>
        <v>8447.4599999999991</v>
      </c>
      <c r="V341" s="9">
        <f>ROUND(ROUND(P341, 2)/1.2, 2)</f>
        <v>17.16</v>
      </c>
      <c r="Y341" s="9">
        <f t="shared" si="19"/>
        <v>7039.55</v>
      </c>
      <c r="AD341" s="4" t="s">
        <v>1369</v>
      </c>
      <c r="AE341" s="4" t="s">
        <v>1370</v>
      </c>
      <c r="AF341" s="4" t="s">
        <v>1371</v>
      </c>
    </row>
    <row r="342" spans="1:35" ht="36" x14ac:dyDescent="0.3">
      <c r="A342" s="10" t="s">
        <v>1372</v>
      </c>
      <c r="B342" s="10"/>
      <c r="C342" s="24" t="s">
        <v>534</v>
      </c>
      <c r="D342" s="15"/>
      <c r="E342" s="15"/>
      <c r="F342" s="25" t="s">
        <v>159</v>
      </c>
      <c r="G342" s="26">
        <v>0.15</v>
      </c>
      <c r="H342" s="26"/>
      <c r="I342" s="26">
        <v>8.7919999999999998</v>
      </c>
      <c r="J342" s="27">
        <v>68.400000000000006</v>
      </c>
      <c r="M342" s="28">
        <f>ROUND(ROUND(J342, 2)*I342, 2)</f>
        <v>601.37</v>
      </c>
      <c r="P342" s="27">
        <v>68.400000000000006</v>
      </c>
      <c r="S342" s="28">
        <f>ROUND(ROUND(P342, 2)*I342, 2)</f>
        <v>601.37</v>
      </c>
      <c r="V342" s="9">
        <f>ROUND(ROUND(P342, 2)/1.2, 2)</f>
        <v>57</v>
      </c>
      <c r="Y342" s="9">
        <f t="shared" si="19"/>
        <v>501.14</v>
      </c>
      <c r="AD342" s="4" t="s">
        <v>1373</v>
      </c>
      <c r="AE342" s="4" t="s">
        <v>1374</v>
      </c>
      <c r="AF342" s="4" t="s">
        <v>537</v>
      </c>
    </row>
    <row r="343" spans="1:35" ht="36" x14ac:dyDescent="0.3">
      <c r="A343" s="10" t="s">
        <v>1375</v>
      </c>
      <c r="B343" s="10" t="s">
        <v>1376</v>
      </c>
      <c r="C343" s="14" t="s">
        <v>1377</v>
      </c>
      <c r="D343" s="15"/>
      <c r="E343" s="15" t="s">
        <v>1378</v>
      </c>
      <c r="F343" s="15" t="s">
        <v>75</v>
      </c>
      <c r="G343" s="16">
        <v>1</v>
      </c>
      <c r="H343" s="16"/>
      <c r="I343" s="16">
        <v>89.23</v>
      </c>
      <c r="J343" s="17">
        <v>71.61</v>
      </c>
      <c r="K343" s="18">
        <v>718</v>
      </c>
      <c r="L343" s="17">
        <f>J343+ROUND(K343, 2)</f>
        <v>789.61</v>
      </c>
      <c r="M343" s="17">
        <v>6389.76</v>
      </c>
      <c r="N343" s="17">
        <v>64067.14</v>
      </c>
      <c r="O343" s="17">
        <f>M343+N343</f>
        <v>70456.899999999994</v>
      </c>
      <c r="P343" s="17">
        <v>71.61</v>
      </c>
      <c r="Q343" s="18">
        <v>718</v>
      </c>
      <c r="R343" s="17">
        <f>P343+ROUND(Q343, 2)</f>
        <v>789.61</v>
      </c>
      <c r="S343" s="17">
        <v>6389.76</v>
      </c>
      <c r="T343" s="17">
        <v>64067.14</v>
      </c>
      <c r="U343" s="17">
        <f>S343+T343</f>
        <v>70456.899999999994</v>
      </c>
      <c r="V343" s="9">
        <f>ROUND(P343 / 1.2, 2)</f>
        <v>59.68</v>
      </c>
      <c r="W343" s="9">
        <f>ROUND(Q343 / 1.2, 2)</f>
        <v>598.33000000000004</v>
      </c>
      <c r="X343" s="9">
        <f>ROUND(R343 / 1.2, 2)</f>
        <v>658.01</v>
      </c>
      <c r="Y343" s="9">
        <f t="shared" si="19"/>
        <v>5324.8</v>
      </c>
      <c r="Z343" s="9">
        <f>ROUND(T343 / 1.2, 2)</f>
        <v>53389.279999999999</v>
      </c>
      <c r="AA343" s="9">
        <f>Y343+Z343</f>
        <v>58714.080000000002</v>
      </c>
      <c r="AD343" s="4">
        <v>339118874</v>
      </c>
      <c r="AE343" s="4">
        <v>25888025</v>
      </c>
      <c r="AG343" s="4" t="s">
        <v>1379</v>
      </c>
      <c r="AH343" s="4" t="s">
        <v>1380</v>
      </c>
      <c r="AI343" s="4" t="s">
        <v>156</v>
      </c>
    </row>
    <row r="344" spans="1:35" ht="36" x14ac:dyDescent="0.3">
      <c r="A344" s="10" t="s">
        <v>1381</v>
      </c>
      <c r="B344" s="10"/>
      <c r="C344" s="30" t="s">
        <v>849</v>
      </c>
      <c r="D344" s="15"/>
      <c r="E344" s="15"/>
      <c r="F344" s="25" t="s">
        <v>159</v>
      </c>
      <c r="G344" s="26">
        <v>4.5</v>
      </c>
      <c r="H344" s="26"/>
      <c r="I344" s="26">
        <v>401.53500000000003</v>
      </c>
      <c r="J344" s="27">
        <v>12.58</v>
      </c>
      <c r="M344" s="28">
        <f>ROUND(ROUND(J344, 2)*I344, 2)</f>
        <v>5051.3100000000004</v>
      </c>
      <c r="P344" s="27">
        <v>12.58</v>
      </c>
      <c r="S344" s="28">
        <f>ROUND(ROUND(P344, 2)*I344, 2)</f>
        <v>5051.3100000000004</v>
      </c>
      <c r="V344" s="9">
        <f>ROUND(ROUND(P344, 2)/1.2, 2)</f>
        <v>10.48</v>
      </c>
      <c r="Y344" s="9">
        <f t="shared" si="19"/>
        <v>4209.43</v>
      </c>
      <c r="AD344" s="4" t="s">
        <v>1382</v>
      </c>
      <c r="AE344" s="4" t="s">
        <v>1383</v>
      </c>
      <c r="AF344" s="4" t="s">
        <v>852</v>
      </c>
    </row>
    <row r="345" spans="1:35" ht="18" x14ac:dyDescent="0.3">
      <c r="A345" s="10" t="s">
        <v>1384</v>
      </c>
      <c r="B345" s="10"/>
      <c r="C345" s="24" t="s">
        <v>296</v>
      </c>
      <c r="D345" s="15"/>
      <c r="E345" s="15"/>
      <c r="F345" s="25" t="s">
        <v>159</v>
      </c>
      <c r="G345" s="26">
        <v>0.15</v>
      </c>
      <c r="H345" s="26"/>
      <c r="I345" s="26">
        <v>13.385</v>
      </c>
      <c r="J345" s="27">
        <v>100</v>
      </c>
      <c r="M345" s="28">
        <f>ROUND(ROUND(J345, 2)*I345, 2)</f>
        <v>1338.5</v>
      </c>
      <c r="P345" s="27">
        <v>100</v>
      </c>
      <c r="S345" s="28">
        <f>ROUND(ROUND(P345, 2)*I345, 2)</f>
        <v>1338.5</v>
      </c>
      <c r="V345" s="9">
        <f>ROUND(ROUND(P345, 2)/1.2, 2)</f>
        <v>83.33</v>
      </c>
      <c r="Y345" s="9">
        <f t="shared" si="19"/>
        <v>1115.42</v>
      </c>
      <c r="AD345" s="4" t="s">
        <v>1385</v>
      </c>
      <c r="AE345" s="4" t="s">
        <v>1386</v>
      </c>
      <c r="AF345" s="4" t="s">
        <v>299</v>
      </c>
    </row>
    <row r="346" spans="1:35" ht="36" x14ac:dyDescent="0.3">
      <c r="A346" s="10" t="s">
        <v>1387</v>
      </c>
      <c r="B346" s="10" t="s">
        <v>1376</v>
      </c>
      <c r="C346" s="14" t="s">
        <v>1377</v>
      </c>
      <c r="D346" s="15"/>
      <c r="E346" s="15" t="s">
        <v>1388</v>
      </c>
      <c r="F346" s="15" t="s">
        <v>75</v>
      </c>
      <c r="G346" s="16">
        <v>1</v>
      </c>
      <c r="H346" s="16"/>
      <c r="I346" s="16">
        <v>444.09</v>
      </c>
      <c r="J346" s="17">
        <v>33.130000000000003</v>
      </c>
      <c r="K346" s="18">
        <v>790</v>
      </c>
      <c r="L346" s="17">
        <f>J346+ROUND(K346, 2)</f>
        <v>823.13</v>
      </c>
      <c r="M346" s="17">
        <v>14712.7</v>
      </c>
      <c r="N346" s="17">
        <v>350831.1</v>
      </c>
      <c r="O346" s="17">
        <f>M346+N346</f>
        <v>365543.8</v>
      </c>
      <c r="P346" s="17">
        <v>33.130000000000003</v>
      </c>
      <c r="Q346" s="18">
        <v>790</v>
      </c>
      <c r="R346" s="17">
        <f>P346+ROUND(Q346, 2)</f>
        <v>823.13</v>
      </c>
      <c r="S346" s="17">
        <v>14712.7</v>
      </c>
      <c r="T346" s="17">
        <v>350831.1</v>
      </c>
      <c r="U346" s="17">
        <f>S346+T346</f>
        <v>365543.8</v>
      </c>
      <c r="V346" s="9">
        <f>ROUND(P346 / 1.2, 2)</f>
        <v>27.61</v>
      </c>
      <c r="W346" s="9">
        <f>ROUND(Q346 / 1.2, 2)</f>
        <v>658.33</v>
      </c>
      <c r="X346" s="9">
        <f>ROUND(R346 / 1.2, 2)</f>
        <v>685.94</v>
      </c>
      <c r="Y346" s="9">
        <f t="shared" si="19"/>
        <v>12260.58</v>
      </c>
      <c r="Z346" s="9">
        <f>ROUND(T346 / 1.2, 2)</f>
        <v>292359.25</v>
      </c>
      <c r="AA346" s="9">
        <f>Y346+Z346</f>
        <v>304619.83</v>
      </c>
      <c r="AD346" s="4">
        <v>339118935</v>
      </c>
      <c r="AE346" s="4">
        <v>28983430</v>
      </c>
      <c r="AG346" s="4" t="s">
        <v>1379</v>
      </c>
      <c r="AH346" s="4" t="s">
        <v>1380</v>
      </c>
      <c r="AI346" s="4" t="s">
        <v>156</v>
      </c>
    </row>
    <row r="347" spans="1:35" ht="18" x14ac:dyDescent="0.3">
      <c r="A347" s="10" t="s">
        <v>1389</v>
      </c>
      <c r="B347" s="10"/>
      <c r="C347" s="24" t="s">
        <v>296</v>
      </c>
      <c r="D347" s="15"/>
      <c r="E347" s="15"/>
      <c r="F347" s="25" t="s">
        <v>159</v>
      </c>
      <c r="G347" s="26">
        <v>0.15</v>
      </c>
      <c r="H347" s="26"/>
      <c r="I347" s="26">
        <v>66.614000000000004</v>
      </c>
      <c r="J347" s="27">
        <v>101.66</v>
      </c>
      <c r="M347" s="28">
        <f>ROUND(ROUND(J347, 2)*I347, 2)</f>
        <v>6771.98</v>
      </c>
      <c r="P347" s="27">
        <v>101.66</v>
      </c>
      <c r="S347" s="28">
        <f>ROUND(ROUND(P347, 2)*I347, 2)</f>
        <v>6771.98</v>
      </c>
      <c r="V347" s="9">
        <f>ROUND(ROUND(P347, 2)/1.2, 2)</f>
        <v>84.72</v>
      </c>
      <c r="Y347" s="9">
        <f t="shared" si="19"/>
        <v>5643.32</v>
      </c>
      <c r="AD347" s="4" t="s">
        <v>1390</v>
      </c>
      <c r="AE347" s="4" t="s">
        <v>1391</v>
      </c>
      <c r="AF347" s="4" t="s">
        <v>299</v>
      </c>
    </row>
    <row r="348" spans="1:35" ht="36" x14ac:dyDescent="0.3">
      <c r="A348" s="10" t="s">
        <v>1392</v>
      </c>
      <c r="B348" s="10"/>
      <c r="C348" s="24" t="s">
        <v>1393</v>
      </c>
      <c r="D348" s="15"/>
      <c r="E348" s="15"/>
      <c r="F348" s="25" t="s">
        <v>159</v>
      </c>
      <c r="G348" s="26">
        <v>2</v>
      </c>
      <c r="H348" s="26"/>
      <c r="I348" s="26">
        <v>888.18</v>
      </c>
      <c r="J348" s="27">
        <v>8.94</v>
      </c>
      <c r="M348" s="28">
        <f>ROUND(ROUND(J348, 2)*I348, 2)</f>
        <v>7940.33</v>
      </c>
      <c r="P348" s="27">
        <v>8.94</v>
      </c>
      <c r="S348" s="28">
        <f>ROUND(ROUND(P348, 2)*I348, 2)</f>
        <v>7940.33</v>
      </c>
      <c r="V348" s="9">
        <f>ROUND(ROUND(P348, 2)/1.2, 2)</f>
        <v>7.45</v>
      </c>
      <c r="Y348" s="9">
        <f t="shared" si="19"/>
        <v>6616.94</v>
      </c>
      <c r="AD348" s="4" t="s">
        <v>1394</v>
      </c>
      <c r="AE348" s="4" t="s">
        <v>1395</v>
      </c>
      <c r="AF348" s="4" t="s">
        <v>1396</v>
      </c>
    </row>
    <row r="349" spans="1:35" ht="36" x14ac:dyDescent="0.3">
      <c r="A349" s="10" t="s">
        <v>1397</v>
      </c>
      <c r="B349" s="10" t="s">
        <v>1398</v>
      </c>
      <c r="C349" s="14" t="s">
        <v>907</v>
      </c>
      <c r="D349" s="15"/>
      <c r="E349" s="15" t="s">
        <v>1399</v>
      </c>
      <c r="F349" s="15" t="s">
        <v>75</v>
      </c>
      <c r="G349" s="16">
        <v>1</v>
      </c>
      <c r="H349" s="16"/>
      <c r="I349" s="16">
        <v>465.96</v>
      </c>
      <c r="J349" s="17">
        <v>54.12</v>
      </c>
      <c r="K349" s="18">
        <v>581</v>
      </c>
      <c r="L349" s="17">
        <f>J349+ROUND(K349, 2)</f>
        <v>635.12</v>
      </c>
      <c r="M349" s="17">
        <v>25217.759999999998</v>
      </c>
      <c r="N349" s="17">
        <v>270722.76</v>
      </c>
      <c r="O349" s="17">
        <f>M349+N349</f>
        <v>295940.52</v>
      </c>
      <c r="P349" s="17">
        <v>54.12</v>
      </c>
      <c r="Q349" s="18">
        <v>581</v>
      </c>
      <c r="R349" s="17">
        <f>P349+ROUND(Q349, 2)</f>
        <v>635.12</v>
      </c>
      <c r="S349" s="17">
        <v>25217.759999999998</v>
      </c>
      <c r="T349" s="17">
        <v>270722.76</v>
      </c>
      <c r="U349" s="17">
        <f>S349+T349</f>
        <v>295940.52</v>
      </c>
      <c r="V349" s="9">
        <f>ROUND(P349 / 1.2, 2)</f>
        <v>45.1</v>
      </c>
      <c r="W349" s="9">
        <f>ROUND(Q349 / 1.2, 2)</f>
        <v>484.17</v>
      </c>
      <c r="X349" s="9">
        <f>ROUND(R349 / 1.2, 2)</f>
        <v>529.27</v>
      </c>
      <c r="Y349" s="9">
        <f t="shared" si="19"/>
        <v>21014.799999999999</v>
      </c>
      <c r="Z349" s="9">
        <f>ROUND(T349 / 1.2, 2)</f>
        <v>225602.3</v>
      </c>
      <c r="AA349" s="9">
        <f>Y349+Z349</f>
        <v>246617.09999999998</v>
      </c>
      <c r="AD349" s="4">
        <v>339118875</v>
      </c>
      <c r="AE349" s="4">
        <v>25888027</v>
      </c>
      <c r="AG349" s="4" t="s">
        <v>909</v>
      </c>
      <c r="AH349" s="4" t="s">
        <v>1400</v>
      </c>
      <c r="AI349" s="4" t="s">
        <v>156</v>
      </c>
    </row>
    <row r="350" spans="1:35" ht="36" x14ac:dyDescent="0.3">
      <c r="A350" s="10" t="s">
        <v>1401</v>
      </c>
      <c r="B350" s="10"/>
      <c r="C350" s="30" t="s">
        <v>849</v>
      </c>
      <c r="D350" s="15"/>
      <c r="E350" s="15"/>
      <c r="F350" s="25" t="s">
        <v>159</v>
      </c>
      <c r="G350" s="26">
        <v>1.5</v>
      </c>
      <c r="H350" s="26"/>
      <c r="I350" s="26">
        <v>698.94</v>
      </c>
      <c r="J350" s="27">
        <v>12.58</v>
      </c>
      <c r="M350" s="28">
        <f>ROUND(ROUND(J350, 2)*I350, 2)</f>
        <v>8792.67</v>
      </c>
      <c r="P350" s="27">
        <v>12.58</v>
      </c>
      <c r="S350" s="28">
        <f>ROUND(ROUND(P350, 2)*I350, 2)</f>
        <v>8792.67</v>
      </c>
      <c r="V350" s="9">
        <f>ROUND(ROUND(P350, 2)/1.2, 2)</f>
        <v>10.48</v>
      </c>
      <c r="Y350" s="9">
        <f t="shared" si="19"/>
        <v>7327.23</v>
      </c>
      <c r="AD350" s="4" t="s">
        <v>1402</v>
      </c>
      <c r="AE350" s="4" t="s">
        <v>1403</v>
      </c>
      <c r="AF350" s="4" t="s">
        <v>852</v>
      </c>
    </row>
    <row r="351" spans="1:35" ht="36" x14ac:dyDescent="0.3">
      <c r="A351" s="10" t="s">
        <v>1404</v>
      </c>
      <c r="B351" s="10"/>
      <c r="C351" s="24" t="s">
        <v>915</v>
      </c>
      <c r="D351" s="15"/>
      <c r="E351" s="15"/>
      <c r="F351" s="25" t="s">
        <v>240</v>
      </c>
      <c r="G351" s="26">
        <v>0.3</v>
      </c>
      <c r="H351" s="26"/>
      <c r="I351" s="26">
        <v>139.78800000000001</v>
      </c>
      <c r="J351" s="27">
        <v>73.099999999999994</v>
      </c>
      <c r="M351" s="28">
        <f>ROUND(ROUND(J351, 2)*I351, 2)</f>
        <v>10218.5</v>
      </c>
      <c r="P351" s="27">
        <v>73.099999999999994</v>
      </c>
      <c r="S351" s="28">
        <f>ROUND(ROUND(P351, 2)*I351, 2)</f>
        <v>10218.5</v>
      </c>
      <c r="V351" s="9">
        <f>ROUND(ROUND(P351, 2)/1.2, 2)</f>
        <v>60.92</v>
      </c>
      <c r="Y351" s="9">
        <f t="shared" si="19"/>
        <v>8515.42</v>
      </c>
      <c r="AD351" s="4" t="s">
        <v>1405</v>
      </c>
      <c r="AE351" s="4" t="s">
        <v>1406</v>
      </c>
      <c r="AF351" s="4" t="s">
        <v>918</v>
      </c>
    </row>
    <row r="352" spans="1:35" ht="36" x14ac:dyDescent="0.3">
      <c r="A352" s="10" t="s">
        <v>1407</v>
      </c>
      <c r="B352" s="10"/>
      <c r="C352" s="24" t="s">
        <v>480</v>
      </c>
      <c r="D352" s="15"/>
      <c r="E352" s="15"/>
      <c r="F352" s="25" t="s">
        <v>159</v>
      </c>
      <c r="G352" s="26">
        <v>0.15</v>
      </c>
      <c r="H352" s="26"/>
      <c r="I352" s="26">
        <v>69.894000000000005</v>
      </c>
      <c r="J352" s="27">
        <v>88.8</v>
      </c>
      <c r="M352" s="28">
        <f>ROUND(ROUND(J352, 2)*I352, 2)</f>
        <v>6206.59</v>
      </c>
      <c r="P352" s="27">
        <v>88.8</v>
      </c>
      <c r="S352" s="28">
        <f>ROUND(ROUND(P352, 2)*I352, 2)</f>
        <v>6206.59</v>
      </c>
      <c r="V352" s="9">
        <f>ROUND(ROUND(P352, 2)/1.2, 2)</f>
        <v>74</v>
      </c>
      <c r="Y352" s="9">
        <f t="shared" si="19"/>
        <v>5172.16</v>
      </c>
      <c r="AD352" s="4" t="s">
        <v>1408</v>
      </c>
      <c r="AE352" s="4" t="s">
        <v>1409</v>
      </c>
      <c r="AF352" s="4" t="s">
        <v>483</v>
      </c>
    </row>
    <row r="353" spans="1:35" ht="36" x14ac:dyDescent="0.3">
      <c r="A353" s="10" t="s">
        <v>1410</v>
      </c>
      <c r="B353" s="10" t="s">
        <v>1398</v>
      </c>
      <c r="C353" s="14" t="s">
        <v>907</v>
      </c>
      <c r="D353" s="15"/>
      <c r="E353" s="15" t="s">
        <v>1411</v>
      </c>
      <c r="F353" s="15" t="s">
        <v>75</v>
      </c>
      <c r="G353" s="16">
        <v>1</v>
      </c>
      <c r="H353" s="16"/>
      <c r="I353" s="16">
        <v>108.96</v>
      </c>
      <c r="J353" s="17">
        <v>54.12</v>
      </c>
      <c r="K353" s="18">
        <v>581</v>
      </c>
      <c r="L353" s="17">
        <f>J353+ROUND(K353, 2)</f>
        <v>635.12</v>
      </c>
      <c r="M353" s="17">
        <v>5896.92</v>
      </c>
      <c r="N353" s="17">
        <v>63305.760000000002</v>
      </c>
      <c r="O353" s="17">
        <f>M353+N353</f>
        <v>69202.680000000008</v>
      </c>
      <c r="P353" s="17">
        <v>54.12</v>
      </c>
      <c r="Q353" s="18">
        <v>581</v>
      </c>
      <c r="R353" s="17">
        <f>P353+ROUND(Q353, 2)</f>
        <v>635.12</v>
      </c>
      <c r="S353" s="17">
        <v>5896.92</v>
      </c>
      <c r="T353" s="17">
        <v>63305.760000000002</v>
      </c>
      <c r="U353" s="17">
        <f>S353+T353</f>
        <v>69202.680000000008</v>
      </c>
      <c r="V353" s="9">
        <f>ROUND(P353 / 1.2, 2)</f>
        <v>45.1</v>
      </c>
      <c r="W353" s="9">
        <f>ROUND(Q353 / 1.2, 2)</f>
        <v>484.17</v>
      </c>
      <c r="X353" s="9">
        <f>ROUND(R353 / 1.2, 2)</f>
        <v>529.27</v>
      </c>
      <c r="Y353" s="9">
        <f t="shared" si="19"/>
        <v>4914.1000000000004</v>
      </c>
      <c r="Z353" s="9">
        <f>ROUND(T353 / 1.2, 2)</f>
        <v>52754.8</v>
      </c>
      <c r="AA353" s="9">
        <f>Y353+Z353</f>
        <v>57668.9</v>
      </c>
      <c r="AD353" s="4">
        <v>339118936</v>
      </c>
      <c r="AE353" s="4">
        <v>25887998</v>
      </c>
      <c r="AG353" s="4" t="s">
        <v>909</v>
      </c>
      <c r="AH353" s="4" t="s">
        <v>1400</v>
      </c>
      <c r="AI353" s="4" t="s">
        <v>156</v>
      </c>
    </row>
    <row r="354" spans="1:35" ht="36" x14ac:dyDescent="0.3">
      <c r="A354" s="10" t="s">
        <v>1412</v>
      </c>
      <c r="B354" s="10"/>
      <c r="C354" s="24" t="s">
        <v>480</v>
      </c>
      <c r="D354" s="15"/>
      <c r="E354" s="15"/>
      <c r="F354" s="25" t="s">
        <v>159</v>
      </c>
      <c r="G354" s="26">
        <v>0.15</v>
      </c>
      <c r="H354" s="26"/>
      <c r="I354" s="26">
        <v>16.344000000000001</v>
      </c>
      <c r="J354" s="27">
        <v>88.8</v>
      </c>
      <c r="M354" s="28">
        <f>ROUND(ROUND(J354, 2)*I354, 2)</f>
        <v>1451.35</v>
      </c>
      <c r="P354" s="27">
        <v>88.8</v>
      </c>
      <c r="S354" s="28">
        <f>ROUND(ROUND(P354, 2)*I354, 2)</f>
        <v>1451.35</v>
      </c>
      <c r="V354" s="9">
        <f>ROUND(ROUND(P354, 2)/1.2, 2)</f>
        <v>74</v>
      </c>
      <c r="Y354" s="9">
        <f t="shared" si="19"/>
        <v>1209.46</v>
      </c>
      <c r="AD354" s="4" t="s">
        <v>1413</v>
      </c>
      <c r="AE354" s="4" t="s">
        <v>1414</v>
      </c>
      <c r="AF354" s="4" t="s">
        <v>483</v>
      </c>
    </row>
    <row r="355" spans="1:35" ht="36" x14ac:dyDescent="0.3">
      <c r="A355" s="10" t="s">
        <v>1415</v>
      </c>
      <c r="B355" s="10"/>
      <c r="C355" s="24" t="s">
        <v>915</v>
      </c>
      <c r="D355" s="15"/>
      <c r="E355" s="15"/>
      <c r="F355" s="25" t="s">
        <v>240</v>
      </c>
      <c r="G355" s="26">
        <v>0.3</v>
      </c>
      <c r="H355" s="26"/>
      <c r="I355" s="26">
        <v>32.688000000000002</v>
      </c>
      <c r="J355" s="27">
        <v>73.099999999999994</v>
      </c>
      <c r="M355" s="28">
        <f>ROUND(ROUND(J355, 2)*I355, 2)</f>
        <v>2389.4899999999998</v>
      </c>
      <c r="P355" s="27">
        <v>73.099999999999994</v>
      </c>
      <c r="S355" s="28">
        <f>ROUND(ROUND(P355, 2)*I355, 2)</f>
        <v>2389.4899999999998</v>
      </c>
      <c r="V355" s="9">
        <f>ROUND(ROUND(P355, 2)/1.2, 2)</f>
        <v>60.92</v>
      </c>
      <c r="Y355" s="9">
        <f t="shared" si="19"/>
        <v>1991.24</v>
      </c>
      <c r="AD355" s="4" t="s">
        <v>1416</v>
      </c>
      <c r="AE355" s="4" t="s">
        <v>1417</v>
      </c>
      <c r="AF355" s="4" t="s">
        <v>918</v>
      </c>
    </row>
    <row r="356" spans="1:35" ht="36" x14ac:dyDescent="0.3">
      <c r="A356" s="10" t="s">
        <v>1418</v>
      </c>
      <c r="B356" s="10"/>
      <c r="C356" s="30" t="s">
        <v>849</v>
      </c>
      <c r="D356" s="15"/>
      <c r="E356" s="15"/>
      <c r="F356" s="25" t="s">
        <v>159</v>
      </c>
      <c r="G356" s="26">
        <v>1.5</v>
      </c>
      <c r="H356" s="26"/>
      <c r="I356" s="26">
        <v>163.44</v>
      </c>
      <c r="J356" s="27">
        <v>12.58</v>
      </c>
      <c r="M356" s="28">
        <f>ROUND(ROUND(J356, 2)*I356, 2)</f>
        <v>2056.08</v>
      </c>
      <c r="P356" s="27">
        <v>12.58</v>
      </c>
      <c r="S356" s="28">
        <f>ROUND(ROUND(P356, 2)*I356, 2)</f>
        <v>2056.08</v>
      </c>
      <c r="V356" s="9">
        <f>ROUND(ROUND(P356, 2)/1.2, 2)</f>
        <v>10.48</v>
      </c>
      <c r="Y356" s="9">
        <f t="shared" si="19"/>
        <v>1713.4</v>
      </c>
      <c r="AD356" s="4" t="s">
        <v>1419</v>
      </c>
      <c r="AE356" s="4" t="s">
        <v>1420</v>
      </c>
      <c r="AF356" s="4" t="s">
        <v>852</v>
      </c>
    </row>
    <row r="357" spans="1:35" ht="54" x14ac:dyDescent="0.3">
      <c r="A357" s="10" t="s">
        <v>1421</v>
      </c>
      <c r="B357" s="10" t="s">
        <v>1422</v>
      </c>
      <c r="C357" s="14" t="s">
        <v>992</v>
      </c>
      <c r="D357" s="15"/>
      <c r="E357" s="15" t="s">
        <v>1423</v>
      </c>
      <c r="F357" s="15" t="s">
        <v>75</v>
      </c>
      <c r="G357" s="16">
        <v>1</v>
      </c>
      <c r="H357" s="16"/>
      <c r="I357" s="16">
        <v>444.09</v>
      </c>
      <c r="J357" s="17">
        <v>35.61</v>
      </c>
      <c r="K357" s="18">
        <v>546</v>
      </c>
      <c r="L357" s="17">
        <f>J357+ROUND(K357, 2)</f>
        <v>581.61</v>
      </c>
      <c r="M357" s="17">
        <v>15814.04</v>
      </c>
      <c r="N357" s="17">
        <v>242473.14</v>
      </c>
      <c r="O357" s="17">
        <f>M357+N357</f>
        <v>258287.18000000002</v>
      </c>
      <c r="P357" s="17">
        <v>35.61</v>
      </c>
      <c r="Q357" s="18">
        <v>546</v>
      </c>
      <c r="R357" s="17">
        <f>P357+ROUND(Q357, 2)</f>
        <v>581.61</v>
      </c>
      <c r="S357" s="17">
        <v>15814.04</v>
      </c>
      <c r="T357" s="17">
        <v>242473.14</v>
      </c>
      <c r="U357" s="17">
        <f>S357+T357</f>
        <v>258287.18000000002</v>
      </c>
      <c r="V357" s="9">
        <f>ROUND(P357 / 1.2, 2)</f>
        <v>29.68</v>
      </c>
      <c r="W357" s="9">
        <f>ROUND(Q357 / 1.2, 2)</f>
        <v>455</v>
      </c>
      <c r="X357" s="9">
        <f>ROUND(R357 / 1.2, 2)</f>
        <v>484.68</v>
      </c>
      <c r="Y357" s="9">
        <f t="shared" si="19"/>
        <v>13178.37</v>
      </c>
      <c r="Z357" s="9">
        <f>ROUND(T357 / 1.2, 2)</f>
        <v>202060.95</v>
      </c>
      <c r="AA357" s="9">
        <f>Y357+Z357</f>
        <v>215239.32</v>
      </c>
      <c r="AD357" s="4">
        <v>339118876</v>
      </c>
      <c r="AE357" s="4">
        <v>28983433</v>
      </c>
      <c r="AG357" s="4" t="s">
        <v>994</v>
      </c>
      <c r="AH357" s="4" t="s">
        <v>1424</v>
      </c>
      <c r="AI357" s="4" t="s">
        <v>156</v>
      </c>
    </row>
    <row r="358" spans="1:35" ht="54" x14ac:dyDescent="0.3">
      <c r="A358" s="10" t="s">
        <v>1425</v>
      </c>
      <c r="B358" s="10"/>
      <c r="C358" s="30" t="s">
        <v>997</v>
      </c>
      <c r="D358" s="15"/>
      <c r="E358" s="15"/>
      <c r="F358" s="25" t="s">
        <v>159</v>
      </c>
      <c r="G358" s="26">
        <v>1.8</v>
      </c>
      <c r="H358" s="26"/>
      <c r="I358" s="26">
        <v>799.36199999999997</v>
      </c>
      <c r="J358" s="27">
        <v>12.26</v>
      </c>
      <c r="M358" s="28">
        <f>ROUND(ROUND(J358, 2)*I358, 2)</f>
        <v>9800.18</v>
      </c>
      <c r="P358" s="27">
        <v>12.26</v>
      </c>
      <c r="S358" s="28">
        <f>ROUND(ROUND(P358, 2)*I358, 2)</f>
        <v>9800.18</v>
      </c>
      <c r="V358" s="9">
        <f>ROUND(ROUND(P358, 2)/1.2, 2)</f>
        <v>10.220000000000001</v>
      </c>
      <c r="Y358" s="9">
        <f t="shared" si="19"/>
        <v>8166.82</v>
      </c>
      <c r="AD358" s="4" t="s">
        <v>1426</v>
      </c>
      <c r="AE358" s="4" t="s">
        <v>1427</v>
      </c>
      <c r="AF358" s="4" t="s">
        <v>1000</v>
      </c>
    </row>
    <row r="359" spans="1:35" ht="36" x14ac:dyDescent="0.3">
      <c r="A359" s="10" t="s">
        <v>1428</v>
      </c>
      <c r="B359" s="10"/>
      <c r="C359" s="24" t="s">
        <v>169</v>
      </c>
      <c r="D359" s="15"/>
      <c r="E359" s="15"/>
      <c r="F359" s="25" t="s">
        <v>159</v>
      </c>
      <c r="G359" s="26">
        <v>0.15</v>
      </c>
      <c r="H359" s="26"/>
      <c r="I359" s="26">
        <v>66.614000000000004</v>
      </c>
      <c r="J359" s="27">
        <v>90.28</v>
      </c>
      <c r="M359" s="28">
        <f>ROUND(ROUND(J359, 2)*I359, 2)</f>
        <v>6013.91</v>
      </c>
      <c r="P359" s="27">
        <v>90.28</v>
      </c>
      <c r="S359" s="28">
        <f>ROUND(ROUND(P359, 2)*I359, 2)</f>
        <v>6013.91</v>
      </c>
      <c r="V359" s="9">
        <f>ROUND(ROUND(P359, 2)/1.2, 2)</f>
        <v>75.23</v>
      </c>
      <c r="Y359" s="9">
        <f t="shared" si="19"/>
        <v>5011.59</v>
      </c>
      <c r="AD359" s="4" t="s">
        <v>1429</v>
      </c>
      <c r="AE359" s="4" t="s">
        <v>1430</v>
      </c>
      <c r="AF359" s="4" t="s">
        <v>172</v>
      </c>
    </row>
    <row r="360" spans="1:35" ht="54" x14ac:dyDescent="0.3">
      <c r="A360" s="10" t="s">
        <v>1431</v>
      </c>
      <c r="B360" s="10" t="s">
        <v>1422</v>
      </c>
      <c r="C360" s="14" t="s">
        <v>992</v>
      </c>
      <c r="D360" s="15"/>
      <c r="E360" s="15" t="s">
        <v>1432</v>
      </c>
      <c r="F360" s="15" t="s">
        <v>75</v>
      </c>
      <c r="G360" s="16">
        <v>1</v>
      </c>
      <c r="H360" s="16"/>
      <c r="I360" s="16">
        <v>444.09</v>
      </c>
      <c r="J360" s="17">
        <v>35.61</v>
      </c>
      <c r="K360" s="18">
        <v>546</v>
      </c>
      <c r="L360" s="17">
        <f>J360+ROUND(K360, 2)</f>
        <v>581.61</v>
      </c>
      <c r="M360" s="17">
        <v>15814.04</v>
      </c>
      <c r="N360" s="17">
        <v>242473.14</v>
      </c>
      <c r="O360" s="17">
        <f>M360+N360</f>
        <v>258287.18000000002</v>
      </c>
      <c r="P360" s="17">
        <v>48.39</v>
      </c>
      <c r="Q360" s="18">
        <v>546</v>
      </c>
      <c r="R360" s="17">
        <f>P360+ROUND(Q360, 2)</f>
        <v>594.39</v>
      </c>
      <c r="S360" s="17">
        <v>21489.52</v>
      </c>
      <c r="T360" s="17">
        <v>242473.14</v>
      </c>
      <c r="U360" s="17">
        <f>S360+T360</f>
        <v>263962.66000000003</v>
      </c>
      <c r="V360" s="9">
        <f>ROUND(P360 / 1.2, 2)</f>
        <v>40.33</v>
      </c>
      <c r="W360" s="9">
        <f>ROUND(Q360 / 1.2, 2)</f>
        <v>455</v>
      </c>
      <c r="X360" s="9">
        <f>ROUND(R360 / 1.2, 2)</f>
        <v>495.33</v>
      </c>
      <c r="Y360" s="9">
        <f t="shared" si="19"/>
        <v>17907.93</v>
      </c>
      <c r="Z360" s="9">
        <f>ROUND(T360 / 1.2, 2)</f>
        <v>202060.95</v>
      </c>
      <c r="AA360" s="9">
        <f>Y360+Z360</f>
        <v>219968.88</v>
      </c>
      <c r="AD360" s="4">
        <v>339118937</v>
      </c>
      <c r="AE360" s="4">
        <v>28983434</v>
      </c>
      <c r="AG360" s="4" t="s">
        <v>994</v>
      </c>
      <c r="AH360" s="4" t="s">
        <v>1424</v>
      </c>
      <c r="AI360" s="4" t="s">
        <v>156</v>
      </c>
    </row>
    <row r="361" spans="1:35" ht="36" x14ac:dyDescent="0.3">
      <c r="A361" s="10" t="s">
        <v>1433</v>
      </c>
      <c r="B361" s="10"/>
      <c r="C361" s="24" t="s">
        <v>169</v>
      </c>
      <c r="D361" s="15"/>
      <c r="E361" s="15"/>
      <c r="F361" s="25" t="s">
        <v>159</v>
      </c>
      <c r="G361" s="26">
        <v>0.15</v>
      </c>
      <c r="H361" s="26"/>
      <c r="I361" s="26">
        <v>66.614000000000004</v>
      </c>
      <c r="J361" s="27">
        <v>90.28</v>
      </c>
      <c r="M361" s="28">
        <f>ROUND(ROUND(J361, 2)*I361, 2)</f>
        <v>6013.91</v>
      </c>
      <c r="P361" s="27">
        <v>90.28</v>
      </c>
      <c r="S361" s="28">
        <f>ROUND(ROUND(P361, 2)*I361, 2)</f>
        <v>6013.91</v>
      </c>
      <c r="V361" s="9">
        <f>ROUND(ROUND(P361, 2)/1.2, 2)</f>
        <v>75.23</v>
      </c>
      <c r="Y361" s="9">
        <f t="shared" si="19"/>
        <v>5011.59</v>
      </c>
      <c r="AD361" s="4" t="s">
        <v>1434</v>
      </c>
      <c r="AE361" s="4" t="s">
        <v>1435</v>
      </c>
      <c r="AF361" s="4" t="s">
        <v>172</v>
      </c>
    </row>
    <row r="362" spans="1:35" ht="54" x14ac:dyDescent="0.3">
      <c r="A362" s="10" t="s">
        <v>1436</v>
      </c>
      <c r="B362" s="10"/>
      <c r="C362" s="30" t="s">
        <v>997</v>
      </c>
      <c r="D362" s="15"/>
      <c r="E362" s="15" t="s">
        <v>949</v>
      </c>
      <c r="F362" s="25" t="s">
        <v>159</v>
      </c>
      <c r="G362" s="26">
        <v>1.8</v>
      </c>
      <c r="H362" s="26"/>
      <c r="I362" s="26">
        <v>799.36199999999997</v>
      </c>
      <c r="J362" s="27">
        <v>12.26</v>
      </c>
      <c r="M362" s="28">
        <f>ROUND(ROUND(J362, 2)*I362, 2)</f>
        <v>9800.18</v>
      </c>
      <c r="P362" s="27">
        <v>19.36</v>
      </c>
      <c r="S362" s="28">
        <f>ROUND(ROUND(P362, 2)*I362, 2)</f>
        <v>15475.65</v>
      </c>
      <c r="V362" s="9">
        <f>ROUND(ROUND(P362, 2)/1.2, 2)</f>
        <v>16.13</v>
      </c>
      <c r="Y362" s="9">
        <f t="shared" si="19"/>
        <v>12896.38</v>
      </c>
      <c r="AD362" s="4" t="s">
        <v>1437</v>
      </c>
      <c r="AE362" s="4" t="s">
        <v>1438</v>
      </c>
      <c r="AF362" s="4" t="s">
        <v>1000</v>
      </c>
    </row>
    <row r="363" spans="1:35" ht="36" x14ac:dyDescent="0.3">
      <c r="A363" s="10" t="s">
        <v>1439</v>
      </c>
      <c r="B363" s="10" t="s">
        <v>1440</v>
      </c>
      <c r="C363" s="14" t="s">
        <v>1441</v>
      </c>
      <c r="D363" s="15"/>
      <c r="E363" s="15" t="s">
        <v>1442</v>
      </c>
      <c r="F363" s="15" t="s">
        <v>75</v>
      </c>
      <c r="G363" s="16">
        <v>1</v>
      </c>
      <c r="H363" s="16"/>
      <c r="I363" s="16">
        <v>115.28</v>
      </c>
      <c r="J363" s="17">
        <v>35.83</v>
      </c>
      <c r="K363" s="18">
        <v>129</v>
      </c>
      <c r="L363" s="17">
        <f>J363+ROUND(K363, 2)</f>
        <v>164.82999999999998</v>
      </c>
      <c r="M363" s="17">
        <v>4130.4799999999996</v>
      </c>
      <c r="N363" s="17">
        <v>14871.12</v>
      </c>
      <c r="O363" s="17">
        <f>M363+N363</f>
        <v>19001.599999999999</v>
      </c>
      <c r="P363" s="17">
        <v>35.83</v>
      </c>
      <c r="Q363" s="18">
        <v>129</v>
      </c>
      <c r="R363" s="17">
        <f>P363+ROUND(Q363, 2)</f>
        <v>164.82999999999998</v>
      </c>
      <c r="S363" s="17">
        <v>4130.4799999999996</v>
      </c>
      <c r="T363" s="17">
        <v>14871.12</v>
      </c>
      <c r="U363" s="17">
        <f>S363+T363</f>
        <v>19001.599999999999</v>
      </c>
      <c r="V363" s="9">
        <f>ROUND(P363 / 1.2, 2)</f>
        <v>29.86</v>
      </c>
      <c r="W363" s="9">
        <f>ROUND(Q363 / 1.2, 2)</f>
        <v>107.5</v>
      </c>
      <c r="X363" s="9">
        <f>ROUND(R363 / 1.2, 2)</f>
        <v>137.36000000000001</v>
      </c>
      <c r="Y363" s="9">
        <f t="shared" si="19"/>
        <v>3442.07</v>
      </c>
      <c r="Z363" s="9">
        <f>ROUND(T363 / 1.2, 2)</f>
        <v>12392.6</v>
      </c>
      <c r="AA363" s="9">
        <f>Y363+Z363</f>
        <v>15834.67</v>
      </c>
      <c r="AD363" s="4">
        <v>339118878</v>
      </c>
      <c r="AE363" s="4">
        <v>25888021</v>
      </c>
      <c r="AG363" s="4" t="s">
        <v>1443</v>
      </c>
      <c r="AH363" s="4" t="s">
        <v>1444</v>
      </c>
      <c r="AI363" s="4" t="s">
        <v>156</v>
      </c>
    </row>
    <row r="364" spans="1:35" ht="36" x14ac:dyDescent="0.3">
      <c r="A364" s="10" t="s">
        <v>1445</v>
      </c>
      <c r="B364" s="10"/>
      <c r="C364" s="24" t="s">
        <v>212</v>
      </c>
      <c r="D364" s="15"/>
      <c r="E364" s="15"/>
      <c r="F364" s="25" t="s">
        <v>159</v>
      </c>
      <c r="G364" s="26">
        <v>0.2</v>
      </c>
      <c r="H364" s="26"/>
      <c r="I364" s="26">
        <v>23.056000000000001</v>
      </c>
      <c r="J364" s="27">
        <v>179.17</v>
      </c>
      <c r="M364" s="28">
        <f>ROUND(ROUND(J364, 2)*I364, 2)</f>
        <v>4130.9399999999996</v>
      </c>
      <c r="P364" s="27">
        <v>179.17</v>
      </c>
      <c r="S364" s="28">
        <f>ROUND(ROUND(P364, 2)*I364, 2)</f>
        <v>4130.9399999999996</v>
      </c>
      <c r="V364" s="9">
        <f>ROUND(ROUND(P364, 2)/1.2, 2)</f>
        <v>149.31</v>
      </c>
      <c r="Y364" s="9">
        <f t="shared" si="19"/>
        <v>3442.45</v>
      </c>
      <c r="AD364" s="4" t="s">
        <v>1446</v>
      </c>
      <c r="AE364" s="4" t="s">
        <v>1447</v>
      </c>
      <c r="AF364" s="4" t="s">
        <v>215</v>
      </c>
    </row>
    <row r="365" spans="1:35" ht="16.95" customHeight="1" x14ac:dyDescent="0.3">
      <c r="A365" s="10" t="s">
        <v>1448</v>
      </c>
      <c r="B365" s="10" t="s">
        <v>1449</v>
      </c>
      <c r="C365" s="120" t="s">
        <v>1450</v>
      </c>
      <c r="D365" s="121"/>
      <c r="E365" s="121"/>
      <c r="F365" s="121"/>
      <c r="G365" s="121"/>
      <c r="H365" s="121"/>
      <c r="I365" s="122"/>
      <c r="M365" s="6">
        <f>SUM(M366,M369,M372,M375,M378,M381,M384,M387,M390)</f>
        <v>367194.05999999994</v>
      </c>
      <c r="N365" s="6">
        <f>SUM(N366,N369,N372,N375,N378,N381,N384,N387,N390)</f>
        <v>1928100.5</v>
      </c>
      <c r="O365" s="6">
        <f>SUM(O366,O369,O372,O375,O378,O381,O384,O387,O390)</f>
        <v>2295294.5599999996</v>
      </c>
      <c r="S365" s="6">
        <f>SUM(S366,S369,S372,S375,S378,S381,S384,S387,S390)</f>
        <v>252809.80000000005</v>
      </c>
      <c r="T365" s="6">
        <f>SUM(T366,T369,T372,T375,T378,T381,T384,T387,T390)</f>
        <v>1909448.7200000002</v>
      </c>
      <c r="U365" s="6">
        <f>SUM(U366,U369,U372,U375,U378,U381,U384,U387,U390)</f>
        <v>2162258.52</v>
      </c>
      <c r="Y365" s="9">
        <f>SUM(Y366,Y369,Y372,Y375,Y378,Y381,Y384,Y387,Y390)</f>
        <v>210674.83</v>
      </c>
      <c r="Z365" s="9">
        <f>SUM(Z366,Z369,Z372,Z375,Z378,Z381,Z384,Z387,Z390)</f>
        <v>1591207.2600000002</v>
      </c>
      <c r="AA365" s="9">
        <f>SUM(AA366,AA369,AA372,AA375,AA378,AA381,AA384,AA387,AA390)</f>
        <v>1801882.09</v>
      </c>
      <c r="AD365" s="4">
        <v>339118879</v>
      </c>
      <c r="AE365" s="4">
        <v>25887972</v>
      </c>
    </row>
    <row r="366" spans="1:35" ht="36" x14ac:dyDescent="0.3">
      <c r="A366" s="10" t="s">
        <v>1451</v>
      </c>
      <c r="B366" s="10" t="s">
        <v>1452</v>
      </c>
      <c r="C366" s="14" t="s">
        <v>1453</v>
      </c>
      <c r="D366" s="15"/>
      <c r="E366" s="15" t="s">
        <v>1454</v>
      </c>
      <c r="F366" s="15" t="s">
        <v>75</v>
      </c>
      <c r="G366" s="16">
        <v>1</v>
      </c>
      <c r="H366" s="16"/>
      <c r="I366" s="16">
        <v>259.14</v>
      </c>
      <c r="J366" s="17">
        <v>49.32</v>
      </c>
      <c r="K366" s="18">
        <v>422</v>
      </c>
      <c r="L366" s="17">
        <f>J366+ROUND(K366, 2)</f>
        <v>471.32</v>
      </c>
      <c r="M366" s="17">
        <v>12780.78</v>
      </c>
      <c r="N366" s="17">
        <v>109357.08</v>
      </c>
      <c r="O366" s="17">
        <f>M366+N366</f>
        <v>122137.86</v>
      </c>
      <c r="P366" s="17">
        <v>49.32</v>
      </c>
      <c r="Q366" s="18">
        <v>422</v>
      </c>
      <c r="R366" s="17">
        <f>P366+ROUND(Q366, 2)</f>
        <v>471.32</v>
      </c>
      <c r="S366" s="17">
        <v>12780.78</v>
      </c>
      <c r="T366" s="17">
        <v>109357.08</v>
      </c>
      <c r="U366" s="17">
        <f>S366+T366</f>
        <v>122137.86</v>
      </c>
      <c r="V366" s="9">
        <f>ROUND(P366 / 1.2, 2)</f>
        <v>41.1</v>
      </c>
      <c r="W366" s="9">
        <f>ROUND(Q366 / 1.2, 2)</f>
        <v>351.67</v>
      </c>
      <c r="X366" s="9">
        <f>ROUND(R366 / 1.2, 2)</f>
        <v>392.77</v>
      </c>
      <c r="Y366" s="9">
        <f>ROUND(S366 / 1.2, 2)</f>
        <v>10650.65</v>
      </c>
      <c r="Z366" s="9">
        <f>ROUND(T366 / 1.2, 2)</f>
        <v>91130.9</v>
      </c>
      <c r="AA366" s="9">
        <f>Y366+Z366</f>
        <v>101781.54999999999</v>
      </c>
      <c r="AD366" s="4">
        <v>339118881</v>
      </c>
      <c r="AE366" s="4">
        <v>25888031</v>
      </c>
      <c r="AG366" s="4" t="s">
        <v>1455</v>
      </c>
      <c r="AH366" s="4" t="s">
        <v>1456</v>
      </c>
      <c r="AI366" s="4" t="s">
        <v>156</v>
      </c>
    </row>
    <row r="367" spans="1:35" ht="108" x14ac:dyDescent="0.3">
      <c r="A367" s="10" t="s">
        <v>1457</v>
      </c>
      <c r="B367" s="10"/>
      <c r="C367" s="24" t="s">
        <v>1458</v>
      </c>
      <c r="D367" s="15"/>
      <c r="E367" s="15" t="s">
        <v>1459</v>
      </c>
      <c r="F367" s="25" t="s">
        <v>159</v>
      </c>
      <c r="G367" s="26">
        <v>0.3</v>
      </c>
      <c r="H367" s="26"/>
      <c r="I367" s="26">
        <v>77.742000000000004</v>
      </c>
      <c r="J367" s="27">
        <v>120</v>
      </c>
      <c r="M367" s="28">
        <f>ROUND(ROUND(J367, 2)*I367, 2)</f>
        <v>9329.0400000000009</v>
      </c>
      <c r="P367" s="27">
        <v>120</v>
      </c>
      <c r="S367" s="28">
        <f>ROUND(ROUND(P367, 2)*I367, 2)</f>
        <v>9329.0400000000009</v>
      </c>
      <c r="V367" s="9">
        <f>ROUND(ROUND(P367, 2)/1.2, 2)</f>
        <v>100</v>
      </c>
      <c r="Y367" s="9">
        <f t="shared" ref="Y367:Y392" si="20">ROUND(S367 / 1.2, 2)</f>
        <v>7774.2</v>
      </c>
      <c r="AD367" s="4" t="s">
        <v>1460</v>
      </c>
      <c r="AE367" s="4" t="s">
        <v>1461</v>
      </c>
      <c r="AF367" s="4" t="s">
        <v>1462</v>
      </c>
    </row>
    <row r="368" spans="1:35" ht="36" x14ac:dyDescent="0.3">
      <c r="A368" s="10" t="s">
        <v>1463</v>
      </c>
      <c r="B368" s="10"/>
      <c r="C368" s="24" t="s">
        <v>480</v>
      </c>
      <c r="D368" s="15"/>
      <c r="E368" s="15"/>
      <c r="F368" s="25" t="s">
        <v>159</v>
      </c>
      <c r="G368" s="26">
        <v>0.15</v>
      </c>
      <c r="H368" s="26"/>
      <c r="I368" s="26">
        <v>38.871000000000002</v>
      </c>
      <c r="J368" s="27">
        <v>88.8</v>
      </c>
      <c r="M368" s="28">
        <f>ROUND(ROUND(J368, 2)*I368, 2)</f>
        <v>3451.74</v>
      </c>
      <c r="P368" s="27">
        <v>88.8</v>
      </c>
      <c r="S368" s="28">
        <f>ROUND(ROUND(P368, 2)*I368, 2)</f>
        <v>3451.74</v>
      </c>
      <c r="V368" s="9">
        <f>ROUND(ROUND(P368, 2)/1.2, 2)</f>
        <v>74</v>
      </c>
      <c r="Y368" s="9">
        <f t="shared" si="20"/>
        <v>2876.45</v>
      </c>
      <c r="AD368" s="4" t="s">
        <v>1464</v>
      </c>
      <c r="AE368" s="4" t="s">
        <v>1465</v>
      </c>
      <c r="AF368" s="4" t="s">
        <v>483</v>
      </c>
    </row>
    <row r="369" spans="1:35" ht="36" x14ac:dyDescent="0.3">
      <c r="A369" s="10" t="s">
        <v>1466</v>
      </c>
      <c r="B369" s="10" t="s">
        <v>1452</v>
      </c>
      <c r="C369" s="14" t="s">
        <v>1453</v>
      </c>
      <c r="D369" s="15"/>
      <c r="E369" s="15" t="s">
        <v>1467</v>
      </c>
      <c r="F369" s="15" t="s">
        <v>75</v>
      </c>
      <c r="G369" s="16">
        <v>1</v>
      </c>
      <c r="H369" s="16"/>
      <c r="I369" s="16">
        <v>637.79</v>
      </c>
      <c r="J369" s="17">
        <v>44.82</v>
      </c>
      <c r="K369" s="18">
        <v>422</v>
      </c>
      <c r="L369" s="17">
        <f>J369+ROUND(K369, 2)</f>
        <v>466.82</v>
      </c>
      <c r="M369" s="17">
        <v>28585.75</v>
      </c>
      <c r="N369" s="17">
        <v>269147.38</v>
      </c>
      <c r="O369" s="17">
        <f>M369+N369</f>
        <v>297733.13</v>
      </c>
      <c r="P369" s="17">
        <v>44.82</v>
      </c>
      <c r="Q369" s="18">
        <v>422</v>
      </c>
      <c r="R369" s="17">
        <f>P369+ROUND(Q369, 2)</f>
        <v>466.82</v>
      </c>
      <c r="S369" s="17">
        <v>28585.75</v>
      </c>
      <c r="T369" s="17">
        <v>269147.38</v>
      </c>
      <c r="U369" s="17">
        <f>S369+T369</f>
        <v>297733.13</v>
      </c>
      <c r="V369" s="9">
        <f>ROUND(P369 / 1.2, 2)</f>
        <v>37.35</v>
      </c>
      <c r="W369" s="9">
        <f>ROUND(Q369 / 1.2, 2)</f>
        <v>351.67</v>
      </c>
      <c r="X369" s="9">
        <f>ROUND(R369 / 1.2, 2)</f>
        <v>389.02</v>
      </c>
      <c r="Y369" s="9">
        <f t="shared" si="20"/>
        <v>23821.46</v>
      </c>
      <c r="Z369" s="9">
        <f>ROUND(T369 / 1.2, 2)</f>
        <v>224289.48</v>
      </c>
      <c r="AA369" s="9">
        <f>Y369+Z369</f>
        <v>248110.94</v>
      </c>
      <c r="AD369" s="4">
        <v>339118938</v>
      </c>
      <c r="AE369" s="4">
        <v>25888019</v>
      </c>
      <c r="AG369" s="4" t="s">
        <v>1455</v>
      </c>
      <c r="AH369" s="4" t="s">
        <v>1456</v>
      </c>
      <c r="AI369" s="4" t="s">
        <v>156</v>
      </c>
    </row>
    <row r="370" spans="1:35" ht="36" x14ac:dyDescent="0.3">
      <c r="A370" s="10" t="s">
        <v>1468</v>
      </c>
      <c r="B370" s="10"/>
      <c r="C370" s="24" t="s">
        <v>480</v>
      </c>
      <c r="D370" s="15"/>
      <c r="E370" s="15"/>
      <c r="F370" s="25" t="s">
        <v>159</v>
      </c>
      <c r="G370" s="26">
        <v>0.15</v>
      </c>
      <c r="H370" s="26"/>
      <c r="I370" s="26">
        <v>95.668999999999997</v>
      </c>
      <c r="J370" s="27">
        <v>88.8</v>
      </c>
      <c r="M370" s="28">
        <f>ROUND(ROUND(J370, 2)*I370, 2)</f>
        <v>8495.41</v>
      </c>
      <c r="P370" s="27">
        <v>88.8</v>
      </c>
      <c r="S370" s="28">
        <f>ROUND(ROUND(P370, 2)*I370, 2)</f>
        <v>8495.41</v>
      </c>
      <c r="V370" s="9">
        <f>ROUND(ROUND(P370, 2)/1.2, 2)</f>
        <v>74</v>
      </c>
      <c r="Y370" s="9">
        <f t="shared" si="20"/>
        <v>7079.51</v>
      </c>
      <c r="AD370" s="4" t="s">
        <v>1469</v>
      </c>
      <c r="AE370" s="4" t="s">
        <v>1470</v>
      </c>
      <c r="AF370" s="4" t="s">
        <v>483</v>
      </c>
    </row>
    <row r="371" spans="1:35" ht="144" x14ac:dyDescent="0.3">
      <c r="A371" s="10" t="s">
        <v>1471</v>
      </c>
      <c r="B371" s="10"/>
      <c r="C371" s="30" t="s">
        <v>1472</v>
      </c>
      <c r="D371" s="15"/>
      <c r="E371" s="15" t="s">
        <v>1473</v>
      </c>
      <c r="F371" s="25" t="s">
        <v>159</v>
      </c>
      <c r="G371" s="26">
        <v>0.3</v>
      </c>
      <c r="H371" s="26"/>
      <c r="I371" s="26">
        <v>191.33699999999999</v>
      </c>
      <c r="J371" s="27">
        <v>105</v>
      </c>
      <c r="M371" s="28">
        <f>ROUND(ROUND(J371, 2)*I371, 2)</f>
        <v>20090.39</v>
      </c>
      <c r="P371" s="27">
        <v>105</v>
      </c>
      <c r="S371" s="28">
        <f>ROUND(ROUND(P371, 2)*I371, 2)</f>
        <v>20090.39</v>
      </c>
      <c r="V371" s="9">
        <f>ROUND(ROUND(P371, 2)/1.2, 2)</f>
        <v>87.5</v>
      </c>
      <c r="Y371" s="9">
        <f t="shared" si="20"/>
        <v>16741.990000000002</v>
      </c>
      <c r="AD371" s="4" t="s">
        <v>1474</v>
      </c>
      <c r="AE371" s="4" t="s">
        <v>1475</v>
      </c>
      <c r="AF371" s="4" t="s">
        <v>1476</v>
      </c>
    </row>
    <row r="372" spans="1:35" ht="36" x14ac:dyDescent="0.3">
      <c r="A372" s="10" t="s">
        <v>1477</v>
      </c>
      <c r="B372" s="10" t="s">
        <v>1452</v>
      </c>
      <c r="C372" s="14" t="s">
        <v>1453</v>
      </c>
      <c r="D372" s="15"/>
      <c r="E372" s="15" t="s">
        <v>1478</v>
      </c>
      <c r="F372" s="15" t="s">
        <v>75</v>
      </c>
      <c r="G372" s="16">
        <v>1</v>
      </c>
      <c r="H372" s="16"/>
      <c r="I372" s="16">
        <v>2474.04</v>
      </c>
      <c r="J372" s="17">
        <v>49.55</v>
      </c>
      <c r="K372" s="18">
        <v>422</v>
      </c>
      <c r="L372" s="17">
        <f>J372+ROUND(K372, 2)</f>
        <v>471.55</v>
      </c>
      <c r="M372" s="17">
        <v>122588.68</v>
      </c>
      <c r="N372" s="17">
        <v>1044044.88</v>
      </c>
      <c r="O372" s="17">
        <f>M372+N372</f>
        <v>1166633.56</v>
      </c>
      <c r="P372" s="17">
        <v>49.55</v>
      </c>
      <c r="Q372" s="18">
        <v>422</v>
      </c>
      <c r="R372" s="17">
        <f>P372+ROUND(Q372, 2)</f>
        <v>471.55</v>
      </c>
      <c r="S372" s="17">
        <v>122588.68</v>
      </c>
      <c r="T372" s="17">
        <v>1044044.88</v>
      </c>
      <c r="U372" s="17">
        <f>S372+T372</f>
        <v>1166633.56</v>
      </c>
      <c r="V372" s="9">
        <f>ROUND(P372 / 1.2, 2)</f>
        <v>41.29</v>
      </c>
      <c r="W372" s="9">
        <f>ROUND(Q372 / 1.2, 2)</f>
        <v>351.67</v>
      </c>
      <c r="X372" s="9">
        <f>ROUND(R372 / 1.2, 2)</f>
        <v>392.96</v>
      </c>
      <c r="Y372" s="9">
        <f t="shared" si="20"/>
        <v>102157.23</v>
      </c>
      <c r="Z372" s="9">
        <f>ROUND(T372 / 1.2, 2)</f>
        <v>870037.4</v>
      </c>
      <c r="AA372" s="9">
        <f>Y372+Z372</f>
        <v>972194.63</v>
      </c>
      <c r="AD372" s="4">
        <v>339118939</v>
      </c>
      <c r="AE372" s="4">
        <v>25888024</v>
      </c>
      <c r="AG372" s="4" t="s">
        <v>1455</v>
      </c>
      <c r="AH372" s="4" t="s">
        <v>1456</v>
      </c>
      <c r="AI372" s="4" t="s">
        <v>156</v>
      </c>
    </row>
    <row r="373" spans="1:35" ht="180" x14ac:dyDescent="0.3">
      <c r="A373" s="10" t="s">
        <v>1479</v>
      </c>
      <c r="B373" s="10"/>
      <c r="C373" s="30" t="s">
        <v>1480</v>
      </c>
      <c r="D373" s="15"/>
      <c r="E373" s="15" t="s">
        <v>1481</v>
      </c>
      <c r="F373" s="25" t="s">
        <v>159</v>
      </c>
      <c r="G373" s="26">
        <v>0.3</v>
      </c>
      <c r="H373" s="26"/>
      <c r="I373" s="26">
        <v>742.21199999999999</v>
      </c>
      <c r="J373" s="27">
        <v>120.77</v>
      </c>
      <c r="M373" s="28">
        <f>ROUND(ROUND(J373, 2)*I373, 2)</f>
        <v>89636.94</v>
      </c>
      <c r="P373" s="27">
        <v>120.77</v>
      </c>
      <c r="S373" s="28">
        <f>ROUND(ROUND(P373, 2)*I373, 2)</f>
        <v>89636.94</v>
      </c>
      <c r="V373" s="9">
        <f>ROUND(ROUND(P373, 2)/1.2, 2)</f>
        <v>100.64</v>
      </c>
      <c r="Y373" s="9">
        <f t="shared" si="20"/>
        <v>74697.45</v>
      </c>
      <c r="AD373" s="4" t="s">
        <v>1482</v>
      </c>
      <c r="AE373" s="4" t="s">
        <v>1483</v>
      </c>
      <c r="AF373" s="4" t="s">
        <v>1484</v>
      </c>
    </row>
    <row r="374" spans="1:35" ht="36" x14ac:dyDescent="0.3">
      <c r="A374" s="10" t="s">
        <v>1485</v>
      </c>
      <c r="B374" s="10"/>
      <c r="C374" s="24" t="s">
        <v>480</v>
      </c>
      <c r="D374" s="15"/>
      <c r="E374" s="15"/>
      <c r="F374" s="25" t="s">
        <v>159</v>
      </c>
      <c r="G374" s="26">
        <v>0.15</v>
      </c>
      <c r="H374" s="26"/>
      <c r="I374" s="26">
        <v>371.10599999999999</v>
      </c>
      <c r="J374" s="27">
        <v>88.8</v>
      </c>
      <c r="M374" s="28">
        <f>ROUND(ROUND(J374, 2)*I374, 2)</f>
        <v>32954.21</v>
      </c>
      <c r="P374" s="27">
        <v>88.8</v>
      </c>
      <c r="S374" s="28">
        <f>ROUND(ROUND(P374, 2)*I374, 2)</f>
        <v>32954.21</v>
      </c>
      <c r="V374" s="9">
        <f>ROUND(ROUND(P374, 2)/1.2, 2)</f>
        <v>74</v>
      </c>
      <c r="Y374" s="9">
        <f t="shared" si="20"/>
        <v>27461.84</v>
      </c>
      <c r="AD374" s="4" t="s">
        <v>1486</v>
      </c>
      <c r="AE374" s="4" t="s">
        <v>1487</v>
      </c>
      <c r="AF374" s="4" t="s">
        <v>483</v>
      </c>
    </row>
    <row r="375" spans="1:35" ht="36" x14ac:dyDescent="0.3">
      <c r="A375" s="10" t="s">
        <v>1488</v>
      </c>
      <c r="B375" s="10" t="s">
        <v>1452</v>
      </c>
      <c r="C375" s="14" t="s">
        <v>1453</v>
      </c>
      <c r="D375" s="15"/>
      <c r="E375" s="15" t="s">
        <v>1489</v>
      </c>
      <c r="F375" s="15" t="s">
        <v>75</v>
      </c>
      <c r="G375" s="16">
        <v>1</v>
      </c>
      <c r="H375" s="16"/>
      <c r="I375" s="16">
        <v>134.78</v>
      </c>
      <c r="J375" s="17">
        <v>49.55</v>
      </c>
      <c r="K375" s="18">
        <v>422</v>
      </c>
      <c r="L375" s="17">
        <f>J375+ROUND(K375, 2)</f>
        <v>471.55</v>
      </c>
      <c r="M375" s="17">
        <v>6678.35</v>
      </c>
      <c r="N375" s="17">
        <v>56877.16</v>
      </c>
      <c r="O375" s="17">
        <f>M375+N375</f>
        <v>63555.51</v>
      </c>
      <c r="P375" s="17">
        <v>49.55</v>
      </c>
      <c r="Q375" s="18">
        <v>422</v>
      </c>
      <c r="R375" s="17">
        <f>P375+ROUND(Q375, 2)</f>
        <v>471.55</v>
      </c>
      <c r="S375" s="17">
        <v>6678.35</v>
      </c>
      <c r="T375" s="17">
        <v>56877.16</v>
      </c>
      <c r="U375" s="17">
        <f>S375+T375</f>
        <v>63555.51</v>
      </c>
      <c r="V375" s="9">
        <f>ROUND(P375 / 1.2, 2)</f>
        <v>41.29</v>
      </c>
      <c r="W375" s="9">
        <f>ROUND(Q375 / 1.2, 2)</f>
        <v>351.67</v>
      </c>
      <c r="X375" s="9">
        <f>ROUND(R375 / 1.2, 2)</f>
        <v>392.96</v>
      </c>
      <c r="Y375" s="9">
        <f t="shared" si="20"/>
        <v>5565.29</v>
      </c>
      <c r="Z375" s="9">
        <f>ROUND(T375 / 1.2, 2)</f>
        <v>47397.63</v>
      </c>
      <c r="AA375" s="9">
        <f>Y375+Z375</f>
        <v>52962.92</v>
      </c>
      <c r="AD375" s="4">
        <v>339118940</v>
      </c>
      <c r="AE375" s="4">
        <v>25888020</v>
      </c>
      <c r="AG375" s="4" t="s">
        <v>1455</v>
      </c>
      <c r="AH375" s="4" t="s">
        <v>1456</v>
      </c>
      <c r="AI375" s="4" t="s">
        <v>156</v>
      </c>
    </row>
    <row r="376" spans="1:35" ht="36" x14ac:dyDescent="0.3">
      <c r="A376" s="10" t="s">
        <v>1490</v>
      </c>
      <c r="B376" s="10"/>
      <c r="C376" s="24" t="s">
        <v>480</v>
      </c>
      <c r="D376" s="15"/>
      <c r="E376" s="15"/>
      <c r="F376" s="25" t="s">
        <v>159</v>
      </c>
      <c r="G376" s="26">
        <v>0.15</v>
      </c>
      <c r="H376" s="26"/>
      <c r="I376" s="26">
        <v>20.216999999999999</v>
      </c>
      <c r="J376" s="27">
        <v>88.8</v>
      </c>
      <c r="M376" s="28">
        <f>ROUND(ROUND(J376, 2)*I376, 2)</f>
        <v>1795.27</v>
      </c>
      <c r="P376" s="27">
        <v>88.8</v>
      </c>
      <c r="S376" s="28">
        <f>ROUND(ROUND(P376, 2)*I376, 2)</f>
        <v>1795.27</v>
      </c>
      <c r="V376" s="9">
        <f>ROUND(ROUND(P376, 2)/1.2, 2)</f>
        <v>74</v>
      </c>
      <c r="Y376" s="9">
        <f t="shared" si="20"/>
        <v>1496.06</v>
      </c>
      <c r="AD376" s="4" t="s">
        <v>1491</v>
      </c>
      <c r="AE376" s="4" t="s">
        <v>1492</v>
      </c>
      <c r="AF376" s="4" t="s">
        <v>483</v>
      </c>
    </row>
    <row r="377" spans="1:35" ht="198" x14ac:dyDescent="0.3">
      <c r="A377" s="10" t="s">
        <v>1493</v>
      </c>
      <c r="B377" s="10"/>
      <c r="C377" s="30" t="s">
        <v>1480</v>
      </c>
      <c r="D377" s="15"/>
      <c r="E377" s="15" t="s">
        <v>1494</v>
      </c>
      <c r="F377" s="25" t="s">
        <v>159</v>
      </c>
      <c r="G377" s="26">
        <v>0.3</v>
      </c>
      <c r="H377" s="26"/>
      <c r="I377" s="26">
        <v>40.433999999999997</v>
      </c>
      <c r="J377" s="27">
        <v>120.77</v>
      </c>
      <c r="M377" s="28">
        <f>ROUND(ROUND(J377, 2)*I377, 2)</f>
        <v>4883.21</v>
      </c>
      <c r="P377" s="27">
        <v>120.77</v>
      </c>
      <c r="S377" s="28">
        <f>ROUND(ROUND(P377, 2)*I377, 2)</f>
        <v>4883.21</v>
      </c>
      <c r="V377" s="9">
        <f>ROUND(ROUND(P377, 2)/1.2, 2)</f>
        <v>100.64</v>
      </c>
      <c r="Y377" s="9">
        <f t="shared" si="20"/>
        <v>4069.34</v>
      </c>
      <c r="AD377" s="4" t="s">
        <v>1495</v>
      </c>
      <c r="AE377" s="4" t="s">
        <v>1496</v>
      </c>
      <c r="AF377" s="4" t="s">
        <v>1484</v>
      </c>
    </row>
    <row r="378" spans="1:35" ht="36" x14ac:dyDescent="0.3">
      <c r="A378" s="10" t="s">
        <v>1497</v>
      </c>
      <c r="B378" s="10" t="s">
        <v>1452</v>
      </c>
      <c r="C378" s="14" t="s">
        <v>1453</v>
      </c>
      <c r="D378" s="15"/>
      <c r="E378" s="15" t="s">
        <v>1498</v>
      </c>
      <c r="F378" s="15" t="s">
        <v>75</v>
      </c>
      <c r="G378" s="16">
        <v>1</v>
      </c>
      <c r="H378" s="16"/>
      <c r="I378" s="16">
        <v>465.96</v>
      </c>
      <c r="J378" s="17">
        <v>44.82</v>
      </c>
      <c r="K378" s="18">
        <v>422</v>
      </c>
      <c r="L378" s="17">
        <f>J378+ROUND(K378, 2)</f>
        <v>466.82</v>
      </c>
      <c r="M378" s="17">
        <v>20884.330000000002</v>
      </c>
      <c r="N378" s="17">
        <v>196635.12</v>
      </c>
      <c r="O378" s="17">
        <f>M378+N378</f>
        <v>217519.45</v>
      </c>
      <c r="P378" s="17">
        <v>44.82</v>
      </c>
      <c r="Q378" s="18">
        <v>422</v>
      </c>
      <c r="R378" s="17">
        <f>P378+ROUND(Q378, 2)</f>
        <v>466.82</v>
      </c>
      <c r="S378" s="17">
        <v>20884.330000000002</v>
      </c>
      <c r="T378" s="17">
        <v>196635.12</v>
      </c>
      <c r="U378" s="17">
        <f>S378+T378</f>
        <v>217519.45</v>
      </c>
      <c r="V378" s="9">
        <f>ROUND(P378 / 1.2, 2)</f>
        <v>37.35</v>
      </c>
      <c r="W378" s="9">
        <f>ROUND(Q378 / 1.2, 2)</f>
        <v>351.67</v>
      </c>
      <c r="X378" s="9">
        <f>ROUND(R378 / 1.2, 2)</f>
        <v>389.02</v>
      </c>
      <c r="Y378" s="9">
        <f t="shared" si="20"/>
        <v>17403.61</v>
      </c>
      <c r="Z378" s="9">
        <f>ROUND(T378 / 1.2, 2)</f>
        <v>163862.6</v>
      </c>
      <c r="AA378" s="9">
        <f>Y378+Z378</f>
        <v>181266.21000000002</v>
      </c>
      <c r="AD378" s="4">
        <v>339118941</v>
      </c>
      <c r="AE378" s="4">
        <v>25887985</v>
      </c>
      <c r="AG378" s="4" t="s">
        <v>1455</v>
      </c>
      <c r="AH378" s="4" t="s">
        <v>1456</v>
      </c>
      <c r="AI378" s="4" t="s">
        <v>156</v>
      </c>
    </row>
    <row r="379" spans="1:35" ht="108" x14ac:dyDescent="0.3">
      <c r="A379" s="10" t="s">
        <v>1499</v>
      </c>
      <c r="B379" s="10"/>
      <c r="C379" s="30" t="s">
        <v>1472</v>
      </c>
      <c r="D379" s="15"/>
      <c r="E379" s="15" t="s">
        <v>1500</v>
      </c>
      <c r="F379" s="25" t="s">
        <v>159</v>
      </c>
      <c r="G379" s="26">
        <v>0.3</v>
      </c>
      <c r="H379" s="26"/>
      <c r="I379" s="26">
        <v>139.78800000000001</v>
      </c>
      <c r="J379" s="27">
        <v>105</v>
      </c>
      <c r="M379" s="28">
        <f>ROUND(ROUND(J379, 2)*I379, 2)</f>
        <v>14677.74</v>
      </c>
      <c r="P379" s="27">
        <v>105</v>
      </c>
      <c r="S379" s="28">
        <f>ROUND(ROUND(P379, 2)*I379, 2)</f>
        <v>14677.74</v>
      </c>
      <c r="V379" s="9">
        <f>ROUND(ROUND(P379, 2)/1.2, 2)</f>
        <v>87.5</v>
      </c>
      <c r="Y379" s="9">
        <f t="shared" si="20"/>
        <v>12231.45</v>
      </c>
      <c r="AD379" s="4" t="s">
        <v>1501</v>
      </c>
      <c r="AE379" s="4" t="s">
        <v>1502</v>
      </c>
      <c r="AF379" s="4" t="s">
        <v>1476</v>
      </c>
    </row>
    <row r="380" spans="1:35" ht="36" x14ac:dyDescent="0.3">
      <c r="A380" s="10" t="s">
        <v>1503</v>
      </c>
      <c r="B380" s="10"/>
      <c r="C380" s="24" t="s">
        <v>480</v>
      </c>
      <c r="D380" s="15"/>
      <c r="E380" s="15"/>
      <c r="F380" s="25" t="s">
        <v>159</v>
      </c>
      <c r="G380" s="26">
        <v>0.15</v>
      </c>
      <c r="H380" s="26"/>
      <c r="I380" s="26">
        <v>69.894000000000005</v>
      </c>
      <c r="J380" s="27">
        <v>88.8</v>
      </c>
      <c r="M380" s="28">
        <f>ROUND(ROUND(J380, 2)*I380, 2)</f>
        <v>6206.59</v>
      </c>
      <c r="P380" s="27">
        <v>88.8</v>
      </c>
      <c r="S380" s="28">
        <f>ROUND(ROUND(P380, 2)*I380, 2)</f>
        <v>6206.59</v>
      </c>
      <c r="V380" s="9">
        <f>ROUND(ROUND(P380, 2)/1.2, 2)</f>
        <v>74</v>
      </c>
      <c r="Y380" s="9">
        <f t="shared" si="20"/>
        <v>5172.16</v>
      </c>
      <c r="AD380" s="4" t="s">
        <v>1504</v>
      </c>
      <c r="AE380" s="4" t="s">
        <v>1505</v>
      </c>
      <c r="AF380" s="4" t="s">
        <v>483</v>
      </c>
    </row>
    <row r="381" spans="1:35" ht="36" x14ac:dyDescent="0.3">
      <c r="A381" s="10" t="s">
        <v>1506</v>
      </c>
      <c r="B381" s="10" t="s">
        <v>1452</v>
      </c>
      <c r="C381" s="14" t="s">
        <v>1453</v>
      </c>
      <c r="D381" s="15"/>
      <c r="E381" s="15" t="s">
        <v>1411</v>
      </c>
      <c r="F381" s="15" t="s">
        <v>75</v>
      </c>
      <c r="G381" s="16">
        <v>1</v>
      </c>
      <c r="H381" s="16"/>
      <c r="I381" s="16">
        <v>108.96</v>
      </c>
      <c r="J381" s="17">
        <v>44.82</v>
      </c>
      <c r="K381" s="18">
        <v>422</v>
      </c>
      <c r="L381" s="17">
        <f>J381+ROUND(K381, 2)</f>
        <v>466.82</v>
      </c>
      <c r="M381" s="17">
        <v>4883.59</v>
      </c>
      <c r="N381" s="17">
        <v>45981.120000000003</v>
      </c>
      <c r="O381" s="17">
        <f>M381+N381</f>
        <v>50864.710000000006</v>
      </c>
      <c r="P381" s="17">
        <v>44.82</v>
      </c>
      <c r="Q381" s="18">
        <v>422</v>
      </c>
      <c r="R381" s="17">
        <f>P381+ROUND(Q381, 2)</f>
        <v>466.82</v>
      </c>
      <c r="S381" s="17">
        <v>4883.59</v>
      </c>
      <c r="T381" s="17">
        <v>45981.120000000003</v>
      </c>
      <c r="U381" s="17">
        <f>S381+T381</f>
        <v>50864.710000000006</v>
      </c>
      <c r="V381" s="9">
        <f>ROUND(P381 / 1.2, 2)</f>
        <v>37.35</v>
      </c>
      <c r="W381" s="9">
        <f>ROUND(Q381 / 1.2, 2)</f>
        <v>351.67</v>
      </c>
      <c r="X381" s="9">
        <f>ROUND(R381 / 1.2, 2)</f>
        <v>389.02</v>
      </c>
      <c r="Y381" s="9">
        <f t="shared" si="20"/>
        <v>4069.66</v>
      </c>
      <c r="Z381" s="9">
        <f>ROUND(T381 / 1.2, 2)</f>
        <v>38317.599999999999</v>
      </c>
      <c r="AA381" s="9">
        <f>Y381+Z381</f>
        <v>42387.259999999995</v>
      </c>
      <c r="AD381" s="4">
        <v>339118942</v>
      </c>
      <c r="AE381" s="4">
        <v>25887997</v>
      </c>
      <c r="AG381" s="4" t="s">
        <v>1455</v>
      </c>
      <c r="AH381" s="4" t="s">
        <v>1456</v>
      </c>
      <c r="AI381" s="4" t="s">
        <v>156</v>
      </c>
    </row>
    <row r="382" spans="1:35" ht="36" x14ac:dyDescent="0.3">
      <c r="A382" s="10" t="s">
        <v>1507</v>
      </c>
      <c r="B382" s="10"/>
      <c r="C382" s="24" t="s">
        <v>480</v>
      </c>
      <c r="D382" s="15"/>
      <c r="E382" s="15"/>
      <c r="F382" s="25" t="s">
        <v>159</v>
      </c>
      <c r="G382" s="26">
        <v>0.15</v>
      </c>
      <c r="H382" s="26"/>
      <c r="I382" s="26">
        <v>16.344000000000001</v>
      </c>
      <c r="J382" s="27">
        <v>88.8</v>
      </c>
      <c r="M382" s="28">
        <f>ROUND(ROUND(J382, 2)*I382, 2)</f>
        <v>1451.35</v>
      </c>
      <c r="P382" s="27">
        <v>88.8</v>
      </c>
      <c r="S382" s="28">
        <f>ROUND(ROUND(P382, 2)*I382, 2)</f>
        <v>1451.35</v>
      </c>
      <c r="V382" s="9">
        <f>ROUND(ROUND(P382, 2)/1.2, 2)</f>
        <v>74</v>
      </c>
      <c r="Y382" s="9">
        <f t="shared" si="20"/>
        <v>1209.46</v>
      </c>
      <c r="AD382" s="4" t="s">
        <v>1508</v>
      </c>
      <c r="AE382" s="4" t="s">
        <v>1509</v>
      </c>
      <c r="AF382" s="4" t="s">
        <v>483</v>
      </c>
    </row>
    <row r="383" spans="1:35" ht="90" x14ac:dyDescent="0.3">
      <c r="A383" s="10" t="s">
        <v>1510</v>
      </c>
      <c r="B383" s="10"/>
      <c r="C383" s="30" t="s">
        <v>1472</v>
      </c>
      <c r="D383" s="15"/>
      <c r="E383" s="15" t="s">
        <v>1511</v>
      </c>
      <c r="F383" s="25" t="s">
        <v>159</v>
      </c>
      <c r="G383" s="26">
        <v>0.3</v>
      </c>
      <c r="H383" s="26"/>
      <c r="I383" s="26">
        <v>32.688000000000002</v>
      </c>
      <c r="J383" s="27">
        <v>105</v>
      </c>
      <c r="M383" s="28">
        <f>ROUND(ROUND(J383, 2)*I383, 2)</f>
        <v>3432.24</v>
      </c>
      <c r="P383" s="27">
        <v>105</v>
      </c>
      <c r="S383" s="28">
        <f>ROUND(ROUND(P383, 2)*I383, 2)</f>
        <v>3432.24</v>
      </c>
      <c r="V383" s="9">
        <f>ROUND(ROUND(P383, 2)/1.2, 2)</f>
        <v>87.5</v>
      </c>
      <c r="Y383" s="9">
        <f t="shared" si="20"/>
        <v>2860.2</v>
      </c>
      <c r="AD383" s="4" t="s">
        <v>1512</v>
      </c>
      <c r="AE383" s="4" t="s">
        <v>1513</v>
      </c>
      <c r="AF383" s="4" t="s">
        <v>1476</v>
      </c>
    </row>
    <row r="384" spans="1:35" ht="54" x14ac:dyDescent="0.3">
      <c r="A384" s="10" t="s">
        <v>1514</v>
      </c>
      <c r="B384" s="10" t="s">
        <v>1452</v>
      </c>
      <c r="C384" s="14" t="s">
        <v>1453</v>
      </c>
      <c r="D384" s="15"/>
      <c r="E384" s="15" t="s">
        <v>1515</v>
      </c>
      <c r="F384" s="15" t="s">
        <v>75</v>
      </c>
      <c r="G384" s="16">
        <v>1</v>
      </c>
      <c r="H384" s="16"/>
      <c r="I384" s="16">
        <v>138.57</v>
      </c>
      <c r="J384" s="17">
        <v>384.59</v>
      </c>
      <c r="K384" s="18">
        <v>464</v>
      </c>
      <c r="L384" s="17">
        <f>J384+ROUND(K384, 2)</f>
        <v>848.58999999999992</v>
      </c>
      <c r="M384" s="17">
        <v>53292.639999999999</v>
      </c>
      <c r="N384" s="17">
        <v>64296.480000000003</v>
      </c>
      <c r="O384" s="17">
        <f>M384+N384</f>
        <v>117589.12</v>
      </c>
      <c r="P384" s="17">
        <v>127.02</v>
      </c>
      <c r="Q384" s="18">
        <v>422</v>
      </c>
      <c r="R384" s="17">
        <f>P384+ROUND(Q384, 2)</f>
        <v>549.02</v>
      </c>
      <c r="S384" s="17">
        <v>17601.16</v>
      </c>
      <c r="T384" s="17">
        <v>58476.54</v>
      </c>
      <c r="U384" s="17">
        <f>S384+T384</f>
        <v>76077.7</v>
      </c>
      <c r="V384" s="9">
        <f>ROUND(P384 / 1.2, 2)</f>
        <v>105.85</v>
      </c>
      <c r="W384" s="9">
        <f>ROUND(Q384 / 1.2, 2)</f>
        <v>351.67</v>
      </c>
      <c r="X384" s="9">
        <f>ROUND(R384 / 1.2, 2)</f>
        <v>457.52</v>
      </c>
      <c r="Y384" s="9">
        <f t="shared" si="20"/>
        <v>14667.63</v>
      </c>
      <c r="Z384" s="9">
        <f>ROUND(T384 / 1.2, 2)</f>
        <v>48730.45</v>
      </c>
      <c r="AA384" s="9">
        <f>Y384+Z384</f>
        <v>63398.079999999994</v>
      </c>
      <c r="AD384" s="4">
        <v>339118943</v>
      </c>
      <c r="AE384" s="4">
        <v>28951763</v>
      </c>
      <c r="AG384" s="4" t="s">
        <v>1455</v>
      </c>
      <c r="AH384" s="4" t="s">
        <v>1456</v>
      </c>
      <c r="AI384" s="4" t="s">
        <v>156</v>
      </c>
    </row>
    <row r="385" spans="1:35" ht="144" x14ac:dyDescent="0.3">
      <c r="A385" s="10" t="s">
        <v>1516</v>
      </c>
      <c r="B385" s="10"/>
      <c r="C385" s="24" t="s">
        <v>1114</v>
      </c>
      <c r="D385" s="15"/>
      <c r="E385" s="15" t="s">
        <v>1517</v>
      </c>
      <c r="F385" s="25" t="s">
        <v>159</v>
      </c>
      <c r="G385" s="26">
        <v>0.3</v>
      </c>
      <c r="H385" s="26"/>
      <c r="I385" s="26">
        <v>41.570999999999998</v>
      </c>
      <c r="J385" s="27">
        <v>1236.8399999999999</v>
      </c>
      <c r="M385" s="28">
        <f>ROUND(ROUND(J385, 2)*I385, 2)</f>
        <v>51416.68</v>
      </c>
      <c r="P385" s="27">
        <v>378.25</v>
      </c>
      <c r="S385" s="28">
        <f>ROUND(ROUND(P385, 2)*I385, 2)</f>
        <v>15724.23</v>
      </c>
      <c r="V385" s="9">
        <f>ROUND(ROUND(P385, 2)/1.2, 2)</f>
        <v>315.20999999999998</v>
      </c>
      <c r="Y385" s="9">
        <f t="shared" si="20"/>
        <v>13103.53</v>
      </c>
      <c r="AD385" s="4" t="s">
        <v>1518</v>
      </c>
      <c r="AE385" s="4" t="s">
        <v>1519</v>
      </c>
      <c r="AF385" s="4" t="s">
        <v>1118</v>
      </c>
    </row>
    <row r="386" spans="1:35" ht="36" x14ac:dyDescent="0.3">
      <c r="A386" s="10" t="s">
        <v>1520</v>
      </c>
      <c r="B386" s="10"/>
      <c r="C386" s="24" t="s">
        <v>480</v>
      </c>
      <c r="D386" s="15"/>
      <c r="E386" s="15"/>
      <c r="F386" s="25" t="s">
        <v>159</v>
      </c>
      <c r="G386" s="26">
        <v>0.15</v>
      </c>
      <c r="H386" s="26"/>
      <c r="I386" s="26">
        <v>20.786000000000001</v>
      </c>
      <c r="J386" s="27">
        <v>90.28</v>
      </c>
      <c r="M386" s="28">
        <f>ROUND(ROUND(J386, 2)*I386, 2)</f>
        <v>1876.56</v>
      </c>
      <c r="P386" s="27">
        <v>90.28</v>
      </c>
      <c r="S386" s="28">
        <f>ROUND(ROUND(P386, 2)*I386, 2)</f>
        <v>1876.56</v>
      </c>
      <c r="V386" s="9">
        <f>ROUND(ROUND(P386, 2)/1.2, 2)</f>
        <v>75.23</v>
      </c>
      <c r="Y386" s="9">
        <f t="shared" si="20"/>
        <v>1563.8</v>
      </c>
      <c r="AD386" s="4" t="s">
        <v>1521</v>
      </c>
      <c r="AE386" s="4" t="s">
        <v>1522</v>
      </c>
      <c r="AF386" s="4" t="s">
        <v>483</v>
      </c>
    </row>
    <row r="387" spans="1:35" ht="54" x14ac:dyDescent="0.3">
      <c r="A387" s="10" t="s">
        <v>1523</v>
      </c>
      <c r="B387" s="10" t="s">
        <v>1452</v>
      </c>
      <c r="C387" s="14" t="s">
        <v>1453</v>
      </c>
      <c r="D387" s="15"/>
      <c r="E387" s="15" t="s">
        <v>1524</v>
      </c>
      <c r="F387" s="15" t="s">
        <v>75</v>
      </c>
      <c r="G387" s="16">
        <v>1</v>
      </c>
      <c r="H387" s="16"/>
      <c r="I387" s="16">
        <v>152.76</v>
      </c>
      <c r="J387" s="17">
        <v>384.59</v>
      </c>
      <c r="K387" s="18">
        <v>464</v>
      </c>
      <c r="L387" s="17">
        <f>J387+ROUND(K387, 2)</f>
        <v>848.58999999999992</v>
      </c>
      <c r="M387" s="17">
        <v>58749.97</v>
      </c>
      <c r="N387" s="17">
        <v>70880.639999999999</v>
      </c>
      <c r="O387" s="17">
        <f>M387+N387</f>
        <v>129630.61</v>
      </c>
      <c r="P387" s="17">
        <v>127.02</v>
      </c>
      <c r="Q387" s="18">
        <v>422</v>
      </c>
      <c r="R387" s="17">
        <f>P387+ROUND(Q387, 2)</f>
        <v>549.02</v>
      </c>
      <c r="S387" s="17">
        <v>19403.580000000002</v>
      </c>
      <c r="T387" s="17">
        <v>64464.72</v>
      </c>
      <c r="U387" s="17">
        <f>S387+T387</f>
        <v>83868.3</v>
      </c>
      <c r="V387" s="9">
        <f>ROUND(P387 / 1.2, 2)</f>
        <v>105.85</v>
      </c>
      <c r="W387" s="9">
        <f>ROUND(Q387 / 1.2, 2)</f>
        <v>351.67</v>
      </c>
      <c r="X387" s="9">
        <f>ROUND(R387 / 1.2, 2)</f>
        <v>457.52</v>
      </c>
      <c r="Y387" s="9">
        <f t="shared" si="20"/>
        <v>16169.65</v>
      </c>
      <c r="Z387" s="9">
        <f>ROUND(T387 / 1.2, 2)</f>
        <v>53720.6</v>
      </c>
      <c r="AA387" s="9">
        <f>Y387+Z387</f>
        <v>69890.25</v>
      </c>
      <c r="AD387" s="4">
        <v>339118944</v>
      </c>
      <c r="AE387" s="4">
        <v>28983435</v>
      </c>
      <c r="AG387" s="4" t="s">
        <v>1455</v>
      </c>
      <c r="AH387" s="4" t="s">
        <v>1456</v>
      </c>
      <c r="AI387" s="4" t="s">
        <v>156</v>
      </c>
    </row>
    <row r="388" spans="1:35" ht="36" x14ac:dyDescent="0.3">
      <c r="A388" s="10" t="s">
        <v>1525</v>
      </c>
      <c r="B388" s="10"/>
      <c r="C388" s="24" t="s">
        <v>480</v>
      </c>
      <c r="D388" s="15"/>
      <c r="E388" s="15"/>
      <c r="F388" s="25" t="s">
        <v>159</v>
      </c>
      <c r="G388" s="26">
        <v>0.15</v>
      </c>
      <c r="H388" s="26"/>
      <c r="I388" s="26">
        <v>22.914000000000001</v>
      </c>
      <c r="J388" s="27">
        <v>90.28</v>
      </c>
      <c r="M388" s="28">
        <f>ROUND(ROUND(J388, 2)*I388, 2)</f>
        <v>2068.6799999999998</v>
      </c>
      <c r="P388" s="27">
        <v>90.28</v>
      </c>
      <c r="S388" s="28">
        <f>ROUND(ROUND(P388, 2)*I388, 2)</f>
        <v>2068.6799999999998</v>
      </c>
      <c r="V388" s="9">
        <f>ROUND(ROUND(P388, 2)/1.2, 2)</f>
        <v>75.23</v>
      </c>
      <c r="Y388" s="9">
        <f t="shared" si="20"/>
        <v>1723.9</v>
      </c>
      <c r="AD388" s="4" t="s">
        <v>1526</v>
      </c>
      <c r="AE388" s="4" t="s">
        <v>1527</v>
      </c>
      <c r="AF388" s="4" t="s">
        <v>483</v>
      </c>
    </row>
    <row r="389" spans="1:35" ht="144" x14ac:dyDescent="0.3">
      <c r="A389" s="10" t="s">
        <v>1528</v>
      </c>
      <c r="B389" s="10"/>
      <c r="C389" s="24" t="s">
        <v>1114</v>
      </c>
      <c r="D389" s="15"/>
      <c r="E389" s="15" t="s">
        <v>1529</v>
      </c>
      <c r="F389" s="25" t="s">
        <v>159</v>
      </c>
      <c r="G389" s="26">
        <v>0.3</v>
      </c>
      <c r="H389" s="26"/>
      <c r="I389" s="26">
        <v>45.828000000000003</v>
      </c>
      <c r="J389" s="27">
        <v>1236.8399999999999</v>
      </c>
      <c r="M389" s="28">
        <f>ROUND(ROUND(J389, 2)*I389, 2)</f>
        <v>56681.9</v>
      </c>
      <c r="P389" s="27">
        <v>378.25</v>
      </c>
      <c r="S389" s="28">
        <f>ROUND(ROUND(P389, 2)*I389, 2)</f>
        <v>17334.439999999999</v>
      </c>
      <c r="V389" s="9">
        <f>ROUND(ROUND(P389, 2)/1.2, 2)</f>
        <v>315.20999999999998</v>
      </c>
      <c r="Y389" s="9">
        <f t="shared" si="20"/>
        <v>14445.37</v>
      </c>
      <c r="AD389" s="4" t="s">
        <v>1530</v>
      </c>
      <c r="AE389" s="4" t="s">
        <v>1531</v>
      </c>
      <c r="AF389" s="4" t="s">
        <v>1118</v>
      </c>
    </row>
    <row r="390" spans="1:35" ht="54" x14ac:dyDescent="0.3">
      <c r="A390" s="10" t="s">
        <v>1532</v>
      </c>
      <c r="B390" s="10" t="s">
        <v>1452</v>
      </c>
      <c r="C390" s="14" t="s">
        <v>1453</v>
      </c>
      <c r="D390" s="15"/>
      <c r="E390" s="15" t="s">
        <v>1533</v>
      </c>
      <c r="F390" s="15" t="s">
        <v>75</v>
      </c>
      <c r="G390" s="16">
        <v>1</v>
      </c>
      <c r="H390" s="16"/>
      <c r="I390" s="16">
        <v>152.76</v>
      </c>
      <c r="J390" s="17">
        <v>384.59</v>
      </c>
      <c r="K390" s="18">
        <v>464</v>
      </c>
      <c r="L390" s="17">
        <f>J390+ROUND(K390, 2)</f>
        <v>848.58999999999992</v>
      </c>
      <c r="M390" s="17">
        <v>58749.97</v>
      </c>
      <c r="N390" s="17">
        <v>70880.639999999999</v>
      </c>
      <c r="O390" s="17">
        <f>M390+N390</f>
        <v>129630.61</v>
      </c>
      <c r="P390" s="17">
        <v>127.02</v>
      </c>
      <c r="Q390" s="18">
        <v>422</v>
      </c>
      <c r="R390" s="17">
        <f>P390+ROUND(Q390, 2)</f>
        <v>549.02</v>
      </c>
      <c r="S390" s="17">
        <v>19403.580000000002</v>
      </c>
      <c r="T390" s="17">
        <v>64464.72</v>
      </c>
      <c r="U390" s="17">
        <f>S390+T390</f>
        <v>83868.3</v>
      </c>
      <c r="V390" s="9">
        <f>ROUND(P390 / 1.2, 2)</f>
        <v>105.85</v>
      </c>
      <c r="W390" s="9">
        <f>ROUND(Q390 / 1.2, 2)</f>
        <v>351.67</v>
      </c>
      <c r="X390" s="9">
        <f>ROUND(R390 / 1.2, 2)</f>
        <v>457.52</v>
      </c>
      <c r="Y390" s="9">
        <f t="shared" si="20"/>
        <v>16169.65</v>
      </c>
      <c r="Z390" s="9">
        <f>ROUND(T390 / 1.2, 2)</f>
        <v>53720.6</v>
      </c>
      <c r="AA390" s="9">
        <f>Y390+Z390</f>
        <v>69890.25</v>
      </c>
      <c r="AD390" s="4">
        <v>339118945</v>
      </c>
      <c r="AE390" s="4">
        <v>28983428</v>
      </c>
      <c r="AG390" s="4" t="s">
        <v>1455</v>
      </c>
      <c r="AH390" s="4" t="s">
        <v>1456</v>
      </c>
      <c r="AI390" s="4" t="s">
        <v>156</v>
      </c>
    </row>
    <row r="391" spans="1:35" ht="144" x14ac:dyDescent="0.3">
      <c r="A391" s="10" t="s">
        <v>1534</v>
      </c>
      <c r="B391" s="10"/>
      <c r="C391" s="24" t="s">
        <v>1114</v>
      </c>
      <c r="D391" s="15"/>
      <c r="E391" s="15" t="s">
        <v>1529</v>
      </c>
      <c r="F391" s="25" t="s">
        <v>159</v>
      </c>
      <c r="G391" s="26">
        <v>0.3</v>
      </c>
      <c r="H391" s="26"/>
      <c r="I391" s="26">
        <v>45.828000000000003</v>
      </c>
      <c r="J391" s="27">
        <v>1236.8399999999999</v>
      </c>
      <c r="M391" s="28">
        <f>ROUND(ROUND(J391, 2)*I391, 2)</f>
        <v>56681.9</v>
      </c>
      <c r="P391" s="27">
        <v>378.25</v>
      </c>
      <c r="S391" s="28">
        <f>ROUND(ROUND(P391, 2)*I391, 2)</f>
        <v>17334.439999999999</v>
      </c>
      <c r="V391" s="9">
        <f>ROUND(ROUND(P391, 2)/1.2, 2)</f>
        <v>315.20999999999998</v>
      </c>
      <c r="Y391" s="9">
        <f t="shared" si="20"/>
        <v>14445.37</v>
      </c>
      <c r="AD391" s="4" t="s">
        <v>1535</v>
      </c>
      <c r="AE391" s="4" t="s">
        <v>1536</v>
      </c>
      <c r="AF391" s="4" t="s">
        <v>1118</v>
      </c>
    </row>
    <row r="392" spans="1:35" ht="36" x14ac:dyDescent="0.3">
      <c r="A392" s="10" t="s">
        <v>1537</v>
      </c>
      <c r="B392" s="10"/>
      <c r="C392" s="24" t="s">
        <v>480</v>
      </c>
      <c r="D392" s="15"/>
      <c r="E392" s="15"/>
      <c r="F392" s="25" t="s">
        <v>159</v>
      </c>
      <c r="G392" s="26">
        <v>0.15</v>
      </c>
      <c r="H392" s="26"/>
      <c r="I392" s="26">
        <v>22.914000000000001</v>
      </c>
      <c r="J392" s="27">
        <v>90.28</v>
      </c>
      <c r="M392" s="28">
        <f>ROUND(ROUND(J392, 2)*I392, 2)</f>
        <v>2068.6799999999998</v>
      </c>
      <c r="P392" s="27">
        <v>90.28</v>
      </c>
      <c r="S392" s="28">
        <f>ROUND(ROUND(P392, 2)*I392, 2)</f>
        <v>2068.6799999999998</v>
      </c>
      <c r="V392" s="9">
        <f>ROUND(ROUND(P392, 2)/1.2, 2)</f>
        <v>75.23</v>
      </c>
      <c r="Y392" s="9">
        <f t="shared" si="20"/>
        <v>1723.9</v>
      </c>
      <c r="AD392" s="4" t="s">
        <v>1538</v>
      </c>
      <c r="AE392" s="4" t="s">
        <v>1539</v>
      </c>
      <c r="AF392" s="4" t="s">
        <v>483</v>
      </c>
    </row>
    <row r="393" spans="1:35" ht="16.95" customHeight="1" x14ac:dyDescent="0.3">
      <c r="A393" s="10" t="s">
        <v>1540</v>
      </c>
      <c r="B393" s="10" t="s">
        <v>1541</v>
      </c>
      <c r="C393" s="120" t="s">
        <v>1542</v>
      </c>
      <c r="D393" s="121"/>
      <c r="E393" s="121"/>
      <c r="F393" s="121"/>
      <c r="G393" s="121"/>
      <c r="H393" s="121"/>
      <c r="I393" s="122"/>
      <c r="M393" s="6">
        <f>SUM(M394,M396,M411,M426,M428,M430,M432,M433,M434,M435,M436,M437,M438,M439,M452)</f>
        <v>728858.16999999993</v>
      </c>
      <c r="N393" s="6">
        <f>SUM(N394,N396,N411,N426,N428,N430,N432,N433,N434,N435,N436,N437,N438,N439,N452)</f>
        <v>8180018.1400000006</v>
      </c>
      <c r="O393" s="6">
        <f>SUM(O394,O396,O411,O426,O428,O430,O432,O433,O434,O435,O436,O437,O438,O439,O452)</f>
        <v>8908876.3100000005</v>
      </c>
      <c r="S393" s="6">
        <f>SUM(S394,S396,S411,S426,S428,S430,S432,S433,S434,S435,S436,S437,S438,S439,S452)</f>
        <v>8275699.8499999996</v>
      </c>
      <c r="T393" s="6">
        <f>SUM(T394,T396,T411,T426,T428,T430,T432,T433,T434,T435,T436,T437,T438,T439,T452)</f>
        <v>8180018.1400000006</v>
      </c>
      <c r="U393" s="6">
        <f>SUM(U394,U396,U411,U426,U428,U430,U432,U433,U434,U435,U436,U437,U438,U439,U452)</f>
        <v>16455717.989999998</v>
      </c>
      <c r="Y393" s="9">
        <f>SUM(Y394,Y396,Y411,Y426,Y428,Y430,Y432,Y433,Y434,Y435,Y436,Y437,Y438,Y439,Y452)</f>
        <v>6896416.5499999998</v>
      </c>
      <c r="Z393" s="9">
        <f>SUM(Z394,Z396,Z411,Z426,Z428,Z430,Z432,Z433,Z434,Z435,Z436,Z437,Z438,Z439,Z452)</f>
        <v>6816681.8100000015</v>
      </c>
      <c r="AA393" s="9">
        <f>SUM(AA394,AA396,AA411,AA426,AA428,AA430,AA432,AA433,AA434,AA435,AA436,AA437,AA438,AA439,AA452)</f>
        <v>13713098.359999999</v>
      </c>
      <c r="AD393" s="4">
        <v>339118882</v>
      </c>
      <c r="AE393" s="4">
        <v>25887973</v>
      </c>
    </row>
    <row r="394" spans="1:35" ht="36" x14ac:dyDescent="0.3">
      <c r="A394" s="10" t="s">
        <v>1543</v>
      </c>
      <c r="B394" s="10" t="s">
        <v>1544</v>
      </c>
      <c r="C394" s="14" t="s">
        <v>1545</v>
      </c>
      <c r="D394" s="15"/>
      <c r="E394" s="15" t="s">
        <v>1454</v>
      </c>
      <c r="F394" s="15" t="s">
        <v>75</v>
      </c>
      <c r="G394" s="16">
        <v>1</v>
      </c>
      <c r="H394" s="16"/>
      <c r="I394" s="16">
        <v>259.14</v>
      </c>
      <c r="J394" s="17">
        <v>1430.65</v>
      </c>
      <c r="K394" s="18">
        <v>837</v>
      </c>
      <c r="L394" s="17">
        <f>J394+ROUND(K394, 2)</f>
        <v>2267.65</v>
      </c>
      <c r="M394" s="17">
        <v>370738.64</v>
      </c>
      <c r="N394" s="17">
        <v>216900.18</v>
      </c>
      <c r="O394" s="17">
        <f>M394+N394</f>
        <v>587638.82000000007</v>
      </c>
      <c r="P394" s="17">
        <v>1430.65</v>
      </c>
      <c r="Q394" s="18">
        <v>837</v>
      </c>
      <c r="R394" s="17">
        <f>P394+ROUND(Q394, 2)</f>
        <v>2267.65</v>
      </c>
      <c r="S394" s="17">
        <v>370738.64</v>
      </c>
      <c r="T394" s="17">
        <v>216900.18</v>
      </c>
      <c r="U394" s="17">
        <f>S394+T394</f>
        <v>587638.82000000007</v>
      </c>
      <c r="V394" s="9">
        <f>ROUND(P394 / 1.2, 2)</f>
        <v>1192.21</v>
      </c>
      <c r="W394" s="9">
        <f>ROUND(Q394 / 1.2, 2)</f>
        <v>697.5</v>
      </c>
      <c r="X394" s="9">
        <f>ROUND(R394 / 1.2, 2)</f>
        <v>1889.71</v>
      </c>
      <c r="Y394" s="9">
        <f>ROUND(S394 / 1.2, 2)</f>
        <v>308948.87</v>
      </c>
      <c r="Z394" s="9">
        <f>ROUND(T394 / 1.2, 2)</f>
        <v>180750.15</v>
      </c>
      <c r="AA394" s="9">
        <f>Y394+Z394</f>
        <v>489699.02</v>
      </c>
      <c r="AD394" s="4">
        <v>339118884</v>
      </c>
      <c r="AE394" s="4">
        <v>25888033</v>
      </c>
      <c r="AG394" s="4" t="s">
        <v>1546</v>
      </c>
      <c r="AH394" s="4" t="s">
        <v>1547</v>
      </c>
      <c r="AI394" s="4" t="s">
        <v>156</v>
      </c>
    </row>
    <row r="395" spans="1:35" ht="90" x14ac:dyDescent="0.3">
      <c r="A395" s="10" t="s">
        <v>1548</v>
      </c>
      <c r="B395" s="10"/>
      <c r="C395" s="30" t="s">
        <v>1549</v>
      </c>
      <c r="D395" s="15"/>
      <c r="E395" s="15" t="s">
        <v>1550</v>
      </c>
      <c r="F395" s="25" t="s">
        <v>75</v>
      </c>
      <c r="G395" s="26">
        <v>1.1000000000000001</v>
      </c>
      <c r="H395" s="32"/>
      <c r="I395" s="32">
        <v>285.05399999999997</v>
      </c>
      <c r="J395" s="27">
        <v>1300.5899999999999</v>
      </c>
      <c r="M395" s="28">
        <f>ROUND(ROUND(J395, 2)*I395, 2)</f>
        <v>370738.38</v>
      </c>
      <c r="P395" s="27">
        <v>1300.5899999999999</v>
      </c>
      <c r="S395" s="28">
        <f>ROUND(ROUND(P395, 2)*I395, 2)</f>
        <v>370738.38</v>
      </c>
      <c r="V395" s="9">
        <f>ROUND(ROUND(P395, 2)/1.2, 2)</f>
        <v>1083.83</v>
      </c>
      <c r="Y395" s="9">
        <f t="shared" ref="Y395:Y431" si="21">ROUND(S395 / 1.2, 2)</f>
        <v>308948.65000000002</v>
      </c>
      <c r="AD395" s="4" t="s">
        <v>1551</v>
      </c>
      <c r="AE395" s="4" t="s">
        <v>1552</v>
      </c>
      <c r="AF395" s="4" t="s">
        <v>1553</v>
      </c>
    </row>
    <row r="396" spans="1:35" ht="36" x14ac:dyDescent="0.3">
      <c r="A396" s="10" t="s">
        <v>1554</v>
      </c>
      <c r="B396" s="10" t="s">
        <v>1555</v>
      </c>
      <c r="C396" s="14" t="s">
        <v>1556</v>
      </c>
      <c r="D396" s="15"/>
      <c r="E396" s="15" t="s">
        <v>1399</v>
      </c>
      <c r="F396" s="15" t="s">
        <v>75</v>
      </c>
      <c r="G396" s="16">
        <v>1</v>
      </c>
      <c r="H396" s="16"/>
      <c r="I396" s="16">
        <v>465.96</v>
      </c>
      <c r="J396" s="17">
        <v>635.78</v>
      </c>
      <c r="K396" s="18">
        <v>1199</v>
      </c>
      <c r="L396" s="17">
        <f>J396+ROUND(K396, 2)</f>
        <v>1834.78</v>
      </c>
      <c r="M396" s="17">
        <v>296248.05</v>
      </c>
      <c r="N396" s="17">
        <v>558686.04</v>
      </c>
      <c r="O396" s="17">
        <f>M396+N396</f>
        <v>854934.09000000008</v>
      </c>
      <c r="P396" s="17">
        <v>635.78</v>
      </c>
      <c r="Q396" s="18">
        <v>1199</v>
      </c>
      <c r="R396" s="17">
        <f>P396+ROUND(Q396, 2)</f>
        <v>1834.78</v>
      </c>
      <c r="S396" s="17">
        <v>296248.05</v>
      </c>
      <c r="T396" s="17">
        <v>558686.04</v>
      </c>
      <c r="U396" s="17">
        <f>S396+T396</f>
        <v>854934.09000000008</v>
      </c>
      <c r="V396" s="9">
        <f>ROUND(P396 / 1.2, 2)</f>
        <v>529.82000000000005</v>
      </c>
      <c r="W396" s="9">
        <f>ROUND(Q396 / 1.2, 2)</f>
        <v>999.17</v>
      </c>
      <c r="X396" s="9">
        <f>ROUND(R396 / 1.2, 2)</f>
        <v>1528.98</v>
      </c>
      <c r="Y396" s="9">
        <f t="shared" si="21"/>
        <v>246873.38</v>
      </c>
      <c r="Z396" s="9">
        <f>ROUND(T396 / 1.2, 2)</f>
        <v>465571.7</v>
      </c>
      <c r="AA396" s="9">
        <f>Y396+Z396</f>
        <v>712445.08000000007</v>
      </c>
      <c r="AD396" s="4">
        <v>339118885</v>
      </c>
      <c r="AE396" s="4">
        <v>25888026</v>
      </c>
      <c r="AG396" s="4" t="s">
        <v>1557</v>
      </c>
      <c r="AH396" s="4" t="s">
        <v>1558</v>
      </c>
      <c r="AI396" s="4" t="s">
        <v>156</v>
      </c>
    </row>
    <row r="397" spans="1:35" ht="18" x14ac:dyDescent="0.3">
      <c r="A397" s="10" t="s">
        <v>1559</v>
      </c>
      <c r="B397" s="10"/>
      <c r="C397" s="24" t="s">
        <v>1560</v>
      </c>
      <c r="D397" s="15"/>
      <c r="E397" s="15"/>
      <c r="F397" s="25" t="s">
        <v>240</v>
      </c>
      <c r="G397" s="26">
        <v>15</v>
      </c>
      <c r="H397" s="26"/>
      <c r="I397" s="26">
        <v>6989.4</v>
      </c>
      <c r="J397" s="27">
        <v>0.95</v>
      </c>
      <c r="M397" s="28">
        <f t="shared" ref="M397:M410" si="22">ROUND(ROUND(J397, 2)*I397, 2)</f>
        <v>6639.93</v>
      </c>
      <c r="P397" s="27">
        <v>0.95</v>
      </c>
      <c r="S397" s="28">
        <f t="shared" ref="S397:S410" si="23">ROUND(ROUND(P397, 2)*I397, 2)</f>
        <v>6639.93</v>
      </c>
      <c r="V397" s="9">
        <f t="shared" ref="V397:V410" si="24">ROUND(ROUND(P397, 2)/1.2, 2)</f>
        <v>0.79</v>
      </c>
      <c r="Y397" s="9">
        <f t="shared" si="21"/>
        <v>5533.28</v>
      </c>
      <c r="AD397" s="4" t="s">
        <v>1561</v>
      </c>
      <c r="AE397" s="4" t="s">
        <v>1562</v>
      </c>
      <c r="AF397" s="4" t="s">
        <v>1563</v>
      </c>
    </row>
    <row r="398" spans="1:35" ht="18" x14ac:dyDescent="0.3">
      <c r="A398" s="10" t="s">
        <v>1564</v>
      </c>
      <c r="B398" s="10"/>
      <c r="C398" s="24" t="s">
        <v>1565</v>
      </c>
      <c r="D398" s="15"/>
      <c r="E398" s="15"/>
      <c r="F398" s="25" t="s">
        <v>240</v>
      </c>
      <c r="G398" s="26">
        <v>30</v>
      </c>
      <c r="H398" s="26"/>
      <c r="I398" s="26">
        <v>13978.8</v>
      </c>
      <c r="J398" s="27">
        <v>0.28000000000000003</v>
      </c>
      <c r="M398" s="28">
        <f t="shared" si="22"/>
        <v>3914.06</v>
      </c>
      <c r="P398" s="27">
        <v>0.28000000000000003</v>
      </c>
      <c r="S398" s="28">
        <f t="shared" si="23"/>
        <v>3914.06</v>
      </c>
      <c r="V398" s="9">
        <f t="shared" si="24"/>
        <v>0.23</v>
      </c>
      <c r="Y398" s="9">
        <f t="shared" si="21"/>
        <v>3261.72</v>
      </c>
      <c r="AD398" s="4" t="s">
        <v>1566</v>
      </c>
      <c r="AE398" s="4" t="s">
        <v>1567</v>
      </c>
      <c r="AF398" s="4" t="s">
        <v>1568</v>
      </c>
    </row>
    <row r="399" spans="1:35" ht="18" x14ac:dyDescent="0.3">
      <c r="A399" s="10" t="s">
        <v>1569</v>
      </c>
      <c r="B399" s="10"/>
      <c r="C399" s="24" t="s">
        <v>1570</v>
      </c>
      <c r="D399" s="15"/>
      <c r="E399" s="15"/>
      <c r="F399" s="25" t="s">
        <v>159</v>
      </c>
      <c r="G399" s="26">
        <v>0.35</v>
      </c>
      <c r="H399" s="26"/>
      <c r="I399" s="26">
        <v>163.08600000000001</v>
      </c>
      <c r="J399" s="27">
        <v>55</v>
      </c>
      <c r="M399" s="28">
        <f t="shared" si="22"/>
        <v>8969.73</v>
      </c>
      <c r="P399" s="27">
        <v>55</v>
      </c>
      <c r="S399" s="28">
        <f t="shared" si="23"/>
        <v>8969.73</v>
      </c>
      <c r="V399" s="9">
        <f t="shared" si="24"/>
        <v>45.83</v>
      </c>
      <c r="Y399" s="9">
        <f t="shared" si="21"/>
        <v>7474.78</v>
      </c>
      <c r="AD399" s="4" t="s">
        <v>1571</v>
      </c>
      <c r="AE399" s="4" t="s">
        <v>1572</v>
      </c>
      <c r="AF399" s="4" t="s">
        <v>1573</v>
      </c>
    </row>
    <row r="400" spans="1:35" ht="18" x14ac:dyDescent="0.3">
      <c r="A400" s="10" t="s">
        <v>1574</v>
      </c>
      <c r="B400" s="10"/>
      <c r="C400" s="24" t="s">
        <v>1575</v>
      </c>
      <c r="D400" s="15"/>
      <c r="E400" s="15"/>
      <c r="F400" s="25" t="s">
        <v>240</v>
      </c>
      <c r="G400" s="26">
        <v>0.3</v>
      </c>
      <c r="H400" s="26"/>
      <c r="I400" s="26">
        <v>139.78800000000001</v>
      </c>
      <c r="J400" s="27">
        <v>5.6</v>
      </c>
      <c r="M400" s="28">
        <f t="shared" si="22"/>
        <v>782.81</v>
      </c>
      <c r="P400" s="27">
        <v>5.6</v>
      </c>
      <c r="S400" s="28">
        <f t="shared" si="23"/>
        <v>782.81</v>
      </c>
      <c r="V400" s="9">
        <f t="shared" si="24"/>
        <v>4.67</v>
      </c>
      <c r="Y400" s="9">
        <f t="shared" si="21"/>
        <v>652.34</v>
      </c>
      <c r="AD400" s="4" t="s">
        <v>1576</v>
      </c>
      <c r="AE400" s="4" t="s">
        <v>1577</v>
      </c>
      <c r="AF400" s="4" t="s">
        <v>1578</v>
      </c>
    </row>
    <row r="401" spans="1:35" ht="36" x14ac:dyDescent="0.3">
      <c r="A401" s="10" t="s">
        <v>1579</v>
      </c>
      <c r="B401" s="10"/>
      <c r="C401" s="30" t="s">
        <v>1580</v>
      </c>
      <c r="D401" s="15"/>
      <c r="E401" s="15"/>
      <c r="F401" s="25" t="s">
        <v>240</v>
      </c>
      <c r="G401" s="26">
        <v>3.6</v>
      </c>
      <c r="H401" s="26"/>
      <c r="I401" s="26">
        <v>1677.4559999999999</v>
      </c>
      <c r="J401" s="27">
        <v>15.9</v>
      </c>
      <c r="M401" s="28">
        <f t="shared" si="22"/>
        <v>26671.55</v>
      </c>
      <c r="P401" s="27">
        <v>15.9</v>
      </c>
      <c r="S401" s="28">
        <f t="shared" si="23"/>
        <v>26671.55</v>
      </c>
      <c r="V401" s="9">
        <f t="shared" si="24"/>
        <v>13.25</v>
      </c>
      <c r="Y401" s="9">
        <f t="shared" si="21"/>
        <v>22226.29</v>
      </c>
      <c r="AD401" s="4" t="s">
        <v>1581</v>
      </c>
      <c r="AE401" s="4" t="s">
        <v>1582</v>
      </c>
      <c r="AF401" s="4" t="s">
        <v>1583</v>
      </c>
    </row>
    <row r="402" spans="1:35" ht="18" x14ac:dyDescent="0.3">
      <c r="A402" s="10" t="s">
        <v>1584</v>
      </c>
      <c r="B402" s="10"/>
      <c r="C402" s="24" t="s">
        <v>1585</v>
      </c>
      <c r="D402" s="15"/>
      <c r="E402" s="15"/>
      <c r="F402" s="25" t="s">
        <v>120</v>
      </c>
      <c r="G402" s="26">
        <v>1.2</v>
      </c>
      <c r="H402" s="26"/>
      <c r="I402" s="26">
        <v>559.15200000000004</v>
      </c>
      <c r="J402" s="27">
        <v>25.35</v>
      </c>
      <c r="M402" s="28">
        <f t="shared" si="22"/>
        <v>14174.5</v>
      </c>
      <c r="P402" s="27">
        <v>25.35</v>
      </c>
      <c r="S402" s="28">
        <f t="shared" si="23"/>
        <v>14174.5</v>
      </c>
      <c r="V402" s="9">
        <f t="shared" si="24"/>
        <v>21.13</v>
      </c>
      <c r="Y402" s="9">
        <f t="shared" si="21"/>
        <v>11812.08</v>
      </c>
      <c r="AD402" s="4" t="s">
        <v>1586</v>
      </c>
      <c r="AE402" s="4" t="s">
        <v>1587</v>
      </c>
      <c r="AF402" s="4" t="s">
        <v>1588</v>
      </c>
    </row>
    <row r="403" spans="1:35" ht="18" x14ac:dyDescent="0.3">
      <c r="A403" s="10" t="s">
        <v>1589</v>
      </c>
      <c r="B403" s="10"/>
      <c r="C403" s="24" t="s">
        <v>1590</v>
      </c>
      <c r="D403" s="15"/>
      <c r="E403" s="15"/>
      <c r="F403" s="25" t="s">
        <v>120</v>
      </c>
      <c r="G403" s="26">
        <v>4.7</v>
      </c>
      <c r="H403" s="26"/>
      <c r="I403" s="26">
        <v>2190.0120000000002</v>
      </c>
      <c r="J403" s="27">
        <v>66.98</v>
      </c>
      <c r="M403" s="28">
        <f t="shared" si="22"/>
        <v>146687</v>
      </c>
      <c r="P403" s="27">
        <v>66.98</v>
      </c>
      <c r="S403" s="28">
        <f t="shared" si="23"/>
        <v>146687</v>
      </c>
      <c r="V403" s="9">
        <f t="shared" si="24"/>
        <v>55.82</v>
      </c>
      <c r="Y403" s="9">
        <f t="shared" si="21"/>
        <v>122239.17</v>
      </c>
      <c r="AD403" s="4" t="s">
        <v>1591</v>
      </c>
      <c r="AE403" s="4" t="s">
        <v>1592</v>
      </c>
      <c r="AF403" s="4" t="s">
        <v>1593</v>
      </c>
    </row>
    <row r="404" spans="1:35" ht="18" x14ac:dyDescent="0.3">
      <c r="A404" s="10" t="s">
        <v>1594</v>
      </c>
      <c r="B404" s="10"/>
      <c r="C404" s="30" t="s">
        <v>1595</v>
      </c>
      <c r="D404" s="15"/>
      <c r="E404" s="15"/>
      <c r="F404" s="25" t="s">
        <v>240</v>
      </c>
      <c r="G404" s="26">
        <v>4.2</v>
      </c>
      <c r="H404" s="26"/>
      <c r="I404" s="26">
        <v>1957.0319999999999</v>
      </c>
      <c r="J404" s="27">
        <v>5.41</v>
      </c>
      <c r="M404" s="28">
        <f t="shared" si="22"/>
        <v>10587.54</v>
      </c>
      <c r="P404" s="27">
        <v>5.41</v>
      </c>
      <c r="S404" s="28">
        <f t="shared" si="23"/>
        <v>10587.54</v>
      </c>
      <c r="V404" s="9">
        <f t="shared" si="24"/>
        <v>4.51</v>
      </c>
      <c r="Y404" s="9">
        <f t="shared" si="21"/>
        <v>8822.9500000000007</v>
      </c>
      <c r="AD404" s="4" t="s">
        <v>1596</v>
      </c>
      <c r="AE404" s="4" t="s">
        <v>1597</v>
      </c>
      <c r="AF404" s="4" t="s">
        <v>1598</v>
      </c>
    </row>
    <row r="405" spans="1:35" ht="18" x14ac:dyDescent="0.3">
      <c r="A405" s="10" t="s">
        <v>1599</v>
      </c>
      <c r="B405" s="10"/>
      <c r="C405" s="24" t="s">
        <v>1600</v>
      </c>
      <c r="D405" s="15"/>
      <c r="E405" s="15"/>
      <c r="F405" s="25" t="s">
        <v>120</v>
      </c>
      <c r="G405" s="26">
        <v>1.05</v>
      </c>
      <c r="H405" s="26"/>
      <c r="I405" s="26">
        <v>489.25799999999998</v>
      </c>
      <c r="J405" s="27">
        <v>4.5999999999999996</v>
      </c>
      <c r="M405" s="28">
        <f t="shared" si="22"/>
        <v>2250.59</v>
      </c>
      <c r="P405" s="27">
        <v>4.5999999999999996</v>
      </c>
      <c r="S405" s="28">
        <f t="shared" si="23"/>
        <v>2250.59</v>
      </c>
      <c r="V405" s="9">
        <f t="shared" si="24"/>
        <v>3.83</v>
      </c>
      <c r="Y405" s="9">
        <f t="shared" si="21"/>
        <v>1875.49</v>
      </c>
      <c r="AD405" s="4" t="s">
        <v>1601</v>
      </c>
      <c r="AE405" s="4" t="s">
        <v>1602</v>
      </c>
      <c r="AF405" s="4" t="s">
        <v>1603</v>
      </c>
    </row>
    <row r="406" spans="1:35" ht="18" x14ac:dyDescent="0.3">
      <c r="A406" s="10" t="s">
        <v>1604</v>
      </c>
      <c r="B406" s="10"/>
      <c r="C406" s="24" t="s">
        <v>1605</v>
      </c>
      <c r="D406" s="15"/>
      <c r="E406" s="15"/>
      <c r="F406" s="25" t="s">
        <v>120</v>
      </c>
      <c r="G406" s="26">
        <v>1.25</v>
      </c>
      <c r="H406" s="26"/>
      <c r="I406" s="26">
        <v>582.45000000000005</v>
      </c>
      <c r="J406" s="27">
        <v>2.8</v>
      </c>
      <c r="M406" s="28">
        <f t="shared" si="22"/>
        <v>1630.86</v>
      </c>
      <c r="P406" s="27">
        <v>2.8</v>
      </c>
      <c r="S406" s="28">
        <f t="shared" si="23"/>
        <v>1630.86</v>
      </c>
      <c r="V406" s="9">
        <f t="shared" si="24"/>
        <v>2.33</v>
      </c>
      <c r="Y406" s="9">
        <f t="shared" si="21"/>
        <v>1359.05</v>
      </c>
      <c r="AD406" s="4" t="s">
        <v>1606</v>
      </c>
      <c r="AE406" s="4" t="s">
        <v>1607</v>
      </c>
      <c r="AF406" s="4" t="s">
        <v>1608</v>
      </c>
    </row>
    <row r="407" spans="1:35" ht="18" x14ac:dyDescent="0.3">
      <c r="A407" s="10" t="s">
        <v>1609</v>
      </c>
      <c r="B407" s="10"/>
      <c r="C407" s="24" t="s">
        <v>1610</v>
      </c>
      <c r="D407" s="15"/>
      <c r="E407" s="15"/>
      <c r="F407" s="25" t="s">
        <v>240</v>
      </c>
      <c r="G407" s="26">
        <v>6</v>
      </c>
      <c r="H407" s="26"/>
      <c r="I407" s="26">
        <v>2795.76</v>
      </c>
      <c r="J407" s="27">
        <v>0.9</v>
      </c>
      <c r="M407" s="28">
        <f t="shared" si="22"/>
        <v>2516.1799999999998</v>
      </c>
      <c r="P407" s="27">
        <v>0.9</v>
      </c>
      <c r="S407" s="28">
        <f t="shared" si="23"/>
        <v>2516.1799999999998</v>
      </c>
      <c r="V407" s="9">
        <f t="shared" si="24"/>
        <v>0.75</v>
      </c>
      <c r="Y407" s="9">
        <f t="shared" si="21"/>
        <v>2096.8200000000002</v>
      </c>
      <c r="AD407" s="4" t="s">
        <v>1611</v>
      </c>
      <c r="AE407" s="4" t="s">
        <v>1612</v>
      </c>
      <c r="AF407" s="4" t="s">
        <v>1613</v>
      </c>
    </row>
    <row r="408" spans="1:35" ht="36" x14ac:dyDescent="0.3">
      <c r="A408" s="10" t="s">
        <v>1614</v>
      </c>
      <c r="B408" s="10"/>
      <c r="C408" s="24" t="s">
        <v>480</v>
      </c>
      <c r="D408" s="15"/>
      <c r="E408" s="15"/>
      <c r="F408" s="25" t="s">
        <v>159</v>
      </c>
      <c r="G408" s="26">
        <v>0.1</v>
      </c>
      <c r="H408" s="26"/>
      <c r="I408" s="26">
        <v>46.595999999999997</v>
      </c>
      <c r="J408" s="27">
        <v>88.8</v>
      </c>
      <c r="M408" s="28">
        <f t="shared" si="22"/>
        <v>4137.72</v>
      </c>
      <c r="P408" s="27">
        <v>88.8</v>
      </c>
      <c r="S408" s="28">
        <f t="shared" si="23"/>
        <v>4137.72</v>
      </c>
      <c r="V408" s="9">
        <f t="shared" si="24"/>
        <v>74</v>
      </c>
      <c r="Y408" s="9">
        <f t="shared" si="21"/>
        <v>3448.1</v>
      </c>
      <c r="AD408" s="4" t="s">
        <v>1615</v>
      </c>
      <c r="AE408" s="4" t="s">
        <v>1616</v>
      </c>
      <c r="AF408" s="4" t="s">
        <v>483</v>
      </c>
    </row>
    <row r="409" spans="1:35" ht="54" x14ac:dyDescent="0.3">
      <c r="A409" s="10" t="s">
        <v>1617</v>
      </c>
      <c r="B409" s="10"/>
      <c r="C409" s="24" t="s">
        <v>1618</v>
      </c>
      <c r="D409" s="15"/>
      <c r="E409" s="15"/>
      <c r="F409" s="25" t="s">
        <v>75</v>
      </c>
      <c r="G409" s="26">
        <v>1.05</v>
      </c>
      <c r="H409" s="26"/>
      <c r="I409" s="26">
        <v>489.25799999999998</v>
      </c>
      <c r="J409" s="27">
        <v>135.53</v>
      </c>
      <c r="M409" s="28">
        <f t="shared" si="22"/>
        <v>66309.14</v>
      </c>
      <c r="P409" s="27">
        <v>135.53</v>
      </c>
      <c r="S409" s="28">
        <f t="shared" si="23"/>
        <v>66309.14</v>
      </c>
      <c r="V409" s="9">
        <f t="shared" si="24"/>
        <v>112.94</v>
      </c>
      <c r="Y409" s="9">
        <f t="shared" si="21"/>
        <v>55257.62</v>
      </c>
      <c r="AD409" s="4" t="s">
        <v>1619</v>
      </c>
      <c r="AE409" s="4" t="s">
        <v>1620</v>
      </c>
      <c r="AF409" s="4" t="s">
        <v>1621</v>
      </c>
    </row>
    <row r="410" spans="1:35" ht="18" x14ac:dyDescent="0.3">
      <c r="A410" s="10" t="s">
        <v>1622</v>
      </c>
      <c r="B410" s="10"/>
      <c r="C410" s="24" t="s">
        <v>1623</v>
      </c>
      <c r="D410" s="15"/>
      <c r="E410" s="15"/>
      <c r="F410" s="25" t="s">
        <v>240</v>
      </c>
      <c r="G410" s="26">
        <v>0.75</v>
      </c>
      <c r="H410" s="26"/>
      <c r="I410" s="26">
        <v>349.47</v>
      </c>
      <c r="J410" s="27">
        <v>2.8</v>
      </c>
      <c r="M410" s="28">
        <f t="shared" si="22"/>
        <v>978.52</v>
      </c>
      <c r="P410" s="27">
        <v>2.8</v>
      </c>
      <c r="S410" s="28">
        <f t="shared" si="23"/>
        <v>978.52</v>
      </c>
      <c r="V410" s="9">
        <f t="shared" si="24"/>
        <v>2.33</v>
      </c>
      <c r="Y410" s="9">
        <f t="shared" si="21"/>
        <v>815.43</v>
      </c>
      <c r="AD410" s="4" t="s">
        <v>1624</v>
      </c>
      <c r="AE410" s="4" t="s">
        <v>1625</v>
      </c>
      <c r="AF410" s="4" t="s">
        <v>1626</v>
      </c>
    </row>
    <row r="411" spans="1:35" ht="36" x14ac:dyDescent="0.3">
      <c r="A411" s="10" t="s">
        <v>1627</v>
      </c>
      <c r="B411" s="10" t="s">
        <v>1555</v>
      </c>
      <c r="C411" s="14" t="s">
        <v>1556</v>
      </c>
      <c r="D411" s="15"/>
      <c r="E411" s="15" t="s">
        <v>1628</v>
      </c>
      <c r="F411" s="15" t="s">
        <v>75</v>
      </c>
      <c r="G411" s="16">
        <v>1</v>
      </c>
      <c r="H411" s="16"/>
      <c r="I411" s="16">
        <v>108.96</v>
      </c>
      <c r="J411" s="17">
        <v>477.77</v>
      </c>
      <c r="K411" s="18">
        <v>1199</v>
      </c>
      <c r="L411" s="17">
        <f>J411+ROUND(K411, 2)</f>
        <v>1676.77</v>
      </c>
      <c r="M411" s="17">
        <v>52057.82</v>
      </c>
      <c r="N411" s="17">
        <v>130643.04</v>
      </c>
      <c r="O411" s="17">
        <f>M411+N411</f>
        <v>182700.86</v>
      </c>
      <c r="P411" s="17">
        <v>2255.5500000000002</v>
      </c>
      <c r="Q411" s="18">
        <v>1199</v>
      </c>
      <c r="R411" s="17">
        <f>P411+ROUND(Q411, 2)</f>
        <v>3454.55</v>
      </c>
      <c r="S411" s="17">
        <v>245764.73</v>
      </c>
      <c r="T411" s="17">
        <v>130643.04</v>
      </c>
      <c r="U411" s="17">
        <f>S411+T411</f>
        <v>376407.77</v>
      </c>
      <c r="V411" s="9">
        <f>ROUND(P411 / 1.2, 2)</f>
        <v>1879.63</v>
      </c>
      <c r="W411" s="9">
        <f>ROUND(Q411 / 1.2, 2)</f>
        <v>999.17</v>
      </c>
      <c r="X411" s="9">
        <f>ROUND(R411 / 1.2, 2)</f>
        <v>2878.79</v>
      </c>
      <c r="Y411" s="9">
        <f t="shared" si="21"/>
        <v>204803.94</v>
      </c>
      <c r="Z411" s="9">
        <f>ROUND(T411 / 1.2, 2)</f>
        <v>108869.2</v>
      </c>
      <c r="AA411" s="9">
        <f>Y411+Z411</f>
        <v>313673.14</v>
      </c>
      <c r="AD411" s="4">
        <v>339118946</v>
      </c>
      <c r="AE411" s="4">
        <v>25888000</v>
      </c>
      <c r="AG411" s="4" t="s">
        <v>1557</v>
      </c>
      <c r="AH411" s="4" t="s">
        <v>1558</v>
      </c>
      <c r="AI411" s="4" t="s">
        <v>156</v>
      </c>
    </row>
    <row r="412" spans="1:35" ht="18" x14ac:dyDescent="0.3">
      <c r="A412" s="10" t="s">
        <v>1629</v>
      </c>
      <c r="B412" s="10"/>
      <c r="C412" s="24" t="s">
        <v>1623</v>
      </c>
      <c r="D412" s="15"/>
      <c r="E412" s="15"/>
      <c r="F412" s="25" t="s">
        <v>240</v>
      </c>
      <c r="G412" s="26">
        <v>0.75</v>
      </c>
      <c r="H412" s="26"/>
      <c r="I412" s="26">
        <v>81.72</v>
      </c>
      <c r="J412" s="27">
        <v>2.8</v>
      </c>
      <c r="M412" s="28">
        <f t="shared" ref="M412:M425" si="25">ROUND(ROUND(J412, 2)*I412, 2)</f>
        <v>228.82</v>
      </c>
      <c r="P412" s="27">
        <v>2.8</v>
      </c>
      <c r="S412" s="28">
        <f t="shared" ref="S412:S425" si="26">ROUND(ROUND(P412, 2)*I412, 2)</f>
        <v>228.82</v>
      </c>
      <c r="V412" s="9">
        <f t="shared" ref="V412:V425" si="27">ROUND(ROUND(P412, 2)/1.2, 2)</f>
        <v>2.33</v>
      </c>
      <c r="Y412" s="9">
        <f t="shared" si="21"/>
        <v>190.68</v>
      </c>
      <c r="AD412" s="4" t="s">
        <v>1630</v>
      </c>
      <c r="AE412" s="4" t="s">
        <v>1631</v>
      </c>
      <c r="AF412" s="4" t="s">
        <v>1626</v>
      </c>
    </row>
    <row r="413" spans="1:35" ht="36" x14ac:dyDescent="0.3">
      <c r="A413" s="10" t="s">
        <v>1632</v>
      </c>
      <c r="B413" s="10"/>
      <c r="C413" s="24" t="s">
        <v>480</v>
      </c>
      <c r="D413" s="15"/>
      <c r="E413" s="15"/>
      <c r="F413" s="25" t="s">
        <v>159</v>
      </c>
      <c r="G413" s="26">
        <v>0.1</v>
      </c>
      <c r="H413" s="26"/>
      <c r="I413" s="26">
        <v>10.896000000000001</v>
      </c>
      <c r="J413" s="27">
        <v>88.8</v>
      </c>
      <c r="M413" s="28">
        <f t="shared" si="25"/>
        <v>967.56</v>
      </c>
      <c r="P413" s="27">
        <v>88.8</v>
      </c>
      <c r="S413" s="28">
        <f t="shared" si="26"/>
        <v>967.56</v>
      </c>
      <c r="V413" s="9">
        <f t="shared" si="27"/>
        <v>74</v>
      </c>
      <c r="Y413" s="9">
        <f t="shared" si="21"/>
        <v>806.3</v>
      </c>
      <c r="AD413" s="4" t="s">
        <v>1633</v>
      </c>
      <c r="AE413" s="4" t="s">
        <v>1634</v>
      </c>
      <c r="AF413" s="4" t="s">
        <v>483</v>
      </c>
    </row>
    <row r="414" spans="1:35" ht="18" x14ac:dyDescent="0.3">
      <c r="A414" s="10" t="s">
        <v>1635</v>
      </c>
      <c r="B414" s="10"/>
      <c r="C414" s="24" t="s">
        <v>1610</v>
      </c>
      <c r="D414" s="15"/>
      <c r="E414" s="15"/>
      <c r="F414" s="25" t="s">
        <v>240</v>
      </c>
      <c r="G414" s="26">
        <v>6</v>
      </c>
      <c r="H414" s="26"/>
      <c r="I414" s="26">
        <v>653.76</v>
      </c>
      <c r="J414" s="27">
        <v>0.9</v>
      </c>
      <c r="M414" s="28">
        <f t="shared" si="25"/>
        <v>588.38</v>
      </c>
      <c r="P414" s="27">
        <v>0.9</v>
      </c>
      <c r="S414" s="28">
        <f t="shared" si="26"/>
        <v>588.38</v>
      </c>
      <c r="V414" s="9">
        <f t="shared" si="27"/>
        <v>0.75</v>
      </c>
      <c r="Y414" s="9">
        <f t="shared" si="21"/>
        <v>490.32</v>
      </c>
      <c r="AD414" s="4" t="s">
        <v>1636</v>
      </c>
      <c r="AE414" s="4" t="s">
        <v>1637</v>
      </c>
      <c r="AF414" s="4" t="s">
        <v>1613</v>
      </c>
    </row>
    <row r="415" spans="1:35" ht="18" x14ac:dyDescent="0.3">
      <c r="A415" s="10" t="s">
        <v>1638</v>
      </c>
      <c r="B415" s="10"/>
      <c r="C415" s="24" t="s">
        <v>1605</v>
      </c>
      <c r="D415" s="15"/>
      <c r="E415" s="15"/>
      <c r="F415" s="25" t="s">
        <v>120</v>
      </c>
      <c r="G415" s="26">
        <v>1.25</v>
      </c>
      <c r="H415" s="26"/>
      <c r="I415" s="26">
        <v>136.19999999999999</v>
      </c>
      <c r="J415" s="27">
        <v>2.8</v>
      </c>
      <c r="M415" s="28">
        <f t="shared" si="25"/>
        <v>381.36</v>
      </c>
      <c r="P415" s="27">
        <v>2.8</v>
      </c>
      <c r="S415" s="28">
        <f t="shared" si="26"/>
        <v>381.36</v>
      </c>
      <c r="V415" s="9">
        <f t="shared" si="27"/>
        <v>2.33</v>
      </c>
      <c r="Y415" s="9">
        <f t="shared" si="21"/>
        <v>317.8</v>
      </c>
      <c r="AD415" s="4" t="s">
        <v>1639</v>
      </c>
      <c r="AE415" s="4" t="s">
        <v>1640</v>
      </c>
      <c r="AF415" s="4" t="s">
        <v>1608</v>
      </c>
    </row>
    <row r="416" spans="1:35" ht="18" x14ac:dyDescent="0.3">
      <c r="A416" s="10" t="s">
        <v>1641</v>
      </c>
      <c r="B416" s="10"/>
      <c r="C416" s="24" t="s">
        <v>1600</v>
      </c>
      <c r="D416" s="15"/>
      <c r="E416" s="15"/>
      <c r="F416" s="25" t="s">
        <v>120</v>
      </c>
      <c r="G416" s="26">
        <v>1.05</v>
      </c>
      <c r="H416" s="26"/>
      <c r="I416" s="26">
        <v>114.408</v>
      </c>
      <c r="J416" s="27">
        <v>4.5999999999999996</v>
      </c>
      <c r="M416" s="28">
        <f t="shared" si="25"/>
        <v>526.28</v>
      </c>
      <c r="P416" s="27">
        <v>4.5999999999999996</v>
      </c>
      <c r="S416" s="28">
        <f t="shared" si="26"/>
        <v>526.28</v>
      </c>
      <c r="V416" s="9">
        <f t="shared" si="27"/>
        <v>3.83</v>
      </c>
      <c r="Y416" s="9">
        <f t="shared" si="21"/>
        <v>438.57</v>
      </c>
      <c r="AD416" s="4" t="s">
        <v>1642</v>
      </c>
      <c r="AE416" s="4" t="s">
        <v>1643</v>
      </c>
      <c r="AF416" s="4" t="s">
        <v>1603</v>
      </c>
    </row>
    <row r="417" spans="1:35" ht="36" x14ac:dyDescent="0.3">
      <c r="A417" s="10" t="s">
        <v>1644</v>
      </c>
      <c r="B417" s="10"/>
      <c r="C417" s="24" t="s">
        <v>1645</v>
      </c>
      <c r="D417" s="15"/>
      <c r="E417" s="15"/>
      <c r="F417" s="25" t="s">
        <v>75</v>
      </c>
      <c r="G417" s="26">
        <v>1.05</v>
      </c>
      <c r="H417" s="26"/>
      <c r="I417" s="26">
        <v>114.408</v>
      </c>
      <c r="J417" s="27">
        <v>0</v>
      </c>
      <c r="M417" s="28">
        <f t="shared" si="25"/>
        <v>0</v>
      </c>
      <c r="P417" s="27">
        <v>1255.04</v>
      </c>
      <c r="S417" s="28">
        <f t="shared" si="26"/>
        <v>143586.62</v>
      </c>
      <c r="V417" s="9">
        <f t="shared" si="27"/>
        <v>1045.8699999999999</v>
      </c>
      <c r="Y417" s="9">
        <f t="shared" si="21"/>
        <v>119655.52</v>
      </c>
      <c r="AD417" s="4" t="s">
        <v>1646</v>
      </c>
      <c r="AE417" s="4" t="s">
        <v>1647</v>
      </c>
      <c r="AF417" s="4" t="s">
        <v>1648</v>
      </c>
    </row>
    <row r="418" spans="1:35" ht="18" x14ac:dyDescent="0.3">
      <c r="A418" s="10" t="s">
        <v>1649</v>
      </c>
      <c r="B418" s="10"/>
      <c r="C418" s="30" t="s">
        <v>1595</v>
      </c>
      <c r="D418" s="15"/>
      <c r="E418" s="15"/>
      <c r="F418" s="25" t="s">
        <v>240</v>
      </c>
      <c r="G418" s="26">
        <v>4.2</v>
      </c>
      <c r="H418" s="26"/>
      <c r="I418" s="26">
        <v>457.63200000000001</v>
      </c>
      <c r="J418" s="27">
        <v>5.41</v>
      </c>
      <c r="M418" s="28">
        <f t="shared" si="25"/>
        <v>2475.79</v>
      </c>
      <c r="P418" s="27">
        <v>5.41</v>
      </c>
      <c r="S418" s="28">
        <f t="shared" si="26"/>
        <v>2475.79</v>
      </c>
      <c r="V418" s="9">
        <f t="shared" si="27"/>
        <v>4.51</v>
      </c>
      <c r="Y418" s="9">
        <f t="shared" si="21"/>
        <v>2063.16</v>
      </c>
      <c r="AD418" s="4" t="s">
        <v>1650</v>
      </c>
      <c r="AE418" s="4" t="s">
        <v>1651</v>
      </c>
      <c r="AF418" s="4" t="s">
        <v>1598</v>
      </c>
    </row>
    <row r="419" spans="1:35" ht="18" x14ac:dyDescent="0.3">
      <c r="A419" s="10" t="s">
        <v>1652</v>
      </c>
      <c r="B419" s="10"/>
      <c r="C419" s="24" t="s">
        <v>1653</v>
      </c>
      <c r="D419" s="15"/>
      <c r="E419" s="15"/>
      <c r="F419" s="25" t="s">
        <v>120</v>
      </c>
      <c r="G419" s="26">
        <v>0.3</v>
      </c>
      <c r="H419" s="26"/>
      <c r="I419" s="26">
        <v>32.688000000000002</v>
      </c>
      <c r="J419" s="27">
        <v>49.04</v>
      </c>
      <c r="M419" s="28">
        <f t="shared" si="25"/>
        <v>1603.02</v>
      </c>
      <c r="P419" s="27">
        <v>49.04</v>
      </c>
      <c r="S419" s="28">
        <f t="shared" si="26"/>
        <v>1603.02</v>
      </c>
      <c r="V419" s="9">
        <f t="shared" si="27"/>
        <v>40.869999999999997</v>
      </c>
      <c r="Y419" s="9">
        <f t="shared" si="21"/>
        <v>1335.85</v>
      </c>
      <c r="AD419" s="4" t="s">
        <v>1654</v>
      </c>
      <c r="AE419" s="4" t="s">
        <v>1655</v>
      </c>
      <c r="AF419" s="4" t="s">
        <v>1656</v>
      </c>
    </row>
    <row r="420" spans="1:35" ht="18" x14ac:dyDescent="0.3">
      <c r="A420" s="10" t="s">
        <v>1657</v>
      </c>
      <c r="B420" s="10"/>
      <c r="C420" s="24" t="s">
        <v>1590</v>
      </c>
      <c r="D420" s="15"/>
      <c r="E420" s="15" t="s">
        <v>1658</v>
      </c>
      <c r="F420" s="25" t="s">
        <v>120</v>
      </c>
      <c r="G420" s="26">
        <v>4.7</v>
      </c>
      <c r="H420" s="26"/>
      <c r="I420" s="26">
        <v>512.11199999999997</v>
      </c>
      <c r="J420" s="27">
        <v>66.98</v>
      </c>
      <c r="M420" s="28">
        <f t="shared" si="25"/>
        <v>34301.26</v>
      </c>
      <c r="P420" s="27">
        <v>164.85</v>
      </c>
      <c r="S420" s="28">
        <f t="shared" si="26"/>
        <v>84421.66</v>
      </c>
      <c r="V420" s="9">
        <f t="shared" si="27"/>
        <v>137.38</v>
      </c>
      <c r="Y420" s="9">
        <f t="shared" si="21"/>
        <v>70351.38</v>
      </c>
      <c r="AD420" s="4" t="s">
        <v>1659</v>
      </c>
      <c r="AE420" s="4" t="s">
        <v>1660</v>
      </c>
      <c r="AF420" s="4" t="s">
        <v>1593</v>
      </c>
    </row>
    <row r="421" spans="1:35" ht="36" x14ac:dyDescent="0.3">
      <c r="A421" s="10" t="s">
        <v>1661</v>
      </c>
      <c r="B421" s="10"/>
      <c r="C421" s="30" t="s">
        <v>1580</v>
      </c>
      <c r="D421" s="15"/>
      <c r="E421" s="15"/>
      <c r="F421" s="25" t="s">
        <v>240</v>
      </c>
      <c r="G421" s="26">
        <v>3.6</v>
      </c>
      <c r="H421" s="26"/>
      <c r="I421" s="26">
        <v>392.25599999999997</v>
      </c>
      <c r="J421" s="27">
        <v>15.9</v>
      </c>
      <c r="M421" s="28">
        <f t="shared" si="25"/>
        <v>6236.87</v>
      </c>
      <c r="P421" s="27">
        <v>15.9</v>
      </c>
      <c r="S421" s="28">
        <f t="shared" si="26"/>
        <v>6236.87</v>
      </c>
      <c r="V421" s="9">
        <f t="shared" si="27"/>
        <v>13.25</v>
      </c>
      <c r="Y421" s="9">
        <f t="shared" si="21"/>
        <v>5197.3900000000003</v>
      </c>
      <c r="AD421" s="4" t="s">
        <v>1662</v>
      </c>
      <c r="AE421" s="4" t="s">
        <v>1663</v>
      </c>
      <c r="AF421" s="4" t="s">
        <v>1583</v>
      </c>
    </row>
    <row r="422" spans="1:35" ht="18" x14ac:dyDescent="0.3">
      <c r="A422" s="10" t="s">
        <v>1664</v>
      </c>
      <c r="B422" s="10"/>
      <c r="C422" s="24" t="s">
        <v>1575</v>
      </c>
      <c r="D422" s="15"/>
      <c r="E422" s="15"/>
      <c r="F422" s="25" t="s">
        <v>240</v>
      </c>
      <c r="G422" s="26">
        <v>0.3</v>
      </c>
      <c r="H422" s="26"/>
      <c r="I422" s="26">
        <v>32.688000000000002</v>
      </c>
      <c r="J422" s="27">
        <v>5.6</v>
      </c>
      <c r="M422" s="28">
        <f t="shared" si="25"/>
        <v>183.05</v>
      </c>
      <c r="P422" s="27">
        <v>5.6</v>
      </c>
      <c r="S422" s="28">
        <f t="shared" si="26"/>
        <v>183.05</v>
      </c>
      <c r="V422" s="9">
        <f t="shared" si="27"/>
        <v>4.67</v>
      </c>
      <c r="Y422" s="9">
        <f t="shared" si="21"/>
        <v>152.54</v>
      </c>
      <c r="AD422" s="4" t="s">
        <v>1665</v>
      </c>
      <c r="AE422" s="4" t="s">
        <v>1666</v>
      </c>
      <c r="AF422" s="4" t="s">
        <v>1578</v>
      </c>
    </row>
    <row r="423" spans="1:35" ht="18" x14ac:dyDescent="0.3">
      <c r="A423" s="10" t="s">
        <v>1667</v>
      </c>
      <c r="B423" s="10"/>
      <c r="C423" s="24" t="s">
        <v>1570</v>
      </c>
      <c r="D423" s="15"/>
      <c r="E423" s="15"/>
      <c r="F423" s="25" t="s">
        <v>159</v>
      </c>
      <c r="G423" s="26">
        <v>0.35</v>
      </c>
      <c r="H423" s="26"/>
      <c r="I423" s="26">
        <v>38.136000000000003</v>
      </c>
      <c r="J423" s="27">
        <v>55</v>
      </c>
      <c r="M423" s="28">
        <f t="shared" si="25"/>
        <v>2097.48</v>
      </c>
      <c r="P423" s="27">
        <v>55</v>
      </c>
      <c r="S423" s="28">
        <f t="shared" si="26"/>
        <v>2097.48</v>
      </c>
      <c r="V423" s="9">
        <f t="shared" si="27"/>
        <v>45.83</v>
      </c>
      <c r="Y423" s="9">
        <f t="shared" si="21"/>
        <v>1747.9</v>
      </c>
      <c r="AD423" s="4" t="s">
        <v>1668</v>
      </c>
      <c r="AE423" s="4" t="s">
        <v>1669</v>
      </c>
      <c r="AF423" s="4" t="s">
        <v>1573</v>
      </c>
    </row>
    <row r="424" spans="1:35" ht="18" x14ac:dyDescent="0.3">
      <c r="A424" s="10" t="s">
        <v>1670</v>
      </c>
      <c r="B424" s="10"/>
      <c r="C424" s="24" t="s">
        <v>1565</v>
      </c>
      <c r="D424" s="15"/>
      <c r="E424" s="15"/>
      <c r="F424" s="25" t="s">
        <v>240</v>
      </c>
      <c r="G424" s="26">
        <v>30</v>
      </c>
      <c r="H424" s="26"/>
      <c r="I424" s="26">
        <v>3268.8</v>
      </c>
      <c r="J424" s="27">
        <v>0.28000000000000003</v>
      </c>
      <c r="M424" s="28">
        <f t="shared" si="25"/>
        <v>915.26</v>
      </c>
      <c r="P424" s="27">
        <v>0.28000000000000003</v>
      </c>
      <c r="S424" s="28">
        <f t="shared" si="26"/>
        <v>915.26</v>
      </c>
      <c r="V424" s="9">
        <f t="shared" si="27"/>
        <v>0.23</v>
      </c>
      <c r="Y424" s="9">
        <f t="shared" si="21"/>
        <v>762.72</v>
      </c>
      <c r="AD424" s="4" t="s">
        <v>1671</v>
      </c>
      <c r="AE424" s="4" t="s">
        <v>1672</v>
      </c>
      <c r="AF424" s="4" t="s">
        <v>1568</v>
      </c>
    </row>
    <row r="425" spans="1:35" ht="18" x14ac:dyDescent="0.3">
      <c r="A425" s="10" t="s">
        <v>1673</v>
      </c>
      <c r="B425" s="10"/>
      <c r="C425" s="24" t="s">
        <v>1560</v>
      </c>
      <c r="D425" s="15"/>
      <c r="E425" s="15"/>
      <c r="F425" s="25" t="s">
        <v>240</v>
      </c>
      <c r="G425" s="26">
        <v>15</v>
      </c>
      <c r="H425" s="26"/>
      <c r="I425" s="26">
        <v>1634.4</v>
      </c>
      <c r="J425" s="27">
        <v>0.95</v>
      </c>
      <c r="M425" s="28">
        <f t="shared" si="25"/>
        <v>1552.68</v>
      </c>
      <c r="P425" s="27">
        <v>0.95</v>
      </c>
      <c r="S425" s="28">
        <f t="shared" si="26"/>
        <v>1552.68</v>
      </c>
      <c r="V425" s="9">
        <f t="shared" si="27"/>
        <v>0.79</v>
      </c>
      <c r="Y425" s="9">
        <f t="shared" si="21"/>
        <v>1293.9000000000001</v>
      </c>
      <c r="AD425" s="4" t="s">
        <v>1674</v>
      </c>
      <c r="AE425" s="4" t="s">
        <v>1675</v>
      </c>
      <c r="AF425" s="4" t="s">
        <v>1563</v>
      </c>
    </row>
    <row r="426" spans="1:35" ht="36" x14ac:dyDescent="0.3">
      <c r="A426" s="10" t="s">
        <v>1676</v>
      </c>
      <c r="B426" s="10" t="s">
        <v>1677</v>
      </c>
      <c r="C426" s="14" t="s">
        <v>1678</v>
      </c>
      <c r="D426" s="15"/>
      <c r="E426" s="15" t="s">
        <v>1679</v>
      </c>
      <c r="F426" s="15" t="s">
        <v>75</v>
      </c>
      <c r="G426" s="16">
        <v>1</v>
      </c>
      <c r="H426" s="16"/>
      <c r="I426" s="16">
        <v>2022.87</v>
      </c>
      <c r="J426" s="17">
        <v>0</v>
      </c>
      <c r="K426" s="18">
        <v>1499</v>
      </c>
      <c r="L426" s="17">
        <f>J426+ROUND(K426, 2)</f>
        <v>1499</v>
      </c>
      <c r="M426" s="17">
        <v>0</v>
      </c>
      <c r="N426" s="17">
        <v>3032282.13</v>
      </c>
      <c r="O426" s="17">
        <f>M426+N426</f>
        <v>3032282.13</v>
      </c>
      <c r="P426" s="17">
        <v>491.29</v>
      </c>
      <c r="Q426" s="18">
        <v>1499</v>
      </c>
      <c r="R426" s="17">
        <f>P426+ROUND(Q426, 2)</f>
        <v>1990.29</v>
      </c>
      <c r="S426" s="17">
        <v>993815.8</v>
      </c>
      <c r="T426" s="17">
        <v>3032282.13</v>
      </c>
      <c r="U426" s="17">
        <f>S426+T426</f>
        <v>4026097.9299999997</v>
      </c>
      <c r="V426" s="9">
        <f>ROUND(P426 / 1.2, 2)</f>
        <v>409.41</v>
      </c>
      <c r="W426" s="9">
        <f>ROUND(Q426 / 1.2, 2)</f>
        <v>1249.17</v>
      </c>
      <c r="X426" s="9">
        <f>ROUND(R426 / 1.2, 2)</f>
        <v>1658.58</v>
      </c>
      <c r="Y426" s="9">
        <f t="shared" si="21"/>
        <v>828179.83</v>
      </c>
      <c r="Z426" s="9">
        <f>ROUND(T426 / 1.2, 2)</f>
        <v>2526901.7799999998</v>
      </c>
      <c r="AA426" s="9">
        <f>Y426+Z426</f>
        <v>3355081.61</v>
      </c>
      <c r="AD426" s="4">
        <v>339118886</v>
      </c>
      <c r="AE426" s="4">
        <v>25887994</v>
      </c>
      <c r="AG426" s="4" t="s">
        <v>1680</v>
      </c>
      <c r="AH426" s="4" t="s">
        <v>1681</v>
      </c>
      <c r="AI426" s="4" t="s">
        <v>156</v>
      </c>
    </row>
    <row r="427" spans="1:35" ht="409.6" x14ac:dyDescent="0.3">
      <c r="A427" s="10" t="s">
        <v>1682</v>
      </c>
      <c r="B427" s="10"/>
      <c r="C427" s="24" t="s">
        <v>1683</v>
      </c>
      <c r="D427" s="15"/>
      <c r="E427" s="15" t="s">
        <v>1684</v>
      </c>
      <c r="F427" s="25" t="s">
        <v>75</v>
      </c>
      <c r="G427" s="26">
        <v>1</v>
      </c>
      <c r="H427" s="26"/>
      <c r="I427" s="26">
        <v>2022.87</v>
      </c>
      <c r="J427" s="27">
        <v>0</v>
      </c>
      <c r="M427" s="28">
        <f>ROUND(ROUND(J427, 2)*I427, 2)</f>
        <v>0</v>
      </c>
      <c r="P427" s="27">
        <v>491.29</v>
      </c>
      <c r="S427" s="28">
        <f>ROUND(ROUND(P427, 2)*I427, 2)</f>
        <v>993815.8</v>
      </c>
      <c r="V427" s="9">
        <f>ROUND(ROUND(P427, 2)/1.2, 2)</f>
        <v>409.41</v>
      </c>
      <c r="Y427" s="9">
        <f t="shared" si="21"/>
        <v>828179.83</v>
      </c>
      <c r="AD427" s="4" t="s">
        <v>1685</v>
      </c>
      <c r="AE427" s="4" t="s">
        <v>1686</v>
      </c>
      <c r="AF427" s="4" t="s">
        <v>1687</v>
      </c>
    </row>
    <row r="428" spans="1:35" ht="36" x14ac:dyDescent="0.3">
      <c r="A428" s="10" t="s">
        <v>1688</v>
      </c>
      <c r="B428" s="10" t="s">
        <v>1677</v>
      </c>
      <c r="C428" s="14" t="s">
        <v>1678</v>
      </c>
      <c r="D428" s="15"/>
      <c r="E428" s="15" t="s">
        <v>1689</v>
      </c>
      <c r="F428" s="15" t="s">
        <v>75</v>
      </c>
      <c r="G428" s="16">
        <v>1</v>
      </c>
      <c r="H428" s="16"/>
      <c r="I428" s="16">
        <v>2125.83</v>
      </c>
      <c r="J428" s="17">
        <v>0</v>
      </c>
      <c r="K428" s="18">
        <v>1499</v>
      </c>
      <c r="L428" s="17">
        <f>J428+ROUND(K428, 2)</f>
        <v>1499</v>
      </c>
      <c r="M428" s="17">
        <v>0</v>
      </c>
      <c r="N428" s="17">
        <v>3186619.17</v>
      </c>
      <c r="O428" s="17">
        <f>M428+N428</f>
        <v>3186619.17</v>
      </c>
      <c r="P428" s="17">
        <v>2784.75</v>
      </c>
      <c r="Q428" s="18">
        <v>1499</v>
      </c>
      <c r="R428" s="17">
        <f>P428+ROUND(Q428, 2)</f>
        <v>4283.75</v>
      </c>
      <c r="S428" s="17">
        <v>5919905.0899999999</v>
      </c>
      <c r="T428" s="17">
        <v>3186619.17</v>
      </c>
      <c r="U428" s="17">
        <f>S428+T428</f>
        <v>9106524.2599999998</v>
      </c>
      <c r="V428" s="9">
        <f>ROUND(P428 / 1.2, 2)</f>
        <v>2320.63</v>
      </c>
      <c r="W428" s="9">
        <f>ROUND(Q428 / 1.2, 2)</f>
        <v>1249.17</v>
      </c>
      <c r="X428" s="9">
        <f>ROUND(R428 / 1.2, 2)</f>
        <v>3569.79</v>
      </c>
      <c r="Y428" s="9">
        <f t="shared" si="21"/>
        <v>4933254.24</v>
      </c>
      <c r="Z428" s="9">
        <f>ROUND(T428 / 1.2, 2)</f>
        <v>2655515.98</v>
      </c>
      <c r="AA428" s="9">
        <f>Y428+Z428</f>
        <v>7588770.2200000007</v>
      </c>
      <c r="AD428" s="4">
        <v>339118947</v>
      </c>
      <c r="AE428" s="4">
        <v>25888029</v>
      </c>
      <c r="AG428" s="4" t="s">
        <v>1680</v>
      </c>
      <c r="AH428" s="4" t="s">
        <v>1681</v>
      </c>
      <c r="AI428" s="4" t="s">
        <v>156</v>
      </c>
    </row>
    <row r="429" spans="1:35" ht="324" x14ac:dyDescent="0.3">
      <c r="A429" s="10" t="s">
        <v>1690</v>
      </c>
      <c r="B429" s="10"/>
      <c r="C429" s="24" t="s">
        <v>1683</v>
      </c>
      <c r="D429" s="15"/>
      <c r="E429" s="15" t="s">
        <v>1691</v>
      </c>
      <c r="F429" s="25" t="s">
        <v>75</v>
      </c>
      <c r="G429" s="26">
        <v>1</v>
      </c>
      <c r="H429" s="26"/>
      <c r="I429" s="26">
        <v>2125.83</v>
      </c>
      <c r="J429" s="27">
        <v>0</v>
      </c>
      <c r="M429" s="28">
        <f>ROUND(ROUND(J429, 2)*I429, 2)</f>
        <v>0</v>
      </c>
      <c r="P429" s="27">
        <v>2784.75</v>
      </c>
      <c r="S429" s="28">
        <f>ROUND(ROUND(P429, 2)*I429, 2)</f>
        <v>5919905.0899999999</v>
      </c>
      <c r="V429" s="9">
        <f>ROUND(ROUND(P429, 2)/1.2, 2)</f>
        <v>2320.63</v>
      </c>
      <c r="Y429" s="9">
        <f t="shared" si="21"/>
        <v>4933254.24</v>
      </c>
      <c r="AD429" s="4" t="s">
        <v>1692</v>
      </c>
      <c r="AE429" s="4" t="s">
        <v>1693</v>
      </c>
      <c r="AF429" s="4" t="s">
        <v>1687</v>
      </c>
    </row>
    <row r="430" spans="1:35" ht="36" x14ac:dyDescent="0.3">
      <c r="A430" s="10" t="s">
        <v>1694</v>
      </c>
      <c r="B430" s="10" t="s">
        <v>1695</v>
      </c>
      <c r="C430" s="14" t="s">
        <v>1696</v>
      </c>
      <c r="D430" s="15"/>
      <c r="E430" s="15" t="s">
        <v>1697</v>
      </c>
      <c r="F430" s="15" t="s">
        <v>75</v>
      </c>
      <c r="G430" s="16">
        <v>1</v>
      </c>
      <c r="H430" s="16"/>
      <c r="I430" s="16">
        <v>220.44</v>
      </c>
      <c r="J430" s="17">
        <v>0</v>
      </c>
      <c r="K430" s="18">
        <v>1312</v>
      </c>
      <c r="L430" s="17">
        <f>J430+ROUND(K430, 2)</f>
        <v>1312</v>
      </c>
      <c r="M430" s="17">
        <v>0</v>
      </c>
      <c r="N430" s="17">
        <v>289217.28000000003</v>
      </c>
      <c r="O430" s="17">
        <f>M430+N430</f>
        <v>289217.28000000003</v>
      </c>
      <c r="P430" s="17">
        <v>1289.0999999999999</v>
      </c>
      <c r="Q430" s="18">
        <v>1312</v>
      </c>
      <c r="R430" s="17">
        <f>P430+ROUND(Q430, 2)</f>
        <v>2601.1</v>
      </c>
      <c r="S430" s="17">
        <v>284169.2</v>
      </c>
      <c r="T430" s="17">
        <v>289217.28000000003</v>
      </c>
      <c r="U430" s="17">
        <f>S430+T430</f>
        <v>573386.48</v>
      </c>
      <c r="V430" s="9">
        <f>ROUND(P430 / 1.2, 2)</f>
        <v>1074.25</v>
      </c>
      <c r="W430" s="9">
        <f>ROUND(Q430 / 1.2, 2)</f>
        <v>1093.33</v>
      </c>
      <c r="X430" s="9">
        <f>ROUND(R430 / 1.2, 2)</f>
        <v>2167.58</v>
      </c>
      <c r="Y430" s="9">
        <f t="shared" si="21"/>
        <v>236807.67</v>
      </c>
      <c r="Z430" s="9">
        <f>ROUND(T430 / 1.2, 2)</f>
        <v>241014.39999999999</v>
      </c>
      <c r="AA430" s="9">
        <f>Y430+Z430</f>
        <v>477822.07</v>
      </c>
      <c r="AD430" s="4">
        <v>339118887</v>
      </c>
      <c r="AE430" s="4">
        <v>25888022</v>
      </c>
      <c r="AG430" s="4" t="s">
        <v>1698</v>
      </c>
      <c r="AH430" s="4" t="s">
        <v>1699</v>
      </c>
      <c r="AI430" s="4" t="s">
        <v>156</v>
      </c>
    </row>
    <row r="431" spans="1:35" ht="234" x14ac:dyDescent="0.3">
      <c r="A431" s="10" t="s">
        <v>1700</v>
      </c>
      <c r="B431" s="10"/>
      <c r="C431" s="24" t="s">
        <v>1701</v>
      </c>
      <c r="D431" s="15"/>
      <c r="E431" s="15" t="s">
        <v>1702</v>
      </c>
      <c r="F431" s="25" t="s">
        <v>75</v>
      </c>
      <c r="G431" s="26">
        <v>1</v>
      </c>
      <c r="H431" s="32"/>
      <c r="I431" s="32">
        <v>243</v>
      </c>
      <c r="J431" s="27">
        <v>0</v>
      </c>
      <c r="M431" s="28">
        <f>ROUND(ROUND(J431, 2)*I431, 2)</f>
        <v>0</v>
      </c>
      <c r="P431" s="27">
        <v>1169.42</v>
      </c>
      <c r="S431" s="28">
        <f>ROUND(ROUND(P431, 2)*I431, 2)</f>
        <v>284169.06</v>
      </c>
      <c r="V431" s="9">
        <f>ROUND(ROUND(P431, 2)/1.2, 2)</f>
        <v>974.52</v>
      </c>
      <c r="Y431" s="9">
        <f t="shared" si="21"/>
        <v>236807.55</v>
      </c>
      <c r="AD431" s="4" t="s">
        <v>1703</v>
      </c>
      <c r="AE431" s="4" t="s">
        <v>1704</v>
      </c>
      <c r="AF431" s="4" t="s">
        <v>1705</v>
      </c>
    </row>
    <row r="432" spans="1:35" ht="54" x14ac:dyDescent="0.3">
      <c r="A432" s="10" t="s">
        <v>1706</v>
      </c>
      <c r="B432" s="10" t="s">
        <v>1707</v>
      </c>
      <c r="C432" s="14" t="s">
        <v>1708</v>
      </c>
      <c r="D432" s="15"/>
      <c r="E432" s="15" t="s">
        <v>1454</v>
      </c>
      <c r="F432" s="15" t="s">
        <v>75</v>
      </c>
      <c r="G432" s="16">
        <v>1</v>
      </c>
      <c r="H432" s="16"/>
      <c r="I432" s="16">
        <v>259.14</v>
      </c>
      <c r="J432" s="17">
        <v>0</v>
      </c>
      <c r="K432" s="18">
        <v>121</v>
      </c>
      <c r="L432" s="17">
        <f t="shared" ref="L432:L439" si="28">J432+ROUND(K432, 2)</f>
        <v>121</v>
      </c>
      <c r="M432" s="17">
        <v>0</v>
      </c>
      <c r="N432" s="17">
        <v>31355.94</v>
      </c>
      <c r="O432" s="17">
        <f t="shared" ref="O432:O439" si="29">M432+N432</f>
        <v>31355.94</v>
      </c>
      <c r="P432" s="17">
        <v>0</v>
      </c>
      <c r="Q432" s="18">
        <v>121</v>
      </c>
      <c r="R432" s="17">
        <f t="shared" ref="R432:R439" si="30">P432+ROUND(Q432, 2)</f>
        <v>121</v>
      </c>
      <c r="S432" s="17">
        <v>0</v>
      </c>
      <c r="T432" s="17">
        <v>31355.94</v>
      </c>
      <c r="U432" s="17">
        <f t="shared" ref="U432:U439" si="31">S432+T432</f>
        <v>31355.94</v>
      </c>
      <c r="V432" s="9"/>
      <c r="W432" s="9">
        <f t="shared" ref="W432:X439" si="32">ROUND(Q432 / 1.2, 2)</f>
        <v>100.83</v>
      </c>
      <c r="X432" s="9">
        <f t="shared" si="32"/>
        <v>100.83</v>
      </c>
      <c r="Y432" s="9"/>
      <c r="Z432" s="9">
        <f t="shared" ref="Z432:Z439" si="33">ROUND(T432 / 1.2, 2)</f>
        <v>26129.95</v>
      </c>
      <c r="AA432" s="9">
        <f t="shared" ref="AA432:AA439" si="34">Y432+Z432</f>
        <v>26129.95</v>
      </c>
      <c r="AD432" s="4">
        <v>339118889</v>
      </c>
      <c r="AE432" s="4">
        <v>25888032</v>
      </c>
      <c r="AG432" s="4" t="s">
        <v>1709</v>
      </c>
      <c r="AH432" s="4" t="s">
        <v>1710</v>
      </c>
      <c r="AI432" s="4" t="s">
        <v>156</v>
      </c>
    </row>
    <row r="433" spans="1:35" ht="54" x14ac:dyDescent="0.3">
      <c r="A433" s="10" t="s">
        <v>1711</v>
      </c>
      <c r="B433" s="10" t="s">
        <v>1707</v>
      </c>
      <c r="C433" s="14" t="s">
        <v>1708</v>
      </c>
      <c r="D433" s="15"/>
      <c r="E433" s="15" t="s">
        <v>1697</v>
      </c>
      <c r="F433" s="15" t="s">
        <v>75</v>
      </c>
      <c r="G433" s="16">
        <v>1</v>
      </c>
      <c r="H433" s="16"/>
      <c r="I433" s="16">
        <v>220.44</v>
      </c>
      <c r="J433" s="17">
        <v>0</v>
      </c>
      <c r="K433" s="18">
        <v>121</v>
      </c>
      <c r="L433" s="17">
        <f t="shared" si="28"/>
        <v>121</v>
      </c>
      <c r="M433" s="17">
        <v>0</v>
      </c>
      <c r="N433" s="17">
        <v>26673.24</v>
      </c>
      <c r="O433" s="17">
        <f t="shared" si="29"/>
        <v>26673.24</v>
      </c>
      <c r="P433" s="17">
        <v>0</v>
      </c>
      <c r="Q433" s="18">
        <v>121</v>
      </c>
      <c r="R433" s="17">
        <f t="shared" si="30"/>
        <v>121</v>
      </c>
      <c r="S433" s="17">
        <v>0</v>
      </c>
      <c r="T433" s="17">
        <v>26673.24</v>
      </c>
      <c r="U433" s="17">
        <f t="shared" si="31"/>
        <v>26673.24</v>
      </c>
      <c r="V433" s="9"/>
      <c r="W433" s="9">
        <f t="shared" si="32"/>
        <v>100.83</v>
      </c>
      <c r="X433" s="9">
        <f t="shared" si="32"/>
        <v>100.83</v>
      </c>
      <c r="Y433" s="9"/>
      <c r="Z433" s="9">
        <f t="shared" si="33"/>
        <v>22227.7</v>
      </c>
      <c r="AA433" s="9">
        <f t="shared" si="34"/>
        <v>22227.7</v>
      </c>
      <c r="AD433" s="4">
        <v>339118948</v>
      </c>
      <c r="AE433" s="4">
        <v>25888023</v>
      </c>
      <c r="AG433" s="4" t="s">
        <v>1709</v>
      </c>
      <c r="AH433" s="4" t="s">
        <v>1710</v>
      </c>
      <c r="AI433" s="4" t="s">
        <v>156</v>
      </c>
    </row>
    <row r="434" spans="1:35" ht="54" x14ac:dyDescent="0.3">
      <c r="A434" s="10" t="s">
        <v>1712</v>
      </c>
      <c r="B434" s="10" t="s">
        <v>1707</v>
      </c>
      <c r="C434" s="14" t="s">
        <v>1708</v>
      </c>
      <c r="D434" s="15"/>
      <c r="E434" s="15" t="s">
        <v>1679</v>
      </c>
      <c r="F434" s="15" t="s">
        <v>75</v>
      </c>
      <c r="G434" s="16">
        <v>1</v>
      </c>
      <c r="H434" s="16"/>
      <c r="I434" s="16">
        <v>2022.87</v>
      </c>
      <c r="J434" s="17">
        <v>0</v>
      </c>
      <c r="K434" s="18">
        <v>121</v>
      </c>
      <c r="L434" s="17">
        <f t="shared" si="28"/>
        <v>121</v>
      </c>
      <c r="M434" s="17">
        <v>0</v>
      </c>
      <c r="N434" s="17">
        <v>244767.27</v>
      </c>
      <c r="O434" s="17">
        <f t="shared" si="29"/>
        <v>244767.27</v>
      </c>
      <c r="P434" s="17">
        <v>0</v>
      </c>
      <c r="Q434" s="18">
        <v>121</v>
      </c>
      <c r="R434" s="17">
        <f t="shared" si="30"/>
        <v>121</v>
      </c>
      <c r="S434" s="17">
        <v>0</v>
      </c>
      <c r="T434" s="17">
        <v>244767.27</v>
      </c>
      <c r="U434" s="17">
        <f t="shared" si="31"/>
        <v>244767.27</v>
      </c>
      <c r="V434" s="9"/>
      <c r="W434" s="9">
        <f t="shared" si="32"/>
        <v>100.83</v>
      </c>
      <c r="X434" s="9">
        <f t="shared" si="32"/>
        <v>100.83</v>
      </c>
      <c r="Y434" s="9"/>
      <c r="Z434" s="9">
        <f t="shared" si="33"/>
        <v>203972.73</v>
      </c>
      <c r="AA434" s="9">
        <f t="shared" si="34"/>
        <v>203972.73</v>
      </c>
      <c r="AD434" s="4">
        <v>339118949</v>
      </c>
      <c r="AE434" s="4">
        <v>25887995</v>
      </c>
      <c r="AG434" s="4" t="s">
        <v>1709</v>
      </c>
      <c r="AH434" s="4" t="s">
        <v>1710</v>
      </c>
      <c r="AI434" s="4" t="s">
        <v>156</v>
      </c>
    </row>
    <row r="435" spans="1:35" ht="54" x14ac:dyDescent="0.3">
      <c r="A435" s="10" t="s">
        <v>1713</v>
      </c>
      <c r="B435" s="10" t="s">
        <v>1707</v>
      </c>
      <c r="C435" s="14" t="s">
        <v>1708</v>
      </c>
      <c r="D435" s="15"/>
      <c r="E435" s="15" t="s">
        <v>1689</v>
      </c>
      <c r="F435" s="15" t="s">
        <v>75</v>
      </c>
      <c r="G435" s="16">
        <v>1</v>
      </c>
      <c r="H435" s="16"/>
      <c r="I435" s="16">
        <v>2125.83</v>
      </c>
      <c r="J435" s="17">
        <v>0</v>
      </c>
      <c r="K435" s="18">
        <v>121</v>
      </c>
      <c r="L435" s="17">
        <f t="shared" si="28"/>
        <v>121</v>
      </c>
      <c r="M435" s="17">
        <v>0</v>
      </c>
      <c r="N435" s="17">
        <v>257225.43</v>
      </c>
      <c r="O435" s="17">
        <f t="shared" si="29"/>
        <v>257225.43</v>
      </c>
      <c r="P435" s="17">
        <v>0</v>
      </c>
      <c r="Q435" s="18">
        <v>121</v>
      </c>
      <c r="R435" s="17">
        <f t="shared" si="30"/>
        <v>121</v>
      </c>
      <c r="S435" s="17">
        <v>0</v>
      </c>
      <c r="T435" s="17">
        <v>257225.43</v>
      </c>
      <c r="U435" s="17">
        <f t="shared" si="31"/>
        <v>257225.43</v>
      </c>
      <c r="V435" s="9"/>
      <c r="W435" s="9">
        <f t="shared" si="32"/>
        <v>100.83</v>
      </c>
      <c r="X435" s="9">
        <f t="shared" si="32"/>
        <v>100.83</v>
      </c>
      <c r="Y435" s="9"/>
      <c r="Z435" s="9">
        <f t="shared" si="33"/>
        <v>214354.53</v>
      </c>
      <c r="AA435" s="9">
        <f t="shared" si="34"/>
        <v>214354.53</v>
      </c>
      <c r="AD435" s="4">
        <v>339118950</v>
      </c>
      <c r="AE435" s="4">
        <v>25888030</v>
      </c>
      <c r="AG435" s="4" t="s">
        <v>1709</v>
      </c>
      <c r="AH435" s="4" t="s">
        <v>1710</v>
      </c>
      <c r="AI435" s="4" t="s">
        <v>156</v>
      </c>
    </row>
    <row r="436" spans="1:35" ht="54" x14ac:dyDescent="0.3">
      <c r="A436" s="10" t="s">
        <v>1714</v>
      </c>
      <c r="B436" s="10" t="s">
        <v>1707</v>
      </c>
      <c r="C436" s="14" t="s">
        <v>1708</v>
      </c>
      <c r="D436" s="15"/>
      <c r="E436" s="15" t="s">
        <v>1399</v>
      </c>
      <c r="F436" s="15" t="s">
        <v>75</v>
      </c>
      <c r="G436" s="16">
        <v>1</v>
      </c>
      <c r="H436" s="16"/>
      <c r="I436" s="16">
        <v>465.96</v>
      </c>
      <c r="J436" s="17">
        <v>0</v>
      </c>
      <c r="K436" s="18">
        <v>121</v>
      </c>
      <c r="L436" s="17">
        <f t="shared" si="28"/>
        <v>121</v>
      </c>
      <c r="M436" s="17">
        <v>0</v>
      </c>
      <c r="N436" s="17">
        <v>56381.16</v>
      </c>
      <c r="O436" s="17">
        <f t="shared" si="29"/>
        <v>56381.16</v>
      </c>
      <c r="P436" s="17">
        <v>0</v>
      </c>
      <c r="Q436" s="18">
        <v>121</v>
      </c>
      <c r="R436" s="17">
        <f t="shared" si="30"/>
        <v>121</v>
      </c>
      <c r="S436" s="17">
        <v>0</v>
      </c>
      <c r="T436" s="17">
        <v>56381.16</v>
      </c>
      <c r="U436" s="17">
        <f t="shared" si="31"/>
        <v>56381.16</v>
      </c>
      <c r="V436" s="9"/>
      <c r="W436" s="9">
        <f t="shared" si="32"/>
        <v>100.83</v>
      </c>
      <c r="X436" s="9">
        <f t="shared" si="32"/>
        <v>100.83</v>
      </c>
      <c r="Y436" s="9"/>
      <c r="Z436" s="9">
        <f t="shared" si="33"/>
        <v>46984.3</v>
      </c>
      <c r="AA436" s="9">
        <f t="shared" si="34"/>
        <v>46984.3</v>
      </c>
      <c r="AD436" s="4">
        <v>339118951</v>
      </c>
      <c r="AE436" s="4">
        <v>25888028</v>
      </c>
      <c r="AG436" s="4" t="s">
        <v>1709</v>
      </c>
      <c r="AH436" s="4" t="s">
        <v>1710</v>
      </c>
      <c r="AI436" s="4" t="s">
        <v>156</v>
      </c>
    </row>
    <row r="437" spans="1:35" ht="54" x14ac:dyDescent="0.3">
      <c r="A437" s="10" t="s">
        <v>1715</v>
      </c>
      <c r="B437" s="10" t="s">
        <v>1707</v>
      </c>
      <c r="C437" s="14" t="s">
        <v>1708</v>
      </c>
      <c r="D437" s="15"/>
      <c r="E437" s="15" t="s">
        <v>1411</v>
      </c>
      <c r="F437" s="15" t="s">
        <v>75</v>
      </c>
      <c r="G437" s="16">
        <v>1</v>
      </c>
      <c r="H437" s="16"/>
      <c r="I437" s="16">
        <v>108.96</v>
      </c>
      <c r="J437" s="17">
        <v>0</v>
      </c>
      <c r="K437" s="18">
        <v>121</v>
      </c>
      <c r="L437" s="17">
        <f t="shared" si="28"/>
        <v>121</v>
      </c>
      <c r="M437" s="17">
        <v>0</v>
      </c>
      <c r="N437" s="17">
        <v>13184.16</v>
      </c>
      <c r="O437" s="17">
        <f t="shared" si="29"/>
        <v>13184.16</v>
      </c>
      <c r="P437" s="17">
        <v>0</v>
      </c>
      <c r="Q437" s="18">
        <v>121</v>
      </c>
      <c r="R437" s="17">
        <f t="shared" si="30"/>
        <v>121</v>
      </c>
      <c r="S437" s="17">
        <v>0</v>
      </c>
      <c r="T437" s="17">
        <v>13184.16</v>
      </c>
      <c r="U437" s="17">
        <f t="shared" si="31"/>
        <v>13184.16</v>
      </c>
      <c r="V437" s="9"/>
      <c r="W437" s="9">
        <f t="shared" si="32"/>
        <v>100.83</v>
      </c>
      <c r="X437" s="9">
        <f t="shared" si="32"/>
        <v>100.83</v>
      </c>
      <c r="Y437" s="9"/>
      <c r="Z437" s="9">
        <f t="shared" si="33"/>
        <v>10986.8</v>
      </c>
      <c r="AA437" s="9">
        <f t="shared" si="34"/>
        <v>10986.8</v>
      </c>
      <c r="AD437" s="4">
        <v>339118952</v>
      </c>
      <c r="AE437" s="4">
        <v>25887999</v>
      </c>
      <c r="AG437" s="4" t="s">
        <v>1709</v>
      </c>
      <c r="AH437" s="4" t="s">
        <v>1710</v>
      </c>
      <c r="AI437" s="4" t="s">
        <v>156</v>
      </c>
    </row>
    <row r="438" spans="1:35" ht="54" x14ac:dyDescent="0.3">
      <c r="A438" s="10" t="s">
        <v>1716</v>
      </c>
      <c r="B438" s="10" t="s">
        <v>1707</v>
      </c>
      <c r="C438" s="14" t="s">
        <v>1708</v>
      </c>
      <c r="D438" s="15"/>
      <c r="E438" s="15" t="s">
        <v>1717</v>
      </c>
      <c r="F438" s="15" t="s">
        <v>75</v>
      </c>
      <c r="G438" s="16">
        <v>1</v>
      </c>
      <c r="H438" s="16"/>
      <c r="I438" s="16">
        <v>116.67</v>
      </c>
      <c r="J438" s="17">
        <v>0</v>
      </c>
      <c r="K438" s="18">
        <v>121</v>
      </c>
      <c r="L438" s="17">
        <f t="shared" si="28"/>
        <v>121</v>
      </c>
      <c r="M438" s="17">
        <v>0</v>
      </c>
      <c r="N438" s="17">
        <v>14117.07</v>
      </c>
      <c r="O438" s="17">
        <f t="shared" si="29"/>
        <v>14117.07</v>
      </c>
      <c r="P438" s="17">
        <v>0</v>
      </c>
      <c r="Q438" s="18">
        <v>121</v>
      </c>
      <c r="R438" s="17">
        <f t="shared" si="30"/>
        <v>121</v>
      </c>
      <c r="S438" s="17">
        <v>0</v>
      </c>
      <c r="T438" s="17">
        <v>14117.07</v>
      </c>
      <c r="U438" s="17">
        <f t="shared" si="31"/>
        <v>14117.07</v>
      </c>
      <c r="V438" s="9"/>
      <c r="W438" s="9">
        <f t="shared" si="32"/>
        <v>100.83</v>
      </c>
      <c r="X438" s="9">
        <f t="shared" si="32"/>
        <v>100.83</v>
      </c>
      <c r="Y438" s="9"/>
      <c r="Z438" s="9">
        <f t="shared" si="33"/>
        <v>11764.23</v>
      </c>
      <c r="AA438" s="9">
        <f t="shared" si="34"/>
        <v>11764.23</v>
      </c>
      <c r="AD438" s="4">
        <v>339118953</v>
      </c>
      <c r="AE438" s="4">
        <v>28951765</v>
      </c>
      <c r="AG438" s="4" t="s">
        <v>1709</v>
      </c>
      <c r="AH438" s="4" t="s">
        <v>1710</v>
      </c>
      <c r="AI438" s="4" t="s">
        <v>156</v>
      </c>
    </row>
    <row r="439" spans="1:35" ht="54" x14ac:dyDescent="0.3">
      <c r="A439" s="10" t="s">
        <v>1718</v>
      </c>
      <c r="B439" s="10" t="s">
        <v>1719</v>
      </c>
      <c r="C439" s="14" t="s">
        <v>1720</v>
      </c>
      <c r="D439" s="15"/>
      <c r="E439" s="15" t="s">
        <v>1721</v>
      </c>
      <c r="F439" s="15" t="s">
        <v>75</v>
      </c>
      <c r="G439" s="16">
        <v>1</v>
      </c>
      <c r="H439" s="16"/>
      <c r="I439" s="16">
        <v>23.11</v>
      </c>
      <c r="J439" s="17">
        <v>424.65</v>
      </c>
      <c r="K439" s="18">
        <v>1379</v>
      </c>
      <c r="L439" s="17">
        <f t="shared" si="28"/>
        <v>1803.65</v>
      </c>
      <c r="M439" s="17">
        <v>9813.66</v>
      </c>
      <c r="N439" s="17">
        <v>31868.69</v>
      </c>
      <c r="O439" s="17">
        <f t="shared" si="29"/>
        <v>41682.35</v>
      </c>
      <c r="P439" s="17">
        <v>2163.4899999999998</v>
      </c>
      <c r="Q439" s="18">
        <v>1379</v>
      </c>
      <c r="R439" s="17">
        <f t="shared" si="30"/>
        <v>3542.49</v>
      </c>
      <c r="S439" s="17">
        <v>49998.25</v>
      </c>
      <c r="T439" s="17">
        <v>31868.69</v>
      </c>
      <c r="U439" s="17">
        <f t="shared" si="31"/>
        <v>81866.94</v>
      </c>
      <c r="V439" s="9">
        <f>ROUND(P439 / 1.2, 2)</f>
        <v>1802.91</v>
      </c>
      <c r="W439" s="9">
        <f t="shared" si="32"/>
        <v>1149.17</v>
      </c>
      <c r="X439" s="9">
        <f t="shared" si="32"/>
        <v>2952.08</v>
      </c>
      <c r="Y439" s="9">
        <f t="shared" ref="Y439:Y453" si="35">ROUND(S439 / 1.2, 2)</f>
        <v>41665.21</v>
      </c>
      <c r="Z439" s="9">
        <f t="shared" si="33"/>
        <v>26557.24</v>
      </c>
      <c r="AA439" s="9">
        <f t="shared" si="34"/>
        <v>68222.45</v>
      </c>
      <c r="AD439" s="4">
        <v>339118891</v>
      </c>
      <c r="AE439" s="4">
        <v>28951762</v>
      </c>
      <c r="AG439" s="4" t="s">
        <v>1722</v>
      </c>
      <c r="AH439" s="4" t="s">
        <v>1723</v>
      </c>
      <c r="AI439" s="4" t="s">
        <v>156</v>
      </c>
    </row>
    <row r="440" spans="1:35" ht="36" x14ac:dyDescent="0.3">
      <c r="A440" s="10" t="s">
        <v>1724</v>
      </c>
      <c r="B440" s="10"/>
      <c r="C440" s="24" t="s">
        <v>1725</v>
      </c>
      <c r="D440" s="15"/>
      <c r="E440" s="15"/>
      <c r="F440" s="25" t="s">
        <v>240</v>
      </c>
      <c r="G440" s="26">
        <v>1.5</v>
      </c>
      <c r="H440" s="26"/>
      <c r="I440" s="26">
        <v>34.664999999999999</v>
      </c>
      <c r="J440" s="27">
        <v>7.32</v>
      </c>
      <c r="M440" s="28">
        <f t="shared" ref="M440:M451" si="36">ROUND(ROUND(J440, 2)*I440, 2)</f>
        <v>253.75</v>
      </c>
      <c r="P440" s="27">
        <v>7.32</v>
      </c>
      <c r="S440" s="28">
        <f t="shared" ref="S440:S451" si="37">ROUND(ROUND(P440, 2)*I440, 2)</f>
        <v>253.75</v>
      </c>
      <c r="V440" s="9">
        <f t="shared" ref="V440:V451" si="38">ROUND(ROUND(P440, 2)/1.2, 2)</f>
        <v>6.1</v>
      </c>
      <c r="Y440" s="9">
        <f t="shared" si="35"/>
        <v>211.46</v>
      </c>
      <c r="AD440" s="4" t="s">
        <v>1726</v>
      </c>
      <c r="AE440" s="4" t="s">
        <v>1727</v>
      </c>
      <c r="AF440" s="4" t="s">
        <v>1728</v>
      </c>
    </row>
    <row r="441" spans="1:35" ht="18" x14ac:dyDescent="0.3">
      <c r="A441" s="10" t="s">
        <v>1729</v>
      </c>
      <c r="B441" s="10"/>
      <c r="C441" s="24" t="s">
        <v>1560</v>
      </c>
      <c r="D441" s="15"/>
      <c r="E441" s="15"/>
      <c r="F441" s="25" t="s">
        <v>240</v>
      </c>
      <c r="G441" s="26">
        <v>15</v>
      </c>
      <c r="H441" s="26"/>
      <c r="I441" s="26">
        <v>346.65</v>
      </c>
      <c r="J441" s="27">
        <v>0.96</v>
      </c>
      <c r="M441" s="28">
        <f t="shared" si="36"/>
        <v>332.78</v>
      </c>
      <c r="P441" s="27">
        <v>0.96</v>
      </c>
      <c r="S441" s="28">
        <f t="shared" si="37"/>
        <v>332.78</v>
      </c>
      <c r="V441" s="9">
        <f t="shared" si="38"/>
        <v>0.8</v>
      </c>
      <c r="Y441" s="9">
        <f t="shared" si="35"/>
        <v>277.32</v>
      </c>
      <c r="AD441" s="4" t="s">
        <v>1730</v>
      </c>
      <c r="AE441" s="4" t="s">
        <v>1731</v>
      </c>
      <c r="AF441" s="4" t="s">
        <v>1563</v>
      </c>
    </row>
    <row r="442" spans="1:35" ht="18" x14ac:dyDescent="0.3">
      <c r="A442" s="10" t="s">
        <v>1732</v>
      </c>
      <c r="B442" s="10"/>
      <c r="C442" s="24" t="s">
        <v>1653</v>
      </c>
      <c r="D442" s="15"/>
      <c r="E442" s="15"/>
      <c r="F442" s="25" t="s">
        <v>120</v>
      </c>
      <c r="G442" s="26">
        <v>0.3</v>
      </c>
      <c r="H442" s="26"/>
      <c r="I442" s="26">
        <v>6.9329999999999998</v>
      </c>
      <c r="J442" s="27">
        <v>44.87</v>
      </c>
      <c r="M442" s="28">
        <f t="shared" si="36"/>
        <v>311.08</v>
      </c>
      <c r="P442" s="27">
        <v>44.87</v>
      </c>
      <c r="S442" s="28">
        <f t="shared" si="37"/>
        <v>311.08</v>
      </c>
      <c r="V442" s="9">
        <f t="shared" si="38"/>
        <v>37.39</v>
      </c>
      <c r="Y442" s="9">
        <f t="shared" si="35"/>
        <v>259.23</v>
      </c>
      <c r="AD442" s="4" t="s">
        <v>1733</v>
      </c>
      <c r="AE442" s="4" t="s">
        <v>1734</v>
      </c>
      <c r="AF442" s="4" t="s">
        <v>1656</v>
      </c>
    </row>
    <row r="443" spans="1:35" ht="18" x14ac:dyDescent="0.3">
      <c r="A443" s="10" t="s">
        <v>1735</v>
      </c>
      <c r="B443" s="10"/>
      <c r="C443" s="24" t="s">
        <v>1590</v>
      </c>
      <c r="D443" s="15"/>
      <c r="E443" s="15"/>
      <c r="F443" s="25" t="s">
        <v>120</v>
      </c>
      <c r="G443" s="26">
        <v>4.7</v>
      </c>
      <c r="H443" s="26"/>
      <c r="I443" s="26">
        <v>108.617</v>
      </c>
      <c r="J443" s="27">
        <v>68.099999999999994</v>
      </c>
      <c r="M443" s="28">
        <f t="shared" si="36"/>
        <v>7396.82</v>
      </c>
      <c r="P443" s="27">
        <v>68.099999999999994</v>
      </c>
      <c r="S443" s="28">
        <f t="shared" si="37"/>
        <v>7396.82</v>
      </c>
      <c r="V443" s="9">
        <f t="shared" si="38"/>
        <v>56.75</v>
      </c>
      <c r="Y443" s="9">
        <f t="shared" si="35"/>
        <v>6164.02</v>
      </c>
      <c r="AD443" s="4" t="s">
        <v>1736</v>
      </c>
      <c r="AE443" s="4" t="s">
        <v>1737</v>
      </c>
      <c r="AF443" s="4" t="s">
        <v>1593</v>
      </c>
    </row>
    <row r="444" spans="1:35" ht="18" x14ac:dyDescent="0.3">
      <c r="A444" s="10" t="s">
        <v>1738</v>
      </c>
      <c r="B444" s="10"/>
      <c r="C444" s="30" t="s">
        <v>1595</v>
      </c>
      <c r="D444" s="15"/>
      <c r="E444" s="15"/>
      <c r="F444" s="25" t="s">
        <v>240</v>
      </c>
      <c r="G444" s="26">
        <v>4.2</v>
      </c>
      <c r="H444" s="26"/>
      <c r="I444" s="26">
        <v>97.061999999999998</v>
      </c>
      <c r="J444" s="27">
        <v>5</v>
      </c>
      <c r="M444" s="28">
        <f t="shared" si="36"/>
        <v>485.31</v>
      </c>
      <c r="P444" s="27">
        <v>5</v>
      </c>
      <c r="S444" s="28">
        <f t="shared" si="37"/>
        <v>485.31</v>
      </c>
      <c r="V444" s="9">
        <f t="shared" si="38"/>
        <v>4.17</v>
      </c>
      <c r="Y444" s="9">
        <f t="shared" si="35"/>
        <v>404.43</v>
      </c>
      <c r="AD444" s="4" t="s">
        <v>1739</v>
      </c>
      <c r="AE444" s="4" t="s">
        <v>1740</v>
      </c>
      <c r="AF444" s="4" t="s">
        <v>1598</v>
      </c>
    </row>
    <row r="445" spans="1:35" ht="18" x14ac:dyDescent="0.3">
      <c r="A445" s="10" t="s">
        <v>1741</v>
      </c>
      <c r="B445" s="10"/>
      <c r="C445" s="24" t="s">
        <v>1565</v>
      </c>
      <c r="D445" s="15"/>
      <c r="E445" s="15"/>
      <c r="F445" s="25" t="s">
        <v>240</v>
      </c>
      <c r="G445" s="26">
        <v>30</v>
      </c>
      <c r="H445" s="26"/>
      <c r="I445" s="26">
        <v>693.3</v>
      </c>
      <c r="J445" s="27">
        <v>0.28000000000000003</v>
      </c>
      <c r="M445" s="28">
        <f t="shared" si="36"/>
        <v>194.12</v>
      </c>
      <c r="P445" s="27">
        <v>0.28000000000000003</v>
      </c>
      <c r="S445" s="28">
        <f t="shared" si="37"/>
        <v>194.12</v>
      </c>
      <c r="V445" s="9">
        <f t="shared" si="38"/>
        <v>0.23</v>
      </c>
      <c r="Y445" s="9">
        <f t="shared" si="35"/>
        <v>161.77000000000001</v>
      </c>
      <c r="AD445" s="4" t="s">
        <v>1742</v>
      </c>
      <c r="AE445" s="4" t="s">
        <v>1743</v>
      </c>
      <c r="AF445" s="4" t="s">
        <v>1568</v>
      </c>
    </row>
    <row r="446" spans="1:35" ht="36" x14ac:dyDescent="0.3">
      <c r="A446" s="10" t="s">
        <v>1744</v>
      </c>
      <c r="B446" s="10"/>
      <c r="C446" s="24" t="s">
        <v>1645</v>
      </c>
      <c r="D446" s="15"/>
      <c r="E446" s="15"/>
      <c r="F446" s="25" t="s">
        <v>75</v>
      </c>
      <c r="G446" s="26">
        <v>1.05</v>
      </c>
      <c r="H446" s="26"/>
      <c r="I446" s="26">
        <v>24.265999999999998</v>
      </c>
      <c r="J446" s="27">
        <v>0</v>
      </c>
      <c r="M446" s="28">
        <f t="shared" si="36"/>
        <v>0</v>
      </c>
      <c r="P446" s="27">
        <v>1656</v>
      </c>
      <c r="S446" s="28">
        <f t="shared" si="37"/>
        <v>40184.5</v>
      </c>
      <c r="V446" s="9">
        <f t="shared" si="38"/>
        <v>1380</v>
      </c>
      <c r="Y446" s="9">
        <f t="shared" si="35"/>
        <v>33487.08</v>
      </c>
      <c r="AD446" s="4" t="s">
        <v>1745</v>
      </c>
      <c r="AE446" s="4" t="s">
        <v>1746</v>
      </c>
      <c r="AF446" s="4" t="s">
        <v>1648</v>
      </c>
    </row>
    <row r="447" spans="1:35" ht="18" x14ac:dyDescent="0.3">
      <c r="A447" s="10" t="s">
        <v>1747</v>
      </c>
      <c r="B447" s="10"/>
      <c r="C447" s="24" t="s">
        <v>1600</v>
      </c>
      <c r="D447" s="15"/>
      <c r="E447" s="15"/>
      <c r="F447" s="25" t="s">
        <v>120</v>
      </c>
      <c r="G447" s="26">
        <v>1.05</v>
      </c>
      <c r="H447" s="26"/>
      <c r="I447" s="26">
        <v>24.265999999999998</v>
      </c>
      <c r="J447" s="27">
        <v>4.67</v>
      </c>
      <c r="M447" s="28">
        <f t="shared" si="36"/>
        <v>113.32</v>
      </c>
      <c r="P447" s="27">
        <v>4.67</v>
      </c>
      <c r="S447" s="28">
        <f t="shared" si="37"/>
        <v>113.32</v>
      </c>
      <c r="V447" s="9">
        <f t="shared" si="38"/>
        <v>3.89</v>
      </c>
      <c r="Y447" s="9">
        <f t="shared" si="35"/>
        <v>94.43</v>
      </c>
      <c r="AD447" s="4" t="s">
        <v>1748</v>
      </c>
      <c r="AE447" s="4" t="s">
        <v>1749</v>
      </c>
      <c r="AF447" s="4" t="s">
        <v>1603</v>
      </c>
    </row>
    <row r="448" spans="1:35" ht="18" x14ac:dyDescent="0.3">
      <c r="A448" s="10" t="s">
        <v>1750</v>
      </c>
      <c r="B448" s="10"/>
      <c r="C448" s="24" t="s">
        <v>1570</v>
      </c>
      <c r="D448" s="15"/>
      <c r="E448" s="15"/>
      <c r="F448" s="25" t="s">
        <v>159</v>
      </c>
      <c r="G448" s="26">
        <v>0.35</v>
      </c>
      <c r="H448" s="26"/>
      <c r="I448" s="26">
        <v>8.0890000000000004</v>
      </c>
      <c r="J448" s="27">
        <v>55.91</v>
      </c>
      <c r="M448" s="28">
        <f t="shared" si="36"/>
        <v>452.26</v>
      </c>
      <c r="P448" s="27">
        <v>55.91</v>
      </c>
      <c r="S448" s="28">
        <f t="shared" si="37"/>
        <v>452.26</v>
      </c>
      <c r="V448" s="9">
        <f t="shared" si="38"/>
        <v>46.59</v>
      </c>
      <c r="Y448" s="9">
        <f t="shared" si="35"/>
        <v>376.88</v>
      </c>
      <c r="AD448" s="4" t="s">
        <v>1751</v>
      </c>
      <c r="AE448" s="4" t="s">
        <v>1752</v>
      </c>
      <c r="AF448" s="4" t="s">
        <v>1573</v>
      </c>
    </row>
    <row r="449" spans="1:35" ht="18" x14ac:dyDescent="0.3">
      <c r="A449" s="10" t="s">
        <v>1753</v>
      </c>
      <c r="B449" s="10"/>
      <c r="C449" s="24" t="s">
        <v>1605</v>
      </c>
      <c r="D449" s="15"/>
      <c r="E449" s="15"/>
      <c r="F449" s="25" t="s">
        <v>120</v>
      </c>
      <c r="G449" s="26">
        <v>0.25</v>
      </c>
      <c r="H449" s="26"/>
      <c r="I449" s="26">
        <v>5.7779999999999996</v>
      </c>
      <c r="J449" s="27">
        <v>2.84</v>
      </c>
      <c r="M449" s="28">
        <f t="shared" si="36"/>
        <v>16.41</v>
      </c>
      <c r="P449" s="27">
        <v>2.84</v>
      </c>
      <c r="S449" s="28">
        <f t="shared" si="37"/>
        <v>16.41</v>
      </c>
      <c r="V449" s="9">
        <f t="shared" si="38"/>
        <v>2.37</v>
      </c>
      <c r="Y449" s="9">
        <f t="shared" si="35"/>
        <v>13.68</v>
      </c>
      <c r="AD449" s="4" t="s">
        <v>1754</v>
      </c>
      <c r="AE449" s="4" t="s">
        <v>1755</v>
      </c>
      <c r="AF449" s="4" t="s">
        <v>1608</v>
      </c>
    </row>
    <row r="450" spans="1:35" ht="36" x14ac:dyDescent="0.3">
      <c r="A450" s="10" t="s">
        <v>1756</v>
      </c>
      <c r="B450" s="10"/>
      <c r="C450" s="24" t="s">
        <v>169</v>
      </c>
      <c r="D450" s="15"/>
      <c r="E450" s="15"/>
      <c r="F450" s="25" t="s">
        <v>159</v>
      </c>
      <c r="G450" s="26">
        <v>0.1</v>
      </c>
      <c r="H450" s="26"/>
      <c r="I450" s="26">
        <v>2.3109999999999999</v>
      </c>
      <c r="J450" s="27">
        <v>90.28</v>
      </c>
      <c r="M450" s="28">
        <f t="shared" si="36"/>
        <v>208.64</v>
      </c>
      <c r="P450" s="27">
        <v>90.28</v>
      </c>
      <c r="S450" s="28">
        <f t="shared" si="37"/>
        <v>208.64</v>
      </c>
      <c r="V450" s="9">
        <f t="shared" si="38"/>
        <v>75.23</v>
      </c>
      <c r="Y450" s="9">
        <f t="shared" si="35"/>
        <v>173.87</v>
      </c>
      <c r="AD450" s="4" t="s">
        <v>1757</v>
      </c>
      <c r="AE450" s="4" t="s">
        <v>1758</v>
      </c>
      <c r="AF450" s="4" t="s">
        <v>172</v>
      </c>
    </row>
    <row r="451" spans="1:35" ht="18" x14ac:dyDescent="0.3">
      <c r="A451" s="10" t="s">
        <v>1759</v>
      </c>
      <c r="B451" s="10"/>
      <c r="C451" s="24" t="s">
        <v>1623</v>
      </c>
      <c r="D451" s="15"/>
      <c r="E451" s="15"/>
      <c r="F451" s="25" t="s">
        <v>240</v>
      </c>
      <c r="G451" s="26">
        <v>0.75</v>
      </c>
      <c r="H451" s="26"/>
      <c r="I451" s="26">
        <v>17.332999999999998</v>
      </c>
      <c r="J451" s="27">
        <v>2.84</v>
      </c>
      <c r="M451" s="28">
        <f t="shared" si="36"/>
        <v>49.23</v>
      </c>
      <c r="P451" s="27">
        <v>2.84</v>
      </c>
      <c r="S451" s="28">
        <f t="shared" si="37"/>
        <v>49.23</v>
      </c>
      <c r="V451" s="9">
        <f t="shared" si="38"/>
        <v>2.37</v>
      </c>
      <c r="Y451" s="9">
        <f t="shared" si="35"/>
        <v>41.03</v>
      </c>
      <c r="AD451" s="4" t="s">
        <v>1760</v>
      </c>
      <c r="AE451" s="4" t="s">
        <v>1761</v>
      </c>
      <c r="AF451" s="4" t="s">
        <v>1626</v>
      </c>
    </row>
    <row r="452" spans="1:35" ht="54" x14ac:dyDescent="0.3">
      <c r="A452" s="10" t="s">
        <v>1762</v>
      </c>
      <c r="B452" s="10" t="s">
        <v>1763</v>
      </c>
      <c r="C452" s="14" t="s">
        <v>1764</v>
      </c>
      <c r="D452" s="15"/>
      <c r="E452" s="15" t="s">
        <v>1765</v>
      </c>
      <c r="F452" s="15" t="s">
        <v>75</v>
      </c>
      <c r="G452" s="16">
        <v>1</v>
      </c>
      <c r="H452" s="16"/>
      <c r="I452" s="16">
        <v>93.56</v>
      </c>
      <c r="J452" s="17">
        <v>0</v>
      </c>
      <c r="K452" s="18">
        <v>962.99</v>
      </c>
      <c r="L452" s="17">
        <f>J452+ROUND(K452, 2)</f>
        <v>962.99</v>
      </c>
      <c r="M452" s="17">
        <v>0</v>
      </c>
      <c r="N452" s="17">
        <v>90097.34</v>
      </c>
      <c r="O452" s="17">
        <f>M452+N452</f>
        <v>90097.34</v>
      </c>
      <c r="P452" s="17">
        <v>1229.8</v>
      </c>
      <c r="Q452" s="18">
        <v>962.99</v>
      </c>
      <c r="R452" s="17">
        <f>P452+ROUND(Q452, 2)</f>
        <v>2192.79</v>
      </c>
      <c r="S452" s="17">
        <v>115060.09</v>
      </c>
      <c r="T452" s="17">
        <v>90097.34</v>
      </c>
      <c r="U452" s="17">
        <f>S452+T452</f>
        <v>205157.43</v>
      </c>
      <c r="V452" s="9">
        <f>ROUND(P452 / 1.2, 2)</f>
        <v>1024.83</v>
      </c>
      <c r="W452" s="9">
        <f>ROUND(Q452 / 1.2, 2)</f>
        <v>802.49</v>
      </c>
      <c r="X452" s="9">
        <f>ROUND(R452 / 1.2, 2)</f>
        <v>1827.33</v>
      </c>
      <c r="Y452" s="9">
        <f t="shared" si="35"/>
        <v>95883.41</v>
      </c>
      <c r="Z452" s="9">
        <f>ROUND(T452 / 1.2, 2)</f>
        <v>75081.119999999995</v>
      </c>
      <c r="AA452" s="9">
        <f>Y452+Z452</f>
        <v>170964.53</v>
      </c>
      <c r="AD452" s="4">
        <v>339118892</v>
      </c>
      <c r="AE452" s="4">
        <v>28951764</v>
      </c>
      <c r="AG452" s="4" t="s">
        <v>1766</v>
      </c>
      <c r="AH452" s="4" t="s">
        <v>1767</v>
      </c>
      <c r="AI452" s="4" t="s">
        <v>156</v>
      </c>
    </row>
    <row r="453" spans="1:35" ht="198" x14ac:dyDescent="0.3">
      <c r="A453" s="10" t="s">
        <v>1768</v>
      </c>
      <c r="B453" s="10"/>
      <c r="C453" s="24" t="s">
        <v>1769</v>
      </c>
      <c r="D453" s="15"/>
      <c r="E453" s="15" t="s">
        <v>1770</v>
      </c>
      <c r="F453" s="25" t="s">
        <v>75</v>
      </c>
      <c r="G453" s="26">
        <v>1</v>
      </c>
      <c r="H453" s="32"/>
      <c r="I453" s="32">
        <v>93.56</v>
      </c>
      <c r="J453" s="27">
        <v>0</v>
      </c>
      <c r="M453" s="28">
        <f>ROUND(ROUND(J453, 2)*I453, 2)</f>
        <v>0</v>
      </c>
      <c r="P453" s="27">
        <v>1229.8</v>
      </c>
      <c r="S453" s="28">
        <f>ROUND(ROUND(P453, 2)*I453, 2)</f>
        <v>115060.09</v>
      </c>
      <c r="V453" s="9">
        <f>ROUND(ROUND(P453, 2)/1.2, 2)</f>
        <v>1024.83</v>
      </c>
      <c r="Y453" s="9">
        <f t="shared" si="35"/>
        <v>95883.41</v>
      </c>
      <c r="AD453" s="4" t="s">
        <v>1771</v>
      </c>
      <c r="AE453" s="4" t="s">
        <v>1772</v>
      </c>
      <c r="AF453" s="4" t="s">
        <v>1773</v>
      </c>
    </row>
    <row r="454" spans="1:35" ht="16.95" customHeight="1" x14ac:dyDescent="0.3">
      <c r="A454" s="10" t="s">
        <v>1774</v>
      </c>
      <c r="B454" s="10" t="s">
        <v>1775</v>
      </c>
      <c r="C454" s="120" t="s">
        <v>1776</v>
      </c>
      <c r="D454" s="121"/>
      <c r="E454" s="121"/>
      <c r="F454" s="121"/>
      <c r="G454" s="121"/>
      <c r="H454" s="121"/>
      <c r="I454" s="122"/>
      <c r="M454" s="6">
        <f>SUM(M455,M456,M457,M458,M459)</f>
        <v>0</v>
      </c>
      <c r="N454" s="6">
        <f>SUM(N455,N456,N457,N458,N459)</f>
        <v>3674361.84</v>
      </c>
      <c r="O454" s="6">
        <f>SUM(O455,O456,O457,O458,O459)</f>
        <v>3674361.84</v>
      </c>
      <c r="S454" s="6">
        <f>SUM(S455,S456,S457,S458,S459)</f>
        <v>0</v>
      </c>
      <c r="T454" s="6">
        <f>SUM(T455,T456,T457,T458,T459)</f>
        <v>3674361.84</v>
      </c>
      <c r="U454" s="6">
        <f>SUM(U455,U456,U457,U458,U459)</f>
        <v>3674361.84</v>
      </c>
      <c r="Y454" s="9">
        <f>SUM(Y455,Y456,Y457,Y458,Y459)</f>
        <v>0</v>
      </c>
      <c r="Z454" s="9">
        <f>SUM(Z455,Z456,Z457,Z458,Z459)</f>
        <v>3061968.2</v>
      </c>
      <c r="AA454" s="9">
        <f>SUM(AA455,AA456,AA457,AA458,AA459)</f>
        <v>3061968.2</v>
      </c>
      <c r="AD454" s="4">
        <v>339118893</v>
      </c>
      <c r="AE454" s="4">
        <v>25887931</v>
      </c>
    </row>
    <row r="455" spans="1:35" ht="18" x14ac:dyDescent="0.3">
      <c r="A455" s="10" t="s">
        <v>1777</v>
      </c>
      <c r="B455" s="10" t="s">
        <v>1778</v>
      </c>
      <c r="C455" s="14" t="s">
        <v>1779</v>
      </c>
      <c r="D455" s="15"/>
      <c r="E455" s="15" t="s">
        <v>1780</v>
      </c>
      <c r="F455" s="15" t="s">
        <v>75</v>
      </c>
      <c r="G455" s="16">
        <v>1</v>
      </c>
      <c r="H455" s="16"/>
      <c r="I455" s="16">
        <v>6759.6</v>
      </c>
      <c r="J455" s="17">
        <v>0</v>
      </c>
      <c r="K455" s="18">
        <v>120</v>
      </c>
      <c r="L455" s="17">
        <f>J455+ROUND(K455, 2)</f>
        <v>120</v>
      </c>
      <c r="M455" s="17">
        <v>0</v>
      </c>
      <c r="N455" s="17">
        <v>811152</v>
      </c>
      <c r="O455" s="17">
        <f t="shared" ref="O455:O460" si="39">M455+N455</f>
        <v>811152</v>
      </c>
      <c r="P455" s="17">
        <v>0</v>
      </c>
      <c r="Q455" s="18">
        <v>120</v>
      </c>
      <c r="R455" s="17">
        <f>P455+ROUND(Q455, 2)</f>
        <v>120</v>
      </c>
      <c r="S455" s="17">
        <v>0</v>
      </c>
      <c r="T455" s="17">
        <v>811152</v>
      </c>
      <c r="U455" s="17">
        <f t="shared" ref="U455:U460" si="40">S455+T455</f>
        <v>811152</v>
      </c>
      <c r="V455" s="9"/>
      <c r="W455" s="9">
        <f t="shared" ref="W455:X459" si="41">ROUND(Q455 / 1.2, 2)</f>
        <v>100</v>
      </c>
      <c r="X455" s="9">
        <f t="shared" si="41"/>
        <v>100</v>
      </c>
      <c r="Y455" s="9"/>
      <c r="Z455" s="9">
        <f>ROUND(T455 / 1.2, 2)</f>
        <v>675960</v>
      </c>
      <c r="AA455" s="9">
        <f t="shared" ref="AA455:AA460" si="42">Y455+Z455</f>
        <v>675960</v>
      </c>
      <c r="AD455" s="4">
        <v>339118895</v>
      </c>
      <c r="AE455" s="4">
        <v>25888016</v>
      </c>
      <c r="AG455" s="4" t="s">
        <v>1781</v>
      </c>
      <c r="AH455" s="4" t="s">
        <v>1782</v>
      </c>
      <c r="AI455" s="4" t="s">
        <v>156</v>
      </c>
    </row>
    <row r="456" spans="1:35" ht="18" x14ac:dyDescent="0.3">
      <c r="A456" s="10" t="s">
        <v>1783</v>
      </c>
      <c r="B456" s="10" t="s">
        <v>1778</v>
      </c>
      <c r="C456" s="14" t="s">
        <v>1779</v>
      </c>
      <c r="D456" s="15"/>
      <c r="E456" s="15"/>
      <c r="F456" s="15" t="s">
        <v>75</v>
      </c>
      <c r="G456" s="16">
        <v>1</v>
      </c>
      <c r="H456" s="16"/>
      <c r="I456" s="16">
        <v>6759.6</v>
      </c>
      <c r="J456" s="17">
        <v>0</v>
      </c>
      <c r="K456" s="18">
        <v>120</v>
      </c>
      <c r="L456" s="17">
        <f>J456+ROUND(K456, 2)</f>
        <v>120</v>
      </c>
      <c r="M456" s="17">
        <v>0</v>
      </c>
      <c r="N456" s="17">
        <v>811152</v>
      </c>
      <c r="O456" s="17">
        <f t="shared" si="39"/>
        <v>811152</v>
      </c>
      <c r="P456" s="17">
        <v>0</v>
      </c>
      <c r="Q456" s="18">
        <v>120</v>
      </c>
      <c r="R456" s="17">
        <f>P456+ROUND(Q456, 2)</f>
        <v>120</v>
      </c>
      <c r="S456" s="17">
        <v>0</v>
      </c>
      <c r="T456" s="17">
        <v>811152</v>
      </c>
      <c r="U456" s="17">
        <f t="shared" si="40"/>
        <v>811152</v>
      </c>
      <c r="V456" s="9"/>
      <c r="W456" s="9">
        <f t="shared" si="41"/>
        <v>100</v>
      </c>
      <c r="X456" s="9">
        <f t="shared" si="41"/>
        <v>100</v>
      </c>
      <c r="Y456" s="9"/>
      <c r="Z456" s="9">
        <f>ROUND(T456 / 1.2, 2)</f>
        <v>675960</v>
      </c>
      <c r="AA456" s="9">
        <f t="shared" si="42"/>
        <v>675960</v>
      </c>
      <c r="AD456" s="4">
        <v>339118954</v>
      </c>
      <c r="AE456" s="4">
        <v>25887947</v>
      </c>
      <c r="AG456" s="4" t="s">
        <v>1781</v>
      </c>
      <c r="AH456" s="4" t="s">
        <v>1782</v>
      </c>
      <c r="AI456" s="4" t="s">
        <v>156</v>
      </c>
    </row>
    <row r="457" spans="1:35" ht="18" x14ac:dyDescent="0.3">
      <c r="A457" s="10" t="s">
        <v>1784</v>
      </c>
      <c r="B457" s="10" t="s">
        <v>1778</v>
      </c>
      <c r="C457" s="14" t="s">
        <v>1779</v>
      </c>
      <c r="D457" s="15"/>
      <c r="E457" s="15"/>
      <c r="F457" s="15" t="s">
        <v>75</v>
      </c>
      <c r="G457" s="16">
        <v>1</v>
      </c>
      <c r="H457" s="16"/>
      <c r="I457" s="16">
        <v>6759.6</v>
      </c>
      <c r="J457" s="17">
        <v>0</v>
      </c>
      <c r="K457" s="18">
        <v>120</v>
      </c>
      <c r="L457" s="17">
        <f>J457+ROUND(K457, 2)</f>
        <v>120</v>
      </c>
      <c r="M457" s="17">
        <v>0</v>
      </c>
      <c r="N457" s="17">
        <v>811152</v>
      </c>
      <c r="O457" s="17">
        <f t="shared" si="39"/>
        <v>811152</v>
      </c>
      <c r="P457" s="17">
        <v>0</v>
      </c>
      <c r="Q457" s="18">
        <v>120</v>
      </c>
      <c r="R457" s="17">
        <f>P457+ROUND(Q457, 2)</f>
        <v>120</v>
      </c>
      <c r="S457" s="17">
        <v>0</v>
      </c>
      <c r="T457" s="17">
        <v>811152</v>
      </c>
      <c r="U457" s="17">
        <f t="shared" si="40"/>
        <v>811152</v>
      </c>
      <c r="V457" s="9"/>
      <c r="W457" s="9">
        <f t="shared" si="41"/>
        <v>100</v>
      </c>
      <c r="X457" s="9">
        <f t="shared" si="41"/>
        <v>100</v>
      </c>
      <c r="Y457" s="9"/>
      <c r="Z457" s="9">
        <f>ROUND(T457 / 1.2, 2)</f>
        <v>675960</v>
      </c>
      <c r="AA457" s="9">
        <f t="shared" si="42"/>
        <v>675960</v>
      </c>
      <c r="AD457" s="4">
        <v>339118955</v>
      </c>
      <c r="AE457" s="4">
        <v>25887948</v>
      </c>
      <c r="AG457" s="4" t="s">
        <v>1781</v>
      </c>
      <c r="AH457" s="4" t="s">
        <v>1782</v>
      </c>
      <c r="AI457" s="4" t="s">
        <v>156</v>
      </c>
    </row>
    <row r="458" spans="1:35" ht="54" x14ac:dyDescent="0.3">
      <c r="A458" s="10" t="s">
        <v>1785</v>
      </c>
      <c r="B458" s="10" t="s">
        <v>1786</v>
      </c>
      <c r="C458" s="14" t="s">
        <v>1787</v>
      </c>
      <c r="D458" s="15" t="s">
        <v>1788</v>
      </c>
      <c r="E458" s="15" t="s">
        <v>1789</v>
      </c>
      <c r="F458" s="15" t="s">
        <v>57</v>
      </c>
      <c r="G458" s="16">
        <v>1</v>
      </c>
      <c r="H458" s="16"/>
      <c r="I458" s="16">
        <v>7</v>
      </c>
      <c r="J458" s="17">
        <v>0</v>
      </c>
      <c r="K458" s="18">
        <v>169189</v>
      </c>
      <c r="L458" s="17">
        <f>J458+ROUND(K458, 2)</f>
        <v>169189</v>
      </c>
      <c r="M458" s="17">
        <v>0</v>
      </c>
      <c r="N458" s="17">
        <v>1184323</v>
      </c>
      <c r="O458" s="17">
        <f t="shared" si="39"/>
        <v>1184323</v>
      </c>
      <c r="P458" s="17">
        <v>0</v>
      </c>
      <c r="Q458" s="18">
        <v>169189</v>
      </c>
      <c r="R458" s="17">
        <f>P458+ROUND(Q458, 2)</f>
        <v>169189</v>
      </c>
      <c r="S458" s="17">
        <v>0</v>
      </c>
      <c r="T458" s="17">
        <v>1184323</v>
      </c>
      <c r="U458" s="17">
        <f t="shared" si="40"/>
        <v>1184323</v>
      </c>
      <c r="V458" s="9"/>
      <c r="W458" s="9">
        <f t="shared" si="41"/>
        <v>140990.82999999999</v>
      </c>
      <c r="X458" s="9">
        <f t="shared" si="41"/>
        <v>140990.82999999999</v>
      </c>
      <c r="Y458" s="9"/>
      <c r="Z458" s="9">
        <f>ROUND(T458 / 1.2, 2)</f>
        <v>986935.83</v>
      </c>
      <c r="AA458" s="9">
        <f t="shared" si="42"/>
        <v>986935.83</v>
      </c>
      <c r="AD458" s="4">
        <v>339118897</v>
      </c>
      <c r="AE458" s="4">
        <v>25887982</v>
      </c>
      <c r="AG458" s="4" t="s">
        <v>1790</v>
      </c>
      <c r="AH458" s="4" t="s">
        <v>1791</v>
      </c>
      <c r="AI458" s="4" t="s">
        <v>156</v>
      </c>
    </row>
    <row r="459" spans="1:35" ht="36" x14ac:dyDescent="0.3">
      <c r="A459" s="10" t="s">
        <v>1792</v>
      </c>
      <c r="B459" s="10" t="s">
        <v>1793</v>
      </c>
      <c r="C459" s="14" t="s">
        <v>1794</v>
      </c>
      <c r="D459" s="15"/>
      <c r="E459" s="15" t="s">
        <v>84</v>
      </c>
      <c r="F459" s="15" t="s">
        <v>1795</v>
      </c>
      <c r="G459" s="16">
        <v>1</v>
      </c>
      <c r="H459" s="16"/>
      <c r="I459" s="16">
        <v>57.62</v>
      </c>
      <c r="J459" s="17">
        <v>0</v>
      </c>
      <c r="K459" s="18">
        <v>982</v>
      </c>
      <c r="L459" s="17">
        <f>J459+ROUND(K459, 2)</f>
        <v>982</v>
      </c>
      <c r="M459" s="17">
        <v>0</v>
      </c>
      <c r="N459" s="17">
        <v>56582.84</v>
      </c>
      <c r="O459" s="17">
        <f t="shared" si="39"/>
        <v>56582.84</v>
      </c>
      <c r="P459" s="17">
        <v>0</v>
      </c>
      <c r="Q459" s="18">
        <v>982</v>
      </c>
      <c r="R459" s="17">
        <f>P459+ROUND(Q459, 2)</f>
        <v>982</v>
      </c>
      <c r="S459" s="17">
        <v>0</v>
      </c>
      <c r="T459" s="17">
        <v>56582.84</v>
      </c>
      <c r="U459" s="17">
        <f t="shared" si="40"/>
        <v>56582.84</v>
      </c>
      <c r="V459" s="9"/>
      <c r="W459" s="9">
        <f t="shared" si="41"/>
        <v>818.33</v>
      </c>
      <c r="X459" s="9">
        <f t="shared" si="41"/>
        <v>818.33</v>
      </c>
      <c r="Y459" s="9"/>
      <c r="Z459" s="9">
        <f>ROUND(T459 / 1.2, 2)</f>
        <v>47152.37</v>
      </c>
      <c r="AA459" s="9">
        <f t="shared" si="42"/>
        <v>47152.37</v>
      </c>
      <c r="AD459" s="4">
        <v>339118899</v>
      </c>
      <c r="AE459" s="4">
        <v>28983429</v>
      </c>
      <c r="AG459" s="4" t="s">
        <v>1796</v>
      </c>
      <c r="AH459" s="4" t="s">
        <v>1797</v>
      </c>
      <c r="AI459" s="4" t="s">
        <v>156</v>
      </c>
    </row>
    <row r="460" spans="1:35" ht="24" customHeight="1" x14ac:dyDescent="0.3">
      <c r="A460" s="65"/>
      <c r="B460" s="65"/>
      <c r="C460" s="65"/>
      <c r="D460" s="66" t="s">
        <v>1798</v>
      </c>
      <c r="E460" s="65"/>
      <c r="F460" s="65"/>
      <c r="G460" s="65"/>
      <c r="H460" s="65"/>
      <c r="I460" s="65"/>
      <c r="J460" s="65"/>
      <c r="K460" s="65"/>
      <c r="L460" s="65"/>
      <c r="M460" s="67">
        <f>SUM(M8)</f>
        <v>24717198.979999997</v>
      </c>
      <c r="N460" s="67">
        <f>SUM(N8)</f>
        <v>57521292.340000004</v>
      </c>
      <c r="O460" s="67">
        <f t="shared" si="39"/>
        <v>82238491.319999993</v>
      </c>
      <c r="P460" s="65"/>
      <c r="Q460" s="65"/>
      <c r="R460" s="65"/>
      <c r="S460" s="67">
        <f>SUM(S8)</f>
        <v>41171956.260000005</v>
      </c>
      <c r="T460" s="67">
        <f>SUM(T8)</f>
        <v>58329554.729999989</v>
      </c>
      <c r="U460" s="67">
        <f t="shared" si="40"/>
        <v>99501510.989999995</v>
      </c>
      <c r="Y460" s="9">
        <f>SUM(Y8)</f>
        <v>34309963.629999995</v>
      </c>
      <c r="Z460" s="9">
        <f>SUM(Z8)</f>
        <v>48607962.300000012</v>
      </c>
      <c r="AA460" s="9">
        <f t="shared" si="42"/>
        <v>82917925.930000007</v>
      </c>
    </row>
    <row r="461" spans="1:35" ht="22.8" x14ac:dyDescent="0.3">
      <c r="A461" s="117" t="s">
        <v>1804</v>
      </c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9"/>
    </row>
    <row r="462" spans="1:35" ht="15.6" x14ac:dyDescent="0.3">
      <c r="A462" s="69"/>
      <c r="B462" s="5" t="s">
        <v>1805</v>
      </c>
      <c r="C462" s="68" t="s">
        <v>1806</v>
      </c>
      <c r="D462" s="68" t="s">
        <v>1807</v>
      </c>
      <c r="E462" s="70"/>
      <c r="F462" s="70"/>
      <c r="G462" s="70"/>
      <c r="H462" s="115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16"/>
    </row>
    <row r="463" spans="1:35" ht="15.6" x14ac:dyDescent="0.3">
      <c r="A463" s="69"/>
      <c r="B463" s="5" t="s">
        <v>1808</v>
      </c>
      <c r="C463" s="68" t="s">
        <v>1809</v>
      </c>
      <c r="D463" s="68" t="s">
        <v>1810</v>
      </c>
      <c r="E463" s="70"/>
      <c r="F463" s="70"/>
      <c r="G463" s="70"/>
      <c r="H463" s="115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16"/>
    </row>
    <row r="464" spans="1:35" ht="31.2" x14ac:dyDescent="0.3">
      <c r="A464" s="69"/>
      <c r="B464" s="5" t="s">
        <v>1811</v>
      </c>
      <c r="C464" s="68" t="s">
        <v>1812</v>
      </c>
      <c r="D464" s="68" t="s">
        <v>1813</v>
      </c>
      <c r="E464" s="70"/>
      <c r="F464" s="70"/>
      <c r="G464" s="70"/>
      <c r="H464" s="115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16"/>
    </row>
    <row r="465" spans="1:21" ht="15.6" x14ac:dyDescent="0.3">
      <c r="A465" s="69"/>
      <c r="B465" s="5" t="s">
        <v>1814</v>
      </c>
      <c r="C465" s="68" t="s">
        <v>1815</v>
      </c>
      <c r="D465" s="68" t="s">
        <v>1816</v>
      </c>
      <c r="E465" s="70"/>
      <c r="F465" s="70"/>
      <c r="G465" s="70"/>
      <c r="H465" s="115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16"/>
    </row>
    <row r="466" spans="1:21" ht="15.6" x14ac:dyDescent="0.3">
      <c r="A466" s="69"/>
      <c r="B466" s="5" t="s">
        <v>1817</v>
      </c>
      <c r="C466" s="68" t="s">
        <v>1818</v>
      </c>
      <c r="D466" s="68" t="s">
        <v>1810</v>
      </c>
      <c r="E466" s="70"/>
      <c r="F466" s="70"/>
      <c r="G466" s="70"/>
      <c r="H466" s="115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16"/>
    </row>
    <row r="467" spans="1:21" ht="31.2" x14ac:dyDescent="0.3">
      <c r="A467" s="69"/>
      <c r="B467" s="5" t="s">
        <v>1819</v>
      </c>
      <c r="C467" s="68" t="s">
        <v>1820</v>
      </c>
      <c r="D467" s="68" t="s">
        <v>1821</v>
      </c>
      <c r="E467" s="70"/>
      <c r="F467" s="70"/>
      <c r="G467" s="70"/>
      <c r="H467" s="115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16"/>
    </row>
    <row r="468" spans="1:21" ht="31.2" x14ac:dyDescent="0.3">
      <c r="A468" s="69"/>
      <c r="B468" s="5" t="s">
        <v>1822</v>
      </c>
      <c r="C468" s="68" t="s">
        <v>1823</v>
      </c>
      <c r="D468" s="68" t="s">
        <v>1824</v>
      </c>
      <c r="E468" s="70"/>
      <c r="F468" s="70"/>
      <c r="G468" s="70"/>
      <c r="H468" s="115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16"/>
    </row>
    <row r="469" spans="1:21" ht="15.6" x14ac:dyDescent="0.3">
      <c r="A469" s="69"/>
      <c r="B469" s="5" t="s">
        <v>1825</v>
      </c>
      <c r="C469" s="68" t="s">
        <v>1826</v>
      </c>
      <c r="D469" s="68" t="s">
        <v>1827</v>
      </c>
      <c r="E469" s="70"/>
      <c r="F469" s="70"/>
      <c r="G469" s="70"/>
      <c r="H469" s="115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16"/>
    </row>
    <row r="470" spans="1:21" ht="15.6" x14ac:dyDescent="0.3">
      <c r="A470" s="69"/>
      <c r="B470" s="5" t="s">
        <v>1828</v>
      </c>
      <c r="C470" s="68" t="s">
        <v>1829</v>
      </c>
      <c r="D470" s="68" t="s">
        <v>1830</v>
      </c>
      <c r="E470" s="70"/>
      <c r="F470" s="70"/>
      <c r="G470" s="70"/>
      <c r="H470" s="115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16"/>
    </row>
    <row r="471" spans="1:21" ht="31.2" x14ac:dyDescent="0.3">
      <c r="A471" s="69"/>
      <c r="B471" s="5" t="s">
        <v>1831</v>
      </c>
      <c r="C471" s="68" t="s">
        <v>1832</v>
      </c>
      <c r="D471" s="68" t="s">
        <v>1833</v>
      </c>
      <c r="E471" s="70"/>
      <c r="F471" s="70"/>
      <c r="G471" s="70"/>
      <c r="H471" s="115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16"/>
    </row>
    <row r="472" spans="1:21" ht="46.8" x14ac:dyDescent="0.3">
      <c r="A472" s="69"/>
      <c r="B472" s="5" t="s">
        <v>1834</v>
      </c>
      <c r="C472" s="68" t="s">
        <v>1835</v>
      </c>
      <c r="D472" s="68" t="s">
        <v>1836</v>
      </c>
      <c r="E472" s="70"/>
      <c r="F472" s="70"/>
      <c r="G472" s="70"/>
      <c r="H472" s="115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16"/>
    </row>
    <row r="473" spans="1:21" ht="31.2" x14ac:dyDescent="0.3">
      <c r="A473" s="69"/>
      <c r="B473" s="5" t="s">
        <v>1837</v>
      </c>
      <c r="C473" s="68" t="s">
        <v>1838</v>
      </c>
      <c r="D473" s="68" t="s">
        <v>1839</v>
      </c>
      <c r="E473" s="70"/>
      <c r="F473" s="70"/>
      <c r="G473" s="70"/>
      <c r="H473" s="115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16"/>
    </row>
    <row r="474" spans="1:21" ht="15.6" x14ac:dyDescent="0.3">
      <c r="A474" s="69"/>
      <c r="B474" s="5" t="s">
        <v>1840</v>
      </c>
      <c r="C474" s="68" t="s">
        <v>1841</v>
      </c>
      <c r="D474" s="68" t="s">
        <v>1842</v>
      </c>
      <c r="E474" s="70"/>
      <c r="F474" s="70"/>
      <c r="G474" s="70"/>
      <c r="H474" s="115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16"/>
    </row>
    <row r="475" spans="1:21" ht="48" customHeight="1" x14ac:dyDescent="0.3">
      <c r="A475" s="69"/>
      <c r="B475" s="5" t="s">
        <v>1843</v>
      </c>
      <c r="C475" s="68" t="s">
        <v>1844</v>
      </c>
      <c r="D475" s="68" t="s">
        <v>1845</v>
      </c>
      <c r="E475" s="70"/>
      <c r="F475" s="70"/>
      <c r="G475" s="70"/>
      <c r="H475" s="115" t="s">
        <v>1846</v>
      </c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16"/>
    </row>
    <row r="476" spans="1:21" ht="15.6" x14ac:dyDescent="0.3">
      <c r="A476" s="69"/>
      <c r="B476" s="5" t="s">
        <v>1847</v>
      </c>
      <c r="C476" s="68" t="s">
        <v>1848</v>
      </c>
      <c r="D476" s="68" t="s">
        <v>1849</v>
      </c>
      <c r="E476" s="70"/>
      <c r="F476" s="70"/>
      <c r="G476" s="70"/>
      <c r="H476" s="115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16"/>
    </row>
    <row r="477" spans="1:21" ht="31.2" x14ac:dyDescent="0.3">
      <c r="A477" s="69"/>
      <c r="B477" s="5" t="s">
        <v>1850</v>
      </c>
      <c r="C477" s="68" t="s">
        <v>1851</v>
      </c>
      <c r="D477" s="70"/>
      <c r="E477" s="70"/>
      <c r="F477" s="70"/>
      <c r="G477" s="70"/>
      <c r="H477" s="115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16"/>
    </row>
    <row r="478" spans="1:21" ht="15.6" x14ac:dyDescent="0.3">
      <c r="A478" s="69"/>
      <c r="B478" s="5" t="s">
        <v>1852</v>
      </c>
      <c r="C478" s="68" t="s">
        <v>1853</v>
      </c>
      <c r="D478" s="70"/>
      <c r="E478" s="70"/>
      <c r="F478" s="70"/>
      <c r="G478" s="70"/>
      <c r="H478" s="115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16"/>
    </row>
    <row r="479" spans="1:21" ht="15.6" x14ac:dyDescent="0.3">
      <c r="A479" s="69"/>
      <c r="B479" s="5" t="s">
        <v>1854</v>
      </c>
      <c r="C479" s="68" t="s">
        <v>1855</v>
      </c>
      <c r="D479" s="70"/>
      <c r="E479" s="70"/>
      <c r="F479" s="70"/>
      <c r="G479" s="70"/>
      <c r="H479" s="115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16"/>
    </row>
  </sheetData>
  <sheetProtection password="C644" sheet="1" formatColumns="0" autoFilter="0"/>
  <autoFilter ref="A7:U7"/>
  <mergeCells count="72">
    <mergeCell ref="H479:U479"/>
    <mergeCell ref="H474:U474"/>
    <mergeCell ref="H475:U475"/>
    <mergeCell ref="H476:U476"/>
    <mergeCell ref="H477:U477"/>
    <mergeCell ref="H478:U478"/>
    <mergeCell ref="H469:U469"/>
    <mergeCell ref="H470:U470"/>
    <mergeCell ref="H471:U471"/>
    <mergeCell ref="H472:U472"/>
    <mergeCell ref="H473:U473"/>
    <mergeCell ref="H464:U464"/>
    <mergeCell ref="H465:U465"/>
    <mergeCell ref="H466:U466"/>
    <mergeCell ref="H467:U467"/>
    <mergeCell ref="H468:U468"/>
    <mergeCell ref="C393:I393"/>
    <mergeCell ref="C454:I454"/>
    <mergeCell ref="A461:U461"/>
    <mergeCell ref="H462:U462"/>
    <mergeCell ref="H463:U463"/>
    <mergeCell ref="C271:I271"/>
    <mergeCell ref="C319:I319"/>
    <mergeCell ref="C335:I335"/>
    <mergeCell ref="C336:I336"/>
    <mergeCell ref="C365:I365"/>
    <mergeCell ref="C102:I102"/>
    <mergeCell ref="C113:I113"/>
    <mergeCell ref="C197:I197"/>
    <mergeCell ref="C200:I200"/>
    <mergeCell ref="C201:I201"/>
    <mergeCell ref="C31:I31"/>
    <mergeCell ref="C32:I32"/>
    <mergeCell ref="C33:I33"/>
    <mergeCell ref="C34:I34"/>
    <mergeCell ref="C35:I35"/>
    <mergeCell ref="C21:I21"/>
    <mergeCell ref="C22:I22"/>
    <mergeCell ref="C23:I23"/>
    <mergeCell ref="C24:I24"/>
    <mergeCell ref="C25:I25"/>
    <mergeCell ref="C11:I11"/>
    <mergeCell ref="C12:I12"/>
    <mergeCell ref="C13:I13"/>
    <mergeCell ref="C15:I15"/>
    <mergeCell ref="C18:I18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I479"/>
  <sheetViews>
    <sheetView tabSelected="1" topLeftCell="A44" zoomScale="40" zoomScaleNormal="40" workbookViewId="0">
      <selection activeCell="E55" sqref="E55"/>
    </sheetView>
  </sheetViews>
  <sheetFormatPr defaultRowHeight="14.4" x14ac:dyDescent="0.3"/>
  <cols>
    <col min="1" max="1" width="20" customWidth="1"/>
    <col min="2" max="2" width="21.77734375" bestFit="1" customWidth="1"/>
    <col min="3" max="3" width="55.6640625" customWidth="1"/>
    <col min="4" max="4" width="13.5546875" customWidth="1"/>
    <col min="5" max="5" width="38" customWidth="1"/>
    <col min="6" max="6" width="16.44140625" customWidth="1"/>
    <col min="7" max="7" width="16.44140625" hidden="1" customWidth="1"/>
    <col min="8" max="8" width="28" hidden="1" customWidth="1"/>
    <col min="9" max="9" width="16.777343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777343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77734375" customWidth="1"/>
    <col min="21" max="21" width="23.6640625" customWidth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1799</v>
      </c>
      <c r="H1" s="2" t="s">
        <v>1800</v>
      </c>
      <c r="I1" s="2" t="s">
        <v>1801</v>
      </c>
      <c r="J1" s="2" t="s">
        <v>1802</v>
      </c>
      <c r="K1" s="2" t="s">
        <v>1803</v>
      </c>
      <c r="L1" s="3"/>
      <c r="M1" s="3"/>
      <c r="N1" s="3"/>
      <c r="O1" s="3"/>
      <c r="P1" s="3"/>
      <c r="Q1" s="3"/>
      <c r="R1" s="3"/>
      <c r="S1" s="3"/>
      <c r="T1" s="3"/>
      <c r="U1" s="3"/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4" t="s">
        <v>20</v>
      </c>
      <c r="AI1" s="4" t="s">
        <v>21</v>
      </c>
    </row>
    <row r="2" spans="1:35" ht="30.75" customHeight="1" x14ac:dyDescent="0.3">
      <c r="A2" s="103" t="s">
        <v>4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</row>
    <row r="3" spans="1:35" ht="15" customHeight="1" x14ac:dyDescent="0.3">
      <c r="A3" s="104" t="s">
        <v>5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</row>
    <row r="4" spans="1:35" ht="15" customHeight="1" x14ac:dyDescent="0.3">
      <c r="A4" s="105" t="s">
        <v>6</v>
      </c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</row>
    <row r="5" spans="1:35" ht="40.799999999999997" customHeight="1" x14ac:dyDescent="0.3">
      <c r="A5" s="112" t="s">
        <v>22</v>
      </c>
      <c r="B5" s="112" t="s">
        <v>23</v>
      </c>
      <c r="C5" s="112" t="s">
        <v>24</v>
      </c>
      <c r="D5" s="112" t="s">
        <v>25</v>
      </c>
      <c r="E5" s="112" t="s">
        <v>26</v>
      </c>
      <c r="F5" s="112" t="s">
        <v>27</v>
      </c>
      <c r="G5" s="112" t="s">
        <v>28</v>
      </c>
      <c r="H5" s="130" t="s">
        <v>1856</v>
      </c>
      <c r="I5" s="112" t="s">
        <v>30</v>
      </c>
      <c r="J5" s="106" t="s">
        <v>7</v>
      </c>
      <c r="K5" s="107"/>
      <c r="L5" s="107"/>
      <c r="M5" s="107"/>
      <c r="N5" s="107"/>
      <c r="O5" s="108"/>
      <c r="P5" s="109" t="s">
        <v>8</v>
      </c>
      <c r="Q5" s="110"/>
      <c r="R5" s="111"/>
      <c r="S5" s="109" t="s">
        <v>9</v>
      </c>
      <c r="T5" s="110"/>
      <c r="U5" s="111"/>
    </row>
    <row r="6" spans="1:35" ht="15.75" customHeight="1" x14ac:dyDescent="0.3">
      <c r="A6" s="113"/>
      <c r="B6" s="113"/>
      <c r="C6" s="113"/>
      <c r="D6" s="113"/>
      <c r="E6" s="113"/>
      <c r="F6" s="113"/>
      <c r="G6" s="113"/>
      <c r="H6" s="131"/>
      <c r="I6" s="113"/>
      <c r="J6" s="115" t="s">
        <v>31</v>
      </c>
      <c r="K6" s="116"/>
      <c r="L6" s="112" t="s">
        <v>31</v>
      </c>
      <c r="M6" s="115" t="s">
        <v>34</v>
      </c>
      <c r="N6" s="116"/>
      <c r="O6" s="112" t="s">
        <v>35</v>
      </c>
      <c r="P6" s="115" t="s">
        <v>31</v>
      </c>
      <c r="Q6" s="116"/>
      <c r="R6" s="112" t="s">
        <v>31</v>
      </c>
      <c r="S6" s="115" t="s">
        <v>34</v>
      </c>
      <c r="T6" s="116"/>
      <c r="U6" s="112" t="s">
        <v>35</v>
      </c>
    </row>
    <row r="7" spans="1:35" ht="31.2" customHeight="1" x14ac:dyDescent="0.3">
      <c r="A7" s="114"/>
      <c r="B7" s="114"/>
      <c r="C7" s="114"/>
      <c r="D7" s="114"/>
      <c r="E7" s="114"/>
      <c r="F7" s="114"/>
      <c r="G7" s="114"/>
      <c r="H7" s="132"/>
      <c r="I7" s="114"/>
      <c r="J7" s="5" t="s">
        <v>32</v>
      </c>
      <c r="K7" s="5" t="s">
        <v>33</v>
      </c>
      <c r="L7" s="114"/>
      <c r="M7" s="5" t="s">
        <v>32</v>
      </c>
      <c r="N7" s="5" t="s">
        <v>33</v>
      </c>
      <c r="O7" s="114"/>
      <c r="P7" s="5" t="s">
        <v>32</v>
      </c>
      <c r="Q7" s="5" t="s">
        <v>33</v>
      </c>
      <c r="R7" s="114"/>
      <c r="S7" s="5" t="s">
        <v>32</v>
      </c>
      <c r="T7" s="5" t="s">
        <v>33</v>
      </c>
      <c r="U7" s="114"/>
    </row>
    <row r="8" spans="1:35" ht="30" customHeight="1" x14ac:dyDescent="0.3">
      <c r="A8" s="117" t="s">
        <v>36</v>
      </c>
      <c r="B8" s="118"/>
      <c r="C8" s="118"/>
      <c r="D8" s="118"/>
      <c r="E8" s="118"/>
      <c r="F8" s="118"/>
      <c r="G8" s="118"/>
      <c r="H8" s="118"/>
      <c r="I8" s="119"/>
      <c r="J8" s="7"/>
      <c r="K8" s="7"/>
      <c r="L8" s="7"/>
      <c r="M8" s="8">
        <f>SUM(M9)</f>
        <v>24717198.979999997</v>
      </c>
      <c r="N8" s="8">
        <f>SUM(N9)</f>
        <v>57521292.340000004</v>
      </c>
      <c r="O8" s="8">
        <f>SUM(O9)</f>
        <v>82238491.320000008</v>
      </c>
      <c r="P8" s="7"/>
      <c r="Q8" s="7"/>
      <c r="R8" s="7"/>
      <c r="S8" s="8">
        <f>SUM(S9)</f>
        <v>41171956.260000005</v>
      </c>
      <c r="T8" s="8">
        <f>SUM(T9)</f>
        <v>58329554.729999989</v>
      </c>
      <c r="U8" s="8">
        <f>SUM(U9)</f>
        <v>99501510.99000001</v>
      </c>
      <c r="Y8" s="9">
        <f>SUM(Y9)</f>
        <v>34309963.629999995</v>
      </c>
      <c r="Z8" s="9">
        <f>SUM(Z9)</f>
        <v>48607962.300000012</v>
      </c>
      <c r="AA8" s="9">
        <f>SUM(AA9)</f>
        <v>82917925.929999992</v>
      </c>
      <c r="AC8" s="4" t="s">
        <v>37</v>
      </c>
    </row>
    <row r="9" spans="1:35" ht="16.95" customHeight="1" x14ac:dyDescent="0.3">
      <c r="A9" s="10" t="s">
        <v>38</v>
      </c>
      <c r="B9" s="10" t="s">
        <v>39</v>
      </c>
      <c r="C9" s="120" t="s">
        <v>40</v>
      </c>
      <c r="D9" s="121"/>
      <c r="E9" s="121"/>
      <c r="F9" s="121"/>
      <c r="G9" s="121"/>
      <c r="H9" s="121"/>
      <c r="I9" s="122"/>
      <c r="M9" s="6">
        <f>SUM(M10,M21,M31)</f>
        <v>24717198.979999997</v>
      </c>
      <c r="N9" s="6">
        <f>SUM(N10,N21,N31)</f>
        <v>57521292.340000004</v>
      </c>
      <c r="O9" s="6">
        <f>SUM(O10,O21,O31)</f>
        <v>82238491.320000008</v>
      </c>
      <c r="S9" s="6">
        <f>SUM(S10,S21,S31)</f>
        <v>41171956.260000005</v>
      </c>
      <c r="T9" s="6">
        <f>SUM(T10,T21,T31)</f>
        <v>58329554.729999989</v>
      </c>
      <c r="U9" s="6">
        <f>SUM(U10,U21,U31)</f>
        <v>99501510.99000001</v>
      </c>
      <c r="Y9" s="9">
        <f>SUM(Y10,Y21,Y31)</f>
        <v>34309963.629999995</v>
      </c>
      <c r="Z9" s="9">
        <f>SUM(Z10,Z21,Z31)</f>
        <v>48607962.300000012</v>
      </c>
      <c r="AA9" s="9">
        <f>SUM(AA10,AA21,AA31)</f>
        <v>82917925.929999992</v>
      </c>
      <c r="AD9" s="4">
        <v>339118770</v>
      </c>
      <c r="AE9" s="4">
        <v>25887938</v>
      </c>
    </row>
    <row r="10" spans="1:35" ht="16.95" customHeight="1" x14ac:dyDescent="0.3">
      <c r="A10" s="10" t="s">
        <v>41</v>
      </c>
      <c r="B10" s="10" t="s">
        <v>42</v>
      </c>
      <c r="C10" s="120" t="s">
        <v>43</v>
      </c>
      <c r="D10" s="121"/>
      <c r="E10" s="121"/>
      <c r="F10" s="121"/>
      <c r="G10" s="121"/>
      <c r="H10" s="121"/>
      <c r="I10" s="122"/>
      <c r="M10" s="6">
        <f t="shared" ref="M10:O11" si="0">SUM(M11)</f>
        <v>0</v>
      </c>
      <c r="N10" s="6">
        <f t="shared" si="0"/>
        <v>829840.72</v>
      </c>
      <c r="O10" s="6">
        <f t="shared" si="0"/>
        <v>829840.72</v>
      </c>
      <c r="S10" s="6">
        <f t="shared" ref="S10:U11" si="1">SUM(S11)</f>
        <v>0</v>
      </c>
      <c r="T10" s="6">
        <f t="shared" si="1"/>
        <v>2924714.8</v>
      </c>
      <c r="U10" s="6">
        <f t="shared" si="1"/>
        <v>2924714.8</v>
      </c>
      <c r="Y10" s="9">
        <f t="shared" ref="Y10:AA11" si="2">SUM(Y11)</f>
        <v>0</v>
      </c>
      <c r="Z10" s="9">
        <f t="shared" si="2"/>
        <v>2437262.33</v>
      </c>
      <c r="AA10" s="9">
        <f t="shared" si="2"/>
        <v>2437262.33</v>
      </c>
      <c r="AD10" s="4">
        <v>339118771</v>
      </c>
      <c r="AE10" s="4">
        <v>28999450</v>
      </c>
    </row>
    <row r="11" spans="1:35" ht="16.95" customHeight="1" x14ac:dyDescent="0.3">
      <c r="A11" s="10" t="s">
        <v>44</v>
      </c>
      <c r="B11" s="10" t="s">
        <v>45</v>
      </c>
      <c r="C11" s="120" t="s">
        <v>46</v>
      </c>
      <c r="D11" s="121"/>
      <c r="E11" s="121"/>
      <c r="F11" s="121"/>
      <c r="G11" s="121"/>
      <c r="H11" s="121"/>
      <c r="I11" s="122"/>
      <c r="M11" s="6">
        <f t="shared" si="0"/>
        <v>0</v>
      </c>
      <c r="N11" s="6">
        <f t="shared" si="0"/>
        <v>829840.72</v>
      </c>
      <c r="O11" s="6">
        <f t="shared" si="0"/>
        <v>829840.72</v>
      </c>
      <c r="S11" s="6">
        <f t="shared" si="1"/>
        <v>0</v>
      </c>
      <c r="T11" s="6">
        <f t="shared" si="1"/>
        <v>2924714.8</v>
      </c>
      <c r="U11" s="6">
        <f t="shared" si="1"/>
        <v>2924714.8</v>
      </c>
      <c r="Y11" s="9">
        <f t="shared" si="2"/>
        <v>0</v>
      </c>
      <c r="Z11" s="9">
        <f t="shared" si="2"/>
        <v>2437262.33</v>
      </c>
      <c r="AA11" s="9">
        <f t="shared" si="2"/>
        <v>2437262.33</v>
      </c>
      <c r="AD11" s="4">
        <v>339118772</v>
      </c>
      <c r="AE11" s="4">
        <v>28999446</v>
      </c>
    </row>
    <row r="12" spans="1:35" ht="16.95" customHeight="1" x14ac:dyDescent="0.3">
      <c r="A12" s="10" t="s">
        <v>47</v>
      </c>
      <c r="B12" s="10" t="s">
        <v>48</v>
      </c>
      <c r="C12" s="120" t="s">
        <v>49</v>
      </c>
      <c r="D12" s="121"/>
      <c r="E12" s="121"/>
      <c r="F12" s="121"/>
      <c r="G12" s="121"/>
      <c r="H12" s="121"/>
      <c r="I12" s="122"/>
      <c r="M12" s="6">
        <f>SUM(M13,M15,M18)</f>
        <v>0</v>
      </c>
      <c r="N12" s="6">
        <f>SUM(N13,N15,N18)</f>
        <v>829840.72</v>
      </c>
      <c r="O12" s="6">
        <f>SUM(O13,O15,O18)</f>
        <v>829840.72</v>
      </c>
      <c r="S12" s="6">
        <f>SUM(S13,S15,S18)</f>
        <v>0</v>
      </c>
      <c r="T12" s="6">
        <f>SUM(T13,T15,T18)</f>
        <v>2924714.8</v>
      </c>
      <c r="U12" s="6">
        <f>SUM(U13,U15,U18)</f>
        <v>2924714.8</v>
      </c>
      <c r="Y12" s="9">
        <f>SUM(Y13,Y15,Y18)</f>
        <v>0</v>
      </c>
      <c r="Z12" s="9">
        <f>SUM(Z13,Z15,Z18)</f>
        <v>2437262.33</v>
      </c>
      <c r="AA12" s="9">
        <f>SUM(AA13,AA15,AA18)</f>
        <v>2437262.33</v>
      </c>
      <c r="AD12" s="4">
        <v>339118773</v>
      </c>
      <c r="AE12" s="4">
        <v>28999460</v>
      </c>
    </row>
    <row r="13" spans="1:35" ht="16.95" customHeight="1" x14ac:dyDescent="0.3">
      <c r="A13" s="10" t="s">
        <v>50</v>
      </c>
      <c r="B13" s="10" t="s">
        <v>51</v>
      </c>
      <c r="C13" s="120" t="s">
        <v>52</v>
      </c>
      <c r="D13" s="121"/>
      <c r="E13" s="121"/>
      <c r="F13" s="121"/>
      <c r="G13" s="121"/>
      <c r="H13" s="121"/>
      <c r="I13" s="122"/>
      <c r="M13" s="6">
        <f>SUM(M14)</f>
        <v>0</v>
      </c>
      <c r="N13" s="6">
        <f>SUM(N14)</f>
        <v>0</v>
      </c>
      <c r="O13" s="6">
        <f>SUM(O14)</f>
        <v>0</v>
      </c>
      <c r="S13" s="6">
        <f>SUM(S14)</f>
        <v>0</v>
      </c>
      <c r="T13" s="6">
        <f>SUM(T14)</f>
        <v>243564</v>
      </c>
      <c r="U13" s="6">
        <f>SUM(U14)</f>
        <v>243564</v>
      </c>
      <c r="Y13" s="9">
        <f>SUM(Y14)</f>
        <v>0</v>
      </c>
      <c r="Z13" s="9">
        <f>SUM(Z14)</f>
        <v>202970</v>
      </c>
      <c r="AA13" s="9">
        <f>SUM(AA14)</f>
        <v>202970</v>
      </c>
      <c r="AD13" s="4">
        <v>339118774</v>
      </c>
      <c r="AE13" s="4">
        <v>29565805</v>
      </c>
    </row>
    <row r="14" spans="1:35" ht="36" x14ac:dyDescent="0.3">
      <c r="A14" s="71" t="s">
        <v>53</v>
      </c>
      <c r="B14" s="71" t="s">
        <v>54</v>
      </c>
      <c r="C14" s="72" t="s">
        <v>55</v>
      </c>
      <c r="D14" s="73"/>
      <c r="E14" s="73" t="s">
        <v>56</v>
      </c>
      <c r="F14" s="73" t="s">
        <v>57</v>
      </c>
      <c r="G14" s="74">
        <v>1</v>
      </c>
      <c r="H14" s="80">
        <f>I14*R14</f>
        <v>243564</v>
      </c>
      <c r="I14" s="74">
        <v>12</v>
      </c>
      <c r="J14" s="75">
        <v>0</v>
      </c>
      <c r="K14" s="76">
        <v>0</v>
      </c>
      <c r="L14" s="75">
        <f>J14+ROUND(K14, 2)</f>
        <v>0</v>
      </c>
      <c r="M14" s="75">
        <v>0</v>
      </c>
      <c r="N14" s="75">
        <v>0</v>
      </c>
      <c r="O14" s="75">
        <f>M14+N14</f>
        <v>0</v>
      </c>
      <c r="P14" s="75">
        <v>0</v>
      </c>
      <c r="Q14" s="76">
        <v>20297</v>
      </c>
      <c r="R14" s="75">
        <f>P14+ROUND(Q14, 2)</f>
        <v>20297</v>
      </c>
      <c r="S14" s="75">
        <v>0</v>
      </c>
      <c r="T14" s="75">
        <v>243564</v>
      </c>
      <c r="U14" s="75">
        <f>S14+T14</f>
        <v>243564</v>
      </c>
      <c r="V14" s="9"/>
      <c r="W14" s="9">
        <f>ROUND(Q14 / 1.2, 2)</f>
        <v>16914.169999999998</v>
      </c>
      <c r="X14" s="9">
        <f>ROUND(R14 / 1.2, 2)</f>
        <v>16914.169999999998</v>
      </c>
      <c r="Y14" s="9"/>
      <c r="Z14" s="9">
        <f>ROUND(T14 / 1.2, 2)</f>
        <v>202970</v>
      </c>
      <c r="AA14" s="9">
        <f>Y14+Z14</f>
        <v>202970</v>
      </c>
      <c r="AD14" s="4">
        <v>339118776</v>
      </c>
      <c r="AE14" s="4">
        <v>29565814</v>
      </c>
      <c r="AG14" s="4" t="s">
        <v>58</v>
      </c>
      <c r="AH14" s="4" t="s">
        <v>59</v>
      </c>
      <c r="AI14" s="4" t="s">
        <v>60</v>
      </c>
    </row>
    <row r="15" spans="1:35" ht="16.95" customHeight="1" x14ac:dyDescent="0.3">
      <c r="A15" s="71" t="s">
        <v>61</v>
      </c>
      <c r="B15" s="71" t="s">
        <v>62</v>
      </c>
      <c r="C15" s="127" t="s">
        <v>63</v>
      </c>
      <c r="D15" s="128"/>
      <c r="E15" s="128"/>
      <c r="F15" s="128"/>
      <c r="G15" s="128"/>
      <c r="H15" s="128"/>
      <c r="I15" s="129"/>
      <c r="J15" s="77"/>
      <c r="K15" s="77"/>
      <c r="L15" s="77"/>
      <c r="M15" s="78">
        <f>SUM(M16,M17)</f>
        <v>0</v>
      </c>
      <c r="N15" s="78">
        <f>SUM(N16,N17)</f>
        <v>689590.72</v>
      </c>
      <c r="O15" s="78">
        <f>SUM(O16,O17)</f>
        <v>689590.72</v>
      </c>
      <c r="P15" s="77"/>
      <c r="Q15" s="77"/>
      <c r="R15" s="77"/>
      <c r="S15" s="78">
        <f>SUM(S16,S17)</f>
        <v>0</v>
      </c>
      <c r="T15" s="78">
        <f>SUM(T16,T17)</f>
        <v>2540900.7999999998</v>
      </c>
      <c r="U15" s="78">
        <f>SUM(U16,U17)</f>
        <v>2540900.7999999998</v>
      </c>
      <c r="Y15" s="9">
        <f>SUM(Y16,Y17)</f>
        <v>0</v>
      </c>
      <c r="Z15" s="9">
        <f>SUM(Z16,Z17)</f>
        <v>2117417.33</v>
      </c>
      <c r="AA15" s="9">
        <f>SUM(AA16,AA17)</f>
        <v>2117417.33</v>
      </c>
      <c r="AD15" s="4">
        <v>339118777</v>
      </c>
      <c r="AE15" s="4">
        <v>29565803</v>
      </c>
    </row>
    <row r="16" spans="1:35" ht="105" customHeight="1" x14ac:dyDescent="0.3">
      <c r="A16" s="71" t="s">
        <v>64</v>
      </c>
      <c r="B16" s="71" t="s">
        <v>65</v>
      </c>
      <c r="C16" s="72" t="s">
        <v>66</v>
      </c>
      <c r="D16" s="73"/>
      <c r="E16" s="73" t="s">
        <v>67</v>
      </c>
      <c r="F16" s="73" t="s">
        <v>68</v>
      </c>
      <c r="G16" s="74">
        <v>1</v>
      </c>
      <c r="H16" s="80">
        <f>I16*R16</f>
        <v>1851310.0800000001</v>
      </c>
      <c r="I16" s="74">
        <v>28926.720000000001</v>
      </c>
      <c r="J16" s="75">
        <v>0</v>
      </c>
      <c r="K16" s="76">
        <v>0</v>
      </c>
      <c r="L16" s="75">
        <f>J16+ROUND(K16, 2)</f>
        <v>0</v>
      </c>
      <c r="M16" s="75">
        <v>0</v>
      </c>
      <c r="N16" s="75">
        <v>0</v>
      </c>
      <c r="O16" s="75">
        <f>M16+N16</f>
        <v>0</v>
      </c>
      <c r="P16" s="75">
        <v>0</v>
      </c>
      <c r="Q16" s="76">
        <v>64</v>
      </c>
      <c r="R16" s="75">
        <f>P16+ROUND(Q16, 2)</f>
        <v>64</v>
      </c>
      <c r="S16" s="75">
        <v>0</v>
      </c>
      <c r="T16" s="75">
        <v>1851310.0800000001</v>
      </c>
      <c r="U16" s="75">
        <f>S16+T16</f>
        <v>1851310.0800000001</v>
      </c>
      <c r="V16" s="9"/>
      <c r="W16" s="9">
        <f>ROUND(Q16 / 1.2, 2)</f>
        <v>53.33</v>
      </c>
      <c r="X16" s="9">
        <f>ROUND(R16 / 1.2, 2)</f>
        <v>53.33</v>
      </c>
      <c r="Y16" s="9"/>
      <c r="Z16" s="9">
        <f>ROUND(T16 / 1.2, 2)</f>
        <v>1542758.3999999999</v>
      </c>
      <c r="AA16" s="9">
        <f>Y16+Z16</f>
        <v>1542758.3999999999</v>
      </c>
      <c r="AD16" s="4">
        <v>339118779</v>
      </c>
      <c r="AE16" s="4">
        <v>29567161</v>
      </c>
      <c r="AG16" s="4" t="s">
        <v>69</v>
      </c>
      <c r="AH16" s="4" t="s">
        <v>70</v>
      </c>
      <c r="AI16" s="4" t="s">
        <v>60</v>
      </c>
    </row>
    <row r="17" spans="1:35" ht="90" x14ac:dyDescent="0.3">
      <c r="A17" s="71" t="s">
        <v>71</v>
      </c>
      <c r="B17" s="71" t="s">
        <v>72</v>
      </c>
      <c r="C17" s="72" t="s">
        <v>73</v>
      </c>
      <c r="D17" s="73"/>
      <c r="E17" s="73" t="s">
        <v>74</v>
      </c>
      <c r="F17" s="73" t="s">
        <v>75</v>
      </c>
      <c r="G17" s="74">
        <v>1</v>
      </c>
      <c r="H17" s="80">
        <f>I17*Q17</f>
        <v>689590.72000000009</v>
      </c>
      <c r="I17" s="74">
        <v>879.58</v>
      </c>
      <c r="J17" s="75">
        <v>0</v>
      </c>
      <c r="K17" s="76">
        <v>784</v>
      </c>
      <c r="L17" s="75">
        <f>J17+ROUND(K17, 2)</f>
        <v>784</v>
      </c>
      <c r="M17" s="75">
        <v>0</v>
      </c>
      <c r="N17" s="75">
        <v>689590.72</v>
      </c>
      <c r="O17" s="75">
        <f>M17+N17</f>
        <v>689590.72</v>
      </c>
      <c r="P17" s="75">
        <v>0</v>
      </c>
      <c r="Q17" s="76">
        <v>784</v>
      </c>
      <c r="R17" s="75">
        <f>P17+ROUND(Q17, 2)</f>
        <v>784</v>
      </c>
      <c r="S17" s="75">
        <v>0</v>
      </c>
      <c r="T17" s="75">
        <v>689590.72</v>
      </c>
      <c r="U17" s="75">
        <f>S17+T17</f>
        <v>689590.72</v>
      </c>
      <c r="V17" s="9"/>
      <c r="W17" s="9">
        <f>ROUND(Q17 / 1.2, 2)</f>
        <v>653.33000000000004</v>
      </c>
      <c r="X17" s="9">
        <f>ROUND(R17 / 1.2, 2)</f>
        <v>653.33000000000004</v>
      </c>
      <c r="Y17" s="9"/>
      <c r="Z17" s="9">
        <f>ROUND(T17 / 1.2, 2)</f>
        <v>574658.93000000005</v>
      </c>
      <c r="AA17" s="9">
        <f>Y17+Z17</f>
        <v>574658.93000000005</v>
      </c>
      <c r="AD17" s="4">
        <v>339118781</v>
      </c>
      <c r="AE17" s="4">
        <v>29565815</v>
      </c>
      <c r="AG17" s="4" t="s">
        <v>76</v>
      </c>
      <c r="AH17" s="4" t="s">
        <v>77</v>
      </c>
      <c r="AI17" s="4" t="s">
        <v>60</v>
      </c>
    </row>
    <row r="18" spans="1:35" ht="16.95" customHeight="1" x14ac:dyDescent="0.3">
      <c r="A18" s="10" t="s">
        <v>78</v>
      </c>
      <c r="B18" s="10" t="s">
        <v>79</v>
      </c>
      <c r="C18" s="120" t="s">
        <v>80</v>
      </c>
      <c r="D18" s="121"/>
      <c r="E18" s="121"/>
      <c r="F18" s="121"/>
      <c r="G18" s="121"/>
      <c r="H18" s="121"/>
      <c r="I18" s="122"/>
      <c r="M18" s="6">
        <f>SUM(M19,M20)</f>
        <v>0</v>
      </c>
      <c r="N18" s="6">
        <f>SUM(N19,N20)</f>
        <v>140250</v>
      </c>
      <c r="O18" s="6">
        <f>SUM(O19,O20)</f>
        <v>140250</v>
      </c>
      <c r="S18" s="6">
        <f>SUM(S19,S20)</f>
        <v>0</v>
      </c>
      <c r="T18" s="6">
        <f>SUM(T19,T20)</f>
        <v>140250</v>
      </c>
      <c r="U18" s="6">
        <f>SUM(U19,U20)</f>
        <v>140250</v>
      </c>
      <c r="Y18" s="9">
        <f>SUM(Y19,Y20)</f>
        <v>0</v>
      </c>
      <c r="Z18" s="9">
        <f>SUM(Z19,Z20)</f>
        <v>116875</v>
      </c>
      <c r="AA18" s="9">
        <f>SUM(AA19,AA20)</f>
        <v>116875</v>
      </c>
      <c r="AD18" s="4">
        <v>339118782</v>
      </c>
      <c r="AE18" s="4">
        <v>28999456</v>
      </c>
    </row>
    <row r="19" spans="1:35" ht="36" x14ac:dyDescent="0.3">
      <c r="A19" s="10" t="s">
        <v>81</v>
      </c>
      <c r="B19" s="10" t="s">
        <v>82</v>
      </c>
      <c r="C19" s="14" t="s">
        <v>83</v>
      </c>
      <c r="D19" s="15"/>
      <c r="E19" s="15" t="s">
        <v>84</v>
      </c>
      <c r="F19" s="15" t="s">
        <v>75</v>
      </c>
      <c r="G19" s="16">
        <v>1</v>
      </c>
      <c r="H19" s="16"/>
      <c r="I19" s="16">
        <v>187</v>
      </c>
      <c r="J19" s="17">
        <v>0</v>
      </c>
      <c r="K19" s="18">
        <v>375</v>
      </c>
      <c r="L19" s="17">
        <f>J19+ROUND(K19, 2)</f>
        <v>375</v>
      </c>
      <c r="M19" s="17">
        <v>0</v>
      </c>
      <c r="N19" s="17">
        <v>70125</v>
      </c>
      <c r="O19" s="17">
        <f>M19+N19</f>
        <v>70125</v>
      </c>
      <c r="P19" s="17">
        <v>0</v>
      </c>
      <c r="Q19" s="18">
        <v>375</v>
      </c>
      <c r="R19" s="17">
        <f>P19+ROUND(Q19, 2)</f>
        <v>375</v>
      </c>
      <c r="S19" s="17">
        <v>0</v>
      </c>
      <c r="T19" s="17">
        <v>70125</v>
      </c>
      <c r="U19" s="17">
        <f>S19+T19</f>
        <v>70125</v>
      </c>
      <c r="V19" s="9"/>
      <c r="W19" s="9">
        <f>ROUND(Q19 / 1.2, 2)</f>
        <v>312.5</v>
      </c>
      <c r="X19" s="9">
        <f>ROUND(R19 / 1.2, 2)</f>
        <v>312.5</v>
      </c>
      <c r="Y19" s="9"/>
      <c r="Z19" s="9">
        <f>ROUND(T19 / 1.2, 2)</f>
        <v>58437.5</v>
      </c>
      <c r="AA19" s="9">
        <f>Y19+Z19</f>
        <v>58437.5</v>
      </c>
      <c r="AD19" s="4">
        <v>339118784</v>
      </c>
      <c r="AE19" s="4">
        <v>28999469</v>
      </c>
      <c r="AG19" s="4" t="s">
        <v>85</v>
      </c>
      <c r="AH19" s="4" t="s">
        <v>86</v>
      </c>
      <c r="AI19" s="4" t="s">
        <v>60</v>
      </c>
    </row>
    <row r="20" spans="1:35" ht="36" x14ac:dyDescent="0.3">
      <c r="A20" s="10" t="s">
        <v>87</v>
      </c>
      <c r="B20" s="10" t="s">
        <v>82</v>
      </c>
      <c r="C20" s="14" t="s">
        <v>83</v>
      </c>
      <c r="D20" s="15"/>
      <c r="E20" s="15" t="s">
        <v>88</v>
      </c>
      <c r="F20" s="15" t="s">
        <v>75</v>
      </c>
      <c r="G20" s="16">
        <v>1</v>
      </c>
      <c r="H20" s="16"/>
      <c r="I20" s="16">
        <v>187</v>
      </c>
      <c r="J20" s="17">
        <v>0</v>
      </c>
      <c r="K20" s="18">
        <v>375</v>
      </c>
      <c r="L20" s="17">
        <f>J20+ROUND(K20, 2)</f>
        <v>375</v>
      </c>
      <c r="M20" s="17">
        <v>0</v>
      </c>
      <c r="N20" s="17">
        <v>70125</v>
      </c>
      <c r="O20" s="17">
        <f>M20+N20</f>
        <v>70125</v>
      </c>
      <c r="P20" s="17">
        <v>0</v>
      </c>
      <c r="Q20" s="18">
        <v>375</v>
      </c>
      <c r="R20" s="17">
        <f>P20+ROUND(Q20, 2)</f>
        <v>375</v>
      </c>
      <c r="S20" s="17">
        <v>0</v>
      </c>
      <c r="T20" s="17">
        <v>70125</v>
      </c>
      <c r="U20" s="17">
        <f>S20+T20</f>
        <v>70125</v>
      </c>
      <c r="V20" s="9"/>
      <c r="W20" s="9">
        <f>ROUND(Q20 / 1.2, 2)</f>
        <v>312.5</v>
      </c>
      <c r="X20" s="9">
        <f>ROUND(R20 / 1.2, 2)</f>
        <v>312.5</v>
      </c>
      <c r="Y20" s="9"/>
      <c r="Z20" s="9">
        <f>ROUND(T20 / 1.2, 2)</f>
        <v>58437.5</v>
      </c>
      <c r="AA20" s="9">
        <f>Y20+Z20</f>
        <v>58437.5</v>
      </c>
      <c r="AD20" s="4">
        <v>339118900</v>
      </c>
      <c r="AE20" s="4">
        <v>28999463</v>
      </c>
      <c r="AG20" s="4" t="s">
        <v>85</v>
      </c>
      <c r="AH20" s="4" t="s">
        <v>86</v>
      </c>
      <c r="AI20" s="4" t="s">
        <v>60</v>
      </c>
    </row>
    <row r="21" spans="1:35" ht="16.95" customHeight="1" x14ac:dyDescent="0.3">
      <c r="A21" s="10" t="s">
        <v>89</v>
      </c>
      <c r="B21" s="10" t="s">
        <v>90</v>
      </c>
      <c r="C21" s="120" t="s">
        <v>91</v>
      </c>
      <c r="D21" s="121"/>
      <c r="E21" s="121"/>
      <c r="F21" s="121"/>
      <c r="G21" s="121"/>
      <c r="H21" s="121"/>
      <c r="I21" s="122"/>
      <c r="M21" s="6">
        <f t="shared" ref="M21:O25" si="3">SUM(M22)</f>
        <v>126283.29</v>
      </c>
      <c r="N21" s="6">
        <f t="shared" si="3"/>
        <v>180408.36</v>
      </c>
      <c r="O21" s="6">
        <f t="shared" si="3"/>
        <v>306691.64999999997</v>
      </c>
      <c r="S21" s="6">
        <f t="shared" ref="S21:U25" si="4">SUM(S22)</f>
        <v>126283.29</v>
      </c>
      <c r="T21" s="6">
        <f t="shared" si="4"/>
        <v>180408.36</v>
      </c>
      <c r="U21" s="6">
        <f t="shared" si="4"/>
        <v>306691.64999999997</v>
      </c>
      <c r="Y21" s="9">
        <f t="shared" ref="Y21:AA25" si="5">SUM(Y22)</f>
        <v>105236.08</v>
      </c>
      <c r="Z21" s="9">
        <f t="shared" si="5"/>
        <v>150340.29999999999</v>
      </c>
      <c r="AA21" s="9">
        <f t="shared" si="5"/>
        <v>255576.38</v>
      </c>
      <c r="AD21" s="4">
        <v>339118785</v>
      </c>
      <c r="AE21" s="4">
        <v>25887979</v>
      </c>
    </row>
    <row r="22" spans="1:35" ht="16.95" customHeight="1" x14ac:dyDescent="0.3">
      <c r="A22" s="10" t="s">
        <v>92</v>
      </c>
      <c r="B22" s="10" t="s">
        <v>93</v>
      </c>
      <c r="C22" s="120" t="s">
        <v>94</v>
      </c>
      <c r="D22" s="121"/>
      <c r="E22" s="121"/>
      <c r="F22" s="121"/>
      <c r="G22" s="121"/>
      <c r="H22" s="121"/>
      <c r="I22" s="122"/>
      <c r="M22" s="6">
        <f t="shared" si="3"/>
        <v>126283.29</v>
      </c>
      <c r="N22" s="6">
        <f t="shared" si="3"/>
        <v>180408.36</v>
      </c>
      <c r="O22" s="6">
        <f t="shared" si="3"/>
        <v>306691.64999999997</v>
      </c>
      <c r="S22" s="6">
        <f t="shared" si="4"/>
        <v>126283.29</v>
      </c>
      <c r="T22" s="6">
        <f t="shared" si="4"/>
        <v>180408.36</v>
      </c>
      <c r="U22" s="6">
        <f t="shared" si="4"/>
        <v>306691.64999999997</v>
      </c>
      <c r="Y22" s="9">
        <f t="shared" si="5"/>
        <v>105236.08</v>
      </c>
      <c r="Z22" s="9">
        <f t="shared" si="5"/>
        <v>150340.29999999999</v>
      </c>
      <c r="AA22" s="9">
        <f t="shared" si="5"/>
        <v>255576.38</v>
      </c>
      <c r="AD22" s="4">
        <v>339118786</v>
      </c>
      <c r="AE22" s="4">
        <v>25887950</v>
      </c>
    </row>
    <row r="23" spans="1:35" ht="16.95" customHeight="1" x14ac:dyDescent="0.3">
      <c r="A23" s="10" t="s">
        <v>95</v>
      </c>
      <c r="B23" s="10" t="s">
        <v>96</v>
      </c>
      <c r="C23" s="120" t="s">
        <v>97</v>
      </c>
      <c r="D23" s="121"/>
      <c r="E23" s="121"/>
      <c r="F23" s="121"/>
      <c r="G23" s="121"/>
      <c r="H23" s="121"/>
      <c r="I23" s="122"/>
      <c r="M23" s="6">
        <f t="shared" si="3"/>
        <v>126283.29</v>
      </c>
      <c r="N23" s="6">
        <f t="shared" si="3"/>
        <v>180408.36</v>
      </c>
      <c r="O23" s="6">
        <f t="shared" si="3"/>
        <v>306691.64999999997</v>
      </c>
      <c r="S23" s="6">
        <f t="shared" si="4"/>
        <v>126283.29</v>
      </c>
      <c r="T23" s="6">
        <f t="shared" si="4"/>
        <v>180408.36</v>
      </c>
      <c r="U23" s="6">
        <f t="shared" si="4"/>
        <v>306691.64999999997</v>
      </c>
      <c r="Y23" s="9">
        <f t="shared" si="5"/>
        <v>105236.08</v>
      </c>
      <c r="Z23" s="9">
        <f t="shared" si="5"/>
        <v>150340.29999999999</v>
      </c>
      <c r="AA23" s="9">
        <f t="shared" si="5"/>
        <v>255576.38</v>
      </c>
      <c r="AD23" s="4">
        <v>339118787</v>
      </c>
      <c r="AE23" s="4">
        <v>25887939</v>
      </c>
    </row>
    <row r="24" spans="1:35" ht="16.95" customHeight="1" x14ac:dyDescent="0.3">
      <c r="A24" s="10" t="s">
        <v>98</v>
      </c>
      <c r="B24" s="10" t="s">
        <v>99</v>
      </c>
      <c r="C24" s="120" t="s">
        <v>100</v>
      </c>
      <c r="D24" s="121"/>
      <c r="E24" s="121"/>
      <c r="F24" s="121"/>
      <c r="G24" s="121"/>
      <c r="H24" s="121"/>
      <c r="I24" s="122"/>
      <c r="M24" s="6">
        <f t="shared" si="3"/>
        <v>126283.29</v>
      </c>
      <c r="N24" s="6">
        <f t="shared" si="3"/>
        <v>180408.36</v>
      </c>
      <c r="O24" s="6">
        <f t="shared" si="3"/>
        <v>306691.64999999997</v>
      </c>
      <c r="S24" s="6">
        <f t="shared" si="4"/>
        <v>126283.29</v>
      </c>
      <c r="T24" s="6">
        <f t="shared" si="4"/>
        <v>180408.36</v>
      </c>
      <c r="U24" s="6">
        <f t="shared" si="4"/>
        <v>306691.64999999997</v>
      </c>
      <c r="Y24" s="9">
        <f t="shared" si="5"/>
        <v>105236.08</v>
      </c>
      <c r="Z24" s="9">
        <f t="shared" si="5"/>
        <v>150340.29999999999</v>
      </c>
      <c r="AA24" s="9">
        <f t="shared" si="5"/>
        <v>255576.38</v>
      </c>
      <c r="AD24" s="4">
        <v>339118788</v>
      </c>
      <c r="AE24" s="4">
        <v>25887952</v>
      </c>
    </row>
    <row r="25" spans="1:35" ht="16.95" customHeight="1" x14ac:dyDescent="0.3">
      <c r="A25" s="10" t="s">
        <v>101</v>
      </c>
      <c r="B25" s="10" t="s">
        <v>102</v>
      </c>
      <c r="C25" s="120" t="s">
        <v>103</v>
      </c>
      <c r="D25" s="121"/>
      <c r="E25" s="121"/>
      <c r="F25" s="121"/>
      <c r="G25" s="121"/>
      <c r="H25" s="121"/>
      <c r="I25" s="122"/>
      <c r="M25" s="6">
        <f t="shared" si="3"/>
        <v>126283.29</v>
      </c>
      <c r="N25" s="6">
        <f t="shared" si="3"/>
        <v>180408.36</v>
      </c>
      <c r="O25" s="6">
        <f t="shared" si="3"/>
        <v>306691.64999999997</v>
      </c>
      <c r="S25" s="6">
        <f t="shared" si="4"/>
        <v>126283.29</v>
      </c>
      <c r="T25" s="6">
        <f t="shared" si="4"/>
        <v>180408.36</v>
      </c>
      <c r="U25" s="6">
        <f t="shared" si="4"/>
        <v>306691.64999999997</v>
      </c>
      <c r="Y25" s="9">
        <f t="shared" si="5"/>
        <v>105236.08</v>
      </c>
      <c r="Z25" s="9">
        <f t="shared" si="5"/>
        <v>150340.29999999999</v>
      </c>
      <c r="AA25" s="9">
        <f t="shared" si="5"/>
        <v>255576.38</v>
      </c>
      <c r="AD25" s="4">
        <v>339118789</v>
      </c>
      <c r="AE25" s="4">
        <v>25887940</v>
      </c>
    </row>
    <row r="26" spans="1:35" ht="72" x14ac:dyDescent="0.3">
      <c r="A26" s="10" t="s">
        <v>104</v>
      </c>
      <c r="B26" s="10" t="s">
        <v>105</v>
      </c>
      <c r="C26" s="14" t="s">
        <v>106</v>
      </c>
      <c r="D26" s="15" t="s">
        <v>107</v>
      </c>
      <c r="E26" s="15" t="s">
        <v>108</v>
      </c>
      <c r="F26" s="15" t="s">
        <v>75</v>
      </c>
      <c r="G26" s="16">
        <v>1</v>
      </c>
      <c r="H26" s="16"/>
      <c r="I26" s="16">
        <v>128.04</v>
      </c>
      <c r="J26" s="17">
        <v>986.28</v>
      </c>
      <c r="K26" s="18">
        <v>1409</v>
      </c>
      <c r="L26" s="17">
        <f>J26+ROUND(K26, 2)</f>
        <v>2395.2799999999997</v>
      </c>
      <c r="M26" s="17">
        <v>126283.29</v>
      </c>
      <c r="N26" s="17">
        <v>180408.36</v>
      </c>
      <c r="O26" s="17">
        <f>M26+N26</f>
        <v>306691.64999999997</v>
      </c>
      <c r="P26" s="17">
        <v>986.28</v>
      </c>
      <c r="Q26" s="18">
        <v>1409</v>
      </c>
      <c r="R26" s="17">
        <f>P26+ROUND(Q26, 2)</f>
        <v>2395.2799999999997</v>
      </c>
      <c r="S26" s="17">
        <v>126283.29</v>
      </c>
      <c r="T26" s="17">
        <v>180408.36</v>
      </c>
      <c r="U26" s="17">
        <f>S26+T26</f>
        <v>306691.64999999997</v>
      </c>
      <c r="V26" s="9">
        <f>ROUND(P26 / 1.2, 2)</f>
        <v>821.9</v>
      </c>
      <c r="W26" s="9">
        <f>ROUND(Q26 / 1.2, 2)</f>
        <v>1174.17</v>
      </c>
      <c r="X26" s="9">
        <f>ROUND(R26 / 1.2, 2)</f>
        <v>1996.07</v>
      </c>
      <c r="Y26" s="9">
        <f>ROUND(S26 / 1.2, 2)</f>
        <v>105236.08</v>
      </c>
      <c r="Z26" s="9">
        <f>ROUND(T26 / 1.2, 2)</f>
        <v>150340.29999999999</v>
      </c>
      <c r="AA26" s="9">
        <f>Y26+Z26</f>
        <v>255576.38</v>
      </c>
      <c r="AD26" s="4">
        <v>339118791</v>
      </c>
      <c r="AE26" s="4">
        <v>25887983</v>
      </c>
      <c r="AG26" s="4" t="s">
        <v>109</v>
      </c>
      <c r="AH26" s="4" t="s">
        <v>110</v>
      </c>
      <c r="AI26" s="4" t="s">
        <v>111</v>
      </c>
    </row>
    <row r="27" spans="1:35" ht="72" x14ac:dyDescent="0.3">
      <c r="A27" s="10" t="s">
        <v>112</v>
      </c>
      <c r="B27" s="10"/>
      <c r="C27" s="24" t="s">
        <v>113</v>
      </c>
      <c r="D27" s="15"/>
      <c r="E27" s="15"/>
      <c r="F27" s="25" t="s">
        <v>114</v>
      </c>
      <c r="G27" s="26">
        <v>1</v>
      </c>
      <c r="H27" s="26"/>
      <c r="I27" s="26">
        <v>128.04</v>
      </c>
      <c r="J27" s="27">
        <v>111.15</v>
      </c>
      <c r="M27" s="28">
        <f>ROUND(ROUND(J27, 2)*I27, 2)</f>
        <v>14231.65</v>
      </c>
      <c r="P27" s="27">
        <v>111.15</v>
      </c>
      <c r="S27" s="28">
        <f>ROUND(ROUND(P27, 2)*I27, 2)</f>
        <v>14231.65</v>
      </c>
      <c r="V27" s="9">
        <f>ROUND(ROUND(P27, 2)/1.2, 2)</f>
        <v>92.63</v>
      </c>
      <c r="Y27" s="9">
        <f>ROUND(S27 / 1.2, 2)</f>
        <v>11859.71</v>
      </c>
      <c r="AD27" s="4" t="s">
        <v>115</v>
      </c>
      <c r="AE27" s="4" t="s">
        <v>116</v>
      </c>
      <c r="AF27" s="4" t="s">
        <v>117</v>
      </c>
    </row>
    <row r="28" spans="1:35" ht="18" x14ac:dyDescent="0.3">
      <c r="A28" s="10" t="s">
        <v>118</v>
      </c>
      <c r="B28" s="10"/>
      <c r="C28" s="30" t="s">
        <v>119</v>
      </c>
      <c r="D28" s="15"/>
      <c r="E28" s="15"/>
      <c r="F28" s="25" t="s">
        <v>120</v>
      </c>
      <c r="G28" s="31">
        <v>2.1</v>
      </c>
      <c r="H28" s="26"/>
      <c r="I28" s="26">
        <v>268.88400000000001</v>
      </c>
      <c r="J28" s="27">
        <v>70.97</v>
      </c>
      <c r="M28" s="28">
        <f>ROUND(ROUND(J28, 2)*I28, 2)</f>
        <v>19082.7</v>
      </c>
      <c r="P28" s="27">
        <v>70.97</v>
      </c>
      <c r="S28" s="28">
        <f>ROUND(ROUND(P28, 2)*I28, 2)</f>
        <v>19082.7</v>
      </c>
      <c r="V28" s="9">
        <f>ROUND(ROUND(P28, 2)/1.2, 2)</f>
        <v>59.14</v>
      </c>
      <c r="Y28" s="9">
        <f>ROUND(S28 / 1.2, 2)</f>
        <v>15902.25</v>
      </c>
      <c r="AD28" s="4" t="s">
        <v>121</v>
      </c>
      <c r="AE28" s="4" t="s">
        <v>122</v>
      </c>
      <c r="AF28" s="4" t="s">
        <v>123</v>
      </c>
    </row>
    <row r="29" spans="1:35" ht="18" x14ac:dyDescent="0.3">
      <c r="A29" s="10" t="s">
        <v>124</v>
      </c>
      <c r="B29" s="10"/>
      <c r="C29" s="30" t="s">
        <v>125</v>
      </c>
      <c r="D29" s="15"/>
      <c r="E29" s="15"/>
      <c r="F29" s="25" t="s">
        <v>120</v>
      </c>
      <c r="G29" s="31">
        <v>0.8</v>
      </c>
      <c r="H29" s="26"/>
      <c r="I29" s="26">
        <v>102.432</v>
      </c>
      <c r="J29" s="27">
        <v>56.76</v>
      </c>
      <c r="M29" s="28">
        <f>ROUND(ROUND(J29, 2)*I29, 2)</f>
        <v>5814.04</v>
      </c>
      <c r="P29" s="27">
        <v>56.76</v>
      </c>
      <c r="S29" s="28">
        <f>ROUND(ROUND(P29, 2)*I29, 2)</f>
        <v>5814.04</v>
      </c>
      <c r="V29" s="9">
        <f>ROUND(ROUND(P29, 2)/1.2, 2)</f>
        <v>47.3</v>
      </c>
      <c r="Y29" s="9">
        <f>ROUND(S29 / 1.2, 2)</f>
        <v>4845.03</v>
      </c>
      <c r="AD29" s="4" t="s">
        <v>126</v>
      </c>
      <c r="AE29" s="4" t="s">
        <v>127</v>
      </c>
      <c r="AF29" s="4" t="s">
        <v>128</v>
      </c>
    </row>
    <row r="30" spans="1:35" ht="18" x14ac:dyDescent="0.3">
      <c r="A30" s="10" t="s">
        <v>129</v>
      </c>
      <c r="B30" s="10"/>
      <c r="C30" s="30" t="s">
        <v>130</v>
      </c>
      <c r="D30" s="15"/>
      <c r="E30" s="15"/>
      <c r="F30" s="25" t="s">
        <v>75</v>
      </c>
      <c r="G30" s="26">
        <v>2.2000000000000002</v>
      </c>
      <c r="H30" s="26"/>
      <c r="I30" s="26">
        <v>281.68799999999999</v>
      </c>
      <c r="J30" s="27">
        <v>309.39999999999998</v>
      </c>
      <c r="M30" s="28">
        <f>ROUND(ROUND(J30, 2)*I30, 2)</f>
        <v>87154.27</v>
      </c>
      <c r="P30" s="27">
        <v>309.39999999999998</v>
      </c>
      <c r="S30" s="28">
        <f>ROUND(ROUND(P30, 2)*I30, 2)</f>
        <v>87154.27</v>
      </c>
      <c r="V30" s="9">
        <f>ROUND(ROUND(P30, 2)/1.2, 2)</f>
        <v>257.83</v>
      </c>
      <c r="Y30" s="9">
        <f>ROUND(S30 / 1.2, 2)</f>
        <v>72628.56</v>
      </c>
      <c r="AD30" s="4" t="s">
        <v>131</v>
      </c>
      <c r="AE30" s="4" t="s">
        <v>132</v>
      </c>
      <c r="AF30" s="4" t="s">
        <v>133</v>
      </c>
    </row>
    <row r="31" spans="1:35" ht="16.95" customHeight="1" x14ac:dyDescent="0.3">
      <c r="A31" s="10" t="s">
        <v>134</v>
      </c>
      <c r="B31" s="10" t="s">
        <v>135</v>
      </c>
      <c r="C31" s="120" t="s">
        <v>136</v>
      </c>
      <c r="D31" s="121"/>
      <c r="E31" s="121"/>
      <c r="F31" s="121"/>
      <c r="G31" s="121"/>
      <c r="H31" s="121"/>
      <c r="I31" s="122"/>
      <c r="M31" s="6">
        <f t="shared" ref="M31:O32" si="6">SUM(M32)</f>
        <v>24590915.689999998</v>
      </c>
      <c r="N31" s="6">
        <f t="shared" si="6"/>
        <v>56511043.260000005</v>
      </c>
      <c r="O31" s="6">
        <f t="shared" si="6"/>
        <v>81101958.950000003</v>
      </c>
      <c r="S31" s="6">
        <f t="shared" ref="S31:U32" si="7">SUM(S32)</f>
        <v>41045672.970000006</v>
      </c>
      <c r="T31" s="6">
        <f t="shared" si="7"/>
        <v>55224431.569999993</v>
      </c>
      <c r="U31" s="6">
        <f t="shared" si="7"/>
        <v>96270104.540000007</v>
      </c>
      <c r="Y31" s="9">
        <f t="shared" ref="Y31:AA32" si="8">SUM(Y32)</f>
        <v>34204727.549999997</v>
      </c>
      <c r="Z31" s="9">
        <f t="shared" si="8"/>
        <v>46020359.670000009</v>
      </c>
      <c r="AA31" s="9">
        <f t="shared" si="8"/>
        <v>80225087.219999999</v>
      </c>
      <c r="AD31" s="4">
        <v>339118792</v>
      </c>
      <c r="AE31" s="4">
        <v>25887945</v>
      </c>
    </row>
    <row r="32" spans="1:35" ht="16.95" customHeight="1" x14ac:dyDescent="0.3">
      <c r="A32" s="10" t="s">
        <v>137</v>
      </c>
      <c r="B32" s="10" t="s">
        <v>138</v>
      </c>
      <c r="C32" s="120" t="s">
        <v>139</v>
      </c>
      <c r="D32" s="121"/>
      <c r="E32" s="121"/>
      <c r="F32" s="121"/>
      <c r="G32" s="121"/>
      <c r="H32" s="121"/>
      <c r="I32" s="122"/>
      <c r="M32" s="6">
        <f t="shared" si="6"/>
        <v>24590915.689999998</v>
      </c>
      <c r="N32" s="6">
        <f t="shared" si="6"/>
        <v>56511043.260000005</v>
      </c>
      <c r="O32" s="6">
        <f t="shared" si="6"/>
        <v>81101958.950000003</v>
      </c>
      <c r="S32" s="6">
        <f t="shared" si="7"/>
        <v>41045672.970000006</v>
      </c>
      <c r="T32" s="6">
        <f t="shared" si="7"/>
        <v>55224431.569999993</v>
      </c>
      <c r="U32" s="6">
        <f t="shared" si="7"/>
        <v>96270104.540000007</v>
      </c>
      <c r="Y32" s="9">
        <f t="shared" si="8"/>
        <v>34204727.549999997</v>
      </c>
      <c r="Z32" s="9">
        <f t="shared" si="8"/>
        <v>46020359.670000009</v>
      </c>
      <c r="AA32" s="9">
        <f t="shared" si="8"/>
        <v>80225087.219999999</v>
      </c>
      <c r="AD32" s="4">
        <v>339118793</v>
      </c>
      <c r="AE32" s="4">
        <v>25887953</v>
      </c>
    </row>
    <row r="33" spans="1:35" ht="16.95" customHeight="1" x14ac:dyDescent="0.3">
      <c r="A33" s="10" t="s">
        <v>140</v>
      </c>
      <c r="B33" s="10" t="s">
        <v>141</v>
      </c>
      <c r="C33" s="120" t="s">
        <v>142</v>
      </c>
      <c r="D33" s="121"/>
      <c r="E33" s="121"/>
      <c r="F33" s="121"/>
      <c r="G33" s="121"/>
      <c r="H33" s="121"/>
      <c r="I33" s="122"/>
      <c r="M33" s="6">
        <f>SUM(M34,M200,M335,M393,M454)</f>
        <v>24590915.689999998</v>
      </c>
      <c r="N33" s="6">
        <f>SUM(N34,N200,N335,N393,N454)</f>
        <v>56511043.260000005</v>
      </c>
      <c r="O33" s="6">
        <f>SUM(O34,O200,O335,O393,O454)</f>
        <v>81101958.950000003</v>
      </c>
      <c r="S33" s="6">
        <f>SUM(S34,S200,S335,S393,S454)</f>
        <v>41045672.970000006</v>
      </c>
      <c r="T33" s="6">
        <f>SUM(T34,T200,T335,T393,T454)</f>
        <v>55224431.569999993</v>
      </c>
      <c r="U33" s="6">
        <f>SUM(U34,U200,U335,U393,U454)</f>
        <v>96270104.540000007</v>
      </c>
      <c r="Y33" s="9">
        <f>SUM(Y34,Y200,Y335,Y393,Y454)</f>
        <v>34204727.549999997</v>
      </c>
      <c r="Z33" s="9">
        <f>SUM(Z34,Z200,Z335,Z393,Z454)</f>
        <v>46020359.670000009</v>
      </c>
      <c r="AA33" s="9">
        <f>SUM(AA34,AA200,AA335,AA393,AA454)</f>
        <v>80225087.219999999</v>
      </c>
      <c r="AD33" s="4">
        <v>339118794</v>
      </c>
      <c r="AE33" s="4">
        <v>25887974</v>
      </c>
    </row>
    <row r="34" spans="1:35" ht="16.95" customHeight="1" x14ac:dyDescent="0.3">
      <c r="A34" s="10" t="s">
        <v>143</v>
      </c>
      <c r="B34" s="10" t="s">
        <v>144</v>
      </c>
      <c r="C34" s="120" t="s">
        <v>145</v>
      </c>
      <c r="D34" s="121"/>
      <c r="E34" s="121"/>
      <c r="F34" s="121"/>
      <c r="G34" s="121"/>
      <c r="H34" s="121"/>
      <c r="I34" s="122"/>
      <c r="M34" s="6">
        <f>SUM(M35,M102,M113,M197)</f>
        <v>16450255.149999999</v>
      </c>
      <c r="N34" s="6">
        <f>SUM(N35,N102,N113,N197)</f>
        <v>17727542.520000003</v>
      </c>
      <c r="O34" s="6">
        <f>SUM(O35,O102,O113,O197)</f>
        <v>34177797.670000002</v>
      </c>
      <c r="S34" s="6">
        <f>SUM(S35,S102,S113,S197)</f>
        <v>26143227.240000002</v>
      </c>
      <c r="T34" s="6">
        <f>SUM(T35,T102,T113,T197)</f>
        <v>16459582.609999999</v>
      </c>
      <c r="U34" s="6">
        <f>SUM(U35,U102,U113,U197)</f>
        <v>42602809.850000009</v>
      </c>
      <c r="Y34" s="9">
        <f>SUM(Y35,Y102,Y113,Y197)</f>
        <v>21786022.73</v>
      </c>
      <c r="Z34" s="9">
        <f>SUM(Z35,Z102,Z113,Z197)</f>
        <v>13716318.84</v>
      </c>
      <c r="AA34" s="9">
        <f>SUM(AA35,AA102,AA113,AA197)</f>
        <v>35502341.57</v>
      </c>
      <c r="AD34" s="4">
        <v>339118795</v>
      </c>
      <c r="AE34" s="4">
        <v>25887978</v>
      </c>
    </row>
    <row r="35" spans="1:35" ht="16.95" customHeight="1" x14ac:dyDescent="0.3">
      <c r="A35" s="10" t="s">
        <v>146</v>
      </c>
      <c r="B35" s="10" t="s">
        <v>147</v>
      </c>
      <c r="C35" s="120" t="s">
        <v>148</v>
      </c>
      <c r="D35" s="121"/>
      <c r="E35" s="121"/>
      <c r="F35" s="121"/>
      <c r="G35" s="121"/>
      <c r="H35" s="121"/>
      <c r="I35" s="122"/>
      <c r="M35" s="6">
        <f>SUM(M36,M40,M44,M46,M48,M50,M53,M55,M60,M65,M70,M76,M81,M86,M91,M97)</f>
        <v>5011332.5799999991</v>
      </c>
      <c r="N35" s="6">
        <f>SUM(N36,N40,N44,N46,N48,N50,N53,N55,N60,N65,N70,N76,N81,N86,N91,N97)</f>
        <v>6043033.25</v>
      </c>
      <c r="O35" s="6">
        <f>SUM(O36,O40,O44,O46,O48,O50,O53,O55,O60,O65,O70,O76,O81,O86,O91,O97)</f>
        <v>11054365.83</v>
      </c>
      <c r="S35" s="6">
        <f>SUM(S36,S40,S44,S46,S48,S50,S53,S55,S60,S65,S70,S76,S81,S86,S91,S97)</f>
        <v>5011329.59</v>
      </c>
      <c r="T35" s="6">
        <f>SUM(T36,T40,T44,T46,T48,T50,T53,T55,T60,T65,T70,T76,T81,T86,T91,T97)</f>
        <v>5834960.5300000003</v>
      </c>
      <c r="U35" s="6">
        <f>SUM(U36,U40,U44,U46,U48,U50,U53,U55,U60,U65,U70,U76,U81,U86,U91,U97)</f>
        <v>10846290.120000001</v>
      </c>
      <c r="Y35" s="9">
        <f>SUM(Y36,Y40,Y44,Y46,Y48,Y50,Y53,Y55,Y60,Y65,Y70,Y76,Y81,Y86,Y91,Y97)</f>
        <v>4176107.9999999995</v>
      </c>
      <c r="Z35" s="9">
        <f>SUM(Z36,Z40,Z44,Z46,Z48,Z50,Z53,Z55,Z60,Z65,Z70,Z76,Z81,Z86,Z91,Z97)</f>
        <v>4862467.1100000003</v>
      </c>
      <c r="AA35" s="9">
        <f>SUM(AA36,AA40,AA44,AA46,AA48,AA50,AA53,AA55,AA60,AA65,AA70,AA76,AA81,AA86,AA91,AA97)</f>
        <v>9038575.1099999994</v>
      </c>
      <c r="AD35" s="4">
        <v>339118796</v>
      </c>
      <c r="AE35" s="4">
        <v>25887971</v>
      </c>
    </row>
    <row r="36" spans="1:35" ht="54" x14ac:dyDescent="0.3">
      <c r="A36" s="10" t="s">
        <v>149</v>
      </c>
      <c r="B36" s="10" t="s">
        <v>150</v>
      </c>
      <c r="C36" s="14" t="s">
        <v>151</v>
      </c>
      <c r="D36" s="15" t="s">
        <v>152</v>
      </c>
      <c r="E36" s="15" t="s">
        <v>153</v>
      </c>
      <c r="F36" s="15" t="s">
        <v>75</v>
      </c>
      <c r="G36" s="16">
        <v>1</v>
      </c>
      <c r="H36" s="16"/>
      <c r="I36" s="16">
        <v>4905.38</v>
      </c>
      <c r="J36" s="17">
        <v>187.76</v>
      </c>
      <c r="K36" s="18">
        <v>400</v>
      </c>
      <c r="L36" s="17">
        <f>J36+ROUND(K36, 2)</f>
        <v>587.76</v>
      </c>
      <c r="M36" s="17">
        <v>921034.15</v>
      </c>
      <c r="N36" s="17">
        <v>1962152</v>
      </c>
      <c r="O36" s="17">
        <f>M36+N36</f>
        <v>2883186.15</v>
      </c>
      <c r="P36" s="17">
        <v>187.76</v>
      </c>
      <c r="Q36" s="18">
        <v>400</v>
      </c>
      <c r="R36" s="17">
        <f>P36+ROUND(Q36, 2)</f>
        <v>587.76</v>
      </c>
      <c r="S36" s="17">
        <v>921034.15</v>
      </c>
      <c r="T36" s="17">
        <v>1962152</v>
      </c>
      <c r="U36" s="17">
        <f>S36+T36</f>
        <v>2883186.15</v>
      </c>
      <c r="V36" s="9">
        <f>ROUND(P36 / 1.2, 2)</f>
        <v>156.47</v>
      </c>
      <c r="W36" s="9">
        <f>ROUND(Q36 / 1.2, 2)</f>
        <v>333.33</v>
      </c>
      <c r="X36" s="9">
        <f>ROUND(R36 / 1.2, 2)</f>
        <v>489.8</v>
      </c>
      <c r="Y36" s="9">
        <f>ROUND(S36 / 1.2, 2)</f>
        <v>767528.46</v>
      </c>
      <c r="Z36" s="9">
        <f>ROUND(T36 / 1.2, 2)</f>
        <v>1635126.67</v>
      </c>
      <c r="AA36" s="9">
        <f>Y36+Z36</f>
        <v>2402655.13</v>
      </c>
      <c r="AD36" s="4">
        <v>339118798</v>
      </c>
      <c r="AE36" s="4">
        <v>25888012</v>
      </c>
      <c r="AG36" s="4" t="s">
        <v>154</v>
      </c>
      <c r="AH36" s="4" t="s">
        <v>155</v>
      </c>
      <c r="AI36" s="4" t="s">
        <v>156</v>
      </c>
    </row>
    <row r="37" spans="1:35" ht="36" x14ac:dyDescent="0.3">
      <c r="A37" s="10" t="s">
        <v>157</v>
      </c>
      <c r="B37" s="10"/>
      <c r="C37" s="30" t="s">
        <v>158</v>
      </c>
      <c r="D37" s="15"/>
      <c r="E37" s="15"/>
      <c r="F37" s="25" t="s">
        <v>159</v>
      </c>
      <c r="G37" s="26">
        <v>1.6</v>
      </c>
      <c r="H37" s="32"/>
      <c r="I37" s="32">
        <v>78486.080000000002</v>
      </c>
      <c r="J37" s="27">
        <v>9.67</v>
      </c>
      <c r="M37" s="28">
        <f>ROUND(ROUND(J37, 2)*I37, 2)</f>
        <v>758960.39</v>
      </c>
      <c r="P37" s="27">
        <v>9.67</v>
      </c>
      <c r="S37" s="28">
        <f>ROUND(ROUND(P37, 2)*I37, 2)</f>
        <v>758960.39</v>
      </c>
      <c r="V37" s="9">
        <f>ROUND(ROUND(P37, 2)/1.2, 2)</f>
        <v>8.06</v>
      </c>
      <c r="Y37" s="9">
        <f t="shared" ref="Y37:Y100" si="9">ROUND(S37 / 1.2, 2)</f>
        <v>632466.99</v>
      </c>
      <c r="AD37" s="4" t="s">
        <v>160</v>
      </c>
      <c r="AE37" s="4" t="s">
        <v>161</v>
      </c>
      <c r="AF37" s="4" t="s">
        <v>162</v>
      </c>
    </row>
    <row r="38" spans="1:35" ht="18" x14ac:dyDescent="0.3">
      <c r="A38" s="10" t="s">
        <v>163</v>
      </c>
      <c r="B38" s="10"/>
      <c r="C38" s="24" t="s">
        <v>164</v>
      </c>
      <c r="D38" s="15"/>
      <c r="E38" s="15"/>
      <c r="F38" s="25" t="s">
        <v>120</v>
      </c>
      <c r="G38" s="26">
        <v>1</v>
      </c>
      <c r="H38" s="32"/>
      <c r="I38" s="32">
        <v>4905.38</v>
      </c>
      <c r="J38" s="27">
        <v>10.4</v>
      </c>
      <c r="M38" s="28">
        <f>ROUND(ROUND(J38, 2)*I38, 2)</f>
        <v>51015.95</v>
      </c>
      <c r="P38" s="27">
        <v>10.4</v>
      </c>
      <c r="S38" s="28">
        <f>ROUND(ROUND(P38, 2)*I38, 2)</f>
        <v>51015.95</v>
      </c>
      <c r="V38" s="9">
        <f>ROUND(ROUND(P38, 2)/1.2, 2)</f>
        <v>8.67</v>
      </c>
      <c r="Y38" s="9">
        <f t="shared" si="9"/>
        <v>42513.29</v>
      </c>
      <c r="AD38" s="4" t="s">
        <v>165</v>
      </c>
      <c r="AE38" s="4" t="s">
        <v>166</v>
      </c>
      <c r="AF38" s="4" t="s">
        <v>167</v>
      </c>
    </row>
    <row r="39" spans="1:35" ht="36" x14ac:dyDescent="0.3">
      <c r="A39" s="10" t="s">
        <v>168</v>
      </c>
      <c r="B39" s="10"/>
      <c r="C39" s="24" t="s">
        <v>169</v>
      </c>
      <c r="D39" s="15"/>
      <c r="E39" s="15"/>
      <c r="F39" s="25" t="s">
        <v>159</v>
      </c>
      <c r="G39" s="26">
        <v>0.255</v>
      </c>
      <c r="H39" s="32"/>
      <c r="I39" s="32">
        <v>1250.8720000000001</v>
      </c>
      <c r="J39" s="27">
        <v>88.8</v>
      </c>
      <c r="M39" s="28">
        <f>ROUND(ROUND(J39, 2)*I39, 2)</f>
        <v>111077.43</v>
      </c>
      <c r="P39" s="27">
        <v>88.8</v>
      </c>
      <c r="S39" s="28">
        <f>ROUND(ROUND(P39, 2)*I39, 2)</f>
        <v>111077.43</v>
      </c>
      <c r="V39" s="9">
        <f>ROUND(ROUND(P39, 2)/1.2, 2)</f>
        <v>74</v>
      </c>
      <c r="Y39" s="9">
        <f t="shared" si="9"/>
        <v>92564.53</v>
      </c>
      <c r="AD39" s="4" t="s">
        <v>170</v>
      </c>
      <c r="AE39" s="4" t="s">
        <v>171</v>
      </c>
      <c r="AF39" s="4" t="s">
        <v>172</v>
      </c>
    </row>
    <row r="40" spans="1:35" ht="54" x14ac:dyDescent="0.3">
      <c r="A40" s="82" t="s">
        <v>173</v>
      </c>
      <c r="B40" s="82" t="s">
        <v>150</v>
      </c>
      <c r="C40" s="83" t="s">
        <v>174</v>
      </c>
      <c r="D40" s="85" t="s">
        <v>152</v>
      </c>
      <c r="E40" s="85" t="s">
        <v>175</v>
      </c>
      <c r="F40" s="85" t="s">
        <v>75</v>
      </c>
      <c r="G40" s="86">
        <v>1</v>
      </c>
      <c r="H40" s="86"/>
      <c r="I40" s="86">
        <v>1890.45</v>
      </c>
      <c r="J40" s="88">
        <v>181.12</v>
      </c>
      <c r="K40" s="89">
        <v>400</v>
      </c>
      <c r="L40" s="88">
        <f>J40+ROUND(K40, 2)</f>
        <v>581.12</v>
      </c>
      <c r="M40" s="17">
        <v>342398.3</v>
      </c>
      <c r="N40" s="17">
        <v>756180</v>
      </c>
      <c r="O40" s="17">
        <f>M40+N40</f>
        <v>1098578.3</v>
      </c>
      <c r="P40" s="17">
        <v>181.12</v>
      </c>
      <c r="Q40" s="18">
        <v>400</v>
      </c>
      <c r="R40" s="17">
        <f>P40+ROUND(Q40, 2)</f>
        <v>581.12</v>
      </c>
      <c r="S40" s="17">
        <v>342398.3</v>
      </c>
      <c r="T40" s="17">
        <v>756180</v>
      </c>
      <c r="U40" s="17">
        <f>S40+T40</f>
        <v>1098578.3</v>
      </c>
      <c r="V40" s="9">
        <f>ROUND(P40 / 1.2, 2)</f>
        <v>150.93</v>
      </c>
      <c r="W40" s="9">
        <f>ROUND(Q40 / 1.2, 2)</f>
        <v>333.33</v>
      </c>
      <c r="X40" s="9">
        <f>ROUND(R40 / 1.2, 2)</f>
        <v>484.27</v>
      </c>
      <c r="Y40" s="9">
        <f t="shared" si="9"/>
        <v>285331.92</v>
      </c>
      <c r="Z40" s="9">
        <f>ROUND(T40 / 1.2, 2)</f>
        <v>630150</v>
      </c>
      <c r="AA40" s="9">
        <f>Y40+Z40</f>
        <v>915481.91999999993</v>
      </c>
      <c r="AD40" s="4">
        <v>339118901</v>
      </c>
      <c r="AE40" s="4">
        <v>28951149</v>
      </c>
      <c r="AG40" s="4" t="s">
        <v>154</v>
      </c>
      <c r="AH40" s="4" t="s">
        <v>155</v>
      </c>
      <c r="AI40" s="4" t="s">
        <v>156</v>
      </c>
    </row>
    <row r="41" spans="1:35" ht="36" x14ac:dyDescent="0.3">
      <c r="A41" s="10" t="s">
        <v>176</v>
      </c>
      <c r="B41" s="10"/>
      <c r="C41" s="24" t="s">
        <v>169</v>
      </c>
      <c r="D41" s="15"/>
      <c r="E41" s="15"/>
      <c r="F41" s="25" t="s">
        <v>159</v>
      </c>
      <c r="G41" s="26">
        <v>0.255</v>
      </c>
      <c r="H41" s="32"/>
      <c r="I41" s="32">
        <v>482.065</v>
      </c>
      <c r="J41" s="27">
        <v>90.28</v>
      </c>
      <c r="M41" s="28">
        <f>ROUND(ROUND(J41, 2)*I41, 2)</f>
        <v>43520.83</v>
      </c>
      <c r="P41" s="27">
        <v>90.28</v>
      </c>
      <c r="S41" s="28">
        <f>ROUND(ROUND(P41, 2)*I41, 2)</f>
        <v>43520.83</v>
      </c>
      <c r="V41" s="9">
        <f>ROUND(ROUND(P41, 2)/1.2, 2)</f>
        <v>75.23</v>
      </c>
      <c r="Y41" s="9">
        <f t="shared" si="9"/>
        <v>36267.360000000001</v>
      </c>
      <c r="AD41" s="4" t="s">
        <v>177</v>
      </c>
      <c r="AE41" s="4" t="s">
        <v>178</v>
      </c>
      <c r="AF41" s="4" t="s">
        <v>172</v>
      </c>
    </row>
    <row r="42" spans="1:35" ht="18" x14ac:dyDescent="0.3">
      <c r="A42" s="10" t="s">
        <v>179</v>
      </c>
      <c r="B42" s="10"/>
      <c r="C42" s="24" t="s">
        <v>164</v>
      </c>
      <c r="D42" s="15"/>
      <c r="E42" s="15"/>
      <c r="F42" s="25" t="s">
        <v>120</v>
      </c>
      <c r="G42" s="26">
        <v>1</v>
      </c>
      <c r="H42" s="32"/>
      <c r="I42" s="32">
        <v>1890.45</v>
      </c>
      <c r="J42" s="27">
        <v>10.58</v>
      </c>
      <c r="M42" s="28">
        <f>ROUND(ROUND(J42, 2)*I42, 2)</f>
        <v>20000.96</v>
      </c>
      <c r="P42" s="27">
        <v>10.58</v>
      </c>
      <c r="S42" s="28">
        <f>ROUND(ROUND(P42, 2)*I42, 2)</f>
        <v>20000.96</v>
      </c>
      <c r="V42" s="9">
        <f>ROUND(ROUND(P42, 2)/1.2, 2)</f>
        <v>8.82</v>
      </c>
      <c r="Y42" s="9">
        <f t="shared" si="9"/>
        <v>16667.47</v>
      </c>
      <c r="AD42" s="4" t="s">
        <v>180</v>
      </c>
      <c r="AE42" s="4" t="s">
        <v>181</v>
      </c>
      <c r="AF42" s="4" t="s">
        <v>167</v>
      </c>
    </row>
    <row r="43" spans="1:35" ht="36" x14ac:dyDescent="0.3">
      <c r="A43" s="10" t="s">
        <v>182</v>
      </c>
      <c r="B43" s="10"/>
      <c r="C43" s="30" t="s">
        <v>158</v>
      </c>
      <c r="D43" s="15"/>
      <c r="E43" s="15"/>
      <c r="F43" s="25" t="s">
        <v>159</v>
      </c>
      <c r="G43" s="26">
        <v>1.6</v>
      </c>
      <c r="H43" s="32"/>
      <c r="I43" s="32">
        <v>30247.200000000001</v>
      </c>
      <c r="J43" s="27">
        <v>9.2200000000000006</v>
      </c>
      <c r="M43" s="28">
        <f>ROUND(ROUND(J43, 2)*I43, 2)</f>
        <v>278879.18</v>
      </c>
      <c r="P43" s="27">
        <v>9.2200000000000006</v>
      </c>
      <c r="S43" s="28">
        <f>ROUND(ROUND(P43, 2)*I43, 2)</f>
        <v>278879.18</v>
      </c>
      <c r="V43" s="9">
        <f>ROUND(ROUND(P43, 2)/1.2, 2)</f>
        <v>7.68</v>
      </c>
      <c r="Y43" s="9">
        <f t="shared" si="9"/>
        <v>232399.32</v>
      </c>
      <c r="AD43" s="4" t="s">
        <v>183</v>
      </c>
      <c r="AE43" s="4" t="s">
        <v>184</v>
      </c>
      <c r="AF43" s="4" t="s">
        <v>162</v>
      </c>
    </row>
    <row r="44" spans="1:35" ht="54" x14ac:dyDescent="0.3">
      <c r="A44" s="10" t="s">
        <v>185</v>
      </c>
      <c r="B44" s="10" t="s">
        <v>186</v>
      </c>
      <c r="C44" s="14" t="s">
        <v>187</v>
      </c>
      <c r="D44" s="15"/>
      <c r="E44" s="15" t="s">
        <v>188</v>
      </c>
      <c r="F44" s="15" t="s">
        <v>75</v>
      </c>
      <c r="G44" s="16">
        <v>1</v>
      </c>
      <c r="H44" s="16"/>
      <c r="I44" s="16">
        <v>76.349999999999994</v>
      </c>
      <c r="J44" s="17">
        <v>51.44</v>
      </c>
      <c r="K44" s="18">
        <v>40</v>
      </c>
      <c r="L44" s="17">
        <f>J44+ROUND(K44, 2)</f>
        <v>91.44</v>
      </c>
      <c r="M44" s="17">
        <v>3927.44</v>
      </c>
      <c r="N44" s="17">
        <v>3054</v>
      </c>
      <c r="O44" s="17">
        <f>M44+N44</f>
        <v>6981.4400000000005</v>
      </c>
      <c r="P44" s="17">
        <v>51.44</v>
      </c>
      <c r="Q44" s="18">
        <v>40</v>
      </c>
      <c r="R44" s="17">
        <f>P44+ROUND(Q44, 2)</f>
        <v>91.44</v>
      </c>
      <c r="S44" s="17">
        <v>3927.44</v>
      </c>
      <c r="T44" s="17">
        <v>3054</v>
      </c>
      <c r="U44" s="17">
        <f>S44+T44</f>
        <v>6981.4400000000005</v>
      </c>
      <c r="V44" s="9">
        <f>ROUND(P44 / 1.2, 2)</f>
        <v>42.87</v>
      </c>
      <c r="W44" s="9">
        <f>ROUND(Q44 / 1.2, 2)</f>
        <v>33.33</v>
      </c>
      <c r="X44" s="9">
        <f>ROUND(R44 / 1.2, 2)</f>
        <v>76.2</v>
      </c>
      <c r="Y44" s="9">
        <f t="shared" si="9"/>
        <v>3272.87</v>
      </c>
      <c r="Z44" s="9">
        <f>ROUND(T44 / 1.2, 2)</f>
        <v>2545</v>
      </c>
      <c r="AA44" s="9">
        <f>Y44+Z44</f>
        <v>5817.87</v>
      </c>
      <c r="AD44" s="4">
        <v>339118800</v>
      </c>
      <c r="AE44" s="4">
        <v>25888003</v>
      </c>
      <c r="AG44" s="4" t="s">
        <v>189</v>
      </c>
      <c r="AH44" s="4" t="s">
        <v>190</v>
      </c>
      <c r="AI44" s="4" t="s">
        <v>156</v>
      </c>
    </row>
    <row r="45" spans="1:35" ht="18" x14ac:dyDescent="0.3">
      <c r="A45" s="10" t="s">
        <v>191</v>
      </c>
      <c r="B45" s="10"/>
      <c r="C45" s="24" t="s">
        <v>192</v>
      </c>
      <c r="D45" s="15"/>
      <c r="E45" s="15"/>
      <c r="F45" s="25" t="s">
        <v>75</v>
      </c>
      <c r="G45" s="26">
        <v>1.1000000000000001</v>
      </c>
      <c r="H45" s="26"/>
      <c r="I45" s="26">
        <v>83.984999999999999</v>
      </c>
      <c r="J45" s="27">
        <v>46.76</v>
      </c>
      <c r="M45" s="28">
        <f>ROUND(ROUND(J45, 2)*I45, 2)</f>
        <v>3927.14</v>
      </c>
      <c r="P45" s="27">
        <v>46.76</v>
      </c>
      <c r="S45" s="28">
        <f>ROUND(ROUND(P45, 2)*I45, 2)</f>
        <v>3927.14</v>
      </c>
      <c r="V45" s="9">
        <f>ROUND(ROUND(P45, 2)/1.2, 2)</f>
        <v>38.97</v>
      </c>
      <c r="Y45" s="9">
        <f t="shared" si="9"/>
        <v>3272.62</v>
      </c>
      <c r="AD45" s="4" t="s">
        <v>193</v>
      </c>
      <c r="AE45" s="4" t="s">
        <v>194</v>
      </c>
      <c r="AF45" s="4" t="s">
        <v>195</v>
      </c>
    </row>
    <row r="46" spans="1:35" ht="74.400000000000006" customHeight="1" x14ac:dyDescent="0.3">
      <c r="A46" s="82" t="s">
        <v>196</v>
      </c>
      <c r="B46" s="82" t="s">
        <v>186</v>
      </c>
      <c r="C46" s="83" t="s">
        <v>187</v>
      </c>
      <c r="D46" s="85"/>
      <c r="E46" s="85" t="s">
        <v>175</v>
      </c>
      <c r="F46" s="85" t="s">
        <v>75</v>
      </c>
      <c r="G46" s="86">
        <v>1</v>
      </c>
      <c r="H46" s="86"/>
      <c r="I46" s="86">
        <v>116.53</v>
      </c>
      <c r="J46" s="88">
        <v>52.29</v>
      </c>
      <c r="K46" s="89">
        <v>40</v>
      </c>
      <c r="L46" s="17">
        <f>J46+ROUND(K46, 2)</f>
        <v>92.289999999999992</v>
      </c>
      <c r="M46" s="17">
        <v>6093.35</v>
      </c>
      <c r="N46" s="17">
        <v>4661.2</v>
      </c>
      <c r="O46" s="17">
        <f>M46+N46</f>
        <v>10754.55</v>
      </c>
      <c r="P46" s="17">
        <v>52.29</v>
      </c>
      <c r="Q46" s="18">
        <v>40</v>
      </c>
      <c r="R46" s="17">
        <f>P46+ROUND(Q46, 2)</f>
        <v>92.289999999999992</v>
      </c>
      <c r="S46" s="17">
        <v>6093.35</v>
      </c>
      <c r="T46" s="17">
        <v>4661.2</v>
      </c>
      <c r="U46" s="17">
        <f>S46+T46</f>
        <v>10754.55</v>
      </c>
      <c r="V46" s="9">
        <f>ROUND(P46 / 1.2, 2)</f>
        <v>43.58</v>
      </c>
      <c r="W46" s="9">
        <f>ROUND(Q46 / 1.2, 2)</f>
        <v>33.33</v>
      </c>
      <c r="X46" s="9">
        <f>ROUND(R46 / 1.2, 2)</f>
        <v>76.91</v>
      </c>
      <c r="Y46" s="9">
        <f t="shared" si="9"/>
        <v>5077.79</v>
      </c>
      <c r="Z46" s="9">
        <f>ROUND(T46 / 1.2, 2)</f>
        <v>3884.33</v>
      </c>
      <c r="AA46" s="9">
        <f>Y46+Z46</f>
        <v>8962.119999999999</v>
      </c>
      <c r="AD46" s="4">
        <v>339118902</v>
      </c>
      <c r="AE46" s="4">
        <v>28951150</v>
      </c>
      <c r="AG46" s="4" t="s">
        <v>189</v>
      </c>
      <c r="AH46" s="4" t="s">
        <v>190</v>
      </c>
      <c r="AI46" s="4" t="s">
        <v>156</v>
      </c>
    </row>
    <row r="47" spans="1:35" ht="18" x14ac:dyDescent="0.3">
      <c r="A47" s="10" t="s">
        <v>197</v>
      </c>
      <c r="B47" s="10"/>
      <c r="C47" s="24" t="s">
        <v>192</v>
      </c>
      <c r="D47" s="15"/>
      <c r="E47" s="15"/>
      <c r="F47" s="25" t="s">
        <v>75</v>
      </c>
      <c r="G47" s="26">
        <v>1.1000000000000001</v>
      </c>
      <c r="H47" s="26"/>
      <c r="I47" s="26">
        <v>128.18299999999999</v>
      </c>
      <c r="J47" s="27">
        <v>47.54</v>
      </c>
      <c r="M47" s="28">
        <f>ROUND(ROUND(J47, 2)*I47, 2)</f>
        <v>6093.82</v>
      </c>
      <c r="P47" s="27">
        <v>47.54</v>
      </c>
      <c r="S47" s="28">
        <f>ROUND(ROUND(P47, 2)*I47, 2)</f>
        <v>6093.82</v>
      </c>
      <c r="V47" s="9">
        <f>ROUND(ROUND(P47, 2)/1.2, 2)</f>
        <v>39.619999999999997</v>
      </c>
      <c r="Y47" s="9">
        <f t="shared" si="9"/>
        <v>5078.18</v>
      </c>
      <c r="AD47" s="4" t="s">
        <v>198</v>
      </c>
      <c r="AE47" s="4" t="s">
        <v>199</v>
      </c>
      <c r="AF47" s="4" t="s">
        <v>195</v>
      </c>
    </row>
    <row r="48" spans="1:35" ht="54" x14ac:dyDescent="0.3">
      <c r="A48" s="10" t="s">
        <v>200</v>
      </c>
      <c r="B48" s="10" t="s">
        <v>186</v>
      </c>
      <c r="C48" s="14" t="s">
        <v>187</v>
      </c>
      <c r="D48" s="15"/>
      <c r="E48" s="15" t="s">
        <v>201</v>
      </c>
      <c r="F48" s="15" t="s">
        <v>75</v>
      </c>
      <c r="G48" s="16">
        <v>1</v>
      </c>
      <c r="H48" s="16"/>
      <c r="I48" s="16">
        <v>86.33</v>
      </c>
      <c r="J48" s="17">
        <v>52.29</v>
      </c>
      <c r="K48" s="18">
        <v>40</v>
      </c>
      <c r="L48" s="17">
        <f>J48+ROUND(K48, 2)</f>
        <v>92.289999999999992</v>
      </c>
      <c r="M48" s="17">
        <v>4514.2</v>
      </c>
      <c r="N48" s="17">
        <v>3453.2</v>
      </c>
      <c r="O48" s="17">
        <f>M48+N48</f>
        <v>7967.4</v>
      </c>
      <c r="P48" s="17">
        <v>52.29</v>
      </c>
      <c r="Q48" s="18">
        <v>40</v>
      </c>
      <c r="R48" s="17">
        <f>P48+ROUND(Q48, 2)</f>
        <v>92.289999999999992</v>
      </c>
      <c r="S48" s="17">
        <v>4514.2</v>
      </c>
      <c r="T48" s="17">
        <v>3453.2</v>
      </c>
      <c r="U48" s="17">
        <f>S48+T48</f>
        <v>7967.4</v>
      </c>
      <c r="V48" s="9">
        <f>ROUND(P48 / 1.2, 2)</f>
        <v>43.58</v>
      </c>
      <c r="W48" s="9">
        <f>ROUND(Q48 / 1.2, 2)</f>
        <v>33.33</v>
      </c>
      <c r="X48" s="9">
        <f>ROUND(R48 / 1.2, 2)</f>
        <v>76.91</v>
      </c>
      <c r="Y48" s="9">
        <f t="shared" si="9"/>
        <v>3761.83</v>
      </c>
      <c r="Z48" s="9">
        <f>ROUND(T48 / 1.2, 2)</f>
        <v>2877.67</v>
      </c>
      <c r="AA48" s="9">
        <f>Y48+Z48</f>
        <v>6639.5</v>
      </c>
      <c r="AD48" s="4">
        <v>339118903</v>
      </c>
      <c r="AE48" s="4">
        <v>28964108</v>
      </c>
      <c r="AG48" s="4" t="s">
        <v>189</v>
      </c>
      <c r="AH48" s="4" t="s">
        <v>190</v>
      </c>
      <c r="AI48" s="4" t="s">
        <v>156</v>
      </c>
    </row>
    <row r="49" spans="1:35" ht="18" x14ac:dyDescent="0.3">
      <c r="A49" s="10" t="s">
        <v>202</v>
      </c>
      <c r="B49" s="10"/>
      <c r="C49" s="24" t="s">
        <v>192</v>
      </c>
      <c r="D49" s="15"/>
      <c r="E49" s="15"/>
      <c r="F49" s="25" t="s">
        <v>75</v>
      </c>
      <c r="G49" s="26">
        <v>1.1000000000000001</v>
      </c>
      <c r="H49" s="26"/>
      <c r="I49" s="26">
        <v>94.962999999999994</v>
      </c>
      <c r="J49" s="27">
        <v>47.54</v>
      </c>
      <c r="M49" s="28">
        <f>ROUND(ROUND(J49, 2)*I49, 2)</f>
        <v>4514.54</v>
      </c>
      <c r="P49" s="27">
        <v>47.54</v>
      </c>
      <c r="S49" s="28">
        <f>ROUND(ROUND(P49, 2)*I49, 2)</f>
        <v>4514.54</v>
      </c>
      <c r="V49" s="9">
        <f>ROUND(ROUND(P49, 2)/1.2, 2)</f>
        <v>39.619999999999997</v>
      </c>
      <c r="Y49" s="9">
        <f t="shared" si="9"/>
        <v>3762.12</v>
      </c>
      <c r="AD49" s="4" t="s">
        <v>203</v>
      </c>
      <c r="AE49" s="4" t="s">
        <v>204</v>
      </c>
      <c r="AF49" s="4" t="s">
        <v>195</v>
      </c>
    </row>
    <row r="50" spans="1:35" ht="54.45" customHeight="1" x14ac:dyDescent="0.3">
      <c r="A50" s="71" t="s">
        <v>205</v>
      </c>
      <c r="B50" s="71" t="s">
        <v>206</v>
      </c>
      <c r="C50" s="72" t="s">
        <v>207</v>
      </c>
      <c r="D50" s="73"/>
      <c r="E50" s="73" t="s">
        <v>208</v>
      </c>
      <c r="F50" s="73" t="s">
        <v>75</v>
      </c>
      <c r="G50" s="74">
        <v>1</v>
      </c>
      <c r="H50" s="80">
        <f>I50*S50</f>
        <v>156155.353</v>
      </c>
      <c r="I50" s="133">
        <v>47.77</v>
      </c>
      <c r="J50" s="75">
        <v>68.430000000000007</v>
      </c>
      <c r="K50" s="76">
        <v>117</v>
      </c>
      <c r="L50" s="75">
        <f>J50+ROUND(K50, 2)</f>
        <v>185.43</v>
      </c>
      <c r="M50" s="75">
        <v>3268.9</v>
      </c>
      <c r="N50" s="75">
        <v>5589.09</v>
      </c>
      <c r="O50" s="75">
        <f>M50+N50</f>
        <v>8857.99</v>
      </c>
      <c r="P50" s="75">
        <v>68.430000000000007</v>
      </c>
      <c r="Q50" s="76">
        <v>117</v>
      </c>
      <c r="R50" s="75">
        <f>P50+ROUND(Q50, 2)</f>
        <v>185.43</v>
      </c>
      <c r="S50" s="75">
        <v>3268.9</v>
      </c>
      <c r="T50" s="75">
        <v>5589.09</v>
      </c>
      <c r="U50" s="75">
        <f>S50+T50</f>
        <v>8857.99</v>
      </c>
      <c r="V50" s="9">
        <f>ROUND(P50 / 1.2, 2)</f>
        <v>57.03</v>
      </c>
      <c r="W50" s="9">
        <f>ROUND(Q50 / 1.2, 2)</f>
        <v>97.5</v>
      </c>
      <c r="X50" s="9">
        <f>ROUND(R50 / 1.2, 2)</f>
        <v>154.53</v>
      </c>
      <c r="Y50" s="9">
        <f t="shared" si="9"/>
        <v>2724.08</v>
      </c>
      <c r="Z50" s="9">
        <f>ROUND(T50 / 1.2, 2)</f>
        <v>4657.58</v>
      </c>
      <c r="AA50" s="9">
        <f>Y50+Z50</f>
        <v>7381.66</v>
      </c>
      <c r="AD50" s="4">
        <v>339118802</v>
      </c>
      <c r="AE50" s="4">
        <v>25888005</v>
      </c>
      <c r="AG50" s="4" t="s">
        <v>209</v>
      </c>
      <c r="AH50" s="4" t="s">
        <v>210</v>
      </c>
      <c r="AI50" s="4" t="s">
        <v>156</v>
      </c>
    </row>
    <row r="51" spans="1:35" ht="36" x14ac:dyDescent="0.3">
      <c r="A51" s="98" t="s">
        <v>211</v>
      </c>
      <c r="B51" s="98"/>
      <c r="C51" s="134" t="s">
        <v>212</v>
      </c>
      <c r="D51" s="100"/>
      <c r="E51" s="100"/>
      <c r="F51" s="135" t="s">
        <v>159</v>
      </c>
      <c r="G51" s="136">
        <v>0.3</v>
      </c>
      <c r="H51" s="137"/>
      <c r="I51" s="136">
        <v>14.331</v>
      </c>
      <c r="J51" s="139">
        <v>179.17</v>
      </c>
      <c r="K51" s="140"/>
      <c r="L51" s="140"/>
      <c r="M51" s="139">
        <f>ROUND(ROUND(J51, 2)*I51, 2)</f>
        <v>2567.69</v>
      </c>
      <c r="N51" s="140"/>
      <c r="O51" s="140"/>
      <c r="P51" s="139">
        <v>179.17</v>
      </c>
      <c r="Q51" s="140"/>
      <c r="R51" s="140"/>
      <c r="S51" s="139">
        <f>ROUND(ROUND(P51, 2)*I51, 2)</f>
        <v>2567.69</v>
      </c>
      <c r="T51" s="140"/>
      <c r="U51" s="140"/>
      <c r="V51" s="9">
        <f>ROUND(ROUND(P51, 2)/1.2, 2)</f>
        <v>149.31</v>
      </c>
      <c r="Y51" s="9">
        <f t="shared" si="9"/>
        <v>2139.7399999999998</v>
      </c>
      <c r="AD51" s="4" t="s">
        <v>213</v>
      </c>
      <c r="AE51" s="4" t="s">
        <v>214</v>
      </c>
      <c r="AF51" s="4" t="s">
        <v>215</v>
      </c>
    </row>
    <row r="52" spans="1:35" ht="22.8" x14ac:dyDescent="0.3">
      <c r="A52" s="98" t="s">
        <v>216</v>
      </c>
      <c r="B52" s="98"/>
      <c r="C52" s="134" t="s">
        <v>217</v>
      </c>
      <c r="D52" s="100"/>
      <c r="E52" s="100"/>
      <c r="F52" s="135" t="s">
        <v>159</v>
      </c>
      <c r="G52" s="136">
        <v>0.2</v>
      </c>
      <c r="H52" s="137"/>
      <c r="I52" s="136">
        <v>9.5540000000000003</v>
      </c>
      <c r="J52" s="139">
        <v>73.39</v>
      </c>
      <c r="K52" s="140"/>
      <c r="L52" s="140"/>
      <c r="M52" s="139">
        <f>ROUND(ROUND(J52, 2)*I52, 2)</f>
        <v>701.17</v>
      </c>
      <c r="N52" s="140"/>
      <c r="O52" s="140"/>
      <c r="P52" s="139">
        <v>73.39</v>
      </c>
      <c r="Q52" s="140"/>
      <c r="R52" s="140"/>
      <c r="S52" s="139">
        <f>ROUND(ROUND(P52, 2)*I52, 2)</f>
        <v>701.17</v>
      </c>
      <c r="T52" s="140"/>
      <c r="U52" s="140"/>
      <c r="V52" s="9">
        <f>ROUND(ROUND(P52, 2)/1.2, 2)</f>
        <v>61.16</v>
      </c>
      <c r="Y52" s="9">
        <f t="shared" si="9"/>
        <v>584.30999999999995</v>
      </c>
      <c r="AD52" s="4" t="s">
        <v>218</v>
      </c>
      <c r="AE52" s="4" t="s">
        <v>219</v>
      </c>
      <c r="AF52" s="4" t="s">
        <v>220</v>
      </c>
    </row>
    <row r="53" spans="1:35" ht="39" customHeight="1" x14ac:dyDescent="0.3">
      <c r="A53" s="71" t="s">
        <v>221</v>
      </c>
      <c r="B53" s="71" t="s">
        <v>222</v>
      </c>
      <c r="C53" s="72" t="s">
        <v>223</v>
      </c>
      <c r="D53" s="73"/>
      <c r="E53" s="73" t="s">
        <v>224</v>
      </c>
      <c r="F53" s="73" t="s">
        <v>75</v>
      </c>
      <c r="G53" s="74">
        <v>1</v>
      </c>
      <c r="H53" s="80">
        <f>I53*R53</f>
        <v>34682.97</v>
      </c>
      <c r="I53" s="133">
        <v>72.94</v>
      </c>
      <c r="J53" s="75">
        <v>4.5</v>
      </c>
      <c r="K53" s="76">
        <v>471</v>
      </c>
      <c r="L53" s="75">
        <f>J53+ROUND(K53, 2)</f>
        <v>475.5</v>
      </c>
      <c r="M53" s="75">
        <v>328.23</v>
      </c>
      <c r="N53" s="75">
        <v>34354.74</v>
      </c>
      <c r="O53" s="75">
        <f>M53+N53</f>
        <v>34682.97</v>
      </c>
      <c r="P53" s="75">
        <v>4.5</v>
      </c>
      <c r="Q53" s="76">
        <v>471</v>
      </c>
      <c r="R53" s="75">
        <f>P53+ROUND(Q53, 2)</f>
        <v>475.5</v>
      </c>
      <c r="S53" s="75">
        <v>328.23</v>
      </c>
      <c r="T53" s="75">
        <v>34354.74</v>
      </c>
      <c r="U53" s="75">
        <f>S53+T53</f>
        <v>34682.97</v>
      </c>
      <c r="V53" s="9">
        <f>ROUND(P53 / 1.2, 2)</f>
        <v>3.75</v>
      </c>
      <c r="W53" s="9">
        <f>ROUND(Q53 / 1.2, 2)</f>
        <v>392.5</v>
      </c>
      <c r="X53" s="9">
        <f>ROUND(R53 / 1.2, 2)</f>
        <v>396.25</v>
      </c>
      <c r="Y53" s="9">
        <f t="shared" si="9"/>
        <v>273.52999999999997</v>
      </c>
      <c r="Z53" s="9">
        <f>ROUND(T53 / 1.2, 2)</f>
        <v>28628.95</v>
      </c>
      <c r="AA53" s="9">
        <f>Y53+Z53</f>
        <v>28902.48</v>
      </c>
      <c r="AD53" s="4">
        <v>339118804</v>
      </c>
      <c r="AE53" s="4">
        <v>25887989</v>
      </c>
      <c r="AG53" s="4" t="s">
        <v>225</v>
      </c>
      <c r="AH53" s="4" t="s">
        <v>226</v>
      </c>
      <c r="AI53" s="4" t="s">
        <v>156</v>
      </c>
    </row>
    <row r="54" spans="1:35" ht="22.8" x14ac:dyDescent="0.3">
      <c r="A54" s="98" t="s">
        <v>227</v>
      </c>
      <c r="B54" s="98"/>
      <c r="C54" s="134" t="s">
        <v>228</v>
      </c>
      <c r="D54" s="100"/>
      <c r="E54" s="100"/>
      <c r="F54" s="135" t="s">
        <v>159</v>
      </c>
      <c r="G54" s="136">
        <v>0.6</v>
      </c>
      <c r="H54" s="137"/>
      <c r="I54" s="138">
        <v>43.764000000000003</v>
      </c>
      <c r="J54" s="139">
        <v>7.5</v>
      </c>
      <c r="K54" s="140"/>
      <c r="L54" s="140"/>
      <c r="M54" s="139">
        <f>ROUND(ROUND(J54, 2)*I54, 2)</f>
        <v>328.23</v>
      </c>
      <c r="N54" s="140"/>
      <c r="O54" s="140"/>
      <c r="P54" s="139">
        <v>7.5</v>
      </c>
      <c r="Q54" s="140"/>
      <c r="R54" s="140"/>
      <c r="S54" s="139">
        <f>ROUND(ROUND(P54, 2)*I54, 2)</f>
        <v>328.23</v>
      </c>
      <c r="T54" s="140"/>
      <c r="U54" s="140"/>
      <c r="V54" s="9">
        <f>ROUND(ROUND(P54, 2)/1.2, 2)</f>
        <v>6.25</v>
      </c>
      <c r="Y54" s="9">
        <f t="shared" si="9"/>
        <v>273.52999999999997</v>
      </c>
      <c r="AD54" s="4" t="s">
        <v>229</v>
      </c>
      <c r="AE54" s="4" t="s">
        <v>230</v>
      </c>
      <c r="AF54" s="4" t="s">
        <v>231</v>
      </c>
    </row>
    <row r="55" spans="1:35" ht="36" x14ac:dyDescent="0.3">
      <c r="A55" s="82" t="s">
        <v>232</v>
      </c>
      <c r="B55" s="82" t="s">
        <v>233</v>
      </c>
      <c r="C55" s="141" t="s">
        <v>234</v>
      </c>
      <c r="D55" s="85"/>
      <c r="E55" s="142" t="s">
        <v>235</v>
      </c>
      <c r="F55" s="85" t="s">
        <v>75</v>
      </c>
      <c r="G55" s="86">
        <v>1</v>
      </c>
      <c r="H55" s="87">
        <f>I55*R55</f>
        <v>71022.306599999982</v>
      </c>
      <c r="I55" s="143">
        <v>46.62</v>
      </c>
      <c r="J55" s="88">
        <v>734.43</v>
      </c>
      <c r="K55" s="89">
        <v>789</v>
      </c>
      <c r="L55" s="88">
        <f>J55+ROUND(K55, 2)</f>
        <v>1523.4299999999998</v>
      </c>
      <c r="M55" s="88">
        <v>34239.129999999997</v>
      </c>
      <c r="N55" s="88">
        <v>36783.18</v>
      </c>
      <c r="O55" s="88">
        <f>M55+N55</f>
        <v>71022.31</v>
      </c>
      <c r="P55" s="88">
        <v>734.43</v>
      </c>
      <c r="Q55" s="89">
        <v>789</v>
      </c>
      <c r="R55" s="88">
        <f>P55+ROUND(Q55, 2)</f>
        <v>1523.4299999999998</v>
      </c>
      <c r="S55" s="88">
        <v>34239.129999999997</v>
      </c>
      <c r="T55" s="88">
        <v>36783.18</v>
      </c>
      <c r="U55" s="88">
        <f>S55+T55</f>
        <v>71022.31</v>
      </c>
      <c r="V55" s="9">
        <f>ROUND(P55 / 1.2, 2)</f>
        <v>612.03</v>
      </c>
      <c r="W55" s="9">
        <f>ROUND(Q55 / 1.2, 2)</f>
        <v>657.5</v>
      </c>
      <c r="X55" s="9">
        <f>ROUND(R55 / 1.2, 2)</f>
        <v>1269.53</v>
      </c>
      <c r="Y55" s="9">
        <f t="shared" si="9"/>
        <v>28532.61</v>
      </c>
      <c r="Z55" s="9">
        <f>ROUND(T55 / 1.2, 2)</f>
        <v>30652.65</v>
      </c>
      <c r="AA55" s="9">
        <f>Y55+Z55</f>
        <v>59185.26</v>
      </c>
      <c r="AD55" s="4">
        <v>339118806</v>
      </c>
      <c r="AE55" s="4">
        <v>25887992</v>
      </c>
      <c r="AG55" s="4" t="s">
        <v>236</v>
      </c>
      <c r="AH55" s="4" t="s">
        <v>237</v>
      </c>
      <c r="AI55" s="4" t="s">
        <v>156</v>
      </c>
    </row>
    <row r="56" spans="1:35" ht="22.8" x14ac:dyDescent="0.3">
      <c r="A56" s="98" t="s">
        <v>238</v>
      </c>
      <c r="B56" s="98"/>
      <c r="C56" s="134" t="s">
        <v>239</v>
      </c>
      <c r="D56" s="100"/>
      <c r="E56" s="100"/>
      <c r="F56" s="135" t="s">
        <v>240</v>
      </c>
      <c r="G56" s="136">
        <v>8</v>
      </c>
      <c r="H56" s="137"/>
      <c r="I56" s="138">
        <v>372.96</v>
      </c>
      <c r="J56" s="139">
        <v>2.5</v>
      </c>
      <c r="K56" s="140"/>
      <c r="L56" s="140"/>
      <c r="M56" s="139">
        <f>ROUND(ROUND(J56, 2)*I56, 2)</f>
        <v>932.4</v>
      </c>
      <c r="N56" s="140"/>
      <c r="O56" s="140"/>
      <c r="P56" s="139">
        <v>2.5</v>
      </c>
      <c r="Q56" s="140"/>
      <c r="R56" s="140"/>
      <c r="S56" s="139">
        <f>ROUND(ROUND(P56, 2)*I56, 2)</f>
        <v>932.4</v>
      </c>
      <c r="T56" s="140"/>
      <c r="U56" s="140"/>
      <c r="V56" s="9">
        <f>ROUND(ROUND(P56, 2)/1.2, 2)</f>
        <v>2.08</v>
      </c>
      <c r="Y56" s="9">
        <f t="shared" si="9"/>
        <v>777</v>
      </c>
      <c r="AD56" s="4" t="s">
        <v>241</v>
      </c>
      <c r="AE56" s="4" t="s">
        <v>242</v>
      </c>
      <c r="AF56" s="4" t="s">
        <v>243</v>
      </c>
    </row>
    <row r="57" spans="1:35" ht="22.8" x14ac:dyDescent="0.3">
      <c r="A57" s="98" t="s">
        <v>244</v>
      </c>
      <c r="B57" s="98"/>
      <c r="C57" s="134" t="s">
        <v>245</v>
      </c>
      <c r="D57" s="100"/>
      <c r="E57" s="100"/>
      <c r="F57" s="135" t="s">
        <v>159</v>
      </c>
      <c r="G57" s="136">
        <v>1.8</v>
      </c>
      <c r="H57" s="137"/>
      <c r="I57" s="138">
        <v>3356.64</v>
      </c>
      <c r="J57" s="139">
        <v>7.41</v>
      </c>
      <c r="K57" s="140"/>
      <c r="L57" s="140"/>
      <c r="M57" s="139">
        <f>ROUND(ROUND(J57, 2)*I57, 2)</f>
        <v>24872.7</v>
      </c>
      <c r="N57" s="140"/>
      <c r="O57" s="140"/>
      <c r="P57" s="139">
        <v>7.41</v>
      </c>
      <c r="Q57" s="140"/>
      <c r="R57" s="140"/>
      <c r="S57" s="139">
        <f>ROUND(ROUND(P57, 2)*I57, 2)</f>
        <v>24872.7</v>
      </c>
      <c r="T57" s="140"/>
      <c r="U57" s="140"/>
      <c r="V57" s="9">
        <f>ROUND(ROUND(P57, 2)/1.2, 2)</f>
        <v>6.18</v>
      </c>
      <c r="Y57" s="9">
        <f t="shared" si="9"/>
        <v>20727.25</v>
      </c>
      <c r="AD57" s="4" t="s">
        <v>246</v>
      </c>
      <c r="AE57" s="4" t="s">
        <v>247</v>
      </c>
      <c r="AF57" s="4" t="s">
        <v>248</v>
      </c>
    </row>
    <row r="58" spans="1:35" ht="22.8" x14ac:dyDescent="0.3">
      <c r="A58" s="98" t="s">
        <v>249</v>
      </c>
      <c r="B58" s="98"/>
      <c r="C58" s="134" t="s">
        <v>250</v>
      </c>
      <c r="D58" s="100"/>
      <c r="E58" s="100"/>
      <c r="F58" s="135" t="s">
        <v>75</v>
      </c>
      <c r="G58" s="136">
        <v>1.1000000000000001</v>
      </c>
      <c r="H58" s="137"/>
      <c r="I58" s="138">
        <v>51.281999999999996</v>
      </c>
      <c r="J58" s="139">
        <v>155.01</v>
      </c>
      <c r="K58" s="140"/>
      <c r="L58" s="140"/>
      <c r="M58" s="139">
        <f>ROUND(ROUND(J58, 2)*I58, 2)</f>
        <v>7949.22</v>
      </c>
      <c r="N58" s="140"/>
      <c r="O58" s="140"/>
      <c r="P58" s="139">
        <v>155.01</v>
      </c>
      <c r="Q58" s="140"/>
      <c r="R58" s="140"/>
      <c r="S58" s="139">
        <f>ROUND(ROUND(P58, 2)*I58, 2)</f>
        <v>7949.22</v>
      </c>
      <c r="T58" s="140"/>
      <c r="U58" s="140"/>
      <c r="V58" s="9">
        <f>ROUND(ROUND(P58, 2)/1.2, 2)</f>
        <v>129.18</v>
      </c>
      <c r="Y58" s="9">
        <f t="shared" si="9"/>
        <v>6624.35</v>
      </c>
      <c r="AD58" s="4" t="s">
        <v>251</v>
      </c>
      <c r="AE58" s="4" t="s">
        <v>252</v>
      </c>
      <c r="AF58" s="4" t="s">
        <v>253</v>
      </c>
    </row>
    <row r="59" spans="1:35" ht="22.8" x14ac:dyDescent="0.3">
      <c r="A59" s="98" t="s">
        <v>254</v>
      </c>
      <c r="B59" s="98"/>
      <c r="C59" s="134" t="s">
        <v>164</v>
      </c>
      <c r="D59" s="100"/>
      <c r="E59" s="100"/>
      <c r="F59" s="135" t="s">
        <v>120</v>
      </c>
      <c r="G59" s="136">
        <v>1</v>
      </c>
      <c r="H59" s="137"/>
      <c r="I59" s="138">
        <v>46.62</v>
      </c>
      <c r="J59" s="139">
        <v>10.4</v>
      </c>
      <c r="K59" s="140"/>
      <c r="L59" s="140"/>
      <c r="M59" s="139">
        <f>ROUND(ROUND(J59, 2)*I59, 2)</f>
        <v>484.85</v>
      </c>
      <c r="N59" s="140"/>
      <c r="O59" s="140"/>
      <c r="P59" s="139">
        <v>10.4</v>
      </c>
      <c r="Q59" s="140"/>
      <c r="R59" s="140"/>
      <c r="S59" s="139">
        <f>ROUND(ROUND(P59, 2)*I59, 2)</f>
        <v>484.85</v>
      </c>
      <c r="T59" s="140"/>
      <c r="U59" s="140"/>
      <c r="V59" s="9">
        <f>ROUND(ROUND(P59, 2)/1.2, 2)</f>
        <v>8.67</v>
      </c>
      <c r="Y59" s="9">
        <f t="shared" si="9"/>
        <v>404.04</v>
      </c>
      <c r="AD59" s="4" t="s">
        <v>255</v>
      </c>
      <c r="AE59" s="4" t="s">
        <v>256</v>
      </c>
      <c r="AF59" s="4" t="s">
        <v>167</v>
      </c>
    </row>
    <row r="60" spans="1:35" ht="36" x14ac:dyDescent="0.3">
      <c r="A60" s="10" t="s">
        <v>257</v>
      </c>
      <c r="B60" s="10" t="s">
        <v>258</v>
      </c>
      <c r="C60" s="14" t="s">
        <v>259</v>
      </c>
      <c r="D60" s="15"/>
      <c r="E60" s="15" t="s">
        <v>260</v>
      </c>
      <c r="F60" s="15" t="s">
        <v>75</v>
      </c>
      <c r="G60" s="16">
        <v>1</v>
      </c>
      <c r="H60" s="16"/>
      <c r="I60" s="16">
        <v>0</v>
      </c>
      <c r="J60" s="17">
        <v>0</v>
      </c>
      <c r="K60" s="18">
        <v>855</v>
      </c>
      <c r="L60" s="17">
        <f>J60+ROUND(K60, 2)</f>
        <v>855</v>
      </c>
      <c r="M60" s="17">
        <v>0</v>
      </c>
      <c r="N60" s="17">
        <v>0</v>
      </c>
      <c r="O60" s="17">
        <f>M60+N60</f>
        <v>0</v>
      </c>
      <c r="P60" s="17">
        <v>1001.19</v>
      </c>
      <c r="Q60" s="18">
        <v>855</v>
      </c>
      <c r="R60" s="17">
        <f>P60+ROUND(Q60, 2)</f>
        <v>1856.19</v>
      </c>
      <c r="S60" s="17">
        <v>0</v>
      </c>
      <c r="T60" s="17">
        <v>0</v>
      </c>
      <c r="U60" s="17">
        <f>S60+T60</f>
        <v>0</v>
      </c>
      <c r="V60" s="9">
        <f>ROUND(P60 / 1.2, 2)</f>
        <v>834.33</v>
      </c>
      <c r="W60" s="9">
        <f>ROUND(Q60 / 1.2, 2)</f>
        <v>712.5</v>
      </c>
      <c r="X60" s="9">
        <f>ROUND(R60 / 1.2, 2)</f>
        <v>1546.83</v>
      </c>
      <c r="Y60" s="9">
        <f t="shared" si="9"/>
        <v>0</v>
      </c>
      <c r="Z60" s="9">
        <f>ROUND(T60 / 1.2, 2)</f>
        <v>0</v>
      </c>
      <c r="AA60" s="9">
        <f>Y60+Z60</f>
        <v>0</v>
      </c>
      <c r="AD60" s="4">
        <v>339118807</v>
      </c>
      <c r="AE60" s="4">
        <v>25888011</v>
      </c>
      <c r="AG60" s="4" t="s">
        <v>261</v>
      </c>
      <c r="AH60" s="4" t="s">
        <v>262</v>
      </c>
      <c r="AI60" s="4" t="s">
        <v>156</v>
      </c>
    </row>
    <row r="61" spans="1:35" ht="18" x14ac:dyDescent="0.3">
      <c r="A61" s="10" t="s">
        <v>263</v>
      </c>
      <c r="B61" s="10"/>
      <c r="C61" s="24" t="s">
        <v>239</v>
      </c>
      <c r="D61" s="15"/>
      <c r="E61" s="15"/>
      <c r="F61" s="25" t="s">
        <v>240</v>
      </c>
      <c r="G61" s="26">
        <v>8</v>
      </c>
      <c r="H61" s="32"/>
      <c r="I61" s="32">
        <v>0</v>
      </c>
      <c r="J61" s="27">
        <v>2.5</v>
      </c>
      <c r="M61" s="28">
        <f>ROUND(ROUND(J61, 2)*I61, 2)</f>
        <v>0</v>
      </c>
      <c r="P61" s="27">
        <v>2.5</v>
      </c>
      <c r="S61" s="28">
        <f>ROUND(ROUND(P61, 2)*I61, 2)</f>
        <v>0</v>
      </c>
      <c r="V61" s="9">
        <f>ROUND(ROUND(P61, 2)/1.2, 2)</f>
        <v>2.08</v>
      </c>
      <c r="Y61" s="9">
        <f t="shared" si="9"/>
        <v>0</v>
      </c>
      <c r="AD61" s="4" t="s">
        <v>264</v>
      </c>
      <c r="AE61" s="4" t="s">
        <v>265</v>
      </c>
      <c r="AF61" s="4" t="s">
        <v>243</v>
      </c>
    </row>
    <row r="62" spans="1:35" ht="18" x14ac:dyDescent="0.3">
      <c r="A62" s="10" t="s">
        <v>266</v>
      </c>
      <c r="B62" s="10"/>
      <c r="C62" s="24" t="s">
        <v>245</v>
      </c>
      <c r="D62" s="15"/>
      <c r="E62" s="15"/>
      <c r="F62" s="25" t="s">
        <v>159</v>
      </c>
      <c r="G62" s="26">
        <v>1.8</v>
      </c>
      <c r="H62" s="32"/>
      <c r="I62" s="32">
        <v>0</v>
      </c>
      <c r="J62" s="27">
        <v>7.41</v>
      </c>
      <c r="M62" s="28">
        <f>ROUND(ROUND(J62, 2)*I62, 2)</f>
        <v>0</v>
      </c>
      <c r="P62" s="27">
        <v>7.41</v>
      </c>
      <c r="S62" s="28">
        <f>ROUND(ROUND(P62, 2)*I62, 2)</f>
        <v>0</v>
      </c>
      <c r="V62" s="9">
        <f>ROUND(ROUND(P62, 2)/1.2, 2)</f>
        <v>6.18</v>
      </c>
      <c r="Y62" s="9">
        <f t="shared" si="9"/>
        <v>0</v>
      </c>
      <c r="AD62" s="4" t="s">
        <v>267</v>
      </c>
      <c r="AE62" s="4" t="s">
        <v>268</v>
      </c>
      <c r="AF62" s="4" t="s">
        <v>248</v>
      </c>
    </row>
    <row r="63" spans="1:35" ht="18" x14ac:dyDescent="0.3">
      <c r="A63" s="10" t="s">
        <v>269</v>
      </c>
      <c r="B63" s="10"/>
      <c r="C63" s="24" t="s">
        <v>250</v>
      </c>
      <c r="D63" s="15"/>
      <c r="E63" s="15"/>
      <c r="F63" s="25" t="s">
        <v>75</v>
      </c>
      <c r="G63" s="26">
        <v>1.1000000000000001</v>
      </c>
      <c r="H63" s="32"/>
      <c r="I63" s="32">
        <v>0</v>
      </c>
      <c r="J63" s="27">
        <v>155.01</v>
      </c>
      <c r="M63" s="28">
        <f>ROUND(ROUND(J63, 2)*I63, 2)</f>
        <v>0</v>
      </c>
      <c r="P63" s="27">
        <v>155.01</v>
      </c>
      <c r="S63" s="28">
        <f>ROUND(ROUND(P63, 2)*I63, 2)</f>
        <v>0</v>
      </c>
      <c r="V63" s="9">
        <f>ROUND(ROUND(P63, 2)/1.2, 2)</f>
        <v>129.18</v>
      </c>
      <c r="Y63" s="9">
        <f t="shared" si="9"/>
        <v>0</v>
      </c>
      <c r="AD63" s="4" t="s">
        <v>270</v>
      </c>
      <c r="AE63" s="4" t="s">
        <v>271</v>
      </c>
      <c r="AF63" s="4" t="s">
        <v>253</v>
      </c>
    </row>
    <row r="64" spans="1:35" ht="18" x14ac:dyDescent="0.3">
      <c r="A64" s="10" t="s">
        <v>272</v>
      </c>
      <c r="B64" s="10"/>
      <c r="C64" s="24" t="s">
        <v>164</v>
      </c>
      <c r="D64" s="15"/>
      <c r="E64" s="15"/>
      <c r="F64" s="25" t="s">
        <v>120</v>
      </c>
      <c r="G64" s="26">
        <v>1</v>
      </c>
      <c r="H64" s="32"/>
      <c r="I64" s="32">
        <v>0</v>
      </c>
      <c r="J64" s="27">
        <v>10.4</v>
      </c>
      <c r="M64" s="28">
        <f>ROUND(ROUND(J64, 2)*I64, 2)</f>
        <v>0</v>
      </c>
      <c r="P64" s="27">
        <v>10.4</v>
      </c>
      <c r="S64" s="28">
        <f>ROUND(ROUND(P64, 2)*I64, 2)</f>
        <v>0</v>
      </c>
      <c r="V64" s="9">
        <f>ROUND(ROUND(P64, 2)/1.2, 2)</f>
        <v>8.67</v>
      </c>
      <c r="Y64" s="9">
        <f t="shared" si="9"/>
        <v>0</v>
      </c>
      <c r="AD64" s="4" t="s">
        <v>273</v>
      </c>
      <c r="AE64" s="4" t="s">
        <v>274</v>
      </c>
      <c r="AF64" s="4" t="s">
        <v>167</v>
      </c>
    </row>
    <row r="65" spans="1:35" ht="36" x14ac:dyDescent="0.3">
      <c r="A65" s="10" t="s">
        <v>275</v>
      </c>
      <c r="B65" s="10" t="s">
        <v>276</v>
      </c>
      <c r="C65" s="14" t="s">
        <v>277</v>
      </c>
      <c r="D65" s="15"/>
      <c r="E65" s="15" t="s">
        <v>278</v>
      </c>
      <c r="F65" s="15" t="s">
        <v>75</v>
      </c>
      <c r="G65" s="16">
        <v>1</v>
      </c>
      <c r="H65" s="16"/>
      <c r="I65" s="16">
        <v>723.7</v>
      </c>
      <c r="J65" s="17">
        <v>1067.8800000000001</v>
      </c>
      <c r="K65" s="18">
        <v>922</v>
      </c>
      <c r="L65" s="17">
        <f>J65+ROUND(K65, 2)</f>
        <v>1989.88</v>
      </c>
      <c r="M65" s="17">
        <v>772824.76</v>
      </c>
      <c r="N65" s="17">
        <v>667251.4</v>
      </c>
      <c r="O65" s="17">
        <f>M65+N65</f>
        <v>1440076.1600000001</v>
      </c>
      <c r="P65" s="17">
        <v>1067.8800000000001</v>
      </c>
      <c r="Q65" s="18">
        <v>922</v>
      </c>
      <c r="R65" s="17">
        <f>P65+ROUND(Q65, 2)</f>
        <v>1989.88</v>
      </c>
      <c r="S65" s="17">
        <v>772824.76</v>
      </c>
      <c r="T65" s="17">
        <v>667251.4</v>
      </c>
      <c r="U65" s="17">
        <f>S65+T65</f>
        <v>1440076.1600000001</v>
      </c>
      <c r="V65" s="9">
        <f>ROUND(P65 / 1.2, 2)</f>
        <v>889.9</v>
      </c>
      <c r="W65" s="9">
        <f>ROUND(Q65 / 1.2, 2)</f>
        <v>768.33</v>
      </c>
      <c r="X65" s="9">
        <f>ROUND(R65 / 1.2, 2)</f>
        <v>1658.23</v>
      </c>
      <c r="Y65" s="9">
        <f t="shared" si="9"/>
        <v>644020.63</v>
      </c>
      <c r="Z65" s="9">
        <f>ROUND(T65 / 1.2, 2)</f>
        <v>556042.82999999996</v>
      </c>
      <c r="AA65" s="9">
        <f>Y65+Z65</f>
        <v>1200063.46</v>
      </c>
      <c r="AD65" s="4">
        <v>339118808</v>
      </c>
      <c r="AE65" s="4">
        <v>25888008</v>
      </c>
      <c r="AG65" s="4" t="s">
        <v>279</v>
      </c>
      <c r="AH65" s="4" t="s">
        <v>280</v>
      </c>
      <c r="AI65" s="4" t="s">
        <v>156</v>
      </c>
    </row>
    <row r="66" spans="1:35" ht="18" x14ac:dyDescent="0.3">
      <c r="A66" s="10" t="s">
        <v>281</v>
      </c>
      <c r="B66" s="10"/>
      <c r="C66" s="24" t="s">
        <v>239</v>
      </c>
      <c r="D66" s="15"/>
      <c r="E66" s="15"/>
      <c r="F66" s="25" t="s">
        <v>240</v>
      </c>
      <c r="G66" s="26">
        <v>8</v>
      </c>
      <c r="H66" s="32"/>
      <c r="I66" s="32">
        <v>5789.6</v>
      </c>
      <c r="J66" s="27">
        <v>2.5</v>
      </c>
      <c r="M66" s="28">
        <f>ROUND(ROUND(J66, 2)*I66, 2)</f>
        <v>14474</v>
      </c>
      <c r="P66" s="27">
        <v>2.5</v>
      </c>
      <c r="S66" s="28">
        <f>ROUND(ROUND(P66, 2)*I66, 2)</f>
        <v>14474</v>
      </c>
      <c r="V66" s="9">
        <f>ROUND(ROUND(P66, 2)/1.2, 2)</f>
        <v>2.08</v>
      </c>
      <c r="Y66" s="9">
        <f t="shared" si="9"/>
        <v>12061.67</v>
      </c>
      <c r="AD66" s="4" t="s">
        <v>282</v>
      </c>
      <c r="AE66" s="4" t="s">
        <v>283</v>
      </c>
      <c r="AF66" s="4" t="s">
        <v>243</v>
      </c>
    </row>
    <row r="67" spans="1:35" ht="18" x14ac:dyDescent="0.3">
      <c r="A67" s="10" t="s">
        <v>284</v>
      </c>
      <c r="B67" s="10"/>
      <c r="C67" s="24" t="s">
        <v>245</v>
      </c>
      <c r="D67" s="15"/>
      <c r="E67" s="15"/>
      <c r="F67" s="25" t="s">
        <v>159</v>
      </c>
      <c r="G67" s="26">
        <v>1.8</v>
      </c>
      <c r="H67" s="32"/>
      <c r="I67" s="32">
        <v>84672.9</v>
      </c>
      <c r="J67" s="27">
        <v>7.41</v>
      </c>
      <c r="M67" s="28">
        <f>ROUND(ROUND(J67, 2)*I67, 2)</f>
        <v>627426.18999999994</v>
      </c>
      <c r="P67" s="27">
        <v>7.41</v>
      </c>
      <c r="S67" s="28">
        <f>ROUND(ROUND(P67, 2)*I67, 2)</f>
        <v>627426.18999999994</v>
      </c>
      <c r="V67" s="9">
        <f>ROUND(ROUND(P67, 2)/1.2, 2)</f>
        <v>6.18</v>
      </c>
      <c r="Y67" s="9">
        <f t="shared" si="9"/>
        <v>522855.16</v>
      </c>
      <c r="AD67" s="4" t="s">
        <v>285</v>
      </c>
      <c r="AE67" s="4" t="s">
        <v>286</v>
      </c>
      <c r="AF67" s="4" t="s">
        <v>248</v>
      </c>
    </row>
    <row r="68" spans="1:35" ht="18" x14ac:dyDescent="0.3">
      <c r="A68" s="10" t="s">
        <v>287</v>
      </c>
      <c r="B68" s="10"/>
      <c r="C68" s="24" t="s">
        <v>250</v>
      </c>
      <c r="D68" s="15"/>
      <c r="E68" s="15"/>
      <c r="F68" s="25" t="s">
        <v>75</v>
      </c>
      <c r="G68" s="26">
        <v>1.1000000000000001</v>
      </c>
      <c r="H68" s="32"/>
      <c r="I68" s="32">
        <v>796.07</v>
      </c>
      <c r="J68" s="27">
        <v>155.01</v>
      </c>
      <c r="M68" s="28">
        <f>ROUND(ROUND(J68, 2)*I68, 2)</f>
        <v>123398.81</v>
      </c>
      <c r="P68" s="27">
        <v>155.01</v>
      </c>
      <c r="S68" s="28">
        <f>ROUND(ROUND(P68, 2)*I68, 2)</f>
        <v>123398.81</v>
      </c>
      <c r="V68" s="9">
        <f>ROUND(ROUND(P68, 2)/1.2, 2)</f>
        <v>129.18</v>
      </c>
      <c r="Y68" s="9">
        <f t="shared" si="9"/>
        <v>102832.34</v>
      </c>
      <c r="AD68" s="4" t="s">
        <v>288</v>
      </c>
      <c r="AE68" s="4" t="s">
        <v>289</v>
      </c>
      <c r="AF68" s="4" t="s">
        <v>253</v>
      </c>
    </row>
    <row r="69" spans="1:35" ht="18" x14ac:dyDescent="0.3">
      <c r="A69" s="10" t="s">
        <v>290</v>
      </c>
      <c r="B69" s="10"/>
      <c r="C69" s="24" t="s">
        <v>164</v>
      </c>
      <c r="D69" s="15"/>
      <c r="E69" s="15"/>
      <c r="F69" s="25" t="s">
        <v>120</v>
      </c>
      <c r="G69" s="26">
        <v>1</v>
      </c>
      <c r="H69" s="32"/>
      <c r="I69" s="32">
        <v>723.7</v>
      </c>
      <c r="J69" s="27">
        <v>10.4</v>
      </c>
      <c r="M69" s="28">
        <f>ROUND(ROUND(J69, 2)*I69, 2)</f>
        <v>7526.48</v>
      </c>
      <c r="P69" s="27">
        <v>10.4</v>
      </c>
      <c r="S69" s="28">
        <f>ROUND(ROUND(P69, 2)*I69, 2)</f>
        <v>7526.48</v>
      </c>
      <c r="V69" s="9">
        <f>ROUND(ROUND(P69, 2)/1.2, 2)</f>
        <v>8.67</v>
      </c>
      <c r="Y69" s="9">
        <f t="shared" si="9"/>
        <v>6272.07</v>
      </c>
      <c r="AD69" s="4" t="s">
        <v>291</v>
      </c>
      <c r="AE69" s="4" t="s">
        <v>292</v>
      </c>
      <c r="AF69" s="4" t="s">
        <v>167</v>
      </c>
    </row>
    <row r="70" spans="1:35" ht="36" x14ac:dyDescent="0.3">
      <c r="A70" s="10" t="s">
        <v>293</v>
      </c>
      <c r="B70" s="10" t="s">
        <v>276</v>
      </c>
      <c r="C70" s="14" t="s">
        <v>277</v>
      </c>
      <c r="D70" s="15"/>
      <c r="E70" s="15" t="s">
        <v>294</v>
      </c>
      <c r="F70" s="15" t="s">
        <v>75</v>
      </c>
      <c r="G70" s="16">
        <v>1</v>
      </c>
      <c r="H70" s="16"/>
      <c r="I70" s="16">
        <v>299.60000000000002</v>
      </c>
      <c r="J70" s="17">
        <v>1133.4000000000001</v>
      </c>
      <c r="K70" s="18">
        <v>922</v>
      </c>
      <c r="L70" s="17">
        <f>J70+ROUND(K70, 2)</f>
        <v>2055.4</v>
      </c>
      <c r="M70" s="17">
        <v>339566.64</v>
      </c>
      <c r="N70" s="17">
        <v>276231.2</v>
      </c>
      <c r="O70" s="17">
        <f>M70+N70</f>
        <v>615797.84000000008</v>
      </c>
      <c r="P70" s="17">
        <v>1133.3900000000001</v>
      </c>
      <c r="Q70" s="18">
        <v>922</v>
      </c>
      <c r="R70" s="17">
        <f>P70+ROUND(Q70, 2)</f>
        <v>2055.3900000000003</v>
      </c>
      <c r="S70" s="17">
        <v>339563.65</v>
      </c>
      <c r="T70" s="17">
        <v>276231.2</v>
      </c>
      <c r="U70" s="17">
        <f>S70+T70</f>
        <v>615794.85000000009</v>
      </c>
      <c r="V70" s="9">
        <f>ROUND(P70 / 1.2, 2)</f>
        <v>944.49</v>
      </c>
      <c r="W70" s="9">
        <f>ROUND(Q70 / 1.2, 2)</f>
        <v>768.33</v>
      </c>
      <c r="X70" s="9">
        <f>ROUND(R70 / 1.2, 2)</f>
        <v>1712.83</v>
      </c>
      <c r="Y70" s="9">
        <f t="shared" si="9"/>
        <v>282969.71000000002</v>
      </c>
      <c r="Z70" s="9">
        <f>ROUND(T70 / 1.2, 2)</f>
        <v>230192.67</v>
      </c>
      <c r="AA70" s="9">
        <f>Y70+Z70</f>
        <v>513162.38</v>
      </c>
      <c r="AD70" s="4">
        <v>339118904</v>
      </c>
      <c r="AE70" s="4">
        <v>25888002</v>
      </c>
      <c r="AG70" s="4" t="s">
        <v>279</v>
      </c>
      <c r="AH70" s="4" t="s">
        <v>280</v>
      </c>
      <c r="AI70" s="4" t="s">
        <v>156</v>
      </c>
    </row>
    <row r="71" spans="1:35" ht="18" x14ac:dyDescent="0.3">
      <c r="A71" s="10" t="s">
        <v>295</v>
      </c>
      <c r="B71" s="10"/>
      <c r="C71" s="24" t="s">
        <v>296</v>
      </c>
      <c r="D71" s="15"/>
      <c r="E71" s="15"/>
      <c r="F71" s="25" t="s">
        <v>159</v>
      </c>
      <c r="G71" s="26">
        <v>0.255</v>
      </c>
      <c r="H71" s="26"/>
      <c r="I71" s="26">
        <v>76.397999999999996</v>
      </c>
      <c r="J71" s="27">
        <v>100</v>
      </c>
      <c r="M71" s="28">
        <f>ROUND(ROUND(J71, 2)*I71, 2)</f>
        <v>7639.8</v>
      </c>
      <c r="P71" s="27">
        <v>100</v>
      </c>
      <c r="S71" s="28">
        <f>ROUND(ROUND(P71, 2)*I71, 2)</f>
        <v>7639.8</v>
      </c>
      <c r="V71" s="9">
        <f>ROUND(ROUND(P71, 2)/1.2, 2)</f>
        <v>83.33</v>
      </c>
      <c r="Y71" s="9">
        <f t="shared" si="9"/>
        <v>6366.5</v>
      </c>
      <c r="AD71" s="4" t="s">
        <v>297</v>
      </c>
      <c r="AE71" s="4" t="s">
        <v>298</v>
      </c>
      <c r="AF71" s="4" t="s">
        <v>299</v>
      </c>
    </row>
    <row r="72" spans="1:35" ht="18" x14ac:dyDescent="0.3">
      <c r="A72" s="10" t="s">
        <v>300</v>
      </c>
      <c r="B72" s="10"/>
      <c r="C72" s="24" t="s">
        <v>164</v>
      </c>
      <c r="D72" s="15"/>
      <c r="E72" s="15"/>
      <c r="F72" s="25" t="s">
        <v>120</v>
      </c>
      <c r="G72" s="26">
        <v>1</v>
      </c>
      <c r="H72" s="32"/>
      <c r="I72" s="32">
        <v>299.60000000000002</v>
      </c>
      <c r="J72" s="27">
        <v>10.4</v>
      </c>
      <c r="M72" s="28">
        <f>ROUND(ROUND(J72, 2)*I72, 2)</f>
        <v>3115.84</v>
      </c>
      <c r="P72" s="27">
        <v>10.4</v>
      </c>
      <c r="S72" s="28">
        <f>ROUND(ROUND(P72, 2)*I72, 2)</f>
        <v>3115.84</v>
      </c>
      <c r="V72" s="9">
        <f>ROUND(ROUND(P72, 2)/1.2, 2)</f>
        <v>8.67</v>
      </c>
      <c r="Y72" s="9">
        <f t="shared" si="9"/>
        <v>2596.5300000000002</v>
      </c>
      <c r="AD72" s="4" t="s">
        <v>301</v>
      </c>
      <c r="AE72" s="4" t="s">
        <v>302</v>
      </c>
      <c r="AF72" s="4" t="s">
        <v>167</v>
      </c>
    </row>
    <row r="73" spans="1:35" ht="18" x14ac:dyDescent="0.3">
      <c r="A73" s="10" t="s">
        <v>303</v>
      </c>
      <c r="B73" s="10"/>
      <c r="C73" s="24" t="s">
        <v>250</v>
      </c>
      <c r="D73" s="15"/>
      <c r="E73" s="15"/>
      <c r="F73" s="25" t="s">
        <v>75</v>
      </c>
      <c r="G73" s="26">
        <v>1.1000000000000001</v>
      </c>
      <c r="H73" s="32"/>
      <c r="I73" s="32">
        <v>329.56</v>
      </c>
      <c r="J73" s="27">
        <v>155.01</v>
      </c>
      <c r="M73" s="28">
        <f>ROUND(ROUND(J73, 2)*I73, 2)</f>
        <v>51085.1</v>
      </c>
      <c r="P73" s="27">
        <v>155.01</v>
      </c>
      <c r="S73" s="28">
        <f>ROUND(ROUND(P73, 2)*I73, 2)</f>
        <v>51085.1</v>
      </c>
      <c r="V73" s="9">
        <f>ROUND(ROUND(P73, 2)/1.2, 2)</f>
        <v>129.18</v>
      </c>
      <c r="Y73" s="9">
        <f t="shared" si="9"/>
        <v>42570.92</v>
      </c>
      <c r="AD73" s="4" t="s">
        <v>304</v>
      </c>
      <c r="AE73" s="4" t="s">
        <v>305</v>
      </c>
      <c r="AF73" s="4" t="s">
        <v>253</v>
      </c>
    </row>
    <row r="74" spans="1:35" ht="18" x14ac:dyDescent="0.3">
      <c r="A74" s="10" t="s">
        <v>306</v>
      </c>
      <c r="B74" s="10"/>
      <c r="C74" s="24" t="s">
        <v>245</v>
      </c>
      <c r="D74" s="15"/>
      <c r="E74" s="15"/>
      <c r="F74" s="25" t="s">
        <v>159</v>
      </c>
      <c r="G74" s="26">
        <v>1.8</v>
      </c>
      <c r="H74" s="32"/>
      <c r="I74" s="32">
        <v>36671.040000000001</v>
      </c>
      <c r="J74" s="27">
        <v>7.41</v>
      </c>
      <c r="M74" s="28">
        <f>ROUND(ROUND(J74, 2)*I74, 2)</f>
        <v>271732.40999999997</v>
      </c>
      <c r="P74" s="27">
        <v>7.41</v>
      </c>
      <c r="S74" s="28">
        <f>ROUND(ROUND(P74, 2)*I74, 2)</f>
        <v>271732.40999999997</v>
      </c>
      <c r="V74" s="9">
        <f>ROUND(ROUND(P74, 2)/1.2, 2)</f>
        <v>6.18</v>
      </c>
      <c r="Y74" s="9">
        <f t="shared" si="9"/>
        <v>226443.68</v>
      </c>
      <c r="AD74" s="4" t="s">
        <v>307</v>
      </c>
      <c r="AE74" s="4" t="s">
        <v>308</v>
      </c>
      <c r="AF74" s="4" t="s">
        <v>248</v>
      </c>
    </row>
    <row r="75" spans="1:35" ht="18" x14ac:dyDescent="0.3">
      <c r="A75" s="10" t="s">
        <v>309</v>
      </c>
      <c r="B75" s="10"/>
      <c r="C75" s="24" t="s">
        <v>239</v>
      </c>
      <c r="D75" s="15"/>
      <c r="E75" s="15"/>
      <c r="F75" s="25" t="s">
        <v>240</v>
      </c>
      <c r="G75" s="26">
        <v>8</v>
      </c>
      <c r="H75" s="32"/>
      <c r="I75" s="32">
        <v>2396.8000000000002</v>
      </c>
      <c r="J75" s="27">
        <v>2.5</v>
      </c>
      <c r="M75" s="28">
        <f>ROUND(ROUND(J75, 2)*I75, 2)</f>
        <v>5992</v>
      </c>
      <c r="P75" s="27">
        <v>2.5</v>
      </c>
      <c r="S75" s="28">
        <f>ROUND(ROUND(P75, 2)*I75, 2)</f>
        <v>5992</v>
      </c>
      <c r="V75" s="9">
        <f>ROUND(ROUND(P75, 2)/1.2, 2)</f>
        <v>2.08</v>
      </c>
      <c r="Y75" s="9">
        <f t="shared" si="9"/>
        <v>4993.33</v>
      </c>
      <c r="AD75" s="4" t="s">
        <v>310</v>
      </c>
      <c r="AE75" s="4" t="s">
        <v>311</v>
      </c>
      <c r="AF75" s="4" t="s">
        <v>243</v>
      </c>
    </row>
    <row r="76" spans="1:35" ht="36" x14ac:dyDescent="0.3">
      <c r="A76" s="10" t="s">
        <v>312</v>
      </c>
      <c r="B76" s="10" t="s">
        <v>276</v>
      </c>
      <c r="C76" s="14" t="s">
        <v>277</v>
      </c>
      <c r="D76" s="15"/>
      <c r="E76" s="15" t="s">
        <v>313</v>
      </c>
      <c r="F76" s="15" t="s">
        <v>75</v>
      </c>
      <c r="G76" s="16">
        <v>1</v>
      </c>
      <c r="H76" s="16"/>
      <c r="I76" s="16">
        <v>0</v>
      </c>
      <c r="J76" s="17">
        <v>0</v>
      </c>
      <c r="K76" s="18">
        <v>922</v>
      </c>
      <c r="L76" s="17">
        <f>J76+ROUND(K76, 2)</f>
        <v>922</v>
      </c>
      <c r="M76" s="17">
        <v>0</v>
      </c>
      <c r="N76" s="17">
        <v>0</v>
      </c>
      <c r="O76" s="17">
        <f>M76+N76</f>
        <v>0</v>
      </c>
      <c r="P76" s="17">
        <v>919.95</v>
      </c>
      <c r="Q76" s="18">
        <v>922</v>
      </c>
      <c r="R76" s="17">
        <f>P76+ROUND(Q76, 2)</f>
        <v>1841.95</v>
      </c>
      <c r="S76" s="17">
        <v>0</v>
      </c>
      <c r="T76" s="17">
        <v>0</v>
      </c>
      <c r="U76" s="17">
        <f>S76+T76</f>
        <v>0</v>
      </c>
      <c r="V76" s="9">
        <f>ROUND(P76 / 1.2, 2)</f>
        <v>766.63</v>
      </c>
      <c r="W76" s="9">
        <f>ROUND(Q76 / 1.2, 2)</f>
        <v>768.33</v>
      </c>
      <c r="X76" s="9">
        <f>ROUND(R76 / 1.2, 2)</f>
        <v>1534.96</v>
      </c>
      <c r="Y76" s="9">
        <f t="shared" si="9"/>
        <v>0</v>
      </c>
      <c r="Z76" s="9">
        <f>ROUND(T76 / 1.2, 2)</f>
        <v>0</v>
      </c>
      <c r="AA76" s="9">
        <f>Y76+Z76</f>
        <v>0</v>
      </c>
      <c r="AD76" s="4">
        <v>339118905</v>
      </c>
      <c r="AE76" s="4">
        <v>25887990</v>
      </c>
      <c r="AG76" s="4" t="s">
        <v>279</v>
      </c>
      <c r="AH76" s="4" t="s">
        <v>280</v>
      </c>
      <c r="AI76" s="4" t="s">
        <v>156</v>
      </c>
    </row>
    <row r="77" spans="1:35" ht="18" x14ac:dyDescent="0.3">
      <c r="A77" s="10" t="s">
        <v>314</v>
      </c>
      <c r="B77" s="10"/>
      <c r="C77" s="24" t="s">
        <v>239</v>
      </c>
      <c r="D77" s="15"/>
      <c r="E77" s="15"/>
      <c r="F77" s="25" t="s">
        <v>240</v>
      </c>
      <c r="G77" s="26">
        <v>8</v>
      </c>
      <c r="H77" s="32"/>
      <c r="I77" s="32">
        <v>0</v>
      </c>
      <c r="J77" s="27">
        <v>2.5</v>
      </c>
      <c r="M77" s="28">
        <f>ROUND(ROUND(J77, 2)*I77, 2)</f>
        <v>0</v>
      </c>
      <c r="P77" s="27">
        <v>2.5</v>
      </c>
      <c r="S77" s="28">
        <f>ROUND(ROUND(P77, 2)*I77, 2)</f>
        <v>0</v>
      </c>
      <c r="V77" s="9">
        <f>ROUND(ROUND(P77, 2)/1.2, 2)</f>
        <v>2.08</v>
      </c>
      <c r="Y77" s="9">
        <f t="shared" si="9"/>
        <v>0</v>
      </c>
      <c r="AD77" s="4" t="s">
        <v>315</v>
      </c>
      <c r="AE77" s="4" t="s">
        <v>316</v>
      </c>
      <c r="AF77" s="4" t="s">
        <v>243</v>
      </c>
    </row>
    <row r="78" spans="1:35" ht="18" x14ac:dyDescent="0.3">
      <c r="A78" s="10" t="s">
        <v>317</v>
      </c>
      <c r="B78" s="10"/>
      <c r="C78" s="24" t="s">
        <v>318</v>
      </c>
      <c r="D78" s="15"/>
      <c r="E78" s="15"/>
      <c r="F78" s="25" t="s">
        <v>159</v>
      </c>
      <c r="G78" s="26">
        <v>1.8</v>
      </c>
      <c r="H78" s="32"/>
      <c r="I78" s="32">
        <v>0</v>
      </c>
      <c r="J78" s="27">
        <v>6.17</v>
      </c>
      <c r="M78" s="28">
        <f>ROUND(ROUND(J78, 2)*I78, 2)</f>
        <v>0</v>
      </c>
      <c r="P78" s="27">
        <v>6.17</v>
      </c>
      <c r="S78" s="28">
        <f>ROUND(ROUND(P78, 2)*I78, 2)</f>
        <v>0</v>
      </c>
      <c r="V78" s="9">
        <f>ROUND(ROUND(P78, 2)/1.2, 2)</f>
        <v>5.14</v>
      </c>
      <c r="Y78" s="9">
        <f t="shared" si="9"/>
        <v>0</v>
      </c>
      <c r="AD78" s="4" t="s">
        <v>319</v>
      </c>
      <c r="AE78" s="4" t="s">
        <v>320</v>
      </c>
      <c r="AF78" s="4" t="s">
        <v>321</v>
      </c>
    </row>
    <row r="79" spans="1:35" ht="18" x14ac:dyDescent="0.3">
      <c r="A79" s="10" t="s">
        <v>322</v>
      </c>
      <c r="B79" s="10"/>
      <c r="C79" s="24" t="s">
        <v>323</v>
      </c>
      <c r="D79" s="15"/>
      <c r="E79" s="15"/>
      <c r="F79" s="25" t="s">
        <v>75</v>
      </c>
      <c r="G79" s="26">
        <v>1.1000000000000001</v>
      </c>
      <c r="H79" s="32"/>
      <c r="I79" s="32">
        <v>0</v>
      </c>
      <c r="J79" s="27">
        <v>101.94</v>
      </c>
      <c r="M79" s="28">
        <f>ROUND(ROUND(J79, 2)*I79, 2)</f>
        <v>0</v>
      </c>
      <c r="P79" s="27">
        <v>101.94</v>
      </c>
      <c r="S79" s="28">
        <f>ROUND(ROUND(P79, 2)*I79, 2)</f>
        <v>0</v>
      </c>
      <c r="V79" s="9">
        <f>ROUND(ROUND(P79, 2)/1.2, 2)</f>
        <v>84.95</v>
      </c>
      <c r="Y79" s="9">
        <f t="shared" si="9"/>
        <v>0</v>
      </c>
      <c r="AD79" s="4" t="s">
        <v>324</v>
      </c>
      <c r="AE79" s="4" t="s">
        <v>325</v>
      </c>
      <c r="AF79" s="4" t="s">
        <v>326</v>
      </c>
    </row>
    <row r="80" spans="1:35" ht="18" x14ac:dyDescent="0.3">
      <c r="A80" s="10" t="s">
        <v>327</v>
      </c>
      <c r="B80" s="10"/>
      <c r="C80" s="24" t="s">
        <v>164</v>
      </c>
      <c r="D80" s="15"/>
      <c r="E80" s="15"/>
      <c r="F80" s="25" t="s">
        <v>120</v>
      </c>
      <c r="G80" s="26">
        <v>1</v>
      </c>
      <c r="H80" s="32"/>
      <c r="I80" s="32">
        <v>0</v>
      </c>
      <c r="J80" s="27">
        <v>10.4</v>
      </c>
      <c r="M80" s="28">
        <f>ROUND(ROUND(J80, 2)*I80, 2)</f>
        <v>0</v>
      </c>
      <c r="P80" s="27">
        <v>10.4</v>
      </c>
      <c r="S80" s="28">
        <f>ROUND(ROUND(P80, 2)*I80, 2)</f>
        <v>0</v>
      </c>
      <c r="V80" s="9">
        <f>ROUND(ROUND(P80, 2)/1.2, 2)</f>
        <v>8.67</v>
      </c>
      <c r="Y80" s="9">
        <f t="shared" si="9"/>
        <v>0</v>
      </c>
      <c r="AD80" s="4" t="s">
        <v>328</v>
      </c>
      <c r="AE80" s="4" t="s">
        <v>329</v>
      </c>
      <c r="AF80" s="4" t="s">
        <v>167</v>
      </c>
    </row>
    <row r="81" spans="1:35" ht="36" x14ac:dyDescent="0.3">
      <c r="A81" s="10" t="s">
        <v>330</v>
      </c>
      <c r="B81" s="10" t="s">
        <v>276</v>
      </c>
      <c r="C81" s="14" t="s">
        <v>277</v>
      </c>
      <c r="D81" s="15"/>
      <c r="E81" s="15" t="s">
        <v>331</v>
      </c>
      <c r="F81" s="15" t="s">
        <v>75</v>
      </c>
      <c r="G81" s="16">
        <v>1</v>
      </c>
      <c r="H81" s="16"/>
      <c r="I81" s="16">
        <v>0</v>
      </c>
      <c r="J81" s="17">
        <v>0</v>
      </c>
      <c r="K81" s="18">
        <v>922</v>
      </c>
      <c r="L81" s="17">
        <f>J81+ROUND(K81, 2)</f>
        <v>922</v>
      </c>
      <c r="M81" s="17">
        <v>0</v>
      </c>
      <c r="N81" s="17">
        <v>0</v>
      </c>
      <c r="O81" s="17">
        <f>M81+N81</f>
        <v>0</v>
      </c>
      <c r="P81" s="17">
        <v>1031.01</v>
      </c>
      <c r="Q81" s="18">
        <v>922</v>
      </c>
      <c r="R81" s="17">
        <f>P81+ROUND(Q81, 2)</f>
        <v>1953.01</v>
      </c>
      <c r="S81" s="17">
        <v>0</v>
      </c>
      <c r="T81" s="17">
        <v>0</v>
      </c>
      <c r="U81" s="17">
        <f>S81+T81</f>
        <v>0</v>
      </c>
      <c r="V81" s="9">
        <f>ROUND(P81 / 1.2, 2)</f>
        <v>859.18</v>
      </c>
      <c r="W81" s="9">
        <f>ROUND(Q81 / 1.2, 2)</f>
        <v>768.33</v>
      </c>
      <c r="X81" s="9">
        <f>ROUND(R81 / 1.2, 2)</f>
        <v>1627.51</v>
      </c>
      <c r="Y81" s="9">
        <f t="shared" si="9"/>
        <v>0</v>
      </c>
      <c r="Z81" s="9">
        <f>ROUND(T81 / 1.2, 2)</f>
        <v>0</v>
      </c>
      <c r="AA81" s="9">
        <f>Y81+Z81</f>
        <v>0</v>
      </c>
      <c r="AD81" s="4">
        <v>339118906</v>
      </c>
      <c r="AE81" s="4">
        <v>25888004</v>
      </c>
      <c r="AG81" s="4" t="s">
        <v>279</v>
      </c>
      <c r="AH81" s="4" t="s">
        <v>280</v>
      </c>
      <c r="AI81" s="4" t="s">
        <v>156</v>
      </c>
    </row>
    <row r="82" spans="1:35" ht="18" x14ac:dyDescent="0.3">
      <c r="A82" s="10" t="s">
        <v>332</v>
      </c>
      <c r="B82" s="10"/>
      <c r="C82" s="24" t="s">
        <v>164</v>
      </c>
      <c r="D82" s="15"/>
      <c r="E82" s="15"/>
      <c r="F82" s="25" t="s">
        <v>120</v>
      </c>
      <c r="G82" s="26">
        <v>1</v>
      </c>
      <c r="H82" s="32"/>
      <c r="I82" s="32">
        <v>0</v>
      </c>
      <c r="J82" s="27">
        <v>10.4</v>
      </c>
      <c r="M82" s="28">
        <f>ROUND(ROUND(J82, 2)*I82, 2)</f>
        <v>0</v>
      </c>
      <c r="P82" s="27">
        <v>10.4</v>
      </c>
      <c r="S82" s="28">
        <f>ROUND(ROUND(P82, 2)*I82, 2)</f>
        <v>0</v>
      </c>
      <c r="V82" s="9">
        <f>ROUND(ROUND(P82, 2)/1.2, 2)</f>
        <v>8.67</v>
      </c>
      <c r="Y82" s="9">
        <f t="shared" si="9"/>
        <v>0</v>
      </c>
      <c r="AD82" s="4" t="s">
        <v>333</v>
      </c>
      <c r="AE82" s="4" t="s">
        <v>334</v>
      </c>
      <c r="AF82" s="4" t="s">
        <v>167</v>
      </c>
    </row>
    <row r="83" spans="1:35" ht="18" x14ac:dyDescent="0.3">
      <c r="A83" s="10" t="s">
        <v>335</v>
      </c>
      <c r="B83" s="10"/>
      <c r="C83" s="24" t="s">
        <v>323</v>
      </c>
      <c r="D83" s="15"/>
      <c r="E83" s="15"/>
      <c r="F83" s="25" t="s">
        <v>75</v>
      </c>
      <c r="G83" s="26">
        <v>1.1000000000000001</v>
      </c>
      <c r="H83" s="32"/>
      <c r="I83" s="32">
        <v>0</v>
      </c>
      <c r="J83" s="27">
        <v>101.94</v>
      </c>
      <c r="M83" s="28">
        <f>ROUND(ROUND(J83, 2)*I83, 2)</f>
        <v>0</v>
      </c>
      <c r="P83" s="27">
        <v>101.94</v>
      </c>
      <c r="S83" s="28">
        <f>ROUND(ROUND(P83, 2)*I83, 2)</f>
        <v>0</v>
      </c>
      <c r="V83" s="9">
        <f>ROUND(ROUND(P83, 2)/1.2, 2)</f>
        <v>84.95</v>
      </c>
      <c r="Y83" s="9">
        <f t="shared" si="9"/>
        <v>0</v>
      </c>
      <c r="AD83" s="4" t="s">
        <v>336</v>
      </c>
      <c r="AE83" s="4" t="s">
        <v>337</v>
      </c>
      <c r="AF83" s="4" t="s">
        <v>326</v>
      </c>
    </row>
    <row r="84" spans="1:35" ht="18" x14ac:dyDescent="0.3">
      <c r="A84" s="10" t="s">
        <v>338</v>
      </c>
      <c r="B84" s="10"/>
      <c r="C84" s="24" t="s">
        <v>318</v>
      </c>
      <c r="D84" s="15"/>
      <c r="E84" s="15"/>
      <c r="F84" s="25" t="s">
        <v>159</v>
      </c>
      <c r="G84" s="26">
        <v>1.8</v>
      </c>
      <c r="H84" s="32"/>
      <c r="I84" s="32">
        <v>0</v>
      </c>
      <c r="J84" s="27">
        <v>6.17</v>
      </c>
      <c r="M84" s="28">
        <f>ROUND(ROUND(J84, 2)*I84, 2)</f>
        <v>0</v>
      </c>
      <c r="P84" s="27">
        <v>6.17</v>
      </c>
      <c r="S84" s="28">
        <f>ROUND(ROUND(P84, 2)*I84, 2)</f>
        <v>0</v>
      </c>
      <c r="V84" s="9">
        <f>ROUND(ROUND(P84, 2)/1.2, 2)</f>
        <v>5.14</v>
      </c>
      <c r="Y84" s="9">
        <f t="shared" si="9"/>
        <v>0</v>
      </c>
      <c r="AD84" s="4" t="s">
        <v>339</v>
      </c>
      <c r="AE84" s="4" t="s">
        <v>340</v>
      </c>
      <c r="AF84" s="4" t="s">
        <v>321</v>
      </c>
    </row>
    <row r="85" spans="1:35" ht="18" x14ac:dyDescent="0.3">
      <c r="A85" s="10" t="s">
        <v>341</v>
      </c>
      <c r="B85" s="10"/>
      <c r="C85" s="24" t="s">
        <v>239</v>
      </c>
      <c r="D85" s="15"/>
      <c r="E85" s="15"/>
      <c r="F85" s="25" t="s">
        <v>240</v>
      </c>
      <c r="G85" s="26">
        <v>8</v>
      </c>
      <c r="H85" s="32"/>
      <c r="I85" s="32">
        <v>0</v>
      </c>
      <c r="J85" s="27">
        <v>2.5</v>
      </c>
      <c r="M85" s="28">
        <f>ROUND(ROUND(J85, 2)*I85, 2)</f>
        <v>0</v>
      </c>
      <c r="P85" s="27">
        <v>2.5</v>
      </c>
      <c r="S85" s="28">
        <f>ROUND(ROUND(P85, 2)*I85, 2)</f>
        <v>0</v>
      </c>
      <c r="V85" s="9">
        <f>ROUND(ROUND(P85, 2)/1.2, 2)</f>
        <v>2.08</v>
      </c>
      <c r="Y85" s="9">
        <f t="shared" si="9"/>
        <v>0</v>
      </c>
      <c r="AD85" s="4" t="s">
        <v>342</v>
      </c>
      <c r="AE85" s="4" t="s">
        <v>343</v>
      </c>
      <c r="AF85" s="4" t="s">
        <v>243</v>
      </c>
    </row>
    <row r="86" spans="1:35" ht="72" x14ac:dyDescent="0.3">
      <c r="A86" s="82" t="s">
        <v>344</v>
      </c>
      <c r="B86" s="82" t="s">
        <v>276</v>
      </c>
      <c r="C86" s="83" t="s">
        <v>345</v>
      </c>
      <c r="D86" s="85"/>
      <c r="E86" s="85" t="s">
        <v>346</v>
      </c>
      <c r="F86" s="85" t="s">
        <v>75</v>
      </c>
      <c r="G86" s="86">
        <v>1</v>
      </c>
      <c r="H86" s="86"/>
      <c r="I86" s="86">
        <v>116.53</v>
      </c>
      <c r="J86" s="17">
        <v>1086.44</v>
      </c>
      <c r="K86" s="18">
        <v>1014</v>
      </c>
      <c r="L86" s="17">
        <f>J86+ROUND(K86, 2)</f>
        <v>2100.44</v>
      </c>
      <c r="M86" s="17">
        <v>126602.85</v>
      </c>
      <c r="N86" s="17">
        <v>118161.42</v>
      </c>
      <c r="O86" s="17">
        <f>M86+N86</f>
        <v>244764.27000000002</v>
      </c>
      <c r="P86" s="17">
        <v>1086.44</v>
      </c>
      <c r="Q86" s="18">
        <v>922</v>
      </c>
      <c r="R86" s="17">
        <f>P86+ROUND(Q86, 2)</f>
        <v>2008.44</v>
      </c>
      <c r="S86" s="17">
        <v>126602.85</v>
      </c>
      <c r="T86" s="17">
        <v>107440.66</v>
      </c>
      <c r="U86" s="17">
        <f>S86+T86</f>
        <v>234043.51</v>
      </c>
      <c r="V86" s="9">
        <f>ROUND(P86 / 1.2, 2)</f>
        <v>905.37</v>
      </c>
      <c r="W86" s="9">
        <f>ROUND(Q86 / 1.2, 2)</f>
        <v>768.33</v>
      </c>
      <c r="X86" s="9">
        <f>ROUND(R86 / 1.2, 2)</f>
        <v>1673.7</v>
      </c>
      <c r="Y86" s="9">
        <f t="shared" si="9"/>
        <v>105502.38</v>
      </c>
      <c r="Z86" s="9">
        <f>ROUND(T86 / 1.2, 2)</f>
        <v>89533.88</v>
      </c>
      <c r="AA86" s="9">
        <f>Y86+Z86</f>
        <v>195036.26</v>
      </c>
      <c r="AD86" s="4">
        <v>339118907</v>
      </c>
      <c r="AE86" s="4">
        <v>28951151</v>
      </c>
      <c r="AG86" s="4" t="s">
        <v>279</v>
      </c>
      <c r="AH86" s="4" t="s">
        <v>280</v>
      </c>
      <c r="AI86" s="4" t="s">
        <v>156</v>
      </c>
    </row>
    <row r="87" spans="1:35" ht="18" x14ac:dyDescent="0.3">
      <c r="A87" s="10" t="s">
        <v>347</v>
      </c>
      <c r="B87" s="10"/>
      <c r="C87" s="24" t="s">
        <v>239</v>
      </c>
      <c r="D87" s="15"/>
      <c r="E87" s="15"/>
      <c r="F87" s="25" t="s">
        <v>240</v>
      </c>
      <c r="G87" s="26">
        <v>8</v>
      </c>
      <c r="H87" s="32"/>
      <c r="I87" s="32">
        <v>932.24</v>
      </c>
      <c r="J87" s="27">
        <v>2.54</v>
      </c>
      <c r="M87" s="28">
        <f>ROUND(ROUND(J87, 2)*I87, 2)</f>
        <v>2367.89</v>
      </c>
      <c r="P87" s="27">
        <v>2.54</v>
      </c>
      <c r="S87" s="28">
        <f>ROUND(ROUND(P87, 2)*I87, 2)</f>
        <v>2367.89</v>
      </c>
      <c r="V87" s="9">
        <f>ROUND(ROUND(P87, 2)/1.2, 2)</f>
        <v>2.12</v>
      </c>
      <c r="Y87" s="9">
        <f t="shared" si="9"/>
        <v>1973.24</v>
      </c>
      <c r="AD87" s="4" t="s">
        <v>348</v>
      </c>
      <c r="AE87" s="4" t="s">
        <v>349</v>
      </c>
      <c r="AF87" s="4" t="s">
        <v>243</v>
      </c>
    </row>
    <row r="88" spans="1:35" ht="18" x14ac:dyDescent="0.3">
      <c r="A88" s="10" t="s">
        <v>350</v>
      </c>
      <c r="B88" s="10"/>
      <c r="C88" s="24" t="s">
        <v>245</v>
      </c>
      <c r="D88" s="15"/>
      <c r="E88" s="15"/>
      <c r="F88" s="25" t="s">
        <v>159</v>
      </c>
      <c r="G88" s="26">
        <v>1.8</v>
      </c>
      <c r="H88" s="32"/>
      <c r="I88" s="32">
        <v>13634.01</v>
      </c>
      <c r="J88" s="27">
        <v>7.54</v>
      </c>
      <c r="M88" s="28">
        <f>ROUND(ROUND(J88, 2)*I88, 2)</f>
        <v>102800.44</v>
      </c>
      <c r="P88" s="27">
        <v>7.54</v>
      </c>
      <c r="S88" s="28">
        <f>ROUND(ROUND(P88, 2)*I88, 2)</f>
        <v>102800.44</v>
      </c>
      <c r="V88" s="9">
        <f>ROUND(ROUND(P88, 2)/1.2, 2)</f>
        <v>6.28</v>
      </c>
      <c r="Y88" s="9">
        <f t="shared" si="9"/>
        <v>85667.03</v>
      </c>
      <c r="AD88" s="4" t="s">
        <v>351</v>
      </c>
      <c r="AE88" s="4" t="s">
        <v>352</v>
      </c>
      <c r="AF88" s="4" t="s">
        <v>248</v>
      </c>
    </row>
    <row r="89" spans="1:35" ht="18" x14ac:dyDescent="0.3">
      <c r="A89" s="10" t="s">
        <v>353</v>
      </c>
      <c r="B89" s="10"/>
      <c r="C89" s="24" t="s">
        <v>250</v>
      </c>
      <c r="D89" s="15"/>
      <c r="E89" s="15"/>
      <c r="F89" s="25" t="s">
        <v>75</v>
      </c>
      <c r="G89" s="26">
        <v>1.1000000000000001</v>
      </c>
      <c r="H89" s="32"/>
      <c r="I89" s="32">
        <v>128.18299999999999</v>
      </c>
      <c r="J89" s="27">
        <v>157.6</v>
      </c>
      <c r="M89" s="28">
        <f>ROUND(ROUND(J89, 2)*I89, 2)</f>
        <v>20201.64</v>
      </c>
      <c r="P89" s="27">
        <v>157.6</v>
      </c>
      <c r="S89" s="28">
        <f>ROUND(ROUND(P89, 2)*I89, 2)</f>
        <v>20201.64</v>
      </c>
      <c r="V89" s="9">
        <f>ROUND(ROUND(P89, 2)/1.2, 2)</f>
        <v>131.33000000000001</v>
      </c>
      <c r="Y89" s="9">
        <f t="shared" si="9"/>
        <v>16834.7</v>
      </c>
      <c r="AD89" s="4" t="s">
        <v>354</v>
      </c>
      <c r="AE89" s="4" t="s">
        <v>355</v>
      </c>
      <c r="AF89" s="4" t="s">
        <v>253</v>
      </c>
    </row>
    <row r="90" spans="1:35" ht="18" x14ac:dyDescent="0.3">
      <c r="A90" s="10" t="s">
        <v>356</v>
      </c>
      <c r="B90" s="10"/>
      <c r="C90" s="24" t="s">
        <v>164</v>
      </c>
      <c r="D90" s="15"/>
      <c r="E90" s="15"/>
      <c r="F90" s="25" t="s">
        <v>120</v>
      </c>
      <c r="G90" s="26">
        <v>1</v>
      </c>
      <c r="H90" s="32"/>
      <c r="I90" s="32">
        <v>116.53</v>
      </c>
      <c r="J90" s="27">
        <v>10.58</v>
      </c>
      <c r="M90" s="28">
        <f>ROUND(ROUND(J90, 2)*I90, 2)</f>
        <v>1232.8900000000001</v>
      </c>
      <c r="P90" s="27">
        <v>10.58</v>
      </c>
      <c r="S90" s="28">
        <f>ROUND(ROUND(P90, 2)*I90, 2)</f>
        <v>1232.8900000000001</v>
      </c>
      <c r="V90" s="9">
        <f>ROUND(ROUND(P90, 2)/1.2, 2)</f>
        <v>8.82</v>
      </c>
      <c r="Y90" s="9">
        <f t="shared" si="9"/>
        <v>1027.4100000000001</v>
      </c>
      <c r="AD90" s="4" t="s">
        <v>357</v>
      </c>
      <c r="AE90" s="4" t="s">
        <v>358</v>
      </c>
      <c r="AF90" s="4" t="s">
        <v>167</v>
      </c>
    </row>
    <row r="91" spans="1:35" ht="72" x14ac:dyDescent="0.3">
      <c r="A91" s="82" t="s">
        <v>359</v>
      </c>
      <c r="B91" s="82" t="s">
        <v>276</v>
      </c>
      <c r="C91" s="83" t="s">
        <v>345</v>
      </c>
      <c r="D91" s="85"/>
      <c r="E91" s="85" t="s">
        <v>360</v>
      </c>
      <c r="F91" s="85" t="s">
        <v>75</v>
      </c>
      <c r="G91" s="86">
        <v>1</v>
      </c>
      <c r="H91" s="86"/>
      <c r="I91" s="86">
        <v>1890.45</v>
      </c>
      <c r="J91" s="75">
        <v>1153.08</v>
      </c>
      <c r="K91" s="76">
        <v>1014</v>
      </c>
      <c r="L91" s="75">
        <f>J91+ROUND(K91, 2)</f>
        <v>2167.08</v>
      </c>
      <c r="M91" s="75">
        <v>2179840.09</v>
      </c>
      <c r="N91" s="75">
        <v>1916916.3</v>
      </c>
      <c r="O91" s="75">
        <f>M91+N91</f>
        <v>4096756.3899999997</v>
      </c>
      <c r="P91" s="75">
        <v>1153.08</v>
      </c>
      <c r="Q91" s="76">
        <v>922</v>
      </c>
      <c r="R91" s="75">
        <f>P91+ROUND(Q91, 2)</f>
        <v>2075.08</v>
      </c>
      <c r="S91" s="75">
        <v>2179840.09</v>
      </c>
      <c r="T91" s="75">
        <v>1742994.9</v>
      </c>
      <c r="U91" s="75">
        <f>S91+T91</f>
        <v>3922834.9899999998</v>
      </c>
      <c r="V91" s="9">
        <f>ROUND(P91 / 1.2, 2)</f>
        <v>960.9</v>
      </c>
      <c r="W91" s="9">
        <f>ROUND(Q91 / 1.2, 2)</f>
        <v>768.33</v>
      </c>
      <c r="X91" s="9">
        <f>ROUND(R91 / 1.2, 2)</f>
        <v>1729.23</v>
      </c>
      <c r="Y91" s="9">
        <f t="shared" si="9"/>
        <v>1816533.41</v>
      </c>
      <c r="Z91" s="9">
        <f>ROUND(T91 / 1.2, 2)</f>
        <v>1452495.75</v>
      </c>
      <c r="AA91" s="9">
        <f>Y91+Z91</f>
        <v>3269029.16</v>
      </c>
      <c r="AD91" s="4">
        <v>339118908</v>
      </c>
      <c r="AE91" s="4">
        <v>28951152</v>
      </c>
      <c r="AG91" s="4" t="s">
        <v>279</v>
      </c>
      <c r="AH91" s="4" t="s">
        <v>280</v>
      </c>
      <c r="AI91" s="4" t="s">
        <v>156</v>
      </c>
    </row>
    <row r="92" spans="1:35" ht="18" x14ac:dyDescent="0.3">
      <c r="A92" s="10" t="s">
        <v>361</v>
      </c>
      <c r="B92" s="10"/>
      <c r="C92" s="24" t="s">
        <v>296</v>
      </c>
      <c r="D92" s="15"/>
      <c r="E92" s="15"/>
      <c r="F92" s="25" t="s">
        <v>159</v>
      </c>
      <c r="G92" s="26">
        <v>0.255</v>
      </c>
      <c r="H92" s="26"/>
      <c r="I92" s="26">
        <v>482.065</v>
      </c>
      <c r="J92" s="27">
        <v>101.66</v>
      </c>
      <c r="M92" s="28">
        <f>ROUND(ROUND(J92, 2)*I92, 2)</f>
        <v>49006.73</v>
      </c>
      <c r="P92" s="27">
        <v>101.66</v>
      </c>
      <c r="S92" s="28">
        <f>ROUND(ROUND(P92, 2)*I92, 2)</f>
        <v>49006.73</v>
      </c>
      <c r="V92" s="9">
        <f>ROUND(ROUND(P92, 2)/1.2, 2)</f>
        <v>84.72</v>
      </c>
      <c r="Y92" s="9">
        <f t="shared" si="9"/>
        <v>40838.94</v>
      </c>
      <c r="AD92" s="4" t="s">
        <v>362</v>
      </c>
      <c r="AE92" s="4" t="s">
        <v>363</v>
      </c>
      <c r="AF92" s="4" t="s">
        <v>299</v>
      </c>
    </row>
    <row r="93" spans="1:35" ht="18" x14ac:dyDescent="0.3">
      <c r="A93" s="10" t="s">
        <v>364</v>
      </c>
      <c r="B93" s="10"/>
      <c r="C93" s="24" t="s">
        <v>164</v>
      </c>
      <c r="D93" s="15"/>
      <c r="E93" s="15"/>
      <c r="F93" s="25" t="s">
        <v>120</v>
      </c>
      <c r="G93" s="26">
        <v>1</v>
      </c>
      <c r="H93" s="32"/>
      <c r="I93" s="32">
        <v>1890.45</v>
      </c>
      <c r="J93" s="27">
        <v>10.58</v>
      </c>
      <c r="M93" s="28">
        <f>ROUND(ROUND(J93, 2)*I93, 2)</f>
        <v>20000.96</v>
      </c>
      <c r="P93" s="27">
        <v>10.58</v>
      </c>
      <c r="S93" s="28">
        <f>ROUND(ROUND(P93, 2)*I93, 2)</f>
        <v>20000.96</v>
      </c>
      <c r="V93" s="9">
        <f>ROUND(ROUND(P93, 2)/1.2, 2)</f>
        <v>8.82</v>
      </c>
      <c r="Y93" s="9">
        <f t="shared" si="9"/>
        <v>16667.47</v>
      </c>
      <c r="AD93" s="4" t="s">
        <v>365</v>
      </c>
      <c r="AE93" s="4" t="s">
        <v>366</v>
      </c>
      <c r="AF93" s="4" t="s">
        <v>167</v>
      </c>
    </row>
    <row r="94" spans="1:35" ht="18" x14ac:dyDescent="0.3">
      <c r="A94" s="10" t="s">
        <v>367</v>
      </c>
      <c r="B94" s="10"/>
      <c r="C94" s="24" t="s">
        <v>250</v>
      </c>
      <c r="D94" s="15"/>
      <c r="E94" s="15"/>
      <c r="F94" s="25" t="s">
        <v>75</v>
      </c>
      <c r="G94" s="26">
        <v>1.1000000000000001</v>
      </c>
      <c r="H94" s="32"/>
      <c r="I94" s="32">
        <v>2079.4949999999999</v>
      </c>
      <c r="J94" s="27">
        <v>157.6</v>
      </c>
      <c r="M94" s="28">
        <f>ROUND(ROUND(J94, 2)*I94, 2)</f>
        <v>327728.40999999997</v>
      </c>
      <c r="P94" s="27">
        <v>157.6</v>
      </c>
      <c r="S94" s="28">
        <f>ROUND(ROUND(P94, 2)*I94, 2)</f>
        <v>327728.40999999997</v>
      </c>
      <c r="V94" s="9">
        <f>ROUND(ROUND(P94, 2)/1.2, 2)</f>
        <v>131.33000000000001</v>
      </c>
      <c r="Y94" s="9">
        <f t="shared" si="9"/>
        <v>273107.01</v>
      </c>
      <c r="AD94" s="4" t="s">
        <v>368</v>
      </c>
      <c r="AE94" s="4" t="s">
        <v>369</v>
      </c>
      <c r="AF94" s="4" t="s">
        <v>253</v>
      </c>
    </row>
    <row r="95" spans="1:35" ht="18" x14ac:dyDescent="0.3">
      <c r="A95" s="10" t="s">
        <v>370</v>
      </c>
      <c r="B95" s="10"/>
      <c r="C95" s="24" t="s">
        <v>245</v>
      </c>
      <c r="D95" s="15"/>
      <c r="E95" s="15"/>
      <c r="F95" s="25" t="s">
        <v>159</v>
      </c>
      <c r="G95" s="26">
        <v>1.8</v>
      </c>
      <c r="H95" s="32"/>
      <c r="I95" s="32">
        <v>231391.08</v>
      </c>
      <c r="J95" s="27">
        <v>7.54</v>
      </c>
      <c r="M95" s="28">
        <f>ROUND(ROUND(J95, 2)*I95, 2)</f>
        <v>1744688.74</v>
      </c>
      <c r="P95" s="27">
        <v>7.54</v>
      </c>
      <c r="S95" s="28">
        <f>ROUND(ROUND(P95, 2)*I95, 2)</f>
        <v>1744688.74</v>
      </c>
      <c r="V95" s="9">
        <f>ROUND(ROUND(P95, 2)/1.2, 2)</f>
        <v>6.28</v>
      </c>
      <c r="Y95" s="9">
        <f t="shared" si="9"/>
        <v>1453907.28</v>
      </c>
      <c r="AD95" s="4" t="s">
        <v>371</v>
      </c>
      <c r="AE95" s="4" t="s">
        <v>372</v>
      </c>
      <c r="AF95" s="4" t="s">
        <v>248</v>
      </c>
    </row>
    <row r="96" spans="1:35" ht="18" x14ac:dyDescent="0.3">
      <c r="A96" s="10" t="s">
        <v>373</v>
      </c>
      <c r="B96" s="10"/>
      <c r="C96" s="24" t="s">
        <v>239</v>
      </c>
      <c r="D96" s="15"/>
      <c r="E96" s="15"/>
      <c r="F96" s="25" t="s">
        <v>240</v>
      </c>
      <c r="G96" s="26">
        <v>8</v>
      </c>
      <c r="H96" s="32"/>
      <c r="I96" s="32">
        <v>15123.6</v>
      </c>
      <c r="J96" s="27">
        <v>2.54</v>
      </c>
      <c r="M96" s="28">
        <f>ROUND(ROUND(J96, 2)*I96, 2)</f>
        <v>38413.94</v>
      </c>
      <c r="P96" s="27">
        <v>2.54</v>
      </c>
      <c r="S96" s="28">
        <f>ROUND(ROUND(P96, 2)*I96, 2)</f>
        <v>38413.94</v>
      </c>
      <c r="V96" s="9">
        <f>ROUND(ROUND(P96, 2)/1.2, 2)</f>
        <v>2.12</v>
      </c>
      <c r="Y96" s="9">
        <f t="shared" si="9"/>
        <v>32011.62</v>
      </c>
      <c r="AD96" s="4" t="s">
        <v>374</v>
      </c>
      <c r="AE96" s="4" t="s">
        <v>375</v>
      </c>
      <c r="AF96" s="4" t="s">
        <v>243</v>
      </c>
    </row>
    <row r="97" spans="1:35" ht="54" x14ac:dyDescent="0.3">
      <c r="A97" s="10" t="s">
        <v>376</v>
      </c>
      <c r="B97" s="98" t="s">
        <v>276</v>
      </c>
      <c r="C97" s="99" t="s">
        <v>345</v>
      </c>
      <c r="D97" s="100"/>
      <c r="E97" s="100" t="s">
        <v>377</v>
      </c>
      <c r="F97" s="100" t="s">
        <v>75</v>
      </c>
      <c r="G97" s="101">
        <v>1</v>
      </c>
      <c r="H97" s="101"/>
      <c r="I97" s="101">
        <v>254.68</v>
      </c>
      <c r="J97" s="102">
        <v>1086.44</v>
      </c>
      <c r="K97" s="102">
        <v>1014</v>
      </c>
      <c r="L97" s="102">
        <f>J97+ROUND(K97, 2)</f>
        <v>2100.44</v>
      </c>
      <c r="M97" s="102">
        <v>276694.53999999998</v>
      </c>
      <c r="N97" s="102">
        <v>258245.52</v>
      </c>
      <c r="O97" s="102">
        <f>M97+N97</f>
        <v>534940.05999999994</v>
      </c>
      <c r="P97" s="102">
        <v>1086.44</v>
      </c>
      <c r="Q97" s="18">
        <v>922</v>
      </c>
      <c r="R97" s="17">
        <f>P97+ROUND(Q97, 2)</f>
        <v>2008.44</v>
      </c>
      <c r="S97" s="17">
        <v>276694.53999999998</v>
      </c>
      <c r="T97" s="17">
        <v>234814.96</v>
      </c>
      <c r="U97" s="17">
        <f>S97+T97</f>
        <v>511509.5</v>
      </c>
      <c r="V97" s="9">
        <f>ROUND(P97 / 1.2, 2)</f>
        <v>905.37</v>
      </c>
      <c r="W97" s="9">
        <f>ROUND(Q97 / 1.2, 2)</f>
        <v>768.33</v>
      </c>
      <c r="X97" s="9">
        <f>ROUND(R97 / 1.2, 2)</f>
        <v>1673.7</v>
      </c>
      <c r="Y97" s="9">
        <f t="shared" si="9"/>
        <v>230578.78</v>
      </c>
      <c r="Z97" s="9">
        <f>ROUND(T97 / 1.2, 2)</f>
        <v>195679.13</v>
      </c>
      <c r="AA97" s="9">
        <f>Y97+Z97</f>
        <v>426257.91000000003</v>
      </c>
      <c r="AD97" s="4">
        <v>339118909</v>
      </c>
      <c r="AE97" s="4">
        <v>28964107</v>
      </c>
      <c r="AG97" s="4" t="s">
        <v>279</v>
      </c>
      <c r="AH97" s="4" t="s">
        <v>280</v>
      </c>
      <c r="AI97" s="4" t="s">
        <v>156</v>
      </c>
    </row>
    <row r="98" spans="1:35" ht="18" x14ac:dyDescent="0.3">
      <c r="A98" s="10" t="s">
        <v>378</v>
      </c>
      <c r="B98" s="10"/>
      <c r="C98" s="24" t="s">
        <v>239</v>
      </c>
      <c r="D98" s="15"/>
      <c r="E98" s="15"/>
      <c r="F98" s="25" t="s">
        <v>240</v>
      </c>
      <c r="G98" s="26">
        <v>8</v>
      </c>
      <c r="H98" s="32"/>
      <c r="I98" s="32">
        <v>2037.44</v>
      </c>
      <c r="J98" s="27">
        <v>2.54</v>
      </c>
      <c r="M98" s="28">
        <f>ROUND(ROUND(J98, 2)*I98, 2)</f>
        <v>5175.1000000000004</v>
      </c>
      <c r="P98" s="27">
        <v>2.54</v>
      </c>
      <c r="S98" s="28">
        <f>ROUND(ROUND(P98, 2)*I98, 2)</f>
        <v>5175.1000000000004</v>
      </c>
      <c r="V98" s="9">
        <f>ROUND(ROUND(P98, 2)/1.2, 2)</f>
        <v>2.12</v>
      </c>
      <c r="Y98" s="9">
        <f t="shared" si="9"/>
        <v>4312.58</v>
      </c>
      <c r="AD98" s="4" t="s">
        <v>379</v>
      </c>
      <c r="AE98" s="4" t="s">
        <v>380</v>
      </c>
      <c r="AF98" s="4" t="s">
        <v>243</v>
      </c>
    </row>
    <row r="99" spans="1:35" ht="18" x14ac:dyDescent="0.3">
      <c r="A99" s="10" t="s">
        <v>381</v>
      </c>
      <c r="B99" s="10"/>
      <c r="C99" s="24" t="s">
        <v>245</v>
      </c>
      <c r="D99" s="15"/>
      <c r="E99" s="15"/>
      <c r="F99" s="25" t="s">
        <v>159</v>
      </c>
      <c r="G99" s="26">
        <v>1.8</v>
      </c>
      <c r="H99" s="32"/>
      <c r="I99" s="32">
        <v>29797.56</v>
      </c>
      <c r="J99" s="27">
        <v>7.54</v>
      </c>
      <c r="M99" s="28">
        <f>ROUND(ROUND(J99, 2)*I99, 2)</f>
        <v>224673.6</v>
      </c>
      <c r="P99" s="27">
        <v>7.54</v>
      </c>
      <c r="S99" s="28">
        <f>ROUND(ROUND(P99, 2)*I99, 2)</f>
        <v>224673.6</v>
      </c>
      <c r="V99" s="9">
        <f>ROUND(ROUND(P99, 2)/1.2, 2)</f>
        <v>6.28</v>
      </c>
      <c r="Y99" s="9">
        <f t="shared" si="9"/>
        <v>187228</v>
      </c>
      <c r="AD99" s="4" t="s">
        <v>382</v>
      </c>
      <c r="AE99" s="4" t="s">
        <v>383</v>
      </c>
      <c r="AF99" s="4" t="s">
        <v>248</v>
      </c>
    </row>
    <row r="100" spans="1:35" ht="18" x14ac:dyDescent="0.3">
      <c r="A100" s="10" t="s">
        <v>384</v>
      </c>
      <c r="B100" s="10"/>
      <c r="C100" s="24" t="s">
        <v>250</v>
      </c>
      <c r="D100" s="15"/>
      <c r="E100" s="15"/>
      <c r="F100" s="25" t="s">
        <v>75</v>
      </c>
      <c r="G100" s="26">
        <v>1.1000000000000001</v>
      </c>
      <c r="H100" s="32"/>
      <c r="I100" s="32">
        <v>280.14800000000002</v>
      </c>
      <c r="J100" s="27">
        <v>157.6</v>
      </c>
      <c r="M100" s="28">
        <f>ROUND(ROUND(J100, 2)*I100, 2)</f>
        <v>44151.32</v>
      </c>
      <c r="P100" s="27">
        <v>157.6</v>
      </c>
      <c r="S100" s="28">
        <f>ROUND(ROUND(P100, 2)*I100, 2)</f>
        <v>44151.32</v>
      </c>
      <c r="V100" s="9">
        <f>ROUND(ROUND(P100, 2)/1.2, 2)</f>
        <v>131.33000000000001</v>
      </c>
      <c r="Y100" s="9">
        <f t="shared" si="9"/>
        <v>36792.769999999997</v>
      </c>
      <c r="AD100" s="4" t="s">
        <v>385</v>
      </c>
      <c r="AE100" s="4" t="s">
        <v>386</v>
      </c>
      <c r="AF100" s="4" t="s">
        <v>253</v>
      </c>
    </row>
    <row r="101" spans="1:35" ht="18" x14ac:dyDescent="0.3">
      <c r="A101" s="10" t="s">
        <v>387</v>
      </c>
      <c r="B101" s="10"/>
      <c r="C101" s="24" t="s">
        <v>164</v>
      </c>
      <c r="D101" s="15"/>
      <c r="E101" s="15"/>
      <c r="F101" s="25" t="s">
        <v>120</v>
      </c>
      <c r="G101" s="26">
        <v>1</v>
      </c>
      <c r="H101" s="32"/>
      <c r="I101" s="32">
        <v>254.68</v>
      </c>
      <c r="J101" s="27">
        <v>10.58</v>
      </c>
      <c r="M101" s="28">
        <f>ROUND(ROUND(J101, 2)*I101, 2)</f>
        <v>2694.51</v>
      </c>
      <c r="P101" s="27">
        <v>10.58</v>
      </c>
      <c r="S101" s="28">
        <f>ROUND(ROUND(P101, 2)*I101, 2)</f>
        <v>2694.51</v>
      </c>
      <c r="V101" s="9">
        <f>ROUND(ROUND(P101, 2)/1.2, 2)</f>
        <v>8.82</v>
      </c>
      <c r="Y101" s="9">
        <f t="shared" ref="Y101" si="10">ROUND(S101 / 1.2, 2)</f>
        <v>2245.4299999999998</v>
      </c>
      <c r="AD101" s="4" t="s">
        <v>388</v>
      </c>
      <c r="AE101" s="4" t="s">
        <v>389</v>
      </c>
      <c r="AF101" s="4" t="s">
        <v>167</v>
      </c>
    </row>
    <row r="102" spans="1:35" ht="16.95" customHeight="1" x14ac:dyDescent="0.3">
      <c r="A102" s="10" t="s">
        <v>390</v>
      </c>
      <c r="B102" s="10" t="s">
        <v>391</v>
      </c>
      <c r="C102" s="120" t="s">
        <v>392</v>
      </c>
      <c r="D102" s="121"/>
      <c r="E102" s="121"/>
      <c r="F102" s="121"/>
      <c r="G102" s="121"/>
      <c r="H102" s="121"/>
      <c r="I102" s="122"/>
      <c r="M102" s="6">
        <f>SUM(M103,M107,M109,M111)</f>
        <v>386532.99</v>
      </c>
      <c r="N102" s="6">
        <f>SUM(N103,N107,N109,N111)</f>
        <v>304644.92000000004</v>
      </c>
      <c r="O102" s="6">
        <f>SUM(O103,O107,O109,O111)</f>
        <v>691177.90999999992</v>
      </c>
      <c r="S102" s="6">
        <f>SUM(S103,S107,S109,S111)</f>
        <v>458436.32</v>
      </c>
      <c r="T102" s="6">
        <f>SUM(T103,T107,T109,T111)</f>
        <v>304644.92000000004</v>
      </c>
      <c r="U102" s="6">
        <f>SUM(U103,U107,U109,U111)</f>
        <v>763081.24</v>
      </c>
      <c r="Y102" s="9">
        <f>SUM(Y103,Y107,Y109,Y111)</f>
        <v>382030.27</v>
      </c>
      <c r="Z102" s="9">
        <f>SUM(Z103,Z107,Z109,Z111)</f>
        <v>253870.77000000002</v>
      </c>
      <c r="AA102" s="9">
        <f>SUM(AA103,AA107,AA109,AA111)</f>
        <v>635901.04</v>
      </c>
      <c r="AD102" s="4">
        <v>339118809</v>
      </c>
      <c r="AE102" s="4">
        <v>25887963</v>
      </c>
    </row>
    <row r="103" spans="1:35" ht="54" x14ac:dyDescent="0.3">
      <c r="A103" s="10" t="s">
        <v>393</v>
      </c>
      <c r="B103" s="10" t="s">
        <v>394</v>
      </c>
      <c r="C103" s="14" t="s">
        <v>395</v>
      </c>
      <c r="D103" s="15"/>
      <c r="E103" s="15" t="s">
        <v>396</v>
      </c>
      <c r="F103" s="15" t="s">
        <v>75</v>
      </c>
      <c r="G103" s="16">
        <v>1</v>
      </c>
      <c r="H103" s="16"/>
      <c r="I103" s="16">
        <v>441.33</v>
      </c>
      <c r="J103" s="17">
        <v>625.25</v>
      </c>
      <c r="K103" s="18">
        <v>324</v>
      </c>
      <c r="L103" s="17">
        <f>J103+ROUND(K103, 2)</f>
        <v>949.25</v>
      </c>
      <c r="M103" s="17">
        <v>275941.58</v>
      </c>
      <c r="N103" s="17">
        <v>142990.92000000001</v>
      </c>
      <c r="O103" s="17">
        <f>M103+N103</f>
        <v>418932.5</v>
      </c>
      <c r="P103" s="17">
        <v>625.25</v>
      </c>
      <c r="Q103" s="18">
        <v>324</v>
      </c>
      <c r="R103" s="17">
        <f>P103+ROUND(Q103, 2)</f>
        <v>949.25</v>
      </c>
      <c r="S103" s="17">
        <v>275941.58</v>
      </c>
      <c r="T103" s="17">
        <v>142990.92000000001</v>
      </c>
      <c r="U103" s="17">
        <f>S103+T103</f>
        <v>418932.5</v>
      </c>
      <c r="V103" s="9">
        <f>ROUND(P103 / 1.2, 2)</f>
        <v>521.04</v>
      </c>
      <c r="W103" s="9">
        <f>ROUND(Q103 / 1.2, 2)</f>
        <v>270</v>
      </c>
      <c r="X103" s="9">
        <f>ROUND(R103 / 1.2, 2)</f>
        <v>791.04</v>
      </c>
      <c r="Y103" s="9">
        <f>ROUND(S103 / 1.2, 2)</f>
        <v>229951.32</v>
      </c>
      <c r="Z103" s="9">
        <f>ROUND(T103 / 1.2, 2)</f>
        <v>119159.1</v>
      </c>
      <c r="AA103" s="9">
        <f>Y103+Z103</f>
        <v>349110.42000000004</v>
      </c>
      <c r="AD103" s="4">
        <v>339118811</v>
      </c>
      <c r="AE103" s="4">
        <v>25888009</v>
      </c>
      <c r="AG103" s="4" t="s">
        <v>397</v>
      </c>
      <c r="AH103" s="4" t="s">
        <v>398</v>
      </c>
      <c r="AI103" s="4" t="s">
        <v>156</v>
      </c>
    </row>
    <row r="104" spans="1:35" ht="18" x14ac:dyDescent="0.3">
      <c r="A104" s="10" t="s">
        <v>399</v>
      </c>
      <c r="B104" s="10"/>
      <c r="C104" s="24" t="s">
        <v>400</v>
      </c>
      <c r="D104" s="15"/>
      <c r="E104" s="15"/>
      <c r="F104" s="25" t="s">
        <v>159</v>
      </c>
      <c r="G104" s="26">
        <v>0.25</v>
      </c>
      <c r="H104" s="26"/>
      <c r="I104" s="26">
        <v>110.333</v>
      </c>
      <c r="J104" s="27">
        <v>210.3</v>
      </c>
      <c r="M104" s="28">
        <f>ROUND(ROUND(J104, 2)*I104, 2)</f>
        <v>23203.03</v>
      </c>
      <c r="P104" s="27">
        <v>210.3</v>
      </c>
      <c r="S104" s="28">
        <f>ROUND(ROUND(P104, 2)*I104, 2)</f>
        <v>23203.03</v>
      </c>
      <c r="V104" s="9">
        <f>ROUND(ROUND(P104, 2)/1.2, 2)</f>
        <v>175.25</v>
      </c>
      <c r="Y104" s="9">
        <f t="shared" ref="Y104:Y112" si="11">ROUND(S104 / 1.2, 2)</f>
        <v>19335.86</v>
      </c>
      <c r="AD104" s="4" t="s">
        <v>401</v>
      </c>
      <c r="AE104" s="4" t="s">
        <v>402</v>
      </c>
      <c r="AF104" s="4" t="s">
        <v>403</v>
      </c>
    </row>
    <row r="105" spans="1:35" ht="18" x14ac:dyDescent="0.3">
      <c r="A105" s="10" t="s">
        <v>404</v>
      </c>
      <c r="B105" s="10"/>
      <c r="C105" s="24" t="s">
        <v>405</v>
      </c>
      <c r="D105" s="15"/>
      <c r="E105" s="15" t="s">
        <v>406</v>
      </c>
      <c r="F105" s="25" t="s">
        <v>159</v>
      </c>
      <c r="G105" s="26">
        <v>2</v>
      </c>
      <c r="H105" s="26"/>
      <c r="I105" s="26">
        <v>882.66</v>
      </c>
      <c r="J105" s="27">
        <v>282.66000000000003</v>
      </c>
      <c r="M105" s="28">
        <f>ROUND(ROUND(J105, 2)*I105, 2)</f>
        <v>249492.68</v>
      </c>
      <c r="P105" s="27">
        <v>282.66000000000003</v>
      </c>
      <c r="S105" s="28">
        <f>ROUND(ROUND(P105, 2)*I105, 2)</f>
        <v>249492.68</v>
      </c>
      <c r="V105" s="9">
        <f>ROUND(ROUND(P105, 2)/1.2, 2)</f>
        <v>235.55</v>
      </c>
      <c r="Y105" s="9">
        <f t="shared" si="11"/>
        <v>207910.57</v>
      </c>
      <c r="AD105" s="4" t="s">
        <v>407</v>
      </c>
      <c r="AE105" s="4" t="s">
        <v>408</v>
      </c>
      <c r="AF105" s="4" t="s">
        <v>409</v>
      </c>
    </row>
    <row r="106" spans="1:35" ht="18" x14ac:dyDescent="0.3">
      <c r="A106" s="10" t="s">
        <v>410</v>
      </c>
      <c r="B106" s="10"/>
      <c r="C106" s="24" t="s">
        <v>411</v>
      </c>
      <c r="D106" s="15"/>
      <c r="E106" s="15"/>
      <c r="F106" s="25" t="s">
        <v>120</v>
      </c>
      <c r="G106" s="26">
        <v>1.05</v>
      </c>
      <c r="H106" s="32"/>
      <c r="I106" s="32">
        <v>463.39699999999999</v>
      </c>
      <c r="J106" s="27">
        <v>7</v>
      </c>
      <c r="M106" s="28">
        <f>ROUND(ROUND(J106, 2)*I106, 2)</f>
        <v>3243.78</v>
      </c>
      <c r="P106" s="27">
        <v>7</v>
      </c>
      <c r="S106" s="28">
        <f>ROUND(ROUND(P106, 2)*I106, 2)</f>
        <v>3243.78</v>
      </c>
      <c r="V106" s="9">
        <f>ROUND(ROUND(P106, 2)/1.2, 2)</f>
        <v>5.83</v>
      </c>
      <c r="Y106" s="9">
        <f t="shared" si="11"/>
        <v>2703.15</v>
      </c>
      <c r="AD106" s="4" t="s">
        <v>412</v>
      </c>
      <c r="AE106" s="4" t="s">
        <v>413</v>
      </c>
      <c r="AF106" s="4" t="s">
        <v>414</v>
      </c>
    </row>
    <row r="107" spans="1:35" ht="36" x14ac:dyDescent="0.3">
      <c r="A107" s="10" t="s">
        <v>415</v>
      </c>
      <c r="B107" s="10" t="s">
        <v>416</v>
      </c>
      <c r="C107" s="14" t="s">
        <v>417</v>
      </c>
      <c r="D107" s="15"/>
      <c r="E107" s="15" t="s">
        <v>418</v>
      </c>
      <c r="F107" s="15" t="s">
        <v>75</v>
      </c>
      <c r="G107" s="16">
        <v>1</v>
      </c>
      <c r="H107" s="16"/>
      <c r="I107" s="16">
        <v>254.61</v>
      </c>
      <c r="J107" s="17">
        <v>173.98</v>
      </c>
      <c r="K107" s="18">
        <v>439</v>
      </c>
      <c r="L107" s="17">
        <f>J107+ROUND(K107, 2)</f>
        <v>612.98</v>
      </c>
      <c r="M107" s="17">
        <v>44297.05</v>
      </c>
      <c r="N107" s="17">
        <v>111773.79</v>
      </c>
      <c r="O107" s="17">
        <f>M107+N107</f>
        <v>156070.84</v>
      </c>
      <c r="P107" s="17">
        <v>413.67</v>
      </c>
      <c r="Q107" s="18">
        <v>439</v>
      </c>
      <c r="R107" s="17">
        <f>P107+ROUND(Q107, 2)</f>
        <v>852.67000000000007</v>
      </c>
      <c r="S107" s="17">
        <v>105324.52</v>
      </c>
      <c r="T107" s="17">
        <v>111773.79</v>
      </c>
      <c r="U107" s="17">
        <f>S107+T107</f>
        <v>217098.31</v>
      </c>
      <c r="V107" s="9">
        <f>ROUND(P107 / 1.2, 2)</f>
        <v>344.73</v>
      </c>
      <c r="W107" s="9">
        <f>ROUND(Q107 / 1.2, 2)</f>
        <v>365.83</v>
      </c>
      <c r="X107" s="9">
        <f>ROUND(R107 / 1.2, 2)</f>
        <v>710.56</v>
      </c>
      <c r="Y107" s="9">
        <f t="shared" si="11"/>
        <v>87770.43</v>
      </c>
      <c r="Z107" s="9">
        <f>ROUND(T107 / 1.2, 2)</f>
        <v>93144.83</v>
      </c>
      <c r="AA107" s="9">
        <f>Y107+Z107</f>
        <v>180915.26</v>
      </c>
      <c r="AD107" s="4">
        <v>339118813</v>
      </c>
      <c r="AE107" s="4">
        <v>25888006</v>
      </c>
      <c r="AG107" s="4" t="s">
        <v>419</v>
      </c>
      <c r="AH107" s="4" t="s">
        <v>420</v>
      </c>
      <c r="AI107" s="4" t="s">
        <v>156</v>
      </c>
    </row>
    <row r="108" spans="1:35" ht="72" x14ac:dyDescent="0.3">
      <c r="A108" s="10" t="s">
        <v>421</v>
      </c>
      <c r="B108" s="10"/>
      <c r="C108" s="30" t="s">
        <v>422</v>
      </c>
      <c r="D108" s="15"/>
      <c r="E108" s="15" t="s">
        <v>423</v>
      </c>
      <c r="F108" s="25" t="s">
        <v>424</v>
      </c>
      <c r="G108" s="26">
        <v>1.03</v>
      </c>
      <c r="H108" s="32"/>
      <c r="I108" s="32">
        <v>13.112</v>
      </c>
      <c r="J108" s="27">
        <v>3378.43</v>
      </c>
      <c r="M108" s="28">
        <f>ROUND(ROUND(J108, 2)*I108, 2)</f>
        <v>44297.97</v>
      </c>
      <c r="P108" s="27">
        <v>8032.5</v>
      </c>
      <c r="S108" s="28">
        <f>ROUND(ROUND(P108, 2)*I108, 2)</f>
        <v>105322.14</v>
      </c>
      <c r="V108" s="9">
        <f>ROUND(ROUND(P108, 2)/1.2, 2)</f>
        <v>6693.75</v>
      </c>
      <c r="Y108" s="9">
        <f t="shared" si="11"/>
        <v>87768.45</v>
      </c>
      <c r="AD108" s="4" t="s">
        <v>425</v>
      </c>
      <c r="AE108" s="4" t="s">
        <v>426</v>
      </c>
      <c r="AF108" s="4" t="s">
        <v>427</v>
      </c>
    </row>
    <row r="109" spans="1:35" ht="54" x14ac:dyDescent="0.3">
      <c r="A109" s="10" t="s">
        <v>428</v>
      </c>
      <c r="B109" s="98" t="s">
        <v>416</v>
      </c>
      <c r="C109" s="99" t="s">
        <v>417</v>
      </c>
      <c r="D109" s="100"/>
      <c r="E109" s="100" t="s">
        <v>429</v>
      </c>
      <c r="F109" s="100" t="s">
        <v>75</v>
      </c>
      <c r="G109" s="101">
        <v>1</v>
      </c>
      <c r="H109" s="101"/>
      <c r="I109" s="101">
        <v>86.33</v>
      </c>
      <c r="J109" s="102">
        <v>369.01</v>
      </c>
      <c r="K109" s="102">
        <v>439</v>
      </c>
      <c r="L109" s="102">
        <f>J109+ROUND(K109, 2)</f>
        <v>808.01</v>
      </c>
      <c r="M109" s="102">
        <v>31856.63</v>
      </c>
      <c r="N109" s="102">
        <v>37898.870000000003</v>
      </c>
      <c r="O109" s="102">
        <f>M109+N109</f>
        <v>69755.5</v>
      </c>
      <c r="P109" s="102">
        <v>494.99</v>
      </c>
      <c r="Q109" s="18">
        <v>439</v>
      </c>
      <c r="R109" s="17">
        <f>P109+ROUND(Q109, 2)</f>
        <v>933.99</v>
      </c>
      <c r="S109" s="17">
        <v>42732.49</v>
      </c>
      <c r="T109" s="17">
        <v>37898.870000000003</v>
      </c>
      <c r="U109" s="17">
        <f>S109+T109</f>
        <v>80631.360000000001</v>
      </c>
      <c r="V109" s="9">
        <f>ROUND(P109 / 1.2, 2)</f>
        <v>412.49</v>
      </c>
      <c r="W109" s="9">
        <f>ROUND(Q109 / 1.2, 2)</f>
        <v>365.83</v>
      </c>
      <c r="X109" s="9">
        <f>ROUND(R109 / 1.2, 2)</f>
        <v>778.33</v>
      </c>
      <c r="Y109" s="9">
        <f t="shared" si="11"/>
        <v>35610.410000000003</v>
      </c>
      <c r="Z109" s="9">
        <f>ROUND(T109 / 1.2, 2)</f>
        <v>31582.39</v>
      </c>
      <c r="AA109" s="9">
        <f>Y109+Z109</f>
        <v>67192.800000000003</v>
      </c>
      <c r="AD109" s="4">
        <v>339118910</v>
      </c>
      <c r="AE109" s="4">
        <v>28964106</v>
      </c>
      <c r="AG109" s="4" t="s">
        <v>419</v>
      </c>
      <c r="AH109" s="4" t="s">
        <v>420</v>
      </c>
      <c r="AI109" s="4" t="s">
        <v>156</v>
      </c>
    </row>
    <row r="110" spans="1:35" ht="54" x14ac:dyDescent="0.3">
      <c r="A110" s="10" t="s">
        <v>430</v>
      </c>
      <c r="B110" s="10"/>
      <c r="C110" s="30" t="s">
        <v>431</v>
      </c>
      <c r="D110" s="15"/>
      <c r="E110" s="15" t="s">
        <v>432</v>
      </c>
      <c r="F110" s="25" t="s">
        <v>424</v>
      </c>
      <c r="G110" s="26">
        <v>1.03</v>
      </c>
      <c r="H110" s="32"/>
      <c r="I110" s="32">
        <v>4.4450000000000003</v>
      </c>
      <c r="J110" s="27">
        <v>7166.88</v>
      </c>
      <c r="M110" s="28">
        <f>ROUND(ROUND(J110, 2)*I110, 2)</f>
        <v>31856.78</v>
      </c>
      <c r="P110" s="27">
        <v>9613.6299999999992</v>
      </c>
      <c r="S110" s="28">
        <f>ROUND(ROUND(P110, 2)*I110, 2)</f>
        <v>42732.59</v>
      </c>
      <c r="V110" s="9">
        <f>ROUND(ROUND(P110, 2)/1.2, 2)</f>
        <v>8011.36</v>
      </c>
      <c r="Y110" s="9">
        <f t="shared" si="11"/>
        <v>35610.49</v>
      </c>
      <c r="AD110" s="4" t="s">
        <v>433</v>
      </c>
      <c r="AE110" s="4" t="s">
        <v>434</v>
      </c>
      <c r="AF110" s="4" t="s">
        <v>435</v>
      </c>
    </row>
    <row r="111" spans="1:35" ht="72" x14ac:dyDescent="0.3">
      <c r="A111" s="10" t="s">
        <v>436</v>
      </c>
      <c r="B111" s="10" t="s">
        <v>437</v>
      </c>
      <c r="C111" s="14" t="s">
        <v>438</v>
      </c>
      <c r="D111" s="15"/>
      <c r="E111" s="15" t="s">
        <v>439</v>
      </c>
      <c r="F111" s="15" t="s">
        <v>75</v>
      </c>
      <c r="G111" s="16">
        <v>1</v>
      </c>
      <c r="H111" s="16"/>
      <c r="I111" s="16">
        <v>46.62</v>
      </c>
      <c r="J111" s="17">
        <v>738.69</v>
      </c>
      <c r="K111" s="18">
        <v>257</v>
      </c>
      <c r="L111" s="17">
        <f>J111+ROUND(K111, 2)</f>
        <v>995.69</v>
      </c>
      <c r="M111" s="17">
        <v>34437.730000000003</v>
      </c>
      <c r="N111" s="17">
        <v>11981.34</v>
      </c>
      <c r="O111" s="17">
        <f>M111+N111</f>
        <v>46419.070000000007</v>
      </c>
      <c r="P111" s="17">
        <v>738.69</v>
      </c>
      <c r="Q111" s="18">
        <v>257</v>
      </c>
      <c r="R111" s="17">
        <f>P111+ROUND(Q111, 2)</f>
        <v>995.69</v>
      </c>
      <c r="S111" s="17">
        <v>34437.730000000003</v>
      </c>
      <c r="T111" s="17">
        <v>11981.34</v>
      </c>
      <c r="U111" s="17">
        <f>S111+T111</f>
        <v>46419.070000000007</v>
      </c>
      <c r="V111" s="9">
        <f>ROUND(P111 / 1.2, 2)</f>
        <v>615.58000000000004</v>
      </c>
      <c r="W111" s="9">
        <f>ROUND(Q111 / 1.2, 2)</f>
        <v>214.17</v>
      </c>
      <c r="X111" s="9">
        <f>ROUND(R111 / 1.2, 2)</f>
        <v>829.74</v>
      </c>
      <c r="Y111" s="9">
        <f t="shared" si="11"/>
        <v>28698.11</v>
      </c>
      <c r="Z111" s="9">
        <f>ROUND(T111 / 1.2, 2)</f>
        <v>9984.4500000000007</v>
      </c>
      <c r="AA111" s="9">
        <f>Y111+Z111</f>
        <v>38682.559999999998</v>
      </c>
      <c r="AD111" s="4">
        <v>339118814</v>
      </c>
      <c r="AE111" s="4">
        <v>25887993</v>
      </c>
      <c r="AG111" s="4" t="s">
        <v>440</v>
      </c>
      <c r="AH111" s="4" t="s">
        <v>441</v>
      </c>
      <c r="AI111" s="4" t="s">
        <v>156</v>
      </c>
    </row>
    <row r="112" spans="1:35" ht="36" x14ac:dyDescent="0.3">
      <c r="A112" s="10" t="s">
        <v>442</v>
      </c>
      <c r="B112" s="10"/>
      <c r="C112" s="30" t="s">
        <v>443</v>
      </c>
      <c r="D112" s="15"/>
      <c r="E112" s="15"/>
      <c r="F112" s="25" t="s">
        <v>424</v>
      </c>
      <c r="G112" s="26">
        <v>0.10299999999999999</v>
      </c>
      <c r="H112" s="32"/>
      <c r="I112" s="32">
        <v>4.8019999999999996</v>
      </c>
      <c r="J112" s="27">
        <v>7171.5</v>
      </c>
      <c r="M112" s="28">
        <f>ROUND(ROUND(J112, 2)*I112, 2)</f>
        <v>34437.54</v>
      </c>
      <c r="P112" s="27">
        <v>7171.5</v>
      </c>
      <c r="S112" s="28">
        <f>ROUND(ROUND(P112, 2)*I112, 2)</f>
        <v>34437.54</v>
      </c>
      <c r="V112" s="9">
        <f>ROUND(ROUND(P112, 2)/1.2, 2)</f>
        <v>5976.25</v>
      </c>
      <c r="Y112" s="9">
        <f t="shared" si="11"/>
        <v>28697.95</v>
      </c>
      <c r="AD112" s="4" t="s">
        <v>444</v>
      </c>
      <c r="AE112" s="4" t="s">
        <v>445</v>
      </c>
      <c r="AF112" s="4" t="s">
        <v>446</v>
      </c>
    </row>
    <row r="113" spans="1:35" ht="16.95" customHeight="1" x14ac:dyDescent="0.3">
      <c r="A113" s="10" t="s">
        <v>447</v>
      </c>
      <c r="B113" s="10" t="s">
        <v>448</v>
      </c>
      <c r="C113" s="120" t="s">
        <v>449</v>
      </c>
      <c r="D113" s="121"/>
      <c r="E113" s="121"/>
      <c r="F113" s="121"/>
      <c r="G113" s="121"/>
      <c r="H113" s="121"/>
      <c r="I113" s="122"/>
      <c r="M113" s="6">
        <f>SUM(M114,M119,M124,M130,M136,M139,M142,M147,M152,M157,M160,M162,M167,M172,M177,M182,M187,M192)</f>
        <v>10609499.579999998</v>
      </c>
      <c r="N113" s="6">
        <f>SUM(N114,N119,N124,N130,N136,N139,N142,N147,N152,N157,N160,N162,N167,N172,N177,N182,N187,N192)</f>
        <v>11340890.030000001</v>
      </c>
      <c r="O113" s="6">
        <f>SUM(O114,O119,O124,O130,O136,O139,O142,O147,O152,O157,O160,O162,O167,O172,O177,O182,O187,O192)</f>
        <v>21950389.609999999</v>
      </c>
      <c r="S113" s="6">
        <f>SUM(S114,S119,S124,S130,S136,S139,S142,S147,S152,S157,S160,S162,S167,S172,S177,S182,S187,S192)</f>
        <v>20003456.41</v>
      </c>
      <c r="T113" s="6">
        <f>SUM(T114,T119,T124,T130,T136,T139,T142,T147,T152,T157,T160,T162,T167,T172,T177,T182,T187,T192)</f>
        <v>10281002.84</v>
      </c>
      <c r="U113" s="6">
        <f>SUM(U114,U119,U124,U130,U136,U139,U142,U147,U152,U157,U160,U162,U167,U172,U177,U182,U187,U192)</f>
        <v>30284459.250000007</v>
      </c>
      <c r="Y113" s="9">
        <f>SUM(Y114,Y119,Y124,Y130,Y136,Y139,Y142,Y147,Y152,Y157,Y160,Y162,Y167,Y172,Y177,Y182,Y187,Y192)</f>
        <v>16669547.030000001</v>
      </c>
      <c r="Z113" s="9">
        <f>SUM(Z114,Z119,Z124,Z130,Z136,Z139,Z142,Z147,Z152,Z157,Z160,Z162,Z167,Z172,Z177,Z182,Z187,Z192)</f>
        <v>8567502.3599999994</v>
      </c>
      <c r="AA113" s="9">
        <f>SUM(AA114,AA119,AA124,AA130,AA136,AA139,AA142,AA147,AA152,AA157,AA160,AA162,AA167,AA172,AA177,AA182,AA187,AA192)</f>
        <v>25237049.390000001</v>
      </c>
      <c r="AD113" s="4">
        <v>339118815</v>
      </c>
      <c r="AE113" s="4">
        <v>25887937</v>
      </c>
    </row>
    <row r="114" spans="1:35" ht="67.05" customHeight="1" x14ac:dyDescent="0.3">
      <c r="A114" s="10" t="s">
        <v>450</v>
      </c>
      <c r="B114" s="10" t="s">
        <v>451</v>
      </c>
      <c r="C114" s="14" t="s">
        <v>452</v>
      </c>
      <c r="D114" s="15"/>
      <c r="E114" s="15" t="s">
        <v>453</v>
      </c>
      <c r="F114" s="15" t="s">
        <v>75</v>
      </c>
      <c r="G114" s="16">
        <v>1</v>
      </c>
      <c r="H114" s="16"/>
      <c r="I114" s="16">
        <v>0</v>
      </c>
      <c r="J114" s="17">
        <v>577.89</v>
      </c>
      <c r="K114" s="18">
        <v>1439</v>
      </c>
      <c r="L114" s="17">
        <f>J114+ROUND(K114, 2)</f>
        <v>2016.8899999999999</v>
      </c>
      <c r="M114" s="17">
        <v>0</v>
      </c>
      <c r="N114" s="17">
        <v>0</v>
      </c>
      <c r="O114" s="17">
        <f>M114+N114</f>
        <v>0</v>
      </c>
      <c r="P114" s="17">
        <v>703.11</v>
      </c>
      <c r="Q114" s="18">
        <v>1439</v>
      </c>
      <c r="R114" s="17">
        <f>P114+ROUND(Q114, 2)</f>
        <v>2142.11</v>
      </c>
      <c r="S114" s="17">
        <v>0</v>
      </c>
      <c r="T114" s="17">
        <v>0</v>
      </c>
      <c r="U114" s="17">
        <f>S114+T114</f>
        <v>0</v>
      </c>
      <c r="V114" s="9">
        <f>ROUND(P114 / 1.2, 2)</f>
        <v>585.92999999999995</v>
      </c>
      <c r="W114" s="9">
        <f>ROUND(Q114 / 1.2, 2)</f>
        <v>1199.17</v>
      </c>
      <c r="X114" s="9">
        <f>ROUND(R114 / 1.2, 2)</f>
        <v>1785.09</v>
      </c>
      <c r="Y114" s="9">
        <f>ROUND(S114 / 1.2, 2)</f>
        <v>0</v>
      </c>
      <c r="Z114" s="9">
        <f>ROUND(T114 / 1.2, 2)</f>
        <v>0</v>
      </c>
      <c r="AA114" s="9">
        <f>Y114+Z114</f>
        <v>0</v>
      </c>
      <c r="AD114" s="4">
        <v>339118817</v>
      </c>
      <c r="AE114" s="4">
        <v>25888010</v>
      </c>
      <c r="AG114" s="4" t="s">
        <v>454</v>
      </c>
      <c r="AH114" s="4" t="s">
        <v>455</v>
      </c>
      <c r="AI114" s="4" t="s">
        <v>156</v>
      </c>
    </row>
    <row r="115" spans="1:35" ht="72" x14ac:dyDescent="0.3">
      <c r="A115" s="10" t="s">
        <v>457</v>
      </c>
      <c r="B115" s="10"/>
      <c r="C115" s="30" t="s">
        <v>458</v>
      </c>
      <c r="D115" s="15"/>
      <c r="E115" s="15" t="s">
        <v>459</v>
      </c>
      <c r="F115" s="25" t="s">
        <v>159</v>
      </c>
      <c r="G115" s="26">
        <v>1.2</v>
      </c>
      <c r="H115" s="32"/>
      <c r="I115" s="32">
        <v>0</v>
      </c>
      <c r="J115" s="27">
        <v>12.33</v>
      </c>
      <c r="M115" s="28">
        <f>ROUND(ROUND(J115, 2)*I115, 2)</f>
        <v>0</v>
      </c>
      <c r="P115" s="27">
        <v>29.14</v>
      </c>
      <c r="S115" s="28">
        <f>ROUND(ROUND(P115, 2)*I115, 2)</f>
        <v>0</v>
      </c>
      <c r="V115" s="9">
        <f>ROUND(ROUND(P115, 2)/1.2, 2)</f>
        <v>24.28</v>
      </c>
      <c r="Y115" s="9">
        <f t="shared" ref="Y115:Y178" si="12">ROUND(S115 / 1.2, 2)</f>
        <v>0</v>
      </c>
      <c r="AD115" s="4" t="s">
        <v>460</v>
      </c>
      <c r="AE115" s="4" t="s">
        <v>461</v>
      </c>
      <c r="AF115" s="4" t="s">
        <v>462</v>
      </c>
    </row>
    <row r="116" spans="1:35" ht="36" x14ac:dyDescent="0.3">
      <c r="A116" s="10" t="s">
        <v>465</v>
      </c>
      <c r="B116" s="10"/>
      <c r="C116" s="30" t="s">
        <v>466</v>
      </c>
      <c r="D116" s="15"/>
      <c r="E116" s="15"/>
      <c r="F116" s="25" t="s">
        <v>75</v>
      </c>
      <c r="G116" s="26">
        <v>1.07</v>
      </c>
      <c r="H116" s="32"/>
      <c r="I116" s="32">
        <v>0</v>
      </c>
      <c r="J116" s="27">
        <v>447.41</v>
      </c>
      <c r="M116" s="28">
        <f>ROUND(ROUND(J116, 2)*I116, 2)</f>
        <v>0</v>
      </c>
      <c r="P116" s="27">
        <v>447.41</v>
      </c>
      <c r="S116" s="28">
        <f>ROUND(ROUND(P116, 2)*I116, 2)</f>
        <v>0</v>
      </c>
      <c r="V116" s="9">
        <f>ROUND(ROUND(P116, 2)/1.2, 2)</f>
        <v>372.84</v>
      </c>
      <c r="Y116" s="9">
        <f t="shared" si="12"/>
        <v>0</v>
      </c>
      <c r="AD116" s="4" t="s">
        <v>467</v>
      </c>
      <c r="AE116" s="4" t="s">
        <v>468</v>
      </c>
      <c r="AF116" s="4" t="s">
        <v>469</v>
      </c>
    </row>
    <row r="117" spans="1:35" ht="18" x14ac:dyDescent="0.3">
      <c r="A117" s="10" t="s">
        <v>472</v>
      </c>
      <c r="B117" s="10"/>
      <c r="C117" s="24" t="s">
        <v>473</v>
      </c>
      <c r="D117" s="15"/>
      <c r="E117" s="15"/>
      <c r="F117" s="25" t="s">
        <v>159</v>
      </c>
      <c r="G117" s="26">
        <v>0.25</v>
      </c>
      <c r="H117" s="32"/>
      <c r="I117" s="32">
        <v>0</v>
      </c>
      <c r="J117" s="27">
        <v>47.44</v>
      </c>
      <c r="M117" s="28">
        <f>ROUND(ROUND(J117, 2)*I117, 2)</f>
        <v>0</v>
      </c>
      <c r="P117" s="27">
        <v>144.87</v>
      </c>
      <c r="S117" s="28">
        <f>ROUND(ROUND(P117, 2)*I117, 2)</f>
        <v>0</v>
      </c>
      <c r="V117" s="9">
        <f>ROUND(ROUND(P117, 2)/1.2, 2)</f>
        <v>120.73</v>
      </c>
      <c r="Y117" s="9">
        <f t="shared" si="12"/>
        <v>0</v>
      </c>
      <c r="AD117" s="4" t="s">
        <v>474</v>
      </c>
      <c r="AE117" s="4" t="s">
        <v>475</v>
      </c>
      <c r="AF117" s="4" t="s">
        <v>476</v>
      </c>
    </row>
    <row r="118" spans="1:35" ht="36" x14ac:dyDescent="0.3">
      <c r="A118" s="10" t="s">
        <v>479</v>
      </c>
      <c r="B118" s="10"/>
      <c r="C118" s="24" t="s">
        <v>480</v>
      </c>
      <c r="D118" s="15"/>
      <c r="E118" s="15"/>
      <c r="F118" s="25" t="s">
        <v>159</v>
      </c>
      <c r="G118" s="26">
        <v>0.15</v>
      </c>
      <c r="H118" s="26"/>
      <c r="I118" s="26">
        <v>0</v>
      </c>
      <c r="J118" s="27">
        <v>88.8</v>
      </c>
      <c r="M118" s="28">
        <f>ROUND(ROUND(J118, 2)*I118, 2)</f>
        <v>0</v>
      </c>
      <c r="P118" s="27">
        <v>88.8</v>
      </c>
      <c r="S118" s="28">
        <f>ROUND(ROUND(P118, 2)*I118, 2)</f>
        <v>0</v>
      </c>
      <c r="V118" s="9">
        <f>ROUND(ROUND(P118, 2)/1.2, 2)</f>
        <v>74</v>
      </c>
      <c r="Y118" s="9">
        <f t="shared" si="12"/>
        <v>0</v>
      </c>
      <c r="AD118" s="4" t="s">
        <v>481</v>
      </c>
      <c r="AE118" s="4" t="s">
        <v>482</v>
      </c>
      <c r="AF118" s="4" t="s">
        <v>483</v>
      </c>
    </row>
    <row r="119" spans="1:35" ht="72" x14ac:dyDescent="0.3">
      <c r="A119" s="10" t="s">
        <v>486</v>
      </c>
      <c r="B119" s="10" t="s">
        <v>487</v>
      </c>
      <c r="C119" s="14" t="s">
        <v>488</v>
      </c>
      <c r="D119" s="15"/>
      <c r="E119" s="15" t="s">
        <v>489</v>
      </c>
      <c r="F119" s="15" t="s">
        <v>75</v>
      </c>
      <c r="G119" s="16">
        <v>1</v>
      </c>
      <c r="H119" s="16"/>
      <c r="I119" s="16">
        <v>0</v>
      </c>
      <c r="J119" s="17">
        <v>1746.71</v>
      </c>
      <c r="K119" s="18">
        <v>2422</v>
      </c>
      <c r="L119" s="17">
        <f>J119+ROUND(K119, 2)</f>
        <v>4168.71</v>
      </c>
      <c r="M119" s="17">
        <v>0</v>
      </c>
      <c r="N119" s="17">
        <v>0</v>
      </c>
      <c r="O119" s="17">
        <f>M119+N119</f>
        <v>0</v>
      </c>
      <c r="P119" s="17">
        <v>1524.69</v>
      </c>
      <c r="Q119" s="18">
        <v>2422</v>
      </c>
      <c r="R119" s="17">
        <f>P119+ROUND(Q119, 2)</f>
        <v>3946.69</v>
      </c>
      <c r="S119" s="17">
        <v>0</v>
      </c>
      <c r="T119" s="17">
        <v>0</v>
      </c>
      <c r="U119" s="17">
        <f>S119+T119</f>
        <v>0</v>
      </c>
      <c r="V119" s="9">
        <f>ROUND(P119 / 1.2, 2)</f>
        <v>1270.58</v>
      </c>
      <c r="W119" s="9">
        <f>ROUND(Q119 / 1.2, 2)</f>
        <v>2018.33</v>
      </c>
      <c r="X119" s="9">
        <f>ROUND(R119 / 1.2, 2)</f>
        <v>3288.91</v>
      </c>
      <c r="Y119" s="9">
        <f t="shared" si="12"/>
        <v>0</v>
      </c>
      <c r="Z119" s="9">
        <f>ROUND(T119 / 1.2, 2)</f>
        <v>0</v>
      </c>
      <c r="AA119" s="9">
        <f>Y119+Z119</f>
        <v>0</v>
      </c>
      <c r="AD119" s="4">
        <v>339118818</v>
      </c>
      <c r="AE119" s="4">
        <v>25888007</v>
      </c>
      <c r="AG119" s="4" t="s">
        <v>490</v>
      </c>
      <c r="AH119" s="4" t="s">
        <v>491</v>
      </c>
      <c r="AI119" s="4" t="s">
        <v>156</v>
      </c>
    </row>
    <row r="120" spans="1:35" ht="90" x14ac:dyDescent="0.3">
      <c r="A120" s="10" t="s">
        <v>493</v>
      </c>
      <c r="B120" s="10"/>
      <c r="C120" s="30" t="s">
        <v>494</v>
      </c>
      <c r="D120" s="15"/>
      <c r="E120" s="15" t="s">
        <v>495</v>
      </c>
      <c r="F120" s="25" t="s">
        <v>159</v>
      </c>
      <c r="G120" s="26">
        <v>1.2</v>
      </c>
      <c r="H120" s="32"/>
      <c r="I120" s="32">
        <v>0</v>
      </c>
      <c r="J120" s="27">
        <v>12.33</v>
      </c>
      <c r="M120" s="28">
        <f>ROUND(ROUND(J120, 2)*I120, 2)</f>
        <v>0</v>
      </c>
      <c r="P120" s="27">
        <v>29.14</v>
      </c>
      <c r="S120" s="28">
        <f>ROUND(ROUND(P120, 2)*I120, 2)</f>
        <v>0</v>
      </c>
      <c r="V120" s="9">
        <f>ROUND(ROUND(P120, 2)/1.2, 2)</f>
        <v>24.28</v>
      </c>
      <c r="Y120" s="9">
        <f t="shared" si="12"/>
        <v>0</v>
      </c>
      <c r="AD120" s="4" t="s">
        <v>496</v>
      </c>
      <c r="AE120" s="4" t="s">
        <v>497</v>
      </c>
      <c r="AF120" s="4" t="s">
        <v>498</v>
      </c>
    </row>
    <row r="121" spans="1:35" ht="72" x14ac:dyDescent="0.3">
      <c r="A121" s="10" t="s">
        <v>501</v>
      </c>
      <c r="B121" s="10"/>
      <c r="C121" s="24" t="s">
        <v>502</v>
      </c>
      <c r="D121" s="15"/>
      <c r="E121" s="15" t="s">
        <v>503</v>
      </c>
      <c r="F121" s="25" t="s">
        <v>75</v>
      </c>
      <c r="G121" s="26">
        <v>1.2</v>
      </c>
      <c r="H121" s="32"/>
      <c r="I121" s="32">
        <v>0</v>
      </c>
      <c r="J121" s="27">
        <v>1374.45</v>
      </c>
      <c r="M121" s="28">
        <f>ROUND(ROUND(J121, 2)*I121, 2)</f>
        <v>0</v>
      </c>
      <c r="P121" s="27">
        <v>1083.5899999999999</v>
      </c>
      <c r="S121" s="28">
        <f>ROUND(ROUND(P121, 2)*I121, 2)</f>
        <v>0</v>
      </c>
      <c r="V121" s="9">
        <f>ROUND(ROUND(P121, 2)/1.2, 2)</f>
        <v>902.99</v>
      </c>
      <c r="Y121" s="9">
        <f t="shared" si="12"/>
        <v>0</v>
      </c>
      <c r="AD121" s="4" t="s">
        <v>504</v>
      </c>
      <c r="AE121" s="4" t="s">
        <v>505</v>
      </c>
      <c r="AF121" s="4" t="s">
        <v>506</v>
      </c>
    </row>
    <row r="122" spans="1:35" ht="36" x14ac:dyDescent="0.3">
      <c r="A122" s="10" t="s">
        <v>509</v>
      </c>
      <c r="B122" s="10"/>
      <c r="C122" s="24" t="s">
        <v>510</v>
      </c>
      <c r="D122" s="15"/>
      <c r="E122" s="15"/>
      <c r="F122" s="25" t="s">
        <v>159</v>
      </c>
      <c r="G122" s="26">
        <v>0.25</v>
      </c>
      <c r="H122" s="32"/>
      <c r="I122" s="32">
        <v>0</v>
      </c>
      <c r="J122" s="27">
        <v>40.270000000000003</v>
      </c>
      <c r="M122" s="28">
        <f>ROUND(ROUND(J122, 2)*I122, 2)</f>
        <v>0</v>
      </c>
      <c r="P122" s="27">
        <v>144.87</v>
      </c>
      <c r="S122" s="28">
        <f>ROUND(ROUND(P122, 2)*I122, 2)</f>
        <v>0</v>
      </c>
      <c r="V122" s="9">
        <f>ROUND(ROUND(P122, 2)/1.2, 2)</f>
        <v>120.73</v>
      </c>
      <c r="Y122" s="9">
        <f t="shared" si="12"/>
        <v>0</v>
      </c>
      <c r="AD122" s="4" t="s">
        <v>511</v>
      </c>
      <c r="AE122" s="4" t="s">
        <v>512</v>
      </c>
      <c r="AF122" s="4" t="s">
        <v>513</v>
      </c>
    </row>
    <row r="123" spans="1:35" ht="36" x14ac:dyDescent="0.3">
      <c r="A123" s="10" t="s">
        <v>516</v>
      </c>
      <c r="B123" s="10"/>
      <c r="C123" s="24" t="s">
        <v>480</v>
      </c>
      <c r="D123" s="15"/>
      <c r="E123" s="15"/>
      <c r="F123" s="25" t="s">
        <v>159</v>
      </c>
      <c r="G123" s="26">
        <v>0.15</v>
      </c>
      <c r="H123" s="26"/>
      <c r="I123" s="26">
        <v>0</v>
      </c>
      <c r="J123" s="27">
        <v>88.8</v>
      </c>
      <c r="M123" s="28">
        <f>ROUND(ROUND(J123, 2)*I123, 2)</f>
        <v>0</v>
      </c>
      <c r="P123" s="27">
        <v>88.8</v>
      </c>
      <c r="S123" s="28">
        <f>ROUND(ROUND(P123, 2)*I123, 2)</f>
        <v>0</v>
      </c>
      <c r="V123" s="9">
        <f>ROUND(ROUND(P123, 2)/1.2, 2)</f>
        <v>74</v>
      </c>
      <c r="Y123" s="9">
        <f t="shared" si="12"/>
        <v>0</v>
      </c>
      <c r="AD123" s="4" t="s">
        <v>517</v>
      </c>
      <c r="AE123" s="4" t="s">
        <v>518</v>
      </c>
      <c r="AF123" s="4" t="s">
        <v>483</v>
      </c>
    </row>
    <row r="124" spans="1:35" ht="18" x14ac:dyDescent="0.3">
      <c r="A124" s="10" t="s">
        <v>521</v>
      </c>
      <c r="B124" s="10" t="s">
        <v>522</v>
      </c>
      <c r="C124" s="14" t="s">
        <v>523</v>
      </c>
      <c r="D124" s="15" t="s">
        <v>524</v>
      </c>
      <c r="E124" s="15" t="s">
        <v>525</v>
      </c>
      <c r="F124" s="15" t="s">
        <v>75</v>
      </c>
      <c r="G124" s="16">
        <v>1</v>
      </c>
      <c r="H124" s="16"/>
      <c r="I124" s="16">
        <v>468.22</v>
      </c>
      <c r="J124" s="17">
        <v>1549.16</v>
      </c>
      <c r="K124" s="18">
        <v>412</v>
      </c>
      <c r="L124" s="17">
        <f>J124+ROUND(K124, 2)</f>
        <v>1961.16</v>
      </c>
      <c r="M124" s="17">
        <v>725347.7</v>
      </c>
      <c r="N124" s="17">
        <v>192906.64</v>
      </c>
      <c r="O124" s="17">
        <f>M124+N124</f>
        <v>918254.34</v>
      </c>
      <c r="P124" s="17">
        <v>1600.16</v>
      </c>
      <c r="Q124" s="18">
        <v>412</v>
      </c>
      <c r="R124" s="17">
        <f>P124+ROUND(Q124, 2)</f>
        <v>2012.16</v>
      </c>
      <c r="S124" s="17">
        <v>749226.92</v>
      </c>
      <c r="T124" s="17">
        <v>192906.64</v>
      </c>
      <c r="U124" s="17">
        <f>S124+T124</f>
        <v>942133.56</v>
      </c>
      <c r="V124" s="9">
        <f>ROUND(P124 / 1.2, 2)</f>
        <v>1333.47</v>
      </c>
      <c r="W124" s="9">
        <f>ROUND(Q124 / 1.2, 2)</f>
        <v>343.33</v>
      </c>
      <c r="X124" s="9">
        <f>ROUND(R124 / 1.2, 2)</f>
        <v>1676.8</v>
      </c>
      <c r="Y124" s="9">
        <f t="shared" si="12"/>
        <v>624355.77</v>
      </c>
      <c r="Z124" s="9">
        <f>ROUND(T124 / 1.2, 2)</f>
        <v>160755.53</v>
      </c>
      <c r="AA124" s="9">
        <f>Y124+Z124</f>
        <v>785111.3</v>
      </c>
      <c r="AD124" s="4">
        <v>339118820</v>
      </c>
      <c r="AE124" s="4">
        <v>25888001</v>
      </c>
      <c r="AG124" s="4" t="s">
        <v>526</v>
      </c>
      <c r="AH124" s="4" t="s">
        <v>527</v>
      </c>
      <c r="AI124" s="4" t="s">
        <v>156</v>
      </c>
    </row>
    <row r="125" spans="1:35" ht="18" x14ac:dyDescent="0.3">
      <c r="A125" s="10" t="s">
        <v>528</v>
      </c>
      <c r="B125" s="10"/>
      <c r="C125" s="24" t="s">
        <v>529</v>
      </c>
      <c r="D125" s="15"/>
      <c r="E125" s="15"/>
      <c r="F125" s="25" t="s">
        <v>159</v>
      </c>
      <c r="G125" s="26">
        <v>0.3</v>
      </c>
      <c r="H125" s="26"/>
      <c r="I125" s="26">
        <v>140.46600000000001</v>
      </c>
      <c r="J125" s="27">
        <v>220</v>
      </c>
      <c r="M125" s="28">
        <f>ROUND(ROUND(J125, 2)*I125, 2)</f>
        <v>30902.52</v>
      </c>
      <c r="P125" s="27">
        <v>220</v>
      </c>
      <c r="S125" s="28">
        <f>ROUND(ROUND(P125, 2)*I125, 2)</f>
        <v>30902.52</v>
      </c>
      <c r="V125" s="9">
        <f>ROUND(ROUND(P125, 2)/1.2, 2)</f>
        <v>183.33</v>
      </c>
      <c r="Y125" s="9">
        <f t="shared" si="12"/>
        <v>25752.1</v>
      </c>
      <c r="AD125" s="4" t="s">
        <v>530</v>
      </c>
      <c r="AE125" s="4" t="s">
        <v>531</v>
      </c>
      <c r="AF125" s="4" t="s">
        <v>532</v>
      </c>
    </row>
    <row r="126" spans="1:35" ht="36" x14ac:dyDescent="0.3">
      <c r="A126" s="10" t="s">
        <v>533</v>
      </c>
      <c r="B126" s="10"/>
      <c r="C126" s="24" t="s">
        <v>534</v>
      </c>
      <c r="D126" s="15"/>
      <c r="E126" s="15"/>
      <c r="F126" s="25" t="s">
        <v>159</v>
      </c>
      <c r="G126" s="26">
        <v>0.15</v>
      </c>
      <c r="H126" s="26"/>
      <c r="I126" s="26">
        <v>70.233000000000004</v>
      </c>
      <c r="J126" s="27">
        <v>68.400000000000006</v>
      </c>
      <c r="M126" s="28">
        <f>ROUND(ROUND(J126, 2)*I126, 2)</f>
        <v>4803.9399999999996</v>
      </c>
      <c r="P126" s="27">
        <v>68.400000000000006</v>
      </c>
      <c r="S126" s="28">
        <f>ROUND(ROUND(P126, 2)*I126, 2)</f>
        <v>4803.9399999999996</v>
      </c>
      <c r="V126" s="9">
        <f>ROUND(ROUND(P126, 2)/1.2, 2)</f>
        <v>57</v>
      </c>
      <c r="Y126" s="9">
        <f t="shared" si="12"/>
        <v>4003.28</v>
      </c>
      <c r="AD126" s="4" t="s">
        <v>535</v>
      </c>
      <c r="AE126" s="4" t="s">
        <v>536</v>
      </c>
      <c r="AF126" s="4" t="s">
        <v>537</v>
      </c>
    </row>
    <row r="127" spans="1:35" ht="72" x14ac:dyDescent="0.3">
      <c r="A127" s="10" t="s">
        <v>538</v>
      </c>
      <c r="B127" s="10"/>
      <c r="C127" s="24" t="s">
        <v>539</v>
      </c>
      <c r="D127" s="15"/>
      <c r="E127" s="15"/>
      <c r="F127" s="25" t="s">
        <v>120</v>
      </c>
      <c r="G127" s="26">
        <v>1</v>
      </c>
      <c r="H127" s="32"/>
      <c r="I127" s="32">
        <v>468.2</v>
      </c>
      <c r="J127" s="27">
        <v>0</v>
      </c>
      <c r="M127" s="28">
        <f>ROUND(ROUND(J127, 2)*I127, 2)</f>
        <v>0</v>
      </c>
      <c r="P127" s="27">
        <v>51</v>
      </c>
      <c r="S127" s="28">
        <f>ROUND(ROUND(P127, 2)*I127, 2)</f>
        <v>23878.2</v>
      </c>
      <c r="V127" s="9">
        <f>ROUND(ROUND(P127, 2)/1.2, 2)</f>
        <v>42.5</v>
      </c>
      <c r="Y127" s="9">
        <f t="shared" si="12"/>
        <v>19898.5</v>
      </c>
      <c r="AD127" s="4" t="s">
        <v>540</v>
      </c>
      <c r="AE127" s="4" t="s">
        <v>541</v>
      </c>
      <c r="AF127" s="4" t="s">
        <v>542</v>
      </c>
    </row>
    <row r="128" spans="1:35" ht="126" x14ac:dyDescent="0.3">
      <c r="A128" s="10" t="s">
        <v>543</v>
      </c>
      <c r="B128" s="10"/>
      <c r="C128" s="30" t="s">
        <v>544</v>
      </c>
      <c r="D128" s="15"/>
      <c r="E128" s="15" t="s">
        <v>545</v>
      </c>
      <c r="F128" s="25" t="s">
        <v>75</v>
      </c>
      <c r="G128" s="26">
        <v>1.1000000000000001</v>
      </c>
      <c r="H128" s="32"/>
      <c r="I128" s="32">
        <v>186.12</v>
      </c>
      <c r="J128" s="27">
        <v>1339</v>
      </c>
      <c r="M128" s="28">
        <f>ROUND(ROUND(J128, 2)*I128, 2)</f>
        <v>249214.68</v>
      </c>
      <c r="P128" s="27">
        <v>1339</v>
      </c>
      <c r="S128" s="28">
        <f>ROUND(ROUND(P128, 2)*I128, 2)</f>
        <v>249214.68</v>
      </c>
      <c r="V128" s="9">
        <f>ROUND(ROUND(P128, 2)/1.2, 2)</f>
        <v>1115.83</v>
      </c>
      <c r="Y128" s="9">
        <f t="shared" si="12"/>
        <v>207678.9</v>
      </c>
      <c r="AD128" s="4" t="s">
        <v>546</v>
      </c>
      <c r="AE128" s="4" t="s">
        <v>547</v>
      </c>
      <c r="AF128" s="4" t="s">
        <v>548</v>
      </c>
    </row>
    <row r="129" spans="1:35" ht="126" x14ac:dyDescent="0.3">
      <c r="A129" s="10" t="s">
        <v>549</v>
      </c>
      <c r="B129" s="10"/>
      <c r="C129" s="30" t="s">
        <v>550</v>
      </c>
      <c r="D129" s="15"/>
      <c r="E129" s="15" t="s">
        <v>545</v>
      </c>
      <c r="F129" s="25" t="s">
        <v>75</v>
      </c>
      <c r="G129" s="26">
        <v>1.1000000000000001</v>
      </c>
      <c r="H129" s="32"/>
      <c r="I129" s="32">
        <v>328.92200000000003</v>
      </c>
      <c r="J129" s="27">
        <v>1339</v>
      </c>
      <c r="M129" s="28">
        <f>ROUND(ROUND(J129, 2)*I129, 2)</f>
        <v>440426.56</v>
      </c>
      <c r="P129" s="27">
        <v>1339</v>
      </c>
      <c r="S129" s="28">
        <f>ROUND(ROUND(P129, 2)*I129, 2)</f>
        <v>440426.56</v>
      </c>
      <c r="V129" s="9">
        <f>ROUND(ROUND(P129, 2)/1.2, 2)</f>
        <v>1115.83</v>
      </c>
      <c r="Y129" s="9">
        <f t="shared" si="12"/>
        <v>367022.13</v>
      </c>
      <c r="AD129" s="4" t="s">
        <v>551</v>
      </c>
      <c r="AE129" s="4" t="s">
        <v>552</v>
      </c>
      <c r="AF129" s="4" t="s">
        <v>553</v>
      </c>
    </row>
    <row r="130" spans="1:35" ht="36" x14ac:dyDescent="0.3">
      <c r="A130" s="10" t="s">
        <v>554</v>
      </c>
      <c r="B130" s="10" t="s">
        <v>522</v>
      </c>
      <c r="C130" s="14" t="s">
        <v>523</v>
      </c>
      <c r="D130" s="15" t="s">
        <v>524</v>
      </c>
      <c r="E130" s="15" t="s">
        <v>555</v>
      </c>
      <c r="F130" s="15" t="s">
        <v>75</v>
      </c>
      <c r="G130" s="16">
        <v>1</v>
      </c>
      <c r="H130" s="16"/>
      <c r="I130" s="16">
        <v>1890.45</v>
      </c>
      <c r="J130" s="17">
        <v>1626.82</v>
      </c>
      <c r="K130" s="18">
        <v>556</v>
      </c>
      <c r="L130" s="17">
        <f>J130+ROUND(K130, 2)</f>
        <v>2182.8199999999997</v>
      </c>
      <c r="M130" s="17">
        <v>3075421.87</v>
      </c>
      <c r="N130" s="17">
        <v>1051090.2</v>
      </c>
      <c r="O130" s="17">
        <f>M130+N130</f>
        <v>4126512.0700000003</v>
      </c>
      <c r="P130" s="17">
        <v>1796.19</v>
      </c>
      <c r="Q130" s="18">
        <v>412</v>
      </c>
      <c r="R130" s="17">
        <f>P130+ROUND(Q130, 2)</f>
        <v>2208.19</v>
      </c>
      <c r="S130" s="17">
        <v>3395607.39</v>
      </c>
      <c r="T130" s="17">
        <v>778865.4</v>
      </c>
      <c r="U130" s="17">
        <f>S130+T130</f>
        <v>4174472.79</v>
      </c>
      <c r="V130" s="9">
        <f>ROUND(P130 / 1.2, 2)</f>
        <v>1496.83</v>
      </c>
      <c r="W130" s="9">
        <f>ROUND(Q130 / 1.2, 2)</f>
        <v>343.33</v>
      </c>
      <c r="X130" s="9">
        <f>ROUND(R130 / 1.2, 2)</f>
        <v>1840.16</v>
      </c>
      <c r="Y130" s="9">
        <f t="shared" si="12"/>
        <v>2829672.83</v>
      </c>
      <c r="Z130" s="9">
        <f>ROUND(T130 / 1.2, 2)</f>
        <v>649054.5</v>
      </c>
      <c r="AA130" s="9">
        <f>Y130+Z130</f>
        <v>3478727.33</v>
      </c>
      <c r="AD130" s="4">
        <v>339118911</v>
      </c>
      <c r="AE130" s="4">
        <v>28951153</v>
      </c>
      <c r="AG130" s="4" t="s">
        <v>526</v>
      </c>
      <c r="AH130" s="4" t="s">
        <v>527</v>
      </c>
      <c r="AI130" s="4" t="s">
        <v>156</v>
      </c>
    </row>
    <row r="131" spans="1:35" ht="72" x14ac:dyDescent="0.3">
      <c r="A131" s="10" t="s">
        <v>556</v>
      </c>
      <c r="B131" s="10"/>
      <c r="C131" s="30" t="s">
        <v>550</v>
      </c>
      <c r="D131" s="15"/>
      <c r="E131" s="15" t="s">
        <v>557</v>
      </c>
      <c r="F131" s="25" t="s">
        <v>75</v>
      </c>
      <c r="G131" s="26">
        <v>1.1000000000000001</v>
      </c>
      <c r="H131" s="32"/>
      <c r="I131" s="32">
        <v>2079.4949999999999</v>
      </c>
      <c r="J131" s="27">
        <v>1361.31</v>
      </c>
      <c r="M131" s="28">
        <f>ROUND(ROUND(J131, 2)*I131, 2)</f>
        <v>2830837.34</v>
      </c>
      <c r="P131" s="27">
        <v>1361.31</v>
      </c>
      <c r="S131" s="28">
        <f>ROUND(ROUND(P131, 2)*I131, 2)</f>
        <v>2830837.34</v>
      </c>
      <c r="V131" s="9">
        <f>ROUND(ROUND(P131, 2)/1.2, 2)</f>
        <v>1134.43</v>
      </c>
      <c r="Y131" s="9">
        <f t="shared" si="12"/>
        <v>2359031.12</v>
      </c>
      <c r="AD131" s="4" t="s">
        <v>558</v>
      </c>
      <c r="AE131" s="4" t="s">
        <v>559</v>
      </c>
      <c r="AF131" s="4" t="s">
        <v>553</v>
      </c>
    </row>
    <row r="132" spans="1:35" ht="72" x14ac:dyDescent="0.3">
      <c r="A132" s="10" t="s">
        <v>560</v>
      </c>
      <c r="B132" s="10"/>
      <c r="C132" s="30" t="s">
        <v>561</v>
      </c>
      <c r="D132" s="15"/>
      <c r="E132" s="15"/>
      <c r="F132" s="25" t="s">
        <v>120</v>
      </c>
      <c r="G132" s="26">
        <v>1</v>
      </c>
      <c r="H132" s="32"/>
      <c r="I132" s="32">
        <v>1890.45</v>
      </c>
      <c r="J132" s="27">
        <v>51.85</v>
      </c>
      <c r="M132" s="28">
        <f>ROUND(ROUND(J132, 2)*I132, 2)</f>
        <v>98019.83</v>
      </c>
      <c r="P132" s="27">
        <v>51.85</v>
      </c>
      <c r="S132" s="28">
        <f>ROUND(ROUND(P132, 2)*I132, 2)</f>
        <v>98019.83</v>
      </c>
      <c r="V132" s="9">
        <f>ROUND(ROUND(P132, 2)/1.2, 2)</f>
        <v>43.21</v>
      </c>
      <c r="Y132" s="9">
        <f t="shared" si="12"/>
        <v>81683.19</v>
      </c>
      <c r="AD132" s="4" t="s">
        <v>562</v>
      </c>
      <c r="AE132" s="4" t="s">
        <v>563</v>
      </c>
      <c r="AF132" s="4" t="s">
        <v>564</v>
      </c>
    </row>
    <row r="133" spans="1:35" ht="18" x14ac:dyDescent="0.3">
      <c r="A133" s="10" t="s">
        <v>565</v>
      </c>
      <c r="B133" s="10"/>
      <c r="C133" s="24" t="s">
        <v>566</v>
      </c>
      <c r="D133" s="15"/>
      <c r="E133" s="15"/>
      <c r="F133" s="25" t="s">
        <v>75</v>
      </c>
      <c r="G133" s="26">
        <v>1</v>
      </c>
      <c r="H133" s="32"/>
      <c r="I133" s="32">
        <v>1890.45</v>
      </c>
      <c r="J133" s="27">
        <v>0</v>
      </c>
      <c r="M133" s="28">
        <f>ROUND(ROUND(J133, 2)*I133, 2)</f>
        <v>0</v>
      </c>
      <c r="P133" s="27">
        <v>134.15</v>
      </c>
      <c r="S133" s="28">
        <f>ROUND(ROUND(P133, 2)*I133, 2)</f>
        <v>253603.87</v>
      </c>
      <c r="V133" s="9">
        <f>ROUND(ROUND(P133, 2)/1.2, 2)</f>
        <v>111.79</v>
      </c>
      <c r="Y133" s="9">
        <f t="shared" si="12"/>
        <v>211336.56</v>
      </c>
      <c r="AD133" s="4" t="s">
        <v>567</v>
      </c>
      <c r="AE133" s="4" t="s">
        <v>568</v>
      </c>
      <c r="AF133" s="4" t="s">
        <v>569</v>
      </c>
    </row>
    <row r="134" spans="1:35" ht="36" x14ac:dyDescent="0.3">
      <c r="A134" s="10" t="s">
        <v>570</v>
      </c>
      <c r="B134" s="10"/>
      <c r="C134" s="24" t="s">
        <v>534</v>
      </c>
      <c r="D134" s="15"/>
      <c r="E134" s="15"/>
      <c r="F134" s="25" t="s">
        <v>159</v>
      </c>
      <c r="G134" s="26">
        <v>0.15</v>
      </c>
      <c r="H134" s="26"/>
      <c r="I134" s="26">
        <v>283.56799999999998</v>
      </c>
      <c r="J134" s="27">
        <v>69.540000000000006</v>
      </c>
      <c r="M134" s="28">
        <f>ROUND(ROUND(J134, 2)*I134, 2)</f>
        <v>19719.32</v>
      </c>
      <c r="P134" s="27">
        <v>69.540000000000006</v>
      </c>
      <c r="S134" s="28">
        <f>ROUND(ROUND(P134, 2)*I134, 2)</f>
        <v>19719.32</v>
      </c>
      <c r="V134" s="9">
        <f>ROUND(ROUND(P134, 2)/1.2, 2)</f>
        <v>57.95</v>
      </c>
      <c r="Y134" s="9">
        <f t="shared" si="12"/>
        <v>16432.77</v>
      </c>
      <c r="AD134" s="4" t="s">
        <v>571</v>
      </c>
      <c r="AE134" s="4" t="s">
        <v>572</v>
      </c>
      <c r="AF134" s="4" t="s">
        <v>537</v>
      </c>
    </row>
    <row r="135" spans="1:35" ht="36" x14ac:dyDescent="0.3">
      <c r="A135" s="10" t="s">
        <v>573</v>
      </c>
      <c r="B135" s="10"/>
      <c r="C135" s="24" t="s">
        <v>529</v>
      </c>
      <c r="D135" s="15"/>
      <c r="E135" s="15" t="s">
        <v>574</v>
      </c>
      <c r="F135" s="25" t="s">
        <v>159</v>
      </c>
      <c r="G135" s="26">
        <v>0.3</v>
      </c>
      <c r="H135" s="26"/>
      <c r="I135" s="26">
        <v>567.13499999999999</v>
      </c>
      <c r="J135" s="27">
        <v>223.66</v>
      </c>
      <c r="M135" s="28">
        <f>ROUND(ROUND(J135, 2)*I135, 2)</f>
        <v>126845.41</v>
      </c>
      <c r="P135" s="27">
        <v>341.05</v>
      </c>
      <c r="S135" s="28">
        <f>ROUND(ROUND(P135, 2)*I135, 2)</f>
        <v>193421.39</v>
      </c>
      <c r="V135" s="9">
        <f>ROUND(ROUND(P135, 2)/1.2, 2)</f>
        <v>284.20999999999998</v>
      </c>
      <c r="Y135" s="9">
        <f t="shared" si="12"/>
        <v>161184.49</v>
      </c>
      <c r="AD135" s="4" t="s">
        <v>575</v>
      </c>
      <c r="AE135" s="4" t="s">
        <v>576</v>
      </c>
      <c r="AF135" s="4" t="s">
        <v>532</v>
      </c>
    </row>
    <row r="136" spans="1:35" ht="18" x14ac:dyDescent="0.3">
      <c r="A136" s="10" t="s">
        <v>577</v>
      </c>
      <c r="B136" s="10" t="s">
        <v>578</v>
      </c>
      <c r="C136" s="14" t="s">
        <v>579</v>
      </c>
      <c r="D136" s="15"/>
      <c r="E136" s="15" t="s">
        <v>580</v>
      </c>
      <c r="F136" s="15" t="s">
        <v>120</v>
      </c>
      <c r="G136" s="16">
        <v>1</v>
      </c>
      <c r="H136" s="16"/>
      <c r="I136" s="16">
        <v>48</v>
      </c>
      <c r="J136" s="17">
        <v>485.09</v>
      </c>
      <c r="K136" s="18">
        <v>200</v>
      </c>
      <c r="L136" s="17">
        <f>J136+ROUND(K136, 2)</f>
        <v>685.08999999999992</v>
      </c>
      <c r="M136" s="17">
        <v>23284.32</v>
      </c>
      <c r="N136" s="17">
        <v>9600</v>
      </c>
      <c r="O136" s="17">
        <f>M136+N136</f>
        <v>32884.32</v>
      </c>
      <c r="P136" s="17">
        <v>500.34</v>
      </c>
      <c r="Q136" s="18">
        <v>200</v>
      </c>
      <c r="R136" s="17">
        <f>P136+ROUND(Q136, 2)</f>
        <v>700.33999999999992</v>
      </c>
      <c r="S136" s="17">
        <v>24016.32</v>
      </c>
      <c r="T136" s="17">
        <v>9600</v>
      </c>
      <c r="U136" s="17">
        <f>S136+T136</f>
        <v>33616.32</v>
      </c>
      <c r="V136" s="9">
        <f>ROUND(P136 / 1.2, 2)</f>
        <v>416.95</v>
      </c>
      <c r="W136" s="9">
        <f>ROUND(Q136 / 1.2, 2)</f>
        <v>166.67</v>
      </c>
      <c r="X136" s="9">
        <f>ROUND(R136 / 1.2, 2)</f>
        <v>583.62</v>
      </c>
      <c r="Y136" s="9">
        <f t="shared" si="12"/>
        <v>20013.599999999999</v>
      </c>
      <c r="Z136" s="9">
        <f>ROUND(T136 / 1.2, 2)</f>
        <v>8000</v>
      </c>
      <c r="AA136" s="9">
        <f>Y136+Z136</f>
        <v>28013.599999999999</v>
      </c>
      <c r="AD136" s="4">
        <v>339118822</v>
      </c>
      <c r="AE136" s="4">
        <v>25888017</v>
      </c>
      <c r="AG136" s="4" t="s">
        <v>581</v>
      </c>
      <c r="AH136" s="4" t="s">
        <v>582</v>
      </c>
      <c r="AI136" s="4" t="s">
        <v>156</v>
      </c>
    </row>
    <row r="137" spans="1:35" ht="36" x14ac:dyDescent="0.3">
      <c r="A137" s="10" t="s">
        <v>583</v>
      </c>
      <c r="B137" s="10"/>
      <c r="C137" s="24" t="s">
        <v>584</v>
      </c>
      <c r="D137" s="15"/>
      <c r="E137" s="15"/>
      <c r="F137" s="25" t="s">
        <v>120</v>
      </c>
      <c r="G137" s="26">
        <v>1.1000000000000001</v>
      </c>
      <c r="H137" s="32"/>
      <c r="I137" s="32">
        <v>52.8</v>
      </c>
      <c r="J137" s="27">
        <v>432.81</v>
      </c>
      <c r="M137" s="28">
        <f>ROUND(ROUND(J137, 2)*I137, 2)</f>
        <v>22852.37</v>
      </c>
      <c r="P137" s="27">
        <v>432.81</v>
      </c>
      <c r="S137" s="28">
        <f>ROUND(ROUND(P137, 2)*I137, 2)</f>
        <v>22852.37</v>
      </c>
      <c r="V137" s="9">
        <f>ROUND(ROUND(P137, 2)/1.2, 2)</f>
        <v>360.68</v>
      </c>
      <c r="Y137" s="9">
        <f t="shared" si="12"/>
        <v>19043.64</v>
      </c>
      <c r="AD137" s="4" t="s">
        <v>585</v>
      </c>
      <c r="AE137" s="4" t="s">
        <v>586</v>
      </c>
      <c r="AF137" s="4" t="s">
        <v>587</v>
      </c>
    </row>
    <row r="138" spans="1:35" ht="18" x14ac:dyDescent="0.3">
      <c r="A138" s="10" t="s">
        <v>588</v>
      </c>
      <c r="B138" s="10"/>
      <c r="C138" s="24" t="s">
        <v>589</v>
      </c>
      <c r="D138" s="15"/>
      <c r="E138" s="15"/>
      <c r="F138" s="25" t="s">
        <v>240</v>
      </c>
      <c r="G138" s="31">
        <v>0.09</v>
      </c>
      <c r="H138" s="26"/>
      <c r="I138" s="26">
        <v>4.32</v>
      </c>
      <c r="J138" s="27">
        <v>100</v>
      </c>
      <c r="M138" s="28">
        <f>ROUND(ROUND(J138, 2)*I138, 2)</f>
        <v>432</v>
      </c>
      <c r="P138" s="27">
        <v>269.39</v>
      </c>
      <c r="S138" s="28">
        <f>ROUND(ROUND(P138, 2)*I138, 2)</f>
        <v>1163.76</v>
      </c>
      <c r="V138" s="9">
        <f>ROUND(ROUND(P138, 2)/1.2, 2)</f>
        <v>224.49</v>
      </c>
      <c r="Y138" s="9">
        <f t="shared" si="12"/>
        <v>969.8</v>
      </c>
      <c r="AD138" s="4" t="s">
        <v>590</v>
      </c>
      <c r="AE138" s="4" t="s">
        <v>591</v>
      </c>
      <c r="AF138" s="4" t="s">
        <v>592</v>
      </c>
    </row>
    <row r="139" spans="1:35" ht="18" x14ac:dyDescent="0.3">
      <c r="A139" s="10" t="s">
        <v>593</v>
      </c>
      <c r="B139" s="10" t="s">
        <v>578</v>
      </c>
      <c r="C139" s="14" t="s">
        <v>579</v>
      </c>
      <c r="D139" s="15"/>
      <c r="E139" s="15" t="s">
        <v>594</v>
      </c>
      <c r="F139" s="15" t="s">
        <v>120</v>
      </c>
      <c r="G139" s="16">
        <v>1</v>
      </c>
      <c r="H139" s="16"/>
      <c r="I139" s="16">
        <v>146.12</v>
      </c>
      <c r="J139" s="17">
        <v>131.11000000000001</v>
      </c>
      <c r="K139" s="18">
        <v>200</v>
      </c>
      <c r="L139" s="17">
        <f>J139+ROUND(K139, 2)</f>
        <v>331.11</v>
      </c>
      <c r="M139" s="17">
        <v>19157.79</v>
      </c>
      <c r="N139" s="17">
        <v>29224</v>
      </c>
      <c r="O139" s="17">
        <f>M139+N139</f>
        <v>48381.79</v>
      </c>
      <c r="P139" s="17">
        <v>148.97999999999999</v>
      </c>
      <c r="Q139" s="18">
        <v>200</v>
      </c>
      <c r="R139" s="17">
        <f>P139+ROUND(Q139, 2)</f>
        <v>348.98</v>
      </c>
      <c r="S139" s="17">
        <v>21768.959999999999</v>
      </c>
      <c r="T139" s="17">
        <v>29224</v>
      </c>
      <c r="U139" s="17">
        <f>S139+T139</f>
        <v>50992.959999999999</v>
      </c>
      <c r="V139" s="9">
        <f>ROUND(P139 / 1.2, 2)</f>
        <v>124.15</v>
      </c>
      <c r="W139" s="9">
        <f>ROUND(Q139 / 1.2, 2)</f>
        <v>166.67</v>
      </c>
      <c r="X139" s="9">
        <f>ROUND(R139 / 1.2, 2)</f>
        <v>290.82</v>
      </c>
      <c r="Y139" s="9">
        <f t="shared" si="12"/>
        <v>18140.8</v>
      </c>
      <c r="Z139" s="9">
        <f>ROUND(T139 / 1.2, 2)</f>
        <v>24353.33</v>
      </c>
      <c r="AA139" s="9">
        <f>Y139+Z139</f>
        <v>42494.130000000005</v>
      </c>
      <c r="AD139" s="4">
        <v>339118912</v>
      </c>
      <c r="AE139" s="4">
        <v>25888038</v>
      </c>
      <c r="AG139" s="4" t="s">
        <v>581</v>
      </c>
      <c r="AH139" s="4" t="s">
        <v>582</v>
      </c>
      <c r="AI139" s="4" t="s">
        <v>156</v>
      </c>
    </row>
    <row r="140" spans="1:35" ht="36" x14ac:dyDescent="0.3">
      <c r="A140" s="10" t="s">
        <v>595</v>
      </c>
      <c r="B140" s="10"/>
      <c r="C140" s="24" t="s">
        <v>596</v>
      </c>
      <c r="D140" s="15"/>
      <c r="E140" s="15"/>
      <c r="F140" s="25" t="s">
        <v>120</v>
      </c>
      <c r="G140" s="26">
        <v>1.05</v>
      </c>
      <c r="H140" s="32"/>
      <c r="I140" s="32">
        <v>76.712999999999994</v>
      </c>
      <c r="J140" s="27">
        <v>90.97</v>
      </c>
      <c r="M140" s="28">
        <f>ROUND(ROUND(J140, 2)*I140, 2)</f>
        <v>6978.58</v>
      </c>
      <c r="P140" s="27">
        <v>90.97</v>
      </c>
      <c r="S140" s="28">
        <f>ROUND(ROUND(P140, 2)*I140, 2)</f>
        <v>6978.58</v>
      </c>
      <c r="V140" s="9">
        <f>ROUND(ROUND(P140, 2)/1.2, 2)</f>
        <v>75.81</v>
      </c>
      <c r="Y140" s="9">
        <f t="shared" si="12"/>
        <v>5815.48</v>
      </c>
      <c r="AD140" s="4" t="s">
        <v>597</v>
      </c>
      <c r="AE140" s="4" t="s">
        <v>598</v>
      </c>
      <c r="AF140" s="4" t="s">
        <v>599</v>
      </c>
    </row>
    <row r="141" spans="1:35" ht="18" x14ac:dyDescent="0.3">
      <c r="A141" s="10" t="s">
        <v>600</v>
      </c>
      <c r="B141" s="10"/>
      <c r="C141" s="30" t="s">
        <v>601</v>
      </c>
      <c r="D141" s="15"/>
      <c r="E141" s="15" t="s">
        <v>602</v>
      </c>
      <c r="F141" s="25" t="s">
        <v>120</v>
      </c>
      <c r="G141" s="26">
        <v>1.05</v>
      </c>
      <c r="H141" s="32"/>
      <c r="I141" s="32">
        <v>76.712999999999994</v>
      </c>
      <c r="J141" s="27">
        <v>158.76</v>
      </c>
      <c r="M141" s="28">
        <f>ROUND(ROUND(J141, 2)*I141, 2)</f>
        <v>12178.96</v>
      </c>
      <c r="P141" s="27">
        <v>192.81</v>
      </c>
      <c r="S141" s="28">
        <f>ROUND(ROUND(P141, 2)*I141, 2)</f>
        <v>14791.03</v>
      </c>
      <c r="V141" s="9">
        <f>ROUND(ROUND(P141, 2)/1.2, 2)</f>
        <v>160.68</v>
      </c>
      <c r="Y141" s="9">
        <f t="shared" si="12"/>
        <v>12325.86</v>
      </c>
      <c r="AD141" s="4" t="s">
        <v>603</v>
      </c>
      <c r="AE141" s="4" t="s">
        <v>604</v>
      </c>
      <c r="AF141" s="4" t="s">
        <v>605</v>
      </c>
    </row>
    <row r="142" spans="1:35" ht="54" x14ac:dyDescent="0.3">
      <c r="A142" s="10" t="s">
        <v>606</v>
      </c>
      <c r="B142" s="10" t="s">
        <v>607</v>
      </c>
      <c r="C142" s="14" t="s">
        <v>608</v>
      </c>
      <c r="D142" s="15"/>
      <c r="E142" s="15" t="s">
        <v>609</v>
      </c>
      <c r="F142" s="15" t="s">
        <v>120</v>
      </c>
      <c r="G142" s="16">
        <v>1</v>
      </c>
      <c r="H142" s="16"/>
      <c r="I142" s="16">
        <v>333.75</v>
      </c>
      <c r="J142" s="17">
        <v>363.58</v>
      </c>
      <c r="K142" s="18">
        <v>411</v>
      </c>
      <c r="L142" s="17">
        <f>J142+ROUND(K142, 2)</f>
        <v>774.57999999999993</v>
      </c>
      <c r="M142" s="17">
        <v>121344.83</v>
      </c>
      <c r="N142" s="17">
        <v>137171.25</v>
      </c>
      <c r="O142" s="17">
        <f>M142+N142</f>
        <v>258516.08000000002</v>
      </c>
      <c r="P142" s="17">
        <v>414.02</v>
      </c>
      <c r="Q142" s="18">
        <v>411</v>
      </c>
      <c r="R142" s="17">
        <f>P142+ROUND(Q142, 2)</f>
        <v>825.02</v>
      </c>
      <c r="S142" s="17">
        <v>138179.18</v>
      </c>
      <c r="T142" s="17">
        <v>137171.25</v>
      </c>
      <c r="U142" s="17">
        <f>S142+T142</f>
        <v>275350.43</v>
      </c>
      <c r="V142" s="9">
        <f>ROUND(P142 / 1.2, 2)</f>
        <v>345.02</v>
      </c>
      <c r="W142" s="9">
        <f>ROUND(Q142 / 1.2, 2)</f>
        <v>342.5</v>
      </c>
      <c r="X142" s="9">
        <f>ROUND(R142 / 1.2, 2)</f>
        <v>687.52</v>
      </c>
      <c r="Y142" s="9">
        <f t="shared" si="12"/>
        <v>115149.32</v>
      </c>
      <c r="Z142" s="9">
        <f>ROUND(T142 / 1.2, 2)</f>
        <v>114309.38</v>
      </c>
      <c r="AA142" s="9">
        <f>Y142+Z142</f>
        <v>229458.7</v>
      </c>
      <c r="AD142" s="4">
        <v>339118824</v>
      </c>
      <c r="AE142" s="4">
        <v>25888037</v>
      </c>
      <c r="AG142" s="4" t="s">
        <v>610</v>
      </c>
      <c r="AH142" s="4" t="s">
        <v>611</v>
      </c>
      <c r="AI142" s="4" t="s">
        <v>156</v>
      </c>
    </row>
    <row r="143" spans="1:35" ht="84.45" customHeight="1" x14ac:dyDescent="0.3">
      <c r="A143" s="10" t="s">
        <v>612</v>
      </c>
      <c r="B143" s="10"/>
      <c r="C143" s="24" t="s">
        <v>613</v>
      </c>
      <c r="D143" s="15"/>
      <c r="E143" s="15" t="s">
        <v>614</v>
      </c>
      <c r="F143" s="25" t="s">
        <v>240</v>
      </c>
      <c r="G143" s="26">
        <v>1.84</v>
      </c>
      <c r="H143" s="26"/>
      <c r="I143" s="26">
        <v>614.1</v>
      </c>
      <c r="J143" s="27">
        <v>196</v>
      </c>
      <c r="M143" s="28">
        <f>ROUND(ROUND(J143, 2)*I143, 2)</f>
        <v>120363.6</v>
      </c>
      <c r="P143" s="27">
        <v>210.05</v>
      </c>
      <c r="S143" s="28">
        <f>ROUND(ROUND(P143, 2)*I143, 2)</f>
        <v>128991.71</v>
      </c>
      <c r="V143" s="9">
        <f>ROUND(ROUND(P143, 2)/1.2, 2)</f>
        <v>175.04</v>
      </c>
      <c r="Y143" s="9">
        <f t="shared" si="12"/>
        <v>107493.09</v>
      </c>
      <c r="AD143" s="4" t="s">
        <v>615</v>
      </c>
      <c r="AE143" s="4" t="s">
        <v>616</v>
      </c>
      <c r="AF143" s="4" t="s">
        <v>617</v>
      </c>
    </row>
    <row r="144" spans="1:35" ht="36" x14ac:dyDescent="0.3">
      <c r="A144" s="10" t="s">
        <v>618</v>
      </c>
      <c r="B144" s="10"/>
      <c r="C144" s="24" t="s">
        <v>619</v>
      </c>
      <c r="D144" s="15"/>
      <c r="E144" s="15" t="s">
        <v>620</v>
      </c>
      <c r="F144" s="25" t="s">
        <v>159</v>
      </c>
      <c r="G144" s="26">
        <v>0.7</v>
      </c>
      <c r="H144" s="26"/>
      <c r="I144" s="26">
        <v>233.625</v>
      </c>
      <c r="J144" s="27">
        <v>0</v>
      </c>
      <c r="M144" s="28">
        <f>ROUND(ROUND(J144, 2)*I144, 2)</f>
        <v>0</v>
      </c>
      <c r="P144" s="27">
        <v>29.14</v>
      </c>
      <c r="S144" s="28">
        <f>ROUND(ROUND(P144, 2)*I144, 2)</f>
        <v>6807.83</v>
      </c>
      <c r="V144" s="9">
        <f>ROUND(ROUND(P144, 2)/1.2, 2)</f>
        <v>24.28</v>
      </c>
      <c r="Y144" s="9">
        <f t="shared" si="12"/>
        <v>5673.19</v>
      </c>
      <c r="AD144" s="4" t="s">
        <v>621</v>
      </c>
      <c r="AE144" s="4" t="s">
        <v>622</v>
      </c>
      <c r="AF144" s="4" t="s">
        <v>623</v>
      </c>
    </row>
    <row r="145" spans="1:35" ht="36" x14ac:dyDescent="0.3">
      <c r="A145" s="10" t="s">
        <v>624</v>
      </c>
      <c r="B145" s="10"/>
      <c r="C145" s="24" t="s">
        <v>510</v>
      </c>
      <c r="D145" s="15"/>
      <c r="E145" s="15"/>
      <c r="F145" s="25" t="s">
        <v>159</v>
      </c>
      <c r="G145" s="26">
        <v>0.04</v>
      </c>
      <c r="H145" s="26"/>
      <c r="I145" s="26">
        <v>13.35</v>
      </c>
      <c r="J145" s="27">
        <v>40.270000000000003</v>
      </c>
      <c r="M145" s="28">
        <f>ROUND(ROUND(J145, 2)*I145, 2)</f>
        <v>537.6</v>
      </c>
      <c r="P145" s="27">
        <v>144.87</v>
      </c>
      <c r="S145" s="28">
        <f>ROUND(ROUND(P145, 2)*I145, 2)</f>
        <v>1934.01</v>
      </c>
      <c r="V145" s="9">
        <f>ROUND(ROUND(P145, 2)/1.2, 2)</f>
        <v>120.73</v>
      </c>
      <c r="Y145" s="9">
        <f t="shared" si="12"/>
        <v>1611.68</v>
      </c>
      <c r="AD145" s="4" t="s">
        <v>625</v>
      </c>
      <c r="AE145" s="4" t="s">
        <v>626</v>
      </c>
      <c r="AF145" s="4" t="s">
        <v>513</v>
      </c>
    </row>
    <row r="146" spans="1:35" ht="36" x14ac:dyDescent="0.3">
      <c r="A146" s="10" t="s">
        <v>627</v>
      </c>
      <c r="B146" s="10"/>
      <c r="C146" s="24" t="s">
        <v>480</v>
      </c>
      <c r="D146" s="15"/>
      <c r="E146" s="15"/>
      <c r="F146" s="25" t="s">
        <v>159</v>
      </c>
      <c r="G146" s="26">
        <v>1.4999999999999999E-2</v>
      </c>
      <c r="H146" s="26"/>
      <c r="I146" s="26">
        <v>5.0060000000000002</v>
      </c>
      <c r="J146" s="27">
        <v>88.8</v>
      </c>
      <c r="M146" s="28">
        <f>ROUND(ROUND(J146, 2)*I146, 2)</f>
        <v>444.53</v>
      </c>
      <c r="P146" s="27">
        <v>88.8</v>
      </c>
      <c r="S146" s="28">
        <f>ROUND(ROUND(P146, 2)*I146, 2)</f>
        <v>444.53</v>
      </c>
      <c r="V146" s="9">
        <f>ROUND(ROUND(P146, 2)/1.2, 2)</f>
        <v>74</v>
      </c>
      <c r="Y146" s="9">
        <f t="shared" si="12"/>
        <v>370.44</v>
      </c>
      <c r="AD146" s="4" t="s">
        <v>628</v>
      </c>
      <c r="AE146" s="4" t="s">
        <v>629</v>
      </c>
      <c r="AF146" s="4" t="s">
        <v>483</v>
      </c>
    </row>
    <row r="147" spans="1:35" ht="54" x14ac:dyDescent="0.3">
      <c r="A147" s="10" t="s">
        <v>630</v>
      </c>
      <c r="B147" s="10" t="s">
        <v>607</v>
      </c>
      <c r="C147" s="14" t="s">
        <v>608</v>
      </c>
      <c r="D147" s="15"/>
      <c r="E147" s="15" t="s">
        <v>631</v>
      </c>
      <c r="F147" s="15" t="s">
        <v>120</v>
      </c>
      <c r="G147" s="16">
        <v>1</v>
      </c>
      <c r="H147" s="16"/>
      <c r="I147" s="16">
        <v>19.100000000000001</v>
      </c>
      <c r="J147" s="17">
        <v>64.56</v>
      </c>
      <c r="K147" s="18">
        <v>411</v>
      </c>
      <c r="L147" s="17">
        <f>J147+ROUND(K147, 2)</f>
        <v>475.56</v>
      </c>
      <c r="M147" s="17">
        <v>1233.0999999999999</v>
      </c>
      <c r="N147" s="17">
        <v>7850.1</v>
      </c>
      <c r="O147" s="17">
        <f>M147+N147</f>
        <v>9083.2000000000007</v>
      </c>
      <c r="P147" s="17">
        <v>88.86</v>
      </c>
      <c r="Q147" s="18">
        <v>411</v>
      </c>
      <c r="R147" s="17">
        <f>P147+ROUND(Q147, 2)</f>
        <v>499.86</v>
      </c>
      <c r="S147" s="17">
        <v>1697.23</v>
      </c>
      <c r="T147" s="17">
        <v>7850.1</v>
      </c>
      <c r="U147" s="17">
        <f>S147+T147</f>
        <v>9547.33</v>
      </c>
      <c r="V147" s="9">
        <f>ROUND(P147 / 1.2, 2)</f>
        <v>74.05</v>
      </c>
      <c r="W147" s="9">
        <f>ROUND(Q147 / 1.2, 2)</f>
        <v>342.5</v>
      </c>
      <c r="X147" s="9">
        <f>ROUND(R147 / 1.2, 2)</f>
        <v>416.55</v>
      </c>
      <c r="Y147" s="9">
        <f t="shared" si="12"/>
        <v>1414.36</v>
      </c>
      <c r="Z147" s="9">
        <f>ROUND(T147 / 1.2, 2)</f>
        <v>6541.75</v>
      </c>
      <c r="AA147" s="9">
        <f>Y147+Z147</f>
        <v>7956.11</v>
      </c>
      <c r="AD147" s="4">
        <v>339118913</v>
      </c>
      <c r="AE147" s="4">
        <v>25888034</v>
      </c>
      <c r="AG147" s="4" t="s">
        <v>610</v>
      </c>
      <c r="AH147" s="4" t="s">
        <v>611</v>
      </c>
      <c r="AI147" s="4" t="s">
        <v>156</v>
      </c>
    </row>
    <row r="148" spans="1:35" ht="36" x14ac:dyDescent="0.3">
      <c r="A148" s="10" t="s">
        <v>632</v>
      </c>
      <c r="B148" s="10"/>
      <c r="C148" s="24" t="s">
        <v>480</v>
      </c>
      <c r="D148" s="15"/>
      <c r="E148" s="15"/>
      <c r="F148" s="25" t="s">
        <v>159</v>
      </c>
      <c r="G148" s="26">
        <v>1.4999999999999999E-2</v>
      </c>
      <c r="H148" s="26"/>
      <c r="I148" s="26">
        <v>0.28699999999999998</v>
      </c>
      <c r="J148" s="27">
        <v>88.8</v>
      </c>
      <c r="M148" s="28">
        <f>ROUND(ROUND(J148, 2)*I148, 2)</f>
        <v>25.49</v>
      </c>
      <c r="P148" s="27">
        <v>88.8</v>
      </c>
      <c r="S148" s="28">
        <f>ROUND(ROUND(P148, 2)*I148, 2)</f>
        <v>25.49</v>
      </c>
      <c r="V148" s="9">
        <f>ROUND(ROUND(P148, 2)/1.2, 2)</f>
        <v>74</v>
      </c>
      <c r="Y148" s="9">
        <f t="shared" si="12"/>
        <v>21.24</v>
      </c>
      <c r="AD148" s="4" t="s">
        <v>633</v>
      </c>
      <c r="AE148" s="4" t="s">
        <v>634</v>
      </c>
      <c r="AF148" s="4" t="s">
        <v>483</v>
      </c>
    </row>
    <row r="149" spans="1:35" ht="18" x14ac:dyDescent="0.3">
      <c r="A149" s="10" t="s">
        <v>635</v>
      </c>
      <c r="B149" s="10"/>
      <c r="C149" s="24" t="s">
        <v>473</v>
      </c>
      <c r="D149" s="15"/>
      <c r="E149" s="15"/>
      <c r="F149" s="25" t="s">
        <v>159</v>
      </c>
      <c r="G149" s="26">
        <v>0.04</v>
      </c>
      <c r="H149" s="26"/>
      <c r="I149" s="26">
        <v>0.76400000000000001</v>
      </c>
      <c r="J149" s="27">
        <v>47.44</v>
      </c>
      <c r="M149" s="28">
        <f>ROUND(ROUND(J149, 2)*I149, 2)</f>
        <v>36.24</v>
      </c>
      <c r="P149" s="27">
        <v>144.87</v>
      </c>
      <c r="S149" s="28">
        <f>ROUND(ROUND(P149, 2)*I149, 2)</f>
        <v>110.68</v>
      </c>
      <c r="V149" s="9">
        <f>ROUND(ROUND(P149, 2)/1.2, 2)</f>
        <v>120.73</v>
      </c>
      <c r="Y149" s="9">
        <f t="shared" si="12"/>
        <v>92.23</v>
      </c>
      <c r="AD149" s="4" t="s">
        <v>636</v>
      </c>
      <c r="AE149" s="4" t="s">
        <v>637</v>
      </c>
      <c r="AF149" s="4" t="s">
        <v>476</v>
      </c>
    </row>
    <row r="150" spans="1:35" ht="36" x14ac:dyDescent="0.3">
      <c r="A150" s="10" t="s">
        <v>638</v>
      </c>
      <c r="B150" s="10"/>
      <c r="C150" s="24" t="s">
        <v>639</v>
      </c>
      <c r="D150" s="15"/>
      <c r="E150" s="15"/>
      <c r="F150" s="25" t="s">
        <v>75</v>
      </c>
      <c r="G150" s="26">
        <v>0.11</v>
      </c>
      <c r="H150" s="26"/>
      <c r="I150" s="26">
        <v>2.101</v>
      </c>
      <c r="J150" s="27">
        <v>557.54999999999995</v>
      </c>
      <c r="M150" s="28">
        <f>ROUND(ROUND(J150, 2)*I150, 2)</f>
        <v>1171.4100000000001</v>
      </c>
      <c r="P150" s="27">
        <v>557.54999999999995</v>
      </c>
      <c r="S150" s="28">
        <f>ROUND(ROUND(P150, 2)*I150, 2)</f>
        <v>1171.4100000000001</v>
      </c>
      <c r="V150" s="9">
        <f>ROUND(ROUND(P150, 2)/1.2, 2)</f>
        <v>464.63</v>
      </c>
      <c r="Y150" s="9">
        <f t="shared" si="12"/>
        <v>976.18</v>
      </c>
      <c r="AD150" s="4" t="s">
        <v>640</v>
      </c>
      <c r="AE150" s="4" t="s">
        <v>641</v>
      </c>
      <c r="AF150" s="4" t="s">
        <v>642</v>
      </c>
    </row>
    <row r="151" spans="1:35" ht="36" x14ac:dyDescent="0.3">
      <c r="A151" s="10" t="s">
        <v>643</v>
      </c>
      <c r="B151" s="10"/>
      <c r="C151" s="24" t="s">
        <v>619</v>
      </c>
      <c r="D151" s="15"/>
      <c r="E151" s="15" t="s">
        <v>620</v>
      </c>
      <c r="F151" s="25" t="s">
        <v>159</v>
      </c>
      <c r="G151" s="26">
        <v>0.7</v>
      </c>
      <c r="H151" s="26"/>
      <c r="I151" s="26">
        <v>13.37</v>
      </c>
      <c r="J151" s="27">
        <v>0</v>
      </c>
      <c r="M151" s="28">
        <f>ROUND(ROUND(J151, 2)*I151, 2)</f>
        <v>0</v>
      </c>
      <c r="P151" s="27">
        <v>29.14</v>
      </c>
      <c r="S151" s="28">
        <f>ROUND(ROUND(P151, 2)*I151, 2)</f>
        <v>389.6</v>
      </c>
      <c r="V151" s="9">
        <f>ROUND(ROUND(P151, 2)/1.2, 2)</f>
        <v>24.28</v>
      </c>
      <c r="Y151" s="9">
        <f t="shared" si="12"/>
        <v>324.67</v>
      </c>
      <c r="AD151" s="4" t="s">
        <v>644</v>
      </c>
      <c r="AE151" s="4" t="s">
        <v>645</v>
      </c>
      <c r="AF151" s="4" t="s">
        <v>623</v>
      </c>
    </row>
    <row r="152" spans="1:35" ht="54" x14ac:dyDescent="0.3">
      <c r="A152" s="10" t="s">
        <v>646</v>
      </c>
      <c r="B152" s="10" t="s">
        <v>607</v>
      </c>
      <c r="C152" s="14" t="s">
        <v>608</v>
      </c>
      <c r="D152" s="15"/>
      <c r="E152" s="15" t="s">
        <v>631</v>
      </c>
      <c r="F152" s="15" t="s">
        <v>120</v>
      </c>
      <c r="G152" s="16">
        <v>1</v>
      </c>
      <c r="H152" s="16"/>
      <c r="I152" s="16">
        <v>21.1</v>
      </c>
      <c r="J152" s="17">
        <v>51.11</v>
      </c>
      <c r="K152" s="18">
        <v>411</v>
      </c>
      <c r="L152" s="17">
        <f>J152+ROUND(K152, 2)</f>
        <v>462.11</v>
      </c>
      <c r="M152" s="17">
        <v>1078.42</v>
      </c>
      <c r="N152" s="17">
        <v>8672.1</v>
      </c>
      <c r="O152" s="17">
        <f>M152+N152</f>
        <v>9750.52</v>
      </c>
      <c r="P152" s="17">
        <v>76.040000000000006</v>
      </c>
      <c r="Q152" s="18">
        <v>411</v>
      </c>
      <c r="R152" s="17">
        <f>P152+ROUND(Q152, 2)</f>
        <v>487.04</v>
      </c>
      <c r="S152" s="17">
        <v>1604.44</v>
      </c>
      <c r="T152" s="17">
        <v>8672.1</v>
      </c>
      <c r="U152" s="17">
        <f>S152+T152</f>
        <v>10276.540000000001</v>
      </c>
      <c r="V152" s="9">
        <f>ROUND(P152 / 1.2, 2)</f>
        <v>63.37</v>
      </c>
      <c r="W152" s="9">
        <f>ROUND(Q152 / 1.2, 2)</f>
        <v>342.5</v>
      </c>
      <c r="X152" s="9">
        <f>ROUND(R152 / 1.2, 2)</f>
        <v>405.87</v>
      </c>
      <c r="Y152" s="9">
        <f t="shared" si="12"/>
        <v>1337.03</v>
      </c>
      <c r="Z152" s="9">
        <f>ROUND(T152 / 1.2, 2)</f>
        <v>7226.75</v>
      </c>
      <c r="AA152" s="9">
        <f>Y152+Z152</f>
        <v>8563.7800000000007</v>
      </c>
      <c r="AD152" s="4">
        <v>339118914</v>
      </c>
      <c r="AE152" s="4">
        <v>25888035</v>
      </c>
      <c r="AG152" s="4" t="s">
        <v>610</v>
      </c>
      <c r="AH152" s="4" t="s">
        <v>611</v>
      </c>
      <c r="AI152" s="4" t="s">
        <v>156</v>
      </c>
    </row>
    <row r="153" spans="1:35" ht="36" x14ac:dyDescent="0.3">
      <c r="A153" s="10" t="s">
        <v>647</v>
      </c>
      <c r="B153" s="10"/>
      <c r="C153" s="24" t="s">
        <v>619</v>
      </c>
      <c r="D153" s="15"/>
      <c r="E153" s="15" t="s">
        <v>620</v>
      </c>
      <c r="F153" s="25" t="s">
        <v>159</v>
      </c>
      <c r="G153" s="26">
        <v>0.7</v>
      </c>
      <c r="H153" s="26"/>
      <c r="I153" s="26">
        <v>14.77</v>
      </c>
      <c r="J153" s="27">
        <v>0</v>
      </c>
      <c r="M153" s="28">
        <f>ROUND(ROUND(J153, 2)*I153, 2)</f>
        <v>0</v>
      </c>
      <c r="P153" s="27">
        <v>29.14</v>
      </c>
      <c r="S153" s="28">
        <f>ROUND(ROUND(P153, 2)*I153, 2)</f>
        <v>430.4</v>
      </c>
      <c r="V153" s="9">
        <f>ROUND(ROUND(P153, 2)/1.2, 2)</f>
        <v>24.28</v>
      </c>
      <c r="Y153" s="9">
        <f t="shared" si="12"/>
        <v>358.67</v>
      </c>
      <c r="AD153" s="4" t="s">
        <v>648</v>
      </c>
      <c r="AE153" s="4" t="s">
        <v>649</v>
      </c>
      <c r="AF153" s="4" t="s">
        <v>623</v>
      </c>
    </row>
    <row r="154" spans="1:35" ht="36" x14ac:dyDescent="0.3">
      <c r="A154" s="10" t="s">
        <v>650</v>
      </c>
      <c r="B154" s="10"/>
      <c r="C154" s="30" t="s">
        <v>466</v>
      </c>
      <c r="D154" s="15"/>
      <c r="E154" s="15"/>
      <c r="F154" s="25" t="s">
        <v>75</v>
      </c>
      <c r="G154" s="26">
        <v>0.107</v>
      </c>
      <c r="H154" s="26"/>
      <c r="I154" s="26">
        <v>2.258</v>
      </c>
      <c r="J154" s="27">
        <v>447.41</v>
      </c>
      <c r="M154" s="28">
        <f>ROUND(ROUND(J154, 2)*I154, 2)</f>
        <v>1010.25</v>
      </c>
      <c r="P154" s="27">
        <v>489.78</v>
      </c>
      <c r="S154" s="28">
        <f>ROUND(ROUND(P154, 2)*I154, 2)</f>
        <v>1105.92</v>
      </c>
      <c r="V154" s="9">
        <f>ROUND(ROUND(P154, 2)/1.2, 2)</f>
        <v>408.15</v>
      </c>
      <c r="Y154" s="9">
        <f t="shared" si="12"/>
        <v>921.6</v>
      </c>
      <c r="AD154" s="4" t="s">
        <v>651</v>
      </c>
      <c r="AE154" s="4" t="s">
        <v>652</v>
      </c>
      <c r="AF154" s="4" t="s">
        <v>469</v>
      </c>
    </row>
    <row r="155" spans="1:35" ht="18" x14ac:dyDescent="0.3">
      <c r="A155" s="10" t="s">
        <v>653</v>
      </c>
      <c r="B155" s="10"/>
      <c r="C155" s="24" t="s">
        <v>473</v>
      </c>
      <c r="D155" s="15"/>
      <c r="E155" s="15"/>
      <c r="F155" s="25" t="s">
        <v>159</v>
      </c>
      <c r="G155" s="26">
        <v>0.04</v>
      </c>
      <c r="H155" s="26"/>
      <c r="I155" s="26">
        <v>0.84399999999999997</v>
      </c>
      <c r="J155" s="27">
        <v>47.44</v>
      </c>
      <c r="M155" s="28">
        <f>ROUND(ROUND(J155, 2)*I155, 2)</f>
        <v>40.04</v>
      </c>
      <c r="P155" s="27">
        <v>47.44</v>
      </c>
      <c r="S155" s="28">
        <f>ROUND(ROUND(P155, 2)*I155, 2)</f>
        <v>40.04</v>
      </c>
      <c r="V155" s="9">
        <f>ROUND(ROUND(P155, 2)/1.2, 2)</f>
        <v>39.53</v>
      </c>
      <c r="Y155" s="9">
        <f t="shared" si="12"/>
        <v>33.369999999999997</v>
      </c>
      <c r="AD155" s="4" t="s">
        <v>654</v>
      </c>
      <c r="AE155" s="4" t="s">
        <v>655</v>
      </c>
      <c r="AF155" s="4" t="s">
        <v>476</v>
      </c>
    </row>
    <row r="156" spans="1:35" ht="36" x14ac:dyDescent="0.3">
      <c r="A156" s="10" t="s">
        <v>656</v>
      </c>
      <c r="B156" s="10"/>
      <c r="C156" s="24" t="s">
        <v>480</v>
      </c>
      <c r="D156" s="15"/>
      <c r="E156" s="15"/>
      <c r="F156" s="25" t="s">
        <v>159</v>
      </c>
      <c r="G156" s="26">
        <v>1.4999999999999999E-2</v>
      </c>
      <c r="H156" s="26"/>
      <c r="I156" s="26">
        <v>0.317</v>
      </c>
      <c r="J156" s="27">
        <v>88.8</v>
      </c>
      <c r="M156" s="28">
        <f>ROUND(ROUND(J156, 2)*I156, 2)</f>
        <v>28.15</v>
      </c>
      <c r="P156" s="27">
        <v>88.8</v>
      </c>
      <c r="S156" s="28">
        <f>ROUND(ROUND(P156, 2)*I156, 2)</f>
        <v>28.15</v>
      </c>
      <c r="V156" s="9">
        <f>ROUND(ROUND(P156, 2)/1.2, 2)</f>
        <v>74</v>
      </c>
      <c r="Y156" s="9">
        <f t="shared" si="12"/>
        <v>23.46</v>
      </c>
      <c r="AD156" s="4" t="s">
        <v>657</v>
      </c>
      <c r="AE156" s="4" t="s">
        <v>658</v>
      </c>
      <c r="AF156" s="4" t="s">
        <v>483</v>
      </c>
    </row>
    <row r="157" spans="1:35" ht="36" x14ac:dyDescent="0.3">
      <c r="A157" s="10" t="s">
        <v>659</v>
      </c>
      <c r="B157" s="10" t="s">
        <v>660</v>
      </c>
      <c r="C157" s="14" t="s">
        <v>661</v>
      </c>
      <c r="D157" s="15"/>
      <c r="E157" s="15" t="s">
        <v>662</v>
      </c>
      <c r="F157" s="15" t="s">
        <v>75</v>
      </c>
      <c r="G157" s="16">
        <v>1</v>
      </c>
      <c r="H157" s="16"/>
      <c r="I157" s="16">
        <v>4366.17</v>
      </c>
      <c r="J157" s="17">
        <v>0</v>
      </c>
      <c r="K157" s="18">
        <v>661</v>
      </c>
      <c r="L157" s="17">
        <f>J157+ROUND(K157, 2)</f>
        <v>661</v>
      </c>
      <c r="M157" s="17">
        <v>0</v>
      </c>
      <c r="N157" s="17">
        <v>2886038.37</v>
      </c>
      <c r="O157" s="17">
        <f>M157+N157</f>
        <v>2886038.37</v>
      </c>
      <c r="P157" s="17">
        <v>2035.54</v>
      </c>
      <c r="Q157" s="18">
        <v>661</v>
      </c>
      <c r="R157" s="17">
        <f>P157+ROUND(Q157, 2)</f>
        <v>2696.54</v>
      </c>
      <c r="S157" s="17">
        <v>8887513.6799999997</v>
      </c>
      <c r="T157" s="17">
        <v>2886038.37</v>
      </c>
      <c r="U157" s="17">
        <f>S157+T157</f>
        <v>11773552.050000001</v>
      </c>
      <c r="V157" s="9">
        <f>ROUND(P157 / 1.2, 2)</f>
        <v>1696.28</v>
      </c>
      <c r="W157" s="9">
        <f>ROUND(Q157 / 1.2, 2)</f>
        <v>550.83000000000004</v>
      </c>
      <c r="X157" s="9">
        <f>ROUND(R157 / 1.2, 2)</f>
        <v>2247.12</v>
      </c>
      <c r="Y157" s="9">
        <f t="shared" si="12"/>
        <v>7406261.4000000004</v>
      </c>
      <c r="Z157" s="9">
        <f>ROUND(T157 / 1.2, 2)</f>
        <v>2405031.98</v>
      </c>
      <c r="AA157" s="9">
        <f>Y157+Z157</f>
        <v>9811293.3800000008</v>
      </c>
      <c r="AD157" s="4">
        <v>339118826</v>
      </c>
      <c r="AE157" s="4">
        <v>25888018</v>
      </c>
      <c r="AG157" s="4" t="s">
        <v>663</v>
      </c>
      <c r="AH157" s="4" t="s">
        <v>664</v>
      </c>
      <c r="AI157" s="4" t="s">
        <v>156</v>
      </c>
    </row>
    <row r="158" spans="1:35" ht="90" x14ac:dyDescent="0.3">
      <c r="A158" s="10" t="s">
        <v>665</v>
      </c>
      <c r="B158" s="10"/>
      <c r="C158" s="24" t="s">
        <v>666</v>
      </c>
      <c r="D158" s="15"/>
      <c r="E158" s="15" t="s">
        <v>667</v>
      </c>
      <c r="F158" s="25" t="s">
        <v>240</v>
      </c>
      <c r="G158" s="26">
        <v>1</v>
      </c>
      <c r="H158" s="32"/>
      <c r="I158" s="32">
        <v>1964.7</v>
      </c>
      <c r="J158" s="27">
        <v>0</v>
      </c>
      <c r="M158" s="28">
        <f>ROUND(ROUND(J158, 2)*I158, 2)</f>
        <v>0</v>
      </c>
      <c r="P158" s="27">
        <v>495</v>
      </c>
      <c r="S158" s="28">
        <f>ROUND(ROUND(P158, 2)*I158, 2)</f>
        <v>972526.5</v>
      </c>
      <c r="V158" s="9">
        <f>ROUND(ROUND(P158, 2)/1.2, 2)</f>
        <v>412.5</v>
      </c>
      <c r="Y158" s="9">
        <f t="shared" si="12"/>
        <v>810438.75</v>
      </c>
      <c r="AD158" s="4" t="s">
        <v>668</v>
      </c>
      <c r="AE158" s="4" t="s">
        <v>669</v>
      </c>
      <c r="AF158" s="4" t="s">
        <v>670</v>
      </c>
    </row>
    <row r="159" spans="1:35" ht="103.95" customHeight="1" x14ac:dyDescent="0.3">
      <c r="A159" s="10" t="s">
        <v>671</v>
      </c>
      <c r="B159" s="10"/>
      <c r="C159" s="24" t="s">
        <v>672</v>
      </c>
      <c r="D159" s="15"/>
      <c r="E159" s="15" t="s">
        <v>673</v>
      </c>
      <c r="F159" s="25" t="s">
        <v>75</v>
      </c>
      <c r="G159" s="26">
        <v>1.03</v>
      </c>
      <c r="H159" s="32"/>
      <c r="I159" s="32">
        <v>4497.1549999999997</v>
      </c>
      <c r="J159" s="27">
        <v>0</v>
      </c>
      <c r="M159" s="28">
        <f>ROUND(ROUND(J159, 2)*I159, 2)</f>
        <v>0</v>
      </c>
      <c r="P159" s="27">
        <v>1760</v>
      </c>
      <c r="S159" s="28">
        <f>ROUND(ROUND(P159, 2)*I159, 2)</f>
        <v>7914992.7999999998</v>
      </c>
      <c r="V159" s="9">
        <f>ROUND(ROUND(P159, 2)/1.2, 2)</f>
        <v>1466.67</v>
      </c>
      <c r="Y159" s="9">
        <f t="shared" si="12"/>
        <v>6595827.3300000001</v>
      </c>
      <c r="AD159" s="4" t="s">
        <v>674</v>
      </c>
      <c r="AE159" s="4" t="s">
        <v>675</v>
      </c>
      <c r="AF159" s="4" t="s">
        <v>676</v>
      </c>
    </row>
    <row r="160" spans="1:35" ht="36" x14ac:dyDescent="0.3">
      <c r="A160" s="10" t="s">
        <v>677</v>
      </c>
      <c r="B160" s="10" t="s">
        <v>678</v>
      </c>
      <c r="C160" s="14" t="s">
        <v>679</v>
      </c>
      <c r="D160" s="15"/>
      <c r="E160" s="15" t="s">
        <v>680</v>
      </c>
      <c r="F160" s="15" t="s">
        <v>120</v>
      </c>
      <c r="G160" s="16">
        <v>1</v>
      </c>
      <c r="H160" s="16"/>
      <c r="I160" s="16">
        <v>2088.4499999999998</v>
      </c>
      <c r="J160" s="17">
        <v>379.22</v>
      </c>
      <c r="K160" s="18">
        <v>210</v>
      </c>
      <c r="L160" s="17">
        <f>J160+ROUND(K160, 2)</f>
        <v>589.22</v>
      </c>
      <c r="M160" s="17">
        <v>791982.01</v>
      </c>
      <c r="N160" s="17">
        <v>438574.5</v>
      </c>
      <c r="O160" s="17">
        <f>M160+N160</f>
        <v>1230556.51</v>
      </c>
      <c r="P160" s="17">
        <v>379.22</v>
      </c>
      <c r="Q160" s="18">
        <v>210</v>
      </c>
      <c r="R160" s="17">
        <f>P160+ROUND(Q160, 2)</f>
        <v>589.22</v>
      </c>
      <c r="S160" s="17">
        <v>791982.01</v>
      </c>
      <c r="T160" s="17">
        <v>438574.5</v>
      </c>
      <c r="U160" s="17">
        <f>S160+T160</f>
        <v>1230556.51</v>
      </c>
      <c r="V160" s="9">
        <f>ROUND(P160 / 1.2, 2)</f>
        <v>316.02</v>
      </c>
      <c r="W160" s="9">
        <f>ROUND(Q160 / 1.2, 2)</f>
        <v>175</v>
      </c>
      <c r="X160" s="9">
        <f>ROUND(R160 / 1.2, 2)</f>
        <v>491.02</v>
      </c>
      <c r="Y160" s="9">
        <f t="shared" si="12"/>
        <v>659985.01</v>
      </c>
      <c r="Z160" s="9">
        <f>ROUND(T160 / 1.2, 2)</f>
        <v>365478.75</v>
      </c>
      <c r="AA160" s="9">
        <f>Y160+Z160</f>
        <v>1025463.76</v>
      </c>
      <c r="AD160" s="4">
        <v>339118828</v>
      </c>
      <c r="AE160" s="4">
        <v>25888036</v>
      </c>
      <c r="AG160" s="4" t="s">
        <v>681</v>
      </c>
      <c r="AH160" s="4" t="s">
        <v>682</v>
      </c>
      <c r="AI160" s="4" t="s">
        <v>156</v>
      </c>
    </row>
    <row r="161" spans="1:35" ht="126" x14ac:dyDescent="0.3">
      <c r="A161" s="10" t="s">
        <v>683</v>
      </c>
      <c r="B161" s="10"/>
      <c r="C161" s="24" t="s">
        <v>684</v>
      </c>
      <c r="D161" s="15"/>
      <c r="E161" s="15" t="s">
        <v>685</v>
      </c>
      <c r="F161" s="25" t="s">
        <v>120</v>
      </c>
      <c r="G161" s="26">
        <v>1.1000000000000001</v>
      </c>
      <c r="H161" s="32"/>
      <c r="I161" s="32">
        <v>2297.2950000000001</v>
      </c>
      <c r="J161" s="27">
        <v>344.75</v>
      </c>
      <c r="M161" s="28">
        <f>ROUND(ROUND(J161, 2)*I161, 2)</f>
        <v>791992.45</v>
      </c>
      <c r="P161" s="27">
        <v>344.75</v>
      </c>
      <c r="S161" s="28">
        <f>ROUND(ROUND(P161, 2)*I161, 2)</f>
        <v>791992.45</v>
      </c>
      <c r="V161" s="9">
        <f>ROUND(ROUND(P161, 2)/1.2, 2)</f>
        <v>287.29000000000002</v>
      </c>
      <c r="Y161" s="9">
        <f t="shared" si="12"/>
        <v>659993.71</v>
      </c>
      <c r="AD161" s="4" t="s">
        <v>686</v>
      </c>
      <c r="AE161" s="4" t="s">
        <v>687</v>
      </c>
      <c r="AF161" s="4" t="s">
        <v>688</v>
      </c>
    </row>
    <row r="162" spans="1:35" ht="54" x14ac:dyDescent="0.3">
      <c r="A162" s="71" t="s">
        <v>689</v>
      </c>
      <c r="B162" s="82" t="s">
        <v>690</v>
      </c>
      <c r="C162" s="83" t="s">
        <v>691</v>
      </c>
      <c r="D162" s="84">
        <v>0.7</v>
      </c>
      <c r="E162" s="85" t="s">
        <v>692</v>
      </c>
      <c r="F162" s="85" t="s">
        <v>75</v>
      </c>
      <c r="G162" s="86">
        <v>1</v>
      </c>
      <c r="H162" s="87">
        <v>493581.35</v>
      </c>
      <c r="I162" s="86">
        <v>102.06</v>
      </c>
      <c r="J162" s="88">
        <v>4598.84</v>
      </c>
      <c r="K162" s="89">
        <v>2310</v>
      </c>
      <c r="L162" s="88">
        <f>J162+ROUND(K162, 2)</f>
        <v>6908.84</v>
      </c>
      <c r="M162" s="88">
        <v>469357.61</v>
      </c>
      <c r="N162" s="88">
        <v>235758.6</v>
      </c>
      <c r="O162" s="88">
        <f>M162+N162</f>
        <v>705116.21</v>
      </c>
      <c r="P162" s="88">
        <v>4598.84</v>
      </c>
      <c r="Q162" s="89">
        <v>2310</v>
      </c>
      <c r="R162" s="88">
        <f>P162+ROUND(Q162, 2)</f>
        <v>6908.84</v>
      </c>
      <c r="S162" s="88">
        <v>469357.61</v>
      </c>
      <c r="T162" s="88">
        <v>235758.6</v>
      </c>
      <c r="U162" s="88">
        <f>S162+T162</f>
        <v>705116.21</v>
      </c>
      <c r="V162" s="9">
        <f>ROUND(P162 / 1.2, 2)</f>
        <v>3832.37</v>
      </c>
      <c r="W162" s="9">
        <f>ROUND(Q162 / 1.2, 2)</f>
        <v>1925</v>
      </c>
      <c r="X162" s="9">
        <f>ROUND(R162 / 1.2, 2)</f>
        <v>5757.37</v>
      </c>
      <c r="Y162" s="9">
        <f t="shared" si="12"/>
        <v>391131.34</v>
      </c>
      <c r="Z162" s="9">
        <f>ROUND(T162 / 1.2, 2)</f>
        <v>196465.5</v>
      </c>
      <c r="AA162" s="9">
        <f>Y162+Z162</f>
        <v>587596.84000000008</v>
      </c>
      <c r="AD162" s="4">
        <v>339118830</v>
      </c>
      <c r="AE162" s="4">
        <v>28965972</v>
      </c>
      <c r="AG162" s="4" t="s">
        <v>693</v>
      </c>
      <c r="AH162" s="4" t="s">
        <v>694</v>
      </c>
      <c r="AI162" s="4" t="s">
        <v>156</v>
      </c>
    </row>
    <row r="163" spans="1:35" ht="70.5" customHeight="1" x14ac:dyDescent="0.3">
      <c r="A163" s="10" t="s">
        <v>695</v>
      </c>
      <c r="B163" s="10"/>
      <c r="C163" s="30" t="s">
        <v>696</v>
      </c>
      <c r="D163" s="15"/>
      <c r="E163" s="15" t="s">
        <v>697</v>
      </c>
      <c r="F163" s="25" t="s">
        <v>240</v>
      </c>
      <c r="G163" s="26">
        <v>4</v>
      </c>
      <c r="H163" s="26"/>
      <c r="I163" s="26">
        <v>408.24</v>
      </c>
      <c r="J163" s="27">
        <v>1118.74</v>
      </c>
      <c r="M163" s="28">
        <f>ROUND(ROUND(J163, 2)*I163, 2)</f>
        <v>456714.42</v>
      </c>
      <c r="P163" s="27">
        <v>1118.74</v>
      </c>
      <c r="S163" s="28">
        <f>ROUND(ROUND(P163, 2)*I163, 2)</f>
        <v>456714.42</v>
      </c>
      <c r="V163" s="9">
        <f>ROUND(ROUND(P163, 2)/1.2, 2)</f>
        <v>932.28</v>
      </c>
      <c r="Y163" s="9">
        <f t="shared" si="12"/>
        <v>380595.35</v>
      </c>
      <c r="AD163" s="4" t="s">
        <v>698</v>
      </c>
      <c r="AE163" s="4" t="s">
        <v>699</v>
      </c>
      <c r="AF163" s="4" t="s">
        <v>700</v>
      </c>
    </row>
    <row r="164" spans="1:35" ht="36" x14ac:dyDescent="0.3">
      <c r="A164" s="10" t="s">
        <v>701</v>
      </c>
      <c r="B164" s="10"/>
      <c r="C164" s="30" t="s">
        <v>702</v>
      </c>
      <c r="D164" s="15"/>
      <c r="E164" s="15"/>
      <c r="F164" s="25" t="s">
        <v>159</v>
      </c>
      <c r="G164" s="26">
        <v>1.2</v>
      </c>
      <c r="H164" s="32"/>
      <c r="I164" s="32">
        <v>612.36</v>
      </c>
      <c r="J164" s="27">
        <v>16.38</v>
      </c>
      <c r="M164" s="28">
        <f>ROUND(ROUND(J164, 2)*I164, 2)</f>
        <v>10030.459999999999</v>
      </c>
      <c r="P164" s="27">
        <v>16.38</v>
      </c>
      <c r="S164" s="28">
        <f>ROUND(ROUND(P164, 2)*I164, 2)</f>
        <v>10030.459999999999</v>
      </c>
      <c r="V164" s="9">
        <f>ROUND(ROUND(P164, 2)/1.2, 2)</f>
        <v>13.65</v>
      </c>
      <c r="Y164" s="9">
        <f t="shared" si="12"/>
        <v>8358.7199999999993</v>
      </c>
      <c r="AD164" s="4" t="s">
        <v>703</v>
      </c>
      <c r="AE164" s="4" t="s">
        <v>704</v>
      </c>
      <c r="AF164" s="4" t="s">
        <v>705</v>
      </c>
    </row>
    <row r="165" spans="1:35" ht="36" x14ac:dyDescent="0.3">
      <c r="A165" s="10" t="s">
        <v>706</v>
      </c>
      <c r="B165" s="10"/>
      <c r="C165" s="24" t="s">
        <v>473</v>
      </c>
      <c r="D165" s="15"/>
      <c r="E165" s="15" t="s">
        <v>707</v>
      </c>
      <c r="F165" s="25" t="s">
        <v>159</v>
      </c>
      <c r="G165" s="26">
        <v>0.25</v>
      </c>
      <c r="H165" s="26"/>
      <c r="I165" s="26">
        <v>25.515000000000001</v>
      </c>
      <c r="J165" s="27">
        <v>48.23</v>
      </c>
      <c r="M165" s="28">
        <f>ROUND(ROUND(J165, 2)*I165, 2)</f>
        <v>1230.5899999999999</v>
      </c>
      <c r="P165" s="27">
        <v>48.23</v>
      </c>
      <c r="S165" s="28">
        <f>ROUND(ROUND(P165, 2)*I165, 2)</f>
        <v>1230.5899999999999</v>
      </c>
      <c r="V165" s="9">
        <f>ROUND(ROUND(P165, 2)/1.2, 2)</f>
        <v>40.19</v>
      </c>
      <c r="Y165" s="9">
        <f t="shared" si="12"/>
        <v>1025.49</v>
      </c>
      <c r="AD165" s="4" t="s">
        <v>708</v>
      </c>
      <c r="AE165" s="4" t="s">
        <v>709</v>
      </c>
      <c r="AF165" s="4" t="s">
        <v>476</v>
      </c>
    </row>
    <row r="166" spans="1:35" ht="36" x14ac:dyDescent="0.3">
      <c r="A166" s="10" t="s">
        <v>710</v>
      </c>
      <c r="B166" s="10"/>
      <c r="C166" s="24" t="s">
        <v>169</v>
      </c>
      <c r="D166" s="15"/>
      <c r="E166" s="15"/>
      <c r="F166" s="25" t="s">
        <v>159</v>
      </c>
      <c r="G166" s="26">
        <v>0.15</v>
      </c>
      <c r="H166" s="26"/>
      <c r="I166" s="26">
        <v>15.308999999999999</v>
      </c>
      <c r="J166" s="27">
        <v>90.28</v>
      </c>
      <c r="M166" s="28">
        <f>ROUND(ROUND(J166, 2)*I166, 2)</f>
        <v>1382.1</v>
      </c>
      <c r="P166" s="27">
        <v>90.28</v>
      </c>
      <c r="S166" s="28">
        <f>ROUND(ROUND(P166, 2)*I166, 2)</f>
        <v>1382.1</v>
      </c>
      <c r="V166" s="9">
        <f>ROUND(ROUND(P166, 2)/1.2, 2)</f>
        <v>75.23</v>
      </c>
      <c r="Y166" s="9">
        <f t="shared" si="12"/>
        <v>1151.75</v>
      </c>
      <c r="AD166" s="4" t="s">
        <v>711</v>
      </c>
      <c r="AE166" s="4" t="s">
        <v>712</v>
      </c>
      <c r="AF166" s="4" t="s">
        <v>172</v>
      </c>
    </row>
    <row r="167" spans="1:35" ht="54" x14ac:dyDescent="0.3">
      <c r="A167" s="71" t="s">
        <v>713</v>
      </c>
      <c r="B167" s="82" t="s">
        <v>690</v>
      </c>
      <c r="C167" s="83" t="s">
        <v>691</v>
      </c>
      <c r="D167" s="84">
        <v>0.7</v>
      </c>
      <c r="E167" s="85" t="s">
        <v>714</v>
      </c>
      <c r="F167" s="85" t="s">
        <v>75</v>
      </c>
      <c r="G167" s="86">
        <v>1</v>
      </c>
      <c r="H167" s="87">
        <v>163699.54999999999</v>
      </c>
      <c r="I167" s="86">
        <v>60.24</v>
      </c>
      <c r="J167" s="88">
        <v>1572.08</v>
      </c>
      <c r="K167" s="89">
        <v>2310</v>
      </c>
      <c r="L167" s="88">
        <f>J167+ROUND(K167, 2)</f>
        <v>3882.08</v>
      </c>
      <c r="M167" s="88">
        <v>94702.1</v>
      </c>
      <c r="N167" s="88">
        <v>139154.4</v>
      </c>
      <c r="O167" s="88">
        <f>M167+N167</f>
        <v>233856.5</v>
      </c>
      <c r="P167" s="88">
        <v>1572.08</v>
      </c>
      <c r="Q167" s="89">
        <v>2310</v>
      </c>
      <c r="R167" s="88">
        <f>P167+ROUND(Q167, 2)</f>
        <v>3882.08</v>
      </c>
      <c r="S167" s="88">
        <v>94702.1</v>
      </c>
      <c r="T167" s="88">
        <v>139154.4</v>
      </c>
      <c r="U167" s="88">
        <f>S167+T167</f>
        <v>233856.5</v>
      </c>
      <c r="V167" s="9">
        <f>ROUND(P167 / 1.2, 2)</f>
        <v>1310.07</v>
      </c>
      <c r="W167" s="9">
        <f>ROUND(Q167 / 1.2, 2)</f>
        <v>1925</v>
      </c>
      <c r="X167" s="9">
        <f>ROUND(R167 / 1.2, 2)</f>
        <v>3235.07</v>
      </c>
      <c r="Y167" s="9">
        <f t="shared" si="12"/>
        <v>78918.42</v>
      </c>
      <c r="Z167" s="9">
        <f>ROUND(T167 / 1.2, 2)</f>
        <v>115962</v>
      </c>
      <c r="AA167" s="9">
        <f>Y167+Z167</f>
        <v>194880.41999999998</v>
      </c>
      <c r="AD167" s="4">
        <v>339118915</v>
      </c>
      <c r="AE167" s="4">
        <v>28970271</v>
      </c>
      <c r="AG167" s="4" t="s">
        <v>693</v>
      </c>
      <c r="AH167" s="4" t="s">
        <v>694</v>
      </c>
      <c r="AI167" s="4" t="s">
        <v>156</v>
      </c>
    </row>
    <row r="168" spans="1:35" ht="36" x14ac:dyDescent="0.3">
      <c r="A168" s="10" t="s">
        <v>715</v>
      </c>
      <c r="B168" s="10"/>
      <c r="C168" s="24" t="s">
        <v>169</v>
      </c>
      <c r="D168" s="15"/>
      <c r="E168" s="15"/>
      <c r="F168" s="25" t="s">
        <v>159</v>
      </c>
      <c r="G168" s="26">
        <v>0.15</v>
      </c>
      <c r="H168" s="26"/>
      <c r="I168" s="26">
        <v>9.0359999999999996</v>
      </c>
      <c r="J168" s="27">
        <v>90.28</v>
      </c>
      <c r="M168" s="28">
        <f>ROUND(ROUND(J168, 2)*I168, 2)</f>
        <v>815.77</v>
      </c>
      <c r="P168" s="27">
        <v>90.28</v>
      </c>
      <c r="S168" s="28">
        <f>ROUND(ROUND(P168, 2)*I168, 2)</f>
        <v>815.77</v>
      </c>
      <c r="V168" s="9">
        <f>ROUND(ROUND(P168, 2)/1.2, 2)</f>
        <v>75.23</v>
      </c>
      <c r="Y168" s="9">
        <f t="shared" si="12"/>
        <v>679.81</v>
      </c>
      <c r="AD168" s="4" t="s">
        <v>716</v>
      </c>
      <c r="AE168" s="4" t="s">
        <v>717</v>
      </c>
      <c r="AF168" s="4" t="s">
        <v>172</v>
      </c>
    </row>
    <row r="169" spans="1:35" ht="36" x14ac:dyDescent="0.3">
      <c r="A169" s="10" t="s">
        <v>718</v>
      </c>
      <c r="B169" s="10"/>
      <c r="C169" s="24" t="s">
        <v>473</v>
      </c>
      <c r="D169" s="15"/>
      <c r="E169" s="15" t="s">
        <v>707</v>
      </c>
      <c r="F169" s="25" t="s">
        <v>159</v>
      </c>
      <c r="G169" s="26">
        <v>0.25</v>
      </c>
      <c r="H169" s="26"/>
      <c r="I169" s="26">
        <v>15.06</v>
      </c>
      <c r="J169" s="27">
        <v>48.23</v>
      </c>
      <c r="M169" s="28">
        <f>ROUND(ROUND(J169, 2)*I169, 2)</f>
        <v>726.34</v>
      </c>
      <c r="P169" s="27">
        <v>48.23</v>
      </c>
      <c r="S169" s="28">
        <f>ROUND(ROUND(P169, 2)*I169, 2)</f>
        <v>726.34</v>
      </c>
      <c r="V169" s="9">
        <f>ROUND(ROUND(P169, 2)/1.2, 2)</f>
        <v>40.19</v>
      </c>
      <c r="Y169" s="9">
        <f t="shared" si="12"/>
        <v>605.28</v>
      </c>
      <c r="AD169" s="4" t="s">
        <v>719</v>
      </c>
      <c r="AE169" s="4" t="s">
        <v>720</v>
      </c>
      <c r="AF169" s="4" t="s">
        <v>476</v>
      </c>
    </row>
    <row r="170" spans="1:35" ht="36" x14ac:dyDescent="0.3">
      <c r="A170" s="10" t="s">
        <v>721</v>
      </c>
      <c r="B170" s="10"/>
      <c r="C170" s="30" t="s">
        <v>702</v>
      </c>
      <c r="D170" s="15"/>
      <c r="E170" s="15"/>
      <c r="F170" s="25" t="s">
        <v>159</v>
      </c>
      <c r="G170" s="26">
        <v>1.2</v>
      </c>
      <c r="H170" s="32"/>
      <c r="I170" s="32">
        <v>361.44</v>
      </c>
      <c r="J170" s="27">
        <v>16.38</v>
      </c>
      <c r="M170" s="28">
        <f>ROUND(ROUND(J170, 2)*I170, 2)</f>
        <v>5920.39</v>
      </c>
      <c r="P170" s="27">
        <v>16.38</v>
      </c>
      <c r="S170" s="28">
        <f>ROUND(ROUND(P170, 2)*I170, 2)</f>
        <v>5920.39</v>
      </c>
      <c r="V170" s="9">
        <f>ROUND(ROUND(P170, 2)/1.2, 2)</f>
        <v>13.65</v>
      </c>
      <c r="Y170" s="9">
        <f t="shared" si="12"/>
        <v>4933.66</v>
      </c>
      <c r="AD170" s="4" t="s">
        <v>722</v>
      </c>
      <c r="AE170" s="4" t="s">
        <v>723</v>
      </c>
      <c r="AF170" s="4" t="s">
        <v>705</v>
      </c>
    </row>
    <row r="171" spans="1:35" ht="88.05" customHeight="1" x14ac:dyDescent="0.3">
      <c r="A171" s="10" t="s">
        <v>724</v>
      </c>
      <c r="B171" s="10"/>
      <c r="C171" s="24" t="s">
        <v>725</v>
      </c>
      <c r="D171" s="15"/>
      <c r="E171" s="15" t="s">
        <v>726</v>
      </c>
      <c r="F171" s="25" t="s">
        <v>240</v>
      </c>
      <c r="G171" s="26">
        <v>4</v>
      </c>
      <c r="H171" s="26"/>
      <c r="I171" s="26">
        <v>240.96</v>
      </c>
      <c r="J171" s="27">
        <v>362.05</v>
      </c>
      <c r="M171" s="28">
        <f>ROUND(ROUND(J171, 2)*I171, 2)</f>
        <v>87239.57</v>
      </c>
      <c r="P171" s="27">
        <v>362.05</v>
      </c>
      <c r="S171" s="28">
        <f>ROUND(ROUND(P171, 2)*I171, 2)</f>
        <v>87239.57</v>
      </c>
      <c r="V171" s="9">
        <f>ROUND(ROUND(P171, 2)/1.2, 2)</f>
        <v>301.70999999999998</v>
      </c>
      <c r="Y171" s="9">
        <f t="shared" si="12"/>
        <v>72699.64</v>
      </c>
      <c r="AD171" s="4" t="s">
        <v>727</v>
      </c>
      <c r="AE171" s="4" t="s">
        <v>728</v>
      </c>
      <c r="AF171" s="4" t="s">
        <v>729</v>
      </c>
    </row>
    <row r="172" spans="1:35" ht="54" x14ac:dyDescent="0.3">
      <c r="A172" s="71" t="s">
        <v>730</v>
      </c>
      <c r="B172" s="82" t="s">
        <v>731</v>
      </c>
      <c r="C172" s="83" t="s">
        <v>732</v>
      </c>
      <c r="D172" s="84">
        <v>0.7</v>
      </c>
      <c r="E172" s="85" t="s">
        <v>733</v>
      </c>
      <c r="F172" s="85" t="s">
        <v>120</v>
      </c>
      <c r="G172" s="86">
        <v>1</v>
      </c>
      <c r="H172" s="87">
        <v>319069.74</v>
      </c>
      <c r="I172" s="86">
        <v>342.38</v>
      </c>
      <c r="J172" s="88">
        <v>858.32</v>
      </c>
      <c r="K172" s="89">
        <v>472.99</v>
      </c>
      <c r="L172" s="88">
        <f>J172+ROUND(K172, 2)</f>
        <v>1331.31</v>
      </c>
      <c r="M172" s="88">
        <v>293871.59999999998</v>
      </c>
      <c r="N172" s="88">
        <v>161942.32</v>
      </c>
      <c r="O172" s="88">
        <f>M172+N172</f>
        <v>455813.92</v>
      </c>
      <c r="P172" s="88">
        <v>858.32</v>
      </c>
      <c r="Q172" s="89">
        <v>472.99</v>
      </c>
      <c r="R172" s="88">
        <f>P172+ROUND(Q172, 2)</f>
        <v>1331.31</v>
      </c>
      <c r="S172" s="88">
        <v>293871.59999999998</v>
      </c>
      <c r="T172" s="88">
        <v>161942.32</v>
      </c>
      <c r="U172" s="88">
        <f>S172+T172</f>
        <v>455813.92</v>
      </c>
      <c r="V172" s="9">
        <f>ROUND(P172 / 1.2, 2)</f>
        <v>715.27</v>
      </c>
      <c r="W172" s="9">
        <f>ROUND(Q172 / 1.2, 2)</f>
        <v>394.16</v>
      </c>
      <c r="X172" s="9">
        <f>ROUND(R172 / 1.2, 2)</f>
        <v>1109.43</v>
      </c>
      <c r="Y172" s="9">
        <f t="shared" si="12"/>
        <v>244893</v>
      </c>
      <c r="Z172" s="9">
        <f>ROUND(T172 / 1.2, 2)</f>
        <v>134951.93</v>
      </c>
      <c r="AA172" s="9">
        <f>Y172+Z172</f>
        <v>379844.93</v>
      </c>
      <c r="AD172" s="4">
        <v>339118832</v>
      </c>
      <c r="AE172" s="4">
        <v>28970272</v>
      </c>
      <c r="AG172" s="4" t="s">
        <v>734</v>
      </c>
      <c r="AH172" s="4" t="s">
        <v>735</v>
      </c>
      <c r="AI172" s="4" t="s">
        <v>156</v>
      </c>
    </row>
    <row r="173" spans="1:35" ht="36" x14ac:dyDescent="0.3">
      <c r="A173" s="10" t="s">
        <v>736</v>
      </c>
      <c r="B173" s="10"/>
      <c r="C173" s="30" t="s">
        <v>494</v>
      </c>
      <c r="D173" s="15"/>
      <c r="E173" s="15"/>
      <c r="F173" s="25" t="s">
        <v>159</v>
      </c>
      <c r="G173" s="26">
        <v>0.7</v>
      </c>
      <c r="H173" s="32"/>
      <c r="I173" s="32">
        <v>239.666</v>
      </c>
      <c r="J173" s="27">
        <v>16.38</v>
      </c>
      <c r="M173" s="28">
        <f>ROUND(ROUND(J173, 2)*I173, 2)</f>
        <v>3925.73</v>
      </c>
      <c r="P173" s="27">
        <v>16.38</v>
      </c>
      <c r="S173" s="28">
        <f>ROUND(ROUND(P173, 2)*I173, 2)</f>
        <v>3925.73</v>
      </c>
      <c r="V173" s="9">
        <f>ROUND(ROUND(P173, 2)/1.2, 2)</f>
        <v>13.65</v>
      </c>
      <c r="Y173" s="9">
        <f t="shared" si="12"/>
        <v>3271.44</v>
      </c>
      <c r="AD173" s="4" t="s">
        <v>737</v>
      </c>
      <c r="AE173" s="4" t="s">
        <v>738</v>
      </c>
      <c r="AF173" s="4" t="s">
        <v>498</v>
      </c>
    </row>
    <row r="174" spans="1:35" ht="36" x14ac:dyDescent="0.3">
      <c r="A174" s="10" t="s">
        <v>739</v>
      </c>
      <c r="B174" s="10"/>
      <c r="C174" s="24" t="s">
        <v>740</v>
      </c>
      <c r="D174" s="15"/>
      <c r="E174" s="15"/>
      <c r="F174" s="25" t="s">
        <v>240</v>
      </c>
      <c r="G174" s="26">
        <v>1.84</v>
      </c>
      <c r="H174" s="32"/>
      <c r="I174" s="32">
        <v>629.97900000000004</v>
      </c>
      <c r="J174" s="27">
        <v>458.46</v>
      </c>
      <c r="M174" s="28">
        <f>ROUND(ROUND(J174, 2)*I174, 2)</f>
        <v>288820.17</v>
      </c>
      <c r="P174" s="27">
        <v>458.46</v>
      </c>
      <c r="S174" s="28">
        <f>ROUND(ROUND(P174, 2)*I174, 2)</f>
        <v>288820.17</v>
      </c>
      <c r="V174" s="9">
        <f>ROUND(ROUND(P174, 2)/1.2, 2)</f>
        <v>382.05</v>
      </c>
      <c r="Y174" s="9">
        <f t="shared" si="12"/>
        <v>240683.48</v>
      </c>
      <c r="AD174" s="4" t="s">
        <v>741</v>
      </c>
      <c r="AE174" s="4" t="s">
        <v>742</v>
      </c>
      <c r="AF174" s="4" t="s">
        <v>743</v>
      </c>
    </row>
    <row r="175" spans="1:35" ht="36" x14ac:dyDescent="0.3">
      <c r="A175" s="10" t="s">
        <v>744</v>
      </c>
      <c r="B175" s="10"/>
      <c r="C175" s="24" t="s">
        <v>473</v>
      </c>
      <c r="D175" s="15"/>
      <c r="E175" s="15" t="s">
        <v>707</v>
      </c>
      <c r="F175" s="25" t="s">
        <v>159</v>
      </c>
      <c r="G175" s="26">
        <v>0.04</v>
      </c>
      <c r="H175" s="26"/>
      <c r="I175" s="26">
        <v>13.695</v>
      </c>
      <c r="J175" s="27">
        <v>48.23</v>
      </c>
      <c r="M175" s="28">
        <f>ROUND(ROUND(J175, 2)*I175, 2)</f>
        <v>660.51</v>
      </c>
      <c r="P175" s="27">
        <v>48.23</v>
      </c>
      <c r="S175" s="28">
        <f>ROUND(ROUND(P175, 2)*I175, 2)</f>
        <v>660.51</v>
      </c>
      <c r="V175" s="9">
        <f>ROUND(ROUND(P175, 2)/1.2, 2)</f>
        <v>40.19</v>
      </c>
      <c r="Y175" s="9">
        <f t="shared" si="12"/>
        <v>550.42999999999995</v>
      </c>
      <c r="AD175" s="4" t="s">
        <v>745</v>
      </c>
      <c r="AE175" s="4" t="s">
        <v>746</v>
      </c>
      <c r="AF175" s="4" t="s">
        <v>476</v>
      </c>
    </row>
    <row r="176" spans="1:35" ht="36" x14ac:dyDescent="0.3">
      <c r="A176" s="10" t="s">
        <v>747</v>
      </c>
      <c r="B176" s="10"/>
      <c r="C176" s="24" t="s">
        <v>480</v>
      </c>
      <c r="D176" s="15"/>
      <c r="E176" s="15"/>
      <c r="F176" s="25" t="s">
        <v>159</v>
      </c>
      <c r="G176" s="26">
        <v>1.4999999999999999E-2</v>
      </c>
      <c r="H176" s="26"/>
      <c r="I176" s="26">
        <v>5.1360000000000001</v>
      </c>
      <c r="J176" s="27">
        <v>90.28</v>
      </c>
      <c r="M176" s="28">
        <f>ROUND(ROUND(J176, 2)*I176, 2)</f>
        <v>463.68</v>
      </c>
      <c r="P176" s="27">
        <v>90.28</v>
      </c>
      <c r="S176" s="28">
        <f>ROUND(ROUND(P176, 2)*I176, 2)</f>
        <v>463.68</v>
      </c>
      <c r="V176" s="9">
        <f>ROUND(ROUND(P176, 2)/1.2, 2)</f>
        <v>75.23</v>
      </c>
      <c r="Y176" s="9">
        <f t="shared" si="12"/>
        <v>386.4</v>
      </c>
      <c r="AD176" s="4" t="s">
        <v>748</v>
      </c>
      <c r="AE176" s="4" t="s">
        <v>749</v>
      </c>
      <c r="AF176" s="4" t="s">
        <v>483</v>
      </c>
    </row>
    <row r="177" spans="1:35" ht="54" x14ac:dyDescent="0.3">
      <c r="A177" s="10" t="s">
        <v>750</v>
      </c>
      <c r="B177" s="10" t="s">
        <v>751</v>
      </c>
      <c r="C177" s="14" t="s">
        <v>752</v>
      </c>
      <c r="D177" s="15"/>
      <c r="E177" s="15" t="s">
        <v>753</v>
      </c>
      <c r="F177" s="15" t="s">
        <v>75</v>
      </c>
      <c r="G177" s="16">
        <v>1</v>
      </c>
      <c r="H177" s="16"/>
      <c r="I177" s="16">
        <v>80.900000000000006</v>
      </c>
      <c r="J177" s="17">
        <v>626.96</v>
      </c>
      <c r="K177" s="18">
        <v>1655</v>
      </c>
      <c r="L177" s="17">
        <f>J177+ROUND(K177, 2)</f>
        <v>2281.96</v>
      </c>
      <c r="M177" s="17">
        <v>50721.06</v>
      </c>
      <c r="N177" s="17">
        <v>133889.5</v>
      </c>
      <c r="O177" s="17">
        <f>M177+N177</f>
        <v>184610.56</v>
      </c>
      <c r="P177" s="17">
        <v>701.3</v>
      </c>
      <c r="Q177" s="18">
        <v>1439</v>
      </c>
      <c r="R177" s="17">
        <f>P177+ROUND(Q177, 2)</f>
        <v>2140.3000000000002</v>
      </c>
      <c r="S177" s="17">
        <v>56735.17</v>
      </c>
      <c r="T177" s="17">
        <v>116415.1</v>
      </c>
      <c r="U177" s="17">
        <f>S177+T177</f>
        <v>173150.27000000002</v>
      </c>
      <c r="V177" s="9">
        <f>ROUND(P177 / 1.2, 2)</f>
        <v>584.41999999999996</v>
      </c>
      <c r="W177" s="9">
        <f>ROUND(Q177 / 1.2, 2)</f>
        <v>1199.17</v>
      </c>
      <c r="X177" s="9">
        <f>ROUND(R177 / 1.2, 2)</f>
        <v>1783.58</v>
      </c>
      <c r="Y177" s="9">
        <f t="shared" si="12"/>
        <v>47279.31</v>
      </c>
      <c r="Z177" s="9">
        <f>ROUND(T177 / 1.2, 2)</f>
        <v>97012.58</v>
      </c>
      <c r="AA177" s="9">
        <f>Y177+Z177</f>
        <v>144291.89000000001</v>
      </c>
      <c r="AD177" s="4">
        <v>339118834</v>
      </c>
      <c r="AE177" s="4">
        <v>29092268</v>
      </c>
      <c r="AG177" s="4" t="s">
        <v>754</v>
      </c>
      <c r="AH177" s="4" t="s">
        <v>755</v>
      </c>
      <c r="AI177" s="4" t="s">
        <v>156</v>
      </c>
    </row>
    <row r="178" spans="1:35" ht="36" x14ac:dyDescent="0.3">
      <c r="A178" s="10" t="s">
        <v>756</v>
      </c>
      <c r="B178" s="10"/>
      <c r="C178" s="30" t="s">
        <v>458</v>
      </c>
      <c r="D178" s="15"/>
      <c r="E178" s="15" t="s">
        <v>757</v>
      </c>
      <c r="F178" s="25" t="s">
        <v>159</v>
      </c>
      <c r="G178" s="26">
        <v>7</v>
      </c>
      <c r="H178" s="26"/>
      <c r="I178" s="26">
        <v>566.29999999999995</v>
      </c>
      <c r="J178" s="27">
        <v>16.38</v>
      </c>
      <c r="M178" s="28">
        <f>ROUND(ROUND(J178, 2)*I178, 2)</f>
        <v>9275.99</v>
      </c>
      <c r="P178" s="27">
        <v>27</v>
      </c>
      <c r="S178" s="28">
        <f>ROUND(ROUND(P178, 2)*I178, 2)</f>
        <v>15290.1</v>
      </c>
      <c r="V178" s="9">
        <f>ROUND(ROUND(P178, 2)/1.2, 2)</f>
        <v>22.5</v>
      </c>
      <c r="Y178" s="9">
        <f t="shared" si="12"/>
        <v>12741.75</v>
      </c>
      <c r="AD178" s="4" t="s">
        <v>758</v>
      </c>
      <c r="AE178" s="4" t="s">
        <v>759</v>
      </c>
      <c r="AF178" s="4" t="s">
        <v>462</v>
      </c>
    </row>
    <row r="179" spans="1:35" ht="36" x14ac:dyDescent="0.3">
      <c r="A179" s="10" t="s">
        <v>760</v>
      </c>
      <c r="B179" s="10"/>
      <c r="C179" s="24" t="s">
        <v>480</v>
      </c>
      <c r="D179" s="15"/>
      <c r="E179" s="15"/>
      <c r="F179" s="25" t="s">
        <v>159</v>
      </c>
      <c r="G179" s="26">
        <v>0.15</v>
      </c>
      <c r="H179" s="26"/>
      <c r="I179" s="26">
        <v>12.135</v>
      </c>
      <c r="J179" s="27">
        <v>90.28</v>
      </c>
      <c r="M179" s="28">
        <f>ROUND(ROUND(J179, 2)*I179, 2)</f>
        <v>1095.55</v>
      </c>
      <c r="P179" s="27">
        <v>90.28</v>
      </c>
      <c r="S179" s="28">
        <f>ROUND(ROUND(P179, 2)*I179, 2)</f>
        <v>1095.55</v>
      </c>
      <c r="V179" s="9">
        <f>ROUND(ROUND(P179, 2)/1.2, 2)</f>
        <v>75.23</v>
      </c>
      <c r="Y179" s="9">
        <f t="shared" ref="Y179:Y196" si="13">ROUND(S179 / 1.2, 2)</f>
        <v>912.96</v>
      </c>
      <c r="AD179" s="4" t="s">
        <v>761</v>
      </c>
      <c r="AE179" s="4" t="s">
        <v>762</v>
      </c>
      <c r="AF179" s="4" t="s">
        <v>483</v>
      </c>
    </row>
    <row r="180" spans="1:35" ht="36" x14ac:dyDescent="0.3">
      <c r="A180" s="10" t="s">
        <v>763</v>
      </c>
      <c r="B180" s="10"/>
      <c r="C180" s="30" t="s">
        <v>466</v>
      </c>
      <c r="D180" s="15"/>
      <c r="E180" s="15"/>
      <c r="F180" s="25" t="s">
        <v>75</v>
      </c>
      <c r="G180" s="26">
        <v>1.07</v>
      </c>
      <c r="H180" s="32"/>
      <c r="I180" s="32">
        <v>86.563000000000002</v>
      </c>
      <c r="J180" s="27">
        <v>454.86</v>
      </c>
      <c r="M180" s="28">
        <f>ROUND(ROUND(J180, 2)*I180, 2)</f>
        <v>39374.050000000003</v>
      </c>
      <c r="P180" s="27">
        <v>454.86</v>
      </c>
      <c r="S180" s="28">
        <f>ROUND(ROUND(P180, 2)*I180, 2)</f>
        <v>39374.050000000003</v>
      </c>
      <c r="V180" s="9">
        <f>ROUND(ROUND(P180, 2)/1.2, 2)</f>
        <v>379.05</v>
      </c>
      <c r="Y180" s="9">
        <f t="shared" si="13"/>
        <v>32811.71</v>
      </c>
      <c r="AD180" s="4" t="s">
        <v>764</v>
      </c>
      <c r="AE180" s="4" t="s">
        <v>765</v>
      </c>
      <c r="AF180" s="4" t="s">
        <v>469</v>
      </c>
    </row>
    <row r="181" spans="1:35" ht="18" x14ac:dyDescent="0.3">
      <c r="A181" s="10" t="s">
        <v>766</v>
      </c>
      <c r="B181" s="10"/>
      <c r="C181" s="24" t="s">
        <v>473</v>
      </c>
      <c r="D181" s="15"/>
      <c r="E181" s="15"/>
      <c r="F181" s="25" t="s">
        <v>159</v>
      </c>
      <c r="G181" s="26">
        <v>0.25</v>
      </c>
      <c r="H181" s="32"/>
      <c r="I181" s="32">
        <v>20.225000000000001</v>
      </c>
      <c r="J181" s="27">
        <v>48.23</v>
      </c>
      <c r="M181" s="28">
        <f>ROUND(ROUND(J181, 2)*I181, 2)</f>
        <v>975.45</v>
      </c>
      <c r="P181" s="27">
        <v>48.23</v>
      </c>
      <c r="S181" s="28">
        <f>ROUND(ROUND(P181, 2)*I181, 2)</f>
        <v>975.45</v>
      </c>
      <c r="V181" s="9">
        <f>ROUND(ROUND(P181, 2)/1.2, 2)</f>
        <v>40.19</v>
      </c>
      <c r="Y181" s="9">
        <f t="shared" si="13"/>
        <v>812.88</v>
      </c>
      <c r="AD181" s="4" t="s">
        <v>767</v>
      </c>
      <c r="AE181" s="4" t="s">
        <v>768</v>
      </c>
      <c r="AF181" s="4" t="s">
        <v>476</v>
      </c>
    </row>
    <row r="182" spans="1:35" ht="54" x14ac:dyDescent="0.3">
      <c r="A182" s="10" t="s">
        <v>769</v>
      </c>
      <c r="B182" s="10" t="s">
        <v>770</v>
      </c>
      <c r="C182" s="14" t="s">
        <v>771</v>
      </c>
      <c r="D182" s="15"/>
      <c r="E182" s="15" t="s">
        <v>772</v>
      </c>
      <c r="F182" s="15" t="s">
        <v>75</v>
      </c>
      <c r="G182" s="16">
        <v>1</v>
      </c>
      <c r="H182" s="16"/>
      <c r="I182" s="16">
        <v>116.53</v>
      </c>
      <c r="J182" s="17">
        <v>2329.23</v>
      </c>
      <c r="K182" s="18">
        <v>2785</v>
      </c>
      <c r="L182" s="17">
        <f>J182+ROUND(K182, 2)</f>
        <v>5114.2299999999996</v>
      </c>
      <c r="M182" s="17">
        <v>271425.17</v>
      </c>
      <c r="N182" s="17">
        <v>324536.05</v>
      </c>
      <c r="O182" s="17">
        <f>M182+N182</f>
        <v>595961.22</v>
      </c>
      <c r="P182" s="17">
        <v>2392.9499999999998</v>
      </c>
      <c r="Q182" s="18">
        <v>2422</v>
      </c>
      <c r="R182" s="17">
        <f>P182+ROUND(Q182, 2)</f>
        <v>4814.95</v>
      </c>
      <c r="S182" s="17">
        <v>278850.46000000002</v>
      </c>
      <c r="T182" s="17">
        <v>282235.65999999997</v>
      </c>
      <c r="U182" s="17">
        <f>S182+T182</f>
        <v>561086.12</v>
      </c>
      <c r="V182" s="9">
        <f>ROUND(P182 / 1.2, 2)</f>
        <v>1994.13</v>
      </c>
      <c r="W182" s="9">
        <f>ROUND(Q182 / 1.2, 2)</f>
        <v>2018.33</v>
      </c>
      <c r="X182" s="9">
        <f>ROUND(R182 / 1.2, 2)</f>
        <v>4012.46</v>
      </c>
      <c r="Y182" s="9">
        <f t="shared" si="13"/>
        <v>232375.38</v>
      </c>
      <c r="Z182" s="9">
        <f>ROUND(T182 / 1.2, 2)</f>
        <v>235196.38</v>
      </c>
      <c r="AA182" s="9">
        <f>Y182+Z182</f>
        <v>467571.76</v>
      </c>
      <c r="AD182" s="4">
        <v>339118835</v>
      </c>
      <c r="AE182" s="4">
        <v>28951154</v>
      </c>
      <c r="AG182" s="4" t="s">
        <v>773</v>
      </c>
      <c r="AH182" s="4" t="s">
        <v>774</v>
      </c>
      <c r="AI182" s="4" t="s">
        <v>156</v>
      </c>
    </row>
    <row r="183" spans="1:35" ht="36" x14ac:dyDescent="0.3">
      <c r="A183" s="10" t="s">
        <v>775</v>
      </c>
      <c r="B183" s="10"/>
      <c r="C183" s="30" t="s">
        <v>776</v>
      </c>
      <c r="D183" s="15"/>
      <c r="E183" s="15" t="s">
        <v>620</v>
      </c>
      <c r="F183" s="25" t="s">
        <v>159</v>
      </c>
      <c r="G183" s="26">
        <v>1.2</v>
      </c>
      <c r="H183" s="32"/>
      <c r="I183" s="32">
        <v>699.18</v>
      </c>
      <c r="J183" s="27">
        <v>16.38</v>
      </c>
      <c r="M183" s="28">
        <f>ROUND(ROUND(J183, 2)*I183, 2)</f>
        <v>11452.57</v>
      </c>
      <c r="P183" s="27">
        <v>27</v>
      </c>
      <c r="S183" s="28">
        <f>ROUND(ROUND(P183, 2)*I183, 2)</f>
        <v>18877.86</v>
      </c>
      <c r="V183" s="9">
        <f>ROUND(ROUND(P183, 2)/1.2, 2)</f>
        <v>22.5</v>
      </c>
      <c r="Y183" s="9">
        <f t="shared" si="13"/>
        <v>15731.55</v>
      </c>
      <c r="AD183" s="4" t="s">
        <v>777</v>
      </c>
      <c r="AE183" s="4" t="s">
        <v>778</v>
      </c>
      <c r="AF183" s="4" t="s">
        <v>779</v>
      </c>
    </row>
    <row r="184" spans="1:35" ht="36" x14ac:dyDescent="0.3">
      <c r="A184" s="10" t="s">
        <v>780</v>
      </c>
      <c r="B184" s="10"/>
      <c r="C184" s="24" t="s">
        <v>480</v>
      </c>
      <c r="D184" s="15"/>
      <c r="E184" s="15"/>
      <c r="F184" s="25" t="s">
        <v>159</v>
      </c>
      <c r="G184" s="26">
        <v>0.15</v>
      </c>
      <c r="H184" s="26"/>
      <c r="I184" s="26">
        <v>17.48</v>
      </c>
      <c r="J184" s="27">
        <v>90.28</v>
      </c>
      <c r="M184" s="28">
        <f>ROUND(ROUND(J184, 2)*I184, 2)</f>
        <v>1578.09</v>
      </c>
      <c r="P184" s="27">
        <v>90.28</v>
      </c>
      <c r="S184" s="28">
        <f>ROUND(ROUND(P184, 2)*I184, 2)</f>
        <v>1578.09</v>
      </c>
      <c r="V184" s="9">
        <f>ROUND(ROUND(P184, 2)/1.2, 2)</f>
        <v>75.23</v>
      </c>
      <c r="Y184" s="9">
        <f t="shared" si="13"/>
        <v>1315.08</v>
      </c>
      <c r="AD184" s="4" t="s">
        <v>781</v>
      </c>
      <c r="AE184" s="4" t="s">
        <v>782</v>
      </c>
      <c r="AF184" s="4" t="s">
        <v>483</v>
      </c>
    </row>
    <row r="185" spans="1:35" ht="89.55" customHeight="1" x14ac:dyDescent="0.3">
      <c r="A185" s="10" t="s">
        <v>783</v>
      </c>
      <c r="B185" s="10"/>
      <c r="C185" s="24" t="s">
        <v>784</v>
      </c>
      <c r="D185" s="15"/>
      <c r="E185" s="15" t="s">
        <v>785</v>
      </c>
      <c r="F185" s="25" t="s">
        <v>75</v>
      </c>
      <c r="G185" s="26">
        <v>1.2</v>
      </c>
      <c r="H185" s="32"/>
      <c r="I185" s="32">
        <v>139.83600000000001</v>
      </c>
      <c r="J185" s="27">
        <v>1839.31</v>
      </c>
      <c r="M185" s="28">
        <f>ROUND(ROUND(J185, 2)*I185, 2)</f>
        <v>257201.75</v>
      </c>
      <c r="P185" s="27">
        <v>1839.31</v>
      </c>
      <c r="S185" s="28">
        <f>ROUND(ROUND(P185, 2)*I185, 2)</f>
        <v>257201.75</v>
      </c>
      <c r="V185" s="9">
        <f>ROUND(ROUND(P185, 2)/1.2, 2)</f>
        <v>1532.76</v>
      </c>
      <c r="Y185" s="9">
        <f t="shared" si="13"/>
        <v>214334.79</v>
      </c>
      <c r="AD185" s="4" t="s">
        <v>786</v>
      </c>
      <c r="AE185" s="4" t="s">
        <v>787</v>
      </c>
      <c r="AF185" s="4" t="s">
        <v>788</v>
      </c>
    </row>
    <row r="186" spans="1:35" ht="36" x14ac:dyDescent="0.3">
      <c r="A186" s="10" t="s">
        <v>789</v>
      </c>
      <c r="B186" s="10"/>
      <c r="C186" s="24" t="s">
        <v>510</v>
      </c>
      <c r="D186" s="15"/>
      <c r="E186" s="15"/>
      <c r="F186" s="25" t="s">
        <v>159</v>
      </c>
      <c r="G186" s="26">
        <v>0.25</v>
      </c>
      <c r="H186" s="32"/>
      <c r="I186" s="32">
        <v>29.132999999999999</v>
      </c>
      <c r="J186" s="27">
        <v>40.94</v>
      </c>
      <c r="M186" s="28">
        <f>ROUND(ROUND(J186, 2)*I186, 2)</f>
        <v>1192.71</v>
      </c>
      <c r="P186" s="27">
        <v>40.94</v>
      </c>
      <c r="S186" s="28">
        <f>ROUND(ROUND(P186, 2)*I186, 2)</f>
        <v>1192.71</v>
      </c>
      <c r="V186" s="9">
        <f>ROUND(ROUND(P186, 2)/1.2, 2)</f>
        <v>34.119999999999997</v>
      </c>
      <c r="Y186" s="9">
        <f t="shared" si="13"/>
        <v>993.93</v>
      </c>
      <c r="AD186" s="4" t="s">
        <v>790</v>
      </c>
      <c r="AE186" s="4" t="s">
        <v>791</v>
      </c>
      <c r="AF186" s="4" t="s">
        <v>513</v>
      </c>
    </row>
    <row r="187" spans="1:35" ht="54" x14ac:dyDescent="0.3">
      <c r="A187" s="79" t="s">
        <v>792</v>
      </c>
      <c r="B187" s="92" t="s">
        <v>770</v>
      </c>
      <c r="C187" s="93" t="s">
        <v>771</v>
      </c>
      <c r="D187" s="91">
        <v>0.7</v>
      </c>
      <c r="E187" s="94" t="s">
        <v>793</v>
      </c>
      <c r="F187" s="94" t="s">
        <v>75</v>
      </c>
      <c r="G187" s="95">
        <v>1</v>
      </c>
      <c r="H187" s="87">
        <v>1061696.48</v>
      </c>
      <c r="I187" s="95">
        <v>315</v>
      </c>
      <c r="J187" s="96">
        <v>2329.23</v>
      </c>
      <c r="K187" s="97">
        <v>2785</v>
      </c>
      <c r="L187" s="96">
        <f>J187+ROUND(K187, 2)</f>
        <v>5114.2299999999996</v>
      </c>
      <c r="M187" s="96">
        <v>733707.45</v>
      </c>
      <c r="N187" s="96">
        <v>877275</v>
      </c>
      <c r="O187" s="96">
        <f>M187+N187</f>
        <v>1610982.45</v>
      </c>
      <c r="P187" s="96">
        <v>2392.9499999999998</v>
      </c>
      <c r="Q187" s="97">
        <v>2422</v>
      </c>
      <c r="R187" s="96">
        <f>P187+ROUND(Q187, 2)</f>
        <v>4814.95</v>
      </c>
      <c r="S187" s="96">
        <v>753779.25</v>
      </c>
      <c r="T187" s="96">
        <v>762930</v>
      </c>
      <c r="U187" s="96">
        <f>S187+T187</f>
        <v>1516709.25</v>
      </c>
      <c r="V187" s="9">
        <f>ROUND(P187 / 1.2, 2)</f>
        <v>1994.13</v>
      </c>
      <c r="W187" s="9">
        <f>ROUND(Q187 / 1.2, 2)</f>
        <v>2018.33</v>
      </c>
      <c r="X187" s="9">
        <f>ROUND(R187 / 1.2, 2)</f>
        <v>4012.46</v>
      </c>
      <c r="Y187" s="9">
        <f t="shared" si="13"/>
        <v>628149.38</v>
      </c>
      <c r="Z187" s="9">
        <f>ROUND(T187 / 1.2, 2)</f>
        <v>635775</v>
      </c>
      <c r="AA187" s="9">
        <f>Y187+Z187</f>
        <v>1263924.3799999999</v>
      </c>
      <c r="AD187" s="4">
        <v>339118916</v>
      </c>
      <c r="AE187" s="4">
        <v>28975339</v>
      </c>
      <c r="AG187" s="4" t="s">
        <v>773</v>
      </c>
      <c r="AH187" s="4" t="s">
        <v>774</v>
      </c>
      <c r="AI187" s="4" t="s">
        <v>156</v>
      </c>
    </row>
    <row r="188" spans="1:35" ht="36" x14ac:dyDescent="0.3">
      <c r="A188" s="10" t="s">
        <v>794</v>
      </c>
      <c r="B188" s="10"/>
      <c r="C188" s="24" t="s">
        <v>510</v>
      </c>
      <c r="D188" s="15"/>
      <c r="E188" s="15"/>
      <c r="F188" s="25" t="s">
        <v>159</v>
      </c>
      <c r="G188" s="26">
        <v>0.25</v>
      </c>
      <c r="H188" s="32"/>
      <c r="I188" s="32">
        <v>78.75</v>
      </c>
      <c r="J188" s="27">
        <v>40.94</v>
      </c>
      <c r="M188" s="28">
        <f>ROUND(ROUND(J188, 2)*I188, 2)</f>
        <v>3224.03</v>
      </c>
      <c r="P188" s="27">
        <v>40.94</v>
      </c>
      <c r="S188" s="28">
        <f>ROUND(ROUND(P188, 2)*I188, 2)</f>
        <v>3224.03</v>
      </c>
      <c r="V188" s="9">
        <f>ROUND(ROUND(P188, 2)/1.2, 2)</f>
        <v>34.119999999999997</v>
      </c>
      <c r="Y188" s="9">
        <f t="shared" si="13"/>
        <v>2686.69</v>
      </c>
      <c r="AD188" s="4" t="s">
        <v>795</v>
      </c>
      <c r="AE188" s="4" t="s">
        <v>796</v>
      </c>
      <c r="AF188" s="4" t="s">
        <v>513</v>
      </c>
    </row>
    <row r="189" spans="1:35" ht="90" x14ac:dyDescent="0.3">
      <c r="A189" s="10" t="s">
        <v>797</v>
      </c>
      <c r="B189" s="10"/>
      <c r="C189" s="24" t="s">
        <v>784</v>
      </c>
      <c r="D189" s="15"/>
      <c r="E189" s="15" t="s">
        <v>798</v>
      </c>
      <c r="F189" s="25" t="s">
        <v>75</v>
      </c>
      <c r="G189" s="26">
        <v>1.2</v>
      </c>
      <c r="H189" s="32"/>
      <c r="I189" s="32">
        <v>378</v>
      </c>
      <c r="J189" s="27">
        <v>1839.31</v>
      </c>
      <c r="M189" s="28">
        <f>ROUND(ROUND(J189, 2)*I189, 2)</f>
        <v>695259.18</v>
      </c>
      <c r="P189" s="27">
        <v>1839.31</v>
      </c>
      <c r="S189" s="28">
        <f>ROUND(ROUND(P189, 2)*I189, 2)</f>
        <v>695259.18</v>
      </c>
      <c r="V189" s="9">
        <f>ROUND(ROUND(P189, 2)/1.2, 2)</f>
        <v>1532.76</v>
      </c>
      <c r="Y189" s="9">
        <f t="shared" si="13"/>
        <v>579382.65</v>
      </c>
      <c r="AD189" s="4" t="s">
        <v>799</v>
      </c>
      <c r="AE189" s="4" t="s">
        <v>800</v>
      </c>
      <c r="AF189" s="4" t="s">
        <v>788</v>
      </c>
    </row>
    <row r="190" spans="1:35" ht="36" x14ac:dyDescent="0.3">
      <c r="A190" s="10" t="s">
        <v>801</v>
      </c>
      <c r="B190" s="10"/>
      <c r="C190" s="24" t="s">
        <v>480</v>
      </c>
      <c r="D190" s="15"/>
      <c r="E190" s="15"/>
      <c r="F190" s="25" t="s">
        <v>159</v>
      </c>
      <c r="G190" s="26">
        <v>0.15</v>
      </c>
      <c r="H190" s="26"/>
      <c r="I190" s="26">
        <v>47.25</v>
      </c>
      <c r="J190" s="27">
        <v>90.28</v>
      </c>
      <c r="M190" s="28">
        <f>ROUND(ROUND(J190, 2)*I190, 2)</f>
        <v>4265.7299999999996</v>
      </c>
      <c r="P190" s="27">
        <v>90.28</v>
      </c>
      <c r="S190" s="28">
        <f>ROUND(ROUND(P190, 2)*I190, 2)</f>
        <v>4265.7299999999996</v>
      </c>
      <c r="V190" s="9">
        <f>ROUND(ROUND(P190, 2)/1.2, 2)</f>
        <v>75.23</v>
      </c>
      <c r="Y190" s="9">
        <f t="shared" si="13"/>
        <v>3554.78</v>
      </c>
      <c r="AD190" s="4" t="s">
        <v>802</v>
      </c>
      <c r="AE190" s="4" t="s">
        <v>803</v>
      </c>
      <c r="AF190" s="4" t="s">
        <v>483</v>
      </c>
    </row>
    <row r="191" spans="1:35" ht="36" x14ac:dyDescent="0.3">
      <c r="A191" s="10" t="s">
        <v>804</v>
      </c>
      <c r="B191" s="10"/>
      <c r="C191" s="30" t="s">
        <v>776</v>
      </c>
      <c r="D191" s="15"/>
      <c r="E191" s="15" t="s">
        <v>620</v>
      </c>
      <c r="F191" s="25" t="s">
        <v>159</v>
      </c>
      <c r="G191" s="26">
        <v>1.2</v>
      </c>
      <c r="H191" s="32"/>
      <c r="I191" s="32">
        <v>1890</v>
      </c>
      <c r="J191" s="27">
        <v>16.38</v>
      </c>
      <c r="M191" s="28">
        <f>ROUND(ROUND(J191, 2)*I191, 2)</f>
        <v>30958.2</v>
      </c>
      <c r="P191" s="27">
        <v>27</v>
      </c>
      <c r="S191" s="28">
        <f>ROUND(ROUND(P191, 2)*I191, 2)</f>
        <v>51030</v>
      </c>
      <c r="V191" s="9">
        <f>ROUND(ROUND(P191, 2)/1.2, 2)</f>
        <v>22.5</v>
      </c>
      <c r="Y191" s="9">
        <f t="shared" si="13"/>
        <v>42525</v>
      </c>
      <c r="AD191" s="4" t="s">
        <v>805</v>
      </c>
      <c r="AE191" s="4" t="s">
        <v>806</v>
      </c>
      <c r="AF191" s="4" t="s">
        <v>779</v>
      </c>
    </row>
    <row r="192" spans="1:35" ht="90" x14ac:dyDescent="0.3">
      <c r="A192" s="10" t="s">
        <v>807</v>
      </c>
      <c r="B192" s="10" t="s">
        <v>770</v>
      </c>
      <c r="C192" s="14" t="s">
        <v>771</v>
      </c>
      <c r="D192" s="15"/>
      <c r="E192" s="15" t="s">
        <v>808</v>
      </c>
      <c r="F192" s="15" t="s">
        <v>75</v>
      </c>
      <c r="G192" s="16">
        <v>1</v>
      </c>
      <c r="H192" s="16"/>
      <c r="I192" s="16">
        <v>1690.2</v>
      </c>
      <c r="J192" s="17">
        <v>2329.23</v>
      </c>
      <c r="K192" s="18">
        <v>2785</v>
      </c>
      <c r="L192" s="17">
        <f>J192+ROUND(K192, 2)</f>
        <v>5114.2299999999996</v>
      </c>
      <c r="M192" s="17">
        <v>3936864.55</v>
      </c>
      <c r="N192" s="17">
        <v>4707207</v>
      </c>
      <c r="O192" s="17">
        <f>M192+N192</f>
        <v>8644071.5500000007</v>
      </c>
      <c r="P192" s="17">
        <v>2392.9499999999998</v>
      </c>
      <c r="Q192" s="18">
        <v>2422</v>
      </c>
      <c r="R192" s="17">
        <f>P192+ROUND(Q192, 2)</f>
        <v>4814.95</v>
      </c>
      <c r="S192" s="17">
        <v>4044564.09</v>
      </c>
      <c r="T192" s="17">
        <v>4093664.4</v>
      </c>
      <c r="U192" s="17">
        <f>S192+T192</f>
        <v>8138228.4900000002</v>
      </c>
      <c r="V192" s="9">
        <f>ROUND(P192 / 1.2, 2)</f>
        <v>1994.13</v>
      </c>
      <c r="W192" s="9">
        <f>ROUND(Q192 / 1.2, 2)</f>
        <v>2018.33</v>
      </c>
      <c r="X192" s="9">
        <f>ROUND(R192 / 1.2, 2)</f>
        <v>4012.46</v>
      </c>
      <c r="Y192" s="9">
        <f t="shared" si="13"/>
        <v>3370470.08</v>
      </c>
      <c r="Z192" s="9">
        <f>ROUND(T192 / 1.2, 2)</f>
        <v>3411387</v>
      </c>
      <c r="AA192" s="9">
        <f>Y192+Z192</f>
        <v>6781857.0800000001</v>
      </c>
      <c r="AD192" s="4">
        <v>339118917</v>
      </c>
      <c r="AE192" s="4">
        <v>29092267</v>
      </c>
      <c r="AG192" s="4" t="s">
        <v>773</v>
      </c>
      <c r="AH192" s="4" t="s">
        <v>774</v>
      </c>
      <c r="AI192" s="4" t="s">
        <v>156</v>
      </c>
    </row>
    <row r="193" spans="1:35" ht="36" x14ac:dyDescent="0.3">
      <c r="A193" s="10" t="s">
        <v>809</v>
      </c>
      <c r="B193" s="10"/>
      <c r="C193" s="30" t="s">
        <v>776</v>
      </c>
      <c r="D193" s="15"/>
      <c r="E193" s="15" t="s">
        <v>757</v>
      </c>
      <c r="F193" s="25" t="s">
        <v>159</v>
      </c>
      <c r="G193" s="26">
        <v>1.2</v>
      </c>
      <c r="H193" s="32"/>
      <c r="I193" s="32">
        <v>10141.200000000001</v>
      </c>
      <c r="J193" s="27">
        <v>16.38</v>
      </c>
      <c r="M193" s="28">
        <f>ROUND(ROUND(J193, 2)*I193, 2)</f>
        <v>166112.85999999999</v>
      </c>
      <c r="P193" s="27">
        <v>27</v>
      </c>
      <c r="S193" s="28">
        <f>ROUND(ROUND(P193, 2)*I193, 2)</f>
        <v>273812.40000000002</v>
      </c>
      <c r="V193" s="9">
        <f>ROUND(ROUND(P193, 2)/1.2, 2)</f>
        <v>22.5</v>
      </c>
      <c r="Y193" s="9">
        <f t="shared" si="13"/>
        <v>228177</v>
      </c>
      <c r="AD193" s="4" t="s">
        <v>810</v>
      </c>
      <c r="AE193" s="4" t="s">
        <v>811</v>
      </c>
      <c r="AF193" s="4" t="s">
        <v>779</v>
      </c>
    </row>
    <row r="194" spans="1:35" ht="36" x14ac:dyDescent="0.3">
      <c r="A194" s="10" t="s">
        <v>812</v>
      </c>
      <c r="B194" s="10"/>
      <c r="C194" s="24" t="s">
        <v>480</v>
      </c>
      <c r="D194" s="15"/>
      <c r="E194" s="15"/>
      <c r="F194" s="25" t="s">
        <v>159</v>
      </c>
      <c r="G194" s="26">
        <v>0.15</v>
      </c>
      <c r="H194" s="26"/>
      <c r="I194" s="26">
        <v>253.53</v>
      </c>
      <c r="J194" s="27">
        <v>90.28</v>
      </c>
      <c r="M194" s="28">
        <f>ROUND(ROUND(J194, 2)*I194, 2)</f>
        <v>22888.69</v>
      </c>
      <c r="P194" s="27">
        <v>90.28</v>
      </c>
      <c r="S194" s="28">
        <f>ROUND(ROUND(P194, 2)*I194, 2)</f>
        <v>22888.69</v>
      </c>
      <c r="V194" s="9">
        <f>ROUND(ROUND(P194, 2)/1.2, 2)</f>
        <v>75.23</v>
      </c>
      <c r="Y194" s="9">
        <f t="shared" si="13"/>
        <v>19073.91</v>
      </c>
      <c r="AD194" s="4" t="s">
        <v>813</v>
      </c>
      <c r="AE194" s="4" t="s">
        <v>814</v>
      </c>
      <c r="AF194" s="4" t="s">
        <v>483</v>
      </c>
    </row>
    <row r="195" spans="1:35" ht="108" x14ac:dyDescent="0.3">
      <c r="A195" s="10" t="s">
        <v>815</v>
      </c>
      <c r="B195" s="10"/>
      <c r="C195" s="24" t="s">
        <v>784</v>
      </c>
      <c r="D195" s="15"/>
      <c r="E195" s="15" t="s">
        <v>816</v>
      </c>
      <c r="F195" s="25" t="s">
        <v>75</v>
      </c>
      <c r="G195" s="26">
        <v>1.2</v>
      </c>
      <c r="H195" s="32"/>
      <c r="I195" s="32">
        <v>2028.24</v>
      </c>
      <c r="J195" s="27">
        <v>1839.31</v>
      </c>
      <c r="M195" s="28">
        <f>ROUND(ROUND(J195, 2)*I195, 2)</f>
        <v>3730562.11</v>
      </c>
      <c r="P195" s="27">
        <v>1839.31</v>
      </c>
      <c r="S195" s="28">
        <f>ROUND(ROUND(P195, 2)*I195, 2)</f>
        <v>3730562.11</v>
      </c>
      <c r="V195" s="9">
        <f>ROUND(ROUND(P195, 2)/1.2, 2)</f>
        <v>1532.76</v>
      </c>
      <c r="Y195" s="9">
        <f t="shared" si="13"/>
        <v>3108801.76</v>
      </c>
      <c r="AD195" s="4" t="s">
        <v>817</v>
      </c>
      <c r="AE195" s="4" t="s">
        <v>818</v>
      </c>
      <c r="AF195" s="4" t="s">
        <v>788</v>
      </c>
    </row>
    <row r="196" spans="1:35" ht="36" x14ac:dyDescent="0.3">
      <c r="A196" s="10" t="s">
        <v>819</v>
      </c>
      <c r="B196" s="10"/>
      <c r="C196" s="24" t="s">
        <v>510</v>
      </c>
      <c r="D196" s="15"/>
      <c r="E196" s="15"/>
      <c r="F196" s="25" t="s">
        <v>159</v>
      </c>
      <c r="G196" s="26">
        <v>0.25</v>
      </c>
      <c r="H196" s="32"/>
      <c r="I196" s="32">
        <v>422.55</v>
      </c>
      <c r="J196" s="27">
        <v>40.94</v>
      </c>
      <c r="M196" s="28">
        <f>ROUND(ROUND(J196, 2)*I196, 2)</f>
        <v>17299.2</v>
      </c>
      <c r="P196" s="27">
        <v>40.94</v>
      </c>
      <c r="S196" s="28">
        <f>ROUND(ROUND(P196, 2)*I196, 2)</f>
        <v>17299.2</v>
      </c>
      <c r="V196" s="9">
        <f>ROUND(ROUND(P196, 2)/1.2, 2)</f>
        <v>34.119999999999997</v>
      </c>
      <c r="Y196" s="9">
        <f t="shared" si="13"/>
        <v>14416</v>
      </c>
      <c r="AD196" s="4" t="s">
        <v>820</v>
      </c>
      <c r="AE196" s="4" t="s">
        <v>821</v>
      </c>
      <c r="AF196" s="4" t="s">
        <v>513</v>
      </c>
    </row>
    <row r="197" spans="1:35" ht="16.95" customHeight="1" x14ac:dyDescent="0.3">
      <c r="A197" s="10" t="s">
        <v>822</v>
      </c>
      <c r="B197" s="10" t="s">
        <v>823</v>
      </c>
      <c r="C197" s="120" t="s">
        <v>824</v>
      </c>
      <c r="D197" s="121"/>
      <c r="E197" s="121"/>
      <c r="F197" s="121"/>
      <c r="G197" s="121"/>
      <c r="H197" s="121"/>
      <c r="I197" s="122"/>
      <c r="M197" s="6">
        <f>SUM(M198)</f>
        <v>442890</v>
      </c>
      <c r="N197" s="6">
        <f>SUM(N198)</f>
        <v>38974.32</v>
      </c>
      <c r="O197" s="6">
        <f>SUM(O198)</f>
        <v>481864.32</v>
      </c>
      <c r="S197" s="6">
        <f>SUM(S198)</f>
        <v>670004.92000000004</v>
      </c>
      <c r="T197" s="6">
        <f>SUM(T198)</f>
        <v>38974.32</v>
      </c>
      <c r="U197" s="6">
        <f>SUM(U198)</f>
        <v>708979.24</v>
      </c>
      <c r="Y197" s="9">
        <f>SUM(Y198)</f>
        <v>558337.43000000005</v>
      </c>
      <c r="Z197" s="9">
        <f>SUM(Z198)</f>
        <v>32478.6</v>
      </c>
      <c r="AA197" s="9">
        <f>SUM(AA198)</f>
        <v>590816.03</v>
      </c>
      <c r="AD197" s="4">
        <v>339118836</v>
      </c>
      <c r="AE197" s="4">
        <v>25887980</v>
      </c>
    </row>
    <row r="198" spans="1:35" ht="18" x14ac:dyDescent="0.3">
      <c r="A198" s="10" t="s">
        <v>825</v>
      </c>
      <c r="B198" s="10" t="s">
        <v>826</v>
      </c>
      <c r="C198" s="14" t="s">
        <v>827</v>
      </c>
      <c r="D198" s="15"/>
      <c r="E198" s="15" t="s">
        <v>828</v>
      </c>
      <c r="F198" s="15" t="s">
        <v>75</v>
      </c>
      <c r="G198" s="16">
        <v>1</v>
      </c>
      <c r="H198" s="16"/>
      <c r="I198" s="16">
        <v>46.62</v>
      </c>
      <c r="J198" s="17">
        <v>9500</v>
      </c>
      <c r="K198" s="18">
        <v>836</v>
      </c>
      <c r="L198" s="17">
        <f>J198+ROUND(K198, 2)</f>
        <v>10336</v>
      </c>
      <c r="M198" s="17">
        <v>442890</v>
      </c>
      <c r="N198" s="17">
        <v>38974.32</v>
      </c>
      <c r="O198" s="17">
        <f>M198+N198</f>
        <v>481864.32</v>
      </c>
      <c r="P198" s="17">
        <v>14371.62</v>
      </c>
      <c r="Q198" s="18">
        <v>836</v>
      </c>
      <c r="R198" s="17">
        <f>P198+ROUND(Q198, 2)</f>
        <v>15207.62</v>
      </c>
      <c r="S198" s="17">
        <v>670004.92000000004</v>
      </c>
      <c r="T198" s="17">
        <v>38974.32</v>
      </c>
      <c r="U198" s="17">
        <f>S198+T198</f>
        <v>708979.24</v>
      </c>
      <c r="V198" s="9">
        <f>ROUND(P198 / 1.2, 2)</f>
        <v>11976.35</v>
      </c>
      <c r="W198" s="9">
        <f>ROUND(Q198 / 1.2, 2)</f>
        <v>696.67</v>
      </c>
      <c r="X198" s="9">
        <f>ROUND(R198 / 1.2, 2)</f>
        <v>12673.02</v>
      </c>
      <c r="Y198" s="9">
        <f>ROUND(S198 / 1.2, 2)</f>
        <v>558337.43000000005</v>
      </c>
      <c r="Z198" s="9">
        <f>ROUND(T198 / 1.2, 2)</f>
        <v>32478.6</v>
      </c>
      <c r="AA198" s="9">
        <f>Y198+Z198</f>
        <v>590816.03</v>
      </c>
      <c r="AD198" s="4">
        <v>339118838</v>
      </c>
      <c r="AE198" s="4">
        <v>25887991</v>
      </c>
      <c r="AG198" s="4" t="s">
        <v>829</v>
      </c>
      <c r="AH198" s="4" t="s">
        <v>830</v>
      </c>
      <c r="AI198" s="4" t="s">
        <v>156</v>
      </c>
    </row>
    <row r="199" spans="1:35" ht="90" x14ac:dyDescent="0.3">
      <c r="A199" s="10" t="s">
        <v>831</v>
      </c>
      <c r="B199" s="10"/>
      <c r="C199" s="24" t="s">
        <v>832</v>
      </c>
      <c r="D199" s="15"/>
      <c r="E199" s="15" t="s">
        <v>833</v>
      </c>
      <c r="F199" s="25" t="s">
        <v>75</v>
      </c>
      <c r="G199" s="26">
        <v>1</v>
      </c>
      <c r="H199" s="26"/>
      <c r="I199" s="26">
        <v>46.62</v>
      </c>
      <c r="J199" s="27">
        <v>9500</v>
      </c>
      <c r="M199" s="28">
        <f>ROUND(ROUND(J199, 2)*I199, 2)</f>
        <v>442890</v>
      </c>
      <c r="P199" s="27">
        <v>14371.62</v>
      </c>
      <c r="S199" s="28">
        <f>ROUND(ROUND(P199, 2)*I199, 2)</f>
        <v>670004.92000000004</v>
      </c>
      <c r="V199" s="9">
        <f>ROUND(ROUND(P199, 2)/1.2, 2)</f>
        <v>11976.35</v>
      </c>
      <c r="Y199" s="9">
        <f>ROUND(S199 / 1.2, 2)</f>
        <v>558337.43000000005</v>
      </c>
      <c r="AD199" s="4" t="s">
        <v>834</v>
      </c>
      <c r="AE199" s="4" t="s">
        <v>835</v>
      </c>
      <c r="AF199" s="4" t="s">
        <v>836</v>
      </c>
    </row>
    <row r="200" spans="1:35" ht="16.95" customHeight="1" x14ac:dyDescent="0.3">
      <c r="A200" s="10" t="s">
        <v>837</v>
      </c>
      <c r="B200" s="10" t="s">
        <v>838</v>
      </c>
      <c r="C200" s="120" t="s">
        <v>839</v>
      </c>
      <c r="D200" s="121"/>
      <c r="E200" s="121"/>
      <c r="F200" s="121"/>
      <c r="G200" s="121"/>
      <c r="H200" s="121"/>
      <c r="I200" s="122"/>
      <c r="M200" s="6">
        <f>SUM(M201,M271,M319)</f>
        <v>6809346.2700000005</v>
      </c>
      <c r="N200" s="6">
        <f>SUM(N201,N271,N319)</f>
        <v>23717461.759999998</v>
      </c>
      <c r="O200" s="6">
        <f>SUM(O201,O271,O319)</f>
        <v>30526808.029999997</v>
      </c>
      <c r="S200" s="6">
        <f>SUM(S201,S271,S319)</f>
        <v>6163796.9400000004</v>
      </c>
      <c r="T200" s="6">
        <f>SUM(T201,T271,T319)</f>
        <v>23717461.759999998</v>
      </c>
      <c r="U200" s="6">
        <f>SUM(U201,U271,U319)</f>
        <v>29881258.699999999</v>
      </c>
      <c r="Y200" s="9">
        <f>SUM(Y201,Y271,Y319)</f>
        <v>5136497.49</v>
      </c>
      <c r="Z200" s="9">
        <f>SUM(Z201,Z271,Z319)</f>
        <v>19764551.48</v>
      </c>
      <c r="AA200" s="9">
        <f>SUM(AA201,AA271,AA319)</f>
        <v>24901048.969999999</v>
      </c>
      <c r="AD200" s="4">
        <v>339118839</v>
      </c>
      <c r="AE200" s="4">
        <v>25887934</v>
      </c>
    </row>
    <row r="201" spans="1:35" ht="16.95" customHeight="1" x14ac:dyDescent="0.3">
      <c r="A201" s="10" t="s">
        <v>840</v>
      </c>
      <c r="B201" s="10" t="s">
        <v>841</v>
      </c>
      <c r="C201" s="120" t="s">
        <v>842</v>
      </c>
      <c r="D201" s="121"/>
      <c r="E201" s="121"/>
      <c r="F201" s="121"/>
      <c r="G201" s="121"/>
      <c r="H201" s="121"/>
      <c r="I201" s="122"/>
      <c r="M201" s="6">
        <f>SUM(M202,M205,M209,M214,M218,M223,M226,M231,M234,M237,M240,M243,M248,M253,M258,M263,M267)</f>
        <v>2220059.3199999998</v>
      </c>
      <c r="N201" s="6">
        <f>SUM(N202,N205,N209,N214,N218,N223,N226,N231,N234,N237,N240,N243,N248,N253,N258,N263,N267)</f>
        <v>16088879.950000001</v>
      </c>
      <c r="O201" s="6">
        <f>SUM(O202,O205,O209,O214,O218,O223,O226,O231,O234,O237,O240,O243,O248,O253,O258,O263,O267)</f>
        <v>18308939.27</v>
      </c>
      <c r="S201" s="6">
        <f>SUM(S202,S205,S209,S214,S218,S223,S226,S231,S234,S237,S240,S243,S248,S253,S258,S263,S267)</f>
        <v>2679261.11</v>
      </c>
      <c r="T201" s="6">
        <f>SUM(T202,T205,T209,T214,T218,T223,T226,T231,T234,T237,T240,T243,T248,T253,T258,T263,T267)</f>
        <v>16088879.950000001</v>
      </c>
      <c r="U201" s="6">
        <f>SUM(U202,U205,U209,U214,U218,U223,U226,U231,U234,U237,U240,U243,U248,U253,U258,U263,U267)</f>
        <v>18768141.059999999</v>
      </c>
      <c r="Y201" s="9">
        <f>SUM(Y202,Y205,Y209,Y214,Y218,Y223,Y226,Y231,Y234,Y237,Y240,Y243,Y248,Y253,Y258,Y263,Y267)</f>
        <v>2232717.6100000003</v>
      </c>
      <c r="Z201" s="9">
        <f>SUM(Z202,Z205,Z209,Z214,Z218,Z223,Z226,Z231,Z234,Z237,Z240,Z243,Z248,Z253,Z258,Z263,Z267)</f>
        <v>13407399.970000001</v>
      </c>
      <c r="AA201" s="9">
        <f>SUM(AA202,AA205,AA209,AA214,AA218,AA223,AA226,AA231,AA234,AA237,AA240,AA243,AA248,AA253,AA258,AA263,AA267)</f>
        <v>15640117.579999998</v>
      </c>
      <c r="AD201" s="4">
        <v>339118840</v>
      </c>
      <c r="AE201" s="4">
        <v>25887951</v>
      </c>
    </row>
    <row r="202" spans="1:35" ht="54" x14ac:dyDescent="0.3">
      <c r="A202" s="10" t="s">
        <v>843</v>
      </c>
      <c r="B202" s="10" t="s">
        <v>844</v>
      </c>
      <c r="C202" s="14" t="s">
        <v>845</v>
      </c>
      <c r="D202" s="15"/>
      <c r="E202" s="15"/>
      <c r="F202" s="15" t="s">
        <v>120</v>
      </c>
      <c r="G202" s="16">
        <v>1</v>
      </c>
      <c r="H202" s="16"/>
      <c r="I202" s="16">
        <v>664.23</v>
      </c>
      <c r="J202" s="17">
        <v>11.47</v>
      </c>
      <c r="K202" s="18">
        <v>28</v>
      </c>
      <c r="L202" s="17">
        <f>J202+ROUND(K202, 2)</f>
        <v>39.47</v>
      </c>
      <c r="M202" s="17">
        <v>7618.72</v>
      </c>
      <c r="N202" s="17">
        <v>18598.439999999999</v>
      </c>
      <c r="O202" s="17">
        <f>M202+N202</f>
        <v>26217.16</v>
      </c>
      <c r="P202" s="17">
        <v>11.47</v>
      </c>
      <c r="Q202" s="18">
        <v>28</v>
      </c>
      <c r="R202" s="17">
        <f>P202+ROUND(Q202, 2)</f>
        <v>39.47</v>
      </c>
      <c r="S202" s="17">
        <v>7618.72</v>
      </c>
      <c r="T202" s="17">
        <v>18598.439999999999</v>
      </c>
      <c r="U202" s="17">
        <f>S202+T202</f>
        <v>26217.16</v>
      </c>
      <c r="V202" s="9">
        <f>ROUND(P202 / 1.2, 2)</f>
        <v>9.56</v>
      </c>
      <c r="W202" s="9">
        <f>ROUND(Q202 / 1.2, 2)</f>
        <v>23.33</v>
      </c>
      <c r="X202" s="9">
        <f>ROUND(R202 / 1.2, 2)</f>
        <v>32.89</v>
      </c>
      <c r="Y202" s="9">
        <f>ROUND(S202 / 1.2, 2)</f>
        <v>6348.93</v>
      </c>
      <c r="Z202" s="9">
        <f>ROUND(T202 / 1.2, 2)</f>
        <v>15498.7</v>
      </c>
      <c r="AA202" s="9">
        <f>Y202+Z202</f>
        <v>21847.63</v>
      </c>
      <c r="AD202" s="4">
        <v>339118842</v>
      </c>
      <c r="AE202" s="4">
        <v>25887946</v>
      </c>
      <c r="AG202" s="4" t="s">
        <v>846</v>
      </c>
      <c r="AH202" s="4" t="s">
        <v>847</v>
      </c>
      <c r="AI202" s="4" t="s">
        <v>156</v>
      </c>
    </row>
    <row r="203" spans="1:35" ht="36" x14ac:dyDescent="0.3">
      <c r="A203" s="10" t="s">
        <v>848</v>
      </c>
      <c r="B203" s="10"/>
      <c r="C203" s="30" t="s">
        <v>849</v>
      </c>
      <c r="D203" s="15"/>
      <c r="E203" s="15"/>
      <c r="F203" s="25" t="s">
        <v>159</v>
      </c>
      <c r="G203" s="26">
        <v>0.3</v>
      </c>
      <c r="H203" s="32"/>
      <c r="I203" s="32">
        <v>199.26900000000001</v>
      </c>
      <c r="J203" s="27">
        <v>12.58</v>
      </c>
      <c r="M203" s="28">
        <f>ROUND(ROUND(J203, 2)*I203, 2)</f>
        <v>2506.8000000000002</v>
      </c>
      <c r="P203" s="27">
        <v>12.58</v>
      </c>
      <c r="S203" s="28">
        <f>ROUND(ROUND(P203, 2)*I203, 2)</f>
        <v>2506.8000000000002</v>
      </c>
      <c r="V203" s="9">
        <f>ROUND(ROUND(P203, 2)/1.2, 2)</f>
        <v>10.48</v>
      </c>
      <c r="Y203" s="9">
        <f t="shared" ref="Y203:Y266" si="14">ROUND(S203 / 1.2, 2)</f>
        <v>2089</v>
      </c>
      <c r="AD203" s="4" t="s">
        <v>850</v>
      </c>
      <c r="AE203" s="4" t="s">
        <v>851</v>
      </c>
      <c r="AF203" s="4" t="s">
        <v>852</v>
      </c>
    </row>
    <row r="204" spans="1:35" ht="18" x14ac:dyDescent="0.3">
      <c r="A204" s="10" t="s">
        <v>853</v>
      </c>
      <c r="B204" s="10"/>
      <c r="C204" s="24" t="s">
        <v>854</v>
      </c>
      <c r="D204" s="15"/>
      <c r="E204" s="15"/>
      <c r="F204" s="25" t="s">
        <v>120</v>
      </c>
      <c r="G204" s="26">
        <v>1.1000000000000001</v>
      </c>
      <c r="H204" s="32"/>
      <c r="I204" s="32">
        <v>730.65300000000002</v>
      </c>
      <c r="J204" s="27">
        <v>7</v>
      </c>
      <c r="M204" s="28">
        <f>ROUND(ROUND(J204, 2)*I204, 2)</f>
        <v>5114.57</v>
      </c>
      <c r="P204" s="27">
        <v>7</v>
      </c>
      <c r="S204" s="28">
        <f>ROUND(ROUND(P204, 2)*I204, 2)</f>
        <v>5114.57</v>
      </c>
      <c r="V204" s="9">
        <f>ROUND(ROUND(P204, 2)/1.2, 2)</f>
        <v>5.83</v>
      </c>
      <c r="Y204" s="9">
        <f t="shared" si="14"/>
        <v>4262.1400000000003</v>
      </c>
      <c r="AD204" s="4" t="s">
        <v>855</v>
      </c>
      <c r="AE204" s="4" t="s">
        <v>856</v>
      </c>
      <c r="AF204" s="4" t="s">
        <v>857</v>
      </c>
    </row>
    <row r="205" spans="1:35" ht="36" x14ac:dyDescent="0.3">
      <c r="A205" s="10" t="s">
        <v>858</v>
      </c>
      <c r="B205" s="10" t="s">
        <v>859</v>
      </c>
      <c r="C205" s="14" t="s">
        <v>860</v>
      </c>
      <c r="D205" s="15"/>
      <c r="E205" s="15"/>
      <c r="F205" s="15" t="s">
        <v>75</v>
      </c>
      <c r="G205" s="16">
        <v>1</v>
      </c>
      <c r="H205" s="16"/>
      <c r="I205" s="16">
        <v>36.229999999999997</v>
      </c>
      <c r="J205" s="17">
        <v>534.04999999999995</v>
      </c>
      <c r="K205" s="18">
        <v>718</v>
      </c>
      <c r="L205" s="17">
        <f>J205+ROUND(K205, 2)</f>
        <v>1252.05</v>
      </c>
      <c r="M205" s="17">
        <v>19348.63</v>
      </c>
      <c r="N205" s="17">
        <v>26013.14</v>
      </c>
      <c r="O205" s="17">
        <f>M205+N205</f>
        <v>45361.770000000004</v>
      </c>
      <c r="P205" s="17">
        <v>563.33000000000004</v>
      </c>
      <c r="Q205" s="18">
        <v>718</v>
      </c>
      <c r="R205" s="17">
        <f>P205+ROUND(Q205, 2)</f>
        <v>1281.33</v>
      </c>
      <c r="S205" s="17">
        <v>20409.45</v>
      </c>
      <c r="T205" s="17">
        <v>26013.14</v>
      </c>
      <c r="U205" s="17">
        <f>S205+T205</f>
        <v>46422.59</v>
      </c>
      <c r="V205" s="9">
        <f>ROUND(P205 / 1.2, 2)</f>
        <v>469.44</v>
      </c>
      <c r="W205" s="9">
        <f>ROUND(Q205 / 1.2, 2)</f>
        <v>598.33000000000004</v>
      </c>
      <c r="X205" s="9">
        <f>ROUND(R205 / 1.2, 2)</f>
        <v>1067.78</v>
      </c>
      <c r="Y205" s="9">
        <f t="shared" si="14"/>
        <v>17007.88</v>
      </c>
      <c r="Z205" s="9">
        <f>ROUND(T205 / 1.2, 2)</f>
        <v>21677.62</v>
      </c>
      <c r="AA205" s="9">
        <f>Y205+Z205</f>
        <v>38685.5</v>
      </c>
      <c r="AD205" s="4">
        <v>339118844</v>
      </c>
      <c r="AE205" s="4">
        <v>25887959</v>
      </c>
      <c r="AG205" s="4" t="s">
        <v>861</v>
      </c>
      <c r="AH205" s="4" t="s">
        <v>862</v>
      </c>
      <c r="AI205" s="4" t="s">
        <v>156</v>
      </c>
    </row>
    <row r="206" spans="1:35" ht="54" x14ac:dyDescent="0.3">
      <c r="A206" s="10" t="s">
        <v>863</v>
      </c>
      <c r="B206" s="10"/>
      <c r="C206" s="24" t="s">
        <v>864</v>
      </c>
      <c r="D206" s="15"/>
      <c r="E206" s="15" t="s">
        <v>865</v>
      </c>
      <c r="F206" s="25" t="s">
        <v>159</v>
      </c>
      <c r="G206" s="26">
        <v>1.5</v>
      </c>
      <c r="H206" s="32"/>
      <c r="I206" s="32">
        <v>543.45000000000005</v>
      </c>
      <c r="J206" s="27">
        <v>32.9</v>
      </c>
      <c r="M206" s="28">
        <f>ROUND(ROUND(J206, 2)*I206, 2)</f>
        <v>17879.509999999998</v>
      </c>
      <c r="P206" s="27">
        <v>32.9</v>
      </c>
      <c r="S206" s="28">
        <f>ROUND(ROUND(P206, 2)*I206, 2)</f>
        <v>17879.509999999998</v>
      </c>
      <c r="V206" s="9">
        <f>ROUND(ROUND(P206, 2)/1.2, 2)</f>
        <v>27.42</v>
      </c>
      <c r="Y206" s="9">
        <f t="shared" si="14"/>
        <v>14899.59</v>
      </c>
      <c r="AD206" s="4" t="s">
        <v>866</v>
      </c>
      <c r="AE206" s="4" t="s">
        <v>867</v>
      </c>
      <c r="AF206" s="4" t="s">
        <v>868</v>
      </c>
    </row>
    <row r="207" spans="1:35" ht="36" x14ac:dyDescent="0.3">
      <c r="A207" s="10" t="s">
        <v>869</v>
      </c>
      <c r="B207" s="10"/>
      <c r="C207" s="24" t="s">
        <v>870</v>
      </c>
      <c r="D207" s="15"/>
      <c r="E207" s="15"/>
      <c r="F207" s="25" t="s">
        <v>75</v>
      </c>
      <c r="G207" s="26">
        <v>1.1000000000000001</v>
      </c>
      <c r="H207" s="26"/>
      <c r="I207" s="26">
        <v>39.853000000000002</v>
      </c>
      <c r="J207" s="27">
        <v>21.82</v>
      </c>
      <c r="M207" s="28">
        <f>ROUND(ROUND(J207, 2)*I207, 2)</f>
        <v>869.59</v>
      </c>
      <c r="P207" s="27">
        <v>48.44</v>
      </c>
      <c r="S207" s="28">
        <f>ROUND(ROUND(P207, 2)*I207, 2)</f>
        <v>1930.48</v>
      </c>
      <c r="V207" s="9">
        <f>ROUND(ROUND(P207, 2)/1.2, 2)</f>
        <v>40.369999999999997</v>
      </c>
      <c r="Y207" s="9">
        <f t="shared" si="14"/>
        <v>1608.73</v>
      </c>
      <c r="AD207" s="4" t="s">
        <v>871</v>
      </c>
      <c r="AE207" s="4" t="s">
        <v>872</v>
      </c>
      <c r="AF207" s="4" t="s">
        <v>873</v>
      </c>
    </row>
    <row r="208" spans="1:35" ht="18" x14ac:dyDescent="0.3">
      <c r="A208" s="10" t="s">
        <v>874</v>
      </c>
      <c r="B208" s="10"/>
      <c r="C208" s="24" t="s">
        <v>875</v>
      </c>
      <c r="D208" s="15"/>
      <c r="E208" s="15"/>
      <c r="F208" s="25" t="s">
        <v>120</v>
      </c>
      <c r="G208" s="26">
        <v>1.05</v>
      </c>
      <c r="H208" s="26"/>
      <c r="I208" s="26">
        <v>38.042000000000002</v>
      </c>
      <c r="J208" s="27">
        <v>15.76</v>
      </c>
      <c r="M208" s="28">
        <f>ROUND(ROUND(J208, 2)*I208, 2)</f>
        <v>599.54</v>
      </c>
      <c r="P208" s="27">
        <v>15.76</v>
      </c>
      <c r="S208" s="28">
        <f>ROUND(ROUND(P208, 2)*I208, 2)</f>
        <v>599.54</v>
      </c>
      <c r="V208" s="9">
        <f>ROUND(ROUND(P208, 2)/1.2, 2)</f>
        <v>13.13</v>
      </c>
      <c r="Y208" s="9">
        <f t="shared" si="14"/>
        <v>499.62</v>
      </c>
      <c r="AD208" s="4" t="s">
        <v>876</v>
      </c>
      <c r="AE208" s="4" t="s">
        <v>877</v>
      </c>
      <c r="AF208" s="4" t="s">
        <v>878</v>
      </c>
    </row>
    <row r="209" spans="1:35" ht="54" x14ac:dyDescent="0.3">
      <c r="A209" s="10" t="s">
        <v>879</v>
      </c>
      <c r="B209" s="10" t="s">
        <v>880</v>
      </c>
      <c r="C209" s="14" t="s">
        <v>881</v>
      </c>
      <c r="D209" s="15"/>
      <c r="E209" s="15" t="s">
        <v>882</v>
      </c>
      <c r="F209" s="15" t="s">
        <v>75</v>
      </c>
      <c r="G209" s="16">
        <v>1</v>
      </c>
      <c r="H209" s="16"/>
      <c r="I209" s="16">
        <v>36.229999999999997</v>
      </c>
      <c r="J209" s="17">
        <v>1766.66</v>
      </c>
      <c r="K209" s="18">
        <v>565</v>
      </c>
      <c r="L209" s="17">
        <f>J209+ROUND(K209, 2)</f>
        <v>2331.66</v>
      </c>
      <c r="M209" s="17">
        <v>64006.09</v>
      </c>
      <c r="N209" s="17">
        <v>20469.95</v>
      </c>
      <c r="O209" s="17">
        <f>M209+N209</f>
        <v>84476.04</v>
      </c>
      <c r="P209" s="17">
        <v>1766.66</v>
      </c>
      <c r="Q209" s="18">
        <v>565</v>
      </c>
      <c r="R209" s="17">
        <f>P209+ROUND(Q209, 2)</f>
        <v>2331.66</v>
      </c>
      <c r="S209" s="17">
        <v>64006.09</v>
      </c>
      <c r="T209" s="17">
        <v>20469.95</v>
      </c>
      <c r="U209" s="17">
        <f>S209+T209</f>
        <v>84476.04</v>
      </c>
      <c r="V209" s="9">
        <f>ROUND(P209 / 1.2, 2)</f>
        <v>1472.22</v>
      </c>
      <c r="W209" s="9">
        <f>ROUND(Q209 / 1.2, 2)</f>
        <v>470.83</v>
      </c>
      <c r="X209" s="9">
        <f>ROUND(R209 / 1.2, 2)</f>
        <v>1943.05</v>
      </c>
      <c r="Y209" s="9">
        <f t="shared" si="14"/>
        <v>53338.41</v>
      </c>
      <c r="Z209" s="9">
        <f>ROUND(T209 / 1.2, 2)</f>
        <v>17058.29</v>
      </c>
      <c r="AA209" s="9">
        <f>Y209+Z209</f>
        <v>70396.700000000012</v>
      </c>
      <c r="AD209" s="4">
        <v>339118846</v>
      </c>
      <c r="AE209" s="4">
        <v>25887984</v>
      </c>
      <c r="AG209" s="4" t="s">
        <v>883</v>
      </c>
      <c r="AH209" s="4" t="s">
        <v>884</v>
      </c>
      <c r="AI209" s="4" t="s">
        <v>156</v>
      </c>
    </row>
    <row r="210" spans="1:35" ht="18" x14ac:dyDescent="0.3">
      <c r="A210" s="10" t="s">
        <v>885</v>
      </c>
      <c r="B210" s="10"/>
      <c r="C210" s="24" t="s">
        <v>886</v>
      </c>
      <c r="D210" s="15"/>
      <c r="E210" s="15"/>
      <c r="F210" s="25" t="s">
        <v>159</v>
      </c>
      <c r="G210" s="26">
        <v>0.15</v>
      </c>
      <c r="H210" s="26"/>
      <c r="I210" s="26">
        <v>5.4349999999999996</v>
      </c>
      <c r="J210" s="27">
        <v>75.599999999999994</v>
      </c>
      <c r="M210" s="28">
        <f>ROUND(ROUND(J210, 2)*I210, 2)</f>
        <v>410.89</v>
      </c>
      <c r="P210" s="27">
        <v>75.599999999999994</v>
      </c>
      <c r="S210" s="28">
        <f>ROUND(ROUND(P210, 2)*I210, 2)</f>
        <v>410.89</v>
      </c>
      <c r="V210" s="9">
        <f>ROUND(ROUND(P210, 2)/1.2, 2)</f>
        <v>63</v>
      </c>
      <c r="Y210" s="9">
        <f t="shared" si="14"/>
        <v>342.41</v>
      </c>
      <c r="AD210" s="4" t="s">
        <v>887</v>
      </c>
      <c r="AE210" s="4" t="s">
        <v>888</v>
      </c>
      <c r="AF210" s="4" t="s">
        <v>889</v>
      </c>
    </row>
    <row r="211" spans="1:35" ht="36" x14ac:dyDescent="0.3">
      <c r="A211" s="10" t="s">
        <v>890</v>
      </c>
      <c r="B211" s="10"/>
      <c r="C211" s="24" t="s">
        <v>864</v>
      </c>
      <c r="D211" s="15"/>
      <c r="E211" s="15" t="s">
        <v>891</v>
      </c>
      <c r="F211" s="25" t="s">
        <v>159</v>
      </c>
      <c r="G211" s="26">
        <v>7</v>
      </c>
      <c r="H211" s="32"/>
      <c r="I211" s="32">
        <v>253.61</v>
      </c>
      <c r="J211" s="27">
        <v>32.9</v>
      </c>
      <c r="M211" s="28">
        <f>ROUND(ROUND(J211, 2)*I211, 2)</f>
        <v>8343.77</v>
      </c>
      <c r="P211" s="27">
        <v>32.9</v>
      </c>
      <c r="S211" s="28">
        <f>ROUND(ROUND(P211, 2)*I211, 2)</f>
        <v>8343.77</v>
      </c>
      <c r="V211" s="9">
        <f>ROUND(ROUND(P211, 2)/1.2, 2)</f>
        <v>27.42</v>
      </c>
      <c r="Y211" s="9">
        <f t="shared" si="14"/>
        <v>6953.14</v>
      </c>
      <c r="AD211" s="4" t="s">
        <v>892</v>
      </c>
      <c r="AE211" s="4" t="s">
        <v>893</v>
      </c>
      <c r="AF211" s="4" t="s">
        <v>868</v>
      </c>
    </row>
    <row r="212" spans="1:35" ht="36" x14ac:dyDescent="0.3">
      <c r="A212" s="10" t="s">
        <v>894</v>
      </c>
      <c r="B212" s="10"/>
      <c r="C212" s="30" t="s">
        <v>895</v>
      </c>
      <c r="D212" s="15"/>
      <c r="E212" s="15" t="s">
        <v>896</v>
      </c>
      <c r="F212" s="25" t="s">
        <v>424</v>
      </c>
      <c r="G212" s="26">
        <v>1.03</v>
      </c>
      <c r="H212" s="32"/>
      <c r="I212" s="32">
        <v>5.593</v>
      </c>
      <c r="J212" s="27">
        <v>9447.9</v>
      </c>
      <c r="M212" s="28">
        <f>ROUND(ROUND(J212, 2)*I212, 2)</f>
        <v>52842.1</v>
      </c>
      <c r="P212" s="27">
        <v>9447.9</v>
      </c>
      <c r="S212" s="28">
        <f>ROUND(ROUND(P212, 2)*I212, 2)</f>
        <v>52842.1</v>
      </c>
      <c r="V212" s="9">
        <f>ROUND(ROUND(P212, 2)/1.2, 2)</f>
        <v>7873.25</v>
      </c>
      <c r="Y212" s="9">
        <f t="shared" si="14"/>
        <v>44035.08</v>
      </c>
      <c r="AD212" s="4" t="s">
        <v>897</v>
      </c>
      <c r="AE212" s="4" t="s">
        <v>898</v>
      </c>
      <c r="AF212" s="4" t="s">
        <v>899</v>
      </c>
    </row>
    <row r="213" spans="1:35" ht="36" x14ac:dyDescent="0.3">
      <c r="A213" s="10" t="s">
        <v>900</v>
      </c>
      <c r="B213" s="10"/>
      <c r="C213" s="24" t="s">
        <v>901</v>
      </c>
      <c r="D213" s="15"/>
      <c r="E213" s="15"/>
      <c r="F213" s="25" t="s">
        <v>240</v>
      </c>
      <c r="G213" s="26">
        <v>7</v>
      </c>
      <c r="H213" s="26"/>
      <c r="I213" s="26">
        <v>253.61</v>
      </c>
      <c r="J213" s="27">
        <v>9.5</v>
      </c>
      <c r="M213" s="28">
        <f>ROUND(ROUND(J213, 2)*I213, 2)</f>
        <v>2409.3000000000002</v>
      </c>
      <c r="P213" s="27">
        <v>9.5</v>
      </c>
      <c r="S213" s="28">
        <f>ROUND(ROUND(P213, 2)*I213, 2)</f>
        <v>2409.3000000000002</v>
      </c>
      <c r="V213" s="9">
        <f>ROUND(ROUND(P213, 2)/1.2, 2)</f>
        <v>7.92</v>
      </c>
      <c r="Y213" s="9">
        <f t="shared" si="14"/>
        <v>2007.75</v>
      </c>
      <c r="AD213" s="4" t="s">
        <v>902</v>
      </c>
      <c r="AE213" s="4" t="s">
        <v>903</v>
      </c>
      <c r="AF213" s="4" t="s">
        <v>904</v>
      </c>
    </row>
    <row r="214" spans="1:35" ht="36" x14ac:dyDescent="0.3">
      <c r="A214" s="10" t="s">
        <v>905</v>
      </c>
      <c r="B214" s="10" t="s">
        <v>906</v>
      </c>
      <c r="C214" s="14" t="s">
        <v>907</v>
      </c>
      <c r="D214" s="15"/>
      <c r="E214" s="15" t="s">
        <v>908</v>
      </c>
      <c r="F214" s="15" t="s">
        <v>75</v>
      </c>
      <c r="G214" s="16">
        <v>1</v>
      </c>
      <c r="H214" s="16"/>
      <c r="I214" s="16">
        <v>470.56</v>
      </c>
      <c r="J214" s="17">
        <v>54.12</v>
      </c>
      <c r="K214" s="18">
        <v>581</v>
      </c>
      <c r="L214" s="17">
        <f>J214+ROUND(K214, 2)</f>
        <v>635.12</v>
      </c>
      <c r="M214" s="17">
        <v>25466.71</v>
      </c>
      <c r="N214" s="17">
        <v>273395.36</v>
      </c>
      <c r="O214" s="17">
        <f>M214+N214</f>
        <v>298862.07</v>
      </c>
      <c r="P214" s="17">
        <v>54.12</v>
      </c>
      <c r="Q214" s="18">
        <v>581</v>
      </c>
      <c r="R214" s="17">
        <f>P214+ROUND(Q214, 2)</f>
        <v>635.12</v>
      </c>
      <c r="S214" s="17">
        <v>25466.71</v>
      </c>
      <c r="T214" s="17">
        <v>273395.36</v>
      </c>
      <c r="U214" s="17">
        <f>S214+T214</f>
        <v>298862.07</v>
      </c>
      <c r="V214" s="9">
        <f>ROUND(P214 / 1.2, 2)</f>
        <v>45.1</v>
      </c>
      <c r="W214" s="9">
        <f>ROUND(Q214 / 1.2, 2)</f>
        <v>484.17</v>
      </c>
      <c r="X214" s="9">
        <f>ROUND(R214 / 1.2, 2)</f>
        <v>529.27</v>
      </c>
      <c r="Y214" s="9">
        <f t="shared" si="14"/>
        <v>21222.26</v>
      </c>
      <c r="Z214" s="9">
        <f>ROUND(T214 / 1.2, 2)</f>
        <v>227829.47</v>
      </c>
      <c r="AA214" s="9">
        <f>Y214+Z214</f>
        <v>249051.73</v>
      </c>
      <c r="AD214" s="4">
        <v>339118848</v>
      </c>
      <c r="AE214" s="4">
        <v>25888015</v>
      </c>
      <c r="AG214" s="4" t="s">
        <v>909</v>
      </c>
      <c r="AH214" s="4" t="s">
        <v>910</v>
      </c>
      <c r="AI214" s="4" t="s">
        <v>156</v>
      </c>
    </row>
    <row r="215" spans="1:35" ht="36" x14ac:dyDescent="0.3">
      <c r="A215" s="10" t="s">
        <v>911</v>
      </c>
      <c r="B215" s="10"/>
      <c r="C215" s="30" t="s">
        <v>849</v>
      </c>
      <c r="D215" s="15"/>
      <c r="E215" s="15"/>
      <c r="F215" s="25" t="s">
        <v>159</v>
      </c>
      <c r="G215" s="26">
        <v>1.5</v>
      </c>
      <c r="H215" s="26"/>
      <c r="I215" s="26">
        <v>705.84</v>
      </c>
      <c r="J215" s="27">
        <v>12.58</v>
      </c>
      <c r="M215" s="28">
        <f>ROUND(ROUND(J215, 2)*I215, 2)</f>
        <v>8879.4699999999993</v>
      </c>
      <c r="P215" s="27">
        <v>12.58</v>
      </c>
      <c r="S215" s="28">
        <f>ROUND(ROUND(P215, 2)*I215, 2)</f>
        <v>8879.4699999999993</v>
      </c>
      <c r="V215" s="9">
        <f>ROUND(ROUND(P215, 2)/1.2, 2)</f>
        <v>10.48</v>
      </c>
      <c r="Y215" s="9">
        <f t="shared" si="14"/>
        <v>7399.56</v>
      </c>
      <c r="AD215" s="4" t="s">
        <v>912</v>
      </c>
      <c r="AE215" s="4" t="s">
        <v>913</v>
      </c>
      <c r="AF215" s="4" t="s">
        <v>852</v>
      </c>
    </row>
    <row r="216" spans="1:35" ht="36" x14ac:dyDescent="0.3">
      <c r="A216" s="10" t="s">
        <v>914</v>
      </c>
      <c r="B216" s="10"/>
      <c r="C216" s="24" t="s">
        <v>915</v>
      </c>
      <c r="D216" s="15"/>
      <c r="E216" s="15"/>
      <c r="F216" s="25" t="s">
        <v>240</v>
      </c>
      <c r="G216" s="26">
        <v>0.3</v>
      </c>
      <c r="H216" s="26"/>
      <c r="I216" s="26">
        <v>141.16800000000001</v>
      </c>
      <c r="J216" s="27">
        <v>73.099999999999994</v>
      </c>
      <c r="M216" s="28">
        <f>ROUND(ROUND(J216, 2)*I216, 2)</f>
        <v>10319.379999999999</v>
      </c>
      <c r="P216" s="27">
        <v>73.099999999999994</v>
      </c>
      <c r="S216" s="28">
        <f>ROUND(ROUND(P216, 2)*I216, 2)</f>
        <v>10319.379999999999</v>
      </c>
      <c r="V216" s="9">
        <f>ROUND(ROUND(P216, 2)/1.2, 2)</f>
        <v>60.92</v>
      </c>
      <c r="Y216" s="9">
        <f t="shared" si="14"/>
        <v>8599.48</v>
      </c>
      <c r="AD216" s="4" t="s">
        <v>916</v>
      </c>
      <c r="AE216" s="4" t="s">
        <v>917</v>
      </c>
      <c r="AF216" s="4" t="s">
        <v>918</v>
      </c>
    </row>
    <row r="217" spans="1:35" ht="36" x14ac:dyDescent="0.3">
      <c r="A217" s="10" t="s">
        <v>919</v>
      </c>
      <c r="B217" s="10"/>
      <c r="C217" s="24" t="s">
        <v>480</v>
      </c>
      <c r="D217" s="15"/>
      <c r="E217" s="15"/>
      <c r="F217" s="25" t="s">
        <v>159</v>
      </c>
      <c r="G217" s="26">
        <v>0.15</v>
      </c>
      <c r="H217" s="26"/>
      <c r="I217" s="26">
        <v>70.584000000000003</v>
      </c>
      <c r="J217" s="27">
        <v>88.8</v>
      </c>
      <c r="M217" s="28">
        <f>ROUND(ROUND(J217, 2)*I217, 2)</f>
        <v>6267.86</v>
      </c>
      <c r="P217" s="27">
        <v>88.8</v>
      </c>
      <c r="S217" s="28">
        <f>ROUND(ROUND(P217, 2)*I217, 2)</f>
        <v>6267.86</v>
      </c>
      <c r="V217" s="9">
        <f>ROUND(ROUND(P217, 2)/1.2, 2)</f>
        <v>74</v>
      </c>
      <c r="Y217" s="9">
        <f t="shared" si="14"/>
        <v>5223.22</v>
      </c>
      <c r="AD217" s="4" t="s">
        <v>920</v>
      </c>
      <c r="AE217" s="4" t="s">
        <v>921</v>
      </c>
      <c r="AF217" s="4" t="s">
        <v>483</v>
      </c>
    </row>
    <row r="218" spans="1:35" ht="90" x14ac:dyDescent="0.3">
      <c r="A218" s="10" t="s">
        <v>922</v>
      </c>
      <c r="B218" s="10" t="s">
        <v>923</v>
      </c>
      <c r="C218" s="14" t="s">
        <v>924</v>
      </c>
      <c r="D218" s="15"/>
      <c r="E218" s="15" t="s">
        <v>925</v>
      </c>
      <c r="F218" s="15" t="s">
        <v>75</v>
      </c>
      <c r="G218" s="16">
        <v>1</v>
      </c>
      <c r="H218" s="16"/>
      <c r="I218" s="16">
        <v>3186.15</v>
      </c>
      <c r="J218" s="17">
        <v>65.02</v>
      </c>
      <c r="K218" s="18">
        <v>508</v>
      </c>
      <c r="L218" s="17">
        <f>J218+ROUND(K218, 2)</f>
        <v>573.02</v>
      </c>
      <c r="M218" s="17">
        <v>207163.47</v>
      </c>
      <c r="N218" s="17">
        <v>1618564.2</v>
      </c>
      <c r="O218" s="17">
        <f>M218+N218</f>
        <v>1825727.67</v>
      </c>
      <c r="P218" s="17">
        <v>65.02</v>
      </c>
      <c r="Q218" s="18">
        <v>508</v>
      </c>
      <c r="R218" s="17">
        <f>P218+ROUND(Q218, 2)</f>
        <v>573.02</v>
      </c>
      <c r="S218" s="17">
        <v>207163.47</v>
      </c>
      <c r="T218" s="17">
        <v>1618564.2</v>
      </c>
      <c r="U218" s="17">
        <f>S218+T218</f>
        <v>1825727.67</v>
      </c>
      <c r="V218" s="9">
        <f>ROUND(P218 / 1.2, 2)</f>
        <v>54.18</v>
      </c>
      <c r="W218" s="9">
        <f>ROUND(Q218 / 1.2, 2)</f>
        <v>423.33</v>
      </c>
      <c r="X218" s="9">
        <f>ROUND(R218 / 1.2, 2)</f>
        <v>477.52</v>
      </c>
      <c r="Y218" s="9">
        <f t="shared" si="14"/>
        <v>172636.23</v>
      </c>
      <c r="Z218" s="9">
        <f>ROUND(T218 / 1.2, 2)</f>
        <v>1348803.5</v>
      </c>
      <c r="AA218" s="9">
        <f>Y218+Z218</f>
        <v>1521439.73</v>
      </c>
      <c r="AD218" s="4">
        <v>339118849</v>
      </c>
      <c r="AE218" s="4">
        <v>28951422</v>
      </c>
      <c r="AG218" s="4" t="s">
        <v>926</v>
      </c>
      <c r="AH218" s="4" t="s">
        <v>927</v>
      </c>
      <c r="AI218" s="4" t="s">
        <v>156</v>
      </c>
    </row>
    <row r="219" spans="1:35" ht="36" x14ac:dyDescent="0.3">
      <c r="A219" s="10" t="s">
        <v>928</v>
      </c>
      <c r="B219" s="10"/>
      <c r="C219" s="30" t="s">
        <v>849</v>
      </c>
      <c r="D219" s="15"/>
      <c r="E219" s="15"/>
      <c r="F219" s="25" t="s">
        <v>159</v>
      </c>
      <c r="G219" s="26">
        <v>1.8</v>
      </c>
      <c r="H219" s="26"/>
      <c r="I219" s="26">
        <v>5735.07</v>
      </c>
      <c r="J219" s="27">
        <v>12.26</v>
      </c>
      <c r="M219" s="28">
        <f>ROUND(ROUND(J219, 2)*I219, 2)</f>
        <v>70311.960000000006</v>
      </c>
      <c r="P219" s="27">
        <v>12.26</v>
      </c>
      <c r="S219" s="28">
        <f>ROUND(ROUND(P219, 2)*I219, 2)</f>
        <v>70311.960000000006</v>
      </c>
      <c r="V219" s="9">
        <f>ROUND(ROUND(P219, 2)/1.2, 2)</f>
        <v>10.220000000000001</v>
      </c>
      <c r="Y219" s="9">
        <f t="shared" si="14"/>
        <v>58593.3</v>
      </c>
      <c r="AD219" s="4" t="s">
        <v>929</v>
      </c>
      <c r="AE219" s="4" t="s">
        <v>930</v>
      </c>
      <c r="AF219" s="4" t="s">
        <v>931</v>
      </c>
    </row>
    <row r="220" spans="1:35" ht="18" x14ac:dyDescent="0.3">
      <c r="A220" s="10" t="s">
        <v>932</v>
      </c>
      <c r="B220" s="10"/>
      <c r="C220" s="24" t="s">
        <v>933</v>
      </c>
      <c r="D220" s="15"/>
      <c r="E220" s="15"/>
      <c r="F220" s="25" t="s">
        <v>240</v>
      </c>
      <c r="G220" s="26">
        <v>0.3</v>
      </c>
      <c r="H220" s="26"/>
      <c r="I220" s="26">
        <v>955.84500000000003</v>
      </c>
      <c r="J220" s="27">
        <v>74.319999999999993</v>
      </c>
      <c r="M220" s="28">
        <f>ROUND(ROUND(J220, 2)*I220, 2)</f>
        <v>71038.399999999994</v>
      </c>
      <c r="P220" s="27">
        <v>74.319999999999993</v>
      </c>
      <c r="S220" s="28">
        <f>ROUND(ROUND(P220, 2)*I220, 2)</f>
        <v>71038.399999999994</v>
      </c>
      <c r="V220" s="9">
        <f>ROUND(ROUND(P220, 2)/1.2, 2)</f>
        <v>61.93</v>
      </c>
      <c r="Y220" s="9">
        <f t="shared" si="14"/>
        <v>59198.67</v>
      </c>
      <c r="AD220" s="4" t="s">
        <v>934</v>
      </c>
      <c r="AE220" s="4" t="s">
        <v>935</v>
      </c>
      <c r="AF220" s="4" t="s">
        <v>936</v>
      </c>
    </row>
    <row r="221" spans="1:35" ht="18" x14ac:dyDescent="0.3">
      <c r="A221" s="10" t="s">
        <v>937</v>
      </c>
      <c r="B221" s="10"/>
      <c r="C221" s="24" t="s">
        <v>854</v>
      </c>
      <c r="D221" s="15"/>
      <c r="E221" s="15"/>
      <c r="F221" s="25" t="s">
        <v>120</v>
      </c>
      <c r="G221" s="26">
        <v>1</v>
      </c>
      <c r="H221" s="32"/>
      <c r="I221" s="32">
        <v>3186.15</v>
      </c>
      <c r="J221" s="27">
        <v>7.11</v>
      </c>
      <c r="M221" s="28">
        <f>ROUND(ROUND(J221, 2)*I221, 2)</f>
        <v>22653.53</v>
      </c>
      <c r="P221" s="27">
        <v>7.11</v>
      </c>
      <c r="S221" s="28">
        <f>ROUND(ROUND(P221, 2)*I221, 2)</f>
        <v>22653.53</v>
      </c>
      <c r="V221" s="9">
        <f>ROUND(ROUND(P221, 2)/1.2, 2)</f>
        <v>5.93</v>
      </c>
      <c r="Y221" s="9">
        <f t="shared" si="14"/>
        <v>18877.939999999999</v>
      </c>
      <c r="AD221" s="4" t="s">
        <v>938</v>
      </c>
      <c r="AE221" s="4" t="s">
        <v>939</v>
      </c>
      <c r="AF221" s="4" t="s">
        <v>857</v>
      </c>
    </row>
    <row r="222" spans="1:35" ht="36" x14ac:dyDescent="0.3">
      <c r="A222" s="10" t="s">
        <v>940</v>
      </c>
      <c r="B222" s="10"/>
      <c r="C222" s="24" t="s">
        <v>480</v>
      </c>
      <c r="D222" s="15"/>
      <c r="E222" s="15"/>
      <c r="F222" s="25" t="s">
        <v>159</v>
      </c>
      <c r="G222" s="26">
        <v>0.15</v>
      </c>
      <c r="H222" s="26"/>
      <c r="I222" s="26">
        <v>477.923</v>
      </c>
      <c r="J222" s="27">
        <v>90.28</v>
      </c>
      <c r="M222" s="28">
        <f>ROUND(ROUND(J222, 2)*I222, 2)</f>
        <v>43146.89</v>
      </c>
      <c r="P222" s="27">
        <v>90.28</v>
      </c>
      <c r="S222" s="28">
        <f>ROUND(ROUND(P222, 2)*I222, 2)</f>
        <v>43146.89</v>
      </c>
      <c r="V222" s="9">
        <f>ROUND(ROUND(P222, 2)/1.2, 2)</f>
        <v>75.23</v>
      </c>
      <c r="Y222" s="9">
        <f t="shared" si="14"/>
        <v>35955.74</v>
      </c>
      <c r="AD222" s="4" t="s">
        <v>941</v>
      </c>
      <c r="AE222" s="4" t="s">
        <v>942</v>
      </c>
      <c r="AF222" s="4" t="s">
        <v>483</v>
      </c>
    </row>
    <row r="223" spans="1:35" ht="90" x14ac:dyDescent="0.3">
      <c r="A223" s="10" t="s">
        <v>943</v>
      </c>
      <c r="B223" s="10" t="s">
        <v>923</v>
      </c>
      <c r="C223" s="14" t="s">
        <v>924</v>
      </c>
      <c r="D223" s="15"/>
      <c r="E223" s="15" t="s">
        <v>944</v>
      </c>
      <c r="F223" s="15" t="s">
        <v>75</v>
      </c>
      <c r="G223" s="16">
        <v>1</v>
      </c>
      <c r="H223" s="16"/>
      <c r="I223" s="16">
        <v>3186.15</v>
      </c>
      <c r="J223" s="17">
        <v>35.61</v>
      </c>
      <c r="K223" s="18">
        <v>508</v>
      </c>
      <c r="L223" s="17">
        <f>J223+ROUND(K223, 2)</f>
        <v>543.61</v>
      </c>
      <c r="M223" s="17">
        <v>113458.8</v>
      </c>
      <c r="N223" s="17">
        <v>1618564.2</v>
      </c>
      <c r="O223" s="17">
        <f>M223+N223</f>
        <v>1732023</v>
      </c>
      <c r="P223" s="17">
        <v>48.39</v>
      </c>
      <c r="Q223" s="18">
        <v>508</v>
      </c>
      <c r="R223" s="17">
        <f>P223+ROUND(Q223, 2)</f>
        <v>556.39</v>
      </c>
      <c r="S223" s="17">
        <v>154177.79999999999</v>
      </c>
      <c r="T223" s="17">
        <v>1618564.2</v>
      </c>
      <c r="U223" s="17">
        <f>S223+T223</f>
        <v>1772742</v>
      </c>
      <c r="V223" s="9">
        <f>ROUND(P223 / 1.2, 2)</f>
        <v>40.33</v>
      </c>
      <c r="W223" s="9">
        <f>ROUND(Q223 / 1.2, 2)</f>
        <v>423.33</v>
      </c>
      <c r="X223" s="9">
        <f>ROUND(R223 / 1.2, 2)</f>
        <v>463.66</v>
      </c>
      <c r="Y223" s="9">
        <f t="shared" si="14"/>
        <v>128481.5</v>
      </c>
      <c r="Z223" s="9">
        <f>ROUND(T223 / 1.2, 2)</f>
        <v>1348803.5</v>
      </c>
      <c r="AA223" s="9">
        <f>Y223+Z223</f>
        <v>1477285</v>
      </c>
      <c r="AD223" s="4">
        <v>339118918</v>
      </c>
      <c r="AE223" s="4">
        <v>28951420</v>
      </c>
      <c r="AG223" s="4" t="s">
        <v>926</v>
      </c>
      <c r="AH223" s="4" t="s">
        <v>927</v>
      </c>
      <c r="AI223" s="4" t="s">
        <v>156</v>
      </c>
    </row>
    <row r="224" spans="1:35" ht="36" x14ac:dyDescent="0.3">
      <c r="A224" s="10" t="s">
        <v>945</v>
      </c>
      <c r="B224" s="10"/>
      <c r="C224" s="24" t="s">
        <v>480</v>
      </c>
      <c r="D224" s="15"/>
      <c r="E224" s="15"/>
      <c r="F224" s="25" t="s">
        <v>159</v>
      </c>
      <c r="G224" s="26">
        <v>0.15</v>
      </c>
      <c r="H224" s="26"/>
      <c r="I224" s="26">
        <v>477.923</v>
      </c>
      <c r="J224" s="27">
        <v>90.28</v>
      </c>
      <c r="M224" s="28">
        <f>ROUND(ROUND(J224, 2)*I224, 2)</f>
        <v>43146.89</v>
      </c>
      <c r="P224" s="27">
        <v>90.28</v>
      </c>
      <c r="S224" s="28">
        <f>ROUND(ROUND(P224, 2)*I224, 2)</f>
        <v>43146.89</v>
      </c>
      <c r="V224" s="9">
        <f>ROUND(ROUND(P224, 2)/1.2, 2)</f>
        <v>75.23</v>
      </c>
      <c r="Y224" s="9">
        <f t="shared" si="14"/>
        <v>35955.74</v>
      </c>
      <c r="AD224" s="4" t="s">
        <v>946</v>
      </c>
      <c r="AE224" s="4" t="s">
        <v>947</v>
      </c>
      <c r="AF224" s="4" t="s">
        <v>483</v>
      </c>
    </row>
    <row r="225" spans="1:35" ht="54" x14ac:dyDescent="0.3">
      <c r="A225" s="10" t="s">
        <v>948</v>
      </c>
      <c r="B225" s="10"/>
      <c r="C225" s="30" t="s">
        <v>849</v>
      </c>
      <c r="D225" s="15"/>
      <c r="E225" s="15" t="s">
        <v>949</v>
      </c>
      <c r="F225" s="25" t="s">
        <v>159</v>
      </c>
      <c r="G225" s="26">
        <v>1.8</v>
      </c>
      <c r="H225" s="26"/>
      <c r="I225" s="26">
        <v>5735.07</v>
      </c>
      <c r="J225" s="27">
        <v>12.26</v>
      </c>
      <c r="M225" s="28">
        <f>ROUND(ROUND(J225, 2)*I225, 2)</f>
        <v>70311.960000000006</v>
      </c>
      <c r="P225" s="27">
        <v>19.36</v>
      </c>
      <c r="S225" s="28">
        <f>ROUND(ROUND(P225, 2)*I225, 2)</f>
        <v>111030.96</v>
      </c>
      <c r="V225" s="9">
        <f>ROUND(ROUND(P225, 2)/1.2, 2)</f>
        <v>16.13</v>
      </c>
      <c r="Y225" s="9">
        <f t="shared" si="14"/>
        <v>92525.8</v>
      </c>
      <c r="AD225" s="4" t="s">
        <v>950</v>
      </c>
      <c r="AE225" s="4" t="s">
        <v>951</v>
      </c>
      <c r="AF225" s="4" t="s">
        <v>931</v>
      </c>
    </row>
    <row r="226" spans="1:35" ht="72" x14ac:dyDescent="0.3">
      <c r="A226" s="71" t="s">
        <v>952</v>
      </c>
      <c r="B226" s="82" t="s">
        <v>923</v>
      </c>
      <c r="C226" s="83" t="s">
        <v>924</v>
      </c>
      <c r="D226" s="91">
        <v>1</v>
      </c>
      <c r="E226" s="85" t="s">
        <v>953</v>
      </c>
      <c r="F226" s="85" t="s">
        <v>75</v>
      </c>
      <c r="G226" s="86">
        <v>1</v>
      </c>
      <c r="H226" s="87">
        <f>U226</f>
        <v>677951.41999999993</v>
      </c>
      <c r="I226" s="86">
        <v>1183.1199999999999</v>
      </c>
      <c r="J226" s="88">
        <v>65.02</v>
      </c>
      <c r="K226" s="89">
        <v>508</v>
      </c>
      <c r="L226" s="88">
        <f>J226+ROUND(K226, 2)</f>
        <v>573.02</v>
      </c>
      <c r="M226" s="88">
        <v>76926.460000000006</v>
      </c>
      <c r="N226" s="88">
        <v>601024.96</v>
      </c>
      <c r="O226" s="88">
        <f>M226+N226</f>
        <v>677951.41999999993</v>
      </c>
      <c r="P226" s="88">
        <v>65.02</v>
      </c>
      <c r="Q226" s="89">
        <v>508</v>
      </c>
      <c r="R226" s="88">
        <f>P226+ROUND(Q226, 2)</f>
        <v>573.02</v>
      </c>
      <c r="S226" s="88">
        <v>76926.460000000006</v>
      </c>
      <c r="T226" s="88">
        <v>601024.96</v>
      </c>
      <c r="U226" s="88">
        <f>S226+T226</f>
        <v>677951.41999999993</v>
      </c>
      <c r="V226" s="9">
        <f>ROUND(P226 / 1.2, 2)</f>
        <v>54.18</v>
      </c>
      <c r="W226" s="9">
        <f>ROUND(Q226 / 1.2, 2)</f>
        <v>423.33</v>
      </c>
      <c r="X226" s="9">
        <f>ROUND(R226 / 1.2, 2)</f>
        <v>477.52</v>
      </c>
      <c r="Y226" s="9">
        <f t="shared" si="14"/>
        <v>64105.38</v>
      </c>
      <c r="Z226" s="9">
        <f>ROUND(T226 / 1.2, 2)</f>
        <v>500854.13</v>
      </c>
      <c r="AA226" s="9">
        <f>Y226+Z226</f>
        <v>564959.51</v>
      </c>
      <c r="AD226" s="4">
        <v>339118919</v>
      </c>
      <c r="AE226" s="4">
        <v>28975341</v>
      </c>
      <c r="AG226" s="4" t="s">
        <v>926</v>
      </c>
      <c r="AH226" s="4" t="s">
        <v>927</v>
      </c>
      <c r="AI226" s="4" t="s">
        <v>156</v>
      </c>
    </row>
    <row r="227" spans="1:35" ht="36" x14ac:dyDescent="0.3">
      <c r="A227" s="10" t="s">
        <v>954</v>
      </c>
      <c r="B227" s="10"/>
      <c r="C227" s="30" t="s">
        <v>849</v>
      </c>
      <c r="D227" s="15"/>
      <c r="E227" s="15"/>
      <c r="F227" s="25" t="s">
        <v>159</v>
      </c>
      <c r="G227" s="26">
        <v>1.8</v>
      </c>
      <c r="H227" s="26"/>
      <c r="I227" s="26">
        <v>2129.616</v>
      </c>
      <c r="J227" s="27">
        <v>12.26</v>
      </c>
      <c r="M227" s="28">
        <f>ROUND(ROUND(J227, 2)*I227, 2)</f>
        <v>26109.09</v>
      </c>
      <c r="P227" s="27">
        <v>12.26</v>
      </c>
      <c r="S227" s="28">
        <f>ROUND(ROUND(P227, 2)*I227, 2)</f>
        <v>26109.09</v>
      </c>
      <c r="V227" s="9">
        <f>ROUND(ROUND(P227, 2)/1.2, 2)</f>
        <v>10.220000000000001</v>
      </c>
      <c r="Y227" s="9">
        <f t="shared" si="14"/>
        <v>21757.58</v>
      </c>
      <c r="AD227" s="4" t="s">
        <v>955</v>
      </c>
      <c r="AE227" s="4" t="s">
        <v>956</v>
      </c>
      <c r="AF227" s="4" t="s">
        <v>931</v>
      </c>
    </row>
    <row r="228" spans="1:35" ht="18" x14ac:dyDescent="0.3">
      <c r="A228" s="10" t="s">
        <v>957</v>
      </c>
      <c r="B228" s="10"/>
      <c r="C228" s="24" t="s">
        <v>933</v>
      </c>
      <c r="D228" s="15"/>
      <c r="E228" s="15"/>
      <c r="F228" s="25" t="s">
        <v>240</v>
      </c>
      <c r="G228" s="26">
        <v>0.3</v>
      </c>
      <c r="H228" s="26"/>
      <c r="I228" s="26">
        <v>354.93599999999998</v>
      </c>
      <c r="J228" s="27">
        <v>74.319999999999993</v>
      </c>
      <c r="M228" s="28">
        <f>ROUND(ROUND(J228, 2)*I228, 2)</f>
        <v>26378.84</v>
      </c>
      <c r="P228" s="27">
        <v>74.319999999999993</v>
      </c>
      <c r="S228" s="28">
        <f>ROUND(ROUND(P228, 2)*I228, 2)</f>
        <v>26378.84</v>
      </c>
      <c r="V228" s="9">
        <f>ROUND(ROUND(P228, 2)/1.2, 2)</f>
        <v>61.93</v>
      </c>
      <c r="Y228" s="9">
        <f t="shared" si="14"/>
        <v>21982.37</v>
      </c>
      <c r="AD228" s="4" t="s">
        <v>958</v>
      </c>
      <c r="AE228" s="4" t="s">
        <v>959</v>
      </c>
      <c r="AF228" s="4" t="s">
        <v>936</v>
      </c>
    </row>
    <row r="229" spans="1:35" ht="18" x14ac:dyDescent="0.3">
      <c r="A229" s="10" t="s">
        <v>960</v>
      </c>
      <c r="B229" s="10"/>
      <c r="C229" s="24" t="s">
        <v>854</v>
      </c>
      <c r="D229" s="15"/>
      <c r="E229" s="15"/>
      <c r="F229" s="25" t="s">
        <v>120</v>
      </c>
      <c r="G229" s="26">
        <v>1</v>
      </c>
      <c r="H229" s="32"/>
      <c r="I229" s="32">
        <v>1183.1199999999999</v>
      </c>
      <c r="J229" s="27">
        <v>7.11</v>
      </c>
      <c r="M229" s="28">
        <f>ROUND(ROUND(J229, 2)*I229, 2)</f>
        <v>8411.98</v>
      </c>
      <c r="P229" s="27">
        <v>7.11</v>
      </c>
      <c r="S229" s="28">
        <f>ROUND(ROUND(P229, 2)*I229, 2)</f>
        <v>8411.98</v>
      </c>
      <c r="V229" s="9">
        <f>ROUND(ROUND(P229, 2)/1.2, 2)</f>
        <v>5.93</v>
      </c>
      <c r="Y229" s="9">
        <f t="shared" si="14"/>
        <v>7009.98</v>
      </c>
      <c r="AD229" s="4" t="s">
        <v>961</v>
      </c>
      <c r="AE229" s="4" t="s">
        <v>962</v>
      </c>
      <c r="AF229" s="4" t="s">
        <v>857</v>
      </c>
    </row>
    <row r="230" spans="1:35" ht="36" x14ac:dyDescent="0.3">
      <c r="A230" s="10" t="s">
        <v>963</v>
      </c>
      <c r="B230" s="10"/>
      <c r="C230" s="24" t="s">
        <v>480</v>
      </c>
      <c r="D230" s="15"/>
      <c r="E230" s="15"/>
      <c r="F230" s="25" t="s">
        <v>159</v>
      </c>
      <c r="G230" s="26">
        <v>0.15</v>
      </c>
      <c r="H230" s="26"/>
      <c r="I230" s="26">
        <v>177.46799999999999</v>
      </c>
      <c r="J230" s="27">
        <v>90.28</v>
      </c>
      <c r="M230" s="28">
        <f>ROUND(ROUND(J230, 2)*I230, 2)</f>
        <v>16021.81</v>
      </c>
      <c r="P230" s="27">
        <v>90.28</v>
      </c>
      <c r="S230" s="28">
        <f>ROUND(ROUND(P230, 2)*I230, 2)</f>
        <v>16021.81</v>
      </c>
      <c r="V230" s="9">
        <f>ROUND(ROUND(P230, 2)/1.2, 2)</f>
        <v>75.23</v>
      </c>
      <c r="Y230" s="9">
        <f t="shared" si="14"/>
        <v>13351.51</v>
      </c>
      <c r="AD230" s="4" t="s">
        <v>964</v>
      </c>
      <c r="AE230" s="4" t="s">
        <v>965</v>
      </c>
      <c r="AF230" s="4" t="s">
        <v>483</v>
      </c>
    </row>
    <row r="231" spans="1:35" ht="90" x14ac:dyDescent="0.3">
      <c r="A231" s="10" t="s">
        <v>966</v>
      </c>
      <c r="B231" s="10" t="s">
        <v>923</v>
      </c>
      <c r="C231" s="14" t="s">
        <v>924</v>
      </c>
      <c r="D231" s="15"/>
      <c r="E231" s="15" t="s">
        <v>967</v>
      </c>
      <c r="F231" s="15" t="s">
        <v>75</v>
      </c>
      <c r="G231" s="16">
        <v>1</v>
      </c>
      <c r="H231" s="16"/>
      <c r="I231" s="16">
        <v>1183.1199999999999</v>
      </c>
      <c r="J231" s="17">
        <v>35.61</v>
      </c>
      <c r="K231" s="18">
        <v>508</v>
      </c>
      <c r="L231" s="17">
        <f>J231+ROUND(K231, 2)</f>
        <v>543.61</v>
      </c>
      <c r="M231" s="17">
        <v>42130.9</v>
      </c>
      <c r="N231" s="17">
        <v>601024.96</v>
      </c>
      <c r="O231" s="17">
        <f>M231+N231</f>
        <v>643155.86</v>
      </c>
      <c r="P231" s="17">
        <v>48.39</v>
      </c>
      <c r="Q231" s="18">
        <v>508</v>
      </c>
      <c r="R231" s="17">
        <f>P231+ROUND(Q231, 2)</f>
        <v>556.39</v>
      </c>
      <c r="S231" s="17">
        <v>57251.18</v>
      </c>
      <c r="T231" s="17">
        <v>601024.96</v>
      </c>
      <c r="U231" s="17">
        <f>S231+T231</f>
        <v>658276.14</v>
      </c>
      <c r="V231" s="9">
        <f>ROUND(P231 / 1.2, 2)</f>
        <v>40.33</v>
      </c>
      <c r="W231" s="9">
        <f>ROUND(Q231 / 1.2, 2)</f>
        <v>423.33</v>
      </c>
      <c r="X231" s="9">
        <f>ROUND(R231 / 1.2, 2)</f>
        <v>463.66</v>
      </c>
      <c r="Y231" s="9">
        <f t="shared" si="14"/>
        <v>47709.32</v>
      </c>
      <c r="Z231" s="9">
        <f>ROUND(T231 / 1.2, 2)</f>
        <v>500854.13</v>
      </c>
      <c r="AA231" s="9">
        <f>Y231+Z231</f>
        <v>548563.44999999995</v>
      </c>
      <c r="AD231" s="4">
        <v>339118920</v>
      </c>
      <c r="AE231" s="4">
        <v>28975342</v>
      </c>
      <c r="AG231" s="4" t="s">
        <v>926</v>
      </c>
      <c r="AH231" s="4" t="s">
        <v>927</v>
      </c>
      <c r="AI231" s="4" t="s">
        <v>156</v>
      </c>
    </row>
    <row r="232" spans="1:35" ht="36" x14ac:dyDescent="0.3">
      <c r="A232" s="10" t="s">
        <v>968</v>
      </c>
      <c r="B232" s="10"/>
      <c r="C232" s="24" t="s">
        <v>480</v>
      </c>
      <c r="D232" s="15"/>
      <c r="E232" s="15"/>
      <c r="F232" s="25" t="s">
        <v>159</v>
      </c>
      <c r="G232" s="26">
        <v>0.15</v>
      </c>
      <c r="H232" s="26"/>
      <c r="I232" s="26">
        <v>177.46799999999999</v>
      </c>
      <c r="J232" s="27">
        <v>90.28</v>
      </c>
      <c r="M232" s="28">
        <f>ROUND(ROUND(J232, 2)*I232, 2)</f>
        <v>16021.81</v>
      </c>
      <c r="P232" s="27">
        <v>90.28</v>
      </c>
      <c r="S232" s="28">
        <f>ROUND(ROUND(P232, 2)*I232, 2)</f>
        <v>16021.81</v>
      </c>
      <c r="V232" s="9">
        <f>ROUND(ROUND(P232, 2)/1.2, 2)</f>
        <v>75.23</v>
      </c>
      <c r="Y232" s="9">
        <f t="shared" si="14"/>
        <v>13351.51</v>
      </c>
      <c r="AD232" s="4" t="s">
        <v>969</v>
      </c>
      <c r="AE232" s="4" t="s">
        <v>970</v>
      </c>
      <c r="AF232" s="4" t="s">
        <v>483</v>
      </c>
    </row>
    <row r="233" spans="1:35" ht="54" x14ac:dyDescent="0.3">
      <c r="A233" s="10" t="s">
        <v>971</v>
      </c>
      <c r="B233" s="10"/>
      <c r="C233" s="30" t="s">
        <v>849</v>
      </c>
      <c r="D233" s="15"/>
      <c r="E233" s="15" t="s">
        <v>949</v>
      </c>
      <c r="F233" s="25" t="s">
        <v>159</v>
      </c>
      <c r="G233" s="26">
        <v>1.8</v>
      </c>
      <c r="H233" s="26"/>
      <c r="I233" s="26">
        <v>2129.616</v>
      </c>
      <c r="J233" s="27">
        <v>12.26</v>
      </c>
      <c r="M233" s="28">
        <f>ROUND(ROUND(J233, 2)*I233, 2)</f>
        <v>26109.09</v>
      </c>
      <c r="P233" s="27">
        <v>19.36</v>
      </c>
      <c r="S233" s="28">
        <f>ROUND(ROUND(P233, 2)*I233, 2)</f>
        <v>41229.370000000003</v>
      </c>
      <c r="V233" s="9">
        <f>ROUND(ROUND(P233, 2)/1.2, 2)</f>
        <v>16.13</v>
      </c>
      <c r="Y233" s="9">
        <f t="shared" si="14"/>
        <v>34357.81</v>
      </c>
      <c r="AD233" s="4" t="s">
        <v>972</v>
      </c>
      <c r="AE233" s="4" t="s">
        <v>973</v>
      </c>
      <c r="AF233" s="4" t="s">
        <v>931</v>
      </c>
    </row>
    <row r="234" spans="1:35" ht="103.5" customHeight="1" x14ac:dyDescent="0.3">
      <c r="A234" s="10" t="s">
        <v>974</v>
      </c>
      <c r="B234" s="10" t="s">
        <v>923</v>
      </c>
      <c r="C234" s="14" t="s">
        <v>924</v>
      </c>
      <c r="D234" s="15"/>
      <c r="E234" s="15" t="s">
        <v>975</v>
      </c>
      <c r="F234" s="15" t="s">
        <v>75</v>
      </c>
      <c r="G234" s="16">
        <v>1</v>
      </c>
      <c r="H234" s="16"/>
      <c r="I234" s="16">
        <v>10252.69</v>
      </c>
      <c r="J234" s="17">
        <v>35.61</v>
      </c>
      <c r="K234" s="18">
        <v>508</v>
      </c>
      <c r="L234" s="17">
        <f>J234+ROUND(K234, 2)</f>
        <v>543.61</v>
      </c>
      <c r="M234" s="17">
        <v>365098.29</v>
      </c>
      <c r="N234" s="17">
        <v>5208366.5199999996</v>
      </c>
      <c r="O234" s="17">
        <f>M234+N234</f>
        <v>5573464.8099999996</v>
      </c>
      <c r="P234" s="17">
        <v>48.39</v>
      </c>
      <c r="Q234" s="18">
        <v>508</v>
      </c>
      <c r="R234" s="17">
        <f>P234+ROUND(Q234, 2)</f>
        <v>556.39</v>
      </c>
      <c r="S234" s="17">
        <v>496127.67</v>
      </c>
      <c r="T234" s="17">
        <v>5208366.5199999996</v>
      </c>
      <c r="U234" s="17">
        <f>S234+T234</f>
        <v>5704494.1899999995</v>
      </c>
      <c r="V234" s="9">
        <f>ROUND(P234 / 1.2, 2)</f>
        <v>40.33</v>
      </c>
      <c r="W234" s="9">
        <f>ROUND(Q234 / 1.2, 2)</f>
        <v>423.33</v>
      </c>
      <c r="X234" s="9">
        <f>ROUND(R234 / 1.2, 2)</f>
        <v>463.66</v>
      </c>
      <c r="Y234" s="9">
        <f t="shared" si="14"/>
        <v>413439.73</v>
      </c>
      <c r="Z234" s="9">
        <f>ROUND(T234 / 1.2, 2)</f>
        <v>4340305.43</v>
      </c>
      <c r="AA234" s="9">
        <f>Y234+Z234</f>
        <v>4753745.16</v>
      </c>
      <c r="AD234" s="4">
        <v>339118921</v>
      </c>
      <c r="AE234" s="4">
        <v>29086448</v>
      </c>
      <c r="AG234" s="4" t="s">
        <v>926</v>
      </c>
      <c r="AH234" s="4" t="s">
        <v>927</v>
      </c>
      <c r="AI234" s="4" t="s">
        <v>156</v>
      </c>
    </row>
    <row r="235" spans="1:35" ht="54" x14ac:dyDescent="0.3">
      <c r="A235" s="10" t="s">
        <v>976</v>
      </c>
      <c r="B235" s="10"/>
      <c r="C235" s="30" t="s">
        <v>849</v>
      </c>
      <c r="D235" s="15"/>
      <c r="E235" s="15" t="s">
        <v>949</v>
      </c>
      <c r="F235" s="25" t="s">
        <v>159</v>
      </c>
      <c r="G235" s="26">
        <v>1.8</v>
      </c>
      <c r="H235" s="26"/>
      <c r="I235" s="26">
        <v>18454.842000000001</v>
      </c>
      <c r="J235" s="27">
        <v>12.26</v>
      </c>
      <c r="M235" s="28">
        <f>ROUND(ROUND(J235, 2)*I235, 2)</f>
        <v>226256.36</v>
      </c>
      <c r="P235" s="27">
        <v>19.36</v>
      </c>
      <c r="S235" s="28">
        <f>ROUND(ROUND(P235, 2)*I235, 2)</f>
        <v>357285.74</v>
      </c>
      <c r="V235" s="9">
        <f>ROUND(ROUND(P235, 2)/1.2, 2)</f>
        <v>16.13</v>
      </c>
      <c r="Y235" s="9">
        <f t="shared" si="14"/>
        <v>297738.12</v>
      </c>
      <c r="AD235" s="4" t="s">
        <v>977</v>
      </c>
      <c r="AE235" s="4" t="s">
        <v>978</v>
      </c>
      <c r="AF235" s="4" t="s">
        <v>931</v>
      </c>
    </row>
    <row r="236" spans="1:35" ht="36" x14ac:dyDescent="0.3">
      <c r="A236" s="10" t="s">
        <v>979</v>
      </c>
      <c r="B236" s="10"/>
      <c r="C236" s="24" t="s">
        <v>480</v>
      </c>
      <c r="D236" s="15"/>
      <c r="E236" s="15"/>
      <c r="F236" s="25" t="s">
        <v>159</v>
      </c>
      <c r="G236" s="26">
        <v>0.15</v>
      </c>
      <c r="H236" s="26"/>
      <c r="I236" s="26">
        <v>1537.904</v>
      </c>
      <c r="J236" s="27">
        <v>90.28</v>
      </c>
      <c r="M236" s="28">
        <f>ROUND(ROUND(J236, 2)*I236, 2)</f>
        <v>138841.97</v>
      </c>
      <c r="P236" s="27">
        <v>90.28</v>
      </c>
      <c r="S236" s="28">
        <f>ROUND(ROUND(P236, 2)*I236, 2)</f>
        <v>138841.97</v>
      </c>
      <c r="V236" s="9">
        <f>ROUND(ROUND(P236, 2)/1.2, 2)</f>
        <v>75.23</v>
      </c>
      <c r="Y236" s="9">
        <f t="shared" si="14"/>
        <v>115701.64</v>
      </c>
      <c r="AD236" s="4" t="s">
        <v>980</v>
      </c>
      <c r="AE236" s="4" t="s">
        <v>981</v>
      </c>
      <c r="AF236" s="4" t="s">
        <v>483</v>
      </c>
    </row>
    <row r="237" spans="1:35" ht="180" x14ac:dyDescent="0.3">
      <c r="A237" s="71" t="s">
        <v>982</v>
      </c>
      <c r="B237" s="71" t="s">
        <v>923</v>
      </c>
      <c r="C237" s="72" t="s">
        <v>924</v>
      </c>
      <c r="D237" s="73"/>
      <c r="E237" s="73" t="s">
        <v>983</v>
      </c>
      <c r="F237" s="73" t="s">
        <v>75</v>
      </c>
      <c r="G237" s="74">
        <v>1</v>
      </c>
      <c r="H237" s="80">
        <f>U237</f>
        <v>354928.41000000003</v>
      </c>
      <c r="I237" s="133">
        <v>652.91</v>
      </c>
      <c r="J237" s="75">
        <v>35.61</v>
      </c>
      <c r="K237" s="76">
        <v>508</v>
      </c>
      <c r="L237" s="75">
        <f>J237+ROUND(K237, 2)</f>
        <v>543.61</v>
      </c>
      <c r="M237" s="75">
        <v>23250.13</v>
      </c>
      <c r="N237" s="75">
        <v>331678.28000000003</v>
      </c>
      <c r="O237" s="75">
        <f>M237+N237</f>
        <v>354928.41000000003</v>
      </c>
      <c r="P237" s="75">
        <v>35.61</v>
      </c>
      <c r="Q237" s="76">
        <v>508</v>
      </c>
      <c r="R237" s="75">
        <f>P237+ROUND(Q237, 2)</f>
        <v>543.61</v>
      </c>
      <c r="S237" s="75">
        <v>23250.13</v>
      </c>
      <c r="T237" s="75">
        <v>331678.28000000003</v>
      </c>
      <c r="U237" s="75">
        <f>S237+T237</f>
        <v>354928.41000000003</v>
      </c>
      <c r="V237" s="9">
        <f>ROUND(P237 / 1.2, 2)</f>
        <v>29.68</v>
      </c>
      <c r="W237" s="9">
        <f>ROUND(Q237 / 1.2, 2)</f>
        <v>423.33</v>
      </c>
      <c r="X237" s="9">
        <f>ROUND(R237 / 1.2, 2)</f>
        <v>453.01</v>
      </c>
      <c r="Y237" s="9">
        <f t="shared" si="14"/>
        <v>19375.11</v>
      </c>
      <c r="Z237" s="9">
        <f>ROUND(T237 / 1.2, 2)</f>
        <v>276398.57</v>
      </c>
      <c r="AA237" s="9">
        <f>Y237+Z237</f>
        <v>295773.68</v>
      </c>
      <c r="AD237" s="4">
        <v>339118922</v>
      </c>
      <c r="AE237" s="4">
        <v>29086447</v>
      </c>
      <c r="AG237" s="4" t="s">
        <v>926</v>
      </c>
      <c r="AH237" s="4" t="s">
        <v>927</v>
      </c>
      <c r="AI237" s="4" t="s">
        <v>156</v>
      </c>
    </row>
    <row r="238" spans="1:35" ht="36" x14ac:dyDescent="0.3">
      <c r="A238" s="10" t="s">
        <v>984</v>
      </c>
      <c r="B238" s="10"/>
      <c r="C238" s="24" t="s">
        <v>480</v>
      </c>
      <c r="D238" s="15"/>
      <c r="E238" s="15"/>
      <c r="F238" s="25" t="s">
        <v>159</v>
      </c>
      <c r="G238" s="26">
        <v>0.15</v>
      </c>
      <c r="H238" s="26"/>
      <c r="I238" s="26">
        <v>97.936999999999998</v>
      </c>
      <c r="J238" s="27">
        <v>90.28</v>
      </c>
      <c r="M238" s="28">
        <f>ROUND(ROUND(J238, 2)*I238, 2)</f>
        <v>8841.75</v>
      </c>
      <c r="P238" s="27">
        <v>90.28</v>
      </c>
      <c r="S238" s="28">
        <f>ROUND(ROUND(P238, 2)*I238, 2)</f>
        <v>8841.75</v>
      </c>
      <c r="V238" s="9">
        <f>ROUND(ROUND(P238, 2)/1.2, 2)</f>
        <v>75.23</v>
      </c>
      <c r="Y238" s="9">
        <f t="shared" si="14"/>
        <v>7368.13</v>
      </c>
      <c r="AD238" s="4" t="s">
        <v>985</v>
      </c>
      <c r="AE238" s="4" t="s">
        <v>986</v>
      </c>
      <c r="AF238" s="4" t="s">
        <v>483</v>
      </c>
    </row>
    <row r="239" spans="1:35" ht="36" x14ac:dyDescent="0.3">
      <c r="A239" s="10" t="s">
        <v>987</v>
      </c>
      <c r="B239" s="10"/>
      <c r="C239" s="30" t="s">
        <v>849</v>
      </c>
      <c r="D239" s="15"/>
      <c r="E239" s="15"/>
      <c r="F239" s="25" t="s">
        <v>159</v>
      </c>
      <c r="G239" s="26">
        <v>1.8</v>
      </c>
      <c r="H239" s="26"/>
      <c r="I239" s="26">
        <v>1175.2380000000001</v>
      </c>
      <c r="J239" s="27">
        <v>12.26</v>
      </c>
      <c r="M239" s="28">
        <f>ROUND(ROUND(J239, 2)*I239, 2)</f>
        <v>14408.42</v>
      </c>
      <c r="P239" s="27">
        <v>12.26</v>
      </c>
      <c r="S239" s="28">
        <f>ROUND(ROUND(P239, 2)*I239, 2)</f>
        <v>14408.42</v>
      </c>
      <c r="V239" s="9">
        <f>ROUND(ROUND(P239, 2)/1.2, 2)</f>
        <v>10.220000000000001</v>
      </c>
      <c r="Y239" s="9">
        <f t="shared" si="14"/>
        <v>12007.02</v>
      </c>
      <c r="AD239" s="4" t="s">
        <v>988</v>
      </c>
      <c r="AE239" s="4" t="s">
        <v>989</v>
      </c>
      <c r="AF239" s="4" t="s">
        <v>931</v>
      </c>
    </row>
    <row r="240" spans="1:35" ht="72" x14ac:dyDescent="0.3">
      <c r="A240" s="71" t="s">
        <v>990</v>
      </c>
      <c r="B240" s="71" t="s">
        <v>991</v>
      </c>
      <c r="C240" s="72" t="s">
        <v>992</v>
      </c>
      <c r="D240" s="73"/>
      <c r="E240" s="73" t="s">
        <v>993</v>
      </c>
      <c r="F240" s="73" t="s">
        <v>75</v>
      </c>
      <c r="G240" s="74">
        <v>1</v>
      </c>
      <c r="H240" s="80">
        <f>U240</f>
        <v>1116998.97</v>
      </c>
      <c r="I240" s="133">
        <v>2099.7800000000002</v>
      </c>
      <c r="J240" s="75">
        <v>35.96</v>
      </c>
      <c r="K240" s="76">
        <v>496</v>
      </c>
      <c r="L240" s="75">
        <f>J240+ROUND(K240, 2)</f>
        <v>531.96</v>
      </c>
      <c r="M240" s="75">
        <v>75508.09</v>
      </c>
      <c r="N240" s="75">
        <v>1041490.88</v>
      </c>
      <c r="O240" s="75">
        <f>M240+N240</f>
        <v>1116998.97</v>
      </c>
      <c r="P240" s="75">
        <v>35.96</v>
      </c>
      <c r="Q240" s="76">
        <v>496</v>
      </c>
      <c r="R240" s="75">
        <f>P240+ROUND(Q240, 2)</f>
        <v>531.96</v>
      </c>
      <c r="S240" s="75">
        <v>75508.09</v>
      </c>
      <c r="T240" s="75">
        <v>1041490.88</v>
      </c>
      <c r="U240" s="75">
        <f>S240+T240</f>
        <v>1116998.97</v>
      </c>
      <c r="V240" s="9">
        <f>ROUND(P240 / 1.2, 2)</f>
        <v>29.97</v>
      </c>
      <c r="W240" s="9">
        <f>ROUND(Q240 / 1.2, 2)</f>
        <v>413.33</v>
      </c>
      <c r="X240" s="9">
        <f>ROUND(R240 / 1.2, 2)</f>
        <v>443.3</v>
      </c>
      <c r="Y240" s="9">
        <f t="shared" si="14"/>
        <v>62923.41</v>
      </c>
      <c r="Z240" s="9">
        <f>ROUND(T240 / 1.2, 2)</f>
        <v>867909.07</v>
      </c>
      <c r="AA240" s="9">
        <f>Y240+Z240</f>
        <v>930832.48</v>
      </c>
      <c r="AD240" s="4">
        <v>339118850</v>
      </c>
      <c r="AE240" s="4">
        <v>25887987</v>
      </c>
      <c r="AG240" s="4" t="s">
        <v>994</v>
      </c>
      <c r="AH240" s="4" t="s">
        <v>995</v>
      </c>
      <c r="AI240" s="4" t="s">
        <v>156</v>
      </c>
    </row>
    <row r="241" spans="1:35" ht="54" x14ac:dyDescent="0.3">
      <c r="A241" s="10" t="s">
        <v>996</v>
      </c>
      <c r="B241" s="10"/>
      <c r="C241" s="30" t="s">
        <v>997</v>
      </c>
      <c r="D241" s="15"/>
      <c r="E241" s="15"/>
      <c r="F241" s="25" t="s">
        <v>159</v>
      </c>
      <c r="G241" s="26">
        <v>1.8</v>
      </c>
      <c r="H241" s="26"/>
      <c r="I241" s="26">
        <v>3779.6039999999998</v>
      </c>
      <c r="J241" s="27">
        <v>12.58</v>
      </c>
      <c r="M241" s="28">
        <f>ROUND(ROUND(J241, 2)*I241, 2)</f>
        <v>47547.42</v>
      </c>
      <c r="P241" s="27">
        <v>12.58</v>
      </c>
      <c r="S241" s="28">
        <f>ROUND(ROUND(P241, 2)*I241, 2)</f>
        <v>47547.42</v>
      </c>
      <c r="V241" s="9">
        <f>ROUND(ROUND(P241, 2)/1.2, 2)</f>
        <v>10.48</v>
      </c>
      <c r="Y241" s="9">
        <f t="shared" si="14"/>
        <v>39622.85</v>
      </c>
      <c r="AD241" s="4" t="s">
        <v>998</v>
      </c>
      <c r="AE241" s="4" t="s">
        <v>999</v>
      </c>
      <c r="AF241" s="4" t="s">
        <v>1000</v>
      </c>
    </row>
    <row r="242" spans="1:35" ht="36" x14ac:dyDescent="0.3">
      <c r="A242" s="10" t="s">
        <v>1001</v>
      </c>
      <c r="B242" s="10"/>
      <c r="C242" s="24" t="s">
        <v>169</v>
      </c>
      <c r="D242" s="15"/>
      <c r="E242" s="15"/>
      <c r="F242" s="25" t="s">
        <v>159</v>
      </c>
      <c r="G242" s="26">
        <v>0.15</v>
      </c>
      <c r="H242" s="26"/>
      <c r="I242" s="26">
        <v>314.96699999999998</v>
      </c>
      <c r="J242" s="27">
        <v>88.8</v>
      </c>
      <c r="M242" s="28">
        <f>ROUND(ROUND(J242, 2)*I242, 2)</f>
        <v>27969.07</v>
      </c>
      <c r="P242" s="27">
        <v>88.8</v>
      </c>
      <c r="S242" s="28">
        <f>ROUND(ROUND(P242, 2)*I242, 2)</f>
        <v>27969.07</v>
      </c>
      <c r="V242" s="9">
        <f>ROUND(ROUND(P242, 2)/1.2, 2)</f>
        <v>74</v>
      </c>
      <c r="Y242" s="9">
        <f t="shared" si="14"/>
        <v>23307.56</v>
      </c>
      <c r="AD242" s="4" t="s">
        <v>1002</v>
      </c>
      <c r="AE242" s="4" t="s">
        <v>1003</v>
      </c>
      <c r="AF242" s="4" t="s">
        <v>172</v>
      </c>
    </row>
    <row r="243" spans="1:35" ht="72" x14ac:dyDescent="0.3">
      <c r="A243" s="71" t="s">
        <v>1004</v>
      </c>
      <c r="B243" s="71" t="s">
        <v>1005</v>
      </c>
      <c r="C243" s="72" t="s">
        <v>1006</v>
      </c>
      <c r="D243" s="73" t="s">
        <v>1007</v>
      </c>
      <c r="E243" s="73" t="s">
        <v>1008</v>
      </c>
      <c r="F243" s="73" t="s">
        <v>75</v>
      </c>
      <c r="G243" s="74">
        <v>1</v>
      </c>
      <c r="H243" s="80">
        <f>U243</f>
        <v>54328.85</v>
      </c>
      <c r="I243" s="133">
        <v>35.590000000000003</v>
      </c>
      <c r="J243" s="75">
        <v>329.94</v>
      </c>
      <c r="K243" s="76">
        <v>1165</v>
      </c>
      <c r="L243" s="75">
        <f>J243+ROUND(K243, 2)</f>
        <v>1494.94</v>
      </c>
      <c r="M243" s="75">
        <v>11742.56</v>
      </c>
      <c r="N243" s="75">
        <v>41462.35</v>
      </c>
      <c r="O243" s="75">
        <f>M243+N243</f>
        <v>53204.909999999996</v>
      </c>
      <c r="P243" s="75">
        <v>361.52</v>
      </c>
      <c r="Q243" s="76">
        <v>1165</v>
      </c>
      <c r="R243" s="75">
        <f>P243+ROUND(Q243, 2)</f>
        <v>1526.52</v>
      </c>
      <c r="S243" s="75">
        <v>12866.5</v>
      </c>
      <c r="T243" s="75">
        <v>41462.35</v>
      </c>
      <c r="U243" s="75">
        <f>S243+T243</f>
        <v>54328.85</v>
      </c>
      <c r="V243" s="9">
        <f>ROUND(P243 / 1.2, 2)</f>
        <v>301.27</v>
      </c>
      <c r="W243" s="9">
        <f>ROUND(Q243 / 1.2, 2)</f>
        <v>970.83</v>
      </c>
      <c r="X243" s="9">
        <f>ROUND(R243 / 1.2, 2)</f>
        <v>1272.0999999999999</v>
      </c>
      <c r="Y243" s="9">
        <f t="shared" si="14"/>
        <v>10722.08</v>
      </c>
      <c r="Z243" s="9">
        <f>ROUND(T243 / 1.2, 2)</f>
        <v>34551.96</v>
      </c>
      <c r="AA243" s="9">
        <f>Y243+Z243</f>
        <v>45274.04</v>
      </c>
      <c r="AD243" s="4">
        <v>339118852</v>
      </c>
      <c r="AE243" s="4">
        <v>25888013</v>
      </c>
      <c r="AG243" s="4" t="s">
        <v>1009</v>
      </c>
      <c r="AH243" s="4" t="s">
        <v>1010</v>
      </c>
      <c r="AI243" s="4" t="s">
        <v>156</v>
      </c>
    </row>
    <row r="244" spans="1:35" ht="54" x14ac:dyDescent="0.3">
      <c r="A244" s="10" t="s">
        <v>1011</v>
      </c>
      <c r="B244" s="10"/>
      <c r="C244" s="24" t="s">
        <v>1012</v>
      </c>
      <c r="D244" s="15"/>
      <c r="E244" s="15" t="s">
        <v>1013</v>
      </c>
      <c r="F244" s="25" t="s">
        <v>159</v>
      </c>
      <c r="G244" s="26">
        <v>1.3</v>
      </c>
      <c r="H244" s="32"/>
      <c r="I244" s="32">
        <v>1067.7</v>
      </c>
      <c r="J244" s="27">
        <v>8.6</v>
      </c>
      <c r="M244" s="28">
        <f>ROUND(ROUND(J244, 2)*I244, 2)</f>
        <v>9182.2199999999993</v>
      </c>
      <c r="P244" s="27">
        <v>8.83</v>
      </c>
      <c r="S244" s="28">
        <f>ROUND(ROUND(P244, 2)*I244, 2)</f>
        <v>9427.7900000000009</v>
      </c>
      <c r="V244" s="9">
        <f>ROUND(ROUND(P244, 2)/1.2, 2)</f>
        <v>7.36</v>
      </c>
      <c r="Y244" s="9">
        <f t="shared" si="14"/>
        <v>7856.49</v>
      </c>
      <c r="AD244" s="4" t="s">
        <v>1014</v>
      </c>
      <c r="AE244" s="4" t="s">
        <v>1015</v>
      </c>
      <c r="AF244" s="4" t="s">
        <v>1016</v>
      </c>
    </row>
    <row r="245" spans="1:35" ht="18" x14ac:dyDescent="0.3">
      <c r="A245" s="10" t="s">
        <v>1017</v>
      </c>
      <c r="B245" s="10"/>
      <c r="C245" s="24" t="s">
        <v>1018</v>
      </c>
      <c r="D245" s="15"/>
      <c r="E245" s="15" t="s">
        <v>1019</v>
      </c>
      <c r="F245" s="25" t="s">
        <v>75</v>
      </c>
      <c r="G245" s="26">
        <v>1.1000000000000001</v>
      </c>
      <c r="H245" s="26"/>
      <c r="I245" s="26">
        <v>39.149000000000001</v>
      </c>
      <c r="J245" s="27">
        <v>26</v>
      </c>
      <c r="M245" s="28">
        <f>ROUND(ROUND(J245, 2)*I245, 2)</f>
        <v>1017.87</v>
      </c>
      <c r="P245" s="27">
        <v>48.44</v>
      </c>
      <c r="S245" s="28">
        <f>ROUND(ROUND(P245, 2)*I245, 2)</f>
        <v>1896.38</v>
      </c>
      <c r="V245" s="9">
        <f>ROUND(ROUND(P245, 2)/1.2, 2)</f>
        <v>40.369999999999997</v>
      </c>
      <c r="Y245" s="9">
        <f t="shared" si="14"/>
        <v>1580.32</v>
      </c>
      <c r="AD245" s="4" t="s">
        <v>1020</v>
      </c>
      <c r="AE245" s="4" t="s">
        <v>1021</v>
      </c>
      <c r="AF245" s="4" t="s">
        <v>1022</v>
      </c>
    </row>
    <row r="246" spans="1:35" ht="18" x14ac:dyDescent="0.3">
      <c r="A246" s="10" t="s">
        <v>1023</v>
      </c>
      <c r="B246" s="10"/>
      <c r="C246" s="24" t="s">
        <v>1024</v>
      </c>
      <c r="D246" s="15"/>
      <c r="E246" s="15"/>
      <c r="F246" s="25" t="s">
        <v>120</v>
      </c>
      <c r="G246" s="26">
        <v>1</v>
      </c>
      <c r="H246" s="32"/>
      <c r="I246" s="32">
        <v>35.590000000000003</v>
      </c>
      <c r="J246" s="27">
        <v>18.34</v>
      </c>
      <c r="M246" s="28">
        <f>ROUND(ROUND(J246, 2)*I246, 2)</f>
        <v>652.72</v>
      </c>
      <c r="P246" s="27">
        <v>18.34</v>
      </c>
      <c r="S246" s="28">
        <f>ROUND(ROUND(P246, 2)*I246, 2)</f>
        <v>652.72</v>
      </c>
      <c r="V246" s="9">
        <f>ROUND(ROUND(P246, 2)/1.2, 2)</f>
        <v>15.28</v>
      </c>
      <c r="Y246" s="9">
        <f t="shared" si="14"/>
        <v>543.92999999999995</v>
      </c>
      <c r="AD246" s="4" t="s">
        <v>1025</v>
      </c>
      <c r="AE246" s="4" t="s">
        <v>1026</v>
      </c>
      <c r="AF246" s="4" t="s">
        <v>1027</v>
      </c>
    </row>
    <row r="247" spans="1:35" ht="18" x14ac:dyDescent="0.3">
      <c r="A247" s="10" t="s">
        <v>1028</v>
      </c>
      <c r="B247" s="10"/>
      <c r="C247" s="24" t="s">
        <v>296</v>
      </c>
      <c r="D247" s="15"/>
      <c r="E247" s="15"/>
      <c r="F247" s="25" t="s">
        <v>159</v>
      </c>
      <c r="G247" s="26">
        <v>0.25</v>
      </c>
      <c r="H247" s="26"/>
      <c r="I247" s="26">
        <v>8.8979999999999997</v>
      </c>
      <c r="J247" s="27">
        <v>100</v>
      </c>
      <c r="M247" s="28">
        <f>ROUND(ROUND(J247, 2)*I247, 2)</f>
        <v>889.8</v>
      </c>
      <c r="P247" s="27">
        <v>100</v>
      </c>
      <c r="S247" s="28">
        <f>ROUND(ROUND(P247, 2)*I247, 2)</f>
        <v>889.8</v>
      </c>
      <c r="V247" s="9">
        <f>ROUND(ROUND(P247, 2)/1.2, 2)</f>
        <v>83.33</v>
      </c>
      <c r="Y247" s="9">
        <f t="shared" si="14"/>
        <v>741.5</v>
      </c>
      <c r="AD247" s="4" t="s">
        <v>1029</v>
      </c>
      <c r="AE247" s="4" t="s">
        <v>1030</v>
      </c>
      <c r="AF247" s="4" t="s">
        <v>299</v>
      </c>
    </row>
    <row r="248" spans="1:35" ht="72" x14ac:dyDescent="0.3">
      <c r="A248" s="10" t="s">
        <v>1031</v>
      </c>
      <c r="B248" s="10" t="s">
        <v>1005</v>
      </c>
      <c r="C248" s="14" t="s">
        <v>1006</v>
      </c>
      <c r="D248" s="15" t="s">
        <v>1007</v>
      </c>
      <c r="E248" s="15" t="s">
        <v>1032</v>
      </c>
      <c r="F248" s="15" t="s">
        <v>75</v>
      </c>
      <c r="G248" s="16">
        <v>1</v>
      </c>
      <c r="H248" s="16"/>
      <c r="I248" s="16">
        <v>0</v>
      </c>
      <c r="J248" s="17">
        <v>0</v>
      </c>
      <c r="K248" s="18">
        <v>1165</v>
      </c>
      <c r="L248" s="17">
        <f>J248+ROUND(K248, 2)</f>
        <v>1165</v>
      </c>
      <c r="M248" s="17">
        <v>0</v>
      </c>
      <c r="N248" s="17">
        <v>0</v>
      </c>
      <c r="O248" s="17">
        <f>M248+N248</f>
        <v>0</v>
      </c>
      <c r="P248" s="17">
        <v>361.52</v>
      </c>
      <c r="Q248" s="18">
        <v>1165</v>
      </c>
      <c r="R248" s="17">
        <f>P248+ROUND(Q248, 2)</f>
        <v>1526.52</v>
      </c>
      <c r="S248" s="17">
        <v>0</v>
      </c>
      <c r="T248" s="17">
        <v>0</v>
      </c>
      <c r="U248" s="17">
        <f>S248+T248</f>
        <v>0</v>
      </c>
      <c r="V248" s="9">
        <f>ROUND(P248 / 1.2, 2)</f>
        <v>301.27</v>
      </c>
      <c r="W248" s="9">
        <f>ROUND(Q248 / 1.2, 2)</f>
        <v>970.83</v>
      </c>
      <c r="X248" s="9">
        <f>ROUND(R248 / 1.2, 2)</f>
        <v>1272.0999999999999</v>
      </c>
      <c r="Y248" s="9">
        <f t="shared" si="14"/>
        <v>0</v>
      </c>
      <c r="Z248" s="9">
        <f>ROUND(T248 / 1.2, 2)</f>
        <v>0</v>
      </c>
      <c r="AA248" s="9">
        <f>Y248+Z248</f>
        <v>0</v>
      </c>
      <c r="AD248" s="4">
        <v>339118923</v>
      </c>
      <c r="AE248" s="4">
        <v>25887986</v>
      </c>
      <c r="AG248" s="4" t="s">
        <v>1009</v>
      </c>
      <c r="AH248" s="4" t="s">
        <v>1010</v>
      </c>
      <c r="AI248" s="4" t="s">
        <v>156</v>
      </c>
    </row>
    <row r="249" spans="1:35" ht="18" x14ac:dyDescent="0.3">
      <c r="A249" s="10" t="s">
        <v>1033</v>
      </c>
      <c r="B249" s="10"/>
      <c r="C249" s="24" t="s">
        <v>296</v>
      </c>
      <c r="D249" s="15"/>
      <c r="E249" s="15"/>
      <c r="F249" s="25" t="s">
        <v>159</v>
      </c>
      <c r="G249" s="26">
        <v>0.25</v>
      </c>
      <c r="H249" s="26"/>
      <c r="I249" s="26">
        <v>0</v>
      </c>
      <c r="J249" s="27">
        <v>100</v>
      </c>
      <c r="M249" s="28">
        <f>ROUND(ROUND(J249, 2)*I249, 2)</f>
        <v>0</v>
      </c>
      <c r="P249" s="27">
        <v>100</v>
      </c>
      <c r="S249" s="28">
        <f>ROUND(ROUND(P249, 2)*I249, 2)</f>
        <v>0</v>
      </c>
      <c r="V249" s="9">
        <f>ROUND(ROUND(P249, 2)/1.2, 2)</f>
        <v>83.33</v>
      </c>
      <c r="Y249" s="9">
        <f t="shared" si="14"/>
        <v>0</v>
      </c>
      <c r="AD249" s="4" t="s">
        <v>1034</v>
      </c>
      <c r="AE249" s="4" t="s">
        <v>1035</v>
      </c>
      <c r="AF249" s="4" t="s">
        <v>299</v>
      </c>
    </row>
    <row r="250" spans="1:35" ht="18" x14ac:dyDescent="0.3">
      <c r="A250" s="10" t="s">
        <v>1036</v>
      </c>
      <c r="B250" s="10"/>
      <c r="C250" s="24" t="s">
        <v>1024</v>
      </c>
      <c r="D250" s="15"/>
      <c r="E250" s="15"/>
      <c r="F250" s="25" t="s">
        <v>120</v>
      </c>
      <c r="G250" s="26">
        <v>1</v>
      </c>
      <c r="H250" s="32"/>
      <c r="I250" s="32">
        <v>0</v>
      </c>
      <c r="J250" s="27">
        <v>18.34</v>
      </c>
      <c r="M250" s="28">
        <f>ROUND(ROUND(J250, 2)*I250, 2)</f>
        <v>0</v>
      </c>
      <c r="P250" s="27">
        <v>18.34</v>
      </c>
      <c r="S250" s="28">
        <f>ROUND(ROUND(P250, 2)*I250, 2)</f>
        <v>0</v>
      </c>
      <c r="V250" s="9">
        <f>ROUND(ROUND(P250, 2)/1.2, 2)</f>
        <v>15.28</v>
      </c>
      <c r="Y250" s="9">
        <f t="shared" si="14"/>
        <v>0</v>
      </c>
      <c r="AD250" s="4" t="s">
        <v>1037</v>
      </c>
      <c r="AE250" s="4" t="s">
        <v>1038</v>
      </c>
      <c r="AF250" s="4" t="s">
        <v>1027</v>
      </c>
    </row>
    <row r="251" spans="1:35" ht="18" x14ac:dyDescent="0.3">
      <c r="A251" s="10" t="s">
        <v>1039</v>
      </c>
      <c r="B251" s="10"/>
      <c r="C251" s="24" t="s">
        <v>1018</v>
      </c>
      <c r="D251" s="15"/>
      <c r="E251" s="15" t="s">
        <v>1019</v>
      </c>
      <c r="F251" s="25" t="s">
        <v>75</v>
      </c>
      <c r="G251" s="26">
        <v>1.1000000000000001</v>
      </c>
      <c r="H251" s="26"/>
      <c r="I251" s="26">
        <v>0</v>
      </c>
      <c r="J251" s="27">
        <v>26</v>
      </c>
      <c r="M251" s="28">
        <f>ROUND(ROUND(J251, 2)*I251, 2)</f>
        <v>0</v>
      </c>
      <c r="P251" s="27">
        <v>48.44</v>
      </c>
      <c r="S251" s="28">
        <f>ROUND(ROUND(P251, 2)*I251, 2)</f>
        <v>0</v>
      </c>
      <c r="V251" s="9">
        <f>ROUND(ROUND(P251, 2)/1.2, 2)</f>
        <v>40.369999999999997</v>
      </c>
      <c r="Y251" s="9">
        <f t="shared" si="14"/>
        <v>0</v>
      </c>
      <c r="AD251" s="4" t="s">
        <v>1040</v>
      </c>
      <c r="AE251" s="4" t="s">
        <v>1041</v>
      </c>
      <c r="AF251" s="4" t="s">
        <v>1022</v>
      </c>
    </row>
    <row r="252" spans="1:35" ht="54" x14ac:dyDescent="0.3">
      <c r="A252" s="10" t="s">
        <v>1042</v>
      </c>
      <c r="B252" s="10"/>
      <c r="C252" s="24" t="s">
        <v>1012</v>
      </c>
      <c r="D252" s="15"/>
      <c r="E252" s="15" t="s">
        <v>1013</v>
      </c>
      <c r="F252" s="25" t="s">
        <v>159</v>
      </c>
      <c r="G252" s="26">
        <v>1.3</v>
      </c>
      <c r="H252" s="32"/>
      <c r="I252" s="32">
        <v>0</v>
      </c>
      <c r="J252" s="27">
        <v>8.6</v>
      </c>
      <c r="M252" s="28">
        <f>ROUND(ROUND(J252, 2)*I252, 2)</f>
        <v>0</v>
      </c>
      <c r="P252" s="27">
        <v>8.83</v>
      </c>
      <c r="S252" s="28">
        <f>ROUND(ROUND(P252, 2)*I252, 2)</f>
        <v>0</v>
      </c>
      <c r="V252" s="9">
        <f>ROUND(ROUND(P252, 2)/1.2, 2)</f>
        <v>7.36</v>
      </c>
      <c r="Y252" s="9">
        <f t="shared" si="14"/>
        <v>0</v>
      </c>
      <c r="AD252" s="4" t="s">
        <v>1043</v>
      </c>
      <c r="AE252" s="4" t="s">
        <v>1044</v>
      </c>
      <c r="AF252" s="4" t="s">
        <v>1016</v>
      </c>
    </row>
    <row r="253" spans="1:35" ht="72" x14ac:dyDescent="0.3">
      <c r="A253" s="10" t="s">
        <v>1045</v>
      </c>
      <c r="B253" s="10" t="s">
        <v>1005</v>
      </c>
      <c r="C253" s="14" t="s">
        <v>1006</v>
      </c>
      <c r="D253" s="15" t="s">
        <v>1007</v>
      </c>
      <c r="E253" s="15" t="s">
        <v>1046</v>
      </c>
      <c r="F253" s="15" t="s">
        <v>75</v>
      </c>
      <c r="G253" s="16">
        <v>1</v>
      </c>
      <c r="H253" s="16"/>
      <c r="I253" s="16">
        <v>0</v>
      </c>
      <c r="J253" s="17">
        <v>0</v>
      </c>
      <c r="K253" s="18">
        <v>1165</v>
      </c>
      <c r="L253" s="17">
        <f>J253+ROUND(K253, 2)</f>
        <v>1165</v>
      </c>
      <c r="M253" s="17">
        <v>0</v>
      </c>
      <c r="N253" s="17">
        <v>0</v>
      </c>
      <c r="O253" s="17">
        <f>M253+N253</f>
        <v>0</v>
      </c>
      <c r="P253" s="17">
        <v>361.52</v>
      </c>
      <c r="Q253" s="18">
        <v>1165</v>
      </c>
      <c r="R253" s="17">
        <f>P253+ROUND(Q253, 2)</f>
        <v>1526.52</v>
      </c>
      <c r="S253" s="17">
        <v>0</v>
      </c>
      <c r="T253" s="17">
        <v>0</v>
      </c>
      <c r="U253" s="17">
        <f>S253+T253</f>
        <v>0</v>
      </c>
      <c r="V253" s="9">
        <f>ROUND(P253 / 1.2, 2)</f>
        <v>301.27</v>
      </c>
      <c r="W253" s="9">
        <f>ROUND(Q253 / 1.2, 2)</f>
        <v>970.83</v>
      </c>
      <c r="X253" s="9">
        <f>ROUND(R253 / 1.2, 2)</f>
        <v>1272.0999999999999</v>
      </c>
      <c r="Y253" s="9">
        <f t="shared" si="14"/>
        <v>0</v>
      </c>
      <c r="Z253" s="9">
        <f>ROUND(T253 / 1.2, 2)</f>
        <v>0</v>
      </c>
      <c r="AA253" s="9">
        <f>Y253+Z253</f>
        <v>0</v>
      </c>
      <c r="AD253" s="4">
        <v>339118924</v>
      </c>
      <c r="AE253" s="4">
        <v>25887988</v>
      </c>
      <c r="AG253" s="4" t="s">
        <v>1009</v>
      </c>
      <c r="AH253" s="4" t="s">
        <v>1010</v>
      </c>
      <c r="AI253" s="4" t="s">
        <v>156</v>
      </c>
    </row>
    <row r="254" spans="1:35" ht="54" x14ac:dyDescent="0.3">
      <c r="A254" s="10" t="s">
        <v>1047</v>
      </c>
      <c r="B254" s="10"/>
      <c r="C254" s="24" t="s">
        <v>1012</v>
      </c>
      <c r="D254" s="15"/>
      <c r="E254" s="15" t="s">
        <v>1013</v>
      </c>
      <c r="F254" s="25" t="s">
        <v>159</v>
      </c>
      <c r="G254" s="26">
        <v>1.3</v>
      </c>
      <c r="H254" s="32"/>
      <c r="I254" s="32">
        <v>0</v>
      </c>
      <c r="J254" s="27">
        <v>8.6</v>
      </c>
      <c r="M254" s="28">
        <f>ROUND(ROUND(J254, 2)*I254, 2)</f>
        <v>0</v>
      </c>
      <c r="P254" s="27">
        <v>8.83</v>
      </c>
      <c r="S254" s="28">
        <f>ROUND(ROUND(P254, 2)*I254, 2)</f>
        <v>0</v>
      </c>
      <c r="V254" s="9">
        <f>ROUND(ROUND(P254, 2)/1.2, 2)</f>
        <v>7.36</v>
      </c>
      <c r="Y254" s="9">
        <f t="shared" si="14"/>
        <v>0</v>
      </c>
      <c r="AD254" s="4" t="s">
        <v>1048</v>
      </c>
      <c r="AE254" s="4" t="s">
        <v>1049</v>
      </c>
      <c r="AF254" s="4" t="s">
        <v>1016</v>
      </c>
    </row>
    <row r="255" spans="1:35" ht="18" x14ac:dyDescent="0.3">
      <c r="A255" s="10" t="s">
        <v>1050</v>
      </c>
      <c r="B255" s="10"/>
      <c r="C255" s="24" t="s">
        <v>1018</v>
      </c>
      <c r="D255" s="15"/>
      <c r="E255" s="15" t="s">
        <v>1019</v>
      </c>
      <c r="F255" s="25" t="s">
        <v>75</v>
      </c>
      <c r="G255" s="26">
        <v>1.1000000000000001</v>
      </c>
      <c r="H255" s="26"/>
      <c r="I255" s="26">
        <v>0</v>
      </c>
      <c r="J255" s="27">
        <v>26</v>
      </c>
      <c r="M255" s="28">
        <f>ROUND(ROUND(J255, 2)*I255, 2)</f>
        <v>0</v>
      </c>
      <c r="P255" s="27">
        <v>48.44</v>
      </c>
      <c r="S255" s="28">
        <f>ROUND(ROUND(P255, 2)*I255, 2)</f>
        <v>0</v>
      </c>
      <c r="V255" s="9">
        <f>ROUND(ROUND(P255, 2)/1.2, 2)</f>
        <v>40.369999999999997</v>
      </c>
      <c r="Y255" s="9">
        <f t="shared" si="14"/>
        <v>0</v>
      </c>
      <c r="AD255" s="4" t="s">
        <v>1051</v>
      </c>
      <c r="AE255" s="4" t="s">
        <v>1052</v>
      </c>
      <c r="AF255" s="4" t="s">
        <v>1022</v>
      </c>
    </row>
    <row r="256" spans="1:35" ht="18" x14ac:dyDescent="0.3">
      <c r="A256" s="10" t="s">
        <v>1053</v>
      </c>
      <c r="B256" s="10"/>
      <c r="C256" s="24" t="s">
        <v>1024</v>
      </c>
      <c r="D256" s="15"/>
      <c r="E256" s="15"/>
      <c r="F256" s="25" t="s">
        <v>120</v>
      </c>
      <c r="G256" s="26">
        <v>1</v>
      </c>
      <c r="H256" s="32"/>
      <c r="I256" s="32">
        <v>0</v>
      </c>
      <c r="J256" s="27">
        <v>18.34</v>
      </c>
      <c r="M256" s="28">
        <f>ROUND(ROUND(J256, 2)*I256, 2)</f>
        <v>0</v>
      </c>
      <c r="P256" s="27">
        <v>18.34</v>
      </c>
      <c r="S256" s="28">
        <f>ROUND(ROUND(P256, 2)*I256, 2)</f>
        <v>0</v>
      </c>
      <c r="V256" s="9">
        <f>ROUND(ROUND(P256, 2)/1.2, 2)</f>
        <v>15.28</v>
      </c>
      <c r="Y256" s="9">
        <f t="shared" si="14"/>
        <v>0</v>
      </c>
      <c r="AD256" s="4" t="s">
        <v>1054</v>
      </c>
      <c r="AE256" s="4" t="s">
        <v>1055</v>
      </c>
      <c r="AF256" s="4" t="s">
        <v>1027</v>
      </c>
    </row>
    <row r="257" spans="1:35" ht="18" x14ac:dyDescent="0.3">
      <c r="A257" s="10" t="s">
        <v>1056</v>
      </c>
      <c r="B257" s="10"/>
      <c r="C257" s="24" t="s">
        <v>296</v>
      </c>
      <c r="D257" s="15"/>
      <c r="E257" s="15"/>
      <c r="F257" s="25" t="s">
        <v>159</v>
      </c>
      <c r="G257" s="26">
        <v>0.25</v>
      </c>
      <c r="H257" s="26"/>
      <c r="I257" s="26">
        <v>0</v>
      </c>
      <c r="J257" s="27">
        <v>100</v>
      </c>
      <c r="M257" s="28">
        <f>ROUND(ROUND(J257, 2)*I257, 2)</f>
        <v>0</v>
      </c>
      <c r="P257" s="27">
        <v>100</v>
      </c>
      <c r="S257" s="28">
        <f>ROUND(ROUND(P257, 2)*I257, 2)</f>
        <v>0</v>
      </c>
      <c r="V257" s="9">
        <f>ROUND(ROUND(P257, 2)/1.2, 2)</f>
        <v>83.33</v>
      </c>
      <c r="Y257" s="9">
        <f t="shared" si="14"/>
        <v>0</v>
      </c>
      <c r="AD257" s="4" t="s">
        <v>1057</v>
      </c>
      <c r="AE257" s="4" t="s">
        <v>1058</v>
      </c>
      <c r="AF257" s="4" t="s">
        <v>299</v>
      </c>
    </row>
    <row r="258" spans="1:35" ht="72" x14ac:dyDescent="0.3">
      <c r="A258" s="10" t="s">
        <v>1059</v>
      </c>
      <c r="B258" s="10" t="s">
        <v>1005</v>
      </c>
      <c r="C258" s="14" t="s">
        <v>1006</v>
      </c>
      <c r="D258" s="15" t="s">
        <v>1007</v>
      </c>
      <c r="E258" s="15" t="s">
        <v>1060</v>
      </c>
      <c r="F258" s="15" t="s">
        <v>75</v>
      </c>
      <c r="G258" s="16">
        <v>1</v>
      </c>
      <c r="H258" s="16"/>
      <c r="I258" s="16">
        <v>0</v>
      </c>
      <c r="J258" s="17">
        <v>0</v>
      </c>
      <c r="K258" s="18">
        <v>1165</v>
      </c>
      <c r="L258" s="17">
        <f>J258+ROUND(K258, 2)</f>
        <v>1165</v>
      </c>
      <c r="M258" s="17">
        <v>0</v>
      </c>
      <c r="N258" s="17">
        <v>0</v>
      </c>
      <c r="O258" s="17">
        <f>M258+N258</f>
        <v>0</v>
      </c>
      <c r="P258" s="17">
        <v>349.84</v>
      </c>
      <c r="Q258" s="18">
        <v>1165</v>
      </c>
      <c r="R258" s="17">
        <f>P258+ROUND(Q258, 2)</f>
        <v>1514.84</v>
      </c>
      <c r="S258" s="17">
        <v>0</v>
      </c>
      <c r="T258" s="17">
        <v>0</v>
      </c>
      <c r="U258" s="17">
        <f>S258+T258</f>
        <v>0</v>
      </c>
      <c r="V258" s="9">
        <f>ROUND(P258 / 1.2, 2)</f>
        <v>291.52999999999997</v>
      </c>
      <c r="W258" s="9">
        <f>ROUND(Q258 / 1.2, 2)</f>
        <v>970.83</v>
      </c>
      <c r="X258" s="9">
        <f>ROUND(R258 / 1.2, 2)</f>
        <v>1262.3699999999999</v>
      </c>
      <c r="Y258" s="9">
        <f t="shared" si="14"/>
        <v>0</v>
      </c>
      <c r="Z258" s="9">
        <f>ROUND(T258 / 1.2, 2)</f>
        <v>0</v>
      </c>
      <c r="AA258" s="9">
        <f>Y258+Z258</f>
        <v>0</v>
      </c>
      <c r="AD258" s="4">
        <v>339118925</v>
      </c>
      <c r="AE258" s="4">
        <v>25888014</v>
      </c>
      <c r="AG258" s="4" t="s">
        <v>1009</v>
      </c>
      <c r="AH258" s="4" t="s">
        <v>1010</v>
      </c>
      <c r="AI258" s="4" t="s">
        <v>156</v>
      </c>
    </row>
    <row r="259" spans="1:35" ht="36" x14ac:dyDescent="0.3">
      <c r="A259" s="10" t="s">
        <v>1061</v>
      </c>
      <c r="B259" s="10"/>
      <c r="C259" s="24" t="s">
        <v>480</v>
      </c>
      <c r="D259" s="15"/>
      <c r="E259" s="15"/>
      <c r="F259" s="25" t="s">
        <v>159</v>
      </c>
      <c r="G259" s="26">
        <v>0.15</v>
      </c>
      <c r="H259" s="26"/>
      <c r="I259" s="26">
        <v>0</v>
      </c>
      <c r="J259" s="27">
        <v>88.8</v>
      </c>
      <c r="M259" s="28">
        <f>ROUND(ROUND(J259, 2)*I259, 2)</f>
        <v>0</v>
      </c>
      <c r="P259" s="27">
        <v>88.8</v>
      </c>
      <c r="S259" s="28">
        <f>ROUND(ROUND(P259, 2)*I259, 2)</f>
        <v>0</v>
      </c>
      <c r="V259" s="9">
        <f>ROUND(ROUND(P259, 2)/1.2, 2)</f>
        <v>74</v>
      </c>
      <c r="Y259" s="9">
        <f t="shared" si="14"/>
        <v>0</v>
      </c>
      <c r="AD259" s="4" t="s">
        <v>1062</v>
      </c>
      <c r="AE259" s="4" t="s">
        <v>1063</v>
      </c>
      <c r="AF259" s="4" t="s">
        <v>483</v>
      </c>
    </row>
    <row r="260" spans="1:35" ht="18" x14ac:dyDescent="0.3">
      <c r="A260" s="10" t="s">
        <v>1064</v>
      </c>
      <c r="B260" s="10"/>
      <c r="C260" s="24" t="s">
        <v>1024</v>
      </c>
      <c r="D260" s="15"/>
      <c r="E260" s="15"/>
      <c r="F260" s="25" t="s">
        <v>120</v>
      </c>
      <c r="G260" s="26">
        <v>1</v>
      </c>
      <c r="H260" s="32"/>
      <c r="I260" s="32">
        <v>0</v>
      </c>
      <c r="J260" s="27">
        <v>18.34</v>
      </c>
      <c r="M260" s="28">
        <f>ROUND(ROUND(J260, 2)*I260, 2)</f>
        <v>0</v>
      </c>
      <c r="P260" s="27">
        <v>18.34</v>
      </c>
      <c r="S260" s="28">
        <f>ROUND(ROUND(P260, 2)*I260, 2)</f>
        <v>0</v>
      </c>
      <c r="V260" s="9">
        <f>ROUND(ROUND(P260, 2)/1.2, 2)</f>
        <v>15.28</v>
      </c>
      <c r="Y260" s="9">
        <f t="shared" si="14"/>
        <v>0</v>
      </c>
      <c r="AD260" s="4" t="s">
        <v>1065</v>
      </c>
      <c r="AE260" s="4" t="s">
        <v>1066</v>
      </c>
      <c r="AF260" s="4" t="s">
        <v>1027</v>
      </c>
    </row>
    <row r="261" spans="1:35" ht="18" x14ac:dyDescent="0.3">
      <c r="A261" s="10" t="s">
        <v>1067</v>
      </c>
      <c r="B261" s="10"/>
      <c r="C261" s="24" t="s">
        <v>1018</v>
      </c>
      <c r="D261" s="15"/>
      <c r="E261" s="15" t="s">
        <v>1019</v>
      </c>
      <c r="F261" s="25" t="s">
        <v>75</v>
      </c>
      <c r="G261" s="26">
        <v>1.1000000000000001</v>
      </c>
      <c r="H261" s="26"/>
      <c r="I261" s="26">
        <v>0</v>
      </c>
      <c r="J261" s="27">
        <v>26</v>
      </c>
      <c r="M261" s="28">
        <f>ROUND(ROUND(J261, 2)*I261, 2)</f>
        <v>0</v>
      </c>
      <c r="P261" s="27">
        <v>48.44</v>
      </c>
      <c r="S261" s="28">
        <f>ROUND(ROUND(P261, 2)*I261, 2)</f>
        <v>0</v>
      </c>
      <c r="V261" s="9">
        <f>ROUND(ROUND(P261, 2)/1.2, 2)</f>
        <v>40.369999999999997</v>
      </c>
      <c r="Y261" s="9">
        <f t="shared" si="14"/>
        <v>0</v>
      </c>
      <c r="AD261" s="4" t="s">
        <v>1068</v>
      </c>
      <c r="AE261" s="4" t="s">
        <v>1069</v>
      </c>
      <c r="AF261" s="4" t="s">
        <v>1022</v>
      </c>
    </row>
    <row r="262" spans="1:35" ht="72" x14ac:dyDescent="0.3">
      <c r="A262" s="10" t="s">
        <v>1070</v>
      </c>
      <c r="B262" s="10"/>
      <c r="C262" s="24" t="s">
        <v>1012</v>
      </c>
      <c r="D262" s="15"/>
      <c r="E262" s="15" t="s">
        <v>1071</v>
      </c>
      <c r="F262" s="25" t="s">
        <v>159</v>
      </c>
      <c r="G262" s="26">
        <v>1.3</v>
      </c>
      <c r="H262" s="32"/>
      <c r="I262" s="32">
        <v>0</v>
      </c>
      <c r="J262" s="27">
        <v>8.6</v>
      </c>
      <c r="M262" s="28">
        <f>ROUND(ROUND(J262, 2)*I262, 2)</f>
        <v>0</v>
      </c>
      <c r="P262" s="27">
        <v>8.83</v>
      </c>
      <c r="S262" s="28">
        <f>ROUND(ROUND(P262, 2)*I262, 2)</f>
        <v>0</v>
      </c>
      <c r="V262" s="9">
        <f>ROUND(ROUND(P262, 2)/1.2, 2)</f>
        <v>7.36</v>
      </c>
      <c r="Y262" s="9">
        <f t="shared" si="14"/>
        <v>0</v>
      </c>
      <c r="AD262" s="4" t="s">
        <v>1072</v>
      </c>
      <c r="AE262" s="4" t="s">
        <v>1073</v>
      </c>
      <c r="AF262" s="4" t="s">
        <v>1016</v>
      </c>
    </row>
    <row r="263" spans="1:35" ht="90" x14ac:dyDescent="0.3">
      <c r="A263" s="10" t="s">
        <v>1074</v>
      </c>
      <c r="B263" s="10" t="s">
        <v>1075</v>
      </c>
      <c r="C263" s="14" t="s">
        <v>1076</v>
      </c>
      <c r="D263" s="15"/>
      <c r="E263" s="15" t="s">
        <v>1077</v>
      </c>
      <c r="F263" s="15" t="s">
        <v>75</v>
      </c>
      <c r="G263" s="16">
        <v>1</v>
      </c>
      <c r="H263" s="16"/>
      <c r="I263" s="16">
        <v>3186.15</v>
      </c>
      <c r="J263" s="17">
        <v>268.76</v>
      </c>
      <c r="K263" s="18">
        <v>1073</v>
      </c>
      <c r="L263" s="17">
        <f>J263+ROUND(K263, 2)</f>
        <v>1341.76</v>
      </c>
      <c r="M263" s="17">
        <v>856309.67</v>
      </c>
      <c r="N263" s="17">
        <v>3418738.95</v>
      </c>
      <c r="O263" s="17">
        <f>M263+N263</f>
        <v>4275048.62</v>
      </c>
      <c r="P263" s="17">
        <v>342.75</v>
      </c>
      <c r="Q263" s="18">
        <v>1073</v>
      </c>
      <c r="R263" s="17">
        <f>P263+ROUND(Q263, 2)</f>
        <v>1415.75</v>
      </c>
      <c r="S263" s="17">
        <v>1092052.9099999999</v>
      </c>
      <c r="T263" s="17">
        <v>3418738.95</v>
      </c>
      <c r="U263" s="17">
        <f>S263+T263</f>
        <v>4510791.8600000003</v>
      </c>
      <c r="V263" s="9">
        <f>ROUND(P263 / 1.2, 2)</f>
        <v>285.63</v>
      </c>
      <c r="W263" s="9">
        <f>ROUND(Q263 / 1.2, 2)</f>
        <v>894.17</v>
      </c>
      <c r="X263" s="9">
        <f>ROUND(R263 / 1.2, 2)</f>
        <v>1179.79</v>
      </c>
      <c r="Y263" s="9">
        <f t="shared" si="14"/>
        <v>910044.09</v>
      </c>
      <c r="Z263" s="9">
        <f>ROUND(T263 / 1.2, 2)</f>
        <v>2848949.13</v>
      </c>
      <c r="AA263" s="9">
        <f>Y263+Z263</f>
        <v>3758993.2199999997</v>
      </c>
      <c r="AD263" s="4">
        <v>339118854</v>
      </c>
      <c r="AE263" s="4">
        <v>28951340</v>
      </c>
      <c r="AG263" s="4" t="s">
        <v>1078</v>
      </c>
      <c r="AH263" s="4" t="s">
        <v>1079</v>
      </c>
      <c r="AI263" s="4" t="s">
        <v>156</v>
      </c>
    </row>
    <row r="264" spans="1:35" ht="36" x14ac:dyDescent="0.3">
      <c r="A264" s="10" t="s">
        <v>1080</v>
      </c>
      <c r="B264" s="10"/>
      <c r="C264" s="30" t="s">
        <v>1081</v>
      </c>
      <c r="D264" s="15"/>
      <c r="E264" s="15"/>
      <c r="F264" s="25" t="s">
        <v>159</v>
      </c>
      <c r="G264" s="26">
        <v>1</v>
      </c>
      <c r="H264" s="32"/>
      <c r="I264" s="32">
        <v>95584.5</v>
      </c>
      <c r="J264" s="27">
        <v>7.92</v>
      </c>
      <c r="M264" s="28">
        <f>ROUND(ROUND(J264, 2)*I264, 2)</f>
        <v>757029.24</v>
      </c>
      <c r="P264" s="27">
        <v>7.92</v>
      </c>
      <c r="S264" s="28">
        <f>ROUND(ROUND(P264, 2)*I264, 2)</f>
        <v>757029.24</v>
      </c>
      <c r="V264" s="9">
        <f>ROUND(ROUND(P264, 2)/1.2, 2)</f>
        <v>6.6</v>
      </c>
      <c r="Y264" s="9">
        <f t="shared" si="14"/>
        <v>630857.69999999995</v>
      </c>
      <c r="AD264" s="4" t="s">
        <v>1082</v>
      </c>
      <c r="AE264" s="4" t="s">
        <v>1083</v>
      </c>
      <c r="AF264" s="4" t="s">
        <v>1084</v>
      </c>
    </row>
    <row r="265" spans="1:35" ht="90" x14ac:dyDescent="0.3">
      <c r="A265" s="10" t="s">
        <v>1085</v>
      </c>
      <c r="B265" s="10"/>
      <c r="C265" s="24" t="s">
        <v>875</v>
      </c>
      <c r="D265" s="15"/>
      <c r="E265" s="15" t="s">
        <v>1086</v>
      </c>
      <c r="F265" s="25" t="s">
        <v>120</v>
      </c>
      <c r="G265" s="26">
        <v>1</v>
      </c>
      <c r="H265" s="32"/>
      <c r="I265" s="32">
        <v>3504.7649999999999</v>
      </c>
      <c r="J265" s="27">
        <v>16.02</v>
      </c>
      <c r="M265" s="28">
        <f>ROUND(ROUND(J265, 2)*I265, 2)</f>
        <v>56146.34</v>
      </c>
      <c r="P265" s="27">
        <v>83.28</v>
      </c>
      <c r="S265" s="28">
        <f>ROUND(ROUND(P265, 2)*I265, 2)</f>
        <v>291876.83</v>
      </c>
      <c r="V265" s="9">
        <f>ROUND(ROUND(P265, 2)/1.2, 2)</f>
        <v>69.400000000000006</v>
      </c>
      <c r="Y265" s="9">
        <f t="shared" si="14"/>
        <v>243230.69</v>
      </c>
      <c r="AD265" s="4" t="s">
        <v>1087</v>
      </c>
      <c r="AE265" s="4" t="s">
        <v>1088</v>
      </c>
      <c r="AF265" s="4" t="s">
        <v>878</v>
      </c>
    </row>
    <row r="266" spans="1:35" ht="36" x14ac:dyDescent="0.3">
      <c r="A266" s="10" t="s">
        <v>1089</v>
      </c>
      <c r="B266" s="10"/>
      <c r="C266" s="24" t="s">
        <v>480</v>
      </c>
      <c r="D266" s="15"/>
      <c r="E266" s="15"/>
      <c r="F266" s="25" t="s">
        <v>159</v>
      </c>
      <c r="G266" s="26">
        <v>0.15</v>
      </c>
      <c r="H266" s="32"/>
      <c r="I266" s="32">
        <v>477.923</v>
      </c>
      <c r="J266" s="27">
        <v>90.28</v>
      </c>
      <c r="M266" s="28">
        <f>ROUND(ROUND(J266, 2)*I266, 2)</f>
        <v>43146.89</v>
      </c>
      <c r="P266" s="27">
        <v>90.28</v>
      </c>
      <c r="S266" s="28">
        <f>ROUND(ROUND(P266, 2)*I266, 2)</f>
        <v>43146.89</v>
      </c>
      <c r="V266" s="9">
        <f>ROUND(ROUND(P266, 2)/1.2, 2)</f>
        <v>75.23</v>
      </c>
      <c r="Y266" s="9">
        <f t="shared" si="14"/>
        <v>35955.74</v>
      </c>
      <c r="AD266" s="4" t="s">
        <v>1090</v>
      </c>
      <c r="AE266" s="4" t="s">
        <v>1091</v>
      </c>
      <c r="AF266" s="4" t="s">
        <v>483</v>
      </c>
    </row>
    <row r="267" spans="1:35" ht="54" x14ac:dyDescent="0.3">
      <c r="A267" s="71" t="s">
        <v>1092</v>
      </c>
      <c r="B267" s="82" t="s">
        <v>1075</v>
      </c>
      <c r="C267" s="83" t="s">
        <v>1076</v>
      </c>
      <c r="D267" s="90">
        <v>1</v>
      </c>
      <c r="E267" s="85" t="s">
        <v>1093</v>
      </c>
      <c r="F267" s="85" t="s">
        <v>75</v>
      </c>
      <c r="G267" s="86">
        <v>1</v>
      </c>
      <c r="H267" s="87">
        <f>U267</f>
        <v>1635923.69</v>
      </c>
      <c r="I267" s="86">
        <v>1183.1199999999999</v>
      </c>
      <c r="J267" s="88">
        <v>280.64</v>
      </c>
      <c r="K267" s="89">
        <v>1073</v>
      </c>
      <c r="L267" s="88">
        <f>J267+ROUND(K267, 2)</f>
        <v>1353.6399999999999</v>
      </c>
      <c r="M267" s="88">
        <v>332030.8</v>
      </c>
      <c r="N267" s="88">
        <v>1269487.76</v>
      </c>
      <c r="O267" s="88">
        <f>M267+N267</f>
        <v>1601518.56</v>
      </c>
      <c r="P267" s="88">
        <v>309.72000000000003</v>
      </c>
      <c r="Q267" s="89">
        <v>1073</v>
      </c>
      <c r="R267" s="88">
        <f>P267+ROUND(Q267, 2)</f>
        <v>1382.72</v>
      </c>
      <c r="S267" s="88">
        <v>366435.93</v>
      </c>
      <c r="T267" s="88">
        <v>1269487.76</v>
      </c>
      <c r="U267" s="88">
        <f>S267+T267</f>
        <v>1635923.69</v>
      </c>
      <c r="V267" s="9">
        <f>ROUND(P267 / 1.2, 2)</f>
        <v>258.10000000000002</v>
      </c>
      <c r="W267" s="9">
        <f>ROUND(Q267 / 1.2, 2)</f>
        <v>894.17</v>
      </c>
      <c r="X267" s="9">
        <f>ROUND(R267 / 1.2, 2)</f>
        <v>1152.27</v>
      </c>
      <c r="Y267" s="9">
        <f t="shared" ref="Y267:Y270" si="15">ROUND(S267 / 1.2, 2)</f>
        <v>305363.28000000003</v>
      </c>
      <c r="Z267" s="9">
        <f>ROUND(T267 / 1.2, 2)</f>
        <v>1057906.47</v>
      </c>
      <c r="AA267" s="9">
        <f>Y267+Z267</f>
        <v>1363269.75</v>
      </c>
      <c r="AD267" s="4">
        <v>339118926</v>
      </c>
      <c r="AE267" s="4">
        <v>28975340</v>
      </c>
      <c r="AG267" s="4" t="s">
        <v>1078</v>
      </c>
      <c r="AH267" s="4" t="s">
        <v>1079</v>
      </c>
      <c r="AI267" s="4" t="s">
        <v>156</v>
      </c>
    </row>
    <row r="268" spans="1:35" ht="18" x14ac:dyDescent="0.3">
      <c r="A268" s="10" t="s">
        <v>1094</v>
      </c>
      <c r="B268" s="10"/>
      <c r="C268" s="24" t="s">
        <v>296</v>
      </c>
      <c r="D268" s="15"/>
      <c r="E268" s="15"/>
      <c r="F268" s="25" t="s">
        <v>159</v>
      </c>
      <c r="G268" s="26">
        <v>0.25</v>
      </c>
      <c r="H268" s="26"/>
      <c r="I268" s="26">
        <v>295.77999999999997</v>
      </c>
      <c r="J268" s="27">
        <v>101.66</v>
      </c>
      <c r="M268" s="28">
        <f>ROUND(ROUND(J268, 2)*I268, 2)</f>
        <v>30068.99</v>
      </c>
      <c r="P268" s="27">
        <v>101.66</v>
      </c>
      <c r="S268" s="28">
        <f>ROUND(ROUND(P268, 2)*I268, 2)</f>
        <v>30068.99</v>
      </c>
      <c r="V268" s="9">
        <f>ROUND(ROUND(P268, 2)/1.2, 2)</f>
        <v>84.72</v>
      </c>
      <c r="Y268" s="9">
        <f t="shared" si="15"/>
        <v>25057.49</v>
      </c>
      <c r="AD268" s="4" t="s">
        <v>1095</v>
      </c>
      <c r="AE268" s="4" t="s">
        <v>1096</v>
      </c>
      <c r="AF268" s="4" t="s">
        <v>299</v>
      </c>
    </row>
    <row r="269" spans="1:35" ht="90" x14ac:dyDescent="0.3">
      <c r="A269" s="10" t="s">
        <v>1097</v>
      </c>
      <c r="B269" s="10"/>
      <c r="C269" s="24" t="s">
        <v>875</v>
      </c>
      <c r="D269" s="15"/>
      <c r="E269" s="15" t="s">
        <v>1098</v>
      </c>
      <c r="F269" s="25" t="s">
        <v>120</v>
      </c>
      <c r="G269" s="26">
        <v>1</v>
      </c>
      <c r="H269" s="32"/>
      <c r="I269" s="32">
        <v>1301.432</v>
      </c>
      <c r="J269" s="27">
        <v>16.02</v>
      </c>
      <c r="M269" s="28">
        <f>ROUND(ROUND(J269, 2)*I269, 2)</f>
        <v>20848.939999999999</v>
      </c>
      <c r="P269" s="27">
        <v>42.46</v>
      </c>
      <c r="S269" s="28">
        <f>ROUND(ROUND(P269, 2)*I269, 2)</f>
        <v>55258.8</v>
      </c>
      <c r="V269" s="9">
        <f>ROUND(ROUND(P269, 2)/1.2, 2)</f>
        <v>35.380000000000003</v>
      </c>
      <c r="Y269" s="9">
        <f t="shared" si="15"/>
        <v>46049</v>
      </c>
      <c r="AD269" s="4" t="s">
        <v>1099</v>
      </c>
      <c r="AE269" s="4" t="s">
        <v>1100</v>
      </c>
      <c r="AF269" s="4" t="s">
        <v>878</v>
      </c>
    </row>
    <row r="270" spans="1:35" ht="36" x14ac:dyDescent="0.3">
      <c r="A270" s="10" t="s">
        <v>1101</v>
      </c>
      <c r="B270" s="10"/>
      <c r="C270" s="30" t="s">
        <v>1081</v>
      </c>
      <c r="D270" s="15"/>
      <c r="E270" s="15"/>
      <c r="F270" s="25" t="s">
        <v>159</v>
      </c>
      <c r="G270" s="26">
        <v>1</v>
      </c>
      <c r="H270" s="32"/>
      <c r="I270" s="32">
        <v>35493.599999999999</v>
      </c>
      <c r="J270" s="27">
        <v>7.92</v>
      </c>
      <c r="M270" s="28">
        <f>ROUND(ROUND(J270, 2)*I270, 2)</f>
        <v>281109.31</v>
      </c>
      <c r="P270" s="27">
        <v>7.92</v>
      </c>
      <c r="S270" s="28">
        <f>ROUND(ROUND(P270, 2)*I270, 2)</f>
        <v>281109.31</v>
      </c>
      <c r="V270" s="9">
        <f>ROUND(ROUND(P270, 2)/1.2, 2)</f>
        <v>6.6</v>
      </c>
      <c r="Y270" s="9">
        <f t="shared" si="15"/>
        <v>234257.76</v>
      </c>
      <c r="AD270" s="4" t="s">
        <v>1102</v>
      </c>
      <c r="AE270" s="4" t="s">
        <v>1103</v>
      </c>
      <c r="AF270" s="4" t="s">
        <v>1084</v>
      </c>
    </row>
    <row r="271" spans="1:35" ht="30" customHeight="1" x14ac:dyDescent="0.3">
      <c r="A271" s="10" t="s">
        <v>1104</v>
      </c>
      <c r="B271" s="10" t="s">
        <v>1105</v>
      </c>
      <c r="C271" s="120" t="s">
        <v>1106</v>
      </c>
      <c r="D271" s="121"/>
      <c r="E271" s="121"/>
      <c r="F271" s="121"/>
      <c r="G271" s="121"/>
      <c r="H271" s="121"/>
      <c r="I271" s="122"/>
      <c r="M271" s="6">
        <f>SUM(M272,M275,M278,M281,M284,M289,M294,M299,M304,M309,M314)</f>
        <v>4352647.0600000005</v>
      </c>
      <c r="N271" s="6">
        <f>SUM(N272,N275,N278,N281,N284,N289,N294,N299,N304,N309,N314)</f>
        <v>6080638.2299999995</v>
      </c>
      <c r="O271" s="6">
        <f>SUM(O272,O275,O278,O281,O284,O289,O294,O299,O304,O309,O314)</f>
        <v>10433285.289999999</v>
      </c>
      <c r="S271" s="6">
        <f>SUM(S272,S275,S278,S281,S284,S289,S294,S299,S304,S309,S314)</f>
        <v>3230273.8600000003</v>
      </c>
      <c r="T271" s="6">
        <f>SUM(T272,T275,T278,T281,T284,T289,T294,T299,T304,T309,T314)</f>
        <v>6080638.2299999995</v>
      </c>
      <c r="U271" s="6">
        <f>SUM(U272,U275,U278,U281,U284,U289,U294,U299,U304,U309,U314)</f>
        <v>9310912.089999998</v>
      </c>
      <c r="Y271" s="9">
        <f>SUM(Y272,Y275,Y278,Y281,Y284,Y289,Y294,Y299,Y304,Y309,Y314)</f>
        <v>2691894.9</v>
      </c>
      <c r="Z271" s="9">
        <f>SUM(Z272,Z275,Z278,Z281,Z284,Z289,Z294,Z299,Z304,Z309,Z314)</f>
        <v>5067198.5299999993</v>
      </c>
      <c r="AA271" s="9">
        <f>SUM(AA272,AA275,AA278,AA281,AA284,AA289,AA294,AA299,AA304,AA309,AA314)</f>
        <v>7759093.4300000006</v>
      </c>
      <c r="AD271" s="4">
        <v>339118855</v>
      </c>
      <c r="AE271" s="4">
        <v>28951418</v>
      </c>
    </row>
    <row r="272" spans="1:35" ht="36" x14ac:dyDescent="0.3">
      <c r="A272" s="10" t="s">
        <v>1107</v>
      </c>
      <c r="B272" s="10" t="s">
        <v>1108</v>
      </c>
      <c r="C272" s="14" t="s">
        <v>1109</v>
      </c>
      <c r="D272" s="15"/>
      <c r="E272" s="15" t="s">
        <v>1110</v>
      </c>
      <c r="F272" s="15" t="s">
        <v>75</v>
      </c>
      <c r="G272" s="16">
        <v>1</v>
      </c>
      <c r="H272" s="16"/>
      <c r="I272" s="16">
        <v>2520.8339999999998</v>
      </c>
      <c r="J272" s="17">
        <v>383.25</v>
      </c>
      <c r="K272" s="18">
        <v>428</v>
      </c>
      <c r="L272" s="17">
        <f>J272+ROUND(K272, 2)</f>
        <v>811.25</v>
      </c>
      <c r="M272" s="17">
        <v>966109.63</v>
      </c>
      <c r="N272" s="17">
        <v>1078916.95</v>
      </c>
      <c r="O272" s="17">
        <f>M272+N272</f>
        <v>2045026.58</v>
      </c>
      <c r="P272" s="17">
        <v>125.68</v>
      </c>
      <c r="Q272" s="18">
        <v>428</v>
      </c>
      <c r="R272" s="17">
        <f>P272+ROUND(Q272, 2)</f>
        <v>553.68000000000006</v>
      </c>
      <c r="S272" s="17">
        <v>316818.42</v>
      </c>
      <c r="T272" s="17">
        <v>1078916.95</v>
      </c>
      <c r="U272" s="17">
        <f>S272+T272</f>
        <v>1395735.3699999999</v>
      </c>
      <c r="V272" s="9">
        <f>ROUND(P272 / 1.2, 2)</f>
        <v>104.73</v>
      </c>
      <c r="W272" s="9">
        <f>ROUND(Q272 / 1.2, 2)</f>
        <v>356.67</v>
      </c>
      <c r="X272" s="9">
        <f>ROUND(R272 / 1.2, 2)</f>
        <v>461.4</v>
      </c>
      <c r="Y272" s="9">
        <f>ROUND(S272 / 1.2, 2)</f>
        <v>264015.34999999998</v>
      </c>
      <c r="Z272" s="9">
        <f>ROUND(T272 / 1.2, 2)</f>
        <v>899097.46</v>
      </c>
      <c r="AA272" s="9">
        <f>Y272+Z272</f>
        <v>1163112.81</v>
      </c>
      <c r="AD272" s="4">
        <v>339118857</v>
      </c>
      <c r="AE272" s="4">
        <v>28951421</v>
      </c>
      <c r="AG272" s="4" t="s">
        <v>1111</v>
      </c>
      <c r="AH272" s="4" t="s">
        <v>1112</v>
      </c>
      <c r="AI272" s="4" t="s">
        <v>156</v>
      </c>
    </row>
    <row r="273" spans="1:35" ht="108" x14ac:dyDescent="0.3">
      <c r="A273" s="10" t="s">
        <v>1113</v>
      </c>
      <c r="B273" s="10"/>
      <c r="C273" s="24" t="s">
        <v>1114</v>
      </c>
      <c r="D273" s="15"/>
      <c r="E273" s="15" t="s">
        <v>1115</v>
      </c>
      <c r="F273" s="25" t="s">
        <v>159</v>
      </c>
      <c r="G273" s="26">
        <v>0.3</v>
      </c>
      <c r="H273" s="26"/>
      <c r="I273" s="26">
        <v>756.25</v>
      </c>
      <c r="J273" s="27">
        <v>1236.8399999999999</v>
      </c>
      <c r="M273" s="28">
        <f>ROUND(ROUND(J273, 2)*I273, 2)</f>
        <v>935360.25</v>
      </c>
      <c r="P273" s="27">
        <v>378.25</v>
      </c>
      <c r="S273" s="28">
        <f>ROUND(ROUND(P273, 2)*I273, 2)</f>
        <v>286051.56</v>
      </c>
      <c r="V273" s="9">
        <f>ROUND(ROUND(P273, 2)/1.2, 2)</f>
        <v>315.20999999999998</v>
      </c>
      <c r="Y273" s="9">
        <f t="shared" ref="Y273:Y318" si="16">ROUND(S273 / 1.2, 2)</f>
        <v>238376.3</v>
      </c>
      <c r="AD273" s="4" t="s">
        <v>1116</v>
      </c>
      <c r="AE273" s="4" t="s">
        <v>1117</v>
      </c>
      <c r="AF273" s="4" t="s">
        <v>1118</v>
      </c>
    </row>
    <row r="274" spans="1:35" ht="36" x14ac:dyDescent="0.3">
      <c r="A274" s="10" t="s">
        <v>1119</v>
      </c>
      <c r="B274" s="10"/>
      <c r="C274" s="24" t="s">
        <v>1120</v>
      </c>
      <c r="D274" s="15"/>
      <c r="E274" s="15"/>
      <c r="F274" s="25" t="s">
        <v>159</v>
      </c>
      <c r="G274" s="26">
        <v>0.15</v>
      </c>
      <c r="H274" s="26"/>
      <c r="I274" s="26">
        <v>378.125</v>
      </c>
      <c r="J274" s="27">
        <v>81.34</v>
      </c>
      <c r="M274" s="28">
        <f>ROUND(ROUND(J274, 2)*I274, 2)</f>
        <v>30756.69</v>
      </c>
      <c r="P274" s="27">
        <v>81.34</v>
      </c>
      <c r="S274" s="28">
        <f>ROUND(ROUND(P274, 2)*I274, 2)</f>
        <v>30756.69</v>
      </c>
      <c r="V274" s="9">
        <f>ROUND(ROUND(P274, 2)/1.2, 2)</f>
        <v>67.78</v>
      </c>
      <c r="Y274" s="9">
        <f t="shared" si="16"/>
        <v>25630.58</v>
      </c>
      <c r="AD274" s="4" t="s">
        <v>1121</v>
      </c>
      <c r="AE274" s="4" t="s">
        <v>1122</v>
      </c>
      <c r="AF274" s="4" t="s">
        <v>1123</v>
      </c>
    </row>
    <row r="275" spans="1:35" ht="36" x14ac:dyDescent="0.3">
      <c r="A275" s="10" t="s">
        <v>1124</v>
      </c>
      <c r="B275" s="10" t="s">
        <v>1108</v>
      </c>
      <c r="C275" s="14" t="s">
        <v>1109</v>
      </c>
      <c r="D275" s="15"/>
      <c r="E275" s="15" t="s">
        <v>1110</v>
      </c>
      <c r="F275" s="15" t="s">
        <v>75</v>
      </c>
      <c r="G275" s="16">
        <v>1</v>
      </c>
      <c r="H275" s="16"/>
      <c r="I275" s="16">
        <v>515.05999999999995</v>
      </c>
      <c r="J275" s="17">
        <v>384.59</v>
      </c>
      <c r="K275" s="18">
        <v>428</v>
      </c>
      <c r="L275" s="17">
        <f>J275+ROUND(K275, 2)</f>
        <v>812.58999999999992</v>
      </c>
      <c r="M275" s="17">
        <v>198086.93</v>
      </c>
      <c r="N275" s="17">
        <v>220445.68</v>
      </c>
      <c r="O275" s="17">
        <f>M275+N275</f>
        <v>418532.61</v>
      </c>
      <c r="P275" s="17">
        <v>127.02</v>
      </c>
      <c r="Q275" s="18">
        <v>428</v>
      </c>
      <c r="R275" s="17">
        <f>P275+ROUND(Q275, 2)</f>
        <v>555.02</v>
      </c>
      <c r="S275" s="17">
        <v>65422.92</v>
      </c>
      <c r="T275" s="17">
        <v>220445.68</v>
      </c>
      <c r="U275" s="17">
        <f>S275+T275</f>
        <v>285868.59999999998</v>
      </c>
      <c r="V275" s="9">
        <f>ROUND(P275 / 1.2, 2)</f>
        <v>105.85</v>
      </c>
      <c r="W275" s="9">
        <f>ROUND(Q275 / 1.2, 2)</f>
        <v>356.67</v>
      </c>
      <c r="X275" s="9">
        <f>ROUND(R275 / 1.2, 2)</f>
        <v>462.52</v>
      </c>
      <c r="Y275" s="9">
        <f t="shared" si="16"/>
        <v>54519.1</v>
      </c>
      <c r="Z275" s="9">
        <f>ROUND(T275 / 1.2, 2)</f>
        <v>183704.73</v>
      </c>
      <c r="AA275" s="9">
        <f>Y275+Z275</f>
        <v>238223.83000000002</v>
      </c>
      <c r="AD275" s="4">
        <v>339118927</v>
      </c>
      <c r="AE275" s="4">
        <v>28951761</v>
      </c>
      <c r="AG275" s="4" t="s">
        <v>1111</v>
      </c>
      <c r="AH275" s="4" t="s">
        <v>1112</v>
      </c>
      <c r="AI275" s="4" t="s">
        <v>156</v>
      </c>
    </row>
    <row r="276" spans="1:35" ht="90" x14ac:dyDescent="0.3">
      <c r="A276" s="10" t="s">
        <v>1125</v>
      </c>
      <c r="B276" s="10"/>
      <c r="C276" s="24" t="s">
        <v>1114</v>
      </c>
      <c r="D276" s="15"/>
      <c r="E276" s="15" t="s">
        <v>1126</v>
      </c>
      <c r="F276" s="25" t="s">
        <v>159</v>
      </c>
      <c r="G276" s="26">
        <v>0.3</v>
      </c>
      <c r="H276" s="26"/>
      <c r="I276" s="26">
        <v>154.518</v>
      </c>
      <c r="J276" s="27">
        <v>1236.8399999999999</v>
      </c>
      <c r="M276" s="28">
        <f>ROUND(ROUND(J276, 2)*I276, 2)</f>
        <v>191114.04</v>
      </c>
      <c r="P276" s="27">
        <v>378.25</v>
      </c>
      <c r="S276" s="28">
        <f>ROUND(ROUND(P276, 2)*I276, 2)</f>
        <v>58446.43</v>
      </c>
      <c r="V276" s="9">
        <f>ROUND(ROUND(P276, 2)/1.2, 2)</f>
        <v>315.20999999999998</v>
      </c>
      <c r="Y276" s="9">
        <f t="shared" si="16"/>
        <v>48705.36</v>
      </c>
      <c r="AD276" s="4" t="s">
        <v>1127</v>
      </c>
      <c r="AE276" s="4" t="s">
        <v>1128</v>
      </c>
      <c r="AF276" s="4" t="s">
        <v>1118</v>
      </c>
    </row>
    <row r="277" spans="1:35" ht="36" x14ac:dyDescent="0.3">
      <c r="A277" s="10" t="s">
        <v>1129</v>
      </c>
      <c r="B277" s="10"/>
      <c r="C277" s="24" t="s">
        <v>480</v>
      </c>
      <c r="D277" s="15"/>
      <c r="E277" s="15"/>
      <c r="F277" s="25" t="s">
        <v>159</v>
      </c>
      <c r="G277" s="26">
        <v>0.15</v>
      </c>
      <c r="H277" s="26"/>
      <c r="I277" s="26">
        <v>77.259</v>
      </c>
      <c r="J277" s="27">
        <v>90.28</v>
      </c>
      <c r="M277" s="28">
        <f>ROUND(ROUND(J277, 2)*I277, 2)</f>
        <v>6974.94</v>
      </c>
      <c r="P277" s="27">
        <v>90.28</v>
      </c>
      <c r="S277" s="28">
        <f>ROUND(ROUND(P277, 2)*I277, 2)</f>
        <v>6974.94</v>
      </c>
      <c r="V277" s="9">
        <f>ROUND(ROUND(P277, 2)/1.2, 2)</f>
        <v>75.23</v>
      </c>
      <c r="Y277" s="9">
        <f t="shared" si="16"/>
        <v>5812.45</v>
      </c>
      <c r="AD277" s="4" t="s">
        <v>1130</v>
      </c>
      <c r="AE277" s="4" t="s">
        <v>1131</v>
      </c>
      <c r="AF277" s="4" t="s">
        <v>483</v>
      </c>
    </row>
    <row r="278" spans="1:35" ht="54" x14ac:dyDescent="0.3">
      <c r="A278" s="10" t="s">
        <v>1132</v>
      </c>
      <c r="B278" s="10" t="s">
        <v>1108</v>
      </c>
      <c r="C278" s="14" t="s">
        <v>1109</v>
      </c>
      <c r="D278" s="15"/>
      <c r="E278" s="15" t="s">
        <v>1093</v>
      </c>
      <c r="F278" s="15" t="s">
        <v>75</v>
      </c>
      <c r="G278" s="16">
        <v>1</v>
      </c>
      <c r="H278" s="16"/>
      <c r="I278" s="16">
        <v>1183.1199999999999</v>
      </c>
      <c r="J278" s="17">
        <v>384.59</v>
      </c>
      <c r="K278" s="18">
        <v>428</v>
      </c>
      <c r="L278" s="17">
        <f>J278+ROUND(K278, 2)</f>
        <v>812.58999999999992</v>
      </c>
      <c r="M278" s="17">
        <v>455016.12</v>
      </c>
      <c r="N278" s="17">
        <v>506375.36</v>
      </c>
      <c r="O278" s="17">
        <f>M278+N278</f>
        <v>961391.48</v>
      </c>
      <c r="P278" s="17">
        <v>127.02</v>
      </c>
      <c r="Q278" s="18">
        <v>428</v>
      </c>
      <c r="R278" s="17">
        <f>P278+ROUND(Q278, 2)</f>
        <v>555.02</v>
      </c>
      <c r="S278" s="17">
        <v>150279.9</v>
      </c>
      <c r="T278" s="17">
        <v>506375.36</v>
      </c>
      <c r="U278" s="17">
        <f>S278+T278</f>
        <v>656655.26</v>
      </c>
      <c r="V278" s="9">
        <f>ROUND(P278 / 1.2, 2)</f>
        <v>105.85</v>
      </c>
      <c r="W278" s="9">
        <f>ROUND(Q278 / 1.2, 2)</f>
        <v>356.67</v>
      </c>
      <c r="X278" s="9">
        <f>ROUND(R278 / 1.2, 2)</f>
        <v>462.52</v>
      </c>
      <c r="Y278" s="9">
        <f t="shared" si="16"/>
        <v>125233.25</v>
      </c>
      <c r="Z278" s="9">
        <f>ROUND(T278 / 1.2, 2)</f>
        <v>421979.47</v>
      </c>
      <c r="AA278" s="9">
        <f>Y278+Z278</f>
        <v>547212.72</v>
      </c>
      <c r="AD278" s="4">
        <v>339118928</v>
      </c>
      <c r="AE278" s="4">
        <v>28983431</v>
      </c>
      <c r="AG278" s="4" t="s">
        <v>1111</v>
      </c>
      <c r="AH278" s="4" t="s">
        <v>1112</v>
      </c>
      <c r="AI278" s="4" t="s">
        <v>156</v>
      </c>
    </row>
    <row r="279" spans="1:35" ht="36" x14ac:dyDescent="0.3">
      <c r="A279" s="10" t="s">
        <v>1133</v>
      </c>
      <c r="B279" s="10"/>
      <c r="C279" s="24" t="s">
        <v>480</v>
      </c>
      <c r="D279" s="15"/>
      <c r="E279" s="15"/>
      <c r="F279" s="25" t="s">
        <v>159</v>
      </c>
      <c r="G279" s="26">
        <v>0.15</v>
      </c>
      <c r="H279" s="26"/>
      <c r="I279" s="26">
        <v>177.46799999999999</v>
      </c>
      <c r="J279" s="27">
        <v>90.28</v>
      </c>
      <c r="M279" s="28">
        <f>ROUND(ROUND(J279, 2)*I279, 2)</f>
        <v>16021.81</v>
      </c>
      <c r="P279" s="27">
        <v>90.28</v>
      </c>
      <c r="S279" s="28">
        <f>ROUND(ROUND(P279, 2)*I279, 2)</f>
        <v>16021.81</v>
      </c>
      <c r="V279" s="9">
        <f>ROUND(ROUND(P279, 2)/1.2, 2)</f>
        <v>75.23</v>
      </c>
      <c r="Y279" s="9">
        <f t="shared" si="16"/>
        <v>13351.51</v>
      </c>
      <c r="AD279" s="4" t="s">
        <v>1134</v>
      </c>
      <c r="AE279" s="4" t="s">
        <v>1135</v>
      </c>
      <c r="AF279" s="4" t="s">
        <v>483</v>
      </c>
    </row>
    <row r="280" spans="1:35" ht="108" x14ac:dyDescent="0.3">
      <c r="A280" s="10" t="s">
        <v>1136</v>
      </c>
      <c r="B280" s="10"/>
      <c r="C280" s="24" t="s">
        <v>1114</v>
      </c>
      <c r="D280" s="15"/>
      <c r="E280" s="15" t="s">
        <v>1137</v>
      </c>
      <c r="F280" s="25" t="s">
        <v>159</v>
      </c>
      <c r="G280" s="26">
        <v>0.3</v>
      </c>
      <c r="H280" s="26"/>
      <c r="I280" s="26">
        <v>354.93599999999998</v>
      </c>
      <c r="J280" s="27">
        <v>1236.8399999999999</v>
      </c>
      <c r="M280" s="28">
        <f>ROUND(ROUND(J280, 2)*I280, 2)</f>
        <v>438999.03999999998</v>
      </c>
      <c r="P280" s="27">
        <v>378.25</v>
      </c>
      <c r="S280" s="28">
        <f>ROUND(ROUND(P280, 2)*I280, 2)</f>
        <v>134254.54</v>
      </c>
      <c r="V280" s="9">
        <f>ROUND(ROUND(P280, 2)/1.2, 2)</f>
        <v>315.20999999999998</v>
      </c>
      <c r="Y280" s="9">
        <f t="shared" si="16"/>
        <v>111878.78</v>
      </c>
      <c r="AD280" s="4" t="s">
        <v>1138</v>
      </c>
      <c r="AE280" s="4" t="s">
        <v>1139</v>
      </c>
      <c r="AF280" s="4" t="s">
        <v>1118</v>
      </c>
    </row>
    <row r="281" spans="1:35" ht="36" x14ac:dyDescent="0.3">
      <c r="A281" s="10" t="s">
        <v>1140</v>
      </c>
      <c r="B281" s="10" t="s">
        <v>1141</v>
      </c>
      <c r="C281" s="14" t="s">
        <v>1142</v>
      </c>
      <c r="D281" s="15"/>
      <c r="E281" s="15" t="s">
        <v>1143</v>
      </c>
      <c r="F281" s="15" t="s">
        <v>75</v>
      </c>
      <c r="G281" s="16">
        <v>1</v>
      </c>
      <c r="H281" s="16"/>
      <c r="I281" s="16">
        <v>206.42</v>
      </c>
      <c r="J281" s="17">
        <v>295.36</v>
      </c>
      <c r="K281" s="18">
        <v>472.01</v>
      </c>
      <c r="L281" s="17">
        <f>J281+ROUND(K281, 2)</f>
        <v>767.37</v>
      </c>
      <c r="M281" s="17">
        <v>60968.21</v>
      </c>
      <c r="N281" s="17">
        <v>97432.3</v>
      </c>
      <c r="O281" s="17">
        <f>M281+N281</f>
        <v>158400.51</v>
      </c>
      <c r="P281" s="17">
        <v>122.5</v>
      </c>
      <c r="Q281" s="18">
        <v>472.01</v>
      </c>
      <c r="R281" s="17">
        <f>P281+ROUND(Q281, 2)</f>
        <v>594.51</v>
      </c>
      <c r="S281" s="17">
        <v>25286.45</v>
      </c>
      <c r="T281" s="17">
        <v>97432.3</v>
      </c>
      <c r="U281" s="17">
        <f>S281+T281</f>
        <v>122718.75</v>
      </c>
      <c r="V281" s="9">
        <f>ROUND(P281 / 1.2, 2)</f>
        <v>102.08</v>
      </c>
      <c r="W281" s="9">
        <f>ROUND(Q281 / 1.2, 2)</f>
        <v>393.34</v>
      </c>
      <c r="X281" s="9">
        <f>ROUND(R281 / 1.2, 2)</f>
        <v>495.43</v>
      </c>
      <c r="Y281" s="9">
        <f t="shared" si="16"/>
        <v>21072.04</v>
      </c>
      <c r="Z281" s="9">
        <f>ROUND(T281 / 1.2, 2)</f>
        <v>81193.58</v>
      </c>
      <c r="AA281" s="9">
        <f>Y281+Z281</f>
        <v>102265.62</v>
      </c>
      <c r="AD281" s="4">
        <v>339118858</v>
      </c>
      <c r="AE281" s="4">
        <v>28999465</v>
      </c>
      <c r="AG281" s="4" t="s">
        <v>1144</v>
      </c>
      <c r="AH281" s="4" t="s">
        <v>1145</v>
      </c>
      <c r="AI281" s="4" t="s">
        <v>156</v>
      </c>
    </row>
    <row r="282" spans="1:35" ht="108" x14ac:dyDescent="0.3">
      <c r="A282" s="10" t="s">
        <v>1146</v>
      </c>
      <c r="B282" s="10"/>
      <c r="C282" s="24" t="s">
        <v>1147</v>
      </c>
      <c r="D282" s="15"/>
      <c r="E282" s="15" t="s">
        <v>1115</v>
      </c>
      <c r="F282" s="25" t="s">
        <v>159</v>
      </c>
      <c r="G282" s="26">
        <v>0.3</v>
      </c>
      <c r="H282" s="26"/>
      <c r="I282" s="26">
        <v>61.926000000000002</v>
      </c>
      <c r="J282" s="27">
        <v>954.43</v>
      </c>
      <c r="M282" s="28">
        <f>ROUND(ROUND(J282, 2)*I282, 2)</f>
        <v>59104.03</v>
      </c>
      <c r="P282" s="27">
        <v>378.25</v>
      </c>
      <c r="S282" s="28">
        <f>ROUND(ROUND(P282, 2)*I282, 2)</f>
        <v>23423.51</v>
      </c>
      <c r="V282" s="9">
        <f>ROUND(ROUND(P282, 2)/1.2, 2)</f>
        <v>315.20999999999998</v>
      </c>
      <c r="Y282" s="9">
        <f t="shared" si="16"/>
        <v>19519.59</v>
      </c>
      <c r="AD282" s="4" t="s">
        <v>1148</v>
      </c>
      <c r="AE282" s="4" t="s">
        <v>1149</v>
      </c>
      <c r="AF282" s="4" t="s">
        <v>1150</v>
      </c>
    </row>
    <row r="283" spans="1:35" ht="36" x14ac:dyDescent="0.3">
      <c r="A283" s="10" t="s">
        <v>1151</v>
      </c>
      <c r="B283" s="10"/>
      <c r="C283" s="24" t="s">
        <v>480</v>
      </c>
      <c r="D283" s="15"/>
      <c r="E283" s="15"/>
      <c r="F283" s="25" t="s">
        <v>159</v>
      </c>
      <c r="G283" s="26">
        <v>0.1</v>
      </c>
      <c r="H283" s="26"/>
      <c r="I283" s="26">
        <v>20.641999999999999</v>
      </c>
      <c r="J283" s="27">
        <v>90.28</v>
      </c>
      <c r="M283" s="28">
        <f>ROUND(ROUND(J283, 2)*I283, 2)</f>
        <v>1863.56</v>
      </c>
      <c r="P283" s="27">
        <v>90.28</v>
      </c>
      <c r="S283" s="28">
        <f>ROUND(ROUND(P283, 2)*I283, 2)</f>
        <v>1863.56</v>
      </c>
      <c r="V283" s="9">
        <f>ROUND(ROUND(P283, 2)/1.2, 2)</f>
        <v>75.23</v>
      </c>
      <c r="Y283" s="9">
        <f t="shared" si="16"/>
        <v>1552.97</v>
      </c>
      <c r="AD283" s="4" t="s">
        <v>1152</v>
      </c>
      <c r="AE283" s="4" t="s">
        <v>1153</v>
      </c>
      <c r="AF283" s="4" t="s">
        <v>483</v>
      </c>
    </row>
    <row r="284" spans="1:35" ht="54" x14ac:dyDescent="0.3">
      <c r="A284" s="10" t="s">
        <v>1154</v>
      </c>
      <c r="B284" s="10" t="s">
        <v>1155</v>
      </c>
      <c r="C284" s="14" t="s">
        <v>1156</v>
      </c>
      <c r="D284" s="15"/>
      <c r="E284" s="15" t="s">
        <v>1157</v>
      </c>
      <c r="F284" s="15" t="s">
        <v>75</v>
      </c>
      <c r="G284" s="16">
        <v>1</v>
      </c>
      <c r="H284" s="16"/>
      <c r="I284" s="16">
        <v>226.14</v>
      </c>
      <c r="J284" s="17">
        <v>1625.55</v>
      </c>
      <c r="K284" s="18">
        <v>2363.9899999999998</v>
      </c>
      <c r="L284" s="17">
        <f>J284+ROUND(K284, 2)</f>
        <v>3989.54</v>
      </c>
      <c r="M284" s="17">
        <v>367601.88</v>
      </c>
      <c r="N284" s="17">
        <v>534592.69999999995</v>
      </c>
      <c r="O284" s="17">
        <f>M284+N284</f>
        <v>902194.58</v>
      </c>
      <c r="P284" s="17">
        <v>1625.55</v>
      </c>
      <c r="Q284" s="18">
        <v>2363.9899999999998</v>
      </c>
      <c r="R284" s="17">
        <f>P284+ROUND(Q284, 2)</f>
        <v>3989.54</v>
      </c>
      <c r="S284" s="17">
        <v>367601.88</v>
      </c>
      <c r="T284" s="17">
        <v>534592.69999999995</v>
      </c>
      <c r="U284" s="17">
        <f>S284+T284</f>
        <v>902194.58</v>
      </c>
      <c r="V284" s="9">
        <f>ROUND(P284 / 1.2, 2)</f>
        <v>1354.63</v>
      </c>
      <c r="W284" s="9">
        <f>ROUND(Q284 / 1.2, 2)</f>
        <v>1969.99</v>
      </c>
      <c r="X284" s="9">
        <f>ROUND(R284 / 1.2, 2)</f>
        <v>3324.62</v>
      </c>
      <c r="Y284" s="9">
        <f t="shared" si="16"/>
        <v>306334.90000000002</v>
      </c>
      <c r="Z284" s="9">
        <f>ROUND(T284 / 1.2, 2)</f>
        <v>445493.92</v>
      </c>
      <c r="AA284" s="9">
        <f>Y284+Z284</f>
        <v>751828.82000000007</v>
      </c>
      <c r="AD284" s="4">
        <v>339118860</v>
      </c>
      <c r="AE284" s="4">
        <v>29086441</v>
      </c>
      <c r="AG284" s="4" t="s">
        <v>1158</v>
      </c>
      <c r="AH284" s="4" t="s">
        <v>1159</v>
      </c>
      <c r="AI284" s="4" t="s">
        <v>156</v>
      </c>
    </row>
    <row r="285" spans="1:35" ht="36" x14ac:dyDescent="0.3">
      <c r="A285" s="10" t="s">
        <v>1160</v>
      </c>
      <c r="B285" s="10"/>
      <c r="C285" s="24" t="s">
        <v>534</v>
      </c>
      <c r="D285" s="15"/>
      <c r="E285" s="15"/>
      <c r="F285" s="25" t="s">
        <v>159</v>
      </c>
      <c r="G285" s="26">
        <v>0.15</v>
      </c>
      <c r="H285" s="26"/>
      <c r="I285" s="26">
        <v>33.920999999999999</v>
      </c>
      <c r="J285" s="27">
        <v>69.540000000000006</v>
      </c>
      <c r="M285" s="28">
        <f>ROUND(ROUND(J285, 2)*I285, 2)</f>
        <v>2358.87</v>
      </c>
      <c r="P285" s="27">
        <v>69.540000000000006</v>
      </c>
      <c r="S285" s="28">
        <f>ROUND(ROUND(P285, 2)*I285, 2)</f>
        <v>2358.87</v>
      </c>
      <c r="V285" s="9">
        <f>ROUND(ROUND(P285, 2)/1.2, 2)</f>
        <v>57.95</v>
      </c>
      <c r="Y285" s="9">
        <f t="shared" si="16"/>
        <v>1965.73</v>
      </c>
      <c r="AD285" s="4" t="s">
        <v>1161</v>
      </c>
      <c r="AE285" s="4" t="s">
        <v>1162</v>
      </c>
      <c r="AF285" s="4" t="s">
        <v>537</v>
      </c>
    </row>
    <row r="286" spans="1:35" ht="36" x14ac:dyDescent="0.3">
      <c r="A286" s="10" t="s">
        <v>1163</v>
      </c>
      <c r="B286" s="10"/>
      <c r="C286" s="24" t="s">
        <v>510</v>
      </c>
      <c r="D286" s="15"/>
      <c r="E286" s="15"/>
      <c r="F286" s="25" t="s">
        <v>159</v>
      </c>
      <c r="G286" s="26">
        <v>0.25</v>
      </c>
      <c r="H286" s="32"/>
      <c r="I286" s="32">
        <v>56.534999999999997</v>
      </c>
      <c r="J286" s="27">
        <v>40.94</v>
      </c>
      <c r="M286" s="28">
        <f>ROUND(ROUND(J286, 2)*I286, 2)</f>
        <v>2314.54</v>
      </c>
      <c r="P286" s="27">
        <v>40.94</v>
      </c>
      <c r="S286" s="28">
        <f>ROUND(ROUND(P286, 2)*I286, 2)</f>
        <v>2314.54</v>
      </c>
      <c r="V286" s="9">
        <f>ROUND(ROUND(P286, 2)/1.2, 2)</f>
        <v>34.119999999999997</v>
      </c>
      <c r="Y286" s="9">
        <f t="shared" si="16"/>
        <v>1928.78</v>
      </c>
      <c r="AD286" s="4" t="s">
        <v>1164</v>
      </c>
      <c r="AE286" s="4" t="s">
        <v>1165</v>
      </c>
      <c r="AF286" s="4" t="s">
        <v>513</v>
      </c>
    </row>
    <row r="287" spans="1:35" ht="36" x14ac:dyDescent="0.3">
      <c r="A287" s="10" t="s">
        <v>1166</v>
      </c>
      <c r="B287" s="10"/>
      <c r="C287" s="30" t="s">
        <v>776</v>
      </c>
      <c r="D287" s="15"/>
      <c r="E287" s="15"/>
      <c r="F287" s="25" t="s">
        <v>159</v>
      </c>
      <c r="G287" s="26">
        <v>1.2</v>
      </c>
      <c r="H287" s="32"/>
      <c r="I287" s="32">
        <v>1356.84</v>
      </c>
      <c r="J287" s="27">
        <v>16.38</v>
      </c>
      <c r="M287" s="28">
        <f>ROUND(ROUND(J287, 2)*I287, 2)</f>
        <v>22225.040000000001</v>
      </c>
      <c r="P287" s="27">
        <v>16.38</v>
      </c>
      <c r="S287" s="28">
        <f>ROUND(ROUND(P287, 2)*I287, 2)</f>
        <v>22225.040000000001</v>
      </c>
      <c r="V287" s="9">
        <f>ROUND(ROUND(P287, 2)/1.2, 2)</f>
        <v>13.65</v>
      </c>
      <c r="Y287" s="9">
        <f t="shared" si="16"/>
        <v>18520.87</v>
      </c>
      <c r="AD287" s="4" t="s">
        <v>1167</v>
      </c>
      <c r="AE287" s="4" t="s">
        <v>1168</v>
      </c>
      <c r="AF287" s="4" t="s">
        <v>779</v>
      </c>
    </row>
    <row r="288" spans="1:35" ht="108" x14ac:dyDescent="0.3">
      <c r="A288" s="10" t="s">
        <v>1169</v>
      </c>
      <c r="B288" s="10"/>
      <c r="C288" s="30" t="s">
        <v>1170</v>
      </c>
      <c r="D288" s="15"/>
      <c r="E288" s="15" t="s">
        <v>1171</v>
      </c>
      <c r="F288" s="25" t="s">
        <v>75</v>
      </c>
      <c r="G288" s="26">
        <v>1.07</v>
      </c>
      <c r="H288" s="32"/>
      <c r="I288" s="32">
        <v>241.97</v>
      </c>
      <c r="J288" s="27">
        <v>1408.04</v>
      </c>
      <c r="M288" s="28">
        <f>ROUND(ROUND(J288, 2)*I288, 2)</f>
        <v>340703.44</v>
      </c>
      <c r="P288" s="27">
        <v>1408.04</v>
      </c>
      <c r="S288" s="28">
        <f>ROUND(ROUND(P288, 2)*I288, 2)</f>
        <v>340703.44</v>
      </c>
      <c r="V288" s="9">
        <f>ROUND(ROUND(P288, 2)/1.2, 2)</f>
        <v>1173.3699999999999</v>
      </c>
      <c r="Y288" s="9">
        <f t="shared" si="16"/>
        <v>283919.53000000003</v>
      </c>
      <c r="AD288" s="4" t="s">
        <v>1172</v>
      </c>
      <c r="AE288" s="4" t="s">
        <v>1173</v>
      </c>
      <c r="AF288" s="4" t="s">
        <v>1174</v>
      </c>
    </row>
    <row r="289" spans="1:35" ht="54" x14ac:dyDescent="0.3">
      <c r="A289" s="10" t="s">
        <v>1175</v>
      </c>
      <c r="B289" s="10" t="s">
        <v>1155</v>
      </c>
      <c r="C289" s="14" t="s">
        <v>1156</v>
      </c>
      <c r="D289" s="15"/>
      <c r="E289" s="15" t="s">
        <v>1176</v>
      </c>
      <c r="F289" s="15" t="s">
        <v>75</v>
      </c>
      <c r="G289" s="16">
        <v>1</v>
      </c>
      <c r="H289" s="16"/>
      <c r="I289" s="16">
        <v>843.68</v>
      </c>
      <c r="J289" s="17">
        <v>1625.55</v>
      </c>
      <c r="K289" s="18">
        <v>2363.9899999999998</v>
      </c>
      <c r="L289" s="17">
        <f>J289+ROUND(K289, 2)</f>
        <v>3989.54</v>
      </c>
      <c r="M289" s="17">
        <v>1371444.02</v>
      </c>
      <c r="N289" s="17">
        <v>1994451.08</v>
      </c>
      <c r="O289" s="17">
        <f>M289+N289</f>
        <v>3365895.1</v>
      </c>
      <c r="P289" s="17">
        <v>1625.55</v>
      </c>
      <c r="Q289" s="18">
        <v>2363.9899999999998</v>
      </c>
      <c r="R289" s="17">
        <f>P289+ROUND(Q289, 2)</f>
        <v>3989.54</v>
      </c>
      <c r="S289" s="17">
        <v>1371444.02</v>
      </c>
      <c r="T289" s="17">
        <v>1994451.08</v>
      </c>
      <c r="U289" s="17">
        <f>S289+T289</f>
        <v>3365895.1</v>
      </c>
      <c r="V289" s="9">
        <f>ROUND(P289 / 1.2, 2)</f>
        <v>1354.63</v>
      </c>
      <c r="W289" s="9">
        <f>ROUND(Q289 / 1.2, 2)</f>
        <v>1969.99</v>
      </c>
      <c r="X289" s="9">
        <f>ROUND(R289 / 1.2, 2)</f>
        <v>3324.62</v>
      </c>
      <c r="Y289" s="9">
        <f t="shared" si="16"/>
        <v>1142870.02</v>
      </c>
      <c r="Z289" s="9">
        <f>ROUND(T289 / 1.2, 2)</f>
        <v>1662042.57</v>
      </c>
      <c r="AA289" s="9">
        <f>Y289+Z289</f>
        <v>2804912.59</v>
      </c>
      <c r="AD289" s="4">
        <v>339118929</v>
      </c>
      <c r="AE289" s="4">
        <v>29086442</v>
      </c>
      <c r="AG289" s="4" t="s">
        <v>1158</v>
      </c>
      <c r="AH289" s="4" t="s">
        <v>1159</v>
      </c>
      <c r="AI289" s="4" t="s">
        <v>156</v>
      </c>
    </row>
    <row r="290" spans="1:35" ht="108" x14ac:dyDescent="0.3">
      <c r="A290" s="10" t="s">
        <v>1177</v>
      </c>
      <c r="B290" s="10"/>
      <c r="C290" s="30" t="s">
        <v>1170</v>
      </c>
      <c r="D290" s="15"/>
      <c r="E290" s="15" t="s">
        <v>1178</v>
      </c>
      <c r="F290" s="25" t="s">
        <v>75</v>
      </c>
      <c r="G290" s="26">
        <v>1.07</v>
      </c>
      <c r="H290" s="32"/>
      <c r="I290" s="32">
        <v>902.73800000000006</v>
      </c>
      <c r="J290" s="27">
        <v>1408.04</v>
      </c>
      <c r="M290" s="28">
        <f>ROUND(ROUND(J290, 2)*I290, 2)</f>
        <v>1271091.21</v>
      </c>
      <c r="P290" s="27">
        <v>1408.04</v>
      </c>
      <c r="S290" s="28">
        <f>ROUND(ROUND(P290, 2)*I290, 2)</f>
        <v>1271091.21</v>
      </c>
      <c r="V290" s="9">
        <f>ROUND(ROUND(P290, 2)/1.2, 2)</f>
        <v>1173.3699999999999</v>
      </c>
      <c r="Y290" s="9">
        <f t="shared" si="16"/>
        <v>1059242.68</v>
      </c>
      <c r="AD290" s="4" t="s">
        <v>1179</v>
      </c>
      <c r="AE290" s="4" t="s">
        <v>1180</v>
      </c>
      <c r="AF290" s="4" t="s">
        <v>1174</v>
      </c>
    </row>
    <row r="291" spans="1:35" ht="36" x14ac:dyDescent="0.3">
      <c r="A291" s="10" t="s">
        <v>1181</v>
      </c>
      <c r="B291" s="10"/>
      <c r="C291" s="30" t="s">
        <v>776</v>
      </c>
      <c r="D291" s="15"/>
      <c r="E291" s="15"/>
      <c r="F291" s="25" t="s">
        <v>159</v>
      </c>
      <c r="G291" s="26">
        <v>1.2</v>
      </c>
      <c r="H291" s="32"/>
      <c r="I291" s="32">
        <v>5062.08</v>
      </c>
      <c r="J291" s="27">
        <v>16.38</v>
      </c>
      <c r="M291" s="28">
        <f>ROUND(ROUND(J291, 2)*I291, 2)</f>
        <v>82916.87</v>
      </c>
      <c r="P291" s="27">
        <v>16.38</v>
      </c>
      <c r="S291" s="28">
        <f>ROUND(ROUND(P291, 2)*I291, 2)</f>
        <v>82916.87</v>
      </c>
      <c r="V291" s="9">
        <f>ROUND(ROUND(P291, 2)/1.2, 2)</f>
        <v>13.65</v>
      </c>
      <c r="Y291" s="9">
        <f t="shared" si="16"/>
        <v>69097.39</v>
      </c>
      <c r="AD291" s="4" t="s">
        <v>1182</v>
      </c>
      <c r="AE291" s="4" t="s">
        <v>1183</v>
      </c>
      <c r="AF291" s="4" t="s">
        <v>779</v>
      </c>
    </row>
    <row r="292" spans="1:35" ht="36" x14ac:dyDescent="0.3">
      <c r="A292" s="10" t="s">
        <v>1184</v>
      </c>
      <c r="B292" s="10"/>
      <c r="C292" s="24" t="s">
        <v>510</v>
      </c>
      <c r="D292" s="15"/>
      <c r="E292" s="15"/>
      <c r="F292" s="25" t="s">
        <v>159</v>
      </c>
      <c r="G292" s="26">
        <v>0.25</v>
      </c>
      <c r="H292" s="32"/>
      <c r="I292" s="32">
        <v>210.92</v>
      </c>
      <c r="J292" s="27">
        <v>40.94</v>
      </c>
      <c r="M292" s="28">
        <f>ROUND(ROUND(J292, 2)*I292, 2)</f>
        <v>8635.06</v>
      </c>
      <c r="P292" s="27">
        <v>40.94</v>
      </c>
      <c r="S292" s="28">
        <f>ROUND(ROUND(P292, 2)*I292, 2)</f>
        <v>8635.06</v>
      </c>
      <c r="V292" s="9">
        <f>ROUND(ROUND(P292, 2)/1.2, 2)</f>
        <v>34.119999999999997</v>
      </c>
      <c r="Y292" s="9">
        <f t="shared" si="16"/>
        <v>7195.88</v>
      </c>
      <c r="AD292" s="4" t="s">
        <v>1185</v>
      </c>
      <c r="AE292" s="4" t="s">
        <v>1186</v>
      </c>
      <c r="AF292" s="4" t="s">
        <v>513</v>
      </c>
    </row>
    <row r="293" spans="1:35" ht="36" x14ac:dyDescent="0.3">
      <c r="A293" s="10" t="s">
        <v>1187</v>
      </c>
      <c r="B293" s="10"/>
      <c r="C293" s="24" t="s">
        <v>534</v>
      </c>
      <c r="D293" s="15"/>
      <c r="E293" s="15"/>
      <c r="F293" s="25" t="s">
        <v>159</v>
      </c>
      <c r="G293" s="26">
        <v>0.15</v>
      </c>
      <c r="H293" s="26"/>
      <c r="I293" s="26">
        <v>126.55200000000001</v>
      </c>
      <c r="J293" s="27">
        <v>69.540000000000006</v>
      </c>
      <c r="M293" s="28">
        <f>ROUND(ROUND(J293, 2)*I293, 2)</f>
        <v>8800.43</v>
      </c>
      <c r="P293" s="27">
        <v>69.540000000000006</v>
      </c>
      <c r="S293" s="28">
        <f>ROUND(ROUND(P293, 2)*I293, 2)</f>
        <v>8800.43</v>
      </c>
      <c r="V293" s="9">
        <f>ROUND(ROUND(P293, 2)/1.2, 2)</f>
        <v>57.95</v>
      </c>
      <c r="Y293" s="9">
        <f t="shared" si="16"/>
        <v>7333.69</v>
      </c>
      <c r="AD293" s="4" t="s">
        <v>1188</v>
      </c>
      <c r="AE293" s="4" t="s">
        <v>1189</v>
      </c>
      <c r="AF293" s="4" t="s">
        <v>537</v>
      </c>
    </row>
    <row r="294" spans="1:35" ht="54" x14ac:dyDescent="0.3">
      <c r="A294" s="10" t="s">
        <v>1190</v>
      </c>
      <c r="B294" s="10" t="s">
        <v>1155</v>
      </c>
      <c r="C294" s="14" t="s">
        <v>1156</v>
      </c>
      <c r="D294" s="15"/>
      <c r="E294" s="15" t="s">
        <v>1191</v>
      </c>
      <c r="F294" s="15" t="s">
        <v>75</v>
      </c>
      <c r="G294" s="16">
        <v>1</v>
      </c>
      <c r="H294" s="16"/>
      <c r="I294" s="16">
        <v>355.1</v>
      </c>
      <c r="J294" s="17">
        <v>1146.95</v>
      </c>
      <c r="K294" s="18">
        <v>2363.9899999999998</v>
      </c>
      <c r="L294" s="17">
        <f>J294+ROUND(K294, 2)</f>
        <v>3510.9399999999996</v>
      </c>
      <c r="M294" s="17">
        <v>407281.95</v>
      </c>
      <c r="N294" s="17">
        <v>839452.85</v>
      </c>
      <c r="O294" s="17">
        <f>M294+N294</f>
        <v>1246734.8</v>
      </c>
      <c r="P294" s="17">
        <v>1146.95</v>
      </c>
      <c r="Q294" s="18">
        <v>2363.9899999999998</v>
      </c>
      <c r="R294" s="17">
        <f>P294+ROUND(Q294, 2)</f>
        <v>3510.9399999999996</v>
      </c>
      <c r="S294" s="17">
        <v>407281.95</v>
      </c>
      <c r="T294" s="17">
        <v>839452.85</v>
      </c>
      <c r="U294" s="17">
        <f>S294+T294</f>
        <v>1246734.8</v>
      </c>
      <c r="V294" s="9">
        <f>ROUND(P294 / 1.2, 2)</f>
        <v>955.79</v>
      </c>
      <c r="W294" s="9">
        <f>ROUND(Q294 / 1.2, 2)</f>
        <v>1969.99</v>
      </c>
      <c r="X294" s="9">
        <f>ROUND(R294 / 1.2, 2)</f>
        <v>2925.78</v>
      </c>
      <c r="Y294" s="9">
        <f t="shared" si="16"/>
        <v>339401.63</v>
      </c>
      <c r="Z294" s="9">
        <f>ROUND(T294 / 1.2, 2)</f>
        <v>699544.04</v>
      </c>
      <c r="AA294" s="9">
        <f>Y294+Z294</f>
        <v>1038945.67</v>
      </c>
      <c r="AD294" s="4">
        <v>339118930</v>
      </c>
      <c r="AE294" s="4">
        <v>29086443</v>
      </c>
      <c r="AG294" s="4" t="s">
        <v>1158</v>
      </c>
      <c r="AH294" s="4" t="s">
        <v>1159</v>
      </c>
      <c r="AI294" s="4" t="s">
        <v>156</v>
      </c>
    </row>
    <row r="295" spans="1:35" ht="36" x14ac:dyDescent="0.3">
      <c r="A295" s="10" t="s">
        <v>1192</v>
      </c>
      <c r="B295" s="10"/>
      <c r="C295" s="24" t="s">
        <v>534</v>
      </c>
      <c r="D295" s="15"/>
      <c r="E295" s="15"/>
      <c r="F295" s="25" t="s">
        <v>159</v>
      </c>
      <c r="G295" s="26">
        <v>0.15</v>
      </c>
      <c r="H295" s="26"/>
      <c r="I295" s="26">
        <v>53.265000000000001</v>
      </c>
      <c r="J295" s="27">
        <v>69.540000000000006</v>
      </c>
      <c r="M295" s="28">
        <f>ROUND(ROUND(J295, 2)*I295, 2)</f>
        <v>3704.05</v>
      </c>
      <c r="P295" s="27">
        <v>69.540000000000006</v>
      </c>
      <c r="S295" s="28">
        <f>ROUND(ROUND(P295, 2)*I295, 2)</f>
        <v>3704.05</v>
      </c>
      <c r="V295" s="9">
        <f>ROUND(ROUND(P295, 2)/1.2, 2)</f>
        <v>57.95</v>
      </c>
      <c r="Y295" s="9">
        <f t="shared" si="16"/>
        <v>3086.71</v>
      </c>
      <c r="AD295" s="4" t="s">
        <v>1193</v>
      </c>
      <c r="AE295" s="4" t="s">
        <v>1194</v>
      </c>
      <c r="AF295" s="4" t="s">
        <v>537</v>
      </c>
    </row>
    <row r="296" spans="1:35" ht="36" x14ac:dyDescent="0.3">
      <c r="A296" s="10" t="s">
        <v>1195</v>
      </c>
      <c r="B296" s="10"/>
      <c r="C296" s="24" t="s">
        <v>510</v>
      </c>
      <c r="D296" s="15"/>
      <c r="E296" s="15"/>
      <c r="F296" s="25" t="s">
        <v>159</v>
      </c>
      <c r="G296" s="26">
        <v>0.25</v>
      </c>
      <c r="H296" s="32"/>
      <c r="I296" s="32">
        <v>88.775000000000006</v>
      </c>
      <c r="J296" s="27">
        <v>40.94</v>
      </c>
      <c r="M296" s="28">
        <f>ROUND(ROUND(J296, 2)*I296, 2)</f>
        <v>3634.45</v>
      </c>
      <c r="P296" s="27">
        <v>40.94</v>
      </c>
      <c r="S296" s="28">
        <f>ROUND(ROUND(P296, 2)*I296, 2)</f>
        <v>3634.45</v>
      </c>
      <c r="V296" s="9">
        <f>ROUND(ROUND(P296, 2)/1.2, 2)</f>
        <v>34.119999999999997</v>
      </c>
      <c r="Y296" s="9">
        <f t="shared" si="16"/>
        <v>3028.71</v>
      </c>
      <c r="AD296" s="4" t="s">
        <v>1196</v>
      </c>
      <c r="AE296" s="4" t="s">
        <v>1197</v>
      </c>
      <c r="AF296" s="4" t="s">
        <v>513</v>
      </c>
    </row>
    <row r="297" spans="1:35" ht="36" x14ac:dyDescent="0.3">
      <c r="A297" s="10" t="s">
        <v>1198</v>
      </c>
      <c r="B297" s="10"/>
      <c r="C297" s="30" t="s">
        <v>776</v>
      </c>
      <c r="D297" s="15"/>
      <c r="E297" s="15"/>
      <c r="F297" s="25" t="s">
        <v>159</v>
      </c>
      <c r="G297" s="26">
        <v>1.2</v>
      </c>
      <c r="H297" s="32"/>
      <c r="I297" s="32">
        <v>2130.6</v>
      </c>
      <c r="J297" s="27">
        <v>16.38</v>
      </c>
      <c r="M297" s="28">
        <f>ROUND(ROUND(J297, 2)*I297, 2)</f>
        <v>34899.230000000003</v>
      </c>
      <c r="P297" s="27">
        <v>16.38</v>
      </c>
      <c r="S297" s="28">
        <f>ROUND(ROUND(P297, 2)*I297, 2)</f>
        <v>34899.230000000003</v>
      </c>
      <c r="V297" s="9">
        <f>ROUND(ROUND(P297, 2)/1.2, 2)</f>
        <v>13.65</v>
      </c>
      <c r="Y297" s="9">
        <f t="shared" si="16"/>
        <v>29082.69</v>
      </c>
      <c r="AD297" s="4" t="s">
        <v>1199</v>
      </c>
      <c r="AE297" s="4" t="s">
        <v>1200</v>
      </c>
      <c r="AF297" s="4" t="s">
        <v>779</v>
      </c>
    </row>
    <row r="298" spans="1:35" ht="72" x14ac:dyDescent="0.3">
      <c r="A298" s="10" t="s">
        <v>1201</v>
      </c>
      <c r="B298" s="10"/>
      <c r="C298" s="30" t="s">
        <v>1202</v>
      </c>
      <c r="D298" s="15"/>
      <c r="E298" s="15" t="s">
        <v>1203</v>
      </c>
      <c r="F298" s="25" t="s">
        <v>75</v>
      </c>
      <c r="G298" s="26">
        <v>1.07</v>
      </c>
      <c r="H298" s="32"/>
      <c r="I298" s="32">
        <v>379.95699999999999</v>
      </c>
      <c r="J298" s="27">
        <v>960.75</v>
      </c>
      <c r="M298" s="28">
        <f>ROUND(ROUND(J298, 2)*I298, 2)</f>
        <v>365043.69</v>
      </c>
      <c r="P298" s="27">
        <v>960.75</v>
      </c>
      <c r="S298" s="28">
        <f>ROUND(ROUND(P298, 2)*I298, 2)</f>
        <v>365043.69</v>
      </c>
      <c r="V298" s="9">
        <f>ROUND(ROUND(P298, 2)/1.2, 2)</f>
        <v>800.63</v>
      </c>
      <c r="Y298" s="9">
        <f t="shared" si="16"/>
        <v>304203.08</v>
      </c>
      <c r="AD298" s="4" t="s">
        <v>1204</v>
      </c>
      <c r="AE298" s="4" t="s">
        <v>1205</v>
      </c>
      <c r="AF298" s="4" t="s">
        <v>1206</v>
      </c>
    </row>
    <row r="299" spans="1:35" ht="54" x14ac:dyDescent="0.3">
      <c r="A299" s="10" t="s">
        <v>1207</v>
      </c>
      <c r="B299" s="10" t="s">
        <v>1155</v>
      </c>
      <c r="C299" s="14" t="s">
        <v>1156</v>
      </c>
      <c r="D299" s="15"/>
      <c r="E299" s="15" t="s">
        <v>1208</v>
      </c>
      <c r="F299" s="15" t="s">
        <v>75</v>
      </c>
      <c r="G299" s="16">
        <v>1</v>
      </c>
      <c r="H299" s="16"/>
      <c r="I299" s="16">
        <v>67.34</v>
      </c>
      <c r="J299" s="17">
        <v>1625.55</v>
      </c>
      <c r="K299" s="18">
        <v>2363.9899999999998</v>
      </c>
      <c r="L299" s="17">
        <f>J299+ROUND(K299, 2)</f>
        <v>3989.54</v>
      </c>
      <c r="M299" s="17">
        <v>109464.54</v>
      </c>
      <c r="N299" s="17">
        <v>159191.09</v>
      </c>
      <c r="O299" s="17">
        <f>M299+N299</f>
        <v>268655.63</v>
      </c>
      <c r="P299" s="17">
        <v>1625.55</v>
      </c>
      <c r="Q299" s="18">
        <v>2363.9899999999998</v>
      </c>
      <c r="R299" s="17">
        <f>P299+ROUND(Q299, 2)</f>
        <v>3989.54</v>
      </c>
      <c r="S299" s="17">
        <v>109464.54</v>
      </c>
      <c r="T299" s="17">
        <v>159191.09</v>
      </c>
      <c r="U299" s="17">
        <f>S299+T299</f>
        <v>268655.63</v>
      </c>
      <c r="V299" s="9">
        <f>ROUND(P299 / 1.2, 2)</f>
        <v>1354.63</v>
      </c>
      <c r="W299" s="9">
        <f>ROUND(Q299 / 1.2, 2)</f>
        <v>1969.99</v>
      </c>
      <c r="X299" s="9">
        <f>ROUND(R299 / 1.2, 2)</f>
        <v>3324.62</v>
      </c>
      <c r="Y299" s="9">
        <f t="shared" si="16"/>
        <v>91220.45</v>
      </c>
      <c r="Z299" s="9">
        <f>ROUND(T299 / 1.2, 2)</f>
        <v>132659.24</v>
      </c>
      <c r="AA299" s="9">
        <f>Y299+Z299</f>
        <v>223879.69</v>
      </c>
      <c r="AD299" s="4">
        <v>339118931</v>
      </c>
      <c r="AE299" s="4">
        <v>29086444</v>
      </c>
      <c r="AG299" s="4" t="s">
        <v>1158</v>
      </c>
      <c r="AH299" s="4" t="s">
        <v>1159</v>
      </c>
      <c r="AI299" s="4" t="s">
        <v>156</v>
      </c>
    </row>
    <row r="300" spans="1:35" ht="90" x14ac:dyDescent="0.3">
      <c r="A300" s="10" t="s">
        <v>1209</v>
      </c>
      <c r="B300" s="10"/>
      <c r="C300" s="30" t="s">
        <v>1170</v>
      </c>
      <c r="D300" s="15"/>
      <c r="E300" s="15" t="s">
        <v>1210</v>
      </c>
      <c r="F300" s="25" t="s">
        <v>75</v>
      </c>
      <c r="G300" s="26">
        <v>1.07</v>
      </c>
      <c r="H300" s="32"/>
      <c r="I300" s="32">
        <v>72.054000000000002</v>
      </c>
      <c r="J300" s="27">
        <v>1408.04</v>
      </c>
      <c r="M300" s="28">
        <f>ROUND(ROUND(J300, 2)*I300, 2)</f>
        <v>101454.91</v>
      </c>
      <c r="P300" s="27">
        <v>1408.04</v>
      </c>
      <c r="S300" s="28">
        <f>ROUND(ROUND(P300, 2)*I300, 2)</f>
        <v>101454.91</v>
      </c>
      <c r="V300" s="9">
        <f>ROUND(ROUND(P300, 2)/1.2, 2)</f>
        <v>1173.3699999999999</v>
      </c>
      <c r="Y300" s="9">
        <f t="shared" si="16"/>
        <v>84545.76</v>
      </c>
      <c r="AD300" s="4" t="s">
        <v>1211</v>
      </c>
      <c r="AE300" s="4" t="s">
        <v>1212</v>
      </c>
      <c r="AF300" s="4" t="s">
        <v>1174</v>
      </c>
    </row>
    <row r="301" spans="1:35" ht="36" x14ac:dyDescent="0.3">
      <c r="A301" s="10" t="s">
        <v>1213</v>
      </c>
      <c r="B301" s="10"/>
      <c r="C301" s="30" t="s">
        <v>776</v>
      </c>
      <c r="D301" s="15"/>
      <c r="E301" s="15"/>
      <c r="F301" s="25" t="s">
        <v>159</v>
      </c>
      <c r="G301" s="26">
        <v>1.2</v>
      </c>
      <c r="H301" s="32"/>
      <c r="I301" s="32">
        <v>404.04</v>
      </c>
      <c r="J301" s="27">
        <v>16.38</v>
      </c>
      <c r="M301" s="28">
        <f>ROUND(ROUND(J301, 2)*I301, 2)</f>
        <v>6618.18</v>
      </c>
      <c r="P301" s="27">
        <v>16.38</v>
      </c>
      <c r="S301" s="28">
        <f>ROUND(ROUND(P301, 2)*I301, 2)</f>
        <v>6618.18</v>
      </c>
      <c r="V301" s="9">
        <f>ROUND(ROUND(P301, 2)/1.2, 2)</f>
        <v>13.65</v>
      </c>
      <c r="Y301" s="9">
        <f t="shared" si="16"/>
        <v>5515.15</v>
      </c>
      <c r="AD301" s="4" t="s">
        <v>1214</v>
      </c>
      <c r="AE301" s="4" t="s">
        <v>1215</v>
      </c>
      <c r="AF301" s="4" t="s">
        <v>779</v>
      </c>
    </row>
    <row r="302" spans="1:35" ht="36" x14ac:dyDescent="0.3">
      <c r="A302" s="10" t="s">
        <v>1216</v>
      </c>
      <c r="B302" s="10"/>
      <c r="C302" s="24" t="s">
        <v>510</v>
      </c>
      <c r="D302" s="15"/>
      <c r="E302" s="15"/>
      <c r="F302" s="25" t="s">
        <v>159</v>
      </c>
      <c r="G302" s="26">
        <v>0.25</v>
      </c>
      <c r="H302" s="32"/>
      <c r="I302" s="32">
        <v>16.835000000000001</v>
      </c>
      <c r="J302" s="27">
        <v>40.94</v>
      </c>
      <c r="M302" s="28">
        <f>ROUND(ROUND(J302, 2)*I302, 2)</f>
        <v>689.22</v>
      </c>
      <c r="P302" s="27">
        <v>40.94</v>
      </c>
      <c r="S302" s="28">
        <f>ROUND(ROUND(P302, 2)*I302, 2)</f>
        <v>689.22</v>
      </c>
      <c r="V302" s="9">
        <f>ROUND(ROUND(P302, 2)/1.2, 2)</f>
        <v>34.119999999999997</v>
      </c>
      <c r="Y302" s="9">
        <f t="shared" si="16"/>
        <v>574.35</v>
      </c>
      <c r="AD302" s="4" t="s">
        <v>1217</v>
      </c>
      <c r="AE302" s="4" t="s">
        <v>1218</v>
      </c>
      <c r="AF302" s="4" t="s">
        <v>513</v>
      </c>
    </row>
    <row r="303" spans="1:35" ht="36" x14ac:dyDescent="0.3">
      <c r="A303" s="10" t="s">
        <v>1219</v>
      </c>
      <c r="B303" s="10"/>
      <c r="C303" s="24" t="s">
        <v>534</v>
      </c>
      <c r="D303" s="15"/>
      <c r="E303" s="15"/>
      <c r="F303" s="25" t="s">
        <v>159</v>
      </c>
      <c r="G303" s="26">
        <v>0.15</v>
      </c>
      <c r="H303" s="26"/>
      <c r="I303" s="26">
        <v>10.101000000000001</v>
      </c>
      <c r="J303" s="27">
        <v>69.540000000000006</v>
      </c>
      <c r="M303" s="28">
        <f>ROUND(ROUND(J303, 2)*I303, 2)</f>
        <v>702.42</v>
      </c>
      <c r="P303" s="27">
        <v>69.540000000000006</v>
      </c>
      <c r="S303" s="28">
        <f>ROUND(ROUND(P303, 2)*I303, 2)</f>
        <v>702.42</v>
      </c>
      <c r="V303" s="9">
        <f>ROUND(ROUND(P303, 2)/1.2, 2)</f>
        <v>57.95</v>
      </c>
      <c r="Y303" s="9">
        <f t="shared" si="16"/>
        <v>585.35</v>
      </c>
      <c r="AD303" s="4" t="s">
        <v>1220</v>
      </c>
      <c r="AE303" s="4" t="s">
        <v>1221</v>
      </c>
      <c r="AF303" s="4" t="s">
        <v>537</v>
      </c>
    </row>
    <row r="304" spans="1:35" ht="54" x14ac:dyDescent="0.3">
      <c r="A304" s="10" t="s">
        <v>1222</v>
      </c>
      <c r="B304" s="10" t="s">
        <v>1155</v>
      </c>
      <c r="C304" s="14" t="s">
        <v>1156</v>
      </c>
      <c r="D304" s="15"/>
      <c r="E304" s="15" t="s">
        <v>1223</v>
      </c>
      <c r="F304" s="15" t="s">
        <v>75</v>
      </c>
      <c r="G304" s="16">
        <v>1</v>
      </c>
      <c r="H304" s="16"/>
      <c r="I304" s="16">
        <v>132.62</v>
      </c>
      <c r="J304" s="17">
        <v>1357.11</v>
      </c>
      <c r="K304" s="18">
        <v>2363.9899999999998</v>
      </c>
      <c r="L304" s="17">
        <f>J304+ROUND(K304, 2)</f>
        <v>3721.0999999999995</v>
      </c>
      <c r="M304" s="17">
        <v>179979.93</v>
      </c>
      <c r="N304" s="17">
        <v>313512.34999999998</v>
      </c>
      <c r="O304" s="17">
        <f>M304+N304</f>
        <v>493492.27999999997</v>
      </c>
      <c r="P304" s="17">
        <v>1357.11</v>
      </c>
      <c r="Q304" s="18">
        <v>2363.9899999999998</v>
      </c>
      <c r="R304" s="17">
        <f>P304+ROUND(Q304, 2)</f>
        <v>3721.0999999999995</v>
      </c>
      <c r="S304" s="17">
        <v>179979.93</v>
      </c>
      <c r="T304" s="17">
        <v>313512.34999999998</v>
      </c>
      <c r="U304" s="17">
        <f>S304+T304</f>
        <v>493492.27999999997</v>
      </c>
      <c r="V304" s="9">
        <f>ROUND(P304 / 1.2, 2)</f>
        <v>1130.93</v>
      </c>
      <c r="W304" s="9">
        <f>ROUND(Q304 / 1.2, 2)</f>
        <v>1969.99</v>
      </c>
      <c r="X304" s="9">
        <f>ROUND(R304 / 1.2, 2)</f>
        <v>3100.92</v>
      </c>
      <c r="Y304" s="9">
        <f t="shared" si="16"/>
        <v>149983.28</v>
      </c>
      <c r="Z304" s="9">
        <f>ROUND(T304 / 1.2, 2)</f>
        <v>261260.29</v>
      </c>
      <c r="AA304" s="9">
        <f>Y304+Z304</f>
        <v>411243.57</v>
      </c>
      <c r="AD304" s="4">
        <v>339118932</v>
      </c>
      <c r="AE304" s="4">
        <v>29086445</v>
      </c>
      <c r="AG304" s="4" t="s">
        <v>1158</v>
      </c>
      <c r="AH304" s="4" t="s">
        <v>1159</v>
      </c>
      <c r="AI304" s="4" t="s">
        <v>156</v>
      </c>
    </row>
    <row r="305" spans="1:35" ht="36" x14ac:dyDescent="0.3">
      <c r="A305" s="10" t="s">
        <v>1224</v>
      </c>
      <c r="B305" s="10"/>
      <c r="C305" s="24" t="s">
        <v>534</v>
      </c>
      <c r="D305" s="15"/>
      <c r="E305" s="15"/>
      <c r="F305" s="25" t="s">
        <v>159</v>
      </c>
      <c r="G305" s="26">
        <v>0.15</v>
      </c>
      <c r="H305" s="26"/>
      <c r="I305" s="26">
        <v>19.893000000000001</v>
      </c>
      <c r="J305" s="27">
        <v>69.540000000000006</v>
      </c>
      <c r="M305" s="28">
        <f>ROUND(ROUND(J305, 2)*I305, 2)</f>
        <v>1383.36</v>
      </c>
      <c r="P305" s="27">
        <v>69.540000000000006</v>
      </c>
      <c r="S305" s="28">
        <f>ROUND(ROUND(P305, 2)*I305, 2)</f>
        <v>1383.36</v>
      </c>
      <c r="V305" s="9">
        <f>ROUND(ROUND(P305, 2)/1.2, 2)</f>
        <v>57.95</v>
      </c>
      <c r="Y305" s="9">
        <f t="shared" si="16"/>
        <v>1152.8</v>
      </c>
      <c r="AD305" s="4" t="s">
        <v>1225</v>
      </c>
      <c r="AE305" s="4" t="s">
        <v>1226</v>
      </c>
      <c r="AF305" s="4" t="s">
        <v>537</v>
      </c>
    </row>
    <row r="306" spans="1:35" ht="36" x14ac:dyDescent="0.3">
      <c r="A306" s="10" t="s">
        <v>1227</v>
      </c>
      <c r="B306" s="10"/>
      <c r="C306" s="24" t="s">
        <v>510</v>
      </c>
      <c r="D306" s="15"/>
      <c r="E306" s="15"/>
      <c r="F306" s="25" t="s">
        <v>159</v>
      </c>
      <c r="G306" s="26">
        <v>0.25</v>
      </c>
      <c r="H306" s="32"/>
      <c r="I306" s="32">
        <v>33.155000000000001</v>
      </c>
      <c r="J306" s="27">
        <v>40.94</v>
      </c>
      <c r="M306" s="28">
        <f>ROUND(ROUND(J306, 2)*I306, 2)</f>
        <v>1357.37</v>
      </c>
      <c r="P306" s="27">
        <v>40.94</v>
      </c>
      <c r="S306" s="28">
        <f>ROUND(ROUND(P306, 2)*I306, 2)</f>
        <v>1357.37</v>
      </c>
      <c r="V306" s="9">
        <f>ROUND(ROUND(P306, 2)/1.2, 2)</f>
        <v>34.119999999999997</v>
      </c>
      <c r="Y306" s="9">
        <f t="shared" si="16"/>
        <v>1131.1400000000001</v>
      </c>
      <c r="AD306" s="4" t="s">
        <v>1228</v>
      </c>
      <c r="AE306" s="4" t="s">
        <v>1229</v>
      </c>
      <c r="AF306" s="4" t="s">
        <v>513</v>
      </c>
    </row>
    <row r="307" spans="1:35" ht="36" x14ac:dyDescent="0.3">
      <c r="A307" s="10" t="s">
        <v>1230</v>
      </c>
      <c r="B307" s="10"/>
      <c r="C307" s="30" t="s">
        <v>776</v>
      </c>
      <c r="D307" s="15"/>
      <c r="E307" s="15"/>
      <c r="F307" s="25" t="s">
        <v>159</v>
      </c>
      <c r="G307" s="26">
        <v>1.2</v>
      </c>
      <c r="H307" s="32"/>
      <c r="I307" s="32">
        <v>795.72</v>
      </c>
      <c r="J307" s="27">
        <v>16.38</v>
      </c>
      <c r="M307" s="28">
        <f>ROUND(ROUND(J307, 2)*I307, 2)</f>
        <v>13033.89</v>
      </c>
      <c r="P307" s="27">
        <v>16.38</v>
      </c>
      <c r="S307" s="28">
        <f>ROUND(ROUND(P307, 2)*I307, 2)</f>
        <v>13033.89</v>
      </c>
      <c r="V307" s="9">
        <f>ROUND(ROUND(P307, 2)/1.2, 2)</f>
        <v>13.65</v>
      </c>
      <c r="Y307" s="9">
        <f t="shared" si="16"/>
        <v>10861.58</v>
      </c>
      <c r="AD307" s="4" t="s">
        <v>1231</v>
      </c>
      <c r="AE307" s="4" t="s">
        <v>1232</v>
      </c>
      <c r="AF307" s="4" t="s">
        <v>779</v>
      </c>
    </row>
    <row r="308" spans="1:35" ht="90" x14ac:dyDescent="0.3">
      <c r="A308" s="10" t="s">
        <v>1233</v>
      </c>
      <c r="B308" s="10"/>
      <c r="C308" s="30" t="s">
        <v>1234</v>
      </c>
      <c r="D308" s="15"/>
      <c r="E308" s="15" t="s">
        <v>1235</v>
      </c>
      <c r="F308" s="25" t="s">
        <v>75</v>
      </c>
      <c r="G308" s="26">
        <v>1.07</v>
      </c>
      <c r="H308" s="32"/>
      <c r="I308" s="32">
        <v>141.90299999999999</v>
      </c>
      <c r="J308" s="27">
        <v>1157.17</v>
      </c>
      <c r="M308" s="28">
        <f>ROUND(ROUND(J308, 2)*I308, 2)</f>
        <v>164205.89000000001</v>
      </c>
      <c r="P308" s="27">
        <v>1157.17</v>
      </c>
      <c r="S308" s="28">
        <f>ROUND(ROUND(P308, 2)*I308, 2)</f>
        <v>164205.89000000001</v>
      </c>
      <c r="V308" s="9">
        <f>ROUND(ROUND(P308, 2)/1.2, 2)</f>
        <v>964.31</v>
      </c>
      <c r="Y308" s="9">
        <f t="shared" si="16"/>
        <v>136838.24</v>
      </c>
      <c r="AD308" s="4" t="s">
        <v>1236</v>
      </c>
      <c r="AE308" s="4" t="s">
        <v>1237</v>
      </c>
      <c r="AF308" s="4" t="s">
        <v>1238</v>
      </c>
    </row>
    <row r="309" spans="1:35" ht="54" x14ac:dyDescent="0.3">
      <c r="A309" s="10" t="s">
        <v>1239</v>
      </c>
      <c r="B309" s="10" t="s">
        <v>1155</v>
      </c>
      <c r="C309" s="14" t="s">
        <v>1156</v>
      </c>
      <c r="D309" s="15"/>
      <c r="E309" s="15" t="s">
        <v>1240</v>
      </c>
      <c r="F309" s="15" t="s">
        <v>75</v>
      </c>
      <c r="G309" s="16">
        <v>1</v>
      </c>
      <c r="H309" s="16"/>
      <c r="I309" s="16">
        <v>124.58</v>
      </c>
      <c r="J309" s="17">
        <v>1632.15</v>
      </c>
      <c r="K309" s="18">
        <v>2363.9899999999998</v>
      </c>
      <c r="L309" s="17">
        <f>J309+ROUND(K309, 2)</f>
        <v>3996.14</v>
      </c>
      <c r="M309" s="17">
        <v>203333.25</v>
      </c>
      <c r="N309" s="17">
        <v>294505.87</v>
      </c>
      <c r="O309" s="17">
        <f>M309+N309</f>
        <v>497839.12</v>
      </c>
      <c r="P309" s="17">
        <v>1632.15</v>
      </c>
      <c r="Q309" s="18">
        <v>2363.9899999999998</v>
      </c>
      <c r="R309" s="17">
        <f>P309+ROUND(Q309, 2)</f>
        <v>3996.14</v>
      </c>
      <c r="S309" s="17">
        <v>203333.25</v>
      </c>
      <c r="T309" s="17">
        <v>294505.87</v>
      </c>
      <c r="U309" s="17">
        <f>S309+T309</f>
        <v>497839.12</v>
      </c>
      <c r="V309" s="9">
        <f>ROUND(P309 / 1.2, 2)</f>
        <v>1360.13</v>
      </c>
      <c r="W309" s="9">
        <f>ROUND(Q309 / 1.2, 2)</f>
        <v>1969.99</v>
      </c>
      <c r="X309" s="9">
        <f>ROUND(R309 / 1.2, 2)</f>
        <v>3330.12</v>
      </c>
      <c r="Y309" s="9">
        <f t="shared" si="16"/>
        <v>169444.38</v>
      </c>
      <c r="Z309" s="9">
        <f>ROUND(T309 / 1.2, 2)</f>
        <v>245421.56</v>
      </c>
      <c r="AA309" s="9">
        <f>Y309+Z309</f>
        <v>414865.94</v>
      </c>
      <c r="AD309" s="4">
        <v>339118933</v>
      </c>
      <c r="AE309" s="4">
        <v>29086437</v>
      </c>
      <c r="AG309" s="4" t="s">
        <v>1158</v>
      </c>
      <c r="AH309" s="4" t="s">
        <v>1159</v>
      </c>
      <c r="AI309" s="4" t="s">
        <v>156</v>
      </c>
    </row>
    <row r="310" spans="1:35" ht="72" x14ac:dyDescent="0.3">
      <c r="A310" s="10" t="s">
        <v>1241</v>
      </c>
      <c r="B310" s="10"/>
      <c r="C310" s="30" t="s">
        <v>1170</v>
      </c>
      <c r="D310" s="15"/>
      <c r="E310" s="15" t="s">
        <v>1242</v>
      </c>
      <c r="F310" s="25" t="s">
        <v>75</v>
      </c>
      <c r="G310" s="26">
        <v>1.07</v>
      </c>
      <c r="H310" s="32"/>
      <c r="I310" s="32">
        <v>133.30099999999999</v>
      </c>
      <c r="J310" s="27">
        <v>1408.04</v>
      </c>
      <c r="M310" s="28">
        <f>ROUND(ROUND(J310, 2)*I310, 2)</f>
        <v>187693.14</v>
      </c>
      <c r="P310" s="27">
        <v>1408.04</v>
      </c>
      <c r="S310" s="28">
        <f>ROUND(ROUND(P310, 2)*I310, 2)</f>
        <v>187693.14</v>
      </c>
      <c r="V310" s="9">
        <f>ROUND(ROUND(P310, 2)/1.2, 2)</f>
        <v>1173.3699999999999</v>
      </c>
      <c r="Y310" s="9">
        <f t="shared" si="16"/>
        <v>156410.95000000001</v>
      </c>
      <c r="AD310" s="4" t="s">
        <v>1243</v>
      </c>
      <c r="AE310" s="4" t="s">
        <v>1244</v>
      </c>
      <c r="AF310" s="4" t="s">
        <v>1174</v>
      </c>
    </row>
    <row r="311" spans="1:35" ht="36" x14ac:dyDescent="0.3">
      <c r="A311" s="10" t="s">
        <v>1245</v>
      </c>
      <c r="B311" s="10"/>
      <c r="C311" s="30" t="s">
        <v>776</v>
      </c>
      <c r="D311" s="15"/>
      <c r="E311" s="15"/>
      <c r="F311" s="25" t="s">
        <v>159</v>
      </c>
      <c r="G311" s="26">
        <v>1.2</v>
      </c>
      <c r="H311" s="32"/>
      <c r="I311" s="32">
        <v>747.48</v>
      </c>
      <c r="J311" s="27">
        <v>16.38</v>
      </c>
      <c r="M311" s="28">
        <f>ROUND(ROUND(J311, 2)*I311, 2)</f>
        <v>12243.72</v>
      </c>
      <c r="P311" s="27">
        <v>16.38</v>
      </c>
      <c r="S311" s="28">
        <f>ROUND(ROUND(P311, 2)*I311, 2)</f>
        <v>12243.72</v>
      </c>
      <c r="V311" s="9">
        <f>ROUND(ROUND(P311, 2)/1.2, 2)</f>
        <v>13.65</v>
      </c>
      <c r="Y311" s="9">
        <f t="shared" si="16"/>
        <v>10203.1</v>
      </c>
      <c r="AD311" s="4" t="s">
        <v>1246</v>
      </c>
      <c r="AE311" s="4" t="s">
        <v>1247</v>
      </c>
      <c r="AF311" s="4" t="s">
        <v>779</v>
      </c>
    </row>
    <row r="312" spans="1:35" ht="18" x14ac:dyDescent="0.3">
      <c r="A312" s="10" t="s">
        <v>1248</v>
      </c>
      <c r="B312" s="10"/>
      <c r="C312" s="24" t="s">
        <v>1249</v>
      </c>
      <c r="D312" s="15"/>
      <c r="E312" s="15" t="s">
        <v>1250</v>
      </c>
      <c r="F312" s="25" t="s">
        <v>159</v>
      </c>
      <c r="G312" s="26">
        <v>0.25</v>
      </c>
      <c r="H312" s="32"/>
      <c r="I312" s="32">
        <v>31.145</v>
      </c>
      <c r="J312" s="27">
        <v>67.33</v>
      </c>
      <c r="M312" s="28">
        <f>ROUND(ROUND(J312, 2)*I312, 2)</f>
        <v>2096.9899999999998</v>
      </c>
      <c r="P312" s="27">
        <v>67.33</v>
      </c>
      <c r="S312" s="28">
        <f>ROUND(ROUND(P312, 2)*I312, 2)</f>
        <v>2096.9899999999998</v>
      </c>
      <c r="V312" s="9">
        <f>ROUND(ROUND(P312, 2)/1.2, 2)</f>
        <v>56.11</v>
      </c>
      <c r="Y312" s="9">
        <f t="shared" si="16"/>
        <v>1747.49</v>
      </c>
      <c r="AD312" s="4" t="s">
        <v>1251</v>
      </c>
      <c r="AE312" s="4" t="s">
        <v>1252</v>
      </c>
      <c r="AF312" s="4" t="s">
        <v>1253</v>
      </c>
    </row>
    <row r="313" spans="1:35" ht="36" x14ac:dyDescent="0.3">
      <c r="A313" s="10" t="s">
        <v>1254</v>
      </c>
      <c r="B313" s="10"/>
      <c r="C313" s="24" t="s">
        <v>534</v>
      </c>
      <c r="D313" s="15"/>
      <c r="E313" s="15"/>
      <c r="F313" s="25" t="s">
        <v>159</v>
      </c>
      <c r="G313" s="26">
        <v>0.15</v>
      </c>
      <c r="H313" s="26"/>
      <c r="I313" s="26">
        <v>18.687000000000001</v>
      </c>
      <c r="J313" s="27">
        <v>69.540000000000006</v>
      </c>
      <c r="M313" s="28">
        <f>ROUND(ROUND(J313, 2)*I313, 2)</f>
        <v>1299.49</v>
      </c>
      <c r="P313" s="27">
        <v>69.540000000000006</v>
      </c>
      <c r="S313" s="28">
        <f>ROUND(ROUND(P313, 2)*I313, 2)</f>
        <v>1299.49</v>
      </c>
      <c r="V313" s="9">
        <f>ROUND(ROUND(P313, 2)/1.2, 2)</f>
        <v>57.95</v>
      </c>
      <c r="Y313" s="9">
        <f t="shared" si="16"/>
        <v>1082.9100000000001</v>
      </c>
      <c r="AD313" s="4" t="s">
        <v>1255</v>
      </c>
      <c r="AE313" s="4" t="s">
        <v>1256</v>
      </c>
      <c r="AF313" s="4" t="s">
        <v>537</v>
      </c>
    </row>
    <row r="314" spans="1:35" ht="54" x14ac:dyDescent="0.3">
      <c r="A314" s="10" t="s">
        <v>1257</v>
      </c>
      <c r="B314" s="10" t="s">
        <v>1258</v>
      </c>
      <c r="C314" s="14" t="s">
        <v>1259</v>
      </c>
      <c r="D314" s="15"/>
      <c r="E314" s="15" t="s">
        <v>1260</v>
      </c>
      <c r="F314" s="15" t="s">
        <v>75</v>
      </c>
      <c r="G314" s="16">
        <v>1</v>
      </c>
      <c r="H314" s="16"/>
      <c r="I314" s="16">
        <v>14</v>
      </c>
      <c r="J314" s="17">
        <v>2382.9</v>
      </c>
      <c r="K314" s="18">
        <v>2983</v>
      </c>
      <c r="L314" s="17">
        <f>J314+ROUND(K314, 2)</f>
        <v>5365.9</v>
      </c>
      <c r="M314" s="17">
        <v>33360.6</v>
      </c>
      <c r="N314" s="17">
        <v>41762</v>
      </c>
      <c r="O314" s="17">
        <f>M314+N314</f>
        <v>75122.600000000006</v>
      </c>
      <c r="P314" s="17">
        <v>2382.9</v>
      </c>
      <c r="Q314" s="18">
        <v>2983</v>
      </c>
      <c r="R314" s="17">
        <f>P314+ROUND(Q314, 2)</f>
        <v>5365.9</v>
      </c>
      <c r="S314" s="17">
        <v>33360.6</v>
      </c>
      <c r="T314" s="17">
        <v>41762</v>
      </c>
      <c r="U314" s="17">
        <f>S314+T314</f>
        <v>75122.600000000006</v>
      </c>
      <c r="V314" s="9">
        <f>ROUND(P314 / 1.2, 2)</f>
        <v>1985.75</v>
      </c>
      <c r="W314" s="9">
        <f>ROUND(Q314 / 1.2, 2)</f>
        <v>2485.83</v>
      </c>
      <c r="X314" s="9">
        <f>ROUND(R314 / 1.2, 2)</f>
        <v>4471.58</v>
      </c>
      <c r="Y314" s="9">
        <f t="shared" si="16"/>
        <v>27800.5</v>
      </c>
      <c r="Z314" s="9">
        <f>ROUND(T314 / 1.2, 2)</f>
        <v>34801.67</v>
      </c>
      <c r="AA314" s="9">
        <f>Y314+Z314</f>
        <v>62602.17</v>
      </c>
      <c r="AD314" s="4">
        <v>339118861</v>
      </c>
      <c r="AE314" s="4">
        <v>29090428</v>
      </c>
      <c r="AG314" s="4" t="s">
        <v>1261</v>
      </c>
      <c r="AH314" s="4" t="s">
        <v>1262</v>
      </c>
      <c r="AI314" s="4" t="s">
        <v>156</v>
      </c>
    </row>
    <row r="315" spans="1:35" ht="36" x14ac:dyDescent="0.3">
      <c r="A315" s="10" t="s">
        <v>1263</v>
      </c>
      <c r="B315" s="10"/>
      <c r="C315" s="24" t="s">
        <v>534</v>
      </c>
      <c r="D315" s="15"/>
      <c r="E315" s="15"/>
      <c r="F315" s="25" t="s">
        <v>159</v>
      </c>
      <c r="G315" s="26">
        <v>0.15</v>
      </c>
      <c r="H315" s="26"/>
      <c r="I315" s="26">
        <v>2.1</v>
      </c>
      <c r="J315" s="27">
        <v>69.540000000000006</v>
      </c>
      <c r="M315" s="28">
        <f>ROUND(ROUND(J315, 2)*I315, 2)</f>
        <v>146.03</v>
      </c>
      <c r="P315" s="27">
        <v>69.540000000000006</v>
      </c>
      <c r="S315" s="28">
        <f>ROUND(ROUND(P315, 2)*I315, 2)</f>
        <v>146.03</v>
      </c>
      <c r="V315" s="9">
        <f>ROUND(ROUND(P315, 2)/1.2, 2)</f>
        <v>57.95</v>
      </c>
      <c r="Y315" s="9">
        <f t="shared" si="16"/>
        <v>121.69</v>
      </c>
      <c r="AD315" s="4" t="s">
        <v>1264</v>
      </c>
      <c r="AE315" s="4" t="s">
        <v>1265</v>
      </c>
      <c r="AF315" s="4" t="s">
        <v>537</v>
      </c>
    </row>
    <row r="316" spans="1:35" ht="36" x14ac:dyDescent="0.3">
      <c r="A316" s="10" t="s">
        <v>1266</v>
      </c>
      <c r="B316" s="10"/>
      <c r="C316" s="30" t="s">
        <v>776</v>
      </c>
      <c r="D316" s="15"/>
      <c r="E316" s="15"/>
      <c r="F316" s="25" t="s">
        <v>159</v>
      </c>
      <c r="G316" s="26">
        <v>1.2</v>
      </c>
      <c r="H316" s="32"/>
      <c r="I316" s="32">
        <v>84</v>
      </c>
      <c r="J316" s="27">
        <v>16.38</v>
      </c>
      <c r="M316" s="28">
        <f>ROUND(ROUND(J316, 2)*I316, 2)</f>
        <v>1375.92</v>
      </c>
      <c r="P316" s="27">
        <v>16.38</v>
      </c>
      <c r="S316" s="28">
        <f>ROUND(ROUND(P316, 2)*I316, 2)</f>
        <v>1375.92</v>
      </c>
      <c r="V316" s="9">
        <f>ROUND(ROUND(P316, 2)/1.2, 2)</f>
        <v>13.65</v>
      </c>
      <c r="Y316" s="9">
        <f t="shared" si="16"/>
        <v>1146.5999999999999</v>
      </c>
      <c r="AD316" s="4" t="s">
        <v>1267</v>
      </c>
      <c r="AE316" s="4" t="s">
        <v>1268</v>
      </c>
      <c r="AF316" s="4" t="s">
        <v>779</v>
      </c>
    </row>
    <row r="317" spans="1:35" ht="90" x14ac:dyDescent="0.3">
      <c r="A317" s="10" t="s">
        <v>1269</v>
      </c>
      <c r="B317" s="10"/>
      <c r="C317" s="24" t="s">
        <v>1270</v>
      </c>
      <c r="D317" s="15"/>
      <c r="E317" s="15" t="s">
        <v>1271</v>
      </c>
      <c r="F317" s="25" t="s">
        <v>75</v>
      </c>
      <c r="G317" s="26">
        <v>1.1000000000000001</v>
      </c>
      <c r="H317" s="32"/>
      <c r="I317" s="32">
        <v>15.4</v>
      </c>
      <c r="J317" s="27">
        <v>2058.14</v>
      </c>
      <c r="M317" s="28">
        <f>ROUND(ROUND(J317, 2)*I317, 2)</f>
        <v>31695.360000000001</v>
      </c>
      <c r="P317" s="27">
        <v>2058.14</v>
      </c>
      <c r="S317" s="28">
        <f>ROUND(ROUND(P317, 2)*I317, 2)</f>
        <v>31695.360000000001</v>
      </c>
      <c r="V317" s="9">
        <f>ROUND(ROUND(P317, 2)/1.2, 2)</f>
        <v>1715.12</v>
      </c>
      <c r="Y317" s="9">
        <f t="shared" si="16"/>
        <v>26412.799999999999</v>
      </c>
      <c r="AD317" s="4" t="s">
        <v>1272</v>
      </c>
      <c r="AE317" s="4" t="s">
        <v>1273</v>
      </c>
      <c r="AF317" s="4" t="s">
        <v>1274</v>
      </c>
    </row>
    <row r="318" spans="1:35" ht="36" x14ac:dyDescent="0.3">
      <c r="A318" s="10" t="s">
        <v>1275</v>
      </c>
      <c r="B318" s="10"/>
      <c r="C318" s="24" t="s">
        <v>510</v>
      </c>
      <c r="D318" s="15"/>
      <c r="E318" s="15"/>
      <c r="F318" s="25" t="s">
        <v>159</v>
      </c>
      <c r="G318" s="26">
        <v>0.25</v>
      </c>
      <c r="H318" s="32"/>
      <c r="I318" s="32">
        <v>3.5</v>
      </c>
      <c r="J318" s="27">
        <v>40.94</v>
      </c>
      <c r="M318" s="28">
        <f>ROUND(ROUND(J318, 2)*I318, 2)</f>
        <v>143.29</v>
      </c>
      <c r="P318" s="27">
        <v>40.94</v>
      </c>
      <c r="S318" s="28">
        <f>ROUND(ROUND(P318, 2)*I318, 2)</f>
        <v>143.29</v>
      </c>
      <c r="V318" s="9">
        <f>ROUND(ROUND(P318, 2)/1.2, 2)</f>
        <v>34.119999999999997</v>
      </c>
      <c r="Y318" s="9">
        <f t="shared" si="16"/>
        <v>119.41</v>
      </c>
      <c r="AD318" s="4" t="s">
        <v>1276</v>
      </c>
      <c r="AE318" s="4" t="s">
        <v>1277</v>
      </c>
      <c r="AF318" s="4" t="s">
        <v>513</v>
      </c>
    </row>
    <row r="319" spans="1:35" ht="16.95" customHeight="1" x14ac:dyDescent="0.3">
      <c r="A319" s="10" t="s">
        <v>1278</v>
      </c>
      <c r="B319" s="10" t="s">
        <v>1279</v>
      </c>
      <c r="C319" s="120" t="s">
        <v>1280</v>
      </c>
      <c r="D319" s="121"/>
      <c r="E319" s="121"/>
      <c r="F319" s="121"/>
      <c r="G319" s="121"/>
      <c r="H319" s="121"/>
      <c r="I319" s="122"/>
      <c r="M319" s="6">
        <f>SUM(M320,M324,M327,M330)</f>
        <v>236639.88999999998</v>
      </c>
      <c r="N319" s="6">
        <f>SUM(N320,N324,N327,N330)</f>
        <v>1547943.58</v>
      </c>
      <c r="O319" s="6">
        <f>SUM(O320,O324,O327,O330)</f>
        <v>1784583.47</v>
      </c>
      <c r="S319" s="6">
        <f>SUM(S320,S324,S327,S330)</f>
        <v>254261.97000000003</v>
      </c>
      <c r="T319" s="6">
        <f>SUM(T320,T324,T327,T330)</f>
        <v>1547943.58</v>
      </c>
      <c r="U319" s="6">
        <f>SUM(U320,U324,U327,U330)</f>
        <v>1802205.5499999998</v>
      </c>
      <c r="Y319" s="9">
        <f>SUM(Y320,Y324,Y327,Y330)</f>
        <v>211884.97999999998</v>
      </c>
      <c r="Z319" s="9">
        <f>SUM(Z320,Z324,Z327,Z330)</f>
        <v>1289952.98</v>
      </c>
      <c r="AA319" s="9">
        <f>SUM(AA320,AA324,AA327,AA330)</f>
        <v>1501837.96</v>
      </c>
      <c r="AD319" s="4">
        <v>339118862</v>
      </c>
      <c r="AE319" s="4">
        <v>28999452</v>
      </c>
    </row>
    <row r="320" spans="1:35" ht="54" x14ac:dyDescent="0.3">
      <c r="A320" s="10" t="s">
        <v>1281</v>
      </c>
      <c r="B320" s="10" t="s">
        <v>1282</v>
      </c>
      <c r="C320" s="14" t="s">
        <v>1283</v>
      </c>
      <c r="D320" s="15"/>
      <c r="E320" s="15" t="s">
        <v>1143</v>
      </c>
      <c r="F320" s="15" t="s">
        <v>75</v>
      </c>
      <c r="G320" s="16">
        <v>1</v>
      </c>
      <c r="H320" s="16"/>
      <c r="I320" s="16">
        <v>206.42</v>
      </c>
      <c r="J320" s="17">
        <v>309.38</v>
      </c>
      <c r="K320" s="18">
        <v>2956</v>
      </c>
      <c r="L320" s="17">
        <f>J320+ROUND(K320, 2)</f>
        <v>3265.38</v>
      </c>
      <c r="M320" s="17">
        <v>63862.22</v>
      </c>
      <c r="N320" s="17">
        <v>610177.52</v>
      </c>
      <c r="O320" s="17">
        <f>M320+N320</f>
        <v>674039.74</v>
      </c>
      <c r="P320" s="17">
        <v>309.38</v>
      </c>
      <c r="Q320" s="18">
        <v>2956</v>
      </c>
      <c r="R320" s="17">
        <f>P320+ROUND(Q320, 2)</f>
        <v>3265.38</v>
      </c>
      <c r="S320" s="17">
        <v>63862.22</v>
      </c>
      <c r="T320" s="17">
        <v>610177.52</v>
      </c>
      <c r="U320" s="17">
        <f>S320+T320</f>
        <v>674039.74</v>
      </c>
      <c r="V320" s="9">
        <f>ROUND(P320 / 1.2, 2)</f>
        <v>257.82</v>
      </c>
      <c r="W320" s="9">
        <f>ROUND(Q320 / 1.2, 2)</f>
        <v>2463.33</v>
      </c>
      <c r="X320" s="9">
        <f>ROUND(R320 / 1.2, 2)</f>
        <v>2721.15</v>
      </c>
      <c r="Y320" s="9">
        <f>ROUND(S320 / 1.2, 2)</f>
        <v>53218.52</v>
      </c>
      <c r="Z320" s="9">
        <f>ROUND(T320 / 1.2, 2)</f>
        <v>508481.27</v>
      </c>
      <c r="AA320" s="9">
        <f>Y320+Z320</f>
        <v>561699.79</v>
      </c>
      <c r="AD320" s="4">
        <v>339118864</v>
      </c>
      <c r="AE320" s="4">
        <v>28999464</v>
      </c>
      <c r="AG320" s="4" t="s">
        <v>1284</v>
      </c>
      <c r="AH320" s="4" t="s">
        <v>1285</v>
      </c>
      <c r="AI320" s="4" t="s">
        <v>156</v>
      </c>
    </row>
    <row r="321" spans="1:35" ht="36" x14ac:dyDescent="0.3">
      <c r="A321" s="10" t="s">
        <v>1286</v>
      </c>
      <c r="B321" s="10"/>
      <c r="C321" s="30" t="s">
        <v>1081</v>
      </c>
      <c r="D321" s="15"/>
      <c r="E321" s="15"/>
      <c r="F321" s="25" t="s">
        <v>159</v>
      </c>
      <c r="G321" s="26">
        <v>1</v>
      </c>
      <c r="H321" s="32"/>
      <c r="I321" s="32">
        <v>7224.7</v>
      </c>
      <c r="J321" s="27">
        <v>7.92</v>
      </c>
      <c r="M321" s="28">
        <f>ROUND(ROUND(J321, 2)*I321, 2)</f>
        <v>57219.62</v>
      </c>
      <c r="P321" s="27">
        <v>7.92</v>
      </c>
      <c r="S321" s="28">
        <f>ROUND(ROUND(P321, 2)*I321, 2)</f>
        <v>57219.62</v>
      </c>
      <c r="V321" s="9">
        <f>ROUND(ROUND(P321, 2)/1.2, 2)</f>
        <v>6.6</v>
      </c>
      <c r="Y321" s="9">
        <f t="shared" ref="Y321:Y334" si="17">ROUND(S321 / 1.2, 2)</f>
        <v>47683.02</v>
      </c>
      <c r="AD321" s="4" t="s">
        <v>1287</v>
      </c>
      <c r="AE321" s="4" t="s">
        <v>1288</v>
      </c>
      <c r="AF321" s="4" t="s">
        <v>1084</v>
      </c>
    </row>
    <row r="322" spans="1:35" ht="18" x14ac:dyDescent="0.3">
      <c r="A322" s="10" t="s">
        <v>1289</v>
      </c>
      <c r="B322" s="10"/>
      <c r="C322" s="24" t="s">
        <v>1024</v>
      </c>
      <c r="D322" s="15"/>
      <c r="E322" s="15"/>
      <c r="F322" s="25" t="s">
        <v>120</v>
      </c>
      <c r="G322" s="26">
        <v>1</v>
      </c>
      <c r="H322" s="26"/>
      <c r="I322" s="26">
        <v>206.42</v>
      </c>
      <c r="J322" s="27">
        <v>18.64</v>
      </c>
      <c r="M322" s="28">
        <f>ROUND(ROUND(J322, 2)*I322, 2)</f>
        <v>3847.67</v>
      </c>
      <c r="P322" s="27">
        <v>18.64</v>
      </c>
      <c r="S322" s="28">
        <f>ROUND(ROUND(P322, 2)*I322, 2)</f>
        <v>3847.67</v>
      </c>
      <c r="V322" s="9">
        <f>ROUND(ROUND(P322, 2)/1.2, 2)</f>
        <v>15.53</v>
      </c>
      <c r="Y322" s="9">
        <f t="shared" si="17"/>
        <v>3206.39</v>
      </c>
      <c r="AD322" s="4" t="s">
        <v>1290</v>
      </c>
      <c r="AE322" s="4" t="s">
        <v>1291</v>
      </c>
      <c r="AF322" s="4" t="s">
        <v>1027</v>
      </c>
    </row>
    <row r="323" spans="1:35" ht="36" x14ac:dyDescent="0.3">
      <c r="A323" s="10" t="s">
        <v>1292</v>
      </c>
      <c r="B323" s="10"/>
      <c r="C323" s="24" t="s">
        <v>480</v>
      </c>
      <c r="D323" s="15"/>
      <c r="E323" s="15"/>
      <c r="F323" s="25" t="s">
        <v>159</v>
      </c>
      <c r="G323" s="26">
        <v>0.15</v>
      </c>
      <c r="H323" s="26"/>
      <c r="I323" s="26">
        <v>30.963000000000001</v>
      </c>
      <c r="J323" s="27">
        <v>90.28</v>
      </c>
      <c r="M323" s="28">
        <f>ROUND(ROUND(J323, 2)*I323, 2)</f>
        <v>2795.34</v>
      </c>
      <c r="P323" s="27">
        <v>90.28</v>
      </c>
      <c r="S323" s="28">
        <f>ROUND(ROUND(P323, 2)*I323, 2)</f>
        <v>2795.34</v>
      </c>
      <c r="V323" s="9">
        <f>ROUND(ROUND(P323, 2)/1.2, 2)</f>
        <v>75.23</v>
      </c>
      <c r="Y323" s="9">
        <f t="shared" si="17"/>
        <v>2329.4499999999998</v>
      </c>
      <c r="AD323" s="4" t="s">
        <v>1293</v>
      </c>
      <c r="AE323" s="4" t="s">
        <v>1294</v>
      </c>
      <c r="AF323" s="4" t="s">
        <v>483</v>
      </c>
    </row>
    <row r="324" spans="1:35" ht="54" x14ac:dyDescent="0.3">
      <c r="A324" s="10" t="s">
        <v>1295</v>
      </c>
      <c r="B324" s="10" t="s">
        <v>1296</v>
      </c>
      <c r="C324" s="14" t="s">
        <v>1297</v>
      </c>
      <c r="D324" s="15"/>
      <c r="E324" s="15" t="s">
        <v>1298</v>
      </c>
      <c r="F324" s="15" t="s">
        <v>75</v>
      </c>
      <c r="G324" s="16">
        <v>1</v>
      </c>
      <c r="H324" s="16"/>
      <c r="I324" s="16">
        <v>206.42</v>
      </c>
      <c r="J324" s="17">
        <v>68.709999999999994</v>
      </c>
      <c r="K324" s="18">
        <v>1001</v>
      </c>
      <c r="L324" s="17">
        <f>J324+ROUND(K324, 2)</f>
        <v>1069.71</v>
      </c>
      <c r="M324" s="17">
        <v>14183.12</v>
      </c>
      <c r="N324" s="17">
        <v>206626.42</v>
      </c>
      <c r="O324" s="17">
        <f>M324+N324</f>
        <v>220809.54</v>
      </c>
      <c r="P324" s="17">
        <v>68.709999999999994</v>
      </c>
      <c r="Q324" s="18">
        <v>1001</v>
      </c>
      <c r="R324" s="17">
        <f>P324+ROUND(Q324, 2)</f>
        <v>1069.71</v>
      </c>
      <c r="S324" s="17">
        <v>14183.12</v>
      </c>
      <c r="T324" s="17">
        <v>206626.42</v>
      </c>
      <c r="U324" s="17">
        <f>S324+T324</f>
        <v>220809.54</v>
      </c>
      <c r="V324" s="9">
        <f>ROUND(P324 / 1.2, 2)</f>
        <v>57.26</v>
      </c>
      <c r="W324" s="9">
        <f>ROUND(Q324 / 1.2, 2)</f>
        <v>834.17</v>
      </c>
      <c r="X324" s="9">
        <f>ROUND(R324 / 1.2, 2)</f>
        <v>891.43</v>
      </c>
      <c r="Y324" s="9">
        <f t="shared" si="17"/>
        <v>11819.27</v>
      </c>
      <c r="Z324" s="9">
        <f>ROUND(T324 / 1.2, 2)</f>
        <v>172188.68</v>
      </c>
      <c r="AA324" s="9">
        <f>Y324+Z324</f>
        <v>184007.94999999998</v>
      </c>
      <c r="AD324" s="4">
        <v>339118866</v>
      </c>
      <c r="AE324" s="4">
        <v>28999467</v>
      </c>
      <c r="AG324" s="4" t="s">
        <v>1299</v>
      </c>
      <c r="AH324" s="4" t="s">
        <v>1300</v>
      </c>
      <c r="AI324" s="4" t="s">
        <v>156</v>
      </c>
    </row>
    <row r="325" spans="1:35" ht="36" x14ac:dyDescent="0.3">
      <c r="A325" s="10" t="s">
        <v>1301</v>
      </c>
      <c r="B325" s="10"/>
      <c r="C325" s="30" t="s">
        <v>849</v>
      </c>
      <c r="D325" s="15"/>
      <c r="E325" s="15"/>
      <c r="F325" s="25" t="s">
        <v>159</v>
      </c>
      <c r="G325" s="26">
        <v>4.5</v>
      </c>
      <c r="H325" s="26"/>
      <c r="I325" s="26">
        <v>928.89</v>
      </c>
      <c r="J325" s="27">
        <v>12.26</v>
      </c>
      <c r="M325" s="28">
        <f>ROUND(ROUND(J325, 2)*I325, 2)</f>
        <v>11388.19</v>
      </c>
      <c r="P325" s="27">
        <v>12.26</v>
      </c>
      <c r="S325" s="28">
        <f>ROUND(ROUND(P325, 2)*I325, 2)</f>
        <v>11388.19</v>
      </c>
      <c r="V325" s="9">
        <f>ROUND(ROUND(P325, 2)/1.2, 2)</f>
        <v>10.220000000000001</v>
      </c>
      <c r="Y325" s="9">
        <f t="shared" si="17"/>
        <v>9490.16</v>
      </c>
      <c r="AD325" s="4" t="s">
        <v>1302</v>
      </c>
      <c r="AE325" s="4" t="s">
        <v>1303</v>
      </c>
      <c r="AF325" s="4" t="s">
        <v>852</v>
      </c>
    </row>
    <row r="326" spans="1:35" ht="36" x14ac:dyDescent="0.3">
      <c r="A326" s="10" t="s">
        <v>1304</v>
      </c>
      <c r="B326" s="10"/>
      <c r="C326" s="24" t="s">
        <v>480</v>
      </c>
      <c r="D326" s="15"/>
      <c r="E326" s="15"/>
      <c r="F326" s="25" t="s">
        <v>159</v>
      </c>
      <c r="G326" s="26">
        <v>0.15</v>
      </c>
      <c r="H326" s="26"/>
      <c r="I326" s="26">
        <v>30.963000000000001</v>
      </c>
      <c r="J326" s="27">
        <v>90.28</v>
      </c>
      <c r="M326" s="28">
        <f>ROUND(ROUND(J326, 2)*I326, 2)</f>
        <v>2795.34</v>
      </c>
      <c r="P326" s="27">
        <v>90.28</v>
      </c>
      <c r="S326" s="28">
        <f>ROUND(ROUND(P326, 2)*I326, 2)</f>
        <v>2795.34</v>
      </c>
      <c r="V326" s="9">
        <f>ROUND(ROUND(P326, 2)/1.2, 2)</f>
        <v>75.23</v>
      </c>
      <c r="Y326" s="9">
        <f t="shared" si="17"/>
        <v>2329.4499999999998</v>
      </c>
      <c r="AD326" s="4" t="s">
        <v>1305</v>
      </c>
      <c r="AE326" s="4" t="s">
        <v>1306</v>
      </c>
      <c r="AF326" s="4" t="s">
        <v>483</v>
      </c>
    </row>
    <row r="327" spans="1:35" ht="54" x14ac:dyDescent="0.3">
      <c r="A327" s="10" t="s">
        <v>1307</v>
      </c>
      <c r="B327" s="10" t="s">
        <v>1296</v>
      </c>
      <c r="C327" s="14" t="s">
        <v>1297</v>
      </c>
      <c r="D327" s="15"/>
      <c r="E327" s="15" t="s">
        <v>1308</v>
      </c>
      <c r="F327" s="15" t="s">
        <v>75</v>
      </c>
      <c r="G327" s="16">
        <v>1</v>
      </c>
      <c r="H327" s="16"/>
      <c r="I327" s="16">
        <v>206.42</v>
      </c>
      <c r="J327" s="17">
        <v>68.709999999999994</v>
      </c>
      <c r="K327" s="18">
        <v>1001</v>
      </c>
      <c r="L327" s="17">
        <f>J327+ROUND(K327, 2)</f>
        <v>1069.71</v>
      </c>
      <c r="M327" s="17">
        <v>14183.12</v>
      </c>
      <c r="N327" s="17">
        <v>206626.42</v>
      </c>
      <c r="O327" s="17">
        <f>M327+N327</f>
        <v>220809.54</v>
      </c>
      <c r="P327" s="17">
        <v>100.66</v>
      </c>
      <c r="Q327" s="18">
        <v>1001</v>
      </c>
      <c r="R327" s="17">
        <f>P327+ROUND(Q327, 2)</f>
        <v>1101.6600000000001</v>
      </c>
      <c r="S327" s="17">
        <v>20778.240000000002</v>
      </c>
      <c r="T327" s="17">
        <v>206626.42</v>
      </c>
      <c r="U327" s="17">
        <f>S327+T327</f>
        <v>227404.66</v>
      </c>
      <c r="V327" s="9">
        <f>ROUND(P327 / 1.2, 2)</f>
        <v>83.88</v>
      </c>
      <c r="W327" s="9">
        <f>ROUND(Q327 / 1.2, 2)</f>
        <v>834.17</v>
      </c>
      <c r="X327" s="9">
        <f>ROUND(R327 / 1.2, 2)</f>
        <v>918.05</v>
      </c>
      <c r="Y327" s="9">
        <f t="shared" si="17"/>
        <v>17315.2</v>
      </c>
      <c r="Z327" s="9">
        <f>ROUND(T327 / 1.2, 2)</f>
        <v>172188.68</v>
      </c>
      <c r="AA327" s="9">
        <f>Y327+Z327</f>
        <v>189503.88</v>
      </c>
      <c r="AD327" s="4">
        <v>339118934</v>
      </c>
      <c r="AE327" s="4">
        <v>28999468</v>
      </c>
      <c r="AG327" s="4" t="s">
        <v>1299</v>
      </c>
      <c r="AH327" s="4" t="s">
        <v>1300</v>
      </c>
      <c r="AI327" s="4" t="s">
        <v>156</v>
      </c>
    </row>
    <row r="328" spans="1:35" ht="36" x14ac:dyDescent="0.3">
      <c r="A328" s="10" t="s">
        <v>1309</v>
      </c>
      <c r="B328" s="10"/>
      <c r="C328" s="24" t="s">
        <v>480</v>
      </c>
      <c r="D328" s="15"/>
      <c r="E328" s="15"/>
      <c r="F328" s="25" t="s">
        <v>159</v>
      </c>
      <c r="G328" s="26">
        <v>0.15</v>
      </c>
      <c r="H328" s="26"/>
      <c r="I328" s="26">
        <v>30.963000000000001</v>
      </c>
      <c r="J328" s="27">
        <v>90.28</v>
      </c>
      <c r="M328" s="28">
        <f>ROUND(ROUND(J328, 2)*I328, 2)</f>
        <v>2795.34</v>
      </c>
      <c r="P328" s="27">
        <v>90.28</v>
      </c>
      <c r="S328" s="28">
        <f>ROUND(ROUND(P328, 2)*I328, 2)</f>
        <v>2795.34</v>
      </c>
      <c r="V328" s="9">
        <f>ROUND(ROUND(P328, 2)/1.2, 2)</f>
        <v>75.23</v>
      </c>
      <c r="Y328" s="9">
        <f t="shared" si="17"/>
        <v>2329.4499999999998</v>
      </c>
      <c r="AD328" s="4" t="s">
        <v>1310</v>
      </c>
      <c r="AE328" s="4" t="s">
        <v>1311</v>
      </c>
      <c r="AF328" s="4" t="s">
        <v>483</v>
      </c>
    </row>
    <row r="329" spans="1:35" ht="54" x14ac:dyDescent="0.3">
      <c r="A329" s="10" t="s">
        <v>1312</v>
      </c>
      <c r="B329" s="10"/>
      <c r="C329" s="30" t="s">
        <v>849</v>
      </c>
      <c r="D329" s="15"/>
      <c r="E329" s="15" t="s">
        <v>949</v>
      </c>
      <c r="F329" s="25" t="s">
        <v>159</v>
      </c>
      <c r="G329" s="26">
        <v>4.5</v>
      </c>
      <c r="H329" s="26"/>
      <c r="I329" s="26">
        <v>928.89</v>
      </c>
      <c r="J329" s="27">
        <v>12.26</v>
      </c>
      <c r="M329" s="28">
        <f>ROUND(ROUND(J329, 2)*I329, 2)</f>
        <v>11388.19</v>
      </c>
      <c r="P329" s="27">
        <v>19.36</v>
      </c>
      <c r="S329" s="28">
        <f>ROUND(ROUND(P329, 2)*I329, 2)</f>
        <v>17983.310000000001</v>
      </c>
      <c r="V329" s="9">
        <f>ROUND(ROUND(P329, 2)/1.2, 2)</f>
        <v>16.13</v>
      </c>
      <c r="Y329" s="9">
        <f t="shared" si="17"/>
        <v>14986.09</v>
      </c>
      <c r="AD329" s="4" t="s">
        <v>1313</v>
      </c>
      <c r="AE329" s="4" t="s">
        <v>1314</v>
      </c>
      <c r="AF329" s="4" t="s">
        <v>852</v>
      </c>
    </row>
    <row r="330" spans="1:35" ht="36" x14ac:dyDescent="0.3">
      <c r="A330" s="10" t="s">
        <v>1315</v>
      </c>
      <c r="B330" s="10" t="s">
        <v>1316</v>
      </c>
      <c r="C330" s="14" t="s">
        <v>1317</v>
      </c>
      <c r="D330" s="15" t="s">
        <v>1318</v>
      </c>
      <c r="E330" s="15" t="s">
        <v>1319</v>
      </c>
      <c r="F330" s="15" t="s">
        <v>75</v>
      </c>
      <c r="G330" s="16">
        <v>1</v>
      </c>
      <c r="H330" s="16"/>
      <c r="I330" s="16">
        <v>206.42</v>
      </c>
      <c r="J330" s="17">
        <v>699.6</v>
      </c>
      <c r="K330" s="18">
        <v>2541</v>
      </c>
      <c r="L330" s="17">
        <f>J330+ROUND(K330, 2)</f>
        <v>3240.6</v>
      </c>
      <c r="M330" s="17">
        <v>144411.43</v>
      </c>
      <c r="N330" s="17">
        <v>524513.22</v>
      </c>
      <c r="O330" s="17">
        <f>M330+N330</f>
        <v>668924.64999999991</v>
      </c>
      <c r="P330" s="17">
        <v>753.02</v>
      </c>
      <c r="Q330" s="18">
        <v>2541</v>
      </c>
      <c r="R330" s="17">
        <f>P330+ROUND(Q330, 2)</f>
        <v>3294.02</v>
      </c>
      <c r="S330" s="17">
        <v>155438.39000000001</v>
      </c>
      <c r="T330" s="17">
        <v>524513.22</v>
      </c>
      <c r="U330" s="17">
        <f>S330+T330</f>
        <v>679951.61</v>
      </c>
      <c r="V330" s="9">
        <f>ROUND(P330 / 1.2, 2)</f>
        <v>627.52</v>
      </c>
      <c r="W330" s="9">
        <f>ROUND(Q330 / 1.2, 2)</f>
        <v>2117.5</v>
      </c>
      <c r="X330" s="9">
        <f>ROUND(R330 / 1.2, 2)</f>
        <v>2745.02</v>
      </c>
      <c r="Y330" s="9">
        <f t="shared" si="17"/>
        <v>129531.99</v>
      </c>
      <c r="Z330" s="9">
        <f>ROUND(T330 / 1.2, 2)</f>
        <v>437094.35</v>
      </c>
      <c r="AA330" s="9">
        <f>Y330+Z330</f>
        <v>566626.34</v>
      </c>
      <c r="AD330" s="4">
        <v>339118868</v>
      </c>
      <c r="AE330" s="4">
        <v>28999466</v>
      </c>
      <c r="AG330" s="4" t="s">
        <v>1320</v>
      </c>
      <c r="AH330" s="4" t="s">
        <v>1321</v>
      </c>
      <c r="AI330" s="4" t="s">
        <v>156</v>
      </c>
    </row>
    <row r="331" spans="1:35" ht="18" x14ac:dyDescent="0.3">
      <c r="A331" s="10" t="s">
        <v>1322</v>
      </c>
      <c r="B331" s="10"/>
      <c r="C331" s="30" t="s">
        <v>1323</v>
      </c>
      <c r="D331" s="15"/>
      <c r="E331" s="15"/>
      <c r="F331" s="25" t="s">
        <v>159</v>
      </c>
      <c r="G331" s="26">
        <v>40</v>
      </c>
      <c r="H331" s="32"/>
      <c r="I331" s="32">
        <v>8256.7999999999993</v>
      </c>
      <c r="J331" s="27">
        <v>9.02</v>
      </c>
      <c r="M331" s="28">
        <f>ROUND(ROUND(J331, 2)*I331, 2)</f>
        <v>74476.34</v>
      </c>
      <c r="P331" s="27">
        <v>9.02</v>
      </c>
      <c r="S331" s="28">
        <f>ROUND(ROUND(P331, 2)*I331, 2)</f>
        <v>74476.34</v>
      </c>
      <c r="V331" s="9">
        <f>ROUND(ROUND(P331, 2)/1.2, 2)</f>
        <v>7.52</v>
      </c>
      <c r="Y331" s="9">
        <f t="shared" si="17"/>
        <v>62063.62</v>
      </c>
      <c r="AD331" s="4" t="s">
        <v>1324</v>
      </c>
      <c r="AE331" s="4" t="s">
        <v>1325</v>
      </c>
      <c r="AF331" s="4" t="s">
        <v>1326</v>
      </c>
    </row>
    <row r="332" spans="1:35" ht="36" x14ac:dyDescent="0.3">
      <c r="A332" s="10" t="s">
        <v>1327</v>
      </c>
      <c r="B332" s="10"/>
      <c r="C332" s="24" t="s">
        <v>1328</v>
      </c>
      <c r="D332" s="15"/>
      <c r="E332" s="15"/>
      <c r="F332" s="25" t="s">
        <v>75</v>
      </c>
      <c r="G332" s="26">
        <v>1.05</v>
      </c>
      <c r="H332" s="26"/>
      <c r="I332" s="26">
        <v>216.74100000000001</v>
      </c>
      <c r="J332" s="27">
        <v>137.79</v>
      </c>
      <c r="M332" s="28">
        <f>ROUND(ROUND(J332, 2)*I332, 2)</f>
        <v>29864.74</v>
      </c>
      <c r="P332" s="27">
        <v>188.67</v>
      </c>
      <c r="S332" s="28">
        <f>ROUND(ROUND(P332, 2)*I332, 2)</f>
        <v>40892.519999999997</v>
      </c>
      <c r="V332" s="9">
        <f>ROUND(ROUND(P332, 2)/1.2, 2)</f>
        <v>157.22999999999999</v>
      </c>
      <c r="Y332" s="9">
        <f t="shared" si="17"/>
        <v>34077.1</v>
      </c>
      <c r="AD332" s="4" t="s">
        <v>1329</v>
      </c>
      <c r="AE332" s="4" t="s">
        <v>1330</v>
      </c>
      <c r="AF332" s="4" t="s">
        <v>1331</v>
      </c>
    </row>
    <row r="333" spans="1:35" ht="36" x14ac:dyDescent="0.3">
      <c r="A333" s="10" t="s">
        <v>1332</v>
      </c>
      <c r="B333" s="10"/>
      <c r="C333" s="24" t="s">
        <v>480</v>
      </c>
      <c r="D333" s="15"/>
      <c r="E333" s="15"/>
      <c r="F333" s="25" t="s">
        <v>159</v>
      </c>
      <c r="G333" s="26">
        <v>0.15</v>
      </c>
      <c r="H333" s="26"/>
      <c r="I333" s="26">
        <v>30.963000000000001</v>
      </c>
      <c r="J333" s="27">
        <v>90.28</v>
      </c>
      <c r="M333" s="28">
        <f>ROUND(ROUND(J333, 2)*I333, 2)</f>
        <v>2795.34</v>
      </c>
      <c r="P333" s="27">
        <v>90.28</v>
      </c>
      <c r="S333" s="28">
        <f>ROUND(ROUND(P333, 2)*I333, 2)</f>
        <v>2795.34</v>
      </c>
      <c r="V333" s="9">
        <f>ROUND(ROUND(P333, 2)/1.2, 2)</f>
        <v>75.23</v>
      </c>
      <c r="Y333" s="9">
        <f t="shared" si="17"/>
        <v>2329.4499999999998</v>
      </c>
      <c r="AD333" s="4" t="s">
        <v>1333</v>
      </c>
      <c r="AE333" s="4" t="s">
        <v>1334</v>
      </c>
      <c r="AF333" s="4" t="s">
        <v>483</v>
      </c>
    </row>
    <row r="334" spans="1:35" ht="18" x14ac:dyDescent="0.3">
      <c r="A334" s="10" t="s">
        <v>1335</v>
      </c>
      <c r="B334" s="10"/>
      <c r="C334" s="24" t="s">
        <v>1336</v>
      </c>
      <c r="D334" s="15"/>
      <c r="E334" s="15"/>
      <c r="F334" s="25" t="s">
        <v>240</v>
      </c>
      <c r="G334" s="26">
        <v>2.2200000000000002</v>
      </c>
      <c r="H334" s="26"/>
      <c r="I334" s="26">
        <v>458.25200000000001</v>
      </c>
      <c r="J334" s="27">
        <v>81.34</v>
      </c>
      <c r="M334" s="28">
        <f>ROUND(ROUND(J334, 2)*I334, 2)</f>
        <v>37274.22</v>
      </c>
      <c r="P334" s="27">
        <v>81.34</v>
      </c>
      <c r="S334" s="28">
        <f>ROUND(ROUND(P334, 2)*I334, 2)</f>
        <v>37274.22</v>
      </c>
      <c r="V334" s="9">
        <f>ROUND(ROUND(P334, 2)/1.2, 2)</f>
        <v>67.78</v>
      </c>
      <c r="Y334" s="9">
        <f t="shared" si="17"/>
        <v>31061.85</v>
      </c>
      <c r="AD334" s="4" t="s">
        <v>1337</v>
      </c>
      <c r="AE334" s="4" t="s">
        <v>1338</v>
      </c>
      <c r="AF334" s="4" t="s">
        <v>1339</v>
      </c>
    </row>
    <row r="335" spans="1:35" ht="16.95" customHeight="1" x14ac:dyDescent="0.3">
      <c r="A335" s="10" t="s">
        <v>1340</v>
      </c>
      <c r="B335" s="10" t="s">
        <v>1341</v>
      </c>
      <c r="C335" s="120" t="s">
        <v>1342</v>
      </c>
      <c r="D335" s="121"/>
      <c r="E335" s="121"/>
      <c r="F335" s="121"/>
      <c r="G335" s="121"/>
      <c r="H335" s="121"/>
      <c r="I335" s="122"/>
      <c r="M335" s="6">
        <f>SUM(M336,M365)</f>
        <v>602456.1</v>
      </c>
      <c r="N335" s="6">
        <f>SUM(N336,N365)</f>
        <v>3211659</v>
      </c>
      <c r="O335" s="6">
        <f>SUM(O336,O365)</f>
        <v>3814115.0999999996</v>
      </c>
      <c r="S335" s="6">
        <f>SUM(S336,S365)</f>
        <v>462948.94000000006</v>
      </c>
      <c r="T335" s="6">
        <f>SUM(T336,T365)</f>
        <v>3193007.22</v>
      </c>
      <c r="U335" s="6">
        <f>SUM(U336,U365)</f>
        <v>3655956.16</v>
      </c>
      <c r="Y335" s="9">
        <f>SUM(Y336,Y365)</f>
        <v>385790.78</v>
      </c>
      <c r="Z335" s="9">
        <f>SUM(Z336,Z365)</f>
        <v>2660839.3400000003</v>
      </c>
      <c r="AA335" s="9">
        <f>SUM(AA336,AA365)</f>
        <v>3046630.12</v>
      </c>
      <c r="AD335" s="4">
        <v>339118869</v>
      </c>
      <c r="AE335" s="4">
        <v>25887943</v>
      </c>
    </row>
    <row r="336" spans="1:35" ht="16.95" customHeight="1" x14ac:dyDescent="0.3">
      <c r="A336" s="10" t="s">
        <v>1343</v>
      </c>
      <c r="B336" s="10" t="s">
        <v>1344</v>
      </c>
      <c r="C336" s="120" t="s">
        <v>1345</v>
      </c>
      <c r="D336" s="121"/>
      <c r="E336" s="121"/>
      <c r="F336" s="121"/>
      <c r="G336" s="121"/>
      <c r="H336" s="121"/>
      <c r="I336" s="122"/>
      <c r="M336" s="6">
        <f>SUM(M337,M343,M346,M349,M353,M357,M360,M363)</f>
        <v>235262.04000000007</v>
      </c>
      <c r="N336" s="6">
        <f>SUM(N337,N343,N346,N349,N353,N357,N360,N363)</f>
        <v>1283558.5</v>
      </c>
      <c r="O336" s="6">
        <f>SUM(O337,O343,O346,O349,O353,O357,O360,O363)</f>
        <v>1518820.54</v>
      </c>
      <c r="S336" s="6">
        <f>SUM(S337,S343,S346,S349,S353,S357,S360,S363)</f>
        <v>210139.14000000004</v>
      </c>
      <c r="T336" s="6">
        <f>SUM(T337,T343,T346,T349,T353,T357,T360,T363)</f>
        <v>1283558.5</v>
      </c>
      <c r="U336" s="6">
        <f>SUM(U337,U343,U346,U349,U353,U357,U360,U363)</f>
        <v>1493697.6400000001</v>
      </c>
      <c r="Y336" s="9">
        <f>SUM(Y337,Y343,Y346,Y349,Y353,Y357,Y360,Y363)</f>
        <v>175115.95</v>
      </c>
      <c r="Z336" s="9">
        <f>SUM(Z337,Z343,Z346,Z349,Z353,Z357,Z360,Z363)</f>
        <v>1069632.08</v>
      </c>
      <c r="AA336" s="9">
        <f>SUM(AA337,AA343,AA346,AA349,AA353,AA357,AA360,AA363)</f>
        <v>1244748.0299999998</v>
      </c>
      <c r="AD336" s="4">
        <v>339118870</v>
      </c>
      <c r="AE336" s="4">
        <v>25887968</v>
      </c>
    </row>
    <row r="337" spans="1:35" ht="36" x14ac:dyDescent="0.3">
      <c r="A337" s="10" t="s">
        <v>1346</v>
      </c>
      <c r="B337" s="10" t="s">
        <v>1347</v>
      </c>
      <c r="C337" s="14" t="s">
        <v>1348</v>
      </c>
      <c r="D337" s="15"/>
      <c r="E337" s="15" t="s">
        <v>1349</v>
      </c>
      <c r="F337" s="15" t="s">
        <v>75</v>
      </c>
      <c r="G337" s="16">
        <v>1</v>
      </c>
      <c r="H337" s="16"/>
      <c r="I337" s="16">
        <v>58.61</v>
      </c>
      <c r="J337" s="17">
        <v>2512.9899999999998</v>
      </c>
      <c r="K337" s="18">
        <v>594</v>
      </c>
      <c r="L337" s="17">
        <f>J337+ROUND(K337, 2)</f>
        <v>3106.99</v>
      </c>
      <c r="M337" s="17">
        <v>147286.34</v>
      </c>
      <c r="N337" s="17">
        <v>34814.339999999997</v>
      </c>
      <c r="O337" s="17">
        <f>M337+N337</f>
        <v>182100.68</v>
      </c>
      <c r="P337" s="17">
        <v>1987.51</v>
      </c>
      <c r="Q337" s="18">
        <v>594</v>
      </c>
      <c r="R337" s="17">
        <f>P337+ROUND(Q337, 2)</f>
        <v>2581.5100000000002</v>
      </c>
      <c r="S337" s="17">
        <v>116487.96</v>
      </c>
      <c r="T337" s="17">
        <v>34814.339999999997</v>
      </c>
      <c r="U337" s="17">
        <f>S337+T337</f>
        <v>151302.29999999999</v>
      </c>
      <c r="V337" s="9">
        <f>ROUND(P337 / 1.2, 2)</f>
        <v>1656.26</v>
      </c>
      <c r="W337" s="9">
        <f>ROUND(Q337 / 1.2, 2)</f>
        <v>495</v>
      </c>
      <c r="X337" s="9">
        <f>ROUND(R337 / 1.2, 2)</f>
        <v>2151.2600000000002</v>
      </c>
      <c r="Y337" s="9">
        <f>ROUND(S337 / 1.2, 2)</f>
        <v>97073.3</v>
      </c>
      <c r="Z337" s="9">
        <f>ROUND(T337 / 1.2, 2)</f>
        <v>29011.95</v>
      </c>
      <c r="AA337" s="9">
        <f>Y337+Z337</f>
        <v>126085.25</v>
      </c>
      <c r="AD337" s="4">
        <v>339118872</v>
      </c>
      <c r="AE337" s="4">
        <v>25887996</v>
      </c>
      <c r="AG337" s="4" t="s">
        <v>1350</v>
      </c>
      <c r="AH337" s="4" t="s">
        <v>1351</v>
      </c>
      <c r="AI337" s="4" t="s">
        <v>156</v>
      </c>
    </row>
    <row r="338" spans="1:35" ht="18" x14ac:dyDescent="0.3">
      <c r="A338" s="10" t="s">
        <v>1352</v>
      </c>
      <c r="B338" s="10"/>
      <c r="C338" s="24" t="s">
        <v>1018</v>
      </c>
      <c r="D338" s="15"/>
      <c r="E338" s="15" t="s">
        <v>1353</v>
      </c>
      <c r="F338" s="25" t="s">
        <v>75</v>
      </c>
      <c r="G338" s="26">
        <v>1.01</v>
      </c>
      <c r="H338" s="26"/>
      <c r="I338" s="26">
        <v>59.195999999999998</v>
      </c>
      <c r="J338" s="27">
        <v>26</v>
      </c>
      <c r="M338" s="28">
        <f>ROUND(ROUND(J338, 2)*I338, 2)</f>
        <v>1539.1</v>
      </c>
      <c r="P338" s="27">
        <v>48.44</v>
      </c>
      <c r="S338" s="28">
        <f>ROUND(ROUND(P338, 2)*I338, 2)</f>
        <v>2867.45</v>
      </c>
      <c r="V338" s="9">
        <f>ROUND(ROUND(P338, 2)/1.2, 2)</f>
        <v>40.369999999999997</v>
      </c>
      <c r="Y338" s="9">
        <f t="shared" ref="Y338:Y364" si="18">ROUND(S338 / 1.2, 2)</f>
        <v>2389.54</v>
      </c>
      <c r="AD338" s="4" t="s">
        <v>1354</v>
      </c>
      <c r="AE338" s="4" t="s">
        <v>1355</v>
      </c>
      <c r="AF338" s="4" t="s">
        <v>1022</v>
      </c>
    </row>
    <row r="339" spans="1:35" ht="90" x14ac:dyDescent="0.3">
      <c r="A339" s="10" t="s">
        <v>1356</v>
      </c>
      <c r="B339" s="10"/>
      <c r="C339" s="30" t="s">
        <v>1357</v>
      </c>
      <c r="D339" s="15"/>
      <c r="E339" s="15" t="s">
        <v>1358</v>
      </c>
      <c r="F339" s="25" t="s">
        <v>424</v>
      </c>
      <c r="G339" s="26">
        <v>0.10299999999999999</v>
      </c>
      <c r="H339" s="32"/>
      <c r="I339" s="32">
        <v>12.07</v>
      </c>
      <c r="J339" s="27">
        <v>10694.2</v>
      </c>
      <c r="M339" s="28">
        <f>ROUND(ROUND(J339, 2)*I339, 2)</f>
        <v>129078.99</v>
      </c>
      <c r="P339" s="27">
        <v>8032.5</v>
      </c>
      <c r="S339" s="28">
        <f>ROUND(ROUND(P339, 2)*I339, 2)</f>
        <v>96952.28</v>
      </c>
      <c r="V339" s="9">
        <f>ROUND(ROUND(P339, 2)/1.2, 2)</f>
        <v>6693.75</v>
      </c>
      <c r="Y339" s="9">
        <f t="shared" si="18"/>
        <v>80793.570000000007</v>
      </c>
      <c r="AD339" s="4" t="s">
        <v>1359</v>
      </c>
      <c r="AE339" s="4" t="s">
        <v>1360</v>
      </c>
      <c r="AF339" s="4" t="s">
        <v>1361</v>
      </c>
    </row>
    <row r="340" spans="1:35" ht="36" x14ac:dyDescent="0.3">
      <c r="A340" s="10" t="s">
        <v>1362</v>
      </c>
      <c r="B340" s="10"/>
      <c r="C340" s="24" t="s">
        <v>1363</v>
      </c>
      <c r="D340" s="15"/>
      <c r="E340" s="15"/>
      <c r="F340" s="25" t="s">
        <v>159</v>
      </c>
      <c r="G340" s="26">
        <v>1.3</v>
      </c>
      <c r="H340" s="32"/>
      <c r="I340" s="32">
        <v>380.96499999999997</v>
      </c>
      <c r="J340" s="27">
        <v>20</v>
      </c>
      <c r="M340" s="28">
        <f>ROUND(ROUND(J340, 2)*I340, 2)</f>
        <v>7619.3</v>
      </c>
      <c r="P340" s="27">
        <v>20</v>
      </c>
      <c r="S340" s="28">
        <f>ROUND(ROUND(P340, 2)*I340, 2)</f>
        <v>7619.3</v>
      </c>
      <c r="V340" s="9">
        <f>ROUND(ROUND(P340, 2)/1.2, 2)</f>
        <v>16.670000000000002</v>
      </c>
      <c r="Y340" s="9">
        <f t="shared" si="18"/>
        <v>6349.42</v>
      </c>
      <c r="AD340" s="4" t="s">
        <v>1364</v>
      </c>
      <c r="AE340" s="4" t="s">
        <v>1365</v>
      </c>
      <c r="AF340" s="4" t="s">
        <v>1366</v>
      </c>
    </row>
    <row r="341" spans="1:35" ht="36" x14ac:dyDescent="0.3">
      <c r="A341" s="10" t="s">
        <v>1367</v>
      </c>
      <c r="B341" s="10"/>
      <c r="C341" s="24" t="s">
        <v>1368</v>
      </c>
      <c r="D341" s="15"/>
      <c r="E341" s="15"/>
      <c r="F341" s="25" t="s">
        <v>240</v>
      </c>
      <c r="G341" s="26">
        <v>7</v>
      </c>
      <c r="H341" s="26"/>
      <c r="I341" s="26">
        <v>410.27</v>
      </c>
      <c r="J341" s="27">
        <v>20.59</v>
      </c>
      <c r="M341" s="28">
        <f>ROUND(ROUND(J341, 2)*I341, 2)</f>
        <v>8447.4599999999991</v>
      </c>
      <c r="P341" s="27">
        <v>20.59</v>
      </c>
      <c r="S341" s="28">
        <f>ROUND(ROUND(P341, 2)*I341, 2)</f>
        <v>8447.4599999999991</v>
      </c>
      <c r="V341" s="9">
        <f>ROUND(ROUND(P341, 2)/1.2, 2)</f>
        <v>17.16</v>
      </c>
      <c r="Y341" s="9">
        <f t="shared" si="18"/>
        <v>7039.55</v>
      </c>
      <c r="AD341" s="4" t="s">
        <v>1369</v>
      </c>
      <c r="AE341" s="4" t="s">
        <v>1370</v>
      </c>
      <c r="AF341" s="4" t="s">
        <v>1371</v>
      </c>
    </row>
    <row r="342" spans="1:35" ht="36" x14ac:dyDescent="0.3">
      <c r="A342" s="10" t="s">
        <v>1372</v>
      </c>
      <c r="B342" s="10"/>
      <c r="C342" s="24" t="s">
        <v>534</v>
      </c>
      <c r="D342" s="15"/>
      <c r="E342" s="15"/>
      <c r="F342" s="25" t="s">
        <v>159</v>
      </c>
      <c r="G342" s="26">
        <v>0.15</v>
      </c>
      <c r="H342" s="26"/>
      <c r="I342" s="26">
        <v>8.7919999999999998</v>
      </c>
      <c r="J342" s="27">
        <v>68.400000000000006</v>
      </c>
      <c r="M342" s="28">
        <f>ROUND(ROUND(J342, 2)*I342, 2)</f>
        <v>601.37</v>
      </c>
      <c r="P342" s="27">
        <v>68.400000000000006</v>
      </c>
      <c r="S342" s="28">
        <f>ROUND(ROUND(P342, 2)*I342, 2)</f>
        <v>601.37</v>
      </c>
      <c r="V342" s="9">
        <f>ROUND(ROUND(P342, 2)/1.2, 2)</f>
        <v>57</v>
      </c>
      <c r="Y342" s="9">
        <f t="shared" si="18"/>
        <v>501.14</v>
      </c>
      <c r="AD342" s="4" t="s">
        <v>1373</v>
      </c>
      <c r="AE342" s="4" t="s">
        <v>1374</v>
      </c>
      <c r="AF342" s="4" t="s">
        <v>537</v>
      </c>
    </row>
    <row r="343" spans="1:35" ht="36" x14ac:dyDescent="0.3">
      <c r="A343" s="10" t="s">
        <v>1375</v>
      </c>
      <c r="B343" s="10" t="s">
        <v>1376</v>
      </c>
      <c r="C343" s="14" t="s">
        <v>1377</v>
      </c>
      <c r="D343" s="15"/>
      <c r="E343" s="15" t="s">
        <v>1378</v>
      </c>
      <c r="F343" s="15" t="s">
        <v>75</v>
      </c>
      <c r="G343" s="16">
        <v>1</v>
      </c>
      <c r="H343" s="16"/>
      <c r="I343" s="16">
        <v>89.23</v>
      </c>
      <c r="J343" s="17">
        <v>71.61</v>
      </c>
      <c r="K343" s="18">
        <v>718</v>
      </c>
      <c r="L343" s="17">
        <f>J343+ROUND(K343, 2)</f>
        <v>789.61</v>
      </c>
      <c r="M343" s="17">
        <v>6389.76</v>
      </c>
      <c r="N343" s="17">
        <v>64067.14</v>
      </c>
      <c r="O343" s="17">
        <f>M343+N343</f>
        <v>70456.899999999994</v>
      </c>
      <c r="P343" s="17">
        <v>71.61</v>
      </c>
      <c r="Q343" s="18">
        <v>718</v>
      </c>
      <c r="R343" s="17">
        <f>P343+ROUND(Q343, 2)</f>
        <v>789.61</v>
      </c>
      <c r="S343" s="17">
        <v>6389.76</v>
      </c>
      <c r="T343" s="17">
        <v>64067.14</v>
      </c>
      <c r="U343" s="17">
        <f>S343+T343</f>
        <v>70456.899999999994</v>
      </c>
      <c r="V343" s="9">
        <f>ROUND(P343 / 1.2, 2)</f>
        <v>59.68</v>
      </c>
      <c r="W343" s="9">
        <f>ROUND(Q343 / 1.2, 2)</f>
        <v>598.33000000000004</v>
      </c>
      <c r="X343" s="9">
        <f>ROUND(R343 / 1.2, 2)</f>
        <v>658.01</v>
      </c>
      <c r="Y343" s="9">
        <f t="shared" si="18"/>
        <v>5324.8</v>
      </c>
      <c r="Z343" s="9">
        <f>ROUND(T343 / 1.2, 2)</f>
        <v>53389.279999999999</v>
      </c>
      <c r="AA343" s="9">
        <f>Y343+Z343</f>
        <v>58714.080000000002</v>
      </c>
      <c r="AD343" s="4">
        <v>339118874</v>
      </c>
      <c r="AE343" s="4">
        <v>25888025</v>
      </c>
      <c r="AG343" s="4" t="s">
        <v>1379</v>
      </c>
      <c r="AH343" s="4" t="s">
        <v>1380</v>
      </c>
      <c r="AI343" s="4" t="s">
        <v>156</v>
      </c>
    </row>
    <row r="344" spans="1:35" ht="36" x14ac:dyDescent="0.3">
      <c r="A344" s="10" t="s">
        <v>1381</v>
      </c>
      <c r="B344" s="10"/>
      <c r="C344" s="30" t="s">
        <v>849</v>
      </c>
      <c r="D344" s="15"/>
      <c r="E344" s="15"/>
      <c r="F344" s="25" t="s">
        <v>159</v>
      </c>
      <c r="G344" s="26">
        <v>4.5</v>
      </c>
      <c r="H344" s="26"/>
      <c r="I344" s="26">
        <v>401.53500000000003</v>
      </c>
      <c r="J344" s="27">
        <v>12.58</v>
      </c>
      <c r="M344" s="28">
        <f>ROUND(ROUND(J344, 2)*I344, 2)</f>
        <v>5051.3100000000004</v>
      </c>
      <c r="P344" s="27">
        <v>12.58</v>
      </c>
      <c r="S344" s="28">
        <f>ROUND(ROUND(P344, 2)*I344, 2)</f>
        <v>5051.3100000000004</v>
      </c>
      <c r="V344" s="9">
        <f>ROUND(ROUND(P344, 2)/1.2, 2)</f>
        <v>10.48</v>
      </c>
      <c r="Y344" s="9">
        <f t="shared" si="18"/>
        <v>4209.43</v>
      </c>
      <c r="AD344" s="4" t="s">
        <v>1382</v>
      </c>
      <c r="AE344" s="4" t="s">
        <v>1383</v>
      </c>
      <c r="AF344" s="4" t="s">
        <v>852</v>
      </c>
    </row>
    <row r="345" spans="1:35" ht="18" x14ac:dyDescent="0.3">
      <c r="A345" s="10" t="s">
        <v>1384</v>
      </c>
      <c r="B345" s="10"/>
      <c r="C345" s="24" t="s">
        <v>296</v>
      </c>
      <c r="D345" s="15"/>
      <c r="E345" s="15"/>
      <c r="F345" s="25" t="s">
        <v>159</v>
      </c>
      <c r="G345" s="26">
        <v>0.15</v>
      </c>
      <c r="H345" s="26"/>
      <c r="I345" s="26">
        <v>13.385</v>
      </c>
      <c r="J345" s="27">
        <v>100</v>
      </c>
      <c r="M345" s="28">
        <f>ROUND(ROUND(J345, 2)*I345, 2)</f>
        <v>1338.5</v>
      </c>
      <c r="P345" s="27">
        <v>100</v>
      </c>
      <c r="S345" s="28">
        <f>ROUND(ROUND(P345, 2)*I345, 2)</f>
        <v>1338.5</v>
      </c>
      <c r="V345" s="9">
        <f>ROUND(ROUND(P345, 2)/1.2, 2)</f>
        <v>83.33</v>
      </c>
      <c r="Y345" s="9">
        <f t="shared" si="18"/>
        <v>1115.42</v>
      </c>
      <c r="AD345" s="4" t="s">
        <v>1385</v>
      </c>
      <c r="AE345" s="4" t="s">
        <v>1386</v>
      </c>
      <c r="AF345" s="4" t="s">
        <v>299</v>
      </c>
    </row>
    <row r="346" spans="1:35" ht="73.2" customHeight="1" x14ac:dyDescent="0.3">
      <c r="A346" s="82" t="s">
        <v>1387</v>
      </c>
      <c r="B346" s="82" t="s">
        <v>1376</v>
      </c>
      <c r="C346" s="83" t="s">
        <v>1377</v>
      </c>
      <c r="D346" s="85"/>
      <c r="E346" s="85" t="s">
        <v>1388</v>
      </c>
      <c r="F346" s="85" t="s">
        <v>75</v>
      </c>
      <c r="G346" s="86">
        <v>1</v>
      </c>
      <c r="H346" s="86"/>
      <c r="I346" s="86">
        <v>444.09</v>
      </c>
      <c r="J346" s="88">
        <v>33.130000000000003</v>
      </c>
      <c r="K346" s="89">
        <v>790</v>
      </c>
      <c r="L346" s="88">
        <f>J346+ROUND(K346, 2)</f>
        <v>823.13</v>
      </c>
      <c r="M346" s="88">
        <v>14712.7</v>
      </c>
      <c r="N346" s="88">
        <v>350831.1</v>
      </c>
      <c r="O346" s="88">
        <f>M346+N346</f>
        <v>365543.8</v>
      </c>
      <c r="P346" s="88">
        <v>33.130000000000003</v>
      </c>
      <c r="Q346" s="89">
        <v>790</v>
      </c>
      <c r="R346" s="88">
        <f>P346+ROUND(Q346, 2)</f>
        <v>823.13</v>
      </c>
      <c r="S346" s="88">
        <v>14712.7</v>
      </c>
      <c r="T346" s="88">
        <v>350831.1</v>
      </c>
      <c r="U346" s="88">
        <f>S346+T346</f>
        <v>365543.8</v>
      </c>
      <c r="V346" s="9">
        <f>ROUND(P346 / 1.2, 2)</f>
        <v>27.61</v>
      </c>
      <c r="W346" s="9">
        <f>ROUND(Q346 / 1.2, 2)</f>
        <v>658.33</v>
      </c>
      <c r="X346" s="9">
        <f>ROUND(R346 / 1.2, 2)</f>
        <v>685.94</v>
      </c>
      <c r="Y346" s="9">
        <f t="shared" si="18"/>
        <v>12260.58</v>
      </c>
      <c r="Z346" s="9">
        <f>ROUND(T346 / 1.2, 2)</f>
        <v>292359.25</v>
      </c>
      <c r="AA346" s="9">
        <f>Y346+Z346</f>
        <v>304619.83</v>
      </c>
      <c r="AD346" s="4">
        <v>339118935</v>
      </c>
      <c r="AE346" s="4">
        <v>28983430</v>
      </c>
      <c r="AG346" s="4" t="s">
        <v>1379</v>
      </c>
      <c r="AH346" s="4" t="s">
        <v>1380</v>
      </c>
      <c r="AI346" s="4" t="s">
        <v>156</v>
      </c>
    </row>
    <row r="347" spans="1:35" ht="18" x14ac:dyDescent="0.3">
      <c r="A347" s="10" t="s">
        <v>1389</v>
      </c>
      <c r="B347" s="10"/>
      <c r="C347" s="24" t="s">
        <v>296</v>
      </c>
      <c r="D347" s="15"/>
      <c r="E347" s="15"/>
      <c r="F347" s="25" t="s">
        <v>159</v>
      </c>
      <c r="G347" s="26">
        <v>0.15</v>
      </c>
      <c r="H347" s="26"/>
      <c r="I347" s="26">
        <v>66.614000000000004</v>
      </c>
      <c r="J347" s="27">
        <v>101.66</v>
      </c>
      <c r="M347" s="28">
        <f>ROUND(ROUND(J347, 2)*I347, 2)</f>
        <v>6771.98</v>
      </c>
      <c r="P347" s="27">
        <v>101.66</v>
      </c>
      <c r="S347" s="28">
        <f>ROUND(ROUND(P347, 2)*I347, 2)</f>
        <v>6771.98</v>
      </c>
      <c r="V347" s="9">
        <f>ROUND(ROUND(P347, 2)/1.2, 2)</f>
        <v>84.72</v>
      </c>
      <c r="Y347" s="9">
        <f t="shared" si="18"/>
        <v>5643.32</v>
      </c>
      <c r="AD347" s="4" t="s">
        <v>1390</v>
      </c>
      <c r="AE347" s="4" t="s">
        <v>1391</v>
      </c>
      <c r="AF347" s="4" t="s">
        <v>299</v>
      </c>
    </row>
    <row r="348" spans="1:35" ht="36" x14ac:dyDescent="0.3">
      <c r="A348" s="10" t="s">
        <v>1392</v>
      </c>
      <c r="B348" s="10"/>
      <c r="C348" s="24" t="s">
        <v>1393</v>
      </c>
      <c r="D348" s="15"/>
      <c r="E348" s="15"/>
      <c r="F348" s="25" t="s">
        <v>159</v>
      </c>
      <c r="G348" s="26">
        <v>2</v>
      </c>
      <c r="H348" s="26"/>
      <c r="I348" s="26">
        <v>888.18</v>
      </c>
      <c r="J348" s="27">
        <v>8.94</v>
      </c>
      <c r="M348" s="28">
        <f>ROUND(ROUND(J348, 2)*I348, 2)</f>
        <v>7940.33</v>
      </c>
      <c r="P348" s="27">
        <v>8.94</v>
      </c>
      <c r="S348" s="28">
        <f>ROUND(ROUND(P348, 2)*I348, 2)</f>
        <v>7940.33</v>
      </c>
      <c r="V348" s="9">
        <f>ROUND(ROUND(P348, 2)/1.2, 2)</f>
        <v>7.45</v>
      </c>
      <c r="Y348" s="9">
        <f t="shared" si="18"/>
        <v>6616.94</v>
      </c>
      <c r="AD348" s="4" t="s">
        <v>1394</v>
      </c>
      <c r="AE348" s="4" t="s">
        <v>1395</v>
      </c>
      <c r="AF348" s="4" t="s">
        <v>1396</v>
      </c>
    </row>
    <row r="349" spans="1:35" ht="36" x14ac:dyDescent="0.3">
      <c r="A349" s="10" t="s">
        <v>1397</v>
      </c>
      <c r="B349" s="10" t="s">
        <v>1398</v>
      </c>
      <c r="C349" s="14" t="s">
        <v>907</v>
      </c>
      <c r="D349" s="15"/>
      <c r="E349" s="15" t="s">
        <v>1399</v>
      </c>
      <c r="F349" s="15" t="s">
        <v>75</v>
      </c>
      <c r="G349" s="16">
        <v>1</v>
      </c>
      <c r="H349" s="16"/>
      <c r="I349" s="16">
        <v>465.96</v>
      </c>
      <c r="J349" s="17">
        <v>54.12</v>
      </c>
      <c r="K349" s="18">
        <v>581</v>
      </c>
      <c r="L349" s="17">
        <f>J349+ROUND(K349, 2)</f>
        <v>635.12</v>
      </c>
      <c r="M349" s="17">
        <v>25217.759999999998</v>
      </c>
      <c r="N349" s="17">
        <v>270722.76</v>
      </c>
      <c r="O349" s="17">
        <f>M349+N349</f>
        <v>295940.52</v>
      </c>
      <c r="P349" s="17">
        <v>54.12</v>
      </c>
      <c r="Q349" s="18">
        <v>581</v>
      </c>
      <c r="R349" s="17">
        <f>P349+ROUND(Q349, 2)</f>
        <v>635.12</v>
      </c>
      <c r="S349" s="17">
        <v>25217.759999999998</v>
      </c>
      <c r="T349" s="17">
        <v>270722.76</v>
      </c>
      <c r="U349" s="17">
        <f>S349+T349</f>
        <v>295940.52</v>
      </c>
      <c r="V349" s="9">
        <f>ROUND(P349 / 1.2, 2)</f>
        <v>45.1</v>
      </c>
      <c r="W349" s="9">
        <f>ROUND(Q349 / 1.2, 2)</f>
        <v>484.17</v>
      </c>
      <c r="X349" s="9">
        <f>ROUND(R349 / 1.2, 2)</f>
        <v>529.27</v>
      </c>
      <c r="Y349" s="9">
        <f t="shared" si="18"/>
        <v>21014.799999999999</v>
      </c>
      <c r="Z349" s="9">
        <f>ROUND(T349 / 1.2, 2)</f>
        <v>225602.3</v>
      </c>
      <c r="AA349" s="9">
        <f>Y349+Z349</f>
        <v>246617.09999999998</v>
      </c>
      <c r="AD349" s="4">
        <v>339118875</v>
      </c>
      <c r="AE349" s="4">
        <v>25888027</v>
      </c>
      <c r="AG349" s="4" t="s">
        <v>909</v>
      </c>
      <c r="AH349" s="4" t="s">
        <v>1400</v>
      </c>
      <c r="AI349" s="4" t="s">
        <v>156</v>
      </c>
    </row>
    <row r="350" spans="1:35" ht="36" x14ac:dyDescent="0.3">
      <c r="A350" s="10" t="s">
        <v>1401</v>
      </c>
      <c r="B350" s="10"/>
      <c r="C350" s="30" t="s">
        <v>849</v>
      </c>
      <c r="D350" s="15"/>
      <c r="E350" s="15"/>
      <c r="F350" s="25" t="s">
        <v>159</v>
      </c>
      <c r="G350" s="26">
        <v>1.5</v>
      </c>
      <c r="H350" s="26"/>
      <c r="I350" s="26">
        <v>698.94</v>
      </c>
      <c r="J350" s="27">
        <v>12.58</v>
      </c>
      <c r="M350" s="28">
        <f>ROUND(ROUND(J350, 2)*I350, 2)</f>
        <v>8792.67</v>
      </c>
      <c r="P350" s="27">
        <v>12.58</v>
      </c>
      <c r="S350" s="28">
        <f>ROUND(ROUND(P350, 2)*I350, 2)</f>
        <v>8792.67</v>
      </c>
      <c r="V350" s="9">
        <f>ROUND(ROUND(P350, 2)/1.2, 2)</f>
        <v>10.48</v>
      </c>
      <c r="Y350" s="9">
        <f t="shared" si="18"/>
        <v>7327.23</v>
      </c>
      <c r="AD350" s="4" t="s">
        <v>1402</v>
      </c>
      <c r="AE350" s="4" t="s">
        <v>1403</v>
      </c>
      <c r="AF350" s="4" t="s">
        <v>852</v>
      </c>
    </row>
    <row r="351" spans="1:35" ht="36" x14ac:dyDescent="0.3">
      <c r="A351" s="10" t="s">
        <v>1404</v>
      </c>
      <c r="B351" s="10"/>
      <c r="C351" s="24" t="s">
        <v>915</v>
      </c>
      <c r="D351" s="15"/>
      <c r="E351" s="15"/>
      <c r="F351" s="25" t="s">
        <v>240</v>
      </c>
      <c r="G351" s="26">
        <v>0.3</v>
      </c>
      <c r="H351" s="26"/>
      <c r="I351" s="26">
        <v>139.78800000000001</v>
      </c>
      <c r="J351" s="27">
        <v>73.099999999999994</v>
      </c>
      <c r="M351" s="28">
        <f>ROUND(ROUND(J351, 2)*I351, 2)</f>
        <v>10218.5</v>
      </c>
      <c r="P351" s="27">
        <v>73.099999999999994</v>
      </c>
      <c r="S351" s="28">
        <f>ROUND(ROUND(P351, 2)*I351, 2)</f>
        <v>10218.5</v>
      </c>
      <c r="V351" s="9">
        <f>ROUND(ROUND(P351, 2)/1.2, 2)</f>
        <v>60.92</v>
      </c>
      <c r="Y351" s="9">
        <f t="shared" si="18"/>
        <v>8515.42</v>
      </c>
      <c r="AD351" s="4" t="s">
        <v>1405</v>
      </c>
      <c r="AE351" s="4" t="s">
        <v>1406</v>
      </c>
      <c r="AF351" s="4" t="s">
        <v>918</v>
      </c>
    </row>
    <row r="352" spans="1:35" ht="36" x14ac:dyDescent="0.3">
      <c r="A352" s="10" t="s">
        <v>1407</v>
      </c>
      <c r="B352" s="10"/>
      <c r="C352" s="24" t="s">
        <v>480</v>
      </c>
      <c r="D352" s="15"/>
      <c r="E352" s="15"/>
      <c r="F352" s="25" t="s">
        <v>159</v>
      </c>
      <c r="G352" s="26">
        <v>0.15</v>
      </c>
      <c r="H352" s="26"/>
      <c r="I352" s="26">
        <v>69.894000000000005</v>
      </c>
      <c r="J352" s="27">
        <v>88.8</v>
      </c>
      <c r="M352" s="28">
        <f>ROUND(ROUND(J352, 2)*I352, 2)</f>
        <v>6206.59</v>
      </c>
      <c r="P352" s="27">
        <v>88.8</v>
      </c>
      <c r="S352" s="28">
        <f>ROUND(ROUND(P352, 2)*I352, 2)</f>
        <v>6206.59</v>
      </c>
      <c r="V352" s="9">
        <f>ROUND(ROUND(P352, 2)/1.2, 2)</f>
        <v>74</v>
      </c>
      <c r="Y352" s="9">
        <f t="shared" si="18"/>
        <v>5172.16</v>
      </c>
      <c r="AD352" s="4" t="s">
        <v>1408</v>
      </c>
      <c r="AE352" s="4" t="s">
        <v>1409</v>
      </c>
      <c r="AF352" s="4" t="s">
        <v>483</v>
      </c>
    </row>
    <row r="353" spans="1:35" ht="36" x14ac:dyDescent="0.3">
      <c r="A353" s="10" t="s">
        <v>1410</v>
      </c>
      <c r="B353" s="10" t="s">
        <v>1398</v>
      </c>
      <c r="C353" s="14" t="s">
        <v>907</v>
      </c>
      <c r="D353" s="15"/>
      <c r="E353" s="15" t="s">
        <v>1411</v>
      </c>
      <c r="F353" s="15" t="s">
        <v>75</v>
      </c>
      <c r="G353" s="16">
        <v>1</v>
      </c>
      <c r="H353" s="16"/>
      <c r="I353" s="16">
        <v>108.96</v>
      </c>
      <c r="J353" s="17">
        <v>54.12</v>
      </c>
      <c r="K353" s="18">
        <v>581</v>
      </c>
      <c r="L353" s="17">
        <f>J353+ROUND(K353, 2)</f>
        <v>635.12</v>
      </c>
      <c r="M353" s="17">
        <v>5896.92</v>
      </c>
      <c r="N353" s="17">
        <v>63305.760000000002</v>
      </c>
      <c r="O353" s="17">
        <f>M353+N353</f>
        <v>69202.680000000008</v>
      </c>
      <c r="P353" s="17">
        <v>54.12</v>
      </c>
      <c r="Q353" s="18">
        <v>581</v>
      </c>
      <c r="R353" s="17">
        <f>P353+ROUND(Q353, 2)</f>
        <v>635.12</v>
      </c>
      <c r="S353" s="17">
        <v>5896.92</v>
      </c>
      <c r="T353" s="17">
        <v>63305.760000000002</v>
      </c>
      <c r="U353" s="17">
        <f>S353+T353</f>
        <v>69202.680000000008</v>
      </c>
      <c r="V353" s="9">
        <f>ROUND(P353 / 1.2, 2)</f>
        <v>45.1</v>
      </c>
      <c r="W353" s="9">
        <f>ROUND(Q353 / 1.2, 2)</f>
        <v>484.17</v>
      </c>
      <c r="X353" s="9">
        <f>ROUND(R353 / 1.2, 2)</f>
        <v>529.27</v>
      </c>
      <c r="Y353" s="9">
        <f t="shared" si="18"/>
        <v>4914.1000000000004</v>
      </c>
      <c r="Z353" s="9">
        <f>ROUND(T353 / 1.2, 2)</f>
        <v>52754.8</v>
      </c>
      <c r="AA353" s="9">
        <f>Y353+Z353</f>
        <v>57668.9</v>
      </c>
      <c r="AD353" s="4">
        <v>339118936</v>
      </c>
      <c r="AE353" s="4">
        <v>25887998</v>
      </c>
      <c r="AG353" s="4" t="s">
        <v>909</v>
      </c>
      <c r="AH353" s="4" t="s">
        <v>1400</v>
      </c>
      <c r="AI353" s="4" t="s">
        <v>156</v>
      </c>
    </row>
    <row r="354" spans="1:35" ht="36" x14ac:dyDescent="0.3">
      <c r="A354" s="10" t="s">
        <v>1412</v>
      </c>
      <c r="B354" s="10"/>
      <c r="C354" s="24" t="s">
        <v>480</v>
      </c>
      <c r="D354" s="15"/>
      <c r="E354" s="15"/>
      <c r="F354" s="25" t="s">
        <v>159</v>
      </c>
      <c r="G354" s="26">
        <v>0.15</v>
      </c>
      <c r="H354" s="26"/>
      <c r="I354" s="26">
        <v>16.344000000000001</v>
      </c>
      <c r="J354" s="27">
        <v>88.8</v>
      </c>
      <c r="M354" s="28">
        <f>ROUND(ROUND(J354, 2)*I354, 2)</f>
        <v>1451.35</v>
      </c>
      <c r="P354" s="27">
        <v>88.8</v>
      </c>
      <c r="S354" s="28">
        <f>ROUND(ROUND(P354, 2)*I354, 2)</f>
        <v>1451.35</v>
      </c>
      <c r="V354" s="9">
        <f>ROUND(ROUND(P354, 2)/1.2, 2)</f>
        <v>74</v>
      </c>
      <c r="Y354" s="9">
        <f t="shared" si="18"/>
        <v>1209.46</v>
      </c>
      <c r="AD354" s="4" t="s">
        <v>1413</v>
      </c>
      <c r="AE354" s="4" t="s">
        <v>1414</v>
      </c>
      <c r="AF354" s="4" t="s">
        <v>483</v>
      </c>
    </row>
    <row r="355" spans="1:35" ht="36" x14ac:dyDescent="0.3">
      <c r="A355" s="10" t="s">
        <v>1415</v>
      </c>
      <c r="B355" s="10"/>
      <c r="C355" s="24" t="s">
        <v>915</v>
      </c>
      <c r="D355" s="15"/>
      <c r="E355" s="15"/>
      <c r="F355" s="25" t="s">
        <v>240</v>
      </c>
      <c r="G355" s="26">
        <v>0.3</v>
      </c>
      <c r="H355" s="26"/>
      <c r="I355" s="26">
        <v>32.688000000000002</v>
      </c>
      <c r="J355" s="27">
        <v>73.099999999999994</v>
      </c>
      <c r="M355" s="28">
        <f>ROUND(ROUND(J355, 2)*I355, 2)</f>
        <v>2389.4899999999998</v>
      </c>
      <c r="P355" s="27">
        <v>73.099999999999994</v>
      </c>
      <c r="S355" s="28">
        <f>ROUND(ROUND(P355, 2)*I355, 2)</f>
        <v>2389.4899999999998</v>
      </c>
      <c r="V355" s="9">
        <f>ROUND(ROUND(P355, 2)/1.2, 2)</f>
        <v>60.92</v>
      </c>
      <c r="Y355" s="9">
        <f t="shared" si="18"/>
        <v>1991.24</v>
      </c>
      <c r="AD355" s="4" t="s">
        <v>1416</v>
      </c>
      <c r="AE355" s="4" t="s">
        <v>1417</v>
      </c>
      <c r="AF355" s="4" t="s">
        <v>918</v>
      </c>
    </row>
    <row r="356" spans="1:35" ht="36" x14ac:dyDescent="0.3">
      <c r="A356" s="10" t="s">
        <v>1418</v>
      </c>
      <c r="B356" s="10"/>
      <c r="C356" s="30" t="s">
        <v>849</v>
      </c>
      <c r="D356" s="15"/>
      <c r="E356" s="15"/>
      <c r="F356" s="25" t="s">
        <v>159</v>
      </c>
      <c r="G356" s="26">
        <v>1.5</v>
      </c>
      <c r="H356" s="26"/>
      <c r="I356" s="26">
        <v>163.44</v>
      </c>
      <c r="J356" s="27">
        <v>12.58</v>
      </c>
      <c r="M356" s="28">
        <f>ROUND(ROUND(J356, 2)*I356, 2)</f>
        <v>2056.08</v>
      </c>
      <c r="P356" s="27">
        <v>12.58</v>
      </c>
      <c r="S356" s="28">
        <f>ROUND(ROUND(P356, 2)*I356, 2)</f>
        <v>2056.08</v>
      </c>
      <c r="V356" s="9">
        <f>ROUND(ROUND(P356, 2)/1.2, 2)</f>
        <v>10.48</v>
      </c>
      <c r="Y356" s="9">
        <f t="shared" si="18"/>
        <v>1713.4</v>
      </c>
      <c r="AD356" s="4" t="s">
        <v>1419</v>
      </c>
      <c r="AE356" s="4" t="s">
        <v>1420</v>
      </c>
      <c r="AF356" s="4" t="s">
        <v>852</v>
      </c>
    </row>
    <row r="357" spans="1:35" ht="54" x14ac:dyDescent="0.3">
      <c r="A357" s="71" t="s">
        <v>1421</v>
      </c>
      <c r="B357" s="82" t="s">
        <v>1422</v>
      </c>
      <c r="C357" s="83" t="s">
        <v>992</v>
      </c>
      <c r="D357" s="84">
        <v>1</v>
      </c>
      <c r="E357" s="85" t="s">
        <v>1423</v>
      </c>
      <c r="F357" s="85" t="s">
        <v>75</v>
      </c>
      <c r="G357" s="86">
        <v>1</v>
      </c>
      <c r="H357" s="87">
        <f>U357</f>
        <v>258287.18000000002</v>
      </c>
      <c r="I357" s="86">
        <v>444.09</v>
      </c>
      <c r="J357" s="88">
        <v>35.61</v>
      </c>
      <c r="K357" s="89">
        <v>546</v>
      </c>
      <c r="L357" s="88">
        <f>J357+ROUND(K357, 2)</f>
        <v>581.61</v>
      </c>
      <c r="M357" s="88">
        <v>15814.04</v>
      </c>
      <c r="N357" s="88">
        <v>242473.14</v>
      </c>
      <c r="O357" s="88">
        <f>M357+N357</f>
        <v>258287.18000000002</v>
      </c>
      <c r="P357" s="88">
        <v>35.61</v>
      </c>
      <c r="Q357" s="89">
        <v>546</v>
      </c>
      <c r="R357" s="88">
        <f>P357+ROUND(Q357, 2)</f>
        <v>581.61</v>
      </c>
      <c r="S357" s="88">
        <v>15814.04</v>
      </c>
      <c r="T357" s="88">
        <v>242473.14</v>
      </c>
      <c r="U357" s="88">
        <f>S357+T357</f>
        <v>258287.18000000002</v>
      </c>
      <c r="V357" s="9">
        <f>ROUND(P357 / 1.2, 2)</f>
        <v>29.68</v>
      </c>
      <c r="W357" s="9">
        <f>ROUND(Q357 / 1.2, 2)</f>
        <v>455</v>
      </c>
      <c r="X357" s="9">
        <f>ROUND(R357 / 1.2, 2)</f>
        <v>484.68</v>
      </c>
      <c r="Y357" s="9">
        <f t="shared" si="18"/>
        <v>13178.37</v>
      </c>
      <c r="Z357" s="9">
        <f>ROUND(T357 / 1.2, 2)</f>
        <v>202060.95</v>
      </c>
      <c r="AA357" s="9">
        <f>Y357+Z357</f>
        <v>215239.32</v>
      </c>
      <c r="AD357" s="4">
        <v>339118876</v>
      </c>
      <c r="AE357" s="4">
        <v>28983433</v>
      </c>
      <c r="AG357" s="4" t="s">
        <v>994</v>
      </c>
      <c r="AH357" s="4" t="s">
        <v>1424</v>
      </c>
      <c r="AI357" s="4" t="s">
        <v>156</v>
      </c>
    </row>
    <row r="358" spans="1:35" ht="54" x14ac:dyDescent="0.3">
      <c r="A358" s="10" t="s">
        <v>1425</v>
      </c>
      <c r="B358" s="10"/>
      <c r="C358" s="30" t="s">
        <v>997</v>
      </c>
      <c r="D358" s="15"/>
      <c r="E358" s="15"/>
      <c r="F358" s="25" t="s">
        <v>159</v>
      </c>
      <c r="G358" s="26">
        <v>1.8</v>
      </c>
      <c r="H358" s="26"/>
      <c r="I358" s="26">
        <v>799.36199999999997</v>
      </c>
      <c r="J358" s="27">
        <v>12.26</v>
      </c>
      <c r="M358" s="28">
        <f>ROUND(ROUND(J358, 2)*I358, 2)</f>
        <v>9800.18</v>
      </c>
      <c r="P358" s="27">
        <v>12.26</v>
      </c>
      <c r="S358" s="28">
        <f>ROUND(ROUND(P358, 2)*I358, 2)</f>
        <v>9800.18</v>
      </c>
      <c r="V358" s="9">
        <f>ROUND(ROUND(P358, 2)/1.2, 2)</f>
        <v>10.220000000000001</v>
      </c>
      <c r="Y358" s="9">
        <f t="shared" si="18"/>
        <v>8166.82</v>
      </c>
      <c r="AD358" s="4" t="s">
        <v>1426</v>
      </c>
      <c r="AE358" s="4" t="s">
        <v>1427</v>
      </c>
      <c r="AF358" s="4" t="s">
        <v>1000</v>
      </c>
    </row>
    <row r="359" spans="1:35" ht="36" x14ac:dyDescent="0.3">
      <c r="A359" s="10" t="s">
        <v>1428</v>
      </c>
      <c r="B359" s="10"/>
      <c r="C359" s="24" t="s">
        <v>169</v>
      </c>
      <c r="D359" s="15"/>
      <c r="E359" s="15"/>
      <c r="F359" s="25" t="s">
        <v>159</v>
      </c>
      <c r="G359" s="26">
        <v>0.15</v>
      </c>
      <c r="H359" s="26"/>
      <c r="I359" s="26">
        <v>66.614000000000004</v>
      </c>
      <c r="J359" s="27">
        <v>90.28</v>
      </c>
      <c r="M359" s="28">
        <f>ROUND(ROUND(J359, 2)*I359, 2)</f>
        <v>6013.91</v>
      </c>
      <c r="P359" s="27">
        <v>90.28</v>
      </c>
      <c r="S359" s="28">
        <f>ROUND(ROUND(P359, 2)*I359, 2)</f>
        <v>6013.91</v>
      </c>
      <c r="V359" s="9">
        <f>ROUND(ROUND(P359, 2)/1.2, 2)</f>
        <v>75.23</v>
      </c>
      <c r="Y359" s="9">
        <f t="shared" si="18"/>
        <v>5011.59</v>
      </c>
      <c r="AD359" s="4" t="s">
        <v>1429</v>
      </c>
      <c r="AE359" s="4" t="s">
        <v>1430</v>
      </c>
      <c r="AF359" s="4" t="s">
        <v>172</v>
      </c>
    </row>
    <row r="360" spans="1:35" ht="54" x14ac:dyDescent="0.3">
      <c r="A360" s="10" t="s">
        <v>1431</v>
      </c>
      <c r="B360" s="10" t="s">
        <v>1422</v>
      </c>
      <c r="C360" s="14" t="s">
        <v>992</v>
      </c>
      <c r="D360" s="15"/>
      <c r="E360" s="15" t="s">
        <v>1432</v>
      </c>
      <c r="F360" s="15" t="s">
        <v>75</v>
      </c>
      <c r="G360" s="16">
        <v>1</v>
      </c>
      <c r="H360" s="16"/>
      <c r="I360" s="16">
        <v>444.09</v>
      </c>
      <c r="J360" s="17">
        <v>35.61</v>
      </c>
      <c r="K360" s="18">
        <v>546</v>
      </c>
      <c r="L360" s="17">
        <f>J360+ROUND(K360, 2)</f>
        <v>581.61</v>
      </c>
      <c r="M360" s="17">
        <v>15814.04</v>
      </c>
      <c r="N360" s="17">
        <v>242473.14</v>
      </c>
      <c r="O360" s="17">
        <f>M360+N360</f>
        <v>258287.18000000002</v>
      </c>
      <c r="P360" s="17">
        <v>48.39</v>
      </c>
      <c r="Q360" s="18">
        <v>546</v>
      </c>
      <c r="R360" s="17">
        <f>P360+ROUND(Q360, 2)</f>
        <v>594.39</v>
      </c>
      <c r="S360" s="17">
        <v>21489.52</v>
      </c>
      <c r="T360" s="17">
        <v>242473.14</v>
      </c>
      <c r="U360" s="17">
        <f>S360+T360</f>
        <v>263962.66000000003</v>
      </c>
      <c r="V360" s="9">
        <f>ROUND(P360 / 1.2, 2)</f>
        <v>40.33</v>
      </c>
      <c r="W360" s="9">
        <f>ROUND(Q360 / 1.2, 2)</f>
        <v>455</v>
      </c>
      <c r="X360" s="9">
        <f>ROUND(R360 / 1.2, 2)</f>
        <v>495.33</v>
      </c>
      <c r="Y360" s="9">
        <f t="shared" si="18"/>
        <v>17907.93</v>
      </c>
      <c r="Z360" s="9">
        <f>ROUND(T360 / 1.2, 2)</f>
        <v>202060.95</v>
      </c>
      <c r="AA360" s="9">
        <f>Y360+Z360</f>
        <v>219968.88</v>
      </c>
      <c r="AD360" s="4">
        <v>339118937</v>
      </c>
      <c r="AE360" s="4">
        <v>28983434</v>
      </c>
      <c r="AG360" s="4" t="s">
        <v>994</v>
      </c>
      <c r="AH360" s="4" t="s">
        <v>1424</v>
      </c>
      <c r="AI360" s="4" t="s">
        <v>156</v>
      </c>
    </row>
    <row r="361" spans="1:35" ht="36" x14ac:dyDescent="0.3">
      <c r="A361" s="10" t="s">
        <v>1433</v>
      </c>
      <c r="B361" s="10"/>
      <c r="C361" s="24" t="s">
        <v>169</v>
      </c>
      <c r="D361" s="15"/>
      <c r="E361" s="15"/>
      <c r="F361" s="25" t="s">
        <v>159</v>
      </c>
      <c r="G361" s="26">
        <v>0.15</v>
      </c>
      <c r="H361" s="26"/>
      <c r="I361" s="26">
        <v>66.614000000000004</v>
      </c>
      <c r="J361" s="27">
        <v>90.28</v>
      </c>
      <c r="M361" s="28">
        <f>ROUND(ROUND(J361, 2)*I361, 2)</f>
        <v>6013.91</v>
      </c>
      <c r="P361" s="27">
        <v>90.28</v>
      </c>
      <c r="S361" s="28">
        <f>ROUND(ROUND(P361, 2)*I361, 2)</f>
        <v>6013.91</v>
      </c>
      <c r="V361" s="9">
        <f>ROUND(ROUND(P361, 2)/1.2, 2)</f>
        <v>75.23</v>
      </c>
      <c r="Y361" s="9">
        <f t="shared" si="18"/>
        <v>5011.59</v>
      </c>
      <c r="AD361" s="4" t="s">
        <v>1434</v>
      </c>
      <c r="AE361" s="4" t="s">
        <v>1435</v>
      </c>
      <c r="AF361" s="4" t="s">
        <v>172</v>
      </c>
    </row>
    <row r="362" spans="1:35" ht="54" x14ac:dyDescent="0.3">
      <c r="A362" s="10" t="s">
        <v>1436</v>
      </c>
      <c r="B362" s="10"/>
      <c r="C362" s="30" t="s">
        <v>997</v>
      </c>
      <c r="D362" s="15"/>
      <c r="E362" s="15" t="s">
        <v>949</v>
      </c>
      <c r="F362" s="25" t="s">
        <v>159</v>
      </c>
      <c r="G362" s="26">
        <v>1.8</v>
      </c>
      <c r="H362" s="26"/>
      <c r="I362" s="26">
        <v>799.36199999999997</v>
      </c>
      <c r="J362" s="27">
        <v>12.26</v>
      </c>
      <c r="M362" s="28">
        <f>ROUND(ROUND(J362, 2)*I362, 2)</f>
        <v>9800.18</v>
      </c>
      <c r="P362" s="27">
        <v>19.36</v>
      </c>
      <c r="S362" s="28">
        <f>ROUND(ROUND(P362, 2)*I362, 2)</f>
        <v>15475.65</v>
      </c>
      <c r="V362" s="9">
        <f>ROUND(ROUND(P362, 2)/1.2, 2)</f>
        <v>16.13</v>
      </c>
      <c r="Y362" s="9">
        <f t="shared" si="18"/>
        <v>12896.38</v>
      </c>
      <c r="AD362" s="4" t="s">
        <v>1437</v>
      </c>
      <c r="AE362" s="4" t="s">
        <v>1438</v>
      </c>
      <c r="AF362" s="4" t="s">
        <v>1000</v>
      </c>
    </row>
    <row r="363" spans="1:35" ht="36" x14ac:dyDescent="0.3">
      <c r="A363" s="10" t="s">
        <v>1439</v>
      </c>
      <c r="B363" s="10" t="s">
        <v>1440</v>
      </c>
      <c r="C363" s="14" t="s">
        <v>1441</v>
      </c>
      <c r="D363" s="15"/>
      <c r="E363" s="15" t="s">
        <v>1442</v>
      </c>
      <c r="F363" s="15" t="s">
        <v>75</v>
      </c>
      <c r="G363" s="16">
        <v>1</v>
      </c>
      <c r="H363" s="16"/>
      <c r="I363" s="16">
        <v>115.28</v>
      </c>
      <c r="J363" s="17">
        <v>35.83</v>
      </c>
      <c r="K363" s="18">
        <v>129</v>
      </c>
      <c r="L363" s="17">
        <f>J363+ROUND(K363, 2)</f>
        <v>164.82999999999998</v>
      </c>
      <c r="M363" s="17">
        <v>4130.4799999999996</v>
      </c>
      <c r="N363" s="17">
        <v>14871.12</v>
      </c>
      <c r="O363" s="17">
        <f>M363+N363</f>
        <v>19001.599999999999</v>
      </c>
      <c r="P363" s="17">
        <v>35.83</v>
      </c>
      <c r="Q363" s="18">
        <v>129</v>
      </c>
      <c r="R363" s="17">
        <f>P363+ROUND(Q363, 2)</f>
        <v>164.82999999999998</v>
      </c>
      <c r="S363" s="17">
        <v>4130.4799999999996</v>
      </c>
      <c r="T363" s="17">
        <v>14871.12</v>
      </c>
      <c r="U363" s="17">
        <f>S363+T363</f>
        <v>19001.599999999999</v>
      </c>
      <c r="V363" s="9">
        <f>ROUND(P363 / 1.2, 2)</f>
        <v>29.86</v>
      </c>
      <c r="W363" s="9">
        <f>ROUND(Q363 / 1.2, 2)</f>
        <v>107.5</v>
      </c>
      <c r="X363" s="9">
        <f>ROUND(R363 / 1.2, 2)</f>
        <v>137.36000000000001</v>
      </c>
      <c r="Y363" s="9">
        <f t="shared" si="18"/>
        <v>3442.07</v>
      </c>
      <c r="Z363" s="9">
        <f>ROUND(T363 / 1.2, 2)</f>
        <v>12392.6</v>
      </c>
      <c r="AA363" s="9">
        <f>Y363+Z363</f>
        <v>15834.67</v>
      </c>
      <c r="AD363" s="4">
        <v>339118878</v>
      </c>
      <c r="AE363" s="4">
        <v>25888021</v>
      </c>
      <c r="AG363" s="4" t="s">
        <v>1443</v>
      </c>
      <c r="AH363" s="4" t="s">
        <v>1444</v>
      </c>
      <c r="AI363" s="4" t="s">
        <v>156</v>
      </c>
    </row>
    <row r="364" spans="1:35" ht="36" x14ac:dyDescent="0.3">
      <c r="A364" s="10" t="s">
        <v>1445</v>
      </c>
      <c r="B364" s="10"/>
      <c r="C364" s="24" t="s">
        <v>212</v>
      </c>
      <c r="D364" s="15"/>
      <c r="E364" s="15"/>
      <c r="F364" s="25" t="s">
        <v>159</v>
      </c>
      <c r="G364" s="26">
        <v>0.2</v>
      </c>
      <c r="H364" s="26"/>
      <c r="I364" s="26">
        <v>23.056000000000001</v>
      </c>
      <c r="J364" s="27">
        <v>179.17</v>
      </c>
      <c r="M364" s="28">
        <f>ROUND(ROUND(J364, 2)*I364, 2)</f>
        <v>4130.9399999999996</v>
      </c>
      <c r="P364" s="27">
        <v>179.17</v>
      </c>
      <c r="S364" s="28">
        <f>ROUND(ROUND(P364, 2)*I364, 2)</f>
        <v>4130.9399999999996</v>
      </c>
      <c r="V364" s="9">
        <f>ROUND(ROUND(P364, 2)/1.2, 2)</f>
        <v>149.31</v>
      </c>
      <c r="Y364" s="9">
        <f t="shared" si="18"/>
        <v>3442.45</v>
      </c>
      <c r="AD364" s="4" t="s">
        <v>1446</v>
      </c>
      <c r="AE364" s="4" t="s">
        <v>1447</v>
      </c>
      <c r="AF364" s="4" t="s">
        <v>215</v>
      </c>
    </row>
    <row r="365" spans="1:35" ht="16.95" customHeight="1" x14ac:dyDescent="0.3">
      <c r="A365" s="10" t="s">
        <v>1448</v>
      </c>
      <c r="B365" s="10" t="s">
        <v>1449</v>
      </c>
      <c r="C365" s="120" t="s">
        <v>1450</v>
      </c>
      <c r="D365" s="121"/>
      <c r="E365" s="121"/>
      <c r="F365" s="121"/>
      <c r="G365" s="121"/>
      <c r="H365" s="121"/>
      <c r="I365" s="122"/>
      <c r="M365" s="6">
        <f>SUM(M366,M369,M372,M375,M378,M381,M384,M387,M390)</f>
        <v>367194.05999999994</v>
      </c>
      <c r="N365" s="6">
        <f>SUM(N366,N369,N372,N375,N378,N381,N384,N387,N390)</f>
        <v>1928100.5</v>
      </c>
      <c r="O365" s="6">
        <f>SUM(O366,O369,O372,O375,O378,O381,O384,O387,O390)</f>
        <v>2295294.5599999996</v>
      </c>
      <c r="S365" s="6">
        <f>SUM(S366,S369,S372,S375,S378,S381,S384,S387,S390)</f>
        <v>252809.80000000005</v>
      </c>
      <c r="T365" s="6">
        <f>SUM(T366,T369,T372,T375,T378,T381,T384,T387,T390)</f>
        <v>1909448.7200000002</v>
      </c>
      <c r="U365" s="6">
        <f>SUM(U366,U369,U372,U375,U378,U381,U384,U387,U390)</f>
        <v>2162258.52</v>
      </c>
      <c r="Y365" s="9">
        <f>SUM(Y366,Y369,Y372,Y375,Y378,Y381,Y384,Y387,Y390)</f>
        <v>210674.83</v>
      </c>
      <c r="Z365" s="9">
        <f>SUM(Z366,Z369,Z372,Z375,Z378,Z381,Z384,Z387,Z390)</f>
        <v>1591207.2600000002</v>
      </c>
      <c r="AA365" s="9">
        <f>SUM(AA366,AA369,AA372,AA375,AA378,AA381,AA384,AA387,AA390)</f>
        <v>1801882.09</v>
      </c>
      <c r="AD365" s="4">
        <v>339118879</v>
      </c>
      <c r="AE365" s="4">
        <v>25887972</v>
      </c>
    </row>
    <row r="366" spans="1:35" ht="50.55" customHeight="1" x14ac:dyDescent="0.3">
      <c r="A366" s="10" t="s">
        <v>1451</v>
      </c>
      <c r="B366" s="10" t="s">
        <v>1452</v>
      </c>
      <c r="C366" s="14" t="s">
        <v>1453</v>
      </c>
      <c r="D366" s="15"/>
      <c r="E366" s="15" t="s">
        <v>1454</v>
      </c>
      <c r="F366" s="15" t="s">
        <v>75</v>
      </c>
      <c r="G366" s="16">
        <v>1</v>
      </c>
      <c r="H366" s="16"/>
      <c r="I366" s="16">
        <v>259.14</v>
      </c>
      <c r="J366" s="17">
        <v>49.32</v>
      </c>
      <c r="K366" s="18">
        <v>422</v>
      </c>
      <c r="L366" s="17">
        <f>J366+ROUND(K366, 2)</f>
        <v>471.32</v>
      </c>
      <c r="M366" s="17">
        <v>12780.78</v>
      </c>
      <c r="N366" s="17">
        <v>109357.08</v>
      </c>
      <c r="O366" s="17">
        <f>M366+N366</f>
        <v>122137.86</v>
      </c>
      <c r="P366" s="17">
        <v>49.32</v>
      </c>
      <c r="Q366" s="18">
        <v>422</v>
      </c>
      <c r="R366" s="17">
        <f>P366+ROUND(Q366, 2)</f>
        <v>471.32</v>
      </c>
      <c r="S366" s="17">
        <v>12780.78</v>
      </c>
      <c r="T366" s="17">
        <v>109357.08</v>
      </c>
      <c r="U366" s="17">
        <f>S366+T366</f>
        <v>122137.86</v>
      </c>
      <c r="V366" s="9">
        <f>ROUND(P366 / 1.2, 2)</f>
        <v>41.1</v>
      </c>
      <c r="W366" s="9">
        <f>ROUND(Q366 / 1.2, 2)</f>
        <v>351.67</v>
      </c>
      <c r="X366" s="9">
        <f>ROUND(R366 / 1.2, 2)</f>
        <v>392.77</v>
      </c>
      <c r="Y366" s="9">
        <f>ROUND(S366 / 1.2, 2)</f>
        <v>10650.65</v>
      </c>
      <c r="Z366" s="9">
        <f>ROUND(T366 / 1.2, 2)</f>
        <v>91130.9</v>
      </c>
      <c r="AA366" s="9">
        <f>Y366+Z366</f>
        <v>101781.54999999999</v>
      </c>
      <c r="AD366" s="4">
        <v>339118881</v>
      </c>
      <c r="AE366" s="4">
        <v>25888031</v>
      </c>
      <c r="AG366" s="4" t="s">
        <v>1455</v>
      </c>
      <c r="AH366" s="4" t="s">
        <v>1456</v>
      </c>
      <c r="AI366" s="4" t="s">
        <v>156</v>
      </c>
    </row>
    <row r="367" spans="1:35" ht="108" x14ac:dyDescent="0.3">
      <c r="A367" s="10" t="s">
        <v>1457</v>
      </c>
      <c r="B367" s="10"/>
      <c r="C367" s="24" t="s">
        <v>1458</v>
      </c>
      <c r="D367" s="15"/>
      <c r="E367" s="15" t="s">
        <v>1459</v>
      </c>
      <c r="F367" s="25" t="s">
        <v>159</v>
      </c>
      <c r="G367" s="26">
        <v>0.3</v>
      </c>
      <c r="H367" s="26"/>
      <c r="I367" s="26">
        <v>77.742000000000004</v>
      </c>
      <c r="J367" s="27">
        <v>120</v>
      </c>
      <c r="M367" s="28">
        <f>ROUND(ROUND(J367, 2)*I367, 2)</f>
        <v>9329.0400000000009</v>
      </c>
      <c r="P367" s="27">
        <v>120</v>
      </c>
      <c r="S367" s="28">
        <f>ROUND(ROUND(P367, 2)*I367, 2)</f>
        <v>9329.0400000000009</v>
      </c>
      <c r="V367" s="9">
        <f>ROUND(ROUND(P367, 2)/1.2, 2)</f>
        <v>100</v>
      </c>
      <c r="Y367" s="9">
        <f t="shared" ref="Y367:Y392" si="19">ROUND(S367 / 1.2, 2)</f>
        <v>7774.2</v>
      </c>
      <c r="AD367" s="4" t="s">
        <v>1460</v>
      </c>
      <c r="AE367" s="4" t="s">
        <v>1461</v>
      </c>
      <c r="AF367" s="4" t="s">
        <v>1462</v>
      </c>
    </row>
    <row r="368" spans="1:35" ht="36" x14ac:dyDescent="0.3">
      <c r="A368" s="10" t="s">
        <v>1463</v>
      </c>
      <c r="B368" s="10"/>
      <c r="C368" s="24" t="s">
        <v>480</v>
      </c>
      <c r="D368" s="15"/>
      <c r="E368" s="15"/>
      <c r="F368" s="25" t="s">
        <v>159</v>
      </c>
      <c r="G368" s="26">
        <v>0.15</v>
      </c>
      <c r="H368" s="26"/>
      <c r="I368" s="26">
        <v>38.871000000000002</v>
      </c>
      <c r="J368" s="27">
        <v>88.8</v>
      </c>
      <c r="M368" s="28">
        <f>ROUND(ROUND(J368, 2)*I368, 2)</f>
        <v>3451.74</v>
      </c>
      <c r="P368" s="27">
        <v>88.8</v>
      </c>
      <c r="S368" s="28">
        <f>ROUND(ROUND(P368, 2)*I368, 2)</f>
        <v>3451.74</v>
      </c>
      <c r="V368" s="9">
        <f>ROUND(ROUND(P368, 2)/1.2, 2)</f>
        <v>74</v>
      </c>
      <c r="Y368" s="9">
        <f t="shared" si="19"/>
        <v>2876.45</v>
      </c>
      <c r="AD368" s="4" t="s">
        <v>1464</v>
      </c>
      <c r="AE368" s="4" t="s">
        <v>1465</v>
      </c>
      <c r="AF368" s="4" t="s">
        <v>483</v>
      </c>
    </row>
    <row r="369" spans="1:35" ht="36" x14ac:dyDescent="0.3">
      <c r="A369" s="10" t="s">
        <v>1466</v>
      </c>
      <c r="B369" s="10" t="s">
        <v>1452</v>
      </c>
      <c r="C369" s="14" t="s">
        <v>1453</v>
      </c>
      <c r="D369" s="15"/>
      <c r="E369" s="15" t="s">
        <v>1467</v>
      </c>
      <c r="F369" s="15" t="s">
        <v>75</v>
      </c>
      <c r="G369" s="16">
        <v>1</v>
      </c>
      <c r="H369" s="16"/>
      <c r="I369" s="16">
        <v>637.79</v>
      </c>
      <c r="J369" s="17">
        <v>44.82</v>
      </c>
      <c r="K369" s="18">
        <v>422</v>
      </c>
      <c r="L369" s="17">
        <f>J369+ROUND(K369, 2)</f>
        <v>466.82</v>
      </c>
      <c r="M369" s="17">
        <v>28585.75</v>
      </c>
      <c r="N369" s="17">
        <v>269147.38</v>
      </c>
      <c r="O369" s="17">
        <f>M369+N369</f>
        <v>297733.13</v>
      </c>
      <c r="P369" s="17">
        <v>44.82</v>
      </c>
      <c r="Q369" s="18">
        <v>422</v>
      </c>
      <c r="R369" s="17">
        <f>P369+ROUND(Q369, 2)</f>
        <v>466.82</v>
      </c>
      <c r="S369" s="17">
        <v>28585.75</v>
      </c>
      <c r="T369" s="17">
        <v>269147.38</v>
      </c>
      <c r="U369" s="17">
        <f>S369+T369</f>
        <v>297733.13</v>
      </c>
      <c r="V369" s="9">
        <f>ROUND(P369 / 1.2, 2)</f>
        <v>37.35</v>
      </c>
      <c r="W369" s="9">
        <f>ROUND(Q369 / 1.2, 2)</f>
        <v>351.67</v>
      </c>
      <c r="X369" s="9">
        <f>ROUND(R369 / 1.2, 2)</f>
        <v>389.02</v>
      </c>
      <c r="Y369" s="9">
        <f t="shared" si="19"/>
        <v>23821.46</v>
      </c>
      <c r="Z369" s="9">
        <f>ROUND(T369 / 1.2, 2)</f>
        <v>224289.48</v>
      </c>
      <c r="AA369" s="9">
        <f>Y369+Z369</f>
        <v>248110.94</v>
      </c>
      <c r="AD369" s="4">
        <v>339118938</v>
      </c>
      <c r="AE369" s="4">
        <v>25888019</v>
      </c>
      <c r="AG369" s="4" t="s">
        <v>1455</v>
      </c>
      <c r="AH369" s="4" t="s">
        <v>1456</v>
      </c>
      <c r="AI369" s="4" t="s">
        <v>156</v>
      </c>
    </row>
    <row r="370" spans="1:35" ht="36" x14ac:dyDescent="0.3">
      <c r="A370" s="10" t="s">
        <v>1468</v>
      </c>
      <c r="B370" s="10"/>
      <c r="C370" s="24" t="s">
        <v>480</v>
      </c>
      <c r="D370" s="15"/>
      <c r="E370" s="15"/>
      <c r="F370" s="25" t="s">
        <v>159</v>
      </c>
      <c r="G370" s="26">
        <v>0.15</v>
      </c>
      <c r="H370" s="26"/>
      <c r="I370" s="26">
        <v>95.668999999999997</v>
      </c>
      <c r="J370" s="27">
        <v>88.8</v>
      </c>
      <c r="M370" s="28">
        <f>ROUND(ROUND(J370, 2)*I370, 2)</f>
        <v>8495.41</v>
      </c>
      <c r="P370" s="27">
        <v>88.8</v>
      </c>
      <c r="S370" s="28">
        <f>ROUND(ROUND(P370, 2)*I370, 2)</f>
        <v>8495.41</v>
      </c>
      <c r="V370" s="9">
        <f>ROUND(ROUND(P370, 2)/1.2, 2)</f>
        <v>74</v>
      </c>
      <c r="Y370" s="9">
        <f t="shared" si="19"/>
        <v>7079.51</v>
      </c>
      <c r="AD370" s="4" t="s">
        <v>1469</v>
      </c>
      <c r="AE370" s="4" t="s">
        <v>1470</v>
      </c>
      <c r="AF370" s="4" t="s">
        <v>483</v>
      </c>
    </row>
    <row r="371" spans="1:35" ht="92.55" customHeight="1" x14ac:dyDescent="0.3">
      <c r="A371" s="10" t="s">
        <v>1471</v>
      </c>
      <c r="B371" s="10"/>
      <c r="C371" s="30" t="s">
        <v>1472</v>
      </c>
      <c r="D371" s="15"/>
      <c r="E371" s="15" t="s">
        <v>1473</v>
      </c>
      <c r="F371" s="25" t="s">
        <v>159</v>
      </c>
      <c r="G371" s="26">
        <v>0.3</v>
      </c>
      <c r="H371" s="26"/>
      <c r="I371" s="26">
        <v>191.33699999999999</v>
      </c>
      <c r="J371" s="27">
        <v>105</v>
      </c>
      <c r="M371" s="28">
        <f>ROUND(ROUND(J371, 2)*I371, 2)</f>
        <v>20090.39</v>
      </c>
      <c r="P371" s="27">
        <v>105</v>
      </c>
      <c r="S371" s="28">
        <f>ROUND(ROUND(P371, 2)*I371, 2)</f>
        <v>20090.39</v>
      </c>
      <c r="V371" s="9">
        <f>ROUND(ROUND(P371, 2)/1.2, 2)</f>
        <v>87.5</v>
      </c>
      <c r="Y371" s="9">
        <f t="shared" si="19"/>
        <v>16741.990000000002</v>
      </c>
      <c r="AD371" s="4" t="s">
        <v>1474</v>
      </c>
      <c r="AE371" s="4" t="s">
        <v>1475</v>
      </c>
      <c r="AF371" s="4" t="s">
        <v>1476</v>
      </c>
    </row>
    <row r="372" spans="1:35" ht="36" x14ac:dyDescent="0.3">
      <c r="A372" s="10" t="s">
        <v>1477</v>
      </c>
      <c r="B372" s="10" t="s">
        <v>1452</v>
      </c>
      <c r="C372" s="14" t="s">
        <v>1453</v>
      </c>
      <c r="D372" s="15"/>
      <c r="E372" s="15" t="s">
        <v>1478</v>
      </c>
      <c r="F372" s="15" t="s">
        <v>75</v>
      </c>
      <c r="G372" s="16">
        <v>1</v>
      </c>
      <c r="H372" s="16"/>
      <c r="I372" s="16">
        <v>2474.04</v>
      </c>
      <c r="J372" s="17">
        <v>49.55</v>
      </c>
      <c r="K372" s="18">
        <v>422</v>
      </c>
      <c r="L372" s="17">
        <f>J372+ROUND(K372, 2)</f>
        <v>471.55</v>
      </c>
      <c r="M372" s="17">
        <v>122588.68</v>
      </c>
      <c r="N372" s="17">
        <v>1044044.88</v>
      </c>
      <c r="O372" s="17">
        <f>M372+N372</f>
        <v>1166633.56</v>
      </c>
      <c r="P372" s="17">
        <v>49.55</v>
      </c>
      <c r="Q372" s="18">
        <v>422</v>
      </c>
      <c r="R372" s="17">
        <f>P372+ROUND(Q372, 2)</f>
        <v>471.55</v>
      </c>
      <c r="S372" s="17">
        <v>122588.68</v>
      </c>
      <c r="T372" s="17">
        <v>1044044.88</v>
      </c>
      <c r="U372" s="17">
        <f>S372+T372</f>
        <v>1166633.56</v>
      </c>
      <c r="V372" s="9">
        <f>ROUND(P372 / 1.2, 2)</f>
        <v>41.29</v>
      </c>
      <c r="W372" s="9">
        <f>ROUND(Q372 / 1.2, 2)</f>
        <v>351.67</v>
      </c>
      <c r="X372" s="9">
        <f>ROUND(R372 / 1.2, 2)</f>
        <v>392.96</v>
      </c>
      <c r="Y372" s="9">
        <f t="shared" si="19"/>
        <v>102157.23</v>
      </c>
      <c r="Z372" s="9">
        <f>ROUND(T372 / 1.2, 2)</f>
        <v>870037.4</v>
      </c>
      <c r="AA372" s="9">
        <f>Y372+Z372</f>
        <v>972194.63</v>
      </c>
      <c r="AD372" s="4">
        <v>339118939</v>
      </c>
      <c r="AE372" s="4">
        <v>25888024</v>
      </c>
      <c r="AG372" s="4" t="s">
        <v>1455</v>
      </c>
      <c r="AH372" s="4" t="s">
        <v>1456</v>
      </c>
      <c r="AI372" s="4" t="s">
        <v>156</v>
      </c>
    </row>
    <row r="373" spans="1:35" ht="106.5" customHeight="1" x14ac:dyDescent="0.3">
      <c r="A373" s="10" t="s">
        <v>1479</v>
      </c>
      <c r="B373" s="10"/>
      <c r="C373" s="30" t="s">
        <v>1480</v>
      </c>
      <c r="D373" s="15"/>
      <c r="E373" s="15" t="s">
        <v>1481</v>
      </c>
      <c r="F373" s="25" t="s">
        <v>159</v>
      </c>
      <c r="G373" s="26">
        <v>0.3</v>
      </c>
      <c r="H373" s="26"/>
      <c r="I373" s="26">
        <v>742.21199999999999</v>
      </c>
      <c r="J373" s="27">
        <v>120.77</v>
      </c>
      <c r="M373" s="28">
        <f>ROUND(ROUND(J373, 2)*I373, 2)</f>
        <v>89636.94</v>
      </c>
      <c r="P373" s="27">
        <v>120.77</v>
      </c>
      <c r="S373" s="28">
        <f>ROUND(ROUND(P373, 2)*I373, 2)</f>
        <v>89636.94</v>
      </c>
      <c r="V373" s="9">
        <f>ROUND(ROUND(P373, 2)/1.2, 2)</f>
        <v>100.64</v>
      </c>
      <c r="Y373" s="9">
        <f t="shared" si="19"/>
        <v>74697.45</v>
      </c>
      <c r="AD373" s="4" t="s">
        <v>1482</v>
      </c>
      <c r="AE373" s="4" t="s">
        <v>1483</v>
      </c>
      <c r="AF373" s="4" t="s">
        <v>1484</v>
      </c>
    </row>
    <row r="374" spans="1:35" ht="36" x14ac:dyDescent="0.3">
      <c r="A374" s="10" t="s">
        <v>1485</v>
      </c>
      <c r="B374" s="10"/>
      <c r="C374" s="24" t="s">
        <v>480</v>
      </c>
      <c r="D374" s="15"/>
      <c r="E374" s="15"/>
      <c r="F374" s="25" t="s">
        <v>159</v>
      </c>
      <c r="G374" s="26">
        <v>0.15</v>
      </c>
      <c r="H374" s="26"/>
      <c r="I374" s="26">
        <v>371.10599999999999</v>
      </c>
      <c r="J374" s="27">
        <v>88.8</v>
      </c>
      <c r="M374" s="28">
        <f>ROUND(ROUND(J374, 2)*I374, 2)</f>
        <v>32954.21</v>
      </c>
      <c r="P374" s="27">
        <v>88.8</v>
      </c>
      <c r="S374" s="28">
        <f>ROUND(ROUND(P374, 2)*I374, 2)</f>
        <v>32954.21</v>
      </c>
      <c r="V374" s="9">
        <f>ROUND(ROUND(P374, 2)/1.2, 2)</f>
        <v>74</v>
      </c>
      <c r="Y374" s="9">
        <f t="shared" si="19"/>
        <v>27461.84</v>
      </c>
      <c r="AD374" s="4" t="s">
        <v>1486</v>
      </c>
      <c r="AE374" s="4" t="s">
        <v>1487</v>
      </c>
      <c r="AF374" s="4" t="s">
        <v>483</v>
      </c>
    </row>
    <row r="375" spans="1:35" ht="36" x14ac:dyDescent="0.3">
      <c r="A375" s="10" t="s">
        <v>1488</v>
      </c>
      <c r="B375" s="10" t="s">
        <v>1452</v>
      </c>
      <c r="C375" s="14" t="s">
        <v>1453</v>
      </c>
      <c r="D375" s="15"/>
      <c r="E375" s="15" t="s">
        <v>1489</v>
      </c>
      <c r="F375" s="15" t="s">
        <v>75</v>
      </c>
      <c r="G375" s="16">
        <v>1</v>
      </c>
      <c r="H375" s="16"/>
      <c r="I375" s="16">
        <v>134.78</v>
      </c>
      <c r="J375" s="17">
        <v>49.55</v>
      </c>
      <c r="K375" s="18">
        <v>422</v>
      </c>
      <c r="L375" s="17">
        <f>J375+ROUND(K375, 2)</f>
        <v>471.55</v>
      </c>
      <c r="M375" s="17">
        <v>6678.35</v>
      </c>
      <c r="N375" s="17">
        <v>56877.16</v>
      </c>
      <c r="O375" s="17">
        <f>M375+N375</f>
        <v>63555.51</v>
      </c>
      <c r="P375" s="17">
        <v>49.55</v>
      </c>
      <c r="Q375" s="18">
        <v>422</v>
      </c>
      <c r="R375" s="17">
        <f>P375+ROUND(Q375, 2)</f>
        <v>471.55</v>
      </c>
      <c r="S375" s="17">
        <v>6678.35</v>
      </c>
      <c r="T375" s="17">
        <v>56877.16</v>
      </c>
      <c r="U375" s="17">
        <f>S375+T375</f>
        <v>63555.51</v>
      </c>
      <c r="V375" s="9">
        <f>ROUND(P375 / 1.2, 2)</f>
        <v>41.29</v>
      </c>
      <c r="W375" s="9">
        <f>ROUND(Q375 / 1.2, 2)</f>
        <v>351.67</v>
      </c>
      <c r="X375" s="9">
        <f>ROUND(R375 / 1.2, 2)</f>
        <v>392.96</v>
      </c>
      <c r="Y375" s="9">
        <f t="shared" si="19"/>
        <v>5565.29</v>
      </c>
      <c r="Z375" s="9">
        <f>ROUND(T375 / 1.2, 2)</f>
        <v>47397.63</v>
      </c>
      <c r="AA375" s="9">
        <f>Y375+Z375</f>
        <v>52962.92</v>
      </c>
      <c r="AD375" s="4">
        <v>339118940</v>
      </c>
      <c r="AE375" s="4">
        <v>25888020</v>
      </c>
      <c r="AG375" s="4" t="s">
        <v>1455</v>
      </c>
      <c r="AH375" s="4" t="s">
        <v>1456</v>
      </c>
      <c r="AI375" s="4" t="s">
        <v>156</v>
      </c>
    </row>
    <row r="376" spans="1:35" ht="36" x14ac:dyDescent="0.3">
      <c r="A376" s="10" t="s">
        <v>1490</v>
      </c>
      <c r="B376" s="10"/>
      <c r="C376" s="24" t="s">
        <v>480</v>
      </c>
      <c r="D376" s="15"/>
      <c r="E376" s="15"/>
      <c r="F376" s="25" t="s">
        <v>159</v>
      </c>
      <c r="G376" s="26">
        <v>0.15</v>
      </c>
      <c r="H376" s="26"/>
      <c r="I376" s="26">
        <v>20.216999999999999</v>
      </c>
      <c r="J376" s="27">
        <v>88.8</v>
      </c>
      <c r="M376" s="28">
        <f>ROUND(ROUND(J376, 2)*I376, 2)</f>
        <v>1795.27</v>
      </c>
      <c r="P376" s="27">
        <v>88.8</v>
      </c>
      <c r="S376" s="28">
        <f>ROUND(ROUND(P376, 2)*I376, 2)</f>
        <v>1795.27</v>
      </c>
      <c r="V376" s="9">
        <f>ROUND(ROUND(P376, 2)/1.2, 2)</f>
        <v>74</v>
      </c>
      <c r="Y376" s="9">
        <f t="shared" si="19"/>
        <v>1496.06</v>
      </c>
      <c r="AD376" s="4" t="s">
        <v>1491</v>
      </c>
      <c r="AE376" s="4" t="s">
        <v>1492</v>
      </c>
      <c r="AF376" s="4" t="s">
        <v>483</v>
      </c>
    </row>
    <row r="377" spans="1:35" ht="106.05" customHeight="1" x14ac:dyDescent="0.3">
      <c r="A377" s="10" t="s">
        <v>1493</v>
      </c>
      <c r="B377" s="10"/>
      <c r="C377" s="30" t="s">
        <v>1480</v>
      </c>
      <c r="D377" s="15"/>
      <c r="E377" s="15" t="s">
        <v>1494</v>
      </c>
      <c r="F377" s="25" t="s">
        <v>159</v>
      </c>
      <c r="G377" s="26">
        <v>0.3</v>
      </c>
      <c r="H377" s="26"/>
      <c r="I377" s="26">
        <v>40.433999999999997</v>
      </c>
      <c r="J377" s="27">
        <v>120.77</v>
      </c>
      <c r="M377" s="28">
        <f>ROUND(ROUND(J377, 2)*I377, 2)</f>
        <v>4883.21</v>
      </c>
      <c r="P377" s="27">
        <v>120.77</v>
      </c>
      <c r="S377" s="28">
        <f>ROUND(ROUND(P377, 2)*I377, 2)</f>
        <v>4883.21</v>
      </c>
      <c r="V377" s="9">
        <f>ROUND(ROUND(P377, 2)/1.2, 2)</f>
        <v>100.64</v>
      </c>
      <c r="Y377" s="9">
        <f t="shared" si="19"/>
        <v>4069.34</v>
      </c>
      <c r="AD377" s="4" t="s">
        <v>1495</v>
      </c>
      <c r="AE377" s="4" t="s">
        <v>1496</v>
      </c>
      <c r="AF377" s="4" t="s">
        <v>1484</v>
      </c>
    </row>
    <row r="378" spans="1:35" ht="36" x14ac:dyDescent="0.3">
      <c r="A378" s="10" t="s">
        <v>1497</v>
      </c>
      <c r="B378" s="10" t="s">
        <v>1452</v>
      </c>
      <c r="C378" s="14" t="s">
        <v>1453</v>
      </c>
      <c r="D378" s="15"/>
      <c r="E378" s="15" t="s">
        <v>1498</v>
      </c>
      <c r="F378" s="15" t="s">
        <v>75</v>
      </c>
      <c r="G378" s="16">
        <v>1</v>
      </c>
      <c r="H378" s="16"/>
      <c r="I378" s="16">
        <v>465.96</v>
      </c>
      <c r="J378" s="17">
        <v>44.82</v>
      </c>
      <c r="K378" s="18">
        <v>422</v>
      </c>
      <c r="L378" s="17">
        <f>J378+ROUND(K378, 2)</f>
        <v>466.82</v>
      </c>
      <c r="M378" s="17">
        <v>20884.330000000002</v>
      </c>
      <c r="N378" s="17">
        <v>196635.12</v>
      </c>
      <c r="O378" s="17">
        <f>M378+N378</f>
        <v>217519.45</v>
      </c>
      <c r="P378" s="17">
        <v>44.82</v>
      </c>
      <c r="Q378" s="18">
        <v>422</v>
      </c>
      <c r="R378" s="17">
        <f>P378+ROUND(Q378, 2)</f>
        <v>466.82</v>
      </c>
      <c r="S378" s="17">
        <v>20884.330000000002</v>
      </c>
      <c r="T378" s="17">
        <v>196635.12</v>
      </c>
      <c r="U378" s="17">
        <f>S378+T378</f>
        <v>217519.45</v>
      </c>
      <c r="V378" s="9">
        <f>ROUND(P378 / 1.2, 2)</f>
        <v>37.35</v>
      </c>
      <c r="W378" s="9">
        <f>ROUND(Q378 / 1.2, 2)</f>
        <v>351.67</v>
      </c>
      <c r="X378" s="9">
        <f>ROUND(R378 / 1.2, 2)</f>
        <v>389.02</v>
      </c>
      <c r="Y378" s="9">
        <f t="shared" si="19"/>
        <v>17403.61</v>
      </c>
      <c r="Z378" s="9">
        <f>ROUND(T378 / 1.2, 2)</f>
        <v>163862.6</v>
      </c>
      <c r="AA378" s="9">
        <f>Y378+Z378</f>
        <v>181266.21000000002</v>
      </c>
      <c r="AD378" s="4">
        <v>339118941</v>
      </c>
      <c r="AE378" s="4">
        <v>25887985</v>
      </c>
      <c r="AG378" s="4" t="s">
        <v>1455</v>
      </c>
      <c r="AH378" s="4" t="s">
        <v>1456</v>
      </c>
      <c r="AI378" s="4" t="s">
        <v>156</v>
      </c>
    </row>
    <row r="379" spans="1:35" ht="68.55" customHeight="1" x14ac:dyDescent="0.3">
      <c r="A379" s="10" t="s">
        <v>1499</v>
      </c>
      <c r="B379" s="10"/>
      <c r="C379" s="30" t="s">
        <v>1472</v>
      </c>
      <c r="D379" s="15"/>
      <c r="E379" s="15" t="s">
        <v>1500</v>
      </c>
      <c r="F379" s="25" t="s">
        <v>159</v>
      </c>
      <c r="G379" s="26">
        <v>0.3</v>
      </c>
      <c r="H379" s="26"/>
      <c r="I379" s="26">
        <v>139.78800000000001</v>
      </c>
      <c r="J379" s="27">
        <v>105</v>
      </c>
      <c r="M379" s="28">
        <f>ROUND(ROUND(J379, 2)*I379, 2)</f>
        <v>14677.74</v>
      </c>
      <c r="P379" s="27">
        <v>105</v>
      </c>
      <c r="S379" s="28">
        <f>ROUND(ROUND(P379, 2)*I379, 2)</f>
        <v>14677.74</v>
      </c>
      <c r="V379" s="9">
        <f>ROUND(ROUND(P379, 2)/1.2, 2)</f>
        <v>87.5</v>
      </c>
      <c r="Y379" s="9">
        <f t="shared" si="19"/>
        <v>12231.45</v>
      </c>
      <c r="AD379" s="4" t="s">
        <v>1501</v>
      </c>
      <c r="AE379" s="4" t="s">
        <v>1502</v>
      </c>
      <c r="AF379" s="4" t="s">
        <v>1476</v>
      </c>
    </row>
    <row r="380" spans="1:35" ht="36" x14ac:dyDescent="0.3">
      <c r="A380" s="10" t="s">
        <v>1503</v>
      </c>
      <c r="B380" s="10"/>
      <c r="C380" s="24" t="s">
        <v>480</v>
      </c>
      <c r="D380" s="15"/>
      <c r="E380" s="15"/>
      <c r="F380" s="25" t="s">
        <v>159</v>
      </c>
      <c r="G380" s="26">
        <v>0.15</v>
      </c>
      <c r="H380" s="26"/>
      <c r="I380" s="26">
        <v>69.894000000000005</v>
      </c>
      <c r="J380" s="27">
        <v>88.8</v>
      </c>
      <c r="M380" s="28">
        <f>ROUND(ROUND(J380, 2)*I380, 2)</f>
        <v>6206.59</v>
      </c>
      <c r="P380" s="27">
        <v>88.8</v>
      </c>
      <c r="S380" s="28">
        <f>ROUND(ROUND(P380, 2)*I380, 2)</f>
        <v>6206.59</v>
      </c>
      <c r="V380" s="9">
        <f>ROUND(ROUND(P380, 2)/1.2, 2)</f>
        <v>74</v>
      </c>
      <c r="Y380" s="9">
        <f t="shared" si="19"/>
        <v>5172.16</v>
      </c>
      <c r="AD380" s="4" t="s">
        <v>1504</v>
      </c>
      <c r="AE380" s="4" t="s">
        <v>1505</v>
      </c>
      <c r="AF380" s="4" t="s">
        <v>483</v>
      </c>
    </row>
    <row r="381" spans="1:35" ht="36" x14ac:dyDescent="0.3">
      <c r="A381" s="10" t="s">
        <v>1506</v>
      </c>
      <c r="B381" s="10" t="s">
        <v>1452</v>
      </c>
      <c r="C381" s="14" t="s">
        <v>1453</v>
      </c>
      <c r="D381" s="15"/>
      <c r="E381" s="15" t="s">
        <v>1411</v>
      </c>
      <c r="F381" s="15" t="s">
        <v>75</v>
      </c>
      <c r="G381" s="16">
        <v>1</v>
      </c>
      <c r="H381" s="16"/>
      <c r="I381" s="16">
        <v>108.96</v>
      </c>
      <c r="J381" s="17">
        <v>44.82</v>
      </c>
      <c r="K381" s="18">
        <v>422</v>
      </c>
      <c r="L381" s="17">
        <f>J381+ROUND(K381, 2)</f>
        <v>466.82</v>
      </c>
      <c r="M381" s="17">
        <v>4883.59</v>
      </c>
      <c r="N381" s="17">
        <v>45981.120000000003</v>
      </c>
      <c r="O381" s="17">
        <f>M381+N381</f>
        <v>50864.710000000006</v>
      </c>
      <c r="P381" s="17">
        <v>44.82</v>
      </c>
      <c r="Q381" s="18">
        <v>422</v>
      </c>
      <c r="R381" s="17">
        <f>P381+ROUND(Q381, 2)</f>
        <v>466.82</v>
      </c>
      <c r="S381" s="17">
        <v>4883.59</v>
      </c>
      <c r="T381" s="17">
        <v>45981.120000000003</v>
      </c>
      <c r="U381" s="17">
        <f>S381+T381</f>
        <v>50864.710000000006</v>
      </c>
      <c r="V381" s="9">
        <f>ROUND(P381 / 1.2, 2)</f>
        <v>37.35</v>
      </c>
      <c r="W381" s="9">
        <f>ROUND(Q381 / 1.2, 2)</f>
        <v>351.67</v>
      </c>
      <c r="X381" s="9">
        <f>ROUND(R381 / 1.2, 2)</f>
        <v>389.02</v>
      </c>
      <c r="Y381" s="9">
        <f t="shared" si="19"/>
        <v>4069.66</v>
      </c>
      <c r="Z381" s="9">
        <f>ROUND(T381 / 1.2, 2)</f>
        <v>38317.599999999999</v>
      </c>
      <c r="AA381" s="9">
        <f>Y381+Z381</f>
        <v>42387.259999999995</v>
      </c>
      <c r="AD381" s="4">
        <v>339118942</v>
      </c>
      <c r="AE381" s="4">
        <v>25887997</v>
      </c>
      <c r="AG381" s="4" t="s">
        <v>1455</v>
      </c>
      <c r="AH381" s="4" t="s">
        <v>1456</v>
      </c>
      <c r="AI381" s="4" t="s">
        <v>156</v>
      </c>
    </row>
    <row r="382" spans="1:35" ht="36" x14ac:dyDescent="0.3">
      <c r="A382" s="10" t="s">
        <v>1507</v>
      </c>
      <c r="B382" s="10"/>
      <c r="C382" s="24" t="s">
        <v>480</v>
      </c>
      <c r="D382" s="15"/>
      <c r="E382" s="15"/>
      <c r="F382" s="25" t="s">
        <v>159</v>
      </c>
      <c r="G382" s="26">
        <v>0.15</v>
      </c>
      <c r="H382" s="26"/>
      <c r="I382" s="26">
        <v>16.344000000000001</v>
      </c>
      <c r="J382" s="27">
        <v>88.8</v>
      </c>
      <c r="M382" s="28">
        <f>ROUND(ROUND(J382, 2)*I382, 2)</f>
        <v>1451.35</v>
      </c>
      <c r="P382" s="27">
        <v>88.8</v>
      </c>
      <c r="S382" s="28">
        <f>ROUND(ROUND(P382, 2)*I382, 2)</f>
        <v>1451.35</v>
      </c>
      <c r="V382" s="9">
        <f>ROUND(ROUND(P382, 2)/1.2, 2)</f>
        <v>74</v>
      </c>
      <c r="Y382" s="9">
        <f t="shared" si="19"/>
        <v>1209.46</v>
      </c>
      <c r="AD382" s="4" t="s">
        <v>1508</v>
      </c>
      <c r="AE382" s="4" t="s">
        <v>1509</v>
      </c>
      <c r="AF382" s="4" t="s">
        <v>483</v>
      </c>
    </row>
    <row r="383" spans="1:35" ht="54.45" customHeight="1" x14ac:dyDescent="0.3">
      <c r="A383" s="10" t="s">
        <v>1510</v>
      </c>
      <c r="B383" s="10"/>
      <c r="C383" s="30" t="s">
        <v>1472</v>
      </c>
      <c r="D383" s="15"/>
      <c r="E383" s="15" t="s">
        <v>1511</v>
      </c>
      <c r="F383" s="25" t="s">
        <v>159</v>
      </c>
      <c r="G383" s="26">
        <v>0.3</v>
      </c>
      <c r="H383" s="26"/>
      <c r="I383" s="26">
        <v>32.688000000000002</v>
      </c>
      <c r="J383" s="27">
        <v>105</v>
      </c>
      <c r="M383" s="28">
        <f>ROUND(ROUND(J383, 2)*I383, 2)</f>
        <v>3432.24</v>
      </c>
      <c r="P383" s="27">
        <v>105</v>
      </c>
      <c r="S383" s="28">
        <f>ROUND(ROUND(P383, 2)*I383, 2)</f>
        <v>3432.24</v>
      </c>
      <c r="V383" s="9">
        <f>ROUND(ROUND(P383, 2)/1.2, 2)</f>
        <v>87.5</v>
      </c>
      <c r="Y383" s="9">
        <f t="shared" si="19"/>
        <v>2860.2</v>
      </c>
      <c r="AD383" s="4" t="s">
        <v>1512</v>
      </c>
      <c r="AE383" s="4" t="s">
        <v>1513</v>
      </c>
      <c r="AF383" s="4" t="s">
        <v>1476</v>
      </c>
    </row>
    <row r="384" spans="1:35" ht="54" x14ac:dyDescent="0.3">
      <c r="A384" s="10" t="s">
        <v>1514</v>
      </c>
      <c r="B384" s="10" t="s">
        <v>1452</v>
      </c>
      <c r="C384" s="14" t="s">
        <v>1453</v>
      </c>
      <c r="D384" s="15"/>
      <c r="E384" s="15" t="s">
        <v>1515</v>
      </c>
      <c r="F384" s="15" t="s">
        <v>75</v>
      </c>
      <c r="G384" s="16">
        <v>1</v>
      </c>
      <c r="H384" s="16"/>
      <c r="I384" s="16">
        <v>138.57</v>
      </c>
      <c r="J384" s="17">
        <v>384.59</v>
      </c>
      <c r="K384" s="18">
        <v>464</v>
      </c>
      <c r="L384" s="17">
        <f>J384+ROUND(K384, 2)</f>
        <v>848.58999999999992</v>
      </c>
      <c r="M384" s="17">
        <v>53292.639999999999</v>
      </c>
      <c r="N384" s="17">
        <v>64296.480000000003</v>
      </c>
      <c r="O384" s="17">
        <f>M384+N384</f>
        <v>117589.12</v>
      </c>
      <c r="P384" s="17">
        <v>127.02</v>
      </c>
      <c r="Q384" s="18">
        <v>422</v>
      </c>
      <c r="R384" s="17">
        <f>P384+ROUND(Q384, 2)</f>
        <v>549.02</v>
      </c>
      <c r="S384" s="17">
        <v>17601.16</v>
      </c>
      <c r="T384" s="17">
        <v>58476.54</v>
      </c>
      <c r="U384" s="17">
        <f>S384+T384</f>
        <v>76077.7</v>
      </c>
      <c r="V384" s="9">
        <f>ROUND(P384 / 1.2, 2)</f>
        <v>105.85</v>
      </c>
      <c r="W384" s="9">
        <f>ROUND(Q384 / 1.2, 2)</f>
        <v>351.67</v>
      </c>
      <c r="X384" s="9">
        <f>ROUND(R384 / 1.2, 2)</f>
        <v>457.52</v>
      </c>
      <c r="Y384" s="9">
        <f t="shared" si="19"/>
        <v>14667.63</v>
      </c>
      <c r="Z384" s="9">
        <f>ROUND(T384 / 1.2, 2)</f>
        <v>48730.45</v>
      </c>
      <c r="AA384" s="9">
        <f>Y384+Z384</f>
        <v>63398.079999999994</v>
      </c>
      <c r="AD384" s="4">
        <v>339118943</v>
      </c>
      <c r="AE384" s="4">
        <v>28951763</v>
      </c>
      <c r="AG384" s="4" t="s">
        <v>1455</v>
      </c>
      <c r="AH384" s="4" t="s">
        <v>1456</v>
      </c>
      <c r="AI384" s="4" t="s">
        <v>156</v>
      </c>
    </row>
    <row r="385" spans="1:35" ht="91.5" customHeight="1" x14ac:dyDescent="0.3">
      <c r="A385" s="10" t="s">
        <v>1516</v>
      </c>
      <c r="B385" s="10"/>
      <c r="C385" s="24" t="s">
        <v>1114</v>
      </c>
      <c r="D385" s="15"/>
      <c r="E385" s="15" t="s">
        <v>1517</v>
      </c>
      <c r="F385" s="25" t="s">
        <v>159</v>
      </c>
      <c r="G385" s="26">
        <v>0.3</v>
      </c>
      <c r="H385" s="26"/>
      <c r="I385" s="26">
        <v>41.570999999999998</v>
      </c>
      <c r="J385" s="27">
        <v>1236.8399999999999</v>
      </c>
      <c r="M385" s="28">
        <f>ROUND(ROUND(J385, 2)*I385, 2)</f>
        <v>51416.68</v>
      </c>
      <c r="P385" s="27">
        <v>378.25</v>
      </c>
      <c r="S385" s="28">
        <f>ROUND(ROUND(P385, 2)*I385, 2)</f>
        <v>15724.23</v>
      </c>
      <c r="V385" s="9">
        <f>ROUND(ROUND(P385, 2)/1.2, 2)</f>
        <v>315.20999999999998</v>
      </c>
      <c r="Y385" s="9">
        <f t="shared" si="19"/>
        <v>13103.53</v>
      </c>
      <c r="AD385" s="4" t="s">
        <v>1518</v>
      </c>
      <c r="AE385" s="4" t="s">
        <v>1519</v>
      </c>
      <c r="AF385" s="4" t="s">
        <v>1118</v>
      </c>
    </row>
    <row r="386" spans="1:35" ht="36" x14ac:dyDescent="0.3">
      <c r="A386" s="10" t="s">
        <v>1520</v>
      </c>
      <c r="B386" s="10"/>
      <c r="C386" s="24" t="s">
        <v>480</v>
      </c>
      <c r="D386" s="15"/>
      <c r="E386" s="15"/>
      <c r="F386" s="25" t="s">
        <v>159</v>
      </c>
      <c r="G386" s="26">
        <v>0.15</v>
      </c>
      <c r="H386" s="26"/>
      <c r="I386" s="26">
        <v>20.786000000000001</v>
      </c>
      <c r="J386" s="27">
        <v>90.28</v>
      </c>
      <c r="M386" s="28">
        <f>ROUND(ROUND(J386, 2)*I386, 2)</f>
        <v>1876.56</v>
      </c>
      <c r="P386" s="27">
        <v>90.28</v>
      </c>
      <c r="S386" s="28">
        <f>ROUND(ROUND(P386, 2)*I386, 2)</f>
        <v>1876.56</v>
      </c>
      <c r="V386" s="9">
        <f>ROUND(ROUND(P386, 2)/1.2, 2)</f>
        <v>75.23</v>
      </c>
      <c r="Y386" s="9">
        <f t="shared" si="19"/>
        <v>1563.8</v>
      </c>
      <c r="AD386" s="4" t="s">
        <v>1521</v>
      </c>
      <c r="AE386" s="4" t="s">
        <v>1522</v>
      </c>
      <c r="AF386" s="4" t="s">
        <v>483</v>
      </c>
    </row>
    <row r="387" spans="1:35" ht="54" x14ac:dyDescent="0.3">
      <c r="A387" s="10" t="s">
        <v>1523</v>
      </c>
      <c r="B387" s="10" t="s">
        <v>1452</v>
      </c>
      <c r="C387" s="14" t="s">
        <v>1453</v>
      </c>
      <c r="D387" s="15"/>
      <c r="E387" s="15" t="s">
        <v>1524</v>
      </c>
      <c r="F387" s="15" t="s">
        <v>75</v>
      </c>
      <c r="G387" s="16">
        <v>1</v>
      </c>
      <c r="H387" s="16"/>
      <c r="I387" s="16">
        <v>152.76</v>
      </c>
      <c r="J387" s="17">
        <v>384.59</v>
      </c>
      <c r="K387" s="18">
        <v>464</v>
      </c>
      <c r="L387" s="17">
        <f>J387+ROUND(K387, 2)</f>
        <v>848.58999999999992</v>
      </c>
      <c r="M387" s="17">
        <v>58749.97</v>
      </c>
      <c r="N387" s="17">
        <v>70880.639999999999</v>
      </c>
      <c r="O387" s="17">
        <f>M387+N387</f>
        <v>129630.61</v>
      </c>
      <c r="P387" s="17">
        <v>127.02</v>
      </c>
      <c r="Q387" s="18">
        <v>422</v>
      </c>
      <c r="R387" s="17">
        <f>P387+ROUND(Q387, 2)</f>
        <v>549.02</v>
      </c>
      <c r="S387" s="17">
        <v>19403.580000000002</v>
      </c>
      <c r="T387" s="17">
        <v>64464.72</v>
      </c>
      <c r="U387" s="17">
        <f>S387+T387</f>
        <v>83868.3</v>
      </c>
      <c r="V387" s="9">
        <f>ROUND(P387 / 1.2, 2)</f>
        <v>105.85</v>
      </c>
      <c r="W387" s="9">
        <f>ROUND(Q387 / 1.2, 2)</f>
        <v>351.67</v>
      </c>
      <c r="X387" s="9">
        <f>ROUND(R387 / 1.2, 2)</f>
        <v>457.52</v>
      </c>
      <c r="Y387" s="9">
        <f t="shared" si="19"/>
        <v>16169.65</v>
      </c>
      <c r="Z387" s="9">
        <f>ROUND(T387 / 1.2, 2)</f>
        <v>53720.6</v>
      </c>
      <c r="AA387" s="9">
        <f>Y387+Z387</f>
        <v>69890.25</v>
      </c>
      <c r="AD387" s="4">
        <v>339118944</v>
      </c>
      <c r="AE387" s="4">
        <v>28983435</v>
      </c>
      <c r="AG387" s="4" t="s">
        <v>1455</v>
      </c>
      <c r="AH387" s="4" t="s">
        <v>1456</v>
      </c>
      <c r="AI387" s="4" t="s">
        <v>156</v>
      </c>
    </row>
    <row r="388" spans="1:35" ht="36" x14ac:dyDescent="0.3">
      <c r="A388" s="10" t="s">
        <v>1525</v>
      </c>
      <c r="B388" s="10"/>
      <c r="C388" s="24" t="s">
        <v>480</v>
      </c>
      <c r="D388" s="15"/>
      <c r="E388" s="15"/>
      <c r="F388" s="25" t="s">
        <v>159</v>
      </c>
      <c r="G388" s="26">
        <v>0.15</v>
      </c>
      <c r="H388" s="26"/>
      <c r="I388" s="26">
        <v>22.914000000000001</v>
      </c>
      <c r="J388" s="27">
        <v>90.28</v>
      </c>
      <c r="M388" s="28">
        <f>ROUND(ROUND(J388, 2)*I388, 2)</f>
        <v>2068.6799999999998</v>
      </c>
      <c r="P388" s="27">
        <v>90.28</v>
      </c>
      <c r="S388" s="28">
        <f>ROUND(ROUND(P388, 2)*I388, 2)</f>
        <v>2068.6799999999998</v>
      </c>
      <c r="V388" s="9">
        <f>ROUND(ROUND(P388, 2)/1.2, 2)</f>
        <v>75.23</v>
      </c>
      <c r="Y388" s="9">
        <f t="shared" si="19"/>
        <v>1723.9</v>
      </c>
      <c r="AD388" s="4" t="s">
        <v>1526</v>
      </c>
      <c r="AE388" s="4" t="s">
        <v>1527</v>
      </c>
      <c r="AF388" s="4" t="s">
        <v>483</v>
      </c>
    </row>
    <row r="389" spans="1:35" ht="73.95" customHeight="1" x14ac:dyDescent="0.3">
      <c r="A389" s="10" t="s">
        <v>1528</v>
      </c>
      <c r="B389" s="10"/>
      <c r="C389" s="24" t="s">
        <v>1114</v>
      </c>
      <c r="D389" s="15"/>
      <c r="E389" s="15" t="s">
        <v>1529</v>
      </c>
      <c r="F389" s="25" t="s">
        <v>159</v>
      </c>
      <c r="G389" s="26">
        <v>0.3</v>
      </c>
      <c r="H389" s="26"/>
      <c r="I389" s="26">
        <v>45.828000000000003</v>
      </c>
      <c r="J389" s="27">
        <v>1236.8399999999999</v>
      </c>
      <c r="M389" s="28">
        <f>ROUND(ROUND(J389, 2)*I389, 2)</f>
        <v>56681.9</v>
      </c>
      <c r="P389" s="27">
        <v>378.25</v>
      </c>
      <c r="S389" s="28">
        <f>ROUND(ROUND(P389, 2)*I389, 2)</f>
        <v>17334.439999999999</v>
      </c>
      <c r="V389" s="9">
        <f>ROUND(ROUND(P389, 2)/1.2, 2)</f>
        <v>315.20999999999998</v>
      </c>
      <c r="Y389" s="9">
        <f t="shared" si="19"/>
        <v>14445.37</v>
      </c>
      <c r="AD389" s="4" t="s">
        <v>1530</v>
      </c>
      <c r="AE389" s="4" t="s">
        <v>1531</v>
      </c>
      <c r="AF389" s="4" t="s">
        <v>1118</v>
      </c>
    </row>
    <row r="390" spans="1:35" ht="54" x14ac:dyDescent="0.3">
      <c r="A390" s="10" t="s">
        <v>1532</v>
      </c>
      <c r="B390" s="10" t="s">
        <v>1452</v>
      </c>
      <c r="C390" s="14" t="s">
        <v>1453</v>
      </c>
      <c r="D390" s="15"/>
      <c r="E390" s="15" t="s">
        <v>1533</v>
      </c>
      <c r="F390" s="15" t="s">
        <v>75</v>
      </c>
      <c r="G390" s="16">
        <v>1</v>
      </c>
      <c r="H390" s="16"/>
      <c r="I390" s="16">
        <v>152.76</v>
      </c>
      <c r="J390" s="17">
        <v>384.59</v>
      </c>
      <c r="K390" s="18">
        <v>464</v>
      </c>
      <c r="L390" s="17">
        <f>J390+ROUND(K390, 2)</f>
        <v>848.58999999999992</v>
      </c>
      <c r="M390" s="17">
        <v>58749.97</v>
      </c>
      <c r="N390" s="17">
        <v>70880.639999999999</v>
      </c>
      <c r="O390" s="17">
        <f>M390+N390</f>
        <v>129630.61</v>
      </c>
      <c r="P390" s="17">
        <v>127.02</v>
      </c>
      <c r="Q390" s="18">
        <v>422</v>
      </c>
      <c r="R390" s="17">
        <f>P390+ROUND(Q390, 2)</f>
        <v>549.02</v>
      </c>
      <c r="S390" s="17">
        <v>19403.580000000002</v>
      </c>
      <c r="T390" s="17">
        <v>64464.72</v>
      </c>
      <c r="U390" s="17">
        <f>S390+T390</f>
        <v>83868.3</v>
      </c>
      <c r="V390" s="9">
        <f>ROUND(P390 / 1.2, 2)</f>
        <v>105.85</v>
      </c>
      <c r="W390" s="9">
        <f>ROUND(Q390 / 1.2, 2)</f>
        <v>351.67</v>
      </c>
      <c r="X390" s="9">
        <f>ROUND(R390 / 1.2, 2)</f>
        <v>457.52</v>
      </c>
      <c r="Y390" s="9">
        <f t="shared" si="19"/>
        <v>16169.65</v>
      </c>
      <c r="Z390" s="9">
        <f>ROUND(T390 / 1.2, 2)</f>
        <v>53720.6</v>
      </c>
      <c r="AA390" s="9">
        <f>Y390+Z390</f>
        <v>69890.25</v>
      </c>
      <c r="AD390" s="4">
        <v>339118945</v>
      </c>
      <c r="AE390" s="4">
        <v>28983428</v>
      </c>
      <c r="AG390" s="4" t="s">
        <v>1455</v>
      </c>
      <c r="AH390" s="4" t="s">
        <v>1456</v>
      </c>
      <c r="AI390" s="4" t="s">
        <v>156</v>
      </c>
    </row>
    <row r="391" spans="1:35" ht="97.05" customHeight="1" x14ac:dyDescent="0.3">
      <c r="A391" s="10" t="s">
        <v>1534</v>
      </c>
      <c r="B391" s="10"/>
      <c r="C391" s="24" t="s">
        <v>1114</v>
      </c>
      <c r="D391" s="15"/>
      <c r="E391" s="15" t="s">
        <v>1529</v>
      </c>
      <c r="F391" s="25" t="s">
        <v>159</v>
      </c>
      <c r="G391" s="26">
        <v>0.3</v>
      </c>
      <c r="H391" s="26"/>
      <c r="I391" s="26">
        <v>45.828000000000003</v>
      </c>
      <c r="J391" s="27">
        <v>1236.8399999999999</v>
      </c>
      <c r="M391" s="28">
        <f>ROUND(ROUND(J391, 2)*I391, 2)</f>
        <v>56681.9</v>
      </c>
      <c r="P391" s="27">
        <v>378.25</v>
      </c>
      <c r="S391" s="28">
        <f>ROUND(ROUND(P391, 2)*I391, 2)</f>
        <v>17334.439999999999</v>
      </c>
      <c r="V391" s="9">
        <f>ROUND(ROUND(P391, 2)/1.2, 2)</f>
        <v>315.20999999999998</v>
      </c>
      <c r="Y391" s="9">
        <f t="shared" si="19"/>
        <v>14445.37</v>
      </c>
      <c r="AD391" s="4" t="s">
        <v>1535</v>
      </c>
      <c r="AE391" s="4" t="s">
        <v>1536</v>
      </c>
      <c r="AF391" s="4" t="s">
        <v>1118</v>
      </c>
    </row>
    <row r="392" spans="1:35" ht="36" x14ac:dyDescent="0.3">
      <c r="A392" s="10" t="s">
        <v>1537</v>
      </c>
      <c r="B392" s="10"/>
      <c r="C392" s="24" t="s">
        <v>480</v>
      </c>
      <c r="D392" s="15"/>
      <c r="E392" s="15"/>
      <c r="F392" s="25" t="s">
        <v>159</v>
      </c>
      <c r="G392" s="26">
        <v>0.15</v>
      </c>
      <c r="H392" s="26"/>
      <c r="I392" s="26">
        <v>22.914000000000001</v>
      </c>
      <c r="J392" s="27">
        <v>90.28</v>
      </c>
      <c r="M392" s="28">
        <f>ROUND(ROUND(J392, 2)*I392, 2)</f>
        <v>2068.6799999999998</v>
      </c>
      <c r="P392" s="27">
        <v>90.28</v>
      </c>
      <c r="S392" s="28">
        <f>ROUND(ROUND(P392, 2)*I392, 2)</f>
        <v>2068.6799999999998</v>
      </c>
      <c r="V392" s="9">
        <f>ROUND(ROUND(P392, 2)/1.2, 2)</f>
        <v>75.23</v>
      </c>
      <c r="Y392" s="9">
        <f t="shared" si="19"/>
        <v>1723.9</v>
      </c>
      <c r="AD392" s="4" t="s">
        <v>1538</v>
      </c>
      <c r="AE392" s="4" t="s">
        <v>1539</v>
      </c>
      <c r="AF392" s="4" t="s">
        <v>483</v>
      </c>
    </row>
    <row r="393" spans="1:35" ht="16.95" customHeight="1" x14ac:dyDescent="0.3">
      <c r="A393" s="10" t="s">
        <v>1540</v>
      </c>
      <c r="B393" s="10" t="s">
        <v>1541</v>
      </c>
      <c r="C393" s="120" t="s">
        <v>1542</v>
      </c>
      <c r="D393" s="121"/>
      <c r="E393" s="121"/>
      <c r="F393" s="121"/>
      <c r="G393" s="121"/>
      <c r="H393" s="121"/>
      <c r="I393" s="122"/>
      <c r="M393" s="6">
        <f>SUM(M394,M396,M411,M426,M428,M430,M432,M433,M434,M435,M436,M437,M438,M439,M452)</f>
        <v>728858.16999999993</v>
      </c>
      <c r="N393" s="6">
        <f>SUM(N394,N396,N411,N426,N428,N430,N432,N433,N434,N435,N436,N437,N438,N439,N452)</f>
        <v>8180018.1400000006</v>
      </c>
      <c r="O393" s="6">
        <f>SUM(O394,O396,O411,O426,O428,O430,O432,O433,O434,O435,O436,O437,O438,O439,O452)</f>
        <v>8908876.3100000005</v>
      </c>
      <c r="S393" s="6">
        <f>SUM(S394,S396,S411,S426,S428,S430,S432,S433,S434,S435,S436,S437,S438,S439,S452)</f>
        <v>8275699.8499999996</v>
      </c>
      <c r="T393" s="6">
        <f>SUM(T394,T396,T411,T426,T428,T430,T432,T433,T434,T435,T436,T437,T438,T439,T452)</f>
        <v>8180018.1400000006</v>
      </c>
      <c r="U393" s="6">
        <f>SUM(U394,U396,U411,U426,U428,U430,U432,U433,U434,U435,U436,U437,U438,U439,U452)</f>
        <v>16455717.989999998</v>
      </c>
      <c r="Y393" s="9">
        <f>SUM(Y394,Y396,Y411,Y426,Y428,Y430,Y432,Y433,Y434,Y435,Y436,Y437,Y438,Y439,Y452)</f>
        <v>6896416.5499999998</v>
      </c>
      <c r="Z393" s="9">
        <f>SUM(Z394,Z396,Z411,Z426,Z428,Z430,Z432,Z433,Z434,Z435,Z436,Z437,Z438,Z439,Z452)</f>
        <v>6816681.8100000015</v>
      </c>
      <c r="AA393" s="9">
        <f>SUM(AA394,AA396,AA411,AA426,AA428,AA430,AA432,AA433,AA434,AA435,AA436,AA437,AA438,AA439,AA452)</f>
        <v>13713098.359999999</v>
      </c>
      <c r="AD393" s="4">
        <v>339118882</v>
      </c>
      <c r="AE393" s="4">
        <v>25887973</v>
      </c>
    </row>
    <row r="394" spans="1:35" ht="36" x14ac:dyDescent="0.3">
      <c r="A394" s="10" t="s">
        <v>1543</v>
      </c>
      <c r="B394" s="10" t="s">
        <v>1544</v>
      </c>
      <c r="C394" s="14" t="s">
        <v>1545</v>
      </c>
      <c r="D394" s="15"/>
      <c r="E394" s="15" t="s">
        <v>1454</v>
      </c>
      <c r="F394" s="15" t="s">
        <v>75</v>
      </c>
      <c r="G394" s="16">
        <v>1</v>
      </c>
      <c r="H394" s="16"/>
      <c r="I394" s="16">
        <v>259.14</v>
      </c>
      <c r="J394" s="17">
        <v>1430.65</v>
      </c>
      <c r="K394" s="18">
        <v>837</v>
      </c>
      <c r="L394" s="17">
        <f>J394+ROUND(K394, 2)</f>
        <v>2267.65</v>
      </c>
      <c r="M394" s="17">
        <v>370738.64</v>
      </c>
      <c r="N394" s="17">
        <v>216900.18</v>
      </c>
      <c r="O394" s="17">
        <f>M394+N394</f>
        <v>587638.82000000007</v>
      </c>
      <c r="P394" s="17">
        <v>1430.65</v>
      </c>
      <c r="Q394" s="18">
        <v>837</v>
      </c>
      <c r="R394" s="17">
        <f>P394+ROUND(Q394, 2)</f>
        <v>2267.65</v>
      </c>
      <c r="S394" s="17">
        <v>370738.64</v>
      </c>
      <c r="T394" s="17">
        <v>216900.18</v>
      </c>
      <c r="U394" s="17">
        <f>S394+T394</f>
        <v>587638.82000000007</v>
      </c>
      <c r="V394" s="9">
        <f>ROUND(P394 / 1.2, 2)</f>
        <v>1192.21</v>
      </c>
      <c r="W394" s="9">
        <f>ROUND(Q394 / 1.2, 2)</f>
        <v>697.5</v>
      </c>
      <c r="X394" s="9">
        <f>ROUND(R394 / 1.2, 2)</f>
        <v>1889.71</v>
      </c>
      <c r="Y394" s="9">
        <f>ROUND(S394 / 1.2, 2)</f>
        <v>308948.87</v>
      </c>
      <c r="Z394" s="9">
        <f>ROUND(T394 / 1.2, 2)</f>
        <v>180750.15</v>
      </c>
      <c r="AA394" s="9">
        <f>Y394+Z394</f>
        <v>489699.02</v>
      </c>
      <c r="AD394" s="4">
        <v>339118884</v>
      </c>
      <c r="AE394" s="4">
        <v>25888033</v>
      </c>
      <c r="AG394" s="4" t="s">
        <v>1546</v>
      </c>
      <c r="AH394" s="4" t="s">
        <v>1547</v>
      </c>
      <c r="AI394" s="4" t="s">
        <v>156</v>
      </c>
    </row>
    <row r="395" spans="1:35" ht="90" x14ac:dyDescent="0.3">
      <c r="A395" s="10" t="s">
        <v>1548</v>
      </c>
      <c r="B395" s="10"/>
      <c r="C395" s="30" t="s">
        <v>1549</v>
      </c>
      <c r="D395" s="15"/>
      <c r="E395" s="15" t="s">
        <v>1550</v>
      </c>
      <c r="F395" s="25" t="s">
        <v>75</v>
      </c>
      <c r="G395" s="26">
        <v>1.1000000000000001</v>
      </c>
      <c r="H395" s="32"/>
      <c r="I395" s="32">
        <v>285.05399999999997</v>
      </c>
      <c r="J395" s="27">
        <v>1300.5899999999999</v>
      </c>
      <c r="M395" s="28">
        <f>ROUND(ROUND(J395, 2)*I395, 2)</f>
        <v>370738.38</v>
      </c>
      <c r="P395" s="27">
        <v>1300.5899999999999</v>
      </c>
      <c r="S395" s="28">
        <f>ROUND(ROUND(P395, 2)*I395, 2)</f>
        <v>370738.38</v>
      </c>
      <c r="V395" s="9">
        <f>ROUND(ROUND(P395, 2)/1.2, 2)</f>
        <v>1083.83</v>
      </c>
      <c r="Y395" s="9">
        <f t="shared" ref="Y395:Y431" si="20">ROUND(S395 / 1.2, 2)</f>
        <v>308948.65000000002</v>
      </c>
      <c r="AD395" s="4" t="s">
        <v>1551</v>
      </c>
      <c r="AE395" s="4" t="s">
        <v>1552</v>
      </c>
      <c r="AF395" s="4" t="s">
        <v>1553</v>
      </c>
    </row>
    <row r="396" spans="1:35" ht="36" x14ac:dyDescent="0.3">
      <c r="A396" s="10" t="s">
        <v>1554</v>
      </c>
      <c r="B396" s="10" t="s">
        <v>1555</v>
      </c>
      <c r="C396" s="14" t="s">
        <v>1556</v>
      </c>
      <c r="D396" s="15"/>
      <c r="E396" s="15" t="s">
        <v>1399</v>
      </c>
      <c r="F396" s="15" t="s">
        <v>75</v>
      </c>
      <c r="G396" s="16">
        <v>1</v>
      </c>
      <c r="H396" s="16"/>
      <c r="I396" s="16">
        <v>465.96</v>
      </c>
      <c r="J396" s="17">
        <v>635.78</v>
      </c>
      <c r="K396" s="18">
        <v>1199</v>
      </c>
      <c r="L396" s="17">
        <f>J396+ROUND(K396, 2)</f>
        <v>1834.78</v>
      </c>
      <c r="M396" s="17">
        <v>296248.05</v>
      </c>
      <c r="N396" s="17">
        <v>558686.04</v>
      </c>
      <c r="O396" s="17">
        <f>M396+N396</f>
        <v>854934.09000000008</v>
      </c>
      <c r="P396" s="17">
        <v>635.78</v>
      </c>
      <c r="Q396" s="18">
        <v>1199</v>
      </c>
      <c r="R396" s="17">
        <f>P396+ROUND(Q396, 2)</f>
        <v>1834.78</v>
      </c>
      <c r="S396" s="17">
        <v>296248.05</v>
      </c>
      <c r="T396" s="17">
        <v>558686.04</v>
      </c>
      <c r="U396" s="17">
        <f>S396+T396</f>
        <v>854934.09000000008</v>
      </c>
      <c r="V396" s="9">
        <f>ROUND(P396 / 1.2, 2)</f>
        <v>529.82000000000005</v>
      </c>
      <c r="W396" s="9">
        <f>ROUND(Q396 / 1.2, 2)</f>
        <v>999.17</v>
      </c>
      <c r="X396" s="9">
        <f>ROUND(R396 / 1.2, 2)</f>
        <v>1528.98</v>
      </c>
      <c r="Y396" s="9">
        <f t="shared" si="20"/>
        <v>246873.38</v>
      </c>
      <c r="Z396" s="9">
        <f>ROUND(T396 / 1.2, 2)</f>
        <v>465571.7</v>
      </c>
      <c r="AA396" s="9">
        <f>Y396+Z396</f>
        <v>712445.08000000007</v>
      </c>
      <c r="AD396" s="4">
        <v>339118885</v>
      </c>
      <c r="AE396" s="4">
        <v>25888026</v>
      </c>
      <c r="AG396" s="4" t="s">
        <v>1557</v>
      </c>
      <c r="AH396" s="4" t="s">
        <v>1558</v>
      </c>
      <c r="AI396" s="4" t="s">
        <v>156</v>
      </c>
    </row>
    <row r="397" spans="1:35" ht="18" x14ac:dyDescent="0.3">
      <c r="A397" s="10" t="s">
        <v>1559</v>
      </c>
      <c r="B397" s="10"/>
      <c r="C397" s="24" t="s">
        <v>1560</v>
      </c>
      <c r="D397" s="15"/>
      <c r="E397" s="15"/>
      <c r="F397" s="25" t="s">
        <v>240</v>
      </c>
      <c r="G397" s="26">
        <v>15</v>
      </c>
      <c r="H397" s="26"/>
      <c r="I397" s="26">
        <v>6989.4</v>
      </c>
      <c r="J397" s="27">
        <v>0.95</v>
      </c>
      <c r="M397" s="28">
        <f t="shared" ref="M397:M410" si="21">ROUND(ROUND(J397, 2)*I397, 2)</f>
        <v>6639.93</v>
      </c>
      <c r="P397" s="27">
        <v>0.95</v>
      </c>
      <c r="S397" s="28">
        <f t="shared" ref="S397:S410" si="22">ROUND(ROUND(P397, 2)*I397, 2)</f>
        <v>6639.93</v>
      </c>
      <c r="V397" s="9">
        <f t="shared" ref="V397:V410" si="23">ROUND(ROUND(P397, 2)/1.2, 2)</f>
        <v>0.79</v>
      </c>
      <c r="Y397" s="9">
        <f t="shared" si="20"/>
        <v>5533.28</v>
      </c>
      <c r="AD397" s="4" t="s">
        <v>1561</v>
      </c>
      <c r="AE397" s="4" t="s">
        <v>1562</v>
      </c>
      <c r="AF397" s="4" t="s">
        <v>1563</v>
      </c>
    </row>
    <row r="398" spans="1:35" ht="18" x14ac:dyDescent="0.3">
      <c r="A398" s="10" t="s">
        <v>1564</v>
      </c>
      <c r="B398" s="10"/>
      <c r="C398" s="24" t="s">
        <v>1565</v>
      </c>
      <c r="D398" s="15"/>
      <c r="E398" s="15"/>
      <c r="F398" s="25" t="s">
        <v>240</v>
      </c>
      <c r="G398" s="26">
        <v>30</v>
      </c>
      <c r="H398" s="26"/>
      <c r="I398" s="26">
        <v>13978.8</v>
      </c>
      <c r="J398" s="27">
        <v>0.28000000000000003</v>
      </c>
      <c r="M398" s="28">
        <f t="shared" si="21"/>
        <v>3914.06</v>
      </c>
      <c r="P398" s="27">
        <v>0.28000000000000003</v>
      </c>
      <c r="S398" s="28">
        <f t="shared" si="22"/>
        <v>3914.06</v>
      </c>
      <c r="V398" s="9">
        <f t="shared" si="23"/>
        <v>0.23</v>
      </c>
      <c r="Y398" s="9">
        <f t="shared" si="20"/>
        <v>3261.72</v>
      </c>
      <c r="AD398" s="4" t="s">
        <v>1566</v>
      </c>
      <c r="AE398" s="4" t="s">
        <v>1567</v>
      </c>
      <c r="AF398" s="4" t="s">
        <v>1568</v>
      </c>
    </row>
    <row r="399" spans="1:35" ht="18" x14ac:dyDescent="0.3">
      <c r="A399" s="10" t="s">
        <v>1569</v>
      </c>
      <c r="B399" s="10"/>
      <c r="C399" s="24" t="s">
        <v>1570</v>
      </c>
      <c r="D399" s="15"/>
      <c r="E399" s="15"/>
      <c r="F399" s="25" t="s">
        <v>159</v>
      </c>
      <c r="G399" s="26">
        <v>0.35</v>
      </c>
      <c r="H399" s="26"/>
      <c r="I399" s="26">
        <v>163.08600000000001</v>
      </c>
      <c r="J399" s="27">
        <v>55</v>
      </c>
      <c r="M399" s="28">
        <f t="shared" si="21"/>
        <v>8969.73</v>
      </c>
      <c r="P399" s="27">
        <v>55</v>
      </c>
      <c r="S399" s="28">
        <f t="shared" si="22"/>
        <v>8969.73</v>
      </c>
      <c r="V399" s="9">
        <f t="shared" si="23"/>
        <v>45.83</v>
      </c>
      <c r="Y399" s="9">
        <f t="shared" si="20"/>
        <v>7474.78</v>
      </c>
      <c r="AD399" s="4" t="s">
        <v>1571</v>
      </c>
      <c r="AE399" s="4" t="s">
        <v>1572</v>
      </c>
      <c r="AF399" s="4" t="s">
        <v>1573</v>
      </c>
    </row>
    <row r="400" spans="1:35" ht="18" x14ac:dyDescent="0.3">
      <c r="A400" s="10" t="s">
        <v>1574</v>
      </c>
      <c r="B400" s="10"/>
      <c r="C400" s="24" t="s">
        <v>1575</v>
      </c>
      <c r="D400" s="15"/>
      <c r="E400" s="15"/>
      <c r="F400" s="25" t="s">
        <v>240</v>
      </c>
      <c r="G400" s="26">
        <v>0.3</v>
      </c>
      <c r="H400" s="26"/>
      <c r="I400" s="26">
        <v>139.78800000000001</v>
      </c>
      <c r="J400" s="27">
        <v>5.6</v>
      </c>
      <c r="M400" s="28">
        <f t="shared" si="21"/>
        <v>782.81</v>
      </c>
      <c r="P400" s="27">
        <v>5.6</v>
      </c>
      <c r="S400" s="28">
        <f t="shared" si="22"/>
        <v>782.81</v>
      </c>
      <c r="V400" s="9">
        <f t="shared" si="23"/>
        <v>4.67</v>
      </c>
      <c r="Y400" s="9">
        <f t="shared" si="20"/>
        <v>652.34</v>
      </c>
      <c r="AD400" s="4" t="s">
        <v>1576</v>
      </c>
      <c r="AE400" s="4" t="s">
        <v>1577</v>
      </c>
      <c r="AF400" s="4" t="s">
        <v>1578</v>
      </c>
    </row>
    <row r="401" spans="1:35" ht="36" x14ac:dyDescent="0.3">
      <c r="A401" s="10" t="s">
        <v>1579</v>
      </c>
      <c r="B401" s="10"/>
      <c r="C401" s="30" t="s">
        <v>1580</v>
      </c>
      <c r="D401" s="15"/>
      <c r="E401" s="15"/>
      <c r="F401" s="25" t="s">
        <v>240</v>
      </c>
      <c r="G401" s="26">
        <v>3.6</v>
      </c>
      <c r="H401" s="26"/>
      <c r="I401" s="26">
        <v>1677.4559999999999</v>
      </c>
      <c r="J401" s="27">
        <v>15.9</v>
      </c>
      <c r="M401" s="28">
        <f t="shared" si="21"/>
        <v>26671.55</v>
      </c>
      <c r="P401" s="27">
        <v>15.9</v>
      </c>
      <c r="S401" s="28">
        <f t="shared" si="22"/>
        <v>26671.55</v>
      </c>
      <c r="V401" s="9">
        <f t="shared" si="23"/>
        <v>13.25</v>
      </c>
      <c r="Y401" s="9">
        <f t="shared" si="20"/>
        <v>22226.29</v>
      </c>
      <c r="AD401" s="4" t="s">
        <v>1581</v>
      </c>
      <c r="AE401" s="4" t="s">
        <v>1582</v>
      </c>
      <c r="AF401" s="4" t="s">
        <v>1583</v>
      </c>
    </row>
    <row r="402" spans="1:35" ht="18" x14ac:dyDescent="0.3">
      <c r="A402" s="10" t="s">
        <v>1584</v>
      </c>
      <c r="B402" s="10"/>
      <c r="C402" s="24" t="s">
        <v>1585</v>
      </c>
      <c r="D402" s="15"/>
      <c r="E402" s="15"/>
      <c r="F402" s="25" t="s">
        <v>120</v>
      </c>
      <c r="G402" s="26">
        <v>1.2</v>
      </c>
      <c r="H402" s="26"/>
      <c r="I402" s="26">
        <v>559.15200000000004</v>
      </c>
      <c r="J402" s="27">
        <v>25.35</v>
      </c>
      <c r="M402" s="28">
        <f t="shared" si="21"/>
        <v>14174.5</v>
      </c>
      <c r="P402" s="27">
        <v>25.35</v>
      </c>
      <c r="S402" s="28">
        <f t="shared" si="22"/>
        <v>14174.5</v>
      </c>
      <c r="V402" s="9">
        <f t="shared" si="23"/>
        <v>21.13</v>
      </c>
      <c r="Y402" s="9">
        <f t="shared" si="20"/>
        <v>11812.08</v>
      </c>
      <c r="AD402" s="4" t="s">
        <v>1586</v>
      </c>
      <c r="AE402" s="4" t="s">
        <v>1587</v>
      </c>
      <c r="AF402" s="4" t="s">
        <v>1588</v>
      </c>
    </row>
    <row r="403" spans="1:35" ht="18" x14ac:dyDescent="0.3">
      <c r="A403" s="10" t="s">
        <v>1589</v>
      </c>
      <c r="B403" s="10"/>
      <c r="C403" s="24" t="s">
        <v>1590</v>
      </c>
      <c r="D403" s="15"/>
      <c r="E403" s="15"/>
      <c r="F403" s="25" t="s">
        <v>120</v>
      </c>
      <c r="G403" s="26">
        <v>4.7</v>
      </c>
      <c r="H403" s="26"/>
      <c r="I403" s="26">
        <v>2190.0120000000002</v>
      </c>
      <c r="J403" s="27">
        <v>66.98</v>
      </c>
      <c r="M403" s="28">
        <f t="shared" si="21"/>
        <v>146687</v>
      </c>
      <c r="P403" s="27">
        <v>66.98</v>
      </c>
      <c r="S403" s="28">
        <f t="shared" si="22"/>
        <v>146687</v>
      </c>
      <c r="V403" s="9">
        <f t="shared" si="23"/>
        <v>55.82</v>
      </c>
      <c r="Y403" s="9">
        <f t="shared" si="20"/>
        <v>122239.17</v>
      </c>
      <c r="AD403" s="4" t="s">
        <v>1591</v>
      </c>
      <c r="AE403" s="4" t="s">
        <v>1592</v>
      </c>
      <c r="AF403" s="4" t="s">
        <v>1593</v>
      </c>
    </row>
    <row r="404" spans="1:35" ht="18" x14ac:dyDescent="0.3">
      <c r="A404" s="10" t="s">
        <v>1594</v>
      </c>
      <c r="B404" s="10"/>
      <c r="C404" s="30" t="s">
        <v>1595</v>
      </c>
      <c r="D404" s="15"/>
      <c r="E404" s="15"/>
      <c r="F404" s="25" t="s">
        <v>240</v>
      </c>
      <c r="G404" s="26">
        <v>4.2</v>
      </c>
      <c r="H404" s="26"/>
      <c r="I404" s="26">
        <v>1957.0319999999999</v>
      </c>
      <c r="J404" s="27">
        <v>5.41</v>
      </c>
      <c r="M404" s="28">
        <f t="shared" si="21"/>
        <v>10587.54</v>
      </c>
      <c r="P404" s="27">
        <v>5.41</v>
      </c>
      <c r="S404" s="28">
        <f t="shared" si="22"/>
        <v>10587.54</v>
      </c>
      <c r="V404" s="9">
        <f t="shared" si="23"/>
        <v>4.51</v>
      </c>
      <c r="Y404" s="9">
        <f t="shared" si="20"/>
        <v>8822.9500000000007</v>
      </c>
      <c r="AD404" s="4" t="s">
        <v>1596</v>
      </c>
      <c r="AE404" s="4" t="s">
        <v>1597</v>
      </c>
      <c r="AF404" s="4" t="s">
        <v>1598</v>
      </c>
    </row>
    <row r="405" spans="1:35" ht="18" x14ac:dyDescent="0.3">
      <c r="A405" s="10" t="s">
        <v>1599</v>
      </c>
      <c r="B405" s="10"/>
      <c r="C405" s="24" t="s">
        <v>1600</v>
      </c>
      <c r="D405" s="15"/>
      <c r="E405" s="15"/>
      <c r="F405" s="25" t="s">
        <v>120</v>
      </c>
      <c r="G405" s="26">
        <v>1.05</v>
      </c>
      <c r="H405" s="26"/>
      <c r="I405" s="26">
        <v>489.25799999999998</v>
      </c>
      <c r="J405" s="27">
        <v>4.5999999999999996</v>
      </c>
      <c r="M405" s="28">
        <f t="shared" si="21"/>
        <v>2250.59</v>
      </c>
      <c r="P405" s="27">
        <v>4.5999999999999996</v>
      </c>
      <c r="S405" s="28">
        <f t="shared" si="22"/>
        <v>2250.59</v>
      </c>
      <c r="V405" s="9">
        <f t="shared" si="23"/>
        <v>3.83</v>
      </c>
      <c r="Y405" s="9">
        <f t="shared" si="20"/>
        <v>1875.49</v>
      </c>
      <c r="AD405" s="4" t="s">
        <v>1601</v>
      </c>
      <c r="AE405" s="4" t="s">
        <v>1602</v>
      </c>
      <c r="AF405" s="4" t="s">
        <v>1603</v>
      </c>
    </row>
    <row r="406" spans="1:35" ht="18" x14ac:dyDescent="0.3">
      <c r="A406" s="10" t="s">
        <v>1604</v>
      </c>
      <c r="B406" s="10"/>
      <c r="C406" s="24" t="s">
        <v>1605</v>
      </c>
      <c r="D406" s="15"/>
      <c r="E406" s="15"/>
      <c r="F406" s="25" t="s">
        <v>120</v>
      </c>
      <c r="G406" s="26">
        <v>1.25</v>
      </c>
      <c r="H406" s="26"/>
      <c r="I406" s="26">
        <v>582.45000000000005</v>
      </c>
      <c r="J406" s="27">
        <v>2.8</v>
      </c>
      <c r="M406" s="28">
        <f t="shared" si="21"/>
        <v>1630.86</v>
      </c>
      <c r="P406" s="27">
        <v>2.8</v>
      </c>
      <c r="S406" s="28">
        <f t="shared" si="22"/>
        <v>1630.86</v>
      </c>
      <c r="V406" s="9">
        <f t="shared" si="23"/>
        <v>2.33</v>
      </c>
      <c r="Y406" s="9">
        <f t="shared" si="20"/>
        <v>1359.05</v>
      </c>
      <c r="AD406" s="4" t="s">
        <v>1606</v>
      </c>
      <c r="AE406" s="4" t="s">
        <v>1607</v>
      </c>
      <c r="AF406" s="4" t="s">
        <v>1608</v>
      </c>
    </row>
    <row r="407" spans="1:35" ht="18" x14ac:dyDescent="0.3">
      <c r="A407" s="10" t="s">
        <v>1609</v>
      </c>
      <c r="B407" s="10"/>
      <c r="C407" s="24" t="s">
        <v>1610</v>
      </c>
      <c r="D407" s="15"/>
      <c r="E407" s="15"/>
      <c r="F407" s="25" t="s">
        <v>240</v>
      </c>
      <c r="G407" s="26">
        <v>6</v>
      </c>
      <c r="H407" s="26"/>
      <c r="I407" s="26">
        <v>2795.76</v>
      </c>
      <c r="J407" s="27">
        <v>0.9</v>
      </c>
      <c r="M407" s="28">
        <f t="shared" si="21"/>
        <v>2516.1799999999998</v>
      </c>
      <c r="P407" s="27">
        <v>0.9</v>
      </c>
      <c r="S407" s="28">
        <f t="shared" si="22"/>
        <v>2516.1799999999998</v>
      </c>
      <c r="V407" s="9">
        <f t="shared" si="23"/>
        <v>0.75</v>
      </c>
      <c r="Y407" s="9">
        <f t="shared" si="20"/>
        <v>2096.8200000000002</v>
      </c>
      <c r="AD407" s="4" t="s">
        <v>1611</v>
      </c>
      <c r="AE407" s="4" t="s">
        <v>1612</v>
      </c>
      <c r="AF407" s="4" t="s">
        <v>1613</v>
      </c>
    </row>
    <row r="408" spans="1:35" ht="36" x14ac:dyDescent="0.3">
      <c r="A408" s="10" t="s">
        <v>1614</v>
      </c>
      <c r="B408" s="10"/>
      <c r="C408" s="24" t="s">
        <v>480</v>
      </c>
      <c r="D408" s="15"/>
      <c r="E408" s="15"/>
      <c r="F408" s="25" t="s">
        <v>159</v>
      </c>
      <c r="G408" s="26">
        <v>0.1</v>
      </c>
      <c r="H408" s="26"/>
      <c r="I408" s="26">
        <v>46.595999999999997</v>
      </c>
      <c r="J408" s="27">
        <v>88.8</v>
      </c>
      <c r="M408" s="28">
        <f t="shared" si="21"/>
        <v>4137.72</v>
      </c>
      <c r="P408" s="27">
        <v>88.8</v>
      </c>
      <c r="S408" s="28">
        <f t="shared" si="22"/>
        <v>4137.72</v>
      </c>
      <c r="V408" s="9">
        <f t="shared" si="23"/>
        <v>74</v>
      </c>
      <c r="Y408" s="9">
        <f t="shared" si="20"/>
        <v>3448.1</v>
      </c>
      <c r="AD408" s="4" t="s">
        <v>1615</v>
      </c>
      <c r="AE408" s="4" t="s">
        <v>1616</v>
      </c>
      <c r="AF408" s="4" t="s">
        <v>483</v>
      </c>
    </row>
    <row r="409" spans="1:35" ht="54" x14ac:dyDescent="0.3">
      <c r="A409" s="10" t="s">
        <v>1617</v>
      </c>
      <c r="B409" s="10"/>
      <c r="C409" s="24" t="s">
        <v>1618</v>
      </c>
      <c r="D409" s="15"/>
      <c r="E409" s="15"/>
      <c r="F409" s="25" t="s">
        <v>75</v>
      </c>
      <c r="G409" s="26">
        <v>1.05</v>
      </c>
      <c r="H409" s="26"/>
      <c r="I409" s="26">
        <v>489.25799999999998</v>
      </c>
      <c r="J409" s="27">
        <v>135.53</v>
      </c>
      <c r="M409" s="28">
        <f t="shared" si="21"/>
        <v>66309.14</v>
      </c>
      <c r="P409" s="27">
        <v>135.53</v>
      </c>
      <c r="S409" s="28">
        <f t="shared" si="22"/>
        <v>66309.14</v>
      </c>
      <c r="V409" s="9">
        <f t="shared" si="23"/>
        <v>112.94</v>
      </c>
      <c r="Y409" s="9">
        <f t="shared" si="20"/>
        <v>55257.62</v>
      </c>
      <c r="AD409" s="4" t="s">
        <v>1619</v>
      </c>
      <c r="AE409" s="4" t="s">
        <v>1620</v>
      </c>
      <c r="AF409" s="4" t="s">
        <v>1621</v>
      </c>
    </row>
    <row r="410" spans="1:35" ht="18" x14ac:dyDescent="0.3">
      <c r="A410" s="10" t="s">
        <v>1622</v>
      </c>
      <c r="B410" s="10"/>
      <c r="C410" s="24" t="s">
        <v>1623</v>
      </c>
      <c r="D410" s="15"/>
      <c r="E410" s="15"/>
      <c r="F410" s="25" t="s">
        <v>240</v>
      </c>
      <c r="G410" s="26">
        <v>0.75</v>
      </c>
      <c r="H410" s="26"/>
      <c r="I410" s="26">
        <v>349.47</v>
      </c>
      <c r="J410" s="27">
        <v>2.8</v>
      </c>
      <c r="M410" s="28">
        <f t="shared" si="21"/>
        <v>978.52</v>
      </c>
      <c r="P410" s="27">
        <v>2.8</v>
      </c>
      <c r="S410" s="28">
        <f t="shared" si="22"/>
        <v>978.52</v>
      </c>
      <c r="V410" s="9">
        <f t="shared" si="23"/>
        <v>2.33</v>
      </c>
      <c r="Y410" s="9">
        <f t="shared" si="20"/>
        <v>815.43</v>
      </c>
      <c r="AD410" s="4" t="s">
        <v>1624</v>
      </c>
      <c r="AE410" s="4" t="s">
        <v>1625</v>
      </c>
      <c r="AF410" s="4" t="s">
        <v>1626</v>
      </c>
    </row>
    <row r="411" spans="1:35" ht="36" x14ac:dyDescent="0.3">
      <c r="A411" s="10" t="s">
        <v>1627</v>
      </c>
      <c r="B411" s="10" t="s">
        <v>1555</v>
      </c>
      <c r="C411" s="14" t="s">
        <v>1556</v>
      </c>
      <c r="D411" s="15"/>
      <c r="E411" s="15" t="s">
        <v>1628</v>
      </c>
      <c r="F411" s="15" t="s">
        <v>75</v>
      </c>
      <c r="G411" s="16">
        <v>1</v>
      </c>
      <c r="H411" s="16"/>
      <c r="I411" s="16">
        <v>108.96</v>
      </c>
      <c r="J411" s="17">
        <v>477.77</v>
      </c>
      <c r="K411" s="18">
        <v>1199</v>
      </c>
      <c r="L411" s="17">
        <f>J411+ROUND(K411, 2)</f>
        <v>1676.77</v>
      </c>
      <c r="M411" s="17">
        <v>52057.82</v>
      </c>
      <c r="N411" s="17">
        <v>130643.04</v>
      </c>
      <c r="O411" s="17">
        <f>M411+N411</f>
        <v>182700.86</v>
      </c>
      <c r="P411" s="17">
        <v>2255.5500000000002</v>
      </c>
      <c r="Q411" s="18">
        <v>1199</v>
      </c>
      <c r="R411" s="17">
        <f>P411+ROUND(Q411, 2)</f>
        <v>3454.55</v>
      </c>
      <c r="S411" s="17">
        <v>245764.73</v>
      </c>
      <c r="T411" s="17">
        <v>130643.04</v>
      </c>
      <c r="U411" s="17">
        <f>S411+T411</f>
        <v>376407.77</v>
      </c>
      <c r="V411" s="9">
        <f>ROUND(P411 / 1.2, 2)</f>
        <v>1879.63</v>
      </c>
      <c r="W411" s="9">
        <f>ROUND(Q411 / 1.2, 2)</f>
        <v>999.17</v>
      </c>
      <c r="X411" s="9">
        <f>ROUND(R411 / 1.2, 2)</f>
        <v>2878.79</v>
      </c>
      <c r="Y411" s="9">
        <f t="shared" si="20"/>
        <v>204803.94</v>
      </c>
      <c r="Z411" s="9">
        <f>ROUND(T411 / 1.2, 2)</f>
        <v>108869.2</v>
      </c>
      <c r="AA411" s="9">
        <f>Y411+Z411</f>
        <v>313673.14</v>
      </c>
      <c r="AD411" s="4">
        <v>339118946</v>
      </c>
      <c r="AE411" s="4">
        <v>25888000</v>
      </c>
      <c r="AG411" s="4" t="s">
        <v>1557</v>
      </c>
      <c r="AH411" s="4" t="s">
        <v>1558</v>
      </c>
      <c r="AI411" s="4" t="s">
        <v>156</v>
      </c>
    </row>
    <row r="412" spans="1:35" ht="18" x14ac:dyDescent="0.3">
      <c r="A412" s="10" t="s">
        <v>1629</v>
      </c>
      <c r="B412" s="10"/>
      <c r="C412" s="24" t="s">
        <v>1623</v>
      </c>
      <c r="D412" s="15"/>
      <c r="E412" s="15"/>
      <c r="F412" s="25" t="s">
        <v>240</v>
      </c>
      <c r="G412" s="26">
        <v>0.75</v>
      </c>
      <c r="H412" s="26"/>
      <c r="I412" s="26">
        <v>81.72</v>
      </c>
      <c r="J412" s="27">
        <v>2.8</v>
      </c>
      <c r="M412" s="28">
        <f t="shared" ref="M412:M425" si="24">ROUND(ROUND(J412, 2)*I412, 2)</f>
        <v>228.82</v>
      </c>
      <c r="P412" s="27">
        <v>2.8</v>
      </c>
      <c r="S412" s="28">
        <f t="shared" ref="S412:S425" si="25">ROUND(ROUND(P412, 2)*I412, 2)</f>
        <v>228.82</v>
      </c>
      <c r="V412" s="9">
        <f t="shared" ref="V412:V425" si="26">ROUND(ROUND(P412, 2)/1.2, 2)</f>
        <v>2.33</v>
      </c>
      <c r="Y412" s="9">
        <f t="shared" si="20"/>
        <v>190.68</v>
      </c>
      <c r="AD412" s="4" t="s">
        <v>1630</v>
      </c>
      <c r="AE412" s="4" t="s">
        <v>1631</v>
      </c>
      <c r="AF412" s="4" t="s">
        <v>1626</v>
      </c>
    </row>
    <row r="413" spans="1:35" ht="36" x14ac:dyDescent="0.3">
      <c r="A413" s="10" t="s">
        <v>1632</v>
      </c>
      <c r="B413" s="10"/>
      <c r="C413" s="24" t="s">
        <v>480</v>
      </c>
      <c r="D413" s="15"/>
      <c r="E413" s="15"/>
      <c r="F413" s="25" t="s">
        <v>159</v>
      </c>
      <c r="G413" s="26">
        <v>0.1</v>
      </c>
      <c r="H413" s="26"/>
      <c r="I413" s="26">
        <v>10.896000000000001</v>
      </c>
      <c r="J413" s="27">
        <v>88.8</v>
      </c>
      <c r="M413" s="28">
        <f t="shared" si="24"/>
        <v>967.56</v>
      </c>
      <c r="P413" s="27">
        <v>88.8</v>
      </c>
      <c r="S413" s="28">
        <f t="shared" si="25"/>
        <v>967.56</v>
      </c>
      <c r="V413" s="9">
        <f t="shared" si="26"/>
        <v>74</v>
      </c>
      <c r="Y413" s="9">
        <f t="shared" si="20"/>
        <v>806.3</v>
      </c>
      <c r="AD413" s="4" t="s">
        <v>1633</v>
      </c>
      <c r="AE413" s="4" t="s">
        <v>1634</v>
      </c>
      <c r="AF413" s="4" t="s">
        <v>483</v>
      </c>
    </row>
    <row r="414" spans="1:35" ht="18" x14ac:dyDescent="0.3">
      <c r="A414" s="10" t="s">
        <v>1635</v>
      </c>
      <c r="B414" s="10"/>
      <c r="C414" s="24" t="s">
        <v>1610</v>
      </c>
      <c r="D414" s="15"/>
      <c r="E414" s="15"/>
      <c r="F414" s="25" t="s">
        <v>240</v>
      </c>
      <c r="G414" s="26">
        <v>6</v>
      </c>
      <c r="H414" s="26"/>
      <c r="I414" s="26">
        <v>653.76</v>
      </c>
      <c r="J414" s="27">
        <v>0.9</v>
      </c>
      <c r="M414" s="28">
        <f t="shared" si="24"/>
        <v>588.38</v>
      </c>
      <c r="P414" s="27">
        <v>0.9</v>
      </c>
      <c r="S414" s="28">
        <f t="shared" si="25"/>
        <v>588.38</v>
      </c>
      <c r="V414" s="9">
        <f t="shared" si="26"/>
        <v>0.75</v>
      </c>
      <c r="Y414" s="9">
        <f t="shared" si="20"/>
        <v>490.32</v>
      </c>
      <c r="AD414" s="4" t="s">
        <v>1636</v>
      </c>
      <c r="AE414" s="4" t="s">
        <v>1637</v>
      </c>
      <c r="AF414" s="4" t="s">
        <v>1613</v>
      </c>
    </row>
    <row r="415" spans="1:35" ht="18" x14ac:dyDescent="0.3">
      <c r="A415" s="10" t="s">
        <v>1638</v>
      </c>
      <c r="B415" s="10"/>
      <c r="C415" s="24" t="s">
        <v>1605</v>
      </c>
      <c r="D415" s="15"/>
      <c r="E415" s="15"/>
      <c r="F415" s="25" t="s">
        <v>120</v>
      </c>
      <c r="G415" s="26">
        <v>1.25</v>
      </c>
      <c r="H415" s="26"/>
      <c r="I415" s="26">
        <v>136.19999999999999</v>
      </c>
      <c r="J415" s="27">
        <v>2.8</v>
      </c>
      <c r="M415" s="28">
        <f t="shared" si="24"/>
        <v>381.36</v>
      </c>
      <c r="P415" s="27">
        <v>2.8</v>
      </c>
      <c r="S415" s="28">
        <f t="shared" si="25"/>
        <v>381.36</v>
      </c>
      <c r="V415" s="9">
        <f t="shared" si="26"/>
        <v>2.33</v>
      </c>
      <c r="Y415" s="9">
        <f t="shared" si="20"/>
        <v>317.8</v>
      </c>
      <c r="AD415" s="4" t="s">
        <v>1639</v>
      </c>
      <c r="AE415" s="4" t="s">
        <v>1640</v>
      </c>
      <c r="AF415" s="4" t="s">
        <v>1608</v>
      </c>
    </row>
    <row r="416" spans="1:35" ht="18" x14ac:dyDescent="0.3">
      <c r="A416" s="10" t="s">
        <v>1641</v>
      </c>
      <c r="B416" s="10"/>
      <c r="C416" s="24" t="s">
        <v>1600</v>
      </c>
      <c r="D416" s="15"/>
      <c r="E416" s="15"/>
      <c r="F416" s="25" t="s">
        <v>120</v>
      </c>
      <c r="G416" s="26">
        <v>1.05</v>
      </c>
      <c r="H416" s="26"/>
      <c r="I416" s="26">
        <v>114.408</v>
      </c>
      <c r="J416" s="27">
        <v>4.5999999999999996</v>
      </c>
      <c r="M416" s="28">
        <f t="shared" si="24"/>
        <v>526.28</v>
      </c>
      <c r="P416" s="27">
        <v>4.5999999999999996</v>
      </c>
      <c r="S416" s="28">
        <f t="shared" si="25"/>
        <v>526.28</v>
      </c>
      <c r="V416" s="9">
        <f t="shared" si="26"/>
        <v>3.83</v>
      </c>
      <c r="Y416" s="9">
        <f t="shared" si="20"/>
        <v>438.57</v>
      </c>
      <c r="AD416" s="4" t="s">
        <v>1642</v>
      </c>
      <c r="AE416" s="4" t="s">
        <v>1643</v>
      </c>
      <c r="AF416" s="4" t="s">
        <v>1603</v>
      </c>
    </row>
    <row r="417" spans="1:35" ht="36" x14ac:dyDescent="0.3">
      <c r="A417" s="10" t="s">
        <v>1644</v>
      </c>
      <c r="B417" s="10"/>
      <c r="C417" s="24" t="s">
        <v>1645</v>
      </c>
      <c r="D417" s="15"/>
      <c r="E417" s="15"/>
      <c r="F417" s="25" t="s">
        <v>75</v>
      </c>
      <c r="G417" s="26">
        <v>1.05</v>
      </c>
      <c r="H417" s="26"/>
      <c r="I417" s="26">
        <v>114.408</v>
      </c>
      <c r="J417" s="27">
        <v>0</v>
      </c>
      <c r="M417" s="28">
        <f t="shared" si="24"/>
        <v>0</v>
      </c>
      <c r="P417" s="27">
        <v>1255.04</v>
      </c>
      <c r="S417" s="28">
        <f t="shared" si="25"/>
        <v>143586.62</v>
      </c>
      <c r="V417" s="9">
        <f t="shared" si="26"/>
        <v>1045.8699999999999</v>
      </c>
      <c r="Y417" s="9">
        <f t="shared" si="20"/>
        <v>119655.52</v>
      </c>
      <c r="AD417" s="4" t="s">
        <v>1646</v>
      </c>
      <c r="AE417" s="4" t="s">
        <v>1647</v>
      </c>
      <c r="AF417" s="4" t="s">
        <v>1648</v>
      </c>
    </row>
    <row r="418" spans="1:35" ht="18" x14ac:dyDescent="0.3">
      <c r="A418" s="10" t="s">
        <v>1649</v>
      </c>
      <c r="B418" s="10"/>
      <c r="C418" s="30" t="s">
        <v>1595</v>
      </c>
      <c r="D418" s="15"/>
      <c r="E418" s="15"/>
      <c r="F418" s="25" t="s">
        <v>240</v>
      </c>
      <c r="G418" s="26">
        <v>4.2</v>
      </c>
      <c r="H418" s="26"/>
      <c r="I418" s="26">
        <v>457.63200000000001</v>
      </c>
      <c r="J418" s="27">
        <v>5.41</v>
      </c>
      <c r="M418" s="28">
        <f t="shared" si="24"/>
        <v>2475.79</v>
      </c>
      <c r="P418" s="27">
        <v>5.41</v>
      </c>
      <c r="S418" s="28">
        <f t="shared" si="25"/>
        <v>2475.79</v>
      </c>
      <c r="V418" s="9">
        <f t="shared" si="26"/>
        <v>4.51</v>
      </c>
      <c r="Y418" s="9">
        <f t="shared" si="20"/>
        <v>2063.16</v>
      </c>
      <c r="AD418" s="4" t="s">
        <v>1650</v>
      </c>
      <c r="AE418" s="4" t="s">
        <v>1651</v>
      </c>
      <c r="AF418" s="4" t="s">
        <v>1598</v>
      </c>
    </row>
    <row r="419" spans="1:35" ht="18" x14ac:dyDescent="0.3">
      <c r="A419" s="10" t="s">
        <v>1652</v>
      </c>
      <c r="B419" s="10"/>
      <c r="C419" s="24" t="s">
        <v>1653</v>
      </c>
      <c r="D419" s="15"/>
      <c r="E419" s="15"/>
      <c r="F419" s="25" t="s">
        <v>120</v>
      </c>
      <c r="G419" s="26">
        <v>0.3</v>
      </c>
      <c r="H419" s="26"/>
      <c r="I419" s="26">
        <v>32.688000000000002</v>
      </c>
      <c r="J419" s="27">
        <v>49.04</v>
      </c>
      <c r="M419" s="28">
        <f t="shared" si="24"/>
        <v>1603.02</v>
      </c>
      <c r="P419" s="27">
        <v>49.04</v>
      </c>
      <c r="S419" s="28">
        <f t="shared" si="25"/>
        <v>1603.02</v>
      </c>
      <c r="V419" s="9">
        <f t="shared" si="26"/>
        <v>40.869999999999997</v>
      </c>
      <c r="Y419" s="9">
        <f t="shared" si="20"/>
        <v>1335.85</v>
      </c>
      <c r="AD419" s="4" t="s">
        <v>1654</v>
      </c>
      <c r="AE419" s="4" t="s">
        <v>1655</v>
      </c>
      <c r="AF419" s="4" t="s">
        <v>1656</v>
      </c>
    </row>
    <row r="420" spans="1:35" ht="18" x14ac:dyDescent="0.3">
      <c r="A420" s="10" t="s">
        <v>1657</v>
      </c>
      <c r="B420" s="10"/>
      <c r="C420" s="24" t="s">
        <v>1590</v>
      </c>
      <c r="D420" s="15"/>
      <c r="E420" s="15" t="s">
        <v>1658</v>
      </c>
      <c r="F420" s="25" t="s">
        <v>120</v>
      </c>
      <c r="G420" s="26">
        <v>4.7</v>
      </c>
      <c r="H420" s="26"/>
      <c r="I420" s="26">
        <v>512.11199999999997</v>
      </c>
      <c r="J420" s="27">
        <v>66.98</v>
      </c>
      <c r="M420" s="28">
        <f t="shared" si="24"/>
        <v>34301.26</v>
      </c>
      <c r="P420" s="27">
        <v>164.85</v>
      </c>
      <c r="S420" s="28">
        <f t="shared" si="25"/>
        <v>84421.66</v>
      </c>
      <c r="V420" s="9">
        <f t="shared" si="26"/>
        <v>137.38</v>
      </c>
      <c r="Y420" s="9">
        <f t="shared" si="20"/>
        <v>70351.38</v>
      </c>
      <c r="AD420" s="4" t="s">
        <v>1659</v>
      </c>
      <c r="AE420" s="4" t="s">
        <v>1660</v>
      </c>
      <c r="AF420" s="4" t="s">
        <v>1593</v>
      </c>
    </row>
    <row r="421" spans="1:35" ht="36" x14ac:dyDescent="0.3">
      <c r="A421" s="10" t="s">
        <v>1661</v>
      </c>
      <c r="B421" s="10"/>
      <c r="C421" s="30" t="s">
        <v>1580</v>
      </c>
      <c r="D421" s="15"/>
      <c r="E421" s="15"/>
      <c r="F421" s="25" t="s">
        <v>240</v>
      </c>
      <c r="G421" s="26">
        <v>3.6</v>
      </c>
      <c r="H421" s="26"/>
      <c r="I421" s="26">
        <v>392.25599999999997</v>
      </c>
      <c r="J421" s="27">
        <v>15.9</v>
      </c>
      <c r="M421" s="28">
        <f t="shared" si="24"/>
        <v>6236.87</v>
      </c>
      <c r="P421" s="27">
        <v>15.9</v>
      </c>
      <c r="S421" s="28">
        <f t="shared" si="25"/>
        <v>6236.87</v>
      </c>
      <c r="V421" s="9">
        <f t="shared" si="26"/>
        <v>13.25</v>
      </c>
      <c r="Y421" s="9">
        <f t="shared" si="20"/>
        <v>5197.3900000000003</v>
      </c>
      <c r="AD421" s="4" t="s">
        <v>1662</v>
      </c>
      <c r="AE421" s="4" t="s">
        <v>1663</v>
      </c>
      <c r="AF421" s="4" t="s">
        <v>1583</v>
      </c>
    </row>
    <row r="422" spans="1:35" ht="18" x14ac:dyDescent="0.3">
      <c r="A422" s="10" t="s">
        <v>1664</v>
      </c>
      <c r="B422" s="10"/>
      <c r="C422" s="24" t="s">
        <v>1575</v>
      </c>
      <c r="D422" s="15"/>
      <c r="E422" s="15"/>
      <c r="F422" s="25" t="s">
        <v>240</v>
      </c>
      <c r="G422" s="26">
        <v>0.3</v>
      </c>
      <c r="H422" s="26"/>
      <c r="I422" s="26">
        <v>32.688000000000002</v>
      </c>
      <c r="J422" s="27">
        <v>5.6</v>
      </c>
      <c r="M422" s="28">
        <f t="shared" si="24"/>
        <v>183.05</v>
      </c>
      <c r="P422" s="27">
        <v>5.6</v>
      </c>
      <c r="S422" s="28">
        <f t="shared" si="25"/>
        <v>183.05</v>
      </c>
      <c r="V422" s="9">
        <f t="shared" si="26"/>
        <v>4.67</v>
      </c>
      <c r="Y422" s="9">
        <f t="shared" si="20"/>
        <v>152.54</v>
      </c>
      <c r="AD422" s="4" t="s">
        <v>1665</v>
      </c>
      <c r="AE422" s="4" t="s">
        <v>1666</v>
      </c>
      <c r="AF422" s="4" t="s">
        <v>1578</v>
      </c>
    </row>
    <row r="423" spans="1:35" ht="18" x14ac:dyDescent="0.3">
      <c r="A423" s="10" t="s">
        <v>1667</v>
      </c>
      <c r="B423" s="10"/>
      <c r="C423" s="24" t="s">
        <v>1570</v>
      </c>
      <c r="D423" s="15"/>
      <c r="E423" s="15"/>
      <c r="F423" s="25" t="s">
        <v>159</v>
      </c>
      <c r="G423" s="26">
        <v>0.35</v>
      </c>
      <c r="H423" s="26"/>
      <c r="I423" s="26">
        <v>38.136000000000003</v>
      </c>
      <c r="J423" s="27">
        <v>55</v>
      </c>
      <c r="M423" s="28">
        <f t="shared" si="24"/>
        <v>2097.48</v>
      </c>
      <c r="P423" s="27">
        <v>55</v>
      </c>
      <c r="S423" s="28">
        <f t="shared" si="25"/>
        <v>2097.48</v>
      </c>
      <c r="V423" s="9">
        <f t="shared" si="26"/>
        <v>45.83</v>
      </c>
      <c r="Y423" s="9">
        <f t="shared" si="20"/>
        <v>1747.9</v>
      </c>
      <c r="AD423" s="4" t="s">
        <v>1668</v>
      </c>
      <c r="AE423" s="4" t="s">
        <v>1669</v>
      </c>
      <c r="AF423" s="4" t="s">
        <v>1573</v>
      </c>
    </row>
    <row r="424" spans="1:35" ht="18" x14ac:dyDescent="0.3">
      <c r="A424" s="10" t="s">
        <v>1670</v>
      </c>
      <c r="B424" s="10"/>
      <c r="C424" s="24" t="s">
        <v>1565</v>
      </c>
      <c r="D424" s="15"/>
      <c r="E424" s="15"/>
      <c r="F424" s="25" t="s">
        <v>240</v>
      </c>
      <c r="G424" s="26">
        <v>30</v>
      </c>
      <c r="H424" s="26"/>
      <c r="I424" s="26">
        <v>3268.8</v>
      </c>
      <c r="J424" s="27">
        <v>0.28000000000000003</v>
      </c>
      <c r="M424" s="28">
        <f t="shared" si="24"/>
        <v>915.26</v>
      </c>
      <c r="P424" s="27">
        <v>0.28000000000000003</v>
      </c>
      <c r="S424" s="28">
        <f t="shared" si="25"/>
        <v>915.26</v>
      </c>
      <c r="V424" s="9">
        <f t="shared" si="26"/>
        <v>0.23</v>
      </c>
      <c r="Y424" s="9">
        <f t="shared" si="20"/>
        <v>762.72</v>
      </c>
      <c r="AD424" s="4" t="s">
        <v>1671</v>
      </c>
      <c r="AE424" s="4" t="s">
        <v>1672</v>
      </c>
      <c r="AF424" s="4" t="s">
        <v>1568</v>
      </c>
    </row>
    <row r="425" spans="1:35" ht="18" x14ac:dyDescent="0.3">
      <c r="A425" s="10" t="s">
        <v>1673</v>
      </c>
      <c r="B425" s="10"/>
      <c r="C425" s="24" t="s">
        <v>1560</v>
      </c>
      <c r="D425" s="15"/>
      <c r="E425" s="15"/>
      <c r="F425" s="25" t="s">
        <v>240</v>
      </c>
      <c r="G425" s="26">
        <v>15</v>
      </c>
      <c r="H425" s="26"/>
      <c r="I425" s="26">
        <v>1634.4</v>
      </c>
      <c r="J425" s="27">
        <v>0.95</v>
      </c>
      <c r="M425" s="28">
        <f t="shared" si="24"/>
        <v>1552.68</v>
      </c>
      <c r="P425" s="27">
        <v>0.95</v>
      </c>
      <c r="S425" s="28">
        <f t="shared" si="25"/>
        <v>1552.68</v>
      </c>
      <c r="V425" s="9">
        <f t="shared" si="26"/>
        <v>0.79</v>
      </c>
      <c r="Y425" s="9">
        <f t="shared" si="20"/>
        <v>1293.9000000000001</v>
      </c>
      <c r="AD425" s="4" t="s">
        <v>1674</v>
      </c>
      <c r="AE425" s="4" t="s">
        <v>1675</v>
      </c>
      <c r="AF425" s="4" t="s">
        <v>1563</v>
      </c>
    </row>
    <row r="426" spans="1:35" ht="36" x14ac:dyDescent="0.3">
      <c r="A426" s="10" t="s">
        <v>1676</v>
      </c>
      <c r="B426" s="10" t="s">
        <v>1677</v>
      </c>
      <c r="C426" s="14" t="s">
        <v>1678</v>
      </c>
      <c r="D426" s="15"/>
      <c r="E426" s="15" t="s">
        <v>1679</v>
      </c>
      <c r="F426" s="15" t="s">
        <v>75</v>
      </c>
      <c r="G426" s="16">
        <v>1</v>
      </c>
      <c r="H426" s="16"/>
      <c r="I426" s="16">
        <v>2022.87</v>
      </c>
      <c r="J426" s="17">
        <v>0</v>
      </c>
      <c r="K426" s="18">
        <v>1499</v>
      </c>
      <c r="L426" s="17">
        <f>J426+ROUND(K426, 2)</f>
        <v>1499</v>
      </c>
      <c r="M426" s="17">
        <v>0</v>
      </c>
      <c r="N426" s="17">
        <v>3032282.13</v>
      </c>
      <c r="O426" s="17">
        <f>M426+N426</f>
        <v>3032282.13</v>
      </c>
      <c r="P426" s="17">
        <v>491.29</v>
      </c>
      <c r="Q426" s="18">
        <v>1499</v>
      </c>
      <c r="R426" s="17">
        <f>P426+ROUND(Q426, 2)</f>
        <v>1990.29</v>
      </c>
      <c r="S426" s="17">
        <v>993815.8</v>
      </c>
      <c r="T426" s="17">
        <v>3032282.13</v>
      </c>
      <c r="U426" s="17">
        <f>S426+T426</f>
        <v>4026097.9299999997</v>
      </c>
      <c r="V426" s="9">
        <f>ROUND(P426 / 1.2, 2)</f>
        <v>409.41</v>
      </c>
      <c r="W426" s="9">
        <f>ROUND(Q426 / 1.2, 2)</f>
        <v>1249.17</v>
      </c>
      <c r="X426" s="9">
        <f>ROUND(R426 / 1.2, 2)</f>
        <v>1658.58</v>
      </c>
      <c r="Y426" s="9">
        <f t="shared" si="20"/>
        <v>828179.83</v>
      </c>
      <c r="Z426" s="9">
        <f>ROUND(T426 / 1.2, 2)</f>
        <v>2526901.7799999998</v>
      </c>
      <c r="AA426" s="9">
        <f>Y426+Z426</f>
        <v>3355081.61</v>
      </c>
      <c r="AD426" s="4">
        <v>339118886</v>
      </c>
      <c r="AE426" s="4">
        <v>25887994</v>
      </c>
      <c r="AG426" s="4" t="s">
        <v>1680</v>
      </c>
      <c r="AH426" s="4" t="s">
        <v>1681</v>
      </c>
      <c r="AI426" s="4" t="s">
        <v>156</v>
      </c>
    </row>
    <row r="427" spans="1:35" ht="102" customHeight="1" x14ac:dyDescent="0.3">
      <c r="A427" s="10" t="s">
        <v>1682</v>
      </c>
      <c r="B427" s="10"/>
      <c r="C427" s="24" t="s">
        <v>1683</v>
      </c>
      <c r="D427" s="15"/>
      <c r="E427" s="15" t="s">
        <v>1684</v>
      </c>
      <c r="F427" s="25" t="s">
        <v>75</v>
      </c>
      <c r="G427" s="26">
        <v>1</v>
      </c>
      <c r="H427" s="26"/>
      <c r="I427" s="26">
        <v>2022.87</v>
      </c>
      <c r="J427" s="27">
        <v>0</v>
      </c>
      <c r="M427" s="28">
        <f>ROUND(ROUND(J427, 2)*I427, 2)</f>
        <v>0</v>
      </c>
      <c r="P427" s="27">
        <v>491.29</v>
      </c>
      <c r="S427" s="28">
        <f>ROUND(ROUND(P427, 2)*I427, 2)</f>
        <v>993815.8</v>
      </c>
      <c r="V427" s="9">
        <f>ROUND(ROUND(P427, 2)/1.2, 2)</f>
        <v>409.41</v>
      </c>
      <c r="Y427" s="9">
        <f t="shared" si="20"/>
        <v>828179.83</v>
      </c>
      <c r="AD427" s="4" t="s">
        <v>1685</v>
      </c>
      <c r="AE427" s="4" t="s">
        <v>1686</v>
      </c>
      <c r="AF427" s="4" t="s">
        <v>1687</v>
      </c>
    </row>
    <row r="428" spans="1:35" ht="36" x14ac:dyDescent="0.3">
      <c r="A428" s="10" t="s">
        <v>1688</v>
      </c>
      <c r="B428" s="10" t="s">
        <v>1677</v>
      </c>
      <c r="C428" s="14" t="s">
        <v>1678</v>
      </c>
      <c r="D428" s="15"/>
      <c r="E428" s="15" t="s">
        <v>1689</v>
      </c>
      <c r="F428" s="15" t="s">
        <v>75</v>
      </c>
      <c r="G428" s="16">
        <v>1</v>
      </c>
      <c r="H428" s="16"/>
      <c r="I428" s="16">
        <v>2125.83</v>
      </c>
      <c r="J428" s="17">
        <v>0</v>
      </c>
      <c r="K428" s="18">
        <v>1499</v>
      </c>
      <c r="L428" s="17">
        <f>J428+ROUND(K428, 2)</f>
        <v>1499</v>
      </c>
      <c r="M428" s="17">
        <v>0</v>
      </c>
      <c r="N428" s="17">
        <v>3186619.17</v>
      </c>
      <c r="O428" s="17">
        <f>M428+N428</f>
        <v>3186619.17</v>
      </c>
      <c r="P428" s="17">
        <v>2784.75</v>
      </c>
      <c r="Q428" s="18">
        <v>1499</v>
      </c>
      <c r="R428" s="17">
        <f>P428+ROUND(Q428, 2)</f>
        <v>4283.75</v>
      </c>
      <c r="S428" s="17">
        <v>5919905.0899999999</v>
      </c>
      <c r="T428" s="17">
        <v>3186619.17</v>
      </c>
      <c r="U428" s="17">
        <f>S428+T428</f>
        <v>9106524.2599999998</v>
      </c>
      <c r="V428" s="9">
        <f>ROUND(P428 / 1.2, 2)</f>
        <v>2320.63</v>
      </c>
      <c r="W428" s="9">
        <f>ROUND(Q428 / 1.2, 2)</f>
        <v>1249.17</v>
      </c>
      <c r="X428" s="9">
        <f>ROUND(R428 / 1.2, 2)</f>
        <v>3569.79</v>
      </c>
      <c r="Y428" s="9">
        <f t="shared" si="20"/>
        <v>4933254.24</v>
      </c>
      <c r="Z428" s="9">
        <f>ROUND(T428 / 1.2, 2)</f>
        <v>2655515.98</v>
      </c>
      <c r="AA428" s="9">
        <f>Y428+Z428</f>
        <v>7588770.2200000007</v>
      </c>
      <c r="AD428" s="4">
        <v>339118947</v>
      </c>
      <c r="AE428" s="4">
        <v>25888029</v>
      </c>
      <c r="AG428" s="4" t="s">
        <v>1680</v>
      </c>
      <c r="AH428" s="4" t="s">
        <v>1681</v>
      </c>
      <c r="AI428" s="4" t="s">
        <v>156</v>
      </c>
    </row>
    <row r="429" spans="1:35" ht="112.5" customHeight="1" x14ac:dyDescent="0.3">
      <c r="A429" s="10" t="s">
        <v>1690</v>
      </c>
      <c r="B429" s="10"/>
      <c r="C429" s="24" t="s">
        <v>1683</v>
      </c>
      <c r="D429" s="15"/>
      <c r="E429" s="15" t="s">
        <v>1691</v>
      </c>
      <c r="F429" s="25" t="s">
        <v>75</v>
      </c>
      <c r="G429" s="26">
        <v>1</v>
      </c>
      <c r="H429" s="26"/>
      <c r="I429" s="26">
        <v>2125.83</v>
      </c>
      <c r="J429" s="27">
        <v>0</v>
      </c>
      <c r="M429" s="28">
        <f>ROUND(ROUND(J429, 2)*I429, 2)</f>
        <v>0</v>
      </c>
      <c r="P429" s="27">
        <v>2784.75</v>
      </c>
      <c r="S429" s="28">
        <f>ROUND(ROUND(P429, 2)*I429, 2)</f>
        <v>5919905.0899999999</v>
      </c>
      <c r="V429" s="9">
        <f>ROUND(ROUND(P429, 2)/1.2, 2)</f>
        <v>2320.63</v>
      </c>
      <c r="Y429" s="9">
        <f t="shared" si="20"/>
        <v>4933254.24</v>
      </c>
      <c r="AD429" s="4" t="s">
        <v>1692</v>
      </c>
      <c r="AE429" s="4" t="s">
        <v>1693</v>
      </c>
      <c r="AF429" s="4" t="s">
        <v>1687</v>
      </c>
    </row>
    <row r="430" spans="1:35" ht="36" x14ac:dyDescent="0.3">
      <c r="A430" s="10" t="s">
        <v>1694</v>
      </c>
      <c r="B430" s="10" t="s">
        <v>1695</v>
      </c>
      <c r="C430" s="14" t="s">
        <v>1696</v>
      </c>
      <c r="D430" s="15"/>
      <c r="E430" s="15" t="s">
        <v>1697</v>
      </c>
      <c r="F430" s="15" t="s">
        <v>75</v>
      </c>
      <c r="G430" s="16">
        <v>1</v>
      </c>
      <c r="H430" s="16"/>
      <c r="I430" s="16">
        <v>220.44</v>
      </c>
      <c r="J430" s="17">
        <v>0</v>
      </c>
      <c r="K430" s="18">
        <v>1312</v>
      </c>
      <c r="L430" s="17">
        <f>J430+ROUND(K430, 2)</f>
        <v>1312</v>
      </c>
      <c r="M430" s="17">
        <v>0</v>
      </c>
      <c r="N430" s="17">
        <v>289217.28000000003</v>
      </c>
      <c r="O430" s="17">
        <f>M430+N430</f>
        <v>289217.28000000003</v>
      </c>
      <c r="P430" s="17">
        <v>1289.0999999999999</v>
      </c>
      <c r="Q430" s="18">
        <v>1312</v>
      </c>
      <c r="R430" s="17">
        <f>P430+ROUND(Q430, 2)</f>
        <v>2601.1</v>
      </c>
      <c r="S430" s="17">
        <v>284169.2</v>
      </c>
      <c r="T430" s="17">
        <v>289217.28000000003</v>
      </c>
      <c r="U430" s="17">
        <f>S430+T430</f>
        <v>573386.48</v>
      </c>
      <c r="V430" s="9">
        <f>ROUND(P430 / 1.2, 2)</f>
        <v>1074.25</v>
      </c>
      <c r="W430" s="9">
        <f>ROUND(Q430 / 1.2, 2)</f>
        <v>1093.33</v>
      </c>
      <c r="X430" s="9">
        <f>ROUND(R430 / 1.2, 2)</f>
        <v>2167.58</v>
      </c>
      <c r="Y430" s="9">
        <f t="shared" si="20"/>
        <v>236807.67</v>
      </c>
      <c r="Z430" s="9">
        <f>ROUND(T430 / 1.2, 2)</f>
        <v>241014.39999999999</v>
      </c>
      <c r="AA430" s="9">
        <f>Y430+Z430</f>
        <v>477822.07</v>
      </c>
      <c r="AD430" s="4">
        <v>339118887</v>
      </c>
      <c r="AE430" s="4">
        <v>25888022</v>
      </c>
      <c r="AG430" s="4" t="s">
        <v>1698</v>
      </c>
      <c r="AH430" s="4" t="s">
        <v>1699</v>
      </c>
      <c r="AI430" s="4" t="s">
        <v>156</v>
      </c>
    </row>
    <row r="431" spans="1:35" ht="97.5" customHeight="1" x14ac:dyDescent="0.3">
      <c r="A431" s="10" t="s">
        <v>1700</v>
      </c>
      <c r="B431" s="10"/>
      <c r="C431" s="24" t="s">
        <v>1701</v>
      </c>
      <c r="D431" s="15"/>
      <c r="E431" s="15" t="s">
        <v>1702</v>
      </c>
      <c r="F431" s="25" t="s">
        <v>75</v>
      </c>
      <c r="G431" s="26">
        <v>1</v>
      </c>
      <c r="H431" s="32"/>
      <c r="I431" s="32">
        <v>243</v>
      </c>
      <c r="J431" s="27">
        <v>0</v>
      </c>
      <c r="M431" s="28">
        <f>ROUND(ROUND(J431, 2)*I431, 2)</f>
        <v>0</v>
      </c>
      <c r="P431" s="27">
        <v>1169.42</v>
      </c>
      <c r="S431" s="28">
        <f>ROUND(ROUND(P431, 2)*I431, 2)</f>
        <v>284169.06</v>
      </c>
      <c r="V431" s="9">
        <f>ROUND(ROUND(P431, 2)/1.2, 2)</f>
        <v>974.52</v>
      </c>
      <c r="Y431" s="9">
        <f t="shared" si="20"/>
        <v>236807.55</v>
      </c>
      <c r="AD431" s="4" t="s">
        <v>1703</v>
      </c>
      <c r="AE431" s="4" t="s">
        <v>1704</v>
      </c>
      <c r="AF431" s="4" t="s">
        <v>1705</v>
      </c>
    </row>
    <row r="432" spans="1:35" ht="54" x14ac:dyDescent="0.3">
      <c r="A432" s="10" t="s">
        <v>1706</v>
      </c>
      <c r="B432" s="10" t="s">
        <v>1707</v>
      </c>
      <c r="C432" s="14" t="s">
        <v>1708</v>
      </c>
      <c r="D432" s="15"/>
      <c r="E432" s="15" t="s">
        <v>1454</v>
      </c>
      <c r="F432" s="15" t="s">
        <v>75</v>
      </c>
      <c r="G432" s="16">
        <v>1</v>
      </c>
      <c r="H432" s="16"/>
      <c r="I432" s="16">
        <v>259.14</v>
      </c>
      <c r="J432" s="17">
        <v>0</v>
      </c>
      <c r="K432" s="18">
        <v>121</v>
      </c>
      <c r="L432" s="17">
        <f t="shared" ref="L432:L439" si="27">J432+ROUND(K432, 2)</f>
        <v>121</v>
      </c>
      <c r="M432" s="17">
        <v>0</v>
      </c>
      <c r="N432" s="17">
        <v>31355.94</v>
      </c>
      <c r="O432" s="17">
        <f t="shared" ref="O432:O439" si="28">M432+N432</f>
        <v>31355.94</v>
      </c>
      <c r="P432" s="17">
        <v>0</v>
      </c>
      <c r="Q432" s="18">
        <v>121</v>
      </c>
      <c r="R432" s="17">
        <f t="shared" ref="R432:R439" si="29">P432+ROUND(Q432, 2)</f>
        <v>121</v>
      </c>
      <c r="S432" s="17">
        <v>0</v>
      </c>
      <c r="T432" s="17">
        <v>31355.94</v>
      </c>
      <c r="U432" s="17">
        <f t="shared" ref="U432:U439" si="30">S432+T432</f>
        <v>31355.94</v>
      </c>
      <c r="V432" s="9"/>
      <c r="W432" s="9">
        <f t="shared" ref="W432:Y447" si="31">ROUND(Q432 / 1.2, 2)</f>
        <v>100.83</v>
      </c>
      <c r="X432" s="9">
        <f t="shared" si="31"/>
        <v>100.83</v>
      </c>
      <c r="Y432" s="9"/>
      <c r="Z432" s="9">
        <f t="shared" ref="Z432:Z439" si="32">ROUND(T432 / 1.2, 2)</f>
        <v>26129.95</v>
      </c>
      <c r="AA432" s="9">
        <f t="shared" ref="AA432:AA439" si="33">Y432+Z432</f>
        <v>26129.95</v>
      </c>
      <c r="AD432" s="4">
        <v>339118889</v>
      </c>
      <c r="AE432" s="4">
        <v>25888032</v>
      </c>
      <c r="AG432" s="4" t="s">
        <v>1709</v>
      </c>
      <c r="AH432" s="4" t="s">
        <v>1710</v>
      </c>
      <c r="AI432" s="4" t="s">
        <v>156</v>
      </c>
    </row>
    <row r="433" spans="1:35" ht="54" x14ac:dyDescent="0.3">
      <c r="A433" s="10" t="s">
        <v>1711</v>
      </c>
      <c r="B433" s="10" t="s">
        <v>1707</v>
      </c>
      <c r="C433" s="14" t="s">
        <v>1708</v>
      </c>
      <c r="D433" s="15"/>
      <c r="E433" s="15" t="s">
        <v>1697</v>
      </c>
      <c r="F433" s="15" t="s">
        <v>75</v>
      </c>
      <c r="G433" s="16">
        <v>1</v>
      </c>
      <c r="H433" s="16"/>
      <c r="I433" s="16">
        <v>220.44</v>
      </c>
      <c r="J433" s="17">
        <v>0</v>
      </c>
      <c r="K433" s="18">
        <v>121</v>
      </c>
      <c r="L433" s="17">
        <f t="shared" si="27"/>
        <v>121</v>
      </c>
      <c r="M433" s="17">
        <v>0</v>
      </c>
      <c r="N433" s="17">
        <v>26673.24</v>
      </c>
      <c r="O433" s="17">
        <f t="shared" si="28"/>
        <v>26673.24</v>
      </c>
      <c r="P433" s="17">
        <v>0</v>
      </c>
      <c r="Q433" s="18">
        <v>121</v>
      </c>
      <c r="R433" s="17">
        <f t="shared" si="29"/>
        <v>121</v>
      </c>
      <c r="S433" s="17">
        <v>0</v>
      </c>
      <c r="T433" s="17">
        <v>26673.24</v>
      </c>
      <c r="U433" s="17">
        <f t="shared" si="30"/>
        <v>26673.24</v>
      </c>
      <c r="V433" s="9"/>
      <c r="W433" s="9">
        <f t="shared" si="31"/>
        <v>100.83</v>
      </c>
      <c r="X433" s="9">
        <f t="shared" si="31"/>
        <v>100.83</v>
      </c>
      <c r="Y433" s="9"/>
      <c r="Z433" s="9">
        <f t="shared" si="32"/>
        <v>22227.7</v>
      </c>
      <c r="AA433" s="9">
        <f t="shared" si="33"/>
        <v>22227.7</v>
      </c>
      <c r="AD433" s="4">
        <v>339118948</v>
      </c>
      <c r="AE433" s="4">
        <v>25888023</v>
      </c>
      <c r="AG433" s="4" t="s">
        <v>1709</v>
      </c>
      <c r="AH433" s="4" t="s">
        <v>1710</v>
      </c>
      <c r="AI433" s="4" t="s">
        <v>156</v>
      </c>
    </row>
    <row r="434" spans="1:35" ht="54" x14ac:dyDescent="0.3">
      <c r="A434" s="10" t="s">
        <v>1712</v>
      </c>
      <c r="B434" s="10" t="s">
        <v>1707</v>
      </c>
      <c r="C434" s="14" t="s">
        <v>1708</v>
      </c>
      <c r="D434" s="15"/>
      <c r="E434" s="15" t="s">
        <v>1679</v>
      </c>
      <c r="F434" s="15" t="s">
        <v>75</v>
      </c>
      <c r="G434" s="16">
        <v>1</v>
      </c>
      <c r="H434" s="16"/>
      <c r="I434" s="16">
        <v>2022.87</v>
      </c>
      <c r="J434" s="17">
        <v>0</v>
      </c>
      <c r="K434" s="18">
        <v>121</v>
      </c>
      <c r="L434" s="17">
        <f t="shared" si="27"/>
        <v>121</v>
      </c>
      <c r="M434" s="17">
        <v>0</v>
      </c>
      <c r="N434" s="17">
        <v>244767.27</v>
      </c>
      <c r="O434" s="17">
        <f t="shared" si="28"/>
        <v>244767.27</v>
      </c>
      <c r="P434" s="17">
        <v>0</v>
      </c>
      <c r="Q434" s="18">
        <v>121</v>
      </c>
      <c r="R434" s="17">
        <f t="shared" si="29"/>
        <v>121</v>
      </c>
      <c r="S434" s="17">
        <v>0</v>
      </c>
      <c r="T434" s="17">
        <v>244767.27</v>
      </c>
      <c r="U434" s="17">
        <f t="shared" si="30"/>
        <v>244767.27</v>
      </c>
      <c r="V434" s="9"/>
      <c r="W434" s="9">
        <f t="shared" si="31"/>
        <v>100.83</v>
      </c>
      <c r="X434" s="9">
        <f t="shared" si="31"/>
        <v>100.83</v>
      </c>
      <c r="Y434" s="9"/>
      <c r="Z434" s="9">
        <f t="shared" si="32"/>
        <v>203972.73</v>
      </c>
      <c r="AA434" s="9">
        <f t="shared" si="33"/>
        <v>203972.73</v>
      </c>
      <c r="AD434" s="4">
        <v>339118949</v>
      </c>
      <c r="AE434" s="4">
        <v>25887995</v>
      </c>
      <c r="AG434" s="4" t="s">
        <v>1709</v>
      </c>
      <c r="AH434" s="4" t="s">
        <v>1710</v>
      </c>
      <c r="AI434" s="4" t="s">
        <v>156</v>
      </c>
    </row>
    <row r="435" spans="1:35" ht="54" x14ac:dyDescent="0.3">
      <c r="A435" s="10" t="s">
        <v>1713</v>
      </c>
      <c r="B435" s="10" t="s">
        <v>1707</v>
      </c>
      <c r="C435" s="14" t="s">
        <v>1708</v>
      </c>
      <c r="D435" s="15"/>
      <c r="E435" s="15" t="s">
        <v>1689</v>
      </c>
      <c r="F435" s="15" t="s">
        <v>75</v>
      </c>
      <c r="G435" s="16">
        <v>1</v>
      </c>
      <c r="H435" s="16"/>
      <c r="I435" s="16">
        <v>2125.83</v>
      </c>
      <c r="J435" s="17">
        <v>0</v>
      </c>
      <c r="K435" s="18">
        <v>121</v>
      </c>
      <c r="L435" s="17">
        <f t="shared" si="27"/>
        <v>121</v>
      </c>
      <c r="M435" s="17">
        <v>0</v>
      </c>
      <c r="N435" s="17">
        <v>257225.43</v>
      </c>
      <c r="O435" s="17">
        <f t="shared" si="28"/>
        <v>257225.43</v>
      </c>
      <c r="P435" s="17">
        <v>0</v>
      </c>
      <c r="Q435" s="18">
        <v>121</v>
      </c>
      <c r="R435" s="17">
        <f t="shared" si="29"/>
        <v>121</v>
      </c>
      <c r="S435" s="17">
        <v>0</v>
      </c>
      <c r="T435" s="17">
        <v>257225.43</v>
      </c>
      <c r="U435" s="17">
        <f t="shared" si="30"/>
        <v>257225.43</v>
      </c>
      <c r="V435" s="9"/>
      <c r="W435" s="9">
        <f t="shared" si="31"/>
        <v>100.83</v>
      </c>
      <c r="X435" s="9">
        <f t="shared" si="31"/>
        <v>100.83</v>
      </c>
      <c r="Y435" s="9"/>
      <c r="Z435" s="9">
        <f t="shared" si="32"/>
        <v>214354.53</v>
      </c>
      <c r="AA435" s="9">
        <f t="shared" si="33"/>
        <v>214354.53</v>
      </c>
      <c r="AD435" s="4">
        <v>339118950</v>
      </c>
      <c r="AE435" s="4">
        <v>25888030</v>
      </c>
      <c r="AG435" s="4" t="s">
        <v>1709</v>
      </c>
      <c r="AH435" s="4" t="s">
        <v>1710</v>
      </c>
      <c r="AI435" s="4" t="s">
        <v>156</v>
      </c>
    </row>
    <row r="436" spans="1:35" ht="54" x14ac:dyDescent="0.3">
      <c r="A436" s="10" t="s">
        <v>1714</v>
      </c>
      <c r="B436" s="10" t="s">
        <v>1707</v>
      </c>
      <c r="C436" s="14" t="s">
        <v>1708</v>
      </c>
      <c r="D436" s="15"/>
      <c r="E436" s="15" t="s">
        <v>1399</v>
      </c>
      <c r="F436" s="15" t="s">
        <v>75</v>
      </c>
      <c r="G436" s="16">
        <v>1</v>
      </c>
      <c r="H436" s="16"/>
      <c r="I436" s="16">
        <v>465.96</v>
      </c>
      <c r="J436" s="17">
        <v>0</v>
      </c>
      <c r="K436" s="18">
        <v>121</v>
      </c>
      <c r="L436" s="17">
        <f t="shared" si="27"/>
        <v>121</v>
      </c>
      <c r="M436" s="17">
        <v>0</v>
      </c>
      <c r="N436" s="17">
        <v>56381.16</v>
      </c>
      <c r="O436" s="17">
        <f t="shared" si="28"/>
        <v>56381.16</v>
      </c>
      <c r="P436" s="17">
        <v>0</v>
      </c>
      <c r="Q436" s="18">
        <v>121</v>
      </c>
      <c r="R436" s="17">
        <f t="shared" si="29"/>
        <v>121</v>
      </c>
      <c r="S436" s="17">
        <v>0</v>
      </c>
      <c r="T436" s="17">
        <v>56381.16</v>
      </c>
      <c r="U436" s="17">
        <f t="shared" si="30"/>
        <v>56381.16</v>
      </c>
      <c r="V436" s="9"/>
      <c r="W436" s="9">
        <f t="shared" si="31"/>
        <v>100.83</v>
      </c>
      <c r="X436" s="9">
        <f t="shared" si="31"/>
        <v>100.83</v>
      </c>
      <c r="Y436" s="9"/>
      <c r="Z436" s="9">
        <f t="shared" si="32"/>
        <v>46984.3</v>
      </c>
      <c r="AA436" s="9">
        <f t="shared" si="33"/>
        <v>46984.3</v>
      </c>
      <c r="AD436" s="4">
        <v>339118951</v>
      </c>
      <c r="AE436" s="4">
        <v>25888028</v>
      </c>
      <c r="AG436" s="4" t="s">
        <v>1709</v>
      </c>
      <c r="AH436" s="4" t="s">
        <v>1710</v>
      </c>
      <c r="AI436" s="4" t="s">
        <v>156</v>
      </c>
    </row>
    <row r="437" spans="1:35" ht="54" x14ac:dyDescent="0.3">
      <c r="A437" s="10" t="s">
        <v>1715</v>
      </c>
      <c r="B437" s="10" t="s">
        <v>1707</v>
      </c>
      <c r="C437" s="14" t="s">
        <v>1708</v>
      </c>
      <c r="D437" s="15"/>
      <c r="E437" s="15" t="s">
        <v>1411</v>
      </c>
      <c r="F437" s="15" t="s">
        <v>75</v>
      </c>
      <c r="G437" s="16">
        <v>1</v>
      </c>
      <c r="H437" s="16"/>
      <c r="I437" s="16">
        <v>108.96</v>
      </c>
      <c r="J437" s="17">
        <v>0</v>
      </c>
      <c r="K437" s="18">
        <v>121</v>
      </c>
      <c r="L437" s="17">
        <f t="shared" si="27"/>
        <v>121</v>
      </c>
      <c r="M437" s="17">
        <v>0</v>
      </c>
      <c r="N437" s="17">
        <v>13184.16</v>
      </c>
      <c r="O437" s="17">
        <f t="shared" si="28"/>
        <v>13184.16</v>
      </c>
      <c r="P437" s="17">
        <v>0</v>
      </c>
      <c r="Q437" s="18">
        <v>121</v>
      </c>
      <c r="R437" s="17">
        <f t="shared" si="29"/>
        <v>121</v>
      </c>
      <c r="S437" s="17">
        <v>0</v>
      </c>
      <c r="T437" s="17">
        <v>13184.16</v>
      </c>
      <c r="U437" s="17">
        <f t="shared" si="30"/>
        <v>13184.16</v>
      </c>
      <c r="V437" s="9"/>
      <c r="W437" s="9">
        <f t="shared" si="31"/>
        <v>100.83</v>
      </c>
      <c r="X437" s="9">
        <f t="shared" si="31"/>
        <v>100.83</v>
      </c>
      <c r="Y437" s="9"/>
      <c r="Z437" s="9">
        <f t="shared" si="32"/>
        <v>10986.8</v>
      </c>
      <c r="AA437" s="9">
        <f t="shared" si="33"/>
        <v>10986.8</v>
      </c>
      <c r="AD437" s="4">
        <v>339118952</v>
      </c>
      <c r="AE437" s="4">
        <v>25887999</v>
      </c>
      <c r="AG437" s="4" t="s">
        <v>1709</v>
      </c>
      <c r="AH437" s="4" t="s">
        <v>1710</v>
      </c>
      <c r="AI437" s="4" t="s">
        <v>156</v>
      </c>
    </row>
    <row r="438" spans="1:35" ht="54" x14ac:dyDescent="0.3">
      <c r="A438" s="10" t="s">
        <v>1716</v>
      </c>
      <c r="B438" s="10" t="s">
        <v>1707</v>
      </c>
      <c r="C438" s="14" t="s">
        <v>1708</v>
      </c>
      <c r="D438" s="15"/>
      <c r="E438" s="15" t="s">
        <v>1717</v>
      </c>
      <c r="F438" s="15" t="s">
        <v>75</v>
      </c>
      <c r="G438" s="16">
        <v>1</v>
      </c>
      <c r="H438" s="16"/>
      <c r="I438" s="16">
        <v>116.67</v>
      </c>
      <c r="J438" s="17">
        <v>0</v>
      </c>
      <c r="K438" s="18">
        <v>121</v>
      </c>
      <c r="L438" s="17">
        <f t="shared" si="27"/>
        <v>121</v>
      </c>
      <c r="M438" s="17">
        <v>0</v>
      </c>
      <c r="N438" s="17">
        <v>14117.07</v>
      </c>
      <c r="O438" s="17">
        <f t="shared" si="28"/>
        <v>14117.07</v>
      </c>
      <c r="P438" s="17">
        <v>0</v>
      </c>
      <c r="Q438" s="18">
        <v>121</v>
      </c>
      <c r="R438" s="17">
        <f t="shared" si="29"/>
        <v>121</v>
      </c>
      <c r="S438" s="17">
        <v>0</v>
      </c>
      <c r="T438" s="17">
        <v>14117.07</v>
      </c>
      <c r="U438" s="17">
        <f t="shared" si="30"/>
        <v>14117.07</v>
      </c>
      <c r="V438" s="9"/>
      <c r="W438" s="9">
        <f t="shared" si="31"/>
        <v>100.83</v>
      </c>
      <c r="X438" s="9">
        <f t="shared" si="31"/>
        <v>100.83</v>
      </c>
      <c r="Y438" s="9"/>
      <c r="Z438" s="9">
        <f t="shared" si="32"/>
        <v>11764.23</v>
      </c>
      <c r="AA438" s="9">
        <f t="shared" si="33"/>
        <v>11764.23</v>
      </c>
      <c r="AD438" s="4">
        <v>339118953</v>
      </c>
      <c r="AE438" s="4">
        <v>28951765</v>
      </c>
      <c r="AG438" s="4" t="s">
        <v>1709</v>
      </c>
      <c r="AH438" s="4" t="s">
        <v>1710</v>
      </c>
      <c r="AI438" s="4" t="s">
        <v>156</v>
      </c>
    </row>
    <row r="439" spans="1:35" ht="54" x14ac:dyDescent="0.3">
      <c r="A439" s="10" t="s">
        <v>1718</v>
      </c>
      <c r="B439" s="10" t="s">
        <v>1719</v>
      </c>
      <c r="C439" s="14" t="s">
        <v>1720</v>
      </c>
      <c r="D439" s="15"/>
      <c r="E439" s="15" t="s">
        <v>1721</v>
      </c>
      <c r="F439" s="15" t="s">
        <v>75</v>
      </c>
      <c r="G439" s="16">
        <v>1</v>
      </c>
      <c r="H439" s="16"/>
      <c r="I439" s="16">
        <v>23.11</v>
      </c>
      <c r="J439" s="17">
        <v>424.65</v>
      </c>
      <c r="K439" s="18">
        <v>1379</v>
      </c>
      <c r="L439" s="17">
        <f t="shared" si="27"/>
        <v>1803.65</v>
      </c>
      <c r="M439" s="17">
        <v>9813.66</v>
      </c>
      <c r="N439" s="17">
        <v>31868.69</v>
      </c>
      <c r="O439" s="17">
        <f t="shared" si="28"/>
        <v>41682.35</v>
      </c>
      <c r="P439" s="17">
        <v>2163.4899999999998</v>
      </c>
      <c r="Q439" s="18">
        <v>1379</v>
      </c>
      <c r="R439" s="17">
        <f t="shared" si="29"/>
        <v>3542.49</v>
      </c>
      <c r="S439" s="17">
        <v>49998.25</v>
      </c>
      <c r="T439" s="17">
        <v>31868.69</v>
      </c>
      <c r="U439" s="17">
        <f t="shared" si="30"/>
        <v>81866.94</v>
      </c>
      <c r="V439" s="9">
        <f>ROUND(P439 / 1.2, 2)</f>
        <v>1802.91</v>
      </c>
      <c r="W439" s="9">
        <f t="shared" si="31"/>
        <v>1149.17</v>
      </c>
      <c r="X439" s="9">
        <f t="shared" si="31"/>
        <v>2952.08</v>
      </c>
      <c r="Y439" s="9">
        <f t="shared" si="31"/>
        <v>41665.21</v>
      </c>
      <c r="Z439" s="9">
        <f t="shared" si="32"/>
        <v>26557.24</v>
      </c>
      <c r="AA439" s="9">
        <f t="shared" si="33"/>
        <v>68222.45</v>
      </c>
      <c r="AD439" s="4">
        <v>339118891</v>
      </c>
      <c r="AE439" s="4">
        <v>28951762</v>
      </c>
      <c r="AG439" s="4" t="s">
        <v>1722</v>
      </c>
      <c r="AH439" s="4" t="s">
        <v>1723</v>
      </c>
      <c r="AI439" s="4" t="s">
        <v>156</v>
      </c>
    </row>
    <row r="440" spans="1:35" ht="36" x14ac:dyDescent="0.3">
      <c r="A440" s="10" t="s">
        <v>1724</v>
      </c>
      <c r="B440" s="10"/>
      <c r="C440" s="24" t="s">
        <v>1725</v>
      </c>
      <c r="D440" s="15"/>
      <c r="E440" s="15"/>
      <c r="F440" s="25" t="s">
        <v>240</v>
      </c>
      <c r="G440" s="26">
        <v>1.5</v>
      </c>
      <c r="H440" s="26"/>
      <c r="I440" s="26">
        <v>34.664999999999999</v>
      </c>
      <c r="J440" s="27">
        <v>7.32</v>
      </c>
      <c r="M440" s="28">
        <f t="shared" ref="M440:M451" si="34">ROUND(ROUND(J440, 2)*I440, 2)</f>
        <v>253.75</v>
      </c>
      <c r="P440" s="27">
        <v>7.32</v>
      </c>
      <c r="S440" s="28">
        <f t="shared" ref="S440:S451" si="35">ROUND(ROUND(P440, 2)*I440, 2)</f>
        <v>253.75</v>
      </c>
      <c r="V440" s="9">
        <f t="shared" ref="V440:V451" si="36">ROUND(ROUND(P440, 2)/1.2, 2)</f>
        <v>6.1</v>
      </c>
      <c r="Y440" s="9">
        <f t="shared" si="31"/>
        <v>211.46</v>
      </c>
      <c r="AD440" s="4" t="s">
        <v>1726</v>
      </c>
      <c r="AE440" s="4" t="s">
        <v>1727</v>
      </c>
      <c r="AF440" s="4" t="s">
        <v>1728</v>
      </c>
    </row>
    <row r="441" spans="1:35" ht="18" x14ac:dyDescent="0.3">
      <c r="A441" s="10" t="s">
        <v>1729</v>
      </c>
      <c r="B441" s="10"/>
      <c r="C441" s="24" t="s">
        <v>1560</v>
      </c>
      <c r="D441" s="15"/>
      <c r="E441" s="15"/>
      <c r="F441" s="25" t="s">
        <v>240</v>
      </c>
      <c r="G441" s="26">
        <v>15</v>
      </c>
      <c r="H441" s="26"/>
      <c r="I441" s="26">
        <v>346.65</v>
      </c>
      <c r="J441" s="27">
        <v>0.96</v>
      </c>
      <c r="M441" s="28">
        <f t="shared" si="34"/>
        <v>332.78</v>
      </c>
      <c r="P441" s="27">
        <v>0.96</v>
      </c>
      <c r="S441" s="28">
        <f t="shared" si="35"/>
        <v>332.78</v>
      </c>
      <c r="V441" s="9">
        <f t="shared" si="36"/>
        <v>0.8</v>
      </c>
      <c r="Y441" s="9">
        <f t="shared" si="31"/>
        <v>277.32</v>
      </c>
      <c r="AD441" s="4" t="s">
        <v>1730</v>
      </c>
      <c r="AE441" s="4" t="s">
        <v>1731</v>
      </c>
      <c r="AF441" s="4" t="s">
        <v>1563</v>
      </c>
    </row>
    <row r="442" spans="1:35" ht="18" x14ac:dyDescent="0.3">
      <c r="A442" s="10" t="s">
        <v>1732</v>
      </c>
      <c r="B442" s="10"/>
      <c r="C442" s="24" t="s">
        <v>1653</v>
      </c>
      <c r="D442" s="15"/>
      <c r="E442" s="15"/>
      <c r="F442" s="25" t="s">
        <v>120</v>
      </c>
      <c r="G442" s="26">
        <v>0.3</v>
      </c>
      <c r="H442" s="26"/>
      <c r="I442" s="26">
        <v>6.9329999999999998</v>
      </c>
      <c r="J442" s="27">
        <v>44.87</v>
      </c>
      <c r="M442" s="28">
        <f t="shared" si="34"/>
        <v>311.08</v>
      </c>
      <c r="P442" s="27">
        <v>44.87</v>
      </c>
      <c r="S442" s="28">
        <f t="shared" si="35"/>
        <v>311.08</v>
      </c>
      <c r="V442" s="9">
        <f t="shared" si="36"/>
        <v>37.39</v>
      </c>
      <c r="Y442" s="9">
        <f t="shared" si="31"/>
        <v>259.23</v>
      </c>
      <c r="AD442" s="4" t="s">
        <v>1733</v>
      </c>
      <c r="AE442" s="4" t="s">
        <v>1734</v>
      </c>
      <c r="AF442" s="4" t="s">
        <v>1656</v>
      </c>
    </row>
    <row r="443" spans="1:35" ht="18" x14ac:dyDescent="0.3">
      <c r="A443" s="10" t="s">
        <v>1735</v>
      </c>
      <c r="B443" s="10"/>
      <c r="C443" s="24" t="s">
        <v>1590</v>
      </c>
      <c r="D443" s="15"/>
      <c r="E443" s="15"/>
      <c r="F443" s="25" t="s">
        <v>120</v>
      </c>
      <c r="G443" s="26">
        <v>4.7</v>
      </c>
      <c r="H443" s="26"/>
      <c r="I443" s="26">
        <v>108.617</v>
      </c>
      <c r="J443" s="27">
        <v>68.099999999999994</v>
      </c>
      <c r="M443" s="28">
        <f t="shared" si="34"/>
        <v>7396.82</v>
      </c>
      <c r="P443" s="27">
        <v>68.099999999999994</v>
      </c>
      <c r="S443" s="28">
        <f t="shared" si="35"/>
        <v>7396.82</v>
      </c>
      <c r="V443" s="9">
        <f t="shared" si="36"/>
        <v>56.75</v>
      </c>
      <c r="Y443" s="9">
        <f t="shared" si="31"/>
        <v>6164.02</v>
      </c>
      <c r="AD443" s="4" t="s">
        <v>1736</v>
      </c>
      <c r="AE443" s="4" t="s">
        <v>1737</v>
      </c>
      <c r="AF443" s="4" t="s">
        <v>1593</v>
      </c>
    </row>
    <row r="444" spans="1:35" ht="18" x14ac:dyDescent="0.3">
      <c r="A444" s="10" t="s">
        <v>1738</v>
      </c>
      <c r="B444" s="10"/>
      <c r="C444" s="30" t="s">
        <v>1595</v>
      </c>
      <c r="D444" s="15"/>
      <c r="E444" s="15"/>
      <c r="F444" s="25" t="s">
        <v>240</v>
      </c>
      <c r="G444" s="26">
        <v>4.2</v>
      </c>
      <c r="H444" s="26"/>
      <c r="I444" s="26">
        <v>97.061999999999998</v>
      </c>
      <c r="J444" s="27">
        <v>5</v>
      </c>
      <c r="M444" s="28">
        <f t="shared" si="34"/>
        <v>485.31</v>
      </c>
      <c r="P444" s="27">
        <v>5</v>
      </c>
      <c r="S444" s="28">
        <f t="shared" si="35"/>
        <v>485.31</v>
      </c>
      <c r="V444" s="9">
        <f t="shared" si="36"/>
        <v>4.17</v>
      </c>
      <c r="Y444" s="9">
        <f t="shared" si="31"/>
        <v>404.43</v>
      </c>
      <c r="AD444" s="4" t="s">
        <v>1739</v>
      </c>
      <c r="AE444" s="4" t="s">
        <v>1740</v>
      </c>
      <c r="AF444" s="4" t="s">
        <v>1598</v>
      </c>
    </row>
    <row r="445" spans="1:35" ht="18" x14ac:dyDescent="0.3">
      <c r="A445" s="10" t="s">
        <v>1741</v>
      </c>
      <c r="B445" s="10"/>
      <c r="C445" s="24" t="s">
        <v>1565</v>
      </c>
      <c r="D445" s="15"/>
      <c r="E445" s="15"/>
      <c r="F445" s="25" t="s">
        <v>240</v>
      </c>
      <c r="G445" s="26">
        <v>30</v>
      </c>
      <c r="H445" s="26"/>
      <c r="I445" s="26">
        <v>693.3</v>
      </c>
      <c r="J445" s="27">
        <v>0.28000000000000003</v>
      </c>
      <c r="M445" s="28">
        <f t="shared" si="34"/>
        <v>194.12</v>
      </c>
      <c r="P445" s="27">
        <v>0.28000000000000003</v>
      </c>
      <c r="S445" s="28">
        <f t="shared" si="35"/>
        <v>194.12</v>
      </c>
      <c r="V445" s="9">
        <f t="shared" si="36"/>
        <v>0.23</v>
      </c>
      <c r="Y445" s="9">
        <f t="shared" si="31"/>
        <v>161.77000000000001</v>
      </c>
      <c r="AD445" s="4" t="s">
        <v>1742</v>
      </c>
      <c r="AE445" s="4" t="s">
        <v>1743</v>
      </c>
      <c r="AF445" s="4" t="s">
        <v>1568</v>
      </c>
    </row>
    <row r="446" spans="1:35" ht="36" x14ac:dyDescent="0.3">
      <c r="A446" s="10" t="s">
        <v>1744</v>
      </c>
      <c r="B446" s="10"/>
      <c r="C446" s="24" t="s">
        <v>1645</v>
      </c>
      <c r="D446" s="15"/>
      <c r="E446" s="15"/>
      <c r="F446" s="25" t="s">
        <v>75</v>
      </c>
      <c r="G446" s="26">
        <v>1.05</v>
      </c>
      <c r="H446" s="26"/>
      <c r="I446" s="26">
        <v>24.265999999999998</v>
      </c>
      <c r="J446" s="27">
        <v>0</v>
      </c>
      <c r="M446" s="28">
        <f t="shared" si="34"/>
        <v>0</v>
      </c>
      <c r="P446" s="27">
        <v>1656</v>
      </c>
      <c r="S446" s="28">
        <f t="shared" si="35"/>
        <v>40184.5</v>
      </c>
      <c r="V446" s="9">
        <f t="shared" si="36"/>
        <v>1380</v>
      </c>
      <c r="Y446" s="9">
        <f t="shared" si="31"/>
        <v>33487.08</v>
      </c>
      <c r="AD446" s="4" t="s">
        <v>1745</v>
      </c>
      <c r="AE446" s="4" t="s">
        <v>1746</v>
      </c>
      <c r="AF446" s="4" t="s">
        <v>1648</v>
      </c>
    </row>
    <row r="447" spans="1:35" ht="18" x14ac:dyDescent="0.3">
      <c r="A447" s="10" t="s">
        <v>1747</v>
      </c>
      <c r="B447" s="10"/>
      <c r="C447" s="24" t="s">
        <v>1600</v>
      </c>
      <c r="D447" s="15"/>
      <c r="E447" s="15"/>
      <c r="F447" s="25" t="s">
        <v>120</v>
      </c>
      <c r="G447" s="26">
        <v>1.05</v>
      </c>
      <c r="H447" s="26"/>
      <c r="I447" s="26">
        <v>24.265999999999998</v>
      </c>
      <c r="J447" s="27">
        <v>4.67</v>
      </c>
      <c r="M447" s="28">
        <f t="shared" si="34"/>
        <v>113.32</v>
      </c>
      <c r="P447" s="27">
        <v>4.67</v>
      </c>
      <c r="S447" s="28">
        <f t="shared" si="35"/>
        <v>113.32</v>
      </c>
      <c r="V447" s="9">
        <f t="shared" si="36"/>
        <v>3.89</v>
      </c>
      <c r="Y447" s="9">
        <f t="shared" si="31"/>
        <v>94.43</v>
      </c>
      <c r="AD447" s="4" t="s">
        <v>1748</v>
      </c>
      <c r="AE447" s="4" t="s">
        <v>1749</v>
      </c>
      <c r="AF447" s="4" t="s">
        <v>1603</v>
      </c>
    </row>
    <row r="448" spans="1:35" ht="18" x14ac:dyDescent="0.3">
      <c r="A448" s="10" t="s">
        <v>1750</v>
      </c>
      <c r="B448" s="10"/>
      <c r="C448" s="24" t="s">
        <v>1570</v>
      </c>
      <c r="D448" s="15"/>
      <c r="E448" s="15"/>
      <c r="F448" s="25" t="s">
        <v>159</v>
      </c>
      <c r="G448" s="26">
        <v>0.35</v>
      </c>
      <c r="H448" s="26"/>
      <c r="I448" s="26">
        <v>8.0890000000000004</v>
      </c>
      <c r="J448" s="27">
        <v>55.91</v>
      </c>
      <c r="M448" s="28">
        <f t="shared" si="34"/>
        <v>452.26</v>
      </c>
      <c r="P448" s="27">
        <v>55.91</v>
      </c>
      <c r="S448" s="28">
        <f t="shared" si="35"/>
        <v>452.26</v>
      </c>
      <c r="V448" s="9">
        <f t="shared" si="36"/>
        <v>46.59</v>
      </c>
      <c r="Y448" s="9">
        <f t="shared" ref="Y448:Y453" si="37">ROUND(S448 / 1.2, 2)</f>
        <v>376.88</v>
      </c>
      <c r="AD448" s="4" t="s">
        <v>1751</v>
      </c>
      <c r="AE448" s="4" t="s">
        <v>1752</v>
      </c>
      <c r="AF448" s="4" t="s">
        <v>1573</v>
      </c>
    </row>
    <row r="449" spans="1:35" ht="18" x14ac:dyDescent="0.3">
      <c r="A449" s="10" t="s">
        <v>1753</v>
      </c>
      <c r="B449" s="10"/>
      <c r="C449" s="24" t="s">
        <v>1605</v>
      </c>
      <c r="D449" s="15"/>
      <c r="E449" s="15"/>
      <c r="F449" s="25" t="s">
        <v>120</v>
      </c>
      <c r="G449" s="26">
        <v>0.25</v>
      </c>
      <c r="H449" s="26"/>
      <c r="I449" s="26">
        <v>5.7779999999999996</v>
      </c>
      <c r="J449" s="27">
        <v>2.84</v>
      </c>
      <c r="M449" s="28">
        <f t="shared" si="34"/>
        <v>16.41</v>
      </c>
      <c r="P449" s="27">
        <v>2.84</v>
      </c>
      <c r="S449" s="28">
        <f t="shared" si="35"/>
        <v>16.41</v>
      </c>
      <c r="V449" s="9">
        <f t="shared" si="36"/>
        <v>2.37</v>
      </c>
      <c r="Y449" s="9">
        <f t="shared" si="37"/>
        <v>13.68</v>
      </c>
      <c r="AD449" s="4" t="s">
        <v>1754</v>
      </c>
      <c r="AE449" s="4" t="s">
        <v>1755</v>
      </c>
      <c r="AF449" s="4" t="s">
        <v>1608</v>
      </c>
    </row>
    <row r="450" spans="1:35" ht="36" x14ac:dyDescent="0.3">
      <c r="A450" s="10" t="s">
        <v>1756</v>
      </c>
      <c r="B450" s="10"/>
      <c r="C450" s="24" t="s">
        <v>169</v>
      </c>
      <c r="D450" s="15"/>
      <c r="E450" s="15"/>
      <c r="F450" s="25" t="s">
        <v>159</v>
      </c>
      <c r="G450" s="26">
        <v>0.1</v>
      </c>
      <c r="H450" s="26"/>
      <c r="I450" s="26">
        <v>2.3109999999999999</v>
      </c>
      <c r="J450" s="27">
        <v>90.28</v>
      </c>
      <c r="M450" s="28">
        <f t="shared" si="34"/>
        <v>208.64</v>
      </c>
      <c r="P450" s="27">
        <v>90.28</v>
      </c>
      <c r="S450" s="28">
        <f t="shared" si="35"/>
        <v>208.64</v>
      </c>
      <c r="V450" s="9">
        <f t="shared" si="36"/>
        <v>75.23</v>
      </c>
      <c r="Y450" s="9">
        <f t="shared" si="37"/>
        <v>173.87</v>
      </c>
      <c r="AD450" s="4" t="s">
        <v>1757</v>
      </c>
      <c r="AE450" s="4" t="s">
        <v>1758</v>
      </c>
      <c r="AF450" s="4" t="s">
        <v>172</v>
      </c>
    </row>
    <row r="451" spans="1:35" ht="18" x14ac:dyDescent="0.3">
      <c r="A451" s="10" t="s">
        <v>1759</v>
      </c>
      <c r="B451" s="10"/>
      <c r="C451" s="24" t="s">
        <v>1623</v>
      </c>
      <c r="D451" s="15"/>
      <c r="E451" s="15"/>
      <c r="F451" s="25" t="s">
        <v>240</v>
      </c>
      <c r="G451" s="26">
        <v>0.75</v>
      </c>
      <c r="H451" s="26"/>
      <c r="I451" s="26">
        <v>17.332999999999998</v>
      </c>
      <c r="J451" s="27">
        <v>2.84</v>
      </c>
      <c r="M451" s="28">
        <f t="shared" si="34"/>
        <v>49.23</v>
      </c>
      <c r="P451" s="27">
        <v>2.84</v>
      </c>
      <c r="S451" s="28">
        <f t="shared" si="35"/>
        <v>49.23</v>
      </c>
      <c r="V451" s="9">
        <f t="shared" si="36"/>
        <v>2.37</v>
      </c>
      <c r="Y451" s="9">
        <f t="shared" si="37"/>
        <v>41.03</v>
      </c>
      <c r="AD451" s="4" t="s">
        <v>1760</v>
      </c>
      <c r="AE451" s="4" t="s">
        <v>1761</v>
      </c>
      <c r="AF451" s="4" t="s">
        <v>1626</v>
      </c>
    </row>
    <row r="452" spans="1:35" ht="54" x14ac:dyDescent="0.3">
      <c r="A452" s="10" t="s">
        <v>1762</v>
      </c>
      <c r="B452" s="10" t="s">
        <v>1763</v>
      </c>
      <c r="C452" s="14" t="s">
        <v>1764</v>
      </c>
      <c r="D452" s="15"/>
      <c r="E452" s="15" t="s">
        <v>1765</v>
      </c>
      <c r="F452" s="15" t="s">
        <v>75</v>
      </c>
      <c r="G452" s="16">
        <v>1</v>
      </c>
      <c r="H452" s="16"/>
      <c r="I452" s="16">
        <v>93.56</v>
      </c>
      <c r="J452" s="17">
        <v>0</v>
      </c>
      <c r="K452" s="18">
        <v>962.99</v>
      </c>
      <c r="L452" s="17">
        <f>J452+ROUND(K452, 2)</f>
        <v>962.99</v>
      </c>
      <c r="M452" s="17">
        <v>0</v>
      </c>
      <c r="N452" s="17">
        <v>90097.34</v>
      </c>
      <c r="O452" s="17">
        <f>M452+N452</f>
        <v>90097.34</v>
      </c>
      <c r="P452" s="17">
        <v>1229.8</v>
      </c>
      <c r="Q452" s="18">
        <v>962.99</v>
      </c>
      <c r="R452" s="17">
        <f>P452+ROUND(Q452, 2)</f>
        <v>2192.79</v>
      </c>
      <c r="S452" s="17">
        <v>115060.09</v>
      </c>
      <c r="T452" s="17">
        <v>90097.34</v>
      </c>
      <c r="U452" s="17">
        <f>S452+T452</f>
        <v>205157.43</v>
      </c>
      <c r="V452" s="9">
        <f>ROUND(P452 / 1.2, 2)</f>
        <v>1024.83</v>
      </c>
      <c r="W452" s="9">
        <f>ROUND(Q452 / 1.2, 2)</f>
        <v>802.49</v>
      </c>
      <c r="X452" s="9">
        <f>ROUND(R452 / 1.2, 2)</f>
        <v>1827.33</v>
      </c>
      <c r="Y452" s="9">
        <f t="shared" si="37"/>
        <v>95883.41</v>
      </c>
      <c r="Z452" s="9">
        <f>ROUND(T452 / 1.2, 2)</f>
        <v>75081.119999999995</v>
      </c>
      <c r="AA452" s="9">
        <f>Y452+Z452</f>
        <v>170964.53</v>
      </c>
      <c r="AD452" s="4">
        <v>339118892</v>
      </c>
      <c r="AE452" s="4">
        <v>28951764</v>
      </c>
      <c r="AG452" s="4" t="s">
        <v>1766</v>
      </c>
      <c r="AH452" s="4" t="s">
        <v>1767</v>
      </c>
      <c r="AI452" s="4" t="s">
        <v>156</v>
      </c>
    </row>
    <row r="453" spans="1:35" ht="70.05" customHeight="1" x14ac:dyDescent="0.3">
      <c r="A453" s="10" t="s">
        <v>1768</v>
      </c>
      <c r="B453" s="10"/>
      <c r="C453" s="24" t="s">
        <v>1769</v>
      </c>
      <c r="D453" s="15"/>
      <c r="E453" s="15" t="s">
        <v>1770</v>
      </c>
      <c r="F453" s="25" t="s">
        <v>75</v>
      </c>
      <c r="G453" s="26">
        <v>1</v>
      </c>
      <c r="H453" s="32"/>
      <c r="I453" s="32">
        <v>93.56</v>
      </c>
      <c r="J453" s="27">
        <v>0</v>
      </c>
      <c r="M453" s="28">
        <f>ROUND(ROUND(J453, 2)*I453, 2)</f>
        <v>0</v>
      </c>
      <c r="P453" s="27">
        <v>1229.8</v>
      </c>
      <c r="S453" s="28">
        <f>ROUND(ROUND(P453, 2)*I453, 2)</f>
        <v>115060.09</v>
      </c>
      <c r="V453" s="9">
        <f>ROUND(ROUND(P453, 2)/1.2, 2)</f>
        <v>1024.83</v>
      </c>
      <c r="Y453" s="9">
        <f t="shared" si="37"/>
        <v>95883.41</v>
      </c>
      <c r="AD453" s="4" t="s">
        <v>1771</v>
      </c>
      <c r="AE453" s="4" t="s">
        <v>1772</v>
      </c>
      <c r="AF453" s="4" t="s">
        <v>1773</v>
      </c>
    </row>
    <row r="454" spans="1:35" ht="16.95" customHeight="1" x14ac:dyDescent="0.3">
      <c r="A454" s="10" t="s">
        <v>1774</v>
      </c>
      <c r="B454" s="10" t="s">
        <v>1775</v>
      </c>
      <c r="C454" s="120" t="s">
        <v>1776</v>
      </c>
      <c r="D454" s="121"/>
      <c r="E454" s="121"/>
      <c r="F454" s="121"/>
      <c r="G454" s="121"/>
      <c r="H454" s="121"/>
      <c r="I454" s="122"/>
      <c r="M454" s="6">
        <f>SUM(M455,M456,M457,M458,M459)</f>
        <v>0</v>
      </c>
      <c r="N454" s="6">
        <f>SUM(N455,N456,N457,N458,N459)</f>
        <v>3674361.84</v>
      </c>
      <c r="O454" s="6">
        <f>SUM(O455,O456,O457,O458,O459)</f>
        <v>3674361.84</v>
      </c>
      <c r="S454" s="6">
        <f>SUM(S455,S456,S457,S458,S459)</f>
        <v>0</v>
      </c>
      <c r="T454" s="6">
        <f>SUM(T455,T456,T457,T458,T459)</f>
        <v>3674361.84</v>
      </c>
      <c r="U454" s="6">
        <f>SUM(U455,U456,U457,U458,U459)</f>
        <v>3674361.84</v>
      </c>
      <c r="Y454" s="9">
        <f>SUM(Y455,Y456,Y457,Y458,Y459)</f>
        <v>0</v>
      </c>
      <c r="Z454" s="9">
        <f>SUM(Z455,Z456,Z457,Z458,Z459)</f>
        <v>3061968.2</v>
      </c>
      <c r="AA454" s="9">
        <f>SUM(AA455,AA456,AA457,AA458,AA459)</f>
        <v>3061968.2</v>
      </c>
      <c r="AD454" s="4">
        <v>339118893</v>
      </c>
      <c r="AE454" s="4">
        <v>25887931</v>
      </c>
    </row>
    <row r="455" spans="1:35" ht="18" x14ac:dyDescent="0.3">
      <c r="A455" s="10" t="s">
        <v>1777</v>
      </c>
      <c r="B455" s="10" t="s">
        <v>1778</v>
      </c>
      <c r="C455" s="14" t="s">
        <v>1779</v>
      </c>
      <c r="D455" s="15"/>
      <c r="E455" s="15" t="s">
        <v>1780</v>
      </c>
      <c r="F455" s="15" t="s">
        <v>75</v>
      </c>
      <c r="G455" s="16">
        <v>1</v>
      </c>
      <c r="H455" s="16"/>
      <c r="I455" s="16">
        <v>6759.6</v>
      </c>
      <c r="J455" s="17">
        <v>0</v>
      </c>
      <c r="K455" s="18">
        <v>120</v>
      </c>
      <c r="L455" s="17">
        <f>J455+ROUND(K455, 2)</f>
        <v>120</v>
      </c>
      <c r="M455" s="17">
        <v>0</v>
      </c>
      <c r="N455" s="17">
        <v>811152</v>
      </c>
      <c r="O455" s="17">
        <f t="shared" ref="O455:O460" si="38">M455+N455</f>
        <v>811152</v>
      </c>
      <c r="P455" s="17">
        <v>0</v>
      </c>
      <c r="Q455" s="18">
        <v>120</v>
      </c>
      <c r="R455" s="17">
        <f>P455+ROUND(Q455, 2)</f>
        <v>120</v>
      </c>
      <c r="S455" s="17">
        <v>0</v>
      </c>
      <c r="T455" s="17">
        <v>811152</v>
      </c>
      <c r="U455" s="17">
        <f t="shared" ref="U455:U460" si="39">S455+T455</f>
        <v>811152</v>
      </c>
      <c r="V455" s="9"/>
      <c r="W455" s="9">
        <f t="shared" ref="W455:X459" si="40">ROUND(Q455 / 1.2, 2)</f>
        <v>100</v>
      </c>
      <c r="X455" s="9">
        <f t="shared" si="40"/>
        <v>100</v>
      </c>
      <c r="Y455" s="9"/>
      <c r="Z455" s="9">
        <f>ROUND(T455 / 1.2, 2)</f>
        <v>675960</v>
      </c>
      <c r="AA455" s="9">
        <f t="shared" ref="AA455:AA460" si="41">Y455+Z455</f>
        <v>675960</v>
      </c>
      <c r="AD455" s="4">
        <v>339118895</v>
      </c>
      <c r="AE455" s="4">
        <v>25888016</v>
      </c>
      <c r="AG455" s="4" t="s">
        <v>1781</v>
      </c>
      <c r="AH455" s="4" t="s">
        <v>1782</v>
      </c>
      <c r="AI455" s="4" t="s">
        <v>156</v>
      </c>
    </row>
    <row r="456" spans="1:35" ht="18" x14ac:dyDescent="0.3">
      <c r="A456" s="10" t="s">
        <v>1783</v>
      </c>
      <c r="B456" s="10" t="s">
        <v>1778</v>
      </c>
      <c r="C456" s="14" t="s">
        <v>1779</v>
      </c>
      <c r="D456" s="15"/>
      <c r="E456" s="15"/>
      <c r="F456" s="15" t="s">
        <v>75</v>
      </c>
      <c r="G456" s="16">
        <v>1</v>
      </c>
      <c r="H456" s="16"/>
      <c r="I456" s="16">
        <v>6759.6</v>
      </c>
      <c r="J456" s="17">
        <v>0</v>
      </c>
      <c r="K456" s="18">
        <v>120</v>
      </c>
      <c r="L456" s="17">
        <f>J456+ROUND(K456, 2)</f>
        <v>120</v>
      </c>
      <c r="M456" s="17">
        <v>0</v>
      </c>
      <c r="N456" s="17">
        <v>811152</v>
      </c>
      <c r="O456" s="17">
        <f t="shared" si="38"/>
        <v>811152</v>
      </c>
      <c r="P456" s="17">
        <v>0</v>
      </c>
      <c r="Q456" s="18">
        <v>120</v>
      </c>
      <c r="R456" s="17">
        <f>P456+ROUND(Q456, 2)</f>
        <v>120</v>
      </c>
      <c r="S456" s="17">
        <v>0</v>
      </c>
      <c r="T456" s="17">
        <v>811152</v>
      </c>
      <c r="U456" s="17">
        <f t="shared" si="39"/>
        <v>811152</v>
      </c>
      <c r="V456" s="9"/>
      <c r="W456" s="9">
        <f t="shared" si="40"/>
        <v>100</v>
      </c>
      <c r="X456" s="9">
        <f t="shared" si="40"/>
        <v>100</v>
      </c>
      <c r="Y456" s="9"/>
      <c r="Z456" s="9">
        <f>ROUND(T456 / 1.2, 2)</f>
        <v>675960</v>
      </c>
      <c r="AA456" s="9">
        <f t="shared" si="41"/>
        <v>675960</v>
      </c>
      <c r="AD456" s="4">
        <v>339118954</v>
      </c>
      <c r="AE456" s="4">
        <v>25887947</v>
      </c>
      <c r="AG456" s="4" t="s">
        <v>1781</v>
      </c>
      <c r="AH456" s="4" t="s">
        <v>1782</v>
      </c>
      <c r="AI456" s="4" t="s">
        <v>156</v>
      </c>
    </row>
    <row r="457" spans="1:35" ht="18" x14ac:dyDescent="0.3">
      <c r="A457" s="10" t="s">
        <v>1784</v>
      </c>
      <c r="B457" s="10" t="s">
        <v>1778</v>
      </c>
      <c r="C457" s="14" t="s">
        <v>1779</v>
      </c>
      <c r="D457" s="15"/>
      <c r="E457" s="15"/>
      <c r="F457" s="15" t="s">
        <v>75</v>
      </c>
      <c r="G457" s="16">
        <v>1</v>
      </c>
      <c r="H457" s="16"/>
      <c r="I457" s="16">
        <v>6759.6</v>
      </c>
      <c r="J457" s="17">
        <v>0</v>
      </c>
      <c r="K457" s="18">
        <v>120</v>
      </c>
      <c r="L457" s="17">
        <f>J457+ROUND(K457, 2)</f>
        <v>120</v>
      </c>
      <c r="M457" s="17">
        <v>0</v>
      </c>
      <c r="N457" s="17">
        <v>811152</v>
      </c>
      <c r="O457" s="17">
        <f t="shared" si="38"/>
        <v>811152</v>
      </c>
      <c r="P457" s="17">
        <v>0</v>
      </c>
      <c r="Q457" s="18">
        <v>120</v>
      </c>
      <c r="R457" s="17">
        <f>P457+ROUND(Q457, 2)</f>
        <v>120</v>
      </c>
      <c r="S457" s="17">
        <v>0</v>
      </c>
      <c r="T457" s="17">
        <v>811152</v>
      </c>
      <c r="U457" s="17">
        <f t="shared" si="39"/>
        <v>811152</v>
      </c>
      <c r="V457" s="9"/>
      <c r="W457" s="9">
        <f t="shared" si="40"/>
        <v>100</v>
      </c>
      <c r="X457" s="9">
        <f t="shared" si="40"/>
        <v>100</v>
      </c>
      <c r="Y457" s="9"/>
      <c r="Z457" s="9">
        <f>ROUND(T457 / 1.2, 2)</f>
        <v>675960</v>
      </c>
      <c r="AA457" s="9">
        <f t="shared" si="41"/>
        <v>675960</v>
      </c>
      <c r="AD457" s="4">
        <v>339118955</v>
      </c>
      <c r="AE457" s="4">
        <v>25887948</v>
      </c>
      <c r="AG457" s="4" t="s">
        <v>1781</v>
      </c>
      <c r="AH457" s="4" t="s">
        <v>1782</v>
      </c>
      <c r="AI457" s="4" t="s">
        <v>156</v>
      </c>
    </row>
    <row r="458" spans="1:35" ht="54" x14ac:dyDescent="0.3">
      <c r="A458" s="10" t="s">
        <v>1785</v>
      </c>
      <c r="B458" s="10" t="s">
        <v>1786</v>
      </c>
      <c r="C458" s="14" t="s">
        <v>1787</v>
      </c>
      <c r="D458" s="15" t="s">
        <v>1788</v>
      </c>
      <c r="E458" s="15" t="s">
        <v>1789</v>
      </c>
      <c r="F458" s="15" t="s">
        <v>57</v>
      </c>
      <c r="G458" s="16">
        <v>1</v>
      </c>
      <c r="H458" s="16"/>
      <c r="I458" s="16">
        <v>7</v>
      </c>
      <c r="J458" s="17">
        <v>0</v>
      </c>
      <c r="K458" s="18">
        <v>169189</v>
      </c>
      <c r="L458" s="17">
        <f>J458+ROUND(K458, 2)</f>
        <v>169189</v>
      </c>
      <c r="M458" s="17">
        <v>0</v>
      </c>
      <c r="N458" s="17">
        <v>1184323</v>
      </c>
      <c r="O458" s="17">
        <f t="shared" si="38"/>
        <v>1184323</v>
      </c>
      <c r="P458" s="17">
        <v>0</v>
      </c>
      <c r="Q458" s="18">
        <v>169189</v>
      </c>
      <c r="R458" s="17">
        <f>P458+ROUND(Q458, 2)</f>
        <v>169189</v>
      </c>
      <c r="S458" s="17">
        <v>0</v>
      </c>
      <c r="T458" s="17">
        <v>1184323</v>
      </c>
      <c r="U458" s="17">
        <f t="shared" si="39"/>
        <v>1184323</v>
      </c>
      <c r="V458" s="9"/>
      <c r="W458" s="9">
        <f t="shared" si="40"/>
        <v>140990.82999999999</v>
      </c>
      <c r="X458" s="9">
        <f t="shared" si="40"/>
        <v>140990.82999999999</v>
      </c>
      <c r="Y458" s="9"/>
      <c r="Z458" s="9">
        <f>ROUND(T458 / 1.2, 2)</f>
        <v>986935.83</v>
      </c>
      <c r="AA458" s="9">
        <f t="shared" si="41"/>
        <v>986935.83</v>
      </c>
      <c r="AD458" s="4">
        <v>339118897</v>
      </c>
      <c r="AE458" s="4">
        <v>25887982</v>
      </c>
      <c r="AG458" s="4" t="s">
        <v>1790</v>
      </c>
      <c r="AH458" s="4" t="s">
        <v>1791</v>
      </c>
      <c r="AI458" s="4" t="s">
        <v>156</v>
      </c>
    </row>
    <row r="459" spans="1:35" ht="36" x14ac:dyDescent="0.3">
      <c r="A459" s="71" t="s">
        <v>1792</v>
      </c>
      <c r="B459" s="71" t="s">
        <v>1793</v>
      </c>
      <c r="C459" s="72" t="s">
        <v>1794</v>
      </c>
      <c r="D459" s="73"/>
      <c r="E459" s="73" t="s">
        <v>84</v>
      </c>
      <c r="F459" s="73" t="s">
        <v>1795</v>
      </c>
      <c r="G459" s="74">
        <v>1</v>
      </c>
      <c r="H459" s="81">
        <v>9182790.7400000002</v>
      </c>
      <c r="I459" s="74">
        <v>57.62</v>
      </c>
      <c r="J459" s="75">
        <v>0</v>
      </c>
      <c r="K459" s="76">
        <v>982</v>
      </c>
      <c r="L459" s="75">
        <f>J459+ROUND(K459, 2)</f>
        <v>982</v>
      </c>
      <c r="M459" s="75">
        <v>0</v>
      </c>
      <c r="N459" s="75">
        <v>56582.84</v>
      </c>
      <c r="O459" s="75">
        <f t="shared" si="38"/>
        <v>56582.84</v>
      </c>
      <c r="P459" s="75">
        <v>0</v>
      </c>
      <c r="Q459" s="76">
        <v>982</v>
      </c>
      <c r="R459" s="75">
        <f>P459+ROUND(Q459, 2)</f>
        <v>982</v>
      </c>
      <c r="S459" s="75">
        <v>0</v>
      </c>
      <c r="T459" s="75">
        <v>56582.84</v>
      </c>
      <c r="U459" s="75">
        <f t="shared" si="39"/>
        <v>56582.84</v>
      </c>
      <c r="V459" s="9"/>
      <c r="W459" s="9">
        <f t="shared" si="40"/>
        <v>818.33</v>
      </c>
      <c r="X459" s="9">
        <f t="shared" si="40"/>
        <v>818.33</v>
      </c>
      <c r="Y459" s="9"/>
      <c r="Z459" s="9">
        <f>ROUND(T459 / 1.2, 2)</f>
        <v>47152.37</v>
      </c>
      <c r="AA459" s="9">
        <f t="shared" si="41"/>
        <v>47152.37</v>
      </c>
      <c r="AD459" s="4">
        <v>339118899</v>
      </c>
      <c r="AE459" s="4">
        <v>28983429</v>
      </c>
      <c r="AG459" s="4" t="s">
        <v>1796</v>
      </c>
      <c r="AH459" s="4" t="s">
        <v>1797</v>
      </c>
      <c r="AI459" s="4" t="s">
        <v>156</v>
      </c>
    </row>
    <row r="460" spans="1:35" ht="24" customHeight="1" x14ac:dyDescent="0.3">
      <c r="A460" s="65"/>
      <c r="B460" s="65"/>
      <c r="C460" s="65"/>
      <c r="D460" s="66" t="s">
        <v>1798</v>
      </c>
      <c r="E460" s="65"/>
      <c r="F460" s="65"/>
      <c r="G460" s="65"/>
      <c r="H460" s="65"/>
      <c r="I460" s="65"/>
      <c r="J460" s="65"/>
      <c r="K460" s="65"/>
      <c r="L460" s="65"/>
      <c r="M460" s="67">
        <f>SUM(M8)</f>
        <v>24717198.979999997</v>
      </c>
      <c r="N460" s="67">
        <f>SUM(N8)</f>
        <v>57521292.340000004</v>
      </c>
      <c r="O460" s="67">
        <f t="shared" si="38"/>
        <v>82238491.319999993</v>
      </c>
      <c r="P460" s="65"/>
      <c r="Q460" s="65"/>
      <c r="R460" s="65"/>
      <c r="S460" s="67">
        <f>SUM(S8)</f>
        <v>41171956.260000005</v>
      </c>
      <c r="T460" s="67">
        <f>SUM(T8)</f>
        <v>58329554.729999989</v>
      </c>
      <c r="U460" s="67">
        <f t="shared" si="39"/>
        <v>99501510.989999995</v>
      </c>
      <c r="Y460" s="9">
        <f>SUM(Y8)</f>
        <v>34309963.629999995</v>
      </c>
      <c r="Z460" s="9">
        <f>SUM(Z8)</f>
        <v>48607962.300000012</v>
      </c>
      <c r="AA460" s="9">
        <f t="shared" si="41"/>
        <v>82917925.930000007</v>
      </c>
    </row>
    <row r="461" spans="1:35" ht="22.8" x14ac:dyDescent="0.3">
      <c r="A461" s="117" t="s">
        <v>1804</v>
      </c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9"/>
    </row>
    <row r="462" spans="1:35" ht="15.6" x14ac:dyDescent="0.3">
      <c r="A462" s="69"/>
      <c r="B462" s="5" t="s">
        <v>1805</v>
      </c>
      <c r="C462" s="68" t="s">
        <v>1806</v>
      </c>
      <c r="D462" s="68" t="s">
        <v>1807</v>
      </c>
      <c r="E462" s="70"/>
      <c r="F462" s="70"/>
      <c r="G462" s="70"/>
      <c r="H462" s="115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16"/>
    </row>
    <row r="463" spans="1:35" ht="15.6" x14ac:dyDescent="0.3">
      <c r="A463" s="69"/>
      <c r="B463" s="5" t="s">
        <v>1808</v>
      </c>
      <c r="C463" s="68" t="s">
        <v>1809</v>
      </c>
      <c r="D463" s="68" t="s">
        <v>1810</v>
      </c>
      <c r="E463" s="70"/>
      <c r="F463" s="70"/>
      <c r="G463" s="70"/>
      <c r="H463" s="115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16"/>
    </row>
    <row r="464" spans="1:35" ht="31.2" x14ac:dyDescent="0.3">
      <c r="A464" s="69"/>
      <c r="B464" s="5" t="s">
        <v>1811</v>
      </c>
      <c r="C464" s="68" t="s">
        <v>1812</v>
      </c>
      <c r="D464" s="68" t="s">
        <v>1813</v>
      </c>
      <c r="E464" s="70"/>
      <c r="F464" s="70"/>
      <c r="G464" s="70"/>
      <c r="H464" s="115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16"/>
    </row>
    <row r="465" spans="1:21" ht="15.6" x14ac:dyDescent="0.3">
      <c r="A465" s="69"/>
      <c r="B465" s="5" t="s">
        <v>1814</v>
      </c>
      <c r="C465" s="68" t="s">
        <v>1815</v>
      </c>
      <c r="D465" s="68" t="s">
        <v>1816</v>
      </c>
      <c r="E465" s="70"/>
      <c r="F465" s="70"/>
      <c r="G465" s="70"/>
      <c r="H465" s="115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16"/>
    </row>
    <row r="466" spans="1:21" ht="15.6" x14ac:dyDescent="0.3">
      <c r="A466" s="69"/>
      <c r="B466" s="5" t="s">
        <v>1817</v>
      </c>
      <c r="C466" s="68" t="s">
        <v>1818</v>
      </c>
      <c r="D466" s="68" t="s">
        <v>1810</v>
      </c>
      <c r="E466" s="70"/>
      <c r="F466" s="70"/>
      <c r="G466" s="70"/>
      <c r="H466" s="115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16"/>
    </row>
    <row r="467" spans="1:21" ht="31.2" x14ac:dyDescent="0.3">
      <c r="A467" s="69"/>
      <c r="B467" s="5" t="s">
        <v>1819</v>
      </c>
      <c r="C467" s="68" t="s">
        <v>1820</v>
      </c>
      <c r="D467" s="68" t="s">
        <v>1821</v>
      </c>
      <c r="E467" s="70"/>
      <c r="F467" s="70"/>
      <c r="G467" s="70"/>
      <c r="H467" s="115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16"/>
    </row>
    <row r="468" spans="1:21" ht="31.2" x14ac:dyDescent="0.3">
      <c r="A468" s="69"/>
      <c r="B468" s="5" t="s">
        <v>1822</v>
      </c>
      <c r="C468" s="68" t="s">
        <v>1823</v>
      </c>
      <c r="D468" s="68" t="s">
        <v>1824</v>
      </c>
      <c r="E468" s="70"/>
      <c r="F468" s="70"/>
      <c r="G468" s="70"/>
      <c r="H468" s="115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16"/>
    </row>
    <row r="469" spans="1:21" ht="15.6" x14ac:dyDescent="0.3">
      <c r="A469" s="69"/>
      <c r="B469" s="5" t="s">
        <v>1825</v>
      </c>
      <c r="C469" s="68" t="s">
        <v>1826</v>
      </c>
      <c r="D469" s="68" t="s">
        <v>1827</v>
      </c>
      <c r="E469" s="70"/>
      <c r="F469" s="70"/>
      <c r="G469" s="70"/>
      <c r="H469" s="115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16"/>
    </row>
    <row r="470" spans="1:21" ht="15.6" x14ac:dyDescent="0.3">
      <c r="A470" s="69"/>
      <c r="B470" s="5" t="s">
        <v>1828</v>
      </c>
      <c r="C470" s="68" t="s">
        <v>1829</v>
      </c>
      <c r="D470" s="68" t="s">
        <v>1830</v>
      </c>
      <c r="E470" s="70"/>
      <c r="F470" s="70"/>
      <c r="G470" s="70"/>
      <c r="H470" s="115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16"/>
    </row>
    <row r="471" spans="1:21" ht="31.2" x14ac:dyDescent="0.3">
      <c r="A471" s="69"/>
      <c r="B471" s="5" t="s">
        <v>1831</v>
      </c>
      <c r="C471" s="68" t="s">
        <v>1832</v>
      </c>
      <c r="D471" s="68" t="s">
        <v>1833</v>
      </c>
      <c r="E471" s="70"/>
      <c r="F471" s="70"/>
      <c r="G471" s="70"/>
      <c r="H471" s="115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16"/>
    </row>
    <row r="472" spans="1:21" ht="46.8" x14ac:dyDescent="0.3">
      <c r="A472" s="69"/>
      <c r="B472" s="5" t="s">
        <v>1834</v>
      </c>
      <c r="C472" s="68" t="s">
        <v>1835</v>
      </c>
      <c r="D472" s="68" t="s">
        <v>1836</v>
      </c>
      <c r="E472" s="70"/>
      <c r="F472" s="70"/>
      <c r="G472" s="70"/>
      <c r="H472" s="115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16"/>
    </row>
    <row r="473" spans="1:21" ht="31.2" x14ac:dyDescent="0.3">
      <c r="A473" s="69"/>
      <c r="B473" s="5" t="s">
        <v>1837</v>
      </c>
      <c r="C473" s="68" t="s">
        <v>1838</v>
      </c>
      <c r="D473" s="68" t="s">
        <v>1839</v>
      </c>
      <c r="E473" s="70"/>
      <c r="F473" s="70"/>
      <c r="G473" s="70"/>
      <c r="H473" s="115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16"/>
    </row>
    <row r="474" spans="1:21" ht="15.6" x14ac:dyDescent="0.3">
      <c r="A474" s="69"/>
      <c r="B474" s="5" t="s">
        <v>1840</v>
      </c>
      <c r="C474" s="68" t="s">
        <v>1841</v>
      </c>
      <c r="D474" s="68" t="s">
        <v>1842</v>
      </c>
      <c r="E474" s="70"/>
      <c r="F474" s="70"/>
      <c r="G474" s="70"/>
      <c r="H474" s="115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16"/>
    </row>
    <row r="475" spans="1:21" ht="48" customHeight="1" x14ac:dyDescent="0.3">
      <c r="A475" s="69"/>
      <c r="B475" s="5" t="s">
        <v>1843</v>
      </c>
      <c r="C475" s="68" t="s">
        <v>1844</v>
      </c>
      <c r="D475" s="68" t="s">
        <v>1845</v>
      </c>
      <c r="E475" s="70"/>
      <c r="F475" s="70"/>
      <c r="G475" s="70"/>
      <c r="H475" s="115" t="s">
        <v>1846</v>
      </c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16"/>
    </row>
    <row r="476" spans="1:21" ht="15.6" x14ac:dyDescent="0.3">
      <c r="A476" s="69"/>
      <c r="B476" s="5" t="s">
        <v>1847</v>
      </c>
      <c r="C476" s="68" t="s">
        <v>1848</v>
      </c>
      <c r="D476" s="68" t="s">
        <v>1849</v>
      </c>
      <c r="E476" s="70"/>
      <c r="F476" s="70"/>
      <c r="G476" s="70"/>
      <c r="H476" s="115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16"/>
    </row>
    <row r="477" spans="1:21" ht="31.2" x14ac:dyDescent="0.3">
      <c r="A477" s="69"/>
      <c r="B477" s="5" t="s">
        <v>1850</v>
      </c>
      <c r="C477" s="68" t="s">
        <v>1851</v>
      </c>
      <c r="D477" s="70"/>
      <c r="E477" s="70"/>
      <c r="F477" s="70"/>
      <c r="G477" s="70"/>
      <c r="H477" s="115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16"/>
    </row>
    <row r="478" spans="1:21" ht="15.6" x14ac:dyDescent="0.3">
      <c r="A478" s="69"/>
      <c r="B478" s="5" t="s">
        <v>1852</v>
      </c>
      <c r="C478" s="68" t="s">
        <v>1853</v>
      </c>
      <c r="D478" s="70"/>
      <c r="E478" s="70"/>
      <c r="F478" s="70"/>
      <c r="G478" s="70"/>
      <c r="H478" s="115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16"/>
    </row>
    <row r="479" spans="1:21" ht="15.6" x14ac:dyDescent="0.3">
      <c r="A479" s="69"/>
      <c r="B479" s="5" t="s">
        <v>1854</v>
      </c>
      <c r="C479" s="68" t="s">
        <v>1855</v>
      </c>
      <c r="D479" s="70"/>
      <c r="E479" s="70"/>
      <c r="F479" s="70"/>
      <c r="G479" s="70"/>
      <c r="H479" s="115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16"/>
    </row>
  </sheetData>
  <mergeCells count="72"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  <mergeCell ref="S5:U5"/>
    <mergeCell ref="J6:K6"/>
    <mergeCell ref="L6:L7"/>
    <mergeCell ref="M6:N6"/>
    <mergeCell ref="O6:O7"/>
    <mergeCell ref="P6:Q6"/>
    <mergeCell ref="C10:I10"/>
    <mergeCell ref="H5:H7"/>
    <mergeCell ref="I5:I7"/>
    <mergeCell ref="J5:O5"/>
    <mergeCell ref="P5:R5"/>
    <mergeCell ref="R6:R7"/>
    <mergeCell ref="S6:T6"/>
    <mergeCell ref="U6:U7"/>
    <mergeCell ref="A8:I8"/>
    <mergeCell ref="C9:I9"/>
    <mergeCell ref="C32:I32"/>
    <mergeCell ref="C11:I11"/>
    <mergeCell ref="C12:I12"/>
    <mergeCell ref="C13:I13"/>
    <mergeCell ref="C15:I15"/>
    <mergeCell ref="C18:I18"/>
    <mergeCell ref="C21:I21"/>
    <mergeCell ref="C22:I22"/>
    <mergeCell ref="C23:I23"/>
    <mergeCell ref="C24:I24"/>
    <mergeCell ref="C25:I25"/>
    <mergeCell ref="C31:I31"/>
    <mergeCell ref="C336:I336"/>
    <mergeCell ref="C33:I33"/>
    <mergeCell ref="C34:I34"/>
    <mergeCell ref="C35:I35"/>
    <mergeCell ref="C102:I102"/>
    <mergeCell ref="C113:I113"/>
    <mergeCell ref="C197:I197"/>
    <mergeCell ref="C200:I200"/>
    <mergeCell ref="C201:I201"/>
    <mergeCell ref="C271:I271"/>
    <mergeCell ref="C319:I319"/>
    <mergeCell ref="C335:I335"/>
    <mergeCell ref="H469:U469"/>
    <mergeCell ref="C365:I365"/>
    <mergeCell ref="C393:I393"/>
    <mergeCell ref="C454:I454"/>
    <mergeCell ref="A461:U461"/>
    <mergeCell ref="H462:U462"/>
    <mergeCell ref="H463:U463"/>
    <mergeCell ref="H464:U464"/>
    <mergeCell ref="H465:U465"/>
    <mergeCell ref="H466:U466"/>
    <mergeCell ref="H467:U467"/>
    <mergeCell ref="H468:U468"/>
    <mergeCell ref="H476:U476"/>
    <mergeCell ref="H477:U477"/>
    <mergeCell ref="H478:U478"/>
    <mergeCell ref="H479:U479"/>
    <mergeCell ref="H470:U470"/>
    <mergeCell ref="H471:U471"/>
    <mergeCell ref="H472:U472"/>
    <mergeCell ref="H473:U473"/>
    <mergeCell ref="H474:U474"/>
    <mergeCell ref="H475:U47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ВЫПОЛНЕНИЕ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2026-03-20T04:14:05Z</dcterms:created>
  <dcterms:modified xsi:type="dcterms:W3CDTF">2026-04-10T08:17:51Z</dcterms:modified>
  <cp:category/>
</cp:coreProperties>
</file>