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cuments\schools\school_lublino\walls\PDF\8.1 Акус стены ММП\"/>
    </mc:Choice>
  </mc:AlternateContent>
  <bookViews>
    <workbookView xWindow="0" yWindow="0" windowWidth="23040" windowHeight="10128" activeTab="1"/>
  </bookViews>
  <sheets>
    <sheet name="ТКП" sheetId="1" r:id="rId1"/>
    <sheet name="ВЫПОЛНЕНИЕ_2026" sheetId="2" r:id="rId2"/>
  </sheets>
  <definedNames>
    <definedName name="_xlnm._FilterDatabase" localSheetId="0" hidden="1">ТКП!$A$7:$U$7</definedName>
  </definedNames>
  <calcPr calcId="152511"/>
</workbook>
</file>

<file path=xl/calcChain.xml><?xml version="1.0" encoding="utf-8"?>
<calcChain xmlns="http://schemas.openxmlformats.org/spreadsheetml/2006/main">
  <c r="J17" i="2" l="1"/>
  <c r="J15" i="2"/>
  <c r="L17" i="2"/>
  <c r="L15" i="2"/>
  <c r="L29" i="2" l="1"/>
  <c r="S28" i="2"/>
  <c r="S27" i="2"/>
  <c r="T26" i="2"/>
  <c r="P26" i="2"/>
  <c r="S21" i="2"/>
  <c r="S20" i="2"/>
  <c r="S19" i="2"/>
  <c r="S18" i="2"/>
  <c r="T17" i="2"/>
  <c r="T16" i="2"/>
  <c r="T15" i="2"/>
  <c r="R15" i="2"/>
  <c r="S14" i="2"/>
  <c r="R26" i="2" l="1"/>
  <c r="S26" i="2"/>
  <c r="T25" i="2"/>
  <c r="P17" i="2"/>
  <c r="T14" i="2"/>
  <c r="U15" i="2"/>
  <c r="AP29" i="1"/>
  <c r="AO29" i="1"/>
  <c r="AN29" i="1"/>
  <c r="AM29" i="1"/>
  <c r="AL29" i="1"/>
  <c r="AK29" i="1"/>
  <c r="AA29" i="1"/>
  <c r="Z29" i="1"/>
  <c r="Y29" i="1"/>
  <c r="U29" i="1"/>
  <c r="T29" i="1"/>
  <c r="S29" i="1"/>
  <c r="O29" i="1"/>
  <c r="N29" i="1"/>
  <c r="M29" i="1"/>
  <c r="AN28" i="1"/>
  <c r="AK28" i="1"/>
  <c r="Y28" i="1"/>
  <c r="V28" i="1"/>
  <c r="S28" i="1"/>
  <c r="M28" i="1"/>
  <c r="AN27" i="1"/>
  <c r="AK27" i="1"/>
  <c r="Y27" i="1"/>
  <c r="V27" i="1"/>
  <c r="S27" i="1"/>
  <c r="M27" i="1"/>
  <c r="AP26" i="1"/>
  <c r="AO26" i="1"/>
  <c r="AN26" i="1"/>
  <c r="AM26" i="1"/>
  <c r="AL26" i="1"/>
  <c r="AK26" i="1"/>
  <c r="AA26" i="1"/>
  <c r="Z26" i="1"/>
  <c r="Y26" i="1"/>
  <c r="X26" i="1"/>
  <c r="W26" i="1"/>
  <c r="V26" i="1"/>
  <c r="U26" i="1"/>
  <c r="T26" i="1"/>
  <c r="S26" i="1"/>
  <c r="R26" i="1"/>
  <c r="P26" i="1"/>
  <c r="O26" i="1"/>
  <c r="N26" i="1"/>
  <c r="M26" i="1"/>
  <c r="L26" i="1"/>
  <c r="J26" i="1"/>
  <c r="AP25" i="1"/>
  <c r="AO25" i="1"/>
  <c r="AN25" i="1"/>
  <c r="AM25" i="1"/>
  <c r="AL25" i="1"/>
  <c r="AK25" i="1"/>
  <c r="AA25" i="1"/>
  <c r="Z25" i="1"/>
  <c r="Y25" i="1"/>
  <c r="U25" i="1"/>
  <c r="T25" i="1"/>
  <c r="S25" i="1"/>
  <c r="O25" i="1"/>
  <c r="N25" i="1"/>
  <c r="M25" i="1"/>
  <c r="AP24" i="1"/>
  <c r="AO24" i="1"/>
  <c r="AN24" i="1"/>
  <c r="AM24" i="1"/>
  <c r="AL24" i="1"/>
  <c r="AK24" i="1"/>
  <c r="AA24" i="1"/>
  <c r="Z24" i="1"/>
  <c r="Y24" i="1"/>
  <c r="U24" i="1"/>
  <c r="T24" i="1"/>
  <c r="S24" i="1"/>
  <c r="O24" i="1"/>
  <c r="N24" i="1"/>
  <c r="M24" i="1"/>
  <c r="AP23" i="1"/>
  <c r="AO23" i="1"/>
  <c r="AN23" i="1"/>
  <c r="AM23" i="1"/>
  <c r="AL23" i="1"/>
  <c r="AK23" i="1"/>
  <c r="AA23" i="1"/>
  <c r="Z23" i="1"/>
  <c r="Y23" i="1"/>
  <c r="U23" i="1"/>
  <c r="T23" i="1"/>
  <c r="S23" i="1"/>
  <c r="O23" i="1"/>
  <c r="N23" i="1"/>
  <c r="M23" i="1"/>
  <c r="AP22" i="1"/>
  <c r="AO22" i="1"/>
  <c r="AN22" i="1"/>
  <c r="AM22" i="1"/>
  <c r="AL22" i="1"/>
  <c r="AK22" i="1"/>
  <c r="AA22" i="1"/>
  <c r="Z22" i="1"/>
  <c r="Y22" i="1"/>
  <c r="U22" i="1"/>
  <c r="T22" i="1"/>
  <c r="S22" i="1"/>
  <c r="O22" i="1"/>
  <c r="N22" i="1"/>
  <c r="M22" i="1"/>
  <c r="AN21" i="1"/>
  <c r="AK21" i="1"/>
  <c r="Y21" i="1"/>
  <c r="V21" i="1"/>
  <c r="S21" i="1"/>
  <c r="M21" i="1"/>
  <c r="AN20" i="1"/>
  <c r="AK20" i="1"/>
  <c r="Y20" i="1"/>
  <c r="V20" i="1"/>
  <c r="S20" i="1"/>
  <c r="M20" i="1"/>
  <c r="AN19" i="1"/>
  <c r="AK19" i="1"/>
  <c r="Y19" i="1"/>
  <c r="V19" i="1"/>
  <c r="S19" i="1"/>
  <c r="M19" i="1"/>
  <c r="AN18" i="1"/>
  <c r="AK18" i="1"/>
  <c r="Y18" i="1"/>
  <c r="V18" i="1"/>
  <c r="S18" i="1"/>
  <c r="M18" i="1"/>
  <c r="AP17" i="1"/>
  <c r="AO17" i="1"/>
  <c r="AN17" i="1"/>
  <c r="AM17" i="1"/>
  <c r="AL17" i="1"/>
  <c r="AK17" i="1"/>
  <c r="AA17" i="1"/>
  <c r="Z17" i="1"/>
  <c r="Y17" i="1"/>
  <c r="X17" i="1"/>
  <c r="W17" i="1"/>
  <c r="V17" i="1"/>
  <c r="U17" i="1"/>
  <c r="T17" i="1"/>
  <c r="S17" i="1"/>
  <c r="R17" i="1"/>
  <c r="P17" i="1"/>
  <c r="O17" i="1"/>
  <c r="N17" i="1"/>
  <c r="M17" i="1"/>
  <c r="L17" i="1"/>
  <c r="J17" i="1"/>
  <c r="AP16" i="1"/>
  <c r="AO16" i="1"/>
  <c r="AN16" i="1"/>
  <c r="AM16" i="1"/>
  <c r="AL16" i="1"/>
  <c r="AK16" i="1"/>
  <c r="AA16" i="1"/>
  <c r="Z16" i="1"/>
  <c r="Y16" i="1"/>
  <c r="U16" i="1"/>
  <c r="T16" i="1"/>
  <c r="S16" i="1"/>
  <c r="O16" i="1"/>
  <c r="N16" i="1"/>
  <c r="M16" i="1"/>
  <c r="AP15" i="1"/>
  <c r="AO15" i="1"/>
  <c r="AN15" i="1"/>
  <c r="AM15" i="1"/>
  <c r="AL15" i="1"/>
  <c r="AK15" i="1"/>
  <c r="AA15" i="1"/>
  <c r="Z15" i="1"/>
  <c r="X15" i="1"/>
  <c r="W15" i="1"/>
  <c r="U15" i="1"/>
  <c r="T15" i="1"/>
  <c r="R15" i="1"/>
  <c r="O15" i="1"/>
  <c r="N15" i="1"/>
  <c r="L15" i="1"/>
  <c r="AP14" i="1"/>
  <c r="AO14" i="1"/>
  <c r="AN14" i="1"/>
  <c r="AM14" i="1"/>
  <c r="AL14" i="1"/>
  <c r="AK14" i="1"/>
  <c r="AA14" i="1"/>
  <c r="Z14" i="1"/>
  <c r="Y14" i="1"/>
  <c r="U14" i="1"/>
  <c r="T14" i="1"/>
  <c r="S14" i="1"/>
  <c r="O14" i="1"/>
  <c r="N14" i="1"/>
  <c r="M14" i="1"/>
  <c r="AP13" i="1"/>
  <c r="AO13" i="1"/>
  <c r="AN13" i="1"/>
  <c r="AM13" i="1"/>
  <c r="AL13" i="1"/>
  <c r="AK13" i="1"/>
  <c r="AA13" i="1"/>
  <c r="Z13" i="1"/>
  <c r="Y13" i="1"/>
  <c r="U13" i="1"/>
  <c r="T13" i="1"/>
  <c r="S13" i="1"/>
  <c r="O13" i="1"/>
  <c r="N13" i="1"/>
  <c r="M13" i="1"/>
  <c r="AP12" i="1"/>
  <c r="AO12" i="1"/>
  <c r="AN12" i="1"/>
  <c r="AM12" i="1"/>
  <c r="AL12" i="1"/>
  <c r="AK12" i="1"/>
  <c r="AA12" i="1"/>
  <c r="Z12" i="1"/>
  <c r="Y12" i="1"/>
  <c r="U12" i="1"/>
  <c r="T12" i="1"/>
  <c r="S12" i="1"/>
  <c r="O12" i="1"/>
  <c r="N12" i="1"/>
  <c r="M12" i="1"/>
  <c r="AP11" i="1"/>
  <c r="AO11" i="1"/>
  <c r="AN11" i="1"/>
  <c r="AM11" i="1"/>
  <c r="AL11" i="1"/>
  <c r="AK11" i="1"/>
  <c r="AA11" i="1"/>
  <c r="Z11" i="1"/>
  <c r="Y11" i="1"/>
  <c r="U11" i="1"/>
  <c r="T11" i="1"/>
  <c r="S11" i="1"/>
  <c r="O11" i="1"/>
  <c r="N11" i="1"/>
  <c r="M11" i="1"/>
  <c r="AP10" i="1"/>
  <c r="AO10" i="1"/>
  <c r="AN10" i="1"/>
  <c r="AM10" i="1"/>
  <c r="AL10" i="1"/>
  <c r="AK10" i="1"/>
  <c r="AA10" i="1"/>
  <c r="Z10" i="1"/>
  <c r="Y10" i="1"/>
  <c r="U10" i="1"/>
  <c r="T10" i="1"/>
  <c r="S10" i="1"/>
  <c r="O10" i="1"/>
  <c r="N10" i="1"/>
  <c r="M10" i="1"/>
  <c r="AP9" i="1"/>
  <c r="AO9" i="1"/>
  <c r="AN9" i="1"/>
  <c r="AM9" i="1"/>
  <c r="AL9" i="1"/>
  <c r="AK9" i="1"/>
  <c r="AA9" i="1"/>
  <c r="Z9" i="1"/>
  <c r="Y9" i="1"/>
  <c r="U9" i="1"/>
  <c r="T9" i="1"/>
  <c r="S9" i="1"/>
  <c r="O9" i="1"/>
  <c r="N9" i="1"/>
  <c r="M9" i="1"/>
  <c r="AP8" i="1"/>
  <c r="AO8" i="1"/>
  <c r="AN8" i="1"/>
  <c r="AM8" i="1"/>
  <c r="AL8" i="1"/>
  <c r="AK8" i="1"/>
  <c r="AA8" i="1"/>
  <c r="Z8" i="1"/>
  <c r="Y8" i="1"/>
  <c r="U8" i="1"/>
  <c r="T8" i="1"/>
  <c r="S8" i="1"/>
  <c r="O8" i="1"/>
  <c r="N8" i="1"/>
  <c r="M8" i="1"/>
  <c r="T24" i="2" l="1"/>
  <c r="U14" i="2"/>
  <c r="T13" i="2"/>
  <c r="S25" i="2"/>
  <c r="U26" i="2"/>
  <c r="S17" i="2"/>
  <c r="R17" i="2"/>
  <c r="U17" i="2" l="1"/>
  <c r="S16" i="2"/>
  <c r="U25" i="2"/>
  <c r="S24" i="2"/>
  <c r="T12" i="2"/>
  <c r="T23" i="2"/>
  <c r="U24" i="2" l="1"/>
  <c r="S13" i="2"/>
  <c r="T22" i="2"/>
  <c r="T11" i="2"/>
  <c r="S23" i="2"/>
  <c r="U16" i="2"/>
  <c r="S22" i="2" l="1"/>
  <c r="S12" i="2"/>
  <c r="U23" i="2"/>
  <c r="U13" i="2"/>
  <c r="T10" i="2"/>
  <c r="T9" i="2" l="1"/>
  <c r="U12" i="2"/>
  <c r="U22" i="2"/>
  <c r="S11" i="2"/>
  <c r="S10" i="2" l="1"/>
  <c r="U11" i="2"/>
  <c r="T8" i="2"/>
  <c r="T29" i="2" l="1"/>
  <c r="U10" i="2"/>
  <c r="S9" i="2"/>
  <c r="U9" i="2" l="1"/>
  <c r="S8" i="2"/>
  <c r="S29" i="2" l="1"/>
  <c r="U8" i="2"/>
  <c r="U29" i="2" l="1"/>
</calcChain>
</file>

<file path=xl/sharedStrings.xml><?xml version="1.0" encoding="utf-8"?>
<sst xmlns="http://schemas.openxmlformats.org/spreadsheetml/2006/main" count="312" uniqueCount="189">
  <si>
    <t>Указать название организации (на бланке организации)</t>
  </si>
  <si>
    <t>{"estimateId":5149559,"estimateVersionId":7503056}</t>
  </si>
  <si>
    <t>1</t>
  </si>
  <si>
    <t>fnfS57YCfk1WWHadTsdwFFZpK7MYS+W0UA3+GNHLUNwpZUini5iuvThY6AkUXz6fbuj+3MwTSpo+lI7ZFwjhgqyIhSr7z9QG2xGwnN40voCSEBx4TP+hzyMDqQaQlEtS2YYc5Fi4sBVCbyhKdlsZiSvocXuh74GHo0P2k0MydAI=</t>
  </si>
  <si>
    <t>ТЕХНИКО-КОММЕРЧЕСКОЕ ПРЕДЛОЖЕНИЕ (ТКП)</t>
  </si>
  <si>
    <t>г. Москва, ул. Люблинская, вл. 72, корп. 34, Школа на 2200 мест</t>
  </si>
  <si>
    <t>Стоимость, указанная в предложении, включает в себя все необходимые затраты на выполнение полного комплекса работс НДС 22%</t>
  </si>
  <si>
    <t>Предельная стоимость производства работ (ПСПР)</t>
  </si>
  <si>
    <t>МФ-СТРОЙ ООО</t>
  </si>
  <si>
    <t>9701212867</t>
  </si>
  <si>
    <t>Разница</t>
  </si>
  <si>
    <t>Цена подрядчика - ПСПР</t>
  </si>
  <si>
    <t>Материалы/
оборудование</t>
  </si>
  <si>
    <t>СМР, ПНР</t>
  </si>
  <si>
    <t>Общая стоимость руб.</t>
  </si>
  <si>
    <t>%</t>
  </si>
  <si>
    <t>eF7VXXtTW0eW/yq3qEqVY0va+9Srav4A/BgcgzASmYFhKiVAJNQC8gKeJDOVKmMnm5l1Np68ZrJOHI8zszv7z1ZhG2KMDf4KV99oT/e9EkI6fdV9RN924gqSrq6k3+/06fPox+k/jGx/eKMxUh5Zr98YyYz8rr52s1HjVzZurq1lRhofLDXWogsjW+0b4PkfFkaWmuvrzY2FkfJv4AX7Fnh6cjWzcPJlC/G3LZx8Hb936+Q2/jr8e3gY7obPwt3W7dZnVnjEXzyBv0fhQbhvhcetW+HT+CW769/h8cA6x260wsfhC/7WofDON/nvLTWbm8urG/Xt6EdHHX61sbW9ug7XZprvTyx3Ad7YXt3+8MrN1fa1jzKn2W6srL5LY/uHhYWTn4XfhFflwPFLQVDKdL/1dmNza7W5Ed9RCGzPDvIfYVQuDkMFFIDGA0NyeRgkW6vvEhUIg3JpGChDafOP4Tfhf4cPwm/D++EPWfYn/B7+fRP+Lfwn/H3Er3xjhQ/hwjfh1+F38PIv8Ix94hvQ6h/hhoe4zrrlWdcUrac5C1gct3agp0HfzFitO+ELuPZd63PeBw/CI/7ebutexoI74L2CC88Oead8lbM8H179L3vNeizv5pbr2rYVvgz3Wzut2yhlrzzrmaL8qHUbwB4AvmOGr/UZJx3bKsB/xMgCVyt8BRT3wz0gdhz+BM+Y/TngYjgMX7Q+b30K9++3brN7QUj74WP+OfaUyWEfPvW49Qn83WO/1rrLLkfm8Bb/ezeSFnzibviKy+8o/hG4sX3hGCzfMZc3AH4Fl/bDQ/iFXYt9CTTRMXzRjgVq9nX4CAT/BipuvzzrmxL3w1iI+yCyz2LhMrmfboNI2MfcwD9hIuO3PDnFE3rRQ+ho0MPQfnQ1KFcCUyy/D/+RBWw/Qu//IfwvC/7APwzldFCeMYWyVLAd13GL+QKGrBqUZ00hA7Gx7ge6D859F9Xht4Ly6LQxfP/De+Zu1C/3Wrda9+Dvp6CuYDesrNVWTBx5vjx6LW8K+ffM1oCZugVgd6EP3oXI418WFjaYdWJGHGzfHjzvBGY4hYIp+I+AwN8yTMAPBOK9ZgzbD2Df/yQyaFyyj3Mo5EnQiElTsN9AIU0BpMrPW0mnTElUQkkrxrCRlXQaNGLaGOwHPOABjQCTy5QB/mIgwSkYg3ifuQIWOz6LQt9vQQ/Q1h8LymPGUD6APsOafJ8Hk135d1coioEeD8rjxkDf563PQYPO7nK78Jw73wQxXwzKF19DxL3hAgb9UlC+ZAz6N+EeZHws8n6JWoLLQfmyMXAg19Z/tj7OcUXdidMpVIZXgvIVkzDDF1mWuljhF3jk/8ug/Etj+CIvsM/6/WEHKoZyIihPGEMZR9mZtl8amNlezZff+lkHLVeNyXpgzGIu5ldWg2v5srksABtPksQNecDUz1p9jSUxg9XXXDaQFHFnQMCy2lHJl82lDcp9ENKF6z9rXTaX6wzU5evGoCmrwUy+PGMM7RCmuJov137W6ls1J/VB6lszBu2sTPFsvjw7DInt5nZ9rY/DwshGfb0RfS2dR9cMiby6X3RLGujc2LqxWWPvTcJXbq7W1y79283VG+vwbQjJlR6Sv6jOTp6bLKJzO5N64VbXN6c3NmUxTuEYp/RinN5cXcJ0pQ8iyOpCG0tvRKEF4vZQLV7FpVnVB1WttWs4vpo+fNItDTK6UMNbelYLvPdWl5cbG8P18DlcnnO6Aau1+jyOcl43Sum2B3ldmMfbfnR0KJRDOdz7PEh5ER60Po5GO/lireOTZRUH0QAUHyQND+Fv+zpc+pgvKnkZfah1D+Xm2eVZzzZF788YpjHP2KqkB7GwP42G9HejELG1A5dunQSMuCjHzcHeC3etc2+8afGJnSO2hgYDeNEYQAzNLz0HNM8UovALXPOMLRz7isWbXMWOTq/hOeAv7oSv4Bm/eNgVoMYrm9ik2RO+KohNmryIVj21Pse11BhFpqWDNNQUOFxDXdBQU4jCL3EN9UzhEWoo1zueRzF7GWvp43i58TFfwHfYutP63GKLjrnuMm8F+mmdizQ8WszctrsH3XZ3Fw0bxs1JAZT4XJvcYINrCiauzmyVqClE4Ve4Ovum8DziHv3QYgb29HJRFj619ZotmbjNVk3e5u/t8UEldLp03BwVvjI4h2ugKVC4BvqggaYQhV/jGhiYwvNVtzUMn8Pj3fA5G5CKFDOwmCcXLCYxh1rGi5sChytdAEpnCtElXOeMjYx/258WWmyNxSu+Z2Gfr2k4ipwwW23/H3x5PDOA4PRAPcFHt9veal94k6/gP44WnIP23o1DUmZAn7HtD63P+AoeFh687PslUS5lTEIimmz6gK2UGaD6pnDjqp8H1TeFKPwLrvvDjPsPhedL0Os9UM/u8X2+BSRK6tlI/357X8khso0EAlZQ7zvw0a5VaNxqv+T9pdW3qw5ugLdwBTcmhidMDF1CyPLoG1nSiCu4Kdy4ghdAwU0hCv+KK3jRFB48Q+Mr/F7xMDfeOsqGCZ7y+47ZeuAnVhzssgHEaNdo+Ff2Av5/lrTKctwcVQlLbAobrqhFUFRTiMJvcUU1NqrdM8z6iO3ywhXMGEQ+pMrNPVuFvDs41TeFFFe3EqibKUThfVTdfGOzDD9AbHq3dbt7iydEATsWGMz7bJnFt/AgGIrieT8bvfoTXPqkvasyCorBgGa7trpy2/pGZEv5VwzYWz9uTiBdoT1Ta6svJmBX38BCIDRav2iMCar8vl2eNYYo/A5XfmMTHV3K36eX7eiALYuCOJYpONcEptrdG4XZJ9qZ2wseKkR7XtysZ/FIIrKWp7tCnD1x9WEL5QOrs817n2kW+7XuHJP9JoPE+9mznvgD3hR0ImOC7elEvZD5NS4bvMuYwo13GQe6jClE4fd4lzE28/JPHixH02gnkXTXrNsuaHHsEHh5Al5TgFtS1vb9n8XyzGiafg96xD3U0JLGoM3JrGsXDFP85E0xF43hxLXfBe03hSh8gGu/ZwrP19FYXeQwnsbzz7dOXEa7dEY0SoCPbphDvwf2likgRO2xBX6Ka6AphLgGeqCBphDhudeY7xvDE63STgw9kgKP467Pn+OhBthcsMwQx78Zb3rd4+rLx+7YCO+d1id87O5FtGycl+g5ZvtNWa7wKbe/sTFnPYBBcm3HZwoGj0H8mI8hCQIVY+LkoLInuexJZDLoIog2Wv8MAt0Pn8VroFF+F43xYy2QXVjYYC0QPxayeC9jdXtMwQwf4r0sMIXnEej7c9bDpAy6KZigjDt8AkYwBnnRGDJcxQJQMVOIBNUSfGMzQF/xgJWHq1G1Kj7DDcb3gAcXPOtr3bLKVviPXPhtLvwh11WoKwqdW59nosD3RS5jNbLr9dU1XEFNkcTVIA9qYApR+AhXA2PzJGwzf/cC5WM2MPCC16Y6PpO2N8UMb/sCtL0pROGPeNsbm3pg5er43CKv7heXSjm0ovqNcY57kthGaoI3sikKeCMXoZEVEf2Wf89yY7q+/R5cA3z5xSV3cbFuZxv+SpD1i/ZKtlgsrGTrvmfXvcB3lpfr0Z2bzfejJ6XoocOssdbo7Bbppia9F86BfvdlnOMdt4ctWCMdINezXUuSe25nFTvRRdWjxfKEvKRkhfIRfNDxpIVxBjvpSvhOOk3UfHVqajtypnA+U5r4BOp8pPfuMDoVnE5FEx35bjjkbj6cVlUPLddWo6WmcTWcS00TF0eNi5K2zeJUZjVQYVzyC6edQC+1rcbS9iri38AJ3FxfbGAt1O8GHIzRKD6J7BX8Yr5QKhZ7aUWuF6QvjZB5xHducJc4EGQegzhGhNjbhROEKOdJ2aKZ3mLEHU95EAWyENRGhXjRcfHxUnmCyKbPF4rpnIEvdOzMpOviDpFKoNfjSRBQsz9TgHpKgHqKijpQR61kaSoAuiIAXaGCllf9Ib0XgK8KwFeJ4Pt81ADwajpSA8Q1AeIaFbG8uSZ4IgA8KwA8SwHcZb01+xuBx3HwpRtt1CWhmKVBKrmcnIuhHKOilO96sl6Hl4vpnCDQusOr2bcH7NlsNa8VD+/jI7uOXZ6gkknZ6Ti4wyGjT8Hj4JCnyJADdchK5qQiQFwhI5ZX+GF9DY68SkWu29HgcGtkuPJGmuJlcLSzJLRpuhiRk8EXO8W4S7ZQytIwFZ2MyM0Qccr3OkU3w5bH7oXP+AqmIz5HzgZ22zPjp53QOdQLoYo07jjghohkU3ZDgryHjD4FNyRIesiQA3XISvamIkBcISOW7xDDuiFBukNFrtsNCXIdMlx5Q05xQ4JEh4SWwY37XgpuSOSI8HWHbeSOUM7SQJUdUc7HkI5Rkcr3PFlX9GV4BB7mNl9DcBTPKXIPxOYP71rRuvb9eP0iXwgG3keY/7jgeIjUUnY8nsDxUNGn4HhwyFNkyIE6ZCULUxEgrpARy6v/sI4HR16lItfteHC4NTJcedNNcTw42lkS2nTzH7Hr8RKxu0JJS0MluB5RHkTEKt/7ZJ3P3ztTOs/bUzmYuzkODzEi444H7oZIJmV342cmnbzA5VAZpOBy/MyUAPYUGXagDlvJvlQAdUWAukJGLa/8w7oeP1MVoK9S0et2P36mJoBcI0OWN+IUF+RnZgWIZ0mIuY4spOmGRI7IT0TvCeUtDZbkiHC0Y1S08r3x7F0RP46MDc+xhdev+O72XZ4nsTOpj6P9tRjZcccHd0UknLK7CgSuioo+BVeFQ54iQw7UISvZoIoAcYWMWL5TDOuicORVKnLd7gmHWyPDlTfsFNeEo50loWVwCwsdb/SbJPf0fnPzXxEKNN8k8k5BIolAKHI5rETXlCuI3BMRbq+xFolW0jd939nz8VPG4pM/L09d2Y1H7/bQRXLtahSsAOaO2DkRqfZadmHLrDMT887qlowqYQgvUhEGSggl0J3sw+DVBTpi5htw0Dhil5e94fN6fAfsDo8eWAkcvo9jn+/Gfc6qh0Fbf8/3crB9hDnLzdmFUoY95IsZy2OvMNlcosomLyeb9UZ96+amlK6+RMccLlMBFuQANj640djYwgBu9AB0crZtYxCvUCEW5SD+rrl2U6q7Y+B+SQXXGxMIwHE/JSG9ohtg8Cao8Jxezy/Ax0Is7kZlgpZe0HYOb/GrZNSSrrODWhiw9EL1CoEA7FtksJK+swMWgdkXqYDoLsxUZqcungNcYJ/QkOUaGbKk/1TKdGS1YpKMWtIVEjKcSNTQy86fErpI8FNkCoEiBWmFAaleaMPqS3ioaCW9142zNhzTZMSS7uzGGRmN62Sgkk7thmz7T3cMxnWxwZghw1Vxc2epCVUq4r6UNwkx3VBcTzYUNTJ8SQ+omP+CktRwIzFLQvrRR79NfWUK/END4FFmrhIY5IWylgZLS399DO0YFa38IJRs9qs0MssLCrX+COnZE1blpF2Q5WXrDl/b0j707TmvV4rXlxx38uUJKv2Ux2kLgnFaKvreEEYCvbxxisZpcchTZMiBOmR5g8THaXHEFTJi+S4i7a8E47Q48ioVue5xWhxujQxX3swr+ik+ToujnSWh7bLzXD1SG6gVTMyNOnjRlTYL6b3KZzpQywdr0QGwMSpeyUxT1lf9wCcBeTGe2AG111LGB7nsRAU/+BDuvvXWRv3mSlTsNHyUzbtB/PyJ5Vi8Rh/fE7BjsRWa8JFXcS3UA/bx6M4/Z3GBjFMF0usBNI7nEhEGSggl0L2O47lE2UhmxGcwnksEKJkAn8l4LhGiZOo75HguEZxKoisjPcfO4wnABBWhliHdPhc8cfnSzExl5lyU5kbBcDEz6ZQyky6rp+C8yewjkODpr4266qtkipIeWX3813Ft0VDDW2S0kj5ZcQC40BkALogHgKmQJd3ycClUhB+YnJ8Qc5gkc5D0pIREqj3KUzh/qgnEw8FUCoEiBWn1AaleaMPqy6uoaCWdn/RwsITRqYLRqYLRqbqsOIeM0Zkm05N0nWpjx47tlYo5p4hBvU6GKulCFUaPC53RY2FPnSHDVXGqJMWJsE8nW5oqFb/mseTC+VOiF48lU+FLelPFHB1UpoZbmFkSUh59ubYX1JeCbLBYWMr6dt3LluqlRrbQcNySV2z4hXps9YXJ+3qsPwhBagIvSuHxAmpClrL0sDQ/gZVKqo/xGNPJozfOSGodySGAryCVfBUttOLHX+ILsliVz1d8qICVN7vy4Y3N5tI7UfYfvbDCR/HnjsKn0RtOwEayLTew7dYnLFLExDWuU1yBvLgU0u+vQSxRsQN2WMZBdORiFk2y+TkvnSS79Zk11tyoLzVvAlmQ2PfWeHOtudmwrq1uNJpWfKhAhh1L9hDMlmfbHwS++4HjZoIMO9ngkP/kTjRRwIZnZkavWSXb9qysVQxsq/XH1u0cO6s2JYSOEygg9Pz82SOcTASYZ5oHAJn6SSB0C6UYIaKol3Qqam8omKCoZzAWopFIb9CXQERlzAT1GFd0EukNCROIDDmyopFEb6CYQEJ6BMZ1Cjnbx6hM6KTSN0yTwEVpqKaPYL6UK6Ed56pWfgqu/SyGEdqDCUUWH0OYXxQPKOhkrWD4pPPg/pyx6Lu5Yh5jN62VnWr/k2GX2J7Tg9uzqo1xNCtYXK4HXn4paxfyTtZ37Hp2sRg0ssXiir1ctOuNRlsqqaYcgiUuJVVRyNFLPeXQyEPBLsmmHGz+6rj1MYR9EM69Ex+uvMuPF9iFSPBF6150xmL4nL1XCM779nk749vslRe+xEQwrlMEgbwIFNKIU1IQzNHxSTl4eBwvGmLTsK/YZ/jrJ52DzOC2Lzu38YOqWQT8ACLa1idukR81CW+zotQgP4h0A78rW9AP5CFE4gCk0A/E8YK8EEl0QGZ3uH8tGx7zL2cnvkW/x5Hutm61bscp7POMde0X8O1soxE7cxaQHvBJ6OfCBCCO/52CCpbLCJY74VM+C/6Ezb+ScZRUYPDfPI628kabrXryKo7MCSAH4vk4GZWadMIH/eLhB/kdcfEcDSWgYslOStQ0mgKFeEUhUWOz7U9zFm7aLuvkoyVfs3Po+PwVnUTSy9c0klCNFyXaolgMcg4a/UzoZJJauub7uSI6an5VKz2FqOgss7VSHN2XxNmaTtYK1o+crXmlQpDL+xi5aa3kVDufDLkBydrA5qxqY8yTtUXHz3t5z88W3eVC1i8t57OL8NksvFparBdLbt2L05hUkzUPE8Wom1huGhOFHL20kzWdPBTMklqy9mnID+97ycNKtpXhgMdsdzun2B/3rCQ96FpJyuvP8P0L1rloSSgL2TMQwrFxfXjOrvHlpxD4PeXHDh9F4Xx0DUK9O/zqK1ZOAALFx/FMAK/22bqVezOeiupahRr/XrTq9NXpaBUyI550PgwfWYXA4ueFIy01rrOlAvmWUskpeXL2hGVtnHXrHi+9gGRlWctz7K4k8FHITvTbiyLw9swfkswd81O4j1mDxIH8fpR1MVGPREF7+Jg9Zz9hu+7JT/y9k/11/QBLDlmWmrfhfr/Uhei7tqJY/FvZcuL98CeWO0YTQuys7o95qnMqCY3fjrmzFy7knnamPRkZp51JCYTOdldwoQoJRPsYZ9aRDlu3MVaXdbLSkkbgkz46aaSWROgkoRrHyLSEeNmtTiZpJhE+GnRc1UpPwVufYRLh2lHUGT1irCe1slawgOQkomAXcvkA4zatlZtq35PhlpxDDG7NqjbGPIfwlvKNAEIJuNcuwb1+CfKNRiPrBIuNpdKiXwoKwUL6OQRqrUbd5LMCEFHI0Us9h9DIQ8EqSecQ0coxFso9g2jxDo9XICtg49ate3yH83EndotC9h8hvvuEDxN3zUeEh9G7gZ0QtGsUTSAvGqWgvSMdFk3zLeKtz/nROve6BcZHiVl60/oTvPU5/ws3/JnL52MmQSv8FkLmHRDZ83AvY7E1dyyyZougIomx0DcfJMa+GsWnYPkVYt+XqOe+rJOIlnDXztkBOlB7RSeV9EJejSRU3a5EawSFXOChmjWhk0l6Ia9d8kTrnLQSVHAvZxn0OnGY5IiDXp2sFUwfOej1nKKXz7Gf7Gc3rZWdav+TYTcg7B3YnlVtjKMyPR/F4e9Ccmx7RqV68PVLrptIMfXjclF7OUZF2atVw5fm+aF1chYhG1fe4aPMLAS9FW9yiIYv2aGFrbsZi++x7x5sPubvsaHovc6I40G4j9Eed93yBJV6umV5XMHhUmT0vjp6+X1evCyPAPIUGXKgDll+bxcryyNAXCEjlu8edJvL94wKkFepyDWX5RHArZHhypt0xS1/rCyPAO0sCS3Xi4V0HJJgF5/riXEXbdsWSlkapqJLEpRKp+KU73UkpxQNAfzEZyrvRhVa2MzOPiT7USWd5xibcdcDX0NklLKv8QW+hoo+BV+DQ54iQw7UISsZlYoAcYWMWF7rh/U1OPIqFbluX4PDrZHhyltriq/B0c6S0HaNh6bga0Texk9EnvoJuuBtcgGGdIyKVL7nEf3No/B++AUGedz1wakQYafsVATnP5HRp+BUBOc/kSEH6pCVrEdFgLhCRiyv2sM6FcH5T1Tkup2K4PwnMlx5s0xxKoLzn0hoGdy476XiVERuJUjE7golLQ2V4FYEha+pWOV7n6xj6Tr2iect0eAaXzwaH+l0yO/gBUbYnGZU2hpjNe4G4HuIzFL2PYJjcsnoU/A9giNyyZADdchKRqYiQFwhI5bX/mF9j+BoXCpy3b5HcCwuGa689ab4HsGRuCS0Xb6H2XHtJa3d9noljMKom0+k4AsFLoeU5H+EJ7RTwfYa6iGrWfc6oPZSeL6M6Gl0DEPbK53kPvGCo65NCn31rPkGgnbF5U5F69P7Cu7xteyYeMap4un1BPpqW1MRBkoIJdC9hrWtqbLpnfLXVtuaClCyQKf8CiZxbWsqRMnCnEOuTCKC640hhqxt7Tr5XAFt4QkqQmO1rd1CZtItRuVl3XxSTWsyNUmXTKhp7RVKoprWZLSSblmtprWbb9e0jmSMQb5GhizpnIdLodrLs/LnJ8QcJskcJD0oIZGKq80C8FNNIKxpTaYQKFKQVh+Q6oU2rL68iopW0ulJr3GTMDZVMDZVKWMzTaYl6SoVa1n7+Xwh5+InIZKhSrpM+VrWHStzXdxDZ8hwVZwoSWHaCwYTLUyVil9vLeuOdbmebF1qZPiSXlQxNweVqeGWZZaElGtKvbTsLuWdbNH1VrK+6wXZRadUzDZKBdtZXlwuBH4jIiPM2tfrZ7PPqJO5i3L3hHrdGEdZclh+n8BJJcfHeIzp5NEbXSS1jWT637WP5j7fS3Sn9bEV/oPvhmElC/jSzXAvrhVwUpaa/c0FgupL4zqFEMgLQSGF/j+e8r6Mts/3D4Q8R6uEiaov88pvj5gw4Z49XqbrsLWTPdmfZfHSAS/gicfkWrTCL3jS/SO2/yhzqiC07SRtRNIo994oJUHuZ5CeaySiZSMSpPEBxuSKTibp7UPSSKI3mEkgIT0q4BZyQYD60gmdVFLbiCQ6P+qqVnYK7ucsEtx2mluId62Ij2/SylrB7klnaH3WI/AKTq6EWpBprexUe58Mu8T2nB7cnlVtjHlQbDcWC4tLK262vuQUs/7iciNbbHj5rLe0tOgvLQfFoh1reopBMeoGR92EstO4IOTIpR4Ua+ShYJXkg+LTFaG656u6CkRFVZj7Fm1EFZjz9nkXrbE4rlMYgbwwFILj+6crJZ2uLbXbKWf28mQqMSo/e2ouSS4eHhjhahSegqWXj3AZFYzJZZ1MtIS4gonsKzqJpBfhaiSh6mMl2qLk2Dk3Xi3YF+FqpJJahBsII1yd7BR8yVlGuPH5E674PBGtrBXsHjnCZWfeeuhagWmt3FT7ngy3AfHtwNasamN8ssueR7rvrS4vNzbGIXqb5sEbk0R+ccldXKzb2Ya/EmT9or2SLRYLK9m679l1L/Cd5eX6wunol60MOyXExlqjI5rTMox+kd4v2NzUXAmV2hwuNDbW3S8vOZY8DO7Vfily8rMSjNE8zmheE6Ne7y/FSH6iAgiNjuKMRkc1UOoKzcQqKV4ieSYq6diZORfvzXMlcWculIp9JTM600i9iidFQVHxAPe8APc8FXeveknhVlQvwD06KgAOykdA3pXymtMiB9cgJ7HYYFG8yz4VFcJBz5NBp6I/OGimWATUr4XuCKyPk1yxR7xrNhXdEZgeMuhUdEdkdkioGWzftO7g9TLm4jNORITEm+NS0R0c9DwZdCq6g4NmSkVA/VrYHT8z5+BbRuZYvpxAyjWrP35mXgB8ngw8FR3yIfYRIGcaRoDOU2HTioTveZ1j600TCHlmlQgHPU8GnYoC4aCZZhFQd40nMxU6tcXLlVyiHXGRHgzs5YWxeZst8k0gEwiboHeQbzBmeaWJVx46QXy2Ss4VDQL9iozfV8Yvj3xGAvmvycgDFeRkc4NbGSrmXiszGLOqttQkZD5Pxt9rcAbjl1YZEOqFNrB+W0MBzIcvM69BwFwQ+Kp8Iqm8tBZJ4ZdXpMhX4aDnyaBT8VU4aBYAEVB3Bcx85N+Es2ovnncKA3v1207CQhes3G6qPmww/l+R8ev1YYOR/5qMPFBBTjdD8VYdCSpzZCppuLbB+OfJ+LW6tsKFNrB+00QBzBCXXNsL6ktBNlgsLGV9u+5lS/VSI1toOG7JKzb8Qr3P8yks0zobw9U2X9H0JTReogFLmMnERCErA7SrDaQ+fHcrDlTXOW2UI+8ldRLpa6IiJSkVSZytweQlJwNTKlKSUBFdlKkH0BpTkfiErQEqou2wLTMq4tqDVUQbZer5YuZUxJFSEV0HUxhSEUdCRXRRTjyLI+1UW1DLfY5Uyz2TUqotAD1PBp1Gqi0APUo7EeV1mFIQ1GaeI9VmTk13cNDzZNCp6A4OepR2dAGDHZjWHcF0FKkEa2q6I5iOIoNORXdE01Ek1K/D8LCghOIcqYRiarojmAsng05Fd0TT4CTUXbrDol2To8NufmAA+Dap7EcmndFhCfy/IuP3lfHLI5+RQP5rMvJABTndCrWziMFU5shUem3SYCqqSlSTwD9Pxq9zdNjNX2gD67dMFMA8mpbaw/yaJO0FqaQ9YaB8qH3cWFcbSH347jZ4MmNOG2Xq1nVzKiI1gaBtK5QhFZGYQNBGuXv310cjma4fHimPXHbgyqnfjExPpuvH2le2tj9ca2yB7EZWmhvb7HGpudbcZE/qm+8usm+77F4O/GIB5Mx31cOl2up6Y8uaarxvzTTX6xvwa1urv4c3HDczcnNjubG5trrB7ttowgN8rL62+u4GEy/72veam6u/h9+qr8Eda42Vbfj47xqb26tL/MoS3NbYhGvvb9Zv1BofwGe2N2824FsWgWJjk2NdbG5vN9ejZ+xilbFo/2AGoWDz/9gGo5Hl1fq7zQ32W5RPc8CkT26uvvse8aPbzRuUD8InV1bXOFH2yDQabthqrkHzM11YHhd+lilGfXO7/4a2LjBl4OUvLjc3Qc0iBWLP2BZEuPNKY6OxCUKG+25sNrejfIHdtdZc+tcGqF/7coNhibokXFzdeA865DYD//9ZKkYZ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</si>
  <si>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</si>
  <si>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</si>
  <si>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</si>
  <si>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</si>
  <si>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</si>
  <si>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</si>
  <si>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</si>
  <si>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</si>
  <si>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</si>
  <si>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</si>
  <si>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</si>
  <si>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</si>
  <si>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</si>
  <si>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</si>
  <si>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</si>
  <si>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</si>
  <si>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22%</t>
  </si>
  <si>
    <t>Стоимость, руб.с НДС 22%</t>
  </si>
  <si>
    <t>Общая стоимость,
руб.с НДС 22%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</si>
  <si>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</si>
  <si>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</si>
  <si>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</si>
  <si>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</si>
  <si>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</si>
  <si>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</si>
  <si>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6.2</t>
  </si>
  <si>
    <t>СМР корпуса без отделки</t>
  </si>
  <si>
    <t>1.1.1.1</t>
  </si>
  <si>
    <t>6.2.2</t>
  </si>
  <si>
    <t>СМР надземной части корпуса (без отделки)</t>
  </si>
  <si>
    <t>1.1.1.1.1</t>
  </si>
  <si>
    <t>6.2.2.4</t>
  </si>
  <si>
    <t>Внутренние стены и перегородки</t>
  </si>
  <si>
    <t>1.1.1.1.1.1</t>
  </si>
  <si>
    <t>6.2.2.4.2</t>
  </si>
  <si>
    <t>Устройство перегородок</t>
  </si>
  <si>
    <t>1.1.1.1.1.1.1</t>
  </si>
  <si>
    <t>6.2.2.4.2.1</t>
  </si>
  <si>
    <t>Устройство перегородок из кирпича и блоков</t>
  </si>
  <si>
    <t>1.1.1.1.1.1.1.1</t>
  </si>
  <si>
    <t>6.2.2.4.2.1.7.1</t>
  </si>
  <si>
    <t>Монтаж, демонтаж, аренда строительных лесов</t>
  </si>
  <si>
    <t>Применительно: Устройство акустических панелей в ММП пом. 2.079, 2.068, 3.079</t>
  </si>
  <si>
    <t>м2</t>
  </si>
  <si>
    <t>b834d9d5-d82e-4a35-aecd-d355084311b3</t>
  </si>
  <si>
    <t>852c05ca-a7d7-4643-bfae-218d51c2b94b</t>
  </si>
  <si>
    <t>0ed13e26-7903-4b3b-80e2-92ed86dbdc43</t>
  </si>
  <si>
    <t>1.1.1.1.1.1.2</t>
  </si>
  <si>
    <t>6.2.2.4.2.4</t>
  </si>
  <si>
    <t>Устройство перегородок и зашивка коммуникаций ГКЛ</t>
  </si>
  <si>
    <t>1.1.1.1.1.1.2.1</t>
  </si>
  <si>
    <t>6.2.2.4.2.4.2.19</t>
  </si>
  <si>
    <t>Облицовка стен по системе Knauf / С-625 / в 1 слой с утеплением/ А-19</t>
  </si>
  <si>
    <t>0a1e7f3f-a54a-4c8e-888d-b946e618ec31</t>
  </si>
  <si>
    <t>6185b0aa-a6b8-4805-b551-df9c750b8cb5</t>
  </si>
  <si>
    <t>1.1.1.1.1.1.2.1.1</t>
  </si>
  <si>
    <t>Гипсовые строительные плиты Gyproc_ / Gyproc Стронг / 15мм 2500х1200</t>
  </si>
  <si>
    <t>Декоративно-акустическая панель Bonacoustic М Colore Lineo 14/2, ПП, 2300x542x12,5, окраска по RAL 9003 - 850 шт.
Декоративно-акустическая панель Bonacoustic М Colore Lineo 14/2, ПП, 1150x542x12,5, окраска по RAL 9003 - 346 шт.
Декоративно-акустическая панель Bonacoustic M Colore Lineo 14/2, ПП, 600х542х12,5, окраска по RAL 9003 - 279 шт.</t>
  </si>
  <si>
    <t>374867998.1277536</t>
  </si>
  <si>
    <t>34120297.1277536</t>
  </si>
  <si>
    <t>92035ac5-5b7c-40a3-9a9e-7e12938e47a4</t>
  </si>
  <si>
    <t>1.1.1.1.1.1.2.1.2</t>
  </si>
  <si>
    <t>Профиль_/направляющий/75*40*0,40/3м</t>
  </si>
  <si>
    <t>Профиль акустический вибродемпфированный Вибронет ПН 27х28 длина 3м - 540 шт.
Профиль акустический вибродемпфированный Вибронет ПП 60х27 длина 3м - 1356 шт.
Профиль для Bonacoustic L-образный стартовый, L=3м, алюминий, окраска по RAL9003 - 176 шт.
Профиль для Bonacoustic F-образный угловой, L=3м, алюминий, окраска по RAL9003 - 96 шт.
Профиль для Bonacoustic уголок декоративный 15х15мм, L=3м, алюминий, окраска по RAL9003 - 176 шт.
Профиль для Bonacoustic Н-образный основной, L=3м, алюминий, окраска по RAL9003 - 890 шт.</t>
  </si>
  <si>
    <t>пог. м</t>
  </si>
  <si>
    <t>374867998.54562</t>
  </si>
  <si>
    <t>34120297.54562</t>
  </si>
  <si>
    <t>28da536c-0761-410a-b85e-88f0d80aee19</t>
  </si>
  <si>
    <t>1.1.1.1.1.1.2.1.3</t>
  </si>
  <si>
    <t>Прочие материалы для облицовки стен из ГКЛ (лента, шпатлевка, грунтовка, шуруп, дюбель и пр.)_ / 1 слой ГКЛ / профиль ПН/ПС 75 мм</t>
  </si>
  <si>
    <t>Подвес прямой Вибронет - 3100 шт.
Соединитель Вибронет одноуровневый "краб" - 3022 шт.
Удлинитель ПП 27х60 - 490 шт.
Лента крепежная перфорированная прямая 20х0,5мм 25м - 130 шт.</t>
  </si>
  <si>
    <t>комплект</t>
  </si>
  <si>
    <t>374867998.1277440</t>
  </si>
  <si>
    <t>34120297.1277440</t>
  </si>
  <si>
    <t>b1463634-82d7-49d6-b536-2d7cba892a32</t>
  </si>
  <si>
    <t>1.1.1.1.1.1.2.1.4</t>
  </si>
  <si>
    <t>Плита звукоизоляционная / Техноакустик / 50 мм</t>
  </si>
  <si>
    <t>Плита негорючая звукопоглощающая Акуфон Инсайд, 1200х600х50 мм - 1650 шт.</t>
  </si>
  <si>
    <t>м3</t>
  </si>
  <si>
    <t>374867998.1721598</t>
  </si>
  <si>
    <t>34120297.1721598</t>
  </si>
  <si>
    <t>3c6e5100-8209-4949-b8ee-15bec9b49575</t>
  </si>
  <si>
    <t>1.1.2</t>
  </si>
  <si>
    <t>6.3</t>
  </si>
  <si>
    <t>Отделка, столярные работы, мебель и оборудование</t>
  </si>
  <si>
    <t>1.1.2.1</t>
  </si>
  <si>
    <t>6.3.1</t>
  </si>
  <si>
    <t>Отделка нежилых помещений</t>
  </si>
  <si>
    <t>1.1.2.1.1</t>
  </si>
  <si>
    <t>6.3.1.5</t>
  </si>
  <si>
    <t>Отделка СКБ</t>
  </si>
  <si>
    <t>1.1.2.1.1.1</t>
  </si>
  <si>
    <t>6.3.1.5.4</t>
  </si>
  <si>
    <t>Монтаж потолочных конструкций</t>
  </si>
  <si>
    <t>1.1.2.1.1.1.1</t>
  </si>
  <si>
    <t>6.3.1.5.4.4.2</t>
  </si>
  <si>
    <t>Монтаж подвесного потолка СКБ / из ГКЛ в 1 слой с применением профиля ПП</t>
  </si>
  <si>
    <t>2958f052-386d-4488-b826-0762b112545c</t>
  </si>
  <si>
    <t>3f978f2b-872c-42ab-be18-f6c72259b319</t>
  </si>
  <si>
    <t>8a7cac49-151b-40fd-a08b-5e72f8ff4034</t>
  </si>
  <si>
    <t>1.1.2.1.1.1.1.1</t>
  </si>
  <si>
    <t>Плита Кнауф Файерборд_ / 2500х1200х12.5 м</t>
  </si>
  <si>
    <t>Элемент подвесной декоративно-акустический Саундлюкс-Техно Соло 3/8 БелТ, 1200х600х50 мм, RAL 9003 - 301 шт.</t>
  </si>
  <si>
    <t>374868004.1523192</t>
  </si>
  <si>
    <t>34120442.1523192</t>
  </si>
  <si>
    <t>1a9d2c61-823f-4235-b198-e9701dbd754e</t>
  </si>
  <si>
    <t>1.1.2.1.1.1.1.2</t>
  </si>
  <si>
    <t>Подвес профиля прямой_/потолочный/60*27</t>
  </si>
  <si>
    <t>Комплект крепежа для монтажа панелей Саундлюкс-Техно Соло - 301 шт.</t>
  </si>
  <si>
    <t>шт</t>
  </si>
  <si>
    <t>374868004.54573</t>
  </si>
  <si>
    <t>34120442.54573</t>
  </si>
  <si>
    <t>0eb7bcf2-ac18-4bde-8e36-3ccb4cd58803</t>
  </si>
  <si>
    <t>Общая стоимость работ, руб.с НДС 22%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</si>
  <si>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</si>
  <si>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</si>
  <si>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</si>
  <si>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</si>
  <si>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</si>
  <si>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</si>
  <si>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</si>
  <si>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</si>
  <si>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</si>
  <si>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</si>
  <si>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</si>
  <si>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</si>
  <si>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</si>
  <si>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</si>
  <si>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</si>
  <si>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</si>
  <si>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</si>
  <si>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</si>
  <si>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</si>
  <si>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</si>
  <si>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</si>
  <si>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</si>
  <si>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</si>
  <si>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</si>
  <si>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</si>
  <si>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</si>
  <si>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</si>
  <si>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</si>
  <si>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</si>
  <si>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</si>
  <si>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</si>
  <si>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</si>
  <si>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</si>
  <si>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</si>
  <si>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</si>
  <si>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</si>
  <si>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</si>
  <si>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</si>
  <si>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</si>
  <si>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</si>
  <si>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</si>
  <si>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</si>
  <si>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</si>
  <si>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</si>
  <si>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</si>
  <si>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</si>
  <si>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</si>
  <si>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</si>
  <si>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</si>
  <si>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</si>
  <si>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</si>
  <si>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</si>
  <si>
    <t>СУММА</t>
  </si>
  <si>
    <t>ОБЩЕЕ КОЛИЧЕСТВО</t>
  </si>
  <si>
    <t>ОСТАЛОСТЬ ЗАКРЫТЬ</t>
  </si>
  <si>
    <t>ВЫПОЛНЕНИЕ 2026</t>
  </si>
  <si>
    <t>КС2 № 1</t>
  </si>
  <si>
    <t>08.07.2026-31.07.2026 гг.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</si>
</sst>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30" x14ac:knownFonts="1">
    <font>
      <sz val="11"/>
      <color rgb="FF000000"/>
      <name val="Calibri"/>
    </font>
    <font>
      <b/>
      <sz val="11"/>
      <color rgb="FFFFFFFF"/>
      <name val="Times New Roman"/>
    </font>
    <font>
      <sz val="12"/>
      <color rgb="FF2F5487"/>
      <name val="Times New Roman"/>
    </font>
    <font>
      <b/>
      <sz val="16"/>
      <color rgb="FF000000"/>
      <name val="Times New Roman"/>
    </font>
    <font>
      <sz val="12"/>
      <color rgb="FF000000"/>
      <name val="Times New Roman"/>
    </font>
    <font>
      <sz val="16"/>
      <color rgb="FF000000"/>
      <name val="Times New Roman"/>
    </font>
    <font>
      <b/>
      <sz val="16"/>
      <color rgb="FFFFFFFF"/>
      <name val="Times New Roman"/>
    </font>
    <font>
      <b/>
      <sz val="13"/>
      <color rgb="FF000000"/>
      <name val="Times New Roman"/>
    </font>
    <font>
      <b/>
      <sz val="18"/>
      <color rgb="FF000000"/>
      <name val="Times New Roman"/>
    </font>
    <font>
      <sz val="12"/>
      <color rgb="FFFFFFFF"/>
      <name val="Times New Roman"/>
    </font>
    <font>
      <sz val="15"/>
      <color rgb="FFFFFFFF"/>
      <name val="Times New Roman"/>
    </font>
    <font>
      <sz val="12"/>
      <color rgb="FF1F2933"/>
      <name val="Times New Roman"/>
    </font>
    <font>
      <sz val="15"/>
      <color rgb="FF1F2933"/>
      <name val="Times New Roman"/>
    </font>
    <font>
      <sz val="14"/>
      <color rgb="FF000000"/>
      <name val="Times New Roman"/>
    </font>
    <font>
      <i/>
      <sz val="14"/>
      <color rgb="FF000000"/>
      <name val="Times New Roman"/>
    </font>
    <font>
      <b/>
      <sz val="14"/>
      <color rgb="FF000000"/>
      <name val="Times New Roman"/>
    </font>
    <font>
      <b/>
      <sz val="22"/>
      <color rgb="FFFF0000"/>
      <name val="Times New Roman"/>
      <family val="1"/>
      <charset val="204"/>
    </font>
    <font>
      <b/>
      <sz val="22"/>
      <color rgb="FFFF0000"/>
      <name val="Calibri"/>
      <family val="2"/>
      <charset val="204"/>
    </font>
    <font>
      <sz val="22"/>
      <color rgb="FF000000"/>
      <name val="Times New Roman"/>
      <family val="1"/>
      <charset val="204"/>
    </font>
    <font>
      <b/>
      <sz val="22"/>
      <color rgb="FF000000"/>
      <name val="Times New Roman"/>
      <family val="1"/>
      <charset val="204"/>
    </font>
    <font>
      <sz val="22"/>
      <color rgb="FF000000"/>
      <name val="Calibri"/>
      <family val="2"/>
      <charset val="204"/>
    </font>
    <font>
      <sz val="18"/>
      <color rgb="FF000000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2"/>
      <color theme="0" tint="-0.249977111117893"/>
      <name val="Times New Roman"/>
      <family val="1"/>
      <charset val="204"/>
    </font>
    <font>
      <i/>
      <sz val="14"/>
      <color theme="0" tint="-0.249977111117893"/>
      <name val="Times New Roman"/>
      <family val="1"/>
      <charset val="204"/>
    </font>
    <font>
      <sz val="14"/>
      <color theme="0" tint="-0.249977111117893"/>
      <name val="Times New Roman"/>
      <family val="1"/>
      <charset val="204"/>
    </font>
  </fonts>
  <fills count="21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7E2EF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5F6B73"/>
        <bgColor rgb="FF000000"/>
      </patternFill>
    </fill>
    <fill>
      <patternFill patternType="solid">
        <fgColor rgb="FF7A878F"/>
        <bgColor rgb="FF000000"/>
      </patternFill>
    </fill>
    <fill>
      <patternFill patternType="solid">
        <fgColor rgb="FFA3ADB5"/>
        <bgColor rgb="FF000000"/>
      </patternFill>
    </fill>
    <fill>
      <patternFill patternType="solid">
        <fgColor rgb="FFC9D1D6"/>
        <bgColor rgb="FF000000"/>
      </patternFill>
    </fill>
    <fill>
      <patternFill patternType="solid">
        <fgColor rgb="FF2F6F73"/>
        <bgColor rgb="FF000000"/>
      </patternFill>
    </fill>
    <fill>
      <patternFill patternType="solid">
        <fgColor rgb="FF4F8F93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rgb="FF000000"/>
      </patternFill>
    </fill>
  </fills>
  <borders count="6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left" vertical="center" wrapText="1"/>
    </xf>
    <xf numFmtId="0" fontId="4" fillId="0" borderId="4" xfId="0" applyFont="1" applyBorder="1" applyAlignment="1" applyProtection="1">
      <alignment horizontal="center" vertical="center" wrapText="1"/>
    </xf>
    <xf numFmtId="0" fontId="0" fillId="2" borderId="0" xfId="0" applyFill="1" applyProtection="1"/>
    <xf numFmtId="0" fontId="4" fillId="0" borderId="0" xfId="0" applyFont="1" applyAlignment="1" applyProtection="1">
      <alignment horizontal="left" vertical="center"/>
    </xf>
    <xf numFmtId="4" fontId="7" fillId="0" borderId="4" xfId="0" applyNumberFormat="1" applyFont="1" applyBorder="1" applyAlignment="1" applyProtection="1">
      <alignment horizontal="center" vertical="center"/>
    </xf>
    <xf numFmtId="0" fontId="0" fillId="5" borderId="2" xfId="0" applyFill="1" applyBorder="1" applyProtection="1"/>
    <xf numFmtId="4" fontId="7" fillId="5" borderId="4" xfId="0" applyNumberFormat="1" applyFont="1" applyFill="1" applyBorder="1" applyAlignment="1" applyProtection="1">
      <alignment horizontal="center" vertical="center"/>
    </xf>
    <xf numFmtId="4" fontId="4" fillId="0" borderId="0" xfId="0" applyNumberFormat="1" applyFont="1" applyAlignment="1" applyProtection="1">
      <alignment horizontal="left" vertical="center"/>
    </xf>
    <xf numFmtId="10" fontId="7" fillId="0" borderId="4" xfId="0" applyNumberFormat="1" applyFont="1" applyBorder="1" applyAlignment="1" applyProtection="1">
      <alignment horizontal="center" vertical="center"/>
    </xf>
    <xf numFmtId="10" fontId="7" fillId="5" borderId="4" xfId="0" applyNumberFormat="1" applyFont="1" applyFill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left" vertical="center"/>
    </xf>
    <xf numFmtId="0" fontId="9" fillId="6" borderId="4" xfId="0" applyFont="1" applyFill="1" applyBorder="1" applyAlignment="1" applyProtection="1">
      <alignment horizontal="left" vertical="center"/>
    </xf>
    <xf numFmtId="0" fontId="9" fillId="7" borderId="4" xfId="0" applyFont="1" applyFill="1" applyBorder="1" applyAlignment="1" applyProtection="1">
      <alignment horizontal="left" vertical="center"/>
    </xf>
    <xf numFmtId="0" fontId="11" fillId="8" borderId="4" xfId="0" applyFont="1" applyFill="1" applyBorder="1" applyAlignment="1" applyProtection="1">
      <alignment horizontal="left" vertical="center"/>
    </xf>
    <xf numFmtId="0" fontId="11" fillId="9" borderId="4" xfId="0" applyFont="1" applyFill="1" applyBorder="1" applyAlignment="1" applyProtection="1">
      <alignment horizontal="left" vertical="center"/>
    </xf>
    <xf numFmtId="0" fontId="9" fillId="10" borderId="4" xfId="0" applyFont="1" applyFill="1" applyBorder="1" applyAlignment="1" applyProtection="1">
      <alignment horizontal="left" vertical="center"/>
    </xf>
    <xf numFmtId="0" fontId="9" fillId="11" borderId="4" xfId="0" applyFont="1" applyFill="1" applyBorder="1" applyAlignment="1" applyProtection="1">
      <alignment horizontal="left" vertical="center"/>
    </xf>
    <xf numFmtId="0" fontId="13" fillId="0" borderId="4" xfId="0" applyFont="1" applyBorder="1" applyAlignment="1" applyProtection="1">
      <alignment horizontal="left" vertical="center" wrapText="1"/>
    </xf>
    <xf numFmtId="0" fontId="13" fillId="0" borderId="4" xfId="0" applyFont="1" applyBorder="1" applyAlignment="1" applyProtection="1">
      <alignment horizontal="center" vertical="center" wrapText="1"/>
    </xf>
    <xf numFmtId="164" fontId="13" fillId="0" borderId="4" xfId="0" applyNumberFormat="1" applyFont="1" applyBorder="1" applyAlignment="1" applyProtection="1">
      <alignment horizontal="center" vertical="center" wrapText="1"/>
    </xf>
    <xf numFmtId="4" fontId="13" fillId="0" borderId="4" xfId="0" applyNumberFormat="1" applyFont="1" applyBorder="1" applyAlignment="1" applyProtection="1">
      <alignment horizontal="center" vertical="center" wrapText="1"/>
    </xf>
    <xf numFmtId="4" fontId="13" fillId="3" borderId="4" xfId="0" applyNumberFormat="1" applyFont="1" applyFill="1" applyBorder="1" applyAlignment="1" applyProtection="1">
      <alignment horizontal="center" vertical="center" wrapText="1"/>
    </xf>
    <xf numFmtId="4" fontId="13" fillId="3" borderId="4" xfId="0" applyNumberFormat="1" applyFont="1" applyFill="1" applyBorder="1" applyAlignment="1" applyProtection="1">
      <alignment horizontal="center" vertical="center" wrapText="1"/>
      <protection locked="0"/>
    </xf>
    <xf numFmtId="10" fontId="13" fillId="0" borderId="4" xfId="0" applyNumberFormat="1" applyFont="1" applyBorder="1" applyAlignment="1" applyProtection="1">
      <alignment horizontal="center" vertical="center" wrapText="1"/>
    </xf>
    <xf numFmtId="0" fontId="14" fillId="0" borderId="4" xfId="0" applyFont="1" applyBorder="1" applyAlignment="1" applyProtection="1">
      <alignment horizontal="right" vertical="center" wrapText="1"/>
    </xf>
    <xf numFmtId="0" fontId="13" fillId="0" borderId="4" xfId="0" applyFont="1" applyBorder="1" applyAlignment="1" applyProtection="1">
      <alignment horizontal="center" vertical="center"/>
    </xf>
    <xf numFmtId="164" fontId="13" fillId="0" borderId="4" xfId="0" applyNumberFormat="1" applyFont="1" applyBorder="1" applyAlignment="1" applyProtection="1">
      <alignment horizontal="center" vertical="center"/>
    </xf>
    <xf numFmtId="4" fontId="13" fillId="3" borderId="4" xfId="0" applyNumberFormat="1" applyFont="1" applyFill="1" applyBorder="1" applyAlignment="1" applyProtection="1">
      <alignment horizontal="center" vertical="center"/>
    </xf>
    <xf numFmtId="4" fontId="13" fillId="0" borderId="4" xfId="0" applyNumberFormat="1" applyFont="1" applyBorder="1" applyAlignment="1" applyProtection="1">
      <alignment horizontal="center" vertical="center"/>
    </xf>
    <xf numFmtId="4" fontId="13" fillId="3" borderId="4" xfId="0" applyNumberFormat="1" applyFont="1" applyFill="1" applyBorder="1" applyAlignment="1" applyProtection="1">
      <alignment horizontal="center" vertical="center"/>
      <protection locked="0"/>
    </xf>
    <xf numFmtId="10" fontId="13" fillId="0" borderId="4" xfId="0" applyNumberFormat="1" applyFont="1" applyBorder="1" applyAlignment="1" applyProtection="1">
      <alignment horizontal="center" vertical="center"/>
    </xf>
    <xf numFmtId="0" fontId="14" fillId="12" borderId="4" xfId="0" applyFont="1" applyFill="1" applyBorder="1" applyAlignment="1" applyProtection="1">
      <alignment horizontal="right" vertical="center" wrapText="1"/>
    </xf>
    <xf numFmtId="0" fontId="0" fillId="3" borderId="0" xfId="0" applyFill="1" applyProtection="1"/>
    <xf numFmtId="0" fontId="15" fillId="3" borderId="4" xfId="0" applyFont="1" applyFill="1" applyBorder="1" applyAlignment="1" applyProtection="1">
      <alignment horizontal="right" vertical="center"/>
    </xf>
    <xf numFmtId="4" fontId="15" fillId="3" borderId="4" xfId="0" applyNumberFormat="1" applyFont="1" applyFill="1" applyBorder="1" applyAlignment="1" applyProtection="1">
      <alignment horizontal="center" vertical="center"/>
    </xf>
    <xf numFmtId="10" fontId="15" fillId="3" borderId="4" xfId="0" applyNumberFormat="1" applyFont="1" applyFill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left" vertical="center" wrapText="1"/>
    </xf>
    <xf numFmtId="0" fontId="0" fillId="0" borderId="1" xfId="0" applyBorder="1" applyProtection="1"/>
    <xf numFmtId="0" fontId="0" fillId="0" borderId="2" xfId="0" applyBorder="1" applyProtection="1"/>
    <xf numFmtId="0" fontId="4" fillId="0" borderId="18" xfId="0" applyFont="1" applyBorder="1" applyAlignment="1" applyProtection="1">
      <alignment horizontal="left" vertical="center"/>
    </xf>
    <xf numFmtId="0" fontId="4" fillId="14" borderId="3" xfId="0" applyFont="1" applyFill="1" applyBorder="1" applyAlignment="1" applyProtection="1">
      <alignment horizontal="center" vertical="center" wrapText="1"/>
    </xf>
    <xf numFmtId="0" fontId="4" fillId="14" borderId="4" xfId="0" applyFont="1" applyFill="1" applyBorder="1" applyAlignment="1" applyProtection="1">
      <alignment horizontal="center" vertical="center" wrapText="1"/>
    </xf>
    <xf numFmtId="4" fontId="7" fillId="13" borderId="4" xfId="0" applyNumberFormat="1" applyFont="1" applyFill="1" applyBorder="1" applyAlignment="1" applyProtection="1">
      <alignment horizontal="center" vertical="center"/>
    </xf>
    <xf numFmtId="4" fontId="7" fillId="14" borderId="4" xfId="0" applyNumberFormat="1" applyFont="1" applyFill="1" applyBorder="1" applyAlignment="1" applyProtection="1">
      <alignment horizontal="center" vertical="center"/>
    </xf>
    <xf numFmtId="4" fontId="7" fillId="13" borderId="19" xfId="0" applyNumberFormat="1" applyFont="1" applyFill="1" applyBorder="1" applyAlignment="1" applyProtection="1">
      <alignment horizontal="center" vertical="center"/>
    </xf>
    <xf numFmtId="0" fontId="0" fillId="14" borderId="0" xfId="0" applyFill="1" applyBorder="1"/>
    <xf numFmtId="4" fontId="7" fillId="14" borderId="19" xfId="0" applyNumberFormat="1" applyFont="1" applyFill="1" applyBorder="1" applyAlignment="1" applyProtection="1">
      <alignment horizontal="center" vertical="center"/>
    </xf>
    <xf numFmtId="0" fontId="0" fillId="14" borderId="28" xfId="0" applyFill="1" applyBorder="1"/>
    <xf numFmtId="0" fontId="16" fillId="0" borderId="18" xfId="0" applyFont="1" applyBorder="1" applyAlignment="1" applyProtection="1">
      <alignment horizontal="center" vertical="center" wrapText="1"/>
    </xf>
    <xf numFmtId="0" fontId="16" fillId="0" borderId="4" xfId="0" applyFont="1" applyBorder="1" applyAlignment="1" applyProtection="1">
      <alignment horizontal="center" vertical="center" wrapText="1"/>
    </xf>
    <xf numFmtId="0" fontId="17" fillId="5" borderId="16" xfId="0" applyFont="1" applyFill="1" applyBorder="1" applyProtection="1"/>
    <xf numFmtId="0" fontId="17" fillId="5" borderId="2" xfId="0" applyFont="1" applyFill="1" applyBorder="1" applyProtection="1"/>
    <xf numFmtId="0" fontId="17" fillId="5" borderId="17" xfId="0" applyFont="1" applyFill="1" applyBorder="1" applyProtection="1"/>
    <xf numFmtId="0" fontId="17" fillId="0" borderId="27" xfId="0" applyFont="1" applyBorder="1"/>
    <xf numFmtId="0" fontId="17" fillId="0" borderId="0" xfId="0" applyFont="1" applyBorder="1"/>
    <xf numFmtId="0" fontId="17" fillId="0" borderId="28" xfId="0" applyFont="1" applyBorder="1"/>
    <xf numFmtId="4" fontId="16" fillId="3" borderId="18" xfId="0" applyNumberFormat="1" applyFont="1" applyFill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 wrapText="1"/>
    </xf>
    <xf numFmtId="0" fontId="18" fillId="0" borderId="4" xfId="0" applyFont="1" applyBorder="1" applyAlignment="1" applyProtection="1">
      <alignment horizontal="center" vertical="center" wrapText="1"/>
    </xf>
    <xf numFmtId="4" fontId="19" fillId="5" borderId="3" xfId="0" applyNumberFormat="1" applyFont="1" applyFill="1" applyBorder="1" applyAlignment="1" applyProtection="1">
      <alignment horizontal="center" vertical="center"/>
    </xf>
    <xf numFmtId="4" fontId="19" fillId="5" borderId="4" xfId="0" applyNumberFormat="1" applyFont="1" applyFill="1" applyBorder="1" applyAlignment="1" applyProtection="1">
      <alignment horizontal="center" vertical="center"/>
    </xf>
    <xf numFmtId="4" fontId="19" fillId="0" borderId="3" xfId="0" applyNumberFormat="1" applyFont="1" applyBorder="1" applyAlignment="1" applyProtection="1">
      <alignment horizontal="center" vertical="center"/>
    </xf>
    <xf numFmtId="4" fontId="19" fillId="0" borderId="4" xfId="0" applyNumberFormat="1" applyFont="1" applyBorder="1" applyAlignment="1" applyProtection="1">
      <alignment horizontal="center" vertical="center"/>
    </xf>
    <xf numFmtId="4" fontId="18" fillId="0" borderId="3" xfId="0" applyNumberFormat="1" applyFont="1" applyBorder="1" applyAlignment="1" applyProtection="1">
      <alignment horizontal="center" vertical="center"/>
    </xf>
    <xf numFmtId="0" fontId="20" fillId="0" borderId="0" xfId="0" applyFont="1"/>
    <xf numFmtId="0" fontId="5" fillId="13" borderId="24" xfId="0" applyFont="1" applyFill="1" applyBorder="1" applyAlignment="1" applyProtection="1">
      <alignment vertical="center"/>
    </xf>
    <xf numFmtId="0" fontId="5" fillId="13" borderId="25" xfId="0" applyFont="1" applyFill="1" applyBorder="1" applyAlignment="1" applyProtection="1">
      <alignment vertical="center"/>
    </xf>
    <xf numFmtId="0" fontId="0" fillId="3" borderId="33" xfId="0" applyFill="1" applyBorder="1" applyProtection="1"/>
    <xf numFmtId="0" fontId="15" fillId="3" borderId="34" xfId="0" applyFont="1" applyFill="1" applyBorder="1" applyAlignment="1" applyProtection="1">
      <alignment horizontal="right" vertical="center"/>
    </xf>
    <xf numFmtId="0" fontId="0" fillId="3" borderId="35" xfId="0" applyFill="1" applyBorder="1" applyProtection="1"/>
    <xf numFmtId="0" fontId="0" fillId="3" borderId="36" xfId="0" applyFill="1" applyBorder="1" applyProtection="1"/>
    <xf numFmtId="4" fontId="15" fillId="13" borderId="34" xfId="0" applyNumberFormat="1" applyFont="1" applyFill="1" applyBorder="1" applyAlignment="1" applyProtection="1">
      <alignment horizontal="center" vertical="center"/>
    </xf>
    <xf numFmtId="4" fontId="15" fillId="13" borderId="37" xfId="0" applyNumberFormat="1" applyFont="1" applyFill="1" applyBorder="1" applyAlignment="1" applyProtection="1">
      <alignment horizontal="center" vertical="center"/>
    </xf>
    <xf numFmtId="0" fontId="17" fillId="3" borderId="33" xfId="0" applyFont="1" applyFill="1" applyBorder="1" applyProtection="1"/>
    <xf numFmtId="0" fontId="17" fillId="3" borderId="35" xfId="0" applyFont="1" applyFill="1" applyBorder="1" applyProtection="1"/>
    <xf numFmtId="0" fontId="17" fillId="3" borderId="36" xfId="0" applyFont="1" applyFill="1" applyBorder="1" applyProtection="1"/>
    <xf numFmtId="4" fontId="19" fillId="3" borderId="38" xfId="0" applyNumberFormat="1" applyFont="1" applyFill="1" applyBorder="1" applyAlignment="1" applyProtection="1">
      <alignment horizontal="center" vertical="center"/>
    </xf>
    <xf numFmtId="4" fontId="19" fillId="3" borderId="34" xfId="0" applyNumberFormat="1" applyFont="1" applyFill="1" applyBorder="1" applyAlignment="1" applyProtection="1">
      <alignment horizontal="center" vertical="center"/>
    </xf>
    <xf numFmtId="4" fontId="19" fillId="3" borderId="37" xfId="0" applyNumberFormat="1" applyFont="1" applyFill="1" applyBorder="1" applyAlignment="1" applyProtection="1">
      <alignment horizontal="center" vertical="center"/>
    </xf>
    <xf numFmtId="0" fontId="4" fillId="0" borderId="14" xfId="0" applyFont="1" applyBorder="1" applyAlignment="1" applyProtection="1">
      <alignment horizontal="left" vertical="center"/>
    </xf>
    <xf numFmtId="4" fontId="16" fillId="3" borderId="12" xfId="0" applyNumberFormat="1" applyFont="1" applyFill="1" applyBorder="1" applyAlignment="1" applyProtection="1">
      <alignment horizontal="center" vertical="center"/>
      <protection locked="0"/>
    </xf>
    <xf numFmtId="4" fontId="18" fillId="0" borderId="39" xfId="0" applyNumberFormat="1" applyFont="1" applyBorder="1" applyAlignment="1" applyProtection="1">
      <alignment horizontal="center" vertical="center"/>
    </xf>
    <xf numFmtId="0" fontId="0" fillId="14" borderId="44" xfId="0" applyFill="1" applyBorder="1"/>
    <xf numFmtId="0" fontId="0" fillId="14" borderId="43" xfId="0" applyFill="1" applyBorder="1"/>
    <xf numFmtId="4" fontId="16" fillId="3" borderId="40" xfId="0" applyNumberFormat="1" applyFont="1" applyFill="1" applyBorder="1" applyAlignment="1" applyProtection="1">
      <alignment horizontal="center" vertical="center"/>
      <protection locked="0"/>
    </xf>
    <xf numFmtId="0" fontId="17" fillId="0" borderId="44" xfId="0" applyFont="1" applyBorder="1"/>
    <xf numFmtId="0" fontId="17" fillId="0" borderId="43" xfId="0" applyFont="1" applyBorder="1"/>
    <xf numFmtId="4" fontId="18" fillId="0" borderId="45" xfId="0" applyNumberFormat="1" applyFont="1" applyBorder="1" applyAlignment="1" applyProtection="1">
      <alignment horizontal="center" vertical="center"/>
    </xf>
    <xf numFmtId="0" fontId="20" fillId="0" borderId="44" xfId="0" applyFont="1" applyBorder="1"/>
    <xf numFmtId="0" fontId="9" fillId="7" borderId="6" xfId="0" applyFont="1" applyFill="1" applyBorder="1" applyAlignment="1" applyProtection="1">
      <alignment horizontal="left" vertical="center"/>
    </xf>
    <xf numFmtId="4" fontId="7" fillId="13" borderId="3" xfId="0" applyNumberFormat="1" applyFont="1" applyFill="1" applyBorder="1" applyAlignment="1" applyProtection="1">
      <alignment horizontal="center" vertical="center"/>
    </xf>
    <xf numFmtId="4" fontId="7" fillId="14" borderId="3" xfId="0" applyNumberFormat="1" applyFont="1" applyFill="1" applyBorder="1" applyAlignment="1" applyProtection="1">
      <alignment horizontal="center" vertical="center"/>
    </xf>
    <xf numFmtId="4" fontId="13" fillId="14" borderId="45" xfId="0" applyNumberFormat="1" applyFont="1" applyFill="1" applyBorder="1" applyAlignment="1" applyProtection="1">
      <alignment horizontal="center" vertical="center"/>
    </xf>
    <xf numFmtId="4" fontId="13" fillId="14" borderId="39" xfId="0" applyNumberFormat="1" applyFont="1" applyFill="1" applyBorder="1" applyAlignment="1" applyProtection="1">
      <alignment horizontal="center" vertical="center"/>
    </xf>
    <xf numFmtId="4" fontId="15" fillId="13" borderId="38" xfId="0" applyNumberFormat="1" applyFont="1" applyFill="1" applyBorder="1" applyAlignment="1" applyProtection="1">
      <alignment horizontal="center" vertical="center"/>
    </xf>
    <xf numFmtId="0" fontId="0" fillId="15" borderId="54" xfId="0" applyFill="1" applyBorder="1" applyProtection="1"/>
    <xf numFmtId="0" fontId="0" fillId="16" borderId="55" xfId="0" applyFill="1" applyBorder="1"/>
    <xf numFmtId="4" fontId="13" fillId="15" borderId="46" xfId="0" applyNumberFormat="1" applyFont="1" applyFill="1" applyBorder="1" applyAlignment="1" applyProtection="1">
      <alignment horizontal="center" vertical="center"/>
    </xf>
    <xf numFmtId="4" fontId="13" fillId="15" borderId="47" xfId="0" applyNumberFormat="1" applyFont="1" applyFill="1" applyBorder="1" applyAlignment="1" applyProtection="1">
      <alignment horizontal="center" vertical="center"/>
    </xf>
    <xf numFmtId="4" fontId="13" fillId="15" borderId="55" xfId="0" applyNumberFormat="1" applyFont="1" applyFill="1" applyBorder="1" applyAlignment="1" applyProtection="1">
      <alignment horizontal="center" vertical="center"/>
    </xf>
    <xf numFmtId="0" fontId="0" fillId="15" borderId="8" xfId="0" applyFill="1" applyBorder="1" applyProtection="1"/>
    <xf numFmtId="0" fontId="0" fillId="18" borderId="28" xfId="0" applyFill="1" applyBorder="1"/>
    <xf numFmtId="0" fontId="0" fillId="18" borderId="55" xfId="0" applyFill="1" applyBorder="1"/>
    <xf numFmtId="0" fontId="0" fillId="18" borderId="43" xfId="0" applyFill="1" applyBorder="1"/>
    <xf numFmtId="0" fontId="0" fillId="18" borderId="51" xfId="0" applyFill="1" applyBorder="1"/>
    <xf numFmtId="0" fontId="0" fillId="17" borderId="36" xfId="0" applyFill="1" applyBorder="1" applyProtection="1"/>
    <xf numFmtId="4" fontId="13" fillId="14" borderId="57" xfId="0" applyNumberFormat="1" applyFont="1" applyFill="1" applyBorder="1" applyAlignment="1" applyProtection="1">
      <alignment horizontal="center" vertical="center"/>
    </xf>
    <xf numFmtId="4" fontId="7" fillId="14" borderId="29" xfId="0" applyNumberFormat="1" applyFont="1" applyFill="1" applyBorder="1" applyAlignment="1" applyProtection="1">
      <alignment horizontal="center" vertical="center"/>
    </xf>
    <xf numFmtId="0" fontId="23" fillId="18" borderId="32" xfId="0" applyFont="1" applyFill="1" applyBorder="1" applyAlignment="1" applyProtection="1">
      <alignment horizontal="center" vertical="center" wrapText="1"/>
    </xf>
    <xf numFmtId="0" fontId="22" fillId="17" borderId="53" xfId="0" applyFont="1" applyFill="1" applyBorder="1" applyAlignment="1" applyProtection="1">
      <alignment horizontal="center" vertical="center"/>
    </xf>
    <xf numFmtId="4" fontId="24" fillId="17" borderId="8" xfId="0" applyNumberFormat="1" applyFont="1" applyFill="1" applyBorder="1" applyAlignment="1" applyProtection="1">
      <alignment horizontal="center" vertical="center"/>
    </xf>
    <xf numFmtId="0" fontId="25" fillId="18" borderId="55" xfId="0" applyFont="1" applyFill="1" applyBorder="1"/>
    <xf numFmtId="0" fontId="25" fillId="18" borderId="46" xfId="0" applyFont="1" applyFill="1" applyBorder="1"/>
    <xf numFmtId="0" fontId="25" fillId="18" borderId="47" xfId="0" applyFont="1" applyFill="1" applyBorder="1"/>
    <xf numFmtId="0" fontId="26" fillId="19" borderId="18" xfId="0" applyFont="1" applyFill="1" applyBorder="1" applyAlignment="1" applyProtection="1">
      <alignment horizontal="left" vertical="center"/>
    </xf>
    <xf numFmtId="0" fontId="26" fillId="19" borderId="4" xfId="0" applyFont="1" applyFill="1" applyBorder="1" applyAlignment="1" applyProtection="1">
      <alignment horizontal="left" vertical="center"/>
    </xf>
    <xf numFmtId="0" fontId="26" fillId="19" borderId="4" xfId="0" applyFont="1" applyFill="1" applyBorder="1" applyAlignment="1" applyProtection="1">
      <alignment horizontal="left" vertical="center" wrapText="1"/>
    </xf>
    <xf numFmtId="0" fontId="26" fillId="19" borderId="4" xfId="0" applyFont="1" applyFill="1" applyBorder="1" applyAlignment="1" applyProtection="1">
      <alignment horizontal="center" vertical="center" wrapText="1"/>
    </xf>
    <xf numFmtId="164" fontId="26" fillId="19" borderId="4" xfId="0" applyNumberFormat="1" applyFont="1" applyFill="1" applyBorder="1" applyAlignment="1" applyProtection="1">
      <alignment horizontal="center" vertical="center" wrapText="1"/>
    </xf>
    <xf numFmtId="164" fontId="26" fillId="19" borderId="19" xfId="0" applyNumberFormat="1" applyFont="1" applyFill="1" applyBorder="1" applyAlignment="1" applyProtection="1">
      <alignment horizontal="center" vertical="center" wrapText="1"/>
    </xf>
    <xf numFmtId="4" fontId="26" fillId="19" borderId="54" xfId="0" applyNumberFormat="1" applyFont="1" applyFill="1" applyBorder="1" applyAlignment="1" applyProtection="1">
      <alignment horizontal="center" vertical="center" wrapText="1"/>
    </xf>
    <xf numFmtId="4" fontId="26" fillId="20" borderId="17" xfId="0" applyNumberFormat="1" applyFont="1" applyFill="1" applyBorder="1" applyAlignment="1" applyProtection="1">
      <alignment horizontal="center" vertical="center" wrapText="1"/>
    </xf>
    <xf numFmtId="4" fontId="26" fillId="19" borderId="3" xfId="0" applyNumberFormat="1" applyFont="1" applyFill="1" applyBorder="1" applyAlignment="1" applyProtection="1">
      <alignment horizontal="center" vertical="center" wrapText="1"/>
    </xf>
    <xf numFmtId="4" fontId="26" fillId="19" borderId="4" xfId="0" applyNumberFormat="1" applyFont="1" applyFill="1" applyBorder="1" applyAlignment="1" applyProtection="1">
      <alignment horizontal="center" vertical="center" wrapText="1"/>
    </xf>
    <xf numFmtId="4" fontId="26" fillId="19" borderId="19" xfId="0" applyNumberFormat="1" applyFont="1" applyFill="1" applyBorder="1" applyAlignment="1" applyProtection="1">
      <alignment horizontal="center" vertical="center" wrapText="1"/>
    </xf>
    <xf numFmtId="4" fontId="22" fillId="19" borderId="18" xfId="0" applyNumberFormat="1" applyFont="1" applyFill="1" applyBorder="1" applyAlignment="1" applyProtection="1">
      <alignment horizontal="center" vertical="center" wrapText="1"/>
    </xf>
    <xf numFmtId="4" fontId="22" fillId="20" borderId="4" xfId="0" applyNumberFormat="1" applyFont="1" applyFill="1" applyBorder="1" applyAlignment="1" applyProtection="1">
      <alignment horizontal="center" vertical="center" wrapText="1"/>
      <protection locked="0"/>
    </xf>
    <xf numFmtId="4" fontId="22" fillId="19" borderId="19" xfId="0" applyNumberFormat="1" applyFont="1" applyFill="1" applyBorder="1" applyAlignment="1" applyProtection="1">
      <alignment horizontal="center" vertical="center" wrapText="1"/>
    </xf>
    <xf numFmtId="0" fontId="27" fillId="0" borderId="40" xfId="0" applyFont="1" applyBorder="1" applyAlignment="1" applyProtection="1">
      <alignment horizontal="left" vertical="center"/>
    </xf>
    <xf numFmtId="0" fontId="27" fillId="0" borderId="41" xfId="0" applyFont="1" applyBorder="1" applyAlignment="1" applyProtection="1">
      <alignment horizontal="left" vertical="center"/>
    </xf>
    <xf numFmtId="0" fontId="28" fillId="0" borderId="41" xfId="0" applyFont="1" applyBorder="1" applyAlignment="1" applyProtection="1">
      <alignment horizontal="right" vertical="center" wrapText="1"/>
    </xf>
    <xf numFmtId="0" fontId="29" fillId="0" borderId="41" xfId="0" applyFont="1" applyBorder="1" applyAlignment="1" applyProtection="1">
      <alignment horizontal="center" vertical="center" wrapText="1"/>
    </xf>
    <xf numFmtId="0" fontId="29" fillId="0" borderId="41" xfId="0" applyFont="1" applyBorder="1" applyAlignment="1" applyProtection="1">
      <alignment horizontal="center" vertical="center"/>
    </xf>
    <xf numFmtId="164" fontId="29" fillId="0" borderId="41" xfId="0" applyNumberFormat="1" applyFont="1" applyBorder="1" applyAlignment="1" applyProtection="1">
      <alignment horizontal="center" vertical="center"/>
    </xf>
    <xf numFmtId="164" fontId="29" fillId="0" borderId="42" xfId="0" applyNumberFormat="1" applyFont="1" applyBorder="1" applyAlignment="1" applyProtection="1">
      <alignment horizontal="center" vertical="center"/>
    </xf>
    <xf numFmtId="0" fontId="27" fillId="0" borderId="48" xfId="0" applyFont="1" applyBorder="1" applyAlignment="1" applyProtection="1">
      <alignment horizontal="left" vertical="center"/>
    </xf>
    <xf numFmtId="0" fontId="27" fillId="0" borderId="49" xfId="0" applyFont="1" applyBorder="1" applyAlignment="1" applyProtection="1">
      <alignment horizontal="left" vertical="center"/>
    </xf>
    <xf numFmtId="0" fontId="28" fillId="0" borderId="49" xfId="0" applyFont="1" applyBorder="1" applyAlignment="1" applyProtection="1">
      <alignment horizontal="right" vertical="center" wrapText="1"/>
    </xf>
    <xf numFmtId="0" fontId="29" fillId="0" borderId="49" xfId="0" applyFont="1" applyBorder="1" applyAlignment="1" applyProtection="1">
      <alignment horizontal="center" vertical="center" wrapText="1"/>
    </xf>
    <xf numFmtId="0" fontId="29" fillId="0" borderId="49" xfId="0" applyFont="1" applyBorder="1" applyAlignment="1" applyProtection="1">
      <alignment horizontal="center" vertical="center"/>
    </xf>
    <xf numFmtId="164" fontId="29" fillId="0" borderId="49" xfId="0" applyNumberFormat="1" applyFont="1" applyBorder="1" applyAlignment="1" applyProtection="1">
      <alignment horizontal="center" vertical="center"/>
    </xf>
    <xf numFmtId="164" fontId="29" fillId="0" borderId="50" xfId="0" applyNumberFormat="1" applyFont="1" applyBorder="1" applyAlignment="1" applyProtection="1">
      <alignment horizontal="center" vertical="center"/>
    </xf>
    <xf numFmtId="0" fontId="29" fillId="0" borderId="7" xfId="0" applyFont="1" applyBorder="1" applyAlignment="1" applyProtection="1">
      <alignment horizontal="center" vertical="center" wrapText="1"/>
    </xf>
    <xf numFmtId="0" fontId="29" fillId="0" borderId="7" xfId="0" applyFont="1" applyBorder="1" applyAlignment="1" applyProtection="1">
      <alignment horizontal="center" vertical="center"/>
    </xf>
    <xf numFmtId="164" fontId="29" fillId="0" borderId="7" xfId="0" applyNumberFormat="1" applyFont="1" applyBorder="1" applyAlignment="1" applyProtection="1">
      <alignment horizontal="center" vertical="center"/>
    </xf>
    <xf numFmtId="164" fontId="29" fillId="0" borderId="13" xfId="0" applyNumberFormat="1" applyFont="1" applyBorder="1" applyAlignment="1" applyProtection="1">
      <alignment horizontal="center" vertical="center"/>
    </xf>
    <xf numFmtId="0" fontId="28" fillId="13" borderId="49" xfId="0" applyFont="1" applyFill="1" applyBorder="1" applyAlignment="1" applyProtection="1">
      <alignment horizontal="right" vertical="center" wrapText="1"/>
    </xf>
    <xf numFmtId="0" fontId="28" fillId="13" borderId="7" xfId="0" applyFont="1" applyFill="1" applyBorder="1" applyAlignment="1" applyProtection="1">
      <alignment horizontal="right" vertical="center" wrapText="1"/>
    </xf>
    <xf numFmtId="0" fontId="27" fillId="0" borderId="12" xfId="0" applyFont="1" applyBorder="1" applyAlignment="1" applyProtection="1">
      <alignment horizontal="left" vertical="center"/>
    </xf>
    <xf numFmtId="0" fontId="27" fillId="0" borderId="7" xfId="0" applyFont="1" applyBorder="1" applyAlignment="1" applyProtection="1">
      <alignment horizontal="left" vertical="center"/>
    </xf>
    <xf numFmtId="0" fontId="26" fillId="19" borderId="58" xfId="0" applyFont="1" applyFill="1" applyBorder="1" applyAlignment="1" applyProtection="1">
      <alignment horizontal="left" vertical="center"/>
    </xf>
    <xf numFmtId="0" fontId="26" fillId="19" borderId="5" xfId="0" applyFont="1" applyFill="1" applyBorder="1" applyAlignment="1" applyProtection="1">
      <alignment horizontal="left" vertical="center"/>
    </xf>
    <xf numFmtId="0" fontId="26" fillId="19" borderId="5" xfId="0" applyFont="1" applyFill="1" applyBorder="1" applyAlignment="1" applyProtection="1">
      <alignment horizontal="left" vertical="center" wrapText="1"/>
    </xf>
    <xf numFmtId="0" fontId="26" fillId="19" borderId="5" xfId="0" applyFont="1" applyFill="1" applyBorder="1" applyAlignment="1" applyProtection="1">
      <alignment horizontal="center" vertical="center" wrapText="1"/>
    </xf>
    <xf numFmtId="164" fontId="26" fillId="19" borderId="5" xfId="0" applyNumberFormat="1" applyFont="1" applyFill="1" applyBorder="1" applyAlignment="1" applyProtection="1">
      <alignment horizontal="center" vertical="center" wrapText="1"/>
    </xf>
    <xf numFmtId="164" fontId="26" fillId="19" borderId="26" xfId="0" applyNumberFormat="1" applyFont="1" applyFill="1" applyBorder="1" applyAlignment="1" applyProtection="1">
      <alignment horizontal="center" vertical="center" wrapText="1"/>
    </xf>
    <xf numFmtId="4" fontId="26" fillId="19" borderId="59" xfId="0" applyNumberFormat="1" applyFont="1" applyFill="1" applyBorder="1" applyAlignment="1" applyProtection="1">
      <alignment horizontal="center" vertical="center" wrapText="1"/>
    </xf>
    <xf numFmtId="4" fontId="26" fillId="20" borderId="60" xfId="0" applyNumberFormat="1" applyFont="1" applyFill="1" applyBorder="1" applyAlignment="1" applyProtection="1">
      <alignment horizontal="center" vertical="center" wrapText="1"/>
    </xf>
    <xf numFmtId="4" fontId="26" fillId="19" borderId="61" xfId="0" applyNumberFormat="1" applyFont="1" applyFill="1" applyBorder="1" applyAlignment="1" applyProtection="1">
      <alignment horizontal="center" vertical="center" wrapText="1"/>
    </xf>
    <xf numFmtId="4" fontId="26" fillId="19" borderId="5" xfId="0" applyNumberFormat="1" applyFont="1" applyFill="1" applyBorder="1" applyAlignment="1" applyProtection="1">
      <alignment horizontal="center" vertical="center" wrapText="1"/>
    </xf>
    <xf numFmtId="4" fontId="26" fillId="19" borderId="26" xfId="0" applyNumberFormat="1" applyFont="1" applyFill="1" applyBorder="1" applyAlignment="1" applyProtection="1">
      <alignment horizontal="center" vertical="center" wrapText="1"/>
    </xf>
    <xf numFmtId="4" fontId="22" fillId="19" borderId="58" xfId="0" applyNumberFormat="1" applyFont="1" applyFill="1" applyBorder="1" applyAlignment="1" applyProtection="1">
      <alignment horizontal="center" vertical="center" wrapText="1"/>
    </xf>
    <xf numFmtId="4" fontId="22" fillId="20" borderId="5" xfId="0" applyNumberFormat="1" applyFont="1" applyFill="1" applyBorder="1" applyAlignment="1" applyProtection="1">
      <alignment horizontal="center" vertical="center" wrapText="1"/>
      <protection locked="0"/>
    </xf>
    <xf numFmtId="4" fontId="22" fillId="19" borderId="26" xfId="0" applyNumberFormat="1" applyFont="1" applyFill="1" applyBorder="1" applyAlignment="1" applyProtection="1">
      <alignment horizontal="center" vertical="center" wrapText="1"/>
    </xf>
    <xf numFmtId="0" fontId="26" fillId="19" borderId="14" xfId="0" applyFont="1" applyFill="1" applyBorder="1" applyAlignment="1" applyProtection="1">
      <alignment horizontal="left" vertical="center"/>
    </xf>
    <xf numFmtId="0" fontId="26" fillId="19" borderId="6" xfId="0" applyFont="1" applyFill="1" applyBorder="1" applyAlignment="1" applyProtection="1">
      <alignment horizontal="left" vertical="center"/>
    </xf>
    <xf numFmtId="0" fontId="26" fillId="19" borderId="6" xfId="0" applyFont="1" applyFill="1" applyBorder="1" applyAlignment="1" applyProtection="1">
      <alignment horizontal="left" vertical="center" wrapText="1"/>
    </xf>
    <xf numFmtId="0" fontId="26" fillId="19" borderId="6" xfId="0" applyFont="1" applyFill="1" applyBorder="1" applyAlignment="1" applyProtection="1">
      <alignment horizontal="center" vertical="center" wrapText="1"/>
    </xf>
    <xf numFmtId="164" fontId="26" fillId="19" borderId="6" xfId="0" applyNumberFormat="1" applyFont="1" applyFill="1" applyBorder="1" applyAlignment="1" applyProtection="1">
      <alignment horizontal="center" vertical="center" wrapText="1"/>
    </xf>
    <xf numFmtId="164" fontId="26" fillId="19" borderId="15" xfId="0" applyNumberFormat="1" applyFont="1" applyFill="1" applyBorder="1" applyAlignment="1" applyProtection="1">
      <alignment horizontal="center" vertical="center" wrapText="1"/>
    </xf>
    <xf numFmtId="4" fontId="26" fillId="19" borderId="53" xfId="0" applyNumberFormat="1" applyFont="1" applyFill="1" applyBorder="1" applyAlignment="1" applyProtection="1">
      <alignment horizontal="center" vertical="center" wrapText="1"/>
    </xf>
    <xf numFmtId="4" fontId="26" fillId="20" borderId="32" xfId="0" applyNumberFormat="1" applyFont="1" applyFill="1" applyBorder="1" applyAlignment="1" applyProtection="1">
      <alignment horizontal="center" vertical="center" wrapText="1"/>
    </xf>
    <xf numFmtId="4" fontId="26" fillId="19" borderId="29" xfId="0" applyNumberFormat="1" applyFont="1" applyFill="1" applyBorder="1" applyAlignment="1" applyProtection="1">
      <alignment horizontal="center" vertical="center" wrapText="1"/>
    </xf>
    <xf numFmtId="4" fontId="26" fillId="19" borderId="6" xfId="0" applyNumberFormat="1" applyFont="1" applyFill="1" applyBorder="1" applyAlignment="1" applyProtection="1">
      <alignment horizontal="center" vertical="center" wrapText="1"/>
    </xf>
    <xf numFmtId="4" fontId="26" fillId="19" borderId="15" xfId="0" applyNumberFormat="1" applyFont="1" applyFill="1" applyBorder="1" applyAlignment="1" applyProtection="1">
      <alignment horizontal="center" vertical="center" wrapText="1"/>
    </xf>
    <xf numFmtId="4" fontId="22" fillId="19" borderId="14" xfId="0" applyNumberFormat="1" applyFont="1" applyFill="1" applyBorder="1" applyAlignment="1" applyProtection="1">
      <alignment horizontal="center" vertical="center" wrapText="1"/>
    </xf>
    <xf numFmtId="4" fontId="22" fillId="20" borderId="6" xfId="0" applyNumberFormat="1" applyFont="1" applyFill="1" applyBorder="1" applyAlignment="1" applyProtection="1">
      <alignment horizontal="center" vertical="center" wrapText="1"/>
      <protection locked="0"/>
    </xf>
    <xf numFmtId="4" fontId="22" fillId="19" borderId="15" xfId="0" applyNumberFormat="1" applyFont="1" applyFill="1" applyBorder="1" applyAlignment="1" applyProtection="1">
      <alignment horizontal="center" vertical="center" wrapText="1"/>
    </xf>
    <xf numFmtId="0" fontId="4" fillId="0" borderId="62" xfId="0" applyFont="1" applyBorder="1" applyAlignment="1" applyProtection="1">
      <alignment horizontal="left" vertical="center"/>
    </xf>
    <xf numFmtId="0" fontId="9" fillId="11" borderId="34" xfId="0" applyFont="1" applyFill="1" applyBorder="1" applyAlignment="1" applyProtection="1">
      <alignment horizontal="left" vertical="center"/>
    </xf>
    <xf numFmtId="0" fontId="0" fillId="16" borderId="8" xfId="0" applyFill="1" applyBorder="1"/>
    <xf numFmtId="0" fontId="0" fillId="18" borderId="36" xfId="0" applyFill="1" applyBorder="1"/>
    <xf numFmtId="0" fontId="25" fillId="18" borderId="8" xfId="0" applyFont="1" applyFill="1" applyBorder="1"/>
    <xf numFmtId="4" fontId="7" fillId="14" borderId="38" xfId="0" applyNumberFormat="1" applyFont="1" applyFill="1" applyBorder="1" applyAlignment="1" applyProtection="1">
      <alignment horizontal="center" vertical="center"/>
    </xf>
    <xf numFmtId="4" fontId="7" fillId="14" borderId="34" xfId="0" applyNumberFormat="1" applyFont="1" applyFill="1" applyBorder="1" applyAlignment="1" applyProtection="1">
      <alignment horizontal="center" vertical="center"/>
    </xf>
    <xf numFmtId="4" fontId="7" fillId="14" borderId="37" xfId="0" applyNumberFormat="1" applyFont="1" applyFill="1" applyBorder="1" applyAlignment="1" applyProtection="1">
      <alignment horizontal="center" vertical="center"/>
    </xf>
    <xf numFmtId="0" fontId="17" fillId="0" borderId="33" xfId="0" applyFont="1" applyBorder="1"/>
    <xf numFmtId="0" fontId="17" fillId="0" borderId="35" xfId="0" applyFont="1" applyBorder="1"/>
    <xf numFmtId="0" fontId="17" fillId="0" borderId="36" xfId="0" applyFont="1" applyBorder="1"/>
    <xf numFmtId="4" fontId="19" fillId="0" borderId="38" xfId="0" applyNumberFormat="1" applyFont="1" applyBorder="1" applyAlignment="1" applyProtection="1">
      <alignment horizontal="center" vertical="center"/>
    </xf>
    <xf numFmtId="4" fontId="19" fillId="0" borderId="34" xfId="0" applyNumberFormat="1" applyFont="1" applyBorder="1" applyAlignment="1" applyProtection="1">
      <alignment horizontal="center" vertical="center"/>
    </xf>
    <xf numFmtId="4" fontId="19" fillId="0" borderId="37" xfId="0" applyNumberFormat="1" applyFont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6" fillId="2" borderId="0" xfId="0" applyFont="1" applyFill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 applyProtection="1">
      <alignment horizontal="center" vertical="center"/>
    </xf>
    <xf numFmtId="0" fontId="5" fillId="3" borderId="3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 wrapText="1"/>
    </xf>
    <xf numFmtId="0" fontId="4" fillId="0" borderId="6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</xf>
    <xf numFmtId="0" fontId="5" fillId="4" borderId="3" xfId="0" applyFont="1" applyFill="1" applyBorder="1" applyAlignment="1" applyProtection="1">
      <alignment horizontal="center" vertical="center" wrapText="1"/>
    </xf>
    <xf numFmtId="0" fontId="8" fillId="5" borderId="1" xfId="0" applyFont="1" applyFill="1" applyBorder="1" applyAlignment="1" applyProtection="1">
      <alignment horizontal="left" vertical="center"/>
    </xf>
    <xf numFmtId="0" fontId="8" fillId="5" borderId="2" xfId="0" applyFont="1" applyFill="1" applyBorder="1" applyAlignment="1" applyProtection="1">
      <alignment horizontal="left" vertical="center"/>
    </xf>
    <xf numFmtId="0" fontId="8" fillId="5" borderId="3" xfId="0" applyFont="1" applyFill="1" applyBorder="1" applyAlignment="1" applyProtection="1">
      <alignment horizontal="left" vertical="center"/>
    </xf>
    <xf numFmtId="0" fontId="10" fillId="6" borderId="1" xfId="0" applyFont="1" applyFill="1" applyBorder="1" applyAlignment="1" applyProtection="1">
      <alignment horizontal="left" vertical="center"/>
    </xf>
    <xf numFmtId="0" fontId="10" fillId="6" borderId="2" xfId="0" applyFont="1" applyFill="1" applyBorder="1" applyAlignment="1" applyProtection="1">
      <alignment horizontal="left" vertical="center"/>
    </xf>
    <xf numFmtId="0" fontId="10" fillId="6" borderId="3" xfId="0" applyFont="1" applyFill="1" applyBorder="1" applyAlignment="1" applyProtection="1">
      <alignment horizontal="left" vertical="center"/>
    </xf>
    <xf numFmtId="0" fontId="10" fillId="7" borderId="1" xfId="0" applyFont="1" applyFill="1" applyBorder="1" applyAlignment="1" applyProtection="1">
      <alignment horizontal="left" vertical="center"/>
    </xf>
    <xf numFmtId="0" fontId="10" fillId="7" borderId="2" xfId="0" applyFont="1" applyFill="1" applyBorder="1" applyAlignment="1" applyProtection="1">
      <alignment horizontal="left" vertical="center"/>
    </xf>
    <xf numFmtId="0" fontId="10" fillId="7" borderId="3" xfId="0" applyFont="1" applyFill="1" applyBorder="1" applyAlignment="1" applyProtection="1">
      <alignment horizontal="left" vertical="center"/>
    </xf>
    <xf numFmtId="0" fontId="12" fillId="8" borderId="1" xfId="0" applyFont="1" applyFill="1" applyBorder="1" applyAlignment="1" applyProtection="1">
      <alignment horizontal="left" vertical="center"/>
    </xf>
    <xf numFmtId="0" fontId="12" fillId="8" borderId="2" xfId="0" applyFont="1" applyFill="1" applyBorder="1" applyAlignment="1" applyProtection="1">
      <alignment horizontal="left" vertical="center"/>
    </xf>
    <xf numFmtId="0" fontId="12" fillId="8" borderId="3" xfId="0" applyFont="1" applyFill="1" applyBorder="1" applyAlignment="1" applyProtection="1">
      <alignment horizontal="left" vertical="center"/>
    </xf>
    <xf numFmtId="0" fontId="12" fillId="9" borderId="1" xfId="0" applyFont="1" applyFill="1" applyBorder="1" applyAlignment="1" applyProtection="1">
      <alignment horizontal="left" vertical="center"/>
    </xf>
    <xf numFmtId="0" fontId="12" fillId="9" borderId="2" xfId="0" applyFont="1" applyFill="1" applyBorder="1" applyAlignment="1" applyProtection="1">
      <alignment horizontal="left" vertical="center"/>
    </xf>
    <xf numFmtId="0" fontId="12" fillId="9" borderId="3" xfId="0" applyFont="1" applyFill="1" applyBorder="1" applyAlignment="1" applyProtection="1">
      <alignment horizontal="left" vertical="center"/>
    </xf>
    <xf numFmtId="0" fontId="10" fillId="10" borderId="1" xfId="0" applyFont="1" applyFill="1" applyBorder="1" applyAlignment="1" applyProtection="1">
      <alignment horizontal="left" vertical="center"/>
    </xf>
    <xf numFmtId="0" fontId="10" fillId="10" borderId="2" xfId="0" applyFont="1" applyFill="1" applyBorder="1" applyAlignment="1" applyProtection="1">
      <alignment horizontal="left" vertical="center"/>
    </xf>
    <xf numFmtId="0" fontId="10" fillId="10" borderId="3" xfId="0" applyFont="1" applyFill="1" applyBorder="1" applyAlignment="1" applyProtection="1">
      <alignment horizontal="left" vertical="center"/>
    </xf>
    <xf numFmtId="0" fontId="10" fillId="11" borderId="1" xfId="0" applyFont="1" applyFill="1" applyBorder="1" applyAlignment="1" applyProtection="1">
      <alignment horizontal="left" vertical="center"/>
    </xf>
    <xf numFmtId="0" fontId="10" fillId="11" borderId="2" xfId="0" applyFont="1" applyFill="1" applyBorder="1" applyAlignment="1" applyProtection="1">
      <alignment horizontal="left" vertical="center"/>
    </xf>
    <xf numFmtId="0" fontId="10" fillId="11" borderId="3" xfId="0" applyFont="1" applyFill="1" applyBorder="1" applyAlignment="1" applyProtection="1">
      <alignment horizontal="left" vertical="center"/>
    </xf>
    <xf numFmtId="0" fontId="4" fillId="0" borderId="2" xfId="0" applyFont="1" applyBorder="1" applyAlignment="1" applyProtection="1">
      <alignment horizontal="center" vertical="center" wrapText="1"/>
    </xf>
    <xf numFmtId="0" fontId="22" fillId="15" borderId="56" xfId="0" applyFont="1" applyFill="1" applyBorder="1" applyAlignment="1" applyProtection="1">
      <alignment horizontal="center" vertical="center" wrapText="1"/>
    </xf>
    <xf numFmtId="0" fontId="22" fillId="15" borderId="55" xfId="0" applyFont="1" applyFill="1" applyBorder="1" applyAlignment="1" applyProtection="1">
      <alignment horizontal="center" vertical="center" wrapText="1"/>
    </xf>
    <xf numFmtId="0" fontId="22" fillId="15" borderId="53" xfId="0" applyFont="1" applyFill="1" applyBorder="1" applyAlignment="1" applyProtection="1">
      <alignment horizontal="center" vertical="center" wrapText="1"/>
    </xf>
    <xf numFmtId="0" fontId="26" fillId="17" borderId="16" xfId="0" applyFont="1" applyFill="1" applyBorder="1" applyAlignment="1" applyProtection="1">
      <alignment horizontal="center"/>
    </xf>
    <xf numFmtId="0" fontId="26" fillId="17" borderId="17" xfId="0" applyFont="1" applyFill="1" applyBorder="1" applyAlignment="1" applyProtection="1">
      <alignment horizontal="center"/>
    </xf>
    <xf numFmtId="0" fontId="12" fillId="9" borderId="17" xfId="0" applyFont="1" applyFill="1" applyBorder="1" applyAlignment="1" applyProtection="1">
      <alignment horizontal="left" vertical="center"/>
    </xf>
    <xf numFmtId="0" fontId="10" fillId="10" borderId="17" xfId="0" applyFont="1" applyFill="1" applyBorder="1" applyAlignment="1" applyProtection="1">
      <alignment horizontal="left" vertical="center"/>
    </xf>
    <xf numFmtId="0" fontId="10" fillId="11" borderId="17" xfId="0" applyFont="1" applyFill="1" applyBorder="1" applyAlignment="1" applyProtection="1">
      <alignment horizontal="left" vertical="center"/>
    </xf>
    <xf numFmtId="0" fontId="10" fillId="11" borderId="63" xfId="0" applyFont="1" applyFill="1" applyBorder="1" applyAlignment="1" applyProtection="1">
      <alignment horizontal="left" vertical="center"/>
    </xf>
    <xf numFmtId="0" fontId="10" fillId="11" borderId="35" xfId="0" applyFont="1" applyFill="1" applyBorder="1" applyAlignment="1" applyProtection="1">
      <alignment horizontal="left" vertical="center"/>
    </xf>
    <xf numFmtId="0" fontId="10" fillId="11" borderId="36" xfId="0" applyFont="1" applyFill="1" applyBorder="1" applyAlignment="1" applyProtection="1">
      <alignment horizontal="left" vertical="center"/>
    </xf>
    <xf numFmtId="0" fontId="10" fillId="7" borderId="22" xfId="0" applyFont="1" applyFill="1" applyBorder="1" applyAlignment="1" applyProtection="1">
      <alignment horizontal="left" vertical="center"/>
    </xf>
    <xf numFmtId="0" fontId="10" fillId="7" borderId="52" xfId="0" applyFont="1" applyFill="1" applyBorder="1" applyAlignment="1" applyProtection="1">
      <alignment horizontal="left" vertical="center"/>
    </xf>
    <xf numFmtId="0" fontId="10" fillId="7" borderId="32" xfId="0" applyFont="1" applyFill="1" applyBorder="1" applyAlignment="1" applyProtection="1">
      <alignment horizontal="left" vertical="center"/>
    </xf>
    <xf numFmtId="0" fontId="12" fillId="8" borderId="17" xfId="0" applyFont="1" applyFill="1" applyBorder="1" applyAlignment="1" applyProtection="1">
      <alignment horizontal="left" vertical="center"/>
    </xf>
    <xf numFmtId="0" fontId="8" fillId="5" borderId="16" xfId="0" applyFont="1" applyFill="1" applyBorder="1" applyAlignment="1" applyProtection="1">
      <alignment horizontal="left" vertical="center"/>
    </xf>
    <xf numFmtId="0" fontId="8" fillId="5" borderId="17" xfId="0" applyFont="1" applyFill="1" applyBorder="1" applyAlignment="1" applyProtection="1">
      <alignment horizontal="left" vertical="center"/>
    </xf>
    <xf numFmtId="0" fontId="10" fillId="6" borderId="17" xfId="0" applyFont="1" applyFill="1" applyBorder="1" applyAlignment="1" applyProtection="1">
      <alignment horizontal="left" vertical="center"/>
    </xf>
    <xf numFmtId="0" fontId="10" fillId="7" borderId="17" xfId="0" applyFont="1" applyFill="1" applyBorder="1" applyAlignment="1" applyProtection="1">
      <alignment horizontal="left" vertical="center"/>
    </xf>
    <xf numFmtId="0" fontId="16" fillId="3" borderId="23" xfId="0" applyFont="1" applyFill="1" applyBorder="1" applyAlignment="1" applyProtection="1">
      <alignment horizontal="center" vertical="center"/>
      <protection locked="0"/>
    </xf>
    <xf numFmtId="0" fontId="16" fillId="3" borderId="24" xfId="0" applyFont="1" applyFill="1" applyBorder="1" applyAlignment="1" applyProtection="1">
      <alignment horizontal="center" vertical="center"/>
      <protection locked="0"/>
    </xf>
    <xf numFmtId="0" fontId="16" fillId="3" borderId="25" xfId="0" applyFont="1" applyFill="1" applyBorder="1" applyAlignment="1" applyProtection="1">
      <alignment horizontal="center" vertical="center"/>
      <protection locked="0"/>
    </xf>
    <xf numFmtId="0" fontId="18" fillId="3" borderId="2" xfId="0" applyFont="1" applyFill="1" applyBorder="1" applyAlignment="1" applyProtection="1">
      <alignment horizontal="center" vertical="center"/>
      <protection locked="0"/>
    </xf>
    <xf numFmtId="0" fontId="18" fillId="3" borderId="3" xfId="0" applyFont="1" applyFill="1" applyBorder="1" applyAlignment="1" applyProtection="1">
      <alignment horizontal="center" vertical="center"/>
      <protection locked="0"/>
    </xf>
    <xf numFmtId="0" fontId="4" fillId="14" borderId="2" xfId="0" applyFont="1" applyFill="1" applyBorder="1" applyAlignment="1" applyProtection="1">
      <alignment horizontal="center" vertical="center" wrapText="1"/>
    </xf>
    <xf numFmtId="0" fontId="4" fillId="14" borderId="3" xfId="0" applyFont="1" applyFill="1" applyBorder="1" applyAlignment="1" applyProtection="1">
      <alignment horizontal="center" vertical="center" wrapText="1"/>
    </xf>
    <xf numFmtId="0" fontId="4" fillId="14" borderId="26" xfId="0" applyFont="1" applyFill="1" applyBorder="1" applyAlignment="1" applyProtection="1">
      <alignment horizontal="center" vertical="center" wrapText="1"/>
    </xf>
    <xf numFmtId="0" fontId="4" fillId="14" borderId="15" xfId="0" applyFont="1" applyFill="1" applyBorder="1" applyAlignment="1" applyProtection="1">
      <alignment horizontal="center" vertical="center" wrapText="1"/>
    </xf>
    <xf numFmtId="0" fontId="26" fillId="17" borderId="30" xfId="0" applyFont="1" applyFill="1" applyBorder="1" applyAlignment="1" applyProtection="1">
      <alignment horizontal="center" vertical="center"/>
    </xf>
    <xf numFmtId="0" fontId="26" fillId="17" borderId="31" xfId="0" applyFont="1" applyFill="1" applyBorder="1" applyAlignment="1" applyProtection="1">
      <alignment horizontal="center" vertical="center"/>
    </xf>
    <xf numFmtId="0" fontId="26" fillId="17" borderId="20" xfId="0" applyFont="1" applyFill="1" applyBorder="1" applyAlignment="1" applyProtection="1">
      <alignment horizontal="center" vertical="center"/>
    </xf>
    <xf numFmtId="0" fontId="26" fillId="17" borderId="21" xfId="0" applyFont="1" applyFill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 wrapText="1"/>
    </xf>
    <xf numFmtId="0" fontId="4" fillId="0" borderId="12" xfId="0" applyFont="1" applyBorder="1" applyAlignment="1" applyProtection="1">
      <alignment horizontal="center" vertical="center" wrapText="1"/>
    </xf>
    <xf numFmtId="0" fontId="4" fillId="0" borderId="14" xfId="0" applyFont="1" applyBorder="1" applyAlignment="1" applyProtection="1">
      <alignment horizontal="center" vertical="center" wrapText="1"/>
    </xf>
    <xf numFmtId="0" fontId="4" fillId="0" borderId="10" xfId="0" applyFont="1" applyBorder="1" applyAlignment="1" applyProtection="1">
      <alignment horizontal="center" vertical="center" wrapText="1"/>
    </xf>
    <xf numFmtId="0" fontId="21" fillId="0" borderId="10" xfId="0" applyFont="1" applyBorder="1" applyAlignment="1" applyProtection="1">
      <alignment horizontal="center" vertical="center" wrapText="1"/>
    </xf>
    <xf numFmtId="0" fontId="21" fillId="0" borderId="7" xfId="0" applyFont="1" applyBorder="1" applyAlignment="1" applyProtection="1">
      <alignment horizontal="center" vertical="center" wrapText="1"/>
    </xf>
    <xf numFmtId="0" fontId="21" fillId="0" borderId="6" xfId="0" applyFont="1" applyBorder="1" applyAlignment="1" applyProtection="1">
      <alignment horizontal="center" vertical="center" wrapText="1"/>
    </xf>
    <xf numFmtId="0" fontId="16" fillId="0" borderId="16" xfId="0" applyFont="1" applyBorder="1" applyAlignment="1" applyProtection="1">
      <alignment horizontal="center" vertical="center" wrapText="1"/>
    </xf>
    <xf numFmtId="0" fontId="16" fillId="0" borderId="3" xfId="0" applyFont="1" applyBorder="1" applyAlignment="1" applyProtection="1">
      <alignment horizontal="center" vertical="center" wrapText="1"/>
    </xf>
    <xf numFmtId="0" fontId="16" fillId="0" borderId="26" xfId="0" applyFont="1" applyBorder="1" applyAlignment="1" applyProtection="1">
      <alignment horizontal="center" vertical="center" wrapText="1"/>
    </xf>
    <xf numFmtId="0" fontId="16" fillId="0" borderId="15" xfId="0" applyFont="1" applyBorder="1" applyAlignment="1" applyProtection="1">
      <alignment horizontal="center" vertical="center" wrapText="1"/>
    </xf>
    <xf numFmtId="0" fontId="18" fillId="0" borderId="2" xfId="0" applyFont="1" applyBorder="1" applyAlignment="1" applyProtection="1">
      <alignment horizontal="center" vertical="center" wrapText="1"/>
    </xf>
    <xf numFmtId="0" fontId="18" fillId="0" borderId="3" xfId="0" applyFont="1" applyBorder="1" applyAlignment="1" applyProtection="1">
      <alignment horizontal="center" vertical="center" wrapText="1"/>
    </xf>
    <xf numFmtId="0" fontId="18" fillId="0" borderId="5" xfId="0" applyFont="1" applyBorder="1" applyAlignment="1" applyProtection="1">
      <alignment horizontal="center" vertical="center" wrapText="1"/>
    </xf>
    <xf numFmtId="0" fontId="18" fillId="0" borderId="6" xfId="0" applyFont="1" applyBorder="1" applyAlignment="1" applyProtection="1">
      <alignment horizontal="center" vertical="center" wrapText="1"/>
    </xf>
    <xf numFmtId="0" fontId="22" fillId="0" borderId="11" xfId="0" applyFont="1" applyBorder="1" applyAlignment="1" applyProtection="1">
      <alignment horizontal="center" vertical="center" wrapText="1"/>
    </xf>
    <xf numFmtId="0" fontId="22" fillId="0" borderId="13" xfId="0" applyFont="1" applyBorder="1" applyAlignment="1" applyProtection="1">
      <alignment horizontal="center" vertical="center" wrapText="1"/>
    </xf>
    <xf numFmtId="0" fontId="22" fillId="0" borderId="15" xfId="0" applyFont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8"/>
  <sheetViews>
    <sheetView zoomScale="85" workbookViewId="0">
      <pane xSplit="9" ySplit="7" topLeftCell="J14" activePane="bottomRight" state="frozen"/>
      <selection pane="topRight"/>
      <selection pane="bottomLeft"/>
      <selection pane="bottomRight" sqref="A1:XFD1048576"/>
    </sheetView>
  </sheetViews>
  <sheetFormatPr defaultRowHeight="14.4" x14ac:dyDescent="0.3"/>
  <cols>
    <col min="1" max="1" width="20" customWidth="1"/>
    <col min="2" max="2" width="21.664062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  <col min="37" max="38" width="17.21875" customWidth="1"/>
    <col min="39" max="39" width="22.88671875" customWidth="1"/>
    <col min="40" max="41" width="17.21875" customWidth="1"/>
    <col min="42" max="42" width="22.88671875" customWidth="1"/>
  </cols>
  <sheetData>
    <row r="1" spans="1:42" ht="15" customHeight="1" x14ac:dyDescent="0.3">
      <c r="A1" s="1" t="s">
        <v>0</v>
      </c>
      <c r="B1" s="4"/>
      <c r="C1" s="4"/>
      <c r="D1" s="2" t="s">
        <v>1</v>
      </c>
      <c r="E1" s="2" t="s">
        <v>3</v>
      </c>
      <c r="F1" s="2" t="s">
        <v>2</v>
      </c>
      <c r="G1" s="2" t="s">
        <v>16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AC1" s="5" t="s">
        <v>17</v>
      </c>
      <c r="AD1" s="5" t="s">
        <v>18</v>
      </c>
      <c r="AE1" s="5" t="s">
        <v>19</v>
      </c>
      <c r="AF1" s="5" t="s">
        <v>20</v>
      </c>
      <c r="AG1" s="5" t="s">
        <v>21</v>
      </c>
      <c r="AH1" s="5" t="s">
        <v>22</v>
      </c>
      <c r="AI1" s="5" t="s">
        <v>23</v>
      </c>
    </row>
    <row r="2" spans="1:42" ht="30.75" customHeight="1" x14ac:dyDescent="0.3">
      <c r="A2" s="194" t="s">
        <v>4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</row>
    <row r="3" spans="1:42" ht="15" customHeight="1" x14ac:dyDescent="0.3">
      <c r="A3" s="195" t="s">
        <v>5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</row>
    <row r="4" spans="1:42" ht="15" customHeight="1" x14ac:dyDescent="0.3">
      <c r="A4" s="196" t="s">
        <v>6</v>
      </c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</row>
    <row r="5" spans="1:42" ht="40.799999999999997" customHeight="1" x14ac:dyDescent="0.3">
      <c r="A5" s="203" t="s">
        <v>24</v>
      </c>
      <c r="B5" s="203" t="s">
        <v>25</v>
      </c>
      <c r="C5" s="203" t="s">
        <v>26</v>
      </c>
      <c r="D5" s="203" t="s">
        <v>27</v>
      </c>
      <c r="E5" s="203" t="s">
        <v>28</v>
      </c>
      <c r="F5" s="203" t="s">
        <v>29</v>
      </c>
      <c r="G5" s="203" t="s">
        <v>30</v>
      </c>
      <c r="H5" s="203" t="s">
        <v>31</v>
      </c>
      <c r="I5" s="203" t="s">
        <v>32</v>
      </c>
      <c r="J5" s="197" t="s">
        <v>7</v>
      </c>
      <c r="K5" s="198"/>
      <c r="L5" s="198"/>
      <c r="M5" s="198"/>
      <c r="N5" s="198"/>
      <c r="O5" s="199"/>
      <c r="P5" s="200" t="s">
        <v>8</v>
      </c>
      <c r="Q5" s="201"/>
      <c r="R5" s="202"/>
      <c r="S5" s="200" t="s">
        <v>9</v>
      </c>
      <c r="T5" s="201"/>
      <c r="U5" s="202"/>
      <c r="AK5" s="208" t="s">
        <v>10</v>
      </c>
      <c r="AL5" s="209"/>
      <c r="AM5" s="209"/>
      <c r="AN5" s="209"/>
      <c r="AO5" s="209"/>
      <c r="AP5" s="210"/>
    </row>
    <row r="6" spans="1:42" ht="15.75" customHeight="1" x14ac:dyDescent="0.3">
      <c r="A6" s="204"/>
      <c r="B6" s="204"/>
      <c r="C6" s="204"/>
      <c r="D6" s="204"/>
      <c r="E6" s="204"/>
      <c r="F6" s="204"/>
      <c r="G6" s="204"/>
      <c r="H6" s="204"/>
      <c r="I6" s="204"/>
      <c r="J6" s="206" t="s">
        <v>33</v>
      </c>
      <c r="K6" s="207"/>
      <c r="L6" s="203" t="s">
        <v>33</v>
      </c>
      <c r="M6" s="206" t="s">
        <v>34</v>
      </c>
      <c r="N6" s="207"/>
      <c r="O6" s="203" t="s">
        <v>35</v>
      </c>
      <c r="P6" s="206" t="s">
        <v>33</v>
      </c>
      <c r="Q6" s="207"/>
      <c r="R6" s="203" t="s">
        <v>33</v>
      </c>
      <c r="S6" s="206" t="s">
        <v>34</v>
      </c>
      <c r="T6" s="207"/>
      <c r="U6" s="203" t="s">
        <v>35</v>
      </c>
      <c r="AK6" s="206" t="s">
        <v>11</v>
      </c>
      <c r="AL6" s="207"/>
      <c r="AM6" s="203" t="s">
        <v>14</v>
      </c>
      <c r="AN6" s="206" t="s">
        <v>15</v>
      </c>
      <c r="AO6" s="207"/>
      <c r="AP6" s="203" t="s">
        <v>14</v>
      </c>
    </row>
    <row r="7" spans="1:42" ht="31.2" customHeight="1" x14ac:dyDescent="0.3">
      <c r="A7" s="205"/>
      <c r="B7" s="205"/>
      <c r="C7" s="205"/>
      <c r="D7" s="205"/>
      <c r="E7" s="205"/>
      <c r="F7" s="205"/>
      <c r="G7" s="205"/>
      <c r="H7" s="205"/>
      <c r="I7" s="205"/>
      <c r="J7" s="3" t="s">
        <v>12</v>
      </c>
      <c r="K7" s="3" t="s">
        <v>13</v>
      </c>
      <c r="L7" s="205"/>
      <c r="M7" s="3" t="s">
        <v>12</v>
      </c>
      <c r="N7" s="3" t="s">
        <v>13</v>
      </c>
      <c r="O7" s="205"/>
      <c r="P7" s="3" t="s">
        <v>12</v>
      </c>
      <c r="Q7" s="3" t="s">
        <v>13</v>
      </c>
      <c r="R7" s="205"/>
      <c r="S7" s="3" t="s">
        <v>12</v>
      </c>
      <c r="T7" s="3" t="s">
        <v>13</v>
      </c>
      <c r="U7" s="205"/>
      <c r="AK7" s="3" t="s">
        <v>12</v>
      </c>
      <c r="AL7" s="3" t="s">
        <v>13</v>
      </c>
      <c r="AM7" s="205"/>
      <c r="AN7" s="3" t="s">
        <v>12</v>
      </c>
      <c r="AO7" s="3" t="s">
        <v>13</v>
      </c>
      <c r="AP7" s="205"/>
    </row>
    <row r="8" spans="1:42" ht="30" customHeight="1" x14ac:dyDescent="0.3">
      <c r="A8" s="211" t="s">
        <v>36</v>
      </c>
      <c r="B8" s="212"/>
      <c r="C8" s="212"/>
      <c r="D8" s="212"/>
      <c r="E8" s="212"/>
      <c r="F8" s="212"/>
      <c r="G8" s="212"/>
      <c r="H8" s="212"/>
      <c r="I8" s="213"/>
      <c r="J8" s="7"/>
      <c r="K8" s="7"/>
      <c r="L8" s="7"/>
      <c r="M8" s="8">
        <f>SUM(M9)</f>
        <v>535755.89</v>
      </c>
      <c r="N8" s="8">
        <f>SUM(N9)</f>
        <v>1935911.88</v>
      </c>
      <c r="O8" s="8">
        <f>SUM(O9)</f>
        <v>2471667.77</v>
      </c>
      <c r="P8" s="7"/>
      <c r="Q8" s="7"/>
      <c r="R8" s="7"/>
      <c r="S8" s="8">
        <f>SUM(S9)</f>
        <v>23010095.469999999</v>
      </c>
      <c r="T8" s="8">
        <f>SUM(T9)</f>
        <v>14992596.93</v>
      </c>
      <c r="U8" s="8">
        <f>SUM(U9)</f>
        <v>38002692.399999999</v>
      </c>
      <c r="Y8" s="9">
        <f>SUM(Y9)</f>
        <v>19175079.559999999</v>
      </c>
      <c r="Z8" s="9">
        <f>SUM(Z9)</f>
        <v>12493830.779999999</v>
      </c>
      <c r="AA8" s="9" t="e">
        <f>SUM(AA9)</f>
        <v>#VALUE!</v>
      </c>
      <c r="AC8" s="5" t="s">
        <v>37</v>
      </c>
      <c r="AK8" s="8">
        <f t="shared" ref="AK8:AK17" si="0">S8-M8</f>
        <v>22474339.579999998</v>
      </c>
      <c r="AL8" s="8">
        <f t="shared" ref="AL8:AL17" si="1">T8-N8</f>
        <v>13056685.050000001</v>
      </c>
      <c r="AM8" s="8">
        <f t="shared" ref="AM8:AM17" si="2">U8-O8</f>
        <v>35531024.630000003</v>
      </c>
      <c r="AN8" s="11">
        <f t="shared" ref="AN8:AN17" si="3">IFERROR(AK8/M8,0)</f>
        <v>41.948842746274003</v>
      </c>
      <c r="AO8" s="11">
        <f t="shared" ref="AO8:AO17" si="4">IFERROR(AL8/N8,0)</f>
        <v>6.7444624855548998</v>
      </c>
      <c r="AP8" s="11">
        <f t="shared" ref="AP8:AP17" si="5">IFERROR(AM8/O8,0)</f>
        <v>14.375323844596</v>
      </c>
    </row>
    <row r="9" spans="1:42" ht="16.95" customHeight="1" x14ac:dyDescent="0.3">
      <c r="A9" s="12" t="s">
        <v>38</v>
      </c>
      <c r="B9" s="13" t="s">
        <v>39</v>
      </c>
      <c r="C9" s="214" t="s">
        <v>40</v>
      </c>
      <c r="D9" s="215"/>
      <c r="E9" s="215"/>
      <c r="F9" s="215"/>
      <c r="G9" s="215"/>
      <c r="H9" s="215"/>
      <c r="I9" s="216"/>
      <c r="M9" s="6">
        <f>SUM(M10,M22)</f>
        <v>535755.89</v>
      </c>
      <c r="N9" s="6">
        <f>SUM(N10,N22)</f>
        <v>1935911.88</v>
      </c>
      <c r="O9" s="6">
        <f>SUM(O10,O22)</f>
        <v>2471667.77</v>
      </c>
      <c r="S9" s="6">
        <f>SUM(S10,S22)</f>
        <v>23010095.469999999</v>
      </c>
      <c r="T9" s="6">
        <f>SUM(T10,T22)</f>
        <v>14992596.93</v>
      </c>
      <c r="U9" s="6">
        <f>SUM(U10,U22)</f>
        <v>38002692.399999999</v>
      </c>
      <c r="Y9" s="9">
        <f>SUM(Y10,Y22)</f>
        <v>19175079.559999999</v>
      </c>
      <c r="Z9" s="9">
        <f>SUM(Z10,Z22)</f>
        <v>12493830.779999999</v>
      </c>
      <c r="AA9" s="9" t="e">
        <f>SUM(AA10,AA22)</f>
        <v>#VALUE!</v>
      </c>
      <c r="AD9" s="5">
        <v>374867988</v>
      </c>
      <c r="AE9" s="5">
        <v>24134709</v>
      </c>
      <c r="AK9" s="6">
        <f t="shared" si="0"/>
        <v>22474339.579999998</v>
      </c>
      <c r="AL9" s="6">
        <f t="shared" si="1"/>
        <v>13056685.050000001</v>
      </c>
      <c r="AM9" s="6">
        <f t="shared" si="2"/>
        <v>35531024.630000003</v>
      </c>
      <c r="AN9" s="10">
        <f t="shared" si="3"/>
        <v>41.948842746274003</v>
      </c>
      <c r="AO9" s="10">
        <f t="shared" si="4"/>
        <v>6.7444624855548998</v>
      </c>
      <c r="AP9" s="10">
        <f t="shared" si="5"/>
        <v>14.375323844596</v>
      </c>
    </row>
    <row r="10" spans="1:42" ht="16.95" customHeight="1" x14ac:dyDescent="0.3">
      <c r="A10" s="12" t="s">
        <v>41</v>
      </c>
      <c r="B10" s="14" t="s">
        <v>42</v>
      </c>
      <c r="C10" s="217" t="s">
        <v>43</v>
      </c>
      <c r="D10" s="218"/>
      <c r="E10" s="218"/>
      <c r="F10" s="218"/>
      <c r="G10" s="218"/>
      <c r="H10" s="218"/>
      <c r="I10" s="219"/>
      <c r="M10" s="6">
        <f t="shared" ref="M10:O12" si="6">SUM(M11)</f>
        <v>531204.77</v>
      </c>
      <c r="N10" s="6">
        <f t="shared" si="6"/>
        <v>1637055</v>
      </c>
      <c r="O10" s="6">
        <f t="shared" si="6"/>
        <v>2168259.77</v>
      </c>
      <c r="S10" s="6">
        <f t="shared" ref="S10:U12" si="7">SUM(S11)</f>
        <v>19329715.25</v>
      </c>
      <c r="T10" s="6">
        <f t="shared" si="7"/>
        <v>11813921.35</v>
      </c>
      <c r="U10" s="6">
        <f t="shared" si="7"/>
        <v>31143636.600000001</v>
      </c>
      <c r="Y10" s="9">
        <f t="shared" ref="Y10:AA12" si="8">SUM(Y11)</f>
        <v>16108096.039999999</v>
      </c>
      <c r="Z10" s="9">
        <f t="shared" si="8"/>
        <v>9844934.4600000009</v>
      </c>
      <c r="AA10" s="9" t="e">
        <f t="shared" si="8"/>
        <v>#VALUE!</v>
      </c>
      <c r="AD10" s="5">
        <v>374867989</v>
      </c>
      <c r="AE10" s="5">
        <v>31597782</v>
      </c>
      <c r="AK10" s="6">
        <f t="shared" si="0"/>
        <v>18798510.48</v>
      </c>
      <c r="AL10" s="6">
        <f t="shared" si="1"/>
        <v>10176866.35</v>
      </c>
      <c r="AM10" s="6">
        <f t="shared" si="2"/>
        <v>28975376.829999998</v>
      </c>
      <c r="AN10" s="10">
        <f t="shared" si="3"/>
        <v>35.388444422288998</v>
      </c>
      <c r="AO10" s="10">
        <f t="shared" si="4"/>
        <v>6.2165696021208996</v>
      </c>
      <c r="AP10" s="10">
        <f t="shared" si="5"/>
        <v>13.363425006036</v>
      </c>
    </row>
    <row r="11" spans="1:42" ht="16.95" customHeight="1" x14ac:dyDescent="0.3">
      <c r="A11" s="12" t="s">
        <v>44</v>
      </c>
      <c r="B11" s="15" t="s">
        <v>45</v>
      </c>
      <c r="C11" s="220" t="s">
        <v>46</v>
      </c>
      <c r="D11" s="221"/>
      <c r="E11" s="221"/>
      <c r="F11" s="221"/>
      <c r="G11" s="221"/>
      <c r="H11" s="221"/>
      <c r="I11" s="222"/>
      <c r="M11" s="6">
        <f t="shared" si="6"/>
        <v>531204.77</v>
      </c>
      <c r="N11" s="6">
        <f t="shared" si="6"/>
        <v>1637055</v>
      </c>
      <c r="O11" s="6">
        <f t="shared" si="6"/>
        <v>2168259.77</v>
      </c>
      <c r="S11" s="6">
        <f t="shared" si="7"/>
        <v>19329715.25</v>
      </c>
      <c r="T11" s="6">
        <f t="shared" si="7"/>
        <v>11813921.35</v>
      </c>
      <c r="U11" s="6">
        <f t="shared" si="7"/>
        <v>31143636.600000001</v>
      </c>
      <c r="Y11" s="9">
        <f t="shared" si="8"/>
        <v>16108096.039999999</v>
      </c>
      <c r="Z11" s="9">
        <f t="shared" si="8"/>
        <v>9844934.4600000009</v>
      </c>
      <c r="AA11" s="9" t="e">
        <f t="shared" si="8"/>
        <v>#VALUE!</v>
      </c>
      <c r="AD11" s="5">
        <v>374867990</v>
      </c>
      <c r="AE11" s="5">
        <v>31597779</v>
      </c>
      <c r="AK11" s="6">
        <f t="shared" si="0"/>
        <v>18798510.48</v>
      </c>
      <c r="AL11" s="6">
        <f t="shared" si="1"/>
        <v>10176866.35</v>
      </c>
      <c r="AM11" s="6">
        <f t="shared" si="2"/>
        <v>28975376.829999998</v>
      </c>
      <c r="AN11" s="10">
        <f t="shared" si="3"/>
        <v>35.388444422288998</v>
      </c>
      <c r="AO11" s="10">
        <f t="shared" si="4"/>
        <v>6.2165696021208996</v>
      </c>
      <c r="AP11" s="10">
        <f t="shared" si="5"/>
        <v>13.363425006036</v>
      </c>
    </row>
    <row r="12" spans="1:42" ht="16.95" customHeight="1" x14ac:dyDescent="0.3">
      <c r="A12" s="12" t="s">
        <v>47</v>
      </c>
      <c r="B12" s="16" t="s">
        <v>48</v>
      </c>
      <c r="C12" s="223" t="s">
        <v>49</v>
      </c>
      <c r="D12" s="224"/>
      <c r="E12" s="224"/>
      <c r="F12" s="224"/>
      <c r="G12" s="224"/>
      <c r="H12" s="224"/>
      <c r="I12" s="225"/>
      <c r="M12" s="6">
        <f t="shared" si="6"/>
        <v>531204.77</v>
      </c>
      <c r="N12" s="6">
        <f t="shared" si="6"/>
        <v>1637055</v>
      </c>
      <c r="O12" s="6">
        <f t="shared" si="6"/>
        <v>2168259.77</v>
      </c>
      <c r="S12" s="6">
        <f t="shared" si="7"/>
        <v>19329715.25</v>
      </c>
      <c r="T12" s="6">
        <f t="shared" si="7"/>
        <v>11813921.35</v>
      </c>
      <c r="U12" s="6">
        <f t="shared" si="7"/>
        <v>31143636.600000001</v>
      </c>
      <c r="Y12" s="9">
        <f t="shared" si="8"/>
        <v>16108096.039999999</v>
      </c>
      <c r="Z12" s="9">
        <f t="shared" si="8"/>
        <v>9844934.4600000009</v>
      </c>
      <c r="AA12" s="9" t="e">
        <f t="shared" si="8"/>
        <v>#VALUE!</v>
      </c>
      <c r="AD12" s="5">
        <v>374867991</v>
      </c>
      <c r="AE12" s="5">
        <v>34120291</v>
      </c>
      <c r="AK12" s="6">
        <f t="shared" si="0"/>
        <v>18798510.48</v>
      </c>
      <c r="AL12" s="6">
        <f t="shared" si="1"/>
        <v>10176866.35</v>
      </c>
      <c r="AM12" s="6">
        <f t="shared" si="2"/>
        <v>28975376.829999998</v>
      </c>
      <c r="AN12" s="10">
        <f t="shared" si="3"/>
        <v>35.388444422288998</v>
      </c>
      <c r="AO12" s="10">
        <f t="shared" si="4"/>
        <v>6.2165696021208996</v>
      </c>
      <c r="AP12" s="10">
        <f t="shared" si="5"/>
        <v>13.363425006036</v>
      </c>
    </row>
    <row r="13" spans="1:42" ht="16.95" customHeight="1" x14ac:dyDescent="0.3">
      <c r="A13" s="12" t="s">
        <v>50</v>
      </c>
      <c r="B13" s="17" t="s">
        <v>51</v>
      </c>
      <c r="C13" s="226" t="s">
        <v>52</v>
      </c>
      <c r="D13" s="227"/>
      <c r="E13" s="227"/>
      <c r="F13" s="227"/>
      <c r="G13" s="227"/>
      <c r="H13" s="227"/>
      <c r="I13" s="228"/>
      <c r="M13" s="6">
        <f>SUM(M14,M16)</f>
        <v>531204.77</v>
      </c>
      <c r="N13" s="6">
        <f>SUM(N14,N16)</f>
        <v>1637055</v>
      </c>
      <c r="O13" s="6">
        <f>SUM(O14,O16)</f>
        <v>2168259.77</v>
      </c>
      <c r="S13" s="6">
        <f>SUM(S14,S16)</f>
        <v>19329715.25</v>
      </c>
      <c r="T13" s="6">
        <f>SUM(T14,T16)</f>
        <v>11813921.35</v>
      </c>
      <c r="U13" s="6">
        <f>SUM(U14,U16)</f>
        <v>31143636.600000001</v>
      </c>
      <c r="Y13" s="9">
        <f>SUM(Y14,Y16)</f>
        <v>16108096.039999999</v>
      </c>
      <c r="Z13" s="9">
        <f>SUM(Z14,Z16)</f>
        <v>9844934.4600000009</v>
      </c>
      <c r="AA13" s="9" t="e">
        <f>SUM(AA14,AA16)</f>
        <v>#VALUE!</v>
      </c>
      <c r="AD13" s="5">
        <v>374867992</v>
      </c>
      <c r="AE13" s="5">
        <v>34120294</v>
      </c>
      <c r="AK13" s="6">
        <f t="shared" si="0"/>
        <v>18798510.48</v>
      </c>
      <c r="AL13" s="6">
        <f t="shared" si="1"/>
        <v>10176866.35</v>
      </c>
      <c r="AM13" s="6">
        <f t="shared" si="2"/>
        <v>28975376.829999998</v>
      </c>
      <c r="AN13" s="10">
        <f t="shared" si="3"/>
        <v>35.388444422288998</v>
      </c>
      <c r="AO13" s="10">
        <f t="shared" si="4"/>
        <v>6.2165696021208996</v>
      </c>
      <c r="AP13" s="10">
        <f t="shared" si="5"/>
        <v>13.363425006036</v>
      </c>
    </row>
    <row r="14" spans="1:42" ht="16.95" customHeight="1" x14ac:dyDescent="0.3">
      <c r="A14" s="12" t="s">
        <v>53</v>
      </c>
      <c r="B14" s="18" t="s">
        <v>54</v>
      </c>
      <c r="C14" s="229" t="s">
        <v>55</v>
      </c>
      <c r="D14" s="230"/>
      <c r="E14" s="230"/>
      <c r="F14" s="230"/>
      <c r="G14" s="230"/>
      <c r="H14" s="230"/>
      <c r="I14" s="231"/>
      <c r="M14" s="6">
        <f>SUM(M15)</f>
        <v>0</v>
      </c>
      <c r="N14" s="6">
        <f>SUM(N15)</f>
        <v>309375</v>
      </c>
      <c r="O14" s="6">
        <f>SUM(O15)</f>
        <v>309375</v>
      </c>
      <c r="S14" s="6">
        <f>SUM(S15)</f>
        <v>0</v>
      </c>
      <c r="T14" s="6">
        <f>SUM(T15)</f>
        <v>309375</v>
      </c>
      <c r="U14" s="6">
        <f>SUM(U15)</f>
        <v>309375</v>
      </c>
      <c r="Y14" s="9">
        <f>SUM(Y15)</f>
        <v>0</v>
      </c>
      <c r="Z14" s="9">
        <f>SUM(Z15)</f>
        <v>257812.5</v>
      </c>
      <c r="AA14" s="9" t="e">
        <f>SUM(AA15)</f>
        <v>#VALUE!</v>
      </c>
      <c r="AD14" s="5">
        <v>374867993</v>
      </c>
      <c r="AE14" s="5">
        <v>34187977</v>
      </c>
      <c r="AK14" s="6">
        <f t="shared" si="0"/>
        <v>0</v>
      </c>
      <c r="AL14" s="6">
        <f t="shared" si="1"/>
        <v>0</v>
      </c>
      <c r="AM14" s="6">
        <f t="shared" si="2"/>
        <v>0</v>
      </c>
      <c r="AN14" s="10">
        <f t="shared" si="3"/>
        <v>0</v>
      </c>
      <c r="AO14" s="10">
        <f t="shared" si="4"/>
        <v>0</v>
      </c>
      <c r="AP14" s="10">
        <f t="shared" si="5"/>
        <v>0</v>
      </c>
    </row>
    <row r="15" spans="1:42" ht="54" x14ac:dyDescent="0.3">
      <c r="A15" s="12" t="s">
        <v>56</v>
      </c>
      <c r="B15" s="12" t="s">
        <v>57</v>
      </c>
      <c r="C15" s="19" t="s">
        <v>58</v>
      </c>
      <c r="D15" s="20"/>
      <c r="E15" s="20" t="s">
        <v>59</v>
      </c>
      <c r="F15" s="20" t="s">
        <v>60</v>
      </c>
      <c r="G15" s="21">
        <v>1</v>
      </c>
      <c r="H15" s="21"/>
      <c r="I15" s="21">
        <v>825</v>
      </c>
      <c r="J15" s="22">
        <v>0</v>
      </c>
      <c r="K15" s="23">
        <v>375</v>
      </c>
      <c r="L15" s="22">
        <f>J15+ROUND(K15, 2)</f>
        <v>375</v>
      </c>
      <c r="M15" s="22">
        <v>0</v>
      </c>
      <c r="N15" s="22">
        <f>ROUND(I15*ROUND(K15, 2), 2)</f>
        <v>309375</v>
      </c>
      <c r="O15" s="22">
        <f>M15+N15</f>
        <v>309375</v>
      </c>
      <c r="P15" s="22">
        <v>0</v>
      </c>
      <c r="Q15" s="24">
        <v>375</v>
      </c>
      <c r="R15" s="22">
        <f>P15+ROUND(Q15, 2)</f>
        <v>375</v>
      </c>
      <c r="S15" s="22">
        <v>0</v>
      </c>
      <c r="T15" s="22">
        <f>ROUND(I15*ROUND(Q15, 2), 2)</f>
        <v>309375</v>
      </c>
      <c r="U15" s="22">
        <f>S15+T15</f>
        <v>309375</v>
      </c>
      <c r="V15" s="9"/>
      <c r="W15" s="9">
        <f>ROUND(Q15 / 1.2, 2)</f>
        <v>312.5</v>
      </c>
      <c r="X15" s="9">
        <f>ROUND(R15 / 1.2, 2)</f>
        <v>312.5</v>
      </c>
      <c r="Y15" s="9"/>
      <c r="Z15" s="9">
        <f>ROUND(T15 / 1.2, 2)</f>
        <v>257812.5</v>
      </c>
      <c r="AA15" s="9" t="e">
        <f>Y15+Z15</f>
        <v>#VALUE!</v>
      </c>
      <c r="AD15" s="5">
        <v>374867995</v>
      </c>
      <c r="AE15" s="5">
        <v>34187981</v>
      </c>
      <c r="AG15" s="5" t="s">
        <v>61</v>
      </c>
      <c r="AH15" s="5" t="s">
        <v>62</v>
      </c>
      <c r="AI15" s="5" t="s">
        <v>63</v>
      </c>
      <c r="AK15" s="22">
        <f t="shared" si="0"/>
        <v>0</v>
      </c>
      <c r="AL15" s="22">
        <f t="shared" si="1"/>
        <v>0</v>
      </c>
      <c r="AM15" s="22">
        <f t="shared" si="2"/>
        <v>0</v>
      </c>
      <c r="AN15" s="25">
        <f t="shared" si="3"/>
        <v>0</v>
      </c>
      <c r="AO15" s="25">
        <f t="shared" si="4"/>
        <v>0</v>
      </c>
      <c r="AP15" s="25">
        <f t="shared" si="5"/>
        <v>0</v>
      </c>
    </row>
    <row r="16" spans="1:42" ht="16.95" customHeight="1" x14ac:dyDescent="0.3">
      <c r="A16" s="12" t="s">
        <v>64</v>
      </c>
      <c r="B16" s="18" t="s">
        <v>65</v>
      </c>
      <c r="C16" s="229" t="s">
        <v>66</v>
      </c>
      <c r="D16" s="230"/>
      <c r="E16" s="230"/>
      <c r="F16" s="230"/>
      <c r="G16" s="230"/>
      <c r="H16" s="230"/>
      <c r="I16" s="231"/>
      <c r="M16" s="6">
        <f>SUM(M17)</f>
        <v>531204.77</v>
      </c>
      <c r="N16" s="6">
        <f>SUM(N17)</f>
        <v>1327680</v>
      </c>
      <c r="O16" s="6">
        <f>SUM(O17)</f>
        <v>1858884.77</v>
      </c>
      <c r="S16" s="6">
        <f>SUM(S17)</f>
        <v>19329715.25</v>
      </c>
      <c r="T16" s="6">
        <f>SUM(T17)</f>
        <v>11504546.35</v>
      </c>
      <c r="U16" s="6">
        <f>SUM(U17)</f>
        <v>30834261.600000001</v>
      </c>
      <c r="Y16" s="9">
        <f>SUM(Y17)</f>
        <v>16108096.039999999</v>
      </c>
      <c r="Z16" s="9">
        <f>SUM(Z17)</f>
        <v>9587121.9600000009</v>
      </c>
      <c r="AA16" s="9">
        <f>SUM(AA17)</f>
        <v>25695218</v>
      </c>
      <c r="AD16" s="5">
        <v>374867996</v>
      </c>
      <c r="AE16" s="5">
        <v>34120292</v>
      </c>
      <c r="AK16" s="6">
        <f t="shared" si="0"/>
        <v>18798510.48</v>
      </c>
      <c r="AL16" s="6">
        <f t="shared" si="1"/>
        <v>10176866.35</v>
      </c>
      <c r="AM16" s="6">
        <f t="shared" si="2"/>
        <v>28975376.829999998</v>
      </c>
      <c r="AN16" s="10">
        <f t="shared" si="3"/>
        <v>35.388444422288998</v>
      </c>
      <c r="AO16" s="10">
        <f t="shared" si="4"/>
        <v>7.6651499984936002</v>
      </c>
      <c r="AP16" s="10">
        <f t="shared" si="5"/>
        <v>15.587505636511001</v>
      </c>
    </row>
    <row r="17" spans="1:42" ht="54" x14ac:dyDescent="0.3">
      <c r="A17" s="12" t="s">
        <v>67</v>
      </c>
      <c r="B17" s="12" t="s">
        <v>68</v>
      </c>
      <c r="C17" s="19" t="s">
        <v>69</v>
      </c>
      <c r="D17" s="20"/>
      <c r="E17" s="20" t="s">
        <v>59</v>
      </c>
      <c r="F17" s="20" t="s">
        <v>60</v>
      </c>
      <c r="G17" s="21">
        <v>1</v>
      </c>
      <c r="H17" s="21"/>
      <c r="I17" s="21">
        <v>1106.4000000000001</v>
      </c>
      <c r="J17" s="22">
        <f>IFERROR(ROUND(SUM(M18,M19,M20,M21)/I17, 2),0)</f>
        <v>480.12</v>
      </c>
      <c r="K17" s="23">
        <v>1200</v>
      </c>
      <c r="L17" s="22">
        <f>J17+ROUND(K17, 2)</f>
        <v>1680.12</v>
      </c>
      <c r="M17" s="22">
        <f>ROUND(J17*I17, 2)</f>
        <v>531204.77</v>
      </c>
      <c r="N17" s="22">
        <f>ROUND(I17*ROUND(K17, 2), 2)</f>
        <v>1327680</v>
      </c>
      <c r="O17" s="22">
        <f>M17+N17</f>
        <v>1858884.77</v>
      </c>
      <c r="P17" s="22">
        <f>IFERROR(ROUND(SUM(S18,S19,S20,S21)/I17, 2),0)</f>
        <v>17470.82</v>
      </c>
      <c r="Q17" s="24">
        <v>10398.18</v>
      </c>
      <c r="R17" s="22">
        <f>P17+ROUND(Q17, 2)</f>
        <v>27869</v>
      </c>
      <c r="S17" s="22">
        <f>ROUND(P17*I17, 2)</f>
        <v>19329715.25</v>
      </c>
      <c r="T17" s="22">
        <f>ROUND(I17*ROUND(Q17, 2), 2)</f>
        <v>11504546.35</v>
      </c>
      <c r="U17" s="22">
        <f>S17+T17</f>
        <v>30834261.600000001</v>
      </c>
      <c r="V17" s="9">
        <f>ROUND(P17 / 1.2, 2)</f>
        <v>14559.02</v>
      </c>
      <c r="W17" s="9">
        <f>ROUND(Q17 / 1.2, 2)</f>
        <v>8665.15</v>
      </c>
      <c r="X17" s="9">
        <f>ROUND(R17 / 1.2, 2)</f>
        <v>23224.17</v>
      </c>
      <c r="Y17" s="9">
        <f>ROUND(S17 / 1.2, 2)</f>
        <v>16108096.039999999</v>
      </c>
      <c r="Z17" s="9">
        <f>ROUND(T17 / 1.2, 2)</f>
        <v>9587121.9600000009</v>
      </c>
      <c r="AA17" s="9">
        <f>Y17+Z17</f>
        <v>25695218</v>
      </c>
      <c r="AD17" s="5">
        <v>374867998</v>
      </c>
      <c r="AE17" s="5">
        <v>34120297</v>
      </c>
      <c r="AG17" s="5" t="s">
        <v>70</v>
      </c>
      <c r="AH17" s="5" t="s">
        <v>71</v>
      </c>
      <c r="AI17" s="5" t="s">
        <v>63</v>
      </c>
      <c r="AK17" s="22">
        <f t="shared" si="0"/>
        <v>18798510.48</v>
      </c>
      <c r="AL17" s="22">
        <f t="shared" si="1"/>
        <v>10176866.35</v>
      </c>
      <c r="AM17" s="22">
        <f t="shared" si="2"/>
        <v>28975376.829999998</v>
      </c>
      <c r="AN17" s="25">
        <f t="shared" si="3"/>
        <v>35.388444422288998</v>
      </c>
      <c r="AO17" s="25">
        <f t="shared" si="4"/>
        <v>7.6651499984936002</v>
      </c>
      <c r="AP17" s="25">
        <f t="shared" si="5"/>
        <v>15.587505636511001</v>
      </c>
    </row>
    <row r="18" spans="1:42" ht="216" x14ac:dyDescent="0.3">
      <c r="A18" s="12" t="s">
        <v>72</v>
      </c>
      <c r="B18" s="12"/>
      <c r="C18" s="26" t="s">
        <v>73</v>
      </c>
      <c r="D18" s="20"/>
      <c r="E18" s="20" t="s">
        <v>74</v>
      </c>
      <c r="F18" s="27" t="s">
        <v>60</v>
      </c>
      <c r="G18" s="28">
        <v>1.1000000000000001</v>
      </c>
      <c r="H18" s="28"/>
      <c r="I18" s="28">
        <v>1217.04</v>
      </c>
      <c r="J18" s="29">
        <v>169.92</v>
      </c>
      <c r="M18" s="30">
        <f>ROUND(ROUND(J18, 2)*I18, 2)</f>
        <v>206799.44</v>
      </c>
      <c r="P18" s="31">
        <v>10842.86</v>
      </c>
      <c r="S18" s="30">
        <f>ROUND(ROUND(P18, 2)*I18, 2)</f>
        <v>13196194.33</v>
      </c>
      <c r="V18" s="9">
        <f>ROUND(ROUND(P18, 2)/1.2, 2)</f>
        <v>9035.7199999999993</v>
      </c>
      <c r="Y18" s="9">
        <f>ROUND(S18 / 1.2, 2)</f>
        <v>10996828.609999999</v>
      </c>
      <c r="AD18" s="5" t="s">
        <v>75</v>
      </c>
      <c r="AE18" s="5" t="s">
        <v>76</v>
      </c>
      <c r="AF18" s="5" t="s">
        <v>77</v>
      </c>
      <c r="AK18" s="30">
        <f t="shared" ref="AK18:AK29" si="9">S18-M18</f>
        <v>12989394.890000001</v>
      </c>
      <c r="AL18" s="30"/>
      <c r="AM18" s="30"/>
      <c r="AN18" s="32">
        <f t="shared" ref="AN18:AN29" si="10">IFERROR(AK18/M18,0)</f>
        <v>62.811557371722003</v>
      </c>
      <c r="AO18" s="30"/>
      <c r="AP18" s="30"/>
    </row>
    <row r="19" spans="1:42" ht="409.6" x14ac:dyDescent="0.3">
      <c r="A19" s="12" t="s">
        <v>78</v>
      </c>
      <c r="B19" s="12"/>
      <c r="C19" s="26" t="s">
        <v>79</v>
      </c>
      <c r="D19" s="20"/>
      <c r="E19" s="20" t="s">
        <v>80</v>
      </c>
      <c r="F19" s="27" t="s">
        <v>81</v>
      </c>
      <c r="G19" s="28">
        <v>0.8</v>
      </c>
      <c r="H19" s="28"/>
      <c r="I19" s="28">
        <v>885.12</v>
      </c>
      <c r="J19" s="29">
        <v>44.87</v>
      </c>
      <c r="M19" s="30">
        <f>ROUND(ROUND(J19, 2)*I19, 2)</f>
        <v>39715.33</v>
      </c>
      <c r="P19" s="31">
        <v>3975.64</v>
      </c>
      <c r="S19" s="30">
        <f>ROUND(ROUND(P19, 2)*I19, 2)</f>
        <v>3518918.48</v>
      </c>
      <c r="V19" s="9">
        <f>ROUND(ROUND(P19, 2)/1.2, 2)</f>
        <v>3313.03</v>
      </c>
      <c r="Y19" s="9">
        <f>ROUND(S19 / 1.2, 2)</f>
        <v>2932432.07</v>
      </c>
      <c r="AD19" s="5" t="s">
        <v>82</v>
      </c>
      <c r="AE19" s="5" t="s">
        <v>83</v>
      </c>
      <c r="AF19" s="5" t="s">
        <v>84</v>
      </c>
      <c r="AK19" s="30">
        <f t="shared" si="9"/>
        <v>3479203.15</v>
      </c>
      <c r="AL19" s="30"/>
      <c r="AM19" s="30"/>
      <c r="AN19" s="32">
        <f t="shared" si="10"/>
        <v>87.603531180529004</v>
      </c>
      <c r="AO19" s="30"/>
      <c r="AP19" s="30"/>
    </row>
    <row r="20" spans="1:42" ht="162" x14ac:dyDescent="0.3">
      <c r="A20" s="12" t="s">
        <v>85</v>
      </c>
      <c r="B20" s="12"/>
      <c r="C20" s="26" t="s">
        <v>86</v>
      </c>
      <c r="D20" s="20"/>
      <c r="E20" s="20" t="s">
        <v>87</v>
      </c>
      <c r="F20" s="27" t="s">
        <v>88</v>
      </c>
      <c r="G20" s="28">
        <v>1</v>
      </c>
      <c r="H20" s="28"/>
      <c r="I20" s="28">
        <v>1106.4000000000001</v>
      </c>
      <c r="J20" s="29">
        <v>44.43</v>
      </c>
      <c r="M20" s="30">
        <f>ROUND(ROUND(J20, 2)*I20, 2)</f>
        <v>49157.35</v>
      </c>
      <c r="P20" s="31">
        <v>707.65</v>
      </c>
      <c r="S20" s="30">
        <f>ROUND(ROUND(P20, 2)*I20, 2)</f>
        <v>782943.96</v>
      </c>
      <c r="V20" s="9">
        <f>ROUND(ROUND(P20, 2)/1.2, 2)</f>
        <v>589.71</v>
      </c>
      <c r="Y20" s="9">
        <f>ROUND(S20 / 1.2, 2)</f>
        <v>652453.30000000005</v>
      </c>
      <c r="AD20" s="5" t="s">
        <v>89</v>
      </c>
      <c r="AE20" s="5" t="s">
        <v>90</v>
      </c>
      <c r="AF20" s="5" t="s">
        <v>91</v>
      </c>
      <c r="AK20" s="30">
        <f t="shared" si="9"/>
        <v>733786.61</v>
      </c>
      <c r="AL20" s="30"/>
      <c r="AM20" s="30"/>
      <c r="AN20" s="32">
        <f t="shared" si="10"/>
        <v>14.927302020959001</v>
      </c>
      <c r="AO20" s="30"/>
      <c r="AP20" s="30"/>
    </row>
    <row r="21" spans="1:42" ht="72" x14ac:dyDescent="0.3">
      <c r="A21" s="12" t="s">
        <v>92</v>
      </c>
      <c r="B21" s="12"/>
      <c r="C21" s="33" t="s">
        <v>93</v>
      </c>
      <c r="D21" s="20"/>
      <c r="E21" s="20" t="s">
        <v>94</v>
      </c>
      <c r="F21" s="27" t="s">
        <v>95</v>
      </c>
      <c r="G21" s="28">
        <v>5.1999999999999998E-2</v>
      </c>
      <c r="H21" s="28"/>
      <c r="I21" s="28">
        <v>57.533000000000001</v>
      </c>
      <c r="J21" s="29">
        <v>4093.92</v>
      </c>
      <c r="M21" s="30">
        <f>ROUND(ROUND(J21, 2)*I21, 2)</f>
        <v>235535.5</v>
      </c>
      <c r="P21" s="31">
        <v>31836.75</v>
      </c>
      <c r="S21" s="30">
        <f>ROUND(ROUND(P21, 2)*I21, 2)</f>
        <v>1831663.74</v>
      </c>
      <c r="V21" s="9">
        <f>ROUND(ROUND(P21, 2)/1.2, 2)</f>
        <v>26530.63</v>
      </c>
      <c r="Y21" s="9">
        <f>ROUND(S21 / 1.2, 2)</f>
        <v>1526386.45</v>
      </c>
      <c r="AD21" s="5" t="s">
        <v>96</v>
      </c>
      <c r="AE21" s="5" t="s">
        <v>97</v>
      </c>
      <c r="AF21" s="5" t="s">
        <v>98</v>
      </c>
      <c r="AK21" s="30">
        <f t="shared" si="9"/>
        <v>1596128.24</v>
      </c>
      <c r="AL21" s="30"/>
      <c r="AM21" s="30"/>
      <c r="AN21" s="32">
        <f t="shared" si="10"/>
        <v>6.7765930825713996</v>
      </c>
      <c r="AO21" s="30"/>
      <c r="AP21" s="30"/>
    </row>
    <row r="22" spans="1:42" ht="16.95" customHeight="1" x14ac:dyDescent="0.3">
      <c r="A22" s="12" t="s">
        <v>99</v>
      </c>
      <c r="B22" s="14" t="s">
        <v>100</v>
      </c>
      <c r="C22" s="217" t="s">
        <v>101</v>
      </c>
      <c r="D22" s="218"/>
      <c r="E22" s="218"/>
      <c r="F22" s="218"/>
      <c r="G22" s="218"/>
      <c r="H22" s="218"/>
      <c r="I22" s="219"/>
      <c r="M22" s="6">
        <f t="shared" ref="M22:O25" si="11">SUM(M23)</f>
        <v>4551.12</v>
      </c>
      <c r="N22" s="6">
        <f t="shared" si="11"/>
        <v>298856.88</v>
      </c>
      <c r="O22" s="6">
        <f t="shared" si="11"/>
        <v>303408</v>
      </c>
      <c r="S22" s="6">
        <f t="shared" ref="S22:U25" si="12">SUM(S23)</f>
        <v>3680380.22</v>
      </c>
      <c r="T22" s="6">
        <f t="shared" si="12"/>
        <v>3178675.58</v>
      </c>
      <c r="U22" s="6">
        <f t="shared" si="12"/>
        <v>6859055.7999999998</v>
      </c>
      <c r="Y22" s="9">
        <f t="shared" ref="Y22:AA25" si="13">SUM(Y23)</f>
        <v>3066983.52</v>
      </c>
      <c r="Z22" s="9">
        <f t="shared" si="13"/>
        <v>2648896.3199999998</v>
      </c>
      <c r="AA22" s="9">
        <f t="shared" si="13"/>
        <v>5715879.8399999999</v>
      </c>
      <c r="AD22" s="5">
        <v>374867999</v>
      </c>
      <c r="AE22" s="5">
        <v>24134710</v>
      </c>
      <c r="AK22" s="6">
        <f t="shared" si="9"/>
        <v>3675829.1</v>
      </c>
      <c r="AL22" s="6">
        <f t="shared" ref="AL22:AM26" si="14">T22-N22</f>
        <v>2879818.7</v>
      </c>
      <c r="AM22" s="6">
        <f t="shared" si="14"/>
        <v>6555647.7999999998</v>
      </c>
      <c r="AN22" s="10">
        <f t="shared" si="10"/>
        <v>807.67571498884001</v>
      </c>
      <c r="AO22" s="10">
        <f t="shared" ref="AO22:AP26" si="15">IFERROR(AL22/N22,0)</f>
        <v>9.6361131120688999</v>
      </c>
      <c r="AP22" s="10">
        <f t="shared" si="15"/>
        <v>21.606707140219999</v>
      </c>
    </row>
    <row r="23" spans="1:42" ht="16.95" customHeight="1" x14ac:dyDescent="0.3">
      <c r="A23" s="12" t="s">
        <v>102</v>
      </c>
      <c r="B23" s="15" t="s">
        <v>103</v>
      </c>
      <c r="C23" s="220" t="s">
        <v>104</v>
      </c>
      <c r="D23" s="221"/>
      <c r="E23" s="221"/>
      <c r="F23" s="221"/>
      <c r="G23" s="221"/>
      <c r="H23" s="221"/>
      <c r="I23" s="222"/>
      <c r="M23" s="6">
        <f t="shared" si="11"/>
        <v>4551.12</v>
      </c>
      <c r="N23" s="6">
        <f t="shared" si="11"/>
        <v>298856.88</v>
      </c>
      <c r="O23" s="6">
        <f t="shared" si="11"/>
        <v>303408</v>
      </c>
      <c r="S23" s="6">
        <f t="shared" si="12"/>
        <v>3680380.22</v>
      </c>
      <c r="T23" s="6">
        <f t="shared" si="12"/>
        <v>3178675.58</v>
      </c>
      <c r="U23" s="6">
        <f t="shared" si="12"/>
        <v>6859055.7999999998</v>
      </c>
      <c r="Y23" s="9">
        <f t="shared" si="13"/>
        <v>3066983.52</v>
      </c>
      <c r="Z23" s="9">
        <f t="shared" si="13"/>
        <v>2648896.3199999998</v>
      </c>
      <c r="AA23" s="9">
        <f t="shared" si="13"/>
        <v>5715879.8399999999</v>
      </c>
      <c r="AD23" s="5">
        <v>374868000</v>
      </c>
      <c r="AE23" s="5">
        <v>24134711</v>
      </c>
      <c r="AK23" s="6">
        <f t="shared" si="9"/>
        <v>3675829.1</v>
      </c>
      <c r="AL23" s="6">
        <f t="shared" si="14"/>
        <v>2879818.7</v>
      </c>
      <c r="AM23" s="6">
        <f t="shared" si="14"/>
        <v>6555647.7999999998</v>
      </c>
      <c r="AN23" s="10">
        <f t="shared" si="10"/>
        <v>807.67571498884001</v>
      </c>
      <c r="AO23" s="10">
        <f t="shared" si="15"/>
        <v>9.6361131120688999</v>
      </c>
      <c r="AP23" s="10">
        <f t="shared" si="15"/>
        <v>21.606707140219999</v>
      </c>
    </row>
    <row r="24" spans="1:42" ht="16.95" customHeight="1" x14ac:dyDescent="0.3">
      <c r="A24" s="12" t="s">
        <v>105</v>
      </c>
      <c r="B24" s="16" t="s">
        <v>106</v>
      </c>
      <c r="C24" s="223" t="s">
        <v>107</v>
      </c>
      <c r="D24" s="224"/>
      <c r="E24" s="224"/>
      <c r="F24" s="224"/>
      <c r="G24" s="224"/>
      <c r="H24" s="224"/>
      <c r="I24" s="225"/>
      <c r="M24" s="6">
        <f t="shared" si="11"/>
        <v>4551.12</v>
      </c>
      <c r="N24" s="6">
        <f t="shared" si="11"/>
        <v>298856.88</v>
      </c>
      <c r="O24" s="6">
        <f t="shared" si="11"/>
        <v>303408</v>
      </c>
      <c r="S24" s="6">
        <f t="shared" si="12"/>
        <v>3680380.22</v>
      </c>
      <c r="T24" s="6">
        <f t="shared" si="12"/>
        <v>3178675.58</v>
      </c>
      <c r="U24" s="6">
        <f t="shared" si="12"/>
        <v>6859055.7999999998</v>
      </c>
      <c r="Y24" s="9">
        <f t="shared" si="13"/>
        <v>3066983.52</v>
      </c>
      <c r="Z24" s="9">
        <f t="shared" si="13"/>
        <v>2648896.3199999998</v>
      </c>
      <c r="AA24" s="9">
        <f t="shared" si="13"/>
        <v>5715879.8399999999</v>
      </c>
      <c r="AD24" s="5">
        <v>374868001</v>
      </c>
      <c r="AE24" s="5">
        <v>24134713</v>
      </c>
      <c r="AK24" s="6">
        <f t="shared" si="9"/>
        <v>3675829.1</v>
      </c>
      <c r="AL24" s="6">
        <f t="shared" si="14"/>
        <v>2879818.7</v>
      </c>
      <c r="AM24" s="6">
        <f t="shared" si="14"/>
        <v>6555647.7999999998</v>
      </c>
      <c r="AN24" s="10">
        <f t="shared" si="10"/>
        <v>807.67571498884001</v>
      </c>
      <c r="AO24" s="10">
        <f t="shared" si="15"/>
        <v>9.6361131120688999</v>
      </c>
      <c r="AP24" s="10">
        <f t="shared" si="15"/>
        <v>21.606707140219999</v>
      </c>
    </row>
    <row r="25" spans="1:42" ht="16.95" customHeight="1" x14ac:dyDescent="0.3">
      <c r="A25" s="12" t="s">
        <v>108</v>
      </c>
      <c r="B25" s="17" t="s">
        <v>109</v>
      </c>
      <c r="C25" s="226" t="s">
        <v>110</v>
      </c>
      <c r="D25" s="227"/>
      <c r="E25" s="227"/>
      <c r="F25" s="227"/>
      <c r="G25" s="227"/>
      <c r="H25" s="227"/>
      <c r="I25" s="228"/>
      <c r="M25" s="6">
        <f t="shared" si="11"/>
        <v>4551.12</v>
      </c>
      <c r="N25" s="6">
        <f t="shared" si="11"/>
        <v>298856.88</v>
      </c>
      <c r="O25" s="6">
        <f t="shared" si="11"/>
        <v>303408</v>
      </c>
      <c r="S25" s="6">
        <f t="shared" si="12"/>
        <v>3680380.22</v>
      </c>
      <c r="T25" s="6">
        <f t="shared" si="12"/>
        <v>3178675.58</v>
      </c>
      <c r="U25" s="6">
        <f t="shared" si="12"/>
        <v>6859055.7999999998</v>
      </c>
      <c r="Y25" s="9">
        <f t="shared" si="13"/>
        <v>3066983.52</v>
      </c>
      <c r="Z25" s="9">
        <f t="shared" si="13"/>
        <v>2648896.3199999998</v>
      </c>
      <c r="AA25" s="9">
        <f t="shared" si="13"/>
        <v>5715879.8399999999</v>
      </c>
      <c r="AD25" s="5">
        <v>374868002</v>
      </c>
      <c r="AE25" s="5">
        <v>34120440</v>
      </c>
      <c r="AK25" s="6">
        <f t="shared" si="9"/>
        <v>3675829.1</v>
      </c>
      <c r="AL25" s="6">
        <f t="shared" si="14"/>
        <v>2879818.7</v>
      </c>
      <c r="AM25" s="6">
        <f t="shared" si="14"/>
        <v>6555647.7999999998</v>
      </c>
      <c r="AN25" s="10">
        <f t="shared" si="10"/>
        <v>807.67571498884001</v>
      </c>
      <c r="AO25" s="10">
        <f t="shared" si="15"/>
        <v>9.6361131120688999</v>
      </c>
      <c r="AP25" s="10">
        <f t="shared" si="15"/>
        <v>21.606707140219999</v>
      </c>
    </row>
    <row r="26" spans="1:42" ht="54" x14ac:dyDescent="0.3">
      <c r="A26" s="12" t="s">
        <v>111</v>
      </c>
      <c r="B26" s="12" t="s">
        <v>112</v>
      </c>
      <c r="C26" s="19" t="s">
        <v>113</v>
      </c>
      <c r="D26" s="20"/>
      <c r="E26" s="20" t="s">
        <v>59</v>
      </c>
      <c r="F26" s="20" t="s">
        <v>60</v>
      </c>
      <c r="G26" s="21">
        <v>1</v>
      </c>
      <c r="H26" s="21"/>
      <c r="I26" s="21">
        <v>216.72</v>
      </c>
      <c r="J26" s="22">
        <f>IFERROR(ROUND(SUM(M27,M28)/I26, 2),0)</f>
        <v>21</v>
      </c>
      <c r="K26" s="23">
        <v>1379</v>
      </c>
      <c r="L26" s="22">
        <f>J26+ROUND(K26, 2)</f>
        <v>1400</v>
      </c>
      <c r="M26" s="22">
        <f>ROUND(J26*I26, 2)</f>
        <v>4551.12</v>
      </c>
      <c r="N26" s="22">
        <f>ROUND(I26*ROUND(K26, 2), 2)</f>
        <v>298856.88</v>
      </c>
      <c r="O26" s="22">
        <f>M26+N26</f>
        <v>303408</v>
      </c>
      <c r="P26" s="22">
        <f>IFERROR(ROUND(SUM(S27,S28)/I26, 2),0)</f>
        <v>16982.189999999999</v>
      </c>
      <c r="Q26" s="24">
        <v>14667.2</v>
      </c>
      <c r="R26" s="22">
        <f>P26+ROUND(Q26, 2)</f>
        <v>31649.39</v>
      </c>
      <c r="S26" s="22">
        <f>ROUND(P26*I26, 2)</f>
        <v>3680380.22</v>
      </c>
      <c r="T26" s="22">
        <f>ROUND(I26*ROUND(Q26, 2), 2)</f>
        <v>3178675.58</v>
      </c>
      <c r="U26" s="22">
        <f>S26+T26</f>
        <v>6859055.7999999998</v>
      </c>
      <c r="V26" s="9">
        <f>ROUND(P26 / 1.2, 2)</f>
        <v>14151.83</v>
      </c>
      <c r="W26" s="9">
        <f>ROUND(Q26 / 1.2, 2)</f>
        <v>12222.67</v>
      </c>
      <c r="X26" s="9">
        <f>ROUND(R26 / 1.2, 2)</f>
        <v>26374.49</v>
      </c>
      <c r="Y26" s="9">
        <f>ROUND(S26 / 1.2, 2)</f>
        <v>3066983.52</v>
      </c>
      <c r="Z26" s="9">
        <f>ROUND(T26 / 1.2, 2)</f>
        <v>2648896.3199999998</v>
      </c>
      <c r="AA26" s="9">
        <f>Y26+Z26</f>
        <v>5715879.8399999999</v>
      </c>
      <c r="AD26" s="5">
        <v>374868004</v>
      </c>
      <c r="AE26" s="5">
        <v>34120442</v>
      </c>
      <c r="AG26" s="5" t="s">
        <v>114</v>
      </c>
      <c r="AH26" s="5" t="s">
        <v>115</v>
      </c>
      <c r="AI26" s="5" t="s">
        <v>116</v>
      </c>
      <c r="AK26" s="22">
        <f t="shared" si="9"/>
        <v>3675829.1</v>
      </c>
      <c r="AL26" s="22">
        <f t="shared" si="14"/>
        <v>2879818.7</v>
      </c>
      <c r="AM26" s="22">
        <f t="shared" si="14"/>
        <v>6555647.7999999998</v>
      </c>
      <c r="AN26" s="25">
        <f t="shared" si="10"/>
        <v>807.67571498884001</v>
      </c>
      <c r="AO26" s="25">
        <f t="shared" si="15"/>
        <v>9.6361131120688999</v>
      </c>
      <c r="AP26" s="25">
        <f t="shared" si="15"/>
        <v>21.606707140219999</v>
      </c>
    </row>
    <row r="27" spans="1:42" ht="72" x14ac:dyDescent="0.3">
      <c r="A27" s="12" t="s">
        <v>117</v>
      </c>
      <c r="B27" s="12"/>
      <c r="C27" s="26" t="s">
        <v>118</v>
      </c>
      <c r="D27" s="20"/>
      <c r="E27" s="20" t="s">
        <v>119</v>
      </c>
      <c r="F27" s="27" t="s">
        <v>60</v>
      </c>
      <c r="G27" s="28">
        <v>1.05</v>
      </c>
      <c r="H27" s="28"/>
      <c r="I27" s="28">
        <v>227.55600000000001</v>
      </c>
      <c r="J27" s="29">
        <v>0</v>
      </c>
      <c r="M27" s="30">
        <f>ROUND(ROUND(J27, 2)*I27, 2)</f>
        <v>0</v>
      </c>
      <c r="P27" s="31">
        <v>15371.95</v>
      </c>
      <c r="S27" s="30">
        <f>ROUND(ROUND(P27, 2)*I27, 2)</f>
        <v>3497979.45</v>
      </c>
      <c r="V27" s="9">
        <f>ROUND(ROUND(P27, 2)/1.2, 2)</f>
        <v>12809.96</v>
      </c>
      <c r="Y27" s="9">
        <f>ROUND(S27 / 1.2, 2)</f>
        <v>2914982.88</v>
      </c>
      <c r="AD27" s="5" t="s">
        <v>120</v>
      </c>
      <c r="AE27" s="5" t="s">
        <v>121</v>
      </c>
      <c r="AF27" s="5" t="s">
        <v>122</v>
      </c>
      <c r="AK27" s="30">
        <f t="shared" si="9"/>
        <v>3497979.45</v>
      </c>
      <c r="AL27" s="30"/>
      <c r="AM27" s="30"/>
      <c r="AN27" s="32">
        <f t="shared" si="10"/>
        <v>0</v>
      </c>
      <c r="AO27" s="30"/>
      <c r="AP27" s="30"/>
    </row>
    <row r="28" spans="1:42" ht="54" x14ac:dyDescent="0.3">
      <c r="A28" s="12" t="s">
        <v>123</v>
      </c>
      <c r="B28" s="12"/>
      <c r="C28" s="33" t="s">
        <v>124</v>
      </c>
      <c r="D28" s="20"/>
      <c r="E28" s="20" t="s">
        <v>125</v>
      </c>
      <c r="F28" s="27" t="s">
        <v>126</v>
      </c>
      <c r="G28" s="28">
        <v>4.2</v>
      </c>
      <c r="H28" s="28"/>
      <c r="I28" s="28">
        <v>910.22400000000005</v>
      </c>
      <c r="J28" s="29">
        <v>5</v>
      </c>
      <c r="M28" s="30">
        <f>ROUND(ROUND(J28, 2)*I28, 2)</f>
        <v>4551.12</v>
      </c>
      <c r="P28" s="31">
        <v>200.39</v>
      </c>
      <c r="S28" s="30">
        <f>ROUND(ROUND(P28, 2)*I28, 2)</f>
        <v>182399.79</v>
      </c>
      <c r="V28" s="9">
        <f>ROUND(ROUND(P28, 2)/1.2, 2)</f>
        <v>166.99</v>
      </c>
      <c r="Y28" s="9">
        <f>ROUND(S28 / 1.2, 2)</f>
        <v>151999.82999999999</v>
      </c>
      <c r="AD28" s="5" t="s">
        <v>127</v>
      </c>
      <c r="AE28" s="5" t="s">
        <v>128</v>
      </c>
      <c r="AF28" s="5" t="s">
        <v>129</v>
      </c>
      <c r="AK28" s="30">
        <f t="shared" si="9"/>
        <v>177848.67</v>
      </c>
      <c r="AL28" s="30"/>
      <c r="AM28" s="30"/>
      <c r="AN28" s="32">
        <f t="shared" si="10"/>
        <v>39.078000580077003</v>
      </c>
      <c r="AO28" s="30"/>
      <c r="AP28" s="30"/>
    </row>
    <row r="29" spans="1:42" ht="24" customHeight="1" x14ac:dyDescent="0.3">
      <c r="A29" s="34"/>
      <c r="B29" s="34"/>
      <c r="C29" s="34"/>
      <c r="D29" s="35" t="s">
        <v>130</v>
      </c>
      <c r="E29" s="34"/>
      <c r="F29" s="34"/>
      <c r="G29" s="34"/>
      <c r="H29" s="34"/>
      <c r="I29" s="34"/>
      <c r="J29" s="34"/>
      <c r="K29" s="34"/>
      <c r="L29" s="34"/>
      <c r="M29" s="36">
        <f>SUM(M8)</f>
        <v>535755.89</v>
      </c>
      <c r="N29" s="36">
        <f>SUM(N8)</f>
        <v>1935911.88</v>
      </c>
      <c r="O29" s="36">
        <f>M29+N29</f>
        <v>2471667.77</v>
      </c>
      <c r="P29" s="34"/>
      <c r="Q29" s="34"/>
      <c r="R29" s="34"/>
      <c r="S29" s="36">
        <f>SUM(S8)</f>
        <v>23010095.469999999</v>
      </c>
      <c r="T29" s="36">
        <f>SUM(T8)</f>
        <v>14992596.93</v>
      </c>
      <c r="U29" s="36">
        <f>S29+T29</f>
        <v>38002692.399999999</v>
      </c>
      <c r="Y29" s="9">
        <f>SUM(Y8)</f>
        <v>19175079.559999999</v>
      </c>
      <c r="Z29" s="9">
        <f>SUM(Z8)</f>
        <v>12493830.779999999</v>
      </c>
      <c r="AA29" s="9">
        <f>Y29+Z29</f>
        <v>31668910.34</v>
      </c>
      <c r="AK29" s="36">
        <f t="shared" si="9"/>
        <v>22474339.579999998</v>
      </c>
      <c r="AL29" s="36">
        <f>T29-N29</f>
        <v>13056685.050000001</v>
      </c>
      <c r="AM29" s="36">
        <f>U29-O29</f>
        <v>35531024.630000003</v>
      </c>
      <c r="AN29" s="37">
        <f t="shared" si="10"/>
        <v>41.948842746274003</v>
      </c>
      <c r="AO29" s="37">
        <f>IFERROR(AL29/N29,0)</f>
        <v>6.7444624855548998</v>
      </c>
      <c r="AP29" s="37">
        <f>IFERROR(AM29/O29,0)</f>
        <v>14.375323844596</v>
      </c>
    </row>
    <row r="30" spans="1:42" ht="22.8" x14ac:dyDescent="0.3">
      <c r="A30" s="211" t="s">
        <v>131</v>
      </c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3"/>
    </row>
    <row r="31" spans="1:42" ht="15.6" x14ac:dyDescent="0.3">
      <c r="A31" s="39"/>
      <c r="B31" s="3" t="s">
        <v>132</v>
      </c>
      <c r="C31" s="38" t="s">
        <v>133</v>
      </c>
      <c r="D31" s="38" t="s">
        <v>134</v>
      </c>
      <c r="E31" s="40"/>
      <c r="F31" s="40"/>
      <c r="G31" s="40"/>
      <c r="H31" s="206"/>
      <c r="I31" s="232"/>
      <c r="J31" s="232"/>
      <c r="K31" s="232"/>
      <c r="L31" s="232"/>
      <c r="M31" s="232"/>
      <c r="N31" s="232"/>
      <c r="O31" s="232"/>
      <c r="P31" s="232"/>
      <c r="Q31" s="232"/>
      <c r="R31" s="232"/>
      <c r="S31" s="232"/>
      <c r="T31" s="232"/>
      <c r="U31" s="207"/>
    </row>
    <row r="32" spans="1:42" ht="15.6" x14ac:dyDescent="0.3">
      <c r="A32" s="39"/>
      <c r="B32" s="3" t="s">
        <v>135</v>
      </c>
      <c r="C32" s="38" t="s">
        <v>136</v>
      </c>
      <c r="D32" s="38" t="s">
        <v>137</v>
      </c>
      <c r="E32" s="40"/>
      <c r="F32" s="40"/>
      <c r="G32" s="40"/>
      <c r="H32" s="206"/>
      <c r="I32" s="232"/>
      <c r="J32" s="232"/>
      <c r="K32" s="232"/>
      <c r="L32" s="232"/>
      <c r="M32" s="232"/>
      <c r="N32" s="232"/>
      <c r="O32" s="232"/>
      <c r="P32" s="232"/>
      <c r="Q32" s="232"/>
      <c r="R32" s="232"/>
      <c r="S32" s="232"/>
      <c r="T32" s="232"/>
      <c r="U32" s="207"/>
    </row>
    <row r="33" spans="1:21" ht="31.2" x14ac:dyDescent="0.3">
      <c r="A33" s="39"/>
      <c r="B33" s="3" t="s">
        <v>138</v>
      </c>
      <c r="C33" s="38" t="s">
        <v>139</v>
      </c>
      <c r="D33" s="38" t="s">
        <v>140</v>
      </c>
      <c r="E33" s="40"/>
      <c r="F33" s="40"/>
      <c r="G33" s="40"/>
      <c r="H33" s="206"/>
      <c r="I33" s="232"/>
      <c r="J33" s="232"/>
      <c r="K33" s="232"/>
      <c r="L33" s="232"/>
      <c r="M33" s="232"/>
      <c r="N33" s="232"/>
      <c r="O33" s="232"/>
      <c r="P33" s="232"/>
      <c r="Q33" s="232"/>
      <c r="R33" s="232"/>
      <c r="S33" s="232"/>
      <c r="T33" s="232"/>
      <c r="U33" s="207"/>
    </row>
    <row r="34" spans="1:21" ht="15.6" x14ac:dyDescent="0.3">
      <c r="A34" s="39"/>
      <c r="B34" s="3" t="s">
        <v>141</v>
      </c>
      <c r="C34" s="38" t="s">
        <v>142</v>
      </c>
      <c r="D34" s="38" t="s">
        <v>143</v>
      </c>
      <c r="E34" s="40"/>
      <c r="F34" s="40"/>
      <c r="G34" s="40"/>
      <c r="H34" s="206"/>
      <c r="I34" s="232"/>
      <c r="J34" s="232"/>
      <c r="K34" s="232"/>
      <c r="L34" s="232"/>
      <c r="M34" s="232"/>
      <c r="N34" s="232"/>
      <c r="O34" s="232"/>
      <c r="P34" s="232"/>
      <c r="Q34" s="232"/>
      <c r="R34" s="232"/>
      <c r="S34" s="232"/>
      <c r="T34" s="232"/>
      <c r="U34" s="207"/>
    </row>
    <row r="35" spans="1:21" ht="15.6" x14ac:dyDescent="0.3">
      <c r="A35" s="39"/>
      <c r="B35" s="3" t="s">
        <v>144</v>
      </c>
      <c r="C35" s="38" t="s">
        <v>145</v>
      </c>
      <c r="D35" s="38" t="s">
        <v>137</v>
      </c>
      <c r="E35" s="40"/>
      <c r="F35" s="40"/>
      <c r="G35" s="40"/>
      <c r="H35" s="206"/>
      <c r="I35" s="232"/>
      <c r="J35" s="232"/>
      <c r="K35" s="232"/>
      <c r="L35" s="232"/>
      <c r="M35" s="232"/>
      <c r="N35" s="232"/>
      <c r="O35" s="232"/>
      <c r="P35" s="232"/>
      <c r="Q35" s="232"/>
      <c r="R35" s="232"/>
      <c r="S35" s="232"/>
      <c r="T35" s="232"/>
      <c r="U35" s="207"/>
    </row>
    <row r="36" spans="1:21" ht="31.2" x14ac:dyDescent="0.3">
      <c r="A36" s="39"/>
      <c r="B36" s="3" t="s">
        <v>146</v>
      </c>
      <c r="C36" s="38" t="s">
        <v>147</v>
      </c>
      <c r="D36" s="38" t="s">
        <v>148</v>
      </c>
      <c r="E36" s="40"/>
      <c r="F36" s="40"/>
      <c r="G36" s="40"/>
      <c r="H36" s="206"/>
      <c r="I36" s="232"/>
      <c r="J36" s="232"/>
      <c r="K36" s="232"/>
      <c r="L36" s="232"/>
      <c r="M36" s="232"/>
      <c r="N36" s="232"/>
      <c r="O36" s="232"/>
      <c r="P36" s="232"/>
      <c r="Q36" s="232"/>
      <c r="R36" s="232"/>
      <c r="S36" s="232"/>
      <c r="T36" s="232"/>
      <c r="U36" s="207"/>
    </row>
    <row r="37" spans="1:21" ht="31.2" x14ac:dyDescent="0.3">
      <c r="A37" s="39"/>
      <c r="B37" s="3" t="s">
        <v>149</v>
      </c>
      <c r="C37" s="38" t="s">
        <v>150</v>
      </c>
      <c r="D37" s="38" t="s">
        <v>151</v>
      </c>
      <c r="E37" s="40"/>
      <c r="F37" s="40"/>
      <c r="G37" s="40"/>
      <c r="H37" s="206"/>
      <c r="I37" s="232"/>
      <c r="J37" s="232"/>
      <c r="K37" s="232"/>
      <c r="L37" s="232"/>
      <c r="M37" s="232"/>
      <c r="N37" s="232"/>
      <c r="O37" s="232"/>
      <c r="P37" s="232"/>
      <c r="Q37" s="232"/>
      <c r="R37" s="232"/>
      <c r="S37" s="232"/>
      <c r="T37" s="232"/>
      <c r="U37" s="207"/>
    </row>
    <row r="38" spans="1:21" ht="15.6" x14ac:dyDescent="0.3">
      <c r="A38" s="39"/>
      <c r="B38" s="3" t="s">
        <v>152</v>
      </c>
      <c r="C38" s="38" t="s">
        <v>153</v>
      </c>
      <c r="D38" s="38" t="s">
        <v>154</v>
      </c>
      <c r="E38" s="40"/>
      <c r="F38" s="40"/>
      <c r="G38" s="40"/>
      <c r="H38" s="206"/>
      <c r="I38" s="232"/>
      <c r="J38" s="232"/>
      <c r="K38" s="232"/>
      <c r="L38" s="232"/>
      <c r="M38" s="232"/>
      <c r="N38" s="232"/>
      <c r="O38" s="232"/>
      <c r="P38" s="232"/>
      <c r="Q38" s="232"/>
      <c r="R38" s="232"/>
      <c r="S38" s="232"/>
      <c r="T38" s="232"/>
      <c r="U38" s="207"/>
    </row>
    <row r="39" spans="1:21" ht="15.6" x14ac:dyDescent="0.3">
      <c r="A39" s="39"/>
      <c r="B39" s="3" t="s">
        <v>155</v>
      </c>
      <c r="C39" s="38" t="s">
        <v>156</v>
      </c>
      <c r="D39" s="38" t="s">
        <v>157</v>
      </c>
      <c r="E39" s="40"/>
      <c r="F39" s="40"/>
      <c r="G39" s="40"/>
      <c r="H39" s="206"/>
      <c r="I39" s="232"/>
      <c r="J39" s="232"/>
      <c r="K39" s="232"/>
      <c r="L39" s="232"/>
      <c r="M39" s="232"/>
      <c r="N39" s="232"/>
      <c r="O39" s="232"/>
      <c r="P39" s="232"/>
      <c r="Q39" s="232"/>
      <c r="R39" s="232"/>
      <c r="S39" s="232"/>
      <c r="T39" s="232"/>
      <c r="U39" s="207"/>
    </row>
    <row r="40" spans="1:21" ht="31.2" x14ac:dyDescent="0.3">
      <c r="A40" s="39"/>
      <c r="B40" s="3" t="s">
        <v>158</v>
      </c>
      <c r="C40" s="38" t="s">
        <v>159</v>
      </c>
      <c r="D40" s="38" t="s">
        <v>160</v>
      </c>
      <c r="E40" s="40"/>
      <c r="F40" s="40"/>
      <c r="G40" s="40"/>
      <c r="H40" s="206"/>
      <c r="I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07"/>
    </row>
    <row r="41" spans="1:21" ht="46.8" x14ac:dyDescent="0.3">
      <c r="A41" s="39"/>
      <c r="B41" s="3" t="s">
        <v>161</v>
      </c>
      <c r="C41" s="38" t="s">
        <v>162</v>
      </c>
      <c r="D41" s="38" t="s">
        <v>163</v>
      </c>
      <c r="E41" s="40"/>
      <c r="F41" s="40"/>
      <c r="G41" s="40"/>
      <c r="H41" s="206"/>
      <c r="I41" s="232"/>
      <c r="J41" s="232"/>
      <c r="K41" s="232"/>
      <c r="L41" s="232"/>
      <c r="M41" s="232"/>
      <c r="N41" s="232"/>
      <c r="O41" s="232"/>
      <c r="P41" s="232"/>
      <c r="Q41" s="232"/>
      <c r="R41" s="232"/>
      <c r="S41" s="232"/>
      <c r="T41" s="232"/>
      <c r="U41" s="207"/>
    </row>
    <row r="42" spans="1:21" ht="31.2" x14ac:dyDescent="0.3">
      <c r="A42" s="39"/>
      <c r="B42" s="3" t="s">
        <v>164</v>
      </c>
      <c r="C42" s="38" t="s">
        <v>165</v>
      </c>
      <c r="D42" s="38" t="s">
        <v>166</v>
      </c>
      <c r="E42" s="40"/>
      <c r="F42" s="40"/>
      <c r="G42" s="40"/>
      <c r="H42" s="206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07"/>
    </row>
    <row r="43" spans="1:21" ht="15.6" x14ac:dyDescent="0.3">
      <c r="A43" s="39"/>
      <c r="B43" s="3" t="s">
        <v>167</v>
      </c>
      <c r="C43" s="38" t="s">
        <v>168</v>
      </c>
      <c r="D43" s="38" t="s">
        <v>169</v>
      </c>
      <c r="E43" s="40"/>
      <c r="F43" s="40"/>
      <c r="G43" s="40"/>
      <c r="H43" s="206"/>
      <c r="I43" s="232"/>
      <c r="J43" s="232"/>
      <c r="K43" s="232"/>
      <c r="L43" s="232"/>
      <c r="M43" s="232"/>
      <c r="N43" s="232"/>
      <c r="O43" s="232"/>
      <c r="P43" s="232"/>
      <c r="Q43" s="232"/>
      <c r="R43" s="232"/>
      <c r="S43" s="232"/>
      <c r="T43" s="232"/>
      <c r="U43" s="207"/>
    </row>
    <row r="44" spans="1:21" ht="48" customHeight="1" x14ac:dyDescent="0.3">
      <c r="A44" s="39"/>
      <c r="B44" s="3" t="s">
        <v>170</v>
      </c>
      <c r="C44" s="38" t="s">
        <v>171</v>
      </c>
      <c r="D44" s="38" t="s">
        <v>172</v>
      </c>
      <c r="E44" s="40"/>
      <c r="F44" s="40"/>
      <c r="G44" s="40"/>
      <c r="H44" s="206" t="s">
        <v>173</v>
      </c>
      <c r="I44" s="232"/>
      <c r="J44" s="232"/>
      <c r="K44" s="232"/>
      <c r="L44" s="232"/>
      <c r="M44" s="232"/>
      <c r="N44" s="232"/>
      <c r="O44" s="232"/>
      <c r="P44" s="232"/>
      <c r="Q44" s="232"/>
      <c r="R44" s="232"/>
      <c r="S44" s="232"/>
      <c r="T44" s="232"/>
      <c r="U44" s="207"/>
    </row>
    <row r="45" spans="1:21" ht="15.6" x14ac:dyDescent="0.3">
      <c r="A45" s="39"/>
      <c r="B45" s="3" t="s">
        <v>174</v>
      </c>
      <c r="C45" s="38" t="s">
        <v>175</v>
      </c>
      <c r="D45" s="38" t="s">
        <v>176</v>
      </c>
      <c r="E45" s="40"/>
      <c r="F45" s="40"/>
      <c r="G45" s="40"/>
      <c r="H45" s="206"/>
      <c r="I45" s="232"/>
      <c r="J45" s="232"/>
      <c r="K45" s="232"/>
      <c r="L45" s="232"/>
      <c r="M45" s="232"/>
      <c r="N45" s="232"/>
      <c r="O45" s="232"/>
      <c r="P45" s="232"/>
      <c r="Q45" s="232"/>
      <c r="R45" s="232"/>
      <c r="S45" s="232"/>
      <c r="T45" s="232"/>
      <c r="U45" s="207"/>
    </row>
    <row r="46" spans="1:21" ht="31.2" x14ac:dyDescent="0.3">
      <c r="A46" s="39"/>
      <c r="B46" s="3" t="s">
        <v>177</v>
      </c>
      <c r="C46" s="38" t="s">
        <v>178</v>
      </c>
      <c r="D46" s="40"/>
      <c r="E46" s="40"/>
      <c r="F46" s="40"/>
      <c r="G46" s="40"/>
      <c r="H46" s="206"/>
      <c r="I46" s="232"/>
      <c r="J46" s="232"/>
      <c r="K46" s="232"/>
      <c r="L46" s="232"/>
      <c r="M46" s="232"/>
      <c r="N46" s="232"/>
      <c r="O46" s="232"/>
      <c r="P46" s="232"/>
      <c r="Q46" s="232"/>
      <c r="R46" s="232"/>
      <c r="S46" s="232"/>
      <c r="T46" s="232"/>
      <c r="U46" s="207"/>
    </row>
    <row r="47" spans="1:21" ht="15.6" x14ac:dyDescent="0.3">
      <c r="A47" s="39"/>
      <c r="B47" s="3" t="s">
        <v>179</v>
      </c>
      <c r="C47" s="38" t="s">
        <v>180</v>
      </c>
      <c r="D47" s="40"/>
      <c r="E47" s="40"/>
      <c r="F47" s="40"/>
      <c r="G47" s="40"/>
      <c r="H47" s="206"/>
      <c r="I47" s="232"/>
      <c r="J47" s="232"/>
      <c r="K47" s="232"/>
      <c r="L47" s="232"/>
      <c r="M47" s="232"/>
      <c r="N47" s="232"/>
      <c r="O47" s="232"/>
      <c r="P47" s="232"/>
      <c r="Q47" s="232"/>
      <c r="R47" s="232"/>
      <c r="S47" s="232"/>
      <c r="T47" s="232"/>
      <c r="U47" s="207"/>
    </row>
    <row r="48" spans="1:21" ht="15.6" x14ac:dyDescent="0.3">
      <c r="A48" s="39"/>
      <c r="B48" s="3" t="s">
        <v>181</v>
      </c>
      <c r="C48" s="38" t="s">
        <v>182</v>
      </c>
      <c r="D48" s="40"/>
      <c r="E48" s="40"/>
      <c r="F48" s="40"/>
      <c r="G48" s="40"/>
      <c r="H48" s="206"/>
      <c r="I48" s="232"/>
      <c r="J48" s="232"/>
      <c r="K48" s="232"/>
      <c r="L48" s="232"/>
      <c r="M48" s="232"/>
      <c r="N48" s="232"/>
      <c r="O48" s="232"/>
      <c r="P48" s="232"/>
      <c r="Q48" s="232"/>
      <c r="R48" s="232"/>
      <c r="S48" s="232"/>
      <c r="T48" s="232"/>
      <c r="U48" s="207"/>
    </row>
  </sheetData>
  <sheetProtection password="C644" sheet="1" formatColumns="0" autoFilter="0"/>
  <autoFilter ref="A7:U7"/>
  <mergeCells count="59">
    <mergeCell ref="H46:U46"/>
    <mergeCell ref="H47:U47"/>
    <mergeCell ref="H48:U48"/>
    <mergeCell ref="H41:U41"/>
    <mergeCell ref="H42:U42"/>
    <mergeCell ref="H43:U43"/>
    <mergeCell ref="H44:U44"/>
    <mergeCell ref="H45:U45"/>
    <mergeCell ref="H36:U36"/>
    <mergeCell ref="H37:U37"/>
    <mergeCell ref="H38:U38"/>
    <mergeCell ref="H39:U39"/>
    <mergeCell ref="H40:U40"/>
    <mergeCell ref="H31:U31"/>
    <mergeCell ref="H32:U32"/>
    <mergeCell ref="H33:U33"/>
    <mergeCell ref="H34:U34"/>
    <mergeCell ref="H35:U35"/>
    <mergeCell ref="C22:I22"/>
    <mergeCell ref="C23:I23"/>
    <mergeCell ref="C24:I24"/>
    <mergeCell ref="C25:I25"/>
    <mergeCell ref="A30:U30"/>
    <mergeCell ref="C11:I11"/>
    <mergeCell ref="C12:I12"/>
    <mergeCell ref="C13:I13"/>
    <mergeCell ref="C14:I14"/>
    <mergeCell ref="C16:I16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K5:AP5"/>
    <mergeCell ref="AK6:AL6"/>
    <mergeCell ref="AM6:AM7"/>
    <mergeCell ref="AN6:AO6"/>
    <mergeCell ref="AP6:AP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U29"/>
  <sheetViews>
    <sheetView tabSelected="1" view="pageBreakPreview" topLeftCell="B2" zoomScale="60" zoomScaleNormal="100" workbookViewId="0">
      <selection activeCell="K17" sqref="K17"/>
    </sheetView>
  </sheetViews>
  <sheetFormatPr defaultRowHeight="14.4" x14ac:dyDescent="0.3"/>
  <cols>
    <col min="1" max="1" width="20" customWidth="1"/>
    <col min="2" max="2" width="21.6640625" bestFit="1" customWidth="1"/>
    <col min="3" max="3" width="60.44140625" customWidth="1"/>
    <col min="4" max="4" width="13.77734375" customWidth="1"/>
    <col min="5" max="5" width="43.88671875" customWidth="1"/>
    <col min="6" max="6" width="16.44140625" customWidth="1"/>
    <col min="7" max="7" width="21.109375" customWidth="1"/>
    <col min="8" max="8" width="16" hidden="1" customWidth="1"/>
    <col min="9" max="9" width="32" customWidth="1"/>
    <col min="10" max="10" width="24" customWidth="1"/>
    <col min="11" max="11" width="21.6640625" customWidth="1"/>
    <col min="12" max="12" width="22.6640625" customWidth="1"/>
    <col min="13" max="13" width="18" customWidth="1"/>
    <col min="14" max="14" width="18.77734375" customWidth="1"/>
    <col min="15" max="15" width="21" customWidth="1"/>
    <col min="16" max="16" width="16" hidden="1" customWidth="1"/>
    <col min="17" max="17" width="15.109375" hidden="1" customWidth="1"/>
    <col min="18" max="18" width="27.44140625" customWidth="1"/>
    <col min="19" max="19" width="18" hidden="1" customWidth="1"/>
    <col min="20" max="20" width="18.77734375" hidden="1" customWidth="1"/>
    <col min="21" max="21" width="39.21875" customWidth="1"/>
  </cols>
  <sheetData>
    <row r="1" spans="1:21" ht="15" customHeight="1" x14ac:dyDescent="0.3">
      <c r="A1" s="1" t="s">
        <v>0</v>
      </c>
      <c r="B1" s="4"/>
      <c r="C1" s="4"/>
      <c r="D1" s="2" t="s">
        <v>1</v>
      </c>
      <c r="E1" s="2" t="s">
        <v>3</v>
      </c>
      <c r="F1" s="2" t="s">
        <v>2</v>
      </c>
      <c r="G1" s="2" t="s">
        <v>16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30.75" customHeight="1" x14ac:dyDescent="0.3">
      <c r="A2" s="194" t="s">
        <v>4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</row>
    <row r="3" spans="1:21" ht="15" customHeight="1" x14ac:dyDescent="0.3">
      <c r="A3" s="195" t="s">
        <v>5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</row>
    <row r="4" spans="1:21" ht="15" customHeight="1" thickBot="1" x14ac:dyDescent="0.35">
      <c r="A4" s="196" t="s">
        <v>6</v>
      </c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</row>
    <row r="5" spans="1:21" ht="40.799999999999997" customHeight="1" x14ac:dyDescent="0.3">
      <c r="A5" s="265" t="s">
        <v>24</v>
      </c>
      <c r="B5" s="268" t="s">
        <v>25</v>
      </c>
      <c r="C5" s="268" t="s">
        <v>26</v>
      </c>
      <c r="D5" s="268" t="s">
        <v>27</v>
      </c>
      <c r="E5" s="268" t="s">
        <v>28</v>
      </c>
      <c r="F5" s="268" t="s">
        <v>29</v>
      </c>
      <c r="G5" s="269"/>
      <c r="H5" s="268" t="s">
        <v>31</v>
      </c>
      <c r="I5" s="280" t="s">
        <v>184</v>
      </c>
      <c r="J5" s="233" t="s">
        <v>185</v>
      </c>
      <c r="K5" s="261" t="s">
        <v>186</v>
      </c>
      <c r="L5" s="262"/>
      <c r="M5" s="67"/>
      <c r="N5" s="67"/>
      <c r="O5" s="68"/>
      <c r="P5" s="252" t="s">
        <v>8</v>
      </c>
      <c r="Q5" s="253"/>
      <c r="R5" s="254"/>
      <c r="S5" s="255" t="s">
        <v>183</v>
      </c>
      <c r="T5" s="255"/>
      <c r="U5" s="256"/>
    </row>
    <row r="6" spans="1:21" ht="15.75" customHeight="1" thickBot="1" x14ac:dyDescent="0.35">
      <c r="A6" s="266"/>
      <c r="B6" s="204"/>
      <c r="C6" s="204"/>
      <c r="D6" s="204"/>
      <c r="E6" s="204"/>
      <c r="F6" s="204"/>
      <c r="G6" s="270"/>
      <c r="H6" s="204"/>
      <c r="I6" s="281"/>
      <c r="J6" s="234"/>
      <c r="K6" s="263"/>
      <c r="L6" s="264"/>
      <c r="M6" s="257"/>
      <c r="N6" s="258"/>
      <c r="O6" s="259"/>
      <c r="P6" s="272" t="s">
        <v>33</v>
      </c>
      <c r="Q6" s="273"/>
      <c r="R6" s="274" t="s">
        <v>33</v>
      </c>
      <c r="S6" s="276" t="s">
        <v>34</v>
      </c>
      <c r="T6" s="277"/>
      <c r="U6" s="278" t="s">
        <v>35</v>
      </c>
    </row>
    <row r="7" spans="1:21" ht="66" customHeight="1" x14ac:dyDescent="0.3">
      <c r="A7" s="267"/>
      <c r="B7" s="205"/>
      <c r="C7" s="205"/>
      <c r="D7" s="205"/>
      <c r="E7" s="205"/>
      <c r="F7" s="205"/>
      <c r="G7" s="271"/>
      <c r="H7" s="205"/>
      <c r="I7" s="282"/>
      <c r="J7" s="235"/>
      <c r="K7" s="110" t="s">
        <v>187</v>
      </c>
      <c r="L7" s="111" t="s">
        <v>183</v>
      </c>
      <c r="M7" s="42"/>
      <c r="N7" s="43"/>
      <c r="O7" s="260"/>
      <c r="P7" s="50" t="s">
        <v>12</v>
      </c>
      <c r="Q7" s="51" t="s">
        <v>13</v>
      </c>
      <c r="R7" s="275"/>
      <c r="S7" s="59" t="s">
        <v>12</v>
      </c>
      <c r="T7" s="60" t="s">
        <v>13</v>
      </c>
      <c r="U7" s="279"/>
    </row>
    <row r="8" spans="1:21" ht="27" customHeight="1" x14ac:dyDescent="0.55000000000000004">
      <c r="A8" s="248" t="s">
        <v>36</v>
      </c>
      <c r="B8" s="212"/>
      <c r="C8" s="212"/>
      <c r="D8" s="212"/>
      <c r="E8" s="212"/>
      <c r="F8" s="212"/>
      <c r="G8" s="212"/>
      <c r="H8" s="212"/>
      <c r="I8" s="249"/>
      <c r="J8" s="97"/>
      <c r="K8" s="236" t="s">
        <v>188</v>
      </c>
      <c r="L8" s="237"/>
      <c r="M8" s="92"/>
      <c r="N8" s="44"/>
      <c r="O8" s="46"/>
      <c r="P8" s="52"/>
      <c r="Q8" s="53"/>
      <c r="R8" s="54"/>
      <c r="S8" s="61">
        <f>SUM(S9)</f>
        <v>23010095.469999999</v>
      </c>
      <c r="T8" s="62">
        <f>SUM(T9)</f>
        <v>14992596.93</v>
      </c>
      <c r="U8" s="62">
        <f>SUM(U9)</f>
        <v>38002692.400000006</v>
      </c>
    </row>
    <row r="9" spans="1:21" ht="27.6" hidden="1" customHeight="1" x14ac:dyDescent="0.55000000000000004">
      <c r="A9" s="41" t="s">
        <v>38</v>
      </c>
      <c r="B9" s="13" t="s">
        <v>39</v>
      </c>
      <c r="C9" s="214" t="s">
        <v>40</v>
      </c>
      <c r="D9" s="215"/>
      <c r="E9" s="215"/>
      <c r="F9" s="215"/>
      <c r="G9" s="215"/>
      <c r="H9" s="215"/>
      <c r="I9" s="250"/>
      <c r="J9" s="98"/>
      <c r="K9" s="103"/>
      <c r="L9" s="104"/>
      <c r="M9" s="93"/>
      <c r="N9" s="45"/>
      <c r="O9" s="48"/>
      <c r="P9" s="55"/>
      <c r="Q9" s="56"/>
      <c r="R9" s="57"/>
      <c r="S9" s="63">
        <f>SUM(S10,S22)</f>
        <v>23010095.469999999</v>
      </c>
      <c r="T9" s="64">
        <f>SUM(T10,T22)</f>
        <v>14992596.93</v>
      </c>
      <c r="U9" s="64">
        <f>SUM(U10,U22)</f>
        <v>38002692.400000006</v>
      </c>
    </row>
    <row r="10" spans="1:21" ht="27" hidden="1" customHeight="1" x14ac:dyDescent="0.55000000000000004">
      <c r="A10" s="41" t="s">
        <v>41</v>
      </c>
      <c r="B10" s="14" t="s">
        <v>42</v>
      </c>
      <c r="C10" s="217" t="s">
        <v>43</v>
      </c>
      <c r="D10" s="218"/>
      <c r="E10" s="218"/>
      <c r="F10" s="218"/>
      <c r="G10" s="218"/>
      <c r="H10" s="218"/>
      <c r="I10" s="251"/>
      <c r="J10" s="98"/>
      <c r="K10" s="103"/>
      <c r="L10" s="104"/>
      <c r="M10" s="93"/>
      <c r="N10" s="45"/>
      <c r="O10" s="48"/>
      <c r="P10" s="55"/>
      <c r="Q10" s="56"/>
      <c r="R10" s="57"/>
      <c r="S10" s="63">
        <f t="shared" ref="S10:U12" si="0">SUM(S11)</f>
        <v>19329715.25</v>
      </c>
      <c r="T10" s="64">
        <f t="shared" si="0"/>
        <v>11813921.35</v>
      </c>
      <c r="U10" s="64">
        <f t="shared" si="0"/>
        <v>31143636.600000001</v>
      </c>
    </row>
    <row r="11" spans="1:21" ht="31.8" hidden="1" customHeight="1" x14ac:dyDescent="0.55000000000000004">
      <c r="A11" s="41" t="s">
        <v>44</v>
      </c>
      <c r="B11" s="15" t="s">
        <v>45</v>
      </c>
      <c r="C11" s="220" t="s">
        <v>46</v>
      </c>
      <c r="D11" s="221"/>
      <c r="E11" s="221"/>
      <c r="F11" s="221"/>
      <c r="G11" s="221"/>
      <c r="H11" s="221"/>
      <c r="I11" s="247"/>
      <c r="J11" s="98"/>
      <c r="K11" s="103"/>
      <c r="L11" s="104"/>
      <c r="M11" s="93"/>
      <c r="N11" s="45"/>
      <c r="O11" s="48"/>
      <c r="P11" s="55"/>
      <c r="Q11" s="56"/>
      <c r="R11" s="57"/>
      <c r="S11" s="63">
        <f t="shared" si="0"/>
        <v>19329715.25</v>
      </c>
      <c r="T11" s="64">
        <f t="shared" si="0"/>
        <v>11813921.35</v>
      </c>
      <c r="U11" s="64">
        <f t="shared" si="0"/>
        <v>31143636.600000001</v>
      </c>
    </row>
    <row r="12" spans="1:21" ht="21" hidden="1" customHeight="1" x14ac:dyDescent="0.55000000000000004">
      <c r="A12" s="41" t="s">
        <v>47</v>
      </c>
      <c r="B12" s="16" t="s">
        <v>48</v>
      </c>
      <c r="C12" s="223" t="s">
        <v>49</v>
      </c>
      <c r="D12" s="224"/>
      <c r="E12" s="224"/>
      <c r="F12" s="224"/>
      <c r="G12" s="224"/>
      <c r="H12" s="224"/>
      <c r="I12" s="238"/>
      <c r="J12" s="98"/>
      <c r="K12" s="103"/>
      <c r="L12" s="104"/>
      <c r="M12" s="93"/>
      <c r="N12" s="45"/>
      <c r="O12" s="48"/>
      <c r="P12" s="55"/>
      <c r="Q12" s="56"/>
      <c r="R12" s="57"/>
      <c r="S12" s="63">
        <f t="shared" si="0"/>
        <v>19329715.25</v>
      </c>
      <c r="T12" s="64">
        <f t="shared" si="0"/>
        <v>11813921.35</v>
      </c>
      <c r="U12" s="64">
        <f t="shared" si="0"/>
        <v>31143636.600000001</v>
      </c>
    </row>
    <row r="13" spans="1:21" ht="22.8" hidden="1" customHeight="1" x14ac:dyDescent="0.55000000000000004">
      <c r="A13" s="41" t="s">
        <v>50</v>
      </c>
      <c r="B13" s="17" t="s">
        <v>51</v>
      </c>
      <c r="C13" s="226" t="s">
        <v>52</v>
      </c>
      <c r="D13" s="227"/>
      <c r="E13" s="227"/>
      <c r="F13" s="227"/>
      <c r="G13" s="227"/>
      <c r="H13" s="227"/>
      <c r="I13" s="239"/>
      <c r="J13" s="98"/>
      <c r="K13" s="103"/>
      <c r="L13" s="113"/>
      <c r="M13" s="93"/>
      <c r="N13" s="45"/>
      <c r="O13" s="48"/>
      <c r="P13" s="55"/>
      <c r="Q13" s="56"/>
      <c r="R13" s="57"/>
      <c r="S13" s="63">
        <f>SUM(S14,S16)</f>
        <v>19329715.25</v>
      </c>
      <c r="T13" s="64">
        <f>SUM(T14,T16)</f>
        <v>11813921.35</v>
      </c>
      <c r="U13" s="64">
        <f>SUM(U14,U16)</f>
        <v>31143636.600000001</v>
      </c>
    </row>
    <row r="14" spans="1:21" ht="39.6" hidden="1" customHeight="1" x14ac:dyDescent="0.55000000000000004">
      <c r="A14" s="41" t="s">
        <v>53</v>
      </c>
      <c r="B14" s="18" t="s">
        <v>54</v>
      </c>
      <c r="C14" s="229" t="s">
        <v>55</v>
      </c>
      <c r="D14" s="230"/>
      <c r="E14" s="230"/>
      <c r="F14" s="230"/>
      <c r="G14" s="230"/>
      <c r="H14" s="230"/>
      <c r="I14" s="240"/>
      <c r="J14" s="98"/>
      <c r="K14" s="103"/>
      <c r="L14" s="113"/>
      <c r="M14" s="93"/>
      <c r="N14" s="45"/>
      <c r="O14" s="48"/>
      <c r="P14" s="55"/>
      <c r="Q14" s="56"/>
      <c r="R14" s="57"/>
      <c r="S14" s="63">
        <f>SUM(S15)</f>
        <v>0</v>
      </c>
      <c r="T14" s="64">
        <f>SUM(T15)</f>
        <v>309375</v>
      </c>
      <c r="U14" s="64">
        <f>SUM(U15)</f>
        <v>309375</v>
      </c>
    </row>
    <row r="15" spans="1:21" ht="79.2" customHeight="1" thickBot="1" x14ac:dyDescent="0.35">
      <c r="A15" s="152" t="s">
        <v>56</v>
      </c>
      <c r="B15" s="153" t="s">
        <v>57</v>
      </c>
      <c r="C15" s="154" t="s">
        <v>58</v>
      </c>
      <c r="D15" s="155"/>
      <c r="E15" s="155" t="s">
        <v>59</v>
      </c>
      <c r="F15" s="155" t="s">
        <v>60</v>
      </c>
      <c r="G15" s="156">
        <v>1</v>
      </c>
      <c r="H15" s="156"/>
      <c r="I15" s="157">
        <v>825</v>
      </c>
      <c r="J15" s="158">
        <f>I15-K15</f>
        <v>425</v>
      </c>
      <c r="K15" s="159">
        <v>400</v>
      </c>
      <c r="L15" s="158">
        <f>K15*R15</f>
        <v>150000</v>
      </c>
      <c r="M15" s="160"/>
      <c r="N15" s="161"/>
      <c r="O15" s="162"/>
      <c r="P15" s="163">
        <v>0</v>
      </c>
      <c r="Q15" s="164">
        <v>375</v>
      </c>
      <c r="R15" s="165">
        <f>P15+ROUND(Q15, 2)</f>
        <v>375</v>
      </c>
      <c r="S15" s="160">
        <v>0</v>
      </c>
      <c r="T15" s="161">
        <f>ROUND(I15*ROUND(Q15, 2), 2)</f>
        <v>309375</v>
      </c>
      <c r="U15" s="161">
        <f>S15+T15</f>
        <v>309375</v>
      </c>
    </row>
    <row r="16" spans="1:21" ht="39.6" customHeight="1" thickBot="1" x14ac:dyDescent="0.6">
      <c r="A16" s="180" t="s">
        <v>64</v>
      </c>
      <c r="B16" s="181" t="s">
        <v>65</v>
      </c>
      <c r="C16" s="241" t="s">
        <v>66</v>
      </c>
      <c r="D16" s="242"/>
      <c r="E16" s="242"/>
      <c r="F16" s="242"/>
      <c r="G16" s="242"/>
      <c r="H16" s="242"/>
      <c r="I16" s="243"/>
      <c r="J16" s="182"/>
      <c r="K16" s="183"/>
      <c r="L16" s="184"/>
      <c r="M16" s="185"/>
      <c r="N16" s="186"/>
      <c r="O16" s="187"/>
      <c r="P16" s="188"/>
      <c r="Q16" s="189"/>
      <c r="R16" s="190"/>
      <c r="S16" s="191">
        <f>SUM(S17)</f>
        <v>19329715.25</v>
      </c>
      <c r="T16" s="192">
        <f>SUM(T17)</f>
        <v>11504546.35</v>
      </c>
      <c r="U16" s="193">
        <f>SUM(U17)</f>
        <v>30834261.600000001</v>
      </c>
    </row>
    <row r="17" spans="1:21" ht="86.4" customHeight="1" x14ac:dyDescent="0.3">
      <c r="A17" s="166" t="s">
        <v>67</v>
      </c>
      <c r="B17" s="167" t="s">
        <v>68</v>
      </c>
      <c r="C17" s="168" t="s">
        <v>69</v>
      </c>
      <c r="D17" s="169"/>
      <c r="E17" s="169" t="s">
        <v>59</v>
      </c>
      <c r="F17" s="169" t="s">
        <v>60</v>
      </c>
      <c r="G17" s="170">
        <v>1</v>
      </c>
      <c r="H17" s="170"/>
      <c r="I17" s="171">
        <v>1106.4000000000001</v>
      </c>
      <c r="J17" s="172">
        <f>I17-K17</f>
        <v>506.40000000000009</v>
      </c>
      <c r="K17" s="173">
        <v>600</v>
      </c>
      <c r="L17" s="158">
        <f>K17*R17</f>
        <v>16721400</v>
      </c>
      <c r="M17" s="174"/>
      <c r="N17" s="175"/>
      <c r="O17" s="176"/>
      <c r="P17" s="177">
        <f>IFERROR(ROUND(SUM(S18,S19,S20,S21)/I17, 2),0)</f>
        <v>17470.82</v>
      </c>
      <c r="Q17" s="178">
        <v>10398.18</v>
      </c>
      <c r="R17" s="179">
        <f>P17+ROUND(Q17, 2)</f>
        <v>27869</v>
      </c>
      <c r="S17" s="174">
        <f>ROUND(P17*I17, 2)</f>
        <v>19329715.25</v>
      </c>
      <c r="T17" s="175">
        <f>ROUND(I17*ROUND(Q17, 2), 2)</f>
        <v>11504546.35</v>
      </c>
      <c r="U17" s="175">
        <f>S17+T17</f>
        <v>30834261.600000001</v>
      </c>
    </row>
    <row r="18" spans="1:21" ht="66" customHeight="1" x14ac:dyDescent="0.55000000000000004">
      <c r="A18" s="130" t="s">
        <v>72</v>
      </c>
      <c r="B18" s="131"/>
      <c r="C18" s="132" t="s">
        <v>73</v>
      </c>
      <c r="D18" s="133"/>
      <c r="E18" s="133" t="s">
        <v>74</v>
      </c>
      <c r="F18" s="134" t="s">
        <v>60</v>
      </c>
      <c r="G18" s="135">
        <v>1.1000000000000001</v>
      </c>
      <c r="H18" s="135"/>
      <c r="I18" s="136">
        <v>1217.04</v>
      </c>
      <c r="J18" s="99"/>
      <c r="K18" s="105"/>
      <c r="L18" s="114"/>
      <c r="M18" s="94"/>
      <c r="N18" s="47"/>
      <c r="O18" s="49"/>
      <c r="P18" s="58">
        <v>10842.86</v>
      </c>
      <c r="Q18" s="56"/>
      <c r="R18" s="57"/>
      <c r="S18" s="65">
        <f>ROUND(ROUND(P18, 2)*I18, 2)</f>
        <v>13196194.33</v>
      </c>
      <c r="T18" s="66"/>
      <c r="U18" s="66"/>
    </row>
    <row r="19" spans="1:21" ht="72" customHeight="1" x14ac:dyDescent="0.55000000000000004">
      <c r="A19" s="137" t="s">
        <v>78</v>
      </c>
      <c r="B19" s="138"/>
      <c r="C19" s="139" t="s">
        <v>79</v>
      </c>
      <c r="D19" s="140"/>
      <c r="E19" s="140" t="s">
        <v>80</v>
      </c>
      <c r="F19" s="141" t="s">
        <v>81</v>
      </c>
      <c r="G19" s="142">
        <v>0.8</v>
      </c>
      <c r="H19" s="142"/>
      <c r="I19" s="143">
        <v>885.12</v>
      </c>
      <c r="J19" s="100"/>
      <c r="K19" s="106"/>
      <c r="L19" s="115"/>
      <c r="M19" s="108"/>
      <c r="N19" s="47"/>
      <c r="O19" s="49"/>
      <c r="P19" s="58">
        <v>3975.64</v>
      </c>
      <c r="Q19" s="56"/>
      <c r="R19" s="57"/>
      <c r="S19" s="65">
        <f>ROUND(ROUND(P19, 2)*I19, 2)</f>
        <v>3518918.48</v>
      </c>
      <c r="T19" s="66"/>
      <c r="U19" s="66"/>
    </row>
    <row r="20" spans="1:21" ht="79.8" customHeight="1" x14ac:dyDescent="0.55000000000000004">
      <c r="A20" s="137" t="s">
        <v>85</v>
      </c>
      <c r="B20" s="138"/>
      <c r="C20" s="139" t="s">
        <v>86</v>
      </c>
      <c r="D20" s="140"/>
      <c r="E20" s="140" t="s">
        <v>87</v>
      </c>
      <c r="F20" s="141" t="s">
        <v>88</v>
      </c>
      <c r="G20" s="142">
        <v>1</v>
      </c>
      <c r="H20" s="142"/>
      <c r="I20" s="143">
        <v>1106.4000000000001</v>
      </c>
      <c r="J20" s="100"/>
      <c r="K20" s="106"/>
      <c r="L20" s="115"/>
      <c r="M20" s="108"/>
      <c r="N20" s="47"/>
      <c r="O20" s="49"/>
      <c r="P20" s="58">
        <v>707.65</v>
      </c>
      <c r="Q20" s="56"/>
      <c r="R20" s="57"/>
      <c r="S20" s="65">
        <f>ROUND(ROUND(P20, 2)*I20, 2)</f>
        <v>782943.96</v>
      </c>
      <c r="T20" s="66"/>
      <c r="U20" s="66"/>
    </row>
    <row r="21" spans="1:21" ht="66" customHeight="1" x14ac:dyDescent="0.55000000000000004">
      <c r="A21" s="137" t="s">
        <v>92</v>
      </c>
      <c r="B21" s="138"/>
      <c r="C21" s="148" t="s">
        <v>93</v>
      </c>
      <c r="D21" s="140"/>
      <c r="E21" s="140" t="s">
        <v>94</v>
      </c>
      <c r="F21" s="141" t="s">
        <v>95</v>
      </c>
      <c r="G21" s="142">
        <v>5.1999999999999998E-2</v>
      </c>
      <c r="H21" s="142"/>
      <c r="I21" s="143">
        <v>57.533000000000001</v>
      </c>
      <c r="J21" s="100"/>
      <c r="K21" s="106"/>
      <c r="L21" s="115"/>
      <c r="M21" s="108"/>
      <c r="N21" s="47"/>
      <c r="O21" s="49"/>
      <c r="P21" s="58">
        <v>31836.75</v>
      </c>
      <c r="Q21" s="56"/>
      <c r="R21" s="57"/>
      <c r="S21" s="65">
        <f>ROUND(ROUND(P21, 2)*I21, 2)</f>
        <v>1831663.74</v>
      </c>
      <c r="T21" s="66"/>
      <c r="U21" s="66"/>
    </row>
    <row r="22" spans="1:21" ht="1.2" customHeight="1" x14ac:dyDescent="0.55000000000000004">
      <c r="A22" s="81" t="s">
        <v>99</v>
      </c>
      <c r="B22" s="91" t="s">
        <v>100</v>
      </c>
      <c r="C22" s="244" t="s">
        <v>101</v>
      </c>
      <c r="D22" s="245"/>
      <c r="E22" s="245"/>
      <c r="F22" s="245"/>
      <c r="G22" s="245"/>
      <c r="H22" s="245"/>
      <c r="I22" s="246"/>
      <c r="J22" s="98"/>
      <c r="K22" s="103"/>
      <c r="L22" s="113"/>
      <c r="M22" s="109"/>
      <c r="N22" s="45"/>
      <c r="O22" s="48"/>
      <c r="P22" s="55"/>
      <c r="Q22" s="56"/>
      <c r="R22" s="57"/>
      <c r="S22" s="63">
        <f t="shared" ref="S22:U25" si="1">SUM(S23)</f>
        <v>3680380.22</v>
      </c>
      <c r="T22" s="64">
        <f t="shared" si="1"/>
        <v>3178675.58</v>
      </c>
      <c r="U22" s="64">
        <f t="shared" si="1"/>
        <v>6859055.8000000007</v>
      </c>
    </row>
    <row r="23" spans="1:21" ht="34.799999999999997" hidden="1" customHeight="1" x14ac:dyDescent="0.55000000000000004">
      <c r="A23" s="41" t="s">
        <v>102</v>
      </c>
      <c r="B23" s="15" t="s">
        <v>103</v>
      </c>
      <c r="C23" s="220" t="s">
        <v>104</v>
      </c>
      <c r="D23" s="221"/>
      <c r="E23" s="221"/>
      <c r="F23" s="221"/>
      <c r="G23" s="221"/>
      <c r="H23" s="221"/>
      <c r="I23" s="247"/>
      <c r="J23" s="98"/>
      <c r="K23" s="103"/>
      <c r="L23" s="113"/>
      <c r="M23" s="93"/>
      <c r="N23" s="45"/>
      <c r="O23" s="48"/>
      <c r="P23" s="55"/>
      <c r="Q23" s="56"/>
      <c r="R23" s="57"/>
      <c r="S23" s="63">
        <f t="shared" si="1"/>
        <v>3680380.22</v>
      </c>
      <c r="T23" s="64">
        <f t="shared" si="1"/>
        <v>3178675.58</v>
      </c>
      <c r="U23" s="64">
        <f t="shared" si="1"/>
        <v>6859055.8000000007</v>
      </c>
    </row>
    <row r="24" spans="1:21" ht="36" hidden="1" customHeight="1" x14ac:dyDescent="0.55000000000000004">
      <c r="A24" s="41" t="s">
        <v>105</v>
      </c>
      <c r="B24" s="16" t="s">
        <v>106</v>
      </c>
      <c r="C24" s="223" t="s">
        <v>107</v>
      </c>
      <c r="D24" s="224"/>
      <c r="E24" s="224"/>
      <c r="F24" s="224"/>
      <c r="G24" s="224"/>
      <c r="H24" s="224"/>
      <c r="I24" s="238"/>
      <c r="J24" s="98"/>
      <c r="K24" s="103"/>
      <c r="L24" s="113"/>
      <c r="M24" s="93"/>
      <c r="N24" s="45"/>
      <c r="O24" s="48"/>
      <c r="P24" s="55"/>
      <c r="Q24" s="56"/>
      <c r="R24" s="57"/>
      <c r="S24" s="63">
        <f t="shared" si="1"/>
        <v>3680380.22</v>
      </c>
      <c r="T24" s="64">
        <f t="shared" si="1"/>
        <v>3178675.58</v>
      </c>
      <c r="U24" s="64">
        <f t="shared" si="1"/>
        <v>6859055.8000000007</v>
      </c>
    </row>
    <row r="25" spans="1:21" ht="42" hidden="1" customHeight="1" x14ac:dyDescent="0.55000000000000004">
      <c r="A25" s="41" t="s">
        <v>108</v>
      </c>
      <c r="B25" s="17" t="s">
        <v>109</v>
      </c>
      <c r="C25" s="226" t="s">
        <v>110</v>
      </c>
      <c r="D25" s="227"/>
      <c r="E25" s="227"/>
      <c r="F25" s="227"/>
      <c r="G25" s="227"/>
      <c r="H25" s="227"/>
      <c r="I25" s="239"/>
      <c r="J25" s="98"/>
      <c r="K25" s="103"/>
      <c r="L25" s="113"/>
      <c r="M25" s="93"/>
      <c r="N25" s="45"/>
      <c r="O25" s="48"/>
      <c r="P25" s="55"/>
      <c r="Q25" s="56"/>
      <c r="R25" s="57"/>
      <c r="S25" s="63">
        <f t="shared" si="1"/>
        <v>3680380.22</v>
      </c>
      <c r="T25" s="64">
        <f t="shared" si="1"/>
        <v>3178675.58</v>
      </c>
      <c r="U25" s="64">
        <f t="shared" si="1"/>
        <v>6859055.8000000007</v>
      </c>
    </row>
    <row r="26" spans="1:21" ht="61.2" x14ac:dyDescent="0.3">
      <c r="A26" s="116" t="s">
        <v>111</v>
      </c>
      <c r="B26" s="117" t="s">
        <v>112</v>
      </c>
      <c r="C26" s="118" t="s">
        <v>113</v>
      </c>
      <c r="D26" s="119"/>
      <c r="E26" s="119" t="s">
        <v>59</v>
      </c>
      <c r="F26" s="119" t="s">
        <v>60</v>
      </c>
      <c r="G26" s="120">
        <v>1</v>
      </c>
      <c r="H26" s="120"/>
      <c r="I26" s="121">
        <v>216.72</v>
      </c>
      <c r="J26" s="122"/>
      <c r="K26" s="123"/>
      <c r="L26" s="122"/>
      <c r="M26" s="124"/>
      <c r="N26" s="125"/>
      <c r="O26" s="126"/>
      <c r="P26" s="127">
        <f>IFERROR(ROUND(SUM(S27,S28)/I26, 2),0)</f>
        <v>16982.189999999999</v>
      </c>
      <c r="Q26" s="128">
        <v>14667.2</v>
      </c>
      <c r="R26" s="129">
        <f>P26+ROUND(Q26, 2)</f>
        <v>31649.39</v>
      </c>
      <c r="S26" s="124">
        <f>ROUND(P26*I26, 2)</f>
        <v>3680380.22</v>
      </c>
      <c r="T26" s="125">
        <f>ROUND(I26*ROUND(Q26, 2), 2)</f>
        <v>3178675.58</v>
      </c>
      <c r="U26" s="125">
        <f>S26+T26</f>
        <v>6859055.8000000007</v>
      </c>
    </row>
    <row r="27" spans="1:21" ht="37.200000000000003" customHeight="1" x14ac:dyDescent="0.55000000000000004">
      <c r="A27" s="130" t="s">
        <v>117</v>
      </c>
      <c r="B27" s="131"/>
      <c r="C27" s="132" t="s">
        <v>118</v>
      </c>
      <c r="D27" s="133"/>
      <c r="E27" s="133" t="s">
        <v>119</v>
      </c>
      <c r="F27" s="134" t="s">
        <v>60</v>
      </c>
      <c r="G27" s="135">
        <v>1.05</v>
      </c>
      <c r="H27" s="135"/>
      <c r="I27" s="136">
        <v>227.55600000000001</v>
      </c>
      <c r="J27" s="99"/>
      <c r="K27" s="105"/>
      <c r="L27" s="114"/>
      <c r="M27" s="94"/>
      <c r="N27" s="84"/>
      <c r="O27" s="85"/>
      <c r="P27" s="86">
        <v>15371.95</v>
      </c>
      <c r="Q27" s="87"/>
      <c r="R27" s="88"/>
      <c r="S27" s="89">
        <f>ROUND(ROUND(P27, 2)*I27, 2)</f>
        <v>3497979.45</v>
      </c>
      <c r="T27" s="90"/>
      <c r="U27" s="90"/>
    </row>
    <row r="28" spans="1:21" ht="54.6" thickBot="1" x14ac:dyDescent="0.6">
      <c r="A28" s="150" t="s">
        <v>123</v>
      </c>
      <c r="B28" s="151"/>
      <c r="C28" s="149" t="s">
        <v>124</v>
      </c>
      <c r="D28" s="144"/>
      <c r="E28" s="144" t="s">
        <v>125</v>
      </c>
      <c r="F28" s="145" t="s">
        <v>126</v>
      </c>
      <c r="G28" s="146">
        <v>4.2</v>
      </c>
      <c r="H28" s="146"/>
      <c r="I28" s="147">
        <v>910.22400000000005</v>
      </c>
      <c r="J28" s="101"/>
      <c r="K28" s="103"/>
      <c r="L28" s="113"/>
      <c r="M28" s="95"/>
      <c r="N28" s="47"/>
      <c r="O28" s="49"/>
      <c r="P28" s="82">
        <v>200.39</v>
      </c>
      <c r="Q28" s="56"/>
      <c r="R28" s="57"/>
      <c r="S28" s="83">
        <f>ROUND(ROUND(P28, 2)*I28, 2)</f>
        <v>182399.79</v>
      </c>
      <c r="T28" s="66"/>
      <c r="U28" s="66"/>
    </row>
    <row r="29" spans="1:21" ht="70.8" customHeight="1" thickBot="1" x14ac:dyDescent="0.6">
      <c r="A29" s="69"/>
      <c r="B29" s="71"/>
      <c r="C29" s="69"/>
      <c r="D29" s="70" t="s">
        <v>130</v>
      </c>
      <c r="E29" s="71"/>
      <c r="F29" s="71"/>
      <c r="G29" s="71"/>
      <c r="H29" s="71"/>
      <c r="I29" s="72"/>
      <c r="J29" s="102"/>
      <c r="K29" s="107"/>
      <c r="L29" s="112">
        <f>SUM(L15:L28)</f>
        <v>16871400</v>
      </c>
      <c r="M29" s="96"/>
      <c r="N29" s="73"/>
      <c r="O29" s="74"/>
      <c r="P29" s="75"/>
      <c r="Q29" s="76"/>
      <c r="R29" s="77"/>
      <c r="S29" s="78">
        <f>SUM(S8)</f>
        <v>23010095.469999999</v>
      </c>
      <c r="T29" s="79">
        <f>SUM(T8)</f>
        <v>14992596.93</v>
      </c>
      <c r="U29" s="80">
        <f>S29+T29</f>
        <v>38002692.399999999</v>
      </c>
    </row>
  </sheetData>
  <mergeCells count="35"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  <mergeCell ref="P6:Q6"/>
    <mergeCell ref="R6:R7"/>
    <mergeCell ref="S6:T6"/>
    <mergeCell ref="U6:U7"/>
    <mergeCell ref="H5:H7"/>
    <mergeCell ref="I5:I7"/>
    <mergeCell ref="P5:R5"/>
    <mergeCell ref="S5:U5"/>
    <mergeCell ref="M6:N6"/>
    <mergeCell ref="O6:O7"/>
    <mergeCell ref="K5:L6"/>
    <mergeCell ref="J5:J7"/>
    <mergeCell ref="K8:L8"/>
    <mergeCell ref="C24:I24"/>
    <mergeCell ref="C25:I25"/>
    <mergeCell ref="C12:I12"/>
    <mergeCell ref="C13:I13"/>
    <mergeCell ref="C14:I14"/>
    <mergeCell ref="C16:I16"/>
    <mergeCell ref="C22:I22"/>
    <mergeCell ref="C23:I23"/>
    <mergeCell ref="A8:I8"/>
    <mergeCell ref="C9:I9"/>
    <mergeCell ref="C10:I10"/>
    <mergeCell ref="C11:I11"/>
  </mergeCells>
  <pageMargins left="0.7" right="0.7" top="0.75" bottom="0.75" header="0.3" footer="0.3"/>
  <pageSetup paperSize="9" scale="1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ТКП</vt:lpstr>
      <vt:lpstr>ВЫПОЛНЕНИЕ_2026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2026-05-28T09:08:20Z</dcterms:created>
  <dcterms:modified xsi:type="dcterms:W3CDTF">2026-08-09T20:48:44Z</dcterms:modified>
  <cp:category/>
</cp:coreProperties>
</file>